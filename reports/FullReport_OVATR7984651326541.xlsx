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801" firstSheet="1" activeTab="3" autoFilterDateGrouping="1"/>
  </bookViews>
  <sheets>
    <sheet xmlns:r="http://schemas.openxmlformats.org/officeDocument/2006/relationships" name="Company information" sheetId="1" state="visible" r:id="rId1"/>
    <sheet xmlns:r="http://schemas.openxmlformats.org/officeDocument/2006/relationships" name="Annex I-IM State Charge" sheetId="2" state="visible" r:id="rId2"/>
    <sheet xmlns:r="http://schemas.openxmlformats.org/officeDocument/2006/relationships" name="Annex II-IM Non-State Charge" sheetId="3" state="visible" r:id="rId3"/>
    <sheet xmlns:r="http://schemas.openxmlformats.org/officeDocument/2006/relationships" name="AnnexIII-Local Pur" sheetId="4" state="visible" r:id="rId4"/>
    <sheet xmlns:r="http://schemas.openxmlformats.org/officeDocument/2006/relationships" name="AnnexIII-Local Pur (2)" sheetId="5" state="visible" r:id="rId5"/>
    <sheet xmlns:r="http://schemas.openxmlformats.org/officeDocument/2006/relationships" name="Annex IV-EX" sheetId="6" state="visible" r:id="rId6"/>
    <sheet xmlns:r="http://schemas.openxmlformats.org/officeDocument/2006/relationships" name="Annex V-Local Sale" sheetId="7" state="visible" r:id="rId7"/>
    <sheet xmlns:r="http://schemas.openxmlformats.org/officeDocument/2006/relationships" name="Taxpaid" sheetId="8" state="visible" r:id="rId8"/>
    <sheet xmlns:r="http://schemas.openxmlformats.org/officeDocument/2006/relationships" name="Damco" sheetId="9" state="hidden" r:id="rId9"/>
    <sheet xmlns:r="http://schemas.openxmlformats.org/officeDocument/2006/relationships" name="Chea Fat" sheetId="10" state="hidden" r:id="rId10"/>
    <sheet xmlns:r="http://schemas.openxmlformats.org/officeDocument/2006/relationships" name="S G L CAMBODIA" sheetId="11" state="hidden" r:id="rId11"/>
    <sheet xmlns:r="http://schemas.openxmlformats.org/officeDocument/2006/relationships" name="Sheet3" sheetId="12" state="hidden" r:id="rId12"/>
    <sheet xmlns:r="http://schemas.openxmlformats.org/officeDocument/2006/relationships" name="Sale - June" sheetId="13" state="hidden" r:id="rId13"/>
    <sheet xmlns:r="http://schemas.openxmlformats.org/officeDocument/2006/relationships" name="Sale - Jul" sheetId="14" state="hidden" r:id="rId14"/>
    <sheet xmlns:r="http://schemas.openxmlformats.org/officeDocument/2006/relationships" name="Sale - Aug" sheetId="15" state="hidden" r:id="rId15"/>
  </sheets>
  <externalReferences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</externalReferences>
  <definedNames>
    <definedName name="\A">#REF!</definedName>
    <definedName name="\D">#REF!</definedName>
    <definedName name="\E">#REF!</definedName>
    <definedName name="\G">'[1]Company Related Premises'!#REF!</definedName>
    <definedName name="\H">'[1]Company Related Premises'!#REF!</definedName>
    <definedName name="\L">'[1]Company Related Premises'!#REF!</definedName>
    <definedName name="\M">'[1]Company Related Premises'!#REF!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xy">#REF!</definedName>
    <definedName name="\Y">#REF!</definedName>
    <definedName name="\Z">#REF!</definedName>
    <definedName name="__PR1">[2]Sheet!#REF!</definedName>
    <definedName name="__SR1">#REF!</definedName>
    <definedName name="__SR2">#REF!</definedName>
    <definedName name="_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Order1" hidden="1">255</definedName>
    <definedName name="_Order2" hidden="1">255</definedName>
    <definedName name="_PR1">[2]Sheet!#REF!</definedName>
    <definedName name="_SR1">#REF!</definedName>
    <definedName name="_SR2">#REF!</definedName>
    <definedName name="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a">#REF!</definedName>
    <definedName name="aaa">#REF!</definedName>
    <definedName name="a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bcd">#REF!</definedName>
    <definedName name="All">#REF!</definedName>
    <definedName name="ANLAGE_III">[3]Anlagevermögen!$A$1:$Z$29</definedName>
    <definedName name="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hhour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MDR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ata84">'[4]Purchase Order'!$E$40</definedName>
    <definedName name="dflt3">'[4]Customize Your Purchase Order'!$F$24</definedName>
    <definedName name="dflt4">'[4]Customize Your Purchase Order'!$E$25</definedName>
    <definedName name="DRPAUSE">#REF!</definedName>
    <definedName name="DSCTEMP">[5]DSCTEMP!$A$1:$B$65536</definedName>
    <definedName name="FTBSch">[2]Sheet!#REF!</definedName>
    <definedName name="hh">[2]Sheet!#REF!</definedName>
    <definedName name="is">'[6]Company Related Premises'!#REF!</definedName>
    <definedName name="jngiüorajg">#REF!</definedName>
    <definedName name="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kaksja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ll">#REF!</definedName>
    <definedName name="new">#REF!</definedName>
    <definedName name="PeriodsInYear">#REF!</definedName>
    <definedName name="PrintArea">#REF!</definedName>
    <definedName name="qqqqqqqqqqqqqqqqqqqqq">#REF!</definedName>
    <definedName name="RANDO">#REF!</definedName>
    <definedName name="RANDU">#REF!</definedName>
    <definedName name="re">[7]Sheet!#REF!</definedName>
    <definedName name="Report">#REF!</definedName>
    <definedName name="RM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ale">#REF!</definedName>
    <definedName name="SalSch">#REF!</definedName>
    <definedName name="Seite1">#REF!</definedName>
    <definedName name="Seite2">#REF!</definedName>
    <definedName name="Seite3">#REF!</definedName>
    <definedName name="Spec">#REF!</definedName>
    <definedName name="SR">#REF!</definedName>
    <definedName name="SRC">#REF!</definedName>
    <definedName name="tes">[2]Sheet!#REF!</definedName>
    <definedName name="Test">[2]Sheet!#REF!</definedName>
    <definedName name="uebergabe1">#REF!</definedName>
    <definedName name="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">[2]Sheet!#REF!</definedName>
    <definedName name="x">#REF!</definedName>
    <definedName name="xx">#REF!</definedName>
    <definedName name="xx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">'[1]Company Related Premises'!#REF!</definedName>
    <definedName name="yx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">[2]Sheet!#REF!</definedName>
    <definedName name="ថ">[2]Sheet!#REF!</definedName>
    <definedName name="_xlnm._FilterDatabase" localSheetId="1" hidden="1">'Annex I-IM State Charge'!$A$8:$I$8</definedName>
    <definedName name="_xlnm.Print_Area" localSheetId="1">'Annex I-IM State Charge'!$A$1:$H$14</definedName>
    <definedName name="_xlnm._FilterDatabase" localSheetId="2" hidden="1">'Annex II-IM Non-State Charge'!$A$9:$I$9</definedName>
    <definedName name="_xlnm.Print_Area" localSheetId="2">'Annex II-IM Non-State Charge'!$A$1:$I$10</definedName>
    <definedName name="_xlnm.Print_Area" localSheetId="3">'AnnexIII-Local Pur'!$A$1:$K$8</definedName>
    <definedName name="_xlnm.Print_Area" localSheetId="4">'AnnexIII-Local Pur (2)'!$A$1:$K$790</definedName>
    <definedName name="_xlnm._FilterDatabase" localSheetId="5" hidden="1">'Annex IV-EX'!$A$8:$E$8</definedName>
    <definedName name="_xlnm.Print_Titles" localSheetId="5">'Annex IV-EX'!$7:$8</definedName>
    <definedName name="_xlnm.Print_Area" localSheetId="5">'Annex IV-EX'!$A$1:$E$22</definedName>
    <definedName name="_xlnm._FilterDatabase" localSheetId="6" hidden="1">'Annex V-Local Sale'!$A$8:$N$8</definedName>
    <definedName name="_xlnm.Print_Area" localSheetId="6">'Annex V-Local Sale'!$A$1:$H$8</definedName>
  </definedNames>
  <calcPr calcId="191029" fullCalcOnLoad="1"/>
</workbook>
</file>

<file path=xl/styles.xml><?xml version="1.0" encoding="utf-8"?>
<styleSheet xmlns="http://schemas.openxmlformats.org/spreadsheetml/2006/main">
  <numFmts count="19">
    <numFmt numFmtId="164" formatCode="_(&quot;$&quot;* #,##0.00_);_(&quot;$&quot;* \(#,##0.00\);_(&quot;$&quot;* &quot;-&quot;??_);_(@_)"/>
    <numFmt numFmtId="165" formatCode="_-&quot;$&quot;* #,##0.00_-;\-&quot;$&quot;* #,##0.00_-;_-&quot;$&quot;* &quot;-&quot;??_-;_-@_-"/>
    <numFmt numFmtId="166" formatCode="[$-409]d\-mmm\-yy;@"/>
    <numFmt numFmtId="167" formatCode="000000"/>
    <numFmt numFmtId="168" formatCode="_(* #,##0_);_(* \(#,##0\);_(* &quot;-&quot;??_);_(@_)"/>
    <numFmt numFmtId="169" formatCode="000000000"/>
    <numFmt numFmtId="170" formatCode="m/d/yy;@"/>
    <numFmt numFmtId="171" formatCode="_ * #,##0.00_ ;_ * \-#,##0.00_ ;_ * &quot;-&quot;??_ ;_ @_ "/>
    <numFmt numFmtId="172" formatCode="d\-mmm\-yyyy"/>
    <numFmt numFmtId="173" formatCode="_-* #,##0[$៛-453]_-;\-* #,##0[$៛-453]_-;_-* &quot;-&quot;[$៛-453]_-;_-@_-"/>
    <numFmt numFmtId="174" formatCode="0000"/>
    <numFmt numFmtId="175" formatCode="dd\-mm\-yy"/>
    <numFmt numFmtId="176" formatCode="[$-12000425]0"/>
    <numFmt numFmtId="177" formatCode="\I\ 00000"/>
    <numFmt numFmtId="178" formatCode="\ &quot;Total Reil @&quot;\ #,###,#00"/>
    <numFmt numFmtId="179" formatCode="yyyy-mm-dd h:mm:ss"/>
    <numFmt numFmtId="180" formatCode="DD-MM-YYYY"/>
    <numFmt numFmtId="181" formatCode="#,### &quot;៛&quot;"/>
    <numFmt numFmtId="182" formatCode="#,###"/>
  </numFmts>
  <fonts count="97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Limon S1"/>
      <sz val="22"/>
    </font>
    <font>
      <name val="Arial"/>
      <family val="2"/>
      <color indexed="12"/>
      <sz val="10"/>
      <u val="single"/>
    </font>
    <font>
      <name val="Arial"/>
      <family val="2"/>
      <sz val="8"/>
    </font>
    <font>
      <name val="Arial"/>
      <family val="2"/>
      <sz val="9"/>
    </font>
    <font>
      <name val="Limon S1"/>
      <sz val="20"/>
    </font>
    <font>
      <name val="Arial"/>
      <family val="2"/>
      <sz val="10"/>
    </font>
    <font>
      <name val="Arial"/>
      <family val="2"/>
      <b val="1"/>
      <sz val="10"/>
    </font>
    <font>
      <name val="Times New Roman"/>
      <family val="1"/>
      <sz val="8"/>
    </font>
    <font>
      <name val="Arial"/>
      <family val="2"/>
      <sz val="10"/>
    </font>
    <font>
      <name val="Tahoma"/>
      <family val="2"/>
      <b val="1"/>
      <color indexed="81"/>
      <sz val="8"/>
    </font>
    <font>
      <name val="Limon S1"/>
      <sz val="10"/>
    </font>
    <font>
      <name val="Arial"/>
      <family val="2"/>
      <color indexed="8"/>
      <sz val="10"/>
    </font>
    <font>
      <name val="Khmer OS"/>
      <sz val="10"/>
    </font>
    <font>
      <name val="Khmer OS"/>
      <b val="1"/>
      <sz val="10"/>
    </font>
    <font>
      <name val="Khmer OS"/>
      <sz val="9"/>
    </font>
    <font>
      <name val="Arial"/>
      <family val="2"/>
      <b val="1"/>
      <i val="1"/>
      <sz val="8"/>
    </font>
    <font>
      <name val="Khmer MEF2"/>
      <sz val="14"/>
    </font>
    <font>
      <name val="Khmer MEF2"/>
      <sz val="10"/>
    </font>
    <font>
      <name val="Khmer MEF1"/>
      <b val="1"/>
      <sz val="10"/>
    </font>
    <font>
      <name val="Khmer MEF1"/>
      <sz val="10"/>
    </font>
    <font>
      <name val="Khmer OS"/>
      <sz val="8.5"/>
    </font>
    <font>
      <name val="Arial"/>
      <family val="2"/>
      <b val="1"/>
      <sz val="9"/>
    </font>
    <font>
      <name val="Arial"/>
      <family val="2"/>
      <b val="1"/>
      <i val="1"/>
      <sz val="11"/>
    </font>
    <font>
      <name val="Khmer MEF1"/>
      <sz val="9"/>
    </font>
    <font>
      <name val="Times New Roman"/>
      <family val="1"/>
      <sz val="7"/>
    </font>
    <font>
      <name val="Arial"/>
      <family val="2"/>
      <color rgb="FFFF0000"/>
      <sz val="10"/>
    </font>
    <font>
      <name val="Limon S1"/>
      <color rgb="FFFF0000"/>
      <sz val="20"/>
    </font>
    <font>
      <name val="Khmer MEF1"/>
      <color rgb="FFFF0000"/>
      <sz val="10"/>
    </font>
    <font>
      <name val="Calibri"/>
      <family val="2"/>
      <sz val="10"/>
      <scheme val="minor"/>
    </font>
    <font>
      <name val="Khmer OS"/>
      <color rgb="FFFF0000"/>
      <sz val="9"/>
    </font>
    <font>
      <name val="Khmer OS"/>
      <color rgb="FFFF0000"/>
      <sz val="10"/>
    </font>
    <font>
      <name val="Khmer MEF1"/>
      <color rgb="FFFF0000"/>
      <sz val="9"/>
    </font>
    <font>
      <name val="Limon S1"/>
      <b val="1"/>
      <sz val="9"/>
    </font>
    <font>
      <name val="Limon R1"/>
      <sz val="22"/>
    </font>
    <font>
      <name val="Limon R1"/>
      <sz val="12"/>
    </font>
    <font>
      <name val="Limon S1"/>
      <b val="1"/>
      <sz val="8"/>
    </font>
    <font>
      <name val="Times New Roman"/>
      <family val="1"/>
      <b val="1"/>
      <sz val="8"/>
    </font>
    <font>
      <name val="Cambria"/>
      <family val="1"/>
      <b val="1"/>
      <sz val="9"/>
      <scheme val="major"/>
    </font>
    <font>
      <name val="Calibri"/>
      <charset val="134"/>
      <family val="2"/>
      <color indexed="8"/>
      <sz val="14"/>
    </font>
    <font>
      <name val="Limon S1"/>
      <sz val="14"/>
    </font>
    <font>
      <name val="Limon S1"/>
      <sz val="8"/>
    </font>
    <font>
      <name val="Calibri"/>
      <family val="2"/>
      <color indexed="8"/>
      <sz val="8"/>
    </font>
    <font>
      <name val="Calibri"/>
      <family val="2"/>
      <color theme="1"/>
      <sz val="9"/>
      <scheme val="minor"/>
    </font>
    <font>
      <name val="Limon S1"/>
      <sz val="9"/>
    </font>
    <font>
      <name val="Limon S1"/>
      <b val="1"/>
      <sz val="7"/>
    </font>
    <font>
      <name val="新細明體"/>
      <charset val="136"/>
      <family val="1"/>
      <sz val="7"/>
    </font>
    <font>
      <name val="Limon S1"/>
      <sz val="7"/>
    </font>
    <font>
      <name val="Limon S1"/>
      <sz val="13"/>
    </font>
    <font>
      <name val="Times New Roman"/>
      <family val="1"/>
      <b val="1"/>
      <sz val="7"/>
    </font>
    <font>
      <name val="Times New Roman"/>
      <charset val="134"/>
      <family val="1"/>
      <sz val="7"/>
    </font>
    <font>
      <name val="Arial"/>
      <family val="2"/>
      <sz val="7"/>
    </font>
    <font>
      <name val="Arial Narrow"/>
      <family val="2"/>
      <sz val="7"/>
    </font>
    <font>
      <name val="Times New Roman"/>
      <charset val="134"/>
      <family val="1"/>
      <b val="1"/>
      <sz val="7"/>
    </font>
    <font>
      <name val="Times New Roman"/>
      <charset val="134"/>
      <family val="1"/>
      <sz val="8"/>
    </font>
    <font>
      <name val="Times New Roman"/>
      <charset val="134"/>
      <family val="1"/>
      <sz val="11"/>
    </font>
    <font>
      <name val="Arial"/>
      <family val="2"/>
      <b val="1"/>
      <sz val="7"/>
    </font>
    <font>
      <name val="Times New Roman"/>
      <charset val="134"/>
      <family val="1"/>
      <sz val="12"/>
    </font>
    <font>
      <name val="Arial"/>
      <family val="2"/>
      <b val="1"/>
      <sz val="8"/>
    </font>
    <font>
      <name val="Arial"/>
      <charset val="134"/>
      <family val="2"/>
      <b val="1"/>
      <sz val="8"/>
    </font>
    <font>
      <name val="Arial"/>
      <charset val="134"/>
      <family val="2"/>
      <b val="1"/>
      <sz val="10"/>
    </font>
    <font>
      <name val="宋体"/>
      <charset val="134"/>
      <sz val="12"/>
    </font>
    <font>
      <name val="新細明體"/>
      <charset val="134"/>
      <b val="1"/>
      <sz val="12"/>
    </font>
    <font>
      <name val="Arial"/>
      <charset val="134"/>
      <family val="2"/>
      <b val="1"/>
      <sz val="14"/>
    </font>
    <font>
      <name val="Arial"/>
      <charset val="134"/>
      <family val="2"/>
      <sz val="10"/>
    </font>
    <font>
      <name val="Arial"/>
      <charset val="134"/>
      <family val="2"/>
      <sz val="9"/>
    </font>
    <font>
      <name val="Calibri"/>
      <charset val="134"/>
      <family val="2"/>
      <color indexed="8"/>
      <sz val="11"/>
    </font>
    <font>
      <name val="Times New Roman"/>
      <charset val="134"/>
      <family val="1"/>
      <sz val="10"/>
    </font>
    <font>
      <name val="Times New Roman"/>
      <family val="1"/>
      <sz val="12"/>
    </font>
    <font>
      <name val="Calibri"/>
      <family val="2"/>
      <color indexed="8"/>
      <sz val="11"/>
    </font>
    <font>
      <name val="Khmer OS Siemreap"/>
      <color theme="1"/>
      <sz val="11"/>
    </font>
    <font>
      <name val="Khmer OS Siemreap"/>
      <sz val="11"/>
    </font>
    <font>
      <name val="Khmer OS Siemreap"/>
      <color rgb="FFFF0000"/>
      <sz val="11"/>
    </font>
    <font>
      <name val="Khmer OS Siemreap"/>
      <b val="1"/>
      <sz val="11"/>
    </font>
    <font>
      <name val="Khmer OS Siemreap"/>
      <b val="1"/>
      <sz val="8"/>
    </font>
    <font>
      <name val="Khmer OS Siemreap"/>
      <b val="1"/>
      <color theme="1"/>
      <sz val="11"/>
    </font>
    <font>
      <name val="Khmer OS Siemreap"/>
      <color theme="1"/>
      <sz val="10"/>
    </font>
    <font>
      <name val="Khmer OS Siemreap"/>
      <sz val="10"/>
    </font>
    <font>
      <name val="Khmer OS Siemreap"/>
      <b val="1"/>
      <sz val="12"/>
    </font>
    <font>
      <name val="Khmer OS Siemreap"/>
      <sz val="22"/>
    </font>
    <font>
      <name val="Khmer OS Siemreap"/>
      <color indexed="8"/>
      <sz val="11"/>
    </font>
    <font>
      <name val="Khmer OS Siemreap"/>
      <color rgb="FFFF0000"/>
      <sz val="10"/>
    </font>
    <font>
      <name val="Khmer OS Siemreap"/>
      <b val="1"/>
      <sz val="10"/>
    </font>
    <font>
      <name val="Khmer OS Siemreap"/>
      <sz val="12"/>
    </font>
    <font>
      <name val="Khmer OS Siemreap"/>
      <color rgb="FFFF0000"/>
      <sz val="12"/>
    </font>
    <font>
      <name val="Khmer OS Siemreap"/>
      <color theme="1"/>
      <sz val="12"/>
    </font>
    <font>
      <name val="Arial"/>
      <family val="2"/>
      <b val="1"/>
      <color rgb="FF2F303A"/>
      <sz val="9"/>
    </font>
    <font>
      <name val="Khmer OS Siemreap"/>
      <b val="1"/>
      <color theme="1"/>
      <sz val="12"/>
    </font>
    <font>
      <name val="Khmer OS Siemreap"/>
      <color theme="1"/>
      <sz val="9"/>
    </font>
    <font>
      <name val="Arial"/>
      <family val="2"/>
      <sz val="10"/>
    </font>
    <font>
      <name val="Arial"/>
      <family val="2"/>
      <color rgb="FF2F303A"/>
      <sz val="9"/>
    </font>
    <font>
      <name val="Arial"/>
      <sz val="8"/>
    </font>
  </fonts>
  <fills count="19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B0DBBC"/>
        <bgColor rgb="FFB0DBBC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00"/>
        <bgColor rgb="00FFFF00"/>
      </patternFill>
    </fill>
  </fills>
  <borders count="5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/>
      <top/>
      <bottom style="medium">
        <color rgb="FFDDDDDD"/>
      </bottom>
      <diagonal/>
    </border>
    <border>
      <left/>
      <right/>
      <top/>
      <bottom style="medium">
        <color rgb="FFDDDDDD"/>
      </bottom>
      <diagonal/>
    </border>
    <border>
      <left/>
      <right style="medium">
        <color rgb="FFDDDDDD"/>
      </right>
      <top/>
      <bottom style="medium">
        <color rgb="FFDDDDDD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DDDDDD"/>
      </left>
      <right/>
      <top/>
      <bottom/>
      <diagonal/>
    </border>
    <border>
      <left/>
      <right style="medium">
        <color rgb="FFDDDDDD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7">
    <xf numFmtId="0" fontId="0" fillId="0" borderId="0" applyAlignment="1">
      <alignment vertical="top"/>
    </xf>
    <xf numFmtId="43" fontId="94" fillId="0" borderId="0"/>
    <xf numFmtId="43" fontId="94" fillId="0" borderId="0"/>
    <xf numFmtId="44" fontId="94" fillId="0" borderId="0"/>
    <xf numFmtId="0" fontId="94" fillId="0" borderId="0" applyAlignment="1">
      <alignment vertical="top"/>
    </xf>
    <xf numFmtId="0" fontId="94" fillId="0" borderId="0"/>
    <xf numFmtId="0" fontId="94" fillId="0" borderId="0"/>
    <xf numFmtId="0" fontId="17" fillId="0" borderId="0" applyAlignment="1">
      <alignment vertical="top"/>
    </xf>
    <xf numFmtId="0" fontId="4" fillId="0" borderId="0"/>
    <xf numFmtId="43" fontId="4" fillId="0" borderId="0"/>
    <xf numFmtId="44" fontId="4" fillId="0" borderId="0"/>
    <xf numFmtId="0" fontId="94" fillId="0" borderId="0"/>
    <xf numFmtId="169" fontId="66" fillId="0" borderId="0" applyAlignment="1">
      <alignment vertical="center"/>
    </xf>
    <xf numFmtId="0" fontId="71" fillId="0" borderId="0" applyAlignment="1">
      <alignment vertical="center"/>
    </xf>
    <xf numFmtId="176" fontId="66" fillId="0" borderId="0" applyAlignment="1">
      <alignment vertical="center"/>
    </xf>
    <xf numFmtId="176" fontId="66" fillId="0" borderId="0" applyAlignment="1">
      <alignment vertical="center"/>
    </xf>
    <xf numFmtId="169" fontId="66" fillId="0" borderId="0" applyAlignment="1">
      <alignment vertical="center"/>
    </xf>
    <xf numFmtId="169" fontId="66" fillId="0" borderId="0" applyAlignment="1">
      <alignment vertical="center"/>
    </xf>
    <xf numFmtId="0" fontId="94" fillId="0" borderId="0"/>
    <xf numFmtId="43" fontId="94" fillId="0" borderId="0"/>
    <xf numFmtId="0" fontId="94" fillId="0" borderId="0"/>
    <xf numFmtId="43" fontId="73" fillId="0" borderId="0"/>
    <xf numFmtId="43" fontId="74" fillId="0" borderId="0"/>
    <xf numFmtId="0" fontId="94" fillId="0" borderId="0"/>
    <xf numFmtId="0" fontId="73" fillId="0" borderId="0"/>
    <xf numFmtId="0" fontId="94" fillId="0" borderId="0"/>
    <xf numFmtId="0" fontId="4" fillId="0" borderId="0"/>
    <xf numFmtId="43" fontId="4" fillId="0" borderId="0"/>
    <xf numFmtId="9" fontId="4" fillId="0" borderId="0"/>
    <xf numFmtId="0" fontId="73" fillId="0" borderId="0"/>
    <xf numFmtId="0" fontId="4" fillId="0" borderId="0"/>
    <xf numFmtId="9" fontId="94" fillId="0" borderId="0"/>
    <xf numFmtId="0" fontId="4" fillId="0" borderId="0"/>
    <xf numFmtId="43" fontId="94" fillId="0" borderId="0"/>
    <xf numFmtId="0" fontId="94" fillId="0" borderId="0" applyAlignment="1">
      <alignment vertical="top"/>
    </xf>
    <xf numFmtId="0" fontId="94" fillId="0" borderId="0"/>
    <xf numFmtId="0" fontId="94" fillId="0" borderId="0"/>
    <xf numFmtId="0" fontId="4" fillId="0" borderId="0"/>
    <xf numFmtId="43" fontId="4" fillId="0" borderId="0"/>
    <xf numFmtId="44" fontId="4" fillId="0" borderId="0"/>
    <xf numFmtId="0" fontId="4" fillId="0" borderId="0"/>
    <xf numFmtId="43" fontId="4" fillId="0" borderId="0"/>
    <xf numFmtId="9" fontId="4" fillId="0" borderId="0"/>
    <xf numFmtId="0" fontId="4" fillId="0" borderId="0"/>
    <xf numFmtId="9" fontId="4" fillId="0" borderId="0"/>
    <xf numFmtId="0" fontId="94" fillId="0" borderId="0" applyAlignment="1">
      <alignment vertical="top"/>
    </xf>
    <xf numFmtId="0" fontId="4" fillId="0" borderId="0"/>
  </cellStyleXfs>
  <cellXfs count="666">
    <xf numFmtId="0" fontId="0" fillId="0" borderId="0" pivotButton="0" quotePrefix="0" xfId="0"/>
    <xf numFmtId="0" fontId="6" fillId="0" borderId="0" pivotButton="0" quotePrefix="0" xfId="0"/>
    <xf numFmtId="0" fontId="14" fillId="0" borderId="0" pivotButton="0" quotePrefix="0" xfId="0"/>
    <xf numFmtId="0" fontId="31" fillId="0" borderId="0" pivotButton="0" quotePrefix="0" xfId="0"/>
    <xf numFmtId="0" fontId="32" fillId="0" borderId="0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 shrinkToFit="1"/>
    </xf>
    <xf numFmtId="0" fontId="19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 shrinkToFit="1"/>
    </xf>
    <xf numFmtId="0" fontId="24" fillId="0" borderId="3" applyAlignment="1" pivotButton="0" quotePrefix="0" xfId="0">
      <alignment horizontal="center" vertical="center" shrinkToFit="1"/>
    </xf>
    <xf numFmtId="0" fontId="25" fillId="0" borderId="2" applyAlignment="1" pivotButton="0" quotePrefix="0" xfId="0">
      <alignment horizontal="center" vertical="center" shrinkToFit="1"/>
    </xf>
    <xf numFmtId="49" fontId="20" fillId="0" borderId="4" applyAlignment="1" pivotButton="0" quotePrefix="0" xfId="0">
      <alignment horizontal="center" vertical="center" wrapText="1"/>
    </xf>
    <xf numFmtId="0" fontId="20" fillId="0" borderId="4" applyAlignment="1" pivotButton="0" quotePrefix="0" xfId="0">
      <alignment horizontal="center" vertical="center" wrapText="1"/>
    </xf>
    <xf numFmtId="49" fontId="20" fillId="2" borderId="4" applyAlignment="1" pivotButton="0" quotePrefix="0" xfId="0">
      <alignment horizontal="center" vertical="center" wrapText="1"/>
    </xf>
    <xf numFmtId="15" fontId="20" fillId="0" borderId="4" applyAlignment="1" pivotButton="0" quotePrefix="0" xfId="0">
      <alignment horizontal="center" vertical="center" wrapText="1"/>
    </xf>
    <xf numFmtId="164" fontId="21" fillId="4" borderId="4" applyAlignment="1" pivotButton="0" quotePrefix="0" xfId="3">
      <alignment horizontal="right" vertical="center"/>
    </xf>
    <xf numFmtId="165" fontId="20" fillId="0" borderId="4" applyAlignment="1" pivotButton="0" quotePrefix="0" xfId="3">
      <alignment horizontal="right" vertical="top"/>
    </xf>
    <xf numFmtId="49" fontId="20" fillId="0" borderId="4" applyAlignment="1" pivotButton="0" quotePrefix="0" xfId="0">
      <alignment horizontal="center" vertical="top" wrapText="1"/>
    </xf>
    <xf numFmtId="49" fontId="26" fillId="2" borderId="4" applyAlignment="1" pivotButton="0" quotePrefix="0" xfId="0">
      <alignment horizontal="center" vertical="top" wrapText="1"/>
    </xf>
    <xf numFmtId="15" fontId="26" fillId="0" borderId="4" applyAlignment="1" pivotButton="0" quotePrefix="0" xfId="0">
      <alignment horizontal="center" vertical="top" wrapText="1"/>
    </xf>
    <xf numFmtId="49" fontId="20" fillId="0" borderId="4" applyAlignment="1" pivotButton="0" quotePrefix="0" xfId="4">
      <alignment horizontal="center" vertical="center" wrapText="1"/>
    </xf>
    <xf numFmtId="49" fontId="18" fillId="0" borderId="4" applyAlignment="1" pivotButton="0" quotePrefix="0" xfId="4">
      <alignment horizontal="center" vertical="center" wrapText="1"/>
    </xf>
    <xf numFmtId="166" fontId="20" fillId="0" borderId="4" applyAlignment="1" pivotButton="0" quotePrefix="0" xfId="0">
      <alignment horizontal="center" vertical="center" wrapText="1"/>
    </xf>
    <xf numFmtId="49" fontId="20" fillId="0" borderId="4" applyAlignment="1" pivotButton="0" quotePrefix="0" xfId="0">
      <alignment horizontal="center" wrapText="1"/>
    </xf>
    <xf numFmtId="49" fontId="18" fillId="0" borderId="4" applyAlignment="1" pivotButton="0" quotePrefix="0" xfId="0">
      <alignment horizontal="center" wrapText="1"/>
    </xf>
    <xf numFmtId="49" fontId="18" fillId="0" borderId="4" applyAlignment="1" pivotButton="0" quotePrefix="0" xfId="0">
      <alignment horizontal="center" vertical="center" wrapText="1"/>
    </xf>
    <xf numFmtId="165" fontId="20" fillId="3" borderId="4" applyAlignment="1" pivotButton="0" quotePrefix="0" xfId="3">
      <alignment horizontal="right" vertical="center"/>
    </xf>
    <xf numFmtId="165" fontId="20" fillId="5" borderId="4" applyAlignment="1" pivotButton="0" quotePrefix="0" xfId="3">
      <alignment horizontal="right" vertical="center"/>
    </xf>
    <xf numFmtId="165" fontId="20" fillId="5" borderId="4" applyAlignment="1" pivotButton="0" quotePrefix="0" xfId="3">
      <alignment horizontal="right" vertical="top"/>
    </xf>
    <xf numFmtId="49" fontId="18" fillId="0" borderId="10" applyAlignment="1" pivotButton="0" quotePrefix="0" xfId="0">
      <alignment horizontal="center" vertical="center" wrapText="1"/>
    </xf>
    <xf numFmtId="166" fontId="20" fillId="0" borderId="10" applyAlignment="1" pivotButton="0" quotePrefix="0" xfId="0">
      <alignment horizontal="center" vertical="center" wrapText="1"/>
    </xf>
    <xf numFmtId="165" fontId="20" fillId="5" borderId="10" applyAlignment="1" pivotButton="0" quotePrefix="0" xfId="3">
      <alignment horizontal="right" vertical="center"/>
    </xf>
    <xf numFmtId="0" fontId="19" fillId="0" borderId="10" applyAlignment="1" pivotButton="0" quotePrefix="0" xfId="0">
      <alignment horizontal="center" vertical="center" shrinkToFit="1"/>
    </xf>
    <xf numFmtId="0" fontId="19" fillId="0" borderId="4" applyAlignment="1" pivotButton="0" quotePrefix="0" xfId="0">
      <alignment horizontal="center" vertical="center" shrinkToFit="1"/>
    </xf>
    <xf numFmtId="0" fontId="18" fillId="0" borderId="2" applyAlignment="1" pivotButton="0" quotePrefix="0" xfId="0">
      <alignment horizontal="center" vertical="center"/>
    </xf>
    <xf numFmtId="166" fontId="8" fillId="4" borderId="4" applyAlignment="1" pivotButton="0" quotePrefix="0" xfId="0">
      <alignment horizontal="center" vertical="center"/>
    </xf>
    <xf numFmtId="167" fontId="8" fillId="4" borderId="4" applyAlignment="1" pivotButton="0" quotePrefix="0" xfId="0">
      <alignment horizontal="left" vertical="center"/>
    </xf>
    <xf numFmtId="167" fontId="8" fillId="4" borderId="4" applyAlignment="1" pivotButton="0" quotePrefix="0" xfId="0">
      <alignment horizontal="center" vertical="center"/>
    </xf>
    <xf numFmtId="49" fontId="20" fillId="5" borderId="4" applyAlignment="1" pivotButton="0" quotePrefix="0" xfId="0">
      <alignment horizontal="center" vertical="center" wrapText="1"/>
    </xf>
    <xf numFmtId="49" fontId="35" fillId="0" borderId="4" applyAlignment="1" pivotButton="0" quotePrefix="0" xfId="0">
      <alignment horizontal="center" vertical="center" wrapText="1"/>
    </xf>
    <xf numFmtId="49" fontId="20" fillId="2" borderId="4" applyAlignment="1" pivotButton="0" quotePrefix="0" xfId="0">
      <alignment horizontal="center" vertical="top" wrapText="1"/>
    </xf>
    <xf numFmtId="49" fontId="35" fillId="0" borderId="4" applyAlignment="1" pivotButton="0" quotePrefix="0" xfId="0">
      <alignment horizontal="center" vertical="top" wrapText="1"/>
    </xf>
    <xf numFmtId="49" fontId="36" fillId="0" borderId="4" applyAlignment="1" pivotButton="0" quotePrefix="0" xfId="4">
      <alignment horizontal="center" vertical="center" wrapText="1"/>
    </xf>
    <xf numFmtId="49" fontId="36" fillId="0" borderId="4" applyAlignment="1" pivotButton="0" quotePrefix="0" xfId="0">
      <alignment horizontal="center" vertical="center" wrapText="1"/>
    </xf>
    <xf numFmtId="165" fontId="20" fillId="6" borderId="4" applyAlignment="1" pivotButton="0" quotePrefix="0" xfId="3">
      <alignment horizontal="right" vertical="center"/>
    </xf>
    <xf numFmtId="165" fontId="20" fillId="6" borderId="4" applyAlignment="1" pivotButton="0" quotePrefix="0" xfId="3">
      <alignment horizontal="right" vertical="top"/>
    </xf>
    <xf numFmtId="165" fontId="20" fillId="6" borderId="4" applyAlignment="1" pivotButton="0" quotePrefix="0" xfId="3">
      <alignment horizontal="center" vertical="center"/>
    </xf>
    <xf numFmtId="15" fontId="35" fillId="0" borderId="4" applyAlignment="1" pivotButton="0" quotePrefix="0" xfId="0">
      <alignment horizontal="center" vertical="center" wrapText="1"/>
    </xf>
    <xf numFmtId="49" fontId="20" fillId="3" borderId="4" applyAlignment="1" pivotButton="0" quotePrefix="0" xfId="0">
      <alignment horizontal="center" vertical="top" wrapText="1"/>
    </xf>
    <xf numFmtId="15" fontId="20" fillId="0" borderId="4" applyAlignment="1" pivotButton="0" quotePrefix="0" xfId="0">
      <alignment horizontal="center" vertical="top" wrapText="1"/>
    </xf>
    <xf numFmtId="15" fontId="35" fillId="0" borderId="4" applyAlignment="1" pivotButton="0" quotePrefix="0" xfId="0">
      <alignment horizontal="center" vertical="top" wrapText="1"/>
    </xf>
    <xf numFmtId="0" fontId="19" fillId="3" borderId="2" applyAlignment="1" pivotButton="0" quotePrefix="0" xfId="0">
      <alignment horizontal="center" vertical="center" shrinkToFit="1"/>
    </xf>
    <xf numFmtId="168" fontId="18" fillId="0" borderId="10" applyAlignment="1" pivotButton="0" quotePrefix="0" xfId="1">
      <alignment horizontal="center" vertical="center" shrinkToFit="1"/>
    </xf>
    <xf numFmtId="165" fontId="20" fillId="7" borderId="4" applyAlignment="1" pivotButton="0" quotePrefix="0" xfId="3">
      <alignment horizontal="right" vertical="center"/>
    </xf>
    <xf numFmtId="0" fontId="20" fillId="7" borderId="4" applyAlignment="1" pivotButton="0" quotePrefix="0" xfId="0">
      <alignment horizontal="center" vertical="center" wrapText="1"/>
    </xf>
    <xf numFmtId="49" fontId="20" fillId="7" borderId="4" applyAlignment="1" pivotButton="0" quotePrefix="0" xfId="0">
      <alignment horizontal="center" vertical="center" wrapText="1"/>
    </xf>
    <xf numFmtId="169" fontId="12" fillId="7" borderId="4" applyAlignment="1" pivotButton="0" quotePrefix="0" xfId="0">
      <alignment horizontal="center" vertical="center"/>
    </xf>
    <xf numFmtId="168" fontId="12" fillId="7" borderId="4" applyAlignment="1" pivotButton="0" quotePrefix="0" xfId="1">
      <alignment horizontal="center" vertical="center"/>
    </xf>
    <xf numFmtId="168" fontId="18" fillId="7" borderId="10" applyAlignment="1" pivotButton="0" quotePrefix="0" xfId="1">
      <alignment horizontal="center" vertical="center" shrinkToFit="1"/>
    </xf>
    <xf numFmtId="165" fontId="20" fillId="7" borderId="4" applyAlignment="1" pivotButton="0" quotePrefix="0" xfId="3">
      <alignment horizontal="right" vertical="top"/>
    </xf>
    <xf numFmtId="49" fontId="26" fillId="7" borderId="4" applyAlignment="1" pivotButton="0" quotePrefix="0" xfId="0">
      <alignment horizontal="center" vertical="top" wrapText="1"/>
    </xf>
    <xf numFmtId="0" fontId="11" fillId="3" borderId="10" applyAlignment="1" pivotButton="0" quotePrefix="0" xfId="0">
      <alignment horizontal="center" vertical="center"/>
    </xf>
    <xf numFmtId="168" fontId="27" fillId="7" borderId="4" applyAlignment="1" pivotButton="0" quotePrefix="0" xfId="1">
      <alignment horizontal="center" vertical="center"/>
    </xf>
    <xf numFmtId="49" fontId="20" fillId="7" borderId="4" applyAlignment="1" pivotButton="0" quotePrefix="0" xfId="0">
      <alignment horizontal="center" vertical="top" wrapText="1"/>
    </xf>
    <xf numFmtId="15" fontId="35" fillId="3" borderId="4" applyAlignment="1" pivotButton="0" quotePrefix="0" xfId="0">
      <alignment horizontal="center" vertical="top" wrapText="1"/>
    </xf>
    <xf numFmtId="49" fontId="18" fillId="7" borderId="4" applyAlignment="1" pivotButton="0" quotePrefix="0" xfId="4">
      <alignment horizontal="center" vertical="center" wrapText="1"/>
    </xf>
    <xf numFmtId="49" fontId="18" fillId="7" borderId="4" applyAlignment="1" pivotButton="0" quotePrefix="0" xfId="0">
      <alignment horizontal="center" vertical="center" wrapText="1"/>
    </xf>
    <xf numFmtId="165" fontId="20" fillId="7" borderId="10" applyAlignment="1" pivotButton="0" quotePrefix="0" xfId="3">
      <alignment horizontal="right" vertical="center"/>
    </xf>
    <xf numFmtId="49" fontId="18" fillId="7" borderId="10" applyAlignment="1" pivotButton="0" quotePrefix="0" xfId="0">
      <alignment horizontal="center" vertical="center" wrapText="1"/>
    </xf>
    <xf numFmtId="164" fontId="21" fillId="7" borderId="4" applyAlignment="1" pivotButton="0" quotePrefix="0" xfId="3">
      <alignment horizontal="right" vertical="center"/>
    </xf>
    <xf numFmtId="167" fontId="8" fillId="7" borderId="4" applyAlignment="1" pivotButton="0" quotePrefix="0" xfId="0">
      <alignment horizontal="left" vertical="center"/>
    </xf>
    <xf numFmtId="167" fontId="8" fillId="7" borderId="4" applyAlignment="1" pivotButton="0" quotePrefix="0" xfId="0">
      <alignment horizontal="center" vertical="center"/>
    </xf>
    <xf numFmtId="168" fontId="18" fillId="7" borderId="4" applyAlignment="1" pivotButton="0" quotePrefix="0" xfId="1">
      <alignment horizontal="center" vertical="center" shrinkToFit="1"/>
    </xf>
    <xf numFmtId="0" fontId="25" fillId="0" borderId="5" applyAlignment="1" pivotButton="0" quotePrefix="0" xfId="0">
      <alignment horizontal="center" vertical="center"/>
    </xf>
    <xf numFmtId="0" fontId="25" fillId="0" borderId="3" applyAlignment="1" pivotButton="0" quotePrefix="0" xfId="0">
      <alignment horizontal="center" vertical="center" shrinkToFit="1"/>
    </xf>
    <xf numFmtId="0" fontId="29" fillId="0" borderId="2" applyAlignment="1" pivotButton="0" quotePrefix="0" xfId="0">
      <alignment horizontal="center" vertical="center" shrinkToFit="1"/>
    </xf>
    <xf numFmtId="164" fontId="28" fillId="7" borderId="4" applyAlignment="1" pivotButton="0" quotePrefix="0" xfId="3">
      <alignment horizontal="right" vertical="center"/>
    </xf>
    <xf numFmtId="0" fontId="37" fillId="0" borderId="2" applyAlignment="1" pivotButton="0" quotePrefix="0" xfId="0">
      <alignment horizontal="center" vertical="center" shrinkToFit="1"/>
    </xf>
    <xf numFmtId="0" fontId="29" fillId="0" borderId="4" applyAlignment="1" pivotButton="0" quotePrefix="0" xfId="0">
      <alignment horizontal="center" vertical="center" shrinkToFit="1"/>
    </xf>
    <xf numFmtId="3" fontId="11" fillId="0" borderId="4" pivotButton="0" quotePrefix="0" xfId="0"/>
    <xf numFmtId="0" fontId="25" fillId="0" borderId="4" applyAlignment="1" pivotButton="0" quotePrefix="0" xfId="0">
      <alignment horizontal="center" vertical="center"/>
    </xf>
    <xf numFmtId="168" fontId="11" fillId="0" borderId="4" pivotButton="0" quotePrefix="0" xfId="1"/>
    <xf numFmtId="168" fontId="11" fillId="7" borderId="4" pivotButton="0" quotePrefix="0" xfId="1"/>
    <xf numFmtId="0" fontId="25" fillId="7" borderId="4" applyAlignment="1" pivotButton="0" quotePrefix="0" xfId="0">
      <alignment horizontal="center" vertical="center"/>
    </xf>
    <xf numFmtId="0" fontId="39" fillId="0" borderId="0" applyAlignment="1" pivotButton="0" quotePrefix="0" xfId="8">
      <alignment horizontal="center"/>
    </xf>
    <xf numFmtId="0" fontId="40" fillId="0" borderId="0" pivotButton="0" quotePrefix="0" xfId="8"/>
    <xf numFmtId="0" fontId="40" fillId="0" borderId="0" applyAlignment="1" pivotButton="0" quotePrefix="0" xfId="8">
      <alignment vertical="center"/>
    </xf>
    <xf numFmtId="0" fontId="42" fillId="0" borderId="0" applyAlignment="1" pivotButton="0" quotePrefix="0" xfId="8">
      <alignment horizontal="left"/>
    </xf>
    <xf numFmtId="0" fontId="41" fillId="0" borderId="0" pivotButton="0" quotePrefix="0" xfId="8"/>
    <xf numFmtId="0" fontId="41" fillId="0" borderId="0" applyAlignment="1" pivotButton="0" quotePrefix="0" xfId="8">
      <alignment horizontal="center"/>
    </xf>
    <xf numFmtId="0" fontId="38" fillId="0" borderId="0" applyAlignment="1" pivotButton="0" quotePrefix="0" xfId="8">
      <alignment horizontal="center"/>
    </xf>
    <xf numFmtId="0" fontId="38" fillId="0" borderId="0" applyAlignment="1" pivotButton="0" quotePrefix="0" xfId="8">
      <alignment vertical="center"/>
    </xf>
    <xf numFmtId="0" fontId="43" fillId="0" borderId="0" applyAlignment="1" pivotButton="0" quotePrefix="0" xfId="8">
      <alignment horizontal="left" vertical="center"/>
    </xf>
    <xf numFmtId="0" fontId="8" fillId="0" borderId="0" applyAlignment="1" pivotButton="0" quotePrefix="0" xfId="8">
      <alignment vertical="center"/>
    </xf>
    <xf numFmtId="0" fontId="9" fillId="0" borderId="0" applyAlignment="1" pivotButton="0" quotePrefix="0" xfId="8">
      <alignment vertical="center"/>
    </xf>
    <xf numFmtId="0" fontId="44" fillId="0" borderId="0" applyAlignment="1" pivotButton="0" quotePrefix="0" xfId="8">
      <alignment vertical="center"/>
    </xf>
    <xf numFmtId="0" fontId="45" fillId="0" borderId="0" pivotButton="0" quotePrefix="0" xfId="8"/>
    <xf numFmtId="0" fontId="46" fillId="0" borderId="0" applyAlignment="1" pivotButton="0" quotePrefix="0" xfId="8">
      <alignment vertical="center"/>
    </xf>
    <xf numFmtId="0" fontId="13" fillId="0" borderId="0" applyAlignment="1" pivotButton="0" quotePrefix="0" xfId="8">
      <alignment vertical="center"/>
    </xf>
    <xf numFmtId="0" fontId="47" fillId="0" borderId="0" applyAlignment="1" pivotButton="0" quotePrefix="0" xfId="8">
      <alignment horizontal="center" vertical="center"/>
    </xf>
    <xf numFmtId="0" fontId="47" fillId="0" borderId="0" applyAlignment="1" pivotButton="0" quotePrefix="0" xfId="8">
      <alignment vertical="center"/>
    </xf>
    <xf numFmtId="0" fontId="48" fillId="0" borderId="0" applyAlignment="1" pivotButton="0" quotePrefix="0" xfId="8">
      <alignment vertical="center"/>
    </xf>
    <xf numFmtId="0" fontId="49" fillId="0" borderId="0" applyAlignment="1" pivotButton="0" quotePrefix="0" xfId="8">
      <alignment vertical="center"/>
    </xf>
    <xf numFmtId="0" fontId="13" fillId="0" borderId="0" applyAlignment="1" pivotButton="0" quotePrefix="0" xfId="8">
      <alignment horizontal="center"/>
    </xf>
    <xf numFmtId="0" fontId="45" fillId="0" borderId="0" applyAlignment="1" pivotButton="0" quotePrefix="0" xfId="8">
      <alignment horizontal="center"/>
    </xf>
    <xf numFmtId="0" fontId="45" fillId="0" borderId="0" applyAlignment="1" pivotButton="0" quotePrefix="0" xfId="8">
      <alignment vertical="center"/>
    </xf>
    <xf numFmtId="0" fontId="51" fillId="0" borderId="23" applyAlignment="1" pivotButton="0" quotePrefix="0" xfId="8">
      <alignment vertical="center"/>
    </xf>
    <xf numFmtId="0" fontId="52" fillId="0" borderId="24" applyAlignment="1" pivotButton="0" quotePrefix="0" xfId="8">
      <alignment horizontal="center"/>
    </xf>
    <xf numFmtId="0" fontId="52" fillId="0" borderId="10" applyAlignment="1" pivotButton="0" quotePrefix="0" xfId="8">
      <alignment horizontal="center"/>
    </xf>
    <xf numFmtId="43" fontId="52" fillId="0" borderId="4" pivotButton="0" quotePrefix="0" xfId="9"/>
    <xf numFmtId="0" fontId="52" fillId="0" borderId="15" applyAlignment="1" pivotButton="0" quotePrefix="0" xfId="8">
      <alignment horizontal="center"/>
    </xf>
    <xf numFmtId="170" fontId="52" fillId="0" borderId="25" applyAlignment="1" pivotButton="0" quotePrefix="0" xfId="8">
      <alignment vertical="center"/>
    </xf>
    <xf numFmtId="0" fontId="52" fillId="0" borderId="5" applyAlignment="1" pivotButton="0" quotePrefix="0" xfId="8">
      <alignment vertical="center"/>
    </xf>
    <xf numFmtId="0" fontId="54" fillId="0" borderId="5" applyAlignment="1" pivotButton="0" quotePrefix="0" xfId="8">
      <alignment horizontal="center"/>
    </xf>
    <xf numFmtId="0" fontId="52" fillId="0" borderId="5" pivotButton="0" quotePrefix="0" xfId="8"/>
    <xf numFmtId="0" fontId="52" fillId="0" borderId="4" applyAlignment="1" pivotButton="0" quotePrefix="0" xfId="8">
      <alignment horizontal="center" vertical="center"/>
    </xf>
    <xf numFmtId="170" fontId="52" fillId="0" borderId="26" applyAlignment="1" pivotButton="0" quotePrefix="0" xfId="8">
      <alignment vertical="center"/>
    </xf>
    <xf numFmtId="0" fontId="52" fillId="0" borderId="3" applyAlignment="1" pivotButton="0" quotePrefix="0" xfId="8">
      <alignment vertical="center"/>
    </xf>
    <xf numFmtId="0" fontId="55" fillId="0" borderId="3" applyAlignment="1" pivotButton="0" quotePrefix="0" xfId="8">
      <alignment horizontal="center"/>
    </xf>
    <xf numFmtId="0" fontId="52" fillId="0" borderId="3" pivotButton="0" quotePrefix="0" xfId="8"/>
    <xf numFmtId="0" fontId="52" fillId="0" borderId="5" applyAlignment="1" pivotButton="0" quotePrefix="0" xfId="8">
      <alignment horizontal="center" vertical="center"/>
    </xf>
    <xf numFmtId="0" fontId="52" fillId="0" borderId="4" applyAlignment="1" pivotButton="0" quotePrefix="0" xfId="8">
      <alignment horizontal="center"/>
    </xf>
    <xf numFmtId="0" fontId="56" fillId="0" borderId="16" applyAlignment="1" pivotButton="0" quotePrefix="0" xfId="8">
      <alignment horizontal="center"/>
    </xf>
    <xf numFmtId="166" fontId="30" fillId="0" borderId="13" applyAlignment="1" pivotButton="0" quotePrefix="0" xfId="8">
      <alignment horizontal="center"/>
    </xf>
    <xf numFmtId="49" fontId="30" fillId="5" borderId="4" applyAlignment="1" pivotButton="0" quotePrefix="0" xfId="8">
      <alignment horizontal="center" vertical="center"/>
    </xf>
    <xf numFmtId="0" fontId="30" fillId="0" borderId="4" applyAlignment="1" pivotButton="0" quotePrefix="0" xfId="8">
      <alignment vertical="center"/>
    </xf>
    <xf numFmtId="0" fontId="30" fillId="0" borderId="4" applyAlignment="1" pivotButton="0" quotePrefix="0" xfId="8">
      <alignment horizontal="left" vertical="center"/>
    </xf>
    <xf numFmtId="0" fontId="57" fillId="0" borderId="14" applyAlignment="1" pivotButton="0" quotePrefix="0" xfId="8">
      <alignment horizontal="left" vertical="distributed"/>
    </xf>
    <xf numFmtId="168" fontId="30" fillId="0" borderId="14" pivotButton="0" quotePrefix="0" xfId="9"/>
    <xf numFmtId="0" fontId="30" fillId="0" borderId="9" applyAlignment="1" pivotButton="0" quotePrefix="0" xfId="8">
      <alignment horizontal="center"/>
    </xf>
    <xf numFmtId="0" fontId="52" fillId="0" borderId="4" applyAlignment="1" pivotButton="0" quotePrefix="0" xfId="8">
      <alignment vertical="center"/>
    </xf>
    <xf numFmtId="168" fontId="30" fillId="0" borderId="4" applyAlignment="1" pivotButton="0" quotePrefix="0" xfId="9">
      <alignment horizontal="center" vertical="center"/>
    </xf>
    <xf numFmtId="168" fontId="30" fillId="0" borderId="27" applyAlignment="1" pivotButton="0" quotePrefix="0" xfId="9">
      <alignment horizontal="center" vertical="center"/>
    </xf>
    <xf numFmtId="49" fontId="30" fillId="0" borderId="4" applyAlignment="1" pivotButton="0" quotePrefix="0" xfId="8">
      <alignment horizontal="center" vertical="center"/>
    </xf>
    <xf numFmtId="0" fontId="58" fillId="0" borderId="4" applyAlignment="1" pivotButton="0" quotePrefix="0" xfId="8">
      <alignment horizontal="center" vertical="center"/>
    </xf>
    <xf numFmtId="43" fontId="30" fillId="0" borderId="14" pivotButton="0" quotePrefix="0" xfId="9"/>
    <xf numFmtId="41" fontId="54" fillId="0" borderId="4" applyAlignment="1" pivotButton="0" quotePrefix="0" xfId="8">
      <alignment horizontal="center" vertical="center"/>
    </xf>
    <xf numFmtId="168" fontId="54" fillId="0" borderId="4" applyAlignment="1" pivotButton="0" quotePrefix="0" xfId="9">
      <alignment horizontal="center" vertical="center"/>
    </xf>
    <xf numFmtId="43" fontId="55" fillId="0" borderId="4" applyAlignment="1" pivotButton="0" quotePrefix="0" xfId="9">
      <alignment horizontal="center" vertical="center"/>
    </xf>
    <xf numFmtId="168" fontId="58" fillId="0" borderId="27" applyAlignment="1" pivotButton="0" quotePrefix="0" xfId="9">
      <alignment horizontal="center" vertical="center"/>
    </xf>
    <xf numFmtId="0" fontId="59" fillId="0" borderId="0" applyAlignment="1" pivotButton="0" quotePrefix="0" xfId="8">
      <alignment vertical="center"/>
    </xf>
    <xf numFmtId="0" fontId="58" fillId="0" borderId="29" applyAlignment="1" pivotButton="0" quotePrefix="0" xfId="8">
      <alignment horizontal="center" vertical="center"/>
    </xf>
    <xf numFmtId="168" fontId="58" fillId="0" borderId="30" applyAlignment="1" pivotButton="0" quotePrefix="0" xfId="9">
      <alignment vertical="center"/>
    </xf>
    <xf numFmtId="168" fontId="58" fillId="0" borderId="31" applyAlignment="1" pivotButton="0" quotePrefix="0" xfId="9">
      <alignment vertical="center"/>
    </xf>
    <xf numFmtId="43" fontId="54" fillId="0" borderId="32" applyAlignment="1" pivotButton="0" quotePrefix="0" xfId="9">
      <alignment horizontal="center" vertical="center"/>
    </xf>
    <xf numFmtId="164" fontId="54" fillId="0" borderId="32" applyAlignment="1" pivotButton="0" quotePrefix="0" xfId="10">
      <alignment horizontal="center" vertical="center"/>
    </xf>
    <xf numFmtId="164" fontId="55" fillId="0" borderId="32" applyAlignment="1" pivotButton="0" quotePrefix="0" xfId="10">
      <alignment horizontal="center" vertical="center"/>
    </xf>
    <xf numFmtId="164" fontId="54" fillId="0" borderId="33" applyAlignment="1" pivotButton="0" quotePrefix="0" xfId="10">
      <alignment horizontal="center" vertical="center"/>
    </xf>
    <xf numFmtId="170" fontId="55" fillId="0" borderId="0" applyAlignment="1" pivotButton="0" quotePrefix="0" xfId="8">
      <alignment horizontal="center"/>
    </xf>
    <xf numFmtId="0" fontId="55" fillId="0" borderId="0" applyAlignment="1" pivotButton="0" quotePrefix="0" xfId="8">
      <alignment horizontal="center"/>
    </xf>
    <xf numFmtId="168" fontId="55" fillId="0" borderId="0" applyAlignment="1" pivotButton="0" quotePrefix="0" xfId="9">
      <alignment horizontal="center"/>
    </xf>
    <xf numFmtId="43" fontId="55" fillId="0" borderId="0" applyAlignment="1" pivotButton="0" quotePrefix="0" xfId="9">
      <alignment horizontal="center"/>
    </xf>
    <xf numFmtId="0" fontId="60" fillId="0" borderId="0" applyAlignment="1" pivotButton="0" quotePrefix="0" xfId="8">
      <alignment horizontal="center"/>
    </xf>
    <xf numFmtId="170" fontId="55" fillId="0" borderId="0" applyAlignment="1" pivotButton="0" quotePrefix="0" xfId="8">
      <alignment vertical="center"/>
    </xf>
    <xf numFmtId="0" fontId="55" fillId="0" borderId="0" applyAlignment="1" pivotButton="0" quotePrefix="0" xfId="8">
      <alignment vertical="center"/>
    </xf>
    <xf numFmtId="168" fontId="55" fillId="0" borderId="0" pivotButton="0" quotePrefix="0" xfId="9"/>
    <xf numFmtId="0" fontId="62" fillId="0" borderId="0" applyAlignment="1" pivotButton="0" quotePrefix="0" xfId="8">
      <alignment vertical="center"/>
    </xf>
    <xf numFmtId="170" fontId="62" fillId="0" borderId="0" applyAlignment="1" pivotButton="0" quotePrefix="0" xfId="8">
      <alignment vertical="center"/>
    </xf>
    <xf numFmtId="168" fontId="62" fillId="0" borderId="0" pivotButton="0" quotePrefix="0" xfId="9"/>
    <xf numFmtId="168" fontId="42" fillId="0" borderId="0" applyAlignment="1" pivotButton="0" quotePrefix="0" xfId="9">
      <alignment vertical="center"/>
    </xf>
    <xf numFmtId="168" fontId="64" fillId="0" borderId="0" pivotButton="0" quotePrefix="0" xfId="11"/>
    <xf numFmtId="0" fontId="65" fillId="0" borderId="0" pivotButton="0" quotePrefix="0" xfId="11"/>
    <xf numFmtId="171" fontId="67" fillId="0" borderId="0" applyAlignment="1" pivotButton="0" quotePrefix="0" xfId="12">
      <alignment vertical="center"/>
    </xf>
    <xf numFmtId="168" fontId="62" fillId="0" borderId="0" applyAlignment="1" pivotButton="0" quotePrefix="0" xfId="8">
      <alignment vertical="center"/>
    </xf>
    <xf numFmtId="0" fontId="65" fillId="0" borderId="0" applyAlignment="1" pivotButton="0" quotePrefix="0" xfId="11">
      <alignment horizontal="center"/>
    </xf>
    <xf numFmtId="43" fontId="0" fillId="0" borderId="0" applyAlignment="1" pivotButton="0" quotePrefix="0" xfId="9">
      <alignment vertical="center"/>
    </xf>
    <xf numFmtId="0" fontId="4" fillId="0" borderId="0" applyAlignment="1" pivotButton="0" quotePrefix="0" xfId="8">
      <alignment vertical="center"/>
    </xf>
    <xf numFmtId="168" fontId="0" fillId="0" borderId="0" pivotButton="0" quotePrefix="0" xfId="9"/>
    <xf numFmtId="43" fontId="62" fillId="0" borderId="0" pivotButton="0" quotePrefix="0" xfId="9"/>
    <xf numFmtId="168" fontId="62" fillId="0" borderId="0" pivotButton="0" quotePrefix="0" xfId="9"/>
    <xf numFmtId="43" fontId="62" fillId="0" borderId="0" applyAlignment="1" pivotButton="0" quotePrefix="0" xfId="8">
      <alignment vertical="center"/>
    </xf>
    <xf numFmtId="0" fontId="68" fillId="0" borderId="0" pivotButton="0" quotePrefix="0" xfId="11"/>
    <xf numFmtId="0" fontId="69" fillId="0" borderId="0" pivotButton="0" quotePrefix="0" xfId="11"/>
    <xf numFmtId="0" fontId="70" fillId="0" borderId="0" pivotButton="0" quotePrefix="0" xfId="11"/>
    <xf numFmtId="43" fontId="59" fillId="0" borderId="0" applyAlignment="1" pivotButton="0" quotePrefix="0" xfId="9">
      <alignment horizontal="right"/>
    </xf>
    <xf numFmtId="168" fontId="59" fillId="0" borderId="0" pivotButton="0" quotePrefix="0" xfId="9"/>
    <xf numFmtId="43" fontId="59" fillId="0" borderId="0" pivotButton="0" quotePrefix="0" xfId="9"/>
    <xf numFmtId="168" fontId="59" fillId="0" borderId="0" applyAlignment="1" pivotButton="0" quotePrefix="0" xfId="9">
      <alignment horizontal="right"/>
    </xf>
    <xf numFmtId="3" fontId="13" fillId="0" borderId="0" pivotButton="0" quotePrefix="0" xfId="9"/>
    <xf numFmtId="168" fontId="59" fillId="0" borderId="0" applyAlignment="1" pivotButton="0" quotePrefix="0" xfId="9">
      <alignment vertical="center"/>
    </xf>
    <xf numFmtId="168" fontId="59" fillId="0" borderId="0" applyAlignment="1" pivotButton="0" quotePrefix="0" xfId="9">
      <alignment horizontal="right"/>
    </xf>
    <xf numFmtId="168" fontId="59" fillId="0" borderId="0" pivotButton="0" quotePrefix="0" xfId="9"/>
    <xf numFmtId="168" fontId="59" fillId="0" borderId="0" applyAlignment="1" pivotButton="0" quotePrefix="0" xfId="8">
      <alignment vertical="center"/>
    </xf>
    <xf numFmtId="168" fontId="52" fillId="0" borderId="4" pivotButton="0" quotePrefix="0" xfId="9"/>
    <xf numFmtId="168" fontId="52" fillId="0" borderId="3" pivotButton="0" quotePrefix="0" xfId="9"/>
    <xf numFmtId="0" fontId="52" fillId="0" borderId="3" applyAlignment="1" pivotButton="0" quotePrefix="0" xfId="8">
      <alignment horizontal="center" vertical="center"/>
    </xf>
    <xf numFmtId="168" fontId="58" fillId="0" borderId="4" applyAlignment="1" pivotButton="0" quotePrefix="0" xfId="9">
      <alignment horizontal="center" vertical="center"/>
    </xf>
    <xf numFmtId="168" fontId="58" fillId="0" borderId="32" applyAlignment="1" pivotButton="0" quotePrefix="0" xfId="9">
      <alignment horizontal="center" vertical="center"/>
    </xf>
    <xf numFmtId="171" fontId="67" fillId="0" borderId="0" applyAlignment="1" pivotButton="0" quotePrefix="0" xfId="16">
      <alignment vertical="center"/>
    </xf>
    <xf numFmtId="171" fontId="67" fillId="0" borderId="0" applyAlignment="1" pivotButton="0" quotePrefix="0" xfId="17">
      <alignment vertical="center"/>
    </xf>
    <xf numFmtId="168" fontId="72" fillId="0" borderId="0" applyAlignment="1" pivotButton="0" quotePrefix="0" xfId="8">
      <alignment horizontal="left" vertical="center"/>
    </xf>
    <xf numFmtId="168" fontId="59" fillId="0" borderId="0" pivotButton="0" quotePrefix="0" xfId="1"/>
    <xf numFmtId="168" fontId="59" fillId="0" borderId="0" applyAlignment="1" pivotButton="0" quotePrefix="0" xfId="1">
      <alignment vertical="center"/>
    </xf>
    <xf numFmtId="168" fontId="59" fillId="0" borderId="0" applyAlignment="1" pivotButton="0" quotePrefix="0" xfId="1">
      <alignment horizontal="right"/>
    </xf>
    <xf numFmtId="168" fontId="59" fillId="0" borderId="34" applyAlignment="1" pivotButton="0" quotePrefix="0" xfId="1">
      <alignment horizontal="right"/>
    </xf>
    <xf numFmtId="0" fontId="33" fillId="0" borderId="0" pivotButton="0" quotePrefix="0" xfId="0"/>
    <xf numFmtId="0" fontId="5" fillId="0" borderId="0" pivotButton="0" quotePrefix="0" xfId="0"/>
    <xf numFmtId="0" fontId="25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75" fillId="0" borderId="0" applyAlignment="1" pivotButton="0" quotePrefix="0" xfId="26">
      <alignment vertical="center"/>
    </xf>
    <xf numFmtId="0" fontId="75" fillId="0" borderId="0" applyAlignment="1" pivotButton="0" quotePrefix="0" xfId="0">
      <alignment horizontal="right" vertic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top"/>
    </xf>
    <xf numFmtId="0" fontId="76" fillId="0" borderId="0" applyAlignment="1" pivotButton="0" quotePrefix="0" xfId="0">
      <alignment horizontal="right" vertical="top"/>
    </xf>
    <xf numFmtId="0" fontId="77" fillId="0" borderId="0" pivotButton="0" quotePrefix="0" xfId="0"/>
    <xf numFmtId="168" fontId="76" fillId="0" borderId="0" applyAlignment="1" pivotButton="0" quotePrefix="0" xfId="1">
      <alignment horizontal="right" vertical="center" wrapText="1"/>
    </xf>
    <xf numFmtId="168" fontId="76" fillId="0" borderId="0" applyAlignment="1" pivotButton="0" quotePrefix="0" xfId="1">
      <alignment horizontal="right" vertical="center"/>
    </xf>
    <xf numFmtId="0" fontId="76" fillId="0" borderId="0" applyAlignment="1" pivotButton="0" quotePrefix="0" xfId="0">
      <alignment horizontal="left" vertical="center"/>
    </xf>
    <xf numFmtId="172" fontId="76" fillId="0" borderId="0" applyAlignment="1" pivotButton="0" quotePrefix="0" xfId="0">
      <alignment horizontal="left"/>
    </xf>
    <xf numFmtId="168" fontId="76" fillId="0" borderId="1" applyAlignment="1" pivotButton="0" quotePrefix="0" xfId="1">
      <alignment horizontal="right" vertical="center"/>
    </xf>
    <xf numFmtId="173" fontId="76" fillId="0" borderId="0" pivotButton="0" quotePrefix="0" xfId="1"/>
    <xf numFmtId="0" fontId="78" fillId="8" borderId="4" applyAlignment="1" pivotButton="0" quotePrefix="0" xfId="26">
      <alignment horizontal="center" vertical="center"/>
    </xf>
    <xf numFmtId="168" fontId="78" fillId="8" borderId="4" applyAlignment="1" pivotButton="0" quotePrefix="0" xfId="27">
      <alignment horizontal="center" vertical="center"/>
    </xf>
    <xf numFmtId="0" fontId="75" fillId="0" borderId="4" applyAlignment="1" pivotButton="0" quotePrefix="0" xfId="26">
      <alignment horizontal="center" vertical="center"/>
    </xf>
    <xf numFmtId="0" fontId="75" fillId="0" borderId="4" applyAlignment="1" pivotButton="0" quotePrefix="0" xfId="26">
      <alignment vertical="center"/>
    </xf>
    <xf numFmtId="0" fontId="76" fillId="0" borderId="4" applyAlignment="1" pivotButton="0" quotePrefix="0" xfId="26">
      <alignment horizontal="left" vertical="center"/>
    </xf>
    <xf numFmtId="0" fontId="76" fillId="0" borderId="4" applyAlignment="1" pivotButton="0" quotePrefix="0" xfId="26">
      <alignment horizontal="center" vertical="center"/>
    </xf>
    <xf numFmtId="43" fontId="76" fillId="0" borderId="4" applyAlignment="1" pivotButton="0" quotePrefix="0" xfId="21">
      <alignment vertical="center"/>
    </xf>
    <xf numFmtId="168" fontId="75" fillId="0" borderId="4" applyAlignment="1" pivotButton="0" quotePrefix="0" xfId="27">
      <alignment vertical="center"/>
    </xf>
    <xf numFmtId="3" fontId="75" fillId="0" borderId="0" applyAlignment="1" pivotButton="0" quotePrefix="0" xfId="26">
      <alignment vertical="center"/>
    </xf>
    <xf numFmtId="169" fontId="76" fillId="0" borderId="4" applyAlignment="1" pivotButton="0" quotePrefix="0" xfId="23">
      <alignment horizontal="center" vertical="center"/>
    </xf>
    <xf numFmtId="0" fontId="76" fillId="3" borderId="4" applyAlignment="1" pivotButton="0" quotePrefix="0" xfId="26">
      <alignment horizontal="left" vertical="center"/>
    </xf>
    <xf numFmtId="0" fontId="76" fillId="3" borderId="4" applyAlignment="1" pivotButton="0" quotePrefix="0" xfId="26">
      <alignment horizontal="center" vertical="center"/>
    </xf>
    <xf numFmtId="174" fontId="76" fillId="3" borderId="4" applyAlignment="1" pivotButton="0" quotePrefix="0" xfId="26">
      <alignment horizontal="center" vertical="center" wrapText="1"/>
    </xf>
    <xf numFmtId="175" fontId="76" fillId="3" borderId="4" applyAlignment="1" pivotButton="0" quotePrefix="0" xfId="26">
      <alignment horizontal="center" vertical="center"/>
    </xf>
    <xf numFmtId="168" fontId="76" fillId="0" borderId="4" applyAlignment="1" pivotButton="0" quotePrefix="0" xfId="27">
      <alignment vertical="center"/>
    </xf>
    <xf numFmtId="168" fontId="75" fillId="0" borderId="4" pivotButton="0" quotePrefix="0" xfId="27"/>
    <xf numFmtId="0" fontId="80" fillId="0" borderId="4" applyAlignment="1" pivotButton="0" quotePrefix="0" xfId="26">
      <alignment vertical="center"/>
    </xf>
    <xf numFmtId="173" fontId="80" fillId="0" borderId="4" applyAlignment="1" pivotButton="0" quotePrefix="0" xfId="27">
      <alignment vertical="center"/>
    </xf>
    <xf numFmtId="0" fontId="75" fillId="0" borderId="0" applyAlignment="1" pivotButton="0" quotePrefix="0" xfId="26">
      <alignment horizontal="center" vertical="center"/>
    </xf>
    <xf numFmtId="168" fontId="76" fillId="0" borderId="0" applyAlignment="1" pivotButton="0" quotePrefix="0" xfId="27">
      <alignment vertical="center"/>
    </xf>
    <xf numFmtId="0" fontId="81" fillId="0" borderId="0" applyAlignment="1" pivotButton="0" quotePrefix="0" xfId="26">
      <alignment vertical="center"/>
    </xf>
    <xf numFmtId="0" fontId="81" fillId="0" borderId="0" pivotButton="0" quotePrefix="0" xfId="26"/>
    <xf numFmtId="0" fontId="82" fillId="0" borderId="0" applyAlignment="1" pivotButton="0" quotePrefix="0" xfId="26">
      <alignment horizontal="center" vertical="center"/>
    </xf>
    <xf numFmtId="173" fontId="81" fillId="0" borderId="0" pivotButton="0" quotePrefix="0" xfId="26"/>
    <xf numFmtId="43" fontId="82" fillId="0" borderId="0" pivotButton="0" quotePrefix="0" xfId="27"/>
    <xf numFmtId="0" fontId="75" fillId="0" borderId="1" applyAlignment="1" pivotButton="0" quotePrefix="0" xfId="26">
      <alignment vertical="center"/>
    </xf>
    <xf numFmtId="0" fontId="75" fillId="0" borderId="0" pivotButton="0" quotePrefix="0" xfId="26"/>
    <xf numFmtId="0" fontId="75" fillId="0" borderId="4" applyAlignment="1" pivotButton="0" quotePrefix="0" xfId="26">
      <alignment vertical="center" wrapText="1"/>
    </xf>
    <xf numFmtId="173" fontId="75" fillId="0" borderId="4" applyAlignment="1" pivotButton="0" quotePrefix="0" xfId="27">
      <alignment vertical="center"/>
    </xf>
    <xf numFmtId="0" fontId="75" fillId="0" borderId="0" applyAlignment="1" pivotButton="0" quotePrefix="0" xfId="26">
      <alignment vertical="center" wrapText="1"/>
    </xf>
    <xf numFmtId="0" fontId="75" fillId="4" borderId="4" applyAlignment="1" pivotButton="0" quotePrefix="0" xfId="26">
      <alignment vertical="center"/>
    </xf>
    <xf numFmtId="173" fontId="75" fillId="4" borderId="4" applyAlignment="1" pivotButton="0" quotePrefix="0" xfId="27">
      <alignment vertical="center"/>
    </xf>
    <xf numFmtId="0" fontId="80" fillId="0" borderId="4" applyAlignment="1" pivotButton="0" quotePrefix="0" xfId="26">
      <alignment horizontal="center" vertical="center" wrapText="1"/>
    </xf>
    <xf numFmtId="173" fontId="75" fillId="0" borderId="4" applyAlignment="1" pivotButton="0" quotePrefix="0" xfId="27">
      <alignment vertical="center"/>
    </xf>
    <xf numFmtId="0" fontId="80" fillId="4" borderId="4" applyAlignment="1" pivotButton="0" quotePrefix="0" xfId="26">
      <alignment vertical="center"/>
    </xf>
    <xf numFmtId="173" fontId="80" fillId="4" borderId="4" applyAlignment="1" pivotButton="0" quotePrefix="0" xfId="27">
      <alignment vertical="center"/>
    </xf>
    <xf numFmtId="168" fontId="80" fillId="0" borderId="4" applyAlignment="1" pivotButton="0" quotePrefix="0" xfId="26">
      <alignment horizontal="center" vertical="center"/>
    </xf>
    <xf numFmtId="173" fontId="75" fillId="0" borderId="4" applyAlignment="1" pivotButton="0" quotePrefix="0" xfId="26">
      <alignment vertical="center"/>
    </xf>
    <xf numFmtId="0" fontId="82" fillId="8" borderId="4" applyAlignment="1" pivotButton="0" quotePrefix="0" xfId="0">
      <alignment horizontal="center" vertical="center"/>
    </xf>
    <xf numFmtId="0" fontId="84" fillId="0" borderId="0" pivotButton="0" quotePrefix="0" xfId="0"/>
    <xf numFmtId="168" fontId="76" fillId="0" borderId="4" applyAlignment="1" pivotButton="0" quotePrefix="0" xfId="1">
      <alignment horizontal="center" vertical="center"/>
    </xf>
    <xf numFmtId="0" fontId="82" fillId="0" borderId="0" pivotButton="0" quotePrefix="0" xfId="0"/>
    <xf numFmtId="0" fontId="75" fillId="0" borderId="0" applyAlignment="1" pivotButton="0" quotePrefix="0" xfId="0">
      <alignment horizontal="left" vertical="center"/>
    </xf>
    <xf numFmtId="168" fontId="76" fillId="0" borderId="0" applyAlignment="1" pivotButton="0" quotePrefix="0" xfId="1">
      <alignment horizontal="center" vertical="center" wrapText="1"/>
    </xf>
    <xf numFmtId="0" fontId="86" fillId="0" borderId="0" pivotButton="0" quotePrefix="0" xfId="0"/>
    <xf numFmtId="0" fontId="84" fillId="0" borderId="0" applyAlignment="1" pivotButton="0" quotePrefix="0" xfId="0">
      <alignment horizontal="right"/>
    </xf>
    <xf numFmtId="15" fontId="84" fillId="0" borderId="0" pivotButton="0" quotePrefix="0" xfId="0"/>
    <xf numFmtId="3" fontId="75" fillId="0" borderId="0" pivotButton="0" quotePrefix="0" xfId="30"/>
    <xf numFmtId="3" fontId="75" fillId="0" borderId="0" applyAlignment="1" pivotButton="0" quotePrefix="0" xfId="30">
      <alignment horizontal="right"/>
    </xf>
    <xf numFmtId="0" fontId="75" fillId="0" borderId="0" pivotButton="0" quotePrefix="0" xfId="30"/>
    <xf numFmtId="0" fontId="75" fillId="0" borderId="0" applyAlignment="1" pivotButton="0" quotePrefix="0" xfId="30">
      <alignment horizontal="right"/>
    </xf>
    <xf numFmtId="0" fontId="88" fillId="0" borderId="0" applyAlignment="1" pivotButton="0" quotePrefix="0" xfId="4">
      <alignment vertical="center"/>
    </xf>
    <xf numFmtId="168" fontId="88" fillId="0" borderId="0" applyAlignment="1" pivotButton="0" quotePrefix="0" xfId="1">
      <alignment vertical="center"/>
    </xf>
    <xf numFmtId="0" fontId="89" fillId="0" borderId="0" pivotButton="0" quotePrefix="0" xfId="0"/>
    <xf numFmtId="0" fontId="90" fillId="0" borderId="0" applyAlignment="1" pivotButton="0" quotePrefix="0" xfId="0">
      <alignment horizontal="left" vertical="center"/>
    </xf>
    <xf numFmtId="0" fontId="88" fillId="0" borderId="0" applyAlignment="1" pivotButton="0" quotePrefix="0" xfId="0">
      <alignment vertical="center"/>
    </xf>
    <xf numFmtId="0" fontId="88" fillId="0" borderId="0" applyAlignment="1" pivotButton="0" quotePrefix="0" xfId="0">
      <alignment vertical="top"/>
    </xf>
    <xf numFmtId="0" fontId="88" fillId="0" borderId="0" applyAlignment="1" pivotButton="0" quotePrefix="0" xfId="0">
      <alignment horizontal="right" vertical="top"/>
    </xf>
    <xf numFmtId="168" fontId="88" fillId="0" borderId="0" applyAlignment="1" pivotButton="0" quotePrefix="0" xfId="1">
      <alignment horizontal="center" vertical="center" wrapText="1"/>
    </xf>
    <xf numFmtId="168" fontId="88" fillId="0" borderId="0" applyAlignment="1" pivotButton="0" quotePrefix="0" xfId="1">
      <alignment horizontal="right" vertical="center"/>
    </xf>
    <xf numFmtId="0" fontId="88" fillId="0" borderId="0" applyAlignment="1" pivotButton="0" quotePrefix="0" xfId="0">
      <alignment horizontal="left" vertical="center"/>
    </xf>
    <xf numFmtId="168" fontId="88" fillId="0" borderId="0" applyAlignment="1" pivotButton="0" quotePrefix="0" xfId="1">
      <alignment vertical="top" wrapText="1"/>
    </xf>
    <xf numFmtId="172" fontId="88" fillId="0" borderId="0" applyAlignment="1" pivotButton="0" quotePrefix="0" xfId="0">
      <alignment horizontal="left"/>
    </xf>
    <xf numFmtId="168" fontId="88" fillId="0" borderId="1" applyAlignment="1" pivotButton="0" quotePrefix="0" xfId="1">
      <alignment vertical="center"/>
    </xf>
    <xf numFmtId="173" fontId="88" fillId="0" borderId="0" pivotButton="0" quotePrefix="0" xfId="1"/>
    <xf numFmtId="0" fontId="90" fillId="0" borderId="0" applyAlignment="1" pivotButton="0" quotePrefix="0" xfId="26">
      <alignment vertical="center"/>
    </xf>
    <xf numFmtId="0" fontId="90" fillId="0" borderId="0" applyAlignment="1" pivotButton="0" quotePrefix="0" xfId="0">
      <alignment horizontal="right" vertical="center"/>
    </xf>
    <xf numFmtId="168" fontId="88" fillId="0" borderId="0" applyAlignment="1" pivotButton="0" quotePrefix="0" xfId="1">
      <alignment horizontal="right" vertical="center" wrapText="1"/>
    </xf>
    <xf numFmtId="168" fontId="88" fillId="0" borderId="1" applyAlignment="1" pivotButton="0" quotePrefix="0" xfId="1">
      <alignment horizontal="right" vertical="center"/>
    </xf>
    <xf numFmtId="15" fontId="76" fillId="0" borderId="4" applyAlignment="1" pivotButton="0" quotePrefix="0" xfId="26">
      <alignment horizontal="center" vertical="center"/>
    </xf>
    <xf numFmtId="15" fontId="75" fillId="0" borderId="0" applyAlignment="1" pivotButton="0" quotePrefix="0" xfId="26">
      <alignment vertical="center"/>
    </xf>
    <xf numFmtId="15" fontId="81" fillId="0" borderId="0" pivotButton="0" quotePrefix="0" xfId="26"/>
    <xf numFmtId="168" fontId="75" fillId="0" borderId="4" applyAlignment="1" pivotButton="0" quotePrefix="0" xfId="1">
      <alignment vertical="center"/>
    </xf>
    <xf numFmtId="168" fontId="75" fillId="0" borderId="0" applyAlignment="1" pivotButton="0" quotePrefix="0" xfId="1">
      <alignment vertical="center"/>
    </xf>
    <xf numFmtId="168" fontId="75" fillId="0" borderId="0" pivotButton="0" quotePrefix="0" xfId="1"/>
    <xf numFmtId="168" fontId="81" fillId="0" borderId="0" pivotButton="0" quotePrefix="0" xfId="1"/>
    <xf numFmtId="168" fontId="90" fillId="0" borderId="0" applyAlignment="1" pivotButton="0" quotePrefix="0" xfId="1">
      <alignment vertical="center"/>
    </xf>
    <xf numFmtId="173" fontId="75" fillId="0" borderId="4" applyAlignment="1" pivotButton="0" quotePrefix="0" xfId="26">
      <alignment vertical="center" wrapText="1"/>
    </xf>
    <xf numFmtId="0" fontId="75" fillId="0" borderId="11" applyAlignment="1" pivotButton="0" quotePrefix="0" xfId="26">
      <alignment horizontal="center" vertical="center"/>
    </xf>
    <xf numFmtId="168" fontId="75" fillId="0" borderId="4" applyAlignment="1" pivotButton="0" quotePrefix="0" xfId="26">
      <alignment vertical="center"/>
    </xf>
    <xf numFmtId="1" fontId="76" fillId="0" borderId="4" applyAlignment="1" pivotButton="0" quotePrefix="0" xfId="26">
      <alignment horizontal="center" vertical="center" wrapText="1"/>
    </xf>
    <xf numFmtId="3" fontId="81" fillId="0" borderId="0" pivotButton="0" quotePrefix="0" xfId="26"/>
    <xf numFmtId="0" fontId="80" fillId="0" borderId="4" applyAlignment="1" pivotButton="0" quotePrefix="0" xfId="26">
      <alignment horizontal="center" vertical="center"/>
    </xf>
    <xf numFmtId="168" fontId="75" fillId="0" borderId="0" applyAlignment="1" pivotButton="0" quotePrefix="0" xfId="26">
      <alignment horizontal="center" vertical="center"/>
    </xf>
    <xf numFmtId="0" fontId="75" fillId="0" borderId="0" applyAlignment="1" pivotButton="0" quotePrefix="0" xfId="30">
      <alignment horizontal="center" vertical="center"/>
    </xf>
    <xf numFmtId="0" fontId="75" fillId="0" borderId="0" applyAlignment="1" pivotButton="0" quotePrefix="0" xfId="30">
      <alignment horizontal="center"/>
    </xf>
    <xf numFmtId="0" fontId="91" fillId="9" borderId="35" applyAlignment="1" pivotButton="0" quotePrefix="0" xfId="0">
      <alignment horizontal="center"/>
    </xf>
    <xf numFmtId="43" fontId="91" fillId="9" borderId="35" applyAlignment="1" pivotButton="0" quotePrefix="0" xfId="1">
      <alignment horizontal="center"/>
    </xf>
    <xf numFmtId="0" fontId="93" fillId="0" borderId="0" pivotButton="0" quotePrefix="0" xfId="0"/>
    <xf numFmtId="15" fontId="93" fillId="0" borderId="0" pivotButton="0" quotePrefix="0" xfId="0"/>
    <xf numFmtId="43" fontId="93" fillId="0" borderId="0" pivotButton="0" quotePrefix="0" xfId="1"/>
    <xf numFmtId="15" fontId="93" fillId="5" borderId="0" pivotButton="0" quotePrefix="0" xfId="0"/>
    <xf numFmtId="176" fontId="93" fillId="0" borderId="0" pivotButton="0" quotePrefix="0" xfId="0"/>
    <xf numFmtId="173" fontId="80" fillId="0" borderId="0" applyAlignment="1" pivotButton="0" quotePrefix="0" xfId="27">
      <alignment vertical="center"/>
    </xf>
    <xf numFmtId="9" fontId="81" fillId="0" borderId="0" pivotButton="0" quotePrefix="0" xfId="31"/>
    <xf numFmtId="14" fontId="95" fillId="10" borderId="35" applyAlignment="1" pivotButton="0" quotePrefix="0" xfId="0">
      <alignment horizontal="left" vertical="top"/>
    </xf>
    <xf numFmtId="0" fontId="95" fillId="10" borderId="35" applyAlignment="1" pivotButton="0" quotePrefix="0" xfId="0">
      <alignment horizontal="left" vertical="top"/>
    </xf>
    <xf numFmtId="0" fontId="95" fillId="10" borderId="35" applyAlignment="1" pivotButton="0" quotePrefix="0" xfId="0">
      <alignment vertical="top"/>
    </xf>
    <xf numFmtId="0" fontId="95" fillId="10" borderId="35" applyAlignment="1" pivotButton="0" quotePrefix="0" xfId="0">
      <alignment vertical="center"/>
    </xf>
    <xf numFmtId="0" fontId="95" fillId="10" borderId="35" applyAlignment="1" pivotButton="0" quotePrefix="0" xfId="0">
      <alignment horizontal="right" vertical="top"/>
    </xf>
    <xf numFmtId="0" fontId="95" fillId="10" borderId="35" applyAlignment="1" pivotButton="0" quotePrefix="0" xfId="0">
      <alignment horizontal="center" vertical="top"/>
    </xf>
    <xf numFmtId="9" fontId="95" fillId="10" borderId="35" applyAlignment="1" pivotButton="0" quotePrefix="0" xfId="0">
      <alignment horizontal="center" vertical="top"/>
    </xf>
    <xf numFmtId="9" fontId="75" fillId="0" borderId="0" applyAlignment="1" pivotButton="0" quotePrefix="0" xfId="31">
      <alignment vertical="center"/>
    </xf>
    <xf numFmtId="0" fontId="75" fillId="5" borderId="4" applyAlignment="1" pivotButton="0" quotePrefix="0" xfId="26">
      <alignment horizontal="center" vertical="center"/>
    </xf>
    <xf numFmtId="0" fontId="75" fillId="5" borderId="4" applyAlignment="1" pivotButton="0" quotePrefix="0" xfId="26">
      <alignment vertical="center"/>
    </xf>
    <xf numFmtId="0" fontId="76" fillId="11" borderId="4" applyAlignment="1" pivotButton="0" quotePrefix="0" xfId="26">
      <alignment horizontal="left" vertical="center"/>
    </xf>
    <xf numFmtId="0" fontId="76" fillId="11" borderId="4" applyAlignment="1" pivotButton="0" quotePrefix="0" xfId="26">
      <alignment horizontal="center" vertical="center"/>
    </xf>
    <xf numFmtId="49" fontId="76" fillId="11" borderId="4" applyAlignment="1" pivotButton="0" quotePrefix="0" xfId="26">
      <alignment horizontal="center" vertical="center" wrapText="1"/>
    </xf>
    <xf numFmtId="15" fontId="76" fillId="11" borderId="4" applyAlignment="1" pivotButton="0" quotePrefix="0" xfId="26">
      <alignment horizontal="center" vertical="center"/>
    </xf>
    <xf numFmtId="43" fontId="76" fillId="11" borderId="4" applyAlignment="1" pivotButton="0" quotePrefix="0" xfId="21">
      <alignment vertical="center"/>
    </xf>
    <xf numFmtId="168" fontId="75" fillId="11" borderId="4" applyAlignment="1" pivotButton="0" quotePrefix="0" xfId="27">
      <alignment vertical="center"/>
    </xf>
    <xf numFmtId="1" fontId="76" fillId="11" borderId="4" applyAlignment="1" pivotButton="0" quotePrefix="0" xfId="26">
      <alignment horizontal="center" vertical="center" wrapText="1"/>
    </xf>
    <xf numFmtId="15" fontId="93" fillId="6" borderId="0" pivotButton="0" quotePrefix="0" xfId="0"/>
    <xf numFmtId="0" fontId="93" fillId="6" borderId="0" pivotButton="0" quotePrefix="0" xfId="0"/>
    <xf numFmtId="43" fontId="93" fillId="6" borderId="0" pivotButton="0" quotePrefix="0" xfId="1"/>
    <xf numFmtId="0" fontId="75" fillId="12" borderId="4" applyAlignment="1" pivotButton="0" quotePrefix="0" xfId="26">
      <alignment vertical="center"/>
    </xf>
    <xf numFmtId="49" fontId="75" fillId="13" borderId="4" applyAlignment="1" pivotButton="0" quotePrefix="0" xfId="1">
      <alignment vertical="center"/>
    </xf>
    <xf numFmtId="49" fontId="75" fillId="13" borderId="0" applyAlignment="1" pivotButton="0" quotePrefix="0" xfId="1">
      <alignment vertical="center"/>
    </xf>
    <xf numFmtId="49" fontId="75" fillId="13" borderId="4" applyAlignment="1" pivotButton="0" quotePrefix="0" xfId="26">
      <alignment vertical="center"/>
    </xf>
    <xf numFmtId="49" fontId="75" fillId="13" borderId="0" applyAlignment="1" pivotButton="0" quotePrefix="0" xfId="26">
      <alignment vertical="center"/>
    </xf>
    <xf numFmtId="49" fontId="93" fillId="13" borderId="0" pivotButton="0" quotePrefix="0" xfId="0"/>
    <xf numFmtId="0" fontId="0" fillId="0" borderId="0" pivotButton="0" quotePrefix="0" xfId="0"/>
    <xf numFmtId="0" fontId="0" fillId="5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8" fontId="76" fillId="0" borderId="0" applyAlignment="1" pivotButton="0" quotePrefix="0" xfId="1">
      <alignment horizontal="right" vertical="center"/>
    </xf>
    <xf numFmtId="3" fontId="82" fillId="0" borderId="0" applyAlignment="1" pivotButton="0" quotePrefix="0" xfId="0">
      <alignment horizontal="right" vertical="center" wrapText="1" indent="1"/>
    </xf>
    <xf numFmtId="0" fontId="6" fillId="0" borderId="0" pivotButton="0" quotePrefix="0" xfId="0"/>
    <xf numFmtId="0" fontId="76" fillId="8" borderId="4" applyAlignment="1" pivotButton="0" quotePrefix="0" xfId="0">
      <alignment horizontal="center" vertical="center"/>
    </xf>
    <xf numFmtId="0" fontId="76" fillId="8" borderId="4" applyAlignment="1" pivotButton="0" quotePrefix="0" xfId="0">
      <alignment horizontal="center" vertical="center"/>
    </xf>
    <xf numFmtId="0" fontId="14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76" fillId="0" borderId="0" applyAlignment="1" pivotButton="0" quotePrefix="0" xfId="0">
      <alignment horizontal="center" vertical="center"/>
    </xf>
    <xf numFmtId="43" fontId="76" fillId="0" borderId="0" applyAlignment="1" pivotButton="0" quotePrefix="0" xfId="21">
      <alignment horizontal="left" vertical="center"/>
    </xf>
    <xf numFmtId="43" fontId="76" fillId="0" borderId="0" applyAlignment="1" pivotButton="0" quotePrefix="0" xfId="22">
      <alignment horizontal="left" vertical="center"/>
    </xf>
    <xf numFmtId="166" fontId="85" fillId="0" borderId="0" applyAlignment="1" pivotButton="0" quotePrefix="0" xfId="0">
      <alignment horizontal="center" vertical="center"/>
    </xf>
    <xf numFmtId="167" fontId="76" fillId="0" borderId="0" applyAlignment="1" pivotButton="0" quotePrefix="1" xfId="24">
      <alignment horizontal="right" vertical="center"/>
    </xf>
    <xf numFmtId="166" fontId="76" fillId="0" borderId="0" applyAlignment="1" pivotButton="0" quotePrefix="0" xfId="23">
      <alignment horizontal="center" vertical="center"/>
    </xf>
    <xf numFmtId="43" fontId="76" fillId="0" borderId="0" applyAlignment="1" pivotButton="0" quotePrefix="0" xfId="1">
      <alignment vertical="center"/>
    </xf>
    <xf numFmtId="168" fontId="76" fillId="0" borderId="0" applyAlignment="1" pivotButton="0" quotePrefix="0" xfId="1">
      <alignment vertical="center"/>
    </xf>
    <xf numFmtId="0" fontId="76" fillId="0" borderId="0" applyAlignment="1" pivotButton="0" quotePrefix="0" xfId="29">
      <alignment horizontal="left" vertical="center"/>
    </xf>
    <xf numFmtId="177" fontId="76" fillId="0" borderId="0" applyAlignment="1" pivotButton="0" quotePrefix="0" xfId="29">
      <alignment horizontal="center" vertical="center"/>
    </xf>
    <xf numFmtId="166" fontId="76" fillId="0" borderId="0" applyAlignment="1" pivotButton="0" quotePrefix="0" xfId="29">
      <alignment horizontal="center" vertical="center"/>
    </xf>
    <xf numFmtId="167" fontId="76" fillId="0" borderId="0" applyAlignment="1" pivotButton="0" quotePrefix="1" xfId="24">
      <alignment horizontal="center" vertical="center"/>
    </xf>
    <xf numFmtId="173" fontId="76" fillId="0" borderId="0" applyAlignment="1" pivotButton="0" quotePrefix="0" xfId="1">
      <alignment horizontal="center" vertical="center"/>
    </xf>
    <xf numFmtId="168" fontId="76" fillId="0" borderId="0" applyAlignment="1" pivotButton="0" quotePrefix="0" xfId="1">
      <alignment horizontal="center" vertical="center"/>
    </xf>
    <xf numFmtId="43" fontId="76" fillId="0" borderId="0" applyAlignment="1" pivotButton="0" quotePrefix="0" xfId="21">
      <alignment horizontal="left" vertical="center" wrapText="1"/>
    </xf>
    <xf numFmtId="168" fontId="76" fillId="0" borderId="0" applyAlignment="1" pivotButton="0" quotePrefix="0" xfId="1">
      <alignment vertical="center"/>
    </xf>
    <xf numFmtId="0" fontId="75" fillId="0" borderId="0" applyAlignment="1" pivotButton="0" quotePrefix="0" xfId="26">
      <alignment horizontal="center" vertical="center"/>
    </xf>
    <xf numFmtId="0" fontId="75" fillId="0" borderId="0" applyAlignment="1" pivotButton="0" quotePrefix="0" xfId="26">
      <alignment horizontal="center" vertical="center" wrapText="1"/>
    </xf>
    <xf numFmtId="0" fontId="81" fillId="0" borderId="0" applyAlignment="1" pivotButton="0" quotePrefix="0" xfId="26">
      <alignment horizontal="center" vertical="center"/>
    </xf>
    <xf numFmtId="0" fontId="76" fillId="0" borderId="0" applyAlignment="1" pivotButton="0" quotePrefix="0" xfId="26">
      <alignment horizontal="center" vertical="center"/>
    </xf>
    <xf numFmtId="0" fontId="88" fillId="0" borderId="0" applyAlignment="1" pivotButton="0" quotePrefix="0" xfId="26">
      <alignment horizontal="center" vertical="center"/>
    </xf>
    <xf numFmtId="0" fontId="78" fillId="0" borderId="0" applyAlignment="1" pivotButton="0" quotePrefix="0" xfId="4">
      <alignment horizontal="center" vertical="center"/>
    </xf>
    <xf numFmtId="0" fontId="76" fillId="8" borderId="4" applyAlignment="1" pivotButton="0" quotePrefix="0" xfId="0">
      <alignment horizontal="center" vertical="center"/>
    </xf>
    <xf numFmtId="0" fontId="82" fillId="8" borderId="4" applyAlignment="1" pivotButton="0" quotePrefix="0" xfId="0">
      <alignment horizontal="center" vertical="center"/>
    </xf>
    <xf numFmtId="168" fontId="76" fillId="0" borderId="0" applyAlignment="1" pivotButton="0" quotePrefix="0" xfId="1">
      <alignment horizontal="right" vertical="center"/>
    </xf>
    <xf numFmtId="173" fontId="76" fillId="0" borderId="1" applyAlignment="1" pivotButton="0" quotePrefix="0" xfId="1">
      <alignment horizontal="right"/>
    </xf>
    <xf numFmtId="0" fontId="82" fillId="8" borderId="4" applyAlignment="1" pivotButton="0" quotePrefix="0" xfId="0">
      <alignment horizontal="center" vertical="center" wrapText="1"/>
    </xf>
    <xf numFmtId="0" fontId="82" fillId="8" borderId="14" applyAlignment="1" pivotButton="0" quotePrefix="0" xfId="0">
      <alignment horizontal="center" vertical="center"/>
    </xf>
    <xf numFmtId="0" fontId="82" fillId="8" borderId="9" applyAlignment="1" pivotButton="0" quotePrefix="0" xfId="0">
      <alignment horizontal="center" vertical="center"/>
    </xf>
    <xf numFmtId="0" fontId="82" fillId="8" borderId="10" applyAlignment="1" pivotButton="0" quotePrefix="0" xfId="0">
      <alignment horizontal="center" vertical="center"/>
    </xf>
    <xf numFmtId="0" fontId="82" fillId="8" borderId="3" applyAlignment="1" pivotButton="0" quotePrefix="0" xfId="0">
      <alignment horizontal="center" vertical="center"/>
    </xf>
    <xf numFmtId="0" fontId="88" fillId="0" borderId="0" applyAlignment="1" pivotButton="0" quotePrefix="0" xfId="26">
      <alignment horizontal="center" vertical="center"/>
    </xf>
    <xf numFmtId="0" fontId="75" fillId="0" borderId="10" applyAlignment="1" pivotButton="0" quotePrefix="0" xfId="26">
      <alignment horizontal="center" vertical="center"/>
    </xf>
    <xf numFmtId="0" fontId="75" fillId="0" borderId="5" applyAlignment="1" pivotButton="0" quotePrefix="0" xfId="26">
      <alignment horizontal="center" vertical="center"/>
    </xf>
    <xf numFmtId="0" fontId="75" fillId="0" borderId="3" applyAlignment="1" pivotButton="0" quotePrefix="0" xfId="26">
      <alignment horizontal="center" vertical="center"/>
    </xf>
    <xf numFmtId="0" fontId="75" fillId="0" borderId="0" applyAlignment="1" pivotButton="0" quotePrefix="0" xfId="26">
      <alignment horizontal="left" vertical="center" wrapText="1"/>
    </xf>
    <xf numFmtId="0" fontId="91" fillId="9" borderId="38" applyAlignment="1" pivotButton="0" quotePrefix="0" xfId="0">
      <alignment horizontal="center"/>
    </xf>
    <xf numFmtId="0" fontId="91" fillId="9" borderId="40" applyAlignment="1" pivotButton="0" quotePrefix="0" xfId="0">
      <alignment horizontal="center"/>
    </xf>
    <xf numFmtId="0" fontId="91" fillId="9" borderId="37" applyAlignment="1" pivotButton="0" quotePrefix="0" xfId="0">
      <alignment horizontal="center"/>
    </xf>
    <xf numFmtId="0" fontId="91" fillId="9" borderId="36" applyAlignment="1" pivotButton="0" quotePrefix="0" xfId="0">
      <alignment horizontal="center"/>
    </xf>
    <xf numFmtId="0" fontId="78" fillId="8" borderId="14" applyAlignment="1" pivotButton="0" quotePrefix="0" xfId="26">
      <alignment horizontal="center" vertical="center"/>
    </xf>
    <xf numFmtId="0" fontId="78" fillId="8" borderId="17" applyAlignment="1" pivotButton="0" quotePrefix="0" xfId="26">
      <alignment horizontal="center" vertical="center"/>
    </xf>
    <xf numFmtId="0" fontId="78" fillId="8" borderId="9" applyAlignment="1" pivotButton="0" quotePrefix="0" xfId="26">
      <alignment horizontal="center" vertical="center"/>
    </xf>
    <xf numFmtId="0" fontId="78" fillId="8" borderId="10" applyAlignment="1" pivotButton="0" quotePrefix="0" xfId="26">
      <alignment horizontal="center" vertical="center" wrapText="1"/>
    </xf>
    <xf numFmtId="0" fontId="78" fillId="8" borderId="5" applyAlignment="1" pivotButton="0" quotePrefix="0" xfId="26">
      <alignment horizontal="center" vertical="center" wrapText="1"/>
    </xf>
    <xf numFmtId="0" fontId="79" fillId="8" borderId="5" applyAlignment="1" pivotButton="0" quotePrefix="0" xfId="26">
      <alignment horizontal="center" vertical="center" wrapText="1"/>
    </xf>
    <xf numFmtId="0" fontId="91" fillId="9" borderId="39" applyAlignment="1" pivotButton="0" quotePrefix="0" xfId="0">
      <alignment horizontal="center"/>
    </xf>
    <xf numFmtId="0" fontId="79" fillId="8" borderId="3" applyAlignment="1" pivotButton="0" quotePrefix="0" xfId="26">
      <alignment horizontal="center" vertical="center" wrapText="1"/>
    </xf>
    <xf numFmtId="0" fontId="83" fillId="0" borderId="0" applyAlignment="1" pivotButton="0" quotePrefix="0" xfId="25">
      <alignment horizontal="center" vertical="center"/>
    </xf>
    <xf numFmtId="168" fontId="83" fillId="0" borderId="0" applyAlignment="1" pivotButton="0" quotePrefix="0" xfId="1">
      <alignment horizontal="center" vertical="center"/>
    </xf>
    <xf numFmtId="0" fontId="78" fillId="8" borderId="10" applyAlignment="1" pivotButton="0" quotePrefix="0" xfId="26">
      <alignment horizontal="center" vertical="center"/>
    </xf>
    <xf numFmtId="0" fontId="78" fillId="8" borderId="3" applyAlignment="1" pivotButton="0" quotePrefix="0" xfId="26">
      <alignment horizontal="center" vertical="center"/>
    </xf>
    <xf numFmtId="0" fontId="78" fillId="8" borderId="3" applyAlignment="1" pivotButton="0" quotePrefix="0" xfId="26">
      <alignment horizontal="center" vertical="center" wrapText="1"/>
    </xf>
    <xf numFmtId="173" fontId="88" fillId="0" borderId="1" applyAlignment="1" pivotButton="0" quotePrefix="0" xfId="1">
      <alignment horizontal="center"/>
    </xf>
    <xf numFmtId="168" fontId="90" fillId="5" borderId="4" applyAlignment="1" pivotButton="0" quotePrefix="0" xfId="1">
      <alignment horizontal="center" vertical="center"/>
    </xf>
    <xf numFmtId="168" fontId="80" fillId="8" borderId="11" applyAlignment="1" pivotButton="0" quotePrefix="0" xfId="1">
      <alignment horizontal="center" vertical="center"/>
    </xf>
    <xf numFmtId="168" fontId="80" fillId="8" borderId="19" applyAlignment="1" pivotButton="0" quotePrefix="0" xfId="1">
      <alignment horizontal="center" vertical="center"/>
    </xf>
    <xf numFmtId="168" fontId="92" fillId="0" borderId="4" applyAlignment="1" pivotButton="0" quotePrefix="0" xfId="1">
      <alignment horizontal="center" vertical="center"/>
    </xf>
    <xf numFmtId="0" fontId="90" fillId="0" borderId="4" applyAlignment="1" pivotButton="0" quotePrefix="0" xfId="26">
      <alignment horizontal="center" vertical="center"/>
    </xf>
    <xf numFmtId="0" fontId="75" fillId="0" borderId="0" applyAlignment="1" pivotButton="0" quotePrefix="0" xfId="26">
      <alignment horizontal="center" vertical="center"/>
    </xf>
    <xf numFmtId="0" fontId="75" fillId="0" borderId="0" applyAlignment="1" pivotButton="0" quotePrefix="0" xfId="26">
      <alignment horizontal="center" vertical="center" wrapText="1"/>
    </xf>
    <xf numFmtId="0" fontId="81" fillId="0" borderId="0" applyAlignment="1" pivotButton="0" quotePrefix="0" xfId="26">
      <alignment horizontal="center" vertical="center"/>
    </xf>
    <xf numFmtId="0" fontId="76" fillId="0" borderId="0" applyAlignment="1" pivotButton="0" quotePrefix="0" xfId="26">
      <alignment horizontal="center" vertical="center"/>
    </xf>
    <xf numFmtId="0" fontId="78" fillId="0" borderId="5" applyAlignment="1" pivotButton="0" quotePrefix="0" xfId="26">
      <alignment horizontal="center" vertical="center" wrapText="1"/>
    </xf>
    <xf numFmtId="15" fontId="91" fillId="9" borderId="37" applyAlignment="1" pivotButton="0" quotePrefix="0" xfId="0">
      <alignment horizontal="center"/>
    </xf>
    <xf numFmtId="15" fontId="91" fillId="9" borderId="36" applyAlignment="1" pivotButton="0" quotePrefix="0" xfId="0">
      <alignment horizontal="center"/>
    </xf>
    <xf numFmtId="43" fontId="91" fillId="9" borderId="37" applyAlignment="1" pivotButton="0" quotePrefix="0" xfId="1">
      <alignment horizontal="center"/>
    </xf>
    <xf numFmtId="43" fontId="91" fillId="9" borderId="36" applyAlignment="1" pivotButton="0" quotePrefix="0" xfId="1">
      <alignment horizontal="center"/>
    </xf>
    <xf numFmtId="0" fontId="79" fillId="8" borderId="10" applyAlignment="1" pivotButton="0" quotePrefix="0" xfId="26">
      <alignment horizontal="center" vertical="center" wrapText="1"/>
    </xf>
    <xf numFmtId="0" fontId="83" fillId="0" borderId="0" applyAlignment="1" pivotButton="0" quotePrefix="0" xfId="4">
      <alignment horizontal="center" vertical="center"/>
    </xf>
    <xf numFmtId="0" fontId="12" fillId="7" borderId="14" applyAlignment="1" pivotButton="0" quotePrefix="0" xfId="0">
      <alignment horizontal="center" vertical="center"/>
    </xf>
    <xf numFmtId="0" fontId="12" fillId="7" borderId="17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25" fillId="0" borderId="12" applyAlignment="1" pivotButton="0" quotePrefix="0" xfId="0">
      <alignment horizontal="center"/>
    </xf>
    <xf numFmtId="0" fontId="25" fillId="0" borderId="0" applyAlignment="1" pivotButton="0" quotePrefix="0" xfId="0">
      <alignment horizontal="center"/>
    </xf>
    <xf numFmtId="0" fontId="25" fillId="0" borderId="4" applyAlignment="1" pivotButton="0" quotePrefix="0" xfId="0">
      <alignment horizontal="center"/>
    </xf>
    <xf numFmtId="0" fontId="25" fillId="0" borderId="18" applyAlignment="1" pivotButton="0" quotePrefix="0" xfId="0">
      <alignment horizontal="center" vertical="center"/>
    </xf>
    <xf numFmtId="0" fontId="25" fillId="0" borderId="12" applyAlignment="1" pivotButton="0" quotePrefix="0" xfId="0">
      <alignment horizontal="center" vertical="center"/>
    </xf>
    <xf numFmtId="0" fontId="25" fillId="0" borderId="7" applyAlignment="1" pivotButton="0" quotePrefix="0" xfId="0">
      <alignment horizontal="center" vertical="center"/>
    </xf>
    <xf numFmtId="0" fontId="25" fillId="0" borderId="1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6" applyAlignment="1" pivotButton="0" quotePrefix="0" xfId="0">
      <alignment horizontal="center" vertical="center"/>
    </xf>
    <xf numFmtId="0" fontId="25" fillId="0" borderId="19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25" fillId="0" borderId="8" applyAlignment="1" pivotButton="0" quotePrefix="0" xfId="0">
      <alignment horizontal="center" vertical="center"/>
    </xf>
    <xf numFmtId="0" fontId="25" fillId="0" borderId="14" applyAlignment="1" pivotButton="0" quotePrefix="0" xfId="0">
      <alignment horizontal="center" vertical="center"/>
    </xf>
    <xf numFmtId="0" fontId="25" fillId="0" borderId="17" applyAlignment="1" pivotButton="0" quotePrefix="0" xfId="0">
      <alignment horizontal="center" vertical="center"/>
    </xf>
    <xf numFmtId="0" fontId="25" fillId="0" borderId="9" applyAlignment="1" pivotButton="0" quotePrefix="0" xfId="0">
      <alignment horizontal="center" vertical="center"/>
    </xf>
    <xf numFmtId="0" fontId="25" fillId="7" borderId="14" applyAlignment="1" pivotButton="0" quotePrefix="0" xfId="0">
      <alignment horizontal="center" vertical="center"/>
    </xf>
    <xf numFmtId="0" fontId="25" fillId="7" borderId="17" applyAlignment="1" pivotButton="0" quotePrefix="0" xfId="0">
      <alignment horizontal="center" vertical="center"/>
    </xf>
    <xf numFmtId="0" fontId="25" fillId="7" borderId="9" applyAlignment="1" pivotButton="0" quotePrefix="0" xfId="0">
      <alignment horizontal="center" vertical="center"/>
    </xf>
    <xf numFmtId="0" fontId="25" fillId="0" borderId="14" applyAlignment="1" pivotButton="0" quotePrefix="0" xfId="0">
      <alignment horizontal="center" vertical="center" wrapText="1"/>
    </xf>
    <xf numFmtId="0" fontId="25" fillId="0" borderId="17" applyAlignment="1" pivotButton="0" quotePrefix="0" xfId="0">
      <alignment horizontal="center" vertical="center" wrapText="1"/>
    </xf>
    <xf numFmtId="0" fontId="25" fillId="0" borderId="9" applyAlignment="1" pivotButton="0" quotePrefix="0" xfId="0">
      <alignment horizontal="center" vertical="center" wrapText="1"/>
    </xf>
    <xf numFmtId="0" fontId="12" fillId="7" borderId="4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top" shrinkToFit="1"/>
    </xf>
    <xf numFmtId="0" fontId="34" fillId="0" borderId="0" applyAlignment="1" pivotButton="0" quotePrefix="0" xfId="0">
      <alignment horizontal="left" vertical="center"/>
    </xf>
    <xf numFmtId="0" fontId="19" fillId="0" borderId="1" applyAlignment="1" pivotButton="0" quotePrefix="0" xfId="0">
      <alignment horizontal="left" vertical="center"/>
    </xf>
    <xf numFmtId="0" fontId="25" fillId="0" borderId="10" applyAlignment="1" pivotButton="0" quotePrefix="0" xfId="0">
      <alignment horizontal="center" vertical="center"/>
    </xf>
    <xf numFmtId="0" fontId="25" fillId="0" borderId="5" applyAlignment="1" pivotButton="0" quotePrefix="0" xfId="0">
      <alignment horizontal="center" vertical="center"/>
    </xf>
    <xf numFmtId="0" fontId="25" fillId="0" borderId="3" applyAlignment="1" pivotButton="0" quotePrefix="0" xfId="0">
      <alignment horizontal="center" vertical="center"/>
    </xf>
    <xf numFmtId="0" fontId="25" fillId="0" borderId="18" applyAlignment="1" pivotButton="0" quotePrefix="0" xfId="0">
      <alignment horizontal="center" vertical="center" shrinkToFit="1"/>
    </xf>
    <xf numFmtId="0" fontId="25" fillId="0" borderId="12" applyAlignment="1" pivotButton="0" quotePrefix="0" xfId="0">
      <alignment horizontal="center" vertical="center" shrinkToFit="1"/>
    </xf>
    <xf numFmtId="0" fontId="25" fillId="0" borderId="7" applyAlignment="1" pivotButton="0" quotePrefix="0" xfId="0">
      <alignment horizontal="center" vertical="center" shrinkToFit="1"/>
    </xf>
    <xf numFmtId="0" fontId="25" fillId="0" borderId="9" applyAlignment="1" pivotButton="0" quotePrefix="0" xfId="0">
      <alignment horizontal="center" shrinkToFit="1"/>
    </xf>
    <xf numFmtId="0" fontId="25" fillId="0" borderId="4" applyAlignment="1" pivotButton="0" quotePrefix="0" xfId="0">
      <alignment horizontal="center" shrinkToFit="1"/>
    </xf>
    <xf numFmtId="0" fontId="25" fillId="0" borderId="10" applyAlignment="1" pivotButton="0" quotePrefix="0" xfId="0">
      <alignment horizontal="center" vertical="center" shrinkToFit="1"/>
    </xf>
    <xf numFmtId="0" fontId="25" fillId="0" borderId="5" applyAlignment="1" pivotButton="0" quotePrefix="0" xfId="0">
      <alignment horizontal="center" vertical="center" shrinkToFit="1"/>
    </xf>
    <xf numFmtId="0" fontId="25" fillId="0" borderId="3" applyAlignment="1" pivotButton="0" quotePrefix="0" xfId="0">
      <alignment horizontal="center" vertical="center" shrinkToFit="1"/>
    </xf>
    <xf numFmtId="0" fontId="25" fillId="0" borderId="19" applyAlignment="1" pivotButton="0" quotePrefix="0" xfId="0">
      <alignment horizontal="center" vertical="center" shrinkToFit="1"/>
    </xf>
    <xf numFmtId="0" fontId="25" fillId="0" borderId="1" applyAlignment="1" pivotButton="0" quotePrefix="0" xfId="0">
      <alignment horizontal="center" vertical="center" shrinkToFit="1"/>
    </xf>
    <xf numFmtId="0" fontId="25" fillId="0" borderId="8" applyAlignment="1" pivotButton="0" quotePrefix="0" xfId="0">
      <alignment horizontal="center" vertical="center" shrinkToFit="1"/>
    </xf>
    <xf numFmtId="0" fontId="25" fillId="0" borderId="9" applyAlignment="1" pivotButton="0" quotePrefix="0" xfId="0">
      <alignment horizontal="center" vertical="center" shrinkToFit="1"/>
    </xf>
    <xf numFmtId="0" fontId="25" fillId="0" borderId="4" applyAlignment="1" pivotButton="0" quotePrefix="0" xfId="0">
      <alignment horizontal="center" vertical="center" shrinkToFit="1"/>
    </xf>
    <xf numFmtId="0" fontId="11" fillId="4" borderId="14" applyAlignment="1" pivotButton="0" quotePrefix="0" xfId="0">
      <alignment horizontal="center" vertical="center"/>
    </xf>
    <xf numFmtId="0" fontId="11" fillId="4" borderId="9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24" fillId="0" borderId="10" applyAlignment="1" pivotButton="0" quotePrefix="0" xfId="0">
      <alignment horizontal="center" vertical="center"/>
    </xf>
    <xf numFmtId="0" fontId="24" fillId="0" borderId="5" applyAlignment="1" pivotButton="0" quotePrefix="0" xfId="0">
      <alignment horizontal="center" vertical="center"/>
    </xf>
    <xf numFmtId="0" fontId="24" fillId="0" borderId="3" applyAlignment="1" pivotButton="0" quotePrefix="0" xfId="0">
      <alignment horizontal="center" vertical="center"/>
    </xf>
    <xf numFmtId="0" fontId="24" fillId="0" borderId="18" applyAlignment="1" pivotButton="0" quotePrefix="0" xfId="0">
      <alignment horizontal="center" vertical="center" shrinkToFit="1"/>
    </xf>
    <xf numFmtId="0" fontId="24" fillId="0" borderId="12" applyAlignment="1" pivotButton="0" quotePrefix="0" xfId="0">
      <alignment horizontal="center" vertical="center" shrinkToFit="1"/>
    </xf>
    <xf numFmtId="0" fontId="24" fillId="0" borderId="7" applyAlignment="1" pivotButton="0" quotePrefix="0" xfId="0">
      <alignment horizontal="center" vertical="center" shrinkToFit="1"/>
    </xf>
    <xf numFmtId="0" fontId="24" fillId="0" borderId="9" applyAlignment="1" pivotButton="0" quotePrefix="0" xfId="0">
      <alignment horizontal="center" shrinkToFit="1"/>
    </xf>
    <xf numFmtId="0" fontId="24" fillId="0" borderId="4" applyAlignment="1" pivotButton="0" quotePrefix="0" xfId="0">
      <alignment horizontal="center" shrinkToFit="1"/>
    </xf>
    <xf numFmtId="0" fontId="24" fillId="0" borderId="10" applyAlignment="1" pivotButton="0" quotePrefix="0" xfId="0">
      <alignment horizontal="center" vertical="center" shrinkToFit="1"/>
    </xf>
    <xf numFmtId="0" fontId="24" fillId="0" borderId="5" applyAlignment="1" pivotButton="0" quotePrefix="0" xfId="0">
      <alignment horizontal="center" vertical="center" shrinkToFit="1"/>
    </xf>
    <xf numFmtId="0" fontId="24" fillId="0" borderId="3" applyAlignment="1" pivotButton="0" quotePrefix="0" xfId="0">
      <alignment horizontal="center" vertical="center" shrinkToFit="1"/>
    </xf>
    <xf numFmtId="0" fontId="24" fillId="0" borderId="19" applyAlignment="1" pivotButton="0" quotePrefix="0" xfId="0">
      <alignment horizontal="center" vertical="center" shrinkToFit="1"/>
    </xf>
    <xf numFmtId="0" fontId="24" fillId="0" borderId="1" applyAlignment="1" pivotButton="0" quotePrefix="0" xfId="0">
      <alignment horizontal="center" vertical="center" shrinkToFit="1"/>
    </xf>
    <xf numFmtId="0" fontId="24" fillId="0" borderId="8" applyAlignment="1" pivotButton="0" quotePrefix="0" xfId="0">
      <alignment horizontal="center" vertical="center" shrinkToFit="1"/>
    </xf>
    <xf numFmtId="0" fontId="24" fillId="0" borderId="9" applyAlignment="1" pivotButton="0" quotePrefix="0" xfId="0">
      <alignment horizontal="center" vertical="center" shrinkToFit="1"/>
    </xf>
    <xf numFmtId="0" fontId="24" fillId="0" borderId="4" applyAlignment="1" pivotButton="0" quotePrefix="0" xfId="0">
      <alignment horizontal="center" vertical="center" shrinkToFit="1"/>
    </xf>
    <xf numFmtId="0" fontId="9" fillId="4" borderId="14" applyAlignment="1" pivotButton="0" quotePrefix="0" xfId="0">
      <alignment horizontal="center" vertical="center"/>
    </xf>
    <xf numFmtId="0" fontId="9" fillId="4" borderId="9" applyAlignment="1" pivotButton="0" quotePrefix="0" xfId="0">
      <alignment horizontal="center" vertical="center"/>
    </xf>
    <xf numFmtId="178" fontId="58" fillId="0" borderId="4" applyAlignment="1" pivotButton="0" quotePrefix="0" xfId="8">
      <alignment horizontal="center"/>
    </xf>
    <xf numFmtId="178" fontId="58" fillId="0" borderId="28" applyAlignment="1" pivotButton="0" quotePrefix="0" xfId="8">
      <alignment horizontal="center"/>
    </xf>
    <xf numFmtId="178" fontId="58" fillId="0" borderId="29" applyAlignment="1" pivotButton="0" quotePrefix="0" xfId="8">
      <alignment horizontal="center"/>
    </xf>
    <xf numFmtId="0" fontId="61" fillId="0" borderId="0" applyAlignment="1" pivotButton="0" quotePrefix="0" xfId="11">
      <alignment horizontal="center"/>
    </xf>
    <xf numFmtId="0" fontId="63" fillId="0" borderId="0" applyAlignment="1" pivotButton="0" quotePrefix="0" xfId="11">
      <alignment horizontal="center"/>
    </xf>
    <xf numFmtId="0" fontId="38" fillId="0" borderId="0" applyAlignment="1" pivotButton="0" quotePrefix="0" xfId="8">
      <alignment horizontal="center"/>
    </xf>
    <xf numFmtId="0" fontId="41" fillId="0" borderId="0" applyAlignment="1" pivotButton="0" quotePrefix="0" xfId="8">
      <alignment horizontal="center"/>
    </xf>
    <xf numFmtId="0" fontId="50" fillId="0" borderId="20" applyAlignment="1" pivotButton="0" quotePrefix="0" xfId="8">
      <alignment horizontal="center"/>
    </xf>
    <xf numFmtId="0" fontId="50" fillId="0" borderId="21" applyAlignment="1" pivotButton="0" quotePrefix="0" xfId="8">
      <alignment horizontal="center"/>
    </xf>
    <xf numFmtId="0" fontId="50" fillId="0" borderId="22" applyAlignment="1" pivotButton="0" quotePrefix="0" xfId="8">
      <alignment horizontal="center"/>
    </xf>
    <xf numFmtId="0" fontId="52" fillId="0" borderId="4" applyAlignment="1" pivotButton="0" quotePrefix="0" xfId="8">
      <alignment horizontal="center"/>
    </xf>
    <xf numFmtId="0" fontId="53" fillId="0" borderId="8" applyAlignment="1" pivotButton="0" quotePrefix="0" xfId="8">
      <alignment horizontal="center"/>
    </xf>
    <xf numFmtId="0" fontId="53" fillId="0" borderId="3" applyAlignment="1" pivotButton="0" quotePrefix="0" xfId="8">
      <alignment horizontal="center"/>
    </xf>
    <xf numFmtId="0" fontId="65" fillId="0" borderId="0" applyAlignment="1" pivotButton="0" quotePrefix="0" xfId="11">
      <alignment horizontal="left"/>
    </xf>
    <xf numFmtId="168" fontId="59" fillId="0" borderId="0" applyAlignment="1" pivotButton="0" quotePrefix="0" xfId="9">
      <alignment horizontal="center"/>
    </xf>
    <xf numFmtId="168" fontId="62" fillId="0" borderId="0" applyAlignment="1" pivotButton="0" quotePrefix="0" xfId="9">
      <alignment horizontal="center"/>
    </xf>
    <xf numFmtId="0" fontId="53" fillId="0" borderId="4" applyAlignment="1" pivotButton="0" quotePrefix="0" xfId="8">
      <alignment horizontal="center"/>
    </xf>
    <xf numFmtId="168" fontId="62" fillId="0" borderId="0" applyAlignment="1" pivotButton="0" quotePrefix="0" xfId="8">
      <alignment horizontal="center" vertical="center"/>
    </xf>
    <xf numFmtId="0" fontId="52" fillId="0" borderId="14" applyAlignment="1" pivotButton="0" quotePrefix="0" xfId="8">
      <alignment horizontal="center" vertical="center"/>
    </xf>
    <xf numFmtId="0" fontId="52" fillId="0" borderId="17" applyAlignment="1" pivotButton="0" quotePrefix="0" xfId="8">
      <alignment horizontal="center" vertical="center"/>
    </xf>
    <xf numFmtId="0" fontId="52" fillId="0" borderId="9" applyAlignment="1" pivotButton="0" quotePrefix="0" xfId="8">
      <alignment horizontal="center" vertical="center"/>
    </xf>
    <xf numFmtId="0" fontId="87" fillId="14" borderId="14" applyAlignment="1" pivotButton="0" quotePrefix="0" xfId="0">
      <alignment horizontal="left" vertical="center"/>
    </xf>
    <xf numFmtId="0" fontId="87" fillId="14" borderId="17" applyAlignment="1" pivotButton="0" quotePrefix="0" xfId="0">
      <alignment horizontal="left" vertical="center"/>
    </xf>
    <xf numFmtId="0" fontId="87" fillId="14" borderId="9" applyAlignment="1" pivotButton="0" quotePrefix="0" xfId="0">
      <alignment horizontal="left" vertical="center"/>
    </xf>
    <xf numFmtId="0" fontId="82" fillId="0" borderId="4" applyAlignment="1" pivotButton="0" quotePrefix="0" xfId="0">
      <alignment horizontal="center" vertical="center"/>
    </xf>
    <xf numFmtId="0" fontId="75" fillId="5" borderId="0" applyAlignment="1" pivotButton="0" quotePrefix="0" xfId="30">
      <alignment horizontal="center" vertical="center"/>
    </xf>
    <xf numFmtId="0" fontId="75" fillId="5" borderId="0" applyAlignment="1" pivotButton="0" quotePrefix="0" xfId="30">
      <alignment horizontal="right" vertical="center"/>
    </xf>
    <xf numFmtId="0" fontId="75" fillId="0" borderId="0" applyAlignment="1" pivotButton="0" quotePrefix="0" xfId="30">
      <alignment horizontal="right" vertical="center"/>
    </xf>
    <xf numFmtId="0" fontId="78" fillId="15" borderId="41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0" fillId="0" borderId="44" pivotButton="0" quotePrefix="0" xfId="0"/>
    <xf numFmtId="0" fontId="78" fillId="15" borderId="41" applyAlignment="1" pivotButton="0" quotePrefix="0" xfId="0">
      <alignment horizontal="center" vertical="center"/>
    </xf>
    <xf numFmtId="168" fontId="92" fillId="0" borderId="11" applyAlignment="1" pivotButton="0" quotePrefix="0" xfId="1">
      <alignment horizontal="center" vertical="center"/>
    </xf>
    <xf numFmtId="168" fontId="92" fillId="0" borderId="0" applyAlignment="1" pivotButton="0" quotePrefix="0" xfId="1">
      <alignment horizontal="center" vertical="center"/>
    </xf>
    <xf numFmtId="168" fontId="92" fillId="0" borderId="45" applyAlignment="1" pivotButton="0" quotePrefix="0" xfId="1">
      <alignment horizontal="center" vertical="center"/>
    </xf>
    <xf numFmtId="168" fontId="92" fillId="0" borderId="46" applyAlignment="1" pivotButton="0" quotePrefix="0" xfId="1">
      <alignment horizontal="center" vertical="center"/>
    </xf>
    <xf numFmtId="168" fontId="76" fillId="0" borderId="0" applyAlignment="1" pivotButton="0" quotePrefix="0" xfId="1">
      <alignment horizontal="right" vertical="center" wrapText="1"/>
    </xf>
    <xf numFmtId="168" fontId="76" fillId="0" borderId="0" applyAlignment="1" pivotButton="0" quotePrefix="0" xfId="1">
      <alignment horizontal="right" vertical="center"/>
    </xf>
    <xf numFmtId="172" fontId="76" fillId="0" borderId="0" applyAlignment="1" pivotButton="0" quotePrefix="0" xfId="0">
      <alignment horizontal="left"/>
    </xf>
    <xf numFmtId="168" fontId="76" fillId="0" borderId="1" applyAlignment="1" pivotButton="0" quotePrefix="0" xfId="1">
      <alignment horizontal="right" vertical="center"/>
    </xf>
    <xf numFmtId="0" fontId="0" fillId="0" borderId="9" pivotButton="0" quotePrefix="0" xfId="0"/>
    <xf numFmtId="0" fontId="0" fillId="0" borderId="3" pivotButton="0" quotePrefix="0" xfId="0"/>
    <xf numFmtId="0" fontId="76" fillId="0" borderId="58" applyAlignment="1" pivotButton="0" quotePrefix="0" xfId="0">
      <alignment horizontal="center" vertical="center"/>
    </xf>
    <xf numFmtId="0" fontId="76" fillId="0" borderId="58" applyAlignment="1" pivotButton="0" quotePrefix="0" xfId="0">
      <alignment vertical="center"/>
    </xf>
    <xf numFmtId="180" fontId="76" fillId="0" borderId="58" applyAlignment="1" pivotButton="0" quotePrefix="0" xfId="0">
      <alignment horizontal="center" vertical="center"/>
    </xf>
    <xf numFmtId="181" fontId="76" fillId="0" borderId="58" applyAlignment="1" pivotButton="0" quotePrefix="0" xfId="0">
      <alignment vertical="center"/>
    </xf>
    <xf numFmtId="0" fontId="78" fillId="16" borderId="58" applyAlignment="1" pivotButton="0" quotePrefix="0" xfId="0">
      <alignment horizontal="center" vertical="center"/>
    </xf>
    <xf numFmtId="0" fontId="0" fillId="16" borderId="58" pivotButton="0" quotePrefix="0" xfId="0"/>
    <xf numFmtId="181" fontId="78" fillId="16" borderId="58" applyAlignment="1" pivotButton="0" quotePrefix="0" xfId="0">
      <alignment horizontal="center" vertical="center"/>
    </xf>
    <xf numFmtId="0" fontId="76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87" fillId="14" borderId="4" applyAlignment="1" pivotButton="0" quotePrefix="0" xfId="0">
      <alignment horizontal="left" vertical="center"/>
    </xf>
    <xf numFmtId="0" fontId="0" fillId="0" borderId="17" pivotButton="0" quotePrefix="0" xfId="0"/>
    <xf numFmtId="0" fontId="78" fillId="17" borderId="58" applyAlignment="1" pivotButton="0" quotePrefix="0" xfId="0">
      <alignment horizontal="left" vertical="center"/>
    </xf>
    <xf numFmtId="0" fontId="0" fillId="0" borderId="58" pivotButton="0" quotePrefix="0" xfId="0"/>
    <xf numFmtId="0" fontId="78" fillId="16" borderId="58" applyAlignment="1" pivotButton="0" quotePrefix="0" xfId="0">
      <alignment horizontal="right" vertical="center"/>
    </xf>
    <xf numFmtId="168" fontId="76" fillId="0" borderId="0" applyAlignment="1" pivotButton="0" quotePrefix="0" xfId="27">
      <alignment vertical="center"/>
    </xf>
    <xf numFmtId="168" fontId="75" fillId="0" borderId="0" applyAlignment="1" pivotButton="0" quotePrefix="0" xfId="1">
      <alignment vertical="center"/>
    </xf>
    <xf numFmtId="168" fontId="90" fillId="0" borderId="0" applyAlignment="1" pivotButton="0" quotePrefix="0" xfId="1">
      <alignment vertical="center"/>
    </xf>
    <xf numFmtId="168" fontId="88" fillId="0" borderId="0" applyAlignment="1" pivotButton="0" quotePrefix="0" xfId="1">
      <alignment vertical="top" wrapText="1"/>
    </xf>
    <xf numFmtId="168" fontId="88" fillId="0" borderId="0" applyAlignment="1" pivotButton="0" quotePrefix="0" xfId="1">
      <alignment horizontal="right" vertical="center" wrapText="1"/>
    </xf>
    <xf numFmtId="168" fontId="88" fillId="0" borderId="0" applyAlignment="1" pivotButton="0" quotePrefix="0" xfId="1">
      <alignment horizontal="right" vertical="center"/>
    </xf>
    <xf numFmtId="168" fontId="90" fillId="5" borderId="4" applyAlignment="1" pivotButton="0" quotePrefix="0" xfId="1">
      <alignment horizontal="center" vertical="center"/>
    </xf>
    <xf numFmtId="0" fontId="0" fillId="0" borderId="12" pivotButton="0" quotePrefix="0" xfId="0"/>
    <xf numFmtId="0" fontId="0" fillId="0" borderId="7" pivotButton="0" quotePrefix="0" xfId="0"/>
    <xf numFmtId="168" fontId="92" fillId="0" borderId="45" applyAlignment="1" pivotButton="0" quotePrefix="0" xfId="1">
      <alignment horizontal="center" vertical="center"/>
    </xf>
    <xf numFmtId="172" fontId="88" fillId="0" borderId="0" applyAlignment="1" pivotButton="0" quotePrefix="0" xfId="0">
      <alignment horizontal="left"/>
    </xf>
    <xf numFmtId="168" fontId="88" fillId="0" borderId="1" applyAlignment="1" pivotButton="0" quotePrefix="0" xfId="1">
      <alignment horizontal="right" vertical="center"/>
    </xf>
    <xf numFmtId="0" fontId="0" fillId="0" borderId="19" pivotButton="0" quotePrefix="0" xfId="0"/>
    <xf numFmtId="0" fontId="0" fillId="0" borderId="8" pivotButton="0" quotePrefix="0" xfId="0"/>
    <xf numFmtId="0" fontId="0" fillId="0" borderId="45" pivotButton="0" quotePrefix="0" xfId="0"/>
    <xf numFmtId="0" fontId="0" fillId="0" borderId="46" pivotButton="0" quotePrefix="0" xfId="0"/>
    <xf numFmtId="0" fontId="78" fillId="8" borderId="4" applyAlignment="1" pivotButton="0" quotePrefix="0" xfId="26">
      <alignment horizontal="center" vertical="center" wrapText="1"/>
    </xf>
    <xf numFmtId="168" fontId="80" fillId="8" borderId="19" applyAlignment="1" pivotButton="0" quotePrefix="0" xfId="1">
      <alignment horizontal="center" vertical="center"/>
    </xf>
    <xf numFmtId="0" fontId="79" fillId="8" borderId="4" applyAlignment="1" pivotButton="0" quotePrefix="0" xfId="26">
      <alignment horizontal="center" vertical="center" wrapText="1"/>
    </xf>
    <xf numFmtId="168" fontId="78" fillId="8" borderId="4" applyAlignment="1" pivotButton="0" quotePrefix="0" xfId="27">
      <alignment horizontal="center" vertical="center"/>
    </xf>
    <xf numFmtId="0" fontId="0" fillId="0" borderId="5" pivotButton="0" quotePrefix="0" xfId="0"/>
    <xf numFmtId="181" fontId="76" fillId="0" borderId="58" applyAlignment="1" pivotButton="0" quotePrefix="0" xfId="0">
      <alignment horizontal="center" vertical="center"/>
    </xf>
    <xf numFmtId="168" fontId="92" fillId="0" borderId="4" applyAlignment="1" pivotButton="0" quotePrefix="0" xfId="1">
      <alignment horizontal="center" vertical="center"/>
    </xf>
    <xf numFmtId="0" fontId="0" fillId="0" borderId="39" pivotButton="0" quotePrefix="0" xfId="0"/>
    <xf numFmtId="0" fontId="0" fillId="0" borderId="40" pivotButton="0" quotePrefix="0" xfId="0"/>
    <xf numFmtId="0" fontId="0" fillId="0" borderId="36" pivotButton="0" quotePrefix="0" xfId="0"/>
    <xf numFmtId="168" fontId="75" fillId="11" borderId="4" applyAlignment="1" pivotButton="0" quotePrefix="0" xfId="27">
      <alignment vertical="center"/>
    </xf>
    <xf numFmtId="169" fontId="76" fillId="0" borderId="4" applyAlignment="1" pivotButton="0" quotePrefix="0" xfId="23">
      <alignment horizontal="center" vertical="center"/>
    </xf>
    <xf numFmtId="168" fontId="75" fillId="0" borderId="4" applyAlignment="1" pivotButton="0" quotePrefix="0" xfId="1">
      <alignment vertical="center"/>
    </xf>
    <xf numFmtId="168" fontId="75" fillId="0" borderId="4" applyAlignment="1" pivotButton="0" quotePrefix="0" xfId="27">
      <alignment vertical="center"/>
    </xf>
    <xf numFmtId="168" fontId="75" fillId="0" borderId="4" applyAlignment="1" pivotButton="0" quotePrefix="0" xfId="26">
      <alignment vertical="center"/>
    </xf>
    <xf numFmtId="176" fontId="93" fillId="0" borderId="0" pivotButton="0" quotePrefix="0" xfId="0"/>
    <xf numFmtId="174" fontId="76" fillId="3" borderId="4" applyAlignment="1" pivotButton="0" quotePrefix="0" xfId="26">
      <alignment horizontal="center" vertical="center" wrapText="1"/>
    </xf>
    <xf numFmtId="175" fontId="76" fillId="3" borderId="4" applyAlignment="1" pivotButton="0" quotePrefix="0" xfId="26">
      <alignment horizontal="center" vertical="center"/>
    </xf>
    <xf numFmtId="168" fontId="76" fillId="0" borderId="4" applyAlignment="1" pivotButton="0" quotePrefix="0" xfId="27">
      <alignment vertical="center"/>
    </xf>
    <xf numFmtId="168" fontId="75" fillId="0" borderId="4" pivotButton="0" quotePrefix="0" xfId="27"/>
    <xf numFmtId="168" fontId="76" fillId="0" borderId="4" applyAlignment="1" pivotButton="0" quotePrefix="0" xfId="1">
      <alignment horizontal="center" vertical="center"/>
    </xf>
    <xf numFmtId="168" fontId="75" fillId="0" borderId="0" pivotButton="0" quotePrefix="0" xfId="1"/>
    <xf numFmtId="168" fontId="81" fillId="0" borderId="0" pivotButton="0" quotePrefix="0" xfId="1"/>
    <xf numFmtId="168" fontId="80" fillId="0" borderId="4" applyAlignment="1" pivotButton="0" quotePrefix="0" xfId="26">
      <alignment horizontal="center" vertical="center"/>
    </xf>
    <xf numFmtId="168" fontId="75" fillId="0" borderId="0" applyAlignment="1" pivotButton="0" quotePrefix="0" xfId="26">
      <alignment horizontal="center" vertical="center"/>
    </xf>
    <xf numFmtId="168" fontId="76" fillId="0" borderId="0" applyAlignment="1" pivotButton="0" quotePrefix="0" xfId="1">
      <alignment horizontal="center" vertical="center" wrapText="1"/>
    </xf>
    <xf numFmtId="168" fontId="76" fillId="0" borderId="0" applyAlignment="1" pivotButton="0" quotePrefix="0" xfId="1">
      <alignment vertical="center"/>
    </xf>
    <xf numFmtId="168" fontId="88" fillId="0" borderId="0" applyAlignment="1" pivotButton="0" quotePrefix="0" xfId="1">
      <alignment horizontal="center" vertical="center" wrapText="1"/>
    </xf>
    <xf numFmtId="168" fontId="88" fillId="0" borderId="1" applyAlignment="1" pivotButton="0" quotePrefix="0" xfId="1">
      <alignment vertical="center"/>
    </xf>
    <xf numFmtId="168" fontId="88" fillId="0" borderId="0" applyAlignment="1" pivotButton="0" quotePrefix="0" xfId="1">
      <alignment vertical="center"/>
    </xf>
    <xf numFmtId="0" fontId="76" fillId="18" borderId="58" applyAlignment="1" pivotButton="0" quotePrefix="0" xfId="0">
      <alignment horizontal="center" vertical="center"/>
    </xf>
    <xf numFmtId="0" fontId="76" fillId="18" borderId="58" applyAlignment="1" pivotButton="0" quotePrefix="0" xfId="0">
      <alignment horizontal="right" vertical="center"/>
    </xf>
    <xf numFmtId="0" fontId="76" fillId="0" borderId="58" applyAlignment="1" pivotButton="0" quotePrefix="0" xfId="0">
      <alignment horizontal="right" vertical="center"/>
    </xf>
    <xf numFmtId="181" fontId="78" fillId="0" borderId="58" applyAlignment="1" pivotButton="0" quotePrefix="0" xfId="0">
      <alignment horizontal="right" vertical="center"/>
    </xf>
    <xf numFmtId="182" fontId="76" fillId="0" borderId="58" applyAlignment="1" pivotButton="0" quotePrefix="0" xfId="0">
      <alignment horizontal="right" vertical="center"/>
    </xf>
    <xf numFmtId="181" fontId="76" fillId="0" borderId="58" applyAlignment="1" pivotButton="0" quotePrefix="0" xfId="0">
      <alignment horizontal="right" vertical="center"/>
    </xf>
    <xf numFmtId="181" fontId="78" fillId="16" borderId="58" applyAlignment="1" pivotButton="0" quotePrefix="0" xfId="0">
      <alignment horizontal="right" vertical="center"/>
    </xf>
    <xf numFmtId="165" fontId="20" fillId="5" borderId="4" applyAlignment="1" pivotButton="0" quotePrefix="0" xfId="3">
      <alignment horizontal="right" vertical="center"/>
    </xf>
    <xf numFmtId="165" fontId="20" fillId="7" borderId="4" applyAlignment="1" pivotButton="0" quotePrefix="0" xfId="3">
      <alignment horizontal="right" vertical="center"/>
    </xf>
    <xf numFmtId="169" fontId="12" fillId="7" borderId="4" applyAlignment="1" pivotButton="0" quotePrefix="0" xfId="0">
      <alignment horizontal="center" vertical="center"/>
    </xf>
    <xf numFmtId="168" fontId="12" fillId="7" borderId="4" applyAlignment="1" pivotButton="0" quotePrefix="0" xfId="1">
      <alignment horizontal="center" vertical="center"/>
    </xf>
    <xf numFmtId="168" fontId="18" fillId="7" borderId="10" applyAlignment="1" pivotButton="0" quotePrefix="0" xfId="1">
      <alignment horizontal="center" vertical="center" shrinkToFit="1"/>
    </xf>
    <xf numFmtId="165" fontId="20" fillId="5" borderId="4" applyAlignment="1" pivotButton="0" quotePrefix="0" xfId="3">
      <alignment horizontal="right" vertical="top"/>
    </xf>
    <xf numFmtId="165" fontId="20" fillId="7" borderId="4" applyAlignment="1" pivotButton="0" quotePrefix="0" xfId="3">
      <alignment horizontal="right" vertical="top"/>
    </xf>
    <xf numFmtId="168" fontId="27" fillId="7" borderId="4" applyAlignment="1" pivotButton="0" quotePrefix="0" xfId="1">
      <alignment horizontal="center" vertical="center"/>
    </xf>
    <xf numFmtId="166" fontId="20" fillId="0" borderId="4" applyAlignment="1" pivotButton="0" quotePrefix="0" xfId="0">
      <alignment horizontal="center" vertical="center" wrapText="1"/>
    </xf>
    <xf numFmtId="166" fontId="20" fillId="0" borderId="10" applyAlignment="1" pivotButton="0" quotePrefix="0" xfId="0">
      <alignment horizontal="center" vertical="center" wrapText="1"/>
    </xf>
    <xf numFmtId="165" fontId="20" fillId="5" borderId="10" applyAlignment="1" pivotButton="0" quotePrefix="0" xfId="3">
      <alignment horizontal="right" vertical="center"/>
    </xf>
    <xf numFmtId="165" fontId="20" fillId="7" borderId="10" applyAlignment="1" pivotButton="0" quotePrefix="0" xfId="3">
      <alignment horizontal="right" vertical="center"/>
    </xf>
    <xf numFmtId="168" fontId="18" fillId="0" borderId="10" applyAlignment="1" pivotButton="0" quotePrefix="0" xfId="1">
      <alignment horizontal="center" vertical="center" shrinkToFit="1"/>
    </xf>
    <xf numFmtId="164" fontId="21" fillId="7" borderId="4" applyAlignment="1" pivotButton="0" quotePrefix="0" xfId="3">
      <alignment horizontal="right" vertical="center"/>
    </xf>
    <xf numFmtId="167" fontId="8" fillId="7" borderId="4" applyAlignment="1" pivotButton="0" quotePrefix="0" xfId="0">
      <alignment horizontal="left" vertical="center"/>
    </xf>
    <xf numFmtId="167" fontId="8" fillId="7" borderId="4" applyAlignment="1" pivotButton="0" quotePrefix="0" xfId="0">
      <alignment horizontal="center" vertical="center"/>
    </xf>
    <xf numFmtId="164" fontId="28" fillId="7" borderId="4" applyAlignment="1" pivotButton="0" quotePrefix="0" xfId="3">
      <alignment horizontal="right" vertical="center"/>
    </xf>
    <xf numFmtId="168" fontId="18" fillId="7" borderId="4" applyAlignment="1" pivotButton="0" quotePrefix="0" xfId="1">
      <alignment horizontal="center" vertical="center" shrinkToFit="1"/>
    </xf>
    <xf numFmtId="0" fontId="25" fillId="0" borderId="4" applyAlignment="1" pivotButton="0" quotePrefix="0" xfId="0">
      <alignment horizontal="center" vertical="center" wrapText="1"/>
    </xf>
    <xf numFmtId="168" fontId="11" fillId="0" borderId="4" pivotButton="0" quotePrefix="0" xfId="1"/>
    <xf numFmtId="0" fontId="0" fillId="0" borderId="11" pivotButton="0" quotePrefix="0" xfId="0"/>
    <xf numFmtId="0" fontId="0" fillId="0" borderId="6" pivotButton="0" quotePrefix="0" xfId="0"/>
    <xf numFmtId="168" fontId="11" fillId="7" borderId="4" pivotButton="0" quotePrefix="0" xfId="1"/>
    <xf numFmtId="0" fontId="24" fillId="0" borderId="4" applyAlignment="1" pivotButton="0" quotePrefix="0" xfId="0">
      <alignment horizontal="center" vertical="center"/>
    </xf>
    <xf numFmtId="165" fontId="20" fillId="3" borderId="4" applyAlignment="1" pivotButton="0" quotePrefix="0" xfId="3">
      <alignment horizontal="right" vertical="center"/>
    </xf>
    <xf numFmtId="0" fontId="11" fillId="4" borderId="4" applyAlignment="1" pivotButton="0" quotePrefix="0" xfId="0">
      <alignment horizontal="center" vertical="center"/>
    </xf>
    <xf numFmtId="166" fontId="8" fillId="4" borderId="4" applyAlignment="1" pivotButton="0" quotePrefix="0" xfId="0">
      <alignment horizontal="center" vertical="center"/>
    </xf>
    <xf numFmtId="164" fontId="21" fillId="4" borderId="4" applyAlignment="1" pivotButton="0" quotePrefix="0" xfId="3">
      <alignment horizontal="right" vertical="center"/>
    </xf>
    <xf numFmtId="167" fontId="8" fillId="4" borderId="4" applyAlignment="1" pivotButton="0" quotePrefix="0" xfId="0">
      <alignment horizontal="left" vertical="center"/>
    </xf>
    <xf numFmtId="167" fontId="8" fillId="4" borderId="4" applyAlignment="1" pivotButton="0" quotePrefix="0" xfId="0">
      <alignment horizontal="center" vertical="center"/>
    </xf>
    <xf numFmtId="165" fontId="20" fillId="0" borderId="4" applyAlignment="1" pivotButton="0" quotePrefix="0" xfId="3">
      <alignment horizontal="right" vertical="top"/>
    </xf>
    <xf numFmtId="165" fontId="20" fillId="6" borderId="4" applyAlignment="1" pivotButton="0" quotePrefix="0" xfId="3">
      <alignment horizontal="right" vertical="center"/>
    </xf>
    <xf numFmtId="165" fontId="20" fillId="6" borderId="4" applyAlignment="1" pivotButton="0" quotePrefix="0" xfId="3">
      <alignment horizontal="right" vertical="top"/>
    </xf>
    <xf numFmtId="165" fontId="20" fillId="6" borderId="4" applyAlignment="1" pivotButton="0" quotePrefix="0" xfId="3">
      <alignment horizontal="center" vertical="center"/>
    </xf>
    <xf numFmtId="0" fontId="9" fillId="4" borderId="4" applyAlignment="1" pivotButton="0" quotePrefix="0" xfId="0">
      <alignment horizontal="center" vertical="center"/>
    </xf>
    <xf numFmtId="168" fontId="62" fillId="0" borderId="0" pivotButton="0" quotePrefix="0" xfId="9"/>
    <xf numFmtId="0" fontId="0" fillId="0" borderId="21" pivotButton="0" quotePrefix="0" xfId="0"/>
    <xf numFmtId="0" fontId="0" fillId="0" borderId="57" pivotButton="0" quotePrefix="0" xfId="0"/>
    <xf numFmtId="168" fontId="52" fillId="0" borderId="4" pivotButton="0" quotePrefix="0" xfId="9"/>
    <xf numFmtId="168" fontId="52" fillId="0" borderId="3" pivotButton="0" quotePrefix="0" xfId="9"/>
    <xf numFmtId="166" fontId="30" fillId="0" borderId="13" applyAlignment="1" pivotButton="0" quotePrefix="0" xfId="8">
      <alignment horizontal="center"/>
    </xf>
    <xf numFmtId="168" fontId="30" fillId="0" borderId="4" applyAlignment="1" pivotButton="0" quotePrefix="0" xfId="9">
      <alignment horizontal="center" vertical="center"/>
    </xf>
    <xf numFmtId="168" fontId="30" fillId="0" borderId="27" applyAlignment="1" pivotButton="0" quotePrefix="0" xfId="9">
      <alignment horizontal="center" vertical="center"/>
    </xf>
    <xf numFmtId="178" fontId="58" fillId="0" borderId="4" applyAlignment="1" pivotButton="0" quotePrefix="0" xfId="8">
      <alignment horizontal="center"/>
    </xf>
    <xf numFmtId="168" fontId="58" fillId="0" borderId="4" applyAlignment="1" pivotButton="0" quotePrefix="0" xfId="9">
      <alignment horizontal="center" vertical="center"/>
    </xf>
    <xf numFmtId="168" fontId="54" fillId="0" borderId="4" applyAlignment="1" pivotButton="0" quotePrefix="0" xfId="9">
      <alignment horizontal="center" vertical="center"/>
    </xf>
    <xf numFmtId="168" fontId="58" fillId="0" borderId="27" applyAlignment="1" pivotButton="0" quotePrefix="0" xfId="9">
      <alignment horizontal="center" vertical="center"/>
    </xf>
    <xf numFmtId="178" fontId="58" fillId="0" borderId="28" applyAlignment="1" pivotButton="0" quotePrefix="0" xfId="8">
      <alignment horizontal="center"/>
    </xf>
    <xf numFmtId="0" fontId="0" fillId="0" borderId="53" pivotButton="0" quotePrefix="0" xfId="0"/>
    <xf numFmtId="0" fontId="0" fillId="0" borderId="54" pivotButton="0" quotePrefix="0" xfId="0"/>
    <xf numFmtId="168" fontId="58" fillId="0" borderId="32" applyAlignment="1" pivotButton="0" quotePrefix="0" xfId="9">
      <alignment horizontal="center" vertical="center"/>
    </xf>
    <xf numFmtId="164" fontId="54" fillId="0" borderId="32" applyAlignment="1" pivotButton="0" quotePrefix="0" xfId="10">
      <alignment horizontal="center" vertical="center"/>
    </xf>
    <xf numFmtId="164" fontId="55" fillId="0" borderId="32" applyAlignment="1" pivotButton="0" quotePrefix="0" xfId="10">
      <alignment horizontal="center" vertical="center"/>
    </xf>
    <xf numFmtId="164" fontId="54" fillId="0" borderId="33" applyAlignment="1" pivotButton="0" quotePrefix="0" xfId="10">
      <alignment horizontal="center" vertical="center"/>
    </xf>
    <xf numFmtId="168" fontId="55" fillId="0" borderId="0" applyAlignment="1" pivotButton="0" quotePrefix="0" xfId="9">
      <alignment horizontal="center"/>
    </xf>
    <xf numFmtId="168" fontId="55" fillId="0" borderId="0" pivotButton="0" quotePrefix="0" xfId="9"/>
    <xf numFmtId="168" fontId="42" fillId="0" borderId="0" applyAlignment="1" pivotButton="0" quotePrefix="0" xfId="9">
      <alignment vertical="center"/>
    </xf>
    <xf numFmtId="168" fontId="64" fillId="0" borderId="0" pivotButton="0" quotePrefix="0" xfId="11"/>
    <xf numFmtId="171" fontId="67" fillId="0" borderId="0" applyAlignment="1" pivotButton="0" quotePrefix="0" xfId="17">
      <alignment vertical="center"/>
    </xf>
    <xf numFmtId="168" fontId="62" fillId="0" borderId="0" applyAlignment="1" pivotButton="0" quotePrefix="0" xfId="8">
      <alignment vertical="center"/>
    </xf>
    <xf numFmtId="168" fontId="0" fillId="0" borderId="0" pivotButton="0" quotePrefix="0" xfId="9"/>
    <xf numFmtId="168" fontId="72" fillId="0" borderId="0" applyAlignment="1" pivotButton="0" quotePrefix="0" xfId="8">
      <alignment horizontal="left" vertical="center"/>
    </xf>
    <xf numFmtId="168" fontId="59" fillId="0" borderId="0" pivotButton="0" quotePrefix="0" xfId="1"/>
    <xf numFmtId="168" fontId="59" fillId="0" borderId="0" pivotButton="0" quotePrefix="0" xfId="9"/>
    <xf numFmtId="168" fontId="59" fillId="0" borderId="0" applyAlignment="1" pivotButton="0" quotePrefix="0" xfId="1">
      <alignment vertical="center"/>
    </xf>
    <xf numFmtId="168" fontId="59" fillId="0" borderId="0" applyAlignment="1" pivotButton="0" quotePrefix="0" xfId="1">
      <alignment horizontal="right"/>
    </xf>
    <xf numFmtId="168" fontId="59" fillId="0" borderId="34" applyAlignment="1" pivotButton="0" quotePrefix="0" xfId="1">
      <alignment horizontal="right"/>
    </xf>
    <xf numFmtId="168" fontId="59" fillId="0" borderId="0" applyAlignment="1" pivotButton="0" quotePrefix="0" xfId="9">
      <alignment vertical="center"/>
    </xf>
    <xf numFmtId="168" fontId="59" fillId="0" borderId="0" applyAlignment="1" pivotButton="0" quotePrefix="0" xfId="9">
      <alignment horizontal="right"/>
    </xf>
    <xf numFmtId="168" fontId="59" fillId="0" borderId="0" applyAlignment="1" pivotButton="0" quotePrefix="0" xfId="9">
      <alignment horizontal="center"/>
    </xf>
    <xf numFmtId="168" fontId="59" fillId="0" borderId="0" applyAlignment="1" pivotButton="0" quotePrefix="0" xfId="8">
      <alignment vertical="center"/>
    </xf>
    <xf numFmtId="168" fontId="62" fillId="0" borderId="0" applyAlignment="1" pivotButton="0" quotePrefix="0" xfId="9">
      <alignment horizontal="center"/>
    </xf>
    <xf numFmtId="171" fontId="67" fillId="0" borderId="0" applyAlignment="1" pivotButton="0" quotePrefix="0" xfId="16">
      <alignment vertical="center"/>
    </xf>
    <xf numFmtId="168" fontId="62" fillId="0" borderId="0" applyAlignment="1" pivotButton="0" quotePrefix="0" xfId="8">
      <alignment horizontal="center" vertical="center"/>
    </xf>
    <xf numFmtId="168" fontId="30" fillId="0" borderId="14" pivotButton="0" quotePrefix="0" xfId="9"/>
    <xf numFmtId="168" fontId="58" fillId="0" borderId="30" applyAlignment="1" pivotButton="0" quotePrefix="0" xfId="9">
      <alignment vertical="center"/>
    </xf>
    <xf numFmtId="168" fontId="58" fillId="0" borderId="31" applyAlignment="1" pivotButton="0" quotePrefix="0" xfId="9">
      <alignment vertical="center"/>
    </xf>
    <xf numFmtId="171" fontId="67" fillId="0" borderId="0" applyAlignment="1" pivotButton="0" quotePrefix="0" xfId="12">
      <alignment vertical="center"/>
    </xf>
  </cellXfs>
  <cellStyles count="47">
    <cellStyle name="Normal" xfId="0" builtinId="0"/>
    <cellStyle name="Comma" xfId="1" builtinId="3"/>
    <cellStyle name="Comma 2" xfId="2"/>
    <cellStyle name="Currency" xfId="3" builtinId="4"/>
    <cellStyle name="Normal 2" xfId="4"/>
    <cellStyle name="Normal 3" xfId="5"/>
    <cellStyle name="Normal 3 2" xfId="6"/>
    <cellStyle name="Style 1" xfId="7"/>
    <cellStyle name="Normal 4" xfId="8"/>
    <cellStyle name="Comma 3" xfId="9"/>
    <cellStyle name="Currency 2" xfId="10"/>
    <cellStyle name="常规_Sheet1" xfId="11"/>
    <cellStyle name="千位分隔_Sheet1" xfId="12"/>
    <cellStyle name="一般" xfId="13"/>
    <cellStyle name="千位分隔 30" xfId="14"/>
    <cellStyle name="千位分隔 32" xfId="15"/>
    <cellStyle name="千位分隔_Sheet1 2" xfId="16"/>
    <cellStyle name="千位分隔_Sheet1 3" xfId="17"/>
    <cellStyle name="Normal 18" xfId="18"/>
    <cellStyle name="Comma 10" xfId="19"/>
    <cellStyle name="%_WHT .Return" xfId="20"/>
    <cellStyle name="Comma 2 2 3" xfId="21"/>
    <cellStyle name="Comma 10 3" xfId="22"/>
    <cellStyle name="Normal_PJ0406" xfId="23"/>
    <cellStyle name="Normal_PJ0506" xfId="24"/>
    <cellStyle name="Normal 2 2" xfId="25"/>
    <cellStyle name="Normal 5" xfId="26"/>
    <cellStyle name="Comma 4" xfId="27"/>
    <cellStyle name="Percent 2" xfId="28"/>
    <cellStyle name="Normal_Oct 04" xfId="29"/>
    <cellStyle name="Normal 6" xfId="30"/>
    <cellStyle name="Percent" xfId="31" builtinId="5"/>
    <cellStyle name="Normal 7" xfId="32"/>
    <cellStyle name="Comma 2 2" xfId="33"/>
    <cellStyle name="Normal 2 4" xfId="34"/>
    <cellStyle name="Normal 3 3" xfId="35"/>
    <cellStyle name="Normal 3 2 2" xfId="36"/>
    <cellStyle name="Normal 4 2" xfId="37"/>
    <cellStyle name="Comma 3 2" xfId="38"/>
    <cellStyle name="Currency 2 2" xfId="39"/>
    <cellStyle name="Normal 5 3" xfId="40"/>
    <cellStyle name="Comma 4 2" xfId="41"/>
    <cellStyle name="Percent 2 2" xfId="42"/>
    <cellStyle name="Normal 6 2" xfId="43"/>
    <cellStyle name="Percent 3" xfId="44"/>
    <cellStyle name="Normal 2 3" xfId="45"/>
    <cellStyle name="Normal 5 2" xfId="46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externalLink" Target="/xl/externalLinks/externalLink1.xml" Id="rId16"/><Relationship Type="http://schemas.openxmlformats.org/officeDocument/2006/relationships/externalLink" Target="/xl/externalLinks/externalLink2.xml" Id="rId17"/><Relationship Type="http://schemas.openxmlformats.org/officeDocument/2006/relationships/externalLink" Target="/xl/externalLinks/externalLink3.xml" Id="rId18"/><Relationship Type="http://schemas.openxmlformats.org/officeDocument/2006/relationships/externalLink" Target="/xl/externalLinks/externalLink4.xml" Id="rId19"/><Relationship Type="http://schemas.openxmlformats.org/officeDocument/2006/relationships/externalLink" Target="/xl/externalLinks/externalLink5.xml" Id="rId20"/><Relationship Type="http://schemas.openxmlformats.org/officeDocument/2006/relationships/externalLink" Target="/xl/externalLinks/externalLink6.xml" Id="rId21"/><Relationship Type="http://schemas.openxmlformats.org/officeDocument/2006/relationships/externalLink" Target="/xl/externalLinks/externalLink7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Lenovo</author>
  </authors>
  <commentList>
    <comment ref="K3" authorId="0" shapeId="0">
      <text>
        <t>Leno</t>
      </text>
    </comment>
  </commentList>
</comments>
</file>

<file path=xl/comments/comment2.xml><?xml version="1.0" encoding="utf-8"?>
<comments xmlns="http://schemas.openxmlformats.org/spreadsheetml/2006/main">
  <authors>
    <author>Lenovo</author>
  </authors>
  <commentList>
    <comment ref="K3" authorId="0" shapeId="0">
      <text>
        <t>Leno</t>
      </text>
    </comment>
  </commentList>
</comments>
</file>

<file path=xl/comments/comment3.xml><?xml version="1.0" encoding="utf-8"?>
<comments xmlns="http://schemas.openxmlformats.org/spreadsheetml/2006/main">
  <authors>
    <author>Lenovo</author>
  </authors>
  <commentList>
    <comment ref="L3" authorId="0" shapeId="0">
      <text>
        <t>Leno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H:\MSOffice\Excel\ARBEIT\UPL\UPL-PLPA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O:\Users\DarySo\AppData\Local\Microsoft\Windows\Temporary%20Internet%20Files\Content.Outlook\R252VFRG\Documents%20and%20Settings\lpauline.VN\Local%20Settings\Temp\KPMG05-Info%20require%20for%20preparing%20Sal%20tax-S1412-LPL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A:\HH-AUDIT\OLY017\DIAGNOST\ENGLISCH\OLYMPUS\ANLAGEN.XLS" TargetMode="External" Id="rId1"/></Relationships>
</file>

<file path=xl/externalLinks/_rels/externalLink4.xml.rels><Relationships xmlns="http://schemas.openxmlformats.org/package/2006/relationships"><Relationship Type="http://schemas.microsoft.com/office/2006/relationships/xlExternalLinkPath/xlPathMissing" Target="Purchase%20Order1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S:\QA%20report\Financial\Sale%20report_for%20accounting_Version%202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A:\GC-A\SoF_UPL00\SoF%20Company\UPL-PLPA.XLS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D:\Documents%20and%20Settings\lpauline.VN\Local%20Settings\Temp\KPMG05-Info%20require%20for%20preparing%20Sal%20tax-S1412-LPL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mpany Related Premises"/>
      <sheetName val="S. 5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st27-09-08"/>
      <sheetName val="Dist-AD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Dropdown data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Sal_tax11"/>
      <sheetName val="Purchase_Journal3"/>
      <sheetName val="SFBT"/>
      <sheetName val="Vendor"/>
      <sheetName val="COA"/>
      <sheetName val="v (104)"/>
      <sheetName val="v (103)"/>
      <sheetName val="v (105)"/>
      <sheetName val="v (106)"/>
      <sheetName val="v (107)"/>
      <sheetName val="v (108)"/>
      <sheetName val="v (109)"/>
      <sheetName val="v (110)"/>
      <sheetName val="v (111)"/>
      <sheetName val="v (112)"/>
      <sheetName val="v (113)"/>
      <sheetName val="v (114)"/>
      <sheetName val="v (115)"/>
      <sheetName val="v (116)"/>
      <sheetName val="v (117)"/>
      <sheetName val="v (118)"/>
      <sheetName val="v (119)"/>
      <sheetName val="v (120)"/>
      <sheetName val="v (121)"/>
      <sheetName val="v (122)"/>
      <sheetName val="v (123)"/>
      <sheetName val="v (124)"/>
      <sheetName val="v (125)"/>
      <sheetName val="v (126)"/>
      <sheetName val="v (127)"/>
      <sheetName val="v (128)"/>
      <sheetName val="v (129)"/>
      <sheetName val="v (130)"/>
      <sheetName val="v (131)"/>
      <sheetName val="v (132)"/>
      <sheetName val="v (133)"/>
      <sheetName val="v (134)"/>
      <sheetName val="v (135)"/>
      <sheetName val="v (136)"/>
      <sheetName val="Sheet10"/>
      <sheetName val="AC17"/>
      <sheetName val="Main Cash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nhan cong"/>
      <sheetName val="Stock-06"/>
      <sheetName val="SCE_13"/>
      <sheetName val="2016-12"/>
      <sheetName val="2002"/>
      <sheetName val="Tax Depre"/>
      <sheetName val="Budgets"/>
      <sheetName val="OPL98 - SKK Dec98"/>
      <sheetName val="SCE_12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 refreshError="1"/>
      <sheetData sheetId="27" refreshError="1"/>
      <sheetData sheetId="28" refreshError="1"/>
      <sheetData sheetId="29"/>
      <sheetData sheetId="30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Anlagevermögen"/>
    </sheetNames>
    <sheetDataSet>
      <sheetData sheetId="0">
        <row r="1">
          <cell r="Z1" t="str">
            <v>EXHIBIT 3</v>
          </cell>
        </row>
        <row r="2">
          <cell r="Z2" t="str">
            <v>Page 3</v>
          </cell>
        </row>
        <row r="5">
          <cell r="C5" t="str">
            <v>Statement of fixed assets movements</v>
          </cell>
        </row>
        <row r="10">
          <cell r="D10" t="str">
            <v>AQUISITION COST</v>
          </cell>
          <cell r="N10" t="str">
            <v>ACCUMULATED DEPRECIATION</v>
          </cell>
          <cell r="X10" t="str">
            <v>NET BOOK VALUE</v>
          </cell>
        </row>
        <row r="11">
          <cell r="J11" t="str">
            <v xml:space="preserve">Exchange </v>
          </cell>
          <cell r="T11" t="str">
            <v>Exchange</v>
          </cell>
        </row>
        <row r="12">
          <cell r="D12" t="str">
            <v>April 1, 1995</v>
          </cell>
          <cell r="F12" t="str">
            <v>Additions</v>
          </cell>
          <cell r="H12" t="str">
            <v>Disposals</v>
          </cell>
          <cell r="J12" t="str">
            <v>Difference</v>
          </cell>
          <cell r="L12" t="str">
            <v>March 31, 1996</v>
          </cell>
          <cell r="N12" t="str">
            <v>April 1, 1995</v>
          </cell>
          <cell r="P12" t="str">
            <v>Additions</v>
          </cell>
          <cell r="R12" t="str">
            <v>Disposals</v>
          </cell>
          <cell r="T12" t="str">
            <v>Difference</v>
          </cell>
          <cell r="V12" t="str">
            <v>March 31, 1996</v>
          </cell>
          <cell r="X12" t="str">
            <v>March 31, 1996</v>
          </cell>
          <cell r="Z12" t="str">
            <v>March 31, 1995</v>
          </cell>
        </row>
        <row r="13">
          <cell r="D13" t="str">
            <v>DM</v>
          </cell>
          <cell r="F13" t="str">
            <v>DM</v>
          </cell>
          <cell r="H13" t="str">
            <v>DM</v>
          </cell>
          <cell r="J13" t="str">
            <v>DM</v>
          </cell>
          <cell r="L13" t="str">
            <v>DM</v>
          </cell>
          <cell r="N13" t="str">
            <v>DM</v>
          </cell>
          <cell r="P13" t="str">
            <v>DM</v>
          </cell>
          <cell r="R13" t="str">
            <v>DM</v>
          </cell>
          <cell r="T13" t="str">
            <v>DM</v>
          </cell>
          <cell r="V13" t="str">
            <v>DM</v>
          </cell>
          <cell r="X13" t="str">
            <v>DM</v>
          </cell>
          <cell r="Z13" t="str">
            <v>DM</v>
          </cell>
        </row>
        <row r="15">
          <cell r="A15" t="str">
            <v>I.</v>
          </cell>
          <cell r="B15" t="str">
            <v>INTANGIBLE ASSETS</v>
          </cell>
        </row>
        <row r="17">
          <cell r="C17" t="str">
            <v>Franchises, trademarks, patents, licences, and similar rights and licences to such rights</v>
          </cell>
          <cell r="D17">
            <v>1177602</v>
          </cell>
          <cell r="F17">
            <v>535543</v>
          </cell>
          <cell r="H17">
            <v>0</v>
          </cell>
          <cell r="J17">
            <v>33507</v>
          </cell>
          <cell r="L17">
            <v>1746652</v>
          </cell>
          <cell r="N17">
            <v>1169056</v>
          </cell>
          <cell r="P17">
            <v>518223</v>
          </cell>
          <cell r="R17">
            <v>0</v>
          </cell>
          <cell r="T17">
            <v>33508</v>
          </cell>
          <cell r="V17">
            <v>1720787</v>
          </cell>
          <cell r="X17">
            <v>25865</v>
          </cell>
          <cell r="Z17">
            <v>8546</v>
          </cell>
        </row>
        <row r="20">
          <cell r="A20" t="str">
            <v>II.</v>
          </cell>
          <cell r="B20" t="str">
            <v>PROPERTY, PLANT AND EQUIPMENT</v>
          </cell>
        </row>
        <row r="22">
          <cell r="B22" t="str">
            <v>1.</v>
          </cell>
          <cell r="C22" t="str">
            <v>Land, leasehold rights and buildings,</v>
          </cell>
        </row>
        <row r="23">
          <cell r="C23" t="str">
            <v>including buildings on non-owned land</v>
          </cell>
          <cell r="D23">
            <v>5044829</v>
          </cell>
          <cell r="F23">
            <v>0</v>
          </cell>
          <cell r="H23">
            <v>0</v>
          </cell>
          <cell r="J23">
            <v>147080</v>
          </cell>
          <cell r="L23">
            <v>5191909</v>
          </cell>
          <cell r="N23">
            <v>2608657</v>
          </cell>
          <cell r="P23">
            <v>129397</v>
          </cell>
          <cell r="R23">
            <v>0</v>
          </cell>
          <cell r="T23">
            <v>77093</v>
          </cell>
          <cell r="V23">
            <v>2815147</v>
          </cell>
          <cell r="X23">
            <v>2376762</v>
          </cell>
          <cell r="Z23">
            <v>2436172</v>
          </cell>
        </row>
        <row r="24">
          <cell r="B24" t="str">
            <v>2.</v>
          </cell>
          <cell r="C24" t="str">
            <v xml:space="preserve">Other equipment, operational and </v>
          </cell>
        </row>
        <row r="25">
          <cell r="C25" t="str">
            <v>office equipment</v>
          </cell>
          <cell r="D25">
            <v>11635933</v>
          </cell>
          <cell r="F25">
            <v>4656110</v>
          </cell>
          <cell r="H25">
            <v>-1917556</v>
          </cell>
          <cell r="J25">
            <v>245073</v>
          </cell>
          <cell r="L25">
            <v>14619560</v>
          </cell>
          <cell r="N25">
            <v>8181318</v>
          </cell>
          <cell r="P25">
            <v>2348299</v>
          </cell>
          <cell r="R25">
            <v>-827341</v>
          </cell>
          <cell r="T25">
            <v>201854</v>
          </cell>
          <cell r="V25">
            <v>9904130</v>
          </cell>
          <cell r="X25">
            <v>4715430</v>
          </cell>
          <cell r="Z25">
            <v>3454615</v>
          </cell>
        </row>
        <row r="27">
          <cell r="D27">
            <v>16680762</v>
          </cell>
          <cell r="F27">
            <v>4656110</v>
          </cell>
          <cell r="H27">
            <v>-1917556</v>
          </cell>
          <cell r="J27">
            <v>392153</v>
          </cell>
          <cell r="L27">
            <v>19811469</v>
          </cell>
          <cell r="N27">
            <v>10789975.140000001</v>
          </cell>
          <cell r="P27">
            <v>2477696</v>
          </cell>
          <cell r="R27">
            <v>-827341</v>
          </cell>
          <cell r="T27">
            <v>278947</v>
          </cell>
          <cell r="V27">
            <v>12719277.140000001</v>
          </cell>
          <cell r="X27">
            <v>7092192</v>
          </cell>
          <cell r="Z27">
            <v>5890787</v>
          </cell>
        </row>
        <row r="29">
          <cell r="D29">
            <v>17858363.649999999</v>
          </cell>
          <cell r="F29">
            <v>5191653</v>
          </cell>
          <cell r="H29">
            <v>-1917556</v>
          </cell>
          <cell r="I29">
            <v>0</v>
          </cell>
          <cell r="J29">
            <v>425660</v>
          </cell>
          <cell r="L29">
            <v>21558121</v>
          </cell>
          <cell r="N29">
            <v>11959031.140000001</v>
          </cell>
          <cell r="O29">
            <v>0</v>
          </cell>
          <cell r="P29">
            <v>2995919</v>
          </cell>
          <cell r="Q29">
            <v>0</v>
          </cell>
          <cell r="R29">
            <v>-827341</v>
          </cell>
          <cell r="S29">
            <v>0</v>
          </cell>
          <cell r="T29">
            <v>312455</v>
          </cell>
          <cell r="U29">
            <v>0</v>
          </cell>
          <cell r="V29">
            <v>14440064.140000001</v>
          </cell>
          <cell r="X29">
            <v>7118057</v>
          </cell>
          <cell r="Y29">
            <v>0</v>
          </cell>
          <cell r="Z29">
            <v>5899333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utoOpen Stub Data"/>
      <sheetName val="Customize Your Purchase Order"/>
      <sheetName val="Purchase Order"/>
      <sheetName val="Macros"/>
      <sheetName val="ATW"/>
      <sheetName val="Lock"/>
      <sheetName val="Intl Data Table"/>
      <sheetName val="TemplateInformation"/>
      <sheetName val="Purchase Order1"/>
      <sheetName val="Loan Amortization Schedule"/>
      <sheetName val="APR'09"/>
      <sheetName val="Customize_Your_Purchase_Order"/>
      <sheetName val="Purchase_Order"/>
      <sheetName val="AutoOpen_Stub_Data"/>
      <sheetName val="Customize_Your_Purchase_Order1"/>
      <sheetName val="Purchase_Order1"/>
      <sheetName val="Intl_Data_Table"/>
      <sheetName val="Purchase_Order11"/>
      <sheetName val="Loan_Amortization_Schedule"/>
      <sheetName val="Customize_Your_Purchase_Order2"/>
      <sheetName val="Purchase_Order2"/>
      <sheetName val="AutoOpen_Stub_Data1"/>
      <sheetName val="Customize_Your_Purchase_Order3"/>
      <sheetName val="Purchase_Order3"/>
      <sheetName val="Intl_Data_Table1"/>
      <sheetName val="Purchase_Order12"/>
      <sheetName val="Loan_Amortization_Schedule1"/>
      <sheetName val="Customize_Your_Purchase_Order4"/>
      <sheetName val="Purchase_Order4"/>
      <sheetName val="DETAIL "/>
      <sheetName val="List"/>
      <sheetName val="Boq(1)"/>
      <sheetName val="外気負荷"/>
      <sheetName val="C-LOAD(L-FACTORY.)"/>
      <sheetName val="summary"/>
      <sheetName val="SAN REDUCED 1"/>
      <sheetName val="covere"/>
      <sheetName val="SH-D"/>
      <sheetName val="SH-G"/>
      <sheetName val="ค่าวัสดุ"/>
      <sheetName val="SH-E"/>
      <sheetName val="SH-C"/>
      <sheetName val="Defect Report(M&amp;E)"/>
      <sheetName val="EXF"/>
      <sheetName val="Code"/>
      <sheetName val="Price per model"/>
      <sheetName val="建築代価"/>
      <sheetName val="Data"/>
      <sheetName val="SOURCE"/>
      <sheetName val="A กลาง"/>
      <sheetName val="A กลาง เกสร"/>
      <sheetName val="A แฝด"/>
      <sheetName val="A ริม"/>
      <sheetName val="B กลาง"/>
      <sheetName val="B ริม"/>
      <sheetName val="B แฝด"/>
      <sheetName val="C กลาง"/>
      <sheetName val="C ริม"/>
      <sheetName val="C แฝด"/>
      <sheetName val="สรุป"/>
      <sheetName val="เอกสารแนบ"/>
      <sheetName val="SOR"/>
      <sheetName val="cov-estimate"/>
      <sheetName val="040"/>
      <sheetName val="060"/>
      <sheetName val="TABLES"/>
      <sheetName val="Currency Rate"/>
      <sheetName val="BQ-E20-02(Rp)"/>
      <sheetName val="SILICATE"/>
      <sheetName val="Intro"/>
      <sheetName val="Template"/>
      <sheetName val="Variables"/>
      <sheetName val="Report"/>
      <sheetName val="DETAIL_"/>
      <sheetName val="SAN_REDUCED_1"/>
      <sheetName val="C-LOAD(L-FACTORY_)"/>
      <sheetName val="DETAIL_1"/>
      <sheetName val="SAN_REDUCED_11"/>
      <sheetName val="C-LOAD(L-FACTORY_)1"/>
      <sheetName val="Invoice"/>
      <sheetName val="Sheet1 (3)"/>
      <sheetName val="COMMOND LINE"/>
      <sheetName val="Book 1 Summary"/>
      <sheetName val="Total"/>
      <sheetName val="sort2"/>
      <sheetName val="AutoOpen_Stub_Data2"/>
      <sheetName val="Intl_Data_Table2"/>
      <sheetName val="SAN_REDUCED_12"/>
      <sheetName val="DETAIL_2"/>
      <sheetName val="C-LOAD(L-FACTORY_)2"/>
      <sheetName val="COMP"/>
      <sheetName val="cu_ผลรวม"/>
      <sheetName val="cu_รหัส"/>
      <sheetName val="cu_วัน"/>
      <sheetName val="PO(Thai)"/>
      <sheetName val="IMV"/>
      <sheetName val="CrEstimate"/>
      <sheetName val="797T輸入部品リスト"/>
      <sheetName val="data list"/>
      <sheetName val="Plate_Bumper"/>
      <sheetName val="Nov.'02"/>
      <sheetName val="Man7"/>
      <sheetName val="Record"/>
      <sheetName val="Sheet1"/>
      <sheetName val="Customize Your Invoice"/>
      <sheetName val="CST1198"/>
      <sheetName val="Purchases-April"/>
      <sheetName val="JobOrder"/>
      <sheetName val="ค่าโทรศัพท์ค้างจ่าย"/>
      <sheetName val="Register_Local"/>
      <sheetName val="CODE,NAME"/>
      <sheetName val="Phase 2 project"/>
      <sheetName val="AC"/>
      <sheetName val="일위대가목차"/>
      <sheetName val="COA-17"/>
      <sheetName val="C-18"/>
      <sheetName val="Comsole"/>
      <sheetName val="CRITERIA1"/>
      <sheetName val="55435-0D060"/>
      <sheetName val="55436-0D060"/>
      <sheetName val="ConfigModel"/>
      <sheetName val="ResourceModel"/>
      <sheetName val="ＦＣ～FT"/>
      <sheetName val="New DYNA"/>
      <sheetName val="CRITERIA2"/>
      <sheetName val="PRODUCT MIX TRUCK"/>
      <sheetName val="BOM 043L,351L,299L"/>
      <sheetName val="DailyInput"/>
      <sheetName val="Main Summary"/>
      <sheetName val="2.1.1Take pipe"/>
      <sheetName val="2.1.2Take Copper Pipe"/>
      <sheetName val="MASTER"/>
      <sheetName val="CUSTOMER"/>
      <sheetName val="Order List"/>
      <sheetName val="Construction cost assumption"/>
      <sheetName val="JLL Assumption"/>
      <sheetName val="Retail Program&amp;Rev Assumption"/>
      <sheetName val="Annual Production"/>
      <sheetName val="POV"/>
      <sheetName val="ＴＦ関連Ｐｒｊ日程表"/>
      <sheetName val="FC"/>
      <sheetName val="Evaluation"/>
      <sheetName val="Mat"/>
      <sheetName val="AutoOpen_Stub_Data4"/>
      <sheetName val="Customize_Your_Purchase_Order5"/>
      <sheetName val="Purchase_Order5"/>
      <sheetName val="Intl_Data_Table4"/>
      <sheetName val="DETAIL_4"/>
      <sheetName val="AutoOpen_Stub_Data3"/>
      <sheetName val="Intl_Data_Table3"/>
      <sheetName val="DETAIL_3"/>
      <sheetName val="Cover"/>
      <sheetName val="日程"/>
      <sheetName val="supp_name"/>
      <sheetName val="Fill this out first___"/>
      <sheetName val="ITB COST"/>
      <sheetName val=""/>
      <sheetName val="Direct Cost"/>
      <sheetName val="Rate"/>
      <sheetName val="SH-F"/>
      <sheetName val=" ELECTRICAL ROOM CENTER.xlsx"/>
      <sheetName val="Income Statement"/>
      <sheetName val="Balance Sheet"/>
      <sheetName val="Cost_Categories"/>
      <sheetName val="Cost Data"/>
      <sheetName val="Material"/>
      <sheetName val="boq"/>
      <sheetName val="電気設備表"/>
      <sheetName val="Buy vs. Lease Car"/>
      <sheetName val="gvl"/>
      <sheetName val="UP"/>
      <sheetName val="SUM"/>
      <sheetName val="Pipe"/>
      <sheetName val="Recovered_Sheet1"/>
      <sheetName val="Sheet1_(3)"/>
      <sheetName val="COMMOND_LINE"/>
      <sheetName val="Nov_'02"/>
      <sheetName val="data_list"/>
      <sheetName val="New_DYNA"/>
      <sheetName val="PRODUCT_MIX_TRUCK"/>
      <sheetName val="BOM_043L,351L,299L"/>
      <sheetName val="Defect_Report(M&amp;E)"/>
      <sheetName val="ARM 39C "/>
      <sheetName val="n"/>
      <sheetName val="Supplier Master IF"/>
      <sheetName val="Sh&amp;Hd"/>
      <sheetName val="รวมราคาทั้งสิ้น"/>
      <sheetName val="Database"/>
      <sheetName val="Output"/>
      <sheetName val="코드관리"/>
      <sheetName val="Interial"/>
      <sheetName val="ProductName"/>
      <sheetName val="FS(E)"/>
      <sheetName val="รายละเอียดเสาเข็มที่ใช้แต่ละแบบ"/>
      <sheetName val="Waterg"/>
      <sheetName val="Grand Summary"/>
      <sheetName val="Sub Summary"/>
      <sheetName val="Prelim"/>
      <sheetName val="Hotel A type A"/>
      <sheetName val="Hotel A type B"/>
      <sheetName val="Hotel A type C"/>
      <sheetName val="Hotel B type B"/>
      <sheetName val="Hotel B type C"/>
      <sheetName val="Hote C. type C"/>
      <sheetName val="Hotel A suite"/>
      <sheetName val="Bar&amp;Resturant"/>
      <sheetName val="Gyp Pavilion"/>
      <sheetName val="Reception Pavilion"/>
      <sheetName val="WC. Reception"/>
      <sheetName val="Corridor Hote A."/>
      <sheetName val="Corridor Hote B."/>
      <sheetName val="Corridor Hote C."/>
      <sheetName val="e_test_ผลรวม"/>
      <sheetName val="df_ผลรวม"/>
      <sheetName val="df_รหัส"/>
      <sheetName val="df_วัน"/>
      <sheetName val="Cu1_sample"/>
      <sheetName val="DF_sample"/>
      <sheetName val="MK_sample"/>
      <sheetName val="SM"/>
      <sheetName val="SM_sample"/>
      <sheetName val="v_cut_วัน"/>
      <sheetName val="試作台数"/>
      <sheetName val="dr_ผลรวม"/>
      <sheetName val="dr_รหัส"/>
      <sheetName val="dr_วัน"/>
      <sheetName val="e_test_รหัส"/>
      <sheetName val="e_test_วัน"/>
      <sheetName val="etching_ผลรวม"/>
      <sheetName val="etching_รหัส"/>
      <sheetName val="etching_วัน"/>
      <sheetName val="f_test_ผลรวม"/>
      <sheetName val="f_test_รหัส"/>
      <sheetName val="f_test_วัน"/>
      <sheetName val="fqc_ผลรวม"/>
      <sheetName val="fqc_รหัส"/>
      <sheetName val="fqc_วัน"/>
      <sheetName val="hl_ผลรวม"/>
      <sheetName val="hl_รหัส"/>
      <sheetName val="hl_วัน"/>
      <sheetName val="mk_ผลรวม"/>
      <sheetName val="mk_รหัส"/>
      <sheetName val="mk_วัน"/>
      <sheetName val="sm_ผลรวม"/>
      <sheetName val="sm_รหัส"/>
      <sheetName val="sm_วัน"/>
      <sheetName val="v_cut_ผลรวม"/>
      <sheetName val="v_cut_รหัส"/>
      <sheetName val="LOT_ACCP"/>
      <sheetName val="Jan"/>
      <sheetName val="Sample"/>
      <sheetName val=" Sample request (JC41-00834A) -"/>
      <sheetName val="Group"/>
      <sheetName val="MAN"/>
      <sheetName val="Manufacturability"/>
      <sheetName val="JE786"/>
      <sheetName val="A1.2"/>
      <sheetName val="main sum (hotel &amp; residences)"/>
      <sheetName val="ตารางส่วนลด EE."/>
      <sheetName val="bk unit rate"/>
      <sheetName val="STMspry"/>
      <sheetName val="PsychroData"/>
      <sheetName val="DETAIL"/>
      <sheetName val="#REF"/>
      <sheetName val="BUR4-Rd"/>
      <sheetName val="BUR3-DrnRC"/>
      <sheetName val="SPT vs PHI"/>
      <sheetName val="노무비"/>
      <sheetName val="GAAP Pru"/>
      <sheetName val="SAN_REDUCED_13"/>
      <sheetName val="C-LOAD(L-FACTORY_)3"/>
      <sheetName val="A_กลาง"/>
      <sheetName val="A_กลาง_เกสร"/>
      <sheetName val="A_แฝด"/>
      <sheetName val="A_ริม"/>
      <sheetName val="B_กลาง"/>
      <sheetName val="B_ริม"/>
      <sheetName val="B_แฝด"/>
      <sheetName val="C_กลาง"/>
      <sheetName val="C_ริม"/>
      <sheetName val="C_แฝด"/>
      <sheetName val="Price_per_model"/>
      <sheetName val="Currency_Rate"/>
      <sheetName val="Book_1_Summary"/>
      <sheetName val="Main_Summary"/>
      <sheetName val="2_1_1Take_pipe"/>
      <sheetName val="2_1_2Take_Copper_Pipe"/>
      <sheetName val="Order_List"/>
      <sheetName val="Currency"/>
      <sheetName val="21"/>
      <sheetName val="Ceil."/>
      <sheetName val="งานภายนอก"/>
      <sheetName val="Paint."/>
      <sheetName val="Roof"/>
      <sheetName val="Struc."/>
      <sheetName val="SanFix"/>
      <sheetName val="Wall"/>
      <sheetName val="SH-A"/>
      <sheetName val="stair"/>
      <sheetName val="footing"/>
      <sheetName val="Manpower"/>
      <sheetName val="status"/>
      <sheetName val="ราคาต่ำสุด-721"/>
      <sheetName val="Attendance配合费"/>
      <sheetName val="EFR30696"/>
      <sheetName val="Cert1"/>
      <sheetName val="Customize_Your_Purchase_Order6"/>
      <sheetName val="Purchase_Order6"/>
      <sheetName val="AutoOpen_Stub_Data6"/>
      <sheetName val="Customize_Your_Purchase_Order8"/>
      <sheetName val="Purchase_Order8"/>
      <sheetName val="Intl_Data_Table6"/>
      <sheetName val="DETAIL_6"/>
      <sheetName val="SAN_REDUCED_14"/>
      <sheetName val="C-LOAD(L-FACTORY_)4"/>
      <sheetName val="Purchase_Order13"/>
      <sheetName val="A_กลาง1"/>
      <sheetName val="A_กลาง_เกสร1"/>
      <sheetName val="A_แฝด1"/>
      <sheetName val="A_ริม1"/>
      <sheetName val="B_กลาง1"/>
      <sheetName val="B_ริม1"/>
      <sheetName val="B_แฝด1"/>
      <sheetName val="C_กลาง1"/>
      <sheetName val="C_ริม1"/>
      <sheetName val="C_แฝด1"/>
      <sheetName val="Defect_Report(M&amp;E)2"/>
      <sheetName val="Price_per_model1"/>
      <sheetName val="Currency_Rate1"/>
      <sheetName val="Book_1_Summary1"/>
      <sheetName val="Sheet1_(3)2"/>
      <sheetName val="COMMOND_LINE2"/>
      <sheetName val="2_1_1Take_pipe1"/>
      <sheetName val="2_1_2Take_Copper_Pipe1"/>
      <sheetName val="Main_Summary1"/>
      <sheetName val="Nov_'022"/>
      <sheetName val="data_list2"/>
      <sheetName val="New_DYNA2"/>
      <sheetName val="PRODUCT_MIX_TRUCK2"/>
      <sheetName val="BOM_043L,351L,299L2"/>
      <sheetName val="Order_List1"/>
      <sheetName val="Construction_cost_assumption1"/>
      <sheetName val="JLL_Assumption1"/>
      <sheetName val="Retail_Program&amp;Rev_Assumption1"/>
      <sheetName val="Annual_Production1"/>
      <sheetName val="Fill_this_out_first___1"/>
      <sheetName val="ITB_COST1"/>
      <sheetName val="Direct_Cost1"/>
      <sheetName val="_ELECTRICAL_ROOM_CENTER_xlsx1"/>
      <sheetName val="Income_Statement1"/>
      <sheetName val="Balance_Sheet1"/>
      <sheetName val="ARM_39C_1"/>
      <sheetName val="Supplier_Master_IF1"/>
      <sheetName val="Cost_Data1"/>
      <sheetName val="Buy_vs__Lease_Car1"/>
      <sheetName val="AutoOpen_Stub_Data5"/>
      <sheetName val="Customize_Your_Purchase_Order7"/>
      <sheetName val="Purchase_Order7"/>
      <sheetName val="Intl_Data_Table5"/>
      <sheetName val="DETAIL_5"/>
      <sheetName val="Defect_Report(M&amp;E)1"/>
      <sheetName val="Sheet1_(3)1"/>
      <sheetName val="COMMOND_LINE1"/>
      <sheetName val="Nov_'021"/>
      <sheetName val="data_list1"/>
      <sheetName val="New_DYNA1"/>
      <sheetName val="PRODUCT_MIX_TRUCK1"/>
      <sheetName val="BOM_043L,351L,299L1"/>
      <sheetName val="Construction_cost_assumption"/>
      <sheetName val="JLL_Assumption"/>
      <sheetName val="Retail_Program&amp;Rev_Assumption"/>
      <sheetName val="Annual_Production"/>
      <sheetName val="Fill_this_out_first___"/>
      <sheetName val="ITB_COST"/>
      <sheetName val="Direct_Cost"/>
      <sheetName val="_ELECTRICAL_ROOM_CENTER_xlsx"/>
      <sheetName val="Income_Statement"/>
      <sheetName val="Balance_Sheet"/>
      <sheetName val="ARM_39C_"/>
      <sheetName val="Supplier_Master_IF"/>
      <sheetName val="Cost_Data"/>
      <sheetName val="Buy_vs__Lease_Car"/>
      <sheetName val="Sch  3"/>
      <sheetName val="Equipment"/>
      <sheetName val="unitcost"/>
      <sheetName val="inWords"/>
      <sheetName val="Breakdown"/>
      <sheetName val="402"/>
      <sheetName val="sheetNO"/>
      <sheetName val="ｺｽﾄｾﾝﾀｰ別設備稼働費ﾚｰﾄ算出表"/>
      <sheetName val="基準ｲﾝﾌﾟｯﾄ"/>
      <sheetName val="2nd"/>
      <sheetName val="A1_2"/>
      <sheetName val="_Sample_request_(JC41-00834A)_-"/>
      <sheetName val="GAAP_Pru"/>
      <sheetName val="bp bill"/>
      <sheetName val="A1_Summary"/>
      <sheetName val="A"/>
      <sheetName val="Discounted Cash Flow"/>
      <sheetName val="LpC"/>
      <sheetName val="Form"/>
      <sheetName val="Structure"/>
      <sheetName val="Artisan一类材料进度表-丽萍更新"/>
      <sheetName val="Sheet1 _2_"/>
      <sheetName val="Sheet5"/>
      <sheetName val="Sheet2"/>
      <sheetName val="Sheet3"/>
      <sheetName val="รวม"/>
      <sheetName val="HTP"/>
      <sheetName val="Purchase"/>
      <sheetName val="Extract"/>
      <sheetName val="Fagor04-A3112e"/>
      <sheetName val="Assumptions"/>
      <sheetName val="FORM6"/>
      <sheetName val="FORM8(1)"/>
      <sheetName val="FORM1"/>
      <sheetName val="Employee"/>
      <sheetName val="table"/>
      <sheetName val="Sale 0407"/>
      <sheetName val="Account"/>
      <sheetName val="Data3"/>
      <sheetName val="วงเครดิต 3"/>
      <sheetName val="description"/>
      <sheetName val="ExRates"/>
      <sheetName val="2006"/>
      <sheetName val="COST_RM_0208"/>
      <sheetName val="JOB_FO"/>
      <sheetName val="Table Master"/>
      <sheetName val="HYO"/>
      <sheetName val="PASTE N CUT"/>
      <sheetName val="Sheet1 (2)"/>
      <sheetName val="Amortization Table"/>
      <sheetName val="SEA"/>
      <sheetName val="FF-3"/>
      <sheetName val="IP標時xls"/>
      <sheetName val="Loan_Amortization_Schedule2"/>
      <sheetName val="Allocate96-98"/>
      <sheetName val="Parameters"/>
      <sheetName val="Drop_list"/>
      <sheetName val="mnly"/>
      <sheetName val="COST"/>
      <sheetName val="計算結果"/>
      <sheetName val="Ref"/>
    </sheetNames>
    <sheetDataSet>
      <sheetData sheetId="0" refreshError="1"/>
      <sheetData sheetId="1" refreshError="1">
        <row r="21">
          <cell r="E21" t="b">
            <v>0</v>
          </cell>
        </row>
        <row r="24">
          <cell r="F24">
            <v>0.22</v>
          </cell>
        </row>
        <row r="25">
          <cell r="E25" t="b">
            <v>1</v>
          </cell>
        </row>
      </sheetData>
      <sheetData sheetId="2" refreshError="1">
        <row r="23">
          <cell r="F23" t="str">
            <v>State</v>
          </cell>
        </row>
        <row r="40">
          <cell r="E40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/>
      <sheetData sheetId="224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AGE"/>
      <sheetName val="Ls_AgXLB_WorkbookFile"/>
      <sheetName val="SBC"/>
      <sheetName val="SBI"/>
      <sheetName val="SAP"/>
      <sheetName val="SAPTEMP"/>
      <sheetName val="DSC"/>
      <sheetName val="DSCTEMP"/>
      <sheetName val="SBP"/>
      <sheetName val="SBPTEMP"/>
      <sheetName val="SBPDATE"/>
      <sheetName val="SBPMTD"/>
      <sheetName val="SBPYTD"/>
      <sheetName val="SBPLASTY"/>
      <sheetName val="Sheet1"/>
      <sheetName val="Ls_XLB_WorkbookFile"/>
      <sheetName val="Purchase Order"/>
      <sheetName val="Customize Your Purchase Order"/>
      <sheetName val="Purchase_Order1"/>
      <sheetName val="Customize_Your_Purchase_Order1"/>
      <sheetName val="Purchase_Order"/>
      <sheetName val="Customize_Your_Purchase_Order"/>
      <sheetName val="Purchase_Order2"/>
      <sheetName val="Customize_Your_Purchase_Order2"/>
      <sheetName val="Purchase_Order3"/>
      <sheetName val="Customize_Your_Purchase_Order3"/>
      <sheetName val="Purchase_Order4"/>
      <sheetName val="Customize_Your_Purchase_Order4"/>
      <sheetName val="dpc cost"/>
      <sheetName val="SUMMERY"/>
      <sheetName val="12"/>
      <sheetName val="10-Invt."/>
      <sheetName val="6-SAAGLEDGER"/>
      <sheetName val="5 Analysis"/>
      <sheetName val="Lead Time"/>
      <sheetName val="#REF"/>
      <sheetName val="G. Ledger Crescent"/>
      <sheetName val="Trial balance"/>
      <sheetName val="ARDEBT"/>
      <sheetName val="10-Invt_"/>
      <sheetName val="5_Analysis"/>
      <sheetName val="Lead_Time"/>
      <sheetName val="G__Ledger_Crescent"/>
      <sheetName val="Trial_balance"/>
      <sheetName val="Transition Calculations"/>
      <sheetName val="BFM"/>
      <sheetName val="Transition Resourcing"/>
      <sheetName val="Skill_Matrix"/>
      <sheetName val="10-Invt_1"/>
      <sheetName val="5_Analysis1"/>
      <sheetName val="Lead_Time1"/>
      <sheetName val="G__Ledger_Crescent1"/>
      <sheetName val="Trial_balance1"/>
      <sheetName val="Transition_Calculations"/>
      <sheetName val="Transition_Resourcing"/>
      <sheetName val="inputs"/>
      <sheetName val="operating"/>
      <sheetName val="NOTED"/>
      <sheetName val="Summary Allocation"/>
      <sheetName val="Purchase_Order5"/>
      <sheetName val="Customize_Your_Purchase_Order5"/>
      <sheetName val="dpc_cost"/>
      <sheetName val="Purchase_Order6"/>
      <sheetName val="Customize_Your_Purchase_Order6"/>
      <sheetName val="dpc_cost1"/>
      <sheetName val="Purchase_Order7"/>
      <sheetName val="Customize_Your_Purchase_Order7"/>
      <sheetName val="dpc_cost2"/>
      <sheetName val="10-Invt_2"/>
      <sheetName val="5_Analysis2"/>
      <sheetName val="Lead_Time2"/>
      <sheetName val="G__Ledger_Crescent2"/>
      <sheetName val="Trial_balance2"/>
      <sheetName val="Cover"/>
      <sheetName val="Send to bank"/>
      <sheetName val="Memo"/>
      <sheetName val="Pay by COH"/>
      <sheetName val="Pay by Bank "/>
      <sheetName val="New Tax"/>
      <sheetName val="YLP"/>
      <sheetName val="EKP"/>
      <sheetName val="PEP"/>
      <sheetName val="IEP"/>
      <sheetName val="Sing"/>
      <sheetName val="Purchase_Order8"/>
      <sheetName val="Customize_Your_Purchase_Order8"/>
      <sheetName val="dpc_cost3"/>
      <sheetName val="10-Invt_3"/>
      <sheetName val="5_Analysis3"/>
      <sheetName val="Lead_Time3"/>
      <sheetName val="G__Ledger_Crescent3"/>
      <sheetName val="Trial_balance3"/>
      <sheetName val="Purchase"/>
      <sheetName val="H1b Accounts Payable"/>
      <sheetName val="W"/>
      <sheetName val="Summary_Allocation"/>
      <sheetName val="Purchase_Order9"/>
      <sheetName val="Customize_Your_Purchase_Order9"/>
      <sheetName val="dpc_cost4"/>
      <sheetName val="10-Invt_4"/>
      <sheetName val="5_Analysis4"/>
      <sheetName val="Lead_Time4"/>
      <sheetName val="G__Ledger_Crescent4"/>
      <sheetName val="Trial_balance4"/>
      <sheetName val="Transition_Calculations1"/>
      <sheetName val="Transition_Resourcing1"/>
      <sheetName val="DONVIBAN"/>
      <sheetName val="NGUON"/>
      <sheetName val="Purchase_Order10"/>
      <sheetName val="Customize_Your_Purchase_Order10"/>
      <sheetName val="dpc_cost5"/>
      <sheetName val="10-Invt_5"/>
      <sheetName val="5_Analysis5"/>
      <sheetName val="Lead_Time5"/>
      <sheetName val="G__Ledger_Crescent5"/>
      <sheetName val="Trial_balance5"/>
      <sheetName val="Transition_Calculations2"/>
      <sheetName val="Transition_Resourcing2"/>
      <sheetName val="Summary_Allocation1"/>
      <sheetName val="H1b_Accounts_Payable"/>
      <sheetName val="Send_to_bank"/>
      <sheetName val="Pay_by_COH"/>
      <sheetName val="Pay_by_Bank_"/>
      <sheetName val="New_Tax"/>
      <sheetName val="PD EXP 201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">
          <cell r="A1"/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Company Related Premis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cost27-09-08"/>
      <sheetName val="Dist-AD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Dropdown data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Sheet1"/>
      <sheetName val="april2005"/>
      <sheetName val="nhan cong"/>
      <sheetName val="Stock-06"/>
      <sheetName val="Sheet2"/>
      <sheetName val="Balance"/>
      <sheetName val="DO AM DT"/>
      <sheetName val="Sal_tax11"/>
      <sheetName val="Purchase_Journal3"/>
      <sheetName val="SFB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 refreshError="1"/>
      <sheetData sheetId="43" refreshError="1"/>
      <sheetData sheetId="44"/>
      <sheetData sheetId="45"/>
      <sheetData sheetId="4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36"/>
  <sheetViews>
    <sheetView zoomScale="70" zoomScaleNormal="70" workbookViewId="0">
      <selection activeCell="D11" sqref="D11"/>
    </sheetView>
  </sheetViews>
  <sheetFormatPr baseColWidth="8" defaultRowHeight="21.6"/>
  <cols>
    <col width="37" customWidth="1" style="331" min="2" max="2"/>
    <col width="7" customWidth="1" style="331" min="3" max="3"/>
    <col width="29" customWidth="1" style="251" min="4" max="5"/>
    <col width="29.6640625" customWidth="1" style="331" min="6" max="6"/>
    <col width="10.109375" customWidth="1" style="331" min="7" max="7"/>
    <col width="29" customWidth="1" style="331" min="8" max="9"/>
  </cols>
  <sheetData>
    <row r="1" ht="25.2" customHeight="1" s="331">
      <c r="C1" s="196" t="n"/>
      <c r="F1" s="196" t="n"/>
      <c r="G1" s="196" t="n"/>
      <c r="H1" s="196" t="n"/>
      <c r="I1" s="196" t="n"/>
      <c r="J1" s="196" t="n"/>
      <c r="K1" s="196" t="n"/>
      <c r="L1" s="196" t="n"/>
      <c r="M1" s="196" t="n"/>
      <c r="N1" s="196" t="n"/>
      <c r="O1" s="196" t="n"/>
      <c r="P1" s="196" t="n"/>
      <c r="Q1" s="196" t="n"/>
      <c r="R1" s="196" t="n"/>
      <c r="S1" s="196" t="n"/>
    </row>
    <row r="2" ht="25.2" customHeight="1" s="331">
      <c r="B2" s="332" t="inlineStr">
        <is>
          <t>COMPANY NAME (KHMER)</t>
        </is>
      </c>
      <c r="C2" s="334" t="n"/>
      <c r="D2" s="206" t="inlineStr">
        <is>
          <t>វីអ៊ីស៊ិន (ខេមបូឌា) អ៊ិនដាសស្ទ្រី ឯ.ក</t>
        </is>
      </c>
      <c r="E2" s="334" t="n"/>
      <c r="F2" s="335" t="inlineStr">
        <is>
          <t>Audit timeline</t>
        </is>
      </c>
      <c r="G2" s="334" t="n"/>
      <c r="H2" s="334" t="n"/>
      <c r="I2" s="334" t="n"/>
      <c r="J2" s="196" t="n"/>
      <c r="K2" s="196" t="n"/>
      <c r="L2" s="196" t="n"/>
      <c r="M2" s="196" t="n"/>
      <c r="N2" s="196" t="n"/>
      <c r="O2" s="196" t="n"/>
      <c r="P2" s="196" t="n"/>
      <c r="Q2" s="196" t="n"/>
      <c r="R2" s="196" t="n"/>
      <c r="S2" s="196" t="n"/>
    </row>
    <row r="3" ht="25.2" customHeight="1" s="331">
      <c r="B3" s="332" t="inlineStr">
        <is>
          <t>COMPANY NAME (ENGLISH)</t>
        </is>
      </c>
      <c r="C3" s="334" t="n"/>
      <c r="D3" s="206" t="inlineStr">
        <is>
          <t>Viiition (Cambodia)</t>
        </is>
      </c>
      <c r="E3" s="334" t="n"/>
      <c r="F3" s="332" t="n"/>
      <c r="G3" s="334" t="n"/>
      <c r="H3" s="334" t="n"/>
      <c r="I3" s="334" t="n"/>
      <c r="J3" s="196" t="n"/>
      <c r="K3" s="196" t="n"/>
      <c r="L3" s="196" t="n"/>
      <c r="M3" s="196" t="n"/>
      <c r="N3" s="196" t="n"/>
      <c r="O3" s="196" t="n"/>
      <c r="P3" s="196" t="n"/>
      <c r="Q3" s="196" t="n"/>
      <c r="R3" s="196" t="n"/>
      <c r="S3" s="196" t="n"/>
    </row>
    <row r="4" ht="25.2" customHeight="1" s="331">
      <c r="B4" s="332" t="inlineStr">
        <is>
          <t>VAT NUMBER</t>
        </is>
      </c>
      <c r="C4" s="334" t="n"/>
      <c r="D4" s="206" t="inlineStr">
        <is>
          <t>L001-901905215</t>
        </is>
      </c>
      <c r="E4" s="334" t="n"/>
      <c r="F4" s="335" t="inlineStr">
        <is>
          <t>MOC NUMBER</t>
        </is>
      </c>
      <c r="G4" s="334" t="n"/>
      <c r="H4" s="334" t="n"/>
      <c r="I4" s="334" t="n"/>
      <c r="J4" s="196" t="n"/>
      <c r="K4" s="196" t="n"/>
      <c r="L4" s="196" t="n"/>
      <c r="M4" s="196" t="n"/>
      <c r="N4" s="196" t="n"/>
      <c r="O4" s="196" t="n"/>
      <c r="P4" s="196" t="n"/>
      <c r="Q4" s="196" t="n"/>
      <c r="R4" s="196" t="n"/>
      <c r="S4" s="196" t="n"/>
    </row>
    <row r="5" ht="25.2" customHeight="1" s="331">
      <c r="B5" s="332" t="inlineStr">
        <is>
          <t>Business Activity</t>
        </is>
      </c>
      <c r="C5" s="334" t="n"/>
      <c r="D5" s="334" t="n"/>
      <c r="E5" s="334" t="n"/>
      <c r="F5" s="335" t="inlineStr">
        <is>
          <t>MOC DATE OF ISSUE</t>
        </is>
      </c>
      <c r="G5" s="334" t="n"/>
      <c r="H5" s="334" t="n"/>
      <c r="I5" s="334" t="n"/>
      <c r="J5" s="196" t="n"/>
      <c r="K5" s="196" t="n"/>
      <c r="L5" s="196" t="n"/>
      <c r="M5" s="196" t="n"/>
      <c r="N5" s="196" t="n"/>
      <c r="O5" s="196" t="n"/>
      <c r="P5" s="196" t="n"/>
      <c r="Q5" s="196" t="n"/>
      <c r="R5" s="196" t="n"/>
      <c r="S5" s="196" t="n"/>
    </row>
    <row r="6" ht="25.2" customHeight="1" s="331">
      <c r="B6" s="332" t="inlineStr">
        <is>
          <t>Address Main</t>
        </is>
      </c>
      <c r="C6" s="334" t="n"/>
      <c r="D6" s="206" t="inlineStr">
        <is>
          <t>ផ្ទះលេខ ​ ផ្លូវ ​ ភូមិស្រង់ ឃុំស្រង់ ស្រុកគងពិសី ខេត្តកំពង់ស្ពឺ</t>
        </is>
      </c>
      <c r="E6" s="334" t="n"/>
      <c r="F6" s="335" t="inlineStr">
        <is>
          <t>PATENT ISSUE DATE</t>
        </is>
      </c>
      <c r="G6" s="334" t="n"/>
      <c r="H6" s="334" t="n"/>
      <c r="I6" s="334" t="n"/>
      <c r="J6" s="196" t="n"/>
      <c r="K6" s="196" t="n"/>
      <c r="L6" s="196" t="n"/>
      <c r="M6" s="196" t="n"/>
      <c r="N6" s="196" t="n"/>
      <c r="O6" s="196" t="n"/>
      <c r="P6" s="196" t="n"/>
      <c r="Q6" s="196" t="n"/>
      <c r="R6" s="196" t="n"/>
      <c r="S6" s="196" t="n"/>
    </row>
    <row r="7" ht="25.2" customHeight="1" s="331">
      <c r="B7" s="332" t="inlineStr">
        <is>
          <t>Request Period</t>
        </is>
      </c>
      <c r="C7" s="334" t="n"/>
      <c r="D7" s="334" t="n"/>
      <c r="E7" s="334" t="n"/>
      <c r="F7" s="335" t="inlineStr">
        <is>
          <t>VAT CERTIFICATE ISSUE DATE</t>
        </is>
      </c>
      <c r="G7" s="334" t="n"/>
      <c r="H7" s="334" t="n"/>
      <c r="I7" s="334" t="n"/>
      <c r="J7" s="196" t="n"/>
      <c r="K7" s="196" t="n"/>
      <c r="L7" s="196" t="n"/>
      <c r="M7" s="196" t="n"/>
      <c r="N7" s="196" t="n"/>
      <c r="O7" s="196" t="n"/>
      <c r="P7" s="196" t="n"/>
      <c r="Q7" s="196" t="n"/>
      <c r="R7" s="196" t="n"/>
      <c r="S7" s="196" t="n"/>
    </row>
    <row r="8" ht="25.2" customHeight="1" s="331">
      <c r="B8" s="332" t="inlineStr">
        <is>
          <t>Auditor Name</t>
        </is>
      </c>
      <c r="C8" s="334" t="n"/>
      <c r="D8" s="334" t="n"/>
      <c r="E8" s="334" t="n"/>
      <c r="F8" s="335" t="inlineStr">
        <is>
          <t>Request Date</t>
        </is>
      </c>
      <c r="G8" s="334" t="n"/>
      <c r="H8" s="334" t="n"/>
      <c r="I8" s="334" t="n"/>
      <c r="J8" s="196" t="n"/>
      <c r="K8" s="196" t="n"/>
      <c r="L8" s="196" t="n"/>
      <c r="M8" s="196" t="n"/>
      <c r="N8" s="196" t="n"/>
      <c r="O8" s="196" t="n"/>
      <c r="P8" s="196" t="n"/>
      <c r="Q8" s="196" t="n"/>
      <c r="R8" s="196" t="n"/>
      <c r="S8" s="196" t="n"/>
    </row>
    <row r="9" ht="25.2" customHeight="1" s="331">
      <c r="B9" s="332" t="n"/>
      <c r="C9" s="334" t="n"/>
      <c r="D9" s="334" t="n"/>
      <c r="E9" s="334" t="n"/>
      <c r="F9" s="335" t="inlineStr">
        <is>
          <t>Amount of Request</t>
        </is>
      </c>
      <c r="G9" s="334" t="n"/>
      <c r="H9" s="334" t="n"/>
      <c r="I9" s="334" t="n"/>
      <c r="J9" s="196" t="n"/>
      <c r="K9" s="196" t="n"/>
      <c r="L9" s="196" t="n"/>
      <c r="M9" s="196" t="n"/>
      <c r="N9" s="196" t="n"/>
      <c r="O9" s="196" t="n"/>
      <c r="P9" s="196" t="n"/>
      <c r="Q9" s="196" t="n"/>
      <c r="R9" s="196" t="n"/>
      <c r="S9" s="196" t="n"/>
    </row>
    <row r="10" ht="25.2" customHeight="1" s="331">
      <c r="B10" s="332" t="inlineStr">
        <is>
          <t>Phone Number</t>
        </is>
      </c>
      <c r="C10" s="333" t="n"/>
      <c r="D10" s="206" t="inlineStr">
        <is>
          <t>011777957</t>
        </is>
      </c>
      <c r="E10" s="334" t="n"/>
      <c r="F10" s="196" t="n"/>
      <c r="G10" s="333" t="n"/>
      <c r="H10" s="334" t="n"/>
      <c r="I10" s="334" t="n"/>
      <c r="J10" s="196" t="n"/>
      <c r="K10" s="196" t="n"/>
      <c r="L10" s="196" t="n"/>
      <c r="M10" s="196" t="n"/>
      <c r="N10" s="196" t="n"/>
      <c r="O10" s="196" t="n"/>
      <c r="P10" s="196" t="n"/>
      <c r="Q10" s="196" t="n"/>
      <c r="R10" s="196" t="n"/>
      <c r="S10" s="196" t="n"/>
    </row>
    <row r="11" ht="25.2" customHeight="1" s="331">
      <c r="B11" s="335" t="inlineStr">
        <is>
          <t>BANK ACCOUNT NUMBER TO REFUND</t>
        </is>
      </c>
      <c r="C11" s="333" t="n"/>
      <c r="D11" s="334" t="n"/>
      <c r="E11" s="334" t="n"/>
      <c r="F11" s="196" t="n"/>
      <c r="G11" s="333" t="n"/>
      <c r="H11" s="334" t="n"/>
      <c r="I11" s="334" t="n"/>
      <c r="J11" s="196" t="n"/>
      <c r="K11" s="196" t="n"/>
      <c r="L11" s="196" t="n"/>
      <c r="M11" s="196" t="n"/>
      <c r="N11" s="196" t="n"/>
      <c r="O11" s="196" t="n"/>
      <c r="P11" s="196" t="n"/>
      <c r="Q11" s="196" t="n"/>
      <c r="R11" s="196" t="n"/>
      <c r="S11" s="196" t="n"/>
    </row>
    <row r="12" ht="25.2" customHeight="1" s="331">
      <c r="B12" s="332" t="inlineStr">
        <is>
          <t>BANK NAME:</t>
        </is>
      </c>
      <c r="C12" s="333" t="n"/>
      <c r="D12" s="334" t="n"/>
      <c r="E12" s="334" t="n"/>
      <c r="F12" s="196" t="n"/>
      <c r="G12" s="333" t="n"/>
      <c r="H12" s="334" t="n"/>
      <c r="I12" s="334" t="n"/>
      <c r="J12" s="196" t="n"/>
      <c r="K12" s="196" t="n"/>
      <c r="L12" s="196" t="n"/>
      <c r="M12" s="196" t="n"/>
      <c r="N12" s="196" t="n"/>
      <c r="O12" s="196" t="n"/>
      <c r="P12" s="196" t="n"/>
      <c r="Q12" s="196" t="n"/>
      <c r="R12" s="196" t="n"/>
      <c r="S12" s="196" t="n"/>
    </row>
    <row r="13" ht="25.2" customHeight="1" s="331">
      <c r="B13" s="335" t="inlineStr">
        <is>
          <t>Person to Contact</t>
        </is>
      </c>
      <c r="C13" s="333" t="n"/>
      <c r="D13" s="334" t="n"/>
      <c r="E13" s="334" t="n"/>
      <c r="F13" s="196" t="n"/>
      <c r="G13" s="333" t="n"/>
      <c r="H13" s="334" t="n"/>
      <c r="I13" s="334" t="n"/>
      <c r="J13" s="196" t="n"/>
      <c r="K13" s="196" t="n"/>
      <c r="L13" s="196" t="n"/>
      <c r="M13" s="196" t="n"/>
      <c r="N13" s="196" t="n"/>
      <c r="O13" s="196" t="n"/>
      <c r="P13" s="196" t="n"/>
      <c r="Q13" s="196" t="n"/>
      <c r="R13" s="196" t="n"/>
      <c r="S13" s="196" t="n"/>
    </row>
    <row r="14" ht="25.2" customHeight="1" s="331">
      <c r="B14" s="335" t="inlineStr">
        <is>
          <t>Position</t>
        </is>
      </c>
      <c r="C14" s="333" t="n"/>
      <c r="D14" s="334" t="n"/>
      <c r="E14" s="334" t="n"/>
      <c r="F14" s="196" t="n"/>
      <c r="G14" s="333" t="n"/>
      <c r="H14" s="334" t="n"/>
      <c r="I14" s="334" t="n"/>
      <c r="J14" s="196" t="n"/>
      <c r="K14" s="196" t="n"/>
      <c r="L14" s="196" t="n"/>
      <c r="M14" s="196" t="n"/>
      <c r="N14" s="196" t="n"/>
      <c r="O14" s="196" t="n"/>
      <c r="P14" s="196" t="n"/>
      <c r="Q14" s="196" t="n"/>
      <c r="R14" s="196" t="n"/>
      <c r="S14" s="196" t="n"/>
    </row>
    <row r="15" ht="25.2" customHeight="1" s="331">
      <c r="F15" s="196" t="n"/>
      <c r="G15" s="196" t="n"/>
      <c r="H15" s="196" t="n"/>
      <c r="I15" s="196" t="n"/>
      <c r="J15" s="196" t="n"/>
      <c r="K15" s="196" t="n"/>
      <c r="L15" s="196" t="n"/>
      <c r="M15" s="196" t="n"/>
      <c r="N15" s="196" t="n"/>
      <c r="O15" s="196" t="n"/>
      <c r="P15" s="196" t="n"/>
      <c r="Q15" s="196" t="n"/>
      <c r="R15" s="196" t="n"/>
      <c r="S15" s="196" t="n"/>
    </row>
    <row r="16" ht="25.2" customHeight="1" s="331">
      <c r="F16" s="196" t="n"/>
      <c r="G16" s="196" t="n"/>
      <c r="H16" s="196" t="n"/>
      <c r="I16" s="196" t="n"/>
      <c r="J16" s="196" t="n"/>
      <c r="K16" s="196" t="n"/>
      <c r="L16" s="196" t="n"/>
      <c r="M16" s="196" t="n"/>
      <c r="N16" s="196" t="n"/>
      <c r="O16" s="196" t="n"/>
      <c r="P16" s="196" t="n"/>
      <c r="Q16" s="196" t="n"/>
      <c r="R16" s="196" t="n"/>
      <c r="S16" s="196" t="n"/>
    </row>
    <row r="17" ht="25.2" customHeight="1" s="331">
      <c r="F17" s="196" t="n"/>
      <c r="G17" s="196" t="n"/>
      <c r="H17" s="196" t="n"/>
      <c r="I17" s="196" t="n"/>
      <c r="J17" s="196" t="n"/>
      <c r="K17" s="196" t="n"/>
      <c r="L17" s="196" t="n"/>
      <c r="M17" s="196" t="n"/>
      <c r="N17" s="196" t="n"/>
      <c r="O17" s="196" t="n"/>
      <c r="P17" s="196" t="n"/>
      <c r="Q17" s="196" t="n"/>
      <c r="R17" s="196" t="n"/>
      <c r="S17" s="196" t="n"/>
    </row>
    <row r="18" ht="25.2" customHeight="1" s="331">
      <c r="F18" s="196" t="n"/>
      <c r="G18" s="196" t="n"/>
      <c r="H18" s="196" t="n"/>
      <c r="I18" s="196" t="n"/>
      <c r="J18" s="196" t="n"/>
      <c r="K18" s="196" t="n"/>
      <c r="L18" s="196" t="n"/>
      <c r="M18" s="196" t="n"/>
      <c r="N18" s="196" t="n"/>
      <c r="O18" s="196" t="n"/>
      <c r="P18" s="196" t="n"/>
      <c r="Q18" s="196" t="n"/>
      <c r="R18" s="196" t="n"/>
      <c r="S18" s="196" t="n"/>
    </row>
    <row r="19" ht="25.2" customHeight="1" s="331">
      <c r="F19" s="196" t="n"/>
      <c r="G19" s="196" t="n"/>
      <c r="H19" s="196" t="n"/>
      <c r="I19" s="196" t="n"/>
      <c r="J19" s="196" t="n"/>
      <c r="K19" s="196" t="n"/>
      <c r="L19" s="196" t="n"/>
      <c r="M19" s="196" t="n"/>
      <c r="N19" s="196" t="n"/>
      <c r="O19" s="196" t="n"/>
      <c r="P19" s="196" t="n"/>
      <c r="Q19" s="196" t="n"/>
      <c r="R19" s="196" t="n"/>
      <c r="S19" s="196" t="n"/>
    </row>
    <row r="20" ht="25.2" customHeight="1" s="331">
      <c r="F20" s="196" t="n"/>
      <c r="G20" s="196" t="n"/>
      <c r="H20" s="196" t="n"/>
      <c r="I20" s="196" t="n"/>
      <c r="J20" s="196" t="n"/>
      <c r="K20" s="196" t="n"/>
      <c r="L20" s="196" t="n"/>
      <c r="M20" s="196" t="n"/>
      <c r="N20" s="196" t="n"/>
      <c r="O20" s="196" t="n"/>
      <c r="P20" s="196" t="n"/>
      <c r="Q20" s="196" t="n"/>
      <c r="R20" s="196" t="n"/>
      <c r="S20" s="196" t="n"/>
    </row>
    <row r="21" ht="25.2" customHeight="1" s="331">
      <c r="F21" s="196" t="n"/>
      <c r="G21" s="196" t="n"/>
      <c r="H21" s="196" t="n"/>
      <c r="I21" s="196" t="n"/>
      <c r="J21" s="196" t="n"/>
      <c r="K21" s="196" t="n"/>
      <c r="L21" s="196" t="n"/>
      <c r="M21" s="196" t="n"/>
      <c r="N21" s="196" t="n"/>
      <c r="O21" s="196" t="n"/>
      <c r="P21" s="196" t="n"/>
      <c r="Q21" s="196" t="n"/>
      <c r="R21" s="196" t="n"/>
      <c r="S21" s="196" t="n"/>
    </row>
    <row r="22" ht="25.2" customHeight="1" s="331">
      <c r="F22" s="196" t="n"/>
      <c r="G22" s="196" t="n"/>
      <c r="H22" s="196" t="n"/>
      <c r="I22" s="196" t="n"/>
      <c r="J22" s="196" t="n"/>
      <c r="K22" s="196" t="n"/>
      <c r="L22" s="196" t="n"/>
      <c r="M22" s="196" t="n"/>
      <c r="N22" s="196" t="n"/>
      <c r="O22" s="196" t="n"/>
      <c r="P22" s="196" t="n"/>
      <c r="Q22" s="196" t="n"/>
      <c r="R22" s="196" t="n"/>
      <c r="S22" s="196" t="n"/>
    </row>
    <row r="23" ht="25.2" customHeight="1" s="331">
      <c r="B23" s="195" t="n"/>
      <c r="C23" s="196" t="n"/>
      <c r="F23" s="196" t="n"/>
      <c r="G23" s="196" t="n"/>
      <c r="H23" s="196" t="n"/>
      <c r="I23" s="196" t="n"/>
      <c r="J23" s="196" t="n"/>
      <c r="K23" s="196" t="n"/>
      <c r="L23" s="196" t="n"/>
      <c r="M23" s="196" t="n"/>
      <c r="N23" s="196" t="n"/>
      <c r="O23" s="196" t="n"/>
      <c r="P23" s="196" t="n"/>
      <c r="Q23" s="196" t="n"/>
      <c r="R23" s="196" t="n"/>
      <c r="S23" s="196" t="n"/>
    </row>
    <row r="24" ht="25.2" customHeight="1" s="331">
      <c r="C24" s="196" t="n"/>
      <c r="F24" s="196" t="n"/>
      <c r="G24" s="196" t="n"/>
      <c r="H24" s="196" t="n"/>
      <c r="I24" s="196" t="n"/>
      <c r="J24" s="196" t="n"/>
      <c r="K24" s="196" t="n"/>
      <c r="L24" s="196" t="n"/>
      <c r="M24" s="196" t="n"/>
      <c r="N24" s="196" t="n"/>
      <c r="O24" s="196" t="n"/>
      <c r="P24" s="196" t="n"/>
      <c r="Q24" s="196" t="n"/>
      <c r="R24" s="196" t="n"/>
      <c r="S24" s="196" t="n"/>
    </row>
    <row r="25" ht="25.2" customHeight="1" s="331">
      <c r="C25" s="196" t="n"/>
      <c r="F25" s="196" t="n"/>
      <c r="G25" s="196" t="n"/>
      <c r="H25" s="196" t="n"/>
      <c r="I25" s="196" t="n"/>
      <c r="J25" s="196" t="n"/>
      <c r="K25" s="196" t="n"/>
      <c r="L25" s="196" t="n"/>
      <c r="M25" s="196" t="n"/>
      <c r="N25" s="196" t="n"/>
      <c r="O25" s="196" t="n"/>
      <c r="P25" s="196" t="n"/>
      <c r="Q25" s="196" t="n"/>
      <c r="R25" s="196" t="n"/>
      <c r="S25" s="196" t="n"/>
    </row>
    <row r="26" ht="25.2" customHeight="1" s="331">
      <c r="C26" s="196" t="n"/>
      <c r="F26" s="196" t="n"/>
      <c r="G26" s="196" t="n"/>
      <c r="H26" s="196" t="n"/>
      <c r="I26" s="196" t="n"/>
      <c r="J26" s="196" t="n"/>
      <c r="K26" s="196" t="n"/>
      <c r="L26" s="196" t="n"/>
      <c r="M26" s="196" t="n"/>
      <c r="N26" s="196" t="n"/>
      <c r="O26" s="196" t="n"/>
      <c r="P26" s="196" t="n"/>
      <c r="Q26" s="196" t="n"/>
      <c r="R26" s="196" t="n"/>
      <c r="S26" s="196" t="n"/>
    </row>
    <row r="27" ht="25.2" customHeight="1" s="331">
      <c r="C27" s="196" t="n"/>
      <c r="F27" s="196" t="n"/>
      <c r="G27" s="196" t="n"/>
      <c r="H27" s="196" t="n"/>
      <c r="I27" s="196" t="n"/>
      <c r="J27" s="196" t="n"/>
      <c r="K27" s="196" t="n"/>
      <c r="L27" s="196" t="n"/>
      <c r="M27" s="196" t="n"/>
      <c r="N27" s="196" t="n"/>
      <c r="O27" s="196" t="n"/>
      <c r="P27" s="196" t="n"/>
      <c r="Q27" s="196" t="n"/>
      <c r="R27" s="196" t="n"/>
      <c r="S27" s="196" t="n"/>
    </row>
    <row r="28" ht="25.2" customHeight="1" s="331">
      <c r="C28" s="196" t="n"/>
      <c r="F28" s="196" t="n"/>
      <c r="G28" s="196" t="n"/>
      <c r="H28" s="196" t="n"/>
      <c r="I28" s="196" t="n"/>
      <c r="J28" s="196" t="n"/>
      <c r="K28" s="196" t="n"/>
      <c r="L28" s="196" t="n"/>
      <c r="M28" s="196" t="n"/>
      <c r="N28" s="196" t="n"/>
      <c r="O28" s="196" t="n"/>
      <c r="P28" s="196" t="n"/>
      <c r="Q28" s="196" t="n"/>
      <c r="R28" s="196" t="n"/>
      <c r="S28" s="196" t="n"/>
    </row>
    <row r="29" ht="25.2" customHeight="1" s="331">
      <c r="C29" s="196" t="n"/>
      <c r="F29" s="196" t="n"/>
      <c r="G29" s="196" t="n"/>
      <c r="H29" s="196" t="n"/>
      <c r="I29" s="196" t="n"/>
      <c r="J29" s="196" t="n"/>
      <c r="K29" s="196" t="n"/>
      <c r="L29" s="196" t="n"/>
      <c r="M29" s="196" t="n"/>
      <c r="N29" s="196" t="n"/>
      <c r="O29" s="196" t="n"/>
      <c r="P29" s="196" t="n"/>
      <c r="Q29" s="196" t="n"/>
      <c r="R29" s="196" t="n"/>
      <c r="S29" s="196" t="n"/>
    </row>
    <row r="30" ht="25.2" customHeight="1" s="331">
      <c r="C30" s="196" t="n"/>
      <c r="F30" s="196" t="n"/>
      <c r="G30" s="196" t="n"/>
      <c r="H30" s="196" t="n"/>
      <c r="I30" s="196" t="n"/>
      <c r="J30" s="196" t="n"/>
      <c r="K30" s="196" t="n"/>
      <c r="L30" s="196" t="n"/>
      <c r="M30" s="196" t="n"/>
      <c r="N30" s="196" t="n"/>
      <c r="O30" s="196" t="n"/>
      <c r="P30" s="196" t="n"/>
      <c r="Q30" s="196" t="n"/>
      <c r="R30" s="196" t="n"/>
      <c r="S30" s="196" t="n"/>
    </row>
    <row r="31" ht="25.2" customHeight="1" s="331">
      <c r="C31" s="196" t="n"/>
      <c r="F31" s="196" t="n"/>
      <c r="G31" s="196" t="n"/>
      <c r="H31" s="196" t="n"/>
      <c r="I31" s="196" t="n"/>
      <c r="J31" s="196" t="n"/>
      <c r="K31" s="196" t="n"/>
      <c r="L31" s="196" t="n"/>
      <c r="M31" s="196" t="n"/>
      <c r="N31" s="196" t="n"/>
      <c r="O31" s="196" t="n"/>
      <c r="P31" s="196" t="n"/>
      <c r="Q31" s="196" t="n"/>
      <c r="R31" s="196" t="n"/>
      <c r="S31" s="196" t="n"/>
    </row>
    <row r="32" ht="25.2" customHeight="1" s="331">
      <c r="C32" s="196" t="n"/>
      <c r="F32" s="196" t="n"/>
      <c r="G32" s="196" t="n"/>
      <c r="H32" s="196" t="n"/>
      <c r="I32" s="196" t="n"/>
      <c r="J32" s="196" t="n"/>
      <c r="K32" s="196" t="n"/>
      <c r="L32" s="196" t="n"/>
      <c r="M32" s="196" t="n"/>
      <c r="N32" s="196" t="n"/>
      <c r="O32" s="196" t="n"/>
      <c r="P32" s="196" t="n"/>
      <c r="Q32" s="196" t="n"/>
      <c r="R32" s="196" t="n"/>
      <c r="S32" s="196" t="n"/>
    </row>
    <row r="33" ht="25.2" customHeight="1" s="331">
      <c r="C33" s="196" t="n"/>
      <c r="F33" s="196" t="n"/>
      <c r="G33" s="196" t="n"/>
      <c r="H33" s="196" t="n"/>
      <c r="I33" s="196" t="n"/>
      <c r="J33" s="196" t="n"/>
      <c r="K33" s="196" t="n"/>
      <c r="L33" s="196" t="n"/>
      <c r="M33" s="196" t="n"/>
      <c r="N33" s="196" t="n"/>
      <c r="O33" s="196" t="n"/>
      <c r="P33" s="196" t="n"/>
      <c r="Q33" s="196" t="n"/>
      <c r="R33" s="196" t="n"/>
      <c r="S33" s="196" t="n"/>
    </row>
    <row r="34" ht="25.2" customHeight="1" s="331">
      <c r="C34" s="196" t="n"/>
      <c r="F34" s="196" t="n"/>
      <c r="G34" s="196" t="n"/>
      <c r="H34" s="196" t="n"/>
      <c r="I34" s="196" t="n"/>
      <c r="J34" s="196" t="n"/>
      <c r="K34" s="196" t="n"/>
      <c r="L34" s="196" t="n"/>
      <c r="M34" s="196" t="n"/>
      <c r="N34" s="196" t="n"/>
      <c r="O34" s="196" t="n"/>
      <c r="P34" s="196" t="n"/>
      <c r="Q34" s="196" t="n"/>
      <c r="R34" s="196" t="n"/>
      <c r="S34" s="196" t="n"/>
    </row>
    <row r="35" ht="25.2" customHeight="1" s="331">
      <c r="C35" s="196" t="n"/>
      <c r="F35" s="196" t="n"/>
      <c r="G35" s="196" t="n"/>
      <c r="H35" s="196" t="n"/>
      <c r="I35" s="196" t="n"/>
      <c r="J35" s="196" t="n"/>
      <c r="K35" s="196" t="n"/>
      <c r="L35" s="196" t="n"/>
      <c r="M35" s="196" t="n"/>
      <c r="N35" s="196" t="n"/>
      <c r="O35" s="196" t="n"/>
      <c r="P35" s="196" t="n"/>
      <c r="Q35" s="196" t="n"/>
      <c r="R35" s="196" t="n"/>
      <c r="S35" s="196" t="n"/>
    </row>
    <row r="36" ht="25.2" customHeight="1" s="331">
      <c r="C36" s="196" t="n"/>
      <c r="F36" s="196" t="n"/>
      <c r="G36" s="196" t="n"/>
      <c r="H36" s="196" t="n"/>
      <c r="I36" s="196" t="n"/>
      <c r="J36" s="196" t="n"/>
      <c r="K36" s="196" t="n"/>
      <c r="L36" s="196" t="n"/>
      <c r="M36" s="196" t="n"/>
      <c r="N36" s="196" t="n"/>
      <c r="O36" s="196" t="n"/>
      <c r="P36" s="196" t="n"/>
      <c r="Q36" s="196" t="n"/>
      <c r="R36" s="196" t="n"/>
      <c r="S36" s="196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327"/>
  <sheetViews>
    <sheetView zoomScale="70" zoomScaleNormal="70" zoomScaleSheetLayoutView="55" workbookViewId="0">
      <selection activeCell="D10" sqref="D10"/>
    </sheetView>
  </sheetViews>
  <sheetFormatPr baseColWidth="8" defaultColWidth="9.109375" defaultRowHeight="30" customHeight="1"/>
  <cols>
    <col width="11.33203125" customWidth="1" style="249" min="1" max="1"/>
    <col width="35.33203125" customWidth="1" style="249" min="2" max="2"/>
    <col width="18.77734375" customWidth="1" style="249" min="3" max="4"/>
    <col hidden="1" width="8.6640625" customWidth="1" style="249" min="5" max="5"/>
    <col hidden="1" width="11.6640625" customWidth="1" style="249" min="6" max="6"/>
    <col width="25.21875" customWidth="1" style="249" min="7" max="7"/>
    <col width="25.33203125" customWidth="1" style="249" min="8" max="8"/>
    <col width="9.109375" customWidth="1" style="338" min="9" max="16384"/>
  </cols>
  <sheetData>
    <row r="1" ht="30" customFormat="1" customHeight="1" s="251">
      <c r="A1" s="364" t="inlineStr">
        <is>
          <t>តារាងឧបសម្ព័ន្ធ I</t>
        </is>
      </c>
    </row>
    <row r="2" ht="30" customFormat="1" customHeight="1" s="251">
      <c r="A2" s="364" t="inlineStr">
        <is>
          <t>បញ្ជាក់អំពីអាករលើធាតុចូលដែលមិនអាចស្នើសុំជាឥណទាន</t>
        </is>
      </c>
    </row>
    <row r="3" ht="30" customFormat="1" customHeight="1" s="251">
      <c r="A3" s="364" t="inlineStr">
        <is>
          <t>( ការនាំចូលជាបន្ទុករបស់រដ្ឋ )</t>
        </is>
      </c>
    </row>
    <row r="4" ht="30" customFormat="1" customHeight="1" s="251">
      <c r="A4" s="199" t="inlineStr">
        <is>
          <t>ក្រុមហ៊ុន៖</t>
        </is>
      </c>
      <c r="B4" s="200">
        <f>'Company information'!D2</f>
        <v/>
      </c>
      <c r="C4" s="198" t="n"/>
      <c r="D4" s="201" t="n"/>
      <c r="E4" s="202" t="n"/>
      <c r="F4" s="203" t="n"/>
      <c r="G4" s="515" t="inlineStr">
        <is>
          <t xml:space="preserve">សវនករពន្ធដារ៖ </t>
        </is>
      </c>
      <c r="H4" s="516">
        <f>'Company information'!D8</f>
        <v/>
      </c>
    </row>
    <row r="5" ht="30" customFormat="1" customHeight="1" s="251">
      <c r="A5" s="206" t="inlineStr">
        <is>
          <t>លេខ អតប៖</t>
        </is>
      </c>
      <c r="B5" s="200">
        <f>'Company information'!D4</f>
        <v/>
      </c>
      <c r="C5" s="198" t="n"/>
      <c r="D5" s="201" t="n"/>
      <c r="E5" s="202" t="n"/>
      <c r="F5" s="201" t="n"/>
      <c r="G5" s="198" t="n"/>
      <c r="H5" s="516">
        <f>'Company information'!E8</f>
        <v/>
      </c>
    </row>
    <row r="6" ht="30" customFormat="1" customHeight="1" s="251">
      <c r="A6" s="517">
        <f>'Company information'!H8</f>
        <v/>
      </c>
      <c r="B6" s="200" t="n"/>
      <c r="D6" s="201" t="n"/>
      <c r="E6" s="202" t="n"/>
      <c r="F6" s="203" t="n"/>
      <c r="G6" s="518" t="inlineStr">
        <is>
          <t>ទឹកប្រាក់ស្នើសុំបង្វិលសងចំនួន៖</t>
        </is>
      </c>
      <c r="H6" s="209">
        <f>'Company information'!H9</f>
        <v/>
      </c>
    </row>
    <row r="7" ht="30" customFormat="1" customHeight="1" s="194">
      <c r="A7" s="365" t="inlineStr">
        <is>
          <t>ល.រ</t>
        </is>
      </c>
      <c r="B7" s="365" t="inlineStr">
        <is>
          <t>បរិយាយ</t>
        </is>
      </c>
      <c r="C7" s="365" t="inlineStr">
        <is>
          <t>ប្រតិវេទន៍គយនាំចូល/វិក្កយបត្រ</t>
        </is>
      </c>
      <c r="D7" s="519" t="n"/>
      <c r="E7" s="365" t="inlineStr">
        <is>
          <t>បង្កាន់ដៃទទួលប្រាក់</t>
        </is>
      </c>
      <c r="F7" s="519" t="n"/>
      <c r="G7" s="365" t="inlineStr">
        <is>
          <t>ប្រាក់អាករ (រៀល)</t>
        </is>
      </c>
      <c r="H7" s="365" t="inlineStr">
        <is>
          <t>ផ្សេងៗ</t>
        </is>
      </c>
    </row>
    <row r="8" ht="30" customFormat="1" customHeight="1" s="194">
      <c r="A8" s="520" t="n"/>
      <c r="B8" s="520" t="n"/>
      <c r="C8" s="365" t="inlineStr">
        <is>
          <t>លេខ</t>
        </is>
      </c>
      <c r="D8" s="365" t="inlineStr">
        <is>
          <t>ចុះថ្ងៃទី ខែ ឆ្នាំ</t>
        </is>
      </c>
      <c r="E8" s="365" t="inlineStr">
        <is>
          <t>លេខ</t>
        </is>
      </c>
      <c r="F8" s="365" t="inlineStr">
        <is>
          <t>ថ្ងៃ ខែ ឆ្នាំ</t>
        </is>
      </c>
      <c r="G8" s="520" t="n"/>
      <c r="H8" s="520" t="n"/>
    </row>
    <row r="9" ht="30" customFormat="1" customHeight="1" s="341">
      <c r="A9" s="521" t="n">
        <v>1</v>
      </c>
      <c r="B9" s="522" t="n"/>
      <c r="C9" s="522" t="inlineStr">
        <is>
          <t>I821</t>
        </is>
      </c>
      <c r="D9" s="523" t="n">
        <v>43857</v>
      </c>
      <c r="E9" s="522" t="n"/>
      <c r="F9" s="522" t="n"/>
      <c r="G9" s="524" t="n">
        <v>5671447</v>
      </c>
      <c r="H9" s="522" t="n"/>
    </row>
    <row r="10" ht="30" customFormat="1" customHeight="1" s="423">
      <c r="A10" s="521" t="n">
        <v>2</v>
      </c>
      <c r="B10" s="522" t="n"/>
      <c r="C10" s="522" t="inlineStr">
        <is>
          <t>I820</t>
        </is>
      </c>
      <c r="D10" s="523" t="n">
        <v>43857</v>
      </c>
      <c r="E10" s="522" t="n"/>
      <c r="F10" s="522" t="n"/>
      <c r="G10" s="524" t="n">
        <v>3115425</v>
      </c>
      <c r="H10" s="522" t="n"/>
    </row>
    <row r="11" ht="30" customFormat="1" customHeight="1" s="423">
      <c r="A11" s="521" t="n">
        <v>3</v>
      </c>
      <c r="B11" s="522" t="n"/>
      <c r="C11" s="522" t="inlineStr">
        <is>
          <t>I608</t>
        </is>
      </c>
      <c r="D11" s="523" t="n">
        <v>43850</v>
      </c>
      <c r="E11" s="522" t="n"/>
      <c r="F11" s="522" t="n"/>
      <c r="G11" s="524" t="n">
        <v>10824695</v>
      </c>
      <c r="H11" s="522" t="n"/>
    </row>
    <row r="12" ht="30" customFormat="1" customHeight="1" s="423">
      <c r="A12" s="521" t="n">
        <v>4</v>
      </c>
      <c r="B12" s="522" t="n"/>
      <c r="C12" s="522" t="inlineStr">
        <is>
          <t>I609</t>
        </is>
      </c>
      <c r="D12" s="523" t="n">
        <v>43843</v>
      </c>
      <c r="E12" s="522" t="n"/>
      <c r="F12" s="522" t="n"/>
      <c r="G12" s="524" t="n">
        <v>5811817</v>
      </c>
      <c r="H12" s="522" t="n"/>
    </row>
    <row r="13" ht="30" customFormat="1" customHeight="1" s="423">
      <c r="A13" s="521" t="n">
        <v>5</v>
      </c>
      <c r="B13" s="522" t="n"/>
      <c r="C13" s="522" t="inlineStr">
        <is>
          <t>I459</t>
        </is>
      </c>
      <c r="D13" s="523" t="n">
        <v>43845</v>
      </c>
      <c r="E13" s="522" t="n"/>
      <c r="F13" s="522" t="n"/>
      <c r="G13" s="524" t="n">
        <v>7391034</v>
      </c>
      <c r="H13" s="522" t="n"/>
    </row>
    <row r="14" ht="30" customFormat="1" customHeight="1" s="423">
      <c r="A14" s="521" t="n">
        <v>6</v>
      </c>
      <c r="B14" s="522" t="inlineStr">
        <is>
          <t>COMPUTER</t>
        </is>
      </c>
      <c r="C14" s="522" t="inlineStr">
        <is>
          <t>I292</t>
        </is>
      </c>
      <c r="D14" s="523" t="n">
        <v>44207</v>
      </c>
      <c r="E14" s="522" t="n"/>
      <c r="F14" s="522" t="n"/>
      <c r="G14" s="524" t="n">
        <v>216700</v>
      </c>
      <c r="H14" s="522" t="n"/>
    </row>
    <row r="15">
      <c r="A15" s="521" t="n">
        <v>7</v>
      </c>
      <c r="B15" s="522" t="inlineStr">
        <is>
          <t>AWNING ADAPTER METAL PRODUCTS PAPER SLIPSHEET PLASTIC ACCESSORIE A LIGHT BULB</t>
        </is>
      </c>
      <c r="C15" s="522" t="inlineStr">
        <is>
          <t>I291</t>
        </is>
      </c>
      <c r="D15" s="523" t="n">
        <v>44207</v>
      </c>
      <c r="E15" s="522" t="n"/>
      <c r="F15" s="522" t="n"/>
      <c r="G15" s="524" t="n">
        <v>31606500</v>
      </c>
      <c r="H15" s="522" t="n"/>
    </row>
    <row r="16">
      <c r="A16" s="521" t="n">
        <v>8</v>
      </c>
      <c r="B16" s="522" t="inlineStr">
        <is>
          <t>BATTERY COPPER PRODUCTS LED COPPER WIRE LAMPE LIGHT BULB METAL PRODUCTS PLASTIC ACCESSORIE A PLASTIC TUBE PRINTED CIRUIT BOARD ASSEMBLY SCREW SOLAR PANEL WIRE</t>
        </is>
      </c>
      <c r="C16" s="522" t="inlineStr">
        <is>
          <t>I242</t>
        </is>
      </c>
      <c r="D16" s="523" t="n">
        <v>44204</v>
      </c>
      <c r="E16" s="522" t="n"/>
      <c r="F16" s="522" t="n"/>
      <c r="G16" s="524" t="n">
        <v>15832100</v>
      </c>
      <c r="H16" s="522" t="n"/>
    </row>
    <row r="17">
      <c r="A17" s="521" t="n">
        <v>9</v>
      </c>
      <c r="B17" s="522" t="inlineStr">
        <is>
          <t>METAL PRODUCTS WOOD PRODUCTS</t>
        </is>
      </c>
      <c r="C17" s="522" t="inlineStr">
        <is>
          <t>I235</t>
        </is>
      </c>
      <c r="D17" s="523" t="n">
        <v>44204</v>
      </c>
      <c r="E17" s="522" t="n"/>
      <c r="F17" s="522" t="n"/>
      <c r="G17" s="524" t="n">
        <v>5990300</v>
      </c>
      <c r="H17" s="522" t="n"/>
    </row>
    <row r="18">
      <c r="A18" s="521" t="n">
        <v>10</v>
      </c>
      <c r="B18" s="522" t="n"/>
      <c r="C18" s="522" t="inlineStr">
        <is>
          <t>I236</t>
        </is>
      </c>
      <c r="D18" s="523" t="n">
        <v>44204</v>
      </c>
      <c r="E18" s="522" t="n"/>
      <c r="F18" s="522" t="n"/>
      <c r="G18" s="524" t="n">
        <v>13990100</v>
      </c>
      <c r="H18" s="522" t="n"/>
    </row>
    <row r="19">
      <c r="A19" s="521" t="n">
        <v>11</v>
      </c>
      <c r="B19" s="522" t="n"/>
      <c r="C19" s="522" t="inlineStr">
        <is>
          <t>I237</t>
        </is>
      </c>
      <c r="D19" s="523" t="n">
        <v>44204</v>
      </c>
      <c r="E19" s="522" t="n"/>
      <c r="F19" s="522" t="n"/>
      <c r="G19" s="524" t="n">
        <v>6094100</v>
      </c>
      <c r="H19" s="522" t="n"/>
    </row>
    <row r="20">
      <c r="A20" s="521" t="n">
        <v>12</v>
      </c>
      <c r="B20" s="522" t="n"/>
      <c r="C20" s="522" t="inlineStr">
        <is>
          <t>I688</t>
        </is>
      </c>
      <c r="D20" s="523" t="n">
        <v>44215</v>
      </c>
      <c r="E20" s="522" t="n"/>
      <c r="F20" s="522" t="n"/>
      <c r="G20" s="524" t="n">
        <v>120512600</v>
      </c>
      <c r="H20" s="522" t="n"/>
    </row>
    <row r="21">
      <c r="A21" s="521" t="n">
        <v>13</v>
      </c>
      <c r="B21" s="522" t="n"/>
      <c r="C21" s="522" t="inlineStr">
        <is>
          <t>I1016</t>
        </is>
      </c>
      <c r="D21" s="523" t="n">
        <v>44222</v>
      </c>
      <c r="E21" s="522" t="n"/>
      <c r="F21" s="522" t="n"/>
      <c r="G21" s="524" t="n">
        <v>5723300</v>
      </c>
      <c r="H21" s="522" t="n"/>
    </row>
    <row r="22">
      <c r="A22" s="521" t="n">
        <v>14</v>
      </c>
      <c r="B22" s="522" t="n"/>
      <c r="C22" s="522" t="inlineStr">
        <is>
          <t>I961</t>
        </is>
      </c>
      <c r="D22" s="523" t="n">
        <v>44221</v>
      </c>
      <c r="E22" s="522" t="n"/>
      <c r="F22" s="522" t="n"/>
      <c r="G22" s="524" t="n">
        <v>31514400</v>
      </c>
      <c r="H22" s="522" t="n"/>
    </row>
    <row r="23">
      <c r="A23" s="521" t="n">
        <v>15</v>
      </c>
      <c r="B23" s="522" t="n"/>
      <c r="C23" s="522" t="inlineStr">
        <is>
          <t>I1010</t>
        </is>
      </c>
      <c r="D23" s="523" t="n">
        <v>44222</v>
      </c>
      <c r="E23" s="522" t="n"/>
      <c r="F23" s="522" t="n"/>
      <c r="G23" s="524" t="n">
        <v>82195100</v>
      </c>
      <c r="H23" s="522" t="n"/>
    </row>
    <row r="24">
      <c r="A24" s="521" t="n">
        <v>16</v>
      </c>
      <c r="B24" s="522" t="n"/>
      <c r="C24" s="522" t="inlineStr">
        <is>
          <t>I1183</t>
        </is>
      </c>
      <c r="D24" s="523" t="n">
        <v>44224</v>
      </c>
      <c r="E24" s="522" t="n"/>
      <c r="F24" s="522" t="n"/>
      <c r="G24" s="524" t="n">
        <v>649700</v>
      </c>
      <c r="H24" s="522" t="n"/>
    </row>
    <row r="25">
      <c r="A25" s="521" t="n">
        <v>17</v>
      </c>
      <c r="B25" s="522" t="n"/>
      <c r="C25" s="522" t="inlineStr">
        <is>
          <t>I468</t>
        </is>
      </c>
      <c r="D25" s="523" t="n">
        <v>44209</v>
      </c>
      <c r="E25" s="522" t="n"/>
      <c r="F25" s="522" t="n"/>
      <c r="G25" s="524" t="n">
        <v>18227300</v>
      </c>
      <c r="H25" s="522" t="n"/>
    </row>
    <row r="26">
      <c r="A26" s="521" t="n">
        <v>18</v>
      </c>
      <c r="B26" s="522" t="n"/>
      <c r="C26" s="522" t="inlineStr">
        <is>
          <t>I544</t>
        </is>
      </c>
      <c r="D26" s="523" t="n">
        <v>44211</v>
      </c>
      <c r="E26" s="522" t="n"/>
      <c r="F26" s="522" t="n"/>
      <c r="G26" s="524" t="n">
        <v>55579000</v>
      </c>
      <c r="H26" s="522" t="n"/>
    </row>
    <row r="27">
      <c r="A27" s="521" t="n">
        <v>19</v>
      </c>
      <c r="B27" s="522" t="n"/>
      <c r="C27" s="522" t="inlineStr">
        <is>
          <t>I466</t>
        </is>
      </c>
      <c r="D27" s="523" t="n">
        <v>44209</v>
      </c>
      <c r="E27" s="522" t="n"/>
      <c r="F27" s="522" t="n"/>
      <c r="G27" s="524" t="n">
        <v>688200</v>
      </c>
      <c r="H27" s="522" t="n"/>
    </row>
    <row r="28">
      <c r="A28" s="521" t="n">
        <v>20</v>
      </c>
      <c r="B28" s="522" t="n"/>
      <c r="C28" s="522" t="inlineStr">
        <is>
          <t>I707</t>
        </is>
      </c>
      <c r="D28" s="523" t="n">
        <v>44215</v>
      </c>
      <c r="E28" s="522" t="n"/>
      <c r="F28" s="522" t="n"/>
      <c r="G28" s="524" t="n">
        <v>45324500</v>
      </c>
      <c r="H28" s="522" t="n"/>
    </row>
    <row r="29">
      <c r="A29" s="521" t="n">
        <v>21</v>
      </c>
      <c r="B29" s="522" t="n"/>
      <c r="C29" s="522" t="inlineStr">
        <is>
          <t>I240</t>
        </is>
      </c>
      <c r="D29" s="523" t="n">
        <v>44204</v>
      </c>
      <c r="E29" s="522" t="n"/>
      <c r="F29" s="522" t="n"/>
      <c r="G29" s="524" t="n">
        <v>65935300</v>
      </c>
      <c r="H29" s="522" t="n"/>
    </row>
    <row r="30">
      <c r="A30" s="521" t="n">
        <v>22</v>
      </c>
      <c r="B30" s="522" t="inlineStr">
        <is>
          <t>Import Raw Material</t>
        </is>
      </c>
      <c r="C30" s="522" t="inlineStr">
        <is>
          <t>I15369</t>
        </is>
      </c>
      <c r="D30" s="523" t="n">
        <v>44562</v>
      </c>
      <c r="E30" s="522" t="n"/>
      <c r="F30" s="522" t="n"/>
      <c r="G30" s="524" t="n">
        <v>73348100</v>
      </c>
      <c r="H30" s="522" t="n"/>
    </row>
    <row r="31">
      <c r="A31" s="521" t="n">
        <v>23</v>
      </c>
      <c r="B31" s="522" t="inlineStr">
        <is>
          <t>Import Raw Material</t>
        </is>
      </c>
      <c r="C31" s="522" t="inlineStr">
        <is>
          <t>I15321</t>
        </is>
      </c>
      <c r="D31" s="523" t="n">
        <v>44562</v>
      </c>
      <c r="E31" s="522" t="n"/>
      <c r="F31" s="522" t="n"/>
      <c r="G31" s="524" t="n">
        <v>113862800</v>
      </c>
      <c r="H31" s="522" t="n"/>
    </row>
    <row r="32">
      <c r="A32" s="521" t="n">
        <v>24</v>
      </c>
      <c r="B32" s="522" t="inlineStr">
        <is>
          <t>Import Raw Material</t>
        </is>
      </c>
      <c r="C32" s="522" t="inlineStr">
        <is>
          <t>I15323</t>
        </is>
      </c>
      <c r="D32" s="523" t="n">
        <v>44562</v>
      </c>
      <c r="E32" s="522" t="n"/>
      <c r="F32" s="522" t="n"/>
      <c r="G32" s="524" t="n">
        <v>72377500</v>
      </c>
      <c r="H32" s="522" t="n"/>
    </row>
    <row r="33">
      <c r="A33" s="521" t="n">
        <v>25</v>
      </c>
      <c r="B33" s="522" t="inlineStr">
        <is>
          <t>PLASTIC INJECTTION PRODUCTS,PRINTED CIRCUIT BOARD ASSEMBLY ,LIGHT BULB ...</t>
        </is>
      </c>
      <c r="C33" s="522" t="inlineStr">
        <is>
          <t>I1157</t>
        </is>
      </c>
      <c r="D33" s="523" t="n">
        <v>44952</v>
      </c>
      <c r="E33" s="522" t="n"/>
      <c r="F33" s="522" t="n"/>
      <c r="G33" s="524" t="n">
        <v>39785000</v>
      </c>
      <c r="H33" s="522" t="n"/>
    </row>
    <row r="34">
      <c r="A34" s="521" t="n">
        <v>26</v>
      </c>
      <c r="B34" s="522" t="inlineStr">
        <is>
          <t>PAPER BOARD ,COLOR BOX</t>
        </is>
      </c>
      <c r="C34" s="522" t="inlineStr">
        <is>
          <t>I1168</t>
        </is>
      </c>
      <c r="D34" s="523" t="n">
        <v>44952</v>
      </c>
      <c r="E34" s="522" t="n"/>
      <c r="F34" s="522" t="n"/>
      <c r="G34" s="524" t="n">
        <v>4580700</v>
      </c>
      <c r="H34" s="522" t="n"/>
    </row>
    <row r="35">
      <c r="A35" s="521" t="n">
        <v>27</v>
      </c>
      <c r="B35" s="522" t="inlineStr">
        <is>
          <t>IRON SHEET FRAME,PRINTED CIRCUIT BOARD ASSEMBLY ...</t>
        </is>
      </c>
      <c r="C35" s="522" t="inlineStr">
        <is>
          <t>I1166</t>
        </is>
      </c>
      <c r="D35" s="523" t="n">
        <v>44952</v>
      </c>
      <c r="E35" s="522" t="n"/>
      <c r="F35" s="522" t="n"/>
      <c r="G35" s="524" t="n">
        <v>8832200</v>
      </c>
      <c r="H35" s="522" t="n"/>
    </row>
    <row r="36">
      <c r="A36" s="521" t="n">
        <v>28</v>
      </c>
      <c r="B36" s="522" t="inlineStr">
        <is>
          <t>PRINTED CIRCUIT BOARD ASSEMBLY ,PLASTIC SPRAYING POWER (9),IRON WIRE (10)...</t>
        </is>
      </c>
      <c r="C36" s="522" t="inlineStr">
        <is>
          <t>I1162</t>
        </is>
      </c>
      <c r="D36" s="523" t="n">
        <v>44952</v>
      </c>
      <c r="E36" s="522" t="n"/>
      <c r="F36" s="522" t="n"/>
      <c r="G36" s="524" t="n">
        <v>15314800</v>
      </c>
      <c r="H36" s="522" t="n"/>
    </row>
    <row r="37">
      <c r="A37" s="521" t="n">
        <v>29</v>
      </c>
      <c r="B37" s="522" t="inlineStr">
        <is>
          <t>MOLD (INJECTION),IRON TUBE  FRAME ,STRECH FILM</t>
        </is>
      </c>
      <c r="C37" s="522" t="inlineStr">
        <is>
          <t>I792</t>
        </is>
      </c>
      <c r="D37" s="523" t="n">
        <v>44945</v>
      </c>
      <c r="E37" s="522" t="n"/>
      <c r="F37" s="522" t="n"/>
      <c r="G37" s="524" t="n">
        <v>8562800</v>
      </c>
      <c r="H37" s="522" t="n"/>
    </row>
    <row r="38">
      <c r="A38" s="521" t="n">
        <v>30</v>
      </c>
      <c r="B38" s="522" t="inlineStr">
        <is>
          <t>IRON SHEET FRAME</t>
        </is>
      </c>
      <c r="C38" s="522" t="inlineStr">
        <is>
          <t>I791</t>
        </is>
      </c>
      <c r="D38" s="523" t="n">
        <v>44945</v>
      </c>
      <c r="E38" s="522" t="n"/>
      <c r="F38" s="522" t="n"/>
      <c r="G38" s="524" t="n">
        <v>6542700</v>
      </c>
      <c r="H38" s="522" t="n"/>
    </row>
    <row r="39">
      <c r="A39" s="521" t="n">
        <v>31</v>
      </c>
      <c r="B39" s="522" t="inlineStr">
        <is>
          <t>PLASTIC TUBE ,SOLAR PANELS (7),PLASTIC (BLOWN, INJECTION )PRODUCTS...</t>
        </is>
      </c>
      <c r="C39" s="522" t="inlineStr">
        <is>
          <t>I772</t>
        </is>
      </c>
      <c r="D39" s="523" t="n">
        <v>44944</v>
      </c>
      <c r="E39" s="522" t="n"/>
      <c r="F39" s="522" t="n"/>
      <c r="G39" s="524" t="n">
        <v>10671300</v>
      </c>
      <c r="H39" s="522" t="n"/>
    </row>
    <row r="40">
      <c r="A40" s="521" t="n">
        <v>32</v>
      </c>
      <c r="B40" s="522" t="inlineStr">
        <is>
          <t>SCREW (11),PRINTED CIRCUIT BOARD ASSEMBLY ,PLASTIC SPRAYING POWER (9)...</t>
        </is>
      </c>
      <c r="C40" s="522" t="inlineStr">
        <is>
          <t>I716</t>
        </is>
      </c>
      <c r="D40" s="523" t="n">
        <v>44944</v>
      </c>
      <c r="E40" s="522" t="n"/>
      <c r="F40" s="522" t="n"/>
      <c r="G40" s="524" t="n">
        <v>13793200</v>
      </c>
      <c r="H40" s="522" t="n"/>
    </row>
    <row r="41">
      <c r="A41" s="521" t="n">
        <v>33</v>
      </c>
      <c r="B41" s="522" t="inlineStr">
        <is>
          <t>STRECH FILM (10),SCREW (9),PLASTIC RESIN... Import Raw Material</t>
        </is>
      </c>
      <c r="C41" s="522" t="inlineStr">
        <is>
          <t>I705</t>
        </is>
      </c>
      <c r="D41" s="523" t="n">
        <v>44944</v>
      </c>
      <c r="E41" s="522" t="n"/>
      <c r="F41" s="522" t="n"/>
      <c r="G41" s="524" t="n">
        <v>14164700</v>
      </c>
      <c r="H41" s="522" t="n"/>
    </row>
    <row r="42">
      <c r="A42" s="521" t="n">
        <v>34</v>
      </c>
      <c r="B42" s="522" t="inlineStr">
        <is>
          <t>IRON SHEET FRAME</t>
        </is>
      </c>
      <c r="C42" s="522" t="inlineStr">
        <is>
          <t>I233</t>
        </is>
      </c>
      <c r="D42" s="523" t="n">
        <v>44932</v>
      </c>
      <c r="E42" s="522" t="n"/>
      <c r="F42" s="522" t="n"/>
      <c r="G42" s="524" t="n">
        <v>3296700</v>
      </c>
      <c r="H42" s="522" t="n"/>
    </row>
    <row r="43">
      <c r="A43" s="521" t="n">
        <v>35</v>
      </c>
      <c r="B43" s="522" t="inlineStr">
        <is>
          <t>IRON SHEET FRAME ,PLASTIC BLOWN PRODUCT</t>
        </is>
      </c>
      <c r="C43" s="522" t="inlineStr">
        <is>
          <t>I237</t>
        </is>
      </c>
      <c r="D43" s="523" t="n">
        <v>44932</v>
      </c>
      <c r="E43" s="522" t="n"/>
      <c r="F43" s="522" t="n"/>
      <c r="G43" s="524" t="n">
        <v>4241700</v>
      </c>
      <c r="H43" s="522" t="n"/>
    </row>
    <row r="44">
      <c r="A44" s="521" t="n">
        <v>36</v>
      </c>
      <c r="B44" s="522" t="n"/>
      <c r="C44" s="522" t="inlineStr">
        <is>
          <t>I1914</t>
        </is>
      </c>
      <c r="D44" s="523" t="n">
        <v>43886</v>
      </c>
      <c r="E44" s="522" t="n"/>
      <c r="F44" s="522" t="n"/>
      <c r="G44" s="524" t="n">
        <v>2542249</v>
      </c>
      <c r="H44" s="522" t="n"/>
    </row>
    <row r="45">
      <c r="A45" s="521" t="n">
        <v>37</v>
      </c>
      <c r="B45" s="522" t="n"/>
      <c r="C45" s="522" t="inlineStr">
        <is>
          <t>I1912</t>
        </is>
      </c>
      <c r="D45" s="523" t="n">
        <v>43886</v>
      </c>
      <c r="E45" s="522" t="n"/>
      <c r="F45" s="522" t="n"/>
      <c r="G45" s="524" t="n">
        <v>40811364</v>
      </c>
      <c r="H45" s="522" t="n"/>
    </row>
    <row r="46">
      <c r="A46" s="521" t="n">
        <v>38</v>
      </c>
      <c r="B46" s="522" t="n"/>
      <c r="C46" s="522" t="inlineStr">
        <is>
          <t>I1856</t>
        </is>
      </c>
      <c r="D46" s="523" t="n">
        <v>43885</v>
      </c>
      <c r="E46" s="522" t="n"/>
      <c r="F46" s="522" t="n"/>
      <c r="G46" s="524" t="n">
        <v>1616717</v>
      </c>
      <c r="H46" s="522" t="n"/>
    </row>
    <row r="47">
      <c r="A47" s="521" t="n">
        <v>39</v>
      </c>
      <c r="B47" s="522" t="n"/>
      <c r="C47" s="522" t="inlineStr">
        <is>
          <t>I1855</t>
        </is>
      </c>
      <c r="D47" s="523" t="n">
        <v>43885</v>
      </c>
      <c r="E47" s="522" t="n"/>
      <c r="F47" s="522" t="n"/>
      <c r="G47" s="524" t="n">
        <v>23694486</v>
      </c>
      <c r="H47" s="522" t="n"/>
    </row>
    <row r="48">
      <c r="A48" s="521" t="n">
        <v>40</v>
      </c>
      <c r="B48" s="522" t="n"/>
      <c r="C48" s="522" t="inlineStr">
        <is>
          <t>I1858</t>
        </is>
      </c>
      <c r="D48" s="523" t="n">
        <v>43885</v>
      </c>
      <c r="E48" s="522" t="n"/>
      <c r="F48" s="522" t="n"/>
      <c r="G48" s="524" t="n">
        <v>870431</v>
      </c>
      <c r="H48" s="522" t="n"/>
    </row>
    <row r="49">
      <c r="A49" s="521" t="n">
        <v>41</v>
      </c>
      <c r="B49" s="522" t="n"/>
      <c r="C49" s="522" t="inlineStr">
        <is>
          <t>I1857</t>
        </is>
      </c>
      <c r="D49" s="523" t="n">
        <v>43885</v>
      </c>
      <c r="E49" s="522" t="n"/>
      <c r="F49" s="522" t="n"/>
      <c r="G49" s="524" t="n">
        <v>77071914</v>
      </c>
      <c r="H49" s="522" t="n"/>
    </row>
    <row r="50">
      <c r="A50" s="521" t="n">
        <v>42</v>
      </c>
      <c r="B50" s="522" t="n"/>
      <c r="C50" s="522" t="inlineStr">
        <is>
          <t>I1256</t>
        </is>
      </c>
      <c r="D50" s="523" t="n">
        <v>43869</v>
      </c>
      <c r="E50" s="522" t="n"/>
      <c r="F50" s="522" t="n"/>
      <c r="G50" s="524" t="n">
        <v>53446350</v>
      </c>
      <c r="H50" s="522" t="n"/>
    </row>
    <row r="51">
      <c r="A51" s="521" t="n">
        <v>43</v>
      </c>
      <c r="B51" s="522" t="n"/>
      <c r="C51" s="522" t="inlineStr">
        <is>
          <t>I1257</t>
        </is>
      </c>
      <c r="D51" s="523" t="n">
        <v>43868</v>
      </c>
      <c r="E51" s="522" t="n"/>
      <c r="F51" s="522" t="n"/>
      <c r="G51" s="524" t="n">
        <v>431947</v>
      </c>
      <c r="H51" s="522" t="n"/>
    </row>
    <row r="52">
      <c r="A52" s="521" t="n">
        <v>44</v>
      </c>
      <c r="B52" s="522" t="n"/>
      <c r="C52" s="522" t="inlineStr">
        <is>
          <t>I1255</t>
        </is>
      </c>
      <c r="D52" s="523" t="n">
        <v>43867</v>
      </c>
      <c r="E52" s="522" t="n"/>
      <c r="F52" s="522" t="n"/>
      <c r="G52" s="524" t="n">
        <v>15842239</v>
      </c>
      <c r="H52" s="522" t="n"/>
    </row>
    <row r="53">
      <c r="A53" s="521" t="n">
        <v>45</v>
      </c>
      <c r="B53" s="522" t="n"/>
      <c r="C53" s="522" t="inlineStr">
        <is>
          <t>I1254</t>
        </is>
      </c>
      <c r="D53" s="523" t="n">
        <v>43867</v>
      </c>
      <c r="E53" s="522" t="n"/>
      <c r="F53" s="522" t="n"/>
      <c r="G53" s="524" t="n">
        <v>22883094</v>
      </c>
      <c r="H53" s="522" t="n"/>
    </row>
    <row r="54">
      <c r="A54" s="521" t="n">
        <v>46</v>
      </c>
      <c r="B54" s="522" t="n"/>
      <c r="C54" s="522" t="inlineStr">
        <is>
          <t>I1260</t>
        </is>
      </c>
      <c r="D54" s="523" t="n">
        <v>43867</v>
      </c>
      <c r="E54" s="522" t="n"/>
      <c r="F54" s="522" t="n"/>
      <c r="G54" s="524" t="n">
        <v>1796639</v>
      </c>
      <c r="H54" s="522" t="n"/>
    </row>
    <row r="55">
      <c r="A55" s="521" t="n">
        <v>47</v>
      </c>
      <c r="B55" s="522" t="n"/>
      <c r="C55" s="522" t="inlineStr">
        <is>
          <t>I1258</t>
        </is>
      </c>
      <c r="D55" s="523" t="n">
        <v>43867</v>
      </c>
      <c r="E55" s="522" t="n"/>
      <c r="F55" s="522" t="n"/>
      <c r="G55" s="524" t="n">
        <v>62589725</v>
      </c>
      <c r="H55" s="522" t="n"/>
    </row>
    <row r="56">
      <c r="A56" s="521" t="n">
        <v>48</v>
      </c>
      <c r="B56" s="522" t="inlineStr">
        <is>
          <t>CRUSHING MACHINE</t>
        </is>
      </c>
      <c r="C56" s="522" t="inlineStr">
        <is>
          <t>I2492</t>
        </is>
      </c>
      <c r="D56" s="523" t="n">
        <v>44252</v>
      </c>
      <c r="E56" s="522" t="n"/>
      <c r="F56" s="522" t="n"/>
      <c r="G56" s="524" t="n">
        <v>917700</v>
      </c>
      <c r="H56" s="522" t="n"/>
    </row>
    <row r="57">
      <c r="A57" s="521" t="n">
        <v>49</v>
      </c>
      <c r="B57" s="522" t="inlineStr">
        <is>
          <t>LIGHT STRING EQUIPMENT LAMP HOLDER DISCHARGE BARREL MOLD STORAGE STACKED LAMINATE ADAPTER BATTERY COLOR CARD COPPER PRODUCTS DOUBLE SIDED TAPE FUSE LED COPPER WIRE LAMPE LIGHT BEAD + LIGHT BULB METAL</t>
        </is>
      </c>
      <c r="C57" s="522" t="inlineStr">
        <is>
          <t>I2491</t>
        </is>
      </c>
      <c r="D57" s="523" t="n">
        <v>44252</v>
      </c>
      <c r="E57" s="522" t="n"/>
      <c r="F57" s="522" t="n"/>
      <c r="G57" s="524" t="n">
        <v>92976900</v>
      </c>
      <c r="H57" s="522" t="n"/>
    </row>
    <row r="58">
      <c r="A58" s="521" t="n">
        <v>50</v>
      </c>
      <c r="B58" s="522" t="inlineStr">
        <is>
          <t>MOLD STORAGE CAGE TESTING INSTRUMENT SOLDERING STATION ADAPTER BATTERY COPPER PRODUCTS DOUBLE SIDED TAPE ROCKER SWITCH WELDING WIRE FASTENER FUSE LED LIGHT LINE LIGHT BULB METAL ACCESSORIE PLASTIC ACC</t>
        </is>
      </c>
      <c r="C58" s="522" t="inlineStr">
        <is>
          <t>I2461</t>
        </is>
      </c>
      <c r="D58" s="523" t="n">
        <v>44252</v>
      </c>
      <c r="E58" s="522" t="n"/>
      <c r="F58" s="522" t="n"/>
      <c r="G58" s="524" t="n">
        <v>85361300</v>
      </c>
      <c r="H58" s="522" t="n"/>
    </row>
    <row r="59">
      <c r="A59" s="521" t="n">
        <v>51</v>
      </c>
      <c r="B59" s="522" t="inlineStr">
        <is>
          <t>LED COPPER WIRE LAMPE LIGHT BULB METAL PRODUCTS PLASTIC ACCESSORIE A PP1100RESIN</t>
        </is>
      </c>
      <c r="C59" s="522" t="inlineStr">
        <is>
          <t>I2200</t>
        </is>
      </c>
      <c r="D59" s="523" t="n">
        <v>44249</v>
      </c>
      <c r="E59" s="522" t="n"/>
      <c r="F59" s="522" t="n"/>
      <c r="G59" s="524" t="n">
        <v>25264400</v>
      </c>
      <c r="H59" s="522" t="n"/>
    </row>
    <row r="60">
      <c r="A60" s="521" t="n">
        <v>52</v>
      </c>
      <c r="B60" s="522" t="inlineStr">
        <is>
          <t>METAL RACK METAL PRODUCTS</t>
        </is>
      </c>
      <c r="C60" s="522" t="inlineStr">
        <is>
          <t>I1409</t>
        </is>
      </c>
      <c r="D60" s="523" t="n">
        <v>44231</v>
      </c>
      <c r="E60" s="522" t="n"/>
      <c r="F60" s="522" t="n"/>
      <c r="G60" s="524" t="n">
        <v>4711200</v>
      </c>
      <c r="H60" s="522" t="n"/>
    </row>
    <row r="61">
      <c r="A61" s="521" t="n">
        <v>53</v>
      </c>
      <c r="B61" s="522" t="inlineStr">
        <is>
          <t>METAL PRODUCTS PRINTED CIRCUIT BOARD ASSEMBLY PLASTIC MATERIAL (PP1100 RESIN)</t>
        </is>
      </c>
      <c r="C61" s="522" t="inlineStr">
        <is>
          <t>I1408</t>
        </is>
      </c>
      <c r="D61" s="523" t="n">
        <v>44231</v>
      </c>
      <c r="E61" s="522" t="n"/>
      <c r="F61" s="522" t="n"/>
      <c r="G61" s="524" t="n">
        <v>11404100</v>
      </c>
      <c r="H61" s="522" t="n"/>
    </row>
    <row r="62">
      <c r="A62" s="521" t="n">
        <v>54</v>
      </c>
      <c r="B62" s="522" t="inlineStr">
        <is>
          <t>LIGHT STRING EQUIPMENT PLASTIC PALLET TOOL FOR HAND BATTERY FASTENER LIGHT BULB METAL MATERIAL PLASTIC ACCESSORIE A POWER CORD H PRINTED CIRCUIT BOARD ASSEMBLY REMOTE CONTROL PLASTIC TUBE LED LIGHT LI</t>
        </is>
      </c>
      <c r="C62" s="522" t="inlineStr">
        <is>
          <t>I1407</t>
        </is>
      </c>
      <c r="D62" s="523" t="n">
        <v>44231</v>
      </c>
      <c r="E62" s="522" t="n"/>
      <c r="F62" s="522" t="n"/>
      <c r="G62" s="524" t="n">
        <v>49032900</v>
      </c>
      <c r="H62" s="522" t="n"/>
    </row>
    <row r="63">
      <c r="A63" s="521" t="n">
        <v>55</v>
      </c>
      <c r="B63" s="522" t="inlineStr">
        <is>
          <t>AWNING TESTING INSTRUMENT ADAPTER BATTERY FASTENER COPPER PRODUCTS DOUBLE SIDED TAPE ELECTRONIC COMPONENTS (ROCKER SWITCH) FUSE LED LIGHT LINE LIGHT BEAD + LIGHT BULB METAL ACCESSORIE METAL PRODUCTS P</t>
        </is>
      </c>
      <c r="C63" s="522" t="inlineStr">
        <is>
          <t>I1406</t>
        </is>
      </c>
      <c r="D63" s="523" t="n">
        <v>44231</v>
      </c>
      <c r="E63" s="522" t="n"/>
      <c r="F63" s="522" t="n"/>
      <c r="G63" s="524" t="n">
        <v>83663000</v>
      </c>
      <c r="H63" s="522" t="n"/>
    </row>
    <row r="64">
      <c r="A64" s="521" t="n">
        <v>56</v>
      </c>
      <c r="B64" s="522" t="n"/>
      <c r="C64" s="522" t="inlineStr">
        <is>
          <t>I1649</t>
        </is>
      </c>
      <c r="D64" s="523" t="n">
        <v>44236</v>
      </c>
      <c r="E64" s="522" t="n"/>
      <c r="F64" s="522" t="n"/>
      <c r="G64" s="524" t="n">
        <v>46414700</v>
      </c>
      <c r="H64" s="522" t="n"/>
    </row>
    <row r="65">
      <c r="A65" s="521" t="n">
        <v>57</v>
      </c>
      <c r="B65" s="522" t="n"/>
      <c r="C65" s="522" t="inlineStr">
        <is>
          <t>I2459</t>
        </is>
      </c>
      <c r="D65" s="523" t="n">
        <v>44252</v>
      </c>
      <c r="E65" s="522" t="n"/>
      <c r="F65" s="522" t="n"/>
      <c r="G65" s="524" t="n">
        <v>20057300</v>
      </c>
      <c r="H65" s="522" t="n"/>
    </row>
    <row r="66">
      <c r="A66" s="521" t="n">
        <v>58</v>
      </c>
      <c r="B66" s="522" t="n"/>
      <c r="C66" s="522" t="inlineStr">
        <is>
          <t>I2463</t>
        </is>
      </c>
      <c r="D66" s="523" t="n">
        <v>44252</v>
      </c>
      <c r="E66" s="522" t="n"/>
      <c r="F66" s="522" t="n"/>
      <c r="G66" s="524" t="n">
        <v>84083200</v>
      </c>
      <c r="H66" s="522" t="n"/>
    </row>
    <row r="67">
      <c r="A67" s="521" t="n">
        <v>59</v>
      </c>
      <c r="B67" s="522" t="n"/>
      <c r="C67" s="522" t="inlineStr">
        <is>
          <t>I2458</t>
        </is>
      </c>
      <c r="D67" s="523" t="n">
        <v>44252</v>
      </c>
      <c r="E67" s="522" t="n"/>
      <c r="F67" s="522" t="n"/>
      <c r="G67" s="524" t="n">
        <v>12593900</v>
      </c>
      <c r="H67" s="522" t="n"/>
    </row>
    <row r="68">
      <c r="A68" s="521" t="n">
        <v>60</v>
      </c>
      <c r="B68" s="522" t="n"/>
      <c r="C68" s="522" t="inlineStr">
        <is>
          <t>I2460</t>
        </is>
      </c>
      <c r="D68" s="523" t="n">
        <v>44252</v>
      </c>
      <c r="E68" s="522" t="n"/>
      <c r="F68" s="522" t="n"/>
      <c r="G68" s="524" t="n">
        <v>80975600</v>
      </c>
      <c r="H68" s="522" t="n"/>
    </row>
    <row r="69">
      <c r="A69" s="521" t="n">
        <v>61</v>
      </c>
      <c r="B69" s="522" t="n"/>
      <c r="C69" s="522" t="inlineStr">
        <is>
          <t>I2462</t>
        </is>
      </c>
      <c r="D69" s="523" t="n">
        <v>44252</v>
      </c>
      <c r="E69" s="522" t="n"/>
      <c r="F69" s="522" t="n"/>
      <c r="G69" s="524" t="n">
        <v>51175300</v>
      </c>
      <c r="H69" s="522" t="n"/>
    </row>
    <row r="70">
      <c r="A70" s="521" t="n">
        <v>62</v>
      </c>
      <c r="B70" s="522" t="n"/>
      <c r="C70" s="522" t="inlineStr">
        <is>
          <t>I2367</t>
        </is>
      </c>
      <c r="D70" s="523" t="n">
        <v>44251</v>
      </c>
      <c r="E70" s="522" t="n"/>
      <c r="F70" s="522" t="n"/>
      <c r="G70" s="524" t="n">
        <v>2403800</v>
      </c>
      <c r="H70" s="522" t="n"/>
    </row>
    <row r="71">
      <c r="A71" s="521" t="n">
        <v>63</v>
      </c>
      <c r="B71" s="522" t="n"/>
      <c r="C71" s="522" t="inlineStr">
        <is>
          <t>I2285</t>
        </is>
      </c>
      <c r="D71" s="523" t="n">
        <v>44250</v>
      </c>
      <c r="E71" s="522" t="n"/>
      <c r="F71" s="522" t="n"/>
      <c r="G71" s="524" t="n">
        <v>38219500</v>
      </c>
      <c r="H71" s="522" t="n"/>
    </row>
    <row r="72">
      <c r="A72" s="521" t="n">
        <v>64</v>
      </c>
      <c r="B72" s="522" t="n"/>
      <c r="C72" s="522" t="inlineStr">
        <is>
          <t>I2286</t>
        </is>
      </c>
      <c r="D72" s="523" t="n">
        <v>44250</v>
      </c>
      <c r="E72" s="522" t="n"/>
      <c r="F72" s="522" t="n"/>
      <c r="G72" s="524" t="n">
        <v>15758800</v>
      </c>
      <c r="H72" s="522" t="n"/>
    </row>
    <row r="73">
      <c r="A73" s="521" t="n">
        <v>65</v>
      </c>
      <c r="B73" s="522" t="n"/>
      <c r="C73" s="522" t="inlineStr">
        <is>
          <t>I2270</t>
        </is>
      </c>
      <c r="D73" s="523" t="n">
        <v>44249</v>
      </c>
      <c r="E73" s="522" t="n"/>
      <c r="F73" s="522" t="n"/>
      <c r="G73" s="524" t="n">
        <v>19781100</v>
      </c>
      <c r="H73" s="522" t="n"/>
    </row>
    <row r="74">
      <c r="A74" s="521" t="n">
        <v>66</v>
      </c>
      <c r="B74" s="522" t="n"/>
      <c r="C74" s="522" t="inlineStr">
        <is>
          <t>I2275</t>
        </is>
      </c>
      <c r="D74" s="523" t="n">
        <v>44249</v>
      </c>
      <c r="E74" s="522" t="n"/>
      <c r="F74" s="522" t="n"/>
      <c r="G74" s="524" t="n">
        <v>10143600</v>
      </c>
      <c r="H74" s="522" t="n"/>
    </row>
    <row r="75">
      <c r="A75" s="521" t="n">
        <v>67</v>
      </c>
      <c r="B75" s="522" t="n"/>
      <c r="C75" s="522" t="inlineStr">
        <is>
          <t>I2273</t>
        </is>
      </c>
      <c r="D75" s="523" t="n">
        <v>44249</v>
      </c>
      <c r="E75" s="522" t="n"/>
      <c r="F75" s="522" t="n"/>
      <c r="G75" s="524" t="n">
        <v>23789300</v>
      </c>
      <c r="H75" s="522" t="n"/>
    </row>
    <row r="76">
      <c r="A76" s="521" t="n">
        <v>68</v>
      </c>
      <c r="B76" s="522" t="n"/>
      <c r="C76" s="522" t="inlineStr">
        <is>
          <t>I2198</t>
        </is>
      </c>
      <c r="D76" s="523" t="n">
        <v>44249</v>
      </c>
      <c r="E76" s="522" t="n"/>
      <c r="F76" s="522" t="n"/>
      <c r="G76" s="524" t="n">
        <v>80871100</v>
      </c>
      <c r="H76" s="522" t="n"/>
    </row>
    <row r="77">
      <c r="A77" s="521" t="n">
        <v>69</v>
      </c>
      <c r="B77" s="522" t="n"/>
      <c r="C77" s="522" t="inlineStr">
        <is>
          <t>I2202</t>
        </is>
      </c>
      <c r="D77" s="523" t="n">
        <v>44249</v>
      </c>
      <c r="E77" s="522" t="n"/>
      <c r="F77" s="522" t="n"/>
      <c r="G77" s="524" t="n">
        <v>24547900</v>
      </c>
      <c r="H77" s="522" t="n"/>
    </row>
    <row r="78">
      <c r="A78" s="521" t="n">
        <v>70</v>
      </c>
      <c r="B78" s="522" t="n"/>
      <c r="C78" s="522" t="inlineStr">
        <is>
          <t>I1641</t>
        </is>
      </c>
      <c r="D78" s="523" t="n">
        <v>44236</v>
      </c>
      <c r="E78" s="522" t="n"/>
      <c r="F78" s="522" t="n"/>
      <c r="G78" s="524" t="n">
        <v>4155200</v>
      </c>
      <c r="H78" s="522" t="n"/>
    </row>
    <row r="79">
      <c r="A79" s="521" t="n">
        <v>71</v>
      </c>
      <c r="B79" s="522" t="n"/>
      <c r="C79" s="522" t="inlineStr">
        <is>
          <t>I1639</t>
        </is>
      </c>
      <c r="D79" s="523" t="n">
        <v>44236</v>
      </c>
      <c r="E79" s="522" t="n"/>
      <c r="F79" s="522" t="n"/>
      <c r="G79" s="524" t="n">
        <v>16855200</v>
      </c>
      <c r="H79" s="522" t="n"/>
    </row>
    <row r="80">
      <c r="A80" s="521" t="n">
        <v>72</v>
      </c>
      <c r="B80" s="522" t="n"/>
      <c r="C80" s="522" t="inlineStr">
        <is>
          <t>I1360</t>
        </is>
      </c>
      <c r="D80" s="523" t="n">
        <v>44230</v>
      </c>
      <c r="E80" s="522" t="n"/>
      <c r="F80" s="522" t="n"/>
      <c r="G80" s="524" t="n">
        <v>2481800</v>
      </c>
      <c r="H80" s="522" t="n"/>
    </row>
    <row r="81">
      <c r="A81" s="521" t="n">
        <v>73</v>
      </c>
      <c r="B81" s="522" t="n"/>
      <c r="C81" s="522" t="inlineStr">
        <is>
          <t>I1361</t>
        </is>
      </c>
      <c r="D81" s="523" t="n">
        <v>44230</v>
      </c>
      <c r="E81" s="522" t="n"/>
      <c r="F81" s="522" t="n"/>
      <c r="G81" s="524" t="n">
        <v>1174500</v>
      </c>
      <c r="H81" s="522" t="n"/>
    </row>
    <row r="82">
      <c r="A82" s="521" t="n">
        <v>74</v>
      </c>
      <c r="B82" s="522" t="inlineStr">
        <is>
          <t>Import Raw material</t>
        </is>
      </c>
      <c r="C82" s="522" t="inlineStr">
        <is>
          <t>I1797</t>
        </is>
      </c>
      <c r="D82" s="523" t="n">
        <v>44596</v>
      </c>
      <c r="E82" s="522" t="n"/>
      <c r="F82" s="522" t="n"/>
      <c r="G82" s="524" t="n">
        <v>114059000</v>
      </c>
      <c r="H82" s="522" t="n"/>
    </row>
    <row r="83">
      <c r="A83" s="521" t="n">
        <v>75</v>
      </c>
      <c r="B83" s="522" t="inlineStr">
        <is>
          <t>Import raw material</t>
        </is>
      </c>
      <c r="C83" s="522" t="inlineStr">
        <is>
          <t>I1578</t>
        </is>
      </c>
      <c r="D83" s="523" t="n">
        <v>44596</v>
      </c>
      <c r="E83" s="522" t="n"/>
      <c r="F83" s="522" t="n"/>
      <c r="G83" s="524" t="n">
        <v>139731000</v>
      </c>
      <c r="H83" s="522" t="n"/>
    </row>
    <row r="84">
      <c r="A84" s="521" t="n">
        <v>76</v>
      </c>
      <c r="B84" s="522" t="inlineStr">
        <is>
          <t>Import Raw material</t>
        </is>
      </c>
      <c r="C84" s="522" t="inlineStr">
        <is>
          <t>I1582</t>
        </is>
      </c>
      <c r="D84" s="523" t="n">
        <v>44596</v>
      </c>
      <c r="E84" s="522" t="n"/>
      <c r="F84" s="522" t="n"/>
      <c r="G84" s="524" t="n">
        <v>32847400</v>
      </c>
      <c r="H84" s="522" t="n"/>
    </row>
    <row r="85">
      <c r="A85" s="521" t="n">
        <v>77</v>
      </c>
      <c r="B85" s="522" t="inlineStr">
        <is>
          <t>Import Raw material</t>
        </is>
      </c>
      <c r="C85" s="522" t="inlineStr">
        <is>
          <t>I1559</t>
        </is>
      </c>
      <c r="D85" s="523" t="n">
        <v>44596</v>
      </c>
      <c r="E85" s="522" t="n"/>
      <c r="F85" s="522" t="n"/>
      <c r="G85" s="524" t="n">
        <v>125660100</v>
      </c>
      <c r="H85" s="522" t="n"/>
    </row>
    <row r="86">
      <c r="A86" s="521" t="n">
        <v>78</v>
      </c>
      <c r="B86" s="522" t="inlineStr">
        <is>
          <t>Import Raw Mterial</t>
        </is>
      </c>
      <c r="C86" s="522" t="inlineStr">
        <is>
          <t>I1553</t>
        </is>
      </c>
      <c r="D86" s="523" t="n">
        <v>44596</v>
      </c>
      <c r="E86" s="522" t="n"/>
      <c r="F86" s="522" t="n"/>
      <c r="G86" s="524" t="n">
        <v>119180000</v>
      </c>
      <c r="H86" s="522" t="n"/>
    </row>
    <row r="87">
      <c r="A87" s="521" t="n">
        <v>79</v>
      </c>
      <c r="B87" s="522" t="inlineStr">
        <is>
          <t>Import Raw Material</t>
        </is>
      </c>
      <c r="C87" s="522" t="inlineStr">
        <is>
          <t>I1565</t>
        </is>
      </c>
      <c r="D87" s="523" t="n">
        <v>44596</v>
      </c>
      <c r="E87" s="522" t="n"/>
      <c r="F87" s="522" t="n"/>
      <c r="G87" s="524" t="n">
        <v>53707400</v>
      </c>
      <c r="H87" s="522" t="n"/>
    </row>
    <row r="88">
      <c r="A88" s="521" t="n">
        <v>80</v>
      </c>
      <c r="B88" s="522" t="inlineStr">
        <is>
          <t>Import Raw Material</t>
        </is>
      </c>
      <c r="C88" s="522" t="inlineStr">
        <is>
          <t>I1547</t>
        </is>
      </c>
      <c r="D88" s="523" t="n">
        <v>44593</v>
      </c>
      <c r="E88" s="522" t="n"/>
      <c r="F88" s="522" t="n"/>
      <c r="G88" s="524" t="n">
        <v>62472600</v>
      </c>
      <c r="H88" s="522" t="n"/>
    </row>
    <row r="89">
      <c r="A89" s="521" t="n">
        <v>81</v>
      </c>
      <c r="B89" s="522" t="inlineStr">
        <is>
          <t>Import Raw Material</t>
        </is>
      </c>
      <c r="C89" s="522" t="inlineStr">
        <is>
          <t>I2446</t>
        </is>
      </c>
      <c r="D89" s="523" t="n">
        <v>44979</v>
      </c>
      <c r="E89" s="522" t="n"/>
      <c r="F89" s="522" t="n"/>
      <c r="G89" s="524" t="n">
        <v>41872300</v>
      </c>
      <c r="H89" s="522" t="n"/>
    </row>
    <row r="90">
      <c r="A90" s="521" t="n">
        <v>82</v>
      </c>
      <c r="B90" s="522" t="inlineStr">
        <is>
          <t>Import Raw Material</t>
        </is>
      </c>
      <c r="C90" s="522" t="inlineStr">
        <is>
          <t>I2451</t>
        </is>
      </c>
      <c r="D90" s="523" t="n">
        <v>44979</v>
      </c>
      <c r="E90" s="522" t="n"/>
      <c r="F90" s="522" t="n"/>
      <c r="G90" s="524" t="n">
        <v>23469500</v>
      </c>
      <c r="H90" s="522" t="n"/>
    </row>
    <row r="91">
      <c r="A91" s="521" t="n">
        <v>83</v>
      </c>
      <c r="B91" s="522" t="inlineStr">
        <is>
          <t>Import Raw Material</t>
        </is>
      </c>
      <c r="C91" s="522" t="inlineStr">
        <is>
          <t>I2453</t>
        </is>
      </c>
      <c r="D91" s="523" t="n">
        <v>44979</v>
      </c>
      <c r="E91" s="522" t="n"/>
      <c r="F91" s="522" t="n"/>
      <c r="G91" s="524" t="n">
        <v>15671200</v>
      </c>
      <c r="H91" s="522" t="n"/>
    </row>
    <row r="92">
      <c r="A92" s="521" t="n">
        <v>84</v>
      </c>
      <c r="B92" s="522" t="inlineStr">
        <is>
          <t>Import Raw Material</t>
        </is>
      </c>
      <c r="C92" s="522" t="inlineStr">
        <is>
          <t>I2445</t>
        </is>
      </c>
      <c r="D92" s="523" t="n">
        <v>44979</v>
      </c>
      <c r="E92" s="522" t="n"/>
      <c r="F92" s="522" t="n"/>
      <c r="G92" s="524" t="n">
        <v>7878500</v>
      </c>
      <c r="H92" s="522" t="n"/>
    </row>
    <row r="93">
      <c r="A93" s="521" t="n">
        <v>85</v>
      </c>
      <c r="B93" s="522" t="inlineStr">
        <is>
          <t>Import Raw Material</t>
        </is>
      </c>
      <c r="C93" s="522" t="inlineStr">
        <is>
          <t>I1453</t>
        </is>
      </c>
      <c r="D93" s="523" t="n">
        <v>44959</v>
      </c>
      <c r="E93" s="522" t="n"/>
      <c r="F93" s="522" t="n"/>
      <c r="G93" s="524" t="n">
        <v>27931100</v>
      </c>
      <c r="H93" s="522" t="n"/>
    </row>
    <row r="94">
      <c r="A94" s="521" t="n">
        <v>86</v>
      </c>
      <c r="B94" s="522" t="n"/>
      <c r="C94" s="522" t="inlineStr">
        <is>
          <t>I2189</t>
        </is>
      </c>
      <c r="D94" s="523" t="n">
        <v>43894</v>
      </c>
      <c r="E94" s="522" t="n"/>
      <c r="F94" s="522" t="n"/>
      <c r="G94" s="524" t="n">
        <v>5822386</v>
      </c>
      <c r="H94" s="522" t="n"/>
    </row>
    <row r="95">
      <c r="A95" s="521" t="n">
        <v>87</v>
      </c>
      <c r="B95" s="522" t="n"/>
      <c r="C95" s="522" t="inlineStr">
        <is>
          <t>I2934</t>
        </is>
      </c>
      <c r="D95" s="523" t="n">
        <v>43910</v>
      </c>
      <c r="E95" s="522" t="n"/>
      <c r="F95" s="522" t="n"/>
      <c r="G95" s="524" t="n">
        <v>4827321</v>
      </c>
      <c r="H95" s="522" t="n"/>
    </row>
    <row r="96">
      <c r="A96" s="521" t="n">
        <v>88</v>
      </c>
      <c r="B96" s="522" t="inlineStr">
        <is>
          <t>ការនាំចូលទំនិញមកពីក្រៅប្រទេស</t>
        </is>
      </c>
      <c r="C96" s="522" t="inlineStr">
        <is>
          <t>I3738</t>
        </is>
      </c>
      <c r="D96" s="523" t="n">
        <v>44280</v>
      </c>
      <c r="E96" s="522" t="n"/>
      <c r="F96" s="522" t="n"/>
      <c r="G96" s="524" t="n">
        <v>48134400</v>
      </c>
      <c r="H96" s="522" t="n"/>
    </row>
    <row r="97">
      <c r="A97" s="521" t="n">
        <v>89</v>
      </c>
      <c r="B97" s="522" t="inlineStr">
        <is>
          <t>ការនាំចូលទំនិញមកពីក្រៅប្រទេស</t>
        </is>
      </c>
      <c r="C97" s="522" t="inlineStr">
        <is>
          <t>I3741</t>
        </is>
      </c>
      <c r="D97" s="523" t="n">
        <v>44280</v>
      </c>
      <c r="E97" s="522" t="n"/>
      <c r="F97" s="522" t="n"/>
      <c r="G97" s="524" t="n">
        <v>35664600</v>
      </c>
      <c r="H97" s="522" t="n"/>
    </row>
    <row r="98">
      <c r="A98" s="521" t="n">
        <v>90</v>
      </c>
      <c r="B98" s="522" t="inlineStr">
        <is>
          <t>ការនាំចូលទំនិញមកពីក្រៅប្រទេស</t>
        </is>
      </c>
      <c r="C98" s="522" t="inlineStr">
        <is>
          <t>I3740</t>
        </is>
      </c>
      <c r="D98" s="523" t="n">
        <v>44280</v>
      </c>
      <c r="E98" s="522" t="n"/>
      <c r="F98" s="522" t="n"/>
      <c r="G98" s="524" t="n">
        <v>91140700</v>
      </c>
      <c r="H98" s="522" t="n"/>
    </row>
    <row r="99">
      <c r="A99" s="521" t="n">
        <v>91</v>
      </c>
      <c r="B99" s="522" t="inlineStr">
        <is>
          <t>ការនាំចូលទំនិញមកពីក្រៅប្រទេស</t>
        </is>
      </c>
      <c r="C99" s="522" t="inlineStr">
        <is>
          <t>I3739</t>
        </is>
      </c>
      <c r="D99" s="523" t="n">
        <v>44280</v>
      </c>
      <c r="E99" s="522" t="n"/>
      <c r="F99" s="522" t="n"/>
      <c r="G99" s="524" t="n">
        <v>27280900</v>
      </c>
      <c r="H99" s="522" t="n"/>
    </row>
    <row r="100">
      <c r="A100" s="521" t="n">
        <v>92</v>
      </c>
      <c r="B100" s="522" t="inlineStr">
        <is>
          <t>ការនាំចូលទំនិញមកពីក្រៅប្រទេស</t>
        </is>
      </c>
      <c r="C100" s="522" t="inlineStr">
        <is>
          <t>I3736</t>
        </is>
      </c>
      <c r="D100" s="523" t="n">
        <v>44280</v>
      </c>
      <c r="E100" s="522" t="n"/>
      <c r="F100" s="522" t="n"/>
      <c r="G100" s="524" t="n">
        <v>51144700</v>
      </c>
      <c r="H100" s="522" t="n"/>
    </row>
    <row r="101">
      <c r="A101" s="521" t="n">
        <v>93</v>
      </c>
      <c r="B101" s="522" t="inlineStr">
        <is>
          <t>ការនាំចូលទំនិញមកពីក្រៅប្រទេស</t>
        </is>
      </c>
      <c r="C101" s="522" t="inlineStr">
        <is>
          <t>I3745</t>
        </is>
      </c>
      <c r="D101" s="523" t="n">
        <v>44280</v>
      </c>
      <c r="E101" s="522" t="n"/>
      <c r="F101" s="522" t="n"/>
      <c r="G101" s="524" t="n">
        <v>56154000</v>
      </c>
      <c r="H101" s="522" t="n"/>
    </row>
    <row r="102">
      <c r="A102" s="521" t="n">
        <v>94</v>
      </c>
      <c r="B102" s="522" t="inlineStr">
        <is>
          <t>ការនាំចូលទំនិញមកពីក្រៅប្រទេស</t>
        </is>
      </c>
      <c r="C102" s="522" t="inlineStr">
        <is>
          <t>I3513</t>
        </is>
      </c>
      <c r="D102" s="523" t="n">
        <v>44277</v>
      </c>
      <c r="E102" s="522" t="n"/>
      <c r="F102" s="522" t="n"/>
      <c r="G102" s="524" t="n">
        <v>26280300</v>
      </c>
      <c r="H102" s="522" t="n"/>
    </row>
    <row r="103">
      <c r="A103" s="521" t="n">
        <v>95</v>
      </c>
      <c r="B103" s="522" t="inlineStr">
        <is>
          <t>ការនាំចូលទំនិញមកពីក្រៅប្រទេស</t>
        </is>
      </c>
      <c r="C103" s="522" t="inlineStr">
        <is>
          <t>I3255</t>
        </is>
      </c>
      <c r="D103" s="523" t="n">
        <v>44271</v>
      </c>
      <c r="E103" s="522" t="n"/>
      <c r="F103" s="522" t="n"/>
      <c r="G103" s="524" t="n">
        <v>37498300</v>
      </c>
      <c r="H103" s="522" t="n"/>
    </row>
    <row r="104">
      <c r="A104" s="521" t="n">
        <v>96</v>
      </c>
      <c r="B104" s="522" t="inlineStr">
        <is>
          <t>ការនាំចូលទំនិញមកពីក្រៅប្រទេស</t>
        </is>
      </c>
      <c r="C104" s="522" t="inlineStr">
        <is>
          <t>I3256</t>
        </is>
      </c>
      <c r="D104" s="523" t="n">
        <v>44271</v>
      </c>
      <c r="E104" s="522" t="n"/>
      <c r="F104" s="522" t="n"/>
      <c r="G104" s="524" t="n">
        <v>17755100</v>
      </c>
      <c r="H104" s="522" t="n"/>
    </row>
    <row r="105">
      <c r="A105" s="521" t="n">
        <v>97</v>
      </c>
      <c r="B105" s="522" t="inlineStr">
        <is>
          <t>ការនាំចូលទំនិញមកពីក្រៅប្រទេស</t>
        </is>
      </c>
      <c r="C105" s="522" t="inlineStr">
        <is>
          <t>I2672</t>
        </is>
      </c>
      <c r="D105" s="523" t="n">
        <v>44258</v>
      </c>
      <c r="E105" s="522" t="n"/>
      <c r="F105" s="522" t="n"/>
      <c r="G105" s="524" t="n">
        <v>32917800</v>
      </c>
      <c r="H105" s="522" t="n"/>
    </row>
    <row r="106">
      <c r="A106" s="521" t="n">
        <v>98</v>
      </c>
      <c r="B106" s="522" t="inlineStr">
        <is>
          <t>ការនាំចូលទំនិញមកពីក្រៅប្រទេស</t>
        </is>
      </c>
      <c r="C106" s="522" t="inlineStr">
        <is>
          <t>I2674</t>
        </is>
      </c>
      <c r="D106" s="523" t="n">
        <v>44258</v>
      </c>
      <c r="E106" s="522" t="n"/>
      <c r="F106" s="522" t="n"/>
      <c r="G106" s="524" t="n">
        <v>66614300</v>
      </c>
      <c r="H106" s="522" t="n"/>
    </row>
    <row r="107">
      <c r="A107" s="521" t="n">
        <v>99</v>
      </c>
      <c r="B107" s="522" t="inlineStr">
        <is>
          <t>ការនាំចូលទំនិញមកពីក្រៅប្រទេស</t>
        </is>
      </c>
      <c r="C107" s="522" t="inlineStr">
        <is>
          <t>I2673</t>
        </is>
      </c>
      <c r="D107" s="523" t="n">
        <v>44258</v>
      </c>
      <c r="E107" s="522" t="n"/>
      <c r="F107" s="522" t="n"/>
      <c r="G107" s="524" t="n">
        <v>21071200</v>
      </c>
      <c r="H107" s="522" t="n"/>
    </row>
    <row r="108">
      <c r="A108" s="521" t="n">
        <v>100</v>
      </c>
      <c r="B108" s="522" t="inlineStr">
        <is>
          <t>ការនាំចូលទំនិញមកពីក្រៅប្រទេស</t>
        </is>
      </c>
      <c r="C108" s="522" t="inlineStr">
        <is>
          <t>I2538</t>
        </is>
      </c>
      <c r="D108" s="523" t="n">
        <v>44256</v>
      </c>
      <c r="E108" s="522" t="n"/>
      <c r="F108" s="522" t="n"/>
      <c r="G108" s="524" t="n">
        <v>33866500</v>
      </c>
      <c r="H108" s="522" t="n"/>
    </row>
    <row r="109">
      <c r="A109" s="521" t="n">
        <v>101</v>
      </c>
      <c r="B109" s="522" t="inlineStr">
        <is>
          <t>ការនាំចូលទំនិញមកពីក្រៅប្រទេស</t>
        </is>
      </c>
      <c r="C109" s="522" t="inlineStr">
        <is>
          <t>I2537</t>
        </is>
      </c>
      <c r="D109" s="523" t="n">
        <v>44256</v>
      </c>
      <c r="E109" s="522" t="n"/>
      <c r="F109" s="522" t="n"/>
      <c r="G109" s="524" t="n">
        <v>24300700</v>
      </c>
      <c r="H109" s="522" t="n"/>
    </row>
    <row r="110">
      <c r="A110" s="521" t="n">
        <v>102</v>
      </c>
      <c r="B110" s="522" t="inlineStr">
        <is>
          <t>COPPER TERMINAL FO (CONNECTOR,LAMPHOLDER)</t>
        </is>
      </c>
      <c r="C110" s="522" t="inlineStr">
        <is>
          <t>I3928</t>
        </is>
      </c>
      <c r="D110" s="523" t="n">
        <v>44648</v>
      </c>
      <c r="E110" s="522" t="n"/>
      <c r="F110" s="522" t="n"/>
      <c r="G110" s="524" t="n">
        <v>36434200</v>
      </c>
      <c r="H110" s="522" t="n"/>
    </row>
    <row r="111">
      <c r="A111" s="521" t="n">
        <v>103</v>
      </c>
      <c r="B111" s="522" t="inlineStr">
        <is>
          <t>PRINTED CIRCUIT BOARD ASSMBLY</t>
        </is>
      </c>
      <c r="C111" s="522" t="inlineStr">
        <is>
          <t>I3927</t>
        </is>
      </c>
      <c r="D111" s="523" t="n">
        <v>44648</v>
      </c>
      <c r="E111" s="522" t="n"/>
      <c r="F111" s="522" t="n"/>
      <c r="G111" s="524" t="n">
        <v>89275400</v>
      </c>
      <c r="H111" s="522" t="n"/>
    </row>
    <row r="112">
      <c r="A112" s="521" t="n">
        <v>104</v>
      </c>
      <c r="B112" s="522" t="inlineStr">
        <is>
          <t>PRINTED CIRCUIT BOARD ASSMBLY</t>
        </is>
      </c>
      <c r="C112" s="522" t="inlineStr">
        <is>
          <t>I3926</t>
        </is>
      </c>
      <c r="D112" s="523" t="n">
        <v>44648</v>
      </c>
      <c r="E112" s="522" t="n"/>
      <c r="F112" s="522" t="n"/>
      <c r="G112" s="524" t="n">
        <v>151108400</v>
      </c>
      <c r="H112" s="522" t="n"/>
    </row>
    <row r="113">
      <c r="A113" s="521" t="n">
        <v>105</v>
      </c>
      <c r="B113" s="522" t="inlineStr">
        <is>
          <t>Import Raw Material</t>
        </is>
      </c>
      <c r="C113" s="522" t="inlineStr">
        <is>
          <t>I4170</t>
        </is>
      </c>
      <c r="D113" s="523" t="n">
        <v>45013</v>
      </c>
      <c r="E113" s="522" t="n"/>
      <c r="F113" s="522" t="n"/>
      <c r="G113" s="524" t="n">
        <v>82168300</v>
      </c>
      <c r="H113" s="522" t="n"/>
    </row>
    <row r="114">
      <c r="A114" s="521" t="n">
        <v>106</v>
      </c>
      <c r="B114" s="522" t="inlineStr">
        <is>
          <t>Import Raw Material</t>
        </is>
      </c>
      <c r="C114" s="522" t="inlineStr">
        <is>
          <t>I4167</t>
        </is>
      </c>
      <c r="D114" s="523" t="n">
        <v>45013</v>
      </c>
      <c r="E114" s="522" t="n"/>
      <c r="F114" s="522" t="n"/>
      <c r="G114" s="524" t="n">
        <v>24575400</v>
      </c>
      <c r="H114" s="522" t="n"/>
    </row>
    <row r="115">
      <c r="A115" s="521" t="n">
        <v>107</v>
      </c>
      <c r="B115" s="522" t="inlineStr">
        <is>
          <t>Import Raw Material</t>
        </is>
      </c>
      <c r="C115" s="522" t="inlineStr">
        <is>
          <t>I4236</t>
        </is>
      </c>
      <c r="D115" s="523" t="n">
        <v>45014</v>
      </c>
      <c r="E115" s="522" t="n"/>
      <c r="F115" s="522" t="n"/>
      <c r="G115" s="524" t="n">
        <v>22647400</v>
      </c>
      <c r="H115" s="522" t="n"/>
    </row>
    <row r="116">
      <c r="A116" s="521" t="n">
        <v>108</v>
      </c>
      <c r="B116" s="522" t="n"/>
      <c r="C116" s="522" t="inlineStr">
        <is>
          <t>I3352</t>
        </is>
      </c>
      <c r="D116" s="523" t="n">
        <v>43924</v>
      </c>
      <c r="E116" s="522" t="n"/>
      <c r="F116" s="522" t="n"/>
      <c r="G116" s="524" t="n">
        <v>16569553</v>
      </c>
      <c r="H116" s="522" t="n"/>
    </row>
    <row r="117">
      <c r="A117" s="521" t="n">
        <v>109</v>
      </c>
      <c r="B117" s="522" t="n"/>
      <c r="C117" s="522" t="inlineStr">
        <is>
          <t>I3353</t>
        </is>
      </c>
      <c r="D117" s="523" t="n">
        <v>43924</v>
      </c>
      <c r="E117" s="522" t="n"/>
      <c r="F117" s="522" t="n"/>
      <c r="G117" s="524" t="n">
        <v>8034057</v>
      </c>
      <c r="H117" s="522" t="n"/>
    </row>
    <row r="118">
      <c r="A118" s="521" t="n">
        <v>110</v>
      </c>
      <c r="B118" s="522" t="n"/>
      <c r="C118" s="522" t="inlineStr">
        <is>
          <t>I3594</t>
        </is>
      </c>
      <c r="D118" s="523" t="n">
        <v>43930</v>
      </c>
      <c r="E118" s="522" t="n"/>
      <c r="F118" s="522" t="n"/>
      <c r="G118" s="524" t="n">
        <v>7485844</v>
      </c>
      <c r="H118" s="522" t="n"/>
    </row>
    <row r="119">
      <c r="A119" s="521" t="n">
        <v>111</v>
      </c>
      <c r="B119" s="522" t="inlineStr">
        <is>
          <t>ការនាំចូលទំនិញពីក្រៅប្រទេស</t>
        </is>
      </c>
      <c r="C119" s="522" t="inlineStr">
        <is>
          <t>I3956</t>
        </is>
      </c>
      <c r="D119" s="523" t="n">
        <v>44287</v>
      </c>
      <c r="E119" s="522" t="n"/>
      <c r="F119" s="522" t="n"/>
      <c r="G119" s="524" t="n">
        <v>37356100</v>
      </c>
      <c r="H119" s="522" t="n"/>
    </row>
    <row r="120">
      <c r="A120" s="521" t="n">
        <v>112</v>
      </c>
      <c r="B120" s="522" t="inlineStr">
        <is>
          <t>ការនាំចូលទំនិញពីក្រៅប្រទេស</t>
        </is>
      </c>
      <c r="C120" s="522" t="inlineStr">
        <is>
          <t>I3961</t>
        </is>
      </c>
      <c r="D120" s="523" t="n">
        <v>44287</v>
      </c>
      <c r="E120" s="522" t="n"/>
      <c r="F120" s="522" t="n"/>
      <c r="G120" s="524" t="n">
        <v>42875000</v>
      </c>
      <c r="H120" s="522" t="n"/>
    </row>
    <row r="121">
      <c r="A121" s="521" t="n">
        <v>113</v>
      </c>
      <c r="B121" s="522" t="inlineStr">
        <is>
          <t>ការនាំចូលទំនិញពីក្រៅប្រទេស</t>
        </is>
      </c>
      <c r="C121" s="522" t="inlineStr">
        <is>
          <t>I4121</t>
        </is>
      </c>
      <c r="D121" s="523" t="n">
        <v>44291</v>
      </c>
      <c r="E121" s="522" t="n"/>
      <c r="F121" s="522" t="n"/>
      <c r="G121" s="524" t="n">
        <v>7071300</v>
      </c>
      <c r="H121" s="522" t="n"/>
    </row>
    <row r="122">
      <c r="A122" s="521" t="n">
        <v>114</v>
      </c>
      <c r="B122" s="522" t="inlineStr">
        <is>
          <t>ការនាំចូលទំនិញក្រៅប្រទេស</t>
        </is>
      </c>
      <c r="C122" s="522" t="inlineStr">
        <is>
          <t>I3958</t>
        </is>
      </c>
      <c r="D122" s="523" t="n">
        <v>44287</v>
      </c>
      <c r="E122" s="522" t="n"/>
      <c r="F122" s="522" t="n"/>
      <c r="G122" s="524" t="n">
        <v>63385900</v>
      </c>
      <c r="H122" s="522" t="n"/>
    </row>
    <row r="123">
      <c r="A123" s="521" t="n">
        <v>115</v>
      </c>
      <c r="B123" s="522" t="inlineStr">
        <is>
          <t>ការនាំចូលទំនិញពីក្រៅប្រទេស</t>
        </is>
      </c>
      <c r="C123" s="522" t="inlineStr">
        <is>
          <t>I3960</t>
        </is>
      </c>
      <c r="D123" s="523" t="n">
        <v>44287</v>
      </c>
      <c r="E123" s="522" t="n"/>
      <c r="F123" s="522" t="n"/>
      <c r="G123" s="524" t="n">
        <v>244380000</v>
      </c>
      <c r="H123" s="522" t="n"/>
    </row>
    <row r="124">
      <c r="A124" s="521" t="n">
        <v>116</v>
      </c>
      <c r="B124" s="522" t="inlineStr">
        <is>
          <t>Import Raw Material (WIRE,LIGHTS BULD..)</t>
        </is>
      </c>
      <c r="C124" s="522" t="inlineStr">
        <is>
          <t>I5094</t>
        </is>
      </c>
      <c r="D124" s="523" t="n">
        <v>44677</v>
      </c>
      <c r="E124" s="522" t="n"/>
      <c r="F124" s="522" t="n"/>
      <c r="G124" s="524" t="n">
        <v>96415300</v>
      </c>
      <c r="H124" s="522" t="n"/>
    </row>
    <row r="125">
      <c r="A125" s="521" t="n">
        <v>117</v>
      </c>
      <c r="B125" s="522" t="inlineStr">
        <is>
          <t>ADAPTER</t>
        </is>
      </c>
      <c r="C125" s="522" t="inlineStr">
        <is>
          <t>I5093</t>
        </is>
      </c>
      <c r="D125" s="523" t="n">
        <v>44677</v>
      </c>
      <c r="E125" s="522" t="n"/>
      <c r="F125" s="522" t="n"/>
      <c r="G125" s="524" t="n">
        <v>41833900</v>
      </c>
      <c r="H125" s="522" t="n"/>
    </row>
    <row r="126">
      <c r="A126" s="521" t="n">
        <v>118</v>
      </c>
      <c r="B126" s="522" t="inlineStr">
        <is>
          <t>ELECTRODE SLICE, IRON ACCESSORIES ,ELECTRONIC COMPONENTS OF PCBA,ELECTRONIC SWITCH,FUSE,IRON TUBE, LED COPPER WIRE LAMP AND LED STRIPE…</t>
        </is>
      </c>
      <c r="C126" s="522" t="inlineStr">
        <is>
          <t>I5362</t>
        </is>
      </c>
      <c r="D126" s="523" t="n">
        <v>45042</v>
      </c>
      <c r="E126" s="522" t="n"/>
      <c r="F126" s="522" t="n"/>
      <c r="G126" s="524" t="n">
        <v>40256004.2</v>
      </c>
      <c r="H126" s="522" t="n"/>
    </row>
    <row r="127">
      <c r="A127" s="521" t="n">
        <v>119</v>
      </c>
      <c r="B127" s="522" t="inlineStr">
        <is>
          <t>ELECTRODE SLICE, IRON ACCESSORIES ,FUSE,IRON SHEET FRAME,IRON TUBE,LED COPPER WIRE LAMP AND LED STRIPE,PAPER BOARD,BATTERY BOX,COOPER TERMINAL FOR PLUG,END PLUG INSERT CORE,LABEL,LIGHT BEAD  …..</t>
        </is>
      </c>
      <c r="C127" s="522" t="inlineStr">
        <is>
          <t>I5319</t>
        </is>
      </c>
      <c r="D127" s="523" t="n">
        <v>45041</v>
      </c>
      <c r="E127" s="522" t="n"/>
      <c r="F127" s="522" t="n"/>
      <c r="G127" s="524" t="n">
        <v>17755204</v>
      </c>
      <c r="H127" s="522" t="n"/>
    </row>
    <row r="128">
      <c r="A128" s="521" t="n">
        <v>120</v>
      </c>
      <c r="B128" s="522" t="inlineStr">
        <is>
          <t>FUSE,IRON TUBE,STRETCH FILM,COOPER TERMINAL FOR PLUG,END PLUG INSERT CORE,LABEL,LED STRIP,LIGHT BEAD AND LIGHT BULB,PACKAGING TAPE,PLASTIC,IRON SHEET,PRINTED CIRCUIT BOARD ASSEMBLY and Wire</t>
        </is>
      </c>
      <c r="C128" s="522" t="inlineStr">
        <is>
          <t>I5318</t>
        </is>
      </c>
      <c r="D128" s="523" t="n">
        <v>45041</v>
      </c>
      <c r="E128" s="522" t="n"/>
      <c r="F128" s="522" t="n"/>
      <c r="G128" s="524" t="n">
        <v>81322125.8</v>
      </c>
      <c r="H128" s="522" t="n"/>
    </row>
    <row r="129">
      <c r="A129" s="521" t="n">
        <v>121</v>
      </c>
      <c r="B129" s="522" t="inlineStr">
        <is>
          <t>LED copper wire lamp</t>
        </is>
      </c>
      <c r="C129" s="522" t="inlineStr">
        <is>
          <t>I4607</t>
        </is>
      </c>
      <c r="D129" s="523" t="n">
        <v>44319</v>
      </c>
      <c r="E129" s="522" t="n"/>
      <c r="F129" s="522" t="n"/>
      <c r="G129" s="524" t="n">
        <v>7858600</v>
      </c>
      <c r="H129" s="522" t="n"/>
    </row>
    <row r="130">
      <c r="A130" s="521" t="n">
        <v>122</v>
      </c>
      <c r="B130" s="522" t="inlineStr">
        <is>
          <t>Import Material</t>
        </is>
      </c>
      <c r="C130" s="522" t="inlineStr">
        <is>
          <t>I5626</t>
        </is>
      </c>
      <c r="D130" s="523" t="n">
        <v>44342</v>
      </c>
      <c r="E130" s="522" t="n"/>
      <c r="F130" s="522" t="n"/>
      <c r="G130" s="524" t="n">
        <v>4310100</v>
      </c>
      <c r="H130" s="522" t="n"/>
    </row>
    <row r="131">
      <c r="A131" s="521" t="n">
        <v>123</v>
      </c>
      <c r="B131" s="522" t="inlineStr">
        <is>
          <t xml:space="preserve">Import Material </t>
        </is>
      </c>
      <c r="C131" s="522" t="inlineStr">
        <is>
          <t>I5726</t>
        </is>
      </c>
      <c r="D131" s="523" t="n">
        <v>44344</v>
      </c>
      <c r="E131" s="522" t="n"/>
      <c r="F131" s="522" t="n"/>
      <c r="G131" s="524" t="n">
        <v>3514700</v>
      </c>
      <c r="H131" s="522" t="n"/>
    </row>
    <row r="132">
      <c r="A132" s="521" t="n">
        <v>124</v>
      </c>
      <c r="B132" s="522" t="inlineStr">
        <is>
          <t>Import Material</t>
        </is>
      </c>
      <c r="C132" s="522" t="inlineStr">
        <is>
          <t>I5636</t>
        </is>
      </c>
      <c r="D132" s="523" t="n">
        <v>44342</v>
      </c>
      <c r="E132" s="522" t="n"/>
      <c r="F132" s="522" t="n"/>
      <c r="G132" s="524" t="n">
        <v>1364400</v>
      </c>
      <c r="H132" s="522" t="n"/>
    </row>
    <row r="133">
      <c r="A133" s="521" t="n">
        <v>125</v>
      </c>
      <c r="B133" s="522" t="inlineStr">
        <is>
          <t>Import Material</t>
        </is>
      </c>
      <c r="C133" s="522" t="inlineStr">
        <is>
          <t>I5643</t>
        </is>
      </c>
      <c r="D133" s="523" t="n">
        <v>44342</v>
      </c>
      <c r="E133" s="522" t="n"/>
      <c r="F133" s="522" t="n"/>
      <c r="G133" s="524" t="n">
        <v>53159700</v>
      </c>
      <c r="H133" s="522" t="n"/>
    </row>
    <row r="134">
      <c r="A134" s="521" t="n">
        <v>126</v>
      </c>
      <c r="B134" s="522" t="inlineStr">
        <is>
          <t>Tools for electric</t>
        </is>
      </c>
      <c r="C134" s="522" t="inlineStr">
        <is>
          <t>I4732</t>
        </is>
      </c>
      <c r="D134" s="523" t="n">
        <v>44321</v>
      </c>
      <c r="E134" s="522" t="n"/>
      <c r="F134" s="522" t="n"/>
      <c r="G134" s="524" t="n">
        <v>1432800</v>
      </c>
      <c r="H134" s="522" t="n"/>
    </row>
    <row r="135">
      <c r="A135" s="521" t="n">
        <v>127</v>
      </c>
      <c r="B135" s="522" t="inlineStr">
        <is>
          <t>Light buib</t>
        </is>
      </c>
      <c r="C135" s="522" t="inlineStr">
        <is>
          <t>I4727</t>
        </is>
      </c>
      <c r="D135" s="523" t="n">
        <v>44321</v>
      </c>
      <c r="E135" s="522" t="n"/>
      <c r="F135" s="522" t="n"/>
      <c r="G135" s="524" t="n">
        <v>3914200</v>
      </c>
      <c r="H135" s="522" t="n"/>
    </row>
    <row r="136">
      <c r="A136" s="521" t="n">
        <v>128</v>
      </c>
      <c r="B136" s="522" t="inlineStr">
        <is>
          <t>Battery</t>
        </is>
      </c>
      <c r="C136" s="522" t="inlineStr">
        <is>
          <t>I5228</t>
        </is>
      </c>
      <c r="D136" s="523" t="n">
        <v>44334</v>
      </c>
      <c r="E136" s="522" t="n"/>
      <c r="F136" s="522" t="n"/>
      <c r="G136" s="524" t="n">
        <v>60299400</v>
      </c>
      <c r="H136" s="522" t="n"/>
    </row>
    <row r="137">
      <c r="A137" s="521" t="n">
        <v>129</v>
      </c>
      <c r="B137" s="522" t="inlineStr">
        <is>
          <t xml:space="preserve">Import Material </t>
        </is>
      </c>
      <c r="C137" s="522" t="inlineStr">
        <is>
          <t>I5397</t>
        </is>
      </c>
      <c r="D137" s="523" t="n">
        <v>44337</v>
      </c>
      <c r="E137" s="522" t="n"/>
      <c r="F137" s="522" t="n"/>
      <c r="G137" s="524" t="n">
        <v>1959900</v>
      </c>
      <c r="H137" s="522" t="n"/>
    </row>
    <row r="138">
      <c r="A138" s="521" t="n">
        <v>130</v>
      </c>
      <c r="B138" s="522" t="inlineStr">
        <is>
          <t>LED copper wire lamp</t>
        </is>
      </c>
      <c r="C138" s="522" t="inlineStr">
        <is>
          <t>I4896</t>
        </is>
      </c>
      <c r="D138" s="523" t="n">
        <v>44326</v>
      </c>
      <c r="E138" s="522" t="n"/>
      <c r="F138" s="522" t="n"/>
      <c r="G138" s="524" t="n">
        <v>4930100</v>
      </c>
      <c r="H138" s="522" t="n"/>
    </row>
    <row r="139">
      <c r="A139" s="521" t="n">
        <v>131</v>
      </c>
      <c r="B139" s="522" t="inlineStr">
        <is>
          <t>Import Material</t>
        </is>
      </c>
      <c r="C139" s="522" t="inlineStr">
        <is>
          <t>I5400</t>
        </is>
      </c>
      <c r="D139" s="523" t="n">
        <v>44337</v>
      </c>
      <c r="E139" s="522" t="n"/>
      <c r="F139" s="522" t="n"/>
      <c r="G139" s="524" t="n">
        <v>37458300</v>
      </c>
      <c r="H139" s="522" t="n"/>
    </row>
    <row r="140">
      <c r="A140" s="521" t="n">
        <v>132</v>
      </c>
      <c r="B140" s="522" t="inlineStr">
        <is>
          <t>LED copper wire lamp</t>
        </is>
      </c>
      <c r="C140" s="522" t="inlineStr">
        <is>
          <t>I5237</t>
        </is>
      </c>
      <c r="D140" s="523" t="n">
        <v>44334</v>
      </c>
      <c r="E140" s="522" t="n"/>
      <c r="F140" s="522" t="n"/>
      <c r="G140" s="524" t="n">
        <v>12461300</v>
      </c>
      <c r="H140" s="522" t="n"/>
    </row>
    <row r="141">
      <c r="A141" s="521" t="n">
        <v>133</v>
      </c>
      <c r="B141" s="522" t="inlineStr">
        <is>
          <t>LED copper wire lamp</t>
        </is>
      </c>
      <c r="C141" s="522" t="inlineStr">
        <is>
          <t>I5227</t>
        </is>
      </c>
      <c r="D141" s="523" t="n">
        <v>44337</v>
      </c>
      <c r="E141" s="522" t="n"/>
      <c r="F141" s="522" t="n"/>
      <c r="G141" s="524" t="n">
        <v>1085700</v>
      </c>
      <c r="H141" s="522" t="n"/>
    </row>
    <row r="142">
      <c r="A142" s="521" t="n">
        <v>134</v>
      </c>
      <c r="B142" s="522" t="inlineStr">
        <is>
          <t>Light Bulb</t>
        </is>
      </c>
      <c r="C142" s="522" t="inlineStr">
        <is>
          <t>I5232</t>
        </is>
      </c>
      <c r="D142" s="523" t="n">
        <v>44334</v>
      </c>
      <c r="E142" s="522" t="n"/>
      <c r="F142" s="522" t="n"/>
      <c r="G142" s="524" t="n">
        <v>30509800</v>
      </c>
      <c r="H142" s="522" t="n"/>
    </row>
    <row r="143">
      <c r="A143" s="521" t="n">
        <v>135</v>
      </c>
      <c r="B143" s="522" t="inlineStr">
        <is>
          <t>Import Material</t>
        </is>
      </c>
      <c r="C143" s="522" t="inlineStr">
        <is>
          <t>I4606</t>
        </is>
      </c>
      <c r="D143" s="523" t="n">
        <v>44319</v>
      </c>
      <c r="E143" s="522" t="n"/>
      <c r="F143" s="522" t="n"/>
      <c r="G143" s="524" t="n">
        <v>57416700</v>
      </c>
      <c r="H143" s="522" t="n"/>
    </row>
    <row r="144">
      <c r="A144" s="521" t="n">
        <v>136</v>
      </c>
      <c r="B144" s="522" t="inlineStr">
        <is>
          <t>Import Material</t>
        </is>
      </c>
      <c r="C144" s="522" t="inlineStr">
        <is>
          <t>I5242</t>
        </is>
      </c>
      <c r="D144" s="523" t="n">
        <v>44334</v>
      </c>
      <c r="E144" s="522" t="n"/>
      <c r="F144" s="522" t="n"/>
      <c r="G144" s="524" t="n">
        <v>36350200</v>
      </c>
      <c r="H144" s="522" t="n"/>
    </row>
    <row r="145">
      <c r="A145" s="521" t="n">
        <v>137</v>
      </c>
      <c r="B145" s="522" t="inlineStr">
        <is>
          <t>Import Material</t>
        </is>
      </c>
      <c r="C145" s="522" t="inlineStr">
        <is>
          <t>I5672</t>
        </is>
      </c>
      <c r="D145" s="523" t="n">
        <v>44343</v>
      </c>
      <c r="E145" s="522" t="n"/>
      <c r="F145" s="522" t="n"/>
      <c r="G145" s="524" t="n">
        <v>37724200</v>
      </c>
      <c r="H145" s="522" t="n"/>
    </row>
    <row r="146">
      <c r="A146" s="521" t="n">
        <v>138</v>
      </c>
      <c r="B146" s="522" t="inlineStr">
        <is>
          <t>Import Raw Material (WIRE (6),LIGHT CORD  H (3)</t>
        </is>
      </c>
      <c r="C146" s="522" t="inlineStr">
        <is>
          <t>I5861</t>
        </is>
      </c>
      <c r="D146" s="523" t="n">
        <v>44693</v>
      </c>
      <c r="E146" s="522" t="n"/>
      <c r="F146" s="522" t="n"/>
      <c r="G146" s="524" t="n">
        <v>44660500</v>
      </c>
      <c r="H146" s="522" t="n"/>
    </row>
    <row r="147">
      <c r="A147" s="521" t="n">
        <v>139</v>
      </c>
      <c r="B147" s="522" t="inlineStr">
        <is>
          <t>Import Raw Material (WIRE(25),LIGHT STRIP (12)...)</t>
        </is>
      </c>
      <c r="C147" s="522" t="inlineStr">
        <is>
          <t>I5860</t>
        </is>
      </c>
      <c r="D147" s="523" t="n">
        <v>44693</v>
      </c>
      <c r="E147" s="522" t="n"/>
      <c r="F147" s="522" t="n"/>
      <c r="G147" s="524" t="n">
        <v>110268000</v>
      </c>
      <c r="H147" s="522" t="n"/>
    </row>
    <row r="148">
      <c r="A148" s="521" t="n">
        <v>140</v>
      </c>
      <c r="B148" s="522" t="inlineStr">
        <is>
          <t>Import Raw Material (IRON TUBE ,PLASTIC RESIN)</t>
        </is>
      </c>
      <c r="C148" s="522" t="inlineStr">
        <is>
          <t>I5836</t>
        </is>
      </c>
      <c r="D148" s="523" t="n">
        <v>44693</v>
      </c>
      <c r="E148" s="522" t="n"/>
      <c r="F148" s="522" t="n"/>
      <c r="G148" s="524" t="n">
        <v>16653400</v>
      </c>
      <c r="H148" s="522" t="n"/>
    </row>
    <row r="149">
      <c r="A149" s="521" t="n">
        <v>141</v>
      </c>
      <c r="B149" s="522" t="inlineStr">
        <is>
          <t>Import Raw Material</t>
        </is>
      </c>
      <c r="C149" s="522" t="inlineStr">
        <is>
          <t>I5575</t>
        </is>
      </c>
      <c r="D149" s="523" t="n">
        <v>44693</v>
      </c>
      <c r="E149" s="522" t="n"/>
      <c r="F149" s="522" t="n"/>
      <c r="G149" s="524" t="n">
        <v>62038300</v>
      </c>
      <c r="H149" s="522" t="n"/>
    </row>
    <row r="150">
      <c r="A150" s="521" t="n">
        <v>142</v>
      </c>
      <c r="B150" s="522" t="inlineStr">
        <is>
          <t>Raw materials</t>
        </is>
      </c>
      <c r="C150" s="522" t="inlineStr">
        <is>
          <t>I5578</t>
        </is>
      </c>
      <c r="D150" s="523" t="n">
        <v>45049</v>
      </c>
      <c r="E150" s="522" t="n"/>
      <c r="F150" s="522" t="n"/>
      <c r="G150" s="524" t="n">
        <v>60272576</v>
      </c>
      <c r="H150" s="522" t="n"/>
    </row>
    <row r="151">
      <c r="A151" s="521" t="n">
        <v>143</v>
      </c>
      <c r="B151" s="522" t="inlineStr">
        <is>
          <t>Raw materials</t>
        </is>
      </c>
      <c r="C151" s="522" t="inlineStr">
        <is>
          <t>I6702</t>
        </is>
      </c>
      <c r="D151" s="523" t="n">
        <v>45070</v>
      </c>
      <c r="E151" s="522" t="n"/>
      <c r="F151" s="522" t="n"/>
      <c r="G151" s="524" t="n">
        <v>16541648.4</v>
      </c>
      <c r="H151" s="522" t="n"/>
    </row>
    <row r="152">
      <c r="A152" s="521" t="n">
        <v>144</v>
      </c>
      <c r="B152" s="522" t="inlineStr">
        <is>
          <t>Raw materials</t>
        </is>
      </c>
      <c r="C152" s="522" t="inlineStr">
        <is>
          <t>I6414</t>
        </is>
      </c>
      <c r="D152" s="523" t="n">
        <v>45064</v>
      </c>
      <c r="E152" s="522" t="n"/>
      <c r="F152" s="522" t="n"/>
      <c r="G152" s="524" t="n">
        <v>65442298</v>
      </c>
      <c r="H152" s="522" t="n"/>
    </row>
    <row r="153">
      <c r="A153" s="521" t="n">
        <v>145</v>
      </c>
      <c r="B153" s="522" t="inlineStr">
        <is>
          <t>Raw materials</t>
        </is>
      </c>
      <c r="C153" s="522" t="inlineStr">
        <is>
          <t>I6342</t>
        </is>
      </c>
      <c r="D153" s="523" t="n">
        <v>45063</v>
      </c>
      <c r="E153" s="522" t="n"/>
      <c r="F153" s="522" t="n"/>
      <c r="G153" s="524" t="n">
        <v>125174797.5</v>
      </c>
      <c r="H153" s="522" t="n"/>
    </row>
    <row r="154">
      <c r="A154" s="521" t="n">
        <v>146</v>
      </c>
      <c r="B154" s="522" t="inlineStr">
        <is>
          <t>Import Material</t>
        </is>
      </c>
      <c r="C154" s="522" t="inlineStr">
        <is>
          <t>I6907</t>
        </is>
      </c>
      <c r="D154" s="523" t="n">
        <v>44369</v>
      </c>
      <c r="E154" s="522" t="n"/>
      <c r="F154" s="522" t="n"/>
      <c r="G154" s="524" t="n">
        <v>85957200</v>
      </c>
      <c r="H154" s="522" t="n"/>
    </row>
    <row r="155">
      <c r="A155" s="521" t="n">
        <v>147</v>
      </c>
      <c r="B155" s="522" t="inlineStr">
        <is>
          <t>Import Material</t>
        </is>
      </c>
      <c r="C155" s="522" t="inlineStr">
        <is>
          <t>I6510</t>
        </is>
      </c>
      <c r="D155" s="523" t="n">
        <v>44357</v>
      </c>
      <c r="E155" s="522" t="n"/>
      <c r="F155" s="522" t="n"/>
      <c r="G155" s="524" t="n">
        <v>36581200</v>
      </c>
      <c r="H155" s="522" t="n"/>
    </row>
    <row r="156">
      <c r="A156" s="521" t="n">
        <v>148</v>
      </c>
      <c r="B156" s="522" t="inlineStr">
        <is>
          <t>Import Material</t>
        </is>
      </c>
      <c r="C156" s="522" t="inlineStr">
        <is>
          <t>I6857</t>
        </is>
      </c>
      <c r="D156" s="523" t="n">
        <v>44364</v>
      </c>
      <c r="E156" s="522" t="n"/>
      <c r="F156" s="522" t="n"/>
      <c r="G156" s="524" t="n">
        <v>24183400</v>
      </c>
      <c r="H156" s="522" t="n"/>
    </row>
    <row r="157">
      <c r="A157" s="521" t="n">
        <v>149</v>
      </c>
      <c r="B157" s="522" t="inlineStr">
        <is>
          <t>Import Material</t>
        </is>
      </c>
      <c r="C157" s="522" t="inlineStr">
        <is>
          <t>I6136</t>
        </is>
      </c>
      <c r="D157" s="523" t="n">
        <v>44351</v>
      </c>
      <c r="E157" s="522" t="n"/>
      <c r="F157" s="522" t="n"/>
      <c r="G157" s="524" t="n">
        <v>38517500</v>
      </c>
      <c r="H157" s="522" t="n"/>
    </row>
    <row r="158">
      <c r="A158" s="521" t="n">
        <v>150</v>
      </c>
      <c r="B158" s="522" t="inlineStr">
        <is>
          <t>Import Material</t>
        </is>
      </c>
      <c r="C158" s="522" t="inlineStr">
        <is>
          <t>I6141</t>
        </is>
      </c>
      <c r="D158" s="523" t="n">
        <v>44351</v>
      </c>
      <c r="E158" s="522" t="n"/>
      <c r="F158" s="522" t="n"/>
      <c r="G158" s="524" t="n">
        <v>37505100</v>
      </c>
      <c r="H158" s="522" t="n"/>
    </row>
    <row r="159">
      <c r="A159" s="521" t="n">
        <v>151</v>
      </c>
      <c r="B159" s="522" t="inlineStr">
        <is>
          <t>Import Material</t>
        </is>
      </c>
      <c r="C159" s="522" t="inlineStr">
        <is>
          <t>I6247</t>
        </is>
      </c>
      <c r="D159" s="523" t="n">
        <v>44354</v>
      </c>
      <c r="E159" s="522" t="n"/>
      <c r="F159" s="522" t="n"/>
      <c r="G159" s="524" t="n">
        <v>3811200</v>
      </c>
      <c r="H159" s="522" t="n"/>
    </row>
    <row r="160">
      <c r="A160" s="521" t="n">
        <v>152</v>
      </c>
      <c r="B160" s="522" t="inlineStr">
        <is>
          <t>SOLAR PANELS</t>
        </is>
      </c>
      <c r="C160" s="522" t="inlineStr">
        <is>
          <t>I7194</t>
        </is>
      </c>
      <c r="D160" s="523" t="n">
        <v>44375</v>
      </c>
      <c r="E160" s="522" t="n"/>
      <c r="F160" s="522" t="n"/>
      <c r="G160" s="524" t="n">
        <v>1031900</v>
      </c>
      <c r="H160" s="522" t="n"/>
    </row>
    <row r="161">
      <c r="A161" s="521" t="n">
        <v>153</v>
      </c>
      <c r="B161" s="522" t="inlineStr">
        <is>
          <t>IRON STAMPINGS</t>
        </is>
      </c>
      <c r="C161" s="522" t="inlineStr">
        <is>
          <t>I6906</t>
        </is>
      </c>
      <c r="D161" s="523" t="n">
        <v>44369</v>
      </c>
      <c r="E161" s="522" t="n"/>
      <c r="F161" s="522" t="n"/>
      <c r="G161" s="524" t="n">
        <v>2068700</v>
      </c>
      <c r="H161" s="522" t="n"/>
    </row>
    <row r="162">
      <c r="A162" s="521" t="n">
        <v>154</v>
      </c>
      <c r="B162" s="522" t="inlineStr">
        <is>
          <t>Import Material</t>
        </is>
      </c>
      <c r="C162" s="522" t="inlineStr">
        <is>
          <t>I6134</t>
        </is>
      </c>
      <c r="D162" s="523" t="n">
        <v>44351</v>
      </c>
      <c r="E162" s="522" t="n"/>
      <c r="F162" s="522" t="n"/>
      <c r="G162" s="524" t="n">
        <v>1700700</v>
      </c>
      <c r="H162" s="522" t="n"/>
    </row>
    <row r="163">
      <c r="A163" s="521" t="n">
        <v>155</v>
      </c>
      <c r="B163" s="522" t="inlineStr">
        <is>
          <t>Import Materail</t>
        </is>
      </c>
      <c r="C163" s="522" t="inlineStr">
        <is>
          <t>I6139</t>
        </is>
      </c>
      <c r="D163" s="523" t="n">
        <v>44351</v>
      </c>
      <c r="E163" s="522" t="n"/>
      <c r="F163" s="522" t="n"/>
      <c r="G163" s="524" t="n">
        <v>12962300</v>
      </c>
      <c r="H163" s="522" t="n"/>
    </row>
    <row r="164">
      <c r="A164" s="521" t="n">
        <v>156</v>
      </c>
      <c r="B164" s="522" t="n"/>
      <c r="C164" s="522" t="inlineStr">
        <is>
          <t>I6812</t>
        </is>
      </c>
      <c r="D164" s="523" t="n">
        <v>44026</v>
      </c>
      <c r="E164" s="522" t="n"/>
      <c r="F164" s="522" t="n"/>
      <c r="G164" s="524" t="n">
        <v>50020500</v>
      </c>
      <c r="H164" s="522" t="n"/>
    </row>
    <row r="165">
      <c r="A165" s="521" t="n">
        <v>157</v>
      </c>
      <c r="B165" s="522" t="n"/>
      <c r="C165" s="522" t="inlineStr">
        <is>
          <t>I6890</t>
        </is>
      </c>
      <c r="D165" s="523" t="n">
        <v>44027</v>
      </c>
      <c r="E165" s="522" t="n"/>
      <c r="F165" s="522" t="n"/>
      <c r="G165" s="524" t="n">
        <v>30518500</v>
      </c>
      <c r="H165" s="522" t="n"/>
    </row>
    <row r="166">
      <c r="A166" s="521" t="n">
        <v>158</v>
      </c>
      <c r="B166" s="522" t="n"/>
      <c r="C166" s="522" t="inlineStr">
        <is>
          <t>I6723</t>
        </is>
      </c>
      <c r="D166" s="523" t="n">
        <v>44022</v>
      </c>
      <c r="E166" s="522" t="n"/>
      <c r="F166" s="522" t="n"/>
      <c r="G166" s="524" t="n">
        <v>19802100</v>
      </c>
      <c r="H166" s="522" t="n"/>
    </row>
    <row r="167">
      <c r="A167" s="521" t="n">
        <v>159</v>
      </c>
      <c r="B167" s="522" t="inlineStr">
        <is>
          <t>Import Raw Material</t>
        </is>
      </c>
      <c r="C167" s="522" t="inlineStr">
        <is>
          <t>I7959</t>
        </is>
      </c>
      <c r="D167" s="523" t="n">
        <v>44391</v>
      </c>
      <c r="E167" s="522" t="n"/>
      <c r="F167" s="522" t="n"/>
      <c r="G167" s="524" t="n">
        <v>32072100</v>
      </c>
      <c r="H167" s="522" t="n"/>
    </row>
    <row r="168">
      <c r="A168" s="521" t="n">
        <v>160</v>
      </c>
      <c r="B168" s="522" t="inlineStr">
        <is>
          <t>Import Raw Material</t>
        </is>
      </c>
      <c r="C168" s="522" t="inlineStr">
        <is>
          <t>I7962</t>
        </is>
      </c>
      <c r="D168" s="523" t="n">
        <v>44391</v>
      </c>
      <c r="E168" s="522" t="n"/>
      <c r="F168" s="522" t="n"/>
      <c r="G168" s="524" t="n">
        <v>78334400</v>
      </c>
      <c r="H168" s="522" t="n"/>
    </row>
    <row r="169">
      <c r="A169" s="521" t="n">
        <v>161</v>
      </c>
      <c r="B169" s="522" t="inlineStr">
        <is>
          <t>Import Raw Material</t>
        </is>
      </c>
      <c r="C169" s="522" t="inlineStr">
        <is>
          <t>I8066</t>
        </is>
      </c>
      <c r="D169" s="523" t="n">
        <v>44393</v>
      </c>
      <c r="E169" s="522" t="n"/>
      <c r="F169" s="522" t="n"/>
      <c r="G169" s="524" t="n">
        <v>23358000</v>
      </c>
      <c r="H169" s="522" t="n"/>
    </row>
    <row r="170">
      <c r="A170" s="521" t="n">
        <v>162</v>
      </c>
      <c r="B170" s="522" t="inlineStr">
        <is>
          <t xml:space="preserve">Import Raw Material </t>
        </is>
      </c>
      <c r="C170" s="522" t="inlineStr">
        <is>
          <t>I7961</t>
        </is>
      </c>
      <c r="D170" s="523" t="n">
        <v>44391</v>
      </c>
      <c r="E170" s="522" t="n"/>
      <c r="F170" s="522" t="n"/>
      <c r="G170" s="524" t="n">
        <v>33981400</v>
      </c>
      <c r="H170" s="522" t="n"/>
    </row>
    <row r="171">
      <c r="A171" s="521" t="n">
        <v>163</v>
      </c>
      <c r="B171" s="522" t="inlineStr">
        <is>
          <t>Import Raw Material</t>
        </is>
      </c>
      <c r="C171" s="522" t="inlineStr">
        <is>
          <t>I7983</t>
        </is>
      </c>
      <c r="D171" s="523" t="n">
        <v>44391</v>
      </c>
      <c r="E171" s="522" t="n"/>
      <c r="F171" s="522" t="n"/>
      <c r="G171" s="524" t="n">
        <v>92325000</v>
      </c>
      <c r="H171" s="522" t="n"/>
    </row>
    <row r="172">
      <c r="A172" s="521" t="n">
        <v>164</v>
      </c>
      <c r="B172" s="522" t="inlineStr">
        <is>
          <t>Import Raw Material</t>
        </is>
      </c>
      <c r="C172" s="522" t="inlineStr">
        <is>
          <t>I8559</t>
        </is>
      </c>
      <c r="D172" s="523" t="n">
        <v>44404</v>
      </c>
      <c r="E172" s="522" t="n"/>
      <c r="F172" s="522" t="n"/>
      <c r="G172" s="524" t="n">
        <v>33639700</v>
      </c>
      <c r="H172" s="522" t="n"/>
    </row>
    <row r="173">
      <c r="A173" s="521" t="n">
        <v>165</v>
      </c>
      <c r="B173" s="522" t="inlineStr">
        <is>
          <t>Import Material Adapter</t>
        </is>
      </c>
      <c r="C173" s="522" t="inlineStr">
        <is>
          <t>I8339</t>
        </is>
      </c>
      <c r="D173" s="523" t="n">
        <v>44398</v>
      </c>
      <c r="E173" s="522" t="n"/>
      <c r="F173" s="522" t="n"/>
      <c r="G173" s="524" t="n">
        <v>46552200</v>
      </c>
      <c r="H173" s="522" t="n"/>
    </row>
    <row r="174">
      <c r="A174" s="521" t="n">
        <v>166</v>
      </c>
      <c r="B174" s="522" t="inlineStr">
        <is>
          <t>Import Material</t>
        </is>
      </c>
      <c r="C174" s="522" t="inlineStr">
        <is>
          <t>I8555</t>
        </is>
      </c>
      <c r="D174" s="523" t="n">
        <v>44404</v>
      </c>
      <c r="E174" s="522" t="n"/>
      <c r="F174" s="522" t="n"/>
      <c r="G174" s="524" t="n">
        <v>53830100</v>
      </c>
      <c r="H174" s="522" t="n"/>
    </row>
    <row r="175">
      <c r="A175" s="521" t="n">
        <v>167</v>
      </c>
      <c r="B175" s="522" t="inlineStr">
        <is>
          <t>Import Raw Material</t>
        </is>
      </c>
      <c r="C175" s="522" t="inlineStr">
        <is>
          <t>I8832</t>
        </is>
      </c>
      <c r="D175" s="523" t="n">
        <v>44757</v>
      </c>
      <c r="E175" s="522" t="n"/>
      <c r="F175" s="522" t="n"/>
      <c r="G175" s="524" t="n">
        <v>116577400</v>
      </c>
      <c r="H175" s="522" t="n"/>
    </row>
    <row r="176">
      <c r="A176" s="521" t="n">
        <v>168</v>
      </c>
      <c r="B176" s="522" t="inlineStr">
        <is>
          <t>Import Raw Material</t>
        </is>
      </c>
      <c r="C176" s="522" t="inlineStr">
        <is>
          <t>I8785</t>
        </is>
      </c>
      <c r="D176" s="523" t="n">
        <v>44756</v>
      </c>
      <c r="E176" s="522" t="n"/>
      <c r="F176" s="522" t="n"/>
      <c r="G176" s="524" t="n">
        <v>12069100</v>
      </c>
      <c r="H176" s="522" t="n"/>
    </row>
    <row r="177">
      <c r="A177" s="521" t="n">
        <v>169</v>
      </c>
      <c r="B177" s="522" t="inlineStr">
        <is>
          <t>Import Raw Material</t>
        </is>
      </c>
      <c r="C177" s="522" t="inlineStr">
        <is>
          <t>I8789</t>
        </is>
      </c>
      <c r="D177" s="523" t="n">
        <v>44756</v>
      </c>
      <c r="E177" s="522" t="n"/>
      <c r="F177" s="522" t="n"/>
      <c r="G177" s="524" t="n">
        <v>12539500</v>
      </c>
      <c r="H177" s="522" t="n"/>
    </row>
    <row r="178">
      <c r="A178" s="521" t="n">
        <v>170</v>
      </c>
      <c r="B178" s="522" t="n"/>
      <c r="C178" s="522" t="inlineStr">
        <is>
          <t>I7651</t>
        </is>
      </c>
      <c r="D178" s="523" t="n">
        <v>44049</v>
      </c>
      <c r="E178" s="522" t="n"/>
      <c r="F178" s="522" t="n"/>
      <c r="G178" s="524" t="n">
        <v>42320500</v>
      </c>
      <c r="H178" s="522" t="n"/>
    </row>
    <row r="179">
      <c r="A179" s="521" t="n">
        <v>171</v>
      </c>
      <c r="B179" s="522" t="n"/>
      <c r="C179" s="522" t="inlineStr">
        <is>
          <t>I8110</t>
        </is>
      </c>
      <c r="D179" s="523" t="n">
        <v>44068</v>
      </c>
      <c r="E179" s="522" t="n"/>
      <c r="F179" s="522" t="n"/>
      <c r="G179" s="524" t="n">
        <v>8769800</v>
      </c>
      <c r="H179" s="522" t="n"/>
    </row>
    <row r="180">
      <c r="A180" s="521" t="n">
        <v>172</v>
      </c>
      <c r="B180" s="522" t="n"/>
      <c r="C180" s="522" t="inlineStr">
        <is>
          <t>I7940</t>
        </is>
      </c>
      <c r="D180" s="523" t="n">
        <v>44056</v>
      </c>
      <c r="E180" s="522" t="n"/>
      <c r="F180" s="522" t="n"/>
      <c r="G180" s="524" t="n">
        <v>5341600</v>
      </c>
      <c r="H180" s="522" t="n"/>
    </row>
    <row r="181">
      <c r="A181" s="521" t="n">
        <v>173</v>
      </c>
      <c r="B181" s="522" t="n"/>
      <c r="C181" s="522" t="inlineStr">
        <is>
          <t>I7814</t>
        </is>
      </c>
      <c r="D181" s="523" t="n">
        <v>44054</v>
      </c>
      <c r="E181" s="522" t="n"/>
      <c r="F181" s="522" t="n"/>
      <c r="G181" s="524" t="n">
        <v>35697100</v>
      </c>
      <c r="H181" s="522" t="n"/>
    </row>
    <row r="182">
      <c r="A182" s="521" t="n">
        <v>174</v>
      </c>
      <c r="B182" s="522" t="n"/>
      <c r="C182" s="522" t="inlineStr">
        <is>
          <t>I7775</t>
        </is>
      </c>
      <c r="D182" s="523" t="n">
        <v>44053</v>
      </c>
      <c r="E182" s="522" t="n"/>
      <c r="F182" s="522" t="n"/>
      <c r="G182" s="524" t="n">
        <v>403100</v>
      </c>
      <c r="H182" s="522" t="n"/>
    </row>
    <row r="183">
      <c r="A183" s="521" t="n">
        <v>175</v>
      </c>
      <c r="B183" s="522" t="n"/>
      <c r="C183" s="522" t="inlineStr">
        <is>
          <t>I7938</t>
        </is>
      </c>
      <c r="D183" s="523" t="n">
        <v>44056</v>
      </c>
      <c r="E183" s="522" t="n"/>
      <c r="F183" s="522" t="n"/>
      <c r="G183" s="524" t="n">
        <v>41920700</v>
      </c>
      <c r="H183" s="522" t="n"/>
    </row>
    <row r="184">
      <c r="A184" s="521" t="n">
        <v>176</v>
      </c>
      <c r="B184" s="522" t="n"/>
      <c r="C184" s="522" t="inlineStr">
        <is>
          <t>I7656</t>
        </is>
      </c>
      <c r="D184" s="523" t="n">
        <v>44049</v>
      </c>
      <c r="E184" s="522" t="n"/>
      <c r="F184" s="522" t="n"/>
      <c r="G184" s="524" t="n">
        <v>342200</v>
      </c>
      <c r="H184" s="522" t="n"/>
    </row>
    <row r="185">
      <c r="A185" s="521" t="n">
        <v>177</v>
      </c>
      <c r="B185" s="522" t="n"/>
      <c r="C185" s="522" t="inlineStr">
        <is>
          <t>I7707</t>
        </is>
      </c>
      <c r="D185" s="523" t="n">
        <v>44050</v>
      </c>
      <c r="E185" s="522" t="n"/>
      <c r="F185" s="522" t="n"/>
      <c r="G185" s="524" t="n">
        <v>426700</v>
      </c>
      <c r="H185" s="522" t="n"/>
    </row>
    <row r="186">
      <c r="A186" s="521" t="n">
        <v>178</v>
      </c>
      <c r="B186" s="522" t="n"/>
      <c r="C186" s="522" t="inlineStr">
        <is>
          <t>I7945</t>
        </is>
      </c>
      <c r="D186" s="523" t="n">
        <v>44056</v>
      </c>
      <c r="E186" s="522" t="n"/>
      <c r="F186" s="522" t="n"/>
      <c r="G186" s="524" t="n">
        <v>20220800</v>
      </c>
      <c r="H186" s="522" t="n"/>
    </row>
    <row r="187">
      <c r="A187" s="521" t="n">
        <v>179</v>
      </c>
      <c r="B187" s="522" t="n"/>
      <c r="C187" s="522" t="inlineStr">
        <is>
          <t>I7652</t>
        </is>
      </c>
      <c r="D187" s="523" t="n">
        <v>44049</v>
      </c>
      <c r="E187" s="522" t="n"/>
      <c r="F187" s="522" t="n"/>
      <c r="G187" s="524" t="n">
        <v>139300</v>
      </c>
      <c r="H187" s="522" t="n"/>
    </row>
    <row r="188">
      <c r="A188" s="521" t="n">
        <v>180</v>
      </c>
      <c r="B188" s="522" t="inlineStr">
        <is>
          <t>Import Raw Material</t>
        </is>
      </c>
      <c r="C188" s="522" t="inlineStr">
        <is>
          <t>I8937</t>
        </is>
      </c>
      <c r="D188" s="523" t="n">
        <v>44414</v>
      </c>
      <c r="E188" s="522" t="n"/>
      <c r="F188" s="522" t="n"/>
      <c r="G188" s="524" t="n">
        <v>64282300</v>
      </c>
      <c r="H188" s="522" t="n"/>
    </row>
    <row r="189">
      <c r="A189" s="521" t="n">
        <v>181</v>
      </c>
      <c r="B189" s="522" t="inlineStr">
        <is>
          <t>import Raw Material</t>
        </is>
      </c>
      <c r="C189" s="522" t="inlineStr">
        <is>
          <t>I9186</t>
        </is>
      </c>
      <c r="D189" s="523" t="n">
        <v>44420</v>
      </c>
      <c r="E189" s="522" t="n"/>
      <c r="F189" s="522" t="n"/>
      <c r="G189" s="524" t="n">
        <v>70116400</v>
      </c>
      <c r="H189" s="522" t="n"/>
    </row>
    <row r="190">
      <c r="A190" s="521" t="n">
        <v>182</v>
      </c>
      <c r="B190" s="522" t="inlineStr">
        <is>
          <t>Import Raw Material</t>
        </is>
      </c>
      <c r="C190" s="522" t="inlineStr">
        <is>
          <t>I9188</t>
        </is>
      </c>
      <c r="D190" s="523" t="n">
        <v>44420</v>
      </c>
      <c r="E190" s="522" t="n"/>
      <c r="F190" s="522" t="n"/>
      <c r="G190" s="524" t="n">
        <v>32986300</v>
      </c>
      <c r="H190" s="522" t="n"/>
    </row>
    <row r="191">
      <c r="A191" s="521" t="n">
        <v>183</v>
      </c>
      <c r="B191" s="522" t="inlineStr">
        <is>
          <t>Import Raw Material</t>
        </is>
      </c>
      <c r="C191" s="522" t="inlineStr">
        <is>
          <t>I9491</t>
        </is>
      </c>
      <c r="D191" s="523" t="n">
        <v>44426</v>
      </c>
      <c r="E191" s="522" t="n"/>
      <c r="F191" s="522" t="n"/>
      <c r="G191" s="524" t="n">
        <v>84613500</v>
      </c>
      <c r="H191" s="522" t="n"/>
    </row>
    <row r="192">
      <c r="A192" s="521" t="n">
        <v>184</v>
      </c>
      <c r="B192" s="522" t="inlineStr">
        <is>
          <t>Import Raw Material</t>
        </is>
      </c>
      <c r="C192" s="522" t="inlineStr">
        <is>
          <t>I9495</t>
        </is>
      </c>
      <c r="D192" s="523" t="n">
        <v>44425</v>
      </c>
      <c r="E192" s="522" t="n"/>
      <c r="F192" s="522" t="n"/>
      <c r="G192" s="524" t="n">
        <v>71319800</v>
      </c>
      <c r="H192" s="522" t="n"/>
    </row>
    <row r="193">
      <c r="A193" s="521" t="n">
        <v>185</v>
      </c>
      <c r="B193" s="522" t="inlineStr">
        <is>
          <t>Import Raw Material</t>
        </is>
      </c>
      <c r="C193" s="522" t="inlineStr">
        <is>
          <t>I10952</t>
        </is>
      </c>
      <c r="D193" s="523" t="n">
        <v>44802</v>
      </c>
      <c r="E193" s="522" t="n"/>
      <c r="F193" s="522" t="n"/>
      <c r="G193" s="524" t="n">
        <v>22847000</v>
      </c>
      <c r="H193" s="522" t="n"/>
    </row>
    <row r="194">
      <c r="A194" s="521" t="n">
        <v>186</v>
      </c>
      <c r="B194" s="522" t="inlineStr">
        <is>
          <t>Import Raw Material</t>
        </is>
      </c>
      <c r="C194" s="522" t="inlineStr">
        <is>
          <t>I10953</t>
        </is>
      </c>
      <c r="D194" s="523" t="n">
        <v>44802</v>
      </c>
      <c r="E194" s="522" t="n"/>
      <c r="F194" s="522" t="n"/>
      <c r="G194" s="524" t="n">
        <v>36253700</v>
      </c>
      <c r="H194" s="522" t="n"/>
    </row>
    <row r="195">
      <c r="A195" s="521" t="n">
        <v>187</v>
      </c>
      <c r="B195" s="522" t="inlineStr">
        <is>
          <t>Import Raw Material</t>
        </is>
      </c>
      <c r="C195" s="522" t="inlineStr">
        <is>
          <t>I10748</t>
        </is>
      </c>
      <c r="D195" s="523" t="n">
        <v>44797</v>
      </c>
      <c r="E195" s="522" t="n"/>
      <c r="F195" s="522" t="n"/>
      <c r="G195" s="524" t="n">
        <v>35676200</v>
      </c>
      <c r="H195" s="522" t="n"/>
    </row>
    <row r="196">
      <c r="A196" s="521" t="n">
        <v>188</v>
      </c>
      <c r="B196" s="522" t="inlineStr">
        <is>
          <t>Import Raw Material</t>
        </is>
      </c>
      <c r="C196" s="522" t="inlineStr">
        <is>
          <t>I10744</t>
        </is>
      </c>
      <c r="D196" s="523" t="n">
        <v>44797</v>
      </c>
      <c r="E196" s="522" t="n"/>
      <c r="F196" s="522" t="n"/>
      <c r="G196" s="524" t="n">
        <v>53583200</v>
      </c>
      <c r="H196" s="522" t="n"/>
    </row>
    <row r="197">
      <c r="A197" s="521" t="n">
        <v>189</v>
      </c>
      <c r="B197" s="522" t="inlineStr">
        <is>
          <t>Import Raw Material</t>
        </is>
      </c>
      <c r="C197" s="522" t="inlineStr">
        <is>
          <t>I9633</t>
        </is>
      </c>
      <c r="D197" s="523" t="n">
        <v>44775</v>
      </c>
      <c r="E197" s="522" t="n"/>
      <c r="F197" s="522" t="n"/>
      <c r="G197" s="524" t="n">
        <v>32335500</v>
      </c>
      <c r="H197" s="522" t="n"/>
    </row>
    <row r="198">
      <c r="A198" s="521" t="n">
        <v>190</v>
      </c>
      <c r="B198" s="522" t="inlineStr">
        <is>
          <t>LIGHT BULB A</t>
        </is>
      </c>
      <c r="C198" s="522" t="inlineStr">
        <is>
          <t>I9243</t>
        </is>
      </c>
      <c r="D198" s="523" t="n">
        <v>44099</v>
      </c>
      <c r="E198" s="522" t="n"/>
      <c r="F198" s="522" t="n"/>
      <c r="G198" s="524" t="n">
        <v>17062700</v>
      </c>
      <c r="H198" s="522" t="n"/>
    </row>
    <row r="199">
      <c r="A199" s="521" t="n">
        <v>191</v>
      </c>
      <c r="B199" s="522" t="inlineStr">
        <is>
          <t>MOLD COPPER PRODUCTS LIGHT BULB A (3-4) METAL FITTINGS (5-7) PLASTIC ACCESSORIES A (8-9) TAIL INSERTION WIRE B (11-13)</t>
        </is>
      </c>
      <c r="C199" s="522" t="inlineStr">
        <is>
          <t>I9171</t>
        </is>
      </c>
      <c r="D199" s="523" t="n">
        <v>44097</v>
      </c>
      <c r="E199" s="522" t="n"/>
      <c r="F199" s="522" t="n"/>
      <c r="G199" s="524" t="n">
        <v>44764800</v>
      </c>
      <c r="H199" s="522" t="n"/>
    </row>
    <row r="200">
      <c r="A200" s="521" t="n">
        <v>192</v>
      </c>
      <c r="B200" s="522" t="inlineStr">
        <is>
          <t>PRODUCTION LINE 1 COPPER PRODUCTS FUSE LIGHT BULB A (4-7) METAL FITTINGS (8-10) PLASTIC ACCESSORIES A</t>
        </is>
      </c>
      <c r="C200" s="522" t="inlineStr">
        <is>
          <t>I8995</t>
        </is>
      </c>
      <c r="D200" s="523" t="n">
        <v>44095</v>
      </c>
      <c r="E200" s="522" t="n"/>
      <c r="F200" s="522" t="n"/>
      <c r="G200" s="524" t="n">
        <v>54762800</v>
      </c>
      <c r="H200" s="522" t="n"/>
    </row>
    <row r="201">
      <c r="A201" s="521" t="n">
        <v>193</v>
      </c>
      <c r="B201" s="522" t="n"/>
      <c r="C201" s="522" t="inlineStr">
        <is>
          <t>I8939</t>
        </is>
      </c>
      <c r="D201" s="523" t="n">
        <v>44089</v>
      </c>
      <c r="E201" s="522" t="n"/>
      <c r="F201" s="522" t="n"/>
      <c r="G201" s="524" t="n">
        <v>30677700</v>
      </c>
      <c r="H201" s="522" t="n"/>
    </row>
    <row r="202">
      <c r="A202" s="521" t="n">
        <v>194</v>
      </c>
      <c r="B202" s="522" t="n"/>
      <c r="C202" s="522" t="inlineStr">
        <is>
          <t>I8940</t>
        </is>
      </c>
      <c r="D202" s="523" t="n">
        <v>44089</v>
      </c>
      <c r="E202" s="522" t="n"/>
      <c r="F202" s="522" t="n"/>
      <c r="G202" s="524" t="n">
        <v>499900</v>
      </c>
      <c r="H202" s="522" t="n"/>
    </row>
    <row r="203">
      <c r="A203" s="521" t="n">
        <v>195</v>
      </c>
      <c r="B203" s="522" t="n"/>
      <c r="C203" s="522" t="inlineStr">
        <is>
          <t>I8605</t>
        </is>
      </c>
      <c r="D203" s="523" t="n">
        <v>44082</v>
      </c>
      <c r="E203" s="522" t="n"/>
      <c r="F203" s="522" t="n"/>
      <c r="G203" s="524" t="n">
        <v>14576500</v>
      </c>
      <c r="H203" s="522" t="n"/>
    </row>
    <row r="204">
      <c r="A204" s="521" t="n">
        <v>196</v>
      </c>
      <c r="B204" s="522" t="n"/>
      <c r="C204" s="522" t="inlineStr">
        <is>
          <t>I7711</t>
        </is>
      </c>
      <c r="D204" s="523" t="n">
        <v>44075</v>
      </c>
      <c r="E204" s="522" t="n"/>
      <c r="F204" s="522" t="n"/>
      <c r="G204" s="524" t="n">
        <v>125400</v>
      </c>
      <c r="H204" s="522" t="n"/>
    </row>
    <row r="205">
      <c r="A205" s="521" t="n">
        <v>197</v>
      </c>
      <c r="B205" s="522" t="inlineStr">
        <is>
          <t>Import Raw Material</t>
        </is>
      </c>
      <c r="C205" s="522" t="inlineStr">
        <is>
          <t>I10623</t>
        </is>
      </c>
      <c r="D205" s="523" t="n">
        <v>44452</v>
      </c>
      <c r="E205" s="522" t="n"/>
      <c r="F205" s="522" t="n"/>
      <c r="G205" s="524" t="n">
        <v>4968500</v>
      </c>
      <c r="H205" s="522" t="n"/>
    </row>
    <row r="206">
      <c r="A206" s="521" t="n">
        <v>198</v>
      </c>
      <c r="B206" s="522" t="inlineStr">
        <is>
          <t>Import Raw Material</t>
        </is>
      </c>
      <c r="C206" s="522" t="inlineStr">
        <is>
          <t>I11190</t>
        </is>
      </c>
      <c r="D206" s="523" t="n">
        <v>44466</v>
      </c>
      <c r="E206" s="522" t="n"/>
      <c r="F206" s="522" t="n"/>
      <c r="G206" s="524" t="n">
        <v>76451900</v>
      </c>
      <c r="H206" s="522" t="n"/>
    </row>
    <row r="207">
      <c r="A207" s="521" t="n">
        <v>199</v>
      </c>
      <c r="B207" s="522" t="inlineStr">
        <is>
          <t>Import Raw Material</t>
        </is>
      </c>
      <c r="C207" s="522" t="inlineStr">
        <is>
          <t>I11123</t>
        </is>
      </c>
      <c r="D207" s="523" t="n">
        <v>44466</v>
      </c>
      <c r="E207" s="522" t="n"/>
      <c r="F207" s="522" t="n"/>
      <c r="G207" s="524" t="n">
        <v>95199900</v>
      </c>
      <c r="H207" s="522" t="n"/>
    </row>
    <row r="208">
      <c r="A208" s="521" t="n">
        <v>200</v>
      </c>
      <c r="B208" s="522" t="inlineStr">
        <is>
          <t>Import Raw Material</t>
        </is>
      </c>
      <c r="C208" s="522" t="inlineStr">
        <is>
          <t>I10764</t>
        </is>
      </c>
      <c r="D208" s="523" t="n">
        <v>44455</v>
      </c>
      <c r="E208" s="522" t="n"/>
      <c r="F208" s="522" t="n"/>
      <c r="G208" s="524" t="n">
        <v>106291100</v>
      </c>
      <c r="H208" s="522" t="n"/>
    </row>
    <row r="209">
      <c r="A209" s="521" t="n">
        <v>201</v>
      </c>
      <c r="B209" s="522" t="inlineStr">
        <is>
          <t>Import Raw Material</t>
        </is>
      </c>
      <c r="C209" s="522" t="inlineStr">
        <is>
          <t>I10701</t>
        </is>
      </c>
      <c r="D209" s="523" t="n">
        <v>44454</v>
      </c>
      <c r="E209" s="522" t="n"/>
      <c r="F209" s="522" t="n"/>
      <c r="G209" s="524" t="n">
        <v>92090300</v>
      </c>
      <c r="H209" s="522" t="n"/>
    </row>
    <row r="210">
      <c r="A210" s="521" t="n">
        <v>202</v>
      </c>
      <c r="B210" s="522" t="inlineStr">
        <is>
          <t>Import Raw Material</t>
        </is>
      </c>
      <c r="C210" s="522" t="inlineStr">
        <is>
          <t>I10647</t>
        </is>
      </c>
      <c r="D210" s="523" t="n">
        <v>44453</v>
      </c>
      <c r="E210" s="522" t="n"/>
      <c r="F210" s="522" t="n"/>
      <c r="G210" s="524" t="n">
        <v>59104600</v>
      </c>
      <c r="H210" s="522" t="n"/>
    </row>
    <row r="211">
      <c r="A211" s="521" t="n">
        <v>203</v>
      </c>
      <c r="B211" s="522" t="inlineStr">
        <is>
          <t>Import Raw Material</t>
        </is>
      </c>
      <c r="C211" s="522" t="inlineStr">
        <is>
          <t>I10621</t>
        </is>
      </c>
      <c r="D211" s="523" t="n">
        <v>44452</v>
      </c>
      <c r="E211" s="522" t="n"/>
      <c r="F211" s="522" t="n"/>
      <c r="G211" s="524" t="n">
        <v>155871200</v>
      </c>
      <c r="H211" s="522" t="n"/>
    </row>
    <row r="212">
      <c r="A212" s="521" t="n">
        <v>204</v>
      </c>
      <c r="B212" s="522" t="inlineStr">
        <is>
          <t>import Raw Material</t>
        </is>
      </c>
      <c r="C212" s="522" t="inlineStr">
        <is>
          <t>I10325</t>
        </is>
      </c>
      <c r="D212" s="523" t="n">
        <v>44445</v>
      </c>
      <c r="E212" s="522" t="n"/>
      <c r="F212" s="522" t="n"/>
      <c r="G212" s="524" t="n">
        <v>76441500</v>
      </c>
      <c r="H212" s="522" t="n"/>
    </row>
    <row r="213">
      <c r="A213" s="521" t="n">
        <v>205</v>
      </c>
      <c r="B213" s="522" t="inlineStr">
        <is>
          <t>Import Raw Material</t>
        </is>
      </c>
      <c r="C213" s="522" t="inlineStr">
        <is>
          <t>I10323</t>
        </is>
      </c>
      <c r="D213" s="523" t="n">
        <v>44445</v>
      </c>
      <c r="E213" s="522" t="n"/>
      <c r="F213" s="522" t="n"/>
      <c r="G213" s="524" t="n">
        <v>130412500</v>
      </c>
      <c r="H213" s="522" t="n"/>
    </row>
    <row r="214">
      <c r="A214" s="521" t="n">
        <v>206</v>
      </c>
      <c r="B214" s="522" t="inlineStr">
        <is>
          <t>Import Raw Material</t>
        </is>
      </c>
      <c r="C214" s="522" t="inlineStr">
        <is>
          <t>I10366</t>
        </is>
      </c>
      <c r="D214" s="523" t="n">
        <v>44446</v>
      </c>
      <c r="E214" s="522" t="n"/>
      <c r="F214" s="522" t="n"/>
      <c r="G214" s="524" t="n">
        <v>112962000</v>
      </c>
      <c r="H214" s="522" t="n"/>
    </row>
    <row r="215">
      <c r="A215" s="521" t="n">
        <v>207</v>
      </c>
      <c r="B215" s="522" t="inlineStr">
        <is>
          <t>Import Raw Material</t>
        </is>
      </c>
      <c r="C215" s="522" t="inlineStr">
        <is>
          <t>I10318</t>
        </is>
      </c>
      <c r="D215" s="523" t="n">
        <v>44445</v>
      </c>
      <c r="E215" s="522" t="n"/>
      <c r="F215" s="522" t="n"/>
      <c r="G215" s="524" t="n">
        <v>134580800</v>
      </c>
      <c r="H215" s="522" t="n"/>
    </row>
    <row r="216">
      <c r="A216" s="521" t="n">
        <v>208</v>
      </c>
      <c r="B216" s="522" t="inlineStr">
        <is>
          <t>Import Raw Material</t>
        </is>
      </c>
      <c r="C216" s="522" t="inlineStr">
        <is>
          <t>I10320</t>
        </is>
      </c>
      <c r="D216" s="523" t="n">
        <v>44445</v>
      </c>
      <c r="E216" s="522" t="n"/>
      <c r="F216" s="522" t="n"/>
      <c r="G216" s="524" t="n">
        <v>94901700</v>
      </c>
      <c r="H216" s="522" t="n"/>
    </row>
    <row r="217">
      <c r="A217" s="521" t="n">
        <v>209</v>
      </c>
      <c r="B217" s="522" t="inlineStr">
        <is>
          <t>Import Raw Material</t>
        </is>
      </c>
      <c r="C217" s="522" t="inlineStr">
        <is>
          <t>I11774</t>
        </is>
      </c>
      <c r="D217" s="523" t="n">
        <v>44820</v>
      </c>
      <c r="E217" s="522" t="n"/>
      <c r="F217" s="522" t="n"/>
      <c r="G217" s="524" t="n">
        <v>79307500</v>
      </c>
      <c r="H217" s="522" t="n"/>
    </row>
    <row r="218">
      <c r="A218" s="521" t="n">
        <v>210</v>
      </c>
      <c r="B218" s="522" t="inlineStr">
        <is>
          <t>Import Raw Material</t>
        </is>
      </c>
      <c r="C218" s="522" t="inlineStr">
        <is>
          <t>I11770</t>
        </is>
      </c>
      <c r="D218" s="523" t="n">
        <v>44820</v>
      </c>
      <c r="E218" s="522" t="n"/>
      <c r="F218" s="522" t="n"/>
      <c r="G218" s="524" t="n">
        <v>140295900</v>
      </c>
      <c r="H218" s="522" t="n"/>
    </row>
    <row r="219">
      <c r="A219" s="521" t="n">
        <v>211</v>
      </c>
      <c r="B219" s="522" t="inlineStr">
        <is>
          <t>Import Raw Material</t>
        </is>
      </c>
      <c r="C219" s="522" t="inlineStr">
        <is>
          <t>I11777</t>
        </is>
      </c>
      <c r="D219" s="523" t="n">
        <v>44820</v>
      </c>
      <c r="E219" s="522" t="n"/>
      <c r="F219" s="522" t="n"/>
      <c r="G219" s="524" t="n">
        <v>40603800</v>
      </c>
      <c r="H219" s="522" t="n"/>
    </row>
    <row r="220">
      <c r="A220" s="521" t="n">
        <v>212</v>
      </c>
      <c r="B220" s="522" t="inlineStr">
        <is>
          <t>Import Raw Material</t>
        </is>
      </c>
      <c r="C220" s="522" t="inlineStr">
        <is>
          <t>I11775</t>
        </is>
      </c>
      <c r="D220" s="523" t="n">
        <v>44820</v>
      </c>
      <c r="E220" s="522" t="n"/>
      <c r="F220" s="522" t="n"/>
      <c r="G220" s="524" t="n">
        <v>14146900</v>
      </c>
      <c r="H220" s="522" t="n"/>
    </row>
    <row r="221">
      <c r="A221" s="521" t="n">
        <v>213</v>
      </c>
      <c r="B221" s="522" t="inlineStr">
        <is>
          <t>COLOR CARD</t>
        </is>
      </c>
      <c r="C221" s="522" t="inlineStr">
        <is>
          <t>I9676</t>
        </is>
      </c>
      <c r="D221" s="523" t="n">
        <v>44106</v>
      </c>
      <c r="E221" s="522" t="n"/>
      <c r="F221" s="522" t="n"/>
      <c r="G221" s="524" t="n">
        <v>580300</v>
      </c>
      <c r="H221" s="522" t="n"/>
    </row>
    <row r="222">
      <c r="A222" s="521" t="n">
        <v>214</v>
      </c>
      <c r="B222" s="522" t="inlineStr">
        <is>
          <t>CHRISTMAS LIGHT STRING EQUIPMENT COPPER PRODUCTS LIGHT BULB A METAL FITTINGS</t>
        </is>
      </c>
      <c r="C222" s="522" t="inlineStr">
        <is>
          <t>I9675</t>
        </is>
      </c>
      <c r="D222" s="523" t="n">
        <v>44106</v>
      </c>
      <c r="E222" s="522" t="n"/>
      <c r="F222" s="522" t="n"/>
      <c r="G222" s="524" t="n">
        <v>16696400</v>
      </c>
      <c r="H222" s="522" t="n"/>
    </row>
    <row r="223">
      <c r="A223" s="521" t="n">
        <v>215</v>
      </c>
      <c r="B223" s="522" t="n"/>
      <c r="C223" s="522" t="inlineStr">
        <is>
          <t>I10767</t>
        </is>
      </c>
      <c r="D223" s="523" t="n">
        <v>44131</v>
      </c>
      <c r="E223" s="522" t="n"/>
      <c r="F223" s="522" t="n"/>
      <c r="G223" s="524" t="n">
        <v>7656900</v>
      </c>
      <c r="H223" s="522" t="n"/>
    </row>
    <row r="224">
      <c r="A224" s="521" t="n">
        <v>216</v>
      </c>
      <c r="B224" s="522" t="n"/>
      <c r="C224" s="522" t="inlineStr">
        <is>
          <t>I10765</t>
        </is>
      </c>
      <c r="D224" s="523" t="n">
        <v>44131</v>
      </c>
      <c r="E224" s="522" t="n"/>
      <c r="F224" s="522" t="n"/>
      <c r="G224" s="524" t="n">
        <v>866700</v>
      </c>
      <c r="H224" s="522" t="n"/>
    </row>
    <row r="225">
      <c r="A225" s="521" t="n">
        <v>217</v>
      </c>
      <c r="B225" s="522" t="n"/>
      <c r="C225" s="522" t="inlineStr">
        <is>
          <t>I10536</t>
        </is>
      </c>
      <c r="D225" s="523" t="n">
        <v>44127</v>
      </c>
      <c r="E225" s="522" t="n"/>
      <c r="F225" s="522" t="n"/>
      <c r="G225" s="524" t="n">
        <v>40600</v>
      </c>
      <c r="H225" s="522" t="n"/>
    </row>
    <row r="226">
      <c r="A226" s="521" t="n">
        <v>218</v>
      </c>
      <c r="B226" s="522" t="n"/>
      <c r="C226" s="522" t="inlineStr">
        <is>
          <t>I10539</t>
        </is>
      </c>
      <c r="D226" s="523" t="n">
        <v>44127</v>
      </c>
      <c r="E226" s="522" t="n"/>
      <c r="F226" s="522" t="n"/>
      <c r="G226" s="524" t="n">
        <v>70150100</v>
      </c>
      <c r="H226" s="522" t="n"/>
    </row>
    <row r="227">
      <c r="A227" s="521" t="n">
        <v>219</v>
      </c>
      <c r="B227" s="522" t="n"/>
      <c r="C227" s="522" t="inlineStr">
        <is>
          <t>I10474</t>
        </is>
      </c>
      <c r="D227" s="523" t="n">
        <v>44126</v>
      </c>
      <c r="E227" s="522" t="n"/>
      <c r="F227" s="522" t="n"/>
      <c r="G227" s="524" t="n">
        <v>15613500</v>
      </c>
      <c r="H227" s="522" t="n"/>
    </row>
    <row r="228">
      <c r="A228" s="521" t="n">
        <v>220</v>
      </c>
      <c r="B228" s="522" t="n"/>
      <c r="C228" s="522" t="inlineStr">
        <is>
          <t>I10472</t>
        </is>
      </c>
      <c r="D228" s="523" t="n">
        <v>44126</v>
      </c>
      <c r="E228" s="522" t="n"/>
      <c r="F228" s="522" t="n"/>
      <c r="G228" s="524" t="n">
        <v>471800</v>
      </c>
      <c r="H228" s="522" t="n"/>
    </row>
    <row r="229">
      <c r="A229" s="521" t="n">
        <v>221</v>
      </c>
      <c r="B229" s="522" t="n"/>
      <c r="C229" s="522" t="inlineStr">
        <is>
          <t>I9875</t>
        </is>
      </c>
      <c r="D229" s="523" t="n">
        <v>44111</v>
      </c>
      <c r="E229" s="522" t="n"/>
      <c r="F229" s="522" t="n"/>
      <c r="G229" s="524" t="n">
        <v>9197700</v>
      </c>
      <c r="H229" s="522" t="n"/>
    </row>
    <row r="230">
      <c r="A230" s="521" t="n">
        <v>222</v>
      </c>
      <c r="B230" s="522" t="n"/>
      <c r="C230" s="522" t="inlineStr">
        <is>
          <t>I9876</t>
        </is>
      </c>
      <c r="D230" s="523" t="n">
        <v>44111</v>
      </c>
      <c r="E230" s="522" t="n"/>
      <c r="F230" s="522" t="n"/>
      <c r="G230" s="524" t="n">
        <v>34100</v>
      </c>
      <c r="H230" s="522" t="n"/>
    </row>
    <row r="231">
      <c r="A231" s="521" t="n">
        <v>223</v>
      </c>
      <c r="B231" s="522" t="n"/>
      <c r="C231" s="522" t="inlineStr">
        <is>
          <t>I9798</t>
        </is>
      </c>
      <c r="D231" s="523" t="n">
        <v>44110</v>
      </c>
      <c r="E231" s="522" t="n"/>
      <c r="F231" s="522" t="n"/>
      <c r="G231" s="524" t="n">
        <v>35844600</v>
      </c>
      <c r="H231" s="522" t="n"/>
    </row>
    <row r="232">
      <c r="A232" s="521" t="n">
        <v>224</v>
      </c>
      <c r="B232" s="522" t="n"/>
      <c r="C232" s="522" t="inlineStr">
        <is>
          <t>I9771</t>
        </is>
      </c>
      <c r="D232" s="523" t="n">
        <v>44109</v>
      </c>
      <c r="E232" s="522" t="n"/>
      <c r="F232" s="522" t="n"/>
      <c r="G232" s="524" t="n">
        <v>12498800</v>
      </c>
      <c r="H232" s="522" t="n"/>
    </row>
    <row r="233">
      <c r="A233" s="521" t="n">
        <v>225</v>
      </c>
      <c r="B233" s="522" t="n"/>
      <c r="C233" s="522" t="inlineStr">
        <is>
          <t>I9707</t>
        </is>
      </c>
      <c r="D233" s="523" t="n">
        <v>44109</v>
      </c>
      <c r="E233" s="522" t="n"/>
      <c r="F233" s="522" t="n"/>
      <c r="G233" s="524" t="n">
        <v>17804400</v>
      </c>
      <c r="H233" s="522" t="n"/>
    </row>
    <row r="234">
      <c r="A234" s="521" t="n">
        <v>226</v>
      </c>
      <c r="B234" s="522" t="n"/>
      <c r="C234" s="522" t="inlineStr">
        <is>
          <t>I9687</t>
        </is>
      </c>
      <c r="D234" s="523" t="n">
        <v>44106</v>
      </c>
      <c r="E234" s="522" t="n"/>
      <c r="F234" s="522" t="n"/>
      <c r="G234" s="524" t="n">
        <v>37605300</v>
      </c>
      <c r="H234" s="522" t="n"/>
    </row>
    <row r="235">
      <c r="A235" s="521" t="n">
        <v>227</v>
      </c>
      <c r="B235" s="522" t="n"/>
      <c r="C235" s="522" t="inlineStr">
        <is>
          <t>I9689</t>
        </is>
      </c>
      <c r="D235" s="523" t="n">
        <v>44106</v>
      </c>
      <c r="E235" s="522" t="n"/>
      <c r="F235" s="522" t="n"/>
      <c r="G235" s="524" t="n">
        <v>40300</v>
      </c>
      <c r="H235" s="522" t="n"/>
    </row>
    <row r="236">
      <c r="A236" s="521" t="n">
        <v>228</v>
      </c>
      <c r="B236" s="522" t="n"/>
      <c r="C236" s="522" t="inlineStr">
        <is>
          <t>I8990</t>
        </is>
      </c>
      <c r="D236" s="523" t="n">
        <v>44106</v>
      </c>
      <c r="E236" s="522" t="n"/>
      <c r="F236" s="522" t="n"/>
      <c r="G236" s="524" t="n">
        <v>23678700</v>
      </c>
      <c r="H236" s="522" t="n"/>
    </row>
    <row r="237">
      <c r="A237" s="521" t="n">
        <v>229</v>
      </c>
      <c r="B237" s="522" t="inlineStr">
        <is>
          <t>INJECTION MOLDING MACHINE</t>
        </is>
      </c>
      <c r="C237" s="522" t="inlineStr">
        <is>
          <t>I11699</t>
        </is>
      </c>
      <c r="D237" s="523" t="n">
        <v>44483</v>
      </c>
      <c r="E237" s="522" t="n"/>
      <c r="F237" s="522" t="n"/>
      <c r="G237" s="524" t="n">
        <v>65232000</v>
      </c>
      <c r="H237" s="522" t="n"/>
    </row>
    <row r="238">
      <c r="A238" s="521" t="n">
        <v>230</v>
      </c>
      <c r="B238" s="522" t="inlineStr">
        <is>
          <t>ELECTRONIC SWITCH</t>
        </is>
      </c>
      <c r="C238" s="522" t="inlineStr">
        <is>
          <t>I11374</t>
        </is>
      </c>
      <c r="D238" s="523" t="n">
        <v>44473</v>
      </c>
      <c r="E238" s="522" t="n"/>
      <c r="F238" s="522" t="n"/>
      <c r="G238" s="524" t="n">
        <v>81013500</v>
      </c>
      <c r="H238" s="522" t="n"/>
    </row>
    <row r="239">
      <c r="A239" s="521" t="n">
        <v>231</v>
      </c>
      <c r="B239" s="522" t="inlineStr">
        <is>
          <t>HARD WARE PROCESS MACHINE</t>
        </is>
      </c>
      <c r="C239" s="522" t="inlineStr">
        <is>
          <t>I11373</t>
        </is>
      </c>
      <c r="D239" s="523" t="n">
        <v>44473</v>
      </c>
      <c r="E239" s="522" t="n"/>
      <c r="F239" s="522" t="n"/>
      <c r="G239" s="524" t="n">
        <v>38689900</v>
      </c>
      <c r="H239" s="522" t="n"/>
    </row>
    <row r="240">
      <c r="A240" s="521" t="n">
        <v>232</v>
      </c>
      <c r="B240" s="522" t="inlineStr">
        <is>
          <t>PLASTIC BOX</t>
        </is>
      </c>
      <c r="C240" s="522" t="inlineStr">
        <is>
          <t>I11372</t>
        </is>
      </c>
      <c r="D240" s="523" t="n">
        <v>44473</v>
      </c>
      <c r="E240" s="522" t="n"/>
      <c r="F240" s="522" t="n"/>
      <c r="G240" s="524" t="n">
        <v>137628700</v>
      </c>
      <c r="H240" s="522" t="n"/>
    </row>
    <row r="241">
      <c r="A241" s="521" t="n">
        <v>233</v>
      </c>
      <c r="B241" s="522" t="inlineStr">
        <is>
          <t>Import Raw Material</t>
        </is>
      </c>
      <c r="C241" s="522" t="inlineStr">
        <is>
          <t>I13306</t>
        </is>
      </c>
      <c r="D241" s="523" t="n">
        <v>44858</v>
      </c>
      <c r="E241" s="522" t="n"/>
      <c r="F241" s="522" t="n"/>
      <c r="G241" s="524" t="n">
        <v>4483200</v>
      </c>
      <c r="H241" s="522" t="n"/>
    </row>
    <row r="242">
      <c r="A242" s="521" t="n">
        <v>234</v>
      </c>
      <c r="B242" s="522" t="inlineStr">
        <is>
          <t>Import Raw Material</t>
        </is>
      </c>
      <c r="C242" s="522" t="inlineStr">
        <is>
          <t>I12756</t>
        </is>
      </c>
      <c r="D242" s="523" t="n">
        <v>44845</v>
      </c>
      <c r="E242" s="522" t="n"/>
      <c r="F242" s="522" t="n"/>
      <c r="G242" s="524" t="n">
        <v>26752900</v>
      </c>
      <c r="H242" s="522" t="n"/>
    </row>
    <row r="243">
      <c r="A243" s="521" t="n">
        <v>235</v>
      </c>
      <c r="B243" s="522" t="inlineStr">
        <is>
          <t>Import Raw Material</t>
        </is>
      </c>
      <c r="C243" s="522" t="inlineStr">
        <is>
          <t>I12638</t>
        </is>
      </c>
      <c r="D243" s="523" t="n">
        <v>44841</v>
      </c>
      <c r="E243" s="522" t="n"/>
      <c r="F243" s="522" t="n"/>
      <c r="G243" s="524" t="n">
        <v>5922100</v>
      </c>
      <c r="H243" s="522" t="n"/>
    </row>
    <row r="244">
      <c r="A244" s="521" t="n">
        <v>236</v>
      </c>
      <c r="B244" s="522" t="inlineStr">
        <is>
          <t>Import Raw Material</t>
        </is>
      </c>
      <c r="C244" s="522" t="inlineStr">
        <is>
          <t>I11869</t>
        </is>
      </c>
      <c r="D244" s="523" t="n">
        <v>44835</v>
      </c>
      <c r="E244" s="522" t="n"/>
      <c r="F244" s="522" t="n"/>
      <c r="G244" s="524" t="n">
        <v>14855700</v>
      </c>
      <c r="H244" s="522" t="n"/>
    </row>
    <row r="245">
      <c r="A245" s="521" t="n">
        <v>237</v>
      </c>
      <c r="B245" s="522" t="inlineStr">
        <is>
          <t>Import Raw Material</t>
        </is>
      </c>
      <c r="C245" s="522" t="inlineStr">
        <is>
          <t>I12767</t>
        </is>
      </c>
      <c r="D245" s="523" t="n">
        <v>44846</v>
      </c>
      <c r="E245" s="522" t="n"/>
      <c r="F245" s="522" t="n"/>
      <c r="G245" s="524" t="n">
        <v>44105600</v>
      </c>
      <c r="H245" s="522" t="n"/>
    </row>
    <row r="246">
      <c r="A246" s="521" t="n">
        <v>238</v>
      </c>
      <c r="B246" s="522" t="inlineStr">
        <is>
          <t>Import Raw Material</t>
        </is>
      </c>
      <c r="C246" s="522" t="inlineStr">
        <is>
          <t>I13399</t>
        </is>
      </c>
      <c r="D246" s="523" t="n">
        <v>44859</v>
      </c>
      <c r="E246" s="522" t="n"/>
      <c r="F246" s="522" t="n"/>
      <c r="G246" s="524" t="n">
        <v>31558100</v>
      </c>
      <c r="H246" s="522" t="n"/>
    </row>
    <row r="247">
      <c r="A247" s="521" t="n">
        <v>239</v>
      </c>
      <c r="B247" s="522" t="inlineStr">
        <is>
          <t>Import Raw Material</t>
        </is>
      </c>
      <c r="C247" s="522" t="inlineStr">
        <is>
          <t>I13402</t>
        </is>
      </c>
      <c r="D247" s="523" t="n">
        <v>44859</v>
      </c>
      <c r="E247" s="522" t="n"/>
      <c r="F247" s="522" t="n"/>
      <c r="G247" s="524" t="n">
        <v>25066200</v>
      </c>
      <c r="H247" s="522" t="n"/>
    </row>
    <row r="248">
      <c r="A248" s="521" t="n">
        <v>240</v>
      </c>
      <c r="B248" s="522" t="inlineStr">
        <is>
          <t>Import Raw Material</t>
        </is>
      </c>
      <c r="C248" s="522" t="inlineStr">
        <is>
          <t>I12766</t>
        </is>
      </c>
      <c r="D248" s="523" t="n">
        <v>44846</v>
      </c>
      <c r="E248" s="522" t="n"/>
      <c r="F248" s="522" t="n"/>
      <c r="G248" s="524" t="n">
        <v>50582900</v>
      </c>
      <c r="H248" s="522" t="n"/>
    </row>
    <row r="249">
      <c r="A249" s="521" t="n">
        <v>241</v>
      </c>
      <c r="B249" s="522" t="inlineStr">
        <is>
          <t>Import Raw Material</t>
        </is>
      </c>
      <c r="C249" s="522" t="inlineStr">
        <is>
          <t>I13483</t>
        </is>
      </c>
      <c r="D249" s="523" t="n">
        <v>44860</v>
      </c>
      <c r="E249" s="522" t="n"/>
      <c r="F249" s="522" t="n"/>
      <c r="G249" s="524" t="n">
        <v>3344100</v>
      </c>
      <c r="H249" s="522" t="n"/>
    </row>
    <row r="250">
      <c r="A250" s="521" t="n">
        <v>242</v>
      </c>
      <c r="B250" s="522" t="inlineStr">
        <is>
          <t>Import Raw Material</t>
        </is>
      </c>
      <c r="C250" s="522" t="inlineStr">
        <is>
          <t>I11768</t>
        </is>
      </c>
      <c r="D250" s="523" t="n">
        <v>44835</v>
      </c>
      <c r="E250" s="522" t="n"/>
      <c r="F250" s="522" t="n"/>
      <c r="G250" s="524" t="n">
        <v>50697100</v>
      </c>
      <c r="H250" s="522" t="n"/>
    </row>
    <row r="251">
      <c r="A251" s="521" t="n">
        <v>243</v>
      </c>
      <c r="B251" s="522" t="inlineStr">
        <is>
          <t>Import Raw Material</t>
        </is>
      </c>
      <c r="C251" s="522" t="inlineStr">
        <is>
          <t>I12922</t>
        </is>
      </c>
      <c r="D251" s="523" t="n">
        <v>44848</v>
      </c>
      <c r="E251" s="522" t="n"/>
      <c r="F251" s="522" t="n"/>
      <c r="G251" s="524" t="n">
        <v>66819300</v>
      </c>
      <c r="H251" s="522" t="n"/>
    </row>
    <row r="252">
      <c r="A252" s="521" t="n">
        <v>244</v>
      </c>
      <c r="B252" s="522" t="inlineStr">
        <is>
          <t>Import Raw Material</t>
        </is>
      </c>
      <c r="C252" s="522" t="inlineStr">
        <is>
          <t>I12771</t>
        </is>
      </c>
      <c r="D252" s="523" t="n">
        <v>44846</v>
      </c>
      <c r="E252" s="522" t="n"/>
      <c r="F252" s="522" t="n"/>
      <c r="G252" s="524" t="n">
        <v>14344700</v>
      </c>
      <c r="H252" s="522" t="n"/>
    </row>
    <row r="253">
      <c r="A253" s="521" t="n">
        <v>245</v>
      </c>
      <c r="B253" s="522" t="inlineStr">
        <is>
          <t>Import Raw Material</t>
        </is>
      </c>
      <c r="C253" s="522" t="inlineStr">
        <is>
          <t>I12926</t>
        </is>
      </c>
      <c r="D253" s="523" t="n">
        <v>44848</v>
      </c>
      <c r="E253" s="522" t="n"/>
      <c r="F253" s="522" t="n"/>
      <c r="G253" s="524" t="n">
        <v>48976500</v>
      </c>
      <c r="H253" s="522" t="n"/>
    </row>
    <row r="254">
      <c r="A254" s="521" t="n">
        <v>246</v>
      </c>
      <c r="B254" s="522" t="inlineStr">
        <is>
          <t>Import Raw Material</t>
        </is>
      </c>
      <c r="C254" s="522" t="inlineStr">
        <is>
          <t>I13229</t>
        </is>
      </c>
      <c r="D254" s="523" t="n">
        <v>44854</v>
      </c>
      <c r="E254" s="522" t="n"/>
      <c r="F254" s="522" t="n"/>
      <c r="G254" s="524" t="n">
        <v>10261800</v>
      </c>
      <c r="H254" s="522" t="n"/>
    </row>
    <row r="255">
      <c r="A255" s="521" t="n">
        <v>247</v>
      </c>
      <c r="B255" s="522" t="inlineStr">
        <is>
          <t>Import Raw Material</t>
        </is>
      </c>
      <c r="C255" s="522" t="inlineStr">
        <is>
          <t>I13235</t>
        </is>
      </c>
      <c r="D255" s="523" t="n">
        <v>44854</v>
      </c>
      <c r="E255" s="522" t="n"/>
      <c r="F255" s="522" t="n"/>
      <c r="G255" s="524" t="n">
        <v>687100</v>
      </c>
      <c r="H255" s="522" t="n"/>
    </row>
    <row r="256">
      <c r="A256" s="521" t="n">
        <v>248</v>
      </c>
      <c r="B256" s="522" t="inlineStr">
        <is>
          <t>Import Raw Material</t>
        </is>
      </c>
      <c r="C256" s="522" t="inlineStr">
        <is>
          <t>I13230</t>
        </is>
      </c>
      <c r="D256" s="523" t="n">
        <v>44854</v>
      </c>
      <c r="E256" s="522" t="n"/>
      <c r="F256" s="522" t="n"/>
      <c r="G256" s="524" t="n">
        <v>1401200</v>
      </c>
      <c r="H256" s="522" t="n"/>
    </row>
    <row r="257">
      <c r="A257" s="521" t="n">
        <v>249</v>
      </c>
      <c r="B257" s="522" t="inlineStr">
        <is>
          <t>Import Raw Material</t>
        </is>
      </c>
      <c r="C257" s="522" t="inlineStr">
        <is>
          <t>I12915</t>
        </is>
      </c>
      <c r="D257" s="523" t="n">
        <v>44848</v>
      </c>
      <c r="E257" s="522" t="n"/>
      <c r="F257" s="522" t="n"/>
      <c r="G257" s="524" t="n">
        <v>19002100</v>
      </c>
      <c r="H257" s="522" t="n"/>
    </row>
    <row r="258">
      <c r="A258" s="521" t="n">
        <v>250</v>
      </c>
      <c r="B258" s="522" t="inlineStr">
        <is>
          <t>Import Raw Material</t>
        </is>
      </c>
      <c r="C258" s="522" t="inlineStr">
        <is>
          <t>I12441</t>
        </is>
      </c>
      <c r="D258" s="523" t="n">
        <v>44838</v>
      </c>
      <c r="E258" s="522" t="n"/>
      <c r="F258" s="522" t="n"/>
      <c r="G258" s="524" t="n">
        <v>35098400</v>
      </c>
      <c r="H258" s="522" t="n"/>
    </row>
    <row r="259">
      <c r="A259" s="521" t="n">
        <v>251</v>
      </c>
      <c r="B259" s="522" t="inlineStr">
        <is>
          <t>Import Raw Material</t>
        </is>
      </c>
      <c r="C259" s="522" t="inlineStr">
        <is>
          <t>I12433</t>
        </is>
      </c>
      <c r="D259" s="523" t="n">
        <v>44835</v>
      </c>
      <c r="E259" s="522" t="n"/>
      <c r="F259" s="522" t="n"/>
      <c r="G259" s="524" t="n">
        <v>4779400</v>
      </c>
      <c r="H259" s="522" t="n"/>
    </row>
    <row r="260">
      <c r="A260" s="521" t="n">
        <v>252</v>
      </c>
      <c r="B260" s="522" t="inlineStr">
        <is>
          <t>Import Raw Material</t>
        </is>
      </c>
      <c r="C260" s="522" t="inlineStr">
        <is>
          <t>I12435</t>
        </is>
      </c>
      <c r="D260" s="523" t="n">
        <v>44838</v>
      </c>
      <c r="E260" s="522" t="n"/>
      <c r="F260" s="522" t="n"/>
      <c r="G260" s="524" t="n">
        <v>4687100</v>
      </c>
      <c r="H260" s="522" t="n"/>
    </row>
    <row r="261">
      <c r="A261" s="521" t="n">
        <v>253</v>
      </c>
      <c r="B261" s="522" t="n"/>
      <c r="C261" s="522" t="inlineStr">
        <is>
          <t>I12047</t>
        </is>
      </c>
      <c r="D261" s="523" t="n">
        <v>44162</v>
      </c>
      <c r="E261" s="522" t="n"/>
      <c r="F261" s="522" t="n"/>
      <c r="G261" s="524" t="n">
        <v>3727900</v>
      </c>
      <c r="H261" s="522" t="n"/>
    </row>
    <row r="262">
      <c r="A262" s="521" t="n">
        <v>254</v>
      </c>
      <c r="B262" s="522" t="n"/>
      <c r="C262" s="522" t="inlineStr">
        <is>
          <t>I11465</t>
        </is>
      </c>
      <c r="D262" s="523" t="n">
        <v>44153</v>
      </c>
      <c r="E262" s="522" t="n"/>
      <c r="F262" s="522" t="n"/>
      <c r="G262" s="524" t="n">
        <v>3781900</v>
      </c>
      <c r="H262" s="522" t="n"/>
    </row>
    <row r="263">
      <c r="A263" s="521" t="n">
        <v>255</v>
      </c>
      <c r="B263" s="522" t="n"/>
      <c r="C263" s="522" t="inlineStr">
        <is>
          <t>I11131</t>
        </is>
      </c>
      <c r="D263" s="523" t="n">
        <v>44147</v>
      </c>
      <c r="E263" s="522" t="n"/>
      <c r="F263" s="522" t="n"/>
      <c r="G263" s="524" t="n">
        <v>3468200</v>
      </c>
      <c r="H263" s="522" t="n"/>
    </row>
    <row r="264">
      <c r="A264" s="521" t="n">
        <v>256</v>
      </c>
      <c r="B264" s="522" t="inlineStr">
        <is>
          <t>Import Raw Material</t>
        </is>
      </c>
      <c r="C264" s="522" t="inlineStr">
        <is>
          <t>I13479</t>
        </is>
      </c>
      <c r="D264" s="523" t="n">
        <v>44525</v>
      </c>
      <c r="E264" s="522" t="n"/>
      <c r="F264" s="522" t="n"/>
      <c r="G264" s="524" t="n">
        <v>5212800</v>
      </c>
      <c r="H264" s="522" t="n"/>
    </row>
    <row r="265">
      <c r="A265" s="521" t="n">
        <v>257</v>
      </c>
      <c r="B265" s="522" t="inlineStr">
        <is>
          <t>Import Raw Material</t>
        </is>
      </c>
      <c r="C265" s="522" t="inlineStr">
        <is>
          <t>I13477</t>
        </is>
      </c>
      <c r="D265" s="523" t="n">
        <v>44525</v>
      </c>
      <c r="E265" s="522" t="n"/>
      <c r="F265" s="522" t="n"/>
      <c r="G265" s="524" t="n">
        <v>68500200</v>
      </c>
      <c r="H265" s="522" t="n"/>
    </row>
    <row r="266">
      <c r="A266" s="521" t="n">
        <v>258</v>
      </c>
      <c r="B266" s="522" t="inlineStr">
        <is>
          <t>Import Raw Material</t>
        </is>
      </c>
      <c r="C266" s="522" t="inlineStr">
        <is>
          <t>I13128</t>
        </is>
      </c>
      <c r="D266" s="523" t="n">
        <v>44516</v>
      </c>
      <c r="E266" s="522" t="n"/>
      <c r="F266" s="522" t="n"/>
      <c r="G266" s="524" t="n">
        <v>7067000</v>
      </c>
      <c r="H266" s="522" t="n"/>
    </row>
    <row r="267">
      <c r="A267" s="521" t="n">
        <v>259</v>
      </c>
      <c r="B267" s="522" t="inlineStr">
        <is>
          <t>Import Raw Material</t>
        </is>
      </c>
      <c r="C267" s="522" t="inlineStr">
        <is>
          <t>I13476</t>
        </is>
      </c>
      <c r="D267" s="523" t="n">
        <v>44525</v>
      </c>
      <c r="E267" s="522" t="n"/>
      <c r="F267" s="522" t="n"/>
      <c r="G267" s="524" t="n">
        <v>127983000</v>
      </c>
      <c r="H267" s="522" t="n"/>
    </row>
    <row r="268">
      <c r="A268" s="521" t="n">
        <v>260</v>
      </c>
      <c r="B268" s="522" t="inlineStr">
        <is>
          <t>PRINTED CIRCUIT BOARD ASSEMBLY</t>
        </is>
      </c>
      <c r="C268" s="522" t="inlineStr">
        <is>
          <t>I13126</t>
        </is>
      </c>
      <c r="D268" s="523" t="n">
        <v>44516</v>
      </c>
      <c r="E268" s="522" t="n"/>
      <c r="F268" s="522" t="n"/>
      <c r="G268" s="524" t="n">
        <v>4383100</v>
      </c>
      <c r="H268" s="522" t="n"/>
    </row>
    <row r="269">
      <c r="A269" s="521" t="n">
        <v>261</v>
      </c>
      <c r="B269" s="522" t="inlineStr">
        <is>
          <t>Import Raw Material</t>
        </is>
      </c>
      <c r="C269" s="522" t="inlineStr">
        <is>
          <t>I13458</t>
        </is>
      </c>
      <c r="D269" s="523" t="n">
        <v>44523</v>
      </c>
      <c r="E269" s="522" t="n"/>
      <c r="F269" s="522" t="n"/>
      <c r="G269" s="524" t="n">
        <v>60570200</v>
      </c>
      <c r="H269" s="522" t="n"/>
    </row>
    <row r="270">
      <c r="A270" s="521" t="n">
        <v>262</v>
      </c>
      <c r="B270" s="522" t="inlineStr">
        <is>
          <t>Import Raw Material</t>
        </is>
      </c>
      <c r="C270" s="522" t="inlineStr">
        <is>
          <t>I13381</t>
        </is>
      </c>
      <c r="D270" s="523" t="n">
        <v>44523</v>
      </c>
      <c r="E270" s="522" t="n"/>
      <c r="F270" s="522" t="n"/>
      <c r="G270" s="524" t="n">
        <v>106204800</v>
      </c>
      <c r="H270" s="522" t="n"/>
    </row>
    <row r="271">
      <c r="A271" s="521" t="n">
        <v>263</v>
      </c>
      <c r="B271" s="522" t="inlineStr">
        <is>
          <t>Import Raw Material</t>
        </is>
      </c>
      <c r="C271" s="522" t="inlineStr">
        <is>
          <t>I13153</t>
        </is>
      </c>
      <c r="D271" s="523" t="n">
        <v>44516</v>
      </c>
      <c r="E271" s="522" t="n"/>
      <c r="F271" s="522" t="n"/>
      <c r="G271" s="524" t="n">
        <v>94831300</v>
      </c>
      <c r="H271" s="522" t="n"/>
    </row>
    <row r="272">
      <c r="A272" s="521" t="n">
        <v>264</v>
      </c>
      <c r="B272" s="522" t="inlineStr">
        <is>
          <t>Import Raw Material</t>
        </is>
      </c>
      <c r="C272" s="522" t="inlineStr">
        <is>
          <t>I13352</t>
        </is>
      </c>
      <c r="D272" s="523" t="n">
        <v>44523</v>
      </c>
      <c r="E272" s="522" t="n"/>
      <c r="F272" s="522" t="n"/>
      <c r="G272" s="524" t="n">
        <v>45393400</v>
      </c>
      <c r="H272" s="522" t="n"/>
    </row>
    <row r="273">
      <c r="A273" s="521" t="n">
        <v>265</v>
      </c>
      <c r="B273" s="522" t="inlineStr">
        <is>
          <t>Import Raw Material</t>
        </is>
      </c>
      <c r="C273" s="522" t="inlineStr">
        <is>
          <t>I13125</t>
        </is>
      </c>
      <c r="D273" s="523" t="n">
        <v>44516</v>
      </c>
      <c r="E273" s="522" t="n"/>
      <c r="F273" s="522" t="n"/>
      <c r="G273" s="524" t="n">
        <v>48085700</v>
      </c>
      <c r="H273" s="522" t="n"/>
    </row>
    <row r="274">
      <c r="A274" s="521" t="n">
        <v>266</v>
      </c>
      <c r="B274" s="522" t="inlineStr">
        <is>
          <t>Import Raw Material</t>
        </is>
      </c>
      <c r="C274" s="522" t="inlineStr">
        <is>
          <t>I13124</t>
        </is>
      </c>
      <c r="D274" s="523" t="n">
        <v>44516</v>
      </c>
      <c r="E274" s="522" t="n"/>
      <c r="F274" s="522" t="n"/>
      <c r="G274" s="524" t="n">
        <v>91163500</v>
      </c>
      <c r="H274" s="522" t="n"/>
    </row>
    <row r="275">
      <c r="A275" s="521" t="n">
        <v>267</v>
      </c>
      <c r="B275" s="522" t="inlineStr">
        <is>
          <t>Import Raw Material</t>
        </is>
      </c>
      <c r="C275" s="522" t="inlineStr">
        <is>
          <t>I12576</t>
        </is>
      </c>
      <c r="D275" s="523" t="n">
        <v>44502</v>
      </c>
      <c r="E275" s="522" t="n"/>
      <c r="F275" s="522" t="n"/>
      <c r="G275" s="524" t="n">
        <v>85171200</v>
      </c>
      <c r="H275" s="522" t="n"/>
    </row>
    <row r="276">
      <c r="A276" s="521" t="n">
        <v>268</v>
      </c>
      <c r="B276" s="522" t="inlineStr">
        <is>
          <t>Import Raw Material</t>
        </is>
      </c>
      <c r="C276" s="522" t="inlineStr">
        <is>
          <t>I12960</t>
        </is>
      </c>
      <c r="D276" s="523" t="n">
        <v>44511</v>
      </c>
      <c r="E276" s="522" t="n"/>
      <c r="F276" s="522" t="n"/>
      <c r="G276" s="524" t="n">
        <v>110835400</v>
      </c>
      <c r="H276" s="522" t="n"/>
    </row>
    <row r="277">
      <c r="A277" s="521" t="n">
        <v>269</v>
      </c>
      <c r="B277" s="522" t="inlineStr">
        <is>
          <t>ការនាំចូលវត្ថុធាតុដើម</t>
        </is>
      </c>
      <c r="C277" s="522" t="inlineStr">
        <is>
          <t>I12906</t>
        </is>
      </c>
      <c r="D277" s="523" t="n">
        <v>44501</v>
      </c>
      <c r="E277" s="522" t="n"/>
      <c r="F277" s="522" t="n"/>
      <c r="G277" s="524" t="n">
        <v>157033200</v>
      </c>
      <c r="H277" s="522" t="n"/>
    </row>
    <row r="278">
      <c r="A278" s="521" t="n">
        <v>270</v>
      </c>
      <c r="B278" s="522" t="inlineStr">
        <is>
          <t>ការនាំចូលវត្ថុធាតុដើម</t>
        </is>
      </c>
      <c r="C278" s="522" t="inlineStr">
        <is>
          <t>I12910</t>
        </is>
      </c>
      <c r="D278" s="523" t="n">
        <v>44510</v>
      </c>
      <c r="E278" s="522" t="n"/>
      <c r="F278" s="522" t="n"/>
      <c r="G278" s="524" t="n">
        <v>147583600</v>
      </c>
      <c r="H278" s="522" t="n"/>
    </row>
    <row r="279">
      <c r="A279" s="521" t="n">
        <v>271</v>
      </c>
      <c r="B279" s="522" t="inlineStr">
        <is>
          <t>LABEL</t>
        </is>
      </c>
      <c r="C279" s="522" t="inlineStr">
        <is>
          <t>I13122</t>
        </is>
      </c>
      <c r="D279" s="523" t="n">
        <v>44516</v>
      </c>
      <c r="E279" s="522" t="n"/>
      <c r="F279" s="522" t="n"/>
      <c r="G279" s="524" t="n">
        <v>5061200</v>
      </c>
      <c r="H279" s="522" t="n"/>
    </row>
    <row r="280">
      <c r="A280" s="521" t="n">
        <v>272</v>
      </c>
      <c r="B280" s="522" t="inlineStr">
        <is>
          <t>Import Raw Material (SCREW ,PRINTED CIRCUIT BOARD ASSEMBLY ,COB LIGHT BOARD,WIRE ..Ect)</t>
        </is>
      </c>
      <c r="C280" s="522" t="inlineStr">
        <is>
          <t>I14785</t>
        </is>
      </c>
      <c r="D280" s="523" t="n">
        <v>44890</v>
      </c>
      <c r="E280" s="522" t="n"/>
      <c r="F280" s="522" t="n"/>
      <c r="G280" s="524" t="n">
        <v>42290300</v>
      </c>
      <c r="H280" s="522" t="n"/>
    </row>
    <row r="281">
      <c r="A281" s="521" t="n">
        <v>273</v>
      </c>
      <c r="B281" s="522" t="inlineStr">
        <is>
          <t>Import Raw Material (ELECTRODE SLICE ,IRON SHEET FRAME (1),IRON STAMPING , LAMP ACCESSORIES ,IRON TUBE ,BATTERY ..Ect)</t>
        </is>
      </c>
      <c r="C281" s="522" t="inlineStr">
        <is>
          <t>I14688</t>
        </is>
      </c>
      <c r="D281" s="523" t="n">
        <v>44889</v>
      </c>
      <c r="E281" s="522" t="n"/>
      <c r="F281" s="522" t="n"/>
      <c r="G281" s="524" t="n">
        <v>28503000</v>
      </c>
      <c r="H281" s="522" t="n"/>
    </row>
    <row r="282">
      <c r="A282" s="521" t="n">
        <v>274</v>
      </c>
      <c r="B282" s="522" t="inlineStr">
        <is>
          <t>Import Raw Material (COPPER STRIP,ELECTRODE SLICE ,IRON SHEET FRAME (1),ELECTRODE WIRE ,DOUBLE SIDED TAPE ,LABEL ..Ect)</t>
        </is>
      </c>
      <c r="C282" s="522" t="inlineStr">
        <is>
          <t>I14628</t>
        </is>
      </c>
      <c r="D282" s="523" t="n">
        <v>44888</v>
      </c>
      <c r="E282" s="522" t="n"/>
      <c r="F282" s="522" t="n"/>
      <c r="G282" s="524" t="n">
        <v>25333100</v>
      </c>
      <c r="H282" s="522" t="n"/>
    </row>
    <row r="283">
      <c r="A283" s="521" t="n">
        <v>275</v>
      </c>
      <c r="B283" s="522" t="inlineStr">
        <is>
          <t>Import Raw Material</t>
        </is>
      </c>
      <c r="C283" s="522" t="inlineStr">
        <is>
          <t>I14630</t>
        </is>
      </c>
      <c r="D283" s="523" t="n">
        <v>44888</v>
      </c>
      <c r="E283" s="522" t="n"/>
      <c r="F283" s="522" t="n"/>
      <c r="G283" s="524" t="n">
        <v>108612200</v>
      </c>
      <c r="H283" s="522" t="n"/>
    </row>
    <row r="284">
      <c r="A284" s="521" t="n">
        <v>276</v>
      </c>
      <c r="B284" s="522" t="inlineStr">
        <is>
          <t xml:space="preserve">MOLD (INJECTION ),FLUX CORED WIRE,FUSE ,IRON SHEET FRAME </t>
        </is>
      </c>
      <c r="C284" s="522" t="inlineStr">
        <is>
          <t>I13914</t>
        </is>
      </c>
      <c r="D284" s="523" t="n">
        <v>44876</v>
      </c>
      <c r="E284" s="522" t="n"/>
      <c r="F284" s="522" t="n"/>
      <c r="G284" s="524" t="n">
        <v>43277000</v>
      </c>
      <c r="H284" s="522" t="n"/>
    </row>
    <row r="285">
      <c r="A285" s="521" t="n">
        <v>277</v>
      </c>
      <c r="B285" s="522" t="inlineStr">
        <is>
          <t>Import Raw Material BATTERY ,LED COPPER WIRE LAMP,IRON STAMPING SEE INFO PAGE ,PLASTIC (BLOWN INJECTION)</t>
        </is>
      </c>
      <c r="C285" s="522" t="inlineStr">
        <is>
          <t>I13913</t>
        </is>
      </c>
      <c r="D285" s="523" t="n">
        <v>44876</v>
      </c>
      <c r="E285" s="522" t="n"/>
      <c r="F285" s="522" t="n"/>
      <c r="G285" s="524" t="n">
        <v>42237000</v>
      </c>
      <c r="H285" s="522" t="n"/>
    </row>
    <row r="286">
      <c r="A286" s="521" t="n">
        <v>278</v>
      </c>
      <c r="B286" s="522" t="inlineStr">
        <is>
          <t>Import Raw Material (LED COPPER WIRE LAMP,ADAPTER ,COPPER SCREW BASE ,COPPER TERMINAL FOR CONNECTOR )</t>
        </is>
      </c>
      <c r="C286" s="522" t="inlineStr">
        <is>
          <t>I13915</t>
        </is>
      </c>
      <c r="D286" s="523" t="n">
        <v>44876</v>
      </c>
      <c r="E286" s="522" t="n"/>
      <c r="F286" s="522" t="n"/>
      <c r="G286" s="524" t="n">
        <v>51543500</v>
      </c>
      <c r="H286" s="522" t="n"/>
    </row>
    <row r="287">
      <c r="A287" s="521" t="n">
        <v>279</v>
      </c>
      <c r="B287" s="522" t="n"/>
      <c r="C287" s="522" t="inlineStr">
        <is>
          <t>l12813</t>
        </is>
      </c>
      <c r="D287" s="523" t="n">
        <v>43824</v>
      </c>
      <c r="E287" s="522" t="n"/>
      <c r="F287" s="522" t="n"/>
      <c r="G287" s="524" t="n">
        <v>165354</v>
      </c>
      <c r="H287" s="522" t="n"/>
    </row>
    <row r="288">
      <c r="A288" s="521" t="n">
        <v>280</v>
      </c>
      <c r="B288" s="522" t="n"/>
      <c r="C288" s="522" t="inlineStr">
        <is>
          <t>I12813</t>
        </is>
      </c>
      <c r="D288" s="523" t="n">
        <v>43824</v>
      </c>
      <c r="E288" s="522" t="n"/>
      <c r="F288" s="522" t="n"/>
      <c r="G288" s="524" t="n">
        <v>165445</v>
      </c>
      <c r="H288" s="522" t="n"/>
    </row>
    <row r="289">
      <c r="A289" s="521" t="n">
        <v>281</v>
      </c>
      <c r="B289" s="522" t="n"/>
      <c r="C289" s="522" t="inlineStr">
        <is>
          <t>I12102</t>
        </is>
      </c>
      <c r="D289" s="523" t="n">
        <v>43810</v>
      </c>
      <c r="E289" s="522" t="n"/>
      <c r="F289" s="522" t="n"/>
      <c r="G289" s="524" t="n">
        <v>18518264</v>
      </c>
      <c r="H289" s="522" t="n"/>
    </row>
    <row r="290">
      <c r="A290" s="521" t="n">
        <v>282</v>
      </c>
      <c r="B290" s="522" t="n"/>
      <c r="C290" s="522" t="inlineStr">
        <is>
          <t>I11896</t>
        </is>
      </c>
      <c r="D290" s="523" t="n">
        <v>43803</v>
      </c>
      <c r="E290" s="522" t="n"/>
      <c r="F290" s="522" t="n"/>
      <c r="G290" s="524" t="n">
        <v>18908625</v>
      </c>
      <c r="H290" s="522" t="n"/>
    </row>
    <row r="291">
      <c r="A291" s="521" t="n">
        <v>283</v>
      </c>
      <c r="B291" s="522" t="n"/>
      <c r="C291" s="522" t="inlineStr">
        <is>
          <t>I11895</t>
        </is>
      </c>
      <c r="D291" s="523" t="n">
        <v>43803</v>
      </c>
      <c r="E291" s="522" t="n"/>
      <c r="F291" s="522" t="n"/>
      <c r="G291" s="524" t="n">
        <v>3119029</v>
      </c>
      <c r="H291" s="522" t="n"/>
    </row>
    <row r="292">
      <c r="A292" s="521" t="n">
        <v>284</v>
      </c>
      <c r="B292" s="522" t="n"/>
      <c r="C292" s="522" t="inlineStr">
        <is>
          <t>I12940</t>
        </is>
      </c>
      <c r="D292" s="523" t="n">
        <v>44186</v>
      </c>
      <c r="E292" s="522" t="n"/>
      <c r="F292" s="522" t="n"/>
      <c r="G292" s="524" t="n">
        <v>40859500</v>
      </c>
      <c r="H292" s="522" t="n"/>
    </row>
    <row r="293">
      <c r="A293" s="521" t="n">
        <v>285</v>
      </c>
      <c r="B293" s="522" t="n"/>
      <c r="C293" s="522" t="inlineStr">
        <is>
          <t>I12389</t>
        </is>
      </c>
      <c r="D293" s="523" t="n">
        <v>44166</v>
      </c>
      <c r="E293" s="522" t="n"/>
      <c r="F293" s="522" t="n"/>
      <c r="G293" s="524" t="n">
        <v>101558300</v>
      </c>
      <c r="H293" s="522" t="n"/>
    </row>
    <row r="294">
      <c r="A294" s="521" t="n">
        <v>286</v>
      </c>
      <c r="B294" s="522" t="n"/>
      <c r="C294" s="522" t="inlineStr">
        <is>
          <t>I11463</t>
        </is>
      </c>
      <c r="D294" s="523" t="n">
        <v>44166</v>
      </c>
      <c r="E294" s="522" t="n"/>
      <c r="F294" s="522" t="n"/>
      <c r="G294" s="524" t="n">
        <v>57230100</v>
      </c>
      <c r="H294" s="522" t="n"/>
    </row>
    <row r="295">
      <c r="A295" s="521" t="n">
        <v>287</v>
      </c>
      <c r="B295" s="522" t="n"/>
      <c r="C295" s="522" t="inlineStr">
        <is>
          <t>I12895</t>
        </is>
      </c>
      <c r="D295" s="523" t="n">
        <v>44183</v>
      </c>
      <c r="E295" s="522" t="n"/>
      <c r="F295" s="522" t="n"/>
      <c r="G295" s="524" t="n">
        <v>39817100</v>
      </c>
      <c r="H295" s="522" t="n"/>
    </row>
    <row r="296">
      <c r="A296" s="521" t="n">
        <v>288</v>
      </c>
      <c r="B296" s="522" t="n"/>
      <c r="C296" s="522" t="inlineStr">
        <is>
          <t>I12886</t>
        </is>
      </c>
      <c r="D296" s="523" t="n">
        <v>44182</v>
      </c>
      <c r="E296" s="522" t="n"/>
      <c r="F296" s="522" t="n"/>
      <c r="G296" s="524" t="n">
        <v>74768000</v>
      </c>
      <c r="H296" s="522" t="n"/>
    </row>
    <row r="297">
      <c r="A297" s="521" t="n">
        <v>289</v>
      </c>
      <c r="B297" s="522" t="n"/>
      <c r="C297" s="522" t="inlineStr">
        <is>
          <t>I12862</t>
        </is>
      </c>
      <c r="D297" s="523" t="n">
        <v>44182</v>
      </c>
      <c r="E297" s="522" t="n"/>
      <c r="F297" s="522" t="n"/>
      <c r="G297" s="524" t="n">
        <v>3088700</v>
      </c>
      <c r="H297" s="522" t="n"/>
    </row>
    <row r="298">
      <c r="A298" s="521" t="n">
        <v>290</v>
      </c>
      <c r="B298" s="522" t="n"/>
      <c r="C298" s="522" t="inlineStr">
        <is>
          <t>I12867</t>
        </is>
      </c>
      <c r="D298" s="523" t="n">
        <v>44182</v>
      </c>
      <c r="E298" s="522" t="n"/>
      <c r="F298" s="522" t="n"/>
      <c r="G298" s="524" t="n">
        <v>27574800</v>
      </c>
      <c r="H298" s="522" t="n"/>
    </row>
    <row r="299">
      <c r="A299" s="521" t="n">
        <v>291</v>
      </c>
      <c r="B299" s="522" t="n"/>
      <c r="C299" s="522" t="inlineStr">
        <is>
          <t>I12435</t>
        </is>
      </c>
      <c r="D299" s="523" t="n">
        <v>44174</v>
      </c>
      <c r="E299" s="522" t="n"/>
      <c r="F299" s="522" t="n"/>
      <c r="G299" s="524" t="n">
        <v>1158300</v>
      </c>
      <c r="H299" s="522" t="n"/>
    </row>
    <row r="300">
      <c r="A300" s="521" t="n">
        <v>292</v>
      </c>
      <c r="B300" s="522" t="n"/>
      <c r="C300" s="522" t="inlineStr">
        <is>
          <t>I12530</t>
        </is>
      </c>
      <c r="D300" s="523" t="n">
        <v>44175</v>
      </c>
      <c r="E300" s="522" t="n"/>
      <c r="F300" s="522" t="n"/>
      <c r="G300" s="524" t="n">
        <v>8571900</v>
      </c>
      <c r="H300" s="522" t="n"/>
    </row>
    <row r="301">
      <c r="A301" s="521" t="n">
        <v>293</v>
      </c>
      <c r="B301" s="522" t="n"/>
      <c r="C301" s="522" t="inlineStr">
        <is>
          <t>I12947</t>
        </is>
      </c>
      <c r="D301" s="523" t="n">
        <v>44186</v>
      </c>
      <c r="E301" s="522" t="n"/>
      <c r="F301" s="522" t="n"/>
      <c r="G301" s="524" t="n">
        <v>55062600</v>
      </c>
      <c r="H301" s="522" t="n"/>
    </row>
    <row r="302">
      <c r="A302" s="521" t="n">
        <v>294</v>
      </c>
      <c r="B302" s="522" t="n"/>
      <c r="C302" s="522" t="inlineStr">
        <is>
          <t>I12436</t>
        </is>
      </c>
      <c r="D302" s="523" t="n">
        <v>44174</v>
      </c>
      <c r="E302" s="522" t="n"/>
      <c r="F302" s="522" t="n"/>
      <c r="G302" s="524" t="n">
        <v>55138500</v>
      </c>
      <c r="H302" s="522" t="n"/>
    </row>
    <row r="303">
      <c r="A303" s="521" t="n">
        <v>295</v>
      </c>
      <c r="B303" s="522" t="n"/>
      <c r="C303" s="522" t="inlineStr">
        <is>
          <t>I12613</t>
        </is>
      </c>
      <c r="D303" s="523" t="n">
        <v>44176</v>
      </c>
      <c r="E303" s="522" t="n"/>
      <c r="F303" s="522" t="n"/>
      <c r="G303" s="524" t="n">
        <v>39684300</v>
      </c>
      <c r="H303" s="522" t="n"/>
    </row>
    <row r="304">
      <c r="A304" s="521" t="n">
        <v>296</v>
      </c>
      <c r="B304" s="522" t="inlineStr">
        <is>
          <t>Import Raw Material</t>
        </is>
      </c>
      <c r="C304" s="522" t="inlineStr">
        <is>
          <t>I15173</t>
        </is>
      </c>
      <c r="D304" s="523" t="n">
        <v>44554</v>
      </c>
      <c r="E304" s="522" t="n"/>
      <c r="F304" s="522" t="n"/>
      <c r="G304" s="524" t="n">
        <v>99830100</v>
      </c>
      <c r="H304" s="522" t="n"/>
    </row>
    <row r="305">
      <c r="A305" s="521" t="n">
        <v>297</v>
      </c>
      <c r="B305" s="522" t="inlineStr">
        <is>
          <t>Import Raw Material</t>
        </is>
      </c>
      <c r="C305" s="522" t="inlineStr">
        <is>
          <t>I14500</t>
        </is>
      </c>
      <c r="D305" s="523" t="n">
        <v>44544</v>
      </c>
      <c r="E305" s="522" t="n"/>
      <c r="F305" s="522" t="n"/>
      <c r="G305" s="524" t="n">
        <v>76703400</v>
      </c>
      <c r="H305" s="522" t="n"/>
    </row>
    <row r="306">
      <c r="A306" s="521" t="n">
        <v>298</v>
      </c>
      <c r="B306" s="522" t="inlineStr">
        <is>
          <t>Import Raw Material</t>
        </is>
      </c>
      <c r="C306" s="522" t="inlineStr">
        <is>
          <t>I14335</t>
        </is>
      </c>
      <c r="D306" s="523" t="n">
        <v>44539</v>
      </c>
      <c r="E306" s="522" t="n"/>
      <c r="F306" s="522" t="n"/>
      <c r="G306" s="524" t="n">
        <v>928100</v>
      </c>
      <c r="H306" s="522" t="n"/>
    </row>
    <row r="307">
      <c r="A307" s="521" t="n">
        <v>299</v>
      </c>
      <c r="B307" s="522" t="inlineStr">
        <is>
          <t>Import Raw Material</t>
        </is>
      </c>
      <c r="C307" s="522" t="inlineStr">
        <is>
          <t>I14343</t>
        </is>
      </c>
      <c r="D307" s="523" t="n">
        <v>44539</v>
      </c>
      <c r="E307" s="522" t="n"/>
      <c r="F307" s="522" t="n"/>
      <c r="G307" s="524" t="n">
        <v>70713800</v>
      </c>
      <c r="H307" s="522" t="n"/>
    </row>
    <row r="308">
      <c r="A308" s="521" t="n">
        <v>300</v>
      </c>
      <c r="B308" s="522" t="inlineStr">
        <is>
          <t>Import Raw Material</t>
        </is>
      </c>
      <c r="C308" s="522" t="inlineStr">
        <is>
          <t>I14211</t>
        </is>
      </c>
      <c r="D308" s="523" t="n">
        <v>44537</v>
      </c>
      <c r="E308" s="522" t="n"/>
      <c r="F308" s="522" t="n"/>
      <c r="G308" s="524" t="n">
        <v>142038700</v>
      </c>
      <c r="H308" s="522" t="n"/>
    </row>
    <row r="309">
      <c r="A309" s="521" t="n">
        <v>301</v>
      </c>
      <c r="B309" s="522" t="inlineStr">
        <is>
          <t>Import Raw Material</t>
        </is>
      </c>
      <c r="C309" s="522" t="inlineStr">
        <is>
          <t>I14202</t>
        </is>
      </c>
      <c r="D309" s="523" t="n">
        <v>44537</v>
      </c>
      <c r="E309" s="522" t="n"/>
      <c r="F309" s="522" t="n"/>
      <c r="G309" s="524" t="n">
        <v>20375400</v>
      </c>
      <c r="H309" s="522" t="n"/>
    </row>
    <row r="310">
      <c r="A310" s="521" t="n">
        <v>302</v>
      </c>
      <c r="B310" s="522" t="inlineStr">
        <is>
          <t>Import Raw Material</t>
        </is>
      </c>
      <c r="C310" s="522" t="inlineStr">
        <is>
          <t>I13800</t>
        </is>
      </c>
      <c r="D310" s="523" t="n">
        <v>44531</v>
      </c>
      <c r="E310" s="522" t="n"/>
      <c r="F310" s="522" t="n"/>
      <c r="G310" s="524" t="n">
        <v>46940100</v>
      </c>
      <c r="H310" s="522" t="n"/>
    </row>
    <row r="311">
      <c r="A311" s="521" t="n">
        <v>303</v>
      </c>
      <c r="B311" s="522" t="inlineStr">
        <is>
          <t>Import Raw Material</t>
        </is>
      </c>
      <c r="C311" s="522" t="inlineStr">
        <is>
          <t>I13818</t>
        </is>
      </c>
      <c r="D311" s="523" t="n">
        <v>44531</v>
      </c>
      <c r="E311" s="522" t="n"/>
      <c r="F311" s="522" t="n"/>
      <c r="G311" s="524" t="n">
        <v>60848400</v>
      </c>
      <c r="H311" s="522" t="n"/>
    </row>
    <row r="312">
      <c r="A312" s="521" t="n">
        <v>304</v>
      </c>
      <c r="B312" s="522" t="inlineStr">
        <is>
          <t>Import Raw Material</t>
        </is>
      </c>
      <c r="C312" s="522" t="inlineStr">
        <is>
          <t>I16028</t>
        </is>
      </c>
      <c r="D312" s="523" t="n">
        <v>44915</v>
      </c>
      <c r="E312" s="522" t="n"/>
      <c r="F312" s="522" t="n"/>
      <c r="G312" s="524" t="n">
        <v>23749200</v>
      </c>
      <c r="H312" s="522" t="n"/>
    </row>
    <row r="313">
      <c r="A313" s="521" t="n">
        <v>305</v>
      </c>
      <c r="B313" s="522" t="inlineStr">
        <is>
          <t>Import Raw Material</t>
        </is>
      </c>
      <c r="C313" s="522" t="inlineStr">
        <is>
          <t>I15315</t>
        </is>
      </c>
      <c r="D313" s="523" t="n">
        <v>44903</v>
      </c>
      <c r="E313" s="522" t="n"/>
      <c r="F313" s="522" t="n"/>
      <c r="G313" s="524" t="n">
        <v>39514900</v>
      </c>
      <c r="H313" s="522" t="n"/>
    </row>
    <row r="314">
      <c r="A314" s="521" t="n">
        <v>306</v>
      </c>
      <c r="B314" s="522" t="inlineStr">
        <is>
          <t>Import Raw Material</t>
        </is>
      </c>
      <c r="C314" s="522" t="inlineStr">
        <is>
          <t>I16029</t>
        </is>
      </c>
      <c r="D314" s="523" t="n">
        <v>44915</v>
      </c>
      <c r="E314" s="522" t="n"/>
      <c r="F314" s="522" t="n"/>
      <c r="G314" s="524" t="n">
        <v>15427700</v>
      </c>
      <c r="H314" s="522" t="n"/>
    </row>
    <row r="315">
      <c r="A315" s="521" t="n">
        <v>307</v>
      </c>
      <c r="B315" s="522" t="inlineStr">
        <is>
          <t>Import Raw Material</t>
        </is>
      </c>
      <c r="C315" s="522" t="inlineStr">
        <is>
          <t>I15538</t>
        </is>
      </c>
      <c r="D315" s="523" t="n">
        <v>44896</v>
      </c>
      <c r="E315" s="522" t="n"/>
      <c r="F315" s="522" t="n"/>
      <c r="G315" s="524" t="n">
        <v>21345900</v>
      </c>
      <c r="H315" s="522" t="n"/>
    </row>
    <row r="316">
      <c r="A316" s="521" t="n">
        <v>308</v>
      </c>
      <c r="B316" s="522" t="inlineStr">
        <is>
          <t>Import Raw Material</t>
        </is>
      </c>
      <c r="C316" s="522" t="inlineStr">
        <is>
          <t>I15541</t>
        </is>
      </c>
      <c r="D316" s="523" t="n">
        <v>44908</v>
      </c>
      <c r="E316" s="522" t="n"/>
      <c r="F316" s="522" t="n"/>
      <c r="G316" s="524" t="n">
        <v>3940100</v>
      </c>
      <c r="H316" s="522" t="n"/>
    </row>
    <row r="317">
      <c r="A317" s="521" t="n">
        <v>309</v>
      </c>
      <c r="B317" s="522" t="inlineStr">
        <is>
          <t>Import Raw Material</t>
        </is>
      </c>
      <c r="C317" s="522" t="inlineStr">
        <is>
          <t>I15545</t>
        </is>
      </c>
      <c r="D317" s="523" t="n">
        <v>44908</v>
      </c>
      <c r="E317" s="522" t="n"/>
      <c r="F317" s="522" t="n"/>
      <c r="G317" s="524" t="n">
        <v>12900700</v>
      </c>
      <c r="H317" s="522" t="n"/>
    </row>
    <row r="318">
      <c r="A318" s="521" t="n">
        <v>310</v>
      </c>
      <c r="B318" s="522" t="inlineStr">
        <is>
          <t>Import Raw Material</t>
        </is>
      </c>
      <c r="C318" s="522" t="inlineStr">
        <is>
          <t>I15536</t>
        </is>
      </c>
      <c r="D318" s="523" t="n">
        <v>44908</v>
      </c>
      <c r="E318" s="522" t="n"/>
      <c r="F318" s="522" t="n"/>
      <c r="G318" s="524" t="n">
        <v>8238100</v>
      </c>
      <c r="H318" s="522" t="n"/>
    </row>
    <row r="319">
      <c r="A319" s="521" t="n">
        <v>311</v>
      </c>
      <c r="B319" s="522" t="inlineStr">
        <is>
          <t>Import Raw Material</t>
        </is>
      </c>
      <c r="C319" s="522" t="inlineStr">
        <is>
          <t>I15535</t>
        </is>
      </c>
      <c r="D319" s="523" t="n">
        <v>44908</v>
      </c>
      <c r="E319" s="522" t="n"/>
      <c r="F319" s="522" t="n"/>
      <c r="G319" s="524" t="n">
        <v>26249300</v>
      </c>
      <c r="H319" s="522" t="n"/>
    </row>
    <row r="320">
      <c r="A320" s="521" t="n">
        <v>312</v>
      </c>
      <c r="B320" s="522" t="inlineStr">
        <is>
          <t>Import Raw Material</t>
        </is>
      </c>
      <c r="C320" s="522" t="inlineStr">
        <is>
          <t>I15314</t>
        </is>
      </c>
      <c r="D320" s="523" t="n">
        <v>44903</v>
      </c>
      <c r="E320" s="522" t="n"/>
      <c r="F320" s="522" t="n"/>
      <c r="G320" s="524" t="n">
        <v>5179300</v>
      </c>
      <c r="H320" s="522" t="n"/>
    </row>
    <row r="321">
      <c r="A321" s="521" t="n">
        <v>313</v>
      </c>
      <c r="B321" s="522" t="inlineStr">
        <is>
          <t>Import Raw Material</t>
        </is>
      </c>
      <c r="C321" s="522" t="inlineStr">
        <is>
          <t>I15316</t>
        </is>
      </c>
      <c r="D321" s="523" t="n">
        <v>44903</v>
      </c>
      <c r="E321" s="522" t="n"/>
      <c r="F321" s="522" t="n"/>
      <c r="G321" s="524" t="n">
        <v>6009700</v>
      </c>
      <c r="H321" s="522" t="n"/>
    </row>
    <row r="322">
      <c r="A322" s="525" t="inlineStr">
        <is>
          <t>សរុបអាករលើការនាំចូលជាបន្ទុករដ្ឋ</t>
        </is>
      </c>
      <c r="B322" s="526" t="n"/>
      <c r="C322" s="526" t="n"/>
      <c r="D322" s="526" t="n"/>
      <c r="E322" s="526" t="n"/>
      <c r="F322" s="526" t="n"/>
      <c r="G322" s="527">
        <f>SUM(G9:G321)</f>
        <v/>
      </c>
      <c r="H322" s="526" t="n"/>
    </row>
    <row r="324">
      <c r="E324" s="528" t="inlineStr">
        <is>
          <t>រាជធានីភ្នំពេញ.ថ្ងៃទី           ខែ           ឆ្នាំ</t>
        </is>
      </c>
    </row>
    <row r="325">
      <c r="E325" s="528" t="inlineStr">
        <is>
          <t>មន្ត្រីសវនកម្ម</t>
        </is>
      </c>
    </row>
    <row r="327">
      <c r="E327" s="528">
        <f>'Company information'!D9</f>
        <v/>
      </c>
      <c r="H327" s="528">
        <f>'Company information'!E9</f>
        <v/>
      </c>
    </row>
  </sheetData>
  <autoFilter ref="A8:I8"/>
  <mergeCells count="13">
    <mergeCell ref="E327:G327"/>
    <mergeCell ref="A3:H3"/>
    <mergeCell ref="C7:D7"/>
    <mergeCell ref="A322:F322"/>
    <mergeCell ref="E7:F7"/>
    <mergeCell ref="A2:H2"/>
    <mergeCell ref="A7:A8"/>
    <mergeCell ref="G7:G8"/>
    <mergeCell ref="B7:B8"/>
    <mergeCell ref="E324:H324"/>
    <mergeCell ref="H7:H8"/>
    <mergeCell ref="A1:H1"/>
    <mergeCell ref="E325:H325"/>
  </mergeCells>
  <printOptions horizontalCentered="1"/>
  <pageMargins left="0.196850393700787" right="0.196850393700787" top="0.16" bottom="0.45" header="0.51" footer="0.196850393700787"/>
  <pageSetup orientation="portrait" paperSize="9" scale="72" fitToHeight="0" horizontalDpi="12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43"/>
  <sheetViews>
    <sheetView zoomScale="70" zoomScaleNormal="70" zoomScaleSheetLayoutView="55" workbookViewId="0">
      <selection activeCell="G7" sqref="G7:G8"/>
    </sheetView>
  </sheetViews>
  <sheetFormatPr baseColWidth="8" defaultColWidth="9.109375" defaultRowHeight="30" customHeight="1"/>
  <cols>
    <col width="12.44140625" customWidth="1" style="249" min="1" max="1"/>
    <col width="39.77734375" customWidth="1" style="249" min="2" max="2"/>
    <col width="18.77734375" customWidth="1" style="249" min="3" max="4"/>
    <col hidden="1" width="11.6640625" customWidth="1" style="249" min="5" max="5"/>
    <col hidden="1" width="13.44140625" customWidth="1" style="249" min="6" max="6"/>
    <col width="33.109375" customWidth="1" style="249" min="7" max="7"/>
    <col width="42.44140625" bestFit="1" customWidth="1" style="249" min="8" max="8"/>
    <col width="17.33203125" customWidth="1" style="249" min="9" max="9"/>
    <col width="9.109375" customWidth="1" style="338" min="10" max="16384"/>
  </cols>
  <sheetData>
    <row r="1" ht="30" customFormat="1" customHeight="1" s="251">
      <c r="A1" s="364" t="inlineStr">
        <is>
          <t>តារាងឧបសម្ព័ន្ធ II</t>
        </is>
      </c>
    </row>
    <row r="2" ht="30" customFormat="1" customHeight="1" s="251">
      <c r="A2" s="364" t="inlineStr">
        <is>
          <t>តារាងផ្ទៀងផ្ទាត់បញ្ជាក់អំពីអាករលើធាតុចូលដែលអាចស្នើសុំជាឥណទាន</t>
        </is>
      </c>
    </row>
    <row r="3" ht="30" customFormat="1" customHeight="1" s="251">
      <c r="A3" s="364" t="inlineStr">
        <is>
          <t>( ការនាំចូល ឬ អាករគិតជំនួស(Reverse Charge))</t>
        </is>
      </c>
    </row>
    <row r="4" ht="30" customFormat="1" customHeight="1" s="251">
      <c r="A4" s="252" t="inlineStr">
        <is>
          <t>ក្រុមហ៊ុន៖</t>
        </is>
      </c>
      <c r="B4" s="200">
        <f>'Company information'!D2</f>
        <v/>
      </c>
      <c r="D4" s="201" t="n"/>
      <c r="E4" s="202" t="n"/>
      <c r="F4" s="203" t="n"/>
      <c r="G4" s="515" t="inlineStr">
        <is>
          <t xml:space="preserve">សវនករពន្ធដារ៖ </t>
        </is>
      </c>
      <c r="H4" s="516">
        <f>'Company information'!D8</f>
        <v/>
      </c>
    </row>
    <row r="5" ht="30" customFormat="1" customHeight="1" s="251">
      <c r="A5" s="206" t="inlineStr">
        <is>
          <t>លេខ អតប៖</t>
        </is>
      </c>
      <c r="B5" s="200">
        <f>'Company information'!D4</f>
        <v/>
      </c>
      <c r="C5" s="198" t="n"/>
      <c r="D5" s="201" t="n"/>
      <c r="E5" s="202" t="n"/>
      <c r="F5" s="201" t="n"/>
      <c r="G5" s="198" t="n"/>
      <c r="H5" s="516">
        <f>'Company information'!E8</f>
        <v/>
      </c>
    </row>
    <row r="6" ht="30" customFormat="1" customHeight="1" s="251">
      <c r="A6" s="517">
        <f>'Company information'!H8</f>
        <v/>
      </c>
      <c r="B6" s="200" t="n"/>
      <c r="D6" s="201" t="n"/>
      <c r="E6" s="202" t="n"/>
      <c r="F6" s="203" t="n"/>
      <c r="G6" s="518" t="inlineStr">
        <is>
          <t>ទឹកប្រាក់ស្នើសុំបង្វិលសងចំនួន៖</t>
        </is>
      </c>
      <c r="H6" s="368">
        <f>'Company information'!H9</f>
        <v/>
      </c>
      <c r="I6" s="529" t="n"/>
    </row>
    <row r="7" ht="30" customFormat="1" customHeight="1" s="194">
      <c r="A7" s="366" t="inlineStr">
        <is>
          <t>ល.រ</t>
        </is>
      </c>
      <c r="B7" s="366" t="inlineStr">
        <is>
          <t>បរិយាយ</t>
        </is>
      </c>
      <c r="C7" s="366" t="inlineStr">
        <is>
          <t>ប្រតិវេទន៍គយនាំចូល/ វិក្កយបត្រ</t>
        </is>
      </c>
      <c r="D7" s="519" t="n"/>
      <c r="E7" s="366" t="inlineStr">
        <is>
          <t>បង្កាន់ដៃទទួលប្រាក់</t>
        </is>
      </c>
      <c r="F7" s="519" t="n"/>
      <c r="G7" s="366" t="inlineStr">
        <is>
          <t>ប្រាក់អាករ (រៀល)</t>
        </is>
      </c>
      <c r="H7" s="369" t="inlineStr">
        <is>
          <t>លទ្ធផលផ្ទៀងផ្ទាត់ជាមួយទិន្នន័យពីអគ្គនាយកដ្ឋានគយ/
ឬ អាករគិតជំនួស(Reverse Charge)</t>
        </is>
      </c>
      <c r="I7" s="366" t="inlineStr">
        <is>
          <t>ផ្សេងៗ</t>
        </is>
      </c>
    </row>
    <row r="8" ht="30" customFormat="1" customHeight="1" s="194">
      <c r="A8" s="520" t="n"/>
      <c r="B8" s="520" t="n"/>
      <c r="C8" s="366" t="inlineStr">
        <is>
          <t>លេខ</t>
        </is>
      </c>
      <c r="D8" s="366" t="inlineStr">
        <is>
          <t>ចុះថ្ងៃទី ខែ ឆ្នាំ</t>
        </is>
      </c>
      <c r="E8" s="366" t="inlineStr">
        <is>
          <t>លេខ</t>
        </is>
      </c>
      <c r="F8" s="366" t="inlineStr">
        <is>
          <t>ថ្ងៃ ខែ ឆ្នាំ</t>
        </is>
      </c>
      <c r="G8" s="520" t="n"/>
      <c r="H8" s="520" t="n"/>
      <c r="I8" s="520" t="n"/>
    </row>
    <row r="9" ht="30" customFormat="1" customHeight="1" s="194">
      <c r="A9" s="502" t="n"/>
      <c r="B9" s="502" t="n"/>
      <c r="C9" s="502" t="n"/>
      <c r="D9" s="502" t="n"/>
      <c r="E9" s="502" t="n"/>
      <c r="F9" s="502" t="n"/>
      <c r="G9" s="502" t="n"/>
      <c r="H9" s="502" t="n"/>
      <c r="I9" s="502" t="n"/>
    </row>
    <row r="10" ht="30" customFormat="1" customHeight="1" s="341">
      <c r="A10" s="530" t="inlineStr">
        <is>
          <t>I. ការនាំចូល</t>
        </is>
      </c>
      <c r="B10" s="531" t="n"/>
      <c r="C10" s="531" t="n"/>
      <c r="D10" s="531" t="n"/>
      <c r="E10" s="531" t="n"/>
      <c r="F10" s="531" t="n"/>
      <c r="G10" s="531" t="n"/>
      <c r="H10" s="531" t="n"/>
      <c r="I10" s="519" t="n"/>
    </row>
    <row r="11">
      <c r="A11" s="521" t="n">
        <v>1</v>
      </c>
      <c r="B11" s="522" t="n"/>
      <c r="C11" s="522" t="inlineStr">
        <is>
          <t>I2933</t>
        </is>
      </c>
      <c r="D11" s="523" t="n">
        <v>43910</v>
      </c>
      <c r="E11" s="522" t="n"/>
      <c r="F11" s="522" t="n"/>
      <c r="G11" s="524" t="n">
        <v>86294</v>
      </c>
      <c r="H11" s="522" t="n"/>
      <c r="I11" s="522" t="n"/>
    </row>
    <row r="12">
      <c r="A12" s="521" t="n">
        <v>2</v>
      </c>
      <c r="B12" s="522" t="inlineStr">
        <is>
          <t>Stretch Film</t>
        </is>
      </c>
      <c r="C12" s="522" t="inlineStr">
        <is>
          <t>I3963</t>
        </is>
      </c>
      <c r="D12" s="523" t="n">
        <v>44287</v>
      </c>
      <c r="E12" s="522" t="n"/>
      <c r="F12" s="522" t="n"/>
      <c r="G12" s="524" t="n">
        <v>4225100</v>
      </c>
      <c r="H12" s="522" t="n"/>
      <c r="I12" s="522" t="n"/>
    </row>
    <row r="13">
      <c r="A13" s="521" t="n">
        <v>3</v>
      </c>
      <c r="B13" s="522" t="inlineStr">
        <is>
          <t>COB Light board</t>
        </is>
      </c>
      <c r="C13" s="522" t="inlineStr">
        <is>
          <t>I5395</t>
        </is>
      </c>
      <c r="D13" s="523" t="n">
        <v>44337</v>
      </c>
      <c r="E13" s="522" t="n"/>
      <c r="F13" s="522" t="n"/>
      <c r="G13" s="524" t="n">
        <v>229500</v>
      </c>
      <c r="H13" s="522" t="n"/>
      <c r="I13" s="522" t="n"/>
    </row>
    <row r="14">
      <c r="A14" s="521" t="n">
        <v>4</v>
      </c>
      <c r="B14" s="522" t="inlineStr">
        <is>
          <t>Lamp holder</t>
        </is>
      </c>
      <c r="C14" s="522" t="inlineStr">
        <is>
          <t>I5399</t>
        </is>
      </c>
      <c r="D14" s="523" t="n">
        <v>44337</v>
      </c>
      <c r="E14" s="522" t="n"/>
      <c r="F14" s="522" t="n"/>
      <c r="G14" s="524" t="n">
        <v>495400</v>
      </c>
      <c r="H14" s="522" t="n"/>
      <c r="I14" s="522" t="n"/>
    </row>
    <row r="15">
      <c r="A15" s="521" t="n">
        <v>5</v>
      </c>
      <c r="B15" s="522" t="inlineStr">
        <is>
          <t>ELECTRODE SLICE</t>
        </is>
      </c>
      <c r="C15" s="522" t="inlineStr">
        <is>
          <t>I8833</t>
        </is>
      </c>
      <c r="D15" s="523" t="n">
        <v>44743</v>
      </c>
      <c r="E15" s="522" t="n"/>
      <c r="F15" s="522" t="n"/>
      <c r="G15" s="524" t="n">
        <v>3300</v>
      </c>
      <c r="H15" s="522" t="n"/>
      <c r="I15" s="522" t="n"/>
    </row>
    <row r="16">
      <c r="A16" s="521" t="n">
        <v>6</v>
      </c>
      <c r="B16" s="522" t="inlineStr">
        <is>
          <t>Industrial glasses</t>
        </is>
      </c>
      <c r="C16" s="522" t="inlineStr">
        <is>
          <t>I8938.</t>
        </is>
      </c>
      <c r="D16" s="523" t="n">
        <v>44414</v>
      </c>
      <c r="E16" s="522" t="n"/>
      <c r="F16" s="522" t="n"/>
      <c r="G16" s="524" t="n">
        <v>44200</v>
      </c>
      <c r="H16" s="522" t="n"/>
      <c r="I16" s="522" t="n"/>
    </row>
    <row r="17">
      <c r="A17" s="521" t="n">
        <v>7</v>
      </c>
      <c r="B17" s="522" t="inlineStr">
        <is>
          <t>Industrial glover</t>
        </is>
      </c>
      <c r="C17" s="522" t="inlineStr">
        <is>
          <t>I8938</t>
        </is>
      </c>
      <c r="D17" s="523" t="n">
        <v>44414</v>
      </c>
      <c r="E17" s="522" t="n"/>
      <c r="F17" s="522" t="n"/>
      <c r="G17" s="524" t="n">
        <v>16300</v>
      </c>
      <c r="H17" s="522" t="n"/>
      <c r="I17" s="522" t="n"/>
    </row>
    <row r="18">
      <c r="A18" s="521" t="n">
        <v>8</v>
      </c>
      <c r="B18" s="522" t="inlineStr">
        <is>
          <t>Iron stand</t>
        </is>
      </c>
      <c r="C18" s="522" t="inlineStr">
        <is>
          <t>I9185</t>
        </is>
      </c>
      <c r="D18" s="523" t="n">
        <v>44420</v>
      </c>
      <c r="E18" s="522" t="n"/>
      <c r="F18" s="522" t="n"/>
      <c r="G18" s="524" t="n">
        <v>258400</v>
      </c>
      <c r="H18" s="522" t="n"/>
      <c r="I18" s="522" t="n"/>
    </row>
    <row r="19">
      <c r="A19" s="521" t="n">
        <v>9</v>
      </c>
      <c r="B19" s="522" t="inlineStr">
        <is>
          <t>Iron tube</t>
        </is>
      </c>
      <c r="C19" s="522" t="inlineStr">
        <is>
          <t>I9187</t>
        </is>
      </c>
      <c r="D19" s="523" t="n">
        <v>44420</v>
      </c>
      <c r="E19" s="522" t="n"/>
      <c r="F19" s="522" t="n"/>
      <c r="G19" s="524" t="n">
        <v>3710600</v>
      </c>
      <c r="H19" s="522" t="n"/>
      <c r="I19" s="522" t="n"/>
    </row>
    <row r="20">
      <c r="A20" s="521" t="n">
        <v>10</v>
      </c>
      <c r="B20" s="522" t="inlineStr">
        <is>
          <t>IRON STAND</t>
        </is>
      </c>
      <c r="C20" s="522" t="inlineStr">
        <is>
          <t>I10359.</t>
        </is>
      </c>
      <c r="D20" s="523" t="n">
        <v>44446</v>
      </c>
      <c r="E20" s="522" t="n"/>
      <c r="F20" s="522" t="n"/>
      <c r="G20" s="524" t="n">
        <v>518400</v>
      </c>
      <c r="H20" s="522" t="n"/>
      <c r="I20" s="522" t="n"/>
    </row>
    <row r="21">
      <c r="A21" s="521" t="n">
        <v>11</v>
      </c>
      <c r="B21" s="522" t="inlineStr">
        <is>
          <t>Import Raw Material</t>
        </is>
      </c>
      <c r="C21" s="522" t="inlineStr">
        <is>
          <t>I10761</t>
        </is>
      </c>
      <c r="D21" s="523" t="n">
        <v>44455</v>
      </c>
      <c r="E21" s="522" t="n"/>
      <c r="F21" s="522" t="n"/>
      <c r="G21" s="524" t="n">
        <v>65700</v>
      </c>
      <c r="H21" s="522" t="n"/>
      <c r="I21" s="522" t="n"/>
    </row>
    <row r="22">
      <c r="A22" s="521" t="n">
        <v>12</v>
      </c>
      <c r="B22" s="522" t="n"/>
      <c r="C22" s="522" t="inlineStr">
        <is>
          <t>I9794</t>
        </is>
      </c>
      <c r="D22" s="523" t="n">
        <v>44110</v>
      </c>
      <c r="E22" s="522" t="n"/>
      <c r="F22" s="522" t="n"/>
      <c r="G22" s="524" t="n">
        <v>1047700</v>
      </c>
      <c r="H22" s="522" t="n"/>
      <c r="I22" s="522" t="n"/>
    </row>
    <row r="23">
      <c r="A23" s="521" t="n">
        <v>13</v>
      </c>
      <c r="B23" s="522" t="n"/>
      <c r="C23" s="522" t="inlineStr">
        <is>
          <t>I12103</t>
        </is>
      </c>
      <c r="D23" s="523" t="n">
        <v>43810</v>
      </c>
      <c r="E23" s="522" t="n"/>
      <c r="F23" s="522" t="n"/>
      <c r="G23" s="524" t="n">
        <v>248568</v>
      </c>
      <c r="H23" s="522" t="n"/>
      <c r="I23" s="522" t="n"/>
    </row>
    <row r="24">
      <c r="A24" s="532" t="inlineStr">
        <is>
          <t>II. អាករលើតម្លៃបន្ថែមតាមវិធីគិតអាករជំនួស(Reverse Charge)</t>
        </is>
      </c>
      <c r="B24" s="533" t="n"/>
      <c r="C24" s="533" t="n"/>
      <c r="D24" s="533" t="n"/>
      <c r="E24" s="533" t="n"/>
      <c r="F24" s="533" t="n"/>
      <c r="G24" s="533" t="n"/>
      <c r="H24" s="533" t="n"/>
      <c r="I24" s="533" t="n"/>
    </row>
    <row r="25">
      <c r="A25" s="521" t="n">
        <v>1</v>
      </c>
      <c r="B25" s="522" t="inlineStr">
        <is>
          <t>Online serivce</t>
        </is>
      </c>
      <c r="C25" s="522" t="inlineStr">
        <is>
          <t>E0200Q7JM1</t>
        </is>
      </c>
      <c r="D25" s="523" t="n">
        <v>45323</v>
      </c>
      <c r="E25" s="522" t="n"/>
      <c r="F25" s="522" t="n"/>
      <c r="G25" s="524" t="n">
        <v>19108.4</v>
      </c>
      <c r="H25" s="521" t="inlineStr">
        <is>
          <t>អនុញ្ញាត (បានប្រកាស)</t>
        </is>
      </c>
      <c r="I25" s="524">
        <f>G25</f>
        <v/>
      </c>
    </row>
    <row r="26">
      <c r="A26" s="521" t="n">
        <v>2</v>
      </c>
      <c r="B26" s="522" t="inlineStr">
        <is>
          <t>Online service</t>
        </is>
      </c>
      <c r="C26" s="522" t="inlineStr">
        <is>
          <t>E0200QLN2T</t>
        </is>
      </c>
      <c r="D26" s="523" t="n">
        <v>45323</v>
      </c>
      <c r="E26" s="522" t="n"/>
      <c r="F26" s="522" t="n"/>
      <c r="G26" s="524" t="n">
        <v>19042.9</v>
      </c>
      <c r="H26" s="521" t="inlineStr">
        <is>
          <t>អនុញ្ញាត (បានប្រកាស)</t>
        </is>
      </c>
      <c r="I26" s="524">
        <f>G26</f>
        <v/>
      </c>
    </row>
    <row r="27">
      <c r="A27" s="521" t="n">
        <v>3</v>
      </c>
      <c r="B27" s="522" t="inlineStr">
        <is>
          <t>Software License</t>
        </is>
      </c>
      <c r="C27" s="522" t="inlineStr">
        <is>
          <t>0DS-20240221-CA2</t>
        </is>
      </c>
      <c r="D27" s="523" t="n">
        <v>45348</v>
      </c>
      <c r="E27" s="522" t="n"/>
      <c r="F27" s="522" t="n"/>
      <c r="G27" s="524" t="n">
        <v>203450</v>
      </c>
      <c r="H27" s="521" t="inlineStr">
        <is>
          <t>អនុញ្ញាត (បានប្រកាស)</t>
        </is>
      </c>
      <c r="I27" s="524">
        <f>G27</f>
        <v/>
      </c>
    </row>
    <row r="28">
      <c r="A28" s="521" t="n">
        <v>4</v>
      </c>
      <c r="B28" s="522" t="inlineStr">
        <is>
          <t>Online Service</t>
        </is>
      </c>
      <c r="C28" s="522" t="inlineStr">
        <is>
          <t>E0200QZF2G</t>
        </is>
      </c>
      <c r="D28" s="523" t="n">
        <v>45352</v>
      </c>
      <c r="E28" s="522" t="n"/>
      <c r="F28" s="522" t="n"/>
      <c r="G28" s="524" t="n">
        <v>18911.9</v>
      </c>
      <c r="H28" s="521" t="inlineStr">
        <is>
          <t>អនុញ្ញាត (បានប្រកាស)</t>
        </is>
      </c>
      <c r="I28" s="524">
        <f>G28</f>
        <v/>
      </c>
    </row>
    <row r="29">
      <c r="A29" s="521" t="n">
        <v>5</v>
      </c>
      <c r="B29" s="522" t="inlineStr">
        <is>
          <t>Online Service</t>
        </is>
      </c>
      <c r="C29" s="522" t="inlineStr">
        <is>
          <t>E0200RQFE7</t>
        </is>
      </c>
      <c r="D29" s="523" t="n">
        <v>45413</v>
      </c>
      <c r="E29" s="522" t="n"/>
      <c r="F29" s="522" t="n"/>
      <c r="G29" s="524" t="n">
        <v>19155.2</v>
      </c>
      <c r="H29" s="521" t="inlineStr">
        <is>
          <t>អនុញ្ញាត (បានប្រកាស)</t>
        </is>
      </c>
      <c r="I29" s="524">
        <f>G29</f>
        <v/>
      </c>
    </row>
    <row r="30">
      <c r="A30" s="521" t="n">
        <v>6</v>
      </c>
      <c r="B30" s="522" t="inlineStr">
        <is>
          <t>Online Service</t>
        </is>
      </c>
      <c r="C30" s="522" t="inlineStr">
        <is>
          <t>E0200S3K3G</t>
        </is>
      </c>
      <c r="D30" s="523" t="n">
        <v>45444</v>
      </c>
      <c r="E30" s="522" t="n"/>
      <c r="F30" s="522" t="n"/>
      <c r="G30" s="524" t="n">
        <v>19234.8</v>
      </c>
      <c r="H30" s="521" t="inlineStr">
        <is>
          <t>អនុញ្ញាត (បានប្រកាស)</t>
        </is>
      </c>
      <c r="I30" s="524">
        <f>G30</f>
        <v/>
      </c>
    </row>
    <row r="31">
      <c r="A31" s="521" t="n">
        <v>7</v>
      </c>
      <c r="B31" s="522" t="inlineStr">
        <is>
          <t>Online Service</t>
        </is>
      </c>
      <c r="C31" s="522" t="inlineStr">
        <is>
          <t>MRSKHLBWDI240001138</t>
        </is>
      </c>
      <c r="D31" s="523" t="n">
        <v>45474</v>
      </c>
      <c r="E31" s="522" t="n"/>
      <c r="F31" s="522" t="n"/>
      <c r="G31" s="524" t="n">
        <v>19225.4</v>
      </c>
      <c r="H31" s="521" t="inlineStr">
        <is>
          <t>អនុញ្ញាត (បានប្រកាស)</t>
        </is>
      </c>
      <c r="I31" s="524">
        <f>G31</f>
        <v/>
      </c>
    </row>
    <row r="32">
      <c r="A32" s="521" t="n">
        <v>8</v>
      </c>
      <c r="B32" s="522" t="inlineStr">
        <is>
          <t>Online Services</t>
        </is>
      </c>
      <c r="C32" s="522" t="inlineStr">
        <is>
          <t>MRSKHLBWDI240001705</t>
        </is>
      </c>
      <c r="D32" s="523" t="n">
        <v>45505</v>
      </c>
      <c r="E32" s="522" t="n"/>
      <c r="F32" s="522" t="n"/>
      <c r="G32" s="524" t="n">
        <v>18986.8</v>
      </c>
      <c r="H32" s="521" t="inlineStr">
        <is>
          <t>អនុញ្ញាត (បានប្រកាស)</t>
        </is>
      </c>
      <c r="I32" s="524">
        <f>G32</f>
        <v/>
      </c>
    </row>
    <row r="33">
      <c r="A33" s="521" t="n">
        <v>9</v>
      </c>
      <c r="B33" s="522" t="inlineStr">
        <is>
          <t>Online Services</t>
        </is>
      </c>
      <c r="C33" s="522" t="inlineStr">
        <is>
          <t>MRSKHLBWDI240002869</t>
        </is>
      </c>
      <c r="D33" s="523" t="n">
        <v>45563</v>
      </c>
      <c r="E33" s="522" t="n"/>
      <c r="F33" s="522" t="n"/>
      <c r="G33" s="524" t="n">
        <v>19005.5</v>
      </c>
      <c r="H33" s="521" t="inlineStr">
        <is>
          <t>អនុញ្ញាត (បានប្រកាស)</t>
        </is>
      </c>
      <c r="I33" s="524">
        <f>G33</f>
        <v/>
      </c>
    </row>
    <row r="34">
      <c r="A34" s="521" t="n">
        <v>10</v>
      </c>
      <c r="B34" s="522" t="inlineStr">
        <is>
          <t>Online Services</t>
        </is>
      </c>
      <c r="C34" s="522" t="inlineStr">
        <is>
          <t>MRSKHLBWDI240002295</t>
        </is>
      </c>
      <c r="D34" s="523" t="n">
        <v>45536</v>
      </c>
      <c r="E34" s="522" t="n"/>
      <c r="F34" s="522" t="n"/>
      <c r="G34" s="524" t="n">
        <v>19005.5</v>
      </c>
      <c r="H34" s="521" t="inlineStr">
        <is>
          <t>អនុញ្ញាត (បានប្រកាស)</t>
        </is>
      </c>
      <c r="I34" s="524">
        <f>G34</f>
        <v/>
      </c>
    </row>
    <row r="35">
      <c r="A35" s="521" t="n">
        <v>11</v>
      </c>
      <c r="B35" s="522" t="inlineStr">
        <is>
          <t>Online Services</t>
        </is>
      </c>
      <c r="C35" s="522" t="inlineStr">
        <is>
          <t>MRSKHLBWDI240003414</t>
        </is>
      </c>
      <c r="D35" s="523" t="n">
        <v>45593</v>
      </c>
      <c r="E35" s="522" t="n"/>
      <c r="F35" s="522" t="n"/>
      <c r="G35" s="524" t="n">
        <v>19014.8</v>
      </c>
      <c r="H35" s="521" t="inlineStr">
        <is>
          <t>អនុញ្ញាត (បានប្រកាស)</t>
        </is>
      </c>
      <c r="I35" s="524">
        <f>G35</f>
        <v/>
      </c>
    </row>
    <row r="36">
      <c r="A36" s="521" t="n">
        <v>12</v>
      </c>
      <c r="B36" s="522" t="inlineStr">
        <is>
          <t>Online Service</t>
        </is>
      </c>
      <c r="C36" s="522" t="inlineStr">
        <is>
          <t>MRSKHLBWDI240003965</t>
        </is>
      </c>
      <c r="D36" s="523" t="n">
        <v>45624</v>
      </c>
      <c r="E36" s="522" t="n"/>
      <c r="F36" s="522" t="n"/>
      <c r="G36" s="524" t="n">
        <v>18851</v>
      </c>
      <c r="H36" s="521" t="inlineStr">
        <is>
          <t>អនុញ្ញាត (បានប្រកាស)</t>
        </is>
      </c>
      <c r="I36" s="524">
        <f>G36</f>
        <v/>
      </c>
    </row>
    <row r="37">
      <c r="A37" s="521" t="n">
        <v>13</v>
      </c>
      <c r="B37" s="522" t="inlineStr">
        <is>
          <t>Online Services</t>
        </is>
      </c>
      <c r="C37" s="522" t="inlineStr">
        <is>
          <t>MRSKHLBWDI240004573</t>
        </is>
      </c>
      <c r="D37" s="523" t="n">
        <v>45654</v>
      </c>
      <c r="E37" s="522" t="n"/>
      <c r="F37" s="522" t="n"/>
      <c r="G37" s="524" t="n">
        <v>18837</v>
      </c>
      <c r="H37" s="521" t="inlineStr">
        <is>
          <t>អនុញ្ញាត (បានប្រកាស)</t>
        </is>
      </c>
      <c r="I37" s="524">
        <f>G37</f>
        <v/>
      </c>
    </row>
    <row r="38">
      <c r="A38" s="525" t="inlineStr">
        <is>
          <t>សរុបអាករលើការនាំចូល ឬ អាករលើតម្លៃបន្ថែមតាមវិធីគិតអាករជំនួស(Reverse Charge)</t>
        </is>
      </c>
      <c r="B38" s="526" t="n"/>
      <c r="C38" s="526" t="n"/>
      <c r="D38" s="526" t="n"/>
      <c r="E38" s="526" t="n"/>
      <c r="F38" s="526" t="n"/>
      <c r="G38" s="527">
        <f>SUM(G11:G37)</f>
        <v/>
      </c>
      <c r="H38" s="534" t="inlineStr">
        <is>
          <t>សរុបទឺកប្រាក់អនុញ្ញាត</t>
        </is>
      </c>
      <c r="I38" s="527">
        <f>SUM(I11:I37)</f>
        <v/>
      </c>
    </row>
    <row r="40">
      <c r="E40" s="528" t="inlineStr">
        <is>
          <t>រាជធានីភ្នំពេញ.ថ្ងៃទី           ខែ           ឆ្នាំ</t>
        </is>
      </c>
    </row>
    <row r="41">
      <c r="E41" s="528" t="inlineStr">
        <is>
          <t>មន្ត្រីសវនកម្ម</t>
        </is>
      </c>
    </row>
    <row r="43">
      <c r="E43" s="528">
        <f>'Company information'!D9</f>
        <v/>
      </c>
      <c r="I43" s="528">
        <f>'Company information'!E9</f>
        <v/>
      </c>
    </row>
  </sheetData>
  <autoFilter ref="A9:I9"/>
  <mergeCells count="19">
    <mergeCell ref="A7:A8"/>
    <mergeCell ref="G7:G8"/>
    <mergeCell ref="A3:I3"/>
    <mergeCell ref="I7:I8"/>
    <mergeCell ref="H4:I4"/>
    <mergeCell ref="A2:I2"/>
    <mergeCell ref="H6:I6"/>
    <mergeCell ref="E43:H43"/>
    <mergeCell ref="H7:H8"/>
    <mergeCell ref="E40:I40"/>
    <mergeCell ref="A38:F38"/>
    <mergeCell ref="A10:I10"/>
    <mergeCell ref="A24:I24"/>
    <mergeCell ref="C7:D7"/>
    <mergeCell ref="E7:F7"/>
    <mergeCell ref="A1:I1"/>
    <mergeCell ref="B7:B8"/>
    <mergeCell ref="E41:I41"/>
    <mergeCell ref="H5:I5"/>
  </mergeCells>
  <printOptions horizontalCentered="1"/>
  <pageMargins left="0.196850393700787" right="0.196850393700787" top="0.16" bottom="0.45" header="0.51" footer="0.196850393700787"/>
  <pageSetup orientation="portrait" paperSize="9" scale="55" fitToHeight="0" horizontalDpi="12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O4475"/>
  <sheetViews>
    <sheetView tabSelected="1" zoomScale="40" zoomScaleNormal="40" zoomScaleSheetLayoutView="70" workbookViewId="0">
      <pane xSplit="1" ySplit="8" topLeftCell="Q9" activePane="bottomRight" state="frozen"/>
      <selection pane="topRight" activeCell="B1" sqref="B1"/>
      <selection pane="bottomLeft" activeCell="A10" sqref="A10"/>
      <selection pane="bottomRight" activeCell="L11" sqref="L11"/>
    </sheetView>
  </sheetViews>
  <sheetFormatPr baseColWidth="8" defaultColWidth="9.109375" defaultRowHeight="22.8"/>
  <cols>
    <col width="12.109375" customWidth="1" style="402" min="1" max="1"/>
    <col width="47" customWidth="1" style="198" min="2" max="2"/>
    <col width="31.6640625" customWidth="1" style="198" min="3" max="3"/>
    <col width="23" bestFit="1" customWidth="1" style="402" min="4" max="4"/>
    <col width="20.44140625" customWidth="1" style="402" min="5" max="5"/>
    <col width="14" customWidth="1" style="198" min="6" max="6"/>
    <col hidden="1" width="20.109375" customWidth="1" style="198" min="7" max="7"/>
    <col hidden="1" width="20.109375" customWidth="1" style="535" min="8" max="8"/>
    <col width="18.6640625" customWidth="1" style="198" min="9" max="9"/>
    <col width="23.109375" bestFit="1" customWidth="1" style="198" min="10" max="10"/>
    <col width="13.88671875" customWidth="1" style="198" min="11" max="11"/>
    <col width="35.33203125" bestFit="1" customWidth="1" style="536" min="12" max="12"/>
    <col width="16.6640625" bestFit="1" customWidth="1" style="536" min="13" max="13"/>
    <col width="34.109375" customWidth="1" style="536" min="14" max="14"/>
    <col width="15" customWidth="1" style="198" min="15" max="15"/>
    <col width="32.5546875" customWidth="1" style="198" min="16" max="16"/>
    <col width="26.33203125" customWidth="1" style="198" min="17" max="17"/>
    <col width="18.33203125" bestFit="1" customWidth="1" style="198" min="18" max="18"/>
    <col width="13.33203125" customWidth="1" style="280" min="19" max="19"/>
    <col width="13.5546875" bestFit="1" customWidth="1" style="536" min="20" max="20"/>
    <col width="23.109375" bestFit="1" customWidth="1" style="536" min="21" max="21"/>
    <col width="47.88671875" customWidth="1" style="536" min="22" max="22"/>
    <col width="10.21875" customWidth="1" style="536" min="23" max="23"/>
    <col width="23.88671875" customWidth="1" style="536" min="24" max="24"/>
    <col width="16.33203125" customWidth="1" style="536" min="25" max="25"/>
    <col width="25.109375" customWidth="1" style="536" min="26" max="26"/>
    <col width="23.109375" customWidth="1" style="536" min="27" max="27"/>
    <col width="19" customWidth="1" style="536" min="28" max="28"/>
    <col width="18" customWidth="1" style="536" min="29" max="29"/>
    <col width="19" customWidth="1" style="536" min="30" max="30"/>
    <col width="15.88671875" customWidth="1" style="536" min="31" max="31"/>
    <col width="14.44140625" customWidth="1" style="198" min="32" max="32"/>
    <col width="9.109375" customWidth="1" style="198" min="33" max="16384"/>
  </cols>
  <sheetData>
    <row r="1" ht="24.6" customFormat="1" customHeight="1" s="275">
      <c r="A1" s="391" t="inlineStr">
        <is>
          <t>តារាងឧបសម្ព័ន្ធ III</t>
        </is>
      </c>
      <c r="M1" s="537" t="n"/>
      <c r="N1" s="537" t="n"/>
      <c r="T1" s="537" t="n"/>
      <c r="U1" s="537" t="n"/>
      <c r="V1" s="537" t="n"/>
      <c r="W1" s="537" t="n"/>
      <c r="X1" s="537" t="n"/>
      <c r="Y1" s="537" t="n"/>
      <c r="Z1" s="537" t="n"/>
      <c r="AA1" s="537" t="n"/>
      <c r="AB1" s="537" t="n"/>
      <c r="AC1" s="537" t="n"/>
      <c r="AD1" s="537" t="n"/>
      <c r="AE1" s="537" t="n"/>
    </row>
    <row r="2" ht="24.6" customFormat="1" customHeight="1" s="275">
      <c r="A2" s="391" t="inlineStr">
        <is>
          <t>តារាងផ្ទៀងផ្ទាត់បញ្ជាក់អំពីអាករលើធាតុចូលដែលអាចស្នើសុំជាឥណទាន</t>
        </is>
      </c>
      <c r="M2" s="537" t="n"/>
      <c r="N2" s="537" t="n"/>
      <c r="T2" s="537" t="n"/>
      <c r="U2" s="537" t="n"/>
      <c r="V2" s="537" t="n"/>
      <c r="W2" s="537" t="n"/>
      <c r="X2" s="537" t="n"/>
      <c r="Y2" s="537" t="n"/>
      <c r="Z2" s="537" t="n"/>
      <c r="AA2" s="537" t="n"/>
      <c r="AB2" s="537" t="n"/>
      <c r="AC2" s="537" t="n"/>
      <c r="AD2" s="537" t="n"/>
      <c r="AE2" s="537" t="n"/>
    </row>
    <row r="3" ht="24.6" customFormat="1" customHeight="1" s="275">
      <c r="A3" s="391" t="inlineStr">
        <is>
          <t>(ការទិញក្នុងស្រុក)</t>
        </is>
      </c>
      <c r="M3" s="537" t="n"/>
      <c r="N3" s="537" t="n"/>
      <c r="T3" s="537" t="n"/>
      <c r="U3" s="537" t="n"/>
      <c r="V3" s="537" t="n"/>
      <c r="W3" s="537" t="n"/>
      <c r="X3" s="537" t="n"/>
      <c r="Y3" s="537" t="n"/>
      <c r="Z3" s="537" t="n"/>
      <c r="AA3" s="537" t="n"/>
      <c r="AB3" s="537" t="n"/>
      <c r="AC3" s="537" t="n"/>
      <c r="AD3" s="537" t="n"/>
      <c r="AE3" s="537" t="n"/>
    </row>
    <row r="4" ht="24.6" customFormat="1" customHeight="1" s="275">
      <c r="A4" s="276" t="inlineStr">
        <is>
          <t>ក្រុមហ៊ុន៖</t>
        </is>
      </c>
      <c r="B4" s="265">
        <f>'Company information'!D2</f>
        <v/>
      </c>
      <c r="D4" s="266" t="n"/>
      <c r="E4" s="267" t="n"/>
      <c r="F4" s="263" t="n"/>
      <c r="H4" s="538" t="n"/>
      <c r="I4" s="539" t="inlineStr">
        <is>
          <t xml:space="preserve">សវនករពន្ធដារ៖ </t>
        </is>
      </c>
      <c r="K4" s="540">
        <f>'Company information'!D8</f>
        <v/>
      </c>
      <c r="L4" s="537" t="n"/>
      <c r="M4" s="537" t="n"/>
      <c r="N4" s="537" t="n"/>
      <c r="T4" s="537" t="n"/>
      <c r="U4" s="537" t="n"/>
      <c r="V4" s="537" t="n"/>
      <c r="W4" s="537" t="n"/>
      <c r="X4" s="537" t="n"/>
      <c r="Y4" s="537" t="n"/>
      <c r="Z4" s="537" t="n"/>
      <c r="AA4" s="537" t="n"/>
      <c r="AB4" s="537" t="n"/>
      <c r="AC4" s="537" t="n"/>
      <c r="AD4" s="537" t="n"/>
      <c r="AE4" s="537" t="n"/>
    </row>
    <row r="5" ht="24.6" customFormat="1" customHeight="1" s="275">
      <c r="A5" s="270" t="inlineStr">
        <is>
          <t>លេខ អតប៖</t>
        </is>
      </c>
      <c r="B5" s="265">
        <f>'Company information'!D4</f>
        <v/>
      </c>
      <c r="D5" s="266" t="n"/>
      <c r="E5" s="267" t="n"/>
      <c r="F5" s="266" t="n"/>
      <c r="G5" s="538" t="n"/>
      <c r="H5" s="538" t="n"/>
      <c r="K5" s="540">
        <f>'Company information'!E8</f>
        <v/>
      </c>
      <c r="L5" s="541" t="inlineStr">
        <is>
          <t>FOR REPORT</t>
        </is>
      </c>
      <c r="M5" s="542" t="n"/>
      <c r="N5" s="542" t="n"/>
      <c r="O5" s="542" t="n"/>
      <c r="P5" s="542" t="n"/>
      <c r="Q5" s="543" t="n"/>
      <c r="R5" s="401" t="inlineStr">
        <is>
          <t>សម្គាល់ផ្សេងៗ</t>
        </is>
      </c>
      <c r="S5" s="543" t="n"/>
      <c r="T5" s="544" t="inlineStr">
        <is>
          <t>បញ្ចូលទិន្នន័យ</t>
        </is>
      </c>
    </row>
    <row r="6" ht="24.6" customFormat="1" customHeight="1" s="275">
      <c r="A6" s="545">
        <f>'Company information'!H8</f>
        <v/>
      </c>
      <c r="B6" s="265" t="n"/>
      <c r="D6" s="266" t="n"/>
      <c r="E6" s="267" t="n"/>
      <c r="F6" s="263" t="n"/>
      <c r="H6" s="538" t="n"/>
      <c r="I6" s="546" t="inlineStr">
        <is>
          <t>ទឹកប្រាក់ស្នើសុំបង្វិលសងចំនួន៖</t>
        </is>
      </c>
      <c r="J6" s="396">
        <f>'Company information'!H9</f>
        <v/>
      </c>
      <c r="K6" s="529" t="n"/>
      <c r="L6" s="547" t="n"/>
      <c r="M6" s="529" t="n"/>
      <c r="N6" s="529" t="n"/>
      <c r="O6" s="529" t="n"/>
      <c r="P6" s="529" t="n"/>
      <c r="Q6" s="548" t="n"/>
      <c r="R6" s="547" t="n"/>
      <c r="S6" s="548" t="n"/>
      <c r="T6" s="549" t="n"/>
      <c r="U6" s="550" t="n"/>
      <c r="V6" s="550" t="n"/>
      <c r="W6" s="550" t="n"/>
      <c r="X6" s="550" t="n"/>
      <c r="Y6" s="550" t="n"/>
      <c r="Z6" s="550" t="n"/>
      <c r="AA6" s="550" t="n"/>
      <c r="AB6" s="550" t="n"/>
      <c r="AC6" s="550" t="n"/>
      <c r="AD6" s="550" t="n"/>
      <c r="AE6" s="550" t="n"/>
      <c r="AF6" s="550" t="n"/>
      <c r="AG6" s="550" t="n"/>
      <c r="AH6" s="550" t="n"/>
      <c r="AI6" s="550" t="n"/>
      <c r="AJ6" s="550" t="n"/>
      <c r="AK6" s="550" t="n"/>
      <c r="AL6" s="550" t="n"/>
      <c r="AM6" s="550" t="n"/>
      <c r="AN6" s="550" t="n"/>
      <c r="AO6" s="550" t="n"/>
    </row>
    <row r="7" ht="25.2" customHeight="1" s="331">
      <c r="A7" s="210" t="inlineStr">
        <is>
          <t>ល.រ</t>
        </is>
      </c>
      <c r="B7" s="210" t="inlineStr">
        <is>
          <t>បរិយាយ</t>
        </is>
      </c>
      <c r="C7" s="210" t="inlineStr">
        <is>
          <t>អ្នកផ្គត់ផ្គង់</t>
        </is>
      </c>
      <c r="D7" s="551" t="inlineStr">
        <is>
          <t>លេខ អតប</t>
        </is>
      </c>
      <c r="E7" s="210" t="inlineStr">
        <is>
          <t>វិក្កយបត្រ</t>
        </is>
      </c>
      <c r="F7" s="519" t="n"/>
      <c r="G7" s="210" t="inlineStr">
        <is>
          <t>ទឹកប្រាក់អាករ</t>
        </is>
      </c>
      <c r="H7" s="531" t="n"/>
      <c r="I7" s="519" t="n"/>
      <c r="J7" s="386" t="inlineStr">
        <is>
          <t>ស្ថានភាព</t>
        </is>
      </c>
      <c r="K7" s="551" t="inlineStr">
        <is>
          <t>ផ្សេង (សម្គាល់)</t>
        </is>
      </c>
      <c r="L7" s="552" t="n"/>
      <c r="O7" s="390" t="inlineStr">
        <is>
          <t>VAR INVOICE
T/F</t>
        </is>
      </c>
      <c r="P7" s="388" t="inlineStr">
        <is>
          <t>VAR. DATE
T/F</t>
        </is>
      </c>
      <c r="Q7" s="390" t="inlineStr">
        <is>
          <t>VAR. SUPPLIER &amp; PUCHASER</t>
        </is>
      </c>
      <c r="R7" s="553" t="inlineStr">
        <is>
          <t>តេស្តទឹកប្រាក់លម្អៀង</t>
        </is>
      </c>
      <c r="S7" s="386" t="inlineStr">
        <is>
          <t>សម្កាល់</t>
        </is>
      </c>
      <c r="T7" s="510" t="inlineStr">
        <is>
          <t>កាលបរិច្ឆេទ</t>
        </is>
      </c>
      <c r="U7" s="510" t="inlineStr">
        <is>
          <t>លេខវិក្កយបត្រ ឬប្រតិវេទគយ</t>
        </is>
      </c>
      <c r="V7" s="510" t="inlineStr">
        <is>
          <t>លេខលិខិតជូនដំណឹងឥណទាន</t>
        </is>
      </c>
      <c r="W7" s="510" t="inlineStr">
        <is>
          <t>អ្នកទិញ</t>
        </is>
      </c>
      <c r="X7" s="507" t="n"/>
      <c r="Y7" s="508" t="n"/>
      <c r="Z7" s="510" t="inlineStr">
        <is>
          <t>តម្លៃសរុបលើវិក្កយបត្រ</t>
        </is>
      </c>
      <c r="AA7" s="510" t="inlineStr">
        <is>
          <t>តម្លៃ​​មិន​រួមអតប និងមិនជាប់​អតប​</t>
        </is>
      </c>
      <c r="AB7" s="508" t="n"/>
      <c r="AC7" s="510" t="inlineStr">
        <is>
          <t xml:space="preserve">អាករលើតម្លៃបន្ថែមអត្រា ០% </t>
        </is>
      </c>
      <c r="AD7" s="510" t="inlineStr">
        <is>
          <t>អាករលើតម្លៃបន្ថែម</t>
        </is>
      </c>
      <c r="AE7" s="508" t="n"/>
      <c r="AF7" s="510" t="inlineStr">
        <is>
          <t>អាករលើតម្លៃបន្ថែម(បន្ទុករដ្ឋ)</t>
        </is>
      </c>
      <c r="AG7" s="510" t="inlineStr">
        <is>
          <t>អតប កាត់ទុកដោយរតនាគារជាតិ</t>
        </is>
      </c>
      <c r="AH7" s="510" t="inlineStr">
        <is>
          <t>អាករបំភ្លឺសាធារណៈ</t>
        </is>
      </c>
      <c r="AI7" s="510" t="inlineStr">
        <is>
          <t>អាករពិសេសលើទំនិញមួយចំនួន</t>
        </is>
      </c>
      <c r="AJ7" s="510" t="inlineStr">
        <is>
          <t>អាករពិសេសលើសេវាមួយចំនួន</t>
        </is>
      </c>
      <c r="AK7" s="510" t="inlineStr">
        <is>
          <t>អាករលើការស្នាក់នៅ</t>
        </is>
      </c>
      <c r="AL7" s="510" t="inlineStr">
        <is>
          <t>អត្រាប្រាក់រំដោះពន្ធលើប្រាក់ចំណូល</t>
        </is>
      </c>
      <c r="AM7" s="510" t="inlineStr">
        <is>
          <t>កំណត់សម្គាល់</t>
        </is>
      </c>
      <c r="AN7" s="510" t="inlineStr">
        <is>
          <t>បរិយាយ</t>
        </is>
      </c>
      <c r="AO7" s="510" t="inlineStr">
        <is>
          <t>ស្ថានភាពប្រកាសពន្ធ</t>
        </is>
      </c>
    </row>
    <row r="8" ht="25.2" customHeight="1" s="331">
      <c r="A8" s="520" t="n"/>
      <c r="B8" s="520" t="n"/>
      <c r="C8" s="520" t="n"/>
      <c r="D8" s="520" t="n"/>
      <c r="E8" s="210" t="inlineStr">
        <is>
          <t>លេខ</t>
        </is>
      </c>
      <c r="F8" s="210" t="inlineStr">
        <is>
          <t>ថ្ងៃ ខែ ឆ្នាំ</t>
        </is>
      </c>
      <c r="G8" s="210" t="inlineStr">
        <is>
          <t>ជាដុល្លារអាមេរិក</t>
        </is>
      </c>
      <c r="H8" s="554" t="inlineStr">
        <is>
          <t>អត្រា</t>
        </is>
      </c>
      <c r="I8" s="554" t="inlineStr">
        <is>
          <t>ជារៀល</t>
        </is>
      </c>
      <c r="J8" s="555" t="n"/>
      <c r="K8" s="520" t="n"/>
      <c r="L8" s="547" t="n"/>
      <c r="O8" s="520" t="n"/>
      <c r="P8" s="555" t="n"/>
      <c r="Q8" s="520" t="n"/>
      <c r="R8" s="520" t="n"/>
      <c r="S8" s="555" t="n"/>
      <c r="T8" s="509" t="n"/>
      <c r="U8" s="509" t="n"/>
      <c r="V8" s="509" t="n"/>
      <c r="W8" s="510" t="inlineStr">
        <is>
          <t>ប្រភេទ</t>
        </is>
      </c>
      <c r="X8" s="510" t="inlineStr">
        <is>
          <t>លេខសម្គាល់ចុះបញ្ជីពន្ធដា</t>
        </is>
      </c>
      <c r="Y8" s="510" t="inlineStr">
        <is>
          <t>ឈ្មោះ</t>
        </is>
      </c>
      <c r="Z8" s="509" t="n"/>
      <c r="AA8" s="510" t="inlineStr">
        <is>
          <t>តម្លៃមិនរួមអតប</t>
        </is>
      </c>
      <c r="AB8" s="510" t="inlineStr">
        <is>
          <t>ការលក់មិនជាប់អតប</t>
        </is>
      </c>
      <c r="AC8" s="509" t="n"/>
      <c r="AD8" s="510" t="inlineStr">
        <is>
          <t>ការលក់ក្នុងស្រុក</t>
        </is>
      </c>
      <c r="AE8" s="510" t="inlineStr">
        <is>
          <t>អតបលើការនាំចេញ</t>
        </is>
      </c>
      <c r="AF8" s="509" t="n"/>
      <c r="AG8" s="509" t="n"/>
      <c r="AH8" s="509" t="n"/>
      <c r="AI8" s="509" t="n"/>
      <c r="AJ8" s="509" t="n"/>
      <c r="AK8" s="509" t="n"/>
      <c r="AL8" s="509" t="n"/>
      <c r="AM8" s="509" t="n"/>
      <c r="AN8" s="509" t="n"/>
      <c r="AO8" s="509" t="n"/>
    </row>
    <row r="9">
      <c r="A9" s="521" t="n">
        <v>1</v>
      </c>
      <c r="B9" s="522" t="n"/>
      <c r="C9" s="522" t="inlineStr">
        <is>
          <t>អ៊ីជីអេហ្វ ឡូជីស្ទីក ខូ អិលធីឌី</t>
        </is>
      </c>
      <c r="D9" s="522" t="inlineStr">
        <is>
          <t>L001-901501877</t>
        </is>
      </c>
      <c r="E9" s="521" t="inlineStr">
        <is>
          <t>2001007</t>
        </is>
      </c>
      <c r="F9" s="523" t="n">
        <v>43861</v>
      </c>
      <c r="G9" s="556" t="n">
        <v>279450</v>
      </c>
      <c r="I9" s="521">
        <f>G9</f>
        <v/>
      </c>
      <c r="K9" s="521">
        <f>I9-G9</f>
        <v/>
      </c>
      <c r="M9" s="522" t="inlineStr">
        <is>
          <t>2001007</t>
        </is>
      </c>
      <c r="N9" s="522" t="inlineStr">
        <is>
          <t>2001007</t>
        </is>
      </c>
      <c r="O9" s="521">
        <f>M9=N9</f>
        <v/>
      </c>
      <c r="P9" s="521">
        <f>AND(MONTH(F9)=MONTH(S9), YEAR(F9)=YEAR(S9))</f>
        <v/>
      </c>
      <c r="Q9" s="521">
        <f>U9="L001-901905215"</f>
        <v/>
      </c>
      <c r="R9" s="556">
        <f>G9-W9</f>
        <v/>
      </c>
      <c r="S9" s="523" t="n">
        <v>43861</v>
      </c>
      <c r="T9" s="522" t="inlineStr">
        <is>
          <t>2001007</t>
        </is>
      </c>
      <c r="U9" s="522" t="inlineStr">
        <is>
          <t>L001-901905215</t>
        </is>
      </c>
      <c r="V9" s="522" t="inlineStr">
        <is>
          <t>វីអ៊ីស៊ិន (ខេមបូឌា) អ៊ិនដាសស្ទ្រី ឯ.ក</t>
        </is>
      </c>
      <c r="W9" s="556" t="n">
        <v>279450</v>
      </c>
    </row>
    <row r="10">
      <c r="A10" s="521" t="n">
        <v>2</v>
      </c>
      <c r="B10" s="522" t="n"/>
      <c r="C10" s="522" t="inlineStr">
        <is>
          <t>អិនខេ ត្រេឌីង (ខេមបូឌា) ឯ.ក</t>
        </is>
      </c>
      <c r="D10" s="522" t="inlineStr">
        <is>
          <t>K009-901700707</t>
        </is>
      </c>
      <c r="E10" s="521" t="inlineStr">
        <is>
          <t>NK00006</t>
        </is>
      </c>
      <c r="F10" s="523" t="n">
        <v>43844</v>
      </c>
      <c r="G10" s="556" t="n">
        <v>406000</v>
      </c>
      <c r="I10" s="521">
        <f>G10</f>
        <v/>
      </c>
      <c r="K10" s="521">
        <f>I10-G10</f>
        <v/>
      </c>
      <c r="M10" s="522" t="inlineStr">
        <is>
          <t>NK00006</t>
        </is>
      </c>
      <c r="N10" s="522" t="inlineStr">
        <is>
          <t>NK00006</t>
        </is>
      </c>
      <c r="O10" s="521">
        <f>M10=N10</f>
        <v/>
      </c>
      <c r="P10" s="521">
        <f>AND(MONTH(F10)=MONTH(S10), YEAR(F10)=YEAR(S10))</f>
        <v/>
      </c>
      <c r="Q10" s="521">
        <f>U10="L001-901905215"</f>
        <v/>
      </c>
      <c r="R10" s="556">
        <f>G10-W10</f>
        <v/>
      </c>
      <c r="S10" s="523" t="n">
        <v>43844</v>
      </c>
      <c r="T10" s="522" t="inlineStr">
        <is>
          <t>NK-00006</t>
        </is>
      </c>
      <c r="U10" s="522" t="inlineStr">
        <is>
          <t>L001-901905215</t>
        </is>
      </c>
      <c r="V10" s="522" t="inlineStr">
        <is>
          <t>វីអ៊ីស៊ិន (ខេមបូឌា) អ៊ិនដាសស្ទ្រី ឯ.ក</t>
        </is>
      </c>
      <c r="W10" s="556" t="n">
        <v>405000</v>
      </c>
    </row>
    <row r="11">
      <c r="A11" s="521" t="n">
        <v>3</v>
      </c>
      <c r="B11" s="522" t="n"/>
      <c r="C11" s="522" t="inlineStr">
        <is>
          <t>ថេកអេស៊ីស៊ី ផេភើរ សឺវីស ខនសាល់ធេន ឯ.ក</t>
        </is>
      </c>
      <c r="D11" s="522" t="inlineStr">
        <is>
          <t>K004-901801112</t>
        </is>
      </c>
      <c r="E11" s="521" t="inlineStr">
        <is>
          <t>000013</t>
        </is>
      </c>
      <c r="F11" s="523" t="n">
        <v>43840</v>
      </c>
      <c r="G11" s="556" t="n">
        <v>162800</v>
      </c>
      <c r="I11" s="521">
        <f>G11</f>
        <v/>
      </c>
      <c r="K11" s="521">
        <f>I11-G11</f>
        <v/>
      </c>
      <c r="M11" s="522" t="inlineStr">
        <is>
          <t>000013</t>
        </is>
      </c>
      <c r="N11" s="522" t="inlineStr">
        <is>
          <t>000013</t>
        </is>
      </c>
      <c r="O11" s="521">
        <f>M11=N11</f>
        <v/>
      </c>
      <c r="P11" s="521">
        <f>AND(MONTH(F11)=MONTH(S11), YEAR(F11)=YEAR(S11))</f>
        <v/>
      </c>
      <c r="Q11" s="521">
        <f>U11="L001-901905215"</f>
        <v/>
      </c>
      <c r="R11" s="556">
        <f>G11-W11</f>
        <v/>
      </c>
      <c r="S11" s="523" t="n">
        <v>43840</v>
      </c>
      <c r="T11" s="522" t="inlineStr">
        <is>
          <t>000013</t>
        </is>
      </c>
      <c r="U11" s="522" t="inlineStr">
        <is>
          <t>L001-901905215</t>
        </is>
      </c>
      <c r="V11" s="522" t="inlineStr">
        <is>
          <t>វីអ៊ីស៊ិន (ខេមបូឌា) អ៊ិនដាសស្ទ្រី ឯ.ក</t>
        </is>
      </c>
      <c r="W11" s="556" t="n">
        <v>162800</v>
      </c>
    </row>
    <row r="12">
      <c r="A12" s="521" t="n">
        <v>4</v>
      </c>
      <c r="B12" s="522" t="n"/>
      <c r="C12" s="522" t="inlineStr">
        <is>
          <t>ប្យួរ៉ូ វេរីតាស (ខេមបូឌា) លីមីធីត</t>
        </is>
      </c>
      <c r="D12" s="522" t="inlineStr">
        <is>
          <t>L001-107024462</t>
        </is>
      </c>
      <c r="E12" s="521" t="inlineStr">
        <is>
          <t>59006679</t>
        </is>
      </c>
      <c r="F12" s="523" t="n">
        <v>43861</v>
      </c>
      <c r="G12" s="556" t="n">
        <v>67073</v>
      </c>
      <c r="I12" s="521">
        <f>G12</f>
        <v/>
      </c>
      <c r="K12" s="521">
        <f>I12-G12</f>
        <v/>
      </c>
      <c r="M12" s="522" t="inlineStr">
        <is>
          <t>59006679</t>
        </is>
      </c>
      <c r="N12" s="522" t="inlineStr">
        <is>
          <t>59006679</t>
        </is>
      </c>
      <c r="O12" s="521">
        <f>M12=N12</f>
        <v/>
      </c>
      <c r="P12" s="521">
        <f>AND(MONTH(F12)=MONTH(S12), YEAR(F12)=YEAR(S12))</f>
        <v/>
      </c>
      <c r="Q12" s="521">
        <f>U12="L001-901905215"</f>
        <v/>
      </c>
      <c r="R12" s="556">
        <f>G12-W12</f>
        <v/>
      </c>
      <c r="S12" s="523" t="n">
        <v>43861</v>
      </c>
      <c r="T12" s="522" t="inlineStr">
        <is>
          <t>59006679</t>
        </is>
      </c>
      <c r="U12" s="522" t="inlineStr">
        <is>
          <t>L001-901905215</t>
        </is>
      </c>
      <c r="V12" s="522" t="inlineStr">
        <is>
          <t>វីអ៊ីស៊ិន (ខេមបូឌា) អ៊ិនដាសស្ទ្រី ឯ.ក</t>
        </is>
      </c>
      <c r="W12" s="556" t="n">
        <v>67072</v>
      </c>
    </row>
    <row r="13">
      <c r="A13" s="521" t="n">
        <v>5</v>
      </c>
      <c r="B13" s="522" t="n"/>
      <c r="C13" s="522" t="inlineStr">
        <is>
          <t>ប្យួរ៉ូ វេរីតាស (ខេមបូឌា) លីមីធីត</t>
        </is>
      </c>
      <c r="D13" s="522" t="inlineStr">
        <is>
          <t>L001-107024462</t>
        </is>
      </c>
      <c r="E13" s="521" t="inlineStr">
        <is>
          <t>59006668</t>
        </is>
      </c>
      <c r="F13" s="523" t="n">
        <v>43861</v>
      </c>
      <c r="G13" s="556" t="n">
        <v>102845</v>
      </c>
      <c r="I13" s="521">
        <f>G13</f>
        <v/>
      </c>
      <c r="K13" s="521">
        <f>I13-G13</f>
        <v/>
      </c>
      <c r="M13" s="522" t="inlineStr">
        <is>
          <t>59006668</t>
        </is>
      </c>
      <c r="N13" s="522" t="inlineStr">
        <is>
          <t>59006668</t>
        </is>
      </c>
      <c r="O13" s="521">
        <f>M13=N13</f>
        <v/>
      </c>
      <c r="P13" s="521">
        <f>AND(MONTH(F13)=MONTH(S13), YEAR(F13)=YEAR(S13))</f>
        <v/>
      </c>
      <c r="Q13" s="521">
        <f>U13="L001-901905215"</f>
        <v/>
      </c>
      <c r="R13" s="556">
        <f>G13-W13</f>
        <v/>
      </c>
      <c r="S13" s="523" t="n">
        <v>43861</v>
      </c>
      <c r="T13" s="522" t="inlineStr">
        <is>
          <t>59006668</t>
        </is>
      </c>
      <c r="U13" s="522" t="inlineStr">
        <is>
          <t>L001-901905215</t>
        </is>
      </c>
      <c r="V13" s="522" t="inlineStr">
        <is>
          <t>វីអ៊ីស៊ិន (ខេមបូឌា) អ៊ិនដាសស្ទ្រី ឯ.ក</t>
        </is>
      </c>
      <c r="W13" s="556" t="n">
        <v>102844</v>
      </c>
    </row>
    <row r="14">
      <c r="A14" s="521" t="n">
        <v>6</v>
      </c>
      <c r="B14" s="522" t="n"/>
      <c r="C14" s="522" t="inlineStr">
        <is>
          <t>ប្យួរ៉ូ វេរីតាស (ខេមបូឌា) លីមីធីត</t>
        </is>
      </c>
      <c r="D14" s="522" t="inlineStr">
        <is>
          <t>L001-107024462</t>
        </is>
      </c>
      <c r="E14" s="521" t="inlineStr">
        <is>
          <t>59006650</t>
        </is>
      </c>
      <c r="F14" s="523" t="n">
        <v>43860</v>
      </c>
      <c r="G14" s="556" t="n">
        <v>134145</v>
      </c>
      <c r="I14" s="521">
        <f>G14</f>
        <v/>
      </c>
      <c r="K14" s="521">
        <f>I14-G14</f>
        <v/>
      </c>
      <c r="M14" s="522" t="inlineStr">
        <is>
          <t>59006650</t>
        </is>
      </c>
      <c r="N14" s="522" t="inlineStr">
        <is>
          <t>59006650</t>
        </is>
      </c>
      <c r="O14" s="521">
        <f>M14=N14</f>
        <v/>
      </c>
      <c r="P14" s="521">
        <f>AND(MONTH(F14)=MONTH(S14), YEAR(F14)=YEAR(S14))</f>
        <v/>
      </c>
      <c r="Q14" s="521">
        <f>U14="L001-901905215"</f>
        <v/>
      </c>
      <c r="R14" s="556">
        <f>G14-W14</f>
        <v/>
      </c>
      <c r="S14" s="523" t="n">
        <v>43860</v>
      </c>
      <c r="T14" s="522" t="inlineStr">
        <is>
          <t>59006650</t>
        </is>
      </c>
      <c r="U14" s="522" t="inlineStr">
        <is>
          <t>L001-901905215</t>
        </is>
      </c>
      <c r="V14" s="522" t="inlineStr">
        <is>
          <t>វីអ៊ីស៊ិន (ខេមបូឌា) អ៊ិនដាសស្ទ្រី ឯ.ក</t>
        </is>
      </c>
      <c r="W14" s="556" t="n">
        <v>134145</v>
      </c>
    </row>
    <row r="15">
      <c r="A15" s="521" t="n">
        <v>7</v>
      </c>
      <c r="B15" s="522" t="n"/>
      <c r="C15" s="522" t="inlineStr">
        <is>
          <t>ប្យួរ៉ូ វេរីតាស (ខេមបូឌា) លីមីធីត</t>
        </is>
      </c>
      <c r="D15" s="522" t="inlineStr">
        <is>
          <t>L001-107024462</t>
        </is>
      </c>
      <c r="E15" s="521" t="inlineStr">
        <is>
          <t>59006649</t>
        </is>
      </c>
      <c r="F15" s="523" t="n">
        <v>43860</v>
      </c>
      <c r="G15" s="556" t="n">
        <v>67073</v>
      </c>
      <c r="I15" s="521">
        <f>G15</f>
        <v/>
      </c>
      <c r="K15" s="521">
        <f>I15-G15</f>
        <v/>
      </c>
      <c r="M15" s="522" t="inlineStr">
        <is>
          <t>59006649</t>
        </is>
      </c>
      <c r="N15" s="522" t="inlineStr">
        <is>
          <t>59006649</t>
        </is>
      </c>
      <c r="O15" s="521">
        <f>M15=N15</f>
        <v/>
      </c>
      <c r="P15" s="521">
        <f>AND(MONTH(F15)=MONTH(S15), YEAR(F15)=YEAR(S15))</f>
        <v/>
      </c>
      <c r="Q15" s="521">
        <f>U15="L001-901905215"</f>
        <v/>
      </c>
      <c r="R15" s="556">
        <f>G15-W15</f>
        <v/>
      </c>
      <c r="S15" s="523" t="n">
        <v>43860</v>
      </c>
      <c r="T15" s="522" t="inlineStr">
        <is>
          <t>59006649</t>
        </is>
      </c>
      <c r="U15" s="522" t="inlineStr">
        <is>
          <t>L001-901905215</t>
        </is>
      </c>
      <c r="V15" s="522" t="inlineStr">
        <is>
          <t>វីអ៊ីស៊ិន (ខេមបូឌា) អ៊ិនដាសស្ទ្រី ឯ.ក</t>
        </is>
      </c>
      <c r="W15" s="556" t="n">
        <v>67072</v>
      </c>
    </row>
    <row r="16">
      <c r="A16" s="521" t="n">
        <v>8</v>
      </c>
      <c r="B16" s="522" t="n"/>
      <c r="C16" s="522" t="inlineStr">
        <is>
          <t>ប្យួរ៉ូ វេរីតាស (ខេមបូឌា) លីមីធីត</t>
        </is>
      </c>
      <c r="D16" s="522" t="inlineStr">
        <is>
          <t>L001-107024462</t>
        </is>
      </c>
      <c r="E16" s="521" t="inlineStr">
        <is>
          <t>59006619</t>
        </is>
      </c>
      <c r="F16" s="523" t="n">
        <v>43850</v>
      </c>
      <c r="G16" s="556" t="n">
        <v>399590</v>
      </c>
      <c r="I16" s="521">
        <f>G16</f>
        <v/>
      </c>
      <c r="K16" s="521">
        <f>I16-G16</f>
        <v/>
      </c>
      <c r="M16" s="522" t="inlineStr">
        <is>
          <t>59006619</t>
        </is>
      </c>
      <c r="N16" s="522" t="inlineStr">
        <is>
          <t>59006619</t>
        </is>
      </c>
      <c r="O16" s="521">
        <f>M16=N16</f>
        <v/>
      </c>
      <c r="P16" s="521">
        <f>AND(MONTH(F16)=MONTH(S16), YEAR(F16)=YEAR(S16))</f>
        <v/>
      </c>
      <c r="Q16" s="521">
        <f>U16="L001-901905215"</f>
        <v/>
      </c>
      <c r="R16" s="556">
        <f>G16-W16</f>
        <v/>
      </c>
      <c r="S16" s="523" t="n">
        <v>43850</v>
      </c>
      <c r="T16" s="522" t="inlineStr">
        <is>
          <t>59006619</t>
        </is>
      </c>
      <c r="U16" s="522" t="inlineStr">
        <is>
          <t>L001-901905215</t>
        </is>
      </c>
      <c r="V16" s="522" t="inlineStr">
        <is>
          <t>វីអ៊ីស៊ិន (ខេមបូឌា) អ៊ិនដាសស្ទ្រី ឯ.ក</t>
        </is>
      </c>
      <c r="W16" s="556" t="n">
        <v>399589</v>
      </c>
    </row>
    <row r="17">
      <c r="A17" s="521" t="n">
        <v>9</v>
      </c>
      <c r="B17" s="522" t="n"/>
      <c r="C17" s="522" t="inlineStr">
        <is>
          <t>ប្យួរ៉ូ វេរីតាស (ខេមបូឌា) លីមីធីត</t>
        </is>
      </c>
      <c r="D17" s="522" t="inlineStr">
        <is>
          <t>L001-107024462</t>
        </is>
      </c>
      <c r="E17" s="521" t="inlineStr">
        <is>
          <t>59006612</t>
        </is>
      </c>
      <c r="F17" s="523" t="n">
        <v>43848</v>
      </c>
      <c r="G17" s="556" t="n">
        <v>67073</v>
      </c>
      <c r="I17" s="521">
        <f>G17</f>
        <v/>
      </c>
      <c r="K17" s="521">
        <f>I17-G17</f>
        <v/>
      </c>
      <c r="M17" s="522" t="inlineStr">
        <is>
          <t>59006612</t>
        </is>
      </c>
      <c r="N17" s="522" t="inlineStr">
        <is>
          <t>59006612</t>
        </is>
      </c>
      <c r="O17" s="521">
        <f>M17=N17</f>
        <v/>
      </c>
      <c r="P17" s="521">
        <f>AND(MONTH(F17)=MONTH(S17), YEAR(F17)=YEAR(S17))</f>
        <v/>
      </c>
      <c r="Q17" s="521">
        <f>U17="L001-901905215"</f>
        <v/>
      </c>
      <c r="R17" s="556">
        <f>G17-W17</f>
        <v/>
      </c>
      <c r="S17" s="523" t="n">
        <v>43848</v>
      </c>
      <c r="T17" s="522" t="inlineStr">
        <is>
          <t>59006612</t>
        </is>
      </c>
      <c r="U17" s="522" t="inlineStr">
        <is>
          <t>L001-901905215</t>
        </is>
      </c>
      <c r="V17" s="522" t="inlineStr">
        <is>
          <t>វីអ៊ីស៊ិន (ខេមបូឌា) អ៊ិនដាសស្ទ្រី ឯ.ក</t>
        </is>
      </c>
      <c r="W17" s="556" t="n">
        <v>67072</v>
      </c>
    </row>
    <row r="18">
      <c r="A18" s="521" t="n">
        <v>10</v>
      </c>
      <c r="B18" s="522" t="n"/>
      <c r="C18" s="522" t="inlineStr">
        <is>
          <t>ប្យួរ៉ូ វេរីតាស (ខេមបូឌា) លីមីធីត</t>
        </is>
      </c>
      <c r="D18" s="522" t="inlineStr">
        <is>
          <t>L001-107024462</t>
        </is>
      </c>
      <c r="E18" s="521" t="inlineStr">
        <is>
          <t>59006582</t>
        </is>
      </c>
      <c r="F18" s="523" t="n">
        <v>43847</v>
      </c>
      <c r="G18" s="556" t="n">
        <v>134145</v>
      </c>
      <c r="I18" s="521">
        <f>G18</f>
        <v/>
      </c>
      <c r="K18" s="521">
        <f>I18-G18</f>
        <v/>
      </c>
      <c r="M18" s="522" t="inlineStr">
        <is>
          <t>59006582</t>
        </is>
      </c>
      <c r="N18" s="522" t="inlineStr">
        <is>
          <t>59006582</t>
        </is>
      </c>
      <c r="O18" s="521">
        <f>M18=N18</f>
        <v/>
      </c>
      <c r="P18" s="521">
        <f>AND(MONTH(F18)=MONTH(S18), YEAR(F18)=YEAR(S18))</f>
        <v/>
      </c>
      <c r="Q18" s="521">
        <f>U18="L001-901905215"</f>
        <v/>
      </c>
      <c r="R18" s="556">
        <f>G18-W18</f>
        <v/>
      </c>
      <c r="S18" s="523" t="n">
        <v>43847</v>
      </c>
      <c r="T18" s="522" t="inlineStr">
        <is>
          <t>59006582</t>
        </is>
      </c>
      <c r="U18" s="522" t="inlineStr">
        <is>
          <t>L001-901905215</t>
        </is>
      </c>
      <c r="V18" s="522" t="inlineStr">
        <is>
          <t>វីអ៊ីស៊ិន (ខេមបូឌា) អ៊ិនដាសស្ទ្រី ឯ.ក</t>
        </is>
      </c>
      <c r="W18" s="556" t="n">
        <v>134145</v>
      </c>
    </row>
    <row r="19">
      <c r="A19" s="521" t="n">
        <v>11</v>
      </c>
      <c r="B19" s="522" t="n"/>
      <c r="C19" s="522" t="inlineStr">
        <is>
          <t>ប្យួរ៉ូ វេរីតាស (ខេមបូឌា) លីមីធីត</t>
        </is>
      </c>
      <c r="D19" s="522" t="inlineStr">
        <is>
          <t>L001-107024462</t>
        </is>
      </c>
      <c r="E19" s="521" t="inlineStr">
        <is>
          <t>59006581</t>
        </is>
      </c>
      <c r="F19" s="523" t="n">
        <v>43847</v>
      </c>
      <c r="G19" s="556" t="n">
        <v>134145</v>
      </c>
      <c r="I19" s="521">
        <f>G19</f>
        <v/>
      </c>
      <c r="K19" s="521">
        <f>I19-G19</f>
        <v/>
      </c>
      <c r="M19" s="522" t="inlineStr">
        <is>
          <t>59006581</t>
        </is>
      </c>
      <c r="N19" s="522" t="inlineStr">
        <is>
          <t>59006581</t>
        </is>
      </c>
      <c r="O19" s="521">
        <f>M19=N19</f>
        <v/>
      </c>
      <c r="P19" s="521">
        <f>AND(MONTH(F19)=MONTH(S19), YEAR(F19)=YEAR(S19))</f>
        <v/>
      </c>
      <c r="Q19" s="521">
        <f>U19="L001-901905215"</f>
        <v/>
      </c>
      <c r="R19" s="556">
        <f>G19-W19</f>
        <v/>
      </c>
      <c r="S19" s="523" t="n">
        <v>43847</v>
      </c>
      <c r="T19" s="522" t="inlineStr">
        <is>
          <t>59006581</t>
        </is>
      </c>
      <c r="U19" s="522" t="inlineStr">
        <is>
          <t>L001-901905215</t>
        </is>
      </c>
      <c r="V19" s="522" t="inlineStr">
        <is>
          <t>វីអ៊ីស៊ិន (ខេមបូឌា) អ៊ិនដាសស្ទ្រី ឯ.ក</t>
        </is>
      </c>
      <c r="W19" s="556" t="n">
        <v>134145</v>
      </c>
    </row>
    <row r="20">
      <c r="A20" s="521" t="n">
        <v>12</v>
      </c>
      <c r="B20" s="522" t="n"/>
      <c r="C20" s="522" t="inlineStr">
        <is>
          <t>ប្យួរ៉ូ វេរីតាស (ខេមបូឌា) លីមីធីត</t>
        </is>
      </c>
      <c r="D20" s="522" t="inlineStr">
        <is>
          <t>L001-107024462</t>
        </is>
      </c>
      <c r="E20" s="521" t="inlineStr">
        <is>
          <t>59006580</t>
        </is>
      </c>
      <c r="F20" s="523" t="n">
        <v>43847</v>
      </c>
      <c r="G20" s="556" t="n">
        <v>67073</v>
      </c>
      <c r="I20" s="521">
        <f>G20</f>
        <v/>
      </c>
      <c r="K20" s="521">
        <f>I20-G20</f>
        <v/>
      </c>
      <c r="M20" s="522" t="inlineStr">
        <is>
          <t>59006580</t>
        </is>
      </c>
      <c r="N20" s="522" t="inlineStr">
        <is>
          <t>59006580</t>
        </is>
      </c>
      <c r="O20" s="521">
        <f>M20=N20</f>
        <v/>
      </c>
      <c r="P20" s="521">
        <f>AND(MONTH(F20)=MONTH(S20), YEAR(F20)=YEAR(S20))</f>
        <v/>
      </c>
      <c r="Q20" s="521">
        <f>U20="L001-901905215"</f>
        <v/>
      </c>
      <c r="R20" s="556">
        <f>G20-W20</f>
        <v/>
      </c>
      <c r="S20" s="523" t="n">
        <v>43847</v>
      </c>
      <c r="T20" s="522" t="inlineStr">
        <is>
          <t>59006580</t>
        </is>
      </c>
      <c r="U20" s="522" t="inlineStr">
        <is>
          <t>L001-901905215</t>
        </is>
      </c>
      <c r="V20" s="522" t="inlineStr">
        <is>
          <t>វីអ៊ីស៊ិន (ខេមបូឌា) អ៊ិនដាសស្ទ្រី ឯ.ក</t>
        </is>
      </c>
      <c r="W20" s="556" t="n">
        <v>67072</v>
      </c>
    </row>
    <row r="21">
      <c r="A21" s="521" t="n">
        <v>13</v>
      </c>
      <c r="B21" s="522" t="n"/>
      <c r="C21" s="522" t="inlineStr">
        <is>
          <t>ប្យួរ៉ូ វេរីតាស (ខេមបូឌា) លីមីធីត</t>
        </is>
      </c>
      <c r="D21" s="522" t="inlineStr">
        <is>
          <t>L001-107024462</t>
        </is>
      </c>
      <c r="E21" s="521" t="inlineStr">
        <is>
          <t>59006451</t>
        </is>
      </c>
      <c r="F21" s="523" t="n">
        <v>43846</v>
      </c>
      <c r="G21" s="556" t="n">
        <v>67073</v>
      </c>
      <c r="I21" s="521">
        <f>G21</f>
        <v/>
      </c>
      <c r="K21" s="521">
        <f>I21-G21</f>
        <v/>
      </c>
      <c r="M21" s="522" t="inlineStr">
        <is>
          <t>59006451</t>
        </is>
      </c>
      <c r="N21" s="522" t="inlineStr"/>
      <c r="O21" s="521">
        <f>M21=N21</f>
        <v/>
      </c>
      <c r="P21" s="521">
        <f>AND(MONTH(F21)=MONTH(S21), YEAR(F21)=YEAR(S21))</f>
        <v/>
      </c>
      <c r="Q21" s="521">
        <f>U21="L001-901905215"</f>
        <v/>
      </c>
      <c r="R21" s="556">
        <f>G21-W21</f>
        <v/>
      </c>
      <c r="S21" s="521" t="n"/>
      <c r="T21" s="522" t="n"/>
      <c r="U21" s="522" t="n"/>
      <c r="V21" s="522" t="n"/>
      <c r="W21" s="521" t="n"/>
    </row>
    <row r="22">
      <c r="A22" s="521" t="n">
        <v>14</v>
      </c>
      <c r="B22" s="522" t="n"/>
      <c r="C22" s="522" t="inlineStr">
        <is>
          <t>ប្យួរ៉ូ វេរីតាស (ខេមបូឌា) លីមីធីត</t>
        </is>
      </c>
      <c r="D22" s="522" t="inlineStr">
        <is>
          <t>L001-107024462</t>
        </is>
      </c>
      <c r="E22" s="521" t="inlineStr">
        <is>
          <t>59006450</t>
        </is>
      </c>
      <c r="F22" s="523" t="n">
        <v>43843</v>
      </c>
      <c r="G22" s="556" t="n">
        <v>229673</v>
      </c>
      <c r="I22" s="521">
        <f>G22</f>
        <v/>
      </c>
      <c r="K22" s="521">
        <f>I22-G22</f>
        <v/>
      </c>
      <c r="M22" s="522" t="inlineStr">
        <is>
          <t>59006450</t>
        </is>
      </c>
      <c r="N22" s="522" t="inlineStr">
        <is>
          <t>59006450</t>
        </is>
      </c>
      <c r="O22" s="521">
        <f>M22=N22</f>
        <v/>
      </c>
      <c r="P22" s="521">
        <f>AND(MONTH(F22)=MONTH(S22), YEAR(F22)=YEAR(S22))</f>
        <v/>
      </c>
      <c r="Q22" s="521">
        <f>U22="L001-901905215"</f>
        <v/>
      </c>
      <c r="R22" s="556">
        <f>G22-W22</f>
        <v/>
      </c>
      <c r="S22" s="523" t="n">
        <v>43843</v>
      </c>
      <c r="T22" s="522" t="inlineStr">
        <is>
          <t>59006450</t>
        </is>
      </c>
      <c r="U22" s="522" t="inlineStr">
        <is>
          <t>L001-901905215</t>
        </is>
      </c>
      <c r="V22" s="522" t="inlineStr">
        <is>
          <t>វីអ៊ីស៊ិន (ខេមបូឌា) អ៊ិនដាសស្ទ្រី ឯ.ក</t>
        </is>
      </c>
      <c r="W22" s="556" t="n">
        <v>229672</v>
      </c>
    </row>
    <row r="23">
      <c r="A23" s="521" t="n">
        <v>15</v>
      </c>
      <c r="B23" s="522" t="n"/>
      <c r="C23" s="522" t="inlineStr">
        <is>
          <t>ប្យួរ៉ូ វេរីតាស (ខេមបូឌា) លីមីធីត</t>
        </is>
      </c>
      <c r="D23" s="522" t="inlineStr">
        <is>
          <t>L001-107024462</t>
        </is>
      </c>
      <c r="E23" s="521" t="inlineStr">
        <is>
          <t>59006449</t>
        </is>
      </c>
      <c r="F23" s="523" t="n">
        <v>43843</v>
      </c>
      <c r="G23" s="556" t="n">
        <v>229673</v>
      </c>
      <c r="I23" s="521">
        <f>G23</f>
        <v/>
      </c>
      <c r="K23" s="521">
        <f>I23-G23</f>
        <v/>
      </c>
      <c r="M23" s="522" t="inlineStr">
        <is>
          <t>59006449</t>
        </is>
      </c>
      <c r="N23" s="522" t="inlineStr">
        <is>
          <t>59006449</t>
        </is>
      </c>
      <c r="O23" s="521">
        <f>M23=N23</f>
        <v/>
      </c>
      <c r="P23" s="521">
        <f>AND(MONTH(F23)=MONTH(S23), YEAR(F23)=YEAR(S23))</f>
        <v/>
      </c>
      <c r="Q23" s="521">
        <f>U23="L001-901905215"</f>
        <v/>
      </c>
      <c r="R23" s="556">
        <f>G23-W23</f>
        <v/>
      </c>
      <c r="S23" s="523" t="n">
        <v>43843</v>
      </c>
      <c r="T23" s="522" t="inlineStr">
        <is>
          <t>59006449</t>
        </is>
      </c>
      <c r="U23" s="522" t="inlineStr">
        <is>
          <t>L001-901905215</t>
        </is>
      </c>
      <c r="V23" s="522" t="inlineStr">
        <is>
          <t>វីអ៊ីស៊ិន (ខេមបូឌា) អ៊ិនដាសស្ទ្រី ឯ.ក</t>
        </is>
      </c>
      <c r="W23" s="556" t="n">
        <v>229672</v>
      </c>
    </row>
    <row r="24">
      <c r="A24" s="521" t="n">
        <v>16</v>
      </c>
      <c r="B24" s="522" t="n"/>
      <c r="C24" s="522" t="inlineStr">
        <is>
          <t>ប្យួរ៉ូ វេរីតាស (ខេមបូឌា) លីមីធីត</t>
        </is>
      </c>
      <c r="D24" s="522" t="inlineStr">
        <is>
          <t>L001-107024462</t>
        </is>
      </c>
      <c r="E24" s="521" t="inlineStr">
        <is>
          <t>59006446</t>
        </is>
      </c>
      <c r="F24" s="523" t="n">
        <v>43840</v>
      </c>
      <c r="G24" s="556" t="n">
        <v>67073</v>
      </c>
      <c r="I24" s="521">
        <f>G24</f>
        <v/>
      </c>
      <c r="K24" s="521">
        <f>I24-G24</f>
        <v/>
      </c>
      <c r="M24" s="522" t="inlineStr">
        <is>
          <t>59006446</t>
        </is>
      </c>
      <c r="N24" s="522" t="inlineStr">
        <is>
          <t>59006446</t>
        </is>
      </c>
      <c r="O24" s="521">
        <f>M24=N24</f>
        <v/>
      </c>
      <c r="P24" s="521">
        <f>AND(MONTH(F24)=MONTH(S24), YEAR(F24)=YEAR(S24))</f>
        <v/>
      </c>
      <c r="Q24" s="521">
        <f>U24="L001-901905215"</f>
        <v/>
      </c>
      <c r="R24" s="556">
        <f>G24-W24</f>
        <v/>
      </c>
      <c r="S24" s="523" t="n">
        <v>43840</v>
      </c>
      <c r="T24" s="522" t="inlineStr">
        <is>
          <t>59006446</t>
        </is>
      </c>
      <c r="U24" s="522" t="inlineStr">
        <is>
          <t>L001-901905215</t>
        </is>
      </c>
      <c r="V24" s="522" t="inlineStr">
        <is>
          <t>វីអ៊ីស៊ិន (ខេមបូឌា) អ៊ិនដាសស្ទ្រី ឯ.ក</t>
        </is>
      </c>
      <c r="W24" s="556" t="n">
        <v>67072</v>
      </c>
    </row>
    <row r="25">
      <c r="A25" s="521" t="n">
        <v>17</v>
      </c>
      <c r="B25" s="522" t="n"/>
      <c r="C25" s="522" t="inlineStr">
        <is>
          <t>ប្យួរ៉ូ វេរីតាស (ខេមបូឌា) លីមីធីត</t>
        </is>
      </c>
      <c r="D25" s="522" t="inlineStr">
        <is>
          <t>L001-107024462</t>
        </is>
      </c>
      <c r="E25" s="521" t="inlineStr">
        <is>
          <t>59006444</t>
        </is>
      </c>
      <c r="F25" s="523" t="n">
        <v>43840</v>
      </c>
      <c r="G25" s="556" t="n">
        <v>256095</v>
      </c>
      <c r="I25" s="521">
        <f>G25</f>
        <v/>
      </c>
      <c r="K25" s="521">
        <f>I25-G25</f>
        <v/>
      </c>
      <c r="M25" s="522" t="inlineStr">
        <is>
          <t>59006444</t>
        </is>
      </c>
      <c r="N25" s="522" t="inlineStr">
        <is>
          <t>59006444</t>
        </is>
      </c>
      <c r="O25" s="521">
        <f>M25=N25</f>
        <v/>
      </c>
      <c r="P25" s="521">
        <f>AND(MONTH(F25)=MONTH(S25), YEAR(F25)=YEAR(S25))</f>
        <v/>
      </c>
      <c r="Q25" s="521">
        <f>U25="L001-901905215"</f>
        <v/>
      </c>
      <c r="R25" s="556">
        <f>G25-W25</f>
        <v/>
      </c>
      <c r="S25" s="523" t="n">
        <v>43840</v>
      </c>
      <c r="T25" s="522" t="inlineStr">
        <is>
          <t>59006444</t>
        </is>
      </c>
      <c r="U25" s="522" t="inlineStr">
        <is>
          <t>L001-901905215</t>
        </is>
      </c>
      <c r="V25" s="522" t="inlineStr">
        <is>
          <t>វីអ៊ីស៊ិន (ខេមបូឌា) អ៊ិនដាសស្ទ្រី ឯ.ក</t>
        </is>
      </c>
      <c r="W25" s="556" t="n">
        <v>256095</v>
      </c>
    </row>
    <row r="26">
      <c r="A26" s="521" t="n">
        <v>18</v>
      </c>
      <c r="B26" s="522" t="n"/>
      <c r="C26" s="522" t="inlineStr">
        <is>
          <t>ប្យួរ៉ូ វេរីតាស (ខេមបូឌា) លីមីធីត</t>
        </is>
      </c>
      <c r="D26" s="522" t="inlineStr">
        <is>
          <t>L001-107024462</t>
        </is>
      </c>
      <c r="E26" s="521" t="inlineStr">
        <is>
          <t>59006440</t>
        </is>
      </c>
      <c r="F26" s="523" t="n">
        <v>43840</v>
      </c>
      <c r="G26" s="556" t="n">
        <v>134145</v>
      </c>
      <c r="I26" s="521">
        <f>G26</f>
        <v/>
      </c>
      <c r="K26" s="521">
        <f>I26-G26</f>
        <v/>
      </c>
      <c r="M26" s="522" t="inlineStr">
        <is>
          <t>59006440</t>
        </is>
      </c>
      <c r="N26" s="522" t="inlineStr">
        <is>
          <t>59006440</t>
        </is>
      </c>
      <c r="O26" s="521">
        <f>M26=N26</f>
        <v/>
      </c>
      <c r="P26" s="521">
        <f>AND(MONTH(F26)=MONTH(S26), YEAR(F26)=YEAR(S26))</f>
        <v/>
      </c>
      <c r="Q26" s="521">
        <f>U26="L001-901905215"</f>
        <v/>
      </c>
      <c r="R26" s="556">
        <f>G26-W26</f>
        <v/>
      </c>
      <c r="S26" s="523" t="n">
        <v>43840</v>
      </c>
      <c r="T26" s="522" t="inlineStr">
        <is>
          <t>59006440</t>
        </is>
      </c>
      <c r="U26" s="522" t="inlineStr">
        <is>
          <t>L001-901905215</t>
        </is>
      </c>
      <c r="V26" s="522" t="inlineStr">
        <is>
          <t>វីអ៊ីស៊ិន (ខេមបូឌា) អ៊ិនដាសស្ទ្រី ឯ.ក</t>
        </is>
      </c>
      <c r="W26" s="556" t="n">
        <v>134145</v>
      </c>
    </row>
    <row r="27">
      <c r="A27" s="521" t="n">
        <v>19</v>
      </c>
      <c r="B27" s="522" t="n"/>
      <c r="C27" s="522" t="inlineStr">
        <is>
          <t>ប្យួរ៉ូ វេរីតាស (ខេមបូឌា) លីមីធីត</t>
        </is>
      </c>
      <c r="D27" s="522" t="inlineStr">
        <is>
          <t>L001-107024462</t>
        </is>
      </c>
      <c r="E27" s="521" t="inlineStr">
        <is>
          <t>59006403</t>
        </is>
      </c>
      <c r="F27" s="523" t="n">
        <v>43838</v>
      </c>
      <c r="G27" s="556" t="n">
        <v>189023</v>
      </c>
      <c r="I27" s="521">
        <f>G27</f>
        <v/>
      </c>
      <c r="K27" s="521">
        <f>I27-G27</f>
        <v/>
      </c>
      <c r="M27" s="522" t="inlineStr">
        <is>
          <t>59006403</t>
        </is>
      </c>
      <c r="N27" s="522" t="inlineStr">
        <is>
          <t>59006403</t>
        </is>
      </c>
      <c r="O27" s="521">
        <f>M27=N27</f>
        <v/>
      </c>
      <c r="P27" s="521">
        <f>AND(MONTH(F27)=MONTH(S27), YEAR(F27)=YEAR(S27))</f>
        <v/>
      </c>
      <c r="Q27" s="521">
        <f>U27="L001-901905215"</f>
        <v/>
      </c>
      <c r="R27" s="556">
        <f>G27-W27</f>
        <v/>
      </c>
      <c r="S27" s="523" t="n">
        <v>43838</v>
      </c>
      <c r="T27" s="522" t="inlineStr">
        <is>
          <t>59006403</t>
        </is>
      </c>
      <c r="U27" s="522" t="inlineStr">
        <is>
          <t>L001-901905215</t>
        </is>
      </c>
      <c r="V27" s="522" t="inlineStr">
        <is>
          <t>វីអ៊ីស៊ិន (ខេមបូឌា) អ៊ិនដាសស្ទ្រី ឯ.ក</t>
        </is>
      </c>
      <c r="W27" s="556" t="n">
        <v>189022</v>
      </c>
    </row>
    <row r="28">
      <c r="A28" s="521" t="n">
        <v>20</v>
      </c>
      <c r="B28" s="522" t="n"/>
      <c r="C28" s="522" t="inlineStr">
        <is>
          <t>ប្យួរ៉ូ វេរីតាស (ខេមបូឌា) លីមីធីត</t>
        </is>
      </c>
      <c r="D28" s="522" t="inlineStr">
        <is>
          <t>L001-107024462</t>
        </is>
      </c>
      <c r="E28" s="521" t="inlineStr">
        <is>
          <t>59006359</t>
        </is>
      </c>
      <c r="F28" s="523" t="n">
        <v>43836</v>
      </c>
      <c r="G28" s="556" t="n">
        <v>229673</v>
      </c>
      <c r="I28" s="521">
        <f>G28</f>
        <v/>
      </c>
      <c r="K28" s="521">
        <f>I28-G28</f>
        <v/>
      </c>
      <c r="M28" s="522" t="inlineStr">
        <is>
          <t>59006359</t>
        </is>
      </c>
      <c r="N28" s="522" t="inlineStr">
        <is>
          <t>59006359</t>
        </is>
      </c>
      <c r="O28" s="521">
        <f>M28=N28</f>
        <v/>
      </c>
      <c r="P28" s="521">
        <f>AND(MONTH(F28)=MONTH(S28), YEAR(F28)=YEAR(S28))</f>
        <v/>
      </c>
      <c r="Q28" s="521">
        <f>U28="L001-901905215"</f>
        <v/>
      </c>
      <c r="R28" s="556">
        <f>G28-W28</f>
        <v/>
      </c>
      <c r="S28" s="523" t="n">
        <v>43836</v>
      </c>
      <c r="T28" s="522" t="inlineStr">
        <is>
          <t>59006359</t>
        </is>
      </c>
      <c r="U28" s="522" t="inlineStr">
        <is>
          <t>L001-901905215</t>
        </is>
      </c>
      <c r="V28" s="522" t="inlineStr">
        <is>
          <t>វីអ៊ីស៊ិន (ខេមបូឌា) អ៊ិនដាសស្ទ្រី ឯ.ក</t>
        </is>
      </c>
      <c r="W28" s="556" t="n">
        <v>229672</v>
      </c>
    </row>
    <row r="29">
      <c r="A29" s="521" t="n">
        <v>21</v>
      </c>
      <c r="B29" s="522" t="n"/>
      <c r="C29" s="522" t="inlineStr">
        <is>
          <t>អ៊ិចស្ពែឌីធ័រ ខេមបូឌា អិលធីឌី</t>
        </is>
      </c>
      <c r="D29" s="522" t="inlineStr">
        <is>
          <t>L001-100045898</t>
        </is>
      </c>
      <c r="E29" s="521" t="inlineStr">
        <is>
          <t>TI0169609</t>
        </is>
      </c>
      <c r="F29" s="523" t="n">
        <v>43860</v>
      </c>
      <c r="G29" s="556" t="n">
        <v>145395</v>
      </c>
      <c r="I29" s="521">
        <f>G29</f>
        <v/>
      </c>
      <c r="K29" s="521">
        <f>I29-G29</f>
        <v/>
      </c>
      <c r="M29" s="522" t="inlineStr">
        <is>
          <t>TI0169609</t>
        </is>
      </c>
      <c r="N29" s="522" t="inlineStr">
        <is>
          <t>TI0169609</t>
        </is>
      </c>
      <c r="O29" s="521">
        <f>M29=N29</f>
        <v/>
      </c>
      <c r="P29" s="521">
        <f>AND(MONTH(F29)=MONTH(S29), YEAR(F29)=YEAR(S29))</f>
        <v/>
      </c>
      <c r="Q29" s="521">
        <f>U29="L001-901905215"</f>
        <v/>
      </c>
      <c r="R29" s="556">
        <f>G29-W29</f>
        <v/>
      </c>
      <c r="S29" s="523" t="n">
        <v>43860</v>
      </c>
      <c r="T29" s="522" t="inlineStr">
        <is>
          <t>TI-0169609</t>
        </is>
      </c>
      <c r="U29" s="522" t="inlineStr">
        <is>
          <t>L001-901905215</t>
        </is>
      </c>
      <c r="V29" s="522" t="inlineStr">
        <is>
          <t>វីអ៊ីស៊ិន (ខេមបូឌា) អ៊ិនដាសស្ទ្រី ឯ.ក</t>
        </is>
      </c>
      <c r="W29" s="556" t="n">
        <v>145395</v>
      </c>
    </row>
    <row r="30">
      <c r="A30" s="521" t="n">
        <v>22</v>
      </c>
      <c r="B30" s="522" t="n"/>
      <c r="C30" s="522" t="inlineStr">
        <is>
          <t>អ៊ិចស្ពែឌីធ័រ ខេមបូឌា អិលធីឌី</t>
        </is>
      </c>
      <c r="D30" s="522" t="inlineStr">
        <is>
          <t>L001-100045898</t>
        </is>
      </c>
      <c r="E30" s="521" t="inlineStr">
        <is>
          <t>TI0169607</t>
        </is>
      </c>
      <c r="F30" s="523" t="n">
        <v>43860</v>
      </c>
      <c r="G30" s="556" t="n">
        <v>145395</v>
      </c>
      <c r="I30" s="521">
        <f>G30</f>
        <v/>
      </c>
      <c r="K30" s="521">
        <f>I30-G30</f>
        <v/>
      </c>
      <c r="M30" s="522" t="inlineStr">
        <is>
          <t>TI0169607</t>
        </is>
      </c>
      <c r="N30" s="522" t="inlineStr">
        <is>
          <t>TI0169607</t>
        </is>
      </c>
      <c r="O30" s="521">
        <f>M30=N30</f>
        <v/>
      </c>
      <c r="P30" s="521">
        <f>AND(MONTH(F30)=MONTH(S30), YEAR(F30)=YEAR(S30))</f>
        <v/>
      </c>
      <c r="Q30" s="521">
        <f>U30="L001-901905215"</f>
        <v/>
      </c>
      <c r="R30" s="556">
        <f>G30-W30</f>
        <v/>
      </c>
      <c r="S30" s="523" t="n">
        <v>43860</v>
      </c>
      <c r="T30" s="522" t="inlineStr">
        <is>
          <t>TI-0169607</t>
        </is>
      </c>
      <c r="U30" s="522" t="inlineStr">
        <is>
          <t>L001-901905215</t>
        </is>
      </c>
      <c r="V30" s="522" t="inlineStr">
        <is>
          <t>វីអ៊ីស៊ិន (ខេមបូឌា) អ៊ិនដាសស្ទ្រី ឯ.ក</t>
        </is>
      </c>
      <c r="W30" s="556" t="n">
        <v>145395</v>
      </c>
    </row>
    <row r="31">
      <c r="A31" s="521" t="n">
        <v>23</v>
      </c>
      <c r="B31" s="522" t="n"/>
      <c r="C31" s="522" t="inlineStr">
        <is>
          <t>អ៊ិចស្ពែឌីធ័រ ខេមបូឌា អិលធីឌី</t>
        </is>
      </c>
      <c r="D31" s="522" t="inlineStr">
        <is>
          <t>L001-100045898</t>
        </is>
      </c>
      <c r="E31" s="521" t="inlineStr">
        <is>
          <t>TI0169605</t>
        </is>
      </c>
      <c r="F31" s="523" t="n">
        <v>43860</v>
      </c>
      <c r="G31" s="556" t="n">
        <v>145395</v>
      </c>
      <c r="I31" s="521">
        <f>G31</f>
        <v/>
      </c>
      <c r="K31" s="521">
        <f>I31-G31</f>
        <v/>
      </c>
      <c r="M31" s="522" t="inlineStr">
        <is>
          <t>TI0169605</t>
        </is>
      </c>
      <c r="N31" s="522" t="inlineStr">
        <is>
          <t>TI0169605</t>
        </is>
      </c>
      <c r="O31" s="521">
        <f>M31=N31</f>
        <v/>
      </c>
      <c r="P31" s="521">
        <f>AND(MONTH(F31)=MONTH(S31), YEAR(F31)=YEAR(S31))</f>
        <v/>
      </c>
      <c r="Q31" s="521">
        <f>U31="L001-901905215"</f>
        <v/>
      </c>
      <c r="R31" s="556">
        <f>G31-W31</f>
        <v/>
      </c>
      <c r="S31" s="523" t="n">
        <v>43860</v>
      </c>
      <c r="T31" s="522" t="inlineStr">
        <is>
          <t>TI-0169605</t>
        </is>
      </c>
      <c r="U31" s="522" t="inlineStr">
        <is>
          <t>L001-901905215</t>
        </is>
      </c>
      <c r="V31" s="522" t="inlineStr">
        <is>
          <t>វីអ៊ីស៊ិន (ខេមបូឌា) អ៊ិនដាសស្ទ្រី ឯ.ក</t>
        </is>
      </c>
      <c r="W31" s="556" t="n">
        <v>145395</v>
      </c>
    </row>
    <row r="32">
      <c r="A32" s="521" t="n">
        <v>24</v>
      </c>
      <c r="B32" s="522" t="n"/>
      <c r="C32" s="522" t="inlineStr">
        <is>
          <t>អ៊ិចស្ពែឌីធ័រ ខេមបូឌា អិលធីឌី</t>
        </is>
      </c>
      <c r="D32" s="522" t="inlineStr">
        <is>
          <t>L001-100045898</t>
        </is>
      </c>
      <c r="E32" s="521" t="inlineStr">
        <is>
          <t>TI0168468</t>
        </is>
      </c>
      <c r="F32" s="523" t="n">
        <v>43847</v>
      </c>
      <c r="G32" s="556" t="n">
        <v>52366</v>
      </c>
      <c r="I32" s="521">
        <f>G32</f>
        <v/>
      </c>
      <c r="K32" s="521">
        <f>I32-G32</f>
        <v/>
      </c>
      <c r="M32" s="522" t="inlineStr">
        <is>
          <t>TI0168468</t>
        </is>
      </c>
      <c r="N32" s="522" t="inlineStr">
        <is>
          <t>TI0168468</t>
        </is>
      </c>
      <c r="O32" s="521">
        <f>M32=N32</f>
        <v/>
      </c>
      <c r="P32" s="521">
        <f>AND(MONTH(F32)=MONTH(S32), YEAR(F32)=YEAR(S32))</f>
        <v/>
      </c>
      <c r="Q32" s="521">
        <f>U32="L001-901905215"</f>
        <v/>
      </c>
      <c r="R32" s="556">
        <f>G32-W32</f>
        <v/>
      </c>
      <c r="S32" s="523" t="n">
        <v>43847</v>
      </c>
      <c r="T32" s="522" t="inlineStr">
        <is>
          <t>TI-0168468</t>
        </is>
      </c>
      <c r="U32" s="522" t="inlineStr">
        <is>
          <t>L001-901905215</t>
        </is>
      </c>
      <c r="V32" s="522" t="inlineStr">
        <is>
          <t>វីអ៊ីស៊ិន (ខេមបូឌា) អ៊ិនដាសស្ទ្រី ឯ.ក</t>
        </is>
      </c>
      <c r="W32" s="556" t="n">
        <v>52431</v>
      </c>
    </row>
    <row r="33">
      <c r="A33" s="521" t="n">
        <v>25</v>
      </c>
      <c r="B33" s="522" t="n"/>
      <c r="C33" s="522" t="inlineStr">
        <is>
          <t>អ៊ិចស្ពែឌីធ័រ ខេមបូឌា អិលធីឌី</t>
        </is>
      </c>
      <c r="D33" s="522" t="inlineStr">
        <is>
          <t>L001-100045898</t>
        </is>
      </c>
      <c r="E33" s="521" t="inlineStr">
        <is>
          <t>TI0168455</t>
        </is>
      </c>
      <c r="F33" s="523" t="n">
        <v>43847</v>
      </c>
      <c r="G33" s="556" t="n">
        <v>48460</v>
      </c>
      <c r="I33" s="521">
        <f>G33</f>
        <v/>
      </c>
      <c r="K33" s="521">
        <f>I33-G33</f>
        <v/>
      </c>
      <c r="M33" s="522" t="inlineStr">
        <is>
          <t>TI0168455</t>
        </is>
      </c>
      <c r="N33" s="522" t="inlineStr">
        <is>
          <t>TI0168455</t>
        </is>
      </c>
      <c r="O33" s="521">
        <f>M33=N33</f>
        <v/>
      </c>
      <c r="P33" s="521">
        <f>AND(MONTH(F33)=MONTH(S33), YEAR(F33)=YEAR(S33))</f>
        <v/>
      </c>
      <c r="Q33" s="521">
        <f>U33="L001-901905215"</f>
        <v/>
      </c>
      <c r="R33" s="556">
        <f>G33-W33</f>
        <v/>
      </c>
      <c r="S33" s="523" t="n">
        <v>43847</v>
      </c>
      <c r="T33" s="522" t="inlineStr">
        <is>
          <t>TI-0168455</t>
        </is>
      </c>
      <c r="U33" s="522" t="inlineStr">
        <is>
          <t>L001-901905215</t>
        </is>
      </c>
      <c r="V33" s="522" t="inlineStr">
        <is>
          <t>វីអ៊ីស៊ិន (ខេមបូឌា) អ៊ិនដាសស្ទ្រី ឯ.ក</t>
        </is>
      </c>
      <c r="W33" s="556" t="n">
        <v>48538</v>
      </c>
    </row>
    <row r="34">
      <c r="A34" s="521" t="n">
        <v>26</v>
      </c>
      <c r="B34" s="522" t="n"/>
      <c r="C34" s="522" t="inlineStr">
        <is>
          <t>អ៊ិចស្ពែឌីធ័រ ខេមបូឌា អិលធីឌី</t>
        </is>
      </c>
      <c r="D34" s="522" t="inlineStr">
        <is>
          <t>L001-100045898</t>
        </is>
      </c>
      <c r="E34" s="521" t="inlineStr">
        <is>
          <t>TI0168454</t>
        </is>
      </c>
      <c r="F34" s="523" t="n">
        <v>43847</v>
      </c>
      <c r="G34" s="556" t="n">
        <v>51052</v>
      </c>
      <c r="I34" s="521">
        <f>G34</f>
        <v/>
      </c>
      <c r="K34" s="521">
        <f>I34-G34</f>
        <v/>
      </c>
      <c r="M34" s="522" t="inlineStr">
        <is>
          <t>TI0168454</t>
        </is>
      </c>
      <c r="N34" s="522" t="inlineStr">
        <is>
          <t>TI0168454</t>
        </is>
      </c>
      <c r="O34" s="521">
        <f>M34=N34</f>
        <v/>
      </c>
      <c r="P34" s="521">
        <f>AND(MONTH(F34)=MONTH(S34), YEAR(F34)=YEAR(S34))</f>
        <v/>
      </c>
      <c r="Q34" s="521">
        <f>U34="L001-901905215"</f>
        <v/>
      </c>
      <c r="R34" s="556">
        <f>G34-W34</f>
        <v/>
      </c>
      <c r="S34" s="523" t="n">
        <v>43847</v>
      </c>
      <c r="T34" s="522" t="inlineStr">
        <is>
          <t>TI-0168454</t>
        </is>
      </c>
      <c r="U34" s="522" t="inlineStr">
        <is>
          <t>L001-901905215</t>
        </is>
      </c>
      <c r="V34" s="522" t="inlineStr">
        <is>
          <t>វីអ៊ីស៊ិន (ខេមបូឌា) អ៊ិនដាសស្ទ្រី ឯ.ក</t>
        </is>
      </c>
      <c r="W34" s="556" t="n">
        <v>51134</v>
      </c>
    </row>
    <row r="35">
      <c r="A35" s="521" t="n">
        <v>27</v>
      </c>
      <c r="B35" s="522" t="n"/>
      <c r="C35" s="522" t="inlineStr">
        <is>
          <t>អ៊ិចស្ពែឌីធ័រ ខេមបូឌា អិលធីឌី</t>
        </is>
      </c>
      <c r="D35" s="522" t="inlineStr">
        <is>
          <t>L001-100045898</t>
        </is>
      </c>
      <c r="E35" s="521" t="inlineStr">
        <is>
          <t>TI0168453</t>
        </is>
      </c>
      <c r="F35" s="523" t="n">
        <v>43847</v>
      </c>
      <c r="G35" s="556" t="n">
        <v>51052</v>
      </c>
      <c r="I35" s="521">
        <f>G35</f>
        <v/>
      </c>
      <c r="K35" s="521">
        <f>I35-G35</f>
        <v/>
      </c>
      <c r="M35" s="522" t="inlineStr">
        <is>
          <t>TI0168453</t>
        </is>
      </c>
      <c r="N35" s="522" t="inlineStr">
        <is>
          <t>TI0168453</t>
        </is>
      </c>
      <c r="O35" s="521">
        <f>M35=N35</f>
        <v/>
      </c>
      <c r="P35" s="521">
        <f>AND(MONTH(F35)=MONTH(S35), YEAR(F35)=YEAR(S35))</f>
        <v/>
      </c>
      <c r="Q35" s="521">
        <f>U35="L001-901905215"</f>
        <v/>
      </c>
      <c r="R35" s="556">
        <f>G35-W35</f>
        <v/>
      </c>
      <c r="S35" s="523" t="n">
        <v>43847</v>
      </c>
      <c r="T35" s="522" t="inlineStr">
        <is>
          <t>TI-0168453</t>
        </is>
      </c>
      <c r="U35" s="522" t="inlineStr">
        <is>
          <t>L001-901905215</t>
        </is>
      </c>
      <c r="V35" s="522" t="inlineStr">
        <is>
          <t>វីអ៊ីស៊ិន (ខេមបូឌា) អ៊ិនដាសស្ទ្រី ឯ.ក</t>
        </is>
      </c>
      <c r="W35" s="556" t="n">
        <v>51134</v>
      </c>
    </row>
    <row r="36">
      <c r="A36" s="521" t="n">
        <v>28</v>
      </c>
      <c r="B36" s="522" t="n"/>
      <c r="C36" s="522" t="inlineStr">
        <is>
          <t>អ៊ិចស្ពែឌីធ័រ ខេមបូឌា អិលធីឌី</t>
        </is>
      </c>
      <c r="D36" s="522" t="inlineStr">
        <is>
          <t>L001-100045898</t>
        </is>
      </c>
      <c r="E36" s="521" t="inlineStr">
        <is>
          <t>TI0168452</t>
        </is>
      </c>
      <c r="F36" s="523" t="n">
        <v>43847</v>
      </c>
      <c r="G36" s="556" t="n">
        <v>39204</v>
      </c>
      <c r="I36" s="521">
        <f>G36</f>
        <v/>
      </c>
      <c r="K36" s="521">
        <f>I36-G36</f>
        <v/>
      </c>
      <c r="M36" s="522" t="inlineStr">
        <is>
          <t>TI0168452</t>
        </is>
      </c>
      <c r="N36" s="522" t="inlineStr">
        <is>
          <t>TI0168452</t>
        </is>
      </c>
      <c r="O36" s="521">
        <f>M36=N36</f>
        <v/>
      </c>
      <c r="P36" s="521">
        <f>AND(MONTH(F36)=MONTH(S36), YEAR(F36)=YEAR(S36))</f>
        <v/>
      </c>
      <c r="Q36" s="521">
        <f>U36="L001-901905215"</f>
        <v/>
      </c>
      <c r="R36" s="556">
        <f>G36-W36</f>
        <v/>
      </c>
      <c r="S36" s="523" t="n">
        <v>43847</v>
      </c>
      <c r="T36" s="522" t="inlineStr">
        <is>
          <t>TI-0168452</t>
        </is>
      </c>
      <c r="U36" s="522" t="inlineStr">
        <is>
          <t>L001-901905215</t>
        </is>
      </c>
      <c r="V36" s="522" t="inlineStr">
        <is>
          <t>វីអ៊ីស៊ិន (ខេមបូឌា) អ៊ិនដាសស្ទ្រី ឯ.ក</t>
        </is>
      </c>
      <c r="W36" s="556" t="n">
        <v>39252</v>
      </c>
    </row>
    <row r="37">
      <c r="A37" s="521" t="n">
        <v>29</v>
      </c>
      <c r="B37" s="522" t="n"/>
      <c r="C37" s="522" t="inlineStr">
        <is>
          <t>អ៊ិចស្ពែឌីធ័រ ខេមបូឌា អិលធីឌី</t>
        </is>
      </c>
      <c r="D37" s="522" t="inlineStr">
        <is>
          <t>L001-100045898</t>
        </is>
      </c>
      <c r="E37" s="521" t="inlineStr">
        <is>
          <t>TI0168451</t>
        </is>
      </c>
      <c r="F37" s="523" t="n">
        <v>43847</v>
      </c>
      <c r="G37" s="556" t="n">
        <v>50890</v>
      </c>
      <c r="I37" s="521">
        <f>G37</f>
        <v/>
      </c>
      <c r="K37" s="521">
        <f>I37-G37</f>
        <v/>
      </c>
      <c r="M37" s="522" t="inlineStr">
        <is>
          <t>TI0168451</t>
        </is>
      </c>
      <c r="N37" s="522" t="inlineStr">
        <is>
          <t>TI0168451</t>
        </is>
      </c>
      <c r="O37" s="521">
        <f>M37=N37</f>
        <v/>
      </c>
      <c r="P37" s="521">
        <f>AND(MONTH(F37)=MONTH(S37), YEAR(F37)=YEAR(S37))</f>
        <v/>
      </c>
      <c r="Q37" s="521">
        <f>U37="L001-901905215"</f>
        <v/>
      </c>
      <c r="R37" s="556">
        <f>G37-W37</f>
        <v/>
      </c>
      <c r="S37" s="523" t="n">
        <v>43847</v>
      </c>
      <c r="T37" s="522" t="inlineStr">
        <is>
          <t>TI-0168451</t>
        </is>
      </c>
      <c r="U37" s="522" t="inlineStr">
        <is>
          <t>L001-901905215</t>
        </is>
      </c>
      <c r="V37" s="522" t="inlineStr">
        <is>
          <t>វីអ៊ីស៊ិន (ខេមបូឌា) អ៊ិនដាសស្ទ្រី ឯ.ក</t>
        </is>
      </c>
      <c r="W37" s="556" t="n">
        <v>50971</v>
      </c>
    </row>
    <row r="38">
      <c r="A38" s="521" t="n">
        <v>30</v>
      </c>
      <c r="B38" s="522" t="n"/>
      <c r="C38" s="522" t="inlineStr">
        <is>
          <t>អ៊ិចស្ពែឌីធ័រ ខេមបូឌា អិលធីឌី</t>
        </is>
      </c>
      <c r="D38" s="522" t="inlineStr">
        <is>
          <t>L001-100045898</t>
        </is>
      </c>
      <c r="E38" s="521" t="inlineStr">
        <is>
          <t>TI0168449</t>
        </is>
      </c>
      <c r="F38" s="523" t="n">
        <v>43847</v>
      </c>
      <c r="G38" s="556" t="n">
        <v>53239</v>
      </c>
      <c r="I38" s="521">
        <f>G38</f>
        <v/>
      </c>
      <c r="K38" s="521">
        <f>I38-G38</f>
        <v/>
      </c>
      <c r="M38" s="522" t="inlineStr">
        <is>
          <t>TI0168449</t>
        </is>
      </c>
      <c r="N38" s="522" t="inlineStr">
        <is>
          <t>TI0168449</t>
        </is>
      </c>
      <c r="O38" s="521">
        <f>M38=N38</f>
        <v/>
      </c>
      <c r="P38" s="521">
        <f>AND(MONTH(F38)=MONTH(S38), YEAR(F38)=YEAR(S38))</f>
        <v/>
      </c>
      <c r="Q38" s="521">
        <f>U38="L001-901905215"</f>
        <v/>
      </c>
      <c r="R38" s="556">
        <f>G38-W38</f>
        <v/>
      </c>
      <c r="S38" s="523" t="n">
        <v>43847</v>
      </c>
      <c r="T38" s="522" t="inlineStr">
        <is>
          <t>TI-0168449</t>
        </is>
      </c>
      <c r="U38" s="522" t="inlineStr">
        <is>
          <t>L001-901905215</t>
        </is>
      </c>
      <c r="V38" s="522" t="inlineStr">
        <is>
          <t>វីអ៊ីស៊ិន (ខេមបូឌា) អ៊ិនដាសស្ទ្រី ឯ.ក</t>
        </is>
      </c>
      <c r="W38" s="556" t="n">
        <v>53323</v>
      </c>
    </row>
    <row r="39">
      <c r="A39" s="521" t="n">
        <v>31</v>
      </c>
      <c r="B39" s="522" t="n"/>
      <c r="C39" s="522" t="inlineStr">
        <is>
          <t>អ៊ិចស្ពែឌីធ័រ ខេមបូឌា អិលធីឌី</t>
        </is>
      </c>
      <c r="D39" s="522" t="inlineStr">
        <is>
          <t>L001-100045898</t>
        </is>
      </c>
      <c r="E39" s="521" t="inlineStr">
        <is>
          <t>TI0168448</t>
        </is>
      </c>
      <c r="F39" s="523" t="n">
        <v>43847</v>
      </c>
      <c r="G39" s="556" t="n">
        <v>52366</v>
      </c>
      <c r="I39" s="521">
        <f>G39</f>
        <v/>
      </c>
      <c r="K39" s="521">
        <f>I39-G39</f>
        <v/>
      </c>
      <c r="M39" s="522" t="inlineStr">
        <is>
          <t>TI0168448</t>
        </is>
      </c>
      <c r="N39" s="522" t="inlineStr">
        <is>
          <t>TI0168448</t>
        </is>
      </c>
      <c r="O39" s="521">
        <f>M39=N39</f>
        <v/>
      </c>
      <c r="P39" s="521">
        <f>AND(MONTH(F39)=MONTH(S39), YEAR(F39)=YEAR(S39))</f>
        <v/>
      </c>
      <c r="Q39" s="521">
        <f>U39="L001-901905215"</f>
        <v/>
      </c>
      <c r="R39" s="556">
        <f>G39-W39</f>
        <v/>
      </c>
      <c r="S39" s="523" t="n">
        <v>43847</v>
      </c>
      <c r="T39" s="522" t="inlineStr">
        <is>
          <t>TI-0168448</t>
        </is>
      </c>
      <c r="U39" s="522" t="inlineStr">
        <is>
          <t>L001-901905215</t>
        </is>
      </c>
      <c r="V39" s="522" t="inlineStr">
        <is>
          <t>វីអ៊ីស៊ិន (ខេមបូឌា) អ៊ិនដាសស្ទ្រី ឯ.ក</t>
        </is>
      </c>
      <c r="W39" s="556" t="n">
        <v>52431</v>
      </c>
    </row>
    <row r="40">
      <c r="A40" s="521" t="n">
        <v>32</v>
      </c>
      <c r="B40" s="522" t="n"/>
      <c r="C40" s="522" t="inlineStr">
        <is>
          <t>កំពង់ផែស្វយ័តក្រុងព្រះសីហនុ</t>
        </is>
      </c>
      <c r="D40" s="522" t="inlineStr">
        <is>
          <t>L001-100044638</t>
        </is>
      </c>
      <c r="E40" s="521" t="inlineStr">
        <is>
          <t>008584</t>
        </is>
      </c>
      <c r="F40" s="523" t="n">
        <v>43845</v>
      </c>
      <c r="G40" s="556" t="n">
        <v>7290</v>
      </c>
      <c r="I40" s="521">
        <f>G40</f>
        <v/>
      </c>
      <c r="K40" s="521">
        <f>I40-G40</f>
        <v/>
      </c>
      <c r="M40" s="522" t="inlineStr">
        <is>
          <t>008584</t>
        </is>
      </c>
      <c r="N40" s="522" t="inlineStr"/>
      <c r="O40" s="521">
        <f>M40=N40</f>
        <v/>
      </c>
      <c r="P40" s="521">
        <f>AND(MONTH(F40)=MONTH(S40), YEAR(F40)=YEAR(S40))</f>
        <v/>
      </c>
      <c r="Q40" s="521">
        <f>U40="L001-901905215"</f>
        <v/>
      </c>
      <c r="R40" s="556">
        <f>G40-W40</f>
        <v/>
      </c>
      <c r="S40" s="521" t="n"/>
      <c r="T40" s="522" t="n"/>
      <c r="U40" s="522" t="n"/>
      <c r="V40" s="522" t="n"/>
      <c r="W40" s="521" t="n"/>
    </row>
    <row r="41">
      <c r="A41" s="521" t="n">
        <v>33</v>
      </c>
      <c r="B41" s="522" t="n"/>
      <c r="C41" s="522" t="inlineStr">
        <is>
          <t>កំពង់ផែស្វយ័តក្រុងព្រះសីហនុ</t>
        </is>
      </c>
      <c r="D41" s="522" t="inlineStr">
        <is>
          <t>L001-100044638</t>
        </is>
      </c>
      <c r="E41" s="521" t="inlineStr">
        <is>
          <t>007430</t>
        </is>
      </c>
      <c r="F41" s="523" t="n">
        <v>43843</v>
      </c>
      <c r="G41" s="556" t="n">
        <v>64395</v>
      </c>
      <c r="I41" s="521">
        <f>G41</f>
        <v/>
      </c>
      <c r="K41" s="521">
        <f>I41-G41</f>
        <v/>
      </c>
      <c r="M41" s="522" t="inlineStr">
        <is>
          <t>007430</t>
        </is>
      </c>
      <c r="N41" s="522" t="inlineStr"/>
      <c r="O41" s="521">
        <f>M41=N41</f>
        <v/>
      </c>
      <c r="P41" s="521">
        <f>AND(MONTH(F41)=MONTH(S41), YEAR(F41)=YEAR(S41))</f>
        <v/>
      </c>
      <c r="Q41" s="521">
        <f>U41="L001-901905215"</f>
        <v/>
      </c>
      <c r="R41" s="556">
        <f>G41-W41</f>
        <v/>
      </c>
      <c r="S41" s="521" t="n"/>
      <c r="T41" s="522" t="n"/>
      <c r="U41" s="522" t="n"/>
      <c r="V41" s="522" t="n"/>
      <c r="W41" s="521" t="n"/>
    </row>
    <row r="42">
      <c r="A42" s="521" t="n">
        <v>34</v>
      </c>
      <c r="B42" s="522" t="n"/>
      <c r="C42" s="522" t="inlineStr">
        <is>
          <t>កំពង់ផែស្វយ័តក្រុងព្រះសីហនុ</t>
        </is>
      </c>
      <c r="D42" s="522" t="inlineStr">
        <is>
          <t>L001-100044638</t>
        </is>
      </c>
      <c r="E42" s="521" t="inlineStr">
        <is>
          <t>006642</t>
        </is>
      </c>
      <c r="F42" s="523" t="n">
        <v>43841</v>
      </c>
      <c r="G42" s="556" t="n">
        <v>23085</v>
      </c>
      <c r="I42" s="521">
        <f>G42</f>
        <v/>
      </c>
      <c r="K42" s="521">
        <f>I42-G42</f>
        <v/>
      </c>
      <c r="M42" s="522" t="inlineStr">
        <is>
          <t>006642</t>
        </is>
      </c>
      <c r="N42" s="522" t="inlineStr"/>
      <c r="O42" s="521">
        <f>M42=N42</f>
        <v/>
      </c>
      <c r="P42" s="521">
        <f>AND(MONTH(F42)=MONTH(S42), YEAR(F42)=YEAR(S42))</f>
        <v/>
      </c>
      <c r="Q42" s="521">
        <f>U42="L001-901905215"</f>
        <v/>
      </c>
      <c r="R42" s="556">
        <f>G42-W42</f>
        <v/>
      </c>
      <c r="S42" s="521" t="n"/>
      <c r="T42" s="522" t="n"/>
      <c r="U42" s="522" t="n"/>
      <c r="V42" s="522" t="n"/>
      <c r="W42" s="521" t="n"/>
    </row>
    <row r="43">
      <c r="A43" s="521" t="n">
        <v>35</v>
      </c>
      <c r="B43" s="522" t="n"/>
      <c r="C43" s="522" t="inlineStr">
        <is>
          <t>អឹមេហ្ស៊ីង ឡូជីស្ទីក &amp; សឹបផ្លាយ ឆេន (ខេមបូឌា) ឯ.ក</t>
        </is>
      </c>
      <c r="D43" s="522" t="inlineStr">
        <is>
          <t>K009-901703255</t>
        </is>
      </c>
      <c r="E43" s="521" t="inlineStr">
        <is>
          <t>200116</t>
        </is>
      </c>
      <c r="F43" s="523" t="n">
        <v>43852</v>
      </c>
      <c r="G43" s="556" t="n">
        <v>540645</v>
      </c>
      <c r="I43" s="521">
        <f>G43</f>
        <v/>
      </c>
      <c r="K43" s="521">
        <f>I43-G43</f>
        <v/>
      </c>
      <c r="M43" s="522" t="inlineStr">
        <is>
          <t>200116</t>
        </is>
      </c>
      <c r="N43" s="522" t="inlineStr">
        <is>
          <t>200116</t>
        </is>
      </c>
      <c r="O43" s="521">
        <f>M43=N43</f>
        <v/>
      </c>
      <c r="P43" s="521">
        <f>AND(MONTH(F43)=MONTH(S43), YEAR(F43)=YEAR(S43))</f>
        <v/>
      </c>
      <c r="Q43" s="521">
        <f>U43="L001-901905215"</f>
        <v/>
      </c>
      <c r="R43" s="556">
        <f>G43-W43</f>
        <v/>
      </c>
      <c r="S43" s="523" t="n">
        <v>43852</v>
      </c>
      <c r="T43" s="522" t="inlineStr">
        <is>
          <t>200116</t>
        </is>
      </c>
      <c r="U43" s="522" t="inlineStr">
        <is>
          <t>L001-901905215</t>
        </is>
      </c>
      <c r="V43" s="522" t="inlineStr">
        <is>
          <t>វីអ៊ីស៊ិន (ខេមបូឌា) អ៊ិនដាសស្ទ្រី ឯ.ក</t>
        </is>
      </c>
      <c r="W43" s="556" t="n">
        <v>540645</v>
      </c>
    </row>
    <row r="44">
      <c r="A44" s="521" t="n">
        <v>36</v>
      </c>
      <c r="B44" s="522" t="n"/>
      <c r="C44" s="522" t="inlineStr">
        <is>
          <t>វ៉ាយ.ស៊ី ផេកខេជីង ឯ.ក</t>
        </is>
      </c>
      <c r="D44" s="522" t="inlineStr">
        <is>
          <t>L001-901700417</t>
        </is>
      </c>
      <c r="E44" s="521" t="inlineStr">
        <is>
          <t>TI0008</t>
        </is>
      </c>
      <c r="F44" s="523" t="n">
        <v>43851</v>
      </c>
      <c r="G44" s="556" t="n">
        <v>11694624</v>
      </c>
      <c r="I44" s="521">
        <f>G44</f>
        <v/>
      </c>
      <c r="K44" s="521">
        <f>I44-G44</f>
        <v/>
      </c>
      <c r="M44" s="522" t="inlineStr">
        <is>
          <t>TI0008</t>
        </is>
      </c>
      <c r="N44" s="522" t="inlineStr">
        <is>
          <t>TI0008</t>
        </is>
      </c>
      <c r="O44" s="521">
        <f>M44=N44</f>
        <v/>
      </c>
      <c r="P44" s="521">
        <f>AND(MONTH(F44)=MONTH(S44), YEAR(F44)=YEAR(S44))</f>
        <v/>
      </c>
      <c r="Q44" s="521">
        <f>U44="L001-901905215"</f>
        <v/>
      </c>
      <c r="R44" s="556">
        <f>G44-W44</f>
        <v/>
      </c>
      <c r="S44" s="523" t="n">
        <v>43851</v>
      </c>
      <c r="T44" s="522" t="inlineStr">
        <is>
          <t>TI0008</t>
        </is>
      </c>
      <c r="U44" s="522" t="inlineStr">
        <is>
          <t>L001-901905215</t>
        </is>
      </c>
      <c r="V44" s="522" t="inlineStr">
        <is>
          <t>វីអ៊ីស៊ិន (ខេមបូឌា) អ៊ិនដាសស្ទ្រី ឯ.ក</t>
        </is>
      </c>
      <c r="W44" s="556" t="n">
        <v>11651469</v>
      </c>
    </row>
    <row r="45">
      <c r="A45" s="521" t="n">
        <v>37</v>
      </c>
      <c r="B45" s="522" t="n"/>
      <c r="C45" s="522" t="inlineStr">
        <is>
          <t>វី សូ ខូ អិលធីឌី</t>
        </is>
      </c>
      <c r="D45" s="522" t="inlineStr">
        <is>
          <t>K006-901500578</t>
        </is>
      </c>
      <c r="E45" s="521" t="inlineStr">
        <is>
          <t>TI000038</t>
        </is>
      </c>
      <c r="F45" s="523" t="n">
        <v>43844</v>
      </c>
      <c r="G45" s="556" t="n">
        <v>264225</v>
      </c>
      <c r="I45" s="521">
        <f>G45</f>
        <v/>
      </c>
      <c r="K45" s="521">
        <f>I45-G45</f>
        <v/>
      </c>
      <c r="M45" s="522" t="inlineStr">
        <is>
          <t>TI000038</t>
        </is>
      </c>
      <c r="N45" s="522" t="inlineStr">
        <is>
          <t>TI000038</t>
        </is>
      </c>
      <c r="O45" s="521">
        <f>M45=N45</f>
        <v/>
      </c>
      <c r="P45" s="521">
        <f>AND(MONTH(F45)=MONTH(S45), YEAR(F45)=YEAR(S45))</f>
        <v/>
      </c>
      <c r="Q45" s="521">
        <f>U45="L001-901905215"</f>
        <v/>
      </c>
      <c r="R45" s="556">
        <f>G45-W45</f>
        <v/>
      </c>
      <c r="S45" s="523" t="n">
        <v>43844</v>
      </c>
      <c r="T45" s="522" t="inlineStr">
        <is>
          <t>TI000038</t>
        </is>
      </c>
      <c r="U45" s="522" t="inlineStr">
        <is>
          <t>L001-901905215</t>
        </is>
      </c>
      <c r="V45" s="522" t="inlineStr">
        <is>
          <t>វីអ៊ីស៊ិន (ខេមបូឌា) អ៊ិនដាសស្ទ្រី ឯ.ក</t>
        </is>
      </c>
      <c r="W45" s="556" t="n">
        <v>264225</v>
      </c>
    </row>
    <row r="46">
      <c r="A46" s="521" t="n">
        <v>38</v>
      </c>
      <c r="B46" s="522" t="n"/>
      <c r="C46" s="522" t="inlineStr">
        <is>
          <t>សូស៊ីយេតេ កុងសេស្យូនែរ ដឺ ឡាអេរ៉ូព័រ</t>
        </is>
      </c>
      <c r="D46" s="522" t="inlineStr">
        <is>
          <t>L001-100047300</t>
        </is>
      </c>
      <c r="E46" s="521" t="inlineStr">
        <is>
          <t>2000005566</t>
        </is>
      </c>
      <c r="F46" s="523" t="n">
        <v>43851</v>
      </c>
      <c r="G46" s="556" t="n">
        <v>27312</v>
      </c>
      <c r="I46" s="521">
        <f>G46</f>
        <v/>
      </c>
      <c r="K46" s="521">
        <f>I46-G46</f>
        <v/>
      </c>
      <c r="M46" s="522" t="inlineStr">
        <is>
          <t>2000005566</t>
        </is>
      </c>
      <c r="N46" s="522" t="inlineStr"/>
      <c r="O46" s="521">
        <f>M46=N46</f>
        <v/>
      </c>
      <c r="P46" s="521">
        <f>AND(MONTH(F46)=MONTH(S46), YEAR(F46)=YEAR(S46))</f>
        <v/>
      </c>
      <c r="Q46" s="521">
        <f>U46="L001-901905215"</f>
        <v/>
      </c>
      <c r="R46" s="556">
        <f>G46-W46</f>
        <v/>
      </c>
      <c r="S46" s="521" t="n"/>
      <c r="T46" s="522" t="n"/>
      <c r="U46" s="522" t="n"/>
      <c r="V46" s="522" t="n"/>
      <c r="W46" s="521" t="n"/>
    </row>
    <row r="47">
      <c r="A47" s="521" t="n">
        <v>39</v>
      </c>
      <c r="B47" s="522" t="n"/>
      <c r="C47" s="522" t="inlineStr">
        <is>
          <t>សូស៊ីយេតេ កុងសេស្យូនែរ ដឺ ឡាអេរ៉ូព័រ</t>
        </is>
      </c>
      <c r="D47" s="522" t="inlineStr">
        <is>
          <t>L001-100047300</t>
        </is>
      </c>
      <c r="E47" s="521" t="inlineStr">
        <is>
          <t>2000004264</t>
        </is>
      </c>
      <c r="F47" s="523" t="n">
        <v>43846</v>
      </c>
      <c r="G47" s="556" t="n">
        <v>29878</v>
      </c>
      <c r="I47" s="521">
        <f>G47</f>
        <v/>
      </c>
      <c r="K47" s="521">
        <f>I47-G47</f>
        <v/>
      </c>
      <c r="M47" s="522" t="inlineStr">
        <is>
          <t>2000004264</t>
        </is>
      </c>
      <c r="N47" s="522" t="inlineStr"/>
      <c r="O47" s="521">
        <f>M47=N47</f>
        <v/>
      </c>
      <c r="P47" s="521">
        <f>AND(MONTH(F47)=MONTH(S47), YEAR(F47)=YEAR(S47))</f>
        <v/>
      </c>
      <c r="Q47" s="521">
        <f>U47="L001-901905215"</f>
        <v/>
      </c>
      <c r="R47" s="556">
        <f>G47-W47</f>
        <v/>
      </c>
      <c r="S47" s="521" t="n"/>
      <c r="T47" s="522" t="n"/>
      <c r="U47" s="522" t="n"/>
      <c r="V47" s="522" t="n"/>
      <c r="W47" s="521" t="n"/>
    </row>
    <row r="48">
      <c r="A48" s="521" t="n">
        <v>40</v>
      </c>
      <c r="B48" s="522" t="n"/>
      <c r="C48" s="522" t="inlineStr">
        <is>
          <t>សូស៊ីយេតេ កុងសេស្យូនែរ ដឺ ឡាអេរ៉ូព័រ</t>
        </is>
      </c>
      <c r="D48" s="522" t="inlineStr">
        <is>
          <t>L001-100047300</t>
        </is>
      </c>
      <c r="E48" s="521" t="inlineStr">
        <is>
          <t>2000003336</t>
        </is>
      </c>
      <c r="F48" s="523" t="n">
        <v>43844</v>
      </c>
      <c r="G48" s="556" t="n">
        <v>34989</v>
      </c>
      <c r="I48" s="521">
        <f>G48</f>
        <v/>
      </c>
      <c r="K48" s="521">
        <f>I48-G48</f>
        <v/>
      </c>
      <c r="M48" s="522" t="inlineStr">
        <is>
          <t>2000003336</t>
        </is>
      </c>
      <c r="N48" s="522" t="inlineStr"/>
      <c r="O48" s="521">
        <f>M48=N48</f>
        <v/>
      </c>
      <c r="P48" s="521">
        <f>AND(MONTH(F48)=MONTH(S48), YEAR(F48)=YEAR(S48))</f>
        <v/>
      </c>
      <c r="Q48" s="521">
        <f>U48="L001-901905215"</f>
        <v/>
      </c>
      <c r="R48" s="556">
        <f>G48-W48</f>
        <v/>
      </c>
      <c r="S48" s="521" t="n"/>
      <c r="T48" s="522" t="n"/>
      <c r="U48" s="522" t="n"/>
      <c r="V48" s="522" t="n"/>
      <c r="W48" s="521" t="n"/>
    </row>
    <row r="49">
      <c r="A49" s="521" t="n">
        <v>41</v>
      </c>
      <c r="B49" s="522" t="n"/>
      <c r="C49" s="522" t="inlineStr">
        <is>
          <t>សូស៊ីយេតេ កុងសេស្យូនែរ ដឺ ឡាអេរ៉ូព័រ</t>
        </is>
      </c>
      <c r="D49" s="522" t="inlineStr">
        <is>
          <t>L001-100047300</t>
        </is>
      </c>
      <c r="E49" s="521" t="inlineStr">
        <is>
          <t>2000002791</t>
        </is>
      </c>
      <c r="F49" s="523" t="n">
        <v>43841</v>
      </c>
      <c r="G49" s="556" t="n">
        <v>7130</v>
      </c>
      <c r="I49" s="521">
        <f>G49</f>
        <v/>
      </c>
      <c r="K49" s="521">
        <f>I49-G49</f>
        <v/>
      </c>
      <c r="M49" s="522" t="inlineStr">
        <is>
          <t>2000002791</t>
        </is>
      </c>
      <c r="N49" s="522" t="inlineStr"/>
      <c r="O49" s="521">
        <f>M49=N49</f>
        <v/>
      </c>
      <c r="P49" s="521">
        <f>AND(MONTH(F49)=MONTH(S49), YEAR(F49)=YEAR(S49))</f>
        <v/>
      </c>
      <c r="Q49" s="521">
        <f>U49="L001-901905215"</f>
        <v/>
      </c>
      <c r="R49" s="556">
        <f>G49-W49</f>
        <v/>
      </c>
      <c r="S49" s="521" t="n"/>
      <c r="T49" s="522" t="n"/>
      <c r="U49" s="522" t="n"/>
      <c r="V49" s="522" t="n"/>
      <c r="W49" s="521" t="n"/>
    </row>
    <row r="50">
      <c r="A50" s="521" t="n">
        <v>42</v>
      </c>
      <c r="B50" s="522" t="n"/>
      <c r="C50" s="522" t="inlineStr">
        <is>
          <t>ស្ត្រេតស៍ អ៊ិនធើណេសិនណល ភីធីអ៊ី អិលធីឌី</t>
        </is>
      </c>
      <c r="D50" s="522" t="inlineStr">
        <is>
          <t>L001-100045162</t>
        </is>
      </c>
      <c r="E50" s="521" t="inlineStr">
        <is>
          <t>2000649</t>
        </is>
      </c>
      <c r="F50" s="523" t="n">
        <v>43838</v>
      </c>
      <c r="G50" s="556" t="n">
        <v>83333</v>
      </c>
      <c r="I50" s="521">
        <f>G50</f>
        <v/>
      </c>
      <c r="K50" s="521">
        <f>I50-G50</f>
        <v/>
      </c>
      <c r="M50" s="522" t="inlineStr">
        <is>
          <t>2000649</t>
        </is>
      </c>
      <c r="N50" s="522" t="inlineStr">
        <is>
          <t>2000649</t>
        </is>
      </c>
      <c r="O50" s="521">
        <f>M50=N50</f>
        <v/>
      </c>
      <c r="P50" s="521">
        <f>AND(MONTH(F50)=MONTH(S50), YEAR(F50)=YEAR(S50))</f>
        <v/>
      </c>
      <c r="Q50" s="521">
        <f>U50="L001-901905215"</f>
        <v/>
      </c>
      <c r="R50" s="556">
        <f>G50-W50</f>
        <v/>
      </c>
      <c r="S50" s="523" t="n">
        <v>43838</v>
      </c>
      <c r="T50" s="522" t="inlineStr">
        <is>
          <t>2000649</t>
        </is>
      </c>
      <c r="U50" s="522" t="inlineStr">
        <is>
          <t>L001-901905215</t>
        </is>
      </c>
      <c r="V50" s="522" t="inlineStr">
        <is>
          <t>វីអ៊ីស៊ិន (ខេមបូឌា) អ៊ិនដាសស្ទ្រី ឯ.ក</t>
        </is>
      </c>
      <c r="W50" s="556" t="n">
        <v>83025</v>
      </c>
    </row>
    <row r="51">
      <c r="A51" s="521" t="n">
        <v>43</v>
      </c>
      <c r="B51" s="522" t="n"/>
      <c r="C51" s="522" t="inlineStr">
        <is>
          <t>ស្ត្រេតស៍ អ៊ិនធើណេសិនណល ភីធីអ៊ី អិលធីឌី</t>
        </is>
      </c>
      <c r="D51" s="522" t="inlineStr">
        <is>
          <t>L001-100045162</t>
        </is>
      </c>
      <c r="E51" s="521" t="inlineStr">
        <is>
          <t>2000128</t>
        </is>
      </c>
      <c r="F51" s="523" t="n">
        <v>43831</v>
      </c>
      <c r="G51" s="556" t="n">
        <v>111788</v>
      </c>
      <c r="I51" s="521">
        <f>G51</f>
        <v/>
      </c>
      <c r="K51" s="521">
        <f>I51-G51</f>
        <v/>
      </c>
      <c r="M51" s="522" t="inlineStr">
        <is>
          <t>2000128</t>
        </is>
      </c>
      <c r="N51" s="522" t="inlineStr">
        <is>
          <t>2000128</t>
        </is>
      </c>
      <c r="O51" s="521">
        <f>M51=N51</f>
        <v/>
      </c>
      <c r="P51" s="521">
        <f>AND(MONTH(F51)=MONTH(S51), YEAR(F51)=YEAR(S51))</f>
        <v/>
      </c>
      <c r="Q51" s="521">
        <f>U51="L001-901905215"</f>
        <v/>
      </c>
      <c r="R51" s="556">
        <f>G51-W51</f>
        <v/>
      </c>
      <c r="S51" s="523" t="n">
        <v>43831</v>
      </c>
      <c r="T51" s="522" t="inlineStr">
        <is>
          <t>2000128</t>
        </is>
      </c>
      <c r="U51" s="522" t="inlineStr">
        <is>
          <t>L001-901905215</t>
        </is>
      </c>
      <c r="V51" s="522" t="inlineStr">
        <is>
          <t>វីអ៊ីស៊ិន (ខេមបូឌា) អ៊ិនដាសស្ទ្រី ឯ.ក</t>
        </is>
      </c>
      <c r="W51" s="556" t="n">
        <v>111375</v>
      </c>
    </row>
    <row r="52">
      <c r="A52" s="521" t="n">
        <v>44</v>
      </c>
      <c r="B52" s="522" t="n"/>
      <c r="C52" s="522" t="inlineStr">
        <is>
          <t>ខេមវីល គ្លូប៊ល ឯ.ក</t>
        </is>
      </c>
      <c r="D52" s="522" t="inlineStr">
        <is>
          <t>L001-901637190</t>
        </is>
      </c>
      <c r="E52" s="521" t="inlineStr">
        <is>
          <t>INV200149</t>
        </is>
      </c>
      <c r="F52" s="523" t="n">
        <v>43861</v>
      </c>
      <c r="G52" s="556" t="n">
        <v>138210</v>
      </c>
      <c r="I52" s="521">
        <f>G52</f>
        <v/>
      </c>
      <c r="K52" s="521">
        <f>I52-G52</f>
        <v/>
      </c>
      <c r="M52" s="522" t="inlineStr">
        <is>
          <t>INV200149</t>
        </is>
      </c>
      <c r="N52" s="522" t="inlineStr">
        <is>
          <t>INV200149</t>
        </is>
      </c>
      <c r="O52" s="521">
        <f>M52=N52</f>
        <v/>
      </c>
      <c r="P52" s="521">
        <f>AND(MONTH(F52)=MONTH(S52), YEAR(F52)=YEAR(S52))</f>
        <v/>
      </c>
      <c r="Q52" s="521">
        <f>U52="L001-901905215"</f>
        <v/>
      </c>
      <c r="R52" s="556">
        <f>G52-W52</f>
        <v/>
      </c>
      <c r="S52" s="523" t="n">
        <v>43861</v>
      </c>
      <c r="T52" s="522" t="inlineStr">
        <is>
          <t>INV200149</t>
        </is>
      </c>
      <c r="U52" s="522" t="inlineStr">
        <is>
          <t>L001-901905215</t>
        </is>
      </c>
      <c r="V52" s="522" t="inlineStr">
        <is>
          <t>វីអ៊ីស៊ិន (ខេមបូឌា) អ៊ិនដាសស្ទ្រី ឯ.ក</t>
        </is>
      </c>
      <c r="W52" s="556" t="n">
        <v>137700</v>
      </c>
    </row>
    <row r="53">
      <c r="A53" s="521" t="n">
        <v>45</v>
      </c>
      <c r="B53" s="522" t="n"/>
      <c r="C53" s="522" t="inlineStr">
        <is>
          <t>ខេមវីល គ្លូប៊ល ឯ.ក</t>
        </is>
      </c>
      <c r="D53" s="522" t="inlineStr">
        <is>
          <t>L001-901637190</t>
        </is>
      </c>
      <c r="E53" s="521" t="inlineStr">
        <is>
          <t>INV200148</t>
        </is>
      </c>
      <c r="F53" s="523" t="n">
        <v>43861</v>
      </c>
      <c r="G53" s="556" t="n">
        <v>105690</v>
      </c>
      <c r="I53" s="521">
        <f>G53</f>
        <v/>
      </c>
      <c r="K53" s="521">
        <f>I53-G53</f>
        <v/>
      </c>
      <c r="M53" s="522" t="inlineStr">
        <is>
          <t>INV200148</t>
        </is>
      </c>
      <c r="N53" s="522" t="inlineStr">
        <is>
          <t>INV200148</t>
        </is>
      </c>
      <c r="O53" s="521">
        <f>M53=N53</f>
        <v/>
      </c>
      <c r="P53" s="521">
        <f>AND(MONTH(F53)=MONTH(S53), YEAR(F53)=YEAR(S53))</f>
        <v/>
      </c>
      <c r="Q53" s="521">
        <f>U53="L001-901905215"</f>
        <v/>
      </c>
      <c r="R53" s="556">
        <f>G53-W53</f>
        <v/>
      </c>
      <c r="S53" s="523" t="n">
        <v>43861</v>
      </c>
      <c r="T53" s="522" t="inlineStr">
        <is>
          <t>INV200148</t>
        </is>
      </c>
      <c r="U53" s="522" t="inlineStr">
        <is>
          <t>L001-901905215</t>
        </is>
      </c>
      <c r="V53" s="522" t="inlineStr">
        <is>
          <t>វីអ៊ីស៊ិន (ខេមបូឌា) អ៊ិនដាសស្ទ្រី ឯ.ក</t>
        </is>
      </c>
      <c r="W53" s="556" t="n">
        <v>105300</v>
      </c>
    </row>
    <row r="54">
      <c r="A54" s="521" t="n">
        <v>46</v>
      </c>
      <c r="B54" s="522" t="n"/>
      <c r="C54" s="522" t="inlineStr">
        <is>
          <t>ខេមវីល គ្លូប៊ល ឯ.ក</t>
        </is>
      </c>
      <c r="D54" s="522" t="inlineStr">
        <is>
          <t>L001-901637190</t>
        </is>
      </c>
      <c r="E54" s="521" t="inlineStr">
        <is>
          <t>INV200126</t>
        </is>
      </c>
      <c r="F54" s="523" t="n">
        <v>43859</v>
      </c>
      <c r="G54" s="556" t="n">
        <v>166665</v>
      </c>
      <c r="I54" s="521">
        <f>G54</f>
        <v/>
      </c>
      <c r="K54" s="521">
        <f>I54-G54</f>
        <v/>
      </c>
      <c r="M54" s="522" t="inlineStr">
        <is>
          <t>INV200126</t>
        </is>
      </c>
      <c r="N54" s="522" t="inlineStr">
        <is>
          <t>INV200126</t>
        </is>
      </c>
      <c r="O54" s="521">
        <f>M54=N54</f>
        <v/>
      </c>
      <c r="P54" s="521">
        <f>AND(MONTH(F54)=MONTH(S54), YEAR(F54)=YEAR(S54))</f>
        <v/>
      </c>
      <c r="Q54" s="521">
        <f>U54="L001-901905215"</f>
        <v/>
      </c>
      <c r="R54" s="556">
        <f>G54-W54</f>
        <v/>
      </c>
      <c r="S54" s="523" t="n">
        <v>43858</v>
      </c>
      <c r="T54" s="522" t="inlineStr">
        <is>
          <t>INV200126</t>
        </is>
      </c>
      <c r="U54" s="522" t="inlineStr">
        <is>
          <t>L001-901905215</t>
        </is>
      </c>
      <c r="V54" s="522" t="inlineStr">
        <is>
          <t>វីអ៊ីស៊ិន (ខេមបូឌា) អ៊ិនដាសស្ទ្រី ឯ.ក</t>
        </is>
      </c>
      <c r="W54" s="556" t="n">
        <v>166050</v>
      </c>
    </row>
    <row r="55">
      <c r="A55" s="521" t="n">
        <v>47</v>
      </c>
      <c r="B55" s="522" t="n"/>
      <c r="C55" s="522" t="inlineStr">
        <is>
          <t>ខេមវីល គ្លូប៊ល ឯ.ក</t>
        </is>
      </c>
      <c r="D55" s="522" t="inlineStr">
        <is>
          <t>L001-901637190</t>
        </is>
      </c>
      <c r="E55" s="521" t="inlineStr">
        <is>
          <t>INV200125</t>
        </is>
      </c>
      <c r="F55" s="523" t="n">
        <v>43859</v>
      </c>
      <c r="G55" s="556" t="n">
        <v>235770</v>
      </c>
      <c r="I55" s="521">
        <f>G55</f>
        <v/>
      </c>
      <c r="K55" s="521">
        <f>I55-G55</f>
        <v/>
      </c>
      <c r="M55" s="522" t="inlineStr">
        <is>
          <t>INV200125</t>
        </is>
      </c>
      <c r="N55" s="522" t="inlineStr">
        <is>
          <t>INV200125</t>
        </is>
      </c>
      <c r="O55" s="521">
        <f>M55=N55</f>
        <v/>
      </c>
      <c r="P55" s="521">
        <f>AND(MONTH(F55)=MONTH(S55), YEAR(F55)=YEAR(S55))</f>
        <v/>
      </c>
      <c r="Q55" s="521">
        <f>U55="L001-901905215"</f>
        <v/>
      </c>
      <c r="R55" s="556">
        <f>G55-W55</f>
        <v/>
      </c>
      <c r="S55" s="523" t="n">
        <v>43858</v>
      </c>
      <c r="T55" s="522" t="inlineStr">
        <is>
          <t>INV200125</t>
        </is>
      </c>
      <c r="U55" s="522" t="inlineStr">
        <is>
          <t>L001-901905215</t>
        </is>
      </c>
      <c r="V55" s="522" t="inlineStr">
        <is>
          <t>វីអ៊ីស៊ិន (ខេមបូឌា) អ៊ិនដាសស្ទ្រី ឯ.ក</t>
        </is>
      </c>
      <c r="W55" s="556" t="n">
        <v>234900</v>
      </c>
    </row>
    <row r="56">
      <c r="A56" s="521" t="n">
        <v>48</v>
      </c>
      <c r="B56" s="522" t="n"/>
      <c r="C56" s="522" t="inlineStr">
        <is>
          <t>ខេមវីល គ្លូប៊ល ឯ.ក</t>
        </is>
      </c>
      <c r="D56" s="522" t="inlineStr">
        <is>
          <t>L001-901637190</t>
        </is>
      </c>
      <c r="E56" s="521" t="inlineStr">
        <is>
          <t>INV200124</t>
        </is>
      </c>
      <c r="F56" s="523" t="n">
        <v>43859</v>
      </c>
      <c r="G56" s="556" t="n">
        <v>235770</v>
      </c>
      <c r="I56" s="521">
        <f>G56</f>
        <v/>
      </c>
      <c r="K56" s="521">
        <f>I56-G56</f>
        <v/>
      </c>
      <c r="M56" s="522" t="inlineStr">
        <is>
          <t>INV200124</t>
        </is>
      </c>
      <c r="N56" s="522" t="inlineStr">
        <is>
          <t>INV200124</t>
        </is>
      </c>
      <c r="O56" s="521">
        <f>M56=N56</f>
        <v/>
      </c>
      <c r="P56" s="521">
        <f>AND(MONTH(F56)=MONTH(S56), YEAR(F56)=YEAR(S56))</f>
        <v/>
      </c>
      <c r="Q56" s="521">
        <f>U56="L001-901905215"</f>
        <v/>
      </c>
      <c r="R56" s="556">
        <f>G56-W56</f>
        <v/>
      </c>
      <c r="S56" s="523" t="n">
        <v>43858</v>
      </c>
      <c r="T56" s="522" t="inlineStr">
        <is>
          <t>INV200124</t>
        </is>
      </c>
      <c r="U56" s="522" t="inlineStr">
        <is>
          <t>L001-901905215</t>
        </is>
      </c>
      <c r="V56" s="522" t="inlineStr">
        <is>
          <t>វីអ៊ីស៊ិន (ខេមបូឌា) អ៊ិនដាសស្ទ្រី ឯ.ក</t>
        </is>
      </c>
      <c r="W56" s="556" t="n">
        <v>234900</v>
      </c>
    </row>
    <row r="57">
      <c r="A57" s="521" t="n">
        <v>49</v>
      </c>
      <c r="B57" s="522" t="n"/>
      <c r="C57" s="522" t="inlineStr">
        <is>
          <t>ខេមវីល គ្លូប៊ល ឯ.ក</t>
        </is>
      </c>
      <c r="D57" s="522" t="inlineStr">
        <is>
          <t>L001-901637190</t>
        </is>
      </c>
      <c r="E57" s="521" t="inlineStr">
        <is>
          <t>INV200123</t>
        </is>
      </c>
      <c r="F57" s="523" t="n">
        <v>43859</v>
      </c>
      <c r="G57" s="556" t="n">
        <v>235770</v>
      </c>
      <c r="I57" s="521">
        <f>G57</f>
        <v/>
      </c>
      <c r="K57" s="521">
        <f>I57-G57</f>
        <v/>
      </c>
      <c r="M57" s="522" t="inlineStr">
        <is>
          <t>INV200123</t>
        </is>
      </c>
      <c r="N57" s="522" t="inlineStr">
        <is>
          <t>INV200123</t>
        </is>
      </c>
      <c r="O57" s="521">
        <f>M57=N57</f>
        <v/>
      </c>
      <c r="P57" s="521">
        <f>AND(MONTH(F57)=MONTH(S57), YEAR(F57)=YEAR(S57))</f>
        <v/>
      </c>
      <c r="Q57" s="521">
        <f>U57="L001-901905215"</f>
        <v/>
      </c>
      <c r="R57" s="556">
        <f>G57-W57</f>
        <v/>
      </c>
      <c r="S57" s="523" t="n">
        <v>43858</v>
      </c>
      <c r="T57" s="522" t="inlineStr">
        <is>
          <t>INV200123</t>
        </is>
      </c>
      <c r="U57" s="522" t="inlineStr">
        <is>
          <t>L001-901905215</t>
        </is>
      </c>
      <c r="V57" s="522" t="inlineStr">
        <is>
          <t>វីអ៊ីស៊ិន (ខេមបូឌា) អ៊ិនដាសស្ទ្រី ឯ.ក</t>
        </is>
      </c>
      <c r="W57" s="556" t="n">
        <v>234900</v>
      </c>
    </row>
    <row r="58">
      <c r="A58" s="521" t="n">
        <v>50</v>
      </c>
      <c r="B58" s="522" t="n"/>
      <c r="C58" s="522" t="inlineStr">
        <is>
          <t>ខេមវីល គ្លូប៊ល ឯ.ក</t>
        </is>
      </c>
      <c r="D58" s="522" t="inlineStr">
        <is>
          <t>L001-901637190</t>
        </is>
      </c>
      <c r="E58" s="521" t="inlineStr">
        <is>
          <t>INV200096</t>
        </is>
      </c>
      <c r="F58" s="523" t="n">
        <v>43857</v>
      </c>
      <c r="G58" s="556" t="n">
        <v>93495</v>
      </c>
      <c r="I58" s="521">
        <f>G58</f>
        <v/>
      </c>
      <c r="K58" s="521">
        <f>I58-G58</f>
        <v/>
      </c>
      <c r="M58" s="522" t="inlineStr">
        <is>
          <t>INV200096</t>
        </is>
      </c>
      <c r="N58" s="522" t="inlineStr">
        <is>
          <t>INV200096</t>
        </is>
      </c>
      <c r="O58" s="521">
        <f>M58=N58</f>
        <v/>
      </c>
      <c r="P58" s="521">
        <f>AND(MONTH(F58)=MONTH(S58), YEAR(F58)=YEAR(S58))</f>
        <v/>
      </c>
      <c r="Q58" s="521">
        <f>U58="L001-901905215"</f>
        <v/>
      </c>
      <c r="R58" s="556">
        <f>G58-W58</f>
        <v/>
      </c>
      <c r="S58" s="523" t="n">
        <v>43857</v>
      </c>
      <c r="T58" s="522" t="inlineStr">
        <is>
          <t>INV200096</t>
        </is>
      </c>
      <c r="U58" s="522" t="inlineStr">
        <is>
          <t>L001-901905215</t>
        </is>
      </c>
      <c r="V58" s="522" t="inlineStr">
        <is>
          <t>វីអ៊ីស៊ិន (ខេមបូឌា) អ៊ិនដាសស្ទ្រី ឯ.ក</t>
        </is>
      </c>
      <c r="W58" s="556" t="n">
        <v>93150</v>
      </c>
    </row>
    <row r="59">
      <c r="A59" s="521" t="n">
        <v>51</v>
      </c>
      <c r="B59" s="522" t="n"/>
      <c r="C59" s="522" t="inlineStr">
        <is>
          <t>ខេមវីល គ្លូប៊ល ឯ.ក</t>
        </is>
      </c>
      <c r="D59" s="522" t="inlineStr">
        <is>
          <t>L001-901637190</t>
        </is>
      </c>
      <c r="E59" s="521" t="inlineStr">
        <is>
          <t>INV200095</t>
        </is>
      </c>
      <c r="F59" s="523" t="n">
        <v>43857</v>
      </c>
      <c r="G59" s="556" t="n">
        <v>223575</v>
      </c>
      <c r="I59" s="521">
        <f>G59</f>
        <v/>
      </c>
      <c r="K59" s="521">
        <f>I59-G59</f>
        <v/>
      </c>
      <c r="M59" s="522" t="inlineStr">
        <is>
          <t>INV200095</t>
        </is>
      </c>
      <c r="N59" s="522" t="inlineStr">
        <is>
          <t>INV200095</t>
        </is>
      </c>
      <c r="O59" s="521">
        <f>M59=N59</f>
        <v/>
      </c>
      <c r="P59" s="521">
        <f>AND(MONTH(F59)=MONTH(S59), YEAR(F59)=YEAR(S59))</f>
        <v/>
      </c>
      <c r="Q59" s="521">
        <f>U59="L001-901905215"</f>
        <v/>
      </c>
      <c r="R59" s="556">
        <f>G59-W59</f>
        <v/>
      </c>
      <c r="S59" s="523" t="n">
        <v>43857</v>
      </c>
      <c r="T59" s="522" t="inlineStr">
        <is>
          <t>INV200095</t>
        </is>
      </c>
      <c r="U59" s="522" t="inlineStr">
        <is>
          <t>L001-901905215</t>
        </is>
      </c>
      <c r="V59" s="522" t="inlineStr">
        <is>
          <t>វីអ៊ីស៊ិន (ខេមបូឌា) អ៊ិនដាសស្ទ្រី ឯ.ក</t>
        </is>
      </c>
      <c r="W59" s="556" t="n">
        <v>222750</v>
      </c>
    </row>
    <row r="60">
      <c r="A60" s="521" t="n">
        <v>52</v>
      </c>
      <c r="B60" s="522" t="n"/>
      <c r="C60" s="522" t="inlineStr">
        <is>
          <t>ខេមវីល គ្លូប៊ល ឯ.ក</t>
        </is>
      </c>
      <c r="D60" s="522" t="inlineStr">
        <is>
          <t>L001-901637190</t>
        </is>
      </c>
      <c r="E60" s="521" t="inlineStr">
        <is>
          <t>INV200094</t>
        </is>
      </c>
      <c r="F60" s="523" t="n">
        <v>43857</v>
      </c>
      <c r="G60" s="556" t="n">
        <v>138210</v>
      </c>
      <c r="I60" s="521">
        <f>G60</f>
        <v/>
      </c>
      <c r="K60" s="521">
        <f>I60-G60</f>
        <v/>
      </c>
      <c r="M60" s="522" t="inlineStr">
        <is>
          <t>INV200094</t>
        </is>
      </c>
      <c r="N60" s="522" t="inlineStr">
        <is>
          <t>INV200094</t>
        </is>
      </c>
      <c r="O60" s="521">
        <f>M60=N60</f>
        <v/>
      </c>
      <c r="P60" s="521">
        <f>AND(MONTH(F60)=MONTH(S60), YEAR(F60)=YEAR(S60))</f>
        <v/>
      </c>
      <c r="Q60" s="521">
        <f>U60="L001-901905215"</f>
        <v/>
      </c>
      <c r="R60" s="556">
        <f>G60-W60</f>
        <v/>
      </c>
      <c r="S60" s="523" t="n">
        <v>43857</v>
      </c>
      <c r="T60" s="522" t="inlineStr">
        <is>
          <t>INV200094</t>
        </is>
      </c>
      <c r="U60" s="522" t="inlineStr">
        <is>
          <t>L001-901905215</t>
        </is>
      </c>
      <c r="V60" s="522" t="inlineStr">
        <is>
          <t>វីអ៊ីស៊ិន (ខេមបូឌា) អ៊ិនដាសស្ទ្រី ឯ.ក</t>
        </is>
      </c>
      <c r="W60" s="556" t="n">
        <v>137700</v>
      </c>
    </row>
    <row r="61">
      <c r="A61" s="521" t="n">
        <v>53</v>
      </c>
      <c r="B61" s="522" t="n"/>
      <c r="C61" s="522" t="inlineStr">
        <is>
          <t>ខេមវីល គ្លូប៊ល ឯ.ក</t>
        </is>
      </c>
      <c r="D61" s="522" t="inlineStr">
        <is>
          <t>L001-901637190</t>
        </is>
      </c>
      <c r="E61" s="521" t="inlineStr">
        <is>
          <t>INV200093</t>
        </is>
      </c>
      <c r="F61" s="523" t="n">
        <v>43857</v>
      </c>
      <c r="G61" s="556" t="n">
        <v>138210</v>
      </c>
      <c r="I61" s="521">
        <f>G61</f>
        <v/>
      </c>
      <c r="K61" s="521">
        <f>I61-G61</f>
        <v/>
      </c>
      <c r="M61" s="522" t="inlineStr">
        <is>
          <t>INV200093</t>
        </is>
      </c>
      <c r="N61" s="522" t="inlineStr">
        <is>
          <t>INV200093</t>
        </is>
      </c>
      <c r="O61" s="521">
        <f>M61=N61</f>
        <v/>
      </c>
      <c r="P61" s="521">
        <f>AND(MONTH(F61)=MONTH(S61), YEAR(F61)=YEAR(S61))</f>
        <v/>
      </c>
      <c r="Q61" s="521">
        <f>U61="L001-901905215"</f>
        <v/>
      </c>
      <c r="R61" s="556">
        <f>G61-W61</f>
        <v/>
      </c>
      <c r="S61" s="523" t="n">
        <v>43857</v>
      </c>
      <c r="T61" s="522" t="inlineStr">
        <is>
          <t>INV200093</t>
        </is>
      </c>
      <c r="U61" s="522" t="inlineStr">
        <is>
          <t>L001-901905215</t>
        </is>
      </c>
      <c r="V61" s="522" t="inlineStr">
        <is>
          <t>វីអ៊ីស៊ិន (ខេមបូឌា) អ៊ិនដាសស្ទ្រី ឯ.ក</t>
        </is>
      </c>
      <c r="W61" s="556" t="n">
        <v>137700</v>
      </c>
    </row>
    <row r="62">
      <c r="A62" s="521" t="n">
        <v>54</v>
      </c>
      <c r="B62" s="522" t="n"/>
      <c r="C62" s="522" t="inlineStr">
        <is>
          <t>យីងកឺ ខេម ឯ.ក</t>
        </is>
      </c>
      <c r="D62" s="522" t="inlineStr">
        <is>
          <t>K003-901900367</t>
        </is>
      </c>
      <c r="E62" s="521" t="inlineStr">
        <is>
          <t>YK21-003</t>
        </is>
      </c>
      <c r="F62" s="523" t="n">
        <v>44200</v>
      </c>
      <c r="G62" s="556" t="n">
        <v>239318</v>
      </c>
      <c r="I62" s="521">
        <f>G62</f>
        <v/>
      </c>
      <c r="K62" s="521">
        <f>I62-G62</f>
        <v/>
      </c>
      <c r="M62" s="522" t="inlineStr">
        <is>
          <t>YK21003</t>
        </is>
      </c>
      <c r="N62" s="522" t="inlineStr">
        <is>
          <t>YK21003</t>
        </is>
      </c>
      <c r="O62" s="521">
        <f>M62=N62</f>
        <v/>
      </c>
      <c r="P62" s="521">
        <f>AND(MONTH(F62)=MONTH(S62), YEAR(F62)=YEAR(S62))</f>
        <v/>
      </c>
      <c r="Q62" s="521">
        <f>U62="L001-901905215"</f>
        <v/>
      </c>
      <c r="R62" s="556">
        <f>G62-W62</f>
        <v/>
      </c>
      <c r="S62" s="523" t="n">
        <v>44200</v>
      </c>
      <c r="T62" s="522" t="inlineStr">
        <is>
          <t>YK21-003</t>
        </is>
      </c>
      <c r="U62" s="522" t="inlineStr">
        <is>
          <t>L001-901905215</t>
        </is>
      </c>
      <c r="V62" s="522" t="inlineStr">
        <is>
          <t>វីអ៊ីស៊ិន (ខេមបូឌា) អ៊ិនដាសស្ទ្រី ឯ.ក</t>
        </is>
      </c>
      <c r="W62" s="556" t="n">
        <v>239318</v>
      </c>
    </row>
    <row r="63">
      <c r="A63" s="521" t="n">
        <v>55</v>
      </c>
      <c r="B63" s="522" t="n"/>
      <c r="C63" s="522" t="inlineStr">
        <is>
          <t>សូស៊ីយេតេ កុងសេស្យូនែរ ដឺ ឡាអេរ៉ូព័រ</t>
        </is>
      </c>
      <c r="D63" s="522" t="inlineStr">
        <is>
          <t>L001-100047300</t>
        </is>
      </c>
      <c r="E63" s="521" t="inlineStr">
        <is>
          <t>2000-064199</t>
        </is>
      </c>
      <c r="F63" s="523" t="n">
        <v>44197</v>
      </c>
      <c r="G63" s="556" t="n">
        <v>129346</v>
      </c>
      <c r="I63" s="521">
        <f>G63</f>
        <v/>
      </c>
      <c r="K63" s="521">
        <f>I63-G63</f>
        <v/>
      </c>
      <c r="M63" s="522" t="inlineStr">
        <is>
          <t>2000064199</t>
        </is>
      </c>
      <c r="N63" s="522" t="inlineStr"/>
      <c r="O63" s="521">
        <f>M63=N63</f>
        <v/>
      </c>
      <c r="P63" s="521">
        <f>AND(MONTH(F63)=MONTH(S63), YEAR(F63)=YEAR(S63))</f>
        <v/>
      </c>
      <c r="Q63" s="521">
        <f>U63="L001-901905215"</f>
        <v/>
      </c>
      <c r="R63" s="556">
        <f>G63-W63</f>
        <v/>
      </c>
      <c r="S63" s="521" t="n"/>
      <c r="T63" s="522" t="n"/>
      <c r="U63" s="522" t="n"/>
      <c r="V63" s="522" t="n"/>
      <c r="W63" s="521" t="n"/>
    </row>
    <row r="64">
      <c r="A64" s="521" t="n">
        <v>56</v>
      </c>
      <c r="B64" s="522" t="n"/>
      <c r="C64" s="522" t="inlineStr">
        <is>
          <t>កំពង់ផែស្វយ័តភ្នំពេញ "ក.ស.ភ"</t>
        </is>
      </c>
      <c r="D64" s="522" t="inlineStr">
        <is>
          <t>L001-100044999</t>
        </is>
      </c>
      <c r="E64" s="521" t="inlineStr">
        <is>
          <t>INV20210101052</t>
        </is>
      </c>
      <c r="F64" s="523" t="n">
        <v>44204</v>
      </c>
      <c r="G64" s="556" t="n">
        <v>28976</v>
      </c>
      <c r="I64" s="521">
        <f>G64</f>
        <v/>
      </c>
      <c r="K64" s="521">
        <f>I64-G64</f>
        <v/>
      </c>
      <c r="M64" s="522" t="inlineStr">
        <is>
          <t>INV20210101052</t>
        </is>
      </c>
      <c r="N64" s="522" t="inlineStr"/>
      <c r="O64" s="521">
        <f>M64=N64</f>
        <v/>
      </c>
      <c r="P64" s="521">
        <f>AND(MONTH(F64)=MONTH(S64), YEAR(F64)=YEAR(S64))</f>
        <v/>
      </c>
      <c r="Q64" s="521">
        <f>U64="L001-901905215"</f>
        <v/>
      </c>
      <c r="R64" s="556">
        <f>G64-W64</f>
        <v/>
      </c>
      <c r="S64" s="521" t="n"/>
      <c r="T64" s="522" t="n"/>
      <c r="U64" s="522" t="n"/>
      <c r="V64" s="522" t="n"/>
      <c r="W64" s="521" t="n"/>
    </row>
    <row r="65">
      <c r="A65" s="521" t="n">
        <v>57</v>
      </c>
      <c r="B65" s="522" t="n"/>
      <c r="C65" s="522" t="inlineStr">
        <is>
          <t>សូស៊ីយេតេ កុងសេស្យូនែរ ដឺ ឡាអេរ៉ូព័រ</t>
        </is>
      </c>
      <c r="D65" s="522" t="inlineStr">
        <is>
          <t>L001-100047300</t>
        </is>
      </c>
      <c r="E65" s="521" t="inlineStr">
        <is>
          <t>2100-001119</t>
        </is>
      </c>
      <c r="F65" s="523" t="n">
        <v>44204</v>
      </c>
      <c r="G65" s="556" t="n">
        <v>535848</v>
      </c>
      <c r="I65" s="521">
        <f>G65</f>
        <v/>
      </c>
      <c r="K65" s="521">
        <f>I65-G65</f>
        <v/>
      </c>
      <c r="M65" s="522" t="inlineStr">
        <is>
          <t>2100001119</t>
        </is>
      </c>
      <c r="N65" s="522" t="inlineStr"/>
      <c r="O65" s="521">
        <f>M65=N65</f>
        <v/>
      </c>
      <c r="P65" s="521">
        <f>AND(MONTH(F65)=MONTH(S65), YEAR(F65)=YEAR(S65))</f>
        <v/>
      </c>
      <c r="Q65" s="521">
        <f>U65="L001-901905215"</f>
        <v/>
      </c>
      <c r="R65" s="556">
        <f>G65-W65</f>
        <v/>
      </c>
      <c r="S65" s="521" t="n"/>
      <c r="T65" s="522" t="n"/>
      <c r="U65" s="522" t="n"/>
      <c r="V65" s="522" t="n"/>
      <c r="W65" s="521" t="n"/>
    </row>
    <row r="66">
      <c r="A66" s="521" t="n">
        <v>58</v>
      </c>
      <c r="B66" s="522" t="n"/>
      <c r="C66" s="522" t="inlineStr">
        <is>
          <t>ហុង ឡេង ហួរ</t>
        </is>
      </c>
      <c r="D66" s="522" t="inlineStr">
        <is>
          <t>L001-100068901</t>
        </is>
      </c>
      <c r="E66" s="521" t="inlineStr">
        <is>
          <t>000154057</t>
        </is>
      </c>
      <c r="F66" s="523" t="n">
        <v>44205</v>
      </c>
      <c r="G66" s="556" t="n">
        <v>7355</v>
      </c>
      <c r="I66" s="521">
        <f>G66</f>
        <v/>
      </c>
      <c r="K66" s="521">
        <f>I66-G66</f>
        <v/>
      </c>
      <c r="M66" s="522" t="inlineStr">
        <is>
          <t>000154057</t>
        </is>
      </c>
      <c r="N66" s="522" t="inlineStr"/>
      <c r="O66" s="521">
        <f>M66=N66</f>
        <v/>
      </c>
      <c r="P66" s="521">
        <f>AND(MONTH(F66)=MONTH(S66), YEAR(F66)=YEAR(S66))</f>
        <v/>
      </c>
      <c r="Q66" s="521">
        <f>U66="L001-901905215"</f>
        <v/>
      </c>
      <c r="R66" s="556">
        <f>G66-W66</f>
        <v/>
      </c>
      <c r="S66" s="521" t="n"/>
      <c r="T66" s="522" t="n"/>
      <c r="U66" s="522" t="n"/>
      <c r="V66" s="522" t="n"/>
      <c r="W66" s="521" t="n"/>
    </row>
    <row r="67">
      <c r="A67" s="521" t="n">
        <v>59</v>
      </c>
      <c r="B67" s="522" t="n"/>
      <c r="C67" s="522" t="inlineStr">
        <is>
          <t>ហុង ឡេង ហួរ</t>
        </is>
      </c>
      <c r="D67" s="522" t="inlineStr">
        <is>
          <t>L001-100068901</t>
        </is>
      </c>
      <c r="E67" s="521" t="inlineStr">
        <is>
          <t>000154056</t>
        </is>
      </c>
      <c r="F67" s="523" t="n">
        <v>44205</v>
      </c>
      <c r="G67" s="556" t="n">
        <v>7355</v>
      </c>
      <c r="I67" s="521">
        <f>G67</f>
        <v/>
      </c>
      <c r="K67" s="521">
        <f>I67-G67</f>
        <v/>
      </c>
      <c r="M67" s="522" t="inlineStr">
        <is>
          <t>000154056</t>
        </is>
      </c>
      <c r="N67" s="522" t="inlineStr"/>
      <c r="O67" s="521">
        <f>M67=N67</f>
        <v/>
      </c>
      <c r="P67" s="521">
        <f>AND(MONTH(F67)=MONTH(S67), YEAR(F67)=YEAR(S67))</f>
        <v/>
      </c>
      <c r="Q67" s="521">
        <f>U67="L001-901905215"</f>
        <v/>
      </c>
      <c r="R67" s="556">
        <f>G67-W67</f>
        <v/>
      </c>
      <c r="S67" s="521" t="n"/>
      <c r="T67" s="522" t="n"/>
      <c r="U67" s="522" t="n"/>
      <c r="V67" s="522" t="n"/>
      <c r="W67" s="521" t="n"/>
    </row>
    <row r="68">
      <c r="A68" s="521" t="n">
        <v>60</v>
      </c>
      <c r="B68" s="522" t="n"/>
      <c r="C68" s="522" t="inlineStr">
        <is>
          <t>កំពង់ផែស្វយ័តភ្នំពេញ "ក.ស.ភ"</t>
        </is>
      </c>
      <c r="D68" s="522" t="inlineStr">
        <is>
          <t>L001-100044999</t>
        </is>
      </c>
      <c r="E68" s="521" t="inlineStr">
        <is>
          <t>INV20210101055</t>
        </is>
      </c>
      <c r="F68" s="523" t="n">
        <v>44204</v>
      </c>
      <c r="G68" s="556" t="n">
        <v>57952</v>
      </c>
      <c r="I68" s="521">
        <f>G68</f>
        <v/>
      </c>
      <c r="K68" s="521">
        <f>I68-G68</f>
        <v/>
      </c>
      <c r="M68" s="522" t="inlineStr">
        <is>
          <t>INV20210101055</t>
        </is>
      </c>
      <c r="N68" s="522" t="inlineStr"/>
      <c r="O68" s="521">
        <f>M68=N68</f>
        <v/>
      </c>
      <c r="P68" s="521">
        <f>AND(MONTH(F68)=MONTH(S68), YEAR(F68)=YEAR(S68))</f>
        <v/>
      </c>
      <c r="Q68" s="521">
        <f>U68="L001-901905215"</f>
        <v/>
      </c>
      <c r="R68" s="556">
        <f>G68-W68</f>
        <v/>
      </c>
      <c r="S68" s="521" t="n"/>
      <c r="T68" s="522" t="n"/>
      <c r="U68" s="522" t="n"/>
      <c r="V68" s="522" t="n"/>
      <c r="W68" s="521" t="n"/>
    </row>
    <row r="69">
      <c r="A69" s="521" t="n">
        <v>61</v>
      </c>
      <c r="B69" s="522" t="n"/>
      <c r="C69" s="522" t="inlineStr">
        <is>
          <t>កំពង់ផែស្វយ័តក្រុងព្រះសីហនុ</t>
        </is>
      </c>
      <c r="D69" s="522" t="inlineStr">
        <is>
          <t>L001-100044638</t>
        </is>
      </c>
      <c r="E69" s="521" t="inlineStr">
        <is>
          <t>000004581</t>
        </is>
      </c>
      <c r="F69" s="523" t="n">
        <v>44205</v>
      </c>
      <c r="G69" s="556" t="n">
        <v>143370</v>
      </c>
      <c r="I69" s="521">
        <f>G69</f>
        <v/>
      </c>
      <c r="K69" s="521">
        <f>I69-G69</f>
        <v/>
      </c>
      <c r="M69" s="522" t="inlineStr">
        <is>
          <t>000004581</t>
        </is>
      </c>
      <c r="N69" s="522" t="inlineStr"/>
      <c r="O69" s="521">
        <f>M69=N69</f>
        <v/>
      </c>
      <c r="P69" s="521">
        <f>AND(MONTH(F69)=MONTH(S69), YEAR(F69)=YEAR(S69))</f>
        <v/>
      </c>
      <c r="Q69" s="521">
        <f>U69="L001-901905215"</f>
        <v/>
      </c>
      <c r="R69" s="556">
        <f>G69-W69</f>
        <v/>
      </c>
      <c r="S69" s="521" t="n"/>
      <c r="T69" s="522" t="n"/>
      <c r="U69" s="522" t="n"/>
      <c r="V69" s="522" t="n"/>
      <c r="W69" s="521" t="n"/>
    </row>
    <row r="70">
      <c r="A70" s="521" t="n">
        <v>62</v>
      </c>
      <c r="B70" s="522" t="n"/>
      <c r="C70" s="522" t="inlineStr">
        <is>
          <t>កំពង់ផែស្វយ័តក្រុងព្រះសីហនុ</t>
        </is>
      </c>
      <c r="D70" s="522" t="inlineStr">
        <is>
          <t>L001-100044638</t>
        </is>
      </c>
      <c r="E70" s="521" t="inlineStr">
        <is>
          <t>000198486</t>
        </is>
      </c>
      <c r="F70" s="523" t="n">
        <v>44197</v>
      </c>
      <c r="G70" s="556" t="n">
        <v>20629</v>
      </c>
      <c r="I70" s="521">
        <f>G70</f>
        <v/>
      </c>
      <c r="K70" s="521">
        <f>I70-G70</f>
        <v/>
      </c>
      <c r="M70" s="522" t="inlineStr">
        <is>
          <t>000198486</t>
        </is>
      </c>
      <c r="N70" s="522" t="inlineStr"/>
      <c r="O70" s="521">
        <f>M70=N70</f>
        <v/>
      </c>
      <c r="P70" s="521">
        <f>AND(MONTH(F70)=MONTH(S70), YEAR(F70)=YEAR(S70))</f>
        <v/>
      </c>
      <c r="Q70" s="521">
        <f>U70="L001-901905215"</f>
        <v/>
      </c>
      <c r="R70" s="556">
        <f>G70-W70</f>
        <v/>
      </c>
      <c r="S70" s="521" t="n"/>
      <c r="T70" s="522" t="n"/>
      <c r="U70" s="522" t="n"/>
      <c r="V70" s="522" t="n"/>
      <c r="W70" s="521" t="n"/>
    </row>
    <row r="71">
      <c r="A71" s="521" t="n">
        <v>63</v>
      </c>
      <c r="B71" s="522" t="n"/>
      <c r="C71" s="522" t="inlineStr">
        <is>
          <t>ភីស៊ីអាយ សឺវីស</t>
        </is>
      </c>
      <c r="D71" s="522" t="inlineStr">
        <is>
          <t>K010-901639639</t>
        </is>
      </c>
      <c r="E71" s="521" t="inlineStr">
        <is>
          <t>20210017</t>
        </is>
      </c>
      <c r="F71" s="523" t="n">
        <v>44223</v>
      </c>
      <c r="G71" s="556" t="n">
        <v>81000</v>
      </c>
      <c r="I71" s="521">
        <f>G71</f>
        <v/>
      </c>
      <c r="K71" s="521">
        <f>I71-G71</f>
        <v/>
      </c>
      <c r="M71" s="522" t="inlineStr">
        <is>
          <t>20210017</t>
        </is>
      </c>
      <c r="N71" s="522" t="inlineStr"/>
      <c r="O71" s="521">
        <f>M71=N71</f>
        <v/>
      </c>
      <c r="P71" s="521">
        <f>AND(MONTH(F71)=MONTH(S71), YEAR(F71)=YEAR(S71))</f>
        <v/>
      </c>
      <c r="Q71" s="521">
        <f>U71="L001-901905215"</f>
        <v/>
      </c>
      <c r="R71" s="556">
        <f>G71-W71</f>
        <v/>
      </c>
      <c r="S71" s="521" t="n"/>
      <c r="T71" s="522" t="n"/>
      <c r="U71" s="522" t="n"/>
      <c r="V71" s="522" t="n"/>
      <c r="W71" s="521" t="n"/>
    </row>
    <row r="72">
      <c r="A72" s="521" t="n">
        <v>64</v>
      </c>
      <c r="B72" s="522" t="n"/>
      <c r="C72" s="522" t="inlineStr">
        <is>
          <t>យូសេន ឡូជីស្ទីក (ខេមបូឌា) ខូ អិលធីឌី</t>
        </is>
      </c>
      <c r="D72" s="522" t="inlineStr">
        <is>
          <t>L001-104015799</t>
        </is>
      </c>
      <c r="E72" s="521" t="inlineStr">
        <is>
          <t>C07741272</t>
        </is>
      </c>
      <c r="F72" s="523" t="n">
        <v>44219</v>
      </c>
      <c r="G72" s="556" t="n">
        <v>146160</v>
      </c>
      <c r="I72" s="521">
        <f>G72</f>
        <v/>
      </c>
      <c r="K72" s="521">
        <f>I72-G72</f>
        <v/>
      </c>
      <c r="M72" s="522" t="inlineStr">
        <is>
          <t>C07741272</t>
        </is>
      </c>
      <c r="N72" s="522" t="inlineStr"/>
      <c r="O72" s="521">
        <f>M72=N72</f>
        <v/>
      </c>
      <c r="P72" s="521">
        <f>AND(MONTH(F72)=MONTH(S72), YEAR(F72)=YEAR(S72))</f>
        <v/>
      </c>
      <c r="Q72" s="521">
        <f>U72="L001-901905215"</f>
        <v/>
      </c>
      <c r="R72" s="556">
        <f>G72-W72</f>
        <v/>
      </c>
      <c r="S72" s="521" t="n"/>
      <c r="T72" s="522" t="n"/>
      <c r="U72" s="522" t="n"/>
      <c r="V72" s="522" t="n"/>
      <c r="W72" s="521" t="n"/>
    </row>
    <row r="73">
      <c r="A73" s="521" t="n">
        <v>65</v>
      </c>
      <c r="B73" s="522" t="n"/>
      <c r="C73" s="522" t="inlineStr">
        <is>
          <t>យូសេន ឡូជីស្ទីក (ខេមបូឌា) ខូ អិលធីឌី</t>
        </is>
      </c>
      <c r="D73" s="522" t="inlineStr">
        <is>
          <t>L001-104015799</t>
        </is>
      </c>
      <c r="E73" s="521" t="inlineStr">
        <is>
          <t>C07708108</t>
        </is>
      </c>
      <c r="F73" s="523" t="n">
        <v>44202</v>
      </c>
      <c r="G73" s="556" t="n">
        <v>160984</v>
      </c>
      <c r="I73" s="521">
        <f>G73</f>
        <v/>
      </c>
      <c r="K73" s="521">
        <f>I73-G73</f>
        <v/>
      </c>
      <c r="M73" s="522" t="inlineStr">
        <is>
          <t>C07708108</t>
        </is>
      </c>
      <c r="N73" s="522" t="inlineStr"/>
      <c r="O73" s="521">
        <f>M73=N73</f>
        <v/>
      </c>
      <c r="P73" s="521">
        <f>AND(MONTH(F73)=MONTH(S73), YEAR(F73)=YEAR(S73))</f>
        <v/>
      </c>
      <c r="Q73" s="521">
        <f>U73="L001-901905215"</f>
        <v/>
      </c>
      <c r="R73" s="556">
        <f>G73-W73</f>
        <v/>
      </c>
      <c r="S73" s="521" t="n"/>
      <c r="T73" s="522" t="n"/>
      <c r="U73" s="522" t="n"/>
      <c r="V73" s="522" t="n"/>
      <c r="W73" s="521" t="n"/>
    </row>
    <row r="74">
      <c r="A74" s="521" t="n">
        <v>66</v>
      </c>
      <c r="B74" s="522" t="n"/>
      <c r="C74" s="522" t="inlineStr">
        <is>
          <t>វ៉ាយ.ស៊ី ផេកខេជីង ឯ.ក</t>
        </is>
      </c>
      <c r="D74" s="522" t="inlineStr">
        <is>
          <t>L001-901700417</t>
        </is>
      </c>
      <c r="E74" s="521" t="inlineStr">
        <is>
          <t>TI0009</t>
        </is>
      </c>
      <c r="F74" s="523" t="n">
        <v>44227</v>
      </c>
      <c r="G74" s="556" t="n">
        <v>20521518</v>
      </c>
      <c r="I74" s="521">
        <f>G74</f>
        <v/>
      </c>
      <c r="K74" s="521">
        <f>I74-G74</f>
        <v/>
      </c>
      <c r="M74" s="522" t="inlineStr">
        <is>
          <t>TI0009</t>
        </is>
      </c>
      <c r="N74" s="522" t="inlineStr">
        <is>
          <t>TI0009</t>
        </is>
      </c>
      <c r="O74" s="521">
        <f>M74=N74</f>
        <v/>
      </c>
      <c r="P74" s="521">
        <f>AND(MONTH(F74)=MONTH(S74), YEAR(F74)=YEAR(S74))</f>
        <v/>
      </c>
      <c r="Q74" s="521">
        <f>U74="L001-901905215"</f>
        <v/>
      </c>
      <c r="R74" s="556">
        <f>G74-W74</f>
        <v/>
      </c>
      <c r="S74" s="523" t="n">
        <v>44227</v>
      </c>
      <c r="T74" s="522" t="inlineStr">
        <is>
          <t>TI0009</t>
        </is>
      </c>
      <c r="U74" s="522" t="inlineStr">
        <is>
          <t>L001-901905215</t>
        </is>
      </c>
      <c r="V74" s="522" t="inlineStr">
        <is>
          <t>វីអ៊ីស៊ិន (ខេមបូឌា) អ៊ិនដាសស្ទ្រី ឯ.ក</t>
        </is>
      </c>
      <c r="W74" s="556" t="n">
        <v>20521518</v>
      </c>
    </row>
    <row r="75">
      <c r="A75" s="521" t="n">
        <v>67</v>
      </c>
      <c r="B75" s="522" t="n"/>
      <c r="C75" s="522" t="inlineStr">
        <is>
          <t>វ៉ាយ.ស៊ី ផេកខេជីង ឯ.ក</t>
        </is>
      </c>
      <c r="D75" s="522" t="inlineStr">
        <is>
          <t>L001-901700417</t>
        </is>
      </c>
      <c r="E75" s="521" t="inlineStr">
        <is>
          <t>TI0014</t>
        </is>
      </c>
      <c r="F75" s="523" t="n">
        <v>44227</v>
      </c>
      <c r="G75" s="556" t="n">
        <v>8926594</v>
      </c>
      <c r="I75" s="521">
        <f>G75</f>
        <v/>
      </c>
      <c r="K75" s="521">
        <f>I75-G75</f>
        <v/>
      </c>
      <c r="M75" s="522" t="inlineStr">
        <is>
          <t>TI0014</t>
        </is>
      </c>
      <c r="N75" s="522" t="inlineStr">
        <is>
          <t>TI0014</t>
        </is>
      </c>
      <c r="O75" s="521">
        <f>M75=N75</f>
        <v/>
      </c>
      <c r="P75" s="521">
        <f>AND(MONTH(F75)=MONTH(S75), YEAR(F75)=YEAR(S75))</f>
        <v/>
      </c>
      <c r="Q75" s="521">
        <f>U75="L001-901905215"</f>
        <v/>
      </c>
      <c r="R75" s="556">
        <f>G75-W75</f>
        <v/>
      </c>
      <c r="S75" s="523" t="n">
        <v>44227</v>
      </c>
      <c r="T75" s="522" t="inlineStr">
        <is>
          <t>TI0014</t>
        </is>
      </c>
      <c r="U75" s="522" t="inlineStr">
        <is>
          <t>L001-901905215</t>
        </is>
      </c>
      <c r="V75" s="522" t="inlineStr">
        <is>
          <t>វីអ៊ីស៊ិន (ខេមបូឌា) អ៊ិនដាសស្ទ្រី ឯ.ក</t>
        </is>
      </c>
      <c r="W75" s="556" t="n">
        <v>8926593</v>
      </c>
    </row>
    <row r="76">
      <c r="A76" s="521" t="n">
        <v>68</v>
      </c>
      <c r="B76" s="522" t="n"/>
      <c r="C76" s="522" t="inlineStr">
        <is>
          <t>ស៊ីន ហ្វី យ៉ាង ព្រីនធីង &amp; អិកសេសសឺរី ឯ.ក</t>
        </is>
      </c>
      <c r="D76" s="522" t="inlineStr">
        <is>
          <t>K010-901906822</t>
        </is>
      </c>
      <c r="E76" s="521" t="inlineStr">
        <is>
          <t>XFY-YD2021015</t>
        </is>
      </c>
      <c r="F76" s="523" t="n">
        <v>44225</v>
      </c>
      <c r="G76" s="556" t="n">
        <v>4389968</v>
      </c>
      <c r="I76" s="521">
        <f>G76</f>
        <v/>
      </c>
      <c r="K76" s="521">
        <f>I76-G76</f>
        <v/>
      </c>
      <c r="M76" s="522" t="inlineStr">
        <is>
          <t>XFYYD2021015</t>
        </is>
      </c>
      <c r="N76" s="522" t="inlineStr">
        <is>
          <t>XFYYD2021015</t>
        </is>
      </c>
      <c r="O76" s="521">
        <f>M76=N76</f>
        <v/>
      </c>
      <c r="P76" s="521">
        <f>AND(MONTH(F76)=MONTH(S76), YEAR(F76)=YEAR(S76))</f>
        <v/>
      </c>
      <c r="Q76" s="521">
        <f>U76="L001-901905215"</f>
        <v/>
      </c>
      <c r="R76" s="556">
        <f>G76-W76</f>
        <v/>
      </c>
      <c r="S76" s="523" t="n">
        <v>44225</v>
      </c>
      <c r="T76" s="522" t="inlineStr">
        <is>
          <t>XFY-YD2021015</t>
        </is>
      </c>
      <c r="U76" s="522" t="inlineStr">
        <is>
          <t>L001-901905215</t>
        </is>
      </c>
      <c r="V76" s="522" t="inlineStr">
        <is>
          <t>វីអ៊ីស៊ិន (ខេមបូឌា) អ៊ិនដាសស្ទ្រី ឯ.ក</t>
        </is>
      </c>
      <c r="W76" s="556" t="n">
        <v>4389968</v>
      </c>
    </row>
    <row r="77">
      <c r="A77" s="521" t="n">
        <v>69</v>
      </c>
      <c r="B77" s="522" t="n"/>
      <c r="C77" s="522" t="inlineStr">
        <is>
          <t>ត្រេនម៉ារីន ឡូជីស្ទីក (ខេមបូឌា)</t>
        </is>
      </c>
      <c r="D77" s="522" t="inlineStr">
        <is>
          <t>L001-106004107</t>
        </is>
      </c>
      <c r="E77" s="521" t="inlineStr">
        <is>
          <t>9960005542</t>
        </is>
      </c>
      <c r="F77" s="523" t="n">
        <v>44210</v>
      </c>
      <c r="G77" s="556" t="n">
        <v>73691</v>
      </c>
      <c r="I77" s="521">
        <f>G77</f>
        <v/>
      </c>
      <c r="K77" s="521">
        <f>I77-G77</f>
        <v/>
      </c>
      <c r="M77" s="522" t="inlineStr">
        <is>
          <t>9960005542</t>
        </is>
      </c>
      <c r="N77" s="522" t="inlineStr"/>
      <c r="O77" s="521">
        <f>M77=N77</f>
        <v/>
      </c>
      <c r="P77" s="521">
        <f>AND(MONTH(F77)=MONTH(S77), YEAR(F77)=YEAR(S77))</f>
        <v/>
      </c>
      <c r="Q77" s="521">
        <f>U77="L001-901905215"</f>
        <v/>
      </c>
      <c r="R77" s="556">
        <f>G77-W77</f>
        <v/>
      </c>
      <c r="S77" s="521" t="n"/>
      <c r="T77" s="522" t="n"/>
      <c r="U77" s="522" t="n"/>
      <c r="V77" s="522" t="n"/>
      <c r="W77" s="521" t="n"/>
    </row>
    <row r="78">
      <c r="A78" s="521" t="n">
        <v>70</v>
      </c>
      <c r="B78" s="522" t="n"/>
      <c r="C78" s="522" t="inlineStr">
        <is>
          <t>ត្រេនម៉ារីន ឡូជីស្ទីក (ខេមបូឌា)</t>
        </is>
      </c>
      <c r="D78" s="522" t="inlineStr">
        <is>
          <t>L001-106004107</t>
        </is>
      </c>
      <c r="E78" s="521" t="inlineStr">
        <is>
          <t>9963004026</t>
        </is>
      </c>
      <c r="F78" s="523" t="n">
        <v>44210</v>
      </c>
      <c r="G78" s="556" t="n">
        <v>99299</v>
      </c>
      <c r="I78" s="521">
        <f>G78</f>
        <v/>
      </c>
      <c r="K78" s="521">
        <f>I78-G78</f>
        <v/>
      </c>
      <c r="M78" s="522" t="inlineStr">
        <is>
          <t>9963004026</t>
        </is>
      </c>
      <c r="N78" s="522" t="inlineStr">
        <is>
          <t>9963004026</t>
        </is>
      </c>
      <c r="O78" s="521">
        <f>M78=N78</f>
        <v/>
      </c>
      <c r="P78" s="521">
        <f>AND(MONTH(F78)=MONTH(S78), YEAR(F78)=YEAR(S78))</f>
        <v/>
      </c>
      <c r="Q78" s="521">
        <f>U78="L001-901905215"</f>
        <v/>
      </c>
      <c r="R78" s="556">
        <f>G78-W78</f>
        <v/>
      </c>
      <c r="S78" s="523" t="n">
        <v>44210</v>
      </c>
      <c r="T78" s="522" t="inlineStr">
        <is>
          <t>9963004026</t>
        </is>
      </c>
      <c r="U78" s="522" t="inlineStr">
        <is>
          <t>L001-901905215</t>
        </is>
      </c>
      <c r="V78" s="522" t="inlineStr">
        <is>
          <t>វីអ៊ីស៊ិន (ខេមបូឌា) អ៊ិនដាសស្ទ្រី ឯ.ក</t>
        </is>
      </c>
      <c r="W78" s="556" t="n">
        <v>99593</v>
      </c>
    </row>
    <row r="79">
      <c r="A79" s="521" t="n">
        <v>71</v>
      </c>
      <c r="B79" s="522" t="n"/>
      <c r="C79" s="522" t="inlineStr">
        <is>
          <t>ស្ត្រេតស៍ អ៊ិនធើណេសិនណល ភីធីអ៊ី អិលធីឌី</t>
        </is>
      </c>
      <c r="D79" s="522" t="inlineStr">
        <is>
          <t>L001-100045162</t>
        </is>
      </c>
      <c r="E79" s="521" t="inlineStr">
        <is>
          <t>INV2100674</t>
        </is>
      </c>
      <c r="F79" s="523" t="n">
        <v>44208</v>
      </c>
      <c r="G79" s="556" t="n">
        <v>200202</v>
      </c>
      <c r="I79" s="521">
        <f>G79</f>
        <v/>
      </c>
      <c r="K79" s="521">
        <f>I79-G79</f>
        <v/>
      </c>
      <c r="M79" s="522" t="inlineStr">
        <is>
          <t>INV2100674</t>
        </is>
      </c>
      <c r="N79" s="522" t="inlineStr"/>
      <c r="O79" s="521">
        <f>M79=N79</f>
        <v/>
      </c>
      <c r="P79" s="521">
        <f>AND(MONTH(F79)=MONTH(S79), YEAR(F79)=YEAR(S79))</f>
        <v/>
      </c>
      <c r="Q79" s="521">
        <f>U79="L001-901905215"</f>
        <v/>
      </c>
      <c r="R79" s="556">
        <f>G79-W79</f>
        <v/>
      </c>
      <c r="S79" s="521" t="n"/>
      <c r="T79" s="522" t="n"/>
      <c r="U79" s="522" t="n"/>
      <c r="V79" s="522" t="n"/>
      <c r="W79" s="521" t="n"/>
    </row>
    <row r="80">
      <c r="A80" s="521" t="n">
        <v>72</v>
      </c>
      <c r="B80" s="522" t="n"/>
      <c r="C80" s="522" t="inlineStr">
        <is>
          <t>ស្ត្រេតស៍ អ៊ិនធើណេសិនណល ភីធីអ៊ី អិលធីឌី</t>
        </is>
      </c>
      <c r="D80" s="522" t="inlineStr">
        <is>
          <t>L001-100045162</t>
        </is>
      </c>
      <c r="E80" s="521" t="inlineStr">
        <is>
          <t>INV2024573</t>
        </is>
      </c>
      <c r="F80" s="523" t="n">
        <v>44197</v>
      </c>
      <c r="G80" s="556" t="n">
        <v>260129</v>
      </c>
      <c r="I80" s="521">
        <f>G80</f>
        <v/>
      </c>
      <c r="K80" s="521">
        <f>I80-G80</f>
        <v/>
      </c>
      <c r="M80" s="522" t="inlineStr">
        <is>
          <t>INV2024573</t>
        </is>
      </c>
      <c r="N80" s="522" t="inlineStr"/>
      <c r="O80" s="521">
        <f>M80=N80</f>
        <v/>
      </c>
      <c r="P80" s="521">
        <f>AND(MONTH(F80)=MONTH(S80), YEAR(F80)=YEAR(S80))</f>
        <v/>
      </c>
      <c r="Q80" s="521">
        <f>U80="L001-901905215"</f>
        <v/>
      </c>
      <c r="R80" s="556">
        <f>G80-W80</f>
        <v/>
      </c>
      <c r="S80" s="521" t="n"/>
      <c r="T80" s="522" t="n"/>
      <c r="U80" s="522" t="n"/>
      <c r="V80" s="522" t="n"/>
      <c r="W80" s="521" t="n"/>
    </row>
    <row r="81">
      <c r="A81" s="521" t="n">
        <v>73</v>
      </c>
      <c r="B81" s="522" t="n"/>
      <c r="C81" s="522" t="inlineStr">
        <is>
          <t>សូស៊ីយេតេ កុងសេស្យូនែរ ដឺ ឡាអេរ៉ូព័រ</t>
        </is>
      </c>
      <c r="D81" s="522" t="inlineStr">
        <is>
          <t>L001-100047300</t>
        </is>
      </c>
      <c r="E81" s="521" t="inlineStr">
        <is>
          <t>INV21000011793</t>
        </is>
      </c>
      <c r="F81" s="523" t="n">
        <v>44197</v>
      </c>
      <c r="G81" s="556" t="n">
        <v>5799</v>
      </c>
      <c r="I81" s="521">
        <f>G81</f>
        <v/>
      </c>
      <c r="K81" s="521">
        <f>I81-G81</f>
        <v/>
      </c>
      <c r="M81" s="522" t="inlineStr">
        <is>
          <t>INV21000011793</t>
        </is>
      </c>
      <c r="N81" s="522" t="inlineStr"/>
      <c r="O81" s="521">
        <f>M81=N81</f>
        <v/>
      </c>
      <c r="P81" s="521">
        <f>AND(MONTH(F81)=MONTH(S81), YEAR(F81)=YEAR(S81))</f>
        <v/>
      </c>
      <c r="Q81" s="521">
        <f>U81="L001-901905215"</f>
        <v/>
      </c>
      <c r="R81" s="556">
        <f>G81-W81</f>
        <v/>
      </c>
      <c r="S81" s="521" t="n"/>
      <c r="T81" s="522" t="n"/>
      <c r="U81" s="522" t="n"/>
      <c r="V81" s="522" t="n"/>
      <c r="W81" s="521" t="n"/>
    </row>
    <row r="82">
      <c r="A82" s="521" t="n">
        <v>74</v>
      </c>
      <c r="B82" s="522" t="n"/>
      <c r="C82" s="522" t="inlineStr">
        <is>
          <t>សូស៊ីយេតេ កុងសេស្យូនែរ ដឺ ឡាអេរ៉ូព័រ</t>
        </is>
      </c>
      <c r="D82" s="522" t="inlineStr">
        <is>
          <t>L001-100047300</t>
        </is>
      </c>
      <c r="E82" s="521" t="inlineStr">
        <is>
          <t>INV2100004647</t>
        </is>
      </c>
      <c r="F82" s="523" t="n">
        <v>44197</v>
      </c>
      <c r="G82" s="556" t="n">
        <v>4549</v>
      </c>
      <c r="I82" s="521">
        <f>G82</f>
        <v/>
      </c>
      <c r="K82" s="521">
        <f>I82-G82</f>
        <v/>
      </c>
      <c r="M82" s="522" t="inlineStr">
        <is>
          <t>INV2100004647</t>
        </is>
      </c>
      <c r="N82" s="522" t="inlineStr"/>
      <c r="O82" s="521">
        <f>M82=N82</f>
        <v/>
      </c>
      <c r="P82" s="521">
        <f>AND(MONTH(F82)=MONTH(S82), YEAR(F82)=YEAR(S82))</f>
        <v/>
      </c>
      <c r="Q82" s="521">
        <f>U82="L001-901905215"</f>
        <v/>
      </c>
      <c r="R82" s="556">
        <f>G82-W82</f>
        <v/>
      </c>
      <c r="S82" s="521" t="n"/>
      <c r="T82" s="522" t="n"/>
      <c r="U82" s="522" t="n"/>
      <c r="V82" s="522" t="n"/>
      <c r="W82" s="521" t="n"/>
    </row>
    <row r="83">
      <c r="A83" s="521" t="n">
        <v>75</v>
      </c>
      <c r="B83" s="522" t="n"/>
      <c r="C83" s="522" t="inlineStr">
        <is>
          <t>សូស៊ីយេតេ កុងសេស្យូនែរ ដឺ ឡាអេរ៉ូព័រ</t>
        </is>
      </c>
      <c r="D83" s="522" t="inlineStr">
        <is>
          <t>L001-100047300</t>
        </is>
      </c>
      <c r="E83" s="521" t="inlineStr">
        <is>
          <t>2100-003714</t>
        </is>
      </c>
      <c r="F83" s="523" t="n">
        <v>44225</v>
      </c>
      <c r="G83" s="556" t="n">
        <v>6854</v>
      </c>
      <c r="I83" s="521">
        <f>G83</f>
        <v/>
      </c>
      <c r="K83" s="521">
        <f>I83-G83</f>
        <v/>
      </c>
      <c r="M83" s="522" t="inlineStr">
        <is>
          <t>2100003714</t>
        </is>
      </c>
      <c r="N83" s="522" t="inlineStr"/>
      <c r="O83" s="521">
        <f>M83=N83</f>
        <v/>
      </c>
      <c r="P83" s="521">
        <f>AND(MONTH(F83)=MONTH(S83), YEAR(F83)=YEAR(S83))</f>
        <v/>
      </c>
      <c r="Q83" s="521">
        <f>U83="L001-901905215"</f>
        <v/>
      </c>
      <c r="R83" s="556">
        <f>G83-W83</f>
        <v/>
      </c>
      <c r="S83" s="521" t="n"/>
      <c r="T83" s="522" t="n"/>
      <c r="U83" s="522" t="n"/>
      <c r="V83" s="522" t="n"/>
      <c r="W83" s="521" t="n"/>
    </row>
    <row r="84">
      <c r="A84" s="521" t="n">
        <v>76</v>
      </c>
      <c r="B84" s="522" t="n"/>
      <c r="C84" s="522" t="inlineStr">
        <is>
          <t>សូស៊ីយេតេ កុងសេស្យូនែរ ដឺ ឡាអេរ៉ូព័រ</t>
        </is>
      </c>
      <c r="D84" s="522" t="inlineStr">
        <is>
          <t>L001-100047300</t>
        </is>
      </c>
      <c r="E84" s="521" t="inlineStr">
        <is>
          <t>2100-005740</t>
        </is>
      </c>
      <c r="F84" s="523" t="n">
        <v>44225</v>
      </c>
      <c r="G84" s="556" t="n">
        <v>42731</v>
      </c>
      <c r="I84" s="521">
        <f>G84</f>
        <v/>
      </c>
      <c r="K84" s="521">
        <f>I84-G84</f>
        <v/>
      </c>
      <c r="M84" s="522" t="inlineStr">
        <is>
          <t>2100005740</t>
        </is>
      </c>
      <c r="N84" s="522" t="inlineStr"/>
      <c r="O84" s="521">
        <f>M84=N84</f>
        <v/>
      </c>
      <c r="P84" s="521">
        <f>AND(MONTH(F84)=MONTH(S84), YEAR(F84)=YEAR(S84))</f>
        <v/>
      </c>
      <c r="Q84" s="521">
        <f>U84="L001-901905215"</f>
        <v/>
      </c>
      <c r="R84" s="556">
        <f>G84-W84</f>
        <v/>
      </c>
      <c r="S84" s="521" t="n"/>
      <c r="T84" s="522" t="n"/>
      <c r="U84" s="522" t="n"/>
      <c r="V84" s="522" t="n"/>
      <c r="W84" s="521" t="n"/>
    </row>
    <row r="85">
      <c r="A85" s="521" t="n">
        <v>77</v>
      </c>
      <c r="B85" s="522" t="n"/>
      <c r="C85" s="522" t="inlineStr">
        <is>
          <t>សូស៊ីយេតេ កុងសេស្យូនែរ ដឺ ឡាអេរ៉ូព័រ</t>
        </is>
      </c>
      <c r="D85" s="522" t="inlineStr">
        <is>
          <t>L001-100047300</t>
        </is>
      </c>
      <c r="E85" s="521" t="inlineStr">
        <is>
          <t>2100-005739</t>
        </is>
      </c>
      <c r="F85" s="523" t="n">
        <v>44225</v>
      </c>
      <c r="G85" s="556" t="n">
        <v>30244</v>
      </c>
      <c r="I85" s="521">
        <f>G85</f>
        <v/>
      </c>
      <c r="K85" s="521">
        <f>I85-G85</f>
        <v/>
      </c>
      <c r="M85" s="522" t="inlineStr">
        <is>
          <t>2100005739</t>
        </is>
      </c>
      <c r="N85" s="522" t="inlineStr"/>
      <c r="O85" s="521">
        <f>M85=N85</f>
        <v/>
      </c>
      <c r="P85" s="521">
        <f>AND(MONTH(F85)=MONTH(S85), YEAR(F85)=YEAR(S85))</f>
        <v/>
      </c>
      <c r="Q85" s="521">
        <f>U85="L001-901905215"</f>
        <v/>
      </c>
      <c r="R85" s="556">
        <f>G85-W85</f>
        <v/>
      </c>
      <c r="S85" s="521" t="n"/>
      <c r="T85" s="522" t="n"/>
      <c r="U85" s="522" t="n"/>
      <c r="V85" s="522" t="n"/>
      <c r="W85" s="521" t="n"/>
    </row>
    <row r="86">
      <c r="A86" s="521" t="n">
        <v>78</v>
      </c>
      <c r="B86" s="522" t="n"/>
      <c r="C86" s="522" t="inlineStr">
        <is>
          <t>សូស៊ីយេតេ កុងសេស្យូនែរ ដឺ ឡាអេរ៉ូព័រ</t>
        </is>
      </c>
      <c r="D86" s="522" t="inlineStr">
        <is>
          <t>L001-100047300</t>
        </is>
      </c>
      <c r="E86" s="521" t="inlineStr">
        <is>
          <t>2100-005347</t>
        </is>
      </c>
      <c r="F86" s="523" t="n">
        <v>44225</v>
      </c>
      <c r="G86" s="556" t="n">
        <v>86666</v>
      </c>
      <c r="I86" s="521">
        <f>G86</f>
        <v/>
      </c>
      <c r="K86" s="521">
        <f>I86-G86</f>
        <v/>
      </c>
      <c r="M86" s="522" t="inlineStr">
        <is>
          <t>2100005347</t>
        </is>
      </c>
      <c r="N86" s="522" t="inlineStr"/>
      <c r="O86" s="521">
        <f>M86=N86</f>
        <v/>
      </c>
      <c r="P86" s="521">
        <f>AND(MONTH(F86)=MONTH(S86), YEAR(F86)=YEAR(S86))</f>
        <v/>
      </c>
      <c r="Q86" s="521">
        <f>U86="L001-901905215"</f>
        <v/>
      </c>
      <c r="R86" s="556">
        <f>G86-W86</f>
        <v/>
      </c>
      <c r="S86" s="521" t="n"/>
      <c r="T86" s="522" t="n"/>
      <c r="U86" s="522" t="n"/>
      <c r="V86" s="522" t="n"/>
      <c r="W86" s="521" t="n"/>
    </row>
    <row r="87">
      <c r="A87" s="521" t="n">
        <v>79</v>
      </c>
      <c r="B87" s="522" t="n"/>
      <c r="C87" s="522" t="inlineStr">
        <is>
          <t>ស៊ីងហ្គាពួរ កាតុង (ខេមបូឌា)</t>
        </is>
      </c>
      <c r="D87" s="522" t="inlineStr">
        <is>
          <t>L001-100121322</t>
        </is>
      </c>
      <c r="E87" s="521" t="inlineStr">
        <is>
          <t>V0015467</t>
        </is>
      </c>
      <c r="F87" s="523" t="n">
        <v>44225</v>
      </c>
      <c r="G87" s="556" t="n">
        <v>109796</v>
      </c>
      <c r="I87" s="521">
        <f>G87</f>
        <v/>
      </c>
      <c r="K87" s="521">
        <f>I87-G87</f>
        <v/>
      </c>
      <c r="M87" s="522" t="inlineStr">
        <is>
          <t>V0015467</t>
        </is>
      </c>
      <c r="N87" s="522" t="inlineStr">
        <is>
          <t>V0015467</t>
        </is>
      </c>
      <c r="O87" s="521">
        <f>M87=N87</f>
        <v/>
      </c>
      <c r="P87" s="521">
        <f>AND(MONTH(F87)=MONTH(S87), YEAR(F87)=YEAR(S87))</f>
        <v/>
      </c>
      <c r="Q87" s="521">
        <f>U87="L001-901905215"</f>
        <v/>
      </c>
      <c r="R87" s="556">
        <f>G87-W87</f>
        <v/>
      </c>
      <c r="S87" s="523" t="n">
        <v>44225</v>
      </c>
      <c r="T87" s="522" t="inlineStr">
        <is>
          <t>V0015467</t>
        </is>
      </c>
      <c r="U87" s="522" t="inlineStr">
        <is>
          <t>L001-901905215</t>
        </is>
      </c>
      <c r="V87" s="522" t="inlineStr">
        <is>
          <t>វីអ៊ីស៊ិន (ខេមបូឌា) អ៊ិនដាសស្ទ្រី ឯ.ក</t>
        </is>
      </c>
      <c r="W87" s="556" t="n">
        <v>109796</v>
      </c>
    </row>
    <row r="88">
      <c r="A88" s="521" t="n">
        <v>80</v>
      </c>
      <c r="B88" s="522" t="n"/>
      <c r="C88" s="522" t="inlineStr">
        <is>
          <t>ស៊ីងហ្គាពួរ កាតុង (ខេមបូឌា)</t>
        </is>
      </c>
      <c r="D88" s="522" t="inlineStr">
        <is>
          <t>L001-100121322</t>
        </is>
      </c>
      <c r="E88" s="521" t="inlineStr">
        <is>
          <t>V0015456</t>
        </is>
      </c>
      <c r="F88" s="523" t="n">
        <v>44224</v>
      </c>
      <c r="G88" s="556" t="n">
        <v>661704</v>
      </c>
      <c r="I88" s="521">
        <f>G88</f>
        <v/>
      </c>
      <c r="K88" s="521">
        <f>I88-G88</f>
        <v/>
      </c>
      <c r="M88" s="522" t="inlineStr">
        <is>
          <t>V0015456</t>
        </is>
      </c>
      <c r="N88" s="522" t="inlineStr">
        <is>
          <t>V0015456</t>
        </is>
      </c>
      <c r="O88" s="521">
        <f>M88=N88</f>
        <v/>
      </c>
      <c r="P88" s="521">
        <f>AND(MONTH(F88)=MONTH(S88), YEAR(F88)=YEAR(S88))</f>
        <v/>
      </c>
      <c r="Q88" s="521">
        <f>U88="L001-901905215"</f>
        <v/>
      </c>
      <c r="R88" s="556">
        <f>G88-W88</f>
        <v/>
      </c>
      <c r="S88" s="523" t="n">
        <v>44224</v>
      </c>
      <c r="T88" s="522" t="inlineStr">
        <is>
          <t>V0015456</t>
        </is>
      </c>
      <c r="U88" s="522" t="inlineStr">
        <is>
          <t>L001-901905215</t>
        </is>
      </c>
      <c r="V88" s="522" t="inlineStr">
        <is>
          <t>វីអ៊ីស៊ិន (ខេមបូឌា) អ៊ិនដាសស្ទ្រី ឯ.ក</t>
        </is>
      </c>
      <c r="W88" s="556" t="n">
        <v>662030</v>
      </c>
    </row>
    <row r="89">
      <c r="A89" s="521" t="n">
        <v>81</v>
      </c>
      <c r="B89" s="522" t="n"/>
      <c r="C89" s="522" t="inlineStr">
        <is>
          <t>ស៊ីងហ្គាពួរ កាតុង (ខេមបូឌា)</t>
        </is>
      </c>
      <c r="D89" s="522" t="inlineStr">
        <is>
          <t>L001-100121322</t>
        </is>
      </c>
      <c r="E89" s="521" t="inlineStr">
        <is>
          <t>V0015465</t>
        </is>
      </c>
      <c r="F89" s="523" t="n">
        <v>44225</v>
      </c>
      <c r="G89" s="556" t="n">
        <v>843488</v>
      </c>
      <c r="I89" s="521">
        <f>G89</f>
        <v/>
      </c>
      <c r="K89" s="521">
        <f>I89-G89</f>
        <v/>
      </c>
      <c r="M89" s="522" t="inlineStr">
        <is>
          <t>V0015465</t>
        </is>
      </c>
      <c r="N89" s="522" t="inlineStr">
        <is>
          <t>V0015465</t>
        </is>
      </c>
      <c r="O89" s="521">
        <f>M89=N89</f>
        <v/>
      </c>
      <c r="P89" s="521">
        <f>AND(MONTH(F89)=MONTH(S89), YEAR(F89)=YEAR(S89))</f>
        <v/>
      </c>
      <c r="Q89" s="521">
        <f>U89="L001-901905215"</f>
        <v/>
      </c>
      <c r="R89" s="556">
        <f>G89-W89</f>
        <v/>
      </c>
      <c r="S89" s="523" t="n">
        <v>44225</v>
      </c>
      <c r="T89" s="522" t="inlineStr">
        <is>
          <t>V0015465</t>
        </is>
      </c>
      <c r="U89" s="522" t="inlineStr">
        <is>
          <t>L001-901905215</t>
        </is>
      </c>
      <c r="V89" s="522" t="inlineStr">
        <is>
          <t>វីអ៊ីស៊ិន (ខេមបូឌា) អ៊ិនដាសស្ទ្រី ឯ.ក</t>
        </is>
      </c>
      <c r="W89" s="556" t="n">
        <v>843488</v>
      </c>
    </row>
    <row r="90">
      <c r="A90" s="521" t="n">
        <v>82</v>
      </c>
      <c r="B90" s="522" t="n"/>
      <c r="C90" s="522" t="inlineStr">
        <is>
          <t>ស៊ីងហ្គាពួរ កាតុង (ខេមបូឌា)</t>
        </is>
      </c>
      <c r="D90" s="522" t="inlineStr">
        <is>
          <t>L001-100121322</t>
        </is>
      </c>
      <c r="E90" s="521" t="inlineStr">
        <is>
          <t>V0015448</t>
        </is>
      </c>
      <c r="F90" s="523" t="n">
        <v>44223</v>
      </c>
      <c r="G90" s="556" t="n">
        <v>582491</v>
      </c>
      <c r="I90" s="521">
        <f>G90</f>
        <v/>
      </c>
      <c r="K90" s="521">
        <f>I90-G90</f>
        <v/>
      </c>
      <c r="M90" s="522" t="inlineStr">
        <is>
          <t>V0015448</t>
        </is>
      </c>
      <c r="N90" s="522" t="inlineStr">
        <is>
          <t>V0015448</t>
        </is>
      </c>
      <c r="O90" s="521">
        <f>M90=N90</f>
        <v/>
      </c>
      <c r="P90" s="521">
        <f>AND(MONTH(F90)=MONTH(S90), YEAR(F90)=YEAR(S90))</f>
        <v/>
      </c>
      <c r="Q90" s="521">
        <f>U90="L001-901905215"</f>
        <v/>
      </c>
      <c r="R90" s="556">
        <f>G90-W90</f>
        <v/>
      </c>
      <c r="S90" s="523" t="n">
        <v>44223</v>
      </c>
      <c r="T90" s="522" t="inlineStr">
        <is>
          <t>V0015448</t>
        </is>
      </c>
      <c r="U90" s="522" t="inlineStr">
        <is>
          <t>L001-901905215</t>
        </is>
      </c>
      <c r="V90" s="522" t="inlineStr">
        <is>
          <t>វីអ៊ីស៊ិន (ខេមបូឌា) អ៊ិនដាសស្ទ្រី ឯ.ក</t>
        </is>
      </c>
      <c r="W90" s="556" t="n">
        <v>582921</v>
      </c>
    </row>
    <row r="91">
      <c r="A91" s="521" t="n">
        <v>83</v>
      </c>
      <c r="B91" s="522" t="n"/>
      <c r="C91" s="522" t="inlineStr">
        <is>
          <t>ស៊ីងហ្គាពួរ កាតុង (ខេមបូឌា)</t>
        </is>
      </c>
      <c r="D91" s="522" t="inlineStr">
        <is>
          <t>L001-100121322</t>
        </is>
      </c>
      <c r="E91" s="521" t="inlineStr">
        <is>
          <t>V0015442</t>
        </is>
      </c>
      <c r="F91" s="523" t="n">
        <v>44222</v>
      </c>
      <c r="G91" s="556" t="n">
        <v>14908</v>
      </c>
      <c r="I91" s="521">
        <f>G91</f>
        <v/>
      </c>
      <c r="K91" s="521">
        <f>I91-G91</f>
        <v/>
      </c>
      <c r="M91" s="522" t="inlineStr">
        <is>
          <t>V0015442</t>
        </is>
      </c>
      <c r="N91" s="522" t="inlineStr">
        <is>
          <t>V0015442</t>
        </is>
      </c>
      <c r="O91" s="521">
        <f>M91=N91</f>
        <v/>
      </c>
      <c r="P91" s="521">
        <f>AND(MONTH(F91)=MONTH(S91), YEAR(F91)=YEAR(S91))</f>
        <v/>
      </c>
      <c r="Q91" s="521">
        <f>U91="L001-901905215"</f>
        <v/>
      </c>
      <c r="R91" s="556">
        <f>G91-W91</f>
        <v/>
      </c>
      <c r="S91" s="523" t="n">
        <v>44222</v>
      </c>
      <c r="T91" s="522" t="inlineStr">
        <is>
          <t>V0015442</t>
        </is>
      </c>
      <c r="U91" s="522" t="inlineStr">
        <is>
          <t>L001-901905215</t>
        </is>
      </c>
      <c r="V91" s="522" t="inlineStr">
        <is>
          <t>វីអ៊ីស៊ិន (ខេមបូឌា) អ៊ិនដាសស្ទ្រី ឯ.ក</t>
        </is>
      </c>
      <c r="W91" s="556" t="n">
        <v>14919</v>
      </c>
    </row>
    <row r="92">
      <c r="A92" s="521" t="n">
        <v>84</v>
      </c>
      <c r="B92" s="522" t="n"/>
      <c r="C92" s="522" t="inlineStr">
        <is>
          <t>ស៊ីងហ្គាពួរ កាតុង (ខេមបូឌា)</t>
        </is>
      </c>
      <c r="D92" s="522" t="inlineStr">
        <is>
          <t>L001-100121322</t>
        </is>
      </c>
      <c r="E92" s="521" t="inlineStr">
        <is>
          <t>V00115421</t>
        </is>
      </c>
      <c r="F92" s="523" t="n">
        <v>44219</v>
      </c>
      <c r="G92" s="556" t="n">
        <v>267960</v>
      </c>
      <c r="I92" s="521">
        <f>G92</f>
        <v/>
      </c>
      <c r="K92" s="521">
        <f>I92-G92</f>
        <v/>
      </c>
      <c r="M92" s="522" t="inlineStr">
        <is>
          <t>V00115421</t>
        </is>
      </c>
      <c r="N92" s="522" t="inlineStr"/>
      <c r="O92" s="521">
        <f>M92=N92</f>
        <v/>
      </c>
      <c r="P92" s="521">
        <f>AND(MONTH(F92)=MONTH(S92), YEAR(F92)=YEAR(S92))</f>
        <v/>
      </c>
      <c r="Q92" s="521">
        <f>U92="L001-901905215"</f>
        <v/>
      </c>
      <c r="R92" s="556">
        <f>G92-W92</f>
        <v/>
      </c>
      <c r="S92" s="521" t="n"/>
      <c r="T92" s="522" t="n"/>
      <c r="U92" s="522" t="n"/>
      <c r="V92" s="522" t="n"/>
      <c r="W92" s="521" t="n"/>
    </row>
    <row r="93">
      <c r="A93" s="521" t="n">
        <v>85</v>
      </c>
      <c r="B93" s="522" t="n"/>
      <c r="C93" s="522" t="inlineStr">
        <is>
          <t>ស៊ីងហ្គាពួរ កាតុង (ខេមបូឌា)</t>
        </is>
      </c>
      <c r="D93" s="522" t="inlineStr">
        <is>
          <t>L001-100121322</t>
        </is>
      </c>
      <c r="E93" s="521" t="inlineStr">
        <is>
          <t>V0015416</t>
        </is>
      </c>
      <c r="F93" s="523" t="n">
        <v>44218</v>
      </c>
      <c r="G93" s="556" t="n">
        <v>575542</v>
      </c>
      <c r="I93" s="521">
        <f>G93</f>
        <v/>
      </c>
      <c r="K93" s="521">
        <f>I93-G93</f>
        <v/>
      </c>
      <c r="M93" s="522" t="inlineStr">
        <is>
          <t>V0015416</t>
        </is>
      </c>
      <c r="N93" s="522" t="inlineStr">
        <is>
          <t>V0015416</t>
        </is>
      </c>
      <c r="O93" s="521">
        <f>M93=N93</f>
        <v/>
      </c>
      <c r="P93" s="521">
        <f>AND(MONTH(F93)=MONTH(S93), YEAR(F93)=YEAR(S93))</f>
        <v/>
      </c>
      <c r="Q93" s="521">
        <f>U93="L001-901905215"</f>
        <v/>
      </c>
      <c r="R93" s="556">
        <f>G93-W93</f>
        <v/>
      </c>
      <c r="S93" s="523" t="n">
        <v>44218</v>
      </c>
      <c r="T93" s="522" t="inlineStr">
        <is>
          <t>V0015416</t>
        </is>
      </c>
      <c r="U93" s="522" t="inlineStr">
        <is>
          <t>L001-901905215</t>
        </is>
      </c>
      <c r="V93" s="522" t="inlineStr">
        <is>
          <t>វីអ៊ីស៊ិន (ខេមបូឌា) អ៊ិនដាសស្ទ្រី ឯ.ក</t>
        </is>
      </c>
      <c r="W93" s="556" t="n">
        <v>576251</v>
      </c>
    </row>
    <row r="94">
      <c r="A94" s="521" t="n">
        <v>86</v>
      </c>
      <c r="B94" s="522" t="n"/>
      <c r="C94" s="522" t="inlineStr">
        <is>
          <t>ស៊ីងហ្គាពួរ កាតុង (ខេមបូឌា)</t>
        </is>
      </c>
      <c r="D94" s="522" t="inlineStr">
        <is>
          <t>L001-100121322</t>
        </is>
      </c>
      <c r="E94" s="521" t="inlineStr">
        <is>
          <t>V0015384</t>
        </is>
      </c>
      <c r="F94" s="523" t="n">
        <v>44214</v>
      </c>
      <c r="G94" s="556" t="n">
        <v>694926</v>
      </c>
      <c r="I94" s="521">
        <f>G94</f>
        <v/>
      </c>
      <c r="K94" s="521">
        <f>I94-G94</f>
        <v/>
      </c>
      <c r="M94" s="522" t="inlineStr">
        <is>
          <t>V0015384</t>
        </is>
      </c>
      <c r="N94" s="522" t="inlineStr">
        <is>
          <t>V0015384</t>
        </is>
      </c>
      <c r="O94" s="521">
        <f>M94=N94</f>
        <v/>
      </c>
      <c r="P94" s="521">
        <f>AND(MONTH(F94)=MONTH(S94), YEAR(F94)=YEAR(S94))</f>
        <v/>
      </c>
      <c r="Q94" s="521">
        <f>U94="L001-901905215"</f>
        <v/>
      </c>
      <c r="R94" s="556">
        <f>G94-W94</f>
        <v/>
      </c>
      <c r="S94" s="523" t="n">
        <v>44214</v>
      </c>
      <c r="T94" s="522" t="inlineStr">
        <is>
          <t>V0015384</t>
        </is>
      </c>
      <c r="U94" s="522" t="inlineStr">
        <is>
          <t>L001-901905215</t>
        </is>
      </c>
      <c r="V94" s="522" t="inlineStr">
        <is>
          <t>វីអ៊ីស៊ិន (ខេមបូឌា) អ៊ិនដាសស្ទ្រី ឯ.ក</t>
        </is>
      </c>
      <c r="W94" s="556" t="n">
        <v>696985</v>
      </c>
    </row>
    <row r="95">
      <c r="A95" s="521" t="n">
        <v>87</v>
      </c>
      <c r="B95" s="522" t="n"/>
      <c r="C95" s="522" t="inlineStr">
        <is>
          <t>ស៊ីងហ្គាពួរ កាតុង (ខេមបូឌា)</t>
        </is>
      </c>
      <c r="D95" s="522" t="inlineStr">
        <is>
          <t>L001-100121322</t>
        </is>
      </c>
      <c r="E95" s="521" t="inlineStr">
        <is>
          <t>V0015354</t>
        </is>
      </c>
      <c r="F95" s="523" t="n">
        <v>44209</v>
      </c>
      <c r="G95" s="556" t="n">
        <v>435900</v>
      </c>
      <c r="I95" s="521">
        <f>G95</f>
        <v/>
      </c>
      <c r="K95" s="521">
        <f>I95-G95</f>
        <v/>
      </c>
      <c r="M95" s="522" t="inlineStr">
        <is>
          <t>V0015354</t>
        </is>
      </c>
      <c r="N95" s="522" t="inlineStr">
        <is>
          <t>V0015354</t>
        </is>
      </c>
      <c r="O95" s="521">
        <f>M95=N95</f>
        <v/>
      </c>
      <c r="P95" s="521">
        <f>AND(MONTH(F95)=MONTH(S95), YEAR(F95)=YEAR(S95))</f>
        <v/>
      </c>
      <c r="Q95" s="521">
        <f>U95="L001-901905215"</f>
        <v/>
      </c>
      <c r="R95" s="556">
        <f>G95-W95</f>
        <v/>
      </c>
      <c r="S95" s="523" t="n">
        <v>44209</v>
      </c>
      <c r="T95" s="522" t="inlineStr">
        <is>
          <t>V0015354</t>
        </is>
      </c>
      <c r="U95" s="522" t="inlineStr">
        <is>
          <t>L001-901905215</t>
        </is>
      </c>
      <c r="V95" s="522" t="inlineStr">
        <is>
          <t>វីអ៊ីស៊ិន (ខេមបូឌា) អ៊ិនដាសស្ទ្រី ឯ.ក</t>
        </is>
      </c>
      <c r="W95" s="556" t="n">
        <v>437191</v>
      </c>
    </row>
    <row r="96">
      <c r="A96" s="521" t="n">
        <v>88</v>
      </c>
      <c r="B96" s="522" t="n"/>
      <c r="C96" s="522" t="inlineStr">
        <is>
          <t>ស៊ីងហ្គាពួរ កាតុង (ខេមបូឌា)</t>
        </is>
      </c>
      <c r="D96" s="522" t="inlineStr">
        <is>
          <t>L001-100121322</t>
        </is>
      </c>
      <c r="E96" s="521" t="inlineStr">
        <is>
          <t>V0015353</t>
        </is>
      </c>
      <c r="F96" s="523" t="n">
        <v>44209</v>
      </c>
      <c r="G96" s="556" t="n">
        <v>874637</v>
      </c>
      <c r="I96" s="521">
        <f>G96</f>
        <v/>
      </c>
      <c r="K96" s="521">
        <f>I96-G96</f>
        <v/>
      </c>
      <c r="M96" s="522" t="inlineStr">
        <is>
          <t>V0015353</t>
        </is>
      </c>
      <c r="N96" s="522" t="inlineStr">
        <is>
          <t>V0015353</t>
        </is>
      </c>
      <c r="O96" s="521">
        <f>M96=N96</f>
        <v/>
      </c>
      <c r="P96" s="521">
        <f>AND(MONTH(F96)=MONTH(S96), YEAR(F96)=YEAR(S96))</f>
        <v/>
      </c>
      <c r="Q96" s="521">
        <f>U96="L001-901905215"</f>
        <v/>
      </c>
      <c r="R96" s="556">
        <f>G96-W96</f>
        <v/>
      </c>
      <c r="S96" s="523" t="n">
        <v>44209</v>
      </c>
      <c r="T96" s="522" t="inlineStr">
        <is>
          <t>V0015353</t>
        </is>
      </c>
      <c r="U96" s="522" t="inlineStr">
        <is>
          <t>L001-901905215</t>
        </is>
      </c>
      <c r="V96" s="522" t="inlineStr">
        <is>
          <t>វីអ៊ីស៊ិន (ខេមបូឌា) អ៊ិនដាសស្ទ្រី ឯ.ក</t>
        </is>
      </c>
      <c r="W96" s="556" t="n">
        <v>877227</v>
      </c>
    </row>
    <row r="97">
      <c r="A97" s="521" t="n">
        <v>89</v>
      </c>
      <c r="B97" s="522" t="n"/>
      <c r="C97" s="522" t="inlineStr">
        <is>
          <t>ស៊ីងហ្គាពួរ កាតុង (ខេមបូឌា)</t>
        </is>
      </c>
      <c r="D97" s="522" t="inlineStr">
        <is>
          <t>L001-100121322</t>
        </is>
      </c>
      <c r="E97" s="521" t="inlineStr">
        <is>
          <t>V0015352</t>
        </is>
      </c>
      <c r="F97" s="523" t="n">
        <v>44209</v>
      </c>
      <c r="G97" s="556" t="n">
        <v>351917</v>
      </c>
      <c r="I97" s="521">
        <f>G97</f>
        <v/>
      </c>
      <c r="K97" s="521">
        <f>I97-G97</f>
        <v/>
      </c>
      <c r="M97" s="522" t="inlineStr">
        <is>
          <t>V0015352</t>
        </is>
      </c>
      <c r="N97" s="522" t="inlineStr">
        <is>
          <t>V0015352</t>
        </is>
      </c>
      <c r="O97" s="521">
        <f>M97=N97</f>
        <v/>
      </c>
      <c r="P97" s="521">
        <f>AND(MONTH(F97)=MONTH(S97), YEAR(F97)=YEAR(S97))</f>
        <v/>
      </c>
      <c r="Q97" s="521">
        <f>U97="L001-901905215"</f>
        <v/>
      </c>
      <c r="R97" s="556">
        <f>G97-W97</f>
        <v/>
      </c>
      <c r="S97" s="523" t="n">
        <v>44209</v>
      </c>
      <c r="T97" s="522" t="inlineStr">
        <is>
          <t>V0015352</t>
        </is>
      </c>
      <c r="U97" s="522" t="inlineStr">
        <is>
          <t>L001-901905215</t>
        </is>
      </c>
      <c r="V97" s="522" t="inlineStr">
        <is>
          <t>វីអ៊ីស៊ិន (ខេមបូឌា) អ៊ិនដាសស្ទ្រី ឯ.ក</t>
        </is>
      </c>
      <c r="W97" s="556" t="n">
        <v>352960</v>
      </c>
    </row>
    <row r="98">
      <c r="A98" s="521" t="n">
        <v>90</v>
      </c>
      <c r="B98" s="522" t="n"/>
      <c r="C98" s="522" t="inlineStr">
        <is>
          <t>ស៊ីងហ្គាពួរ កាតុង (ខេមបូឌា)</t>
        </is>
      </c>
      <c r="D98" s="522" t="inlineStr">
        <is>
          <t>L001-100121322</t>
        </is>
      </c>
      <c r="E98" s="521" t="inlineStr">
        <is>
          <t>V00115351</t>
        </is>
      </c>
      <c r="F98" s="523" t="n">
        <v>44209</v>
      </c>
      <c r="G98" s="556" t="n">
        <v>47534</v>
      </c>
      <c r="I98" s="521">
        <f>G98</f>
        <v/>
      </c>
      <c r="K98" s="521">
        <f>I98-G98</f>
        <v/>
      </c>
      <c r="M98" s="522" t="inlineStr">
        <is>
          <t>V00115351</t>
        </is>
      </c>
      <c r="N98" s="522" t="inlineStr"/>
      <c r="O98" s="521">
        <f>M98=N98</f>
        <v/>
      </c>
      <c r="P98" s="521">
        <f>AND(MONTH(F98)=MONTH(S98), YEAR(F98)=YEAR(S98))</f>
        <v/>
      </c>
      <c r="Q98" s="521">
        <f>U98="L001-901905215"</f>
        <v/>
      </c>
      <c r="R98" s="556">
        <f>G98-W98</f>
        <v/>
      </c>
      <c r="S98" s="521" t="n"/>
      <c r="T98" s="522" t="n"/>
      <c r="U98" s="522" t="n"/>
      <c r="V98" s="522" t="n"/>
      <c r="W98" s="521" t="n"/>
    </row>
    <row r="99">
      <c r="A99" s="521" t="n">
        <v>91</v>
      </c>
      <c r="B99" s="522" t="n"/>
      <c r="C99" s="522" t="inlineStr">
        <is>
          <t>ស៊ីងហ្គាពួរ កាតុង (ខេមបូឌា)</t>
        </is>
      </c>
      <c r="D99" s="522" t="inlineStr">
        <is>
          <t>L001-100121322</t>
        </is>
      </c>
      <c r="E99" s="521" t="inlineStr">
        <is>
          <t>V0015281</t>
        </is>
      </c>
      <c r="F99" s="523" t="n">
        <v>44202</v>
      </c>
      <c r="G99" s="556" t="n">
        <v>97685</v>
      </c>
      <c r="I99" s="521">
        <f>G99</f>
        <v/>
      </c>
      <c r="K99" s="521">
        <f>I99-G99</f>
        <v/>
      </c>
      <c r="M99" s="522" t="inlineStr">
        <is>
          <t>V0015281</t>
        </is>
      </c>
      <c r="N99" s="522" t="inlineStr">
        <is>
          <t>V0015281</t>
        </is>
      </c>
      <c r="O99" s="521">
        <f>M99=N99</f>
        <v/>
      </c>
      <c r="P99" s="521">
        <f>AND(MONTH(F99)=MONTH(S99), YEAR(F99)=YEAR(S99))</f>
        <v/>
      </c>
      <c r="Q99" s="521">
        <f>U99="L001-901905215"</f>
        <v/>
      </c>
      <c r="R99" s="556">
        <f>G99-W99</f>
        <v/>
      </c>
      <c r="S99" s="523" t="n">
        <v>44202</v>
      </c>
      <c r="T99" s="522" t="inlineStr">
        <is>
          <t>V0015281</t>
        </is>
      </c>
      <c r="U99" s="522" t="inlineStr">
        <is>
          <t>L001-901905215</t>
        </is>
      </c>
      <c r="V99" s="522" t="inlineStr">
        <is>
          <t>វីអ៊ីស៊ិន (ខេមបូឌា) អ៊ិនដាសស្ទ្រី ឯ.ក</t>
        </is>
      </c>
      <c r="W99" s="556" t="n">
        <v>97926</v>
      </c>
    </row>
    <row r="100">
      <c r="A100" s="521" t="n">
        <v>92</v>
      </c>
      <c r="B100" s="522" t="n"/>
      <c r="C100" s="522" t="inlineStr">
        <is>
          <t>ស៊ីងហ្គាពួរ កាតុង (ខេមបូឌា)</t>
        </is>
      </c>
      <c r="D100" s="522" t="inlineStr">
        <is>
          <t>L001-100121322</t>
        </is>
      </c>
      <c r="E100" s="521" t="inlineStr">
        <is>
          <t>V0015272</t>
        </is>
      </c>
      <c r="F100" s="523" t="n">
        <v>44201</v>
      </c>
      <c r="G100" s="556" t="n">
        <v>504848</v>
      </c>
      <c r="I100" s="521">
        <f>G100</f>
        <v/>
      </c>
      <c r="K100" s="521">
        <f>I100-G100</f>
        <v/>
      </c>
      <c r="M100" s="522" t="inlineStr">
        <is>
          <t>V0015272</t>
        </is>
      </c>
      <c r="N100" s="522" t="inlineStr">
        <is>
          <t>V0015272</t>
        </is>
      </c>
      <c r="O100" s="521">
        <f>M100=N100</f>
        <v/>
      </c>
      <c r="P100" s="521">
        <f>AND(MONTH(F100)=MONTH(S100), YEAR(F100)=YEAR(S100))</f>
        <v/>
      </c>
      <c r="Q100" s="521">
        <f>U100="L001-901905215"</f>
        <v/>
      </c>
      <c r="R100" s="556">
        <f>G100-W100</f>
        <v/>
      </c>
      <c r="S100" s="523" t="n">
        <v>44201</v>
      </c>
      <c r="T100" s="522" t="inlineStr">
        <is>
          <t>V0015272</t>
        </is>
      </c>
      <c r="U100" s="522" t="inlineStr">
        <is>
          <t>L001-901905215</t>
        </is>
      </c>
      <c r="V100" s="522" t="inlineStr">
        <is>
          <t>វីអ៊ីស៊ិន (ខេមបូឌា) អ៊ិនដាសស្ទ្រី ឯ.ក</t>
        </is>
      </c>
      <c r="W100" s="556" t="n">
        <v>506093</v>
      </c>
    </row>
    <row r="101">
      <c r="A101" s="521" t="n">
        <v>93</v>
      </c>
      <c r="B101" s="522" t="n"/>
      <c r="C101" s="522" t="inlineStr">
        <is>
          <t>ស៊ីងហ្គាពួរ កាតុង (ខេមបូឌា)</t>
        </is>
      </c>
      <c r="D101" s="522" t="inlineStr">
        <is>
          <t>L001-100121322</t>
        </is>
      </c>
      <c r="E101" s="521" t="inlineStr">
        <is>
          <t>V0015263</t>
        </is>
      </c>
      <c r="F101" s="523" t="n">
        <v>44201</v>
      </c>
      <c r="G101" s="556" t="n">
        <v>620794</v>
      </c>
      <c r="I101" s="521">
        <f>G101</f>
        <v/>
      </c>
      <c r="K101" s="521">
        <f>I101-G101</f>
        <v/>
      </c>
      <c r="M101" s="522" t="inlineStr">
        <is>
          <t>V0015263</t>
        </is>
      </c>
      <c r="N101" s="522" t="inlineStr">
        <is>
          <t>V0015263</t>
        </is>
      </c>
      <c r="O101" s="521">
        <f>M101=N101</f>
        <v/>
      </c>
      <c r="P101" s="521">
        <f>AND(MONTH(F101)=MONTH(S101), YEAR(F101)=YEAR(S101))</f>
        <v/>
      </c>
      <c r="Q101" s="521">
        <f>U101="L001-901905215"</f>
        <v/>
      </c>
      <c r="R101" s="556">
        <f>G101-W101</f>
        <v/>
      </c>
      <c r="S101" s="523" t="n">
        <v>44201</v>
      </c>
      <c r="T101" s="522" t="inlineStr">
        <is>
          <t>V0015263</t>
        </is>
      </c>
      <c r="U101" s="522" t="inlineStr">
        <is>
          <t>L001-901905215</t>
        </is>
      </c>
      <c r="V101" s="522" t="inlineStr">
        <is>
          <t>វីអ៊ីស៊ិន (ខេមបូឌា) អ៊ិនដាសស្ទ្រី ឯ.ក</t>
        </is>
      </c>
      <c r="W101" s="556" t="n">
        <v>622326</v>
      </c>
    </row>
    <row r="102">
      <c r="A102" s="521" t="n">
        <v>94</v>
      </c>
      <c r="B102" s="522" t="n"/>
      <c r="C102" s="522" t="inlineStr">
        <is>
          <t>ស៊ីងហ្គាពួរ កាតុង (ខេមបូឌា)</t>
        </is>
      </c>
      <c r="D102" s="522" t="inlineStr">
        <is>
          <t>L001-100121322</t>
        </is>
      </c>
      <c r="E102" s="521" t="inlineStr">
        <is>
          <t>V0015254</t>
        </is>
      </c>
      <c r="F102" s="523" t="n">
        <v>44200</v>
      </c>
      <c r="G102" s="556" t="n">
        <v>466560</v>
      </c>
      <c r="I102" s="521">
        <f>G102</f>
        <v/>
      </c>
      <c r="K102" s="521">
        <f>I102-G102</f>
        <v/>
      </c>
      <c r="M102" s="522" t="inlineStr">
        <is>
          <t>V0015254</t>
        </is>
      </c>
      <c r="N102" s="522" t="inlineStr">
        <is>
          <t>V0015254</t>
        </is>
      </c>
      <c r="O102" s="521">
        <f>M102=N102</f>
        <v/>
      </c>
      <c r="P102" s="521">
        <f>AND(MONTH(F102)=MONTH(S102), YEAR(F102)=YEAR(S102))</f>
        <v/>
      </c>
      <c r="Q102" s="521">
        <f>U102="L001-901905215"</f>
        <v/>
      </c>
      <c r="R102" s="556">
        <f>G102-W102</f>
        <v/>
      </c>
      <c r="S102" s="523" t="n">
        <v>44200</v>
      </c>
      <c r="T102" s="522" t="inlineStr">
        <is>
          <t>V0015254</t>
        </is>
      </c>
      <c r="U102" s="522" t="inlineStr">
        <is>
          <t>L001-901905215</t>
        </is>
      </c>
      <c r="V102" s="522" t="inlineStr">
        <is>
          <t>វីអ៊ីស៊ិន (ខេមបូឌា) អ៊ិនដាសស្ទ្រី ឯ.ក</t>
        </is>
      </c>
      <c r="W102" s="556" t="n">
        <v>468288</v>
      </c>
    </row>
    <row r="103">
      <c r="A103" s="521" t="n">
        <v>95</v>
      </c>
      <c r="B103" s="522" t="n"/>
      <c r="C103" s="522" t="inlineStr">
        <is>
          <t>ស៊ីងហ្គាពួរ កាតុង (ខេមបូឌា)</t>
        </is>
      </c>
      <c r="D103" s="522" t="inlineStr">
        <is>
          <t>L001-100121322</t>
        </is>
      </c>
      <c r="E103" s="521" t="inlineStr">
        <is>
          <t>V0015253</t>
        </is>
      </c>
      <c r="F103" s="523" t="n">
        <v>44200</v>
      </c>
      <c r="G103" s="556" t="n">
        <v>355226</v>
      </c>
      <c r="I103" s="521">
        <f>G103</f>
        <v/>
      </c>
      <c r="K103" s="521">
        <f>I103-G103</f>
        <v/>
      </c>
      <c r="M103" s="522" t="inlineStr">
        <is>
          <t>V0015253</t>
        </is>
      </c>
      <c r="N103" s="522" t="inlineStr">
        <is>
          <t>V0015253</t>
        </is>
      </c>
      <c r="O103" s="521">
        <f>M103=N103</f>
        <v/>
      </c>
      <c r="P103" s="521">
        <f>AND(MONTH(F103)=MONTH(S103), YEAR(F103)=YEAR(S103))</f>
        <v/>
      </c>
      <c r="Q103" s="521">
        <f>U103="L001-901905215"</f>
        <v/>
      </c>
      <c r="R103" s="556">
        <f>G103-W103</f>
        <v/>
      </c>
      <c r="S103" s="523" t="n">
        <v>44200</v>
      </c>
      <c r="T103" s="522" t="inlineStr">
        <is>
          <t>V0015253</t>
        </is>
      </c>
      <c r="U103" s="522" t="inlineStr">
        <is>
          <t>L001-901905215</t>
        </is>
      </c>
      <c r="V103" s="522" t="inlineStr">
        <is>
          <t>វីអ៊ីស៊ិន (ខេមបូឌា) អ៊ិនដាសស្ទ្រី ឯ.ក</t>
        </is>
      </c>
      <c r="W103" s="556" t="n">
        <v>356541</v>
      </c>
    </row>
    <row r="104">
      <c r="A104" s="521" t="n">
        <v>96</v>
      </c>
      <c r="B104" s="522" t="n"/>
      <c r="C104" s="522" t="inlineStr">
        <is>
          <t>កំពង់ផែស្វយ័តក្រុងព្រះសីហនុ</t>
        </is>
      </c>
      <c r="D104" s="522" t="inlineStr">
        <is>
          <t>L001-100044638</t>
        </is>
      </c>
      <c r="E104" s="521" t="inlineStr">
        <is>
          <t>004382</t>
        </is>
      </c>
      <c r="F104" s="523" t="n">
        <v>44205</v>
      </c>
      <c r="G104" s="556" t="n">
        <v>6075</v>
      </c>
      <c r="I104" s="521">
        <f>G104</f>
        <v/>
      </c>
      <c r="K104" s="521">
        <f>I104-G104</f>
        <v/>
      </c>
      <c r="M104" s="522" t="inlineStr">
        <is>
          <t>004382</t>
        </is>
      </c>
      <c r="N104" s="522" t="inlineStr"/>
      <c r="O104" s="521">
        <f>M104=N104</f>
        <v/>
      </c>
      <c r="P104" s="521">
        <f>AND(MONTH(F104)=MONTH(S104), YEAR(F104)=YEAR(S104))</f>
        <v/>
      </c>
      <c r="Q104" s="521">
        <f>U104="L001-901905215"</f>
        <v/>
      </c>
      <c r="R104" s="556">
        <f>G104-W104</f>
        <v/>
      </c>
      <c r="S104" s="521" t="n"/>
      <c r="T104" s="522" t="n"/>
      <c r="U104" s="522" t="n"/>
      <c r="V104" s="522" t="n"/>
      <c r="W104" s="521" t="n"/>
    </row>
    <row r="105">
      <c r="A105" s="521" t="n">
        <v>97</v>
      </c>
      <c r="B105" s="522" t="n"/>
      <c r="C105" s="522" t="inlineStr">
        <is>
          <t>កំពង់ផែស្វយ័តក្រុងព្រះសីហនុ</t>
        </is>
      </c>
      <c r="D105" s="522" t="inlineStr">
        <is>
          <t>L001-100044638</t>
        </is>
      </c>
      <c r="E105" s="521" t="inlineStr">
        <is>
          <t>014597</t>
        </is>
      </c>
      <c r="F105" s="523" t="n">
        <v>44222</v>
      </c>
      <c r="G105" s="556" t="n">
        <v>30794</v>
      </c>
      <c r="I105" s="521">
        <f>G105</f>
        <v/>
      </c>
      <c r="K105" s="521">
        <f>I105-G105</f>
        <v/>
      </c>
      <c r="M105" s="522" t="inlineStr">
        <is>
          <t>014597</t>
        </is>
      </c>
      <c r="N105" s="522" t="inlineStr"/>
      <c r="O105" s="521">
        <f>M105=N105</f>
        <v/>
      </c>
      <c r="P105" s="521">
        <f>AND(MONTH(F105)=MONTH(S105), YEAR(F105)=YEAR(S105))</f>
        <v/>
      </c>
      <c r="Q105" s="521">
        <f>U105="L001-901905215"</f>
        <v/>
      </c>
      <c r="R105" s="556">
        <f>G105-W105</f>
        <v/>
      </c>
      <c r="S105" s="521" t="n"/>
      <c r="T105" s="522" t="n"/>
      <c r="U105" s="522" t="n"/>
      <c r="V105" s="522" t="n"/>
      <c r="W105" s="521" t="n"/>
    </row>
    <row r="106">
      <c r="A106" s="521" t="n">
        <v>98</v>
      </c>
      <c r="B106" s="522" t="n"/>
      <c r="C106" s="522" t="inlineStr">
        <is>
          <t>កំពង់ផែស្វយ័តក្រុងព្រះសីហនុ</t>
        </is>
      </c>
      <c r="D106" s="522" t="inlineStr">
        <is>
          <t>L001-100044638</t>
        </is>
      </c>
      <c r="E106" s="521" t="inlineStr">
        <is>
          <t>007911</t>
        </is>
      </c>
      <c r="F106" s="523" t="n">
        <v>44211</v>
      </c>
      <c r="G106" s="556" t="n">
        <v>215214</v>
      </c>
      <c r="I106" s="521">
        <f>G106</f>
        <v/>
      </c>
      <c r="K106" s="521">
        <f>I106-G106</f>
        <v/>
      </c>
      <c r="M106" s="522" t="inlineStr">
        <is>
          <t>007911</t>
        </is>
      </c>
      <c r="N106" s="522" t="inlineStr"/>
      <c r="O106" s="521">
        <f>M106=N106</f>
        <v/>
      </c>
      <c r="P106" s="521">
        <f>AND(MONTH(F106)=MONTH(S106), YEAR(F106)=YEAR(S106))</f>
        <v/>
      </c>
      <c r="Q106" s="521">
        <f>U106="L001-901905215"</f>
        <v/>
      </c>
      <c r="R106" s="556">
        <f>G106-W106</f>
        <v/>
      </c>
      <c r="S106" s="521" t="n"/>
      <c r="T106" s="522" t="n"/>
      <c r="U106" s="522" t="n"/>
      <c r="V106" s="522" t="n"/>
      <c r="W106" s="521" t="n"/>
    </row>
    <row r="107">
      <c r="A107" s="521" t="n">
        <v>99</v>
      </c>
      <c r="B107" s="522" t="n"/>
      <c r="C107" s="522" t="inlineStr">
        <is>
          <t>កំពង់ផែស្វយ័តក្រុងព្រះសីហនុ</t>
        </is>
      </c>
      <c r="D107" s="522" t="inlineStr">
        <is>
          <t>L001-100044638</t>
        </is>
      </c>
      <c r="E107" s="521" t="inlineStr">
        <is>
          <t>005709</t>
        </is>
      </c>
      <c r="F107" s="523" t="n">
        <v>44208</v>
      </c>
      <c r="G107" s="556" t="n">
        <v>160380</v>
      </c>
      <c r="I107" s="521">
        <f>G107</f>
        <v/>
      </c>
      <c r="K107" s="521">
        <f>I107-G107</f>
        <v/>
      </c>
      <c r="M107" s="522" t="inlineStr">
        <is>
          <t>005709</t>
        </is>
      </c>
      <c r="N107" s="522" t="inlineStr"/>
      <c r="O107" s="521">
        <f>M107=N107</f>
        <v/>
      </c>
      <c r="P107" s="521">
        <f>AND(MONTH(F107)=MONTH(S107), YEAR(F107)=YEAR(S107))</f>
        <v/>
      </c>
      <c r="Q107" s="521">
        <f>U107="L001-901905215"</f>
        <v/>
      </c>
      <c r="R107" s="556">
        <f>G107-W107</f>
        <v/>
      </c>
      <c r="S107" s="521" t="n"/>
      <c r="T107" s="522" t="n"/>
      <c r="U107" s="522" t="n"/>
      <c r="V107" s="522" t="n"/>
      <c r="W107" s="521" t="n"/>
    </row>
    <row r="108">
      <c r="A108" s="521" t="n">
        <v>100</v>
      </c>
      <c r="B108" s="522" t="n"/>
      <c r="C108" s="522" t="inlineStr">
        <is>
          <t>កំពង់ផែស្វយ័តក្រុងព្រះសីហនុ</t>
        </is>
      </c>
      <c r="D108" s="522" t="inlineStr">
        <is>
          <t>L001-100044638</t>
        </is>
      </c>
      <c r="E108" s="521" t="inlineStr">
        <is>
          <t>007193</t>
        </is>
      </c>
      <c r="F108" s="523" t="n">
        <v>44210</v>
      </c>
      <c r="G108" s="556" t="n">
        <v>69306</v>
      </c>
      <c r="I108" s="521">
        <f>G108</f>
        <v/>
      </c>
      <c r="K108" s="521">
        <f>I108-G108</f>
        <v/>
      </c>
      <c r="M108" s="522" t="inlineStr">
        <is>
          <t>007193</t>
        </is>
      </c>
      <c r="N108" s="522" t="inlineStr"/>
      <c r="O108" s="521">
        <f>M108=N108</f>
        <v/>
      </c>
      <c r="P108" s="521">
        <f>AND(MONTH(F108)=MONTH(S108), YEAR(F108)=YEAR(S108))</f>
        <v/>
      </c>
      <c r="Q108" s="521">
        <f>U108="L001-901905215"</f>
        <v/>
      </c>
      <c r="R108" s="556">
        <f>G108-W108</f>
        <v/>
      </c>
      <c r="S108" s="521" t="n"/>
      <c r="T108" s="522" t="n"/>
      <c r="U108" s="522" t="n"/>
      <c r="V108" s="522" t="n"/>
      <c r="W108" s="521" t="n"/>
    </row>
    <row r="109">
      <c r="A109" s="521" t="n">
        <v>101</v>
      </c>
      <c r="B109" s="522" t="n"/>
      <c r="C109" s="522" t="inlineStr">
        <is>
          <t>កំពង់ផែស្វយ័តក្រុងព្រះសីហនុ</t>
        </is>
      </c>
      <c r="D109" s="522" t="inlineStr">
        <is>
          <t>L001-100044638</t>
        </is>
      </c>
      <c r="E109" s="521" t="inlineStr">
        <is>
          <t>016795</t>
        </is>
      </c>
      <c r="F109" s="523" t="n">
        <v>44224</v>
      </c>
      <c r="G109" s="556" t="n">
        <v>35322</v>
      </c>
      <c r="I109" s="521">
        <f>G109</f>
        <v/>
      </c>
      <c r="K109" s="521">
        <f>I109-G109</f>
        <v/>
      </c>
      <c r="M109" s="522" t="inlineStr">
        <is>
          <t>016795</t>
        </is>
      </c>
      <c r="N109" s="522" t="inlineStr"/>
      <c r="O109" s="521">
        <f>M109=N109</f>
        <v/>
      </c>
      <c r="P109" s="521">
        <f>AND(MONTH(F109)=MONTH(S109), YEAR(F109)=YEAR(S109))</f>
        <v/>
      </c>
      <c r="Q109" s="521">
        <f>U109="L001-901905215"</f>
        <v/>
      </c>
      <c r="R109" s="556">
        <f>G109-W109</f>
        <v/>
      </c>
      <c r="S109" s="521" t="n"/>
      <c r="T109" s="522" t="n"/>
      <c r="U109" s="522" t="n"/>
      <c r="V109" s="522" t="n"/>
      <c r="W109" s="521" t="n"/>
    </row>
    <row r="110">
      <c r="A110" s="521" t="n">
        <v>102</v>
      </c>
      <c r="B110" s="522" t="n"/>
      <c r="C110" s="522" t="inlineStr">
        <is>
          <t>កំពង់ផែស្វយ័តក្រុងព្រះសីហនុ</t>
        </is>
      </c>
      <c r="D110" s="522" t="inlineStr">
        <is>
          <t>L001-100044638</t>
        </is>
      </c>
      <c r="E110" s="521" t="inlineStr">
        <is>
          <t>012597</t>
        </is>
      </c>
      <c r="F110" s="523" t="n">
        <v>44224</v>
      </c>
      <c r="G110" s="556" t="n">
        <v>35322</v>
      </c>
      <c r="I110" s="521">
        <f>G110</f>
        <v/>
      </c>
      <c r="K110" s="521">
        <f>I110-G110</f>
        <v/>
      </c>
      <c r="M110" s="522" t="inlineStr">
        <is>
          <t>012597</t>
        </is>
      </c>
      <c r="N110" s="522" t="inlineStr"/>
      <c r="O110" s="521">
        <f>M110=N110</f>
        <v/>
      </c>
      <c r="P110" s="521">
        <f>AND(MONTH(F110)=MONTH(S110), YEAR(F110)=YEAR(S110))</f>
        <v/>
      </c>
      <c r="Q110" s="521">
        <f>U110="L001-901905215"</f>
        <v/>
      </c>
      <c r="R110" s="556">
        <f>G110-W110</f>
        <v/>
      </c>
      <c r="S110" s="521" t="n"/>
      <c r="T110" s="522" t="n"/>
      <c r="U110" s="522" t="n"/>
      <c r="V110" s="522" t="n"/>
      <c r="W110" s="521" t="n"/>
    </row>
    <row r="111">
      <c r="A111" s="521" t="n">
        <v>103</v>
      </c>
      <c r="B111" s="522" t="n"/>
      <c r="C111" s="522" t="inlineStr">
        <is>
          <t>កំពង់ផែស្វយ័តក្រុងព្រះសីហនុ</t>
        </is>
      </c>
      <c r="D111" s="522" t="inlineStr">
        <is>
          <t>L001-100044638</t>
        </is>
      </c>
      <c r="E111" s="521" t="inlineStr">
        <is>
          <t>010622</t>
        </is>
      </c>
      <c r="F111" s="523" t="n">
        <v>44216</v>
      </c>
      <c r="G111" s="556" t="n">
        <v>35279</v>
      </c>
      <c r="I111" s="521">
        <f>G111</f>
        <v/>
      </c>
      <c r="K111" s="521">
        <f>I111-G111</f>
        <v/>
      </c>
      <c r="M111" s="522" t="inlineStr">
        <is>
          <t>010622</t>
        </is>
      </c>
      <c r="N111" s="522" t="inlineStr"/>
      <c r="O111" s="521">
        <f>M111=N111</f>
        <v/>
      </c>
      <c r="P111" s="521">
        <f>AND(MONTH(F111)=MONTH(S111), YEAR(F111)=YEAR(S111))</f>
        <v/>
      </c>
      <c r="Q111" s="521">
        <f>U111="L001-901905215"</f>
        <v/>
      </c>
      <c r="R111" s="556">
        <f>G111-W111</f>
        <v/>
      </c>
      <c r="S111" s="521" t="n"/>
      <c r="T111" s="522" t="n"/>
      <c r="U111" s="522" t="n"/>
      <c r="V111" s="522" t="n"/>
      <c r="W111" s="521" t="n"/>
    </row>
    <row r="112">
      <c r="A112" s="521" t="n">
        <v>104</v>
      </c>
      <c r="B112" s="522" t="n"/>
      <c r="C112" s="522" t="inlineStr">
        <is>
          <t>កំពង់ផែស្វយ័តក្រុងព្រះសីហនុ</t>
        </is>
      </c>
      <c r="D112" s="522" t="inlineStr">
        <is>
          <t>L001-100044638</t>
        </is>
      </c>
      <c r="E112" s="521" t="inlineStr">
        <is>
          <t>010624</t>
        </is>
      </c>
      <c r="F112" s="523" t="n">
        <v>44216</v>
      </c>
      <c r="G112" s="556" t="n">
        <v>99753</v>
      </c>
      <c r="I112" s="521">
        <f>G112</f>
        <v/>
      </c>
      <c r="K112" s="521">
        <f>I112-G112</f>
        <v/>
      </c>
      <c r="M112" s="522" t="inlineStr">
        <is>
          <t>010624</t>
        </is>
      </c>
      <c r="N112" s="522" t="inlineStr"/>
      <c r="O112" s="521">
        <f>M112=N112</f>
        <v/>
      </c>
      <c r="P112" s="521">
        <f>AND(MONTH(F112)=MONTH(S112), YEAR(F112)=YEAR(S112))</f>
        <v/>
      </c>
      <c r="Q112" s="521">
        <f>U112="L001-901905215"</f>
        <v/>
      </c>
      <c r="R112" s="556">
        <f>G112-W112</f>
        <v/>
      </c>
      <c r="S112" s="521" t="n"/>
      <c r="T112" s="522" t="n"/>
      <c r="U112" s="522" t="n"/>
      <c r="V112" s="522" t="n"/>
      <c r="W112" s="521" t="n"/>
    </row>
    <row r="113">
      <c r="A113" s="521" t="n">
        <v>105</v>
      </c>
      <c r="B113" s="522" t="n"/>
      <c r="C113" s="522" t="inlineStr">
        <is>
          <t>កំពង់ផែស្វយ័តក្រុងព្រះសីហនុ</t>
        </is>
      </c>
      <c r="D113" s="522" t="inlineStr">
        <is>
          <t>L001-100044638</t>
        </is>
      </c>
      <c r="E113" s="521" t="inlineStr">
        <is>
          <t>014598</t>
        </is>
      </c>
      <c r="F113" s="523" t="n">
        <v>44222</v>
      </c>
      <c r="G113" s="556" t="n">
        <v>35339</v>
      </c>
      <c r="I113" s="521">
        <f>G113</f>
        <v/>
      </c>
      <c r="K113" s="521">
        <f>I113-G113</f>
        <v/>
      </c>
      <c r="M113" s="522" t="inlineStr">
        <is>
          <t>014598</t>
        </is>
      </c>
      <c r="N113" s="522" t="inlineStr"/>
      <c r="O113" s="521">
        <f>M113=N113</f>
        <v/>
      </c>
      <c r="P113" s="521">
        <f>AND(MONTH(F113)=MONTH(S113), YEAR(F113)=YEAR(S113))</f>
        <v/>
      </c>
      <c r="Q113" s="521">
        <f>U113="L001-901905215"</f>
        <v/>
      </c>
      <c r="R113" s="556">
        <f>G113-W113</f>
        <v/>
      </c>
      <c r="S113" s="521" t="n"/>
      <c r="T113" s="522" t="n"/>
      <c r="U113" s="522" t="n"/>
      <c r="V113" s="522" t="n"/>
      <c r="W113" s="521" t="n"/>
    </row>
    <row r="114">
      <c r="A114" s="521" t="n">
        <v>106</v>
      </c>
      <c r="B114" s="522" t="n"/>
      <c r="C114" s="522" t="inlineStr">
        <is>
          <t>កំពង់ផែស្វយ័តក្រុងព្រះសីហនុ</t>
        </is>
      </c>
      <c r="D114" s="522" t="inlineStr">
        <is>
          <t>L001-100044638</t>
        </is>
      </c>
      <c r="E114" s="521" t="inlineStr">
        <is>
          <t>015174</t>
        </is>
      </c>
      <c r="F114" s="523" t="n">
        <v>44223</v>
      </c>
      <c r="G114" s="556" t="n">
        <v>164511</v>
      </c>
      <c r="I114" s="521">
        <f>G114</f>
        <v/>
      </c>
      <c r="K114" s="521">
        <f>I114-G114</f>
        <v/>
      </c>
      <c r="M114" s="522" t="inlineStr">
        <is>
          <t>015174</t>
        </is>
      </c>
      <c r="N114" s="522" t="inlineStr"/>
      <c r="O114" s="521">
        <f>M114=N114</f>
        <v/>
      </c>
      <c r="P114" s="521">
        <f>AND(MONTH(F114)=MONTH(S114), YEAR(F114)=YEAR(S114))</f>
        <v/>
      </c>
      <c r="Q114" s="521">
        <f>U114="L001-901905215"</f>
        <v/>
      </c>
      <c r="R114" s="556">
        <f>G114-W114</f>
        <v/>
      </c>
      <c r="S114" s="521" t="n"/>
      <c r="T114" s="522" t="n"/>
      <c r="U114" s="522" t="n"/>
      <c r="V114" s="522" t="n"/>
      <c r="W114" s="521" t="n"/>
    </row>
    <row r="115">
      <c r="A115" s="521" t="n">
        <v>107</v>
      </c>
      <c r="B115" s="522" t="n"/>
      <c r="C115" s="522" t="inlineStr">
        <is>
          <t>កំពង់ផែស្វយ័តក្រុងព្រះសីហនុ</t>
        </is>
      </c>
      <c r="D115" s="522" t="inlineStr">
        <is>
          <t>L001-100044638</t>
        </is>
      </c>
      <c r="E115" s="521" t="inlineStr">
        <is>
          <t>009081</t>
        </is>
      </c>
      <c r="F115" s="523" t="n">
        <v>44212</v>
      </c>
      <c r="G115" s="556" t="n">
        <v>15401</v>
      </c>
      <c r="I115" s="521">
        <f>G115</f>
        <v/>
      </c>
      <c r="K115" s="521">
        <f>I115-G115</f>
        <v/>
      </c>
      <c r="M115" s="522" t="inlineStr">
        <is>
          <t>009081</t>
        </is>
      </c>
      <c r="N115" s="522" t="inlineStr"/>
      <c r="O115" s="521">
        <f>M115=N115</f>
        <v/>
      </c>
      <c r="P115" s="521">
        <f>AND(MONTH(F115)=MONTH(S115), YEAR(F115)=YEAR(S115))</f>
        <v/>
      </c>
      <c r="Q115" s="521">
        <f>U115="L001-901905215"</f>
        <v/>
      </c>
      <c r="R115" s="556">
        <f>G115-W115</f>
        <v/>
      </c>
      <c r="S115" s="521" t="n"/>
      <c r="T115" s="522" t="n"/>
      <c r="U115" s="522" t="n"/>
      <c r="V115" s="522" t="n"/>
      <c r="W115" s="521" t="n"/>
    </row>
    <row r="116">
      <c r="A116" s="521" t="n">
        <v>108</v>
      </c>
      <c r="B116" s="522" t="n"/>
      <c r="C116" s="522" t="inlineStr">
        <is>
          <t>កំពង់ផែស្វយ័តក្រុងព្រះសីហនុ</t>
        </is>
      </c>
      <c r="D116" s="522" t="inlineStr">
        <is>
          <t>L001-100044638</t>
        </is>
      </c>
      <c r="E116" s="521" t="inlineStr">
        <is>
          <t>007189</t>
        </is>
      </c>
      <c r="F116" s="523" t="n">
        <v>44210</v>
      </c>
      <c r="G116" s="556" t="n">
        <v>215214</v>
      </c>
      <c r="I116" s="521">
        <f>G116</f>
        <v/>
      </c>
      <c r="K116" s="521">
        <f>I116-G116</f>
        <v/>
      </c>
      <c r="M116" s="522" t="inlineStr">
        <is>
          <t>007189</t>
        </is>
      </c>
      <c r="N116" s="522" t="inlineStr"/>
      <c r="O116" s="521">
        <f>M116=N116</f>
        <v/>
      </c>
      <c r="P116" s="521">
        <f>AND(MONTH(F116)=MONTH(S116), YEAR(F116)=YEAR(S116))</f>
        <v/>
      </c>
      <c r="Q116" s="521">
        <f>U116="L001-901905215"</f>
        <v/>
      </c>
      <c r="R116" s="556">
        <f>G116-W116</f>
        <v/>
      </c>
      <c r="S116" s="521" t="n"/>
      <c r="T116" s="522" t="n"/>
      <c r="U116" s="522" t="n"/>
      <c r="V116" s="522" t="n"/>
      <c r="W116" s="521" t="n"/>
    </row>
    <row r="117">
      <c r="A117" s="521" t="n">
        <v>109</v>
      </c>
      <c r="B117" s="522" t="n"/>
      <c r="C117" s="522" t="inlineStr">
        <is>
          <t>អេសជីអេស (ខេមបូឌា) លីមីធីត</t>
        </is>
      </c>
      <c r="D117" s="522" t="inlineStr">
        <is>
          <t>L001-107030519</t>
        </is>
      </c>
      <c r="E117" s="521" t="inlineStr">
        <is>
          <t>10010161</t>
        </is>
      </c>
      <c r="F117" s="523" t="n">
        <v>44223</v>
      </c>
      <c r="G117" s="556" t="n">
        <v>106097</v>
      </c>
      <c r="I117" s="521">
        <f>G117</f>
        <v/>
      </c>
      <c r="K117" s="521">
        <f>I117-G117</f>
        <v/>
      </c>
      <c r="M117" s="522" t="inlineStr">
        <is>
          <t>10010161</t>
        </is>
      </c>
      <c r="N117" s="522" t="inlineStr">
        <is>
          <t>10010161</t>
        </is>
      </c>
      <c r="O117" s="521">
        <f>M117=N117</f>
        <v/>
      </c>
      <c r="P117" s="521">
        <f>AND(MONTH(F117)=MONTH(S117), YEAR(F117)=YEAR(S117))</f>
        <v/>
      </c>
      <c r="Q117" s="521">
        <f>U117="L001-901905215"</f>
        <v/>
      </c>
      <c r="R117" s="556">
        <f>G117-W117</f>
        <v/>
      </c>
      <c r="S117" s="523" t="n">
        <v>44223</v>
      </c>
      <c r="T117" s="522" t="inlineStr">
        <is>
          <t>10010161</t>
        </is>
      </c>
      <c r="U117" s="522" t="inlineStr">
        <is>
          <t>L001-901905215</t>
        </is>
      </c>
      <c r="V117" s="522" t="inlineStr">
        <is>
          <t>វីអ៊ីស៊ិន (ខេមបូឌា) អ៊ិនដាសស្ទ្រី ឯ.ក</t>
        </is>
      </c>
      <c r="W117" s="556" t="n">
        <v>106097</v>
      </c>
    </row>
    <row r="118">
      <c r="A118" s="521" t="n">
        <v>110</v>
      </c>
      <c r="B118" s="522" t="n"/>
      <c r="C118" s="522" t="inlineStr">
        <is>
          <t>អេសជីអេស (ខេមបូឌា) លីមីធីត</t>
        </is>
      </c>
      <c r="D118" s="522" t="inlineStr">
        <is>
          <t>L001-107030519</t>
        </is>
      </c>
      <c r="E118" s="521" t="inlineStr">
        <is>
          <t>10009361</t>
        </is>
      </c>
      <c r="F118" s="523" t="n">
        <v>44197</v>
      </c>
      <c r="G118" s="556" t="n">
        <v>106097</v>
      </c>
      <c r="I118" s="521">
        <f>G118</f>
        <v/>
      </c>
      <c r="K118" s="521">
        <f>I118-G118</f>
        <v/>
      </c>
      <c r="M118" s="522" t="inlineStr">
        <is>
          <t>10009361</t>
        </is>
      </c>
      <c r="N118" s="522" t="inlineStr"/>
      <c r="O118" s="521">
        <f>M118=N118</f>
        <v/>
      </c>
      <c r="P118" s="521">
        <f>AND(MONTH(F118)=MONTH(S118), YEAR(F118)=YEAR(S118))</f>
        <v/>
      </c>
      <c r="Q118" s="521">
        <f>U118="L001-901905215"</f>
        <v/>
      </c>
      <c r="R118" s="556">
        <f>G118-W118</f>
        <v/>
      </c>
      <c r="S118" s="521" t="n"/>
      <c r="T118" s="522" t="n"/>
      <c r="U118" s="522" t="n"/>
      <c r="V118" s="522" t="n"/>
      <c r="W118" s="521" t="n"/>
    </row>
    <row r="119">
      <c r="A119" s="521" t="n">
        <v>111</v>
      </c>
      <c r="B119" s="522" t="n"/>
      <c r="C119" s="522" t="inlineStr">
        <is>
          <t>អេសជីអេស (ខេមបូឌា) លីមីធីត</t>
        </is>
      </c>
      <c r="D119" s="522" t="inlineStr">
        <is>
          <t>L001-107030519</t>
        </is>
      </c>
      <c r="E119" s="521" t="inlineStr">
        <is>
          <t>10009240</t>
        </is>
      </c>
      <c r="F119" s="523" t="n">
        <v>44197</v>
      </c>
      <c r="G119" s="556" t="n">
        <v>106097</v>
      </c>
      <c r="I119" s="521">
        <f>G119</f>
        <v/>
      </c>
      <c r="K119" s="521">
        <f>I119-G119</f>
        <v/>
      </c>
      <c r="M119" s="522" t="inlineStr">
        <is>
          <t>10009240</t>
        </is>
      </c>
      <c r="N119" s="522" t="inlineStr"/>
      <c r="O119" s="521">
        <f>M119=N119</f>
        <v/>
      </c>
      <c r="P119" s="521">
        <f>AND(MONTH(F119)=MONTH(S119), YEAR(F119)=YEAR(S119))</f>
        <v/>
      </c>
      <c r="Q119" s="521">
        <f>U119="L001-901905215"</f>
        <v/>
      </c>
      <c r="R119" s="556">
        <f>G119-W119</f>
        <v/>
      </c>
      <c r="S119" s="521" t="n"/>
      <c r="T119" s="522" t="n"/>
      <c r="U119" s="522" t="n"/>
      <c r="V119" s="522" t="n"/>
      <c r="W119" s="521" t="n"/>
    </row>
    <row r="120">
      <c r="A120" s="521" t="n">
        <v>112</v>
      </c>
      <c r="B120" s="522" t="n"/>
      <c r="C120" s="522" t="inlineStr">
        <is>
          <t>អេសជីអេស (ខេមបូឌា) លីមីធីត</t>
        </is>
      </c>
      <c r="D120" s="522" t="inlineStr">
        <is>
          <t>L001-107030519</t>
        </is>
      </c>
      <c r="E120" s="521" t="inlineStr">
        <is>
          <t>10009035</t>
        </is>
      </c>
      <c r="F120" s="523" t="n">
        <v>44197</v>
      </c>
      <c r="G120" s="556" t="n">
        <v>106097</v>
      </c>
      <c r="I120" s="521">
        <f>G120</f>
        <v/>
      </c>
      <c r="K120" s="521">
        <f>I120-G120</f>
        <v/>
      </c>
      <c r="M120" s="522" t="inlineStr">
        <is>
          <t>10009035</t>
        </is>
      </c>
      <c r="N120" s="522" t="inlineStr"/>
      <c r="O120" s="521">
        <f>M120=N120</f>
        <v/>
      </c>
      <c r="P120" s="521">
        <f>AND(MONTH(F120)=MONTH(S120), YEAR(F120)=YEAR(S120))</f>
        <v/>
      </c>
      <c r="Q120" s="521">
        <f>U120="L001-901905215"</f>
        <v/>
      </c>
      <c r="R120" s="556">
        <f>G120-W120</f>
        <v/>
      </c>
      <c r="S120" s="521" t="n"/>
      <c r="T120" s="522" t="n"/>
      <c r="U120" s="522" t="n"/>
      <c r="V120" s="522" t="n"/>
      <c r="W120" s="521" t="n"/>
    </row>
    <row r="121">
      <c r="A121" s="521" t="n">
        <v>113</v>
      </c>
      <c r="B121" s="522" t="n"/>
      <c r="C121" s="522" t="inlineStr">
        <is>
          <t>អេសជីអេស (ខេមបូឌា) លីមីធីត</t>
        </is>
      </c>
      <c r="D121" s="522" t="inlineStr">
        <is>
          <t>L001-107030519</t>
        </is>
      </c>
      <c r="E121" s="521" t="inlineStr">
        <is>
          <t>10009034</t>
        </is>
      </c>
      <c r="F121" s="523" t="n">
        <v>44197</v>
      </c>
      <c r="G121" s="556" t="n">
        <v>106097</v>
      </c>
      <c r="I121" s="521">
        <f>G121</f>
        <v/>
      </c>
      <c r="K121" s="521">
        <f>I121-G121</f>
        <v/>
      </c>
      <c r="M121" s="522" t="inlineStr">
        <is>
          <t>10009034</t>
        </is>
      </c>
      <c r="N121" s="522" t="inlineStr"/>
      <c r="O121" s="521">
        <f>M121=N121</f>
        <v/>
      </c>
      <c r="P121" s="521">
        <f>AND(MONTH(F121)=MONTH(S121), YEAR(F121)=YEAR(S121))</f>
        <v/>
      </c>
      <c r="Q121" s="521">
        <f>U121="L001-901905215"</f>
        <v/>
      </c>
      <c r="R121" s="556">
        <f>G121-W121</f>
        <v/>
      </c>
      <c r="S121" s="521" t="n"/>
      <c r="T121" s="522" t="n"/>
      <c r="U121" s="522" t="n"/>
      <c r="V121" s="522" t="n"/>
      <c r="W121" s="521" t="n"/>
    </row>
    <row r="122">
      <c r="A122" s="521" t="n">
        <v>114</v>
      </c>
      <c r="B122" s="522" t="n"/>
      <c r="C122" s="522" t="inlineStr">
        <is>
          <t>សហ័ស សិឃ្យូរិធី ឯ.ក</t>
        </is>
      </c>
      <c r="D122" s="522" t="inlineStr">
        <is>
          <t>K010-107032600</t>
        </is>
      </c>
      <c r="E122" s="521" t="inlineStr">
        <is>
          <t>SHTI210018</t>
        </is>
      </c>
      <c r="F122" s="523" t="n">
        <v>44221</v>
      </c>
      <c r="G122" s="556" t="n">
        <v>227472</v>
      </c>
      <c r="I122" s="521">
        <f>G122</f>
        <v/>
      </c>
      <c r="K122" s="521">
        <f>I122-G122</f>
        <v/>
      </c>
      <c r="M122" s="522" t="inlineStr">
        <is>
          <t>SHTI210018</t>
        </is>
      </c>
      <c r="N122" s="522" t="inlineStr">
        <is>
          <t>SHTI210018</t>
        </is>
      </c>
      <c r="O122" s="521">
        <f>M122=N122</f>
        <v/>
      </c>
      <c r="P122" s="521">
        <f>AND(MONTH(F122)=MONTH(S122), YEAR(F122)=YEAR(S122))</f>
        <v/>
      </c>
      <c r="Q122" s="521">
        <f>U122="L001-901905215"</f>
        <v/>
      </c>
      <c r="R122" s="556">
        <f>G122-W122</f>
        <v/>
      </c>
      <c r="S122" s="523" t="n">
        <v>44221</v>
      </c>
      <c r="T122" s="522" t="inlineStr">
        <is>
          <t>SHTI210018</t>
        </is>
      </c>
      <c r="U122" s="522" t="inlineStr">
        <is>
          <t>L001-901905215</t>
        </is>
      </c>
      <c r="V122" s="522" t="inlineStr">
        <is>
          <t>វីអ៊ីស៊ិន (ខេមបូឌា) អ៊ិនដាសស្ទ្រី ឯ.ក</t>
        </is>
      </c>
      <c r="W122" s="556" t="n">
        <v>227472</v>
      </c>
    </row>
    <row r="123">
      <c r="A123" s="521" t="n">
        <v>115</v>
      </c>
      <c r="B123" s="522" t="n"/>
      <c r="C123" s="522" t="inlineStr">
        <is>
          <t>ភ្នំពេញ អេសអ៊ីហ្សិត ភីអិលស៊ី</t>
        </is>
      </c>
      <c r="D123" s="522" t="inlineStr">
        <is>
          <t>L001-100046592</t>
        </is>
      </c>
      <c r="E123" s="521" t="inlineStr">
        <is>
          <t>2021-00142</t>
        </is>
      </c>
      <c r="F123" s="523" t="n">
        <v>44214</v>
      </c>
      <c r="G123" s="556" t="n">
        <v>199798</v>
      </c>
      <c r="I123" s="521">
        <f>G123</f>
        <v/>
      </c>
      <c r="K123" s="521">
        <f>I123-G123</f>
        <v/>
      </c>
      <c r="M123" s="522" t="inlineStr">
        <is>
          <t>202100142</t>
        </is>
      </c>
      <c r="N123" s="522" t="inlineStr">
        <is>
          <t>202100142</t>
        </is>
      </c>
      <c r="O123" s="521">
        <f>M123=N123</f>
        <v/>
      </c>
      <c r="P123" s="521">
        <f>AND(MONTH(F123)=MONTH(S123), YEAR(F123)=YEAR(S123))</f>
        <v/>
      </c>
      <c r="Q123" s="521">
        <f>U123="L001-901905215"</f>
        <v/>
      </c>
      <c r="R123" s="556">
        <f>G123-W123</f>
        <v/>
      </c>
      <c r="S123" s="523" t="n">
        <v>44214</v>
      </c>
      <c r="T123" s="522" t="inlineStr">
        <is>
          <t>2021-00142</t>
        </is>
      </c>
      <c r="U123" s="522" t="inlineStr">
        <is>
          <t>L001-901905215</t>
        </is>
      </c>
      <c r="V123" s="522" t="inlineStr">
        <is>
          <t>វីអ៊ីស៊ិន (ខេមបូឌា) អ៊ិនដាសស្ទ្រី ឯ.ក</t>
        </is>
      </c>
      <c r="W123" s="556" t="n">
        <v>199797</v>
      </c>
    </row>
    <row r="124">
      <c r="A124" s="521" t="n">
        <v>116</v>
      </c>
      <c r="B124" s="522" t="n"/>
      <c r="C124" s="522" t="inlineStr">
        <is>
          <t>កំពង់ផែស្វយ័តភ្នំពេញ "ក.ស.ភ"</t>
        </is>
      </c>
      <c r="D124" s="522" t="inlineStr">
        <is>
          <t>L001-100044999</t>
        </is>
      </c>
      <c r="E124" s="521" t="inlineStr">
        <is>
          <t>INV20210102222</t>
        </is>
      </c>
      <c r="F124" s="523" t="n">
        <v>44197</v>
      </c>
      <c r="G124" s="556" t="n">
        <v>28976</v>
      </c>
      <c r="I124" s="521">
        <f>G124</f>
        <v/>
      </c>
      <c r="K124" s="521">
        <f>I124-G124</f>
        <v/>
      </c>
      <c r="M124" s="522" t="inlineStr">
        <is>
          <t>INV20210102222</t>
        </is>
      </c>
      <c r="N124" s="522" t="inlineStr"/>
      <c r="O124" s="521">
        <f>M124=N124</f>
        <v/>
      </c>
      <c r="P124" s="521">
        <f>AND(MONTH(F124)=MONTH(S124), YEAR(F124)=YEAR(S124))</f>
        <v/>
      </c>
      <c r="Q124" s="521">
        <f>U124="L001-901905215"</f>
        <v/>
      </c>
      <c r="R124" s="556">
        <f>G124-W124</f>
        <v/>
      </c>
      <c r="S124" s="521" t="n"/>
      <c r="T124" s="522" t="n"/>
      <c r="U124" s="522" t="n"/>
      <c r="V124" s="522" t="n"/>
      <c r="W124" s="521" t="n"/>
    </row>
    <row r="125">
      <c r="A125" s="521" t="n">
        <v>117</v>
      </c>
      <c r="B125" s="522" t="n"/>
      <c r="C125" s="522" t="inlineStr">
        <is>
          <t>កំពង់ផែស្វយ័តភ្នំពេញ "ក.ស.ភ"</t>
        </is>
      </c>
      <c r="D125" s="522" t="inlineStr">
        <is>
          <t>L001-100044999</t>
        </is>
      </c>
      <c r="E125" s="521" t="inlineStr">
        <is>
          <t>INV20210101050</t>
        </is>
      </c>
      <c r="F125" s="523" t="n">
        <v>44204</v>
      </c>
      <c r="G125" s="556" t="n">
        <v>57952</v>
      </c>
      <c r="I125" s="521">
        <f>G125</f>
        <v/>
      </c>
      <c r="K125" s="521">
        <f>I125-G125</f>
        <v/>
      </c>
      <c r="M125" s="522" t="inlineStr">
        <is>
          <t>INV20210101050</t>
        </is>
      </c>
      <c r="N125" s="522" t="inlineStr"/>
      <c r="O125" s="521">
        <f>M125=N125</f>
        <v/>
      </c>
      <c r="P125" s="521">
        <f>AND(MONTH(F125)=MONTH(S125), YEAR(F125)=YEAR(S125))</f>
        <v/>
      </c>
      <c r="Q125" s="521">
        <f>U125="L001-901905215"</f>
        <v/>
      </c>
      <c r="R125" s="556">
        <f>G125-W125</f>
        <v/>
      </c>
      <c r="S125" s="521" t="n"/>
      <c r="T125" s="522" t="n"/>
      <c r="U125" s="522" t="n"/>
      <c r="V125" s="522" t="n"/>
      <c r="W125" s="521" t="n"/>
    </row>
    <row r="126">
      <c r="A126" s="521" t="n">
        <v>118</v>
      </c>
      <c r="B126" s="522" t="n"/>
      <c r="C126" s="522" t="inlineStr">
        <is>
          <t>កំពង់ផែស្វយ័តភ្នំពេញ "ក.ស.ភ"</t>
        </is>
      </c>
      <c r="D126" s="522" t="inlineStr">
        <is>
          <t>L001-100044999</t>
        </is>
      </c>
      <c r="E126" s="521" t="inlineStr">
        <is>
          <t>INV20210101051</t>
        </is>
      </c>
      <c r="F126" s="523" t="n">
        <v>44204</v>
      </c>
      <c r="G126" s="556" t="n">
        <v>28976</v>
      </c>
      <c r="I126" s="521">
        <f>G126</f>
        <v/>
      </c>
      <c r="K126" s="521">
        <f>I126-G126</f>
        <v/>
      </c>
      <c r="M126" s="522" t="inlineStr">
        <is>
          <t>INV20210101051</t>
        </is>
      </c>
      <c r="N126" s="522" t="inlineStr"/>
      <c r="O126" s="521">
        <f>M126=N126</f>
        <v/>
      </c>
      <c r="P126" s="521">
        <f>AND(MONTH(F126)=MONTH(S126), YEAR(F126)=YEAR(S126))</f>
        <v/>
      </c>
      <c r="Q126" s="521">
        <f>U126="L001-901905215"</f>
        <v/>
      </c>
      <c r="R126" s="556">
        <f>G126-W126</f>
        <v/>
      </c>
      <c r="S126" s="521" t="n"/>
      <c r="T126" s="522" t="n"/>
      <c r="U126" s="522" t="n"/>
      <c r="V126" s="522" t="n"/>
      <c r="W126" s="521" t="n"/>
    </row>
    <row r="127">
      <c r="A127" s="521" t="n">
        <v>119</v>
      </c>
      <c r="B127" s="522" t="n"/>
      <c r="C127" s="522" t="inlineStr">
        <is>
          <t>កំពង់ផែស្វយ័តភ្នំពេញ "ក.ស.ភ"</t>
        </is>
      </c>
      <c r="D127" s="522" t="inlineStr">
        <is>
          <t>L001-100044999</t>
        </is>
      </c>
      <c r="E127" s="521" t="inlineStr">
        <is>
          <t>INV20201259405</t>
        </is>
      </c>
      <c r="F127" s="523" t="n">
        <v>44197</v>
      </c>
      <c r="G127" s="556" t="n">
        <v>115560</v>
      </c>
      <c r="I127" s="521">
        <f>G127</f>
        <v/>
      </c>
      <c r="K127" s="521">
        <f>I127-G127</f>
        <v/>
      </c>
      <c r="M127" s="522" t="inlineStr">
        <is>
          <t>INV20201259405</t>
        </is>
      </c>
      <c r="N127" s="522" t="inlineStr"/>
      <c r="O127" s="521">
        <f>M127=N127</f>
        <v/>
      </c>
      <c r="P127" s="521">
        <f>AND(MONTH(F127)=MONTH(S127), YEAR(F127)=YEAR(S127))</f>
        <v/>
      </c>
      <c r="Q127" s="521">
        <f>U127="L001-901905215"</f>
        <v/>
      </c>
      <c r="R127" s="556">
        <f>G127-W127</f>
        <v/>
      </c>
      <c r="S127" s="521" t="n"/>
      <c r="T127" s="522" t="n"/>
      <c r="U127" s="522" t="n"/>
      <c r="V127" s="522" t="n"/>
      <c r="W127" s="521" t="n"/>
    </row>
    <row r="128">
      <c r="A128" s="521" t="n">
        <v>120</v>
      </c>
      <c r="B128" s="522" t="n"/>
      <c r="C128" s="522" t="inlineStr">
        <is>
          <t>កំពង់ផែស្វយ័តភ្នំពេញ "ក.ស.ភ"</t>
        </is>
      </c>
      <c r="D128" s="522" t="inlineStr">
        <is>
          <t>L001-100044999</t>
        </is>
      </c>
      <c r="E128" s="521" t="inlineStr">
        <is>
          <t>INV202101105315</t>
        </is>
      </c>
      <c r="F128" s="523" t="n">
        <v>44197</v>
      </c>
      <c r="G128" s="556" t="n">
        <v>29083</v>
      </c>
      <c r="I128" s="521">
        <f>G128</f>
        <v/>
      </c>
      <c r="K128" s="521">
        <f>I128-G128</f>
        <v/>
      </c>
      <c r="M128" s="522" t="inlineStr">
        <is>
          <t>INV202101105315</t>
        </is>
      </c>
      <c r="N128" s="522" t="inlineStr"/>
      <c r="O128" s="521">
        <f>M128=N128</f>
        <v/>
      </c>
      <c r="P128" s="521">
        <f>AND(MONTH(F128)=MONTH(S128), YEAR(F128)=YEAR(S128))</f>
        <v/>
      </c>
      <c r="Q128" s="521">
        <f>U128="L001-901905215"</f>
        <v/>
      </c>
      <c r="R128" s="556">
        <f>G128-W128</f>
        <v/>
      </c>
      <c r="S128" s="521" t="n"/>
      <c r="T128" s="522" t="n"/>
      <c r="U128" s="522" t="n"/>
      <c r="V128" s="522" t="n"/>
      <c r="W128" s="521" t="n"/>
    </row>
    <row r="129">
      <c r="A129" s="521" t="n">
        <v>121</v>
      </c>
      <c r="B129" s="522" t="n"/>
      <c r="C129" s="522" t="inlineStr">
        <is>
          <t>កំពង់ផែស្វយ័តភ្នំពេញ "ក.ស.ភ"</t>
        </is>
      </c>
      <c r="D129" s="522" t="inlineStr">
        <is>
          <t>L001-100044999</t>
        </is>
      </c>
      <c r="E129" s="521" t="inlineStr">
        <is>
          <t>INV20210105313</t>
        </is>
      </c>
      <c r="F129" s="523" t="n">
        <v>44197</v>
      </c>
      <c r="G129" s="556" t="n">
        <v>29083</v>
      </c>
      <c r="I129" s="521">
        <f>G129</f>
        <v/>
      </c>
      <c r="K129" s="521">
        <f>I129-G129</f>
        <v/>
      </c>
      <c r="M129" s="522" t="inlineStr">
        <is>
          <t>INV20210105313</t>
        </is>
      </c>
      <c r="N129" s="522" t="inlineStr"/>
      <c r="O129" s="521">
        <f>M129=N129</f>
        <v/>
      </c>
      <c r="P129" s="521">
        <f>AND(MONTH(F129)=MONTH(S129), YEAR(F129)=YEAR(S129))</f>
        <v/>
      </c>
      <c r="Q129" s="521">
        <f>U129="L001-901905215"</f>
        <v/>
      </c>
      <c r="R129" s="556">
        <f>G129-W129</f>
        <v/>
      </c>
      <c r="S129" s="521" t="n"/>
      <c r="T129" s="522" t="n"/>
      <c r="U129" s="522" t="n"/>
      <c r="V129" s="522" t="n"/>
      <c r="W129" s="521" t="n"/>
    </row>
    <row r="130">
      <c r="A130" s="521" t="n">
        <v>122</v>
      </c>
      <c r="B130" s="522" t="n"/>
      <c r="C130" s="522" t="inlineStr">
        <is>
          <t>កំពង់ផែស្វយ័តភ្នំពេញ "ក.ស.ភ"</t>
        </is>
      </c>
      <c r="D130" s="522" t="inlineStr">
        <is>
          <t>L001-100044999</t>
        </is>
      </c>
      <c r="E130" s="521" t="inlineStr">
        <is>
          <t>INV2021015312</t>
        </is>
      </c>
      <c r="F130" s="523" t="n">
        <v>44197</v>
      </c>
      <c r="G130" s="556" t="n">
        <v>29083</v>
      </c>
      <c r="I130" s="521">
        <f>G130</f>
        <v/>
      </c>
      <c r="K130" s="521">
        <f>I130-G130</f>
        <v/>
      </c>
      <c r="M130" s="522" t="inlineStr">
        <is>
          <t>INV2021015312</t>
        </is>
      </c>
      <c r="N130" s="522" t="inlineStr"/>
      <c r="O130" s="521">
        <f>M130=N130</f>
        <v/>
      </c>
      <c r="P130" s="521">
        <f>AND(MONTH(F130)=MONTH(S130), YEAR(F130)=YEAR(S130))</f>
        <v/>
      </c>
      <c r="Q130" s="521">
        <f>U130="L001-901905215"</f>
        <v/>
      </c>
      <c r="R130" s="556">
        <f>G130-W130</f>
        <v/>
      </c>
      <c r="S130" s="521" t="n"/>
      <c r="T130" s="522" t="n"/>
      <c r="U130" s="522" t="n"/>
      <c r="V130" s="522" t="n"/>
      <c r="W130" s="521" t="n"/>
    </row>
    <row r="131">
      <c r="A131" s="521" t="n">
        <v>123</v>
      </c>
      <c r="B131" s="522" t="n"/>
      <c r="C131" s="522" t="inlineStr">
        <is>
          <t>កំពង់ផែស្វយ័តភ្នំពេញ "ក.ស.ភ"</t>
        </is>
      </c>
      <c r="D131" s="522" t="inlineStr">
        <is>
          <t>L001-100044999</t>
        </is>
      </c>
      <c r="E131" s="521" t="inlineStr">
        <is>
          <t>INV20210105314</t>
        </is>
      </c>
      <c r="F131" s="523" t="n">
        <v>44197</v>
      </c>
      <c r="G131" s="556" t="n">
        <v>58166</v>
      </c>
      <c r="I131" s="521">
        <f>G131</f>
        <v/>
      </c>
      <c r="K131" s="521">
        <f>I131-G131</f>
        <v/>
      </c>
      <c r="M131" s="522" t="inlineStr">
        <is>
          <t>INV20210105314</t>
        </is>
      </c>
      <c r="N131" s="522" t="inlineStr"/>
      <c r="O131" s="521">
        <f>M131=N131</f>
        <v/>
      </c>
      <c r="P131" s="521">
        <f>AND(MONTH(F131)=MONTH(S131), YEAR(F131)=YEAR(S131))</f>
        <v/>
      </c>
      <c r="Q131" s="521">
        <f>U131="L001-901905215"</f>
        <v/>
      </c>
      <c r="R131" s="556">
        <f>G131-W131</f>
        <v/>
      </c>
      <c r="S131" s="521" t="n"/>
      <c r="T131" s="522" t="n"/>
      <c r="U131" s="522" t="n"/>
      <c r="V131" s="522" t="n"/>
      <c r="W131" s="521" t="n"/>
    </row>
    <row r="132">
      <c r="A132" s="521" t="n">
        <v>124</v>
      </c>
      <c r="B132" s="522" t="n"/>
      <c r="C132" s="522" t="inlineStr">
        <is>
          <t>កំពង់ផែស្វយ័តភ្នំពេញ "ក.ស.ភ"</t>
        </is>
      </c>
      <c r="D132" s="522" t="inlineStr">
        <is>
          <t>L001-100044999</t>
        </is>
      </c>
      <c r="E132" s="521" t="inlineStr">
        <is>
          <t>INV2020259406</t>
        </is>
      </c>
      <c r="F132" s="523" t="n">
        <v>44197</v>
      </c>
      <c r="G132" s="556" t="n">
        <v>28890</v>
      </c>
      <c r="I132" s="521">
        <f>G132</f>
        <v/>
      </c>
      <c r="K132" s="521">
        <f>I132-G132</f>
        <v/>
      </c>
      <c r="M132" s="522" t="inlineStr">
        <is>
          <t>INV2020259406</t>
        </is>
      </c>
      <c r="N132" s="522" t="inlineStr"/>
      <c r="O132" s="521">
        <f>M132=N132</f>
        <v/>
      </c>
      <c r="P132" s="521">
        <f>AND(MONTH(F132)=MONTH(S132), YEAR(F132)=YEAR(S132))</f>
        <v/>
      </c>
      <c r="Q132" s="521">
        <f>U132="L001-901905215"</f>
        <v/>
      </c>
      <c r="R132" s="556">
        <f>G132-W132</f>
        <v/>
      </c>
      <c r="S132" s="521" t="n"/>
      <c r="T132" s="522" t="n"/>
      <c r="U132" s="522" t="n"/>
      <c r="V132" s="522" t="n"/>
      <c r="W132" s="521" t="n"/>
    </row>
    <row r="133">
      <c r="A133" s="521" t="n">
        <v>125</v>
      </c>
      <c r="B133" s="522" t="n"/>
      <c r="C133" s="522" t="inlineStr">
        <is>
          <t>អូរៀនថល ឡូជីស្ទីក &amp; ឌីស្ទ្រីប៊្យូសិន (ខេមបូឌា)</t>
        </is>
      </c>
      <c r="D133" s="522" t="inlineStr">
        <is>
          <t>L001-103007369</t>
        </is>
      </c>
      <c r="E133" s="521" t="inlineStr"/>
      <c r="F133" s="523" t="n">
        <v>44211</v>
      </c>
      <c r="G133" s="556" t="n">
        <v>6038159</v>
      </c>
      <c r="I133" s="521">
        <f>G133</f>
        <v/>
      </c>
      <c r="K133" s="521">
        <f>I133-G133</f>
        <v/>
      </c>
      <c r="M133" s="522" t="inlineStr"/>
      <c r="N133" s="522" t="inlineStr"/>
      <c r="O133" s="521">
        <f>M133=N133</f>
        <v/>
      </c>
      <c r="P133" s="521">
        <f>AND(MONTH(F133)=MONTH(S133), YEAR(F133)=YEAR(S133))</f>
        <v/>
      </c>
      <c r="Q133" s="521">
        <f>U133="L001-901905215"</f>
        <v/>
      </c>
      <c r="R133" s="556">
        <f>G133-W133</f>
        <v/>
      </c>
      <c r="S133" s="521" t="n"/>
      <c r="T133" s="522" t="n"/>
      <c r="U133" s="522" t="n"/>
      <c r="V133" s="522" t="n"/>
      <c r="W133" s="521" t="n"/>
    </row>
    <row r="134">
      <c r="A134" s="521" t="n">
        <v>126</v>
      </c>
      <c r="B134" s="522" t="n"/>
      <c r="C134" s="522" t="inlineStr">
        <is>
          <t>មើស្គ (ខេមបូឌា)</t>
        </is>
      </c>
      <c r="D134" s="522" t="inlineStr">
        <is>
          <t>L001-100045200</t>
        </is>
      </c>
      <c r="E134" s="521" t="inlineStr">
        <is>
          <t>5995868698</t>
        </is>
      </c>
      <c r="F134" s="523" t="n">
        <v>44211</v>
      </c>
      <c r="G134" s="556" t="n">
        <v>311676</v>
      </c>
      <c r="I134" s="521">
        <f>G134</f>
        <v/>
      </c>
      <c r="K134" s="521">
        <f>I134-G134</f>
        <v/>
      </c>
      <c r="M134" s="522" t="inlineStr">
        <is>
          <t>5995868698</t>
        </is>
      </c>
      <c r="N134" s="522" t="inlineStr"/>
      <c r="O134" s="521">
        <f>M134=N134</f>
        <v/>
      </c>
      <c r="P134" s="521">
        <f>AND(MONTH(F134)=MONTH(S134), YEAR(F134)=YEAR(S134))</f>
        <v/>
      </c>
      <c r="Q134" s="521">
        <f>U134="L001-901905215"</f>
        <v/>
      </c>
      <c r="R134" s="556">
        <f>G134-W134</f>
        <v/>
      </c>
      <c r="S134" s="521" t="n"/>
      <c r="T134" s="522" t="n"/>
      <c r="U134" s="522" t="n"/>
      <c r="V134" s="522" t="n"/>
      <c r="W134" s="521" t="n"/>
    </row>
    <row r="135">
      <c r="A135" s="521" t="n">
        <v>127</v>
      </c>
      <c r="B135" s="522" t="n"/>
      <c r="C135" s="522" t="inlineStr">
        <is>
          <t>ហុង ឡេង ហួរ</t>
        </is>
      </c>
      <c r="D135" s="522" t="inlineStr">
        <is>
          <t>L001-100068901</t>
        </is>
      </c>
      <c r="E135" s="521" t="inlineStr">
        <is>
          <t>DPS19152500</t>
        </is>
      </c>
      <c r="F135" s="523" t="n">
        <v>44197</v>
      </c>
      <c r="G135" s="556" t="n">
        <v>7342</v>
      </c>
      <c r="I135" s="521">
        <f>G135</f>
        <v/>
      </c>
      <c r="K135" s="521">
        <f>I135-G135</f>
        <v/>
      </c>
      <c r="M135" s="522" t="inlineStr">
        <is>
          <t>DPS19152500</t>
        </is>
      </c>
      <c r="N135" s="522" t="inlineStr"/>
      <c r="O135" s="521">
        <f>M135=N135</f>
        <v/>
      </c>
      <c r="P135" s="521">
        <f>AND(MONTH(F135)=MONTH(S135), YEAR(F135)=YEAR(S135))</f>
        <v/>
      </c>
      <c r="Q135" s="521">
        <f>U135="L001-901905215"</f>
        <v/>
      </c>
      <c r="R135" s="556">
        <f>G135-W135</f>
        <v/>
      </c>
      <c r="S135" s="521" t="n"/>
      <c r="T135" s="522" t="n"/>
      <c r="U135" s="522" t="n"/>
      <c r="V135" s="522" t="n"/>
      <c r="W135" s="521" t="n"/>
    </row>
    <row r="136">
      <c r="A136" s="521" t="n">
        <v>128</v>
      </c>
      <c r="B136" s="522" t="n"/>
      <c r="C136" s="522" t="inlineStr">
        <is>
          <t>ហុង ឡេង ហួរ</t>
        </is>
      </c>
      <c r="D136" s="522" t="inlineStr">
        <is>
          <t>L001-100068901</t>
        </is>
      </c>
      <c r="E136" s="521" t="inlineStr">
        <is>
          <t>DPS19152476</t>
        </is>
      </c>
      <c r="F136" s="523" t="n">
        <v>44197</v>
      </c>
      <c r="G136" s="556" t="n">
        <v>7342</v>
      </c>
      <c r="I136" s="521">
        <f>G136</f>
        <v/>
      </c>
      <c r="K136" s="521">
        <f>I136-G136</f>
        <v/>
      </c>
      <c r="M136" s="522" t="inlineStr">
        <is>
          <t>DPS19152476</t>
        </is>
      </c>
      <c r="N136" s="522" t="inlineStr"/>
      <c r="O136" s="521">
        <f>M136=N136</f>
        <v/>
      </c>
      <c r="P136" s="521">
        <f>AND(MONTH(F136)=MONTH(S136), YEAR(F136)=YEAR(S136))</f>
        <v/>
      </c>
      <c r="Q136" s="521">
        <f>U136="L001-901905215"</f>
        <v/>
      </c>
      <c r="R136" s="556">
        <f>G136-W136</f>
        <v/>
      </c>
      <c r="S136" s="521" t="n"/>
      <c r="T136" s="522" t="n"/>
      <c r="U136" s="522" t="n"/>
      <c r="V136" s="522" t="n"/>
      <c r="W136" s="521" t="n"/>
    </row>
    <row r="137">
      <c r="A137" s="521" t="n">
        <v>129</v>
      </c>
      <c r="B137" s="522" t="n"/>
      <c r="C137" s="522" t="inlineStr">
        <is>
          <t>ហុង ឡេង ហួរ</t>
        </is>
      </c>
      <c r="D137" s="522" t="inlineStr">
        <is>
          <t>L001-100068901</t>
        </is>
      </c>
      <c r="E137" s="521" t="inlineStr">
        <is>
          <t>DPS19152454</t>
        </is>
      </c>
      <c r="F137" s="523" t="n">
        <v>44197</v>
      </c>
      <c r="G137" s="556" t="n">
        <v>7345</v>
      </c>
      <c r="I137" s="521">
        <f>G137</f>
        <v/>
      </c>
      <c r="K137" s="521">
        <f>I137-G137</f>
        <v/>
      </c>
      <c r="M137" s="522" t="inlineStr">
        <is>
          <t>DPS19152454</t>
        </is>
      </c>
      <c r="N137" s="522" t="inlineStr"/>
      <c r="O137" s="521">
        <f>M137=N137</f>
        <v/>
      </c>
      <c r="P137" s="521">
        <f>AND(MONTH(F137)=MONTH(S137), YEAR(F137)=YEAR(S137))</f>
        <v/>
      </c>
      <c r="Q137" s="521">
        <f>U137="L001-901905215"</f>
        <v/>
      </c>
      <c r="R137" s="556">
        <f>G137-W137</f>
        <v/>
      </c>
      <c r="S137" s="521" t="n"/>
      <c r="T137" s="522" t="n"/>
      <c r="U137" s="522" t="n"/>
      <c r="V137" s="522" t="n"/>
      <c r="W137" s="521" t="n"/>
    </row>
    <row r="138">
      <c r="A138" s="521" t="n">
        <v>130</v>
      </c>
      <c r="B138" s="522" t="n"/>
      <c r="C138" s="522" t="inlineStr">
        <is>
          <t>ហុង ឡេង ហួរ</t>
        </is>
      </c>
      <c r="D138" s="522" t="inlineStr">
        <is>
          <t>L001-100068901</t>
        </is>
      </c>
      <c r="E138" s="521" t="inlineStr">
        <is>
          <t>DPS19152455</t>
        </is>
      </c>
      <c r="F138" s="523" t="n">
        <v>44197</v>
      </c>
      <c r="G138" s="556" t="n">
        <v>7345</v>
      </c>
      <c r="I138" s="521">
        <f>G138</f>
        <v/>
      </c>
      <c r="K138" s="521">
        <f>I138-G138</f>
        <v/>
      </c>
      <c r="M138" s="522" t="inlineStr">
        <is>
          <t>DPS19152455</t>
        </is>
      </c>
      <c r="N138" s="522" t="inlineStr"/>
      <c r="O138" s="521">
        <f>M138=N138</f>
        <v/>
      </c>
      <c r="P138" s="521">
        <f>AND(MONTH(F138)=MONTH(S138), YEAR(F138)=YEAR(S138))</f>
        <v/>
      </c>
      <c r="Q138" s="521">
        <f>U138="L001-901905215"</f>
        <v/>
      </c>
      <c r="R138" s="556">
        <f>G138-W138</f>
        <v/>
      </c>
      <c r="S138" s="521" t="n"/>
      <c r="T138" s="522" t="n"/>
      <c r="U138" s="522" t="n"/>
      <c r="V138" s="522" t="n"/>
      <c r="W138" s="521" t="n"/>
    </row>
    <row r="139">
      <c r="A139" s="521" t="n">
        <v>131</v>
      </c>
      <c r="B139" s="522" t="n"/>
      <c r="C139" s="522" t="inlineStr">
        <is>
          <t>ហុង ឡេង ហួរ</t>
        </is>
      </c>
      <c r="D139" s="522" t="inlineStr">
        <is>
          <t>L001-100068901</t>
        </is>
      </c>
      <c r="E139" s="521" t="inlineStr">
        <is>
          <t>DPS19153187</t>
        </is>
      </c>
      <c r="F139" s="523" t="n">
        <v>44197</v>
      </c>
      <c r="G139" s="556" t="n">
        <v>7324</v>
      </c>
      <c r="I139" s="521">
        <f>G139</f>
        <v/>
      </c>
      <c r="K139" s="521">
        <f>I139-G139</f>
        <v/>
      </c>
      <c r="M139" s="522" t="inlineStr">
        <is>
          <t>DPS19153187</t>
        </is>
      </c>
      <c r="N139" s="522" t="inlineStr"/>
      <c r="O139" s="521">
        <f>M139=N139</f>
        <v/>
      </c>
      <c r="P139" s="521">
        <f>AND(MONTH(F139)=MONTH(S139), YEAR(F139)=YEAR(S139))</f>
        <v/>
      </c>
      <c r="Q139" s="521">
        <f>U139="L001-901905215"</f>
        <v/>
      </c>
      <c r="R139" s="556">
        <f>G139-W139</f>
        <v/>
      </c>
      <c r="S139" s="521" t="n"/>
      <c r="T139" s="522" t="n"/>
      <c r="U139" s="522" t="n"/>
      <c r="V139" s="522" t="n"/>
      <c r="W139" s="521" t="n"/>
    </row>
    <row r="140">
      <c r="A140" s="521" t="n">
        <v>132</v>
      </c>
      <c r="B140" s="522" t="n"/>
      <c r="C140" s="522" t="inlineStr">
        <is>
          <t>ហុង ឡេង ហួរ</t>
        </is>
      </c>
      <c r="D140" s="522" t="inlineStr">
        <is>
          <t>L001-100068901</t>
        </is>
      </c>
      <c r="E140" s="521" t="inlineStr">
        <is>
          <t>DPS19</t>
        </is>
      </c>
      <c r="F140" s="523" t="n">
        <v>44197</v>
      </c>
      <c r="G140" s="556" t="n">
        <v>7342</v>
      </c>
      <c r="I140" s="521">
        <f>G140</f>
        <v/>
      </c>
      <c r="K140" s="521">
        <f>I140-G140</f>
        <v/>
      </c>
      <c r="M140" s="522" t="inlineStr">
        <is>
          <t>DPS19</t>
        </is>
      </c>
      <c r="N140" s="522" t="inlineStr"/>
      <c r="O140" s="521">
        <f>M140=N140</f>
        <v/>
      </c>
      <c r="P140" s="521">
        <f>AND(MONTH(F140)=MONTH(S140), YEAR(F140)=YEAR(S140))</f>
        <v/>
      </c>
      <c r="Q140" s="521">
        <f>U140="L001-901905215"</f>
        <v/>
      </c>
      <c r="R140" s="556">
        <f>G140-W140</f>
        <v/>
      </c>
      <c r="S140" s="521" t="n"/>
      <c r="T140" s="522" t="n"/>
      <c r="U140" s="522" t="n"/>
      <c r="V140" s="522" t="n"/>
      <c r="W140" s="521" t="n"/>
    </row>
    <row r="141">
      <c r="A141" s="521" t="n">
        <v>133</v>
      </c>
      <c r="B141" s="522" t="n"/>
      <c r="C141" s="522" t="inlineStr">
        <is>
          <t>ហេលមេន វើលវ៉ាយដ៍ ឡូជីស្ទីក (ខេមបូឌា) អិលអិលស៊ី</t>
        </is>
      </c>
      <c r="D141" s="522" t="inlineStr">
        <is>
          <t>L001-106002481</t>
        </is>
      </c>
      <c r="E141" s="521" t="inlineStr">
        <is>
          <t>Thwl21000174</t>
        </is>
      </c>
      <c r="F141" s="523" t="n">
        <v>44197</v>
      </c>
      <c r="G141" s="556" t="n">
        <v>36955</v>
      </c>
      <c r="I141" s="521">
        <f>G141</f>
        <v/>
      </c>
      <c r="K141" s="521">
        <f>I141-G141</f>
        <v/>
      </c>
      <c r="M141" s="522" t="inlineStr">
        <is>
          <t>Thwl21000174</t>
        </is>
      </c>
      <c r="N141" s="522" t="inlineStr">
        <is>
          <t>THWL21000174</t>
        </is>
      </c>
      <c r="O141" s="521">
        <f>M141=N141</f>
        <v/>
      </c>
      <c r="P141" s="521">
        <f>AND(MONTH(F141)=MONTH(S141), YEAR(F141)=YEAR(S141))</f>
        <v/>
      </c>
      <c r="Q141" s="521">
        <f>U141="L001-901905215"</f>
        <v/>
      </c>
      <c r="R141" s="556">
        <f>G141-W141</f>
        <v/>
      </c>
      <c r="S141" s="523" t="n">
        <v>44226</v>
      </c>
      <c r="T141" s="522" t="inlineStr">
        <is>
          <t>THWL21-000174</t>
        </is>
      </c>
      <c r="U141" s="522" t="inlineStr">
        <is>
          <t>L001-901905215</t>
        </is>
      </c>
      <c r="V141" s="522" t="inlineStr">
        <is>
          <t>វីអ៊ីស៊ិន (ខេមបូឌា) អ៊ិនដាសស្ទ្រី ឯ.ក</t>
        </is>
      </c>
      <c r="W141" s="556" t="n">
        <v>40650</v>
      </c>
    </row>
    <row r="142">
      <c r="A142" s="521" t="n">
        <v>134</v>
      </c>
      <c r="B142" s="522" t="n"/>
      <c r="C142" s="522" t="inlineStr">
        <is>
          <t>ហេលមេន វើលវ៉ាយដ៍ ឡូជីស្ទីក (ខេមបូឌា) អិលអិលស៊ី</t>
        </is>
      </c>
      <c r="D142" s="522" t="inlineStr">
        <is>
          <t>L001-106002481</t>
        </is>
      </c>
      <c r="E142" s="521" t="inlineStr">
        <is>
          <t>Thl2100168</t>
        </is>
      </c>
      <c r="F142" s="523" t="n">
        <v>44197</v>
      </c>
      <c r="G142" s="556" t="n">
        <v>36955</v>
      </c>
      <c r="I142" s="521">
        <f>G142</f>
        <v/>
      </c>
      <c r="K142" s="521">
        <f>I142-G142</f>
        <v/>
      </c>
      <c r="M142" s="522" t="inlineStr">
        <is>
          <t>Thl2100168</t>
        </is>
      </c>
      <c r="N142" s="522" t="inlineStr"/>
      <c r="O142" s="521">
        <f>M142=N142</f>
        <v/>
      </c>
      <c r="P142" s="521">
        <f>AND(MONTH(F142)=MONTH(S142), YEAR(F142)=YEAR(S142))</f>
        <v/>
      </c>
      <c r="Q142" s="521">
        <f>U142="L001-901905215"</f>
        <v/>
      </c>
      <c r="R142" s="556">
        <f>G142-W142</f>
        <v/>
      </c>
      <c r="S142" s="521" t="n"/>
      <c r="T142" s="522" t="n"/>
      <c r="U142" s="522" t="n"/>
      <c r="V142" s="522" t="n"/>
      <c r="W142" s="521" t="n"/>
    </row>
    <row r="143">
      <c r="A143" s="521" t="n">
        <v>135</v>
      </c>
      <c r="B143" s="522" t="n"/>
      <c r="C143" s="522" t="inlineStr">
        <is>
          <t>ហេលមេន វើលវ៉ាយដ៍ ឡូជីស្ទីក (ខេមបូឌា) អិលអិលស៊ី</t>
        </is>
      </c>
      <c r="D143" s="522" t="inlineStr">
        <is>
          <t>L001-106002481</t>
        </is>
      </c>
      <c r="E143" s="521" t="inlineStr">
        <is>
          <t>Thl21000173</t>
        </is>
      </c>
      <c r="F143" s="523" t="n">
        <v>44197</v>
      </c>
      <c r="G143" s="556" t="n">
        <v>36955</v>
      </c>
      <c r="I143" s="521">
        <f>G143</f>
        <v/>
      </c>
      <c r="K143" s="521">
        <f>I143-G143</f>
        <v/>
      </c>
      <c r="M143" s="522" t="inlineStr">
        <is>
          <t>Thl21000173</t>
        </is>
      </c>
      <c r="N143" s="522" t="inlineStr"/>
      <c r="O143" s="521">
        <f>M143=N143</f>
        <v/>
      </c>
      <c r="P143" s="521">
        <f>AND(MONTH(F143)=MONTH(S143), YEAR(F143)=YEAR(S143))</f>
        <v/>
      </c>
      <c r="Q143" s="521">
        <f>U143="L001-901905215"</f>
        <v/>
      </c>
      <c r="R143" s="556">
        <f>G143-W143</f>
        <v/>
      </c>
      <c r="S143" s="521" t="n"/>
      <c r="T143" s="522" t="n"/>
      <c r="U143" s="522" t="n"/>
      <c r="V143" s="522" t="n"/>
      <c r="W143" s="521" t="n"/>
    </row>
    <row r="144">
      <c r="A144" s="521" t="n">
        <v>136</v>
      </c>
      <c r="B144" s="522" t="n"/>
      <c r="C144" s="522" t="inlineStr">
        <is>
          <t>ហ្គោមី រីសាយឃល110</t>
        </is>
      </c>
      <c r="D144" s="522" t="inlineStr">
        <is>
          <t>K010-901503890</t>
        </is>
      </c>
      <c r="E144" s="521" t="inlineStr">
        <is>
          <t>GRIN031</t>
        </is>
      </c>
      <c r="F144" s="523" t="n">
        <v>44225</v>
      </c>
      <c r="G144" s="556" t="n">
        <v>16260</v>
      </c>
      <c r="I144" s="521">
        <f>G144</f>
        <v/>
      </c>
      <c r="K144" s="521">
        <f>I144-G144</f>
        <v/>
      </c>
      <c r="M144" s="522" t="inlineStr">
        <is>
          <t>GRIN031</t>
        </is>
      </c>
      <c r="N144" s="522" t="inlineStr"/>
      <c r="O144" s="521">
        <f>M144=N144</f>
        <v/>
      </c>
      <c r="P144" s="521">
        <f>AND(MONTH(F144)=MONTH(S144), YEAR(F144)=YEAR(S144))</f>
        <v/>
      </c>
      <c r="Q144" s="521">
        <f>U144="L001-901905215"</f>
        <v/>
      </c>
      <c r="R144" s="556">
        <f>G144-W144</f>
        <v/>
      </c>
      <c r="S144" s="521" t="n"/>
      <c r="T144" s="522" t="n"/>
      <c r="U144" s="522" t="n"/>
      <c r="V144" s="522" t="n"/>
      <c r="W144" s="521" t="n"/>
    </row>
    <row r="145">
      <c r="A145" s="521" t="n">
        <v>137</v>
      </c>
      <c r="B145" s="522" t="n"/>
      <c r="C145" s="522" t="inlineStr">
        <is>
          <t>អ៊ិចស្ពែឌីធ័រ ខេមបូឌា អិលធីឌី</t>
        </is>
      </c>
      <c r="D145" s="522" t="inlineStr">
        <is>
          <t>L001-100045898</t>
        </is>
      </c>
      <c r="E145" s="521" t="inlineStr">
        <is>
          <t>TI0192435</t>
        </is>
      </c>
      <c r="F145" s="523" t="n">
        <v>44222</v>
      </c>
      <c r="G145" s="556" t="n">
        <v>123485</v>
      </c>
      <c r="I145" s="521">
        <f>G145</f>
        <v/>
      </c>
      <c r="K145" s="521">
        <f>I145-G145</f>
        <v/>
      </c>
      <c r="M145" s="522" t="inlineStr">
        <is>
          <t>TI0192435</t>
        </is>
      </c>
      <c r="N145" s="522" t="inlineStr">
        <is>
          <t>TI0192435</t>
        </is>
      </c>
      <c r="O145" s="521">
        <f>M145=N145</f>
        <v/>
      </c>
      <c r="P145" s="521">
        <f>AND(MONTH(F145)=MONTH(S145), YEAR(F145)=YEAR(S145))</f>
        <v/>
      </c>
      <c r="Q145" s="521">
        <f>U145="L001-901905215"</f>
        <v/>
      </c>
      <c r="R145" s="556">
        <f>G145-W145</f>
        <v/>
      </c>
      <c r="S145" s="523" t="n">
        <v>44222</v>
      </c>
      <c r="T145" s="522" t="inlineStr">
        <is>
          <t>TI-0192435</t>
        </is>
      </c>
      <c r="U145" s="522" t="inlineStr">
        <is>
          <t>L001-901905215</t>
        </is>
      </c>
      <c r="V145" s="522" t="inlineStr">
        <is>
          <t>វីអ៊ីស៊ិន (ខេមបូឌា) អ៊ិនដាសស្ទ្រី ឯ.ក</t>
        </is>
      </c>
      <c r="W145" s="556" t="n">
        <v>123484.82</v>
      </c>
    </row>
    <row r="146">
      <c r="A146" s="521" t="n">
        <v>138</v>
      </c>
      <c r="B146" s="522" t="n"/>
      <c r="C146" s="522" t="inlineStr">
        <is>
          <t>អ៊ិចស្ពែឌីធ័រ ខេមបូឌា អិលធីឌី</t>
        </is>
      </c>
      <c r="D146" s="522" t="inlineStr">
        <is>
          <t>L001-100045898</t>
        </is>
      </c>
      <c r="E146" s="521" t="inlineStr">
        <is>
          <t>TI0192529</t>
        </is>
      </c>
      <c r="F146" s="523" t="n">
        <v>44222</v>
      </c>
      <c r="G146" s="556" t="n">
        <v>359690</v>
      </c>
      <c r="I146" s="521">
        <f>G146</f>
        <v/>
      </c>
      <c r="K146" s="521">
        <f>I146-G146</f>
        <v/>
      </c>
      <c r="M146" s="522" t="inlineStr">
        <is>
          <t>TI0192529</t>
        </is>
      </c>
      <c r="N146" s="522" t="inlineStr">
        <is>
          <t>TI0192529</t>
        </is>
      </c>
      <c r="O146" s="521">
        <f>M146=N146</f>
        <v/>
      </c>
      <c r="P146" s="521">
        <f>AND(MONTH(F146)=MONTH(S146), YEAR(F146)=YEAR(S146))</f>
        <v/>
      </c>
      <c r="Q146" s="521">
        <f>U146="L001-901905215"</f>
        <v/>
      </c>
      <c r="R146" s="556">
        <f>G146-W146</f>
        <v/>
      </c>
      <c r="S146" s="523" t="n">
        <v>44222</v>
      </c>
      <c r="T146" s="522" t="inlineStr">
        <is>
          <t>TI-0192529</t>
        </is>
      </c>
      <c r="U146" s="522" t="inlineStr">
        <is>
          <t>L001-901905215</t>
        </is>
      </c>
      <c r="V146" s="522" t="inlineStr">
        <is>
          <t>វីអ៊ីស៊ិន (ខេមបូឌា) អ៊ិនដាសស្ទ្រី ឯ.ក</t>
        </is>
      </c>
      <c r="W146" s="556" t="n">
        <v>359690.09</v>
      </c>
    </row>
    <row r="147">
      <c r="A147" s="521" t="n">
        <v>139</v>
      </c>
      <c r="B147" s="522" t="n"/>
      <c r="C147" s="522" t="inlineStr">
        <is>
          <t>អ៊ិចស្ពែឌីធ័រ ខេមបូឌា អិលធីឌី</t>
        </is>
      </c>
      <c r="D147" s="522" t="inlineStr">
        <is>
          <t>L001-100045898</t>
        </is>
      </c>
      <c r="E147" s="521" t="inlineStr">
        <is>
          <t>TI0192436</t>
        </is>
      </c>
      <c r="F147" s="523" t="n">
        <v>44222</v>
      </c>
      <c r="G147" s="556" t="n">
        <v>193757</v>
      </c>
      <c r="I147" s="521">
        <f>G147</f>
        <v/>
      </c>
      <c r="K147" s="521">
        <f>I147-G147</f>
        <v/>
      </c>
      <c r="M147" s="522" t="inlineStr">
        <is>
          <t>TI0192436</t>
        </is>
      </c>
      <c r="N147" s="522" t="inlineStr">
        <is>
          <t>TI0192436</t>
        </is>
      </c>
      <c r="O147" s="521">
        <f>M147=N147</f>
        <v/>
      </c>
      <c r="P147" s="521">
        <f>AND(MONTH(F147)=MONTH(S147), YEAR(F147)=YEAR(S147))</f>
        <v/>
      </c>
      <c r="Q147" s="521">
        <f>U147="L001-901905215"</f>
        <v/>
      </c>
      <c r="R147" s="556">
        <f>G147-W147</f>
        <v/>
      </c>
      <c r="S147" s="523" t="n">
        <v>44222</v>
      </c>
      <c r="T147" s="522" t="inlineStr">
        <is>
          <t>TI-0192436</t>
        </is>
      </c>
      <c r="U147" s="522" t="inlineStr">
        <is>
          <t>L001-901905215</t>
        </is>
      </c>
      <c r="V147" s="522" t="inlineStr">
        <is>
          <t>វីអ៊ីស៊ិន (ខេមបូឌា) អ៊ិនដាសស្ទ្រី ឯ.ក</t>
        </is>
      </c>
      <c r="W147" s="556" t="n">
        <v>193757.36</v>
      </c>
    </row>
    <row r="148">
      <c r="A148" s="521" t="n">
        <v>140</v>
      </c>
      <c r="B148" s="522" t="n"/>
      <c r="C148" s="522" t="inlineStr">
        <is>
          <t>អ៊ិចស្ពែឌីធ័រ ខេមបូឌា អិលធីឌី</t>
        </is>
      </c>
      <c r="D148" s="522" t="inlineStr">
        <is>
          <t>L001-100045898</t>
        </is>
      </c>
      <c r="E148" s="521" t="inlineStr">
        <is>
          <t>TI0190803</t>
        </is>
      </c>
      <c r="F148" s="523" t="n">
        <v>44202</v>
      </c>
      <c r="G148" s="556" t="n">
        <v>719965</v>
      </c>
      <c r="I148" s="521">
        <f>G148</f>
        <v/>
      </c>
      <c r="K148" s="521">
        <f>I148-G148</f>
        <v/>
      </c>
      <c r="M148" s="522" t="inlineStr">
        <is>
          <t>TI0190803</t>
        </is>
      </c>
      <c r="N148" s="522" t="inlineStr">
        <is>
          <t>TI0190803</t>
        </is>
      </c>
      <c r="O148" s="521">
        <f>M148=N148</f>
        <v/>
      </c>
      <c r="P148" s="521">
        <f>AND(MONTH(F148)=MONTH(S148), YEAR(F148)=YEAR(S148))</f>
        <v/>
      </c>
      <c r="Q148" s="521">
        <f>U148="L001-901905215"</f>
        <v/>
      </c>
      <c r="R148" s="556">
        <f>G148-W148</f>
        <v/>
      </c>
      <c r="S148" s="523" t="n">
        <v>44202</v>
      </c>
      <c r="T148" s="522" t="inlineStr">
        <is>
          <t>TI-0190803</t>
        </is>
      </c>
      <c r="U148" s="522" t="inlineStr">
        <is>
          <t>L001-901905215</t>
        </is>
      </c>
      <c r="V148" s="522" t="inlineStr">
        <is>
          <t>វីអ៊ីស៊ិន (ខេមបូឌា) អ៊ិនដាសស្ទ្រី ឯ.ក</t>
        </is>
      </c>
      <c r="W148" s="556" t="n">
        <v>719965.27</v>
      </c>
    </row>
    <row r="149">
      <c r="A149" s="521" t="n">
        <v>141</v>
      </c>
      <c r="B149" s="522" t="n"/>
      <c r="C149" s="522" t="inlineStr">
        <is>
          <t>អ៊ិចស្ពែឌីធ័រ ខេមបូឌា អិលធីឌី</t>
        </is>
      </c>
      <c r="D149" s="522" t="inlineStr">
        <is>
          <t>L001-100045898</t>
        </is>
      </c>
      <c r="E149" s="521" t="inlineStr">
        <is>
          <t>TI0192080</t>
        </is>
      </c>
      <c r="F149" s="523" t="n">
        <v>44217</v>
      </c>
      <c r="G149" s="556" t="n">
        <v>34713</v>
      </c>
      <c r="I149" s="521">
        <f>G149</f>
        <v/>
      </c>
      <c r="K149" s="521">
        <f>I149-G149</f>
        <v/>
      </c>
      <c r="M149" s="522" t="inlineStr">
        <is>
          <t>TI0192080</t>
        </is>
      </c>
      <c r="N149" s="522" t="inlineStr">
        <is>
          <t>TI0192080</t>
        </is>
      </c>
      <c r="O149" s="521">
        <f>M149=N149</f>
        <v/>
      </c>
      <c r="P149" s="521">
        <f>AND(MONTH(F149)=MONTH(S149), YEAR(F149)=YEAR(S149))</f>
        <v/>
      </c>
      <c r="Q149" s="521">
        <f>U149="L001-901905215"</f>
        <v/>
      </c>
      <c r="R149" s="556">
        <f>G149-W149</f>
        <v/>
      </c>
      <c r="S149" s="523" t="n">
        <v>44217</v>
      </c>
      <c r="T149" s="522" t="inlineStr">
        <is>
          <t>TI-0192080</t>
        </is>
      </c>
      <c r="U149" s="522" t="inlineStr">
        <is>
          <t>L001-901905215</t>
        </is>
      </c>
      <c r="V149" s="522" t="inlineStr">
        <is>
          <t>វីអ៊ីស៊ិន (ខេមបូឌា) អ៊ិនដាសស្ទ្រី ឯ.ក</t>
        </is>
      </c>
      <c r="W149" s="556" t="n">
        <v>34713</v>
      </c>
    </row>
    <row r="150">
      <c r="A150" s="521" t="n">
        <v>142</v>
      </c>
      <c r="B150" s="522" t="n"/>
      <c r="C150" s="522" t="inlineStr">
        <is>
          <t>អ៊ិចស្ពែឌីធ័រ ខេមបូឌា អិលធីឌី</t>
        </is>
      </c>
      <c r="D150" s="522" t="inlineStr">
        <is>
          <t>L001-100045898</t>
        </is>
      </c>
      <c r="E150" s="521" t="inlineStr">
        <is>
          <t>TI0192023</t>
        </is>
      </c>
      <c r="F150" s="523" t="n">
        <v>44216</v>
      </c>
      <c r="G150" s="556" t="n">
        <v>234176</v>
      </c>
      <c r="I150" s="521">
        <f>G150</f>
        <v/>
      </c>
      <c r="K150" s="521">
        <f>I150-G150</f>
        <v/>
      </c>
      <c r="M150" s="522" t="inlineStr">
        <is>
          <t>TI0192023</t>
        </is>
      </c>
      <c r="N150" s="522" t="inlineStr">
        <is>
          <t>TI0192023</t>
        </is>
      </c>
      <c r="O150" s="521">
        <f>M150=N150</f>
        <v/>
      </c>
      <c r="P150" s="521">
        <f>AND(MONTH(F150)=MONTH(S150), YEAR(F150)=YEAR(S150))</f>
        <v/>
      </c>
      <c r="Q150" s="521">
        <f>U150="L001-901905215"</f>
        <v/>
      </c>
      <c r="R150" s="556">
        <f>G150-W150</f>
        <v/>
      </c>
      <c r="S150" s="523" t="n">
        <v>44216</v>
      </c>
      <c r="T150" s="522" t="inlineStr">
        <is>
          <t>TI-0192023</t>
        </is>
      </c>
      <c r="U150" s="522" t="inlineStr">
        <is>
          <t>L001-901905215</t>
        </is>
      </c>
      <c r="V150" s="522" t="inlineStr">
        <is>
          <t>វីអ៊ីស៊ិន (ខេមបូឌា) អ៊ិនដាសស្ទ្រី ឯ.ក</t>
        </is>
      </c>
      <c r="W150" s="556" t="n">
        <v>234176.27</v>
      </c>
    </row>
    <row r="151">
      <c r="A151" s="521" t="n">
        <v>143</v>
      </c>
      <c r="B151" s="522" t="n"/>
      <c r="C151" s="522" t="inlineStr">
        <is>
          <t>អ៊ិចស្ពែឌីធ័រ ខេមបូឌា អិលធីឌី</t>
        </is>
      </c>
      <c r="D151" s="522" t="inlineStr">
        <is>
          <t>L001-100045898</t>
        </is>
      </c>
      <c r="E151" s="521" t="inlineStr">
        <is>
          <t>TI0191939</t>
        </is>
      </c>
      <c r="F151" s="523" t="n">
        <v>44216</v>
      </c>
      <c r="G151" s="556" t="n">
        <v>250194</v>
      </c>
      <c r="I151" s="521">
        <f>G151</f>
        <v/>
      </c>
      <c r="K151" s="521">
        <f>I151-G151</f>
        <v/>
      </c>
      <c r="M151" s="522" t="inlineStr">
        <is>
          <t>TI0191939</t>
        </is>
      </c>
      <c r="N151" s="522" t="inlineStr">
        <is>
          <t>TI0191939</t>
        </is>
      </c>
      <c r="O151" s="521">
        <f>M151=N151</f>
        <v/>
      </c>
      <c r="P151" s="521">
        <f>AND(MONTH(F151)=MONTH(S151), YEAR(F151)=YEAR(S151))</f>
        <v/>
      </c>
      <c r="Q151" s="521">
        <f>U151="L001-901905215"</f>
        <v/>
      </c>
      <c r="R151" s="556">
        <f>G151-W151</f>
        <v/>
      </c>
      <c r="S151" s="523" t="n">
        <v>44216</v>
      </c>
      <c r="T151" s="522" t="inlineStr">
        <is>
          <t>TI-0191939</t>
        </is>
      </c>
      <c r="U151" s="522" t="inlineStr">
        <is>
          <t>L001-901905215</t>
        </is>
      </c>
      <c r="V151" s="522" t="inlineStr">
        <is>
          <t>វីអ៊ីស៊ិន (ខេមបូឌា) អ៊ិនដាសស្ទ្រី ឯ.ក</t>
        </is>
      </c>
      <c r="W151" s="556" t="n">
        <v>250193.55</v>
      </c>
    </row>
    <row r="152">
      <c r="A152" s="521" t="n">
        <v>144</v>
      </c>
      <c r="B152" s="522" t="n"/>
      <c r="C152" s="522" t="inlineStr">
        <is>
          <t>អ៊ិចស្ពែឌីធ័រ ខេមបូឌា អិលធីឌី</t>
        </is>
      </c>
      <c r="D152" s="522" t="inlineStr">
        <is>
          <t>L001-100045898</t>
        </is>
      </c>
      <c r="E152" s="521" t="inlineStr">
        <is>
          <t>TI0191936</t>
        </is>
      </c>
      <c r="F152" s="523" t="n">
        <v>44216</v>
      </c>
      <c r="G152" s="556" t="n">
        <v>891695</v>
      </c>
      <c r="I152" s="521">
        <f>G152</f>
        <v/>
      </c>
      <c r="K152" s="521">
        <f>I152-G152</f>
        <v/>
      </c>
      <c r="M152" s="522" t="inlineStr">
        <is>
          <t>TI0191936</t>
        </is>
      </c>
      <c r="N152" s="522" t="inlineStr">
        <is>
          <t>TI0191936</t>
        </is>
      </c>
      <c r="O152" s="521">
        <f>M152=N152</f>
        <v/>
      </c>
      <c r="P152" s="521">
        <f>AND(MONTH(F152)=MONTH(S152), YEAR(F152)=YEAR(S152))</f>
        <v/>
      </c>
      <c r="Q152" s="521">
        <f>U152="L001-901905215"</f>
        <v/>
      </c>
      <c r="R152" s="556">
        <f>G152-W152</f>
        <v/>
      </c>
      <c r="S152" s="523" t="n">
        <v>44216</v>
      </c>
      <c r="T152" s="522" t="inlineStr">
        <is>
          <t>TI-0191936</t>
        </is>
      </c>
      <c r="U152" s="522" t="inlineStr">
        <is>
          <t>L001-901905215</t>
        </is>
      </c>
      <c r="V152" s="522" t="inlineStr">
        <is>
          <t>វីអ៊ីស៊ិន (ខេមបូឌា) អ៊ិនដាសស្ទ្រី ឯ.ក</t>
        </is>
      </c>
      <c r="W152" s="556" t="n">
        <v>891694.55</v>
      </c>
    </row>
    <row r="153">
      <c r="A153" s="521" t="n">
        <v>145</v>
      </c>
      <c r="B153" s="522" t="n"/>
      <c r="C153" s="522" t="inlineStr">
        <is>
          <t>អ៊ិចស្ពែឌីធ័រ ខេមបូឌា អិលធីឌី</t>
        </is>
      </c>
      <c r="D153" s="522" t="inlineStr">
        <is>
          <t>L001-100045898</t>
        </is>
      </c>
      <c r="E153" s="521" t="inlineStr">
        <is>
          <t>TI0191924</t>
        </is>
      </c>
      <c r="F153" s="523" t="n">
        <v>44216</v>
      </c>
      <c r="G153" s="556" t="n">
        <v>574188</v>
      </c>
      <c r="I153" s="521">
        <f>G153</f>
        <v/>
      </c>
      <c r="K153" s="521">
        <f>I153-G153</f>
        <v/>
      </c>
      <c r="M153" s="522" t="inlineStr">
        <is>
          <t>TI0191924</t>
        </is>
      </c>
      <c r="N153" s="522" t="inlineStr">
        <is>
          <t>TI0191924</t>
        </is>
      </c>
      <c r="O153" s="521">
        <f>M153=N153</f>
        <v/>
      </c>
      <c r="P153" s="521">
        <f>AND(MONTH(F153)=MONTH(S153), YEAR(F153)=YEAR(S153))</f>
        <v/>
      </c>
      <c r="Q153" s="521">
        <f>U153="L001-901905215"</f>
        <v/>
      </c>
      <c r="R153" s="556">
        <f>G153-W153</f>
        <v/>
      </c>
      <c r="S153" s="523" t="n">
        <v>44216</v>
      </c>
      <c r="T153" s="522" t="inlineStr">
        <is>
          <t>TI-0191924</t>
        </is>
      </c>
      <c r="U153" s="522" t="inlineStr">
        <is>
          <t>L001-901905215</t>
        </is>
      </c>
      <c r="V153" s="522" t="inlineStr">
        <is>
          <t>វីអ៊ីស៊ិន (ខេមបូឌា) អ៊ិនដាសស្ទ្រី ឯ.ក</t>
        </is>
      </c>
      <c r="W153" s="556" t="n">
        <v>574188</v>
      </c>
    </row>
    <row r="154">
      <c r="A154" s="521" t="n">
        <v>146</v>
      </c>
      <c r="B154" s="522" t="n"/>
      <c r="C154" s="522" t="inlineStr">
        <is>
          <t>អ៊ិចស្ពែឌីធ័រ ខេមបូឌា អិលធីឌី</t>
        </is>
      </c>
      <c r="D154" s="522" t="inlineStr">
        <is>
          <t>L001-100045898</t>
        </is>
      </c>
      <c r="E154" s="521" t="inlineStr">
        <is>
          <t>TI0191919</t>
        </is>
      </c>
      <c r="F154" s="523" t="n">
        <v>44216</v>
      </c>
      <c r="G154" s="556" t="n">
        <v>147602</v>
      </c>
      <c r="I154" s="521">
        <f>G154</f>
        <v/>
      </c>
      <c r="K154" s="521">
        <f>I154-G154</f>
        <v/>
      </c>
      <c r="M154" s="522" t="inlineStr">
        <is>
          <t>TI0191919</t>
        </is>
      </c>
      <c r="N154" s="522" t="inlineStr">
        <is>
          <t>TI0191919</t>
        </is>
      </c>
      <c r="O154" s="521">
        <f>M154=N154</f>
        <v/>
      </c>
      <c r="P154" s="521">
        <f>AND(MONTH(F154)=MONTH(S154), YEAR(F154)=YEAR(S154))</f>
        <v/>
      </c>
      <c r="Q154" s="521">
        <f>U154="L001-901905215"</f>
        <v/>
      </c>
      <c r="R154" s="556">
        <f>G154-W154</f>
        <v/>
      </c>
      <c r="S154" s="523" t="n">
        <v>44216</v>
      </c>
      <c r="T154" s="522" t="inlineStr">
        <is>
          <t>TI-0191919</t>
        </is>
      </c>
      <c r="U154" s="522" t="inlineStr">
        <is>
          <t>L001-901905215</t>
        </is>
      </c>
      <c r="V154" s="522" t="inlineStr">
        <is>
          <t>វីអ៊ីស៊ិន (ខេមបូឌា) អ៊ិនដាសស្ទ្រី ឯ.ក</t>
        </is>
      </c>
      <c r="W154" s="556" t="n">
        <v>147602</v>
      </c>
    </row>
    <row r="155">
      <c r="A155" s="521" t="n">
        <v>147</v>
      </c>
      <c r="B155" s="522" t="n"/>
      <c r="C155" s="522" t="inlineStr">
        <is>
          <t>អ៊ិចស្ពែឌីធ័រ ខេមបូឌា អិលធីឌី</t>
        </is>
      </c>
      <c r="D155" s="522" t="inlineStr">
        <is>
          <t>L001-100045898</t>
        </is>
      </c>
      <c r="E155" s="521" t="inlineStr">
        <is>
          <t>TI0191918</t>
        </is>
      </c>
      <c r="F155" s="523" t="n">
        <v>44216</v>
      </c>
      <c r="G155" s="556" t="n">
        <v>276551</v>
      </c>
      <c r="I155" s="521">
        <f>G155</f>
        <v/>
      </c>
      <c r="K155" s="521">
        <f>I155-G155</f>
        <v/>
      </c>
      <c r="M155" s="522" t="inlineStr">
        <is>
          <t>TI0191918</t>
        </is>
      </c>
      <c r="N155" s="522" t="inlineStr">
        <is>
          <t>TI0191918</t>
        </is>
      </c>
      <c r="O155" s="521">
        <f>M155=N155</f>
        <v/>
      </c>
      <c r="P155" s="521">
        <f>AND(MONTH(F155)=MONTH(S155), YEAR(F155)=YEAR(S155))</f>
        <v/>
      </c>
      <c r="Q155" s="521">
        <f>U155="L001-901905215"</f>
        <v/>
      </c>
      <c r="R155" s="556">
        <f>G155-W155</f>
        <v/>
      </c>
      <c r="S155" s="523" t="n">
        <v>44216</v>
      </c>
      <c r="T155" s="522" t="inlineStr">
        <is>
          <t>TI-0191918</t>
        </is>
      </c>
      <c r="U155" s="522" t="inlineStr">
        <is>
          <t>L001-901905215</t>
        </is>
      </c>
      <c r="V155" s="522" t="inlineStr">
        <is>
          <t>វីអ៊ីស៊ិន (ខេមបូឌា) អ៊ិនដាសស្ទ្រី ឯ.ក</t>
        </is>
      </c>
      <c r="W155" s="556" t="n">
        <v>276551</v>
      </c>
    </row>
    <row r="156">
      <c r="A156" s="521" t="n">
        <v>148</v>
      </c>
      <c r="B156" s="522" t="n"/>
      <c r="C156" s="522" t="inlineStr">
        <is>
          <t>អ៊ិចស្ពែឌីធ័រ ខេមបូឌា អិលធីឌី</t>
        </is>
      </c>
      <c r="D156" s="522" t="inlineStr">
        <is>
          <t>L001-100045898</t>
        </is>
      </c>
      <c r="E156" s="521" t="inlineStr">
        <is>
          <t>TI0191917</t>
        </is>
      </c>
      <c r="F156" s="523" t="n">
        <v>44216</v>
      </c>
      <c r="G156" s="556" t="n">
        <v>328861</v>
      </c>
      <c r="I156" s="521">
        <f>G156</f>
        <v/>
      </c>
      <c r="K156" s="521">
        <f>I156-G156</f>
        <v/>
      </c>
      <c r="M156" s="522" t="inlineStr">
        <is>
          <t>TI0191917</t>
        </is>
      </c>
      <c r="N156" s="522" t="inlineStr">
        <is>
          <t>TI0191917</t>
        </is>
      </c>
      <c r="O156" s="521">
        <f>M156=N156</f>
        <v/>
      </c>
      <c r="P156" s="521">
        <f>AND(MONTH(F156)=MONTH(S156), YEAR(F156)=YEAR(S156))</f>
        <v/>
      </c>
      <c r="Q156" s="521">
        <f>U156="L001-901905215"</f>
        <v/>
      </c>
      <c r="R156" s="556">
        <f>G156-W156</f>
        <v/>
      </c>
      <c r="S156" s="523" t="n">
        <v>44216</v>
      </c>
      <c r="T156" s="522" t="inlineStr">
        <is>
          <t>TI-0191917</t>
        </is>
      </c>
      <c r="U156" s="522" t="inlineStr">
        <is>
          <t>L001-901905215</t>
        </is>
      </c>
      <c r="V156" s="522" t="inlineStr">
        <is>
          <t>វីអ៊ីស៊ិន (ខេមបូឌា) អ៊ិនដាសស្ទ្រី ឯ.ក</t>
        </is>
      </c>
      <c r="W156" s="556" t="n">
        <v>328860.55</v>
      </c>
    </row>
    <row r="157">
      <c r="A157" s="521" t="n">
        <v>149</v>
      </c>
      <c r="B157" s="522" t="n"/>
      <c r="C157" s="522" t="inlineStr">
        <is>
          <t>អ៊ិចស្ពែឌីធ័រ ខេមបូឌា អិលធីឌី</t>
        </is>
      </c>
      <c r="D157" s="522" t="inlineStr">
        <is>
          <t>L001-100045898</t>
        </is>
      </c>
      <c r="E157" s="521" t="inlineStr">
        <is>
          <t>TI0191916</t>
        </is>
      </c>
      <c r="F157" s="523" t="n">
        <v>44216</v>
      </c>
      <c r="G157" s="556" t="n">
        <v>784237</v>
      </c>
      <c r="I157" s="521">
        <f>G157</f>
        <v/>
      </c>
      <c r="K157" s="521">
        <f>I157-G157</f>
        <v/>
      </c>
      <c r="M157" s="522" t="inlineStr">
        <is>
          <t>TI0191916</t>
        </is>
      </c>
      <c r="N157" s="522" t="inlineStr">
        <is>
          <t>TI0191916</t>
        </is>
      </c>
      <c r="O157" s="521">
        <f>M157=N157</f>
        <v/>
      </c>
      <c r="P157" s="521">
        <f>AND(MONTH(F157)=MONTH(S157), YEAR(F157)=YEAR(S157))</f>
        <v/>
      </c>
      <c r="Q157" s="521">
        <f>U157="L001-901905215"</f>
        <v/>
      </c>
      <c r="R157" s="556">
        <f>G157-W157</f>
        <v/>
      </c>
      <c r="S157" s="523" t="n">
        <v>44216</v>
      </c>
      <c r="T157" s="522" t="inlineStr">
        <is>
          <t>TI-0191916</t>
        </is>
      </c>
      <c r="U157" s="522" t="inlineStr">
        <is>
          <t>L001-901905215</t>
        </is>
      </c>
      <c r="V157" s="522" t="inlineStr">
        <is>
          <t>វីអ៊ីស៊ិន (ខេមបូឌា) អ៊ិនដាសស្ទ្រី ឯ.ក</t>
        </is>
      </c>
      <c r="W157" s="556" t="n">
        <v>784237</v>
      </c>
    </row>
    <row r="158">
      <c r="A158" s="521" t="n">
        <v>150</v>
      </c>
      <c r="B158" s="522" t="n"/>
      <c r="C158" s="522" t="inlineStr">
        <is>
          <t>អ៊ិចស្ពែឌីធ័រ ខេមបូឌា អិលធីឌី</t>
        </is>
      </c>
      <c r="D158" s="522" t="inlineStr">
        <is>
          <t>L001-100045898</t>
        </is>
      </c>
      <c r="E158" s="521" t="inlineStr">
        <is>
          <t>TI0191915</t>
        </is>
      </c>
      <c r="F158" s="523" t="n">
        <v>44216</v>
      </c>
      <c r="G158" s="556" t="n">
        <v>269252</v>
      </c>
      <c r="I158" s="521">
        <f>G158</f>
        <v/>
      </c>
      <c r="K158" s="521">
        <f>I158-G158</f>
        <v/>
      </c>
      <c r="M158" s="522" t="inlineStr">
        <is>
          <t>TI0191915</t>
        </is>
      </c>
      <c r="N158" s="522" t="inlineStr">
        <is>
          <t>TI0191915</t>
        </is>
      </c>
      <c r="O158" s="521">
        <f>M158=N158</f>
        <v/>
      </c>
      <c r="P158" s="521">
        <f>AND(MONTH(F158)=MONTH(S158), YEAR(F158)=YEAR(S158))</f>
        <v/>
      </c>
      <c r="Q158" s="521">
        <f>U158="L001-901905215"</f>
        <v/>
      </c>
      <c r="R158" s="556">
        <f>G158-W158</f>
        <v/>
      </c>
      <c r="S158" s="523" t="n">
        <v>44216</v>
      </c>
      <c r="T158" s="522" t="inlineStr">
        <is>
          <t>TI-0191915</t>
        </is>
      </c>
      <c r="U158" s="522" t="inlineStr">
        <is>
          <t>L001-901905215</t>
        </is>
      </c>
      <c r="V158" s="522" t="inlineStr">
        <is>
          <t>វីអ៊ីស៊ិន (ខេមបូឌា) អ៊ិនដាសស្ទ្រី ឯ.ក</t>
        </is>
      </c>
      <c r="W158" s="556" t="n">
        <v>269252</v>
      </c>
    </row>
    <row r="159">
      <c r="A159" s="521" t="n">
        <v>151</v>
      </c>
      <c r="B159" s="522" t="n"/>
      <c r="C159" s="522" t="inlineStr">
        <is>
          <t>អ៊ិចស្ពែឌីធ័រ ខេមបូឌា អិលធីឌី</t>
        </is>
      </c>
      <c r="D159" s="522" t="inlineStr">
        <is>
          <t>L001-100045898</t>
        </is>
      </c>
      <c r="E159" s="521" t="inlineStr">
        <is>
          <t>TI0191914</t>
        </is>
      </c>
      <c r="F159" s="523" t="n">
        <v>44216</v>
      </c>
      <c r="G159" s="556" t="n">
        <v>282634</v>
      </c>
      <c r="I159" s="521">
        <f>G159</f>
        <v/>
      </c>
      <c r="K159" s="521">
        <f>I159-G159</f>
        <v/>
      </c>
      <c r="M159" s="522" t="inlineStr">
        <is>
          <t>TI0191914</t>
        </is>
      </c>
      <c r="N159" s="522" t="inlineStr">
        <is>
          <t>TI0191914</t>
        </is>
      </c>
      <c r="O159" s="521">
        <f>M159=N159</f>
        <v/>
      </c>
      <c r="P159" s="521">
        <f>AND(MONTH(F159)=MONTH(S159), YEAR(F159)=YEAR(S159))</f>
        <v/>
      </c>
      <c r="Q159" s="521">
        <f>U159="L001-901905215"</f>
        <v/>
      </c>
      <c r="R159" s="556">
        <f>G159-W159</f>
        <v/>
      </c>
      <c r="S159" s="523" t="n">
        <v>44216</v>
      </c>
      <c r="T159" s="522" t="inlineStr">
        <is>
          <t>TI-0191914</t>
        </is>
      </c>
      <c r="U159" s="522" t="inlineStr">
        <is>
          <t>L001-901905215</t>
        </is>
      </c>
      <c r="V159" s="522" t="inlineStr">
        <is>
          <t>វីអ៊ីស៊ិន (ខេមបូឌា) អ៊ិនដាសស្ទ្រី ឯ.ក</t>
        </is>
      </c>
      <c r="W159" s="556" t="n">
        <v>282633.55</v>
      </c>
    </row>
    <row r="160">
      <c r="A160" s="521" t="n">
        <v>152</v>
      </c>
      <c r="B160" s="522" t="n"/>
      <c r="C160" s="522" t="inlineStr">
        <is>
          <t>អ៊ិចស្ពែឌីធ័រ ខេមបូឌា អិលធីឌី</t>
        </is>
      </c>
      <c r="D160" s="522" t="inlineStr">
        <is>
          <t>L001-100045898</t>
        </is>
      </c>
      <c r="E160" s="521" t="inlineStr">
        <is>
          <t>TI0191344</t>
        </is>
      </c>
      <c r="F160" s="523" t="n">
        <v>44210</v>
      </c>
      <c r="G160" s="556" t="n">
        <v>509288</v>
      </c>
      <c r="I160" s="521">
        <f>G160</f>
        <v/>
      </c>
      <c r="K160" s="521">
        <f>I160-G160</f>
        <v/>
      </c>
      <c r="M160" s="522" t="inlineStr">
        <is>
          <t>TI0191344</t>
        </is>
      </c>
      <c r="N160" s="522" t="inlineStr">
        <is>
          <t>TI0191344</t>
        </is>
      </c>
      <c r="O160" s="521">
        <f>M160=N160</f>
        <v/>
      </c>
      <c r="P160" s="521">
        <f>AND(MONTH(F160)=MONTH(S160), YEAR(F160)=YEAR(S160))</f>
        <v/>
      </c>
      <c r="Q160" s="521">
        <f>U160="L001-901905215"</f>
        <v/>
      </c>
      <c r="R160" s="556">
        <f>G160-W160</f>
        <v/>
      </c>
      <c r="S160" s="523" t="n">
        <v>44210</v>
      </c>
      <c r="T160" s="522" t="inlineStr">
        <is>
          <t>TI-0191344</t>
        </is>
      </c>
      <c r="U160" s="522" t="inlineStr">
        <is>
          <t>L001-901905215</t>
        </is>
      </c>
      <c r="V160" s="522" t="inlineStr">
        <is>
          <t>វីអ៊ីស៊ិន (ខេមបូឌា) អ៊ិនដាសស្ទ្រី ឯ.ក</t>
        </is>
      </c>
      <c r="W160" s="556" t="n">
        <v>509664.73</v>
      </c>
    </row>
    <row r="161">
      <c r="A161" s="521" t="n">
        <v>153</v>
      </c>
      <c r="B161" s="522" t="n"/>
      <c r="C161" s="522" t="inlineStr">
        <is>
          <t>អ៊ិចស្ពែឌីធ័រ ខេមបូឌា អិលធីឌី</t>
        </is>
      </c>
      <c r="D161" s="522" t="inlineStr">
        <is>
          <t>L001-100045898</t>
        </is>
      </c>
      <c r="E161" s="521" t="inlineStr">
        <is>
          <t>TI0191331</t>
        </is>
      </c>
      <c r="F161" s="523" t="n">
        <v>44209</v>
      </c>
      <c r="G161" s="556" t="n">
        <v>171518</v>
      </c>
      <c r="I161" s="521">
        <f>G161</f>
        <v/>
      </c>
      <c r="K161" s="521">
        <f>I161-G161</f>
        <v/>
      </c>
      <c r="M161" s="522" t="inlineStr">
        <is>
          <t>TI0191331</t>
        </is>
      </c>
      <c r="N161" s="522" t="inlineStr">
        <is>
          <t>TI0191331</t>
        </is>
      </c>
      <c r="O161" s="521">
        <f>M161=N161</f>
        <v/>
      </c>
      <c r="P161" s="521">
        <f>AND(MONTH(F161)=MONTH(S161), YEAR(F161)=YEAR(S161))</f>
        <v/>
      </c>
      <c r="Q161" s="521">
        <f>U161="L001-901905215"</f>
        <v/>
      </c>
      <c r="R161" s="556">
        <f>G161-W161</f>
        <v/>
      </c>
      <c r="S161" s="523" t="n">
        <v>44209</v>
      </c>
      <c r="T161" s="522" t="inlineStr">
        <is>
          <t>TI-0191331</t>
        </is>
      </c>
      <c r="U161" s="522" t="inlineStr">
        <is>
          <t>L001-901905215</t>
        </is>
      </c>
      <c r="V161" s="522" t="inlineStr">
        <is>
          <t>វីអ៊ីស៊ិន (ខេមបូឌា) អ៊ិនដាសស្ទ្រី ឯ.ក</t>
        </is>
      </c>
      <c r="W161" s="556" t="n">
        <v>171517.55</v>
      </c>
    </row>
    <row r="162">
      <c r="A162" s="521" t="n">
        <v>154</v>
      </c>
      <c r="B162" s="522" t="n"/>
      <c r="C162" s="522" t="inlineStr">
        <is>
          <t>អ៊ិចស្ពែឌីធ័រ ខេមបូឌា អិលធីឌី</t>
        </is>
      </c>
      <c r="D162" s="522" t="inlineStr">
        <is>
          <t>L001-100045898</t>
        </is>
      </c>
      <c r="E162" s="521" t="inlineStr">
        <is>
          <t>TI0191295</t>
        </is>
      </c>
      <c r="F162" s="523" t="n">
        <v>44209</v>
      </c>
      <c r="G162" s="556" t="n">
        <v>141710</v>
      </c>
      <c r="I162" s="521">
        <f>G162</f>
        <v/>
      </c>
      <c r="K162" s="521">
        <f>I162-G162</f>
        <v/>
      </c>
      <c r="M162" s="522" t="inlineStr">
        <is>
          <t>TI0191295</t>
        </is>
      </c>
      <c r="N162" s="522" t="inlineStr">
        <is>
          <t>TI0191295</t>
        </is>
      </c>
      <c r="O162" s="521">
        <f>M162=N162</f>
        <v/>
      </c>
      <c r="P162" s="521">
        <f>AND(MONTH(F162)=MONTH(S162), YEAR(F162)=YEAR(S162))</f>
        <v/>
      </c>
      <c r="Q162" s="521">
        <f>U162="L001-901905215"</f>
        <v/>
      </c>
      <c r="R162" s="556">
        <f>G162-W162</f>
        <v/>
      </c>
      <c r="S162" s="523" t="n">
        <v>44209</v>
      </c>
      <c r="T162" s="522" t="inlineStr">
        <is>
          <t>TI-0191295</t>
        </is>
      </c>
      <c r="U162" s="522" t="inlineStr">
        <is>
          <t>L001-901905215</t>
        </is>
      </c>
      <c r="V162" s="522" t="inlineStr">
        <is>
          <t>វីអ៊ីស៊ិន (ខេមបូឌា) អ៊ិនដាសស្ទ្រី ឯ.ក</t>
        </is>
      </c>
      <c r="W162" s="556" t="n">
        <v>141709.55</v>
      </c>
    </row>
    <row r="163">
      <c r="A163" s="521" t="n">
        <v>155</v>
      </c>
      <c r="B163" s="522" t="n"/>
      <c r="C163" s="522" t="inlineStr">
        <is>
          <t>អ៊ិចស្ពែឌីធ័រ ខេមបូឌា អិលធីឌី</t>
        </is>
      </c>
      <c r="D163" s="522" t="inlineStr">
        <is>
          <t>L001-100045898</t>
        </is>
      </c>
      <c r="E163" s="521" t="inlineStr">
        <is>
          <t>TI0191181</t>
        </is>
      </c>
      <c r="F163" s="523" t="n">
        <v>44209</v>
      </c>
      <c r="G163" s="556" t="n">
        <v>376650</v>
      </c>
      <c r="I163" s="521">
        <f>G163</f>
        <v/>
      </c>
      <c r="K163" s="521">
        <f>I163-G163</f>
        <v/>
      </c>
      <c r="M163" s="522" t="inlineStr">
        <is>
          <t>TI0191181</t>
        </is>
      </c>
      <c r="N163" s="522" t="inlineStr">
        <is>
          <t>TI0191181</t>
        </is>
      </c>
      <c r="O163" s="521">
        <f>M163=N163</f>
        <v/>
      </c>
      <c r="P163" s="521">
        <f>AND(MONTH(F163)=MONTH(S163), YEAR(F163)=YEAR(S163))</f>
        <v/>
      </c>
      <c r="Q163" s="521">
        <f>U163="L001-901905215"</f>
        <v/>
      </c>
      <c r="R163" s="556">
        <f>G163-W163</f>
        <v/>
      </c>
      <c r="S163" s="523" t="n">
        <v>44209</v>
      </c>
      <c r="T163" s="522" t="inlineStr">
        <is>
          <t>TI-0191181</t>
        </is>
      </c>
      <c r="U163" s="522" t="inlineStr">
        <is>
          <t>L001-901905215</t>
        </is>
      </c>
      <c r="V163" s="522" t="inlineStr">
        <is>
          <t>វីអ៊ីស៊ិន (ខេមបូឌា) អ៊ិនដាសស្ទ្រី ឯ.ក</t>
        </is>
      </c>
      <c r="W163" s="556" t="n">
        <v>376650</v>
      </c>
    </row>
    <row r="164">
      <c r="A164" s="521" t="n">
        <v>156</v>
      </c>
      <c r="B164" s="522" t="n"/>
      <c r="C164" s="522" t="inlineStr">
        <is>
          <t>អ៊ិចស្ពែឌីធ័រ ខេមបូឌា អិលធីឌី</t>
        </is>
      </c>
      <c r="D164" s="522" t="inlineStr">
        <is>
          <t>L001-100045898</t>
        </is>
      </c>
      <c r="E164" s="521" t="inlineStr">
        <is>
          <t>TI0190813</t>
        </is>
      </c>
      <c r="F164" s="523" t="n">
        <v>44202</v>
      </c>
      <c r="G164" s="556" t="n">
        <v>343864</v>
      </c>
      <c r="I164" s="521">
        <f>G164</f>
        <v/>
      </c>
      <c r="K164" s="521">
        <f>I164-G164</f>
        <v/>
      </c>
      <c r="M164" s="522" t="inlineStr">
        <is>
          <t>TI0190813</t>
        </is>
      </c>
      <c r="N164" s="522" t="inlineStr">
        <is>
          <t>TI0190813</t>
        </is>
      </c>
      <c r="O164" s="521">
        <f>M164=N164</f>
        <v/>
      </c>
      <c r="P164" s="521">
        <f>AND(MONTH(F164)=MONTH(S164), YEAR(F164)=YEAR(S164))</f>
        <v/>
      </c>
      <c r="Q164" s="521">
        <f>U164="L001-901905215"</f>
        <v/>
      </c>
      <c r="R164" s="556">
        <f>G164-W164</f>
        <v/>
      </c>
      <c r="S164" s="523" t="n">
        <v>44202</v>
      </c>
      <c r="T164" s="522" t="inlineStr">
        <is>
          <t>TI-0190813</t>
        </is>
      </c>
      <c r="U164" s="522" t="inlineStr">
        <is>
          <t>L001-901905215</t>
        </is>
      </c>
      <c r="V164" s="522" t="inlineStr">
        <is>
          <t>វីអ៊ីស៊ិន (ខេមបូឌា) អ៊ិនដាសស្ទ្រី ឯ.ក</t>
        </is>
      </c>
      <c r="W164" s="556" t="n">
        <v>343864</v>
      </c>
    </row>
    <row r="165">
      <c r="A165" s="521" t="n">
        <v>157</v>
      </c>
      <c r="B165" s="522" t="n"/>
      <c r="C165" s="522" t="inlineStr">
        <is>
          <t>អ៊ិចស្ពែឌីធ័រ ខេមបូឌា អិលធីឌី</t>
        </is>
      </c>
      <c r="D165" s="522" t="inlineStr">
        <is>
          <t>L001-100045898</t>
        </is>
      </c>
      <c r="E165" s="521" t="inlineStr">
        <is>
          <t>TI01090805</t>
        </is>
      </c>
      <c r="F165" s="523" t="n">
        <v>44202</v>
      </c>
      <c r="G165" s="556" t="n">
        <v>581284</v>
      </c>
      <c r="I165" s="521">
        <f>G165</f>
        <v/>
      </c>
      <c r="K165" s="521">
        <f>I165-G165</f>
        <v/>
      </c>
      <c r="M165" s="522" t="inlineStr">
        <is>
          <t>TI01090805</t>
        </is>
      </c>
      <c r="N165" s="522" t="inlineStr"/>
      <c r="O165" s="521">
        <f>M165=N165</f>
        <v/>
      </c>
      <c r="P165" s="521">
        <f>AND(MONTH(F165)=MONTH(S165), YEAR(F165)=YEAR(S165))</f>
        <v/>
      </c>
      <c r="Q165" s="521">
        <f>U165="L001-901905215"</f>
        <v/>
      </c>
      <c r="R165" s="556">
        <f>G165-W165</f>
        <v/>
      </c>
      <c r="S165" s="521" t="n"/>
      <c r="T165" s="522" t="n"/>
      <c r="U165" s="522" t="n"/>
      <c r="V165" s="522" t="n"/>
      <c r="W165" s="521" t="n"/>
    </row>
    <row r="166">
      <c r="A166" s="521" t="n">
        <v>158</v>
      </c>
      <c r="B166" s="522" t="n"/>
      <c r="C166" s="522" t="inlineStr">
        <is>
          <t>អ៊ិចស្ពែឌីធ័រ ខេមបូឌា អិលធីឌី</t>
        </is>
      </c>
      <c r="D166" s="522" t="inlineStr">
        <is>
          <t>L001-100045898</t>
        </is>
      </c>
      <c r="E166" s="521" t="inlineStr">
        <is>
          <t>TI0190804</t>
        </is>
      </c>
      <c r="F166" s="523" t="n">
        <v>44202</v>
      </c>
      <c r="G166" s="556" t="n">
        <v>838980</v>
      </c>
      <c r="I166" s="521">
        <f>G166</f>
        <v/>
      </c>
      <c r="K166" s="521">
        <f>I166-G166</f>
        <v/>
      </c>
      <c r="M166" s="522" t="inlineStr">
        <is>
          <t>TI0190804</t>
        </is>
      </c>
      <c r="N166" s="522" t="inlineStr">
        <is>
          <t>TI0190804</t>
        </is>
      </c>
      <c r="O166" s="521">
        <f>M166=N166</f>
        <v/>
      </c>
      <c r="P166" s="521">
        <f>AND(MONTH(F166)=MONTH(S166), YEAR(F166)=YEAR(S166))</f>
        <v/>
      </c>
      <c r="Q166" s="521">
        <f>U166="L001-901905215"</f>
        <v/>
      </c>
      <c r="R166" s="556">
        <f>G166-W166</f>
        <v/>
      </c>
      <c r="S166" s="523" t="n">
        <v>44202</v>
      </c>
      <c r="T166" s="522" t="inlineStr">
        <is>
          <t>TI-0190804</t>
        </is>
      </c>
      <c r="U166" s="522" t="inlineStr">
        <is>
          <t>L001-901905215</t>
        </is>
      </c>
      <c r="V166" s="522" t="inlineStr">
        <is>
          <t>វីអ៊ីស៊ិន (ខេមបូឌា) អ៊ិនដាសស្ទ្រី ឯ.ក</t>
        </is>
      </c>
      <c r="W166" s="556" t="n">
        <v>838979.55</v>
      </c>
    </row>
    <row r="167">
      <c r="A167" s="521" t="n">
        <v>159</v>
      </c>
      <c r="B167" s="522" t="n"/>
      <c r="C167" s="522" t="inlineStr">
        <is>
          <t>អ៊ិចស្ពែឌីធ័រ ខេមបូឌា អិលធីឌី</t>
        </is>
      </c>
      <c r="D167" s="522" t="inlineStr">
        <is>
          <t>L001-100045898</t>
        </is>
      </c>
      <c r="E167" s="521" t="inlineStr">
        <is>
          <t>TI0190789</t>
        </is>
      </c>
      <c r="F167" s="523" t="n">
        <v>44202</v>
      </c>
      <c r="G167" s="556" t="n">
        <v>328861</v>
      </c>
      <c r="I167" s="521">
        <f>G167</f>
        <v/>
      </c>
      <c r="K167" s="521">
        <f>I167-G167</f>
        <v/>
      </c>
      <c r="M167" s="522" t="inlineStr">
        <is>
          <t>TI0190789</t>
        </is>
      </c>
      <c r="N167" s="522" t="inlineStr">
        <is>
          <t>TI0190789</t>
        </is>
      </c>
      <c r="O167" s="521">
        <f>M167=N167</f>
        <v/>
      </c>
      <c r="P167" s="521">
        <f>AND(MONTH(F167)=MONTH(S167), YEAR(F167)=YEAR(S167))</f>
        <v/>
      </c>
      <c r="Q167" s="521">
        <f>U167="L001-901905215"</f>
        <v/>
      </c>
      <c r="R167" s="556">
        <f>G167-W167</f>
        <v/>
      </c>
      <c r="S167" s="523" t="n">
        <v>44202</v>
      </c>
      <c r="T167" s="522" t="inlineStr">
        <is>
          <t>TI-0190789</t>
        </is>
      </c>
      <c r="U167" s="522" t="inlineStr">
        <is>
          <t>L001-901905215</t>
        </is>
      </c>
      <c r="V167" s="522" t="inlineStr">
        <is>
          <t>វីអ៊ីស៊ិន (ខេមបូឌា) អ៊ិនដាសស្ទ្រី ឯ.ក</t>
        </is>
      </c>
      <c r="W167" s="556" t="n">
        <v>328860.55</v>
      </c>
    </row>
    <row r="168">
      <c r="A168" s="521" t="n">
        <v>160</v>
      </c>
      <c r="B168" s="522" t="n"/>
      <c r="C168" s="522" t="inlineStr">
        <is>
          <t>អ៊ិចស្ពែឌីធ័រ ខេមបូឌា អិលធីឌី</t>
        </is>
      </c>
      <c r="D168" s="522" t="inlineStr">
        <is>
          <t>L001-100045898</t>
        </is>
      </c>
      <c r="E168" s="521" t="inlineStr">
        <is>
          <t>TI0190701</t>
        </is>
      </c>
      <c r="F168" s="523" t="n">
        <v>44201</v>
      </c>
      <c r="G168" s="556" t="n">
        <v>224242</v>
      </c>
      <c r="I168" s="521">
        <f>G168</f>
        <v/>
      </c>
      <c r="K168" s="521">
        <f>I168-G168</f>
        <v/>
      </c>
      <c r="M168" s="522" t="inlineStr">
        <is>
          <t>TI0190701</t>
        </is>
      </c>
      <c r="N168" s="522" t="inlineStr">
        <is>
          <t>TI0190701</t>
        </is>
      </c>
      <c r="O168" s="521">
        <f>M168=N168</f>
        <v/>
      </c>
      <c r="P168" s="521">
        <f>AND(MONTH(F168)=MONTH(S168), YEAR(F168)=YEAR(S168))</f>
        <v/>
      </c>
      <c r="Q168" s="521">
        <f>U168="L001-901905215"</f>
        <v/>
      </c>
      <c r="R168" s="556">
        <f>G168-W168</f>
        <v/>
      </c>
      <c r="S168" s="523" t="n">
        <v>44201</v>
      </c>
      <c r="T168" s="522" t="inlineStr">
        <is>
          <t>TI-0190701</t>
        </is>
      </c>
      <c r="U168" s="522" t="inlineStr">
        <is>
          <t>L001-901905215</t>
        </is>
      </c>
      <c r="V168" s="522" t="inlineStr">
        <is>
          <t>វីអ៊ីស៊ិន (ខេមបូឌា) អ៊ិនដាសស្ទ្រី ឯ.ក</t>
        </is>
      </c>
      <c r="W168" s="556" t="n">
        <v>224241.55</v>
      </c>
    </row>
    <row r="169">
      <c r="A169" s="521" t="n">
        <v>161</v>
      </c>
      <c r="B169" s="522" t="n"/>
      <c r="C169" s="522" t="inlineStr">
        <is>
          <t>អ៊ិចស្ពែឌីធ័រ ខេមបូឌា អិលធីឌី</t>
        </is>
      </c>
      <c r="D169" s="522" t="inlineStr">
        <is>
          <t>L001-100045898</t>
        </is>
      </c>
      <c r="E169" s="521" t="inlineStr">
        <is>
          <t>TI0190700</t>
        </is>
      </c>
      <c r="F169" s="523" t="n">
        <v>44201</v>
      </c>
      <c r="G169" s="556" t="n">
        <v>170310</v>
      </c>
      <c r="I169" s="521">
        <f>G169</f>
        <v/>
      </c>
      <c r="K169" s="521">
        <f>I169-G169</f>
        <v/>
      </c>
      <c r="M169" s="522" t="inlineStr">
        <is>
          <t>TI0190700</t>
        </is>
      </c>
      <c r="N169" s="522" t="inlineStr">
        <is>
          <t>TI0190700</t>
        </is>
      </c>
      <c r="O169" s="521">
        <f>M169=N169</f>
        <v/>
      </c>
      <c r="P169" s="521">
        <f>AND(MONTH(F169)=MONTH(S169), YEAR(F169)=YEAR(S169))</f>
        <v/>
      </c>
      <c r="Q169" s="521">
        <f>U169="L001-901905215"</f>
        <v/>
      </c>
      <c r="R169" s="556">
        <f>G169-W169</f>
        <v/>
      </c>
      <c r="S169" s="523" t="n">
        <v>44201</v>
      </c>
      <c r="T169" s="522" t="inlineStr">
        <is>
          <t>TI-0190700</t>
        </is>
      </c>
      <c r="U169" s="522" t="inlineStr">
        <is>
          <t>L001-901905215</t>
        </is>
      </c>
      <c r="V169" s="522" t="inlineStr">
        <is>
          <t>វីអ៊ីស៊ិន (ខេមបូឌា) អ៊ិនដាសស្ទ្រី ឯ.ក</t>
        </is>
      </c>
      <c r="W169" s="556" t="n">
        <v>170310</v>
      </c>
    </row>
    <row r="170">
      <c r="A170" s="521" t="n">
        <v>162</v>
      </c>
      <c r="B170" s="522" t="n"/>
      <c r="C170" s="522" t="inlineStr">
        <is>
          <t>អ៊ិចស្ពែឌីធ័រ ខេមបូឌា អិលធីឌី</t>
        </is>
      </c>
      <c r="D170" s="522" t="inlineStr">
        <is>
          <t>L001-100045898</t>
        </is>
      </c>
      <c r="E170" s="521" t="inlineStr">
        <is>
          <t>TI0190699</t>
        </is>
      </c>
      <c r="F170" s="523" t="n">
        <v>44201</v>
      </c>
      <c r="G170" s="556" t="n">
        <v>762137</v>
      </c>
      <c r="I170" s="521">
        <f>G170</f>
        <v/>
      </c>
      <c r="K170" s="521">
        <f>I170-G170</f>
        <v/>
      </c>
      <c r="M170" s="522" t="inlineStr">
        <is>
          <t>TI0190699</t>
        </is>
      </c>
      <c r="N170" s="522" t="inlineStr">
        <is>
          <t>TI0190699</t>
        </is>
      </c>
      <c r="O170" s="521">
        <f>M170=N170</f>
        <v/>
      </c>
      <c r="P170" s="521">
        <f>AND(MONTH(F170)=MONTH(S170), YEAR(F170)=YEAR(S170))</f>
        <v/>
      </c>
      <c r="Q170" s="521">
        <f>U170="L001-901905215"</f>
        <v/>
      </c>
      <c r="R170" s="556">
        <f>G170-W170</f>
        <v/>
      </c>
      <c r="S170" s="523" t="n">
        <v>44201</v>
      </c>
      <c r="T170" s="522" t="inlineStr">
        <is>
          <t>TI-0190699</t>
        </is>
      </c>
      <c r="U170" s="522" t="inlineStr">
        <is>
          <t>L001-901905215</t>
        </is>
      </c>
      <c r="V170" s="522" t="inlineStr">
        <is>
          <t>វីអ៊ីស៊ិន (ខេមបូឌា) អ៊ិនដាសស្ទ្រី ឯ.ក</t>
        </is>
      </c>
      <c r="W170" s="556" t="n">
        <v>762137.27</v>
      </c>
    </row>
    <row r="171">
      <c r="A171" s="521" t="n">
        <v>163</v>
      </c>
      <c r="B171" s="522" t="n"/>
      <c r="C171" s="522" t="inlineStr">
        <is>
          <t>អ៊ិចស្ពែឌីធ័រ ខេមបូឌា អិលធីឌី</t>
        </is>
      </c>
      <c r="D171" s="522" t="inlineStr">
        <is>
          <t>L001-100045898</t>
        </is>
      </c>
      <c r="E171" s="521" t="inlineStr">
        <is>
          <t>TI0190698</t>
        </is>
      </c>
      <c r="F171" s="523" t="n">
        <v>44201</v>
      </c>
      <c r="G171" s="556" t="n">
        <v>215321</v>
      </c>
      <c r="I171" s="521">
        <f>G171</f>
        <v/>
      </c>
      <c r="K171" s="521">
        <f>I171-G171</f>
        <v/>
      </c>
      <c r="M171" s="522" t="inlineStr">
        <is>
          <t>TI0190698</t>
        </is>
      </c>
      <c r="N171" s="522" t="inlineStr">
        <is>
          <t>TI0190698</t>
        </is>
      </c>
      <c r="O171" s="521">
        <f>M171=N171</f>
        <v/>
      </c>
      <c r="P171" s="521">
        <f>AND(MONTH(F171)=MONTH(S171), YEAR(F171)=YEAR(S171))</f>
        <v/>
      </c>
      <c r="Q171" s="521">
        <f>U171="L001-901905215"</f>
        <v/>
      </c>
      <c r="R171" s="556">
        <f>G171-W171</f>
        <v/>
      </c>
      <c r="S171" s="523" t="n">
        <v>44201</v>
      </c>
      <c r="T171" s="522" t="inlineStr">
        <is>
          <t>TI-0190698</t>
        </is>
      </c>
      <c r="U171" s="522" t="inlineStr">
        <is>
          <t>L001-901905215</t>
        </is>
      </c>
      <c r="V171" s="522" t="inlineStr">
        <is>
          <t>វីអ៊ីស៊ិន (ខេមបូឌា) អ៊ិនដាសស្ទ្រី ឯ.ក</t>
        </is>
      </c>
      <c r="W171" s="556" t="n">
        <v>215320.55</v>
      </c>
    </row>
    <row r="172">
      <c r="A172" s="521" t="n">
        <v>164</v>
      </c>
      <c r="B172" s="522" t="n"/>
      <c r="C172" s="522" t="inlineStr">
        <is>
          <t>អ៊ិចស្ពែឌីធ័រ ខេមបូឌា អិលធីឌី</t>
        </is>
      </c>
      <c r="D172" s="522" t="inlineStr">
        <is>
          <t>L001-100045898</t>
        </is>
      </c>
      <c r="E172" s="521" t="inlineStr">
        <is>
          <t>TI0190666</t>
        </is>
      </c>
      <c r="F172" s="523" t="n">
        <v>44201</v>
      </c>
      <c r="G172" s="556" t="n">
        <v>50890</v>
      </c>
      <c r="I172" s="521">
        <f>G172</f>
        <v/>
      </c>
      <c r="K172" s="521">
        <f>I172-G172</f>
        <v/>
      </c>
      <c r="M172" s="522" t="inlineStr">
        <is>
          <t>TI0190666</t>
        </is>
      </c>
      <c r="N172" s="522" t="inlineStr">
        <is>
          <t>TI0190666</t>
        </is>
      </c>
      <c r="O172" s="521">
        <f>M172=N172</f>
        <v/>
      </c>
      <c r="P172" s="521">
        <f>AND(MONTH(F172)=MONTH(S172), YEAR(F172)=YEAR(S172))</f>
        <v/>
      </c>
      <c r="Q172" s="521">
        <f>U172="L001-901905215"</f>
        <v/>
      </c>
      <c r="R172" s="556">
        <f>G172-W172</f>
        <v/>
      </c>
      <c r="S172" s="523" t="n">
        <v>44201</v>
      </c>
      <c r="T172" s="522" t="inlineStr">
        <is>
          <t>TI-0190666</t>
        </is>
      </c>
      <c r="U172" s="522" t="inlineStr">
        <is>
          <t>L001-901905215</t>
        </is>
      </c>
      <c r="V172" s="522" t="inlineStr">
        <is>
          <t>វីអ៊ីស៊ិន (ខេមបូឌា) អ៊ិនដាសស្ទ្រី ឯ.ក</t>
        </is>
      </c>
      <c r="W172" s="556" t="n">
        <v>50890.27</v>
      </c>
    </row>
    <row r="173">
      <c r="A173" s="521" t="n">
        <v>165</v>
      </c>
      <c r="B173" s="522" t="n"/>
      <c r="C173" s="522" t="inlineStr">
        <is>
          <t>ដុងគ័ន ស៊ីធី ហ្វាញស្តារ ព្រីនធីង (ខេមបូឌា)</t>
        </is>
      </c>
      <c r="D173" s="522" t="inlineStr">
        <is>
          <t>L001-100193021</t>
        </is>
      </c>
      <c r="E173" s="521" t="inlineStr">
        <is>
          <t>00032</t>
        </is>
      </c>
      <c r="F173" s="523" t="n">
        <v>44223</v>
      </c>
      <c r="G173" s="556" t="n">
        <v>6877518</v>
      </c>
      <c r="I173" s="521">
        <f>G173</f>
        <v/>
      </c>
      <c r="K173" s="521">
        <f>I173-G173</f>
        <v/>
      </c>
      <c r="M173" s="522" t="inlineStr">
        <is>
          <t>00032</t>
        </is>
      </c>
      <c r="N173" s="522" t="inlineStr"/>
      <c r="O173" s="521">
        <f>M173=N173</f>
        <v/>
      </c>
      <c r="P173" s="521">
        <f>AND(MONTH(F173)=MONTH(S173), YEAR(F173)=YEAR(S173))</f>
        <v/>
      </c>
      <c r="Q173" s="521">
        <f>U173="L001-901905215"</f>
        <v/>
      </c>
      <c r="R173" s="556">
        <f>G173-W173</f>
        <v/>
      </c>
      <c r="S173" s="521" t="n"/>
      <c r="T173" s="522" t="n"/>
      <c r="U173" s="522" t="n"/>
      <c r="V173" s="522" t="n"/>
      <c r="W173" s="521" t="n"/>
    </row>
    <row r="174">
      <c r="A174" s="521" t="n">
        <v>166</v>
      </c>
      <c r="B174" s="522" t="n"/>
      <c r="C174" s="522" t="inlineStr">
        <is>
          <t>ឌី អេច អិល អិចប្រេស (ខេមបូឌា)</t>
        </is>
      </c>
      <c r="D174" s="522" t="inlineStr">
        <is>
          <t>L001-100045197</t>
        </is>
      </c>
      <c r="E174" s="521" t="inlineStr">
        <is>
          <t>PNHR000369327</t>
        </is>
      </c>
      <c r="F174" s="523" t="n">
        <v>44210</v>
      </c>
      <c r="G174" s="556" t="n">
        <v>20559</v>
      </c>
      <c r="I174" s="521">
        <f>G174</f>
        <v/>
      </c>
      <c r="K174" s="521">
        <f>I174-G174</f>
        <v/>
      </c>
      <c r="M174" s="522" t="inlineStr">
        <is>
          <t>PNHR000369327</t>
        </is>
      </c>
      <c r="N174" s="522" t="inlineStr"/>
      <c r="O174" s="521">
        <f>M174=N174</f>
        <v/>
      </c>
      <c r="P174" s="521">
        <f>AND(MONTH(F174)=MONTH(S174), YEAR(F174)=YEAR(S174))</f>
        <v/>
      </c>
      <c r="Q174" s="521">
        <f>U174="L001-901905215"</f>
        <v/>
      </c>
      <c r="R174" s="556">
        <f>G174-W174</f>
        <v/>
      </c>
      <c r="S174" s="521" t="n"/>
      <c r="T174" s="522" t="n"/>
      <c r="U174" s="522" t="n"/>
      <c r="V174" s="522" t="n"/>
      <c r="W174" s="521" t="n"/>
    </row>
    <row r="175">
      <c r="A175" s="521" t="n">
        <v>167</v>
      </c>
      <c r="B175" s="522" t="n"/>
      <c r="C175" s="522" t="inlineStr">
        <is>
          <t>ឌី អេច អិល អិចប្រេស (ខេមបូឌា)</t>
        </is>
      </c>
      <c r="D175" s="522" t="inlineStr">
        <is>
          <t>L001-100045197</t>
        </is>
      </c>
      <c r="E175" s="521" t="inlineStr">
        <is>
          <t>PNHIR000367456</t>
        </is>
      </c>
      <c r="F175" s="523" t="n">
        <v>44210</v>
      </c>
      <c r="G175" s="556" t="n">
        <v>105111</v>
      </c>
      <c r="I175" s="521">
        <f>G175</f>
        <v/>
      </c>
      <c r="K175" s="521">
        <f>I175-G175</f>
        <v/>
      </c>
      <c r="M175" s="522" t="inlineStr">
        <is>
          <t>PNHIR000367456</t>
        </is>
      </c>
      <c r="N175" s="522" t="inlineStr"/>
      <c r="O175" s="521">
        <f>M175=N175</f>
        <v/>
      </c>
      <c r="P175" s="521">
        <f>AND(MONTH(F175)=MONTH(S175), YEAR(F175)=YEAR(S175))</f>
        <v/>
      </c>
      <c r="Q175" s="521">
        <f>U175="L001-901905215"</f>
        <v/>
      </c>
      <c r="R175" s="556">
        <f>G175-W175</f>
        <v/>
      </c>
      <c r="S175" s="521" t="n"/>
      <c r="T175" s="522" t="n"/>
      <c r="U175" s="522" t="n"/>
      <c r="V175" s="522" t="n"/>
      <c r="W175" s="521" t="n"/>
    </row>
    <row r="176">
      <c r="A176" s="521" t="n">
        <v>168</v>
      </c>
      <c r="B176" s="522" t="n"/>
      <c r="C176" s="522" t="inlineStr">
        <is>
          <t>ឌី អេច អិល អិចប្រេស (ខេមបូឌា)</t>
        </is>
      </c>
      <c r="D176" s="522" t="inlineStr">
        <is>
          <t>L001-100045197</t>
        </is>
      </c>
      <c r="E176" s="521" t="inlineStr">
        <is>
          <t>PNHIR00104981</t>
        </is>
      </c>
      <c r="F176" s="523" t="n">
        <v>44216</v>
      </c>
      <c r="G176" s="556" t="n">
        <v>624</v>
      </c>
      <c r="I176" s="521">
        <f>G176</f>
        <v/>
      </c>
      <c r="K176" s="521">
        <f>I176-G176</f>
        <v/>
      </c>
      <c r="M176" s="522" t="inlineStr">
        <is>
          <t>PNHIR00104981</t>
        </is>
      </c>
      <c r="N176" s="522" t="inlineStr"/>
      <c r="O176" s="521">
        <f>M176=N176</f>
        <v/>
      </c>
      <c r="P176" s="521">
        <f>AND(MONTH(F176)=MONTH(S176), YEAR(F176)=YEAR(S176))</f>
        <v/>
      </c>
      <c r="Q176" s="521">
        <f>U176="L001-901905215"</f>
        <v/>
      </c>
      <c r="R176" s="556">
        <f>G176-W176</f>
        <v/>
      </c>
      <c r="S176" s="521" t="n"/>
      <c r="T176" s="522" t="n"/>
      <c r="U176" s="522" t="n"/>
      <c r="V176" s="522" t="n"/>
      <c r="W176" s="521" t="n"/>
    </row>
    <row r="177">
      <c r="A177" s="521" t="n">
        <v>169</v>
      </c>
      <c r="B177" s="522" t="n"/>
      <c r="C177" s="522" t="inlineStr">
        <is>
          <t>ឌី អេច អិល អិចប្រេស (ខេមបូឌា)</t>
        </is>
      </c>
      <c r="D177" s="522" t="inlineStr">
        <is>
          <t>L001-100045197</t>
        </is>
      </c>
      <c r="E177" s="521" t="inlineStr">
        <is>
          <t>PNHR000368383</t>
        </is>
      </c>
      <c r="F177" s="523" t="n">
        <v>44217</v>
      </c>
      <c r="G177" s="556" t="n">
        <v>135551</v>
      </c>
      <c r="I177" s="521">
        <f>G177</f>
        <v/>
      </c>
      <c r="K177" s="521">
        <f>I177-G177</f>
        <v/>
      </c>
      <c r="M177" s="522" t="inlineStr">
        <is>
          <t>PNHR000368383</t>
        </is>
      </c>
      <c r="N177" s="522" t="inlineStr"/>
      <c r="O177" s="521">
        <f>M177=N177</f>
        <v/>
      </c>
      <c r="P177" s="521">
        <f>AND(MONTH(F177)=MONTH(S177), YEAR(F177)=YEAR(S177))</f>
        <v/>
      </c>
      <c r="Q177" s="521">
        <f>U177="L001-901905215"</f>
        <v/>
      </c>
      <c r="R177" s="556">
        <f>G177-W177</f>
        <v/>
      </c>
      <c r="S177" s="521" t="n"/>
      <c r="T177" s="522" t="n"/>
      <c r="U177" s="522" t="n"/>
      <c r="V177" s="522" t="n"/>
      <c r="W177" s="521" t="n"/>
    </row>
    <row r="178">
      <c r="A178" s="521" t="n">
        <v>170</v>
      </c>
      <c r="B178" s="522" t="n"/>
      <c r="C178" s="522" t="inlineStr">
        <is>
          <t>ឆាយ ដា ឡូយីស្ទីក</t>
        </is>
      </c>
      <c r="D178" s="522" t="inlineStr">
        <is>
          <t>L001-100063098</t>
        </is>
      </c>
      <c r="E178" s="521" t="inlineStr">
        <is>
          <t>2101000200</t>
        </is>
      </c>
      <c r="F178" s="523" t="n">
        <v>44207</v>
      </c>
      <c r="G178" s="556" t="n">
        <v>179820</v>
      </c>
      <c r="I178" s="521">
        <f>G178</f>
        <v/>
      </c>
      <c r="K178" s="521">
        <f>I178-G178</f>
        <v/>
      </c>
      <c r="M178" s="522" t="inlineStr">
        <is>
          <t>2101000200</t>
        </is>
      </c>
      <c r="N178" s="522" t="inlineStr">
        <is>
          <t>2101000200</t>
        </is>
      </c>
      <c r="O178" s="521">
        <f>M178=N178</f>
        <v/>
      </c>
      <c r="P178" s="521">
        <f>AND(MONTH(F178)=MONTH(S178), YEAR(F178)=YEAR(S178))</f>
        <v/>
      </c>
      <c r="Q178" s="521">
        <f>U178="L001-901905215"</f>
        <v/>
      </c>
      <c r="R178" s="556">
        <f>G178-W178</f>
        <v/>
      </c>
      <c r="S178" s="523" t="n">
        <v>44207</v>
      </c>
      <c r="T178" s="522" t="inlineStr">
        <is>
          <t>2101000200</t>
        </is>
      </c>
      <c r="U178" s="522" t="inlineStr">
        <is>
          <t>L001-901905215</t>
        </is>
      </c>
      <c r="V178" s="522" t="inlineStr">
        <is>
          <t>វីអ៊ីស៊ិន (ខេមបូឌា) អ៊ិនដាសស្ទ្រី ឯ.ក</t>
        </is>
      </c>
      <c r="W178" s="556" t="n">
        <v>179820</v>
      </c>
    </row>
    <row r="179">
      <c r="A179" s="521" t="n">
        <v>171</v>
      </c>
      <c r="B179" s="522" t="n"/>
      <c r="C179" s="522" t="inlineStr">
        <is>
          <t>ឆាយ ដា ឡូយីស្ទីក</t>
        </is>
      </c>
      <c r="D179" s="522" t="inlineStr">
        <is>
          <t>L001-100063098</t>
        </is>
      </c>
      <c r="E179" s="521" t="inlineStr">
        <is>
          <t>2101000020</t>
        </is>
      </c>
      <c r="F179" s="523" t="n">
        <v>44200</v>
      </c>
      <c r="G179" s="556" t="n">
        <v>88695</v>
      </c>
      <c r="I179" s="521">
        <f>G179</f>
        <v/>
      </c>
      <c r="K179" s="521">
        <f>I179-G179</f>
        <v/>
      </c>
      <c r="M179" s="522" t="inlineStr">
        <is>
          <t>2101000020</t>
        </is>
      </c>
      <c r="N179" s="522" t="inlineStr">
        <is>
          <t>2101000020</t>
        </is>
      </c>
      <c r="O179" s="521">
        <f>M179=N179</f>
        <v/>
      </c>
      <c r="P179" s="521">
        <f>AND(MONTH(F179)=MONTH(S179), YEAR(F179)=YEAR(S179))</f>
        <v/>
      </c>
      <c r="Q179" s="521">
        <f>U179="L001-901905215"</f>
        <v/>
      </c>
      <c r="R179" s="556">
        <f>G179-W179</f>
        <v/>
      </c>
      <c r="S179" s="523" t="n">
        <v>44200</v>
      </c>
      <c r="T179" s="522" t="inlineStr">
        <is>
          <t>2101000020</t>
        </is>
      </c>
      <c r="U179" s="522" t="inlineStr">
        <is>
          <t>L001-901905215</t>
        </is>
      </c>
      <c r="V179" s="522" t="inlineStr">
        <is>
          <t>វីអ៊ីស៊ិន (ខេមបូឌា) អ៊ិនដាសស្ទ្រី ឯ.ក</t>
        </is>
      </c>
      <c r="W179" s="556" t="n">
        <v>88695</v>
      </c>
    </row>
    <row r="180">
      <c r="A180" s="521" t="n">
        <v>172</v>
      </c>
      <c r="B180" s="522" t="n"/>
      <c r="C180" s="522" t="inlineStr">
        <is>
          <t>អ៊ែរ៉ូ ស៊ីបភីង អេជេនស៊ី</t>
        </is>
      </c>
      <c r="D180" s="522" t="inlineStr">
        <is>
          <t>K004-901635903</t>
        </is>
      </c>
      <c r="E180" s="521" t="inlineStr">
        <is>
          <t>IKPSA2020534722</t>
        </is>
      </c>
      <c r="F180" s="523" t="n">
        <v>44197</v>
      </c>
      <c r="G180" s="556" t="n">
        <v>290376</v>
      </c>
      <c r="I180" s="521">
        <f>G180</f>
        <v/>
      </c>
      <c r="K180" s="521">
        <f>I180-G180</f>
        <v/>
      </c>
      <c r="M180" s="522" t="inlineStr">
        <is>
          <t>IKPSA2020534722</t>
        </is>
      </c>
      <c r="N180" s="522" t="inlineStr"/>
      <c r="O180" s="521">
        <f>M180=N180</f>
        <v/>
      </c>
      <c r="P180" s="521">
        <f>AND(MONTH(F180)=MONTH(S180), YEAR(F180)=YEAR(S180))</f>
        <v/>
      </c>
      <c r="Q180" s="521">
        <f>U180="L001-901905215"</f>
        <v/>
      </c>
      <c r="R180" s="556">
        <f>G180-W180</f>
        <v/>
      </c>
      <c r="S180" s="521" t="n"/>
      <c r="T180" s="522" t="n"/>
      <c r="U180" s="522" t="n"/>
      <c r="V180" s="522" t="n"/>
      <c r="W180" s="521" t="n"/>
    </row>
    <row r="181">
      <c r="A181" s="521" t="n">
        <v>173</v>
      </c>
      <c r="B181" s="522" t="n"/>
      <c r="C181" s="522" t="inlineStr">
        <is>
          <t>អ៊ែរ៉ូ ស៊ីបភីង អេជេនស៊ី</t>
        </is>
      </c>
      <c r="D181" s="522" t="inlineStr">
        <is>
          <t>K004-901635903</t>
        </is>
      </c>
      <c r="E181" s="521" t="inlineStr">
        <is>
          <t>IKPSA2020534721</t>
        </is>
      </c>
      <c r="F181" s="523" t="n">
        <v>44197</v>
      </c>
      <c r="G181" s="556" t="n">
        <v>290376</v>
      </c>
      <c r="I181" s="521">
        <f>G181</f>
        <v/>
      </c>
      <c r="K181" s="521">
        <f>I181-G181</f>
        <v/>
      </c>
      <c r="M181" s="522" t="inlineStr">
        <is>
          <t>IKPSA2020534721</t>
        </is>
      </c>
      <c r="N181" s="522" t="inlineStr"/>
      <c r="O181" s="521">
        <f>M181=N181</f>
        <v/>
      </c>
      <c r="P181" s="521">
        <f>AND(MONTH(F181)=MONTH(S181), YEAR(F181)=YEAR(S181))</f>
        <v/>
      </c>
      <c r="Q181" s="521">
        <f>U181="L001-901905215"</f>
        <v/>
      </c>
      <c r="R181" s="556">
        <f>G181-W181</f>
        <v/>
      </c>
      <c r="S181" s="521" t="n"/>
      <c r="T181" s="522" t="n"/>
      <c r="U181" s="522" t="n"/>
      <c r="V181" s="522" t="n"/>
      <c r="W181" s="521" t="n"/>
    </row>
    <row r="182">
      <c r="A182" s="521" t="n">
        <v>174</v>
      </c>
      <c r="B182" s="522" t="n"/>
      <c r="C182" s="522" t="inlineStr">
        <is>
          <t>អ៊ែរ៉ូ ស៊ីបភីង អេជេនស៊ី</t>
        </is>
      </c>
      <c r="D182" s="522" t="inlineStr">
        <is>
          <t>K004-901635903</t>
        </is>
      </c>
      <c r="E182" s="521" t="inlineStr">
        <is>
          <t>IKPSA2020534720</t>
        </is>
      </c>
      <c r="F182" s="523" t="n">
        <v>44208</v>
      </c>
      <c r="G182" s="556" t="n">
        <v>5500</v>
      </c>
      <c r="I182" s="521">
        <f>G182</f>
        <v/>
      </c>
      <c r="K182" s="521">
        <f>I182-G182</f>
        <v/>
      </c>
      <c r="M182" s="522" t="inlineStr">
        <is>
          <t>IKPSA2020534720</t>
        </is>
      </c>
      <c r="N182" s="522" t="inlineStr"/>
      <c r="O182" s="521">
        <f>M182=N182</f>
        <v/>
      </c>
      <c r="P182" s="521">
        <f>AND(MONTH(F182)=MONTH(S182), YEAR(F182)=YEAR(S182))</f>
        <v/>
      </c>
      <c r="Q182" s="521">
        <f>U182="L001-901905215"</f>
        <v/>
      </c>
      <c r="R182" s="556">
        <f>G182-W182</f>
        <v/>
      </c>
      <c r="S182" s="521" t="n"/>
      <c r="T182" s="522" t="n"/>
      <c r="U182" s="522" t="n"/>
      <c r="V182" s="522" t="n"/>
      <c r="W182" s="521" t="n"/>
    </row>
    <row r="183">
      <c r="A183" s="521" t="n">
        <v>175</v>
      </c>
      <c r="B183" s="522" t="n"/>
      <c r="C183" s="522" t="inlineStr">
        <is>
          <t>អ៊ែរ៉ូ ស៊ីបភីង អេជេនស៊ី</t>
        </is>
      </c>
      <c r="D183" s="522" t="inlineStr">
        <is>
          <t>K004-901635903</t>
        </is>
      </c>
      <c r="E183" s="521" t="inlineStr">
        <is>
          <t>IKPSA2020534292</t>
        </is>
      </c>
      <c r="F183" s="523" t="n">
        <v>44197</v>
      </c>
      <c r="G183" s="556" t="n">
        <v>112784</v>
      </c>
      <c r="I183" s="521">
        <f>G183</f>
        <v/>
      </c>
      <c r="K183" s="521">
        <f>I183-G183</f>
        <v/>
      </c>
      <c r="M183" s="522" t="inlineStr">
        <is>
          <t>IKPSA2020534292</t>
        </is>
      </c>
      <c r="N183" s="522" t="inlineStr"/>
      <c r="O183" s="521">
        <f>M183=N183</f>
        <v/>
      </c>
      <c r="P183" s="521">
        <f>AND(MONTH(F183)=MONTH(S183), YEAR(F183)=YEAR(S183))</f>
        <v/>
      </c>
      <c r="Q183" s="521">
        <f>U183="L001-901905215"</f>
        <v/>
      </c>
      <c r="R183" s="556">
        <f>G183-W183</f>
        <v/>
      </c>
      <c r="S183" s="521" t="n"/>
      <c r="T183" s="522" t="n"/>
      <c r="U183" s="522" t="n"/>
      <c r="V183" s="522" t="n"/>
      <c r="W183" s="521" t="n"/>
    </row>
    <row r="184">
      <c r="A184" s="521" t="n">
        <v>176</v>
      </c>
      <c r="B184" s="522" t="n"/>
      <c r="C184" s="522" t="inlineStr">
        <is>
          <t>អ៊ែរ៉ូ ស៊ីបភីង អេជេនស៊ី</t>
        </is>
      </c>
      <c r="D184" s="522" t="inlineStr">
        <is>
          <t>K004-901635903</t>
        </is>
      </c>
      <c r="E184" s="521" t="inlineStr">
        <is>
          <t>IKPSA2020534291</t>
        </is>
      </c>
      <c r="F184" s="523" t="n">
        <v>44197</v>
      </c>
      <c r="G184" s="556" t="n">
        <v>96672</v>
      </c>
      <c r="I184" s="521">
        <f>G184</f>
        <v/>
      </c>
      <c r="K184" s="521">
        <f>I184-G184</f>
        <v/>
      </c>
      <c r="M184" s="522" t="inlineStr">
        <is>
          <t>IKPSA2020534291</t>
        </is>
      </c>
      <c r="N184" s="522" t="inlineStr"/>
      <c r="O184" s="521">
        <f>M184=N184</f>
        <v/>
      </c>
      <c r="P184" s="521">
        <f>AND(MONTH(F184)=MONTH(S184), YEAR(F184)=YEAR(S184))</f>
        <v/>
      </c>
      <c r="Q184" s="521">
        <f>U184="L001-901905215"</f>
        <v/>
      </c>
      <c r="R184" s="556">
        <f>G184-W184</f>
        <v/>
      </c>
      <c r="S184" s="521" t="n"/>
      <c r="T184" s="522" t="n"/>
      <c r="U184" s="522" t="n"/>
      <c r="V184" s="522" t="n"/>
      <c r="W184" s="521" t="n"/>
    </row>
    <row r="185">
      <c r="A185" s="521" t="n">
        <v>177</v>
      </c>
      <c r="B185" s="522" t="n"/>
      <c r="C185" s="522" t="inlineStr">
        <is>
          <t>អ៊ែរ៉ូ ស៊ីបភីង អេជេនស៊ី</t>
        </is>
      </c>
      <c r="D185" s="522" t="inlineStr">
        <is>
          <t>K004-901635903</t>
        </is>
      </c>
      <c r="E185" s="521" t="inlineStr">
        <is>
          <t>IKPSA2020534290</t>
        </is>
      </c>
      <c r="F185" s="523" t="n">
        <v>44197</v>
      </c>
      <c r="G185" s="556" t="n">
        <v>1831</v>
      </c>
      <c r="I185" s="521">
        <f>G185</f>
        <v/>
      </c>
      <c r="K185" s="521">
        <f>I185-G185</f>
        <v/>
      </c>
      <c r="M185" s="522" t="inlineStr">
        <is>
          <t>IKPSA2020534290</t>
        </is>
      </c>
      <c r="N185" s="522" t="inlineStr"/>
      <c r="O185" s="521">
        <f>M185=N185</f>
        <v/>
      </c>
      <c r="P185" s="521">
        <f>AND(MONTH(F185)=MONTH(S185), YEAR(F185)=YEAR(S185))</f>
        <v/>
      </c>
      <c r="Q185" s="521">
        <f>U185="L001-901905215"</f>
        <v/>
      </c>
      <c r="R185" s="556">
        <f>G185-W185</f>
        <v/>
      </c>
      <c r="S185" s="521" t="n"/>
      <c r="T185" s="522" t="n"/>
      <c r="U185" s="522" t="n"/>
      <c r="V185" s="522" t="n"/>
      <c r="W185" s="521" t="n"/>
    </row>
    <row r="186">
      <c r="A186" s="521" t="n">
        <v>178</v>
      </c>
      <c r="B186" s="522" t="n"/>
      <c r="C186" s="522" t="inlineStr">
        <is>
          <t>អ៊ែរ៉ូ ស៊ីបភីង អេជេនស៊ី</t>
        </is>
      </c>
      <c r="D186" s="522" t="inlineStr">
        <is>
          <t>K004-901635903</t>
        </is>
      </c>
      <c r="E186" s="521" t="inlineStr">
        <is>
          <t>IKPSA2021502739</t>
        </is>
      </c>
      <c r="F186" s="523" t="n">
        <v>44222</v>
      </c>
      <c r="G186" s="556" t="n">
        <v>97488</v>
      </c>
      <c r="I186" s="521">
        <f>G186</f>
        <v/>
      </c>
      <c r="K186" s="521">
        <f>I186-G186</f>
        <v/>
      </c>
      <c r="M186" s="522" t="inlineStr">
        <is>
          <t>IKPSA2021502739</t>
        </is>
      </c>
      <c r="N186" s="522" t="inlineStr">
        <is>
          <t>IKPSA2021502739</t>
        </is>
      </c>
      <c r="O186" s="521">
        <f>M186=N186</f>
        <v/>
      </c>
      <c r="P186" s="521">
        <f>AND(MONTH(F186)=MONTH(S186), YEAR(F186)=YEAR(S186))</f>
        <v/>
      </c>
      <c r="Q186" s="521">
        <f>U186="L001-901905215"</f>
        <v/>
      </c>
      <c r="R186" s="556">
        <f>G186-W186</f>
        <v/>
      </c>
      <c r="S186" s="523" t="n">
        <v>44222</v>
      </c>
      <c r="T186" s="522" t="inlineStr">
        <is>
          <t>IKPSA2021502739</t>
        </is>
      </c>
      <c r="U186" s="522" t="inlineStr">
        <is>
          <t>L001-901905215</t>
        </is>
      </c>
      <c r="V186" s="522" t="inlineStr">
        <is>
          <t>វីអ៊ីស៊ិន (ខេមបូឌា) អ៊ិនដាសស្ទ្រី ឯ.ក</t>
        </is>
      </c>
      <c r="W186" s="556" t="n">
        <v>97560</v>
      </c>
    </row>
    <row r="187">
      <c r="A187" s="521" t="n">
        <v>179</v>
      </c>
      <c r="B187" s="522" t="n"/>
      <c r="C187" s="522" t="inlineStr">
        <is>
          <t>អ៊ែរ៉ូ ស៊ីបភីង អេជេនស៊ី</t>
        </is>
      </c>
      <c r="D187" s="522" t="inlineStr">
        <is>
          <t>K004-901635903</t>
        </is>
      </c>
      <c r="E187" s="521" t="inlineStr">
        <is>
          <t>IKPSA2021502740</t>
        </is>
      </c>
      <c r="F187" s="523" t="n">
        <v>44222</v>
      </c>
      <c r="G187" s="556" t="n">
        <v>113736</v>
      </c>
      <c r="I187" s="521">
        <f>G187</f>
        <v/>
      </c>
      <c r="K187" s="521">
        <f>I187-G187</f>
        <v/>
      </c>
      <c r="M187" s="522" t="inlineStr">
        <is>
          <t>IKPSA2021502740</t>
        </is>
      </c>
      <c r="N187" s="522" t="inlineStr">
        <is>
          <t>IKPSA2021502740</t>
        </is>
      </c>
      <c r="O187" s="521">
        <f>M187=N187</f>
        <v/>
      </c>
      <c r="P187" s="521">
        <f>AND(MONTH(F187)=MONTH(S187), YEAR(F187)=YEAR(S187))</f>
        <v/>
      </c>
      <c r="Q187" s="521">
        <f>U187="L001-901905215"</f>
        <v/>
      </c>
      <c r="R187" s="556">
        <f>G187-W187</f>
        <v/>
      </c>
      <c r="S187" s="523" t="n">
        <v>44222</v>
      </c>
      <c r="T187" s="522" t="inlineStr">
        <is>
          <t>IKPSA2021502740</t>
        </is>
      </c>
      <c r="U187" s="522" t="inlineStr">
        <is>
          <t>L001-901905215</t>
        </is>
      </c>
      <c r="V187" s="522" t="inlineStr">
        <is>
          <t>វីអ៊ីស៊ិន (ខេមបូឌា) អ៊ិនដាសស្ទ្រី ឯ.ក</t>
        </is>
      </c>
      <c r="W187" s="556" t="n">
        <v>113820</v>
      </c>
    </row>
    <row r="188">
      <c r="A188" s="521" t="n">
        <v>180</v>
      </c>
      <c r="B188" s="522" t="n"/>
      <c r="C188" s="522" t="inlineStr">
        <is>
          <t>អ៊ែរ៉ូ ស៊ីបភីង អេជេនស៊ី</t>
        </is>
      </c>
      <c r="D188" s="522" t="inlineStr">
        <is>
          <t>K004-901635903</t>
        </is>
      </c>
      <c r="E188" s="521" t="inlineStr">
        <is>
          <t>IKPSA2021502738</t>
        </is>
      </c>
      <c r="F188" s="523" t="n">
        <v>44222</v>
      </c>
      <c r="G188" s="556" t="n">
        <v>1846</v>
      </c>
      <c r="I188" s="521">
        <f>G188</f>
        <v/>
      </c>
      <c r="K188" s="521">
        <f>I188-G188</f>
        <v/>
      </c>
      <c r="M188" s="522" t="inlineStr">
        <is>
          <t>IKPSA2021502738</t>
        </is>
      </c>
      <c r="N188" s="522" t="inlineStr">
        <is>
          <t>IKPSA2021502738</t>
        </is>
      </c>
      <c r="O188" s="521">
        <f>M188=N188</f>
        <v/>
      </c>
      <c r="P188" s="521">
        <f>AND(MONTH(F188)=MONTH(S188), YEAR(F188)=YEAR(S188))</f>
        <v/>
      </c>
      <c r="Q188" s="521">
        <f>U188="L001-901905215"</f>
        <v/>
      </c>
      <c r="R188" s="556">
        <f>G188-W188</f>
        <v/>
      </c>
      <c r="S188" s="523" t="n">
        <v>44222</v>
      </c>
      <c r="T188" s="522" t="inlineStr">
        <is>
          <t>IKPSA2021502738</t>
        </is>
      </c>
      <c r="U188" s="522" t="inlineStr">
        <is>
          <t>L001-901905215</t>
        </is>
      </c>
      <c r="V188" s="522" t="inlineStr">
        <is>
          <t>វីអ៊ីស៊ិន (ខេមបូឌា) អ៊ិនដាសស្ទ្រី ឯ.ក</t>
        </is>
      </c>
      <c r="W188" s="556" t="n">
        <v>1848</v>
      </c>
    </row>
    <row r="189">
      <c r="A189" s="521" t="n">
        <v>181</v>
      </c>
      <c r="B189" s="522" t="n"/>
      <c r="C189" s="522" t="inlineStr">
        <is>
          <t>អ៊ែរ៉ូ ស៊ីបភីង អេជេនស៊ី</t>
        </is>
      </c>
      <c r="D189" s="522" t="inlineStr">
        <is>
          <t>K004-901635903</t>
        </is>
      </c>
      <c r="E189" s="521" t="inlineStr">
        <is>
          <t>IKPSA2021501807</t>
        </is>
      </c>
      <c r="F189" s="523" t="n">
        <v>44217</v>
      </c>
      <c r="G189" s="556" t="n">
        <v>1843</v>
      </c>
      <c r="I189" s="521">
        <f>G189</f>
        <v/>
      </c>
      <c r="K189" s="521">
        <f>I189-G189</f>
        <v/>
      </c>
      <c r="M189" s="522" t="inlineStr">
        <is>
          <t>IKPSA2021501807</t>
        </is>
      </c>
      <c r="N189" s="522" t="inlineStr">
        <is>
          <t>IKPSA2021501807</t>
        </is>
      </c>
      <c r="O189" s="521">
        <f>M189=N189</f>
        <v/>
      </c>
      <c r="P189" s="521">
        <f>AND(MONTH(F189)=MONTH(S189), YEAR(F189)=YEAR(S189))</f>
        <v/>
      </c>
      <c r="Q189" s="521">
        <f>U189="L001-901905215"</f>
        <v/>
      </c>
      <c r="R189" s="556">
        <f>G189-W189</f>
        <v/>
      </c>
      <c r="S189" s="523" t="n">
        <v>44215</v>
      </c>
      <c r="T189" s="522" t="inlineStr">
        <is>
          <t>IKPSA2021501807</t>
        </is>
      </c>
      <c r="U189" s="522" t="inlineStr">
        <is>
          <t>L001-901905215</t>
        </is>
      </c>
      <c r="V189" s="522" t="inlineStr">
        <is>
          <t>វីអ៊ីស៊ិន (ខេមបូឌា) អ៊ិនដាសស្ទ្រី ឯ.ក</t>
        </is>
      </c>
      <c r="W189" s="556" t="n">
        <v>1848</v>
      </c>
    </row>
    <row r="190">
      <c r="A190" s="521" t="n">
        <v>182</v>
      </c>
      <c r="B190" s="522" t="n"/>
      <c r="C190" s="522" t="inlineStr">
        <is>
          <t>អ៊ែរ៉ូ ស៊ីបភីង អេជេនស៊ី</t>
        </is>
      </c>
      <c r="D190" s="522" t="inlineStr">
        <is>
          <t>K004-901635903</t>
        </is>
      </c>
      <c r="E190" s="521" t="inlineStr">
        <is>
          <t>IKPSA2021501808</t>
        </is>
      </c>
      <c r="F190" s="523" t="n">
        <v>44217</v>
      </c>
      <c r="G190" s="556" t="n">
        <v>97320</v>
      </c>
      <c r="I190" s="521">
        <f>G190</f>
        <v/>
      </c>
      <c r="K190" s="521">
        <f>I190-G190</f>
        <v/>
      </c>
      <c r="M190" s="522" t="inlineStr">
        <is>
          <t>IKPSA2021501808</t>
        </is>
      </c>
      <c r="N190" s="522" t="inlineStr">
        <is>
          <t>IKPSA2021501808</t>
        </is>
      </c>
      <c r="O190" s="521">
        <f>M190=N190</f>
        <v/>
      </c>
      <c r="P190" s="521">
        <f>AND(MONTH(F190)=MONTH(S190), YEAR(F190)=YEAR(S190))</f>
        <v/>
      </c>
      <c r="Q190" s="521">
        <f>U190="L001-901905215"</f>
        <v/>
      </c>
      <c r="R190" s="556">
        <f>G190-W190</f>
        <v/>
      </c>
      <c r="S190" s="523" t="n">
        <v>44215</v>
      </c>
      <c r="T190" s="522" t="inlineStr">
        <is>
          <t>IKPSA2021501808</t>
        </is>
      </c>
      <c r="U190" s="522" t="inlineStr">
        <is>
          <t>L001-901905215</t>
        </is>
      </c>
      <c r="V190" s="522" t="inlineStr">
        <is>
          <t>វីអ៊ីស៊ិន (ខេមបូឌា) អ៊ិនដាសស្ទ្រី ឯ.ក</t>
        </is>
      </c>
      <c r="W190" s="556" t="n">
        <v>97560</v>
      </c>
    </row>
    <row r="191">
      <c r="A191" s="521" t="n">
        <v>183</v>
      </c>
      <c r="B191" s="522" t="n"/>
      <c r="C191" s="522" t="inlineStr">
        <is>
          <t>អ៊ែរ៉ូ ស៊ីបភីង អេជេនស៊ី</t>
        </is>
      </c>
      <c r="D191" s="522" t="inlineStr">
        <is>
          <t>K004-901635903</t>
        </is>
      </c>
      <c r="E191" s="521" t="inlineStr">
        <is>
          <t>IKPSA2021501809</t>
        </is>
      </c>
      <c r="F191" s="523" t="n">
        <v>44215</v>
      </c>
      <c r="G191" s="556" t="n">
        <v>113540</v>
      </c>
      <c r="I191" s="521">
        <f>G191</f>
        <v/>
      </c>
      <c r="K191" s="521">
        <f>I191-G191</f>
        <v/>
      </c>
      <c r="M191" s="522" t="inlineStr">
        <is>
          <t>IKPSA2021501809</t>
        </is>
      </c>
      <c r="N191" s="522" t="inlineStr">
        <is>
          <t>IKPSA2021501809</t>
        </is>
      </c>
      <c r="O191" s="521">
        <f>M191=N191</f>
        <v/>
      </c>
      <c r="P191" s="521">
        <f>AND(MONTH(F191)=MONTH(S191), YEAR(F191)=YEAR(S191))</f>
        <v/>
      </c>
      <c r="Q191" s="521">
        <f>U191="L001-901905215"</f>
        <v/>
      </c>
      <c r="R191" s="556">
        <f>G191-W191</f>
        <v/>
      </c>
      <c r="S191" s="523" t="n">
        <v>44215</v>
      </c>
      <c r="T191" s="522" t="inlineStr">
        <is>
          <t>IKPSA2021501809</t>
        </is>
      </c>
      <c r="U191" s="522" t="inlineStr">
        <is>
          <t>L001-901905215</t>
        </is>
      </c>
      <c r="V191" s="522" t="inlineStr">
        <is>
          <t>វីអ៊ីស៊ិន (ខេមបូឌា) អ៊ិនដាសស្ទ្រី ឯ.ក</t>
        </is>
      </c>
      <c r="W191" s="556" t="n">
        <v>113820</v>
      </c>
    </row>
    <row r="192">
      <c r="A192" s="521" t="n">
        <v>184</v>
      </c>
      <c r="B192" s="522" t="n"/>
      <c r="C192" s="522" t="inlineStr">
        <is>
          <t>អ៊ែរ៉ូ ស៊ីបភីង អេជេនស៊ី</t>
        </is>
      </c>
      <c r="D192" s="522" t="inlineStr">
        <is>
          <t>K004-901635903</t>
        </is>
      </c>
      <c r="E192" s="521" t="inlineStr">
        <is>
          <t>IKPSA2021501813</t>
        </is>
      </c>
      <c r="F192" s="523" t="n">
        <v>44215</v>
      </c>
      <c r="G192" s="556" t="n">
        <v>1843</v>
      </c>
      <c r="I192" s="521">
        <f>G192</f>
        <v/>
      </c>
      <c r="K192" s="521">
        <f>I192-G192</f>
        <v/>
      </c>
      <c r="M192" s="522" t="inlineStr">
        <is>
          <t>IKPSA2021501813</t>
        </is>
      </c>
      <c r="N192" s="522" t="inlineStr">
        <is>
          <t>IKPSA2021501813</t>
        </is>
      </c>
      <c r="O192" s="521">
        <f>M192=N192</f>
        <v/>
      </c>
      <c r="P192" s="521">
        <f>AND(MONTH(F192)=MONTH(S192), YEAR(F192)=YEAR(S192))</f>
        <v/>
      </c>
      <c r="Q192" s="521">
        <f>U192="L001-901905215"</f>
        <v/>
      </c>
      <c r="R192" s="556">
        <f>G192-W192</f>
        <v/>
      </c>
      <c r="S192" s="523" t="n">
        <v>44215</v>
      </c>
      <c r="T192" s="522" t="inlineStr">
        <is>
          <t>IKPSA2021501813</t>
        </is>
      </c>
      <c r="U192" s="522" t="inlineStr">
        <is>
          <t>L001-901905215</t>
        </is>
      </c>
      <c r="V192" s="522" t="inlineStr">
        <is>
          <t>វីអ៊ីស៊ិន (ខេមបូឌា) អ៊ិនដាសស្ទ្រី ឯ.ក</t>
        </is>
      </c>
      <c r="W192" s="556" t="n">
        <v>1848</v>
      </c>
    </row>
    <row r="193">
      <c r="A193" s="521" t="n">
        <v>185</v>
      </c>
      <c r="B193" s="522" t="n"/>
      <c r="C193" s="522" t="inlineStr">
        <is>
          <t>អ៊ែរ៉ូ ស៊ីបភីង អេជេនស៊ី</t>
        </is>
      </c>
      <c r="D193" s="522" t="inlineStr">
        <is>
          <t>K004-901635903</t>
        </is>
      </c>
      <c r="E193" s="521" t="inlineStr">
        <is>
          <t>IKPSA2021501814</t>
        </is>
      </c>
      <c r="F193" s="523" t="n">
        <v>44222</v>
      </c>
      <c r="G193" s="556" t="n">
        <v>97320</v>
      </c>
      <c r="I193" s="521">
        <f>G193</f>
        <v/>
      </c>
      <c r="K193" s="521">
        <f>I193-G193</f>
        <v/>
      </c>
      <c r="M193" s="522" t="inlineStr">
        <is>
          <t>IKPSA2021501814</t>
        </is>
      </c>
      <c r="N193" s="522" t="inlineStr">
        <is>
          <t>IKPSA2021501814</t>
        </is>
      </c>
      <c r="O193" s="521">
        <f>M193=N193</f>
        <v/>
      </c>
      <c r="P193" s="521">
        <f>AND(MONTH(F193)=MONTH(S193), YEAR(F193)=YEAR(S193))</f>
        <v/>
      </c>
      <c r="Q193" s="521">
        <f>U193="L001-901905215"</f>
        <v/>
      </c>
      <c r="R193" s="556">
        <f>G193-W193</f>
        <v/>
      </c>
      <c r="S193" s="523" t="n">
        <v>44215</v>
      </c>
      <c r="T193" s="522" t="inlineStr">
        <is>
          <t>IKPSA2021501814</t>
        </is>
      </c>
      <c r="U193" s="522" t="inlineStr">
        <is>
          <t>L001-901905215</t>
        </is>
      </c>
      <c r="V193" s="522" t="inlineStr">
        <is>
          <t>វីអ៊ីស៊ិន (ខេមបូឌា) អ៊ិនដាសស្ទ្រី ឯ.ក</t>
        </is>
      </c>
      <c r="W193" s="556" t="n">
        <v>97560</v>
      </c>
    </row>
    <row r="194">
      <c r="A194" s="521" t="n">
        <v>186</v>
      </c>
      <c r="B194" s="522" t="n"/>
      <c r="C194" s="522" t="inlineStr">
        <is>
          <t>អ៊ែរ៉ូ ស៊ីបភីង អេជេនស៊ី</t>
        </is>
      </c>
      <c r="D194" s="522" t="inlineStr">
        <is>
          <t>K004-901635903</t>
        </is>
      </c>
      <c r="E194" s="521" t="inlineStr">
        <is>
          <t>IKPSA2021501815</t>
        </is>
      </c>
      <c r="F194" s="523" t="n">
        <v>44222</v>
      </c>
      <c r="G194" s="556" t="n">
        <v>113540</v>
      </c>
      <c r="I194" s="521">
        <f>G194</f>
        <v/>
      </c>
      <c r="K194" s="521">
        <f>I194-G194</f>
        <v/>
      </c>
      <c r="M194" s="522" t="inlineStr">
        <is>
          <t>IKPSA2021501815</t>
        </is>
      </c>
      <c r="N194" s="522" t="inlineStr">
        <is>
          <t>IKPSA2021501815</t>
        </is>
      </c>
      <c r="O194" s="521">
        <f>M194=N194</f>
        <v/>
      </c>
      <c r="P194" s="521">
        <f>AND(MONTH(F194)=MONTH(S194), YEAR(F194)=YEAR(S194))</f>
        <v/>
      </c>
      <c r="Q194" s="521">
        <f>U194="L001-901905215"</f>
        <v/>
      </c>
      <c r="R194" s="556">
        <f>G194-W194</f>
        <v/>
      </c>
      <c r="S194" s="523" t="n">
        <v>44215</v>
      </c>
      <c r="T194" s="522" t="inlineStr">
        <is>
          <t>IKPSA2021501815</t>
        </is>
      </c>
      <c r="U194" s="522" t="inlineStr">
        <is>
          <t>L001-901905215</t>
        </is>
      </c>
      <c r="V194" s="522" t="inlineStr">
        <is>
          <t>វីអ៊ីស៊ិន (ខេមបូឌា) អ៊ិនដាសស្ទ្រី ឯ.ក</t>
        </is>
      </c>
      <c r="W194" s="556" t="n">
        <v>113820</v>
      </c>
    </row>
    <row r="195">
      <c r="A195" s="521" t="n">
        <v>187</v>
      </c>
      <c r="B195" s="522" t="n"/>
      <c r="C195" s="522" t="inlineStr">
        <is>
          <t>អ៊ែរ៉ូ ស៊ីបភីង អេជេនស៊ី</t>
        </is>
      </c>
      <c r="D195" s="522" t="inlineStr">
        <is>
          <t>K004-901635903</t>
        </is>
      </c>
      <c r="E195" s="521" t="inlineStr">
        <is>
          <t>IKPSA2021501804</t>
        </is>
      </c>
      <c r="F195" s="523" t="n">
        <v>44217</v>
      </c>
      <c r="G195" s="556" t="n">
        <v>1843</v>
      </c>
      <c r="I195" s="521">
        <f>G195</f>
        <v/>
      </c>
      <c r="K195" s="521">
        <f>I195-G195</f>
        <v/>
      </c>
      <c r="M195" s="522" t="inlineStr">
        <is>
          <t>IKPSA2021501804</t>
        </is>
      </c>
      <c r="N195" s="522" t="inlineStr">
        <is>
          <t>IKPSA2021501804</t>
        </is>
      </c>
      <c r="O195" s="521">
        <f>M195=N195</f>
        <v/>
      </c>
      <c r="P195" s="521">
        <f>AND(MONTH(F195)=MONTH(S195), YEAR(F195)=YEAR(S195))</f>
        <v/>
      </c>
      <c r="Q195" s="521">
        <f>U195="L001-901905215"</f>
        <v/>
      </c>
      <c r="R195" s="556">
        <f>G195-W195</f>
        <v/>
      </c>
      <c r="S195" s="523" t="n">
        <v>44215</v>
      </c>
      <c r="T195" s="522" t="inlineStr">
        <is>
          <t>IKPSA2021501804</t>
        </is>
      </c>
      <c r="U195" s="522" t="inlineStr">
        <is>
          <t>L001-901905215</t>
        </is>
      </c>
      <c r="V195" s="522" t="inlineStr">
        <is>
          <t>វីអ៊ីស៊ិន (ខេមបូឌា) អ៊ិនដាសស្ទ្រី ឯ.ក</t>
        </is>
      </c>
      <c r="W195" s="556" t="n">
        <v>1848</v>
      </c>
    </row>
    <row r="196">
      <c r="A196" s="521" t="n">
        <v>188</v>
      </c>
      <c r="B196" s="522" t="n"/>
      <c r="C196" s="522" t="inlineStr">
        <is>
          <t>អ៊ែរ៉ូ ស៊ីបភីង អេជេនស៊ី</t>
        </is>
      </c>
      <c r="D196" s="522" t="inlineStr">
        <is>
          <t>K004-901635903</t>
        </is>
      </c>
      <c r="E196" s="521" t="inlineStr">
        <is>
          <t>IKPSA2021501805</t>
        </is>
      </c>
      <c r="F196" s="523" t="n">
        <v>44217</v>
      </c>
      <c r="G196" s="556" t="n">
        <v>97320</v>
      </c>
      <c r="I196" s="521">
        <f>G196</f>
        <v/>
      </c>
      <c r="K196" s="521">
        <f>I196-G196</f>
        <v/>
      </c>
      <c r="M196" s="522" t="inlineStr">
        <is>
          <t>IKPSA2021501805</t>
        </is>
      </c>
      <c r="N196" s="522" t="inlineStr">
        <is>
          <t>IKPSA2021501805</t>
        </is>
      </c>
      <c r="O196" s="521">
        <f>M196=N196</f>
        <v/>
      </c>
      <c r="P196" s="521">
        <f>AND(MONTH(F196)=MONTH(S196), YEAR(F196)=YEAR(S196))</f>
        <v/>
      </c>
      <c r="Q196" s="521">
        <f>U196="L001-901905215"</f>
        <v/>
      </c>
      <c r="R196" s="556">
        <f>G196-W196</f>
        <v/>
      </c>
      <c r="S196" s="523" t="n">
        <v>44215</v>
      </c>
      <c r="T196" s="522" t="inlineStr">
        <is>
          <t>IKPSA2021501805</t>
        </is>
      </c>
      <c r="U196" s="522" t="inlineStr">
        <is>
          <t>L001-901905215</t>
        </is>
      </c>
      <c r="V196" s="522" t="inlineStr">
        <is>
          <t>វីអ៊ីស៊ិន (ខេមបូឌា) អ៊ិនដាសស្ទ្រី ឯ.ក</t>
        </is>
      </c>
      <c r="W196" s="556" t="n">
        <v>97560</v>
      </c>
    </row>
    <row r="197">
      <c r="A197" s="521" t="n">
        <v>189</v>
      </c>
      <c r="B197" s="522" t="n"/>
      <c r="C197" s="522" t="inlineStr">
        <is>
          <t>អ៊ែរ៉ូ ស៊ីបភីង អេជេនស៊ី</t>
        </is>
      </c>
      <c r="D197" s="522" t="inlineStr">
        <is>
          <t>K004-901635903</t>
        </is>
      </c>
      <c r="E197" s="521" t="inlineStr">
        <is>
          <t>IKPSA2021501806</t>
        </is>
      </c>
      <c r="F197" s="523" t="n">
        <v>44217</v>
      </c>
      <c r="G197" s="556" t="n">
        <v>113540</v>
      </c>
      <c r="I197" s="521">
        <f>G197</f>
        <v/>
      </c>
      <c r="K197" s="521">
        <f>I197-G197</f>
        <v/>
      </c>
      <c r="M197" s="522" t="inlineStr">
        <is>
          <t>IKPSA2021501806</t>
        </is>
      </c>
      <c r="N197" s="522" t="inlineStr">
        <is>
          <t>IKPSA2021501806</t>
        </is>
      </c>
      <c r="O197" s="521">
        <f>M197=N197</f>
        <v/>
      </c>
      <c r="P197" s="521">
        <f>AND(MONTH(F197)=MONTH(S197), YEAR(F197)=YEAR(S197))</f>
        <v/>
      </c>
      <c r="Q197" s="521">
        <f>U197="L001-901905215"</f>
        <v/>
      </c>
      <c r="R197" s="556">
        <f>G197-W197</f>
        <v/>
      </c>
      <c r="S197" s="523" t="n">
        <v>44215</v>
      </c>
      <c r="T197" s="522" t="inlineStr">
        <is>
          <t>IKPSA2021501806</t>
        </is>
      </c>
      <c r="U197" s="522" t="inlineStr">
        <is>
          <t>L001-901905215</t>
        </is>
      </c>
      <c r="V197" s="522" t="inlineStr">
        <is>
          <t>វីអ៊ីស៊ិន (ខេមបូឌា) អ៊ិនដាសស្ទ្រី ឯ.ក</t>
        </is>
      </c>
      <c r="W197" s="556" t="n">
        <v>113820</v>
      </c>
    </row>
    <row r="198">
      <c r="A198" s="521" t="n">
        <v>190</v>
      </c>
      <c r="B198" s="522" t="n"/>
      <c r="C198" s="522" t="inlineStr">
        <is>
          <t>អ៊ែរ៉ូ ស៊ីបភីង អេជេនស៊ី</t>
        </is>
      </c>
      <c r="D198" s="522" t="inlineStr">
        <is>
          <t>K004-901635903</t>
        </is>
      </c>
      <c r="E198" s="521" t="inlineStr">
        <is>
          <t>IKPSA2020533650</t>
        </is>
      </c>
      <c r="F198" s="523" t="n">
        <v>44197</v>
      </c>
      <c r="G198" s="556" t="n">
        <v>262275</v>
      </c>
      <c r="I198" s="521">
        <f>G198</f>
        <v/>
      </c>
      <c r="K198" s="521">
        <f>I198-G198</f>
        <v/>
      </c>
      <c r="M198" s="522" t="inlineStr">
        <is>
          <t>IKPSA2020533650</t>
        </is>
      </c>
      <c r="N198" s="522" t="inlineStr"/>
      <c r="O198" s="521">
        <f>M198=N198</f>
        <v/>
      </c>
      <c r="P198" s="521">
        <f>AND(MONTH(F198)=MONTH(S198), YEAR(F198)=YEAR(S198))</f>
        <v/>
      </c>
      <c r="Q198" s="521">
        <f>U198="L001-901905215"</f>
        <v/>
      </c>
      <c r="R198" s="556">
        <f>G198-W198</f>
        <v/>
      </c>
      <c r="S198" s="521" t="n"/>
      <c r="T198" s="522" t="n"/>
      <c r="U198" s="522" t="n"/>
      <c r="V198" s="522" t="n"/>
      <c r="W198" s="521" t="n"/>
    </row>
    <row r="199">
      <c r="A199" s="521" t="n">
        <v>191</v>
      </c>
      <c r="B199" s="522" t="n"/>
      <c r="C199" s="522" t="inlineStr">
        <is>
          <t>អ៊ែរ៉ូ ស៊ីបភីង អេជេនស៊ី</t>
        </is>
      </c>
      <c r="D199" s="522" t="inlineStr">
        <is>
          <t>K004-901635903</t>
        </is>
      </c>
      <c r="E199" s="521" t="inlineStr">
        <is>
          <t>IKPSA2020533649</t>
        </is>
      </c>
      <c r="F199" s="523" t="n">
        <v>44197</v>
      </c>
      <c r="G199" s="556" t="n">
        <v>242100</v>
      </c>
      <c r="I199" s="521">
        <f>G199</f>
        <v/>
      </c>
      <c r="K199" s="521">
        <f>I199-G199</f>
        <v/>
      </c>
      <c r="M199" s="522" t="inlineStr">
        <is>
          <t>IKPSA2020533649</t>
        </is>
      </c>
      <c r="N199" s="522" t="inlineStr"/>
      <c r="O199" s="521">
        <f>M199=N199</f>
        <v/>
      </c>
      <c r="P199" s="521">
        <f>AND(MONTH(F199)=MONTH(S199), YEAR(F199)=YEAR(S199))</f>
        <v/>
      </c>
      <c r="Q199" s="521">
        <f>U199="L001-901905215"</f>
        <v/>
      </c>
      <c r="R199" s="556">
        <f>G199-W199</f>
        <v/>
      </c>
      <c r="S199" s="521" t="n"/>
      <c r="T199" s="522" t="n"/>
      <c r="U199" s="522" t="n"/>
      <c r="V199" s="522" t="n"/>
      <c r="W199" s="521" t="n"/>
    </row>
    <row r="200">
      <c r="A200" s="521" t="n">
        <v>192</v>
      </c>
      <c r="B200" s="522" t="n"/>
      <c r="C200" s="522" t="inlineStr">
        <is>
          <t>អ៊ែរ៉ូ ស៊ីបភីង អេជេនស៊ី</t>
        </is>
      </c>
      <c r="D200" s="522" t="inlineStr">
        <is>
          <t>K004-901635903</t>
        </is>
      </c>
      <c r="E200" s="521" t="inlineStr">
        <is>
          <t>IKPSA2020533648</t>
        </is>
      </c>
      <c r="F200" s="523" t="n">
        <v>44197</v>
      </c>
      <c r="G200" s="556" t="n">
        <v>5502</v>
      </c>
      <c r="I200" s="521">
        <f>G200</f>
        <v/>
      </c>
      <c r="K200" s="521">
        <f>I200-G200</f>
        <v/>
      </c>
      <c r="M200" s="522" t="inlineStr">
        <is>
          <t>IKPSA2020533648</t>
        </is>
      </c>
      <c r="N200" s="522" t="inlineStr"/>
      <c r="O200" s="521">
        <f>M200=N200</f>
        <v/>
      </c>
      <c r="P200" s="521">
        <f>AND(MONTH(F200)=MONTH(S200), YEAR(F200)=YEAR(S200))</f>
        <v/>
      </c>
      <c r="Q200" s="521">
        <f>U200="L001-901905215"</f>
        <v/>
      </c>
      <c r="R200" s="556">
        <f>G200-W200</f>
        <v/>
      </c>
      <c r="S200" s="521" t="n"/>
      <c r="T200" s="522" t="n"/>
      <c r="U200" s="522" t="n"/>
      <c r="V200" s="522" t="n"/>
      <c r="W200" s="521" t="n"/>
    </row>
    <row r="201">
      <c r="A201" s="521" t="n">
        <v>193</v>
      </c>
      <c r="B201" s="522" t="n"/>
      <c r="C201" s="522" t="inlineStr">
        <is>
          <t>56ប៊ី-លីង សឹបផ្លាយ ឆេន មេនេចម៉ិន ឯ.ក</t>
        </is>
      </c>
      <c r="D201" s="522" t="inlineStr">
        <is>
          <t>K004-902004795</t>
        </is>
      </c>
      <c r="E201" s="521" t="inlineStr">
        <is>
          <t>IN202101-0076</t>
        </is>
      </c>
      <c r="F201" s="523" t="n">
        <v>44225</v>
      </c>
      <c r="G201" s="556" t="n">
        <v>184958</v>
      </c>
      <c r="I201" s="521">
        <f>G201</f>
        <v/>
      </c>
      <c r="K201" s="521">
        <f>I201-G201</f>
        <v/>
      </c>
      <c r="M201" s="522" t="inlineStr">
        <is>
          <t>IN2021010076</t>
        </is>
      </c>
      <c r="N201" s="522" t="inlineStr">
        <is>
          <t>IN2021010076</t>
        </is>
      </c>
      <c r="O201" s="521">
        <f>M201=N201</f>
        <v/>
      </c>
      <c r="P201" s="521">
        <f>AND(MONTH(F201)=MONTH(S201), YEAR(F201)=YEAR(S201))</f>
        <v/>
      </c>
      <c r="Q201" s="521">
        <f>U201="L001-901905215"</f>
        <v/>
      </c>
      <c r="R201" s="556">
        <f>G201-W201</f>
        <v/>
      </c>
      <c r="S201" s="523" t="n">
        <v>44225</v>
      </c>
      <c r="T201" s="522" t="inlineStr">
        <is>
          <t>IN202101-0076</t>
        </is>
      </c>
      <c r="U201" s="522" t="inlineStr">
        <is>
          <t>L001-901905215</t>
        </is>
      </c>
      <c r="V201" s="522" t="inlineStr">
        <is>
          <t>វីអ៊ីស៊ិន (ខេមបូឌា) អ៊ិនដាសស្ទ្រី ឯ.ក</t>
        </is>
      </c>
      <c r="W201" s="556" t="n">
        <v>184958</v>
      </c>
    </row>
    <row r="202">
      <c r="A202" s="521" t="n">
        <v>194</v>
      </c>
      <c r="B202" s="522" t="n"/>
      <c r="C202" s="522" t="inlineStr">
        <is>
          <t>56ប៊ី-លីង សឹបផ្លាយ ឆេន មេនេចម៉ិន ឯ.ក</t>
        </is>
      </c>
      <c r="D202" s="522" t="inlineStr">
        <is>
          <t>K004-902004795</t>
        </is>
      </c>
      <c r="E202" s="521" t="inlineStr">
        <is>
          <t>IN202101-0075</t>
        </is>
      </c>
      <c r="F202" s="523" t="n">
        <v>44225</v>
      </c>
      <c r="G202" s="556" t="n">
        <v>313005</v>
      </c>
      <c r="I202" s="521">
        <f>G202</f>
        <v/>
      </c>
      <c r="K202" s="521">
        <f>I202-G202</f>
        <v/>
      </c>
      <c r="M202" s="522" t="inlineStr">
        <is>
          <t>IN2021010075</t>
        </is>
      </c>
      <c r="N202" s="522" t="inlineStr">
        <is>
          <t>IN2021010075</t>
        </is>
      </c>
      <c r="O202" s="521">
        <f>M202=N202</f>
        <v/>
      </c>
      <c r="P202" s="521">
        <f>AND(MONTH(F202)=MONTH(S202), YEAR(F202)=YEAR(S202))</f>
        <v/>
      </c>
      <c r="Q202" s="521">
        <f>U202="L001-901905215"</f>
        <v/>
      </c>
      <c r="R202" s="556">
        <f>G202-W202</f>
        <v/>
      </c>
      <c r="S202" s="523" t="n">
        <v>44225</v>
      </c>
      <c r="T202" s="522" t="inlineStr">
        <is>
          <t>IN202101-0075</t>
        </is>
      </c>
      <c r="U202" s="522" t="inlineStr">
        <is>
          <t>L001-901905215</t>
        </is>
      </c>
      <c r="V202" s="522" t="inlineStr">
        <is>
          <t>វីអ៊ីស៊ិន (ខេមបូឌា) អ៊ិនដាសស្ទ្រី ឯ.ក</t>
        </is>
      </c>
      <c r="W202" s="556" t="n">
        <v>313005</v>
      </c>
    </row>
    <row r="203">
      <c r="A203" s="521" t="n">
        <v>195</v>
      </c>
      <c r="B203" s="522" t="n"/>
      <c r="C203" s="522" t="inlineStr">
        <is>
          <t>56ប៊ី-លីង សឹបផ្លាយ ឆេន មេនេចម៉ិន ឯ.ក</t>
        </is>
      </c>
      <c r="D203" s="522" t="inlineStr">
        <is>
          <t>K004-902004795</t>
        </is>
      </c>
      <c r="E203" s="521" t="inlineStr">
        <is>
          <t>IN202101-0074</t>
        </is>
      </c>
      <c r="F203" s="523" t="n">
        <v>44225</v>
      </c>
      <c r="G203" s="556" t="n">
        <v>8048688</v>
      </c>
      <c r="I203" s="521">
        <f>G203</f>
        <v/>
      </c>
      <c r="K203" s="521">
        <f>I203-G203</f>
        <v/>
      </c>
      <c r="M203" s="522" t="inlineStr">
        <is>
          <t>IN2021010074</t>
        </is>
      </c>
      <c r="N203" s="522" t="inlineStr">
        <is>
          <t>IN2021010074</t>
        </is>
      </c>
      <c r="O203" s="521">
        <f>M203=N203</f>
        <v/>
      </c>
      <c r="P203" s="521">
        <f>AND(MONTH(F203)=MONTH(S203), YEAR(F203)=YEAR(S203))</f>
        <v/>
      </c>
      <c r="Q203" s="521">
        <f>U203="L001-901905215"</f>
        <v/>
      </c>
      <c r="R203" s="556">
        <f>G203-W203</f>
        <v/>
      </c>
      <c r="S203" s="523" t="n">
        <v>44225</v>
      </c>
      <c r="T203" s="522" t="inlineStr">
        <is>
          <t>IN202101-0074</t>
        </is>
      </c>
      <c r="U203" s="522" t="inlineStr">
        <is>
          <t>L001-901905215</t>
        </is>
      </c>
      <c r="V203" s="522" t="inlineStr">
        <is>
          <t>វីអ៊ីស៊ិន (ខេមបូឌា) អ៊ិនដាសស្ទ្រី ឯ.ក</t>
        </is>
      </c>
      <c r="W203" s="556" t="n">
        <v>804870</v>
      </c>
    </row>
    <row r="204">
      <c r="A204" s="521" t="n">
        <v>196</v>
      </c>
      <c r="B204" s="522" t="n"/>
      <c r="C204" s="522" t="inlineStr">
        <is>
          <t>56ប៊ី-លីង សឹបផ្លាយ ឆេន មេនេចម៉ិន ឯ.ក</t>
        </is>
      </c>
      <c r="D204" s="522" t="inlineStr">
        <is>
          <t>K004-902004795</t>
        </is>
      </c>
      <c r="E204" s="521" t="inlineStr">
        <is>
          <t>IN202101-0073</t>
        </is>
      </c>
      <c r="F204" s="523" t="n">
        <v>44225</v>
      </c>
      <c r="G204" s="556" t="n">
        <v>378045</v>
      </c>
      <c r="I204" s="521">
        <f>G204</f>
        <v/>
      </c>
      <c r="K204" s="521">
        <f>I204-G204</f>
        <v/>
      </c>
      <c r="M204" s="522" t="inlineStr">
        <is>
          <t>IN2021010073</t>
        </is>
      </c>
      <c r="N204" s="522" t="inlineStr">
        <is>
          <t>IN2021010073</t>
        </is>
      </c>
      <c r="O204" s="521">
        <f>M204=N204</f>
        <v/>
      </c>
      <c r="P204" s="521">
        <f>AND(MONTH(F204)=MONTH(S204), YEAR(F204)=YEAR(S204))</f>
        <v/>
      </c>
      <c r="Q204" s="521">
        <f>U204="L001-901905215"</f>
        <v/>
      </c>
      <c r="R204" s="556">
        <f>G204-W204</f>
        <v/>
      </c>
      <c r="S204" s="523" t="n">
        <v>44225</v>
      </c>
      <c r="T204" s="522" t="inlineStr">
        <is>
          <t>IN202101-0073</t>
        </is>
      </c>
      <c r="U204" s="522" t="inlineStr">
        <is>
          <t>L001-901905215</t>
        </is>
      </c>
      <c r="V204" s="522" t="inlineStr">
        <is>
          <t>វីអ៊ីស៊ិន (ខេមបូឌា) អ៊ិនដាសស្ទ្រី ឯ.ក</t>
        </is>
      </c>
      <c r="W204" s="556" t="n">
        <v>378045</v>
      </c>
    </row>
    <row r="205">
      <c r="A205" s="521" t="n">
        <v>197</v>
      </c>
      <c r="B205" s="522" t="n"/>
      <c r="C205" s="522" t="inlineStr">
        <is>
          <t>56ប៊ី-លីង សឹបផ្លាយ ឆេន មេនេចម៉ិន ឯ.ក</t>
        </is>
      </c>
      <c r="D205" s="522" t="inlineStr">
        <is>
          <t>K004-902004795</t>
        </is>
      </c>
      <c r="E205" s="521" t="inlineStr">
        <is>
          <t>IN202101-0072</t>
        </is>
      </c>
      <c r="F205" s="523" t="n">
        <v>44225</v>
      </c>
      <c r="G205" s="556" t="n">
        <v>313005</v>
      </c>
      <c r="I205" s="521">
        <f>G205</f>
        <v/>
      </c>
      <c r="K205" s="521">
        <f>I205-G205</f>
        <v/>
      </c>
      <c r="M205" s="522" t="inlineStr">
        <is>
          <t>IN2021010072</t>
        </is>
      </c>
      <c r="N205" s="522" t="inlineStr">
        <is>
          <t>IN2021010072</t>
        </is>
      </c>
      <c r="O205" s="521">
        <f>M205=N205</f>
        <v/>
      </c>
      <c r="P205" s="521">
        <f>AND(MONTH(F205)=MONTH(S205), YEAR(F205)=YEAR(S205))</f>
        <v/>
      </c>
      <c r="Q205" s="521">
        <f>U205="L001-901905215"</f>
        <v/>
      </c>
      <c r="R205" s="556">
        <f>G205-W205</f>
        <v/>
      </c>
      <c r="S205" s="523" t="n">
        <v>44225</v>
      </c>
      <c r="T205" s="522" t="inlineStr">
        <is>
          <t>IN202101-0072</t>
        </is>
      </c>
      <c r="U205" s="522" t="inlineStr">
        <is>
          <t>L001-901905215</t>
        </is>
      </c>
      <c r="V205" s="522" t="inlineStr">
        <is>
          <t>វីអ៊ីស៊ិន (ខេមបូឌា) អ៊ិនដាសស្ទ្រី ឯ.ក</t>
        </is>
      </c>
      <c r="W205" s="556" t="n">
        <v>313005</v>
      </c>
    </row>
    <row r="206">
      <c r="A206" s="521" t="n">
        <v>198</v>
      </c>
      <c r="B206" s="522" t="n"/>
      <c r="C206" s="522" t="inlineStr">
        <is>
          <t>56ប៊ី-លីង សឹបផ្លាយ ឆេន មេនេចម៉ិន ឯ.ក</t>
        </is>
      </c>
      <c r="D206" s="522" t="inlineStr">
        <is>
          <t>K004-902004795</t>
        </is>
      </c>
      <c r="E206" s="521" t="inlineStr">
        <is>
          <t>IN202101-0071</t>
        </is>
      </c>
      <c r="F206" s="523" t="n">
        <v>44225</v>
      </c>
      <c r="G206" s="556" t="n">
        <v>313005</v>
      </c>
      <c r="I206" s="521">
        <f>G206</f>
        <v/>
      </c>
      <c r="K206" s="521">
        <f>I206-G206</f>
        <v/>
      </c>
      <c r="M206" s="522" t="inlineStr">
        <is>
          <t>IN2021010071</t>
        </is>
      </c>
      <c r="N206" s="522" t="inlineStr">
        <is>
          <t>IN2021010071</t>
        </is>
      </c>
      <c r="O206" s="521">
        <f>M206=N206</f>
        <v/>
      </c>
      <c r="P206" s="521">
        <f>AND(MONTH(F206)=MONTH(S206), YEAR(F206)=YEAR(S206))</f>
        <v/>
      </c>
      <c r="Q206" s="521">
        <f>U206="L001-901905215"</f>
        <v/>
      </c>
      <c r="R206" s="556">
        <f>G206-W206</f>
        <v/>
      </c>
      <c r="S206" s="523" t="n">
        <v>44225</v>
      </c>
      <c r="T206" s="522" t="inlineStr">
        <is>
          <t>IN202101-0071</t>
        </is>
      </c>
      <c r="U206" s="522" t="inlineStr">
        <is>
          <t>L001-901905215</t>
        </is>
      </c>
      <c r="V206" s="522" t="inlineStr">
        <is>
          <t>វីអ៊ីស៊ិន (ខេមបូឌា) អ៊ិនដាសស្ទ្រី ឯ.ក</t>
        </is>
      </c>
      <c r="W206" s="556" t="n">
        <v>313005</v>
      </c>
    </row>
    <row r="207">
      <c r="A207" s="521" t="n">
        <v>199</v>
      </c>
      <c r="B207" s="522" t="n"/>
      <c r="C207" s="522" t="inlineStr">
        <is>
          <t>56ប៊ី-លីង សឹបផ្លាយ ឆេន មេនេចម៉ិន ឯ.ក</t>
        </is>
      </c>
      <c r="D207" s="522" t="inlineStr">
        <is>
          <t>K004-902004795</t>
        </is>
      </c>
      <c r="E207" s="521" t="inlineStr">
        <is>
          <t>IN202101-0070</t>
        </is>
      </c>
      <c r="F207" s="523" t="n">
        <v>44225</v>
      </c>
      <c r="G207" s="556" t="n">
        <v>313005</v>
      </c>
      <c r="I207" s="521">
        <f>G207</f>
        <v/>
      </c>
      <c r="K207" s="521">
        <f>I207-G207</f>
        <v/>
      </c>
      <c r="M207" s="522" t="inlineStr">
        <is>
          <t>IN2021010070</t>
        </is>
      </c>
      <c r="N207" s="522" t="inlineStr">
        <is>
          <t>IN2021010070</t>
        </is>
      </c>
      <c r="O207" s="521">
        <f>M207=N207</f>
        <v/>
      </c>
      <c r="P207" s="521">
        <f>AND(MONTH(F207)=MONTH(S207), YEAR(F207)=YEAR(S207))</f>
        <v/>
      </c>
      <c r="Q207" s="521">
        <f>U207="L001-901905215"</f>
        <v/>
      </c>
      <c r="R207" s="556">
        <f>G207-W207</f>
        <v/>
      </c>
      <c r="S207" s="523" t="n">
        <v>44225</v>
      </c>
      <c r="T207" s="522" t="inlineStr">
        <is>
          <t>IN202101-0070</t>
        </is>
      </c>
      <c r="U207" s="522" t="inlineStr">
        <is>
          <t>L001-901905215</t>
        </is>
      </c>
      <c r="V207" s="522" t="inlineStr">
        <is>
          <t>វីអ៊ីស៊ិន (ខេមបូឌា) អ៊ិនដាសស្ទ្រី ឯ.ក</t>
        </is>
      </c>
      <c r="W207" s="556" t="n">
        <v>313005</v>
      </c>
    </row>
    <row r="208">
      <c r="A208" s="521" t="n">
        <v>200</v>
      </c>
      <c r="B208" s="522" t="n"/>
      <c r="C208" s="522" t="inlineStr">
        <is>
          <t>56ប៊ី-លីង សឹបផ្លាយ ឆេន មេនេចម៉ិន ឯ.ក</t>
        </is>
      </c>
      <c r="D208" s="522" t="inlineStr">
        <is>
          <t>K004-902004795</t>
        </is>
      </c>
      <c r="E208" s="521" t="inlineStr">
        <is>
          <t>IN202101-0069</t>
        </is>
      </c>
      <c r="F208" s="523" t="n">
        <v>44225</v>
      </c>
      <c r="G208" s="556" t="n">
        <v>414630</v>
      </c>
      <c r="I208" s="521">
        <f>G208</f>
        <v/>
      </c>
      <c r="K208" s="521">
        <f>I208-G208</f>
        <v/>
      </c>
      <c r="M208" s="522" t="inlineStr">
        <is>
          <t>IN2021010069</t>
        </is>
      </c>
      <c r="N208" s="522" t="inlineStr">
        <is>
          <t>IN2021010069</t>
        </is>
      </c>
      <c r="O208" s="521">
        <f>M208=N208</f>
        <v/>
      </c>
      <c r="P208" s="521">
        <f>AND(MONTH(F208)=MONTH(S208), YEAR(F208)=YEAR(S208))</f>
        <v/>
      </c>
      <c r="Q208" s="521">
        <f>U208="L001-901905215"</f>
        <v/>
      </c>
      <c r="R208" s="556">
        <f>G208-W208</f>
        <v/>
      </c>
      <c r="S208" s="523" t="n">
        <v>44225</v>
      </c>
      <c r="T208" s="522" t="inlineStr">
        <is>
          <t>IN202101-0069</t>
        </is>
      </c>
      <c r="U208" s="522" t="inlineStr">
        <is>
          <t>L001-901905215</t>
        </is>
      </c>
      <c r="V208" s="522" t="inlineStr">
        <is>
          <t>វីអ៊ីស៊ិន (ខេមបូឌា) អ៊ិនដាសស្ទ្រី ឯ.ក</t>
        </is>
      </c>
      <c r="W208" s="556" t="n">
        <v>414630</v>
      </c>
    </row>
    <row r="209">
      <c r="A209" s="521" t="n">
        <v>201</v>
      </c>
      <c r="B209" s="522" t="n"/>
      <c r="C209" s="522" t="inlineStr">
        <is>
          <t>56ប៊ី-លីង សឹបផ្លាយ ឆេន មេនេចម៉ិន ឯ.ក</t>
        </is>
      </c>
      <c r="D209" s="522" t="inlineStr">
        <is>
          <t>K004-902004795</t>
        </is>
      </c>
      <c r="E209" s="521" t="inlineStr">
        <is>
          <t>IN202101-0068</t>
        </is>
      </c>
      <c r="F209" s="523" t="n">
        <v>44225</v>
      </c>
      <c r="G209" s="556" t="n">
        <v>313005</v>
      </c>
      <c r="I209" s="521">
        <f>G209</f>
        <v/>
      </c>
      <c r="K209" s="521">
        <f>I209-G209</f>
        <v/>
      </c>
      <c r="M209" s="522" t="inlineStr">
        <is>
          <t>IN2021010068</t>
        </is>
      </c>
      <c r="N209" s="522" t="inlineStr">
        <is>
          <t>IN2021010068</t>
        </is>
      </c>
      <c r="O209" s="521">
        <f>M209=N209</f>
        <v/>
      </c>
      <c r="P209" s="521">
        <f>AND(MONTH(F209)=MONTH(S209), YEAR(F209)=YEAR(S209))</f>
        <v/>
      </c>
      <c r="Q209" s="521">
        <f>U209="L001-901905215"</f>
        <v/>
      </c>
      <c r="R209" s="556">
        <f>G209-W209</f>
        <v/>
      </c>
      <c r="S209" s="523" t="n">
        <v>44225</v>
      </c>
      <c r="T209" s="522" t="inlineStr">
        <is>
          <t>IN202101-0068</t>
        </is>
      </c>
      <c r="U209" s="522" t="inlineStr">
        <is>
          <t>L001-901905215</t>
        </is>
      </c>
      <c r="V209" s="522" t="inlineStr">
        <is>
          <t>វីអ៊ីស៊ិន (ខេមបូឌា) អ៊ិនដាសស្ទ្រី ឯ.ក</t>
        </is>
      </c>
      <c r="W209" s="556" t="n">
        <v>313005</v>
      </c>
    </row>
    <row r="210">
      <c r="A210" s="521" t="n">
        <v>202</v>
      </c>
      <c r="B210" s="522" t="n"/>
      <c r="C210" s="522" t="inlineStr">
        <is>
          <t>56ប៊ី-លីង សឹបផ្លាយ ឆេន មេនេចម៉ិន ឯ.ក</t>
        </is>
      </c>
      <c r="D210" s="522" t="inlineStr">
        <is>
          <t>K004-902004795</t>
        </is>
      </c>
      <c r="E210" s="521" t="inlineStr">
        <is>
          <t>IN202101-0067</t>
        </is>
      </c>
      <c r="F210" s="523" t="n">
        <v>44225</v>
      </c>
      <c r="G210" s="556" t="n">
        <v>351623</v>
      </c>
      <c r="I210" s="521">
        <f>G210</f>
        <v/>
      </c>
      <c r="K210" s="521">
        <f>I210-G210</f>
        <v/>
      </c>
      <c r="M210" s="522" t="inlineStr">
        <is>
          <t>IN2021010067</t>
        </is>
      </c>
      <c r="N210" s="522" t="inlineStr">
        <is>
          <t>IN2021010067</t>
        </is>
      </c>
      <c r="O210" s="521">
        <f>M210=N210</f>
        <v/>
      </c>
      <c r="P210" s="521">
        <f>AND(MONTH(F210)=MONTH(S210), YEAR(F210)=YEAR(S210))</f>
        <v/>
      </c>
      <c r="Q210" s="521">
        <f>U210="L001-901905215"</f>
        <v/>
      </c>
      <c r="R210" s="556">
        <f>G210-W210</f>
        <v/>
      </c>
      <c r="S210" s="523" t="n">
        <v>44225</v>
      </c>
      <c r="T210" s="522" t="inlineStr">
        <is>
          <t>IN202101-0067</t>
        </is>
      </c>
      <c r="U210" s="522" t="inlineStr">
        <is>
          <t>L001-901905215</t>
        </is>
      </c>
      <c r="V210" s="522" t="inlineStr">
        <is>
          <t>វីអ៊ីស៊ិន (ខេមបូឌា) អ៊ិនដាសស្ទ្រី ឯ.ក</t>
        </is>
      </c>
      <c r="W210" s="556" t="n">
        <v>351622</v>
      </c>
    </row>
    <row r="211">
      <c r="A211" s="521" t="n">
        <v>203</v>
      </c>
      <c r="B211" s="522" t="n"/>
      <c r="C211" s="522" t="inlineStr">
        <is>
          <t>56ប៊ី-លីង សឹបផ្លាយ ឆេន មេនេចម៉ិន ឯ.ក</t>
        </is>
      </c>
      <c r="D211" s="522" t="inlineStr">
        <is>
          <t>K004-902004795</t>
        </is>
      </c>
      <c r="E211" s="521" t="inlineStr">
        <is>
          <t>IN202101-0066</t>
        </is>
      </c>
      <c r="F211" s="523" t="n">
        <v>44225</v>
      </c>
      <c r="G211" s="556" t="n">
        <v>213413</v>
      </c>
      <c r="I211" s="521">
        <f>G211</f>
        <v/>
      </c>
      <c r="K211" s="521">
        <f>I211-G211</f>
        <v/>
      </c>
      <c r="M211" s="522" t="inlineStr">
        <is>
          <t>IN2021010066</t>
        </is>
      </c>
      <c r="N211" s="522" t="inlineStr">
        <is>
          <t>IN2021010066</t>
        </is>
      </c>
      <c r="O211" s="521">
        <f>M211=N211</f>
        <v/>
      </c>
      <c r="P211" s="521">
        <f>AND(MONTH(F211)=MONTH(S211), YEAR(F211)=YEAR(S211))</f>
        <v/>
      </c>
      <c r="Q211" s="521">
        <f>U211="L001-901905215"</f>
        <v/>
      </c>
      <c r="R211" s="556">
        <f>G211-W211</f>
        <v/>
      </c>
      <c r="S211" s="523" t="n">
        <v>44225</v>
      </c>
      <c r="T211" s="522" t="inlineStr">
        <is>
          <t>IN202101-0066</t>
        </is>
      </c>
      <c r="U211" s="522" t="inlineStr">
        <is>
          <t>L001-901905215</t>
        </is>
      </c>
      <c r="V211" s="522" t="inlineStr">
        <is>
          <t>វីអ៊ីស៊ិន (ខេមបូឌា) អ៊ិនដាសស្ទ្រី ឯ.ក</t>
        </is>
      </c>
      <c r="W211" s="556" t="n">
        <v>213412</v>
      </c>
    </row>
    <row r="212">
      <c r="A212" s="521" t="n">
        <v>204</v>
      </c>
      <c r="B212" s="522" t="n"/>
      <c r="C212" s="522" t="inlineStr">
        <is>
          <t>56ប៊ី-លីង សឹបផ្លាយ ឆេន មេនេចម៉ិន ឯ.ក</t>
        </is>
      </c>
      <c r="D212" s="522" t="inlineStr">
        <is>
          <t>K004-902004795</t>
        </is>
      </c>
      <c r="E212" s="521" t="inlineStr">
        <is>
          <t>IN202101-0065</t>
        </is>
      </c>
      <c r="F212" s="523" t="n">
        <v>44225</v>
      </c>
      <c r="G212" s="556" t="n">
        <v>213413</v>
      </c>
      <c r="I212" s="521">
        <f>G212</f>
        <v/>
      </c>
      <c r="K212" s="521">
        <f>I212-G212</f>
        <v/>
      </c>
      <c r="M212" s="522" t="inlineStr">
        <is>
          <t>IN2021010065</t>
        </is>
      </c>
      <c r="N212" s="522" t="inlineStr">
        <is>
          <t>IN2021010065</t>
        </is>
      </c>
      <c r="O212" s="521">
        <f>M212=N212</f>
        <v/>
      </c>
      <c r="P212" s="521">
        <f>AND(MONTH(F212)=MONTH(S212), YEAR(F212)=YEAR(S212))</f>
        <v/>
      </c>
      <c r="Q212" s="521">
        <f>U212="L001-901905215"</f>
        <v/>
      </c>
      <c r="R212" s="556">
        <f>G212-W212</f>
        <v/>
      </c>
      <c r="S212" s="523" t="n">
        <v>44225</v>
      </c>
      <c r="T212" s="522" t="inlineStr">
        <is>
          <t>IN202101-0065</t>
        </is>
      </c>
      <c r="U212" s="522" t="inlineStr">
        <is>
          <t>L001-901905215</t>
        </is>
      </c>
      <c r="V212" s="522" t="inlineStr">
        <is>
          <t>វីអ៊ីស៊ិន (ខេមបូឌា) អ៊ិនដាសស្ទ្រី ឯ.ក</t>
        </is>
      </c>
      <c r="W212" s="556" t="n">
        <v>213412</v>
      </c>
    </row>
    <row r="213">
      <c r="A213" s="521" t="n">
        <v>205</v>
      </c>
      <c r="B213" s="522" t="n"/>
      <c r="C213" s="522" t="inlineStr">
        <is>
          <t>56ប៊ី-លីង សឹបផ្លាយ ឆេន មេនេចម៉ិន ឯ.ក</t>
        </is>
      </c>
      <c r="D213" s="522" t="inlineStr">
        <is>
          <t>K004-902004795</t>
        </is>
      </c>
      <c r="E213" s="521" t="inlineStr">
        <is>
          <t>IN202101-0064</t>
        </is>
      </c>
      <c r="F213" s="523" t="n">
        <v>44225</v>
      </c>
      <c r="G213" s="556" t="n">
        <v>213413</v>
      </c>
      <c r="I213" s="521">
        <f>G213</f>
        <v/>
      </c>
      <c r="K213" s="521">
        <f>I213-G213</f>
        <v/>
      </c>
      <c r="M213" s="522" t="inlineStr">
        <is>
          <t>IN2021010064</t>
        </is>
      </c>
      <c r="N213" s="522" t="inlineStr">
        <is>
          <t>IN2021010064</t>
        </is>
      </c>
      <c r="O213" s="521">
        <f>M213=N213</f>
        <v/>
      </c>
      <c r="P213" s="521">
        <f>AND(MONTH(F213)=MONTH(S213), YEAR(F213)=YEAR(S213))</f>
        <v/>
      </c>
      <c r="Q213" s="521">
        <f>U213="L001-901905215"</f>
        <v/>
      </c>
      <c r="R213" s="556">
        <f>G213-W213</f>
        <v/>
      </c>
      <c r="S213" s="523" t="n">
        <v>44225</v>
      </c>
      <c r="T213" s="522" t="inlineStr">
        <is>
          <t>IN202101-0064</t>
        </is>
      </c>
      <c r="U213" s="522" t="inlineStr">
        <is>
          <t>L001-901905215</t>
        </is>
      </c>
      <c r="V213" s="522" t="inlineStr">
        <is>
          <t>វីអ៊ីស៊ិន (ខេមបូឌា) អ៊ិនដាសស្ទ្រី ឯ.ក</t>
        </is>
      </c>
      <c r="W213" s="556" t="n">
        <v>213412</v>
      </c>
    </row>
    <row r="214">
      <c r="A214" s="521" t="n">
        <v>206</v>
      </c>
      <c r="B214" s="522" t="n"/>
      <c r="C214" s="522" t="inlineStr">
        <is>
          <t>56ប៊ី-លីង សឹបផ្លាយ ឆេន មេនេចម៉ិន ឯ.ក</t>
        </is>
      </c>
      <c r="D214" s="522" t="inlineStr">
        <is>
          <t>K004-902004795</t>
        </is>
      </c>
      <c r="E214" s="521" t="inlineStr">
        <is>
          <t>IN202101-0063</t>
        </is>
      </c>
      <c r="F214" s="523" t="n">
        <v>44225</v>
      </c>
      <c r="G214" s="556" t="n">
        <v>270323</v>
      </c>
      <c r="I214" s="521">
        <f>G214</f>
        <v/>
      </c>
      <c r="K214" s="521">
        <f>I214-G214</f>
        <v/>
      </c>
      <c r="M214" s="522" t="inlineStr">
        <is>
          <t>IN2021010063</t>
        </is>
      </c>
      <c r="N214" s="522" t="inlineStr">
        <is>
          <t>IN2021010063</t>
        </is>
      </c>
      <c r="O214" s="521">
        <f>M214=N214</f>
        <v/>
      </c>
      <c r="P214" s="521">
        <f>AND(MONTH(F214)=MONTH(S214), YEAR(F214)=YEAR(S214))</f>
        <v/>
      </c>
      <c r="Q214" s="521">
        <f>U214="L001-901905215"</f>
        <v/>
      </c>
      <c r="R214" s="556">
        <f>G214-W214</f>
        <v/>
      </c>
      <c r="S214" s="523" t="n">
        <v>44225</v>
      </c>
      <c r="T214" s="522" t="inlineStr">
        <is>
          <t>IN202101-0063</t>
        </is>
      </c>
      <c r="U214" s="522" t="inlineStr">
        <is>
          <t>L001-901905215</t>
        </is>
      </c>
      <c r="V214" s="522" t="inlineStr">
        <is>
          <t>វីអ៊ីស៊ិន (ខេមបូឌា) អ៊ិនដាសស្ទ្រី ឯ.ក</t>
        </is>
      </c>
      <c r="W214" s="556" t="n">
        <v>270322</v>
      </c>
    </row>
    <row r="215">
      <c r="A215" s="521" t="n">
        <v>207</v>
      </c>
      <c r="B215" s="522" t="n"/>
      <c r="C215" s="522" t="inlineStr">
        <is>
          <t>56ប៊ី-លីង សឹបផ្លាយ ឆេន មេនេចម៉ិន ឯ.ក</t>
        </is>
      </c>
      <c r="D215" s="522" t="inlineStr">
        <is>
          <t>K004-902004795</t>
        </is>
      </c>
      <c r="E215" s="521" t="inlineStr">
        <is>
          <t>IN202101-0062</t>
        </is>
      </c>
      <c r="F215" s="523" t="n">
        <v>44225</v>
      </c>
      <c r="G215" s="556" t="n">
        <v>483735</v>
      </c>
      <c r="I215" s="521">
        <f>G215</f>
        <v/>
      </c>
      <c r="K215" s="521">
        <f>I215-G215</f>
        <v/>
      </c>
      <c r="M215" s="522" t="inlineStr">
        <is>
          <t>IN2021010062</t>
        </is>
      </c>
      <c r="N215" s="522" t="inlineStr">
        <is>
          <t>IN2021010062</t>
        </is>
      </c>
      <c r="O215" s="521">
        <f>M215=N215</f>
        <v/>
      </c>
      <c r="P215" s="521">
        <f>AND(MONTH(F215)=MONTH(S215), YEAR(F215)=YEAR(S215))</f>
        <v/>
      </c>
      <c r="Q215" s="521">
        <f>U215="L001-901905215"</f>
        <v/>
      </c>
      <c r="R215" s="556">
        <f>G215-W215</f>
        <v/>
      </c>
      <c r="S215" s="523" t="n">
        <v>44225</v>
      </c>
      <c r="T215" s="522" t="inlineStr">
        <is>
          <t>IN202101-0062</t>
        </is>
      </c>
      <c r="U215" s="522" t="inlineStr">
        <is>
          <t>L001-901905215</t>
        </is>
      </c>
      <c r="V215" s="522" t="inlineStr">
        <is>
          <t>វីអ៊ីស៊ិន (ខេមបូឌា) អ៊ិនដាសស្ទ្រី ឯ.ក</t>
        </is>
      </c>
      <c r="W215" s="556" t="n">
        <v>483735</v>
      </c>
    </row>
    <row r="216">
      <c r="A216" s="521" t="n">
        <v>208</v>
      </c>
      <c r="B216" s="522" t="n"/>
      <c r="C216" s="522" t="inlineStr">
        <is>
          <t>56ប៊ី-លីង សឹបផ្លាយ ឆេន មេនេចម៉ិន ឯ.ក</t>
        </is>
      </c>
      <c r="D216" s="522" t="inlineStr">
        <is>
          <t>K004-902004795</t>
        </is>
      </c>
      <c r="E216" s="521" t="inlineStr">
        <is>
          <t>IN202101-0061</t>
        </is>
      </c>
      <c r="F216" s="523" t="n">
        <v>44225</v>
      </c>
      <c r="G216" s="556" t="n">
        <v>270323</v>
      </c>
      <c r="I216" s="521">
        <f>G216</f>
        <v/>
      </c>
      <c r="K216" s="521">
        <f>I216-G216</f>
        <v/>
      </c>
      <c r="M216" s="522" t="inlineStr">
        <is>
          <t>IN2021010061</t>
        </is>
      </c>
      <c r="N216" s="522" t="inlineStr">
        <is>
          <t>IN2021010061</t>
        </is>
      </c>
      <c r="O216" s="521">
        <f>M216=N216</f>
        <v/>
      </c>
      <c r="P216" s="521">
        <f>AND(MONTH(F216)=MONTH(S216), YEAR(F216)=YEAR(S216))</f>
        <v/>
      </c>
      <c r="Q216" s="521">
        <f>U216="L001-901905215"</f>
        <v/>
      </c>
      <c r="R216" s="556">
        <f>G216-W216</f>
        <v/>
      </c>
      <c r="S216" s="523" t="n">
        <v>44225</v>
      </c>
      <c r="T216" s="522" t="inlineStr">
        <is>
          <t>IN202101-0061</t>
        </is>
      </c>
      <c r="U216" s="522" t="inlineStr">
        <is>
          <t>L001-901905215</t>
        </is>
      </c>
      <c r="V216" s="522" t="inlineStr">
        <is>
          <t>វីអ៊ីស៊ិន (ខេមបូឌា) អ៊ិនដាសស្ទ្រី ឯ.ក</t>
        </is>
      </c>
      <c r="W216" s="556" t="n">
        <v>270322</v>
      </c>
    </row>
    <row r="217">
      <c r="A217" s="521" t="n">
        <v>209</v>
      </c>
      <c r="B217" s="522" t="n"/>
      <c r="C217" s="522" t="inlineStr">
        <is>
          <t>56ប៊ី-លីង សឹបផ្លាយ ឆេន មេនេចម៉ិន ឯ.ក</t>
        </is>
      </c>
      <c r="D217" s="522" t="inlineStr">
        <is>
          <t>K004-902004795</t>
        </is>
      </c>
      <c r="E217" s="521" t="inlineStr">
        <is>
          <t>IN202101-0060</t>
        </is>
      </c>
      <c r="F217" s="523" t="n">
        <v>44225</v>
      </c>
      <c r="G217" s="556" t="n">
        <v>270323</v>
      </c>
      <c r="I217" s="521">
        <f>G217</f>
        <v/>
      </c>
      <c r="K217" s="521">
        <f>I217-G217</f>
        <v/>
      </c>
      <c r="M217" s="522" t="inlineStr">
        <is>
          <t>IN2021010060</t>
        </is>
      </c>
      <c r="N217" s="522" t="inlineStr">
        <is>
          <t>IN2021010060</t>
        </is>
      </c>
      <c r="O217" s="521">
        <f>M217=N217</f>
        <v/>
      </c>
      <c r="P217" s="521">
        <f>AND(MONTH(F217)=MONTH(S217), YEAR(F217)=YEAR(S217))</f>
        <v/>
      </c>
      <c r="Q217" s="521">
        <f>U217="L001-901905215"</f>
        <v/>
      </c>
      <c r="R217" s="556">
        <f>G217-W217</f>
        <v/>
      </c>
      <c r="S217" s="523" t="n">
        <v>44225</v>
      </c>
      <c r="T217" s="522" t="inlineStr">
        <is>
          <t>IN202101-0060</t>
        </is>
      </c>
      <c r="U217" s="522" t="inlineStr">
        <is>
          <t>L001-901905215</t>
        </is>
      </c>
      <c r="V217" s="522" t="inlineStr">
        <is>
          <t>វីអ៊ីស៊ិន (ខេមបូឌា) អ៊ិនដាសស្ទ្រី ឯ.ក</t>
        </is>
      </c>
      <c r="W217" s="556" t="n">
        <v>270322</v>
      </c>
    </row>
    <row r="218">
      <c r="A218" s="521" t="n">
        <v>210</v>
      </c>
      <c r="B218" s="522" t="n"/>
      <c r="C218" s="522" t="inlineStr">
        <is>
          <t>56ប៊ី-លីង សឹបផ្លាយ ឆេន មេនេចម៉ិន ឯ.ក</t>
        </is>
      </c>
      <c r="D218" s="522" t="inlineStr">
        <is>
          <t>K004-902004795</t>
        </is>
      </c>
      <c r="E218" s="521" t="inlineStr">
        <is>
          <t>IN202101-0059</t>
        </is>
      </c>
      <c r="F218" s="523" t="n">
        <v>44225</v>
      </c>
      <c r="G218" s="556" t="n">
        <v>483735</v>
      </c>
      <c r="I218" s="521">
        <f>G218</f>
        <v/>
      </c>
      <c r="K218" s="521">
        <f>I218-G218</f>
        <v/>
      </c>
      <c r="M218" s="522" t="inlineStr">
        <is>
          <t>IN2021010059</t>
        </is>
      </c>
      <c r="N218" s="522" t="inlineStr">
        <is>
          <t>IN2021010059</t>
        </is>
      </c>
      <c r="O218" s="521">
        <f>M218=N218</f>
        <v/>
      </c>
      <c r="P218" s="521">
        <f>AND(MONTH(F218)=MONTH(S218), YEAR(F218)=YEAR(S218))</f>
        <v/>
      </c>
      <c r="Q218" s="521">
        <f>U218="L001-901905215"</f>
        <v/>
      </c>
      <c r="R218" s="556">
        <f>G218-W218</f>
        <v/>
      </c>
      <c r="S218" s="523" t="n">
        <v>44225</v>
      </c>
      <c r="T218" s="522" t="inlineStr">
        <is>
          <t>IN202101-0059</t>
        </is>
      </c>
      <c r="U218" s="522" t="inlineStr">
        <is>
          <t>L001-901905215</t>
        </is>
      </c>
      <c r="V218" s="522" t="inlineStr">
        <is>
          <t>វីអ៊ីស៊ិន (ខេមបូឌា) អ៊ិនដាសស្ទ្រី ឯ.ក</t>
        </is>
      </c>
      <c r="W218" s="556" t="n">
        <v>483735</v>
      </c>
    </row>
    <row r="219">
      <c r="A219" s="521" t="n">
        <v>211</v>
      </c>
      <c r="B219" s="522" t="n"/>
      <c r="C219" s="522" t="inlineStr">
        <is>
          <t>56ប៊ី-លីង សឹបផ្លាយ ឆេន មេនេចម៉ិន ឯ.ក</t>
        </is>
      </c>
      <c r="D219" s="522" t="inlineStr">
        <is>
          <t>K004-902004795</t>
        </is>
      </c>
      <c r="E219" s="521" t="inlineStr">
        <is>
          <t>IN202101-0058</t>
        </is>
      </c>
      <c r="F219" s="523" t="n">
        <v>44225</v>
      </c>
      <c r="G219" s="556" t="n">
        <v>258128</v>
      </c>
      <c r="I219" s="521">
        <f>G219</f>
        <v/>
      </c>
      <c r="K219" s="521">
        <f>I219-G219</f>
        <v/>
      </c>
      <c r="M219" s="522" t="inlineStr">
        <is>
          <t>IN2021010058</t>
        </is>
      </c>
      <c r="N219" s="522" t="inlineStr">
        <is>
          <t>IN2021010058</t>
        </is>
      </c>
      <c r="O219" s="521">
        <f>M219=N219</f>
        <v/>
      </c>
      <c r="P219" s="521">
        <f>AND(MONTH(F219)=MONTH(S219), YEAR(F219)=YEAR(S219))</f>
        <v/>
      </c>
      <c r="Q219" s="521">
        <f>U219="L001-901905215"</f>
        <v/>
      </c>
      <c r="R219" s="556">
        <f>G219-W219</f>
        <v/>
      </c>
      <c r="S219" s="523" t="n">
        <v>44225</v>
      </c>
      <c r="T219" s="522" t="inlineStr">
        <is>
          <t>IN202101-0058</t>
        </is>
      </c>
      <c r="U219" s="522" t="inlineStr">
        <is>
          <t>L001-901905215</t>
        </is>
      </c>
      <c r="V219" s="522" t="inlineStr">
        <is>
          <t>វីអ៊ីស៊ិន (ខេមបូឌា) អ៊ិនដាសស្ទ្រី ឯ.ក</t>
        </is>
      </c>
      <c r="W219" s="556" t="n">
        <v>258127</v>
      </c>
    </row>
    <row r="220">
      <c r="A220" s="521" t="n">
        <v>212</v>
      </c>
      <c r="B220" s="522" t="n"/>
      <c r="C220" s="522" t="inlineStr">
        <is>
          <t>56ប៊ី-លីង សឹបផ្លាយ ឆេន មេនេចម៉ិន ឯ.ក</t>
        </is>
      </c>
      <c r="D220" s="522" t="inlineStr">
        <is>
          <t>K004-902004795</t>
        </is>
      </c>
      <c r="E220" s="521" t="inlineStr">
        <is>
          <t>IN202101-0057</t>
        </is>
      </c>
      <c r="F220" s="523" t="n">
        <v>44225</v>
      </c>
      <c r="G220" s="556" t="n">
        <v>910560</v>
      </c>
      <c r="I220" s="521">
        <f>G220</f>
        <v/>
      </c>
      <c r="K220" s="521">
        <f>I220-G220</f>
        <v/>
      </c>
      <c r="M220" s="522" t="inlineStr">
        <is>
          <t>IN2021010057</t>
        </is>
      </c>
      <c r="N220" s="522" t="inlineStr">
        <is>
          <t>IN2021010057</t>
        </is>
      </c>
      <c r="O220" s="521">
        <f>M220=N220</f>
        <v/>
      </c>
      <c r="P220" s="521">
        <f>AND(MONTH(F220)=MONTH(S220), YEAR(F220)=YEAR(S220))</f>
        <v/>
      </c>
      <c r="Q220" s="521">
        <f>U220="L001-901905215"</f>
        <v/>
      </c>
      <c r="R220" s="556">
        <f>G220-W220</f>
        <v/>
      </c>
      <c r="S220" s="523" t="n">
        <v>44225</v>
      </c>
      <c r="T220" s="522" t="inlineStr">
        <is>
          <t>IN202101-0057</t>
        </is>
      </c>
      <c r="U220" s="522" t="inlineStr">
        <is>
          <t>L001-901905215</t>
        </is>
      </c>
      <c r="V220" s="522" t="inlineStr">
        <is>
          <t>វីអ៊ីស៊ិន (ខេមបូឌា) អ៊ិនដាសស្ទ្រី ឯ.ក</t>
        </is>
      </c>
      <c r="W220" s="556" t="n">
        <v>910560</v>
      </c>
    </row>
    <row r="221">
      <c r="A221" s="521" t="n">
        <v>213</v>
      </c>
      <c r="B221" s="522" t="n"/>
      <c r="C221" s="522" t="inlineStr">
        <is>
          <t>56ប៊ី-លីង សឹបផ្លាយ ឆេន មេនេចម៉ិន ឯ.ក</t>
        </is>
      </c>
      <c r="D221" s="522" t="inlineStr">
        <is>
          <t>K004-902004795</t>
        </is>
      </c>
      <c r="E221" s="521" t="inlineStr">
        <is>
          <t>IN202101-0056</t>
        </is>
      </c>
      <c r="F221" s="523" t="n">
        <v>44225</v>
      </c>
      <c r="G221" s="556" t="n">
        <v>270323</v>
      </c>
      <c r="I221" s="521">
        <f>G221</f>
        <v/>
      </c>
      <c r="K221" s="521">
        <f>I221-G221</f>
        <v/>
      </c>
      <c r="M221" s="522" t="inlineStr">
        <is>
          <t>IN2021010056</t>
        </is>
      </c>
      <c r="N221" s="522" t="inlineStr">
        <is>
          <t>IN2021010056</t>
        </is>
      </c>
      <c r="O221" s="521">
        <f>M221=N221</f>
        <v/>
      </c>
      <c r="P221" s="521">
        <f>AND(MONTH(F221)=MONTH(S221), YEAR(F221)=YEAR(S221))</f>
        <v/>
      </c>
      <c r="Q221" s="521">
        <f>U221="L001-901905215"</f>
        <v/>
      </c>
      <c r="R221" s="556">
        <f>G221-W221</f>
        <v/>
      </c>
      <c r="S221" s="523" t="n">
        <v>44225</v>
      </c>
      <c r="T221" s="522" t="inlineStr">
        <is>
          <t>IN202101-0056</t>
        </is>
      </c>
      <c r="U221" s="522" t="inlineStr">
        <is>
          <t>L001-901905215</t>
        </is>
      </c>
      <c r="V221" s="522" t="inlineStr">
        <is>
          <t>វីអ៊ីស៊ិន (ខេមបូឌា) អ៊ិនដាសស្ទ្រី ឯ.ក</t>
        </is>
      </c>
      <c r="W221" s="556" t="n">
        <v>270322</v>
      </c>
    </row>
    <row r="222">
      <c r="A222" s="521" t="n">
        <v>214</v>
      </c>
      <c r="B222" s="522" t="n"/>
      <c r="C222" s="522" t="inlineStr">
        <is>
          <t>56ប៊ី-លីង សឹបផ្លាយ ឆេន មេនេចម៉ិន ឯ.ក</t>
        </is>
      </c>
      <c r="D222" s="522" t="inlineStr">
        <is>
          <t>K004-902004795</t>
        </is>
      </c>
      <c r="E222" s="521" t="inlineStr">
        <is>
          <t>IN202101-0055</t>
        </is>
      </c>
      <c r="F222" s="523" t="n">
        <v>44225</v>
      </c>
      <c r="G222" s="556" t="n">
        <v>270323</v>
      </c>
      <c r="I222" s="521">
        <f>G222</f>
        <v/>
      </c>
      <c r="K222" s="521">
        <f>I222-G222</f>
        <v/>
      </c>
      <c r="M222" s="522" t="inlineStr">
        <is>
          <t>IN2021010055</t>
        </is>
      </c>
      <c r="N222" s="522" t="inlineStr">
        <is>
          <t>IN2021010055</t>
        </is>
      </c>
      <c r="O222" s="521">
        <f>M222=N222</f>
        <v/>
      </c>
      <c r="P222" s="521">
        <f>AND(MONTH(F222)=MONTH(S222), YEAR(F222)=YEAR(S222))</f>
        <v/>
      </c>
      <c r="Q222" s="521">
        <f>U222="L001-901905215"</f>
        <v/>
      </c>
      <c r="R222" s="556">
        <f>G222-W222</f>
        <v/>
      </c>
      <c r="S222" s="523" t="n">
        <v>44225</v>
      </c>
      <c r="T222" s="522" t="inlineStr">
        <is>
          <t>IN202101-0055</t>
        </is>
      </c>
      <c r="U222" s="522" t="inlineStr">
        <is>
          <t>L001-901905215</t>
        </is>
      </c>
      <c r="V222" s="522" t="inlineStr">
        <is>
          <t>វីអ៊ីស៊ិន (ខេមបូឌា) អ៊ិនដាសស្ទ្រី ឯ.ក</t>
        </is>
      </c>
      <c r="W222" s="556" t="n">
        <v>270322</v>
      </c>
    </row>
    <row r="223">
      <c r="A223" s="521" t="n">
        <v>215</v>
      </c>
      <c r="B223" s="522" t="n"/>
      <c r="C223" s="522" t="inlineStr">
        <is>
          <t>56ប៊ី-លីង សឹបផ្លាយ ឆេន មេនេចម៉ិន ឯ.ក</t>
        </is>
      </c>
      <c r="D223" s="522" t="inlineStr">
        <is>
          <t>K004-902004795</t>
        </is>
      </c>
      <c r="E223" s="521" t="inlineStr">
        <is>
          <t>IN202101-0054</t>
        </is>
      </c>
      <c r="F223" s="523" t="n">
        <v>44225</v>
      </c>
      <c r="G223" s="556" t="n">
        <v>270323</v>
      </c>
      <c r="I223" s="521">
        <f>G223</f>
        <v/>
      </c>
      <c r="K223" s="521">
        <f>I223-G223</f>
        <v/>
      </c>
      <c r="M223" s="522" t="inlineStr">
        <is>
          <t>IN2021010054</t>
        </is>
      </c>
      <c r="N223" s="522" t="inlineStr">
        <is>
          <t>IN2021010054</t>
        </is>
      </c>
      <c r="O223" s="521">
        <f>M223=N223</f>
        <v/>
      </c>
      <c r="P223" s="521">
        <f>AND(MONTH(F223)=MONTH(S223), YEAR(F223)=YEAR(S223))</f>
        <v/>
      </c>
      <c r="Q223" s="521">
        <f>U223="L001-901905215"</f>
        <v/>
      </c>
      <c r="R223" s="556">
        <f>G223-W223</f>
        <v/>
      </c>
      <c r="S223" s="523" t="n">
        <v>44225</v>
      </c>
      <c r="T223" s="522" t="inlineStr">
        <is>
          <t>IN202101-0054</t>
        </is>
      </c>
      <c r="U223" s="522" t="inlineStr">
        <is>
          <t>L001-901905215</t>
        </is>
      </c>
      <c r="V223" s="522" t="inlineStr">
        <is>
          <t>វីអ៊ីស៊ិន (ខេមបូឌា) អ៊ិនដាសស្ទ្រី ឯ.ក</t>
        </is>
      </c>
      <c r="W223" s="556" t="n">
        <v>270322</v>
      </c>
    </row>
    <row r="224">
      <c r="A224" s="521" t="n">
        <v>216</v>
      </c>
      <c r="B224" s="522" t="n"/>
      <c r="C224" s="522" t="inlineStr">
        <is>
          <t>56ប៊ី-លីង សឹបផ្លាយ ឆេន មេនេចម៉ិន ឯ.ក</t>
        </is>
      </c>
      <c r="D224" s="522" t="inlineStr">
        <is>
          <t>K004-902004795</t>
        </is>
      </c>
      <c r="E224" s="521" t="inlineStr">
        <is>
          <t>IN202101-0053</t>
        </is>
      </c>
      <c r="F224" s="523" t="n">
        <v>44225</v>
      </c>
      <c r="G224" s="556" t="n">
        <v>270323</v>
      </c>
      <c r="I224" s="521">
        <f>G224</f>
        <v/>
      </c>
      <c r="K224" s="521">
        <f>I224-G224</f>
        <v/>
      </c>
      <c r="M224" s="522" t="inlineStr">
        <is>
          <t>IN2021010053</t>
        </is>
      </c>
      <c r="N224" s="522" t="inlineStr">
        <is>
          <t>IN2021010053</t>
        </is>
      </c>
      <c r="O224" s="521">
        <f>M224=N224</f>
        <v/>
      </c>
      <c r="P224" s="521">
        <f>AND(MONTH(F224)=MONTH(S224), YEAR(F224)=YEAR(S224))</f>
        <v/>
      </c>
      <c r="Q224" s="521">
        <f>U224="L001-901905215"</f>
        <v/>
      </c>
      <c r="R224" s="556">
        <f>G224-W224</f>
        <v/>
      </c>
      <c r="S224" s="523" t="n">
        <v>44225</v>
      </c>
      <c r="T224" s="522" t="inlineStr">
        <is>
          <t>IN202101-0053</t>
        </is>
      </c>
      <c r="U224" s="522" t="inlineStr">
        <is>
          <t>L001-901905215</t>
        </is>
      </c>
      <c r="V224" s="522" t="inlineStr">
        <is>
          <t>វីអ៊ីស៊ិន (ខេមបូឌា) អ៊ិនដាសស្ទ្រី ឯ.ក</t>
        </is>
      </c>
      <c r="W224" s="556" t="n">
        <v>270322</v>
      </c>
    </row>
    <row r="225">
      <c r="A225" s="521" t="n">
        <v>217</v>
      </c>
      <c r="B225" s="522" t="n"/>
      <c r="C225" s="522" t="inlineStr">
        <is>
          <t>56ប៊ី-លីង សឹបផ្លាយ ឆេន មេនេចម៉ិន ឯ.ក</t>
        </is>
      </c>
      <c r="D225" s="522" t="inlineStr">
        <is>
          <t>K004-902004795</t>
        </is>
      </c>
      <c r="E225" s="521" t="inlineStr">
        <is>
          <t>IN202101-0052</t>
        </is>
      </c>
      <c r="F225" s="523" t="n">
        <v>44225</v>
      </c>
      <c r="G225" s="556" t="n">
        <v>483735</v>
      </c>
      <c r="I225" s="521">
        <f>G225</f>
        <v/>
      </c>
      <c r="K225" s="521">
        <f>I225-G225</f>
        <v/>
      </c>
      <c r="M225" s="522" t="inlineStr">
        <is>
          <t>IN2021010052</t>
        </is>
      </c>
      <c r="N225" s="522" t="inlineStr">
        <is>
          <t>IN2021010052</t>
        </is>
      </c>
      <c r="O225" s="521">
        <f>M225=N225</f>
        <v/>
      </c>
      <c r="P225" s="521">
        <f>AND(MONTH(F225)=MONTH(S225), YEAR(F225)=YEAR(S225))</f>
        <v/>
      </c>
      <c r="Q225" s="521">
        <f>U225="L001-901905215"</f>
        <v/>
      </c>
      <c r="R225" s="556">
        <f>G225-W225</f>
        <v/>
      </c>
      <c r="S225" s="523" t="n">
        <v>44225</v>
      </c>
      <c r="T225" s="522" t="inlineStr">
        <is>
          <t>IN202101-0052</t>
        </is>
      </c>
      <c r="U225" s="522" t="inlineStr">
        <is>
          <t>L001-901905215</t>
        </is>
      </c>
      <c r="V225" s="522" t="inlineStr">
        <is>
          <t>វីអ៊ីស៊ិន (ខេមបូឌា) អ៊ិនដាសស្ទ្រី ឯ.ក</t>
        </is>
      </c>
      <c r="W225" s="556" t="n">
        <v>483735</v>
      </c>
    </row>
    <row r="226">
      <c r="A226" s="521" t="n">
        <v>218</v>
      </c>
      <c r="B226" s="522" t="n"/>
      <c r="C226" s="522" t="inlineStr">
        <is>
          <t>56ប៊ី-លីង សឹបផ្លាយ ឆេន មេនេចម៉ិន ឯ.ក</t>
        </is>
      </c>
      <c r="D226" s="522" t="inlineStr">
        <is>
          <t>K004-902004795</t>
        </is>
      </c>
      <c r="E226" s="521" t="inlineStr">
        <is>
          <t>IN202101-0051</t>
        </is>
      </c>
      <c r="F226" s="523" t="n">
        <v>44225</v>
      </c>
      <c r="G226" s="556" t="n">
        <v>270323</v>
      </c>
      <c r="I226" s="521">
        <f>G226</f>
        <v/>
      </c>
      <c r="K226" s="521">
        <f>I226-G226</f>
        <v/>
      </c>
      <c r="M226" s="522" t="inlineStr">
        <is>
          <t>IN2021010051</t>
        </is>
      </c>
      <c r="N226" s="522" t="inlineStr">
        <is>
          <t>IN2021010051</t>
        </is>
      </c>
      <c r="O226" s="521">
        <f>M226=N226</f>
        <v/>
      </c>
      <c r="P226" s="521">
        <f>AND(MONTH(F226)=MONTH(S226), YEAR(F226)=YEAR(S226))</f>
        <v/>
      </c>
      <c r="Q226" s="521">
        <f>U226="L001-901905215"</f>
        <v/>
      </c>
      <c r="R226" s="556">
        <f>G226-W226</f>
        <v/>
      </c>
      <c r="S226" s="523" t="n">
        <v>44225</v>
      </c>
      <c r="T226" s="522" t="inlineStr">
        <is>
          <t>IN202101-0051</t>
        </is>
      </c>
      <c r="U226" s="522" t="inlineStr">
        <is>
          <t>L001-901905215</t>
        </is>
      </c>
      <c r="V226" s="522" t="inlineStr">
        <is>
          <t>វីអ៊ីស៊ិន (ខេមបូឌា) អ៊ិនដាសស្ទ្រី ឯ.ក</t>
        </is>
      </c>
      <c r="W226" s="556" t="n">
        <v>270322</v>
      </c>
    </row>
    <row r="227">
      <c r="A227" s="521" t="n">
        <v>219</v>
      </c>
      <c r="B227" s="522" t="n"/>
      <c r="C227" s="522" t="inlineStr">
        <is>
          <t>56ប៊ី-លីង សឹបផ្លាយ ឆេន មេនេចម៉ិន ឯ.ក</t>
        </is>
      </c>
      <c r="D227" s="522" t="inlineStr">
        <is>
          <t>K004-902004795</t>
        </is>
      </c>
      <c r="E227" s="521" t="inlineStr">
        <is>
          <t>IN202101-0050</t>
        </is>
      </c>
      <c r="F227" s="523" t="n">
        <v>44225</v>
      </c>
      <c r="G227" s="556" t="n">
        <v>270323</v>
      </c>
      <c r="I227" s="521">
        <f>G227</f>
        <v/>
      </c>
      <c r="K227" s="521">
        <f>I227-G227</f>
        <v/>
      </c>
      <c r="M227" s="522" t="inlineStr">
        <is>
          <t>IN2021010050</t>
        </is>
      </c>
      <c r="N227" s="522" t="inlineStr">
        <is>
          <t>IN2021010050</t>
        </is>
      </c>
      <c r="O227" s="521">
        <f>M227=N227</f>
        <v/>
      </c>
      <c r="P227" s="521">
        <f>AND(MONTH(F227)=MONTH(S227), YEAR(F227)=YEAR(S227))</f>
        <v/>
      </c>
      <c r="Q227" s="521">
        <f>U227="L001-901905215"</f>
        <v/>
      </c>
      <c r="R227" s="556">
        <f>G227-W227</f>
        <v/>
      </c>
      <c r="S227" s="523" t="n">
        <v>44225</v>
      </c>
      <c r="T227" s="522" t="inlineStr">
        <is>
          <t>IN202101-0050</t>
        </is>
      </c>
      <c r="U227" s="522" t="inlineStr">
        <is>
          <t>L001-901905215</t>
        </is>
      </c>
      <c r="V227" s="522" t="inlineStr">
        <is>
          <t>វីអ៊ីស៊ិន (ខេមបូឌា) អ៊ិនដាសស្ទ្រី ឯ.ក</t>
        </is>
      </c>
      <c r="W227" s="556" t="n">
        <v>270322</v>
      </c>
    </row>
    <row r="228">
      <c r="A228" s="521" t="n">
        <v>220</v>
      </c>
      <c r="B228" s="522" t="n"/>
      <c r="C228" s="522" t="inlineStr">
        <is>
          <t>56ប៊ី-លីង សឹបផ្លាយ ឆេន មេនេចម៉ិន ឯ.ក</t>
        </is>
      </c>
      <c r="D228" s="522" t="inlineStr">
        <is>
          <t>K004-902004795</t>
        </is>
      </c>
      <c r="E228" s="521" t="inlineStr">
        <is>
          <t>IN202101-0049</t>
        </is>
      </c>
      <c r="F228" s="523" t="n">
        <v>44225</v>
      </c>
      <c r="G228" s="556" t="n">
        <v>910560</v>
      </c>
      <c r="I228" s="521">
        <f>G228</f>
        <v/>
      </c>
      <c r="K228" s="521">
        <f>I228-G228</f>
        <v/>
      </c>
      <c r="M228" s="522" t="inlineStr">
        <is>
          <t>IN2021010049</t>
        </is>
      </c>
      <c r="N228" s="522" t="inlineStr">
        <is>
          <t>IN2021010049</t>
        </is>
      </c>
      <c r="O228" s="521">
        <f>M228=N228</f>
        <v/>
      </c>
      <c r="P228" s="521">
        <f>AND(MONTH(F228)=MONTH(S228), YEAR(F228)=YEAR(S228))</f>
        <v/>
      </c>
      <c r="Q228" s="521">
        <f>U228="L001-901905215"</f>
        <v/>
      </c>
      <c r="R228" s="556">
        <f>G228-W228</f>
        <v/>
      </c>
      <c r="S228" s="523" t="n">
        <v>44225</v>
      </c>
      <c r="T228" s="522" t="inlineStr">
        <is>
          <t>IN202101-0049</t>
        </is>
      </c>
      <c r="U228" s="522" t="inlineStr">
        <is>
          <t>L001-901905215</t>
        </is>
      </c>
      <c r="V228" s="522" t="inlineStr">
        <is>
          <t>វីអ៊ីស៊ិន (ខេមបូឌា) អ៊ិនដាសស្ទ្រី ឯ.ក</t>
        </is>
      </c>
      <c r="W228" s="556" t="n">
        <v>910560</v>
      </c>
    </row>
    <row r="229">
      <c r="A229" s="521" t="n">
        <v>221</v>
      </c>
      <c r="B229" s="522" t="n"/>
      <c r="C229" s="522" t="inlineStr">
        <is>
          <t>56ប៊ី-លីង សឹបផ្លាយ ឆេន មេនេចម៉ិន ឯ.ក</t>
        </is>
      </c>
      <c r="D229" s="522" t="inlineStr">
        <is>
          <t>K004-902004795</t>
        </is>
      </c>
      <c r="E229" s="521" t="inlineStr">
        <is>
          <t>IN202101-0048</t>
        </is>
      </c>
      <c r="F229" s="523" t="n">
        <v>44225</v>
      </c>
      <c r="G229" s="556" t="n">
        <v>351623</v>
      </c>
      <c r="I229" s="521">
        <f>G229</f>
        <v/>
      </c>
      <c r="K229" s="521">
        <f>I229-G229</f>
        <v/>
      </c>
      <c r="M229" s="522" t="inlineStr">
        <is>
          <t>IN2021010048</t>
        </is>
      </c>
      <c r="N229" s="522" t="inlineStr">
        <is>
          <t>IN2021010048</t>
        </is>
      </c>
      <c r="O229" s="521">
        <f>M229=N229</f>
        <v/>
      </c>
      <c r="P229" s="521">
        <f>AND(MONTH(F229)=MONTH(S229), YEAR(F229)=YEAR(S229))</f>
        <v/>
      </c>
      <c r="Q229" s="521">
        <f>U229="L001-901905215"</f>
        <v/>
      </c>
      <c r="R229" s="556">
        <f>G229-W229</f>
        <v/>
      </c>
      <c r="S229" s="523" t="n">
        <v>44225</v>
      </c>
      <c r="T229" s="522" t="inlineStr">
        <is>
          <t>IN202101-0048</t>
        </is>
      </c>
      <c r="U229" s="522" t="inlineStr">
        <is>
          <t>L001-901905215</t>
        </is>
      </c>
      <c r="V229" s="522" t="inlineStr">
        <is>
          <t>វីអ៊ីស៊ិន (ខេមបូឌា) អ៊ិនដាសស្ទ្រី ឯ.ក</t>
        </is>
      </c>
      <c r="W229" s="556" t="n">
        <v>351622</v>
      </c>
    </row>
    <row r="230">
      <c r="A230" s="521" t="n">
        <v>222</v>
      </c>
      <c r="B230" s="522" t="n"/>
      <c r="C230" s="522" t="inlineStr">
        <is>
          <t>56ប៊ី-លីង សឹបផ្លាយ ឆេន មេនេចម៉ិន ឯ.ក</t>
        </is>
      </c>
      <c r="D230" s="522" t="inlineStr">
        <is>
          <t>K004-902004795</t>
        </is>
      </c>
      <c r="E230" s="521" t="inlineStr">
        <is>
          <t>IN202101-0047</t>
        </is>
      </c>
      <c r="F230" s="523" t="n">
        <v>44225</v>
      </c>
      <c r="G230" s="556" t="n">
        <v>355688</v>
      </c>
      <c r="I230" s="521">
        <f>G230</f>
        <v/>
      </c>
      <c r="K230" s="521">
        <f>I230-G230</f>
        <v/>
      </c>
      <c r="M230" s="522" t="inlineStr">
        <is>
          <t>IN2021010047</t>
        </is>
      </c>
      <c r="N230" s="522" t="inlineStr">
        <is>
          <t>IN2021010047</t>
        </is>
      </c>
      <c r="O230" s="521">
        <f>M230=N230</f>
        <v/>
      </c>
      <c r="P230" s="521">
        <f>AND(MONTH(F230)=MONTH(S230), YEAR(F230)=YEAR(S230))</f>
        <v/>
      </c>
      <c r="Q230" s="521">
        <f>U230="L001-901905215"</f>
        <v/>
      </c>
      <c r="R230" s="556">
        <f>G230-W230</f>
        <v/>
      </c>
      <c r="S230" s="523" t="n">
        <v>44225</v>
      </c>
      <c r="T230" s="522" t="inlineStr">
        <is>
          <t>IN202101-0047</t>
        </is>
      </c>
      <c r="U230" s="522" t="inlineStr">
        <is>
          <t>L001-901905215</t>
        </is>
      </c>
      <c r="V230" s="522" t="inlineStr">
        <is>
          <t>វីអ៊ីស៊ិន (ខេមបូឌា) អ៊ិនដាសស្ទ្រី ឯ.ក</t>
        </is>
      </c>
      <c r="W230" s="556" t="n">
        <v>355687</v>
      </c>
    </row>
    <row r="231">
      <c r="A231" s="521" t="n">
        <v>223</v>
      </c>
      <c r="B231" s="522" t="n"/>
      <c r="C231" s="522" t="inlineStr">
        <is>
          <t>56ប៊ី-លីង សឹបផ្លាយ ឆេន មេនេចម៉ិន ឯ.ក</t>
        </is>
      </c>
      <c r="D231" s="522" t="inlineStr">
        <is>
          <t>K004-902004795</t>
        </is>
      </c>
      <c r="E231" s="521" t="inlineStr">
        <is>
          <t>IN202101-0046</t>
        </is>
      </c>
      <c r="F231" s="523" t="n">
        <v>44225</v>
      </c>
      <c r="G231" s="556" t="n">
        <v>483735</v>
      </c>
      <c r="I231" s="521">
        <f>G231</f>
        <v/>
      </c>
      <c r="K231" s="521">
        <f>I231-G231</f>
        <v/>
      </c>
      <c r="M231" s="522" t="inlineStr">
        <is>
          <t>IN2021010046</t>
        </is>
      </c>
      <c r="N231" s="522" t="inlineStr">
        <is>
          <t>IN2021010046</t>
        </is>
      </c>
      <c r="O231" s="521">
        <f>M231=N231</f>
        <v/>
      </c>
      <c r="P231" s="521">
        <f>AND(MONTH(F231)=MONTH(S231), YEAR(F231)=YEAR(S231))</f>
        <v/>
      </c>
      <c r="Q231" s="521">
        <f>U231="L001-901905215"</f>
        <v/>
      </c>
      <c r="R231" s="556">
        <f>G231-W231</f>
        <v/>
      </c>
      <c r="S231" s="523" t="n">
        <v>44225</v>
      </c>
      <c r="T231" s="522" t="inlineStr">
        <is>
          <t>IN202101-0046</t>
        </is>
      </c>
      <c r="U231" s="522" t="inlineStr">
        <is>
          <t>L001-901905215</t>
        </is>
      </c>
      <c r="V231" s="522" t="inlineStr">
        <is>
          <t>វីអ៊ីស៊ិន (ខេមបូឌា) អ៊ិនដាសស្ទ្រី ឯ.ក</t>
        </is>
      </c>
      <c r="W231" s="556" t="n">
        <v>483735</v>
      </c>
    </row>
    <row r="232">
      <c r="A232" s="521" t="n">
        <v>224</v>
      </c>
      <c r="B232" s="522" t="n"/>
      <c r="C232" s="522" t="inlineStr">
        <is>
          <t>56ប៊ី-លីង សឹបផ្លាយ ឆេន មេនេចម៉ិន ឯ.ក</t>
        </is>
      </c>
      <c r="D232" s="522" t="inlineStr">
        <is>
          <t>K004-902004795</t>
        </is>
      </c>
      <c r="E232" s="521" t="inlineStr">
        <is>
          <t>IN202101-0045</t>
        </is>
      </c>
      <c r="F232" s="523" t="n">
        <v>44225</v>
      </c>
      <c r="G232" s="556" t="n">
        <v>357720</v>
      </c>
      <c r="I232" s="521">
        <f>G232</f>
        <v/>
      </c>
      <c r="K232" s="521">
        <f>I232-G232</f>
        <v/>
      </c>
      <c r="M232" s="522" t="inlineStr">
        <is>
          <t>IN2021010045</t>
        </is>
      </c>
      <c r="N232" s="522" t="inlineStr">
        <is>
          <t>IN2021010045</t>
        </is>
      </c>
      <c r="O232" s="521">
        <f>M232=N232</f>
        <v/>
      </c>
      <c r="P232" s="521">
        <f>AND(MONTH(F232)=MONTH(S232), YEAR(F232)=YEAR(S232))</f>
        <v/>
      </c>
      <c r="Q232" s="521">
        <f>U232="L001-901905215"</f>
        <v/>
      </c>
      <c r="R232" s="556">
        <f>G232-W232</f>
        <v/>
      </c>
      <c r="S232" s="523" t="n">
        <v>44225</v>
      </c>
      <c r="T232" s="522" t="inlineStr">
        <is>
          <t>IN202101-0045</t>
        </is>
      </c>
      <c r="U232" s="522" t="inlineStr">
        <is>
          <t>L001-901905215</t>
        </is>
      </c>
      <c r="V232" s="522" t="inlineStr">
        <is>
          <t>វីអ៊ីស៊ិន (ខេមបូឌា) អ៊ិនដាសស្ទ្រី ឯ.ក</t>
        </is>
      </c>
      <c r="W232" s="556" t="n">
        <v>357720</v>
      </c>
    </row>
    <row r="233">
      <c r="A233" s="521" t="n">
        <v>225</v>
      </c>
      <c r="B233" s="522" t="n"/>
      <c r="C233" s="522" t="inlineStr">
        <is>
          <t>56ប៊ី-លីង សឹបផ្លាយ ឆេន មេនេចម៉ិន ឯ.ក</t>
        </is>
      </c>
      <c r="D233" s="522" t="inlineStr">
        <is>
          <t>K004-902004795</t>
        </is>
      </c>
      <c r="E233" s="521" t="inlineStr">
        <is>
          <t>IN202101-0044</t>
        </is>
      </c>
      <c r="F233" s="523" t="n">
        <v>44225</v>
      </c>
      <c r="G233" s="556" t="n">
        <v>164633</v>
      </c>
      <c r="I233" s="521">
        <f>G233</f>
        <v/>
      </c>
      <c r="K233" s="521">
        <f>I233-G233</f>
        <v/>
      </c>
      <c r="M233" s="522" t="inlineStr">
        <is>
          <t>IN2021010044</t>
        </is>
      </c>
      <c r="N233" s="522" t="inlineStr">
        <is>
          <t>IN2021010044</t>
        </is>
      </c>
      <c r="O233" s="521">
        <f>M233=N233</f>
        <v/>
      </c>
      <c r="P233" s="521">
        <f>AND(MONTH(F233)=MONTH(S233), YEAR(F233)=YEAR(S233))</f>
        <v/>
      </c>
      <c r="Q233" s="521">
        <f>U233="L001-901905215"</f>
        <v/>
      </c>
      <c r="R233" s="556">
        <f>G233-W233</f>
        <v/>
      </c>
      <c r="S233" s="523" t="n">
        <v>44225</v>
      </c>
      <c r="T233" s="522" t="inlineStr">
        <is>
          <t>IN202101-0044</t>
        </is>
      </c>
      <c r="U233" s="522" t="inlineStr">
        <is>
          <t>L001-901905215</t>
        </is>
      </c>
      <c r="V233" s="522" t="inlineStr">
        <is>
          <t>វីអ៊ីស៊ិន (ខេមបូឌា) អ៊ិនដាសស្ទ្រី ឯ.ក</t>
        </is>
      </c>
      <c r="W233" s="556" t="n">
        <v>164632</v>
      </c>
    </row>
    <row r="234">
      <c r="A234" s="521" t="n">
        <v>226</v>
      </c>
      <c r="B234" s="522" t="n"/>
      <c r="C234" s="522" t="inlineStr">
        <is>
          <t>56ប៊ី-លីង សឹបផ្លាយ ឆេន មេនេចម៉ិន ឯ.ក</t>
        </is>
      </c>
      <c r="D234" s="522" t="inlineStr">
        <is>
          <t>K004-902004795</t>
        </is>
      </c>
      <c r="E234" s="521" t="inlineStr">
        <is>
          <t>IN202101-0043</t>
        </is>
      </c>
      <c r="F234" s="523" t="n">
        <v>44225</v>
      </c>
      <c r="G234" s="556" t="n">
        <v>313005</v>
      </c>
      <c r="I234" s="521">
        <f>G234</f>
        <v/>
      </c>
      <c r="K234" s="521">
        <f>I234-G234</f>
        <v/>
      </c>
      <c r="M234" s="522" t="inlineStr">
        <is>
          <t>IN2021010043</t>
        </is>
      </c>
      <c r="N234" s="522" t="inlineStr">
        <is>
          <t>IN2021010043</t>
        </is>
      </c>
      <c r="O234" s="521">
        <f>M234=N234</f>
        <v/>
      </c>
      <c r="P234" s="521">
        <f>AND(MONTH(F234)=MONTH(S234), YEAR(F234)=YEAR(S234))</f>
        <v/>
      </c>
      <c r="Q234" s="521">
        <f>U234="L001-901905215"</f>
        <v/>
      </c>
      <c r="R234" s="556">
        <f>G234-W234</f>
        <v/>
      </c>
      <c r="S234" s="523" t="n">
        <v>44225</v>
      </c>
      <c r="T234" s="522" t="inlineStr">
        <is>
          <t>IN202101-0043</t>
        </is>
      </c>
      <c r="U234" s="522" t="inlineStr">
        <is>
          <t>L001-901905215</t>
        </is>
      </c>
      <c r="V234" s="522" t="inlineStr">
        <is>
          <t>វីអ៊ីស៊ិន (ខេមបូឌា) អ៊ិនដាសស្ទ្រី ឯ.ក</t>
        </is>
      </c>
      <c r="W234" s="556" t="n">
        <v>313005</v>
      </c>
    </row>
    <row r="235">
      <c r="A235" s="521" t="n">
        <v>227</v>
      </c>
      <c r="B235" s="522" t="n"/>
      <c r="C235" s="522" t="inlineStr">
        <is>
          <t>56ប៊ី-លីង សឹបផ្លាយ ឆេន មេនេចម៉ិន ឯ.ក</t>
        </is>
      </c>
      <c r="D235" s="522" t="inlineStr">
        <is>
          <t>K004-902004795</t>
        </is>
      </c>
      <c r="E235" s="521" t="inlineStr">
        <is>
          <t>IN202101-0042</t>
        </is>
      </c>
      <c r="F235" s="523" t="n">
        <v>44225</v>
      </c>
      <c r="G235" s="556" t="n">
        <v>180893</v>
      </c>
      <c r="I235" s="521">
        <f>G235</f>
        <v/>
      </c>
      <c r="K235" s="521">
        <f>I235-G235</f>
        <v/>
      </c>
      <c r="M235" s="522" t="inlineStr">
        <is>
          <t>IN2021010042</t>
        </is>
      </c>
      <c r="N235" s="522" t="inlineStr">
        <is>
          <t>IN2021010042</t>
        </is>
      </c>
      <c r="O235" s="521">
        <f>M235=N235</f>
        <v/>
      </c>
      <c r="P235" s="521">
        <f>AND(MONTH(F235)=MONTH(S235), YEAR(F235)=YEAR(S235))</f>
        <v/>
      </c>
      <c r="Q235" s="521">
        <f>U235="L001-901905215"</f>
        <v/>
      </c>
      <c r="R235" s="556">
        <f>G235-W235</f>
        <v/>
      </c>
      <c r="S235" s="523" t="n">
        <v>44225</v>
      </c>
      <c r="T235" s="522" t="inlineStr">
        <is>
          <t>IN202101-0042</t>
        </is>
      </c>
      <c r="U235" s="522" t="inlineStr">
        <is>
          <t>L001-901905215</t>
        </is>
      </c>
      <c r="V235" s="522" t="inlineStr">
        <is>
          <t>វីអ៊ីស៊ិន (ខេមបូឌា) អ៊ិនដាសស្ទ្រី ឯ.ក</t>
        </is>
      </c>
      <c r="W235" s="556" t="n">
        <v>180892</v>
      </c>
    </row>
    <row r="236">
      <c r="A236" s="521" t="n">
        <v>228</v>
      </c>
      <c r="B236" s="522" t="n"/>
      <c r="C236" s="522" t="inlineStr">
        <is>
          <t>56ប៊ី-លីង សឹបផ្លាយ ឆេន មេនេចម៉ិន ឯ.ក</t>
        </is>
      </c>
      <c r="D236" s="522" t="inlineStr">
        <is>
          <t>K004-902004795</t>
        </is>
      </c>
      <c r="E236" s="521" t="inlineStr">
        <is>
          <t>IN202101-0041</t>
        </is>
      </c>
      <c r="F236" s="523" t="n">
        <v>44225</v>
      </c>
      <c r="G236" s="556" t="n">
        <v>292680</v>
      </c>
      <c r="I236" s="521">
        <f>G236</f>
        <v/>
      </c>
      <c r="K236" s="521">
        <f>I236-G236</f>
        <v/>
      </c>
      <c r="M236" s="522" t="inlineStr">
        <is>
          <t>IN2021010041</t>
        </is>
      </c>
      <c r="N236" s="522" t="inlineStr">
        <is>
          <t>IN2021010041</t>
        </is>
      </c>
      <c r="O236" s="521">
        <f>M236=N236</f>
        <v/>
      </c>
      <c r="P236" s="521">
        <f>AND(MONTH(F236)=MONTH(S236), YEAR(F236)=YEAR(S236))</f>
        <v/>
      </c>
      <c r="Q236" s="521">
        <f>U236="L001-901905215"</f>
        <v/>
      </c>
      <c r="R236" s="556">
        <f>G236-W236</f>
        <v/>
      </c>
      <c r="S236" s="523" t="n">
        <v>44225</v>
      </c>
      <c r="T236" s="522" t="inlineStr">
        <is>
          <t>IN202101-0041</t>
        </is>
      </c>
      <c r="U236" s="522" t="inlineStr">
        <is>
          <t>L001-901905215</t>
        </is>
      </c>
      <c r="V236" s="522" t="inlineStr">
        <is>
          <t>វីអ៊ីស៊ិន (ខេមបូឌា) អ៊ិនដាសស្ទ្រី ឯ.ក</t>
        </is>
      </c>
      <c r="W236" s="556" t="n">
        <v>292680</v>
      </c>
    </row>
    <row r="237">
      <c r="A237" s="521" t="n">
        <v>229</v>
      </c>
      <c r="B237" s="522" t="n"/>
      <c r="C237" s="522" t="inlineStr">
        <is>
          <t>56ប៊ី-លីង សឹបផ្លាយ ឆេន មេនេចម៉ិន ឯ.ក</t>
        </is>
      </c>
      <c r="D237" s="522" t="inlineStr">
        <is>
          <t>K004-902004795</t>
        </is>
      </c>
      <c r="E237" s="521" t="inlineStr">
        <is>
          <t>IN202101-0040</t>
        </is>
      </c>
      <c r="F237" s="523" t="n">
        <v>44225</v>
      </c>
      <c r="G237" s="556" t="n">
        <v>865845</v>
      </c>
      <c r="I237" s="521">
        <f>G237</f>
        <v/>
      </c>
      <c r="K237" s="521">
        <f>I237-G237</f>
        <v/>
      </c>
      <c r="M237" s="522" t="inlineStr">
        <is>
          <t>IN2021010040</t>
        </is>
      </c>
      <c r="N237" s="522" t="inlineStr">
        <is>
          <t>IN2021010040</t>
        </is>
      </c>
      <c r="O237" s="521">
        <f>M237=N237</f>
        <v/>
      </c>
      <c r="P237" s="521">
        <f>AND(MONTH(F237)=MONTH(S237), YEAR(F237)=YEAR(S237))</f>
        <v/>
      </c>
      <c r="Q237" s="521">
        <f>U237="L001-901905215"</f>
        <v/>
      </c>
      <c r="R237" s="556">
        <f>G237-W237</f>
        <v/>
      </c>
      <c r="S237" s="523" t="n">
        <v>44225</v>
      </c>
      <c r="T237" s="522" t="inlineStr">
        <is>
          <t>IN202101-0040</t>
        </is>
      </c>
      <c r="U237" s="522" t="inlineStr">
        <is>
          <t>L001-901905215</t>
        </is>
      </c>
      <c r="V237" s="522" t="inlineStr">
        <is>
          <t>វីអ៊ីស៊ិន (ខេមបូឌា) អ៊ិនដាសស្ទ្រី ឯ.ក</t>
        </is>
      </c>
      <c r="W237" s="556" t="n">
        <v>865845</v>
      </c>
    </row>
    <row r="238">
      <c r="A238" s="521" t="n">
        <v>230</v>
      </c>
      <c r="B238" s="522" t="n"/>
      <c r="C238" s="522" t="inlineStr">
        <is>
          <t>56ប៊ី-លីង សឹបផ្លាយ ឆេន មេនេចម៉ិន ឯ.ក</t>
        </is>
      </c>
      <c r="D238" s="522" t="inlineStr">
        <is>
          <t>K004-902004795</t>
        </is>
      </c>
      <c r="E238" s="521" t="inlineStr">
        <is>
          <t>IN202101-0039</t>
        </is>
      </c>
      <c r="F238" s="523" t="n">
        <v>44225</v>
      </c>
      <c r="G238" s="556" t="n">
        <v>548775</v>
      </c>
      <c r="I238" s="521">
        <f>G238</f>
        <v/>
      </c>
      <c r="K238" s="521">
        <f>I238-G238</f>
        <v/>
      </c>
      <c r="M238" s="522" t="inlineStr">
        <is>
          <t>IN2021010039</t>
        </is>
      </c>
      <c r="N238" s="522" t="inlineStr">
        <is>
          <t>IN2021010039</t>
        </is>
      </c>
      <c r="O238" s="521">
        <f>M238=N238</f>
        <v/>
      </c>
      <c r="P238" s="521">
        <f>AND(MONTH(F238)=MONTH(S238), YEAR(F238)=YEAR(S238))</f>
        <v/>
      </c>
      <c r="Q238" s="521">
        <f>U238="L001-901905215"</f>
        <v/>
      </c>
      <c r="R238" s="556">
        <f>G238-W238</f>
        <v/>
      </c>
      <c r="S238" s="523" t="n">
        <v>44225</v>
      </c>
      <c r="T238" s="522" t="inlineStr">
        <is>
          <t>IN202101-0039</t>
        </is>
      </c>
      <c r="U238" s="522" t="inlineStr">
        <is>
          <t>L001-901905215</t>
        </is>
      </c>
      <c r="V238" s="522" t="inlineStr">
        <is>
          <t>វីអ៊ីស៊ិន (ខេមបូឌា) អ៊ិនដាសស្ទ្រី ឯ.ក</t>
        </is>
      </c>
      <c r="W238" s="556" t="n">
        <v>548775</v>
      </c>
    </row>
    <row r="239">
      <c r="A239" s="521" t="n">
        <v>231</v>
      </c>
      <c r="B239" s="522" t="n"/>
      <c r="C239" s="522" t="inlineStr">
        <is>
          <t>56ប៊ី-លីង សឹបផ្លាយ ឆេន មេនេចម៉ិន ឯ.ក</t>
        </is>
      </c>
      <c r="D239" s="522" t="inlineStr">
        <is>
          <t>K004-902004795</t>
        </is>
      </c>
      <c r="E239" s="521" t="inlineStr">
        <is>
          <t>IN202101-0038</t>
        </is>
      </c>
      <c r="F239" s="523" t="n">
        <v>44225</v>
      </c>
      <c r="G239" s="556" t="n">
        <v>164633</v>
      </c>
      <c r="I239" s="521">
        <f>G239</f>
        <v/>
      </c>
      <c r="K239" s="521">
        <f>I239-G239</f>
        <v/>
      </c>
      <c r="M239" s="522" t="inlineStr">
        <is>
          <t>IN2021010038</t>
        </is>
      </c>
      <c r="N239" s="522" t="inlineStr">
        <is>
          <t>IN2021010038</t>
        </is>
      </c>
      <c r="O239" s="521">
        <f>M239=N239</f>
        <v/>
      </c>
      <c r="P239" s="521">
        <f>AND(MONTH(F239)=MONTH(S239), YEAR(F239)=YEAR(S239))</f>
        <v/>
      </c>
      <c r="Q239" s="521">
        <f>U239="L001-901905215"</f>
        <v/>
      </c>
      <c r="R239" s="556">
        <f>G239-W239</f>
        <v/>
      </c>
      <c r="S239" s="523" t="n">
        <v>44225</v>
      </c>
      <c r="T239" s="522" t="inlineStr">
        <is>
          <t>IN202101-0038</t>
        </is>
      </c>
      <c r="U239" s="522" t="inlineStr">
        <is>
          <t>L001-901905215</t>
        </is>
      </c>
      <c r="V239" s="522" t="inlineStr">
        <is>
          <t>វីអ៊ីស៊ិន (ខេមបូឌា) អ៊ិនដាសស្ទ្រី ឯ.ក</t>
        </is>
      </c>
      <c r="W239" s="556" t="n">
        <v>164632</v>
      </c>
    </row>
    <row r="240">
      <c r="A240" s="521" t="n">
        <v>232</v>
      </c>
      <c r="B240" s="522" t="n"/>
      <c r="C240" s="522" t="inlineStr">
        <is>
          <t>56ប៊ី-លីង សឹបផ្លាយ ឆេន មេនេចម៉ិន ឯ.ក</t>
        </is>
      </c>
      <c r="D240" s="522" t="inlineStr">
        <is>
          <t>K004-902004795</t>
        </is>
      </c>
      <c r="E240" s="521" t="inlineStr">
        <is>
          <t>IN202101-0037</t>
        </is>
      </c>
      <c r="F240" s="523" t="n">
        <v>44225</v>
      </c>
      <c r="G240" s="556" t="n">
        <v>164633</v>
      </c>
      <c r="I240" s="521">
        <f>G240</f>
        <v/>
      </c>
      <c r="K240" s="521">
        <f>I240-G240</f>
        <v/>
      </c>
      <c r="M240" s="522" t="inlineStr">
        <is>
          <t>IN2021010037</t>
        </is>
      </c>
      <c r="N240" s="522" t="inlineStr">
        <is>
          <t>IN2021010037</t>
        </is>
      </c>
      <c r="O240" s="521">
        <f>M240=N240</f>
        <v/>
      </c>
      <c r="P240" s="521">
        <f>AND(MONTH(F240)=MONTH(S240), YEAR(F240)=YEAR(S240))</f>
        <v/>
      </c>
      <c r="Q240" s="521">
        <f>U240="L001-901905215"</f>
        <v/>
      </c>
      <c r="R240" s="556">
        <f>G240-W240</f>
        <v/>
      </c>
      <c r="S240" s="523" t="n">
        <v>44225</v>
      </c>
      <c r="T240" s="522" t="inlineStr">
        <is>
          <t>IN202101-0037</t>
        </is>
      </c>
      <c r="U240" s="522" t="inlineStr">
        <is>
          <t>L001-901905215</t>
        </is>
      </c>
      <c r="V240" s="522" t="inlineStr">
        <is>
          <t>វីអ៊ីស៊ិន (ខេមបូឌា) អ៊ិនដាសស្ទ្រី ឯ.ក</t>
        </is>
      </c>
      <c r="W240" s="556" t="n">
        <v>164632</v>
      </c>
    </row>
    <row r="241">
      <c r="A241" s="521" t="n">
        <v>233</v>
      </c>
      <c r="B241" s="522" t="n"/>
      <c r="C241" s="522" t="inlineStr">
        <is>
          <t>56ប៊ី-លីង សឹបផ្លាយ ឆេន មេនេចម៉ិន ឯ.ក</t>
        </is>
      </c>
      <c r="D241" s="522" t="inlineStr">
        <is>
          <t>K004-902004795</t>
        </is>
      </c>
      <c r="E241" s="521" t="inlineStr">
        <is>
          <t>IN202101-0036</t>
        </is>
      </c>
      <c r="F241" s="523" t="n">
        <v>44225</v>
      </c>
      <c r="G241" s="556" t="n">
        <v>180893</v>
      </c>
      <c r="I241" s="521">
        <f>G241</f>
        <v/>
      </c>
      <c r="K241" s="521">
        <f>I241-G241</f>
        <v/>
      </c>
      <c r="M241" s="522" t="inlineStr">
        <is>
          <t>IN2021010036</t>
        </is>
      </c>
      <c r="N241" s="522" t="inlineStr">
        <is>
          <t>IN2021010036</t>
        </is>
      </c>
      <c r="O241" s="521">
        <f>M241=N241</f>
        <v/>
      </c>
      <c r="P241" s="521">
        <f>AND(MONTH(F241)=MONTH(S241), YEAR(F241)=YEAR(S241))</f>
        <v/>
      </c>
      <c r="Q241" s="521">
        <f>U241="L001-901905215"</f>
        <v/>
      </c>
      <c r="R241" s="556">
        <f>G241-W241</f>
        <v/>
      </c>
      <c r="S241" s="523" t="n">
        <v>44225</v>
      </c>
      <c r="T241" s="522" t="inlineStr">
        <is>
          <t>IN202101-0036</t>
        </is>
      </c>
      <c r="U241" s="522" t="inlineStr">
        <is>
          <t>L001-901905215</t>
        </is>
      </c>
      <c r="V241" s="522" t="inlineStr">
        <is>
          <t>វីអ៊ីស៊ិន (ខេមបូឌា) អ៊ិនដាសស្ទ្រី ឯ.ក</t>
        </is>
      </c>
      <c r="W241" s="556" t="n">
        <v>180892</v>
      </c>
    </row>
    <row r="242">
      <c r="A242" s="521" t="n">
        <v>234</v>
      </c>
      <c r="B242" s="522" t="n"/>
      <c r="C242" s="522" t="inlineStr">
        <is>
          <t>56ប៊ី-លីង សឹបផ្លាយ ឆេន មេនេចម៉ិន ឯ.ក</t>
        </is>
      </c>
      <c r="D242" s="522" t="inlineStr">
        <is>
          <t>K004-902004795</t>
        </is>
      </c>
      <c r="E242" s="521" t="inlineStr">
        <is>
          <t>IN202101-0035</t>
        </is>
      </c>
      <c r="F242" s="523" t="n">
        <v>44225</v>
      </c>
      <c r="G242" s="556" t="n">
        <v>882105</v>
      </c>
      <c r="I242" s="521">
        <f>G242</f>
        <v/>
      </c>
      <c r="K242" s="521">
        <f>I242-G242</f>
        <v/>
      </c>
      <c r="M242" s="522" t="inlineStr">
        <is>
          <t>IN2021010035</t>
        </is>
      </c>
      <c r="N242" s="522" t="inlineStr">
        <is>
          <t>IN2021010035</t>
        </is>
      </c>
      <c r="O242" s="521">
        <f>M242=N242</f>
        <v/>
      </c>
      <c r="P242" s="521">
        <f>AND(MONTH(F242)=MONTH(S242), YEAR(F242)=YEAR(S242))</f>
        <v/>
      </c>
      <c r="Q242" s="521">
        <f>U242="L001-901905215"</f>
        <v/>
      </c>
      <c r="R242" s="556">
        <f>G242-W242</f>
        <v/>
      </c>
      <c r="S242" s="523" t="n">
        <v>44225</v>
      </c>
      <c r="T242" s="522" t="inlineStr">
        <is>
          <t>IN202101-0035</t>
        </is>
      </c>
      <c r="U242" s="522" t="inlineStr">
        <is>
          <t>L001-901905215</t>
        </is>
      </c>
      <c r="V242" s="522" t="inlineStr">
        <is>
          <t>វីអ៊ីស៊ិន (ខេមបូឌា) អ៊ិនដាសស្ទ្រី ឯ.ក</t>
        </is>
      </c>
      <c r="W242" s="556" t="n">
        <v>882105</v>
      </c>
    </row>
    <row r="243">
      <c r="A243" s="521" t="n">
        <v>235</v>
      </c>
      <c r="B243" s="522" t="n"/>
      <c r="C243" s="522" t="inlineStr">
        <is>
          <t>56ប៊ី-លីង សឹបផ្លាយ ឆេន មេនេចម៉ិន ឯ.ក</t>
        </is>
      </c>
      <c r="D243" s="522" t="inlineStr">
        <is>
          <t>K004-902004795</t>
        </is>
      </c>
      <c r="E243" s="521" t="inlineStr">
        <is>
          <t>IN202101-0034</t>
        </is>
      </c>
      <c r="F243" s="523" t="n">
        <v>44225</v>
      </c>
      <c r="G243" s="556" t="n">
        <v>800809</v>
      </c>
      <c r="I243" s="521">
        <f>G243</f>
        <v/>
      </c>
      <c r="K243" s="521">
        <f>I243-G243</f>
        <v/>
      </c>
      <c r="M243" s="522" t="inlineStr">
        <is>
          <t>IN2021010034</t>
        </is>
      </c>
      <c r="N243" s="522" t="inlineStr">
        <is>
          <t>IN2021010034</t>
        </is>
      </c>
      <c r="O243" s="521">
        <f>M243=N243</f>
        <v/>
      </c>
      <c r="P243" s="521">
        <f>AND(MONTH(F243)=MONTH(S243), YEAR(F243)=YEAR(S243))</f>
        <v/>
      </c>
      <c r="Q243" s="521">
        <f>U243="L001-901905215"</f>
        <v/>
      </c>
      <c r="R243" s="556">
        <f>G243-W243</f>
        <v/>
      </c>
      <c r="S243" s="523" t="n">
        <v>44225</v>
      </c>
      <c r="T243" s="522" t="inlineStr">
        <is>
          <t>IN202101-0034</t>
        </is>
      </c>
      <c r="U243" s="522" t="inlineStr">
        <is>
          <t>L001-901905215</t>
        </is>
      </c>
      <c r="V243" s="522" t="inlineStr">
        <is>
          <t>វីអ៊ីស៊ិន (ខេមបូឌា) អ៊ិនដាសស្ទ្រី ឯ.ក</t>
        </is>
      </c>
      <c r="W243" s="556" t="n">
        <v>800809</v>
      </c>
    </row>
    <row r="244">
      <c r="A244" s="521" t="n">
        <v>236</v>
      </c>
      <c r="B244" s="522" t="n"/>
      <c r="C244" s="522" t="inlineStr">
        <is>
          <t>56ប៊ី-លីង សឹបផ្លាយ ឆេន មេនេចម៉ិន ឯ.ក</t>
        </is>
      </c>
      <c r="D244" s="522" t="inlineStr">
        <is>
          <t>K004-902004795</t>
        </is>
      </c>
      <c r="E244" s="521" t="inlineStr">
        <is>
          <t>IN202101-0033</t>
        </is>
      </c>
      <c r="F244" s="523" t="n">
        <v>44225</v>
      </c>
      <c r="G244" s="556" t="n">
        <v>158535</v>
      </c>
      <c r="I244" s="521">
        <f>G244</f>
        <v/>
      </c>
      <c r="K244" s="521">
        <f>I244-G244</f>
        <v/>
      </c>
      <c r="M244" s="522" t="inlineStr">
        <is>
          <t>IN2021010033</t>
        </is>
      </c>
      <c r="N244" s="522" t="inlineStr">
        <is>
          <t>IN2021010033</t>
        </is>
      </c>
      <c r="O244" s="521">
        <f>M244=N244</f>
        <v/>
      </c>
      <c r="P244" s="521">
        <f>AND(MONTH(F244)=MONTH(S244), YEAR(F244)=YEAR(S244))</f>
        <v/>
      </c>
      <c r="Q244" s="521">
        <f>U244="L001-901905215"</f>
        <v/>
      </c>
      <c r="R244" s="556">
        <f>G244-W244</f>
        <v/>
      </c>
      <c r="S244" s="523" t="n">
        <v>44225</v>
      </c>
      <c r="T244" s="522" t="inlineStr">
        <is>
          <t>IN202101-0033</t>
        </is>
      </c>
      <c r="U244" s="522" t="inlineStr">
        <is>
          <t>L001-901905215</t>
        </is>
      </c>
      <c r="V244" s="522" t="inlineStr">
        <is>
          <t>វីអ៊ីស៊ិន (ខេមបូឌា) អ៊ិនដាសស្ទ្រី ឯ.ក</t>
        </is>
      </c>
      <c r="W244" s="556" t="n">
        <v>158535</v>
      </c>
    </row>
    <row r="245">
      <c r="A245" s="521" t="n">
        <v>237</v>
      </c>
      <c r="B245" s="522" t="n"/>
      <c r="C245" s="522" t="inlineStr">
        <is>
          <t>56ប៊ី-លីង សឹបផ្លាយ ឆេន មេនេចម៉ិន ឯ.ក</t>
        </is>
      </c>
      <c r="D245" s="522" t="inlineStr">
        <is>
          <t>K004-902004795</t>
        </is>
      </c>
      <c r="E245" s="521" t="inlineStr">
        <is>
          <t>IN202101-0032</t>
        </is>
      </c>
      <c r="F245" s="523" t="n">
        <v>44225</v>
      </c>
      <c r="G245" s="556" t="n">
        <v>313005</v>
      </c>
      <c r="I245" s="521">
        <f>G245</f>
        <v/>
      </c>
      <c r="K245" s="521">
        <f>I245-G245</f>
        <v/>
      </c>
      <c r="M245" s="522" t="inlineStr">
        <is>
          <t>IN2021010032</t>
        </is>
      </c>
      <c r="N245" s="522" t="inlineStr">
        <is>
          <t>IN2021010032</t>
        </is>
      </c>
      <c r="O245" s="521">
        <f>M245=N245</f>
        <v/>
      </c>
      <c r="P245" s="521">
        <f>AND(MONTH(F245)=MONTH(S245), YEAR(F245)=YEAR(S245))</f>
        <v/>
      </c>
      <c r="Q245" s="521">
        <f>U245="L001-901905215"</f>
        <v/>
      </c>
      <c r="R245" s="556">
        <f>G245-W245</f>
        <v/>
      </c>
      <c r="S245" s="523" t="n">
        <v>44197</v>
      </c>
      <c r="T245" s="522" t="inlineStr">
        <is>
          <t>IN202101-0032</t>
        </is>
      </c>
      <c r="U245" s="522" t="inlineStr">
        <is>
          <t>L001-901905215</t>
        </is>
      </c>
      <c r="V245" s="522" t="inlineStr">
        <is>
          <t>វីអ៊ីស៊ិន (ខេមបូឌា) អ៊ិនដាសស្ទ្រី ឯ.ក</t>
        </is>
      </c>
      <c r="W245" s="556" t="n">
        <v>313005</v>
      </c>
    </row>
    <row r="246">
      <c r="A246" s="521" t="n">
        <v>238</v>
      </c>
      <c r="B246" s="522" t="n"/>
      <c r="C246" s="522" t="inlineStr">
        <is>
          <t>56ប៊ី-លីង សឹបផ្លាយ ឆេន មេនេចម៉ិន ឯ.ក</t>
        </is>
      </c>
      <c r="D246" s="522" t="inlineStr">
        <is>
          <t>K004-902004795</t>
        </is>
      </c>
      <c r="E246" s="521" t="inlineStr">
        <is>
          <t>IN202101-0031</t>
        </is>
      </c>
      <c r="F246" s="523" t="n">
        <v>44225</v>
      </c>
      <c r="G246" s="556" t="n">
        <v>158535</v>
      </c>
      <c r="I246" s="521">
        <f>G246</f>
        <v/>
      </c>
      <c r="K246" s="521">
        <f>I246-G246</f>
        <v/>
      </c>
      <c r="M246" s="522" t="inlineStr">
        <is>
          <t>IN2021010031</t>
        </is>
      </c>
      <c r="N246" s="522" t="inlineStr">
        <is>
          <t>IN2021010031</t>
        </is>
      </c>
      <c r="O246" s="521">
        <f>M246=N246</f>
        <v/>
      </c>
      <c r="P246" s="521">
        <f>AND(MONTH(F246)=MONTH(S246), YEAR(F246)=YEAR(S246))</f>
        <v/>
      </c>
      <c r="Q246" s="521">
        <f>U246="L001-901905215"</f>
        <v/>
      </c>
      <c r="R246" s="556">
        <f>G246-W246</f>
        <v/>
      </c>
      <c r="S246" s="523" t="n">
        <v>44225</v>
      </c>
      <c r="T246" s="522" t="inlineStr">
        <is>
          <t>IN202101-0031</t>
        </is>
      </c>
      <c r="U246" s="522" t="inlineStr">
        <is>
          <t>L001-901905215</t>
        </is>
      </c>
      <c r="V246" s="522" t="inlineStr">
        <is>
          <t>វីអ៊ីស៊ិន (ខេមបូឌា) អ៊ិនដាសស្ទ្រី ឯ.ក</t>
        </is>
      </c>
      <c r="W246" s="556" t="n">
        <v>158535</v>
      </c>
    </row>
    <row r="247">
      <c r="A247" s="521" t="n">
        <v>239</v>
      </c>
      <c r="B247" s="522" t="n"/>
      <c r="C247" s="522" t="inlineStr">
        <is>
          <t>56ប៊ី-លីង សឹបផ្លាយ ឆេន មេនេចម៉ិន ឯ.ក</t>
        </is>
      </c>
      <c r="D247" s="522" t="inlineStr">
        <is>
          <t>K004-902004795</t>
        </is>
      </c>
      <c r="E247" s="521" t="inlineStr">
        <is>
          <t>IN202101-0030</t>
        </is>
      </c>
      <c r="F247" s="523" t="n">
        <v>44225</v>
      </c>
      <c r="G247" s="556" t="n">
        <v>164633</v>
      </c>
      <c r="I247" s="521">
        <f>G247</f>
        <v/>
      </c>
      <c r="K247" s="521">
        <f>I247-G247</f>
        <v/>
      </c>
      <c r="M247" s="522" t="inlineStr">
        <is>
          <t>IN2021010030</t>
        </is>
      </c>
      <c r="N247" s="522" t="inlineStr">
        <is>
          <t>IN2021010030</t>
        </is>
      </c>
      <c r="O247" s="521">
        <f>M247=N247</f>
        <v/>
      </c>
      <c r="P247" s="521">
        <f>AND(MONTH(F247)=MONTH(S247), YEAR(F247)=YEAR(S247))</f>
        <v/>
      </c>
      <c r="Q247" s="521">
        <f>U247="L001-901905215"</f>
        <v/>
      </c>
      <c r="R247" s="556">
        <f>G247-W247</f>
        <v/>
      </c>
      <c r="S247" s="523" t="n">
        <v>44225</v>
      </c>
      <c r="T247" s="522" t="inlineStr">
        <is>
          <t>IN202101-0030</t>
        </is>
      </c>
      <c r="U247" s="522" t="inlineStr">
        <is>
          <t>L001-901905215</t>
        </is>
      </c>
      <c r="V247" s="522" t="inlineStr">
        <is>
          <t>វីអ៊ីស៊ិន (ខេមបូឌា) អ៊ិនដាសស្ទ្រី ឯ.ក</t>
        </is>
      </c>
      <c r="W247" s="556" t="n">
        <v>164633</v>
      </c>
    </row>
    <row r="248">
      <c r="A248" s="521" t="n">
        <v>240</v>
      </c>
      <c r="B248" s="522" t="n"/>
      <c r="C248" s="522" t="inlineStr">
        <is>
          <t>56ប៊ី-លីង សឹបផ្លាយ ឆេន មេនេចម៉ិន ឯ.ក</t>
        </is>
      </c>
      <c r="D248" s="522" t="inlineStr">
        <is>
          <t>K004-902004795</t>
        </is>
      </c>
      <c r="E248" s="521" t="inlineStr">
        <is>
          <t>IN202101-0029</t>
        </is>
      </c>
      <c r="F248" s="523" t="n">
        <v>44225</v>
      </c>
      <c r="G248" s="556" t="n">
        <v>164632</v>
      </c>
      <c r="I248" s="521">
        <f>G248</f>
        <v/>
      </c>
      <c r="K248" s="521">
        <f>I248-G248</f>
        <v/>
      </c>
      <c r="M248" s="522" t="inlineStr">
        <is>
          <t>IN2021010029</t>
        </is>
      </c>
      <c r="N248" s="522" t="inlineStr">
        <is>
          <t>IN2021010029</t>
        </is>
      </c>
      <c r="O248" s="521">
        <f>M248=N248</f>
        <v/>
      </c>
      <c r="P248" s="521">
        <f>AND(MONTH(F248)=MONTH(S248), YEAR(F248)=YEAR(S248))</f>
        <v/>
      </c>
      <c r="Q248" s="521">
        <f>U248="L001-901905215"</f>
        <v/>
      </c>
      <c r="R248" s="556">
        <f>G248-W248</f>
        <v/>
      </c>
      <c r="S248" s="523" t="n">
        <v>44225</v>
      </c>
      <c r="T248" s="522" t="inlineStr">
        <is>
          <t>IN202101-0029</t>
        </is>
      </c>
      <c r="U248" s="522" t="inlineStr">
        <is>
          <t>L001-901905215</t>
        </is>
      </c>
      <c r="V248" s="522" t="inlineStr">
        <is>
          <t>វីអ៊ីស៊ិន (ខេមបូឌា) អ៊ិនដាសស្ទ្រី ឯ.ក</t>
        </is>
      </c>
      <c r="W248" s="556" t="n">
        <v>164632</v>
      </c>
    </row>
    <row r="249">
      <c r="A249" s="521" t="n">
        <v>241</v>
      </c>
      <c r="B249" s="522" t="n"/>
      <c r="C249" s="522" t="inlineStr">
        <is>
          <t>56ប៊ី-លីង សឹបផ្លាយ ឆេន មេនេចម៉ិន ឯ.ក</t>
        </is>
      </c>
      <c r="D249" s="522" t="inlineStr">
        <is>
          <t>K004-902004795</t>
        </is>
      </c>
      <c r="E249" s="521" t="inlineStr">
        <is>
          <t>IN202101-0028</t>
        </is>
      </c>
      <c r="F249" s="523" t="n">
        <v>44225</v>
      </c>
      <c r="G249" s="556" t="n">
        <v>357720</v>
      </c>
      <c r="I249" s="521">
        <f>G249</f>
        <v/>
      </c>
      <c r="K249" s="521">
        <f>I249-G249</f>
        <v/>
      </c>
      <c r="M249" s="522" t="inlineStr">
        <is>
          <t>IN2021010028</t>
        </is>
      </c>
      <c r="N249" s="522" t="inlineStr">
        <is>
          <t>IN2021010028</t>
        </is>
      </c>
      <c r="O249" s="521">
        <f>M249=N249</f>
        <v/>
      </c>
      <c r="P249" s="521">
        <f>AND(MONTH(F249)=MONTH(S249), YEAR(F249)=YEAR(S249))</f>
        <v/>
      </c>
      <c r="Q249" s="521">
        <f>U249="L001-901905215"</f>
        <v/>
      </c>
      <c r="R249" s="556">
        <f>G249-W249</f>
        <v/>
      </c>
      <c r="S249" s="523" t="n">
        <v>44225</v>
      </c>
      <c r="T249" s="522" t="inlineStr">
        <is>
          <t>IN202101-0028</t>
        </is>
      </c>
      <c r="U249" s="522" t="inlineStr">
        <is>
          <t>L001-901905215</t>
        </is>
      </c>
      <c r="V249" s="522" t="inlineStr">
        <is>
          <t>វីអ៊ីស៊ិន (ខេមបូឌា) អ៊ិនដាសស្ទ្រី ឯ.ក</t>
        </is>
      </c>
      <c r="W249" s="556" t="n">
        <v>357720</v>
      </c>
    </row>
    <row r="250">
      <c r="A250" s="521" t="n">
        <v>242</v>
      </c>
      <c r="B250" s="522" t="n"/>
      <c r="C250" s="522" t="inlineStr">
        <is>
          <t>56ប៊ី-លីង សឹបផ្លាយ ឆេន មេនេចម៉ិន ឯ.ក</t>
        </is>
      </c>
      <c r="D250" s="522" t="inlineStr">
        <is>
          <t>K004-902004795</t>
        </is>
      </c>
      <c r="E250" s="521" t="inlineStr">
        <is>
          <t>IN202101-0027</t>
        </is>
      </c>
      <c r="F250" s="523" t="n">
        <v>44225</v>
      </c>
      <c r="G250" s="556" t="n">
        <v>991856</v>
      </c>
      <c r="I250" s="521">
        <f>G250</f>
        <v/>
      </c>
      <c r="K250" s="521">
        <f>I250-G250</f>
        <v/>
      </c>
      <c r="M250" s="522" t="inlineStr">
        <is>
          <t>IN2021010027</t>
        </is>
      </c>
      <c r="N250" s="522" t="inlineStr">
        <is>
          <t>IN2021010027</t>
        </is>
      </c>
      <c r="O250" s="521">
        <f>M250=N250</f>
        <v/>
      </c>
      <c r="P250" s="521">
        <f>AND(MONTH(F250)=MONTH(S250), YEAR(F250)=YEAR(S250))</f>
        <v/>
      </c>
      <c r="Q250" s="521">
        <f>U250="L001-901905215"</f>
        <v/>
      </c>
      <c r="R250" s="556">
        <f>G250-W250</f>
        <v/>
      </c>
      <c r="S250" s="523" t="n">
        <v>44225</v>
      </c>
      <c r="T250" s="522" t="inlineStr">
        <is>
          <t>IN202101-0027</t>
        </is>
      </c>
      <c r="U250" s="522" t="inlineStr">
        <is>
          <t>L001-901905215</t>
        </is>
      </c>
      <c r="V250" s="522" t="inlineStr">
        <is>
          <t>វីអ៊ីស៊ិន (ខេមបូឌា) អ៊ិនដាសស្ទ្រី ឯ.ក</t>
        </is>
      </c>
      <c r="W250" s="556" t="n">
        <v>991856</v>
      </c>
    </row>
    <row r="251">
      <c r="A251" s="521" t="n">
        <v>243</v>
      </c>
      <c r="B251" s="522" t="n"/>
      <c r="C251" s="522" t="inlineStr">
        <is>
          <t>56ប៊ី-លីង សឹបផ្លាយ ឆេន មេនេចម៉ិន ឯ.ក</t>
        </is>
      </c>
      <c r="D251" s="522" t="inlineStr">
        <is>
          <t>K004-902004795</t>
        </is>
      </c>
      <c r="E251" s="521" t="inlineStr">
        <is>
          <t>IN202101-0026</t>
        </is>
      </c>
      <c r="F251" s="523" t="n">
        <v>44225</v>
      </c>
      <c r="G251" s="556" t="n">
        <v>589425</v>
      </c>
      <c r="I251" s="521">
        <f>G251</f>
        <v/>
      </c>
      <c r="K251" s="521">
        <f>I251-G251</f>
        <v/>
      </c>
      <c r="M251" s="522" t="inlineStr">
        <is>
          <t>IN2021010026</t>
        </is>
      </c>
      <c r="N251" s="522" t="inlineStr">
        <is>
          <t>IN2021010026</t>
        </is>
      </c>
      <c r="O251" s="521">
        <f>M251=N251</f>
        <v/>
      </c>
      <c r="P251" s="521">
        <f>AND(MONTH(F251)=MONTH(S251), YEAR(F251)=YEAR(S251))</f>
        <v/>
      </c>
      <c r="Q251" s="521">
        <f>U251="L001-901905215"</f>
        <v/>
      </c>
      <c r="R251" s="556">
        <f>G251-W251</f>
        <v/>
      </c>
      <c r="S251" s="523" t="n">
        <v>44225</v>
      </c>
      <c r="T251" s="522" t="inlineStr">
        <is>
          <t>IN202101-0026</t>
        </is>
      </c>
      <c r="U251" s="522" t="inlineStr">
        <is>
          <t>L001-901905215</t>
        </is>
      </c>
      <c r="V251" s="522" t="inlineStr">
        <is>
          <t>វីអ៊ីស៊ិន (ខេមបូឌា) អ៊ិនដាសស្ទ្រី ឯ.ក</t>
        </is>
      </c>
      <c r="W251" s="556" t="n">
        <v>589425</v>
      </c>
    </row>
    <row r="252">
      <c r="A252" s="521" t="n">
        <v>244</v>
      </c>
      <c r="B252" s="522" t="n"/>
      <c r="C252" s="522" t="inlineStr">
        <is>
          <t>56ប៊ី-លីង សឹបផ្លាយ ឆេន មេនេចម៉ិន ឯ.ក</t>
        </is>
      </c>
      <c r="D252" s="522" t="inlineStr">
        <is>
          <t>K004-902004795</t>
        </is>
      </c>
      <c r="E252" s="521" t="inlineStr">
        <is>
          <t>IN202101-0025</t>
        </is>
      </c>
      <c r="F252" s="523" t="n">
        <v>44225</v>
      </c>
      <c r="G252" s="556" t="n">
        <v>325200</v>
      </c>
      <c r="I252" s="521">
        <f>G252</f>
        <v/>
      </c>
      <c r="K252" s="521">
        <f>I252-G252</f>
        <v/>
      </c>
      <c r="M252" s="522" t="inlineStr">
        <is>
          <t>IN2021010025</t>
        </is>
      </c>
      <c r="N252" s="522" t="inlineStr">
        <is>
          <t>IN2021010025</t>
        </is>
      </c>
      <c r="O252" s="521">
        <f>M252=N252</f>
        <v/>
      </c>
      <c r="P252" s="521">
        <f>AND(MONTH(F252)=MONTH(S252), YEAR(F252)=YEAR(S252))</f>
        <v/>
      </c>
      <c r="Q252" s="521">
        <f>U252="L001-901905215"</f>
        <v/>
      </c>
      <c r="R252" s="556">
        <f>G252-W252</f>
        <v/>
      </c>
      <c r="S252" s="523" t="n">
        <v>44225</v>
      </c>
      <c r="T252" s="522" t="inlineStr">
        <is>
          <t>IN202101-0025</t>
        </is>
      </c>
      <c r="U252" s="522" t="inlineStr">
        <is>
          <t>L001-901905215</t>
        </is>
      </c>
      <c r="V252" s="522" t="inlineStr">
        <is>
          <t>វីអ៊ីស៊ិន (ខេមបូឌា) អ៊ិនដាសស្ទ្រី ឯ.ក</t>
        </is>
      </c>
      <c r="W252" s="556" t="n">
        <v>325200</v>
      </c>
    </row>
    <row r="253">
      <c r="A253" s="521" t="n">
        <v>245</v>
      </c>
      <c r="B253" s="522" t="n"/>
      <c r="C253" s="522" t="inlineStr">
        <is>
          <t>56ប៊ី-លីង សឹបផ្លាយ ឆេន មេនេចម៉ិន ឯ.ក</t>
        </is>
      </c>
      <c r="D253" s="522" t="inlineStr">
        <is>
          <t>K004-902004795</t>
        </is>
      </c>
      <c r="E253" s="521" t="inlineStr">
        <is>
          <t>IN202101-0024</t>
        </is>
      </c>
      <c r="F253" s="523" t="n">
        <v>44225</v>
      </c>
      <c r="G253" s="556" t="n">
        <v>589425</v>
      </c>
      <c r="I253" s="521">
        <f>G253</f>
        <v/>
      </c>
      <c r="K253" s="521">
        <f>I253-G253</f>
        <v/>
      </c>
      <c r="M253" s="522" t="inlineStr">
        <is>
          <t>IN2021010024</t>
        </is>
      </c>
      <c r="N253" s="522" t="inlineStr">
        <is>
          <t>IN2021010024</t>
        </is>
      </c>
      <c r="O253" s="521">
        <f>M253=N253</f>
        <v/>
      </c>
      <c r="P253" s="521">
        <f>AND(MONTH(F253)=MONTH(S253), YEAR(F253)=YEAR(S253))</f>
        <v/>
      </c>
      <c r="Q253" s="521">
        <f>U253="L001-901905215"</f>
        <v/>
      </c>
      <c r="R253" s="556">
        <f>G253-W253</f>
        <v/>
      </c>
      <c r="S253" s="523" t="n">
        <v>44225</v>
      </c>
      <c r="T253" s="522" t="inlineStr">
        <is>
          <t>IN202101-0024</t>
        </is>
      </c>
      <c r="U253" s="522" t="inlineStr">
        <is>
          <t>L001-901905215</t>
        </is>
      </c>
      <c r="V253" s="522" t="inlineStr">
        <is>
          <t>វីអ៊ីស៊ិន (ខេមបូឌា) អ៊ិនដាសស្ទ្រី ឯ.ក</t>
        </is>
      </c>
      <c r="W253" s="556" t="n">
        <v>589425</v>
      </c>
    </row>
    <row r="254">
      <c r="A254" s="521" t="n">
        <v>246</v>
      </c>
      <c r="B254" s="522" t="n"/>
      <c r="C254" s="522" t="inlineStr">
        <is>
          <t>56ប៊ី-លីង សឹបផ្លាយ ឆេន មេនេចម៉ិន ឯ.ក</t>
        </is>
      </c>
      <c r="D254" s="522" t="inlineStr">
        <is>
          <t>K004-902004795</t>
        </is>
      </c>
      <c r="E254" s="521" t="inlineStr">
        <is>
          <t>IN202101-0023</t>
        </is>
      </c>
      <c r="F254" s="523" t="n">
        <v>44225</v>
      </c>
      <c r="G254" s="556" t="n">
        <v>589425</v>
      </c>
      <c r="I254" s="521">
        <f>G254</f>
        <v/>
      </c>
      <c r="K254" s="521">
        <f>I254-G254</f>
        <v/>
      </c>
      <c r="M254" s="522" t="inlineStr">
        <is>
          <t>IN2021010023</t>
        </is>
      </c>
      <c r="N254" s="522" t="inlineStr">
        <is>
          <t>IN2021010023</t>
        </is>
      </c>
      <c r="O254" s="521">
        <f>M254=N254</f>
        <v/>
      </c>
      <c r="P254" s="521">
        <f>AND(MONTH(F254)=MONTH(S254), YEAR(F254)=YEAR(S254))</f>
        <v/>
      </c>
      <c r="Q254" s="521">
        <f>U254="L001-901905215"</f>
        <v/>
      </c>
      <c r="R254" s="556">
        <f>G254-W254</f>
        <v/>
      </c>
      <c r="S254" s="523" t="n">
        <v>44225</v>
      </c>
      <c r="T254" s="522" t="inlineStr">
        <is>
          <t>IN202101-0023</t>
        </is>
      </c>
      <c r="U254" s="522" t="inlineStr">
        <is>
          <t>L001-901905215</t>
        </is>
      </c>
      <c r="V254" s="522" t="inlineStr">
        <is>
          <t>វីអ៊ីស៊ិន (ខេមបូឌា) អ៊ិនដាសស្ទ្រី ឯ.ក</t>
        </is>
      </c>
      <c r="W254" s="556" t="n">
        <v>589425</v>
      </c>
    </row>
    <row r="255">
      <c r="A255" s="521" t="n">
        <v>247</v>
      </c>
      <c r="B255" s="522" t="n"/>
      <c r="C255" s="522" t="inlineStr">
        <is>
          <t>56ប៊ី-លីង សឹបផ្លាយ ឆេន មេនេចម៉ិន ឯ.ក</t>
        </is>
      </c>
      <c r="D255" s="522" t="inlineStr">
        <is>
          <t>K004-902004795</t>
        </is>
      </c>
      <c r="E255" s="521" t="inlineStr">
        <is>
          <t>IN202101-0022</t>
        </is>
      </c>
      <c r="F255" s="523" t="n">
        <v>44225</v>
      </c>
      <c r="G255" s="556" t="n">
        <v>345525</v>
      </c>
      <c r="I255" s="521">
        <f>G255</f>
        <v/>
      </c>
      <c r="K255" s="521">
        <f>I255-G255</f>
        <v/>
      </c>
      <c r="M255" s="522" t="inlineStr">
        <is>
          <t>IN2021010022</t>
        </is>
      </c>
      <c r="N255" s="522" t="inlineStr">
        <is>
          <t>IN2021010022</t>
        </is>
      </c>
      <c r="O255" s="521">
        <f>M255=N255</f>
        <v/>
      </c>
      <c r="P255" s="521">
        <f>AND(MONTH(F255)=MONTH(S255), YEAR(F255)=YEAR(S255))</f>
        <v/>
      </c>
      <c r="Q255" s="521">
        <f>U255="L001-901905215"</f>
        <v/>
      </c>
      <c r="R255" s="556">
        <f>G255-W255</f>
        <v/>
      </c>
      <c r="S255" s="523" t="n">
        <v>44225</v>
      </c>
      <c r="T255" s="522" t="inlineStr">
        <is>
          <t>IN202101-0022</t>
        </is>
      </c>
      <c r="U255" s="522" t="inlineStr">
        <is>
          <t>L001-901905215</t>
        </is>
      </c>
      <c r="V255" s="522" t="inlineStr">
        <is>
          <t>វីអ៊ីស៊ិន (ខេមបូឌា) អ៊ិនដាសស្ទ្រី ឯ.ក</t>
        </is>
      </c>
      <c r="W255" s="556" t="n">
        <v>345525</v>
      </c>
    </row>
    <row r="256">
      <c r="A256" s="521" t="n">
        <v>248</v>
      </c>
      <c r="B256" s="522" t="n"/>
      <c r="C256" s="522" t="inlineStr">
        <is>
          <t>56ប៊ី-លីង សឹបផ្លាយ ឆេន មេនេចម៉ិន ឯ.ក</t>
        </is>
      </c>
      <c r="D256" s="522" t="inlineStr">
        <is>
          <t>K004-902004795</t>
        </is>
      </c>
      <c r="E256" s="521" t="inlineStr">
        <is>
          <t>IN202101-0021</t>
        </is>
      </c>
      <c r="F256" s="523" t="n">
        <v>44225</v>
      </c>
      <c r="G256" s="556" t="n">
        <v>621945</v>
      </c>
      <c r="I256" s="521">
        <f>G256</f>
        <v/>
      </c>
      <c r="K256" s="521">
        <f>I256-G256</f>
        <v/>
      </c>
      <c r="M256" s="522" t="inlineStr">
        <is>
          <t>IN2021010021</t>
        </is>
      </c>
      <c r="N256" s="522" t="inlineStr">
        <is>
          <t>IN2021010021</t>
        </is>
      </c>
      <c r="O256" s="521">
        <f>M256=N256</f>
        <v/>
      </c>
      <c r="P256" s="521">
        <f>AND(MONTH(F256)=MONTH(S256), YEAR(F256)=YEAR(S256))</f>
        <v/>
      </c>
      <c r="Q256" s="521">
        <f>U256="L001-901905215"</f>
        <v/>
      </c>
      <c r="R256" s="556">
        <f>G256-W256</f>
        <v/>
      </c>
      <c r="S256" s="523" t="n">
        <v>44225</v>
      </c>
      <c r="T256" s="522" t="inlineStr">
        <is>
          <t>IN202101-0021</t>
        </is>
      </c>
      <c r="U256" s="522" t="inlineStr">
        <is>
          <t>L001-901905215</t>
        </is>
      </c>
      <c r="V256" s="522" t="inlineStr">
        <is>
          <t>វីអ៊ីស៊ិន (ខេមបូឌា) អ៊ិនដាសស្ទ្រី ឯ.ក</t>
        </is>
      </c>
      <c r="W256" s="556" t="n">
        <v>621945</v>
      </c>
    </row>
    <row r="257">
      <c r="A257" s="521" t="n">
        <v>249</v>
      </c>
      <c r="B257" s="522" t="n"/>
      <c r="C257" s="522" t="inlineStr">
        <is>
          <t>56ប៊ី-លីង សឹបផ្លាយ ឆេន មេនេចម៉ិន ឯ.ក</t>
        </is>
      </c>
      <c r="D257" s="522" t="inlineStr">
        <is>
          <t>K004-902004795</t>
        </is>
      </c>
      <c r="E257" s="521" t="inlineStr">
        <is>
          <t>IN202101-0020</t>
        </is>
      </c>
      <c r="F257" s="523" t="n">
        <v>44225</v>
      </c>
      <c r="G257" s="556" t="n">
        <v>548775</v>
      </c>
      <c r="I257" s="521">
        <f>G257</f>
        <v/>
      </c>
      <c r="K257" s="521">
        <f>I257-G257</f>
        <v/>
      </c>
      <c r="M257" s="522" t="inlineStr">
        <is>
          <t>IN2021010020</t>
        </is>
      </c>
      <c r="N257" s="522" t="inlineStr">
        <is>
          <t>IN2021010020</t>
        </is>
      </c>
      <c r="O257" s="521">
        <f>M257=N257</f>
        <v/>
      </c>
      <c r="P257" s="521">
        <f>AND(MONTH(F257)=MONTH(S257), YEAR(F257)=YEAR(S257))</f>
        <v/>
      </c>
      <c r="Q257" s="521">
        <f>U257="L001-901905215"</f>
        <v/>
      </c>
      <c r="R257" s="556">
        <f>G257-W257</f>
        <v/>
      </c>
      <c r="S257" s="523" t="n">
        <v>44225</v>
      </c>
      <c r="T257" s="522" t="inlineStr">
        <is>
          <t>IN202101-0020</t>
        </is>
      </c>
      <c r="U257" s="522" t="inlineStr">
        <is>
          <t>L001-901905215</t>
        </is>
      </c>
      <c r="V257" s="522" t="inlineStr">
        <is>
          <t>វីអ៊ីស៊ិន (ខេមបូឌា) អ៊ិនដាសស្ទ្រី ឯ.ក</t>
        </is>
      </c>
      <c r="W257" s="556" t="n">
        <v>548775</v>
      </c>
    </row>
    <row r="258">
      <c r="A258" s="521" t="n">
        <v>250</v>
      </c>
      <c r="B258" s="522" t="n"/>
      <c r="C258" s="522" t="inlineStr">
        <is>
          <t>56ប៊ី-លីង សឹបផ្លាយ ឆេន មេនេចម៉ិន ឯ.ក</t>
        </is>
      </c>
      <c r="D258" s="522" t="inlineStr">
        <is>
          <t>K004-902004795</t>
        </is>
      </c>
      <c r="E258" s="521" t="inlineStr">
        <is>
          <t>IN202101-0019</t>
        </is>
      </c>
      <c r="F258" s="523" t="n">
        <v>44225</v>
      </c>
      <c r="G258" s="556" t="n">
        <v>691050</v>
      </c>
      <c r="I258" s="521">
        <f>G258</f>
        <v/>
      </c>
      <c r="K258" s="521">
        <f>I258-G258</f>
        <v/>
      </c>
      <c r="M258" s="522" t="inlineStr">
        <is>
          <t>IN2021010019</t>
        </is>
      </c>
      <c r="N258" s="522" t="inlineStr">
        <is>
          <t>IN2021010019</t>
        </is>
      </c>
      <c r="O258" s="521">
        <f>M258=N258</f>
        <v/>
      </c>
      <c r="P258" s="521">
        <f>AND(MONTH(F258)=MONTH(S258), YEAR(F258)=YEAR(S258))</f>
        <v/>
      </c>
      <c r="Q258" s="521">
        <f>U258="L001-901905215"</f>
        <v/>
      </c>
      <c r="R258" s="556">
        <f>G258-W258</f>
        <v/>
      </c>
      <c r="S258" s="523" t="n">
        <v>44225</v>
      </c>
      <c r="T258" s="522" t="inlineStr">
        <is>
          <t>IN202101-0019</t>
        </is>
      </c>
      <c r="U258" s="522" t="inlineStr">
        <is>
          <t>L001-901905215</t>
        </is>
      </c>
      <c r="V258" s="522" t="inlineStr">
        <is>
          <t>វីអ៊ីស៊ិន (ខេមបូឌា) អ៊ិនដាសស្ទ្រី ឯ.ក</t>
        </is>
      </c>
      <c r="W258" s="556" t="n">
        <v>691050</v>
      </c>
    </row>
    <row r="259">
      <c r="A259" s="521" t="n">
        <v>251</v>
      </c>
      <c r="B259" s="522" t="inlineStr">
        <is>
          <t>Plastic Lamp shade</t>
        </is>
      </c>
      <c r="C259" s="522" t="inlineStr">
        <is>
          <t>តិច ឡុង អេនធើប្រាយ ឯ.ក</t>
        </is>
      </c>
      <c r="D259" s="522" t="inlineStr">
        <is>
          <t>K010-902103373</t>
        </is>
      </c>
      <c r="E259" s="521" t="inlineStr">
        <is>
          <t>TL22000002</t>
        </is>
      </c>
      <c r="F259" s="523" t="n">
        <v>44592</v>
      </c>
      <c r="G259" s="556" t="n">
        <v>9519970</v>
      </c>
      <c r="I259" s="521">
        <f>G259</f>
        <v/>
      </c>
      <c r="K259" s="521">
        <f>I259-G259</f>
        <v/>
      </c>
      <c r="M259" s="522" t="inlineStr">
        <is>
          <t>TL22000002</t>
        </is>
      </c>
      <c r="N259" s="522" t="inlineStr">
        <is>
          <t>TL22000002</t>
        </is>
      </c>
      <c r="O259" s="521">
        <f>M259=N259</f>
        <v/>
      </c>
      <c r="P259" s="521">
        <f>AND(MONTH(F259)=MONTH(S259), YEAR(F259)=YEAR(S259))</f>
        <v/>
      </c>
      <c r="Q259" s="521">
        <f>U259="L001-901905215"</f>
        <v/>
      </c>
      <c r="R259" s="556">
        <f>G259-W259</f>
        <v/>
      </c>
      <c r="S259" s="523" t="n">
        <v>44592</v>
      </c>
      <c r="T259" s="522" t="inlineStr">
        <is>
          <t>TL22000002</t>
        </is>
      </c>
      <c r="U259" s="522" t="inlineStr">
        <is>
          <t>L001-901905215</t>
        </is>
      </c>
      <c r="V259" s="522" t="inlineStr">
        <is>
          <t>វីអ៊ីស៊ិន (ខេមបូឌា) អ៊ិនដាសស្ទ្រី ឯ.ក</t>
        </is>
      </c>
      <c r="W259" s="556" t="n">
        <v>9519970</v>
      </c>
    </row>
    <row r="260">
      <c r="A260" s="521" t="n">
        <v>252</v>
      </c>
      <c r="B260" s="522" t="inlineStr">
        <is>
          <t>Lift-Off</t>
        </is>
      </c>
      <c r="C260" s="522" t="inlineStr">
        <is>
          <t>កំពង់ផែស្វយ័តក្រុងព្រះសីហនុ</t>
        </is>
      </c>
      <c r="D260" s="522" t="inlineStr">
        <is>
          <t>L001-100044638</t>
        </is>
      </c>
      <c r="E260" s="521" t="inlineStr">
        <is>
          <t>017890</t>
        </is>
      </c>
      <c r="F260" s="523" t="n">
        <v>44587</v>
      </c>
      <c r="G260" s="556" t="n">
        <v>20747</v>
      </c>
      <c r="I260" s="521">
        <f>G260</f>
        <v/>
      </c>
      <c r="K260" s="521">
        <f>I260-G260</f>
        <v/>
      </c>
      <c r="M260" s="522" t="inlineStr">
        <is>
          <t>017890</t>
        </is>
      </c>
      <c r="N260" s="522" t="inlineStr"/>
      <c r="O260" s="521">
        <f>M260=N260</f>
        <v/>
      </c>
      <c r="P260" s="521">
        <f>AND(MONTH(F260)=MONTH(S260), YEAR(F260)=YEAR(S260))</f>
        <v/>
      </c>
      <c r="Q260" s="521">
        <f>U260="L001-901905215"</f>
        <v/>
      </c>
      <c r="R260" s="556">
        <f>G260-W260</f>
        <v/>
      </c>
      <c r="S260" s="521" t="n"/>
      <c r="T260" s="522" t="n"/>
      <c r="U260" s="522" t="n"/>
      <c r="V260" s="522" t="n"/>
      <c r="W260" s="521" t="n"/>
    </row>
    <row r="261">
      <c r="A261" s="521" t="n">
        <v>253</v>
      </c>
      <c r="B261" s="522" t="inlineStr">
        <is>
          <t>Lift-Off</t>
        </is>
      </c>
      <c r="C261" s="522" t="inlineStr">
        <is>
          <t>កំពង់ផែស្វយ័តក្រុងព្រះសីហនុ</t>
        </is>
      </c>
      <c r="D261" s="522" t="inlineStr">
        <is>
          <t>L001-100044638</t>
        </is>
      </c>
      <c r="E261" s="521" t="inlineStr">
        <is>
          <t>017886</t>
        </is>
      </c>
      <c r="F261" s="523" t="n">
        <v>44587</v>
      </c>
      <c r="G261" s="556" t="n">
        <v>20747</v>
      </c>
      <c r="I261" s="521">
        <f>G261</f>
        <v/>
      </c>
      <c r="K261" s="521">
        <f>I261-G261</f>
        <v/>
      </c>
      <c r="M261" s="522" t="inlineStr">
        <is>
          <t>017886</t>
        </is>
      </c>
      <c r="N261" s="522" t="inlineStr"/>
      <c r="O261" s="521">
        <f>M261=N261</f>
        <v/>
      </c>
      <c r="P261" s="521">
        <f>AND(MONTH(F261)=MONTH(S261), YEAR(F261)=YEAR(S261))</f>
        <v/>
      </c>
      <c r="Q261" s="521">
        <f>U261="L001-901905215"</f>
        <v/>
      </c>
      <c r="R261" s="556">
        <f>G261-W261</f>
        <v/>
      </c>
      <c r="S261" s="521" t="n"/>
      <c r="T261" s="522" t="n"/>
      <c r="U261" s="522" t="n"/>
      <c r="V261" s="522" t="n"/>
      <c r="W261" s="521" t="n"/>
    </row>
    <row r="262">
      <c r="A262" s="521" t="n">
        <v>254</v>
      </c>
      <c r="B262" s="522" t="inlineStr">
        <is>
          <t>Lift-Off</t>
        </is>
      </c>
      <c r="C262" s="522" t="inlineStr">
        <is>
          <t>កំពង់ផែស្វយ័តក្រុងព្រះសីហនុ</t>
        </is>
      </c>
      <c r="D262" s="522" t="inlineStr">
        <is>
          <t>L001-100044638</t>
        </is>
      </c>
      <c r="E262" s="521" t="inlineStr">
        <is>
          <t>017884</t>
        </is>
      </c>
      <c r="F262" s="523" t="n">
        <v>44587</v>
      </c>
      <c r="G262" s="556" t="n">
        <v>20747</v>
      </c>
      <c r="I262" s="521">
        <f>G262</f>
        <v/>
      </c>
      <c r="K262" s="521">
        <f>I262-G262</f>
        <v/>
      </c>
      <c r="M262" s="522" t="inlineStr">
        <is>
          <t>017884</t>
        </is>
      </c>
      <c r="N262" s="522" t="inlineStr"/>
      <c r="O262" s="521">
        <f>M262=N262</f>
        <v/>
      </c>
      <c r="P262" s="521">
        <f>AND(MONTH(F262)=MONTH(S262), YEAR(F262)=YEAR(S262))</f>
        <v/>
      </c>
      <c r="Q262" s="521">
        <f>U262="L001-901905215"</f>
        <v/>
      </c>
      <c r="R262" s="556">
        <f>G262-W262</f>
        <v/>
      </c>
      <c r="S262" s="521" t="n"/>
      <c r="T262" s="522" t="n"/>
      <c r="U262" s="522" t="n"/>
      <c r="V262" s="522" t="n"/>
      <c r="W262" s="521" t="n"/>
    </row>
    <row r="263">
      <c r="A263" s="521" t="n">
        <v>255</v>
      </c>
      <c r="B263" s="522" t="inlineStr">
        <is>
          <t>CLERANCE &amp; TRUCKING FEE</t>
        </is>
      </c>
      <c r="C263" s="522" t="inlineStr">
        <is>
          <t>56ប៊ី-លីង សឹបផ្លាយ ឆេន មេនេចម៉ិន ឯ.ក</t>
        </is>
      </c>
      <c r="D263" s="522" t="inlineStr">
        <is>
          <t>K004-902004795</t>
        </is>
      </c>
      <c r="E263" s="521" t="inlineStr">
        <is>
          <t>TI2022-0085</t>
        </is>
      </c>
      <c r="F263" s="523" t="n">
        <v>44592</v>
      </c>
      <c r="G263" s="556" t="n">
        <v>782705</v>
      </c>
      <c r="I263" s="521">
        <f>G263</f>
        <v/>
      </c>
      <c r="K263" s="521">
        <f>I263-G263</f>
        <v/>
      </c>
      <c r="M263" s="522" t="inlineStr">
        <is>
          <t>TI20220085</t>
        </is>
      </c>
      <c r="N263" s="522" t="inlineStr"/>
      <c r="O263" s="521">
        <f>M263=N263</f>
        <v/>
      </c>
      <c r="P263" s="521">
        <f>AND(MONTH(F263)=MONTH(S263), YEAR(F263)=YEAR(S263))</f>
        <v/>
      </c>
      <c r="Q263" s="521">
        <f>U263="L001-901905215"</f>
        <v/>
      </c>
      <c r="R263" s="556">
        <f>G263-W263</f>
        <v/>
      </c>
      <c r="S263" s="521" t="n"/>
      <c r="T263" s="522" t="n"/>
      <c r="U263" s="522" t="n"/>
      <c r="V263" s="522" t="n"/>
      <c r="W263" s="521" t="n"/>
    </row>
    <row r="264">
      <c r="A264" s="521" t="n">
        <v>256</v>
      </c>
      <c r="B264" s="522" t="inlineStr">
        <is>
          <t>Thc,doc Fee, Seal  Fee,Handling Fee</t>
        </is>
      </c>
      <c r="C264" s="522" t="inlineStr">
        <is>
          <t>56ប៊ី-លីង សឹបផ្លាយ ឆេន មេនេចម៉ិន ឯ.ក</t>
        </is>
      </c>
      <c r="D264" s="522" t="inlineStr">
        <is>
          <t>K004-902004795</t>
        </is>
      </c>
      <c r="E264" s="521" t="inlineStr">
        <is>
          <t>TI2022-0092</t>
        </is>
      </c>
      <c r="F264" s="523" t="n">
        <v>44592</v>
      </c>
      <c r="G264" s="556" t="n">
        <v>288686</v>
      </c>
      <c r="I264" s="521">
        <f>G264</f>
        <v/>
      </c>
      <c r="K264" s="521">
        <f>I264-G264</f>
        <v/>
      </c>
      <c r="M264" s="522" t="inlineStr">
        <is>
          <t>TI20220092</t>
        </is>
      </c>
      <c r="N264" s="522" t="inlineStr">
        <is>
          <t>TI20220092</t>
        </is>
      </c>
      <c r="O264" s="521">
        <f>M264=N264</f>
        <v/>
      </c>
      <c r="P264" s="521">
        <f>AND(MONTH(F264)=MONTH(S264), YEAR(F264)=YEAR(S264))</f>
        <v/>
      </c>
      <c r="Q264" s="521">
        <f>U264="L001-901905215"</f>
        <v/>
      </c>
      <c r="R264" s="556">
        <f>G264-W264</f>
        <v/>
      </c>
      <c r="S264" s="523" t="n">
        <v>44592</v>
      </c>
      <c r="T264" s="522" t="inlineStr">
        <is>
          <t>TI2022-0092</t>
        </is>
      </c>
      <c r="U264" s="522" t="inlineStr">
        <is>
          <t>L001-901905215</t>
        </is>
      </c>
      <c r="V264" s="522" t="inlineStr">
        <is>
          <t>វីអ៊ីស៊ិន (ខេមបូឌា) អ៊ិនដាសស្ទ្រី ឯ.ក</t>
        </is>
      </c>
      <c r="W264" s="556" t="n">
        <v>288686</v>
      </c>
    </row>
    <row r="265">
      <c r="A265" s="521" t="n">
        <v>257</v>
      </c>
      <c r="B265" s="522" t="inlineStr">
        <is>
          <t>Lift-Off Charge,Gate Fee Charge</t>
        </is>
      </c>
      <c r="C265" s="522" t="inlineStr">
        <is>
          <t>កំពង់ផែស្វយ័តភ្នំពេញ "ក.ស.ភ"</t>
        </is>
      </c>
      <c r="D265" s="522" t="inlineStr">
        <is>
          <t>L001-100044999</t>
        </is>
      </c>
      <c r="E265" s="521" t="inlineStr">
        <is>
          <t>INV20220107346</t>
        </is>
      </c>
      <c r="F265" s="523" t="n">
        <v>44588</v>
      </c>
      <c r="G265" s="556" t="n">
        <v>58550</v>
      </c>
      <c r="I265" s="521">
        <f>G265</f>
        <v/>
      </c>
      <c r="K265" s="521">
        <f>I265-G265</f>
        <v/>
      </c>
      <c r="M265" s="522" t="inlineStr">
        <is>
          <t>INV20220107346</t>
        </is>
      </c>
      <c r="N265" s="522" t="inlineStr"/>
      <c r="O265" s="521">
        <f>M265=N265</f>
        <v/>
      </c>
      <c r="P265" s="521">
        <f>AND(MONTH(F265)=MONTH(S265), YEAR(F265)=YEAR(S265))</f>
        <v/>
      </c>
      <c r="Q265" s="521">
        <f>U265="L001-901905215"</f>
        <v/>
      </c>
      <c r="R265" s="556">
        <f>G265-W265</f>
        <v/>
      </c>
      <c r="S265" s="521" t="n"/>
      <c r="T265" s="522" t="n"/>
      <c r="U265" s="522" t="n"/>
      <c r="V265" s="522" t="n"/>
      <c r="W265" s="521" t="n"/>
    </row>
    <row r="266">
      <c r="A266" s="521" t="n">
        <v>258</v>
      </c>
      <c r="B266" s="522" t="inlineStr">
        <is>
          <t>CLERANCE &amp; TRUCKING FEE</t>
        </is>
      </c>
      <c r="C266" s="522" t="inlineStr">
        <is>
          <t>56ប៊ី-លីង សឹបផ្លាយ ឆេន មេនេចម៉ិន ឯ.ក</t>
        </is>
      </c>
      <c r="D266" s="522" t="inlineStr">
        <is>
          <t>K004-902004795</t>
        </is>
      </c>
      <c r="E266" s="521" t="inlineStr">
        <is>
          <t>TI2022-0083</t>
        </is>
      </c>
      <c r="F266" s="523" t="n">
        <v>44562</v>
      </c>
      <c r="G266" s="556" t="n">
        <v>483854</v>
      </c>
      <c r="I266" s="521">
        <f>G266</f>
        <v/>
      </c>
      <c r="K266" s="521">
        <f>I266-G266</f>
        <v/>
      </c>
      <c r="M266" s="522" t="inlineStr">
        <is>
          <t>TI20220083</t>
        </is>
      </c>
      <c r="N266" s="522" t="inlineStr"/>
      <c r="O266" s="521">
        <f>M266=N266</f>
        <v/>
      </c>
      <c r="P266" s="521">
        <f>AND(MONTH(F266)=MONTH(S266), YEAR(F266)=YEAR(S266))</f>
        <v/>
      </c>
      <c r="Q266" s="521">
        <f>U266="L001-901905215"</f>
        <v/>
      </c>
      <c r="R266" s="556">
        <f>G266-W266</f>
        <v/>
      </c>
      <c r="S266" s="521" t="n"/>
      <c r="T266" s="522" t="n"/>
      <c r="U266" s="522" t="n"/>
      <c r="V266" s="522" t="n"/>
      <c r="W266" s="521" t="n"/>
    </row>
    <row r="267">
      <c r="A267" s="521" t="n">
        <v>259</v>
      </c>
      <c r="B267" s="522" t="inlineStr">
        <is>
          <t>Lift-Off Charge,Gate Fee Charge</t>
        </is>
      </c>
      <c r="C267" s="522" t="inlineStr">
        <is>
          <t>កំពង់ផែស្វយ័តភ្នំពេញ "ក.ស.ភ"</t>
        </is>
      </c>
      <c r="D267" s="522" t="inlineStr">
        <is>
          <t>L001-100044999</t>
        </is>
      </c>
      <c r="E267" s="521" t="inlineStr">
        <is>
          <t>INV20220106262</t>
        </is>
      </c>
      <c r="F267" s="523" t="n">
        <v>44585</v>
      </c>
      <c r="G267" s="556" t="n">
        <v>58594</v>
      </c>
      <c r="I267" s="521">
        <f>G267</f>
        <v/>
      </c>
      <c r="K267" s="521">
        <f>I267-G267</f>
        <v/>
      </c>
      <c r="M267" s="522" t="inlineStr">
        <is>
          <t>INV20220106262</t>
        </is>
      </c>
      <c r="N267" s="522" t="inlineStr"/>
      <c r="O267" s="521">
        <f>M267=N267</f>
        <v/>
      </c>
      <c r="P267" s="521">
        <f>AND(MONTH(F267)=MONTH(S267), YEAR(F267)=YEAR(S267))</f>
        <v/>
      </c>
      <c r="Q267" s="521">
        <f>U267="L001-901905215"</f>
        <v/>
      </c>
      <c r="R267" s="556">
        <f>G267-W267</f>
        <v/>
      </c>
      <c r="S267" s="521" t="n"/>
      <c r="T267" s="522" t="n"/>
      <c r="U267" s="522" t="n"/>
      <c r="V267" s="522" t="n"/>
      <c r="W267" s="521" t="n"/>
    </row>
    <row r="268">
      <c r="A268" s="521" t="n">
        <v>260</v>
      </c>
      <c r="B268" s="522" t="inlineStr">
        <is>
          <t>CLERANCE &amp; TRUCKING FEE</t>
        </is>
      </c>
      <c r="C268" s="522" t="inlineStr">
        <is>
          <t>56ប៊ី-លីង សឹបផ្លាយ ឆេន មេនេចម៉ិន ឯ.ក</t>
        </is>
      </c>
      <c r="D268" s="522" t="inlineStr">
        <is>
          <t>K004-902004795</t>
        </is>
      </c>
      <c r="E268" s="521" t="inlineStr">
        <is>
          <t>TI2022-0057</t>
        </is>
      </c>
      <c r="F268" s="523" t="n">
        <v>44562</v>
      </c>
      <c r="G268" s="556" t="n">
        <v>483854</v>
      </c>
      <c r="I268" s="521">
        <f>G268</f>
        <v/>
      </c>
      <c r="K268" s="521">
        <f>I268-G268</f>
        <v/>
      </c>
      <c r="M268" s="522" t="inlineStr">
        <is>
          <t>TI20220057</t>
        </is>
      </c>
      <c r="N268" s="522" t="inlineStr">
        <is>
          <t>TI20220057</t>
        </is>
      </c>
      <c r="O268" s="521">
        <f>M268=N268</f>
        <v/>
      </c>
      <c r="P268" s="521">
        <f>AND(MONTH(F268)=MONTH(S268), YEAR(F268)=YEAR(S268))</f>
        <v/>
      </c>
      <c r="Q268" s="521">
        <f>U268="L001-901905215"</f>
        <v/>
      </c>
      <c r="R268" s="556">
        <f>G268-W268</f>
        <v/>
      </c>
      <c r="S268" s="523" t="n">
        <v>44589</v>
      </c>
      <c r="T268" s="522" t="inlineStr">
        <is>
          <t>TI2022-0057</t>
        </is>
      </c>
      <c r="U268" s="522" t="inlineStr">
        <is>
          <t>L001-901905215</t>
        </is>
      </c>
      <c r="V268" s="522" t="inlineStr">
        <is>
          <t>វីអ៊ីស៊ិន (ខេមបូឌា) អ៊ិនដាសស្ទ្រី ឯ.ក</t>
        </is>
      </c>
      <c r="W268" s="556" t="n">
        <v>483854</v>
      </c>
    </row>
    <row r="269">
      <c r="A269" s="521" t="n">
        <v>261</v>
      </c>
      <c r="B269" s="522" t="inlineStr">
        <is>
          <t>Lift-Off</t>
        </is>
      </c>
      <c r="C269" s="522" t="inlineStr">
        <is>
          <t>កំពង់ផែស្វយ័តក្រុងព្រះសីហនុ</t>
        </is>
      </c>
      <c r="D269" s="522" t="inlineStr">
        <is>
          <t>L001-100044638</t>
        </is>
      </c>
      <c r="E269" s="521" t="inlineStr">
        <is>
          <t>015562</t>
        </is>
      </c>
      <c r="F269" s="523" t="n">
        <v>44583</v>
      </c>
      <c r="G269" s="556" t="n">
        <v>20757</v>
      </c>
      <c r="I269" s="521">
        <f>G269</f>
        <v/>
      </c>
      <c r="K269" s="521">
        <f>I269-G269</f>
        <v/>
      </c>
      <c r="M269" s="522" t="inlineStr">
        <is>
          <t>015562</t>
        </is>
      </c>
      <c r="N269" s="522" t="inlineStr"/>
      <c r="O269" s="521">
        <f>M269=N269</f>
        <v/>
      </c>
      <c r="P269" s="521">
        <f>AND(MONTH(F269)=MONTH(S269), YEAR(F269)=YEAR(S269))</f>
        <v/>
      </c>
      <c r="Q269" s="521">
        <f>U269="L001-901905215"</f>
        <v/>
      </c>
      <c r="R269" s="556">
        <f>G269-W269</f>
        <v/>
      </c>
      <c r="S269" s="521" t="n"/>
      <c r="T269" s="522" t="n"/>
      <c r="U269" s="522" t="n"/>
      <c r="V269" s="522" t="n"/>
      <c r="W269" s="521" t="n"/>
    </row>
    <row r="270">
      <c r="A270" s="521" t="n">
        <v>262</v>
      </c>
      <c r="B270" s="522" t="inlineStr">
        <is>
          <t>Lift-Off</t>
        </is>
      </c>
      <c r="C270" s="522" t="inlineStr">
        <is>
          <t>កំពង់ផែស្វយ័តក្រុងព្រះសីហនុ</t>
        </is>
      </c>
      <c r="D270" s="522" t="inlineStr">
        <is>
          <t>L001-100044638</t>
        </is>
      </c>
      <c r="E270" s="521" t="inlineStr">
        <is>
          <t>015561</t>
        </is>
      </c>
      <c r="F270" s="523" t="n">
        <v>44583</v>
      </c>
      <c r="G270" s="556" t="n">
        <v>20757</v>
      </c>
      <c r="I270" s="521">
        <f>G270</f>
        <v/>
      </c>
      <c r="K270" s="521">
        <f>I270-G270</f>
        <v/>
      </c>
      <c r="M270" s="522" t="inlineStr">
        <is>
          <t>015561</t>
        </is>
      </c>
      <c r="N270" s="522" t="inlineStr"/>
      <c r="O270" s="521">
        <f>M270=N270</f>
        <v/>
      </c>
      <c r="P270" s="521">
        <f>AND(MONTH(F270)=MONTH(S270), YEAR(F270)=YEAR(S270))</f>
        <v/>
      </c>
      <c r="Q270" s="521">
        <f>U270="L001-901905215"</f>
        <v/>
      </c>
      <c r="R270" s="556">
        <f>G270-W270</f>
        <v/>
      </c>
      <c r="S270" s="521" t="n"/>
      <c r="T270" s="522" t="n"/>
      <c r="U270" s="522" t="n"/>
      <c r="V270" s="522" t="n"/>
      <c r="W270" s="521" t="n"/>
    </row>
    <row r="271">
      <c r="A271" s="521" t="n">
        <v>263</v>
      </c>
      <c r="B271" s="522" t="inlineStr">
        <is>
          <t>CLERANCE &amp; TRUCKING FEE</t>
        </is>
      </c>
      <c r="C271" s="522" t="inlineStr">
        <is>
          <t>56ប៊ី-លីង សឹបផ្លាយ ឆេន មេនេចម៉ិន ឯ.ក</t>
        </is>
      </c>
      <c r="D271" s="522" t="inlineStr">
        <is>
          <t>K004-902004795</t>
        </is>
      </c>
      <c r="E271" s="521" t="inlineStr">
        <is>
          <t>TI2022-0056</t>
        </is>
      </c>
      <c r="F271" s="523" t="n">
        <v>44562</v>
      </c>
      <c r="G271" s="556" t="n">
        <v>540778</v>
      </c>
      <c r="I271" s="521">
        <f>G271</f>
        <v/>
      </c>
      <c r="K271" s="521">
        <f>I271-G271</f>
        <v/>
      </c>
      <c r="M271" s="522" t="inlineStr">
        <is>
          <t>TI20220056</t>
        </is>
      </c>
      <c r="N271" s="522" t="inlineStr">
        <is>
          <t>TI20220056</t>
        </is>
      </c>
      <c r="O271" s="521">
        <f>M271=N271</f>
        <v/>
      </c>
      <c r="P271" s="521">
        <f>AND(MONTH(F271)=MONTH(S271), YEAR(F271)=YEAR(S271))</f>
        <v/>
      </c>
      <c r="Q271" s="521">
        <f>U271="L001-901905215"</f>
        <v/>
      </c>
      <c r="R271" s="556">
        <f>G271-W271</f>
        <v/>
      </c>
      <c r="S271" s="523" t="n">
        <v>44589</v>
      </c>
      <c r="T271" s="522" t="inlineStr">
        <is>
          <t>TI2022-0056</t>
        </is>
      </c>
      <c r="U271" s="522" t="inlineStr">
        <is>
          <t>L001-901905215</t>
        </is>
      </c>
      <c r="V271" s="522" t="inlineStr">
        <is>
          <t>វីអ៊ីស៊ិន (ខេមបូឌា) អ៊ិនដាសស្ទ្រី ឯ.ក</t>
        </is>
      </c>
      <c r="W271" s="556" t="n">
        <v>540778</v>
      </c>
    </row>
    <row r="272">
      <c r="A272" s="521" t="n">
        <v>264</v>
      </c>
      <c r="B272" s="522" t="inlineStr">
        <is>
          <t>Lift-Off Charge,Gate Fee Charge</t>
        </is>
      </c>
      <c r="C272" s="522" t="inlineStr">
        <is>
          <t>កំពង់ផែស្វយ័តភ្នំពេញ "ក.ស.ភ"</t>
        </is>
      </c>
      <c r="D272" s="522" t="inlineStr">
        <is>
          <t>L001-100044999</t>
        </is>
      </c>
      <c r="E272" s="521" t="inlineStr">
        <is>
          <t>INV20220104942</t>
        </is>
      </c>
      <c r="F272" s="523" t="n">
        <v>44580</v>
      </c>
      <c r="G272" s="556" t="n">
        <v>87955</v>
      </c>
      <c r="I272" s="521">
        <f>G272</f>
        <v/>
      </c>
      <c r="K272" s="521">
        <f>I272-G272</f>
        <v/>
      </c>
      <c r="M272" s="522" t="inlineStr">
        <is>
          <t>INV20220104942</t>
        </is>
      </c>
      <c r="N272" s="522" t="inlineStr"/>
      <c r="O272" s="521">
        <f>M272=N272</f>
        <v/>
      </c>
      <c r="P272" s="521">
        <f>AND(MONTH(F272)=MONTH(S272), YEAR(F272)=YEAR(S272))</f>
        <v/>
      </c>
      <c r="Q272" s="521">
        <f>U272="L001-901905215"</f>
        <v/>
      </c>
      <c r="R272" s="556">
        <f>G272-W272</f>
        <v/>
      </c>
      <c r="S272" s="521" t="n"/>
      <c r="T272" s="522" t="n"/>
      <c r="U272" s="522" t="n"/>
      <c r="V272" s="522" t="n"/>
      <c r="W272" s="521" t="n"/>
    </row>
    <row r="273">
      <c r="A273" s="521" t="n">
        <v>265</v>
      </c>
      <c r="B273" s="522" t="inlineStr">
        <is>
          <t>CLERANCE &amp; TRUCKING FEE</t>
        </is>
      </c>
      <c r="C273" s="522" t="inlineStr">
        <is>
          <t>56ប៊ី-លីង សឹបផ្លាយ ឆេន មេនេចម៉ិន ឯ.ក</t>
        </is>
      </c>
      <c r="D273" s="522" t="inlineStr">
        <is>
          <t>K004-902004795</t>
        </is>
      </c>
      <c r="E273" s="521" t="inlineStr">
        <is>
          <t>TI2022-0055</t>
        </is>
      </c>
      <c r="F273" s="523" t="n">
        <v>44562</v>
      </c>
      <c r="G273" s="556" t="n">
        <v>697319</v>
      </c>
      <c r="I273" s="521">
        <f>G273</f>
        <v/>
      </c>
      <c r="K273" s="521">
        <f>I273-G273</f>
        <v/>
      </c>
      <c r="M273" s="522" t="inlineStr">
        <is>
          <t>TI20220055</t>
        </is>
      </c>
      <c r="N273" s="522" t="inlineStr">
        <is>
          <t>TI20220055</t>
        </is>
      </c>
      <c r="O273" s="521">
        <f>M273=N273</f>
        <v/>
      </c>
      <c r="P273" s="521">
        <f>AND(MONTH(F273)=MONTH(S273), YEAR(F273)=YEAR(S273))</f>
        <v/>
      </c>
      <c r="Q273" s="521">
        <f>U273="L001-901905215"</f>
        <v/>
      </c>
      <c r="R273" s="556">
        <f>G273-W273</f>
        <v/>
      </c>
      <c r="S273" s="523" t="n">
        <v>44589</v>
      </c>
      <c r="T273" s="522" t="inlineStr">
        <is>
          <t>TI2022-0055</t>
        </is>
      </c>
      <c r="U273" s="522" t="inlineStr">
        <is>
          <t>L001-901905215</t>
        </is>
      </c>
      <c r="V273" s="522" t="inlineStr">
        <is>
          <t>វីអ៊ីស៊ិន (ខេមបូឌា) អ៊ិនដាសស្ទ្រី ឯ.ក</t>
        </is>
      </c>
      <c r="W273" s="556" t="n">
        <v>697319</v>
      </c>
    </row>
    <row r="274">
      <c r="A274" s="521" t="n">
        <v>266</v>
      </c>
      <c r="B274" s="522" t="inlineStr">
        <is>
          <t>Lift-Off Charge,Gate Fee Charge</t>
        </is>
      </c>
      <c r="C274" s="522" t="inlineStr">
        <is>
          <t>កំពង់ផែស្វយ័តភ្នំពេញ "ក.ស.ភ"</t>
        </is>
      </c>
      <c r="D274" s="522" t="inlineStr">
        <is>
          <t>L001-100044999</t>
        </is>
      </c>
      <c r="E274" s="521" t="inlineStr">
        <is>
          <t>INV20220104941</t>
        </is>
      </c>
      <c r="F274" s="523" t="n">
        <v>44562</v>
      </c>
      <c r="G274" s="556" t="n">
        <v>58637</v>
      </c>
      <c r="I274" s="521">
        <f>G274</f>
        <v/>
      </c>
      <c r="K274" s="521">
        <f>I274-G274</f>
        <v/>
      </c>
      <c r="M274" s="522" t="inlineStr">
        <is>
          <t>INV20220104941</t>
        </is>
      </c>
      <c r="N274" s="522" t="inlineStr"/>
      <c r="O274" s="521">
        <f>M274=N274</f>
        <v/>
      </c>
      <c r="P274" s="521">
        <f>AND(MONTH(F274)=MONTH(S274), YEAR(F274)=YEAR(S274))</f>
        <v/>
      </c>
      <c r="Q274" s="521">
        <f>U274="L001-901905215"</f>
        <v/>
      </c>
      <c r="R274" s="556">
        <f>G274-W274</f>
        <v/>
      </c>
      <c r="S274" s="521" t="n"/>
      <c r="T274" s="522" t="n"/>
      <c r="U274" s="522" t="n"/>
      <c r="V274" s="522" t="n"/>
      <c r="W274" s="521" t="n"/>
    </row>
    <row r="275">
      <c r="A275" s="521" t="n">
        <v>267</v>
      </c>
      <c r="B275" s="522" t="inlineStr">
        <is>
          <t>CLERANCE &amp; TRUCKING FEE</t>
        </is>
      </c>
      <c r="C275" s="522" t="inlineStr">
        <is>
          <t>56ប៊ី-លីង សឹបផ្លាយ ឆេន មេនេចម៉ិន ឯ.ក</t>
        </is>
      </c>
      <c r="D275" s="522" t="inlineStr">
        <is>
          <t>K004-902004795</t>
        </is>
      </c>
      <c r="E275" s="521" t="inlineStr">
        <is>
          <t>TI2022-0054</t>
        </is>
      </c>
      <c r="F275" s="523" t="n">
        <v>44562</v>
      </c>
      <c r="G275" s="556" t="n">
        <v>483854</v>
      </c>
      <c r="I275" s="521">
        <f>G275</f>
        <v/>
      </c>
      <c r="K275" s="521">
        <f>I275-G275</f>
        <v/>
      </c>
      <c r="M275" s="522" t="inlineStr">
        <is>
          <t>TI20220054</t>
        </is>
      </c>
      <c r="N275" s="522" t="inlineStr">
        <is>
          <t>TI20220054</t>
        </is>
      </c>
      <c r="O275" s="521">
        <f>M275=N275</f>
        <v/>
      </c>
      <c r="P275" s="521">
        <f>AND(MONTH(F275)=MONTH(S275), YEAR(F275)=YEAR(S275))</f>
        <v/>
      </c>
      <c r="Q275" s="521">
        <f>U275="L001-901905215"</f>
        <v/>
      </c>
      <c r="R275" s="556">
        <f>G275-W275</f>
        <v/>
      </c>
      <c r="S275" s="523" t="n">
        <v>44589</v>
      </c>
      <c r="T275" s="522" t="inlineStr">
        <is>
          <t>TI2022-0054</t>
        </is>
      </c>
      <c r="U275" s="522" t="inlineStr">
        <is>
          <t>L001-901905215</t>
        </is>
      </c>
      <c r="V275" s="522" t="inlineStr">
        <is>
          <t>វីអ៊ីស៊ិន (ខេមបូឌា) អ៊ិនដាសស្ទ្រី ឯ.ក</t>
        </is>
      </c>
      <c r="W275" s="556" t="n">
        <v>483854</v>
      </c>
    </row>
    <row r="276">
      <c r="A276" s="521" t="n">
        <v>268</v>
      </c>
      <c r="B276" s="522" t="inlineStr">
        <is>
          <t>Lift-Off Charge,Gate Fee Charge</t>
        </is>
      </c>
      <c r="C276" s="522" t="inlineStr">
        <is>
          <t>កំពង់ផែស្វយ័តភ្នំពេញ "ក.ស.ភ"</t>
        </is>
      </c>
      <c r="D276" s="522" t="inlineStr">
        <is>
          <t>L001-100044999</t>
        </is>
      </c>
      <c r="E276" s="521" t="inlineStr">
        <is>
          <t>INV20220103809</t>
        </is>
      </c>
      <c r="F276" s="523" t="n">
        <v>44576</v>
      </c>
      <c r="G276" s="556" t="n">
        <v>107554</v>
      </c>
      <c r="I276" s="521">
        <f>G276</f>
        <v/>
      </c>
      <c r="K276" s="521">
        <f>I276-G276</f>
        <v/>
      </c>
      <c r="M276" s="522" t="inlineStr">
        <is>
          <t>INV20220103809</t>
        </is>
      </c>
      <c r="N276" s="522" t="inlineStr"/>
      <c r="O276" s="521">
        <f>M276=N276</f>
        <v/>
      </c>
      <c r="P276" s="521">
        <f>AND(MONTH(F276)=MONTH(S276), YEAR(F276)=YEAR(S276))</f>
        <v/>
      </c>
      <c r="Q276" s="521">
        <f>U276="L001-901905215"</f>
        <v/>
      </c>
      <c r="R276" s="556">
        <f>G276-W276</f>
        <v/>
      </c>
      <c r="S276" s="521" t="n"/>
      <c r="T276" s="522" t="n"/>
      <c r="U276" s="522" t="n"/>
      <c r="V276" s="522" t="n"/>
      <c r="W276" s="521" t="n"/>
    </row>
    <row r="277">
      <c r="A277" s="521" t="n">
        <v>269</v>
      </c>
      <c r="B277" s="522" t="inlineStr">
        <is>
          <t>CLERANCE &amp; TRUCKING FEE</t>
        </is>
      </c>
      <c r="C277" s="522" t="inlineStr">
        <is>
          <t>56ប៊ី-លីង សឹបផ្លាយ ឆេន មេនេចម៉ិន ឯ.ក</t>
        </is>
      </c>
      <c r="D277" s="522" t="inlineStr">
        <is>
          <t>K004-902004795</t>
        </is>
      </c>
      <c r="E277" s="521" t="inlineStr">
        <is>
          <t>TI2022-0052</t>
        </is>
      </c>
      <c r="F277" s="523" t="n">
        <v>44588</v>
      </c>
      <c r="G277" s="556" t="n">
        <v>898586</v>
      </c>
      <c r="I277" s="521">
        <f>G277</f>
        <v/>
      </c>
      <c r="K277" s="521">
        <f>I277-G277</f>
        <v/>
      </c>
      <c r="M277" s="522" t="inlineStr">
        <is>
          <t>TI20220052</t>
        </is>
      </c>
      <c r="N277" s="522" t="inlineStr">
        <is>
          <t>TI20220052</t>
        </is>
      </c>
      <c r="O277" s="521">
        <f>M277=N277</f>
        <v/>
      </c>
      <c r="P277" s="521">
        <f>AND(MONTH(F277)=MONTH(S277), YEAR(F277)=YEAR(S277))</f>
        <v/>
      </c>
      <c r="Q277" s="521">
        <f>U277="L001-901905215"</f>
        <v/>
      </c>
      <c r="R277" s="556">
        <f>G277-W277</f>
        <v/>
      </c>
      <c r="S277" s="523" t="n">
        <v>44587</v>
      </c>
      <c r="T277" s="522" t="inlineStr">
        <is>
          <t>TI2022-0052</t>
        </is>
      </c>
      <c r="U277" s="522" t="inlineStr">
        <is>
          <t>L001-901905215</t>
        </is>
      </c>
      <c r="V277" s="522" t="inlineStr">
        <is>
          <t>វីអ៊ីស៊ិន (ខេមបូឌា) អ៊ិនដាសស្ទ្រី ឯ.ក</t>
        </is>
      </c>
      <c r="W277" s="556" t="n">
        <v>898586</v>
      </c>
    </row>
    <row r="278">
      <c r="A278" s="521" t="n">
        <v>270</v>
      </c>
      <c r="B278" s="522" t="inlineStr">
        <is>
          <t>Lift-Off</t>
        </is>
      </c>
      <c r="C278" s="522" t="inlineStr">
        <is>
          <t>កំពង់ផែស្វយ័តក្រុងព្រះសីហនុ</t>
        </is>
      </c>
      <c r="D278" s="522" t="inlineStr">
        <is>
          <t>L001-100044638</t>
        </is>
      </c>
      <c r="E278" s="521" t="inlineStr">
        <is>
          <t>008088</t>
        </is>
      </c>
      <c r="F278" s="523" t="n">
        <v>44575</v>
      </c>
      <c r="G278" s="556" t="n">
        <v>20777</v>
      </c>
      <c r="I278" s="521">
        <f>G278</f>
        <v/>
      </c>
      <c r="K278" s="521">
        <f>I278-G278</f>
        <v/>
      </c>
      <c r="M278" s="522" t="inlineStr">
        <is>
          <t>008088</t>
        </is>
      </c>
      <c r="N278" s="522" t="inlineStr"/>
      <c r="O278" s="521">
        <f>M278=N278</f>
        <v/>
      </c>
      <c r="P278" s="521">
        <f>AND(MONTH(F278)=MONTH(S278), YEAR(F278)=YEAR(S278))</f>
        <v/>
      </c>
      <c r="Q278" s="521">
        <f>U278="L001-901905215"</f>
        <v/>
      </c>
      <c r="R278" s="556">
        <f>G278-W278</f>
        <v/>
      </c>
      <c r="S278" s="521" t="n"/>
      <c r="T278" s="522" t="n"/>
      <c r="U278" s="522" t="n"/>
      <c r="V278" s="522" t="n"/>
      <c r="W278" s="521" t="n"/>
    </row>
    <row r="279">
      <c r="A279" s="521" t="n">
        <v>271</v>
      </c>
      <c r="B279" s="522" t="inlineStr">
        <is>
          <t>Lift-Off</t>
        </is>
      </c>
      <c r="C279" s="522" t="inlineStr">
        <is>
          <t>កំពង់ផែស្វយ័តក្រុងព្រះសីហនុ</t>
        </is>
      </c>
      <c r="D279" s="522" t="inlineStr">
        <is>
          <t>L001-100044638</t>
        </is>
      </c>
      <c r="E279" s="521" t="inlineStr">
        <is>
          <t>008093</t>
        </is>
      </c>
      <c r="F279" s="523" t="n">
        <v>44575</v>
      </c>
      <c r="G279" s="556" t="n">
        <v>20777</v>
      </c>
      <c r="I279" s="521">
        <f>G279</f>
        <v/>
      </c>
      <c r="K279" s="521">
        <f>I279-G279</f>
        <v/>
      </c>
      <c r="M279" s="522" t="inlineStr">
        <is>
          <t>008093</t>
        </is>
      </c>
      <c r="N279" s="522" t="inlineStr"/>
      <c r="O279" s="521">
        <f>M279=N279</f>
        <v/>
      </c>
      <c r="P279" s="521">
        <f>AND(MONTH(F279)=MONTH(S279), YEAR(F279)=YEAR(S279))</f>
        <v/>
      </c>
      <c r="Q279" s="521">
        <f>U279="L001-901905215"</f>
        <v/>
      </c>
      <c r="R279" s="556">
        <f>G279-W279</f>
        <v/>
      </c>
      <c r="S279" s="521" t="n"/>
      <c r="T279" s="522" t="n"/>
      <c r="U279" s="522" t="n"/>
      <c r="V279" s="522" t="n"/>
      <c r="W279" s="521" t="n"/>
    </row>
    <row r="280">
      <c r="A280" s="521" t="n">
        <v>272</v>
      </c>
      <c r="B280" s="522" t="inlineStr">
        <is>
          <t>Lift-Off</t>
        </is>
      </c>
      <c r="C280" s="522" t="inlineStr">
        <is>
          <t>កំពង់ផែស្វយ័តក្រុងព្រះសីហនុ</t>
        </is>
      </c>
      <c r="D280" s="522" t="inlineStr">
        <is>
          <t>L001-100044638</t>
        </is>
      </c>
      <c r="E280" s="521" t="inlineStr">
        <is>
          <t>008090</t>
        </is>
      </c>
      <c r="F280" s="523" t="n">
        <v>44575</v>
      </c>
      <c r="G280" s="556" t="n">
        <v>20777</v>
      </c>
      <c r="I280" s="521">
        <f>G280</f>
        <v/>
      </c>
      <c r="K280" s="521">
        <f>I280-G280</f>
        <v/>
      </c>
      <c r="M280" s="522" t="inlineStr">
        <is>
          <t>008090</t>
        </is>
      </c>
      <c r="N280" s="522" t="inlineStr"/>
      <c r="O280" s="521">
        <f>M280=N280</f>
        <v/>
      </c>
      <c r="P280" s="521">
        <f>AND(MONTH(F280)=MONTH(S280), YEAR(F280)=YEAR(S280))</f>
        <v/>
      </c>
      <c r="Q280" s="521">
        <f>U280="L001-901905215"</f>
        <v/>
      </c>
      <c r="R280" s="556">
        <f>G280-W280</f>
        <v/>
      </c>
      <c r="S280" s="521" t="n"/>
      <c r="T280" s="522" t="n"/>
      <c r="U280" s="522" t="n"/>
      <c r="V280" s="522" t="n"/>
      <c r="W280" s="521" t="n"/>
    </row>
    <row r="281">
      <c r="A281" s="521" t="n">
        <v>273</v>
      </c>
      <c r="B281" s="522" t="inlineStr">
        <is>
          <t>Lift-Off</t>
        </is>
      </c>
      <c r="C281" s="522" t="inlineStr">
        <is>
          <t>កំពង់ផែស្វយ័តក្រុងព្រះសីហនុ</t>
        </is>
      </c>
      <c r="D281" s="522" t="inlineStr">
        <is>
          <t>L001-100044638</t>
        </is>
      </c>
      <c r="E281" s="521" t="inlineStr">
        <is>
          <t>007177</t>
        </is>
      </c>
      <c r="F281" s="523" t="n">
        <v>44574</v>
      </c>
      <c r="G281" s="556" t="n">
        <v>20777</v>
      </c>
      <c r="I281" s="521">
        <f>G281</f>
        <v/>
      </c>
      <c r="K281" s="521">
        <f>I281-G281</f>
        <v/>
      </c>
      <c r="M281" s="522" t="inlineStr">
        <is>
          <t>007177</t>
        </is>
      </c>
      <c r="N281" s="522" t="inlineStr"/>
      <c r="O281" s="521">
        <f>M281=N281</f>
        <v/>
      </c>
      <c r="P281" s="521">
        <f>AND(MONTH(F281)=MONTH(S281), YEAR(F281)=YEAR(S281))</f>
        <v/>
      </c>
      <c r="Q281" s="521">
        <f>U281="L001-901905215"</f>
        <v/>
      </c>
      <c r="R281" s="556">
        <f>G281-W281</f>
        <v/>
      </c>
      <c r="S281" s="521" t="n"/>
      <c r="T281" s="522" t="n"/>
      <c r="U281" s="522" t="n"/>
      <c r="V281" s="522" t="n"/>
      <c r="W281" s="521" t="n"/>
    </row>
    <row r="282">
      <c r="A282" s="521" t="n">
        <v>274</v>
      </c>
      <c r="B282" s="522" t="inlineStr">
        <is>
          <t>Lift-Off</t>
        </is>
      </c>
      <c r="C282" s="522" t="inlineStr">
        <is>
          <t>កំពង់ផែស្វយ័តក្រុងព្រះសីហនុ</t>
        </is>
      </c>
      <c r="D282" s="522" t="inlineStr">
        <is>
          <t>L001-100044638</t>
        </is>
      </c>
      <c r="E282" s="521" t="inlineStr">
        <is>
          <t>007179</t>
        </is>
      </c>
      <c r="F282" s="523" t="n">
        <v>44574</v>
      </c>
      <c r="G282" s="556" t="n">
        <v>20777</v>
      </c>
      <c r="I282" s="521">
        <f>G282</f>
        <v/>
      </c>
      <c r="K282" s="521">
        <f>I282-G282</f>
        <v/>
      </c>
      <c r="M282" s="522" t="inlineStr">
        <is>
          <t>007179</t>
        </is>
      </c>
      <c r="N282" s="522" t="inlineStr"/>
      <c r="O282" s="521">
        <f>M282=N282</f>
        <v/>
      </c>
      <c r="P282" s="521">
        <f>AND(MONTH(F282)=MONTH(S282), YEAR(F282)=YEAR(S282))</f>
        <v/>
      </c>
      <c r="Q282" s="521">
        <f>U282="L001-901905215"</f>
        <v/>
      </c>
      <c r="R282" s="556">
        <f>G282-W282</f>
        <v/>
      </c>
      <c r="S282" s="521" t="n"/>
      <c r="T282" s="522" t="n"/>
      <c r="U282" s="522" t="n"/>
      <c r="V282" s="522" t="n"/>
      <c r="W282" s="521" t="n"/>
    </row>
    <row r="283">
      <c r="A283" s="521" t="n">
        <v>275</v>
      </c>
      <c r="B283" s="522" t="inlineStr">
        <is>
          <t>CLERANCE &amp; TRUCKING FEE</t>
        </is>
      </c>
      <c r="C283" s="522" t="inlineStr">
        <is>
          <t>56ប៊ី-លីង សឹបផ្លាយ ឆេន មេនេចម៉ិន ឯ.ក</t>
        </is>
      </c>
      <c r="D283" s="522" t="inlineStr">
        <is>
          <t>K004-902004795</t>
        </is>
      </c>
      <c r="E283" s="521" t="inlineStr">
        <is>
          <t>TI2022-0051</t>
        </is>
      </c>
      <c r="F283" s="523" t="n">
        <v>44588</v>
      </c>
      <c r="G283" s="556" t="n">
        <v>1266559</v>
      </c>
      <c r="I283" s="521">
        <f>G283</f>
        <v/>
      </c>
      <c r="K283" s="521">
        <f>I283-G283</f>
        <v/>
      </c>
      <c r="M283" s="522" t="inlineStr">
        <is>
          <t>TI20220051</t>
        </is>
      </c>
      <c r="N283" s="522" t="inlineStr">
        <is>
          <t>TI20220051</t>
        </is>
      </c>
      <c r="O283" s="521">
        <f>M283=N283</f>
        <v/>
      </c>
      <c r="P283" s="521">
        <f>AND(MONTH(F283)=MONTH(S283), YEAR(F283)=YEAR(S283))</f>
        <v/>
      </c>
      <c r="Q283" s="521">
        <f>U283="L001-901905215"</f>
        <v/>
      </c>
      <c r="R283" s="556">
        <f>G283-W283</f>
        <v/>
      </c>
      <c r="S283" s="523" t="n">
        <v>44588</v>
      </c>
      <c r="T283" s="522" t="inlineStr">
        <is>
          <t>TI2022-0051</t>
        </is>
      </c>
      <c r="U283" s="522" t="inlineStr">
        <is>
          <t>L001-901905215</t>
        </is>
      </c>
      <c r="V283" s="522" t="inlineStr">
        <is>
          <t>វីអ៊ីស៊ិន (ខេមបូឌា) អ៊ិនដាសស្ទ្រី ឯ.ក</t>
        </is>
      </c>
      <c r="W283" s="556" t="n">
        <v>1266559</v>
      </c>
    </row>
    <row r="284">
      <c r="A284" s="521" t="n">
        <v>276</v>
      </c>
      <c r="B284" s="522" t="inlineStr">
        <is>
          <t>Lift-Off</t>
        </is>
      </c>
      <c r="C284" s="522" t="inlineStr">
        <is>
          <t>កំពង់ផែស្វយ័តក្រុងព្រះសីហនុ</t>
        </is>
      </c>
      <c r="D284" s="522" t="inlineStr">
        <is>
          <t>L001-100044638</t>
        </is>
      </c>
      <c r="E284" s="521" t="inlineStr">
        <is>
          <t>006696</t>
        </is>
      </c>
      <c r="F284" s="523" t="n">
        <v>44573</v>
      </c>
      <c r="G284" s="556" t="n">
        <v>20777</v>
      </c>
      <c r="I284" s="521">
        <f>G284</f>
        <v/>
      </c>
      <c r="K284" s="521">
        <f>I284-G284</f>
        <v/>
      </c>
      <c r="M284" s="522" t="inlineStr">
        <is>
          <t>006696</t>
        </is>
      </c>
      <c r="N284" s="522" t="inlineStr"/>
      <c r="O284" s="521">
        <f>M284=N284</f>
        <v/>
      </c>
      <c r="P284" s="521">
        <f>AND(MONTH(F284)=MONTH(S284), YEAR(F284)=YEAR(S284))</f>
        <v/>
      </c>
      <c r="Q284" s="521">
        <f>U284="L001-901905215"</f>
        <v/>
      </c>
      <c r="R284" s="556">
        <f>G284-W284</f>
        <v/>
      </c>
      <c r="S284" s="521" t="n"/>
      <c r="T284" s="522" t="n"/>
      <c r="U284" s="522" t="n"/>
      <c r="V284" s="522" t="n"/>
      <c r="W284" s="521" t="n"/>
    </row>
    <row r="285">
      <c r="A285" s="521" t="n">
        <v>277</v>
      </c>
      <c r="B285" s="522" t="inlineStr">
        <is>
          <t>Lift-Off</t>
        </is>
      </c>
      <c r="C285" s="522" t="inlineStr">
        <is>
          <t>កំពង់ផែស្វយ័តក្រុងព្រះសីហនុ</t>
        </is>
      </c>
      <c r="D285" s="522" t="inlineStr">
        <is>
          <t>L001-100044638</t>
        </is>
      </c>
      <c r="E285" s="521" t="inlineStr">
        <is>
          <t>006699</t>
        </is>
      </c>
      <c r="F285" s="523" t="n">
        <v>44573</v>
      </c>
      <c r="G285" s="556" t="n">
        <v>20777</v>
      </c>
      <c r="I285" s="521">
        <f>G285</f>
        <v/>
      </c>
      <c r="K285" s="521">
        <f>I285-G285</f>
        <v/>
      </c>
      <c r="M285" s="522" t="inlineStr">
        <is>
          <t>006699</t>
        </is>
      </c>
      <c r="N285" s="522" t="inlineStr"/>
      <c r="O285" s="521">
        <f>M285=N285</f>
        <v/>
      </c>
      <c r="P285" s="521">
        <f>AND(MONTH(F285)=MONTH(S285), YEAR(F285)=YEAR(S285))</f>
        <v/>
      </c>
      <c r="Q285" s="521">
        <f>U285="L001-901905215"</f>
        <v/>
      </c>
      <c r="R285" s="556">
        <f>G285-W285</f>
        <v/>
      </c>
      <c r="S285" s="521" t="n"/>
      <c r="T285" s="522" t="n"/>
      <c r="U285" s="522" t="n"/>
      <c r="V285" s="522" t="n"/>
      <c r="W285" s="521" t="n"/>
    </row>
    <row r="286">
      <c r="A286" s="521" t="n">
        <v>278</v>
      </c>
      <c r="B286" s="522" t="inlineStr">
        <is>
          <t>Lift-Off</t>
        </is>
      </c>
      <c r="C286" s="522" t="inlineStr">
        <is>
          <t>កំពង់ផែស្វយ័តក្រុងព្រះសីហនុ</t>
        </is>
      </c>
      <c r="D286" s="522" t="inlineStr">
        <is>
          <t>L001-100044638</t>
        </is>
      </c>
      <c r="E286" s="521" t="inlineStr">
        <is>
          <t>006697</t>
        </is>
      </c>
      <c r="F286" s="523" t="n">
        <v>44573</v>
      </c>
      <c r="G286" s="556" t="n">
        <v>20777</v>
      </c>
      <c r="I286" s="521">
        <f>G286</f>
        <v/>
      </c>
      <c r="K286" s="521">
        <f>I286-G286</f>
        <v/>
      </c>
      <c r="M286" s="522" t="inlineStr">
        <is>
          <t>006697</t>
        </is>
      </c>
      <c r="N286" s="522" t="inlineStr"/>
      <c r="O286" s="521">
        <f>M286=N286</f>
        <v/>
      </c>
      <c r="P286" s="521">
        <f>AND(MONTH(F286)=MONTH(S286), YEAR(F286)=YEAR(S286))</f>
        <v/>
      </c>
      <c r="Q286" s="521">
        <f>U286="L001-901905215"</f>
        <v/>
      </c>
      <c r="R286" s="556">
        <f>G286-W286</f>
        <v/>
      </c>
      <c r="S286" s="521" t="n"/>
      <c r="T286" s="522" t="n"/>
      <c r="U286" s="522" t="n"/>
      <c r="V286" s="522" t="n"/>
      <c r="W286" s="521" t="n"/>
    </row>
    <row r="287">
      <c r="A287" s="521" t="n">
        <v>279</v>
      </c>
      <c r="B287" s="522" t="inlineStr">
        <is>
          <t>CLERANCE &amp; TRUCKING FEE</t>
        </is>
      </c>
      <c r="C287" s="522" t="inlineStr">
        <is>
          <t>56ប៊ី-លីង សឹបផ្លាយ ឆេន មេនេចម៉ិន ឯ.ក</t>
        </is>
      </c>
      <c r="D287" s="522" t="inlineStr">
        <is>
          <t>K004-902004795</t>
        </is>
      </c>
      <c r="E287" s="521" t="inlineStr">
        <is>
          <t>TI2022-0050</t>
        </is>
      </c>
      <c r="F287" s="523" t="n">
        <v>44588</v>
      </c>
      <c r="G287" s="556" t="n">
        <v>782705</v>
      </c>
      <c r="I287" s="521">
        <f>G287</f>
        <v/>
      </c>
      <c r="K287" s="521">
        <f>I287-G287</f>
        <v/>
      </c>
      <c r="M287" s="522" t="inlineStr">
        <is>
          <t>TI20220050</t>
        </is>
      </c>
      <c r="N287" s="522" t="inlineStr">
        <is>
          <t>TI20220050</t>
        </is>
      </c>
      <c r="O287" s="521">
        <f>M287=N287</f>
        <v/>
      </c>
      <c r="P287" s="521">
        <f>AND(MONTH(F287)=MONTH(S287), YEAR(F287)=YEAR(S287))</f>
        <v/>
      </c>
      <c r="Q287" s="521">
        <f>U287="L001-901905215"</f>
        <v/>
      </c>
      <c r="R287" s="556">
        <f>G287-W287</f>
        <v/>
      </c>
      <c r="S287" s="523" t="n">
        <v>44588</v>
      </c>
      <c r="T287" s="522" t="inlineStr">
        <is>
          <t>TI2022-0050</t>
        </is>
      </c>
      <c r="U287" s="522" t="inlineStr">
        <is>
          <t>L001-901905215</t>
        </is>
      </c>
      <c r="V287" s="522" t="inlineStr">
        <is>
          <t>វីអ៊ីស៊ិន (ខេមបូឌា) អ៊ិនដាសស្ទ្រី ឯ.ក</t>
        </is>
      </c>
      <c r="W287" s="556" t="n">
        <v>782705</v>
      </c>
    </row>
    <row r="288">
      <c r="A288" s="521" t="n">
        <v>280</v>
      </c>
      <c r="B288" s="522" t="inlineStr">
        <is>
          <t>Lift-Off Charge,Gate Fee Charge</t>
        </is>
      </c>
      <c r="C288" s="522" t="inlineStr">
        <is>
          <t>កំពង់ផែស្វយ័តភ្នំពេញ "ក.ស.ភ"</t>
        </is>
      </c>
      <c r="D288" s="522" t="inlineStr">
        <is>
          <t>L001-100044999</t>
        </is>
      </c>
      <c r="E288" s="521" t="inlineStr">
        <is>
          <t>INV20220104944</t>
        </is>
      </c>
      <c r="F288" s="523" t="n">
        <v>44580</v>
      </c>
      <c r="G288" s="556" t="n">
        <v>87955</v>
      </c>
      <c r="I288" s="521">
        <f>G288</f>
        <v/>
      </c>
      <c r="K288" s="521">
        <f>I288-G288</f>
        <v/>
      </c>
      <c r="M288" s="522" t="inlineStr">
        <is>
          <t>INV20220104944</t>
        </is>
      </c>
      <c r="N288" s="522" t="inlineStr"/>
      <c r="O288" s="521">
        <f>M288=N288</f>
        <v/>
      </c>
      <c r="P288" s="521">
        <f>AND(MONTH(F288)=MONTH(S288), YEAR(F288)=YEAR(S288))</f>
        <v/>
      </c>
      <c r="Q288" s="521">
        <f>U288="L001-901905215"</f>
        <v/>
      </c>
      <c r="R288" s="556">
        <f>G288-W288</f>
        <v/>
      </c>
      <c r="S288" s="521" t="n"/>
      <c r="T288" s="522" t="n"/>
      <c r="U288" s="522" t="n"/>
      <c r="V288" s="522" t="n"/>
      <c r="W288" s="521" t="n"/>
    </row>
    <row r="289">
      <c r="A289" s="521" t="n">
        <v>281</v>
      </c>
      <c r="B289" s="522" t="inlineStr">
        <is>
          <t>CLERANCE &amp; TRUCKING FEE</t>
        </is>
      </c>
      <c r="C289" s="522" t="inlineStr">
        <is>
          <t>56ប៊ី-លីង សឹបផ្លាយ ឆេន មេនេចម៉ិន ឯ.ក</t>
        </is>
      </c>
      <c r="D289" s="522" t="inlineStr">
        <is>
          <t>K004-902004795</t>
        </is>
      </c>
      <c r="E289" s="521" t="inlineStr">
        <is>
          <t>TI2022-0053</t>
        </is>
      </c>
      <c r="F289" s="523" t="n">
        <v>44582</v>
      </c>
      <c r="G289" s="556" t="n">
        <v>697319</v>
      </c>
      <c r="I289" s="521">
        <f>G289</f>
        <v/>
      </c>
      <c r="K289" s="521">
        <f>I289-G289</f>
        <v/>
      </c>
      <c r="M289" s="522" t="inlineStr">
        <is>
          <t>TI20220053</t>
        </is>
      </c>
      <c r="N289" s="522" t="inlineStr">
        <is>
          <t>TI20220053</t>
        </is>
      </c>
      <c r="O289" s="521">
        <f>M289=N289</f>
        <v/>
      </c>
      <c r="P289" s="521">
        <f>AND(MONTH(F289)=MONTH(S289), YEAR(F289)=YEAR(S289))</f>
        <v/>
      </c>
      <c r="Q289" s="521">
        <f>U289="L001-901905215"</f>
        <v/>
      </c>
      <c r="R289" s="556">
        <f>G289-W289</f>
        <v/>
      </c>
      <c r="S289" s="523" t="n">
        <v>44589</v>
      </c>
      <c r="T289" s="522" t="inlineStr">
        <is>
          <t>TI2022-0053</t>
        </is>
      </c>
      <c r="U289" s="522" t="inlineStr">
        <is>
          <t>L001-901905215</t>
        </is>
      </c>
      <c r="V289" s="522" t="inlineStr">
        <is>
          <t>វីអ៊ីស៊ិន (ខេមបូឌា) អ៊ិនដាសស្ទ្រី ឯ.ក</t>
        </is>
      </c>
      <c r="W289" s="556" t="n">
        <v>697319</v>
      </c>
    </row>
    <row r="290">
      <c r="A290" s="521" t="n">
        <v>282</v>
      </c>
      <c r="B290" s="522" t="inlineStr">
        <is>
          <t>Lift-Off Charge,Gate Fee Charge</t>
        </is>
      </c>
      <c r="C290" s="522" t="inlineStr">
        <is>
          <t>កំពង់ផែស្វយ័តភ្នំពេញ "ក.ស.ភ"</t>
        </is>
      </c>
      <c r="D290" s="522" t="inlineStr">
        <is>
          <t>L001-100044999</t>
        </is>
      </c>
      <c r="E290" s="521" t="inlineStr">
        <is>
          <t>INV20220101526</t>
        </is>
      </c>
      <c r="F290" s="523" t="n">
        <v>44568</v>
      </c>
      <c r="G290" s="556" t="n">
        <v>29340</v>
      </c>
      <c r="I290" s="521">
        <f>G290</f>
        <v/>
      </c>
      <c r="K290" s="521">
        <f>I290-G290</f>
        <v/>
      </c>
      <c r="M290" s="522" t="inlineStr">
        <is>
          <t>INV20220101526</t>
        </is>
      </c>
      <c r="N290" s="522" t="inlineStr"/>
      <c r="O290" s="521">
        <f>M290=N290</f>
        <v/>
      </c>
      <c r="P290" s="521">
        <f>AND(MONTH(F290)=MONTH(S290), YEAR(F290)=YEAR(S290))</f>
        <v/>
      </c>
      <c r="Q290" s="521">
        <f>U290="L001-901905215"</f>
        <v/>
      </c>
      <c r="R290" s="556">
        <f>G290-W290</f>
        <v/>
      </c>
      <c r="S290" s="521" t="n"/>
      <c r="T290" s="522" t="n"/>
      <c r="U290" s="522" t="n"/>
      <c r="V290" s="522" t="n"/>
      <c r="W290" s="521" t="n"/>
    </row>
    <row r="291">
      <c r="A291" s="521" t="n">
        <v>283</v>
      </c>
      <c r="B291" s="522" t="inlineStr">
        <is>
          <t>CLERANCE &amp; TRUCKING FEE</t>
        </is>
      </c>
      <c r="C291" s="522" t="inlineStr">
        <is>
          <t>56ប៊ី-លីង សឹបផ្លាយ ឆេន មេនេចម៉ិន ឯ.ក</t>
        </is>
      </c>
      <c r="D291" s="522" t="inlineStr">
        <is>
          <t>K004-902004795</t>
        </is>
      </c>
      <c r="E291" s="521" t="inlineStr">
        <is>
          <t>TI2022-0025</t>
        </is>
      </c>
      <c r="F291" s="523" t="n">
        <v>44582</v>
      </c>
      <c r="G291" s="556" t="n">
        <v>270655</v>
      </c>
      <c r="I291" s="521">
        <f>G291</f>
        <v/>
      </c>
      <c r="K291" s="521">
        <f>I291-G291</f>
        <v/>
      </c>
      <c r="M291" s="522" t="inlineStr">
        <is>
          <t>TI20220025</t>
        </is>
      </c>
      <c r="N291" s="522" t="inlineStr">
        <is>
          <t>TI20220025</t>
        </is>
      </c>
      <c r="O291" s="521">
        <f>M291=N291</f>
        <v/>
      </c>
      <c r="P291" s="521">
        <f>AND(MONTH(F291)=MONTH(S291), YEAR(F291)=YEAR(S291))</f>
        <v/>
      </c>
      <c r="Q291" s="521">
        <f>U291="L001-901905215"</f>
        <v/>
      </c>
      <c r="R291" s="556">
        <f>G291-W291</f>
        <v/>
      </c>
      <c r="S291" s="523" t="n">
        <v>44582</v>
      </c>
      <c r="T291" s="522" t="inlineStr">
        <is>
          <t>TI2022-0025</t>
        </is>
      </c>
      <c r="U291" s="522" t="inlineStr">
        <is>
          <t>L001-901905215</t>
        </is>
      </c>
      <c r="V291" s="522" t="inlineStr">
        <is>
          <t>វីអ៊ីស៊ិន (ខេមបូឌា) អ៊ិនដាសស្ទ្រី ឯ.ក</t>
        </is>
      </c>
      <c r="W291" s="556" t="n">
        <v>270655</v>
      </c>
    </row>
    <row r="292">
      <c r="A292" s="521" t="n">
        <v>284</v>
      </c>
      <c r="B292" s="522" t="inlineStr">
        <is>
          <t>Lift-Off</t>
        </is>
      </c>
      <c r="C292" s="522" t="inlineStr">
        <is>
          <t>កំពង់ផែស្វយ័តក្រុងព្រះសីហនុ</t>
        </is>
      </c>
      <c r="D292" s="522" t="inlineStr">
        <is>
          <t>L001-100044638</t>
        </is>
      </c>
      <c r="E292" s="521" t="inlineStr">
        <is>
          <t>003985</t>
        </is>
      </c>
      <c r="F292" s="523" t="n">
        <v>44568</v>
      </c>
      <c r="G292" s="556" t="n">
        <v>6927</v>
      </c>
      <c r="I292" s="521">
        <f>G292</f>
        <v/>
      </c>
      <c r="K292" s="521">
        <f>I292-G292</f>
        <v/>
      </c>
      <c r="M292" s="522" t="inlineStr">
        <is>
          <t>003985</t>
        </is>
      </c>
      <c r="N292" s="522" t="inlineStr"/>
      <c r="O292" s="521">
        <f>M292=N292</f>
        <v/>
      </c>
      <c r="P292" s="521">
        <f>AND(MONTH(F292)=MONTH(S292), YEAR(F292)=YEAR(S292))</f>
        <v/>
      </c>
      <c r="Q292" s="521">
        <f>U292="L001-901905215"</f>
        <v/>
      </c>
      <c r="R292" s="556">
        <f>G292-W292</f>
        <v/>
      </c>
      <c r="S292" s="521" t="n"/>
      <c r="T292" s="522" t="n"/>
      <c r="U292" s="522" t="n"/>
      <c r="V292" s="522" t="n"/>
      <c r="W292" s="521" t="n"/>
    </row>
    <row r="293">
      <c r="A293" s="521" t="n">
        <v>285</v>
      </c>
      <c r="B293" s="522" t="inlineStr">
        <is>
          <t>CLERANCE &amp; TRUCKING FEE</t>
        </is>
      </c>
      <c r="C293" s="522" t="inlineStr">
        <is>
          <t>56ប៊ី-លីង សឹបផ្លាយ ឆេន មេនេចម៉ិន ឯ.ក</t>
        </is>
      </c>
      <c r="D293" s="522" t="inlineStr">
        <is>
          <t>K004-902004795</t>
        </is>
      </c>
      <c r="E293" s="521" t="inlineStr">
        <is>
          <t>TI2022-0024</t>
        </is>
      </c>
      <c r="F293" s="523" t="n">
        <v>44582</v>
      </c>
      <c r="G293" s="556" t="n">
        <v>299145</v>
      </c>
      <c r="I293" s="521">
        <f>G293</f>
        <v/>
      </c>
      <c r="K293" s="521">
        <f>I293-G293</f>
        <v/>
      </c>
      <c r="M293" s="522" t="inlineStr">
        <is>
          <t>TI20220024</t>
        </is>
      </c>
      <c r="N293" s="522" t="inlineStr">
        <is>
          <t>TI20220024</t>
        </is>
      </c>
      <c r="O293" s="521">
        <f>M293=N293</f>
        <v/>
      </c>
      <c r="P293" s="521">
        <f>AND(MONTH(F293)=MONTH(S293), YEAR(F293)=YEAR(S293))</f>
        <v/>
      </c>
      <c r="Q293" s="521">
        <f>U293="L001-901905215"</f>
        <v/>
      </c>
      <c r="R293" s="556">
        <f>G293-W293</f>
        <v/>
      </c>
      <c r="S293" s="523" t="n">
        <v>44582</v>
      </c>
      <c r="T293" s="522" t="inlineStr">
        <is>
          <t>TI2022-0024</t>
        </is>
      </c>
      <c r="U293" s="522" t="inlineStr">
        <is>
          <t>L001-901905215</t>
        </is>
      </c>
      <c r="V293" s="522" t="inlineStr">
        <is>
          <t>វីអ៊ីស៊ិន (ខេមបូឌា) អ៊ិនដាសស្ទ្រី ឯ.ក</t>
        </is>
      </c>
      <c r="W293" s="556" t="n">
        <v>299145</v>
      </c>
    </row>
    <row r="294">
      <c r="A294" s="521" t="n">
        <v>286</v>
      </c>
      <c r="B294" s="522" t="inlineStr">
        <is>
          <t>Lift-Off</t>
        </is>
      </c>
      <c r="C294" s="522" t="inlineStr">
        <is>
          <t>កំពង់ផែស្វយ័តក្រុងព្រះសីហនុ</t>
        </is>
      </c>
      <c r="D294" s="522" t="inlineStr">
        <is>
          <t>L001-100044638</t>
        </is>
      </c>
      <c r="E294" s="521" t="inlineStr">
        <is>
          <t>003986</t>
        </is>
      </c>
      <c r="F294" s="523" t="n">
        <v>44568</v>
      </c>
      <c r="G294" s="556" t="n">
        <v>6927</v>
      </c>
      <c r="I294" s="521">
        <f>G294</f>
        <v/>
      </c>
      <c r="K294" s="521">
        <f>I294-G294</f>
        <v/>
      </c>
      <c r="M294" s="522" t="inlineStr">
        <is>
          <t>003986</t>
        </is>
      </c>
      <c r="N294" s="522" t="inlineStr"/>
      <c r="O294" s="521">
        <f>M294=N294</f>
        <v/>
      </c>
      <c r="P294" s="521">
        <f>AND(MONTH(F294)=MONTH(S294), YEAR(F294)=YEAR(S294))</f>
        <v/>
      </c>
      <c r="Q294" s="521">
        <f>U294="L001-901905215"</f>
        <v/>
      </c>
      <c r="R294" s="556">
        <f>G294-W294</f>
        <v/>
      </c>
      <c r="S294" s="521" t="n"/>
      <c r="T294" s="522" t="n"/>
      <c r="U294" s="522" t="n"/>
      <c r="V294" s="522" t="n"/>
      <c r="W294" s="521" t="n"/>
    </row>
    <row r="295">
      <c r="A295" s="521" t="n">
        <v>287</v>
      </c>
      <c r="B295" s="522" t="inlineStr">
        <is>
          <t>CLERANCE &amp; TRUCKING FEE</t>
        </is>
      </c>
      <c r="C295" s="522" t="inlineStr">
        <is>
          <t>56ប៊ី-លីង សឹបផ្លាយ ឆេន មេនេចម៉ិន ឯ.ក</t>
        </is>
      </c>
      <c r="D295" s="522" t="inlineStr">
        <is>
          <t>K004-902004795</t>
        </is>
      </c>
      <c r="E295" s="521" t="inlineStr">
        <is>
          <t>TI2022-0023</t>
        </is>
      </c>
      <c r="F295" s="523" t="n">
        <v>44582</v>
      </c>
      <c r="G295" s="556" t="n">
        <v>299145</v>
      </c>
      <c r="I295" s="521">
        <f>G295</f>
        <v/>
      </c>
      <c r="K295" s="521">
        <f>I295-G295</f>
        <v/>
      </c>
      <c r="M295" s="522" t="inlineStr">
        <is>
          <t>TI20220023</t>
        </is>
      </c>
      <c r="N295" s="522" t="inlineStr">
        <is>
          <t>TI20220023</t>
        </is>
      </c>
      <c r="O295" s="521">
        <f>M295=N295</f>
        <v/>
      </c>
      <c r="P295" s="521">
        <f>AND(MONTH(F295)=MONTH(S295), YEAR(F295)=YEAR(S295))</f>
        <v/>
      </c>
      <c r="Q295" s="521">
        <f>U295="L001-901905215"</f>
        <v/>
      </c>
      <c r="R295" s="556">
        <f>G295-W295</f>
        <v/>
      </c>
      <c r="S295" s="523" t="n">
        <v>44582</v>
      </c>
      <c r="T295" s="522" t="inlineStr">
        <is>
          <t>TI2022-0023</t>
        </is>
      </c>
      <c r="U295" s="522" t="inlineStr">
        <is>
          <t>L001-901905215</t>
        </is>
      </c>
      <c r="V295" s="522" t="inlineStr">
        <is>
          <t>វីអ៊ីស៊ិន (ខេមបូឌា) អ៊ិនដាសស្ទ្រី ឯ.ក</t>
        </is>
      </c>
      <c r="W295" s="556" t="n">
        <v>299145</v>
      </c>
    </row>
    <row r="296">
      <c r="A296" s="521" t="n">
        <v>288</v>
      </c>
      <c r="B296" s="522" t="inlineStr">
        <is>
          <t>Lift-Off Charge,Gate Fee Charge</t>
        </is>
      </c>
      <c r="C296" s="522" t="inlineStr">
        <is>
          <t>កំពង់ផែស្វយ័តភ្នំពេញ "ក.ស.ភ"</t>
        </is>
      </c>
      <c r="D296" s="522" t="inlineStr">
        <is>
          <t>L001-100044999</t>
        </is>
      </c>
      <c r="E296" s="521" t="inlineStr">
        <is>
          <t>INV20220101525</t>
        </is>
      </c>
      <c r="F296" s="523" t="n">
        <v>44568</v>
      </c>
      <c r="G296" s="556" t="n">
        <v>29340</v>
      </c>
      <c r="I296" s="521">
        <f>G296</f>
        <v/>
      </c>
      <c r="K296" s="521">
        <f>I296-G296</f>
        <v/>
      </c>
      <c r="M296" s="522" t="inlineStr">
        <is>
          <t>INV20220101525</t>
        </is>
      </c>
      <c r="N296" s="522" t="inlineStr"/>
      <c r="O296" s="521">
        <f>M296=N296</f>
        <v/>
      </c>
      <c r="P296" s="521">
        <f>AND(MONTH(F296)=MONTH(S296), YEAR(F296)=YEAR(S296))</f>
        <v/>
      </c>
      <c r="Q296" s="521">
        <f>U296="L001-901905215"</f>
        <v/>
      </c>
      <c r="R296" s="556">
        <f>G296-W296</f>
        <v/>
      </c>
      <c r="S296" s="521" t="n"/>
      <c r="T296" s="522" t="n"/>
      <c r="U296" s="522" t="n"/>
      <c r="V296" s="522" t="n"/>
      <c r="W296" s="521" t="n"/>
    </row>
    <row r="297">
      <c r="A297" s="521" t="n">
        <v>289</v>
      </c>
      <c r="B297" s="522" t="inlineStr">
        <is>
          <t>CLERANCE &amp; TRUCKING FEE</t>
        </is>
      </c>
      <c r="C297" s="522" t="inlineStr">
        <is>
          <t>56ប៊ី-លីង សឹបផ្លាយ ឆេន មេនេចម៉ិន ឯ.ក</t>
        </is>
      </c>
      <c r="D297" s="522" t="inlineStr">
        <is>
          <t>K004-902004795</t>
        </is>
      </c>
      <c r="E297" s="521" t="inlineStr">
        <is>
          <t>TI2022-0022</t>
        </is>
      </c>
      <c r="F297" s="523" t="n">
        <v>44582</v>
      </c>
      <c r="G297" s="556" t="n">
        <v>270655</v>
      </c>
      <c r="I297" s="521">
        <f>G297</f>
        <v/>
      </c>
      <c r="K297" s="521">
        <f>I297-G297</f>
        <v/>
      </c>
      <c r="M297" s="522" t="inlineStr">
        <is>
          <t>TI20220022</t>
        </is>
      </c>
      <c r="N297" s="522" t="inlineStr">
        <is>
          <t>TI20220022</t>
        </is>
      </c>
      <c r="O297" s="521">
        <f>M297=N297</f>
        <v/>
      </c>
      <c r="P297" s="521">
        <f>AND(MONTH(F297)=MONTH(S297), YEAR(F297)=YEAR(S297))</f>
        <v/>
      </c>
      <c r="Q297" s="521">
        <f>U297="L001-901905215"</f>
        <v/>
      </c>
      <c r="R297" s="556">
        <f>G297-W297</f>
        <v/>
      </c>
      <c r="S297" s="523" t="n">
        <v>44582</v>
      </c>
      <c r="T297" s="522" t="inlineStr">
        <is>
          <t>TI2022-0022</t>
        </is>
      </c>
      <c r="U297" s="522" t="inlineStr">
        <is>
          <t>L001-901905215</t>
        </is>
      </c>
      <c r="V297" s="522" t="inlineStr">
        <is>
          <t>វីអ៊ីស៊ិន (ខេមបូឌា) អ៊ិនដាសស្ទ្រី ឯ.ក</t>
        </is>
      </c>
      <c r="W297" s="556" t="n">
        <v>270655</v>
      </c>
    </row>
    <row r="298">
      <c r="A298" s="521" t="n">
        <v>290</v>
      </c>
      <c r="B298" s="522" t="inlineStr">
        <is>
          <t>Lift-Off Charge,Gate Fee Charge</t>
        </is>
      </c>
      <c r="C298" s="522" t="inlineStr">
        <is>
          <t>កំពង់ផែស្វយ័តភ្នំពេញ "ក.ស.ភ"</t>
        </is>
      </c>
      <c r="D298" s="522" t="inlineStr">
        <is>
          <t>L001-100044999</t>
        </is>
      </c>
      <c r="E298" s="521" t="inlineStr">
        <is>
          <t>INV20220101524</t>
        </is>
      </c>
      <c r="F298" s="523" t="n">
        <v>44568</v>
      </c>
      <c r="G298" s="556" t="n">
        <v>29340</v>
      </c>
      <c r="I298" s="521">
        <f>G298</f>
        <v/>
      </c>
      <c r="K298" s="521">
        <f>I298-G298</f>
        <v/>
      </c>
      <c r="M298" s="522" t="inlineStr">
        <is>
          <t>INV20220101524</t>
        </is>
      </c>
      <c r="N298" s="522" t="inlineStr"/>
      <c r="O298" s="521">
        <f>M298=N298</f>
        <v/>
      </c>
      <c r="P298" s="521">
        <f>AND(MONTH(F298)=MONTH(S298), YEAR(F298)=YEAR(S298))</f>
        <v/>
      </c>
      <c r="Q298" s="521">
        <f>U298="L001-901905215"</f>
        <v/>
      </c>
      <c r="R298" s="556">
        <f>G298-W298</f>
        <v/>
      </c>
      <c r="S298" s="521" t="n"/>
      <c r="T298" s="522" t="n"/>
      <c r="U298" s="522" t="n"/>
      <c r="V298" s="522" t="n"/>
      <c r="W298" s="521" t="n"/>
    </row>
    <row r="299">
      <c r="A299" s="521" t="n">
        <v>291</v>
      </c>
      <c r="B299" s="522" t="inlineStr">
        <is>
          <t>CLERANCE &amp; TRUCKING FEE</t>
        </is>
      </c>
      <c r="C299" s="522" t="inlineStr">
        <is>
          <t>56ប៊ី-លីង សឹបផ្លាយ ឆេន មេនេចម៉ិន ឯ.ក</t>
        </is>
      </c>
      <c r="D299" s="522" t="inlineStr">
        <is>
          <t>K004-902004795</t>
        </is>
      </c>
      <c r="E299" s="521" t="inlineStr">
        <is>
          <t>TI2022-0021</t>
        </is>
      </c>
      <c r="F299" s="523" t="n">
        <v>44582</v>
      </c>
      <c r="G299" s="556" t="n">
        <v>270655</v>
      </c>
      <c r="I299" s="521">
        <f>G299</f>
        <v/>
      </c>
      <c r="K299" s="521">
        <f>I299-G299</f>
        <v/>
      </c>
      <c r="M299" s="522" t="inlineStr">
        <is>
          <t>TI20220021</t>
        </is>
      </c>
      <c r="N299" s="522" t="inlineStr">
        <is>
          <t>TI20220021</t>
        </is>
      </c>
      <c r="O299" s="521">
        <f>M299=N299</f>
        <v/>
      </c>
      <c r="P299" s="521">
        <f>AND(MONTH(F299)=MONTH(S299), YEAR(F299)=YEAR(S299))</f>
        <v/>
      </c>
      <c r="Q299" s="521">
        <f>U299="L001-901905215"</f>
        <v/>
      </c>
      <c r="R299" s="556">
        <f>G299-W299</f>
        <v/>
      </c>
      <c r="S299" s="523" t="n">
        <v>44582</v>
      </c>
      <c r="T299" s="522" t="inlineStr">
        <is>
          <t>TI2022-0021</t>
        </is>
      </c>
      <c r="U299" s="522" t="inlineStr">
        <is>
          <t>L001-901905215</t>
        </is>
      </c>
      <c r="V299" s="522" t="inlineStr">
        <is>
          <t>វីអ៊ីស៊ិន (ខេមបូឌា) អ៊ិនដាសស្ទ្រី ឯ.ក</t>
        </is>
      </c>
      <c r="W299" s="556" t="n">
        <v>270655</v>
      </c>
    </row>
    <row r="300">
      <c r="A300" s="521" t="n">
        <v>292</v>
      </c>
      <c r="B300" s="522" t="inlineStr">
        <is>
          <t>Lift-Off Charge,Gate Fee Charge</t>
        </is>
      </c>
      <c r="C300" s="522" t="inlineStr">
        <is>
          <t>កំពង់ផែស្វយ័តភ្នំពេញ "ក.ស.ភ"</t>
        </is>
      </c>
      <c r="D300" s="522" t="inlineStr">
        <is>
          <t>L001-100044999</t>
        </is>
      </c>
      <c r="E300" s="521" t="inlineStr">
        <is>
          <t>INV20220101674</t>
        </is>
      </c>
      <c r="F300" s="523" t="n">
        <v>44569</v>
      </c>
      <c r="G300" s="556" t="n">
        <v>48900</v>
      </c>
      <c r="I300" s="521">
        <f>G300</f>
        <v/>
      </c>
      <c r="K300" s="521">
        <f>I300-G300</f>
        <v/>
      </c>
      <c r="M300" s="522" t="inlineStr">
        <is>
          <t>INV20220101674</t>
        </is>
      </c>
      <c r="N300" s="522" t="inlineStr"/>
      <c r="O300" s="521">
        <f>M300=N300</f>
        <v/>
      </c>
      <c r="P300" s="521">
        <f>AND(MONTH(F300)=MONTH(S300), YEAR(F300)=YEAR(S300))</f>
        <v/>
      </c>
      <c r="Q300" s="521">
        <f>U300="L001-901905215"</f>
        <v/>
      </c>
      <c r="R300" s="556">
        <f>G300-W300</f>
        <v/>
      </c>
      <c r="S300" s="521" t="n"/>
      <c r="T300" s="522" t="n"/>
      <c r="U300" s="522" t="n"/>
      <c r="V300" s="522" t="n"/>
      <c r="W300" s="521" t="n"/>
    </row>
    <row r="301">
      <c r="A301" s="521" t="n">
        <v>293</v>
      </c>
      <c r="B301" s="522" t="inlineStr">
        <is>
          <t>CLERANCE &amp; TRUCKING FEE</t>
        </is>
      </c>
      <c r="C301" s="522" t="inlineStr">
        <is>
          <t>56ប៊ី-លីង សឹបផ្លាយ ឆេន មេនេចម៉ិន ឯ.ក</t>
        </is>
      </c>
      <c r="D301" s="522" t="inlineStr">
        <is>
          <t>K004-902004795</t>
        </is>
      </c>
      <c r="E301" s="521" t="inlineStr">
        <is>
          <t>TI2022-0020</t>
        </is>
      </c>
      <c r="F301" s="523" t="n">
        <v>44582</v>
      </c>
      <c r="G301" s="556" t="n">
        <v>472120</v>
      </c>
      <c r="I301" s="521">
        <f>G301</f>
        <v/>
      </c>
      <c r="K301" s="521">
        <f>I301-G301</f>
        <v/>
      </c>
      <c r="M301" s="522" t="inlineStr">
        <is>
          <t>TI20220020</t>
        </is>
      </c>
      <c r="N301" s="522" t="inlineStr">
        <is>
          <t>TI20220020</t>
        </is>
      </c>
      <c r="O301" s="521">
        <f>M301=N301</f>
        <v/>
      </c>
      <c r="P301" s="521">
        <f>AND(MONTH(F301)=MONTH(S301), YEAR(F301)=YEAR(S301))</f>
        <v/>
      </c>
      <c r="Q301" s="521">
        <f>U301="L001-901905215"</f>
        <v/>
      </c>
      <c r="R301" s="556">
        <f>G301-W301</f>
        <v/>
      </c>
      <c r="S301" s="523" t="n">
        <v>44582</v>
      </c>
      <c r="T301" s="522" t="inlineStr">
        <is>
          <t>TI2022-0020</t>
        </is>
      </c>
      <c r="U301" s="522" t="inlineStr">
        <is>
          <t>L001-901905215</t>
        </is>
      </c>
      <c r="V301" s="522" t="inlineStr">
        <is>
          <t>វីអ៊ីស៊ិន (ខេមបូឌា) អ៊ិនដាសស្ទ្រី ឯ.ក</t>
        </is>
      </c>
      <c r="W301" s="556" t="n">
        <v>472120</v>
      </c>
    </row>
    <row r="302">
      <c r="A302" s="521" t="n">
        <v>294</v>
      </c>
      <c r="B302" s="522" t="inlineStr">
        <is>
          <t>Lift-Off Charge,Gate Fee Charge</t>
        </is>
      </c>
      <c r="C302" s="522" t="inlineStr">
        <is>
          <t>កំពង់ផែស្វយ័តភ្នំពេញ "ក.ស.ភ"</t>
        </is>
      </c>
      <c r="D302" s="522" t="inlineStr">
        <is>
          <t>L001-100044999</t>
        </is>
      </c>
      <c r="E302" s="521" t="inlineStr">
        <is>
          <t>INV20220101675</t>
        </is>
      </c>
      <c r="F302" s="523" t="n">
        <v>44569</v>
      </c>
      <c r="G302" s="556" t="n">
        <v>107580</v>
      </c>
      <c r="I302" s="521">
        <f>G302</f>
        <v/>
      </c>
      <c r="K302" s="521">
        <f>I302-G302</f>
        <v/>
      </c>
      <c r="M302" s="522" t="inlineStr">
        <is>
          <t>INV20220101675</t>
        </is>
      </c>
      <c r="N302" s="522" t="inlineStr"/>
      <c r="O302" s="521">
        <f>M302=N302</f>
        <v/>
      </c>
      <c r="P302" s="521">
        <f>AND(MONTH(F302)=MONTH(S302), YEAR(F302)=YEAR(S302))</f>
        <v/>
      </c>
      <c r="Q302" s="521">
        <f>U302="L001-901905215"</f>
        <v/>
      </c>
      <c r="R302" s="556">
        <f>G302-W302</f>
        <v/>
      </c>
      <c r="S302" s="521" t="n"/>
      <c r="T302" s="522" t="n"/>
      <c r="U302" s="522" t="n"/>
      <c r="V302" s="522" t="n"/>
      <c r="W302" s="521" t="n"/>
    </row>
    <row r="303">
      <c r="A303" s="521" t="n">
        <v>295</v>
      </c>
      <c r="B303" s="522" t="inlineStr">
        <is>
          <t>CLERANCE &amp; TRUCKING FEE</t>
        </is>
      </c>
      <c r="C303" s="522" t="inlineStr">
        <is>
          <t>56ប៊ី-លីង សឹបផ្លាយ ឆេន មេនេចម៉ិន ឯ.ក</t>
        </is>
      </c>
      <c r="D303" s="522" t="inlineStr">
        <is>
          <t>K004-902004795</t>
        </is>
      </c>
      <c r="E303" s="521" t="inlineStr">
        <is>
          <t>TI2022-0019</t>
        </is>
      </c>
      <c r="F303" s="523" t="n">
        <v>44582</v>
      </c>
      <c r="G303" s="556" t="n">
        <v>899470</v>
      </c>
      <c r="I303" s="521">
        <f>G303</f>
        <v/>
      </c>
      <c r="K303" s="521">
        <f>I303-G303</f>
        <v/>
      </c>
      <c r="M303" s="522" t="inlineStr">
        <is>
          <t>TI20220019</t>
        </is>
      </c>
      <c r="N303" s="522" t="inlineStr">
        <is>
          <t>TI20220019</t>
        </is>
      </c>
      <c r="O303" s="521">
        <f>M303=N303</f>
        <v/>
      </c>
      <c r="P303" s="521">
        <f>AND(MONTH(F303)=MONTH(S303), YEAR(F303)=YEAR(S303))</f>
        <v/>
      </c>
      <c r="Q303" s="521">
        <f>U303="L001-901905215"</f>
        <v/>
      </c>
      <c r="R303" s="556">
        <f>G303-W303</f>
        <v/>
      </c>
      <c r="S303" s="523" t="n">
        <v>44582</v>
      </c>
      <c r="T303" s="522" t="inlineStr">
        <is>
          <t>TI2022-0019</t>
        </is>
      </c>
      <c r="U303" s="522" t="inlineStr">
        <is>
          <t>L001-901905215</t>
        </is>
      </c>
      <c r="V303" s="522" t="inlineStr">
        <is>
          <t>វីអ៊ីស៊ិន (ខេមបូឌា) អ៊ិនដាសស្ទ្រី ឯ.ក</t>
        </is>
      </c>
      <c r="W303" s="556" t="n">
        <v>899470</v>
      </c>
    </row>
    <row r="304">
      <c r="A304" s="521" t="n">
        <v>296</v>
      </c>
      <c r="B304" s="522" t="inlineStr">
        <is>
          <t>Lift-Off Charge,Gate Fee Charge</t>
        </is>
      </c>
      <c r="C304" s="522" t="inlineStr">
        <is>
          <t>កំពង់ផែស្វយ័តភ្នំពេញ "ក.ស.ភ"</t>
        </is>
      </c>
      <c r="D304" s="522" t="inlineStr">
        <is>
          <t>L001-100044999</t>
        </is>
      </c>
      <c r="E304" s="521" t="inlineStr">
        <is>
          <t>INV20220101517</t>
        </is>
      </c>
      <c r="F304" s="523" t="n">
        <v>44568</v>
      </c>
      <c r="G304" s="556" t="n">
        <v>58680</v>
      </c>
      <c r="I304" s="521">
        <f>G304</f>
        <v/>
      </c>
      <c r="K304" s="521">
        <f>I304-G304</f>
        <v/>
      </c>
      <c r="M304" s="522" t="inlineStr">
        <is>
          <t>INV20220101517</t>
        </is>
      </c>
      <c r="N304" s="522" t="inlineStr"/>
      <c r="O304" s="521">
        <f>M304=N304</f>
        <v/>
      </c>
      <c r="P304" s="521">
        <f>AND(MONTH(F304)=MONTH(S304), YEAR(F304)=YEAR(S304))</f>
        <v/>
      </c>
      <c r="Q304" s="521">
        <f>U304="L001-901905215"</f>
        <v/>
      </c>
      <c r="R304" s="556">
        <f>G304-W304</f>
        <v/>
      </c>
      <c r="S304" s="521" t="n"/>
      <c r="T304" s="522" t="n"/>
      <c r="U304" s="522" t="n"/>
      <c r="V304" s="522" t="n"/>
      <c r="W304" s="521" t="n"/>
    </row>
    <row r="305">
      <c r="A305" s="521" t="n">
        <v>297</v>
      </c>
      <c r="B305" s="522" t="inlineStr">
        <is>
          <t>CLERANCE &amp; TRUCKING FEE</t>
        </is>
      </c>
      <c r="C305" s="522" t="inlineStr">
        <is>
          <t>56ប៊ី-លីង សឹបផ្លាយ ឆេន មេនេចម៉ិន ឯ.ក</t>
        </is>
      </c>
      <c r="D305" s="522" t="inlineStr">
        <is>
          <t>K004-902004795</t>
        </is>
      </c>
      <c r="E305" s="521" t="inlineStr">
        <is>
          <t>TI2022-0018</t>
        </is>
      </c>
      <c r="F305" s="523" t="n">
        <v>44582</v>
      </c>
      <c r="G305" s="556" t="n">
        <v>484330</v>
      </c>
      <c r="I305" s="521">
        <f>G305</f>
        <v/>
      </c>
      <c r="K305" s="521">
        <f>I305-G305</f>
        <v/>
      </c>
      <c r="M305" s="522" t="inlineStr">
        <is>
          <t>TI20220018</t>
        </is>
      </c>
      <c r="N305" s="522" t="inlineStr">
        <is>
          <t>TI20220018</t>
        </is>
      </c>
      <c r="O305" s="521">
        <f>M305=N305</f>
        <v/>
      </c>
      <c r="P305" s="521">
        <f>AND(MONTH(F305)=MONTH(S305), YEAR(F305)=YEAR(S305))</f>
        <v/>
      </c>
      <c r="Q305" s="521">
        <f>U305="L001-901905215"</f>
        <v/>
      </c>
      <c r="R305" s="556">
        <f>G305-W305</f>
        <v/>
      </c>
      <c r="S305" s="523" t="n">
        <v>44582</v>
      </c>
      <c r="T305" s="522" t="inlineStr">
        <is>
          <t>TI2022-0018</t>
        </is>
      </c>
      <c r="U305" s="522" t="inlineStr">
        <is>
          <t>L001-901905215</t>
        </is>
      </c>
      <c r="V305" s="522" t="inlineStr">
        <is>
          <t>វីអ៊ីស៊ិន (ខេមបូឌា) អ៊ិនដាសស្ទ្រី ឯ.ក</t>
        </is>
      </c>
      <c r="W305" s="556" t="n">
        <v>484330</v>
      </c>
    </row>
    <row r="306">
      <c r="A306" s="521" t="n">
        <v>298</v>
      </c>
      <c r="B306" s="522" t="inlineStr">
        <is>
          <t>Lift-Off Charge,Gate Fee Charge</t>
        </is>
      </c>
      <c r="C306" s="522" t="inlineStr">
        <is>
          <t>កំពង់ផែស្វយ័តភ្នំពេញ "ក.ស.ភ"</t>
        </is>
      </c>
      <c r="D306" s="522" t="inlineStr">
        <is>
          <t>L001-100044999</t>
        </is>
      </c>
      <c r="E306" s="521" t="inlineStr">
        <is>
          <t>INV20220101528</t>
        </is>
      </c>
      <c r="F306" s="523" t="n">
        <v>44568</v>
      </c>
      <c r="G306" s="556" t="n">
        <v>29340</v>
      </c>
      <c r="I306" s="521">
        <f>G306</f>
        <v/>
      </c>
      <c r="K306" s="521">
        <f>I306-G306</f>
        <v/>
      </c>
      <c r="M306" s="522" t="inlineStr">
        <is>
          <t>INV20220101528</t>
        </is>
      </c>
      <c r="N306" s="522" t="inlineStr"/>
      <c r="O306" s="521">
        <f>M306=N306</f>
        <v/>
      </c>
      <c r="P306" s="521">
        <f>AND(MONTH(F306)=MONTH(S306), YEAR(F306)=YEAR(S306))</f>
        <v/>
      </c>
      <c r="Q306" s="521">
        <f>U306="L001-901905215"</f>
        <v/>
      </c>
      <c r="R306" s="556">
        <f>G306-W306</f>
        <v/>
      </c>
      <c r="S306" s="521" t="n"/>
      <c r="T306" s="522" t="n"/>
      <c r="U306" s="522" t="n"/>
      <c r="V306" s="522" t="n"/>
      <c r="W306" s="521" t="n"/>
    </row>
    <row r="307">
      <c r="A307" s="521" t="n">
        <v>299</v>
      </c>
      <c r="B307" s="522" t="inlineStr">
        <is>
          <t>CLERANCE &amp; TRUCKING FEE</t>
        </is>
      </c>
      <c r="C307" s="522" t="inlineStr">
        <is>
          <t>56ប៊ី-លីង សឹបផ្លាយ ឆេន មេនេចម៉ិន ឯ.ក</t>
        </is>
      </c>
      <c r="D307" s="522" t="inlineStr">
        <is>
          <t>K004-902004795</t>
        </is>
      </c>
      <c r="E307" s="521" t="inlineStr">
        <is>
          <t>TI2022-0017</t>
        </is>
      </c>
      <c r="F307" s="523" t="n">
        <v>44582</v>
      </c>
      <c r="G307" s="556" t="n">
        <v>270655</v>
      </c>
      <c r="I307" s="521">
        <f>G307</f>
        <v/>
      </c>
      <c r="K307" s="521">
        <f>I307-G307</f>
        <v/>
      </c>
      <c r="M307" s="522" t="inlineStr">
        <is>
          <t>TI20220017</t>
        </is>
      </c>
      <c r="N307" s="522" t="inlineStr">
        <is>
          <t>TI20220017</t>
        </is>
      </c>
      <c r="O307" s="521">
        <f>M307=N307</f>
        <v/>
      </c>
      <c r="P307" s="521">
        <f>AND(MONTH(F307)=MONTH(S307), YEAR(F307)=YEAR(S307))</f>
        <v/>
      </c>
      <c r="Q307" s="521">
        <f>U307="L001-901905215"</f>
        <v/>
      </c>
      <c r="R307" s="556">
        <f>G307-W307</f>
        <v/>
      </c>
      <c r="S307" s="523" t="n">
        <v>44582</v>
      </c>
      <c r="T307" s="522" t="inlineStr">
        <is>
          <t>TI2022-0017</t>
        </is>
      </c>
      <c r="U307" s="522" t="inlineStr">
        <is>
          <t>L001-901905215</t>
        </is>
      </c>
      <c r="V307" s="522" t="inlineStr">
        <is>
          <t>វីអ៊ីស៊ិន (ខេមបូឌា) អ៊ិនដាសស្ទ្រី ឯ.ក</t>
        </is>
      </c>
      <c r="W307" s="556" t="n">
        <v>270655</v>
      </c>
    </row>
    <row r="308">
      <c r="A308" s="521" t="n">
        <v>300</v>
      </c>
      <c r="B308" s="522" t="inlineStr">
        <is>
          <t>Lift-Off Charge,Gate Fee Charge</t>
        </is>
      </c>
      <c r="C308" s="522" t="inlineStr">
        <is>
          <t>កំពង់ផែស្វយ័តភ្នំពេញ "ក.ស.ភ"</t>
        </is>
      </c>
      <c r="D308" s="522" t="inlineStr">
        <is>
          <t>L001-100044999</t>
        </is>
      </c>
      <c r="E308" s="521" t="inlineStr">
        <is>
          <t>INV20220101527</t>
        </is>
      </c>
      <c r="F308" s="523" t="n">
        <v>44568</v>
      </c>
      <c r="G308" s="556" t="n">
        <v>29340</v>
      </c>
      <c r="I308" s="521">
        <f>G308</f>
        <v/>
      </c>
      <c r="K308" s="521">
        <f>I308-G308</f>
        <v/>
      </c>
      <c r="M308" s="522" t="inlineStr">
        <is>
          <t>INV20220101527</t>
        </is>
      </c>
      <c r="N308" s="522" t="inlineStr"/>
      <c r="O308" s="521">
        <f>M308=N308</f>
        <v/>
      </c>
      <c r="P308" s="521">
        <f>AND(MONTH(F308)=MONTH(S308), YEAR(F308)=YEAR(S308))</f>
        <v/>
      </c>
      <c r="Q308" s="521">
        <f>U308="L001-901905215"</f>
        <v/>
      </c>
      <c r="R308" s="556">
        <f>G308-W308</f>
        <v/>
      </c>
      <c r="S308" s="521" t="n"/>
      <c r="T308" s="522" t="n"/>
      <c r="U308" s="522" t="n"/>
      <c r="V308" s="522" t="n"/>
      <c r="W308" s="521" t="n"/>
    </row>
    <row r="309">
      <c r="A309" s="521" t="n">
        <v>301</v>
      </c>
      <c r="B309" s="522" t="inlineStr">
        <is>
          <t>CLERANCE &amp; TRUCKING FEE</t>
        </is>
      </c>
      <c r="C309" s="522" t="inlineStr">
        <is>
          <t>56ប៊ី-លីង សឹបផ្លាយ ឆេន មេនេចម៉ិន ឯ.ក</t>
        </is>
      </c>
      <c r="D309" s="522" t="inlineStr">
        <is>
          <t>K004-902004795</t>
        </is>
      </c>
      <c r="E309" s="521" t="inlineStr">
        <is>
          <t>TI2022-0016</t>
        </is>
      </c>
      <c r="F309" s="523" t="n">
        <v>44582</v>
      </c>
      <c r="G309" s="556" t="n">
        <v>270655</v>
      </c>
      <c r="I309" s="521">
        <f>G309</f>
        <v/>
      </c>
      <c r="K309" s="521">
        <f>I309-G309</f>
        <v/>
      </c>
      <c r="M309" s="522" t="inlineStr">
        <is>
          <t>TI20220016</t>
        </is>
      </c>
      <c r="N309" s="522" t="inlineStr">
        <is>
          <t>TI20220016</t>
        </is>
      </c>
      <c r="O309" s="521">
        <f>M309=N309</f>
        <v/>
      </c>
      <c r="P309" s="521">
        <f>AND(MONTH(F309)=MONTH(S309), YEAR(F309)=YEAR(S309))</f>
        <v/>
      </c>
      <c r="Q309" s="521">
        <f>U309="L001-901905215"</f>
        <v/>
      </c>
      <c r="R309" s="556">
        <f>G309-W309</f>
        <v/>
      </c>
      <c r="S309" s="523" t="n">
        <v>44582</v>
      </c>
      <c r="T309" s="522" t="inlineStr">
        <is>
          <t>TI2022-0016</t>
        </is>
      </c>
      <c r="U309" s="522" t="inlineStr">
        <is>
          <t>L001-901905215</t>
        </is>
      </c>
      <c r="V309" s="522" t="inlineStr">
        <is>
          <t>វីអ៊ីស៊ិន (ខេមបូឌា) អ៊ិនដាសស្ទ្រី ឯ.ក</t>
        </is>
      </c>
      <c r="W309" s="556" t="n">
        <v>270655</v>
      </c>
    </row>
    <row r="310">
      <c r="A310" s="521" t="n">
        <v>302</v>
      </c>
      <c r="B310" s="522" t="inlineStr">
        <is>
          <t>CLERANCE &amp; TRUCKING FEE</t>
        </is>
      </c>
      <c r="C310" s="522" t="inlineStr">
        <is>
          <t>56ប៊ី-លីង សឹបផ្លាយ ឆេន មេនេចម៉ិន ឯ.ក</t>
        </is>
      </c>
      <c r="D310" s="522" t="inlineStr">
        <is>
          <t>K004-902004795</t>
        </is>
      </c>
      <c r="E310" s="521" t="inlineStr">
        <is>
          <t>TI2022-0015</t>
        </is>
      </c>
      <c r="F310" s="523" t="n">
        <v>44582</v>
      </c>
      <c r="G310" s="556" t="n">
        <v>209605</v>
      </c>
      <c r="I310" s="521">
        <f>G310</f>
        <v/>
      </c>
      <c r="K310" s="521">
        <f>I310-G310</f>
        <v/>
      </c>
      <c r="M310" s="522" t="inlineStr">
        <is>
          <t>TI20220015</t>
        </is>
      </c>
      <c r="N310" s="522" t="inlineStr">
        <is>
          <t>TI20220015</t>
        </is>
      </c>
      <c r="O310" s="521">
        <f>M310=N310</f>
        <v/>
      </c>
      <c r="P310" s="521">
        <f>AND(MONTH(F310)=MONTH(S310), YEAR(F310)=YEAR(S310))</f>
        <v/>
      </c>
      <c r="Q310" s="521">
        <f>U310="L001-901905215"</f>
        <v/>
      </c>
      <c r="R310" s="556">
        <f>G310-W310</f>
        <v/>
      </c>
      <c r="S310" s="523" t="n">
        <v>44582</v>
      </c>
      <c r="T310" s="522" t="inlineStr">
        <is>
          <t>TI2022-0015</t>
        </is>
      </c>
      <c r="U310" s="522" t="inlineStr">
        <is>
          <t>L001-901905215</t>
        </is>
      </c>
      <c r="V310" s="522" t="inlineStr">
        <is>
          <t>វីអ៊ីស៊ិន (ខេមបូឌា) អ៊ិនដាសស្ទ្រី ឯ.ក</t>
        </is>
      </c>
      <c r="W310" s="556" t="n">
        <v>209605</v>
      </c>
    </row>
    <row r="311">
      <c r="A311" s="521" t="n">
        <v>303</v>
      </c>
      <c r="B311" s="522" t="inlineStr">
        <is>
          <t>Lift-Off Charge,Gate Fee Charge</t>
        </is>
      </c>
      <c r="C311" s="522" t="inlineStr">
        <is>
          <t>កំពង់ផែស្វយ័តភ្នំពេញ "ក.ស.ភ"</t>
        </is>
      </c>
      <c r="D311" s="522" t="inlineStr">
        <is>
          <t>L001-100044999</t>
        </is>
      </c>
      <c r="E311" s="521" t="inlineStr">
        <is>
          <t>INV20220101523</t>
        </is>
      </c>
      <c r="F311" s="523" t="n">
        <v>44568</v>
      </c>
      <c r="G311" s="556" t="n">
        <v>29340</v>
      </c>
      <c r="I311" s="521">
        <f>G311</f>
        <v/>
      </c>
      <c r="K311" s="521">
        <f>I311-G311</f>
        <v/>
      </c>
      <c r="M311" s="522" t="inlineStr">
        <is>
          <t>INV20220101523</t>
        </is>
      </c>
      <c r="N311" s="522" t="inlineStr"/>
      <c r="O311" s="521">
        <f>M311=N311</f>
        <v/>
      </c>
      <c r="P311" s="521">
        <f>AND(MONTH(F311)=MONTH(S311), YEAR(F311)=YEAR(S311))</f>
        <v/>
      </c>
      <c r="Q311" s="521">
        <f>U311="L001-901905215"</f>
        <v/>
      </c>
      <c r="R311" s="556">
        <f>G311-W311</f>
        <v/>
      </c>
      <c r="S311" s="521" t="n"/>
      <c r="T311" s="522" t="n"/>
      <c r="U311" s="522" t="n"/>
      <c r="V311" s="522" t="n"/>
      <c r="W311" s="521" t="n"/>
    </row>
    <row r="312">
      <c r="A312" s="521" t="n">
        <v>304</v>
      </c>
      <c r="B312" s="522" t="inlineStr">
        <is>
          <t>CLERANCE &amp; TRUCKING FEE</t>
        </is>
      </c>
      <c r="C312" s="522" t="inlineStr">
        <is>
          <t>56ប៊ី-លីង សឹបផ្លាយ ឆេន មេនេចម៉ិន ឯ.ក</t>
        </is>
      </c>
      <c r="D312" s="522" t="inlineStr">
        <is>
          <t>K004-902004795</t>
        </is>
      </c>
      <c r="E312" s="521" t="inlineStr">
        <is>
          <t>TI2022-0014</t>
        </is>
      </c>
      <c r="F312" s="523" t="n">
        <v>44582</v>
      </c>
      <c r="G312" s="556" t="n">
        <v>270655</v>
      </c>
      <c r="I312" s="521">
        <f>G312</f>
        <v/>
      </c>
      <c r="K312" s="521">
        <f>I312-G312</f>
        <v/>
      </c>
      <c r="M312" s="522" t="inlineStr">
        <is>
          <t>TI20220014</t>
        </is>
      </c>
      <c r="N312" s="522" t="inlineStr">
        <is>
          <t>TI20220014</t>
        </is>
      </c>
      <c r="O312" s="521">
        <f>M312=N312</f>
        <v/>
      </c>
      <c r="P312" s="521">
        <f>AND(MONTH(F312)=MONTH(S312), YEAR(F312)=YEAR(S312))</f>
        <v/>
      </c>
      <c r="Q312" s="521">
        <f>U312="L001-901905215"</f>
        <v/>
      </c>
      <c r="R312" s="556">
        <f>G312-W312</f>
        <v/>
      </c>
      <c r="S312" s="523" t="n">
        <v>44582</v>
      </c>
      <c r="T312" s="522" t="inlineStr">
        <is>
          <t>TI2022-0014</t>
        </is>
      </c>
      <c r="U312" s="522" t="inlineStr">
        <is>
          <t>L001-901905215</t>
        </is>
      </c>
      <c r="V312" s="522" t="inlineStr">
        <is>
          <t>វីអ៊ីស៊ិន (ខេមបូឌា) អ៊ិនដាសស្ទ្រី ឯ.ក</t>
        </is>
      </c>
      <c r="W312" s="556" t="n">
        <v>270655</v>
      </c>
    </row>
    <row r="313">
      <c r="A313" s="521" t="n">
        <v>305</v>
      </c>
      <c r="B313" s="522" t="inlineStr">
        <is>
          <t>Lift-Off Charge,Gate Fee Charge</t>
        </is>
      </c>
      <c r="C313" s="522" t="inlineStr">
        <is>
          <t>កំពង់ផែស្វយ័តភ្នំពេញ "ក.ស.ភ"</t>
        </is>
      </c>
      <c r="D313" s="522" t="inlineStr">
        <is>
          <t>L001-100044999</t>
        </is>
      </c>
      <c r="E313" s="521" t="inlineStr">
        <is>
          <t>INV20220101518</t>
        </is>
      </c>
      <c r="F313" s="523" t="n">
        <v>44568</v>
      </c>
      <c r="G313" s="556" t="n">
        <v>29340</v>
      </c>
      <c r="I313" s="521">
        <f>G313</f>
        <v/>
      </c>
      <c r="K313" s="521">
        <f>I313-G313</f>
        <v/>
      </c>
      <c r="M313" s="522" t="inlineStr">
        <is>
          <t>INV20220101518</t>
        </is>
      </c>
      <c r="N313" s="522" t="inlineStr"/>
      <c r="O313" s="521">
        <f>M313=N313</f>
        <v/>
      </c>
      <c r="P313" s="521">
        <f>AND(MONTH(F313)=MONTH(S313), YEAR(F313)=YEAR(S313))</f>
        <v/>
      </c>
      <c r="Q313" s="521">
        <f>U313="L001-901905215"</f>
        <v/>
      </c>
      <c r="R313" s="556">
        <f>G313-W313</f>
        <v/>
      </c>
      <c r="S313" s="521" t="n"/>
      <c r="T313" s="522" t="n"/>
      <c r="U313" s="522" t="n"/>
      <c r="V313" s="522" t="n"/>
      <c r="W313" s="521" t="n"/>
    </row>
    <row r="314">
      <c r="A314" s="521" t="n">
        <v>306</v>
      </c>
      <c r="B314" s="522" t="inlineStr">
        <is>
          <t>CLERANCE &amp; TRUCKING FEE</t>
        </is>
      </c>
      <c r="C314" s="522" t="inlineStr">
        <is>
          <t>56ប៊ី-លីង សឹបផ្លាយ ឆេន មេនេចម៉ិន ឯ.ក</t>
        </is>
      </c>
      <c r="D314" s="522" t="inlineStr">
        <is>
          <t>K004-902004795</t>
        </is>
      </c>
      <c r="E314" s="521" t="inlineStr">
        <is>
          <t>TI2022-0011</t>
        </is>
      </c>
      <c r="F314" s="523" t="n">
        <v>44582</v>
      </c>
      <c r="G314" s="556" t="n">
        <v>270655</v>
      </c>
      <c r="I314" s="521">
        <f>G314</f>
        <v/>
      </c>
      <c r="K314" s="521">
        <f>I314-G314</f>
        <v/>
      </c>
      <c r="M314" s="522" t="inlineStr">
        <is>
          <t>TI20220011</t>
        </is>
      </c>
      <c r="N314" s="522" t="inlineStr">
        <is>
          <t>TI20220011</t>
        </is>
      </c>
      <c r="O314" s="521">
        <f>M314=N314</f>
        <v/>
      </c>
      <c r="P314" s="521">
        <f>AND(MONTH(F314)=MONTH(S314), YEAR(F314)=YEAR(S314))</f>
        <v/>
      </c>
      <c r="Q314" s="521">
        <f>U314="L001-901905215"</f>
        <v/>
      </c>
      <c r="R314" s="556">
        <f>G314-W314</f>
        <v/>
      </c>
      <c r="S314" s="523" t="n">
        <v>44582</v>
      </c>
      <c r="T314" s="522" t="inlineStr">
        <is>
          <t>TI2022-0011</t>
        </is>
      </c>
      <c r="U314" s="522" t="inlineStr">
        <is>
          <t>L001-901905215</t>
        </is>
      </c>
      <c r="V314" s="522" t="inlineStr">
        <is>
          <t>វីអ៊ីស៊ិន (ខេមបូឌា) អ៊ិនដាសស្ទ្រី ឯ.ក</t>
        </is>
      </c>
      <c r="W314" s="556" t="n">
        <v>270655</v>
      </c>
    </row>
    <row r="315">
      <c r="A315" s="521" t="n">
        <v>307</v>
      </c>
      <c r="B315" s="522" t="inlineStr">
        <is>
          <t>Express Fee</t>
        </is>
      </c>
      <c r="C315" s="522" t="inlineStr">
        <is>
          <t>ឌី អេច អិល អិចប្រេស (ខេមបូឌា)</t>
        </is>
      </c>
      <c r="D315" s="522" t="inlineStr">
        <is>
          <t>L001-100045197</t>
        </is>
      </c>
      <c r="E315" s="521" t="inlineStr">
        <is>
          <t>571031759</t>
        </is>
      </c>
      <c r="F315" s="523" t="n">
        <v>44566</v>
      </c>
      <c r="G315" s="556" t="n">
        <v>1907</v>
      </c>
      <c r="I315" s="521">
        <f>G315</f>
        <v/>
      </c>
      <c r="K315" s="521">
        <f>I315-G315</f>
        <v/>
      </c>
      <c r="M315" s="522" t="inlineStr">
        <is>
          <t>571031759</t>
        </is>
      </c>
      <c r="N315" s="522" t="inlineStr"/>
      <c r="O315" s="521">
        <f>M315=N315</f>
        <v/>
      </c>
      <c r="P315" s="521">
        <f>AND(MONTH(F315)=MONTH(S315), YEAR(F315)=YEAR(S315))</f>
        <v/>
      </c>
      <c r="Q315" s="521">
        <f>U315="L001-901905215"</f>
        <v/>
      </c>
      <c r="R315" s="556">
        <f>G315-W315</f>
        <v/>
      </c>
      <c r="S315" s="521" t="n"/>
      <c r="T315" s="522" t="n"/>
      <c r="U315" s="522" t="n"/>
      <c r="V315" s="522" t="n"/>
      <c r="W315" s="521" t="n"/>
    </row>
    <row r="316">
      <c r="A316" s="521" t="n">
        <v>308</v>
      </c>
      <c r="B316" s="522" t="inlineStr">
        <is>
          <t>Monthly Tax declaration for Jan 2022</t>
        </is>
      </c>
      <c r="C316" s="522" t="inlineStr">
        <is>
          <t>យីងកឺ ខេម ថេក អ៊ែតវ៉ាយហ្សឺរី ឯ.ក</t>
        </is>
      </c>
      <c r="D316" s="522" t="inlineStr">
        <is>
          <t>K003-902005313</t>
        </is>
      </c>
      <c r="E316" s="521" t="inlineStr">
        <is>
          <t>YKT22-012</t>
        </is>
      </c>
      <c r="F316" s="523" t="n">
        <v>44572</v>
      </c>
      <c r="G316" s="556" t="n">
        <v>570500</v>
      </c>
      <c r="I316" s="521">
        <f>G316</f>
        <v/>
      </c>
      <c r="K316" s="521">
        <f>I316-G316</f>
        <v/>
      </c>
      <c r="M316" s="522" t="inlineStr">
        <is>
          <t>YKT22012</t>
        </is>
      </c>
      <c r="N316" s="522" t="inlineStr">
        <is>
          <t>YKT22012</t>
        </is>
      </c>
      <c r="O316" s="521">
        <f>M316=N316</f>
        <v/>
      </c>
      <c r="P316" s="521">
        <f>AND(MONTH(F316)=MONTH(S316), YEAR(F316)=YEAR(S316))</f>
        <v/>
      </c>
      <c r="Q316" s="521">
        <f>U316="L001-901905215"</f>
        <v/>
      </c>
      <c r="R316" s="556">
        <f>G316-W316</f>
        <v/>
      </c>
      <c r="S316" s="523" t="n">
        <v>44572</v>
      </c>
      <c r="T316" s="522" t="inlineStr">
        <is>
          <t>YKT22-012</t>
        </is>
      </c>
      <c r="U316" s="522" t="inlineStr">
        <is>
          <t>L001-901905215</t>
        </is>
      </c>
      <c r="V316" s="522" t="inlineStr">
        <is>
          <t>វីអ៊ីស៊ិន (ខេមបូឌា) អ៊ិនដាសស្ទ្រី ឯ.ក</t>
        </is>
      </c>
      <c r="W316" s="556" t="n">
        <v>570500</v>
      </c>
    </row>
    <row r="317">
      <c r="A317" s="521" t="n">
        <v>309</v>
      </c>
      <c r="B317" s="522" t="inlineStr">
        <is>
          <t>General pest Control Service</t>
        </is>
      </c>
      <c r="C317" s="522" t="inlineStr">
        <is>
          <t>ភីស៊ីអាយ សឺវីស</t>
        </is>
      </c>
      <c r="D317" s="522" t="inlineStr">
        <is>
          <t>K010-901639639</t>
        </is>
      </c>
      <c r="E317" s="521" t="inlineStr">
        <is>
          <t>2022-0200</t>
        </is>
      </c>
      <c r="F317" s="523" t="n">
        <v>44581</v>
      </c>
      <c r="G317" s="556" t="n">
        <v>80960</v>
      </c>
      <c r="I317" s="521">
        <f>G317</f>
        <v/>
      </c>
      <c r="K317" s="521">
        <f>I317-G317</f>
        <v/>
      </c>
      <c r="M317" s="522" t="inlineStr">
        <is>
          <t>20220200</t>
        </is>
      </c>
      <c r="N317" s="522" t="inlineStr"/>
      <c r="O317" s="521">
        <f>M317=N317</f>
        <v/>
      </c>
      <c r="P317" s="521">
        <f>AND(MONTH(F317)=MONTH(S317), YEAR(F317)=YEAR(S317))</f>
        <v/>
      </c>
      <c r="Q317" s="521">
        <f>U317="L001-901905215"</f>
        <v/>
      </c>
      <c r="R317" s="556">
        <f>G317-W317</f>
        <v/>
      </c>
      <c r="S317" s="521" t="n"/>
      <c r="T317" s="522" t="n"/>
      <c r="U317" s="522" t="n"/>
      <c r="V317" s="522" t="n"/>
      <c r="W317" s="521" t="n"/>
    </row>
    <row r="318">
      <c r="A318" s="521" t="n">
        <v>310</v>
      </c>
      <c r="B318" s="522" t="inlineStr">
        <is>
          <t>Building Rental Charge for Jan 2022 and Management Fee for Jan 2022</t>
        </is>
      </c>
      <c r="C318" s="522" t="inlineStr">
        <is>
          <t>មេហ្គា លេបឹល &amp; ស្ទីកឃើរ (ខេមបូឌា)</t>
        </is>
      </c>
      <c r="D318" s="522" t="inlineStr">
        <is>
          <t>L001-100185983</t>
        </is>
      </c>
      <c r="E318" s="521" t="inlineStr">
        <is>
          <t>INV20220103</t>
        </is>
      </c>
      <c r="F318" s="523" t="n">
        <v>44564</v>
      </c>
      <c r="G318" s="556" t="n">
        <v>4548441</v>
      </c>
      <c r="I318" s="521">
        <f>G318</f>
        <v/>
      </c>
      <c r="K318" s="521">
        <f>I318-G318</f>
        <v/>
      </c>
      <c r="M318" s="522" t="inlineStr">
        <is>
          <t>INV20220103</t>
        </is>
      </c>
      <c r="N318" s="522" t="inlineStr">
        <is>
          <t>INV20220103</t>
        </is>
      </c>
      <c r="O318" s="521">
        <f>M318=N318</f>
        <v/>
      </c>
      <c r="P318" s="521">
        <f>AND(MONTH(F318)=MONTH(S318), YEAR(F318)=YEAR(S318))</f>
        <v/>
      </c>
      <c r="Q318" s="521">
        <f>U318="L001-901905215"</f>
        <v/>
      </c>
      <c r="R318" s="556">
        <f>G318-W318</f>
        <v/>
      </c>
      <c r="S318" s="523" t="n">
        <v>44564</v>
      </c>
      <c r="T318" s="522" t="inlineStr">
        <is>
          <t>INV20220103</t>
        </is>
      </c>
      <c r="U318" s="522" t="inlineStr">
        <is>
          <t>L001-901905215</t>
        </is>
      </c>
      <c r="V318" s="522" t="inlineStr">
        <is>
          <t>វីអ៊ីស៊ិន (ខេមបូឌា) អ៊ិនដាសស្ទ្រី ឯ.ក</t>
        </is>
      </c>
      <c r="W318" s="556" t="n">
        <v>4548442</v>
      </c>
    </row>
    <row r="319">
      <c r="A319" s="521" t="n">
        <v>311</v>
      </c>
      <c r="B319" s="522" t="inlineStr">
        <is>
          <t>Security Service for Jan 2022</t>
        </is>
      </c>
      <c r="C319" s="522" t="inlineStr">
        <is>
          <t>សហ័ស សិឃ្យូរិធី ឯ.ក</t>
        </is>
      </c>
      <c r="D319" s="522" t="inlineStr">
        <is>
          <t>K010-107032600</t>
        </is>
      </c>
      <c r="E319" s="521" t="inlineStr">
        <is>
          <t>SHTI220024</t>
        </is>
      </c>
      <c r="F319" s="523" t="n">
        <v>44585</v>
      </c>
      <c r="G319" s="556" t="n">
        <v>227864</v>
      </c>
      <c r="I319" s="521">
        <f>G319</f>
        <v/>
      </c>
      <c r="K319" s="521">
        <f>I319-G319</f>
        <v/>
      </c>
      <c r="M319" s="522" t="inlineStr">
        <is>
          <t>SHTI220024</t>
        </is>
      </c>
      <c r="N319" s="522" t="inlineStr">
        <is>
          <t>SHTI220024</t>
        </is>
      </c>
      <c r="O319" s="521">
        <f>M319=N319</f>
        <v/>
      </c>
      <c r="P319" s="521">
        <f>AND(MONTH(F319)=MONTH(S319), YEAR(F319)=YEAR(S319))</f>
        <v/>
      </c>
      <c r="Q319" s="521">
        <f>U319="L001-901905215"</f>
        <v/>
      </c>
      <c r="R319" s="556">
        <f>G319-W319</f>
        <v/>
      </c>
      <c r="S319" s="523" t="n">
        <v>44585</v>
      </c>
      <c r="T319" s="522" t="inlineStr">
        <is>
          <t>SHTI220024</t>
        </is>
      </c>
      <c r="U319" s="522" t="inlineStr">
        <is>
          <t>L001-901905215</t>
        </is>
      </c>
      <c r="V319" s="522" t="inlineStr">
        <is>
          <t>វីអ៊ីស៊ិន (ខេមបូឌា) អ៊ិនដាសស្ទ្រី ឯ.ក</t>
        </is>
      </c>
      <c r="W319" s="556" t="n">
        <v>227864</v>
      </c>
    </row>
    <row r="320">
      <c r="A320" s="521" t="n">
        <v>312</v>
      </c>
      <c r="B320" s="522" t="inlineStr">
        <is>
          <t>Infrastructure Maintenance Fee for  Jan 2022</t>
        </is>
      </c>
      <c r="C320" s="522" t="inlineStr">
        <is>
          <t>ភ្នំពេញ អេសអ៊ីហ្សិត ភីអិលស៊ី</t>
        </is>
      </c>
      <c r="D320" s="522" t="inlineStr">
        <is>
          <t>L001-100046592</t>
        </is>
      </c>
      <c r="E320" s="521" t="inlineStr">
        <is>
          <t>2022-00140</t>
        </is>
      </c>
      <c r="F320" s="523" t="n">
        <v>44578</v>
      </c>
      <c r="G320" s="556" t="n">
        <v>200833</v>
      </c>
      <c r="I320" s="521">
        <f>G320</f>
        <v/>
      </c>
      <c r="K320" s="521">
        <f>I320-G320</f>
        <v/>
      </c>
      <c r="M320" s="522" t="inlineStr">
        <is>
          <t>202200140</t>
        </is>
      </c>
      <c r="N320" s="522" t="inlineStr">
        <is>
          <t>202200140</t>
        </is>
      </c>
      <c r="O320" s="521">
        <f>M320=N320</f>
        <v/>
      </c>
      <c r="P320" s="521">
        <f>AND(MONTH(F320)=MONTH(S320), YEAR(F320)=YEAR(S320))</f>
        <v/>
      </c>
      <c r="Q320" s="521">
        <f>U320="L001-901905215"</f>
        <v/>
      </c>
      <c r="R320" s="556">
        <f>G320-W320</f>
        <v/>
      </c>
      <c r="S320" s="523" t="n">
        <v>44578</v>
      </c>
      <c r="T320" s="522" t="inlineStr">
        <is>
          <t>2022-00140</t>
        </is>
      </c>
      <c r="U320" s="522" t="inlineStr">
        <is>
          <t>L001-901905215</t>
        </is>
      </c>
      <c r="V320" s="522" t="inlineStr">
        <is>
          <t>វីអ៊ីស៊ិន (ខេមបូឌា) អ៊ិនដាសស្ទ្រី ឯ.ក</t>
        </is>
      </c>
      <c r="W320" s="556" t="n">
        <v>200881</v>
      </c>
    </row>
    <row r="321">
      <c r="A321" s="521" t="n">
        <v>313</v>
      </c>
      <c r="B321" s="522" t="inlineStr">
        <is>
          <t>Infrastructure Maintenance Fee for  Jan 2022</t>
        </is>
      </c>
      <c r="C321" s="522" t="inlineStr">
        <is>
          <t>ភ្នំពេញ អេសអ៊ីហ្សិត ភីអិលស៊ី</t>
        </is>
      </c>
      <c r="D321" s="522" t="inlineStr">
        <is>
          <t>L001-100046592</t>
        </is>
      </c>
      <c r="E321" s="521" t="inlineStr">
        <is>
          <t>2022-00149</t>
        </is>
      </c>
      <c r="F321" s="523" t="n">
        <v>44578</v>
      </c>
      <c r="G321" s="556" t="n">
        <v>164949</v>
      </c>
      <c r="I321" s="521">
        <f>G321</f>
        <v/>
      </c>
      <c r="K321" s="521">
        <f>I321-G321</f>
        <v/>
      </c>
      <c r="M321" s="522" t="inlineStr">
        <is>
          <t>202200149</t>
        </is>
      </c>
      <c r="N321" s="522" t="inlineStr">
        <is>
          <t>202200149</t>
        </is>
      </c>
      <c r="O321" s="521">
        <f>M321=N321</f>
        <v/>
      </c>
      <c r="P321" s="521">
        <f>AND(MONTH(F321)=MONTH(S321), YEAR(F321)=YEAR(S321))</f>
        <v/>
      </c>
      <c r="Q321" s="521">
        <f>U321="L001-901905215"</f>
        <v/>
      </c>
      <c r="R321" s="556">
        <f>G321-W321</f>
        <v/>
      </c>
      <c r="S321" s="523" t="n">
        <v>44578</v>
      </c>
      <c r="T321" s="522" t="inlineStr">
        <is>
          <t>2022-00149</t>
        </is>
      </c>
      <c r="U321" s="522" t="inlineStr">
        <is>
          <t>L001-901905215</t>
        </is>
      </c>
      <c r="V321" s="522" t="inlineStr">
        <is>
          <t>វីអ៊ីស៊ិន (ខេមបូឌា) អ៊ិនដាសស្ទ្រី ឯ.ក</t>
        </is>
      </c>
      <c r="W321" s="556" t="n">
        <v>164989</v>
      </c>
    </row>
    <row r="322">
      <c r="A322" s="521" t="n">
        <v>314</v>
      </c>
      <c r="B322" s="522" t="inlineStr">
        <is>
          <t>THC and management fee</t>
        </is>
      </c>
      <c r="C322" s="522" t="inlineStr">
        <is>
          <t>អ៊ិចស្ពែឌីធ័រ ខេមបូឌា អិលធីឌី</t>
        </is>
      </c>
      <c r="D322" s="522" t="inlineStr">
        <is>
          <t>L001-100045898</t>
        </is>
      </c>
      <c r="E322" s="521" t="inlineStr">
        <is>
          <t>TI-0220512</t>
        </is>
      </c>
      <c r="F322" s="523" t="n">
        <v>44587</v>
      </c>
      <c r="G322" s="556" t="n">
        <v>380671</v>
      </c>
      <c r="I322" s="521">
        <f>G322</f>
        <v/>
      </c>
      <c r="K322" s="521">
        <f>I322-G322</f>
        <v/>
      </c>
      <c r="M322" s="522" t="inlineStr">
        <is>
          <t>TI0220512</t>
        </is>
      </c>
      <c r="N322" s="522" t="inlineStr">
        <is>
          <t>TI0220512</t>
        </is>
      </c>
      <c r="O322" s="521">
        <f>M322=N322</f>
        <v/>
      </c>
      <c r="P322" s="521">
        <f>AND(MONTH(F322)=MONTH(S322), YEAR(F322)=YEAR(S322))</f>
        <v/>
      </c>
      <c r="Q322" s="521">
        <f>U322="L001-901905215"</f>
        <v/>
      </c>
      <c r="R322" s="556">
        <f>G322-W322</f>
        <v/>
      </c>
      <c r="S322" s="523" t="n">
        <v>44587</v>
      </c>
      <c r="T322" s="522" t="inlineStr">
        <is>
          <t>TI-0220512</t>
        </is>
      </c>
      <c r="U322" s="522" t="inlineStr">
        <is>
          <t>L001-901905215</t>
        </is>
      </c>
      <c r="V322" s="522" t="inlineStr">
        <is>
          <t>វីអ៊ីស៊ិន (ខេមបូឌា) អ៊ិនដាសស្ទ្រី ឯ.ក</t>
        </is>
      </c>
      <c r="W322" s="556" t="n">
        <v>380671</v>
      </c>
    </row>
    <row r="323">
      <c r="A323" s="521" t="n">
        <v>315</v>
      </c>
      <c r="B323" s="522" t="inlineStr">
        <is>
          <t>THC and management fee</t>
        </is>
      </c>
      <c r="C323" s="522" t="inlineStr">
        <is>
          <t>អ៊ិចស្ពែឌីធ័រ ខេមបូឌា អិលធីឌី</t>
        </is>
      </c>
      <c r="D323" s="522" t="inlineStr">
        <is>
          <t>L001-100045898</t>
        </is>
      </c>
      <c r="E323" s="521" t="inlineStr">
        <is>
          <t>TI-0220511</t>
        </is>
      </c>
      <c r="F323" s="523" t="n">
        <v>44587</v>
      </c>
      <c r="G323" s="556" t="n">
        <v>320480</v>
      </c>
      <c r="I323" s="521">
        <f>G323</f>
        <v/>
      </c>
      <c r="K323" s="521">
        <f>I323-G323</f>
        <v/>
      </c>
      <c r="M323" s="522" t="inlineStr">
        <is>
          <t>TI0220511</t>
        </is>
      </c>
      <c r="N323" s="522" t="inlineStr">
        <is>
          <t>TI0220511</t>
        </is>
      </c>
      <c r="O323" s="521">
        <f>M323=N323</f>
        <v/>
      </c>
      <c r="P323" s="521">
        <f>AND(MONTH(F323)=MONTH(S323), YEAR(F323)=YEAR(S323))</f>
        <v/>
      </c>
      <c r="Q323" s="521">
        <f>U323="L001-901905215"</f>
        <v/>
      </c>
      <c r="R323" s="556">
        <f>G323-W323</f>
        <v/>
      </c>
      <c r="S323" s="523" t="n">
        <v>44587</v>
      </c>
      <c r="T323" s="522" t="inlineStr">
        <is>
          <t>TI-0220511</t>
        </is>
      </c>
      <c r="U323" s="522" t="inlineStr">
        <is>
          <t>L001-901905215</t>
        </is>
      </c>
      <c r="V323" s="522" t="inlineStr">
        <is>
          <t>វីអ៊ីស៊ិន (ខេមបូឌា) អ៊ិនដាសស្ទ្រី ឯ.ក</t>
        </is>
      </c>
      <c r="W323" s="556" t="n">
        <v>320480</v>
      </c>
    </row>
    <row r="324">
      <c r="A324" s="521" t="n">
        <v>316</v>
      </c>
      <c r="B324" s="522" t="inlineStr">
        <is>
          <t>THC and management fee</t>
        </is>
      </c>
      <c r="C324" s="522" t="inlineStr">
        <is>
          <t>អ៊ិចស្ពែឌីធ័រ ខេមបូឌា អិលធីឌី</t>
        </is>
      </c>
      <c r="D324" s="522" t="inlineStr">
        <is>
          <t>L001-100045898</t>
        </is>
      </c>
      <c r="E324" s="521" t="inlineStr">
        <is>
          <t>TI-0219907</t>
        </is>
      </c>
      <c r="F324" s="523" t="n">
        <v>44581</v>
      </c>
      <c r="G324" s="556" t="n">
        <v>643376</v>
      </c>
      <c r="I324" s="521">
        <f>G324</f>
        <v/>
      </c>
      <c r="K324" s="521">
        <f>I324-G324</f>
        <v/>
      </c>
      <c r="M324" s="522" t="inlineStr">
        <is>
          <t>TI0219907</t>
        </is>
      </c>
      <c r="N324" s="522" t="inlineStr">
        <is>
          <t>TI0219907</t>
        </is>
      </c>
      <c r="O324" s="521">
        <f>M324=N324</f>
        <v/>
      </c>
      <c r="P324" s="521">
        <f>AND(MONTH(F324)=MONTH(S324), YEAR(F324)=YEAR(S324))</f>
        <v/>
      </c>
      <c r="Q324" s="521">
        <f>U324="L001-901905215"</f>
        <v/>
      </c>
      <c r="R324" s="556">
        <f>G324-W324</f>
        <v/>
      </c>
      <c r="S324" s="523" t="n">
        <v>44581</v>
      </c>
      <c r="T324" s="522" t="inlineStr">
        <is>
          <t>TI-0219907</t>
        </is>
      </c>
      <c r="U324" s="522" t="inlineStr">
        <is>
          <t>L001-901905215</t>
        </is>
      </c>
      <c r="V324" s="522" t="inlineStr">
        <is>
          <t>វីអ៊ីស៊ិន (ខេមបូឌា) អ៊ិនដាសស្ទ្រី ឯ.ក</t>
        </is>
      </c>
      <c r="W324" s="556" t="n">
        <v>643376</v>
      </c>
    </row>
    <row r="325">
      <c r="A325" s="521" t="n">
        <v>317</v>
      </c>
      <c r="B325" s="522" t="inlineStr">
        <is>
          <t>THC and management fee</t>
        </is>
      </c>
      <c r="C325" s="522" t="inlineStr">
        <is>
          <t>អ៊ិចស្ពែឌីធ័រ ខេមបូឌា អិលធីឌី</t>
        </is>
      </c>
      <c r="D325" s="522" t="inlineStr">
        <is>
          <t>L001-100045898</t>
        </is>
      </c>
      <c r="E325" s="521" t="inlineStr">
        <is>
          <t>TI-0219906</t>
        </is>
      </c>
      <c r="F325" s="523" t="n">
        <v>44581</v>
      </c>
      <c r="G325" s="556" t="n">
        <v>772051</v>
      </c>
      <c r="I325" s="521">
        <f>G325</f>
        <v/>
      </c>
      <c r="K325" s="521">
        <f>I325-G325</f>
        <v/>
      </c>
      <c r="M325" s="522" t="inlineStr">
        <is>
          <t>TI0219906</t>
        </is>
      </c>
      <c r="N325" s="522" t="inlineStr">
        <is>
          <t>TI0219906</t>
        </is>
      </c>
      <c r="O325" s="521">
        <f>M325=N325</f>
        <v/>
      </c>
      <c r="P325" s="521">
        <f>AND(MONTH(F325)=MONTH(S325), YEAR(F325)=YEAR(S325))</f>
        <v/>
      </c>
      <c r="Q325" s="521">
        <f>U325="L001-901905215"</f>
        <v/>
      </c>
      <c r="R325" s="556">
        <f>G325-W325</f>
        <v/>
      </c>
      <c r="S325" s="523" t="n">
        <v>44581</v>
      </c>
      <c r="T325" s="522" t="inlineStr">
        <is>
          <t>TI-0219906</t>
        </is>
      </c>
      <c r="U325" s="522" t="inlineStr">
        <is>
          <t>L001-901905215</t>
        </is>
      </c>
      <c r="V325" s="522" t="inlineStr">
        <is>
          <t>វីអ៊ីស៊ិន (ខេមបូឌា) អ៊ិនដាសស្ទ្រី ឯ.ក</t>
        </is>
      </c>
      <c r="W325" s="556" t="n">
        <v>772051</v>
      </c>
    </row>
    <row r="326">
      <c r="A326" s="521" t="n">
        <v>318</v>
      </c>
      <c r="B326" s="522" t="inlineStr">
        <is>
          <t>THC and management fee</t>
        </is>
      </c>
      <c r="C326" s="522" t="inlineStr">
        <is>
          <t>អ៊ិចស្ពែឌីធ័រ ខេមបូឌា អិលធីឌី</t>
        </is>
      </c>
      <c r="D326" s="522" t="inlineStr">
        <is>
          <t>L001-100045898</t>
        </is>
      </c>
      <c r="E326" s="521" t="inlineStr">
        <is>
          <t>TI-0219299</t>
        </is>
      </c>
      <c r="F326" s="523" t="n">
        <v>44574</v>
      </c>
      <c r="G326" s="556" t="n">
        <v>195348</v>
      </c>
      <c r="I326" s="521">
        <f>G326</f>
        <v/>
      </c>
      <c r="K326" s="521">
        <f>I326-G326</f>
        <v/>
      </c>
      <c r="M326" s="522" t="inlineStr">
        <is>
          <t>TI0219299</t>
        </is>
      </c>
      <c r="N326" s="522" t="inlineStr">
        <is>
          <t>TI0219299</t>
        </is>
      </c>
      <c r="O326" s="521">
        <f>M326=N326</f>
        <v/>
      </c>
      <c r="P326" s="521">
        <f>AND(MONTH(F326)=MONTH(S326), YEAR(F326)=YEAR(S326))</f>
        <v/>
      </c>
      <c r="Q326" s="521">
        <f>U326="L001-901905215"</f>
        <v/>
      </c>
      <c r="R326" s="556">
        <f>G326-W326</f>
        <v/>
      </c>
      <c r="S326" s="523" t="n">
        <v>44574</v>
      </c>
      <c r="T326" s="522" t="inlineStr">
        <is>
          <t>TI-0219299</t>
        </is>
      </c>
      <c r="U326" s="522" t="inlineStr">
        <is>
          <t>L001-901905215</t>
        </is>
      </c>
      <c r="V326" s="522" t="inlineStr">
        <is>
          <t>វីអ៊ីស៊ិន (ខេមបូឌា) អ៊ិនដាសស្ទ្រី ឯ.ក</t>
        </is>
      </c>
      <c r="W326" s="556" t="n">
        <v>195348</v>
      </c>
    </row>
    <row r="327">
      <c r="A327" s="521" t="n">
        <v>319</v>
      </c>
      <c r="B327" s="522" t="inlineStr">
        <is>
          <t>THC and management fee</t>
        </is>
      </c>
      <c r="C327" s="522" t="inlineStr">
        <is>
          <t>អ៊ិចស្ពែឌីធ័រ ខេមបូឌា អិលធីឌី</t>
        </is>
      </c>
      <c r="D327" s="522" t="inlineStr">
        <is>
          <t>L001-100045898</t>
        </is>
      </c>
      <c r="E327" s="521" t="inlineStr">
        <is>
          <t>TI-0219130</t>
        </is>
      </c>
      <c r="F327" s="523" t="n">
        <v>44572</v>
      </c>
      <c r="G327" s="556" t="n">
        <v>739001</v>
      </c>
      <c r="I327" s="521">
        <f>G327</f>
        <v/>
      </c>
      <c r="K327" s="521">
        <f>I327-G327</f>
        <v/>
      </c>
      <c r="M327" s="522" t="inlineStr">
        <is>
          <t>TI0219130</t>
        </is>
      </c>
      <c r="N327" s="522" t="inlineStr">
        <is>
          <t>TI0219130</t>
        </is>
      </c>
      <c r="O327" s="521">
        <f>M327=N327</f>
        <v/>
      </c>
      <c r="P327" s="521">
        <f>AND(MONTH(F327)=MONTH(S327), YEAR(F327)=YEAR(S327))</f>
        <v/>
      </c>
      <c r="Q327" s="521">
        <f>U327="L001-901905215"</f>
        <v/>
      </c>
      <c r="R327" s="556">
        <f>G327-W327</f>
        <v/>
      </c>
      <c r="S327" s="523" t="n">
        <v>44572</v>
      </c>
      <c r="T327" s="522" t="inlineStr">
        <is>
          <t>TI-0219130</t>
        </is>
      </c>
      <c r="U327" s="522" t="inlineStr">
        <is>
          <t>L001-901905215</t>
        </is>
      </c>
      <c r="V327" s="522" t="inlineStr">
        <is>
          <t>វីអ៊ីស៊ិន (ខេមបូឌា) អ៊ិនដាសស្ទ្រី ឯ.ក</t>
        </is>
      </c>
      <c r="W327" s="556" t="n">
        <v>739001</v>
      </c>
    </row>
    <row r="328">
      <c r="A328" s="521" t="n">
        <v>320</v>
      </c>
      <c r="B328" s="522" t="inlineStr">
        <is>
          <t>THC and management fee</t>
        </is>
      </c>
      <c r="C328" s="522" t="inlineStr">
        <is>
          <t>អ៊ិចស្ពែឌីធ័រ ខេមបូឌា អិលធីឌី</t>
        </is>
      </c>
      <c r="D328" s="522" t="inlineStr">
        <is>
          <t>L001-100045898</t>
        </is>
      </c>
      <c r="E328" s="521" t="inlineStr">
        <is>
          <t>TI-0219128</t>
        </is>
      </c>
      <c r="F328" s="523" t="n">
        <v>44572</v>
      </c>
      <c r="G328" s="556" t="n">
        <v>236758</v>
      </c>
      <c r="I328" s="521">
        <f>G328</f>
        <v/>
      </c>
      <c r="K328" s="521">
        <f>I328-G328</f>
        <v/>
      </c>
      <c r="M328" s="522" t="inlineStr">
        <is>
          <t>TI0219128</t>
        </is>
      </c>
      <c r="N328" s="522" t="inlineStr">
        <is>
          <t>TI0219128</t>
        </is>
      </c>
      <c r="O328" s="521">
        <f>M328=N328</f>
        <v/>
      </c>
      <c r="P328" s="521">
        <f>AND(MONTH(F328)=MONTH(S328), YEAR(F328)=YEAR(S328))</f>
        <v/>
      </c>
      <c r="Q328" s="521">
        <f>U328="L001-901905215"</f>
        <v/>
      </c>
      <c r="R328" s="556">
        <f>G328-W328</f>
        <v/>
      </c>
      <c r="S328" s="523" t="n">
        <v>44572</v>
      </c>
      <c r="T328" s="522" t="inlineStr">
        <is>
          <t>TI-0219128</t>
        </is>
      </c>
      <c r="U328" s="522" t="inlineStr">
        <is>
          <t>L001-901905215</t>
        </is>
      </c>
      <c r="V328" s="522" t="inlineStr">
        <is>
          <t>វីអ៊ីស៊ិន (ខេមបូឌា) អ៊ិនដាសស្ទ្រី ឯ.ក</t>
        </is>
      </c>
      <c r="W328" s="556" t="n">
        <v>236758</v>
      </c>
    </row>
    <row r="329">
      <c r="A329" s="521" t="n">
        <v>321</v>
      </c>
      <c r="B329" s="522" t="inlineStr">
        <is>
          <t>THC and management fee</t>
        </is>
      </c>
      <c r="C329" s="522" t="inlineStr">
        <is>
          <t>អ៊ិចស្ពែឌីធ័រ ខេមបូឌា អិលធីឌី</t>
        </is>
      </c>
      <c r="D329" s="522" t="inlineStr">
        <is>
          <t>L001-100045898</t>
        </is>
      </c>
      <c r="E329" s="521" t="inlineStr">
        <is>
          <t>TI-0219126</t>
        </is>
      </c>
      <c r="F329" s="523" t="n">
        <v>44572</v>
      </c>
      <c r="G329" s="556" t="n">
        <v>308478</v>
      </c>
      <c r="I329" s="521">
        <f>G329</f>
        <v/>
      </c>
      <c r="K329" s="521">
        <f>I329-G329</f>
        <v/>
      </c>
      <c r="M329" s="522" t="inlineStr">
        <is>
          <t>TI0219126</t>
        </is>
      </c>
      <c r="N329" s="522" t="inlineStr">
        <is>
          <t>TI0219126</t>
        </is>
      </c>
      <c r="O329" s="521">
        <f>M329=N329</f>
        <v/>
      </c>
      <c r="P329" s="521">
        <f>AND(MONTH(F329)=MONTH(S329), YEAR(F329)=YEAR(S329))</f>
        <v/>
      </c>
      <c r="Q329" s="521">
        <f>U329="L001-901905215"</f>
        <v/>
      </c>
      <c r="R329" s="556">
        <f>G329-W329</f>
        <v/>
      </c>
      <c r="S329" s="523" t="n">
        <v>44572</v>
      </c>
      <c r="T329" s="522" t="inlineStr">
        <is>
          <t>TI-0219126</t>
        </is>
      </c>
      <c r="U329" s="522" t="inlineStr">
        <is>
          <t>L001-901905215</t>
        </is>
      </c>
      <c r="V329" s="522" t="inlineStr">
        <is>
          <t>វីអ៊ីស៊ិន (ខេមបូឌា) អ៊ិនដាសស្ទ្រី ឯ.ក</t>
        </is>
      </c>
      <c r="W329" s="556" t="n">
        <v>308478</v>
      </c>
    </row>
    <row r="330">
      <c r="A330" s="521" t="n">
        <v>322</v>
      </c>
      <c r="B330" s="522" t="inlineStr">
        <is>
          <t>THC and management fee</t>
        </is>
      </c>
      <c r="C330" s="522" t="inlineStr">
        <is>
          <t>អ៊ិចស្ពែឌីធ័រ ខេមបូឌា អិលធីឌី</t>
        </is>
      </c>
      <c r="D330" s="522" t="inlineStr">
        <is>
          <t>L001-100045898</t>
        </is>
      </c>
      <c r="E330" s="521" t="inlineStr">
        <is>
          <t>TI-0219094</t>
        </is>
      </c>
      <c r="F330" s="523" t="n">
        <v>44572</v>
      </c>
      <c r="G330" s="556" t="n">
        <v>196467</v>
      </c>
      <c r="I330" s="521">
        <f>G330</f>
        <v/>
      </c>
      <c r="K330" s="521">
        <f>I330-G330</f>
        <v/>
      </c>
      <c r="M330" s="522" t="inlineStr">
        <is>
          <t>TI0219094</t>
        </is>
      </c>
      <c r="N330" s="522" t="inlineStr">
        <is>
          <t>TI0219094</t>
        </is>
      </c>
      <c r="O330" s="521">
        <f>M330=N330</f>
        <v/>
      </c>
      <c r="P330" s="521">
        <f>AND(MONTH(F330)=MONTH(S330), YEAR(F330)=YEAR(S330))</f>
        <v/>
      </c>
      <c r="Q330" s="521">
        <f>U330="L001-901905215"</f>
        <v/>
      </c>
      <c r="R330" s="556">
        <f>G330-W330</f>
        <v/>
      </c>
      <c r="S330" s="523" t="n">
        <v>44572</v>
      </c>
      <c r="T330" s="522" t="inlineStr">
        <is>
          <t>TI-0219094</t>
        </is>
      </c>
      <c r="U330" s="522" t="inlineStr">
        <is>
          <t>L001-901905215</t>
        </is>
      </c>
      <c r="V330" s="522" t="inlineStr">
        <is>
          <t>វីអ៊ីស៊ិន (ខេមបូឌា) អ៊ិនដាសស្ទ្រី ឯ.ក</t>
        </is>
      </c>
      <c r="W330" s="556" t="n">
        <v>196456</v>
      </c>
    </row>
    <row r="331">
      <c r="A331" s="521" t="n">
        <v>323</v>
      </c>
      <c r="B331" s="522" t="inlineStr">
        <is>
          <t>THC and management fee</t>
        </is>
      </c>
      <c r="C331" s="522" t="inlineStr">
        <is>
          <t>អ៊ិចស្ពែឌីធ័រ ខេមបូឌា អិលធីឌី</t>
        </is>
      </c>
      <c r="D331" s="522" t="inlineStr">
        <is>
          <t>L001-100045898</t>
        </is>
      </c>
      <c r="E331" s="521" t="inlineStr">
        <is>
          <t>TI-0218976</t>
        </is>
      </c>
      <c r="F331" s="523" t="n">
        <v>44562</v>
      </c>
      <c r="G331" s="556" t="n">
        <v>160555</v>
      </c>
      <c r="I331" s="521">
        <f>G331</f>
        <v/>
      </c>
      <c r="K331" s="521">
        <f>I331-G331</f>
        <v/>
      </c>
      <c r="M331" s="522" t="inlineStr">
        <is>
          <t>TI0218976</t>
        </is>
      </c>
      <c r="N331" s="522" t="inlineStr">
        <is>
          <t>TI0218976</t>
        </is>
      </c>
      <c r="O331" s="521">
        <f>M331=N331</f>
        <v/>
      </c>
      <c r="P331" s="521">
        <f>AND(MONTH(F331)=MONTH(S331), YEAR(F331)=YEAR(S331))</f>
        <v/>
      </c>
      <c r="Q331" s="521">
        <f>U331="L001-901905215"</f>
        <v/>
      </c>
      <c r="R331" s="556">
        <f>G331-W331</f>
        <v/>
      </c>
      <c r="S331" s="523" t="n">
        <v>44571</v>
      </c>
      <c r="T331" s="522" t="inlineStr">
        <is>
          <t>TI-0218976</t>
        </is>
      </c>
      <c r="U331" s="522" t="inlineStr">
        <is>
          <t>L001-901905215</t>
        </is>
      </c>
      <c r="V331" s="522" t="inlineStr">
        <is>
          <t>វីអ៊ីស៊ិន (ខេមបូឌា) អ៊ិនដាសស្ទ្រី ឯ.ក</t>
        </is>
      </c>
      <c r="W331" s="556" t="n">
        <v>160555</v>
      </c>
    </row>
    <row r="332">
      <c r="A332" s="521" t="n">
        <v>324</v>
      </c>
      <c r="B332" s="522" t="inlineStr">
        <is>
          <t>THC and management fee</t>
        </is>
      </c>
      <c r="C332" s="522" t="inlineStr">
        <is>
          <t>អ៊ិចស្ពែឌីធ័រ ខេមបូឌា អិលធីឌី</t>
        </is>
      </c>
      <c r="D332" s="522" t="inlineStr">
        <is>
          <t>L001-100045898</t>
        </is>
      </c>
      <c r="E332" s="521" t="inlineStr">
        <is>
          <t>TI-0218936</t>
        </is>
      </c>
      <c r="F332" s="523" t="n">
        <v>44571</v>
      </c>
      <c r="G332" s="556" t="n">
        <v>292585</v>
      </c>
      <c r="I332" s="521">
        <f>G332</f>
        <v/>
      </c>
      <c r="K332" s="521">
        <f>I332-G332</f>
        <v/>
      </c>
      <c r="M332" s="522" t="inlineStr">
        <is>
          <t>TI0218936</t>
        </is>
      </c>
      <c r="N332" s="522" t="inlineStr">
        <is>
          <t>TI0218936</t>
        </is>
      </c>
      <c r="O332" s="521">
        <f>M332=N332</f>
        <v/>
      </c>
      <c r="P332" s="521">
        <f>AND(MONTH(F332)=MONTH(S332), YEAR(F332)=YEAR(S332))</f>
        <v/>
      </c>
      <c r="Q332" s="521">
        <f>U332="L001-901905215"</f>
        <v/>
      </c>
      <c r="R332" s="556">
        <f>G332-W332</f>
        <v/>
      </c>
      <c r="S332" s="523" t="n">
        <v>44571</v>
      </c>
      <c r="T332" s="522" t="inlineStr">
        <is>
          <t>TI-0218936</t>
        </is>
      </c>
      <c r="U332" s="522" t="inlineStr">
        <is>
          <t>L001-901905215</t>
        </is>
      </c>
      <c r="V332" s="522" t="inlineStr">
        <is>
          <t>វីអ៊ីស៊ិន (ខេមបូឌា) អ៊ិនដាសស្ទ្រី ឯ.ក</t>
        </is>
      </c>
      <c r="W332" s="556" t="n">
        <v>292585</v>
      </c>
    </row>
    <row r="333">
      <c r="A333" s="521" t="n">
        <v>325</v>
      </c>
      <c r="B333" s="522" t="inlineStr">
        <is>
          <t>THC and management fee (VTCE21513）</t>
        </is>
      </c>
      <c r="C333" s="522" t="inlineStr">
        <is>
          <t>អ៊ិចស្ពែឌីធ័រ ខេមបូឌា អិលធីឌី</t>
        </is>
      </c>
      <c r="D333" s="522" t="inlineStr">
        <is>
          <t>L001-100045898</t>
        </is>
      </c>
      <c r="E333" s="521" t="inlineStr">
        <is>
          <t>TI-0218935</t>
        </is>
      </c>
      <c r="F333" s="523" t="n">
        <v>44571</v>
      </c>
      <c r="G333" s="556" t="n">
        <v>208640</v>
      </c>
      <c r="I333" s="521">
        <f>G333</f>
        <v/>
      </c>
      <c r="K333" s="521">
        <f>I333-G333</f>
        <v/>
      </c>
      <c r="M333" s="522" t="inlineStr">
        <is>
          <t>TI0218935</t>
        </is>
      </c>
      <c r="N333" s="522" t="inlineStr">
        <is>
          <t>TI0218935</t>
        </is>
      </c>
      <c r="O333" s="521">
        <f>M333=N333</f>
        <v/>
      </c>
      <c r="P333" s="521">
        <f>AND(MONTH(F333)=MONTH(S333), YEAR(F333)=YEAR(S333))</f>
        <v/>
      </c>
      <c r="Q333" s="521">
        <f>U333="L001-901905215"</f>
        <v/>
      </c>
      <c r="R333" s="556">
        <f>G333-W333</f>
        <v/>
      </c>
      <c r="S333" s="523" t="n">
        <v>44571</v>
      </c>
      <c r="T333" s="522" t="inlineStr">
        <is>
          <t>TI-0218935</t>
        </is>
      </c>
      <c r="U333" s="522" t="inlineStr">
        <is>
          <t>L001-901905215</t>
        </is>
      </c>
      <c r="V333" s="522" t="inlineStr">
        <is>
          <t>វីអ៊ីស៊ិន (ខេមបូឌា) អ៊ិនដាសស្ទ្រី ឯ.ក</t>
        </is>
      </c>
      <c r="W333" s="556" t="n">
        <v>208640</v>
      </c>
    </row>
    <row r="334">
      <c r="A334" s="521" t="n">
        <v>326</v>
      </c>
      <c r="B334" s="522" t="inlineStr">
        <is>
          <t>THC and management fee (VTCE21485）</t>
        </is>
      </c>
      <c r="C334" s="522" t="inlineStr">
        <is>
          <t>អ៊ិចស្ពែឌីធ័រ ខេមបូឌា អិលធីឌី</t>
        </is>
      </c>
      <c r="D334" s="522" t="inlineStr">
        <is>
          <t>L001-100045898</t>
        </is>
      </c>
      <c r="E334" s="521" t="inlineStr">
        <is>
          <t>TI-0218934</t>
        </is>
      </c>
      <c r="F334" s="523" t="n">
        <v>44571</v>
      </c>
      <c r="G334" s="556" t="n">
        <v>429098</v>
      </c>
      <c r="I334" s="521">
        <f>G334</f>
        <v/>
      </c>
      <c r="K334" s="521">
        <f>I334-G334</f>
        <v/>
      </c>
      <c r="M334" s="522" t="inlineStr">
        <is>
          <t>TI0218934</t>
        </is>
      </c>
      <c r="N334" s="522" t="inlineStr">
        <is>
          <t>TI0218934</t>
        </is>
      </c>
      <c r="O334" s="521">
        <f>M334=N334</f>
        <v/>
      </c>
      <c r="P334" s="521">
        <f>AND(MONTH(F334)=MONTH(S334), YEAR(F334)=YEAR(S334))</f>
        <v/>
      </c>
      <c r="Q334" s="521">
        <f>U334="L001-901905215"</f>
        <v/>
      </c>
      <c r="R334" s="556">
        <f>G334-W334</f>
        <v/>
      </c>
      <c r="S334" s="523" t="n">
        <v>44571</v>
      </c>
      <c r="T334" s="522" t="inlineStr">
        <is>
          <t>TI-0218934</t>
        </is>
      </c>
      <c r="U334" s="522" t="inlineStr">
        <is>
          <t>L001-901905215</t>
        </is>
      </c>
      <c r="V334" s="522" t="inlineStr">
        <is>
          <t>វីអ៊ីស៊ិន (ខេមបូឌា) អ៊ិនដាសស្ទ្រី ឯ.ក</t>
        </is>
      </c>
      <c r="W334" s="556" t="n">
        <v>429098</v>
      </c>
    </row>
    <row r="335">
      <c r="A335" s="521" t="n">
        <v>327</v>
      </c>
      <c r="B335" s="522" t="inlineStr">
        <is>
          <t>THC and management fee (VTCE21485）</t>
        </is>
      </c>
      <c r="C335" s="522" t="inlineStr">
        <is>
          <t>អ៊ិចស្ពែឌីធ័រ ខេមបូឌា អិលធីឌី</t>
        </is>
      </c>
      <c r="D335" s="522" t="inlineStr">
        <is>
          <t>L001-100045898</t>
        </is>
      </c>
      <c r="E335" s="521" t="inlineStr">
        <is>
          <t>TI-0218847</t>
        </is>
      </c>
      <c r="F335" s="523" t="n">
        <v>44567</v>
      </c>
      <c r="G335" s="556" t="n">
        <v>231053</v>
      </c>
      <c r="I335" s="521">
        <f>G335</f>
        <v/>
      </c>
      <c r="K335" s="521">
        <f>I335-G335</f>
        <v/>
      </c>
      <c r="M335" s="522" t="inlineStr">
        <is>
          <t>TI0218847</t>
        </is>
      </c>
      <c r="N335" s="522" t="inlineStr">
        <is>
          <t>TI0218847</t>
        </is>
      </c>
      <c r="O335" s="521">
        <f>M335=N335</f>
        <v/>
      </c>
      <c r="P335" s="521">
        <f>AND(MONTH(F335)=MONTH(S335), YEAR(F335)=YEAR(S335))</f>
        <v/>
      </c>
      <c r="Q335" s="521">
        <f>U335="L001-901905215"</f>
        <v/>
      </c>
      <c r="R335" s="556">
        <f>G335-W335</f>
        <v/>
      </c>
      <c r="S335" s="523" t="n">
        <v>44567</v>
      </c>
      <c r="T335" s="522" t="inlineStr">
        <is>
          <t>TI-0218847</t>
        </is>
      </c>
      <c r="U335" s="522" t="inlineStr">
        <is>
          <t>L001-901905215</t>
        </is>
      </c>
      <c r="V335" s="522" t="inlineStr">
        <is>
          <t>វីអ៊ីស៊ិន (ខេមបូឌា) អ៊ិនដាសស្ទ្រី ឯ.ក</t>
        </is>
      </c>
      <c r="W335" s="556" t="n">
        <v>231053</v>
      </c>
    </row>
    <row r="336">
      <c r="A336" s="521" t="n">
        <v>328</v>
      </c>
      <c r="B336" s="522" t="inlineStr">
        <is>
          <t>THC and management fee (VTCE21485）</t>
        </is>
      </c>
      <c r="C336" s="522" t="inlineStr">
        <is>
          <t>អ៊ិចស្ពែឌីធ័រ ខេមបូឌា អិលធីឌី</t>
        </is>
      </c>
      <c r="D336" s="522" t="inlineStr">
        <is>
          <t>L001-100045898</t>
        </is>
      </c>
      <c r="E336" s="521" t="inlineStr">
        <is>
          <t>TI-0217827</t>
        </is>
      </c>
      <c r="F336" s="523" t="n">
        <v>44562</v>
      </c>
      <c r="G336" s="556" t="n">
        <v>19555</v>
      </c>
      <c r="I336" s="521">
        <f>G336</f>
        <v/>
      </c>
      <c r="K336" s="521">
        <f>I336-G336</f>
        <v/>
      </c>
      <c r="M336" s="522" t="inlineStr">
        <is>
          <t>TI0217827</t>
        </is>
      </c>
      <c r="N336" s="522" t="inlineStr"/>
      <c r="O336" s="521">
        <f>M336=N336</f>
        <v/>
      </c>
      <c r="P336" s="521">
        <f>AND(MONTH(F336)=MONTH(S336), YEAR(F336)=YEAR(S336))</f>
        <v/>
      </c>
      <c r="Q336" s="521">
        <f>U336="L001-901905215"</f>
        <v/>
      </c>
      <c r="R336" s="556">
        <f>G336-W336</f>
        <v/>
      </c>
      <c r="S336" s="521" t="n"/>
      <c r="T336" s="522" t="n"/>
      <c r="U336" s="522" t="n"/>
      <c r="V336" s="522" t="n"/>
      <c r="W336" s="521" t="n"/>
    </row>
    <row r="337">
      <c r="A337" s="521" t="n">
        <v>329</v>
      </c>
      <c r="B337" s="522" t="inlineStr">
        <is>
          <t>Documentation and Terminal handing service</t>
        </is>
      </c>
      <c r="C337" s="522" t="inlineStr">
        <is>
          <t>មើស្គ (ខេមបូឌា)</t>
        </is>
      </c>
      <c r="D337" s="522" t="inlineStr">
        <is>
          <t>L001-100045200</t>
        </is>
      </c>
      <c r="E337" s="521" t="inlineStr">
        <is>
          <t>599584954</t>
        </is>
      </c>
      <c r="F337" s="523" t="n">
        <v>44562</v>
      </c>
      <c r="G337" s="556" t="n">
        <v>218366</v>
      </c>
      <c r="I337" s="521">
        <f>G337</f>
        <v/>
      </c>
      <c r="K337" s="521">
        <f>I337-G337</f>
        <v/>
      </c>
      <c r="M337" s="522" t="inlineStr">
        <is>
          <t>599584954</t>
        </is>
      </c>
      <c r="N337" s="522" t="inlineStr"/>
      <c r="O337" s="521">
        <f>M337=N337</f>
        <v/>
      </c>
      <c r="P337" s="521">
        <f>AND(MONTH(F337)=MONTH(S337), YEAR(F337)=YEAR(S337))</f>
        <v/>
      </c>
      <c r="Q337" s="521">
        <f>U337="L001-901905215"</f>
        <v/>
      </c>
      <c r="R337" s="556">
        <f>G337-W337</f>
        <v/>
      </c>
      <c r="S337" s="521" t="n"/>
      <c r="T337" s="522" t="n"/>
      <c r="U337" s="522" t="n"/>
      <c r="V337" s="522" t="n"/>
      <c r="W337" s="521" t="n"/>
    </row>
    <row r="338">
      <c r="A338" s="521" t="n">
        <v>330</v>
      </c>
      <c r="B338" s="522" t="inlineStr">
        <is>
          <t>Lift-On &amp; Lift-Off</t>
        </is>
      </c>
      <c r="C338" s="522" t="inlineStr">
        <is>
          <t>កំពង់ផែស្វយ័តក្រុងព្រះសីហនុ</t>
        </is>
      </c>
      <c r="D338" s="522" t="inlineStr">
        <is>
          <t>L001-100044638</t>
        </is>
      </c>
      <c r="E338" s="521" t="inlineStr">
        <is>
          <t>214272</t>
        </is>
      </c>
      <c r="F338" s="523" t="n">
        <v>44562</v>
      </c>
      <c r="G338" s="556" t="n">
        <v>70870</v>
      </c>
      <c r="I338" s="521">
        <f>G338</f>
        <v/>
      </c>
      <c r="K338" s="521">
        <f>I338-G338</f>
        <v/>
      </c>
      <c r="M338" s="522" t="inlineStr">
        <is>
          <t>214272</t>
        </is>
      </c>
      <c r="N338" s="522" t="inlineStr"/>
      <c r="O338" s="521">
        <f>M338=N338</f>
        <v/>
      </c>
      <c r="P338" s="521">
        <f>AND(MONTH(F338)=MONTH(S338), YEAR(F338)=YEAR(S338))</f>
        <v/>
      </c>
      <c r="Q338" s="521">
        <f>U338="L001-901905215"</f>
        <v/>
      </c>
      <c r="R338" s="556">
        <f>G338-W338</f>
        <v/>
      </c>
      <c r="S338" s="521" t="n"/>
      <c r="T338" s="522" t="n"/>
      <c r="U338" s="522" t="n"/>
      <c r="V338" s="522" t="n"/>
      <c r="W338" s="521" t="n"/>
    </row>
    <row r="339">
      <c r="A339" s="521" t="n">
        <v>331</v>
      </c>
      <c r="B339" s="522" t="inlineStr">
        <is>
          <t>Trucking Import 40'</t>
        </is>
      </c>
      <c r="C339" s="522" t="inlineStr">
        <is>
          <t>ហុង តុង អ៊ិនធើណេសិនណល ឡូជីស្ទីក ឯ.ក</t>
        </is>
      </c>
      <c r="D339" s="522" t="inlineStr">
        <is>
          <t>K003-902006166</t>
        </is>
      </c>
      <c r="E339" s="521" t="inlineStr">
        <is>
          <t>HT220003</t>
        </is>
      </c>
      <c r="F339" s="523" t="n">
        <v>44573</v>
      </c>
      <c r="G339" s="556" t="n">
        <v>497150</v>
      </c>
      <c r="I339" s="521">
        <f>G339</f>
        <v/>
      </c>
      <c r="K339" s="521">
        <f>I339-G339</f>
        <v/>
      </c>
      <c r="M339" s="522" t="inlineStr">
        <is>
          <t>HT220003</t>
        </is>
      </c>
      <c r="N339" s="522" t="inlineStr">
        <is>
          <t>HT220003</t>
        </is>
      </c>
      <c r="O339" s="521">
        <f>M339=N339</f>
        <v/>
      </c>
      <c r="P339" s="521">
        <f>AND(MONTH(F339)=MONTH(S339), YEAR(F339)=YEAR(S339))</f>
        <v/>
      </c>
      <c r="Q339" s="521">
        <f>U339="L001-901905215"</f>
        <v/>
      </c>
      <c r="R339" s="556">
        <f>G339-W339</f>
        <v/>
      </c>
      <c r="S339" s="523" t="n">
        <v>44566</v>
      </c>
      <c r="T339" s="522" t="inlineStr">
        <is>
          <t>HT220003</t>
        </is>
      </c>
      <c r="U339" s="522" t="inlineStr">
        <is>
          <t>L001-901905215</t>
        </is>
      </c>
      <c r="V339" s="522" t="inlineStr">
        <is>
          <t>វីអ៊ីស៊ិន (ខេមបូឌា) អ៊ិនដាសស្ទ្រី ឯ.ក</t>
        </is>
      </c>
      <c r="W339" s="556" t="n">
        <v>497150</v>
      </c>
    </row>
    <row r="340">
      <c r="A340" s="521" t="n">
        <v>332</v>
      </c>
      <c r="B340" s="522" t="inlineStr">
        <is>
          <t>Trucking Import 40'</t>
        </is>
      </c>
      <c r="C340" s="522" t="inlineStr">
        <is>
          <t>ហុង តុង អ៊ិនធើណេសិនណល ឡូជីស្ទីក ឯ.ក</t>
        </is>
      </c>
      <c r="D340" s="522" t="inlineStr">
        <is>
          <t>K003-902006166</t>
        </is>
      </c>
      <c r="E340" s="521" t="inlineStr">
        <is>
          <t>HT220002</t>
        </is>
      </c>
      <c r="F340" s="523" t="n">
        <v>44573</v>
      </c>
      <c r="G340" s="556" t="n">
        <v>248575</v>
      </c>
      <c r="I340" s="521">
        <f>G340</f>
        <v/>
      </c>
      <c r="K340" s="521">
        <f>I340-G340</f>
        <v/>
      </c>
      <c r="M340" s="522" t="inlineStr">
        <is>
          <t>HT220002</t>
        </is>
      </c>
      <c r="N340" s="522" t="inlineStr">
        <is>
          <t>HT220002</t>
        </is>
      </c>
      <c r="O340" s="521">
        <f>M340=N340</f>
        <v/>
      </c>
      <c r="P340" s="521">
        <f>AND(MONTH(F340)=MONTH(S340), YEAR(F340)=YEAR(S340))</f>
        <v/>
      </c>
      <c r="Q340" s="521">
        <f>U340="L001-901905215"</f>
        <v/>
      </c>
      <c r="R340" s="556">
        <f>G340-W340</f>
        <v/>
      </c>
      <c r="S340" s="523" t="n">
        <v>44566</v>
      </c>
      <c r="T340" s="522" t="inlineStr">
        <is>
          <t>HT220002</t>
        </is>
      </c>
      <c r="U340" s="522" t="inlineStr">
        <is>
          <t>L001-901905215</t>
        </is>
      </c>
      <c r="V340" s="522" t="inlineStr">
        <is>
          <t>វីអ៊ីស៊ិន (ខេមបូឌា) អ៊ិនដាសស្ទ្រី ឯ.ក</t>
        </is>
      </c>
      <c r="W340" s="556" t="n">
        <v>248575</v>
      </c>
    </row>
    <row r="341">
      <c r="A341" s="521" t="n">
        <v>333</v>
      </c>
      <c r="B341" s="522" t="inlineStr">
        <is>
          <t>DOC FEE</t>
        </is>
      </c>
      <c r="C341" s="522" t="inlineStr">
        <is>
          <t>ស្ត្រេតស៍ អ៊ិនធើណេសិនណល ភីធីអ៊ី អិលធីឌី</t>
        </is>
      </c>
      <c r="D341" s="522" t="inlineStr">
        <is>
          <t>L001-100045162</t>
        </is>
      </c>
      <c r="E341" s="521" t="inlineStr">
        <is>
          <t>2123561</t>
        </is>
      </c>
      <c r="F341" s="523" t="n">
        <v>44562</v>
      </c>
      <c r="G341" s="556" t="n">
        <v>111980</v>
      </c>
      <c r="I341" s="521">
        <f>G341</f>
        <v/>
      </c>
      <c r="K341" s="521">
        <f>I341-G341</f>
        <v/>
      </c>
      <c r="M341" s="522" t="inlineStr">
        <is>
          <t>2123561</t>
        </is>
      </c>
      <c r="N341" s="522" t="inlineStr"/>
      <c r="O341" s="521">
        <f>M341=N341</f>
        <v/>
      </c>
      <c r="P341" s="521">
        <f>AND(MONTH(F341)=MONTH(S341), YEAR(F341)=YEAR(S341))</f>
        <v/>
      </c>
      <c r="Q341" s="521">
        <f>U341="L001-901905215"</f>
        <v/>
      </c>
      <c r="R341" s="556">
        <f>G341-W341</f>
        <v/>
      </c>
      <c r="S341" s="521" t="n"/>
      <c r="T341" s="522" t="n"/>
      <c r="U341" s="522" t="n"/>
      <c r="V341" s="522" t="n"/>
      <c r="W341" s="521" t="n"/>
    </row>
    <row r="342">
      <c r="A342" s="521" t="n">
        <v>334</v>
      </c>
      <c r="B342" s="522" t="inlineStr">
        <is>
          <t>Lift-On &amp; Lift-Off</t>
        </is>
      </c>
      <c r="C342" s="522" t="inlineStr">
        <is>
          <t>កំពង់ផែស្វយ័តក្រុងព្រះសីហនុ</t>
        </is>
      </c>
      <c r="D342" s="522" t="inlineStr">
        <is>
          <t>L001-100044638</t>
        </is>
      </c>
      <c r="E342" s="521" t="inlineStr">
        <is>
          <t>207908</t>
        </is>
      </c>
      <c r="F342" s="523" t="n">
        <v>44562</v>
      </c>
      <c r="G342" s="556" t="n">
        <v>35444</v>
      </c>
      <c r="I342" s="521">
        <f>G342</f>
        <v/>
      </c>
      <c r="K342" s="521">
        <f>I342-G342</f>
        <v/>
      </c>
      <c r="M342" s="522" t="inlineStr">
        <is>
          <t>207908</t>
        </is>
      </c>
      <c r="N342" s="522" t="inlineStr"/>
      <c r="O342" s="521">
        <f>M342=N342</f>
        <v/>
      </c>
      <c r="P342" s="521">
        <f>AND(MONTH(F342)=MONTH(S342), YEAR(F342)=YEAR(S342))</f>
        <v/>
      </c>
      <c r="Q342" s="521">
        <f>U342="L001-901905215"</f>
        <v/>
      </c>
      <c r="R342" s="556">
        <f>G342-W342</f>
        <v/>
      </c>
      <c r="S342" s="521" t="n"/>
      <c r="T342" s="522" t="n"/>
      <c r="U342" s="522" t="n"/>
      <c r="V342" s="522" t="n"/>
      <c r="W342" s="521" t="n"/>
    </row>
    <row r="343">
      <c r="A343" s="521" t="n">
        <v>335</v>
      </c>
      <c r="B343" s="522" t="inlineStr">
        <is>
          <t>CONTAINER IMBALANCE CHRG</t>
        </is>
      </c>
      <c r="C343" s="522" t="inlineStr">
        <is>
          <t>អ៊ែរ៉ូ ស៊ីបភីង អេជេនស៊ី</t>
        </is>
      </c>
      <c r="D343" s="522" t="inlineStr">
        <is>
          <t>K004-901635903</t>
        </is>
      </c>
      <c r="E343" s="521" t="inlineStr">
        <is>
          <t>IKPSA2021538311</t>
        </is>
      </c>
      <c r="F343" s="523" t="n">
        <v>44562</v>
      </c>
      <c r="G343" s="556" t="n">
        <v>113932</v>
      </c>
      <c r="I343" s="521">
        <f>G343</f>
        <v/>
      </c>
      <c r="K343" s="521">
        <f>I343-G343</f>
        <v/>
      </c>
      <c r="M343" s="522" t="inlineStr">
        <is>
          <t>IKPSA2021538311</t>
        </is>
      </c>
      <c r="N343" s="522" t="inlineStr"/>
      <c r="O343" s="521">
        <f>M343=N343</f>
        <v/>
      </c>
      <c r="P343" s="521">
        <f>AND(MONTH(F343)=MONTH(S343), YEAR(F343)=YEAR(S343))</f>
        <v/>
      </c>
      <c r="Q343" s="521">
        <f>U343="L001-901905215"</f>
        <v/>
      </c>
      <c r="R343" s="556">
        <f>G343-W343</f>
        <v/>
      </c>
      <c r="S343" s="521" t="n"/>
      <c r="T343" s="522" t="n"/>
      <c r="U343" s="522" t="n"/>
      <c r="V343" s="522" t="n"/>
      <c r="W343" s="521" t="n"/>
    </row>
    <row r="344">
      <c r="A344" s="521" t="n">
        <v>336</v>
      </c>
      <c r="B344" s="522" t="inlineStr">
        <is>
          <t>CONTAINER IMBALANCE CHRG</t>
        </is>
      </c>
      <c r="C344" s="522" t="inlineStr">
        <is>
          <t>អ៊ែរ៉ូ ស៊ីបភីង អេជេនស៊ី</t>
        </is>
      </c>
      <c r="D344" s="522" t="inlineStr">
        <is>
          <t>K004-901635903</t>
        </is>
      </c>
      <c r="E344" s="521" t="inlineStr">
        <is>
          <t>IKPSA2021538310</t>
        </is>
      </c>
      <c r="F344" s="523" t="n">
        <v>44562</v>
      </c>
      <c r="G344" s="556" t="n">
        <v>1850</v>
      </c>
      <c r="I344" s="521">
        <f>G344</f>
        <v/>
      </c>
      <c r="K344" s="521">
        <f>I344-G344</f>
        <v/>
      </c>
      <c r="M344" s="522" t="inlineStr">
        <is>
          <t>IKPSA2021538310</t>
        </is>
      </c>
      <c r="N344" s="522" t="inlineStr"/>
      <c r="O344" s="521">
        <f>M344=N344</f>
        <v/>
      </c>
      <c r="P344" s="521">
        <f>AND(MONTH(F344)=MONTH(S344), YEAR(F344)=YEAR(S344))</f>
        <v/>
      </c>
      <c r="Q344" s="521">
        <f>U344="L001-901905215"</f>
        <v/>
      </c>
      <c r="R344" s="556">
        <f>G344-W344</f>
        <v/>
      </c>
      <c r="S344" s="521" t="n"/>
      <c r="T344" s="522" t="n"/>
      <c r="U344" s="522" t="n"/>
      <c r="V344" s="522" t="n"/>
      <c r="W344" s="521" t="n"/>
    </row>
    <row r="345">
      <c r="A345" s="521" t="n">
        <v>337</v>
      </c>
      <c r="B345" s="522" t="inlineStr">
        <is>
          <t>CONTAINER IMBALANCE CHRG</t>
        </is>
      </c>
      <c r="C345" s="522" t="inlineStr">
        <is>
          <t>អ៊ែរ៉ូ ស៊ីបភីង អេជេនស៊ី</t>
        </is>
      </c>
      <c r="D345" s="522" t="inlineStr">
        <is>
          <t>K004-901635903</t>
        </is>
      </c>
      <c r="E345" s="521" t="inlineStr">
        <is>
          <t>IKPSA2021538309</t>
        </is>
      </c>
      <c r="F345" s="523" t="n">
        <v>44562</v>
      </c>
      <c r="G345" s="556" t="n">
        <v>97656</v>
      </c>
      <c r="I345" s="521">
        <f>G345</f>
        <v/>
      </c>
      <c r="K345" s="521">
        <f>I345-G345</f>
        <v/>
      </c>
      <c r="M345" s="522" t="inlineStr">
        <is>
          <t>IKPSA2021538309</t>
        </is>
      </c>
      <c r="N345" s="522" t="inlineStr"/>
      <c r="O345" s="521">
        <f>M345=N345</f>
        <v/>
      </c>
      <c r="P345" s="521">
        <f>AND(MONTH(F345)=MONTH(S345), YEAR(F345)=YEAR(S345))</f>
        <v/>
      </c>
      <c r="Q345" s="521">
        <f>U345="L001-901905215"</f>
        <v/>
      </c>
      <c r="R345" s="556">
        <f>G345-W345</f>
        <v/>
      </c>
      <c r="S345" s="521" t="n"/>
      <c r="T345" s="522" t="n"/>
      <c r="U345" s="522" t="n"/>
      <c r="V345" s="522" t="n"/>
      <c r="W345" s="521" t="n"/>
    </row>
    <row r="346">
      <c r="A346" s="521" t="n">
        <v>338</v>
      </c>
      <c r="B346" s="522" t="inlineStr">
        <is>
          <t>Lift-On &amp; Lift-Off</t>
        </is>
      </c>
      <c r="C346" s="522" t="inlineStr">
        <is>
          <t>កំពង់ផែស្វយ័តក្រុងព្រះសីហនុ</t>
        </is>
      </c>
      <c r="D346" s="522" t="inlineStr">
        <is>
          <t>L001-100044638</t>
        </is>
      </c>
      <c r="E346" s="521" t="inlineStr">
        <is>
          <t>198312</t>
        </is>
      </c>
      <c r="F346" s="523" t="n">
        <v>44562</v>
      </c>
      <c r="G346" s="556" t="n">
        <v>35409</v>
      </c>
      <c r="I346" s="521">
        <f>G346</f>
        <v/>
      </c>
      <c r="K346" s="521">
        <f>I346-G346</f>
        <v/>
      </c>
      <c r="M346" s="522" t="inlineStr">
        <is>
          <t>198312</t>
        </is>
      </c>
      <c r="N346" s="522" t="inlineStr"/>
      <c r="O346" s="521">
        <f>M346=N346</f>
        <v/>
      </c>
      <c r="P346" s="521">
        <f>AND(MONTH(F346)=MONTH(S346), YEAR(F346)=YEAR(S346))</f>
        <v/>
      </c>
      <c r="Q346" s="521">
        <f>U346="L001-901905215"</f>
        <v/>
      </c>
      <c r="R346" s="556">
        <f>G346-W346</f>
        <v/>
      </c>
      <c r="S346" s="521" t="n"/>
      <c r="T346" s="522" t="n"/>
      <c r="U346" s="522" t="n"/>
      <c r="V346" s="522" t="n"/>
      <c r="W346" s="521" t="n"/>
    </row>
    <row r="347">
      <c r="A347" s="521" t="n">
        <v>339</v>
      </c>
      <c r="B347" s="522" t="inlineStr">
        <is>
          <t>Trucking Import 40'</t>
        </is>
      </c>
      <c r="C347" s="522" t="inlineStr">
        <is>
          <t>ហុង តុង អ៊ិនធើណេសិនណល ឡូជីស្ទីក ឯ.ក</t>
        </is>
      </c>
      <c r="D347" s="522" t="inlineStr">
        <is>
          <t>K003-902006166</t>
        </is>
      </c>
      <c r="E347" s="521" t="inlineStr">
        <is>
          <t>HT220001</t>
        </is>
      </c>
      <c r="F347" s="523" t="n">
        <v>44566</v>
      </c>
      <c r="G347" s="556" t="n">
        <v>248575</v>
      </c>
      <c r="I347" s="521">
        <f>G347</f>
        <v/>
      </c>
      <c r="K347" s="521">
        <f>I347-G347</f>
        <v/>
      </c>
      <c r="M347" s="522" t="inlineStr">
        <is>
          <t>HT220001</t>
        </is>
      </c>
      <c r="N347" s="522" t="inlineStr">
        <is>
          <t>HT220001</t>
        </is>
      </c>
      <c r="O347" s="521">
        <f>M347=N347</f>
        <v/>
      </c>
      <c r="P347" s="521">
        <f>AND(MONTH(F347)=MONTH(S347), YEAR(F347)=YEAR(S347))</f>
        <v/>
      </c>
      <c r="Q347" s="521">
        <f>U347="L001-901905215"</f>
        <v/>
      </c>
      <c r="R347" s="556">
        <f>G347-W347</f>
        <v/>
      </c>
      <c r="S347" s="523" t="n">
        <v>44566</v>
      </c>
      <c r="T347" s="522" t="inlineStr">
        <is>
          <t>HT220001</t>
        </is>
      </c>
      <c r="U347" s="522" t="inlineStr">
        <is>
          <t>L001-901905215</t>
        </is>
      </c>
      <c r="V347" s="522" t="inlineStr">
        <is>
          <t>វីអ៊ីស៊ិន (ខេមបូឌា) អ៊ិនដាសស្ទ្រី ឯ.ក</t>
        </is>
      </c>
      <c r="W347" s="556" t="n">
        <v>248575</v>
      </c>
    </row>
    <row r="348">
      <c r="A348" s="521" t="n">
        <v>340</v>
      </c>
      <c r="B348" s="522" t="inlineStr">
        <is>
          <t>DOCUMENT FEE</t>
        </is>
      </c>
      <c r="C348" s="522" t="inlineStr">
        <is>
          <t>អិម &amp; វ៉ាយ អ៊ិនធើណេសិនណល ឡូជីស្ទីក (ខេមបូឌា)</t>
        </is>
      </c>
      <c r="D348" s="522" t="inlineStr">
        <is>
          <t>K003-103013059</t>
        </is>
      </c>
      <c r="E348" s="521" t="inlineStr">
        <is>
          <t>E-22000177</t>
        </is>
      </c>
      <c r="F348" s="523" t="n">
        <v>44585</v>
      </c>
      <c r="G348" s="556" t="n">
        <v>213268</v>
      </c>
      <c r="I348" s="521">
        <f>G348</f>
        <v/>
      </c>
      <c r="K348" s="521">
        <f>I348-G348</f>
        <v/>
      </c>
      <c r="M348" s="522" t="inlineStr">
        <is>
          <t>E22000177</t>
        </is>
      </c>
      <c r="N348" s="522" t="inlineStr">
        <is>
          <t>E22000177</t>
        </is>
      </c>
      <c r="O348" s="521">
        <f>M348=N348</f>
        <v/>
      </c>
      <c r="P348" s="521">
        <f>AND(MONTH(F348)=MONTH(S348), YEAR(F348)=YEAR(S348))</f>
        <v/>
      </c>
      <c r="Q348" s="521">
        <f>U348="L001-901905215"</f>
        <v/>
      </c>
      <c r="R348" s="556">
        <f>G348-W348</f>
        <v/>
      </c>
      <c r="S348" s="523" t="n">
        <v>44585</v>
      </c>
      <c r="T348" s="522" t="inlineStr">
        <is>
          <t>E-22000177</t>
        </is>
      </c>
      <c r="U348" s="522" t="inlineStr">
        <is>
          <t>L001-901905215</t>
        </is>
      </c>
      <c r="V348" s="522" t="inlineStr">
        <is>
          <t>វីអ៊ីស៊ិន (ខេមបូឌា) អ៊ិនដាសស្ទ្រី ឯ.ក</t>
        </is>
      </c>
      <c r="W348" s="556" t="n">
        <v>213268</v>
      </c>
    </row>
    <row r="349">
      <c r="A349" s="521" t="n">
        <v>341</v>
      </c>
      <c r="B349" s="522" t="inlineStr">
        <is>
          <t>DOCUMENT FEE</t>
        </is>
      </c>
      <c r="C349" s="522" t="inlineStr">
        <is>
          <t>អិម &amp; វ៉ាយ អ៊ិនធើណេសិនណល ឡូជីស្ទីក (ខេមបូឌា)</t>
        </is>
      </c>
      <c r="D349" s="522" t="inlineStr">
        <is>
          <t>K003-103013059</t>
        </is>
      </c>
      <c r="E349" s="521" t="inlineStr">
        <is>
          <t>E-22000176</t>
        </is>
      </c>
      <c r="F349" s="523" t="n">
        <v>44585</v>
      </c>
      <c r="G349" s="556" t="n">
        <v>295482</v>
      </c>
      <c r="I349" s="521">
        <f>G349</f>
        <v/>
      </c>
      <c r="K349" s="521">
        <f>I349-G349</f>
        <v/>
      </c>
      <c r="M349" s="522" t="inlineStr">
        <is>
          <t>E22000176</t>
        </is>
      </c>
      <c r="N349" s="522" t="inlineStr">
        <is>
          <t>E22000176</t>
        </is>
      </c>
      <c r="O349" s="521">
        <f>M349=N349</f>
        <v/>
      </c>
      <c r="P349" s="521">
        <f>AND(MONTH(F349)=MONTH(S349), YEAR(F349)=YEAR(S349))</f>
        <v/>
      </c>
      <c r="Q349" s="521">
        <f>U349="L001-901905215"</f>
        <v/>
      </c>
      <c r="R349" s="556">
        <f>G349-W349</f>
        <v/>
      </c>
      <c r="S349" s="523" t="n">
        <v>44585</v>
      </c>
      <c r="T349" s="522" t="inlineStr">
        <is>
          <t>E-22000176</t>
        </is>
      </c>
      <c r="U349" s="522" t="inlineStr">
        <is>
          <t>L001-901905215</t>
        </is>
      </c>
      <c r="V349" s="522" t="inlineStr">
        <is>
          <t>វីអ៊ីស៊ិន (ខេមបូឌា) អ៊ិនដាសស្ទ្រី ឯ.ក</t>
        </is>
      </c>
      <c r="W349" s="556" t="n">
        <v>295482</v>
      </c>
    </row>
    <row r="350">
      <c r="A350" s="521" t="n">
        <v>342</v>
      </c>
      <c r="B350" s="522" t="inlineStr">
        <is>
          <t>DOCUMENT FEE</t>
        </is>
      </c>
      <c r="C350" s="522" t="inlineStr">
        <is>
          <t>អិម &amp; វ៉ាយ អ៊ិនធើណេសិនណល ឡូជីស្ទីក (ខេមបូឌា)</t>
        </is>
      </c>
      <c r="D350" s="522" t="inlineStr">
        <is>
          <t>K003-103013059</t>
        </is>
      </c>
      <c r="E350" s="521" t="inlineStr">
        <is>
          <t>E-22000152</t>
        </is>
      </c>
      <c r="F350" s="523" t="n">
        <v>44583</v>
      </c>
      <c r="G350" s="556" t="n">
        <v>299552</v>
      </c>
      <c r="I350" s="521">
        <f>G350</f>
        <v/>
      </c>
      <c r="K350" s="521">
        <f>I350-G350</f>
        <v/>
      </c>
      <c r="M350" s="522" t="inlineStr">
        <is>
          <t>E22000152</t>
        </is>
      </c>
      <c r="N350" s="522" t="inlineStr">
        <is>
          <t>E22000152</t>
        </is>
      </c>
      <c r="O350" s="521">
        <f>M350=N350</f>
        <v/>
      </c>
      <c r="P350" s="521">
        <f>AND(MONTH(F350)=MONTH(S350), YEAR(F350)=YEAR(S350))</f>
        <v/>
      </c>
      <c r="Q350" s="521">
        <f>U350="L001-901905215"</f>
        <v/>
      </c>
      <c r="R350" s="556">
        <f>G350-W350</f>
        <v/>
      </c>
      <c r="S350" s="523" t="n">
        <v>44583</v>
      </c>
      <c r="T350" s="522" t="inlineStr">
        <is>
          <t>E-22000152</t>
        </is>
      </c>
      <c r="U350" s="522" t="inlineStr">
        <is>
          <t>L001-901905215</t>
        </is>
      </c>
      <c r="V350" s="522" t="inlineStr">
        <is>
          <t>វីអ៊ីស៊ិន (ខេមបូឌា) អ៊ិនដាសស្ទ្រី ឯ.ក</t>
        </is>
      </c>
      <c r="W350" s="556" t="n">
        <v>299552</v>
      </c>
    </row>
    <row r="351">
      <c r="A351" s="521" t="n">
        <v>343</v>
      </c>
      <c r="B351" s="522" t="inlineStr">
        <is>
          <t>HANDLING CHARGE</t>
        </is>
      </c>
      <c r="C351" s="522" t="inlineStr">
        <is>
          <t>ដោនវីនដ៍ ឡូជីស្ទីក (ខេមបូឌា)</t>
        </is>
      </c>
      <c r="D351" s="522" t="inlineStr">
        <is>
          <t>K005-901636038</t>
        </is>
      </c>
      <c r="E351" s="521" t="inlineStr">
        <is>
          <t>22-00063</t>
        </is>
      </c>
      <c r="F351" s="523" t="n">
        <v>44578</v>
      </c>
      <c r="G351" s="556" t="n">
        <v>131183</v>
      </c>
      <c r="I351" s="521">
        <f>G351</f>
        <v/>
      </c>
      <c r="K351" s="521">
        <f>I351-G351</f>
        <v/>
      </c>
      <c r="M351" s="522" t="inlineStr">
        <is>
          <t>2200063</t>
        </is>
      </c>
      <c r="N351" s="522" t="inlineStr">
        <is>
          <t>2200063</t>
        </is>
      </c>
      <c r="O351" s="521">
        <f>M351=N351</f>
        <v/>
      </c>
      <c r="P351" s="521">
        <f>AND(MONTH(F351)=MONTH(S351), YEAR(F351)=YEAR(S351))</f>
        <v/>
      </c>
      <c r="Q351" s="521">
        <f>U351="L001-901905215"</f>
        <v/>
      </c>
      <c r="R351" s="556">
        <f>G351-W351</f>
        <v/>
      </c>
      <c r="S351" s="523" t="n">
        <v>44578</v>
      </c>
      <c r="T351" s="522" t="inlineStr">
        <is>
          <t>22-00063</t>
        </is>
      </c>
      <c r="U351" s="522" t="inlineStr">
        <is>
          <t>L001-901905215</t>
        </is>
      </c>
      <c r="V351" s="522" t="inlineStr">
        <is>
          <t>វីអ៊ីស៊ិន (ខេមបូឌា) អ៊ិនដាសស្ទ្រី ឯ.ក</t>
        </is>
      </c>
      <c r="W351" s="556" t="n">
        <v>131183</v>
      </c>
    </row>
    <row r="352">
      <c r="A352" s="521" t="n">
        <v>344</v>
      </c>
      <c r="B352" s="522" t="inlineStr">
        <is>
          <t>AMEND BILL</t>
        </is>
      </c>
      <c r="C352" s="522" t="inlineStr">
        <is>
          <t>អិម &amp; វ៉ាយ អ៊ិនធើណេសិនណល ឡូជីស្ទីក (ខេមបូឌា)</t>
        </is>
      </c>
      <c r="D352" s="522" t="inlineStr">
        <is>
          <t>K003-103013059</t>
        </is>
      </c>
      <c r="E352" s="521" t="inlineStr">
        <is>
          <t>E-22000198</t>
        </is>
      </c>
      <c r="F352" s="523" t="n">
        <v>44590</v>
      </c>
      <c r="G352" s="556" t="n">
        <v>20330</v>
      </c>
      <c r="I352" s="521">
        <f>G352</f>
        <v/>
      </c>
      <c r="K352" s="521">
        <f>I352-G352</f>
        <v/>
      </c>
      <c r="M352" s="522" t="inlineStr">
        <is>
          <t>E22000198</t>
        </is>
      </c>
      <c r="N352" s="522" t="inlineStr">
        <is>
          <t>E22000198</t>
        </is>
      </c>
      <c r="O352" s="521">
        <f>M352=N352</f>
        <v/>
      </c>
      <c r="P352" s="521">
        <f>AND(MONTH(F352)=MONTH(S352), YEAR(F352)=YEAR(S352))</f>
        <v/>
      </c>
      <c r="Q352" s="521">
        <f>U352="L001-901905215"</f>
        <v/>
      </c>
      <c r="R352" s="556">
        <f>G352-W352</f>
        <v/>
      </c>
      <c r="S352" s="523" t="n">
        <v>44590</v>
      </c>
      <c r="T352" s="522" t="inlineStr">
        <is>
          <t>E-22000198</t>
        </is>
      </c>
      <c r="U352" s="522" t="inlineStr">
        <is>
          <t>L001-901905215</t>
        </is>
      </c>
      <c r="V352" s="522" t="inlineStr">
        <is>
          <t>វីអ៊ីស៊ិន (ខេមបូឌា) អ៊ិនដាសស្ទ្រី ឯ.ក</t>
        </is>
      </c>
      <c r="W352" s="556" t="n">
        <v>20330</v>
      </c>
    </row>
    <row r="353">
      <c r="A353" s="521" t="n">
        <v>345</v>
      </c>
      <c r="B353" s="522" t="inlineStr">
        <is>
          <t>THC Fee</t>
        </is>
      </c>
      <c r="C353" s="522" t="inlineStr">
        <is>
          <t>អ៊ិចស្ពែឌីធ័រ ខេមបូឌា អិលធីឌី</t>
        </is>
      </c>
      <c r="D353" s="522" t="inlineStr">
        <is>
          <t>L001-100045898</t>
        </is>
      </c>
      <c r="E353" s="521" t="inlineStr">
        <is>
          <t>TI-0220427</t>
        </is>
      </c>
      <c r="F353" s="523" t="n">
        <v>44586</v>
      </c>
      <c r="G353" s="556" t="n">
        <v>4068</v>
      </c>
      <c r="I353" s="521">
        <f>G353</f>
        <v/>
      </c>
      <c r="K353" s="521">
        <f>I353-G353</f>
        <v/>
      </c>
      <c r="M353" s="522" t="inlineStr">
        <is>
          <t>TI0220427</t>
        </is>
      </c>
      <c r="N353" s="522" t="inlineStr">
        <is>
          <t>TI0220427</t>
        </is>
      </c>
      <c r="O353" s="521">
        <f>M353=N353</f>
        <v/>
      </c>
      <c r="P353" s="521">
        <f>AND(MONTH(F353)=MONTH(S353), YEAR(F353)=YEAR(S353))</f>
        <v/>
      </c>
      <c r="Q353" s="521">
        <f>U353="L001-901905215"</f>
        <v/>
      </c>
      <c r="R353" s="556">
        <f>G353-W353</f>
        <v/>
      </c>
      <c r="S353" s="523" t="n">
        <v>44586</v>
      </c>
      <c r="T353" s="522" t="inlineStr">
        <is>
          <t>TI-0220427</t>
        </is>
      </c>
      <c r="U353" s="522" t="inlineStr">
        <is>
          <t>L001-901905215</t>
        </is>
      </c>
      <c r="V353" s="522" t="inlineStr">
        <is>
          <t>វីអ៊ីស៊ិន (ខេមបូឌា) អ៊ិនដាសស្ទ្រី ឯ.ក</t>
        </is>
      </c>
      <c r="W353" s="556" t="n">
        <v>4068</v>
      </c>
    </row>
    <row r="354">
      <c r="A354" s="521" t="n">
        <v>346</v>
      </c>
      <c r="B354" s="522" t="inlineStr">
        <is>
          <t>THC Fee</t>
        </is>
      </c>
      <c r="C354" s="522" t="inlineStr">
        <is>
          <t>អ៊ិចស្ពែឌីធ័រ ខេមបូឌា អិលធីឌី</t>
        </is>
      </c>
      <c r="D354" s="522" t="inlineStr">
        <is>
          <t>L001-100045898</t>
        </is>
      </c>
      <c r="E354" s="521" t="inlineStr">
        <is>
          <t>TI-0220426</t>
        </is>
      </c>
      <c r="F354" s="523" t="n">
        <v>44586</v>
      </c>
      <c r="G354" s="556" t="n">
        <v>2034</v>
      </c>
      <c r="I354" s="521">
        <f>G354</f>
        <v/>
      </c>
      <c r="K354" s="521">
        <f>I354-G354</f>
        <v/>
      </c>
      <c r="M354" s="522" t="inlineStr">
        <is>
          <t>TI0220426</t>
        </is>
      </c>
      <c r="N354" s="522" t="inlineStr">
        <is>
          <t>TI0220426</t>
        </is>
      </c>
      <c r="O354" s="521">
        <f>M354=N354</f>
        <v/>
      </c>
      <c r="P354" s="521">
        <f>AND(MONTH(F354)=MONTH(S354), YEAR(F354)=YEAR(S354))</f>
        <v/>
      </c>
      <c r="Q354" s="521">
        <f>U354="L001-901905215"</f>
        <v/>
      </c>
      <c r="R354" s="556">
        <f>G354-W354</f>
        <v/>
      </c>
      <c r="S354" s="523" t="n">
        <v>44586</v>
      </c>
      <c r="T354" s="522" t="inlineStr">
        <is>
          <t>TI-0220426</t>
        </is>
      </c>
      <c r="U354" s="522" t="inlineStr">
        <is>
          <t>L001-901905215</t>
        </is>
      </c>
      <c r="V354" s="522" t="inlineStr">
        <is>
          <t>វីអ៊ីស៊ិន (ខេមបូឌា) អ៊ិនដាសស្ទ្រី ឯ.ក</t>
        </is>
      </c>
      <c r="W354" s="556" t="n">
        <v>2034</v>
      </c>
    </row>
    <row r="355">
      <c r="A355" s="521" t="n">
        <v>347</v>
      </c>
      <c r="B355" s="522" t="inlineStr">
        <is>
          <t>THC Fee</t>
        </is>
      </c>
      <c r="C355" s="522" t="inlineStr">
        <is>
          <t>អ៊ិចស្ពែឌីធ័រ ខេមបូឌា អិលធីឌី</t>
        </is>
      </c>
      <c r="D355" s="522" t="inlineStr">
        <is>
          <t>L001-100045898</t>
        </is>
      </c>
      <c r="E355" s="521" t="inlineStr">
        <is>
          <t>TI-0220419</t>
        </is>
      </c>
      <c r="F355" s="523" t="n">
        <v>44586</v>
      </c>
      <c r="G355" s="556" t="n">
        <v>2034</v>
      </c>
      <c r="I355" s="521">
        <f>G355</f>
        <v/>
      </c>
      <c r="K355" s="521">
        <f>I355-G355</f>
        <v/>
      </c>
      <c r="M355" s="522" t="inlineStr">
        <is>
          <t>TI0220419</t>
        </is>
      </c>
      <c r="N355" s="522" t="inlineStr">
        <is>
          <t>TI0220419</t>
        </is>
      </c>
      <c r="O355" s="521">
        <f>M355=N355</f>
        <v/>
      </c>
      <c r="P355" s="521">
        <f>AND(MONTH(F355)=MONTH(S355), YEAR(F355)=YEAR(S355))</f>
        <v/>
      </c>
      <c r="Q355" s="521">
        <f>U355="L001-901905215"</f>
        <v/>
      </c>
      <c r="R355" s="556">
        <f>G355-W355</f>
        <v/>
      </c>
      <c r="S355" s="523" t="n">
        <v>44586</v>
      </c>
      <c r="T355" s="522" t="inlineStr">
        <is>
          <t>TI-0220419</t>
        </is>
      </c>
      <c r="U355" s="522" t="inlineStr">
        <is>
          <t>L001-901905215</t>
        </is>
      </c>
      <c r="V355" s="522" t="inlineStr">
        <is>
          <t>វីអ៊ីស៊ិន (ខេមបូឌា) អ៊ិនដាសស្ទ្រី ឯ.ក</t>
        </is>
      </c>
      <c r="W355" s="556" t="n">
        <v>2034</v>
      </c>
    </row>
    <row r="356">
      <c r="A356" s="521" t="n">
        <v>348</v>
      </c>
      <c r="B356" s="522" t="inlineStr">
        <is>
          <t>Export Administration Fee</t>
        </is>
      </c>
      <c r="C356" s="522" t="inlineStr">
        <is>
          <t>ឆាយ ដា ឡូយីស្ទីក</t>
        </is>
      </c>
      <c r="D356" s="522" t="inlineStr">
        <is>
          <t>L001-100063098</t>
        </is>
      </c>
      <c r="E356" s="521" t="inlineStr">
        <is>
          <t>2201000221</t>
        </is>
      </c>
      <c r="F356" s="523" t="n">
        <v>44571</v>
      </c>
      <c r="G356" s="556" t="n">
        <v>89243</v>
      </c>
      <c r="I356" s="521">
        <f>G356</f>
        <v/>
      </c>
      <c r="K356" s="521">
        <f>I356-G356</f>
        <v/>
      </c>
      <c r="M356" s="522" t="inlineStr">
        <is>
          <t>2201000221</t>
        </is>
      </c>
      <c r="N356" s="522" t="inlineStr">
        <is>
          <t>2201000221</t>
        </is>
      </c>
      <c r="O356" s="521">
        <f>M356=N356</f>
        <v/>
      </c>
      <c r="P356" s="521">
        <f>AND(MONTH(F356)=MONTH(S356), YEAR(F356)=YEAR(S356))</f>
        <v/>
      </c>
      <c r="Q356" s="521">
        <f>U356="L001-901905215"</f>
        <v/>
      </c>
      <c r="R356" s="556">
        <f>G356-W356</f>
        <v/>
      </c>
      <c r="S356" s="523" t="n">
        <v>44571</v>
      </c>
      <c r="T356" s="522" t="inlineStr">
        <is>
          <t>2201000221</t>
        </is>
      </c>
      <c r="U356" s="522" t="inlineStr">
        <is>
          <t>L001-901905215</t>
        </is>
      </c>
      <c r="V356" s="522" t="inlineStr">
        <is>
          <t>វីអ៊ីស៊ិន (ខេមបូឌា) អ៊ិនដាសស្ទ្រី ឯ.ក</t>
        </is>
      </c>
      <c r="W356" s="556" t="n">
        <v>89243</v>
      </c>
    </row>
    <row r="357">
      <c r="A357" s="521" t="n">
        <v>349</v>
      </c>
      <c r="B357" s="522" t="inlineStr">
        <is>
          <t>Handing Fee</t>
        </is>
      </c>
      <c r="C357" s="522" t="inlineStr">
        <is>
          <t>56ប៊ី-លីង សឹបផ្លាយ ឆេន មេនេចម៉ិន ឯ.ក</t>
        </is>
      </c>
      <c r="D357" s="522" t="inlineStr">
        <is>
          <t>K004-902004795</t>
        </is>
      </c>
      <c r="E357" s="521" t="inlineStr">
        <is>
          <t>TI2022-0009</t>
        </is>
      </c>
      <c r="F357" s="523" t="n">
        <v>44575</v>
      </c>
      <c r="G357" s="556" t="n">
        <v>195552</v>
      </c>
      <c r="I357" s="521">
        <f>G357</f>
        <v/>
      </c>
      <c r="K357" s="521">
        <f>I357-G357</f>
        <v/>
      </c>
      <c r="M357" s="522" t="inlineStr">
        <is>
          <t>TI20220009</t>
        </is>
      </c>
      <c r="N357" s="522" t="inlineStr">
        <is>
          <t>TI20220009</t>
        </is>
      </c>
      <c r="O357" s="521">
        <f>M357=N357</f>
        <v/>
      </c>
      <c r="P357" s="521">
        <f>AND(MONTH(F357)=MONTH(S357), YEAR(F357)=YEAR(S357))</f>
        <v/>
      </c>
      <c r="Q357" s="521">
        <f>U357="L001-901905215"</f>
        <v/>
      </c>
      <c r="R357" s="556">
        <f>G357-W357</f>
        <v/>
      </c>
      <c r="S357" s="523" t="n">
        <v>44575</v>
      </c>
      <c r="T357" s="522" t="inlineStr">
        <is>
          <t>TI2022-0009</t>
        </is>
      </c>
      <c r="U357" s="522" t="inlineStr">
        <is>
          <t>L001-901905215</t>
        </is>
      </c>
      <c r="V357" s="522" t="inlineStr">
        <is>
          <t>វីអ៊ីស៊ិន (ខេមបូឌា) អ៊ិនដាសស្ទ្រី ឯ.ក</t>
        </is>
      </c>
      <c r="W357" s="556" t="n">
        <v>195552</v>
      </c>
    </row>
    <row r="358">
      <c r="A358" s="521" t="n">
        <v>350</v>
      </c>
      <c r="B358" s="522" t="inlineStr">
        <is>
          <t>Handing Fee</t>
        </is>
      </c>
      <c r="C358" s="522" t="inlineStr">
        <is>
          <t>56ប៊ី-លីង សឹបផ្លាយ ឆេន មេនេចម៉ិន ឯ.ក</t>
        </is>
      </c>
      <c r="D358" s="522" t="inlineStr">
        <is>
          <t>K004-902004795</t>
        </is>
      </c>
      <c r="E358" s="521" t="inlineStr">
        <is>
          <t>TI2022-0008</t>
        </is>
      </c>
      <c r="F358" s="523" t="n">
        <v>44575</v>
      </c>
      <c r="G358" s="556" t="n">
        <v>195552</v>
      </c>
      <c r="I358" s="521">
        <f>G358</f>
        <v/>
      </c>
      <c r="K358" s="521">
        <f>I358-G358</f>
        <v/>
      </c>
      <c r="M358" s="522" t="inlineStr">
        <is>
          <t>TI20220008</t>
        </is>
      </c>
      <c r="N358" s="522" t="inlineStr">
        <is>
          <t>TI20220008</t>
        </is>
      </c>
      <c r="O358" s="521">
        <f>M358=N358</f>
        <v/>
      </c>
      <c r="P358" s="521">
        <f>AND(MONTH(F358)=MONTH(S358), YEAR(F358)=YEAR(S358))</f>
        <v/>
      </c>
      <c r="Q358" s="521">
        <f>U358="L001-901905215"</f>
        <v/>
      </c>
      <c r="R358" s="556">
        <f>G358-W358</f>
        <v/>
      </c>
      <c r="S358" s="523" t="n">
        <v>44575</v>
      </c>
      <c r="T358" s="522" t="inlineStr">
        <is>
          <t>TI2022-0008</t>
        </is>
      </c>
      <c r="U358" s="522" t="inlineStr">
        <is>
          <t>L001-901905215</t>
        </is>
      </c>
      <c r="V358" s="522" t="inlineStr">
        <is>
          <t>វីអ៊ីស៊ិន (ខេមបូឌា) អ៊ិនដាសស្ទ្រី ឯ.ក</t>
        </is>
      </c>
      <c r="W358" s="556" t="n">
        <v>195552</v>
      </c>
    </row>
    <row r="359">
      <c r="A359" s="521" t="n">
        <v>351</v>
      </c>
      <c r="B359" s="522" t="inlineStr">
        <is>
          <t>Handing Fee</t>
        </is>
      </c>
      <c r="C359" s="522" t="inlineStr">
        <is>
          <t>56ប៊ី-លីង សឹបផ្លាយ ឆេន មេនេចម៉ិន ឯ.ក</t>
        </is>
      </c>
      <c r="D359" s="522" t="inlineStr">
        <is>
          <t>K004-902004795</t>
        </is>
      </c>
      <c r="E359" s="521" t="inlineStr">
        <is>
          <t>TI2022-0007</t>
        </is>
      </c>
      <c r="F359" s="523" t="n">
        <v>44575</v>
      </c>
      <c r="G359" s="556" t="n">
        <v>289254</v>
      </c>
      <c r="I359" s="521">
        <f>G359</f>
        <v/>
      </c>
      <c r="K359" s="521">
        <f>I359-G359</f>
        <v/>
      </c>
      <c r="M359" s="522" t="inlineStr">
        <is>
          <t>TI20220007</t>
        </is>
      </c>
      <c r="N359" s="522" t="inlineStr">
        <is>
          <t>TI20220007</t>
        </is>
      </c>
      <c r="O359" s="521">
        <f>M359=N359</f>
        <v/>
      </c>
      <c r="P359" s="521">
        <f>AND(MONTH(F359)=MONTH(S359), YEAR(F359)=YEAR(S359))</f>
        <v/>
      </c>
      <c r="Q359" s="521">
        <f>U359="L001-901905215"</f>
        <v/>
      </c>
      <c r="R359" s="556">
        <f>G359-W359</f>
        <v/>
      </c>
      <c r="S359" s="523" t="n">
        <v>44575</v>
      </c>
      <c r="T359" s="522" t="inlineStr">
        <is>
          <t>TI2022-0007</t>
        </is>
      </c>
      <c r="U359" s="522" t="inlineStr">
        <is>
          <t>L001-901905215</t>
        </is>
      </c>
      <c r="V359" s="522" t="inlineStr">
        <is>
          <t>វីអ៊ីស៊ិន (ខេមបូឌា) អ៊ិនដាសស្ទ្រី ឯ.ក</t>
        </is>
      </c>
      <c r="W359" s="556" t="n">
        <v>289254</v>
      </c>
    </row>
    <row r="360">
      <c r="A360" s="521" t="n">
        <v>352</v>
      </c>
      <c r="B360" s="522" t="inlineStr">
        <is>
          <t>Handing Fee</t>
        </is>
      </c>
      <c r="C360" s="522" t="inlineStr">
        <is>
          <t>56ប៊ី-លីង សឹបផ្លាយ ឆេន មេនេចម៉ិន ឯ.ក</t>
        </is>
      </c>
      <c r="D360" s="522" t="inlineStr">
        <is>
          <t>K004-902004795</t>
        </is>
      </c>
      <c r="E360" s="521" t="inlineStr">
        <is>
          <t>TI2022-0006</t>
        </is>
      </c>
      <c r="F360" s="523" t="n">
        <v>44575</v>
      </c>
      <c r="G360" s="556" t="n">
        <v>195552</v>
      </c>
      <c r="I360" s="521">
        <f>G360</f>
        <v/>
      </c>
      <c r="K360" s="521">
        <f>I360-G360</f>
        <v/>
      </c>
      <c r="M360" s="522" t="inlineStr">
        <is>
          <t>TI20220006</t>
        </is>
      </c>
      <c r="N360" s="522" t="inlineStr">
        <is>
          <t>TI20220006</t>
        </is>
      </c>
      <c r="O360" s="521">
        <f>M360=N360</f>
        <v/>
      </c>
      <c r="P360" s="521">
        <f>AND(MONTH(F360)=MONTH(S360), YEAR(F360)=YEAR(S360))</f>
        <v/>
      </c>
      <c r="Q360" s="521">
        <f>U360="L001-901905215"</f>
        <v/>
      </c>
      <c r="R360" s="556">
        <f>G360-W360</f>
        <v/>
      </c>
      <c r="S360" s="523" t="n">
        <v>44575</v>
      </c>
      <c r="T360" s="522" t="inlineStr">
        <is>
          <t>TI2022-0006</t>
        </is>
      </c>
      <c r="U360" s="522" t="inlineStr">
        <is>
          <t>L001-901905215</t>
        </is>
      </c>
      <c r="V360" s="522" t="inlineStr">
        <is>
          <t>វីអ៊ីស៊ិន (ខេមបូឌា) អ៊ិនដាសស្ទ្រី ឯ.ក</t>
        </is>
      </c>
      <c r="W360" s="556" t="n">
        <v>195552</v>
      </c>
    </row>
    <row r="361">
      <c r="A361" s="521" t="n">
        <v>353</v>
      </c>
      <c r="B361" s="522" t="inlineStr">
        <is>
          <t>Handing Fee</t>
        </is>
      </c>
      <c r="C361" s="522" t="inlineStr">
        <is>
          <t>56ប៊ី-លីង សឹបផ្លាយ ឆេន មេនេចម៉ិន ឯ.ក</t>
        </is>
      </c>
      <c r="D361" s="522" t="inlineStr">
        <is>
          <t>K004-902004795</t>
        </is>
      </c>
      <c r="E361" s="521" t="inlineStr">
        <is>
          <t>TI2022-0005</t>
        </is>
      </c>
      <c r="F361" s="523" t="n">
        <v>44575</v>
      </c>
      <c r="G361" s="556" t="n">
        <v>195552</v>
      </c>
      <c r="I361" s="521">
        <f>G361</f>
        <v/>
      </c>
      <c r="K361" s="521">
        <f>I361-G361</f>
        <v/>
      </c>
      <c r="M361" s="522" t="inlineStr">
        <is>
          <t>TI20220005</t>
        </is>
      </c>
      <c r="N361" s="522" t="inlineStr">
        <is>
          <t>TI20220005</t>
        </is>
      </c>
      <c r="O361" s="521">
        <f>M361=N361</f>
        <v/>
      </c>
      <c r="P361" s="521">
        <f>AND(MONTH(F361)=MONTH(S361), YEAR(F361)=YEAR(S361))</f>
        <v/>
      </c>
      <c r="Q361" s="521">
        <f>U361="L001-901905215"</f>
        <v/>
      </c>
      <c r="R361" s="556">
        <f>G361-W361</f>
        <v/>
      </c>
      <c r="S361" s="523" t="n">
        <v>44575</v>
      </c>
      <c r="T361" s="522" t="inlineStr">
        <is>
          <t>TI2022-0005</t>
        </is>
      </c>
      <c r="U361" s="522" t="inlineStr">
        <is>
          <t>L001-901905215</t>
        </is>
      </c>
      <c r="V361" s="522" t="inlineStr">
        <is>
          <t>វីអ៊ីស៊ិន (ខេមបូឌា) អ៊ិនដាសស្ទ្រី ឯ.ក</t>
        </is>
      </c>
      <c r="W361" s="556" t="n">
        <v>195552</v>
      </c>
    </row>
    <row r="362">
      <c r="A362" s="521" t="n">
        <v>354</v>
      </c>
      <c r="B362" s="522" t="inlineStr">
        <is>
          <t>Handing Fee</t>
        </is>
      </c>
      <c r="C362" s="522" t="inlineStr">
        <is>
          <t>56ប៊ី-លីង សឹបផ្លាយ ឆេន មេនេចម៉ិន ឯ.ក</t>
        </is>
      </c>
      <c r="D362" s="522" t="inlineStr">
        <is>
          <t>K004-902004795</t>
        </is>
      </c>
      <c r="E362" s="521" t="inlineStr">
        <is>
          <t>TI2022-0004</t>
        </is>
      </c>
      <c r="F362" s="523" t="n">
        <v>44575</v>
      </c>
      <c r="G362" s="556" t="n">
        <v>195552</v>
      </c>
      <c r="I362" s="521">
        <f>G362</f>
        <v/>
      </c>
      <c r="K362" s="521">
        <f>I362-G362</f>
        <v/>
      </c>
      <c r="M362" s="522" t="inlineStr">
        <is>
          <t>TI20220004</t>
        </is>
      </c>
      <c r="N362" s="522" t="inlineStr">
        <is>
          <t>TI20220004</t>
        </is>
      </c>
      <c r="O362" s="521">
        <f>M362=N362</f>
        <v/>
      </c>
      <c r="P362" s="521">
        <f>AND(MONTH(F362)=MONTH(S362), YEAR(F362)=YEAR(S362))</f>
        <v/>
      </c>
      <c r="Q362" s="521">
        <f>U362="L001-901905215"</f>
        <v/>
      </c>
      <c r="R362" s="556">
        <f>G362-W362</f>
        <v/>
      </c>
      <c r="S362" s="523" t="n">
        <v>44575</v>
      </c>
      <c r="T362" s="522" t="inlineStr">
        <is>
          <t>TI2022-0004</t>
        </is>
      </c>
      <c r="U362" s="522" t="inlineStr">
        <is>
          <t>L001-901905215</t>
        </is>
      </c>
      <c r="V362" s="522" t="inlineStr">
        <is>
          <t>វីអ៊ីស៊ិន (ខេមបូឌា) អ៊ិនដាសស្ទ្រី ឯ.ក</t>
        </is>
      </c>
      <c r="W362" s="556" t="n">
        <v>195552</v>
      </c>
    </row>
    <row r="363">
      <c r="A363" s="521" t="n">
        <v>355</v>
      </c>
      <c r="B363" s="522" t="inlineStr">
        <is>
          <t>Handing Fee</t>
        </is>
      </c>
      <c r="C363" s="522" t="inlineStr">
        <is>
          <t>56ប៊ី-លីង សឹបផ្លាយ ឆេន មេនេចម៉ិន ឯ.ក</t>
        </is>
      </c>
      <c r="D363" s="522" t="inlineStr">
        <is>
          <t>K004-902004795</t>
        </is>
      </c>
      <c r="E363" s="521" t="inlineStr">
        <is>
          <t>TI2022-0003</t>
        </is>
      </c>
      <c r="F363" s="523" t="n">
        <v>44575</v>
      </c>
      <c r="G363" s="556" t="n">
        <v>195552</v>
      </c>
      <c r="I363" s="521">
        <f>G363</f>
        <v/>
      </c>
      <c r="K363" s="521">
        <f>I363-G363</f>
        <v/>
      </c>
      <c r="M363" s="522" t="inlineStr">
        <is>
          <t>TI20220003</t>
        </is>
      </c>
      <c r="N363" s="522" t="inlineStr">
        <is>
          <t>TI20220003</t>
        </is>
      </c>
      <c r="O363" s="521">
        <f>M363=N363</f>
        <v/>
      </c>
      <c r="P363" s="521">
        <f>AND(MONTH(F363)=MONTH(S363), YEAR(F363)=YEAR(S363))</f>
        <v/>
      </c>
      <c r="Q363" s="521">
        <f>U363="L001-901905215"</f>
        <v/>
      </c>
      <c r="R363" s="556">
        <f>G363-W363</f>
        <v/>
      </c>
      <c r="S363" s="523" t="n">
        <v>44575</v>
      </c>
      <c r="T363" s="522" t="inlineStr">
        <is>
          <t>TI2022-0003</t>
        </is>
      </c>
      <c r="U363" s="522" t="inlineStr">
        <is>
          <t>L001-901905215</t>
        </is>
      </c>
      <c r="V363" s="522" t="inlineStr">
        <is>
          <t>វីអ៊ីស៊ិន (ខេមបូឌា) អ៊ិនដាសស្ទ្រី ឯ.ក</t>
        </is>
      </c>
      <c r="W363" s="556" t="n">
        <v>195552</v>
      </c>
    </row>
    <row r="364">
      <c r="A364" s="521" t="n">
        <v>356</v>
      </c>
      <c r="B364" s="522" t="inlineStr">
        <is>
          <t>Handing Fee</t>
        </is>
      </c>
      <c r="C364" s="522" t="inlineStr">
        <is>
          <t>56ប៊ី-លីង សឹបផ្លាយ ឆេន មេនេចម៉ិន ឯ.ក</t>
        </is>
      </c>
      <c r="D364" s="522" t="inlineStr">
        <is>
          <t>K004-902004795</t>
        </is>
      </c>
      <c r="E364" s="521" t="inlineStr">
        <is>
          <t>TI2022-0044</t>
        </is>
      </c>
      <c r="F364" s="523" t="n">
        <v>44587</v>
      </c>
      <c r="G364" s="556" t="n">
        <v>382298</v>
      </c>
      <c r="I364" s="521">
        <f>G364</f>
        <v/>
      </c>
      <c r="K364" s="521">
        <f>I364-G364</f>
        <v/>
      </c>
      <c r="M364" s="522" t="inlineStr">
        <is>
          <t>TI20220044</t>
        </is>
      </c>
      <c r="N364" s="522" t="inlineStr">
        <is>
          <t>TI20220044</t>
        </is>
      </c>
      <c r="O364" s="521">
        <f>M364=N364</f>
        <v/>
      </c>
      <c r="P364" s="521">
        <f>AND(MONTH(F364)=MONTH(S364), YEAR(F364)=YEAR(S364))</f>
        <v/>
      </c>
      <c r="Q364" s="521">
        <f>U364="L001-901905215"</f>
        <v/>
      </c>
      <c r="R364" s="556">
        <f>G364-W364</f>
        <v/>
      </c>
      <c r="S364" s="523" t="n">
        <v>44587</v>
      </c>
      <c r="T364" s="522" t="inlineStr">
        <is>
          <t>TI2022-0044</t>
        </is>
      </c>
      <c r="U364" s="522" t="inlineStr">
        <is>
          <t>L001-901905215</t>
        </is>
      </c>
      <c r="V364" s="522" t="inlineStr">
        <is>
          <t>វីអ៊ីស៊ិន (ខេមបូឌា) អ៊ិនដាសស្ទ្រី ឯ.ក</t>
        </is>
      </c>
      <c r="W364" s="556" t="n">
        <v>382298</v>
      </c>
    </row>
    <row r="365">
      <c r="A365" s="521" t="n">
        <v>357</v>
      </c>
      <c r="B365" s="522" t="inlineStr">
        <is>
          <t>Carton Paper</t>
        </is>
      </c>
      <c r="C365" s="522" t="inlineStr">
        <is>
          <t>យី មីង ភែកឃីជីង ឯ.ក</t>
        </is>
      </c>
      <c r="D365" s="522" t="inlineStr">
        <is>
          <t>B108-902101335</t>
        </is>
      </c>
      <c r="E365" s="521" t="inlineStr">
        <is>
          <t>YM-0002</t>
        </is>
      </c>
      <c r="F365" s="523" t="n">
        <v>44592</v>
      </c>
      <c r="G365" s="556" t="n">
        <v>9144390</v>
      </c>
      <c r="I365" s="521">
        <f>G365</f>
        <v/>
      </c>
      <c r="K365" s="521">
        <f>I365-G365</f>
        <v/>
      </c>
      <c r="M365" s="522" t="inlineStr">
        <is>
          <t>YM0002</t>
        </is>
      </c>
      <c r="N365" s="522" t="inlineStr">
        <is>
          <t>YM0002</t>
        </is>
      </c>
      <c r="O365" s="521">
        <f>M365=N365</f>
        <v/>
      </c>
      <c r="P365" s="521">
        <f>AND(MONTH(F365)=MONTH(S365), YEAR(F365)=YEAR(S365))</f>
        <v/>
      </c>
      <c r="Q365" s="521">
        <f>U365="L001-901905215"</f>
        <v/>
      </c>
      <c r="R365" s="556">
        <f>G365-W365</f>
        <v/>
      </c>
      <c r="S365" s="523" t="n">
        <v>44439</v>
      </c>
      <c r="T365" s="522" t="inlineStr">
        <is>
          <t>YM-0002</t>
        </is>
      </c>
      <c r="U365" s="522" t="inlineStr">
        <is>
          <t>L001-901905215</t>
        </is>
      </c>
      <c r="V365" s="522" t="inlineStr">
        <is>
          <t>វីអ៊ីស៊ិន (ខេមបូឌា) អ៊ិនដាសស្ទ្រី ឯ.ក</t>
        </is>
      </c>
      <c r="W365" s="556" t="n">
        <v>5531723</v>
      </c>
    </row>
    <row r="366">
      <c r="A366" s="521" t="n">
        <v>358</v>
      </c>
      <c r="B366" s="522" t="inlineStr">
        <is>
          <t>Paper Label</t>
        </is>
      </c>
      <c r="C366" s="522" t="inlineStr">
        <is>
          <t>ស៊ីន ហ្វី យ៉ាង ព្រីនធីង &amp; អិកសេសសឺរី ឯ.ក</t>
        </is>
      </c>
      <c r="D366" s="522" t="inlineStr">
        <is>
          <t>K010-901906822</t>
        </is>
      </c>
      <c r="E366" s="521" t="inlineStr">
        <is>
          <t>YD20220020</t>
        </is>
      </c>
      <c r="F366" s="523" t="n">
        <v>44590</v>
      </c>
      <c r="G366" s="556" t="n">
        <v>2011942</v>
      </c>
      <c r="I366" s="521">
        <f>G366</f>
        <v/>
      </c>
      <c r="K366" s="521">
        <f>I366-G366</f>
        <v/>
      </c>
      <c r="M366" s="522" t="inlineStr">
        <is>
          <t>YD20220020</t>
        </is>
      </c>
      <c r="N366" s="522" t="inlineStr"/>
      <c r="O366" s="521">
        <f>M366=N366</f>
        <v/>
      </c>
      <c r="P366" s="521">
        <f>AND(MONTH(F366)=MONTH(S366), YEAR(F366)=YEAR(S366))</f>
        <v/>
      </c>
      <c r="Q366" s="521">
        <f>U366="L001-901905215"</f>
        <v/>
      </c>
      <c r="R366" s="556">
        <f>G366-W366</f>
        <v/>
      </c>
      <c r="S366" s="521" t="n"/>
      <c r="T366" s="522" t="n"/>
      <c r="U366" s="522" t="n"/>
      <c r="V366" s="522" t="n"/>
      <c r="W366" s="521" t="n"/>
    </row>
    <row r="367">
      <c r="A367" s="521" t="n">
        <v>359</v>
      </c>
      <c r="B367" s="522" t="inlineStr">
        <is>
          <t>Stretch Film (ថង់ប្លាស្ទិចរំ</t>
        </is>
      </c>
      <c r="C367" s="522" t="inlineStr">
        <is>
          <t>ស៊ីន ឌីងយ័ន ស៊ូ មេធៀរៀល ឯ.ក</t>
        </is>
      </c>
      <c r="D367" s="522" t="inlineStr">
        <is>
          <t>K010-902100418</t>
        </is>
      </c>
      <c r="E367" s="521" t="inlineStr">
        <is>
          <t>0000003</t>
        </is>
      </c>
      <c r="F367" s="523" t="n">
        <v>44585</v>
      </c>
      <c r="G367" s="556" t="n">
        <v>569660</v>
      </c>
      <c r="I367" s="521">
        <f>G367</f>
        <v/>
      </c>
      <c r="K367" s="521">
        <f>I367-G367</f>
        <v/>
      </c>
      <c r="M367" s="522" t="inlineStr">
        <is>
          <t>0000003</t>
        </is>
      </c>
      <c r="N367" s="522" t="inlineStr">
        <is>
          <t>0000003</t>
        </is>
      </c>
      <c r="O367" s="521">
        <f>M367=N367</f>
        <v/>
      </c>
      <c r="P367" s="521">
        <f>AND(MONTH(F367)=MONTH(S367), YEAR(F367)=YEAR(S367))</f>
        <v/>
      </c>
      <c r="Q367" s="521">
        <f>U367="L001-901905215"</f>
        <v/>
      </c>
      <c r="R367" s="556">
        <f>G367-W367</f>
        <v/>
      </c>
      <c r="S367" s="523" t="n">
        <v>44585</v>
      </c>
      <c r="T367" s="522" t="inlineStr">
        <is>
          <t>0000003</t>
        </is>
      </c>
      <c r="U367" s="522" t="inlineStr">
        <is>
          <t>L001-901905215</t>
        </is>
      </c>
      <c r="V367" s="522" t="inlineStr">
        <is>
          <t>វីអ៊ីស៊ិន (ខេមបូឌា) អ៊ិនដាសស្ទ្រី ឯ.ក</t>
        </is>
      </c>
      <c r="W367" s="556" t="n">
        <v>569660</v>
      </c>
    </row>
    <row r="368">
      <c r="A368" s="521" t="n">
        <v>360</v>
      </c>
      <c r="B368" s="522" t="inlineStr">
        <is>
          <t>Paper Card</t>
        </is>
      </c>
      <c r="C368" s="522" t="inlineStr">
        <is>
          <t>វីង ចេង ភែកឃីជីង ឯ.ក</t>
        </is>
      </c>
      <c r="D368" s="522" t="inlineStr">
        <is>
          <t>L001-902102915</t>
        </is>
      </c>
      <c r="E368" s="521" t="inlineStr">
        <is>
          <t>TI0042</t>
        </is>
      </c>
      <c r="F368" s="523" t="n">
        <v>44592</v>
      </c>
      <c r="G368" s="556" t="n">
        <v>50574894</v>
      </c>
      <c r="I368" s="521">
        <f>G368</f>
        <v/>
      </c>
      <c r="K368" s="521">
        <f>I368-G368</f>
        <v/>
      </c>
      <c r="M368" s="522" t="inlineStr">
        <is>
          <t>TI0042</t>
        </is>
      </c>
      <c r="N368" s="522" t="inlineStr">
        <is>
          <t>TI0042</t>
        </is>
      </c>
      <c r="O368" s="521">
        <f>M368=N368</f>
        <v/>
      </c>
      <c r="P368" s="521">
        <f>AND(MONTH(F368)=MONTH(S368), YEAR(F368)=YEAR(S368))</f>
        <v/>
      </c>
      <c r="Q368" s="521">
        <f>U368="L001-901905215"</f>
        <v/>
      </c>
      <c r="R368" s="556">
        <f>G368-W368</f>
        <v/>
      </c>
      <c r="S368" s="523" t="n">
        <v>44592</v>
      </c>
      <c r="T368" s="522" t="inlineStr">
        <is>
          <t>TI0042</t>
        </is>
      </c>
      <c r="U368" s="522" t="inlineStr">
        <is>
          <t>L001-901905215</t>
        </is>
      </c>
      <c r="V368" s="522" t="inlineStr">
        <is>
          <t>វីអ៊ីស៊ិន (ខេមបូឌា) អ៊ិនដាសស្ទ្រី ឯ.ក</t>
        </is>
      </c>
      <c r="W368" s="556" t="n">
        <v>50574893</v>
      </c>
    </row>
    <row r="369">
      <c r="A369" s="521" t="n">
        <v>361</v>
      </c>
      <c r="B369" s="522" t="inlineStr">
        <is>
          <t>Carton Paper</t>
        </is>
      </c>
      <c r="C369" s="522" t="inlineStr">
        <is>
          <t>ស៊ីងហ្គាពួរ កាតុង (ខេមបូឌា)</t>
        </is>
      </c>
      <c r="D369" s="522" t="inlineStr">
        <is>
          <t>L001-100121322</t>
        </is>
      </c>
      <c r="E369" s="521" t="inlineStr">
        <is>
          <t>V0018279</t>
        </is>
      </c>
      <c r="F369" s="523" t="n">
        <v>44566</v>
      </c>
      <c r="G369" s="556" t="n">
        <v>2820</v>
      </c>
      <c r="I369" s="521">
        <f>G369</f>
        <v/>
      </c>
      <c r="K369" s="521">
        <f>I369-G369</f>
        <v/>
      </c>
      <c r="M369" s="522" t="inlineStr">
        <is>
          <t>V0018279</t>
        </is>
      </c>
      <c r="N369" s="522" t="inlineStr">
        <is>
          <t>V0018279</t>
        </is>
      </c>
      <c r="O369" s="521">
        <f>M369=N369</f>
        <v/>
      </c>
      <c r="P369" s="521">
        <f>AND(MONTH(F369)=MONTH(S369), YEAR(F369)=YEAR(S369))</f>
        <v/>
      </c>
      <c r="Q369" s="521">
        <f>U369="L001-901905215"</f>
        <v/>
      </c>
      <c r="R369" s="556">
        <f>G369-W369</f>
        <v/>
      </c>
      <c r="S369" s="523" t="n">
        <v>44566</v>
      </c>
      <c r="T369" s="522" t="inlineStr">
        <is>
          <t>V0018279</t>
        </is>
      </c>
      <c r="U369" s="522" t="inlineStr">
        <is>
          <t>L001-901905215</t>
        </is>
      </c>
      <c r="V369" s="522" t="inlineStr">
        <is>
          <t>វីអ៊ីស៊ិន (ខេមបូឌា) អ៊ិនដាសស្ទ្រី ឯ.ក</t>
        </is>
      </c>
      <c r="W369" s="556" t="n">
        <v>2813</v>
      </c>
    </row>
    <row r="370">
      <c r="A370" s="521" t="n">
        <v>362</v>
      </c>
      <c r="B370" s="522" t="inlineStr">
        <is>
          <t>Paper Label</t>
        </is>
      </c>
      <c r="C370" s="522" t="inlineStr">
        <is>
          <t>ដុងគ័ន ស៊ីធី ហ្វាញស្តារ ព្រីនធីង (ខេមបូឌា)</t>
        </is>
      </c>
      <c r="D370" s="522" t="inlineStr">
        <is>
          <t>L001-100193021</t>
        </is>
      </c>
      <c r="E370" s="521" t="inlineStr">
        <is>
          <t>00018</t>
        </is>
      </c>
      <c r="F370" s="523" t="n">
        <v>44587</v>
      </c>
      <c r="G370" s="556" t="n">
        <v>1769730</v>
      </c>
      <c r="I370" s="521">
        <f>G370</f>
        <v/>
      </c>
      <c r="K370" s="521">
        <f>I370-G370</f>
        <v/>
      </c>
      <c r="M370" s="522" t="inlineStr">
        <is>
          <t>00018</t>
        </is>
      </c>
      <c r="N370" s="522" t="inlineStr">
        <is>
          <t>00018</t>
        </is>
      </c>
      <c r="O370" s="521">
        <f>M370=N370</f>
        <v/>
      </c>
      <c r="P370" s="521">
        <f>AND(MONTH(F370)=MONTH(S370), YEAR(F370)=YEAR(S370))</f>
        <v/>
      </c>
      <c r="Q370" s="521">
        <f>U370="L001-901905215"</f>
        <v/>
      </c>
      <c r="R370" s="556">
        <f>G370-W370</f>
        <v/>
      </c>
      <c r="S370" s="523" t="n">
        <v>44587</v>
      </c>
      <c r="T370" s="522" t="inlineStr">
        <is>
          <t>00018</t>
        </is>
      </c>
      <c r="U370" s="522" t="inlineStr">
        <is>
          <t>L001-901905215</t>
        </is>
      </c>
      <c r="V370" s="522" t="inlineStr">
        <is>
          <t>វីអ៊ីស៊ិន (ខេមបូឌា) អ៊ិនដាសស្ទ្រី ឯ.ក</t>
        </is>
      </c>
      <c r="W370" s="556" t="n">
        <v>1769730</v>
      </c>
    </row>
    <row r="371">
      <c r="A371" s="521" t="n">
        <v>363</v>
      </c>
      <c r="B371" s="522" t="inlineStr">
        <is>
          <t>Plastic</t>
        </is>
      </c>
      <c r="C371" s="522" t="inlineStr">
        <is>
          <t>ឌើ សឹង ហ្វា ភែកឃីជីង អ៊ិនដាសស្រ្ទៀល ឯ.ក</t>
        </is>
      </c>
      <c r="D371" s="522" t="inlineStr">
        <is>
          <t>L001-901638065</t>
        </is>
      </c>
      <c r="E371" s="521" t="inlineStr">
        <is>
          <t>DSF202200025</t>
        </is>
      </c>
      <c r="F371" s="523" t="n">
        <v>44589</v>
      </c>
      <c r="G371" s="556" t="n">
        <v>2286381</v>
      </c>
      <c r="I371" s="521">
        <f>G371</f>
        <v/>
      </c>
      <c r="K371" s="521">
        <f>I371-G371</f>
        <v/>
      </c>
      <c r="M371" s="522" t="inlineStr">
        <is>
          <t>DSF202200025</t>
        </is>
      </c>
      <c r="N371" s="522" t="inlineStr">
        <is>
          <t>DSF202200025</t>
        </is>
      </c>
      <c r="O371" s="521">
        <f>M371=N371</f>
        <v/>
      </c>
      <c r="P371" s="521">
        <f>AND(MONTH(F371)=MONTH(S371), YEAR(F371)=YEAR(S371))</f>
        <v/>
      </c>
      <c r="Q371" s="521">
        <f>U371="L001-901905215"</f>
        <v/>
      </c>
      <c r="R371" s="556">
        <f>G371-W371</f>
        <v/>
      </c>
      <c r="S371" s="523" t="n">
        <v>44589</v>
      </c>
      <c r="T371" s="522" t="inlineStr">
        <is>
          <t>DSF202200025</t>
        </is>
      </c>
      <c r="U371" s="522" t="inlineStr">
        <is>
          <t>L001-901905215</t>
        </is>
      </c>
      <c r="V371" s="522" t="inlineStr">
        <is>
          <t>វីអ៊ីស៊ិន (ខេមបូឌា) អ៊ិនដាសស្ទ្រី ឯ.ក</t>
        </is>
      </c>
      <c r="W371" s="556" t="n">
        <v>2286381</v>
      </c>
    </row>
    <row r="372">
      <c r="A372" s="521" t="n">
        <v>364</v>
      </c>
      <c r="B372" s="522" t="inlineStr">
        <is>
          <t>Sampling 1</t>
        </is>
      </c>
      <c r="C372" s="522" t="inlineStr">
        <is>
          <t>អេសជីអេស (ខេមបូឌា) លីមីធីត</t>
        </is>
      </c>
      <c r="D372" s="522" t="inlineStr">
        <is>
          <t>L001-107030519</t>
        </is>
      </c>
      <c r="E372" s="521" t="inlineStr">
        <is>
          <t>10016464</t>
        </is>
      </c>
      <c r="F372" s="523" t="n">
        <v>44580</v>
      </c>
      <c r="G372" s="556" t="n">
        <v>106123</v>
      </c>
      <c r="I372" s="521">
        <f>G372</f>
        <v/>
      </c>
      <c r="K372" s="521">
        <f>I372-G372</f>
        <v/>
      </c>
      <c r="M372" s="522" t="inlineStr">
        <is>
          <t>10016464</t>
        </is>
      </c>
      <c r="N372" s="522" t="inlineStr">
        <is>
          <t>10016464</t>
        </is>
      </c>
      <c r="O372" s="521">
        <f>M372=N372</f>
        <v/>
      </c>
      <c r="P372" s="521">
        <f>AND(MONTH(F372)=MONTH(S372), YEAR(F372)=YEAR(S372))</f>
        <v/>
      </c>
      <c r="Q372" s="521">
        <f>U372="L001-901905215"</f>
        <v/>
      </c>
      <c r="R372" s="556">
        <f>G372-W372</f>
        <v/>
      </c>
      <c r="S372" s="523" t="n">
        <v>44580</v>
      </c>
      <c r="T372" s="522" t="inlineStr">
        <is>
          <t>10016464</t>
        </is>
      </c>
      <c r="U372" s="522" t="inlineStr">
        <is>
          <t>L001-901905215</t>
        </is>
      </c>
      <c r="V372" s="522" t="inlineStr">
        <is>
          <t>វីអ៊ីស៊ិន (ខេមបូឌា) អ៊ិនដាសស្ទ្រី ឯ.ក</t>
        </is>
      </c>
      <c r="W372" s="556" t="n">
        <v>106123</v>
      </c>
    </row>
    <row r="373">
      <c r="A373" s="521" t="n">
        <v>365</v>
      </c>
      <c r="B373" s="522" t="inlineStr">
        <is>
          <t>Service Fee</t>
        </is>
      </c>
      <c r="C373" s="522" t="inlineStr">
        <is>
          <t>ប្យួរ៉ូ វេរីតាស (ខេមបូឌា) លីមីធីត</t>
        </is>
      </c>
      <c r="D373" s="522" t="inlineStr">
        <is>
          <t>L001-107024462</t>
        </is>
      </c>
      <c r="E373" s="521" t="inlineStr">
        <is>
          <t>59011532</t>
        </is>
      </c>
      <c r="F373" s="523" t="n">
        <v>44568</v>
      </c>
      <c r="G373" s="556" t="n">
        <v>55198</v>
      </c>
      <c r="I373" s="521">
        <f>G373</f>
        <v/>
      </c>
      <c r="K373" s="521">
        <f>I373-G373</f>
        <v/>
      </c>
      <c r="M373" s="522" t="inlineStr">
        <is>
          <t>59011532</t>
        </is>
      </c>
      <c r="N373" s="522" t="inlineStr">
        <is>
          <t>59011532</t>
        </is>
      </c>
      <c r="O373" s="521">
        <f>M373=N373</f>
        <v/>
      </c>
      <c r="P373" s="521">
        <f>AND(MONTH(F373)=MONTH(S373), YEAR(F373)=YEAR(S373))</f>
        <v/>
      </c>
      <c r="Q373" s="521">
        <f>U373="L001-901905215"</f>
        <v/>
      </c>
      <c r="R373" s="556">
        <f>G373-W373</f>
        <v/>
      </c>
      <c r="S373" s="523" t="n">
        <v>44568</v>
      </c>
      <c r="T373" s="522" t="inlineStr">
        <is>
          <t>59011532</t>
        </is>
      </c>
      <c r="U373" s="522" t="inlineStr">
        <is>
          <t>L001-901905215</t>
        </is>
      </c>
      <c r="V373" s="522" t="inlineStr">
        <is>
          <t>វីអ៊ីស៊ិន (ខេមបូឌា) អ៊ិនដាសស្ទ្រី ឯ.ក</t>
        </is>
      </c>
      <c r="W373" s="556" t="n">
        <v>55198</v>
      </c>
    </row>
    <row r="374">
      <c r="A374" s="521" t="n">
        <v>366</v>
      </c>
      <c r="B374" s="522" t="inlineStr">
        <is>
          <t>Service Fee</t>
        </is>
      </c>
      <c r="C374" s="522" t="inlineStr">
        <is>
          <t>ប្យួរ៉ូ វេរីតាស (ខេមបូឌា) លីមីធីត</t>
        </is>
      </c>
      <c r="D374" s="522" t="inlineStr">
        <is>
          <t>L001-107024462</t>
        </is>
      </c>
      <c r="E374" s="521" t="inlineStr">
        <is>
          <t>59011535</t>
        </is>
      </c>
      <c r="F374" s="523" t="n">
        <v>44568</v>
      </c>
      <c r="G374" s="556" t="n">
        <v>55198</v>
      </c>
      <c r="I374" s="521">
        <f>G374</f>
        <v/>
      </c>
      <c r="K374" s="521">
        <f>I374-G374</f>
        <v/>
      </c>
      <c r="M374" s="522" t="inlineStr">
        <is>
          <t>59011535</t>
        </is>
      </c>
      <c r="N374" s="522" t="inlineStr">
        <is>
          <t>59011535</t>
        </is>
      </c>
      <c r="O374" s="521">
        <f>M374=N374</f>
        <v/>
      </c>
      <c r="P374" s="521">
        <f>AND(MONTH(F374)=MONTH(S374), YEAR(F374)=YEAR(S374))</f>
        <v/>
      </c>
      <c r="Q374" s="521">
        <f>U374="L001-901905215"</f>
        <v/>
      </c>
      <c r="R374" s="556">
        <f>G374-W374</f>
        <v/>
      </c>
      <c r="S374" s="523" t="n">
        <v>44568</v>
      </c>
      <c r="T374" s="522" t="inlineStr">
        <is>
          <t>59011535</t>
        </is>
      </c>
      <c r="U374" s="522" t="inlineStr">
        <is>
          <t>L001-901905215</t>
        </is>
      </c>
      <c r="V374" s="522" t="inlineStr">
        <is>
          <t>វីអ៊ីស៊ិន (ខេមបូឌា) អ៊ិនដាសស្ទ្រី ឯ.ក</t>
        </is>
      </c>
      <c r="W374" s="556" t="n">
        <v>55198</v>
      </c>
    </row>
    <row r="375">
      <c r="A375" s="521" t="n">
        <v>367</v>
      </c>
      <c r="B375" s="522" t="inlineStr">
        <is>
          <t>Service Fee</t>
        </is>
      </c>
      <c r="C375" s="522" t="inlineStr">
        <is>
          <t>ប្យួរ៉ូ វេរីតាស (ខេមបូឌា) លីមីធីត</t>
        </is>
      </c>
      <c r="D375" s="522" t="inlineStr">
        <is>
          <t>L001-107024462</t>
        </is>
      </c>
      <c r="E375" s="521" t="inlineStr">
        <is>
          <t>59011549</t>
        </is>
      </c>
      <c r="F375" s="523" t="n">
        <v>44573</v>
      </c>
      <c r="G375" s="556" t="n">
        <v>110365</v>
      </c>
      <c r="I375" s="521">
        <f>G375</f>
        <v/>
      </c>
      <c r="K375" s="521">
        <f>I375-G375</f>
        <v/>
      </c>
      <c r="M375" s="522" t="inlineStr">
        <is>
          <t>59011549</t>
        </is>
      </c>
      <c r="N375" s="522" t="inlineStr">
        <is>
          <t>59011549</t>
        </is>
      </c>
      <c r="O375" s="521">
        <f>M375=N375</f>
        <v/>
      </c>
      <c r="P375" s="521">
        <f>AND(MONTH(F375)=MONTH(S375), YEAR(F375)=YEAR(S375))</f>
        <v/>
      </c>
      <c r="Q375" s="521">
        <f>U375="L001-901905215"</f>
        <v/>
      </c>
      <c r="R375" s="556">
        <f>G375-W375</f>
        <v/>
      </c>
      <c r="S375" s="523" t="n">
        <v>44573</v>
      </c>
      <c r="T375" s="522" t="inlineStr">
        <is>
          <t>59011549</t>
        </is>
      </c>
      <c r="U375" s="522" t="inlineStr">
        <is>
          <t>L001-901905215</t>
        </is>
      </c>
      <c r="V375" s="522" t="inlineStr">
        <is>
          <t>វីអ៊ីស៊ិន (ខេមបូឌា) អ៊ិនដាសស្ទ្រី ឯ.ក</t>
        </is>
      </c>
      <c r="W375" s="556" t="n">
        <v>110365</v>
      </c>
    </row>
    <row r="376">
      <c r="A376" s="521" t="n">
        <v>368</v>
      </c>
      <c r="B376" s="522" t="inlineStr">
        <is>
          <t>Service Fee</t>
        </is>
      </c>
      <c r="C376" s="522" t="inlineStr">
        <is>
          <t>ប្យួរ៉ូ វេរីតាស (ខេមបូឌា) លីមីធីត</t>
        </is>
      </c>
      <c r="D376" s="522" t="inlineStr">
        <is>
          <t>L001-107024462</t>
        </is>
      </c>
      <c r="E376" s="521" t="inlineStr">
        <is>
          <t>59011567</t>
        </is>
      </c>
      <c r="F376" s="523" t="n">
        <v>44575</v>
      </c>
      <c r="G376" s="556" t="n">
        <v>165549</v>
      </c>
      <c r="I376" s="521">
        <f>G376</f>
        <v/>
      </c>
      <c r="K376" s="521">
        <f>I376-G376</f>
        <v/>
      </c>
      <c r="M376" s="522" t="inlineStr">
        <is>
          <t>59011567</t>
        </is>
      </c>
      <c r="N376" s="522" t="inlineStr">
        <is>
          <t>59011567</t>
        </is>
      </c>
      <c r="O376" s="521">
        <f>M376=N376</f>
        <v/>
      </c>
      <c r="P376" s="521">
        <f>AND(MONTH(F376)=MONTH(S376), YEAR(F376)=YEAR(S376))</f>
        <v/>
      </c>
      <c r="Q376" s="521">
        <f>U376="L001-901905215"</f>
        <v/>
      </c>
      <c r="R376" s="556">
        <f>G376-W376</f>
        <v/>
      </c>
      <c r="S376" s="523" t="n">
        <v>44575</v>
      </c>
      <c r="T376" s="522" t="inlineStr">
        <is>
          <t>59011567</t>
        </is>
      </c>
      <c r="U376" s="522" t="inlineStr">
        <is>
          <t>L001-901905215</t>
        </is>
      </c>
      <c r="V376" s="522" t="inlineStr">
        <is>
          <t>វីអ៊ីស៊ិន (ខេមបូឌា) អ៊ិនដាសស្ទ្រី ឯ.ក</t>
        </is>
      </c>
      <c r="W376" s="556" t="n">
        <v>165549</v>
      </c>
    </row>
    <row r="377">
      <c r="A377" s="521" t="n">
        <v>369</v>
      </c>
      <c r="B377" s="522" t="inlineStr">
        <is>
          <t>Service Fee</t>
        </is>
      </c>
      <c r="C377" s="522" t="inlineStr">
        <is>
          <t>ប្យួរ៉ូ វេរីតាស (ខេមបូឌា) លីមីធីត</t>
        </is>
      </c>
      <c r="D377" s="522" t="inlineStr">
        <is>
          <t>L001-107024462</t>
        </is>
      </c>
      <c r="E377" s="521" t="inlineStr">
        <is>
          <t>59011615</t>
        </is>
      </c>
      <c r="F377" s="523" t="n">
        <v>44581</v>
      </c>
      <c r="G377" s="556" t="n">
        <v>165468</v>
      </c>
      <c r="I377" s="521">
        <f>G377</f>
        <v/>
      </c>
      <c r="K377" s="521">
        <f>I377-G377</f>
        <v/>
      </c>
      <c r="M377" s="522" t="inlineStr">
        <is>
          <t>59011615</t>
        </is>
      </c>
      <c r="N377" s="522" t="inlineStr">
        <is>
          <t>59011615</t>
        </is>
      </c>
      <c r="O377" s="521">
        <f>M377=N377</f>
        <v/>
      </c>
      <c r="P377" s="521">
        <f>AND(MONTH(F377)=MONTH(S377), YEAR(F377)=YEAR(S377))</f>
        <v/>
      </c>
      <c r="Q377" s="521">
        <f>U377="L001-901905215"</f>
        <v/>
      </c>
      <c r="R377" s="556">
        <f>G377-W377</f>
        <v/>
      </c>
      <c r="S377" s="523" t="n">
        <v>44581</v>
      </c>
      <c r="T377" s="522" t="inlineStr">
        <is>
          <t>59011615</t>
        </is>
      </c>
      <c r="U377" s="522" t="inlineStr">
        <is>
          <t>L001-901905215</t>
        </is>
      </c>
      <c r="V377" s="522" t="inlineStr">
        <is>
          <t>វីអ៊ីស៊ិន (ខេមបូឌា) អ៊ិនដាសស្ទ្រី ឯ.ក</t>
        </is>
      </c>
      <c r="W377" s="556" t="n">
        <v>165468</v>
      </c>
    </row>
    <row r="378">
      <c r="A378" s="521" t="n">
        <v>370</v>
      </c>
      <c r="B378" s="522" t="inlineStr">
        <is>
          <t>Service Fee</t>
        </is>
      </c>
      <c r="C378" s="522" t="inlineStr">
        <is>
          <t>ប្យួរ៉ូ វេរីតាស (ខេមបូឌា) លីមីធីត</t>
        </is>
      </c>
      <c r="D378" s="522" t="inlineStr">
        <is>
          <t>L001-107024462</t>
        </is>
      </c>
      <c r="E378" s="521" t="inlineStr">
        <is>
          <t>59011616</t>
        </is>
      </c>
      <c r="F378" s="523" t="n">
        <v>44581</v>
      </c>
      <c r="G378" s="556" t="n">
        <v>55157</v>
      </c>
      <c r="I378" s="521">
        <f>G378</f>
        <v/>
      </c>
      <c r="K378" s="521">
        <f>I378-G378</f>
        <v/>
      </c>
      <c r="M378" s="522" t="inlineStr">
        <is>
          <t>59011616</t>
        </is>
      </c>
      <c r="N378" s="522" t="inlineStr">
        <is>
          <t>59011616</t>
        </is>
      </c>
      <c r="O378" s="521">
        <f>M378=N378</f>
        <v/>
      </c>
      <c r="P378" s="521">
        <f>AND(MONTH(F378)=MONTH(S378), YEAR(F378)=YEAR(S378))</f>
        <v/>
      </c>
      <c r="Q378" s="521">
        <f>U378="L001-901905215"</f>
        <v/>
      </c>
      <c r="R378" s="556">
        <f>G378-W378</f>
        <v/>
      </c>
      <c r="S378" s="523" t="n">
        <v>44581</v>
      </c>
      <c r="T378" s="522" t="inlineStr">
        <is>
          <t>59011616</t>
        </is>
      </c>
      <c r="U378" s="522" t="inlineStr">
        <is>
          <t>L001-901905215</t>
        </is>
      </c>
      <c r="V378" s="522" t="inlineStr">
        <is>
          <t>វីអ៊ីស៊ិន (ខេមបូឌា) អ៊ិនដាសស្ទ្រី ឯ.ក</t>
        </is>
      </c>
      <c r="W378" s="556" t="n">
        <v>55157</v>
      </c>
    </row>
    <row r="379">
      <c r="A379" s="521" t="n">
        <v>371</v>
      </c>
      <c r="B379" s="522" t="inlineStr">
        <is>
          <t>Service Fee</t>
        </is>
      </c>
      <c r="C379" s="522" t="inlineStr">
        <is>
          <t>ប្យួរ៉ូ វេរីតាស (ខេមបូឌា) លីមីធីត</t>
        </is>
      </c>
      <c r="D379" s="522" t="inlineStr">
        <is>
          <t>L001-107024462</t>
        </is>
      </c>
      <c r="E379" s="521" t="inlineStr">
        <is>
          <t>59011617</t>
        </is>
      </c>
      <c r="F379" s="523" t="n">
        <v>44581</v>
      </c>
      <c r="G379" s="556" t="n">
        <v>110310</v>
      </c>
      <c r="I379" s="521">
        <f>G379</f>
        <v/>
      </c>
      <c r="K379" s="521">
        <f>I379-G379</f>
        <v/>
      </c>
      <c r="M379" s="522" t="inlineStr">
        <is>
          <t>59011617</t>
        </is>
      </c>
      <c r="N379" s="522" t="inlineStr">
        <is>
          <t>59011617</t>
        </is>
      </c>
      <c r="O379" s="521">
        <f>M379=N379</f>
        <v/>
      </c>
      <c r="P379" s="521">
        <f>AND(MONTH(F379)=MONTH(S379), YEAR(F379)=YEAR(S379))</f>
        <v/>
      </c>
      <c r="Q379" s="521">
        <f>U379="L001-901905215"</f>
        <v/>
      </c>
      <c r="R379" s="556">
        <f>G379-W379</f>
        <v/>
      </c>
      <c r="S379" s="523" t="n">
        <v>44581</v>
      </c>
      <c r="T379" s="522" t="inlineStr">
        <is>
          <t>59011617</t>
        </is>
      </c>
      <c r="U379" s="522" t="inlineStr">
        <is>
          <t>L001-901905215</t>
        </is>
      </c>
      <c r="V379" s="522" t="inlineStr">
        <is>
          <t>វីអ៊ីស៊ិន (ខេមបូឌា) អ៊ិនដាសស្ទ្រី ឯ.ក</t>
        </is>
      </c>
      <c r="W379" s="556" t="n">
        <v>110311</v>
      </c>
    </row>
    <row r="380">
      <c r="A380" s="521" t="n">
        <v>372</v>
      </c>
      <c r="B380" s="522" t="inlineStr">
        <is>
          <t>Service Fee</t>
        </is>
      </c>
      <c r="C380" s="522" t="inlineStr">
        <is>
          <t>ប្យួរ៉ូ វេរីតាស (ខេមបូឌា) លីមីធីត</t>
        </is>
      </c>
      <c r="D380" s="522" t="inlineStr">
        <is>
          <t>L001-107024462</t>
        </is>
      </c>
      <c r="E380" s="521" t="inlineStr">
        <is>
          <t>59011636</t>
        </is>
      </c>
      <c r="F380" s="523" t="n">
        <v>44582</v>
      </c>
      <c r="G380" s="556" t="n">
        <v>220513</v>
      </c>
      <c r="I380" s="521">
        <f>G380</f>
        <v/>
      </c>
      <c r="K380" s="521">
        <f>I380-G380</f>
        <v/>
      </c>
      <c r="M380" s="522" t="inlineStr">
        <is>
          <t>59011636</t>
        </is>
      </c>
      <c r="N380" s="522" t="inlineStr">
        <is>
          <t>59011636</t>
        </is>
      </c>
      <c r="O380" s="521">
        <f>M380=N380</f>
        <v/>
      </c>
      <c r="P380" s="521">
        <f>AND(MONTH(F380)=MONTH(S380), YEAR(F380)=YEAR(S380))</f>
        <v/>
      </c>
      <c r="Q380" s="521">
        <f>U380="L001-901905215"</f>
        <v/>
      </c>
      <c r="R380" s="556">
        <f>G380-W380</f>
        <v/>
      </c>
      <c r="S380" s="523" t="n">
        <v>44582</v>
      </c>
      <c r="T380" s="522" t="inlineStr">
        <is>
          <t>59011636</t>
        </is>
      </c>
      <c r="U380" s="522" t="inlineStr">
        <is>
          <t>L001-901905215</t>
        </is>
      </c>
      <c r="V380" s="522" t="inlineStr">
        <is>
          <t>វីអ៊ីស៊ិន (ខេមបូឌា) អ៊ិនដាសស្ទ្រី ឯ.ក</t>
        </is>
      </c>
      <c r="W380" s="556" t="n">
        <v>220513</v>
      </c>
    </row>
    <row r="381">
      <c r="A381" s="521" t="n">
        <v>373</v>
      </c>
      <c r="B381" s="522" t="inlineStr">
        <is>
          <t>Service Fee</t>
        </is>
      </c>
      <c r="C381" s="522" t="inlineStr">
        <is>
          <t>ប្យួរ៉ូ វេរីតាស (ខេមបូឌា) លីមីធីត</t>
        </is>
      </c>
      <c r="D381" s="522" t="inlineStr">
        <is>
          <t>L001-107024462</t>
        </is>
      </c>
      <c r="E381" s="521" t="inlineStr">
        <is>
          <t>59011641</t>
        </is>
      </c>
      <c r="F381" s="523" t="n">
        <v>44583</v>
      </c>
      <c r="G381" s="556" t="n">
        <v>55130</v>
      </c>
      <c r="I381" s="521">
        <f>G381</f>
        <v/>
      </c>
      <c r="K381" s="521">
        <f>I381-G381</f>
        <v/>
      </c>
      <c r="M381" s="522" t="inlineStr">
        <is>
          <t>59011641</t>
        </is>
      </c>
      <c r="N381" s="522" t="inlineStr">
        <is>
          <t>59011641</t>
        </is>
      </c>
      <c r="O381" s="521">
        <f>M381=N381</f>
        <v/>
      </c>
      <c r="P381" s="521">
        <f>AND(MONTH(F381)=MONTH(S381), YEAR(F381)=YEAR(S381))</f>
        <v/>
      </c>
      <c r="Q381" s="521">
        <f>U381="L001-901905215"</f>
        <v/>
      </c>
      <c r="R381" s="556">
        <f>G381-W381</f>
        <v/>
      </c>
      <c r="S381" s="523" t="n">
        <v>44583</v>
      </c>
      <c r="T381" s="522" t="inlineStr">
        <is>
          <t>59011641</t>
        </is>
      </c>
      <c r="U381" s="522" t="inlineStr">
        <is>
          <t>L001-901905215</t>
        </is>
      </c>
      <c r="V381" s="522" t="inlineStr">
        <is>
          <t>វីអ៊ីស៊ិន (ខេមបូឌា) អ៊ិនដាសស្ទ្រី ឯ.ក</t>
        </is>
      </c>
      <c r="W381" s="556" t="n">
        <v>55130</v>
      </c>
    </row>
    <row r="382">
      <c r="A382" s="521" t="n">
        <v>374</v>
      </c>
      <c r="B382" s="522" t="inlineStr">
        <is>
          <t>Service Fee</t>
        </is>
      </c>
      <c r="C382" s="522" t="inlineStr">
        <is>
          <t>ប្យួរ៉ូ វេរីតាស (ខេមបូឌា) លីមីធីត</t>
        </is>
      </c>
      <c r="D382" s="522" t="inlineStr">
        <is>
          <t>L001-107024462</t>
        </is>
      </c>
      <c r="E382" s="521" t="inlineStr">
        <is>
          <t>59011657</t>
        </is>
      </c>
      <c r="F382" s="523" t="n">
        <v>44585</v>
      </c>
      <c r="G382" s="556" t="n">
        <v>55116</v>
      </c>
      <c r="I382" s="521">
        <f>G382</f>
        <v/>
      </c>
      <c r="K382" s="521">
        <f>I382-G382</f>
        <v/>
      </c>
      <c r="M382" s="522" t="inlineStr">
        <is>
          <t>59011657</t>
        </is>
      </c>
      <c r="N382" s="522" t="inlineStr">
        <is>
          <t>59011657</t>
        </is>
      </c>
      <c r="O382" s="521">
        <f>M382=N382</f>
        <v/>
      </c>
      <c r="P382" s="521">
        <f>AND(MONTH(F382)=MONTH(S382), YEAR(F382)=YEAR(S382))</f>
        <v/>
      </c>
      <c r="Q382" s="521">
        <f>U382="L001-901905215"</f>
        <v/>
      </c>
      <c r="R382" s="556">
        <f>G382-W382</f>
        <v/>
      </c>
      <c r="S382" s="523" t="n">
        <v>44585</v>
      </c>
      <c r="T382" s="522" t="inlineStr">
        <is>
          <t>59011657</t>
        </is>
      </c>
      <c r="U382" s="522" t="inlineStr">
        <is>
          <t>L001-901905215</t>
        </is>
      </c>
      <c r="V382" s="522" t="inlineStr">
        <is>
          <t>វីអ៊ីស៊ិន (ខេមបូឌា) អ៊ិនដាសស្ទ្រី ឯ.ក</t>
        </is>
      </c>
      <c r="W382" s="556" t="n">
        <v>55117</v>
      </c>
    </row>
    <row r="383">
      <c r="A383" s="521" t="n">
        <v>375</v>
      </c>
      <c r="B383" s="522" t="inlineStr">
        <is>
          <t>Service Fee</t>
        </is>
      </c>
      <c r="C383" s="522" t="inlineStr">
        <is>
          <t>ប្យួរ៉ូ វេរីតាស (ខេមបូឌា) លីមីធីត</t>
        </is>
      </c>
      <c r="D383" s="522" t="inlineStr">
        <is>
          <t>L001-107024462</t>
        </is>
      </c>
      <c r="E383" s="521" t="inlineStr">
        <is>
          <t>59011733</t>
        </is>
      </c>
      <c r="F383" s="523" t="n">
        <v>44590</v>
      </c>
      <c r="G383" s="556" t="n">
        <v>165224</v>
      </c>
      <c r="I383" s="521">
        <f>G383</f>
        <v/>
      </c>
      <c r="K383" s="521">
        <f>I383-G383</f>
        <v/>
      </c>
      <c r="M383" s="522" t="inlineStr">
        <is>
          <t>59011733</t>
        </is>
      </c>
      <c r="N383" s="522" t="inlineStr">
        <is>
          <t>59011733</t>
        </is>
      </c>
      <c r="O383" s="521">
        <f>M383=N383</f>
        <v/>
      </c>
      <c r="P383" s="521">
        <f>AND(MONTH(F383)=MONTH(S383), YEAR(F383)=YEAR(S383))</f>
        <v/>
      </c>
      <c r="Q383" s="521">
        <f>U383="L001-901905215"</f>
        <v/>
      </c>
      <c r="R383" s="556">
        <f>G383-W383</f>
        <v/>
      </c>
      <c r="S383" s="523" t="n">
        <v>44590</v>
      </c>
      <c r="T383" s="522" t="inlineStr">
        <is>
          <t>59011733</t>
        </is>
      </c>
      <c r="U383" s="522" t="inlineStr">
        <is>
          <t>L001-901905215</t>
        </is>
      </c>
      <c r="V383" s="522" t="inlineStr">
        <is>
          <t>វីអ៊ីស៊ិន (ខេមបូឌា) អ៊ិនដាសស្ទ្រី ឯ.ក</t>
        </is>
      </c>
      <c r="W383" s="556" t="n">
        <v>165224</v>
      </c>
    </row>
    <row r="384">
      <c r="A384" s="521" t="n">
        <v>376</v>
      </c>
      <c r="B384" s="522" t="inlineStr">
        <is>
          <t>Clearance &amp; Trucking Fee</t>
        </is>
      </c>
      <c r="C384" s="522" t="inlineStr">
        <is>
          <t>56ប៊ី-លីង សឹបផ្លាយ ឆេន មេនេចម៉ិន ឯ.ក</t>
        </is>
      </c>
      <c r="D384" s="522" t="inlineStr">
        <is>
          <t>K004-902004795</t>
        </is>
      </c>
      <c r="E384" s="521" t="inlineStr">
        <is>
          <t>TI2023-0039</t>
        </is>
      </c>
      <c r="F384" s="523" t="n">
        <v>44939</v>
      </c>
      <c r="G384" s="556" t="n">
        <v>489804</v>
      </c>
      <c r="I384" s="521">
        <f>G384</f>
        <v/>
      </c>
      <c r="K384" s="521">
        <f>I384-G384</f>
        <v/>
      </c>
      <c r="M384" s="522" t="inlineStr">
        <is>
          <t>TI20230039</t>
        </is>
      </c>
      <c r="N384" s="522" t="inlineStr">
        <is>
          <t>TI20230039</t>
        </is>
      </c>
      <c r="O384" s="521">
        <f>M384=N384</f>
        <v/>
      </c>
      <c r="P384" s="521">
        <f>AND(MONTH(F384)=MONTH(S384), YEAR(F384)=YEAR(S384))</f>
        <v/>
      </c>
      <c r="Q384" s="521">
        <f>U384="L001-901905215"</f>
        <v/>
      </c>
      <c r="R384" s="556">
        <f>G384-W384</f>
        <v/>
      </c>
      <c r="S384" s="523" t="n">
        <v>44939</v>
      </c>
      <c r="T384" s="522" t="inlineStr">
        <is>
          <t>TI2023-0039</t>
        </is>
      </c>
      <c r="U384" s="522" t="inlineStr">
        <is>
          <t>L001-901905215</t>
        </is>
      </c>
      <c r="V384" s="522" t="inlineStr">
        <is>
          <t>វីអ៊ីស៊ិន (ខេមបូឌា) អ៊ិនដាសស្ទ្រី ឯ.ក</t>
        </is>
      </c>
      <c r="W384" s="556" t="n">
        <v>489804</v>
      </c>
    </row>
    <row r="385">
      <c r="A385" s="521" t="n">
        <v>377</v>
      </c>
      <c r="B385" s="522" t="inlineStr">
        <is>
          <t>Express Fee</t>
        </is>
      </c>
      <c r="C385" s="522" t="inlineStr">
        <is>
          <t>ឌី អេច អិល អិចប្រេស (ខេមបូឌា)</t>
        </is>
      </c>
      <c r="D385" s="522" t="inlineStr">
        <is>
          <t>L001-100045197</t>
        </is>
      </c>
      <c r="E385" s="521" t="inlineStr">
        <is>
          <t>PNHR0008365</t>
        </is>
      </c>
      <c r="F385" s="523" t="n">
        <v>44945</v>
      </c>
      <c r="G385" s="556" t="n">
        <v>11212</v>
      </c>
      <c r="I385" s="521">
        <f>G385</f>
        <v/>
      </c>
      <c r="K385" s="521">
        <f>I385-G385</f>
        <v/>
      </c>
      <c r="M385" s="522" t="inlineStr">
        <is>
          <t>PNHR0008365</t>
        </is>
      </c>
      <c r="N385" s="522" t="inlineStr"/>
      <c r="O385" s="521">
        <f>M385=N385</f>
        <v/>
      </c>
      <c r="P385" s="521">
        <f>AND(MONTH(F385)=MONTH(S385), YEAR(F385)=YEAR(S385))</f>
        <v/>
      </c>
      <c r="Q385" s="521">
        <f>U385="L001-901905215"</f>
        <v/>
      </c>
      <c r="R385" s="556">
        <f>G385-W385</f>
        <v/>
      </c>
      <c r="S385" s="521" t="n"/>
      <c r="T385" s="522" t="n"/>
      <c r="U385" s="522" t="n"/>
      <c r="V385" s="522" t="n"/>
      <c r="W385" s="521" t="n"/>
    </row>
    <row r="386">
      <c r="A386" s="521" t="n">
        <v>378</v>
      </c>
      <c r="B386" s="522" t="inlineStr">
        <is>
          <t>Express Fee</t>
        </is>
      </c>
      <c r="C386" s="522" t="inlineStr">
        <is>
          <t>ឌី អេច អិល អិចប្រេស (ខេមបូឌា)</t>
        </is>
      </c>
      <c r="D386" s="522" t="inlineStr">
        <is>
          <t>L001-100045197</t>
        </is>
      </c>
      <c r="E386" s="521" t="inlineStr">
        <is>
          <t>PNHR000449603</t>
        </is>
      </c>
      <c r="F386" s="523" t="n">
        <v>44957</v>
      </c>
      <c r="G386" s="556" t="n">
        <v>33480</v>
      </c>
      <c r="I386" s="521">
        <f>G386</f>
        <v/>
      </c>
      <c r="K386" s="521">
        <f>I386-G386</f>
        <v/>
      </c>
      <c r="M386" s="522" t="inlineStr">
        <is>
          <t>PNHR000449603</t>
        </is>
      </c>
      <c r="N386" s="522" t="inlineStr">
        <is>
          <t>PNHR000449603</t>
        </is>
      </c>
      <c r="O386" s="521">
        <f>M386=N386</f>
        <v/>
      </c>
      <c r="P386" s="521">
        <f>AND(MONTH(F386)=MONTH(S386), YEAR(F386)=YEAR(S386))</f>
        <v/>
      </c>
      <c r="Q386" s="521">
        <f>U386="L001-901905215"</f>
        <v/>
      </c>
      <c r="R386" s="556">
        <f>G386-W386</f>
        <v/>
      </c>
      <c r="S386" s="523" t="n">
        <v>44957</v>
      </c>
      <c r="T386" s="522" t="inlineStr">
        <is>
          <t>PNHR000449603</t>
        </is>
      </c>
      <c r="U386" s="522" t="inlineStr">
        <is>
          <t>L001-901905215</t>
        </is>
      </c>
      <c r="V386" s="522" t="inlineStr">
        <is>
          <t>វីអ៊ីស៊ិន (ខេមបូឌា) អ៊ិនដាសស្ទ្រី ឯ.ក</t>
        </is>
      </c>
      <c r="W386" s="556" t="n">
        <v>33481</v>
      </c>
    </row>
    <row r="387">
      <c r="A387" s="521" t="n">
        <v>379</v>
      </c>
      <c r="B387" s="522" t="inlineStr">
        <is>
          <t>Express Fee</t>
        </is>
      </c>
      <c r="C387" s="522" t="inlineStr">
        <is>
          <t>ឌី អេច អិល អិចប្រេស (ខេមបូឌា)</t>
        </is>
      </c>
      <c r="D387" s="522" t="inlineStr">
        <is>
          <t>L001-100045197</t>
        </is>
      </c>
      <c r="E387" s="521" t="inlineStr">
        <is>
          <t>PNHR000449020</t>
        </is>
      </c>
      <c r="F387" s="523" t="n">
        <v>44952</v>
      </c>
      <c r="G387" s="556" t="n">
        <v>37415</v>
      </c>
      <c r="I387" s="521">
        <f>G387</f>
        <v/>
      </c>
      <c r="K387" s="521">
        <f>I387-G387</f>
        <v/>
      </c>
      <c r="M387" s="522" t="inlineStr">
        <is>
          <t>PNHR000449020</t>
        </is>
      </c>
      <c r="N387" s="522" t="inlineStr">
        <is>
          <t>PNHR000449020</t>
        </is>
      </c>
      <c r="O387" s="521">
        <f>M387=N387</f>
        <v/>
      </c>
      <c r="P387" s="521">
        <f>AND(MONTH(F387)=MONTH(S387), YEAR(F387)=YEAR(S387))</f>
        <v/>
      </c>
      <c r="Q387" s="521">
        <f>U387="L001-901905215"</f>
        <v/>
      </c>
      <c r="R387" s="556">
        <f>G387-W387</f>
        <v/>
      </c>
      <c r="S387" s="523" t="n">
        <v>44952</v>
      </c>
      <c r="T387" s="522" t="inlineStr">
        <is>
          <t>PNHR000449020</t>
        </is>
      </c>
      <c r="U387" s="522" t="inlineStr">
        <is>
          <t>L001-901905215</t>
        </is>
      </c>
      <c r="V387" s="522" t="inlineStr">
        <is>
          <t>វីអ៊ីស៊ិន (ខេមបូឌា) អ៊ិនដាសស្ទ្រី ឯ.ក</t>
        </is>
      </c>
      <c r="W387" s="556" t="n">
        <v>37415</v>
      </c>
    </row>
    <row r="388">
      <c r="A388" s="521" t="n">
        <v>380</v>
      </c>
      <c r="B388" s="522" t="inlineStr">
        <is>
          <t>Express Fee</t>
        </is>
      </c>
      <c r="C388" s="522" t="inlineStr">
        <is>
          <t>ឌី អេច អិល អិចប្រេស (ខេមបូឌា)</t>
        </is>
      </c>
      <c r="D388" s="522" t="inlineStr">
        <is>
          <t>L001-100045197</t>
        </is>
      </c>
      <c r="E388" s="521" t="inlineStr">
        <is>
          <t>PNHR000447694</t>
        </is>
      </c>
      <c r="F388" s="523" t="n">
        <v>44938</v>
      </c>
      <c r="G388" s="556" t="n">
        <v>12575</v>
      </c>
      <c r="I388" s="521">
        <f>G388</f>
        <v/>
      </c>
      <c r="K388" s="521">
        <f>I388-G388</f>
        <v/>
      </c>
      <c r="M388" s="522" t="inlineStr">
        <is>
          <t>PNHR000447694</t>
        </is>
      </c>
      <c r="N388" s="522" t="inlineStr">
        <is>
          <t>PNHR000447694</t>
        </is>
      </c>
      <c r="O388" s="521">
        <f>M388=N388</f>
        <v/>
      </c>
      <c r="P388" s="521">
        <f>AND(MONTH(F388)=MONTH(S388), YEAR(F388)=YEAR(S388))</f>
        <v/>
      </c>
      <c r="Q388" s="521">
        <f>U388="L001-901905215"</f>
        <v/>
      </c>
      <c r="R388" s="556">
        <f>G388-W388</f>
        <v/>
      </c>
      <c r="S388" s="523" t="n">
        <v>44938</v>
      </c>
      <c r="T388" s="522" t="inlineStr">
        <is>
          <t>PNHR000447694</t>
        </is>
      </c>
      <c r="U388" s="522" t="inlineStr">
        <is>
          <t>L001-901905215</t>
        </is>
      </c>
      <c r="V388" s="522" t="inlineStr">
        <is>
          <t>វីអ៊ីស៊ិន (ខេមបូឌា) អ៊ិនដាសស្ទ្រី ឯ.ក</t>
        </is>
      </c>
      <c r="W388" s="556" t="n">
        <v>12577</v>
      </c>
    </row>
    <row r="389">
      <c r="A389" s="521" t="n">
        <v>381</v>
      </c>
      <c r="B389" s="522" t="inlineStr">
        <is>
          <t>Express Fee</t>
        </is>
      </c>
      <c r="C389" s="522" t="inlineStr">
        <is>
          <t>ឌី អេច អិល អិចប្រេស (ខេមបូឌា)</t>
        </is>
      </c>
      <c r="D389" s="522" t="inlineStr">
        <is>
          <t>L001-100045197</t>
        </is>
      </c>
      <c r="E389" s="521" t="inlineStr">
        <is>
          <t>PNHR00154405</t>
        </is>
      </c>
      <c r="F389" s="523" t="n">
        <v>44956</v>
      </c>
      <c r="G389" s="556" t="n">
        <v>8200</v>
      </c>
      <c r="I389" s="521">
        <f>G389</f>
        <v/>
      </c>
      <c r="K389" s="521">
        <f>I389-G389</f>
        <v/>
      </c>
      <c r="M389" s="522" t="inlineStr">
        <is>
          <t>PNHR00154405</t>
        </is>
      </c>
      <c r="N389" s="522" t="inlineStr"/>
      <c r="O389" s="521">
        <f>M389=N389</f>
        <v/>
      </c>
      <c r="P389" s="521">
        <f>AND(MONTH(F389)=MONTH(S389), YEAR(F389)=YEAR(S389))</f>
        <v/>
      </c>
      <c r="Q389" s="521">
        <f>U389="L001-901905215"</f>
        <v/>
      </c>
      <c r="R389" s="556">
        <f>G389-W389</f>
        <v/>
      </c>
      <c r="S389" s="521" t="n"/>
      <c r="T389" s="522" t="n"/>
      <c r="U389" s="522" t="n"/>
      <c r="V389" s="522" t="n"/>
      <c r="W389" s="521" t="n"/>
    </row>
    <row r="390">
      <c r="A390" s="521" t="n">
        <v>382</v>
      </c>
      <c r="B390" s="522" t="inlineStr">
        <is>
          <t>Express Fee</t>
        </is>
      </c>
      <c r="C390" s="522" t="inlineStr">
        <is>
          <t>ឌី អេច អិល អិចប្រេស (ខេមបូឌា)</t>
        </is>
      </c>
      <c r="D390" s="522" t="inlineStr">
        <is>
          <t>L001-100045197</t>
        </is>
      </c>
      <c r="E390" s="521" t="inlineStr">
        <is>
          <t>PNHR00154065</t>
        </is>
      </c>
      <c r="F390" s="523" t="n">
        <v>44949</v>
      </c>
      <c r="G390" s="556" t="n">
        <v>20644</v>
      </c>
      <c r="I390" s="521">
        <f>G390</f>
        <v/>
      </c>
      <c r="K390" s="521">
        <f>I390-G390</f>
        <v/>
      </c>
      <c r="M390" s="522" t="inlineStr">
        <is>
          <t>PNHR00154065</t>
        </is>
      </c>
      <c r="N390" s="522" t="inlineStr"/>
      <c r="O390" s="521">
        <f>M390=N390</f>
        <v/>
      </c>
      <c r="P390" s="521">
        <f>AND(MONTH(F390)=MONTH(S390), YEAR(F390)=YEAR(S390))</f>
        <v/>
      </c>
      <c r="Q390" s="521">
        <f>U390="L001-901905215"</f>
        <v/>
      </c>
      <c r="R390" s="556">
        <f>G390-W390</f>
        <v/>
      </c>
      <c r="S390" s="521" t="n"/>
      <c r="T390" s="522" t="n"/>
      <c r="U390" s="522" t="n"/>
      <c r="V390" s="522" t="n"/>
      <c r="W390" s="521" t="n"/>
    </row>
    <row r="391">
      <c r="A391" s="521" t="n">
        <v>383</v>
      </c>
      <c r="B391" s="522" t="inlineStr">
        <is>
          <t>Express Fee</t>
        </is>
      </c>
      <c r="C391" s="522" t="inlineStr">
        <is>
          <t>ឌី អេច អិល អិចប្រេស (ខេមបូឌា)</t>
        </is>
      </c>
      <c r="D391" s="522" t="inlineStr">
        <is>
          <t>L001-100045197</t>
        </is>
      </c>
      <c r="E391" s="521" t="inlineStr">
        <is>
          <t>PNHR00153256</t>
        </is>
      </c>
      <c r="F391" s="523" t="n">
        <v>44938</v>
      </c>
      <c r="G391" s="556" t="n">
        <v>16460</v>
      </c>
      <c r="I391" s="521">
        <f>G391</f>
        <v/>
      </c>
      <c r="K391" s="521">
        <f>I391-G391</f>
        <v/>
      </c>
      <c r="M391" s="522" t="inlineStr">
        <is>
          <t>PNHR00153256</t>
        </is>
      </c>
      <c r="N391" s="522" t="inlineStr"/>
      <c r="O391" s="521">
        <f>M391=N391</f>
        <v/>
      </c>
      <c r="P391" s="521">
        <f>AND(MONTH(F391)=MONTH(S391), YEAR(F391)=YEAR(S391))</f>
        <v/>
      </c>
      <c r="Q391" s="521">
        <f>U391="L001-901905215"</f>
        <v/>
      </c>
      <c r="R391" s="556">
        <f>G391-W391</f>
        <v/>
      </c>
      <c r="S391" s="521" t="n"/>
      <c r="T391" s="522" t="n"/>
      <c r="U391" s="522" t="n"/>
      <c r="V391" s="522" t="n"/>
      <c r="W391" s="521" t="n"/>
    </row>
    <row r="392">
      <c r="A392" s="521" t="n">
        <v>384</v>
      </c>
      <c r="B392" s="522" t="inlineStr">
        <is>
          <t>Express Fee</t>
        </is>
      </c>
      <c r="C392" s="522" t="inlineStr">
        <is>
          <t>ឌី អេច អិល អិចប្រេស (ខេមបូឌា)</t>
        </is>
      </c>
      <c r="D392" s="522" t="inlineStr">
        <is>
          <t>L001-100045197</t>
        </is>
      </c>
      <c r="E392" s="521" t="inlineStr">
        <is>
          <t>PNHR00152733</t>
        </is>
      </c>
      <c r="F392" s="523" t="n">
        <v>44927</v>
      </c>
      <c r="G392" s="556" t="n">
        <v>8236</v>
      </c>
      <c r="I392" s="521">
        <f>G392</f>
        <v/>
      </c>
      <c r="K392" s="521">
        <f>I392-G392</f>
        <v/>
      </c>
      <c r="M392" s="522" t="inlineStr">
        <is>
          <t>PNHR00152733</t>
        </is>
      </c>
      <c r="N392" s="522" t="inlineStr"/>
      <c r="O392" s="521">
        <f>M392=N392</f>
        <v/>
      </c>
      <c r="P392" s="521">
        <f>AND(MONTH(F392)=MONTH(S392), YEAR(F392)=YEAR(S392))</f>
        <v/>
      </c>
      <c r="Q392" s="521">
        <f>U392="L001-901905215"</f>
        <v/>
      </c>
      <c r="R392" s="556">
        <f>G392-W392</f>
        <v/>
      </c>
      <c r="S392" s="521" t="n"/>
      <c r="T392" s="522" t="n"/>
      <c r="U392" s="522" t="n"/>
      <c r="V392" s="522" t="n"/>
      <c r="W392" s="521" t="n"/>
    </row>
    <row r="393">
      <c r="A393" s="521" t="n">
        <v>385</v>
      </c>
      <c r="B393" s="522" t="inlineStr">
        <is>
          <t>Monthly Tax Declaration fee for Jan 2023 service</t>
        </is>
      </c>
      <c r="C393" s="522" t="inlineStr">
        <is>
          <t>យីងកឺ ខេម ថេក អ៊ែតវ៉ាយហ្សឺរី ឯ.ក</t>
        </is>
      </c>
      <c r="D393" s="522" t="inlineStr">
        <is>
          <t>K003-902005313</t>
        </is>
      </c>
      <c r="E393" s="521" t="inlineStr">
        <is>
          <t>YKT23-005</t>
        </is>
      </c>
      <c r="F393" s="523" t="n">
        <v>44927</v>
      </c>
      <c r="G393" s="556" t="n">
        <v>576380</v>
      </c>
      <c r="I393" s="521">
        <f>G393</f>
        <v/>
      </c>
      <c r="K393" s="521">
        <f>I393-G393</f>
        <v/>
      </c>
      <c r="M393" s="522" t="inlineStr">
        <is>
          <t>YKT23005</t>
        </is>
      </c>
      <c r="N393" s="522" t="inlineStr">
        <is>
          <t>YKT23005</t>
        </is>
      </c>
      <c r="O393" s="521">
        <f>M393=N393</f>
        <v/>
      </c>
      <c r="P393" s="521">
        <f>AND(MONTH(F393)=MONTH(S393), YEAR(F393)=YEAR(S393))</f>
        <v/>
      </c>
      <c r="Q393" s="521">
        <f>U393="L001-901905215"</f>
        <v/>
      </c>
      <c r="R393" s="556">
        <f>G393-W393</f>
        <v/>
      </c>
      <c r="S393" s="523" t="n">
        <v>44927</v>
      </c>
      <c r="T393" s="522" t="inlineStr">
        <is>
          <t>YKT23-005</t>
        </is>
      </c>
      <c r="U393" s="522" t="inlineStr">
        <is>
          <t>L001-901905215</t>
        </is>
      </c>
      <c r="V393" s="522" t="inlineStr">
        <is>
          <t>វីអ៊ីស៊ិន (ខេមបូឌា) អ៊ិនដាសស្ទ្រី ឯ.ក</t>
        </is>
      </c>
      <c r="W393" s="556" t="n">
        <v>576380</v>
      </c>
    </row>
    <row r="394">
      <c r="A394" s="521" t="n">
        <v>386</v>
      </c>
      <c r="B394" s="522" t="inlineStr">
        <is>
          <t>PELLTE EPE</t>
        </is>
      </c>
      <c r="C394" s="522" t="inlineStr">
        <is>
          <t>យ័ន សីន តាយ ឯ.ក</t>
        </is>
      </c>
      <c r="D394" s="522" t="inlineStr">
        <is>
          <t>L001-902104347</t>
        </is>
      </c>
      <c r="E394" s="521" t="inlineStr">
        <is>
          <t>000018</t>
        </is>
      </c>
      <c r="F394" s="523" t="n">
        <v>44956</v>
      </c>
      <c r="G394" s="556" t="n">
        <v>204999</v>
      </c>
      <c r="I394" s="521">
        <f>G394</f>
        <v/>
      </c>
      <c r="K394" s="521">
        <f>I394-G394</f>
        <v/>
      </c>
      <c r="M394" s="522" t="inlineStr">
        <is>
          <t>000018</t>
        </is>
      </c>
      <c r="N394" s="522" t="inlineStr">
        <is>
          <t>000018</t>
        </is>
      </c>
      <c r="O394" s="521">
        <f>M394=N394</f>
        <v/>
      </c>
      <c r="P394" s="521">
        <f>AND(MONTH(F394)=MONTH(S394), YEAR(F394)=YEAR(S394))</f>
        <v/>
      </c>
      <c r="Q394" s="521">
        <f>U394="L001-901905215"</f>
        <v/>
      </c>
      <c r="R394" s="556">
        <f>G394-W394</f>
        <v/>
      </c>
      <c r="S394" s="523" t="n">
        <v>44956</v>
      </c>
      <c r="T394" s="522" t="inlineStr">
        <is>
          <t>000018</t>
        </is>
      </c>
      <c r="U394" s="522" t="inlineStr">
        <is>
          <t>L001-901905215</t>
        </is>
      </c>
      <c r="V394" s="522" t="inlineStr">
        <is>
          <t>វីអ៊ីស៊ិន (ខេមបូឌា) អ៊ិនដាសស្ទ្រី ឯ.ក</t>
        </is>
      </c>
      <c r="W394" s="556" t="n">
        <v>204999</v>
      </c>
    </row>
    <row r="395">
      <c r="A395" s="521" t="n">
        <v>387</v>
      </c>
      <c r="B395" s="522" t="inlineStr">
        <is>
          <t>Cartons</t>
        </is>
      </c>
      <c r="C395" s="522" t="inlineStr">
        <is>
          <t>យី មីង ភែកឃីជីង ឯ.ក</t>
        </is>
      </c>
      <c r="D395" s="522" t="inlineStr">
        <is>
          <t>B108-902101335</t>
        </is>
      </c>
      <c r="E395" s="521" t="inlineStr">
        <is>
          <t>YM-0002</t>
        </is>
      </c>
      <c r="F395" s="523" t="n">
        <v>44957</v>
      </c>
      <c r="G395" s="556" t="n">
        <v>5443982</v>
      </c>
      <c r="I395" s="521">
        <f>G395</f>
        <v/>
      </c>
      <c r="K395" s="521">
        <f>I395-G395</f>
        <v/>
      </c>
      <c r="M395" s="522" t="inlineStr">
        <is>
          <t>YM0002</t>
        </is>
      </c>
      <c r="N395" s="522" t="inlineStr">
        <is>
          <t>YM0002</t>
        </is>
      </c>
      <c r="O395" s="521">
        <f>M395=N395</f>
        <v/>
      </c>
      <c r="P395" s="521">
        <f>AND(MONTH(F395)=MONTH(S395), YEAR(F395)=YEAR(S395))</f>
        <v/>
      </c>
      <c r="Q395" s="521">
        <f>U395="L001-901905215"</f>
        <v/>
      </c>
      <c r="R395" s="556">
        <f>G395-W395</f>
        <v/>
      </c>
      <c r="S395" s="523" t="n">
        <v>44439</v>
      </c>
      <c r="T395" s="522" t="inlineStr">
        <is>
          <t>YM-0002</t>
        </is>
      </c>
      <c r="U395" s="522" t="inlineStr">
        <is>
          <t>L001-901905215</t>
        </is>
      </c>
      <c r="V395" s="522" t="inlineStr">
        <is>
          <t>វីអ៊ីស៊ិន (ខេមបូឌា) អ៊ិនដាសស្ទ្រី ឯ.ក</t>
        </is>
      </c>
      <c r="W395" s="556" t="n">
        <v>5531723</v>
      </c>
    </row>
    <row r="396">
      <c r="A396" s="521" t="n">
        <v>388</v>
      </c>
      <c r="B396" s="522" t="inlineStr">
        <is>
          <t>Paper Label</t>
        </is>
      </c>
      <c r="C396" s="522" t="inlineStr">
        <is>
          <t>ស៊ីន ហ្វី យ៉ាង ព្រីនធីង &amp; អិកសេសសឺរី ឯ.ក</t>
        </is>
      </c>
      <c r="D396" s="522" t="inlineStr">
        <is>
          <t>K010-901906822</t>
        </is>
      </c>
      <c r="E396" s="521" t="inlineStr">
        <is>
          <t>XFY-YD2023015</t>
        </is>
      </c>
      <c r="F396" s="523" t="n">
        <v>44957</v>
      </c>
      <c r="G396" s="556" t="n">
        <v>204170</v>
      </c>
      <c r="I396" s="521">
        <f>G396</f>
        <v/>
      </c>
      <c r="K396" s="521">
        <f>I396-G396</f>
        <v/>
      </c>
      <c r="M396" s="522" t="inlineStr">
        <is>
          <t>XFYYD2023015</t>
        </is>
      </c>
      <c r="N396" s="522" t="inlineStr">
        <is>
          <t>XFYYD2023015</t>
        </is>
      </c>
      <c r="O396" s="521">
        <f>M396=N396</f>
        <v/>
      </c>
      <c r="P396" s="521">
        <f>AND(MONTH(F396)=MONTH(S396), YEAR(F396)=YEAR(S396))</f>
        <v/>
      </c>
      <c r="Q396" s="521">
        <f>U396="L001-901905215"</f>
        <v/>
      </c>
      <c r="R396" s="556">
        <f>G396-W396</f>
        <v/>
      </c>
      <c r="S396" s="523" t="n">
        <v>44957</v>
      </c>
      <c r="T396" s="522" t="inlineStr">
        <is>
          <t>XFY-YD2023015</t>
        </is>
      </c>
      <c r="U396" s="522" t="inlineStr">
        <is>
          <t>L001-901905215</t>
        </is>
      </c>
      <c r="V396" s="522" t="inlineStr">
        <is>
          <t>វីអ៊ីស៊ិន (ខេមបូឌា) អ៊ិនដាសស្ទ្រី ឯ.ក</t>
        </is>
      </c>
      <c r="W396" s="556" t="n">
        <v>204170</v>
      </c>
    </row>
    <row r="397">
      <c r="A397" s="521" t="n">
        <v>389</v>
      </c>
      <c r="B397" s="522" t="inlineStr">
        <is>
          <t>Colors Box and Paper Card</t>
        </is>
      </c>
      <c r="C397" s="522" t="inlineStr">
        <is>
          <t>វីង ចេង ភែកឃីជីង ឯ.ក</t>
        </is>
      </c>
      <c r="D397" s="522" t="inlineStr">
        <is>
          <t>L001-902102915</t>
        </is>
      </c>
      <c r="E397" s="521" t="inlineStr">
        <is>
          <t>TI0072</t>
        </is>
      </c>
      <c r="F397" s="523" t="n">
        <v>44957</v>
      </c>
      <c r="G397" s="556" t="n">
        <v>4910415</v>
      </c>
      <c r="I397" s="521">
        <f>G397</f>
        <v/>
      </c>
      <c r="K397" s="521">
        <f>I397-G397</f>
        <v/>
      </c>
      <c r="M397" s="522" t="inlineStr">
        <is>
          <t>TI0072</t>
        </is>
      </c>
      <c r="N397" s="522" t="inlineStr">
        <is>
          <t>TI0072</t>
        </is>
      </c>
      <c r="O397" s="521">
        <f>M397=N397</f>
        <v/>
      </c>
      <c r="P397" s="521">
        <f>AND(MONTH(F397)=MONTH(S397), YEAR(F397)=YEAR(S397))</f>
        <v/>
      </c>
      <c r="Q397" s="521">
        <f>U397="L001-901905215"</f>
        <v/>
      </c>
      <c r="R397" s="556">
        <f>G397-W397</f>
        <v/>
      </c>
      <c r="S397" s="523" t="n">
        <v>44957</v>
      </c>
      <c r="T397" s="522" t="inlineStr">
        <is>
          <t>TI0072</t>
        </is>
      </c>
      <c r="U397" s="522" t="inlineStr">
        <is>
          <t>L001-901905215</t>
        </is>
      </c>
      <c r="V397" s="522" t="inlineStr">
        <is>
          <t>វីអ៊ីស៊ិន (ខេមបូឌា) អ៊ិនដាសស្ទ្រី ឯ.ក</t>
        </is>
      </c>
      <c r="W397" s="556" t="n">
        <v>4910417</v>
      </c>
    </row>
    <row r="398">
      <c r="A398" s="521" t="n">
        <v>390</v>
      </c>
      <c r="B398" s="522" t="inlineStr">
        <is>
          <t>Carton Paper</t>
        </is>
      </c>
      <c r="C398" s="522" t="inlineStr">
        <is>
          <t>ស៊ីងហ្គាពួរ កាតុង (ខេមបូឌា)</t>
        </is>
      </c>
      <c r="D398" s="522" t="inlineStr">
        <is>
          <t>L001-100121322</t>
        </is>
      </c>
      <c r="E398" s="521" t="inlineStr">
        <is>
          <t>V0020572</t>
        </is>
      </c>
      <c r="F398" s="523" t="n">
        <v>44930</v>
      </c>
      <c r="G398" s="556" t="n">
        <v>833895</v>
      </c>
      <c r="I398" s="521">
        <f>G398</f>
        <v/>
      </c>
      <c r="K398" s="521">
        <f>I398-G398</f>
        <v/>
      </c>
      <c r="M398" s="522" t="inlineStr">
        <is>
          <t>V0020572</t>
        </is>
      </c>
      <c r="N398" s="522" t="inlineStr">
        <is>
          <t>V0020572</t>
        </is>
      </c>
      <c r="O398" s="521">
        <f>M398=N398</f>
        <v/>
      </c>
      <c r="P398" s="521">
        <f>AND(MONTH(F398)=MONTH(S398), YEAR(F398)=YEAR(S398))</f>
        <v/>
      </c>
      <c r="Q398" s="521">
        <f>U398="L001-901905215"</f>
        <v/>
      </c>
      <c r="R398" s="556">
        <f>G398-W398</f>
        <v/>
      </c>
      <c r="S398" s="523" t="n">
        <v>44930</v>
      </c>
      <c r="T398" s="522" t="inlineStr">
        <is>
          <t>V0020572</t>
        </is>
      </c>
      <c r="U398" s="522" t="inlineStr">
        <is>
          <t>L001-901905215</t>
        </is>
      </c>
      <c r="V398" s="522" t="inlineStr">
        <is>
          <t>វីអ៊ីស៊ិន (ខេមបូឌា) អ៊ិនដាសស្ទ្រី ឯ.ក</t>
        </is>
      </c>
      <c r="W398" s="556" t="n">
        <v>831060</v>
      </c>
    </row>
    <row r="399">
      <c r="A399" s="521" t="n">
        <v>391</v>
      </c>
      <c r="B399" s="522" t="inlineStr">
        <is>
          <t>Carton Paper</t>
        </is>
      </c>
      <c r="C399" s="522" t="inlineStr">
        <is>
          <t>ស៊ីងហ្គាពួរ កាតុង (ខេមបូឌា)</t>
        </is>
      </c>
      <c r="D399" s="522" t="inlineStr">
        <is>
          <t>L001-100121322</t>
        </is>
      </c>
      <c r="E399" s="521" t="inlineStr">
        <is>
          <t>V0020574</t>
        </is>
      </c>
      <c r="F399" s="523" t="n">
        <v>44931</v>
      </c>
      <c r="G399" s="556" t="n">
        <v>151769</v>
      </c>
      <c r="I399" s="521">
        <f>G399</f>
        <v/>
      </c>
      <c r="K399" s="521">
        <f>I399-G399</f>
        <v/>
      </c>
      <c r="M399" s="522" t="inlineStr">
        <is>
          <t>V0020574</t>
        </is>
      </c>
      <c r="N399" s="522" t="inlineStr">
        <is>
          <t>V0020574</t>
        </is>
      </c>
      <c r="O399" s="521">
        <f>M399=N399</f>
        <v/>
      </c>
      <c r="P399" s="521">
        <f>AND(MONTH(F399)=MONTH(S399), YEAR(F399)=YEAR(S399))</f>
        <v/>
      </c>
      <c r="Q399" s="521">
        <f>U399="L001-901905215"</f>
        <v/>
      </c>
      <c r="R399" s="556">
        <f>G399-W399</f>
        <v/>
      </c>
      <c r="S399" s="523" t="n">
        <v>44931</v>
      </c>
      <c r="T399" s="522" t="inlineStr">
        <is>
          <t>V0020574</t>
        </is>
      </c>
      <c r="U399" s="522" t="inlineStr">
        <is>
          <t>L001-901905215</t>
        </is>
      </c>
      <c r="V399" s="522" t="inlineStr">
        <is>
          <t>វីអ៊ីស៊ិន (ខេមបូឌា) អ៊ិនដាសស្ទ្រី ឯ.ក</t>
        </is>
      </c>
      <c r="W399" s="556" t="n">
        <v>151255</v>
      </c>
    </row>
    <row r="400">
      <c r="A400" s="521" t="n">
        <v>392</v>
      </c>
      <c r="B400" s="522" t="inlineStr">
        <is>
          <t>Carton Paper</t>
        </is>
      </c>
      <c r="C400" s="522" t="inlineStr">
        <is>
          <t>ស៊ីងហ្គាពួរ កាតុង (ខេមបូឌា)</t>
        </is>
      </c>
      <c r="D400" s="522" t="inlineStr">
        <is>
          <t>L001-100121322</t>
        </is>
      </c>
      <c r="E400" s="521" t="inlineStr">
        <is>
          <t>V0020628</t>
        </is>
      </c>
      <c r="F400" s="523" t="n">
        <v>44944</v>
      </c>
      <c r="G400" s="556" t="n">
        <v>10669</v>
      </c>
      <c r="I400" s="521">
        <f>G400</f>
        <v/>
      </c>
      <c r="K400" s="521">
        <f>I400-G400</f>
        <v/>
      </c>
      <c r="M400" s="522" t="inlineStr">
        <is>
          <t>V0020628</t>
        </is>
      </c>
      <c r="N400" s="522" t="inlineStr">
        <is>
          <t>V0020628</t>
        </is>
      </c>
      <c r="O400" s="521">
        <f>M400=N400</f>
        <v/>
      </c>
      <c r="P400" s="521">
        <f>AND(MONTH(F400)=MONTH(S400), YEAR(F400)=YEAR(S400))</f>
        <v/>
      </c>
      <c r="Q400" s="521">
        <f>U400="L001-901905215"</f>
        <v/>
      </c>
      <c r="R400" s="556">
        <f>G400-W400</f>
        <v/>
      </c>
      <c r="S400" s="523" t="n">
        <v>44944</v>
      </c>
      <c r="T400" s="522" t="inlineStr">
        <is>
          <t>V0020628</t>
        </is>
      </c>
      <c r="U400" s="522" t="inlineStr">
        <is>
          <t>L001-901905215</t>
        </is>
      </c>
      <c r="V400" s="522" t="inlineStr">
        <is>
          <t>វីអ៊ីស៊ិន (ខេមបូឌា) អ៊ិនដាសស្ទ្រី ឯ.ក</t>
        </is>
      </c>
      <c r="W400" s="556" t="n">
        <v>10637</v>
      </c>
    </row>
    <row r="401">
      <c r="A401" s="521" t="n">
        <v>393</v>
      </c>
      <c r="B401" s="522" t="inlineStr">
        <is>
          <t>Carton Paper</t>
        </is>
      </c>
      <c r="C401" s="522" t="inlineStr">
        <is>
          <t>ស៊ីងហ្គាពួរ កាតុង (ខេមបូឌា)</t>
        </is>
      </c>
      <c r="D401" s="522" t="inlineStr">
        <is>
          <t>L001-100121322</t>
        </is>
      </c>
      <c r="E401" s="521" t="inlineStr">
        <is>
          <t>V0020629</t>
        </is>
      </c>
      <c r="F401" s="523" t="n">
        <v>44944</v>
      </c>
      <c r="G401" s="556" t="n">
        <v>589444</v>
      </c>
      <c r="I401" s="521">
        <f>G401</f>
        <v/>
      </c>
      <c r="K401" s="521">
        <f>I401-G401</f>
        <v/>
      </c>
      <c r="M401" s="522" t="inlineStr">
        <is>
          <t>V0020629</t>
        </is>
      </c>
      <c r="N401" s="522" t="inlineStr">
        <is>
          <t>V0020629</t>
        </is>
      </c>
      <c r="O401" s="521">
        <f>M401=N401</f>
        <v/>
      </c>
      <c r="P401" s="521">
        <f>AND(MONTH(F401)=MONTH(S401), YEAR(F401)=YEAR(S401))</f>
        <v/>
      </c>
      <c r="Q401" s="521">
        <f>U401="L001-901905215"</f>
        <v/>
      </c>
      <c r="R401" s="556">
        <f>G401-W401</f>
        <v/>
      </c>
      <c r="S401" s="523" t="n">
        <v>44944</v>
      </c>
      <c r="T401" s="522" t="inlineStr">
        <is>
          <t>V0020629</t>
        </is>
      </c>
      <c r="U401" s="522" t="inlineStr">
        <is>
          <t>L001-901905215</t>
        </is>
      </c>
      <c r="V401" s="522" t="inlineStr">
        <is>
          <t>វីអ៊ីស៊ិន (ខេមបូឌា) អ៊ិនដាសស្ទ្រី ឯ.ក</t>
        </is>
      </c>
      <c r="W401" s="556" t="n">
        <v>587726</v>
      </c>
    </row>
    <row r="402">
      <c r="A402" s="521" t="n">
        <v>394</v>
      </c>
      <c r="B402" s="522" t="inlineStr">
        <is>
          <t>Carton Paper</t>
        </is>
      </c>
      <c r="C402" s="522" t="inlineStr">
        <is>
          <t>ស៊ីងហ្គាពួរ កាតុង (ខេមបូឌា)</t>
        </is>
      </c>
      <c r="D402" s="522" t="inlineStr">
        <is>
          <t>L001-100121322</t>
        </is>
      </c>
      <c r="E402" s="521" t="inlineStr">
        <is>
          <t>V0020630</t>
        </is>
      </c>
      <c r="F402" s="523" t="n">
        <v>44945</v>
      </c>
      <c r="G402" s="556" t="n">
        <v>605447</v>
      </c>
      <c r="I402" s="521">
        <f>G402</f>
        <v/>
      </c>
      <c r="K402" s="521">
        <f>I402-G402</f>
        <v/>
      </c>
      <c r="M402" s="522" t="inlineStr">
        <is>
          <t>V0020630</t>
        </is>
      </c>
      <c r="N402" s="522" t="inlineStr">
        <is>
          <t>V0020630</t>
        </is>
      </c>
      <c r="O402" s="521">
        <f>M402=N402</f>
        <v/>
      </c>
      <c r="P402" s="521">
        <f>AND(MONTH(F402)=MONTH(S402), YEAR(F402)=YEAR(S402))</f>
        <v/>
      </c>
      <c r="Q402" s="521">
        <f>U402="L001-901905215"</f>
        <v/>
      </c>
      <c r="R402" s="556">
        <f>G402-W402</f>
        <v/>
      </c>
      <c r="S402" s="523" t="n">
        <v>44945</v>
      </c>
      <c r="T402" s="522" t="inlineStr">
        <is>
          <t>V0020630</t>
        </is>
      </c>
      <c r="U402" s="522" t="inlineStr">
        <is>
          <t>L001-901905215</t>
        </is>
      </c>
      <c r="V402" s="522" t="inlineStr">
        <is>
          <t>វីអ៊ីស៊ិន (ខេមបូឌា) អ៊ិនដាសស្ទ្រី ឯ.ក</t>
        </is>
      </c>
      <c r="W402" s="556" t="n">
        <v>603683</v>
      </c>
    </row>
    <row r="403">
      <c r="A403" s="521" t="n">
        <v>395</v>
      </c>
      <c r="B403" s="522" t="inlineStr">
        <is>
          <t>Rental Machine</t>
        </is>
      </c>
      <c r="C403" s="522" t="inlineStr">
        <is>
          <t xml:space="preserve">អិនធីអិល តិចណូឡូជី </t>
        </is>
      </c>
      <c r="D403" s="522" t="inlineStr">
        <is>
          <t>K005-901900283</t>
        </is>
      </c>
      <c r="E403" s="521" t="inlineStr">
        <is>
          <t>NIL23-0262</t>
        </is>
      </c>
      <c r="F403" s="523" t="n">
        <v>44944</v>
      </c>
      <c r="G403" s="556" t="n">
        <v>20580</v>
      </c>
      <c r="I403" s="521">
        <f>G403</f>
        <v/>
      </c>
      <c r="K403" s="521">
        <f>I403-G403</f>
        <v/>
      </c>
      <c r="M403" s="522" t="inlineStr">
        <is>
          <t>NIL230262</t>
        </is>
      </c>
      <c r="N403" s="522" t="inlineStr"/>
      <c r="O403" s="521">
        <f>M403=N403</f>
        <v/>
      </c>
      <c r="P403" s="521">
        <f>AND(MONTH(F403)=MONTH(S403), YEAR(F403)=YEAR(S403))</f>
        <v/>
      </c>
      <c r="Q403" s="521">
        <f>U403="L001-901905215"</f>
        <v/>
      </c>
      <c r="R403" s="556">
        <f>G403-W403</f>
        <v/>
      </c>
      <c r="S403" s="521" t="n"/>
      <c r="T403" s="522" t="n"/>
      <c r="U403" s="522" t="n"/>
      <c r="V403" s="522" t="n"/>
      <c r="W403" s="521" t="n"/>
    </row>
    <row r="404">
      <c r="A404" s="521" t="n">
        <v>396</v>
      </c>
      <c r="B404" s="522" t="inlineStr">
        <is>
          <t>Poly Bag</t>
        </is>
      </c>
      <c r="C404" s="522" t="inlineStr">
        <is>
          <t>ហុង ហ៊ីង ភែកឃីជីង មេធៀរៀល ឯ.ក</t>
        </is>
      </c>
      <c r="D404" s="522" t="inlineStr">
        <is>
          <t>L001-901900945</t>
        </is>
      </c>
      <c r="E404" s="521" t="inlineStr">
        <is>
          <t>TI2023-000021</t>
        </is>
      </c>
      <c r="F404" s="523" t="n">
        <v>44957</v>
      </c>
      <c r="G404" s="556" t="n">
        <v>748994</v>
      </c>
      <c r="I404" s="521">
        <f>G404</f>
        <v/>
      </c>
      <c r="K404" s="521">
        <f>I404-G404</f>
        <v/>
      </c>
      <c r="M404" s="522" t="inlineStr">
        <is>
          <t>TI2023000021</t>
        </is>
      </c>
      <c r="N404" s="522" t="inlineStr"/>
      <c r="O404" s="521">
        <f>M404=N404</f>
        <v/>
      </c>
      <c r="P404" s="521">
        <f>AND(MONTH(F404)=MONTH(S404), YEAR(F404)=YEAR(S404))</f>
        <v/>
      </c>
      <c r="Q404" s="521">
        <f>U404="L001-901905215"</f>
        <v/>
      </c>
      <c r="R404" s="556">
        <f>G404-W404</f>
        <v/>
      </c>
      <c r="S404" s="521" t="n"/>
      <c r="T404" s="522" t="n"/>
      <c r="U404" s="522" t="n"/>
      <c r="V404" s="522" t="n"/>
      <c r="W404" s="521" t="n"/>
    </row>
    <row r="405">
      <c r="A405" s="521" t="n">
        <v>397</v>
      </c>
      <c r="B405" s="522" t="inlineStr">
        <is>
          <t>Carbon Dioxide</t>
        </is>
      </c>
      <c r="C405" s="522" t="inlineStr">
        <is>
          <t>ធីវីសីុ ហ្គាស សឹលូសិន</t>
        </is>
      </c>
      <c r="D405" s="522" t="inlineStr">
        <is>
          <t>K005-901501105</t>
        </is>
      </c>
      <c r="E405" s="521" t="inlineStr">
        <is>
          <t>2023-0194</t>
        </is>
      </c>
      <c r="F405" s="523" t="n">
        <v>44957</v>
      </c>
      <c r="G405" s="556" t="n">
        <v>5899910</v>
      </c>
      <c r="I405" s="521">
        <f>G405</f>
        <v/>
      </c>
      <c r="K405" s="521">
        <f>I405-G405</f>
        <v/>
      </c>
      <c r="M405" s="522" t="inlineStr">
        <is>
          <t>20230194</t>
        </is>
      </c>
      <c r="N405" s="522" t="inlineStr">
        <is>
          <t>20230194</t>
        </is>
      </c>
      <c r="O405" s="521">
        <f>M405=N405</f>
        <v/>
      </c>
      <c r="P405" s="521">
        <f>AND(MONTH(F405)=MONTH(S405), YEAR(F405)=YEAR(S405))</f>
        <v/>
      </c>
      <c r="Q405" s="521">
        <f>U405="L001-901905215"</f>
        <v/>
      </c>
      <c r="R405" s="556">
        <f>G405-W405</f>
        <v/>
      </c>
      <c r="S405" s="523" t="n">
        <v>44957</v>
      </c>
      <c r="T405" s="522" t="inlineStr">
        <is>
          <t>2023-0194</t>
        </is>
      </c>
      <c r="U405" s="522" t="inlineStr">
        <is>
          <t>L001-901905215</t>
        </is>
      </c>
      <c r="V405" s="522" t="inlineStr">
        <is>
          <t>វីអ៊ីស៊ិន (ខេមបូឌា) អ៊ិនដាសស្ទ្រី ឯ.ក</t>
        </is>
      </c>
      <c r="W405" s="556" t="n">
        <v>5899910</v>
      </c>
    </row>
    <row r="406">
      <c r="A406" s="521" t="n">
        <v>398</v>
      </c>
      <c r="B406" s="522" t="inlineStr">
        <is>
          <t>Building Rental and Management Fee for Jan 2022</t>
        </is>
      </c>
      <c r="C406" s="522" t="inlineStr">
        <is>
          <t>មេហ្គា លេបឹល &amp; ស្ទីកឃើរ (ខេមបូឌា)</t>
        </is>
      </c>
      <c r="D406" s="522" t="inlineStr">
        <is>
          <t>L001-100185983</t>
        </is>
      </c>
      <c r="E406" s="521" t="inlineStr">
        <is>
          <t>INV20230101</t>
        </is>
      </c>
      <c r="F406" s="523" t="n">
        <v>44927</v>
      </c>
      <c r="G406" s="556" t="n">
        <v>1558802</v>
      </c>
      <c r="I406" s="521">
        <f>G406</f>
        <v/>
      </c>
      <c r="K406" s="521">
        <f>I406-G406</f>
        <v/>
      </c>
      <c r="M406" s="522" t="inlineStr">
        <is>
          <t>INV20230101</t>
        </is>
      </c>
      <c r="N406" s="522" t="inlineStr">
        <is>
          <t>INV20230101</t>
        </is>
      </c>
      <c r="O406" s="521">
        <f>M406=N406</f>
        <v/>
      </c>
      <c r="P406" s="521">
        <f>AND(MONTH(F406)=MONTH(S406), YEAR(F406)=YEAR(S406))</f>
        <v/>
      </c>
      <c r="Q406" s="521">
        <f>U406="L001-901905215"</f>
        <v/>
      </c>
      <c r="R406" s="556">
        <f>G406-W406</f>
        <v/>
      </c>
      <c r="S406" s="523" t="n">
        <v>44928</v>
      </c>
      <c r="T406" s="522" t="inlineStr">
        <is>
          <t>INV20230101</t>
        </is>
      </c>
      <c r="U406" s="522" t="inlineStr">
        <is>
          <t>L001-901905215</t>
        </is>
      </c>
      <c r="V406" s="522" t="inlineStr">
        <is>
          <t>វីអ៊ីស៊ិន (ខេមបូឌា) អ៊ិនដាសស្ទ្រី ឯ.ក</t>
        </is>
      </c>
      <c r="W406" s="556" t="n">
        <v>1558802</v>
      </c>
    </row>
    <row r="407">
      <c r="A407" s="521" t="n">
        <v>399</v>
      </c>
      <c r="B407" s="522" t="inlineStr">
        <is>
          <t>Security Guard for Dec 2022</t>
        </is>
      </c>
      <c r="C407" s="522" t="inlineStr">
        <is>
          <t>អេសអេហ្វអាយ​ ស៊ីឃ្យួរឹធី ហ្វសស៍ អ៊ិនធើណេសិនណល ឯ.ក</t>
        </is>
      </c>
      <c r="D407" s="522" t="inlineStr">
        <is>
          <t>K010-901908100</t>
        </is>
      </c>
      <c r="E407" s="521" t="inlineStr">
        <is>
          <t>SFI2023/038</t>
        </is>
      </c>
      <c r="F407" s="523" t="n">
        <v>44950</v>
      </c>
      <c r="G407" s="556" t="n">
        <v>230440</v>
      </c>
      <c r="I407" s="521">
        <f>G407</f>
        <v/>
      </c>
      <c r="K407" s="521">
        <f>I407-G407</f>
        <v/>
      </c>
      <c r="M407" s="522" t="inlineStr">
        <is>
          <t>SFI2023038</t>
        </is>
      </c>
      <c r="N407" s="522" t="inlineStr">
        <is>
          <t>SFI2023038</t>
        </is>
      </c>
      <c r="O407" s="521">
        <f>M407=N407</f>
        <v/>
      </c>
      <c r="P407" s="521">
        <f>AND(MONTH(F407)=MONTH(S407), YEAR(F407)=YEAR(S407))</f>
        <v/>
      </c>
      <c r="Q407" s="521">
        <f>U407="L001-901905215"</f>
        <v/>
      </c>
      <c r="R407" s="556">
        <f>G407-W407</f>
        <v/>
      </c>
      <c r="S407" s="523" t="n">
        <v>44950</v>
      </c>
      <c r="T407" s="522" t="inlineStr">
        <is>
          <t>SFI2023/038</t>
        </is>
      </c>
      <c r="U407" s="522" t="inlineStr">
        <is>
          <t>L001-901905215</t>
        </is>
      </c>
      <c r="V407" s="522" t="inlineStr">
        <is>
          <t>វីអ៊ីស៊ិន (ខេមបូឌា) អ៊ិនដាសស្ទ្រី ឯ.ក</t>
        </is>
      </c>
      <c r="W407" s="556" t="n">
        <v>230440</v>
      </c>
    </row>
    <row r="408">
      <c r="A408" s="521" t="n">
        <v>400</v>
      </c>
      <c r="B408" s="522" t="inlineStr">
        <is>
          <t>Infrastructure Maintenance for Jan 2023</t>
        </is>
      </c>
      <c r="C408" s="522" t="inlineStr">
        <is>
          <t>ភ្នំពេញ អេសអ៊ីហ្សិត ភីអិលស៊ី</t>
        </is>
      </c>
      <c r="D408" s="522" t="inlineStr">
        <is>
          <t>L001-100046592</t>
        </is>
      </c>
      <c r="E408" s="521" t="inlineStr">
        <is>
          <t>2023-00147</t>
        </is>
      </c>
      <c r="F408" s="523" t="n">
        <v>44944</v>
      </c>
      <c r="G408" s="556" t="n">
        <v>166649</v>
      </c>
      <c r="I408" s="521">
        <f>G408</f>
        <v/>
      </c>
      <c r="K408" s="521">
        <f>I408-G408</f>
        <v/>
      </c>
      <c r="M408" s="522" t="inlineStr">
        <is>
          <t>202300147</t>
        </is>
      </c>
      <c r="N408" s="522" t="inlineStr">
        <is>
          <t>202300147</t>
        </is>
      </c>
      <c r="O408" s="521">
        <f>M408=N408</f>
        <v/>
      </c>
      <c r="P408" s="521">
        <f>AND(MONTH(F408)=MONTH(S408), YEAR(F408)=YEAR(S408))</f>
        <v/>
      </c>
      <c r="Q408" s="521">
        <f>U408="L001-901905215"</f>
        <v/>
      </c>
      <c r="R408" s="556">
        <f>G408-W408</f>
        <v/>
      </c>
      <c r="S408" s="523" t="n">
        <v>44944</v>
      </c>
      <c r="T408" s="522" t="inlineStr">
        <is>
          <t>2023-00147</t>
        </is>
      </c>
      <c r="U408" s="522" t="inlineStr">
        <is>
          <t>L001-901905215</t>
        </is>
      </c>
      <c r="V408" s="522" t="inlineStr">
        <is>
          <t>វីអ៊ីស៊ិន (ខេមបូឌា) អ៊ិនដាសស្ទ្រី ឯ.ក</t>
        </is>
      </c>
      <c r="W408" s="556" t="n">
        <v>166649</v>
      </c>
    </row>
    <row r="409">
      <c r="A409" s="521" t="n">
        <v>401</v>
      </c>
      <c r="B409" s="522" t="inlineStr">
        <is>
          <t>Infrastructure Maintenance for Jan 2023</t>
        </is>
      </c>
      <c r="C409" s="522" t="inlineStr">
        <is>
          <t>ភ្នំពេញ អេសអ៊ីហ្សិត ភីអិលស៊ី</t>
        </is>
      </c>
      <c r="D409" s="522" t="inlineStr">
        <is>
          <t>L001-100046592</t>
        </is>
      </c>
      <c r="E409" s="521" t="inlineStr">
        <is>
          <t>2023-00138</t>
        </is>
      </c>
      <c r="F409" s="523" t="n">
        <v>44944</v>
      </c>
      <c r="G409" s="556" t="n">
        <v>202904</v>
      </c>
      <c r="I409" s="521">
        <f>G409</f>
        <v/>
      </c>
      <c r="K409" s="521">
        <f>I409-G409</f>
        <v/>
      </c>
      <c r="M409" s="522" t="inlineStr">
        <is>
          <t>202300138</t>
        </is>
      </c>
      <c r="N409" s="522" t="inlineStr">
        <is>
          <t>202300138</t>
        </is>
      </c>
      <c r="O409" s="521">
        <f>M409=N409</f>
        <v/>
      </c>
      <c r="P409" s="521">
        <f>AND(MONTH(F409)=MONTH(S409), YEAR(F409)=YEAR(S409))</f>
        <v/>
      </c>
      <c r="Q409" s="521">
        <f>U409="L001-901905215"</f>
        <v/>
      </c>
      <c r="R409" s="556">
        <f>G409-W409</f>
        <v/>
      </c>
      <c r="S409" s="523" t="n">
        <v>44944</v>
      </c>
      <c r="T409" s="522" t="inlineStr">
        <is>
          <t>2023-00138</t>
        </is>
      </c>
      <c r="U409" s="522" t="inlineStr">
        <is>
          <t>L001-901905215</t>
        </is>
      </c>
      <c r="V409" s="522" t="inlineStr">
        <is>
          <t>វីអ៊ីស៊ិន (ខេមបូឌា) អ៊ិនដាសស្ទ្រី ឯ.ក</t>
        </is>
      </c>
      <c r="W409" s="556" t="n">
        <v>202904</v>
      </c>
    </row>
    <row r="410">
      <c r="A410" s="521" t="n">
        <v>402</v>
      </c>
      <c r="B410" s="522" t="inlineStr">
        <is>
          <t>Trucking Fee</t>
        </is>
      </c>
      <c r="C410" s="522" t="inlineStr">
        <is>
          <t>អេសជីអេស (ខេមបូឌា) លីមីធីត</t>
        </is>
      </c>
      <c r="D410" s="522" t="inlineStr">
        <is>
          <t>L001-107030519</t>
        </is>
      </c>
      <c r="E410" s="521" t="inlineStr">
        <is>
          <t>10024286</t>
        </is>
      </c>
      <c r="F410" s="523" t="n">
        <v>44944</v>
      </c>
      <c r="G410" s="556" t="n">
        <v>109166</v>
      </c>
      <c r="I410" s="521">
        <f>G410</f>
        <v/>
      </c>
      <c r="K410" s="521">
        <f>I410-G410</f>
        <v/>
      </c>
      <c r="M410" s="522" t="inlineStr">
        <is>
          <t>10024286</t>
        </is>
      </c>
      <c r="N410" s="522" t="inlineStr">
        <is>
          <t>10024286</t>
        </is>
      </c>
      <c r="O410" s="521">
        <f>M410=N410</f>
        <v/>
      </c>
      <c r="P410" s="521">
        <f>AND(MONTH(F410)=MONTH(S410), YEAR(F410)=YEAR(S410))</f>
        <v/>
      </c>
      <c r="Q410" s="521">
        <f>U410="L001-901905215"</f>
        <v/>
      </c>
      <c r="R410" s="556">
        <f>G410-W410</f>
        <v/>
      </c>
      <c r="S410" s="523" t="n">
        <v>44944</v>
      </c>
      <c r="T410" s="522" t="inlineStr">
        <is>
          <t>10024286</t>
        </is>
      </c>
      <c r="U410" s="522" t="inlineStr">
        <is>
          <t>L001-901905215</t>
        </is>
      </c>
      <c r="V410" s="522" t="inlineStr">
        <is>
          <t>វីអ៊ីស៊ិន (ខេមបូឌា) អ៊ិនដាសស្ទ្រី ឯ.ក</t>
        </is>
      </c>
      <c r="W410" s="556" t="n">
        <v>109486</v>
      </c>
    </row>
    <row r="411">
      <c r="A411" s="521" t="n">
        <v>403</v>
      </c>
      <c r="B411" s="522" t="inlineStr">
        <is>
          <t>Trucking Fee</t>
        </is>
      </c>
      <c r="C411" s="522" t="inlineStr">
        <is>
          <t>អេសអាយធីស៊ី ខិនថេនើរ ឡាញ (ខេមបូឌា)</t>
        </is>
      </c>
      <c r="D411" s="522" t="inlineStr">
        <is>
          <t>L001-107035863</t>
        </is>
      </c>
      <c r="E411" s="521" t="inlineStr">
        <is>
          <t>SITC2023-000160</t>
        </is>
      </c>
      <c r="F411" s="523" t="n">
        <v>44927</v>
      </c>
      <c r="G411" s="556" t="n">
        <v>434343</v>
      </c>
      <c r="I411" s="521">
        <f>G411</f>
        <v/>
      </c>
      <c r="K411" s="521">
        <f>I411-G411</f>
        <v/>
      </c>
      <c r="M411" s="522" t="inlineStr">
        <is>
          <t>SITC2023000160</t>
        </is>
      </c>
      <c r="N411" s="522" t="inlineStr">
        <is>
          <t>SITC2023000160</t>
        </is>
      </c>
      <c r="O411" s="521">
        <f>M411=N411</f>
        <v/>
      </c>
      <c r="P411" s="521">
        <f>AND(MONTH(F411)=MONTH(S411), YEAR(F411)=YEAR(S411))</f>
        <v/>
      </c>
      <c r="Q411" s="521">
        <f>U411="L001-901905215"</f>
        <v/>
      </c>
      <c r="R411" s="556">
        <f>G411-W411</f>
        <v/>
      </c>
      <c r="S411" s="523" t="n">
        <v>44927</v>
      </c>
      <c r="T411" s="522" t="inlineStr">
        <is>
          <t>SITC2023-000160</t>
        </is>
      </c>
      <c r="U411" s="522" t="inlineStr">
        <is>
          <t>L001-901905215</t>
        </is>
      </c>
      <c r="V411" s="522" t="inlineStr">
        <is>
          <t>វីអ៊ីស៊ិន (ខេមបូឌា) អ៊ិនដាសស្ទ្រី ឯ.ក</t>
        </is>
      </c>
      <c r="W411" s="556" t="n">
        <v>434344</v>
      </c>
    </row>
    <row r="412">
      <c r="A412" s="521" t="n">
        <v>404</v>
      </c>
      <c r="B412" s="522" t="inlineStr">
        <is>
          <t>Lift-On &amp; Lift-Off</t>
        </is>
      </c>
      <c r="C412" s="522" t="inlineStr">
        <is>
          <t>កំពង់ផែស្វយ័តក្រុងព្រះសីហនុ</t>
        </is>
      </c>
      <c r="D412" s="522" t="inlineStr">
        <is>
          <t>L001-100044638</t>
        </is>
      </c>
      <c r="E412" s="521" t="inlineStr">
        <is>
          <t>002546</t>
        </is>
      </c>
      <c r="F412" s="523" t="n">
        <v>44931</v>
      </c>
      <c r="G412" s="556" t="n">
        <v>71653</v>
      </c>
      <c r="I412" s="521">
        <f>G412</f>
        <v/>
      </c>
      <c r="K412" s="521">
        <f>I412-G412</f>
        <v/>
      </c>
      <c r="M412" s="522" t="inlineStr">
        <is>
          <t>002546</t>
        </is>
      </c>
      <c r="N412" s="522" t="inlineStr"/>
      <c r="O412" s="521">
        <f>M412=N412</f>
        <v/>
      </c>
      <c r="P412" s="521">
        <f>AND(MONTH(F412)=MONTH(S412), YEAR(F412)=YEAR(S412))</f>
        <v/>
      </c>
      <c r="Q412" s="521">
        <f>U412="L001-901905215"</f>
        <v/>
      </c>
      <c r="R412" s="556">
        <f>G412-W412</f>
        <v/>
      </c>
      <c r="S412" s="521" t="n"/>
      <c r="T412" s="522" t="n"/>
      <c r="U412" s="522" t="n"/>
      <c r="V412" s="522" t="n"/>
      <c r="W412" s="521" t="n"/>
    </row>
    <row r="413">
      <c r="A413" s="521" t="n">
        <v>405</v>
      </c>
      <c r="B413" s="522" t="inlineStr">
        <is>
          <t>Trucking Fee</t>
        </is>
      </c>
      <c r="C413" s="522" t="inlineStr">
        <is>
          <t>អេសអាយធីស៊ី ខិនថេនើរ ឡាញ (ខេមបូឌា)</t>
        </is>
      </c>
      <c r="D413" s="522" t="inlineStr">
        <is>
          <t>L001-107035863</t>
        </is>
      </c>
      <c r="E413" s="521" t="inlineStr">
        <is>
          <t>SITC2023-001819</t>
        </is>
      </c>
      <c r="F413" s="523" t="n">
        <v>44945</v>
      </c>
      <c r="G413" s="556" t="n">
        <v>228438</v>
      </c>
      <c r="I413" s="521">
        <f>G413</f>
        <v/>
      </c>
      <c r="K413" s="521">
        <f>I413-G413</f>
        <v/>
      </c>
      <c r="M413" s="522" t="inlineStr">
        <is>
          <t>SITC2023001819</t>
        </is>
      </c>
      <c r="N413" s="522" t="inlineStr">
        <is>
          <t>SITC2023001819</t>
        </is>
      </c>
      <c r="O413" s="521">
        <f>M413=N413</f>
        <v/>
      </c>
      <c r="P413" s="521">
        <f>AND(MONTH(F413)=MONTH(S413), YEAR(F413)=YEAR(S413))</f>
        <v/>
      </c>
      <c r="Q413" s="521">
        <f>U413="L001-901905215"</f>
        <v/>
      </c>
      <c r="R413" s="556">
        <f>G413-W413</f>
        <v/>
      </c>
      <c r="S413" s="523" t="n">
        <v>44945</v>
      </c>
      <c r="T413" s="522" t="inlineStr">
        <is>
          <t>SITC2023-001819</t>
        </is>
      </c>
      <c r="U413" s="522" t="inlineStr">
        <is>
          <t>L001-901905215</t>
        </is>
      </c>
      <c r="V413" s="522" t="inlineStr">
        <is>
          <t>វីអ៊ីស៊ិន (ខេមបូឌា) អ៊ិនដាសស្ទ្រី ឯ.ក</t>
        </is>
      </c>
      <c r="W413" s="556" t="n">
        <v>228438</v>
      </c>
    </row>
    <row r="414">
      <c r="A414" s="521" t="n">
        <v>406</v>
      </c>
      <c r="B414" s="522" t="inlineStr">
        <is>
          <t>Lift-On &amp; Lift-Off</t>
        </is>
      </c>
      <c r="C414" s="522" t="inlineStr">
        <is>
          <t>កំពង់ផែស្វយ័តក្រុងព្រះសីហនុ</t>
        </is>
      </c>
      <c r="D414" s="522" t="inlineStr">
        <is>
          <t>L001-100044638</t>
        </is>
      </c>
      <c r="E414" s="521" t="inlineStr">
        <is>
          <t>012007</t>
        </is>
      </c>
      <c r="F414" s="523" t="n">
        <v>44950</v>
      </c>
      <c r="G414" s="556" t="n">
        <v>35801</v>
      </c>
      <c r="I414" s="521">
        <f>G414</f>
        <v/>
      </c>
      <c r="K414" s="521">
        <f>I414-G414</f>
        <v/>
      </c>
      <c r="M414" s="522" t="inlineStr">
        <is>
          <t>012007</t>
        </is>
      </c>
      <c r="N414" s="522" t="inlineStr"/>
      <c r="O414" s="521">
        <f>M414=N414</f>
        <v/>
      </c>
      <c r="P414" s="521">
        <f>AND(MONTH(F414)=MONTH(S414), YEAR(F414)=YEAR(S414))</f>
        <v/>
      </c>
      <c r="Q414" s="521">
        <f>U414="L001-901905215"</f>
        <v/>
      </c>
      <c r="R414" s="556">
        <f>G414-W414</f>
        <v/>
      </c>
      <c r="S414" s="521" t="n"/>
      <c r="T414" s="522" t="n"/>
      <c r="U414" s="522" t="n"/>
      <c r="V414" s="522" t="n"/>
      <c r="W414" s="521" t="n"/>
    </row>
    <row r="415">
      <c r="A415" s="521" t="n">
        <v>407</v>
      </c>
      <c r="B415" s="522" t="inlineStr">
        <is>
          <t>Terminal Handling Charge</t>
        </is>
      </c>
      <c r="C415" s="522" t="inlineStr">
        <is>
          <t>អេវើរហ្គ្រីន ស៊ីបភីង សឺវីស (ខេមបូឌា) ឯ.ក</t>
        </is>
      </c>
      <c r="D415" s="522" t="inlineStr">
        <is>
          <t>L001-901705421</t>
        </is>
      </c>
      <c r="E415" s="521" t="inlineStr">
        <is>
          <t>IY23000241</t>
        </is>
      </c>
      <c r="F415" s="523" t="n">
        <v>44927</v>
      </c>
      <c r="G415" s="556" t="n">
        <v>125660</v>
      </c>
      <c r="I415" s="521">
        <f>G415</f>
        <v/>
      </c>
      <c r="K415" s="521">
        <f>I415-G415</f>
        <v/>
      </c>
      <c r="M415" s="522" t="inlineStr">
        <is>
          <t>IY23000241</t>
        </is>
      </c>
      <c r="N415" s="522" t="inlineStr">
        <is>
          <t>IY23000241</t>
        </is>
      </c>
      <c r="O415" s="521">
        <f>M415=N415</f>
        <v/>
      </c>
      <c r="P415" s="521">
        <f>AND(MONTH(F415)=MONTH(S415), YEAR(F415)=YEAR(S415))</f>
        <v/>
      </c>
      <c r="Q415" s="521">
        <f>U415="L001-901905215"</f>
        <v/>
      </c>
      <c r="R415" s="556">
        <f>G415-W415</f>
        <v/>
      </c>
      <c r="S415" s="523" t="n">
        <v>44935</v>
      </c>
      <c r="T415" s="522" t="inlineStr">
        <is>
          <t>IY23000241</t>
        </is>
      </c>
      <c r="U415" s="522" t="inlineStr">
        <is>
          <t>L001-901905215</t>
        </is>
      </c>
      <c r="V415" s="522" t="inlineStr">
        <is>
          <t>វីអ៊ីស៊ិន (ខេមបូឌា) អ៊ិនដាសស្ទ្រី ឯ.ក</t>
        </is>
      </c>
      <c r="W415" s="556" t="n">
        <v>125660</v>
      </c>
    </row>
    <row r="416">
      <c r="A416" s="521" t="n">
        <v>408</v>
      </c>
      <c r="B416" s="522" t="inlineStr">
        <is>
          <t>Lift-On &amp; Lift-Off</t>
        </is>
      </c>
      <c r="C416" s="522" t="inlineStr">
        <is>
          <t>កំពង់ផែស្វយ័តក្រុងព្រះសីហនុ</t>
        </is>
      </c>
      <c r="D416" s="522" t="inlineStr">
        <is>
          <t>L001-100044638</t>
        </is>
      </c>
      <c r="E416" s="521" t="inlineStr">
        <is>
          <t>007902</t>
        </is>
      </c>
      <c r="F416" s="523" t="n">
        <v>44942</v>
      </c>
      <c r="G416" s="556" t="n">
        <v>35801</v>
      </c>
      <c r="I416" s="521">
        <f>G416</f>
        <v/>
      </c>
      <c r="K416" s="521">
        <f>I416-G416</f>
        <v/>
      </c>
      <c r="M416" s="522" t="inlineStr">
        <is>
          <t>007902</t>
        </is>
      </c>
      <c r="N416" s="522" t="inlineStr"/>
      <c r="O416" s="521">
        <f>M416=N416</f>
        <v/>
      </c>
      <c r="P416" s="521">
        <f>AND(MONTH(F416)=MONTH(S416), YEAR(F416)=YEAR(S416))</f>
        <v/>
      </c>
      <c r="Q416" s="521">
        <f>U416="L001-901905215"</f>
        <v/>
      </c>
      <c r="R416" s="556">
        <f>G416-W416</f>
        <v/>
      </c>
      <c r="S416" s="521" t="n"/>
      <c r="T416" s="522" t="n"/>
      <c r="U416" s="522" t="n"/>
      <c r="V416" s="522" t="n"/>
      <c r="W416" s="521" t="n"/>
    </row>
    <row r="417">
      <c r="A417" s="521" t="n">
        <v>409</v>
      </c>
      <c r="B417" s="522" t="inlineStr">
        <is>
          <t>Trucking Fee</t>
        </is>
      </c>
      <c r="C417" s="522" t="inlineStr">
        <is>
          <t>អេសអាយធីស៊ី ខិនថេនើរ ឡាញ (ខេមបូឌា)</t>
        </is>
      </c>
      <c r="D417" s="522" t="inlineStr">
        <is>
          <t>L001-107035863</t>
        </is>
      </c>
      <c r="E417" s="521" t="inlineStr">
        <is>
          <t>SITC2023-000786</t>
        </is>
      </c>
      <c r="F417" s="523" t="n">
        <v>44932</v>
      </c>
      <c r="G417" s="556" t="n">
        <v>142071</v>
      </c>
      <c r="I417" s="521">
        <f>G417</f>
        <v/>
      </c>
      <c r="K417" s="521">
        <f>I417-G417</f>
        <v/>
      </c>
      <c r="M417" s="522" t="inlineStr">
        <is>
          <t>SITC2023000786</t>
        </is>
      </c>
      <c r="N417" s="522" t="inlineStr">
        <is>
          <t>SITC2023000786</t>
        </is>
      </c>
      <c r="O417" s="521">
        <f>M417=N417</f>
        <v/>
      </c>
      <c r="P417" s="521">
        <f>AND(MONTH(F417)=MONTH(S417), YEAR(F417)=YEAR(S417))</f>
        <v/>
      </c>
      <c r="Q417" s="521">
        <f>U417="L001-901905215"</f>
        <v/>
      </c>
      <c r="R417" s="556">
        <f>G417-W417</f>
        <v/>
      </c>
      <c r="S417" s="523" t="n">
        <v>44932</v>
      </c>
      <c r="T417" s="522" t="inlineStr">
        <is>
          <t>SITC2023-000786</t>
        </is>
      </c>
      <c r="U417" s="522" t="inlineStr">
        <is>
          <t>L001-901905215</t>
        </is>
      </c>
      <c r="V417" s="522" t="inlineStr">
        <is>
          <t>វីអ៊ីស៊ិន (ខេមបូឌា) អ៊ិនដាសស្ទ្រី ឯ.ក</t>
        </is>
      </c>
      <c r="W417" s="556" t="n">
        <v>142071</v>
      </c>
    </row>
    <row r="418">
      <c r="A418" s="521" t="n">
        <v>410</v>
      </c>
      <c r="B418" s="522" t="inlineStr">
        <is>
          <t>Lift-On &amp; Lift-Off</t>
        </is>
      </c>
      <c r="C418" s="522" t="inlineStr">
        <is>
          <t>កំពង់ផែស្វយ័តក្រុងព្រះសីហនុ</t>
        </is>
      </c>
      <c r="D418" s="522" t="inlineStr">
        <is>
          <t>L001-100044638</t>
        </is>
      </c>
      <c r="E418" s="521" t="inlineStr">
        <is>
          <t>004580</t>
        </is>
      </c>
      <c r="F418" s="523" t="n">
        <v>44936</v>
      </c>
      <c r="G418" s="556" t="n">
        <v>23473</v>
      </c>
      <c r="I418" s="521">
        <f>G418</f>
        <v/>
      </c>
      <c r="K418" s="521">
        <f>I418-G418</f>
        <v/>
      </c>
      <c r="M418" s="522" t="inlineStr">
        <is>
          <t>004580</t>
        </is>
      </c>
      <c r="N418" s="522" t="inlineStr"/>
      <c r="O418" s="521">
        <f>M418=N418</f>
        <v/>
      </c>
      <c r="P418" s="521">
        <f>AND(MONTH(F418)=MONTH(S418), YEAR(F418)=YEAR(S418))</f>
        <v/>
      </c>
      <c r="Q418" s="521">
        <f>U418="L001-901905215"</f>
        <v/>
      </c>
      <c r="R418" s="556">
        <f>G418-W418</f>
        <v/>
      </c>
      <c r="S418" s="521" t="n"/>
      <c r="T418" s="522" t="n"/>
      <c r="U418" s="522" t="n"/>
      <c r="V418" s="522" t="n"/>
      <c r="W418" s="521" t="n"/>
    </row>
    <row r="419">
      <c r="A419" s="521" t="n">
        <v>411</v>
      </c>
      <c r="B419" s="522" t="inlineStr">
        <is>
          <t>Trucking Fee</t>
        </is>
      </c>
      <c r="C419" s="522" t="inlineStr">
        <is>
          <t>អេសអាយធីស៊ី ខិនថេនើរ ឡាញ (ខេមបូឌា)</t>
        </is>
      </c>
      <c r="D419" s="522" t="inlineStr">
        <is>
          <t>L001-107035863</t>
        </is>
      </c>
      <c r="E419" s="521" t="inlineStr">
        <is>
          <t>SITC2023-000162</t>
        </is>
      </c>
      <c r="F419" s="523" t="n">
        <v>44927</v>
      </c>
      <c r="G419" s="556" t="n">
        <v>142037</v>
      </c>
      <c r="I419" s="521">
        <f>G419</f>
        <v/>
      </c>
      <c r="K419" s="521">
        <f>I419-G419</f>
        <v/>
      </c>
      <c r="M419" s="522" t="inlineStr">
        <is>
          <t>SITC2023000162</t>
        </is>
      </c>
      <c r="N419" s="522" t="inlineStr">
        <is>
          <t>SITC2023000162</t>
        </is>
      </c>
      <c r="O419" s="521">
        <f>M419=N419</f>
        <v/>
      </c>
      <c r="P419" s="521">
        <f>AND(MONTH(F419)=MONTH(S419), YEAR(F419)=YEAR(S419))</f>
        <v/>
      </c>
      <c r="Q419" s="521">
        <f>U419="L001-901905215"</f>
        <v/>
      </c>
      <c r="R419" s="556">
        <f>G419-W419</f>
        <v/>
      </c>
      <c r="S419" s="523" t="n">
        <v>44927</v>
      </c>
      <c r="T419" s="522" t="inlineStr">
        <is>
          <t>SITC2023-000162</t>
        </is>
      </c>
      <c r="U419" s="522" t="inlineStr">
        <is>
          <t>L001-901905215</t>
        </is>
      </c>
      <c r="V419" s="522" t="inlineStr">
        <is>
          <t>វីអ៊ីស៊ិន (ខេមបូឌា) អ៊ិនដាសស្ទ្រី ឯ.ក</t>
        </is>
      </c>
      <c r="W419" s="556" t="n">
        <v>142037</v>
      </c>
    </row>
    <row r="420">
      <c r="A420" s="521" t="n">
        <v>412</v>
      </c>
      <c r="B420" s="522" t="inlineStr">
        <is>
          <t>Lift-On &amp; Lift-Off</t>
        </is>
      </c>
      <c r="C420" s="522" t="inlineStr">
        <is>
          <t>កំពង់ផែស្វយ័តក្រុងព្រះសីហនុ</t>
        </is>
      </c>
      <c r="D420" s="522" t="inlineStr">
        <is>
          <t>L001-100044638</t>
        </is>
      </c>
      <c r="E420" s="521" t="inlineStr">
        <is>
          <t>002541</t>
        </is>
      </c>
      <c r="F420" s="523" t="n">
        <v>44927</v>
      </c>
      <c r="G420" s="556" t="n">
        <v>23473</v>
      </c>
      <c r="I420" s="521">
        <f>G420</f>
        <v/>
      </c>
      <c r="K420" s="521">
        <f>I420-G420</f>
        <v/>
      </c>
      <c r="M420" s="522" t="inlineStr">
        <is>
          <t>002541</t>
        </is>
      </c>
      <c r="N420" s="522" t="inlineStr"/>
      <c r="O420" s="521">
        <f>M420=N420</f>
        <v/>
      </c>
      <c r="P420" s="521">
        <f>AND(MONTH(F420)=MONTH(S420), YEAR(F420)=YEAR(S420))</f>
        <v/>
      </c>
      <c r="Q420" s="521">
        <f>U420="L001-901905215"</f>
        <v/>
      </c>
      <c r="R420" s="556">
        <f>G420-W420</f>
        <v/>
      </c>
      <c r="S420" s="521" t="n"/>
      <c r="T420" s="522" t="n"/>
      <c r="U420" s="522" t="n"/>
      <c r="V420" s="522" t="n"/>
      <c r="W420" s="521" t="n"/>
    </row>
    <row r="421">
      <c r="A421" s="521" t="n">
        <v>413</v>
      </c>
      <c r="B421" s="522" t="inlineStr">
        <is>
          <t>LIFT-OFF Charges and Gate Fee Charge</t>
        </is>
      </c>
      <c r="C421" s="522" t="inlineStr">
        <is>
          <t>កំពង់ផែស្វយ័តភ្នំពេញ "ក.ស.ភ"</t>
        </is>
      </c>
      <c r="D421" s="522" t="inlineStr">
        <is>
          <t>L001-100044999</t>
        </is>
      </c>
      <c r="E421" s="521" t="inlineStr">
        <is>
          <t>INV20230100377</t>
        </is>
      </c>
      <c r="F421" s="523" t="n">
        <v>44928</v>
      </c>
      <c r="G421" s="556" t="n">
        <v>59328</v>
      </c>
      <c r="I421" s="521">
        <f>G421</f>
        <v/>
      </c>
      <c r="K421" s="521">
        <f>I421-G421</f>
        <v/>
      </c>
      <c r="M421" s="522" t="inlineStr">
        <is>
          <t>INV20230100377</t>
        </is>
      </c>
      <c r="N421" s="522" t="inlineStr"/>
      <c r="O421" s="521">
        <f>M421=N421</f>
        <v/>
      </c>
      <c r="P421" s="521">
        <f>AND(MONTH(F421)=MONTH(S421), YEAR(F421)=YEAR(S421))</f>
        <v/>
      </c>
      <c r="Q421" s="521">
        <f>U421="L001-901905215"</f>
        <v/>
      </c>
      <c r="R421" s="556">
        <f>G421-W421</f>
        <v/>
      </c>
      <c r="S421" s="521" t="n"/>
      <c r="T421" s="522" t="n"/>
      <c r="U421" s="522" t="n"/>
      <c r="V421" s="522" t="n"/>
      <c r="W421" s="521" t="n"/>
    </row>
    <row r="422">
      <c r="A422" s="521" t="n">
        <v>414</v>
      </c>
      <c r="B422" s="522" t="inlineStr">
        <is>
          <t>LIFT-OFF Charges and Gate Fee Charge</t>
        </is>
      </c>
      <c r="C422" s="522" t="inlineStr">
        <is>
          <t>កំពង់ផែស្វយ័តភ្នំពេញ "ក.ស.ភ"</t>
        </is>
      </c>
      <c r="D422" s="522" t="inlineStr">
        <is>
          <t>L001-100044999</t>
        </is>
      </c>
      <c r="E422" s="521" t="inlineStr">
        <is>
          <t>INV20230100379</t>
        </is>
      </c>
      <c r="F422" s="523" t="n">
        <v>44928</v>
      </c>
      <c r="G422" s="556" t="n">
        <v>59328</v>
      </c>
      <c r="I422" s="521">
        <f>G422</f>
        <v/>
      </c>
      <c r="K422" s="521">
        <f>I422-G422</f>
        <v/>
      </c>
      <c r="M422" s="522" t="inlineStr">
        <is>
          <t>INV20230100379</t>
        </is>
      </c>
      <c r="N422" s="522" t="inlineStr"/>
      <c r="O422" s="521">
        <f>M422=N422</f>
        <v/>
      </c>
      <c r="P422" s="521">
        <f>AND(MONTH(F422)=MONTH(S422), YEAR(F422)=YEAR(S422))</f>
        <v/>
      </c>
      <c r="Q422" s="521">
        <f>U422="L001-901905215"</f>
        <v/>
      </c>
      <c r="R422" s="556">
        <f>G422-W422</f>
        <v/>
      </c>
      <c r="S422" s="521" t="n"/>
      <c r="T422" s="522" t="n"/>
      <c r="U422" s="522" t="n"/>
      <c r="V422" s="522" t="n"/>
      <c r="W422" s="521" t="n"/>
    </row>
    <row r="423">
      <c r="A423" s="521" t="n">
        <v>415</v>
      </c>
      <c r="B423" s="522" t="inlineStr">
        <is>
          <t>LIFT-OFF Charges and Gate Fee Charge</t>
        </is>
      </c>
      <c r="C423" s="522" t="inlineStr">
        <is>
          <t>កំពង់ផែស្វយ័តភ្នំពេញ "ក.ស.ភ"</t>
        </is>
      </c>
      <c r="D423" s="522" t="inlineStr">
        <is>
          <t>L001-100044999</t>
        </is>
      </c>
      <c r="E423" s="521" t="inlineStr">
        <is>
          <t>INV20230100378</t>
        </is>
      </c>
      <c r="F423" s="523" t="n">
        <v>44928</v>
      </c>
      <c r="G423" s="556" t="n">
        <v>29664</v>
      </c>
      <c r="I423" s="521">
        <f>G423</f>
        <v/>
      </c>
      <c r="K423" s="521">
        <f>I423-G423</f>
        <v/>
      </c>
      <c r="M423" s="522" t="inlineStr">
        <is>
          <t>INV20230100378</t>
        </is>
      </c>
      <c r="N423" s="522" t="inlineStr"/>
      <c r="O423" s="521">
        <f>M423=N423</f>
        <v/>
      </c>
      <c r="P423" s="521">
        <f>AND(MONTH(F423)=MONTH(S423), YEAR(F423)=YEAR(S423))</f>
        <v/>
      </c>
      <c r="Q423" s="521">
        <f>U423="L001-901905215"</f>
        <v/>
      </c>
      <c r="R423" s="556">
        <f>G423-W423</f>
        <v/>
      </c>
      <c r="S423" s="521" t="n"/>
      <c r="T423" s="522" t="n"/>
      <c r="U423" s="522" t="n"/>
      <c r="V423" s="522" t="n"/>
      <c r="W423" s="521" t="n"/>
    </row>
    <row r="424">
      <c r="A424" s="521" t="n">
        <v>416</v>
      </c>
      <c r="B424" s="522" t="inlineStr">
        <is>
          <t>LIFT-OFF Charges and Gate Fee Charge</t>
        </is>
      </c>
      <c r="C424" s="522" t="inlineStr">
        <is>
          <t>កំពង់ផែស្វយ័តភ្នំពេញ "ក.ស.ភ"</t>
        </is>
      </c>
      <c r="D424" s="522" t="inlineStr">
        <is>
          <t>L001-100044999</t>
        </is>
      </c>
      <c r="E424" s="521" t="inlineStr">
        <is>
          <t>INV20230105923</t>
        </is>
      </c>
      <c r="F424" s="523" t="n">
        <v>44957</v>
      </c>
      <c r="G424" s="556" t="n">
        <v>59098</v>
      </c>
      <c r="I424" s="521">
        <f>G424</f>
        <v/>
      </c>
      <c r="K424" s="521">
        <f>I424-G424</f>
        <v/>
      </c>
      <c r="M424" s="522" t="inlineStr">
        <is>
          <t>INV20230105923</t>
        </is>
      </c>
      <c r="N424" s="522" t="inlineStr"/>
      <c r="O424" s="521">
        <f>M424=N424</f>
        <v/>
      </c>
      <c r="P424" s="521">
        <f>AND(MONTH(F424)=MONTH(S424), YEAR(F424)=YEAR(S424))</f>
        <v/>
      </c>
      <c r="Q424" s="521">
        <f>U424="L001-901905215"</f>
        <v/>
      </c>
      <c r="R424" s="556">
        <f>G424-W424</f>
        <v/>
      </c>
      <c r="S424" s="521" t="n"/>
      <c r="T424" s="522" t="n"/>
      <c r="U424" s="522" t="n"/>
      <c r="V424" s="522" t="n"/>
      <c r="W424" s="521" t="n"/>
    </row>
    <row r="425">
      <c r="A425" s="521" t="n">
        <v>417</v>
      </c>
      <c r="B425" s="522" t="inlineStr">
        <is>
          <t>LIFT-OFF Charges and Gate Fee Charge</t>
        </is>
      </c>
      <c r="C425" s="522" t="inlineStr">
        <is>
          <t>កំពង់ផែស្វយ័តភ្នំពេញ "ក.ស.ភ"</t>
        </is>
      </c>
      <c r="D425" s="522" t="inlineStr">
        <is>
          <t>L001-100044999</t>
        </is>
      </c>
      <c r="E425" s="521" t="inlineStr">
        <is>
          <t>INV20230105922</t>
        </is>
      </c>
      <c r="F425" s="523" t="n">
        <v>44957</v>
      </c>
      <c r="G425" s="556" t="n">
        <v>59098</v>
      </c>
      <c r="I425" s="521">
        <f>G425</f>
        <v/>
      </c>
      <c r="K425" s="521">
        <f>I425-G425</f>
        <v/>
      </c>
      <c r="M425" s="522" t="inlineStr">
        <is>
          <t>INV20230105922</t>
        </is>
      </c>
      <c r="N425" s="522" t="inlineStr"/>
      <c r="O425" s="521">
        <f>M425=N425</f>
        <v/>
      </c>
      <c r="P425" s="521">
        <f>AND(MONTH(F425)=MONTH(S425), YEAR(F425)=YEAR(S425))</f>
        <v/>
      </c>
      <c r="Q425" s="521">
        <f>U425="L001-901905215"</f>
        <v/>
      </c>
      <c r="R425" s="556">
        <f>G425-W425</f>
        <v/>
      </c>
      <c r="S425" s="521" t="n"/>
      <c r="T425" s="522" t="n"/>
      <c r="U425" s="522" t="n"/>
      <c r="V425" s="522" t="n"/>
      <c r="W425" s="521" t="n"/>
    </row>
    <row r="426">
      <c r="A426" s="521" t="n">
        <v>418</v>
      </c>
      <c r="B426" s="522" t="inlineStr">
        <is>
          <t>LIFT-OFF Charges and Gate Fee Charge</t>
        </is>
      </c>
      <c r="C426" s="522" t="inlineStr">
        <is>
          <t>កំពង់ផែស្វយ័តភ្នំពេញ "ក.ស.ភ"</t>
        </is>
      </c>
      <c r="D426" s="522" t="inlineStr">
        <is>
          <t>L001-100044999</t>
        </is>
      </c>
      <c r="E426" s="521" t="inlineStr">
        <is>
          <t>INV20230105921</t>
        </is>
      </c>
      <c r="F426" s="523" t="n">
        <v>44957</v>
      </c>
      <c r="G426" s="556" t="n">
        <v>19699</v>
      </c>
      <c r="I426" s="521">
        <f>G426</f>
        <v/>
      </c>
      <c r="K426" s="521">
        <f>I426-G426</f>
        <v/>
      </c>
      <c r="M426" s="522" t="inlineStr">
        <is>
          <t>INV20230105921</t>
        </is>
      </c>
      <c r="N426" s="522" t="inlineStr"/>
      <c r="O426" s="521">
        <f>M426=N426</f>
        <v/>
      </c>
      <c r="P426" s="521">
        <f>AND(MONTH(F426)=MONTH(S426), YEAR(F426)=YEAR(S426))</f>
        <v/>
      </c>
      <c r="Q426" s="521">
        <f>U426="L001-901905215"</f>
        <v/>
      </c>
      <c r="R426" s="556">
        <f>G426-W426</f>
        <v/>
      </c>
      <c r="S426" s="521" t="n"/>
      <c r="T426" s="522" t="n"/>
      <c r="U426" s="522" t="n"/>
      <c r="V426" s="522" t="n"/>
      <c r="W426" s="521" t="n"/>
    </row>
    <row r="427">
      <c r="A427" s="521" t="n">
        <v>419</v>
      </c>
      <c r="B427" s="522" t="inlineStr">
        <is>
          <t>Lift-On &amp; Lift-Off</t>
        </is>
      </c>
      <c r="C427" s="522" t="inlineStr">
        <is>
          <t>កំពង់ផែស្វយ័តក្រុងព្រះសីហនុ</t>
        </is>
      </c>
      <c r="D427" s="522" t="inlineStr">
        <is>
          <t>L001-100044638</t>
        </is>
      </c>
      <c r="E427" s="521" t="inlineStr">
        <is>
          <t>009716</t>
        </is>
      </c>
      <c r="F427" s="523" t="n">
        <v>44945</v>
      </c>
      <c r="G427" s="556" t="n">
        <v>6997</v>
      </c>
      <c r="I427" s="521">
        <f>G427</f>
        <v/>
      </c>
      <c r="K427" s="521">
        <f>I427-G427</f>
        <v/>
      </c>
      <c r="M427" s="522" t="inlineStr">
        <is>
          <t>009716</t>
        </is>
      </c>
      <c r="N427" s="522" t="inlineStr"/>
      <c r="O427" s="521">
        <f>M427=N427</f>
        <v/>
      </c>
      <c r="P427" s="521">
        <f>AND(MONTH(F427)=MONTH(S427), YEAR(F427)=YEAR(S427))</f>
        <v/>
      </c>
      <c r="Q427" s="521">
        <f>U427="L001-901905215"</f>
        <v/>
      </c>
      <c r="R427" s="556">
        <f>G427-W427</f>
        <v/>
      </c>
      <c r="S427" s="521" t="n"/>
      <c r="T427" s="522" t="n"/>
      <c r="U427" s="522" t="n"/>
      <c r="V427" s="522" t="n"/>
      <c r="W427" s="521" t="n"/>
    </row>
    <row r="428">
      <c r="A428" s="521" t="n">
        <v>420</v>
      </c>
      <c r="B428" s="522" t="inlineStr">
        <is>
          <t>Lift-On &amp; Lift-Off</t>
        </is>
      </c>
      <c r="C428" s="522" t="inlineStr">
        <is>
          <t>កំពង់ផែស្វយ័តក្រុងព្រះសីហនុ</t>
        </is>
      </c>
      <c r="D428" s="522" t="inlineStr">
        <is>
          <t>L001-100044638</t>
        </is>
      </c>
      <c r="E428" s="521" t="inlineStr">
        <is>
          <t>009715</t>
        </is>
      </c>
      <c r="F428" s="523" t="n">
        <v>44945</v>
      </c>
      <c r="G428" s="556" t="n">
        <v>20992</v>
      </c>
      <c r="I428" s="521">
        <f>G428</f>
        <v/>
      </c>
      <c r="K428" s="521">
        <f>I428-G428</f>
        <v/>
      </c>
      <c r="M428" s="522" t="inlineStr">
        <is>
          <t>009715</t>
        </is>
      </c>
      <c r="N428" s="522" t="inlineStr"/>
      <c r="O428" s="521">
        <f>M428=N428</f>
        <v/>
      </c>
      <c r="P428" s="521">
        <f>AND(MONTH(F428)=MONTH(S428), YEAR(F428)=YEAR(S428))</f>
        <v/>
      </c>
      <c r="Q428" s="521">
        <f>U428="L001-901905215"</f>
        <v/>
      </c>
      <c r="R428" s="556">
        <f>G428-W428</f>
        <v/>
      </c>
      <c r="S428" s="521" t="n"/>
      <c r="T428" s="522" t="n"/>
      <c r="U428" s="522" t="n"/>
      <c r="V428" s="522" t="n"/>
      <c r="W428" s="521" t="n"/>
    </row>
    <row r="429">
      <c r="A429" s="521" t="n">
        <v>421</v>
      </c>
      <c r="B429" s="522" t="inlineStr">
        <is>
          <t>Lift-On &amp; Lift-Off</t>
        </is>
      </c>
      <c r="C429" s="522" t="inlineStr">
        <is>
          <t>កំពង់ផែស្វយ័តក្រុងព្រះសីហនុ</t>
        </is>
      </c>
      <c r="D429" s="522" t="inlineStr">
        <is>
          <t>L001-100044638</t>
        </is>
      </c>
      <c r="E429" s="521" t="inlineStr">
        <is>
          <t>009714</t>
        </is>
      </c>
      <c r="F429" s="523" t="n">
        <v>44945</v>
      </c>
      <c r="G429" s="556" t="n">
        <v>20992</v>
      </c>
      <c r="I429" s="521">
        <f>G429</f>
        <v/>
      </c>
      <c r="K429" s="521">
        <f>I429-G429</f>
        <v/>
      </c>
      <c r="M429" s="522" t="inlineStr">
        <is>
          <t>009714</t>
        </is>
      </c>
      <c r="N429" s="522" t="inlineStr"/>
      <c r="O429" s="521">
        <f>M429=N429</f>
        <v/>
      </c>
      <c r="P429" s="521">
        <f>AND(MONTH(F429)=MONTH(S429), YEAR(F429)=YEAR(S429))</f>
        <v/>
      </c>
      <c r="Q429" s="521">
        <f>U429="L001-901905215"</f>
        <v/>
      </c>
      <c r="R429" s="556">
        <f>G429-W429</f>
        <v/>
      </c>
      <c r="S429" s="521" t="n"/>
      <c r="T429" s="522" t="n"/>
      <c r="U429" s="522" t="n"/>
      <c r="V429" s="522" t="n"/>
      <c r="W429" s="521" t="n"/>
    </row>
    <row r="430">
      <c r="A430" s="521" t="n">
        <v>422</v>
      </c>
      <c r="B430" s="522" t="inlineStr">
        <is>
          <t>LIFT-OFF Charges and Gate Fee Charge</t>
        </is>
      </c>
      <c r="C430" s="522" t="inlineStr">
        <is>
          <t>កំពង់ផែស្វយ័តភ្នំពេញ "ក.ស.ភ"</t>
        </is>
      </c>
      <c r="D430" s="522" t="inlineStr">
        <is>
          <t>L001-100044999</t>
        </is>
      </c>
      <c r="E430" s="521" t="inlineStr">
        <is>
          <t>INV20230104864</t>
        </is>
      </c>
      <c r="F430" s="523" t="n">
        <v>44951</v>
      </c>
      <c r="G430" s="556" t="n">
        <v>88798</v>
      </c>
      <c r="I430" s="521">
        <f>G430</f>
        <v/>
      </c>
      <c r="K430" s="521">
        <f>I430-G430</f>
        <v/>
      </c>
      <c r="M430" s="522" t="inlineStr">
        <is>
          <t>INV20230104864</t>
        </is>
      </c>
      <c r="N430" s="522" t="inlineStr"/>
      <c r="O430" s="521">
        <f>M430=N430</f>
        <v/>
      </c>
      <c r="P430" s="521">
        <f>AND(MONTH(F430)=MONTH(S430), YEAR(F430)=YEAR(S430))</f>
        <v/>
      </c>
      <c r="Q430" s="521">
        <f>U430="L001-901905215"</f>
        <v/>
      </c>
      <c r="R430" s="556">
        <f>G430-W430</f>
        <v/>
      </c>
      <c r="S430" s="521" t="n"/>
      <c r="T430" s="522" t="n"/>
      <c r="U430" s="522" t="n"/>
      <c r="V430" s="522" t="n"/>
      <c r="W430" s="521" t="n"/>
    </row>
    <row r="431">
      <c r="A431" s="521" t="n">
        <v>423</v>
      </c>
      <c r="B431" s="522" t="inlineStr">
        <is>
          <t>LIFT-OFF Charges and Gate Fee Charge</t>
        </is>
      </c>
      <c r="C431" s="522" t="inlineStr">
        <is>
          <t>កំពង់ផែស្វយ័តភ្នំពេញ "ក.ស.ភ"</t>
        </is>
      </c>
      <c r="D431" s="522" t="inlineStr">
        <is>
          <t>L001-100044999</t>
        </is>
      </c>
      <c r="E431" s="521" t="inlineStr">
        <is>
          <t>INV20230104865</t>
        </is>
      </c>
      <c r="F431" s="523" t="n">
        <v>44951</v>
      </c>
      <c r="G431" s="556" t="n">
        <v>118397</v>
      </c>
      <c r="I431" s="521">
        <f>G431</f>
        <v/>
      </c>
      <c r="K431" s="521">
        <f>I431-G431</f>
        <v/>
      </c>
      <c r="M431" s="522" t="inlineStr">
        <is>
          <t>INV20230104865</t>
        </is>
      </c>
      <c r="N431" s="522" t="inlineStr"/>
      <c r="O431" s="521">
        <f>M431=N431</f>
        <v/>
      </c>
      <c r="P431" s="521">
        <f>AND(MONTH(F431)=MONTH(S431), YEAR(F431)=YEAR(S431))</f>
        <v/>
      </c>
      <c r="Q431" s="521">
        <f>U431="L001-901905215"</f>
        <v/>
      </c>
      <c r="R431" s="556">
        <f>G431-W431</f>
        <v/>
      </c>
      <c r="S431" s="521" t="n"/>
      <c r="T431" s="522" t="n"/>
      <c r="U431" s="522" t="n"/>
      <c r="V431" s="522" t="n"/>
      <c r="W431" s="521" t="n"/>
    </row>
    <row r="432">
      <c r="A432" s="521" t="n">
        <v>424</v>
      </c>
      <c r="B432" s="522" t="inlineStr">
        <is>
          <t>Lift-On &amp; Lift-Off</t>
        </is>
      </c>
      <c r="C432" s="522" t="inlineStr">
        <is>
          <t>កំពង់ផែស្វយ័តក្រុងព្រះសីហនុ</t>
        </is>
      </c>
      <c r="D432" s="522" t="inlineStr">
        <is>
          <t>L001-100044638</t>
        </is>
      </c>
      <c r="E432" s="521" t="inlineStr">
        <is>
          <t>002382</t>
        </is>
      </c>
      <c r="F432" s="523" t="n">
        <v>44931</v>
      </c>
      <c r="G432" s="556" t="n">
        <v>14001</v>
      </c>
      <c r="I432" s="521">
        <f>G432</f>
        <v/>
      </c>
      <c r="K432" s="521">
        <f>I432-G432</f>
        <v/>
      </c>
      <c r="M432" s="522" t="inlineStr">
        <is>
          <t>002382</t>
        </is>
      </c>
      <c r="N432" s="522" t="inlineStr"/>
      <c r="O432" s="521">
        <f>M432=N432</f>
        <v/>
      </c>
      <c r="P432" s="521">
        <f>AND(MONTH(F432)=MONTH(S432), YEAR(F432)=YEAR(S432))</f>
        <v/>
      </c>
      <c r="Q432" s="521">
        <f>U432="L001-901905215"</f>
        <v/>
      </c>
      <c r="R432" s="556">
        <f>G432-W432</f>
        <v/>
      </c>
      <c r="S432" s="521" t="n"/>
      <c r="T432" s="522" t="n"/>
      <c r="U432" s="522" t="n"/>
      <c r="V432" s="522" t="n"/>
      <c r="W432" s="521" t="n"/>
    </row>
    <row r="433">
      <c r="A433" s="521" t="n">
        <v>425</v>
      </c>
      <c r="B433" s="522" t="inlineStr">
        <is>
          <t>LIFT-OFF Charges and Gate Fee Charge</t>
        </is>
      </c>
      <c r="C433" s="522" t="inlineStr">
        <is>
          <t>កំពង់ផែស្វយ័តភ្នំពេញ "ក.ស.ភ"</t>
        </is>
      </c>
      <c r="D433" s="522" t="inlineStr">
        <is>
          <t>L001-100044999</t>
        </is>
      </c>
      <c r="E433" s="521" t="inlineStr">
        <is>
          <t>INV20230102099</t>
        </is>
      </c>
      <c r="F433" s="523" t="n">
        <v>44937</v>
      </c>
      <c r="G433" s="556" t="n">
        <v>59285</v>
      </c>
      <c r="I433" s="521">
        <f>G433</f>
        <v/>
      </c>
      <c r="K433" s="521">
        <f>I433-G433</f>
        <v/>
      </c>
      <c r="M433" s="522" t="inlineStr">
        <is>
          <t>INV20230102099</t>
        </is>
      </c>
      <c r="N433" s="522" t="inlineStr"/>
      <c r="O433" s="521">
        <f>M433=N433</f>
        <v/>
      </c>
      <c r="P433" s="521">
        <f>AND(MONTH(F433)=MONTH(S433), YEAR(F433)=YEAR(S433))</f>
        <v/>
      </c>
      <c r="Q433" s="521">
        <f>U433="L001-901905215"</f>
        <v/>
      </c>
      <c r="R433" s="556">
        <f>G433-W433</f>
        <v/>
      </c>
      <c r="S433" s="521" t="n"/>
      <c r="T433" s="522" t="n"/>
      <c r="U433" s="522" t="n"/>
      <c r="V433" s="522" t="n"/>
      <c r="W433" s="521" t="n"/>
    </row>
    <row r="434">
      <c r="A434" s="521" t="n">
        <v>426</v>
      </c>
      <c r="B434" s="522" t="inlineStr">
        <is>
          <t>LIFT-OFF Charges and Gate Fee Charge</t>
        </is>
      </c>
      <c r="C434" s="522" t="inlineStr">
        <is>
          <t>កំពង់ផែស្វយ័តភ្នំពេញ "ក.ស.ភ"</t>
        </is>
      </c>
      <c r="D434" s="522" t="inlineStr">
        <is>
          <t>L001-100044999</t>
        </is>
      </c>
      <c r="E434" s="521" t="inlineStr">
        <is>
          <t>INV20230101827</t>
        </is>
      </c>
      <c r="F434" s="523" t="n">
        <v>44936</v>
      </c>
      <c r="G434" s="556" t="n">
        <v>59299</v>
      </c>
      <c r="I434" s="521">
        <f>G434</f>
        <v/>
      </c>
      <c r="K434" s="521">
        <f>I434-G434</f>
        <v/>
      </c>
      <c r="M434" s="522" t="inlineStr">
        <is>
          <t>INV20230101827</t>
        </is>
      </c>
      <c r="N434" s="522" t="inlineStr"/>
      <c r="O434" s="521">
        <f>M434=N434</f>
        <v/>
      </c>
      <c r="P434" s="521">
        <f>AND(MONTH(F434)=MONTH(S434), YEAR(F434)=YEAR(S434))</f>
        <v/>
      </c>
      <c r="Q434" s="521">
        <f>U434="L001-901905215"</f>
        <v/>
      </c>
      <c r="R434" s="556">
        <f>G434-W434</f>
        <v/>
      </c>
      <c r="S434" s="521" t="n"/>
      <c r="T434" s="522" t="n"/>
      <c r="U434" s="522" t="n"/>
      <c r="V434" s="522" t="n"/>
      <c r="W434" s="521" t="n"/>
    </row>
    <row r="435">
      <c r="A435" s="521" t="n">
        <v>427</v>
      </c>
      <c r="B435" s="522" t="inlineStr">
        <is>
          <t>LIFT-OFF Charges and Gate Fee Charge</t>
        </is>
      </c>
      <c r="C435" s="522" t="inlineStr">
        <is>
          <t>កំពង់ផែស្វយ័តភ្នំពេញ "ក.ស.ភ"</t>
        </is>
      </c>
      <c r="D435" s="522" t="inlineStr">
        <is>
          <t>L001-100044999</t>
        </is>
      </c>
      <c r="E435" s="521" t="inlineStr">
        <is>
          <t>INV20230101828</t>
        </is>
      </c>
      <c r="F435" s="523" t="n">
        <v>44936</v>
      </c>
      <c r="G435" s="556" t="n">
        <v>59299</v>
      </c>
      <c r="I435" s="521">
        <f>G435</f>
        <v/>
      </c>
      <c r="K435" s="521">
        <f>I435-G435</f>
        <v/>
      </c>
      <c r="M435" s="522" t="inlineStr">
        <is>
          <t>INV20230101828</t>
        </is>
      </c>
      <c r="N435" s="522" t="inlineStr"/>
      <c r="O435" s="521">
        <f>M435=N435</f>
        <v/>
      </c>
      <c r="P435" s="521">
        <f>AND(MONTH(F435)=MONTH(S435), YEAR(F435)=YEAR(S435))</f>
        <v/>
      </c>
      <c r="Q435" s="521">
        <f>U435="L001-901905215"</f>
        <v/>
      </c>
      <c r="R435" s="556">
        <f>G435-W435</f>
        <v/>
      </c>
      <c r="S435" s="521" t="n"/>
      <c r="T435" s="522" t="n"/>
      <c r="U435" s="522" t="n"/>
      <c r="V435" s="522" t="n"/>
      <c r="W435" s="521" t="n"/>
    </row>
    <row r="436">
      <c r="A436" s="521" t="n">
        <v>428</v>
      </c>
      <c r="B436" s="522" t="inlineStr">
        <is>
          <t>LIFT-OFF Charges and Gate Fee Charge</t>
        </is>
      </c>
      <c r="C436" s="522" t="inlineStr">
        <is>
          <t>កំពង់ផែស្វយ័តភ្នំពេញ "ក.ស.ភ"</t>
        </is>
      </c>
      <c r="D436" s="522" t="inlineStr">
        <is>
          <t>L001-100044999</t>
        </is>
      </c>
      <c r="E436" s="521" t="inlineStr">
        <is>
          <t>INV20230103392</t>
        </is>
      </c>
      <c r="F436" s="523" t="n">
        <v>44943</v>
      </c>
      <c r="G436" s="556" t="n">
        <v>88884</v>
      </c>
      <c r="I436" s="521">
        <f>G436</f>
        <v/>
      </c>
      <c r="K436" s="521">
        <f>I436-G436</f>
        <v/>
      </c>
      <c r="M436" s="522" t="inlineStr">
        <is>
          <t>INV20230103392</t>
        </is>
      </c>
      <c r="N436" s="522" t="inlineStr"/>
      <c r="O436" s="521">
        <f>M436=N436</f>
        <v/>
      </c>
      <c r="P436" s="521">
        <f>AND(MONTH(F436)=MONTH(S436), YEAR(F436)=YEAR(S436))</f>
        <v/>
      </c>
      <c r="Q436" s="521">
        <f>U436="L001-901905215"</f>
        <v/>
      </c>
      <c r="R436" s="556">
        <f>G436-W436</f>
        <v/>
      </c>
      <c r="S436" s="521" t="n"/>
      <c r="T436" s="522" t="n"/>
      <c r="U436" s="522" t="n"/>
      <c r="V436" s="522" t="n"/>
      <c r="W436" s="521" t="n"/>
    </row>
    <row r="437">
      <c r="A437" s="521" t="n">
        <v>429</v>
      </c>
      <c r="B437" s="522" t="inlineStr">
        <is>
          <t>LIFT-OFF Charges and Gate Fee Charge</t>
        </is>
      </c>
      <c r="C437" s="522" t="inlineStr">
        <is>
          <t>កំពង់ផែស្វយ័តភ្នំពេញ "ក.ស.ភ"</t>
        </is>
      </c>
      <c r="D437" s="522" t="inlineStr">
        <is>
          <t>L001-100044999</t>
        </is>
      </c>
      <c r="E437" s="521" t="inlineStr">
        <is>
          <t>INV20230103391</t>
        </is>
      </c>
      <c r="F437" s="523" t="n">
        <v>44943</v>
      </c>
      <c r="G437" s="556" t="n">
        <v>88884</v>
      </c>
      <c r="I437" s="521">
        <f>G437</f>
        <v/>
      </c>
      <c r="K437" s="521">
        <f>I437-G437</f>
        <v/>
      </c>
      <c r="M437" s="522" t="inlineStr">
        <is>
          <t>INV20230103391</t>
        </is>
      </c>
      <c r="N437" s="522" t="inlineStr"/>
      <c r="O437" s="521">
        <f>M437=N437</f>
        <v/>
      </c>
      <c r="P437" s="521">
        <f>AND(MONTH(F437)=MONTH(S437), YEAR(F437)=YEAR(S437))</f>
        <v/>
      </c>
      <c r="Q437" s="521">
        <f>U437="L001-901905215"</f>
        <v/>
      </c>
      <c r="R437" s="556">
        <f>G437-W437</f>
        <v/>
      </c>
      <c r="S437" s="521" t="n"/>
      <c r="T437" s="522" t="n"/>
      <c r="U437" s="522" t="n"/>
      <c r="V437" s="522" t="n"/>
      <c r="W437" s="521" t="n"/>
    </row>
    <row r="438">
      <c r="A438" s="521" t="n">
        <v>430</v>
      </c>
      <c r="B438" s="522" t="inlineStr">
        <is>
          <t>Trucking Fee</t>
        </is>
      </c>
      <c r="C438" s="522" t="inlineStr">
        <is>
          <t>ហាវតាយ អ៊ិនធើណេសិនណល ឡូជីស្ទីក ឯ.ក</t>
        </is>
      </c>
      <c r="D438" s="522" t="inlineStr">
        <is>
          <t>K007-902202863</t>
        </is>
      </c>
      <c r="E438" s="521" t="inlineStr">
        <is>
          <t>HT230016</t>
        </is>
      </c>
      <c r="F438" s="523" t="n">
        <v>44957</v>
      </c>
      <c r="G438" s="556" t="n">
        <v>500688</v>
      </c>
      <c r="I438" s="521">
        <f>G438</f>
        <v/>
      </c>
      <c r="K438" s="521">
        <f>I438-G438</f>
        <v/>
      </c>
      <c r="M438" s="522" t="inlineStr">
        <is>
          <t>HT230016</t>
        </is>
      </c>
      <c r="N438" s="522" t="inlineStr">
        <is>
          <t>HT230016</t>
        </is>
      </c>
      <c r="O438" s="521">
        <f>M438=N438</f>
        <v/>
      </c>
      <c r="P438" s="521">
        <f>AND(MONTH(F438)=MONTH(S438), YEAR(F438)=YEAR(S438))</f>
        <v/>
      </c>
      <c r="Q438" s="521">
        <f>U438="L001-901905215"</f>
        <v/>
      </c>
      <c r="R438" s="556">
        <f>G438-W438</f>
        <v/>
      </c>
      <c r="S438" s="523" t="n">
        <v>44957</v>
      </c>
      <c r="T438" s="522" t="inlineStr">
        <is>
          <t>HT230016</t>
        </is>
      </c>
      <c r="U438" s="522" t="inlineStr">
        <is>
          <t>L001-901905215</t>
        </is>
      </c>
      <c r="V438" s="522" t="inlineStr">
        <is>
          <t>វីអ៊ីស៊ិន (ខេមបូឌា) អ៊ិនដាសស្ទ្រី ឯ.ក</t>
        </is>
      </c>
      <c r="W438" s="556" t="n">
        <v>500688</v>
      </c>
    </row>
    <row r="439">
      <c r="A439" s="521" t="n">
        <v>431</v>
      </c>
      <c r="B439" s="522" t="inlineStr">
        <is>
          <t>Trucking Fee</t>
        </is>
      </c>
      <c r="C439" s="522" t="inlineStr">
        <is>
          <t>ហាវតាយ អ៊ិនធើណេសិនណល ឡូជីស្ទីក ឯ.ក</t>
        </is>
      </c>
      <c r="D439" s="522" t="inlineStr">
        <is>
          <t>K007-902202863</t>
        </is>
      </c>
      <c r="E439" s="521" t="inlineStr">
        <is>
          <t>HT230015</t>
        </is>
      </c>
      <c r="F439" s="523" t="n">
        <v>44957</v>
      </c>
      <c r="G439" s="556" t="n">
        <v>250344</v>
      </c>
      <c r="I439" s="521">
        <f>G439</f>
        <v/>
      </c>
      <c r="K439" s="521">
        <f>I439-G439</f>
        <v/>
      </c>
      <c r="M439" s="522" t="inlineStr">
        <is>
          <t>HT230015</t>
        </is>
      </c>
      <c r="N439" s="522" t="inlineStr">
        <is>
          <t>HT230015</t>
        </is>
      </c>
      <c r="O439" s="521">
        <f>M439=N439</f>
        <v/>
      </c>
      <c r="P439" s="521">
        <f>AND(MONTH(F439)=MONTH(S439), YEAR(F439)=YEAR(S439))</f>
        <v/>
      </c>
      <c r="Q439" s="521">
        <f>U439="L001-901905215"</f>
        <v/>
      </c>
      <c r="R439" s="556">
        <f>G439-W439</f>
        <v/>
      </c>
      <c r="S439" s="523" t="n">
        <v>44957</v>
      </c>
      <c r="T439" s="522" t="inlineStr">
        <is>
          <t>HT230015</t>
        </is>
      </c>
      <c r="U439" s="522" t="inlineStr">
        <is>
          <t>L001-901905215</t>
        </is>
      </c>
      <c r="V439" s="522" t="inlineStr">
        <is>
          <t>វីអ៊ីស៊ិន (ខេមបូឌា) អ៊ិនដាសស្ទ្រី ឯ.ក</t>
        </is>
      </c>
      <c r="W439" s="556" t="n">
        <v>250344</v>
      </c>
    </row>
    <row r="440">
      <c r="A440" s="521" t="n">
        <v>432</v>
      </c>
      <c r="B440" s="522" t="inlineStr">
        <is>
          <t>Trucking Fee</t>
        </is>
      </c>
      <c r="C440" s="522" t="inlineStr">
        <is>
          <t>ហាវតាយ អ៊ិនធើណេសិនណល ឡូជីស្ទីក ឯ.ក</t>
        </is>
      </c>
      <c r="D440" s="522" t="inlineStr">
        <is>
          <t>K007-902202863</t>
        </is>
      </c>
      <c r="E440" s="521" t="inlineStr">
        <is>
          <t>HT230014</t>
        </is>
      </c>
      <c r="F440" s="523" t="n">
        <v>44957</v>
      </c>
      <c r="G440" s="556" t="n">
        <v>250344</v>
      </c>
      <c r="I440" s="521">
        <f>G440</f>
        <v/>
      </c>
      <c r="K440" s="521">
        <f>I440-G440</f>
        <v/>
      </c>
      <c r="M440" s="522" t="inlineStr">
        <is>
          <t>HT230014</t>
        </is>
      </c>
      <c r="N440" s="522" t="inlineStr">
        <is>
          <t>HT230014</t>
        </is>
      </c>
      <c r="O440" s="521">
        <f>M440=N440</f>
        <v/>
      </c>
      <c r="P440" s="521">
        <f>AND(MONTH(F440)=MONTH(S440), YEAR(F440)=YEAR(S440))</f>
        <v/>
      </c>
      <c r="Q440" s="521">
        <f>U440="L001-901905215"</f>
        <v/>
      </c>
      <c r="R440" s="556">
        <f>G440-W440</f>
        <v/>
      </c>
      <c r="S440" s="523" t="n">
        <v>44957</v>
      </c>
      <c r="T440" s="522" t="inlineStr">
        <is>
          <t>HT230014</t>
        </is>
      </c>
      <c r="U440" s="522" t="inlineStr">
        <is>
          <t>L001-901905215</t>
        </is>
      </c>
      <c r="V440" s="522" t="inlineStr">
        <is>
          <t>វីអ៊ីស៊ិន (ខេមបូឌា) អ៊ិនដាសស្ទ្រី ឯ.ក</t>
        </is>
      </c>
      <c r="W440" s="556" t="n">
        <v>250344</v>
      </c>
    </row>
    <row r="441">
      <c r="A441" s="521" t="n">
        <v>433</v>
      </c>
      <c r="B441" s="522" t="inlineStr">
        <is>
          <t>Trucking Fee</t>
        </is>
      </c>
      <c r="C441" s="522" t="inlineStr">
        <is>
          <t>ហាវតាយ អ៊ិនធើណេសិនណល ឡូជីស្ទីក ឯ.ក</t>
        </is>
      </c>
      <c r="D441" s="522" t="inlineStr">
        <is>
          <t>K007-902202863</t>
        </is>
      </c>
      <c r="E441" s="521" t="inlineStr">
        <is>
          <t>HT230013</t>
        </is>
      </c>
      <c r="F441" s="523" t="n">
        <v>44957</v>
      </c>
      <c r="G441" s="556" t="n">
        <v>242136</v>
      </c>
      <c r="I441" s="521">
        <f>G441</f>
        <v/>
      </c>
      <c r="K441" s="521">
        <f>I441-G441</f>
        <v/>
      </c>
      <c r="M441" s="522" t="inlineStr">
        <is>
          <t>HT230013</t>
        </is>
      </c>
      <c r="N441" s="522" t="inlineStr">
        <is>
          <t>HT230013</t>
        </is>
      </c>
      <c r="O441" s="521">
        <f>M441=N441</f>
        <v/>
      </c>
      <c r="P441" s="521">
        <f>AND(MONTH(F441)=MONTH(S441), YEAR(F441)=YEAR(S441))</f>
        <v/>
      </c>
      <c r="Q441" s="521">
        <f>U441="L001-901905215"</f>
        <v/>
      </c>
      <c r="R441" s="556">
        <f>G441-W441</f>
        <v/>
      </c>
      <c r="S441" s="523" t="n">
        <v>44957</v>
      </c>
      <c r="T441" s="522" t="inlineStr">
        <is>
          <t>HT230013</t>
        </is>
      </c>
      <c r="U441" s="522" t="inlineStr">
        <is>
          <t>L001-901905215</t>
        </is>
      </c>
      <c r="V441" s="522" t="inlineStr">
        <is>
          <t>វីអ៊ីស៊ិន (ខេមបូឌា) អ៊ិនដាសស្ទ្រី ឯ.ក</t>
        </is>
      </c>
      <c r="W441" s="556" t="n">
        <v>242136</v>
      </c>
    </row>
    <row r="442">
      <c r="A442" s="521" t="n">
        <v>434</v>
      </c>
      <c r="B442" s="522" t="inlineStr">
        <is>
          <t>Trucking Fee</t>
        </is>
      </c>
      <c r="C442" s="522" t="inlineStr">
        <is>
          <t>ហាវតាយ អ៊ិនធើណេសិនណល ឡូជីស្ទីក ឯ.ក</t>
        </is>
      </c>
      <c r="D442" s="522" t="inlineStr">
        <is>
          <t>K007-902202863</t>
        </is>
      </c>
      <c r="E442" s="521" t="inlineStr">
        <is>
          <t>HT230008</t>
        </is>
      </c>
      <c r="F442" s="523" t="n">
        <v>44953</v>
      </c>
      <c r="G442" s="556" t="n">
        <v>242077</v>
      </c>
      <c r="I442" s="521">
        <f>G442</f>
        <v/>
      </c>
      <c r="K442" s="521">
        <f>I442-G442</f>
        <v/>
      </c>
      <c r="M442" s="522" t="inlineStr">
        <is>
          <t>HT230008</t>
        </is>
      </c>
      <c r="N442" s="522" t="inlineStr">
        <is>
          <t>HT230008</t>
        </is>
      </c>
      <c r="O442" s="521">
        <f>M442=N442</f>
        <v/>
      </c>
      <c r="P442" s="521">
        <f>AND(MONTH(F442)=MONTH(S442), YEAR(F442)=YEAR(S442))</f>
        <v/>
      </c>
      <c r="Q442" s="521">
        <f>U442="L001-901905215"</f>
        <v/>
      </c>
      <c r="R442" s="556">
        <f>G442-W442</f>
        <v/>
      </c>
      <c r="S442" s="523" t="n">
        <v>44953</v>
      </c>
      <c r="T442" s="522" t="inlineStr">
        <is>
          <t>HT230008</t>
        </is>
      </c>
      <c r="U442" s="522" t="inlineStr">
        <is>
          <t>L001-901905215</t>
        </is>
      </c>
      <c r="V442" s="522" t="inlineStr">
        <is>
          <t>វីអ៊ីស៊ិន (ខេមបូឌា) អ៊ិនដាសស្ទ្រី ឯ.ក</t>
        </is>
      </c>
      <c r="W442" s="556" t="n">
        <v>242077</v>
      </c>
    </row>
    <row r="443">
      <c r="A443" s="521" t="n">
        <v>435</v>
      </c>
      <c r="B443" s="522" t="inlineStr">
        <is>
          <t>Trucking Fee</t>
        </is>
      </c>
      <c r="C443" s="522" t="inlineStr">
        <is>
          <t>ហាវតាយ អ៊ិនធើណេសិនណល ឡូជីស្ទីក ឯ.ក</t>
        </is>
      </c>
      <c r="D443" s="522" t="inlineStr">
        <is>
          <t>K007-902202863</t>
        </is>
      </c>
      <c r="E443" s="521" t="inlineStr">
        <is>
          <t>HT230007</t>
        </is>
      </c>
      <c r="F443" s="523" t="n">
        <v>44953</v>
      </c>
      <c r="G443" s="556" t="n">
        <v>500566</v>
      </c>
      <c r="I443" s="521">
        <f>G443</f>
        <v/>
      </c>
      <c r="K443" s="521">
        <f>I443-G443</f>
        <v/>
      </c>
      <c r="M443" s="522" t="inlineStr">
        <is>
          <t>HT230007</t>
        </is>
      </c>
      <c r="N443" s="522" t="inlineStr">
        <is>
          <t>HT230007</t>
        </is>
      </c>
      <c r="O443" s="521">
        <f>M443=N443</f>
        <v/>
      </c>
      <c r="P443" s="521">
        <f>AND(MONTH(F443)=MONTH(S443), YEAR(F443)=YEAR(S443))</f>
        <v/>
      </c>
      <c r="Q443" s="521">
        <f>U443="L001-901905215"</f>
        <v/>
      </c>
      <c r="R443" s="556">
        <f>G443-W443</f>
        <v/>
      </c>
      <c r="S443" s="523" t="n">
        <v>44953</v>
      </c>
      <c r="T443" s="522" t="inlineStr">
        <is>
          <t>HT230007</t>
        </is>
      </c>
      <c r="U443" s="522" t="inlineStr">
        <is>
          <t>L001-901905215</t>
        </is>
      </c>
      <c r="V443" s="522" t="inlineStr">
        <is>
          <t>វីអ៊ីស៊ិន (ខេមបូឌា) អ៊ិនដាសស្ទ្រី ឯ.ក</t>
        </is>
      </c>
      <c r="W443" s="556" t="n">
        <v>500566</v>
      </c>
    </row>
    <row r="444">
      <c r="A444" s="521" t="n">
        <v>436</v>
      </c>
      <c r="B444" s="522" t="inlineStr">
        <is>
          <t>Trucking Fee</t>
        </is>
      </c>
      <c r="C444" s="522" t="inlineStr">
        <is>
          <t>ហាវតាយ អ៊ិនធើណេសិនណល ឡូជីស្ទីក ឯ.ក</t>
        </is>
      </c>
      <c r="D444" s="522" t="inlineStr">
        <is>
          <t>K007-902202863</t>
        </is>
      </c>
      <c r="E444" s="521" t="inlineStr">
        <is>
          <t>HT230006</t>
        </is>
      </c>
      <c r="F444" s="523" t="n">
        <v>44953</v>
      </c>
      <c r="G444" s="556" t="n">
        <v>250283</v>
      </c>
      <c r="I444" s="521">
        <f>G444</f>
        <v/>
      </c>
      <c r="K444" s="521">
        <f>I444-G444</f>
        <v/>
      </c>
      <c r="M444" s="522" t="inlineStr">
        <is>
          <t>HT230006</t>
        </is>
      </c>
      <c r="N444" s="522" t="inlineStr">
        <is>
          <t>HT230006</t>
        </is>
      </c>
      <c r="O444" s="521">
        <f>M444=N444</f>
        <v/>
      </c>
      <c r="P444" s="521">
        <f>AND(MONTH(F444)=MONTH(S444), YEAR(F444)=YEAR(S444))</f>
        <v/>
      </c>
      <c r="Q444" s="521">
        <f>U444="L001-901905215"</f>
        <v/>
      </c>
      <c r="R444" s="556">
        <f>G444-W444</f>
        <v/>
      </c>
      <c r="S444" s="523" t="n">
        <v>44953</v>
      </c>
      <c r="T444" s="522" t="inlineStr">
        <is>
          <t>HT230006</t>
        </is>
      </c>
      <c r="U444" s="522" t="inlineStr">
        <is>
          <t>L001-901905215</t>
        </is>
      </c>
      <c r="V444" s="522" t="inlineStr">
        <is>
          <t>វីអ៊ីស៊ិន (ខេមបូឌា) អ៊ិនដាសស្ទ្រី ឯ.ក</t>
        </is>
      </c>
      <c r="W444" s="556" t="n">
        <v>250283</v>
      </c>
    </row>
    <row r="445">
      <c r="A445" s="521" t="n">
        <v>437</v>
      </c>
      <c r="B445" s="522" t="inlineStr">
        <is>
          <t>Trucking Fee</t>
        </is>
      </c>
      <c r="C445" s="522" t="inlineStr">
        <is>
          <t>ហាវតាយ អ៊ិនធើណេសិនណល ឡូជីស្ទីក ឯ.ក</t>
        </is>
      </c>
      <c r="D445" s="522" t="inlineStr">
        <is>
          <t>K007-902202863</t>
        </is>
      </c>
      <c r="E445" s="521" t="inlineStr">
        <is>
          <t>HT230005</t>
        </is>
      </c>
      <c r="F445" s="523" t="n">
        <v>44953</v>
      </c>
      <c r="G445" s="556" t="n">
        <v>250283</v>
      </c>
      <c r="I445" s="521">
        <f>G445</f>
        <v/>
      </c>
      <c r="K445" s="521">
        <f>I445-G445</f>
        <v/>
      </c>
      <c r="M445" s="522" t="inlineStr">
        <is>
          <t>HT230005</t>
        </is>
      </c>
      <c r="N445" s="522" t="inlineStr">
        <is>
          <t>HT230005</t>
        </is>
      </c>
      <c r="O445" s="521">
        <f>M445=N445</f>
        <v/>
      </c>
      <c r="P445" s="521">
        <f>AND(MONTH(F445)=MONTH(S445), YEAR(F445)=YEAR(S445))</f>
        <v/>
      </c>
      <c r="Q445" s="521">
        <f>U445="L001-901905215"</f>
        <v/>
      </c>
      <c r="R445" s="556">
        <f>G445-W445</f>
        <v/>
      </c>
      <c r="S445" s="523" t="n">
        <v>44953</v>
      </c>
      <c r="T445" s="522" t="inlineStr">
        <is>
          <t>HT230005</t>
        </is>
      </c>
      <c r="U445" s="522" t="inlineStr">
        <is>
          <t>L001-901905215</t>
        </is>
      </c>
      <c r="V445" s="522" t="inlineStr">
        <is>
          <t>វីអ៊ីស៊ិន (ខេមបូឌា) អ៊ិនដាសស្ទ្រី ឯ.ក</t>
        </is>
      </c>
      <c r="W445" s="556" t="n">
        <v>250283</v>
      </c>
    </row>
    <row r="446">
      <c r="A446" s="521" t="n">
        <v>438</v>
      </c>
      <c r="B446" s="522" t="inlineStr">
        <is>
          <t>Trucking Fee</t>
        </is>
      </c>
      <c r="C446" s="522" t="inlineStr">
        <is>
          <t>ហាវតាយ អ៊ិនធើណេសិនណល ឡូជីស្ទីក ឯ.ក</t>
        </is>
      </c>
      <c r="D446" s="522" t="inlineStr">
        <is>
          <t>K007-902202863</t>
        </is>
      </c>
      <c r="E446" s="521" t="inlineStr">
        <is>
          <t>HT230004</t>
        </is>
      </c>
      <c r="F446" s="523" t="n">
        <v>44953</v>
      </c>
      <c r="G446" s="556" t="n">
        <v>250283</v>
      </c>
      <c r="I446" s="521">
        <f>G446</f>
        <v/>
      </c>
      <c r="K446" s="521">
        <f>I446-G446</f>
        <v/>
      </c>
      <c r="M446" s="522" t="inlineStr">
        <is>
          <t>HT230004</t>
        </is>
      </c>
      <c r="N446" s="522" t="inlineStr">
        <is>
          <t>HT230004</t>
        </is>
      </c>
      <c r="O446" s="521">
        <f>M446=N446</f>
        <v/>
      </c>
      <c r="P446" s="521">
        <f>AND(MONTH(F446)=MONTH(S446), YEAR(F446)=YEAR(S446))</f>
        <v/>
      </c>
      <c r="Q446" s="521">
        <f>U446="L001-901905215"</f>
        <v/>
      </c>
      <c r="R446" s="556">
        <f>G446-W446</f>
        <v/>
      </c>
      <c r="S446" s="523" t="n">
        <v>44953</v>
      </c>
      <c r="T446" s="522" t="inlineStr">
        <is>
          <t>HT230004</t>
        </is>
      </c>
      <c r="U446" s="522" t="inlineStr">
        <is>
          <t>L001-901905215</t>
        </is>
      </c>
      <c r="V446" s="522" t="inlineStr">
        <is>
          <t>វីអ៊ីស៊ិន (ខេមបូឌា) អ៊ិនដាសស្ទ្រី ឯ.ក</t>
        </is>
      </c>
      <c r="W446" s="556" t="n">
        <v>250283</v>
      </c>
    </row>
    <row r="447">
      <c r="A447" s="521" t="n">
        <v>439</v>
      </c>
      <c r="B447" s="522" t="inlineStr">
        <is>
          <t>Trucking Fee</t>
        </is>
      </c>
      <c r="C447" s="522" t="inlineStr">
        <is>
          <t>ហាវតាយ អ៊ិនធើណេសិនណល ឡូជីស្ទីក ឯ.ក</t>
        </is>
      </c>
      <c r="D447" s="522" t="inlineStr">
        <is>
          <t>K007-902202863</t>
        </is>
      </c>
      <c r="E447" s="521" t="inlineStr">
        <is>
          <t>HT230003</t>
        </is>
      </c>
      <c r="F447" s="523" t="n">
        <v>44953</v>
      </c>
      <c r="G447" s="556" t="n">
        <v>250283</v>
      </c>
      <c r="I447" s="521">
        <f>G447</f>
        <v/>
      </c>
      <c r="K447" s="521">
        <f>I447-G447</f>
        <v/>
      </c>
      <c r="M447" s="522" t="inlineStr">
        <is>
          <t>HT230003</t>
        </is>
      </c>
      <c r="N447" s="522" t="inlineStr">
        <is>
          <t>HT230003</t>
        </is>
      </c>
      <c r="O447" s="521">
        <f>M447=N447</f>
        <v/>
      </c>
      <c r="P447" s="521">
        <f>AND(MONTH(F447)=MONTH(S447), YEAR(F447)=YEAR(S447))</f>
        <v/>
      </c>
      <c r="Q447" s="521">
        <f>U447="L001-901905215"</f>
        <v/>
      </c>
      <c r="R447" s="556">
        <f>G447-W447</f>
        <v/>
      </c>
      <c r="S447" s="523" t="n">
        <v>44953</v>
      </c>
      <c r="T447" s="522" t="inlineStr">
        <is>
          <t>HT230003</t>
        </is>
      </c>
      <c r="U447" s="522" t="inlineStr">
        <is>
          <t>L001-901905215</t>
        </is>
      </c>
      <c r="V447" s="522" t="inlineStr">
        <is>
          <t>វីអ៊ីស៊ិន (ខេមបូឌា) អ៊ិនដាសស្ទ្រី ឯ.ក</t>
        </is>
      </c>
      <c r="W447" s="556" t="n">
        <v>250283</v>
      </c>
    </row>
    <row r="448">
      <c r="A448" s="521" t="n">
        <v>440</v>
      </c>
      <c r="B448" s="522" t="inlineStr">
        <is>
          <t>Trucking Fee</t>
        </is>
      </c>
      <c r="C448" s="522" t="inlineStr">
        <is>
          <t>ហាវតាយ អ៊ិនធើណេសិនណល ឡូជីស្ទីក ឯ.ក</t>
        </is>
      </c>
      <c r="D448" s="522" t="inlineStr">
        <is>
          <t>K007-902202863</t>
        </is>
      </c>
      <c r="E448" s="521" t="inlineStr">
        <is>
          <t>HT230002</t>
        </is>
      </c>
      <c r="F448" s="523" t="n">
        <v>44953</v>
      </c>
      <c r="G448" s="556" t="n">
        <v>250283</v>
      </c>
      <c r="I448" s="521">
        <f>G448</f>
        <v/>
      </c>
      <c r="K448" s="521">
        <f>I448-G448</f>
        <v/>
      </c>
      <c r="M448" s="522" t="inlineStr">
        <is>
          <t>HT230002</t>
        </is>
      </c>
      <c r="N448" s="522" t="inlineStr">
        <is>
          <t>HT230002</t>
        </is>
      </c>
      <c r="O448" s="521">
        <f>M448=N448</f>
        <v/>
      </c>
      <c r="P448" s="521">
        <f>AND(MONTH(F448)=MONTH(S448), YEAR(F448)=YEAR(S448))</f>
        <v/>
      </c>
      <c r="Q448" s="521">
        <f>U448="L001-901905215"</f>
        <v/>
      </c>
      <c r="R448" s="556">
        <f>G448-W448</f>
        <v/>
      </c>
      <c r="S448" s="523" t="n">
        <v>44953</v>
      </c>
      <c r="T448" s="522" t="inlineStr">
        <is>
          <t>HT230002</t>
        </is>
      </c>
      <c r="U448" s="522" t="inlineStr">
        <is>
          <t>L001-901905215</t>
        </is>
      </c>
      <c r="V448" s="522" t="inlineStr">
        <is>
          <t>វីអ៊ីស៊ិន (ខេមបូឌា) អ៊ិនដាសស្ទ្រី ឯ.ក</t>
        </is>
      </c>
      <c r="W448" s="556" t="n">
        <v>250283</v>
      </c>
    </row>
    <row r="449">
      <c r="A449" s="521" t="n">
        <v>441</v>
      </c>
      <c r="B449" s="522" t="inlineStr">
        <is>
          <t>Inspection Service Fee</t>
        </is>
      </c>
      <c r="C449" s="522" t="inlineStr">
        <is>
          <t>ប្យួរ៉ូ វេរីតាស (ខេមបូឌា) លីមីធីត</t>
        </is>
      </c>
      <c r="D449" s="522" t="inlineStr">
        <is>
          <t>L001-107024462</t>
        </is>
      </c>
      <c r="E449" s="521" t="inlineStr">
        <is>
          <t>59014236</t>
        </is>
      </c>
      <c r="F449" s="523" t="n">
        <v>44957</v>
      </c>
      <c r="G449" s="556" t="n">
        <v>55591</v>
      </c>
      <c r="I449" s="521">
        <f>G449</f>
        <v/>
      </c>
      <c r="K449" s="521">
        <f>I449-G449</f>
        <v/>
      </c>
      <c r="M449" s="522" t="inlineStr">
        <is>
          <t>59014236</t>
        </is>
      </c>
      <c r="N449" s="522" t="inlineStr">
        <is>
          <t>59014236</t>
        </is>
      </c>
      <c r="O449" s="521">
        <f>M449=N449</f>
        <v/>
      </c>
      <c r="P449" s="521">
        <f>AND(MONTH(F449)=MONTH(S449), YEAR(F449)=YEAR(S449))</f>
        <v/>
      </c>
      <c r="Q449" s="521">
        <f>U449="L001-901905215"</f>
        <v/>
      </c>
      <c r="R449" s="556">
        <f>G449-W449</f>
        <v/>
      </c>
      <c r="S449" s="523" t="n">
        <v>44957</v>
      </c>
      <c r="T449" s="522" t="inlineStr">
        <is>
          <t>59014236</t>
        </is>
      </c>
      <c r="U449" s="522" t="inlineStr">
        <is>
          <t>L001-901905215</t>
        </is>
      </c>
      <c r="V449" s="522" t="inlineStr">
        <is>
          <t>វីអ៊ីស៊ិន (ខេមបូឌា) អ៊ិនដាសស្ទ្រី ឯ.ក</t>
        </is>
      </c>
      <c r="W449" s="556" t="n">
        <v>55591</v>
      </c>
    </row>
    <row r="450">
      <c r="A450" s="521" t="n">
        <v>442</v>
      </c>
      <c r="B450" s="522" t="inlineStr">
        <is>
          <t>Inspection Service Fee</t>
        </is>
      </c>
      <c r="C450" s="522" t="inlineStr">
        <is>
          <t>ប្យួរ៉ូ វេរីតាស (ខេមបូឌា) លីមីធីត</t>
        </is>
      </c>
      <c r="D450" s="522" t="inlineStr">
        <is>
          <t>L001-107024462</t>
        </is>
      </c>
      <c r="E450" s="521" t="inlineStr">
        <is>
          <t>59014222</t>
        </is>
      </c>
      <c r="F450" s="523" t="n">
        <v>44956</v>
      </c>
      <c r="G450" s="556" t="n">
        <v>55536</v>
      </c>
      <c r="I450" s="521">
        <f>G450</f>
        <v/>
      </c>
      <c r="K450" s="521">
        <f>I450-G450</f>
        <v/>
      </c>
      <c r="M450" s="522" t="inlineStr">
        <is>
          <t>59014222</t>
        </is>
      </c>
      <c r="N450" s="522" t="inlineStr">
        <is>
          <t>59014222</t>
        </is>
      </c>
      <c r="O450" s="521">
        <f>M450=N450</f>
        <v/>
      </c>
      <c r="P450" s="521">
        <f>AND(MONTH(F450)=MONTH(S450), YEAR(F450)=YEAR(S450))</f>
        <v/>
      </c>
      <c r="Q450" s="521">
        <f>U450="L001-901905215"</f>
        <v/>
      </c>
      <c r="R450" s="556">
        <f>G450-W450</f>
        <v/>
      </c>
      <c r="S450" s="523" t="n">
        <v>44956</v>
      </c>
      <c r="T450" s="522" t="inlineStr">
        <is>
          <t>59014222</t>
        </is>
      </c>
      <c r="U450" s="522" t="inlineStr">
        <is>
          <t>L001-901905215</t>
        </is>
      </c>
      <c r="V450" s="522" t="inlineStr">
        <is>
          <t>វីអ៊ីស៊ិន (ខេមបូឌា) អ៊ិនដាសស្ទ្រី ឯ.ក</t>
        </is>
      </c>
      <c r="W450" s="556" t="n">
        <v>55536</v>
      </c>
    </row>
    <row r="451">
      <c r="A451" s="521" t="n">
        <v>443</v>
      </c>
      <c r="B451" s="522" t="inlineStr">
        <is>
          <t>Inspection Service Fee</t>
        </is>
      </c>
      <c r="C451" s="522" t="inlineStr">
        <is>
          <t>ប្យួរ៉ូ វេរីតាស (ខេមបូឌា) លីមីធីត</t>
        </is>
      </c>
      <c r="D451" s="522" t="inlineStr">
        <is>
          <t>L001-107024462</t>
        </is>
      </c>
      <c r="E451" s="521" t="inlineStr">
        <is>
          <t>59014208</t>
        </is>
      </c>
      <c r="F451" s="523" t="n">
        <v>44953</v>
      </c>
      <c r="G451" s="556" t="n">
        <v>111150</v>
      </c>
      <c r="I451" s="521">
        <f>G451</f>
        <v/>
      </c>
      <c r="K451" s="521">
        <f>I451-G451</f>
        <v/>
      </c>
      <c r="M451" s="522" t="inlineStr">
        <is>
          <t>59014208</t>
        </is>
      </c>
      <c r="N451" s="522" t="inlineStr">
        <is>
          <t>59014208</t>
        </is>
      </c>
      <c r="O451" s="521">
        <f>M451=N451</f>
        <v/>
      </c>
      <c r="P451" s="521">
        <f>AND(MONTH(F451)=MONTH(S451), YEAR(F451)=YEAR(S451))</f>
        <v/>
      </c>
      <c r="Q451" s="521">
        <f>U451="L001-901905215"</f>
        <v/>
      </c>
      <c r="R451" s="556">
        <f>G451-W451</f>
        <v/>
      </c>
      <c r="S451" s="523" t="n">
        <v>44953</v>
      </c>
      <c r="T451" s="522" t="inlineStr">
        <is>
          <t>59014208</t>
        </is>
      </c>
      <c r="U451" s="522" t="inlineStr">
        <is>
          <t>L001-901905215</t>
        </is>
      </c>
      <c r="V451" s="522" t="inlineStr">
        <is>
          <t>វីអ៊ីស៊ិន (ខេមបូឌា) អ៊ិនដាសស្ទ្រី ឯ.ក</t>
        </is>
      </c>
      <c r="W451" s="556" t="n">
        <v>111150</v>
      </c>
    </row>
    <row r="452">
      <c r="A452" s="521" t="n">
        <v>444</v>
      </c>
      <c r="B452" s="522" t="inlineStr">
        <is>
          <t>Inspection Service Fee</t>
        </is>
      </c>
      <c r="C452" s="522" t="inlineStr">
        <is>
          <t>ប្យួរ៉ូ វេរីតាស (ខេមបូឌា) លីមីធីត</t>
        </is>
      </c>
      <c r="D452" s="522" t="inlineStr">
        <is>
          <t>L001-107024462</t>
        </is>
      </c>
      <c r="E452" s="521" t="inlineStr">
        <is>
          <t>59014207</t>
        </is>
      </c>
      <c r="F452" s="523" t="n">
        <v>44953</v>
      </c>
      <c r="G452" s="556" t="n">
        <v>111150</v>
      </c>
      <c r="I452" s="521">
        <f>G452</f>
        <v/>
      </c>
      <c r="K452" s="521">
        <f>I452-G452</f>
        <v/>
      </c>
      <c r="M452" s="522" t="inlineStr">
        <is>
          <t>59014207</t>
        </is>
      </c>
      <c r="N452" s="522" t="inlineStr">
        <is>
          <t>59014207</t>
        </is>
      </c>
      <c r="O452" s="521">
        <f>M452=N452</f>
        <v/>
      </c>
      <c r="P452" s="521">
        <f>AND(MONTH(F452)=MONTH(S452), YEAR(F452)=YEAR(S452))</f>
        <v/>
      </c>
      <c r="Q452" s="521">
        <f>U452="L001-901905215"</f>
        <v/>
      </c>
      <c r="R452" s="556">
        <f>G452-W452</f>
        <v/>
      </c>
      <c r="S452" s="523" t="n">
        <v>44953</v>
      </c>
      <c r="T452" s="522" t="inlineStr">
        <is>
          <t>59014207</t>
        </is>
      </c>
      <c r="U452" s="522" t="inlineStr">
        <is>
          <t>L001-901905215</t>
        </is>
      </c>
      <c r="V452" s="522" t="inlineStr">
        <is>
          <t>វីអ៊ីស៊ិន (ខេមបូឌា) អ៊ិនដាសស្ទ្រី ឯ.ក</t>
        </is>
      </c>
      <c r="W452" s="556" t="n">
        <v>111150</v>
      </c>
    </row>
    <row r="453">
      <c r="A453" s="521" t="n">
        <v>445</v>
      </c>
      <c r="B453" s="522" t="inlineStr">
        <is>
          <t>Inspection Service Fee</t>
        </is>
      </c>
      <c r="C453" s="522" t="inlineStr">
        <is>
          <t>ប្យួរ៉ូ វេរីតាស (ខេមបូឌា) លីមីធីត</t>
        </is>
      </c>
      <c r="D453" s="522" t="inlineStr">
        <is>
          <t>L001-107024462</t>
        </is>
      </c>
      <c r="E453" s="521" t="inlineStr">
        <is>
          <t>59014206</t>
        </is>
      </c>
      <c r="F453" s="523" t="n">
        <v>44953</v>
      </c>
      <c r="G453" s="556" t="n">
        <v>55577</v>
      </c>
      <c r="I453" s="521">
        <f>G453</f>
        <v/>
      </c>
      <c r="K453" s="521">
        <f>I453-G453</f>
        <v/>
      </c>
      <c r="M453" s="522" t="inlineStr">
        <is>
          <t>59014206</t>
        </is>
      </c>
      <c r="N453" s="522" t="inlineStr">
        <is>
          <t>59014206</t>
        </is>
      </c>
      <c r="O453" s="521">
        <f>M453=N453</f>
        <v/>
      </c>
      <c r="P453" s="521">
        <f>AND(MONTH(F453)=MONTH(S453), YEAR(F453)=YEAR(S453))</f>
        <v/>
      </c>
      <c r="Q453" s="521">
        <f>U453="L001-901905215"</f>
        <v/>
      </c>
      <c r="R453" s="556">
        <f>G453-W453</f>
        <v/>
      </c>
      <c r="S453" s="523" t="n">
        <v>44953</v>
      </c>
      <c r="T453" s="522" t="inlineStr">
        <is>
          <t>59014206</t>
        </is>
      </c>
      <c r="U453" s="522" t="inlineStr">
        <is>
          <t>L001-901905215</t>
        </is>
      </c>
      <c r="V453" s="522" t="inlineStr">
        <is>
          <t>វីអ៊ីស៊ិន (ខេមបូឌា) អ៊ិនដាសស្ទ្រី ឯ.ក</t>
        </is>
      </c>
      <c r="W453" s="556" t="n">
        <v>55577</v>
      </c>
    </row>
    <row r="454">
      <c r="A454" s="521" t="n">
        <v>446</v>
      </c>
      <c r="B454" s="522" t="inlineStr">
        <is>
          <t>Inspection Service Fee</t>
        </is>
      </c>
      <c r="C454" s="522" t="inlineStr">
        <is>
          <t>ប្យួរ៉ូ វេរីតាស (ខេមបូឌា) លីមីធីត</t>
        </is>
      </c>
      <c r="D454" s="522" t="inlineStr">
        <is>
          <t>L001-107024462</t>
        </is>
      </c>
      <c r="E454" s="521" t="inlineStr">
        <is>
          <t>59014197</t>
        </is>
      </c>
      <c r="F454" s="523" t="n">
        <v>44953</v>
      </c>
      <c r="G454" s="556" t="n">
        <v>221935</v>
      </c>
      <c r="I454" s="521">
        <f>G454</f>
        <v/>
      </c>
      <c r="K454" s="521">
        <f>I454-G454</f>
        <v/>
      </c>
      <c r="M454" s="522" t="inlineStr">
        <is>
          <t>59014197</t>
        </is>
      </c>
      <c r="N454" s="522" t="inlineStr">
        <is>
          <t>59014197</t>
        </is>
      </c>
      <c r="O454" s="521">
        <f>M454=N454</f>
        <v/>
      </c>
      <c r="P454" s="521">
        <f>AND(MONTH(F454)=MONTH(S454), YEAR(F454)=YEAR(S454))</f>
        <v/>
      </c>
      <c r="Q454" s="521">
        <f>U454="L001-901905215"</f>
        <v/>
      </c>
      <c r="R454" s="556">
        <f>G454-W454</f>
        <v/>
      </c>
      <c r="S454" s="523" t="n">
        <v>44953</v>
      </c>
      <c r="T454" s="522" t="inlineStr">
        <is>
          <t>59014197</t>
        </is>
      </c>
      <c r="U454" s="522" t="inlineStr">
        <is>
          <t>L001-901905215</t>
        </is>
      </c>
      <c r="V454" s="522" t="inlineStr">
        <is>
          <t>វីអ៊ីស៊ិន (ខេមបូឌា) អ៊ិនដាសស្ទ្រី ឯ.ក</t>
        </is>
      </c>
      <c r="W454" s="556" t="n">
        <v>221935</v>
      </c>
    </row>
    <row r="455">
      <c r="A455" s="521" t="n">
        <v>447</v>
      </c>
      <c r="B455" s="522" t="inlineStr">
        <is>
          <t>Inspection Service Fee</t>
        </is>
      </c>
      <c r="C455" s="522" t="inlineStr">
        <is>
          <t>ប្យួរ៉ូ វេរីតាស (ខេមបូឌា) លីមីធីត</t>
        </is>
      </c>
      <c r="D455" s="522" t="inlineStr">
        <is>
          <t>L001-107024462</t>
        </is>
      </c>
      <c r="E455" s="521" t="inlineStr">
        <is>
          <t>59014177</t>
        </is>
      </c>
      <c r="F455" s="523" t="n">
        <v>44946</v>
      </c>
      <c r="G455" s="556" t="n">
        <v>55767</v>
      </c>
      <c r="I455" s="521">
        <f>G455</f>
        <v/>
      </c>
      <c r="K455" s="521">
        <f>I455-G455</f>
        <v/>
      </c>
      <c r="M455" s="522" t="inlineStr">
        <is>
          <t>59014177</t>
        </is>
      </c>
      <c r="N455" s="522" t="inlineStr">
        <is>
          <t>59014177</t>
        </is>
      </c>
      <c r="O455" s="521">
        <f>M455=N455</f>
        <v/>
      </c>
      <c r="P455" s="521">
        <f>AND(MONTH(F455)=MONTH(S455), YEAR(F455)=YEAR(S455))</f>
        <v/>
      </c>
      <c r="Q455" s="521">
        <f>U455="L001-901905215"</f>
        <v/>
      </c>
      <c r="R455" s="556">
        <f>G455-W455</f>
        <v/>
      </c>
      <c r="S455" s="523" t="n">
        <v>44946</v>
      </c>
      <c r="T455" s="522" t="inlineStr">
        <is>
          <t>59014177</t>
        </is>
      </c>
      <c r="U455" s="522" t="inlineStr">
        <is>
          <t>L001-901905215</t>
        </is>
      </c>
      <c r="V455" s="522" t="inlineStr">
        <is>
          <t>វីអ៊ីស៊ិន (ខេមបូឌា) អ៊ិនដាសស្ទ្រី ឯ.ក</t>
        </is>
      </c>
      <c r="W455" s="556" t="n">
        <v>55767</v>
      </c>
    </row>
    <row r="456">
      <c r="A456" s="521" t="n">
        <v>448</v>
      </c>
      <c r="B456" s="522" t="inlineStr">
        <is>
          <t>Inspection Service Fee</t>
        </is>
      </c>
      <c r="C456" s="522" t="inlineStr">
        <is>
          <t>ប្យួរ៉ូ វេរីតាស (ខេមបូឌា) លីមីធីត</t>
        </is>
      </c>
      <c r="D456" s="522" t="inlineStr">
        <is>
          <t>L001-107024462</t>
        </is>
      </c>
      <c r="E456" s="521" t="inlineStr">
        <is>
          <t>59014153</t>
        </is>
      </c>
      <c r="F456" s="523" t="n">
        <v>44939</v>
      </c>
      <c r="G456" s="556" t="n">
        <v>55753</v>
      </c>
      <c r="I456" s="521">
        <f>G456</f>
        <v/>
      </c>
      <c r="K456" s="521">
        <f>I456-G456</f>
        <v/>
      </c>
      <c r="M456" s="522" t="inlineStr">
        <is>
          <t>59014153</t>
        </is>
      </c>
      <c r="N456" s="522" t="inlineStr">
        <is>
          <t>59014153</t>
        </is>
      </c>
      <c r="O456" s="521">
        <f>M456=N456</f>
        <v/>
      </c>
      <c r="P456" s="521">
        <f>AND(MONTH(F456)=MONTH(S456), YEAR(F456)=YEAR(S456))</f>
        <v/>
      </c>
      <c r="Q456" s="521">
        <f>U456="L001-901905215"</f>
        <v/>
      </c>
      <c r="R456" s="556">
        <f>G456-W456</f>
        <v/>
      </c>
      <c r="S456" s="523" t="n">
        <v>44939</v>
      </c>
      <c r="T456" s="522" t="inlineStr">
        <is>
          <t>59014153</t>
        </is>
      </c>
      <c r="U456" s="522" t="inlineStr">
        <is>
          <t>L001-901905215</t>
        </is>
      </c>
      <c r="V456" s="522" t="inlineStr">
        <is>
          <t>វីអ៊ីស៊ិន (ខេមបូឌា) អ៊ិនដាសស្ទ្រី ឯ.ក</t>
        </is>
      </c>
      <c r="W456" s="556" t="n">
        <v>55753</v>
      </c>
    </row>
    <row r="457">
      <c r="A457" s="521" t="n">
        <v>449</v>
      </c>
      <c r="B457" s="522" t="inlineStr">
        <is>
          <t>Inspection Service Fee</t>
        </is>
      </c>
      <c r="C457" s="522" t="inlineStr">
        <is>
          <t>ប្យួរ៉ូ វេរីតាស (ខេមបូឌា) លីមីធីត</t>
        </is>
      </c>
      <c r="D457" s="522" t="inlineStr">
        <is>
          <t>L001-107024462</t>
        </is>
      </c>
      <c r="E457" s="521" t="inlineStr">
        <is>
          <t>59014150</t>
        </is>
      </c>
      <c r="F457" s="523" t="n">
        <v>44938</v>
      </c>
      <c r="G457" s="556" t="n">
        <v>55740</v>
      </c>
      <c r="I457" s="521">
        <f>G457</f>
        <v/>
      </c>
      <c r="K457" s="521">
        <f>I457-G457</f>
        <v/>
      </c>
      <c r="M457" s="522" t="inlineStr">
        <is>
          <t>59014150</t>
        </is>
      </c>
      <c r="N457" s="522" t="inlineStr">
        <is>
          <t>59014150</t>
        </is>
      </c>
      <c r="O457" s="521">
        <f>M457=N457</f>
        <v/>
      </c>
      <c r="P457" s="521">
        <f>AND(MONTH(F457)=MONTH(S457), YEAR(F457)=YEAR(S457))</f>
        <v/>
      </c>
      <c r="Q457" s="521">
        <f>U457="L001-901905215"</f>
        <v/>
      </c>
      <c r="R457" s="556">
        <f>G457-W457</f>
        <v/>
      </c>
      <c r="S457" s="523" t="n">
        <v>44938</v>
      </c>
      <c r="T457" s="522" t="inlineStr">
        <is>
          <t>59014150</t>
        </is>
      </c>
      <c r="U457" s="522" t="inlineStr">
        <is>
          <t>L001-901905215</t>
        </is>
      </c>
      <c r="V457" s="522" t="inlineStr">
        <is>
          <t>វីអ៊ីស៊ិន (ខេមបូឌា) អ៊ិនដាសស្ទ្រី ឯ.ក</t>
        </is>
      </c>
      <c r="W457" s="556" t="n">
        <v>55740</v>
      </c>
    </row>
    <row r="458">
      <c r="A458" s="521" t="n">
        <v>450</v>
      </c>
      <c r="B458" s="522" t="inlineStr">
        <is>
          <t>Inspection Service Fee</t>
        </is>
      </c>
      <c r="C458" s="522" t="inlineStr">
        <is>
          <t>ប្យួរ៉ូ វេរីតាស (ខេមបូឌា) លីមីធីត</t>
        </is>
      </c>
      <c r="D458" s="522" t="inlineStr">
        <is>
          <t>L001-107024462</t>
        </is>
      </c>
      <c r="E458" s="521" t="inlineStr">
        <is>
          <t>59014130</t>
        </is>
      </c>
      <c r="F458" s="523" t="n">
        <v>44936</v>
      </c>
      <c r="G458" s="556" t="n">
        <v>55780</v>
      </c>
      <c r="I458" s="521">
        <f>G458</f>
        <v/>
      </c>
      <c r="K458" s="521">
        <f>I458-G458</f>
        <v/>
      </c>
      <c r="M458" s="522" t="inlineStr">
        <is>
          <t>59014130</t>
        </is>
      </c>
      <c r="N458" s="522" t="inlineStr">
        <is>
          <t>59014130</t>
        </is>
      </c>
      <c r="O458" s="521">
        <f>M458=N458</f>
        <v/>
      </c>
      <c r="P458" s="521">
        <f>AND(MONTH(F458)=MONTH(S458), YEAR(F458)=YEAR(S458))</f>
        <v/>
      </c>
      <c r="Q458" s="521">
        <f>U458="L001-901905215"</f>
        <v/>
      </c>
      <c r="R458" s="556">
        <f>G458-W458</f>
        <v/>
      </c>
      <c r="S458" s="523" t="n">
        <v>44936</v>
      </c>
      <c r="T458" s="522" t="inlineStr">
        <is>
          <t>59014130</t>
        </is>
      </c>
      <c r="U458" s="522" t="inlineStr">
        <is>
          <t>L001-901905215</t>
        </is>
      </c>
      <c r="V458" s="522" t="inlineStr">
        <is>
          <t>វីអ៊ីស៊ិន (ខេមបូឌា) អ៊ិនដាសស្ទ្រី ឯ.ក</t>
        </is>
      </c>
      <c r="W458" s="556" t="n">
        <v>55780</v>
      </c>
    </row>
    <row r="459">
      <c r="A459" s="521" t="n">
        <v>451</v>
      </c>
      <c r="B459" s="522" t="inlineStr">
        <is>
          <t>Inspection Service Fee</t>
        </is>
      </c>
      <c r="C459" s="522" t="inlineStr">
        <is>
          <t>ប្យួរ៉ូ វេរីតាស (ខេមបូឌា) លីមីធីត</t>
        </is>
      </c>
      <c r="D459" s="522" t="inlineStr">
        <is>
          <t>L001-107024462</t>
        </is>
      </c>
      <c r="E459" s="521" t="inlineStr">
        <is>
          <t>59014127</t>
        </is>
      </c>
      <c r="F459" s="523" t="n">
        <v>44936</v>
      </c>
      <c r="G459" s="556" t="n">
        <v>55780</v>
      </c>
      <c r="I459" s="521">
        <f>G459</f>
        <v/>
      </c>
      <c r="K459" s="521">
        <f>I459-G459</f>
        <v/>
      </c>
      <c r="M459" s="522" t="inlineStr">
        <is>
          <t>59014127</t>
        </is>
      </c>
      <c r="N459" s="522" t="inlineStr">
        <is>
          <t>59014127</t>
        </is>
      </c>
      <c r="O459" s="521">
        <f>M459=N459</f>
        <v/>
      </c>
      <c r="P459" s="521">
        <f>AND(MONTH(F459)=MONTH(S459), YEAR(F459)=YEAR(S459))</f>
        <v/>
      </c>
      <c r="Q459" s="521">
        <f>U459="L001-901905215"</f>
        <v/>
      </c>
      <c r="R459" s="556">
        <f>G459-W459</f>
        <v/>
      </c>
      <c r="S459" s="523" t="n">
        <v>44936</v>
      </c>
      <c r="T459" s="522" t="inlineStr">
        <is>
          <t>59014127</t>
        </is>
      </c>
      <c r="U459" s="522" t="inlineStr">
        <is>
          <t>L001-901905215</t>
        </is>
      </c>
      <c r="V459" s="522" t="inlineStr">
        <is>
          <t>វីអ៊ីស៊ិន (ខេមបូឌា) អ៊ិនដាសស្ទ្រី ឯ.ក</t>
        </is>
      </c>
      <c r="W459" s="556" t="n">
        <v>55780</v>
      </c>
    </row>
    <row r="460">
      <c r="A460" s="521" t="n">
        <v>452</v>
      </c>
      <c r="B460" s="522" t="inlineStr">
        <is>
          <t>Inspection Service Fee</t>
        </is>
      </c>
      <c r="C460" s="522" t="inlineStr">
        <is>
          <t>ប្យួរ៉ូ វេរីតាស (ខេមបូឌា) លីមីធីត</t>
        </is>
      </c>
      <c r="D460" s="522" t="inlineStr">
        <is>
          <t>L001-107024462</t>
        </is>
      </c>
      <c r="E460" s="521" t="inlineStr">
        <is>
          <t>59014114</t>
        </is>
      </c>
      <c r="F460" s="523" t="n">
        <v>44935</v>
      </c>
      <c r="G460" s="556" t="n">
        <v>111611</v>
      </c>
      <c r="I460" s="521">
        <f>G460</f>
        <v/>
      </c>
      <c r="K460" s="521">
        <f>I460-G460</f>
        <v/>
      </c>
      <c r="M460" s="522" t="inlineStr">
        <is>
          <t>59014114</t>
        </is>
      </c>
      <c r="N460" s="522" t="inlineStr">
        <is>
          <t>59014114</t>
        </is>
      </c>
      <c r="O460" s="521">
        <f>M460=N460</f>
        <v/>
      </c>
      <c r="P460" s="521">
        <f>AND(MONTH(F460)=MONTH(S460), YEAR(F460)=YEAR(S460))</f>
        <v/>
      </c>
      <c r="Q460" s="521">
        <f>U460="L001-901905215"</f>
        <v/>
      </c>
      <c r="R460" s="556">
        <f>G460-W460</f>
        <v/>
      </c>
      <c r="S460" s="523" t="n">
        <v>44935</v>
      </c>
      <c r="T460" s="522" t="inlineStr">
        <is>
          <t>59014114</t>
        </is>
      </c>
      <c r="U460" s="522" t="inlineStr">
        <is>
          <t>L001-901905215</t>
        </is>
      </c>
      <c r="V460" s="522" t="inlineStr">
        <is>
          <t>វីអ៊ីស៊ិន (ខេមបូឌា) អ៊ិនដាសស្ទ្រី ឯ.ក</t>
        </is>
      </c>
      <c r="W460" s="556" t="n">
        <v>111611</v>
      </c>
    </row>
    <row r="461">
      <c r="A461" s="521" t="n">
        <v>453</v>
      </c>
      <c r="B461" s="522" t="inlineStr">
        <is>
          <t>Clearance &amp; Trucking Fee</t>
        </is>
      </c>
      <c r="C461" s="522" t="inlineStr">
        <is>
          <t>56ប៊ី-លីង សឹបផ្លាយ ឆេន មេនេចម៉ិន ឯ.ក</t>
        </is>
      </c>
      <c r="D461" s="522" t="inlineStr">
        <is>
          <t>K004-902004795</t>
        </is>
      </c>
      <c r="E461" s="521" t="inlineStr">
        <is>
          <t>TI2023-0020</t>
        </is>
      </c>
      <c r="F461" s="523" t="n">
        <v>44932</v>
      </c>
      <c r="G461" s="556" t="n">
        <v>212077</v>
      </c>
      <c r="I461" s="521">
        <f>G461</f>
        <v/>
      </c>
      <c r="K461" s="521">
        <f>I461-G461</f>
        <v/>
      </c>
      <c r="M461" s="522" t="inlineStr">
        <is>
          <t>TI20230020</t>
        </is>
      </c>
      <c r="N461" s="522" t="inlineStr">
        <is>
          <t>TI20230020</t>
        </is>
      </c>
      <c r="O461" s="521">
        <f>M461=N461</f>
        <v/>
      </c>
      <c r="P461" s="521">
        <f>AND(MONTH(F461)=MONTH(S461), YEAR(F461)=YEAR(S461))</f>
        <v/>
      </c>
      <c r="Q461" s="521">
        <f>U461="L001-901905215"</f>
        <v/>
      </c>
      <c r="R461" s="556">
        <f>G461-W461</f>
        <v/>
      </c>
      <c r="S461" s="523" t="n">
        <v>44932</v>
      </c>
      <c r="T461" s="522" t="inlineStr">
        <is>
          <t>TI2023-0020</t>
        </is>
      </c>
      <c r="U461" s="522" t="inlineStr">
        <is>
          <t>L001-901905215</t>
        </is>
      </c>
      <c r="V461" s="522" t="inlineStr">
        <is>
          <t>វីអ៊ីស៊ិន (ខេមបូឌា) អ៊ិនដាសស្ទ្រី ឯ.ក</t>
        </is>
      </c>
      <c r="W461" s="556" t="n">
        <v>212077</v>
      </c>
    </row>
    <row r="462">
      <c r="A462" s="521" t="n">
        <v>454</v>
      </c>
      <c r="B462" s="522" t="inlineStr">
        <is>
          <t>Clearance &amp; Trucking Fee</t>
        </is>
      </c>
      <c r="C462" s="522" t="inlineStr">
        <is>
          <t>56ប៊ី-លីង សឹបផ្លាយ ឆេន មេនេចម៉ិន ឯ.ក</t>
        </is>
      </c>
      <c r="D462" s="522" t="inlineStr">
        <is>
          <t>K004-902004795</t>
        </is>
      </c>
      <c r="E462" s="521" t="inlineStr">
        <is>
          <t>TI2023-0019</t>
        </is>
      </c>
      <c r="F462" s="523" t="n">
        <v>44932</v>
      </c>
      <c r="G462" s="556" t="n">
        <v>212077</v>
      </c>
      <c r="I462" s="521">
        <f>G462</f>
        <v/>
      </c>
      <c r="K462" s="521">
        <f>I462-G462</f>
        <v/>
      </c>
      <c r="M462" s="522" t="inlineStr">
        <is>
          <t>TI20230019</t>
        </is>
      </c>
      <c r="N462" s="522" t="inlineStr">
        <is>
          <t>TI20230019</t>
        </is>
      </c>
      <c r="O462" s="521">
        <f>M462=N462</f>
        <v/>
      </c>
      <c r="P462" s="521">
        <f>AND(MONTH(F462)=MONTH(S462), YEAR(F462)=YEAR(S462))</f>
        <v/>
      </c>
      <c r="Q462" s="521">
        <f>U462="L001-901905215"</f>
        <v/>
      </c>
      <c r="R462" s="556">
        <f>G462-W462</f>
        <v/>
      </c>
      <c r="S462" s="523" t="n">
        <v>44932</v>
      </c>
      <c r="T462" s="522" t="inlineStr">
        <is>
          <t>TI2023-0019</t>
        </is>
      </c>
      <c r="U462" s="522" t="inlineStr">
        <is>
          <t>L001-901905215</t>
        </is>
      </c>
      <c r="V462" s="522" t="inlineStr">
        <is>
          <t>វីអ៊ីស៊ិន (ខេមបូឌា) អ៊ិនដាសស្ទ្រី ឯ.ក</t>
        </is>
      </c>
      <c r="W462" s="556" t="n">
        <v>212077</v>
      </c>
    </row>
    <row r="463">
      <c r="A463" s="521" t="n">
        <v>455</v>
      </c>
      <c r="B463" s="522" t="inlineStr">
        <is>
          <t>Clearance &amp; Trucking Fee</t>
        </is>
      </c>
      <c r="C463" s="522" t="inlineStr">
        <is>
          <t>56ប៊ី-លីង សឹបផ្លាយ ឆេន មេនេចម៉ិន ឯ.ក</t>
        </is>
      </c>
      <c r="D463" s="522" t="inlineStr">
        <is>
          <t>K004-902004795</t>
        </is>
      </c>
      <c r="E463" s="521" t="inlineStr">
        <is>
          <t>TI2023-0018</t>
        </is>
      </c>
      <c r="F463" s="523" t="n">
        <v>44932</v>
      </c>
      <c r="G463" s="556" t="n">
        <v>490042</v>
      </c>
      <c r="I463" s="521">
        <f>G463</f>
        <v/>
      </c>
      <c r="K463" s="521">
        <f>I463-G463</f>
        <v/>
      </c>
      <c r="M463" s="522" t="inlineStr">
        <is>
          <t>TI20230018</t>
        </is>
      </c>
      <c r="N463" s="522" t="inlineStr">
        <is>
          <t>TI20230018</t>
        </is>
      </c>
      <c r="O463" s="521">
        <f>M463=N463</f>
        <v/>
      </c>
      <c r="P463" s="521">
        <f>AND(MONTH(F463)=MONTH(S463), YEAR(F463)=YEAR(S463))</f>
        <v/>
      </c>
      <c r="Q463" s="521">
        <f>U463="L001-901905215"</f>
        <v/>
      </c>
      <c r="R463" s="556">
        <f>G463-W463</f>
        <v/>
      </c>
      <c r="S463" s="523" t="n">
        <v>44932</v>
      </c>
      <c r="T463" s="522" t="inlineStr">
        <is>
          <t>TI2023-0018</t>
        </is>
      </c>
      <c r="U463" s="522" t="inlineStr">
        <is>
          <t>L001-901905215</t>
        </is>
      </c>
      <c r="V463" s="522" t="inlineStr">
        <is>
          <t>វីអ៊ីស៊ិន (ខេមបូឌា) អ៊ិនដាសស្ទ្រី ឯ.ក</t>
        </is>
      </c>
      <c r="W463" s="556" t="n">
        <v>490042</v>
      </c>
    </row>
    <row r="464">
      <c r="A464" s="521" t="n">
        <v>456</v>
      </c>
      <c r="B464" s="522" t="inlineStr">
        <is>
          <t>Clearance &amp; Trucking Fee</t>
        </is>
      </c>
      <c r="C464" s="522" t="inlineStr">
        <is>
          <t>56ប៊ី-លីង សឹបផ្លាយ ឆេន មេនេចម៉ិន ឯ.ក</t>
        </is>
      </c>
      <c r="D464" s="522" t="inlineStr">
        <is>
          <t>K004-902004795</t>
        </is>
      </c>
      <c r="E464" s="521" t="inlineStr">
        <is>
          <t>TI2023-0017</t>
        </is>
      </c>
      <c r="F464" s="523" t="n">
        <v>44932</v>
      </c>
      <c r="G464" s="556" t="n">
        <v>490042</v>
      </c>
      <c r="I464" s="521">
        <f>G464</f>
        <v/>
      </c>
      <c r="K464" s="521">
        <f>I464-G464</f>
        <v/>
      </c>
      <c r="M464" s="522" t="inlineStr">
        <is>
          <t>TI20230017</t>
        </is>
      </c>
      <c r="N464" s="522" t="inlineStr">
        <is>
          <t>TI20230017</t>
        </is>
      </c>
      <c r="O464" s="521">
        <f>M464=N464</f>
        <v/>
      </c>
      <c r="P464" s="521">
        <f>AND(MONTH(F464)=MONTH(S464), YEAR(F464)=YEAR(S464))</f>
        <v/>
      </c>
      <c r="Q464" s="521">
        <f>U464="L001-901905215"</f>
        <v/>
      </c>
      <c r="R464" s="556">
        <f>G464-W464</f>
        <v/>
      </c>
      <c r="S464" s="523" t="n">
        <v>44932</v>
      </c>
      <c r="T464" s="522" t="inlineStr">
        <is>
          <t>TI2023-0017</t>
        </is>
      </c>
      <c r="U464" s="522" t="inlineStr">
        <is>
          <t>L001-901905215</t>
        </is>
      </c>
      <c r="V464" s="522" t="inlineStr">
        <is>
          <t>វីអ៊ីស៊ិន (ខេមបូឌា) អ៊ិនដាសស្ទ្រី ឯ.ក</t>
        </is>
      </c>
      <c r="W464" s="556" t="n">
        <v>490042</v>
      </c>
    </row>
    <row r="465">
      <c r="A465" s="521" t="n">
        <v>457</v>
      </c>
      <c r="B465" s="522" t="inlineStr">
        <is>
          <t>Clearance &amp; Trucking Fee</t>
        </is>
      </c>
      <c r="C465" s="522" t="inlineStr">
        <is>
          <t>56ប៊ី-លីង សឹបផ្លាយ ឆេន មេនេចម៉ិន ឯ.ក</t>
        </is>
      </c>
      <c r="D465" s="522" t="inlineStr">
        <is>
          <t>K004-902004795</t>
        </is>
      </c>
      <c r="E465" s="521" t="inlineStr">
        <is>
          <t>TI2023-0016</t>
        </is>
      </c>
      <c r="F465" s="523" t="n">
        <v>44932</v>
      </c>
      <c r="G465" s="556" t="n">
        <v>273847</v>
      </c>
      <c r="I465" s="521">
        <f>G465</f>
        <v/>
      </c>
      <c r="K465" s="521">
        <f>I465-G465</f>
        <v/>
      </c>
      <c r="M465" s="522" t="inlineStr">
        <is>
          <t>TI20230016</t>
        </is>
      </c>
      <c r="N465" s="522" t="inlineStr">
        <is>
          <t>TI20230016</t>
        </is>
      </c>
      <c r="O465" s="521">
        <f>M465=N465</f>
        <v/>
      </c>
      <c r="P465" s="521">
        <f>AND(MONTH(F465)=MONTH(S465), YEAR(F465)=YEAR(S465))</f>
        <v/>
      </c>
      <c r="Q465" s="521">
        <f>U465="L001-901905215"</f>
        <v/>
      </c>
      <c r="R465" s="556">
        <f>G465-W465</f>
        <v/>
      </c>
      <c r="S465" s="523" t="n">
        <v>44932</v>
      </c>
      <c r="T465" s="522" t="inlineStr">
        <is>
          <t>TI2023-0016</t>
        </is>
      </c>
      <c r="U465" s="522" t="inlineStr">
        <is>
          <t>L001-901905215</t>
        </is>
      </c>
      <c r="V465" s="522" t="inlineStr">
        <is>
          <t>វីអ៊ីស៊ិន (ខេមបូឌា) អ៊ិនដាសស្ទ្រី ឯ.ក</t>
        </is>
      </c>
      <c r="W465" s="556" t="n">
        <v>273847</v>
      </c>
    </row>
    <row r="466">
      <c r="A466" s="521" t="n">
        <v>458</v>
      </c>
      <c r="B466" s="522" t="inlineStr">
        <is>
          <t>Clearance &amp; Trucking Fee</t>
        </is>
      </c>
      <c r="C466" s="522" t="inlineStr">
        <is>
          <t>56ប៊ី-លីង សឹបផ្លាយ ឆេន មេនេចម៉ិន ឯ.ក</t>
        </is>
      </c>
      <c r="D466" s="522" t="inlineStr">
        <is>
          <t>K004-902004795</t>
        </is>
      </c>
      <c r="E466" s="521" t="inlineStr">
        <is>
          <t>TI2023-0066</t>
        </is>
      </c>
      <c r="F466" s="523" t="n">
        <v>44956</v>
      </c>
      <c r="G466" s="556" t="n">
        <v>487900</v>
      </c>
      <c r="I466" s="521">
        <f>G466</f>
        <v/>
      </c>
      <c r="K466" s="521">
        <f>I466-G466</f>
        <v/>
      </c>
      <c r="M466" s="522" t="inlineStr">
        <is>
          <t>TI20230066</t>
        </is>
      </c>
      <c r="N466" s="522" t="inlineStr">
        <is>
          <t>TI20230066</t>
        </is>
      </c>
      <c r="O466" s="521">
        <f>M466=N466</f>
        <v/>
      </c>
      <c r="P466" s="521">
        <f>AND(MONTH(F466)=MONTH(S466), YEAR(F466)=YEAR(S466))</f>
        <v/>
      </c>
      <c r="Q466" s="521">
        <f>U466="L001-901905215"</f>
        <v/>
      </c>
      <c r="R466" s="556">
        <f>G466-W466</f>
        <v/>
      </c>
      <c r="S466" s="523" t="n">
        <v>44956</v>
      </c>
      <c r="T466" s="522" t="inlineStr">
        <is>
          <t>TI2023-0066</t>
        </is>
      </c>
      <c r="U466" s="522" t="inlineStr">
        <is>
          <t>L001-901905215</t>
        </is>
      </c>
      <c r="V466" s="522" t="inlineStr">
        <is>
          <t>វីអ៊ីស៊ិន (ខេមបូឌា) អ៊ិនដាសស្ទ្រី ឯ.ក</t>
        </is>
      </c>
      <c r="W466" s="556" t="n">
        <v>487900</v>
      </c>
    </row>
    <row r="467">
      <c r="A467" s="521" t="n">
        <v>459</v>
      </c>
      <c r="B467" s="522" t="inlineStr">
        <is>
          <t>Clearance &amp; Trucking Fee</t>
        </is>
      </c>
      <c r="C467" s="522" t="inlineStr">
        <is>
          <t>56ប៊ី-លីង សឹបផ្លាយ ឆេន មេនេចម៉ិន ឯ.ក</t>
        </is>
      </c>
      <c r="D467" s="522" t="inlineStr">
        <is>
          <t>K004-902004795</t>
        </is>
      </c>
      <c r="E467" s="521" t="inlineStr">
        <is>
          <t>TI2023-0065</t>
        </is>
      </c>
      <c r="F467" s="523" t="n">
        <v>44956</v>
      </c>
      <c r="G467" s="556" t="n">
        <v>487900</v>
      </c>
      <c r="I467" s="521">
        <f>G467</f>
        <v/>
      </c>
      <c r="K467" s="521">
        <f>I467-G467</f>
        <v/>
      </c>
      <c r="M467" s="522" t="inlineStr">
        <is>
          <t>TI20230065</t>
        </is>
      </c>
      <c r="N467" s="522" t="inlineStr">
        <is>
          <t>TI20230065</t>
        </is>
      </c>
      <c r="O467" s="521">
        <f>M467=N467</f>
        <v/>
      </c>
      <c r="P467" s="521">
        <f>AND(MONTH(F467)=MONTH(S467), YEAR(F467)=YEAR(S467))</f>
        <v/>
      </c>
      <c r="Q467" s="521">
        <f>U467="L001-901905215"</f>
        <v/>
      </c>
      <c r="R467" s="556">
        <f>G467-W467</f>
        <v/>
      </c>
      <c r="S467" s="523" t="n">
        <v>44956</v>
      </c>
      <c r="T467" s="522" t="inlineStr">
        <is>
          <t>TI2023-0065</t>
        </is>
      </c>
      <c r="U467" s="522" t="inlineStr">
        <is>
          <t>L001-901905215</t>
        </is>
      </c>
      <c r="V467" s="522" t="inlineStr">
        <is>
          <t>វីអ៊ីស៊ិន (ខេមបូឌា) អ៊ិនដាសស្ទ្រី ឯ.ក</t>
        </is>
      </c>
      <c r="W467" s="556" t="n">
        <v>487900</v>
      </c>
    </row>
    <row r="468">
      <c r="A468" s="521" t="n">
        <v>460</v>
      </c>
      <c r="B468" s="522" t="inlineStr">
        <is>
          <t>Clearance &amp; Trucking Fee</t>
        </is>
      </c>
      <c r="C468" s="522" t="inlineStr">
        <is>
          <t>56ប៊ី-លីង សឹបផ្លាយ ឆេន មេនេចម៉ិន ឯ.ក</t>
        </is>
      </c>
      <c r="D468" s="522" t="inlineStr">
        <is>
          <t>K004-902004795</t>
        </is>
      </c>
      <c r="E468" s="521" t="inlineStr">
        <is>
          <t>TI2023-0064</t>
        </is>
      </c>
      <c r="F468" s="523" t="n">
        <v>44956</v>
      </c>
      <c r="G468" s="556" t="n">
        <v>260350</v>
      </c>
      <c r="I468" s="521">
        <f>G468</f>
        <v/>
      </c>
      <c r="K468" s="521">
        <f>I468-G468</f>
        <v/>
      </c>
      <c r="M468" s="522" t="inlineStr">
        <is>
          <t>TI20230064</t>
        </is>
      </c>
      <c r="N468" s="522" t="inlineStr">
        <is>
          <t>TI20230064</t>
        </is>
      </c>
      <c r="O468" s="521">
        <f>M468=N468</f>
        <v/>
      </c>
      <c r="P468" s="521">
        <f>AND(MONTH(F468)=MONTH(S468), YEAR(F468)=YEAR(S468))</f>
        <v/>
      </c>
      <c r="Q468" s="521">
        <f>U468="L001-901905215"</f>
        <v/>
      </c>
      <c r="R468" s="556">
        <f>G468-W468</f>
        <v/>
      </c>
      <c r="S468" s="523" t="n">
        <v>44956</v>
      </c>
      <c r="T468" s="522" t="inlineStr">
        <is>
          <t>TI2023-0064</t>
        </is>
      </c>
      <c r="U468" s="522" t="inlineStr">
        <is>
          <t>L001-901905215</t>
        </is>
      </c>
      <c r="V468" s="522" t="inlineStr">
        <is>
          <t>វីអ៊ីស៊ិន (ខេមបូឌា) អ៊ិនដាសស្ទ្រី ឯ.ក</t>
        </is>
      </c>
      <c r="W468" s="556" t="n">
        <v>260350</v>
      </c>
    </row>
    <row r="469">
      <c r="A469" s="521" t="n">
        <v>461</v>
      </c>
      <c r="B469" s="522" t="inlineStr">
        <is>
          <t>Clearance &amp; Trucking Fee</t>
        </is>
      </c>
      <c r="C469" s="522" t="inlineStr">
        <is>
          <t>56ប៊ី-លីង សឹបផ្លាយ ឆេន មេនេចម៉ិន ឯ.ក</t>
        </is>
      </c>
      <c r="D469" s="522" t="inlineStr">
        <is>
          <t>K004-902004795</t>
        </is>
      </c>
      <c r="E469" s="521" t="inlineStr">
        <is>
          <t>TI2023-0063</t>
        </is>
      </c>
      <c r="F469" s="523" t="n">
        <v>44956</v>
      </c>
      <c r="G469" s="556" t="n">
        <v>172200</v>
      </c>
      <c r="I469" s="521">
        <f>G469</f>
        <v/>
      </c>
      <c r="K469" s="521">
        <f>I469-G469</f>
        <v/>
      </c>
      <c r="M469" s="522" t="inlineStr">
        <is>
          <t>TI20230063</t>
        </is>
      </c>
      <c r="N469" s="522" t="inlineStr">
        <is>
          <t>TI20230063</t>
        </is>
      </c>
      <c r="O469" s="521">
        <f>M469=N469</f>
        <v/>
      </c>
      <c r="P469" s="521">
        <f>AND(MONTH(F469)=MONTH(S469), YEAR(F469)=YEAR(S469))</f>
        <v/>
      </c>
      <c r="Q469" s="521">
        <f>U469="L001-901905215"</f>
        <v/>
      </c>
      <c r="R469" s="556">
        <f>G469-W469</f>
        <v/>
      </c>
      <c r="S469" s="523" t="n">
        <v>44956</v>
      </c>
      <c r="T469" s="522" t="inlineStr">
        <is>
          <t>TI2023-0063</t>
        </is>
      </c>
      <c r="U469" s="522" t="inlineStr">
        <is>
          <t>L001-901905215</t>
        </is>
      </c>
      <c r="V469" s="522" t="inlineStr">
        <is>
          <t>វីអ៊ីស៊ិន (ខេមបូឌា) អ៊ិនដាសស្ទ្រី ឯ.ក</t>
        </is>
      </c>
      <c r="W469" s="556" t="n">
        <v>172200</v>
      </c>
    </row>
    <row r="470">
      <c r="A470" s="521" t="n">
        <v>462</v>
      </c>
      <c r="B470" s="522" t="inlineStr">
        <is>
          <t>Clearance &amp; Trucking Fee</t>
        </is>
      </c>
      <c r="C470" s="522" t="inlineStr">
        <is>
          <t>56ប៊ី-លីង សឹបផ្លាយ ឆេន មេនេចម៉ិន ឯ.ក</t>
        </is>
      </c>
      <c r="D470" s="522" t="inlineStr">
        <is>
          <t>K004-902004795</t>
        </is>
      </c>
      <c r="E470" s="521" t="inlineStr">
        <is>
          <t>TI2023-0062</t>
        </is>
      </c>
      <c r="F470" s="523" t="n">
        <v>44956</v>
      </c>
      <c r="G470" s="556" t="n">
        <v>211150</v>
      </c>
      <c r="I470" s="521">
        <f>G470</f>
        <v/>
      </c>
      <c r="K470" s="521">
        <f>I470-G470</f>
        <v/>
      </c>
      <c r="M470" s="522" t="inlineStr">
        <is>
          <t>TI20230062</t>
        </is>
      </c>
      <c r="N470" s="522" t="inlineStr">
        <is>
          <t>TI20230062</t>
        </is>
      </c>
      <c r="O470" s="521">
        <f>M470=N470</f>
        <v/>
      </c>
      <c r="P470" s="521">
        <f>AND(MONTH(F470)=MONTH(S470), YEAR(F470)=YEAR(S470))</f>
        <v/>
      </c>
      <c r="Q470" s="521">
        <f>U470="L001-901905215"</f>
        <v/>
      </c>
      <c r="R470" s="556">
        <f>G470-W470</f>
        <v/>
      </c>
      <c r="S470" s="523" t="n">
        <v>44956</v>
      </c>
      <c r="T470" s="522" t="inlineStr">
        <is>
          <t>TI2023-0062</t>
        </is>
      </c>
      <c r="U470" s="522" t="inlineStr">
        <is>
          <t>L001-901905215</t>
        </is>
      </c>
      <c r="V470" s="522" t="inlineStr">
        <is>
          <t>វីអ៊ីស៊ិន (ខេមបូឌា) អ៊ិនដាសស្ទ្រី ឯ.ក</t>
        </is>
      </c>
      <c r="W470" s="556" t="n">
        <v>211150</v>
      </c>
    </row>
    <row r="471">
      <c r="A471" s="521" t="n">
        <v>463</v>
      </c>
      <c r="B471" s="522" t="inlineStr">
        <is>
          <t>Clearance &amp; Trucking Fee</t>
        </is>
      </c>
      <c r="C471" s="522" t="inlineStr">
        <is>
          <t>56ប៊ី-លីង សឹបផ្លាយ ឆេន មេនេចម៉ិន ឯ.ក</t>
        </is>
      </c>
      <c r="D471" s="522" t="inlineStr">
        <is>
          <t>K004-902004795</t>
        </is>
      </c>
      <c r="E471" s="521" t="inlineStr">
        <is>
          <t>TI2023-0061</t>
        </is>
      </c>
      <c r="F471" s="523" t="n">
        <v>44956</v>
      </c>
      <c r="G471" s="556" t="n">
        <v>364900</v>
      </c>
      <c r="I471" s="521">
        <f>G471</f>
        <v/>
      </c>
      <c r="K471" s="521">
        <f>I471-G471</f>
        <v/>
      </c>
      <c r="M471" s="522" t="inlineStr">
        <is>
          <t>TI20230061</t>
        </is>
      </c>
      <c r="N471" s="522" t="inlineStr">
        <is>
          <t>TI20230061</t>
        </is>
      </c>
      <c r="O471" s="521">
        <f>M471=N471</f>
        <v/>
      </c>
      <c r="P471" s="521">
        <f>AND(MONTH(F471)=MONTH(S471), YEAR(F471)=YEAR(S471))</f>
        <v/>
      </c>
      <c r="Q471" s="521">
        <f>U471="L001-901905215"</f>
        <v/>
      </c>
      <c r="R471" s="556">
        <f>G471-W471</f>
        <v/>
      </c>
      <c r="S471" s="523" t="n">
        <v>44927</v>
      </c>
      <c r="T471" s="522" t="inlineStr">
        <is>
          <t>TI2023-0061</t>
        </is>
      </c>
      <c r="U471" s="522" t="inlineStr">
        <is>
          <t>L001-901905215</t>
        </is>
      </c>
      <c r="V471" s="522" t="inlineStr">
        <is>
          <t>វីអ៊ីស៊ិន (ខេមបូឌា) អ៊ិនដាសស្ទ្រី ឯ.ក</t>
        </is>
      </c>
      <c r="W471" s="556" t="n">
        <v>364900</v>
      </c>
    </row>
    <row r="472">
      <c r="A472" s="521" t="n">
        <v>464</v>
      </c>
      <c r="B472" s="522" t="inlineStr">
        <is>
          <t>Clearance &amp; Trucking Fee</t>
        </is>
      </c>
      <c r="C472" s="522" t="inlineStr">
        <is>
          <t>56ប៊ី-លីង សឹបផ្លាយ ឆេន មេនេចម៉ិន ឯ.ក</t>
        </is>
      </c>
      <c r="D472" s="522" t="inlineStr">
        <is>
          <t>K004-902004795</t>
        </is>
      </c>
      <c r="E472" s="521" t="inlineStr">
        <is>
          <t>TI2023-0060</t>
        </is>
      </c>
      <c r="F472" s="523" t="n">
        <v>44956</v>
      </c>
      <c r="G472" s="556" t="n">
        <v>364900</v>
      </c>
      <c r="I472" s="521">
        <f>G472</f>
        <v/>
      </c>
      <c r="K472" s="521">
        <f>I472-G472</f>
        <v/>
      </c>
      <c r="M472" s="522" t="inlineStr">
        <is>
          <t>TI20230060</t>
        </is>
      </c>
      <c r="N472" s="522" t="inlineStr">
        <is>
          <t>TI20230060</t>
        </is>
      </c>
      <c r="O472" s="521">
        <f>M472=N472</f>
        <v/>
      </c>
      <c r="P472" s="521">
        <f>AND(MONTH(F472)=MONTH(S472), YEAR(F472)=YEAR(S472))</f>
        <v/>
      </c>
      <c r="Q472" s="521">
        <f>U472="L001-901905215"</f>
        <v/>
      </c>
      <c r="R472" s="556">
        <f>G472-W472</f>
        <v/>
      </c>
      <c r="S472" s="523" t="n">
        <v>44956</v>
      </c>
      <c r="T472" s="522" t="inlineStr">
        <is>
          <t>TI2023-0060</t>
        </is>
      </c>
      <c r="U472" s="522" t="inlineStr">
        <is>
          <t>L001-901905215</t>
        </is>
      </c>
      <c r="V472" s="522" t="inlineStr">
        <is>
          <t>វីអ៊ីស៊ិន (ខេមបូឌា) អ៊ិនដាសស្ទ្រី ឯ.ក</t>
        </is>
      </c>
      <c r="W472" s="556" t="n">
        <v>364900</v>
      </c>
    </row>
    <row r="473">
      <c r="A473" s="521" t="n">
        <v>465</v>
      </c>
      <c r="B473" s="522" t="inlineStr">
        <is>
          <t>Clearance &amp; Trucking Fee</t>
        </is>
      </c>
      <c r="C473" s="522" t="inlineStr">
        <is>
          <t>56ប៊ី-លីង សឹបផ្លាយ ឆេន មេនេចម៉ិន ឯ.ក</t>
        </is>
      </c>
      <c r="D473" s="522" t="inlineStr">
        <is>
          <t>K004-902004795</t>
        </is>
      </c>
      <c r="E473" s="521" t="inlineStr">
        <is>
          <t>TI2023-0052</t>
        </is>
      </c>
      <c r="F473" s="523" t="n">
        <v>44946</v>
      </c>
      <c r="G473" s="556" t="n">
        <v>366413</v>
      </c>
      <c r="I473" s="521">
        <f>G473</f>
        <v/>
      </c>
      <c r="K473" s="521">
        <f>I473-G473</f>
        <v/>
      </c>
      <c r="M473" s="522" t="inlineStr">
        <is>
          <t>TI20230052</t>
        </is>
      </c>
      <c r="N473" s="522" t="inlineStr">
        <is>
          <t>TI20230052</t>
        </is>
      </c>
      <c r="O473" s="521">
        <f>M473=N473</f>
        <v/>
      </c>
      <c r="P473" s="521">
        <f>AND(MONTH(F473)=MONTH(S473), YEAR(F473)=YEAR(S473))</f>
        <v/>
      </c>
      <c r="Q473" s="521">
        <f>U473="L001-901905215"</f>
        <v/>
      </c>
      <c r="R473" s="556">
        <f>G473-W473</f>
        <v/>
      </c>
      <c r="S473" s="523" t="n">
        <v>44946</v>
      </c>
      <c r="T473" s="522" t="inlineStr">
        <is>
          <t>TI2023-0052</t>
        </is>
      </c>
      <c r="U473" s="522" t="inlineStr">
        <is>
          <t>L001-901905215</t>
        </is>
      </c>
      <c r="V473" s="522" t="inlineStr">
        <is>
          <t>វីអ៊ីស៊ិន (ខេមបូឌា) អ៊ិនដាសស្ទ្រី ឯ.ក</t>
        </is>
      </c>
      <c r="W473" s="556" t="n">
        <v>366413</v>
      </c>
    </row>
    <row r="474">
      <c r="A474" s="521" t="n">
        <v>466</v>
      </c>
      <c r="B474" s="522" t="inlineStr">
        <is>
          <t>Clearance &amp; Trucking Fee</t>
        </is>
      </c>
      <c r="C474" s="522" t="inlineStr">
        <is>
          <t>56ប៊ី-លីង សឹបផ្លាយ ឆេន មេនេចម៉ិន ឯ.ក</t>
        </is>
      </c>
      <c r="D474" s="522" t="inlineStr">
        <is>
          <t>K004-902004795</t>
        </is>
      </c>
      <c r="E474" s="521" t="inlineStr">
        <is>
          <t>TI2023-0051</t>
        </is>
      </c>
      <c r="F474" s="523" t="n">
        <v>44946</v>
      </c>
      <c r="G474" s="556" t="n">
        <v>792523</v>
      </c>
      <c r="I474" s="521">
        <f>G474</f>
        <v/>
      </c>
      <c r="K474" s="521">
        <f>I474-G474</f>
        <v/>
      </c>
      <c r="M474" s="522" t="inlineStr">
        <is>
          <t>TI20230051</t>
        </is>
      </c>
      <c r="N474" s="522" t="inlineStr">
        <is>
          <t>TI20230051</t>
        </is>
      </c>
      <c r="O474" s="521">
        <f>M474=N474</f>
        <v/>
      </c>
      <c r="P474" s="521">
        <f>AND(MONTH(F474)=MONTH(S474), YEAR(F474)=YEAR(S474))</f>
        <v/>
      </c>
      <c r="Q474" s="521">
        <f>U474="L001-901905215"</f>
        <v/>
      </c>
      <c r="R474" s="556">
        <f>G474-W474</f>
        <v/>
      </c>
      <c r="S474" s="523" t="n">
        <v>44946</v>
      </c>
      <c r="T474" s="522" t="inlineStr">
        <is>
          <t>TI2023-0051</t>
        </is>
      </c>
      <c r="U474" s="522" t="inlineStr">
        <is>
          <t>L001-901905215</t>
        </is>
      </c>
      <c r="V474" s="522" t="inlineStr">
        <is>
          <t>វីអ៊ីស៊ិន (ខេមបូឌា) អ៊ិនដាសស្ទ្រី ឯ.ក</t>
        </is>
      </c>
      <c r="W474" s="556" t="n">
        <v>792523</v>
      </c>
    </row>
    <row r="475">
      <c r="A475" s="521" t="n">
        <v>467</v>
      </c>
      <c r="B475" s="522" t="inlineStr">
        <is>
          <t>Clearance &amp; Trucking Fee</t>
        </is>
      </c>
      <c r="C475" s="522" t="inlineStr">
        <is>
          <t>56ប៊ី-លីង សឹបផ្លាយ ឆេន មេនេចម៉ិន ឯ.ក</t>
        </is>
      </c>
      <c r="D475" s="522" t="inlineStr">
        <is>
          <t>K004-902004795</t>
        </is>
      </c>
      <c r="E475" s="521" t="inlineStr">
        <is>
          <t>TI2023-0050</t>
        </is>
      </c>
      <c r="F475" s="523" t="n">
        <v>44946</v>
      </c>
      <c r="G475" s="556" t="n">
        <v>706066</v>
      </c>
      <c r="I475" s="521">
        <f>G475</f>
        <v/>
      </c>
      <c r="K475" s="521">
        <f>I475-G475</f>
        <v/>
      </c>
      <c r="M475" s="522" t="inlineStr">
        <is>
          <t>TI20230050</t>
        </is>
      </c>
      <c r="N475" s="522" t="inlineStr">
        <is>
          <t>TI20230050</t>
        </is>
      </c>
      <c r="O475" s="521">
        <f>M475=N475</f>
        <v/>
      </c>
      <c r="P475" s="521">
        <f>AND(MONTH(F475)=MONTH(S475), YEAR(F475)=YEAR(S475))</f>
        <v/>
      </c>
      <c r="Q475" s="521">
        <f>U475="L001-901905215"</f>
        <v/>
      </c>
      <c r="R475" s="556">
        <f>G475-W475</f>
        <v/>
      </c>
      <c r="S475" s="523" t="n">
        <v>44946</v>
      </c>
      <c r="T475" s="522" t="inlineStr">
        <is>
          <t>TI2023-0050</t>
        </is>
      </c>
      <c r="U475" s="522" t="inlineStr">
        <is>
          <t>L001-901905215</t>
        </is>
      </c>
      <c r="V475" s="522" t="inlineStr">
        <is>
          <t>វីអ៊ីស៊ិន (ខេមបូឌា) អ៊ិនដាសស្ទ្រី ឯ.ក</t>
        </is>
      </c>
      <c r="W475" s="556" t="n">
        <v>706066</v>
      </c>
    </row>
    <row r="476">
      <c r="A476" s="521" t="n">
        <v>468</v>
      </c>
      <c r="B476" s="522" t="inlineStr">
        <is>
          <t>Clearance &amp; Trucking Fee</t>
        </is>
      </c>
      <c r="C476" s="522" t="inlineStr">
        <is>
          <t>56ប៊ី-លីង សឹបផ្លាយ ឆេន មេនេចម៉ិន ឯ.ក</t>
        </is>
      </c>
      <c r="D476" s="522" t="inlineStr">
        <is>
          <t>K004-902004795</t>
        </is>
      </c>
      <c r="E476" s="521" t="inlineStr">
        <is>
          <t>TI2023-0049</t>
        </is>
      </c>
      <c r="F476" s="523" t="n">
        <v>44946</v>
      </c>
      <c r="G476" s="556" t="n">
        <v>212026</v>
      </c>
      <c r="I476" s="521">
        <f>G476</f>
        <v/>
      </c>
      <c r="K476" s="521">
        <f>I476-G476</f>
        <v/>
      </c>
      <c r="M476" s="522" t="inlineStr">
        <is>
          <t>TI20230049</t>
        </is>
      </c>
      <c r="N476" s="522" t="inlineStr">
        <is>
          <t>TI20230049</t>
        </is>
      </c>
      <c r="O476" s="521">
        <f>M476=N476</f>
        <v/>
      </c>
      <c r="P476" s="521">
        <f>AND(MONTH(F476)=MONTH(S476), YEAR(F476)=YEAR(S476))</f>
        <v/>
      </c>
      <c r="Q476" s="521">
        <f>U476="L001-901905215"</f>
        <v/>
      </c>
      <c r="R476" s="556">
        <f>G476-W476</f>
        <v/>
      </c>
      <c r="S476" s="523" t="n">
        <v>44946</v>
      </c>
      <c r="T476" s="522" t="inlineStr">
        <is>
          <t>TI2023-0049</t>
        </is>
      </c>
      <c r="U476" s="522" t="inlineStr">
        <is>
          <t>L001-901905215</t>
        </is>
      </c>
      <c r="V476" s="522" t="inlineStr">
        <is>
          <t>វីអ៊ីស៊ិន (ខេមបូឌា) អ៊ិនដាសស្ទ្រី ឯ.ក</t>
        </is>
      </c>
      <c r="W476" s="556" t="n">
        <v>212026</v>
      </c>
    </row>
    <row r="477">
      <c r="A477" s="521" t="n">
        <v>469</v>
      </c>
      <c r="B477" s="522" t="inlineStr">
        <is>
          <t>Clearance &amp; Trucking Fee</t>
        </is>
      </c>
      <c r="C477" s="522" t="inlineStr">
        <is>
          <t>56ប៊ី-លីង សឹបផ្លាយ ឆេន មេនេចម៉ិន ឯ.ក</t>
        </is>
      </c>
      <c r="D477" s="522" t="inlineStr">
        <is>
          <t>K004-902004795</t>
        </is>
      </c>
      <c r="E477" s="521" t="inlineStr">
        <is>
          <t>902004795</t>
        </is>
      </c>
      <c r="F477" s="523" t="n">
        <v>44946</v>
      </c>
      <c r="G477" s="556" t="n">
        <v>349945</v>
      </c>
      <c r="I477" s="521">
        <f>G477</f>
        <v/>
      </c>
      <c r="K477" s="521">
        <f>I477-G477</f>
        <v/>
      </c>
      <c r="M477" s="522" t="inlineStr">
        <is>
          <t>902004795</t>
        </is>
      </c>
      <c r="N477" s="522" t="inlineStr"/>
      <c r="O477" s="521">
        <f>M477=N477</f>
        <v/>
      </c>
      <c r="P477" s="521">
        <f>AND(MONTH(F477)=MONTH(S477), YEAR(F477)=YEAR(S477))</f>
        <v/>
      </c>
      <c r="Q477" s="521">
        <f>U477="L001-901905215"</f>
        <v/>
      </c>
      <c r="R477" s="556">
        <f>G477-W477</f>
        <v/>
      </c>
      <c r="S477" s="521" t="n"/>
      <c r="T477" s="522" t="n"/>
      <c r="U477" s="522" t="n"/>
      <c r="V477" s="522" t="n"/>
      <c r="W477" s="521" t="n"/>
    </row>
    <row r="478">
      <c r="A478" s="521" t="n">
        <v>470</v>
      </c>
      <c r="B478" s="522" t="inlineStr">
        <is>
          <t>Clearance &amp; Trucking Fee</t>
        </is>
      </c>
      <c r="C478" s="522" t="inlineStr">
        <is>
          <t>56ប៊ី-លីង សឹបផ្លាយ ឆេន មេនេចម៉ិន ឯ.ក</t>
        </is>
      </c>
      <c r="D478" s="522" t="inlineStr">
        <is>
          <t>K004-902004795</t>
        </is>
      </c>
      <c r="E478" s="521" t="inlineStr">
        <is>
          <t>TI2023-0047</t>
        </is>
      </c>
      <c r="F478" s="523" t="n">
        <v>44946</v>
      </c>
      <c r="G478" s="556" t="n">
        <v>922208</v>
      </c>
      <c r="I478" s="521">
        <f>G478</f>
        <v/>
      </c>
      <c r="K478" s="521">
        <f>I478-G478</f>
        <v/>
      </c>
      <c r="M478" s="522" t="inlineStr">
        <is>
          <t>TI20230047</t>
        </is>
      </c>
      <c r="N478" s="522" t="inlineStr">
        <is>
          <t>TI20230047</t>
        </is>
      </c>
      <c r="O478" s="521">
        <f>M478=N478</f>
        <v/>
      </c>
      <c r="P478" s="521">
        <f>AND(MONTH(F478)=MONTH(S478), YEAR(F478)=YEAR(S478))</f>
        <v/>
      </c>
      <c r="Q478" s="521">
        <f>U478="L001-901905215"</f>
        <v/>
      </c>
      <c r="R478" s="556">
        <f>G478-W478</f>
        <v/>
      </c>
      <c r="S478" s="523" t="n">
        <v>44946</v>
      </c>
      <c r="T478" s="522" t="inlineStr">
        <is>
          <t>TI2023-0047</t>
        </is>
      </c>
      <c r="U478" s="522" t="inlineStr">
        <is>
          <t>L001-901905215</t>
        </is>
      </c>
      <c r="V478" s="522" t="inlineStr">
        <is>
          <t>វីអ៊ីស៊ិន (ខេមបូឌា) អ៊ិនដាសស្ទ្រី ឯ.ក</t>
        </is>
      </c>
      <c r="W478" s="556" t="n">
        <v>922208</v>
      </c>
    </row>
    <row r="479">
      <c r="A479" s="521" t="n">
        <v>471</v>
      </c>
      <c r="B479" s="522" t="inlineStr">
        <is>
          <t>Clearance &amp; Trucking Fee</t>
        </is>
      </c>
      <c r="C479" s="522" t="inlineStr">
        <is>
          <t>56ប៊ី-លីង សឹបផ្លាយ ឆេន មេនេចម៉ិន ឯ.ក</t>
        </is>
      </c>
      <c r="D479" s="522" t="inlineStr">
        <is>
          <t>K004-902004795</t>
        </is>
      </c>
      <c r="E479" s="521" t="inlineStr">
        <is>
          <t>TI2023-0041</t>
        </is>
      </c>
      <c r="F479" s="523" t="n">
        <v>44939</v>
      </c>
      <c r="G479" s="556" t="n">
        <v>547428</v>
      </c>
      <c r="I479" s="521">
        <f>G479</f>
        <v/>
      </c>
      <c r="K479" s="521">
        <f>I479-G479</f>
        <v/>
      </c>
      <c r="M479" s="522" t="inlineStr">
        <is>
          <t>TI20230041</t>
        </is>
      </c>
      <c r="N479" s="522" t="inlineStr">
        <is>
          <t>TI20230041</t>
        </is>
      </c>
      <c r="O479" s="521">
        <f>M479=N479</f>
        <v/>
      </c>
      <c r="P479" s="521">
        <f>AND(MONTH(F479)=MONTH(S479), YEAR(F479)=YEAR(S479))</f>
        <v/>
      </c>
      <c r="Q479" s="521">
        <f>U479="L001-901905215"</f>
        <v/>
      </c>
      <c r="R479" s="556">
        <f>G479-W479</f>
        <v/>
      </c>
      <c r="S479" s="523" t="n">
        <v>44939</v>
      </c>
      <c r="T479" s="522" t="inlineStr">
        <is>
          <t>TI2023-0041</t>
        </is>
      </c>
      <c r="U479" s="522" t="inlineStr">
        <is>
          <t>L001-901905215</t>
        </is>
      </c>
      <c r="V479" s="522" t="inlineStr">
        <is>
          <t>វីអ៊ីស៊ិន (ខេមបូឌា) អ៊ិនដាសស្ទ្រី ឯ.ក</t>
        </is>
      </c>
      <c r="W479" s="556" t="n">
        <v>547428</v>
      </c>
    </row>
    <row r="480">
      <c r="A480" s="521" t="n">
        <v>472</v>
      </c>
      <c r="B480" s="522" t="inlineStr">
        <is>
          <t>Clearance &amp; Trucking Fee</t>
        </is>
      </c>
      <c r="C480" s="522" t="inlineStr">
        <is>
          <t>56ប៊ី-លីង សឹបផ្លាយ ឆេន មេនេចម៉ិន ឯ.ក</t>
        </is>
      </c>
      <c r="D480" s="522" t="inlineStr">
        <is>
          <t>K004-902004795</t>
        </is>
      </c>
      <c r="E480" s="521" t="inlineStr">
        <is>
          <t>TI2023-0040</t>
        </is>
      </c>
      <c r="F480" s="523" t="n">
        <v>44939</v>
      </c>
      <c r="G480" s="556" t="n">
        <v>489804</v>
      </c>
      <c r="I480" s="521">
        <f>G480</f>
        <v/>
      </c>
      <c r="K480" s="521">
        <f>I480-G480</f>
        <v/>
      </c>
      <c r="M480" s="522" t="inlineStr">
        <is>
          <t>TI20230040</t>
        </is>
      </c>
      <c r="N480" s="522" t="inlineStr">
        <is>
          <t>TI20230040</t>
        </is>
      </c>
      <c r="O480" s="521">
        <f>M480=N480</f>
        <v/>
      </c>
      <c r="P480" s="521">
        <f>AND(MONTH(F480)=MONTH(S480), YEAR(F480)=YEAR(S480))</f>
        <v/>
      </c>
      <c r="Q480" s="521">
        <f>U480="L001-901905215"</f>
        <v/>
      </c>
      <c r="R480" s="556">
        <f>G480-W480</f>
        <v/>
      </c>
      <c r="S480" s="523" t="n">
        <v>44939</v>
      </c>
      <c r="T480" s="522" t="inlineStr">
        <is>
          <t>TI2023-0040</t>
        </is>
      </c>
      <c r="U480" s="522" t="inlineStr">
        <is>
          <t>L001-901905215</t>
        </is>
      </c>
      <c r="V480" s="522" t="inlineStr">
        <is>
          <t>វីអ៊ីស៊ិន (ខេមបូឌា) អ៊ិនដាសស្ទ្រី ឯ.ក</t>
        </is>
      </c>
      <c r="W480" s="556" t="n">
        <v>489804</v>
      </c>
    </row>
    <row r="481">
      <c r="A481" s="521" t="n">
        <v>473</v>
      </c>
      <c r="B481" s="522" t="inlineStr">
        <is>
          <t>Clearance &amp; Trucking Fee</t>
        </is>
      </c>
      <c r="C481" s="522" t="inlineStr">
        <is>
          <t>56ប៊ី-លីង សឹបផ្លាយ ឆេន មេនេចម៉ិន ឯ.ក</t>
        </is>
      </c>
      <c r="D481" s="522" t="inlineStr">
        <is>
          <t>K004-902004795</t>
        </is>
      </c>
      <c r="E481" s="521" t="inlineStr">
        <is>
          <t>TI2023-0038</t>
        </is>
      </c>
      <c r="F481" s="523" t="n">
        <v>44939</v>
      </c>
      <c r="G481" s="556" t="n">
        <v>349860</v>
      </c>
      <c r="I481" s="521">
        <f>G481</f>
        <v/>
      </c>
      <c r="K481" s="521">
        <f>I481-G481</f>
        <v/>
      </c>
      <c r="M481" s="522" t="inlineStr">
        <is>
          <t>TI20230038</t>
        </is>
      </c>
      <c r="N481" s="522" t="inlineStr">
        <is>
          <t>TI20230038</t>
        </is>
      </c>
      <c r="O481" s="521">
        <f>M481=N481</f>
        <v/>
      </c>
      <c r="P481" s="521">
        <f>AND(MONTH(F481)=MONTH(S481), YEAR(F481)=YEAR(S481))</f>
        <v/>
      </c>
      <c r="Q481" s="521">
        <f>U481="L001-901905215"</f>
        <v/>
      </c>
      <c r="R481" s="556">
        <f>G481-W481</f>
        <v/>
      </c>
      <c r="S481" s="523" t="n">
        <v>44939</v>
      </c>
      <c r="T481" s="522" t="inlineStr">
        <is>
          <t>TI2023-0038</t>
        </is>
      </c>
      <c r="U481" s="522" t="inlineStr">
        <is>
          <t>L001-901905215</t>
        </is>
      </c>
      <c r="V481" s="522" t="inlineStr">
        <is>
          <t>វីអ៊ីស៊ិន (ខេមបូឌា) អ៊ិនដាសស្ទ្រី ឯ.ក</t>
        </is>
      </c>
      <c r="W481" s="556" t="n">
        <v>349860</v>
      </c>
    </row>
    <row r="482">
      <c r="A482" s="521" t="n">
        <v>474</v>
      </c>
      <c r="B482" s="522" t="inlineStr">
        <is>
          <t>Clearance &amp; Trucking Fee</t>
        </is>
      </c>
      <c r="C482" s="522" t="inlineStr">
        <is>
          <t>56ប៊ី-លីង សឹបផ្លាយ ឆេន មេនេចម៉ិន ឯ.ក</t>
        </is>
      </c>
      <c r="D482" s="522" t="inlineStr">
        <is>
          <t>K004-902004795</t>
        </is>
      </c>
      <c r="E482" s="521" t="inlineStr">
        <is>
          <t>TI2023-0037</t>
        </is>
      </c>
      <c r="F482" s="523" t="n">
        <v>44939</v>
      </c>
      <c r="G482" s="556" t="n">
        <v>489804</v>
      </c>
      <c r="I482" s="521">
        <f>G482</f>
        <v/>
      </c>
      <c r="K482" s="521">
        <f>I482-G482</f>
        <v/>
      </c>
      <c r="M482" s="522" t="inlineStr">
        <is>
          <t>TI20230037</t>
        </is>
      </c>
      <c r="N482" s="522" t="inlineStr">
        <is>
          <t>TI20230037</t>
        </is>
      </c>
      <c r="O482" s="521">
        <f>M482=N482</f>
        <v/>
      </c>
      <c r="P482" s="521">
        <f>AND(MONTH(F482)=MONTH(S482), YEAR(F482)=YEAR(S482))</f>
        <v/>
      </c>
      <c r="Q482" s="521">
        <f>U482="L001-901905215"</f>
        <v/>
      </c>
      <c r="R482" s="556">
        <f>G482-W482</f>
        <v/>
      </c>
      <c r="S482" s="523" t="n">
        <v>44939</v>
      </c>
      <c r="T482" s="522" t="inlineStr">
        <is>
          <t>TI2023-0037</t>
        </is>
      </c>
      <c r="U482" s="522" t="inlineStr">
        <is>
          <t>L001-901905215</t>
        </is>
      </c>
      <c r="V482" s="522" t="inlineStr">
        <is>
          <t>វីអ៊ីស៊ិន (ខេមបូឌា) អ៊ិនដាសស្ទ្រី ឯ.ក</t>
        </is>
      </c>
      <c r="W482" s="556" t="n">
        <v>489804</v>
      </c>
    </row>
    <row r="483">
      <c r="A483" s="521" t="n">
        <v>475</v>
      </c>
      <c r="B483" s="522" t="inlineStr">
        <is>
          <t>Clearance &amp; Trucking Fee</t>
        </is>
      </c>
      <c r="C483" s="522" t="inlineStr">
        <is>
          <t>56ប៊ី-លីង សឹបផ្លាយ ឆេន មេនេចម៉ិន ឯ.ក</t>
        </is>
      </c>
      <c r="D483" s="522" t="inlineStr">
        <is>
          <t>K004-902004795</t>
        </is>
      </c>
      <c r="E483" s="521" t="inlineStr">
        <is>
          <t>TI2023-0036</t>
        </is>
      </c>
      <c r="F483" s="523" t="n">
        <v>44939</v>
      </c>
      <c r="G483" s="556" t="n">
        <v>349860</v>
      </c>
      <c r="I483" s="521">
        <f>G483</f>
        <v/>
      </c>
      <c r="K483" s="521">
        <f>I483-G483</f>
        <v/>
      </c>
      <c r="M483" s="522" t="inlineStr">
        <is>
          <t>TI20230036</t>
        </is>
      </c>
      <c r="N483" s="522" t="inlineStr">
        <is>
          <t>TI20230036</t>
        </is>
      </c>
      <c r="O483" s="521">
        <f>M483=N483</f>
        <v/>
      </c>
      <c r="P483" s="521">
        <f>AND(MONTH(F483)=MONTH(S483), YEAR(F483)=YEAR(S483))</f>
        <v/>
      </c>
      <c r="Q483" s="521">
        <f>U483="L001-901905215"</f>
        <v/>
      </c>
      <c r="R483" s="556">
        <f>G483-W483</f>
        <v/>
      </c>
      <c r="S483" s="523" t="n">
        <v>44939</v>
      </c>
      <c r="T483" s="522" t="inlineStr">
        <is>
          <t>TI2023-0036</t>
        </is>
      </c>
      <c r="U483" s="522" t="inlineStr">
        <is>
          <t>L001-901905215</t>
        </is>
      </c>
      <c r="V483" s="522" t="inlineStr">
        <is>
          <t>វីអ៊ីស៊ិន (ខេមបូឌា) អ៊ិនដាសស្ទ្រី ឯ.ក</t>
        </is>
      </c>
      <c r="W483" s="556" t="n">
        <v>349860</v>
      </c>
    </row>
    <row r="484">
      <c r="A484" s="521" t="n">
        <v>476</v>
      </c>
      <c r="B484" s="522" t="inlineStr">
        <is>
          <t>Clearance &amp; Trucking Fee</t>
        </is>
      </c>
      <c r="C484" s="522" t="inlineStr">
        <is>
          <t>56ប៊ី-លីង សឹបផ្លាយ ឆេន មេនេចម៉ិន ឯ.ក</t>
        </is>
      </c>
      <c r="D484" s="522" t="inlineStr">
        <is>
          <t>K004-902004795</t>
        </is>
      </c>
      <c r="E484" s="521" t="inlineStr">
        <is>
          <t>TI2023-0028</t>
        </is>
      </c>
      <c r="F484" s="523" t="n">
        <v>44939</v>
      </c>
      <c r="G484" s="556" t="n">
        <v>705894</v>
      </c>
      <c r="I484" s="521">
        <f>G484</f>
        <v/>
      </c>
      <c r="K484" s="521">
        <f>I484-G484</f>
        <v/>
      </c>
      <c r="M484" s="522" t="inlineStr">
        <is>
          <t>TI20230028</t>
        </is>
      </c>
      <c r="N484" s="522" t="inlineStr">
        <is>
          <t>TI20230028</t>
        </is>
      </c>
      <c r="O484" s="521">
        <f>M484=N484</f>
        <v/>
      </c>
      <c r="P484" s="521">
        <f>AND(MONTH(F484)=MONTH(S484), YEAR(F484)=YEAR(S484))</f>
        <v/>
      </c>
      <c r="Q484" s="521">
        <f>U484="L001-901905215"</f>
        <v/>
      </c>
      <c r="R484" s="556">
        <f>G484-W484</f>
        <v/>
      </c>
      <c r="S484" s="523" t="n">
        <v>44939</v>
      </c>
      <c r="T484" s="522" t="inlineStr">
        <is>
          <t>TI2023-0028</t>
        </is>
      </c>
      <c r="U484" s="522" t="inlineStr">
        <is>
          <t>L001-901905215</t>
        </is>
      </c>
      <c r="V484" s="522" t="inlineStr">
        <is>
          <t>វីអ៊ីស៊ិន (ខេមបូឌា) អ៊ិនដាសស្ទ្រី ឯ.ក</t>
        </is>
      </c>
      <c r="W484" s="556" t="n">
        <v>705894</v>
      </c>
    </row>
    <row r="485">
      <c r="A485" s="521" t="n">
        <v>477</v>
      </c>
      <c r="B485" s="522" t="inlineStr">
        <is>
          <t>Clearance &amp; Trucking Fee</t>
        </is>
      </c>
      <c r="C485" s="522" t="inlineStr">
        <is>
          <t>56ប៊ី-លីង សឹបផ្លាយ ឆេន មេនេចម៉ិន ឯ.ក</t>
        </is>
      </c>
      <c r="D485" s="522" t="inlineStr">
        <is>
          <t>K004-902004795</t>
        </is>
      </c>
      <c r="E485" s="521" t="inlineStr">
        <is>
          <t>TI2023-0027</t>
        </is>
      </c>
      <c r="F485" s="523" t="n">
        <v>44939</v>
      </c>
      <c r="G485" s="556" t="n">
        <v>705894</v>
      </c>
      <c r="I485" s="521">
        <f>G485</f>
        <v/>
      </c>
      <c r="K485" s="521">
        <f>I485-G485</f>
        <v/>
      </c>
      <c r="M485" s="522" t="inlineStr">
        <is>
          <t>TI20230027</t>
        </is>
      </c>
      <c r="N485" s="522" t="inlineStr">
        <is>
          <t>TI20230027</t>
        </is>
      </c>
      <c r="O485" s="521">
        <f>M485=N485</f>
        <v/>
      </c>
      <c r="P485" s="521">
        <f>AND(MONTH(F485)=MONTH(S485), YEAR(F485)=YEAR(S485))</f>
        <v/>
      </c>
      <c r="Q485" s="521">
        <f>U485="L001-901905215"</f>
        <v/>
      </c>
      <c r="R485" s="556">
        <f>G485-W485</f>
        <v/>
      </c>
      <c r="S485" s="523" t="n">
        <v>44939</v>
      </c>
      <c r="T485" s="522" t="inlineStr">
        <is>
          <t>TI2023-0027</t>
        </is>
      </c>
      <c r="U485" s="522" t="inlineStr">
        <is>
          <t>L001-901905215</t>
        </is>
      </c>
      <c r="V485" s="522" t="inlineStr">
        <is>
          <t>វីអ៊ីស៊ិន (ខេមបូឌា) អ៊ិនដាសស្ទ្រី ឯ.ក</t>
        </is>
      </c>
      <c r="W485" s="556" t="n">
        <v>705894</v>
      </c>
    </row>
    <row r="486">
      <c r="A486" s="521" t="n">
        <v>478</v>
      </c>
      <c r="B486" s="522" t="inlineStr">
        <is>
          <t>Clearance &amp; Trucking Fee</t>
        </is>
      </c>
      <c r="C486" s="522" t="inlineStr">
        <is>
          <t>56ប៊ី-លីង សឹបផ្លាយ ឆេន មេនេចម៉ិន ឯ.ក</t>
        </is>
      </c>
      <c r="D486" s="522" t="inlineStr">
        <is>
          <t>K004-902004795</t>
        </is>
      </c>
      <c r="E486" s="521" t="inlineStr">
        <is>
          <t>TI2023-0026</t>
        </is>
      </c>
      <c r="F486" s="523" t="n">
        <v>44939</v>
      </c>
      <c r="G486" s="556" t="n">
        <v>195510</v>
      </c>
      <c r="I486" s="521">
        <f>G486</f>
        <v/>
      </c>
      <c r="K486" s="521">
        <f>I486-G486</f>
        <v/>
      </c>
      <c r="M486" s="522" t="inlineStr">
        <is>
          <t>TI20230026</t>
        </is>
      </c>
      <c r="N486" s="522" t="inlineStr">
        <is>
          <t>TI20230026</t>
        </is>
      </c>
      <c r="O486" s="521">
        <f>M486=N486</f>
        <v/>
      </c>
      <c r="P486" s="521">
        <f>AND(MONTH(F486)=MONTH(S486), YEAR(F486)=YEAR(S486))</f>
        <v/>
      </c>
      <c r="Q486" s="521">
        <f>U486="L001-901905215"</f>
        <v/>
      </c>
      <c r="R486" s="556">
        <f>G486-W486</f>
        <v/>
      </c>
      <c r="S486" s="523" t="n">
        <v>44939</v>
      </c>
      <c r="T486" s="522" t="inlineStr">
        <is>
          <t>TI2023-0026</t>
        </is>
      </c>
      <c r="U486" s="522" t="inlineStr">
        <is>
          <t>L001-901905215</t>
        </is>
      </c>
      <c r="V486" s="522" t="inlineStr">
        <is>
          <t>វីអ៊ីស៊ិន (ខេមបូឌា) អ៊ិនដាសស្ទ្រី ឯ.ក</t>
        </is>
      </c>
      <c r="W486" s="556" t="n">
        <v>195510</v>
      </c>
    </row>
    <row r="487">
      <c r="A487" s="521" t="n">
        <v>479</v>
      </c>
      <c r="B487" s="522" t="inlineStr">
        <is>
          <t>Clearance &amp; Trucking Fee</t>
        </is>
      </c>
      <c r="C487" s="522" t="inlineStr">
        <is>
          <t>56ប៊ី-លីង សឹបផ្លាយ ឆេន មេនេចម៉ិន ឯ.ក</t>
        </is>
      </c>
      <c r="D487" s="522" t="inlineStr">
        <is>
          <t>K004-902004795</t>
        </is>
      </c>
      <c r="E487" s="521" t="inlineStr">
        <is>
          <t>TI2023-0021</t>
        </is>
      </c>
      <c r="F487" s="523" t="n">
        <v>44932</v>
      </c>
      <c r="G487" s="556" t="n">
        <v>195605</v>
      </c>
      <c r="I487" s="521">
        <f>G487</f>
        <v/>
      </c>
      <c r="K487" s="521">
        <f>I487-G487</f>
        <v/>
      </c>
      <c r="M487" s="522" t="inlineStr">
        <is>
          <t>TI20230021</t>
        </is>
      </c>
      <c r="N487" s="522" t="inlineStr">
        <is>
          <t>TI20230021</t>
        </is>
      </c>
      <c r="O487" s="521">
        <f>M487=N487</f>
        <v/>
      </c>
      <c r="P487" s="521">
        <f>AND(MONTH(F487)=MONTH(S487), YEAR(F487)=YEAR(S487))</f>
        <v/>
      </c>
      <c r="Q487" s="521">
        <f>U487="L001-901905215"</f>
        <v/>
      </c>
      <c r="R487" s="556">
        <f>G487-W487</f>
        <v/>
      </c>
      <c r="S487" s="523" t="n">
        <v>44932</v>
      </c>
      <c r="T487" s="522" t="inlineStr">
        <is>
          <t>TI2023-0021</t>
        </is>
      </c>
      <c r="U487" s="522" t="inlineStr">
        <is>
          <t>L001-901905215</t>
        </is>
      </c>
      <c r="V487" s="522" t="inlineStr">
        <is>
          <t>វីអ៊ីស៊ិន (ខេមបូឌា) អ៊ិនដាសស្ទ្រី ឯ.ក</t>
        </is>
      </c>
      <c r="W487" s="556" t="n">
        <v>195605</v>
      </c>
    </row>
    <row r="488">
      <c r="A488" s="521" t="n">
        <v>480</v>
      </c>
      <c r="B488" s="522" t="inlineStr">
        <is>
          <t>Trucking Fee</t>
        </is>
      </c>
      <c r="C488" s="522" t="inlineStr">
        <is>
          <t>ឆាយ ដា ឡូយីស្ទីក</t>
        </is>
      </c>
      <c r="D488" s="522" t="inlineStr">
        <is>
          <t>L001-100063098</t>
        </is>
      </c>
      <c r="E488" s="521" t="inlineStr">
        <is>
          <t>2301001072</t>
        </is>
      </c>
      <c r="F488" s="523" t="n">
        <v>44956</v>
      </c>
      <c r="G488" s="556" t="n">
        <v>30750</v>
      </c>
      <c r="I488" s="521">
        <f>G488</f>
        <v/>
      </c>
      <c r="K488" s="521">
        <f>I488-G488</f>
        <v/>
      </c>
      <c r="M488" s="522" t="inlineStr">
        <is>
          <t>2301001072</t>
        </is>
      </c>
      <c r="N488" s="522" t="inlineStr">
        <is>
          <t>2301001072</t>
        </is>
      </c>
      <c r="O488" s="521">
        <f>M488=N488</f>
        <v/>
      </c>
      <c r="P488" s="521">
        <f>AND(MONTH(F488)=MONTH(S488), YEAR(F488)=YEAR(S488))</f>
        <v/>
      </c>
      <c r="Q488" s="521">
        <f>U488="L001-901905215"</f>
        <v/>
      </c>
      <c r="R488" s="556">
        <f>G488-W488</f>
        <v/>
      </c>
      <c r="S488" s="523" t="n">
        <v>44956</v>
      </c>
      <c r="T488" s="522" t="inlineStr">
        <is>
          <t>2301001072</t>
        </is>
      </c>
      <c r="U488" s="522" t="inlineStr">
        <is>
          <t>L001-901905215</t>
        </is>
      </c>
      <c r="V488" s="522" t="inlineStr">
        <is>
          <t>វីអ៊ីស៊ិន (ខេមបូឌា) អ៊ិនដាសស្ទ្រី ឯ.ក</t>
        </is>
      </c>
      <c r="W488" s="556" t="n">
        <v>30750</v>
      </c>
    </row>
    <row r="489">
      <c r="A489" s="521" t="n">
        <v>481</v>
      </c>
      <c r="B489" s="522" t="inlineStr">
        <is>
          <t>Trucking Fee</t>
        </is>
      </c>
      <c r="C489" s="522" t="inlineStr">
        <is>
          <t>ឆាយ ដា ឡូយីស្ទីក</t>
        </is>
      </c>
      <c r="D489" s="522" t="inlineStr">
        <is>
          <t>L001-100063098</t>
        </is>
      </c>
      <c r="E489" s="521" t="inlineStr">
        <is>
          <t>2301001047</t>
        </is>
      </c>
      <c r="F489" s="523" t="n">
        <v>44956</v>
      </c>
      <c r="G489" s="556" t="n">
        <v>89790</v>
      </c>
      <c r="I489" s="521">
        <f>G489</f>
        <v/>
      </c>
      <c r="K489" s="521">
        <f>I489-G489</f>
        <v/>
      </c>
      <c r="M489" s="522" t="inlineStr">
        <is>
          <t>2301001047</t>
        </is>
      </c>
      <c r="N489" s="522" t="inlineStr">
        <is>
          <t>2301001047</t>
        </is>
      </c>
      <c r="O489" s="521">
        <f>M489=N489</f>
        <v/>
      </c>
      <c r="P489" s="521">
        <f>AND(MONTH(F489)=MONTH(S489), YEAR(F489)=YEAR(S489))</f>
        <v/>
      </c>
      <c r="Q489" s="521">
        <f>U489="L001-901905215"</f>
        <v/>
      </c>
      <c r="R489" s="556">
        <f>G489-W489</f>
        <v/>
      </c>
      <c r="S489" s="523" t="n">
        <v>44956</v>
      </c>
      <c r="T489" s="522" t="inlineStr">
        <is>
          <t>2301001047</t>
        </is>
      </c>
      <c r="U489" s="522" t="inlineStr">
        <is>
          <t>L001-901905215</t>
        </is>
      </c>
      <c r="V489" s="522" t="inlineStr">
        <is>
          <t>វីអ៊ីស៊ិន (ខេមបូឌា) អ៊ិនដាសស្ទ្រី ឯ.ក</t>
        </is>
      </c>
      <c r="W489" s="556" t="n">
        <v>89790</v>
      </c>
    </row>
    <row r="490">
      <c r="A490" s="521" t="n">
        <v>482</v>
      </c>
      <c r="B490" s="522" t="inlineStr">
        <is>
          <t>Trucking Fee</t>
        </is>
      </c>
      <c r="C490" s="522" t="inlineStr">
        <is>
          <t>ឆាយ ដា ឡូយីស្ទីក</t>
        </is>
      </c>
      <c r="D490" s="522" t="inlineStr">
        <is>
          <t>L001-100063098</t>
        </is>
      </c>
      <c r="E490" s="521" t="inlineStr">
        <is>
          <t>2301001042</t>
        </is>
      </c>
      <c r="F490" s="523" t="n">
        <v>44956</v>
      </c>
      <c r="G490" s="556" t="n">
        <v>89790</v>
      </c>
      <c r="I490" s="521">
        <f>G490</f>
        <v/>
      </c>
      <c r="K490" s="521">
        <f>I490-G490</f>
        <v/>
      </c>
      <c r="M490" s="522" t="inlineStr">
        <is>
          <t>2301001042</t>
        </is>
      </c>
      <c r="N490" s="522" t="inlineStr">
        <is>
          <t>2301001042</t>
        </is>
      </c>
      <c r="O490" s="521">
        <f>M490=N490</f>
        <v/>
      </c>
      <c r="P490" s="521">
        <f>AND(MONTH(F490)=MONTH(S490), YEAR(F490)=YEAR(S490))</f>
        <v/>
      </c>
      <c r="Q490" s="521">
        <f>U490="L001-901905215"</f>
        <v/>
      </c>
      <c r="R490" s="556">
        <f>G490-W490</f>
        <v/>
      </c>
      <c r="S490" s="523" t="n">
        <v>44956</v>
      </c>
      <c r="T490" s="522" t="inlineStr">
        <is>
          <t>2301001042</t>
        </is>
      </c>
      <c r="U490" s="522" t="inlineStr">
        <is>
          <t>L001-901905215</t>
        </is>
      </c>
      <c r="V490" s="522" t="inlineStr">
        <is>
          <t>វីអ៊ីស៊ិន (ខេមបូឌា) អ៊ិនដាសស្ទ្រី ឯ.ក</t>
        </is>
      </c>
      <c r="W490" s="556" t="n">
        <v>89790</v>
      </c>
    </row>
    <row r="491">
      <c r="A491" s="521" t="n">
        <v>483</v>
      </c>
      <c r="B491" s="522" t="inlineStr">
        <is>
          <t>Trucking Fee</t>
        </is>
      </c>
      <c r="C491" s="522" t="inlineStr">
        <is>
          <t>ឆាយ ដា ឡូយីស្ទីក</t>
        </is>
      </c>
      <c r="D491" s="522" t="inlineStr">
        <is>
          <t>L001-100063098</t>
        </is>
      </c>
      <c r="E491" s="521" t="inlineStr">
        <is>
          <t>2301001036</t>
        </is>
      </c>
      <c r="F491" s="523" t="n">
        <v>44956</v>
      </c>
      <c r="G491" s="556" t="n">
        <v>179580</v>
      </c>
      <c r="I491" s="521">
        <f>G491</f>
        <v/>
      </c>
      <c r="K491" s="521">
        <f>I491-G491</f>
        <v/>
      </c>
      <c r="M491" s="522" t="inlineStr">
        <is>
          <t>2301001036</t>
        </is>
      </c>
      <c r="N491" s="522" t="inlineStr">
        <is>
          <t>2301001036</t>
        </is>
      </c>
      <c r="O491" s="521">
        <f>M491=N491</f>
        <v/>
      </c>
      <c r="P491" s="521">
        <f>AND(MONTH(F491)=MONTH(S491), YEAR(F491)=YEAR(S491))</f>
        <v/>
      </c>
      <c r="Q491" s="521">
        <f>U491="L001-901905215"</f>
        <v/>
      </c>
      <c r="R491" s="556">
        <f>G491-W491</f>
        <v/>
      </c>
      <c r="S491" s="523" t="n">
        <v>44956</v>
      </c>
      <c r="T491" s="522" t="inlineStr">
        <is>
          <t>2301001036</t>
        </is>
      </c>
      <c r="U491" s="522" t="inlineStr">
        <is>
          <t>L001-901905215</t>
        </is>
      </c>
      <c r="V491" s="522" t="inlineStr">
        <is>
          <t>វីអ៊ីស៊ិន (ខេមបូឌា) អ៊ិនដាសស្ទ្រី ឯ.ក</t>
        </is>
      </c>
      <c r="W491" s="556" t="n">
        <v>179580</v>
      </c>
    </row>
    <row r="492">
      <c r="A492" s="521" t="n">
        <v>484</v>
      </c>
      <c r="B492" s="522" t="inlineStr">
        <is>
          <t>Trucking Fee</t>
        </is>
      </c>
      <c r="C492" s="522" t="inlineStr">
        <is>
          <t>ឆាយ ដា ឡូយីស្ទីក</t>
        </is>
      </c>
      <c r="D492" s="522" t="inlineStr">
        <is>
          <t>L001-100063098</t>
        </is>
      </c>
      <c r="E492" s="521" t="inlineStr">
        <is>
          <t>2301001025</t>
        </is>
      </c>
      <c r="F492" s="523" t="n">
        <v>44956</v>
      </c>
      <c r="G492" s="556" t="n">
        <v>179580</v>
      </c>
      <c r="I492" s="521">
        <f>G492</f>
        <v/>
      </c>
      <c r="K492" s="521">
        <f>I492-G492</f>
        <v/>
      </c>
      <c r="M492" s="522" t="inlineStr">
        <is>
          <t>2301001025</t>
        </is>
      </c>
      <c r="N492" s="522" t="inlineStr">
        <is>
          <t>2301001025</t>
        </is>
      </c>
      <c r="O492" s="521">
        <f>M492=N492</f>
        <v/>
      </c>
      <c r="P492" s="521">
        <f>AND(MONTH(F492)=MONTH(S492), YEAR(F492)=YEAR(S492))</f>
        <v/>
      </c>
      <c r="Q492" s="521">
        <f>U492="L001-901905215"</f>
        <v/>
      </c>
      <c r="R492" s="556">
        <f>G492-W492</f>
        <v/>
      </c>
      <c r="S492" s="523" t="n">
        <v>44956</v>
      </c>
      <c r="T492" s="522" t="inlineStr">
        <is>
          <t>2301001025</t>
        </is>
      </c>
      <c r="U492" s="522" t="inlineStr">
        <is>
          <t>L001-901905215</t>
        </is>
      </c>
      <c r="V492" s="522" t="inlineStr">
        <is>
          <t>វីអ៊ីស៊ិន (ខេមបូឌា) អ៊ិនដាសស្ទ្រី ឯ.ក</t>
        </is>
      </c>
      <c r="W492" s="556" t="n">
        <v>179580</v>
      </c>
    </row>
    <row r="493">
      <c r="A493" s="521" t="n">
        <v>485</v>
      </c>
      <c r="B493" s="522" t="inlineStr">
        <is>
          <t>Trucking Fee</t>
        </is>
      </c>
      <c r="C493" s="522" t="inlineStr">
        <is>
          <t>ឆាយ ដា ឡូយីស្ទីក</t>
        </is>
      </c>
      <c r="D493" s="522" t="inlineStr">
        <is>
          <t>L001-100063098</t>
        </is>
      </c>
      <c r="E493" s="521" t="inlineStr">
        <is>
          <t>2301000797</t>
        </is>
      </c>
      <c r="F493" s="523" t="n">
        <v>44949</v>
      </c>
      <c r="G493" s="556" t="n">
        <v>28002</v>
      </c>
      <c r="I493" s="521">
        <f>G493</f>
        <v/>
      </c>
      <c r="K493" s="521">
        <f>I493-G493</f>
        <v/>
      </c>
      <c r="M493" s="522" t="inlineStr">
        <is>
          <t>2301000797</t>
        </is>
      </c>
      <c r="N493" s="522" t="inlineStr">
        <is>
          <t>2301000797</t>
        </is>
      </c>
      <c r="O493" s="521">
        <f>M493=N493</f>
        <v/>
      </c>
      <c r="P493" s="521">
        <f>AND(MONTH(F493)=MONTH(S493), YEAR(F493)=YEAR(S493))</f>
        <v/>
      </c>
      <c r="Q493" s="521">
        <f>U493="L001-901905215"</f>
        <v/>
      </c>
      <c r="R493" s="556">
        <f>G493-W493</f>
        <v/>
      </c>
      <c r="S493" s="523" t="n">
        <v>44949</v>
      </c>
      <c r="T493" s="522" t="inlineStr">
        <is>
          <t>2301000797</t>
        </is>
      </c>
      <c r="U493" s="522" t="inlineStr">
        <is>
          <t>L001-901905215</t>
        </is>
      </c>
      <c r="V493" s="522" t="inlineStr">
        <is>
          <t>វីអ៊ីស៊ិន (ខេមបូឌា) អ៊ិនដាសស្ទ្រី ឯ.ក</t>
        </is>
      </c>
      <c r="W493" s="556" t="n">
        <v>28002</v>
      </c>
    </row>
    <row r="494">
      <c r="A494" s="521" t="n">
        <v>486</v>
      </c>
      <c r="B494" s="522" t="inlineStr">
        <is>
          <t>Trucking Fee</t>
        </is>
      </c>
      <c r="C494" s="522" t="inlineStr">
        <is>
          <t>ឆាយ ដា ឡូយីស្ទីក</t>
        </is>
      </c>
      <c r="D494" s="522" t="inlineStr">
        <is>
          <t>L001-100063098</t>
        </is>
      </c>
      <c r="E494" s="521" t="inlineStr">
        <is>
          <t>2301000763</t>
        </is>
      </c>
      <c r="F494" s="523" t="n">
        <v>44949</v>
      </c>
      <c r="G494" s="556" t="n">
        <v>90184</v>
      </c>
      <c r="I494" s="521">
        <f>G494</f>
        <v/>
      </c>
      <c r="K494" s="521">
        <f>I494-G494</f>
        <v/>
      </c>
      <c r="M494" s="522" t="inlineStr">
        <is>
          <t>2301000763</t>
        </is>
      </c>
      <c r="N494" s="522" t="inlineStr">
        <is>
          <t>2301000763</t>
        </is>
      </c>
      <c r="O494" s="521">
        <f>M494=N494</f>
        <v/>
      </c>
      <c r="P494" s="521">
        <f>AND(MONTH(F494)=MONTH(S494), YEAR(F494)=YEAR(S494))</f>
        <v/>
      </c>
      <c r="Q494" s="521">
        <f>U494="L001-901905215"</f>
        <v/>
      </c>
      <c r="R494" s="556">
        <f>G494-W494</f>
        <v/>
      </c>
      <c r="S494" s="523" t="n">
        <v>44949</v>
      </c>
      <c r="T494" s="522" t="inlineStr">
        <is>
          <t>2301000763</t>
        </is>
      </c>
      <c r="U494" s="522" t="inlineStr">
        <is>
          <t>L001-901905215</t>
        </is>
      </c>
      <c r="V494" s="522" t="inlineStr">
        <is>
          <t>វីអ៊ីស៊ិន (ខេមបូឌា) អ៊ិនដាសស្ទ្រី ឯ.ក</t>
        </is>
      </c>
      <c r="W494" s="556" t="n">
        <v>90184</v>
      </c>
    </row>
    <row r="495">
      <c r="A495" s="521" t="n">
        <v>487</v>
      </c>
      <c r="B495" s="522" t="inlineStr">
        <is>
          <t>Trucking Fee</t>
        </is>
      </c>
      <c r="C495" s="522" t="inlineStr">
        <is>
          <t>ឆាយ ដា ឡូយីស្ទីក</t>
        </is>
      </c>
      <c r="D495" s="522" t="inlineStr">
        <is>
          <t>L001-100063098</t>
        </is>
      </c>
      <c r="E495" s="521" t="inlineStr">
        <is>
          <t>2301000746</t>
        </is>
      </c>
      <c r="F495" s="523" t="n">
        <v>44949</v>
      </c>
      <c r="G495" s="556" t="n">
        <v>90184</v>
      </c>
      <c r="I495" s="521">
        <f>G495</f>
        <v/>
      </c>
      <c r="K495" s="521">
        <f>I495-G495</f>
        <v/>
      </c>
      <c r="M495" s="522" t="inlineStr">
        <is>
          <t>2301000746</t>
        </is>
      </c>
      <c r="N495" s="522" t="inlineStr">
        <is>
          <t>2301000746</t>
        </is>
      </c>
      <c r="O495" s="521">
        <f>M495=N495</f>
        <v/>
      </c>
      <c r="P495" s="521">
        <f>AND(MONTH(F495)=MONTH(S495), YEAR(F495)=YEAR(S495))</f>
        <v/>
      </c>
      <c r="Q495" s="521">
        <f>U495="L001-901905215"</f>
        <v/>
      </c>
      <c r="R495" s="556">
        <f>G495-W495</f>
        <v/>
      </c>
      <c r="S495" s="523" t="n">
        <v>44949</v>
      </c>
      <c r="T495" s="522" t="inlineStr">
        <is>
          <t>2301000746</t>
        </is>
      </c>
      <c r="U495" s="522" t="inlineStr">
        <is>
          <t>L001-901905215</t>
        </is>
      </c>
      <c r="V495" s="522" t="inlineStr">
        <is>
          <t>វីអ៊ីស៊ិន (ខេមបូឌា) អ៊ិនដាសស្ទ្រី ឯ.ក</t>
        </is>
      </c>
      <c r="W495" s="556" t="n">
        <v>90184</v>
      </c>
    </row>
    <row r="496">
      <c r="A496" s="521" t="n">
        <v>488</v>
      </c>
      <c r="B496" s="522" t="inlineStr">
        <is>
          <t>Trucking Fee</t>
        </is>
      </c>
      <c r="C496" s="522" t="inlineStr">
        <is>
          <t>ឆាយ ដា ឡូយីស្ទីក</t>
        </is>
      </c>
      <c r="D496" s="522" t="inlineStr">
        <is>
          <t>L001-100063098</t>
        </is>
      </c>
      <c r="E496" s="521" t="inlineStr">
        <is>
          <t>2301000747</t>
        </is>
      </c>
      <c r="F496" s="523" t="n">
        <v>44949</v>
      </c>
      <c r="G496" s="556" t="n">
        <v>90184</v>
      </c>
      <c r="I496" s="521">
        <f>G496</f>
        <v/>
      </c>
      <c r="K496" s="521">
        <f>I496-G496</f>
        <v/>
      </c>
      <c r="M496" s="522" t="inlineStr">
        <is>
          <t>2301000747</t>
        </is>
      </c>
      <c r="N496" s="522" t="inlineStr">
        <is>
          <t>2301000747</t>
        </is>
      </c>
      <c r="O496" s="521">
        <f>M496=N496</f>
        <v/>
      </c>
      <c r="P496" s="521">
        <f>AND(MONTH(F496)=MONTH(S496), YEAR(F496)=YEAR(S496))</f>
        <v/>
      </c>
      <c r="Q496" s="521">
        <f>U496="L001-901905215"</f>
        <v/>
      </c>
      <c r="R496" s="556">
        <f>G496-W496</f>
        <v/>
      </c>
      <c r="S496" s="523" t="n">
        <v>44949</v>
      </c>
      <c r="T496" s="522" t="inlineStr">
        <is>
          <t>2301000747</t>
        </is>
      </c>
      <c r="U496" s="522" t="inlineStr">
        <is>
          <t>L001-901905215</t>
        </is>
      </c>
      <c r="V496" s="522" t="inlineStr">
        <is>
          <t>វីអ៊ីស៊ិន (ខេមបូឌា) អ៊ិនដាសស្ទ្រី ឯ.ក</t>
        </is>
      </c>
      <c r="W496" s="556" t="n">
        <v>90184</v>
      </c>
    </row>
    <row r="497">
      <c r="A497" s="521" t="n">
        <v>489</v>
      </c>
      <c r="B497" s="522" t="inlineStr">
        <is>
          <t>Trucking Fee</t>
        </is>
      </c>
      <c r="C497" s="522" t="inlineStr">
        <is>
          <t>ឆាយ ដា ឡូយីស្ទីក</t>
        </is>
      </c>
      <c r="D497" s="522" t="inlineStr">
        <is>
          <t>L001-100063098</t>
        </is>
      </c>
      <c r="E497" s="521" t="inlineStr">
        <is>
          <t>2301000509</t>
        </is>
      </c>
      <c r="F497" s="523" t="n">
        <v>44942</v>
      </c>
      <c r="G497" s="556" t="n">
        <v>90119</v>
      </c>
      <c r="I497" s="521">
        <f>G497</f>
        <v/>
      </c>
      <c r="K497" s="521">
        <f>I497-G497</f>
        <v/>
      </c>
      <c r="M497" s="522" t="inlineStr">
        <is>
          <t>2301000509</t>
        </is>
      </c>
      <c r="N497" s="522" t="inlineStr">
        <is>
          <t>2301000509</t>
        </is>
      </c>
      <c r="O497" s="521">
        <f>M497=N497</f>
        <v/>
      </c>
      <c r="P497" s="521">
        <f>AND(MONTH(F497)=MONTH(S497), YEAR(F497)=YEAR(S497))</f>
        <v/>
      </c>
      <c r="Q497" s="521">
        <f>U497="L001-901905215"</f>
        <v/>
      </c>
      <c r="R497" s="556">
        <f>G497-W497</f>
        <v/>
      </c>
      <c r="S497" s="523" t="n">
        <v>44942</v>
      </c>
      <c r="T497" s="522" t="inlineStr">
        <is>
          <t>2301000509</t>
        </is>
      </c>
      <c r="U497" s="522" t="inlineStr">
        <is>
          <t>L001-901905215</t>
        </is>
      </c>
      <c r="V497" s="522" t="inlineStr">
        <is>
          <t>វីអ៊ីស៊ិន (ខេមបូឌា) អ៊ិនដាសស្ទ្រី ឯ.ក</t>
        </is>
      </c>
      <c r="W497" s="556" t="n">
        <v>90119</v>
      </c>
    </row>
    <row r="498">
      <c r="A498" s="521" t="n">
        <v>490</v>
      </c>
      <c r="B498" s="522" t="inlineStr">
        <is>
          <t>Trucking Fee</t>
        </is>
      </c>
      <c r="C498" s="522" t="inlineStr">
        <is>
          <t>ឆាយ ដា ឡូយីស្ទីក</t>
        </is>
      </c>
      <c r="D498" s="522" t="inlineStr">
        <is>
          <t>L001-100063098</t>
        </is>
      </c>
      <c r="E498" s="521" t="inlineStr">
        <is>
          <t>2301000508</t>
        </is>
      </c>
      <c r="F498" s="523" t="n">
        <v>44942</v>
      </c>
      <c r="G498" s="556" t="n">
        <v>90119</v>
      </c>
      <c r="I498" s="521">
        <f>G498</f>
        <v/>
      </c>
      <c r="K498" s="521">
        <f>I498-G498</f>
        <v/>
      </c>
      <c r="M498" s="522" t="inlineStr">
        <is>
          <t>2301000508</t>
        </is>
      </c>
      <c r="N498" s="522" t="inlineStr">
        <is>
          <t>2301000508</t>
        </is>
      </c>
      <c r="O498" s="521">
        <f>M498=N498</f>
        <v/>
      </c>
      <c r="P498" s="521">
        <f>AND(MONTH(F498)=MONTH(S498), YEAR(F498)=YEAR(S498))</f>
        <v/>
      </c>
      <c r="Q498" s="521">
        <f>U498="L001-901905215"</f>
        <v/>
      </c>
      <c r="R498" s="556">
        <f>G498-W498</f>
        <v/>
      </c>
      <c r="S498" s="523" t="n">
        <v>44942</v>
      </c>
      <c r="T498" s="522" t="inlineStr">
        <is>
          <t>2301000508</t>
        </is>
      </c>
      <c r="U498" s="522" t="inlineStr">
        <is>
          <t>L001-901905215</t>
        </is>
      </c>
      <c r="V498" s="522" t="inlineStr">
        <is>
          <t>វីអ៊ីស៊ិន (ខេមបូឌា) អ៊ិនដាសស្ទ្រី ឯ.ក</t>
        </is>
      </c>
      <c r="W498" s="556" t="n">
        <v>90119</v>
      </c>
    </row>
    <row r="499">
      <c r="A499" s="521" t="n">
        <v>491</v>
      </c>
      <c r="B499" s="522" t="inlineStr">
        <is>
          <t>Trucking Fee</t>
        </is>
      </c>
      <c r="C499" s="522" t="inlineStr">
        <is>
          <t>ឆាយ ដា ឡូយីស្ទីក</t>
        </is>
      </c>
      <c r="D499" s="522" t="inlineStr">
        <is>
          <t>L001-100063098</t>
        </is>
      </c>
      <c r="E499" s="521" t="inlineStr">
        <is>
          <t>2301000292</t>
        </is>
      </c>
      <c r="F499" s="523" t="n">
        <v>44935</v>
      </c>
      <c r="G499" s="556" t="n">
        <v>12772</v>
      </c>
      <c r="I499" s="521">
        <f>G499</f>
        <v/>
      </c>
      <c r="K499" s="521">
        <f>I499-G499</f>
        <v/>
      </c>
      <c r="M499" s="522" t="inlineStr">
        <is>
          <t>2301000292</t>
        </is>
      </c>
      <c r="N499" s="522" t="inlineStr">
        <is>
          <t>2301000292</t>
        </is>
      </c>
      <c r="O499" s="521">
        <f>M499=N499</f>
        <v/>
      </c>
      <c r="P499" s="521">
        <f>AND(MONTH(F499)=MONTH(S499), YEAR(F499)=YEAR(S499))</f>
        <v/>
      </c>
      <c r="Q499" s="521">
        <f>U499="L001-901905215"</f>
        <v/>
      </c>
      <c r="R499" s="556">
        <f>G499-W499</f>
        <v/>
      </c>
      <c r="S499" s="523" t="n">
        <v>44935</v>
      </c>
      <c r="T499" s="522" t="inlineStr">
        <is>
          <t>2301000292</t>
        </is>
      </c>
      <c r="U499" s="522" t="inlineStr">
        <is>
          <t>L001-901905215</t>
        </is>
      </c>
      <c r="V499" s="522" t="inlineStr">
        <is>
          <t>វីអ៊ីស៊ិន (ខេមបូឌា) អ៊ិនដាសស្ទ្រី ឯ.ក</t>
        </is>
      </c>
      <c r="W499" s="556" t="n">
        <v>12772</v>
      </c>
    </row>
    <row r="500">
      <c r="A500" s="521" t="n">
        <v>492</v>
      </c>
      <c r="B500" s="522" t="inlineStr">
        <is>
          <t>Trucking Fee</t>
        </is>
      </c>
      <c r="C500" s="522" t="inlineStr">
        <is>
          <t>ឆាយ ដា ឡូយីស្ទីក</t>
        </is>
      </c>
      <c r="D500" s="522" t="inlineStr">
        <is>
          <t>L001-100063098</t>
        </is>
      </c>
      <c r="E500" s="521" t="inlineStr">
        <is>
          <t>2301000252</t>
        </is>
      </c>
      <c r="F500" s="523" t="n">
        <v>44935</v>
      </c>
      <c r="G500" s="556" t="n">
        <v>90228</v>
      </c>
      <c r="I500" s="521">
        <f>G500</f>
        <v/>
      </c>
      <c r="K500" s="521">
        <f>I500-G500</f>
        <v/>
      </c>
      <c r="M500" s="522" t="inlineStr">
        <is>
          <t>2301000252</t>
        </is>
      </c>
      <c r="N500" s="522" t="inlineStr">
        <is>
          <t>2301000252</t>
        </is>
      </c>
      <c r="O500" s="521">
        <f>M500=N500</f>
        <v/>
      </c>
      <c r="P500" s="521">
        <f>AND(MONTH(F500)=MONTH(S500), YEAR(F500)=YEAR(S500))</f>
        <v/>
      </c>
      <c r="Q500" s="521">
        <f>U500="L001-901905215"</f>
        <v/>
      </c>
      <c r="R500" s="556">
        <f>G500-W500</f>
        <v/>
      </c>
      <c r="S500" s="523" t="n">
        <v>44935</v>
      </c>
      <c r="T500" s="522" t="inlineStr">
        <is>
          <t>2301000252</t>
        </is>
      </c>
      <c r="U500" s="522" t="inlineStr">
        <is>
          <t>L001-901905215</t>
        </is>
      </c>
      <c r="V500" s="522" t="inlineStr">
        <is>
          <t>វីអ៊ីស៊ិន (ខេមបូឌា) អ៊ិនដាសស្ទ្រី ឯ.ក</t>
        </is>
      </c>
      <c r="W500" s="556" t="n">
        <v>90228</v>
      </c>
    </row>
    <row r="501">
      <c r="A501" s="521" t="n">
        <v>493</v>
      </c>
      <c r="B501" s="522" t="inlineStr">
        <is>
          <t>Trucking Fee</t>
        </is>
      </c>
      <c r="C501" s="522" t="inlineStr">
        <is>
          <t>ឆាយ ដា ឡូយីស្ទីក</t>
        </is>
      </c>
      <c r="D501" s="522" t="inlineStr">
        <is>
          <t>L001-100063098</t>
        </is>
      </c>
      <c r="E501" s="521" t="inlineStr">
        <is>
          <t>2301000246</t>
        </is>
      </c>
      <c r="F501" s="523" t="n">
        <v>44935</v>
      </c>
      <c r="G501" s="556" t="n">
        <v>195288</v>
      </c>
      <c r="I501" s="521">
        <f>G501</f>
        <v/>
      </c>
      <c r="K501" s="521">
        <f>I501-G501</f>
        <v/>
      </c>
      <c r="M501" s="522" t="inlineStr">
        <is>
          <t>2301000246</t>
        </is>
      </c>
      <c r="N501" s="522" t="inlineStr">
        <is>
          <t>2301000246</t>
        </is>
      </c>
      <c r="O501" s="521">
        <f>M501=N501</f>
        <v/>
      </c>
      <c r="P501" s="521">
        <f>AND(MONTH(F501)=MONTH(S501), YEAR(F501)=YEAR(S501))</f>
        <v/>
      </c>
      <c r="Q501" s="521">
        <f>U501="L001-901905215"</f>
        <v/>
      </c>
      <c r="R501" s="556">
        <f>G501-W501</f>
        <v/>
      </c>
      <c r="S501" s="523" t="n">
        <v>44935</v>
      </c>
      <c r="T501" s="522" t="inlineStr">
        <is>
          <t>2301000246</t>
        </is>
      </c>
      <c r="U501" s="522" t="inlineStr">
        <is>
          <t>L001-901905215</t>
        </is>
      </c>
      <c r="V501" s="522" t="inlineStr">
        <is>
          <t>វីអ៊ីស៊ិន (ខេមបូឌា) អ៊ិនដាសស្ទ្រី ឯ.ក</t>
        </is>
      </c>
      <c r="W501" s="556" t="n">
        <v>195288</v>
      </c>
    </row>
    <row r="502">
      <c r="A502" s="521" t="n">
        <v>494</v>
      </c>
      <c r="B502" s="522" t="inlineStr">
        <is>
          <t>Trucking Fee</t>
        </is>
      </c>
      <c r="C502" s="522" t="inlineStr">
        <is>
          <t>ឆាយ ដា ឡូយីស្ទីក</t>
        </is>
      </c>
      <c r="D502" s="522" t="inlineStr">
        <is>
          <t>L001-100063098</t>
        </is>
      </c>
      <c r="E502" s="521" t="inlineStr">
        <is>
          <t>2301000077</t>
        </is>
      </c>
      <c r="F502" s="523" t="n">
        <v>44928</v>
      </c>
      <c r="G502" s="556" t="n">
        <v>12360</v>
      </c>
      <c r="I502" s="521">
        <f>G502</f>
        <v/>
      </c>
      <c r="K502" s="521">
        <f>I502-G502</f>
        <v/>
      </c>
      <c r="M502" s="522" t="inlineStr">
        <is>
          <t>2301000077</t>
        </is>
      </c>
      <c r="N502" s="522" t="inlineStr">
        <is>
          <t>2301000077</t>
        </is>
      </c>
      <c r="O502" s="521">
        <f>M502=N502</f>
        <v/>
      </c>
      <c r="P502" s="521">
        <f>AND(MONTH(F502)=MONTH(S502), YEAR(F502)=YEAR(S502))</f>
        <v/>
      </c>
      <c r="Q502" s="521">
        <f>U502="L001-901905215"</f>
        <v/>
      </c>
      <c r="R502" s="556">
        <f>G502-W502</f>
        <v/>
      </c>
      <c r="S502" s="523" t="n">
        <v>44928</v>
      </c>
      <c r="T502" s="522" t="inlineStr">
        <is>
          <t>2301000077</t>
        </is>
      </c>
      <c r="U502" s="522" t="inlineStr">
        <is>
          <t>L001-901905215</t>
        </is>
      </c>
      <c r="V502" s="522" t="inlineStr">
        <is>
          <t>វីអ៊ីស៊ិន (ខេមបូឌា) អ៊ិនដាសស្ទ្រី ឯ.ក</t>
        </is>
      </c>
      <c r="W502" s="556" t="n">
        <v>12360</v>
      </c>
    </row>
    <row r="503">
      <c r="A503" s="521" t="n">
        <v>495</v>
      </c>
      <c r="B503" s="522" t="inlineStr">
        <is>
          <t>Trucking Fee</t>
        </is>
      </c>
      <c r="C503" s="522" t="inlineStr">
        <is>
          <t>ឆាយ ដា ឡូយីស្ទីក</t>
        </is>
      </c>
      <c r="D503" s="522" t="inlineStr">
        <is>
          <t>L001-100063098</t>
        </is>
      </c>
      <c r="E503" s="521" t="inlineStr">
        <is>
          <t>2301000054</t>
        </is>
      </c>
      <c r="F503" s="523" t="n">
        <v>44928</v>
      </c>
      <c r="G503" s="556" t="n">
        <v>90228</v>
      </c>
      <c r="I503" s="521">
        <f>G503</f>
        <v/>
      </c>
      <c r="K503" s="521">
        <f>I503-G503</f>
        <v/>
      </c>
      <c r="M503" s="522" t="inlineStr">
        <is>
          <t>2301000054</t>
        </is>
      </c>
      <c r="N503" s="522" t="inlineStr">
        <is>
          <t>2301000054</t>
        </is>
      </c>
      <c r="O503" s="521">
        <f>M503=N503</f>
        <v/>
      </c>
      <c r="P503" s="521">
        <f>AND(MONTH(F503)=MONTH(S503), YEAR(F503)=YEAR(S503))</f>
        <v/>
      </c>
      <c r="Q503" s="521">
        <f>U503="L001-901905215"</f>
        <v/>
      </c>
      <c r="R503" s="556">
        <f>G503-W503</f>
        <v/>
      </c>
      <c r="S503" s="523" t="n">
        <v>44928</v>
      </c>
      <c r="T503" s="522" t="inlineStr">
        <is>
          <t>2301000054</t>
        </is>
      </c>
      <c r="U503" s="522" t="inlineStr">
        <is>
          <t>L001-901905215</t>
        </is>
      </c>
      <c r="V503" s="522" t="inlineStr">
        <is>
          <t>វីអ៊ីស៊ិន (ខេមបូឌា) អ៊ិនដាសស្ទ្រី ឯ.ក</t>
        </is>
      </c>
      <c r="W503" s="556" t="n">
        <v>90228</v>
      </c>
    </row>
    <row r="504">
      <c r="A504" s="521" t="n">
        <v>496</v>
      </c>
      <c r="B504" s="522" t="inlineStr">
        <is>
          <t>Trucking Fee</t>
        </is>
      </c>
      <c r="C504" s="522" t="inlineStr">
        <is>
          <t>ឆាយ ដា ឡូយីស្ទីក</t>
        </is>
      </c>
      <c r="D504" s="522" t="inlineStr">
        <is>
          <t>L001-100063098</t>
        </is>
      </c>
      <c r="E504" s="521" t="inlineStr">
        <is>
          <t>2301000035</t>
        </is>
      </c>
      <c r="F504" s="523" t="n">
        <v>44928</v>
      </c>
      <c r="G504" s="556" t="n">
        <v>90228</v>
      </c>
      <c r="I504" s="521">
        <f>G504</f>
        <v/>
      </c>
      <c r="K504" s="521">
        <f>I504-G504</f>
        <v/>
      </c>
      <c r="M504" s="522" t="inlineStr">
        <is>
          <t>2301000035</t>
        </is>
      </c>
      <c r="N504" s="522" t="inlineStr">
        <is>
          <t>2301000035</t>
        </is>
      </c>
      <c r="O504" s="521">
        <f>M504=N504</f>
        <v/>
      </c>
      <c r="P504" s="521">
        <f>AND(MONTH(F504)=MONTH(S504), YEAR(F504)=YEAR(S504))</f>
        <v/>
      </c>
      <c r="Q504" s="521">
        <f>U504="L001-901905215"</f>
        <v/>
      </c>
      <c r="R504" s="556">
        <f>G504-W504</f>
        <v/>
      </c>
      <c r="S504" s="523" t="n">
        <v>44928</v>
      </c>
      <c r="T504" s="522" t="inlineStr">
        <is>
          <t>2301000035</t>
        </is>
      </c>
      <c r="U504" s="522" t="inlineStr">
        <is>
          <t>L001-901905215</t>
        </is>
      </c>
      <c r="V504" s="522" t="inlineStr">
        <is>
          <t>វីអ៊ីស៊ិន (ខេមបូឌា) អ៊ិនដាសស្ទ្រី ឯ.ក</t>
        </is>
      </c>
      <c r="W504" s="556" t="n">
        <v>90228</v>
      </c>
    </row>
    <row r="505">
      <c r="A505" s="521" t="n">
        <v>497</v>
      </c>
      <c r="B505" s="522" t="inlineStr">
        <is>
          <t>Trucking Fee</t>
        </is>
      </c>
      <c r="C505" s="522" t="inlineStr">
        <is>
          <t>អ៊ិចស្ពែឌីធ័រ ខេមបូឌា អិលធីឌី</t>
        </is>
      </c>
      <c r="D505" s="522" t="inlineStr">
        <is>
          <t>L001-100045898</t>
        </is>
      </c>
      <c r="E505" s="521" t="inlineStr">
        <is>
          <t>TI-0243430</t>
        </is>
      </c>
      <c r="F505" s="523" t="n">
        <v>44957</v>
      </c>
      <c r="G505" s="556" t="n">
        <v>387418</v>
      </c>
      <c r="I505" s="521">
        <f>G505</f>
        <v/>
      </c>
      <c r="K505" s="521">
        <f>I505-G505</f>
        <v/>
      </c>
      <c r="M505" s="522" t="inlineStr">
        <is>
          <t>TI0243430</t>
        </is>
      </c>
      <c r="N505" s="522" t="inlineStr">
        <is>
          <t>TI0243430</t>
        </is>
      </c>
      <c r="O505" s="521">
        <f>M505=N505</f>
        <v/>
      </c>
      <c r="P505" s="521">
        <f>AND(MONTH(F505)=MONTH(S505), YEAR(F505)=YEAR(S505))</f>
        <v/>
      </c>
      <c r="Q505" s="521">
        <f>U505="L001-901905215"</f>
        <v/>
      </c>
      <c r="R505" s="556">
        <f>G505-W505</f>
        <v/>
      </c>
      <c r="S505" s="523" t="n">
        <v>44957</v>
      </c>
      <c r="T505" s="522" t="inlineStr">
        <is>
          <t>TI-0243430</t>
        </is>
      </c>
      <c r="U505" s="522" t="inlineStr">
        <is>
          <t>L001-901905215</t>
        </is>
      </c>
      <c r="V505" s="522" t="inlineStr">
        <is>
          <t>វីអ៊ីស៊ិន (ខេមបូឌា) អ៊ិនដាសស្ទ្រី ឯ.ក</t>
        </is>
      </c>
      <c r="W505" s="556" t="n">
        <v>387418</v>
      </c>
    </row>
    <row r="506">
      <c r="A506" s="521" t="n">
        <v>498</v>
      </c>
      <c r="B506" s="522" t="inlineStr">
        <is>
          <t>Trucking Fee</t>
        </is>
      </c>
      <c r="C506" s="522" t="inlineStr">
        <is>
          <t>អ៊ិចស្ពែឌីធ័រ ខេមបូឌា អិលធីឌី</t>
        </is>
      </c>
      <c r="D506" s="522" t="inlineStr">
        <is>
          <t>L001-100045898</t>
        </is>
      </c>
      <c r="E506" s="521" t="inlineStr">
        <is>
          <t>TI-0243469</t>
        </is>
      </c>
      <c r="F506" s="523" t="n">
        <v>44957</v>
      </c>
      <c r="G506" s="556" t="n">
        <v>325037</v>
      </c>
      <c r="I506" s="521">
        <f>G506</f>
        <v/>
      </c>
      <c r="K506" s="521">
        <f>I506-G506</f>
        <v/>
      </c>
      <c r="M506" s="522" t="inlineStr">
        <is>
          <t>TI0243469</t>
        </is>
      </c>
      <c r="N506" s="522" t="inlineStr">
        <is>
          <t>TI0243469</t>
        </is>
      </c>
      <c r="O506" s="521">
        <f>M506=N506</f>
        <v/>
      </c>
      <c r="P506" s="521">
        <f>AND(MONTH(F506)=MONTH(S506), YEAR(F506)=YEAR(S506))</f>
        <v/>
      </c>
      <c r="Q506" s="521">
        <f>U506="L001-901905215"</f>
        <v/>
      </c>
      <c r="R506" s="556">
        <f>G506-W506</f>
        <v/>
      </c>
      <c r="S506" s="523" t="n">
        <v>44957</v>
      </c>
      <c r="T506" s="522" t="inlineStr">
        <is>
          <t>TI-0243469</t>
        </is>
      </c>
      <c r="U506" s="522" t="inlineStr">
        <is>
          <t>L001-901905215</t>
        </is>
      </c>
      <c r="V506" s="522" t="inlineStr">
        <is>
          <t>វីអ៊ីស៊ិន (ខេមបូឌា) អ៊ិនដាសស្ទ្រី ឯ.ក</t>
        </is>
      </c>
      <c r="W506" s="556" t="n">
        <v>325037</v>
      </c>
    </row>
    <row r="507">
      <c r="A507" s="521" t="n">
        <v>499</v>
      </c>
      <c r="B507" s="522" t="inlineStr">
        <is>
          <t>Trucking Fee</t>
        </is>
      </c>
      <c r="C507" s="522" t="inlineStr">
        <is>
          <t>អ៊ិចស្ពែឌីធ័រ ខេមបូឌា អិលធីឌី</t>
        </is>
      </c>
      <c r="D507" s="522" t="inlineStr">
        <is>
          <t>L001-100045898</t>
        </is>
      </c>
      <c r="E507" s="521" t="inlineStr">
        <is>
          <t>TI-0243468</t>
        </is>
      </c>
      <c r="F507" s="523" t="n">
        <v>44957</v>
      </c>
      <c r="G507" s="556" t="n">
        <v>211710</v>
      </c>
      <c r="I507" s="521">
        <f>G507</f>
        <v/>
      </c>
      <c r="K507" s="521">
        <f>I507-G507</f>
        <v/>
      </c>
      <c r="M507" s="522" t="inlineStr">
        <is>
          <t>TI0243468</t>
        </is>
      </c>
      <c r="N507" s="522" t="inlineStr">
        <is>
          <t>TI0243468</t>
        </is>
      </c>
      <c r="O507" s="521">
        <f>M507=N507</f>
        <v/>
      </c>
      <c r="P507" s="521">
        <f>AND(MONTH(F507)=MONTH(S507), YEAR(F507)=YEAR(S507))</f>
        <v/>
      </c>
      <c r="Q507" s="521">
        <f>U507="L001-901905215"</f>
        <v/>
      </c>
      <c r="R507" s="556">
        <f>G507-W507</f>
        <v/>
      </c>
      <c r="S507" s="523" t="n">
        <v>44957</v>
      </c>
      <c r="T507" s="522" t="inlineStr">
        <is>
          <t>TI-0243468</t>
        </is>
      </c>
      <c r="U507" s="522" t="inlineStr">
        <is>
          <t>L001-901905215</t>
        </is>
      </c>
      <c r="V507" s="522" t="inlineStr">
        <is>
          <t>វីអ៊ីស៊ិន (ខេមបូឌា) អ៊ិនដាសស្ទ្រី ឯ.ក</t>
        </is>
      </c>
      <c r="W507" s="556" t="n">
        <v>211725</v>
      </c>
    </row>
    <row r="508">
      <c r="A508" s="521" t="n">
        <v>500</v>
      </c>
      <c r="B508" s="522" t="inlineStr">
        <is>
          <t>Trucking Fee</t>
        </is>
      </c>
      <c r="C508" s="522" t="inlineStr">
        <is>
          <t>អ៊ិចស្ពែឌីធ័រ ខេមបូឌា អិលធីឌី</t>
        </is>
      </c>
      <c r="D508" s="522" t="inlineStr">
        <is>
          <t>L001-100045898</t>
        </is>
      </c>
      <c r="E508" s="521" t="inlineStr">
        <is>
          <t>TI-0243455</t>
        </is>
      </c>
      <c r="F508" s="523" t="n">
        <v>44957</v>
      </c>
      <c r="G508" s="556" t="n">
        <v>219721</v>
      </c>
      <c r="I508" s="521">
        <f>G508</f>
        <v/>
      </c>
      <c r="K508" s="521">
        <f>I508-G508</f>
        <v/>
      </c>
      <c r="M508" s="522" t="inlineStr">
        <is>
          <t>TI0243455</t>
        </is>
      </c>
      <c r="N508" s="522" t="inlineStr">
        <is>
          <t>TI0243455</t>
        </is>
      </c>
      <c r="O508" s="521">
        <f>M508=N508</f>
        <v/>
      </c>
      <c r="P508" s="521">
        <f>AND(MONTH(F508)=MONTH(S508), YEAR(F508)=YEAR(S508))</f>
        <v/>
      </c>
      <c r="Q508" s="521">
        <f>U508="L001-901905215"</f>
        <v/>
      </c>
      <c r="R508" s="556">
        <f>G508-W508</f>
        <v/>
      </c>
      <c r="S508" s="523" t="n">
        <v>44957</v>
      </c>
      <c r="T508" s="522" t="inlineStr">
        <is>
          <t>TI-0243455</t>
        </is>
      </c>
      <c r="U508" s="522" t="inlineStr">
        <is>
          <t>L001-901905215</t>
        </is>
      </c>
      <c r="V508" s="522" t="inlineStr">
        <is>
          <t>វីអ៊ីស៊ិន (ខេមបូឌា) អ៊ិនដាសស្ទ្រី ឯ.ក</t>
        </is>
      </c>
      <c r="W508" s="556" t="n">
        <v>219728</v>
      </c>
    </row>
    <row r="509">
      <c r="A509" s="521" t="n">
        <v>501</v>
      </c>
      <c r="B509" s="522" t="inlineStr">
        <is>
          <t>Trucking Fee</t>
        </is>
      </c>
      <c r="C509" s="522" t="inlineStr">
        <is>
          <t>អ៊ិចស្ពែឌីធ័រ ខេមបូឌា អិលធីឌី</t>
        </is>
      </c>
      <c r="D509" s="522" t="inlineStr">
        <is>
          <t>L001-100045898</t>
        </is>
      </c>
      <c r="E509" s="521" t="inlineStr">
        <is>
          <t>TI-0243449</t>
        </is>
      </c>
      <c r="F509" s="523" t="n">
        <v>44957</v>
      </c>
      <c r="G509" s="556" t="n">
        <v>169764</v>
      </c>
      <c r="I509" s="521">
        <f>G509</f>
        <v/>
      </c>
      <c r="K509" s="521">
        <f>I509-G509</f>
        <v/>
      </c>
      <c r="M509" s="522" t="inlineStr">
        <is>
          <t>TI0243449</t>
        </is>
      </c>
      <c r="N509" s="522" t="inlineStr">
        <is>
          <t>TI0243449</t>
        </is>
      </c>
      <c r="O509" s="521">
        <f>M509=N509</f>
        <v/>
      </c>
      <c r="P509" s="521">
        <f>AND(MONTH(F509)=MONTH(S509), YEAR(F509)=YEAR(S509))</f>
        <v/>
      </c>
      <c r="Q509" s="521">
        <f>U509="L001-901905215"</f>
        <v/>
      </c>
      <c r="R509" s="556">
        <f>G509-W509</f>
        <v/>
      </c>
      <c r="S509" s="523" t="n">
        <v>44957</v>
      </c>
      <c r="T509" s="522" t="inlineStr">
        <is>
          <t>TI-0243449</t>
        </is>
      </c>
      <c r="U509" s="522" t="inlineStr">
        <is>
          <t>L001-901905215</t>
        </is>
      </c>
      <c r="V509" s="522" t="inlineStr">
        <is>
          <t>វីអ៊ីស៊ិន (ខេមបូឌា) អ៊ិនដាសស្ទ្រី ឯ.ក</t>
        </is>
      </c>
      <c r="W509" s="556" t="n">
        <v>169782</v>
      </c>
    </row>
    <row r="510">
      <c r="A510" s="521" t="n">
        <v>502</v>
      </c>
      <c r="B510" s="522" t="inlineStr">
        <is>
          <t>Trucking Fee</t>
        </is>
      </c>
      <c r="C510" s="522" t="inlineStr">
        <is>
          <t>អ៊ិចស្ពែឌីធ័រ ខេមបូឌា អិលធីឌី</t>
        </is>
      </c>
      <c r="D510" s="522" t="inlineStr">
        <is>
          <t>L001-100045898</t>
        </is>
      </c>
      <c r="E510" s="521" t="inlineStr">
        <is>
          <t>TI-0243447</t>
        </is>
      </c>
      <c r="F510" s="523" t="n">
        <v>44957</v>
      </c>
      <c r="G510" s="556" t="n">
        <v>337509</v>
      </c>
      <c r="I510" s="521">
        <f>G510</f>
        <v/>
      </c>
      <c r="K510" s="521">
        <f>I510-G510</f>
        <v/>
      </c>
      <c r="M510" s="522" t="inlineStr">
        <is>
          <t>TI0243447</t>
        </is>
      </c>
      <c r="N510" s="522" t="inlineStr">
        <is>
          <t>TI0243447</t>
        </is>
      </c>
      <c r="O510" s="521">
        <f>M510=N510</f>
        <v/>
      </c>
      <c r="P510" s="521">
        <f>AND(MONTH(F510)=MONTH(S510), YEAR(F510)=YEAR(S510))</f>
        <v/>
      </c>
      <c r="Q510" s="521">
        <f>U510="L001-901905215"</f>
        <v/>
      </c>
      <c r="R510" s="556">
        <f>G510-W510</f>
        <v/>
      </c>
      <c r="S510" s="523" t="n">
        <v>44957</v>
      </c>
      <c r="T510" s="522" t="inlineStr">
        <is>
          <t>TI-0243447</t>
        </is>
      </c>
      <c r="U510" s="522" t="inlineStr">
        <is>
          <t>L001-901905215</t>
        </is>
      </c>
      <c r="V510" s="522" t="inlineStr">
        <is>
          <t>វីអ៊ីស៊ិន (ខេមបូឌា) អ៊ិនដាសស្ទ្រី ឯ.ក</t>
        </is>
      </c>
      <c r="W510" s="556" t="n">
        <v>337513</v>
      </c>
    </row>
    <row r="511">
      <c r="A511" s="521" t="n">
        <v>503</v>
      </c>
      <c r="B511" s="522" t="inlineStr">
        <is>
          <t>Trucking Fee</t>
        </is>
      </c>
      <c r="C511" s="522" t="inlineStr">
        <is>
          <t>អ៊ិចស្ពែឌីធ័រ ខេមបូឌា អិលធីឌី</t>
        </is>
      </c>
      <c r="D511" s="522" t="inlineStr">
        <is>
          <t>L001-100045898</t>
        </is>
      </c>
      <c r="E511" s="521" t="inlineStr">
        <is>
          <t>TI-0243440</t>
        </is>
      </c>
      <c r="F511" s="523" t="n">
        <v>44957</v>
      </c>
      <c r="G511" s="556" t="n">
        <v>466796</v>
      </c>
      <c r="I511" s="521">
        <f>G511</f>
        <v/>
      </c>
      <c r="K511" s="521">
        <f>I511-G511</f>
        <v/>
      </c>
      <c r="M511" s="522" t="inlineStr">
        <is>
          <t>TI0243440</t>
        </is>
      </c>
      <c r="N511" s="522" t="inlineStr">
        <is>
          <t>TI0243440</t>
        </is>
      </c>
      <c r="O511" s="521">
        <f>M511=N511</f>
        <v/>
      </c>
      <c r="P511" s="521">
        <f>AND(MONTH(F511)=MONTH(S511), YEAR(F511)=YEAR(S511))</f>
        <v/>
      </c>
      <c r="Q511" s="521">
        <f>U511="L001-901905215"</f>
        <v/>
      </c>
      <c r="R511" s="556">
        <f>G511-W511</f>
        <v/>
      </c>
      <c r="S511" s="523" t="n">
        <v>44957</v>
      </c>
      <c r="T511" s="522" t="inlineStr">
        <is>
          <t>TI-0243440</t>
        </is>
      </c>
      <c r="U511" s="522" t="inlineStr">
        <is>
          <t>L001-901905215</t>
        </is>
      </c>
      <c r="V511" s="522" t="inlineStr">
        <is>
          <t>វីអ៊ីស៊ិន (ខេមបូឌា) អ៊ិនដាសស្ទ្រី ឯ.ក</t>
        </is>
      </c>
      <c r="W511" s="556" t="n">
        <v>466789</v>
      </c>
    </row>
    <row r="512">
      <c r="A512" s="521" t="n">
        <v>504</v>
      </c>
      <c r="B512" s="522" t="inlineStr">
        <is>
          <t>Trucking Fee</t>
        </is>
      </c>
      <c r="C512" s="522" t="inlineStr">
        <is>
          <t>អ៊ិចស្ពែឌីធ័រ ខេមបូឌា អិលធីឌី</t>
        </is>
      </c>
      <c r="D512" s="522" t="inlineStr">
        <is>
          <t>L001-100045898</t>
        </is>
      </c>
      <c r="E512" s="521" t="inlineStr">
        <is>
          <t>TI-0243437</t>
        </is>
      </c>
      <c r="F512" s="523" t="n">
        <v>44957</v>
      </c>
      <c r="G512" s="556" t="n">
        <v>168436</v>
      </c>
      <c r="I512" s="521">
        <f>G512</f>
        <v/>
      </c>
      <c r="K512" s="521">
        <f>I512-G512</f>
        <v/>
      </c>
      <c r="M512" s="522" t="inlineStr">
        <is>
          <t>TI0243437</t>
        </is>
      </c>
      <c r="N512" s="522" t="inlineStr">
        <is>
          <t>TI0243437</t>
        </is>
      </c>
      <c r="O512" s="521">
        <f>M512=N512</f>
        <v/>
      </c>
      <c r="P512" s="521">
        <f>AND(MONTH(F512)=MONTH(S512), YEAR(F512)=YEAR(S512))</f>
        <v/>
      </c>
      <c r="Q512" s="521">
        <f>U512="L001-901905215"</f>
        <v/>
      </c>
      <c r="R512" s="556">
        <f>G512-W512</f>
        <v/>
      </c>
      <c r="S512" s="523" t="n">
        <v>44957</v>
      </c>
      <c r="T512" s="522" t="inlineStr">
        <is>
          <t>TI-0243437</t>
        </is>
      </c>
      <c r="U512" s="522" t="inlineStr">
        <is>
          <t>L001-901905215</t>
        </is>
      </c>
      <c r="V512" s="522" t="inlineStr">
        <is>
          <t>វីអ៊ីស៊ិន (ខេមបូឌា) អ៊ិនដាសស្ទ្រី ឯ.ក</t>
        </is>
      </c>
      <c r="W512" s="556" t="n">
        <v>168428</v>
      </c>
    </row>
    <row r="513">
      <c r="A513" s="521" t="n">
        <v>505</v>
      </c>
      <c r="B513" s="522" t="inlineStr">
        <is>
          <t>Trucking Fee</t>
        </is>
      </c>
      <c r="C513" s="522" t="inlineStr">
        <is>
          <t>អ៊ិចស្ពែឌីធ័រ ខេមបូឌា អិលធីឌី</t>
        </is>
      </c>
      <c r="D513" s="522" t="inlineStr">
        <is>
          <t>L001-100045898</t>
        </is>
      </c>
      <c r="E513" s="521" t="inlineStr">
        <is>
          <t>TI-0243287</t>
        </is>
      </c>
      <c r="F513" s="523" t="n">
        <v>44956</v>
      </c>
      <c r="G513" s="556" t="n">
        <v>24618</v>
      </c>
      <c r="I513" s="521">
        <f>G513</f>
        <v/>
      </c>
      <c r="K513" s="521">
        <f>I513-G513</f>
        <v/>
      </c>
      <c r="M513" s="522" t="inlineStr">
        <is>
          <t>TI0243287</t>
        </is>
      </c>
      <c r="N513" s="522" t="inlineStr">
        <is>
          <t>TI0243287</t>
        </is>
      </c>
      <c r="O513" s="521">
        <f>M513=N513</f>
        <v/>
      </c>
      <c r="P513" s="521">
        <f>AND(MONTH(F513)=MONTH(S513), YEAR(F513)=YEAR(S513))</f>
        <v/>
      </c>
      <c r="Q513" s="521">
        <f>U513="L001-901905215"</f>
        <v/>
      </c>
      <c r="R513" s="556">
        <f>G513-W513</f>
        <v/>
      </c>
      <c r="S513" s="523" t="n">
        <v>44956</v>
      </c>
      <c r="T513" s="522" t="inlineStr">
        <is>
          <t>TI-0243287</t>
        </is>
      </c>
      <c r="U513" s="522" t="inlineStr">
        <is>
          <t>L001-901905215</t>
        </is>
      </c>
      <c r="V513" s="522" t="inlineStr">
        <is>
          <t>វីអ៊ីស៊ិន (ខេមបូឌា) អ៊ិនដាសស្ទ្រី ឯ.ក</t>
        </is>
      </c>
      <c r="W513" s="556" t="n">
        <v>24618</v>
      </c>
    </row>
    <row r="514">
      <c r="A514" s="521" t="n">
        <v>506</v>
      </c>
      <c r="B514" s="522" t="inlineStr">
        <is>
          <t>Trucking Fee</t>
        </is>
      </c>
      <c r="C514" s="522" t="inlineStr">
        <is>
          <t>អ៊ិចស្ពែឌីធ័រ ខេមបូឌា អិលធីឌី</t>
        </is>
      </c>
      <c r="D514" s="522" t="inlineStr">
        <is>
          <t>L001-100045898</t>
        </is>
      </c>
      <c r="E514" s="521" t="inlineStr">
        <is>
          <t>TI-0243143</t>
        </is>
      </c>
      <c r="F514" s="523" t="n">
        <v>44951</v>
      </c>
      <c r="G514" s="556" t="n">
        <v>769579</v>
      </c>
      <c r="I514" s="521">
        <f>G514</f>
        <v/>
      </c>
      <c r="K514" s="521">
        <f>I514-G514</f>
        <v/>
      </c>
      <c r="M514" s="522" t="inlineStr">
        <is>
          <t>TI0243143</t>
        </is>
      </c>
      <c r="N514" s="522" t="inlineStr">
        <is>
          <t>TI0243143</t>
        </is>
      </c>
      <c r="O514" s="521">
        <f>M514=N514</f>
        <v/>
      </c>
      <c r="P514" s="521">
        <f>AND(MONTH(F514)=MONTH(S514), YEAR(F514)=YEAR(S514))</f>
        <v/>
      </c>
      <c r="Q514" s="521">
        <f>U514="L001-901905215"</f>
        <v/>
      </c>
      <c r="R514" s="556">
        <f>G514-W514</f>
        <v/>
      </c>
      <c r="S514" s="523" t="n">
        <v>44951</v>
      </c>
      <c r="T514" s="522" t="inlineStr">
        <is>
          <t>TI-0243143</t>
        </is>
      </c>
      <c r="U514" s="522" t="inlineStr">
        <is>
          <t>L001-901905215</t>
        </is>
      </c>
      <c r="V514" s="522" t="inlineStr">
        <is>
          <t>វីអ៊ីស៊ិន (ខេមបូឌា) អ៊ិនដាសស្ទ្រី ឯ.ក</t>
        </is>
      </c>
      <c r="W514" s="556" t="n">
        <v>769579</v>
      </c>
    </row>
    <row r="515">
      <c r="A515" s="521" t="n">
        <v>507</v>
      </c>
      <c r="B515" s="522" t="inlineStr">
        <is>
          <t>Trucking Fee</t>
        </is>
      </c>
      <c r="C515" s="522" t="inlineStr">
        <is>
          <t>អ៊ិចស្ពែឌីធ័រ ខេមបូឌា អិលធីឌី</t>
        </is>
      </c>
      <c r="D515" s="522" t="inlineStr">
        <is>
          <t>L001-100045898</t>
        </is>
      </c>
      <c r="E515" s="521" t="inlineStr">
        <is>
          <t>TI-0243125</t>
        </is>
      </c>
      <c r="F515" s="523" t="n">
        <v>44951</v>
      </c>
      <c r="G515" s="556" t="n">
        <v>552216</v>
      </c>
      <c r="I515" s="521">
        <f>G515</f>
        <v/>
      </c>
      <c r="K515" s="521">
        <f>I515-G515</f>
        <v/>
      </c>
      <c r="M515" s="522" t="inlineStr">
        <is>
          <t>TI0243125</t>
        </is>
      </c>
      <c r="N515" s="522" t="inlineStr">
        <is>
          <t>TI0243125</t>
        </is>
      </c>
      <c r="O515" s="521">
        <f>M515=N515</f>
        <v/>
      </c>
      <c r="P515" s="521">
        <f>AND(MONTH(F515)=MONTH(S515), YEAR(F515)=YEAR(S515))</f>
        <v/>
      </c>
      <c r="Q515" s="521">
        <f>U515="L001-901905215"</f>
        <v/>
      </c>
      <c r="R515" s="556">
        <f>G515-W515</f>
        <v/>
      </c>
      <c r="S515" s="523" t="n">
        <v>44951</v>
      </c>
      <c r="T515" s="522" t="inlineStr">
        <is>
          <t>TI-0243125</t>
        </is>
      </c>
      <c r="U515" s="522" t="inlineStr">
        <is>
          <t>L001-901905215</t>
        </is>
      </c>
      <c r="V515" s="522" t="inlineStr">
        <is>
          <t>វីអ៊ីស៊ិន (ខេមបូឌា) អ៊ិនដាសស្ទ្រី ឯ.ក</t>
        </is>
      </c>
      <c r="W515" s="556" t="n">
        <v>552231</v>
      </c>
    </row>
    <row r="516">
      <c r="A516" s="521" t="n">
        <v>508</v>
      </c>
      <c r="B516" s="522" t="inlineStr">
        <is>
          <t>Trucking Fee</t>
        </is>
      </c>
      <c r="C516" s="522" t="inlineStr">
        <is>
          <t>អ៊ិចស្ពែឌីធ័រ ខេមបូឌា អិលធីឌី</t>
        </is>
      </c>
      <c r="D516" s="522" t="inlineStr">
        <is>
          <t>L001-100045898</t>
        </is>
      </c>
      <c r="E516" s="521" t="inlineStr">
        <is>
          <t>TI-0243124</t>
        </is>
      </c>
      <c r="F516" s="523" t="n">
        <v>44951</v>
      </c>
      <c r="G516" s="556" t="n">
        <v>346464</v>
      </c>
      <c r="I516" s="521">
        <f>G516</f>
        <v/>
      </c>
      <c r="K516" s="521">
        <f>I516-G516</f>
        <v/>
      </c>
      <c r="M516" s="522" t="inlineStr">
        <is>
          <t>TI0243124</t>
        </is>
      </c>
      <c r="N516" s="522" t="inlineStr">
        <is>
          <t>TI0243124</t>
        </is>
      </c>
      <c r="O516" s="521">
        <f>M516=N516</f>
        <v/>
      </c>
      <c r="P516" s="521">
        <f>AND(MONTH(F516)=MONTH(S516), YEAR(F516)=YEAR(S516))</f>
        <v/>
      </c>
      <c r="Q516" s="521">
        <f>U516="L001-901905215"</f>
        <v/>
      </c>
      <c r="R516" s="556">
        <f>G516-W516</f>
        <v/>
      </c>
      <c r="S516" s="523" t="n">
        <v>44951</v>
      </c>
      <c r="T516" s="522" t="inlineStr">
        <is>
          <t>TI-0243124</t>
        </is>
      </c>
      <c r="U516" s="522" t="inlineStr">
        <is>
          <t>L001-901905215</t>
        </is>
      </c>
      <c r="V516" s="522" t="inlineStr">
        <is>
          <t>វីអ៊ីស៊ិន (ខេមបូឌា) អ៊ិនដាសស្ទ្រី ឯ.ក</t>
        </is>
      </c>
      <c r="W516" s="556" t="n">
        <v>346475</v>
      </c>
    </row>
    <row r="517">
      <c r="A517" s="521" t="n">
        <v>509</v>
      </c>
      <c r="B517" s="522" t="inlineStr">
        <is>
          <t>Trucking Fee</t>
        </is>
      </c>
      <c r="C517" s="522" t="inlineStr">
        <is>
          <t>អ៊ិចស្ពែឌីធ័រ ខេមបូឌា អិលធីឌី</t>
        </is>
      </c>
      <c r="D517" s="522" t="inlineStr">
        <is>
          <t>L001-100045898</t>
        </is>
      </c>
      <c r="E517" s="521" t="inlineStr">
        <is>
          <t>TI-0243133</t>
        </is>
      </c>
      <c r="F517" s="523" t="n">
        <v>44951</v>
      </c>
      <c r="G517" s="556" t="n">
        <v>482927</v>
      </c>
      <c r="I517" s="521">
        <f>G517</f>
        <v/>
      </c>
      <c r="K517" s="521">
        <f>I517-G517</f>
        <v/>
      </c>
      <c r="M517" s="522" t="inlineStr">
        <is>
          <t>TI0243133</t>
        </is>
      </c>
      <c r="N517" s="522" t="inlineStr">
        <is>
          <t>TI0243133</t>
        </is>
      </c>
      <c r="O517" s="521">
        <f>M517=N517</f>
        <v/>
      </c>
      <c r="P517" s="521">
        <f>AND(MONTH(F517)=MONTH(S517), YEAR(F517)=YEAR(S517))</f>
        <v/>
      </c>
      <c r="Q517" s="521">
        <f>U517="L001-901905215"</f>
        <v/>
      </c>
      <c r="R517" s="556">
        <f>G517-W517</f>
        <v/>
      </c>
      <c r="S517" s="523" t="n">
        <v>44951</v>
      </c>
      <c r="T517" s="522" t="inlineStr">
        <is>
          <t>TI-0243133</t>
        </is>
      </c>
      <c r="U517" s="522" t="inlineStr">
        <is>
          <t>L001-901905215</t>
        </is>
      </c>
      <c r="V517" s="522" t="inlineStr">
        <is>
          <t>វីអ៊ីស៊ិន (ខេមបូឌា) អ៊ិនដាសស្ទ្រី ឯ.ក</t>
        </is>
      </c>
      <c r="W517" s="556" t="n">
        <v>482919</v>
      </c>
    </row>
    <row r="518">
      <c r="A518" s="521" t="n">
        <v>510</v>
      </c>
      <c r="B518" s="522" t="inlineStr">
        <is>
          <t>Trucking Fee</t>
        </is>
      </c>
      <c r="C518" s="522" t="inlineStr">
        <is>
          <t>អ៊ិចស្ពែឌីធ័រ ខេមបូឌា អិលធីឌី</t>
        </is>
      </c>
      <c r="D518" s="522" t="inlineStr">
        <is>
          <t>L001-100045898</t>
        </is>
      </c>
      <c r="E518" s="521" t="inlineStr">
        <is>
          <t>TI-0243109</t>
        </is>
      </c>
      <c r="F518" s="523" t="n">
        <v>44951</v>
      </c>
      <c r="G518" s="556" t="n">
        <v>670504</v>
      </c>
      <c r="I518" s="521">
        <f>G518</f>
        <v/>
      </c>
      <c r="K518" s="521">
        <f>I518-G518</f>
        <v/>
      </c>
      <c r="M518" s="522" t="inlineStr">
        <is>
          <t>TI0243109</t>
        </is>
      </c>
      <c r="N518" s="522" t="inlineStr">
        <is>
          <t>TI0243109</t>
        </is>
      </c>
      <c r="O518" s="521">
        <f>M518=N518</f>
        <v/>
      </c>
      <c r="P518" s="521">
        <f>AND(MONTH(F518)=MONTH(S518), YEAR(F518)=YEAR(S518))</f>
        <v/>
      </c>
      <c r="Q518" s="521">
        <f>U518="L001-901905215"</f>
        <v/>
      </c>
      <c r="R518" s="556">
        <f>G518-W518</f>
        <v/>
      </c>
      <c r="S518" s="523" t="n">
        <v>44951</v>
      </c>
      <c r="T518" s="522" t="inlineStr">
        <is>
          <t>TI-0243109</t>
        </is>
      </c>
      <c r="U518" s="522" t="inlineStr">
        <is>
          <t>L001-901905215</t>
        </is>
      </c>
      <c r="V518" s="522" t="inlineStr">
        <is>
          <t>វីអ៊ីស៊ិន (ខេមបូឌា) អ៊ិនដាសស្ទ្រី ឯ.ក</t>
        </is>
      </c>
      <c r="W518" s="556" t="n">
        <v>670504</v>
      </c>
    </row>
    <row r="519">
      <c r="A519" s="521" t="n">
        <v>511</v>
      </c>
      <c r="B519" s="522" t="inlineStr">
        <is>
          <t>Trucking Fee</t>
        </is>
      </c>
      <c r="C519" s="522" t="inlineStr">
        <is>
          <t>អ៊ិចស្ពែឌីធ័រ ខេមបូឌា អិលធីឌី</t>
        </is>
      </c>
      <c r="D519" s="522" t="inlineStr">
        <is>
          <t>L001-100045898</t>
        </is>
      </c>
      <c r="E519" s="521" t="inlineStr">
        <is>
          <t>TI-0243090</t>
        </is>
      </c>
      <c r="F519" s="523" t="n">
        <v>44951</v>
      </c>
      <c r="G519" s="556" t="n">
        <v>404522</v>
      </c>
      <c r="I519" s="521">
        <f>G519</f>
        <v/>
      </c>
      <c r="K519" s="521">
        <f>I519-G519</f>
        <v/>
      </c>
      <c r="M519" s="522" t="inlineStr">
        <is>
          <t>TI0243090</t>
        </is>
      </c>
      <c r="N519" s="522" t="inlineStr">
        <is>
          <t>TI0243090</t>
        </is>
      </c>
      <c r="O519" s="521">
        <f>M519=N519</f>
        <v/>
      </c>
      <c r="P519" s="521">
        <f>AND(MONTH(F519)=MONTH(S519), YEAR(F519)=YEAR(S519))</f>
        <v/>
      </c>
      <c r="Q519" s="521">
        <f>U519="L001-901905215"</f>
        <v/>
      </c>
      <c r="R519" s="556">
        <f>G519-W519</f>
        <v/>
      </c>
      <c r="S519" s="523" t="n">
        <v>44951</v>
      </c>
      <c r="T519" s="522" t="inlineStr">
        <is>
          <t>TI-0243090</t>
        </is>
      </c>
      <c r="U519" s="522" t="inlineStr">
        <is>
          <t>L001-901905215</t>
        </is>
      </c>
      <c r="V519" s="522" t="inlineStr">
        <is>
          <t>វីអ៊ីស៊ិន (ខេមបូឌា) អ៊ិនដាសស្ទ្រី ឯ.ក</t>
        </is>
      </c>
      <c r="W519" s="556" t="n">
        <v>404522</v>
      </c>
    </row>
    <row r="520">
      <c r="A520" s="521" t="n">
        <v>512</v>
      </c>
      <c r="B520" s="522" t="inlineStr">
        <is>
          <t>Trucking Fee</t>
        </is>
      </c>
      <c r="C520" s="522" t="inlineStr">
        <is>
          <t>អ៊ិចស្ពែឌីធ័រ ខេមបូឌា អិលធីឌី</t>
        </is>
      </c>
      <c r="D520" s="522" t="inlineStr">
        <is>
          <t>L001-100045898</t>
        </is>
      </c>
      <c r="E520" s="521" t="inlineStr">
        <is>
          <t>TI-0242769</t>
        </is>
      </c>
      <c r="F520" s="523" t="n">
        <v>44944</v>
      </c>
      <c r="G520" s="556" t="n">
        <v>614107</v>
      </c>
      <c r="I520" s="521">
        <f>G520</f>
        <v/>
      </c>
      <c r="K520" s="521">
        <f>I520-G520</f>
        <v/>
      </c>
      <c r="M520" s="522" t="inlineStr">
        <is>
          <t>TI0242769</t>
        </is>
      </c>
      <c r="N520" s="522" t="inlineStr">
        <is>
          <t>TI0242769</t>
        </is>
      </c>
      <c r="O520" s="521">
        <f>M520=N520</f>
        <v/>
      </c>
      <c r="P520" s="521">
        <f>AND(MONTH(F520)=MONTH(S520), YEAR(F520)=YEAR(S520))</f>
        <v/>
      </c>
      <c r="Q520" s="521">
        <f>U520="L001-901905215"</f>
        <v/>
      </c>
      <c r="R520" s="556">
        <f>G520-W520</f>
        <v/>
      </c>
      <c r="S520" s="523" t="n">
        <v>44944</v>
      </c>
      <c r="T520" s="522" t="inlineStr">
        <is>
          <t>TI-0242769</t>
        </is>
      </c>
      <c r="U520" s="522" t="inlineStr">
        <is>
          <t>L001-901905215</t>
        </is>
      </c>
      <c r="V520" s="522" t="inlineStr">
        <is>
          <t>វីអ៊ីស៊ិន (ខេមបូឌា) អ៊ិនដាសស្ទ្រី ឯ.ក</t>
        </is>
      </c>
      <c r="W520" s="556" t="n">
        <v>614107</v>
      </c>
    </row>
    <row r="521">
      <c r="A521" s="521" t="n">
        <v>513</v>
      </c>
      <c r="B521" s="522" t="inlineStr">
        <is>
          <t>Trucking Fee</t>
        </is>
      </c>
      <c r="C521" s="522" t="inlineStr">
        <is>
          <t>អ៊ិចស្ពែឌីធ័រ ខេមបូឌា អិលធីឌី</t>
        </is>
      </c>
      <c r="D521" s="522" t="inlineStr">
        <is>
          <t>L001-100045898</t>
        </is>
      </c>
      <c r="E521" s="521" t="inlineStr">
        <is>
          <t>TI-0242766</t>
        </is>
      </c>
      <c r="F521" s="523" t="n">
        <v>44944</v>
      </c>
      <c r="G521" s="556" t="n">
        <v>208071</v>
      </c>
      <c r="I521" s="521">
        <f>G521</f>
        <v/>
      </c>
      <c r="K521" s="521">
        <f>I521-G521</f>
        <v/>
      </c>
      <c r="M521" s="522" t="inlineStr">
        <is>
          <t>TI0242766</t>
        </is>
      </c>
      <c r="N521" s="522" t="inlineStr">
        <is>
          <t>TI0242766</t>
        </is>
      </c>
      <c r="O521" s="521">
        <f>M521=N521</f>
        <v/>
      </c>
      <c r="P521" s="521">
        <f>AND(MONTH(F521)=MONTH(S521), YEAR(F521)=YEAR(S521))</f>
        <v/>
      </c>
      <c r="Q521" s="521">
        <f>U521="L001-901905215"</f>
        <v/>
      </c>
      <c r="R521" s="556">
        <f>G521-W521</f>
        <v/>
      </c>
      <c r="S521" s="523" t="n">
        <v>44944</v>
      </c>
      <c r="T521" s="522" t="inlineStr">
        <is>
          <t>TI-0242766</t>
        </is>
      </c>
      <c r="U521" s="522" t="inlineStr">
        <is>
          <t>L001-901905215</t>
        </is>
      </c>
      <c r="V521" s="522" t="inlineStr">
        <is>
          <t>វីអ៊ីស៊ិន (ខេមបូឌា) អ៊ិនដាសស្ទ្រី ឯ.ក</t>
        </is>
      </c>
      <c r="W521" s="556" t="n">
        <v>208064</v>
      </c>
    </row>
    <row r="522">
      <c r="A522" s="521" t="n">
        <v>514</v>
      </c>
      <c r="B522" s="522" t="inlineStr">
        <is>
          <t>Trucking Fee</t>
        </is>
      </c>
      <c r="C522" s="522" t="inlineStr">
        <is>
          <t>អ៊ិចស្ពែឌីធ័រ ខេមបូឌា អិលធីឌី</t>
        </is>
      </c>
      <c r="D522" s="522" t="inlineStr">
        <is>
          <t>L001-100045898</t>
        </is>
      </c>
      <c r="E522" s="521" t="inlineStr">
        <is>
          <t>TI-0242745</t>
        </is>
      </c>
      <c r="F522" s="523" t="n">
        <v>44944</v>
      </c>
      <c r="G522" s="556" t="n">
        <v>502564</v>
      </c>
      <c r="I522" s="521">
        <f>G522</f>
        <v/>
      </c>
      <c r="K522" s="521">
        <f>I522-G522</f>
        <v/>
      </c>
      <c r="M522" s="522" t="inlineStr">
        <is>
          <t>TI0242745</t>
        </is>
      </c>
      <c r="N522" s="522" t="inlineStr">
        <is>
          <t>TI0242745</t>
        </is>
      </c>
      <c r="O522" s="521">
        <f>M522=N522</f>
        <v/>
      </c>
      <c r="P522" s="521">
        <f>AND(MONTH(F522)=MONTH(S522), YEAR(F522)=YEAR(S522))</f>
        <v/>
      </c>
      <c r="Q522" s="521">
        <f>U522="L001-901905215"</f>
        <v/>
      </c>
      <c r="R522" s="556">
        <f>G522-W522</f>
        <v/>
      </c>
      <c r="S522" s="523" t="n">
        <v>44944</v>
      </c>
      <c r="T522" s="522" t="inlineStr">
        <is>
          <t>TI-0242745</t>
        </is>
      </c>
      <c r="U522" s="522" t="inlineStr">
        <is>
          <t>L001-901905215</t>
        </is>
      </c>
      <c r="V522" s="522" t="inlineStr">
        <is>
          <t>វីអ៊ីស៊ិន (ខេមបូឌា) អ៊ិនដាសស្ទ្រី ឯ.ក</t>
        </is>
      </c>
      <c r="W522" s="556" t="n">
        <v>502564</v>
      </c>
    </row>
    <row r="523">
      <c r="A523" s="521" t="n">
        <v>515</v>
      </c>
      <c r="B523" s="522" t="inlineStr">
        <is>
          <t>Trucking Fee</t>
        </is>
      </c>
      <c r="C523" s="522" t="inlineStr">
        <is>
          <t>អ៊ិចស្ពែឌីធ័រ ខេមបូឌា អិលធីឌី</t>
        </is>
      </c>
      <c r="D523" s="522" t="inlineStr">
        <is>
          <t>L001-100045898</t>
        </is>
      </c>
      <c r="E523" s="521" t="inlineStr">
        <is>
          <t>TI-0242742</t>
        </is>
      </c>
      <c r="F523" s="523" t="n">
        <v>44944</v>
      </c>
      <c r="G523" s="556" t="n">
        <v>482201</v>
      </c>
      <c r="I523" s="521">
        <f>G523</f>
        <v/>
      </c>
      <c r="K523" s="521">
        <f>I523-G523</f>
        <v/>
      </c>
      <c r="M523" s="522" t="inlineStr">
        <is>
          <t>TI0242742</t>
        </is>
      </c>
      <c r="N523" s="522" t="inlineStr">
        <is>
          <t>TI0242742</t>
        </is>
      </c>
      <c r="O523" s="521">
        <f>M523=N523</f>
        <v/>
      </c>
      <c r="P523" s="521">
        <f>AND(MONTH(F523)=MONTH(S523), YEAR(F523)=YEAR(S523))</f>
        <v/>
      </c>
      <c r="Q523" s="521">
        <f>U523="L001-901905215"</f>
        <v/>
      </c>
      <c r="R523" s="556">
        <f>G523-W523</f>
        <v/>
      </c>
      <c r="S523" s="523" t="n">
        <v>44944</v>
      </c>
      <c r="T523" s="522" t="inlineStr">
        <is>
          <t>TI-0242742</t>
        </is>
      </c>
      <c r="U523" s="522" t="inlineStr">
        <is>
          <t>L001-901905215</t>
        </is>
      </c>
      <c r="V523" s="522" t="inlineStr">
        <is>
          <t>វីអ៊ីស៊ិន (ខេមបូឌា) អ៊ិនដាសស្ទ្រី ឯ.ក</t>
        </is>
      </c>
      <c r="W523" s="556" t="n">
        <v>482189</v>
      </c>
    </row>
    <row r="524">
      <c r="A524" s="521" t="n">
        <v>516</v>
      </c>
      <c r="B524" s="522" t="inlineStr">
        <is>
          <t>Trucking Fee</t>
        </is>
      </c>
      <c r="C524" s="522" t="inlineStr">
        <is>
          <t>អ៊ិចស្ពែឌីធ័រ ខេមបូឌា អិលធីឌី</t>
        </is>
      </c>
      <c r="D524" s="522" t="inlineStr">
        <is>
          <t>L001-100045898</t>
        </is>
      </c>
      <c r="E524" s="521" t="inlineStr">
        <is>
          <t>TI-0242434</t>
        </is>
      </c>
      <c r="F524" s="523" t="n">
        <v>44937</v>
      </c>
      <c r="G524" s="556" t="n">
        <v>354885</v>
      </c>
      <c r="I524" s="521">
        <f>G524</f>
        <v/>
      </c>
      <c r="K524" s="521">
        <f>I524-G524</f>
        <v/>
      </c>
      <c r="M524" s="522" t="inlineStr">
        <is>
          <t>TI0242434</t>
        </is>
      </c>
      <c r="N524" s="522" t="inlineStr">
        <is>
          <t>TI0242434</t>
        </is>
      </c>
      <c r="O524" s="521">
        <f>M524=N524</f>
        <v/>
      </c>
      <c r="P524" s="521">
        <f>AND(MONTH(F524)=MONTH(S524), YEAR(F524)=YEAR(S524))</f>
        <v/>
      </c>
      <c r="Q524" s="521">
        <f>U524="L001-901905215"</f>
        <v/>
      </c>
      <c r="R524" s="556">
        <f>G524-W524</f>
        <v/>
      </c>
      <c r="S524" s="523" t="n">
        <v>44937</v>
      </c>
      <c r="T524" s="522" t="inlineStr">
        <is>
          <t>TI-0242434</t>
        </is>
      </c>
      <c r="U524" s="522" t="inlineStr">
        <is>
          <t>L001-901905215</t>
        </is>
      </c>
      <c r="V524" s="522" t="inlineStr">
        <is>
          <t>វីអ៊ីស៊ិន (ខេមបូឌា) អ៊ិនដាសស្ទ្រី ឯ.ក</t>
        </is>
      </c>
      <c r="W524" s="556" t="n">
        <v>354885</v>
      </c>
    </row>
    <row r="525">
      <c r="A525" s="521" t="n">
        <v>517</v>
      </c>
      <c r="B525" s="522" t="inlineStr">
        <is>
          <t>Trucking Fee</t>
        </is>
      </c>
      <c r="C525" s="522" t="inlineStr">
        <is>
          <t>អ៊ិចស្ពែឌីធ័រ ខេមបូឌា អិលធីឌី</t>
        </is>
      </c>
      <c r="D525" s="522" t="inlineStr">
        <is>
          <t>L001-100045898</t>
        </is>
      </c>
      <c r="E525" s="521" t="inlineStr">
        <is>
          <t>TI-0242420</t>
        </is>
      </c>
      <c r="F525" s="523" t="n">
        <v>44937</v>
      </c>
      <c r="G525" s="556" t="n">
        <v>64281</v>
      </c>
      <c r="I525" s="521">
        <f>G525</f>
        <v/>
      </c>
      <c r="K525" s="521">
        <f>I525-G525</f>
        <v/>
      </c>
      <c r="M525" s="522" t="inlineStr">
        <is>
          <t>TI0242420</t>
        </is>
      </c>
      <c r="N525" s="522" t="inlineStr">
        <is>
          <t>TI0242420</t>
        </is>
      </c>
      <c r="O525" s="521">
        <f>M525=N525</f>
        <v/>
      </c>
      <c r="P525" s="521">
        <f>AND(MONTH(F525)=MONTH(S525), YEAR(F525)=YEAR(S525))</f>
        <v/>
      </c>
      <c r="Q525" s="521">
        <f>U525="L001-901905215"</f>
        <v/>
      </c>
      <c r="R525" s="556">
        <f>G525-W525</f>
        <v/>
      </c>
      <c r="S525" s="523" t="n">
        <v>44937</v>
      </c>
      <c r="T525" s="522" t="inlineStr">
        <is>
          <t>TI-0242420</t>
        </is>
      </c>
      <c r="U525" s="522" t="inlineStr">
        <is>
          <t>L001-901905215</t>
        </is>
      </c>
      <c r="V525" s="522" t="inlineStr">
        <is>
          <t>វីអ៊ីស៊ិន (ខេមបូឌា) អ៊ិនដាសស្ទ្រី ឯ.ក</t>
        </is>
      </c>
      <c r="W525" s="556" t="n">
        <v>64266</v>
      </c>
    </row>
    <row r="526">
      <c r="A526" s="521" t="n">
        <v>518</v>
      </c>
      <c r="B526" s="522" t="inlineStr">
        <is>
          <t>Trucking Fee</t>
        </is>
      </c>
      <c r="C526" s="522" t="inlineStr">
        <is>
          <t>អ៊ិចស្ពែឌីធ័រ ខេមបូឌា អិលធីឌី</t>
        </is>
      </c>
      <c r="D526" s="522" t="inlineStr">
        <is>
          <t>L001-100045898</t>
        </is>
      </c>
      <c r="E526" s="521" t="inlineStr">
        <is>
          <t>TI-0242418</t>
        </is>
      </c>
      <c r="F526" s="523" t="n">
        <v>44937</v>
      </c>
      <c r="G526" s="556" t="n">
        <v>453562</v>
      </c>
      <c r="I526" s="521">
        <f>G526</f>
        <v/>
      </c>
      <c r="K526" s="521">
        <f>I526-G526</f>
        <v/>
      </c>
      <c r="M526" s="522" t="inlineStr">
        <is>
          <t>TI0242418</t>
        </is>
      </c>
      <c r="N526" s="522" t="inlineStr">
        <is>
          <t>TI0242418</t>
        </is>
      </c>
      <c r="O526" s="521">
        <f>M526=N526</f>
        <v/>
      </c>
      <c r="P526" s="521">
        <f>AND(MONTH(F526)=MONTH(S526), YEAR(F526)=YEAR(S526))</f>
        <v/>
      </c>
      <c r="Q526" s="521">
        <f>U526="L001-901905215"</f>
        <v/>
      </c>
      <c r="R526" s="556">
        <f>G526-W526</f>
        <v/>
      </c>
      <c r="S526" s="523" t="n">
        <v>44937</v>
      </c>
      <c r="T526" s="522" t="inlineStr">
        <is>
          <t>TI-0242418</t>
        </is>
      </c>
      <c r="U526" s="522" t="inlineStr">
        <is>
          <t>L001-901905215</t>
        </is>
      </c>
      <c r="V526" s="522" t="inlineStr">
        <is>
          <t>វីអ៊ីស៊ិន (ខេមបូឌា) អ៊ិនដាសស្ទ្រី ឯ.ក</t>
        </is>
      </c>
      <c r="W526" s="556" t="n">
        <v>453570</v>
      </c>
    </row>
    <row r="527">
      <c r="A527" s="521" t="n">
        <v>519</v>
      </c>
      <c r="B527" s="522" t="inlineStr">
        <is>
          <t>Trucking Fee</t>
        </is>
      </c>
      <c r="C527" s="522" t="inlineStr">
        <is>
          <t>អ៊ិចស្ពែឌីធ័រ ខេមបូឌា អិលធីឌី</t>
        </is>
      </c>
      <c r="D527" s="522" t="inlineStr">
        <is>
          <t>L001-100045898</t>
        </is>
      </c>
      <c r="E527" s="521" t="inlineStr">
        <is>
          <t>TI-0242416</t>
        </is>
      </c>
      <c r="F527" s="523" t="n">
        <v>44937</v>
      </c>
      <c r="G527" s="556" t="n">
        <v>388645</v>
      </c>
      <c r="I527" s="521">
        <f>G527</f>
        <v/>
      </c>
      <c r="K527" s="521">
        <f>I527-G527</f>
        <v/>
      </c>
      <c r="M527" s="522" t="inlineStr">
        <is>
          <t>TI0242416</t>
        </is>
      </c>
      <c r="N527" s="522" t="inlineStr">
        <is>
          <t>TI0242416</t>
        </is>
      </c>
      <c r="O527" s="521">
        <f>M527=N527</f>
        <v/>
      </c>
      <c r="P527" s="521">
        <f>AND(MONTH(F527)=MONTH(S527), YEAR(F527)=YEAR(S527))</f>
        <v/>
      </c>
      <c r="Q527" s="521">
        <f>U527="L001-901905215"</f>
        <v/>
      </c>
      <c r="R527" s="556">
        <f>G527-W527</f>
        <v/>
      </c>
      <c r="S527" s="523" t="n">
        <v>44937</v>
      </c>
      <c r="T527" s="522" t="inlineStr">
        <is>
          <t>TI-0242416</t>
        </is>
      </c>
      <c r="U527" s="522" t="inlineStr">
        <is>
          <t>L001-901905215</t>
        </is>
      </c>
      <c r="V527" s="522" t="inlineStr">
        <is>
          <t>វីអ៊ីស៊ិន (ខេមបូឌា) អ៊ិនដាសស្ទ្រី ឯ.ក</t>
        </is>
      </c>
      <c r="W527" s="556" t="n">
        <v>388645</v>
      </c>
    </row>
    <row r="528">
      <c r="A528" s="521" t="n">
        <v>520</v>
      </c>
      <c r="B528" s="522" t="inlineStr">
        <is>
          <t>Trucking Fee</t>
        </is>
      </c>
      <c r="C528" s="522" t="inlineStr">
        <is>
          <t>អ៊ិចស្ពែឌីធ័រ ខេមបូឌា អិលធីឌី</t>
        </is>
      </c>
      <c r="D528" s="522" t="inlineStr">
        <is>
          <t>L001-100045898</t>
        </is>
      </c>
      <c r="E528" s="521" t="inlineStr">
        <is>
          <t>TI-0242415</t>
        </is>
      </c>
      <c r="F528" s="523" t="n">
        <v>44937</v>
      </c>
      <c r="G528" s="556" t="n">
        <v>326066</v>
      </c>
      <c r="I528" s="521">
        <f>G528</f>
        <v/>
      </c>
      <c r="K528" s="521">
        <f>I528-G528</f>
        <v/>
      </c>
      <c r="M528" s="522" t="inlineStr">
        <is>
          <t>TI0242415</t>
        </is>
      </c>
      <c r="N528" s="522" t="inlineStr">
        <is>
          <t>TI0242415</t>
        </is>
      </c>
      <c r="O528" s="521">
        <f>M528=N528</f>
        <v/>
      </c>
      <c r="P528" s="521">
        <f>AND(MONTH(F528)=MONTH(S528), YEAR(F528)=YEAR(S528))</f>
        <v/>
      </c>
      <c r="Q528" s="521">
        <f>U528="L001-901905215"</f>
        <v/>
      </c>
      <c r="R528" s="556">
        <f>G528-W528</f>
        <v/>
      </c>
      <c r="S528" s="523" t="n">
        <v>44937</v>
      </c>
      <c r="T528" s="522" t="inlineStr">
        <is>
          <t>TI-0242415</t>
        </is>
      </c>
      <c r="U528" s="522" t="inlineStr">
        <is>
          <t>L001-901905215</t>
        </is>
      </c>
      <c r="V528" s="522" t="inlineStr">
        <is>
          <t>វីអ៊ីស៊ិន (ខេមបូឌា) អ៊ិនដាសស្ទ្រី ឯ.ក</t>
        </is>
      </c>
      <c r="W528" s="556" t="n">
        <v>326066</v>
      </c>
    </row>
    <row r="529">
      <c r="A529" s="521" t="n">
        <v>521</v>
      </c>
      <c r="B529" s="522" t="inlineStr">
        <is>
          <t>Trucking Fee</t>
        </is>
      </c>
      <c r="C529" s="522" t="inlineStr">
        <is>
          <t>អ៊ិចស្ពែឌីធ័រ ខេមបូឌា អិលធីឌី</t>
        </is>
      </c>
      <c r="D529" s="522" t="inlineStr">
        <is>
          <t>L001-100045898</t>
        </is>
      </c>
      <c r="E529" s="521" t="inlineStr">
        <is>
          <t>TI-0242412</t>
        </is>
      </c>
      <c r="F529" s="523" t="n">
        <v>44937</v>
      </c>
      <c r="G529" s="556" t="n">
        <v>126179</v>
      </c>
      <c r="I529" s="521">
        <f>G529</f>
        <v/>
      </c>
      <c r="K529" s="521">
        <f>I529-G529</f>
        <v/>
      </c>
      <c r="M529" s="522" t="inlineStr">
        <is>
          <t>TI0242412</t>
        </is>
      </c>
      <c r="N529" s="522" t="inlineStr">
        <is>
          <t>TI0242412</t>
        </is>
      </c>
      <c r="O529" s="521">
        <f>M529=N529</f>
        <v/>
      </c>
      <c r="P529" s="521">
        <f>AND(MONTH(F529)=MONTH(S529), YEAR(F529)=YEAR(S529))</f>
        <v/>
      </c>
      <c r="Q529" s="521">
        <f>U529="L001-901905215"</f>
        <v/>
      </c>
      <c r="R529" s="556">
        <f>G529-W529</f>
        <v/>
      </c>
      <c r="S529" s="523" t="n">
        <v>44937</v>
      </c>
      <c r="T529" s="522" t="inlineStr">
        <is>
          <t>TI-0242412</t>
        </is>
      </c>
      <c r="U529" s="522" t="inlineStr">
        <is>
          <t>L001-901905215</t>
        </is>
      </c>
      <c r="V529" s="522" t="inlineStr">
        <is>
          <t>វីអ៊ីស៊ិន (ខេមបូឌា) អ៊ិនដាសស្ទ្រី ឯ.ក</t>
        </is>
      </c>
      <c r="W529" s="556" t="n">
        <v>126186</v>
      </c>
    </row>
    <row r="530">
      <c r="A530" s="521" t="n">
        <v>522</v>
      </c>
      <c r="B530" s="522" t="inlineStr">
        <is>
          <t>Trucking Fee</t>
        </is>
      </c>
      <c r="C530" s="522" t="inlineStr">
        <is>
          <t>អ៊ិចស្ពែឌីធ័រ ខេមបូឌា អិលធីឌី</t>
        </is>
      </c>
      <c r="D530" s="522" t="inlineStr">
        <is>
          <t>L001-100045898</t>
        </is>
      </c>
      <c r="E530" s="521" t="inlineStr">
        <is>
          <t>TI-0242411</t>
        </is>
      </c>
      <c r="F530" s="523" t="n">
        <v>44937</v>
      </c>
      <c r="G530" s="556" t="n">
        <v>428991</v>
      </c>
      <c r="I530" s="521">
        <f>G530</f>
        <v/>
      </c>
      <c r="K530" s="521">
        <f>I530-G530</f>
        <v/>
      </c>
      <c r="M530" s="522" t="inlineStr">
        <is>
          <t>TI0242411</t>
        </is>
      </c>
      <c r="N530" s="522" t="inlineStr">
        <is>
          <t>TI0242411</t>
        </is>
      </c>
      <c r="O530" s="521">
        <f>M530=N530</f>
        <v/>
      </c>
      <c r="P530" s="521">
        <f>AND(MONTH(F530)=MONTH(S530), YEAR(F530)=YEAR(S530))</f>
        <v/>
      </c>
      <c r="Q530" s="521">
        <f>U530="L001-901905215"</f>
        <v/>
      </c>
      <c r="R530" s="556">
        <f>G530-W530</f>
        <v/>
      </c>
      <c r="S530" s="523" t="n">
        <v>44937</v>
      </c>
      <c r="T530" s="522" t="inlineStr">
        <is>
          <t>TI-0242411</t>
        </is>
      </c>
      <c r="U530" s="522" t="inlineStr">
        <is>
          <t>L001-901905215</t>
        </is>
      </c>
      <c r="V530" s="522" t="inlineStr">
        <is>
          <t>វីអ៊ីស៊ិន (ខេមបូឌា) អ៊ិនដាសស្ទ្រី ឯ.ក</t>
        </is>
      </c>
      <c r="W530" s="556" t="n">
        <v>428991</v>
      </c>
    </row>
    <row r="531">
      <c r="A531" s="521" t="n">
        <v>523</v>
      </c>
      <c r="B531" s="522" t="inlineStr">
        <is>
          <t>Trucking Fee</t>
        </is>
      </c>
      <c r="C531" s="522" t="inlineStr">
        <is>
          <t>អ៊ិចស្ពែឌីធ័រ ខេមបូឌា អិលធីឌី</t>
        </is>
      </c>
      <c r="D531" s="522" t="inlineStr">
        <is>
          <t>L001-100045898</t>
        </is>
      </c>
      <c r="E531" s="521" t="inlineStr">
        <is>
          <t>TI-0242080</t>
        </is>
      </c>
      <c r="F531" s="523" t="n">
        <v>44930</v>
      </c>
      <c r="G531" s="556" t="n">
        <v>239488</v>
      </c>
      <c r="I531" s="521">
        <f>G531</f>
        <v/>
      </c>
      <c r="K531" s="521">
        <f>I531-G531</f>
        <v/>
      </c>
      <c r="M531" s="522" t="inlineStr">
        <is>
          <t>TI0242080</t>
        </is>
      </c>
      <c r="N531" s="522" t="inlineStr">
        <is>
          <t>TI0242080</t>
        </is>
      </c>
      <c r="O531" s="521">
        <f>M531=N531</f>
        <v/>
      </c>
      <c r="P531" s="521">
        <f>AND(MONTH(F531)=MONTH(S531), YEAR(F531)=YEAR(S531))</f>
        <v/>
      </c>
      <c r="Q531" s="521">
        <f>U531="L001-901905215"</f>
        <v/>
      </c>
      <c r="R531" s="556">
        <f>G531-W531</f>
        <v/>
      </c>
      <c r="S531" s="523" t="n">
        <v>44930</v>
      </c>
      <c r="T531" s="522" t="inlineStr">
        <is>
          <t>TI-0242080</t>
        </is>
      </c>
      <c r="U531" s="522" t="inlineStr">
        <is>
          <t>L001-901905215</t>
        </is>
      </c>
      <c r="V531" s="522" t="inlineStr">
        <is>
          <t>វីអ៊ីស៊ិន (ខេមបូឌា) អ៊ិនដាសស្ទ្រី ឯ.ក</t>
        </is>
      </c>
      <c r="W531" s="556" t="n">
        <v>239503</v>
      </c>
    </row>
    <row r="532">
      <c r="A532" s="521" t="n">
        <v>524</v>
      </c>
      <c r="B532" s="522" t="inlineStr">
        <is>
          <t>Trucking Fee</t>
        </is>
      </c>
      <c r="C532" s="522" t="inlineStr">
        <is>
          <t>អ៊ិចស្ពែឌីធ័រ ខេមបូឌា អិលធីឌី</t>
        </is>
      </c>
      <c r="D532" s="522" t="inlineStr">
        <is>
          <t>L001-100045898</t>
        </is>
      </c>
      <c r="E532" s="521" t="inlineStr">
        <is>
          <t>TI-0242068</t>
        </is>
      </c>
      <c r="F532" s="523" t="n">
        <v>44930</v>
      </c>
      <c r="G532" s="556" t="n">
        <v>280099</v>
      </c>
      <c r="I532" s="521">
        <f>G532</f>
        <v/>
      </c>
      <c r="K532" s="521">
        <f>I532-G532</f>
        <v/>
      </c>
      <c r="M532" s="522" t="inlineStr">
        <is>
          <t>TI0242068</t>
        </is>
      </c>
      <c r="N532" s="522" t="inlineStr">
        <is>
          <t>TI0242068</t>
        </is>
      </c>
      <c r="O532" s="521">
        <f>M532=N532</f>
        <v/>
      </c>
      <c r="P532" s="521">
        <f>AND(MONTH(F532)=MONTH(S532), YEAR(F532)=YEAR(S532))</f>
        <v/>
      </c>
      <c r="Q532" s="521">
        <f>U532="L001-901905215"</f>
        <v/>
      </c>
      <c r="R532" s="556">
        <f>G532-W532</f>
        <v/>
      </c>
      <c r="S532" s="523" t="n">
        <v>44930</v>
      </c>
      <c r="T532" s="522" t="inlineStr">
        <is>
          <t>TI-0242068</t>
        </is>
      </c>
      <c r="U532" s="522" t="inlineStr">
        <is>
          <t>L001-901905215</t>
        </is>
      </c>
      <c r="V532" s="522" t="inlineStr">
        <is>
          <t>វីអ៊ីស៊ិន (ខេមបូឌា) អ៊ិនដាសស្ទ្រី ឯ.ក</t>
        </is>
      </c>
      <c r="W532" s="556" t="n">
        <v>280106</v>
      </c>
    </row>
    <row r="533">
      <c r="A533" s="521" t="n">
        <v>525</v>
      </c>
      <c r="B533" s="522" t="inlineStr">
        <is>
          <t>Trucking Fee</t>
        </is>
      </c>
      <c r="C533" s="522" t="inlineStr">
        <is>
          <t>អ៊ិចស្ពែឌីធ័រ ខេមបូឌា អិលធីឌី</t>
        </is>
      </c>
      <c r="D533" s="522" t="inlineStr">
        <is>
          <t>L001-100045898</t>
        </is>
      </c>
      <c r="E533" s="521" t="inlineStr">
        <is>
          <t>TI-0242066</t>
        </is>
      </c>
      <c r="F533" s="523" t="n">
        <v>44930</v>
      </c>
      <c r="G533" s="556" t="n">
        <v>182427</v>
      </c>
      <c r="I533" s="521">
        <f>G533</f>
        <v/>
      </c>
      <c r="K533" s="521">
        <f>I533-G533</f>
        <v/>
      </c>
      <c r="M533" s="522" t="inlineStr">
        <is>
          <t>TI0242066</t>
        </is>
      </c>
      <c r="N533" s="522" t="inlineStr">
        <is>
          <t>TI0242066</t>
        </is>
      </c>
      <c r="O533" s="521">
        <f>M533=N533</f>
        <v/>
      </c>
      <c r="P533" s="521">
        <f>AND(MONTH(F533)=MONTH(S533), YEAR(F533)=YEAR(S533))</f>
        <v/>
      </c>
      <c r="Q533" s="521">
        <f>U533="L001-901905215"</f>
        <v/>
      </c>
      <c r="R533" s="556">
        <f>G533-W533</f>
        <v/>
      </c>
      <c r="S533" s="523" t="n">
        <v>44930</v>
      </c>
      <c r="T533" s="522" t="inlineStr">
        <is>
          <t>TI-0242066</t>
        </is>
      </c>
      <c r="U533" s="522" t="inlineStr">
        <is>
          <t>L001-901905215</t>
        </is>
      </c>
      <c r="V533" s="522" t="inlineStr">
        <is>
          <t>វីអ៊ីស៊ិន (ខេមបូឌា) អ៊ិនដាសស្ទ្រី ឯ.ក</t>
        </is>
      </c>
      <c r="W533" s="556" t="n">
        <v>182427</v>
      </c>
    </row>
    <row r="534">
      <c r="A534" s="521" t="n">
        <v>526</v>
      </c>
      <c r="B534" s="522" t="inlineStr">
        <is>
          <t>Trucking Fee</t>
        </is>
      </c>
      <c r="C534" s="522" t="inlineStr">
        <is>
          <t>អ៊ិចស្ពែឌីធ័រ ខេមបូឌា អិលធីឌី</t>
        </is>
      </c>
      <c r="D534" s="522" t="inlineStr">
        <is>
          <t>L001-100045898</t>
        </is>
      </c>
      <c r="E534" s="521" t="inlineStr">
        <is>
          <t>TI-0242054</t>
        </is>
      </c>
      <c r="F534" s="523" t="n">
        <v>44930</v>
      </c>
      <c r="G534" s="556" t="n">
        <v>407682</v>
      </c>
      <c r="I534" s="521">
        <f>G534</f>
        <v/>
      </c>
      <c r="K534" s="521">
        <f>I534-G534</f>
        <v/>
      </c>
      <c r="M534" s="522" t="inlineStr">
        <is>
          <t>TI0242054</t>
        </is>
      </c>
      <c r="N534" s="522" t="inlineStr">
        <is>
          <t>TI0242054</t>
        </is>
      </c>
      <c r="O534" s="521">
        <f>M534=N534</f>
        <v/>
      </c>
      <c r="P534" s="521">
        <f>AND(MONTH(F534)=MONTH(S534), YEAR(F534)=YEAR(S534))</f>
        <v/>
      </c>
      <c r="Q534" s="521">
        <f>U534="L001-901905215"</f>
        <v/>
      </c>
      <c r="R534" s="556">
        <f>G534-W534</f>
        <v/>
      </c>
      <c r="S534" s="523" t="n">
        <v>44930</v>
      </c>
      <c r="T534" s="522" t="inlineStr">
        <is>
          <t>TI-0242054</t>
        </is>
      </c>
      <c r="U534" s="522" t="inlineStr">
        <is>
          <t>L001-901905215</t>
        </is>
      </c>
      <c r="V534" s="522" t="inlineStr">
        <is>
          <t>វីអ៊ីស៊ិន (ខេមបូឌា) អ៊ិនដាសស្ទ្រី ឯ.ក</t>
        </is>
      </c>
      <c r="W534" s="556" t="n">
        <v>407682</v>
      </c>
    </row>
    <row r="535">
      <c r="A535" s="521" t="n">
        <v>527</v>
      </c>
      <c r="B535" s="522" t="inlineStr">
        <is>
          <t>Trucking Fee</t>
        </is>
      </c>
      <c r="C535" s="522" t="inlineStr">
        <is>
          <t>អ៊ិចស្ពែឌីធ័រ ខេមបូឌា អិលធីឌី</t>
        </is>
      </c>
      <c r="D535" s="522" t="inlineStr">
        <is>
          <t>L001-100045898</t>
        </is>
      </c>
      <c r="E535" s="521" t="inlineStr">
        <is>
          <t>TI-0242053</t>
        </is>
      </c>
      <c r="F535" s="523" t="n">
        <v>44930</v>
      </c>
      <c r="G535" s="556" t="n">
        <v>377209</v>
      </c>
      <c r="I535" s="521">
        <f>G535</f>
        <v/>
      </c>
      <c r="K535" s="521">
        <f>I535-G535</f>
        <v/>
      </c>
      <c r="M535" s="522" t="inlineStr">
        <is>
          <t>TI0242053</t>
        </is>
      </c>
      <c r="N535" s="522" t="inlineStr">
        <is>
          <t>TI0242053</t>
        </is>
      </c>
      <c r="O535" s="521">
        <f>M535=N535</f>
        <v/>
      </c>
      <c r="P535" s="521">
        <f>AND(MONTH(F535)=MONTH(S535), YEAR(F535)=YEAR(S535))</f>
        <v/>
      </c>
      <c r="Q535" s="521">
        <f>U535="L001-901905215"</f>
        <v/>
      </c>
      <c r="R535" s="556">
        <f>G535-W535</f>
        <v/>
      </c>
      <c r="S535" s="523" t="n">
        <v>44930</v>
      </c>
      <c r="T535" s="522" t="inlineStr">
        <is>
          <t>TI-0242053</t>
        </is>
      </c>
      <c r="U535" s="522" t="inlineStr">
        <is>
          <t>L001-901905215</t>
        </is>
      </c>
      <c r="V535" s="522" t="inlineStr">
        <is>
          <t>វីអ៊ីស៊ិន (ខេមបូឌា) អ៊ិនដាសស្ទ្រី ឯ.ក</t>
        </is>
      </c>
      <c r="W535" s="556" t="n">
        <v>377209</v>
      </c>
    </row>
    <row r="536">
      <c r="A536" s="521" t="n">
        <v>528</v>
      </c>
      <c r="B536" s="522" t="n"/>
      <c r="C536" s="522" t="inlineStr">
        <is>
          <t>អ៊ីជីអេហ្វ ឡូជីស្ទីក ខូ អិលធីឌី</t>
        </is>
      </c>
      <c r="D536" s="522" t="inlineStr">
        <is>
          <t>L001-901501877</t>
        </is>
      </c>
      <c r="E536" s="521" t="inlineStr">
        <is>
          <t>2001707</t>
        </is>
      </c>
      <c r="F536" s="523" t="n">
        <v>43890</v>
      </c>
      <c r="G536" s="556" t="n">
        <v>93610</v>
      </c>
      <c r="I536" s="521">
        <f>G536</f>
        <v/>
      </c>
      <c r="K536" s="521">
        <f>I536-G536</f>
        <v/>
      </c>
      <c r="M536" s="522" t="inlineStr">
        <is>
          <t>2001707</t>
        </is>
      </c>
      <c r="N536" s="522" t="inlineStr">
        <is>
          <t>2001707</t>
        </is>
      </c>
      <c r="O536" s="521">
        <f>M536=N536</f>
        <v/>
      </c>
      <c r="P536" s="521">
        <f>AND(MONTH(F536)=MONTH(S536), YEAR(F536)=YEAR(S536))</f>
        <v/>
      </c>
      <c r="Q536" s="521">
        <f>U536="L001-901905215"</f>
        <v/>
      </c>
      <c r="R536" s="556">
        <f>G536-W536</f>
        <v/>
      </c>
      <c r="S536" s="523" t="n">
        <v>43890</v>
      </c>
      <c r="T536" s="522" t="inlineStr">
        <is>
          <t>2001707</t>
        </is>
      </c>
      <c r="U536" s="522" t="inlineStr">
        <is>
          <t>L001-901905215</t>
        </is>
      </c>
      <c r="V536" s="522" t="inlineStr">
        <is>
          <t>វីអ៊ីស៊ិន (ខេមបូឌា) អ៊ិនដាសស្ទ្រី ឯ.ក</t>
        </is>
      </c>
      <c r="W536" s="556" t="n">
        <v>93610</v>
      </c>
    </row>
    <row r="537">
      <c r="A537" s="521" t="n">
        <v>529</v>
      </c>
      <c r="B537" s="522" t="n"/>
      <c r="C537" s="522" t="inlineStr">
        <is>
          <t>អ៊ីជីអេហ្វ ឡូជីស្ទីក ខូ អិលធីឌី</t>
        </is>
      </c>
      <c r="D537" s="522" t="inlineStr">
        <is>
          <t>L001-901501877</t>
        </is>
      </c>
      <c r="E537" s="521" t="inlineStr">
        <is>
          <t>2001671</t>
        </is>
      </c>
      <c r="F537" s="523" t="n">
        <v>43890</v>
      </c>
      <c r="G537" s="556" t="n">
        <v>89540</v>
      </c>
      <c r="I537" s="521">
        <f>G537</f>
        <v/>
      </c>
      <c r="K537" s="521">
        <f>I537-G537</f>
        <v/>
      </c>
      <c r="M537" s="522" t="inlineStr">
        <is>
          <t>2001671</t>
        </is>
      </c>
      <c r="N537" s="522" t="inlineStr">
        <is>
          <t>2001671</t>
        </is>
      </c>
      <c r="O537" s="521">
        <f>M537=N537</f>
        <v/>
      </c>
      <c r="P537" s="521">
        <f>AND(MONTH(F537)=MONTH(S537), YEAR(F537)=YEAR(S537))</f>
        <v/>
      </c>
      <c r="Q537" s="521">
        <f>U537="L001-901905215"</f>
        <v/>
      </c>
      <c r="R537" s="556">
        <f>G537-W537</f>
        <v/>
      </c>
      <c r="S537" s="523" t="n">
        <v>43890</v>
      </c>
      <c r="T537" s="522" t="inlineStr">
        <is>
          <t>2001671</t>
        </is>
      </c>
      <c r="U537" s="522" t="inlineStr">
        <is>
          <t>L001-901905215</t>
        </is>
      </c>
      <c r="V537" s="522" t="inlineStr">
        <is>
          <t>វីអ៊ីស៊ិន (ខេមបូឌា) អ៊ិនដាសស្ទ្រី ឯ.ក</t>
        </is>
      </c>
      <c r="W537" s="556" t="n">
        <v>89540</v>
      </c>
    </row>
    <row r="538">
      <c r="A538" s="521" t="n">
        <v>530</v>
      </c>
      <c r="B538" s="522" t="n"/>
      <c r="C538" s="522" t="inlineStr">
        <is>
          <t>អ៊ីជីអេហ្វ ឡូជីស្ទីក ខូ អិលធីឌី</t>
        </is>
      </c>
      <c r="D538" s="522" t="inlineStr">
        <is>
          <t>L001-901501877</t>
        </is>
      </c>
      <c r="E538" s="521" t="inlineStr">
        <is>
          <t>2001641</t>
        </is>
      </c>
      <c r="F538" s="523" t="n">
        <v>43890</v>
      </c>
      <c r="G538" s="556" t="n">
        <v>93610</v>
      </c>
      <c r="I538" s="521">
        <f>G538</f>
        <v/>
      </c>
      <c r="K538" s="521">
        <f>I538-G538</f>
        <v/>
      </c>
      <c r="M538" s="522" t="inlineStr">
        <is>
          <t>2001641</t>
        </is>
      </c>
      <c r="N538" s="522" t="inlineStr">
        <is>
          <t>2001641</t>
        </is>
      </c>
      <c r="O538" s="521">
        <f>M538=N538</f>
        <v/>
      </c>
      <c r="P538" s="521">
        <f>AND(MONTH(F538)=MONTH(S538), YEAR(F538)=YEAR(S538))</f>
        <v/>
      </c>
      <c r="Q538" s="521">
        <f>U538="L001-901905215"</f>
        <v/>
      </c>
      <c r="R538" s="556">
        <f>G538-W538</f>
        <v/>
      </c>
      <c r="S538" s="523" t="n">
        <v>43890</v>
      </c>
      <c r="T538" s="522" t="inlineStr">
        <is>
          <t>2001641</t>
        </is>
      </c>
      <c r="U538" s="522" t="inlineStr">
        <is>
          <t>L001-901905215</t>
        </is>
      </c>
      <c r="V538" s="522" t="inlineStr">
        <is>
          <t>វីអ៊ីស៊ិន (ខេមបូឌា) អ៊ិនដាសស្ទ្រី ឯ.ក</t>
        </is>
      </c>
      <c r="W538" s="556" t="n">
        <v>93610</v>
      </c>
    </row>
    <row r="539">
      <c r="A539" s="521" t="n">
        <v>531</v>
      </c>
      <c r="B539" s="522" t="n"/>
      <c r="C539" s="522" t="inlineStr">
        <is>
          <t>អ៊ីជីអេហ្វ ឡូជីស្ទីក ខូ អិលធីឌី</t>
        </is>
      </c>
      <c r="D539" s="522" t="inlineStr">
        <is>
          <t>L001-901501877</t>
        </is>
      </c>
      <c r="E539" s="521" t="inlineStr">
        <is>
          <t>2001640</t>
        </is>
      </c>
      <c r="F539" s="523" t="n">
        <v>43890</v>
      </c>
      <c r="G539" s="556" t="n">
        <v>89540</v>
      </c>
      <c r="I539" s="521">
        <f>G539</f>
        <v/>
      </c>
      <c r="K539" s="521">
        <f>I539-G539</f>
        <v/>
      </c>
      <c r="M539" s="522" t="inlineStr">
        <is>
          <t>2001640</t>
        </is>
      </c>
      <c r="N539" s="522" t="inlineStr">
        <is>
          <t>2001640</t>
        </is>
      </c>
      <c r="O539" s="521">
        <f>M539=N539</f>
        <v/>
      </c>
      <c r="P539" s="521">
        <f>AND(MONTH(F539)=MONTH(S539), YEAR(F539)=YEAR(S539))</f>
        <v/>
      </c>
      <c r="Q539" s="521">
        <f>U539="L001-901905215"</f>
        <v/>
      </c>
      <c r="R539" s="556">
        <f>G539-W539</f>
        <v/>
      </c>
      <c r="S539" s="523" t="n">
        <v>43890</v>
      </c>
      <c r="T539" s="522" t="inlineStr">
        <is>
          <t>2001640</t>
        </is>
      </c>
      <c r="U539" s="522" t="inlineStr">
        <is>
          <t>L001-901905215</t>
        </is>
      </c>
      <c r="V539" s="522" t="inlineStr">
        <is>
          <t>វីអ៊ីស៊ិន (ខេមបូឌា) អ៊ិនដាសស្ទ្រី ឯ.ក</t>
        </is>
      </c>
      <c r="W539" s="556" t="n">
        <v>89540</v>
      </c>
    </row>
    <row r="540">
      <c r="A540" s="521" t="n">
        <v>532</v>
      </c>
      <c r="B540" s="522" t="n"/>
      <c r="C540" s="522" t="inlineStr">
        <is>
          <t>អ៊ីជីអេហ្វ ឡូជីស្ទីក ខូ អិលធីឌី</t>
        </is>
      </c>
      <c r="D540" s="522" t="inlineStr">
        <is>
          <t>L001-901501877</t>
        </is>
      </c>
      <c r="E540" s="521" t="inlineStr">
        <is>
          <t>2001639</t>
        </is>
      </c>
      <c r="F540" s="523" t="n">
        <v>43890</v>
      </c>
      <c r="G540" s="556" t="n">
        <v>89540</v>
      </c>
      <c r="I540" s="521">
        <f>G540</f>
        <v/>
      </c>
      <c r="K540" s="521">
        <f>I540-G540</f>
        <v/>
      </c>
      <c r="M540" s="522" t="inlineStr">
        <is>
          <t>2001639</t>
        </is>
      </c>
      <c r="N540" s="522" t="inlineStr">
        <is>
          <t>2001639</t>
        </is>
      </c>
      <c r="O540" s="521">
        <f>M540=N540</f>
        <v/>
      </c>
      <c r="P540" s="521">
        <f>AND(MONTH(F540)=MONTH(S540), YEAR(F540)=YEAR(S540))</f>
        <v/>
      </c>
      <c r="Q540" s="521">
        <f>U540="L001-901905215"</f>
        <v/>
      </c>
      <c r="R540" s="556">
        <f>G540-W540</f>
        <v/>
      </c>
      <c r="S540" s="523" t="n">
        <v>43890</v>
      </c>
      <c r="T540" s="522" t="inlineStr">
        <is>
          <t>2001639</t>
        </is>
      </c>
      <c r="U540" s="522" t="inlineStr">
        <is>
          <t>L001-901905215</t>
        </is>
      </c>
      <c r="V540" s="522" t="inlineStr">
        <is>
          <t>វីអ៊ីស៊ិន (ខេមបូឌា) អ៊ិនដាសស្ទ្រី ឯ.ក</t>
        </is>
      </c>
      <c r="W540" s="556" t="n">
        <v>89540</v>
      </c>
    </row>
    <row r="541">
      <c r="A541" s="521" t="n">
        <v>533</v>
      </c>
      <c r="B541" s="522" t="n"/>
      <c r="C541" s="522" t="inlineStr">
        <is>
          <t>អ៊ីជីអេហ្វ ឡូជីស្ទីក ខូ អិលធីឌី</t>
        </is>
      </c>
      <c r="D541" s="522" t="inlineStr">
        <is>
          <t>L001-901501877</t>
        </is>
      </c>
      <c r="E541" s="521" t="inlineStr">
        <is>
          <t>2001638</t>
        </is>
      </c>
      <c r="F541" s="523" t="n">
        <v>43890</v>
      </c>
      <c r="G541" s="556" t="n">
        <v>89540</v>
      </c>
      <c r="I541" s="521">
        <f>G541</f>
        <v/>
      </c>
      <c r="K541" s="521">
        <f>I541-G541</f>
        <v/>
      </c>
      <c r="M541" s="522" t="inlineStr">
        <is>
          <t>2001638</t>
        </is>
      </c>
      <c r="N541" s="522" t="inlineStr">
        <is>
          <t>2001638</t>
        </is>
      </c>
      <c r="O541" s="521">
        <f>M541=N541</f>
        <v/>
      </c>
      <c r="P541" s="521">
        <f>AND(MONTH(F541)=MONTH(S541), YEAR(F541)=YEAR(S541))</f>
        <v/>
      </c>
      <c r="Q541" s="521">
        <f>U541="L001-901905215"</f>
        <v/>
      </c>
      <c r="R541" s="556">
        <f>G541-W541</f>
        <v/>
      </c>
      <c r="S541" s="523" t="n">
        <v>43890</v>
      </c>
      <c r="T541" s="522" t="inlineStr">
        <is>
          <t>2001638</t>
        </is>
      </c>
      <c r="U541" s="522" t="inlineStr">
        <is>
          <t>L001-901905215</t>
        </is>
      </c>
      <c r="V541" s="522" t="inlineStr">
        <is>
          <t>វីអ៊ីស៊ិន (ខេមបូឌា) អ៊ិនដាសស្ទ្រី ឯ.ក</t>
        </is>
      </c>
      <c r="W541" s="556" t="n">
        <v>89540</v>
      </c>
    </row>
    <row r="542">
      <c r="A542" s="521" t="n">
        <v>534</v>
      </c>
      <c r="B542" s="522" t="n"/>
      <c r="C542" s="522" t="inlineStr">
        <is>
          <t>អ៊ីជីអេហ្វ ឡូជីស្ទីក ខូ អិលធីឌី</t>
        </is>
      </c>
      <c r="D542" s="522" t="inlineStr">
        <is>
          <t>L001-901501877</t>
        </is>
      </c>
      <c r="E542" s="521" t="inlineStr">
        <is>
          <t>2001637</t>
        </is>
      </c>
      <c r="F542" s="523" t="n">
        <v>43890</v>
      </c>
      <c r="G542" s="556" t="n">
        <v>89540</v>
      </c>
      <c r="I542" s="521">
        <f>G542</f>
        <v/>
      </c>
      <c r="K542" s="521">
        <f>I542-G542</f>
        <v/>
      </c>
      <c r="M542" s="522" t="inlineStr">
        <is>
          <t>2001637</t>
        </is>
      </c>
      <c r="N542" s="522" t="inlineStr">
        <is>
          <t>2001637</t>
        </is>
      </c>
      <c r="O542" s="521">
        <f>M542=N542</f>
        <v/>
      </c>
      <c r="P542" s="521">
        <f>AND(MONTH(F542)=MONTH(S542), YEAR(F542)=YEAR(S542))</f>
        <v/>
      </c>
      <c r="Q542" s="521">
        <f>U542="L001-901905215"</f>
        <v/>
      </c>
      <c r="R542" s="556">
        <f>G542-W542</f>
        <v/>
      </c>
      <c r="S542" s="523" t="n">
        <v>43890</v>
      </c>
      <c r="T542" s="522" t="inlineStr">
        <is>
          <t>2001637</t>
        </is>
      </c>
      <c r="U542" s="522" t="inlineStr">
        <is>
          <t>L001-901905215</t>
        </is>
      </c>
      <c r="V542" s="522" t="inlineStr">
        <is>
          <t>វីអ៊ីស៊ិន (ខេមបូឌា) អ៊ិនដាសស្ទ្រី ឯ.ក</t>
        </is>
      </c>
      <c r="W542" s="556" t="n">
        <v>89540</v>
      </c>
    </row>
    <row r="543">
      <c r="A543" s="521" t="n">
        <v>535</v>
      </c>
      <c r="B543" s="522" t="n"/>
      <c r="C543" s="522" t="inlineStr">
        <is>
          <t>សូស៊ីយេតេ កុងសេស្យូនែរ ដឺ ឡាអេរ៉ូព័រ</t>
        </is>
      </c>
      <c r="D543" s="522" t="inlineStr">
        <is>
          <t>L001-100047300</t>
        </is>
      </c>
      <c r="E543" s="521" t="inlineStr">
        <is>
          <t>2000014837</t>
        </is>
      </c>
      <c r="F543" s="523" t="n">
        <v>43887</v>
      </c>
      <c r="G543" s="556" t="n">
        <v>26506</v>
      </c>
      <c r="I543" s="521">
        <f>G543</f>
        <v/>
      </c>
      <c r="K543" s="521">
        <f>I543-G543</f>
        <v/>
      </c>
      <c r="M543" s="522" t="inlineStr">
        <is>
          <t>2000014837</t>
        </is>
      </c>
      <c r="N543" s="522" t="inlineStr"/>
      <c r="O543" s="521">
        <f>M543=N543</f>
        <v/>
      </c>
      <c r="P543" s="521">
        <f>AND(MONTH(F543)=MONTH(S543), YEAR(F543)=YEAR(S543))</f>
        <v/>
      </c>
      <c r="Q543" s="521">
        <f>U543="L001-901905215"</f>
        <v/>
      </c>
      <c r="R543" s="556">
        <f>G543-W543</f>
        <v/>
      </c>
      <c r="S543" s="521" t="n"/>
      <c r="T543" s="522" t="n"/>
      <c r="U543" s="522" t="n"/>
      <c r="V543" s="522" t="n"/>
      <c r="W543" s="521" t="n"/>
    </row>
    <row r="544">
      <c r="A544" s="521" t="n">
        <v>536</v>
      </c>
      <c r="B544" s="522" t="n"/>
      <c r="C544" s="522" t="inlineStr">
        <is>
          <t>អូរៀនថល ឡូជីស្ទីក &amp; ឌីស្ទ្រីប៊្យូសិន (ខេមបូឌា)</t>
        </is>
      </c>
      <c r="D544" s="522" t="inlineStr">
        <is>
          <t>L001-103007369</t>
        </is>
      </c>
      <c r="E544" s="521" t="inlineStr">
        <is>
          <t>201133</t>
        </is>
      </c>
      <c r="F544" s="523" t="n">
        <v>43872</v>
      </c>
      <c r="G544" s="556" t="n">
        <v>1954320</v>
      </c>
      <c r="I544" s="521">
        <f>G544</f>
        <v/>
      </c>
      <c r="K544" s="521">
        <f>I544-G544</f>
        <v/>
      </c>
      <c r="M544" s="522" t="inlineStr">
        <is>
          <t>201133</t>
        </is>
      </c>
      <c r="N544" s="522" t="inlineStr"/>
      <c r="O544" s="521">
        <f>M544=N544</f>
        <v/>
      </c>
      <c r="P544" s="521">
        <f>AND(MONTH(F544)=MONTH(S544), YEAR(F544)=YEAR(S544))</f>
        <v/>
      </c>
      <c r="Q544" s="521">
        <f>U544="L001-901905215"</f>
        <v/>
      </c>
      <c r="R544" s="556">
        <f>G544-W544</f>
        <v/>
      </c>
      <c r="S544" s="521" t="n"/>
      <c r="T544" s="522" t="n"/>
      <c r="U544" s="522" t="n"/>
      <c r="V544" s="522" t="n"/>
      <c r="W544" s="521" t="n"/>
    </row>
    <row r="545">
      <c r="A545" s="521" t="n">
        <v>537</v>
      </c>
      <c r="B545" s="522" t="n"/>
      <c r="C545" s="522" t="inlineStr">
        <is>
          <t>អ៊ិចស្ពែឌីធ័រ ខេមបូឌា អិលធីឌី</t>
        </is>
      </c>
      <c r="D545" s="522" t="inlineStr">
        <is>
          <t>L001-100045898</t>
        </is>
      </c>
      <c r="E545" s="521" t="inlineStr">
        <is>
          <t>TI0170302</t>
        </is>
      </c>
      <c r="F545" s="523" t="n">
        <v>43871</v>
      </c>
      <c r="G545" s="556" t="n">
        <v>32396</v>
      </c>
      <c r="I545" s="521">
        <f>G545</f>
        <v/>
      </c>
      <c r="K545" s="521">
        <f>I545-G545</f>
        <v/>
      </c>
      <c r="M545" s="522" t="inlineStr">
        <is>
          <t>TI0170302</t>
        </is>
      </c>
      <c r="N545" s="522" t="inlineStr">
        <is>
          <t>TI0170302</t>
        </is>
      </c>
      <c r="O545" s="521">
        <f>M545=N545</f>
        <v/>
      </c>
      <c r="P545" s="521">
        <f>AND(MONTH(F545)=MONTH(S545), YEAR(F545)=YEAR(S545))</f>
        <v/>
      </c>
      <c r="Q545" s="521">
        <f>U545="L001-901905215"</f>
        <v/>
      </c>
      <c r="R545" s="556">
        <f>G545-W545</f>
        <v/>
      </c>
      <c r="S545" s="523" t="n">
        <v>43871</v>
      </c>
      <c r="T545" s="522" t="inlineStr">
        <is>
          <t>TI-0170302</t>
        </is>
      </c>
      <c r="U545" s="522" t="inlineStr">
        <is>
          <t>L001-901905215</t>
        </is>
      </c>
      <c r="V545" s="522" t="inlineStr">
        <is>
          <t>វីអ៊ីស៊ិន (ខេមបូឌា) អ៊ិនដាសស្ទ្រី ឯ.ក</t>
        </is>
      </c>
      <c r="W545" s="556" t="n">
        <v>32396</v>
      </c>
    </row>
    <row r="546">
      <c r="A546" s="521" t="n">
        <v>538</v>
      </c>
      <c r="B546" s="522" t="n"/>
      <c r="C546" s="522" t="inlineStr">
        <is>
          <t>អ៊ិចស្ពែឌីធ័រ ខេមបូឌា អិលធីឌី</t>
        </is>
      </c>
      <c r="D546" s="522" t="inlineStr">
        <is>
          <t>L001-100045898</t>
        </is>
      </c>
      <c r="E546" s="521" t="inlineStr">
        <is>
          <t>TI0170305</t>
        </is>
      </c>
      <c r="F546" s="523" t="n">
        <v>43871</v>
      </c>
      <c r="G546" s="556" t="n">
        <v>31563</v>
      </c>
      <c r="I546" s="521">
        <f>G546</f>
        <v/>
      </c>
      <c r="K546" s="521">
        <f>I546-G546</f>
        <v/>
      </c>
      <c r="M546" s="522" t="inlineStr">
        <is>
          <t>TI0170305</t>
        </is>
      </c>
      <c r="N546" s="522" t="inlineStr">
        <is>
          <t>TI0170305</t>
        </is>
      </c>
      <c r="O546" s="521">
        <f>M546=N546</f>
        <v/>
      </c>
      <c r="P546" s="521">
        <f>AND(MONTH(F546)=MONTH(S546), YEAR(F546)=YEAR(S546))</f>
        <v/>
      </c>
      <c r="Q546" s="521">
        <f>U546="L001-901905215"</f>
        <v/>
      </c>
      <c r="R546" s="556">
        <f>G546-W546</f>
        <v/>
      </c>
      <c r="S546" s="523" t="n">
        <v>43871</v>
      </c>
      <c r="T546" s="522" t="inlineStr">
        <is>
          <t>TI-0170305</t>
        </is>
      </c>
      <c r="U546" s="522" t="inlineStr">
        <is>
          <t>L001-901905215</t>
        </is>
      </c>
      <c r="V546" s="522" t="inlineStr">
        <is>
          <t>វីអ៊ីស៊ិន (ខេមបូឌា) អ៊ិនដាសស្ទ្រី ឯ.ក</t>
        </is>
      </c>
      <c r="W546" s="556" t="n">
        <v>31581</v>
      </c>
    </row>
    <row r="547">
      <c r="A547" s="521" t="n">
        <v>539</v>
      </c>
      <c r="B547" s="522" t="n"/>
      <c r="C547" s="522" t="inlineStr">
        <is>
          <t>អ៊ិចស្ពែឌីធ័រ ខេមបូឌា អិលធីឌី</t>
        </is>
      </c>
      <c r="D547" s="522" t="inlineStr">
        <is>
          <t>L001-100045898</t>
        </is>
      </c>
      <c r="E547" s="521" t="inlineStr">
        <is>
          <t>TI0170316</t>
        </is>
      </c>
      <c r="F547" s="523" t="n">
        <v>43871</v>
      </c>
      <c r="G547" s="556" t="n">
        <v>32418</v>
      </c>
      <c r="I547" s="521">
        <f>G547</f>
        <v/>
      </c>
      <c r="K547" s="521">
        <f>I547-G547</f>
        <v/>
      </c>
      <c r="M547" s="522" t="inlineStr">
        <is>
          <t>TI0170316</t>
        </is>
      </c>
      <c r="N547" s="522" t="inlineStr">
        <is>
          <t>TI0170316</t>
        </is>
      </c>
      <c r="O547" s="521">
        <f>M547=N547</f>
        <v/>
      </c>
      <c r="P547" s="521">
        <f>AND(MONTH(F547)=MONTH(S547), YEAR(F547)=YEAR(S547))</f>
        <v/>
      </c>
      <c r="Q547" s="521">
        <f>U547="L001-901905215"</f>
        <v/>
      </c>
      <c r="R547" s="556">
        <f>G547-W547</f>
        <v/>
      </c>
      <c r="S547" s="523" t="n">
        <v>43871</v>
      </c>
      <c r="T547" s="522" t="inlineStr">
        <is>
          <t>TI-0170316</t>
        </is>
      </c>
      <c r="U547" s="522" t="inlineStr">
        <is>
          <t>L001-901905215</t>
        </is>
      </c>
      <c r="V547" s="522" t="inlineStr">
        <is>
          <t>វីអ៊ីស៊ិន (ខេមបូឌា) អ៊ិនដាសស្ទ្រី ឯ.ក</t>
        </is>
      </c>
      <c r="W547" s="556" t="n">
        <v>32437</v>
      </c>
    </row>
    <row r="548">
      <c r="A548" s="521" t="n">
        <v>540</v>
      </c>
      <c r="B548" s="522" t="n"/>
      <c r="C548" s="522" t="inlineStr">
        <is>
          <t>អ៊ិចស្ពែឌីធ័រ ខេមបូឌា អិលធីឌី</t>
        </is>
      </c>
      <c r="D548" s="522" t="inlineStr">
        <is>
          <t>L001-100045898</t>
        </is>
      </c>
      <c r="E548" s="521" t="inlineStr">
        <is>
          <t>TI0170906</t>
        </is>
      </c>
      <c r="F548" s="523" t="n">
        <v>43878</v>
      </c>
      <c r="G548" s="556" t="n">
        <v>124184</v>
      </c>
      <c r="I548" s="521">
        <f>G548</f>
        <v/>
      </c>
      <c r="K548" s="521">
        <f>I548-G548</f>
        <v/>
      </c>
      <c r="M548" s="522" t="inlineStr">
        <is>
          <t>TI0170906</t>
        </is>
      </c>
      <c r="N548" s="522" t="inlineStr">
        <is>
          <t>TI0170906</t>
        </is>
      </c>
      <c r="O548" s="521">
        <f>M548=N548</f>
        <v/>
      </c>
      <c r="P548" s="521">
        <f>AND(MONTH(F548)=MONTH(S548), YEAR(F548)=YEAR(S548))</f>
        <v/>
      </c>
      <c r="Q548" s="521">
        <f>U548="L001-901905215"</f>
        <v/>
      </c>
      <c r="R548" s="556">
        <f>G548-W548</f>
        <v/>
      </c>
      <c r="S548" s="523" t="n">
        <v>43878</v>
      </c>
      <c r="T548" s="522" t="inlineStr">
        <is>
          <t>TI-0170906</t>
        </is>
      </c>
      <c r="U548" s="522" t="inlineStr">
        <is>
          <t>L001-901905215</t>
        </is>
      </c>
      <c r="V548" s="522" t="inlineStr">
        <is>
          <t>វីអ៊ីស៊ិន (ខេមបូឌា) អ៊ិនដាសស្ទ្រី ឯ.ក</t>
        </is>
      </c>
      <c r="W548" s="556" t="n">
        <v>124184</v>
      </c>
    </row>
    <row r="549">
      <c r="A549" s="521" t="n">
        <v>541</v>
      </c>
      <c r="B549" s="522" t="n"/>
      <c r="C549" s="522" t="inlineStr">
        <is>
          <t>ហ្គោមី រីសាយឃល110</t>
        </is>
      </c>
      <c r="D549" s="522" t="inlineStr">
        <is>
          <t>K010-901503890</t>
        </is>
      </c>
      <c r="E549" s="521" t="inlineStr">
        <is>
          <t>GRIN2020061</t>
        </is>
      </c>
      <c r="F549" s="523" t="n">
        <v>43862</v>
      </c>
      <c r="G549" s="556" t="n">
        <v>16280</v>
      </c>
      <c r="I549" s="521">
        <f>G549</f>
        <v/>
      </c>
      <c r="K549" s="521">
        <f>I549-G549</f>
        <v/>
      </c>
      <c r="M549" s="522" t="inlineStr">
        <is>
          <t>GRIN2020061</t>
        </is>
      </c>
      <c r="N549" s="522" t="inlineStr">
        <is>
          <t>GRIN2020061</t>
        </is>
      </c>
      <c r="O549" s="521">
        <f>M549=N549</f>
        <v/>
      </c>
      <c r="P549" s="521">
        <f>AND(MONTH(F549)=MONTH(S549), YEAR(F549)=YEAR(S549))</f>
        <v/>
      </c>
      <c r="Q549" s="521">
        <f>U549="L001-901905215"</f>
        <v/>
      </c>
      <c r="R549" s="556">
        <f>G549-W549</f>
        <v/>
      </c>
      <c r="S549" s="523" t="n">
        <v>43889</v>
      </c>
      <c r="T549" s="522" t="inlineStr">
        <is>
          <t>GR-IN2020061</t>
        </is>
      </c>
      <c r="U549" s="522" t="inlineStr">
        <is>
          <t>L001-901905215</t>
        </is>
      </c>
      <c r="V549" s="522" t="inlineStr">
        <is>
          <t>វីអ៊ីស៊ិន (ខេមបូឌា) អ៊ិនដាសស្ទ្រី ឯ.ក</t>
        </is>
      </c>
      <c r="W549" s="556" t="n">
        <v>16280</v>
      </c>
    </row>
    <row r="550">
      <c r="A550" s="521" t="n">
        <v>542</v>
      </c>
      <c r="B550" s="522" t="n"/>
      <c r="C550" s="522" t="inlineStr">
        <is>
          <t>ភីស៊ីអាយ សឺវីស</t>
        </is>
      </c>
      <c r="D550" s="522" t="inlineStr">
        <is>
          <t>K010-901639639</t>
        </is>
      </c>
      <c r="E550" s="521" t="inlineStr">
        <is>
          <t>201900917</t>
        </is>
      </c>
      <c r="F550" s="523" t="n">
        <v>43883</v>
      </c>
      <c r="G550" s="556" t="n">
        <v>81400</v>
      </c>
      <c r="I550" s="521">
        <f>G550</f>
        <v/>
      </c>
      <c r="K550" s="521">
        <f>I550-G550</f>
        <v/>
      </c>
      <c r="M550" s="522" t="inlineStr">
        <is>
          <t>201900917</t>
        </is>
      </c>
      <c r="N550" s="522" t="inlineStr"/>
      <c r="O550" s="521">
        <f>M550=N550</f>
        <v/>
      </c>
      <c r="P550" s="521">
        <f>AND(MONTH(F550)=MONTH(S550), YEAR(F550)=YEAR(S550))</f>
        <v/>
      </c>
      <c r="Q550" s="521">
        <f>U550="L001-901905215"</f>
        <v/>
      </c>
      <c r="R550" s="556">
        <f>G550-W550</f>
        <v/>
      </c>
      <c r="S550" s="521" t="n"/>
      <c r="T550" s="522" t="n"/>
      <c r="U550" s="522" t="n"/>
      <c r="V550" s="522" t="n"/>
      <c r="W550" s="521" t="n"/>
    </row>
    <row r="551">
      <c r="A551" s="521" t="n">
        <v>543</v>
      </c>
      <c r="B551" s="522" t="n"/>
      <c r="C551" s="522" t="inlineStr">
        <is>
          <t>ប្យួរ៉ូ វេរីតាស (ខេមបូឌា) លីមីធីត</t>
        </is>
      </c>
      <c r="D551" s="522" t="inlineStr">
        <is>
          <t>L001-107024462</t>
        </is>
      </c>
      <c r="E551" s="521" t="inlineStr">
        <is>
          <t>59006944</t>
        </is>
      </c>
      <c r="F551" s="523" t="n">
        <v>43882</v>
      </c>
      <c r="G551" s="556" t="n">
        <v>67320</v>
      </c>
      <c r="I551" s="521">
        <f>G551</f>
        <v/>
      </c>
      <c r="K551" s="521">
        <f>I551-G551</f>
        <v/>
      </c>
      <c r="M551" s="522" t="inlineStr">
        <is>
          <t>59006944</t>
        </is>
      </c>
      <c r="N551" s="522" t="inlineStr">
        <is>
          <t>59006944</t>
        </is>
      </c>
      <c r="O551" s="521">
        <f>M551=N551</f>
        <v/>
      </c>
      <c r="P551" s="521">
        <f>AND(MONTH(F551)=MONTH(S551), YEAR(F551)=YEAR(S551))</f>
        <v/>
      </c>
      <c r="Q551" s="521">
        <f>U551="L001-901905215"</f>
        <v/>
      </c>
      <c r="R551" s="556">
        <f>G551-W551</f>
        <v/>
      </c>
      <c r="S551" s="523" t="n">
        <v>43882</v>
      </c>
      <c r="T551" s="522" t="inlineStr">
        <is>
          <t>59006944</t>
        </is>
      </c>
      <c r="U551" s="522" t="inlineStr">
        <is>
          <t>L001-901905215</t>
        </is>
      </c>
      <c r="V551" s="522" t="inlineStr">
        <is>
          <t>វីអ៊ីស៊ិន (ខេមបូឌា) អ៊ិនដាសស្ទ្រី ឯ.ក</t>
        </is>
      </c>
      <c r="W551" s="556" t="n">
        <v>67320</v>
      </c>
    </row>
    <row r="552">
      <c r="A552" s="521" t="n">
        <v>544</v>
      </c>
      <c r="B552" s="522" t="n"/>
      <c r="C552" s="522" t="inlineStr">
        <is>
          <t>ប្យួរ៉ូ វេរីតាស (ខេមបូឌា) លីមីធីត</t>
        </is>
      </c>
      <c r="D552" s="522" t="inlineStr">
        <is>
          <t>L001-107024462</t>
        </is>
      </c>
      <c r="E552" s="521" t="inlineStr">
        <is>
          <t>59006801</t>
        </is>
      </c>
      <c r="F552" s="523" t="n">
        <v>43872</v>
      </c>
      <c r="G552" s="556" t="n">
        <v>134640</v>
      </c>
      <c r="I552" s="521">
        <f>G552</f>
        <v/>
      </c>
      <c r="K552" s="521">
        <f>I552-G552</f>
        <v/>
      </c>
      <c r="M552" s="522" t="inlineStr">
        <is>
          <t>59006801</t>
        </is>
      </c>
      <c r="N552" s="522" t="inlineStr">
        <is>
          <t>59006801</t>
        </is>
      </c>
      <c r="O552" s="521">
        <f>M552=N552</f>
        <v/>
      </c>
      <c r="P552" s="521">
        <f>AND(MONTH(F552)=MONTH(S552), YEAR(F552)=YEAR(S552))</f>
        <v/>
      </c>
      <c r="Q552" s="521">
        <f>U552="L001-901905215"</f>
        <v/>
      </c>
      <c r="R552" s="556">
        <f>G552-W552</f>
        <v/>
      </c>
      <c r="S552" s="523" t="n">
        <v>43872</v>
      </c>
      <c r="T552" s="522" t="inlineStr">
        <is>
          <t>59006801</t>
        </is>
      </c>
      <c r="U552" s="522" t="inlineStr">
        <is>
          <t>L001-901905215</t>
        </is>
      </c>
      <c r="V552" s="522" t="inlineStr">
        <is>
          <t>វីអ៊ីស៊ិន (ខេមបូឌា) អ៊ិនដាសស្ទ្រី ឯ.ក</t>
        </is>
      </c>
      <c r="W552" s="556" t="n">
        <v>134640</v>
      </c>
    </row>
    <row r="553">
      <c r="A553" s="521" t="n">
        <v>545</v>
      </c>
      <c r="B553" s="522" t="n"/>
      <c r="C553" s="522" t="inlineStr">
        <is>
          <t>ប្យួរ៉ូ វេរីតាស (ខេមបូឌា) លីមីធីត</t>
        </is>
      </c>
      <c r="D553" s="522" t="inlineStr">
        <is>
          <t>L001-107024462</t>
        </is>
      </c>
      <c r="E553" s="521" t="inlineStr">
        <is>
          <t>59006758</t>
        </is>
      </c>
      <c r="F553" s="523" t="n">
        <v>43871</v>
      </c>
      <c r="G553" s="556" t="n">
        <v>67238</v>
      </c>
      <c r="I553" s="521">
        <f>G553</f>
        <v/>
      </c>
      <c r="K553" s="521">
        <f>I553-G553</f>
        <v/>
      </c>
      <c r="M553" s="522" t="inlineStr">
        <is>
          <t>59006758</t>
        </is>
      </c>
      <c r="N553" s="522" t="inlineStr">
        <is>
          <t>59006758</t>
        </is>
      </c>
      <c r="O553" s="521">
        <f>M553=N553</f>
        <v/>
      </c>
      <c r="P553" s="521">
        <f>AND(MONTH(F553)=MONTH(S553), YEAR(F553)=YEAR(S553))</f>
        <v/>
      </c>
      <c r="Q553" s="521">
        <f>U553="L001-901905215"</f>
        <v/>
      </c>
      <c r="R553" s="556">
        <f>G553-W553</f>
        <v/>
      </c>
      <c r="S553" s="523" t="n">
        <v>43871</v>
      </c>
      <c r="T553" s="522" t="inlineStr">
        <is>
          <t>59006758</t>
        </is>
      </c>
      <c r="U553" s="522" t="inlineStr">
        <is>
          <t>L001-901905215</t>
        </is>
      </c>
      <c r="V553" s="522" t="inlineStr">
        <is>
          <t>វីអ៊ីស៊ិន (ខេមបូឌា) អ៊ិនដាសស្ទ្រី ឯ.ក</t>
        </is>
      </c>
      <c r="W553" s="556" t="n">
        <v>67237</v>
      </c>
    </row>
    <row r="554">
      <c r="A554" s="521" t="n">
        <v>546</v>
      </c>
      <c r="B554" s="522" t="n"/>
      <c r="C554" s="522" t="inlineStr">
        <is>
          <t>ប្យួរ៉ូ វេរីតាស (ខេមបូឌា) លីមីធីត</t>
        </is>
      </c>
      <c r="D554" s="522" t="inlineStr">
        <is>
          <t>L001-107024462</t>
        </is>
      </c>
      <c r="E554" s="521" t="inlineStr">
        <is>
          <t>59006696</t>
        </is>
      </c>
      <c r="F554" s="523" t="n">
        <v>43868</v>
      </c>
      <c r="G554" s="556" t="n">
        <v>67155</v>
      </c>
      <c r="I554" s="521">
        <f>G554</f>
        <v/>
      </c>
      <c r="K554" s="521">
        <f>I554-G554</f>
        <v/>
      </c>
      <c r="M554" s="522" t="inlineStr">
        <is>
          <t>59006696</t>
        </is>
      </c>
      <c r="N554" s="522" t="inlineStr">
        <is>
          <t>59006696</t>
        </is>
      </c>
      <c r="O554" s="521">
        <f>M554=N554</f>
        <v/>
      </c>
      <c r="P554" s="521">
        <f>AND(MONTH(F554)=MONTH(S554), YEAR(F554)=YEAR(S554))</f>
        <v/>
      </c>
      <c r="Q554" s="521">
        <f>U554="L001-901905215"</f>
        <v/>
      </c>
      <c r="R554" s="556">
        <f>G554-W554</f>
        <v/>
      </c>
      <c r="S554" s="523" t="n">
        <v>43868</v>
      </c>
      <c r="T554" s="522" t="inlineStr">
        <is>
          <t>59006696</t>
        </is>
      </c>
      <c r="U554" s="522" t="inlineStr">
        <is>
          <t>L001-901905215</t>
        </is>
      </c>
      <c r="V554" s="522" t="inlineStr">
        <is>
          <t>វីអ៊ីស៊ិន (ខេមបូឌា) អ៊ិនដាសស្ទ្រី ឯ.ក</t>
        </is>
      </c>
      <c r="W554" s="556" t="n">
        <v>67155</v>
      </c>
    </row>
    <row r="555">
      <c r="A555" s="521" t="n">
        <v>547</v>
      </c>
      <c r="B555" s="522" t="n"/>
      <c r="C555" s="522" t="inlineStr">
        <is>
          <t>ថេកអេស៊ីស៊ី ផេភើរ សឺវីស ខនសាល់ធេន ឯ.ក</t>
        </is>
      </c>
      <c r="D555" s="522" t="inlineStr">
        <is>
          <t>K004-901801112</t>
        </is>
      </c>
      <c r="E555" s="521" t="inlineStr">
        <is>
          <t>000030</t>
        </is>
      </c>
      <c r="F555" s="523" t="n">
        <v>43865</v>
      </c>
      <c r="G555" s="556" t="n">
        <v>162400</v>
      </c>
      <c r="I555" s="521">
        <f>G555</f>
        <v/>
      </c>
      <c r="K555" s="521">
        <f>I555-G555</f>
        <v/>
      </c>
      <c r="M555" s="522" t="inlineStr">
        <is>
          <t>000030</t>
        </is>
      </c>
      <c r="N555" s="522" t="inlineStr">
        <is>
          <t>000030</t>
        </is>
      </c>
      <c r="O555" s="521">
        <f>M555=N555</f>
        <v/>
      </c>
      <c r="P555" s="521">
        <f>AND(MONTH(F555)=MONTH(S555), YEAR(F555)=YEAR(S555))</f>
        <v/>
      </c>
      <c r="Q555" s="521">
        <f>U555="L001-901905215"</f>
        <v/>
      </c>
      <c r="R555" s="556">
        <f>G555-W555</f>
        <v/>
      </c>
      <c r="S555" s="523" t="n">
        <v>43865</v>
      </c>
      <c r="T555" s="522" t="inlineStr">
        <is>
          <t>000030</t>
        </is>
      </c>
      <c r="U555" s="522" t="inlineStr">
        <is>
          <t>L001-901905215</t>
        </is>
      </c>
      <c r="V555" s="522" t="inlineStr">
        <is>
          <t>វីអ៊ីស៊ិន (ខេមបូឌា) អ៊ិនដាសស្ទ្រី ឯ.ក</t>
        </is>
      </c>
      <c r="W555" s="556" t="n">
        <v>162400</v>
      </c>
    </row>
    <row r="556">
      <c r="A556" s="521" t="n">
        <v>548</v>
      </c>
      <c r="B556" s="522" t="n"/>
      <c r="C556" s="522" t="inlineStr">
        <is>
          <t>អេវើរហ្គ្រីន ស៊ីបភីង សឺវីស (ខេមបូឌា) ឯ.ក</t>
        </is>
      </c>
      <c r="D556" s="522" t="inlineStr">
        <is>
          <t>L001-901705421</t>
        </is>
      </c>
      <c r="E556" s="521" t="inlineStr">
        <is>
          <t>IY20000928</t>
        </is>
      </c>
      <c r="F556" s="523" t="n">
        <v>43864</v>
      </c>
      <c r="G556" s="556" t="n">
        <v>91350</v>
      </c>
      <c r="I556" s="521">
        <f>G556</f>
        <v/>
      </c>
      <c r="K556" s="521">
        <f>I556-G556</f>
        <v/>
      </c>
      <c r="M556" s="522" t="inlineStr">
        <is>
          <t>IY20000928</t>
        </is>
      </c>
      <c r="N556" s="522" t="inlineStr"/>
      <c r="O556" s="521">
        <f>M556=N556</f>
        <v/>
      </c>
      <c r="P556" s="521">
        <f>AND(MONTH(F556)=MONTH(S556), YEAR(F556)=YEAR(S556))</f>
        <v/>
      </c>
      <c r="Q556" s="521">
        <f>U556="L001-901905215"</f>
        <v/>
      </c>
      <c r="R556" s="556">
        <f>G556-W556</f>
        <v/>
      </c>
      <c r="S556" s="521" t="n"/>
      <c r="T556" s="522" t="n"/>
      <c r="U556" s="522" t="n"/>
      <c r="V556" s="522" t="n"/>
      <c r="W556" s="521" t="n"/>
    </row>
    <row r="557">
      <c r="A557" s="521" t="n">
        <v>549</v>
      </c>
      <c r="B557" s="522" t="n"/>
      <c r="C557" s="522" t="inlineStr">
        <is>
          <t>សហ័ស សិឃ្យូរិធី ឯ.ក</t>
        </is>
      </c>
      <c r="D557" s="522" t="inlineStr">
        <is>
          <t>K010-107032600</t>
        </is>
      </c>
      <c r="E557" s="521" t="inlineStr">
        <is>
          <t>202000086</t>
        </is>
      </c>
      <c r="F557" s="523" t="n">
        <v>43886</v>
      </c>
      <c r="G557" s="556" t="n">
        <v>581910</v>
      </c>
      <c r="I557" s="521">
        <f>G557</f>
        <v/>
      </c>
      <c r="K557" s="521">
        <f>I557-G557</f>
        <v/>
      </c>
      <c r="M557" s="522" t="inlineStr">
        <is>
          <t>202000086</t>
        </is>
      </c>
      <c r="N557" s="522" t="inlineStr"/>
      <c r="O557" s="521">
        <f>M557=N557</f>
        <v/>
      </c>
      <c r="P557" s="521">
        <f>AND(MONTH(F557)=MONTH(S557), YEAR(F557)=YEAR(S557))</f>
        <v/>
      </c>
      <c r="Q557" s="521">
        <f>U557="L001-901905215"</f>
        <v/>
      </c>
      <c r="R557" s="556">
        <f>G557-W557</f>
        <v/>
      </c>
      <c r="S557" s="521" t="n"/>
      <c r="T557" s="522" t="n"/>
      <c r="U557" s="522" t="n"/>
      <c r="V557" s="522" t="n"/>
      <c r="W557" s="521" t="n"/>
    </row>
    <row r="558">
      <c r="A558" s="521" t="n">
        <v>550</v>
      </c>
      <c r="B558" s="522" t="n"/>
      <c r="C558" s="522" t="inlineStr">
        <is>
          <t>អូរៀនថល ឡូជីស្ទីក &amp; ឌីស្ទ្រីប៊្យូសិន (ខេមបូឌា)</t>
        </is>
      </c>
      <c r="D558" s="522" t="inlineStr">
        <is>
          <t>L001-103007369</t>
        </is>
      </c>
      <c r="E558" s="521" t="inlineStr">
        <is>
          <t>201454</t>
        </is>
      </c>
      <c r="F558" s="523" t="n">
        <v>43889</v>
      </c>
      <c r="G558" s="556" t="n">
        <v>2120470</v>
      </c>
      <c r="I558" s="521">
        <f>G558</f>
        <v/>
      </c>
      <c r="K558" s="521">
        <f>I558-G558</f>
        <v/>
      </c>
      <c r="M558" s="522" t="inlineStr">
        <is>
          <t>201454</t>
        </is>
      </c>
      <c r="N558" s="522" t="inlineStr"/>
      <c r="O558" s="521">
        <f>M558=N558</f>
        <v/>
      </c>
      <c r="P558" s="521">
        <f>AND(MONTH(F558)=MONTH(S558), YEAR(F558)=YEAR(S558))</f>
        <v/>
      </c>
      <c r="Q558" s="521">
        <f>U558="L001-901905215"</f>
        <v/>
      </c>
      <c r="R558" s="556">
        <f>G558-W558</f>
        <v/>
      </c>
      <c r="S558" s="521" t="n"/>
      <c r="T558" s="522" t="n"/>
      <c r="U558" s="522" t="n"/>
      <c r="V558" s="522" t="n"/>
      <c r="W558" s="521" t="n"/>
    </row>
    <row r="559">
      <c r="A559" s="521" t="n">
        <v>551</v>
      </c>
      <c r="B559" s="522" t="n"/>
      <c r="C559" s="522" t="inlineStr">
        <is>
          <t>ហឺរ ឆឹង ផេភើរ អ៊ីនដាសស្រ្ទៀល ខូ អិលធីឌី</t>
        </is>
      </c>
      <c r="D559" s="522" t="inlineStr">
        <is>
          <t>L001-100191983</t>
        </is>
      </c>
      <c r="E559" s="521" t="inlineStr">
        <is>
          <t>00051</t>
        </is>
      </c>
      <c r="F559" s="523" t="n">
        <v>43879</v>
      </c>
      <c r="G559" s="556" t="n">
        <v>955496</v>
      </c>
      <c r="I559" s="521">
        <f>G559</f>
        <v/>
      </c>
      <c r="K559" s="521">
        <f>I559-G559</f>
        <v/>
      </c>
      <c r="M559" s="522" t="inlineStr">
        <is>
          <t>00051</t>
        </is>
      </c>
      <c r="N559" s="522" t="inlineStr">
        <is>
          <t>00051</t>
        </is>
      </c>
      <c r="O559" s="521">
        <f>M559=N559</f>
        <v/>
      </c>
      <c r="P559" s="521">
        <f>AND(MONTH(F559)=MONTH(S559), YEAR(F559)=YEAR(S559))</f>
        <v/>
      </c>
      <c r="Q559" s="521">
        <f>U559="L001-901905215"</f>
        <v/>
      </c>
      <c r="R559" s="556">
        <f>G559-W559</f>
        <v/>
      </c>
      <c r="S559" s="523" t="n">
        <v>43879</v>
      </c>
      <c r="T559" s="522" t="inlineStr">
        <is>
          <t>00051</t>
        </is>
      </c>
      <c r="U559" s="522" t="inlineStr">
        <is>
          <t>L001-901905215</t>
        </is>
      </c>
      <c r="V559" s="522" t="inlineStr">
        <is>
          <t>វីអ៊ីស៊ិន (ខេមបូឌា) អ៊ិនដាសស្ទ្រី ឯ.ក</t>
        </is>
      </c>
      <c r="W559" s="556" t="n">
        <v>951988</v>
      </c>
    </row>
    <row r="560">
      <c r="A560" s="521" t="n">
        <v>552</v>
      </c>
      <c r="B560" s="522" t="n"/>
      <c r="C560" s="522" t="inlineStr">
        <is>
          <t>វ៉ាយ.ស៊ី ផេកខេជីង ឯ.ក</t>
        </is>
      </c>
      <c r="D560" s="522" t="inlineStr">
        <is>
          <t>L001-901700417</t>
        </is>
      </c>
      <c r="E560" s="521" t="inlineStr">
        <is>
          <t>TI0026</t>
        </is>
      </c>
      <c r="F560" s="523" t="n">
        <v>43883</v>
      </c>
      <c r="G560" s="556" t="n">
        <v>3524801</v>
      </c>
      <c r="I560" s="521">
        <f>G560</f>
        <v/>
      </c>
      <c r="K560" s="521">
        <f>I560-G560</f>
        <v/>
      </c>
      <c r="M560" s="522" t="inlineStr">
        <is>
          <t>TI0026</t>
        </is>
      </c>
      <c r="N560" s="522" t="inlineStr">
        <is>
          <t>TI0026</t>
        </is>
      </c>
      <c r="O560" s="521">
        <f>M560=N560</f>
        <v/>
      </c>
      <c r="P560" s="521">
        <f>AND(MONTH(F560)=MONTH(S560), YEAR(F560)=YEAR(S560))</f>
        <v/>
      </c>
      <c r="Q560" s="521">
        <f>U560="L001-901905215"</f>
        <v/>
      </c>
      <c r="R560" s="556">
        <f>G560-W560</f>
        <v/>
      </c>
      <c r="S560" s="523" t="n">
        <v>43883</v>
      </c>
      <c r="T560" s="522" t="inlineStr">
        <is>
          <t>TI0026</t>
        </is>
      </c>
      <c r="U560" s="522" t="inlineStr">
        <is>
          <t>L001-901905215</t>
        </is>
      </c>
      <c r="V560" s="522" t="inlineStr">
        <is>
          <t>វីអ៊ីស៊ិន (ខេមបូឌា) អ៊ិនដាសស្ទ្រី ឯ.ក</t>
        </is>
      </c>
      <c r="W560" s="556" t="n">
        <v>3516163</v>
      </c>
    </row>
    <row r="561">
      <c r="A561" s="521" t="n">
        <v>553</v>
      </c>
      <c r="B561" s="522" t="n"/>
      <c r="C561" s="522" t="inlineStr">
        <is>
          <t>អ៊ិចស្ពែឌីធ័រ ខេមបូឌា អិលធីឌី</t>
        </is>
      </c>
      <c r="D561" s="522" t="inlineStr">
        <is>
          <t>L001-100045898</t>
        </is>
      </c>
      <c r="E561" s="521" t="inlineStr">
        <is>
          <t>TI0171675</t>
        </is>
      </c>
      <c r="F561" s="523" t="n">
        <v>43885</v>
      </c>
      <c r="G561" s="556" t="n">
        <v>151997</v>
      </c>
      <c r="I561" s="521">
        <f>G561</f>
        <v/>
      </c>
      <c r="K561" s="521">
        <f>I561-G561</f>
        <v/>
      </c>
      <c r="M561" s="522" t="inlineStr">
        <is>
          <t>TI0171675</t>
        </is>
      </c>
      <c r="N561" s="522" t="inlineStr">
        <is>
          <t>TI0171675</t>
        </is>
      </c>
      <c r="O561" s="521">
        <f>M561=N561</f>
        <v/>
      </c>
      <c r="P561" s="521">
        <f>AND(MONTH(F561)=MONTH(S561), YEAR(F561)=YEAR(S561))</f>
        <v/>
      </c>
      <c r="Q561" s="521">
        <f>U561="L001-901905215"</f>
        <v/>
      </c>
      <c r="R561" s="556">
        <f>G561-W561</f>
        <v/>
      </c>
      <c r="S561" s="523" t="n">
        <v>43885</v>
      </c>
      <c r="T561" s="522" t="inlineStr">
        <is>
          <t>TI-0171675</t>
        </is>
      </c>
      <c r="U561" s="522" t="inlineStr">
        <is>
          <t>L001-901905215</t>
        </is>
      </c>
      <c r="V561" s="522" t="inlineStr">
        <is>
          <t>វីអ៊ីស៊ិន (ខេមបូឌា) អ៊ិនដាសស្ទ្រី ឯ.ក</t>
        </is>
      </c>
      <c r="W561" s="556" t="n">
        <v>151998</v>
      </c>
    </row>
    <row r="562">
      <c r="A562" s="521" t="n">
        <v>554</v>
      </c>
      <c r="B562" s="522" t="n"/>
      <c r="C562" s="522" t="inlineStr">
        <is>
          <t>អ៊ិចស្ពែឌីធ័រ ខេមបូឌា អិលធីឌី</t>
        </is>
      </c>
      <c r="D562" s="522" t="inlineStr">
        <is>
          <t>L001-100045898</t>
        </is>
      </c>
      <c r="E562" s="521" t="inlineStr">
        <is>
          <t>TI0171674</t>
        </is>
      </c>
      <c r="F562" s="523" t="n">
        <v>43885</v>
      </c>
      <c r="G562" s="556" t="n">
        <v>123880</v>
      </c>
      <c r="I562" s="521">
        <f>G562</f>
        <v/>
      </c>
      <c r="K562" s="521">
        <f>I562-G562</f>
        <v/>
      </c>
      <c r="M562" s="522" t="inlineStr">
        <is>
          <t>TI0171674</t>
        </is>
      </c>
      <c r="N562" s="522" t="inlineStr">
        <is>
          <t>TI0171674</t>
        </is>
      </c>
      <c r="O562" s="521">
        <f>M562=N562</f>
        <v/>
      </c>
      <c r="P562" s="521">
        <f>AND(MONTH(F562)=MONTH(S562), YEAR(F562)=YEAR(S562))</f>
        <v/>
      </c>
      <c r="Q562" s="521">
        <f>U562="L001-901905215"</f>
        <v/>
      </c>
      <c r="R562" s="556">
        <f>G562-W562</f>
        <v/>
      </c>
      <c r="S562" s="523" t="n">
        <v>43885</v>
      </c>
      <c r="T562" s="522" t="inlineStr">
        <is>
          <t>TI-0171674</t>
        </is>
      </c>
      <c r="U562" s="522" t="inlineStr">
        <is>
          <t>L001-901905215</t>
        </is>
      </c>
      <c r="V562" s="522" t="inlineStr">
        <is>
          <t>វីអ៊ីស៊ិន (ខេមបូឌា) អ៊ិនដាសស្ទ្រី ឯ.ក</t>
        </is>
      </c>
      <c r="W562" s="556" t="n">
        <v>123880</v>
      </c>
    </row>
    <row r="563">
      <c r="A563" s="521" t="n">
        <v>555</v>
      </c>
      <c r="B563" s="522" t="n"/>
      <c r="C563" s="522" t="inlineStr">
        <is>
          <t>អ៊ិចស្ពែឌីធ័រ ខេមបូឌា អិលធីឌី</t>
        </is>
      </c>
      <c r="D563" s="522" t="inlineStr">
        <is>
          <t>L001-100045898</t>
        </is>
      </c>
      <c r="E563" s="521" t="inlineStr">
        <is>
          <t>TI0170907</t>
        </is>
      </c>
      <c r="F563" s="523" t="n">
        <v>43878</v>
      </c>
      <c r="G563" s="556" t="n">
        <v>124184</v>
      </c>
      <c r="I563" s="521">
        <f>G563</f>
        <v/>
      </c>
      <c r="K563" s="521">
        <f>I563-G563</f>
        <v/>
      </c>
      <c r="M563" s="522" t="inlineStr">
        <is>
          <t>TI0170907</t>
        </is>
      </c>
      <c r="N563" s="522" t="inlineStr">
        <is>
          <t>TI0170907</t>
        </is>
      </c>
      <c r="O563" s="521">
        <f>M563=N563</f>
        <v/>
      </c>
      <c r="P563" s="521">
        <f>AND(MONTH(F563)=MONTH(S563), YEAR(F563)=YEAR(S563))</f>
        <v/>
      </c>
      <c r="Q563" s="521">
        <f>U563="L001-901905215"</f>
        <v/>
      </c>
      <c r="R563" s="556">
        <f>G563-W563</f>
        <v/>
      </c>
      <c r="S563" s="523" t="n">
        <v>43878</v>
      </c>
      <c r="T563" s="522" t="inlineStr">
        <is>
          <t>TI-0170907</t>
        </is>
      </c>
      <c r="U563" s="522" t="inlineStr">
        <is>
          <t>L001-901905215</t>
        </is>
      </c>
      <c r="V563" s="522" t="inlineStr">
        <is>
          <t>វីអ៊ីស៊ិន (ខេមបូឌា) អ៊ិនដាសស្ទ្រី ឯ.ក</t>
        </is>
      </c>
      <c r="W563" s="556" t="n">
        <v>124184</v>
      </c>
    </row>
    <row r="564">
      <c r="A564" s="521" t="n">
        <v>556</v>
      </c>
      <c r="B564" s="522" t="n"/>
      <c r="C564" s="522" t="inlineStr">
        <is>
          <t>ខេមវីល គ្លូប៊ល ឯ.ក</t>
        </is>
      </c>
      <c r="D564" s="522" t="inlineStr">
        <is>
          <t>L001-901637190</t>
        </is>
      </c>
      <c r="E564" s="521" t="inlineStr">
        <is>
          <t>INV200246</t>
        </is>
      </c>
      <c r="F564" s="523" t="n">
        <v>43889</v>
      </c>
      <c r="G564" s="556" t="n">
        <v>231990</v>
      </c>
      <c r="I564" s="521">
        <f>G564</f>
        <v/>
      </c>
      <c r="K564" s="521">
        <f>I564-G564</f>
        <v/>
      </c>
      <c r="M564" s="522" t="inlineStr">
        <is>
          <t>INV200246</t>
        </is>
      </c>
      <c r="N564" s="522" t="inlineStr">
        <is>
          <t>INV200246</t>
        </is>
      </c>
      <c r="O564" s="521">
        <f>M564=N564</f>
        <v/>
      </c>
      <c r="P564" s="521">
        <f>AND(MONTH(F564)=MONTH(S564), YEAR(F564)=YEAR(S564))</f>
        <v/>
      </c>
      <c r="Q564" s="521">
        <f>U564="L001-901905215"</f>
        <v/>
      </c>
      <c r="R564" s="556">
        <f>G564-W564</f>
        <v/>
      </c>
      <c r="S564" s="523" t="n">
        <v>43889</v>
      </c>
      <c r="T564" s="522" t="inlineStr">
        <is>
          <t>INV200246</t>
        </is>
      </c>
      <c r="U564" s="522" t="inlineStr">
        <is>
          <t>L001-901905215</t>
        </is>
      </c>
      <c r="V564" s="522" t="inlineStr">
        <is>
          <t>វីអ៊ីស៊ិន (ខេមបូឌា) អ៊ិនដាសស្ទ្រី ឯ.ក</t>
        </is>
      </c>
      <c r="W564" s="556" t="n">
        <v>231990</v>
      </c>
    </row>
    <row r="565">
      <c r="A565" s="521" t="n">
        <v>557</v>
      </c>
      <c r="B565" s="522" t="n"/>
      <c r="C565" s="522" t="inlineStr">
        <is>
          <t>ខេមវីល គ្លូប៊ល ឯ.ក</t>
        </is>
      </c>
      <c r="D565" s="522" t="inlineStr">
        <is>
          <t>L001-901637190</t>
        </is>
      </c>
      <c r="E565" s="521" t="inlineStr">
        <is>
          <t>INV200245</t>
        </is>
      </c>
      <c r="F565" s="523" t="n">
        <v>43889</v>
      </c>
      <c r="G565" s="556" t="n">
        <v>223850</v>
      </c>
      <c r="I565" s="521">
        <f>G565</f>
        <v/>
      </c>
      <c r="K565" s="521">
        <f>I565-G565</f>
        <v/>
      </c>
      <c r="M565" s="522" t="inlineStr">
        <is>
          <t>INV200245</t>
        </is>
      </c>
      <c r="N565" s="522" t="inlineStr">
        <is>
          <t>INV200245</t>
        </is>
      </c>
      <c r="O565" s="521">
        <f>M565=N565</f>
        <v/>
      </c>
      <c r="P565" s="521">
        <f>AND(MONTH(F565)=MONTH(S565), YEAR(F565)=YEAR(S565))</f>
        <v/>
      </c>
      <c r="Q565" s="521">
        <f>U565="L001-901905215"</f>
        <v/>
      </c>
      <c r="R565" s="556">
        <f>G565-W565</f>
        <v/>
      </c>
      <c r="S565" s="523" t="n">
        <v>43889</v>
      </c>
      <c r="T565" s="522" t="inlineStr">
        <is>
          <t>INV200245</t>
        </is>
      </c>
      <c r="U565" s="522" t="inlineStr">
        <is>
          <t>L001-901905215</t>
        </is>
      </c>
      <c r="V565" s="522" t="inlineStr">
        <is>
          <t>វីអ៊ីស៊ិន (ខេមបូឌា) អ៊ិនដាសស្ទ្រី ឯ.ក</t>
        </is>
      </c>
      <c r="W565" s="556" t="n">
        <v>223850</v>
      </c>
    </row>
    <row r="566">
      <c r="A566" s="521" t="n">
        <v>558</v>
      </c>
      <c r="B566" s="522" t="n"/>
      <c r="C566" s="522" t="inlineStr">
        <is>
          <t>ខេមវីល គ្លូប៊ល ឯ.ក</t>
        </is>
      </c>
      <c r="D566" s="522" t="inlineStr">
        <is>
          <t>L001-901637190</t>
        </is>
      </c>
      <c r="E566" s="521" t="inlineStr">
        <is>
          <t>INV200244</t>
        </is>
      </c>
      <c r="F566" s="523" t="n">
        <v>43889</v>
      </c>
      <c r="G566" s="556" t="n">
        <v>252340</v>
      </c>
      <c r="I566" s="521">
        <f>G566</f>
        <v/>
      </c>
      <c r="K566" s="521">
        <f>I566-G566</f>
        <v/>
      </c>
      <c r="M566" s="522" t="inlineStr">
        <is>
          <t>INV200244</t>
        </is>
      </c>
      <c r="N566" s="522" t="inlineStr">
        <is>
          <t>INV200244</t>
        </is>
      </c>
      <c r="O566" s="521">
        <f>M566=N566</f>
        <v/>
      </c>
      <c r="P566" s="521">
        <f>AND(MONTH(F566)=MONTH(S566), YEAR(F566)=YEAR(S566))</f>
        <v/>
      </c>
      <c r="Q566" s="521">
        <f>U566="L001-901905215"</f>
        <v/>
      </c>
      <c r="R566" s="556">
        <f>G566-W566</f>
        <v/>
      </c>
      <c r="S566" s="523" t="n">
        <v>43889</v>
      </c>
      <c r="T566" s="522" t="inlineStr">
        <is>
          <t>INV200244</t>
        </is>
      </c>
      <c r="U566" s="522" t="inlineStr">
        <is>
          <t>L001-901905215</t>
        </is>
      </c>
      <c r="V566" s="522" t="inlineStr">
        <is>
          <t>វីអ៊ីស៊ិន (ខេមបូឌា) អ៊ិនដាសស្ទ្រី ឯ.ក</t>
        </is>
      </c>
      <c r="W566" s="556" t="n">
        <v>252340</v>
      </c>
    </row>
    <row r="567">
      <c r="A567" s="521" t="n">
        <v>559</v>
      </c>
      <c r="B567" s="522" t="n"/>
      <c r="C567" s="522" t="inlineStr">
        <is>
          <t>ខេមវីល គ្លូប៊ល ឯ.ក</t>
        </is>
      </c>
      <c r="D567" s="522" t="inlineStr">
        <is>
          <t>L001-901637190</t>
        </is>
      </c>
      <c r="E567" s="521" t="inlineStr">
        <is>
          <t>INV200206</t>
        </is>
      </c>
      <c r="F567" s="523" t="n">
        <v>43880</v>
      </c>
      <c r="G567" s="556" t="n">
        <v>93840</v>
      </c>
      <c r="I567" s="521">
        <f>G567</f>
        <v/>
      </c>
      <c r="K567" s="521">
        <f>I567-G567</f>
        <v/>
      </c>
      <c r="M567" s="522" t="inlineStr">
        <is>
          <t>INV200206</t>
        </is>
      </c>
      <c r="N567" s="522" t="inlineStr">
        <is>
          <t>INV200206</t>
        </is>
      </c>
      <c r="O567" s="521">
        <f>M567=N567</f>
        <v/>
      </c>
      <c r="P567" s="521">
        <f>AND(MONTH(F567)=MONTH(S567), YEAR(F567)=YEAR(S567))</f>
        <v/>
      </c>
      <c r="Q567" s="521">
        <f>U567="L001-901905215"</f>
        <v/>
      </c>
      <c r="R567" s="556">
        <f>G567-W567</f>
        <v/>
      </c>
      <c r="S567" s="523" t="n">
        <v>43880</v>
      </c>
      <c r="T567" s="522" t="inlineStr">
        <is>
          <t>INV200206</t>
        </is>
      </c>
      <c r="U567" s="522" t="inlineStr">
        <is>
          <t>L001-901905215</t>
        </is>
      </c>
      <c r="V567" s="522" t="inlineStr">
        <is>
          <t>វីអ៊ីស៊ិន (ខេមបូឌា) អ៊ិនដាសស្ទ្រី ឯ.ក</t>
        </is>
      </c>
      <c r="W567" s="556" t="n">
        <v>93610</v>
      </c>
    </row>
    <row r="568">
      <c r="A568" s="521" t="n">
        <v>560</v>
      </c>
      <c r="B568" s="522" t="n"/>
      <c r="C568" s="522" t="inlineStr">
        <is>
          <t>ខេមវីល គ្លូប៊ល ឯ.ក</t>
        </is>
      </c>
      <c r="D568" s="522" t="inlineStr">
        <is>
          <t>L001-901637190</t>
        </is>
      </c>
      <c r="E568" s="521" t="inlineStr">
        <is>
          <t>INV200205</t>
        </is>
      </c>
      <c r="F568" s="523" t="n">
        <v>43880</v>
      </c>
      <c r="G568" s="556" t="n">
        <v>93840</v>
      </c>
      <c r="I568" s="521">
        <f>G568</f>
        <v/>
      </c>
      <c r="K568" s="521">
        <f>I568-G568</f>
        <v/>
      </c>
      <c r="M568" s="522" t="inlineStr">
        <is>
          <t>INV200205</t>
        </is>
      </c>
      <c r="N568" s="522" t="inlineStr">
        <is>
          <t>INV200205</t>
        </is>
      </c>
      <c r="O568" s="521">
        <f>M568=N568</f>
        <v/>
      </c>
      <c r="P568" s="521">
        <f>AND(MONTH(F568)=MONTH(S568), YEAR(F568)=YEAR(S568))</f>
        <v/>
      </c>
      <c r="Q568" s="521">
        <f>U568="L001-901905215"</f>
        <v/>
      </c>
      <c r="R568" s="556">
        <f>G568-W568</f>
        <v/>
      </c>
      <c r="S568" s="523" t="n">
        <v>43880</v>
      </c>
      <c r="T568" s="522" t="inlineStr">
        <is>
          <t>INV200205</t>
        </is>
      </c>
      <c r="U568" s="522" t="inlineStr">
        <is>
          <t>L001-901905215</t>
        </is>
      </c>
      <c r="V568" s="522" t="inlineStr">
        <is>
          <t>វីអ៊ីស៊ិន (ខេមបូឌា) អ៊ិនដាសស្ទ្រី ឯ.ក</t>
        </is>
      </c>
      <c r="W568" s="556" t="n">
        <v>93610</v>
      </c>
    </row>
    <row r="569">
      <c r="A569" s="521" t="n">
        <v>561</v>
      </c>
      <c r="B569" s="522" t="n"/>
      <c r="C569" s="522" t="inlineStr">
        <is>
          <t>ខេមវីល គ្លូប៊ល ឯ.ក</t>
        </is>
      </c>
      <c r="D569" s="522" t="inlineStr">
        <is>
          <t>L001-901637190</t>
        </is>
      </c>
      <c r="E569" s="521" t="inlineStr">
        <is>
          <t>INV200176</t>
        </is>
      </c>
      <c r="F569" s="523" t="n">
        <v>43872</v>
      </c>
      <c r="G569" s="556" t="n">
        <v>232560</v>
      </c>
      <c r="I569" s="521">
        <f>G569</f>
        <v/>
      </c>
      <c r="K569" s="521">
        <f>I569-G569</f>
        <v/>
      </c>
      <c r="M569" s="522" t="inlineStr">
        <is>
          <t>INV200176</t>
        </is>
      </c>
      <c r="N569" s="522" t="inlineStr">
        <is>
          <t>INV200176</t>
        </is>
      </c>
      <c r="O569" s="521">
        <f>M569=N569</f>
        <v/>
      </c>
      <c r="P569" s="521">
        <f>AND(MONTH(F569)=MONTH(S569), YEAR(F569)=YEAR(S569))</f>
        <v/>
      </c>
      <c r="Q569" s="521">
        <f>U569="L001-901905215"</f>
        <v/>
      </c>
      <c r="R569" s="556">
        <f>G569-W569</f>
        <v/>
      </c>
      <c r="S569" s="523" t="n">
        <v>43872</v>
      </c>
      <c r="T569" s="522" t="inlineStr">
        <is>
          <t>INV200176</t>
        </is>
      </c>
      <c r="U569" s="522" t="inlineStr">
        <is>
          <t>L001-901905215</t>
        </is>
      </c>
      <c r="V569" s="522" t="inlineStr">
        <is>
          <t>វីអ៊ីស៊ិន (ខេមបូឌា) អ៊ិនដាសស្ទ្រី ឯ.ក</t>
        </is>
      </c>
      <c r="W569" s="556" t="n">
        <v>231990</v>
      </c>
    </row>
    <row r="570">
      <c r="A570" s="521" t="n">
        <v>562</v>
      </c>
      <c r="B570" s="522" t="n"/>
      <c r="C570" s="522" t="inlineStr">
        <is>
          <t>ខេមវីល គ្លូប៊ល ឯ.ក</t>
        </is>
      </c>
      <c r="D570" s="522" t="inlineStr">
        <is>
          <t>L001-901637190</t>
        </is>
      </c>
      <c r="E570" s="521" t="inlineStr">
        <is>
          <t>INV200175</t>
        </is>
      </c>
      <c r="F570" s="523" t="n">
        <v>43872</v>
      </c>
      <c r="G570" s="556" t="n">
        <v>456960</v>
      </c>
      <c r="I570" s="521">
        <f>G570</f>
        <v/>
      </c>
      <c r="K570" s="521">
        <f>I570-G570</f>
        <v/>
      </c>
      <c r="M570" s="522" t="inlineStr">
        <is>
          <t>INV200175</t>
        </is>
      </c>
      <c r="N570" s="522" t="inlineStr">
        <is>
          <t>INV200175</t>
        </is>
      </c>
      <c r="O570" s="521">
        <f>M570=N570</f>
        <v/>
      </c>
      <c r="P570" s="521">
        <f>AND(MONTH(F570)=MONTH(S570), YEAR(F570)=YEAR(S570))</f>
        <v/>
      </c>
      <c r="Q570" s="521">
        <f>U570="L001-901905215"</f>
        <v/>
      </c>
      <c r="R570" s="556">
        <f>G570-W570</f>
        <v/>
      </c>
      <c r="S570" s="523" t="n">
        <v>43872</v>
      </c>
      <c r="T570" s="522" t="inlineStr">
        <is>
          <t>INV200175</t>
        </is>
      </c>
      <c r="U570" s="522" t="inlineStr">
        <is>
          <t>L001-901905215</t>
        </is>
      </c>
      <c r="V570" s="522" t="inlineStr">
        <is>
          <t>វីអ៊ីស៊ិន (ខេមបូឌា) អ៊ិនដាសស្ទ្រី ឯ.ក</t>
        </is>
      </c>
      <c r="W570" s="556" t="n">
        <v>455840</v>
      </c>
    </row>
    <row r="571">
      <c r="A571" s="521" t="n">
        <v>563</v>
      </c>
      <c r="B571" s="522" t="n"/>
      <c r="C571" s="522" t="inlineStr">
        <is>
          <t>ខេមវីល គ្លូប៊ល ឯ.ក</t>
        </is>
      </c>
      <c r="D571" s="522" t="inlineStr">
        <is>
          <t>L001-901637190</t>
        </is>
      </c>
      <c r="E571" s="521" t="inlineStr">
        <is>
          <t>INV200174</t>
        </is>
      </c>
      <c r="F571" s="523" t="n">
        <v>43872</v>
      </c>
      <c r="G571" s="556" t="n">
        <v>232560</v>
      </c>
      <c r="I571" s="521">
        <f>G571</f>
        <v/>
      </c>
      <c r="K571" s="521">
        <f>I571-G571</f>
        <v/>
      </c>
      <c r="M571" s="522" t="inlineStr">
        <is>
          <t>INV200174</t>
        </is>
      </c>
      <c r="N571" s="522" t="inlineStr">
        <is>
          <t>INV200174</t>
        </is>
      </c>
      <c r="O571" s="521">
        <f>M571=N571</f>
        <v/>
      </c>
      <c r="P571" s="521">
        <f>AND(MONTH(F571)=MONTH(S571), YEAR(F571)=YEAR(S571))</f>
        <v/>
      </c>
      <c r="Q571" s="521">
        <f>U571="L001-901905215"</f>
        <v/>
      </c>
      <c r="R571" s="556">
        <f>G571-W571</f>
        <v/>
      </c>
      <c r="S571" s="523" t="n">
        <v>43872</v>
      </c>
      <c r="T571" s="522" t="inlineStr">
        <is>
          <t>INV200174</t>
        </is>
      </c>
      <c r="U571" s="522" t="inlineStr">
        <is>
          <t>L001-901905215</t>
        </is>
      </c>
      <c r="V571" s="522" t="inlineStr">
        <is>
          <t>វីអ៊ីស៊ិន (ខេមបូឌា) អ៊ិនដាសស្ទ្រី ឯ.ក</t>
        </is>
      </c>
      <c r="W571" s="556" t="n">
        <v>231990</v>
      </c>
    </row>
    <row r="572">
      <c r="A572" s="521" t="n">
        <v>564</v>
      </c>
      <c r="B572" s="522" t="n"/>
      <c r="C572" s="522" t="inlineStr">
        <is>
          <t>អឹមេហ្ស៊ីង ឡូជីស្ទីក &amp; សឹបផ្លាយ ឆេន (ខេមបូឌា) ឯ.ក</t>
        </is>
      </c>
      <c r="D572" s="522" t="inlineStr">
        <is>
          <t>K009-901703255</t>
        </is>
      </c>
      <c r="E572" s="521" t="inlineStr">
        <is>
          <t>200261</t>
        </is>
      </c>
      <c r="F572" s="523" t="n">
        <v>43874</v>
      </c>
      <c r="G572" s="556" t="n">
        <v>183600</v>
      </c>
      <c r="I572" s="521">
        <f>G572</f>
        <v/>
      </c>
      <c r="K572" s="521">
        <f>I572-G572</f>
        <v/>
      </c>
      <c r="M572" s="522" t="inlineStr">
        <is>
          <t>200261</t>
        </is>
      </c>
      <c r="N572" s="522" t="inlineStr">
        <is>
          <t>200261</t>
        </is>
      </c>
      <c r="O572" s="521">
        <f>M572=N572</f>
        <v/>
      </c>
      <c r="P572" s="521">
        <f>AND(MONTH(F572)=MONTH(S572), YEAR(F572)=YEAR(S572))</f>
        <v/>
      </c>
      <c r="Q572" s="521">
        <f>U572="L001-901905215"</f>
        <v/>
      </c>
      <c r="R572" s="556">
        <f>G572-W572</f>
        <v/>
      </c>
      <c r="S572" s="523" t="n">
        <v>43874</v>
      </c>
      <c r="T572" s="522" t="inlineStr">
        <is>
          <t>200261</t>
        </is>
      </c>
      <c r="U572" s="522" t="inlineStr">
        <is>
          <t>L001-901905215</t>
        </is>
      </c>
      <c r="V572" s="522" t="inlineStr">
        <is>
          <t>វីអ៊ីស៊ិន (ខេមបូឌា) អ៊ិនដាសស្ទ្រី ឯ.ក</t>
        </is>
      </c>
      <c r="W572" s="556" t="n">
        <v>183600</v>
      </c>
    </row>
    <row r="573">
      <c r="A573" s="521" t="n">
        <v>565</v>
      </c>
      <c r="B573" s="522" t="n"/>
      <c r="C573" s="522" t="inlineStr">
        <is>
          <t>កំពង់ផែស្វយ័តក្រុងព្រះសីហនុ</t>
        </is>
      </c>
      <c r="D573" s="522" t="inlineStr">
        <is>
          <t>L001-100044638</t>
        </is>
      </c>
      <c r="E573" s="521" t="inlineStr">
        <is>
          <t>023207</t>
        </is>
      </c>
      <c r="F573" s="523" t="n">
        <v>43868</v>
      </c>
      <c r="G573" s="556" t="n">
        <v>34188</v>
      </c>
      <c r="I573" s="521">
        <f>G573</f>
        <v/>
      </c>
      <c r="K573" s="521">
        <f>I573-G573</f>
        <v/>
      </c>
      <c r="M573" s="522" t="inlineStr">
        <is>
          <t>023207</t>
        </is>
      </c>
      <c r="N573" s="522" t="inlineStr"/>
      <c r="O573" s="521">
        <f>M573=N573</f>
        <v/>
      </c>
      <c r="P573" s="521">
        <f>AND(MONTH(F573)=MONTH(S573), YEAR(F573)=YEAR(S573))</f>
        <v/>
      </c>
      <c r="Q573" s="521">
        <f>U573="L001-901905215"</f>
        <v/>
      </c>
      <c r="R573" s="556">
        <f>G573-W573</f>
        <v/>
      </c>
      <c r="S573" s="521" t="n"/>
      <c r="T573" s="522" t="n"/>
      <c r="U573" s="522" t="n"/>
      <c r="V573" s="522" t="n"/>
      <c r="W573" s="521" t="n"/>
    </row>
    <row r="574">
      <c r="A574" s="521" t="n">
        <v>566</v>
      </c>
      <c r="B574" s="522" t="n"/>
      <c r="C574" s="522" t="inlineStr">
        <is>
          <t>ហុង ឡេង ហួរ</t>
        </is>
      </c>
      <c r="D574" s="522" t="inlineStr">
        <is>
          <t>L001-100068901</t>
        </is>
      </c>
      <c r="E574" s="521" t="inlineStr">
        <is>
          <t>DPS19155283</t>
        </is>
      </c>
      <c r="F574" s="523" t="n">
        <v>44228</v>
      </c>
      <c r="G574" s="556" t="n">
        <v>7387</v>
      </c>
      <c r="I574" s="521">
        <f>G574</f>
        <v/>
      </c>
      <c r="K574" s="521">
        <f>I574-G574</f>
        <v/>
      </c>
      <c r="M574" s="522" t="inlineStr">
        <is>
          <t>DPS19155283</t>
        </is>
      </c>
      <c r="N574" s="522" t="inlineStr"/>
      <c r="O574" s="521">
        <f>M574=N574</f>
        <v/>
      </c>
      <c r="P574" s="521">
        <f>AND(MONTH(F574)=MONTH(S574), YEAR(F574)=YEAR(S574))</f>
        <v/>
      </c>
      <c r="Q574" s="521">
        <f>U574="L001-901905215"</f>
        <v/>
      </c>
      <c r="R574" s="556">
        <f>G574-W574</f>
        <v/>
      </c>
      <c r="S574" s="521" t="n"/>
      <c r="T574" s="522" t="n"/>
      <c r="U574" s="522" t="n"/>
      <c r="V574" s="522" t="n"/>
      <c r="W574" s="521" t="n"/>
    </row>
    <row r="575">
      <c r="A575" s="521" t="n">
        <v>567</v>
      </c>
      <c r="B575" s="522" t="n"/>
      <c r="C575" s="522" t="inlineStr">
        <is>
          <t>ហុង ឡេង ហួរ</t>
        </is>
      </c>
      <c r="D575" s="522" t="inlineStr">
        <is>
          <t>L001-100068901</t>
        </is>
      </c>
      <c r="E575" s="521" t="inlineStr">
        <is>
          <t>DPS19155841</t>
        </is>
      </c>
      <c r="F575" s="523" t="n">
        <v>44228</v>
      </c>
      <c r="G575" s="556" t="n">
        <v>7387</v>
      </c>
      <c r="I575" s="521">
        <f>G575</f>
        <v/>
      </c>
      <c r="K575" s="521">
        <f>I575-G575</f>
        <v/>
      </c>
      <c r="M575" s="522" t="inlineStr">
        <is>
          <t>DPS19155841</t>
        </is>
      </c>
      <c r="N575" s="522" t="inlineStr"/>
      <c r="O575" s="521">
        <f>M575=N575</f>
        <v/>
      </c>
      <c r="P575" s="521">
        <f>AND(MONTH(F575)=MONTH(S575), YEAR(F575)=YEAR(S575))</f>
        <v/>
      </c>
      <c r="Q575" s="521">
        <f>U575="L001-901905215"</f>
        <v/>
      </c>
      <c r="R575" s="556">
        <f>G575-W575</f>
        <v/>
      </c>
      <c r="S575" s="521" t="n"/>
      <c r="T575" s="522" t="n"/>
      <c r="U575" s="522" t="n"/>
      <c r="V575" s="522" t="n"/>
      <c r="W575" s="521" t="n"/>
    </row>
    <row r="576">
      <c r="A576" s="521" t="n">
        <v>568</v>
      </c>
      <c r="B576" s="522" t="n"/>
      <c r="C576" s="522" t="inlineStr">
        <is>
          <t>ហុង ឡេង ហួរ</t>
        </is>
      </c>
      <c r="D576" s="522" t="inlineStr">
        <is>
          <t>L001-100068901</t>
        </is>
      </c>
      <c r="E576" s="521" t="inlineStr">
        <is>
          <t>DPS19154836</t>
        </is>
      </c>
      <c r="F576" s="523" t="n">
        <v>44228</v>
      </c>
      <c r="G576" s="556" t="n">
        <v>7369</v>
      </c>
      <c r="I576" s="521">
        <f>G576</f>
        <v/>
      </c>
      <c r="K576" s="521">
        <f>I576-G576</f>
        <v/>
      </c>
      <c r="M576" s="522" t="inlineStr">
        <is>
          <t>DPS19154836</t>
        </is>
      </c>
      <c r="N576" s="522" t="inlineStr"/>
      <c r="O576" s="521">
        <f>M576=N576</f>
        <v/>
      </c>
      <c r="P576" s="521">
        <f>AND(MONTH(F576)=MONTH(S576), YEAR(F576)=YEAR(S576))</f>
        <v/>
      </c>
      <c r="Q576" s="521">
        <f>U576="L001-901905215"</f>
        <v/>
      </c>
      <c r="R576" s="556">
        <f>G576-W576</f>
        <v/>
      </c>
      <c r="S576" s="521" t="n"/>
      <c r="T576" s="522" t="n"/>
      <c r="U576" s="522" t="n"/>
      <c r="V576" s="522" t="n"/>
      <c r="W576" s="521" t="n"/>
    </row>
    <row r="577">
      <c r="A577" s="521" t="n">
        <v>569</v>
      </c>
      <c r="B577" s="522" t="n"/>
      <c r="C577" s="522" t="inlineStr">
        <is>
          <t>ហុង ឡេង ហួរ</t>
        </is>
      </c>
      <c r="D577" s="522" t="inlineStr">
        <is>
          <t>L001-100068901</t>
        </is>
      </c>
      <c r="E577" s="521" t="inlineStr">
        <is>
          <t>DPS19154837</t>
        </is>
      </c>
      <c r="F577" s="523" t="n">
        <v>44228</v>
      </c>
      <c r="G577" s="556" t="n">
        <v>7369</v>
      </c>
      <c r="I577" s="521">
        <f>G577</f>
        <v/>
      </c>
      <c r="K577" s="521">
        <f>I577-G577</f>
        <v/>
      </c>
      <c r="M577" s="522" t="inlineStr">
        <is>
          <t>DPS19154837</t>
        </is>
      </c>
      <c r="N577" s="522" t="inlineStr"/>
      <c r="O577" s="521">
        <f>M577=N577</f>
        <v/>
      </c>
      <c r="P577" s="521">
        <f>AND(MONTH(F577)=MONTH(S577), YEAR(F577)=YEAR(S577))</f>
        <v/>
      </c>
      <c r="Q577" s="521">
        <f>U577="L001-901905215"</f>
        <v/>
      </c>
      <c r="R577" s="556">
        <f>G577-W577</f>
        <v/>
      </c>
      <c r="S577" s="521" t="n"/>
      <c r="T577" s="522" t="n"/>
      <c r="U577" s="522" t="n"/>
      <c r="V577" s="522" t="n"/>
      <c r="W577" s="521" t="n"/>
    </row>
    <row r="578">
      <c r="A578" s="521" t="n">
        <v>570</v>
      </c>
      <c r="B578" s="522" t="n"/>
      <c r="C578" s="522" t="inlineStr">
        <is>
          <t>ហុង ឡេង ហួរ</t>
        </is>
      </c>
      <c r="D578" s="522" t="inlineStr">
        <is>
          <t>L001-100068901</t>
        </is>
      </c>
      <c r="E578" s="521" t="inlineStr">
        <is>
          <t>DPS19154838</t>
        </is>
      </c>
      <c r="F578" s="523" t="n">
        <v>44228</v>
      </c>
      <c r="G578" s="556" t="n">
        <v>7369</v>
      </c>
      <c r="I578" s="521">
        <f>G578</f>
        <v/>
      </c>
      <c r="K578" s="521">
        <f>I578-G578</f>
        <v/>
      </c>
      <c r="M578" s="522" t="inlineStr">
        <is>
          <t>DPS19154838</t>
        </is>
      </c>
      <c r="N578" s="522" t="inlineStr"/>
      <c r="O578" s="521">
        <f>M578=N578</f>
        <v/>
      </c>
      <c r="P578" s="521">
        <f>AND(MONTH(F578)=MONTH(S578), YEAR(F578)=YEAR(S578))</f>
        <v/>
      </c>
      <c r="Q578" s="521">
        <f>U578="L001-901905215"</f>
        <v/>
      </c>
      <c r="R578" s="556">
        <f>G578-W578</f>
        <v/>
      </c>
      <c r="S578" s="521" t="n"/>
      <c r="T578" s="522" t="n"/>
      <c r="U578" s="522" t="n"/>
      <c r="V578" s="522" t="n"/>
      <c r="W578" s="521" t="n"/>
    </row>
    <row r="579">
      <c r="A579" s="521" t="n">
        <v>571</v>
      </c>
      <c r="B579" s="522" t="n"/>
      <c r="C579" s="522" t="inlineStr">
        <is>
          <t>ហុង ឡេង ហួរ</t>
        </is>
      </c>
      <c r="D579" s="522" t="inlineStr">
        <is>
          <t>L001-100068901</t>
        </is>
      </c>
      <c r="E579" s="521" t="inlineStr">
        <is>
          <t>DPS19154839</t>
        </is>
      </c>
      <c r="F579" s="523" t="n">
        <v>44228</v>
      </c>
      <c r="G579" s="556" t="n">
        <v>7369</v>
      </c>
      <c r="I579" s="521">
        <f>G579</f>
        <v/>
      </c>
      <c r="K579" s="521">
        <f>I579-G579</f>
        <v/>
      </c>
      <c r="M579" s="522" t="inlineStr">
        <is>
          <t>DPS19154839</t>
        </is>
      </c>
      <c r="N579" s="522" t="inlineStr"/>
      <c r="O579" s="521">
        <f>M579=N579</f>
        <v/>
      </c>
      <c r="P579" s="521">
        <f>AND(MONTH(F579)=MONTH(S579), YEAR(F579)=YEAR(S579))</f>
        <v/>
      </c>
      <c r="Q579" s="521">
        <f>U579="L001-901905215"</f>
        <v/>
      </c>
      <c r="R579" s="556">
        <f>G579-W579</f>
        <v/>
      </c>
      <c r="S579" s="521" t="n"/>
      <c r="T579" s="522" t="n"/>
      <c r="U579" s="522" t="n"/>
      <c r="V579" s="522" t="n"/>
      <c r="W579" s="521" t="n"/>
    </row>
    <row r="580">
      <c r="A580" s="521" t="n">
        <v>572</v>
      </c>
      <c r="B580" s="522" t="n"/>
      <c r="C580" s="522" t="inlineStr">
        <is>
          <t>ហុង ឡេង ហួរ</t>
        </is>
      </c>
      <c r="D580" s="522" t="inlineStr">
        <is>
          <t>L001-100068901</t>
        </is>
      </c>
      <c r="E580" s="521" t="inlineStr">
        <is>
          <t>DPS19157514</t>
        </is>
      </c>
      <c r="F580" s="523" t="n">
        <v>44252</v>
      </c>
      <c r="G580" s="556" t="n">
        <v>5551</v>
      </c>
      <c r="I580" s="521">
        <f>G580</f>
        <v/>
      </c>
      <c r="K580" s="521">
        <f>I580-G580</f>
        <v/>
      </c>
      <c r="M580" s="522" t="inlineStr">
        <is>
          <t>DPS19157514</t>
        </is>
      </c>
      <c r="N580" s="522" t="inlineStr"/>
      <c r="O580" s="521">
        <f>M580=N580</f>
        <v/>
      </c>
      <c r="P580" s="521">
        <f>AND(MONTH(F580)=MONTH(S580), YEAR(F580)=YEAR(S580))</f>
        <v/>
      </c>
      <c r="Q580" s="521">
        <f>U580="L001-901905215"</f>
        <v/>
      </c>
      <c r="R580" s="556">
        <f>G580-W580</f>
        <v/>
      </c>
      <c r="S580" s="521" t="n"/>
      <c r="T580" s="522" t="n"/>
      <c r="U580" s="522" t="n"/>
      <c r="V580" s="522" t="n"/>
      <c r="W580" s="521" t="n"/>
    </row>
    <row r="581">
      <c r="A581" s="521" t="n">
        <v>573</v>
      </c>
      <c r="B581" s="522" t="n"/>
      <c r="C581" s="522" t="inlineStr">
        <is>
          <t>កំពង់ផែស្វយ័តភ្នំពេញ "ក.ស.ភ"</t>
        </is>
      </c>
      <c r="D581" s="522" t="inlineStr">
        <is>
          <t>L001-100044999</t>
        </is>
      </c>
      <c r="E581" s="521" t="inlineStr">
        <is>
          <t>INV20210211347</t>
        </is>
      </c>
      <c r="F581" s="523" t="n">
        <v>44254</v>
      </c>
      <c r="G581" s="556" t="n">
        <v>29112</v>
      </c>
      <c r="I581" s="521">
        <f>G581</f>
        <v/>
      </c>
      <c r="K581" s="521">
        <f>I581-G581</f>
        <v/>
      </c>
      <c r="M581" s="522" t="inlineStr">
        <is>
          <t>INV20210211347</t>
        </is>
      </c>
      <c r="N581" s="522" t="inlineStr"/>
      <c r="O581" s="521">
        <f>M581=N581</f>
        <v/>
      </c>
      <c r="P581" s="521">
        <f>AND(MONTH(F581)=MONTH(S581), YEAR(F581)=YEAR(S581))</f>
        <v/>
      </c>
      <c r="Q581" s="521">
        <f>U581="L001-901905215"</f>
        <v/>
      </c>
      <c r="R581" s="556">
        <f>G581-W581</f>
        <v/>
      </c>
      <c r="S581" s="521" t="n"/>
      <c r="T581" s="522" t="n"/>
      <c r="U581" s="522" t="n"/>
      <c r="V581" s="522" t="n"/>
      <c r="W581" s="521" t="n"/>
    </row>
    <row r="582">
      <c r="A582" s="521" t="n">
        <v>574</v>
      </c>
      <c r="B582" s="522" t="n"/>
      <c r="C582" s="522" t="inlineStr">
        <is>
          <t>កំពង់ផែស្វយ័តភ្នំពេញ "ក.ស.ភ"</t>
        </is>
      </c>
      <c r="D582" s="522" t="inlineStr">
        <is>
          <t>L001-100044999</t>
        </is>
      </c>
      <c r="E582" s="521" t="inlineStr">
        <is>
          <t>INV20210211350</t>
        </is>
      </c>
      <c r="F582" s="523" t="n">
        <v>44254</v>
      </c>
      <c r="G582" s="556" t="n">
        <v>29112</v>
      </c>
      <c r="I582" s="521">
        <f>G582</f>
        <v/>
      </c>
      <c r="K582" s="521">
        <f>I582-G582</f>
        <v/>
      </c>
      <c r="M582" s="522" t="inlineStr">
        <is>
          <t>INV20210211350</t>
        </is>
      </c>
      <c r="N582" s="522" t="inlineStr"/>
      <c r="O582" s="521">
        <f>M582=N582</f>
        <v/>
      </c>
      <c r="P582" s="521">
        <f>AND(MONTH(F582)=MONTH(S582), YEAR(F582)=YEAR(S582))</f>
        <v/>
      </c>
      <c r="Q582" s="521">
        <f>U582="L001-901905215"</f>
        <v/>
      </c>
      <c r="R582" s="556">
        <f>G582-W582</f>
        <v/>
      </c>
      <c r="S582" s="521" t="n"/>
      <c r="T582" s="522" t="n"/>
      <c r="U582" s="522" t="n"/>
      <c r="V582" s="522" t="n"/>
      <c r="W582" s="521" t="n"/>
    </row>
    <row r="583">
      <c r="A583" s="521" t="n">
        <v>575</v>
      </c>
      <c r="B583" s="522" t="n"/>
      <c r="C583" s="522" t="inlineStr">
        <is>
          <t>56ប៊ី-លីង សឹបផ្លាយ ឆេន មេនេចម៉ិន ឯ.ក</t>
        </is>
      </c>
      <c r="D583" s="522" t="inlineStr">
        <is>
          <t>K004-902004795</t>
        </is>
      </c>
      <c r="E583" s="521" t="inlineStr">
        <is>
          <t>IN202102-0154</t>
        </is>
      </c>
      <c r="F583" s="523" t="n">
        <v>44252</v>
      </c>
      <c r="G583" s="556" t="n">
        <v>911904</v>
      </c>
      <c r="I583" s="521">
        <f>G583</f>
        <v/>
      </c>
      <c r="K583" s="521">
        <f>I583-G583</f>
        <v/>
      </c>
      <c r="M583" s="522" t="inlineStr">
        <is>
          <t>IN2021020154</t>
        </is>
      </c>
      <c r="N583" s="522" t="inlineStr"/>
      <c r="O583" s="521">
        <f>M583=N583</f>
        <v/>
      </c>
      <c r="P583" s="521">
        <f>AND(MONTH(F583)=MONTH(S583), YEAR(F583)=YEAR(S583))</f>
        <v/>
      </c>
      <c r="Q583" s="521">
        <f>U583="L001-901905215"</f>
        <v/>
      </c>
      <c r="R583" s="556">
        <f>G583-W583</f>
        <v/>
      </c>
      <c r="S583" s="521" t="n"/>
      <c r="T583" s="522" t="n"/>
      <c r="U583" s="522" t="n"/>
      <c r="V583" s="522" t="n"/>
      <c r="W583" s="521" t="n"/>
    </row>
    <row r="584">
      <c r="A584" s="521" t="n">
        <v>576</v>
      </c>
      <c r="B584" s="522" t="n"/>
      <c r="C584" s="522" t="inlineStr">
        <is>
          <t>56ប៊ី-លីង សឹបផ្លាយ ឆេន មេនេចម៉ិន ឯ.ក</t>
        </is>
      </c>
      <c r="D584" s="522" t="inlineStr">
        <is>
          <t>K004-902004795</t>
        </is>
      </c>
      <c r="E584" s="521" t="inlineStr">
        <is>
          <t>IN202102-0153</t>
        </is>
      </c>
      <c r="F584" s="523" t="n">
        <v>44252</v>
      </c>
      <c r="G584" s="556" t="n">
        <v>484449</v>
      </c>
      <c r="I584" s="521">
        <f>G584</f>
        <v/>
      </c>
      <c r="K584" s="521">
        <f>I584-G584</f>
        <v/>
      </c>
      <c r="M584" s="522" t="inlineStr">
        <is>
          <t>IN2021020153</t>
        </is>
      </c>
      <c r="N584" s="522" t="inlineStr"/>
      <c r="O584" s="521">
        <f>M584=N584</f>
        <v/>
      </c>
      <c r="P584" s="521">
        <f>AND(MONTH(F584)=MONTH(S584), YEAR(F584)=YEAR(S584))</f>
        <v/>
      </c>
      <c r="Q584" s="521">
        <f>U584="L001-901905215"</f>
        <v/>
      </c>
      <c r="R584" s="556">
        <f>G584-W584</f>
        <v/>
      </c>
      <c r="S584" s="521" t="n"/>
      <c r="T584" s="522" t="n"/>
      <c r="U584" s="522" t="n"/>
      <c r="V584" s="522" t="n"/>
      <c r="W584" s="521" t="n"/>
    </row>
    <row r="585">
      <c r="A585" s="521" t="n">
        <v>577</v>
      </c>
      <c r="B585" s="522" t="n"/>
      <c r="C585" s="522" t="inlineStr">
        <is>
          <t>56ប៊ី-លីង សឹបផ្លាយ ឆេន មេនេចម៉ិន ឯ.ក</t>
        </is>
      </c>
      <c r="D585" s="522" t="inlineStr">
        <is>
          <t>K004-902004795</t>
        </is>
      </c>
      <c r="E585" s="521" t="inlineStr">
        <is>
          <t>IN202102-0152</t>
        </is>
      </c>
      <c r="F585" s="523" t="n">
        <v>44252</v>
      </c>
      <c r="G585" s="556" t="n">
        <v>270722</v>
      </c>
      <c r="I585" s="521">
        <f>G585</f>
        <v/>
      </c>
      <c r="K585" s="521">
        <f>I585-G585</f>
        <v/>
      </c>
      <c r="M585" s="522" t="inlineStr">
        <is>
          <t>IN2021020152</t>
        </is>
      </c>
      <c r="N585" s="522" t="inlineStr"/>
      <c r="O585" s="521">
        <f>M585=N585</f>
        <v/>
      </c>
      <c r="P585" s="521">
        <f>AND(MONTH(F585)=MONTH(S585), YEAR(F585)=YEAR(S585))</f>
        <v/>
      </c>
      <c r="Q585" s="521">
        <f>U585="L001-901905215"</f>
        <v/>
      </c>
      <c r="R585" s="556">
        <f>G585-W585</f>
        <v/>
      </c>
      <c r="S585" s="521" t="n"/>
      <c r="T585" s="522" t="n"/>
      <c r="U585" s="522" t="n"/>
      <c r="V585" s="522" t="n"/>
      <c r="W585" s="521" t="n"/>
    </row>
    <row r="586">
      <c r="A586" s="521" t="n">
        <v>578</v>
      </c>
      <c r="B586" s="522" t="n"/>
      <c r="C586" s="522" t="inlineStr">
        <is>
          <t>56ប៊ី-លីង សឹបផ្លាយ ឆេន មេនេចម៉ិន ឯ.ក</t>
        </is>
      </c>
      <c r="D586" s="522" t="inlineStr">
        <is>
          <t>K004-902004795</t>
        </is>
      </c>
      <c r="E586" s="521" t="inlineStr">
        <is>
          <t>IN202102-0151</t>
        </is>
      </c>
      <c r="F586" s="523" t="n">
        <v>44252</v>
      </c>
      <c r="G586" s="556" t="n">
        <v>266651</v>
      </c>
      <c r="I586" s="521">
        <f>G586</f>
        <v/>
      </c>
      <c r="K586" s="521">
        <f>I586-G586</f>
        <v/>
      </c>
      <c r="M586" s="522" t="inlineStr">
        <is>
          <t>IN2021020151</t>
        </is>
      </c>
      <c r="N586" s="522" t="inlineStr"/>
      <c r="O586" s="521">
        <f>M586=N586</f>
        <v/>
      </c>
      <c r="P586" s="521">
        <f>AND(MONTH(F586)=MONTH(S586), YEAR(F586)=YEAR(S586))</f>
        <v/>
      </c>
      <c r="Q586" s="521">
        <f>U586="L001-901905215"</f>
        <v/>
      </c>
      <c r="R586" s="556">
        <f>G586-W586</f>
        <v/>
      </c>
      <c r="S586" s="521" t="n"/>
      <c r="T586" s="522" t="n"/>
      <c r="U586" s="522" t="n"/>
      <c r="V586" s="522" t="n"/>
      <c r="W586" s="521" t="n"/>
    </row>
    <row r="587">
      <c r="A587" s="521" t="n">
        <v>579</v>
      </c>
      <c r="B587" s="522" t="n"/>
      <c r="C587" s="522" t="inlineStr">
        <is>
          <t>56ប៊ី-លីង សឹបផ្លាយ ឆេន មេនេចម៉ិន ឯ.ក</t>
        </is>
      </c>
      <c r="D587" s="522" t="inlineStr">
        <is>
          <t>K004-902004795</t>
        </is>
      </c>
      <c r="E587" s="521" t="inlineStr">
        <is>
          <t>IN202102-0149</t>
        </is>
      </c>
      <c r="F587" s="523" t="n">
        <v>44252</v>
      </c>
      <c r="G587" s="556" t="n">
        <v>270722</v>
      </c>
      <c r="I587" s="521">
        <f>G587</f>
        <v/>
      </c>
      <c r="K587" s="521">
        <f>I587-G587</f>
        <v/>
      </c>
      <c r="M587" s="522" t="inlineStr">
        <is>
          <t>IN2021020149</t>
        </is>
      </c>
      <c r="N587" s="522" t="inlineStr"/>
      <c r="O587" s="521">
        <f>M587=N587</f>
        <v/>
      </c>
      <c r="P587" s="521">
        <f>AND(MONTH(F587)=MONTH(S587), YEAR(F587)=YEAR(S587))</f>
        <v/>
      </c>
      <c r="Q587" s="521">
        <f>U587="L001-901905215"</f>
        <v/>
      </c>
      <c r="R587" s="556">
        <f>G587-W587</f>
        <v/>
      </c>
      <c r="S587" s="521" t="n"/>
      <c r="T587" s="522" t="n"/>
      <c r="U587" s="522" t="n"/>
      <c r="V587" s="522" t="n"/>
      <c r="W587" s="521" t="n"/>
    </row>
    <row r="588">
      <c r="A588" s="521" t="n">
        <v>580</v>
      </c>
      <c r="B588" s="522" t="n"/>
      <c r="C588" s="522" t="inlineStr">
        <is>
          <t>56ប៊ី-លីង សឹបផ្លាយ ឆេន មេនេចម៉ិន ឯ.ក</t>
        </is>
      </c>
      <c r="D588" s="522" t="inlineStr">
        <is>
          <t>K004-902004795</t>
        </is>
      </c>
      <c r="E588" s="521" t="inlineStr">
        <is>
          <t>IN202102-0147</t>
        </is>
      </c>
      <c r="F588" s="523" t="n">
        <v>44252</v>
      </c>
      <c r="G588" s="556" t="n">
        <v>303290</v>
      </c>
      <c r="I588" s="521">
        <f>G588</f>
        <v/>
      </c>
      <c r="K588" s="521">
        <f>I588-G588</f>
        <v/>
      </c>
      <c r="M588" s="522" t="inlineStr">
        <is>
          <t>IN2021020147</t>
        </is>
      </c>
      <c r="N588" s="522" t="inlineStr"/>
      <c r="O588" s="521">
        <f>M588=N588</f>
        <v/>
      </c>
      <c r="P588" s="521">
        <f>AND(MONTH(F588)=MONTH(S588), YEAR(F588)=YEAR(S588))</f>
        <v/>
      </c>
      <c r="Q588" s="521">
        <f>U588="L001-901905215"</f>
        <v/>
      </c>
      <c r="R588" s="556">
        <f>G588-W588</f>
        <v/>
      </c>
      <c r="S588" s="521" t="n"/>
      <c r="T588" s="522" t="n"/>
      <c r="U588" s="522" t="n"/>
      <c r="V588" s="522" t="n"/>
      <c r="W588" s="521" t="n"/>
    </row>
    <row r="589">
      <c r="A589" s="521" t="n">
        <v>581</v>
      </c>
      <c r="B589" s="522" t="n"/>
      <c r="C589" s="522" t="inlineStr">
        <is>
          <t>56ប៊ី-លីង សឹបផ្លាយ ឆេន មេនេចម៉ិន ឯ.ក</t>
        </is>
      </c>
      <c r="D589" s="522" t="inlineStr">
        <is>
          <t>K004-902004795</t>
        </is>
      </c>
      <c r="E589" s="521" t="inlineStr">
        <is>
          <t>IN202102-0140</t>
        </is>
      </c>
      <c r="F589" s="523" t="n">
        <v>44252</v>
      </c>
      <c r="G589" s="556" t="n">
        <v>73278</v>
      </c>
      <c r="I589" s="521">
        <f>G589</f>
        <v/>
      </c>
      <c r="K589" s="521">
        <f>I589-G589</f>
        <v/>
      </c>
      <c r="M589" s="522" t="inlineStr">
        <is>
          <t>IN2021020140</t>
        </is>
      </c>
      <c r="N589" s="522" t="inlineStr"/>
      <c r="O589" s="521">
        <f>M589=N589</f>
        <v/>
      </c>
      <c r="P589" s="521">
        <f>AND(MONTH(F589)=MONTH(S589), YEAR(F589)=YEAR(S589))</f>
        <v/>
      </c>
      <c r="Q589" s="521">
        <f>U589="L001-901905215"</f>
        <v/>
      </c>
      <c r="R589" s="556">
        <f>G589-W589</f>
        <v/>
      </c>
      <c r="S589" s="521" t="n"/>
      <c r="T589" s="522" t="n"/>
      <c r="U589" s="522" t="n"/>
      <c r="V589" s="522" t="n"/>
      <c r="W589" s="521" t="n"/>
    </row>
    <row r="590">
      <c r="A590" s="521" t="n">
        <v>582</v>
      </c>
      <c r="B590" s="522" t="n"/>
      <c r="C590" s="522" t="inlineStr">
        <is>
          <t>56ប៊ី-លីង សឹបផ្លាយ ឆេន មេនេចម៉ិន ឯ.ក</t>
        </is>
      </c>
      <c r="D590" s="522" t="inlineStr">
        <is>
          <t>K004-902004795</t>
        </is>
      </c>
      <c r="E590" s="521" t="inlineStr">
        <is>
          <t>IN202102-0128</t>
        </is>
      </c>
      <c r="F590" s="523" t="n">
        <v>44252</v>
      </c>
      <c r="G590" s="556" t="n">
        <v>270722</v>
      </c>
      <c r="I590" s="521">
        <f>G590</f>
        <v/>
      </c>
      <c r="K590" s="521">
        <f>I590-G590</f>
        <v/>
      </c>
      <c r="M590" s="522" t="inlineStr">
        <is>
          <t>IN2021020128</t>
        </is>
      </c>
      <c r="N590" s="522" t="inlineStr"/>
      <c r="O590" s="521">
        <f>M590=N590</f>
        <v/>
      </c>
      <c r="P590" s="521">
        <f>AND(MONTH(F590)=MONTH(S590), YEAR(F590)=YEAR(S590))</f>
        <v/>
      </c>
      <c r="Q590" s="521">
        <f>U590="L001-901905215"</f>
        <v/>
      </c>
      <c r="R590" s="556">
        <f>G590-W590</f>
        <v/>
      </c>
      <c r="S590" s="521" t="n"/>
      <c r="T590" s="522" t="n"/>
      <c r="U590" s="522" t="n"/>
      <c r="V590" s="522" t="n"/>
      <c r="W590" s="521" t="n"/>
    </row>
    <row r="591">
      <c r="A591" s="521" t="n">
        <v>583</v>
      </c>
      <c r="B591" s="522" t="n"/>
      <c r="C591" s="522" t="inlineStr">
        <is>
          <t>56ប៊ី-លីង សឹបផ្លាយ ឆេន មេនេចម៉ិន ឯ.ក</t>
        </is>
      </c>
      <c r="D591" s="522" t="inlineStr">
        <is>
          <t>K004-902004795</t>
        </is>
      </c>
      <c r="E591" s="521" t="inlineStr">
        <is>
          <t>IN202102-0127</t>
        </is>
      </c>
      <c r="F591" s="523" t="n">
        <v>44252</v>
      </c>
      <c r="G591" s="556" t="n">
        <v>484449</v>
      </c>
      <c r="I591" s="521">
        <f>G591</f>
        <v/>
      </c>
      <c r="K591" s="521">
        <f>I591-G591</f>
        <v/>
      </c>
      <c r="M591" s="522" t="inlineStr">
        <is>
          <t>IN2021020127</t>
        </is>
      </c>
      <c r="N591" s="522" t="inlineStr"/>
      <c r="O591" s="521">
        <f>M591=N591</f>
        <v/>
      </c>
      <c r="P591" s="521">
        <f>AND(MONTH(F591)=MONTH(S591), YEAR(F591)=YEAR(S591))</f>
        <v/>
      </c>
      <c r="Q591" s="521">
        <f>U591="L001-901905215"</f>
        <v/>
      </c>
      <c r="R591" s="556">
        <f>G591-W591</f>
        <v/>
      </c>
      <c r="S591" s="521" t="n"/>
      <c r="T591" s="522" t="n"/>
      <c r="U591" s="522" t="n"/>
      <c r="V591" s="522" t="n"/>
      <c r="W591" s="521" t="n"/>
    </row>
    <row r="592">
      <c r="A592" s="521" t="n">
        <v>584</v>
      </c>
      <c r="B592" s="522" t="n"/>
      <c r="C592" s="522" t="inlineStr">
        <is>
          <t>សូស៊ីយេតេ កុងសេស្យូនែរ ដឺ ឡាអេរ៉ូព័រ</t>
        </is>
      </c>
      <c r="D592" s="522" t="inlineStr">
        <is>
          <t>L001-100047300</t>
        </is>
      </c>
      <c r="E592" s="521" t="inlineStr">
        <is>
          <t>2100011390</t>
        </is>
      </c>
      <c r="F592" s="523" t="n">
        <v>44229</v>
      </c>
      <c r="G592" s="556" t="n">
        <v>56679</v>
      </c>
      <c r="I592" s="521">
        <f>G592</f>
        <v/>
      </c>
      <c r="K592" s="521">
        <f>I592-G592</f>
        <v/>
      </c>
      <c r="M592" s="522" t="inlineStr">
        <is>
          <t>2100011390</t>
        </is>
      </c>
      <c r="N592" s="522" t="inlineStr"/>
      <c r="O592" s="521">
        <f>M592=N592</f>
        <v/>
      </c>
      <c r="P592" s="521">
        <f>AND(MONTH(F592)=MONTH(S592), YEAR(F592)=YEAR(S592))</f>
        <v/>
      </c>
      <c r="Q592" s="521">
        <f>U592="L001-901905215"</f>
        <v/>
      </c>
      <c r="R592" s="556">
        <f>G592-W592</f>
        <v/>
      </c>
      <c r="S592" s="521" t="n"/>
      <c r="T592" s="522" t="n"/>
      <c r="U592" s="522" t="n"/>
      <c r="V592" s="522" t="n"/>
      <c r="W592" s="521" t="n"/>
    </row>
    <row r="593">
      <c r="A593" s="521" t="n">
        <v>585</v>
      </c>
      <c r="B593" s="522" t="n"/>
      <c r="C593" s="522" t="inlineStr">
        <is>
          <t>កំពង់ផែស្វយ័តភ្នំពេញ "ក.ស.ភ"</t>
        </is>
      </c>
      <c r="D593" s="522" t="inlineStr">
        <is>
          <t>L001-100044999</t>
        </is>
      </c>
      <c r="E593" s="521" t="inlineStr">
        <is>
          <t>INV20210211337</t>
        </is>
      </c>
      <c r="F593" s="523" t="n">
        <v>44254</v>
      </c>
      <c r="G593" s="556" t="n">
        <v>19420</v>
      </c>
      <c r="I593" s="521">
        <f>G593</f>
        <v/>
      </c>
      <c r="K593" s="521">
        <f>I593-G593</f>
        <v/>
      </c>
      <c r="M593" s="522" t="inlineStr">
        <is>
          <t>INV20210211337</t>
        </is>
      </c>
      <c r="N593" s="522" t="inlineStr"/>
      <c r="O593" s="521">
        <f>M593=N593</f>
        <v/>
      </c>
      <c r="P593" s="521">
        <f>AND(MONTH(F593)=MONTH(S593), YEAR(F593)=YEAR(S593))</f>
        <v/>
      </c>
      <c r="Q593" s="521">
        <f>U593="L001-901905215"</f>
        <v/>
      </c>
      <c r="R593" s="556">
        <f>G593-W593</f>
        <v/>
      </c>
      <c r="S593" s="521" t="n"/>
      <c r="T593" s="522" t="n"/>
      <c r="U593" s="522" t="n"/>
      <c r="V593" s="522" t="n"/>
      <c r="W593" s="521" t="n"/>
    </row>
    <row r="594">
      <c r="A594" s="521" t="n">
        <v>586</v>
      </c>
      <c r="B594" s="522" t="n"/>
      <c r="C594" s="522" t="inlineStr">
        <is>
          <t>សូស៊ីយេតេ កុងសេស្យូនែរ ដឺ ឡាអេរ៉ូព័រ</t>
        </is>
      </c>
      <c r="D594" s="522" t="inlineStr">
        <is>
          <t>L001-100047300</t>
        </is>
      </c>
      <c r="E594" s="521" t="inlineStr">
        <is>
          <t>2100009720</t>
        </is>
      </c>
      <c r="F594" s="523" t="n">
        <v>44250</v>
      </c>
      <c r="G594" s="556" t="n">
        <v>3515</v>
      </c>
      <c r="I594" s="521">
        <f>G594</f>
        <v/>
      </c>
      <c r="K594" s="521">
        <f>I594-G594</f>
        <v/>
      </c>
      <c r="M594" s="522" t="inlineStr">
        <is>
          <t>2100009720</t>
        </is>
      </c>
      <c r="N594" s="522" t="inlineStr"/>
      <c r="O594" s="521">
        <f>M594=N594</f>
        <v/>
      </c>
      <c r="P594" s="521">
        <f>AND(MONTH(F594)=MONTH(S594), YEAR(F594)=YEAR(S594))</f>
        <v/>
      </c>
      <c r="Q594" s="521">
        <f>U594="L001-901905215"</f>
        <v/>
      </c>
      <c r="R594" s="556">
        <f>G594-W594</f>
        <v/>
      </c>
      <c r="S594" s="521" t="n"/>
      <c r="T594" s="522" t="n"/>
      <c r="U594" s="522" t="n"/>
      <c r="V594" s="522" t="n"/>
      <c r="W594" s="521" t="n"/>
    </row>
    <row r="595">
      <c r="A595" s="521" t="n">
        <v>587</v>
      </c>
      <c r="B595" s="522" t="n"/>
      <c r="C595" s="522" t="inlineStr">
        <is>
          <t>កំពង់ផែស្វយ័តភ្នំពេញ "ក.ស.ភ"</t>
        </is>
      </c>
      <c r="D595" s="522" t="inlineStr">
        <is>
          <t>L001-100044999</t>
        </is>
      </c>
      <c r="E595" s="521" t="inlineStr">
        <is>
          <t>INV20210211338</t>
        </is>
      </c>
      <c r="F595" s="523" t="n">
        <v>44254</v>
      </c>
      <c r="G595" s="556" t="n">
        <v>29112</v>
      </c>
      <c r="I595" s="521">
        <f>G595</f>
        <v/>
      </c>
      <c r="K595" s="521">
        <f>I595-G595</f>
        <v/>
      </c>
      <c r="M595" s="522" t="inlineStr">
        <is>
          <t>INV20210211338</t>
        </is>
      </c>
      <c r="N595" s="522" t="inlineStr"/>
      <c r="O595" s="521">
        <f>M595=N595</f>
        <v/>
      </c>
      <c r="P595" s="521">
        <f>AND(MONTH(F595)=MONTH(S595), YEAR(F595)=YEAR(S595))</f>
        <v/>
      </c>
      <c r="Q595" s="521">
        <f>U595="L001-901905215"</f>
        <v/>
      </c>
      <c r="R595" s="556">
        <f>G595-W595</f>
        <v/>
      </c>
      <c r="S595" s="521" t="n"/>
      <c r="T595" s="522" t="n"/>
      <c r="U595" s="522" t="n"/>
      <c r="V595" s="522" t="n"/>
      <c r="W595" s="521" t="n"/>
    </row>
    <row r="596">
      <c r="A596" s="521" t="n">
        <v>588</v>
      </c>
      <c r="B596" s="522" t="n"/>
      <c r="C596" s="522" t="inlineStr">
        <is>
          <t>56ប៊ី-លីង សឹបផ្លាយ ឆេន មេនេចម៉ិន ឯ.ក</t>
        </is>
      </c>
      <c r="D596" s="522" t="inlineStr">
        <is>
          <t>K004-902004795</t>
        </is>
      </c>
      <c r="E596" s="521" t="inlineStr">
        <is>
          <t>IN202102-0143</t>
        </is>
      </c>
      <c r="F596" s="523" t="n">
        <v>44252</v>
      </c>
      <c r="G596" s="556" t="n">
        <v>69207</v>
      </c>
      <c r="I596" s="521">
        <f>G596</f>
        <v/>
      </c>
      <c r="K596" s="521">
        <f>I596-G596</f>
        <v/>
      </c>
      <c r="M596" s="522" t="inlineStr">
        <is>
          <t>IN2021020143</t>
        </is>
      </c>
      <c r="N596" s="522" t="inlineStr"/>
      <c r="O596" s="521">
        <f>M596=N596</f>
        <v/>
      </c>
      <c r="P596" s="521">
        <f>AND(MONTH(F596)=MONTH(S596), YEAR(F596)=YEAR(S596))</f>
        <v/>
      </c>
      <c r="Q596" s="521">
        <f>U596="L001-901905215"</f>
        <v/>
      </c>
      <c r="R596" s="556">
        <f>G596-W596</f>
        <v/>
      </c>
      <c r="S596" s="521" t="n"/>
      <c r="T596" s="522" t="n"/>
      <c r="U596" s="522" t="n"/>
      <c r="V596" s="522" t="n"/>
      <c r="W596" s="521" t="n"/>
    </row>
    <row r="597">
      <c r="A597" s="521" t="n">
        <v>589</v>
      </c>
      <c r="B597" s="522" t="n"/>
      <c r="C597" s="522" t="inlineStr">
        <is>
          <t>56ប៊ី-លីង សឹបផ្លាយ ឆេន មេនេចម៉ិន ឯ.ក</t>
        </is>
      </c>
      <c r="D597" s="522" t="inlineStr">
        <is>
          <t>K004-902004795</t>
        </is>
      </c>
      <c r="E597" s="521" t="inlineStr">
        <is>
          <t>IN202102-0142</t>
        </is>
      </c>
      <c r="F597" s="523" t="n">
        <v>44252</v>
      </c>
      <c r="G597" s="556" t="n">
        <v>201515</v>
      </c>
      <c r="I597" s="521">
        <f>G597</f>
        <v/>
      </c>
      <c r="K597" s="521">
        <f>I597-G597</f>
        <v/>
      </c>
      <c r="M597" s="522" t="inlineStr">
        <is>
          <t>IN2021020142</t>
        </is>
      </c>
      <c r="N597" s="522" t="inlineStr"/>
      <c r="O597" s="521">
        <f>M597=N597</f>
        <v/>
      </c>
      <c r="P597" s="521">
        <f>AND(MONTH(F597)=MONTH(S597), YEAR(F597)=YEAR(S597))</f>
        <v/>
      </c>
      <c r="Q597" s="521">
        <f>U597="L001-901905215"</f>
        <v/>
      </c>
      <c r="R597" s="556">
        <f>G597-W597</f>
        <v/>
      </c>
      <c r="S597" s="521" t="n"/>
      <c r="T597" s="522" t="n"/>
      <c r="U597" s="522" t="n"/>
      <c r="V597" s="522" t="n"/>
      <c r="W597" s="521" t="n"/>
    </row>
    <row r="598">
      <c r="A598" s="521" t="n">
        <v>590</v>
      </c>
      <c r="B598" s="522" t="n"/>
      <c r="C598" s="522" t="inlineStr">
        <is>
          <t>56ប៊ី-លីង សឹបផ្លាយ ឆេន មេនេចម៉ិន ឯ.ក</t>
        </is>
      </c>
      <c r="D598" s="522" t="inlineStr">
        <is>
          <t>K004-902004795</t>
        </is>
      </c>
      <c r="E598" s="521" t="inlineStr">
        <is>
          <t>IN202102-0141</t>
        </is>
      </c>
      <c r="F598" s="523" t="n">
        <v>44252</v>
      </c>
      <c r="G598" s="556" t="n">
        <v>105846</v>
      </c>
      <c r="I598" s="521">
        <f>G598</f>
        <v/>
      </c>
      <c r="K598" s="521">
        <f>I598-G598</f>
        <v/>
      </c>
      <c r="M598" s="522" t="inlineStr">
        <is>
          <t>IN2021020141</t>
        </is>
      </c>
      <c r="N598" s="522" t="inlineStr"/>
      <c r="O598" s="521">
        <f>M598=N598</f>
        <v/>
      </c>
      <c r="P598" s="521">
        <f>AND(MONTH(F598)=MONTH(S598), YEAR(F598)=YEAR(S598))</f>
        <v/>
      </c>
      <c r="Q598" s="521">
        <f>U598="L001-901905215"</f>
        <v/>
      </c>
      <c r="R598" s="556">
        <f>G598-W598</f>
        <v/>
      </c>
      <c r="S598" s="521" t="n"/>
      <c r="T598" s="522" t="n"/>
      <c r="U598" s="522" t="n"/>
      <c r="V598" s="522" t="n"/>
      <c r="W598" s="521" t="n"/>
    </row>
    <row r="599">
      <c r="A599" s="521" t="n">
        <v>591</v>
      </c>
      <c r="B599" s="522" t="n"/>
      <c r="C599" s="522" t="inlineStr">
        <is>
          <t>56ប៊ី-លីង សឹបផ្លាយ ឆេន មេនេចម៉ិន ឯ.ក</t>
        </is>
      </c>
      <c r="D599" s="522" t="inlineStr">
        <is>
          <t>K004-902004795</t>
        </is>
      </c>
      <c r="E599" s="521" t="inlineStr">
        <is>
          <t>IN202102-0116</t>
        </is>
      </c>
      <c r="F599" s="523" t="n">
        <v>44252</v>
      </c>
      <c r="G599" s="556" t="n">
        <v>266651</v>
      </c>
      <c r="I599" s="521">
        <f>G599</f>
        <v/>
      </c>
      <c r="K599" s="521">
        <f>I599-G599</f>
        <v/>
      </c>
      <c r="M599" s="522" t="inlineStr">
        <is>
          <t>IN2021020116</t>
        </is>
      </c>
      <c r="N599" s="522" t="inlineStr"/>
      <c r="O599" s="521">
        <f>M599=N599</f>
        <v/>
      </c>
      <c r="P599" s="521">
        <f>AND(MONTH(F599)=MONTH(S599), YEAR(F599)=YEAR(S599))</f>
        <v/>
      </c>
      <c r="Q599" s="521">
        <f>U599="L001-901905215"</f>
        <v/>
      </c>
      <c r="R599" s="556">
        <f>G599-W599</f>
        <v/>
      </c>
      <c r="S599" s="521" t="n"/>
      <c r="T599" s="522" t="n"/>
      <c r="U599" s="522" t="n"/>
      <c r="V599" s="522" t="n"/>
      <c r="W599" s="521" t="n"/>
    </row>
    <row r="600">
      <c r="A600" s="521" t="n">
        <v>592</v>
      </c>
      <c r="B600" s="522" t="n"/>
      <c r="C600" s="522" t="inlineStr">
        <is>
          <t>56ប៊ី-លីង សឹបផ្លាយ ឆេន មេនេចម៉ិន ឯ.ក</t>
        </is>
      </c>
      <c r="D600" s="522" t="inlineStr">
        <is>
          <t>K004-902004795</t>
        </is>
      </c>
      <c r="E600" s="521" t="inlineStr">
        <is>
          <t>IN202102-0115</t>
        </is>
      </c>
      <c r="F600" s="523" t="n">
        <v>44252</v>
      </c>
      <c r="G600" s="556" t="n">
        <v>185231</v>
      </c>
      <c r="I600" s="521">
        <f>G600</f>
        <v/>
      </c>
      <c r="K600" s="521">
        <f>I600-G600</f>
        <v/>
      </c>
      <c r="M600" s="522" t="inlineStr">
        <is>
          <t>IN2021020115</t>
        </is>
      </c>
      <c r="N600" s="522" t="inlineStr"/>
      <c r="O600" s="521">
        <f>M600=N600</f>
        <v/>
      </c>
      <c r="P600" s="521">
        <f>AND(MONTH(F600)=MONTH(S600), YEAR(F600)=YEAR(S600))</f>
        <v/>
      </c>
      <c r="Q600" s="521">
        <f>U600="L001-901905215"</f>
        <v/>
      </c>
      <c r="R600" s="556">
        <f>G600-W600</f>
        <v/>
      </c>
      <c r="S600" s="521" t="n"/>
      <c r="T600" s="522" t="n"/>
      <c r="U600" s="522" t="n"/>
      <c r="V600" s="522" t="n"/>
      <c r="W600" s="521" t="n"/>
    </row>
    <row r="601">
      <c r="A601" s="521" t="n">
        <v>593</v>
      </c>
      <c r="B601" s="522" t="n"/>
      <c r="C601" s="522" t="inlineStr">
        <is>
          <t>56ប៊ី-លីង សឹបផ្លាយ ឆេន មេនេចម៉ិន ឯ.ក</t>
        </is>
      </c>
      <c r="D601" s="522" t="inlineStr">
        <is>
          <t>K004-902004795</t>
        </is>
      </c>
      <c r="E601" s="521" t="inlineStr">
        <is>
          <t>IN202102-0113</t>
        </is>
      </c>
      <c r="F601" s="523" t="n">
        <v>44252</v>
      </c>
      <c r="G601" s="556" t="n">
        <v>270722</v>
      </c>
      <c r="I601" s="521">
        <f>G601</f>
        <v/>
      </c>
      <c r="K601" s="521">
        <f>I601-G601</f>
        <v/>
      </c>
      <c r="M601" s="522" t="inlineStr">
        <is>
          <t>IN2021020113</t>
        </is>
      </c>
      <c r="N601" s="522" t="inlineStr"/>
      <c r="O601" s="521">
        <f>M601=N601</f>
        <v/>
      </c>
      <c r="P601" s="521">
        <f>AND(MONTH(F601)=MONTH(S601), YEAR(F601)=YEAR(S601))</f>
        <v/>
      </c>
      <c r="Q601" s="521">
        <f>U601="L001-901905215"</f>
        <v/>
      </c>
      <c r="R601" s="556">
        <f>G601-W601</f>
        <v/>
      </c>
      <c r="S601" s="521" t="n"/>
      <c r="T601" s="522" t="n"/>
      <c r="U601" s="522" t="n"/>
      <c r="V601" s="522" t="n"/>
      <c r="W601" s="521" t="n"/>
    </row>
    <row r="602">
      <c r="A602" s="521" t="n">
        <v>594</v>
      </c>
      <c r="B602" s="522" t="n"/>
      <c r="C602" s="522" t="inlineStr">
        <is>
          <t>អេសអេស ខិនថេនើរ សឺវីស ឯ.ក</t>
        </is>
      </c>
      <c r="D602" s="522" t="inlineStr">
        <is>
          <t>K010-901702199</t>
        </is>
      </c>
      <c r="E602" s="521" t="inlineStr">
        <is>
          <t>000000273</t>
        </is>
      </c>
      <c r="F602" s="523" t="n">
        <v>44246</v>
      </c>
      <c r="G602" s="556" t="n">
        <v>14192</v>
      </c>
      <c r="I602" s="521">
        <f>G602</f>
        <v/>
      </c>
      <c r="K602" s="521">
        <f>I602-G602</f>
        <v/>
      </c>
      <c r="M602" s="522" t="inlineStr">
        <is>
          <t>000000273</t>
        </is>
      </c>
      <c r="N602" s="522" t="inlineStr"/>
      <c r="O602" s="521">
        <f>M602=N602</f>
        <v/>
      </c>
      <c r="P602" s="521">
        <f>AND(MONTH(F602)=MONTH(S602), YEAR(F602)=YEAR(S602))</f>
        <v/>
      </c>
      <c r="Q602" s="521">
        <f>U602="L001-901905215"</f>
        <v/>
      </c>
      <c r="R602" s="556">
        <f>G602-W602</f>
        <v/>
      </c>
      <c r="S602" s="521" t="n"/>
      <c r="T602" s="522" t="n"/>
      <c r="U602" s="522" t="n"/>
      <c r="V602" s="522" t="n"/>
      <c r="W602" s="521" t="n"/>
    </row>
    <row r="603">
      <c r="A603" s="521" t="n">
        <v>595</v>
      </c>
      <c r="B603" s="522" t="n"/>
      <c r="C603" s="522" t="inlineStr">
        <is>
          <t>កំពង់ផែស្វយ័តភ្នំពេញ "ក.ស.ភ"</t>
        </is>
      </c>
      <c r="D603" s="522" t="inlineStr">
        <is>
          <t>L001-100044999</t>
        </is>
      </c>
      <c r="E603" s="521" t="inlineStr">
        <is>
          <t>INV20210211340</t>
        </is>
      </c>
      <c r="F603" s="523" t="n">
        <v>44228</v>
      </c>
      <c r="G603" s="556" t="n">
        <v>29112</v>
      </c>
      <c r="I603" s="521">
        <f>G603</f>
        <v/>
      </c>
      <c r="K603" s="521">
        <f>I603-G603</f>
        <v/>
      </c>
      <c r="M603" s="522" t="inlineStr">
        <is>
          <t>INV20210211340</t>
        </is>
      </c>
      <c r="N603" s="522" t="inlineStr"/>
      <c r="O603" s="521">
        <f>M603=N603</f>
        <v/>
      </c>
      <c r="P603" s="521">
        <f>AND(MONTH(F603)=MONTH(S603), YEAR(F603)=YEAR(S603))</f>
        <v/>
      </c>
      <c r="Q603" s="521">
        <f>U603="L001-901905215"</f>
        <v/>
      </c>
      <c r="R603" s="556">
        <f>G603-W603</f>
        <v/>
      </c>
      <c r="S603" s="521" t="n"/>
      <c r="T603" s="522" t="n"/>
      <c r="U603" s="522" t="n"/>
      <c r="V603" s="522" t="n"/>
      <c r="W603" s="521" t="n"/>
    </row>
    <row r="604">
      <c r="A604" s="521" t="n">
        <v>596</v>
      </c>
      <c r="B604" s="522" t="n"/>
      <c r="C604" s="522" t="inlineStr">
        <is>
          <t>កំពង់ផែស្វយ័តភ្នំពេញ "ក.ស.ភ"</t>
        </is>
      </c>
      <c r="D604" s="522" t="inlineStr">
        <is>
          <t>L001-100044999</t>
        </is>
      </c>
      <c r="E604" s="521" t="inlineStr">
        <is>
          <t>INV20210211349</t>
        </is>
      </c>
      <c r="F604" s="523" t="n">
        <v>44254</v>
      </c>
      <c r="G604" s="556" t="n">
        <v>116447</v>
      </c>
      <c r="I604" s="521">
        <f>G604</f>
        <v/>
      </c>
      <c r="K604" s="521">
        <f>I604-G604</f>
        <v/>
      </c>
      <c r="M604" s="522" t="inlineStr">
        <is>
          <t>INV20210211349</t>
        </is>
      </c>
      <c r="N604" s="522" t="inlineStr"/>
      <c r="O604" s="521">
        <f>M604=N604</f>
        <v/>
      </c>
      <c r="P604" s="521">
        <f>AND(MONTH(F604)=MONTH(S604), YEAR(F604)=YEAR(S604))</f>
        <v/>
      </c>
      <c r="Q604" s="521">
        <f>U604="L001-901905215"</f>
        <v/>
      </c>
      <c r="R604" s="556">
        <f>G604-W604</f>
        <v/>
      </c>
      <c r="S604" s="521" t="n"/>
      <c r="T604" s="522" t="n"/>
      <c r="U604" s="522" t="n"/>
      <c r="V604" s="522" t="n"/>
      <c r="W604" s="521" t="n"/>
    </row>
    <row r="605">
      <c r="A605" s="521" t="n">
        <v>597</v>
      </c>
      <c r="B605" s="522" t="n"/>
      <c r="C605" s="522" t="inlineStr">
        <is>
          <t>កំពង់ផែស្វយ័តភ្នំពេញ "ក.ស.ភ"</t>
        </is>
      </c>
      <c r="D605" s="522" t="inlineStr">
        <is>
          <t>L001-100044999</t>
        </is>
      </c>
      <c r="E605" s="521" t="inlineStr">
        <is>
          <t>INV20210211339</t>
        </is>
      </c>
      <c r="F605" s="523" t="n">
        <v>44254</v>
      </c>
      <c r="G605" s="556" t="n">
        <v>87336</v>
      </c>
      <c r="I605" s="521">
        <f>G605</f>
        <v/>
      </c>
      <c r="K605" s="521">
        <f>I605-G605</f>
        <v/>
      </c>
      <c r="M605" s="522" t="inlineStr">
        <is>
          <t>INV20210211339</t>
        </is>
      </c>
      <c r="N605" s="522" t="inlineStr"/>
      <c r="O605" s="521">
        <f>M605=N605</f>
        <v/>
      </c>
      <c r="P605" s="521">
        <f>AND(MONTH(F605)=MONTH(S605), YEAR(F605)=YEAR(S605))</f>
        <v/>
      </c>
      <c r="Q605" s="521">
        <f>U605="L001-901905215"</f>
        <v/>
      </c>
      <c r="R605" s="556">
        <f>G605-W605</f>
        <v/>
      </c>
      <c r="S605" s="521" t="n"/>
      <c r="T605" s="522" t="n"/>
      <c r="U605" s="522" t="n"/>
      <c r="V605" s="522" t="n"/>
      <c r="W605" s="521" t="n"/>
    </row>
    <row r="606">
      <c r="A606" s="521" t="n">
        <v>598</v>
      </c>
      <c r="B606" s="522" t="n"/>
      <c r="C606" s="522" t="inlineStr">
        <is>
          <t>កំពង់ផែស្វយ័តភ្នំពេញ "ក.ស.ភ"</t>
        </is>
      </c>
      <c r="D606" s="522" t="inlineStr">
        <is>
          <t>L001-100044999</t>
        </is>
      </c>
      <c r="E606" s="521" t="inlineStr">
        <is>
          <t>INV20210211341</t>
        </is>
      </c>
      <c r="F606" s="523" t="n">
        <v>44244</v>
      </c>
      <c r="G606" s="556" t="n">
        <v>29112</v>
      </c>
      <c r="I606" s="521">
        <f>G606</f>
        <v/>
      </c>
      <c r="K606" s="521">
        <f>I606-G606</f>
        <v/>
      </c>
      <c r="M606" s="522" t="inlineStr">
        <is>
          <t>INV20210211341</t>
        </is>
      </c>
      <c r="N606" s="522" t="inlineStr"/>
      <c r="O606" s="521">
        <f>M606=N606</f>
        <v/>
      </c>
      <c r="P606" s="521">
        <f>AND(MONTH(F606)=MONTH(S606), YEAR(F606)=YEAR(S606))</f>
        <v/>
      </c>
      <c r="Q606" s="521">
        <f>U606="L001-901905215"</f>
        <v/>
      </c>
      <c r="R606" s="556">
        <f>G606-W606</f>
        <v/>
      </c>
      <c r="S606" s="521" t="n"/>
      <c r="T606" s="522" t="n"/>
      <c r="U606" s="522" t="n"/>
      <c r="V606" s="522" t="n"/>
      <c r="W606" s="521" t="n"/>
    </row>
    <row r="607">
      <c r="A607" s="521" t="n">
        <v>599</v>
      </c>
      <c r="B607" s="522" t="n"/>
      <c r="C607" s="522" t="inlineStr">
        <is>
          <t>អេវើរហ្គ្រីន ស៊ីបភីង សឺវីស (ខេមបូឌា) ឯ.ក</t>
        </is>
      </c>
      <c r="D607" s="522" t="inlineStr">
        <is>
          <t>L001-901705421</t>
        </is>
      </c>
      <c r="E607" s="521" t="inlineStr">
        <is>
          <t>IY21001013</t>
        </is>
      </c>
      <c r="F607" s="523" t="n">
        <v>44231</v>
      </c>
      <c r="G607" s="556" t="n">
        <v>120095</v>
      </c>
      <c r="I607" s="521">
        <f>G607</f>
        <v/>
      </c>
      <c r="K607" s="521">
        <f>I607-G607</f>
        <v/>
      </c>
      <c r="M607" s="522" t="inlineStr">
        <is>
          <t>IY21001013</t>
        </is>
      </c>
      <c r="N607" s="522" t="inlineStr">
        <is>
          <t>IY21001013</t>
        </is>
      </c>
      <c r="O607" s="521">
        <f>M607=N607</f>
        <v/>
      </c>
      <c r="P607" s="521">
        <f>AND(MONTH(F607)=MONTH(S607), YEAR(F607)=YEAR(S607))</f>
        <v/>
      </c>
      <c r="Q607" s="521">
        <f>U607="L001-901905215"</f>
        <v/>
      </c>
      <c r="R607" s="556">
        <f>G607-W607</f>
        <v/>
      </c>
      <c r="S607" s="523" t="n">
        <v>44231</v>
      </c>
      <c r="T607" s="522" t="inlineStr">
        <is>
          <t>IY21001013</t>
        </is>
      </c>
      <c r="U607" s="522" t="inlineStr">
        <is>
          <t>L001-901905215</t>
        </is>
      </c>
      <c r="V607" s="522" t="inlineStr">
        <is>
          <t>វីអ៊ីស៊ិន (ខេមបូឌា) អ៊ិនដាសស្ទ្រី ឯ.ក</t>
        </is>
      </c>
      <c r="W607" s="556" t="n">
        <v>120095</v>
      </c>
    </row>
    <row r="608">
      <c r="A608" s="521" t="n">
        <v>600</v>
      </c>
      <c r="B608" s="522" t="n"/>
      <c r="C608" s="522" t="inlineStr">
        <is>
          <t>អេវើរហ្គ្រីន ស៊ីបភីង សឺវីស (ខេមបូឌា) ឯ.ក</t>
        </is>
      </c>
      <c r="D608" s="522" t="inlineStr">
        <is>
          <t>L001-901705421</t>
        </is>
      </c>
      <c r="E608" s="521" t="inlineStr">
        <is>
          <t>IY21001014</t>
        </is>
      </c>
      <c r="F608" s="523" t="n">
        <v>44231</v>
      </c>
      <c r="G608" s="556" t="n">
        <v>91598</v>
      </c>
      <c r="I608" s="521">
        <f>G608</f>
        <v/>
      </c>
      <c r="K608" s="521">
        <f>I608-G608</f>
        <v/>
      </c>
      <c r="M608" s="522" t="inlineStr">
        <is>
          <t>IY21001014</t>
        </is>
      </c>
      <c r="N608" s="522" t="inlineStr">
        <is>
          <t>IY21001014</t>
        </is>
      </c>
      <c r="O608" s="521">
        <f>M608=N608</f>
        <v/>
      </c>
      <c r="P608" s="521">
        <f>AND(MONTH(F608)=MONTH(S608), YEAR(F608)=YEAR(S608))</f>
        <v/>
      </c>
      <c r="Q608" s="521">
        <f>U608="L001-901905215"</f>
        <v/>
      </c>
      <c r="R608" s="556">
        <f>G608-W608</f>
        <v/>
      </c>
      <c r="S608" s="523" t="n">
        <v>44231</v>
      </c>
      <c r="T608" s="522" t="inlineStr">
        <is>
          <t>IY21001014</t>
        </is>
      </c>
      <c r="U608" s="522" t="inlineStr">
        <is>
          <t>L001-901905215</t>
        </is>
      </c>
      <c r="V608" s="522" t="inlineStr">
        <is>
          <t>វីអ៊ីស៊ិន (ខេមបូឌា) អ៊ិនដាសស្ទ្រី ឯ.ក</t>
        </is>
      </c>
      <c r="W608" s="556" t="n">
        <v>91598</v>
      </c>
    </row>
    <row r="609">
      <c r="A609" s="521" t="n">
        <v>601</v>
      </c>
      <c r="B609" s="522" t="n"/>
      <c r="C609" s="522" t="inlineStr">
        <is>
          <t>កំពង់ផែស្វយ័តក្រុងព្រះសីហនុ</t>
        </is>
      </c>
      <c r="D609" s="522" t="inlineStr">
        <is>
          <t>L001-100044638</t>
        </is>
      </c>
      <c r="E609" s="521" t="inlineStr">
        <is>
          <t>000027587</t>
        </is>
      </c>
      <c r="F609" s="523" t="n">
        <v>44244</v>
      </c>
      <c r="G609" s="556" t="n">
        <v>32935</v>
      </c>
      <c r="I609" s="521">
        <f>G609</f>
        <v/>
      </c>
      <c r="K609" s="521">
        <f>I609-G609</f>
        <v/>
      </c>
      <c r="M609" s="522" t="inlineStr">
        <is>
          <t>000027587</t>
        </is>
      </c>
      <c r="N609" s="522" t="inlineStr"/>
      <c r="O609" s="521">
        <f>M609=N609</f>
        <v/>
      </c>
      <c r="P609" s="521">
        <f>AND(MONTH(F609)=MONTH(S609), YEAR(F609)=YEAR(S609))</f>
        <v/>
      </c>
      <c r="Q609" s="521">
        <f>U609="L001-901905215"</f>
        <v/>
      </c>
      <c r="R609" s="556">
        <f>G609-W609</f>
        <v/>
      </c>
      <c r="S609" s="521" t="n"/>
      <c r="T609" s="522" t="n"/>
      <c r="U609" s="522" t="n"/>
      <c r="V609" s="522" t="n"/>
      <c r="W609" s="521" t="n"/>
    </row>
    <row r="610">
      <c r="A610" s="521" t="n">
        <v>602</v>
      </c>
      <c r="B610" s="522" t="n"/>
      <c r="C610" s="522" t="inlineStr">
        <is>
          <t>អ៊ែរ៉ូ ស៊ីបភីង អេជេនស៊ី</t>
        </is>
      </c>
      <c r="D610" s="522" t="inlineStr">
        <is>
          <t>K004-901635903</t>
        </is>
      </c>
      <c r="E610" s="521" t="inlineStr">
        <is>
          <t>IKPSA2021502735</t>
        </is>
      </c>
      <c r="F610" s="523" t="n">
        <v>44228</v>
      </c>
      <c r="G610" s="556" t="n">
        <v>1846</v>
      </c>
      <c r="I610" s="521">
        <f>G610</f>
        <v/>
      </c>
      <c r="K610" s="521">
        <f>I610-G610</f>
        <v/>
      </c>
      <c r="M610" s="522" t="inlineStr">
        <is>
          <t>IKPSA2021502735</t>
        </is>
      </c>
      <c r="N610" s="522" t="inlineStr"/>
      <c r="O610" s="521">
        <f>M610=N610</f>
        <v/>
      </c>
      <c r="P610" s="521">
        <f>AND(MONTH(F610)=MONTH(S610), YEAR(F610)=YEAR(S610))</f>
        <v/>
      </c>
      <c r="Q610" s="521">
        <f>U610="L001-901905215"</f>
        <v/>
      </c>
      <c r="R610" s="556">
        <f>G610-W610</f>
        <v/>
      </c>
      <c r="S610" s="521" t="n"/>
      <c r="T610" s="522" t="n"/>
      <c r="U610" s="522" t="n"/>
      <c r="V610" s="522" t="n"/>
      <c r="W610" s="521" t="n"/>
    </row>
    <row r="611">
      <c r="A611" s="521" t="n">
        <v>603</v>
      </c>
      <c r="B611" s="522" t="n"/>
      <c r="C611" s="522" t="inlineStr">
        <is>
          <t>កំពង់ផែស្វយ័តក្រុងព្រះសីហនុ</t>
        </is>
      </c>
      <c r="D611" s="522" t="inlineStr">
        <is>
          <t>L001-100044638</t>
        </is>
      </c>
      <c r="E611" s="521" t="inlineStr">
        <is>
          <t>000019535</t>
        </is>
      </c>
      <c r="F611" s="523" t="n">
        <v>44230</v>
      </c>
      <c r="G611" s="556" t="n">
        <v>216170</v>
      </c>
      <c r="I611" s="521">
        <f>G611</f>
        <v/>
      </c>
      <c r="K611" s="521">
        <f>I611-G611</f>
        <v/>
      </c>
      <c r="M611" s="522" t="inlineStr">
        <is>
          <t>000019535</t>
        </is>
      </c>
      <c r="N611" s="522" t="inlineStr"/>
      <c r="O611" s="521">
        <f>M611=N611</f>
        <v/>
      </c>
      <c r="P611" s="521">
        <f>AND(MONTH(F611)=MONTH(S611), YEAR(F611)=YEAR(S611))</f>
        <v/>
      </c>
      <c r="Q611" s="521">
        <f>U611="L001-901905215"</f>
        <v/>
      </c>
      <c r="R611" s="556">
        <f>G611-W611</f>
        <v/>
      </c>
      <c r="S611" s="521" t="n"/>
      <c r="T611" s="522" t="n"/>
      <c r="U611" s="522" t="n"/>
      <c r="V611" s="522" t="n"/>
      <c r="W611" s="521" t="n"/>
    </row>
    <row r="612">
      <c r="A612" s="521" t="n">
        <v>604</v>
      </c>
      <c r="B612" s="522" t="n"/>
      <c r="C612" s="522" t="inlineStr">
        <is>
          <t>កំពង់ផែស្វយ័តភ្នំពេញ "ក.ស.ភ"</t>
        </is>
      </c>
      <c r="D612" s="522" t="inlineStr">
        <is>
          <t>L001-100044999</t>
        </is>
      </c>
      <c r="E612" s="521" t="inlineStr">
        <is>
          <t>INV20210207513</t>
        </is>
      </c>
      <c r="F612" s="523" t="n">
        <v>44235</v>
      </c>
      <c r="G612" s="556" t="n">
        <v>29133</v>
      </c>
      <c r="I612" s="521">
        <f>G612</f>
        <v/>
      </c>
      <c r="K612" s="521">
        <f>I612-G612</f>
        <v/>
      </c>
      <c r="M612" s="522" t="inlineStr">
        <is>
          <t>INV20210207513</t>
        </is>
      </c>
      <c r="N612" s="522" t="inlineStr"/>
      <c r="O612" s="521">
        <f>M612=N612</f>
        <v/>
      </c>
      <c r="P612" s="521">
        <f>AND(MONTH(F612)=MONTH(S612), YEAR(F612)=YEAR(S612))</f>
        <v/>
      </c>
      <c r="Q612" s="521">
        <f>U612="L001-901905215"</f>
        <v/>
      </c>
      <c r="R612" s="556">
        <f>G612-W612</f>
        <v/>
      </c>
      <c r="S612" s="521" t="n"/>
      <c r="T612" s="522" t="n"/>
      <c r="U612" s="522" t="n"/>
      <c r="V612" s="522" t="n"/>
      <c r="W612" s="521" t="n"/>
    </row>
    <row r="613">
      <c r="A613" s="521" t="n">
        <v>605</v>
      </c>
      <c r="B613" s="522" t="n"/>
      <c r="C613" s="522" t="inlineStr">
        <is>
          <t>កំពង់ផែស្វយ័តភ្នំពេញ "ក.ស.ភ"</t>
        </is>
      </c>
      <c r="D613" s="522" t="inlineStr">
        <is>
          <t>L001-100044999</t>
        </is>
      </c>
      <c r="E613" s="521" t="inlineStr">
        <is>
          <t>INV20210207514</t>
        </is>
      </c>
      <c r="F613" s="523" t="n">
        <v>44235</v>
      </c>
      <c r="G613" s="556" t="n">
        <v>87400</v>
      </c>
      <c r="I613" s="521">
        <f>G613</f>
        <v/>
      </c>
      <c r="K613" s="521">
        <f>I613-G613</f>
        <v/>
      </c>
      <c r="M613" s="522" t="inlineStr">
        <is>
          <t>INV20210207514</t>
        </is>
      </c>
      <c r="N613" s="522" t="inlineStr"/>
      <c r="O613" s="521">
        <f>M613=N613</f>
        <v/>
      </c>
      <c r="P613" s="521">
        <f>AND(MONTH(F613)=MONTH(S613), YEAR(F613)=YEAR(S613))</f>
        <v/>
      </c>
      <c r="Q613" s="521">
        <f>U613="L001-901905215"</f>
        <v/>
      </c>
      <c r="R613" s="556">
        <f>G613-W613</f>
        <v/>
      </c>
      <c r="S613" s="521" t="n"/>
      <c r="T613" s="522" t="n"/>
      <c r="U613" s="522" t="n"/>
      <c r="V613" s="522" t="n"/>
      <c r="W613" s="521" t="n"/>
    </row>
    <row r="614">
      <c r="A614" s="521" t="n">
        <v>606</v>
      </c>
      <c r="B614" s="522" t="n"/>
      <c r="C614" s="522" t="inlineStr">
        <is>
          <t>កំពង់ផែស្វយ័តភ្នំពេញ "ក.ស.ភ"</t>
        </is>
      </c>
      <c r="D614" s="522" t="inlineStr">
        <is>
          <t>L001-100044999</t>
        </is>
      </c>
      <c r="E614" s="521" t="inlineStr">
        <is>
          <t>INV20210207503</t>
        </is>
      </c>
      <c r="F614" s="523" t="n">
        <v>44235</v>
      </c>
      <c r="G614" s="556" t="n">
        <v>29133</v>
      </c>
      <c r="I614" s="521">
        <f>G614</f>
        <v/>
      </c>
      <c r="K614" s="521">
        <f>I614-G614</f>
        <v/>
      </c>
      <c r="M614" s="522" t="inlineStr">
        <is>
          <t>INV20210207503</t>
        </is>
      </c>
      <c r="N614" s="522" t="inlineStr"/>
      <c r="O614" s="521">
        <f>M614=N614</f>
        <v/>
      </c>
      <c r="P614" s="521">
        <f>AND(MONTH(F614)=MONTH(S614), YEAR(F614)=YEAR(S614))</f>
        <v/>
      </c>
      <c r="Q614" s="521">
        <f>U614="L001-901905215"</f>
        <v/>
      </c>
      <c r="R614" s="556">
        <f>G614-W614</f>
        <v/>
      </c>
      <c r="S614" s="521" t="n"/>
      <c r="T614" s="522" t="n"/>
      <c r="U614" s="522" t="n"/>
      <c r="V614" s="522" t="n"/>
      <c r="W614" s="521" t="n"/>
    </row>
    <row r="615">
      <c r="A615" s="521" t="n">
        <v>607</v>
      </c>
      <c r="B615" s="522" t="n"/>
      <c r="C615" s="522" t="inlineStr">
        <is>
          <t>កំពង់ផែស្វយ័តភ្នំពេញ "ក.ស.ភ"</t>
        </is>
      </c>
      <c r="D615" s="522" t="inlineStr">
        <is>
          <t>L001-100044999</t>
        </is>
      </c>
      <c r="E615" s="521" t="inlineStr">
        <is>
          <t>INV20210207511</t>
        </is>
      </c>
      <c r="F615" s="523" t="n">
        <v>44235</v>
      </c>
      <c r="G615" s="556" t="n">
        <v>19435</v>
      </c>
      <c r="I615" s="521">
        <f>G615</f>
        <v/>
      </c>
      <c r="K615" s="521">
        <f>I615-G615</f>
        <v/>
      </c>
      <c r="M615" s="522" t="inlineStr">
        <is>
          <t>INV20210207511</t>
        </is>
      </c>
      <c r="N615" s="522" t="inlineStr"/>
      <c r="O615" s="521">
        <f>M615=N615</f>
        <v/>
      </c>
      <c r="P615" s="521">
        <f>AND(MONTH(F615)=MONTH(S615), YEAR(F615)=YEAR(S615))</f>
        <v/>
      </c>
      <c r="Q615" s="521">
        <f>U615="L001-901905215"</f>
        <v/>
      </c>
      <c r="R615" s="556">
        <f>G615-W615</f>
        <v/>
      </c>
      <c r="S615" s="521" t="n"/>
      <c r="T615" s="522" t="n"/>
      <c r="U615" s="522" t="n"/>
      <c r="V615" s="522" t="n"/>
      <c r="W615" s="521" t="n"/>
    </row>
    <row r="616">
      <c r="A616" s="521" t="n">
        <v>608</v>
      </c>
      <c r="B616" s="522" t="n"/>
      <c r="C616" s="522" t="inlineStr">
        <is>
          <t>កំពង់ផែស្វយ័តភ្នំពេញ "ក.ស.ភ"</t>
        </is>
      </c>
      <c r="D616" s="522" t="inlineStr">
        <is>
          <t>L001-100044999</t>
        </is>
      </c>
      <c r="E616" s="521" t="inlineStr">
        <is>
          <t>INV20210207507</t>
        </is>
      </c>
      <c r="F616" s="523" t="n">
        <v>44235</v>
      </c>
      <c r="G616" s="556" t="n">
        <v>29133</v>
      </c>
      <c r="I616" s="521">
        <f>G616</f>
        <v/>
      </c>
      <c r="K616" s="521">
        <f>I616-G616</f>
        <v/>
      </c>
      <c r="M616" s="522" t="inlineStr">
        <is>
          <t>INV20210207507</t>
        </is>
      </c>
      <c r="N616" s="522" t="inlineStr"/>
      <c r="O616" s="521">
        <f>M616=N616</f>
        <v/>
      </c>
      <c r="P616" s="521">
        <f>AND(MONTH(F616)=MONTH(S616), YEAR(F616)=YEAR(S616))</f>
        <v/>
      </c>
      <c r="Q616" s="521">
        <f>U616="L001-901905215"</f>
        <v/>
      </c>
      <c r="R616" s="556">
        <f>G616-W616</f>
        <v/>
      </c>
      <c r="S616" s="521" t="n"/>
      <c r="T616" s="522" t="n"/>
      <c r="U616" s="522" t="n"/>
      <c r="V616" s="522" t="n"/>
      <c r="W616" s="521" t="n"/>
    </row>
    <row r="617">
      <c r="A617" s="521" t="n">
        <v>609</v>
      </c>
      <c r="B617" s="522" t="n"/>
      <c r="C617" s="522" t="inlineStr">
        <is>
          <t>កំពង់ផែស្វយ័តភ្នំពេញ "ក.ស.ភ"</t>
        </is>
      </c>
      <c r="D617" s="522" t="inlineStr">
        <is>
          <t>L001-100044999</t>
        </is>
      </c>
      <c r="E617" s="521" t="inlineStr">
        <is>
          <t>INV20210207515</t>
        </is>
      </c>
      <c r="F617" s="523" t="n">
        <v>44235</v>
      </c>
      <c r="G617" s="556" t="n">
        <v>29133</v>
      </c>
      <c r="I617" s="521">
        <f>G617</f>
        <v/>
      </c>
      <c r="K617" s="521">
        <f>I617-G617</f>
        <v/>
      </c>
      <c r="M617" s="522" t="inlineStr">
        <is>
          <t>INV20210207515</t>
        </is>
      </c>
      <c r="N617" s="522" t="inlineStr"/>
      <c r="O617" s="521">
        <f>M617=N617</f>
        <v/>
      </c>
      <c r="P617" s="521">
        <f>AND(MONTH(F617)=MONTH(S617), YEAR(F617)=YEAR(S617))</f>
        <v/>
      </c>
      <c r="Q617" s="521">
        <f>U617="L001-901905215"</f>
        <v/>
      </c>
      <c r="R617" s="556">
        <f>G617-W617</f>
        <v/>
      </c>
      <c r="S617" s="521" t="n"/>
      <c r="T617" s="522" t="n"/>
      <c r="U617" s="522" t="n"/>
      <c r="V617" s="522" t="n"/>
      <c r="W617" s="521" t="n"/>
    </row>
    <row r="618">
      <c r="A618" s="521" t="n">
        <v>610</v>
      </c>
      <c r="B618" s="522" t="n"/>
      <c r="C618" s="522" t="inlineStr">
        <is>
          <t>កំពង់ផែស្វយ័តភ្នំពេញ "ក.ស.ភ"</t>
        </is>
      </c>
      <c r="D618" s="522" t="inlineStr">
        <is>
          <t>L001-100044999</t>
        </is>
      </c>
      <c r="E618" s="521" t="inlineStr">
        <is>
          <t>INV20210207504</t>
        </is>
      </c>
      <c r="F618" s="523" t="n">
        <v>44235</v>
      </c>
      <c r="G618" s="556" t="n">
        <v>58267</v>
      </c>
      <c r="I618" s="521">
        <f>G618</f>
        <v/>
      </c>
      <c r="K618" s="521">
        <f>I618-G618</f>
        <v/>
      </c>
      <c r="M618" s="522" t="inlineStr">
        <is>
          <t>INV20210207504</t>
        </is>
      </c>
      <c r="N618" s="522" t="inlineStr"/>
      <c r="O618" s="521">
        <f>M618=N618</f>
        <v/>
      </c>
      <c r="P618" s="521">
        <f>AND(MONTH(F618)=MONTH(S618), YEAR(F618)=YEAR(S618))</f>
        <v/>
      </c>
      <c r="Q618" s="521">
        <f>U618="L001-901905215"</f>
        <v/>
      </c>
      <c r="R618" s="556">
        <f>G618-W618</f>
        <v/>
      </c>
      <c r="S618" s="521" t="n"/>
      <c r="T618" s="522" t="n"/>
      <c r="U618" s="522" t="n"/>
      <c r="V618" s="522" t="n"/>
      <c r="W618" s="521" t="n"/>
    </row>
    <row r="619">
      <c r="A619" s="521" t="n">
        <v>611</v>
      </c>
      <c r="B619" s="522" t="n"/>
      <c r="C619" s="522" t="inlineStr">
        <is>
          <t>កំពង់ផែស្វយ័តក្រុងព្រះសីហនុ</t>
        </is>
      </c>
      <c r="D619" s="522" t="inlineStr">
        <is>
          <t>L001-100044638</t>
        </is>
      </c>
      <c r="E619" s="521" t="inlineStr">
        <is>
          <t>000021360</t>
        </is>
      </c>
      <c r="F619" s="523" t="n">
        <v>44232</v>
      </c>
      <c r="G619" s="556" t="n">
        <v>6921</v>
      </c>
      <c r="I619" s="521">
        <f>G619</f>
        <v/>
      </c>
      <c r="K619" s="521">
        <f>I619-G619</f>
        <v/>
      </c>
      <c r="M619" s="522" t="inlineStr">
        <is>
          <t>000021360</t>
        </is>
      </c>
      <c r="N619" s="522" t="inlineStr"/>
      <c r="O619" s="521">
        <f>M619=N619</f>
        <v/>
      </c>
      <c r="P619" s="521">
        <f>AND(MONTH(F619)=MONTH(S619), YEAR(F619)=YEAR(S619))</f>
        <v/>
      </c>
      <c r="Q619" s="521">
        <f>U619="L001-901905215"</f>
        <v/>
      </c>
      <c r="R619" s="556">
        <f>G619-W619</f>
        <v/>
      </c>
      <c r="S619" s="521" t="n"/>
      <c r="T619" s="522" t="n"/>
      <c r="U619" s="522" t="n"/>
      <c r="V619" s="522" t="n"/>
      <c r="W619" s="521" t="n"/>
    </row>
    <row r="620">
      <c r="A620" s="521" t="n">
        <v>612</v>
      </c>
      <c r="B620" s="522" t="n"/>
      <c r="C620" s="522" t="inlineStr">
        <is>
          <t>កំពង់ផែស្វយ័តភ្នំពេញ "ក.ស.ភ"</t>
        </is>
      </c>
      <c r="D620" s="522" t="inlineStr">
        <is>
          <t>L001-100044999</t>
        </is>
      </c>
      <c r="E620" s="521" t="inlineStr">
        <is>
          <t>INV202106138</t>
        </is>
      </c>
      <c r="F620" s="523" t="n">
        <v>44229</v>
      </c>
      <c r="G620" s="556" t="n">
        <v>29112</v>
      </c>
      <c r="I620" s="521">
        <f>G620</f>
        <v/>
      </c>
      <c r="K620" s="521">
        <f>I620-G620</f>
        <v/>
      </c>
      <c r="M620" s="522" t="inlineStr">
        <is>
          <t>INV202106138</t>
        </is>
      </c>
      <c r="N620" s="522" t="inlineStr"/>
      <c r="O620" s="521">
        <f>M620=N620</f>
        <v/>
      </c>
      <c r="P620" s="521">
        <f>AND(MONTH(F620)=MONTH(S620), YEAR(F620)=YEAR(S620))</f>
        <v/>
      </c>
      <c r="Q620" s="521">
        <f>U620="L001-901905215"</f>
        <v/>
      </c>
      <c r="R620" s="556">
        <f>G620-W620</f>
        <v/>
      </c>
      <c r="S620" s="521" t="n"/>
      <c r="T620" s="522" t="n"/>
      <c r="U620" s="522" t="n"/>
      <c r="V620" s="522" t="n"/>
      <c r="W620" s="521" t="n"/>
    </row>
    <row r="621">
      <c r="A621" s="521" t="n">
        <v>613</v>
      </c>
      <c r="B621" s="522" t="n"/>
      <c r="C621" s="522" t="inlineStr">
        <is>
          <t>កំពង់ផែស្វយ័តភ្នំពេញ "ក.ស.ភ"</t>
        </is>
      </c>
      <c r="D621" s="522" t="inlineStr">
        <is>
          <t>L001-100044999</t>
        </is>
      </c>
      <c r="E621" s="521" t="inlineStr">
        <is>
          <t>INV20210211336</t>
        </is>
      </c>
      <c r="F621" s="523" t="n">
        <v>44254</v>
      </c>
      <c r="G621" s="556" t="n">
        <v>29112</v>
      </c>
      <c r="I621" s="521">
        <f>G621</f>
        <v/>
      </c>
      <c r="K621" s="521">
        <f>I621-G621</f>
        <v/>
      </c>
      <c r="M621" s="522" t="inlineStr">
        <is>
          <t>INV20210211336</t>
        </is>
      </c>
      <c r="N621" s="522" t="inlineStr"/>
      <c r="O621" s="521">
        <f>M621=N621</f>
        <v/>
      </c>
      <c r="P621" s="521">
        <f>AND(MONTH(F621)=MONTH(S621), YEAR(F621)=YEAR(S621))</f>
        <v/>
      </c>
      <c r="Q621" s="521">
        <f>U621="L001-901905215"</f>
        <v/>
      </c>
      <c r="R621" s="556">
        <f>G621-W621</f>
        <v/>
      </c>
      <c r="S621" s="521" t="n"/>
      <c r="T621" s="522" t="n"/>
      <c r="U621" s="522" t="n"/>
      <c r="V621" s="522" t="n"/>
      <c r="W621" s="521" t="n"/>
    </row>
    <row r="622">
      <c r="A622" s="521" t="n">
        <v>614</v>
      </c>
      <c r="B622" s="522" t="n"/>
      <c r="C622" s="522" t="inlineStr">
        <is>
          <t>កំពង់ផែស្វយ័តក្រុងព្រះសីហនុ</t>
        </is>
      </c>
      <c r="D622" s="522" t="inlineStr">
        <is>
          <t>L001-100044638</t>
        </is>
      </c>
      <c r="E622" s="521" t="inlineStr">
        <is>
          <t>000029423</t>
        </is>
      </c>
      <c r="F622" s="523" t="n">
        <v>44246</v>
      </c>
      <c r="G622" s="556" t="n">
        <v>20747</v>
      </c>
      <c r="I622" s="521">
        <f>G622</f>
        <v/>
      </c>
      <c r="K622" s="521">
        <f>I622-G622</f>
        <v/>
      </c>
      <c r="M622" s="522" t="inlineStr">
        <is>
          <t>000029423</t>
        </is>
      </c>
      <c r="N622" s="522" t="inlineStr"/>
      <c r="O622" s="521">
        <f>M622=N622</f>
        <v/>
      </c>
      <c r="P622" s="521">
        <f>AND(MONTH(F622)=MONTH(S622), YEAR(F622)=YEAR(S622))</f>
        <v/>
      </c>
      <c r="Q622" s="521">
        <f>U622="L001-901905215"</f>
        <v/>
      </c>
      <c r="R622" s="556">
        <f>G622-W622</f>
        <v/>
      </c>
      <c r="S622" s="521" t="n"/>
      <c r="T622" s="522" t="n"/>
      <c r="U622" s="522" t="n"/>
      <c r="V622" s="522" t="n"/>
      <c r="W622" s="521" t="n"/>
    </row>
    <row r="623">
      <c r="A623" s="521" t="n">
        <v>615</v>
      </c>
      <c r="B623" s="522" t="n"/>
      <c r="C623" s="522" t="inlineStr">
        <is>
          <t>ឌី អេច អិល អិចប្រេស (ខេមបូឌា)</t>
        </is>
      </c>
      <c r="D623" s="522" t="inlineStr">
        <is>
          <t>L001-100045197</t>
        </is>
      </c>
      <c r="E623" s="521" t="inlineStr">
        <is>
          <t>PNHR00037150</t>
        </is>
      </c>
      <c r="F623" s="523" t="n">
        <v>44245</v>
      </c>
      <c r="G623" s="556" t="n">
        <v>16930</v>
      </c>
      <c r="I623" s="521">
        <f>G623</f>
        <v/>
      </c>
      <c r="K623" s="521">
        <f>I623-G623</f>
        <v/>
      </c>
      <c r="M623" s="522" t="inlineStr">
        <is>
          <t>PNHR00037150</t>
        </is>
      </c>
      <c r="N623" s="522" t="inlineStr"/>
      <c r="O623" s="521">
        <f>M623=N623</f>
        <v/>
      </c>
      <c r="P623" s="521">
        <f>AND(MONTH(F623)=MONTH(S623), YEAR(F623)=YEAR(S623))</f>
        <v/>
      </c>
      <c r="Q623" s="521">
        <f>U623="L001-901905215"</f>
        <v/>
      </c>
      <c r="R623" s="556">
        <f>G623-W623</f>
        <v/>
      </c>
      <c r="S623" s="521" t="n"/>
      <c r="T623" s="522" t="n"/>
      <c r="U623" s="522" t="n"/>
      <c r="V623" s="522" t="n"/>
      <c r="W623" s="521" t="n"/>
    </row>
    <row r="624">
      <c r="A624" s="521" t="n">
        <v>616</v>
      </c>
      <c r="B624" s="522" t="n"/>
      <c r="C624" s="522" t="inlineStr">
        <is>
          <t>ឌី អេច អិល អិចប្រេស (ខេមបូឌា)</t>
        </is>
      </c>
      <c r="D624" s="522" t="inlineStr">
        <is>
          <t>L001-100045197</t>
        </is>
      </c>
      <c r="E624" s="521" t="inlineStr">
        <is>
          <t>PNHR0016325</t>
        </is>
      </c>
      <c r="F624" s="523" t="n">
        <v>44239</v>
      </c>
      <c r="G624" s="556" t="n">
        <v>5427</v>
      </c>
      <c r="I624" s="521">
        <f>G624</f>
        <v/>
      </c>
      <c r="K624" s="521">
        <f>I624-G624</f>
        <v/>
      </c>
      <c r="M624" s="522" t="inlineStr">
        <is>
          <t>PNHR0016325</t>
        </is>
      </c>
      <c r="N624" s="522" t="inlineStr"/>
      <c r="O624" s="521">
        <f>M624=N624</f>
        <v/>
      </c>
      <c r="P624" s="521">
        <f>AND(MONTH(F624)=MONTH(S624), YEAR(F624)=YEAR(S624))</f>
        <v/>
      </c>
      <c r="Q624" s="521">
        <f>U624="L001-901905215"</f>
        <v/>
      </c>
      <c r="R624" s="556">
        <f>G624-W624</f>
        <v/>
      </c>
      <c r="S624" s="521" t="n"/>
      <c r="T624" s="522" t="n"/>
      <c r="U624" s="522" t="n"/>
      <c r="V624" s="522" t="n"/>
      <c r="W624" s="521" t="n"/>
    </row>
    <row r="625">
      <c r="A625" s="521" t="n">
        <v>617</v>
      </c>
      <c r="B625" s="522" t="n"/>
      <c r="C625" s="522" t="inlineStr">
        <is>
          <t>ឌី អេច អិល អិចប្រេស (ខេមបូឌា)</t>
        </is>
      </c>
      <c r="D625" s="522" t="inlineStr">
        <is>
          <t>L001-100045197</t>
        </is>
      </c>
      <c r="E625" s="521" t="inlineStr">
        <is>
          <t>PNHR000370919</t>
        </is>
      </c>
      <c r="F625" s="523" t="n">
        <v>44238</v>
      </c>
      <c r="G625" s="556" t="n">
        <v>82540</v>
      </c>
      <c r="I625" s="521">
        <f>G625</f>
        <v/>
      </c>
      <c r="K625" s="521">
        <f>I625-G625</f>
        <v/>
      </c>
      <c r="M625" s="522" t="inlineStr">
        <is>
          <t>PNHR000370919</t>
        </is>
      </c>
      <c r="N625" s="522" t="inlineStr"/>
      <c r="O625" s="521">
        <f>M625=N625</f>
        <v/>
      </c>
      <c r="P625" s="521">
        <f>AND(MONTH(F625)=MONTH(S625), YEAR(F625)=YEAR(S625))</f>
        <v/>
      </c>
      <c r="Q625" s="521">
        <f>U625="L001-901905215"</f>
        <v/>
      </c>
      <c r="R625" s="556">
        <f>G625-W625</f>
        <v/>
      </c>
      <c r="S625" s="521" t="n"/>
      <c r="T625" s="522" t="n"/>
      <c r="U625" s="522" t="n"/>
      <c r="V625" s="522" t="n"/>
      <c r="W625" s="521" t="n"/>
    </row>
    <row r="626">
      <c r="A626" s="521" t="n">
        <v>618</v>
      </c>
      <c r="B626" s="522" t="n"/>
      <c r="C626" s="522" t="inlineStr">
        <is>
          <t>សហ័ស សិឃ្យូរិធី ឯ.ក</t>
        </is>
      </c>
      <c r="D626" s="522" t="inlineStr">
        <is>
          <t>K010-107032600</t>
        </is>
      </c>
      <c r="E626" s="521" t="inlineStr">
        <is>
          <t>SHTI210062</t>
        </is>
      </c>
      <c r="F626" s="523" t="n">
        <v>44250</v>
      </c>
      <c r="G626" s="556" t="n">
        <v>227920</v>
      </c>
      <c r="I626" s="521">
        <f>G626</f>
        <v/>
      </c>
      <c r="K626" s="521">
        <f>I626-G626</f>
        <v/>
      </c>
      <c r="M626" s="522" t="inlineStr">
        <is>
          <t>SHTI210062</t>
        </is>
      </c>
      <c r="N626" s="522" t="inlineStr">
        <is>
          <t>SHTI210062</t>
        </is>
      </c>
      <c r="O626" s="521">
        <f>M626=N626</f>
        <v/>
      </c>
      <c r="P626" s="521">
        <f>AND(MONTH(F626)=MONTH(S626), YEAR(F626)=YEAR(S626))</f>
        <v/>
      </c>
      <c r="Q626" s="521">
        <f>U626="L001-901905215"</f>
        <v/>
      </c>
      <c r="R626" s="556">
        <f>G626-W626</f>
        <v/>
      </c>
      <c r="S626" s="523" t="n">
        <v>44250</v>
      </c>
      <c r="T626" s="522" t="inlineStr">
        <is>
          <t>SHTI210062</t>
        </is>
      </c>
      <c r="U626" s="522" t="inlineStr">
        <is>
          <t>L001-901905215</t>
        </is>
      </c>
      <c r="V626" s="522" t="inlineStr">
        <is>
          <t>វីអ៊ីស៊ិន (ខេមបូឌា) អ៊ិនដាសស្ទ្រី ឯ.ក</t>
        </is>
      </c>
      <c r="W626" s="556" t="n">
        <v>227920</v>
      </c>
    </row>
    <row r="627">
      <c r="A627" s="521" t="n">
        <v>619</v>
      </c>
      <c r="B627" s="522" t="n"/>
      <c r="C627" s="522" t="inlineStr">
        <is>
          <t>ភ្នំពេញ អេសអ៊ីហ្សិត ភីអិលស៊ី</t>
        </is>
      </c>
      <c r="D627" s="522" t="inlineStr">
        <is>
          <t>L001-100046592</t>
        </is>
      </c>
      <c r="E627" s="521" t="inlineStr">
        <is>
          <t>2021-00661</t>
        </is>
      </c>
      <c r="F627" s="523" t="n">
        <v>44243</v>
      </c>
      <c r="G627" s="556" t="n">
        <v>200439</v>
      </c>
      <c r="I627" s="521">
        <f>G627</f>
        <v/>
      </c>
      <c r="K627" s="521">
        <f>I627-G627</f>
        <v/>
      </c>
      <c r="M627" s="522" t="inlineStr">
        <is>
          <t>202100661</t>
        </is>
      </c>
      <c r="N627" s="522" t="inlineStr">
        <is>
          <t>202100661</t>
        </is>
      </c>
      <c r="O627" s="521">
        <f>M627=N627</f>
        <v/>
      </c>
      <c r="P627" s="521">
        <f>AND(MONTH(F627)=MONTH(S627), YEAR(F627)=YEAR(S627))</f>
        <v/>
      </c>
      <c r="Q627" s="521">
        <f>U627="L001-901905215"</f>
        <v/>
      </c>
      <c r="R627" s="556">
        <f>G627-W627</f>
        <v/>
      </c>
      <c r="S627" s="523" t="n">
        <v>44243</v>
      </c>
      <c r="T627" s="522" t="inlineStr">
        <is>
          <t>2021-00661</t>
        </is>
      </c>
      <c r="U627" s="522" t="inlineStr">
        <is>
          <t>L001-901905215</t>
        </is>
      </c>
      <c r="V627" s="522" t="inlineStr">
        <is>
          <t>វីអ៊ីស៊ិន (ខេមបូឌា) អ៊ិនដាសស្ទ្រី ឯ.ក</t>
        </is>
      </c>
      <c r="W627" s="556" t="n">
        <v>200438</v>
      </c>
    </row>
    <row r="628">
      <c r="A628" s="521" t="n">
        <v>620</v>
      </c>
      <c r="B628" s="522" t="n"/>
      <c r="C628" s="522" t="inlineStr">
        <is>
          <t>ភ្នំពេញ អេសអ៊ីហ្សិត ភីអិលស៊ី</t>
        </is>
      </c>
      <c r="D628" s="522" t="inlineStr">
        <is>
          <t>L001-100046592</t>
        </is>
      </c>
      <c r="E628" s="521" t="inlineStr">
        <is>
          <t>2021-00670</t>
        </is>
      </c>
      <c r="F628" s="523" t="n">
        <v>44243</v>
      </c>
      <c r="G628" s="556" t="n">
        <v>164625</v>
      </c>
      <c r="I628" s="521">
        <f>G628</f>
        <v/>
      </c>
      <c r="K628" s="521">
        <f>I628-G628</f>
        <v/>
      </c>
      <c r="M628" s="522" t="inlineStr">
        <is>
          <t>202100670</t>
        </is>
      </c>
      <c r="N628" s="522" t="inlineStr">
        <is>
          <t>202100670</t>
        </is>
      </c>
      <c r="O628" s="521">
        <f>M628=N628</f>
        <v/>
      </c>
      <c r="P628" s="521">
        <f>AND(MONTH(F628)=MONTH(S628), YEAR(F628)=YEAR(S628))</f>
        <v/>
      </c>
      <c r="Q628" s="521">
        <f>U628="L001-901905215"</f>
        <v/>
      </c>
      <c r="R628" s="556">
        <f>G628-W628</f>
        <v/>
      </c>
      <c r="S628" s="523" t="n">
        <v>44243</v>
      </c>
      <c r="T628" s="522" t="inlineStr">
        <is>
          <t>2021-00670</t>
        </is>
      </c>
      <c r="U628" s="522" t="inlineStr">
        <is>
          <t>L001-901905215</t>
        </is>
      </c>
      <c r="V628" s="522" t="inlineStr">
        <is>
          <t>វីអ៊ីស៊ិន (ខេមបូឌា) អ៊ិនដាសស្ទ្រី ឯ.ក</t>
        </is>
      </c>
      <c r="W628" s="556" t="n">
        <v>164624</v>
      </c>
    </row>
    <row r="629">
      <c r="A629" s="521" t="n">
        <v>621</v>
      </c>
      <c r="B629" s="522" t="n"/>
      <c r="C629" s="522" t="inlineStr">
        <is>
          <t>ហ្គោមី រីសាយឃល110</t>
        </is>
      </c>
      <c r="D629" s="522" t="inlineStr">
        <is>
          <t>K010-901503890</t>
        </is>
      </c>
      <c r="E629" s="521" t="inlineStr">
        <is>
          <t>GRIN2102-035</t>
        </is>
      </c>
      <c r="F629" s="523" t="n">
        <v>44253</v>
      </c>
      <c r="G629" s="556" t="n">
        <v>16276</v>
      </c>
      <c r="I629" s="521">
        <f>G629</f>
        <v/>
      </c>
      <c r="K629" s="521">
        <f>I629-G629</f>
        <v/>
      </c>
      <c r="M629" s="522" t="inlineStr">
        <is>
          <t>GRIN2102035</t>
        </is>
      </c>
      <c r="N629" s="522" t="inlineStr">
        <is>
          <t>GRIN2102035</t>
        </is>
      </c>
      <c r="O629" s="521">
        <f>M629=N629</f>
        <v/>
      </c>
      <c r="P629" s="521">
        <f>AND(MONTH(F629)=MONTH(S629), YEAR(F629)=YEAR(S629))</f>
        <v/>
      </c>
      <c r="Q629" s="521">
        <f>U629="L001-901905215"</f>
        <v/>
      </c>
      <c r="R629" s="556">
        <f>G629-W629</f>
        <v/>
      </c>
      <c r="S629" s="523" t="n">
        <v>44253</v>
      </c>
      <c r="T629" s="522" t="inlineStr">
        <is>
          <t>GR-IN21/02-035</t>
        </is>
      </c>
      <c r="U629" s="522" t="inlineStr">
        <is>
          <t>L001-901905215</t>
        </is>
      </c>
      <c r="V629" s="522" t="inlineStr">
        <is>
          <t>វីអ៊ីស៊ិន (ខេមបូឌា) អ៊ិនដាសស្ទ្រី ឯ.ក</t>
        </is>
      </c>
      <c r="W629" s="556" t="n">
        <v>16276</v>
      </c>
    </row>
    <row r="630">
      <c r="A630" s="521" t="n">
        <v>622</v>
      </c>
      <c r="B630" s="522" t="n"/>
      <c r="C630" s="522" t="inlineStr">
        <is>
          <t>56ប៊ី-លីង សឹបផ្លាយ ឆេន មេនេចម៉ិន ឯ.ក</t>
        </is>
      </c>
      <c r="D630" s="522" t="inlineStr">
        <is>
          <t>K004-902004795</t>
        </is>
      </c>
      <c r="E630" s="521" t="inlineStr">
        <is>
          <t>IN202102-0150</t>
        </is>
      </c>
      <c r="F630" s="523" t="n">
        <v>44252</v>
      </c>
      <c r="G630" s="556" t="n">
        <v>303290</v>
      </c>
      <c r="I630" s="521">
        <f>G630</f>
        <v/>
      </c>
      <c r="K630" s="521">
        <f>I630-G630</f>
        <v/>
      </c>
      <c r="M630" s="522" t="inlineStr">
        <is>
          <t>IN2021020150</t>
        </is>
      </c>
      <c r="N630" s="522" t="inlineStr"/>
      <c r="O630" s="521">
        <f>M630=N630</f>
        <v/>
      </c>
      <c r="P630" s="521">
        <f>AND(MONTH(F630)=MONTH(S630), YEAR(F630)=YEAR(S630))</f>
        <v/>
      </c>
      <c r="Q630" s="521">
        <f>U630="L001-901905215"</f>
        <v/>
      </c>
      <c r="R630" s="556">
        <f>G630-W630</f>
        <v/>
      </c>
      <c r="S630" s="521" t="n"/>
      <c r="T630" s="522" t="n"/>
      <c r="U630" s="522" t="n"/>
      <c r="V630" s="522" t="n"/>
      <c r="W630" s="521" t="n"/>
    </row>
    <row r="631">
      <c r="A631" s="521" t="n">
        <v>623</v>
      </c>
      <c r="B631" s="522" t="n"/>
      <c r="C631" s="522" t="inlineStr">
        <is>
          <t>56ប៊ី-លីង សឹបផ្លាយ ឆេន មេនេចម៉ិន ឯ.ក</t>
        </is>
      </c>
      <c r="D631" s="522" t="inlineStr">
        <is>
          <t>K004-902004795</t>
        </is>
      </c>
      <c r="E631" s="521" t="inlineStr">
        <is>
          <t>IN202102-0148</t>
        </is>
      </c>
      <c r="F631" s="523" t="n">
        <v>44252</v>
      </c>
      <c r="G631" s="556" t="n">
        <v>977040</v>
      </c>
      <c r="I631" s="521">
        <f>G631</f>
        <v/>
      </c>
      <c r="K631" s="521">
        <f>I631-G631</f>
        <v/>
      </c>
      <c r="M631" s="522" t="inlineStr">
        <is>
          <t>IN2021020148</t>
        </is>
      </c>
      <c r="N631" s="522" t="inlineStr"/>
      <c r="O631" s="521">
        <f>M631=N631</f>
        <v/>
      </c>
      <c r="P631" s="521">
        <f>AND(MONTH(F631)=MONTH(S631), YEAR(F631)=YEAR(S631))</f>
        <v/>
      </c>
      <c r="Q631" s="521">
        <f>U631="L001-901905215"</f>
        <v/>
      </c>
      <c r="R631" s="556">
        <f>G631-W631</f>
        <v/>
      </c>
      <c r="S631" s="521" t="n"/>
      <c r="T631" s="522" t="n"/>
      <c r="U631" s="522" t="n"/>
      <c r="V631" s="522" t="n"/>
      <c r="W631" s="521" t="n"/>
    </row>
    <row r="632">
      <c r="A632" s="521" t="n">
        <v>624</v>
      </c>
      <c r="B632" s="522" t="n"/>
      <c r="C632" s="522" t="inlineStr">
        <is>
          <t>56ប៊ី-លីង សឹបផ្លាយ ឆេន មេនេចម៉ិន ឯ.ក</t>
        </is>
      </c>
      <c r="D632" s="522" t="inlineStr">
        <is>
          <t>K004-902004795</t>
        </is>
      </c>
      <c r="E632" s="521" t="inlineStr">
        <is>
          <t>IN202102-0146</t>
        </is>
      </c>
      <c r="F632" s="523" t="n">
        <v>44252</v>
      </c>
      <c r="G632" s="556" t="n">
        <v>869159</v>
      </c>
      <c r="I632" s="521">
        <f>G632</f>
        <v/>
      </c>
      <c r="K632" s="521">
        <f>I632-G632</f>
        <v/>
      </c>
      <c r="M632" s="522" t="inlineStr">
        <is>
          <t>IN2021020146</t>
        </is>
      </c>
      <c r="N632" s="522" t="inlineStr"/>
      <c r="O632" s="521">
        <f>M632=N632</f>
        <v/>
      </c>
      <c r="P632" s="521">
        <f>AND(MONTH(F632)=MONTH(S632), YEAR(F632)=YEAR(S632))</f>
        <v/>
      </c>
      <c r="Q632" s="521">
        <f>U632="L001-901905215"</f>
        <v/>
      </c>
      <c r="R632" s="556">
        <f>G632-W632</f>
        <v/>
      </c>
      <c r="S632" s="521" t="n"/>
      <c r="T632" s="522" t="n"/>
      <c r="U632" s="522" t="n"/>
      <c r="V632" s="522" t="n"/>
      <c r="W632" s="521" t="n"/>
    </row>
    <row r="633">
      <c r="A633" s="521" t="n">
        <v>625</v>
      </c>
      <c r="B633" s="522" t="n"/>
      <c r="C633" s="522" t="inlineStr">
        <is>
          <t>56ប៊ី-លីង សឹបផ្លាយ ឆេន មេនេចម៉ិន ឯ.ក</t>
        </is>
      </c>
      <c r="D633" s="522" t="inlineStr">
        <is>
          <t>K004-902004795</t>
        </is>
      </c>
      <c r="E633" s="521" t="inlineStr">
        <is>
          <t>IN202102-0145</t>
        </is>
      </c>
      <c r="F633" s="523" t="n">
        <v>44252</v>
      </c>
      <c r="G633" s="556" t="n">
        <v>270722</v>
      </c>
      <c r="I633" s="521">
        <f>G633</f>
        <v/>
      </c>
      <c r="K633" s="521">
        <f>I633-G633</f>
        <v/>
      </c>
      <c r="M633" s="522" t="inlineStr">
        <is>
          <t>IN2021020145</t>
        </is>
      </c>
      <c r="N633" s="522" t="inlineStr"/>
      <c r="O633" s="521">
        <f>M633=N633</f>
        <v/>
      </c>
      <c r="P633" s="521">
        <f>AND(MONTH(F633)=MONTH(S633), YEAR(F633)=YEAR(S633))</f>
        <v/>
      </c>
      <c r="Q633" s="521">
        <f>U633="L001-901905215"</f>
        <v/>
      </c>
      <c r="R633" s="556">
        <f>G633-W633</f>
        <v/>
      </c>
      <c r="S633" s="521" t="n"/>
      <c r="T633" s="522" t="n"/>
      <c r="U633" s="522" t="n"/>
      <c r="V633" s="522" t="n"/>
      <c r="W633" s="521" t="n"/>
    </row>
    <row r="634">
      <c r="A634" s="521" t="n">
        <v>626</v>
      </c>
      <c r="B634" s="522" t="n"/>
      <c r="C634" s="522" t="inlineStr">
        <is>
          <t>56ប៊ី-លីង សឹបផ្លាយ ឆេន មេនេចម៉ិន ឯ.ក</t>
        </is>
      </c>
      <c r="D634" s="522" t="inlineStr">
        <is>
          <t>K004-902004795</t>
        </is>
      </c>
      <c r="E634" s="521" t="inlineStr">
        <is>
          <t>IN202102-0144</t>
        </is>
      </c>
      <c r="F634" s="523" t="n">
        <v>44252</v>
      </c>
      <c r="G634" s="556" t="n">
        <v>346035</v>
      </c>
      <c r="I634" s="521">
        <f>G634</f>
        <v/>
      </c>
      <c r="K634" s="521">
        <f>I634-G634</f>
        <v/>
      </c>
      <c r="M634" s="522" t="inlineStr">
        <is>
          <t>IN2021020144</t>
        </is>
      </c>
      <c r="N634" s="522" t="inlineStr"/>
      <c r="O634" s="521">
        <f>M634=N634</f>
        <v/>
      </c>
      <c r="P634" s="521">
        <f>AND(MONTH(F634)=MONTH(S634), YEAR(F634)=YEAR(S634))</f>
        <v/>
      </c>
      <c r="Q634" s="521">
        <f>U634="L001-901905215"</f>
        <v/>
      </c>
      <c r="R634" s="556">
        <f>G634-W634</f>
        <v/>
      </c>
      <c r="S634" s="521" t="n"/>
      <c r="T634" s="522" t="n"/>
      <c r="U634" s="522" t="n"/>
      <c r="V634" s="522" t="n"/>
      <c r="W634" s="521" t="n"/>
    </row>
    <row r="635">
      <c r="A635" s="521" t="n">
        <v>627</v>
      </c>
      <c r="B635" s="522" t="n"/>
      <c r="C635" s="522" t="inlineStr">
        <is>
          <t>56ប៊ី-លីង សឹបផ្លាយ ឆេន មេនេចម៉ិន ឯ.ក</t>
        </is>
      </c>
      <c r="D635" s="522" t="inlineStr">
        <is>
          <t>K004-902004795</t>
        </is>
      </c>
      <c r="E635" s="521" t="inlineStr">
        <is>
          <t>IN202102-0139</t>
        </is>
      </c>
      <c r="F635" s="523" t="n">
        <v>44252</v>
      </c>
      <c r="G635" s="556" t="n">
        <v>40710</v>
      </c>
      <c r="I635" s="521">
        <f>G635</f>
        <v/>
      </c>
      <c r="K635" s="521">
        <f>I635-G635</f>
        <v/>
      </c>
      <c r="M635" s="522" t="inlineStr">
        <is>
          <t>IN2021020139</t>
        </is>
      </c>
      <c r="N635" s="522" t="inlineStr"/>
      <c r="O635" s="521">
        <f>M635=N635</f>
        <v/>
      </c>
      <c r="P635" s="521">
        <f>AND(MONTH(F635)=MONTH(S635), YEAR(F635)=YEAR(S635))</f>
        <v/>
      </c>
      <c r="Q635" s="521">
        <f>U635="L001-901905215"</f>
        <v/>
      </c>
      <c r="R635" s="556">
        <f>G635-W635</f>
        <v/>
      </c>
      <c r="S635" s="521" t="n"/>
      <c r="T635" s="522" t="n"/>
      <c r="U635" s="522" t="n"/>
      <c r="V635" s="522" t="n"/>
      <c r="W635" s="521" t="n"/>
    </row>
    <row r="636">
      <c r="A636" s="521" t="n">
        <v>628</v>
      </c>
      <c r="B636" s="522" t="n"/>
      <c r="C636" s="522" t="inlineStr">
        <is>
          <t>56ប៊ី-លីង សឹបផ្លាយ ឆេន មេនេចម៉ិន ឯ.ក</t>
        </is>
      </c>
      <c r="D636" s="522" t="inlineStr">
        <is>
          <t>K004-902004795</t>
        </is>
      </c>
      <c r="E636" s="521" t="inlineStr">
        <is>
          <t>IN202102-0138</t>
        </is>
      </c>
      <c r="F636" s="523" t="n">
        <v>44252</v>
      </c>
      <c r="G636" s="556" t="n">
        <v>313467</v>
      </c>
      <c r="I636" s="521">
        <f>G636</f>
        <v/>
      </c>
      <c r="K636" s="521">
        <f>I636-G636</f>
        <v/>
      </c>
      <c r="M636" s="522" t="inlineStr">
        <is>
          <t>IN2021020138</t>
        </is>
      </c>
      <c r="N636" s="522" t="inlineStr"/>
      <c r="O636" s="521">
        <f>M636=N636</f>
        <v/>
      </c>
      <c r="P636" s="521">
        <f>AND(MONTH(F636)=MONTH(S636), YEAR(F636)=YEAR(S636))</f>
        <v/>
      </c>
      <c r="Q636" s="521">
        <f>U636="L001-901905215"</f>
        <v/>
      </c>
      <c r="R636" s="556">
        <f>G636-W636</f>
        <v/>
      </c>
      <c r="S636" s="521" t="n"/>
      <c r="T636" s="522" t="n"/>
      <c r="U636" s="522" t="n"/>
      <c r="V636" s="522" t="n"/>
      <c r="W636" s="521" t="n"/>
    </row>
    <row r="637">
      <c r="A637" s="521" t="n">
        <v>629</v>
      </c>
      <c r="B637" s="522" t="n"/>
      <c r="C637" s="522" t="inlineStr">
        <is>
          <t>56ប៊ី-លីង សឹបផ្លាយ ឆេន មេនេចម៉ិន ឯ.ក</t>
        </is>
      </c>
      <c r="D637" s="522" t="inlineStr">
        <is>
          <t>K004-902004795</t>
        </is>
      </c>
      <c r="E637" s="521" t="inlineStr">
        <is>
          <t>IN202102-0137</t>
        </is>
      </c>
      <c r="F637" s="523" t="n">
        <v>44252</v>
      </c>
      <c r="G637" s="556" t="n">
        <v>313467</v>
      </c>
      <c r="I637" s="521">
        <f>G637</f>
        <v/>
      </c>
      <c r="K637" s="521">
        <f>I637-G637</f>
        <v/>
      </c>
      <c r="M637" s="522" t="inlineStr">
        <is>
          <t>IN2021020137</t>
        </is>
      </c>
      <c r="N637" s="522" t="inlineStr"/>
      <c r="O637" s="521">
        <f>M637=N637</f>
        <v/>
      </c>
      <c r="P637" s="521">
        <f>AND(MONTH(F637)=MONTH(S637), YEAR(F637)=YEAR(S637))</f>
        <v/>
      </c>
      <c r="Q637" s="521">
        <f>U637="L001-901905215"</f>
        <v/>
      </c>
      <c r="R637" s="556">
        <f>G637-W637</f>
        <v/>
      </c>
      <c r="S637" s="521" t="n"/>
      <c r="T637" s="522" t="n"/>
      <c r="U637" s="522" t="n"/>
      <c r="V637" s="522" t="n"/>
      <c r="W637" s="521" t="n"/>
    </row>
    <row r="638">
      <c r="A638" s="521" t="n">
        <v>630</v>
      </c>
      <c r="B638" s="522" t="n"/>
      <c r="C638" s="522" t="inlineStr">
        <is>
          <t>56ប៊ី-លីង សឹបផ្លាយ ឆេន មេនេចម៉ិន ឯ.ក</t>
        </is>
      </c>
      <c r="D638" s="522" t="inlineStr">
        <is>
          <t>K004-902004795</t>
        </is>
      </c>
      <c r="E638" s="521" t="inlineStr">
        <is>
          <t>IN202102-0136</t>
        </is>
      </c>
      <c r="F638" s="523" t="n">
        <v>44252</v>
      </c>
      <c r="G638" s="556" t="n">
        <v>313467</v>
      </c>
      <c r="I638" s="521">
        <f>G638</f>
        <v/>
      </c>
      <c r="K638" s="521">
        <f>I638-G638</f>
        <v/>
      </c>
      <c r="M638" s="522" t="inlineStr">
        <is>
          <t>IN2021020136</t>
        </is>
      </c>
      <c r="N638" s="522" t="inlineStr"/>
      <c r="O638" s="521">
        <f>M638=N638</f>
        <v/>
      </c>
      <c r="P638" s="521">
        <f>AND(MONTH(F638)=MONTH(S638), YEAR(F638)=YEAR(S638))</f>
        <v/>
      </c>
      <c r="Q638" s="521">
        <f>U638="L001-901905215"</f>
        <v/>
      </c>
      <c r="R638" s="556">
        <f>G638-W638</f>
        <v/>
      </c>
      <c r="S638" s="521" t="n"/>
      <c r="T638" s="522" t="n"/>
      <c r="U638" s="522" t="n"/>
      <c r="V638" s="522" t="n"/>
      <c r="W638" s="521" t="n"/>
    </row>
    <row r="639">
      <c r="A639" s="521" t="n">
        <v>631</v>
      </c>
      <c r="B639" s="522" t="n"/>
      <c r="C639" s="522" t="inlineStr">
        <is>
          <t>56ប៊ី-លីង សឹបផ្លាយ ឆេន មេនេចម៉ិន ឯ.ក</t>
        </is>
      </c>
      <c r="D639" s="522" t="inlineStr">
        <is>
          <t>K004-902004795</t>
        </is>
      </c>
      <c r="E639" s="521" t="inlineStr">
        <is>
          <t>IN202102-0135</t>
        </is>
      </c>
      <c r="F639" s="523" t="n">
        <v>44252</v>
      </c>
      <c r="G639" s="556" t="n">
        <v>313467</v>
      </c>
      <c r="I639" s="521">
        <f>G639</f>
        <v/>
      </c>
      <c r="K639" s="521">
        <f>I639-G639</f>
        <v/>
      </c>
      <c r="M639" s="522" t="inlineStr">
        <is>
          <t>IN2021020135</t>
        </is>
      </c>
      <c r="N639" s="522" t="inlineStr"/>
      <c r="O639" s="521">
        <f>M639=N639</f>
        <v/>
      </c>
      <c r="P639" s="521">
        <f>AND(MONTH(F639)=MONTH(S639), YEAR(F639)=YEAR(S639))</f>
        <v/>
      </c>
      <c r="Q639" s="521">
        <f>U639="L001-901905215"</f>
        <v/>
      </c>
      <c r="R639" s="556">
        <f>G639-W639</f>
        <v/>
      </c>
      <c r="S639" s="521" t="n"/>
      <c r="T639" s="522" t="n"/>
      <c r="U639" s="522" t="n"/>
      <c r="V639" s="522" t="n"/>
      <c r="W639" s="521" t="n"/>
    </row>
    <row r="640">
      <c r="A640" s="521" t="n">
        <v>632</v>
      </c>
      <c r="B640" s="522" t="n"/>
      <c r="C640" s="522" t="inlineStr">
        <is>
          <t>56ប៊ី-លីង សឹបផ្លាយ ឆេន មេនេចម៉ិន ឯ.ក</t>
        </is>
      </c>
      <c r="D640" s="522" t="inlineStr">
        <is>
          <t>K004-902004795</t>
        </is>
      </c>
      <c r="E640" s="521" t="inlineStr">
        <is>
          <t>IN202102-0134</t>
        </is>
      </c>
      <c r="F640" s="523" t="n">
        <v>44252</v>
      </c>
      <c r="G640" s="556" t="n">
        <v>346035</v>
      </c>
      <c r="I640" s="521">
        <f>G640</f>
        <v/>
      </c>
      <c r="K640" s="521">
        <f>I640-G640</f>
        <v/>
      </c>
      <c r="M640" s="522" t="inlineStr">
        <is>
          <t>IN2021020134</t>
        </is>
      </c>
      <c r="N640" s="522" t="inlineStr"/>
      <c r="O640" s="521">
        <f>M640=N640</f>
        <v/>
      </c>
      <c r="P640" s="521">
        <f>AND(MONTH(F640)=MONTH(S640), YEAR(F640)=YEAR(S640))</f>
        <v/>
      </c>
      <c r="Q640" s="521">
        <f>U640="L001-901905215"</f>
        <v/>
      </c>
      <c r="R640" s="556">
        <f>G640-W640</f>
        <v/>
      </c>
      <c r="S640" s="521" t="n"/>
      <c r="T640" s="522" t="n"/>
      <c r="U640" s="522" t="n"/>
      <c r="V640" s="522" t="n"/>
      <c r="W640" s="521" t="n"/>
    </row>
    <row r="641">
      <c r="A641" s="521" t="n">
        <v>633</v>
      </c>
      <c r="B641" s="522" t="n"/>
      <c r="C641" s="522" t="inlineStr">
        <is>
          <t>56ប៊ី-លីង សឹបផ្លាយ ឆេន មេនេចម៉ិន ឯ.ក</t>
        </is>
      </c>
      <c r="D641" s="522" t="inlineStr">
        <is>
          <t>K004-902004795</t>
        </is>
      </c>
      <c r="E641" s="521" t="inlineStr">
        <is>
          <t>IN202102-0133</t>
        </is>
      </c>
      <c r="F641" s="523" t="n">
        <v>44252</v>
      </c>
      <c r="G641" s="556" t="n">
        <v>313467</v>
      </c>
      <c r="I641" s="521">
        <f>G641</f>
        <v/>
      </c>
      <c r="K641" s="521">
        <f>I641-G641</f>
        <v/>
      </c>
      <c r="M641" s="522" t="inlineStr">
        <is>
          <t>IN2021020133</t>
        </is>
      </c>
      <c r="N641" s="522" t="inlineStr"/>
      <c r="O641" s="521">
        <f>M641=N641</f>
        <v/>
      </c>
      <c r="P641" s="521">
        <f>AND(MONTH(F641)=MONTH(S641), YEAR(F641)=YEAR(S641))</f>
        <v/>
      </c>
      <c r="Q641" s="521">
        <f>U641="L001-901905215"</f>
        <v/>
      </c>
      <c r="R641" s="556">
        <f>G641-W641</f>
        <v/>
      </c>
      <c r="S641" s="521" t="n"/>
      <c r="T641" s="522" t="n"/>
      <c r="U641" s="522" t="n"/>
      <c r="V641" s="522" t="n"/>
      <c r="W641" s="521" t="n"/>
    </row>
    <row r="642">
      <c r="A642" s="521" t="n">
        <v>634</v>
      </c>
      <c r="B642" s="522" t="n"/>
      <c r="C642" s="522" t="inlineStr">
        <is>
          <t>56ប៊ី-លីង សឹបផ្លាយ ឆេន មេនេចម៉ិន ឯ.ក</t>
        </is>
      </c>
      <c r="D642" s="522" t="inlineStr">
        <is>
          <t>K004-902004795</t>
        </is>
      </c>
      <c r="E642" s="521" t="inlineStr">
        <is>
          <t>IN202102-0132</t>
        </is>
      </c>
      <c r="F642" s="523" t="n">
        <v>44252</v>
      </c>
      <c r="G642" s="556" t="n">
        <v>346035</v>
      </c>
      <c r="I642" s="521">
        <f>G642</f>
        <v/>
      </c>
      <c r="K642" s="521">
        <f>I642-G642</f>
        <v/>
      </c>
      <c r="M642" s="522" t="inlineStr">
        <is>
          <t>IN2021020132</t>
        </is>
      </c>
      <c r="N642" s="522" t="inlineStr"/>
      <c r="O642" s="521">
        <f>M642=N642</f>
        <v/>
      </c>
      <c r="P642" s="521">
        <f>AND(MONTH(F642)=MONTH(S642), YEAR(F642)=YEAR(S642))</f>
        <v/>
      </c>
      <c r="Q642" s="521">
        <f>U642="L001-901905215"</f>
        <v/>
      </c>
      <c r="R642" s="556">
        <f>G642-W642</f>
        <v/>
      </c>
      <c r="S642" s="521" t="n"/>
      <c r="T642" s="522" t="n"/>
      <c r="U642" s="522" t="n"/>
      <c r="V642" s="522" t="n"/>
      <c r="W642" s="521" t="n"/>
    </row>
    <row r="643">
      <c r="A643" s="521" t="n">
        <v>635</v>
      </c>
      <c r="B643" s="522" t="n"/>
      <c r="C643" s="522" t="inlineStr">
        <is>
          <t>56ប៊ី-លីង សឹបផ្លាយ ឆេន មេនេចម៉ិន ឯ.ក</t>
        </is>
      </c>
      <c r="D643" s="522" t="inlineStr">
        <is>
          <t>K004-902004795</t>
        </is>
      </c>
      <c r="E643" s="521" t="inlineStr">
        <is>
          <t>IN202102-0131</t>
        </is>
      </c>
      <c r="F643" s="523" t="n">
        <v>44252</v>
      </c>
      <c r="G643" s="556" t="n">
        <v>606579</v>
      </c>
      <c r="I643" s="521">
        <f>G643</f>
        <v/>
      </c>
      <c r="K643" s="521">
        <f>I643-G643</f>
        <v/>
      </c>
      <c r="M643" s="522" t="inlineStr">
        <is>
          <t>IN2021020131</t>
        </is>
      </c>
      <c r="N643" s="522" t="inlineStr"/>
      <c r="O643" s="521">
        <f>M643=N643</f>
        <v/>
      </c>
      <c r="P643" s="521">
        <f>AND(MONTH(F643)=MONTH(S643), YEAR(F643)=YEAR(S643))</f>
        <v/>
      </c>
      <c r="Q643" s="521">
        <f>U643="L001-901905215"</f>
        <v/>
      </c>
      <c r="R643" s="556">
        <f>G643-W643</f>
        <v/>
      </c>
      <c r="S643" s="521" t="n"/>
      <c r="T643" s="522" t="n"/>
      <c r="U643" s="522" t="n"/>
      <c r="V643" s="522" t="n"/>
      <c r="W643" s="521" t="n"/>
    </row>
    <row r="644">
      <c r="A644" s="521" t="n">
        <v>636</v>
      </c>
      <c r="B644" s="522" t="n"/>
      <c r="C644" s="522" t="inlineStr">
        <is>
          <t>56ប៊ី-លីង សឹបផ្លាយ ឆេន មេនេចម៉ិន ឯ.ក</t>
        </is>
      </c>
      <c r="D644" s="522" t="inlineStr">
        <is>
          <t>K004-902004795</t>
        </is>
      </c>
      <c r="E644" s="521" t="inlineStr">
        <is>
          <t>IN202102-0130</t>
        </is>
      </c>
      <c r="F644" s="523" t="n">
        <v>44252</v>
      </c>
      <c r="G644" s="556" t="n">
        <v>313467</v>
      </c>
      <c r="I644" s="521">
        <f>G644</f>
        <v/>
      </c>
      <c r="K644" s="521">
        <f>I644-G644</f>
        <v/>
      </c>
      <c r="M644" s="522" t="inlineStr">
        <is>
          <t>IN2021020130</t>
        </is>
      </c>
      <c r="N644" s="522" t="inlineStr"/>
      <c r="O644" s="521">
        <f>M644=N644</f>
        <v/>
      </c>
      <c r="P644" s="521">
        <f>AND(MONTH(F644)=MONTH(S644), YEAR(F644)=YEAR(S644))</f>
        <v/>
      </c>
      <c r="Q644" s="521">
        <f>U644="L001-901905215"</f>
        <v/>
      </c>
      <c r="R644" s="556">
        <f>G644-W644</f>
        <v/>
      </c>
      <c r="S644" s="521" t="n"/>
      <c r="T644" s="522" t="n"/>
      <c r="U644" s="522" t="n"/>
      <c r="V644" s="522" t="n"/>
      <c r="W644" s="521" t="n"/>
    </row>
    <row r="645">
      <c r="A645" s="521" t="n">
        <v>637</v>
      </c>
      <c r="B645" s="522" t="n"/>
      <c r="C645" s="522" t="inlineStr">
        <is>
          <t>56ប៊ី-លីង សឹបផ្លាយ ឆេន មេនេចម៉ិន ឯ.ក</t>
        </is>
      </c>
      <c r="D645" s="522" t="inlineStr">
        <is>
          <t>K004-902004795</t>
        </is>
      </c>
      <c r="E645" s="521" t="inlineStr">
        <is>
          <t>IN202102-0129</t>
        </is>
      </c>
      <c r="F645" s="523" t="n">
        <v>44252</v>
      </c>
      <c r="G645" s="556" t="n">
        <v>789774</v>
      </c>
      <c r="I645" s="521">
        <f>G645</f>
        <v/>
      </c>
      <c r="K645" s="521">
        <f>I645-G645</f>
        <v/>
      </c>
      <c r="M645" s="522" t="inlineStr">
        <is>
          <t>IN2021020129</t>
        </is>
      </c>
      <c r="N645" s="522" t="inlineStr"/>
      <c r="O645" s="521">
        <f>M645=N645</f>
        <v/>
      </c>
      <c r="P645" s="521">
        <f>AND(MONTH(F645)=MONTH(S645), YEAR(F645)=YEAR(S645))</f>
        <v/>
      </c>
      <c r="Q645" s="521">
        <f>U645="L001-901905215"</f>
        <v/>
      </c>
      <c r="R645" s="556">
        <f>G645-W645</f>
        <v/>
      </c>
      <c r="S645" s="521" t="n"/>
      <c r="T645" s="522" t="n"/>
      <c r="U645" s="522" t="n"/>
      <c r="V645" s="522" t="n"/>
      <c r="W645" s="521" t="n"/>
    </row>
    <row r="646">
      <c r="A646" s="521" t="n">
        <v>638</v>
      </c>
      <c r="B646" s="522" t="n"/>
      <c r="C646" s="522" t="inlineStr">
        <is>
          <t>56ប៊ី-លីង សឹបផ្លាយ ឆេន មេនេចម៉ិន ឯ.ក</t>
        </is>
      </c>
      <c r="D646" s="522" t="inlineStr">
        <is>
          <t>K004-902004795</t>
        </is>
      </c>
      <c r="E646" s="521" t="inlineStr">
        <is>
          <t>IN202102-0126</t>
        </is>
      </c>
      <c r="F646" s="523" t="n">
        <v>44252</v>
      </c>
      <c r="G646" s="556" t="n">
        <v>911904</v>
      </c>
      <c r="I646" s="521">
        <f>G646</f>
        <v/>
      </c>
      <c r="K646" s="521">
        <f>I646-G646</f>
        <v/>
      </c>
      <c r="M646" s="522" t="inlineStr">
        <is>
          <t>IN2021020126</t>
        </is>
      </c>
      <c r="N646" s="522" t="inlineStr"/>
      <c r="O646" s="521">
        <f>M646=N646</f>
        <v/>
      </c>
      <c r="P646" s="521">
        <f>AND(MONTH(F646)=MONTH(S646), YEAR(F646)=YEAR(S646))</f>
        <v/>
      </c>
      <c r="Q646" s="521">
        <f>U646="L001-901905215"</f>
        <v/>
      </c>
      <c r="R646" s="556">
        <f>G646-W646</f>
        <v/>
      </c>
      <c r="S646" s="521" t="n"/>
      <c r="T646" s="522" t="n"/>
      <c r="U646" s="522" t="n"/>
      <c r="V646" s="522" t="n"/>
      <c r="W646" s="521" t="n"/>
    </row>
    <row r="647">
      <c r="A647" s="521" t="n">
        <v>639</v>
      </c>
      <c r="B647" s="522" t="n"/>
      <c r="C647" s="522" t="inlineStr">
        <is>
          <t>56ប៊ី-លីង សឹបផ្លាយ ឆេន មេនេចម៉ិន ឯ.ក</t>
        </is>
      </c>
      <c r="D647" s="522" t="inlineStr">
        <is>
          <t>K004-902004795</t>
        </is>
      </c>
      <c r="E647" s="521" t="inlineStr">
        <is>
          <t>IN202102-0125</t>
        </is>
      </c>
      <c r="F647" s="523" t="n">
        <v>44252</v>
      </c>
      <c r="G647" s="556" t="n">
        <v>96483</v>
      </c>
      <c r="I647" s="521">
        <f>G647</f>
        <v/>
      </c>
      <c r="K647" s="521">
        <f>I647-G647</f>
        <v/>
      </c>
      <c r="M647" s="522" t="inlineStr">
        <is>
          <t>IN2021020125</t>
        </is>
      </c>
      <c r="N647" s="522" t="inlineStr"/>
      <c r="O647" s="521">
        <f>M647=N647</f>
        <v/>
      </c>
      <c r="P647" s="521">
        <f>AND(MONTH(F647)=MONTH(S647), YEAR(F647)=YEAR(S647))</f>
        <v/>
      </c>
      <c r="Q647" s="521">
        <f>U647="L001-901905215"</f>
        <v/>
      </c>
      <c r="R647" s="556">
        <f>G647-W647</f>
        <v/>
      </c>
      <c r="S647" s="521" t="n"/>
      <c r="T647" s="522" t="n"/>
      <c r="U647" s="522" t="n"/>
      <c r="V647" s="522" t="n"/>
      <c r="W647" s="521" t="n"/>
    </row>
    <row r="648">
      <c r="A648" s="521" t="n">
        <v>640</v>
      </c>
      <c r="B648" s="522" t="n"/>
      <c r="C648" s="522" t="inlineStr">
        <is>
          <t>56ប៊ី-លីង សឹបផ្លាយ ឆេន មេនេចម៉ិន ឯ.ក</t>
        </is>
      </c>
      <c r="D648" s="522" t="inlineStr">
        <is>
          <t>K004-902004795</t>
        </is>
      </c>
      <c r="E648" s="521" t="inlineStr">
        <is>
          <t>IN202102-0124</t>
        </is>
      </c>
      <c r="F648" s="523" t="n">
        <v>44252</v>
      </c>
      <c r="G648" s="556" t="n">
        <v>270722</v>
      </c>
      <c r="I648" s="521">
        <f>G648</f>
        <v/>
      </c>
      <c r="K648" s="521">
        <f>I648-G648</f>
        <v/>
      </c>
      <c r="M648" s="522" t="inlineStr">
        <is>
          <t>IN2021020124</t>
        </is>
      </c>
      <c r="N648" s="522" t="inlineStr"/>
      <c r="O648" s="521">
        <f>M648=N648</f>
        <v/>
      </c>
      <c r="P648" s="521">
        <f>AND(MONTH(F648)=MONTH(S648), YEAR(F648)=YEAR(S648))</f>
        <v/>
      </c>
      <c r="Q648" s="521">
        <f>U648="L001-901905215"</f>
        <v/>
      </c>
      <c r="R648" s="556">
        <f>G648-W648</f>
        <v/>
      </c>
      <c r="S648" s="521" t="n"/>
      <c r="T648" s="522" t="n"/>
      <c r="U648" s="522" t="n"/>
      <c r="V648" s="522" t="n"/>
      <c r="W648" s="521" t="n"/>
    </row>
    <row r="649">
      <c r="A649" s="521" t="n">
        <v>641</v>
      </c>
      <c r="B649" s="522" t="n"/>
      <c r="C649" s="522" t="inlineStr">
        <is>
          <t>56ប៊ី-លីង សឹបផ្លាយ ឆេន មេនេចម៉ិន ឯ.ក</t>
        </is>
      </c>
      <c r="D649" s="522" t="inlineStr">
        <is>
          <t>K004-902004795</t>
        </is>
      </c>
      <c r="E649" s="521" t="inlineStr">
        <is>
          <t>IN202102-0123</t>
        </is>
      </c>
      <c r="F649" s="523" t="n">
        <v>44252</v>
      </c>
      <c r="G649" s="556" t="n">
        <v>266651</v>
      </c>
      <c r="I649" s="521">
        <f>G649</f>
        <v/>
      </c>
      <c r="K649" s="521">
        <f>I649-G649</f>
        <v/>
      </c>
      <c r="M649" s="522" t="inlineStr">
        <is>
          <t>IN2021020123</t>
        </is>
      </c>
      <c r="N649" s="522" t="inlineStr"/>
      <c r="O649" s="521">
        <f>M649=N649</f>
        <v/>
      </c>
      <c r="P649" s="521">
        <f>AND(MONTH(F649)=MONTH(S649), YEAR(F649)=YEAR(S649))</f>
        <v/>
      </c>
      <c r="Q649" s="521">
        <f>U649="L001-901905215"</f>
        <v/>
      </c>
      <c r="R649" s="556">
        <f>G649-W649</f>
        <v/>
      </c>
      <c r="S649" s="521" t="n"/>
      <c r="T649" s="522" t="n"/>
      <c r="U649" s="522" t="n"/>
      <c r="V649" s="522" t="n"/>
      <c r="W649" s="521" t="n"/>
    </row>
    <row r="650">
      <c r="A650" s="521" t="n">
        <v>642</v>
      </c>
      <c r="B650" s="522" t="n"/>
      <c r="C650" s="522" t="inlineStr">
        <is>
          <t>56ប៊ី-លីង សឹបផ្លាយ ឆេន មេនេចម៉ិន ឯ.ក</t>
        </is>
      </c>
      <c r="D650" s="522" t="inlineStr">
        <is>
          <t>K004-902004795</t>
        </is>
      </c>
      <c r="E650" s="521" t="inlineStr">
        <is>
          <t>IN202102-0122</t>
        </is>
      </c>
      <c r="F650" s="523" t="n">
        <v>44252</v>
      </c>
      <c r="G650" s="556" t="n">
        <v>270722</v>
      </c>
      <c r="I650" s="521">
        <f>G650</f>
        <v/>
      </c>
      <c r="K650" s="521">
        <f>I650-G650</f>
        <v/>
      </c>
      <c r="M650" s="522" t="inlineStr">
        <is>
          <t>IN2021020122</t>
        </is>
      </c>
      <c r="N650" s="522" t="inlineStr"/>
      <c r="O650" s="521">
        <f>M650=N650</f>
        <v/>
      </c>
      <c r="P650" s="521">
        <f>AND(MONTH(F650)=MONTH(S650), YEAR(F650)=YEAR(S650))</f>
        <v/>
      </c>
      <c r="Q650" s="521">
        <f>U650="L001-901905215"</f>
        <v/>
      </c>
      <c r="R650" s="556">
        <f>G650-W650</f>
        <v/>
      </c>
      <c r="S650" s="521" t="n"/>
      <c r="T650" s="522" t="n"/>
      <c r="U650" s="522" t="n"/>
      <c r="V650" s="522" t="n"/>
      <c r="W650" s="521" t="n"/>
    </row>
    <row r="651">
      <c r="A651" s="521" t="n">
        <v>643</v>
      </c>
      <c r="B651" s="522" t="n"/>
      <c r="C651" s="522" t="inlineStr">
        <is>
          <t>56ប៊ី-លីង សឹបផ្លាយ ឆេន មេនេចម៉ិន ឯ.ក</t>
        </is>
      </c>
      <c r="D651" s="522" t="inlineStr">
        <is>
          <t>K004-902004795</t>
        </is>
      </c>
      <c r="E651" s="521" t="inlineStr">
        <is>
          <t>IN202102-0121</t>
        </is>
      </c>
      <c r="F651" s="523" t="n">
        <v>44252</v>
      </c>
      <c r="G651" s="556" t="n">
        <v>270722</v>
      </c>
      <c r="I651" s="521">
        <f>G651</f>
        <v/>
      </c>
      <c r="K651" s="521">
        <f>I651-G651</f>
        <v/>
      </c>
      <c r="M651" s="522" t="inlineStr">
        <is>
          <t>IN2021020121</t>
        </is>
      </c>
      <c r="N651" s="522" t="inlineStr"/>
      <c r="O651" s="521">
        <f>M651=N651</f>
        <v/>
      </c>
      <c r="P651" s="521">
        <f>AND(MONTH(F651)=MONTH(S651), YEAR(F651)=YEAR(S651))</f>
        <v/>
      </c>
      <c r="Q651" s="521">
        <f>U651="L001-901905215"</f>
        <v/>
      </c>
      <c r="R651" s="556">
        <f>G651-W651</f>
        <v/>
      </c>
      <c r="S651" s="521" t="n"/>
      <c r="T651" s="522" t="n"/>
      <c r="U651" s="522" t="n"/>
      <c r="V651" s="522" t="n"/>
      <c r="W651" s="521" t="n"/>
    </row>
    <row r="652">
      <c r="A652" s="521" t="n">
        <v>644</v>
      </c>
      <c r="B652" s="522" t="n"/>
      <c r="C652" s="522" t="inlineStr">
        <is>
          <t>56ប៊ី-លីង សឹបផ្លាយ ឆេន មេនេចម៉ិន ឯ.ក</t>
        </is>
      </c>
      <c r="D652" s="522" t="inlineStr">
        <is>
          <t>K004-902004795</t>
        </is>
      </c>
      <c r="E652" s="521" t="inlineStr">
        <is>
          <t>IN202102-0120</t>
        </is>
      </c>
      <c r="F652" s="523" t="n">
        <v>44252</v>
      </c>
      <c r="G652" s="556" t="n">
        <v>484449</v>
      </c>
      <c r="I652" s="521">
        <f>G652</f>
        <v/>
      </c>
      <c r="K652" s="521">
        <f>I652-G652</f>
        <v/>
      </c>
      <c r="M652" s="522" t="inlineStr">
        <is>
          <t>IN2021020120</t>
        </is>
      </c>
      <c r="N652" s="522" t="inlineStr"/>
      <c r="O652" s="521">
        <f>M652=N652</f>
        <v/>
      </c>
      <c r="P652" s="521">
        <f>AND(MONTH(F652)=MONTH(S652), YEAR(F652)=YEAR(S652))</f>
        <v/>
      </c>
      <c r="Q652" s="521">
        <f>U652="L001-901905215"</f>
        <v/>
      </c>
      <c r="R652" s="556">
        <f>G652-W652</f>
        <v/>
      </c>
      <c r="S652" s="521" t="n"/>
      <c r="T652" s="522" t="n"/>
      <c r="U652" s="522" t="n"/>
      <c r="V652" s="522" t="n"/>
      <c r="W652" s="521" t="n"/>
    </row>
    <row r="653">
      <c r="A653" s="521" t="n">
        <v>645</v>
      </c>
      <c r="B653" s="522" t="n"/>
      <c r="C653" s="522" t="inlineStr">
        <is>
          <t>56ប៊ី-លីង សឹបផ្លាយ ឆេន មេនេចម៉ិន ឯ.ក</t>
        </is>
      </c>
      <c r="D653" s="522" t="inlineStr">
        <is>
          <t>K004-902004795</t>
        </is>
      </c>
      <c r="E653" s="521" t="inlineStr">
        <is>
          <t>IN202102-0119</t>
        </is>
      </c>
      <c r="F653" s="523" t="n">
        <v>44252</v>
      </c>
      <c r="G653" s="556" t="n">
        <v>335858</v>
      </c>
      <c r="I653" s="521">
        <f>G653</f>
        <v/>
      </c>
      <c r="K653" s="521">
        <f>I653-G653</f>
        <v/>
      </c>
      <c r="M653" s="522" t="inlineStr">
        <is>
          <t>IN2021020119</t>
        </is>
      </c>
      <c r="N653" s="522" t="inlineStr"/>
      <c r="O653" s="521">
        <f>M653=N653</f>
        <v/>
      </c>
      <c r="P653" s="521">
        <f>AND(MONTH(F653)=MONTH(S653), YEAR(F653)=YEAR(S653))</f>
        <v/>
      </c>
      <c r="Q653" s="521">
        <f>U653="L001-901905215"</f>
        <v/>
      </c>
      <c r="R653" s="556">
        <f>G653-W653</f>
        <v/>
      </c>
      <c r="S653" s="521" t="n"/>
      <c r="T653" s="522" t="n"/>
      <c r="U653" s="522" t="n"/>
      <c r="V653" s="522" t="n"/>
      <c r="W653" s="521" t="n"/>
    </row>
    <row r="654">
      <c r="A654" s="521" t="n">
        <v>646</v>
      </c>
      <c r="B654" s="522" t="n"/>
      <c r="C654" s="522" t="inlineStr">
        <is>
          <t>56ប៊ី-លីង សឹបផ្លាយ ឆេន មេនេចម៉ិន ឯ.ក</t>
        </is>
      </c>
      <c r="D654" s="522" t="inlineStr">
        <is>
          <t>K004-902004795</t>
        </is>
      </c>
      <c r="E654" s="521" t="inlineStr">
        <is>
          <t>IN202102-0117</t>
        </is>
      </c>
      <c r="F654" s="523" t="n">
        <v>44252</v>
      </c>
      <c r="G654" s="556" t="n">
        <v>270722</v>
      </c>
      <c r="I654" s="521">
        <f>G654</f>
        <v/>
      </c>
      <c r="K654" s="521">
        <f>I654-G654</f>
        <v/>
      </c>
      <c r="M654" s="522" t="inlineStr">
        <is>
          <t>IN2021020117</t>
        </is>
      </c>
      <c r="N654" s="522" t="inlineStr"/>
      <c r="O654" s="521">
        <f>M654=N654</f>
        <v/>
      </c>
      <c r="P654" s="521">
        <f>AND(MONTH(F654)=MONTH(S654), YEAR(F654)=YEAR(S654))</f>
        <v/>
      </c>
      <c r="Q654" s="521">
        <f>U654="L001-901905215"</f>
        <v/>
      </c>
      <c r="R654" s="556">
        <f>G654-W654</f>
        <v/>
      </c>
      <c r="S654" s="521" t="n"/>
      <c r="T654" s="522" t="n"/>
      <c r="U654" s="522" t="n"/>
      <c r="V654" s="522" t="n"/>
      <c r="W654" s="521" t="n"/>
    </row>
    <row r="655">
      <c r="A655" s="521" t="n">
        <v>647</v>
      </c>
      <c r="B655" s="522" t="n"/>
      <c r="C655" s="522" t="inlineStr">
        <is>
          <t>56ប៊ី-លីង សឹបផ្លាយ ឆេន មេនេចម៉ិន ឯ.ក</t>
        </is>
      </c>
      <c r="D655" s="522" t="inlineStr">
        <is>
          <t>K004-902004795</t>
        </is>
      </c>
      <c r="E655" s="521" t="inlineStr">
        <is>
          <t>IN202102-0114</t>
        </is>
      </c>
      <c r="F655" s="523" t="n">
        <v>44252</v>
      </c>
      <c r="G655" s="556" t="n">
        <v>270722</v>
      </c>
      <c r="I655" s="521">
        <f>G655</f>
        <v/>
      </c>
      <c r="K655" s="521">
        <f>I655-G655</f>
        <v/>
      </c>
      <c r="M655" s="522" t="inlineStr">
        <is>
          <t>IN2021020114</t>
        </is>
      </c>
      <c r="N655" s="522" t="inlineStr"/>
      <c r="O655" s="521">
        <f>M655=N655</f>
        <v/>
      </c>
      <c r="P655" s="521">
        <f>AND(MONTH(F655)=MONTH(S655), YEAR(F655)=YEAR(S655))</f>
        <v/>
      </c>
      <c r="Q655" s="521">
        <f>U655="L001-901905215"</f>
        <v/>
      </c>
      <c r="R655" s="556">
        <f>G655-W655</f>
        <v/>
      </c>
      <c r="S655" s="521" t="n"/>
      <c r="T655" s="522" t="n"/>
      <c r="U655" s="522" t="n"/>
      <c r="V655" s="522" t="n"/>
      <c r="W655" s="521" t="n"/>
    </row>
    <row r="656">
      <c r="A656" s="521" t="n">
        <v>648</v>
      </c>
      <c r="B656" s="522" t="n"/>
      <c r="C656" s="522" t="inlineStr">
        <is>
          <t>56ប៊ី-លីង សឹបផ្លាយ ឆេន មេនេចម៉ិន ឯ.ក</t>
        </is>
      </c>
      <c r="D656" s="522" t="inlineStr">
        <is>
          <t>K004-902004795</t>
        </is>
      </c>
      <c r="E656" s="521" t="inlineStr">
        <is>
          <t>IN202102-0083</t>
        </is>
      </c>
      <c r="F656" s="523" t="n">
        <v>44252</v>
      </c>
      <c r="G656" s="556" t="n">
        <v>96483</v>
      </c>
      <c r="I656" s="521">
        <f>G656</f>
        <v/>
      </c>
      <c r="K656" s="521">
        <f>I656-G656</f>
        <v/>
      </c>
      <c r="M656" s="522" t="inlineStr">
        <is>
          <t>IN2021020083</t>
        </is>
      </c>
      <c r="N656" s="522" t="inlineStr"/>
      <c r="O656" s="521">
        <f>M656=N656</f>
        <v/>
      </c>
      <c r="P656" s="521">
        <f>AND(MONTH(F656)=MONTH(S656), YEAR(F656)=YEAR(S656))</f>
        <v/>
      </c>
      <c r="Q656" s="521">
        <f>U656="L001-901905215"</f>
        <v/>
      </c>
      <c r="R656" s="556">
        <f>G656-W656</f>
        <v/>
      </c>
      <c r="S656" s="521" t="n"/>
      <c r="T656" s="522" t="n"/>
      <c r="U656" s="522" t="n"/>
      <c r="V656" s="522" t="n"/>
      <c r="W656" s="521" t="n"/>
    </row>
    <row r="657">
      <c r="A657" s="521" t="n">
        <v>649</v>
      </c>
      <c r="B657" s="522" t="n"/>
      <c r="C657" s="522" t="inlineStr">
        <is>
          <t>56ប៊ី-លីង សឹបផ្លាយ ឆេន មេនេចម៉ិន ឯ.ក</t>
        </is>
      </c>
      <c r="D657" s="522" t="inlineStr">
        <is>
          <t>K004-902004795</t>
        </is>
      </c>
      <c r="E657" s="521" t="inlineStr">
        <is>
          <t>IN202102-0082</t>
        </is>
      </c>
      <c r="F657" s="523" t="n">
        <v>44252</v>
      </c>
      <c r="G657" s="556" t="n">
        <v>96483</v>
      </c>
      <c r="I657" s="521">
        <f>G657</f>
        <v/>
      </c>
      <c r="K657" s="521">
        <f>I657-G657</f>
        <v/>
      </c>
      <c r="M657" s="522" t="inlineStr">
        <is>
          <t>IN2021020082</t>
        </is>
      </c>
      <c r="N657" s="522" t="inlineStr"/>
      <c r="O657" s="521">
        <f>M657=N657</f>
        <v/>
      </c>
      <c r="P657" s="521">
        <f>AND(MONTH(F657)=MONTH(S657), YEAR(F657)=YEAR(S657))</f>
        <v/>
      </c>
      <c r="Q657" s="521">
        <f>U657="L001-901905215"</f>
        <v/>
      </c>
      <c r="R657" s="556">
        <f>G657-W657</f>
        <v/>
      </c>
      <c r="S657" s="521" t="n"/>
      <c r="T657" s="522" t="n"/>
      <c r="U657" s="522" t="n"/>
      <c r="V657" s="522" t="n"/>
      <c r="W657" s="521" t="n"/>
    </row>
    <row r="658">
      <c r="A658" s="521" t="n">
        <v>650</v>
      </c>
      <c r="B658" s="522" t="n"/>
      <c r="C658" s="522" t="inlineStr">
        <is>
          <t>ស៊ីងហ្គាពួរ កាតុង (ខេមបូឌា)</t>
        </is>
      </c>
      <c r="D658" s="522" t="inlineStr">
        <is>
          <t>L001-100121322</t>
        </is>
      </c>
      <c r="E658" s="521" t="inlineStr">
        <is>
          <t>V0015505</t>
        </is>
      </c>
      <c r="F658" s="523" t="n">
        <v>44229</v>
      </c>
      <c r="G658" s="556" t="n">
        <v>542030</v>
      </c>
      <c r="I658" s="521">
        <f>G658</f>
        <v/>
      </c>
      <c r="K658" s="521">
        <f>I658-G658</f>
        <v/>
      </c>
      <c r="M658" s="522" t="inlineStr">
        <is>
          <t>V0015505</t>
        </is>
      </c>
      <c r="N658" s="522" t="inlineStr">
        <is>
          <t>V0015505</t>
        </is>
      </c>
      <c r="O658" s="521">
        <f>M658=N658</f>
        <v/>
      </c>
      <c r="P658" s="521">
        <f>AND(MONTH(F658)=MONTH(S658), YEAR(F658)=YEAR(S658))</f>
        <v/>
      </c>
      <c r="Q658" s="521">
        <f>U658="L001-901905215"</f>
        <v/>
      </c>
      <c r="R658" s="556">
        <f>G658-W658</f>
        <v/>
      </c>
      <c r="S658" s="523" t="n">
        <v>44229</v>
      </c>
      <c r="T658" s="522" t="inlineStr">
        <is>
          <t>V0015505</t>
        </is>
      </c>
      <c r="U658" s="522" t="inlineStr">
        <is>
          <t>L001-901905215</t>
        </is>
      </c>
      <c r="V658" s="522" t="inlineStr">
        <is>
          <t>វីអ៊ីស៊ិន (ខេមបូឌា) អ៊ិនដាសស្ទ្រី ឯ.ក</t>
        </is>
      </c>
      <c r="W658" s="556" t="n">
        <v>542031</v>
      </c>
    </row>
    <row r="659">
      <c r="A659" s="521" t="n">
        <v>651</v>
      </c>
      <c r="B659" s="522" t="n"/>
      <c r="C659" s="522" t="inlineStr">
        <is>
          <t>ស៊ីងហ្គាពួរ កាតុង (ខេមបូឌា)</t>
        </is>
      </c>
      <c r="D659" s="522" t="inlineStr">
        <is>
          <t>L001-100121322</t>
        </is>
      </c>
      <c r="E659" s="521" t="inlineStr">
        <is>
          <t>V0015506</t>
        </is>
      </c>
      <c r="F659" s="523" t="n">
        <v>44229</v>
      </c>
      <c r="G659" s="556" t="n">
        <v>356038</v>
      </c>
      <c r="I659" s="521">
        <f>G659</f>
        <v/>
      </c>
      <c r="K659" s="521">
        <f>I659-G659</f>
        <v/>
      </c>
      <c r="M659" s="522" t="inlineStr">
        <is>
          <t>V0015506</t>
        </is>
      </c>
      <c r="N659" s="522" t="inlineStr">
        <is>
          <t>V0015506</t>
        </is>
      </c>
      <c r="O659" s="521">
        <f>M659=N659</f>
        <v/>
      </c>
      <c r="P659" s="521">
        <f>AND(MONTH(F659)=MONTH(S659), YEAR(F659)=YEAR(S659))</f>
        <v/>
      </c>
      <c r="Q659" s="521">
        <f>U659="L001-901905215"</f>
        <v/>
      </c>
      <c r="R659" s="556">
        <f>G659-W659</f>
        <v/>
      </c>
      <c r="S659" s="523" t="n">
        <v>44229</v>
      </c>
      <c r="T659" s="522" t="inlineStr">
        <is>
          <t>V0015506</t>
        </is>
      </c>
      <c r="U659" s="522" t="inlineStr">
        <is>
          <t>L001-901905215</t>
        </is>
      </c>
      <c r="V659" s="522" t="inlineStr">
        <is>
          <t>វីអ៊ីស៊ិន (ខេមបូឌា) អ៊ិនដាសស្ទ្រី ឯ.ក</t>
        </is>
      </c>
      <c r="W659" s="556" t="n">
        <v>356038</v>
      </c>
    </row>
    <row r="660">
      <c r="A660" s="521" t="n">
        <v>652</v>
      </c>
      <c r="B660" s="522" t="n"/>
      <c r="C660" s="522" t="inlineStr">
        <is>
          <t>ស៊ីងហ្គាពួរ កាតុង (ខេមបូឌា)</t>
        </is>
      </c>
      <c r="D660" s="522" t="inlineStr">
        <is>
          <t>L001-100121322</t>
        </is>
      </c>
      <c r="E660" s="521" t="inlineStr">
        <is>
          <t>V0015522</t>
        </is>
      </c>
      <c r="F660" s="523" t="n">
        <v>44231</v>
      </c>
      <c r="G660" s="556" t="n">
        <v>621528</v>
      </c>
      <c r="I660" s="521">
        <f>G660</f>
        <v/>
      </c>
      <c r="K660" s="521">
        <f>I660-G660</f>
        <v/>
      </c>
      <c r="M660" s="522" t="inlineStr">
        <is>
          <t>V0015522</t>
        </is>
      </c>
      <c r="N660" s="522" t="inlineStr">
        <is>
          <t>V0015522</t>
        </is>
      </c>
      <c r="O660" s="521">
        <f>M660=N660</f>
        <v/>
      </c>
      <c r="P660" s="521">
        <f>AND(MONTH(F660)=MONTH(S660), YEAR(F660)=YEAR(S660))</f>
        <v/>
      </c>
      <c r="Q660" s="521">
        <f>U660="L001-901905215"</f>
        <v/>
      </c>
      <c r="R660" s="556">
        <f>G660-W660</f>
        <v/>
      </c>
      <c r="S660" s="523" t="n">
        <v>44231</v>
      </c>
      <c r="T660" s="522" t="inlineStr">
        <is>
          <t>V0015522</t>
        </is>
      </c>
      <c r="U660" s="522" t="inlineStr">
        <is>
          <t>L001-901905215</t>
        </is>
      </c>
      <c r="V660" s="522" t="inlineStr">
        <is>
          <t>វីអ៊ីស៊ិន (ខេមបូឌា) អ៊ិនដាសស្ទ្រី ឯ.ក</t>
        </is>
      </c>
      <c r="W660" s="556" t="n">
        <v>621222</v>
      </c>
    </row>
    <row r="661">
      <c r="A661" s="521" t="n">
        <v>653</v>
      </c>
      <c r="B661" s="522" t="n"/>
      <c r="C661" s="522" t="inlineStr">
        <is>
          <t>ស៊ីងហ្គាពួរ កាតុង (ខេមបូឌា)</t>
        </is>
      </c>
      <c r="D661" s="522" t="inlineStr">
        <is>
          <t>L001-100121322</t>
        </is>
      </c>
      <c r="E661" s="521" t="inlineStr">
        <is>
          <t>V0015562</t>
        </is>
      </c>
      <c r="F661" s="523" t="n">
        <v>44235</v>
      </c>
      <c r="G661" s="556" t="n">
        <v>82254</v>
      </c>
      <c r="I661" s="521">
        <f>G661</f>
        <v/>
      </c>
      <c r="K661" s="521">
        <f>I661-G661</f>
        <v/>
      </c>
      <c r="M661" s="522" t="inlineStr">
        <is>
          <t>V0015562</t>
        </is>
      </c>
      <c r="N661" s="522" t="inlineStr">
        <is>
          <t>V0015562</t>
        </is>
      </c>
      <c r="O661" s="521">
        <f>M661=N661</f>
        <v/>
      </c>
      <c r="P661" s="521">
        <f>AND(MONTH(F661)=MONTH(S661), YEAR(F661)=YEAR(S661))</f>
        <v/>
      </c>
      <c r="Q661" s="521">
        <f>U661="L001-901905215"</f>
        <v/>
      </c>
      <c r="R661" s="556">
        <f>G661-W661</f>
        <v/>
      </c>
      <c r="S661" s="523" t="n">
        <v>44235</v>
      </c>
      <c r="T661" s="522" t="inlineStr">
        <is>
          <t>V0015562</t>
        </is>
      </c>
      <c r="U661" s="522" t="inlineStr">
        <is>
          <t>L001-901905215</t>
        </is>
      </c>
      <c r="V661" s="522" t="inlineStr">
        <is>
          <t>វីអ៊ីស៊ិន (ខេមបូឌា) អ៊ិនដាសស្ទ្រី ឯ.ក</t>
        </is>
      </c>
      <c r="W661" s="556" t="n">
        <v>82194</v>
      </c>
    </row>
    <row r="662">
      <c r="A662" s="521" t="n">
        <v>654</v>
      </c>
      <c r="B662" s="522" t="n"/>
      <c r="C662" s="522" t="inlineStr">
        <is>
          <t>ស៊ីងហ្គាពួរ កាតុង (ខេមបូឌា)</t>
        </is>
      </c>
      <c r="D662" s="522" t="inlineStr">
        <is>
          <t>L001-100121322</t>
        </is>
      </c>
      <c r="E662" s="521" t="inlineStr">
        <is>
          <t>V0015575</t>
        </is>
      </c>
      <c r="F662" s="523" t="n">
        <v>44236</v>
      </c>
      <c r="G662" s="556" t="n">
        <v>9773</v>
      </c>
      <c r="I662" s="521">
        <f>G662</f>
        <v/>
      </c>
      <c r="K662" s="521">
        <f>I662-G662</f>
        <v/>
      </c>
      <c r="M662" s="522" t="inlineStr">
        <is>
          <t>V0015575</t>
        </is>
      </c>
      <c r="N662" s="522" t="inlineStr">
        <is>
          <t>V0015575</t>
        </is>
      </c>
      <c r="O662" s="521">
        <f>M662=N662</f>
        <v/>
      </c>
      <c r="P662" s="521">
        <f>AND(MONTH(F662)=MONTH(S662), YEAR(F662)=YEAR(S662))</f>
        <v/>
      </c>
      <c r="Q662" s="521">
        <f>U662="L001-901905215"</f>
        <v/>
      </c>
      <c r="R662" s="556">
        <f>G662-W662</f>
        <v/>
      </c>
      <c r="S662" s="523" t="n">
        <v>44236</v>
      </c>
      <c r="T662" s="522" t="inlineStr">
        <is>
          <t>V0015575</t>
        </is>
      </c>
      <c r="U662" s="522" t="inlineStr">
        <is>
          <t>L001-901905215</t>
        </is>
      </c>
      <c r="V662" s="522" t="inlineStr">
        <is>
          <t>វីអ៊ីស៊ិន (ខេមបូឌា) អ៊ិនដាសស្ទ្រី ឯ.ក</t>
        </is>
      </c>
      <c r="W662" s="556" t="n">
        <v>9766</v>
      </c>
    </row>
    <row r="663">
      <c r="A663" s="521" t="n">
        <v>655</v>
      </c>
      <c r="B663" s="522" t="n"/>
      <c r="C663" s="522" t="inlineStr">
        <is>
          <t>ស៊ីងហ្គាពួរ កាតុង (ខេមបូឌា)</t>
        </is>
      </c>
      <c r="D663" s="522" t="inlineStr">
        <is>
          <t>L001-100121322</t>
        </is>
      </c>
      <c r="E663" s="521" t="inlineStr">
        <is>
          <t>V0015603</t>
        </is>
      </c>
      <c r="F663" s="523" t="n">
        <v>44240</v>
      </c>
      <c r="G663" s="556" t="n">
        <v>285035</v>
      </c>
      <c r="I663" s="521">
        <f>G663</f>
        <v/>
      </c>
      <c r="K663" s="521">
        <f>I663-G663</f>
        <v/>
      </c>
      <c r="M663" s="522" t="inlineStr">
        <is>
          <t>V0015603</t>
        </is>
      </c>
      <c r="N663" s="522" t="inlineStr">
        <is>
          <t>V0015603</t>
        </is>
      </c>
      <c r="O663" s="521">
        <f>M663=N663</f>
        <v/>
      </c>
      <c r="P663" s="521">
        <f>AND(MONTH(F663)=MONTH(S663), YEAR(F663)=YEAR(S663))</f>
        <v/>
      </c>
      <c r="Q663" s="521">
        <f>U663="L001-901905215"</f>
        <v/>
      </c>
      <c r="R663" s="556">
        <f>G663-W663</f>
        <v/>
      </c>
      <c r="S663" s="523" t="n">
        <v>44240</v>
      </c>
      <c r="T663" s="522" t="inlineStr">
        <is>
          <t>V0015603</t>
        </is>
      </c>
      <c r="U663" s="522" t="inlineStr">
        <is>
          <t>L001-901905215</t>
        </is>
      </c>
      <c r="V663" s="522" t="inlineStr">
        <is>
          <t>វីអ៊ីស៊ិន (ខេមបូឌា) អ៊ិនដាសស្ទ្រី ឯ.ក</t>
        </is>
      </c>
      <c r="W663" s="556" t="n">
        <v>285037</v>
      </c>
    </row>
    <row r="664">
      <c r="A664" s="521" t="n">
        <v>656</v>
      </c>
      <c r="B664" s="522" t="n"/>
      <c r="C664" s="522" t="inlineStr">
        <is>
          <t>ស៊ីងហ្គាពួរ កាតុង (ខេមបូឌា)</t>
        </is>
      </c>
      <c r="D664" s="522" t="inlineStr">
        <is>
          <t>L001-100121322</t>
        </is>
      </c>
      <c r="E664" s="521" t="inlineStr">
        <is>
          <t>V0015623</t>
        </is>
      </c>
      <c r="F664" s="523" t="n">
        <v>44242</v>
      </c>
      <c r="G664" s="556" t="n">
        <v>73767</v>
      </c>
      <c r="I664" s="521">
        <f>G664</f>
        <v/>
      </c>
      <c r="K664" s="521">
        <f>I664-G664</f>
        <v/>
      </c>
      <c r="M664" s="522" t="inlineStr">
        <is>
          <t>V0015623</t>
        </is>
      </c>
      <c r="N664" s="522" t="inlineStr">
        <is>
          <t>V0015623</t>
        </is>
      </c>
      <c r="O664" s="521">
        <f>M664=N664</f>
        <v/>
      </c>
      <c r="P664" s="521">
        <f>AND(MONTH(F664)=MONTH(S664), YEAR(F664)=YEAR(S664))</f>
        <v/>
      </c>
      <c r="Q664" s="521">
        <f>U664="L001-901905215"</f>
        <v/>
      </c>
      <c r="R664" s="556">
        <f>G664-W664</f>
        <v/>
      </c>
      <c r="S664" s="523" t="n">
        <v>44242</v>
      </c>
      <c r="T664" s="522" t="inlineStr">
        <is>
          <t>V0015623</t>
        </is>
      </c>
      <c r="U664" s="522" t="inlineStr">
        <is>
          <t>L001-901905215</t>
        </is>
      </c>
      <c r="V664" s="522" t="inlineStr">
        <is>
          <t>វីអ៊ីស៊ិន (ខេមបូឌា) អ៊ិនដាសស្ទ្រី ឯ.ក</t>
        </is>
      </c>
      <c r="W664" s="556" t="n">
        <v>73767</v>
      </c>
    </row>
    <row r="665">
      <c r="A665" s="521" t="n">
        <v>657</v>
      </c>
      <c r="B665" s="522" t="n"/>
      <c r="C665" s="522" t="inlineStr">
        <is>
          <t>ស៊ីងហ្គាពួរ កាតុង (ខេមបូឌា)</t>
        </is>
      </c>
      <c r="D665" s="522" t="inlineStr">
        <is>
          <t>L001-100121322</t>
        </is>
      </c>
      <c r="E665" s="521" t="inlineStr">
        <is>
          <t>V0015667</t>
        </is>
      </c>
      <c r="F665" s="523" t="n">
        <v>44245</v>
      </c>
      <c r="G665" s="556" t="n">
        <v>155118</v>
      </c>
      <c r="I665" s="521">
        <f>G665</f>
        <v/>
      </c>
      <c r="K665" s="521">
        <f>I665-G665</f>
        <v/>
      </c>
      <c r="M665" s="522" t="inlineStr">
        <is>
          <t>V0015667</t>
        </is>
      </c>
      <c r="N665" s="522" t="inlineStr">
        <is>
          <t>V0015667</t>
        </is>
      </c>
      <c r="O665" s="521">
        <f>M665=N665</f>
        <v/>
      </c>
      <c r="P665" s="521">
        <f>AND(MONTH(F665)=MONTH(S665), YEAR(F665)=YEAR(S665))</f>
        <v/>
      </c>
      <c r="Q665" s="521">
        <f>U665="L001-901905215"</f>
        <v/>
      </c>
      <c r="R665" s="556">
        <f>G665-W665</f>
        <v/>
      </c>
      <c r="S665" s="523" t="n">
        <v>44245</v>
      </c>
      <c r="T665" s="522" t="inlineStr">
        <is>
          <t>V0015667</t>
        </is>
      </c>
      <c r="U665" s="522" t="inlineStr">
        <is>
          <t>L001-901905215</t>
        </is>
      </c>
      <c r="V665" s="522" t="inlineStr">
        <is>
          <t>វីអ៊ីស៊ិន (ខេមបូឌា) អ៊ិនដាសស្ទ្រី ឯ.ក</t>
        </is>
      </c>
      <c r="W665" s="556" t="n">
        <v>155155</v>
      </c>
    </row>
    <row r="666">
      <c r="A666" s="521" t="n">
        <v>658</v>
      </c>
      <c r="B666" s="522" t="n"/>
      <c r="C666" s="522" t="inlineStr">
        <is>
          <t>ស៊ីងហ្គាពួរ កាតុង (ខេមបូឌា)</t>
        </is>
      </c>
      <c r="D666" s="522" t="inlineStr">
        <is>
          <t>L001-100121322</t>
        </is>
      </c>
      <c r="E666" s="521" t="inlineStr">
        <is>
          <t>V0015692</t>
        </is>
      </c>
      <c r="F666" s="523" t="n">
        <v>44249</v>
      </c>
      <c r="G666" s="556" t="n">
        <v>288483</v>
      </c>
      <c r="I666" s="521">
        <f>G666</f>
        <v/>
      </c>
      <c r="K666" s="521">
        <f>I666-G666</f>
        <v/>
      </c>
      <c r="M666" s="522" t="inlineStr">
        <is>
          <t>V0015692</t>
        </is>
      </c>
      <c r="N666" s="522" t="inlineStr">
        <is>
          <t>V0015692</t>
        </is>
      </c>
      <c r="O666" s="521">
        <f>M666=N666</f>
        <v/>
      </c>
      <c r="P666" s="521">
        <f>AND(MONTH(F666)=MONTH(S666), YEAR(F666)=YEAR(S666))</f>
        <v/>
      </c>
      <c r="Q666" s="521">
        <f>U666="L001-901905215"</f>
        <v/>
      </c>
      <c r="R666" s="556">
        <f>G666-W666</f>
        <v/>
      </c>
      <c r="S666" s="523" t="n">
        <v>44249</v>
      </c>
      <c r="T666" s="522" t="inlineStr">
        <is>
          <t>V0015692</t>
        </is>
      </c>
      <c r="U666" s="522" t="inlineStr">
        <is>
          <t>L001-901905215</t>
        </is>
      </c>
      <c r="V666" s="522" t="inlineStr">
        <is>
          <t>វីអ៊ីស៊ិន (ខេមបូឌា) អ៊ិនដាសស្ទ្រី ឯ.ក</t>
        </is>
      </c>
      <c r="W666" s="556" t="n">
        <v>288411</v>
      </c>
    </row>
    <row r="667">
      <c r="A667" s="521" t="n">
        <v>659</v>
      </c>
      <c r="B667" s="522" t="n"/>
      <c r="C667" s="522" t="inlineStr">
        <is>
          <t>ស៊ីងហ្គាពួរ កាតុង (ខេមបូឌា)</t>
        </is>
      </c>
      <c r="D667" s="522" t="inlineStr">
        <is>
          <t>L001-100121322</t>
        </is>
      </c>
      <c r="E667" s="521" t="inlineStr">
        <is>
          <t>V0015693</t>
        </is>
      </c>
      <c r="F667" s="523" t="n">
        <v>44249</v>
      </c>
      <c r="G667" s="556" t="n">
        <v>299513</v>
      </c>
      <c r="I667" s="521">
        <f>G667</f>
        <v/>
      </c>
      <c r="K667" s="521">
        <f>I667-G667</f>
        <v/>
      </c>
      <c r="M667" s="522" t="inlineStr">
        <is>
          <t>V0015693</t>
        </is>
      </c>
      <c r="N667" s="522" t="inlineStr">
        <is>
          <t>V0015693</t>
        </is>
      </c>
      <c r="O667" s="521">
        <f>M667=N667</f>
        <v/>
      </c>
      <c r="P667" s="521">
        <f>AND(MONTH(F667)=MONTH(S667), YEAR(F667)=YEAR(S667))</f>
        <v/>
      </c>
      <c r="Q667" s="521">
        <f>U667="L001-901905215"</f>
        <v/>
      </c>
      <c r="R667" s="556">
        <f>G667-W667</f>
        <v/>
      </c>
      <c r="S667" s="523" t="n">
        <v>44249</v>
      </c>
      <c r="T667" s="522" t="inlineStr">
        <is>
          <t>V0015693</t>
        </is>
      </c>
      <c r="U667" s="522" t="inlineStr">
        <is>
          <t>L001-901905215</t>
        </is>
      </c>
      <c r="V667" s="522" t="inlineStr">
        <is>
          <t>វីអ៊ីស៊ិន (ខេមបូឌា) អ៊ិនដាសស្ទ្រី ឯ.ក</t>
        </is>
      </c>
      <c r="W667" s="556" t="n">
        <v>299438</v>
      </c>
    </row>
    <row r="668">
      <c r="A668" s="521" t="n">
        <v>660</v>
      </c>
      <c r="B668" s="522" t="n"/>
      <c r="C668" s="522" t="inlineStr">
        <is>
          <t>ស៊ីងហ្គាពួរ កាតុង (ខេមបូឌា)</t>
        </is>
      </c>
      <c r="D668" s="522" t="inlineStr">
        <is>
          <t>L001-100121322</t>
        </is>
      </c>
      <c r="E668" s="521" t="inlineStr">
        <is>
          <t>V0015694</t>
        </is>
      </c>
      <c r="F668" s="523" t="n">
        <v>44249</v>
      </c>
      <c r="G668" s="556" t="n">
        <v>696572</v>
      </c>
      <c r="I668" s="521">
        <f>G668</f>
        <v/>
      </c>
      <c r="K668" s="521">
        <f>I668-G668</f>
        <v/>
      </c>
      <c r="M668" s="522" t="inlineStr">
        <is>
          <t>V0015694</t>
        </is>
      </c>
      <c r="N668" s="522" t="inlineStr">
        <is>
          <t>V0015694</t>
        </is>
      </c>
      <c r="O668" s="521">
        <f>M668=N668</f>
        <v/>
      </c>
      <c r="P668" s="521">
        <f>AND(MONTH(F668)=MONTH(S668), YEAR(F668)=YEAR(S668))</f>
        <v/>
      </c>
      <c r="Q668" s="521">
        <f>U668="L001-901905215"</f>
        <v/>
      </c>
      <c r="R668" s="556">
        <f>G668-W668</f>
        <v/>
      </c>
      <c r="S668" s="523" t="n">
        <v>44249</v>
      </c>
      <c r="T668" s="522" t="inlineStr">
        <is>
          <t>V0015694</t>
        </is>
      </c>
      <c r="U668" s="522" t="inlineStr">
        <is>
          <t>L001-901905215</t>
        </is>
      </c>
      <c r="V668" s="522" t="inlineStr">
        <is>
          <t>វីអ៊ីស៊ិន (ខេមបូឌា) អ៊ិនដាសស្ទ្រី ឯ.ក</t>
        </is>
      </c>
      <c r="W668" s="556" t="n">
        <v>696402</v>
      </c>
    </row>
    <row r="669">
      <c r="A669" s="521" t="n">
        <v>661</v>
      </c>
      <c r="B669" s="522" t="n"/>
      <c r="C669" s="522" t="inlineStr">
        <is>
          <t>ស៊ីងហ្គាពួរ កាតុង (ខេមបូឌា)</t>
        </is>
      </c>
      <c r="D669" s="522" t="inlineStr">
        <is>
          <t>L001-100121322</t>
        </is>
      </c>
      <c r="E669" s="521" t="inlineStr">
        <is>
          <t>V0015712</t>
        </is>
      </c>
      <c r="F669" s="523" t="n">
        <v>44252</v>
      </c>
      <c r="G669" s="556" t="n">
        <v>121726</v>
      </c>
      <c r="I669" s="521">
        <f>G669</f>
        <v/>
      </c>
      <c r="K669" s="521">
        <f>I669-G669</f>
        <v/>
      </c>
      <c r="M669" s="522" t="inlineStr">
        <is>
          <t>V0015712</t>
        </is>
      </c>
      <c r="N669" s="522" t="inlineStr">
        <is>
          <t>V0015712</t>
        </is>
      </c>
      <c r="O669" s="521">
        <f>M669=N669</f>
        <v/>
      </c>
      <c r="P669" s="521">
        <f>AND(MONTH(F669)=MONTH(S669), YEAR(F669)=YEAR(S669))</f>
        <v/>
      </c>
      <c r="Q669" s="521">
        <f>U669="L001-901905215"</f>
        <v/>
      </c>
      <c r="R669" s="556">
        <f>G669-W669</f>
        <v/>
      </c>
      <c r="S669" s="523" t="n">
        <v>44252</v>
      </c>
      <c r="T669" s="522" t="inlineStr">
        <is>
          <t>V0015712</t>
        </is>
      </c>
      <c r="U669" s="522" t="inlineStr">
        <is>
          <t>L001-901905215</t>
        </is>
      </c>
      <c r="V669" s="522" t="inlineStr">
        <is>
          <t>វីអ៊ីស៊ិន (ខេមបូឌា) អ៊ិនដាសស្ទ្រី ឯ.ក</t>
        </is>
      </c>
      <c r="W669" s="556" t="n">
        <v>121667</v>
      </c>
    </row>
    <row r="670">
      <c r="A670" s="521" t="n">
        <v>662</v>
      </c>
      <c r="B670" s="522" t="n"/>
      <c r="C670" s="522" t="inlineStr">
        <is>
          <t>ស៊ីងហ្គាពួរ កាតុង (ខេមបូឌា)</t>
        </is>
      </c>
      <c r="D670" s="522" t="inlineStr">
        <is>
          <t>L001-100121322</t>
        </is>
      </c>
      <c r="E670" s="521" t="inlineStr">
        <is>
          <t>V0015722</t>
        </is>
      </c>
      <c r="F670" s="523" t="n">
        <v>44253</v>
      </c>
      <c r="G670" s="556" t="n">
        <v>515624</v>
      </c>
      <c r="I670" s="521">
        <f>G670</f>
        <v/>
      </c>
      <c r="K670" s="521">
        <f>I670-G670</f>
        <v/>
      </c>
      <c r="M670" s="522" t="inlineStr">
        <is>
          <t>V0015722</t>
        </is>
      </c>
      <c r="N670" s="522" t="inlineStr">
        <is>
          <t>V0015722</t>
        </is>
      </c>
      <c r="O670" s="521">
        <f>M670=N670</f>
        <v/>
      </c>
      <c r="P670" s="521">
        <f>AND(MONTH(F670)=MONTH(S670), YEAR(F670)=YEAR(S670))</f>
        <v/>
      </c>
      <c r="Q670" s="521">
        <f>U670="L001-901905215"</f>
        <v/>
      </c>
      <c r="R670" s="556">
        <f>G670-W670</f>
        <v/>
      </c>
      <c r="S670" s="523" t="n">
        <v>44253</v>
      </c>
      <c r="T670" s="522" t="inlineStr">
        <is>
          <t>V0015722</t>
        </is>
      </c>
      <c r="U670" s="522" t="inlineStr">
        <is>
          <t>L001-901905215</t>
        </is>
      </c>
      <c r="V670" s="522" t="inlineStr">
        <is>
          <t>វីអ៊ីស៊ិន (ខេមបូឌា) អ៊ិនដាសស្ទ្រី ឯ.ក</t>
        </is>
      </c>
      <c r="W670" s="556" t="n">
        <v>515624</v>
      </c>
    </row>
    <row r="671">
      <c r="A671" s="521" t="n">
        <v>663</v>
      </c>
      <c r="B671" s="522" t="n"/>
      <c r="C671" s="522" t="inlineStr">
        <is>
          <t>ស៊ីងហ្គាពួរ កាតុង (ខេមបូឌា)</t>
        </is>
      </c>
      <c r="D671" s="522" t="inlineStr">
        <is>
          <t>L001-100121322</t>
        </is>
      </c>
      <c r="E671" s="521" t="inlineStr">
        <is>
          <t>V0015723</t>
        </is>
      </c>
      <c r="F671" s="523" t="n">
        <v>44253</v>
      </c>
      <c r="G671" s="556" t="n">
        <v>13193</v>
      </c>
      <c r="I671" s="521">
        <f>G671</f>
        <v/>
      </c>
      <c r="K671" s="521">
        <f>I671-G671</f>
        <v/>
      </c>
      <c r="M671" s="522" t="inlineStr">
        <is>
          <t>V0015723</t>
        </is>
      </c>
      <c r="N671" s="522" t="inlineStr">
        <is>
          <t>V0015723</t>
        </is>
      </c>
      <c r="O671" s="521">
        <f>M671=N671</f>
        <v/>
      </c>
      <c r="P671" s="521">
        <f>AND(MONTH(F671)=MONTH(S671), YEAR(F671)=YEAR(S671))</f>
        <v/>
      </c>
      <c r="Q671" s="521">
        <f>U671="L001-901905215"</f>
        <v/>
      </c>
      <c r="R671" s="556">
        <f>G671-W671</f>
        <v/>
      </c>
      <c r="S671" s="523" t="n">
        <v>44253</v>
      </c>
      <c r="T671" s="522" t="inlineStr">
        <is>
          <t>V0015723</t>
        </is>
      </c>
      <c r="U671" s="522" t="inlineStr">
        <is>
          <t>L001-901905215</t>
        </is>
      </c>
      <c r="V671" s="522" t="inlineStr">
        <is>
          <t>វីអ៊ីស៊ិន (ខេមបូឌា) អ៊ិនដាសស្ទ្រី ឯ.ក</t>
        </is>
      </c>
      <c r="W671" s="556" t="n">
        <v>13191</v>
      </c>
    </row>
    <row r="672">
      <c r="A672" s="521" t="n">
        <v>664</v>
      </c>
      <c r="B672" s="522" t="n"/>
      <c r="C672" s="522" t="inlineStr">
        <is>
          <t>ស៊ីងហ្គាពួរ កាតុង (ខេមបូឌា)</t>
        </is>
      </c>
      <c r="D672" s="522" t="inlineStr">
        <is>
          <t>L001-100121322</t>
        </is>
      </c>
      <c r="E672" s="521" t="inlineStr">
        <is>
          <t>V0015724</t>
        </is>
      </c>
      <c r="F672" s="523" t="n">
        <v>44253</v>
      </c>
      <c r="G672" s="556" t="n">
        <v>363158</v>
      </c>
      <c r="I672" s="521">
        <f>G672</f>
        <v/>
      </c>
      <c r="K672" s="521">
        <f>I672-G672</f>
        <v/>
      </c>
      <c r="M672" s="522" t="inlineStr">
        <is>
          <t>V0015724</t>
        </is>
      </c>
      <c r="N672" s="522" t="inlineStr">
        <is>
          <t>V0015724</t>
        </is>
      </c>
      <c r="O672" s="521">
        <f>M672=N672</f>
        <v/>
      </c>
      <c r="P672" s="521">
        <f>AND(MONTH(F672)=MONTH(S672), YEAR(F672)=YEAR(S672))</f>
        <v/>
      </c>
      <c r="Q672" s="521">
        <f>U672="L001-901905215"</f>
        <v/>
      </c>
      <c r="R672" s="556">
        <f>G672-W672</f>
        <v/>
      </c>
      <c r="S672" s="523" t="n">
        <v>44253</v>
      </c>
      <c r="T672" s="522" t="inlineStr">
        <is>
          <t>V0015724</t>
        </is>
      </c>
      <c r="U672" s="522" t="inlineStr">
        <is>
          <t>L001-901905215</t>
        </is>
      </c>
      <c r="V672" s="522" t="inlineStr">
        <is>
          <t>វីអ៊ីស៊ិន (ខេមបូឌា) អ៊ិនដាសស្ទ្រី ឯ.ក</t>
        </is>
      </c>
      <c r="W672" s="556" t="n">
        <v>363158</v>
      </c>
    </row>
    <row r="673">
      <c r="A673" s="521" t="n">
        <v>665</v>
      </c>
      <c r="B673" s="522" t="n"/>
      <c r="C673" s="522" t="inlineStr">
        <is>
          <t>ស៊ីងហ្គាពួរ កាតុង (ខេមបូឌា)</t>
        </is>
      </c>
      <c r="D673" s="522" t="inlineStr">
        <is>
          <t>L001-100121322</t>
        </is>
      </c>
      <c r="E673" s="521" t="inlineStr">
        <is>
          <t>V0015736</t>
        </is>
      </c>
      <c r="F673" s="523" t="n">
        <v>44254</v>
      </c>
      <c r="G673" s="556" t="n">
        <v>389843</v>
      </c>
      <c r="I673" s="521">
        <f>G673</f>
        <v/>
      </c>
      <c r="K673" s="521">
        <f>I673-G673</f>
        <v/>
      </c>
      <c r="M673" s="522" t="inlineStr">
        <is>
          <t>V0015736</t>
        </is>
      </c>
      <c r="N673" s="522" t="inlineStr">
        <is>
          <t>V0015736</t>
        </is>
      </c>
      <c r="O673" s="521">
        <f>M673=N673</f>
        <v/>
      </c>
      <c r="P673" s="521">
        <f>AND(MONTH(F673)=MONTH(S673), YEAR(F673)=YEAR(S673))</f>
        <v/>
      </c>
      <c r="Q673" s="521">
        <f>U673="L001-901905215"</f>
        <v/>
      </c>
      <c r="R673" s="556">
        <f>G673-W673</f>
        <v/>
      </c>
      <c r="S673" s="523" t="n">
        <v>44254</v>
      </c>
      <c r="T673" s="522" t="inlineStr">
        <is>
          <t>V0015736</t>
        </is>
      </c>
      <c r="U673" s="522" t="inlineStr">
        <is>
          <t>L001-901905215</t>
        </is>
      </c>
      <c r="V673" s="522" t="inlineStr">
        <is>
          <t>វីអ៊ីស៊ិន (ខេមបូឌា) អ៊ិនដាសស្ទ្រី ឯ.ក</t>
        </is>
      </c>
      <c r="W673" s="556" t="n">
        <v>389843</v>
      </c>
    </row>
    <row r="674">
      <c r="A674" s="521" t="n">
        <v>666</v>
      </c>
      <c r="B674" s="522" t="n"/>
      <c r="C674" s="522" t="inlineStr">
        <is>
          <t>ស៊ីងហ្គាពួរ កាតុង (ខេមបូឌា)</t>
        </is>
      </c>
      <c r="D674" s="522" t="inlineStr">
        <is>
          <t>L001-100121322</t>
        </is>
      </c>
      <c r="E674" s="521" t="inlineStr">
        <is>
          <t>V0015737</t>
        </is>
      </c>
      <c r="F674" s="523" t="n">
        <v>44254</v>
      </c>
      <c r="G674" s="556" t="n">
        <v>581249</v>
      </c>
      <c r="I674" s="521">
        <f>G674</f>
        <v/>
      </c>
      <c r="K674" s="521">
        <f>I674-G674</f>
        <v/>
      </c>
      <c r="M674" s="522" t="inlineStr">
        <is>
          <t>V0015737</t>
        </is>
      </c>
      <c r="N674" s="522" t="inlineStr">
        <is>
          <t>V0015737</t>
        </is>
      </c>
      <c r="O674" s="521">
        <f>M674=N674</f>
        <v/>
      </c>
      <c r="P674" s="521">
        <f>AND(MONTH(F674)=MONTH(S674), YEAR(F674)=YEAR(S674))</f>
        <v/>
      </c>
      <c r="Q674" s="521">
        <f>U674="L001-901905215"</f>
        <v/>
      </c>
      <c r="R674" s="556">
        <f>G674-W674</f>
        <v/>
      </c>
      <c r="S674" s="523" t="n">
        <v>44254</v>
      </c>
      <c r="T674" s="522" t="inlineStr">
        <is>
          <t>V0015737</t>
        </is>
      </c>
      <c r="U674" s="522" t="inlineStr">
        <is>
          <t>L001-901905215</t>
        </is>
      </c>
      <c r="V674" s="522" t="inlineStr">
        <is>
          <t>វីអ៊ីស៊ិន (ខេមបូឌា) អ៊ិនដាសស្ទ្រី ឯ.ក</t>
        </is>
      </c>
      <c r="W674" s="556" t="n">
        <v>581249</v>
      </c>
    </row>
    <row r="675">
      <c r="A675" s="521" t="n">
        <v>667</v>
      </c>
      <c r="B675" s="522" t="n"/>
      <c r="C675" s="522" t="inlineStr">
        <is>
          <t>អ៊ែរ៉ូ ស៊ីបភីង អេជេនស៊ី</t>
        </is>
      </c>
      <c r="D675" s="522" t="inlineStr">
        <is>
          <t>K004-901635903</t>
        </is>
      </c>
      <c r="E675" s="521" t="inlineStr">
        <is>
          <t>IKPSA2021504730</t>
        </is>
      </c>
      <c r="F675" s="523" t="n">
        <v>44242</v>
      </c>
      <c r="G675" s="556" t="n">
        <v>1850</v>
      </c>
      <c r="I675" s="521">
        <f>G675</f>
        <v/>
      </c>
      <c r="K675" s="521">
        <f>I675-G675</f>
        <v/>
      </c>
      <c r="M675" s="522" t="inlineStr">
        <is>
          <t>IKPSA2021504730</t>
        </is>
      </c>
      <c r="N675" s="522" t="inlineStr">
        <is>
          <t>IKPSA2021504730</t>
        </is>
      </c>
      <c r="O675" s="521">
        <f>M675=N675</f>
        <v/>
      </c>
      <c r="P675" s="521">
        <f>AND(MONTH(F675)=MONTH(S675), YEAR(F675)=YEAR(S675))</f>
        <v/>
      </c>
      <c r="Q675" s="521">
        <f>U675="L001-901905215"</f>
        <v/>
      </c>
      <c r="R675" s="556">
        <f>G675-W675</f>
        <v/>
      </c>
      <c r="S675" s="523" t="n">
        <v>44237</v>
      </c>
      <c r="T675" s="522" t="inlineStr">
        <is>
          <t>IKPSA2021504730</t>
        </is>
      </c>
      <c r="U675" s="522" t="inlineStr">
        <is>
          <t>L001-901905215</t>
        </is>
      </c>
      <c r="V675" s="522" t="inlineStr">
        <is>
          <t>វីអ៊ីស៊ិន (ខេមបូឌា) អ៊ិនដាសស្ទ្រី ឯ.ក</t>
        </is>
      </c>
      <c r="W675" s="556" t="n">
        <v>1851</v>
      </c>
    </row>
    <row r="676">
      <c r="A676" s="521" t="n">
        <v>668</v>
      </c>
      <c r="B676" s="522" t="n"/>
      <c r="C676" s="522" t="inlineStr">
        <is>
          <t>កំពង់ផែស្វយ័តភ្នំពេញ "ក.ស.ភ"</t>
        </is>
      </c>
      <c r="D676" s="522" t="inlineStr">
        <is>
          <t>L001-100044999</t>
        </is>
      </c>
      <c r="E676" s="521" t="inlineStr">
        <is>
          <t>INV20210101057</t>
        </is>
      </c>
      <c r="F676" s="523" t="n">
        <v>44228</v>
      </c>
      <c r="G676" s="556" t="n">
        <v>115904</v>
      </c>
      <c r="I676" s="521">
        <f>G676</f>
        <v/>
      </c>
      <c r="K676" s="521">
        <f>I676-G676</f>
        <v/>
      </c>
      <c r="M676" s="522" t="inlineStr">
        <is>
          <t>INV20210101057</t>
        </is>
      </c>
      <c r="N676" s="522" t="inlineStr"/>
      <c r="O676" s="521">
        <f>M676=N676</f>
        <v/>
      </c>
      <c r="P676" s="521">
        <f>AND(MONTH(F676)=MONTH(S676), YEAR(F676)=YEAR(S676))</f>
        <v/>
      </c>
      <c r="Q676" s="521">
        <f>U676="L001-901905215"</f>
        <v/>
      </c>
      <c r="R676" s="556">
        <f>G676-W676</f>
        <v/>
      </c>
      <c r="S676" s="521" t="n"/>
      <c r="T676" s="522" t="n"/>
      <c r="U676" s="522" t="n"/>
      <c r="V676" s="522" t="n"/>
      <c r="W676" s="521" t="n"/>
    </row>
    <row r="677">
      <c r="A677" s="521" t="n">
        <v>669</v>
      </c>
      <c r="B677" s="522" t="n"/>
      <c r="C677" s="522" t="inlineStr">
        <is>
          <t>កំពង់ផែស្វយ័តភ្នំពេញ "ក.ស.ភ"</t>
        </is>
      </c>
      <c r="D677" s="522" t="inlineStr">
        <is>
          <t>L001-100044999</t>
        </is>
      </c>
      <c r="E677" s="521" t="inlineStr">
        <is>
          <t>INV20210206142</t>
        </is>
      </c>
      <c r="F677" s="523" t="n">
        <v>44229</v>
      </c>
      <c r="G677" s="556" t="n">
        <v>29112</v>
      </c>
      <c r="I677" s="521">
        <f>G677</f>
        <v/>
      </c>
      <c r="K677" s="521">
        <f>I677-G677</f>
        <v/>
      </c>
      <c r="M677" s="522" t="inlineStr">
        <is>
          <t>INV20210206142</t>
        </is>
      </c>
      <c r="N677" s="522" t="inlineStr"/>
      <c r="O677" s="521">
        <f>M677=N677</f>
        <v/>
      </c>
      <c r="P677" s="521">
        <f>AND(MONTH(F677)=MONTH(S677), YEAR(F677)=YEAR(S677))</f>
        <v/>
      </c>
      <c r="Q677" s="521">
        <f>U677="L001-901905215"</f>
        <v/>
      </c>
      <c r="R677" s="556">
        <f>G677-W677</f>
        <v/>
      </c>
      <c r="S677" s="521" t="n"/>
      <c r="T677" s="522" t="n"/>
      <c r="U677" s="522" t="n"/>
      <c r="V677" s="522" t="n"/>
      <c r="W677" s="521" t="n"/>
    </row>
    <row r="678">
      <c r="A678" s="521" t="n">
        <v>670</v>
      </c>
      <c r="B678" s="522" t="n"/>
      <c r="C678" s="522" t="inlineStr">
        <is>
          <t>កំពង់ផែស្វយ័តភ្នំពេញ "ក.ស.ភ"</t>
        </is>
      </c>
      <c r="D678" s="522" t="inlineStr">
        <is>
          <t>L001-100044999</t>
        </is>
      </c>
      <c r="E678" s="521" t="inlineStr">
        <is>
          <t>INV20210206141</t>
        </is>
      </c>
      <c r="F678" s="523" t="n">
        <v>44229</v>
      </c>
      <c r="G678" s="556" t="n">
        <v>29112</v>
      </c>
      <c r="I678" s="521">
        <f>G678</f>
        <v/>
      </c>
      <c r="K678" s="521">
        <f>I678-G678</f>
        <v/>
      </c>
      <c r="M678" s="522" t="inlineStr">
        <is>
          <t>INV20210206141</t>
        </is>
      </c>
      <c r="N678" s="522" t="inlineStr"/>
      <c r="O678" s="521">
        <f>M678=N678</f>
        <v/>
      </c>
      <c r="P678" s="521">
        <f>AND(MONTH(F678)=MONTH(S678), YEAR(F678)=YEAR(S678))</f>
        <v/>
      </c>
      <c r="Q678" s="521">
        <f>U678="L001-901905215"</f>
        <v/>
      </c>
      <c r="R678" s="556">
        <f>G678-W678</f>
        <v/>
      </c>
      <c r="S678" s="521" t="n"/>
      <c r="T678" s="522" t="n"/>
      <c r="U678" s="522" t="n"/>
      <c r="V678" s="522" t="n"/>
      <c r="W678" s="521" t="n"/>
    </row>
    <row r="679">
      <c r="A679" s="521" t="n">
        <v>671</v>
      </c>
      <c r="B679" s="522" t="n"/>
      <c r="C679" s="522" t="inlineStr">
        <is>
          <t>កំពង់ផែស្វយ័តភ្នំពេញ "ក.ស.ភ"</t>
        </is>
      </c>
      <c r="D679" s="522" t="inlineStr">
        <is>
          <t>L001-100044999</t>
        </is>
      </c>
      <c r="E679" s="521" t="inlineStr">
        <is>
          <t>INV2021026139</t>
        </is>
      </c>
      <c r="F679" s="523" t="n">
        <v>44229</v>
      </c>
      <c r="G679" s="556" t="n">
        <v>29112</v>
      </c>
      <c r="I679" s="521">
        <f>G679</f>
        <v/>
      </c>
      <c r="K679" s="521">
        <f>I679-G679</f>
        <v/>
      </c>
      <c r="M679" s="522" t="inlineStr">
        <is>
          <t>INV2021026139</t>
        </is>
      </c>
      <c r="N679" s="522" t="inlineStr"/>
      <c r="O679" s="521">
        <f>M679=N679</f>
        <v/>
      </c>
      <c r="P679" s="521">
        <f>AND(MONTH(F679)=MONTH(S679), YEAR(F679)=YEAR(S679))</f>
        <v/>
      </c>
      <c r="Q679" s="521">
        <f>U679="L001-901905215"</f>
        <v/>
      </c>
      <c r="R679" s="556">
        <f>G679-W679</f>
        <v/>
      </c>
      <c r="S679" s="521" t="n"/>
      <c r="T679" s="522" t="n"/>
      <c r="U679" s="522" t="n"/>
      <c r="V679" s="522" t="n"/>
      <c r="W679" s="521" t="n"/>
    </row>
    <row r="680">
      <c r="A680" s="521" t="n">
        <v>672</v>
      </c>
      <c r="B680" s="522" t="n"/>
      <c r="C680" s="522" t="inlineStr">
        <is>
          <t>កំពង់ផែស្វយ័តភ្នំពេញ "ក.ស.ភ"</t>
        </is>
      </c>
      <c r="D680" s="522" t="inlineStr">
        <is>
          <t>L001-100044999</t>
        </is>
      </c>
      <c r="E680" s="521" t="inlineStr">
        <is>
          <t>INV20210207905</t>
        </is>
      </c>
      <c r="F680" s="523" t="n">
        <v>44237</v>
      </c>
      <c r="G680" s="556" t="n">
        <v>29119</v>
      </c>
      <c r="I680" s="521">
        <f>G680</f>
        <v/>
      </c>
      <c r="K680" s="521">
        <f>I680-G680</f>
        <v/>
      </c>
      <c r="M680" s="522" t="inlineStr">
        <is>
          <t>INV20210207905</t>
        </is>
      </c>
      <c r="N680" s="522" t="inlineStr"/>
      <c r="O680" s="521">
        <f>M680=N680</f>
        <v/>
      </c>
      <c r="P680" s="521">
        <f>AND(MONTH(F680)=MONTH(S680), YEAR(F680)=YEAR(S680))</f>
        <v/>
      </c>
      <c r="Q680" s="521">
        <f>U680="L001-901905215"</f>
        <v/>
      </c>
      <c r="R680" s="556">
        <f>G680-W680</f>
        <v/>
      </c>
      <c r="S680" s="521" t="n"/>
      <c r="T680" s="522" t="n"/>
      <c r="U680" s="522" t="n"/>
      <c r="V680" s="522" t="n"/>
      <c r="W680" s="521" t="n"/>
    </row>
    <row r="681">
      <c r="A681" s="521" t="n">
        <v>673</v>
      </c>
      <c r="B681" s="522" t="n"/>
      <c r="C681" s="522" t="inlineStr">
        <is>
          <t>កំពង់ផែស្វយ័តភ្នំពេញ "ក.ស.ភ"</t>
        </is>
      </c>
      <c r="D681" s="522" t="inlineStr">
        <is>
          <t>L001-100044999</t>
        </is>
      </c>
      <c r="E681" s="521" t="inlineStr">
        <is>
          <t>INV20210207903</t>
        </is>
      </c>
      <c r="F681" s="523" t="n">
        <v>44237</v>
      </c>
      <c r="G681" s="556" t="n">
        <v>58238</v>
      </c>
      <c r="I681" s="521">
        <f>G681</f>
        <v/>
      </c>
      <c r="K681" s="521">
        <f>I681-G681</f>
        <v/>
      </c>
      <c r="M681" s="522" t="inlineStr">
        <is>
          <t>INV20210207903</t>
        </is>
      </c>
      <c r="N681" s="522" t="inlineStr"/>
      <c r="O681" s="521">
        <f>M681=N681</f>
        <v/>
      </c>
      <c r="P681" s="521">
        <f>AND(MONTH(F681)=MONTH(S681), YEAR(F681)=YEAR(S681))</f>
        <v/>
      </c>
      <c r="Q681" s="521">
        <f>U681="L001-901905215"</f>
        <v/>
      </c>
      <c r="R681" s="556">
        <f>G681-W681</f>
        <v/>
      </c>
      <c r="S681" s="521" t="n"/>
      <c r="T681" s="522" t="n"/>
      <c r="U681" s="522" t="n"/>
      <c r="V681" s="522" t="n"/>
      <c r="W681" s="521" t="n"/>
    </row>
    <row r="682">
      <c r="A682" s="521" t="n">
        <v>674</v>
      </c>
      <c r="B682" s="522" t="n"/>
      <c r="C682" s="522" t="inlineStr">
        <is>
          <t>កំពង់ផែស្វយ័តភ្នំពេញ "ក.ស.ភ"</t>
        </is>
      </c>
      <c r="D682" s="522" t="inlineStr">
        <is>
          <t>L001-100044999</t>
        </is>
      </c>
      <c r="E682" s="521" t="inlineStr">
        <is>
          <t>INV20210207902</t>
        </is>
      </c>
      <c r="F682" s="523" t="n">
        <v>44237</v>
      </c>
      <c r="G682" s="556" t="n">
        <v>19425</v>
      </c>
      <c r="I682" s="521">
        <f>G682</f>
        <v/>
      </c>
      <c r="K682" s="521">
        <f>I682-G682</f>
        <v/>
      </c>
      <c r="M682" s="522" t="inlineStr">
        <is>
          <t>INV20210207902</t>
        </is>
      </c>
      <c r="N682" s="522" t="inlineStr"/>
      <c r="O682" s="521">
        <f>M682=N682</f>
        <v/>
      </c>
      <c r="P682" s="521">
        <f>AND(MONTH(F682)=MONTH(S682), YEAR(F682)=YEAR(S682))</f>
        <v/>
      </c>
      <c r="Q682" s="521">
        <f>U682="L001-901905215"</f>
        <v/>
      </c>
      <c r="R682" s="556">
        <f>G682-W682</f>
        <v/>
      </c>
      <c r="S682" s="521" t="n"/>
      <c r="T682" s="522" t="n"/>
      <c r="U682" s="522" t="n"/>
      <c r="V682" s="522" t="n"/>
      <c r="W682" s="521" t="n"/>
    </row>
    <row r="683">
      <c r="A683" s="521" t="n">
        <v>675</v>
      </c>
      <c r="B683" s="522" t="n"/>
      <c r="C683" s="522" t="inlineStr">
        <is>
          <t>កំពង់ផែស្វយ័តភ្នំពេញ "ក.ស.ភ"</t>
        </is>
      </c>
      <c r="D683" s="522" t="inlineStr">
        <is>
          <t>L001-100044999</t>
        </is>
      </c>
      <c r="E683" s="521" t="inlineStr">
        <is>
          <t>INV20210207904</t>
        </is>
      </c>
      <c r="F683" s="523" t="n">
        <v>44237</v>
      </c>
      <c r="G683" s="556" t="n">
        <v>29119</v>
      </c>
      <c r="I683" s="521">
        <f>G683</f>
        <v/>
      </c>
      <c r="K683" s="521">
        <f>I683-G683</f>
        <v/>
      </c>
      <c r="M683" s="522" t="inlineStr">
        <is>
          <t>INV20210207904</t>
        </is>
      </c>
      <c r="N683" s="522" t="inlineStr"/>
      <c r="O683" s="521">
        <f>M683=N683</f>
        <v/>
      </c>
      <c r="P683" s="521">
        <f>AND(MONTH(F683)=MONTH(S683), YEAR(F683)=YEAR(S683))</f>
        <v/>
      </c>
      <c r="Q683" s="521">
        <f>U683="L001-901905215"</f>
        <v/>
      </c>
      <c r="R683" s="556">
        <f>G683-W683</f>
        <v/>
      </c>
      <c r="S683" s="521" t="n"/>
      <c r="T683" s="522" t="n"/>
      <c r="U683" s="522" t="n"/>
      <c r="V683" s="522" t="n"/>
      <c r="W683" s="521" t="n"/>
    </row>
    <row r="684">
      <c r="A684" s="521" t="n">
        <v>676</v>
      </c>
      <c r="B684" s="522" t="n"/>
      <c r="C684" s="522" t="inlineStr">
        <is>
          <t>កំពង់ផែស្វយ័តភ្នំពេញ "ក.ស.ភ"</t>
        </is>
      </c>
      <c r="D684" s="522" t="inlineStr">
        <is>
          <t>L001-100044999</t>
        </is>
      </c>
      <c r="E684" s="521" t="inlineStr">
        <is>
          <t>INV20210207906</t>
        </is>
      </c>
      <c r="F684" s="523" t="n">
        <v>44237</v>
      </c>
      <c r="G684" s="556" t="n">
        <v>29119</v>
      </c>
      <c r="I684" s="521">
        <f>G684</f>
        <v/>
      </c>
      <c r="K684" s="521">
        <f>I684-G684</f>
        <v/>
      </c>
      <c r="M684" s="522" t="inlineStr">
        <is>
          <t>INV20210207906</t>
        </is>
      </c>
      <c r="N684" s="522" t="inlineStr"/>
      <c r="O684" s="521">
        <f>M684=N684</f>
        <v/>
      </c>
      <c r="P684" s="521">
        <f>AND(MONTH(F684)=MONTH(S684), YEAR(F684)=YEAR(S684))</f>
        <v/>
      </c>
      <c r="Q684" s="521">
        <f>U684="L001-901905215"</f>
        <v/>
      </c>
      <c r="R684" s="556">
        <f>G684-W684</f>
        <v/>
      </c>
      <c r="S684" s="521" t="n"/>
      <c r="T684" s="522" t="n"/>
      <c r="U684" s="522" t="n"/>
      <c r="V684" s="522" t="n"/>
      <c r="W684" s="521" t="n"/>
    </row>
    <row r="685">
      <c r="A685" s="521" t="n">
        <v>677</v>
      </c>
      <c r="B685" s="522" t="n"/>
      <c r="C685" s="522" t="inlineStr">
        <is>
          <t>កំពង់ផែស្វយ័តភ្នំពេញ "ក.ស.ភ"</t>
        </is>
      </c>
      <c r="D685" s="522" t="inlineStr">
        <is>
          <t>L001-100044999</t>
        </is>
      </c>
      <c r="E685" s="521" t="inlineStr">
        <is>
          <t>INV20210207901</t>
        </is>
      </c>
      <c r="F685" s="523" t="n">
        <v>44237</v>
      </c>
      <c r="G685" s="556" t="n">
        <v>58238</v>
      </c>
      <c r="I685" s="521">
        <f>G685</f>
        <v/>
      </c>
      <c r="K685" s="521">
        <f>I685-G685</f>
        <v/>
      </c>
      <c r="M685" s="522" t="inlineStr">
        <is>
          <t>INV20210207901</t>
        </is>
      </c>
      <c r="N685" s="522" t="inlineStr"/>
      <c r="O685" s="521">
        <f>M685=N685</f>
        <v/>
      </c>
      <c r="P685" s="521">
        <f>AND(MONTH(F685)=MONTH(S685), YEAR(F685)=YEAR(S685))</f>
        <v/>
      </c>
      <c r="Q685" s="521">
        <f>U685="L001-901905215"</f>
        <v/>
      </c>
      <c r="R685" s="556">
        <f>G685-W685</f>
        <v/>
      </c>
      <c r="S685" s="521" t="n"/>
      <c r="T685" s="522" t="n"/>
      <c r="U685" s="522" t="n"/>
      <c r="V685" s="522" t="n"/>
      <c r="W685" s="521" t="n"/>
    </row>
    <row r="686">
      <c r="A686" s="521" t="n">
        <v>678</v>
      </c>
      <c r="B686" s="522" t="n"/>
      <c r="C686" s="522" t="inlineStr">
        <is>
          <t>កំពង់ផែស្វយ័តភ្នំពេញ "ក.ស.ភ"</t>
        </is>
      </c>
      <c r="D686" s="522" t="inlineStr">
        <is>
          <t>L001-100044999</t>
        </is>
      </c>
      <c r="E686" s="521" t="inlineStr">
        <is>
          <t>INV20210207907</t>
        </is>
      </c>
      <c r="F686" s="523" t="n">
        <v>44237</v>
      </c>
      <c r="G686" s="556" t="n">
        <v>29119</v>
      </c>
      <c r="I686" s="521">
        <f>G686</f>
        <v/>
      </c>
      <c r="K686" s="521">
        <f>I686-G686</f>
        <v/>
      </c>
      <c r="M686" s="522" t="inlineStr">
        <is>
          <t>INV20210207907</t>
        </is>
      </c>
      <c r="N686" s="522" t="inlineStr"/>
      <c r="O686" s="521">
        <f>M686=N686</f>
        <v/>
      </c>
      <c r="P686" s="521">
        <f>AND(MONTH(F686)=MONTH(S686), YEAR(F686)=YEAR(S686))</f>
        <v/>
      </c>
      <c r="Q686" s="521">
        <f>U686="L001-901905215"</f>
        <v/>
      </c>
      <c r="R686" s="556">
        <f>G686-W686</f>
        <v/>
      </c>
      <c r="S686" s="521" t="n"/>
      <c r="T686" s="522" t="n"/>
      <c r="U686" s="522" t="n"/>
      <c r="V686" s="522" t="n"/>
      <c r="W686" s="521" t="n"/>
    </row>
    <row r="687">
      <c r="A687" s="521" t="n">
        <v>679</v>
      </c>
      <c r="B687" s="522" t="n"/>
      <c r="C687" s="522" t="inlineStr">
        <is>
          <t>កំពង់ផែស្វយ័តភ្នំពេញ "ក.ស.ភ"</t>
        </is>
      </c>
      <c r="D687" s="522" t="inlineStr">
        <is>
          <t>L001-100044999</t>
        </is>
      </c>
      <c r="E687" s="521" t="inlineStr">
        <is>
          <t>INV20210207908</t>
        </is>
      </c>
      <c r="F687" s="523" t="n">
        <v>44237</v>
      </c>
      <c r="G687" s="556" t="n">
        <v>48544</v>
      </c>
      <c r="I687" s="521">
        <f>G687</f>
        <v/>
      </c>
      <c r="K687" s="521">
        <f>I687-G687</f>
        <v/>
      </c>
      <c r="M687" s="522" t="inlineStr">
        <is>
          <t>INV20210207908</t>
        </is>
      </c>
      <c r="N687" s="522" t="inlineStr"/>
      <c r="O687" s="521">
        <f>M687=N687</f>
        <v/>
      </c>
      <c r="P687" s="521">
        <f>AND(MONTH(F687)=MONTH(S687), YEAR(F687)=YEAR(S687))</f>
        <v/>
      </c>
      <c r="Q687" s="521">
        <f>U687="L001-901905215"</f>
        <v/>
      </c>
      <c r="R687" s="556">
        <f>G687-W687</f>
        <v/>
      </c>
      <c r="S687" s="521" t="n"/>
      <c r="T687" s="522" t="n"/>
      <c r="U687" s="522" t="n"/>
      <c r="V687" s="522" t="n"/>
      <c r="W687" s="521" t="n"/>
    </row>
    <row r="688">
      <c r="A688" s="521" t="n">
        <v>680</v>
      </c>
      <c r="B688" s="522" t="n"/>
      <c r="C688" s="522" t="inlineStr">
        <is>
          <t>កំពង់ផែស្វយ័តភ្នំពេញ "ក.ស.ភ"</t>
        </is>
      </c>
      <c r="D688" s="522" t="inlineStr">
        <is>
          <t>L001-100044999</t>
        </is>
      </c>
      <c r="E688" s="521" t="inlineStr">
        <is>
          <t>INV20210207909</t>
        </is>
      </c>
      <c r="F688" s="523" t="n">
        <v>44237</v>
      </c>
      <c r="G688" s="556" t="n">
        <v>29119</v>
      </c>
      <c r="I688" s="521">
        <f>G688</f>
        <v/>
      </c>
      <c r="K688" s="521">
        <f>I688-G688</f>
        <v/>
      </c>
      <c r="M688" s="522" t="inlineStr">
        <is>
          <t>INV20210207909</t>
        </is>
      </c>
      <c r="N688" s="522" t="inlineStr"/>
      <c r="O688" s="521">
        <f>M688=N688</f>
        <v/>
      </c>
      <c r="P688" s="521">
        <f>AND(MONTH(F688)=MONTH(S688), YEAR(F688)=YEAR(S688))</f>
        <v/>
      </c>
      <c r="Q688" s="521">
        <f>U688="L001-901905215"</f>
        <v/>
      </c>
      <c r="R688" s="556">
        <f>G688-W688</f>
        <v/>
      </c>
      <c r="S688" s="521" t="n"/>
      <c r="T688" s="522" t="n"/>
      <c r="U688" s="522" t="n"/>
      <c r="V688" s="522" t="n"/>
      <c r="W688" s="521" t="n"/>
    </row>
    <row r="689">
      <c r="A689" s="521" t="n">
        <v>681</v>
      </c>
      <c r="B689" s="522" t="n"/>
      <c r="C689" s="522" t="inlineStr">
        <is>
          <t>អ៊ែរ៉ូ ស៊ីបភីង អេជេនស៊ី</t>
        </is>
      </c>
      <c r="D689" s="522" t="inlineStr">
        <is>
          <t>K004-901635903</t>
        </is>
      </c>
      <c r="E689" s="521" t="inlineStr">
        <is>
          <t>IKPSA2021505618</t>
        </is>
      </c>
      <c r="F689" s="523" t="n">
        <v>44252</v>
      </c>
      <c r="G689" s="556" t="n">
        <v>3700</v>
      </c>
      <c r="I689" s="521">
        <f>G689</f>
        <v/>
      </c>
      <c r="K689" s="521">
        <f>I689-G689</f>
        <v/>
      </c>
      <c r="M689" s="522" t="inlineStr">
        <is>
          <t>IKPSA2021505618</t>
        </is>
      </c>
      <c r="N689" s="522" t="inlineStr">
        <is>
          <t>IKPSA2021505618</t>
        </is>
      </c>
      <c r="O689" s="521">
        <f>M689=N689</f>
        <v/>
      </c>
      <c r="P689" s="521">
        <f>AND(MONTH(F689)=MONTH(S689), YEAR(F689)=YEAR(S689))</f>
        <v/>
      </c>
      <c r="Q689" s="521">
        <f>U689="L001-901905215"</f>
        <v/>
      </c>
      <c r="R689" s="556">
        <f>G689-W689</f>
        <v/>
      </c>
      <c r="S689" s="523" t="n">
        <v>44249</v>
      </c>
      <c r="T689" s="522" t="inlineStr">
        <is>
          <t>IKPSA2021505618</t>
        </is>
      </c>
      <c r="U689" s="522" t="inlineStr">
        <is>
          <t>L001-901905215</t>
        </is>
      </c>
      <c r="V689" s="522" t="inlineStr">
        <is>
          <t>វីអ៊ីស៊ិន (ខេមបូឌា) អ៊ិនដាសស្ទ្រី ឯ.ក</t>
        </is>
      </c>
      <c r="W689" s="556" t="n">
        <v>3703</v>
      </c>
    </row>
    <row r="690">
      <c r="A690" s="521" t="n">
        <v>682</v>
      </c>
      <c r="B690" s="522" t="n"/>
      <c r="C690" s="522" t="inlineStr">
        <is>
          <t>សូស៊ីយេតេ កុងសេស្យូនែរ ដឺ ឡាអេរ៉ូព័រ</t>
        </is>
      </c>
      <c r="D690" s="522" t="inlineStr">
        <is>
          <t>L001-100047300</t>
        </is>
      </c>
      <c r="E690" s="521" t="inlineStr">
        <is>
          <t>2100006750</t>
        </is>
      </c>
      <c r="F690" s="523" t="n">
        <v>44232</v>
      </c>
      <c r="G690" s="556" t="n">
        <v>10029</v>
      </c>
      <c r="I690" s="521">
        <f>G690</f>
        <v/>
      </c>
      <c r="K690" s="521">
        <f>I690-G690</f>
        <v/>
      </c>
      <c r="M690" s="522" t="inlineStr">
        <is>
          <t>2100006750</t>
        </is>
      </c>
      <c r="N690" s="522" t="inlineStr"/>
      <c r="O690" s="521">
        <f>M690=N690</f>
        <v/>
      </c>
      <c r="P690" s="521">
        <f>AND(MONTH(F690)=MONTH(S690), YEAR(F690)=YEAR(S690))</f>
        <v/>
      </c>
      <c r="Q690" s="521">
        <f>U690="L001-901905215"</f>
        <v/>
      </c>
      <c r="R690" s="556">
        <f>G690-W690</f>
        <v/>
      </c>
      <c r="S690" s="521" t="n"/>
      <c r="T690" s="522" t="n"/>
      <c r="U690" s="522" t="n"/>
      <c r="V690" s="522" t="n"/>
      <c r="W690" s="521" t="n"/>
    </row>
    <row r="691">
      <c r="A691" s="521" t="n">
        <v>683</v>
      </c>
      <c r="B691" s="522" t="n"/>
      <c r="C691" s="522" t="inlineStr">
        <is>
          <t>កំពង់ផែស្វយ័តក្រុងព្រះសីហនុ</t>
        </is>
      </c>
      <c r="D691" s="522" t="inlineStr">
        <is>
          <t>L001-100044638</t>
        </is>
      </c>
      <c r="E691" s="521" t="inlineStr">
        <is>
          <t>000032905</t>
        </is>
      </c>
      <c r="F691" s="523" t="n">
        <v>44253</v>
      </c>
      <c r="G691" s="556" t="n">
        <v>35400</v>
      </c>
      <c r="I691" s="521">
        <f>G691</f>
        <v/>
      </c>
      <c r="K691" s="521">
        <f>I691-G691</f>
        <v/>
      </c>
      <c r="M691" s="522" t="inlineStr">
        <is>
          <t>000032905</t>
        </is>
      </c>
      <c r="N691" s="522" t="inlineStr"/>
      <c r="O691" s="521">
        <f>M691=N691</f>
        <v/>
      </c>
      <c r="P691" s="521">
        <f>AND(MONTH(F691)=MONTH(S691), YEAR(F691)=YEAR(S691))</f>
        <v/>
      </c>
      <c r="Q691" s="521">
        <f>U691="L001-901905215"</f>
        <v/>
      </c>
      <c r="R691" s="556">
        <f>G691-W691</f>
        <v/>
      </c>
      <c r="S691" s="521" t="n"/>
      <c r="T691" s="522" t="n"/>
      <c r="U691" s="522" t="n"/>
      <c r="V691" s="522" t="n"/>
      <c r="W691" s="521" t="n"/>
    </row>
    <row r="692">
      <c r="A692" s="521" t="n">
        <v>684</v>
      </c>
      <c r="B692" s="522" t="n"/>
      <c r="C692" s="522" t="inlineStr">
        <is>
          <t>អ៊ែរ៉ូ ស៊ីបភីង អេជេនស៊ី</t>
        </is>
      </c>
      <c r="D692" s="522" t="inlineStr">
        <is>
          <t>K004-901635903</t>
        </is>
      </c>
      <c r="E692" s="521" t="inlineStr">
        <is>
          <t>IKPSA20215056623</t>
        </is>
      </c>
      <c r="F692" s="523" t="n">
        <v>44252</v>
      </c>
      <c r="G692" s="556" t="n">
        <v>113960</v>
      </c>
      <c r="I692" s="521">
        <f>G692</f>
        <v/>
      </c>
      <c r="K692" s="521">
        <f>I692-G692</f>
        <v/>
      </c>
      <c r="M692" s="522" t="inlineStr">
        <is>
          <t>IKPSA20215056623</t>
        </is>
      </c>
      <c r="N692" s="522" t="inlineStr"/>
      <c r="O692" s="521">
        <f>M692=N692</f>
        <v/>
      </c>
      <c r="P692" s="521">
        <f>AND(MONTH(F692)=MONTH(S692), YEAR(F692)=YEAR(S692))</f>
        <v/>
      </c>
      <c r="Q692" s="521">
        <f>U692="L001-901905215"</f>
        <v/>
      </c>
      <c r="R692" s="556">
        <f>G692-W692</f>
        <v/>
      </c>
      <c r="S692" s="521" t="n"/>
      <c r="T692" s="522" t="n"/>
      <c r="U692" s="522" t="n"/>
      <c r="V692" s="522" t="n"/>
      <c r="W692" s="521" t="n"/>
    </row>
    <row r="693">
      <c r="A693" s="521" t="n">
        <v>685</v>
      </c>
      <c r="B693" s="522" t="n"/>
      <c r="C693" s="522" t="inlineStr">
        <is>
          <t>អ៊ែរ៉ូ ស៊ីបភីង អេជេនស៊ី</t>
        </is>
      </c>
      <c r="D693" s="522" t="inlineStr">
        <is>
          <t>K004-901635903</t>
        </is>
      </c>
      <c r="E693" s="521" t="inlineStr">
        <is>
          <t>IKPSA2021505622</t>
        </is>
      </c>
      <c r="F693" s="523" t="n">
        <v>44252</v>
      </c>
      <c r="G693" s="556" t="n">
        <v>97680</v>
      </c>
      <c r="I693" s="521">
        <f>G693</f>
        <v/>
      </c>
      <c r="K693" s="521">
        <f>I693-G693</f>
        <v/>
      </c>
      <c r="M693" s="522" t="inlineStr">
        <is>
          <t>IKPSA2021505622</t>
        </is>
      </c>
      <c r="N693" s="522" t="inlineStr">
        <is>
          <t>IKPSA2021505622</t>
        </is>
      </c>
      <c r="O693" s="521">
        <f>M693=N693</f>
        <v/>
      </c>
      <c r="P693" s="521">
        <f>AND(MONTH(F693)=MONTH(S693), YEAR(F693)=YEAR(S693))</f>
        <v/>
      </c>
      <c r="Q693" s="521">
        <f>U693="L001-901905215"</f>
        <v/>
      </c>
      <c r="R693" s="556">
        <f>G693-W693</f>
        <v/>
      </c>
      <c r="S693" s="523" t="n">
        <v>44249</v>
      </c>
      <c r="T693" s="522" t="inlineStr">
        <is>
          <t>IKPSA2021505622</t>
        </is>
      </c>
      <c r="U693" s="522" t="inlineStr">
        <is>
          <t>L001-901905215</t>
        </is>
      </c>
      <c r="V693" s="522" t="inlineStr">
        <is>
          <t>វីអ៊ីស៊ិន (ខេមបូឌា) អ៊ិនដាសស្ទ្រី ឯ.ក</t>
        </is>
      </c>
      <c r="W693" s="556" t="n">
        <v>97656</v>
      </c>
    </row>
    <row r="694">
      <c r="A694" s="521" t="n">
        <v>686</v>
      </c>
      <c r="B694" s="522" t="n"/>
      <c r="C694" s="522" t="inlineStr">
        <is>
          <t>អ៊ែរ៉ូ ស៊ីបភីង អេជេនស៊ី</t>
        </is>
      </c>
      <c r="D694" s="522" t="inlineStr">
        <is>
          <t>K004-901635903</t>
        </is>
      </c>
      <c r="E694" s="521" t="inlineStr">
        <is>
          <t>IKPSA2021505621</t>
        </is>
      </c>
      <c r="F694" s="523" t="n">
        <v>44252</v>
      </c>
      <c r="G694" s="556" t="n">
        <v>1850</v>
      </c>
      <c r="I694" s="521">
        <f>G694</f>
        <v/>
      </c>
      <c r="K694" s="521">
        <f>I694-G694</f>
        <v/>
      </c>
      <c r="M694" s="522" t="inlineStr">
        <is>
          <t>IKPSA2021505621</t>
        </is>
      </c>
      <c r="N694" s="522" t="inlineStr">
        <is>
          <t>IKPSA2021505621</t>
        </is>
      </c>
      <c r="O694" s="521">
        <f>M694=N694</f>
        <v/>
      </c>
      <c r="P694" s="521">
        <f>AND(MONTH(F694)=MONTH(S694), YEAR(F694)=YEAR(S694))</f>
        <v/>
      </c>
      <c r="Q694" s="521">
        <f>U694="L001-901905215"</f>
        <v/>
      </c>
      <c r="R694" s="556">
        <f>G694-W694</f>
        <v/>
      </c>
      <c r="S694" s="523" t="n">
        <v>44249</v>
      </c>
      <c r="T694" s="522" t="inlineStr">
        <is>
          <t>IKPSA2021505621</t>
        </is>
      </c>
      <c r="U694" s="522" t="inlineStr">
        <is>
          <t>L001-901905215</t>
        </is>
      </c>
      <c r="V694" s="522" t="inlineStr">
        <is>
          <t>វីអ៊ីស៊ិន (ខេមបូឌា) អ៊ិនដាសស្ទ្រី ឯ.ក</t>
        </is>
      </c>
      <c r="W694" s="556" t="n">
        <v>1851</v>
      </c>
    </row>
    <row r="695">
      <c r="A695" s="521" t="n">
        <v>687</v>
      </c>
      <c r="B695" s="522" t="n"/>
      <c r="C695" s="522" t="inlineStr">
        <is>
          <t>អ៊ែរ៉ូ ស៊ីបភីង អេជេនស៊ី</t>
        </is>
      </c>
      <c r="D695" s="522" t="inlineStr">
        <is>
          <t>K004-901635903</t>
        </is>
      </c>
      <c r="E695" s="521" t="inlineStr">
        <is>
          <t>IKPSA2021505620</t>
        </is>
      </c>
      <c r="F695" s="523" t="n">
        <v>44252</v>
      </c>
      <c r="G695" s="556" t="n">
        <v>175010</v>
      </c>
      <c r="I695" s="521">
        <f>G695</f>
        <v/>
      </c>
      <c r="K695" s="521">
        <f>I695-G695</f>
        <v/>
      </c>
      <c r="M695" s="522" t="inlineStr">
        <is>
          <t>IKPSA2021505620</t>
        </is>
      </c>
      <c r="N695" s="522" t="inlineStr">
        <is>
          <t>IKPSA2021505620</t>
        </is>
      </c>
      <c r="O695" s="521">
        <f>M695=N695</f>
        <v/>
      </c>
      <c r="P695" s="521">
        <f>AND(MONTH(F695)=MONTH(S695), YEAR(F695)=YEAR(S695))</f>
        <v/>
      </c>
      <c r="Q695" s="521">
        <f>U695="L001-901905215"</f>
        <v/>
      </c>
      <c r="R695" s="556">
        <f>G695-W695</f>
        <v/>
      </c>
      <c r="S695" s="523" t="n">
        <v>44249</v>
      </c>
      <c r="T695" s="522" t="inlineStr">
        <is>
          <t>IKPSA2021505620</t>
        </is>
      </c>
      <c r="U695" s="522" t="inlineStr">
        <is>
          <t>L001-901905215</t>
        </is>
      </c>
      <c r="V695" s="522" t="inlineStr">
        <is>
          <t>វីអ៊ីស៊ិន (ខេមបូឌា) អ៊ិនដាសស្ទ្រី ឯ.ក</t>
        </is>
      </c>
      <c r="W695" s="556" t="n">
        <v>174967</v>
      </c>
    </row>
    <row r="696">
      <c r="A696" s="521" t="n">
        <v>688</v>
      </c>
      <c r="B696" s="522" t="n"/>
      <c r="C696" s="522" t="inlineStr">
        <is>
          <t>អ៊ែរ៉ូ ស៊ីបភីង អេជេនស៊ី</t>
        </is>
      </c>
      <c r="D696" s="522" t="inlineStr">
        <is>
          <t>K004-901635903</t>
        </is>
      </c>
      <c r="E696" s="521" t="inlineStr">
        <is>
          <t>IKPSA2021505619</t>
        </is>
      </c>
      <c r="F696" s="523" t="n">
        <v>44252</v>
      </c>
      <c r="G696" s="556" t="n">
        <v>146520</v>
      </c>
      <c r="I696" s="521">
        <f>G696</f>
        <v/>
      </c>
      <c r="K696" s="521">
        <f>I696-G696</f>
        <v/>
      </c>
      <c r="M696" s="522" t="inlineStr">
        <is>
          <t>IKPSA2021505619</t>
        </is>
      </c>
      <c r="N696" s="522" t="inlineStr">
        <is>
          <t>IKPSA2021505619</t>
        </is>
      </c>
      <c r="O696" s="521">
        <f>M696=N696</f>
        <v/>
      </c>
      <c r="P696" s="521">
        <f>AND(MONTH(F696)=MONTH(S696), YEAR(F696)=YEAR(S696))</f>
        <v/>
      </c>
      <c r="Q696" s="521">
        <f>U696="L001-901905215"</f>
        <v/>
      </c>
      <c r="R696" s="556">
        <f>G696-W696</f>
        <v/>
      </c>
      <c r="S696" s="523" t="n">
        <v>44249</v>
      </c>
      <c r="T696" s="522" t="inlineStr">
        <is>
          <t>IKPSA2021505619</t>
        </is>
      </c>
      <c r="U696" s="522" t="inlineStr">
        <is>
          <t>L001-901905215</t>
        </is>
      </c>
      <c r="V696" s="522" t="inlineStr">
        <is>
          <t>វីអ៊ីស៊ិន (ខេមបូឌា) អ៊ិនដាសស្ទ្រី ឯ.ក</t>
        </is>
      </c>
      <c r="W696" s="556" t="n">
        <v>146484</v>
      </c>
    </row>
    <row r="697">
      <c r="A697" s="521" t="n">
        <v>689</v>
      </c>
      <c r="B697" s="522" t="n"/>
      <c r="C697" s="522" t="inlineStr">
        <is>
          <t>កំពង់ផែស្វយ័តក្រុងព្រះសីហនុ</t>
        </is>
      </c>
      <c r="D697" s="522" t="inlineStr">
        <is>
          <t>L001-100044638</t>
        </is>
      </c>
      <c r="E697" s="521" t="inlineStr">
        <is>
          <t>000032906</t>
        </is>
      </c>
      <c r="F697" s="523" t="n">
        <v>44253</v>
      </c>
      <c r="G697" s="556" t="n">
        <v>58594</v>
      </c>
      <c r="I697" s="521">
        <f>G697</f>
        <v/>
      </c>
      <c r="K697" s="521">
        <f>I697-G697</f>
        <v/>
      </c>
      <c r="M697" s="522" t="inlineStr">
        <is>
          <t>000032906</t>
        </is>
      </c>
      <c r="N697" s="522" t="inlineStr"/>
      <c r="O697" s="521">
        <f>M697=N697</f>
        <v/>
      </c>
      <c r="P697" s="521">
        <f>AND(MONTH(F697)=MONTH(S697), YEAR(F697)=YEAR(S697))</f>
        <v/>
      </c>
      <c r="Q697" s="521">
        <f>U697="L001-901905215"</f>
        <v/>
      </c>
      <c r="R697" s="556">
        <f>G697-W697</f>
        <v/>
      </c>
      <c r="S697" s="521" t="n"/>
      <c r="T697" s="522" t="n"/>
      <c r="U697" s="522" t="n"/>
      <c r="V697" s="522" t="n"/>
      <c r="W697" s="521" t="n"/>
    </row>
    <row r="698">
      <c r="A698" s="521" t="n">
        <v>690</v>
      </c>
      <c r="B698" s="522" t="n"/>
      <c r="C698" s="522" t="inlineStr">
        <is>
          <t>កំពង់ផែស្វយ័តក្រុងព្រះសីហនុ</t>
        </is>
      </c>
      <c r="D698" s="522" t="inlineStr">
        <is>
          <t>L001-100044638</t>
        </is>
      </c>
      <c r="E698" s="521" t="inlineStr">
        <is>
          <t>000030981</t>
        </is>
      </c>
      <c r="F698" s="523" t="n">
        <v>44250</v>
      </c>
      <c r="G698" s="556" t="n">
        <v>57387</v>
      </c>
      <c r="I698" s="521">
        <f>G698</f>
        <v/>
      </c>
      <c r="K698" s="521">
        <f>I698-G698</f>
        <v/>
      </c>
      <c r="M698" s="522" t="inlineStr">
        <is>
          <t>000030981</t>
        </is>
      </c>
      <c r="N698" s="522" t="inlineStr"/>
      <c r="O698" s="521">
        <f>M698=N698</f>
        <v/>
      </c>
      <c r="P698" s="521">
        <f>AND(MONTH(F698)=MONTH(S698), YEAR(F698)=YEAR(S698))</f>
        <v/>
      </c>
      <c r="Q698" s="521">
        <f>U698="L001-901905215"</f>
        <v/>
      </c>
      <c r="R698" s="556">
        <f>G698-W698</f>
        <v/>
      </c>
      <c r="S698" s="521" t="n"/>
      <c r="T698" s="522" t="n"/>
      <c r="U698" s="522" t="n"/>
      <c r="V698" s="522" t="n"/>
      <c r="W698" s="521" t="n"/>
    </row>
    <row r="699">
      <c r="A699" s="521" t="n">
        <v>691</v>
      </c>
      <c r="B699" s="522" t="n"/>
      <c r="C699" s="522" t="inlineStr">
        <is>
          <t>អ៊ែរ៉ូ ស៊ីបភីង អេជេនស៊ី</t>
        </is>
      </c>
      <c r="D699" s="522" t="inlineStr">
        <is>
          <t>K004-901635903</t>
        </is>
      </c>
      <c r="E699" s="521" t="inlineStr">
        <is>
          <t>IKPSA2021504732</t>
        </is>
      </c>
      <c r="F699" s="523" t="n">
        <v>44242</v>
      </c>
      <c r="G699" s="556" t="n">
        <v>113960</v>
      </c>
      <c r="I699" s="521">
        <f>G699</f>
        <v/>
      </c>
      <c r="K699" s="521">
        <f>I699-G699</f>
        <v/>
      </c>
      <c r="M699" s="522" t="inlineStr">
        <is>
          <t>IKPSA2021504732</t>
        </is>
      </c>
      <c r="N699" s="522" t="inlineStr">
        <is>
          <t>IKPSA2021504732</t>
        </is>
      </c>
      <c r="O699" s="521">
        <f>M699=N699</f>
        <v/>
      </c>
      <c r="P699" s="521">
        <f>AND(MONTH(F699)=MONTH(S699), YEAR(F699)=YEAR(S699))</f>
        <v/>
      </c>
      <c r="Q699" s="521">
        <f>U699="L001-901905215"</f>
        <v/>
      </c>
      <c r="R699" s="556">
        <f>G699-W699</f>
        <v/>
      </c>
      <c r="S699" s="523" t="n">
        <v>44237</v>
      </c>
      <c r="T699" s="522" t="inlineStr">
        <is>
          <t>IKPSA2021504732</t>
        </is>
      </c>
      <c r="U699" s="522" t="inlineStr">
        <is>
          <t>L001-901905215</t>
        </is>
      </c>
      <c r="V699" s="522" t="inlineStr">
        <is>
          <t>វីអ៊ីស៊ិន (ខេមបូឌា) អ៊ិនដាសស្ទ្រី ឯ.ក</t>
        </is>
      </c>
      <c r="W699" s="556" t="n">
        <v>113932</v>
      </c>
    </row>
    <row r="700">
      <c r="A700" s="521" t="n">
        <v>692</v>
      </c>
      <c r="B700" s="522" t="n"/>
      <c r="C700" s="522" t="inlineStr">
        <is>
          <t>អ៊ែរ៉ូ ស៊ីបភីង អេជេនស៊ី</t>
        </is>
      </c>
      <c r="D700" s="522" t="inlineStr">
        <is>
          <t>K004-901635903</t>
        </is>
      </c>
      <c r="E700" s="521" t="inlineStr">
        <is>
          <t>IKPSA2021504731</t>
        </is>
      </c>
      <c r="F700" s="523" t="n">
        <v>44242</v>
      </c>
      <c r="G700" s="556" t="n">
        <v>97680</v>
      </c>
      <c r="I700" s="521">
        <f>G700</f>
        <v/>
      </c>
      <c r="K700" s="521">
        <f>I700-G700</f>
        <v/>
      </c>
      <c r="M700" s="522" t="inlineStr">
        <is>
          <t>IKPSA2021504731</t>
        </is>
      </c>
      <c r="N700" s="522" t="inlineStr">
        <is>
          <t>IKPSA2021504731</t>
        </is>
      </c>
      <c r="O700" s="521">
        <f>M700=N700</f>
        <v/>
      </c>
      <c r="P700" s="521">
        <f>AND(MONTH(F700)=MONTH(S700), YEAR(F700)=YEAR(S700))</f>
        <v/>
      </c>
      <c r="Q700" s="521">
        <f>U700="L001-901905215"</f>
        <v/>
      </c>
      <c r="R700" s="556">
        <f>G700-W700</f>
        <v/>
      </c>
      <c r="S700" s="523" t="n">
        <v>44237</v>
      </c>
      <c r="T700" s="522" t="inlineStr">
        <is>
          <t>IKPSA2021504731</t>
        </is>
      </c>
      <c r="U700" s="522" t="inlineStr">
        <is>
          <t>L001-901905215</t>
        </is>
      </c>
      <c r="V700" s="522" t="inlineStr">
        <is>
          <t>វីអ៊ីស៊ិន (ខេមបូឌា) អ៊ិនដាសស្ទ្រី ឯ.ក</t>
        </is>
      </c>
      <c r="W700" s="556" t="n">
        <v>97656</v>
      </c>
    </row>
    <row r="701">
      <c r="A701" s="521" t="n">
        <v>693</v>
      </c>
      <c r="B701" s="522" t="n"/>
      <c r="C701" s="522" t="inlineStr">
        <is>
          <t>កំពង់ផែស្វយ័តក្រុងព្រះសីហនុ</t>
        </is>
      </c>
      <c r="D701" s="522" t="inlineStr">
        <is>
          <t>L001-100044638</t>
        </is>
      </c>
      <c r="E701" s="521" t="inlineStr">
        <is>
          <t>000030979</t>
        </is>
      </c>
      <c r="F701" s="523" t="n">
        <v>44250</v>
      </c>
      <c r="G701" s="556" t="n">
        <v>57387</v>
      </c>
      <c r="I701" s="521">
        <f>G701</f>
        <v/>
      </c>
      <c r="K701" s="521">
        <f>I701-G701</f>
        <v/>
      </c>
      <c r="M701" s="522" t="inlineStr">
        <is>
          <t>000030979</t>
        </is>
      </c>
      <c r="N701" s="522" t="inlineStr"/>
      <c r="O701" s="521">
        <f>M701=N701</f>
        <v/>
      </c>
      <c r="P701" s="521">
        <f>AND(MONTH(F701)=MONTH(S701), YEAR(F701)=YEAR(S701))</f>
        <v/>
      </c>
      <c r="Q701" s="521">
        <f>U701="L001-901905215"</f>
        <v/>
      </c>
      <c r="R701" s="556">
        <f>G701-W701</f>
        <v/>
      </c>
      <c r="S701" s="521" t="n"/>
      <c r="T701" s="522" t="n"/>
      <c r="U701" s="522" t="n"/>
      <c r="V701" s="522" t="n"/>
      <c r="W701" s="521" t="n"/>
    </row>
    <row r="702">
      <c r="A702" s="521" t="n">
        <v>694</v>
      </c>
      <c r="B702" s="522" t="n"/>
      <c r="C702" s="522" t="inlineStr">
        <is>
          <t>អ៊ែរ៉ូ ស៊ីបភីង អេជេនស៊ី</t>
        </is>
      </c>
      <c r="D702" s="522" t="inlineStr">
        <is>
          <t>K004-901635903</t>
        </is>
      </c>
      <c r="E702" s="521" t="inlineStr">
        <is>
          <t>IKPSA2021504639</t>
        </is>
      </c>
      <c r="F702" s="523" t="n">
        <v>44242</v>
      </c>
      <c r="G702" s="556" t="n">
        <v>113960</v>
      </c>
      <c r="I702" s="521">
        <f>G702</f>
        <v/>
      </c>
      <c r="K702" s="521">
        <f>I702-G702</f>
        <v/>
      </c>
      <c r="M702" s="522" t="inlineStr">
        <is>
          <t>IKPSA2021504639</t>
        </is>
      </c>
      <c r="N702" s="522" t="inlineStr">
        <is>
          <t>IKPSA2021504639</t>
        </is>
      </c>
      <c r="O702" s="521">
        <f>M702=N702</f>
        <v/>
      </c>
      <c r="P702" s="521">
        <f>AND(MONTH(F702)=MONTH(S702), YEAR(F702)=YEAR(S702))</f>
        <v/>
      </c>
      <c r="Q702" s="521">
        <f>U702="L001-901905215"</f>
        <v/>
      </c>
      <c r="R702" s="556">
        <f>G702-W702</f>
        <v/>
      </c>
      <c r="S702" s="523" t="n">
        <v>44237</v>
      </c>
      <c r="T702" s="522" t="inlineStr">
        <is>
          <t>IKPSA2021504639</t>
        </is>
      </c>
      <c r="U702" s="522" t="inlineStr">
        <is>
          <t>L001-901905215</t>
        </is>
      </c>
      <c r="V702" s="522" t="inlineStr">
        <is>
          <t>វីអ៊ីស៊ិន (ខេមបូឌា) អ៊ិនដាសស្ទ្រី ឯ.ក</t>
        </is>
      </c>
      <c r="W702" s="556" t="n">
        <v>113932</v>
      </c>
    </row>
    <row r="703">
      <c r="A703" s="521" t="n">
        <v>695</v>
      </c>
      <c r="B703" s="522" t="n"/>
      <c r="C703" s="522" t="inlineStr">
        <is>
          <t>អ៊ែរ៉ូ ស៊ីបភីង អេជេនស៊ី</t>
        </is>
      </c>
      <c r="D703" s="522" t="inlineStr">
        <is>
          <t>K004-901635903</t>
        </is>
      </c>
      <c r="E703" s="521" t="inlineStr">
        <is>
          <t>IKPSA2021504638</t>
        </is>
      </c>
      <c r="F703" s="523" t="n">
        <v>44242</v>
      </c>
      <c r="G703" s="556" t="n">
        <v>97680</v>
      </c>
      <c r="I703" s="521">
        <f>G703</f>
        <v/>
      </c>
      <c r="K703" s="521">
        <f>I703-G703</f>
        <v/>
      </c>
      <c r="M703" s="522" t="inlineStr">
        <is>
          <t>IKPSA2021504638</t>
        </is>
      </c>
      <c r="N703" s="522" t="inlineStr">
        <is>
          <t>IKPSA2021504638</t>
        </is>
      </c>
      <c r="O703" s="521">
        <f>M703=N703</f>
        <v/>
      </c>
      <c r="P703" s="521">
        <f>AND(MONTH(F703)=MONTH(S703), YEAR(F703)=YEAR(S703))</f>
        <v/>
      </c>
      <c r="Q703" s="521">
        <f>U703="L001-901905215"</f>
        <v/>
      </c>
      <c r="R703" s="556">
        <f>G703-W703</f>
        <v/>
      </c>
      <c r="S703" s="523" t="n">
        <v>44237</v>
      </c>
      <c r="T703" s="522" t="inlineStr">
        <is>
          <t>IKPSA2021504638</t>
        </is>
      </c>
      <c r="U703" s="522" t="inlineStr">
        <is>
          <t>L001-901905215</t>
        </is>
      </c>
      <c r="V703" s="522" t="inlineStr">
        <is>
          <t>វីអ៊ីស៊ិន (ខេមបូឌា) អ៊ិនដាសស្ទ្រី ឯ.ក</t>
        </is>
      </c>
      <c r="W703" s="556" t="n">
        <v>97656</v>
      </c>
    </row>
    <row r="704">
      <c r="A704" s="521" t="n">
        <v>696</v>
      </c>
      <c r="B704" s="522" t="n"/>
      <c r="C704" s="522" t="inlineStr">
        <is>
          <t>អ៊ែរ៉ូ ស៊ីបភីង អេជេនស៊ី</t>
        </is>
      </c>
      <c r="D704" s="522" t="inlineStr">
        <is>
          <t>K004-901635903</t>
        </is>
      </c>
      <c r="E704" s="521" t="inlineStr">
        <is>
          <t>IKPSA2021504637</t>
        </is>
      </c>
      <c r="F704" s="523" t="n">
        <v>44242</v>
      </c>
      <c r="G704" s="556" t="n">
        <v>1850</v>
      </c>
      <c r="I704" s="521">
        <f>G704</f>
        <v/>
      </c>
      <c r="K704" s="521">
        <f>I704-G704</f>
        <v/>
      </c>
      <c r="M704" s="522" t="inlineStr">
        <is>
          <t>IKPSA2021504637</t>
        </is>
      </c>
      <c r="N704" s="522" t="inlineStr">
        <is>
          <t>IKPSA2021504637</t>
        </is>
      </c>
      <c r="O704" s="521">
        <f>M704=N704</f>
        <v/>
      </c>
      <c r="P704" s="521">
        <f>AND(MONTH(F704)=MONTH(S704), YEAR(F704)=YEAR(S704))</f>
        <v/>
      </c>
      <c r="Q704" s="521">
        <f>U704="L001-901905215"</f>
        <v/>
      </c>
      <c r="R704" s="556">
        <f>G704-W704</f>
        <v/>
      </c>
      <c r="S704" s="523" t="n">
        <v>44237</v>
      </c>
      <c r="T704" s="522" t="inlineStr">
        <is>
          <t>IKPSA2021504637</t>
        </is>
      </c>
      <c r="U704" s="522" t="inlineStr">
        <is>
          <t>L001-901905215</t>
        </is>
      </c>
      <c r="V704" s="522" t="inlineStr">
        <is>
          <t>វីអ៊ីស៊ិន (ខេមបូឌា) អ៊ិនដាសស្ទ្រី ឯ.ក</t>
        </is>
      </c>
      <c r="W704" s="556" t="n">
        <v>1851</v>
      </c>
    </row>
    <row r="705">
      <c r="A705" s="521" t="n">
        <v>697</v>
      </c>
      <c r="B705" s="522" t="n"/>
      <c r="C705" s="522" t="inlineStr">
        <is>
          <t>សូស៊ីយេតេ កុងសេស្យូនែរ ដឺ ឡាអេរ៉ូព័រ</t>
        </is>
      </c>
      <c r="D705" s="522" t="inlineStr">
        <is>
          <t>L001-100047300</t>
        </is>
      </c>
      <c r="E705" s="521" t="inlineStr">
        <is>
          <t>2100006752</t>
        </is>
      </c>
      <c r="F705" s="523" t="n">
        <v>44232</v>
      </c>
      <c r="G705" s="556" t="n">
        <v>47157</v>
      </c>
      <c r="I705" s="521">
        <f>G705</f>
        <v/>
      </c>
      <c r="K705" s="521">
        <f>I705-G705</f>
        <v/>
      </c>
      <c r="M705" s="522" t="inlineStr">
        <is>
          <t>2100006752</t>
        </is>
      </c>
      <c r="N705" s="522" t="inlineStr"/>
      <c r="O705" s="521">
        <f>M705=N705</f>
        <v/>
      </c>
      <c r="P705" s="521">
        <f>AND(MONTH(F705)=MONTH(S705), YEAR(F705)=YEAR(S705))</f>
        <v/>
      </c>
      <c r="Q705" s="521">
        <f>U705="L001-901905215"</f>
        <v/>
      </c>
      <c r="R705" s="556">
        <f>G705-W705</f>
        <v/>
      </c>
      <c r="S705" s="521" t="n"/>
      <c r="T705" s="522" t="n"/>
      <c r="U705" s="522" t="n"/>
      <c r="V705" s="522" t="n"/>
      <c r="W705" s="521" t="n"/>
    </row>
    <row r="706">
      <c r="A706" s="521" t="n">
        <v>698</v>
      </c>
      <c r="B706" s="522" t="n"/>
      <c r="C706" s="522" t="inlineStr">
        <is>
          <t>សូស៊ីយេតេ កុងសេស្យូនែរ ដឺ ឡាអេរ៉ូព័រ</t>
        </is>
      </c>
      <c r="D706" s="522" t="inlineStr">
        <is>
          <t>L001-100047300</t>
        </is>
      </c>
      <c r="E706" s="521" t="inlineStr">
        <is>
          <t>2100006754</t>
        </is>
      </c>
      <c r="F706" s="523" t="n">
        <v>44232</v>
      </c>
      <c r="G706" s="556" t="n">
        <v>1562</v>
      </c>
      <c r="I706" s="521">
        <f>G706</f>
        <v/>
      </c>
      <c r="K706" s="521">
        <f>I706-G706</f>
        <v/>
      </c>
      <c r="M706" s="522" t="inlineStr">
        <is>
          <t>2100006754</t>
        </is>
      </c>
      <c r="N706" s="522" t="inlineStr"/>
      <c r="O706" s="521">
        <f>M706=N706</f>
        <v/>
      </c>
      <c r="P706" s="521">
        <f>AND(MONTH(F706)=MONTH(S706), YEAR(F706)=YEAR(S706))</f>
        <v/>
      </c>
      <c r="Q706" s="521">
        <f>U706="L001-901905215"</f>
        <v/>
      </c>
      <c r="R706" s="556">
        <f>G706-W706</f>
        <v/>
      </c>
      <c r="S706" s="521" t="n"/>
      <c r="T706" s="522" t="n"/>
      <c r="U706" s="522" t="n"/>
      <c r="V706" s="522" t="n"/>
      <c r="W706" s="521" t="n"/>
    </row>
    <row r="707">
      <c r="A707" s="521" t="n">
        <v>699</v>
      </c>
      <c r="B707" s="522" t="n"/>
      <c r="C707" s="522" t="inlineStr">
        <is>
          <t>សូស៊ីយេតេ កុងសេស្យូនែរ ដឺ ឡាអេរ៉ូព័រ</t>
        </is>
      </c>
      <c r="D707" s="522" t="inlineStr">
        <is>
          <t>L001-100047300</t>
        </is>
      </c>
      <c r="E707" s="521" t="inlineStr">
        <is>
          <t>2100006751</t>
        </is>
      </c>
      <c r="F707" s="523" t="n">
        <v>44232</v>
      </c>
      <c r="G707" s="556" t="n">
        <v>25795</v>
      </c>
      <c r="I707" s="521">
        <f>G707</f>
        <v/>
      </c>
      <c r="K707" s="521">
        <f>I707-G707</f>
        <v/>
      </c>
      <c r="M707" s="522" t="inlineStr">
        <is>
          <t>2100006751</t>
        </is>
      </c>
      <c r="N707" s="522" t="inlineStr"/>
      <c r="O707" s="521">
        <f>M707=N707</f>
        <v/>
      </c>
      <c r="P707" s="521">
        <f>AND(MONTH(F707)=MONTH(S707), YEAR(F707)=YEAR(S707))</f>
        <v/>
      </c>
      <c r="Q707" s="521">
        <f>U707="L001-901905215"</f>
        <v/>
      </c>
      <c r="R707" s="556">
        <f>G707-W707</f>
        <v/>
      </c>
      <c r="S707" s="521" t="n"/>
      <c r="T707" s="522" t="n"/>
      <c r="U707" s="522" t="n"/>
      <c r="V707" s="522" t="n"/>
      <c r="W707" s="521" t="n"/>
    </row>
    <row r="708">
      <c r="A708" s="521" t="n">
        <v>700</v>
      </c>
      <c r="B708" s="522" t="n"/>
      <c r="C708" s="522" t="inlineStr">
        <is>
          <t>សូស៊ីយេតេ កុងសេស្យូនែរ ដឺ ឡាអេរ៉ូព័រ</t>
        </is>
      </c>
      <c r="D708" s="522" t="inlineStr">
        <is>
          <t>L001-100047300</t>
        </is>
      </c>
      <c r="E708" s="521" t="inlineStr">
        <is>
          <t>2100006756</t>
        </is>
      </c>
      <c r="F708" s="523" t="n">
        <v>44232</v>
      </c>
      <c r="G708" s="556" t="n">
        <v>80084</v>
      </c>
      <c r="I708" s="521">
        <f>G708</f>
        <v/>
      </c>
      <c r="K708" s="521">
        <f>I708-G708</f>
        <v/>
      </c>
      <c r="M708" s="522" t="inlineStr">
        <is>
          <t>2100006756</t>
        </is>
      </c>
      <c r="N708" s="522" t="inlineStr"/>
      <c r="O708" s="521">
        <f>M708=N708</f>
        <v/>
      </c>
      <c r="P708" s="521">
        <f>AND(MONTH(F708)=MONTH(S708), YEAR(F708)=YEAR(S708))</f>
        <v/>
      </c>
      <c r="Q708" s="521">
        <f>U708="L001-901905215"</f>
        <v/>
      </c>
      <c r="R708" s="556">
        <f>G708-W708</f>
        <v/>
      </c>
      <c r="S708" s="521" t="n"/>
      <c r="T708" s="522" t="n"/>
      <c r="U708" s="522" t="n"/>
      <c r="V708" s="522" t="n"/>
      <c r="W708" s="521" t="n"/>
    </row>
    <row r="709">
      <c r="A709" s="521" t="n">
        <v>701</v>
      </c>
      <c r="B709" s="522" t="n"/>
      <c r="C709" s="522" t="inlineStr">
        <is>
          <t>សូស៊ីយេតេ កុងសេស្យូនែរ ដឺ ឡាអេរ៉ូព័រ</t>
        </is>
      </c>
      <c r="D709" s="522" t="inlineStr">
        <is>
          <t>L001-100047300</t>
        </is>
      </c>
      <c r="E709" s="521" t="inlineStr">
        <is>
          <t>2100006755</t>
        </is>
      </c>
      <c r="F709" s="523" t="n">
        <v>44232</v>
      </c>
      <c r="G709" s="556" t="n">
        <v>10714</v>
      </c>
      <c r="I709" s="521">
        <f>G709</f>
        <v/>
      </c>
      <c r="K709" s="521">
        <f>I709-G709</f>
        <v/>
      </c>
      <c r="M709" s="522" t="inlineStr">
        <is>
          <t>2100006755</t>
        </is>
      </c>
      <c r="N709" s="522" t="inlineStr"/>
      <c r="O709" s="521">
        <f>M709=N709</f>
        <v/>
      </c>
      <c r="P709" s="521">
        <f>AND(MONTH(F709)=MONTH(S709), YEAR(F709)=YEAR(S709))</f>
        <v/>
      </c>
      <c r="Q709" s="521">
        <f>U709="L001-901905215"</f>
        <v/>
      </c>
      <c r="R709" s="556">
        <f>G709-W709</f>
        <v/>
      </c>
      <c r="S709" s="521" t="n"/>
      <c r="T709" s="522" t="n"/>
      <c r="U709" s="522" t="n"/>
      <c r="V709" s="522" t="n"/>
      <c r="W709" s="521" t="n"/>
    </row>
    <row r="710">
      <c r="A710" s="521" t="n">
        <v>702</v>
      </c>
      <c r="B710" s="522" t="n"/>
      <c r="C710" s="522" t="inlineStr">
        <is>
          <t>សូស៊ីយេតេ កុងសេស្យូនែរ ដឺ ឡាអេរ៉ូព័រ</t>
        </is>
      </c>
      <c r="D710" s="522" t="inlineStr">
        <is>
          <t>L001-100047300</t>
        </is>
      </c>
      <c r="E710" s="521" t="inlineStr">
        <is>
          <t>2100006758</t>
        </is>
      </c>
      <c r="F710" s="523" t="n">
        <v>44232</v>
      </c>
      <c r="G710" s="556" t="n">
        <v>24197</v>
      </c>
      <c r="I710" s="521">
        <f>G710</f>
        <v/>
      </c>
      <c r="K710" s="521">
        <f>I710-G710</f>
        <v/>
      </c>
      <c r="M710" s="522" t="inlineStr">
        <is>
          <t>2100006758</t>
        </is>
      </c>
      <c r="N710" s="522" t="inlineStr"/>
      <c r="O710" s="521">
        <f>M710=N710</f>
        <v/>
      </c>
      <c r="P710" s="521">
        <f>AND(MONTH(F710)=MONTH(S710), YEAR(F710)=YEAR(S710))</f>
        <v/>
      </c>
      <c r="Q710" s="521">
        <f>U710="L001-901905215"</f>
        <v/>
      </c>
      <c r="R710" s="556">
        <f>G710-W710</f>
        <v/>
      </c>
      <c r="S710" s="521" t="n"/>
      <c r="T710" s="522" t="n"/>
      <c r="U710" s="522" t="n"/>
      <c r="V710" s="522" t="n"/>
      <c r="W710" s="521" t="n"/>
    </row>
    <row r="711">
      <c r="A711" s="521" t="n">
        <v>703</v>
      </c>
      <c r="B711" s="522" t="n"/>
      <c r="C711" s="522" t="inlineStr">
        <is>
          <t>សូស៊ីយេតេ កុងសេស្យូនែរ ដឺ ឡាអេរ៉ូព័រ</t>
        </is>
      </c>
      <c r="D711" s="522" t="inlineStr">
        <is>
          <t>L001-100047300</t>
        </is>
      </c>
      <c r="E711" s="521" t="inlineStr">
        <is>
          <t>2100006757</t>
        </is>
      </c>
      <c r="F711" s="523" t="n">
        <v>44232</v>
      </c>
      <c r="G711" s="556" t="n">
        <v>51002</v>
      </c>
      <c r="I711" s="521">
        <f>G711</f>
        <v/>
      </c>
      <c r="K711" s="521">
        <f>I711-G711</f>
        <v/>
      </c>
      <c r="M711" s="522" t="inlineStr">
        <is>
          <t>2100006757</t>
        </is>
      </c>
      <c r="N711" s="522" t="inlineStr"/>
      <c r="O711" s="521">
        <f>M711=N711</f>
        <v/>
      </c>
      <c r="P711" s="521">
        <f>AND(MONTH(F711)=MONTH(S711), YEAR(F711)=YEAR(S711))</f>
        <v/>
      </c>
      <c r="Q711" s="521">
        <f>U711="L001-901905215"</f>
        <v/>
      </c>
      <c r="R711" s="556">
        <f>G711-W711</f>
        <v/>
      </c>
      <c r="S711" s="521" t="n"/>
      <c r="T711" s="522" t="n"/>
      <c r="U711" s="522" t="n"/>
      <c r="V711" s="522" t="n"/>
      <c r="W711" s="521" t="n"/>
    </row>
    <row r="712">
      <c r="A712" s="521" t="n">
        <v>704</v>
      </c>
      <c r="B712" s="522" t="n"/>
      <c r="C712" s="522" t="inlineStr">
        <is>
          <t>សូស៊ីយេតេ កុងសេស្យូនែរ ដឺ ឡាអេរ៉ូព័រ</t>
        </is>
      </c>
      <c r="D712" s="522" t="inlineStr">
        <is>
          <t>L001-100047300</t>
        </is>
      </c>
      <c r="E712" s="521" t="inlineStr">
        <is>
          <t>2100006753</t>
        </is>
      </c>
      <c r="F712" s="523" t="n">
        <v>44232</v>
      </c>
      <c r="G712" s="556" t="n">
        <v>6480</v>
      </c>
      <c r="I712" s="521">
        <f>G712</f>
        <v/>
      </c>
      <c r="K712" s="521">
        <f>I712-G712</f>
        <v/>
      </c>
      <c r="M712" s="522" t="inlineStr">
        <is>
          <t>2100006753</t>
        </is>
      </c>
      <c r="N712" s="522" t="inlineStr"/>
      <c r="O712" s="521">
        <f>M712=N712</f>
        <v/>
      </c>
      <c r="P712" s="521">
        <f>AND(MONTH(F712)=MONTH(S712), YEAR(F712)=YEAR(S712))</f>
        <v/>
      </c>
      <c r="Q712" s="521">
        <f>U712="L001-901905215"</f>
        <v/>
      </c>
      <c r="R712" s="556">
        <f>G712-W712</f>
        <v/>
      </c>
      <c r="S712" s="521" t="n"/>
      <c r="T712" s="522" t="n"/>
      <c r="U712" s="522" t="n"/>
      <c r="V712" s="522" t="n"/>
      <c r="W712" s="521" t="n"/>
    </row>
    <row r="713">
      <c r="A713" s="521" t="n">
        <v>705</v>
      </c>
      <c r="B713" s="522" t="n"/>
      <c r="C713" s="522" t="inlineStr">
        <is>
          <t>កំពង់ផែស្វយ័តភ្នំពេញ "ក.ស.ភ"</t>
        </is>
      </c>
      <c r="D713" s="522" t="inlineStr">
        <is>
          <t>L001-100044999</t>
        </is>
      </c>
      <c r="E713" s="521" t="inlineStr">
        <is>
          <t>20210211339</t>
        </is>
      </c>
      <c r="F713" s="523" t="n">
        <v>44254</v>
      </c>
      <c r="G713" s="556" t="n">
        <v>87336</v>
      </c>
      <c r="I713" s="521">
        <f>G713</f>
        <v/>
      </c>
      <c r="K713" s="521">
        <f>I713-G713</f>
        <v/>
      </c>
      <c r="M713" s="522" t="inlineStr">
        <is>
          <t>20210211339</t>
        </is>
      </c>
      <c r="N713" s="522" t="inlineStr"/>
      <c r="O713" s="521">
        <f>M713=N713</f>
        <v/>
      </c>
      <c r="P713" s="521">
        <f>AND(MONTH(F713)=MONTH(S713), YEAR(F713)=YEAR(S713))</f>
        <v/>
      </c>
      <c r="Q713" s="521">
        <f>U713="L001-901905215"</f>
        <v/>
      </c>
      <c r="R713" s="556">
        <f>G713-W713</f>
        <v/>
      </c>
      <c r="S713" s="521" t="n"/>
      <c r="T713" s="522" t="n"/>
      <c r="U713" s="522" t="n"/>
      <c r="V713" s="522" t="n"/>
      <c r="W713" s="521" t="n"/>
    </row>
    <row r="714">
      <c r="A714" s="521" t="n">
        <v>706</v>
      </c>
      <c r="B714" s="522" t="n"/>
      <c r="C714" s="522" t="inlineStr">
        <is>
          <t>កំពង់ផែស្វយ័តភ្នំពេញ "ក.ស.ភ"</t>
        </is>
      </c>
      <c r="D714" s="522" t="inlineStr">
        <is>
          <t>L001-100044999</t>
        </is>
      </c>
      <c r="E714" s="521" t="inlineStr">
        <is>
          <t>20210211340</t>
        </is>
      </c>
      <c r="F714" s="523" t="n">
        <v>44254</v>
      </c>
      <c r="G714" s="556" t="n">
        <v>29112</v>
      </c>
      <c r="I714" s="521">
        <f>G714</f>
        <v/>
      </c>
      <c r="K714" s="521">
        <f>I714-G714</f>
        <v/>
      </c>
      <c r="M714" s="522" t="inlineStr">
        <is>
          <t>20210211340</t>
        </is>
      </c>
      <c r="N714" s="522" t="inlineStr"/>
      <c r="O714" s="521">
        <f>M714=N714</f>
        <v/>
      </c>
      <c r="P714" s="521">
        <f>AND(MONTH(F714)=MONTH(S714), YEAR(F714)=YEAR(S714))</f>
        <v/>
      </c>
      <c r="Q714" s="521">
        <f>U714="L001-901905215"</f>
        <v/>
      </c>
      <c r="R714" s="556">
        <f>G714-W714</f>
        <v/>
      </c>
      <c r="S714" s="521" t="n"/>
      <c r="T714" s="522" t="n"/>
      <c r="U714" s="522" t="n"/>
      <c r="V714" s="522" t="n"/>
      <c r="W714" s="521" t="n"/>
    </row>
    <row r="715">
      <c r="A715" s="521" t="n">
        <v>707</v>
      </c>
      <c r="B715" s="522" t="n"/>
      <c r="C715" s="522" t="inlineStr">
        <is>
          <t>កំពង់ផែស្វយ័តភ្នំពេញ "ក.ស.ភ"</t>
        </is>
      </c>
      <c r="D715" s="522" t="inlineStr">
        <is>
          <t>L001-100044999</t>
        </is>
      </c>
      <c r="E715" s="521" t="inlineStr">
        <is>
          <t>202111348</t>
        </is>
      </c>
      <c r="F715" s="523" t="n">
        <v>44254</v>
      </c>
      <c r="G715" s="556" t="n">
        <v>29112</v>
      </c>
      <c r="I715" s="521">
        <f>G715</f>
        <v/>
      </c>
      <c r="K715" s="521">
        <f>I715-G715</f>
        <v/>
      </c>
      <c r="M715" s="522" t="inlineStr">
        <is>
          <t>202111348</t>
        </is>
      </c>
      <c r="N715" s="522" t="inlineStr"/>
      <c r="O715" s="521">
        <f>M715=N715</f>
        <v/>
      </c>
      <c r="P715" s="521">
        <f>AND(MONTH(F715)=MONTH(S715), YEAR(F715)=YEAR(S715))</f>
        <v/>
      </c>
      <c r="Q715" s="521">
        <f>U715="L001-901905215"</f>
        <v/>
      </c>
      <c r="R715" s="556">
        <f>G715-W715</f>
        <v/>
      </c>
      <c r="S715" s="521" t="n"/>
      <c r="T715" s="522" t="n"/>
      <c r="U715" s="522" t="n"/>
      <c r="V715" s="522" t="n"/>
      <c r="W715" s="521" t="n"/>
    </row>
    <row r="716">
      <c r="A716" s="521" t="n">
        <v>708</v>
      </c>
      <c r="B716" s="522" t="n"/>
      <c r="C716" s="522" t="inlineStr">
        <is>
          <t>កំពង់ផែស្វយ័តភ្នំពេញ "ក.ស.ភ"</t>
        </is>
      </c>
      <c r="D716" s="522" t="inlineStr">
        <is>
          <t>L001-100044999</t>
        </is>
      </c>
      <c r="E716" s="521" t="inlineStr">
        <is>
          <t>202111349</t>
        </is>
      </c>
      <c r="F716" s="523" t="n">
        <v>44254</v>
      </c>
      <c r="G716" s="556" t="n">
        <v>116447</v>
      </c>
      <c r="I716" s="521">
        <f>G716</f>
        <v/>
      </c>
      <c r="K716" s="521">
        <f>I716-G716</f>
        <v/>
      </c>
      <c r="M716" s="522" t="inlineStr">
        <is>
          <t>202111349</t>
        </is>
      </c>
      <c r="N716" s="522" t="inlineStr"/>
      <c r="O716" s="521">
        <f>M716=N716</f>
        <v/>
      </c>
      <c r="P716" s="521">
        <f>AND(MONTH(F716)=MONTH(S716), YEAR(F716)=YEAR(S716))</f>
        <v/>
      </c>
      <c r="Q716" s="521">
        <f>U716="L001-901905215"</f>
        <v/>
      </c>
      <c r="R716" s="556">
        <f>G716-W716</f>
        <v/>
      </c>
      <c r="S716" s="521" t="n"/>
      <c r="T716" s="522" t="n"/>
      <c r="U716" s="522" t="n"/>
      <c r="V716" s="522" t="n"/>
      <c r="W716" s="521" t="n"/>
    </row>
    <row r="717">
      <c r="A717" s="521" t="n">
        <v>709</v>
      </c>
      <c r="B717" s="522" t="n"/>
      <c r="C717" s="522" t="inlineStr">
        <is>
          <t>កំពង់ផែស្វយ័តភ្នំពេញ "ក.ស.ភ"</t>
        </is>
      </c>
      <c r="D717" s="522" t="inlineStr">
        <is>
          <t>L001-100044999</t>
        </is>
      </c>
      <c r="E717" s="521" t="inlineStr">
        <is>
          <t>20210211347</t>
        </is>
      </c>
      <c r="F717" s="523" t="n">
        <v>44254</v>
      </c>
      <c r="G717" s="556" t="n">
        <v>29112</v>
      </c>
      <c r="I717" s="521">
        <f>G717</f>
        <v/>
      </c>
      <c r="K717" s="521">
        <f>I717-G717</f>
        <v/>
      </c>
      <c r="M717" s="522" t="inlineStr">
        <is>
          <t>20210211347</t>
        </is>
      </c>
      <c r="N717" s="522" t="inlineStr"/>
      <c r="O717" s="521">
        <f>M717=N717</f>
        <v/>
      </c>
      <c r="P717" s="521">
        <f>AND(MONTH(F717)=MONTH(S717), YEAR(F717)=YEAR(S717))</f>
        <v/>
      </c>
      <c r="Q717" s="521">
        <f>U717="L001-901905215"</f>
        <v/>
      </c>
      <c r="R717" s="556">
        <f>G717-W717</f>
        <v/>
      </c>
      <c r="S717" s="521" t="n"/>
      <c r="T717" s="522" t="n"/>
      <c r="U717" s="522" t="n"/>
      <c r="V717" s="522" t="n"/>
      <c r="W717" s="521" t="n"/>
    </row>
    <row r="718">
      <c r="A718" s="521" t="n">
        <v>710</v>
      </c>
      <c r="B718" s="522" t="n"/>
      <c r="C718" s="522" t="inlineStr">
        <is>
          <t>កំពង់ផែស្វយ័តភ្នំពេញ "ក.ស.ភ"</t>
        </is>
      </c>
      <c r="D718" s="522" t="inlineStr">
        <is>
          <t>L001-100044999</t>
        </is>
      </c>
      <c r="E718" s="521" t="inlineStr">
        <is>
          <t>20210211346</t>
        </is>
      </c>
      <c r="F718" s="523" t="n">
        <v>44254</v>
      </c>
      <c r="G718" s="556" t="n">
        <v>38840</v>
      </c>
      <c r="I718" s="521">
        <f>G718</f>
        <v/>
      </c>
      <c r="K718" s="521">
        <f>I718-G718</f>
        <v/>
      </c>
      <c r="M718" s="522" t="inlineStr">
        <is>
          <t>20210211346</t>
        </is>
      </c>
      <c r="N718" s="522" t="inlineStr"/>
      <c r="O718" s="521">
        <f>M718=N718</f>
        <v/>
      </c>
      <c r="P718" s="521">
        <f>AND(MONTH(F718)=MONTH(S718), YEAR(F718)=YEAR(S718))</f>
        <v/>
      </c>
      <c r="Q718" s="521">
        <f>U718="L001-901905215"</f>
        <v/>
      </c>
      <c r="R718" s="556">
        <f>G718-W718</f>
        <v/>
      </c>
      <c r="S718" s="521" t="n"/>
      <c r="T718" s="522" t="n"/>
      <c r="U718" s="522" t="n"/>
      <c r="V718" s="522" t="n"/>
      <c r="W718" s="521" t="n"/>
    </row>
    <row r="719">
      <c r="A719" s="521" t="n">
        <v>711</v>
      </c>
      <c r="B719" s="522" t="n"/>
      <c r="C719" s="522" t="inlineStr">
        <is>
          <t>អ៊ែរ៉ូ ស៊ីបភីង អេជេនស៊ី</t>
        </is>
      </c>
      <c r="D719" s="522" t="inlineStr">
        <is>
          <t>K004-901635903</t>
        </is>
      </c>
      <c r="E719" s="521" t="inlineStr">
        <is>
          <t>IKPSA2021504728</t>
        </is>
      </c>
      <c r="F719" s="523" t="n">
        <v>44242</v>
      </c>
      <c r="G719" s="556" t="n">
        <v>97680</v>
      </c>
      <c r="I719" s="521">
        <f>G719</f>
        <v/>
      </c>
      <c r="K719" s="521">
        <f>I719-G719</f>
        <v/>
      </c>
      <c r="M719" s="522" t="inlineStr">
        <is>
          <t>IKPSA2021504728</t>
        </is>
      </c>
      <c r="N719" s="522" t="inlineStr">
        <is>
          <t>IKPSA2021504728</t>
        </is>
      </c>
      <c r="O719" s="521">
        <f>M719=N719</f>
        <v/>
      </c>
      <c r="P719" s="521">
        <f>AND(MONTH(F719)=MONTH(S719), YEAR(F719)=YEAR(S719))</f>
        <v/>
      </c>
      <c r="Q719" s="521">
        <f>U719="L001-901905215"</f>
        <v/>
      </c>
      <c r="R719" s="556">
        <f>G719-W719</f>
        <v/>
      </c>
      <c r="S719" s="523" t="n">
        <v>44237</v>
      </c>
      <c r="T719" s="522" t="inlineStr">
        <is>
          <t>IKPSA2021504728</t>
        </is>
      </c>
      <c r="U719" s="522" t="inlineStr">
        <is>
          <t>L001-901905215</t>
        </is>
      </c>
      <c r="V719" s="522" t="inlineStr">
        <is>
          <t>វីអ៊ីស៊ិន (ខេមបូឌា) អ៊ិនដាសស្ទ្រី ឯ.ក</t>
        </is>
      </c>
      <c r="W719" s="556" t="n">
        <v>97656</v>
      </c>
    </row>
    <row r="720">
      <c r="A720" s="521" t="n">
        <v>712</v>
      </c>
      <c r="B720" s="522" t="n"/>
      <c r="C720" s="522" t="inlineStr">
        <is>
          <t>អ៊ែរ៉ូ ស៊ីបភីង អេជេនស៊ី</t>
        </is>
      </c>
      <c r="D720" s="522" t="inlineStr">
        <is>
          <t>K004-901635903</t>
        </is>
      </c>
      <c r="E720" s="521" t="inlineStr">
        <is>
          <t>IKPSA2021504729</t>
        </is>
      </c>
      <c r="F720" s="523" t="n">
        <v>44242</v>
      </c>
      <c r="G720" s="556" t="n">
        <v>113960</v>
      </c>
      <c r="I720" s="521">
        <f>G720</f>
        <v/>
      </c>
      <c r="K720" s="521">
        <f>I720-G720</f>
        <v/>
      </c>
      <c r="M720" s="522" t="inlineStr">
        <is>
          <t>IKPSA2021504729</t>
        </is>
      </c>
      <c r="N720" s="522" t="inlineStr">
        <is>
          <t>IKPSA2021504729</t>
        </is>
      </c>
      <c r="O720" s="521">
        <f>M720=N720</f>
        <v/>
      </c>
      <c r="P720" s="521">
        <f>AND(MONTH(F720)=MONTH(S720), YEAR(F720)=YEAR(S720))</f>
        <v/>
      </c>
      <c r="Q720" s="521">
        <f>U720="L001-901905215"</f>
        <v/>
      </c>
      <c r="R720" s="556">
        <f>G720-W720</f>
        <v/>
      </c>
      <c r="S720" s="523" t="n">
        <v>44237</v>
      </c>
      <c r="T720" s="522" t="inlineStr">
        <is>
          <t>IKPSA2021504729</t>
        </is>
      </c>
      <c r="U720" s="522" t="inlineStr">
        <is>
          <t>L001-901905215</t>
        </is>
      </c>
      <c r="V720" s="522" t="inlineStr">
        <is>
          <t>វីអ៊ីស៊ិន (ខេមបូឌា) អ៊ិនដាសស្ទ្រី ឯ.ក</t>
        </is>
      </c>
      <c r="W720" s="556" t="n">
        <v>113932</v>
      </c>
    </row>
    <row r="721">
      <c r="A721" s="521" t="n">
        <v>713</v>
      </c>
      <c r="B721" s="522" t="n"/>
      <c r="C721" s="522" t="inlineStr">
        <is>
          <t>អ៊ែរ៉ូ ស៊ីបភីង អេជេនស៊ី</t>
        </is>
      </c>
      <c r="D721" s="522" t="inlineStr">
        <is>
          <t>K004-901635903</t>
        </is>
      </c>
      <c r="E721" s="521" t="inlineStr">
        <is>
          <t>IKPSA2021504727</t>
        </is>
      </c>
      <c r="F721" s="523" t="n">
        <v>44242</v>
      </c>
      <c r="G721" s="556" t="n">
        <v>1850</v>
      </c>
      <c r="I721" s="521">
        <f>G721</f>
        <v/>
      </c>
      <c r="K721" s="521">
        <f>I721-G721</f>
        <v/>
      </c>
      <c r="M721" s="522" t="inlineStr">
        <is>
          <t>IKPSA2021504727</t>
        </is>
      </c>
      <c r="N721" s="522" t="inlineStr">
        <is>
          <t>IKPSA2021504727</t>
        </is>
      </c>
      <c r="O721" s="521">
        <f>M721=N721</f>
        <v/>
      </c>
      <c r="P721" s="521">
        <f>AND(MONTH(F721)=MONTH(S721), YEAR(F721)=YEAR(S721))</f>
        <v/>
      </c>
      <c r="Q721" s="521">
        <f>U721="L001-901905215"</f>
        <v/>
      </c>
      <c r="R721" s="556">
        <f>G721-W721</f>
        <v/>
      </c>
      <c r="S721" s="523" t="n">
        <v>44237</v>
      </c>
      <c r="T721" s="522" t="inlineStr">
        <is>
          <t>IKPSA2021504727</t>
        </is>
      </c>
      <c r="U721" s="522" t="inlineStr">
        <is>
          <t>L001-901905215</t>
        </is>
      </c>
      <c r="V721" s="522" t="inlineStr">
        <is>
          <t>វីអ៊ីស៊ិន (ខេមបូឌា) អ៊ិនដាសស្ទ្រី ឯ.ក</t>
        </is>
      </c>
      <c r="W721" s="556" t="n">
        <v>1851</v>
      </c>
    </row>
    <row r="722">
      <c r="A722" s="521" t="n">
        <v>714</v>
      </c>
      <c r="B722" s="522" t="n"/>
      <c r="C722" s="522" t="inlineStr">
        <is>
          <t>កំពង់ផែស្វយ័តក្រុងព្រះសីហនុ</t>
        </is>
      </c>
      <c r="D722" s="522" t="inlineStr">
        <is>
          <t>L001-100044638</t>
        </is>
      </c>
      <c r="E722" s="521" t="inlineStr">
        <is>
          <t>028209</t>
        </is>
      </c>
      <c r="F722" s="523" t="n">
        <v>44245</v>
      </c>
      <c r="G722" s="556" t="n">
        <v>35392</v>
      </c>
      <c r="I722" s="521">
        <f>G722</f>
        <v/>
      </c>
      <c r="K722" s="521">
        <f>I722-G722</f>
        <v/>
      </c>
      <c r="M722" s="522" t="inlineStr">
        <is>
          <t>028209</t>
        </is>
      </c>
      <c r="N722" s="522" t="inlineStr"/>
      <c r="O722" s="521">
        <f>M722=N722</f>
        <v/>
      </c>
      <c r="P722" s="521">
        <f>AND(MONTH(F722)=MONTH(S722), YEAR(F722)=YEAR(S722))</f>
        <v/>
      </c>
      <c r="Q722" s="521">
        <f>U722="L001-901905215"</f>
        <v/>
      </c>
      <c r="R722" s="556">
        <f>G722-W722</f>
        <v/>
      </c>
      <c r="S722" s="521" t="n"/>
      <c r="T722" s="522" t="n"/>
      <c r="U722" s="522" t="n"/>
      <c r="V722" s="522" t="n"/>
      <c r="W722" s="521" t="n"/>
    </row>
    <row r="723">
      <c r="A723" s="521" t="n">
        <v>715</v>
      </c>
      <c r="B723" s="522" t="n"/>
      <c r="C723" s="522" t="inlineStr">
        <is>
          <t>អ៊ែរ៉ូ ស៊ីបភីង អេជេនស៊ី</t>
        </is>
      </c>
      <c r="D723" s="522" t="inlineStr">
        <is>
          <t>K004-901635903</t>
        </is>
      </c>
      <c r="E723" s="521" t="inlineStr">
        <is>
          <t>IKPSA2021503638</t>
        </is>
      </c>
      <c r="F723" s="523" t="n">
        <v>44231</v>
      </c>
      <c r="G723" s="556" t="n">
        <v>113932</v>
      </c>
      <c r="I723" s="521">
        <f>G723</f>
        <v/>
      </c>
      <c r="K723" s="521">
        <f>I723-G723</f>
        <v/>
      </c>
      <c r="M723" s="522" t="inlineStr">
        <is>
          <t>IKPSA2021503638</t>
        </is>
      </c>
      <c r="N723" s="522" t="inlineStr">
        <is>
          <t>IKPSA2021503638</t>
        </is>
      </c>
      <c r="O723" s="521">
        <f>M723=N723</f>
        <v/>
      </c>
      <c r="P723" s="521">
        <f>AND(MONTH(F723)=MONTH(S723), YEAR(F723)=YEAR(S723))</f>
        <v/>
      </c>
      <c r="Q723" s="521">
        <f>U723="L001-901905215"</f>
        <v/>
      </c>
      <c r="R723" s="556">
        <f>G723-W723</f>
        <v/>
      </c>
      <c r="S723" s="523" t="n">
        <v>44229</v>
      </c>
      <c r="T723" s="522" t="inlineStr">
        <is>
          <t>IKPSA2021503638</t>
        </is>
      </c>
      <c r="U723" s="522" t="inlineStr">
        <is>
          <t>L001-901905215</t>
        </is>
      </c>
      <c r="V723" s="522" t="inlineStr">
        <is>
          <t>វីអ៊ីស៊ិន (ខេមបូឌា) អ៊ិនដាសស្ទ្រី ឯ.ក</t>
        </is>
      </c>
      <c r="W723" s="556" t="n">
        <v>113932</v>
      </c>
    </row>
    <row r="724">
      <c r="A724" s="521" t="n">
        <v>716</v>
      </c>
      <c r="B724" s="522" t="n"/>
      <c r="C724" s="522" t="inlineStr">
        <is>
          <t>អ៊ែរ៉ូ ស៊ីបភីង អេជេនស៊ី</t>
        </is>
      </c>
      <c r="D724" s="522" t="inlineStr">
        <is>
          <t>K004-901635903</t>
        </is>
      </c>
      <c r="E724" s="521" t="inlineStr">
        <is>
          <t>IKPSA2021503637</t>
        </is>
      </c>
      <c r="F724" s="523" t="n">
        <v>44228</v>
      </c>
      <c r="G724" s="556" t="n">
        <v>97656</v>
      </c>
      <c r="I724" s="521">
        <f>G724</f>
        <v/>
      </c>
      <c r="K724" s="521">
        <f>I724-G724</f>
        <v/>
      </c>
      <c r="M724" s="522" t="inlineStr">
        <is>
          <t>IKPSA2021503637</t>
        </is>
      </c>
      <c r="N724" s="522" t="inlineStr">
        <is>
          <t>IKPSA2021503637</t>
        </is>
      </c>
      <c r="O724" s="521">
        <f>M724=N724</f>
        <v/>
      </c>
      <c r="P724" s="521">
        <f>AND(MONTH(F724)=MONTH(S724), YEAR(F724)=YEAR(S724))</f>
        <v/>
      </c>
      <c r="Q724" s="521">
        <f>U724="L001-901905215"</f>
        <v/>
      </c>
      <c r="R724" s="556">
        <f>G724-W724</f>
        <v/>
      </c>
      <c r="S724" s="523" t="n">
        <v>44229</v>
      </c>
      <c r="T724" s="522" t="inlineStr">
        <is>
          <t>IKPSA2021503637</t>
        </is>
      </c>
      <c r="U724" s="522" t="inlineStr">
        <is>
          <t>L001-901905215</t>
        </is>
      </c>
      <c r="V724" s="522" t="inlineStr">
        <is>
          <t>វីអ៊ីស៊ិន (ខេមបូឌា) អ៊ិនដាសស្ទ្រី ឯ.ក</t>
        </is>
      </c>
      <c r="W724" s="556" t="n">
        <v>97656</v>
      </c>
    </row>
    <row r="725">
      <c r="A725" s="521" t="n">
        <v>717</v>
      </c>
      <c r="B725" s="522" t="n"/>
      <c r="C725" s="522" t="inlineStr">
        <is>
          <t>អ៊ែរ៉ូ ស៊ីបភីង អេជេនស៊ី</t>
        </is>
      </c>
      <c r="D725" s="522" t="inlineStr">
        <is>
          <t>K004-901635903</t>
        </is>
      </c>
      <c r="E725" s="521" t="inlineStr">
        <is>
          <t>IKPSA2021503636</t>
        </is>
      </c>
      <c r="F725" s="523" t="n">
        <v>44231</v>
      </c>
      <c r="G725" s="556" t="n">
        <v>1850</v>
      </c>
      <c r="I725" s="521">
        <f>G725</f>
        <v/>
      </c>
      <c r="K725" s="521">
        <f>I725-G725</f>
        <v/>
      </c>
      <c r="M725" s="522" t="inlineStr">
        <is>
          <t>IKPSA2021503636</t>
        </is>
      </c>
      <c r="N725" s="522" t="inlineStr">
        <is>
          <t>IKPSA2021503636</t>
        </is>
      </c>
      <c r="O725" s="521">
        <f>M725=N725</f>
        <v/>
      </c>
      <c r="P725" s="521">
        <f>AND(MONTH(F725)=MONTH(S725), YEAR(F725)=YEAR(S725))</f>
        <v/>
      </c>
      <c r="Q725" s="521">
        <f>U725="L001-901905215"</f>
        <v/>
      </c>
      <c r="R725" s="556">
        <f>G725-W725</f>
        <v/>
      </c>
      <c r="S725" s="523" t="n">
        <v>44229</v>
      </c>
      <c r="T725" s="522" t="inlineStr">
        <is>
          <t>IKPSA2021503636</t>
        </is>
      </c>
      <c r="U725" s="522" t="inlineStr">
        <is>
          <t>L001-901905215</t>
        </is>
      </c>
      <c r="V725" s="522" t="inlineStr">
        <is>
          <t>វីអ៊ីស៊ិន (ខេមបូឌា) អ៊ិនដាសស្ទ្រី ឯ.ក</t>
        </is>
      </c>
      <c r="W725" s="556" t="n">
        <v>1851</v>
      </c>
    </row>
    <row r="726">
      <c r="A726" s="521" t="n">
        <v>718</v>
      </c>
      <c r="B726" s="522" t="n"/>
      <c r="C726" s="522" t="inlineStr">
        <is>
          <t>កំពង់ផែស្វយ័តក្រុងព្រះសីហនុ</t>
        </is>
      </c>
      <c r="D726" s="522" t="inlineStr">
        <is>
          <t>L001-100044638</t>
        </is>
      </c>
      <c r="E726" s="521" t="inlineStr">
        <is>
          <t>027585</t>
        </is>
      </c>
      <c r="F726" s="523" t="n">
        <v>44244</v>
      </c>
      <c r="G726" s="556" t="n">
        <v>64649</v>
      </c>
      <c r="I726" s="521">
        <f>G726</f>
        <v/>
      </c>
      <c r="K726" s="521">
        <f>I726-G726</f>
        <v/>
      </c>
      <c r="M726" s="522" t="inlineStr">
        <is>
          <t>027585</t>
        </is>
      </c>
      <c r="N726" s="522" t="inlineStr"/>
      <c r="O726" s="521">
        <f>M726=N726</f>
        <v/>
      </c>
      <c r="P726" s="521">
        <f>AND(MONTH(F726)=MONTH(S726), YEAR(F726)=YEAR(S726))</f>
        <v/>
      </c>
      <c r="Q726" s="521">
        <f>U726="L001-901905215"</f>
        <v/>
      </c>
      <c r="R726" s="556">
        <f>G726-W726</f>
        <v/>
      </c>
      <c r="S726" s="521" t="n"/>
      <c r="T726" s="522" t="n"/>
      <c r="U726" s="522" t="n"/>
      <c r="V726" s="522" t="n"/>
      <c r="W726" s="521" t="n"/>
    </row>
    <row r="727">
      <c r="A727" s="521" t="n">
        <v>719</v>
      </c>
      <c r="B727" s="522" t="n"/>
      <c r="C727" s="522" t="inlineStr">
        <is>
          <t>កំពង់ផែស្វយ័តក្រុងព្រះសីហនុ</t>
        </is>
      </c>
      <c r="D727" s="522" t="inlineStr">
        <is>
          <t>L001-100044638</t>
        </is>
      </c>
      <c r="E727" s="521" t="inlineStr">
        <is>
          <t>025827</t>
        </is>
      </c>
      <c r="F727" s="523" t="n">
        <v>44242</v>
      </c>
      <c r="G727" s="556" t="n">
        <v>173339</v>
      </c>
      <c r="I727" s="521">
        <f>G727</f>
        <v/>
      </c>
      <c r="K727" s="521">
        <f>I727-G727</f>
        <v/>
      </c>
      <c r="M727" s="522" t="inlineStr">
        <is>
          <t>025827</t>
        </is>
      </c>
      <c r="N727" s="522" t="inlineStr"/>
      <c r="O727" s="521">
        <f>M727=N727</f>
        <v/>
      </c>
      <c r="P727" s="521">
        <f>AND(MONTH(F727)=MONTH(S727), YEAR(F727)=YEAR(S727))</f>
        <v/>
      </c>
      <c r="Q727" s="521">
        <f>U727="L001-901905215"</f>
        <v/>
      </c>
      <c r="R727" s="556">
        <f>G727-W727</f>
        <v/>
      </c>
      <c r="S727" s="521" t="n"/>
      <c r="T727" s="522" t="n"/>
      <c r="U727" s="522" t="n"/>
      <c r="V727" s="522" t="n"/>
      <c r="W727" s="521" t="n"/>
    </row>
    <row r="728">
      <c r="A728" s="521" t="n">
        <v>720</v>
      </c>
      <c r="B728" s="522" t="n"/>
      <c r="C728" s="522" t="inlineStr">
        <is>
          <t>ត្រេនម៉ារីន ឡូជីស្ទីក (ខេមបូឌា)</t>
        </is>
      </c>
      <c r="D728" s="522" t="inlineStr">
        <is>
          <t>L001-106004107</t>
        </is>
      </c>
      <c r="E728" s="521" t="inlineStr">
        <is>
          <t>9963004117</t>
        </is>
      </c>
      <c r="F728" s="523" t="n">
        <v>44248</v>
      </c>
      <c r="G728" s="556" t="n">
        <v>176393</v>
      </c>
      <c r="I728" s="521">
        <f>G728</f>
        <v/>
      </c>
      <c r="K728" s="521">
        <f>I728-G728</f>
        <v/>
      </c>
      <c r="M728" s="522" t="inlineStr">
        <is>
          <t>9963004117</t>
        </is>
      </c>
      <c r="N728" s="522" t="inlineStr"/>
      <c r="O728" s="521">
        <f>M728=N728</f>
        <v/>
      </c>
      <c r="P728" s="521">
        <f>AND(MONTH(F728)=MONTH(S728), YEAR(F728)=YEAR(S728))</f>
        <v/>
      </c>
      <c r="Q728" s="521">
        <f>U728="L001-901905215"</f>
        <v/>
      </c>
      <c r="R728" s="556">
        <f>G728-W728</f>
        <v/>
      </c>
      <c r="S728" s="521" t="n"/>
      <c r="T728" s="522" t="n"/>
      <c r="U728" s="522" t="n"/>
      <c r="V728" s="522" t="n"/>
      <c r="W728" s="521" t="n"/>
    </row>
    <row r="729">
      <c r="A729" s="521" t="n">
        <v>721</v>
      </c>
      <c r="B729" s="522" t="n"/>
      <c r="C729" s="522" t="inlineStr">
        <is>
          <t>អ៊ែរ៉ូ ស៊ីបភីង អេជេនស៊ី</t>
        </is>
      </c>
      <c r="D729" s="522" t="inlineStr">
        <is>
          <t>K004-901635903</t>
        </is>
      </c>
      <c r="E729" s="521" t="inlineStr">
        <is>
          <t>IKPSA2021502737</t>
        </is>
      </c>
      <c r="F729" s="523" t="n">
        <v>44228</v>
      </c>
      <c r="G729" s="556" t="n">
        <v>113736</v>
      </c>
      <c r="I729" s="521">
        <f>G729</f>
        <v/>
      </c>
      <c r="K729" s="521">
        <f>I729-G729</f>
        <v/>
      </c>
      <c r="M729" s="522" t="inlineStr">
        <is>
          <t>IKPSA2021502737</t>
        </is>
      </c>
      <c r="N729" s="522" t="inlineStr"/>
      <c r="O729" s="521">
        <f>M729=N729</f>
        <v/>
      </c>
      <c r="P729" s="521">
        <f>AND(MONTH(F729)=MONTH(S729), YEAR(F729)=YEAR(S729))</f>
        <v/>
      </c>
      <c r="Q729" s="521">
        <f>U729="L001-901905215"</f>
        <v/>
      </c>
      <c r="R729" s="556">
        <f>G729-W729</f>
        <v/>
      </c>
      <c r="S729" s="521" t="n"/>
      <c r="T729" s="522" t="n"/>
      <c r="U729" s="522" t="n"/>
      <c r="V729" s="522" t="n"/>
      <c r="W729" s="521" t="n"/>
    </row>
    <row r="730">
      <c r="A730" s="521" t="n">
        <v>722</v>
      </c>
      <c r="B730" s="522" t="n"/>
      <c r="C730" s="522" t="inlineStr">
        <is>
          <t>អ៊ែរ៉ូ ស៊ីបភីង អេជេនស៊ី</t>
        </is>
      </c>
      <c r="D730" s="522" t="inlineStr">
        <is>
          <t>K004-901635903</t>
        </is>
      </c>
      <c r="E730" s="521" t="inlineStr">
        <is>
          <t>IKPSA2021502736</t>
        </is>
      </c>
      <c r="F730" s="523" t="n">
        <v>44228</v>
      </c>
      <c r="G730" s="556" t="n">
        <v>97488</v>
      </c>
      <c r="I730" s="521">
        <f>G730</f>
        <v/>
      </c>
      <c r="K730" s="521">
        <f>I730-G730</f>
        <v/>
      </c>
      <c r="M730" s="522" t="inlineStr">
        <is>
          <t>IKPSA2021502736</t>
        </is>
      </c>
      <c r="N730" s="522" t="inlineStr"/>
      <c r="O730" s="521">
        <f>M730=N730</f>
        <v/>
      </c>
      <c r="P730" s="521">
        <f>AND(MONTH(F730)=MONTH(S730), YEAR(F730)=YEAR(S730))</f>
        <v/>
      </c>
      <c r="Q730" s="521">
        <f>U730="L001-901905215"</f>
        <v/>
      </c>
      <c r="R730" s="556">
        <f>G730-W730</f>
        <v/>
      </c>
      <c r="S730" s="521" t="n"/>
      <c r="T730" s="522" t="n"/>
      <c r="U730" s="522" t="n"/>
      <c r="V730" s="522" t="n"/>
      <c r="W730" s="521" t="n"/>
    </row>
    <row r="731">
      <c r="A731" s="521" t="n">
        <v>723</v>
      </c>
      <c r="B731" s="522" t="n"/>
      <c r="C731" s="522" t="inlineStr">
        <is>
          <t>អ៊ែរ៉ូ ស៊ីបភីង អេជេនស៊ី</t>
        </is>
      </c>
      <c r="D731" s="522" t="inlineStr">
        <is>
          <t>K004-901635903</t>
        </is>
      </c>
      <c r="E731" s="521" t="inlineStr">
        <is>
          <t>IKPSA2021502753</t>
        </is>
      </c>
      <c r="F731" s="523" t="n">
        <v>44228</v>
      </c>
      <c r="G731" s="556" t="n">
        <v>1846</v>
      </c>
      <c r="I731" s="521">
        <f>G731</f>
        <v/>
      </c>
      <c r="K731" s="521">
        <f>I731-G731</f>
        <v/>
      </c>
      <c r="M731" s="522" t="inlineStr">
        <is>
          <t>IKPSA2021502753</t>
        </is>
      </c>
      <c r="N731" s="522" t="inlineStr"/>
      <c r="O731" s="521">
        <f>M731=N731</f>
        <v/>
      </c>
      <c r="P731" s="521">
        <f>AND(MONTH(F731)=MONTH(S731), YEAR(F731)=YEAR(S731))</f>
        <v/>
      </c>
      <c r="Q731" s="521">
        <f>U731="L001-901905215"</f>
        <v/>
      </c>
      <c r="R731" s="556">
        <f>G731-W731</f>
        <v/>
      </c>
      <c r="S731" s="521" t="n"/>
      <c r="T731" s="522" t="n"/>
      <c r="U731" s="522" t="n"/>
      <c r="V731" s="522" t="n"/>
      <c r="W731" s="521" t="n"/>
    </row>
    <row r="732">
      <c r="A732" s="521" t="n">
        <v>724</v>
      </c>
      <c r="B732" s="522" t="n"/>
      <c r="C732" s="522" t="inlineStr">
        <is>
          <t>កំពង់ផែស្វយ័តក្រុងព្រះសីហនុ</t>
        </is>
      </c>
      <c r="D732" s="522" t="inlineStr">
        <is>
          <t>L001-100044638</t>
        </is>
      </c>
      <c r="E732" s="521" t="inlineStr">
        <is>
          <t>020090</t>
        </is>
      </c>
      <c r="F732" s="523" t="n">
        <v>44231</v>
      </c>
      <c r="G732" s="556" t="n">
        <v>50073</v>
      </c>
      <c r="I732" s="521">
        <f>G732</f>
        <v/>
      </c>
      <c r="K732" s="521">
        <f>I732-G732</f>
        <v/>
      </c>
      <c r="M732" s="522" t="inlineStr">
        <is>
          <t>020090</t>
        </is>
      </c>
      <c r="N732" s="522" t="inlineStr"/>
      <c r="O732" s="521">
        <f>M732=N732</f>
        <v/>
      </c>
      <c r="P732" s="521">
        <f>AND(MONTH(F732)=MONTH(S732), YEAR(F732)=YEAR(S732))</f>
        <v/>
      </c>
      <c r="Q732" s="521">
        <f>U732="L001-901905215"</f>
        <v/>
      </c>
      <c r="R732" s="556">
        <f>G732-W732</f>
        <v/>
      </c>
      <c r="S732" s="521" t="n"/>
      <c r="T732" s="522" t="n"/>
      <c r="U732" s="522" t="n"/>
      <c r="V732" s="522" t="n"/>
      <c r="W732" s="521" t="n"/>
    </row>
    <row r="733">
      <c r="A733" s="521" t="n">
        <v>725</v>
      </c>
      <c r="B733" s="522" t="n"/>
      <c r="C733" s="522" t="inlineStr">
        <is>
          <t>សូស៊ីយេតេ កុងសេស្យូនែរ ដឺ ឡាអេរ៉ូព័រ</t>
        </is>
      </c>
      <c r="D733" s="522" t="inlineStr">
        <is>
          <t>L001-100047300</t>
        </is>
      </c>
      <c r="E733" s="521" t="inlineStr">
        <is>
          <t>2100-006733</t>
        </is>
      </c>
      <c r="F733" s="523" t="n">
        <v>44232</v>
      </c>
      <c r="G733" s="556" t="n">
        <v>58785</v>
      </c>
      <c r="I733" s="521">
        <f>G733</f>
        <v/>
      </c>
      <c r="K733" s="521">
        <f>I733-G733</f>
        <v/>
      </c>
      <c r="M733" s="522" t="inlineStr">
        <is>
          <t>2100006733</t>
        </is>
      </c>
      <c r="N733" s="522" t="inlineStr"/>
      <c r="O733" s="521">
        <f>M733=N733</f>
        <v/>
      </c>
      <c r="P733" s="521">
        <f>AND(MONTH(F733)=MONTH(S733), YEAR(F733)=YEAR(S733))</f>
        <v/>
      </c>
      <c r="Q733" s="521">
        <f>U733="L001-901905215"</f>
        <v/>
      </c>
      <c r="R733" s="556">
        <f>G733-W733</f>
        <v/>
      </c>
      <c r="S733" s="521" t="n"/>
      <c r="T733" s="522" t="n"/>
      <c r="U733" s="522" t="n"/>
      <c r="V733" s="522" t="n"/>
      <c r="W733" s="521" t="n"/>
    </row>
    <row r="734">
      <c r="A734" s="521" t="n">
        <v>726</v>
      </c>
      <c r="B734" s="522" t="n"/>
      <c r="C734" s="522" t="inlineStr">
        <is>
          <t>សូស៊ីយេតេ កុងសេស្យូនែរ ដឺ ឡាអេរ៉ូព័រ</t>
        </is>
      </c>
      <c r="D734" s="522" t="inlineStr">
        <is>
          <t>L001-100047300</t>
        </is>
      </c>
      <c r="E734" s="521" t="inlineStr">
        <is>
          <t>2100-007088</t>
        </is>
      </c>
      <c r="F734" s="523" t="n">
        <v>44233</v>
      </c>
      <c r="G734" s="556" t="n">
        <v>123174</v>
      </c>
      <c r="I734" s="521">
        <f>G734</f>
        <v/>
      </c>
      <c r="K734" s="521">
        <f>I734-G734</f>
        <v/>
      </c>
      <c r="M734" s="522" t="inlineStr">
        <is>
          <t>2100007088</t>
        </is>
      </c>
      <c r="N734" s="522" t="inlineStr"/>
      <c r="O734" s="521">
        <f>M734=N734</f>
        <v/>
      </c>
      <c r="P734" s="521">
        <f>AND(MONTH(F734)=MONTH(S734), YEAR(F734)=YEAR(S734))</f>
        <v/>
      </c>
      <c r="Q734" s="521">
        <f>U734="L001-901905215"</f>
        <v/>
      </c>
      <c r="R734" s="556">
        <f>G734-W734</f>
        <v/>
      </c>
      <c r="S734" s="521" t="n"/>
      <c r="T734" s="522" t="n"/>
      <c r="U734" s="522" t="n"/>
      <c r="V734" s="522" t="n"/>
      <c r="W734" s="521" t="n"/>
    </row>
    <row r="735">
      <c r="A735" s="521" t="n">
        <v>727</v>
      </c>
      <c r="B735" s="522" t="n"/>
      <c r="C735" s="522" t="inlineStr">
        <is>
          <t>អ៊ែរ៉ូ ស៊ីបភីង អេជេនស៊ី</t>
        </is>
      </c>
      <c r="D735" s="522" t="inlineStr">
        <is>
          <t>K004-901635903</t>
        </is>
      </c>
      <c r="E735" s="521" t="inlineStr">
        <is>
          <t>IKPSA2021504726</t>
        </is>
      </c>
      <c r="F735" s="523" t="n">
        <v>44242</v>
      </c>
      <c r="G735" s="556" t="n">
        <v>113960</v>
      </c>
      <c r="I735" s="521">
        <f>G735</f>
        <v/>
      </c>
      <c r="K735" s="521">
        <f>I735-G735</f>
        <v/>
      </c>
      <c r="M735" s="522" t="inlineStr">
        <is>
          <t>IKPSA2021504726</t>
        </is>
      </c>
      <c r="N735" s="522" t="inlineStr">
        <is>
          <t>IKPSA2021504726</t>
        </is>
      </c>
      <c r="O735" s="521">
        <f>M735=N735</f>
        <v/>
      </c>
      <c r="P735" s="521">
        <f>AND(MONTH(F735)=MONTH(S735), YEAR(F735)=YEAR(S735))</f>
        <v/>
      </c>
      <c r="Q735" s="521">
        <f>U735="L001-901905215"</f>
        <v/>
      </c>
      <c r="R735" s="556">
        <f>G735-W735</f>
        <v/>
      </c>
      <c r="S735" s="523" t="n">
        <v>44237</v>
      </c>
      <c r="T735" s="522" t="inlineStr">
        <is>
          <t>IKPSA2021504726</t>
        </is>
      </c>
      <c r="U735" s="522" t="inlineStr">
        <is>
          <t>L001-901905215</t>
        </is>
      </c>
      <c r="V735" s="522" t="inlineStr">
        <is>
          <t>វីអ៊ីស៊ិន (ខេមបូឌា) អ៊ិនដាសស្ទ្រី ឯ.ក</t>
        </is>
      </c>
      <c r="W735" s="556" t="n">
        <v>113932</v>
      </c>
    </row>
    <row r="736">
      <c r="A736" s="521" t="n">
        <v>728</v>
      </c>
      <c r="B736" s="522" t="n"/>
      <c r="C736" s="522" t="inlineStr">
        <is>
          <t>អ៊ែរ៉ូ ស៊ីបភីង អេជេនស៊ី</t>
        </is>
      </c>
      <c r="D736" s="522" t="inlineStr">
        <is>
          <t>K004-901635903</t>
        </is>
      </c>
      <c r="E736" s="521" t="inlineStr">
        <is>
          <t>IKPSA2021504725</t>
        </is>
      </c>
      <c r="F736" s="523" t="n">
        <v>44237</v>
      </c>
      <c r="G736" s="556" t="n">
        <v>97680</v>
      </c>
      <c r="I736" s="521">
        <f>G736</f>
        <v/>
      </c>
      <c r="K736" s="521">
        <f>I736-G736</f>
        <v/>
      </c>
      <c r="M736" s="522" t="inlineStr">
        <is>
          <t>IKPSA2021504725</t>
        </is>
      </c>
      <c r="N736" s="522" t="inlineStr">
        <is>
          <t>IKPSA2021504725</t>
        </is>
      </c>
      <c r="O736" s="521">
        <f>M736=N736</f>
        <v/>
      </c>
      <c r="P736" s="521">
        <f>AND(MONTH(F736)=MONTH(S736), YEAR(F736)=YEAR(S736))</f>
        <v/>
      </c>
      <c r="Q736" s="521">
        <f>U736="L001-901905215"</f>
        <v/>
      </c>
      <c r="R736" s="556">
        <f>G736-W736</f>
        <v/>
      </c>
      <c r="S736" s="523" t="n">
        <v>44237</v>
      </c>
      <c r="T736" s="522" t="inlineStr">
        <is>
          <t>IKPSA2021504725</t>
        </is>
      </c>
      <c r="U736" s="522" t="inlineStr">
        <is>
          <t>L001-901905215</t>
        </is>
      </c>
      <c r="V736" s="522" t="inlineStr">
        <is>
          <t>វីអ៊ីស៊ិន (ខេមបូឌា) អ៊ិនដាសស្ទ្រី ឯ.ក</t>
        </is>
      </c>
      <c r="W736" s="556" t="n">
        <v>97656</v>
      </c>
    </row>
    <row r="737">
      <c r="A737" s="521" t="n">
        <v>729</v>
      </c>
      <c r="B737" s="522" t="n"/>
      <c r="C737" s="522" t="inlineStr">
        <is>
          <t>អ៊ែរ៉ូ ស៊ីបភីង អេជេនស៊ី</t>
        </is>
      </c>
      <c r="D737" s="522" t="inlineStr">
        <is>
          <t>K004-901635903</t>
        </is>
      </c>
      <c r="E737" s="521" t="inlineStr">
        <is>
          <t>IKPSA2021504724</t>
        </is>
      </c>
      <c r="F737" s="523" t="n">
        <v>44237</v>
      </c>
      <c r="G737" s="556" t="n">
        <v>1850</v>
      </c>
      <c r="I737" s="521">
        <f>G737</f>
        <v/>
      </c>
      <c r="K737" s="521">
        <f>I737-G737</f>
        <v/>
      </c>
      <c r="M737" s="522" t="inlineStr">
        <is>
          <t>IKPSA2021504724</t>
        </is>
      </c>
      <c r="N737" s="522" t="inlineStr">
        <is>
          <t>IKPSA2021504724</t>
        </is>
      </c>
      <c r="O737" s="521">
        <f>M737=N737</f>
        <v/>
      </c>
      <c r="P737" s="521">
        <f>AND(MONTH(F737)=MONTH(S737), YEAR(F737)=YEAR(S737))</f>
        <v/>
      </c>
      <c r="Q737" s="521">
        <f>U737="L001-901905215"</f>
        <v/>
      </c>
      <c r="R737" s="556">
        <f>G737-W737</f>
        <v/>
      </c>
      <c r="S737" s="523" t="n">
        <v>44237</v>
      </c>
      <c r="T737" s="522" t="inlineStr">
        <is>
          <t>IKPSA2021504724</t>
        </is>
      </c>
      <c r="U737" s="522" t="inlineStr">
        <is>
          <t>L001-901905215</t>
        </is>
      </c>
      <c r="V737" s="522" t="inlineStr">
        <is>
          <t>វីអ៊ីស៊ិន (ខេមបូឌា) អ៊ិនដាសស្ទ្រី ឯ.ក</t>
        </is>
      </c>
      <c r="W737" s="556" t="n">
        <v>1851</v>
      </c>
    </row>
    <row r="738">
      <c r="A738" s="521" t="n">
        <v>730</v>
      </c>
      <c r="B738" s="522" t="n"/>
      <c r="C738" s="522" t="inlineStr">
        <is>
          <t>កំពង់ផែស្វយ័តក្រុងព្រះសីហនុ</t>
        </is>
      </c>
      <c r="D738" s="522" t="inlineStr">
        <is>
          <t>L001-100044638</t>
        </is>
      </c>
      <c r="E738" s="521" t="inlineStr">
        <is>
          <t>028210</t>
        </is>
      </c>
      <c r="F738" s="523" t="n">
        <v>44228</v>
      </c>
      <c r="G738" s="556" t="n">
        <v>35392</v>
      </c>
      <c r="I738" s="521">
        <f>G738</f>
        <v/>
      </c>
      <c r="K738" s="521">
        <f>I738-G738</f>
        <v/>
      </c>
      <c r="M738" s="522" t="inlineStr">
        <is>
          <t>028210</t>
        </is>
      </c>
      <c r="N738" s="522" t="inlineStr"/>
      <c r="O738" s="521">
        <f>M738=N738</f>
        <v/>
      </c>
      <c r="P738" s="521">
        <f>AND(MONTH(F738)=MONTH(S738), YEAR(F738)=YEAR(S738))</f>
        <v/>
      </c>
      <c r="Q738" s="521">
        <f>U738="L001-901905215"</f>
        <v/>
      </c>
      <c r="R738" s="556">
        <f>G738-W738</f>
        <v/>
      </c>
      <c r="S738" s="521" t="n"/>
      <c r="T738" s="522" t="n"/>
      <c r="U738" s="522" t="n"/>
      <c r="V738" s="522" t="n"/>
      <c r="W738" s="521" t="n"/>
    </row>
    <row r="739">
      <c r="A739" s="521" t="n">
        <v>731</v>
      </c>
      <c r="B739" s="522" t="n"/>
      <c r="C739" s="522" t="inlineStr">
        <is>
          <t>កំពង់ផែស្វយ័តក្រុងព្រះសីហនុ</t>
        </is>
      </c>
      <c r="D739" s="522" t="inlineStr">
        <is>
          <t>L001-100044638</t>
        </is>
      </c>
      <c r="E739" s="521" t="inlineStr">
        <is>
          <t>024293</t>
        </is>
      </c>
      <c r="F739" s="523" t="n">
        <v>44238</v>
      </c>
      <c r="G739" s="556" t="n">
        <v>86691</v>
      </c>
      <c r="I739" s="521">
        <f>G739</f>
        <v/>
      </c>
      <c r="K739" s="521">
        <f>I739-G739</f>
        <v/>
      </c>
      <c r="M739" s="522" t="inlineStr">
        <is>
          <t>024293</t>
        </is>
      </c>
      <c r="N739" s="522" t="inlineStr"/>
      <c r="O739" s="521">
        <f>M739=N739</f>
        <v/>
      </c>
      <c r="P739" s="521">
        <f>AND(MONTH(F739)=MONTH(S739), YEAR(F739)=YEAR(S739))</f>
        <v/>
      </c>
      <c r="Q739" s="521">
        <f>U739="L001-901905215"</f>
        <v/>
      </c>
      <c r="R739" s="556">
        <f>G739-W739</f>
        <v/>
      </c>
      <c r="S739" s="521" t="n"/>
      <c r="T739" s="522" t="n"/>
      <c r="U739" s="522" t="n"/>
      <c r="V739" s="522" t="n"/>
      <c r="W739" s="521" t="n"/>
    </row>
    <row r="740">
      <c r="A740" s="521" t="n">
        <v>732</v>
      </c>
      <c r="B740" s="522" t="n"/>
      <c r="C740" s="522" t="inlineStr">
        <is>
          <t>កំពង់ផែស្វយ័តក្រុងព្រះសីហនុ</t>
        </is>
      </c>
      <c r="D740" s="522" t="inlineStr">
        <is>
          <t>L001-100044638</t>
        </is>
      </c>
      <c r="E740" s="521" t="inlineStr">
        <is>
          <t>024290</t>
        </is>
      </c>
      <c r="F740" s="523" t="n">
        <v>44238</v>
      </c>
      <c r="G740" s="556" t="n">
        <v>50061</v>
      </c>
      <c r="I740" s="521">
        <f>G740</f>
        <v/>
      </c>
      <c r="K740" s="521">
        <f>I740-G740</f>
        <v/>
      </c>
      <c r="M740" s="522" t="inlineStr">
        <is>
          <t>024290</t>
        </is>
      </c>
      <c r="N740" s="522" t="inlineStr"/>
      <c r="O740" s="521">
        <f>M740=N740</f>
        <v/>
      </c>
      <c r="P740" s="521">
        <f>AND(MONTH(F740)=MONTH(S740), YEAR(F740)=YEAR(S740))</f>
        <v/>
      </c>
      <c r="Q740" s="521">
        <f>U740="L001-901905215"</f>
        <v/>
      </c>
      <c r="R740" s="556">
        <f>G740-W740</f>
        <v/>
      </c>
      <c r="S740" s="521" t="n"/>
      <c r="T740" s="522" t="n"/>
      <c r="U740" s="522" t="n"/>
      <c r="V740" s="522" t="n"/>
      <c r="W740" s="521" t="n"/>
    </row>
    <row r="741">
      <c r="A741" s="521" t="n">
        <v>733</v>
      </c>
      <c r="B741" s="522" t="n"/>
      <c r="C741" s="522" t="inlineStr">
        <is>
          <t>អ៊ែរ៉ូ ស៊ីបភីង អេជេនស៊ី</t>
        </is>
      </c>
      <c r="D741" s="522" t="inlineStr">
        <is>
          <t>K004-901635903</t>
        </is>
      </c>
      <c r="E741" s="521" t="inlineStr">
        <is>
          <t>IKPSA2021503641</t>
        </is>
      </c>
      <c r="F741" s="523" t="n">
        <v>44231</v>
      </c>
      <c r="G741" s="556" t="n">
        <v>113932</v>
      </c>
      <c r="I741" s="521">
        <f>G741</f>
        <v/>
      </c>
      <c r="K741" s="521">
        <f>I741-G741</f>
        <v/>
      </c>
      <c r="M741" s="522" t="inlineStr">
        <is>
          <t>IKPSA2021503641</t>
        </is>
      </c>
      <c r="N741" s="522" t="inlineStr">
        <is>
          <t>IKPSA2021503641</t>
        </is>
      </c>
      <c r="O741" s="521">
        <f>M741=N741</f>
        <v/>
      </c>
      <c r="P741" s="521">
        <f>AND(MONTH(F741)=MONTH(S741), YEAR(F741)=YEAR(S741))</f>
        <v/>
      </c>
      <c r="Q741" s="521">
        <f>U741="L001-901905215"</f>
        <v/>
      </c>
      <c r="R741" s="556">
        <f>G741-W741</f>
        <v/>
      </c>
      <c r="S741" s="523" t="n">
        <v>44229</v>
      </c>
      <c r="T741" s="522" t="inlineStr">
        <is>
          <t>IKPSA2021503641</t>
        </is>
      </c>
      <c r="U741" s="522" t="inlineStr">
        <is>
          <t>L001-901905215</t>
        </is>
      </c>
      <c r="V741" s="522" t="inlineStr">
        <is>
          <t>វីអ៊ីស៊ិន (ខេមបូឌា) អ៊ិនដាសស្ទ្រី ឯ.ក</t>
        </is>
      </c>
      <c r="W741" s="556" t="n">
        <v>113932</v>
      </c>
    </row>
    <row r="742">
      <c r="A742" s="521" t="n">
        <v>734</v>
      </c>
      <c r="B742" s="522" t="n"/>
      <c r="C742" s="522" t="inlineStr">
        <is>
          <t>អ៊ែរ៉ូ ស៊ីបភីង អេជេនស៊ី</t>
        </is>
      </c>
      <c r="D742" s="522" t="inlineStr">
        <is>
          <t>K004-901635903</t>
        </is>
      </c>
      <c r="E742" s="521" t="inlineStr">
        <is>
          <t>IKPSA2021503640</t>
        </is>
      </c>
      <c r="F742" s="523" t="n">
        <v>44231</v>
      </c>
      <c r="G742" s="556" t="n">
        <v>97656</v>
      </c>
      <c r="I742" s="521">
        <f>G742</f>
        <v/>
      </c>
      <c r="K742" s="521">
        <f>I742-G742</f>
        <v/>
      </c>
      <c r="M742" s="522" t="inlineStr">
        <is>
          <t>IKPSA2021503640</t>
        </is>
      </c>
      <c r="N742" s="522" t="inlineStr">
        <is>
          <t>IKPSA2021503640</t>
        </is>
      </c>
      <c r="O742" s="521">
        <f>M742=N742</f>
        <v/>
      </c>
      <c r="P742" s="521">
        <f>AND(MONTH(F742)=MONTH(S742), YEAR(F742)=YEAR(S742))</f>
        <v/>
      </c>
      <c r="Q742" s="521">
        <f>U742="L001-901905215"</f>
        <v/>
      </c>
      <c r="R742" s="556">
        <f>G742-W742</f>
        <v/>
      </c>
      <c r="S742" s="523" t="n">
        <v>44229</v>
      </c>
      <c r="T742" s="522" t="inlineStr">
        <is>
          <t>IKPSA2021503640</t>
        </is>
      </c>
      <c r="U742" s="522" t="inlineStr">
        <is>
          <t>L001-901905215</t>
        </is>
      </c>
      <c r="V742" s="522" t="inlineStr">
        <is>
          <t>វីអ៊ីស៊ិន (ខេមបូឌា) អ៊ិនដាសស្ទ្រី ឯ.ក</t>
        </is>
      </c>
      <c r="W742" s="556" t="n">
        <v>97656</v>
      </c>
    </row>
    <row r="743">
      <c r="A743" s="521" t="n">
        <v>735</v>
      </c>
      <c r="B743" s="522" t="n"/>
      <c r="C743" s="522" t="inlineStr">
        <is>
          <t>អ៊ែរ៉ូ ស៊ីបភីង អេជេនស៊ី</t>
        </is>
      </c>
      <c r="D743" s="522" t="inlineStr">
        <is>
          <t>K004-901635903</t>
        </is>
      </c>
      <c r="E743" s="521" t="inlineStr">
        <is>
          <t>IKPSA2021503639</t>
        </is>
      </c>
      <c r="F743" s="523" t="n">
        <v>44231</v>
      </c>
      <c r="G743" s="556" t="n">
        <v>1850</v>
      </c>
      <c r="I743" s="521">
        <f>G743</f>
        <v/>
      </c>
      <c r="K743" s="521">
        <f>I743-G743</f>
        <v/>
      </c>
      <c r="M743" s="522" t="inlineStr">
        <is>
          <t>IKPSA2021503639</t>
        </is>
      </c>
      <c r="N743" s="522" t="inlineStr">
        <is>
          <t>IKPSA2021503639</t>
        </is>
      </c>
      <c r="O743" s="521">
        <f>M743=N743</f>
        <v/>
      </c>
      <c r="P743" s="521">
        <f>AND(MONTH(F743)=MONTH(S743), YEAR(F743)=YEAR(S743))</f>
        <v/>
      </c>
      <c r="Q743" s="521">
        <f>U743="L001-901905215"</f>
        <v/>
      </c>
      <c r="R743" s="556">
        <f>G743-W743</f>
        <v/>
      </c>
      <c r="S743" s="523" t="n">
        <v>44229</v>
      </c>
      <c r="T743" s="522" t="inlineStr">
        <is>
          <t>IKPSA2021503639</t>
        </is>
      </c>
      <c r="U743" s="522" t="inlineStr">
        <is>
          <t>L001-901905215</t>
        </is>
      </c>
      <c r="V743" s="522" t="inlineStr">
        <is>
          <t>វីអ៊ីស៊ិន (ខេមបូឌា) អ៊ិនដាសស្ទ្រី ឯ.ក</t>
        </is>
      </c>
      <c r="W743" s="556" t="n">
        <v>1851</v>
      </c>
    </row>
    <row r="744">
      <c r="A744" s="521" t="n">
        <v>736</v>
      </c>
      <c r="B744" s="522" t="n"/>
      <c r="C744" s="522" t="inlineStr">
        <is>
          <t>កំពង់ផែស្វយ័តក្រុងព្រះសីហនុ</t>
        </is>
      </c>
      <c r="D744" s="522" t="inlineStr">
        <is>
          <t>L001-100044638</t>
        </is>
      </c>
      <c r="E744" s="521" t="inlineStr">
        <is>
          <t>024285</t>
        </is>
      </c>
      <c r="F744" s="523" t="n">
        <v>44238</v>
      </c>
      <c r="G744" s="556" t="n">
        <v>35409</v>
      </c>
      <c r="I744" s="521">
        <f>G744</f>
        <v/>
      </c>
      <c r="K744" s="521">
        <f>I744-G744</f>
        <v/>
      </c>
      <c r="M744" s="522" t="inlineStr">
        <is>
          <t>024285</t>
        </is>
      </c>
      <c r="N744" s="522" t="inlineStr"/>
      <c r="O744" s="521">
        <f>M744=N744</f>
        <v/>
      </c>
      <c r="P744" s="521">
        <f>AND(MONTH(F744)=MONTH(S744), YEAR(F744)=YEAR(S744))</f>
        <v/>
      </c>
      <c r="Q744" s="521">
        <f>U744="L001-901905215"</f>
        <v/>
      </c>
      <c r="R744" s="556">
        <f>G744-W744</f>
        <v/>
      </c>
      <c r="S744" s="521" t="n"/>
      <c r="T744" s="522" t="n"/>
      <c r="U744" s="522" t="n"/>
      <c r="V744" s="522" t="n"/>
      <c r="W744" s="521" t="n"/>
    </row>
    <row r="745">
      <c r="A745" s="521" t="n">
        <v>737</v>
      </c>
      <c r="B745" s="522" t="n"/>
      <c r="C745" s="522" t="inlineStr">
        <is>
          <t>អ៊ែរ៉ូ ស៊ីបភីង អេជេនស៊ី</t>
        </is>
      </c>
      <c r="D745" s="522" t="inlineStr">
        <is>
          <t>K004-901635903</t>
        </is>
      </c>
      <c r="E745" s="521" t="inlineStr">
        <is>
          <t>IKPSA2021501812</t>
        </is>
      </c>
      <c r="F745" s="523" t="n">
        <v>44228</v>
      </c>
      <c r="G745" s="556" t="n">
        <v>113540</v>
      </c>
      <c r="I745" s="521">
        <f>G745</f>
        <v/>
      </c>
      <c r="K745" s="521">
        <f>I745-G745</f>
        <v/>
      </c>
      <c r="M745" s="522" t="inlineStr">
        <is>
          <t>IKPSA2021501812</t>
        </is>
      </c>
      <c r="N745" s="522" t="inlineStr"/>
      <c r="O745" s="521">
        <f>M745=N745</f>
        <v/>
      </c>
      <c r="P745" s="521">
        <f>AND(MONTH(F745)=MONTH(S745), YEAR(F745)=YEAR(S745))</f>
        <v/>
      </c>
      <c r="Q745" s="521">
        <f>U745="L001-901905215"</f>
        <v/>
      </c>
      <c r="R745" s="556">
        <f>G745-W745</f>
        <v/>
      </c>
      <c r="S745" s="521" t="n"/>
      <c r="T745" s="522" t="n"/>
      <c r="U745" s="522" t="n"/>
      <c r="V745" s="522" t="n"/>
      <c r="W745" s="521" t="n"/>
    </row>
    <row r="746">
      <c r="A746" s="521" t="n">
        <v>738</v>
      </c>
      <c r="B746" s="522" t="n"/>
      <c r="C746" s="522" t="inlineStr">
        <is>
          <t>អ៊ែរ៉ូ ស៊ីបភីង អេជេនស៊ី</t>
        </is>
      </c>
      <c r="D746" s="522" t="inlineStr">
        <is>
          <t>K004-901635903</t>
        </is>
      </c>
      <c r="E746" s="521" t="inlineStr">
        <is>
          <t>IKPSA2021501811</t>
        </is>
      </c>
      <c r="F746" s="523" t="n">
        <v>44228</v>
      </c>
      <c r="G746" s="556" t="n">
        <v>97320</v>
      </c>
      <c r="I746" s="521">
        <f>G746</f>
        <v/>
      </c>
      <c r="K746" s="521">
        <f>I746-G746</f>
        <v/>
      </c>
      <c r="M746" s="522" t="inlineStr">
        <is>
          <t>IKPSA2021501811</t>
        </is>
      </c>
      <c r="N746" s="522" t="inlineStr"/>
      <c r="O746" s="521">
        <f>M746=N746</f>
        <v/>
      </c>
      <c r="P746" s="521">
        <f>AND(MONTH(F746)=MONTH(S746), YEAR(F746)=YEAR(S746))</f>
        <v/>
      </c>
      <c r="Q746" s="521">
        <f>U746="L001-901905215"</f>
        <v/>
      </c>
      <c r="R746" s="556">
        <f>G746-W746</f>
        <v/>
      </c>
      <c r="S746" s="521" t="n"/>
      <c r="T746" s="522" t="n"/>
      <c r="U746" s="522" t="n"/>
      <c r="V746" s="522" t="n"/>
      <c r="W746" s="521" t="n"/>
    </row>
    <row r="747">
      <c r="A747" s="521" t="n">
        <v>739</v>
      </c>
      <c r="B747" s="522" t="n"/>
      <c r="C747" s="522" t="inlineStr">
        <is>
          <t>អ៊ែរ៉ូ ស៊ីបភីង អេជេនស៊ី</t>
        </is>
      </c>
      <c r="D747" s="522" t="inlineStr">
        <is>
          <t>K004-901635903</t>
        </is>
      </c>
      <c r="E747" s="521" t="inlineStr">
        <is>
          <t>IKPSA2021501810</t>
        </is>
      </c>
      <c r="F747" s="523" t="n">
        <v>44228</v>
      </c>
      <c r="G747" s="556" t="n">
        <v>1843</v>
      </c>
      <c r="I747" s="521">
        <f>G747</f>
        <v/>
      </c>
      <c r="K747" s="521">
        <f>I747-G747</f>
        <v/>
      </c>
      <c r="M747" s="522" t="inlineStr">
        <is>
          <t>IKPSA2021501810</t>
        </is>
      </c>
      <c r="N747" s="522" t="inlineStr"/>
      <c r="O747" s="521">
        <f>M747=N747</f>
        <v/>
      </c>
      <c r="P747" s="521">
        <f>AND(MONTH(F747)=MONTH(S747), YEAR(F747)=YEAR(S747))</f>
        <v/>
      </c>
      <c r="Q747" s="521">
        <f>U747="L001-901905215"</f>
        <v/>
      </c>
      <c r="R747" s="556">
        <f>G747-W747</f>
        <v/>
      </c>
      <c r="S747" s="521" t="n"/>
      <c r="T747" s="522" t="n"/>
      <c r="U747" s="522" t="n"/>
      <c r="V747" s="522" t="n"/>
      <c r="W747" s="521" t="n"/>
    </row>
    <row r="748">
      <c r="A748" s="521" t="n">
        <v>740</v>
      </c>
      <c r="B748" s="522" t="n"/>
      <c r="C748" s="522" t="inlineStr">
        <is>
          <t>មើស្គ (ខេមបូឌា)</t>
        </is>
      </c>
      <c r="D748" s="522" t="inlineStr">
        <is>
          <t>L001-100045200</t>
        </is>
      </c>
      <c r="E748" s="521" t="inlineStr">
        <is>
          <t>5995868704</t>
        </is>
      </c>
      <c r="F748" s="523" t="n">
        <v>44242</v>
      </c>
      <c r="G748" s="556" t="n">
        <v>311676</v>
      </c>
      <c r="I748" s="521">
        <f>G748</f>
        <v/>
      </c>
      <c r="K748" s="521">
        <f>I748-G748</f>
        <v/>
      </c>
      <c r="M748" s="522" t="inlineStr">
        <is>
          <t>5995868704</t>
        </is>
      </c>
      <c r="N748" s="522" t="inlineStr"/>
      <c r="O748" s="521">
        <f>M748=N748</f>
        <v/>
      </c>
      <c r="P748" s="521">
        <f>AND(MONTH(F748)=MONTH(S748), YEAR(F748)=YEAR(S748))</f>
        <v/>
      </c>
      <c r="Q748" s="521">
        <f>U748="L001-901905215"</f>
        <v/>
      </c>
      <c r="R748" s="556">
        <f>G748-W748</f>
        <v/>
      </c>
      <c r="S748" s="521" t="n"/>
      <c r="T748" s="522" t="n"/>
      <c r="U748" s="522" t="n"/>
      <c r="V748" s="522" t="n"/>
      <c r="W748" s="521" t="n"/>
    </row>
    <row r="749">
      <c r="A749" s="521" t="n">
        <v>741</v>
      </c>
      <c r="B749" s="522" t="n"/>
      <c r="C749" s="522" t="inlineStr">
        <is>
          <t>សូស៊ីយេតេ កុងសេស្យូនែរ ដឺ ឡាអេរ៉ូព័រ</t>
        </is>
      </c>
      <c r="D749" s="522" t="inlineStr">
        <is>
          <t>L001-100047300</t>
        </is>
      </c>
      <c r="E749" s="521" t="inlineStr">
        <is>
          <t>2133-00376</t>
        </is>
      </c>
      <c r="F749" s="523" t="n">
        <v>44237</v>
      </c>
      <c r="G749" s="556" t="n">
        <v>2638</v>
      </c>
      <c r="I749" s="521">
        <f>G749</f>
        <v/>
      </c>
      <c r="K749" s="521">
        <f>I749-G749</f>
        <v/>
      </c>
      <c r="M749" s="522" t="inlineStr">
        <is>
          <t>213300376</t>
        </is>
      </c>
      <c r="N749" s="522" t="inlineStr"/>
      <c r="O749" s="521">
        <f>M749=N749</f>
        <v/>
      </c>
      <c r="P749" s="521">
        <f>AND(MONTH(F749)=MONTH(S749), YEAR(F749)=YEAR(S749))</f>
        <v/>
      </c>
      <c r="Q749" s="521">
        <f>U749="L001-901905215"</f>
        <v/>
      </c>
      <c r="R749" s="556">
        <f>G749-W749</f>
        <v/>
      </c>
      <c r="S749" s="521" t="n"/>
      <c r="T749" s="522" t="n"/>
      <c r="U749" s="522" t="n"/>
      <c r="V749" s="522" t="n"/>
      <c r="W749" s="521" t="n"/>
    </row>
    <row r="750">
      <c r="A750" s="521" t="n">
        <v>742</v>
      </c>
      <c r="B750" s="522" t="n"/>
      <c r="C750" s="522" t="inlineStr">
        <is>
          <t>សូស៊ីយេតេ កុងសេស្យូនែរ ដឺ ឡាអេរ៉ូព័រ</t>
        </is>
      </c>
      <c r="D750" s="522" t="inlineStr">
        <is>
          <t>L001-100047300</t>
        </is>
      </c>
      <c r="E750" s="521" t="inlineStr">
        <is>
          <t>2100-007089</t>
        </is>
      </c>
      <c r="F750" s="523" t="n">
        <v>44228</v>
      </c>
      <c r="G750" s="556" t="n">
        <v>141279</v>
      </c>
      <c r="I750" s="521">
        <f>G750</f>
        <v/>
      </c>
      <c r="K750" s="521">
        <f>I750-G750</f>
        <v/>
      </c>
      <c r="M750" s="522" t="inlineStr">
        <is>
          <t>2100007089</t>
        </is>
      </c>
      <c r="N750" s="522" t="inlineStr"/>
      <c r="O750" s="521">
        <f>M750=N750</f>
        <v/>
      </c>
      <c r="P750" s="521">
        <f>AND(MONTH(F750)=MONTH(S750), YEAR(F750)=YEAR(S750))</f>
        <v/>
      </c>
      <c r="Q750" s="521">
        <f>U750="L001-901905215"</f>
        <v/>
      </c>
      <c r="R750" s="556">
        <f>G750-W750</f>
        <v/>
      </c>
      <c r="S750" s="521" t="n"/>
      <c r="T750" s="522" t="n"/>
      <c r="U750" s="522" t="n"/>
      <c r="V750" s="522" t="n"/>
      <c r="W750" s="521" t="n"/>
    </row>
    <row r="751">
      <c r="A751" s="521" t="n">
        <v>743</v>
      </c>
      <c r="B751" s="522" t="n"/>
      <c r="C751" s="522" t="inlineStr">
        <is>
          <t>សូស៊ីយេតេ កុងសេស្យូនែរ ដឺ ឡាអេរ៉ូព័រ</t>
        </is>
      </c>
      <c r="D751" s="522" t="inlineStr">
        <is>
          <t>L001-100047300</t>
        </is>
      </c>
      <c r="E751" s="521" t="inlineStr">
        <is>
          <t>2100-007834</t>
        </is>
      </c>
      <c r="F751" s="523" t="n">
        <v>44237</v>
      </c>
      <c r="G751" s="556" t="n">
        <v>39168</v>
      </c>
      <c r="I751" s="521">
        <f>G751</f>
        <v/>
      </c>
      <c r="K751" s="521">
        <f>I751-G751</f>
        <v/>
      </c>
      <c r="M751" s="522" t="inlineStr">
        <is>
          <t>2100007834</t>
        </is>
      </c>
      <c r="N751" s="522" t="inlineStr"/>
      <c r="O751" s="521">
        <f>M751=N751</f>
        <v/>
      </c>
      <c r="P751" s="521">
        <f>AND(MONTH(F751)=MONTH(S751), YEAR(F751)=YEAR(S751))</f>
        <v/>
      </c>
      <c r="Q751" s="521">
        <f>U751="L001-901905215"</f>
        <v/>
      </c>
      <c r="R751" s="556">
        <f>G751-W751</f>
        <v/>
      </c>
      <c r="S751" s="521" t="n"/>
      <c r="T751" s="522" t="n"/>
      <c r="U751" s="522" t="n"/>
      <c r="V751" s="522" t="n"/>
      <c r="W751" s="521" t="n"/>
    </row>
    <row r="752">
      <c r="A752" s="521" t="n">
        <v>744</v>
      </c>
      <c r="B752" s="522" t="n"/>
      <c r="C752" s="522" t="inlineStr">
        <is>
          <t>ប្យួរ៉ូ វេរីតាស (ខេមបូឌា) លីមីធីត</t>
        </is>
      </c>
      <c r="D752" s="522" t="inlineStr">
        <is>
          <t>L001-107024462</t>
        </is>
      </c>
      <c r="E752" s="521" t="inlineStr">
        <is>
          <t>59009563</t>
        </is>
      </c>
      <c r="F752" s="523" t="n">
        <v>44228</v>
      </c>
      <c r="G752" s="556" t="n">
        <v>109850</v>
      </c>
      <c r="I752" s="521">
        <f>G752</f>
        <v/>
      </c>
      <c r="K752" s="521">
        <f>I752-G752</f>
        <v/>
      </c>
      <c r="M752" s="522" t="inlineStr">
        <is>
          <t>59009563</t>
        </is>
      </c>
      <c r="N752" s="522" t="inlineStr"/>
      <c r="O752" s="521">
        <f>M752=N752</f>
        <v/>
      </c>
      <c r="P752" s="521">
        <f>AND(MONTH(F752)=MONTH(S752), YEAR(F752)=YEAR(S752))</f>
        <v/>
      </c>
      <c r="Q752" s="521">
        <f>U752="L001-901905215"</f>
        <v/>
      </c>
      <c r="R752" s="556">
        <f>G752-W752</f>
        <v/>
      </c>
      <c r="S752" s="521" t="n"/>
      <c r="T752" s="522" t="n"/>
      <c r="U752" s="522" t="n"/>
      <c r="V752" s="522" t="n"/>
      <c r="W752" s="521" t="n"/>
    </row>
    <row r="753">
      <c r="A753" s="521" t="n">
        <v>745</v>
      </c>
      <c r="B753" s="522" t="n"/>
      <c r="C753" s="522" t="inlineStr">
        <is>
          <t>ប្យួរ៉ូ វេរីតាស (ខេមបូឌា) លីមីធីត</t>
        </is>
      </c>
      <c r="D753" s="522" t="inlineStr">
        <is>
          <t>L001-107024462</t>
        </is>
      </c>
      <c r="E753" s="521" t="inlineStr">
        <is>
          <t>59009567</t>
        </is>
      </c>
      <c r="F753" s="523" t="n">
        <v>44228</v>
      </c>
      <c r="G753" s="556" t="n">
        <v>253176</v>
      </c>
      <c r="I753" s="521">
        <f>G753</f>
        <v/>
      </c>
      <c r="K753" s="521">
        <f>I753-G753</f>
        <v/>
      </c>
      <c r="M753" s="522" t="inlineStr">
        <is>
          <t>59009567</t>
        </is>
      </c>
      <c r="N753" s="522" t="inlineStr"/>
      <c r="O753" s="521">
        <f>M753=N753</f>
        <v/>
      </c>
      <c r="P753" s="521">
        <f>AND(MONTH(F753)=MONTH(S753), YEAR(F753)=YEAR(S753))</f>
        <v/>
      </c>
      <c r="Q753" s="521">
        <f>U753="L001-901905215"</f>
        <v/>
      </c>
      <c r="R753" s="556">
        <f>G753-W753</f>
        <v/>
      </c>
      <c r="S753" s="521" t="n"/>
      <c r="T753" s="522" t="n"/>
      <c r="U753" s="522" t="n"/>
      <c r="V753" s="522" t="n"/>
      <c r="W753" s="521" t="n"/>
    </row>
    <row r="754">
      <c r="A754" s="521" t="n">
        <v>746</v>
      </c>
      <c r="B754" s="522" t="n"/>
      <c r="C754" s="522" t="inlineStr">
        <is>
          <t>ប្យួរ៉ូ វេរីតាស (ខេមបូឌា) លីមីធីត</t>
        </is>
      </c>
      <c r="D754" s="522" t="inlineStr">
        <is>
          <t>L001-107024462</t>
        </is>
      </c>
      <c r="E754" s="521" t="inlineStr">
        <is>
          <t>59009564</t>
        </is>
      </c>
      <c r="F754" s="523" t="n">
        <v>44228</v>
      </c>
      <c r="G754" s="556" t="n">
        <v>95477</v>
      </c>
      <c r="I754" s="521">
        <f>G754</f>
        <v/>
      </c>
      <c r="K754" s="521">
        <f>I754-G754</f>
        <v/>
      </c>
      <c r="M754" s="522" t="inlineStr">
        <is>
          <t>59009564</t>
        </is>
      </c>
      <c r="N754" s="522" t="inlineStr"/>
      <c r="O754" s="521">
        <f>M754=N754</f>
        <v/>
      </c>
      <c r="P754" s="521">
        <f>AND(MONTH(F754)=MONTH(S754), YEAR(F754)=YEAR(S754))</f>
        <v/>
      </c>
      <c r="Q754" s="521">
        <f>U754="L001-901905215"</f>
        <v/>
      </c>
      <c r="R754" s="556">
        <f>G754-W754</f>
        <v/>
      </c>
      <c r="S754" s="521" t="n"/>
      <c r="T754" s="522" t="n"/>
      <c r="U754" s="522" t="n"/>
      <c r="V754" s="522" t="n"/>
      <c r="W754" s="521" t="n"/>
    </row>
    <row r="755">
      <c r="A755" s="521" t="n">
        <v>747</v>
      </c>
      <c r="B755" s="522" t="n"/>
      <c r="C755" s="522" t="inlineStr">
        <is>
          <t>ប្យួរ៉ូ វេរីតាស (ខេមបូឌា) លីមីធីត</t>
        </is>
      </c>
      <c r="D755" s="522" t="inlineStr">
        <is>
          <t>L001-107024462</t>
        </is>
      </c>
      <c r="E755" s="521" t="inlineStr">
        <is>
          <t>59009550</t>
        </is>
      </c>
      <c r="F755" s="523" t="n">
        <v>44228</v>
      </c>
      <c r="G755" s="556" t="n">
        <v>219592</v>
      </c>
      <c r="I755" s="521">
        <f>G755</f>
        <v/>
      </c>
      <c r="K755" s="521">
        <f>I755-G755</f>
        <v/>
      </c>
      <c r="M755" s="522" t="inlineStr">
        <is>
          <t>59009550</t>
        </is>
      </c>
      <c r="N755" s="522" t="inlineStr"/>
      <c r="O755" s="521">
        <f>M755=N755</f>
        <v/>
      </c>
      <c r="P755" s="521">
        <f>AND(MONTH(F755)=MONTH(S755), YEAR(F755)=YEAR(S755))</f>
        <v/>
      </c>
      <c r="Q755" s="521">
        <f>U755="L001-901905215"</f>
        <v/>
      </c>
      <c r="R755" s="556">
        <f>G755-W755</f>
        <v/>
      </c>
      <c r="S755" s="521" t="n"/>
      <c r="T755" s="522" t="n"/>
      <c r="U755" s="522" t="n"/>
      <c r="V755" s="522" t="n"/>
      <c r="W755" s="521" t="n"/>
    </row>
    <row r="756">
      <c r="A756" s="521" t="n">
        <v>748</v>
      </c>
      <c r="B756" s="522" t="n"/>
      <c r="C756" s="522" t="inlineStr">
        <is>
          <t>ប្យួរ៉ូ វេរីតាស (ខេមបូឌា) លីមីធីត</t>
        </is>
      </c>
      <c r="D756" s="522" t="inlineStr">
        <is>
          <t>L001-107024462</t>
        </is>
      </c>
      <c r="E756" s="521" t="inlineStr">
        <is>
          <t>59009554</t>
        </is>
      </c>
      <c r="F756" s="523" t="n">
        <v>44228</v>
      </c>
      <c r="G756" s="556" t="n">
        <v>109796</v>
      </c>
      <c r="I756" s="521">
        <f>G756</f>
        <v/>
      </c>
      <c r="K756" s="521">
        <f>I756-G756</f>
        <v/>
      </c>
      <c r="M756" s="522" t="inlineStr">
        <is>
          <t>59009554</t>
        </is>
      </c>
      <c r="N756" s="522" t="inlineStr"/>
      <c r="O756" s="521">
        <f>M756=N756</f>
        <v/>
      </c>
      <c r="P756" s="521">
        <f>AND(MONTH(F756)=MONTH(S756), YEAR(F756)=YEAR(S756))</f>
        <v/>
      </c>
      <c r="Q756" s="521">
        <f>U756="L001-901905215"</f>
        <v/>
      </c>
      <c r="R756" s="556">
        <f>G756-W756</f>
        <v/>
      </c>
      <c r="S756" s="521" t="n"/>
      <c r="T756" s="522" t="n"/>
      <c r="U756" s="522" t="n"/>
      <c r="V756" s="522" t="n"/>
      <c r="W756" s="521" t="n"/>
    </row>
    <row r="757">
      <c r="A757" s="521" t="n">
        <v>749</v>
      </c>
      <c r="B757" s="522" t="n"/>
      <c r="C757" s="522" t="inlineStr">
        <is>
          <t>ប្យួរ៉ូ វេរីតាស (ខេមបូឌា) លីមីធីត</t>
        </is>
      </c>
      <c r="D757" s="522" t="inlineStr">
        <is>
          <t>L001-107024462</t>
        </is>
      </c>
      <c r="E757" s="521" t="inlineStr">
        <is>
          <t>59009555</t>
        </is>
      </c>
      <c r="F757" s="523" t="n">
        <v>44228</v>
      </c>
      <c r="G757" s="556" t="n">
        <v>94619</v>
      </c>
      <c r="I757" s="521">
        <f>G757</f>
        <v/>
      </c>
      <c r="K757" s="521">
        <f>I757-G757</f>
        <v/>
      </c>
      <c r="M757" s="522" t="inlineStr">
        <is>
          <t>59009555</t>
        </is>
      </c>
      <c r="N757" s="522" t="inlineStr"/>
      <c r="O757" s="521">
        <f>M757=N757</f>
        <v/>
      </c>
      <c r="P757" s="521">
        <f>AND(MONTH(F757)=MONTH(S757), YEAR(F757)=YEAR(S757))</f>
        <v/>
      </c>
      <c r="Q757" s="521">
        <f>U757="L001-901905215"</f>
        <v/>
      </c>
      <c r="R757" s="556">
        <f>G757-W757</f>
        <v/>
      </c>
      <c r="S757" s="521" t="n"/>
      <c r="T757" s="522" t="n"/>
      <c r="U757" s="522" t="n"/>
      <c r="V757" s="522" t="n"/>
      <c r="W757" s="521" t="n"/>
    </row>
    <row r="758">
      <c r="A758" s="521" t="n">
        <v>750</v>
      </c>
      <c r="B758" s="522" t="n"/>
      <c r="C758" s="522" t="inlineStr">
        <is>
          <t>ប្យួរ៉ូ វេរីតាស (ខេមបូឌា) លីមីធីត</t>
        </is>
      </c>
      <c r="D758" s="522" t="inlineStr">
        <is>
          <t>L001-107024462</t>
        </is>
      </c>
      <c r="E758" s="521" t="inlineStr">
        <is>
          <t>59009519</t>
        </is>
      </c>
      <c r="F758" s="523" t="n">
        <v>44228</v>
      </c>
      <c r="G758" s="556" t="n">
        <v>270740</v>
      </c>
      <c r="I758" s="521">
        <f>G758</f>
        <v/>
      </c>
      <c r="K758" s="521">
        <f>I758-G758</f>
        <v/>
      </c>
      <c r="M758" s="522" t="inlineStr">
        <is>
          <t>59009519</t>
        </is>
      </c>
      <c r="N758" s="522" t="inlineStr"/>
      <c r="O758" s="521">
        <f>M758=N758</f>
        <v/>
      </c>
      <c r="P758" s="521">
        <f>AND(MONTH(F758)=MONTH(S758), YEAR(F758)=YEAR(S758))</f>
        <v/>
      </c>
      <c r="Q758" s="521">
        <f>U758="L001-901905215"</f>
        <v/>
      </c>
      <c r="R758" s="556">
        <f>G758-W758</f>
        <v/>
      </c>
      <c r="S758" s="521" t="n"/>
      <c r="T758" s="522" t="n"/>
      <c r="U758" s="522" t="n"/>
      <c r="V758" s="522" t="n"/>
      <c r="W758" s="521" t="n"/>
    </row>
    <row r="759">
      <c r="A759" s="521" t="n">
        <v>751</v>
      </c>
      <c r="B759" s="522" t="n"/>
      <c r="C759" s="522" t="inlineStr">
        <is>
          <t>ប្យួរ៉ូ វេរីតាស (ខេមបូឌា) លីមីធីត</t>
        </is>
      </c>
      <c r="D759" s="522" t="inlineStr">
        <is>
          <t>L001-107024462</t>
        </is>
      </c>
      <c r="E759" s="521" t="inlineStr">
        <is>
          <t>59009497</t>
        </is>
      </c>
      <c r="F759" s="523" t="n">
        <v>44228</v>
      </c>
      <c r="G759" s="556" t="n">
        <v>94549</v>
      </c>
      <c r="I759" s="521">
        <f>G759</f>
        <v/>
      </c>
      <c r="K759" s="521">
        <f>I759-G759</f>
        <v/>
      </c>
      <c r="M759" s="522" t="inlineStr">
        <is>
          <t>59009497</t>
        </is>
      </c>
      <c r="N759" s="522" t="inlineStr"/>
      <c r="O759" s="521">
        <f>M759=N759</f>
        <v/>
      </c>
      <c r="P759" s="521">
        <f>AND(MONTH(F759)=MONTH(S759), YEAR(F759)=YEAR(S759))</f>
        <v/>
      </c>
      <c r="Q759" s="521">
        <f>U759="L001-901905215"</f>
        <v/>
      </c>
      <c r="R759" s="556">
        <f>G759-W759</f>
        <v/>
      </c>
      <c r="S759" s="521" t="n"/>
      <c r="T759" s="522" t="n"/>
      <c r="U759" s="522" t="n"/>
      <c r="V759" s="522" t="n"/>
      <c r="W759" s="521" t="n"/>
    </row>
    <row r="760">
      <c r="A760" s="521" t="n">
        <v>752</v>
      </c>
      <c r="B760" s="522" t="n"/>
      <c r="C760" s="522" t="inlineStr">
        <is>
          <t>ប្យួរ៉ូ វេរីតាស (ខេមបូឌា) លីមីធីត</t>
        </is>
      </c>
      <c r="D760" s="522" t="inlineStr">
        <is>
          <t>L001-107024462</t>
        </is>
      </c>
      <c r="E760" s="521" t="inlineStr">
        <is>
          <t>59009495</t>
        </is>
      </c>
      <c r="F760" s="523" t="n">
        <v>44228</v>
      </c>
      <c r="G760" s="556" t="n">
        <v>374364</v>
      </c>
      <c r="I760" s="521">
        <f>G760</f>
        <v/>
      </c>
      <c r="K760" s="521">
        <f>I760-G760</f>
        <v/>
      </c>
      <c r="M760" s="522" t="inlineStr">
        <is>
          <t>59009495</t>
        </is>
      </c>
      <c r="N760" s="522" t="inlineStr"/>
      <c r="O760" s="521">
        <f>M760=N760</f>
        <v/>
      </c>
      <c r="P760" s="521">
        <f>AND(MONTH(F760)=MONTH(S760), YEAR(F760)=YEAR(S760))</f>
        <v/>
      </c>
      <c r="Q760" s="521">
        <f>U760="L001-901905215"</f>
        <v/>
      </c>
      <c r="R760" s="556">
        <f>G760-W760</f>
        <v/>
      </c>
      <c r="S760" s="521" t="n"/>
      <c r="T760" s="522" t="n"/>
      <c r="U760" s="522" t="n"/>
      <c r="V760" s="522" t="n"/>
      <c r="W760" s="521" t="n"/>
    </row>
    <row r="761">
      <c r="A761" s="521" t="n">
        <v>753</v>
      </c>
      <c r="B761" s="522" t="n"/>
      <c r="C761" s="522" t="inlineStr">
        <is>
          <t>ប្យួរ៉ូ វេរីតាស (ខេមបូឌា) លីមីធីត</t>
        </is>
      </c>
      <c r="D761" s="522" t="inlineStr">
        <is>
          <t>L001-107024462</t>
        </is>
      </c>
      <c r="E761" s="521" t="inlineStr">
        <is>
          <t>59009490</t>
        </is>
      </c>
      <c r="F761" s="523" t="n">
        <v>44228</v>
      </c>
      <c r="G761" s="556" t="n">
        <v>94549</v>
      </c>
      <c r="I761" s="521">
        <f>G761</f>
        <v/>
      </c>
      <c r="K761" s="521">
        <f>I761-G761</f>
        <v/>
      </c>
      <c r="M761" s="522" t="inlineStr">
        <is>
          <t>59009490</t>
        </is>
      </c>
      <c r="N761" s="522" t="inlineStr"/>
      <c r="O761" s="521">
        <f>M761=N761</f>
        <v/>
      </c>
      <c r="P761" s="521">
        <f>AND(MONTH(F761)=MONTH(S761), YEAR(F761)=YEAR(S761))</f>
        <v/>
      </c>
      <c r="Q761" s="521">
        <f>U761="L001-901905215"</f>
        <v/>
      </c>
      <c r="R761" s="556">
        <f>G761-W761</f>
        <v/>
      </c>
      <c r="S761" s="521" t="n"/>
      <c r="T761" s="522" t="n"/>
      <c r="U761" s="522" t="n"/>
      <c r="V761" s="522" t="n"/>
      <c r="W761" s="521" t="n"/>
    </row>
    <row r="762">
      <c r="A762" s="521" t="n">
        <v>754</v>
      </c>
      <c r="B762" s="522" t="n"/>
      <c r="C762" s="522" t="inlineStr">
        <is>
          <t>ប្យួរ៉ូ វេរីតាស (ខេមបូឌា) លីមីធីត</t>
        </is>
      </c>
      <c r="D762" s="522" t="inlineStr">
        <is>
          <t>L001-107024462</t>
        </is>
      </c>
      <c r="E762" s="521" t="inlineStr">
        <is>
          <t>59009480</t>
        </is>
      </c>
      <c r="F762" s="523" t="n">
        <v>44228</v>
      </c>
      <c r="G762" s="556" t="n">
        <v>94549</v>
      </c>
      <c r="I762" s="521">
        <f>G762</f>
        <v/>
      </c>
      <c r="K762" s="521">
        <f>I762-G762</f>
        <v/>
      </c>
      <c r="M762" s="522" t="inlineStr">
        <is>
          <t>59009480</t>
        </is>
      </c>
      <c r="N762" s="522" t="inlineStr"/>
      <c r="O762" s="521">
        <f>M762=N762</f>
        <v/>
      </c>
      <c r="P762" s="521">
        <f>AND(MONTH(F762)=MONTH(S762), YEAR(F762)=YEAR(S762))</f>
        <v/>
      </c>
      <c r="Q762" s="521">
        <f>U762="L001-901905215"</f>
        <v/>
      </c>
      <c r="R762" s="556">
        <f>G762-W762</f>
        <v/>
      </c>
      <c r="S762" s="521" t="n"/>
      <c r="T762" s="522" t="n"/>
      <c r="U762" s="522" t="n"/>
      <c r="V762" s="522" t="n"/>
      <c r="W762" s="521" t="n"/>
    </row>
    <row r="763">
      <c r="A763" s="521" t="n">
        <v>755</v>
      </c>
      <c r="B763" s="522" t="n"/>
      <c r="C763" s="522" t="inlineStr">
        <is>
          <t>ប្យួរ៉ូ វេរីតាស (ខេមបូឌា) លីមីធីត</t>
        </is>
      </c>
      <c r="D763" s="522" t="inlineStr">
        <is>
          <t>L001-107024462</t>
        </is>
      </c>
      <c r="E763" s="521" t="inlineStr">
        <is>
          <t>59009454</t>
        </is>
      </c>
      <c r="F763" s="523" t="n">
        <v>44228</v>
      </c>
      <c r="G763" s="556" t="n">
        <v>135216</v>
      </c>
      <c r="I763" s="521">
        <f>G763</f>
        <v/>
      </c>
      <c r="K763" s="521">
        <f>I763-G763</f>
        <v/>
      </c>
      <c r="M763" s="522" t="inlineStr">
        <is>
          <t>59009454</t>
        </is>
      </c>
      <c r="N763" s="522" t="inlineStr"/>
      <c r="O763" s="521">
        <f>M763=N763</f>
        <v/>
      </c>
      <c r="P763" s="521">
        <f>AND(MONTH(F763)=MONTH(S763), YEAR(F763)=YEAR(S763))</f>
        <v/>
      </c>
      <c r="Q763" s="521">
        <f>U763="L001-901905215"</f>
        <v/>
      </c>
      <c r="R763" s="556">
        <f>G763-W763</f>
        <v/>
      </c>
      <c r="S763" s="521" t="n"/>
      <c r="T763" s="522" t="n"/>
      <c r="U763" s="522" t="n"/>
      <c r="V763" s="522" t="n"/>
      <c r="W763" s="521" t="n"/>
    </row>
    <row r="764">
      <c r="A764" s="521" t="n">
        <v>756</v>
      </c>
      <c r="B764" s="522" t="n"/>
      <c r="C764" s="522" t="inlineStr">
        <is>
          <t>ប្យួរ៉ូ វេរីតាស (ខេមបូឌា) លីមីធីត</t>
        </is>
      </c>
      <c r="D764" s="522" t="inlineStr">
        <is>
          <t>L001-107024462</t>
        </is>
      </c>
      <c r="E764" s="521" t="inlineStr">
        <is>
          <t>59009453</t>
        </is>
      </c>
      <c r="F764" s="523" t="n">
        <v>44228</v>
      </c>
      <c r="G764" s="556" t="n">
        <v>135216</v>
      </c>
      <c r="I764" s="521">
        <f>G764</f>
        <v/>
      </c>
      <c r="K764" s="521">
        <f>I764-G764</f>
        <v/>
      </c>
      <c r="M764" s="522" t="inlineStr">
        <is>
          <t>59009453</t>
        </is>
      </c>
      <c r="N764" s="522" t="inlineStr"/>
      <c r="O764" s="521">
        <f>M764=N764</f>
        <v/>
      </c>
      <c r="P764" s="521">
        <f>AND(MONTH(F764)=MONTH(S764), YEAR(F764)=YEAR(S764))</f>
        <v/>
      </c>
      <c r="Q764" s="521">
        <f>U764="L001-901905215"</f>
        <v/>
      </c>
      <c r="R764" s="556">
        <f>G764-W764</f>
        <v/>
      </c>
      <c r="S764" s="521" t="n"/>
      <c r="T764" s="522" t="n"/>
      <c r="U764" s="522" t="n"/>
      <c r="V764" s="522" t="n"/>
      <c r="W764" s="521" t="n"/>
    </row>
    <row r="765">
      <c r="A765" s="521" t="n">
        <v>757</v>
      </c>
      <c r="B765" s="522" t="n"/>
      <c r="C765" s="522" t="inlineStr">
        <is>
          <t>ប្យួរ៉ូ វេរីតាស (ខេមបូឌា) លីមីធីត</t>
        </is>
      </c>
      <c r="D765" s="522" t="inlineStr">
        <is>
          <t>L001-107024462</t>
        </is>
      </c>
      <c r="E765" s="521" t="inlineStr">
        <is>
          <t>59009450</t>
        </is>
      </c>
      <c r="F765" s="523" t="n">
        <v>44228</v>
      </c>
      <c r="G765" s="556" t="n">
        <v>54927</v>
      </c>
      <c r="I765" s="521">
        <f>G765</f>
        <v/>
      </c>
      <c r="K765" s="521">
        <f>I765-G765</f>
        <v/>
      </c>
      <c r="M765" s="522" t="inlineStr">
        <is>
          <t>59009450</t>
        </is>
      </c>
      <c r="N765" s="522" t="inlineStr"/>
      <c r="O765" s="521">
        <f>M765=N765</f>
        <v/>
      </c>
      <c r="P765" s="521">
        <f>AND(MONTH(F765)=MONTH(S765), YEAR(F765)=YEAR(S765))</f>
        <v/>
      </c>
      <c r="Q765" s="521">
        <f>U765="L001-901905215"</f>
        <v/>
      </c>
      <c r="R765" s="556">
        <f>G765-W765</f>
        <v/>
      </c>
      <c r="S765" s="521" t="n"/>
      <c r="T765" s="522" t="n"/>
      <c r="U765" s="522" t="n"/>
      <c r="V765" s="522" t="n"/>
      <c r="W765" s="521" t="n"/>
    </row>
    <row r="766">
      <c r="A766" s="521" t="n">
        <v>758</v>
      </c>
      <c r="B766" s="522" t="n"/>
      <c r="C766" s="522" t="inlineStr">
        <is>
          <t>ប្យួរ៉ូ វេរីតាស (ខេមបូឌា) លីមីធីត</t>
        </is>
      </c>
      <c r="D766" s="522" t="inlineStr">
        <is>
          <t>L001-107024462</t>
        </is>
      </c>
      <c r="E766" s="521" t="inlineStr">
        <is>
          <t>59009834</t>
        </is>
      </c>
      <c r="F766" s="523" t="n">
        <v>44254</v>
      </c>
      <c r="G766" s="556" t="n">
        <v>220458</v>
      </c>
      <c r="I766" s="521">
        <f>G766</f>
        <v/>
      </c>
      <c r="K766" s="521">
        <f>I766-G766</f>
        <v/>
      </c>
      <c r="M766" s="522" t="inlineStr">
        <is>
          <t>59009834</t>
        </is>
      </c>
      <c r="N766" s="522" t="inlineStr">
        <is>
          <t>59009834</t>
        </is>
      </c>
      <c r="O766" s="521">
        <f>M766=N766</f>
        <v/>
      </c>
      <c r="P766" s="521">
        <f>AND(MONTH(F766)=MONTH(S766), YEAR(F766)=YEAR(S766))</f>
        <v/>
      </c>
      <c r="Q766" s="521">
        <f>U766="L001-901905215"</f>
        <v/>
      </c>
      <c r="R766" s="556">
        <f>G766-W766</f>
        <v/>
      </c>
      <c r="S766" s="523" t="n">
        <v>44254</v>
      </c>
      <c r="T766" s="522" t="inlineStr">
        <is>
          <t>59009834</t>
        </is>
      </c>
      <c r="U766" s="522" t="inlineStr">
        <is>
          <t>L001-901905215</t>
        </is>
      </c>
      <c r="V766" s="522" t="inlineStr">
        <is>
          <t>វីអ៊ីស៊ិន (ខេមបូឌា) អ៊ិនដាសស្ទ្រី ឯ.ក</t>
        </is>
      </c>
      <c r="W766" s="556" t="n">
        <v>220459</v>
      </c>
    </row>
    <row r="767">
      <c r="A767" s="521" t="n">
        <v>759</v>
      </c>
      <c r="B767" s="522" t="n"/>
      <c r="C767" s="522" t="inlineStr">
        <is>
          <t>ប្យួរ៉ូ វេរីតាស (ខេមបូឌា) លីមីធីត</t>
        </is>
      </c>
      <c r="D767" s="522" t="inlineStr">
        <is>
          <t>L001-107024462</t>
        </is>
      </c>
      <c r="E767" s="521" t="inlineStr">
        <is>
          <t>59009826</t>
        </is>
      </c>
      <c r="F767" s="523" t="n">
        <v>44253</v>
      </c>
      <c r="G767" s="556" t="n">
        <v>55116</v>
      </c>
      <c r="I767" s="521">
        <f>G767</f>
        <v/>
      </c>
      <c r="K767" s="521">
        <f>I767-G767</f>
        <v/>
      </c>
      <c r="M767" s="522" t="inlineStr">
        <is>
          <t>59009826</t>
        </is>
      </c>
      <c r="N767" s="522" t="inlineStr">
        <is>
          <t>59009826</t>
        </is>
      </c>
      <c r="O767" s="521">
        <f>M767=N767</f>
        <v/>
      </c>
      <c r="P767" s="521">
        <f>AND(MONTH(F767)=MONTH(S767), YEAR(F767)=YEAR(S767))</f>
        <v/>
      </c>
      <c r="Q767" s="521">
        <f>U767="L001-901905215"</f>
        <v/>
      </c>
      <c r="R767" s="556">
        <f>G767-W767</f>
        <v/>
      </c>
      <c r="S767" s="523" t="n">
        <v>44253</v>
      </c>
      <c r="T767" s="522" t="inlineStr">
        <is>
          <t>59009826</t>
        </is>
      </c>
      <c r="U767" s="522" t="inlineStr">
        <is>
          <t>L001-901905215</t>
        </is>
      </c>
      <c r="V767" s="522" t="inlineStr">
        <is>
          <t>វីអ៊ីស៊ិន (ខេមបូឌា) អ៊ិនដាសស្ទ្រី ឯ.ក</t>
        </is>
      </c>
      <c r="W767" s="556" t="n">
        <v>55117</v>
      </c>
    </row>
    <row r="768">
      <c r="A768" s="521" t="n">
        <v>760</v>
      </c>
      <c r="B768" s="522" t="n"/>
      <c r="C768" s="522" t="inlineStr">
        <is>
          <t>ប្យួរ៉ូ វេរីតាស (ខេមបូឌា) លីមីធីត</t>
        </is>
      </c>
      <c r="D768" s="522" t="inlineStr">
        <is>
          <t>L001-107024462</t>
        </is>
      </c>
      <c r="E768" s="521" t="inlineStr">
        <is>
          <t>59009800</t>
        </is>
      </c>
      <c r="F768" s="523" t="n">
        <v>44251</v>
      </c>
      <c r="G768" s="556" t="n">
        <v>98925</v>
      </c>
      <c r="I768" s="521">
        <f>G768</f>
        <v/>
      </c>
      <c r="K768" s="521">
        <f>I768-G768</f>
        <v/>
      </c>
      <c r="M768" s="522" t="inlineStr">
        <is>
          <t>59009800</t>
        </is>
      </c>
      <c r="N768" s="522" t="inlineStr">
        <is>
          <t>59009800</t>
        </is>
      </c>
      <c r="O768" s="521">
        <f>M768=N768</f>
        <v/>
      </c>
      <c r="P768" s="521">
        <f>AND(MONTH(F768)=MONTH(S768), YEAR(F768)=YEAR(S768))</f>
        <v/>
      </c>
      <c r="Q768" s="521">
        <f>U768="L001-901905215"</f>
        <v/>
      </c>
      <c r="R768" s="556">
        <f>G768-W768</f>
        <v/>
      </c>
      <c r="S768" s="523" t="n">
        <v>44251</v>
      </c>
      <c r="T768" s="522" t="inlineStr">
        <is>
          <t>59009800</t>
        </is>
      </c>
      <c r="U768" s="522" t="inlineStr">
        <is>
          <t>L001-901905215</t>
        </is>
      </c>
      <c r="V768" s="522" t="inlineStr">
        <is>
          <t>វីអ៊ីស៊ិន (ខេមបូឌា) អ៊ិនដាសស្ទ្រី ឯ.ក</t>
        </is>
      </c>
      <c r="W768" s="556" t="n">
        <v>98925</v>
      </c>
    </row>
    <row r="769">
      <c r="A769" s="521" t="n">
        <v>761</v>
      </c>
      <c r="B769" s="522" t="n"/>
      <c r="C769" s="522" t="inlineStr">
        <is>
          <t>ប្យួរ៉ូ វេរីតាស (ខេមបូឌា) លីមីធីត</t>
        </is>
      </c>
      <c r="D769" s="522" t="inlineStr">
        <is>
          <t>L001-107024462</t>
        </is>
      </c>
      <c r="E769" s="521" t="inlineStr">
        <is>
          <t>59009788</t>
        </is>
      </c>
      <c r="F769" s="523" t="n">
        <v>44249</v>
      </c>
      <c r="G769" s="556" t="n">
        <v>165386</v>
      </c>
      <c r="I769" s="521">
        <f>G769</f>
        <v/>
      </c>
      <c r="K769" s="521">
        <f>I769-G769</f>
        <v/>
      </c>
      <c r="M769" s="522" t="inlineStr">
        <is>
          <t>59009788</t>
        </is>
      </c>
      <c r="N769" s="522" t="inlineStr">
        <is>
          <t>59009788</t>
        </is>
      </c>
      <c r="O769" s="521">
        <f>M769=N769</f>
        <v/>
      </c>
      <c r="P769" s="521">
        <f>AND(MONTH(F769)=MONTH(S769), YEAR(F769)=YEAR(S769))</f>
        <v/>
      </c>
      <c r="Q769" s="521">
        <f>U769="L001-901905215"</f>
        <v/>
      </c>
      <c r="R769" s="556">
        <f>G769-W769</f>
        <v/>
      </c>
      <c r="S769" s="523" t="n">
        <v>44249</v>
      </c>
      <c r="T769" s="522" t="inlineStr">
        <is>
          <t>59009788</t>
        </is>
      </c>
      <c r="U769" s="522" t="inlineStr">
        <is>
          <t>L001-901905215</t>
        </is>
      </c>
      <c r="V769" s="522" t="inlineStr">
        <is>
          <t>វីអ៊ីស៊ិន (ខេមបូឌា) អ៊ិនដាសស្ទ្រី ឯ.ក</t>
        </is>
      </c>
      <c r="W769" s="556" t="n">
        <v>165386</v>
      </c>
    </row>
    <row r="770">
      <c r="A770" s="521" t="n">
        <v>762</v>
      </c>
      <c r="B770" s="522" t="n"/>
      <c r="C770" s="522" t="inlineStr">
        <is>
          <t>ប្យួរ៉ូ វេរីតាស (ខេមបូឌា) លីមីធីត</t>
        </is>
      </c>
      <c r="D770" s="522" t="inlineStr">
        <is>
          <t>L001-107024462</t>
        </is>
      </c>
      <c r="E770" s="521" t="inlineStr">
        <is>
          <t>59009789</t>
        </is>
      </c>
      <c r="F770" s="523" t="n">
        <v>44249</v>
      </c>
      <c r="G770" s="556" t="n">
        <v>55130</v>
      </c>
      <c r="I770" s="521">
        <f>G770</f>
        <v/>
      </c>
      <c r="K770" s="521">
        <f>I770-G770</f>
        <v/>
      </c>
      <c r="M770" s="522" t="inlineStr">
        <is>
          <t>59009789</t>
        </is>
      </c>
      <c r="N770" s="522" t="inlineStr">
        <is>
          <t>59009789</t>
        </is>
      </c>
      <c r="O770" s="521">
        <f>M770=N770</f>
        <v/>
      </c>
      <c r="P770" s="521">
        <f>AND(MONTH(F770)=MONTH(S770), YEAR(F770)=YEAR(S770))</f>
        <v/>
      </c>
      <c r="Q770" s="521">
        <f>U770="L001-901905215"</f>
        <v/>
      </c>
      <c r="R770" s="556">
        <f>G770-W770</f>
        <v/>
      </c>
      <c r="S770" s="523" t="n">
        <v>44249</v>
      </c>
      <c r="T770" s="522" t="inlineStr">
        <is>
          <t>59009789</t>
        </is>
      </c>
      <c r="U770" s="522" t="inlineStr">
        <is>
          <t>L001-901905215</t>
        </is>
      </c>
      <c r="V770" s="522" t="inlineStr">
        <is>
          <t>វីអ៊ីស៊ិន (ខេមបូឌា) អ៊ិនដាសស្ទ្រី ឯ.ក</t>
        </is>
      </c>
      <c r="W770" s="556" t="n">
        <v>55130</v>
      </c>
    </row>
    <row r="771">
      <c r="A771" s="521" t="n">
        <v>763</v>
      </c>
      <c r="B771" s="522" t="n"/>
      <c r="C771" s="522" t="inlineStr">
        <is>
          <t>ប្យួរ៉ូ វេរីតាស (ខេមបូឌា) លីមីធីត</t>
        </is>
      </c>
      <c r="D771" s="522" t="inlineStr">
        <is>
          <t>L001-107024462</t>
        </is>
      </c>
      <c r="E771" s="521" t="inlineStr">
        <is>
          <t>59009762</t>
        </is>
      </c>
      <c r="F771" s="523" t="n">
        <v>44246</v>
      </c>
      <c r="G771" s="556" t="n">
        <v>55103</v>
      </c>
      <c r="I771" s="521">
        <f>G771</f>
        <v/>
      </c>
      <c r="K771" s="521">
        <f>I771-G771</f>
        <v/>
      </c>
      <c r="M771" s="522" t="inlineStr">
        <is>
          <t>59009762</t>
        </is>
      </c>
      <c r="N771" s="522" t="inlineStr">
        <is>
          <t>59009762</t>
        </is>
      </c>
      <c r="O771" s="521">
        <f>M771=N771</f>
        <v/>
      </c>
      <c r="P771" s="521">
        <f>AND(MONTH(F771)=MONTH(S771), YEAR(F771)=YEAR(S771))</f>
        <v/>
      </c>
      <c r="Q771" s="521">
        <f>U771="L001-901905215"</f>
        <v/>
      </c>
      <c r="R771" s="556">
        <f>G771-W771</f>
        <v/>
      </c>
      <c r="S771" s="523" t="n">
        <v>44246</v>
      </c>
      <c r="T771" s="522" t="inlineStr">
        <is>
          <t>59009762</t>
        </is>
      </c>
      <c r="U771" s="522" t="inlineStr">
        <is>
          <t>L001-901905215</t>
        </is>
      </c>
      <c r="V771" s="522" t="inlineStr">
        <is>
          <t>វីអ៊ីស៊ិន (ខេមបូឌា) អ៊ិនដាសស្ទ្រី ឯ.ក</t>
        </is>
      </c>
      <c r="W771" s="556" t="n">
        <v>55103</v>
      </c>
    </row>
    <row r="772">
      <c r="A772" s="521" t="n">
        <v>764</v>
      </c>
      <c r="B772" s="522" t="n"/>
      <c r="C772" s="522" t="inlineStr">
        <is>
          <t>ប្យួរ៉ូ វេរីតាស (ខេមបូឌា) លីមីធីត</t>
        </is>
      </c>
      <c r="D772" s="522" t="inlineStr">
        <is>
          <t>L001-107024462</t>
        </is>
      </c>
      <c r="E772" s="521" t="inlineStr">
        <is>
          <t>59009750</t>
        </is>
      </c>
      <c r="F772" s="523" t="n">
        <v>44245</v>
      </c>
      <c r="G772" s="556" t="n">
        <v>100886</v>
      </c>
      <c r="I772" s="521">
        <f>G772</f>
        <v/>
      </c>
      <c r="K772" s="521">
        <f>I772-G772</f>
        <v/>
      </c>
      <c r="M772" s="522" t="inlineStr">
        <is>
          <t>59009750</t>
        </is>
      </c>
      <c r="N772" s="522" t="inlineStr">
        <is>
          <t>59009750</t>
        </is>
      </c>
      <c r="O772" s="521">
        <f>M772=N772</f>
        <v/>
      </c>
      <c r="P772" s="521">
        <f>AND(MONTH(F772)=MONTH(S772), YEAR(F772)=YEAR(S772))</f>
        <v/>
      </c>
      <c r="Q772" s="521">
        <f>U772="L001-901905215"</f>
        <v/>
      </c>
      <c r="R772" s="556">
        <f>G772-W772</f>
        <v/>
      </c>
      <c r="S772" s="523" t="n">
        <v>44245</v>
      </c>
      <c r="T772" s="522" t="inlineStr">
        <is>
          <t>59009750</t>
        </is>
      </c>
      <c r="U772" s="522" t="inlineStr">
        <is>
          <t>L001-901905215</t>
        </is>
      </c>
      <c r="V772" s="522" t="inlineStr">
        <is>
          <t>វីអ៊ីស៊ិន (ខេមបូឌា) អ៊ិនដាសស្ទ្រី ឯ.ក</t>
        </is>
      </c>
      <c r="W772" s="556" t="n">
        <v>100886</v>
      </c>
    </row>
    <row r="773">
      <c r="A773" s="521" t="n">
        <v>765</v>
      </c>
      <c r="B773" s="522" t="n"/>
      <c r="C773" s="522" t="inlineStr">
        <is>
          <t>ប្យួរ៉ូ វេរីតាស (ខេមបូឌា) លីមីធីត</t>
        </is>
      </c>
      <c r="D773" s="522" t="inlineStr">
        <is>
          <t>L001-107024462</t>
        </is>
      </c>
      <c r="E773" s="521" t="inlineStr">
        <is>
          <t>59009734</t>
        </is>
      </c>
      <c r="F773" s="523" t="n">
        <v>44245</v>
      </c>
      <c r="G773" s="556" t="n">
        <v>55103</v>
      </c>
      <c r="I773" s="521">
        <f>G773</f>
        <v/>
      </c>
      <c r="K773" s="521">
        <f>I773-G773</f>
        <v/>
      </c>
      <c r="M773" s="522" t="inlineStr">
        <is>
          <t>59009734</t>
        </is>
      </c>
      <c r="N773" s="522" t="inlineStr">
        <is>
          <t>59009734</t>
        </is>
      </c>
      <c r="O773" s="521">
        <f>M773=N773</f>
        <v/>
      </c>
      <c r="P773" s="521">
        <f>AND(MONTH(F773)=MONTH(S773), YEAR(F773)=YEAR(S773))</f>
        <v/>
      </c>
      <c r="Q773" s="521">
        <f>U773="L001-901905215"</f>
        <v/>
      </c>
      <c r="R773" s="556">
        <f>G773-W773</f>
        <v/>
      </c>
      <c r="S773" s="523" t="n">
        <v>44245</v>
      </c>
      <c r="T773" s="522" t="inlineStr">
        <is>
          <t>59009734</t>
        </is>
      </c>
      <c r="U773" s="522" t="inlineStr">
        <is>
          <t>L001-901905215</t>
        </is>
      </c>
      <c r="V773" s="522" t="inlineStr">
        <is>
          <t>វីអ៊ីស៊ិន (ខេមបូឌា) អ៊ិនដាសស្ទ្រី ឯ.ក</t>
        </is>
      </c>
      <c r="W773" s="556" t="n">
        <v>55103</v>
      </c>
    </row>
    <row r="774">
      <c r="A774" s="521" t="n">
        <v>766</v>
      </c>
      <c r="B774" s="522" t="n"/>
      <c r="C774" s="522" t="inlineStr">
        <is>
          <t>ប្យួរ៉ូ វេរីតាស (ខេមបូឌា) លីមីធីត</t>
        </is>
      </c>
      <c r="D774" s="522" t="inlineStr">
        <is>
          <t>L001-107024462</t>
        </is>
      </c>
      <c r="E774" s="521" t="inlineStr">
        <is>
          <t>59009733</t>
        </is>
      </c>
      <c r="F774" s="523" t="n">
        <v>44245</v>
      </c>
      <c r="G774" s="556" t="n">
        <v>95783</v>
      </c>
      <c r="I774" s="521">
        <f>G774</f>
        <v/>
      </c>
      <c r="K774" s="521">
        <f>I774-G774</f>
        <v/>
      </c>
      <c r="M774" s="522" t="inlineStr">
        <is>
          <t>59009733</t>
        </is>
      </c>
      <c r="N774" s="522" t="inlineStr">
        <is>
          <t>59009733</t>
        </is>
      </c>
      <c r="O774" s="521">
        <f>M774=N774</f>
        <v/>
      </c>
      <c r="P774" s="521">
        <f>AND(MONTH(F774)=MONTH(S774), YEAR(F774)=YEAR(S774))</f>
        <v/>
      </c>
      <c r="Q774" s="521">
        <f>U774="L001-901905215"</f>
        <v/>
      </c>
      <c r="R774" s="556">
        <f>G774-W774</f>
        <v/>
      </c>
      <c r="S774" s="523" t="n">
        <v>44245</v>
      </c>
      <c r="T774" s="522" t="inlineStr">
        <is>
          <t>59009733</t>
        </is>
      </c>
      <c r="U774" s="522" t="inlineStr">
        <is>
          <t>L001-901905215</t>
        </is>
      </c>
      <c r="V774" s="522" t="inlineStr">
        <is>
          <t>វីអ៊ីស៊ិន (ខេមបូឌា) អ៊ិនដាសស្ទ្រី ឯ.ក</t>
        </is>
      </c>
      <c r="W774" s="556" t="n">
        <v>95783</v>
      </c>
    </row>
    <row r="775">
      <c r="A775" s="521" t="n">
        <v>767</v>
      </c>
      <c r="B775" s="522" t="n"/>
      <c r="C775" s="522" t="inlineStr">
        <is>
          <t>ប្យួរ៉ូ វេរីតាស (ខេមបូឌា) លីមីធីត</t>
        </is>
      </c>
      <c r="D775" s="522" t="inlineStr">
        <is>
          <t>L001-107024462</t>
        </is>
      </c>
      <c r="E775" s="521" t="inlineStr">
        <is>
          <t>59009732</t>
        </is>
      </c>
      <c r="F775" s="523" t="n">
        <v>44245</v>
      </c>
      <c r="G775" s="556" t="n">
        <v>55103</v>
      </c>
      <c r="I775" s="521">
        <f>G775</f>
        <v/>
      </c>
      <c r="K775" s="521">
        <f>I775-G775</f>
        <v/>
      </c>
      <c r="M775" s="522" t="inlineStr">
        <is>
          <t>59009732</t>
        </is>
      </c>
      <c r="N775" s="522" t="inlineStr">
        <is>
          <t>59009732</t>
        </is>
      </c>
      <c r="O775" s="521">
        <f>M775=N775</f>
        <v/>
      </c>
      <c r="P775" s="521">
        <f>AND(MONTH(F775)=MONTH(S775), YEAR(F775)=YEAR(S775))</f>
        <v/>
      </c>
      <c r="Q775" s="521">
        <f>U775="L001-901905215"</f>
        <v/>
      </c>
      <c r="R775" s="556">
        <f>G775-W775</f>
        <v/>
      </c>
      <c r="S775" s="523" t="n">
        <v>44245</v>
      </c>
      <c r="T775" s="522" t="inlineStr">
        <is>
          <t>59009732</t>
        </is>
      </c>
      <c r="U775" s="522" t="inlineStr">
        <is>
          <t>L001-901905215</t>
        </is>
      </c>
      <c r="V775" s="522" t="inlineStr">
        <is>
          <t>វីអ៊ីស៊ិន (ខេមបូឌា) អ៊ិនដាសស្ទ្រី ឯ.ក</t>
        </is>
      </c>
      <c r="W775" s="556" t="n">
        <v>55103</v>
      </c>
    </row>
    <row r="776">
      <c r="A776" s="521" t="n">
        <v>768</v>
      </c>
      <c r="B776" s="522" t="n"/>
      <c r="C776" s="522" t="inlineStr">
        <is>
          <t>ប្យួរ៉ូ វេរីតាស (ខេមបូឌា) លីមីធីត</t>
        </is>
      </c>
      <c r="D776" s="522" t="inlineStr">
        <is>
          <t>L001-107024462</t>
        </is>
      </c>
      <c r="E776" s="521" t="inlineStr">
        <is>
          <t>59009712</t>
        </is>
      </c>
      <c r="F776" s="523" t="n">
        <v>44245</v>
      </c>
      <c r="G776" s="556" t="n">
        <v>165305</v>
      </c>
      <c r="I776" s="521">
        <f>G776</f>
        <v/>
      </c>
      <c r="K776" s="521">
        <f>I776-G776</f>
        <v/>
      </c>
      <c r="M776" s="522" t="inlineStr">
        <is>
          <t>59009712</t>
        </is>
      </c>
      <c r="N776" s="522" t="inlineStr">
        <is>
          <t>59009712</t>
        </is>
      </c>
      <c r="O776" s="521">
        <f>M776=N776</f>
        <v/>
      </c>
      <c r="P776" s="521">
        <f>AND(MONTH(F776)=MONTH(S776), YEAR(F776)=YEAR(S776))</f>
        <v/>
      </c>
      <c r="Q776" s="521">
        <f>U776="L001-901905215"</f>
        <v/>
      </c>
      <c r="R776" s="556">
        <f>G776-W776</f>
        <v/>
      </c>
      <c r="S776" s="523" t="n">
        <v>44245</v>
      </c>
      <c r="T776" s="522" t="inlineStr">
        <is>
          <t>59009712</t>
        </is>
      </c>
      <c r="U776" s="522" t="inlineStr">
        <is>
          <t>L001-901905215</t>
        </is>
      </c>
      <c r="V776" s="522" t="inlineStr">
        <is>
          <t>វីអ៊ីស៊ិន (ខេមបូឌា) អ៊ិនដាសស្ទ្រី ឯ.ក</t>
        </is>
      </c>
      <c r="W776" s="556" t="n">
        <v>165305</v>
      </c>
    </row>
    <row r="777">
      <c r="A777" s="521" t="n">
        <v>769</v>
      </c>
      <c r="B777" s="522" t="n"/>
      <c r="C777" s="522" t="inlineStr">
        <is>
          <t>ប្យួរ៉ូ វេរីតាស (ខេមបូឌា) លីមីធីត</t>
        </is>
      </c>
      <c r="D777" s="522" t="inlineStr">
        <is>
          <t>L001-107024462</t>
        </is>
      </c>
      <c r="E777" s="521" t="inlineStr">
        <is>
          <t>59009701</t>
        </is>
      </c>
      <c r="F777" s="523" t="n">
        <v>44233</v>
      </c>
      <c r="G777" s="556" t="n">
        <v>95039</v>
      </c>
      <c r="I777" s="521">
        <f>G777</f>
        <v/>
      </c>
      <c r="K777" s="521">
        <f>I777-G777</f>
        <v/>
      </c>
      <c r="M777" s="522" t="inlineStr">
        <is>
          <t>59009701</t>
        </is>
      </c>
      <c r="N777" s="522" t="inlineStr">
        <is>
          <t>59009701</t>
        </is>
      </c>
      <c r="O777" s="521">
        <f>M777=N777</f>
        <v/>
      </c>
      <c r="P777" s="521">
        <f>AND(MONTH(F777)=MONTH(S777), YEAR(F777)=YEAR(S777))</f>
        <v/>
      </c>
      <c r="Q777" s="521">
        <f>U777="L001-901905215"</f>
        <v/>
      </c>
      <c r="R777" s="556">
        <f>G777-W777</f>
        <v/>
      </c>
      <c r="S777" s="523" t="n">
        <v>44233</v>
      </c>
      <c r="T777" s="522" t="inlineStr">
        <is>
          <t>59009701</t>
        </is>
      </c>
      <c r="U777" s="522" t="inlineStr">
        <is>
          <t>L001-901905215</t>
        </is>
      </c>
      <c r="V777" s="522" t="inlineStr">
        <is>
          <t>វីអ៊ីស៊ិន (ខេមបូឌា) អ៊ិនដាសស្ទ្រី ឯ.ក</t>
        </is>
      </c>
      <c r="W777" s="556" t="n">
        <v>95039</v>
      </c>
    </row>
    <row r="778">
      <c r="A778" s="521" t="n">
        <v>770</v>
      </c>
      <c r="B778" s="522" t="n"/>
      <c r="C778" s="522" t="inlineStr">
        <is>
          <t>ប្យួរ៉ូ វេរីតាស (ខេមបូឌា) លីមីធីត</t>
        </is>
      </c>
      <c r="D778" s="522" t="inlineStr">
        <is>
          <t>L001-107024462</t>
        </is>
      </c>
      <c r="E778" s="521" t="inlineStr">
        <is>
          <t>59009698</t>
        </is>
      </c>
      <c r="F778" s="523" t="n">
        <v>44232</v>
      </c>
      <c r="G778" s="556" t="n">
        <v>186452</v>
      </c>
      <c r="I778" s="521">
        <f>G778</f>
        <v/>
      </c>
      <c r="K778" s="521">
        <f>I778-G778</f>
        <v/>
      </c>
      <c r="M778" s="522" t="inlineStr">
        <is>
          <t>59009698</t>
        </is>
      </c>
      <c r="N778" s="522" t="inlineStr">
        <is>
          <t>59009698</t>
        </is>
      </c>
      <c r="O778" s="521">
        <f>M778=N778</f>
        <v/>
      </c>
      <c r="P778" s="521">
        <f>AND(MONTH(F778)=MONTH(S778), YEAR(F778)=YEAR(S778))</f>
        <v/>
      </c>
      <c r="Q778" s="521">
        <f>U778="L001-901905215"</f>
        <v/>
      </c>
      <c r="R778" s="556">
        <f>G778-W778</f>
        <v/>
      </c>
      <c r="S778" s="523" t="n">
        <v>44232</v>
      </c>
      <c r="T778" s="522" t="inlineStr">
        <is>
          <t>59009698</t>
        </is>
      </c>
      <c r="U778" s="522" t="inlineStr">
        <is>
          <t>L001-901905215</t>
        </is>
      </c>
      <c r="V778" s="522" t="inlineStr">
        <is>
          <t>វីអ៊ីស៊ិន (ខេមបូឌា) អ៊ិនដាសស្ទ្រី ឯ.ក</t>
        </is>
      </c>
      <c r="W778" s="556" t="n">
        <v>186452</v>
      </c>
    </row>
    <row r="779">
      <c r="A779" s="521" t="n">
        <v>771</v>
      </c>
      <c r="B779" s="522" t="n"/>
      <c r="C779" s="522" t="inlineStr">
        <is>
          <t>ប្យួរ៉ូ វេរីតាស (ខេមបូឌា) លីមីធីត</t>
        </is>
      </c>
      <c r="D779" s="522" t="inlineStr">
        <is>
          <t>L001-107024462</t>
        </is>
      </c>
      <c r="E779" s="521" t="inlineStr">
        <is>
          <t>59009693</t>
        </is>
      </c>
      <c r="F779" s="523" t="n">
        <v>44232</v>
      </c>
      <c r="G779" s="556" t="n">
        <v>55144</v>
      </c>
      <c r="I779" s="521">
        <f>G779</f>
        <v/>
      </c>
      <c r="K779" s="521">
        <f>I779-G779</f>
        <v/>
      </c>
      <c r="M779" s="522" t="inlineStr">
        <is>
          <t>59009693</t>
        </is>
      </c>
      <c r="N779" s="522" t="inlineStr">
        <is>
          <t>59009693</t>
        </is>
      </c>
      <c r="O779" s="521">
        <f>M779=N779</f>
        <v/>
      </c>
      <c r="P779" s="521">
        <f>AND(MONTH(F779)=MONTH(S779), YEAR(F779)=YEAR(S779))</f>
        <v/>
      </c>
      <c r="Q779" s="521">
        <f>U779="L001-901905215"</f>
        <v/>
      </c>
      <c r="R779" s="556">
        <f>G779-W779</f>
        <v/>
      </c>
      <c r="S779" s="523" t="n">
        <v>44232</v>
      </c>
      <c r="T779" s="522" t="inlineStr">
        <is>
          <t>59009693</t>
        </is>
      </c>
      <c r="U779" s="522" t="inlineStr">
        <is>
          <t>L001-901905215</t>
        </is>
      </c>
      <c r="V779" s="522" t="inlineStr">
        <is>
          <t>វីអ៊ីស៊ិន (ខេមបូឌា) អ៊ិនដាសស្ទ្រី ឯ.ក</t>
        </is>
      </c>
      <c r="W779" s="556" t="n">
        <v>55144</v>
      </c>
    </row>
    <row r="780">
      <c r="A780" s="521" t="n">
        <v>772</v>
      </c>
      <c r="B780" s="522" t="n"/>
      <c r="C780" s="522" t="inlineStr">
        <is>
          <t>ប្យួរ៉ូ វេរីតាស (ខេមបូឌា) លីមីធីត</t>
        </is>
      </c>
      <c r="D780" s="522" t="inlineStr">
        <is>
          <t>L001-107024462</t>
        </is>
      </c>
      <c r="E780" s="521" t="inlineStr">
        <is>
          <t>59009692</t>
        </is>
      </c>
      <c r="F780" s="523" t="n">
        <v>44232</v>
      </c>
      <c r="G780" s="556" t="n">
        <v>55144</v>
      </c>
      <c r="I780" s="521">
        <f>G780</f>
        <v/>
      </c>
      <c r="K780" s="521">
        <f>I780-G780</f>
        <v/>
      </c>
      <c r="M780" s="522" t="inlineStr">
        <is>
          <t>59009692</t>
        </is>
      </c>
      <c r="N780" s="522" t="inlineStr">
        <is>
          <t>59009692</t>
        </is>
      </c>
      <c r="O780" s="521">
        <f>M780=N780</f>
        <v/>
      </c>
      <c r="P780" s="521">
        <f>AND(MONTH(F780)=MONTH(S780), YEAR(F780)=YEAR(S780))</f>
        <v/>
      </c>
      <c r="Q780" s="521">
        <f>U780="L001-901905215"</f>
        <v/>
      </c>
      <c r="R780" s="556">
        <f>G780-W780</f>
        <v/>
      </c>
      <c r="S780" s="523" t="n">
        <v>44232</v>
      </c>
      <c r="T780" s="522" t="inlineStr">
        <is>
          <t>59009692</t>
        </is>
      </c>
      <c r="U780" s="522" t="inlineStr">
        <is>
          <t>L001-901905215</t>
        </is>
      </c>
      <c r="V780" s="522" t="inlineStr">
        <is>
          <t>វីអ៊ីស៊ិន (ខេមបូឌា) អ៊ិនដាសស្ទ្រី ឯ.ក</t>
        </is>
      </c>
      <c r="W780" s="556" t="n">
        <v>55144</v>
      </c>
    </row>
    <row r="781">
      <c r="A781" s="521" t="n">
        <v>773</v>
      </c>
      <c r="B781" s="522" t="n"/>
      <c r="C781" s="522" t="inlineStr">
        <is>
          <t>ឆាយ ដា ឡូយីស្ទីក</t>
        </is>
      </c>
      <c r="D781" s="522" t="inlineStr">
        <is>
          <t>L001-100063098</t>
        </is>
      </c>
      <c r="E781" s="521" t="inlineStr">
        <is>
          <t>2102002186</t>
        </is>
      </c>
      <c r="F781" s="523" t="n">
        <v>44254</v>
      </c>
      <c r="G781" s="556" t="n">
        <v>89111</v>
      </c>
      <c r="I781" s="521">
        <f>G781</f>
        <v/>
      </c>
      <c r="K781" s="521">
        <f>I781-G781</f>
        <v/>
      </c>
      <c r="M781" s="522" t="inlineStr">
        <is>
          <t>2102002186</t>
        </is>
      </c>
      <c r="N781" s="522" t="inlineStr">
        <is>
          <t>2102002186</t>
        </is>
      </c>
      <c r="O781" s="521">
        <f>M781=N781</f>
        <v/>
      </c>
      <c r="P781" s="521">
        <f>AND(MONTH(F781)=MONTH(S781), YEAR(F781)=YEAR(S781))</f>
        <v/>
      </c>
      <c r="Q781" s="521">
        <f>U781="L001-901905215"</f>
        <v/>
      </c>
      <c r="R781" s="556">
        <f>G781-W781</f>
        <v/>
      </c>
      <c r="S781" s="523" t="n">
        <v>44254</v>
      </c>
      <c r="T781" s="522" t="inlineStr">
        <is>
          <t>2102002186</t>
        </is>
      </c>
      <c r="U781" s="522" t="inlineStr">
        <is>
          <t>L001-901905215</t>
        </is>
      </c>
      <c r="V781" s="522" t="inlineStr">
        <is>
          <t>វីអ៊ីស៊ិន (ខេមបូឌា) អ៊ិនដាសស្ទ្រី ឯ.ក</t>
        </is>
      </c>
      <c r="W781" s="556" t="n">
        <v>89111</v>
      </c>
    </row>
    <row r="782">
      <c r="A782" s="521" t="n">
        <v>774</v>
      </c>
      <c r="B782" s="522" t="n"/>
      <c r="C782" s="522" t="inlineStr">
        <is>
          <t>ឆាយ ដា ឡូយីស្ទីក</t>
        </is>
      </c>
      <c r="D782" s="522" t="inlineStr">
        <is>
          <t>L001-100063098</t>
        </is>
      </c>
      <c r="E782" s="521" t="inlineStr">
        <is>
          <t>2102001686</t>
        </is>
      </c>
      <c r="F782" s="523" t="n">
        <v>44242</v>
      </c>
      <c r="G782" s="556" t="n">
        <v>89111</v>
      </c>
      <c r="I782" s="521">
        <f>G782</f>
        <v/>
      </c>
      <c r="K782" s="521">
        <f>I782-G782</f>
        <v/>
      </c>
      <c r="M782" s="522" t="inlineStr">
        <is>
          <t>2102001686</t>
        </is>
      </c>
      <c r="N782" s="522" t="inlineStr">
        <is>
          <t>2102001686</t>
        </is>
      </c>
      <c r="O782" s="521">
        <f>M782=N782</f>
        <v/>
      </c>
      <c r="P782" s="521">
        <f>AND(MONTH(F782)=MONTH(S782), YEAR(F782)=YEAR(S782))</f>
        <v/>
      </c>
      <c r="Q782" s="521">
        <f>U782="L001-901905215"</f>
        <v/>
      </c>
      <c r="R782" s="556">
        <f>G782-W782</f>
        <v/>
      </c>
      <c r="S782" s="523" t="n">
        <v>44242</v>
      </c>
      <c r="T782" s="522" t="inlineStr">
        <is>
          <t>2102001686</t>
        </is>
      </c>
      <c r="U782" s="522" t="inlineStr">
        <is>
          <t>L001-901905215</t>
        </is>
      </c>
      <c r="V782" s="522" t="inlineStr">
        <is>
          <t>វីអ៊ីស៊ិន (ខេមបូឌា) អ៊ិនដាសស្ទ្រី ឯ.ក</t>
        </is>
      </c>
      <c r="W782" s="556" t="n">
        <v>89111</v>
      </c>
    </row>
    <row r="783">
      <c r="A783" s="521" t="n">
        <v>775</v>
      </c>
      <c r="B783" s="522" t="n"/>
      <c r="C783" s="522" t="inlineStr">
        <is>
          <t>ខេមបូឌាន វ៉ាយភីស៊ី ត្រេឌីង ឯ.ក</t>
        </is>
      </c>
      <c r="D783" s="522" t="inlineStr">
        <is>
          <t>B108-901904896</t>
        </is>
      </c>
      <c r="E783" s="521" t="inlineStr">
        <is>
          <t>YPC2021/01-0004</t>
        </is>
      </c>
      <c r="F783" s="523" t="n">
        <v>44228</v>
      </c>
      <c r="G783" s="556" t="n">
        <v>5265000</v>
      </c>
      <c r="I783" s="521">
        <f>G783</f>
        <v/>
      </c>
      <c r="K783" s="521">
        <f>I783-G783</f>
        <v/>
      </c>
      <c r="M783" s="522" t="inlineStr">
        <is>
          <t>YPC2021010004</t>
        </is>
      </c>
      <c r="N783" s="522" t="inlineStr"/>
      <c r="O783" s="521">
        <f>M783=N783</f>
        <v/>
      </c>
      <c r="P783" s="521">
        <f>AND(MONTH(F783)=MONTH(S783), YEAR(F783)=YEAR(S783))</f>
        <v/>
      </c>
      <c r="Q783" s="521">
        <f>U783="L001-901905215"</f>
        <v/>
      </c>
      <c r="R783" s="556">
        <f>G783-W783</f>
        <v/>
      </c>
      <c r="S783" s="521" t="n"/>
      <c r="T783" s="522" t="n"/>
      <c r="U783" s="522" t="n"/>
      <c r="V783" s="522" t="n"/>
      <c r="W783" s="521" t="n"/>
    </row>
    <row r="784">
      <c r="A784" s="521" t="n">
        <v>776</v>
      </c>
      <c r="B784" s="522" t="n"/>
      <c r="C784" s="522" t="inlineStr">
        <is>
          <t>វ៉ាយ.ស៊ី ផេកខេជីង ឯ.ក</t>
        </is>
      </c>
      <c r="D784" s="522" t="inlineStr">
        <is>
          <t>L001-901700417</t>
        </is>
      </c>
      <c r="E784" s="521" t="inlineStr">
        <is>
          <t>TI0023</t>
        </is>
      </c>
      <c r="F784" s="523" t="n">
        <v>44255</v>
      </c>
      <c r="G784" s="556" t="n">
        <v>24676132</v>
      </c>
      <c r="I784" s="521">
        <f>G784</f>
        <v/>
      </c>
      <c r="K784" s="521">
        <f>I784-G784</f>
        <v/>
      </c>
      <c r="M784" s="522" t="inlineStr">
        <is>
          <t>TI0023</t>
        </is>
      </c>
      <c r="N784" s="522" t="inlineStr">
        <is>
          <t>TI0023</t>
        </is>
      </c>
      <c r="O784" s="521">
        <f>M784=N784</f>
        <v/>
      </c>
      <c r="P784" s="521">
        <f>AND(MONTH(F784)=MONTH(S784), YEAR(F784)=YEAR(S784))</f>
        <v/>
      </c>
      <c r="Q784" s="521">
        <f>U784="L001-901905215"</f>
        <v/>
      </c>
      <c r="R784" s="556">
        <f>G784-W784</f>
        <v/>
      </c>
      <c r="S784" s="523" t="n">
        <v>44255</v>
      </c>
      <c r="T784" s="522" t="inlineStr">
        <is>
          <t>TI0023</t>
        </is>
      </c>
      <c r="U784" s="522" t="inlineStr">
        <is>
          <t>L001-901905215</t>
        </is>
      </c>
      <c r="V784" s="522" t="inlineStr">
        <is>
          <t>វីអ៊ីស៊ិន (ខេមបូឌា) អ៊ិនដាសស្ទ្រី ឯ.ក</t>
        </is>
      </c>
      <c r="W784" s="556" t="n">
        <v>24682200</v>
      </c>
    </row>
    <row r="785">
      <c r="A785" s="521" t="n">
        <v>777</v>
      </c>
      <c r="B785" s="522" t="n"/>
      <c r="C785" s="522" t="inlineStr">
        <is>
          <t>ស៊ីន ហ្វី យ៉ាង ព្រីនធីង &amp; អិកសេសសឺរី ឯ.ក</t>
        </is>
      </c>
      <c r="D785" s="522" t="inlineStr">
        <is>
          <t>K010-901906822</t>
        </is>
      </c>
      <c r="E785" s="521" t="inlineStr">
        <is>
          <t>XFY-YD2021029</t>
        </is>
      </c>
      <c r="F785" s="523" t="n">
        <v>44252</v>
      </c>
      <c r="G785" s="556" t="n">
        <v>1706950</v>
      </c>
      <c r="I785" s="521">
        <f>G785</f>
        <v/>
      </c>
      <c r="K785" s="521">
        <f>I785-G785</f>
        <v/>
      </c>
      <c r="M785" s="522" t="inlineStr">
        <is>
          <t>XFYYD2021029</t>
        </is>
      </c>
      <c r="N785" s="522" t="inlineStr">
        <is>
          <t>XFYYD2021029</t>
        </is>
      </c>
      <c r="O785" s="521">
        <f>M785=N785</f>
        <v/>
      </c>
      <c r="P785" s="521">
        <f>AND(MONTH(F785)=MONTH(S785), YEAR(F785)=YEAR(S785))</f>
        <v/>
      </c>
      <c r="Q785" s="521">
        <f>U785="L001-901905215"</f>
        <v/>
      </c>
      <c r="R785" s="556">
        <f>G785-W785</f>
        <v/>
      </c>
      <c r="S785" s="523" t="n">
        <v>44252</v>
      </c>
      <c r="T785" s="522" t="inlineStr">
        <is>
          <t>XFY-YD2021029</t>
        </is>
      </c>
      <c r="U785" s="522" t="inlineStr">
        <is>
          <t>L001-901905215</t>
        </is>
      </c>
      <c r="V785" s="522" t="inlineStr">
        <is>
          <t>វីអ៊ីស៊ិន (ខេមបូឌា) អ៊ិនដាសស្ទ្រី ឯ.ក</t>
        </is>
      </c>
      <c r="W785" s="556" t="n">
        <v>1706950</v>
      </c>
    </row>
    <row r="786">
      <c r="A786" s="521" t="n">
        <v>778</v>
      </c>
      <c r="B786" s="522" t="n"/>
      <c r="C786" s="522" t="inlineStr">
        <is>
          <t>ជា យូ អាង ផេកខេកជីង មេធៀរៀល (ខេមបូឌា) ឯ.ក</t>
        </is>
      </c>
      <c r="D786" s="522" t="inlineStr">
        <is>
          <t>L001-901903560</t>
        </is>
      </c>
      <c r="E786" s="521" t="inlineStr">
        <is>
          <t>JYA202100093</t>
        </is>
      </c>
      <c r="F786" s="523" t="n">
        <v>44255</v>
      </c>
      <c r="G786" s="556" t="n">
        <v>449547</v>
      </c>
      <c r="I786" s="521">
        <f>G786</f>
        <v/>
      </c>
      <c r="K786" s="521">
        <f>I786-G786</f>
        <v/>
      </c>
      <c r="M786" s="522" t="inlineStr">
        <is>
          <t>JYA202100093</t>
        </is>
      </c>
      <c r="N786" s="522" t="inlineStr">
        <is>
          <t>JYA202100093</t>
        </is>
      </c>
      <c r="O786" s="521">
        <f>M786=N786</f>
        <v/>
      </c>
      <c r="P786" s="521">
        <f>AND(MONTH(F786)=MONTH(S786), YEAR(F786)=YEAR(S786))</f>
        <v/>
      </c>
      <c r="Q786" s="521">
        <f>U786="L001-901905215"</f>
        <v/>
      </c>
      <c r="R786" s="556">
        <f>G786-W786</f>
        <v/>
      </c>
      <c r="S786" s="523" t="n">
        <v>44255</v>
      </c>
      <c r="T786" s="522" t="inlineStr">
        <is>
          <t>JYA202100093</t>
        </is>
      </c>
      <c r="U786" s="522" t="inlineStr">
        <is>
          <t>L001-901905215</t>
        </is>
      </c>
      <c r="V786" s="522" t="inlineStr">
        <is>
          <t>វីអ៊ីស៊ិន (ខេមបូឌា) អ៊ិនដាសស្ទ្រី ឯ.ក</t>
        </is>
      </c>
      <c r="W786" s="556" t="n">
        <v>449547</v>
      </c>
    </row>
    <row r="787">
      <c r="A787" s="521" t="n">
        <v>779</v>
      </c>
      <c r="B787" s="522" t="n"/>
      <c r="C787" s="522" t="inlineStr">
        <is>
          <t>ដុងគ័ន ស៊ីធី ហ្វាញស្តារ ព្រីនធីង (ខេមបូឌា)</t>
        </is>
      </c>
      <c r="D787" s="522" t="inlineStr">
        <is>
          <t>L001-100193021</t>
        </is>
      </c>
      <c r="E787" s="521" t="inlineStr">
        <is>
          <t>000112</t>
        </is>
      </c>
      <c r="F787" s="523" t="n">
        <v>44253</v>
      </c>
      <c r="G787" s="556" t="n">
        <v>13902479</v>
      </c>
      <c r="I787" s="521">
        <f>G787</f>
        <v/>
      </c>
      <c r="K787" s="521">
        <f>I787-G787</f>
        <v/>
      </c>
      <c r="M787" s="522" t="inlineStr">
        <is>
          <t>000112</t>
        </is>
      </c>
      <c r="N787" s="522" t="inlineStr"/>
      <c r="O787" s="521">
        <f>M787=N787</f>
        <v/>
      </c>
      <c r="P787" s="521">
        <f>AND(MONTH(F787)=MONTH(S787), YEAR(F787)=YEAR(S787))</f>
        <v/>
      </c>
      <c r="Q787" s="521">
        <f>U787="L001-901905215"</f>
        <v/>
      </c>
      <c r="R787" s="556">
        <f>G787-W787</f>
        <v/>
      </c>
      <c r="S787" s="521" t="n"/>
      <c r="T787" s="522" t="n"/>
      <c r="U787" s="522" t="n"/>
      <c r="V787" s="522" t="n"/>
      <c r="W787" s="521" t="n"/>
    </row>
    <row r="788">
      <c r="A788" s="521" t="n">
        <v>780</v>
      </c>
      <c r="B788" s="522" t="n"/>
      <c r="C788" s="522" t="inlineStr">
        <is>
          <t>ស៊ីវ៉ា ហ្វ្រេត (ខេមបូឌា) ឯ.ក</t>
        </is>
      </c>
      <c r="D788" s="522" t="inlineStr">
        <is>
          <t>K002-901901410</t>
        </is>
      </c>
      <c r="E788" s="521" t="inlineStr">
        <is>
          <t>10020258</t>
        </is>
      </c>
      <c r="F788" s="523" t="n">
        <v>44235</v>
      </c>
      <c r="G788" s="556" t="n">
        <v>40720</v>
      </c>
      <c r="I788" s="521">
        <f>G788</f>
        <v/>
      </c>
      <c r="K788" s="521">
        <f>I788-G788</f>
        <v/>
      </c>
      <c r="M788" s="522" t="inlineStr">
        <is>
          <t>10020258</t>
        </is>
      </c>
      <c r="N788" s="522" t="inlineStr">
        <is>
          <t>10020258</t>
        </is>
      </c>
      <c r="O788" s="521">
        <f>M788=N788</f>
        <v/>
      </c>
      <c r="P788" s="521">
        <f>AND(MONTH(F788)=MONTH(S788), YEAR(F788)=YEAR(S788))</f>
        <v/>
      </c>
      <c r="Q788" s="521">
        <f>U788="L001-901905215"</f>
        <v/>
      </c>
      <c r="R788" s="556">
        <f>G788-W788</f>
        <v/>
      </c>
      <c r="S788" s="523" t="n">
        <v>44235</v>
      </c>
      <c r="T788" s="522" t="inlineStr">
        <is>
          <t>10020258</t>
        </is>
      </c>
      <c r="U788" s="522" t="inlineStr">
        <is>
          <t>L001-901905215</t>
        </is>
      </c>
      <c r="V788" s="522" t="inlineStr">
        <is>
          <t>វីអ៊ីស៊ិន (ខេមបូឌា) អ៊ិនដាសស្ទ្រី ឯ.ក</t>
        </is>
      </c>
      <c r="W788" s="556" t="n">
        <v>40720</v>
      </c>
    </row>
    <row r="789">
      <c r="A789" s="521" t="n">
        <v>781</v>
      </c>
      <c r="B789" s="522" t="n"/>
      <c r="C789" s="522" t="inlineStr">
        <is>
          <t>ស៊ីវ៉ា ហ្វ្រេត (ខេមបូឌា) ឯ.ក</t>
        </is>
      </c>
      <c r="D789" s="522" t="inlineStr">
        <is>
          <t>K002-901901410</t>
        </is>
      </c>
      <c r="E789" s="521" t="inlineStr">
        <is>
          <t>10020253</t>
        </is>
      </c>
      <c r="F789" s="523" t="n">
        <v>44235</v>
      </c>
      <c r="G789" s="556" t="n">
        <v>40720</v>
      </c>
      <c r="I789" s="521">
        <f>G789</f>
        <v/>
      </c>
      <c r="K789" s="521">
        <f>I789-G789</f>
        <v/>
      </c>
      <c r="M789" s="522" t="inlineStr">
        <is>
          <t>10020253</t>
        </is>
      </c>
      <c r="N789" s="522" t="inlineStr">
        <is>
          <t>10020253</t>
        </is>
      </c>
      <c r="O789" s="521">
        <f>M789=N789</f>
        <v/>
      </c>
      <c r="P789" s="521">
        <f>AND(MONTH(F789)=MONTH(S789), YEAR(F789)=YEAR(S789))</f>
        <v/>
      </c>
      <c r="Q789" s="521">
        <f>U789="L001-901905215"</f>
        <v/>
      </c>
      <c r="R789" s="556">
        <f>G789-W789</f>
        <v/>
      </c>
      <c r="S789" s="523" t="n">
        <v>44235</v>
      </c>
      <c r="T789" s="522" t="inlineStr">
        <is>
          <t>10020253</t>
        </is>
      </c>
      <c r="U789" s="522" t="inlineStr">
        <is>
          <t>L001-901905215</t>
        </is>
      </c>
      <c r="V789" s="522" t="inlineStr">
        <is>
          <t>វីអ៊ីស៊ិន (ខេមបូឌា) អ៊ិនដាសស្ទ្រី ឯ.ក</t>
        </is>
      </c>
      <c r="W789" s="556" t="n">
        <v>40720</v>
      </c>
    </row>
    <row r="790">
      <c r="A790" s="521" t="n">
        <v>782</v>
      </c>
      <c r="B790" s="522" t="n"/>
      <c r="C790" s="522" t="inlineStr">
        <is>
          <t>ស៊ីវ៉ា ហ្វ្រេត (ខេមបូឌា) ឯ.ក</t>
        </is>
      </c>
      <c r="D790" s="522" t="inlineStr">
        <is>
          <t>K002-901901410</t>
        </is>
      </c>
      <c r="E790" s="521" t="inlineStr">
        <is>
          <t>10020252</t>
        </is>
      </c>
      <c r="F790" s="523" t="n">
        <v>44235</v>
      </c>
      <c r="G790" s="556" t="n">
        <v>40720</v>
      </c>
      <c r="I790" s="521">
        <f>G790</f>
        <v/>
      </c>
      <c r="K790" s="521">
        <f>I790-G790</f>
        <v/>
      </c>
      <c r="M790" s="522" t="inlineStr">
        <is>
          <t>10020252</t>
        </is>
      </c>
      <c r="N790" s="522" t="inlineStr">
        <is>
          <t>10020252</t>
        </is>
      </c>
      <c r="O790" s="521">
        <f>M790=N790</f>
        <v/>
      </c>
      <c r="P790" s="521">
        <f>AND(MONTH(F790)=MONTH(S790), YEAR(F790)=YEAR(S790))</f>
        <v/>
      </c>
      <c r="Q790" s="521">
        <f>U790="L001-901905215"</f>
        <v/>
      </c>
      <c r="R790" s="556">
        <f>G790-W790</f>
        <v/>
      </c>
      <c r="S790" s="523" t="n">
        <v>44235</v>
      </c>
      <c r="T790" s="522" t="inlineStr">
        <is>
          <t>10020252</t>
        </is>
      </c>
      <c r="U790" s="522" t="inlineStr">
        <is>
          <t>L001-901905215</t>
        </is>
      </c>
      <c r="V790" s="522" t="inlineStr">
        <is>
          <t>វីអ៊ីស៊ិន (ខេមបូឌា) អ៊ិនដាសស្ទ្រី ឯ.ក</t>
        </is>
      </c>
      <c r="W790" s="556" t="n">
        <v>40720</v>
      </c>
    </row>
    <row r="791">
      <c r="A791" s="521" t="n">
        <v>783</v>
      </c>
      <c r="B791" s="522" t="n"/>
      <c r="C791" s="522" t="inlineStr">
        <is>
          <t>ស៊ីវ៉ា ហ្វ្រេត (ខេមបូឌា) ឯ.ក</t>
        </is>
      </c>
      <c r="D791" s="522" t="inlineStr">
        <is>
          <t>K002-901901410</t>
        </is>
      </c>
      <c r="E791" s="521" t="inlineStr">
        <is>
          <t>10020250</t>
        </is>
      </c>
      <c r="F791" s="523" t="n">
        <v>44235</v>
      </c>
      <c r="G791" s="556" t="n">
        <v>40720</v>
      </c>
      <c r="I791" s="521">
        <f>G791</f>
        <v/>
      </c>
      <c r="K791" s="521">
        <f>I791-G791</f>
        <v/>
      </c>
      <c r="M791" s="522" t="inlineStr">
        <is>
          <t>10020250</t>
        </is>
      </c>
      <c r="N791" s="522" t="inlineStr">
        <is>
          <t>10020250</t>
        </is>
      </c>
      <c r="O791" s="521">
        <f>M791=N791</f>
        <v/>
      </c>
      <c r="P791" s="521">
        <f>AND(MONTH(F791)=MONTH(S791), YEAR(F791)=YEAR(S791))</f>
        <v/>
      </c>
      <c r="Q791" s="521">
        <f>U791="L001-901905215"</f>
        <v/>
      </c>
      <c r="R791" s="556">
        <f>G791-W791</f>
        <v/>
      </c>
      <c r="S791" s="523" t="n">
        <v>44235</v>
      </c>
      <c r="T791" s="522" t="inlineStr">
        <is>
          <t>10020250</t>
        </is>
      </c>
      <c r="U791" s="522" t="inlineStr">
        <is>
          <t>L001-901905215</t>
        </is>
      </c>
      <c r="V791" s="522" t="inlineStr">
        <is>
          <t>វីអ៊ីស៊ិន (ខេមបូឌា) អ៊ិនដាសស្ទ្រី ឯ.ក</t>
        </is>
      </c>
      <c r="W791" s="556" t="n">
        <v>40720</v>
      </c>
    </row>
    <row r="792">
      <c r="A792" s="521" t="n">
        <v>784</v>
      </c>
      <c r="B792" s="522" t="n"/>
      <c r="C792" s="522" t="inlineStr">
        <is>
          <t>ស៊ីវ៉ា ហ្វ្រេត (ខេមបូឌា) ឯ.ក</t>
        </is>
      </c>
      <c r="D792" s="522" t="inlineStr">
        <is>
          <t>K002-901901410</t>
        </is>
      </c>
      <c r="E792" s="521" t="inlineStr">
        <is>
          <t>10020249</t>
        </is>
      </c>
      <c r="F792" s="523" t="n">
        <v>44235</v>
      </c>
      <c r="G792" s="556" t="n">
        <v>40720</v>
      </c>
      <c r="I792" s="521">
        <f>G792</f>
        <v/>
      </c>
      <c r="K792" s="521">
        <f>I792-G792</f>
        <v/>
      </c>
      <c r="M792" s="522" t="inlineStr">
        <is>
          <t>10020249</t>
        </is>
      </c>
      <c r="N792" s="522" t="inlineStr">
        <is>
          <t>10020249</t>
        </is>
      </c>
      <c r="O792" s="521">
        <f>M792=N792</f>
        <v/>
      </c>
      <c r="P792" s="521">
        <f>AND(MONTH(F792)=MONTH(S792), YEAR(F792)=YEAR(S792))</f>
        <v/>
      </c>
      <c r="Q792" s="521">
        <f>U792="L001-901905215"</f>
        <v/>
      </c>
      <c r="R792" s="556">
        <f>G792-W792</f>
        <v/>
      </c>
      <c r="S792" s="523" t="n">
        <v>44235</v>
      </c>
      <c r="T792" s="522" t="inlineStr">
        <is>
          <t>10020249</t>
        </is>
      </c>
      <c r="U792" s="522" t="inlineStr">
        <is>
          <t>L001-901905215</t>
        </is>
      </c>
      <c r="V792" s="522" t="inlineStr">
        <is>
          <t>វីអ៊ីស៊ិន (ខេមបូឌា) អ៊ិនដាសស្ទ្រី ឯ.ក</t>
        </is>
      </c>
      <c r="W792" s="556" t="n">
        <v>40720</v>
      </c>
    </row>
    <row r="793">
      <c r="A793" s="521" t="n">
        <v>785</v>
      </c>
      <c r="B793" s="522" t="n"/>
      <c r="C793" s="522" t="inlineStr">
        <is>
          <t>ស៊ីវ៉ា ហ្វ្រេត (ខេមបូឌា) ឯ.ក</t>
        </is>
      </c>
      <c r="D793" s="522" t="inlineStr">
        <is>
          <t>K002-901901410</t>
        </is>
      </c>
      <c r="E793" s="521" t="inlineStr">
        <is>
          <t>10020248</t>
        </is>
      </c>
      <c r="F793" s="523" t="n">
        <v>44235</v>
      </c>
      <c r="G793" s="556" t="n">
        <v>40720</v>
      </c>
      <c r="I793" s="521">
        <f>G793</f>
        <v/>
      </c>
      <c r="K793" s="521">
        <f>I793-G793</f>
        <v/>
      </c>
      <c r="M793" s="522" t="inlineStr">
        <is>
          <t>10020248</t>
        </is>
      </c>
      <c r="N793" s="522" t="inlineStr">
        <is>
          <t>10020248</t>
        </is>
      </c>
      <c r="O793" s="521">
        <f>M793=N793</f>
        <v/>
      </c>
      <c r="P793" s="521">
        <f>AND(MONTH(F793)=MONTH(S793), YEAR(F793)=YEAR(S793))</f>
        <v/>
      </c>
      <c r="Q793" s="521">
        <f>U793="L001-901905215"</f>
        <v/>
      </c>
      <c r="R793" s="556">
        <f>G793-W793</f>
        <v/>
      </c>
      <c r="S793" s="523" t="n">
        <v>44235</v>
      </c>
      <c r="T793" s="522" t="inlineStr">
        <is>
          <t>10020248</t>
        </is>
      </c>
      <c r="U793" s="522" t="inlineStr">
        <is>
          <t>L001-901905215</t>
        </is>
      </c>
      <c r="V793" s="522" t="inlineStr">
        <is>
          <t>វីអ៊ីស៊ិន (ខេមបូឌា) អ៊ិនដាសស្ទ្រី ឯ.ក</t>
        </is>
      </c>
      <c r="W793" s="556" t="n">
        <v>40720</v>
      </c>
    </row>
    <row r="794">
      <c r="A794" s="521" t="n">
        <v>786</v>
      </c>
      <c r="B794" s="522" t="n"/>
      <c r="C794" s="522" t="inlineStr">
        <is>
          <t>ស៊ីវ៉ា ហ្វ្រេត (ខេមបូឌា) ឯ.ក</t>
        </is>
      </c>
      <c r="D794" s="522" t="inlineStr">
        <is>
          <t>K002-901901410</t>
        </is>
      </c>
      <c r="E794" s="521" t="inlineStr">
        <is>
          <t>10020247</t>
        </is>
      </c>
      <c r="F794" s="523" t="n">
        <v>44235</v>
      </c>
      <c r="G794" s="556" t="n">
        <v>40720</v>
      </c>
      <c r="I794" s="521">
        <f>G794</f>
        <v/>
      </c>
      <c r="K794" s="521">
        <f>I794-G794</f>
        <v/>
      </c>
      <c r="M794" s="522" t="inlineStr">
        <is>
          <t>10020247</t>
        </is>
      </c>
      <c r="N794" s="522" t="inlineStr">
        <is>
          <t>10020247</t>
        </is>
      </c>
      <c r="O794" s="521">
        <f>M794=N794</f>
        <v/>
      </c>
      <c r="P794" s="521">
        <f>AND(MONTH(F794)=MONTH(S794), YEAR(F794)=YEAR(S794))</f>
        <v/>
      </c>
      <c r="Q794" s="521">
        <f>U794="L001-901905215"</f>
        <v/>
      </c>
      <c r="R794" s="556">
        <f>G794-W794</f>
        <v/>
      </c>
      <c r="S794" s="523" t="n">
        <v>44235</v>
      </c>
      <c r="T794" s="522" t="inlineStr">
        <is>
          <t>10020247</t>
        </is>
      </c>
      <c r="U794" s="522" t="inlineStr">
        <is>
          <t>L001-901905215</t>
        </is>
      </c>
      <c r="V794" s="522" t="inlineStr">
        <is>
          <t>វីអ៊ីស៊ិន (ខេមបូឌា) អ៊ិនដាសស្ទ្រី ឯ.ក</t>
        </is>
      </c>
      <c r="W794" s="556" t="n">
        <v>40720</v>
      </c>
    </row>
    <row r="795">
      <c r="A795" s="521" t="n">
        <v>787</v>
      </c>
      <c r="B795" s="522" t="n"/>
      <c r="C795" s="522" t="inlineStr">
        <is>
          <t>ស៊ីវ៉ា ហ្វ្រេត (ខេមបូឌា) ឯ.ក</t>
        </is>
      </c>
      <c r="D795" s="522" t="inlineStr">
        <is>
          <t>K002-901901410</t>
        </is>
      </c>
      <c r="E795" s="521" t="inlineStr">
        <is>
          <t>10020246</t>
        </is>
      </c>
      <c r="F795" s="523" t="n">
        <v>44235</v>
      </c>
      <c r="G795" s="556" t="n">
        <v>40720</v>
      </c>
      <c r="I795" s="521">
        <f>G795</f>
        <v/>
      </c>
      <c r="K795" s="521">
        <f>I795-G795</f>
        <v/>
      </c>
      <c r="M795" s="522" t="inlineStr">
        <is>
          <t>10020246</t>
        </is>
      </c>
      <c r="N795" s="522" t="inlineStr">
        <is>
          <t>10020246</t>
        </is>
      </c>
      <c r="O795" s="521">
        <f>M795=N795</f>
        <v/>
      </c>
      <c r="P795" s="521">
        <f>AND(MONTH(F795)=MONTH(S795), YEAR(F795)=YEAR(S795))</f>
        <v/>
      </c>
      <c r="Q795" s="521">
        <f>U795="L001-901905215"</f>
        <v/>
      </c>
      <c r="R795" s="556">
        <f>G795-W795</f>
        <v/>
      </c>
      <c r="S795" s="523" t="n">
        <v>44235</v>
      </c>
      <c r="T795" s="522" t="inlineStr">
        <is>
          <t>10020246</t>
        </is>
      </c>
      <c r="U795" s="522" t="inlineStr">
        <is>
          <t>L001-901905215</t>
        </is>
      </c>
      <c r="V795" s="522" t="inlineStr">
        <is>
          <t>វីអ៊ីស៊ិន (ខេមបូឌា) អ៊ិនដាសស្ទ្រី ឯ.ក</t>
        </is>
      </c>
      <c r="W795" s="556" t="n">
        <v>40720</v>
      </c>
    </row>
    <row r="796">
      <c r="A796" s="521" t="n">
        <v>788</v>
      </c>
      <c r="B796" s="522" t="n"/>
      <c r="C796" s="522" t="inlineStr">
        <is>
          <t>ស៊ីវ៉ា ហ្វ្រេត (ខេមបូឌា) ឯ.ក</t>
        </is>
      </c>
      <c r="D796" s="522" t="inlineStr">
        <is>
          <t>K002-901901410</t>
        </is>
      </c>
      <c r="E796" s="521" t="inlineStr">
        <is>
          <t>10020245</t>
        </is>
      </c>
      <c r="F796" s="523" t="n">
        <v>44235</v>
      </c>
      <c r="G796" s="556" t="n">
        <v>40720</v>
      </c>
      <c r="I796" s="521">
        <f>G796</f>
        <v/>
      </c>
      <c r="K796" s="521">
        <f>I796-G796</f>
        <v/>
      </c>
      <c r="M796" s="522" t="inlineStr">
        <is>
          <t>10020245</t>
        </is>
      </c>
      <c r="N796" s="522" t="inlineStr">
        <is>
          <t>10020245</t>
        </is>
      </c>
      <c r="O796" s="521">
        <f>M796=N796</f>
        <v/>
      </c>
      <c r="P796" s="521">
        <f>AND(MONTH(F796)=MONTH(S796), YEAR(F796)=YEAR(S796))</f>
        <v/>
      </c>
      <c r="Q796" s="521">
        <f>U796="L001-901905215"</f>
        <v/>
      </c>
      <c r="R796" s="556">
        <f>G796-W796</f>
        <v/>
      </c>
      <c r="S796" s="523" t="n">
        <v>44235</v>
      </c>
      <c r="T796" s="522" t="inlineStr">
        <is>
          <t>10020245</t>
        </is>
      </c>
      <c r="U796" s="522" t="inlineStr">
        <is>
          <t>L001-901905215</t>
        </is>
      </c>
      <c r="V796" s="522" t="inlineStr">
        <is>
          <t>វីអ៊ីស៊ិន (ខេមបូឌា) អ៊ិនដាសស្ទ្រី ឯ.ក</t>
        </is>
      </c>
      <c r="W796" s="556" t="n">
        <v>40720</v>
      </c>
    </row>
    <row r="797">
      <c r="A797" s="521" t="n">
        <v>789</v>
      </c>
      <c r="B797" s="522" t="n"/>
      <c r="C797" s="522" t="inlineStr">
        <is>
          <t>អ៊ិចស្ពែឌីធ័រ ខេមបូឌា អិលធីឌី</t>
        </is>
      </c>
      <c r="D797" s="522" t="inlineStr">
        <is>
          <t>L001-100045898</t>
        </is>
      </c>
      <c r="E797" s="521" t="inlineStr">
        <is>
          <t>TI-0192578</t>
        </is>
      </c>
      <c r="F797" s="523" t="n">
        <v>44253</v>
      </c>
      <c r="G797" s="556" t="n">
        <v>73116</v>
      </c>
      <c r="I797" s="521">
        <f>G797</f>
        <v/>
      </c>
      <c r="K797" s="521">
        <f>I797-G797</f>
        <v/>
      </c>
      <c r="M797" s="522" t="inlineStr">
        <is>
          <t>TI0192578</t>
        </is>
      </c>
      <c r="N797" s="522" t="inlineStr"/>
      <c r="O797" s="521">
        <f>M797=N797</f>
        <v/>
      </c>
      <c r="P797" s="521">
        <f>AND(MONTH(F797)=MONTH(S797), YEAR(F797)=YEAR(S797))</f>
        <v/>
      </c>
      <c r="Q797" s="521">
        <f>U797="L001-901905215"</f>
        <v/>
      </c>
      <c r="R797" s="556">
        <f>G797-W797</f>
        <v/>
      </c>
      <c r="S797" s="521" t="n"/>
      <c r="T797" s="522" t="n"/>
      <c r="U797" s="522" t="n"/>
      <c r="V797" s="522" t="n"/>
      <c r="W797" s="521" t="n"/>
    </row>
    <row r="798">
      <c r="A798" s="521" t="n">
        <v>790</v>
      </c>
      <c r="B798" s="522" t="n"/>
      <c r="C798" s="522" t="inlineStr">
        <is>
          <t>អ៊ិចស្ពែឌីធ័រ ខេមបូឌា អិលធីឌី</t>
        </is>
      </c>
      <c r="D798" s="522" t="inlineStr">
        <is>
          <t>L001-100045898</t>
        </is>
      </c>
      <c r="E798" s="521" t="inlineStr">
        <is>
          <t>TI-0194594</t>
        </is>
      </c>
      <c r="F798" s="523" t="n">
        <v>44251</v>
      </c>
      <c r="G798" s="556" t="n">
        <v>277642</v>
      </c>
      <c r="I798" s="521">
        <f>G798</f>
        <v/>
      </c>
      <c r="K798" s="521">
        <f>I798-G798</f>
        <v/>
      </c>
      <c r="M798" s="522" t="inlineStr">
        <is>
          <t>TI0194594</t>
        </is>
      </c>
      <c r="N798" s="522" t="inlineStr">
        <is>
          <t>TI0194594</t>
        </is>
      </c>
      <c r="O798" s="521">
        <f>M798=N798</f>
        <v/>
      </c>
      <c r="P798" s="521">
        <f>AND(MONTH(F798)=MONTH(S798), YEAR(F798)=YEAR(S798))</f>
        <v/>
      </c>
      <c r="Q798" s="521">
        <f>U798="L001-901905215"</f>
        <v/>
      </c>
      <c r="R798" s="556">
        <f>G798-W798</f>
        <v/>
      </c>
      <c r="S798" s="523" t="n">
        <v>44251</v>
      </c>
      <c r="T798" s="522" t="inlineStr">
        <is>
          <t>TI-0194594</t>
        </is>
      </c>
      <c r="U798" s="522" t="inlineStr">
        <is>
          <t>L001-901905215</t>
        </is>
      </c>
      <c r="V798" s="522" t="inlineStr">
        <is>
          <t>វីអ៊ីស៊ិន (ខេមបូឌា) អ៊ិនដាសស្ទ្រី ឯ.ក</t>
        </is>
      </c>
      <c r="W798" s="556" t="n">
        <v>277642</v>
      </c>
    </row>
    <row r="799">
      <c r="A799" s="521" t="n">
        <v>791</v>
      </c>
      <c r="B799" s="522" t="n"/>
      <c r="C799" s="522" t="inlineStr">
        <is>
          <t>អ៊ិចស្ពែឌីធ័រ ខេមបូឌា អិលធីឌី</t>
        </is>
      </c>
      <c r="D799" s="522" t="inlineStr">
        <is>
          <t>L001-100045898</t>
        </is>
      </c>
      <c r="E799" s="521" t="inlineStr">
        <is>
          <t>TI-0194593</t>
        </is>
      </c>
      <c r="F799" s="523" t="n">
        <v>44251</v>
      </c>
      <c r="G799" s="556" t="n">
        <v>221055</v>
      </c>
      <c r="I799" s="521">
        <f>G799</f>
        <v/>
      </c>
      <c r="K799" s="521">
        <f>I799-G799</f>
        <v/>
      </c>
      <c r="M799" s="522" t="inlineStr">
        <is>
          <t>TI0194593</t>
        </is>
      </c>
      <c r="N799" s="522" t="inlineStr">
        <is>
          <t>TI0194593</t>
        </is>
      </c>
      <c r="O799" s="521">
        <f>M799=N799</f>
        <v/>
      </c>
      <c r="P799" s="521">
        <f>AND(MONTH(F799)=MONTH(S799), YEAR(F799)=YEAR(S799))</f>
        <v/>
      </c>
      <c r="Q799" s="521">
        <f>U799="L001-901905215"</f>
        <v/>
      </c>
      <c r="R799" s="556">
        <f>G799-W799</f>
        <v/>
      </c>
      <c r="S799" s="523" t="n">
        <v>44251</v>
      </c>
      <c r="T799" s="522" t="inlineStr">
        <is>
          <t>TI-0194593</t>
        </is>
      </c>
      <c r="U799" s="522" t="inlineStr">
        <is>
          <t>L001-901905215</t>
        </is>
      </c>
      <c r="V799" s="522" t="inlineStr">
        <is>
          <t>វីអ៊ីស៊ិន (ខេមបូឌា) អ៊ិនដាសស្ទ្រី ឯ.ក</t>
        </is>
      </c>
      <c r="W799" s="556" t="n">
        <v>221055</v>
      </c>
    </row>
    <row r="800">
      <c r="A800" s="521" t="n">
        <v>792</v>
      </c>
      <c r="B800" s="522" t="n"/>
      <c r="C800" s="522" t="inlineStr">
        <is>
          <t>អ៊ិចស្ពែឌីធ័រ ខេមបូឌា អិលធីឌី</t>
        </is>
      </c>
      <c r="D800" s="522" t="inlineStr">
        <is>
          <t>L001-100045898</t>
        </is>
      </c>
      <c r="E800" s="521" t="inlineStr">
        <is>
          <t>TI-0194592</t>
        </is>
      </c>
      <c r="F800" s="523" t="n">
        <v>44251</v>
      </c>
      <c r="G800" s="556" t="n">
        <v>225126</v>
      </c>
      <c r="I800" s="521">
        <f>G800</f>
        <v/>
      </c>
      <c r="K800" s="521">
        <f>I800-G800</f>
        <v/>
      </c>
      <c r="M800" s="522" t="inlineStr">
        <is>
          <t>TI0194592</t>
        </is>
      </c>
      <c r="N800" s="522" t="inlineStr">
        <is>
          <t>TI0194592</t>
        </is>
      </c>
      <c r="O800" s="521">
        <f>M800=N800</f>
        <v/>
      </c>
      <c r="P800" s="521">
        <f>AND(MONTH(F800)=MONTH(S800), YEAR(F800)=YEAR(S800))</f>
        <v/>
      </c>
      <c r="Q800" s="521">
        <f>U800="L001-901905215"</f>
        <v/>
      </c>
      <c r="R800" s="556">
        <f>G800-W800</f>
        <v/>
      </c>
      <c r="S800" s="523" t="n">
        <v>44251</v>
      </c>
      <c r="T800" s="522" t="inlineStr">
        <is>
          <t>TI-0194592</t>
        </is>
      </c>
      <c r="U800" s="522" t="inlineStr">
        <is>
          <t>L001-901905215</t>
        </is>
      </c>
      <c r="V800" s="522" t="inlineStr">
        <is>
          <t>វីអ៊ីស៊ិន (ខេមបូឌា) អ៊ិនដាសស្ទ្រី ឯ.ក</t>
        </is>
      </c>
      <c r="W800" s="556" t="n">
        <v>225126</v>
      </c>
    </row>
    <row r="801">
      <c r="A801" s="521" t="n">
        <v>793</v>
      </c>
      <c r="B801" s="522" t="n"/>
      <c r="C801" s="522" t="inlineStr">
        <is>
          <t>អ៊ិចស្ពែឌីធ័រ ខេមបូឌា អិលធីឌី</t>
        </is>
      </c>
      <c r="D801" s="522" t="inlineStr">
        <is>
          <t>L001-100045898</t>
        </is>
      </c>
      <c r="E801" s="521" t="inlineStr">
        <is>
          <t>TI-0194591</t>
        </is>
      </c>
      <c r="F801" s="523" t="n">
        <v>44251</v>
      </c>
      <c r="G801" s="556" t="n">
        <v>212913</v>
      </c>
      <c r="I801" s="521">
        <f>G801</f>
        <v/>
      </c>
      <c r="K801" s="521">
        <f>I801-G801</f>
        <v/>
      </c>
      <c r="M801" s="522" t="inlineStr">
        <is>
          <t>TI0194591</t>
        </is>
      </c>
      <c r="N801" s="522" t="inlineStr">
        <is>
          <t>TI0194591</t>
        </is>
      </c>
      <c r="O801" s="521">
        <f>M801=N801</f>
        <v/>
      </c>
      <c r="P801" s="521">
        <f>AND(MONTH(F801)=MONTH(S801), YEAR(F801)=YEAR(S801))</f>
        <v/>
      </c>
      <c r="Q801" s="521">
        <f>U801="L001-901905215"</f>
        <v/>
      </c>
      <c r="R801" s="556">
        <f>G801-W801</f>
        <v/>
      </c>
      <c r="S801" s="523" t="n">
        <v>44251</v>
      </c>
      <c r="T801" s="522" t="inlineStr">
        <is>
          <t>TI-0194591</t>
        </is>
      </c>
      <c r="U801" s="522" t="inlineStr">
        <is>
          <t>L001-901905215</t>
        </is>
      </c>
      <c r="V801" s="522" t="inlineStr">
        <is>
          <t>វីអ៊ីស៊ិន (ខេមបូឌា) អ៊ិនដាសស្ទ្រី ឯ.ក</t>
        </is>
      </c>
      <c r="W801" s="556" t="n">
        <v>212913</v>
      </c>
    </row>
    <row r="802">
      <c r="A802" s="521" t="n">
        <v>794</v>
      </c>
      <c r="B802" s="522" t="n"/>
      <c r="C802" s="522" t="inlineStr">
        <is>
          <t>អ៊ិចស្ពែឌីធ័រ ខេមបូឌា អិលធីឌី</t>
        </is>
      </c>
      <c r="D802" s="522" t="inlineStr">
        <is>
          <t>L001-100045898</t>
        </is>
      </c>
      <c r="E802" s="521" t="inlineStr">
        <is>
          <t>TI-0194590</t>
        </is>
      </c>
      <c r="F802" s="523" t="n">
        <v>44251</v>
      </c>
      <c r="G802" s="556" t="n">
        <v>965234</v>
      </c>
      <c r="I802" s="521">
        <f>G802</f>
        <v/>
      </c>
      <c r="K802" s="521">
        <f>I802-G802</f>
        <v/>
      </c>
      <c r="M802" s="522" t="inlineStr">
        <is>
          <t>TI0194590</t>
        </is>
      </c>
      <c r="N802" s="522" t="inlineStr">
        <is>
          <t>TI0194590</t>
        </is>
      </c>
      <c r="O802" s="521">
        <f>M802=N802</f>
        <v/>
      </c>
      <c r="P802" s="521">
        <f>AND(MONTH(F802)=MONTH(S802), YEAR(F802)=YEAR(S802))</f>
        <v/>
      </c>
      <c r="Q802" s="521">
        <f>U802="L001-901905215"</f>
        <v/>
      </c>
      <c r="R802" s="556">
        <f>G802-W802</f>
        <v/>
      </c>
      <c r="S802" s="523" t="n">
        <v>44251</v>
      </c>
      <c r="T802" s="522" t="inlineStr">
        <is>
          <t>TI-0194590</t>
        </is>
      </c>
      <c r="U802" s="522" t="inlineStr">
        <is>
          <t>L001-901905215</t>
        </is>
      </c>
      <c r="V802" s="522" t="inlineStr">
        <is>
          <t>វីអ៊ីស៊ិន (ខេមបូឌា) អ៊ិនដាសស្ទ្រី ឯ.ក</t>
        </is>
      </c>
      <c r="W802" s="556" t="n">
        <v>965234</v>
      </c>
    </row>
    <row r="803">
      <c r="A803" s="521" t="n">
        <v>795</v>
      </c>
      <c r="B803" s="522" t="n"/>
      <c r="C803" s="522" t="inlineStr">
        <is>
          <t>អ៊ិចស្ពែឌីធ័រ ខេមបូឌា អិលធីឌី</t>
        </is>
      </c>
      <c r="D803" s="522" t="inlineStr">
        <is>
          <t>L001-100045898</t>
        </is>
      </c>
      <c r="E803" s="521" t="inlineStr">
        <is>
          <t>TI-0194589</t>
        </is>
      </c>
      <c r="F803" s="523" t="n">
        <v>44251</v>
      </c>
      <c r="G803" s="556" t="n">
        <v>780411</v>
      </c>
      <c r="I803" s="521">
        <f>G803</f>
        <v/>
      </c>
      <c r="K803" s="521">
        <f>I803-G803</f>
        <v/>
      </c>
      <c r="M803" s="522" t="inlineStr">
        <is>
          <t>TI0194589</t>
        </is>
      </c>
      <c r="N803" s="522" t="inlineStr">
        <is>
          <t>TI0194589</t>
        </is>
      </c>
      <c r="O803" s="521">
        <f>M803=N803</f>
        <v/>
      </c>
      <c r="P803" s="521">
        <f>AND(MONTH(F803)=MONTH(S803), YEAR(F803)=YEAR(S803))</f>
        <v/>
      </c>
      <c r="Q803" s="521">
        <f>U803="L001-901905215"</f>
        <v/>
      </c>
      <c r="R803" s="556">
        <f>G803-W803</f>
        <v/>
      </c>
      <c r="S803" s="523" t="n">
        <v>44251</v>
      </c>
      <c r="T803" s="522" t="inlineStr">
        <is>
          <t>TI-0194589</t>
        </is>
      </c>
      <c r="U803" s="522" t="inlineStr">
        <is>
          <t>L001-901905215</t>
        </is>
      </c>
      <c r="V803" s="522" t="inlineStr">
        <is>
          <t>វីអ៊ីស៊ិន (ខេមបូឌា) អ៊ិនដាសស្ទ្រី ឯ.ក</t>
        </is>
      </c>
      <c r="W803" s="556" t="n">
        <v>780411</v>
      </c>
    </row>
    <row r="804">
      <c r="A804" s="521" t="n">
        <v>796</v>
      </c>
      <c r="B804" s="522" t="n"/>
      <c r="C804" s="522" t="inlineStr">
        <is>
          <t>អ៊ិចស្ពែឌីធ័រ ខេមបូឌា អិលធីឌី</t>
        </is>
      </c>
      <c r="D804" s="522" t="inlineStr">
        <is>
          <t>L001-100045898</t>
        </is>
      </c>
      <c r="E804" s="521" t="inlineStr">
        <is>
          <t>TI-0194580</t>
        </is>
      </c>
      <c r="F804" s="523" t="n">
        <v>44251</v>
      </c>
      <c r="G804" s="556" t="n">
        <v>637926</v>
      </c>
      <c r="I804" s="521">
        <f>G804</f>
        <v/>
      </c>
      <c r="K804" s="521">
        <f>I804-G804</f>
        <v/>
      </c>
      <c r="M804" s="522" t="inlineStr">
        <is>
          <t>TI0194580</t>
        </is>
      </c>
      <c r="N804" s="522" t="inlineStr">
        <is>
          <t>TI0194580</t>
        </is>
      </c>
      <c r="O804" s="521">
        <f>M804=N804</f>
        <v/>
      </c>
      <c r="P804" s="521">
        <f>AND(MONTH(F804)=MONTH(S804), YEAR(F804)=YEAR(S804))</f>
        <v/>
      </c>
      <c r="Q804" s="521">
        <f>U804="L001-901905215"</f>
        <v/>
      </c>
      <c r="R804" s="556">
        <f>G804-W804</f>
        <v/>
      </c>
      <c r="S804" s="523" t="n">
        <v>44251</v>
      </c>
      <c r="T804" s="522" t="inlineStr">
        <is>
          <t>TI-0194580</t>
        </is>
      </c>
      <c r="U804" s="522" t="inlineStr">
        <is>
          <t>L001-901905215</t>
        </is>
      </c>
      <c r="V804" s="522" t="inlineStr">
        <is>
          <t>វីអ៊ីស៊ិន (ខេមបូឌា) អ៊ិនដាសស្ទ្រី ឯ.ក</t>
        </is>
      </c>
      <c r="W804" s="556" t="n">
        <v>637926</v>
      </c>
    </row>
    <row r="805">
      <c r="A805" s="521" t="n">
        <v>797</v>
      </c>
      <c r="B805" s="522" t="n"/>
      <c r="C805" s="522" t="inlineStr">
        <is>
          <t>អ៊ិចស្ពែឌីធ័រ ខេមបូឌា អិលធីឌី</t>
        </is>
      </c>
      <c r="D805" s="522" t="inlineStr">
        <is>
          <t>L001-100045898</t>
        </is>
      </c>
      <c r="E805" s="521" t="inlineStr">
        <is>
          <t>TI-0194114</t>
        </is>
      </c>
      <c r="F805" s="523" t="n">
        <v>44244</v>
      </c>
      <c r="G805" s="556" t="n">
        <v>125233</v>
      </c>
      <c r="I805" s="521">
        <f>G805</f>
        <v/>
      </c>
      <c r="K805" s="521">
        <f>I805-G805</f>
        <v/>
      </c>
      <c r="M805" s="522" t="inlineStr">
        <is>
          <t>TI0194114</t>
        </is>
      </c>
      <c r="N805" s="522" t="inlineStr">
        <is>
          <t>TI0194114</t>
        </is>
      </c>
      <c r="O805" s="521">
        <f>M805=N805</f>
        <v/>
      </c>
      <c r="P805" s="521">
        <f>AND(MONTH(F805)=MONTH(S805), YEAR(F805)=YEAR(S805))</f>
        <v/>
      </c>
      <c r="Q805" s="521">
        <f>U805="L001-901905215"</f>
        <v/>
      </c>
      <c r="R805" s="556">
        <f>G805-W805</f>
        <v/>
      </c>
      <c r="S805" s="523" t="n">
        <v>44244</v>
      </c>
      <c r="T805" s="522" t="inlineStr">
        <is>
          <t>TI-0194114</t>
        </is>
      </c>
      <c r="U805" s="522" t="inlineStr">
        <is>
          <t>L001-901905215</t>
        </is>
      </c>
      <c r="V805" s="522" t="inlineStr">
        <is>
          <t>វីអ៊ីស៊ិន (ខេមបូឌា) អ៊ិនដាសស្ទ្រី ឯ.ក</t>
        </is>
      </c>
      <c r="W805" s="556" t="n">
        <v>125233</v>
      </c>
    </row>
    <row r="806">
      <c r="A806" s="521" t="n">
        <v>798</v>
      </c>
      <c r="B806" s="522" t="n"/>
      <c r="C806" s="522" t="inlineStr">
        <is>
          <t>អ៊ិចស្ពែឌីធ័រ ខេមបូឌា អិលធីឌី</t>
        </is>
      </c>
      <c r="D806" s="522" t="inlineStr">
        <is>
          <t>L001-100045898</t>
        </is>
      </c>
      <c r="E806" s="521" t="inlineStr">
        <is>
          <t>TI-0194072</t>
        </is>
      </c>
      <c r="F806" s="523" t="n">
        <v>44244</v>
      </c>
      <c r="G806" s="556" t="n">
        <v>211839</v>
      </c>
      <c r="I806" s="521">
        <f>G806</f>
        <v/>
      </c>
      <c r="K806" s="521">
        <f>I806-G806</f>
        <v/>
      </c>
      <c r="M806" s="522" t="inlineStr">
        <is>
          <t>TI0194072</t>
        </is>
      </c>
      <c r="N806" s="522" t="inlineStr">
        <is>
          <t>TI0194072</t>
        </is>
      </c>
      <c r="O806" s="521">
        <f>M806=N806</f>
        <v/>
      </c>
      <c r="P806" s="521">
        <f>AND(MONTH(F806)=MONTH(S806), YEAR(F806)=YEAR(S806))</f>
        <v/>
      </c>
      <c r="Q806" s="521">
        <f>U806="L001-901905215"</f>
        <v/>
      </c>
      <c r="R806" s="556">
        <f>G806-W806</f>
        <v/>
      </c>
      <c r="S806" s="523" t="n">
        <v>44244</v>
      </c>
      <c r="T806" s="522" t="inlineStr">
        <is>
          <t>TI-0194072</t>
        </is>
      </c>
      <c r="U806" s="522" t="inlineStr">
        <is>
          <t>L001-901905215</t>
        </is>
      </c>
      <c r="V806" s="522" t="inlineStr">
        <is>
          <t>វីអ៊ីស៊ិន (ខេមបូឌា) អ៊ិនដាសស្ទ្រី ឯ.ក</t>
        </is>
      </c>
      <c r="W806" s="556" t="n">
        <v>211839</v>
      </c>
    </row>
    <row r="807">
      <c r="A807" s="521" t="n">
        <v>799</v>
      </c>
      <c r="B807" s="522" t="n"/>
      <c r="C807" s="522" t="inlineStr">
        <is>
          <t>អ៊ិចស្ពែឌីធ័រ ខេមបូឌា អិលធីឌី</t>
        </is>
      </c>
      <c r="D807" s="522" t="inlineStr">
        <is>
          <t>L001-100045898</t>
        </is>
      </c>
      <c r="E807" s="521" t="inlineStr">
        <is>
          <t>TI-0194015</t>
        </is>
      </c>
      <c r="F807" s="523" t="n">
        <v>44244</v>
      </c>
      <c r="G807" s="556" t="n">
        <v>69529</v>
      </c>
      <c r="I807" s="521">
        <f>G807</f>
        <v/>
      </c>
      <c r="K807" s="521">
        <f>I807-G807</f>
        <v/>
      </c>
      <c r="M807" s="522" t="inlineStr">
        <is>
          <t>TI0194015</t>
        </is>
      </c>
      <c r="N807" s="522" t="inlineStr">
        <is>
          <t>TI0194015</t>
        </is>
      </c>
      <c r="O807" s="521">
        <f>M807=N807</f>
        <v/>
      </c>
      <c r="P807" s="521">
        <f>AND(MONTH(F807)=MONTH(S807), YEAR(F807)=YEAR(S807))</f>
        <v/>
      </c>
      <c r="Q807" s="521">
        <f>U807="L001-901905215"</f>
        <v/>
      </c>
      <c r="R807" s="556">
        <f>G807-W807</f>
        <v/>
      </c>
      <c r="S807" s="523" t="n">
        <v>44244</v>
      </c>
      <c r="T807" s="522" t="inlineStr">
        <is>
          <t>TI-0194015</t>
        </is>
      </c>
      <c r="U807" s="522" t="inlineStr">
        <is>
          <t>L001-901905215</t>
        </is>
      </c>
      <c r="V807" s="522" t="inlineStr">
        <is>
          <t>វីអ៊ីស៊ិន (ខេមបូឌា) អ៊ិនដាសស្ទ្រី ឯ.ក</t>
        </is>
      </c>
      <c r="W807" s="556" t="n">
        <v>69529</v>
      </c>
    </row>
    <row r="808">
      <c r="A808" s="521" t="n">
        <v>800</v>
      </c>
      <c r="B808" s="522" t="n"/>
      <c r="C808" s="522" t="inlineStr">
        <is>
          <t>អ៊ិចស្ពែឌីធ័រ ខេមបូឌា អិលធីឌី</t>
        </is>
      </c>
      <c r="D808" s="522" t="inlineStr">
        <is>
          <t>L001-100045898</t>
        </is>
      </c>
      <c r="E808" s="521" t="inlineStr">
        <is>
          <t>TI-0194003</t>
        </is>
      </c>
      <c r="F808" s="523" t="n">
        <v>44244</v>
      </c>
      <c r="G808" s="556" t="n">
        <v>586724</v>
      </c>
      <c r="I808" s="521">
        <f>G808</f>
        <v/>
      </c>
      <c r="K808" s="521">
        <f>I808-G808</f>
        <v/>
      </c>
      <c r="M808" s="522" t="inlineStr">
        <is>
          <t>TI0194003</t>
        </is>
      </c>
      <c r="N808" s="522" t="inlineStr">
        <is>
          <t>TI0194003</t>
        </is>
      </c>
      <c r="O808" s="521">
        <f>M808=N808</f>
        <v/>
      </c>
      <c r="P808" s="521">
        <f>AND(MONTH(F808)=MONTH(S808), YEAR(F808)=YEAR(S808))</f>
        <v/>
      </c>
      <c r="Q808" s="521">
        <f>U808="L001-901905215"</f>
        <v/>
      </c>
      <c r="R808" s="556">
        <f>G808-W808</f>
        <v/>
      </c>
      <c r="S808" s="523" t="n">
        <v>44244</v>
      </c>
      <c r="T808" s="522" t="inlineStr">
        <is>
          <t>TI-0194003</t>
        </is>
      </c>
      <c r="U808" s="522" t="inlineStr">
        <is>
          <t>L001-901905215</t>
        </is>
      </c>
      <c r="V808" s="522" t="inlineStr">
        <is>
          <t>វីអ៊ីស៊ិន (ខេមបូឌា) អ៊ិនដាសស្ទ្រី ឯ.ក</t>
        </is>
      </c>
      <c r="W808" s="556" t="n">
        <v>586724</v>
      </c>
    </row>
    <row r="809">
      <c r="A809" s="521" t="n">
        <v>801</v>
      </c>
      <c r="B809" s="522" t="n"/>
      <c r="C809" s="522" t="inlineStr">
        <is>
          <t>អ៊ិចស្ពែឌីធ័រ ខេមបូឌា អិលធីឌី</t>
        </is>
      </c>
      <c r="D809" s="522" t="inlineStr">
        <is>
          <t>L001-100045898</t>
        </is>
      </c>
      <c r="E809" s="521" t="inlineStr">
        <is>
          <t>TI-0193997</t>
        </is>
      </c>
      <c r="F809" s="523" t="n">
        <v>44244</v>
      </c>
      <c r="G809" s="556" t="n">
        <v>276081</v>
      </c>
      <c r="I809" s="521">
        <f>G809</f>
        <v/>
      </c>
      <c r="K809" s="521">
        <f>I809-G809</f>
        <v/>
      </c>
      <c r="M809" s="522" t="inlineStr">
        <is>
          <t>TI0193997</t>
        </is>
      </c>
      <c r="N809" s="522" t="inlineStr">
        <is>
          <t>TI0193997</t>
        </is>
      </c>
      <c r="O809" s="521">
        <f>M809=N809</f>
        <v/>
      </c>
      <c r="P809" s="521">
        <f>AND(MONTH(F809)=MONTH(S809), YEAR(F809)=YEAR(S809))</f>
        <v/>
      </c>
      <c r="Q809" s="521">
        <f>U809="L001-901905215"</f>
        <v/>
      </c>
      <c r="R809" s="556">
        <f>G809-W809</f>
        <v/>
      </c>
      <c r="S809" s="523" t="n">
        <v>44244</v>
      </c>
      <c r="T809" s="522" t="inlineStr">
        <is>
          <t>TI-0193997</t>
        </is>
      </c>
      <c r="U809" s="522" t="inlineStr">
        <is>
          <t>L001-901905215</t>
        </is>
      </c>
      <c r="V809" s="522" t="inlineStr">
        <is>
          <t>វីអ៊ីស៊ិន (ខេមបូឌា) អ៊ិនដាសស្ទ្រី ឯ.ក</t>
        </is>
      </c>
      <c r="W809" s="556" t="n">
        <v>276081</v>
      </c>
    </row>
    <row r="810">
      <c r="A810" s="521" t="n">
        <v>802</v>
      </c>
      <c r="B810" s="522" t="n"/>
      <c r="C810" s="522" t="inlineStr">
        <is>
          <t>អ៊ិចស្ពែឌីធ័រ ខេមបូឌា អិលធីឌី</t>
        </is>
      </c>
      <c r="D810" s="522" t="inlineStr">
        <is>
          <t>L001-100045898</t>
        </is>
      </c>
      <c r="E810" s="521" t="inlineStr">
        <is>
          <t>TI-0193996</t>
        </is>
      </c>
      <c r="F810" s="523" t="n">
        <v>44244</v>
      </c>
      <c r="G810" s="556" t="n">
        <v>42447</v>
      </c>
      <c r="I810" s="521">
        <f>G810</f>
        <v/>
      </c>
      <c r="K810" s="521">
        <f>I810-G810</f>
        <v/>
      </c>
      <c r="M810" s="522" t="inlineStr">
        <is>
          <t>TI0193996</t>
        </is>
      </c>
      <c r="N810" s="522" t="inlineStr">
        <is>
          <t>TI0193996</t>
        </is>
      </c>
      <c r="O810" s="521">
        <f>M810=N810</f>
        <v/>
      </c>
      <c r="P810" s="521">
        <f>AND(MONTH(F810)=MONTH(S810), YEAR(F810)=YEAR(S810))</f>
        <v/>
      </c>
      <c r="Q810" s="521">
        <f>U810="L001-901905215"</f>
        <v/>
      </c>
      <c r="R810" s="556">
        <f>G810-W810</f>
        <v/>
      </c>
      <c r="S810" s="523" t="n">
        <v>44244</v>
      </c>
      <c r="T810" s="522" t="inlineStr">
        <is>
          <t>TI-0193996</t>
        </is>
      </c>
      <c r="U810" s="522" t="inlineStr">
        <is>
          <t>L001-901905215</t>
        </is>
      </c>
      <c r="V810" s="522" t="inlineStr">
        <is>
          <t>វីអ៊ីស៊ិន (ខេមបូឌា) អ៊ិនដាសស្ទ្រី ឯ.ក</t>
        </is>
      </c>
      <c r="W810" s="556" t="n">
        <v>424084</v>
      </c>
    </row>
    <row r="811">
      <c r="A811" s="521" t="n">
        <v>803</v>
      </c>
      <c r="B811" s="522" t="n"/>
      <c r="C811" s="522" t="inlineStr">
        <is>
          <t>អ៊ិចស្ពែឌីធ័រ ខេមបូឌា អិលធីឌី</t>
        </is>
      </c>
      <c r="D811" s="522" t="inlineStr">
        <is>
          <t>L001-100045898</t>
        </is>
      </c>
      <c r="E811" s="521" t="inlineStr">
        <is>
          <t>TI-0193994</t>
        </is>
      </c>
      <c r="F811" s="523" t="n">
        <v>44244</v>
      </c>
      <c r="G811" s="556" t="n">
        <v>277301</v>
      </c>
      <c r="I811" s="521">
        <f>G811</f>
        <v/>
      </c>
      <c r="K811" s="521">
        <f>I811-G811</f>
        <v/>
      </c>
      <c r="M811" s="522" t="inlineStr">
        <is>
          <t>TI0193994</t>
        </is>
      </c>
      <c r="N811" s="522" t="inlineStr">
        <is>
          <t>TI0193994</t>
        </is>
      </c>
      <c r="O811" s="521">
        <f>M811=N811</f>
        <v/>
      </c>
      <c r="P811" s="521">
        <f>AND(MONTH(F811)=MONTH(S811), YEAR(F811)=YEAR(S811))</f>
        <v/>
      </c>
      <c r="Q811" s="521">
        <f>U811="L001-901905215"</f>
        <v/>
      </c>
      <c r="R811" s="556">
        <f>G811-W811</f>
        <v/>
      </c>
      <c r="S811" s="523" t="n">
        <v>44244</v>
      </c>
      <c r="T811" s="522" t="inlineStr">
        <is>
          <t>TI-0193994</t>
        </is>
      </c>
      <c r="U811" s="522" t="inlineStr">
        <is>
          <t>L001-901905215</t>
        </is>
      </c>
      <c r="V811" s="522" t="inlineStr">
        <is>
          <t>វីអ៊ីស៊ិន (ខេមបូឌា) អ៊ិនដាសស្ទ្រី ឯ.ក</t>
        </is>
      </c>
      <c r="W811" s="556" t="n">
        <v>277301</v>
      </c>
    </row>
    <row r="812">
      <c r="A812" s="521" t="n">
        <v>804</v>
      </c>
      <c r="B812" s="522" t="n"/>
      <c r="C812" s="522" t="inlineStr">
        <is>
          <t>អ៊ិចស្ពែឌីធ័រ ខេមបូឌា អិលធីឌី</t>
        </is>
      </c>
      <c r="D812" s="522" t="inlineStr">
        <is>
          <t>L001-100045898</t>
        </is>
      </c>
      <c r="E812" s="521" t="inlineStr">
        <is>
          <t>TI-0193993</t>
        </is>
      </c>
      <c r="F812" s="523" t="n">
        <v>44244</v>
      </c>
      <c r="G812" s="556" t="n">
        <v>469420</v>
      </c>
      <c r="I812" s="521">
        <f>G812</f>
        <v/>
      </c>
      <c r="K812" s="521">
        <f>I812-G812</f>
        <v/>
      </c>
      <c r="M812" s="522" t="inlineStr">
        <is>
          <t>TI0193993</t>
        </is>
      </c>
      <c r="N812" s="522" t="inlineStr">
        <is>
          <t>TI0193993</t>
        </is>
      </c>
      <c r="O812" s="521">
        <f>M812=N812</f>
        <v/>
      </c>
      <c r="P812" s="521">
        <f>AND(MONTH(F812)=MONTH(S812), YEAR(F812)=YEAR(S812))</f>
        <v/>
      </c>
      <c r="Q812" s="521">
        <f>U812="L001-901905215"</f>
        <v/>
      </c>
      <c r="R812" s="556">
        <f>G812-W812</f>
        <v/>
      </c>
      <c r="S812" s="523" t="n">
        <v>44244</v>
      </c>
      <c r="T812" s="522" t="inlineStr">
        <is>
          <t>TI-0193993</t>
        </is>
      </c>
      <c r="U812" s="522" t="inlineStr">
        <is>
          <t>L001-901905215</t>
        </is>
      </c>
      <c r="V812" s="522" t="inlineStr">
        <is>
          <t>វីអ៊ីស៊ិន (ខេមបូឌា) អ៊ិនដាសស្ទ្រី ឯ.ក</t>
        </is>
      </c>
      <c r="W812" s="556" t="n">
        <v>469420</v>
      </c>
    </row>
    <row r="813">
      <c r="A813" s="521" t="n">
        <v>805</v>
      </c>
      <c r="B813" s="522" t="n"/>
      <c r="C813" s="522" t="inlineStr">
        <is>
          <t>អ៊ិចស្ពែឌីធ័រ ខេមបូឌា អិលធីឌី</t>
        </is>
      </c>
      <c r="D813" s="522" t="inlineStr">
        <is>
          <t>L001-100045898</t>
        </is>
      </c>
      <c r="E813" s="521" t="inlineStr">
        <is>
          <t>TI-0193989</t>
        </is>
      </c>
      <c r="F813" s="523" t="n">
        <v>44244</v>
      </c>
      <c r="G813" s="556" t="n">
        <v>185812</v>
      </c>
      <c r="I813" s="521">
        <f>G813</f>
        <v/>
      </c>
      <c r="K813" s="521">
        <f>I813-G813</f>
        <v/>
      </c>
      <c r="M813" s="522" t="inlineStr">
        <is>
          <t>TI0193989</t>
        </is>
      </c>
      <c r="N813" s="522" t="inlineStr">
        <is>
          <t>TI0193989</t>
        </is>
      </c>
      <c r="O813" s="521">
        <f>M813=N813</f>
        <v/>
      </c>
      <c r="P813" s="521">
        <f>AND(MONTH(F813)=MONTH(S813), YEAR(F813)=YEAR(S813))</f>
        <v/>
      </c>
      <c r="Q813" s="521">
        <f>U813="L001-901905215"</f>
        <v/>
      </c>
      <c r="R813" s="556">
        <f>G813-W813</f>
        <v/>
      </c>
      <c r="S813" s="523" t="n">
        <v>44244</v>
      </c>
      <c r="T813" s="522" t="inlineStr">
        <is>
          <t>TI-0193989</t>
        </is>
      </c>
      <c r="U813" s="522" t="inlineStr">
        <is>
          <t>L001-901905215</t>
        </is>
      </c>
      <c r="V813" s="522" t="inlineStr">
        <is>
          <t>វីអ៊ីស៊ិន (ខេមបូឌា) អ៊ិនដាសស្ទ្រី ឯ.ក</t>
        </is>
      </c>
      <c r="W813" s="556" t="n">
        <v>185816</v>
      </c>
    </row>
    <row r="814">
      <c r="A814" s="521" t="n">
        <v>806</v>
      </c>
      <c r="B814" s="522" t="n"/>
      <c r="C814" s="522" t="inlineStr">
        <is>
          <t>អ៊ិចស្ពែឌីធ័រ ខេមបូឌា អិលធីឌី</t>
        </is>
      </c>
      <c r="D814" s="522" t="inlineStr">
        <is>
          <t>L001-100045898</t>
        </is>
      </c>
      <c r="E814" s="521" t="inlineStr">
        <is>
          <t>TI-0193828</t>
        </is>
      </c>
      <c r="F814" s="523" t="n">
        <v>44242</v>
      </c>
      <c r="G814" s="556" t="n">
        <v>34790</v>
      </c>
      <c r="I814" s="521">
        <f>G814</f>
        <v/>
      </c>
      <c r="K814" s="521">
        <f>I814-G814</f>
        <v/>
      </c>
      <c r="M814" s="522" t="inlineStr">
        <is>
          <t>TI0193828</t>
        </is>
      </c>
      <c r="N814" s="522" t="inlineStr">
        <is>
          <t>TI0193828</t>
        </is>
      </c>
      <c r="O814" s="521">
        <f>M814=N814</f>
        <v/>
      </c>
      <c r="P814" s="521">
        <f>AND(MONTH(F814)=MONTH(S814), YEAR(F814)=YEAR(S814))</f>
        <v/>
      </c>
      <c r="Q814" s="521">
        <f>U814="L001-901905215"</f>
        <v/>
      </c>
      <c r="R814" s="556">
        <f>G814-W814</f>
        <v/>
      </c>
      <c r="S814" s="523" t="n">
        <v>44242</v>
      </c>
      <c r="T814" s="522" t="inlineStr">
        <is>
          <t>TI-0193828</t>
        </is>
      </c>
      <c r="U814" s="522" t="inlineStr">
        <is>
          <t>L001-901905215</t>
        </is>
      </c>
      <c r="V814" s="522" t="inlineStr">
        <is>
          <t>វីអ៊ីស៊ិន (ខេមបូឌា) អ៊ិនដាសស្ទ្រី ឯ.ក</t>
        </is>
      </c>
      <c r="W814" s="556" t="n">
        <v>34790</v>
      </c>
    </row>
    <row r="815">
      <c r="A815" s="521" t="n">
        <v>807</v>
      </c>
      <c r="B815" s="522" t="n"/>
      <c r="C815" s="522" t="inlineStr">
        <is>
          <t>អ៊ិចស្ពែឌីធ័រ ខេមបូឌា អិលធីឌី</t>
        </is>
      </c>
      <c r="D815" s="522" t="inlineStr">
        <is>
          <t>L001-100045898</t>
        </is>
      </c>
      <c r="E815" s="521" t="inlineStr">
        <is>
          <t>TI-193543</t>
        </is>
      </c>
      <c r="F815" s="523" t="n">
        <v>44237</v>
      </c>
      <c r="G815" s="556" t="n">
        <v>1167479</v>
      </c>
      <c r="I815" s="521">
        <f>G815</f>
        <v/>
      </c>
      <c r="K815" s="521">
        <f>I815-G815</f>
        <v/>
      </c>
      <c r="M815" s="522" t="inlineStr">
        <is>
          <t>TI193543</t>
        </is>
      </c>
      <c r="N815" s="522" t="inlineStr"/>
      <c r="O815" s="521">
        <f>M815=N815</f>
        <v/>
      </c>
      <c r="P815" s="521">
        <f>AND(MONTH(F815)=MONTH(S815), YEAR(F815)=YEAR(S815))</f>
        <v/>
      </c>
      <c r="Q815" s="521">
        <f>U815="L001-901905215"</f>
        <v/>
      </c>
      <c r="R815" s="556">
        <f>G815-W815</f>
        <v/>
      </c>
      <c r="S815" s="521" t="n"/>
      <c r="T815" s="522" t="n"/>
      <c r="U815" s="522" t="n"/>
      <c r="V815" s="522" t="n"/>
      <c r="W815" s="521" t="n"/>
    </row>
    <row r="816">
      <c r="A816" s="521" t="n">
        <v>808</v>
      </c>
      <c r="B816" s="522" t="n"/>
      <c r="C816" s="522" t="inlineStr">
        <is>
          <t>អ៊ិចស្ពែឌីធ័រ ខេមបូឌា អិលធីឌី</t>
        </is>
      </c>
      <c r="D816" s="522" t="inlineStr">
        <is>
          <t>L001-100045898</t>
        </is>
      </c>
      <c r="E816" s="521" t="inlineStr">
        <is>
          <t>TI-0193512</t>
        </is>
      </c>
      <c r="F816" s="523" t="n">
        <v>44237</v>
      </c>
      <c r="G816" s="556" t="n">
        <v>176231</v>
      </c>
      <c r="I816" s="521">
        <f>G816</f>
        <v/>
      </c>
      <c r="K816" s="521">
        <f>I816-G816</f>
        <v/>
      </c>
      <c r="M816" s="522" t="inlineStr">
        <is>
          <t>TI0193512</t>
        </is>
      </c>
      <c r="N816" s="522" t="inlineStr">
        <is>
          <t>TI0193512</t>
        </is>
      </c>
      <c r="O816" s="521">
        <f>M816=N816</f>
        <v/>
      </c>
      <c r="P816" s="521">
        <f>AND(MONTH(F816)=MONTH(S816), YEAR(F816)=YEAR(S816))</f>
        <v/>
      </c>
      <c r="Q816" s="521">
        <f>U816="L001-901905215"</f>
        <v/>
      </c>
      <c r="R816" s="556">
        <f>G816-W816</f>
        <v/>
      </c>
      <c r="S816" s="523" t="n">
        <v>44237</v>
      </c>
      <c r="T816" s="522" t="inlineStr">
        <is>
          <t>TI-0193512</t>
        </is>
      </c>
      <c r="U816" s="522" t="inlineStr">
        <is>
          <t>L001-901905215</t>
        </is>
      </c>
      <c r="V816" s="522" t="inlineStr">
        <is>
          <t>វីអ៊ីស៊ិន (ខេមបូឌា) អ៊ិនដាសស្ទ្រី ឯ.ក</t>
        </is>
      </c>
      <c r="W816" s="556" t="n">
        <v>176231</v>
      </c>
    </row>
    <row r="817">
      <c r="A817" s="521" t="n">
        <v>809</v>
      </c>
      <c r="B817" s="522" t="n"/>
      <c r="C817" s="522" t="inlineStr">
        <is>
          <t>អ៊ិចស្ពែឌីធ័រ ខេមបូឌា អិលធីឌី</t>
        </is>
      </c>
      <c r="D817" s="522" t="inlineStr">
        <is>
          <t>L001-100045898</t>
        </is>
      </c>
      <c r="E817" s="521" t="inlineStr">
        <is>
          <t>TI0193511</t>
        </is>
      </c>
      <c r="F817" s="523" t="n">
        <v>44237</v>
      </c>
      <c r="G817" s="556" t="n">
        <v>345136</v>
      </c>
      <c r="I817" s="521">
        <f>G817</f>
        <v/>
      </c>
      <c r="K817" s="521">
        <f>I817-G817</f>
        <v/>
      </c>
      <c r="M817" s="522" t="inlineStr">
        <is>
          <t>TI0193511</t>
        </is>
      </c>
      <c r="N817" s="522" t="inlineStr">
        <is>
          <t>TI0193511</t>
        </is>
      </c>
      <c r="O817" s="521">
        <f>M817=N817</f>
        <v/>
      </c>
      <c r="P817" s="521">
        <f>AND(MONTH(F817)=MONTH(S817), YEAR(F817)=YEAR(S817))</f>
        <v/>
      </c>
      <c r="Q817" s="521">
        <f>U817="L001-901905215"</f>
        <v/>
      </c>
      <c r="R817" s="556">
        <f>G817-W817</f>
        <v/>
      </c>
      <c r="S817" s="523" t="n">
        <v>44237</v>
      </c>
      <c r="T817" s="522" t="inlineStr">
        <is>
          <t>TI-0193511</t>
        </is>
      </c>
      <c r="U817" s="522" t="inlineStr">
        <is>
          <t>L001-901905215</t>
        </is>
      </c>
      <c r="V817" s="522" t="inlineStr">
        <is>
          <t>វីអ៊ីស៊ិន (ខេមបូឌា) អ៊ិនដាសស្ទ្រី ឯ.ក</t>
        </is>
      </c>
      <c r="W817" s="556" t="n">
        <v>345136</v>
      </c>
    </row>
    <row r="818">
      <c r="A818" s="521" t="n">
        <v>810</v>
      </c>
      <c r="B818" s="522" t="n"/>
      <c r="C818" s="522" t="inlineStr">
        <is>
          <t>អ៊ិចស្ពែឌីធ័រ ខេមបូឌា អិលធីឌី</t>
        </is>
      </c>
      <c r="D818" s="522" t="inlineStr">
        <is>
          <t>L001-100045898</t>
        </is>
      </c>
      <c r="E818" s="521" t="inlineStr">
        <is>
          <t>TI-0193510</t>
        </is>
      </c>
      <c r="F818" s="523" t="n">
        <v>44237</v>
      </c>
      <c r="G818" s="556" t="n">
        <v>353683</v>
      </c>
      <c r="I818" s="521">
        <f>G818</f>
        <v/>
      </c>
      <c r="K818" s="521">
        <f>I818-G818</f>
        <v/>
      </c>
      <c r="M818" s="522" t="inlineStr">
        <is>
          <t>TI0193510</t>
        </is>
      </c>
      <c r="N818" s="522" t="inlineStr">
        <is>
          <t>TI0193510</t>
        </is>
      </c>
      <c r="O818" s="521">
        <f>M818=N818</f>
        <v/>
      </c>
      <c r="P818" s="521">
        <f>AND(MONTH(F818)=MONTH(S818), YEAR(F818)=YEAR(S818))</f>
        <v/>
      </c>
      <c r="Q818" s="521">
        <f>U818="L001-901905215"</f>
        <v/>
      </c>
      <c r="R818" s="556">
        <f>G818-W818</f>
        <v/>
      </c>
      <c r="S818" s="523" t="n">
        <v>44237</v>
      </c>
      <c r="T818" s="522" t="inlineStr">
        <is>
          <t>TI-0193510</t>
        </is>
      </c>
      <c r="U818" s="522" t="inlineStr">
        <is>
          <t>L001-901905215</t>
        </is>
      </c>
      <c r="V818" s="522" t="inlineStr">
        <is>
          <t>វីអ៊ីស៊ិន (ខេមបូឌា) អ៊ិនដាសស្ទ្រី ឯ.ក</t>
        </is>
      </c>
      <c r="W818" s="556" t="n">
        <v>353683</v>
      </c>
    </row>
    <row r="819">
      <c r="A819" s="521" t="n">
        <v>811</v>
      </c>
      <c r="B819" s="522" t="n"/>
      <c r="C819" s="522" t="inlineStr">
        <is>
          <t>អ៊ិចស្ពែឌីធ័រ ខេមបូឌា អិលធីឌី</t>
        </is>
      </c>
      <c r="D819" s="522" t="inlineStr">
        <is>
          <t>L001-100045898</t>
        </is>
      </c>
      <c r="E819" s="521" t="inlineStr">
        <is>
          <t>TI-0193509</t>
        </is>
      </c>
      <c r="F819" s="523" t="n">
        <v>44237</v>
      </c>
      <c r="G819" s="556" t="n">
        <v>343101</v>
      </c>
      <c r="I819" s="521">
        <f>G819</f>
        <v/>
      </c>
      <c r="K819" s="521">
        <f>I819-G819</f>
        <v/>
      </c>
      <c r="M819" s="522" t="inlineStr">
        <is>
          <t>TI0193509</t>
        </is>
      </c>
      <c r="N819" s="522" t="inlineStr">
        <is>
          <t>TI0193509</t>
        </is>
      </c>
      <c r="O819" s="521">
        <f>M819=N819</f>
        <v/>
      </c>
      <c r="P819" s="521">
        <f>AND(MONTH(F819)=MONTH(S819), YEAR(F819)=YEAR(S819))</f>
        <v/>
      </c>
      <c r="Q819" s="521">
        <f>U819="L001-901905215"</f>
        <v/>
      </c>
      <c r="R819" s="556">
        <f>G819-W819</f>
        <v/>
      </c>
      <c r="S819" s="523" t="n">
        <v>44237</v>
      </c>
      <c r="T819" s="522" t="inlineStr">
        <is>
          <t>TI-0193509</t>
        </is>
      </c>
      <c r="U819" s="522" t="inlineStr">
        <is>
          <t>L001-901905215</t>
        </is>
      </c>
      <c r="V819" s="522" t="inlineStr">
        <is>
          <t>វីអ៊ីស៊ិន (ខេមបូឌា) អ៊ិនដាសស្ទ្រី ឯ.ក</t>
        </is>
      </c>
      <c r="W819" s="556" t="n">
        <v>343101</v>
      </c>
    </row>
    <row r="820">
      <c r="A820" s="521" t="n">
        <v>812</v>
      </c>
      <c r="B820" s="522" t="n"/>
      <c r="C820" s="522" t="inlineStr">
        <is>
          <t>អ៊ិចស្ពែឌីធ័រ ខេមបូឌា អិលធីឌី</t>
        </is>
      </c>
      <c r="D820" s="522" t="inlineStr">
        <is>
          <t>L001-100045898</t>
        </is>
      </c>
      <c r="E820" s="521" t="inlineStr">
        <is>
          <t>TI-0193476</t>
        </is>
      </c>
      <c r="F820" s="523" t="n">
        <v>44237</v>
      </c>
      <c r="G820" s="556" t="n">
        <v>459096</v>
      </c>
      <c r="I820" s="521">
        <f>G820</f>
        <v/>
      </c>
      <c r="K820" s="521">
        <f>I820-G820</f>
        <v/>
      </c>
      <c r="M820" s="522" t="inlineStr">
        <is>
          <t>TI0193476</t>
        </is>
      </c>
      <c r="N820" s="522" t="inlineStr">
        <is>
          <t>TI0193476</t>
        </is>
      </c>
      <c r="O820" s="521">
        <f>M820=N820</f>
        <v/>
      </c>
      <c r="P820" s="521">
        <f>AND(MONTH(F820)=MONTH(S820), YEAR(F820)=YEAR(S820))</f>
        <v/>
      </c>
      <c r="Q820" s="521">
        <f>U820="L001-901905215"</f>
        <v/>
      </c>
      <c r="R820" s="556">
        <f>G820-W820</f>
        <v/>
      </c>
      <c r="S820" s="523" t="n">
        <v>44237</v>
      </c>
      <c r="T820" s="522" t="inlineStr">
        <is>
          <t>TI-0193476</t>
        </is>
      </c>
      <c r="U820" s="522" t="inlineStr">
        <is>
          <t>L001-901905215</t>
        </is>
      </c>
      <c r="V820" s="522" t="inlineStr">
        <is>
          <t>វីអ៊ីស៊ិន (ខេមបូឌា) អ៊ិនដាសស្ទ្រី ឯ.ក</t>
        </is>
      </c>
      <c r="W820" s="556" t="n">
        <v>459096</v>
      </c>
    </row>
    <row r="821">
      <c r="A821" s="521" t="n">
        <v>813</v>
      </c>
      <c r="B821" s="522" t="n"/>
      <c r="C821" s="522" t="inlineStr">
        <is>
          <t>អ៊ិចស្ពែឌីធ័រ ខេមបូឌា អិលធីឌី</t>
        </is>
      </c>
      <c r="D821" s="522" t="inlineStr">
        <is>
          <t>L001-100045898</t>
        </is>
      </c>
      <c r="E821" s="521" t="inlineStr">
        <is>
          <t>TI-0193465</t>
        </is>
      </c>
      <c r="F821" s="523" t="n">
        <v>44237</v>
      </c>
      <c r="G821" s="556" t="n">
        <v>235449</v>
      </c>
      <c r="I821" s="521">
        <f>G821</f>
        <v/>
      </c>
      <c r="K821" s="521">
        <f>I821-G821</f>
        <v/>
      </c>
      <c r="M821" s="522" t="inlineStr">
        <is>
          <t>TI0193465</t>
        </is>
      </c>
      <c r="N821" s="522" t="inlineStr">
        <is>
          <t>TI0193465</t>
        </is>
      </c>
      <c r="O821" s="521">
        <f>M821=N821</f>
        <v/>
      </c>
      <c r="P821" s="521">
        <f>AND(MONTH(F821)=MONTH(S821), YEAR(F821)=YEAR(S821))</f>
        <v/>
      </c>
      <c r="Q821" s="521">
        <f>U821="L001-901905215"</f>
        <v/>
      </c>
      <c r="R821" s="556">
        <f>G821-W821</f>
        <v/>
      </c>
      <c r="S821" s="523" t="n">
        <v>44237</v>
      </c>
      <c r="T821" s="522" t="inlineStr">
        <is>
          <t>TI-0193465</t>
        </is>
      </c>
      <c r="U821" s="522" t="inlineStr">
        <is>
          <t>L001-901905215</t>
        </is>
      </c>
      <c r="V821" s="522" t="inlineStr">
        <is>
          <t>វីអ៊ីស៊ិន (ខេមបូឌា) អ៊ិនដាសស្ទ្រី ឯ.ក</t>
        </is>
      </c>
      <c r="W821" s="556" t="n">
        <v>235450</v>
      </c>
    </row>
    <row r="822">
      <c r="A822" s="521" t="n">
        <v>814</v>
      </c>
      <c r="B822" s="522" t="n"/>
      <c r="C822" s="522" t="inlineStr">
        <is>
          <t>អ៊ិចស្ពែឌីធ័រ ខេមបូឌា អិលធីឌី</t>
        </is>
      </c>
      <c r="D822" s="522" t="inlineStr">
        <is>
          <t>L001-100045898</t>
        </is>
      </c>
      <c r="E822" s="521" t="inlineStr">
        <is>
          <t>TI-0193464</t>
        </is>
      </c>
      <c r="F822" s="523" t="n">
        <v>44237</v>
      </c>
      <c r="G822" s="556" t="n">
        <v>447496</v>
      </c>
      <c r="I822" s="521">
        <f>G822</f>
        <v/>
      </c>
      <c r="K822" s="521">
        <f>I822-G822</f>
        <v/>
      </c>
      <c r="M822" s="522" t="inlineStr">
        <is>
          <t>TI0193464</t>
        </is>
      </c>
      <c r="N822" s="522" t="inlineStr">
        <is>
          <t>TI0193464</t>
        </is>
      </c>
      <c r="O822" s="521">
        <f>M822=N822</f>
        <v/>
      </c>
      <c r="P822" s="521">
        <f>AND(MONTH(F822)=MONTH(S822), YEAR(F822)=YEAR(S822))</f>
        <v/>
      </c>
      <c r="Q822" s="521">
        <f>U822="L001-901905215"</f>
        <v/>
      </c>
      <c r="R822" s="556">
        <f>G822-W822</f>
        <v/>
      </c>
      <c r="S822" s="523" t="n">
        <v>44237</v>
      </c>
      <c r="T822" s="522" t="inlineStr">
        <is>
          <t>TI-0193464</t>
        </is>
      </c>
      <c r="U822" s="522" t="inlineStr">
        <is>
          <t>L001-901905215</t>
        </is>
      </c>
      <c r="V822" s="522" t="inlineStr">
        <is>
          <t>វីអ៊ីស៊ិន (ខេមបូឌា) អ៊ិនដាសស្ទ្រី ឯ.ក</t>
        </is>
      </c>
      <c r="W822" s="556" t="n">
        <v>447497</v>
      </c>
    </row>
    <row r="823">
      <c r="A823" s="521" t="n">
        <v>815</v>
      </c>
      <c r="B823" s="522" t="n"/>
      <c r="C823" s="522" t="inlineStr">
        <is>
          <t>អ៊ិចស្ពែឌីធ័រ ខេមបូឌា អិលធីឌី</t>
        </is>
      </c>
      <c r="D823" s="522" t="inlineStr">
        <is>
          <t>L001-100045898</t>
        </is>
      </c>
      <c r="E823" s="521" t="inlineStr">
        <is>
          <t>TI-0193211</t>
        </is>
      </c>
      <c r="F823" s="523" t="n">
        <v>44232</v>
      </c>
      <c r="G823" s="556" t="n">
        <v>493202</v>
      </c>
      <c r="I823" s="521">
        <f>G823</f>
        <v/>
      </c>
      <c r="K823" s="521">
        <f>I823-G823</f>
        <v/>
      </c>
      <c r="M823" s="522" t="inlineStr">
        <is>
          <t>TI0193211</t>
        </is>
      </c>
      <c r="N823" s="522" t="inlineStr">
        <is>
          <t>TI0193211</t>
        </is>
      </c>
      <c r="O823" s="521">
        <f>M823=N823</f>
        <v/>
      </c>
      <c r="P823" s="521">
        <f>AND(MONTH(F823)=MONTH(S823), YEAR(F823)=YEAR(S823))</f>
        <v/>
      </c>
      <c r="Q823" s="521">
        <f>U823="L001-901905215"</f>
        <v/>
      </c>
      <c r="R823" s="556">
        <f>G823-W823</f>
        <v/>
      </c>
      <c r="S823" s="523" t="n">
        <v>44232</v>
      </c>
      <c r="T823" s="522" t="inlineStr">
        <is>
          <t>TI-0193211</t>
        </is>
      </c>
      <c r="U823" s="522" t="inlineStr">
        <is>
          <t>L001-901905215</t>
        </is>
      </c>
      <c r="V823" s="522" t="inlineStr">
        <is>
          <t>វីអ៊ីស៊ិន (ខេមបូឌា) អ៊ិនដាសស្ទ្រី ឯ.ក</t>
        </is>
      </c>
      <c r="W823" s="556" t="n">
        <v>493202</v>
      </c>
    </row>
    <row r="824">
      <c r="A824" s="521" t="n">
        <v>816</v>
      </c>
      <c r="B824" s="522" t="n"/>
      <c r="C824" s="522" t="inlineStr">
        <is>
          <t>អ៊ិចស្ពែឌីធ័រ ខេមបូឌា អិលធីឌី</t>
        </is>
      </c>
      <c r="D824" s="522" t="inlineStr">
        <is>
          <t>L001-100045898</t>
        </is>
      </c>
      <c r="E824" s="521" t="inlineStr">
        <is>
          <t>TI-0193210</t>
        </is>
      </c>
      <c r="F824" s="523" t="n">
        <v>44232</v>
      </c>
      <c r="G824" s="556" t="n">
        <v>545718</v>
      </c>
      <c r="I824" s="521">
        <f>G824</f>
        <v/>
      </c>
      <c r="K824" s="521">
        <f>I824-G824</f>
        <v/>
      </c>
      <c r="M824" s="522" t="inlineStr">
        <is>
          <t>TI0193210</t>
        </is>
      </c>
      <c r="N824" s="522" t="inlineStr">
        <is>
          <t>TI0193210</t>
        </is>
      </c>
      <c r="O824" s="521">
        <f>M824=N824</f>
        <v/>
      </c>
      <c r="P824" s="521">
        <f>AND(MONTH(F824)=MONTH(S824), YEAR(F824)=YEAR(S824))</f>
        <v/>
      </c>
      <c r="Q824" s="521">
        <f>U824="L001-901905215"</f>
        <v/>
      </c>
      <c r="R824" s="556">
        <f>G824-W824</f>
        <v/>
      </c>
      <c r="S824" s="523" t="n">
        <v>44232</v>
      </c>
      <c r="T824" s="522" t="inlineStr">
        <is>
          <t>TI-0193210</t>
        </is>
      </c>
      <c r="U824" s="522" t="inlineStr">
        <is>
          <t>L001-901905215</t>
        </is>
      </c>
      <c r="V824" s="522" t="inlineStr">
        <is>
          <t>វីអ៊ីស៊ិន (ខេមបូឌា) អ៊ិនដាសស្ទ្រី ឯ.ក</t>
        </is>
      </c>
      <c r="W824" s="556" t="n">
        <v>545718</v>
      </c>
    </row>
    <row r="825">
      <c r="A825" s="521" t="n">
        <v>817</v>
      </c>
      <c r="B825" s="522" t="n"/>
      <c r="C825" s="522" t="inlineStr">
        <is>
          <t>អ៊ិចស្ពែឌីធ័រ ខេមបូឌា អិលធីឌី</t>
        </is>
      </c>
      <c r="D825" s="522" t="inlineStr">
        <is>
          <t>L001-100045898</t>
        </is>
      </c>
      <c r="E825" s="521" t="inlineStr">
        <is>
          <t>TI-0193209</t>
        </is>
      </c>
      <c r="F825" s="523" t="n">
        <v>44232</v>
      </c>
      <c r="G825" s="556" t="n">
        <v>545718</v>
      </c>
      <c r="I825" s="521">
        <f>G825</f>
        <v/>
      </c>
      <c r="K825" s="521">
        <f>I825-G825</f>
        <v/>
      </c>
      <c r="M825" s="522" t="inlineStr">
        <is>
          <t>TI0193209</t>
        </is>
      </c>
      <c r="N825" s="522" t="inlineStr">
        <is>
          <t>TI0193209</t>
        </is>
      </c>
      <c r="O825" s="521">
        <f>M825=N825</f>
        <v/>
      </c>
      <c r="P825" s="521">
        <f>AND(MONTH(F825)=MONTH(S825), YEAR(F825)=YEAR(S825))</f>
        <v/>
      </c>
      <c r="Q825" s="521">
        <f>U825="L001-901905215"</f>
        <v/>
      </c>
      <c r="R825" s="556">
        <f>G825-W825</f>
        <v/>
      </c>
      <c r="S825" s="523" t="n">
        <v>44232</v>
      </c>
      <c r="T825" s="522" t="inlineStr">
        <is>
          <t>TI-0193209</t>
        </is>
      </c>
      <c r="U825" s="522" t="inlineStr">
        <is>
          <t>L001-901905215</t>
        </is>
      </c>
      <c r="V825" s="522" t="inlineStr">
        <is>
          <t>វីអ៊ីស៊ិន (ខេមបូឌា) អ៊ិនដាសស្ទ្រី ឯ.ក</t>
        </is>
      </c>
      <c r="W825" s="556" t="n">
        <v>545718</v>
      </c>
    </row>
    <row r="826">
      <c r="A826" s="521" t="n">
        <v>818</v>
      </c>
      <c r="B826" s="522" t="n"/>
      <c r="C826" s="522" t="inlineStr">
        <is>
          <t>អ៊ិចស្ពែឌីធ័រ ខេមបូឌា អិលធីឌី</t>
        </is>
      </c>
      <c r="D826" s="522" t="inlineStr">
        <is>
          <t>L001-100045898</t>
        </is>
      </c>
      <c r="E826" s="521" t="inlineStr">
        <is>
          <t>TI-0193208</t>
        </is>
      </c>
      <c r="F826" s="523" t="n">
        <v>44232</v>
      </c>
      <c r="G826" s="556" t="n">
        <v>422366</v>
      </c>
      <c r="I826" s="521">
        <f>G826</f>
        <v/>
      </c>
      <c r="K826" s="521">
        <f>I826-G826</f>
        <v/>
      </c>
      <c r="M826" s="522" t="inlineStr">
        <is>
          <t>TI0193208</t>
        </is>
      </c>
      <c r="N826" s="522" t="inlineStr">
        <is>
          <t>TI0193208</t>
        </is>
      </c>
      <c r="O826" s="521">
        <f>M826=N826</f>
        <v/>
      </c>
      <c r="P826" s="521">
        <f>AND(MONTH(F826)=MONTH(S826), YEAR(F826)=YEAR(S826))</f>
        <v/>
      </c>
      <c r="Q826" s="521">
        <f>U826="L001-901905215"</f>
        <v/>
      </c>
      <c r="R826" s="556">
        <f>G826-W826</f>
        <v/>
      </c>
      <c r="S826" s="523" t="n">
        <v>44232</v>
      </c>
      <c r="T826" s="522" t="inlineStr">
        <is>
          <t>TI-0193208</t>
        </is>
      </c>
      <c r="U826" s="522" t="inlineStr">
        <is>
          <t>L001-901905215</t>
        </is>
      </c>
      <c r="V826" s="522" t="inlineStr">
        <is>
          <t>វីអ៊ីស៊ិន (ខេមបូឌា) អ៊ិនដាសស្ទ្រី ឯ.ក</t>
        </is>
      </c>
      <c r="W826" s="556" t="n">
        <v>422366</v>
      </c>
    </row>
    <row r="827">
      <c r="A827" s="521" t="n">
        <v>819</v>
      </c>
      <c r="B827" s="522" t="n"/>
      <c r="C827" s="522" t="inlineStr">
        <is>
          <t>អ៊ិចស្ពែឌីធ័រ ខេមបូឌា អិលធីឌី</t>
        </is>
      </c>
      <c r="D827" s="522" t="inlineStr">
        <is>
          <t>L001-100045898</t>
        </is>
      </c>
      <c r="E827" s="521" t="inlineStr">
        <is>
          <t>TI-0192988</t>
        </is>
      </c>
      <c r="F827" s="523" t="n">
        <v>44229</v>
      </c>
      <c r="G827" s="556" t="n">
        <v>83618</v>
      </c>
      <c r="I827" s="521">
        <f>G827</f>
        <v/>
      </c>
      <c r="K827" s="521">
        <f>I827-G827</f>
        <v/>
      </c>
      <c r="M827" s="522" t="inlineStr">
        <is>
          <t>TI0192988</t>
        </is>
      </c>
      <c r="N827" s="522" t="inlineStr">
        <is>
          <t>TI0192988</t>
        </is>
      </c>
      <c r="O827" s="521">
        <f>M827=N827</f>
        <v/>
      </c>
      <c r="P827" s="521">
        <f>AND(MONTH(F827)=MONTH(S827), YEAR(F827)=YEAR(S827))</f>
        <v/>
      </c>
      <c r="Q827" s="521">
        <f>U827="L001-901905215"</f>
        <v/>
      </c>
      <c r="R827" s="556">
        <f>G827-W827</f>
        <v/>
      </c>
      <c r="S827" s="523" t="n">
        <v>44229</v>
      </c>
      <c r="T827" s="522" t="inlineStr">
        <is>
          <t>TI-0192988</t>
        </is>
      </c>
      <c r="U827" s="522" t="inlineStr">
        <is>
          <t>L001-901905215</t>
        </is>
      </c>
      <c r="V827" s="522" t="inlineStr">
        <is>
          <t>វីអ៊ីស៊ិន (ខេមបូឌា) អ៊ិនដាសស្ទ្រី ឯ.ក</t>
        </is>
      </c>
      <c r="W827" s="556" t="n">
        <v>83618</v>
      </c>
    </row>
    <row r="828">
      <c r="A828" s="521" t="n">
        <v>820</v>
      </c>
      <c r="B828" s="522" t="n"/>
      <c r="C828" s="522" t="inlineStr">
        <is>
          <t>អ៊ិចស្ពែឌីធ័រ ខេមបូឌា អិលធីឌី</t>
        </is>
      </c>
      <c r="D828" s="522" t="inlineStr">
        <is>
          <t>L001-100045898</t>
        </is>
      </c>
      <c r="E828" s="521" t="inlineStr">
        <is>
          <t>TI-0192987</t>
        </is>
      </c>
      <c r="F828" s="523" t="n">
        <v>44229</v>
      </c>
      <c r="G828" s="556" t="n">
        <v>172119</v>
      </c>
      <c r="I828" s="521">
        <f>G828</f>
        <v/>
      </c>
      <c r="K828" s="521">
        <f>I828-G828</f>
        <v/>
      </c>
      <c r="M828" s="522" t="inlineStr">
        <is>
          <t>TI0192987</t>
        </is>
      </c>
      <c r="N828" s="522" t="inlineStr">
        <is>
          <t>TI0192987</t>
        </is>
      </c>
      <c r="O828" s="521">
        <f>M828=N828</f>
        <v/>
      </c>
      <c r="P828" s="521">
        <f>AND(MONTH(F828)=MONTH(S828), YEAR(F828)=YEAR(S828))</f>
        <v/>
      </c>
      <c r="Q828" s="521">
        <f>U828="L001-901905215"</f>
        <v/>
      </c>
      <c r="R828" s="556">
        <f>G828-W828</f>
        <v/>
      </c>
      <c r="S828" s="523" t="n">
        <v>44229</v>
      </c>
      <c r="T828" s="522" t="inlineStr">
        <is>
          <t>TI-0192987</t>
        </is>
      </c>
      <c r="U828" s="522" t="inlineStr">
        <is>
          <t>L001-901905215</t>
        </is>
      </c>
      <c r="V828" s="522" t="inlineStr">
        <is>
          <t>វីអ៊ីស៊ិន (ខេមបូឌា) អ៊ិនដាសស្ទ្រី ឯ.ក</t>
        </is>
      </c>
      <c r="W828" s="556" t="n">
        <v>172119</v>
      </c>
    </row>
    <row r="829">
      <c r="A829" s="521" t="n">
        <v>821</v>
      </c>
      <c r="B829" s="522" t="n"/>
      <c r="C829" s="522" t="inlineStr">
        <is>
          <t>អ៊ិចស្ពែឌីធ័រ ខេមបូឌា អិលធីឌី</t>
        </is>
      </c>
      <c r="D829" s="522" t="inlineStr">
        <is>
          <t>L001-100045898</t>
        </is>
      </c>
      <c r="E829" s="521" t="inlineStr">
        <is>
          <t>TI-0192880</t>
        </is>
      </c>
      <c r="F829" s="523" t="n">
        <v>44228</v>
      </c>
      <c r="G829" s="556" t="n">
        <v>9756</v>
      </c>
      <c r="I829" s="521">
        <f>G829</f>
        <v/>
      </c>
      <c r="K829" s="521">
        <f>I829-G829</f>
        <v/>
      </c>
      <c r="M829" s="522" t="inlineStr">
        <is>
          <t>TI0192880</t>
        </is>
      </c>
      <c r="N829" s="522" t="inlineStr">
        <is>
          <t>TI0192880</t>
        </is>
      </c>
      <c r="O829" s="521">
        <f>M829=N829</f>
        <v/>
      </c>
      <c r="P829" s="521">
        <f>AND(MONTH(F829)=MONTH(S829), YEAR(F829)=YEAR(S829))</f>
        <v/>
      </c>
      <c r="Q829" s="521">
        <f>U829="L001-901905215"</f>
        <v/>
      </c>
      <c r="R829" s="556">
        <f>G829-W829</f>
        <v/>
      </c>
      <c r="S829" s="523" t="n">
        <v>44228</v>
      </c>
      <c r="T829" s="522" t="inlineStr">
        <is>
          <t>TI-0192880</t>
        </is>
      </c>
      <c r="U829" s="522" t="inlineStr">
        <is>
          <t>L001-901905215</t>
        </is>
      </c>
      <c r="V829" s="522" t="inlineStr">
        <is>
          <t>វីអ៊ីស៊ិន (ខេមបូឌា) អ៊ិនដាសស្ទ្រី ឯ.ក</t>
        </is>
      </c>
      <c r="W829" s="556" t="n">
        <v>9756</v>
      </c>
    </row>
    <row r="830">
      <c r="A830" s="521" t="n">
        <v>822</v>
      </c>
      <c r="B830" s="522" t="n"/>
      <c r="C830" s="522" t="inlineStr">
        <is>
          <t>អ៊ិចស្ពែឌីធ័រ ខេមបូឌា អិលធីឌី</t>
        </is>
      </c>
      <c r="D830" s="522" t="inlineStr">
        <is>
          <t>L001-100045898</t>
        </is>
      </c>
      <c r="E830" s="521" t="inlineStr">
        <is>
          <t>TI-0192877</t>
        </is>
      </c>
      <c r="F830" s="523" t="n">
        <v>44228</v>
      </c>
      <c r="G830" s="556" t="n">
        <v>17073</v>
      </c>
      <c r="I830" s="521">
        <f>G830</f>
        <v/>
      </c>
      <c r="K830" s="521">
        <f>I830-G830</f>
        <v/>
      </c>
      <c r="M830" s="522" t="inlineStr">
        <is>
          <t>TI0192877</t>
        </is>
      </c>
      <c r="N830" s="522" t="inlineStr">
        <is>
          <t>TI0192877</t>
        </is>
      </c>
      <c r="O830" s="521">
        <f>M830=N830</f>
        <v/>
      </c>
      <c r="P830" s="521">
        <f>AND(MONTH(F830)=MONTH(S830), YEAR(F830)=YEAR(S830))</f>
        <v/>
      </c>
      <c r="Q830" s="521">
        <f>U830="L001-901905215"</f>
        <v/>
      </c>
      <c r="R830" s="556">
        <f>G830-W830</f>
        <v/>
      </c>
      <c r="S830" s="523" t="n">
        <v>44228</v>
      </c>
      <c r="T830" s="522" t="inlineStr">
        <is>
          <t>TI-0192877</t>
        </is>
      </c>
      <c r="U830" s="522" t="inlineStr">
        <is>
          <t>L001-901905215</t>
        </is>
      </c>
      <c r="V830" s="522" t="inlineStr">
        <is>
          <t>វីអ៊ីស៊ិន (ខេមបូឌា) អ៊ិនដាសស្ទ្រី ឯ.ក</t>
        </is>
      </c>
      <c r="W830" s="556" t="n">
        <v>17073</v>
      </c>
    </row>
    <row r="831">
      <c r="A831" s="521" t="n">
        <v>823</v>
      </c>
      <c r="B831" s="522" t="n"/>
      <c r="C831" s="522" t="inlineStr">
        <is>
          <t>56ប៊ី-លីង សឹបផ្លាយ ឆេន មេនេចម៉ិន ឯ.ក</t>
        </is>
      </c>
      <c r="D831" s="522" t="inlineStr">
        <is>
          <t>K004-902004795</t>
        </is>
      </c>
      <c r="E831" s="521" t="inlineStr">
        <is>
          <t>IN202102-0155</t>
        </is>
      </c>
      <c r="F831" s="523" t="n">
        <v>44252</v>
      </c>
      <c r="G831" s="556" t="n">
        <v>270722</v>
      </c>
      <c r="I831" s="521">
        <f>G831</f>
        <v/>
      </c>
      <c r="K831" s="521">
        <f>I831-G831</f>
        <v/>
      </c>
      <c r="M831" s="522" t="inlineStr">
        <is>
          <t>IN2021020155</t>
        </is>
      </c>
      <c r="N831" s="522" t="inlineStr"/>
      <c r="O831" s="521">
        <f>M831=N831</f>
        <v/>
      </c>
      <c r="P831" s="521">
        <f>AND(MONTH(F831)=MONTH(S831), YEAR(F831)=YEAR(S831))</f>
        <v/>
      </c>
      <c r="Q831" s="521">
        <f>U831="L001-901905215"</f>
        <v/>
      </c>
      <c r="R831" s="556">
        <f>G831-W831</f>
        <v/>
      </c>
      <c r="S831" s="521" t="n"/>
      <c r="T831" s="522" t="n"/>
      <c r="U831" s="522" t="n"/>
      <c r="V831" s="522" t="n"/>
      <c r="W831" s="521" t="n"/>
    </row>
    <row r="832">
      <c r="A832" s="521" t="n">
        <v>824</v>
      </c>
      <c r="B832" s="522" t="n"/>
      <c r="C832" s="522" t="inlineStr">
        <is>
          <t>56ប៊ី-លីង សឹបផ្លាយ ឆេន មេនេចម៉ិន ឯ.ក</t>
        </is>
      </c>
      <c r="D832" s="522" t="inlineStr">
        <is>
          <t>K004-902004795</t>
        </is>
      </c>
      <c r="E832" s="521" t="inlineStr">
        <is>
          <t>IN202102-0118</t>
        </is>
      </c>
      <c r="F832" s="523" t="n">
        <v>44252</v>
      </c>
      <c r="G832" s="556" t="n">
        <v>911904</v>
      </c>
      <c r="I832" s="521">
        <f>G832</f>
        <v/>
      </c>
      <c r="K832" s="521">
        <f>I832-G832</f>
        <v/>
      </c>
      <c r="M832" s="522" t="inlineStr">
        <is>
          <t>IN2021020118</t>
        </is>
      </c>
      <c r="N832" s="522" t="inlineStr"/>
      <c r="O832" s="521">
        <f>M832=N832</f>
        <v/>
      </c>
      <c r="P832" s="521">
        <f>AND(MONTH(F832)=MONTH(S832), YEAR(F832)=YEAR(S832))</f>
        <v/>
      </c>
      <c r="Q832" s="521">
        <f>U832="L001-901905215"</f>
        <v/>
      </c>
      <c r="R832" s="556">
        <f>G832-W832</f>
        <v/>
      </c>
      <c r="S832" s="521" t="n"/>
      <c r="T832" s="522" t="n"/>
      <c r="U832" s="522" t="n"/>
      <c r="V832" s="522" t="n"/>
      <c r="W832" s="521" t="n"/>
    </row>
    <row r="833">
      <c r="A833" s="521" t="n">
        <v>825</v>
      </c>
      <c r="B833" s="522" t="n"/>
      <c r="C833" s="522" t="inlineStr">
        <is>
          <t>56ប៊ី-លីង សឹបផ្លាយ ឆេន មេនេចម៉ិន ឯ.ក</t>
        </is>
      </c>
      <c r="D833" s="522" t="inlineStr">
        <is>
          <t>K004-902004795</t>
        </is>
      </c>
      <c r="E833" s="521" t="inlineStr">
        <is>
          <t>IN202102-0112</t>
        </is>
      </c>
      <c r="F833" s="523" t="n">
        <v>44252</v>
      </c>
      <c r="G833" s="556" t="n">
        <v>225941</v>
      </c>
      <c r="I833" s="521">
        <f>G833</f>
        <v/>
      </c>
      <c r="K833" s="521">
        <f>I833-G833</f>
        <v/>
      </c>
      <c r="M833" s="522" t="inlineStr">
        <is>
          <t>IN2021020112</t>
        </is>
      </c>
      <c r="N833" s="522" t="inlineStr"/>
      <c r="O833" s="521">
        <f>M833=N833</f>
        <v/>
      </c>
      <c r="P833" s="521">
        <f>AND(MONTH(F833)=MONTH(S833), YEAR(F833)=YEAR(S833))</f>
        <v/>
      </c>
      <c r="Q833" s="521">
        <f>U833="L001-901905215"</f>
        <v/>
      </c>
      <c r="R833" s="556">
        <f>G833-W833</f>
        <v/>
      </c>
      <c r="S833" s="521" t="n"/>
      <c r="T833" s="522" t="n"/>
      <c r="U833" s="522" t="n"/>
      <c r="V833" s="522" t="n"/>
      <c r="W833" s="521" t="n"/>
    </row>
    <row r="834">
      <c r="A834" s="521" t="n">
        <v>826</v>
      </c>
      <c r="B834" s="522" t="n"/>
      <c r="C834" s="522" t="inlineStr">
        <is>
          <t>56ប៊ី-លីង សឹបផ្លាយ ឆេន មេនេចម៉ិន ឯ.ក</t>
        </is>
      </c>
      <c r="D834" s="522" t="inlineStr">
        <is>
          <t>K004-902004795</t>
        </is>
      </c>
      <c r="E834" s="521" t="inlineStr">
        <is>
          <t>IN202102-0111</t>
        </is>
      </c>
      <c r="F834" s="523" t="n">
        <v>44252</v>
      </c>
      <c r="G834" s="556" t="n">
        <v>185231</v>
      </c>
      <c r="I834" s="521">
        <f>G834</f>
        <v/>
      </c>
      <c r="K834" s="521">
        <f>I834-G834</f>
        <v/>
      </c>
      <c r="M834" s="522" t="inlineStr">
        <is>
          <t>IN2021020111</t>
        </is>
      </c>
      <c r="N834" s="522" t="inlineStr"/>
      <c r="O834" s="521">
        <f>M834=N834</f>
        <v/>
      </c>
      <c r="P834" s="521">
        <f>AND(MONTH(F834)=MONTH(S834), YEAR(F834)=YEAR(S834))</f>
        <v/>
      </c>
      <c r="Q834" s="521">
        <f>U834="L001-901905215"</f>
        <v/>
      </c>
      <c r="R834" s="556">
        <f>G834-W834</f>
        <v/>
      </c>
      <c r="S834" s="521" t="n"/>
      <c r="T834" s="522" t="n"/>
      <c r="U834" s="522" t="n"/>
      <c r="V834" s="522" t="n"/>
      <c r="W834" s="521" t="n"/>
    </row>
    <row r="835">
      <c r="A835" s="521" t="n">
        <v>827</v>
      </c>
      <c r="B835" s="522" t="n"/>
      <c r="C835" s="522" t="inlineStr">
        <is>
          <t>56ប៊ី-លីង សឹបផ្លាយ ឆេន មេនេចម៉ិន ឯ.ក</t>
        </is>
      </c>
      <c r="D835" s="522" t="inlineStr">
        <is>
          <t>K004-902004795</t>
        </is>
      </c>
      <c r="E835" s="521" t="inlineStr">
        <is>
          <t>IN202102-0110</t>
        </is>
      </c>
      <c r="F835" s="523" t="n">
        <v>44252</v>
      </c>
      <c r="G835" s="556" t="n">
        <v>211692</v>
      </c>
      <c r="I835" s="521">
        <f>G835</f>
        <v/>
      </c>
      <c r="K835" s="521">
        <f>I835-G835</f>
        <v/>
      </c>
      <c r="M835" s="522" t="inlineStr">
        <is>
          <t>IN2021020110</t>
        </is>
      </c>
      <c r="N835" s="522" t="inlineStr"/>
      <c r="O835" s="521">
        <f>M835=N835</f>
        <v/>
      </c>
      <c r="P835" s="521">
        <f>AND(MONTH(F835)=MONTH(S835), YEAR(F835)=YEAR(S835))</f>
        <v/>
      </c>
      <c r="Q835" s="521">
        <f>U835="L001-901905215"</f>
        <v/>
      </c>
      <c r="R835" s="556">
        <f>G835-W835</f>
        <v/>
      </c>
      <c r="S835" s="521" t="n"/>
      <c r="T835" s="522" t="n"/>
      <c r="U835" s="522" t="n"/>
      <c r="V835" s="522" t="n"/>
      <c r="W835" s="521" t="n"/>
    </row>
    <row r="836">
      <c r="A836" s="521" t="n">
        <v>828</v>
      </c>
      <c r="B836" s="522" t="n"/>
      <c r="C836" s="522" t="inlineStr">
        <is>
          <t>56ប៊ី-លីង សឹបផ្លាយ ឆេន មេនេចម៉ិន ឯ.ក</t>
        </is>
      </c>
      <c r="D836" s="522" t="inlineStr">
        <is>
          <t>K004-902004795</t>
        </is>
      </c>
      <c r="E836" s="521" t="inlineStr">
        <is>
          <t>IN202102-0109</t>
        </is>
      </c>
      <c r="F836" s="523" t="n">
        <v>44252</v>
      </c>
      <c r="G836" s="556" t="n">
        <v>201515</v>
      </c>
      <c r="I836" s="521">
        <f>G836</f>
        <v/>
      </c>
      <c r="K836" s="521">
        <f>I836-G836</f>
        <v/>
      </c>
      <c r="M836" s="522" t="inlineStr">
        <is>
          <t>IN2021020109</t>
        </is>
      </c>
      <c r="N836" s="522" t="inlineStr"/>
      <c r="O836" s="521">
        <f>M836=N836</f>
        <v/>
      </c>
      <c r="P836" s="521">
        <f>AND(MONTH(F836)=MONTH(S836), YEAR(F836)=YEAR(S836))</f>
        <v/>
      </c>
      <c r="Q836" s="521">
        <f>U836="L001-901905215"</f>
        <v/>
      </c>
      <c r="R836" s="556">
        <f>G836-W836</f>
        <v/>
      </c>
      <c r="S836" s="521" t="n"/>
      <c r="T836" s="522" t="n"/>
      <c r="U836" s="522" t="n"/>
      <c r="V836" s="522" t="n"/>
      <c r="W836" s="521" t="n"/>
    </row>
    <row r="837">
      <c r="A837" s="521" t="n">
        <v>829</v>
      </c>
      <c r="B837" s="522" t="n"/>
      <c r="C837" s="522" t="inlineStr">
        <is>
          <t>56ប៊ី-លីង សឹបផ្លាយ ឆេន មេនេចម៉ិន ឯ.ក</t>
        </is>
      </c>
      <c r="D837" s="522" t="inlineStr">
        <is>
          <t>K004-902004795</t>
        </is>
      </c>
      <c r="E837" s="521" t="inlineStr">
        <is>
          <t>IN202102-0108</t>
        </is>
      </c>
      <c r="F837" s="523" t="n">
        <v>44252</v>
      </c>
      <c r="G837" s="556" t="n">
        <v>211692</v>
      </c>
      <c r="I837" s="521">
        <f>G837</f>
        <v/>
      </c>
      <c r="K837" s="521">
        <f>I837-G837</f>
        <v/>
      </c>
      <c r="M837" s="522" t="inlineStr">
        <is>
          <t>IN2021020108</t>
        </is>
      </c>
      <c r="N837" s="522" t="inlineStr"/>
      <c r="O837" s="521">
        <f>M837=N837</f>
        <v/>
      </c>
      <c r="P837" s="521">
        <f>AND(MONTH(F837)=MONTH(S837), YEAR(F837)=YEAR(S837))</f>
        <v/>
      </c>
      <c r="Q837" s="521">
        <f>U837="L001-901905215"</f>
        <v/>
      </c>
      <c r="R837" s="556">
        <f>G837-W837</f>
        <v/>
      </c>
      <c r="S837" s="521" t="n"/>
      <c r="T837" s="522" t="n"/>
      <c r="U837" s="522" t="n"/>
      <c r="V837" s="522" t="n"/>
      <c r="W837" s="521" t="n"/>
    </row>
    <row r="838">
      <c r="A838" s="521" t="n">
        <v>830</v>
      </c>
      <c r="B838" s="522" t="n"/>
      <c r="C838" s="522" t="inlineStr">
        <is>
          <t>56ប៊ី-លីង សឹបផ្លាយ ឆេន មេនេចម៉ិន ឯ.ក</t>
        </is>
      </c>
      <c r="D838" s="522" t="inlineStr">
        <is>
          <t>K004-902004795</t>
        </is>
      </c>
      <c r="E838" s="521" t="inlineStr">
        <is>
          <t>IN202102-0107</t>
        </is>
      </c>
      <c r="F838" s="523" t="n">
        <v>44252</v>
      </c>
      <c r="G838" s="556" t="n">
        <v>211692</v>
      </c>
      <c r="I838" s="521">
        <f>G838</f>
        <v/>
      </c>
      <c r="K838" s="521">
        <f>I838-G838</f>
        <v/>
      </c>
      <c r="M838" s="522" t="inlineStr">
        <is>
          <t>IN2021020107</t>
        </is>
      </c>
      <c r="N838" s="522" t="inlineStr"/>
      <c r="O838" s="521">
        <f>M838=N838</f>
        <v/>
      </c>
      <c r="P838" s="521">
        <f>AND(MONTH(F838)=MONTH(S838), YEAR(F838)=YEAR(S838))</f>
        <v/>
      </c>
      <c r="Q838" s="521">
        <f>U838="L001-901905215"</f>
        <v/>
      </c>
      <c r="R838" s="556">
        <f>G838-W838</f>
        <v/>
      </c>
      <c r="S838" s="521" t="n"/>
      <c r="T838" s="522" t="n"/>
      <c r="U838" s="522" t="n"/>
      <c r="V838" s="522" t="n"/>
      <c r="W838" s="521" t="n"/>
    </row>
    <row r="839">
      <c r="A839" s="521" t="n">
        <v>831</v>
      </c>
      <c r="B839" s="522" t="n"/>
      <c r="C839" s="522" t="inlineStr">
        <is>
          <t>56ប៊ី-លីង សឹបផ្លាយ ឆេន មេនេចម៉ិន ឯ.ក</t>
        </is>
      </c>
      <c r="D839" s="522" t="inlineStr">
        <is>
          <t>K004-902004795</t>
        </is>
      </c>
      <c r="E839" s="521" t="inlineStr">
        <is>
          <t>IN202102-0106</t>
        </is>
      </c>
      <c r="F839" s="523" t="n">
        <v>44252</v>
      </c>
      <c r="G839" s="556" t="n">
        <v>211692</v>
      </c>
      <c r="I839" s="521">
        <f>G839</f>
        <v/>
      </c>
      <c r="K839" s="521">
        <f>I839-G839</f>
        <v/>
      </c>
      <c r="M839" s="522" t="inlineStr">
        <is>
          <t>IN2021020106</t>
        </is>
      </c>
      <c r="N839" s="522" t="inlineStr"/>
      <c r="O839" s="521">
        <f>M839=N839</f>
        <v/>
      </c>
      <c r="P839" s="521">
        <f>AND(MONTH(F839)=MONTH(S839), YEAR(F839)=YEAR(S839))</f>
        <v/>
      </c>
      <c r="Q839" s="521">
        <f>U839="L001-901905215"</f>
        <v/>
      </c>
      <c r="R839" s="556">
        <f>G839-W839</f>
        <v/>
      </c>
      <c r="S839" s="521" t="n"/>
      <c r="T839" s="522" t="n"/>
      <c r="U839" s="522" t="n"/>
      <c r="V839" s="522" t="n"/>
      <c r="W839" s="521" t="n"/>
    </row>
    <row r="840">
      <c r="A840" s="521" t="n">
        <v>832</v>
      </c>
      <c r="B840" s="522" t="n"/>
      <c r="C840" s="522" t="inlineStr">
        <is>
          <t>56ប៊ី-លីង សឹបផ្លាយ ឆេន មេនេចម៉ិន ឯ.ក</t>
        </is>
      </c>
      <c r="D840" s="522" t="inlineStr">
        <is>
          <t>K004-902004795</t>
        </is>
      </c>
      <c r="E840" s="521" t="inlineStr">
        <is>
          <t>IN202102-0105</t>
        </is>
      </c>
      <c r="F840" s="523" t="n">
        <v>44252</v>
      </c>
      <c r="G840" s="556" t="n">
        <v>211692</v>
      </c>
      <c r="I840" s="521">
        <f>G840</f>
        <v/>
      </c>
      <c r="K840" s="521">
        <f>I840-G840</f>
        <v/>
      </c>
      <c r="M840" s="522" t="inlineStr">
        <is>
          <t>IN2021020105</t>
        </is>
      </c>
      <c r="N840" s="522" t="inlineStr"/>
      <c r="O840" s="521">
        <f>M840=N840</f>
        <v/>
      </c>
      <c r="P840" s="521">
        <f>AND(MONTH(F840)=MONTH(S840), YEAR(F840)=YEAR(S840))</f>
        <v/>
      </c>
      <c r="Q840" s="521">
        <f>U840="L001-901905215"</f>
        <v/>
      </c>
      <c r="R840" s="556">
        <f>G840-W840</f>
        <v/>
      </c>
      <c r="S840" s="521" t="n"/>
      <c r="T840" s="522" t="n"/>
      <c r="U840" s="522" t="n"/>
      <c r="V840" s="522" t="n"/>
      <c r="W840" s="521" t="n"/>
    </row>
    <row r="841">
      <c r="A841" s="521" t="n">
        <v>833</v>
      </c>
      <c r="B841" s="522" t="n"/>
      <c r="C841" s="522" t="inlineStr">
        <is>
          <t>56ប៊ី-លីង សឹបផ្លាយ ឆេន មេនេចម៉ិន ឯ.ក</t>
        </is>
      </c>
      <c r="D841" s="522" t="inlineStr">
        <is>
          <t>K004-902004795</t>
        </is>
      </c>
      <c r="E841" s="521" t="inlineStr">
        <is>
          <t>IN202102-0104</t>
        </is>
      </c>
      <c r="F841" s="523" t="n">
        <v>44252</v>
      </c>
      <c r="G841" s="556" t="n">
        <v>211692</v>
      </c>
      <c r="I841" s="521">
        <f>G841</f>
        <v/>
      </c>
      <c r="K841" s="521">
        <f>I841-G841</f>
        <v/>
      </c>
      <c r="M841" s="522" t="inlineStr">
        <is>
          <t>IN2021020104</t>
        </is>
      </c>
      <c r="N841" s="522" t="inlineStr"/>
      <c r="O841" s="521">
        <f>M841=N841</f>
        <v/>
      </c>
      <c r="P841" s="521">
        <f>AND(MONTH(F841)=MONTH(S841), YEAR(F841)=YEAR(S841))</f>
        <v/>
      </c>
      <c r="Q841" s="521">
        <f>U841="L001-901905215"</f>
        <v/>
      </c>
      <c r="R841" s="556">
        <f>G841-W841</f>
        <v/>
      </c>
      <c r="S841" s="521" t="n"/>
      <c r="T841" s="522" t="n"/>
      <c r="U841" s="522" t="n"/>
      <c r="V841" s="522" t="n"/>
      <c r="W841" s="521" t="n"/>
    </row>
    <row r="842">
      <c r="A842" s="521" t="n">
        <v>834</v>
      </c>
      <c r="B842" s="522" t="n"/>
      <c r="C842" s="522" t="inlineStr">
        <is>
          <t>56ប៊ី-លីង សឹបផ្លាយ ឆេន មេនេចម៉ិន ឯ.ក</t>
        </is>
      </c>
      <c r="D842" s="522" t="inlineStr">
        <is>
          <t>K004-902004795</t>
        </is>
      </c>
      <c r="E842" s="521" t="inlineStr">
        <is>
          <t>IN202102-0103</t>
        </is>
      </c>
      <c r="F842" s="523" t="n">
        <v>44252</v>
      </c>
      <c r="G842" s="556" t="n">
        <v>211692</v>
      </c>
      <c r="I842" s="521">
        <f>G842</f>
        <v/>
      </c>
      <c r="K842" s="521">
        <f>I842-G842</f>
        <v/>
      </c>
      <c r="M842" s="522" t="inlineStr">
        <is>
          <t>IN2021020103</t>
        </is>
      </c>
      <c r="N842" s="522" t="inlineStr"/>
      <c r="O842" s="521">
        <f>M842=N842</f>
        <v/>
      </c>
      <c r="P842" s="521">
        <f>AND(MONTH(F842)=MONTH(S842), YEAR(F842)=YEAR(S842))</f>
        <v/>
      </c>
      <c r="Q842" s="521">
        <f>U842="L001-901905215"</f>
        <v/>
      </c>
      <c r="R842" s="556">
        <f>G842-W842</f>
        <v/>
      </c>
      <c r="S842" s="521" t="n"/>
      <c r="T842" s="522" t="n"/>
      <c r="U842" s="522" t="n"/>
      <c r="V842" s="522" t="n"/>
      <c r="W842" s="521" t="n"/>
    </row>
    <row r="843">
      <c r="A843" s="521" t="n">
        <v>835</v>
      </c>
      <c r="B843" s="522" t="n"/>
      <c r="C843" s="522" t="inlineStr">
        <is>
          <t>56ប៊ី-លីង សឹបផ្លាយ ឆេន មេនេចម៉ិន ឯ.ក</t>
        </is>
      </c>
      <c r="D843" s="522" t="inlineStr">
        <is>
          <t>K004-902004795</t>
        </is>
      </c>
      <c r="E843" s="521" t="inlineStr">
        <is>
          <t>IN202102-0102</t>
        </is>
      </c>
      <c r="F843" s="523" t="n">
        <v>44252</v>
      </c>
      <c r="G843" s="556" t="n">
        <v>211692</v>
      </c>
      <c r="I843" s="521">
        <f>G843</f>
        <v/>
      </c>
      <c r="K843" s="521">
        <f>I843-G843</f>
        <v/>
      </c>
      <c r="M843" s="522" t="inlineStr">
        <is>
          <t>IN2021020102</t>
        </is>
      </c>
      <c r="N843" s="522" t="inlineStr"/>
      <c r="O843" s="521">
        <f>M843=N843</f>
        <v/>
      </c>
      <c r="P843" s="521">
        <f>AND(MONTH(F843)=MONTH(S843), YEAR(F843)=YEAR(S843))</f>
        <v/>
      </c>
      <c r="Q843" s="521">
        <f>U843="L001-901905215"</f>
        <v/>
      </c>
      <c r="R843" s="556">
        <f>G843-W843</f>
        <v/>
      </c>
      <c r="S843" s="521" t="n"/>
      <c r="T843" s="522" t="n"/>
      <c r="U843" s="522" t="n"/>
      <c r="V843" s="522" t="n"/>
      <c r="W843" s="521" t="n"/>
    </row>
    <row r="844">
      <c r="A844" s="521" t="n">
        <v>836</v>
      </c>
      <c r="B844" s="522" t="n"/>
      <c r="C844" s="522" t="inlineStr">
        <is>
          <t>56ប៊ី-លីង សឹបផ្លាយ ឆេន មេនេចម៉ិន ឯ.ក</t>
        </is>
      </c>
      <c r="D844" s="522" t="inlineStr">
        <is>
          <t>K004-902004795</t>
        </is>
      </c>
      <c r="E844" s="521" t="inlineStr">
        <is>
          <t>IN202102-0101</t>
        </is>
      </c>
      <c r="F844" s="523" t="n">
        <v>44252</v>
      </c>
      <c r="G844" s="556" t="n">
        <v>211692</v>
      </c>
      <c r="I844" s="521">
        <f>G844</f>
        <v/>
      </c>
      <c r="K844" s="521">
        <f>I844-G844</f>
        <v/>
      </c>
      <c r="M844" s="522" t="inlineStr">
        <is>
          <t>IN2021020101</t>
        </is>
      </c>
      <c r="N844" s="522" t="inlineStr"/>
      <c r="O844" s="521">
        <f>M844=N844</f>
        <v/>
      </c>
      <c r="P844" s="521">
        <f>AND(MONTH(F844)=MONTH(S844), YEAR(F844)=YEAR(S844))</f>
        <v/>
      </c>
      <c r="Q844" s="521">
        <f>U844="L001-901905215"</f>
        <v/>
      </c>
      <c r="R844" s="556">
        <f>G844-W844</f>
        <v/>
      </c>
      <c r="S844" s="521" t="n"/>
      <c r="T844" s="522" t="n"/>
      <c r="U844" s="522" t="n"/>
      <c r="V844" s="522" t="n"/>
      <c r="W844" s="521" t="n"/>
    </row>
    <row r="845">
      <c r="A845" s="521" t="n">
        <v>837</v>
      </c>
      <c r="B845" s="522" t="n"/>
      <c r="C845" s="522" t="inlineStr">
        <is>
          <t>56ប៊ី-លីង សឹបផ្លាយ ឆេន មេនេចម៉ិន ឯ.ក</t>
        </is>
      </c>
      <c r="D845" s="522" t="inlineStr">
        <is>
          <t>K004-902004795</t>
        </is>
      </c>
      <c r="E845" s="521" t="inlineStr">
        <is>
          <t>IN202102-0100</t>
        </is>
      </c>
      <c r="F845" s="523" t="n">
        <v>44252</v>
      </c>
      <c r="G845" s="556" t="n">
        <v>537372</v>
      </c>
      <c r="I845" s="521">
        <f>G845</f>
        <v/>
      </c>
      <c r="K845" s="521">
        <f>I845-G845</f>
        <v/>
      </c>
      <c r="M845" s="522" t="inlineStr">
        <is>
          <t>IN2021020100</t>
        </is>
      </c>
      <c r="N845" s="522" t="inlineStr"/>
      <c r="O845" s="521">
        <f>M845=N845</f>
        <v/>
      </c>
      <c r="P845" s="521">
        <f>AND(MONTH(F845)=MONTH(S845), YEAR(F845)=YEAR(S845))</f>
        <v/>
      </c>
      <c r="Q845" s="521">
        <f>U845="L001-901905215"</f>
        <v/>
      </c>
      <c r="R845" s="556">
        <f>G845-W845</f>
        <v/>
      </c>
      <c r="S845" s="521" t="n"/>
      <c r="T845" s="522" t="n"/>
      <c r="U845" s="522" t="n"/>
      <c r="V845" s="522" t="n"/>
      <c r="W845" s="521" t="n"/>
    </row>
    <row r="846">
      <c r="A846" s="521" t="n">
        <v>838</v>
      </c>
      <c r="B846" s="522" t="n"/>
      <c r="C846" s="522" t="inlineStr">
        <is>
          <t>56ប៊ី-លីង សឹបផ្លាយ ឆេន មេនេចម៉ិន ឯ.ក</t>
        </is>
      </c>
      <c r="D846" s="522" t="inlineStr">
        <is>
          <t>K004-902004795</t>
        </is>
      </c>
      <c r="E846" s="521" t="inlineStr">
        <is>
          <t>IN202102-0099</t>
        </is>
      </c>
      <c r="F846" s="523" t="n">
        <v>44252</v>
      </c>
      <c r="G846" s="556" t="n">
        <v>303290</v>
      </c>
      <c r="I846" s="521">
        <f>G846</f>
        <v/>
      </c>
      <c r="K846" s="521">
        <f>I846-G846</f>
        <v/>
      </c>
      <c r="M846" s="522" t="inlineStr">
        <is>
          <t>IN2021020099</t>
        </is>
      </c>
      <c r="N846" s="522" t="inlineStr"/>
      <c r="O846" s="521">
        <f>M846=N846</f>
        <v/>
      </c>
      <c r="P846" s="521">
        <f>AND(MONTH(F846)=MONTH(S846), YEAR(F846)=YEAR(S846))</f>
        <v/>
      </c>
      <c r="Q846" s="521">
        <f>U846="L001-901905215"</f>
        <v/>
      </c>
      <c r="R846" s="556">
        <f>G846-W846</f>
        <v/>
      </c>
      <c r="S846" s="521" t="n"/>
      <c r="T846" s="522" t="n"/>
      <c r="U846" s="522" t="n"/>
      <c r="V846" s="522" t="n"/>
      <c r="W846" s="521" t="n"/>
    </row>
    <row r="847">
      <c r="A847" s="521" t="n">
        <v>839</v>
      </c>
      <c r="B847" s="522" t="n"/>
      <c r="C847" s="522" t="inlineStr">
        <is>
          <t>56ប៊ី-លីង សឹបផ្លាយ ឆេន មេនេចម៉ិន ឯ.ក</t>
        </is>
      </c>
      <c r="D847" s="522" t="inlineStr">
        <is>
          <t>K004-902004795</t>
        </is>
      </c>
      <c r="E847" s="521" t="inlineStr">
        <is>
          <t>IN202102-0098</t>
        </is>
      </c>
      <c r="F847" s="523" t="n">
        <v>44252</v>
      </c>
      <c r="G847" s="556" t="n">
        <v>201515</v>
      </c>
      <c r="I847" s="521">
        <f>G847</f>
        <v/>
      </c>
      <c r="K847" s="521">
        <f>I847-G847</f>
        <v/>
      </c>
      <c r="M847" s="522" t="inlineStr">
        <is>
          <t>IN2021020098</t>
        </is>
      </c>
      <c r="N847" s="522" t="inlineStr"/>
      <c r="O847" s="521">
        <f>M847=N847</f>
        <v/>
      </c>
      <c r="P847" s="521">
        <f>AND(MONTH(F847)=MONTH(S847), YEAR(F847)=YEAR(S847))</f>
        <v/>
      </c>
      <c r="Q847" s="521">
        <f>U847="L001-901905215"</f>
        <v/>
      </c>
      <c r="R847" s="556">
        <f>G847-W847</f>
        <v/>
      </c>
      <c r="S847" s="521" t="n"/>
      <c r="T847" s="522" t="n"/>
      <c r="U847" s="522" t="n"/>
      <c r="V847" s="522" t="n"/>
      <c r="W847" s="521" t="n"/>
    </row>
    <row r="848">
      <c r="A848" s="521" t="n">
        <v>840</v>
      </c>
      <c r="B848" s="522" t="n"/>
      <c r="C848" s="522" t="inlineStr">
        <is>
          <t>56ប៊ី-លីង សឹបផ្លាយ ឆេន មេនេចម៉ិន ឯ.ក</t>
        </is>
      </c>
      <c r="D848" s="522" t="inlineStr">
        <is>
          <t>K004-902004795</t>
        </is>
      </c>
      <c r="E848" s="521" t="inlineStr">
        <is>
          <t>IN202102-0096</t>
        </is>
      </c>
      <c r="F848" s="523" t="n">
        <v>44252</v>
      </c>
      <c r="G848" s="556" t="n">
        <v>270722</v>
      </c>
      <c r="I848" s="521">
        <f>G848</f>
        <v/>
      </c>
      <c r="K848" s="521">
        <f>I848-G848</f>
        <v/>
      </c>
      <c r="M848" s="522" t="inlineStr">
        <is>
          <t>IN2021020096</t>
        </is>
      </c>
      <c r="N848" s="522" t="inlineStr"/>
      <c r="O848" s="521">
        <f>M848=N848</f>
        <v/>
      </c>
      <c r="P848" s="521">
        <f>AND(MONTH(F848)=MONTH(S848), YEAR(F848)=YEAR(S848))</f>
        <v/>
      </c>
      <c r="Q848" s="521">
        <f>U848="L001-901905215"</f>
        <v/>
      </c>
      <c r="R848" s="556">
        <f>G848-W848</f>
        <v/>
      </c>
      <c r="S848" s="521" t="n"/>
      <c r="T848" s="522" t="n"/>
      <c r="U848" s="522" t="n"/>
      <c r="V848" s="522" t="n"/>
      <c r="W848" s="521" t="n"/>
    </row>
    <row r="849">
      <c r="A849" s="521" t="n">
        <v>841</v>
      </c>
      <c r="B849" s="522" t="n"/>
      <c r="C849" s="522" t="inlineStr">
        <is>
          <t>56ប៊ី-លីង សឹបផ្លាយ ឆេន មេនេចម៉ិន ឯ.ក</t>
        </is>
      </c>
      <c r="D849" s="522" t="inlineStr">
        <is>
          <t>K004-902004795</t>
        </is>
      </c>
      <c r="E849" s="521" t="inlineStr">
        <is>
          <t>IN202102-0095</t>
        </is>
      </c>
      <c r="F849" s="523" t="n">
        <v>44252</v>
      </c>
      <c r="G849" s="556" t="n">
        <v>185231</v>
      </c>
      <c r="I849" s="521">
        <f>G849</f>
        <v/>
      </c>
      <c r="K849" s="521">
        <f>I849-G849</f>
        <v/>
      </c>
      <c r="M849" s="522" t="inlineStr">
        <is>
          <t>IN2021020095</t>
        </is>
      </c>
      <c r="N849" s="522" t="inlineStr"/>
      <c r="O849" s="521">
        <f>M849=N849</f>
        <v/>
      </c>
      <c r="P849" s="521">
        <f>AND(MONTH(F849)=MONTH(S849), YEAR(F849)=YEAR(S849))</f>
        <v/>
      </c>
      <c r="Q849" s="521">
        <f>U849="L001-901905215"</f>
        <v/>
      </c>
      <c r="R849" s="556">
        <f>G849-W849</f>
        <v/>
      </c>
      <c r="S849" s="521" t="n"/>
      <c r="T849" s="522" t="n"/>
      <c r="U849" s="522" t="n"/>
      <c r="V849" s="522" t="n"/>
      <c r="W849" s="521" t="n"/>
    </row>
    <row r="850">
      <c r="A850" s="521" t="n">
        <v>842</v>
      </c>
      <c r="B850" s="522" t="n"/>
      <c r="C850" s="522" t="inlineStr">
        <is>
          <t>56ប៊ី-លីង សឹបផ្លាយ ឆេន មេនេចម៉ិន ឯ.ក</t>
        </is>
      </c>
      <c r="D850" s="522" t="inlineStr">
        <is>
          <t>K004-902004795</t>
        </is>
      </c>
      <c r="E850" s="521" t="inlineStr">
        <is>
          <t>IN202102-0094</t>
        </is>
      </c>
      <c r="F850" s="523" t="n">
        <v>44252</v>
      </c>
      <c r="G850" s="556" t="n">
        <v>270722</v>
      </c>
      <c r="I850" s="521">
        <f>G850</f>
        <v/>
      </c>
      <c r="K850" s="521">
        <f>I850-G850</f>
        <v/>
      </c>
      <c r="M850" s="522" t="inlineStr">
        <is>
          <t>IN2021020094</t>
        </is>
      </c>
      <c r="N850" s="522" t="inlineStr"/>
      <c r="O850" s="521">
        <f>M850=N850</f>
        <v/>
      </c>
      <c r="P850" s="521">
        <f>AND(MONTH(F850)=MONTH(S850), YEAR(F850)=YEAR(S850))</f>
        <v/>
      </c>
      <c r="Q850" s="521">
        <f>U850="L001-901905215"</f>
        <v/>
      </c>
      <c r="R850" s="556">
        <f>G850-W850</f>
        <v/>
      </c>
      <c r="S850" s="521" t="n"/>
      <c r="T850" s="522" t="n"/>
      <c r="U850" s="522" t="n"/>
      <c r="V850" s="522" t="n"/>
      <c r="W850" s="521" t="n"/>
    </row>
    <row r="851">
      <c r="A851" s="521" t="n">
        <v>843</v>
      </c>
      <c r="B851" s="522" t="n"/>
      <c r="C851" s="522" t="inlineStr">
        <is>
          <t>56ប៊ី-លីង សឹបផ្លាយ ឆេន មេនេចម៉ិន ឯ.ក</t>
        </is>
      </c>
      <c r="D851" s="522" t="inlineStr">
        <is>
          <t>K004-902004795</t>
        </is>
      </c>
      <c r="E851" s="521" t="inlineStr">
        <is>
          <t>IN202102-0093</t>
        </is>
      </c>
      <c r="F851" s="523" t="n">
        <v>44252</v>
      </c>
      <c r="G851" s="556" t="n">
        <v>484449</v>
      </c>
      <c r="I851" s="521">
        <f>G851</f>
        <v/>
      </c>
      <c r="K851" s="521">
        <f>I851-G851</f>
        <v/>
      </c>
      <c r="M851" s="522" t="inlineStr">
        <is>
          <t>IN2021020093</t>
        </is>
      </c>
      <c r="N851" s="522" t="inlineStr"/>
      <c r="O851" s="521">
        <f>M851=N851</f>
        <v/>
      </c>
      <c r="P851" s="521">
        <f>AND(MONTH(F851)=MONTH(S851), YEAR(F851)=YEAR(S851))</f>
        <v/>
      </c>
      <c r="Q851" s="521">
        <f>U851="L001-901905215"</f>
        <v/>
      </c>
      <c r="R851" s="556">
        <f>G851-W851</f>
        <v/>
      </c>
      <c r="S851" s="521" t="n"/>
      <c r="T851" s="522" t="n"/>
      <c r="U851" s="522" t="n"/>
      <c r="V851" s="522" t="n"/>
      <c r="W851" s="521" t="n"/>
    </row>
    <row r="852">
      <c r="A852" s="521" t="n">
        <v>844</v>
      </c>
      <c r="B852" s="522" t="n"/>
      <c r="C852" s="522" t="inlineStr">
        <is>
          <t>56ប៊ី-លីង សឹបផ្លាយ ឆេន មេនេចម៉ិន ឯ.ក</t>
        </is>
      </c>
      <c r="D852" s="522" t="inlineStr">
        <is>
          <t>K004-902004795</t>
        </is>
      </c>
      <c r="E852" s="521" t="inlineStr">
        <is>
          <t>IN202102-0092</t>
        </is>
      </c>
      <c r="F852" s="523" t="n">
        <v>44252</v>
      </c>
      <c r="G852" s="556" t="n">
        <v>258509</v>
      </c>
      <c r="I852" s="521">
        <f>G852</f>
        <v/>
      </c>
      <c r="K852" s="521">
        <f>I852-G852</f>
        <v/>
      </c>
      <c r="M852" s="522" t="inlineStr">
        <is>
          <t>IN2021020092</t>
        </is>
      </c>
      <c r="N852" s="522" t="inlineStr"/>
      <c r="O852" s="521">
        <f>M852=N852</f>
        <v/>
      </c>
      <c r="P852" s="521">
        <f>AND(MONTH(F852)=MONTH(S852), YEAR(F852)=YEAR(S852))</f>
        <v/>
      </c>
      <c r="Q852" s="521">
        <f>U852="L001-901905215"</f>
        <v/>
      </c>
      <c r="R852" s="556">
        <f>G852-W852</f>
        <v/>
      </c>
      <c r="S852" s="521" t="n"/>
      <c r="T852" s="522" t="n"/>
      <c r="U852" s="522" t="n"/>
      <c r="V852" s="522" t="n"/>
      <c r="W852" s="521" t="n"/>
    </row>
    <row r="853">
      <c r="A853" s="521" t="n">
        <v>845</v>
      </c>
      <c r="B853" s="522" t="n"/>
      <c r="C853" s="522" t="inlineStr">
        <is>
          <t>56ប៊ី-លីង សឹបផ្លាយ ឆេន មេនេចម៉ិន ឯ.ក</t>
        </is>
      </c>
      <c r="D853" s="522" t="inlineStr">
        <is>
          <t>K004-902004795</t>
        </is>
      </c>
      <c r="E853" s="521" t="inlineStr">
        <is>
          <t>IN202102-0091</t>
        </is>
      </c>
      <c r="F853" s="523" t="n">
        <v>44252</v>
      </c>
      <c r="G853" s="556" t="n">
        <v>262580</v>
      </c>
      <c r="I853" s="521">
        <f>G853</f>
        <v/>
      </c>
      <c r="K853" s="521">
        <f>I853-G853</f>
        <v/>
      </c>
      <c r="M853" s="522" t="inlineStr">
        <is>
          <t>IN2021020091</t>
        </is>
      </c>
      <c r="N853" s="522" t="inlineStr"/>
      <c r="O853" s="521">
        <f>M853=N853</f>
        <v/>
      </c>
      <c r="P853" s="521">
        <f>AND(MONTH(F853)=MONTH(S853), YEAR(F853)=YEAR(S853))</f>
        <v/>
      </c>
      <c r="Q853" s="521">
        <f>U853="L001-901905215"</f>
        <v/>
      </c>
      <c r="R853" s="556">
        <f>G853-W853</f>
        <v/>
      </c>
      <c r="S853" s="521" t="n"/>
      <c r="T853" s="522" t="n"/>
      <c r="U853" s="522" t="n"/>
      <c r="V853" s="522" t="n"/>
      <c r="W853" s="521" t="n"/>
    </row>
    <row r="854">
      <c r="A854" s="521" t="n">
        <v>846</v>
      </c>
      <c r="B854" s="522" t="n"/>
      <c r="C854" s="522" t="inlineStr">
        <is>
          <t>56ប៊ី-លីង សឹបផ្លាយ ឆេន មេនេចម៉ិន ឯ.ក</t>
        </is>
      </c>
      <c r="D854" s="522" t="inlineStr">
        <is>
          <t>K004-902004795</t>
        </is>
      </c>
      <c r="E854" s="521" t="inlineStr">
        <is>
          <t>IN202102-0090</t>
        </is>
      </c>
      <c r="F854" s="523" t="n">
        <v>44252</v>
      </c>
      <c r="G854" s="556" t="n">
        <v>270722</v>
      </c>
      <c r="I854" s="521">
        <f>G854</f>
        <v/>
      </c>
      <c r="K854" s="521">
        <f>I854-G854</f>
        <v/>
      </c>
      <c r="M854" s="522" t="inlineStr">
        <is>
          <t>IN2021020090</t>
        </is>
      </c>
      <c r="N854" s="522" t="inlineStr"/>
      <c r="O854" s="521">
        <f>M854=N854</f>
        <v/>
      </c>
      <c r="P854" s="521">
        <f>AND(MONTH(F854)=MONTH(S854), YEAR(F854)=YEAR(S854))</f>
        <v/>
      </c>
      <c r="Q854" s="521">
        <f>U854="L001-901905215"</f>
        <v/>
      </c>
      <c r="R854" s="556">
        <f>G854-W854</f>
        <v/>
      </c>
      <c r="S854" s="521" t="n"/>
      <c r="T854" s="522" t="n"/>
      <c r="U854" s="522" t="n"/>
      <c r="V854" s="522" t="n"/>
      <c r="W854" s="521" t="n"/>
    </row>
    <row r="855">
      <c r="A855" s="521" t="n">
        <v>847</v>
      </c>
      <c r="B855" s="522" t="n"/>
      <c r="C855" s="522" t="inlineStr">
        <is>
          <t>56ប៊ី-លីង សឹបផ្លាយ ឆេន មេនេចម៉ិន ឯ.ក</t>
        </is>
      </c>
      <c r="D855" s="522" t="inlineStr">
        <is>
          <t>K004-902004795</t>
        </is>
      </c>
      <c r="E855" s="521" t="inlineStr">
        <is>
          <t>IN202102-0089</t>
        </is>
      </c>
      <c r="F855" s="523" t="n">
        <v>44252</v>
      </c>
      <c r="G855" s="556" t="n">
        <v>484449</v>
      </c>
      <c r="I855" s="521">
        <f>G855</f>
        <v/>
      </c>
      <c r="K855" s="521">
        <f>I855-G855</f>
        <v/>
      </c>
      <c r="M855" s="522" t="inlineStr">
        <is>
          <t>IN2021020089</t>
        </is>
      </c>
      <c r="N855" s="522" t="inlineStr"/>
      <c r="O855" s="521">
        <f>M855=N855</f>
        <v/>
      </c>
      <c r="P855" s="521">
        <f>AND(MONTH(F855)=MONTH(S855), YEAR(F855)=YEAR(S855))</f>
        <v/>
      </c>
      <c r="Q855" s="521">
        <f>U855="L001-901905215"</f>
        <v/>
      </c>
      <c r="R855" s="556">
        <f>G855-W855</f>
        <v/>
      </c>
      <c r="S855" s="521" t="n"/>
      <c r="T855" s="522" t="n"/>
      <c r="U855" s="522" t="n"/>
      <c r="V855" s="522" t="n"/>
      <c r="W855" s="521" t="n"/>
    </row>
    <row r="856">
      <c r="A856" s="521" t="n">
        <v>848</v>
      </c>
      <c r="B856" s="522" t="n"/>
      <c r="C856" s="522" t="inlineStr">
        <is>
          <t>56ប៊ី-លីង សឹបផ្លាយ ឆេន មេនេចម៉ិន ឯ.ក</t>
        </is>
      </c>
      <c r="D856" s="522" t="inlineStr">
        <is>
          <t>K004-902004795</t>
        </is>
      </c>
      <c r="E856" s="521" t="inlineStr">
        <is>
          <t>IN202102-0088</t>
        </is>
      </c>
      <c r="F856" s="523" t="n">
        <v>44252</v>
      </c>
      <c r="G856" s="556" t="n">
        <v>270722</v>
      </c>
      <c r="I856" s="521">
        <f>G856</f>
        <v/>
      </c>
      <c r="K856" s="521">
        <f>I856-G856</f>
        <v/>
      </c>
      <c r="M856" s="522" t="inlineStr">
        <is>
          <t>IN2021020088</t>
        </is>
      </c>
      <c r="N856" s="522" t="inlineStr"/>
      <c r="O856" s="521">
        <f>M856=N856</f>
        <v/>
      </c>
      <c r="P856" s="521">
        <f>AND(MONTH(F856)=MONTH(S856), YEAR(F856)=YEAR(S856))</f>
        <v/>
      </c>
      <c r="Q856" s="521">
        <f>U856="L001-901905215"</f>
        <v/>
      </c>
      <c r="R856" s="556">
        <f>G856-W856</f>
        <v/>
      </c>
      <c r="S856" s="521" t="n"/>
      <c r="T856" s="522" t="n"/>
      <c r="U856" s="522" t="n"/>
      <c r="V856" s="522" t="n"/>
      <c r="W856" s="521" t="n"/>
    </row>
    <row r="857">
      <c r="A857" s="521" t="n">
        <v>849</v>
      </c>
      <c r="B857" s="522" t="n"/>
      <c r="C857" s="522" t="inlineStr">
        <is>
          <t>56ប៊ី-លីង សឹបផ្លាយ ឆេន មេនេចម៉ិន ឯ.ក</t>
        </is>
      </c>
      <c r="D857" s="522" t="inlineStr">
        <is>
          <t>K004-902004795</t>
        </is>
      </c>
      <c r="E857" s="521" t="inlineStr">
        <is>
          <t>IN202102-0087</t>
        </is>
      </c>
      <c r="F857" s="523" t="n">
        <v>44252</v>
      </c>
      <c r="G857" s="556" t="n">
        <v>472236</v>
      </c>
      <c r="I857" s="521">
        <f>G857</f>
        <v/>
      </c>
      <c r="K857" s="521">
        <f>I857-G857</f>
        <v/>
      </c>
      <c r="M857" s="522" t="inlineStr">
        <is>
          <t>IN2021020087</t>
        </is>
      </c>
      <c r="N857" s="522" t="inlineStr"/>
      <c r="O857" s="521">
        <f>M857=N857</f>
        <v/>
      </c>
      <c r="P857" s="521">
        <f>AND(MONTH(F857)=MONTH(S857), YEAR(F857)=YEAR(S857))</f>
        <v/>
      </c>
      <c r="Q857" s="521">
        <f>U857="L001-901905215"</f>
        <v/>
      </c>
      <c r="R857" s="556">
        <f>G857-W857</f>
        <v/>
      </c>
      <c r="S857" s="521" t="n"/>
      <c r="T857" s="522" t="n"/>
      <c r="U857" s="522" t="n"/>
      <c r="V857" s="522" t="n"/>
      <c r="W857" s="521" t="n"/>
    </row>
    <row r="858">
      <c r="A858" s="521" t="n">
        <v>850</v>
      </c>
      <c r="B858" s="522" t="n"/>
      <c r="C858" s="522" t="inlineStr">
        <is>
          <t>56ប៊ី-លីង សឹបផ្លាយ ឆេន មេនេចម៉ិន ឯ.ក</t>
        </is>
      </c>
      <c r="D858" s="522" t="inlineStr">
        <is>
          <t>K004-902004795</t>
        </is>
      </c>
      <c r="E858" s="521" t="inlineStr">
        <is>
          <t>IN202102-0086</t>
        </is>
      </c>
      <c r="F858" s="523" t="n">
        <v>44252</v>
      </c>
      <c r="G858" s="556" t="n">
        <v>484449</v>
      </c>
      <c r="I858" s="521">
        <f>G858</f>
        <v/>
      </c>
      <c r="K858" s="521">
        <f>I858-G858</f>
        <v/>
      </c>
      <c r="M858" s="522" t="inlineStr">
        <is>
          <t>IN2021020086</t>
        </is>
      </c>
      <c r="N858" s="522" t="inlineStr"/>
      <c r="O858" s="521">
        <f>M858=N858</f>
        <v/>
      </c>
      <c r="P858" s="521">
        <f>AND(MONTH(F858)=MONTH(S858), YEAR(F858)=YEAR(S858))</f>
        <v/>
      </c>
      <c r="Q858" s="521">
        <f>U858="L001-901905215"</f>
        <v/>
      </c>
      <c r="R858" s="556">
        <f>G858-W858</f>
        <v/>
      </c>
      <c r="S858" s="521" t="n"/>
      <c r="T858" s="522" t="n"/>
      <c r="U858" s="522" t="n"/>
      <c r="V858" s="522" t="n"/>
      <c r="W858" s="521" t="n"/>
    </row>
    <row r="859">
      <c r="A859" s="521" t="n">
        <v>851</v>
      </c>
      <c r="B859" s="522" t="n"/>
      <c r="C859" s="522" t="inlineStr">
        <is>
          <t>56ប៊ី-លីង សឹបផ្លាយ ឆេន មេនេចម៉ិន ឯ.ក</t>
        </is>
      </c>
      <c r="D859" s="522" t="inlineStr">
        <is>
          <t>K004-902004795</t>
        </is>
      </c>
      <c r="E859" s="521" t="inlineStr">
        <is>
          <t>IN202102-0085</t>
        </is>
      </c>
      <c r="F859" s="523" t="n">
        <v>44252</v>
      </c>
      <c r="G859" s="556" t="n">
        <v>211692</v>
      </c>
      <c r="I859" s="521">
        <f>G859</f>
        <v/>
      </c>
      <c r="K859" s="521">
        <f>I859-G859</f>
        <v/>
      </c>
      <c r="M859" s="522" t="inlineStr">
        <is>
          <t>IN2021020085</t>
        </is>
      </c>
      <c r="N859" s="522" t="inlineStr"/>
      <c r="O859" s="521">
        <f>M859=N859</f>
        <v/>
      </c>
      <c r="P859" s="521">
        <f>AND(MONTH(F859)=MONTH(S859), YEAR(F859)=YEAR(S859))</f>
        <v/>
      </c>
      <c r="Q859" s="521">
        <f>U859="L001-901905215"</f>
        <v/>
      </c>
      <c r="R859" s="556">
        <f>G859-W859</f>
        <v/>
      </c>
      <c r="S859" s="521" t="n"/>
      <c r="T859" s="522" t="n"/>
      <c r="U859" s="522" t="n"/>
      <c r="V859" s="522" t="n"/>
      <c r="W859" s="521" t="n"/>
    </row>
    <row r="860">
      <c r="A860" s="521" t="n">
        <v>852</v>
      </c>
      <c r="B860" s="522" t="n"/>
      <c r="C860" s="522" t="inlineStr">
        <is>
          <t>56ប៊ី-លីង សឹបផ្លាយ ឆេន មេនេចម៉ិន ឯ.ក</t>
        </is>
      </c>
      <c r="D860" s="522" t="inlineStr">
        <is>
          <t>K004-902004795</t>
        </is>
      </c>
      <c r="E860" s="521" t="inlineStr">
        <is>
          <t>IN202102-0084</t>
        </is>
      </c>
      <c r="F860" s="523" t="n">
        <v>44252</v>
      </c>
      <c r="G860" s="556" t="n">
        <v>270722</v>
      </c>
      <c r="I860" s="521">
        <f>G860</f>
        <v/>
      </c>
      <c r="K860" s="521">
        <f>I860-G860</f>
        <v/>
      </c>
      <c r="M860" s="522" t="inlineStr">
        <is>
          <t>IN2021020084</t>
        </is>
      </c>
      <c r="N860" s="522" t="inlineStr"/>
      <c r="O860" s="521">
        <f>M860=N860</f>
        <v/>
      </c>
      <c r="P860" s="521">
        <f>AND(MONTH(F860)=MONTH(S860), YEAR(F860)=YEAR(S860))</f>
        <v/>
      </c>
      <c r="Q860" s="521">
        <f>U860="L001-901905215"</f>
        <v/>
      </c>
      <c r="R860" s="556">
        <f>G860-W860</f>
        <v/>
      </c>
      <c r="S860" s="521" t="n"/>
      <c r="T860" s="522" t="n"/>
      <c r="U860" s="522" t="n"/>
      <c r="V860" s="522" t="n"/>
      <c r="W860" s="521" t="n"/>
    </row>
    <row r="861">
      <c r="A861" s="521" t="n">
        <v>853</v>
      </c>
      <c r="B861" s="522" t="n"/>
      <c r="C861" s="522" t="inlineStr">
        <is>
          <t>ភីស៊ីអាយ សឺវីស</t>
        </is>
      </c>
      <c r="D861" s="522" t="inlineStr">
        <is>
          <t>K010-901639639</t>
        </is>
      </c>
      <c r="E861" s="521" t="inlineStr">
        <is>
          <t>2021-0038</t>
        </is>
      </c>
      <c r="F861" s="523" t="n">
        <v>44252</v>
      </c>
      <c r="G861" s="556" t="n">
        <v>81380</v>
      </c>
      <c r="I861" s="521">
        <f>G861</f>
        <v/>
      </c>
      <c r="K861" s="521">
        <f>I861-G861</f>
        <v/>
      </c>
      <c r="M861" s="522" t="inlineStr">
        <is>
          <t>20210038</t>
        </is>
      </c>
      <c r="N861" s="522" t="inlineStr">
        <is>
          <t>20210038</t>
        </is>
      </c>
      <c r="O861" s="521">
        <f>M861=N861</f>
        <v/>
      </c>
      <c r="P861" s="521">
        <f>AND(MONTH(F861)=MONTH(S861), YEAR(F861)=YEAR(S861))</f>
        <v/>
      </c>
      <c r="Q861" s="521">
        <f>U861="L001-901905215"</f>
        <v/>
      </c>
      <c r="R861" s="556">
        <f>G861-W861</f>
        <v/>
      </c>
      <c r="S861" s="523" t="n">
        <v>44228</v>
      </c>
      <c r="T861" s="522" t="inlineStr">
        <is>
          <t>2021-0038</t>
        </is>
      </c>
      <c r="U861" s="522" t="inlineStr">
        <is>
          <t>L001-901905215</t>
        </is>
      </c>
      <c r="V861" s="522" t="inlineStr">
        <is>
          <t>វីអ៊ីស៊ិន (ខេមបូឌា) អ៊ិនដាសស្ទ្រី ឯ.ក</t>
        </is>
      </c>
      <c r="W861" s="556" t="n">
        <v>81380</v>
      </c>
    </row>
    <row r="862">
      <c r="A862" s="521" t="n">
        <v>854</v>
      </c>
      <c r="B862" s="522" t="inlineStr">
        <is>
          <t>Telecom service usage charge</t>
        </is>
      </c>
      <c r="C862" s="522" t="inlineStr">
        <is>
          <t>វៀតធេល (ខេមបូឌា)</t>
        </is>
      </c>
      <c r="D862" s="522" t="inlineStr">
        <is>
          <t>L001-100121845</t>
        </is>
      </c>
      <c r="E862" s="521" t="inlineStr">
        <is>
          <t>MC/2022-0045232</t>
        </is>
      </c>
      <c r="F862" s="523" t="n">
        <v>44599</v>
      </c>
      <c r="G862" s="556" t="n">
        <v>101650</v>
      </c>
      <c r="I862" s="521">
        <f>G862</f>
        <v/>
      </c>
      <c r="K862" s="521">
        <f>I862-G862</f>
        <v/>
      </c>
      <c r="M862" s="522" t="inlineStr">
        <is>
          <t>MC20220045232</t>
        </is>
      </c>
      <c r="N862" s="522" t="inlineStr"/>
      <c r="O862" s="521">
        <f>M862=N862</f>
        <v/>
      </c>
      <c r="P862" s="521">
        <f>AND(MONTH(F862)=MONTH(S862), YEAR(F862)=YEAR(S862))</f>
        <v/>
      </c>
      <c r="Q862" s="521">
        <f>U862="L001-901905215"</f>
        <v/>
      </c>
      <c r="R862" s="556">
        <f>G862-W862</f>
        <v/>
      </c>
      <c r="S862" s="521" t="n"/>
      <c r="T862" s="522" t="n"/>
      <c r="U862" s="522" t="n"/>
      <c r="V862" s="522" t="n"/>
      <c r="W862" s="521" t="n"/>
    </row>
    <row r="863">
      <c r="A863" s="521" t="n">
        <v>855</v>
      </c>
      <c r="B863" s="522" t="inlineStr">
        <is>
          <t>Factory expense</t>
        </is>
      </c>
      <c r="C863" s="522" t="inlineStr">
        <is>
          <t>គ្លូប៊ល ហៅស៍ (ខេមបូឌា) ឯ.ក</t>
        </is>
      </c>
      <c r="D863" s="522" t="inlineStr">
        <is>
          <t>L001-901802873</t>
        </is>
      </c>
      <c r="E863" s="521" t="inlineStr">
        <is>
          <t>PN1CA007CA-220204-0026</t>
        </is>
      </c>
      <c r="F863" s="523" t="n">
        <v>44596</v>
      </c>
      <c r="G863" s="556" t="n">
        <v>6821</v>
      </c>
      <c r="I863" s="521">
        <f>G863</f>
        <v/>
      </c>
      <c r="K863" s="521">
        <f>I863-G863</f>
        <v/>
      </c>
      <c r="M863" s="522" t="inlineStr">
        <is>
          <t>PN1CA007CA2202040026</t>
        </is>
      </c>
      <c r="N863" s="522" t="inlineStr"/>
      <c r="O863" s="521">
        <f>M863=N863</f>
        <v/>
      </c>
      <c r="P863" s="521">
        <f>AND(MONTH(F863)=MONTH(S863), YEAR(F863)=YEAR(S863))</f>
        <v/>
      </c>
      <c r="Q863" s="521">
        <f>U863="L001-901905215"</f>
        <v/>
      </c>
      <c r="R863" s="556">
        <f>G863-W863</f>
        <v/>
      </c>
      <c r="S863" s="521" t="n"/>
      <c r="T863" s="522" t="n"/>
      <c r="U863" s="522" t="n"/>
      <c r="V863" s="522" t="n"/>
      <c r="W863" s="521" t="n"/>
    </row>
    <row r="864">
      <c r="A864" s="521" t="n">
        <v>856</v>
      </c>
      <c r="B864" s="522" t="inlineStr">
        <is>
          <t>Factory expense</t>
        </is>
      </c>
      <c r="C864" s="522" t="inlineStr">
        <is>
          <t>គ្លូប៊ល ហៅស៍ (ខេមបូឌា) ឯ.ក</t>
        </is>
      </c>
      <c r="D864" s="522" t="inlineStr">
        <is>
          <t>L001-901802873</t>
        </is>
      </c>
      <c r="E864" s="521" t="inlineStr">
        <is>
          <t>PN1CA007CA-220205-0060</t>
        </is>
      </c>
      <c r="F864" s="523" t="n">
        <v>44597</v>
      </c>
      <c r="G864" s="556" t="n">
        <v>5554</v>
      </c>
      <c r="I864" s="521">
        <f>G864</f>
        <v/>
      </c>
      <c r="K864" s="521">
        <f>I864-G864</f>
        <v/>
      </c>
      <c r="M864" s="522" t="inlineStr">
        <is>
          <t>PN1CA007CA2202050060</t>
        </is>
      </c>
      <c r="N864" s="522" t="inlineStr"/>
      <c r="O864" s="521">
        <f>M864=N864</f>
        <v/>
      </c>
      <c r="P864" s="521">
        <f>AND(MONTH(F864)=MONTH(S864), YEAR(F864)=YEAR(S864))</f>
        <v/>
      </c>
      <c r="Q864" s="521">
        <f>U864="L001-901905215"</f>
        <v/>
      </c>
      <c r="R864" s="556">
        <f>G864-W864</f>
        <v/>
      </c>
      <c r="S864" s="521" t="n"/>
      <c r="T864" s="522" t="n"/>
      <c r="U864" s="522" t="n"/>
      <c r="V864" s="522" t="n"/>
      <c r="W864" s="521" t="n"/>
    </row>
    <row r="865">
      <c r="A865" s="521" t="n">
        <v>857</v>
      </c>
      <c r="B865" s="522" t="inlineStr">
        <is>
          <t>Rental Machine</t>
        </is>
      </c>
      <c r="C865" s="522" t="inlineStr">
        <is>
          <t xml:space="preserve">អិនធីអិល តិចណូឡូជី </t>
        </is>
      </c>
      <c r="D865" s="522" t="inlineStr">
        <is>
          <t>K005-901900283</t>
        </is>
      </c>
      <c r="E865" s="521" t="inlineStr">
        <is>
          <t>22-000251</t>
        </is>
      </c>
      <c r="F865" s="523" t="n">
        <v>44593</v>
      </c>
      <c r="G865" s="556" t="n">
        <v>28309</v>
      </c>
      <c r="I865" s="521">
        <f>G865</f>
        <v/>
      </c>
      <c r="K865" s="521">
        <f>I865-G865</f>
        <v/>
      </c>
      <c r="M865" s="522" t="inlineStr">
        <is>
          <t>22000251</t>
        </is>
      </c>
      <c r="N865" s="522" t="inlineStr"/>
      <c r="O865" s="521">
        <f>M865=N865</f>
        <v/>
      </c>
      <c r="P865" s="521">
        <f>AND(MONTH(F865)=MONTH(S865), YEAR(F865)=YEAR(S865))</f>
        <v/>
      </c>
      <c r="Q865" s="521">
        <f>U865="L001-901905215"</f>
        <v/>
      </c>
      <c r="R865" s="556">
        <f>G865-W865</f>
        <v/>
      </c>
      <c r="S865" s="521" t="n"/>
      <c r="T865" s="522" t="n"/>
      <c r="U865" s="522" t="n"/>
      <c r="V865" s="522" t="n"/>
      <c r="W865" s="521" t="n"/>
    </row>
    <row r="866">
      <c r="A866" s="521" t="n">
        <v>858</v>
      </c>
      <c r="B866" s="522" t="inlineStr">
        <is>
          <t>Monthly tax declaration for Feb 2022 service</t>
        </is>
      </c>
      <c r="C866" s="522" t="inlineStr">
        <is>
          <t>យីងកឺ ខេម ថេក អ៊ែតវ៉ាយហ្សឺរី ឯ.ក</t>
        </is>
      </c>
      <c r="D866" s="522" t="inlineStr">
        <is>
          <t>K003-902005313</t>
        </is>
      </c>
      <c r="E866" s="521" t="inlineStr">
        <is>
          <t>YKT22-031</t>
        </is>
      </c>
      <c r="F866" s="523" t="n">
        <v>44593</v>
      </c>
      <c r="G866" s="556" t="n">
        <v>569240</v>
      </c>
      <c r="I866" s="521">
        <f>G866</f>
        <v/>
      </c>
      <c r="K866" s="521">
        <f>I866-G866</f>
        <v/>
      </c>
      <c r="M866" s="522" t="inlineStr">
        <is>
          <t>YKT22031</t>
        </is>
      </c>
      <c r="N866" s="522" t="inlineStr">
        <is>
          <t>YKT22031</t>
        </is>
      </c>
      <c r="O866" s="521">
        <f>M866=N866</f>
        <v/>
      </c>
      <c r="P866" s="521">
        <f>AND(MONTH(F866)=MONTH(S866), YEAR(F866)=YEAR(S866))</f>
        <v/>
      </c>
      <c r="Q866" s="521">
        <f>U866="L001-901905215"</f>
        <v/>
      </c>
      <c r="R866" s="556">
        <f>G866-W866</f>
        <v/>
      </c>
      <c r="S866" s="523" t="n">
        <v>44593</v>
      </c>
      <c r="T866" s="522" t="inlineStr">
        <is>
          <t>YKT22-031</t>
        </is>
      </c>
      <c r="U866" s="522" t="inlineStr">
        <is>
          <t>L001-901905215</t>
        </is>
      </c>
      <c r="V866" s="522" t="inlineStr">
        <is>
          <t>វីអ៊ីស៊ិន (ខេមបូឌា) អ៊ិនដាសស្ទ្រី ឯ.ក</t>
        </is>
      </c>
      <c r="W866" s="556" t="n">
        <v>569240</v>
      </c>
    </row>
    <row r="867">
      <c r="A867" s="521" t="n">
        <v>859</v>
      </c>
      <c r="B867" s="522" t="inlineStr">
        <is>
          <t>Express Fee</t>
        </is>
      </c>
      <c r="C867" s="522" t="inlineStr">
        <is>
          <t>ឌី អេច អិល អិចប្រេស (ខេមបូឌា)</t>
        </is>
      </c>
      <c r="D867" s="522" t="inlineStr">
        <is>
          <t>L001-100045197</t>
        </is>
      </c>
      <c r="E867" s="521" t="inlineStr">
        <is>
          <t>PNHR000412991</t>
        </is>
      </c>
      <c r="F867" s="523" t="n">
        <v>44616</v>
      </c>
      <c r="G867" s="556" t="n">
        <v>10132</v>
      </c>
      <c r="I867" s="521">
        <f>G867</f>
        <v/>
      </c>
      <c r="K867" s="521">
        <f>I867-G867</f>
        <v/>
      </c>
      <c r="M867" s="522" t="inlineStr">
        <is>
          <t>PNHR000412991</t>
        </is>
      </c>
      <c r="N867" s="522" t="inlineStr"/>
      <c r="O867" s="521">
        <f>M867=N867</f>
        <v/>
      </c>
      <c r="P867" s="521">
        <f>AND(MONTH(F867)=MONTH(S867), YEAR(F867)=YEAR(S867))</f>
        <v/>
      </c>
      <c r="Q867" s="521">
        <f>U867="L001-901905215"</f>
        <v/>
      </c>
      <c r="R867" s="556">
        <f>G867-W867</f>
        <v/>
      </c>
      <c r="S867" s="521" t="n"/>
      <c r="T867" s="522" t="n"/>
      <c r="U867" s="522" t="n"/>
      <c r="V867" s="522" t="n"/>
      <c r="W867" s="521" t="n"/>
    </row>
    <row r="868">
      <c r="A868" s="521" t="n">
        <v>860</v>
      </c>
      <c r="B868" s="522" t="inlineStr">
        <is>
          <t>Express Fee</t>
        </is>
      </c>
      <c r="C868" s="522" t="inlineStr">
        <is>
          <t>ឌី អេច អិល អិចប្រេស (ខេមបូឌា)</t>
        </is>
      </c>
      <c r="D868" s="522" t="inlineStr">
        <is>
          <t>L001-100045197</t>
        </is>
      </c>
      <c r="E868" s="521" t="inlineStr">
        <is>
          <t>PNHR000412218</t>
        </is>
      </c>
      <c r="F868" s="523" t="n">
        <v>44609</v>
      </c>
      <c r="G868" s="556" t="n">
        <v>14771</v>
      </c>
      <c r="I868" s="521">
        <f>G868</f>
        <v/>
      </c>
      <c r="K868" s="521">
        <f>I868-G868</f>
        <v/>
      </c>
      <c r="M868" s="522" t="inlineStr">
        <is>
          <t>PNHR000412218</t>
        </is>
      </c>
      <c r="N868" s="522" t="inlineStr"/>
      <c r="O868" s="521">
        <f>M868=N868</f>
        <v/>
      </c>
      <c r="P868" s="521">
        <f>AND(MONTH(F868)=MONTH(S868), YEAR(F868)=YEAR(S868))</f>
        <v/>
      </c>
      <c r="Q868" s="521">
        <f>U868="L001-901905215"</f>
        <v/>
      </c>
      <c r="R868" s="556">
        <f>G868-W868</f>
        <v/>
      </c>
      <c r="S868" s="521" t="n"/>
      <c r="T868" s="522" t="n"/>
      <c r="U868" s="522" t="n"/>
      <c r="V868" s="522" t="n"/>
      <c r="W868" s="521" t="n"/>
    </row>
    <row r="869">
      <c r="A869" s="521" t="n">
        <v>861</v>
      </c>
      <c r="B869" s="522" t="inlineStr">
        <is>
          <t>Express Fee</t>
        </is>
      </c>
      <c r="C869" s="522" t="inlineStr">
        <is>
          <t>ឌី អេច អិល អិចប្រេស (ខេមបូឌា)</t>
        </is>
      </c>
      <c r="D869" s="522" t="inlineStr">
        <is>
          <t>L001-100045197</t>
        </is>
      </c>
      <c r="E869" s="521" t="inlineStr">
        <is>
          <t>PNHR000411375</t>
        </is>
      </c>
      <c r="F869" s="523" t="n">
        <v>44602</v>
      </c>
      <c r="G869" s="556" t="n">
        <v>22734</v>
      </c>
      <c r="I869" s="521">
        <f>G869</f>
        <v/>
      </c>
      <c r="K869" s="521">
        <f>I869-G869</f>
        <v/>
      </c>
      <c r="M869" s="522" t="inlineStr">
        <is>
          <t>PNHR000411375</t>
        </is>
      </c>
      <c r="N869" s="522" t="inlineStr"/>
      <c r="O869" s="521">
        <f>M869=N869</f>
        <v/>
      </c>
      <c r="P869" s="521">
        <f>AND(MONTH(F869)=MONTH(S869), YEAR(F869)=YEAR(S869))</f>
        <v/>
      </c>
      <c r="Q869" s="521">
        <f>U869="L001-901905215"</f>
        <v/>
      </c>
      <c r="R869" s="556">
        <f>G869-W869</f>
        <v/>
      </c>
      <c r="S869" s="521" t="n"/>
      <c r="T869" s="522" t="n"/>
      <c r="U869" s="522" t="n"/>
      <c r="V869" s="522" t="n"/>
      <c r="W869" s="521" t="n"/>
    </row>
    <row r="870">
      <c r="A870" s="521" t="n">
        <v>862</v>
      </c>
      <c r="B870" s="522" t="inlineStr">
        <is>
          <t>Express Fee</t>
        </is>
      </c>
      <c r="C870" s="522" t="inlineStr">
        <is>
          <t>ឌី អេច អិល អិចប្រេស (ខេមបូឌា)</t>
        </is>
      </c>
      <c r="D870" s="522" t="inlineStr">
        <is>
          <t>L001-100045197</t>
        </is>
      </c>
      <c r="E870" s="521" t="inlineStr">
        <is>
          <t>PNHR000409976</t>
        </is>
      </c>
      <c r="F870" s="523" t="n">
        <v>44593</v>
      </c>
      <c r="G870" s="556" t="n">
        <v>6209</v>
      </c>
      <c r="I870" s="521">
        <f>G870</f>
        <v/>
      </c>
      <c r="K870" s="521">
        <f>I870-G870</f>
        <v/>
      </c>
      <c r="M870" s="522" t="inlineStr">
        <is>
          <t>PNHR000409976</t>
        </is>
      </c>
      <c r="N870" s="522" t="inlineStr"/>
      <c r="O870" s="521">
        <f>M870=N870</f>
        <v/>
      </c>
      <c r="P870" s="521">
        <f>AND(MONTH(F870)=MONTH(S870), YEAR(F870)=YEAR(S870))</f>
        <v/>
      </c>
      <c r="Q870" s="521">
        <f>U870="L001-901905215"</f>
        <v/>
      </c>
      <c r="R870" s="556">
        <f>G870-W870</f>
        <v/>
      </c>
      <c r="S870" s="521" t="n"/>
      <c r="T870" s="522" t="n"/>
      <c r="U870" s="522" t="n"/>
      <c r="V870" s="522" t="n"/>
      <c r="W870" s="521" t="n"/>
    </row>
    <row r="871">
      <c r="A871" s="521" t="n">
        <v>863</v>
      </c>
      <c r="B871" s="522" t="inlineStr">
        <is>
          <t>General pest control service on Feb 2022</t>
        </is>
      </c>
      <c r="C871" s="522" t="inlineStr">
        <is>
          <t>ភីស៊ីអាយ សឺវីស</t>
        </is>
      </c>
      <c r="D871" s="522" t="inlineStr">
        <is>
          <t>K010-901639639</t>
        </is>
      </c>
      <c r="E871" s="521" t="inlineStr">
        <is>
          <t>2022-0210</t>
        </is>
      </c>
      <c r="F871" s="523" t="n">
        <v>44612</v>
      </c>
      <c r="G871" s="556" t="n">
        <v>80960</v>
      </c>
      <c r="I871" s="521">
        <f>G871</f>
        <v/>
      </c>
      <c r="K871" s="521">
        <f>I871-G871</f>
        <v/>
      </c>
      <c r="M871" s="522" t="inlineStr">
        <is>
          <t>20220210</t>
        </is>
      </c>
      <c r="N871" s="522" t="inlineStr"/>
      <c r="O871" s="521">
        <f>M871=N871</f>
        <v/>
      </c>
      <c r="P871" s="521">
        <f>AND(MONTH(F871)=MONTH(S871), YEAR(F871)=YEAR(S871))</f>
        <v/>
      </c>
      <c r="Q871" s="521">
        <f>U871="L001-901905215"</f>
        <v/>
      </c>
      <c r="R871" s="556">
        <f>G871-W871</f>
        <v/>
      </c>
      <c r="S871" s="521" t="n"/>
      <c r="T871" s="522" t="n"/>
      <c r="U871" s="522" t="n"/>
      <c r="V871" s="522" t="n"/>
      <c r="W871" s="521" t="n"/>
    </row>
    <row r="872">
      <c r="A872" s="521" t="n">
        <v>864</v>
      </c>
      <c r="B872" s="522" t="inlineStr">
        <is>
          <t>Security servicee fee</t>
        </is>
      </c>
      <c r="C872" s="522" t="inlineStr">
        <is>
          <t>ភី.អិល (ខេមបូឌា) ស៊ីឃ្យួរឹធី</t>
        </is>
      </c>
      <c r="D872" s="522" t="inlineStr">
        <is>
          <t>K010-901502809</t>
        </is>
      </c>
      <c r="E872" s="521" t="inlineStr">
        <is>
          <t>PL000932</t>
        </is>
      </c>
      <c r="F872" s="523" t="n">
        <v>44620</v>
      </c>
      <c r="G872" s="556" t="n">
        <v>203300</v>
      </c>
      <c r="I872" s="521">
        <f>G872</f>
        <v/>
      </c>
      <c r="K872" s="521">
        <f>I872-G872</f>
        <v/>
      </c>
      <c r="M872" s="522" t="inlineStr">
        <is>
          <t>PL000932</t>
        </is>
      </c>
      <c r="N872" s="522" t="inlineStr">
        <is>
          <t>PL000932</t>
        </is>
      </c>
      <c r="O872" s="521">
        <f>M872=N872</f>
        <v/>
      </c>
      <c r="P872" s="521">
        <f>AND(MONTH(F872)=MONTH(S872), YEAR(F872)=YEAR(S872))</f>
        <v/>
      </c>
      <c r="Q872" s="521">
        <f>U872="L001-901905215"</f>
        <v/>
      </c>
      <c r="R872" s="556">
        <f>G872-W872</f>
        <v/>
      </c>
      <c r="S872" s="523" t="n">
        <v>44620</v>
      </c>
      <c r="T872" s="522" t="inlineStr">
        <is>
          <t>PL000932</t>
        </is>
      </c>
      <c r="U872" s="522" t="inlineStr">
        <is>
          <t>L001-901905215</t>
        </is>
      </c>
      <c r="V872" s="522" t="inlineStr">
        <is>
          <t>វីអ៊ីស៊ិន (ខេមបូឌា) អ៊ិនដាសស្ទ្រី ឯ.ក</t>
        </is>
      </c>
      <c r="W872" s="556" t="n">
        <v>203300</v>
      </c>
    </row>
    <row r="873">
      <c r="A873" s="521" t="n">
        <v>865</v>
      </c>
      <c r="B873" s="522" t="inlineStr">
        <is>
          <t>Building rental charge for Feb 2022</t>
        </is>
      </c>
      <c r="C873" s="522" t="inlineStr">
        <is>
          <t>មេហ្គា លេបឹល &amp; ស្ទីកឃើរ (ខេមបូឌា)</t>
        </is>
      </c>
      <c r="D873" s="522" t="inlineStr">
        <is>
          <t>L001-100185983</t>
        </is>
      </c>
      <c r="E873" s="521" t="inlineStr">
        <is>
          <t>INV20220204</t>
        </is>
      </c>
      <c r="F873" s="523" t="n">
        <v>44596</v>
      </c>
      <c r="G873" s="556" t="n">
        <v>4539511</v>
      </c>
      <c r="I873" s="521">
        <f>G873</f>
        <v/>
      </c>
      <c r="K873" s="521">
        <f>I873-G873</f>
        <v/>
      </c>
      <c r="M873" s="522" t="inlineStr">
        <is>
          <t>INV20220204</t>
        </is>
      </c>
      <c r="N873" s="522" t="inlineStr">
        <is>
          <t>INV20220204</t>
        </is>
      </c>
      <c r="O873" s="521">
        <f>M873=N873</f>
        <v/>
      </c>
      <c r="P873" s="521">
        <f>AND(MONTH(F873)=MONTH(S873), YEAR(F873)=YEAR(S873))</f>
        <v/>
      </c>
      <c r="Q873" s="521">
        <f>U873="L001-901905215"</f>
        <v/>
      </c>
      <c r="R873" s="556">
        <f>G873-W873</f>
        <v/>
      </c>
      <c r="S873" s="523" t="n">
        <v>44596</v>
      </c>
      <c r="T873" s="522" t="inlineStr">
        <is>
          <t>INV20220204</t>
        </is>
      </c>
      <c r="U873" s="522" t="inlineStr">
        <is>
          <t>L001-901905215</t>
        </is>
      </c>
      <c r="V873" s="522" t="inlineStr">
        <is>
          <t>វីអ៊ីស៊ិន (ខេមបូឌា) អ៊ិនដាសស្ទ្រី ឯ.ក</t>
        </is>
      </c>
      <c r="W873" s="556" t="n">
        <v>4538396</v>
      </c>
    </row>
    <row r="874">
      <c r="A874" s="521" t="n">
        <v>866</v>
      </c>
      <c r="B874" s="522" t="inlineStr">
        <is>
          <t>Infrastructure maintenance fee for Feb 2022</t>
        </is>
      </c>
      <c r="C874" s="522" t="inlineStr">
        <is>
          <t>ភ្នំពេញ អេសអ៊ីហ្សិត ភីអិលស៊ី</t>
        </is>
      </c>
      <c r="D874" s="522" t="inlineStr">
        <is>
          <t>L001-100046592</t>
        </is>
      </c>
      <c r="E874" s="521" t="inlineStr">
        <is>
          <t>2022-00694</t>
        </is>
      </c>
      <c r="F874" s="523" t="n">
        <v>44609</v>
      </c>
      <c r="G874" s="556" t="n">
        <v>200488</v>
      </c>
      <c r="I874" s="521">
        <f>G874</f>
        <v/>
      </c>
      <c r="K874" s="521">
        <f>I874-G874</f>
        <v/>
      </c>
      <c r="M874" s="522" t="inlineStr">
        <is>
          <t>202200694</t>
        </is>
      </c>
      <c r="N874" s="522" t="inlineStr">
        <is>
          <t>202200694</t>
        </is>
      </c>
      <c r="O874" s="521">
        <f>M874=N874</f>
        <v/>
      </c>
      <c r="P874" s="521">
        <f>AND(MONTH(F874)=MONTH(S874), YEAR(F874)=YEAR(S874))</f>
        <v/>
      </c>
      <c r="Q874" s="521">
        <f>U874="L001-901905215"</f>
        <v/>
      </c>
      <c r="R874" s="556">
        <f>G874-W874</f>
        <v/>
      </c>
      <c r="S874" s="523" t="n">
        <v>44609</v>
      </c>
      <c r="T874" s="522" t="inlineStr">
        <is>
          <t>2022-00694</t>
        </is>
      </c>
      <c r="U874" s="522" t="inlineStr">
        <is>
          <t>L001-901905215</t>
        </is>
      </c>
      <c r="V874" s="522" t="inlineStr">
        <is>
          <t>វីអ៊ីស៊ិន (ខេមបូឌា) អ៊ិនដាសស្ទ្រី ឯ.ក</t>
        </is>
      </c>
      <c r="W874" s="556" t="n">
        <v>200487</v>
      </c>
    </row>
    <row r="875">
      <c r="A875" s="521" t="n">
        <v>867</v>
      </c>
      <c r="B875" s="522" t="inlineStr">
        <is>
          <t>Infrastructure maintenance fee for Feb 2022</t>
        </is>
      </c>
      <c r="C875" s="522" t="inlineStr">
        <is>
          <t>ភ្នំពេញ អេសអ៊ីហ្សិត ភីអិលស៊ី</t>
        </is>
      </c>
      <c r="D875" s="522" t="inlineStr">
        <is>
          <t>L001-100046592</t>
        </is>
      </c>
      <c r="E875" s="521" t="inlineStr">
        <is>
          <t>2022-00703</t>
        </is>
      </c>
      <c r="F875" s="523" t="n">
        <v>44609</v>
      </c>
      <c r="G875" s="556" t="n">
        <v>164665</v>
      </c>
      <c r="I875" s="521">
        <f>G875</f>
        <v/>
      </c>
      <c r="K875" s="521">
        <f>I875-G875</f>
        <v/>
      </c>
      <c r="M875" s="522" t="inlineStr">
        <is>
          <t>202200703</t>
        </is>
      </c>
      <c r="N875" s="522" t="inlineStr">
        <is>
          <t>202200703</t>
        </is>
      </c>
      <c r="O875" s="521">
        <f>M875=N875</f>
        <v/>
      </c>
      <c r="P875" s="521">
        <f>AND(MONTH(F875)=MONTH(S875), YEAR(F875)=YEAR(S875))</f>
        <v/>
      </c>
      <c r="Q875" s="521">
        <f>U875="L001-901905215"</f>
        <v/>
      </c>
      <c r="R875" s="556">
        <f>G875-W875</f>
        <v/>
      </c>
      <c r="S875" s="523" t="n">
        <v>44609</v>
      </c>
      <c r="T875" s="522" t="inlineStr">
        <is>
          <t>2022-00703</t>
        </is>
      </c>
      <c r="U875" s="522" t="inlineStr">
        <is>
          <t>L001-901905215</t>
        </is>
      </c>
      <c r="V875" s="522" t="inlineStr">
        <is>
          <t>វីអ៊ីស៊ិន (ខេមបូឌា) អ៊ិនដាសស្ទ្រី ឯ.ក</t>
        </is>
      </c>
      <c r="W875" s="556" t="n">
        <v>164665</v>
      </c>
    </row>
    <row r="876">
      <c r="A876" s="521" t="n">
        <v>868</v>
      </c>
      <c r="B876" s="522" t="inlineStr">
        <is>
          <t>Security servicee fee</t>
        </is>
      </c>
      <c r="C876" s="522" t="inlineStr">
        <is>
          <t>ភី.អិល (ខេមបូឌា) ស៊ីឃ្យួរឹធី</t>
        </is>
      </c>
      <c r="D876" s="522" t="inlineStr">
        <is>
          <t>K010-901502809</t>
        </is>
      </c>
      <c r="E876" s="521" t="inlineStr">
        <is>
          <t>PL000905</t>
        </is>
      </c>
      <c r="F876" s="523" t="n">
        <v>44593</v>
      </c>
      <c r="G876" s="556" t="n">
        <v>203300</v>
      </c>
      <c r="I876" s="521">
        <f>G876</f>
        <v/>
      </c>
      <c r="K876" s="521">
        <f>I876-G876</f>
        <v/>
      </c>
      <c r="M876" s="522" t="inlineStr">
        <is>
          <t>PL000905</t>
        </is>
      </c>
      <c r="N876" s="522" t="inlineStr"/>
      <c r="O876" s="521">
        <f>M876=N876</f>
        <v/>
      </c>
      <c r="P876" s="521">
        <f>AND(MONTH(F876)=MONTH(S876), YEAR(F876)=YEAR(S876))</f>
        <v/>
      </c>
      <c r="Q876" s="521">
        <f>U876="L001-901905215"</f>
        <v/>
      </c>
      <c r="R876" s="556">
        <f>G876-W876</f>
        <v/>
      </c>
      <c r="S876" s="521" t="n"/>
      <c r="T876" s="522" t="n"/>
      <c r="U876" s="522" t="n"/>
      <c r="V876" s="522" t="n"/>
      <c r="W876" s="521" t="n"/>
    </row>
    <row r="877">
      <c r="A877" s="521" t="n">
        <v>869</v>
      </c>
      <c r="B877" s="522" t="inlineStr">
        <is>
          <t>Express Fee</t>
        </is>
      </c>
      <c r="C877" s="522" t="inlineStr">
        <is>
          <t>ឌី អេច អិល អិចប្រេស (ខេមបូឌា)</t>
        </is>
      </c>
      <c r="D877" s="522" t="inlineStr">
        <is>
          <t>L001-100045197</t>
        </is>
      </c>
      <c r="E877" s="521" t="inlineStr">
        <is>
          <t>PNHR000410599</t>
        </is>
      </c>
      <c r="F877" s="523" t="n">
        <v>44593</v>
      </c>
      <c r="G877" s="556" t="n">
        <v>20110</v>
      </c>
      <c r="I877" s="521">
        <f>G877</f>
        <v/>
      </c>
      <c r="K877" s="521">
        <f>I877-G877</f>
        <v/>
      </c>
      <c r="M877" s="522" t="inlineStr">
        <is>
          <t>PNHR000410599</t>
        </is>
      </c>
      <c r="N877" s="522" t="inlineStr"/>
      <c r="O877" s="521">
        <f>M877=N877</f>
        <v/>
      </c>
      <c r="P877" s="521">
        <f>AND(MONTH(F877)=MONTH(S877), YEAR(F877)=YEAR(S877))</f>
        <v/>
      </c>
      <c r="Q877" s="521">
        <f>U877="L001-901905215"</f>
        <v/>
      </c>
      <c r="R877" s="556">
        <f>G877-W877</f>
        <v/>
      </c>
      <c r="S877" s="521" t="n"/>
      <c r="T877" s="522" t="n"/>
      <c r="U877" s="522" t="n"/>
      <c r="V877" s="522" t="n"/>
      <c r="W877" s="521" t="n"/>
    </row>
    <row r="878">
      <c r="A878" s="521" t="n">
        <v>870</v>
      </c>
      <c r="B878" s="522" t="inlineStr">
        <is>
          <t>Handling Charge</t>
        </is>
      </c>
      <c r="C878" s="522" t="inlineStr">
        <is>
          <t>56ប៊ី-លីង សឹបផ្លាយ ឆេន មេនេចម៉ិន ឯ.ក</t>
        </is>
      </c>
      <c r="D878" s="522" t="inlineStr">
        <is>
          <t>K004-902004795</t>
        </is>
      </c>
      <c r="E878" s="521" t="inlineStr">
        <is>
          <t>TI2022-0228</t>
        </is>
      </c>
      <c r="F878" s="523" t="n">
        <v>44620</v>
      </c>
      <c r="G878" s="556" t="n">
        <v>195168</v>
      </c>
      <c r="I878" s="521">
        <f>G878</f>
        <v/>
      </c>
      <c r="K878" s="521">
        <f>I878-G878</f>
        <v/>
      </c>
      <c r="M878" s="522" t="inlineStr">
        <is>
          <t>TI20220228</t>
        </is>
      </c>
      <c r="N878" s="522" t="inlineStr">
        <is>
          <t>TI20220228</t>
        </is>
      </c>
      <c r="O878" s="521">
        <f>M878=N878</f>
        <v/>
      </c>
      <c r="P878" s="521">
        <f>AND(MONTH(F878)=MONTH(S878), YEAR(F878)=YEAR(S878))</f>
        <v/>
      </c>
      <c r="Q878" s="521">
        <f>U878="L001-901905215"</f>
        <v/>
      </c>
      <c r="R878" s="556">
        <f>G878-W878</f>
        <v/>
      </c>
      <c r="S878" s="523" t="n">
        <v>44620</v>
      </c>
      <c r="T878" s="522" t="inlineStr">
        <is>
          <t>TI2022-0228</t>
        </is>
      </c>
      <c r="U878" s="522" t="inlineStr">
        <is>
          <t>L001-901905215</t>
        </is>
      </c>
      <c r="V878" s="522" t="inlineStr">
        <is>
          <t>វីអ៊ីស៊ិន (ខេមបូឌា) អ៊ិនដាសស្ទ្រី ឯ.ក</t>
        </is>
      </c>
      <c r="W878" s="556" t="n">
        <v>195168</v>
      </c>
    </row>
    <row r="879">
      <c r="A879" s="521" t="n">
        <v>871</v>
      </c>
      <c r="B879" s="522" t="inlineStr">
        <is>
          <t>Handling Charge</t>
        </is>
      </c>
      <c r="C879" s="522" t="inlineStr">
        <is>
          <t>56ប៊ី-លីង សឹបផ្លាយ ឆេន មេនេចម៉ិន ឯ.ក</t>
        </is>
      </c>
      <c r="D879" s="522" t="inlineStr">
        <is>
          <t>K004-902004795</t>
        </is>
      </c>
      <c r="E879" s="521" t="inlineStr">
        <is>
          <t>TI2022-0227</t>
        </is>
      </c>
      <c r="F879" s="523" t="n">
        <v>44593</v>
      </c>
      <c r="G879" s="556" t="n">
        <v>304950</v>
      </c>
      <c r="I879" s="521">
        <f>G879</f>
        <v/>
      </c>
      <c r="K879" s="521">
        <f>I879-G879</f>
        <v/>
      </c>
      <c r="M879" s="522" t="inlineStr">
        <is>
          <t>TI20220227</t>
        </is>
      </c>
      <c r="N879" s="522" t="inlineStr">
        <is>
          <t>TI20220227</t>
        </is>
      </c>
      <c r="O879" s="521">
        <f>M879=N879</f>
        <v/>
      </c>
      <c r="P879" s="521">
        <f>AND(MONTH(F879)=MONTH(S879), YEAR(F879)=YEAR(S879))</f>
        <v/>
      </c>
      <c r="Q879" s="521">
        <f>U879="L001-901905215"</f>
        <v/>
      </c>
      <c r="R879" s="556">
        <f>G879-W879</f>
        <v/>
      </c>
      <c r="S879" s="523" t="n">
        <v>44620</v>
      </c>
      <c r="T879" s="522" t="inlineStr">
        <is>
          <t>TI2022-0227</t>
        </is>
      </c>
      <c r="U879" s="522" t="inlineStr">
        <is>
          <t>L001-901905215</t>
        </is>
      </c>
      <c r="V879" s="522" t="inlineStr">
        <is>
          <t>វីអ៊ីស៊ិន (ខេមបូឌា) អ៊ិនដាសស្ទ្រី ឯ.ក</t>
        </is>
      </c>
      <c r="W879" s="556" t="n">
        <v>304950</v>
      </c>
    </row>
    <row r="880">
      <c r="A880" s="521" t="n">
        <v>872</v>
      </c>
      <c r="B880" s="522" t="inlineStr">
        <is>
          <t>Handling Charge</t>
        </is>
      </c>
      <c r="C880" s="522" t="inlineStr">
        <is>
          <t>56ប៊ី-លីង សឹបផ្លាយ ឆេន មេនេចម៉ិន ឯ.ក</t>
        </is>
      </c>
      <c r="D880" s="522" t="inlineStr">
        <is>
          <t>K004-902004795</t>
        </is>
      </c>
      <c r="E880" s="521" t="inlineStr">
        <is>
          <t>TI2022-0226</t>
        </is>
      </c>
      <c r="F880" s="523" t="n">
        <v>44620</v>
      </c>
      <c r="G880" s="556" t="n">
        <v>304950</v>
      </c>
      <c r="I880" s="521">
        <f>G880</f>
        <v/>
      </c>
      <c r="K880" s="521">
        <f>I880-G880</f>
        <v/>
      </c>
      <c r="M880" s="522" t="inlineStr">
        <is>
          <t>TI20220226</t>
        </is>
      </c>
      <c r="N880" s="522" t="inlineStr">
        <is>
          <t>TI20220226</t>
        </is>
      </c>
      <c r="O880" s="521">
        <f>M880=N880</f>
        <v/>
      </c>
      <c r="P880" s="521">
        <f>AND(MONTH(F880)=MONTH(S880), YEAR(F880)=YEAR(S880))</f>
        <v/>
      </c>
      <c r="Q880" s="521">
        <f>U880="L001-901905215"</f>
        <v/>
      </c>
      <c r="R880" s="556">
        <f>G880-W880</f>
        <v/>
      </c>
      <c r="S880" s="523" t="n">
        <v>44620</v>
      </c>
      <c r="T880" s="522" t="inlineStr">
        <is>
          <t>TI2022-0226</t>
        </is>
      </c>
      <c r="U880" s="522" t="inlineStr">
        <is>
          <t>L001-901905215</t>
        </is>
      </c>
      <c r="V880" s="522" t="inlineStr">
        <is>
          <t>វីអ៊ីស៊ិន (ខេមបូឌា) អ៊ិនដាសស្ទ្រី ឯ.ក</t>
        </is>
      </c>
      <c r="W880" s="556" t="n">
        <v>304950</v>
      </c>
    </row>
    <row r="881">
      <c r="A881" s="521" t="n">
        <v>873</v>
      </c>
      <c r="B881" s="522" t="inlineStr">
        <is>
          <t>Handling Charge</t>
        </is>
      </c>
      <c r="C881" s="522" t="inlineStr">
        <is>
          <t>56ប៊ី-លីង សឹបផ្លាយ ឆេន មេនេចម៉ិន ឯ.ក</t>
        </is>
      </c>
      <c r="D881" s="522" t="inlineStr">
        <is>
          <t>K004-902004795</t>
        </is>
      </c>
      <c r="E881" s="521" t="inlineStr">
        <is>
          <t>TI2022-0225</t>
        </is>
      </c>
      <c r="F881" s="523" t="n">
        <v>44620</v>
      </c>
      <c r="G881" s="556" t="n">
        <v>304950</v>
      </c>
      <c r="I881" s="521">
        <f>G881</f>
        <v/>
      </c>
      <c r="K881" s="521">
        <f>I881-G881</f>
        <v/>
      </c>
      <c r="M881" s="522" t="inlineStr">
        <is>
          <t>TI20220225</t>
        </is>
      </c>
      <c r="N881" s="522" t="inlineStr">
        <is>
          <t>TI20220225</t>
        </is>
      </c>
      <c r="O881" s="521">
        <f>M881=N881</f>
        <v/>
      </c>
      <c r="P881" s="521">
        <f>AND(MONTH(F881)=MONTH(S881), YEAR(F881)=YEAR(S881))</f>
        <v/>
      </c>
      <c r="Q881" s="521">
        <f>U881="L001-901905215"</f>
        <v/>
      </c>
      <c r="R881" s="556">
        <f>G881-W881</f>
        <v/>
      </c>
      <c r="S881" s="523" t="n">
        <v>44620</v>
      </c>
      <c r="T881" s="522" t="inlineStr">
        <is>
          <t>TI2022-0225</t>
        </is>
      </c>
      <c r="U881" s="522" t="inlineStr">
        <is>
          <t>L001-901905215</t>
        </is>
      </c>
      <c r="V881" s="522" t="inlineStr">
        <is>
          <t>វីអ៊ីស៊ិន (ខេមបូឌា) អ៊ិនដាសស្ទ្រី ឯ.ក</t>
        </is>
      </c>
      <c r="W881" s="556" t="n">
        <v>304950</v>
      </c>
    </row>
    <row r="882">
      <c r="A882" s="521" t="n">
        <v>874</v>
      </c>
      <c r="B882" s="522" t="inlineStr">
        <is>
          <t>Documentation and Terminal handing service</t>
        </is>
      </c>
      <c r="C882" s="522" t="inlineStr">
        <is>
          <t>យូសេន ឡូជីស្ទីក (ខេមបូឌា) ខូ អិលធីឌី</t>
        </is>
      </c>
      <c r="D882" s="522" t="inlineStr">
        <is>
          <t>L001-104015799</t>
        </is>
      </c>
      <c r="E882" s="521" t="inlineStr">
        <is>
          <t>PNHTI0031828</t>
        </is>
      </c>
      <c r="F882" s="523" t="n">
        <v>44602</v>
      </c>
      <c r="G882" s="556" t="n">
        <v>217692</v>
      </c>
      <c r="I882" s="521">
        <f>G882</f>
        <v/>
      </c>
      <c r="K882" s="521">
        <f>I882-G882</f>
        <v/>
      </c>
      <c r="M882" s="522" t="inlineStr">
        <is>
          <t>PNHTI0031828</t>
        </is>
      </c>
      <c r="N882" s="522" t="inlineStr">
        <is>
          <t>PNHTI0031828</t>
        </is>
      </c>
      <c r="O882" s="521">
        <f>M882=N882</f>
        <v/>
      </c>
      <c r="P882" s="521">
        <f>AND(MONTH(F882)=MONTH(S882), YEAR(F882)=YEAR(S882))</f>
        <v/>
      </c>
      <c r="Q882" s="521">
        <f>U882="L001-901905215"</f>
        <v/>
      </c>
      <c r="R882" s="556">
        <f>G882-W882</f>
        <v/>
      </c>
      <c r="S882" s="523" t="n">
        <v>44602</v>
      </c>
      <c r="T882" s="522" t="inlineStr">
        <is>
          <t>PNHTI0031828</t>
        </is>
      </c>
      <c r="U882" s="522" t="inlineStr">
        <is>
          <t>L001-901905215</t>
        </is>
      </c>
      <c r="V882" s="522" t="inlineStr">
        <is>
          <t>វីអ៊ីស៊ិន (ខេមបូឌា) អ៊ិនដាសស្ទ្រី ឯ.ក</t>
        </is>
      </c>
      <c r="W882" s="556" t="n">
        <v>217692</v>
      </c>
    </row>
    <row r="883">
      <c r="A883" s="521" t="n">
        <v>875</v>
      </c>
      <c r="B883" s="522" t="inlineStr">
        <is>
          <t>THC</t>
        </is>
      </c>
      <c r="C883" s="522" t="inlineStr">
        <is>
          <t>អិម &amp; វ៉ាយ អ៊ិនធើណេសិនណល ឡូជីស្ទីក (ខេមបូឌា)</t>
        </is>
      </c>
      <c r="D883" s="522" t="inlineStr">
        <is>
          <t>K003-103013059</t>
        </is>
      </c>
      <c r="E883" s="521" t="inlineStr">
        <is>
          <t>E-22000555</t>
        </is>
      </c>
      <c r="F883" s="523" t="n">
        <v>44617</v>
      </c>
      <c r="G883" s="556" t="n">
        <v>295192</v>
      </c>
      <c r="I883" s="521">
        <f>G883</f>
        <v/>
      </c>
      <c r="K883" s="521">
        <f>I883-G883</f>
        <v/>
      </c>
      <c r="M883" s="522" t="inlineStr">
        <is>
          <t>E22000555</t>
        </is>
      </c>
      <c r="N883" s="522" t="inlineStr">
        <is>
          <t>E22000555</t>
        </is>
      </c>
      <c r="O883" s="521">
        <f>M883=N883</f>
        <v/>
      </c>
      <c r="P883" s="521">
        <f>AND(MONTH(F883)=MONTH(S883), YEAR(F883)=YEAR(S883))</f>
        <v/>
      </c>
      <c r="Q883" s="521">
        <f>U883="L001-901905215"</f>
        <v/>
      </c>
      <c r="R883" s="556">
        <f>G883-W883</f>
        <v/>
      </c>
      <c r="S883" s="523" t="n">
        <v>44617</v>
      </c>
      <c r="T883" s="522" t="inlineStr">
        <is>
          <t>E-22000555</t>
        </is>
      </c>
      <c r="U883" s="522" t="inlineStr">
        <is>
          <t>L001-901905215</t>
        </is>
      </c>
      <c r="V883" s="522" t="inlineStr">
        <is>
          <t>វីអ៊ីស៊ិន (ខេមបូឌា) អ៊ិនដាសស្ទ្រី ឯ.ក</t>
        </is>
      </c>
      <c r="W883" s="556" t="n">
        <v>295192</v>
      </c>
    </row>
    <row r="884">
      <c r="A884" s="521" t="n">
        <v>876</v>
      </c>
      <c r="B884" s="522" t="inlineStr">
        <is>
          <t>THC</t>
        </is>
      </c>
      <c r="C884" s="522" t="inlineStr">
        <is>
          <t>អិម &amp; វ៉ាយ អ៊ិនធើណេសិនណល ឡូជីស្ទីក (ខេមបូឌា)</t>
        </is>
      </c>
      <c r="D884" s="522" t="inlineStr">
        <is>
          <t>K003-103013059</t>
        </is>
      </c>
      <c r="E884" s="521" t="inlineStr">
        <is>
          <t>E-22000485</t>
        </is>
      </c>
      <c r="F884" s="523" t="n">
        <v>44597</v>
      </c>
      <c r="G884" s="556" t="n">
        <v>377418</v>
      </c>
      <c r="I884" s="521">
        <f>G884</f>
        <v/>
      </c>
      <c r="K884" s="521">
        <f>I884-G884</f>
        <v/>
      </c>
      <c r="M884" s="522" t="inlineStr">
        <is>
          <t>E22000485</t>
        </is>
      </c>
      <c r="N884" s="522" t="inlineStr">
        <is>
          <t>E22000485</t>
        </is>
      </c>
      <c r="O884" s="521">
        <f>M884=N884</f>
        <v/>
      </c>
      <c r="P884" s="521">
        <f>AND(MONTH(F884)=MONTH(S884), YEAR(F884)=YEAR(S884))</f>
        <v/>
      </c>
      <c r="Q884" s="521">
        <f>U884="L001-901905215"</f>
        <v/>
      </c>
      <c r="R884" s="556">
        <f>G884-W884</f>
        <v/>
      </c>
      <c r="S884" s="523" t="n">
        <v>44607</v>
      </c>
      <c r="T884" s="522" t="inlineStr">
        <is>
          <t>E-22000485</t>
        </is>
      </c>
      <c r="U884" s="522" t="inlineStr">
        <is>
          <t>L001-901905215</t>
        </is>
      </c>
      <c r="V884" s="522" t="inlineStr">
        <is>
          <t>វីអ៊ីស៊ិន (ខេមបូឌា) អ៊ិនដាសស្ទ្រី ឯ.ក</t>
        </is>
      </c>
      <c r="W884" s="556" t="n">
        <v>377418</v>
      </c>
    </row>
    <row r="885">
      <c r="A885" s="521" t="n">
        <v>877</v>
      </c>
      <c r="B885" s="522" t="inlineStr">
        <is>
          <t>THC</t>
        </is>
      </c>
      <c r="C885" s="522" t="inlineStr">
        <is>
          <t>អិម &amp; វ៉ាយ អ៊ិនធើណេសិនណល ឡូជីស្ទីក (ខេមបូឌា)</t>
        </is>
      </c>
      <c r="D885" s="522" t="inlineStr">
        <is>
          <t>K003-103013059</t>
        </is>
      </c>
      <c r="E885" s="521" t="inlineStr">
        <is>
          <t>E-22000406</t>
        </is>
      </c>
      <c r="F885" s="523" t="n">
        <v>44594</v>
      </c>
      <c r="G885" s="556" t="n">
        <v>287201</v>
      </c>
      <c r="I885" s="521">
        <f>G885</f>
        <v/>
      </c>
      <c r="K885" s="521">
        <f>I885-G885</f>
        <v/>
      </c>
      <c r="M885" s="522" t="inlineStr">
        <is>
          <t>E22000406</t>
        </is>
      </c>
      <c r="N885" s="522" t="inlineStr">
        <is>
          <t>E22000406</t>
        </is>
      </c>
      <c r="O885" s="521">
        <f>M885=N885</f>
        <v/>
      </c>
      <c r="P885" s="521">
        <f>AND(MONTH(F885)=MONTH(S885), YEAR(F885)=YEAR(S885))</f>
        <v/>
      </c>
      <c r="Q885" s="521">
        <f>U885="L001-901905215"</f>
        <v/>
      </c>
      <c r="R885" s="556">
        <f>G885-W885</f>
        <v/>
      </c>
      <c r="S885" s="523" t="n">
        <v>44604</v>
      </c>
      <c r="T885" s="522" t="inlineStr">
        <is>
          <t>E-22000406</t>
        </is>
      </c>
      <c r="U885" s="522" t="inlineStr">
        <is>
          <t>L001-901905215</t>
        </is>
      </c>
      <c r="V885" s="522" t="inlineStr">
        <is>
          <t>វីអ៊ីស៊ិន (ខេមបូឌា) អ៊ិនដាសស្ទ្រី ឯ.ក</t>
        </is>
      </c>
      <c r="W885" s="556" t="n">
        <v>287201</v>
      </c>
    </row>
    <row r="886">
      <c r="A886" s="521" t="n">
        <v>878</v>
      </c>
      <c r="B886" s="522" t="inlineStr">
        <is>
          <t>Handling Charge</t>
        </is>
      </c>
      <c r="C886" s="522" t="inlineStr">
        <is>
          <t>អាយធីអាយ អ៊ិនធើណេសិនណល ត្រេនស័្ពរថេសិន (ខេមបូឌា) ឯ.ក</t>
        </is>
      </c>
      <c r="D886" s="522" t="inlineStr">
        <is>
          <t>K002-901800477</t>
        </is>
      </c>
      <c r="E886" s="521" t="inlineStr">
        <is>
          <t>CAM220365</t>
        </is>
      </c>
      <c r="F886" s="523" t="n">
        <v>44597</v>
      </c>
      <c r="G886" s="556" t="n">
        <v>371724</v>
      </c>
      <c r="I886" s="521">
        <f>G886</f>
        <v/>
      </c>
      <c r="K886" s="521">
        <f>I886-G886</f>
        <v/>
      </c>
      <c r="M886" s="522" t="inlineStr">
        <is>
          <t>CAM220365</t>
        </is>
      </c>
      <c r="N886" s="522" t="inlineStr">
        <is>
          <t>CAM220365</t>
        </is>
      </c>
      <c r="O886" s="521">
        <f>M886=N886</f>
        <v/>
      </c>
      <c r="P886" s="521">
        <f>AND(MONTH(F886)=MONTH(S886), YEAR(F886)=YEAR(S886))</f>
        <v/>
      </c>
      <c r="Q886" s="521">
        <f>U886="L001-901905215"</f>
        <v/>
      </c>
      <c r="R886" s="556">
        <f>G886-W886</f>
        <v/>
      </c>
      <c r="S886" s="523" t="n">
        <v>44597</v>
      </c>
      <c r="T886" s="522" t="inlineStr">
        <is>
          <t>CAM220365</t>
        </is>
      </c>
      <c r="U886" s="522" t="inlineStr">
        <is>
          <t>L001-901905215</t>
        </is>
      </c>
      <c r="V886" s="522" t="inlineStr">
        <is>
          <t>វីអ៊ីស៊ិន (ខេមបូឌា) អ៊ិនដាសស្ទ្រី ឯ.ក</t>
        </is>
      </c>
      <c r="W886" s="556" t="n">
        <v>371724</v>
      </c>
    </row>
    <row r="887">
      <c r="A887" s="521" t="n">
        <v>879</v>
      </c>
      <c r="B887" s="522" t="inlineStr">
        <is>
          <t>Documentation and Terminal handing service</t>
        </is>
      </c>
      <c r="C887" s="522" t="inlineStr">
        <is>
          <t>មើស្គ (ខេមបូឌា)</t>
        </is>
      </c>
      <c r="D887" s="522" t="inlineStr">
        <is>
          <t>L001-100045200</t>
        </is>
      </c>
      <c r="E887" s="521" t="inlineStr">
        <is>
          <t>5995886457</t>
        </is>
      </c>
      <c r="F887" s="523" t="n">
        <v>44593</v>
      </c>
      <c r="G887" s="556" t="n">
        <v>218366</v>
      </c>
      <c r="I887" s="521">
        <f>G887</f>
        <v/>
      </c>
      <c r="K887" s="521">
        <f>I887-G887</f>
        <v/>
      </c>
      <c r="M887" s="522" t="inlineStr">
        <is>
          <t>5995886457</t>
        </is>
      </c>
      <c r="N887" s="522" t="inlineStr"/>
      <c r="O887" s="521">
        <f>M887=N887</f>
        <v/>
      </c>
      <c r="P887" s="521">
        <f>AND(MONTH(F887)=MONTH(S887), YEAR(F887)=YEAR(S887))</f>
        <v/>
      </c>
      <c r="Q887" s="521">
        <f>U887="L001-901905215"</f>
        <v/>
      </c>
      <c r="R887" s="556">
        <f>G887-W887</f>
        <v/>
      </c>
      <c r="S887" s="521" t="n"/>
      <c r="T887" s="522" t="n"/>
      <c r="U887" s="522" t="n"/>
      <c r="V887" s="522" t="n"/>
      <c r="W887" s="521" t="n"/>
    </row>
    <row r="888">
      <c r="A888" s="521" t="n">
        <v>880</v>
      </c>
      <c r="B888" s="522" t="inlineStr">
        <is>
          <t>Lift-On &amp; Lift-Off</t>
        </is>
      </c>
      <c r="C888" s="522" t="inlineStr">
        <is>
          <t>កំពង់ផែស្វយ័តក្រុងព្រះសីហនុ</t>
        </is>
      </c>
      <c r="D888" s="522" t="inlineStr">
        <is>
          <t>L001-100044638</t>
        </is>
      </c>
      <c r="E888" s="521" t="inlineStr">
        <is>
          <t>012826</t>
        </is>
      </c>
      <c r="F888" s="523" t="n">
        <v>44593</v>
      </c>
      <c r="G888" s="556" t="n">
        <v>70853</v>
      </c>
      <c r="I888" s="521">
        <f>G888</f>
        <v/>
      </c>
      <c r="K888" s="521">
        <f>I888-G888</f>
        <v/>
      </c>
      <c r="M888" s="522" t="inlineStr">
        <is>
          <t>012826</t>
        </is>
      </c>
      <c r="N888" s="522" t="inlineStr"/>
      <c r="O888" s="521">
        <f>M888=N888</f>
        <v/>
      </c>
      <c r="P888" s="521">
        <f>AND(MONTH(F888)=MONTH(S888), YEAR(F888)=YEAR(S888))</f>
        <v/>
      </c>
      <c r="Q888" s="521">
        <f>U888="L001-901905215"</f>
        <v/>
      </c>
      <c r="R888" s="556">
        <f>G888-W888</f>
        <v/>
      </c>
      <c r="S888" s="521" t="n"/>
      <c r="T888" s="522" t="n"/>
      <c r="U888" s="522" t="n"/>
      <c r="V888" s="522" t="n"/>
      <c r="W888" s="521" t="n"/>
    </row>
    <row r="889">
      <c r="A889" s="521" t="n">
        <v>881</v>
      </c>
      <c r="B889" s="522" t="inlineStr">
        <is>
          <t>Trucking Import 40'</t>
        </is>
      </c>
      <c r="C889" s="522" t="inlineStr">
        <is>
          <t>ហុង តុង អ៊ិនធើណេសិនណល ឡូជីស្ទីក ឯ.ក</t>
        </is>
      </c>
      <c r="D889" s="522" t="inlineStr">
        <is>
          <t>K003-902006166</t>
        </is>
      </c>
      <c r="E889" s="521" t="inlineStr">
        <is>
          <t>HT220026</t>
        </is>
      </c>
      <c r="F889" s="523" t="n">
        <v>44612</v>
      </c>
      <c r="G889" s="556" t="n">
        <v>496174</v>
      </c>
      <c r="I889" s="521">
        <f>G889</f>
        <v/>
      </c>
      <c r="K889" s="521">
        <f>I889-G889</f>
        <v/>
      </c>
      <c r="M889" s="522" t="inlineStr">
        <is>
          <t>HT220026</t>
        </is>
      </c>
      <c r="N889" s="522" t="inlineStr">
        <is>
          <t>HT220026</t>
        </is>
      </c>
      <c r="O889" s="521">
        <f>M889=N889</f>
        <v/>
      </c>
      <c r="P889" s="521">
        <f>AND(MONTH(F889)=MONTH(S889), YEAR(F889)=YEAR(S889))</f>
        <v/>
      </c>
      <c r="Q889" s="521">
        <f>U889="L001-901905215"</f>
        <v/>
      </c>
      <c r="R889" s="556">
        <f>G889-W889</f>
        <v/>
      </c>
      <c r="S889" s="523" t="n">
        <v>44606</v>
      </c>
      <c r="T889" s="522" t="inlineStr">
        <is>
          <t>HT220026</t>
        </is>
      </c>
      <c r="U889" s="522" t="inlineStr">
        <is>
          <t>L001-901905215</t>
        </is>
      </c>
      <c r="V889" s="522" t="inlineStr">
        <is>
          <t>វីអ៊ីស៊ិន (ខេមបូឌា) អ៊ិនដាសស្ទ្រី ឯ.ក</t>
        </is>
      </c>
      <c r="W889" s="556" t="n">
        <v>496174</v>
      </c>
    </row>
    <row r="890">
      <c r="A890" s="521" t="n">
        <v>882</v>
      </c>
      <c r="B890" s="522" t="inlineStr">
        <is>
          <t>CONTAINER IMBALANCE CHRG</t>
        </is>
      </c>
      <c r="C890" s="522" t="inlineStr">
        <is>
          <t>អ៊ែរ៉ូ ស៊ីបភីង អេជេនស៊ី</t>
        </is>
      </c>
      <c r="D890" s="522" t="inlineStr">
        <is>
          <t>K004-901635903</t>
        </is>
      </c>
      <c r="E890" s="521" t="inlineStr">
        <is>
          <t>IKPSA2022501344</t>
        </is>
      </c>
      <c r="F890" s="523" t="n">
        <v>44593</v>
      </c>
      <c r="G890" s="556" t="n">
        <v>203700</v>
      </c>
      <c r="I890" s="521">
        <f>G890</f>
        <v/>
      </c>
      <c r="K890" s="521">
        <f>I890-G890</f>
        <v/>
      </c>
      <c r="M890" s="522" t="inlineStr">
        <is>
          <t>IKPSA2022501344</t>
        </is>
      </c>
      <c r="N890" s="522" t="inlineStr"/>
      <c r="O890" s="521">
        <f>M890=N890</f>
        <v/>
      </c>
      <c r="P890" s="521">
        <f>AND(MONTH(F890)=MONTH(S890), YEAR(F890)=YEAR(S890))</f>
        <v/>
      </c>
      <c r="Q890" s="521">
        <f>U890="L001-901905215"</f>
        <v/>
      </c>
      <c r="R890" s="556">
        <f>G890-W890</f>
        <v/>
      </c>
      <c r="S890" s="521" t="n"/>
      <c r="T890" s="522" t="n"/>
      <c r="U890" s="522" t="n"/>
      <c r="V890" s="522" t="n"/>
      <c r="W890" s="521" t="n"/>
    </row>
    <row r="891">
      <c r="A891" s="521" t="n">
        <v>883</v>
      </c>
      <c r="B891" s="522" t="inlineStr">
        <is>
          <t>CONTAINER IMBALANCE CHRG</t>
        </is>
      </c>
      <c r="C891" s="522" t="inlineStr">
        <is>
          <t>អ៊ែរ៉ូ ស៊ីបភីង អេជេនស៊ី</t>
        </is>
      </c>
      <c r="D891" s="522" t="inlineStr">
        <is>
          <t>K004-901635903</t>
        </is>
      </c>
      <c r="E891" s="521" t="inlineStr">
        <is>
          <t>IKPSA2022501343</t>
        </is>
      </c>
      <c r="F891" s="523" t="n">
        <v>44593</v>
      </c>
      <c r="G891" s="556" t="n">
        <v>195552</v>
      </c>
      <c r="I891" s="521">
        <f>G891</f>
        <v/>
      </c>
      <c r="K891" s="521">
        <f>I891-G891</f>
        <v/>
      </c>
      <c r="M891" s="522" t="inlineStr">
        <is>
          <t>IKPSA2022501343</t>
        </is>
      </c>
      <c r="N891" s="522" t="inlineStr"/>
      <c r="O891" s="521">
        <f>M891=N891</f>
        <v/>
      </c>
      <c r="P891" s="521">
        <f>AND(MONTH(F891)=MONTH(S891), YEAR(F891)=YEAR(S891))</f>
        <v/>
      </c>
      <c r="Q891" s="521">
        <f>U891="L001-901905215"</f>
        <v/>
      </c>
      <c r="R891" s="556">
        <f>G891-W891</f>
        <v/>
      </c>
      <c r="S891" s="521" t="n"/>
      <c r="T891" s="522" t="n"/>
      <c r="U891" s="522" t="n"/>
      <c r="V891" s="522" t="n"/>
      <c r="W891" s="521" t="n"/>
    </row>
    <row r="892">
      <c r="A892" s="521" t="n">
        <v>884</v>
      </c>
      <c r="B892" s="522" t="inlineStr">
        <is>
          <t>CONTAINER IMBALANCE CHRG</t>
        </is>
      </c>
      <c r="C892" s="522" t="inlineStr">
        <is>
          <t>អ៊ែរ៉ូ ស៊ីបភីង អេជេនស៊ី</t>
        </is>
      </c>
      <c r="D892" s="522" t="inlineStr">
        <is>
          <t>K004-901635903</t>
        </is>
      </c>
      <c r="E892" s="521" t="inlineStr">
        <is>
          <t>IKPSA2022501342</t>
        </is>
      </c>
      <c r="F892" s="523" t="n">
        <v>44593</v>
      </c>
      <c r="G892" s="556" t="n">
        <v>3704</v>
      </c>
      <c r="I892" s="521">
        <f>G892</f>
        <v/>
      </c>
      <c r="K892" s="521">
        <f>I892-G892</f>
        <v/>
      </c>
      <c r="M892" s="522" t="inlineStr">
        <is>
          <t>IKPSA2022501342</t>
        </is>
      </c>
      <c r="N892" s="522" t="inlineStr"/>
      <c r="O892" s="521">
        <f>M892=N892</f>
        <v/>
      </c>
      <c r="P892" s="521">
        <f>AND(MONTH(F892)=MONTH(S892), YEAR(F892)=YEAR(S892))</f>
        <v/>
      </c>
      <c r="Q892" s="521">
        <f>U892="L001-901905215"</f>
        <v/>
      </c>
      <c r="R892" s="556">
        <f>G892-W892</f>
        <v/>
      </c>
      <c r="S892" s="521" t="n"/>
      <c r="T892" s="522" t="n"/>
      <c r="U892" s="522" t="n"/>
      <c r="V892" s="522" t="n"/>
      <c r="W892" s="521" t="n"/>
    </row>
    <row r="893">
      <c r="A893" s="521" t="n">
        <v>885</v>
      </c>
      <c r="B893" s="522" t="inlineStr">
        <is>
          <t>Lift-On &amp; Lift-Off</t>
        </is>
      </c>
      <c r="C893" s="522" t="inlineStr">
        <is>
          <t>កំពង់ផែស្វយ័តក្រុងព្រះសីហនុ</t>
        </is>
      </c>
      <c r="D893" s="522" t="inlineStr">
        <is>
          <t>L001-100044638</t>
        </is>
      </c>
      <c r="E893" s="521" t="inlineStr">
        <is>
          <t>00010905</t>
        </is>
      </c>
      <c r="F893" s="523" t="n">
        <v>44593</v>
      </c>
      <c r="G893" s="556" t="n">
        <v>70870</v>
      </c>
      <c r="I893" s="521">
        <f>G893</f>
        <v/>
      </c>
      <c r="K893" s="521">
        <f>I893-G893</f>
        <v/>
      </c>
      <c r="M893" s="522" t="inlineStr">
        <is>
          <t>00010905</t>
        </is>
      </c>
      <c r="N893" s="522" t="inlineStr"/>
      <c r="O893" s="521">
        <f>M893=N893</f>
        <v/>
      </c>
      <c r="P893" s="521">
        <f>AND(MONTH(F893)=MONTH(S893), YEAR(F893)=YEAR(S893))</f>
        <v/>
      </c>
      <c r="Q893" s="521">
        <f>U893="L001-901905215"</f>
        <v/>
      </c>
      <c r="R893" s="556">
        <f>G893-W893</f>
        <v/>
      </c>
      <c r="S893" s="521" t="n"/>
      <c r="T893" s="522" t="n"/>
      <c r="U893" s="522" t="n"/>
      <c r="V893" s="522" t="n"/>
      <c r="W893" s="521" t="n"/>
    </row>
    <row r="894">
      <c r="A894" s="521" t="n">
        <v>886</v>
      </c>
      <c r="B894" s="522" t="inlineStr">
        <is>
          <t>Trucking Import 40'</t>
        </is>
      </c>
      <c r="C894" s="522" t="inlineStr">
        <is>
          <t>ហុង តុង អ៊ិនធើណេសិនណល ឡូជីស្ទីក ឯ.ក</t>
        </is>
      </c>
      <c r="D894" s="522" t="inlineStr">
        <is>
          <t>K003-902006166</t>
        </is>
      </c>
      <c r="E894" s="521" t="inlineStr">
        <is>
          <t>HT220025</t>
        </is>
      </c>
      <c r="F894" s="523" t="n">
        <v>44612</v>
      </c>
      <c r="G894" s="556" t="n">
        <v>496174</v>
      </c>
      <c r="I894" s="521">
        <f>G894</f>
        <v/>
      </c>
      <c r="K894" s="521">
        <f>I894-G894</f>
        <v/>
      </c>
      <c r="M894" s="522" t="inlineStr">
        <is>
          <t>HT220025</t>
        </is>
      </c>
      <c r="N894" s="522" t="inlineStr">
        <is>
          <t>HT220025</t>
        </is>
      </c>
      <c r="O894" s="521">
        <f>M894=N894</f>
        <v/>
      </c>
      <c r="P894" s="521">
        <f>AND(MONTH(F894)=MONTH(S894), YEAR(F894)=YEAR(S894))</f>
        <v/>
      </c>
      <c r="Q894" s="521">
        <f>U894="L001-901905215"</f>
        <v/>
      </c>
      <c r="R894" s="556">
        <f>G894-W894</f>
        <v/>
      </c>
      <c r="S894" s="523" t="n">
        <v>44804</v>
      </c>
      <c r="T894" s="522" t="inlineStr">
        <is>
          <t>HT220025</t>
        </is>
      </c>
      <c r="U894" s="522" t="inlineStr">
        <is>
          <t>L001-901905215</t>
        </is>
      </c>
      <c r="V894" s="522" t="inlineStr">
        <is>
          <t>វីអ៊ីស៊ិន (ខេមបូឌា) អ៊ិនដាសស្ទ្រី ឯ.ក</t>
        </is>
      </c>
      <c r="W894" s="556" t="n">
        <v>242726</v>
      </c>
    </row>
    <row r="895">
      <c r="A895" s="521" t="n">
        <v>887</v>
      </c>
      <c r="B895" s="522" t="inlineStr">
        <is>
          <t>LOW SULPHUR FUEL SURCHARGE</t>
        </is>
      </c>
      <c r="C895" s="522" t="inlineStr">
        <is>
          <t>អេសអាយធីស៊ី ខិនថេនើរ ឡាញ (ខេមបូឌា)</t>
        </is>
      </c>
      <c r="D895" s="522" t="inlineStr">
        <is>
          <t>L001-107035863</t>
        </is>
      </c>
      <c r="E895" s="521" t="inlineStr">
        <is>
          <t>SITC2022-002098</t>
        </is>
      </c>
      <c r="F895" s="523" t="n">
        <v>44596</v>
      </c>
      <c r="G895" s="556" t="n">
        <v>140553</v>
      </c>
      <c r="I895" s="521">
        <f>G895</f>
        <v/>
      </c>
      <c r="K895" s="521">
        <f>I895-G895</f>
        <v/>
      </c>
      <c r="M895" s="522" t="inlineStr">
        <is>
          <t>SITC2022002098</t>
        </is>
      </c>
      <c r="N895" s="522" t="inlineStr"/>
      <c r="O895" s="521">
        <f>M895=N895</f>
        <v/>
      </c>
      <c r="P895" s="521">
        <f>AND(MONTH(F895)=MONTH(S895), YEAR(F895)=YEAR(S895))</f>
        <v/>
      </c>
      <c r="Q895" s="521">
        <f>U895="L001-901905215"</f>
        <v/>
      </c>
      <c r="R895" s="556">
        <f>G895-W895</f>
        <v/>
      </c>
      <c r="S895" s="521" t="n"/>
      <c r="T895" s="522" t="n"/>
      <c r="U895" s="522" t="n"/>
      <c r="V895" s="522" t="n"/>
      <c r="W895" s="521" t="n"/>
    </row>
    <row r="896">
      <c r="A896" s="521" t="n">
        <v>888</v>
      </c>
      <c r="B896" s="522" t="inlineStr">
        <is>
          <t>Lift-On &amp; Lift-Off</t>
        </is>
      </c>
      <c r="C896" s="522" t="inlineStr">
        <is>
          <t>កំពង់ផែស្វយ័តក្រុងព្រះសីហនុ</t>
        </is>
      </c>
      <c r="D896" s="522" t="inlineStr">
        <is>
          <t>L001-100044638</t>
        </is>
      </c>
      <c r="E896" s="521" t="inlineStr">
        <is>
          <t>011828</t>
        </is>
      </c>
      <c r="F896" s="523" t="n">
        <v>44593</v>
      </c>
      <c r="G896" s="556" t="n">
        <v>23210</v>
      </c>
      <c r="I896" s="521">
        <f>G896</f>
        <v/>
      </c>
      <c r="K896" s="521">
        <f>I896-G896</f>
        <v/>
      </c>
      <c r="M896" s="522" t="inlineStr">
        <is>
          <t>011828</t>
        </is>
      </c>
      <c r="N896" s="522" t="inlineStr"/>
      <c r="O896" s="521">
        <f>M896=N896</f>
        <v/>
      </c>
      <c r="P896" s="521">
        <f>AND(MONTH(F896)=MONTH(S896), YEAR(F896)=YEAR(S896))</f>
        <v/>
      </c>
      <c r="Q896" s="521">
        <f>U896="L001-901905215"</f>
        <v/>
      </c>
      <c r="R896" s="556">
        <f>G896-W896</f>
        <v/>
      </c>
      <c r="S896" s="521" t="n"/>
      <c r="T896" s="522" t="n"/>
      <c r="U896" s="522" t="n"/>
      <c r="V896" s="522" t="n"/>
      <c r="W896" s="521" t="n"/>
    </row>
    <row r="897">
      <c r="A897" s="521" t="n">
        <v>889</v>
      </c>
      <c r="B897" s="522" t="inlineStr">
        <is>
          <t>Trucking Import 40'</t>
        </is>
      </c>
      <c r="C897" s="522" t="inlineStr">
        <is>
          <t>ហុង តុង អ៊ិនធើណេសិនណល ឡូជីស្ទីក ឯ.ក</t>
        </is>
      </c>
      <c r="D897" s="522" t="inlineStr">
        <is>
          <t>K003-902006166</t>
        </is>
      </c>
      <c r="E897" s="521" t="inlineStr">
        <is>
          <t>HT220024</t>
        </is>
      </c>
      <c r="F897" s="523" t="n">
        <v>44612</v>
      </c>
      <c r="G897" s="556" t="n">
        <v>239953</v>
      </c>
      <c r="I897" s="521">
        <f>G897</f>
        <v/>
      </c>
      <c r="K897" s="521">
        <f>I897-G897</f>
        <v/>
      </c>
      <c r="M897" s="522" t="inlineStr">
        <is>
          <t>HT220024</t>
        </is>
      </c>
      <c r="N897" s="522" t="inlineStr">
        <is>
          <t>HT220024</t>
        </is>
      </c>
      <c r="O897" s="521">
        <f>M897=N897</f>
        <v/>
      </c>
      <c r="P897" s="521">
        <f>AND(MONTH(F897)=MONTH(S897), YEAR(F897)=YEAR(S897))</f>
        <v/>
      </c>
      <c r="Q897" s="521">
        <f>U897="L001-901905215"</f>
        <v/>
      </c>
      <c r="R897" s="556">
        <f>G897-W897</f>
        <v/>
      </c>
      <c r="S897" s="523" t="n">
        <v>44804</v>
      </c>
      <c r="T897" s="522" t="inlineStr">
        <is>
          <t>HT220024</t>
        </is>
      </c>
      <c r="U897" s="522" t="inlineStr">
        <is>
          <t>L001-901905215</t>
        </is>
      </c>
      <c r="V897" s="522" t="inlineStr">
        <is>
          <t>វីអ៊ីស៊ិន (ខេមបូឌា) អ៊ិនដាសស្ទ្រី ឯ.ក</t>
        </is>
      </c>
      <c r="W897" s="556" t="n">
        <v>250954</v>
      </c>
    </row>
    <row r="898">
      <c r="A898" s="521" t="n">
        <v>890</v>
      </c>
      <c r="B898" s="522" t="inlineStr">
        <is>
          <t>KH THC</t>
        </is>
      </c>
      <c r="C898" s="522" t="inlineStr">
        <is>
          <t>អេសអាយធីស៊ី ខិនថេនើរ ឡាញ (ខេមបូឌា)</t>
        </is>
      </c>
      <c r="D898" s="522" t="inlineStr">
        <is>
          <t>L001-107035863</t>
        </is>
      </c>
      <c r="E898" s="521" t="inlineStr">
        <is>
          <t>SITC2022-000418</t>
        </is>
      </c>
      <c r="F898" s="523" t="n">
        <v>44593</v>
      </c>
      <c r="G898" s="556" t="n">
        <v>225663</v>
      </c>
      <c r="I898" s="521">
        <f>G898</f>
        <v/>
      </c>
      <c r="K898" s="521">
        <f>I898-G898</f>
        <v/>
      </c>
      <c r="M898" s="522" t="inlineStr">
        <is>
          <t>SITC2022000418</t>
        </is>
      </c>
      <c r="N898" s="522" t="inlineStr"/>
      <c r="O898" s="521">
        <f>M898=N898</f>
        <v/>
      </c>
      <c r="P898" s="521">
        <f>AND(MONTH(F898)=MONTH(S898), YEAR(F898)=YEAR(S898))</f>
        <v/>
      </c>
      <c r="Q898" s="521">
        <f>U898="L001-901905215"</f>
        <v/>
      </c>
      <c r="R898" s="556">
        <f>G898-W898</f>
        <v/>
      </c>
      <c r="S898" s="521" t="n"/>
      <c r="T898" s="522" t="n"/>
      <c r="U898" s="522" t="n"/>
      <c r="V898" s="522" t="n"/>
      <c r="W898" s="521" t="n"/>
    </row>
    <row r="899">
      <c r="A899" s="521" t="n">
        <v>891</v>
      </c>
      <c r="B899" s="522" t="inlineStr">
        <is>
          <t>Lift-On &amp; Lift-Off</t>
        </is>
      </c>
      <c r="C899" s="522" t="inlineStr">
        <is>
          <t>កំពង់ផែស្វយ័តក្រុងព្រះសីហនុ</t>
        </is>
      </c>
      <c r="D899" s="522" t="inlineStr">
        <is>
          <t>L001-100044638</t>
        </is>
      </c>
      <c r="E899" s="521" t="inlineStr">
        <is>
          <t>002205</t>
        </is>
      </c>
      <c r="F899" s="523" t="n">
        <v>44593</v>
      </c>
      <c r="G899" s="556" t="n">
        <v>35453</v>
      </c>
      <c r="I899" s="521">
        <f>G899</f>
        <v/>
      </c>
      <c r="K899" s="521">
        <f>I899-G899</f>
        <v/>
      </c>
      <c r="M899" s="522" t="inlineStr">
        <is>
          <t>002205</t>
        </is>
      </c>
      <c r="N899" s="522" t="inlineStr"/>
      <c r="O899" s="521">
        <f>M899=N899</f>
        <v/>
      </c>
      <c r="P899" s="521">
        <f>AND(MONTH(F899)=MONTH(S899), YEAR(F899)=YEAR(S899))</f>
        <v/>
      </c>
      <c r="Q899" s="521">
        <f>U899="L001-901905215"</f>
        <v/>
      </c>
      <c r="R899" s="556">
        <f>G899-W899</f>
        <v/>
      </c>
      <c r="S899" s="521" t="n"/>
      <c r="T899" s="522" t="n"/>
      <c r="U899" s="522" t="n"/>
      <c r="V899" s="522" t="n"/>
      <c r="W899" s="521" t="n"/>
    </row>
    <row r="900">
      <c r="A900" s="521" t="n">
        <v>892</v>
      </c>
      <c r="B900" s="522" t="inlineStr">
        <is>
          <t>Trucking Import 40'</t>
        </is>
      </c>
      <c r="C900" s="522" t="inlineStr">
        <is>
          <t>ហុង តុង អ៊ិនធើណេសិនណល ឡូជីស្ទីក ឯ.ក</t>
        </is>
      </c>
      <c r="D900" s="522" t="inlineStr">
        <is>
          <t>K003-902006166</t>
        </is>
      </c>
      <c r="E900" s="521" t="inlineStr">
        <is>
          <t>HT220023</t>
        </is>
      </c>
      <c r="F900" s="523" t="n">
        <v>44593</v>
      </c>
      <c r="G900" s="556" t="n">
        <v>248087</v>
      </c>
      <c r="I900" s="521">
        <f>G900</f>
        <v/>
      </c>
      <c r="K900" s="521">
        <f>I900-G900</f>
        <v/>
      </c>
      <c r="M900" s="522" t="inlineStr">
        <is>
          <t>HT220023</t>
        </is>
      </c>
      <c r="N900" s="522" t="inlineStr">
        <is>
          <t>HT220023</t>
        </is>
      </c>
      <c r="O900" s="521">
        <f>M900=N900</f>
        <v/>
      </c>
      <c r="P900" s="521">
        <f>AND(MONTH(F900)=MONTH(S900), YEAR(F900)=YEAR(S900))</f>
        <v/>
      </c>
      <c r="Q900" s="521">
        <f>U900="L001-901905215"</f>
        <v/>
      </c>
      <c r="R900" s="556">
        <f>G900-W900</f>
        <v/>
      </c>
      <c r="S900" s="523" t="n">
        <v>44804</v>
      </c>
      <c r="T900" s="522" t="inlineStr">
        <is>
          <t>HT220023</t>
        </is>
      </c>
      <c r="U900" s="522" t="inlineStr">
        <is>
          <t>L001-901905215</t>
        </is>
      </c>
      <c r="V900" s="522" t="inlineStr">
        <is>
          <t>វីអ៊ីស៊ិន (ខេមបូឌា) អ៊ិនដាសស្ទ្រី ឯ.ក</t>
        </is>
      </c>
      <c r="W900" s="556" t="n">
        <v>242726</v>
      </c>
    </row>
    <row r="901">
      <c r="A901" s="521" t="n">
        <v>893</v>
      </c>
      <c r="B901" s="522" t="inlineStr">
        <is>
          <t>Lift-On &amp; Lift-Off</t>
        </is>
      </c>
      <c r="C901" s="522" t="inlineStr">
        <is>
          <t>កំពង់ផែស្វយ័តក្រុងព្រះសីហនុ</t>
        </is>
      </c>
      <c r="D901" s="522" t="inlineStr">
        <is>
          <t>L001-100044638</t>
        </is>
      </c>
      <c r="E901" s="521" t="inlineStr">
        <is>
          <t>000484</t>
        </is>
      </c>
      <c r="F901" s="523" t="n">
        <v>44593</v>
      </c>
      <c r="G901" s="556" t="n">
        <v>141810</v>
      </c>
      <c r="I901" s="521">
        <f>G901</f>
        <v/>
      </c>
      <c r="K901" s="521">
        <f>I901-G901</f>
        <v/>
      </c>
      <c r="M901" s="522" t="inlineStr">
        <is>
          <t>000484</t>
        </is>
      </c>
      <c r="N901" s="522" t="inlineStr"/>
      <c r="O901" s="521">
        <f>M901=N901</f>
        <v/>
      </c>
      <c r="P901" s="521">
        <f>AND(MONTH(F901)=MONTH(S901), YEAR(F901)=YEAR(S901))</f>
        <v/>
      </c>
      <c r="Q901" s="521">
        <f>U901="L001-901905215"</f>
        <v/>
      </c>
      <c r="R901" s="556">
        <f>G901-W901</f>
        <v/>
      </c>
      <c r="S901" s="521" t="n"/>
      <c r="T901" s="522" t="n"/>
      <c r="U901" s="522" t="n"/>
      <c r="V901" s="522" t="n"/>
      <c r="W901" s="521" t="n"/>
    </row>
    <row r="902">
      <c r="A902" s="521" t="n">
        <v>894</v>
      </c>
      <c r="B902" s="522" t="inlineStr">
        <is>
          <t>Trucking Import 40'</t>
        </is>
      </c>
      <c r="C902" s="522" t="inlineStr">
        <is>
          <t>ហុង តុង អ៊ិនធើណេសិនណល ឡូជីស្ទីក ឯ.ក</t>
        </is>
      </c>
      <c r="D902" s="522" t="inlineStr">
        <is>
          <t>K003-902006166</t>
        </is>
      </c>
      <c r="E902" s="521" t="inlineStr">
        <is>
          <t>HT220022</t>
        </is>
      </c>
      <c r="F902" s="523" t="n">
        <v>44612</v>
      </c>
      <c r="G902" s="556" t="n">
        <v>992348</v>
      </c>
      <c r="I902" s="521">
        <f>G902</f>
        <v/>
      </c>
      <c r="K902" s="521">
        <f>I902-G902</f>
        <v/>
      </c>
      <c r="M902" s="522" t="inlineStr">
        <is>
          <t>HT220022</t>
        </is>
      </c>
      <c r="N902" s="522" t="inlineStr">
        <is>
          <t>HT220022</t>
        </is>
      </c>
      <c r="O902" s="521">
        <f>M902=N902</f>
        <v/>
      </c>
      <c r="P902" s="521">
        <f>AND(MONTH(F902)=MONTH(S902), YEAR(F902)=YEAR(S902))</f>
        <v/>
      </c>
      <c r="Q902" s="521">
        <f>U902="L001-901905215"</f>
        <v/>
      </c>
      <c r="R902" s="556">
        <f>G902-W902</f>
        <v/>
      </c>
      <c r="S902" s="523" t="n">
        <v>44804</v>
      </c>
      <c r="T902" s="522" t="inlineStr">
        <is>
          <t>HT220022</t>
        </is>
      </c>
      <c r="U902" s="522" t="inlineStr">
        <is>
          <t>L001-901905215</t>
        </is>
      </c>
      <c r="V902" s="522" t="inlineStr">
        <is>
          <t>វីអ៊ីស៊ិន (ខេមបូឌា) អ៊ិនដាសស្ទ្រី ឯ.ក</t>
        </is>
      </c>
      <c r="W902" s="556" t="n">
        <v>242726</v>
      </c>
    </row>
    <row r="903">
      <c r="A903" s="521" t="n">
        <v>895</v>
      </c>
      <c r="B903" s="522" t="inlineStr">
        <is>
          <t>KH THC</t>
        </is>
      </c>
      <c r="C903" s="522" t="inlineStr">
        <is>
          <t>អេសអាយធីស៊ី ខិនថេនើរ ឡាញ (ខេមបូឌា)</t>
        </is>
      </c>
      <c r="D903" s="522" t="inlineStr">
        <is>
          <t>L001-107035863</t>
        </is>
      </c>
      <c r="E903" s="521" t="inlineStr">
        <is>
          <t>SITC2022-000484</t>
        </is>
      </c>
      <c r="F903" s="523" t="n">
        <v>44593</v>
      </c>
      <c r="G903" s="556" t="n">
        <v>140277</v>
      </c>
      <c r="I903" s="521">
        <f>G903</f>
        <v/>
      </c>
      <c r="K903" s="521">
        <f>I903-G903</f>
        <v/>
      </c>
      <c r="M903" s="522" t="inlineStr">
        <is>
          <t>SITC2022000484</t>
        </is>
      </c>
      <c r="N903" s="522" t="inlineStr"/>
      <c r="O903" s="521">
        <f>M903=N903</f>
        <v/>
      </c>
      <c r="P903" s="521">
        <f>AND(MONTH(F903)=MONTH(S903), YEAR(F903)=YEAR(S903))</f>
        <v/>
      </c>
      <c r="Q903" s="521">
        <f>U903="L001-901905215"</f>
        <v/>
      </c>
      <c r="R903" s="556">
        <f>G903-W903</f>
        <v/>
      </c>
      <c r="S903" s="521" t="n"/>
      <c r="T903" s="522" t="n"/>
      <c r="U903" s="522" t="n"/>
      <c r="V903" s="522" t="n"/>
      <c r="W903" s="521" t="n"/>
    </row>
    <row r="904">
      <c r="A904" s="521" t="n">
        <v>896</v>
      </c>
      <c r="B904" s="522" t="inlineStr">
        <is>
          <t>Lift-On &amp; Lift-Off</t>
        </is>
      </c>
      <c r="C904" s="522" t="inlineStr">
        <is>
          <t>កំពង់ផែស្វយ័តក្រុងព្រះសីហនុ</t>
        </is>
      </c>
      <c r="D904" s="522" t="inlineStr">
        <is>
          <t>L001-100044638</t>
        </is>
      </c>
      <c r="E904" s="521" t="inlineStr">
        <is>
          <t>002198</t>
        </is>
      </c>
      <c r="F904" s="523" t="n">
        <v>44606</v>
      </c>
      <c r="G904" s="556" t="n">
        <v>23227</v>
      </c>
      <c r="I904" s="521">
        <f>G904</f>
        <v/>
      </c>
      <c r="K904" s="521">
        <f>I904-G904</f>
        <v/>
      </c>
      <c r="M904" s="522" t="inlineStr">
        <is>
          <t>002198</t>
        </is>
      </c>
      <c r="N904" s="522" t="inlineStr"/>
      <c r="O904" s="521">
        <f>M904=N904</f>
        <v/>
      </c>
      <c r="P904" s="521">
        <f>AND(MONTH(F904)=MONTH(S904), YEAR(F904)=YEAR(S904))</f>
        <v/>
      </c>
      <c r="Q904" s="521">
        <f>U904="L001-901905215"</f>
        <v/>
      </c>
      <c r="R904" s="556">
        <f>G904-W904</f>
        <v/>
      </c>
      <c r="S904" s="521" t="n"/>
      <c r="T904" s="522" t="n"/>
      <c r="U904" s="522" t="n"/>
      <c r="V904" s="522" t="n"/>
      <c r="W904" s="521" t="n"/>
    </row>
    <row r="905">
      <c r="A905" s="521" t="n">
        <v>897</v>
      </c>
      <c r="B905" s="522" t="inlineStr">
        <is>
          <t>Trucking Import 40'</t>
        </is>
      </c>
      <c r="C905" s="522" t="inlineStr">
        <is>
          <t>ហុង តុង អ៊ិនធើណេសិនណល ឡូជីស្ទីក ឯ.ក</t>
        </is>
      </c>
      <c r="D905" s="522" t="inlineStr">
        <is>
          <t>K003-902006166</t>
        </is>
      </c>
      <c r="E905" s="521" t="inlineStr">
        <is>
          <t>HT220021</t>
        </is>
      </c>
      <c r="F905" s="523" t="n">
        <v>44606</v>
      </c>
      <c r="G905" s="556" t="n">
        <v>239953</v>
      </c>
      <c r="I905" s="521">
        <f>G905</f>
        <v/>
      </c>
      <c r="K905" s="521">
        <f>I905-G905</f>
        <v/>
      </c>
      <c r="M905" s="522" t="inlineStr">
        <is>
          <t>HT220021</t>
        </is>
      </c>
      <c r="N905" s="522" t="inlineStr">
        <is>
          <t>HT220021</t>
        </is>
      </c>
      <c r="O905" s="521">
        <f>M905=N905</f>
        <v/>
      </c>
      <c r="P905" s="521">
        <f>AND(MONTH(F905)=MONTH(S905), YEAR(F905)=YEAR(S905))</f>
        <v/>
      </c>
      <c r="Q905" s="521">
        <f>U905="L001-901905215"</f>
        <v/>
      </c>
      <c r="R905" s="556">
        <f>G905-W905</f>
        <v/>
      </c>
      <c r="S905" s="523" t="n">
        <v>44606</v>
      </c>
      <c r="T905" s="522" t="inlineStr">
        <is>
          <t>HT220021</t>
        </is>
      </c>
      <c r="U905" s="522" t="inlineStr">
        <is>
          <t>L001-901905215</t>
        </is>
      </c>
      <c r="V905" s="522" t="inlineStr">
        <is>
          <t>វីអ៊ីស៊ិន (ខេមបូឌា) អ៊ិនដាសស្ទ្រី ឯ.ក</t>
        </is>
      </c>
      <c r="W905" s="556" t="n">
        <v>239953</v>
      </c>
    </row>
    <row r="906">
      <c r="A906" s="521" t="n">
        <v>898</v>
      </c>
      <c r="B906" s="522" t="inlineStr">
        <is>
          <t>Documentation and Terminal handing service</t>
        </is>
      </c>
      <c r="C906" s="522" t="inlineStr">
        <is>
          <t>មើស្គ (ខេមបូឌា)</t>
        </is>
      </c>
      <c r="D906" s="522" t="inlineStr">
        <is>
          <t>L001-100045200</t>
        </is>
      </c>
      <c r="E906" s="521" t="inlineStr">
        <is>
          <t>5995885486</t>
        </is>
      </c>
      <c r="F906" s="523" t="n">
        <v>44593</v>
      </c>
      <c r="G906" s="556" t="n">
        <v>218259</v>
      </c>
      <c r="I906" s="521">
        <f>G906</f>
        <v/>
      </c>
      <c r="K906" s="521">
        <f>I906-G906</f>
        <v/>
      </c>
      <c r="M906" s="522" t="inlineStr">
        <is>
          <t>5995885486</t>
        </is>
      </c>
      <c r="N906" s="522" t="inlineStr"/>
      <c r="O906" s="521">
        <f>M906=N906</f>
        <v/>
      </c>
      <c r="P906" s="521">
        <f>AND(MONTH(F906)=MONTH(S906), YEAR(F906)=YEAR(S906))</f>
        <v/>
      </c>
      <c r="Q906" s="521">
        <f>U906="L001-901905215"</f>
        <v/>
      </c>
      <c r="R906" s="556">
        <f>G906-W906</f>
        <v/>
      </c>
      <c r="S906" s="521" t="n"/>
      <c r="T906" s="522" t="n"/>
      <c r="U906" s="522" t="n"/>
      <c r="V906" s="522" t="n"/>
      <c r="W906" s="521" t="n"/>
    </row>
    <row r="907">
      <c r="A907" s="521" t="n">
        <v>899</v>
      </c>
      <c r="B907" s="522" t="inlineStr">
        <is>
          <t>Lift-On &amp; Lift-Off</t>
        </is>
      </c>
      <c r="C907" s="522" t="inlineStr">
        <is>
          <t>កំពង់ផែស្វយ័តក្រុងព្រះសីហនុ</t>
        </is>
      </c>
      <c r="D907" s="522" t="inlineStr">
        <is>
          <t>L001-100044638</t>
        </is>
      </c>
      <c r="E907" s="521" t="inlineStr">
        <is>
          <t>003408</t>
        </is>
      </c>
      <c r="F907" s="523" t="n">
        <v>44593</v>
      </c>
      <c r="G907" s="556" t="n">
        <v>70905</v>
      </c>
      <c r="I907" s="521">
        <f>G907</f>
        <v/>
      </c>
      <c r="K907" s="521">
        <f>I907-G907</f>
        <v/>
      </c>
      <c r="M907" s="522" t="inlineStr">
        <is>
          <t>003408</t>
        </is>
      </c>
      <c r="N907" s="522" t="inlineStr"/>
      <c r="O907" s="521">
        <f>M907=N907</f>
        <v/>
      </c>
      <c r="P907" s="521">
        <f>AND(MONTH(F907)=MONTH(S907), YEAR(F907)=YEAR(S907))</f>
        <v/>
      </c>
      <c r="Q907" s="521">
        <f>U907="L001-901905215"</f>
        <v/>
      </c>
      <c r="R907" s="556">
        <f>G907-W907</f>
        <v/>
      </c>
      <c r="S907" s="521" t="n"/>
      <c r="T907" s="522" t="n"/>
      <c r="U907" s="522" t="n"/>
      <c r="V907" s="522" t="n"/>
      <c r="W907" s="521" t="n"/>
    </row>
    <row r="908">
      <c r="A908" s="521" t="n">
        <v>900</v>
      </c>
      <c r="B908" s="522" t="inlineStr">
        <is>
          <t>Trucking Import 40'</t>
        </is>
      </c>
      <c r="C908" s="522" t="inlineStr">
        <is>
          <t>ហុង តុង អ៊ិនធើណេសិនណល ឡូជីស្ទីក ឯ.ក</t>
        </is>
      </c>
      <c r="D908" s="522" t="inlineStr">
        <is>
          <t>K003-902006166</t>
        </is>
      </c>
      <c r="E908" s="521" t="inlineStr">
        <is>
          <t>HT220020</t>
        </is>
      </c>
      <c r="F908" s="523" t="n">
        <v>44606</v>
      </c>
      <c r="G908" s="556" t="n">
        <v>496174</v>
      </c>
      <c r="I908" s="521">
        <f>G908</f>
        <v/>
      </c>
      <c r="K908" s="521">
        <f>I908-G908</f>
        <v/>
      </c>
      <c r="M908" s="522" t="inlineStr">
        <is>
          <t>HT220020</t>
        </is>
      </c>
      <c r="N908" s="522" t="inlineStr">
        <is>
          <t>HT220020</t>
        </is>
      </c>
      <c r="O908" s="521">
        <f>M908=N908</f>
        <v/>
      </c>
      <c r="P908" s="521">
        <f>AND(MONTH(F908)=MONTH(S908), YEAR(F908)=YEAR(S908))</f>
        <v/>
      </c>
      <c r="Q908" s="521">
        <f>U908="L001-901905215"</f>
        <v/>
      </c>
      <c r="R908" s="556">
        <f>G908-W908</f>
        <v/>
      </c>
      <c r="S908" s="523" t="n">
        <v>44606</v>
      </c>
      <c r="T908" s="522" t="inlineStr">
        <is>
          <t>HT220020</t>
        </is>
      </c>
      <c r="U908" s="522" t="inlineStr">
        <is>
          <t>L001-901905215</t>
        </is>
      </c>
      <c r="V908" s="522" t="inlineStr">
        <is>
          <t>វីអ៊ីស៊ិន (ខេមបូឌា) អ៊ិនដាសស្ទ្រី ឯ.ក</t>
        </is>
      </c>
      <c r="W908" s="556" t="n">
        <v>496174</v>
      </c>
    </row>
    <row r="909">
      <c r="A909" s="521" t="n">
        <v>901</v>
      </c>
      <c r="B909" s="522" t="inlineStr">
        <is>
          <t>Lift-On &amp; Lift-Off</t>
        </is>
      </c>
      <c r="C909" s="522" t="inlineStr">
        <is>
          <t>កំពង់ផែស្វយ័តក្រុងព្រះសីហនុ</t>
        </is>
      </c>
      <c r="D909" s="522" t="inlineStr">
        <is>
          <t>L001-100044638</t>
        </is>
      </c>
      <c r="E909" s="521" t="inlineStr">
        <is>
          <t>007603</t>
        </is>
      </c>
      <c r="F909" s="523" t="n">
        <v>44593</v>
      </c>
      <c r="G909" s="556" t="n">
        <v>6926</v>
      </c>
      <c r="I909" s="521">
        <f>G909</f>
        <v/>
      </c>
      <c r="K909" s="521">
        <f>I909-G909</f>
        <v/>
      </c>
      <c r="M909" s="522" t="inlineStr">
        <is>
          <t>007603</t>
        </is>
      </c>
      <c r="N909" s="522" t="inlineStr"/>
      <c r="O909" s="521">
        <f>M909=N909</f>
        <v/>
      </c>
      <c r="P909" s="521">
        <f>AND(MONTH(F909)=MONTH(S909), YEAR(F909)=YEAR(S909))</f>
        <v/>
      </c>
      <c r="Q909" s="521">
        <f>U909="L001-901905215"</f>
        <v/>
      </c>
      <c r="R909" s="556">
        <f>G909-W909</f>
        <v/>
      </c>
      <c r="S909" s="521" t="n"/>
      <c r="T909" s="522" t="n"/>
      <c r="U909" s="522" t="n"/>
      <c r="V909" s="522" t="n"/>
      <c r="W909" s="521" t="n"/>
    </row>
    <row r="910">
      <c r="A910" s="521" t="n">
        <v>902</v>
      </c>
      <c r="B910" s="522" t="inlineStr">
        <is>
          <t>Export Customs Clearance</t>
        </is>
      </c>
      <c r="C910" s="522" t="inlineStr">
        <is>
          <t>ហាតឆ៍ អេស៊ា ឡូជីស្ទីក ឯ.ក</t>
        </is>
      </c>
      <c r="D910" s="522" t="inlineStr">
        <is>
          <t>K009-902102511</t>
        </is>
      </c>
      <c r="E910" s="521" t="inlineStr">
        <is>
          <t>VI01132022-07</t>
        </is>
      </c>
      <c r="F910" s="523" t="n">
        <v>44616</v>
      </c>
      <c r="G910" s="556" t="n">
        <v>522481</v>
      </c>
      <c r="I910" s="521">
        <f>G910</f>
        <v/>
      </c>
      <c r="K910" s="521">
        <f>I910-G910</f>
        <v/>
      </c>
      <c r="M910" s="522" t="inlineStr">
        <is>
          <t>VI0113202207</t>
        </is>
      </c>
      <c r="N910" s="522" t="inlineStr">
        <is>
          <t>VI0113202207</t>
        </is>
      </c>
      <c r="O910" s="521">
        <f>M910=N910</f>
        <v/>
      </c>
      <c r="P910" s="521">
        <f>AND(MONTH(F910)=MONTH(S910), YEAR(F910)=YEAR(S910))</f>
        <v/>
      </c>
      <c r="Q910" s="521">
        <f>U910="L001-901905215"</f>
        <v/>
      </c>
      <c r="R910" s="556">
        <f>G910-W910</f>
        <v/>
      </c>
      <c r="S910" s="523" t="n">
        <v>44616</v>
      </c>
      <c r="T910" s="522" t="inlineStr">
        <is>
          <t>VI01132022-07</t>
        </is>
      </c>
      <c r="U910" s="522" t="inlineStr">
        <is>
          <t>L001-901905215</t>
        </is>
      </c>
      <c r="V910" s="522" t="inlineStr">
        <is>
          <t>វីអ៊ីស៊ិន (ខេមបូឌា) អ៊ិនដាសស្ទ្រី ឯ.ក</t>
        </is>
      </c>
      <c r="W910" s="556" t="n">
        <v>522481</v>
      </c>
    </row>
    <row r="911">
      <c r="A911" s="521" t="n">
        <v>903</v>
      </c>
      <c r="B911" s="522" t="inlineStr">
        <is>
          <t>Lift-Off Charge,Gate Fee Charge</t>
        </is>
      </c>
      <c r="C911" s="522" t="inlineStr">
        <is>
          <t>កំពង់ផែស្វយ័តភ្នំពេញ "ក.ស.ភ"</t>
        </is>
      </c>
      <c r="D911" s="522" t="inlineStr">
        <is>
          <t>L001-100044999</t>
        </is>
      </c>
      <c r="E911" s="521" t="inlineStr">
        <is>
          <t>INV20220102370</t>
        </is>
      </c>
      <c r="F911" s="523" t="n">
        <v>44593</v>
      </c>
      <c r="G911" s="556" t="n">
        <v>29340</v>
      </c>
      <c r="I911" s="521">
        <f>G911</f>
        <v/>
      </c>
      <c r="K911" s="521">
        <f>I911-G911</f>
        <v/>
      </c>
      <c r="M911" s="522" t="inlineStr">
        <is>
          <t>INV20220102370</t>
        </is>
      </c>
      <c r="N911" s="522" t="inlineStr"/>
      <c r="O911" s="521">
        <f>M911=N911</f>
        <v/>
      </c>
      <c r="P911" s="521">
        <f>AND(MONTH(F911)=MONTH(S911), YEAR(F911)=YEAR(S911))</f>
        <v/>
      </c>
      <c r="Q911" s="521">
        <f>U911="L001-901905215"</f>
        <v/>
      </c>
      <c r="R911" s="556">
        <f>G911-W911</f>
        <v/>
      </c>
      <c r="S911" s="521" t="n"/>
      <c r="T911" s="522" t="n"/>
      <c r="U911" s="522" t="n"/>
      <c r="V911" s="522" t="n"/>
      <c r="W911" s="521" t="n"/>
    </row>
    <row r="912">
      <c r="A912" s="521" t="n">
        <v>904</v>
      </c>
      <c r="B912" s="522" t="inlineStr">
        <is>
          <t>Export Customs Clearance</t>
        </is>
      </c>
      <c r="C912" s="522" t="inlineStr">
        <is>
          <t>ហាតឆ៍ អេស៊ា ឡូជីស្ទីក ឯ.ក</t>
        </is>
      </c>
      <c r="D912" s="522" t="inlineStr">
        <is>
          <t>K009-902102511</t>
        </is>
      </c>
      <c r="E912" s="521" t="inlineStr">
        <is>
          <t>VI01132022-06</t>
        </is>
      </c>
      <c r="F912" s="523" t="n">
        <v>44616</v>
      </c>
      <c r="G912" s="556" t="n">
        <v>433029</v>
      </c>
      <c r="I912" s="521">
        <f>G912</f>
        <v/>
      </c>
      <c r="K912" s="521">
        <f>I912-G912</f>
        <v/>
      </c>
      <c r="M912" s="522" t="inlineStr">
        <is>
          <t>VI0113202206</t>
        </is>
      </c>
      <c r="N912" s="522" t="inlineStr">
        <is>
          <t>VI0113202206</t>
        </is>
      </c>
      <c r="O912" s="521">
        <f>M912=N912</f>
        <v/>
      </c>
      <c r="P912" s="521">
        <f>AND(MONTH(F912)=MONTH(S912), YEAR(F912)=YEAR(S912))</f>
        <v/>
      </c>
      <c r="Q912" s="521">
        <f>U912="L001-901905215"</f>
        <v/>
      </c>
      <c r="R912" s="556">
        <f>G912-W912</f>
        <v/>
      </c>
      <c r="S912" s="523" t="n">
        <v>44616</v>
      </c>
      <c r="T912" s="522" t="inlineStr">
        <is>
          <t>VI01132022-06</t>
        </is>
      </c>
      <c r="U912" s="522" t="inlineStr">
        <is>
          <t>L001-901905215</t>
        </is>
      </c>
      <c r="V912" s="522" t="inlineStr">
        <is>
          <t>វីអ៊ីស៊ិន (ខេមបូឌា) អ៊ិនដាសស្ទ្រី ឯ.ក</t>
        </is>
      </c>
      <c r="W912" s="556" t="n">
        <v>433029</v>
      </c>
    </row>
    <row r="913">
      <c r="A913" s="521" t="n">
        <v>905</v>
      </c>
      <c r="B913" s="522" t="inlineStr">
        <is>
          <t>Lift-Off Charge,Gate Fee Charge</t>
        </is>
      </c>
      <c r="C913" s="522" t="inlineStr">
        <is>
          <t>កំពង់ផែស្វយ័តភ្នំពេញ "ក.ស.ភ"</t>
        </is>
      </c>
      <c r="D913" s="522" t="inlineStr">
        <is>
          <t>L001-100044999</t>
        </is>
      </c>
      <c r="E913" s="521" t="inlineStr">
        <is>
          <t>INV20220209395</t>
        </is>
      </c>
      <c r="F913" s="523" t="n">
        <v>44594</v>
      </c>
      <c r="G913" s="556" t="n">
        <v>9761</v>
      </c>
      <c r="I913" s="521">
        <f>G913</f>
        <v/>
      </c>
      <c r="K913" s="521">
        <f>I913-G913</f>
        <v/>
      </c>
      <c r="M913" s="522" t="inlineStr">
        <is>
          <t>INV20220209395</t>
        </is>
      </c>
      <c r="N913" s="522" t="inlineStr"/>
      <c r="O913" s="521">
        <f>M913=N913</f>
        <v/>
      </c>
      <c r="P913" s="521">
        <f>AND(MONTH(F913)=MONTH(S913), YEAR(F913)=YEAR(S913))</f>
        <v/>
      </c>
      <c r="Q913" s="521">
        <f>U913="L001-901905215"</f>
        <v/>
      </c>
      <c r="R913" s="556">
        <f>G913-W913</f>
        <v/>
      </c>
      <c r="S913" s="521" t="n"/>
      <c r="T913" s="522" t="n"/>
      <c r="U913" s="522" t="n"/>
      <c r="V913" s="522" t="n"/>
      <c r="W913" s="521" t="n"/>
    </row>
    <row r="914">
      <c r="A914" s="521" t="n">
        <v>906</v>
      </c>
      <c r="B914" s="522" t="inlineStr">
        <is>
          <t>Export Customs Clearance</t>
        </is>
      </c>
      <c r="C914" s="522" t="inlineStr">
        <is>
          <t>ហាតឆ៍ អេស៊ា ឡូជីស្ទីក ឯ.ក</t>
        </is>
      </c>
      <c r="D914" s="522" t="inlineStr">
        <is>
          <t>K009-902102511</t>
        </is>
      </c>
      <c r="E914" s="521" t="inlineStr">
        <is>
          <t>VI01132022-05</t>
        </is>
      </c>
      <c r="F914" s="523" t="n">
        <v>44616</v>
      </c>
      <c r="G914" s="556" t="n">
        <v>422864</v>
      </c>
      <c r="I914" s="521">
        <f>G914</f>
        <v/>
      </c>
      <c r="K914" s="521">
        <f>I914-G914</f>
        <v/>
      </c>
      <c r="M914" s="522" t="inlineStr">
        <is>
          <t>VI0113202205</t>
        </is>
      </c>
      <c r="N914" s="522" t="inlineStr">
        <is>
          <t>VI0113202205</t>
        </is>
      </c>
      <c r="O914" s="521">
        <f>M914=N914</f>
        <v/>
      </c>
      <c r="P914" s="521">
        <f>AND(MONTH(F914)=MONTH(S914), YEAR(F914)=YEAR(S914))</f>
        <v/>
      </c>
      <c r="Q914" s="521">
        <f>U914="L001-901905215"</f>
        <v/>
      </c>
      <c r="R914" s="556">
        <f>G914-W914</f>
        <v/>
      </c>
      <c r="S914" s="523" t="n">
        <v>44616</v>
      </c>
      <c r="T914" s="522" t="inlineStr">
        <is>
          <t>VI01132022-05</t>
        </is>
      </c>
      <c r="U914" s="522" t="inlineStr">
        <is>
          <t>L001-901905215</t>
        </is>
      </c>
      <c r="V914" s="522" t="inlineStr">
        <is>
          <t>វីអ៊ីស៊ិន (ខេមបូឌា) អ៊ិនដាសស្ទ្រី ឯ.ក</t>
        </is>
      </c>
      <c r="W914" s="556" t="n">
        <v>422864</v>
      </c>
    </row>
    <row r="915">
      <c r="A915" s="521" t="n">
        <v>907</v>
      </c>
      <c r="B915" s="522" t="inlineStr">
        <is>
          <t>Lift-Off Charge,Gate Fee Charge</t>
        </is>
      </c>
      <c r="C915" s="522" t="inlineStr">
        <is>
          <t>កំពង់ផែស្វយ័តភ្នំពេញ "ក.ស.ភ"</t>
        </is>
      </c>
      <c r="D915" s="522" t="inlineStr">
        <is>
          <t>L001-100044999</t>
        </is>
      </c>
      <c r="E915" s="521" t="inlineStr">
        <is>
          <t>INV20220102369</t>
        </is>
      </c>
      <c r="F915" s="523" t="n">
        <v>44593</v>
      </c>
      <c r="G915" s="556" t="n">
        <v>29340</v>
      </c>
      <c r="I915" s="521">
        <f>G915</f>
        <v/>
      </c>
      <c r="K915" s="521">
        <f>I915-G915</f>
        <v/>
      </c>
      <c r="M915" s="522" t="inlineStr">
        <is>
          <t>INV20220102369</t>
        </is>
      </c>
      <c r="N915" s="522" t="inlineStr"/>
      <c r="O915" s="521">
        <f>M915=N915</f>
        <v/>
      </c>
      <c r="P915" s="521">
        <f>AND(MONTH(F915)=MONTH(S915), YEAR(F915)=YEAR(S915))</f>
        <v/>
      </c>
      <c r="Q915" s="521">
        <f>U915="L001-901905215"</f>
        <v/>
      </c>
      <c r="R915" s="556">
        <f>G915-W915</f>
        <v/>
      </c>
      <c r="S915" s="521" t="n"/>
      <c r="T915" s="522" t="n"/>
      <c r="U915" s="522" t="n"/>
      <c r="V915" s="522" t="n"/>
      <c r="W915" s="521" t="n"/>
    </row>
    <row r="916">
      <c r="A916" s="521" t="n">
        <v>908</v>
      </c>
      <c r="B916" s="522" t="inlineStr">
        <is>
          <t>Handling Charge</t>
        </is>
      </c>
      <c r="C916" s="522" t="inlineStr">
        <is>
          <t>ហាតឆ៍ អេស៊ា ឡូជីស្ទីក ឯ.ក</t>
        </is>
      </c>
      <c r="D916" s="522" t="inlineStr">
        <is>
          <t>K009-902102511</t>
        </is>
      </c>
      <c r="E916" s="521" t="inlineStr">
        <is>
          <t>VI01132022-04</t>
        </is>
      </c>
      <c r="F916" s="523" t="n">
        <v>44616</v>
      </c>
      <c r="G916" s="556" t="n">
        <v>424897</v>
      </c>
      <c r="I916" s="521">
        <f>G916</f>
        <v/>
      </c>
      <c r="K916" s="521">
        <f>I916-G916</f>
        <v/>
      </c>
      <c r="M916" s="522" t="inlineStr">
        <is>
          <t>VI0113202204</t>
        </is>
      </c>
      <c r="N916" s="522" t="inlineStr">
        <is>
          <t>VI0113202204</t>
        </is>
      </c>
      <c r="O916" s="521">
        <f>M916=N916</f>
        <v/>
      </c>
      <c r="P916" s="521">
        <f>AND(MONTH(F916)=MONTH(S916), YEAR(F916)=YEAR(S916))</f>
        <v/>
      </c>
      <c r="Q916" s="521">
        <f>U916="L001-901905215"</f>
        <v/>
      </c>
      <c r="R916" s="556">
        <f>G916-W916</f>
        <v/>
      </c>
      <c r="S916" s="523" t="n">
        <v>44616</v>
      </c>
      <c r="T916" s="522" t="inlineStr">
        <is>
          <t>VI01132022-04</t>
        </is>
      </c>
      <c r="U916" s="522" t="inlineStr">
        <is>
          <t>L001-901905215</t>
        </is>
      </c>
      <c r="V916" s="522" t="inlineStr">
        <is>
          <t>វីអ៊ីស៊ិន (ខេមបូឌា) អ៊ិនដាសស្ទ្រី ឯ.ក</t>
        </is>
      </c>
      <c r="W916" s="556" t="n">
        <v>424897</v>
      </c>
    </row>
    <row r="917">
      <c r="A917" s="521" t="n">
        <v>909</v>
      </c>
      <c r="B917" s="522" t="inlineStr">
        <is>
          <t>Handling Charge</t>
        </is>
      </c>
      <c r="C917" s="522" t="inlineStr">
        <is>
          <t>ហាតឆ៍ អេស៊ា ឡូជីស្ទីក ឯ.ក</t>
        </is>
      </c>
      <c r="D917" s="522" t="inlineStr">
        <is>
          <t>K009-902102511</t>
        </is>
      </c>
      <c r="E917" s="521" t="inlineStr">
        <is>
          <t>VI01132022-03</t>
        </is>
      </c>
      <c r="F917" s="523" t="n">
        <v>44616</v>
      </c>
      <c r="G917" s="556" t="n">
        <v>411073</v>
      </c>
      <c r="I917" s="521">
        <f>G917</f>
        <v/>
      </c>
      <c r="K917" s="521">
        <f>I917-G917</f>
        <v/>
      </c>
      <c r="M917" s="522" t="inlineStr">
        <is>
          <t>VI0113202203</t>
        </is>
      </c>
      <c r="N917" s="522" t="inlineStr">
        <is>
          <t>VI0113202203</t>
        </is>
      </c>
      <c r="O917" s="521">
        <f>M917=N917</f>
        <v/>
      </c>
      <c r="P917" s="521">
        <f>AND(MONTH(F917)=MONTH(S917), YEAR(F917)=YEAR(S917))</f>
        <v/>
      </c>
      <c r="Q917" s="521">
        <f>U917="L001-901905215"</f>
        <v/>
      </c>
      <c r="R917" s="556">
        <f>G917-W917</f>
        <v/>
      </c>
      <c r="S917" s="523" t="n">
        <v>44616</v>
      </c>
      <c r="T917" s="522" t="inlineStr">
        <is>
          <t>VI01132022-03</t>
        </is>
      </c>
      <c r="U917" s="522" t="inlineStr">
        <is>
          <t>L001-901905215</t>
        </is>
      </c>
      <c r="V917" s="522" t="inlineStr">
        <is>
          <t>វីអ៊ីស៊ិន (ខេមបូឌា) អ៊ិនដាសស្ទ្រី ឯ.ក</t>
        </is>
      </c>
      <c r="W917" s="556" t="n">
        <v>411073</v>
      </c>
    </row>
    <row r="918">
      <c r="A918" s="521" t="n">
        <v>910</v>
      </c>
      <c r="B918" s="522" t="inlineStr">
        <is>
          <t>Handling Charge</t>
        </is>
      </c>
      <c r="C918" s="522" t="inlineStr">
        <is>
          <t>ហាតឆ៍ អេស៊ា ឡូជីស្ទីក ឯ.ក</t>
        </is>
      </c>
      <c r="D918" s="522" t="inlineStr">
        <is>
          <t>K009-902102511</t>
        </is>
      </c>
      <c r="E918" s="521" t="inlineStr">
        <is>
          <t>VI01132022-02</t>
        </is>
      </c>
      <c r="F918" s="523" t="n">
        <v>44616</v>
      </c>
      <c r="G918" s="556" t="n">
        <v>148694</v>
      </c>
      <c r="I918" s="521">
        <f>G918</f>
        <v/>
      </c>
      <c r="K918" s="521">
        <f>I918-G918</f>
        <v/>
      </c>
      <c r="M918" s="522" t="inlineStr">
        <is>
          <t>VI0113202202</t>
        </is>
      </c>
      <c r="N918" s="522" t="inlineStr">
        <is>
          <t>VI0113202202</t>
        </is>
      </c>
      <c r="O918" s="521">
        <f>M918=N918</f>
        <v/>
      </c>
      <c r="P918" s="521">
        <f>AND(MONTH(F918)=MONTH(S918), YEAR(F918)=YEAR(S918))</f>
        <v/>
      </c>
      <c r="Q918" s="521">
        <f>U918="L001-901905215"</f>
        <v/>
      </c>
      <c r="R918" s="556">
        <f>G918-W918</f>
        <v/>
      </c>
      <c r="S918" s="523" t="n">
        <v>44616</v>
      </c>
      <c r="T918" s="522" t="inlineStr">
        <is>
          <t>VI01132022-02</t>
        </is>
      </c>
      <c r="U918" s="522" t="inlineStr">
        <is>
          <t>L001-901905215</t>
        </is>
      </c>
      <c r="V918" s="522" t="inlineStr">
        <is>
          <t>វីអ៊ីស៊ិន (ខេមបូឌា) អ៊ិនដាសស្ទ្រី ឯ.ក</t>
        </is>
      </c>
      <c r="W918" s="556" t="n">
        <v>148694</v>
      </c>
    </row>
    <row r="919">
      <c r="A919" s="521" t="n">
        <v>911</v>
      </c>
      <c r="B919" s="522" t="inlineStr">
        <is>
          <t>Lift-Off Charge,Gate Fee Charge</t>
        </is>
      </c>
      <c r="C919" s="522" t="inlineStr">
        <is>
          <t>កំពង់ផែស្វយ័តភ្នំពេញ "ក.ស.ភ"</t>
        </is>
      </c>
      <c r="D919" s="522" t="inlineStr">
        <is>
          <t>L001-100044999</t>
        </is>
      </c>
      <c r="E919" s="521" t="inlineStr">
        <is>
          <t>INV20220101058</t>
        </is>
      </c>
      <c r="F919" s="523" t="n">
        <v>44593</v>
      </c>
      <c r="G919" s="556" t="n">
        <v>29340</v>
      </c>
      <c r="I919" s="521">
        <f>G919</f>
        <v/>
      </c>
      <c r="K919" s="521">
        <f>I919-G919</f>
        <v/>
      </c>
      <c r="M919" s="522" t="inlineStr">
        <is>
          <t>INV20220101058</t>
        </is>
      </c>
      <c r="N919" s="522" t="inlineStr"/>
      <c r="O919" s="521">
        <f>M919=N919</f>
        <v/>
      </c>
      <c r="P919" s="521">
        <f>AND(MONTH(F919)=MONTH(S919), YEAR(F919)=YEAR(S919))</f>
        <v/>
      </c>
      <c r="Q919" s="521">
        <f>U919="L001-901905215"</f>
        <v/>
      </c>
      <c r="R919" s="556">
        <f>G919-W919</f>
        <v/>
      </c>
      <c r="S919" s="521" t="n"/>
      <c r="T919" s="522" t="n"/>
      <c r="U919" s="522" t="n"/>
      <c r="V919" s="522" t="n"/>
      <c r="W919" s="521" t="n"/>
    </row>
    <row r="920">
      <c r="A920" s="521" t="n">
        <v>912</v>
      </c>
      <c r="B920" s="522" t="inlineStr">
        <is>
          <t>Lift-Off Charge,Gate Fee Charge</t>
        </is>
      </c>
      <c r="C920" s="522" t="inlineStr">
        <is>
          <t>កំពង់ផែស្វយ័តភ្នំពេញ "ក.ស.ភ"</t>
        </is>
      </c>
      <c r="D920" s="522" t="inlineStr">
        <is>
          <t>L001-100044999</t>
        </is>
      </c>
      <c r="E920" s="521" t="inlineStr">
        <is>
          <t>INV20220103267</t>
        </is>
      </c>
      <c r="F920" s="523" t="n">
        <v>44593</v>
      </c>
      <c r="G920" s="556" t="n">
        <v>2444</v>
      </c>
      <c r="I920" s="521">
        <f>G920</f>
        <v/>
      </c>
      <c r="K920" s="521">
        <f>I920-G920</f>
        <v/>
      </c>
      <c r="M920" s="522" t="inlineStr">
        <is>
          <t>INV20220103267</t>
        </is>
      </c>
      <c r="N920" s="522" t="inlineStr"/>
      <c r="O920" s="521">
        <f>M920=N920</f>
        <v/>
      </c>
      <c r="P920" s="521">
        <f>AND(MONTH(F920)=MONTH(S920), YEAR(F920)=YEAR(S920))</f>
        <v/>
      </c>
      <c r="Q920" s="521">
        <f>U920="L001-901905215"</f>
        <v/>
      </c>
      <c r="R920" s="556">
        <f>G920-W920</f>
        <v/>
      </c>
      <c r="S920" s="521" t="n"/>
      <c r="T920" s="522" t="n"/>
      <c r="U920" s="522" t="n"/>
      <c r="V920" s="522" t="n"/>
      <c r="W920" s="521" t="n"/>
    </row>
    <row r="921">
      <c r="A921" s="521" t="n">
        <v>913</v>
      </c>
      <c r="B921" s="522" t="inlineStr">
        <is>
          <t>Export Customs Clearance</t>
        </is>
      </c>
      <c r="C921" s="522" t="inlineStr">
        <is>
          <t>ហាតឆ៍ អេស៊ា ឡូជីស្ទីក ឯ.ក</t>
        </is>
      </c>
      <c r="D921" s="522" t="inlineStr">
        <is>
          <t>K009-902102511</t>
        </is>
      </c>
      <c r="E921" s="521" t="inlineStr">
        <is>
          <t>VI01132022-01</t>
        </is>
      </c>
      <c r="F921" s="523" t="n">
        <v>44616</v>
      </c>
      <c r="G921" s="556" t="n">
        <v>424897</v>
      </c>
      <c r="I921" s="521">
        <f>G921</f>
        <v/>
      </c>
      <c r="K921" s="521">
        <f>I921-G921</f>
        <v/>
      </c>
      <c r="M921" s="522" t="inlineStr">
        <is>
          <t>VI0113202201</t>
        </is>
      </c>
      <c r="N921" s="522" t="inlineStr">
        <is>
          <t>VI0113202201</t>
        </is>
      </c>
      <c r="O921" s="521">
        <f>M921=N921</f>
        <v/>
      </c>
      <c r="P921" s="521">
        <f>AND(MONTH(F921)=MONTH(S921), YEAR(F921)=YEAR(S921))</f>
        <v/>
      </c>
      <c r="Q921" s="521">
        <f>U921="L001-901905215"</f>
        <v/>
      </c>
      <c r="R921" s="556">
        <f>G921-W921</f>
        <v/>
      </c>
      <c r="S921" s="523" t="n">
        <v>44616</v>
      </c>
      <c r="T921" s="522" t="inlineStr">
        <is>
          <t>VI01132022-01</t>
        </is>
      </c>
      <c r="U921" s="522" t="inlineStr">
        <is>
          <t>L001-901905215</t>
        </is>
      </c>
      <c r="V921" s="522" t="inlineStr">
        <is>
          <t>វីអ៊ីស៊ិន (ខេមបូឌា) អ៊ិនដាសស្ទ្រី ឯ.ក</t>
        </is>
      </c>
      <c r="W921" s="556" t="n">
        <v>424897</v>
      </c>
    </row>
    <row r="922">
      <c r="A922" s="521" t="n">
        <v>914</v>
      </c>
      <c r="B922" s="522" t="inlineStr">
        <is>
          <t>THC Fee</t>
        </is>
      </c>
      <c r="C922" s="522" t="inlineStr">
        <is>
          <t>អ៊ិចស្ពែឌីធ័រ ខេមបូឌា អិលធីឌី</t>
        </is>
      </c>
      <c r="D922" s="522" t="inlineStr">
        <is>
          <t>L001-100045898</t>
        </is>
      </c>
      <c r="E922" s="521" t="inlineStr">
        <is>
          <t>TI-0222011</t>
        </is>
      </c>
      <c r="F922" s="523" t="n">
        <v>44608</v>
      </c>
      <c r="G922" s="556" t="n">
        <v>160240</v>
      </c>
      <c r="I922" s="521">
        <f>G922</f>
        <v/>
      </c>
      <c r="K922" s="521">
        <f>I922-G922</f>
        <v/>
      </c>
      <c r="M922" s="522" t="inlineStr">
        <is>
          <t>TI0222011</t>
        </is>
      </c>
      <c r="N922" s="522" t="inlineStr">
        <is>
          <t>TI0222011</t>
        </is>
      </c>
      <c r="O922" s="521">
        <f>M922=N922</f>
        <v/>
      </c>
      <c r="P922" s="521">
        <f>AND(MONTH(F922)=MONTH(S922), YEAR(F922)=YEAR(S922))</f>
        <v/>
      </c>
      <c r="Q922" s="521">
        <f>U922="L001-901905215"</f>
        <v/>
      </c>
      <c r="R922" s="556">
        <f>G922-W922</f>
        <v/>
      </c>
      <c r="S922" s="523" t="n">
        <v>44608</v>
      </c>
      <c r="T922" s="522" t="inlineStr">
        <is>
          <t>TI-0222011</t>
        </is>
      </c>
      <c r="U922" s="522" t="inlineStr">
        <is>
          <t>L001-901905215</t>
        </is>
      </c>
      <c r="V922" s="522" t="inlineStr">
        <is>
          <t>វីអ៊ីស៊ិន (ខេមបូឌា) អ៊ិនដាសស្ទ្រី ឯ.ក</t>
        </is>
      </c>
      <c r="W922" s="556" t="n">
        <v>160240</v>
      </c>
    </row>
    <row r="923">
      <c r="A923" s="521" t="n">
        <v>915</v>
      </c>
      <c r="B923" s="522" t="inlineStr">
        <is>
          <t>THC Fee</t>
        </is>
      </c>
      <c r="C923" s="522" t="inlineStr">
        <is>
          <t>អ៊ិចស្ពែឌីធ័រ ខេមបូឌា អិលធីឌី</t>
        </is>
      </c>
      <c r="D923" s="522" t="inlineStr">
        <is>
          <t>L001-100045898</t>
        </is>
      </c>
      <c r="E923" s="521" t="inlineStr">
        <is>
          <t>TI-0222010</t>
        </is>
      </c>
      <c r="F923" s="523" t="n">
        <v>44608</v>
      </c>
      <c r="G923" s="556" t="n">
        <v>225108</v>
      </c>
      <c r="I923" s="521">
        <f>G923</f>
        <v/>
      </c>
      <c r="K923" s="521">
        <f>I923-G923</f>
        <v/>
      </c>
      <c r="M923" s="522" t="inlineStr">
        <is>
          <t>TI0222010</t>
        </is>
      </c>
      <c r="N923" s="522" t="inlineStr">
        <is>
          <t>TI0222010</t>
        </is>
      </c>
      <c r="O923" s="521">
        <f>M923=N923</f>
        <v/>
      </c>
      <c r="P923" s="521">
        <f>AND(MONTH(F923)=MONTH(S923), YEAR(F923)=YEAR(S923))</f>
        <v/>
      </c>
      <c r="Q923" s="521">
        <f>U923="L001-901905215"</f>
        <v/>
      </c>
      <c r="R923" s="556">
        <f>G923-W923</f>
        <v/>
      </c>
      <c r="S923" s="523" t="n">
        <v>44608</v>
      </c>
      <c r="T923" s="522" t="inlineStr">
        <is>
          <t>TI-0222010</t>
        </is>
      </c>
      <c r="U923" s="522" t="inlineStr">
        <is>
          <t>L001-901905215</t>
        </is>
      </c>
      <c r="V923" s="522" t="inlineStr">
        <is>
          <t>វីអ៊ីស៊ិន (ខេមបូឌា) អ៊ិនដាសស្ទ្រី ឯ.ក</t>
        </is>
      </c>
      <c r="W923" s="556" t="n">
        <v>225108</v>
      </c>
    </row>
    <row r="924">
      <c r="A924" s="521" t="n">
        <v>916</v>
      </c>
      <c r="B924" s="522" t="inlineStr">
        <is>
          <t>THC Fee</t>
        </is>
      </c>
      <c r="C924" s="522" t="inlineStr">
        <is>
          <t>អ៊ិចស្ពែឌីធ័រ ខេមបូឌា អិលធីឌី</t>
        </is>
      </c>
      <c r="D924" s="522" t="inlineStr">
        <is>
          <t>L001-100045898</t>
        </is>
      </c>
      <c r="E924" s="521" t="inlineStr">
        <is>
          <t>TI-0221463</t>
        </is>
      </c>
      <c r="F924" s="523" t="n">
        <v>44600</v>
      </c>
      <c r="G924" s="556" t="n">
        <v>771293</v>
      </c>
      <c r="I924" s="521">
        <f>G924</f>
        <v/>
      </c>
      <c r="K924" s="521">
        <f>I924-G924</f>
        <v/>
      </c>
      <c r="M924" s="522" t="inlineStr">
        <is>
          <t>TI0221463</t>
        </is>
      </c>
      <c r="N924" s="522" t="inlineStr">
        <is>
          <t>TI0221463</t>
        </is>
      </c>
      <c r="O924" s="521">
        <f>M924=N924</f>
        <v/>
      </c>
      <c r="P924" s="521">
        <f>AND(MONTH(F924)=MONTH(S924), YEAR(F924)=YEAR(S924))</f>
        <v/>
      </c>
      <c r="Q924" s="521">
        <f>U924="L001-901905215"</f>
        <v/>
      </c>
      <c r="R924" s="556">
        <f>G924-W924</f>
        <v/>
      </c>
      <c r="S924" s="523" t="n">
        <v>44600</v>
      </c>
      <c r="T924" s="522" t="inlineStr">
        <is>
          <t>TI-0221463</t>
        </is>
      </c>
      <c r="U924" s="522" t="inlineStr">
        <is>
          <t>L001-901905215</t>
        </is>
      </c>
      <c r="V924" s="522" t="inlineStr">
        <is>
          <t>វីអ៊ីស៊ិន (ខេមបូឌា) អ៊ិនដាសស្ទ្រី ឯ.ក</t>
        </is>
      </c>
      <c r="W924" s="556" t="n">
        <v>771293</v>
      </c>
    </row>
    <row r="925">
      <c r="A925" s="521" t="n">
        <v>917</v>
      </c>
      <c r="B925" s="522" t="inlineStr">
        <is>
          <t>THC Fee</t>
        </is>
      </c>
      <c r="C925" s="522" t="inlineStr">
        <is>
          <t>អ៊ិចស្ពែឌីធ័រ ខេមបូឌា អិលធីឌី</t>
        </is>
      </c>
      <c r="D925" s="522" t="inlineStr">
        <is>
          <t>L001-100045898</t>
        </is>
      </c>
      <c r="E925" s="521" t="inlineStr">
        <is>
          <t>TI-0221462</t>
        </is>
      </c>
      <c r="F925" s="523" t="n">
        <v>44600</v>
      </c>
      <c r="G925" s="556" t="n">
        <v>1502719</v>
      </c>
      <c r="I925" s="521">
        <f>G925</f>
        <v/>
      </c>
      <c r="K925" s="521">
        <f>I925-G925</f>
        <v/>
      </c>
      <c r="M925" s="522" t="inlineStr">
        <is>
          <t>TI0221462</t>
        </is>
      </c>
      <c r="N925" s="522" t="inlineStr">
        <is>
          <t>TI0221462</t>
        </is>
      </c>
      <c r="O925" s="521">
        <f>M925=N925</f>
        <v/>
      </c>
      <c r="P925" s="521">
        <f>AND(MONTH(F925)=MONTH(S925), YEAR(F925)=YEAR(S925))</f>
        <v/>
      </c>
      <c r="Q925" s="521">
        <f>U925="L001-901905215"</f>
        <v/>
      </c>
      <c r="R925" s="556">
        <f>G925-W925</f>
        <v/>
      </c>
      <c r="S925" s="523" t="n">
        <v>44600</v>
      </c>
      <c r="T925" s="522" t="inlineStr">
        <is>
          <t>TI-0221462</t>
        </is>
      </c>
      <c r="U925" s="522" t="inlineStr">
        <is>
          <t>L001-901905215</t>
        </is>
      </c>
      <c r="V925" s="522" t="inlineStr">
        <is>
          <t>វីអ៊ីស៊ិន (ខេមបូឌា) អ៊ិនដាសស្ទ្រី ឯ.ក</t>
        </is>
      </c>
      <c r="W925" s="556" t="n">
        <v>1502719</v>
      </c>
    </row>
    <row r="926">
      <c r="A926" s="521" t="n">
        <v>918</v>
      </c>
      <c r="B926" s="522" t="inlineStr">
        <is>
          <t>THC Fee</t>
        </is>
      </c>
      <c r="C926" s="522" t="inlineStr">
        <is>
          <t>អ៊ិចស្ពែឌីធ័រ ខេមបូឌា អិលធីឌី</t>
        </is>
      </c>
      <c r="D926" s="522" t="inlineStr">
        <is>
          <t>L001-100045898</t>
        </is>
      </c>
      <c r="E926" s="521" t="inlineStr">
        <is>
          <t>TI-0221461</t>
        </is>
      </c>
      <c r="F926" s="523" t="n">
        <v>44600</v>
      </c>
      <c r="G926" s="556" t="n">
        <v>350662</v>
      </c>
      <c r="I926" s="521">
        <f>G926</f>
        <v/>
      </c>
      <c r="K926" s="521">
        <f>I926-G926</f>
        <v/>
      </c>
      <c r="M926" s="522" t="inlineStr">
        <is>
          <t>TI0221461</t>
        </is>
      </c>
      <c r="N926" s="522" t="inlineStr">
        <is>
          <t>TI0221461</t>
        </is>
      </c>
      <c r="O926" s="521">
        <f>M926=N926</f>
        <v/>
      </c>
      <c r="P926" s="521">
        <f>AND(MONTH(F926)=MONTH(S926), YEAR(F926)=YEAR(S926))</f>
        <v/>
      </c>
      <c r="Q926" s="521">
        <f>U926="L001-901905215"</f>
        <v/>
      </c>
      <c r="R926" s="556">
        <f>G926-W926</f>
        <v/>
      </c>
      <c r="S926" s="523" t="n">
        <v>44600</v>
      </c>
      <c r="T926" s="522" t="inlineStr">
        <is>
          <t>TI-0221461</t>
        </is>
      </c>
      <c r="U926" s="522" t="inlineStr">
        <is>
          <t>L001-901905215</t>
        </is>
      </c>
      <c r="V926" s="522" t="inlineStr">
        <is>
          <t>វីអ៊ីស៊ិន (ខេមបូឌា) អ៊ិនដាសស្ទ្រី ឯ.ក</t>
        </is>
      </c>
      <c r="W926" s="556" t="n">
        <v>350662</v>
      </c>
    </row>
    <row r="927">
      <c r="A927" s="521" t="n">
        <v>919</v>
      </c>
      <c r="B927" s="522" t="inlineStr">
        <is>
          <t>THC Fee</t>
        </is>
      </c>
      <c r="C927" s="522" t="inlineStr">
        <is>
          <t>អ៊ិចស្ពែឌីធ័រ ខេមបូឌា អិលធីឌី</t>
        </is>
      </c>
      <c r="D927" s="522" t="inlineStr">
        <is>
          <t>L001-100045898</t>
        </is>
      </c>
      <c r="E927" s="521" t="inlineStr">
        <is>
          <t>TI-0221460</t>
        </is>
      </c>
      <c r="F927" s="523" t="n">
        <v>44600</v>
      </c>
      <c r="G927" s="556" t="n">
        <v>782683</v>
      </c>
      <c r="I927" s="521">
        <f>G927</f>
        <v/>
      </c>
      <c r="K927" s="521">
        <f>I927-G927</f>
        <v/>
      </c>
      <c r="M927" s="522" t="inlineStr">
        <is>
          <t>TI0221460</t>
        </is>
      </c>
      <c r="N927" s="522" t="inlineStr">
        <is>
          <t>TI0221460</t>
        </is>
      </c>
      <c r="O927" s="521">
        <f>M927=N927</f>
        <v/>
      </c>
      <c r="P927" s="521">
        <f>AND(MONTH(F927)=MONTH(S927), YEAR(F927)=YEAR(S927))</f>
        <v/>
      </c>
      <c r="Q927" s="521">
        <f>U927="L001-901905215"</f>
        <v/>
      </c>
      <c r="R927" s="556">
        <f>G927-W927</f>
        <v/>
      </c>
      <c r="S927" s="523" t="n">
        <v>44600</v>
      </c>
      <c r="T927" s="522" t="inlineStr">
        <is>
          <t>TI-0221460</t>
        </is>
      </c>
      <c r="U927" s="522" t="inlineStr">
        <is>
          <t>L001-901905215</t>
        </is>
      </c>
      <c r="V927" s="522" t="inlineStr">
        <is>
          <t>វីអ៊ីស៊ិន (ខេមបូឌា) អ៊ិនដាសស្ទ្រី ឯ.ក</t>
        </is>
      </c>
      <c r="W927" s="556" t="n">
        <v>782683</v>
      </c>
    </row>
    <row r="928">
      <c r="A928" s="521" t="n">
        <v>920</v>
      </c>
      <c r="B928" s="522" t="inlineStr">
        <is>
          <t>THC Fee</t>
        </is>
      </c>
      <c r="C928" s="522" t="inlineStr">
        <is>
          <t>អ៊ិចស្ពែឌីធ័រ ខេមបូឌា អិលធីឌី</t>
        </is>
      </c>
      <c r="D928" s="522" t="inlineStr">
        <is>
          <t>L001-100045898</t>
        </is>
      </c>
      <c r="E928" s="521" t="inlineStr">
        <is>
          <t>TI-0221459</t>
        </is>
      </c>
      <c r="F928" s="523" t="n">
        <v>44600</v>
      </c>
      <c r="G928" s="556" t="n">
        <v>769259</v>
      </c>
      <c r="I928" s="521">
        <f>G928</f>
        <v/>
      </c>
      <c r="K928" s="521">
        <f>I928-G928</f>
        <v/>
      </c>
      <c r="M928" s="522" t="inlineStr">
        <is>
          <t>TI0221459</t>
        </is>
      </c>
      <c r="N928" s="522" t="inlineStr">
        <is>
          <t>TI0221459</t>
        </is>
      </c>
      <c r="O928" s="521">
        <f>M928=N928</f>
        <v/>
      </c>
      <c r="P928" s="521">
        <f>AND(MONTH(F928)=MONTH(S928), YEAR(F928)=YEAR(S928))</f>
        <v/>
      </c>
      <c r="Q928" s="521">
        <f>U928="L001-901905215"</f>
        <v/>
      </c>
      <c r="R928" s="556">
        <f>G928-W928</f>
        <v/>
      </c>
      <c r="S928" s="523" t="n">
        <v>44600</v>
      </c>
      <c r="T928" s="522" t="inlineStr">
        <is>
          <t>TI-0221459</t>
        </is>
      </c>
      <c r="U928" s="522" t="inlineStr">
        <is>
          <t>L001-901905215</t>
        </is>
      </c>
      <c r="V928" s="522" t="inlineStr">
        <is>
          <t>វីអ៊ីស៊ិន (ខេមបូឌា) អ៊ិនដាសស្ទ្រី ឯ.ក</t>
        </is>
      </c>
      <c r="W928" s="556" t="n">
        <v>769259</v>
      </c>
    </row>
    <row r="929">
      <c r="A929" s="521" t="n">
        <v>921</v>
      </c>
      <c r="B929" s="522" t="inlineStr">
        <is>
          <t>THC Fee</t>
        </is>
      </c>
      <c r="C929" s="522" t="inlineStr">
        <is>
          <t>អ៊ិចស្ពែឌីធ័រ ខេមបូឌា អិលធីឌី</t>
        </is>
      </c>
      <c r="D929" s="522" t="inlineStr">
        <is>
          <t>L001-100045898</t>
        </is>
      </c>
      <c r="E929" s="521" t="inlineStr">
        <is>
          <t>TI-0221458</t>
        </is>
      </c>
      <c r="F929" s="523" t="n">
        <v>44600</v>
      </c>
      <c r="G929" s="556" t="n">
        <v>320558</v>
      </c>
      <c r="I929" s="521">
        <f>G929</f>
        <v/>
      </c>
      <c r="K929" s="521">
        <f>I929-G929</f>
        <v/>
      </c>
      <c r="M929" s="522" t="inlineStr">
        <is>
          <t>TI0221458</t>
        </is>
      </c>
      <c r="N929" s="522" t="inlineStr">
        <is>
          <t>TI0221458</t>
        </is>
      </c>
      <c r="O929" s="521">
        <f>M929=N929</f>
        <v/>
      </c>
      <c r="P929" s="521">
        <f>AND(MONTH(F929)=MONTH(S929), YEAR(F929)=YEAR(S929))</f>
        <v/>
      </c>
      <c r="Q929" s="521">
        <f>U929="L001-901905215"</f>
        <v/>
      </c>
      <c r="R929" s="556">
        <f>G929-W929</f>
        <v/>
      </c>
      <c r="S929" s="523" t="n">
        <v>44600</v>
      </c>
      <c r="T929" s="522" t="inlineStr">
        <is>
          <t>TI-0221458</t>
        </is>
      </c>
      <c r="U929" s="522" t="inlineStr">
        <is>
          <t>L001-901905215</t>
        </is>
      </c>
      <c r="V929" s="522" t="inlineStr">
        <is>
          <t>វីអ៊ីស៊ិន (ខេមបូឌា) អ៊ិនដាសស្ទ្រី ឯ.ក</t>
        </is>
      </c>
      <c r="W929" s="556" t="n">
        <v>320558</v>
      </c>
    </row>
    <row r="930">
      <c r="A930" s="521" t="n">
        <v>922</v>
      </c>
      <c r="B930" s="522" t="inlineStr">
        <is>
          <t>THC Fee</t>
        </is>
      </c>
      <c r="C930" s="522" t="inlineStr">
        <is>
          <t>អ៊ិចស្ពែឌីធ័រ ខេមបូឌា អិលធីឌី</t>
        </is>
      </c>
      <c r="D930" s="522" t="inlineStr">
        <is>
          <t>L001-100045898</t>
        </is>
      </c>
      <c r="E930" s="521" t="inlineStr">
        <is>
          <t>TI-0221457</t>
        </is>
      </c>
      <c r="F930" s="523" t="n">
        <v>44600</v>
      </c>
      <c r="G930" s="556" t="n">
        <v>1283454</v>
      </c>
      <c r="I930" s="521">
        <f>G930</f>
        <v/>
      </c>
      <c r="K930" s="521">
        <f>I930-G930</f>
        <v/>
      </c>
      <c r="M930" s="522" t="inlineStr">
        <is>
          <t>TI0221457</t>
        </is>
      </c>
      <c r="N930" s="522" t="inlineStr">
        <is>
          <t>TI0221457</t>
        </is>
      </c>
      <c r="O930" s="521">
        <f>M930=N930</f>
        <v/>
      </c>
      <c r="P930" s="521">
        <f>AND(MONTH(F930)=MONTH(S930), YEAR(F930)=YEAR(S930))</f>
        <v/>
      </c>
      <c r="Q930" s="521">
        <f>U930="L001-901905215"</f>
        <v/>
      </c>
      <c r="R930" s="556">
        <f>G930-W930</f>
        <v/>
      </c>
      <c r="S930" s="523" t="n">
        <v>44600</v>
      </c>
      <c r="T930" s="522" t="inlineStr">
        <is>
          <t>TI-0221457</t>
        </is>
      </c>
      <c r="U930" s="522" t="inlineStr">
        <is>
          <t>L001-901905215</t>
        </is>
      </c>
      <c r="V930" s="522" t="inlineStr">
        <is>
          <t>វីអ៊ីស៊ិន (ខេមបូឌា) អ៊ិនដាសស្ទ្រី ឯ.ក</t>
        </is>
      </c>
      <c r="W930" s="556" t="n">
        <v>1283454</v>
      </c>
    </row>
    <row r="931">
      <c r="A931" s="521" t="n">
        <v>923</v>
      </c>
      <c r="B931" s="522" t="inlineStr">
        <is>
          <t>Carton Paper</t>
        </is>
      </c>
      <c r="C931" s="522" t="inlineStr">
        <is>
          <t>យី មីង ភែកឃីជីង ឯ.ក</t>
        </is>
      </c>
      <c r="D931" s="522" t="inlineStr">
        <is>
          <t>B108-902101335</t>
        </is>
      </c>
      <c r="E931" s="521" t="inlineStr">
        <is>
          <t>YM-0004</t>
        </is>
      </c>
      <c r="F931" s="523" t="n">
        <v>44620</v>
      </c>
      <c r="G931" s="556" t="n">
        <v>5162759</v>
      </c>
      <c r="I931" s="521">
        <f>G931</f>
        <v/>
      </c>
      <c r="K931" s="521">
        <f>I931-G931</f>
        <v/>
      </c>
      <c r="M931" s="522" t="inlineStr">
        <is>
          <t>YM0004</t>
        </is>
      </c>
      <c r="N931" s="522" t="inlineStr">
        <is>
          <t>YM0004</t>
        </is>
      </c>
      <c r="O931" s="521">
        <f>M931=N931</f>
        <v/>
      </c>
      <c r="P931" s="521">
        <f>AND(MONTH(F931)=MONTH(S931), YEAR(F931)=YEAR(S931))</f>
        <v/>
      </c>
      <c r="Q931" s="521">
        <f>U931="L001-901905215"</f>
        <v/>
      </c>
      <c r="R931" s="556">
        <f>G931-W931</f>
        <v/>
      </c>
      <c r="S931" s="523" t="n">
        <v>44500</v>
      </c>
      <c r="T931" s="522" t="inlineStr">
        <is>
          <t>YM-0004</t>
        </is>
      </c>
      <c r="U931" s="522" t="inlineStr">
        <is>
          <t>L001-901905215</t>
        </is>
      </c>
      <c r="V931" s="522" t="inlineStr">
        <is>
          <t>វីអ៊ីស៊ិន (ខេមបូឌា) អ៊ិនដាសស្ទ្រី ឯ.ក</t>
        </is>
      </c>
      <c r="W931" s="556" t="n">
        <v>9854672</v>
      </c>
    </row>
    <row r="932">
      <c r="A932" s="521" t="n">
        <v>924</v>
      </c>
      <c r="B932" s="522" t="inlineStr">
        <is>
          <t>Paper Label</t>
        </is>
      </c>
      <c r="C932" s="522" t="inlineStr">
        <is>
          <t>ស៊ីន ហ្វី យ៉ាង ព្រីនធីង &amp; អិកសេសសឺរី ឯ.ក</t>
        </is>
      </c>
      <c r="D932" s="522" t="inlineStr">
        <is>
          <t>K010-901906822</t>
        </is>
      </c>
      <c r="E932" s="521" t="inlineStr">
        <is>
          <t>XFY-YD20220036</t>
        </is>
      </c>
      <c r="F932" s="523" t="n">
        <v>44620</v>
      </c>
      <c r="G932" s="556" t="n">
        <v>1794143</v>
      </c>
      <c r="I932" s="521">
        <f>G932</f>
        <v/>
      </c>
      <c r="K932" s="521">
        <f>I932-G932</f>
        <v/>
      </c>
      <c r="M932" s="522" t="inlineStr">
        <is>
          <t>XFYYD20220036</t>
        </is>
      </c>
      <c r="N932" s="522" t="inlineStr">
        <is>
          <t>XFYYD20220036</t>
        </is>
      </c>
      <c r="O932" s="521">
        <f>M932=N932</f>
        <v/>
      </c>
      <c r="P932" s="521">
        <f>AND(MONTH(F932)=MONTH(S932), YEAR(F932)=YEAR(S932))</f>
        <v/>
      </c>
      <c r="Q932" s="521">
        <f>U932="L001-901905215"</f>
        <v/>
      </c>
      <c r="R932" s="556">
        <f>G932-W932</f>
        <v/>
      </c>
      <c r="S932" s="523" t="n">
        <v>44620</v>
      </c>
      <c r="T932" s="522" t="inlineStr">
        <is>
          <t>XFY-YD20220036</t>
        </is>
      </c>
      <c r="U932" s="522" t="inlineStr">
        <is>
          <t>L001-901905215</t>
        </is>
      </c>
      <c r="V932" s="522" t="inlineStr">
        <is>
          <t>វីអ៊ីស៊ិន (ខេមបូឌា) អ៊ិនដាសស្ទ្រី ឯ.ក</t>
        </is>
      </c>
      <c r="W932" s="556" t="n">
        <v>1794143</v>
      </c>
    </row>
    <row r="933">
      <c r="A933" s="521" t="n">
        <v>925</v>
      </c>
      <c r="B933" s="522" t="inlineStr">
        <is>
          <t>Stretch Film (ថង់ប្លាស្ទិចរំ</t>
        </is>
      </c>
      <c r="C933" s="522" t="inlineStr">
        <is>
          <t>ស៊ីន ឌីងយ័ន ស៊ូ មេធៀរៀល ឯ.ក</t>
        </is>
      </c>
      <c r="D933" s="522" t="inlineStr">
        <is>
          <t>K010-902100418</t>
        </is>
      </c>
      <c r="E933" s="521" t="inlineStr">
        <is>
          <t>0000012</t>
        </is>
      </c>
      <c r="F933" s="523" t="n">
        <v>44615</v>
      </c>
      <c r="G933" s="556" t="n">
        <v>968218</v>
      </c>
      <c r="I933" s="521">
        <f>G933</f>
        <v/>
      </c>
      <c r="K933" s="521">
        <f>I933-G933</f>
        <v/>
      </c>
      <c r="M933" s="522" t="inlineStr">
        <is>
          <t>0000012</t>
        </is>
      </c>
      <c r="N933" s="522" t="inlineStr">
        <is>
          <t>0000012</t>
        </is>
      </c>
      <c r="O933" s="521">
        <f>M933=N933</f>
        <v/>
      </c>
      <c r="P933" s="521">
        <f>AND(MONTH(F933)=MONTH(S933), YEAR(F933)=YEAR(S933))</f>
        <v/>
      </c>
      <c r="Q933" s="521">
        <f>U933="L001-901905215"</f>
        <v/>
      </c>
      <c r="R933" s="556">
        <f>G933-W933</f>
        <v/>
      </c>
      <c r="S933" s="523" t="n">
        <v>44615</v>
      </c>
      <c r="T933" s="522" t="inlineStr">
        <is>
          <t>0000012</t>
        </is>
      </c>
      <c r="U933" s="522" t="inlineStr">
        <is>
          <t>L001-901905215</t>
        </is>
      </c>
      <c r="V933" s="522" t="inlineStr">
        <is>
          <t>វីអ៊ីស៊ិន (ខេមបូឌា) អ៊ិនដាសស្ទ្រី ឯ.ក</t>
        </is>
      </c>
      <c r="W933" s="556" t="n">
        <v>968218</v>
      </c>
    </row>
    <row r="934">
      <c r="A934" s="521" t="n">
        <v>926</v>
      </c>
      <c r="B934" s="522" t="inlineStr">
        <is>
          <t>Paper Card</t>
        </is>
      </c>
      <c r="C934" s="522" t="inlineStr">
        <is>
          <t>វីង ចេង ភែកឃីជីង ឯ.ក</t>
        </is>
      </c>
      <c r="D934" s="522" t="inlineStr">
        <is>
          <t>L001-902102915</t>
        </is>
      </c>
      <c r="E934" s="521" t="inlineStr">
        <is>
          <t>TI0070</t>
        </is>
      </c>
      <c r="F934" s="523" t="n">
        <v>44620</v>
      </c>
      <c r="G934" s="556" t="n">
        <v>24611267</v>
      </c>
      <c r="I934" s="521">
        <f>G934</f>
        <v/>
      </c>
      <c r="K934" s="521">
        <f>I934-G934</f>
        <v/>
      </c>
      <c r="M934" s="522" t="inlineStr">
        <is>
          <t>TI0070</t>
        </is>
      </c>
      <c r="N934" s="522" t="inlineStr">
        <is>
          <t>TI0070</t>
        </is>
      </c>
      <c r="O934" s="521">
        <f>M934=N934</f>
        <v/>
      </c>
      <c r="P934" s="521">
        <f>AND(MONTH(F934)=MONTH(S934), YEAR(F934)=YEAR(S934))</f>
        <v/>
      </c>
      <c r="Q934" s="521">
        <f>U934="L001-901905215"</f>
        <v/>
      </c>
      <c r="R934" s="556">
        <f>G934-W934</f>
        <v/>
      </c>
      <c r="S934" s="523" t="n">
        <v>44620</v>
      </c>
      <c r="T934" s="522" t="inlineStr">
        <is>
          <t>TI0070</t>
        </is>
      </c>
      <c r="U934" s="522" t="inlineStr">
        <is>
          <t>L001-901905215</t>
        </is>
      </c>
      <c r="V934" s="522" t="inlineStr">
        <is>
          <t>វីអ៊ីស៊ិន (ខេមបូឌា) អ៊ិនដាសស្ទ្រី ឯ.ក</t>
        </is>
      </c>
      <c r="W934" s="556" t="n">
        <v>24611269</v>
      </c>
    </row>
    <row r="935">
      <c r="A935" s="521" t="n">
        <v>927</v>
      </c>
      <c r="B935" s="522" t="inlineStr">
        <is>
          <t>Plastic</t>
        </is>
      </c>
      <c r="C935" s="522" t="inlineStr">
        <is>
          <t>ឌើ សឹង ហ្វា ភែកឃីជីង អ៊ិនដាសស្រ្ទៀល ឯ.ក</t>
        </is>
      </c>
      <c r="D935" s="522" t="inlineStr">
        <is>
          <t>L001-901638065</t>
        </is>
      </c>
      <c r="E935" s="521" t="inlineStr">
        <is>
          <t>DSF202200041</t>
        </is>
      </c>
      <c r="F935" s="523" t="n">
        <v>44615</v>
      </c>
      <c r="G935" s="556" t="n">
        <v>252092</v>
      </c>
      <c r="I935" s="521">
        <f>G935</f>
        <v/>
      </c>
      <c r="K935" s="521">
        <f>I935-G935</f>
        <v/>
      </c>
      <c r="M935" s="522" t="inlineStr">
        <is>
          <t>DSF202200041</t>
        </is>
      </c>
      <c r="N935" s="522" t="inlineStr">
        <is>
          <t>DSF202200041</t>
        </is>
      </c>
      <c r="O935" s="521">
        <f>M935=N935</f>
        <v/>
      </c>
      <c r="P935" s="521">
        <f>AND(MONTH(F935)=MONTH(S935), YEAR(F935)=YEAR(S935))</f>
        <v/>
      </c>
      <c r="Q935" s="521">
        <f>U935="L001-901905215"</f>
        <v/>
      </c>
      <c r="R935" s="556">
        <f>G935-W935</f>
        <v/>
      </c>
      <c r="S935" s="523" t="n">
        <v>44607</v>
      </c>
      <c r="T935" s="522" t="inlineStr">
        <is>
          <t>DSF202200041</t>
        </is>
      </c>
      <c r="U935" s="522" t="inlineStr">
        <is>
          <t>L001-901905215</t>
        </is>
      </c>
      <c r="V935" s="522" t="inlineStr">
        <is>
          <t>វីអ៊ីស៊ិន (ខេមបូឌា) អ៊ិនដាសស្ទ្រី ឯ.ក</t>
        </is>
      </c>
      <c r="W935" s="556" t="n">
        <v>252092</v>
      </c>
    </row>
    <row r="936">
      <c r="A936" s="521" t="n">
        <v>928</v>
      </c>
      <c r="B936" s="522" t="inlineStr">
        <is>
          <t>Plastic Material (ABS Black  Color)</t>
        </is>
      </c>
      <c r="C936" s="522" t="inlineStr">
        <is>
          <t>ស៊ីអិន ប៉ាវ តាវ ហ្រ្គីន ខនស្ត្រាក់សិន មេធៀរៀល ឯ.ក</t>
        </is>
      </c>
      <c r="D936" s="522" t="inlineStr">
        <is>
          <t>K007-902101486</t>
        </is>
      </c>
      <c r="E936" s="521" t="inlineStr">
        <is>
          <t>0056</t>
        </is>
      </c>
      <c r="F936" s="523" t="n">
        <v>44599</v>
      </c>
      <c r="G936" s="556" t="n">
        <v>3384576</v>
      </c>
      <c r="I936" s="521">
        <f>G936</f>
        <v/>
      </c>
      <c r="K936" s="521">
        <f>I936-G936</f>
        <v/>
      </c>
      <c r="M936" s="522" t="inlineStr">
        <is>
          <t>0056</t>
        </is>
      </c>
      <c r="N936" s="522" t="inlineStr">
        <is>
          <t>0056</t>
        </is>
      </c>
      <c r="O936" s="521">
        <f>M936=N936</f>
        <v/>
      </c>
      <c r="P936" s="521">
        <f>AND(MONTH(F936)=MONTH(S936), YEAR(F936)=YEAR(S936))</f>
        <v/>
      </c>
      <c r="Q936" s="521">
        <f>U936="L001-901905215"</f>
        <v/>
      </c>
      <c r="R936" s="556">
        <f>G936-W936</f>
        <v/>
      </c>
      <c r="S936" s="523" t="n">
        <v>44599</v>
      </c>
      <c r="T936" s="522" t="inlineStr">
        <is>
          <t>0056</t>
        </is>
      </c>
      <c r="U936" s="522" t="inlineStr">
        <is>
          <t>L001-901905215</t>
        </is>
      </c>
      <c r="V936" s="522" t="inlineStr">
        <is>
          <t>វីអ៊ីស៊ិន (ខេមបូឌា) អ៊ិនដាសស្ទ្រី ឯ.ក</t>
        </is>
      </c>
      <c r="W936" s="556" t="n">
        <v>3384576</v>
      </c>
    </row>
    <row r="937">
      <c r="A937" s="521" t="n">
        <v>929</v>
      </c>
      <c r="B937" s="522" t="inlineStr">
        <is>
          <t>Plastic Material (ABS Black  Color)</t>
        </is>
      </c>
      <c r="C937" s="522" t="inlineStr">
        <is>
          <t>ស៊ីអិន ប៉ាវ តាវ ហ្រ្គីន ខនស្ត្រាក់សិន មេធៀរៀល ឯ.ក</t>
        </is>
      </c>
      <c r="D937" s="522" t="inlineStr">
        <is>
          <t>K007-902101486</t>
        </is>
      </c>
      <c r="E937" s="521" t="inlineStr">
        <is>
          <t>0046</t>
        </is>
      </c>
      <c r="F937" s="523" t="n">
        <v>44593</v>
      </c>
      <c r="G937" s="556" t="n">
        <v>3382912</v>
      </c>
      <c r="I937" s="521">
        <f>G937</f>
        <v/>
      </c>
      <c r="K937" s="521">
        <f>I937-G937</f>
        <v/>
      </c>
      <c r="M937" s="522" t="inlineStr">
        <is>
          <t>0046</t>
        </is>
      </c>
      <c r="N937" s="522" t="inlineStr"/>
      <c r="O937" s="521">
        <f>M937=N937</f>
        <v/>
      </c>
      <c r="P937" s="521">
        <f>AND(MONTH(F937)=MONTH(S937), YEAR(F937)=YEAR(S937))</f>
        <v/>
      </c>
      <c r="Q937" s="521">
        <f>U937="L001-901905215"</f>
        <v/>
      </c>
      <c r="R937" s="556">
        <f>G937-W937</f>
        <v/>
      </c>
      <c r="S937" s="521" t="n"/>
      <c r="T937" s="522" t="n"/>
      <c r="U937" s="522" t="n"/>
      <c r="V937" s="522" t="n"/>
      <c r="W937" s="521" t="n"/>
    </row>
    <row r="938">
      <c r="A938" s="521" t="n">
        <v>930</v>
      </c>
      <c r="B938" s="522" t="inlineStr">
        <is>
          <t>Inspection Service Fee</t>
        </is>
      </c>
      <c r="C938" s="522" t="inlineStr">
        <is>
          <t>ប្យួរ៉ូ វេរីតាស (ខេមបូឌា) លីមីធីត</t>
        </is>
      </c>
      <c r="D938" s="522" t="inlineStr">
        <is>
          <t>L001-107024462</t>
        </is>
      </c>
      <c r="E938" s="521" t="inlineStr">
        <is>
          <t>59011772</t>
        </is>
      </c>
      <c r="F938" s="523" t="n">
        <v>44602</v>
      </c>
      <c r="G938" s="556" t="n">
        <v>110229</v>
      </c>
      <c r="I938" s="521">
        <f>G938</f>
        <v/>
      </c>
      <c r="K938" s="521">
        <f>I938-G938</f>
        <v/>
      </c>
      <c r="M938" s="522" t="inlineStr">
        <is>
          <t>59011772</t>
        </is>
      </c>
      <c r="N938" s="522" t="inlineStr">
        <is>
          <t>59011772</t>
        </is>
      </c>
      <c r="O938" s="521">
        <f>M938=N938</f>
        <v/>
      </c>
      <c r="P938" s="521">
        <f>AND(MONTH(F938)=MONTH(S938), YEAR(F938)=YEAR(S938))</f>
        <v/>
      </c>
      <c r="Q938" s="521">
        <f>U938="L001-901905215"</f>
        <v/>
      </c>
      <c r="R938" s="556">
        <f>G938-W938</f>
        <v/>
      </c>
      <c r="S938" s="523" t="n">
        <v>44602</v>
      </c>
      <c r="T938" s="522" t="inlineStr">
        <is>
          <t>59011772</t>
        </is>
      </c>
      <c r="U938" s="522" t="inlineStr">
        <is>
          <t>L001-901905215</t>
        </is>
      </c>
      <c r="V938" s="522" t="inlineStr">
        <is>
          <t>វីអ៊ីស៊ិន (ខេមបូឌា) អ៊ិនដាសស្ទ្រី ឯ.ក</t>
        </is>
      </c>
      <c r="W938" s="556" t="n">
        <v>110229</v>
      </c>
    </row>
    <row r="939">
      <c r="A939" s="521" t="n">
        <v>931</v>
      </c>
      <c r="B939" s="522" t="inlineStr">
        <is>
          <t>Inspection Service Fee</t>
        </is>
      </c>
      <c r="C939" s="522" t="inlineStr">
        <is>
          <t>ប្យួរ៉ូ វេរីតាស (ខេមបូឌា) លីមីធីត</t>
        </is>
      </c>
      <c r="D939" s="522" t="inlineStr">
        <is>
          <t>L001-107024462</t>
        </is>
      </c>
      <c r="E939" s="521" t="inlineStr">
        <is>
          <t>59011820</t>
        </is>
      </c>
      <c r="F939" s="523" t="n">
        <v>44610</v>
      </c>
      <c r="G939" s="556" t="n">
        <v>55089</v>
      </c>
      <c r="I939" s="521">
        <f>G939</f>
        <v/>
      </c>
      <c r="K939" s="521">
        <f>I939-G939</f>
        <v/>
      </c>
      <c r="M939" s="522" t="inlineStr">
        <is>
          <t>59011820</t>
        </is>
      </c>
      <c r="N939" s="522" t="inlineStr">
        <is>
          <t>59011820</t>
        </is>
      </c>
      <c r="O939" s="521">
        <f>M939=N939</f>
        <v/>
      </c>
      <c r="P939" s="521">
        <f>AND(MONTH(F939)=MONTH(S939), YEAR(F939)=YEAR(S939))</f>
        <v/>
      </c>
      <c r="Q939" s="521">
        <f>U939="L001-901905215"</f>
        <v/>
      </c>
      <c r="R939" s="556">
        <f>G939-W939</f>
        <v/>
      </c>
      <c r="S939" s="523" t="n">
        <v>44610</v>
      </c>
      <c r="T939" s="522" t="inlineStr">
        <is>
          <t>59011820</t>
        </is>
      </c>
      <c r="U939" s="522" t="inlineStr">
        <is>
          <t>L001-901905215</t>
        </is>
      </c>
      <c r="V939" s="522" t="inlineStr">
        <is>
          <t>វីអ៊ីស៊ិន (ខេមបូឌា) អ៊ិនដាសស្ទ្រី ឯ.ក</t>
        </is>
      </c>
      <c r="W939" s="556" t="n">
        <v>55089</v>
      </c>
    </row>
    <row r="940">
      <c r="A940" s="521" t="n">
        <v>932</v>
      </c>
      <c r="B940" s="522" t="inlineStr">
        <is>
          <t>Inspection Service Fee</t>
        </is>
      </c>
      <c r="C940" s="522" t="inlineStr">
        <is>
          <t>ប្យួរ៉ូ វេរីតាស (ខេមបូឌា) លីមីធីត</t>
        </is>
      </c>
      <c r="D940" s="522" t="inlineStr">
        <is>
          <t>L001-107024462</t>
        </is>
      </c>
      <c r="E940" s="521" t="inlineStr">
        <is>
          <t>59011848</t>
        </is>
      </c>
      <c r="F940" s="523" t="n">
        <v>44616</v>
      </c>
      <c r="G940" s="556" t="n">
        <v>165224</v>
      </c>
      <c r="I940" s="521">
        <f>G940</f>
        <v/>
      </c>
      <c r="K940" s="521">
        <f>I940-G940</f>
        <v/>
      </c>
      <c r="M940" s="522" t="inlineStr">
        <is>
          <t>59011848</t>
        </is>
      </c>
      <c r="N940" s="522" t="inlineStr">
        <is>
          <t>59011848</t>
        </is>
      </c>
      <c r="O940" s="521">
        <f>M940=N940</f>
        <v/>
      </c>
      <c r="P940" s="521">
        <f>AND(MONTH(F940)=MONTH(S940), YEAR(F940)=YEAR(S940))</f>
        <v/>
      </c>
      <c r="Q940" s="521">
        <f>U940="L001-901905215"</f>
        <v/>
      </c>
      <c r="R940" s="556">
        <f>G940-W940</f>
        <v/>
      </c>
      <c r="S940" s="523" t="n">
        <v>44616</v>
      </c>
      <c r="T940" s="522" t="inlineStr">
        <is>
          <t>59011848</t>
        </is>
      </c>
      <c r="U940" s="522" t="inlineStr">
        <is>
          <t>L001-901905215</t>
        </is>
      </c>
      <c r="V940" s="522" t="inlineStr">
        <is>
          <t>វីអ៊ីស៊ិន (ខេមបូឌា) អ៊ិនដាសស្ទ្រី ឯ.ក</t>
        </is>
      </c>
      <c r="W940" s="556" t="n">
        <v>165224</v>
      </c>
    </row>
    <row r="941">
      <c r="A941" s="521" t="n">
        <v>933</v>
      </c>
      <c r="B941" s="522" t="inlineStr">
        <is>
          <t>Inspection Service Fee</t>
        </is>
      </c>
      <c r="C941" s="522" t="inlineStr">
        <is>
          <t>ប្យួរ៉ូ វេរីតាស (ខេមបូឌា) លីមីធីត</t>
        </is>
      </c>
      <c r="D941" s="522" t="inlineStr">
        <is>
          <t>L001-107024462</t>
        </is>
      </c>
      <c r="E941" s="521" t="inlineStr">
        <is>
          <t>59011856</t>
        </is>
      </c>
      <c r="F941" s="523" t="n">
        <v>44617</v>
      </c>
      <c r="G941" s="556" t="n">
        <v>165224</v>
      </c>
      <c r="I941" s="521">
        <f>G941</f>
        <v/>
      </c>
      <c r="K941" s="521">
        <f>I941-G941</f>
        <v/>
      </c>
      <c r="M941" s="522" t="inlineStr">
        <is>
          <t>59011856</t>
        </is>
      </c>
      <c r="N941" s="522" t="inlineStr">
        <is>
          <t>59011856</t>
        </is>
      </c>
      <c r="O941" s="521">
        <f>M941=N941</f>
        <v/>
      </c>
      <c r="P941" s="521">
        <f>AND(MONTH(F941)=MONTH(S941), YEAR(F941)=YEAR(S941))</f>
        <v/>
      </c>
      <c r="Q941" s="521">
        <f>U941="L001-901905215"</f>
        <v/>
      </c>
      <c r="R941" s="556">
        <f>G941-W941</f>
        <v/>
      </c>
      <c r="S941" s="523" t="n">
        <v>44617</v>
      </c>
      <c r="T941" s="522" t="inlineStr">
        <is>
          <t>59011856</t>
        </is>
      </c>
      <c r="U941" s="522" t="inlineStr">
        <is>
          <t>L001-901905215</t>
        </is>
      </c>
      <c r="V941" s="522" t="inlineStr">
        <is>
          <t>វីអ៊ីស៊ិន (ខេមបូឌា) អ៊ិនដាសស្ទ្រី ឯ.ក</t>
        </is>
      </c>
      <c r="W941" s="556" t="n">
        <v>165224</v>
      </c>
    </row>
    <row r="942">
      <c r="A942" s="521" t="n">
        <v>934</v>
      </c>
      <c r="B942" s="522" t="inlineStr">
        <is>
          <t>Inspection Service Fee</t>
        </is>
      </c>
      <c r="C942" s="522" t="inlineStr">
        <is>
          <t>ប្យួរ៉ូ វេរីតាស (ខេមបូឌា) លីមីធីត</t>
        </is>
      </c>
      <c r="D942" s="522" t="inlineStr">
        <is>
          <t>L001-107024462</t>
        </is>
      </c>
      <c r="E942" s="521" t="inlineStr">
        <is>
          <t>59011755</t>
        </is>
      </c>
      <c r="F942" s="523" t="n">
        <v>44601</v>
      </c>
      <c r="G942" s="556" t="n">
        <v>110229</v>
      </c>
      <c r="I942" s="521">
        <f>G942</f>
        <v/>
      </c>
      <c r="K942" s="521">
        <f>I942-G942</f>
        <v/>
      </c>
      <c r="M942" s="522" t="inlineStr">
        <is>
          <t>59011755</t>
        </is>
      </c>
      <c r="N942" s="522" t="inlineStr">
        <is>
          <t>59011755</t>
        </is>
      </c>
      <c r="O942" s="521">
        <f>M942=N942</f>
        <v/>
      </c>
      <c r="P942" s="521">
        <f>AND(MONTH(F942)=MONTH(S942), YEAR(F942)=YEAR(S942))</f>
        <v/>
      </c>
      <c r="Q942" s="521">
        <f>U942="L001-901905215"</f>
        <v/>
      </c>
      <c r="R942" s="556">
        <f>G942-W942</f>
        <v/>
      </c>
      <c r="S942" s="523" t="n">
        <v>44601</v>
      </c>
      <c r="T942" s="522" t="inlineStr">
        <is>
          <t>59011755</t>
        </is>
      </c>
      <c r="U942" s="522" t="inlineStr">
        <is>
          <t>L001-901905215</t>
        </is>
      </c>
      <c r="V942" s="522" t="inlineStr">
        <is>
          <t>វីអ៊ីស៊ិន (ខេមបូឌា) អ៊ិនដាសស្ទ្រី ឯ.ក</t>
        </is>
      </c>
      <c r="W942" s="556" t="n">
        <v>110229</v>
      </c>
    </row>
    <row r="943">
      <c r="A943" s="521" t="n">
        <v>935</v>
      </c>
      <c r="B943" s="522" t="inlineStr">
        <is>
          <t>Inspection Service Fee</t>
        </is>
      </c>
      <c r="C943" s="522" t="inlineStr">
        <is>
          <t>ប្យួរ៉ូ វេរីតាស (ខេមបូឌា) លីមីធីត</t>
        </is>
      </c>
      <c r="D943" s="522" t="inlineStr">
        <is>
          <t>L001-107024462</t>
        </is>
      </c>
      <c r="E943" s="521" t="inlineStr">
        <is>
          <t>59011878</t>
        </is>
      </c>
      <c r="F943" s="523" t="n">
        <v>44620</v>
      </c>
      <c r="G943" s="556" t="n">
        <v>55076</v>
      </c>
      <c r="I943" s="521">
        <f>G943</f>
        <v/>
      </c>
      <c r="K943" s="521">
        <f>I943-G943</f>
        <v/>
      </c>
      <c r="M943" s="522" t="inlineStr">
        <is>
          <t>59011878</t>
        </is>
      </c>
      <c r="N943" s="522" t="inlineStr">
        <is>
          <t>59011878</t>
        </is>
      </c>
      <c r="O943" s="521">
        <f>M943=N943</f>
        <v/>
      </c>
      <c r="P943" s="521">
        <f>AND(MONTH(F943)=MONTH(S943), YEAR(F943)=YEAR(S943))</f>
        <v/>
      </c>
      <c r="Q943" s="521">
        <f>U943="L001-901905215"</f>
        <v/>
      </c>
      <c r="R943" s="556">
        <f>G943-W943</f>
        <v/>
      </c>
      <c r="S943" s="523" t="n">
        <v>44620</v>
      </c>
      <c r="T943" s="522" t="inlineStr">
        <is>
          <t>59011878</t>
        </is>
      </c>
      <c r="U943" s="522" t="inlineStr">
        <is>
          <t>L001-901905215</t>
        </is>
      </c>
      <c r="V943" s="522" t="inlineStr">
        <is>
          <t>វីអ៊ីស៊ិន (ខេមបូឌា) អ៊ិនដាសស្ទ្រី ឯ.ក</t>
        </is>
      </c>
      <c r="W943" s="556" t="n">
        <v>55076</v>
      </c>
    </row>
    <row r="944">
      <c r="A944" s="521" t="n">
        <v>936</v>
      </c>
      <c r="B944" s="522" t="inlineStr">
        <is>
          <t>Lift-Off Charge,Gate Fee Charge</t>
        </is>
      </c>
      <c r="C944" s="522" t="inlineStr">
        <is>
          <t>កំពង់ផែស្វយ័តភ្នំពេញ "ក.ស.ភ"</t>
        </is>
      </c>
      <c r="D944" s="522" t="inlineStr">
        <is>
          <t>L001-100044999</t>
        </is>
      </c>
      <c r="E944" s="521" t="inlineStr">
        <is>
          <t>INV20220215304</t>
        </is>
      </c>
      <c r="F944" s="523" t="n">
        <v>44618</v>
      </c>
      <c r="G944" s="556" t="n">
        <v>87826</v>
      </c>
      <c r="I944" s="521">
        <f>G944</f>
        <v/>
      </c>
      <c r="K944" s="521">
        <f>I944-G944</f>
        <v/>
      </c>
      <c r="M944" s="522" t="inlineStr">
        <is>
          <t>INV20220215304</t>
        </is>
      </c>
      <c r="N944" s="522" t="inlineStr"/>
      <c r="O944" s="521">
        <f>M944=N944</f>
        <v/>
      </c>
      <c r="P944" s="521">
        <f>AND(MONTH(F944)=MONTH(S944), YEAR(F944)=YEAR(S944))</f>
        <v/>
      </c>
      <c r="Q944" s="521">
        <f>U944="L001-901905215"</f>
        <v/>
      </c>
      <c r="R944" s="556">
        <f>G944-W944</f>
        <v/>
      </c>
      <c r="S944" s="521" t="n"/>
      <c r="T944" s="522" t="n"/>
      <c r="U944" s="522" t="n"/>
      <c r="V944" s="522" t="n"/>
      <c r="W944" s="521" t="n"/>
    </row>
    <row r="945">
      <c r="A945" s="521" t="n">
        <v>937</v>
      </c>
      <c r="B945" s="522" t="inlineStr">
        <is>
          <t>Lift-Off Charge,Gate Fee Charge</t>
        </is>
      </c>
      <c r="C945" s="522" t="inlineStr">
        <is>
          <t>កំពង់ផែស្វយ័តភ្នំពេញ "ក.ស.ភ"</t>
        </is>
      </c>
      <c r="D945" s="522" t="inlineStr">
        <is>
          <t>L001-100044999</t>
        </is>
      </c>
      <c r="E945" s="521" t="inlineStr">
        <is>
          <t>INV20220215323</t>
        </is>
      </c>
      <c r="F945" s="523" t="n">
        <v>44618</v>
      </c>
      <c r="G945" s="556" t="n">
        <v>48792</v>
      </c>
      <c r="I945" s="521">
        <f>G945</f>
        <v/>
      </c>
      <c r="K945" s="521">
        <f>I945-G945</f>
        <v/>
      </c>
      <c r="M945" s="522" t="inlineStr">
        <is>
          <t>INV20220215323</t>
        </is>
      </c>
      <c r="N945" s="522" t="inlineStr"/>
      <c r="O945" s="521">
        <f>M945=N945</f>
        <v/>
      </c>
      <c r="P945" s="521">
        <f>AND(MONTH(F945)=MONTH(S945), YEAR(F945)=YEAR(S945))</f>
        <v/>
      </c>
      <c r="Q945" s="521">
        <f>U945="L001-901905215"</f>
        <v/>
      </c>
      <c r="R945" s="556">
        <f>G945-W945</f>
        <v/>
      </c>
      <c r="S945" s="521" t="n"/>
      <c r="T945" s="522" t="n"/>
      <c r="U945" s="522" t="n"/>
      <c r="V945" s="522" t="n"/>
      <c r="W945" s="521" t="n"/>
    </row>
    <row r="946">
      <c r="A946" s="521" t="n">
        <v>938</v>
      </c>
      <c r="B946" s="522" t="inlineStr">
        <is>
          <t>TRUCKING FEE</t>
        </is>
      </c>
      <c r="C946" s="522" t="inlineStr">
        <is>
          <t>56ប៊ី-លីង សឹបផ្លាយ ឆេន មេនេចម៉ិន ឯ.ក</t>
        </is>
      </c>
      <c r="D946" s="522" t="inlineStr">
        <is>
          <t>K004-902004795</t>
        </is>
      </c>
      <c r="E946" s="521" t="inlineStr">
        <is>
          <t>TI2022-0220</t>
        </is>
      </c>
      <c r="F946" s="523" t="n">
        <v>44620</v>
      </c>
      <c r="G946" s="556" t="n">
        <v>471656</v>
      </c>
      <c r="I946" s="521">
        <f>G946</f>
        <v/>
      </c>
      <c r="K946" s="521">
        <f>I946-G946</f>
        <v/>
      </c>
      <c r="M946" s="522" t="inlineStr">
        <is>
          <t>TI20220220</t>
        </is>
      </c>
      <c r="N946" s="522" t="inlineStr">
        <is>
          <t>TI20220220</t>
        </is>
      </c>
      <c r="O946" s="521">
        <f>M946=N946</f>
        <v/>
      </c>
      <c r="P946" s="521">
        <f>AND(MONTH(F946)=MONTH(S946), YEAR(F946)=YEAR(S946))</f>
        <v/>
      </c>
      <c r="Q946" s="521">
        <f>U946="L001-901905215"</f>
        <v/>
      </c>
      <c r="R946" s="556">
        <f>G946-W946</f>
        <v/>
      </c>
      <c r="S946" s="523" t="n">
        <v>44620</v>
      </c>
      <c r="T946" s="522" t="inlineStr">
        <is>
          <t>TI2022-0220</t>
        </is>
      </c>
      <c r="U946" s="522" t="inlineStr">
        <is>
          <t>L001-901905215</t>
        </is>
      </c>
      <c r="V946" s="522" t="inlineStr">
        <is>
          <t>វីអ៊ីស៊ិន (ខេមបូឌា) អ៊ិនដាសស្ទ្រី ឯ.ក</t>
        </is>
      </c>
      <c r="W946" s="556" t="n">
        <v>471656</v>
      </c>
    </row>
    <row r="947">
      <c r="A947" s="521" t="n">
        <v>939</v>
      </c>
      <c r="B947" s="522" t="inlineStr">
        <is>
          <t>Lift-Off Charge,Gate Fee Charge</t>
        </is>
      </c>
      <c r="C947" s="522" t="inlineStr">
        <is>
          <t>កំពង់ផែស្វយ័តភ្នំពេញ "ក.ស.ភ"</t>
        </is>
      </c>
      <c r="D947" s="522" t="inlineStr">
        <is>
          <t>L001-100044999</t>
        </is>
      </c>
      <c r="E947" s="521" t="inlineStr">
        <is>
          <t>INV20220215301</t>
        </is>
      </c>
      <c r="F947" s="523" t="n">
        <v>44618</v>
      </c>
      <c r="G947" s="556" t="n">
        <v>146376</v>
      </c>
      <c r="I947" s="521">
        <f>G947</f>
        <v/>
      </c>
      <c r="K947" s="521">
        <f>I947-G947</f>
        <v/>
      </c>
      <c r="M947" s="522" t="inlineStr">
        <is>
          <t>INV20220215301</t>
        </is>
      </c>
      <c r="N947" s="522" t="inlineStr"/>
      <c r="O947" s="521">
        <f>M947=N947</f>
        <v/>
      </c>
      <c r="P947" s="521">
        <f>AND(MONTH(F947)=MONTH(S947), YEAR(F947)=YEAR(S947))</f>
        <v/>
      </c>
      <c r="Q947" s="521">
        <f>U947="L001-901905215"</f>
        <v/>
      </c>
      <c r="R947" s="556">
        <f>G947-W947</f>
        <v/>
      </c>
      <c r="S947" s="521" t="n"/>
      <c r="T947" s="522" t="n"/>
      <c r="U947" s="522" t="n"/>
      <c r="V947" s="522" t="n"/>
      <c r="W947" s="521" t="n"/>
    </row>
    <row r="948">
      <c r="A948" s="521" t="n">
        <v>940</v>
      </c>
      <c r="B948" s="522" t="inlineStr">
        <is>
          <t>TRUCKING FEE</t>
        </is>
      </c>
      <c r="C948" s="522" t="inlineStr">
        <is>
          <t>56ប៊ី-លីង សឹបផ្លាយ ឆេន មេនេចម៉ិន ឯ.ក</t>
        </is>
      </c>
      <c r="D948" s="522" t="inlineStr">
        <is>
          <t>K004-902004795</t>
        </is>
      </c>
      <c r="E948" s="521" t="inlineStr">
        <is>
          <t>TI2022-0224</t>
        </is>
      </c>
      <c r="F948" s="523" t="n">
        <v>44620</v>
      </c>
      <c r="G948" s="556" t="n">
        <v>1124249</v>
      </c>
      <c r="I948" s="521">
        <f>G948</f>
        <v/>
      </c>
      <c r="K948" s="521">
        <f>I948-G948</f>
        <v/>
      </c>
      <c r="M948" s="522" t="inlineStr">
        <is>
          <t>TI20220224</t>
        </is>
      </c>
      <c r="N948" s="522" t="inlineStr">
        <is>
          <t>TI20220224</t>
        </is>
      </c>
      <c r="O948" s="521">
        <f>M948=N948</f>
        <v/>
      </c>
      <c r="P948" s="521">
        <f>AND(MONTH(F948)=MONTH(S948), YEAR(F948)=YEAR(S948))</f>
        <v/>
      </c>
      <c r="Q948" s="521">
        <f>U948="L001-901905215"</f>
        <v/>
      </c>
      <c r="R948" s="556">
        <f>G948-W948</f>
        <v/>
      </c>
      <c r="S948" s="523" t="n">
        <v>44620</v>
      </c>
      <c r="T948" s="522" t="inlineStr">
        <is>
          <t>TI2022-0224</t>
        </is>
      </c>
      <c r="U948" s="522" t="inlineStr">
        <is>
          <t>L001-901905215</t>
        </is>
      </c>
      <c r="V948" s="522" t="inlineStr">
        <is>
          <t>វីអ៊ីស៊ិន (ខេមបូឌា) អ៊ិនដាសស្ទ្រី ឯ.ក</t>
        </is>
      </c>
      <c r="W948" s="556" t="n">
        <v>1124249</v>
      </c>
    </row>
    <row r="949">
      <c r="A949" s="521" t="n">
        <v>941</v>
      </c>
      <c r="B949" s="522" t="inlineStr">
        <is>
          <t>Lift-Off Charge,Gate Fee Charge</t>
        </is>
      </c>
      <c r="C949" s="522" t="inlineStr">
        <is>
          <t>កំពង់ផែស្វយ័តភ្នំពេញ "ក.ស.ភ"</t>
        </is>
      </c>
      <c r="D949" s="522" t="inlineStr">
        <is>
          <t>L001-100044999</t>
        </is>
      </c>
      <c r="E949" s="521" t="inlineStr">
        <is>
          <t>INV20220215285</t>
        </is>
      </c>
      <c r="F949" s="523" t="n">
        <v>44618</v>
      </c>
      <c r="G949" s="556" t="n">
        <v>58550</v>
      </c>
      <c r="I949" s="521">
        <f>G949</f>
        <v/>
      </c>
      <c r="K949" s="521">
        <f>I949-G949</f>
        <v/>
      </c>
      <c r="M949" s="522" t="inlineStr">
        <is>
          <t>INV20220215285</t>
        </is>
      </c>
      <c r="N949" s="522" t="inlineStr"/>
      <c r="O949" s="521">
        <f>M949=N949</f>
        <v/>
      </c>
      <c r="P949" s="521">
        <f>AND(MONTH(F949)=MONTH(S949), YEAR(F949)=YEAR(S949))</f>
        <v/>
      </c>
      <c r="Q949" s="521">
        <f>U949="L001-901905215"</f>
        <v/>
      </c>
      <c r="R949" s="556">
        <f>G949-W949</f>
        <v/>
      </c>
      <c r="S949" s="521" t="n"/>
      <c r="T949" s="522" t="n"/>
      <c r="U949" s="522" t="n"/>
      <c r="V949" s="522" t="n"/>
      <c r="W949" s="521" t="n"/>
    </row>
    <row r="950">
      <c r="A950" s="521" t="n">
        <v>942</v>
      </c>
      <c r="B950" s="522" t="inlineStr">
        <is>
          <t>TRUCKING FEE</t>
        </is>
      </c>
      <c r="C950" s="522" t="inlineStr">
        <is>
          <t>56ប៊ី-លីង សឹបផ្លាយ ឆេន មេនេចម៉ិន ឯ.ក</t>
        </is>
      </c>
      <c r="D950" s="522" t="inlineStr">
        <is>
          <t>K004-902004795</t>
        </is>
      </c>
      <c r="E950" s="521" t="inlineStr">
        <is>
          <t>TI2022-0223</t>
        </is>
      </c>
      <c r="F950" s="523" t="n">
        <v>44620</v>
      </c>
      <c r="G950" s="556" t="n">
        <v>483854</v>
      </c>
      <c r="I950" s="521">
        <f>G950</f>
        <v/>
      </c>
      <c r="K950" s="521">
        <f>I950-G950</f>
        <v/>
      </c>
      <c r="M950" s="522" t="inlineStr">
        <is>
          <t>TI20220223</t>
        </is>
      </c>
      <c r="N950" s="522" t="inlineStr">
        <is>
          <t>TI20220223</t>
        </is>
      </c>
      <c r="O950" s="521">
        <f>M950=N950</f>
        <v/>
      </c>
      <c r="P950" s="521">
        <f>AND(MONTH(F950)=MONTH(S950), YEAR(F950)=YEAR(S950))</f>
        <v/>
      </c>
      <c r="Q950" s="521">
        <f>U950="L001-901905215"</f>
        <v/>
      </c>
      <c r="R950" s="556">
        <f>G950-W950</f>
        <v/>
      </c>
      <c r="S950" s="523" t="n">
        <v>44620</v>
      </c>
      <c r="T950" s="522" t="inlineStr">
        <is>
          <t>TI2022-0223</t>
        </is>
      </c>
      <c r="U950" s="522" t="inlineStr">
        <is>
          <t>L001-901905215</t>
        </is>
      </c>
      <c r="V950" s="522" t="inlineStr">
        <is>
          <t>វីអ៊ីស៊ិន (ខេមបូឌា) អ៊ិនដាសស្ទ្រី ឯ.ក</t>
        </is>
      </c>
      <c r="W950" s="556" t="n">
        <v>483854</v>
      </c>
    </row>
    <row r="951">
      <c r="A951" s="521" t="n">
        <v>943</v>
      </c>
      <c r="B951" s="522" t="inlineStr">
        <is>
          <t>Lift-Off Charge,Gate Fee Charge</t>
        </is>
      </c>
      <c r="C951" s="522" t="inlineStr">
        <is>
          <t>កំពង់ផែស្វយ័តភ្នំពេញ "ក.ស.ភ"</t>
        </is>
      </c>
      <c r="D951" s="522" t="inlineStr">
        <is>
          <t>L001-100044999</t>
        </is>
      </c>
      <c r="E951" s="521" t="inlineStr">
        <is>
          <t>INV20220215288</t>
        </is>
      </c>
      <c r="F951" s="523" t="n">
        <v>44618</v>
      </c>
      <c r="G951" s="556" t="n">
        <v>175651</v>
      </c>
      <c r="I951" s="521">
        <f>G951</f>
        <v/>
      </c>
      <c r="K951" s="521">
        <f>I951-G951</f>
        <v/>
      </c>
      <c r="M951" s="522" t="inlineStr">
        <is>
          <t>INV20220215288</t>
        </is>
      </c>
      <c r="N951" s="522" t="inlineStr"/>
      <c r="O951" s="521">
        <f>M951=N951</f>
        <v/>
      </c>
      <c r="P951" s="521">
        <f>AND(MONTH(F951)=MONTH(S951), YEAR(F951)=YEAR(S951))</f>
        <v/>
      </c>
      <c r="Q951" s="521">
        <f>U951="L001-901905215"</f>
        <v/>
      </c>
      <c r="R951" s="556">
        <f>G951-W951</f>
        <v/>
      </c>
      <c r="S951" s="521" t="n"/>
      <c r="T951" s="522" t="n"/>
      <c r="U951" s="522" t="n"/>
      <c r="V951" s="522" t="n"/>
      <c r="W951" s="521" t="n"/>
    </row>
    <row r="952">
      <c r="A952" s="521" t="n">
        <v>944</v>
      </c>
      <c r="B952" s="522" t="inlineStr">
        <is>
          <t>TRUCKING FEE</t>
        </is>
      </c>
      <c r="C952" s="522" t="inlineStr">
        <is>
          <t>56ប៊ី-លីង សឹបផ្លាយ ឆេន មេនេចម៉ិន ឯ.ក</t>
        </is>
      </c>
      <c r="D952" s="522" t="inlineStr">
        <is>
          <t>K004-902004795</t>
        </is>
      </c>
      <c r="E952" s="521" t="inlineStr">
        <is>
          <t>TI2022-0222</t>
        </is>
      </c>
      <c r="F952" s="523" t="n">
        <v>44620</v>
      </c>
      <c r="G952" s="556" t="n">
        <v>1337714</v>
      </c>
      <c r="I952" s="521">
        <f>G952</f>
        <v/>
      </c>
      <c r="K952" s="521">
        <f>I952-G952</f>
        <v/>
      </c>
      <c r="M952" s="522" t="inlineStr">
        <is>
          <t>TI20220222</t>
        </is>
      </c>
      <c r="N952" s="522" t="inlineStr">
        <is>
          <t>TI20220222</t>
        </is>
      </c>
      <c r="O952" s="521">
        <f>M952=N952</f>
        <v/>
      </c>
      <c r="P952" s="521">
        <f>AND(MONTH(F952)=MONTH(S952), YEAR(F952)=YEAR(S952))</f>
        <v/>
      </c>
      <c r="Q952" s="521">
        <f>U952="L001-901905215"</f>
        <v/>
      </c>
      <c r="R952" s="556">
        <f>G952-W952</f>
        <v/>
      </c>
      <c r="S952" s="523" t="n">
        <v>44620</v>
      </c>
      <c r="T952" s="522" t="inlineStr">
        <is>
          <t>TI2022-0222</t>
        </is>
      </c>
      <c r="U952" s="522" t="inlineStr">
        <is>
          <t>L001-901905215</t>
        </is>
      </c>
      <c r="V952" s="522" t="inlineStr">
        <is>
          <t>វីអ៊ីស៊ិន (ខេមបូឌា) អ៊ិនដាសស្ទ្រី ឯ.ក</t>
        </is>
      </c>
      <c r="W952" s="556" t="n">
        <v>1337714</v>
      </c>
    </row>
    <row r="953">
      <c r="A953" s="521" t="n">
        <v>945</v>
      </c>
      <c r="B953" s="522" t="inlineStr">
        <is>
          <t>Lift-Off Charge,Gate Fee Charge</t>
        </is>
      </c>
      <c r="C953" s="522" t="inlineStr">
        <is>
          <t>កំពង់ផែស្វយ័តភ្នំពេញ "ក.ស.ភ"</t>
        </is>
      </c>
      <c r="D953" s="522" t="inlineStr">
        <is>
          <t>L001-100044999</t>
        </is>
      </c>
      <c r="E953" s="521" t="inlineStr">
        <is>
          <t>INV20220215309</t>
        </is>
      </c>
      <c r="F953" s="523" t="n">
        <v>44618</v>
      </c>
      <c r="G953" s="556" t="n">
        <v>58550</v>
      </c>
      <c r="I953" s="521">
        <f>G953</f>
        <v/>
      </c>
      <c r="K953" s="521">
        <f>I953-G953</f>
        <v/>
      </c>
      <c r="M953" s="522" t="inlineStr">
        <is>
          <t>INV20220215309</t>
        </is>
      </c>
      <c r="N953" s="522" t="inlineStr"/>
      <c r="O953" s="521">
        <f>M953=N953</f>
        <v/>
      </c>
      <c r="P953" s="521">
        <f>AND(MONTH(F953)=MONTH(S953), YEAR(F953)=YEAR(S953))</f>
        <v/>
      </c>
      <c r="Q953" s="521">
        <f>U953="L001-901905215"</f>
        <v/>
      </c>
      <c r="R953" s="556">
        <f>G953-W953</f>
        <v/>
      </c>
      <c r="S953" s="521" t="n"/>
      <c r="T953" s="522" t="n"/>
      <c r="U953" s="522" t="n"/>
      <c r="V953" s="522" t="n"/>
      <c r="W953" s="521" t="n"/>
    </row>
    <row r="954">
      <c r="A954" s="521" t="n">
        <v>946</v>
      </c>
      <c r="B954" s="522" t="inlineStr">
        <is>
          <t>TRUCKING FEE</t>
        </is>
      </c>
      <c r="C954" s="522" t="inlineStr">
        <is>
          <t>56ប៊ី-លីង សឹបផ្លាយ ឆេន មេនេចម៉ិន ឯ.ក</t>
        </is>
      </c>
      <c r="D954" s="522" t="inlineStr">
        <is>
          <t>K004-902004795</t>
        </is>
      </c>
      <c r="E954" s="521" t="inlineStr">
        <is>
          <t>TI2022-0221</t>
        </is>
      </c>
      <c r="F954" s="523" t="n">
        <v>44620</v>
      </c>
      <c r="G954" s="556" t="n">
        <v>483854</v>
      </c>
      <c r="I954" s="521">
        <f>G954</f>
        <v/>
      </c>
      <c r="K954" s="521">
        <f>I954-G954</f>
        <v/>
      </c>
      <c r="M954" s="522" t="inlineStr">
        <is>
          <t>TI20220221</t>
        </is>
      </c>
      <c r="N954" s="522" t="inlineStr">
        <is>
          <t>TI20220221</t>
        </is>
      </c>
      <c r="O954" s="521">
        <f>M954=N954</f>
        <v/>
      </c>
      <c r="P954" s="521">
        <f>AND(MONTH(F954)=MONTH(S954), YEAR(F954)=YEAR(S954))</f>
        <v/>
      </c>
      <c r="Q954" s="521">
        <f>U954="L001-901905215"</f>
        <v/>
      </c>
      <c r="R954" s="556">
        <f>G954-W954</f>
        <v/>
      </c>
      <c r="S954" s="523" t="n">
        <v>44620</v>
      </c>
      <c r="T954" s="522" t="inlineStr">
        <is>
          <t>TI2022-0221</t>
        </is>
      </c>
      <c r="U954" s="522" t="inlineStr">
        <is>
          <t>L001-901905215</t>
        </is>
      </c>
      <c r="V954" s="522" t="inlineStr">
        <is>
          <t>វីអ៊ីស៊ិន (ខេមបូឌា) អ៊ិនដាសស្ទ្រី ឯ.ក</t>
        </is>
      </c>
      <c r="W954" s="556" t="n">
        <v>483854</v>
      </c>
    </row>
    <row r="955">
      <c r="A955" s="521" t="n">
        <v>947</v>
      </c>
      <c r="B955" s="522" t="inlineStr">
        <is>
          <t>TRUCKING FEE</t>
        </is>
      </c>
      <c r="C955" s="522" t="inlineStr">
        <is>
          <t>56ប៊ី-លីង សឹបផ្លាយ ឆេន មេនេចម៉ិន ឯ.ក</t>
        </is>
      </c>
      <c r="D955" s="522" t="inlineStr">
        <is>
          <t>K004-902004795</t>
        </is>
      </c>
      <c r="E955" s="521" t="inlineStr">
        <is>
          <t>TI2022-0219</t>
        </is>
      </c>
      <c r="F955" s="523" t="n">
        <v>44620</v>
      </c>
      <c r="G955" s="556" t="n">
        <v>697319</v>
      </c>
      <c r="I955" s="521">
        <f>G955</f>
        <v/>
      </c>
      <c r="K955" s="521">
        <f>I955-G955</f>
        <v/>
      </c>
      <c r="M955" s="522" t="inlineStr">
        <is>
          <t>TI20220219</t>
        </is>
      </c>
      <c r="N955" s="522" t="inlineStr">
        <is>
          <t>TI20220219</t>
        </is>
      </c>
      <c r="O955" s="521">
        <f>M955=N955</f>
        <v/>
      </c>
      <c r="P955" s="521">
        <f>AND(MONTH(F955)=MONTH(S955), YEAR(F955)=YEAR(S955))</f>
        <v/>
      </c>
      <c r="Q955" s="521">
        <f>U955="L001-901905215"</f>
        <v/>
      </c>
      <c r="R955" s="556">
        <f>G955-W955</f>
        <v/>
      </c>
      <c r="S955" s="523" t="n">
        <v>44620</v>
      </c>
      <c r="T955" s="522" t="inlineStr">
        <is>
          <t>TI2022-0219</t>
        </is>
      </c>
      <c r="U955" s="522" t="inlineStr">
        <is>
          <t>L001-901905215</t>
        </is>
      </c>
      <c r="V955" s="522" t="inlineStr">
        <is>
          <t>វីអ៊ីស៊ិន (ខេមបូឌា) អ៊ិនដាសស្ទ្រី ឯ.ក</t>
        </is>
      </c>
      <c r="W955" s="556" t="n">
        <v>697319</v>
      </c>
    </row>
    <row r="956">
      <c r="A956" s="521" t="n">
        <v>948</v>
      </c>
      <c r="B956" s="522" t="inlineStr">
        <is>
          <t>Lift-Off Charge,Gate Fee Charge</t>
        </is>
      </c>
      <c r="C956" s="522" t="inlineStr">
        <is>
          <t>កំពង់ផែស្វយ័តភ្នំពេញ "ក.ស.ភ"</t>
        </is>
      </c>
      <c r="D956" s="522" t="inlineStr">
        <is>
          <t>L001-100044999</t>
        </is>
      </c>
      <c r="E956" s="521" t="inlineStr">
        <is>
          <t>INV20220215298</t>
        </is>
      </c>
      <c r="F956" s="523" t="n">
        <v>44618</v>
      </c>
      <c r="G956" s="556" t="n">
        <v>19517</v>
      </c>
      <c r="I956" s="521">
        <f>G956</f>
        <v/>
      </c>
      <c r="K956" s="521">
        <f>I956-G956</f>
        <v/>
      </c>
      <c r="M956" s="522" t="inlineStr">
        <is>
          <t>INV20220215298</t>
        </is>
      </c>
      <c r="N956" s="522" t="inlineStr"/>
      <c r="O956" s="521">
        <f>M956=N956</f>
        <v/>
      </c>
      <c r="P956" s="521">
        <f>AND(MONTH(F956)=MONTH(S956), YEAR(F956)=YEAR(S956))</f>
        <v/>
      </c>
      <c r="Q956" s="521">
        <f>U956="L001-901905215"</f>
        <v/>
      </c>
      <c r="R956" s="556">
        <f>G956-W956</f>
        <v/>
      </c>
      <c r="S956" s="521" t="n"/>
      <c r="T956" s="522" t="n"/>
      <c r="U956" s="522" t="n"/>
      <c r="V956" s="522" t="n"/>
      <c r="W956" s="521" t="n"/>
    </row>
    <row r="957">
      <c r="A957" s="521" t="n">
        <v>949</v>
      </c>
      <c r="B957" s="522" t="inlineStr">
        <is>
          <t>TRUCKING FEE</t>
        </is>
      </c>
      <c r="C957" s="522" t="inlineStr">
        <is>
          <t>56ប៊ី-លីង សឹបផ្លាយ ឆេន មេនេចម៉ិន ឯ.ក</t>
        </is>
      </c>
      <c r="D957" s="522" t="inlineStr">
        <is>
          <t>K004-902004795</t>
        </is>
      </c>
      <c r="E957" s="521" t="inlineStr">
        <is>
          <t>TI2022-0218</t>
        </is>
      </c>
      <c r="F957" s="523" t="n">
        <v>44620</v>
      </c>
      <c r="G957" s="556" t="n">
        <v>258191</v>
      </c>
      <c r="I957" s="521">
        <f>G957</f>
        <v/>
      </c>
      <c r="K957" s="521">
        <f>I957-G957</f>
        <v/>
      </c>
      <c r="M957" s="522" t="inlineStr">
        <is>
          <t>TI20220218</t>
        </is>
      </c>
      <c r="N957" s="522" t="inlineStr">
        <is>
          <t>TI20220218</t>
        </is>
      </c>
      <c r="O957" s="521">
        <f>M957=N957</f>
        <v/>
      </c>
      <c r="P957" s="521">
        <f>AND(MONTH(F957)=MONTH(S957), YEAR(F957)=YEAR(S957))</f>
        <v/>
      </c>
      <c r="Q957" s="521">
        <f>U957="L001-901905215"</f>
        <v/>
      </c>
      <c r="R957" s="556">
        <f>G957-W957</f>
        <v/>
      </c>
      <c r="S957" s="523" t="n">
        <v>44620</v>
      </c>
      <c r="T957" s="522" t="inlineStr">
        <is>
          <t>TI2022-0218</t>
        </is>
      </c>
      <c r="U957" s="522" t="inlineStr">
        <is>
          <t>L001-901905215</t>
        </is>
      </c>
      <c r="V957" s="522" t="inlineStr">
        <is>
          <t>វីអ៊ីស៊ិន (ខេមបូឌា) អ៊ិនដាសស្ទ្រី ឯ.ក</t>
        </is>
      </c>
      <c r="W957" s="556" t="n">
        <v>258191</v>
      </c>
    </row>
    <row r="958">
      <c r="A958" s="521" t="n">
        <v>950</v>
      </c>
      <c r="B958" s="522" t="inlineStr">
        <is>
          <t>Lift-Off Charge,Gate Fee Charge</t>
        </is>
      </c>
      <c r="C958" s="522" t="inlineStr">
        <is>
          <t>កំពង់ផែស្វយ័តភ្នំពេញ "ក.ស.ភ"</t>
        </is>
      </c>
      <c r="D958" s="522" t="inlineStr">
        <is>
          <t>L001-100044999</t>
        </is>
      </c>
      <c r="E958" s="521" t="inlineStr">
        <is>
          <t>INV20220215295</t>
        </is>
      </c>
      <c r="F958" s="523" t="n">
        <v>44618</v>
      </c>
      <c r="G958" s="556" t="n">
        <v>29275</v>
      </c>
      <c r="I958" s="521">
        <f>G958</f>
        <v/>
      </c>
      <c r="K958" s="521">
        <f>I958-G958</f>
        <v/>
      </c>
      <c r="M958" s="522" t="inlineStr">
        <is>
          <t>INV20220215295</t>
        </is>
      </c>
      <c r="N958" s="522" t="inlineStr"/>
      <c r="O958" s="521">
        <f>M958=N958</f>
        <v/>
      </c>
      <c r="P958" s="521">
        <f>AND(MONTH(F958)=MONTH(S958), YEAR(F958)=YEAR(S958))</f>
        <v/>
      </c>
      <c r="Q958" s="521">
        <f>U958="L001-901905215"</f>
        <v/>
      </c>
      <c r="R958" s="556">
        <f>G958-W958</f>
        <v/>
      </c>
      <c r="S958" s="521" t="n"/>
      <c r="T958" s="522" t="n"/>
      <c r="U958" s="522" t="n"/>
      <c r="V958" s="522" t="n"/>
      <c r="W958" s="521" t="n"/>
    </row>
    <row r="959">
      <c r="A959" s="521" t="n">
        <v>951</v>
      </c>
      <c r="B959" s="522" t="inlineStr">
        <is>
          <t>TRUCKING FEE</t>
        </is>
      </c>
      <c r="C959" s="522" t="inlineStr">
        <is>
          <t>56ប៊ី-លីង សឹបផ្លាយ ឆេន មេនេចម៉ិន ឯ.ក</t>
        </is>
      </c>
      <c r="D959" s="522" t="inlineStr">
        <is>
          <t>K004-902004795</t>
        </is>
      </c>
      <c r="E959" s="521" t="inlineStr">
        <is>
          <t>TI2022-0217</t>
        </is>
      </c>
      <c r="F959" s="523" t="n">
        <v>44620</v>
      </c>
      <c r="G959" s="556" t="n">
        <v>270389</v>
      </c>
      <c r="I959" s="521">
        <f>G959</f>
        <v/>
      </c>
      <c r="K959" s="521">
        <f>I959-G959</f>
        <v/>
      </c>
      <c r="M959" s="522" t="inlineStr">
        <is>
          <t>TI20220217</t>
        </is>
      </c>
      <c r="N959" s="522" t="inlineStr">
        <is>
          <t>TI20220217</t>
        </is>
      </c>
      <c r="O959" s="521">
        <f>M959=N959</f>
        <v/>
      </c>
      <c r="P959" s="521">
        <f>AND(MONTH(F959)=MONTH(S959), YEAR(F959)=YEAR(S959))</f>
        <v/>
      </c>
      <c r="Q959" s="521">
        <f>U959="L001-901905215"</f>
        <v/>
      </c>
      <c r="R959" s="556">
        <f>G959-W959</f>
        <v/>
      </c>
      <c r="S959" s="523" t="n">
        <v>44620</v>
      </c>
      <c r="T959" s="522" t="inlineStr">
        <is>
          <t>TI2022-0217</t>
        </is>
      </c>
      <c r="U959" s="522" t="inlineStr">
        <is>
          <t>L001-901905215</t>
        </is>
      </c>
      <c r="V959" s="522" t="inlineStr">
        <is>
          <t>វីអ៊ីស៊ិន (ខេមបូឌា) អ៊ិនដាសស្ទ្រី ឯ.ក</t>
        </is>
      </c>
      <c r="W959" s="556" t="n">
        <v>270389</v>
      </c>
    </row>
    <row r="960">
      <c r="A960" s="521" t="n">
        <v>952</v>
      </c>
      <c r="B960" s="522" t="inlineStr">
        <is>
          <t>Lift-Off Charge,Gate Fee Charge</t>
        </is>
      </c>
      <c r="C960" s="522" t="inlineStr">
        <is>
          <t>កំពង់ផែស្វយ័តភ្នំពេញ "ក.ស.ភ"</t>
        </is>
      </c>
      <c r="D960" s="522" t="inlineStr">
        <is>
          <t>L001-100044999</t>
        </is>
      </c>
      <c r="E960" s="521" t="inlineStr">
        <is>
          <t>INV20220215306</t>
        </is>
      </c>
      <c r="F960" s="523" t="n">
        <v>44618</v>
      </c>
      <c r="G960" s="556" t="n">
        <v>58550</v>
      </c>
      <c r="I960" s="521">
        <f>G960</f>
        <v/>
      </c>
      <c r="K960" s="521">
        <f>I960-G960</f>
        <v/>
      </c>
      <c r="M960" s="522" t="inlineStr">
        <is>
          <t>INV20220215306</t>
        </is>
      </c>
      <c r="N960" s="522" t="inlineStr"/>
      <c r="O960" s="521">
        <f>M960=N960</f>
        <v/>
      </c>
      <c r="P960" s="521">
        <f>AND(MONTH(F960)=MONTH(S960), YEAR(F960)=YEAR(S960))</f>
        <v/>
      </c>
      <c r="Q960" s="521">
        <f>U960="L001-901905215"</f>
        <v/>
      </c>
      <c r="R960" s="556">
        <f>G960-W960</f>
        <v/>
      </c>
      <c r="S960" s="521" t="n"/>
      <c r="T960" s="522" t="n"/>
      <c r="U960" s="522" t="n"/>
      <c r="V960" s="522" t="n"/>
      <c r="W960" s="521" t="n"/>
    </row>
    <row r="961">
      <c r="A961" s="521" t="n">
        <v>953</v>
      </c>
      <c r="B961" s="522" t="inlineStr">
        <is>
          <t>TRUCKING FEE</t>
        </is>
      </c>
      <c r="C961" s="522" t="inlineStr">
        <is>
          <t>56ប៊ី-លីង សឹបផ្លាយ ឆេន មេនេចម៉ិន ឯ.ក</t>
        </is>
      </c>
      <c r="D961" s="522" t="inlineStr">
        <is>
          <t>K004-902004795</t>
        </is>
      </c>
      <c r="E961" s="521" t="inlineStr">
        <is>
          <t>TI2022-0202</t>
        </is>
      </c>
      <c r="F961" s="523" t="n">
        <v>44620</v>
      </c>
      <c r="G961" s="556" t="n">
        <v>483854</v>
      </c>
      <c r="I961" s="521">
        <f>G961</f>
        <v/>
      </c>
      <c r="K961" s="521">
        <f>I961-G961</f>
        <v/>
      </c>
      <c r="M961" s="522" t="inlineStr">
        <is>
          <t>TI20220202</t>
        </is>
      </c>
      <c r="N961" s="522" t="inlineStr">
        <is>
          <t>TI20220202</t>
        </is>
      </c>
      <c r="O961" s="521">
        <f>M961=N961</f>
        <v/>
      </c>
      <c r="P961" s="521">
        <f>AND(MONTH(F961)=MONTH(S961), YEAR(F961)=YEAR(S961))</f>
        <v/>
      </c>
      <c r="Q961" s="521">
        <f>U961="L001-901905215"</f>
        <v/>
      </c>
      <c r="R961" s="556">
        <f>G961-W961</f>
        <v/>
      </c>
      <c r="S961" s="523" t="n">
        <v>44620</v>
      </c>
      <c r="T961" s="522" t="inlineStr">
        <is>
          <t>TI2022-0202</t>
        </is>
      </c>
      <c r="U961" s="522" t="inlineStr">
        <is>
          <t>L001-901905215</t>
        </is>
      </c>
      <c r="V961" s="522" t="inlineStr">
        <is>
          <t>វីអ៊ីស៊ិន (ខេមបូឌា) អ៊ិនដាសស្ទ្រី ឯ.ក</t>
        </is>
      </c>
      <c r="W961" s="556" t="n">
        <v>483854</v>
      </c>
    </row>
    <row r="962">
      <c r="A962" s="521" t="n">
        <v>954</v>
      </c>
      <c r="B962" s="522" t="inlineStr">
        <is>
          <t>Lift-Off Charge,Gate Fee Charge</t>
        </is>
      </c>
      <c r="C962" s="522" t="inlineStr">
        <is>
          <t>កំពង់ផែស្វយ័តភ្នំពេញ "ក.ស.ភ"</t>
        </is>
      </c>
      <c r="D962" s="522" t="inlineStr">
        <is>
          <t>L001-100044999</t>
        </is>
      </c>
      <c r="E962" s="521" t="inlineStr">
        <is>
          <t>INV20220215307</t>
        </is>
      </c>
      <c r="F962" s="523" t="n">
        <v>44617</v>
      </c>
      <c r="G962" s="556" t="n">
        <v>58550</v>
      </c>
      <c r="I962" s="521">
        <f>G962</f>
        <v/>
      </c>
      <c r="K962" s="521">
        <f>I962-G962</f>
        <v/>
      </c>
      <c r="M962" s="522" t="inlineStr">
        <is>
          <t>INV20220215307</t>
        </is>
      </c>
      <c r="N962" s="522" t="inlineStr"/>
      <c r="O962" s="521">
        <f>M962=N962</f>
        <v/>
      </c>
      <c r="P962" s="521">
        <f>AND(MONTH(F962)=MONTH(S962), YEAR(F962)=YEAR(S962))</f>
        <v/>
      </c>
      <c r="Q962" s="521">
        <f>U962="L001-901905215"</f>
        <v/>
      </c>
      <c r="R962" s="556">
        <f>G962-W962</f>
        <v/>
      </c>
      <c r="S962" s="521" t="n"/>
      <c r="T962" s="522" t="n"/>
      <c r="U962" s="522" t="n"/>
      <c r="V962" s="522" t="n"/>
      <c r="W962" s="521" t="n"/>
    </row>
    <row r="963">
      <c r="A963" s="521" t="n">
        <v>955</v>
      </c>
      <c r="B963" s="522" t="inlineStr">
        <is>
          <t>TRUCKING FEE</t>
        </is>
      </c>
      <c r="C963" s="522" t="inlineStr">
        <is>
          <t>56ប៊ី-លីង សឹបផ្លាយ ឆេន មេនេចម៉ិន ឯ.ក</t>
        </is>
      </c>
      <c r="D963" s="522" t="inlineStr">
        <is>
          <t>K004-902004795</t>
        </is>
      </c>
      <c r="E963" s="521" t="inlineStr">
        <is>
          <t>TI2022-0201</t>
        </is>
      </c>
      <c r="F963" s="523" t="n">
        <v>44620</v>
      </c>
      <c r="G963" s="556" t="n">
        <v>483854</v>
      </c>
      <c r="I963" s="521">
        <f>G963</f>
        <v/>
      </c>
      <c r="K963" s="521">
        <f>I963-G963</f>
        <v/>
      </c>
      <c r="M963" s="522" t="inlineStr">
        <is>
          <t>TI20220201</t>
        </is>
      </c>
      <c r="N963" s="522" t="inlineStr">
        <is>
          <t>TI20220201</t>
        </is>
      </c>
      <c r="O963" s="521">
        <f>M963=N963</f>
        <v/>
      </c>
      <c r="P963" s="521">
        <f>AND(MONTH(F963)=MONTH(S963), YEAR(F963)=YEAR(S963))</f>
        <v/>
      </c>
      <c r="Q963" s="521">
        <f>U963="L001-901905215"</f>
        <v/>
      </c>
      <c r="R963" s="556">
        <f>G963-W963</f>
        <v/>
      </c>
      <c r="S963" s="523" t="n">
        <v>44620</v>
      </c>
      <c r="T963" s="522" t="inlineStr">
        <is>
          <t>TI2022-0201</t>
        </is>
      </c>
      <c r="U963" s="522" t="inlineStr">
        <is>
          <t>L001-901905215</t>
        </is>
      </c>
      <c r="V963" s="522" t="inlineStr">
        <is>
          <t>វីអ៊ីស៊ិន (ខេមបូឌា) អ៊ិនដាសស្ទ្រី ឯ.ក</t>
        </is>
      </c>
      <c r="W963" s="556" t="n">
        <v>483854</v>
      </c>
    </row>
    <row r="964">
      <c r="A964" s="521" t="n">
        <v>956</v>
      </c>
      <c r="B964" s="522" t="inlineStr">
        <is>
          <t>Lift-On &amp; Lift-Off</t>
        </is>
      </c>
      <c r="C964" s="522" t="inlineStr">
        <is>
          <t>កំពង់ផែស្វយ័តក្រុងព្រះសីហនុ</t>
        </is>
      </c>
      <c r="D964" s="522" t="inlineStr">
        <is>
          <t>L001-100044638</t>
        </is>
      </c>
      <c r="E964" s="521" t="inlineStr">
        <is>
          <t>033141</t>
        </is>
      </c>
      <c r="F964" s="523" t="n">
        <v>44610</v>
      </c>
      <c r="G964" s="556" t="n">
        <v>55311</v>
      </c>
      <c r="I964" s="521">
        <f>G964</f>
        <v/>
      </c>
      <c r="K964" s="521">
        <f>I964-G964</f>
        <v/>
      </c>
      <c r="M964" s="522" t="inlineStr">
        <is>
          <t>033141</t>
        </is>
      </c>
      <c r="N964" s="522" t="inlineStr"/>
      <c r="O964" s="521">
        <f>M964=N964</f>
        <v/>
      </c>
      <c r="P964" s="521">
        <f>AND(MONTH(F964)=MONTH(S964), YEAR(F964)=YEAR(S964))</f>
        <v/>
      </c>
      <c r="Q964" s="521">
        <f>U964="L001-901905215"</f>
        <v/>
      </c>
      <c r="R964" s="556">
        <f>G964-W964</f>
        <v/>
      </c>
      <c r="S964" s="521" t="n"/>
      <c r="T964" s="522" t="n"/>
      <c r="U964" s="522" t="n"/>
      <c r="V964" s="522" t="n"/>
      <c r="W964" s="521" t="n"/>
    </row>
    <row r="965">
      <c r="A965" s="521" t="n">
        <v>957</v>
      </c>
      <c r="B965" s="522" t="inlineStr">
        <is>
          <t>TRUCKING FEE</t>
        </is>
      </c>
      <c r="C965" s="522" t="inlineStr">
        <is>
          <t>56ប៊ី-លីង សឹបផ្លាយ ឆេន មេនេចម៉ិន ឯ.ក</t>
        </is>
      </c>
      <c r="D965" s="522" t="inlineStr">
        <is>
          <t>K004-902004795</t>
        </is>
      </c>
      <c r="E965" s="521" t="inlineStr">
        <is>
          <t>TI2022-0177</t>
        </is>
      </c>
      <c r="F965" s="523" t="n">
        <v>44614</v>
      </c>
      <c r="G965" s="556" t="n">
        <v>1508486</v>
      </c>
      <c r="I965" s="521">
        <f>G965</f>
        <v/>
      </c>
      <c r="K965" s="521">
        <f>I965-G965</f>
        <v/>
      </c>
      <c r="M965" s="522" t="inlineStr">
        <is>
          <t>TI20220177</t>
        </is>
      </c>
      <c r="N965" s="522" t="inlineStr">
        <is>
          <t>TI20220177</t>
        </is>
      </c>
      <c r="O965" s="521">
        <f>M965=N965</f>
        <v/>
      </c>
      <c r="P965" s="521">
        <f>AND(MONTH(F965)=MONTH(S965), YEAR(F965)=YEAR(S965))</f>
        <v/>
      </c>
      <c r="Q965" s="521">
        <f>U965="L001-901905215"</f>
        <v/>
      </c>
      <c r="R965" s="556">
        <f>G965-W965</f>
        <v/>
      </c>
      <c r="S965" s="523" t="n">
        <v>44614</v>
      </c>
      <c r="T965" s="522" t="inlineStr">
        <is>
          <t>TI2022-0177</t>
        </is>
      </c>
      <c r="U965" s="522" t="inlineStr">
        <is>
          <t>L001-901905215</t>
        </is>
      </c>
      <c r="V965" s="522" t="inlineStr">
        <is>
          <t>វីអ៊ីស៊ិន (ខេមបូឌា) អ៊ិនដាសស្ទ្រី ឯ.ក</t>
        </is>
      </c>
      <c r="W965" s="556" t="n">
        <v>1508486</v>
      </c>
    </row>
    <row r="966">
      <c r="A966" s="521" t="n">
        <v>958</v>
      </c>
      <c r="B966" s="522" t="inlineStr">
        <is>
          <t>Lift-On &amp; Lift-Off</t>
        </is>
      </c>
      <c r="C966" s="522" t="inlineStr">
        <is>
          <t>កំពង់ផែស្វយ័តក្រុងព្រះសីហនុ</t>
        </is>
      </c>
      <c r="D966" s="522" t="inlineStr">
        <is>
          <t>L001-100044638</t>
        </is>
      </c>
      <c r="E966" s="521" t="inlineStr">
        <is>
          <t>033132</t>
        </is>
      </c>
      <c r="F966" s="523" t="n">
        <v>44610</v>
      </c>
      <c r="G966" s="556" t="n">
        <v>41483</v>
      </c>
      <c r="I966" s="521">
        <f>G966</f>
        <v/>
      </c>
      <c r="K966" s="521">
        <f>I966-G966</f>
        <v/>
      </c>
      <c r="M966" s="522" t="inlineStr">
        <is>
          <t>033132</t>
        </is>
      </c>
      <c r="N966" s="522" t="inlineStr"/>
      <c r="O966" s="521">
        <f>M966=N966</f>
        <v/>
      </c>
      <c r="P966" s="521">
        <f>AND(MONTH(F966)=MONTH(S966), YEAR(F966)=YEAR(S966))</f>
        <v/>
      </c>
      <c r="Q966" s="521">
        <f>U966="L001-901905215"</f>
        <v/>
      </c>
      <c r="R966" s="556">
        <f>G966-W966</f>
        <v/>
      </c>
      <c r="S966" s="521" t="n"/>
      <c r="T966" s="522" t="n"/>
      <c r="U966" s="522" t="n"/>
      <c r="V966" s="522" t="n"/>
      <c r="W966" s="521" t="n"/>
    </row>
    <row r="967">
      <c r="A967" s="521" t="n">
        <v>959</v>
      </c>
      <c r="B967" s="522" t="inlineStr">
        <is>
          <t>TRUCKING FEE</t>
        </is>
      </c>
      <c r="C967" s="522" t="inlineStr">
        <is>
          <t>56ប៊ី-លីង សឹបផ្លាយ ឆេន មេនេចម៉ិន ឯ.ក</t>
        </is>
      </c>
      <c r="D967" s="522" t="inlineStr">
        <is>
          <t>K004-902004795</t>
        </is>
      </c>
      <c r="E967" s="521" t="inlineStr">
        <is>
          <t>TI2022-0176</t>
        </is>
      </c>
      <c r="F967" s="523" t="n">
        <v>44614</v>
      </c>
      <c r="G967" s="556" t="n">
        <v>1024632</v>
      </c>
      <c r="I967" s="521">
        <f>G967</f>
        <v/>
      </c>
      <c r="K967" s="521">
        <f>I967-G967</f>
        <v/>
      </c>
      <c r="M967" s="522" t="inlineStr">
        <is>
          <t>TI20220176</t>
        </is>
      </c>
      <c r="N967" s="522" t="inlineStr">
        <is>
          <t>TI20220176</t>
        </is>
      </c>
      <c r="O967" s="521">
        <f>M967=N967</f>
        <v/>
      </c>
      <c r="P967" s="521">
        <f>AND(MONTH(F967)=MONTH(S967), YEAR(F967)=YEAR(S967))</f>
        <v/>
      </c>
      <c r="Q967" s="521">
        <f>U967="L001-901905215"</f>
        <v/>
      </c>
      <c r="R967" s="556">
        <f>G967-W967</f>
        <v/>
      </c>
      <c r="S967" s="523" t="n">
        <v>44614</v>
      </c>
      <c r="T967" s="522" t="inlineStr">
        <is>
          <t>TI2022-0176</t>
        </is>
      </c>
      <c r="U967" s="522" t="inlineStr">
        <is>
          <t>L001-901905215</t>
        </is>
      </c>
      <c r="V967" s="522" t="inlineStr">
        <is>
          <t>វីអ៊ីស៊ិន (ខេមបូឌា) អ៊ិនដាសស្ទ្រី ឯ.ក</t>
        </is>
      </c>
      <c r="W967" s="556" t="n">
        <v>1024632</v>
      </c>
    </row>
    <row r="968">
      <c r="A968" s="521" t="n">
        <v>960</v>
      </c>
      <c r="B968" s="522" t="inlineStr">
        <is>
          <t>Lift-Off Charge,Gate Fee Charge</t>
        </is>
      </c>
      <c r="C968" s="522" t="inlineStr">
        <is>
          <t>កំពង់ផែស្វយ័តភ្នំពេញ "ក.ស.ភ"</t>
        </is>
      </c>
      <c r="D968" s="522" t="inlineStr">
        <is>
          <t>L001-100044999</t>
        </is>
      </c>
      <c r="E968" s="521" t="inlineStr">
        <is>
          <t>INV20220213247</t>
        </is>
      </c>
      <c r="F968" s="523" t="n">
        <v>44611</v>
      </c>
      <c r="G968" s="556" t="n">
        <v>58565</v>
      </c>
      <c r="I968" s="521">
        <f>G968</f>
        <v/>
      </c>
      <c r="K968" s="521">
        <f>I968-G968</f>
        <v/>
      </c>
      <c r="M968" s="522" t="inlineStr">
        <is>
          <t>INV20220213247</t>
        </is>
      </c>
      <c r="N968" s="522" t="inlineStr"/>
      <c r="O968" s="521">
        <f>M968=N968</f>
        <v/>
      </c>
      <c r="P968" s="521">
        <f>AND(MONTH(F968)=MONTH(S968), YEAR(F968)=YEAR(S968))</f>
        <v/>
      </c>
      <c r="Q968" s="521">
        <f>U968="L001-901905215"</f>
        <v/>
      </c>
      <c r="R968" s="556">
        <f>G968-W968</f>
        <v/>
      </c>
      <c r="S968" s="521" t="n"/>
      <c r="T968" s="522" t="n"/>
      <c r="U968" s="522" t="n"/>
      <c r="V968" s="522" t="n"/>
      <c r="W968" s="521" t="n"/>
    </row>
    <row r="969">
      <c r="A969" s="521" t="n">
        <v>961</v>
      </c>
      <c r="B969" s="522" t="inlineStr">
        <is>
          <t>TRUCKING FEE</t>
        </is>
      </c>
      <c r="C969" s="522" t="inlineStr">
        <is>
          <t>56ប៊ី-លីង សឹបផ្លាយ ឆេន មេនេចម៉ិន ឯ.ក</t>
        </is>
      </c>
      <c r="D969" s="522" t="inlineStr">
        <is>
          <t>K004-902004795</t>
        </is>
      </c>
      <c r="E969" s="521" t="inlineStr">
        <is>
          <t>TI2022-0175</t>
        </is>
      </c>
      <c r="F969" s="523" t="n">
        <v>44614</v>
      </c>
      <c r="G969" s="556" t="n">
        <v>483854</v>
      </c>
      <c r="I969" s="521">
        <f>G969</f>
        <v/>
      </c>
      <c r="K969" s="521">
        <f>I969-G969</f>
        <v/>
      </c>
      <c r="M969" s="522" t="inlineStr">
        <is>
          <t>TI20220175</t>
        </is>
      </c>
      <c r="N969" s="522" t="inlineStr">
        <is>
          <t>TI20220175</t>
        </is>
      </c>
      <c r="O969" s="521">
        <f>M969=N969</f>
        <v/>
      </c>
      <c r="P969" s="521">
        <f>AND(MONTH(F969)=MONTH(S969), YEAR(F969)=YEAR(S969))</f>
        <v/>
      </c>
      <c r="Q969" s="521">
        <f>U969="L001-901905215"</f>
        <v/>
      </c>
      <c r="R969" s="556">
        <f>G969-W969</f>
        <v/>
      </c>
      <c r="S969" s="523" t="n">
        <v>44614</v>
      </c>
      <c r="T969" s="522" t="inlineStr">
        <is>
          <t>TI2022-0175</t>
        </is>
      </c>
      <c r="U969" s="522" t="inlineStr">
        <is>
          <t>L001-901905215</t>
        </is>
      </c>
      <c r="V969" s="522" t="inlineStr">
        <is>
          <t>វីអ៊ីស៊ិន (ខេមបូឌា) អ៊ិនដាសស្ទ្រី ឯ.ក</t>
        </is>
      </c>
      <c r="W969" s="556" t="n">
        <v>483854</v>
      </c>
    </row>
    <row r="970">
      <c r="A970" s="521" t="n">
        <v>962</v>
      </c>
      <c r="B970" s="522" t="inlineStr">
        <is>
          <t>Lift-Off Charge,Gate Fee Charge</t>
        </is>
      </c>
      <c r="C970" s="522" t="inlineStr">
        <is>
          <t>កំពង់ផែស្វយ័តភ្នំពេញ "ក.ស.ភ"</t>
        </is>
      </c>
      <c r="D970" s="522" t="inlineStr">
        <is>
          <t>L001-100044999</t>
        </is>
      </c>
      <c r="E970" s="521" t="inlineStr">
        <is>
          <t>INV20220213248</t>
        </is>
      </c>
      <c r="F970" s="523" t="n">
        <v>44611</v>
      </c>
      <c r="G970" s="556" t="n">
        <v>29282</v>
      </c>
      <c r="I970" s="521">
        <f>G970</f>
        <v/>
      </c>
      <c r="K970" s="521">
        <f>I970-G970</f>
        <v/>
      </c>
      <c r="M970" s="522" t="inlineStr">
        <is>
          <t>INV20220213248</t>
        </is>
      </c>
      <c r="N970" s="522" t="inlineStr"/>
      <c r="O970" s="521">
        <f>M970=N970</f>
        <v/>
      </c>
      <c r="P970" s="521">
        <f>AND(MONTH(F970)=MONTH(S970), YEAR(F970)=YEAR(S970))</f>
        <v/>
      </c>
      <c r="Q970" s="521">
        <f>U970="L001-901905215"</f>
        <v/>
      </c>
      <c r="R970" s="556">
        <f>G970-W970</f>
        <v/>
      </c>
      <c r="S970" s="521" t="n"/>
      <c r="T970" s="522" t="n"/>
      <c r="U970" s="522" t="n"/>
      <c r="V970" s="522" t="n"/>
      <c r="W970" s="521" t="n"/>
    </row>
    <row r="971">
      <c r="A971" s="521" t="n">
        <v>963</v>
      </c>
      <c r="B971" s="522" t="inlineStr">
        <is>
          <t>TRUCKING FEE</t>
        </is>
      </c>
      <c r="C971" s="522" t="inlineStr">
        <is>
          <t>56ប៊ី-លីង សឹបផ្លាយ ឆេន មេនេចម៉ិន ឯ.ក</t>
        </is>
      </c>
      <c r="D971" s="522" t="inlineStr">
        <is>
          <t>K004-902004795</t>
        </is>
      </c>
      <c r="E971" s="521" t="inlineStr">
        <is>
          <t>TI2022-0174</t>
        </is>
      </c>
      <c r="F971" s="523" t="n">
        <v>44614</v>
      </c>
      <c r="G971" s="556" t="n">
        <v>270389</v>
      </c>
      <c r="I971" s="521">
        <f>G971</f>
        <v/>
      </c>
      <c r="K971" s="521">
        <f>I971-G971</f>
        <v/>
      </c>
      <c r="M971" s="522" t="inlineStr">
        <is>
          <t>TI20220174</t>
        </is>
      </c>
      <c r="N971" s="522" t="inlineStr">
        <is>
          <t>TI20220174</t>
        </is>
      </c>
      <c r="O971" s="521">
        <f>M971=N971</f>
        <v/>
      </c>
      <c r="P971" s="521">
        <f>AND(MONTH(F971)=MONTH(S971), YEAR(F971)=YEAR(S971))</f>
        <v/>
      </c>
      <c r="Q971" s="521">
        <f>U971="L001-901905215"</f>
        <v/>
      </c>
      <c r="R971" s="556">
        <f>G971-W971</f>
        <v/>
      </c>
      <c r="S971" s="523" t="n">
        <v>44614</v>
      </c>
      <c r="T971" s="522" t="inlineStr">
        <is>
          <t>TI2022-0174</t>
        </is>
      </c>
      <c r="U971" s="522" t="inlineStr">
        <is>
          <t>L001-901905215</t>
        </is>
      </c>
      <c r="V971" s="522" t="inlineStr">
        <is>
          <t>វីអ៊ីស៊ិន (ខេមបូឌា) អ៊ិនដាសស្ទ្រី ឯ.ក</t>
        </is>
      </c>
      <c r="W971" s="556" t="n">
        <v>270389</v>
      </c>
    </row>
    <row r="972">
      <c r="A972" s="521" t="n">
        <v>964</v>
      </c>
      <c r="B972" s="522" t="inlineStr">
        <is>
          <t>Lift-On &amp; Lift-Off</t>
        </is>
      </c>
      <c r="C972" s="522" t="inlineStr">
        <is>
          <t>កំពង់ផែស្វយ័តក្រុងព្រះសីហនុ</t>
        </is>
      </c>
      <c r="D972" s="522" t="inlineStr">
        <is>
          <t>L001-100044638</t>
        </is>
      </c>
      <c r="E972" s="521" t="inlineStr">
        <is>
          <t>027733</t>
        </is>
      </c>
      <c r="F972" s="523" t="n">
        <v>44602</v>
      </c>
      <c r="G972" s="556" t="n">
        <v>20752</v>
      </c>
      <c r="I972" s="521">
        <f>G972</f>
        <v/>
      </c>
      <c r="K972" s="521">
        <f>I972-G972</f>
        <v/>
      </c>
      <c r="M972" s="522" t="inlineStr">
        <is>
          <t>027733</t>
        </is>
      </c>
      <c r="N972" s="522" t="inlineStr"/>
      <c r="O972" s="521">
        <f>M972=N972</f>
        <v/>
      </c>
      <c r="P972" s="521">
        <f>AND(MONTH(F972)=MONTH(S972), YEAR(F972)=YEAR(S972))</f>
        <v/>
      </c>
      <c r="Q972" s="521">
        <f>U972="L001-901905215"</f>
        <v/>
      </c>
      <c r="R972" s="556">
        <f>G972-W972</f>
        <v/>
      </c>
      <c r="S972" s="521" t="n"/>
      <c r="T972" s="522" t="n"/>
      <c r="U972" s="522" t="n"/>
      <c r="V972" s="522" t="n"/>
      <c r="W972" s="521" t="n"/>
    </row>
    <row r="973">
      <c r="A973" s="521" t="n">
        <v>965</v>
      </c>
      <c r="B973" s="522" t="inlineStr">
        <is>
          <t>TRUCKING FEE</t>
        </is>
      </c>
      <c r="C973" s="522" t="inlineStr">
        <is>
          <t>56ប៊ី-លីង សឹបផ្លាយ ឆេន មេនេចម៉ិន ឯ.ក</t>
        </is>
      </c>
      <c r="D973" s="522" t="inlineStr">
        <is>
          <t>K004-902004795</t>
        </is>
      </c>
      <c r="E973" s="521" t="inlineStr">
        <is>
          <t>TI2022-0170</t>
        </is>
      </c>
      <c r="F973" s="523" t="n">
        <v>44614</v>
      </c>
      <c r="G973" s="556" t="n">
        <v>298851</v>
      </c>
      <c r="I973" s="521">
        <f>G973</f>
        <v/>
      </c>
      <c r="K973" s="521">
        <f>I973-G973</f>
        <v/>
      </c>
      <c r="M973" s="522" t="inlineStr">
        <is>
          <t>TI20220170</t>
        </is>
      </c>
      <c r="N973" s="522" t="inlineStr">
        <is>
          <t>TI20220170</t>
        </is>
      </c>
      <c r="O973" s="521">
        <f>M973=N973</f>
        <v/>
      </c>
      <c r="P973" s="521">
        <f>AND(MONTH(F973)=MONTH(S973), YEAR(F973)=YEAR(S973))</f>
        <v/>
      </c>
      <c r="Q973" s="521">
        <f>U973="L001-901905215"</f>
        <v/>
      </c>
      <c r="R973" s="556">
        <f>G973-W973</f>
        <v/>
      </c>
      <c r="S973" s="523" t="n">
        <v>44614</v>
      </c>
      <c r="T973" s="522" t="inlineStr">
        <is>
          <t>TI2022-0170</t>
        </is>
      </c>
      <c r="U973" s="522" t="inlineStr">
        <is>
          <t>L001-901905215</t>
        </is>
      </c>
      <c r="V973" s="522" t="inlineStr">
        <is>
          <t>វីអ៊ីស៊ិន (ខេមបូឌា) អ៊ិនដាសស្ទ្រី ឯ.ក</t>
        </is>
      </c>
      <c r="W973" s="556" t="n">
        <v>298851</v>
      </c>
    </row>
    <row r="974">
      <c r="A974" s="521" t="n">
        <v>966</v>
      </c>
      <c r="B974" s="522" t="inlineStr">
        <is>
          <t>Lift-Off Charge,Gate Fee Charge</t>
        </is>
      </c>
      <c r="C974" s="522" t="inlineStr">
        <is>
          <t>កំពង់ផែស្វយ័តភ្នំពេញ "ក.ស.ភ"</t>
        </is>
      </c>
      <c r="D974" s="522" t="inlineStr">
        <is>
          <t>L001-100044999</t>
        </is>
      </c>
      <c r="E974" s="521" t="inlineStr">
        <is>
          <t>INV2022021859</t>
        </is>
      </c>
      <c r="F974" s="523" t="n">
        <v>44606</v>
      </c>
      <c r="G974" s="556" t="n">
        <v>29282</v>
      </c>
      <c r="I974" s="521">
        <f>G974</f>
        <v/>
      </c>
      <c r="K974" s="521">
        <f>I974-G974</f>
        <v/>
      </c>
      <c r="M974" s="522" t="inlineStr">
        <is>
          <t>INV2022021859</t>
        </is>
      </c>
      <c r="N974" s="522" t="inlineStr"/>
      <c r="O974" s="521">
        <f>M974=N974</f>
        <v/>
      </c>
      <c r="P974" s="521">
        <f>AND(MONTH(F974)=MONTH(S974), YEAR(F974)=YEAR(S974))</f>
        <v/>
      </c>
      <c r="Q974" s="521">
        <f>U974="L001-901905215"</f>
        <v/>
      </c>
      <c r="R974" s="556">
        <f>G974-W974</f>
        <v/>
      </c>
      <c r="S974" s="521" t="n"/>
      <c r="T974" s="522" t="n"/>
      <c r="U974" s="522" t="n"/>
      <c r="V974" s="522" t="n"/>
      <c r="W974" s="521" t="n"/>
    </row>
    <row r="975">
      <c r="A975" s="521" t="n">
        <v>967</v>
      </c>
      <c r="B975" s="522" t="inlineStr">
        <is>
          <t>TRUCKING FEE</t>
        </is>
      </c>
      <c r="C975" s="522" t="inlineStr">
        <is>
          <t>56ប៊ី-លីង សឹបផ្លាយ ឆេន មេនេចម៉ិន ឯ.ក</t>
        </is>
      </c>
      <c r="D975" s="522" t="inlineStr">
        <is>
          <t>K004-902004795</t>
        </is>
      </c>
      <c r="E975" s="521" t="inlineStr">
        <is>
          <t>TI2022-0169</t>
        </is>
      </c>
      <c r="F975" s="523" t="n">
        <v>44614</v>
      </c>
      <c r="G975" s="556" t="n">
        <v>270389</v>
      </c>
      <c r="I975" s="521">
        <f>G975</f>
        <v/>
      </c>
      <c r="K975" s="521">
        <f>I975-G975</f>
        <v/>
      </c>
      <c r="M975" s="522" t="inlineStr">
        <is>
          <t>TI20220169</t>
        </is>
      </c>
      <c r="N975" s="522" t="inlineStr">
        <is>
          <t>TI20220169</t>
        </is>
      </c>
      <c r="O975" s="521">
        <f>M975=N975</f>
        <v/>
      </c>
      <c r="P975" s="521">
        <f>AND(MONTH(F975)=MONTH(S975), YEAR(F975)=YEAR(S975))</f>
        <v/>
      </c>
      <c r="Q975" s="521">
        <f>U975="L001-901905215"</f>
        <v/>
      </c>
      <c r="R975" s="556">
        <f>G975-W975</f>
        <v/>
      </c>
      <c r="S975" s="523" t="n">
        <v>44614</v>
      </c>
      <c r="T975" s="522" t="inlineStr">
        <is>
          <t>TI2022-0169</t>
        </is>
      </c>
      <c r="U975" s="522" t="inlineStr">
        <is>
          <t>L001-901905215</t>
        </is>
      </c>
      <c r="V975" s="522" t="inlineStr">
        <is>
          <t>វីអ៊ីស៊ិន (ខេមបូឌា) អ៊ិនដាសស្ទ្រី ឯ.ក</t>
        </is>
      </c>
      <c r="W975" s="556" t="n">
        <v>270389</v>
      </c>
    </row>
    <row r="976">
      <c r="A976" s="521" t="n">
        <v>968</v>
      </c>
      <c r="B976" s="522" t="inlineStr">
        <is>
          <t>Lift-Off Charge,Gate Fee Charge</t>
        </is>
      </c>
      <c r="C976" s="522" t="inlineStr">
        <is>
          <t>កំពង់ផែស្វយ័តភ្នំពេញ "ក.ស.ភ"</t>
        </is>
      </c>
      <c r="D976" s="522" t="inlineStr">
        <is>
          <t>L001-100044999</t>
        </is>
      </c>
      <c r="E976" s="521" t="inlineStr">
        <is>
          <t>INV2022021857</t>
        </is>
      </c>
      <c r="F976" s="523" t="n">
        <v>44606</v>
      </c>
      <c r="G976" s="556" t="n">
        <v>117130</v>
      </c>
      <c r="I976" s="521">
        <f>G976</f>
        <v/>
      </c>
      <c r="K976" s="521">
        <f>I976-G976</f>
        <v/>
      </c>
      <c r="M976" s="522" t="inlineStr">
        <is>
          <t>INV2022021857</t>
        </is>
      </c>
      <c r="N976" s="522" t="inlineStr"/>
      <c r="O976" s="521">
        <f>M976=N976</f>
        <v/>
      </c>
      <c r="P976" s="521">
        <f>AND(MONTH(F976)=MONTH(S976), YEAR(F976)=YEAR(S976))</f>
        <v/>
      </c>
      <c r="Q976" s="521">
        <f>U976="L001-901905215"</f>
        <v/>
      </c>
      <c r="R976" s="556">
        <f>G976-W976</f>
        <v/>
      </c>
      <c r="S976" s="521" t="n"/>
      <c r="T976" s="522" t="n"/>
      <c r="U976" s="522" t="n"/>
      <c r="V976" s="522" t="n"/>
      <c r="W976" s="521" t="n"/>
    </row>
    <row r="977">
      <c r="A977" s="521" t="n">
        <v>969</v>
      </c>
      <c r="B977" s="522" t="inlineStr">
        <is>
          <t>TRUCKING FEE</t>
        </is>
      </c>
      <c r="C977" s="522" t="inlineStr">
        <is>
          <t>56ប៊ី-លីង សឹបផ្លាយ ឆេន មេនេចម៉ិន ឯ.ក</t>
        </is>
      </c>
      <c r="D977" s="522" t="inlineStr">
        <is>
          <t>K004-902004795</t>
        </is>
      </c>
      <c r="E977" s="521" t="inlineStr">
        <is>
          <t>TI2022-0168</t>
        </is>
      </c>
      <c r="F977" s="523" t="n">
        <v>44614</v>
      </c>
      <c r="G977" s="556" t="n">
        <v>910784</v>
      </c>
      <c r="I977" s="521">
        <f>G977</f>
        <v/>
      </c>
      <c r="K977" s="521">
        <f>I977-G977</f>
        <v/>
      </c>
      <c r="M977" s="522" t="inlineStr">
        <is>
          <t>TI20220168</t>
        </is>
      </c>
      <c r="N977" s="522" t="inlineStr">
        <is>
          <t>TI20220168</t>
        </is>
      </c>
      <c r="O977" s="521">
        <f>M977=N977</f>
        <v/>
      </c>
      <c r="P977" s="521">
        <f>AND(MONTH(F977)=MONTH(S977), YEAR(F977)=YEAR(S977))</f>
        <v/>
      </c>
      <c r="Q977" s="521">
        <f>U977="L001-901905215"</f>
        <v/>
      </c>
      <c r="R977" s="556">
        <f>G977-W977</f>
        <v/>
      </c>
      <c r="S977" s="523" t="n">
        <v>44614</v>
      </c>
      <c r="T977" s="522" t="inlineStr">
        <is>
          <t>TI2022-0168</t>
        </is>
      </c>
      <c r="U977" s="522" t="inlineStr">
        <is>
          <t>L001-901905215</t>
        </is>
      </c>
      <c r="V977" s="522" t="inlineStr">
        <is>
          <t>វីអ៊ីស៊ិន (ខេមបូឌា) អ៊ិនដាសស្ទ្រី ឯ.ក</t>
        </is>
      </c>
      <c r="W977" s="556" t="n">
        <v>910784</v>
      </c>
    </row>
    <row r="978">
      <c r="A978" s="521" t="n">
        <v>970</v>
      </c>
      <c r="B978" s="522" t="inlineStr">
        <is>
          <t>Lift-Off Charge,Gate Fee Charge</t>
        </is>
      </c>
      <c r="C978" s="522" t="inlineStr">
        <is>
          <t>កំពង់ផែស្វយ័តភ្នំពេញ "ក.ស.ភ"</t>
        </is>
      </c>
      <c r="D978" s="522" t="inlineStr">
        <is>
          <t>L001-100044999</t>
        </is>
      </c>
      <c r="E978" s="521" t="inlineStr">
        <is>
          <t>INV20220211860</t>
        </is>
      </c>
      <c r="F978" s="523" t="n">
        <v>44606</v>
      </c>
      <c r="G978" s="556" t="n">
        <v>29282</v>
      </c>
      <c r="I978" s="521">
        <f>G978</f>
        <v/>
      </c>
      <c r="K978" s="521">
        <f>I978-G978</f>
        <v/>
      </c>
      <c r="M978" s="522" t="inlineStr">
        <is>
          <t>INV20220211860</t>
        </is>
      </c>
      <c r="N978" s="522" t="inlineStr"/>
      <c r="O978" s="521">
        <f>M978=N978</f>
        <v/>
      </c>
      <c r="P978" s="521">
        <f>AND(MONTH(F978)=MONTH(S978), YEAR(F978)=YEAR(S978))</f>
        <v/>
      </c>
      <c r="Q978" s="521">
        <f>U978="L001-901905215"</f>
        <v/>
      </c>
      <c r="R978" s="556">
        <f>G978-W978</f>
        <v/>
      </c>
      <c r="S978" s="521" t="n"/>
      <c r="T978" s="522" t="n"/>
      <c r="U978" s="522" t="n"/>
      <c r="V978" s="522" t="n"/>
      <c r="W978" s="521" t="n"/>
    </row>
    <row r="979">
      <c r="A979" s="521" t="n">
        <v>971</v>
      </c>
      <c r="B979" s="522" t="inlineStr">
        <is>
          <t>TRUCKING FEE</t>
        </is>
      </c>
      <c r="C979" s="522" t="inlineStr">
        <is>
          <t>56ប៊ី-លីង សឹបផ្លាយ ឆេន មេនេចម៉ិន ឯ.ក</t>
        </is>
      </c>
      <c r="D979" s="522" t="inlineStr">
        <is>
          <t>K004-902004795</t>
        </is>
      </c>
      <c r="E979" s="521" t="inlineStr">
        <is>
          <t>TI2022-0167</t>
        </is>
      </c>
      <c r="F979" s="523" t="n">
        <v>44614</v>
      </c>
      <c r="G979" s="556" t="n">
        <v>270389</v>
      </c>
      <c r="I979" s="521">
        <f>G979</f>
        <v/>
      </c>
      <c r="K979" s="521">
        <f>I979-G979</f>
        <v/>
      </c>
      <c r="M979" s="522" t="inlineStr">
        <is>
          <t>TI20220167</t>
        </is>
      </c>
      <c r="N979" s="522" t="inlineStr">
        <is>
          <t>TI20220167</t>
        </is>
      </c>
      <c r="O979" s="521">
        <f>M979=N979</f>
        <v/>
      </c>
      <c r="P979" s="521">
        <f>AND(MONTH(F979)=MONTH(S979), YEAR(F979)=YEAR(S979))</f>
        <v/>
      </c>
      <c r="Q979" s="521">
        <f>U979="L001-901905215"</f>
        <v/>
      </c>
      <c r="R979" s="556">
        <f>G979-W979</f>
        <v/>
      </c>
      <c r="S979" s="523" t="n">
        <v>44614</v>
      </c>
      <c r="T979" s="522" t="inlineStr">
        <is>
          <t>TI2022-0167</t>
        </is>
      </c>
      <c r="U979" s="522" t="inlineStr">
        <is>
          <t>L001-901905215</t>
        </is>
      </c>
      <c r="V979" s="522" t="inlineStr">
        <is>
          <t>វីអ៊ីស៊ិន (ខេមបូឌា) អ៊ិនដាសស្ទ្រី ឯ.ក</t>
        </is>
      </c>
      <c r="W979" s="556" t="n">
        <v>270389</v>
      </c>
    </row>
    <row r="980">
      <c r="A980" s="521" t="n">
        <v>972</v>
      </c>
      <c r="B980" s="522" t="inlineStr">
        <is>
          <t>TRUCKING FEE</t>
        </is>
      </c>
      <c r="C980" s="522" t="inlineStr">
        <is>
          <t>56ប៊ី-លីង សឹបផ្លាយ ឆេន មេនេចម៉ិន ឯ.ក</t>
        </is>
      </c>
      <c r="D980" s="522" t="inlineStr">
        <is>
          <t>K004-902004795</t>
        </is>
      </c>
      <c r="E980" s="521" t="inlineStr">
        <is>
          <t>TI2022-0166</t>
        </is>
      </c>
      <c r="F980" s="523" t="n">
        <v>44614</v>
      </c>
      <c r="G980" s="556" t="n">
        <v>697319</v>
      </c>
      <c r="I980" s="521">
        <f>G980</f>
        <v/>
      </c>
      <c r="K980" s="521">
        <f>I980-G980</f>
        <v/>
      </c>
      <c r="M980" s="522" t="inlineStr">
        <is>
          <t>TI20220166</t>
        </is>
      </c>
      <c r="N980" s="522" t="inlineStr">
        <is>
          <t>TI20220166</t>
        </is>
      </c>
      <c r="O980" s="521">
        <f>M980=N980</f>
        <v/>
      </c>
      <c r="P980" s="521">
        <f>AND(MONTH(F980)=MONTH(S980), YEAR(F980)=YEAR(S980))</f>
        <v/>
      </c>
      <c r="Q980" s="521">
        <f>U980="L001-901905215"</f>
        <v/>
      </c>
      <c r="R980" s="556">
        <f>G980-W980</f>
        <v/>
      </c>
      <c r="S980" s="523" t="n">
        <v>44614</v>
      </c>
      <c r="T980" s="522" t="inlineStr">
        <is>
          <t>TI2022-0166</t>
        </is>
      </c>
      <c r="U980" s="522" t="inlineStr">
        <is>
          <t>L001-901905215</t>
        </is>
      </c>
      <c r="V980" s="522" t="inlineStr">
        <is>
          <t>វីអ៊ីស៊ិន (ខេមបូឌា) អ៊ិនដាសស្ទ្រី ឯ.ក</t>
        </is>
      </c>
      <c r="W980" s="556" t="n">
        <v>697319</v>
      </c>
    </row>
    <row r="981">
      <c r="A981" s="521" t="n">
        <v>973</v>
      </c>
      <c r="B981" s="522" t="inlineStr">
        <is>
          <t>Lift-On &amp; Lift-Off</t>
        </is>
      </c>
      <c r="C981" s="522" t="inlineStr">
        <is>
          <t>កំពង់ផែស្វយ័តក្រុងព្រះសីហនុ</t>
        </is>
      </c>
      <c r="D981" s="522" t="inlineStr">
        <is>
          <t>L001-100044638</t>
        </is>
      </c>
      <c r="E981" s="521" t="inlineStr">
        <is>
          <t>023578</t>
        </is>
      </c>
      <c r="F981" s="523" t="n">
        <v>44596</v>
      </c>
      <c r="G981" s="556" t="n">
        <v>13828</v>
      </c>
      <c r="I981" s="521">
        <f>G981</f>
        <v/>
      </c>
      <c r="K981" s="521">
        <f>I981-G981</f>
        <v/>
      </c>
      <c r="M981" s="522" t="inlineStr">
        <is>
          <t>023578</t>
        </is>
      </c>
      <c r="N981" s="522" t="inlineStr"/>
      <c r="O981" s="521">
        <f>M981=N981</f>
        <v/>
      </c>
      <c r="P981" s="521">
        <f>AND(MONTH(F981)=MONTH(S981), YEAR(F981)=YEAR(S981))</f>
        <v/>
      </c>
      <c r="Q981" s="521">
        <f>U981="L001-901905215"</f>
        <v/>
      </c>
      <c r="R981" s="556">
        <f>G981-W981</f>
        <v/>
      </c>
      <c r="S981" s="521" t="n"/>
      <c r="T981" s="522" t="n"/>
      <c r="U981" s="522" t="n"/>
      <c r="V981" s="522" t="n"/>
      <c r="W981" s="521" t="n"/>
    </row>
    <row r="982">
      <c r="A982" s="521" t="n">
        <v>974</v>
      </c>
      <c r="B982" s="522" t="inlineStr">
        <is>
          <t>TRUCKING FEE</t>
        </is>
      </c>
      <c r="C982" s="522" t="inlineStr">
        <is>
          <t>56ប៊ី-លីង សឹបផ្លាយ ឆេន មេនេចម៉ិន ឯ.ក</t>
        </is>
      </c>
      <c r="D982" s="522" t="inlineStr">
        <is>
          <t>K004-902004795</t>
        </is>
      </c>
      <c r="E982" s="521" t="inlineStr">
        <is>
          <t>TI2022-0128</t>
        </is>
      </c>
      <c r="F982" s="523" t="n">
        <v>44602</v>
      </c>
      <c r="G982" s="556" t="n">
        <v>541177</v>
      </c>
      <c r="I982" s="521">
        <f>G982</f>
        <v/>
      </c>
      <c r="K982" s="521">
        <f>I982-G982</f>
        <v/>
      </c>
      <c r="M982" s="522" t="inlineStr">
        <is>
          <t>TI20220128</t>
        </is>
      </c>
      <c r="N982" s="522" t="inlineStr">
        <is>
          <t>TI20220128</t>
        </is>
      </c>
      <c r="O982" s="521">
        <f>M982=N982</f>
        <v/>
      </c>
      <c r="P982" s="521">
        <f>AND(MONTH(F982)=MONTH(S982), YEAR(F982)=YEAR(S982))</f>
        <v/>
      </c>
      <c r="Q982" s="521">
        <f>U982="L001-901905215"</f>
        <v/>
      </c>
      <c r="R982" s="556">
        <f>G982-W982</f>
        <v/>
      </c>
      <c r="S982" s="523" t="n">
        <v>44602</v>
      </c>
      <c r="T982" s="522" t="inlineStr">
        <is>
          <t>TI2022-0128</t>
        </is>
      </c>
      <c r="U982" s="522" t="inlineStr">
        <is>
          <t>L001-901905215</t>
        </is>
      </c>
      <c r="V982" s="522" t="inlineStr">
        <is>
          <t>វីអ៊ីស៊ិន (ខេមបូឌា) អ៊ិនដាសស្ទ្រី ឯ.ក</t>
        </is>
      </c>
      <c r="W982" s="556" t="n">
        <v>541177</v>
      </c>
    </row>
    <row r="983">
      <c r="A983" s="521" t="n">
        <v>975</v>
      </c>
      <c r="B983" s="522" t="inlineStr">
        <is>
          <t>Lift-Off Charge,Gate Fee Charge</t>
        </is>
      </c>
      <c r="C983" s="522" t="inlineStr">
        <is>
          <t>កំពង់ផែស្វយ័តភ្នំពេញ "ក.ស.ភ"</t>
        </is>
      </c>
      <c r="D983" s="522" t="inlineStr">
        <is>
          <t>L001-100044999</t>
        </is>
      </c>
      <c r="E983" s="521" t="inlineStr">
        <is>
          <t>INV20220209974</t>
        </is>
      </c>
      <c r="F983" s="523" t="n">
        <v>44594</v>
      </c>
      <c r="G983" s="556" t="n">
        <v>58579</v>
      </c>
      <c r="I983" s="521">
        <f>G983</f>
        <v/>
      </c>
      <c r="K983" s="521">
        <f>I983-G983</f>
        <v/>
      </c>
      <c r="M983" s="522" t="inlineStr">
        <is>
          <t>INV20220209974</t>
        </is>
      </c>
      <c r="N983" s="522" t="inlineStr"/>
      <c r="O983" s="521">
        <f>M983=N983</f>
        <v/>
      </c>
      <c r="P983" s="521">
        <f>AND(MONTH(F983)=MONTH(S983), YEAR(F983)=YEAR(S983))</f>
        <v/>
      </c>
      <c r="Q983" s="521">
        <f>U983="L001-901905215"</f>
        <v/>
      </c>
      <c r="R983" s="556">
        <f>G983-W983</f>
        <v/>
      </c>
      <c r="S983" s="521" t="n"/>
      <c r="T983" s="522" t="n"/>
      <c r="U983" s="522" t="n"/>
      <c r="V983" s="522" t="n"/>
      <c r="W983" s="521" t="n"/>
    </row>
    <row r="984">
      <c r="A984" s="521" t="n">
        <v>976</v>
      </c>
      <c r="B984" s="522" t="inlineStr">
        <is>
          <t>TRUCKING FEE</t>
        </is>
      </c>
      <c r="C984" s="522" t="inlineStr">
        <is>
          <t>56ប៊ី-លីង សឹបផ្លាយ ឆេន មេនេចម៉ិន ឯ.ក</t>
        </is>
      </c>
      <c r="D984" s="522" t="inlineStr">
        <is>
          <t>K004-902004795</t>
        </is>
      </c>
      <c r="E984" s="521" t="inlineStr">
        <is>
          <t>TI2022-0127</t>
        </is>
      </c>
      <c r="F984" s="523" t="n">
        <v>44602</v>
      </c>
      <c r="G984" s="556" t="n">
        <v>484211</v>
      </c>
      <c r="I984" s="521">
        <f>G984</f>
        <v/>
      </c>
      <c r="K984" s="521">
        <f>I984-G984</f>
        <v/>
      </c>
      <c r="M984" s="522" t="inlineStr">
        <is>
          <t>TI20220127</t>
        </is>
      </c>
      <c r="N984" s="522" t="inlineStr">
        <is>
          <t>TI20220127</t>
        </is>
      </c>
      <c r="O984" s="521">
        <f>M984=N984</f>
        <v/>
      </c>
      <c r="P984" s="521">
        <f>AND(MONTH(F984)=MONTH(S984), YEAR(F984)=YEAR(S984))</f>
        <v/>
      </c>
      <c r="Q984" s="521">
        <f>U984="L001-901905215"</f>
        <v/>
      </c>
      <c r="R984" s="556">
        <f>G984-W984</f>
        <v/>
      </c>
      <c r="S984" s="523" t="n">
        <v>44602</v>
      </c>
      <c r="T984" s="522" t="inlineStr">
        <is>
          <t>TI2022-0127</t>
        </is>
      </c>
      <c r="U984" s="522" t="inlineStr">
        <is>
          <t>L001-901905215</t>
        </is>
      </c>
      <c r="V984" s="522" t="inlineStr">
        <is>
          <t>វីអ៊ីស៊ិន (ខេមបូឌា) អ៊ិនដាសស្ទ្រី ឯ.ក</t>
        </is>
      </c>
      <c r="W984" s="556" t="n">
        <v>484211</v>
      </c>
    </row>
    <row r="985">
      <c r="A985" s="521" t="n">
        <v>977</v>
      </c>
      <c r="B985" s="522" t="inlineStr">
        <is>
          <t>Lift-Off Charge,Gate Fee Charge</t>
        </is>
      </c>
      <c r="C985" s="522" t="inlineStr">
        <is>
          <t>កំពង់ផែស្វយ័តភ្នំពេញ "ក.ស.ភ"</t>
        </is>
      </c>
      <c r="D985" s="522" t="inlineStr">
        <is>
          <t>L001-100044999</t>
        </is>
      </c>
      <c r="E985" s="521" t="inlineStr">
        <is>
          <t>INV20220209968</t>
        </is>
      </c>
      <c r="F985" s="523" t="n">
        <v>44594</v>
      </c>
      <c r="G985" s="556" t="n">
        <v>146448</v>
      </c>
      <c r="I985" s="521">
        <f>G985</f>
        <v/>
      </c>
      <c r="K985" s="521">
        <f>I985-G985</f>
        <v/>
      </c>
      <c r="M985" s="522" t="inlineStr">
        <is>
          <t>INV20220209968</t>
        </is>
      </c>
      <c r="N985" s="522" t="inlineStr"/>
      <c r="O985" s="521">
        <f>M985=N985</f>
        <v/>
      </c>
      <c r="P985" s="521">
        <f>AND(MONTH(F985)=MONTH(S985), YEAR(F985)=YEAR(S985))</f>
        <v/>
      </c>
      <c r="Q985" s="521">
        <f>U985="L001-901905215"</f>
        <v/>
      </c>
      <c r="R985" s="556">
        <f>G985-W985</f>
        <v/>
      </c>
      <c r="S985" s="521" t="n"/>
      <c r="T985" s="522" t="n"/>
      <c r="U985" s="522" t="n"/>
      <c r="V985" s="522" t="n"/>
      <c r="W985" s="521" t="n"/>
    </row>
    <row r="986">
      <c r="A986" s="521" t="n">
        <v>978</v>
      </c>
      <c r="B986" s="522" t="inlineStr">
        <is>
          <t>TRUCKING FEE</t>
        </is>
      </c>
      <c r="C986" s="522" t="inlineStr">
        <is>
          <t>56ប៊ី-លីង សឹបផ្លាយ ឆេន មេនេចម៉ិន ឯ.ក</t>
        </is>
      </c>
      <c r="D986" s="522" t="inlineStr">
        <is>
          <t>K004-902004795</t>
        </is>
      </c>
      <c r="E986" s="521" t="inlineStr">
        <is>
          <t>TI2022-0126</t>
        </is>
      </c>
      <c r="F986" s="523" t="n">
        <v>44602</v>
      </c>
      <c r="G986" s="556" t="n">
        <v>1125079</v>
      </c>
      <c r="I986" s="521">
        <f>G986</f>
        <v/>
      </c>
      <c r="K986" s="521">
        <f>I986-G986</f>
        <v/>
      </c>
      <c r="M986" s="522" t="inlineStr">
        <is>
          <t>TI20220126</t>
        </is>
      </c>
      <c r="N986" s="522" t="inlineStr">
        <is>
          <t>TI20220126</t>
        </is>
      </c>
      <c r="O986" s="521">
        <f>M986=N986</f>
        <v/>
      </c>
      <c r="P986" s="521">
        <f>AND(MONTH(F986)=MONTH(S986), YEAR(F986)=YEAR(S986))</f>
        <v/>
      </c>
      <c r="Q986" s="521">
        <f>U986="L001-901905215"</f>
        <v/>
      </c>
      <c r="R986" s="556">
        <f>G986-W986</f>
        <v/>
      </c>
      <c r="S986" s="523" t="n">
        <v>44602</v>
      </c>
      <c r="T986" s="522" t="inlineStr">
        <is>
          <t>TI2022-0126</t>
        </is>
      </c>
      <c r="U986" s="522" t="inlineStr">
        <is>
          <t>L001-901905215</t>
        </is>
      </c>
      <c r="V986" s="522" t="inlineStr">
        <is>
          <t>វីអ៊ីស៊ិន (ខេមបូឌា) អ៊ិនដាសស្ទ្រី ឯ.ក</t>
        </is>
      </c>
      <c r="W986" s="556" t="n">
        <v>1125079</v>
      </c>
    </row>
    <row r="987">
      <c r="A987" s="521" t="n">
        <v>979</v>
      </c>
      <c r="B987" s="522" t="inlineStr">
        <is>
          <t>Lift-Off Charge,Gate Fee Charge</t>
        </is>
      </c>
      <c r="C987" s="522" t="inlineStr">
        <is>
          <t>កំពង់ផែស្វយ័តភ្នំពេញ "ក.ស.ភ"</t>
        </is>
      </c>
      <c r="D987" s="522" t="inlineStr">
        <is>
          <t>L001-100044999</t>
        </is>
      </c>
      <c r="E987" s="521" t="inlineStr">
        <is>
          <t>INV20220209973</t>
        </is>
      </c>
      <c r="F987" s="523" t="n">
        <v>44599</v>
      </c>
      <c r="G987" s="556" t="n">
        <v>263606</v>
      </c>
      <c r="I987" s="521">
        <f>G987</f>
        <v/>
      </c>
      <c r="K987" s="521">
        <f>I987-G987</f>
        <v/>
      </c>
      <c r="M987" s="522" t="inlineStr">
        <is>
          <t>INV20220209973</t>
        </is>
      </c>
      <c r="N987" s="522" t="inlineStr"/>
      <c r="O987" s="521">
        <f>M987=N987</f>
        <v/>
      </c>
      <c r="P987" s="521">
        <f>AND(MONTH(F987)=MONTH(S987), YEAR(F987)=YEAR(S987))</f>
        <v/>
      </c>
      <c r="Q987" s="521">
        <f>U987="L001-901905215"</f>
        <v/>
      </c>
      <c r="R987" s="556">
        <f>G987-W987</f>
        <v/>
      </c>
      <c r="S987" s="521" t="n"/>
      <c r="T987" s="522" t="n"/>
      <c r="U987" s="522" t="n"/>
      <c r="V987" s="522" t="n"/>
      <c r="W987" s="521" t="n"/>
    </row>
    <row r="988">
      <c r="A988" s="521" t="n">
        <v>980</v>
      </c>
      <c r="B988" s="522" t="inlineStr">
        <is>
          <t>TRUCKING FEE</t>
        </is>
      </c>
      <c r="C988" s="522" t="inlineStr">
        <is>
          <t>56ប៊ី-លីង សឹបផ្លាយ ឆេន មេនេចម៉ិន ឯ.ក</t>
        </is>
      </c>
      <c r="D988" s="522" t="inlineStr">
        <is>
          <t>K004-902004795</t>
        </is>
      </c>
      <c r="E988" s="521" t="inlineStr">
        <is>
          <t>TI2022-0125</t>
        </is>
      </c>
      <c r="F988" s="523" t="n">
        <v>44599</v>
      </c>
      <c r="G988" s="556" t="n">
        <v>1979569</v>
      </c>
      <c r="I988" s="521">
        <f>G988</f>
        <v/>
      </c>
      <c r="K988" s="521">
        <f>I988-G988</f>
        <v/>
      </c>
      <c r="M988" s="522" t="inlineStr">
        <is>
          <t>TI20220125</t>
        </is>
      </c>
      <c r="N988" s="522" t="inlineStr">
        <is>
          <t>TI20220125</t>
        </is>
      </c>
      <c r="O988" s="521">
        <f>M988=N988</f>
        <v/>
      </c>
      <c r="P988" s="521">
        <f>AND(MONTH(F988)=MONTH(S988), YEAR(F988)=YEAR(S988))</f>
        <v/>
      </c>
      <c r="Q988" s="521">
        <f>U988="L001-901905215"</f>
        <v/>
      </c>
      <c r="R988" s="556">
        <f>G988-W988</f>
        <v/>
      </c>
      <c r="S988" s="523" t="n">
        <v>44602</v>
      </c>
      <c r="T988" s="522" t="inlineStr">
        <is>
          <t>TI2022-0125</t>
        </is>
      </c>
      <c r="U988" s="522" t="inlineStr">
        <is>
          <t>L001-901905215</t>
        </is>
      </c>
      <c r="V988" s="522" t="inlineStr">
        <is>
          <t>វីអ៊ីស៊ិន (ខេមបូឌា) អ៊ិនដាសស្ទ្រី ឯ.ក</t>
        </is>
      </c>
      <c r="W988" s="556" t="n">
        <v>1979569</v>
      </c>
    </row>
    <row r="989">
      <c r="A989" s="521" t="n">
        <v>981</v>
      </c>
      <c r="B989" s="522" t="inlineStr">
        <is>
          <t>Lift-Off Charge,Gate Fee Charge</t>
        </is>
      </c>
      <c r="C989" s="522" t="inlineStr">
        <is>
          <t>កំពង់ផែស្វយ័តភ្នំពេញ "ក.ស.ភ"</t>
        </is>
      </c>
      <c r="D989" s="522" t="inlineStr">
        <is>
          <t>L001-100044999</t>
        </is>
      </c>
      <c r="E989" s="521" t="inlineStr">
        <is>
          <t>INV20220209975</t>
        </is>
      </c>
      <c r="F989" s="523" t="n">
        <v>44599</v>
      </c>
      <c r="G989" s="556" t="n">
        <v>224554</v>
      </c>
      <c r="I989" s="521">
        <f>G989</f>
        <v/>
      </c>
      <c r="K989" s="521">
        <f>I989-G989</f>
        <v/>
      </c>
      <c r="M989" s="522" t="inlineStr">
        <is>
          <t>INV20220209975</t>
        </is>
      </c>
      <c r="N989" s="522" t="inlineStr"/>
      <c r="O989" s="521">
        <f>M989=N989</f>
        <v/>
      </c>
      <c r="P989" s="521">
        <f>AND(MONTH(F989)=MONTH(S989), YEAR(F989)=YEAR(S989))</f>
        <v/>
      </c>
      <c r="Q989" s="521">
        <f>U989="L001-901905215"</f>
        <v/>
      </c>
      <c r="R989" s="556">
        <f>G989-W989</f>
        <v/>
      </c>
      <c r="S989" s="521" t="n"/>
      <c r="T989" s="522" t="n"/>
      <c r="U989" s="522" t="n"/>
      <c r="V989" s="522" t="n"/>
      <c r="W989" s="521" t="n"/>
    </row>
    <row r="990">
      <c r="A990" s="521" t="n">
        <v>982</v>
      </c>
      <c r="B990" s="522" t="inlineStr">
        <is>
          <t>TRUCKING FEE</t>
        </is>
      </c>
      <c r="C990" s="522" t="inlineStr">
        <is>
          <t>56ប៊ី-លីង សឹបផ្លាយ ឆេន មេនេចម៉ិន ឯ.ក</t>
        </is>
      </c>
      <c r="D990" s="522" t="inlineStr">
        <is>
          <t>K004-902004795</t>
        </is>
      </c>
      <c r="E990" s="521" t="inlineStr">
        <is>
          <t>TI2022-0124</t>
        </is>
      </c>
      <c r="F990" s="523" t="n">
        <v>44602</v>
      </c>
      <c r="G990" s="556" t="n">
        <v>1753739</v>
      </c>
      <c r="I990" s="521">
        <f>G990</f>
        <v/>
      </c>
      <c r="K990" s="521">
        <f>I990-G990</f>
        <v/>
      </c>
      <c r="M990" s="522" t="inlineStr">
        <is>
          <t>TI20220124</t>
        </is>
      </c>
      <c r="N990" s="522" t="inlineStr">
        <is>
          <t>TI20220124</t>
        </is>
      </c>
      <c r="O990" s="521">
        <f>M990=N990</f>
        <v/>
      </c>
      <c r="P990" s="521">
        <f>AND(MONTH(F990)=MONTH(S990), YEAR(F990)=YEAR(S990))</f>
        <v/>
      </c>
      <c r="Q990" s="521">
        <f>U990="L001-901905215"</f>
        <v/>
      </c>
      <c r="R990" s="556">
        <f>G990-W990</f>
        <v/>
      </c>
      <c r="S990" s="523" t="n">
        <v>44602</v>
      </c>
      <c r="T990" s="522" t="inlineStr">
        <is>
          <t>TI2022-0124</t>
        </is>
      </c>
      <c r="U990" s="522" t="inlineStr">
        <is>
          <t>L001-901905215</t>
        </is>
      </c>
      <c r="V990" s="522" t="inlineStr">
        <is>
          <t>វីអ៊ីស៊ិន (ខេមបូឌា) អ៊ិនដាសស្ទ្រី ឯ.ក</t>
        </is>
      </c>
      <c r="W990" s="556" t="n">
        <v>1753739</v>
      </c>
    </row>
    <row r="991">
      <c r="A991" s="521" t="n">
        <v>983</v>
      </c>
      <c r="B991" s="522" t="inlineStr">
        <is>
          <t>Lift-Off Charge,Gate Fee Charge</t>
        </is>
      </c>
      <c r="C991" s="522" t="inlineStr">
        <is>
          <t>កំពង់ផែស្វយ័តភ្នំពេញ "ក.ស.ភ"</t>
        </is>
      </c>
      <c r="D991" s="522" t="inlineStr">
        <is>
          <t>L001-100044999</t>
        </is>
      </c>
      <c r="E991" s="521" t="inlineStr">
        <is>
          <t>INV20220209969</t>
        </is>
      </c>
      <c r="F991" s="523" t="n">
        <v>44599</v>
      </c>
      <c r="G991" s="556" t="n">
        <v>87869</v>
      </c>
      <c r="I991" s="521">
        <f>G991</f>
        <v/>
      </c>
      <c r="K991" s="521">
        <f>I991-G991</f>
        <v/>
      </c>
      <c r="M991" s="522" t="inlineStr">
        <is>
          <t>INV20220209969</t>
        </is>
      </c>
      <c r="N991" s="522" t="inlineStr"/>
      <c r="O991" s="521">
        <f>M991=N991</f>
        <v/>
      </c>
      <c r="P991" s="521">
        <f>AND(MONTH(F991)=MONTH(S991), YEAR(F991)=YEAR(S991))</f>
        <v/>
      </c>
      <c r="Q991" s="521">
        <f>U991="L001-901905215"</f>
        <v/>
      </c>
      <c r="R991" s="556">
        <f>G991-W991</f>
        <v/>
      </c>
      <c r="S991" s="521" t="n"/>
      <c r="T991" s="522" t="n"/>
      <c r="U991" s="522" t="n"/>
      <c r="V991" s="522" t="n"/>
      <c r="W991" s="521" t="n"/>
    </row>
    <row r="992">
      <c r="A992" s="521" t="n">
        <v>984</v>
      </c>
      <c r="B992" s="522" t="inlineStr">
        <is>
          <t>TRUCKING FEE</t>
        </is>
      </c>
      <c r="C992" s="522" t="inlineStr">
        <is>
          <t>56ប៊ី-លីង សឹបផ្លាយ ឆេន មេនេចម៉ិន ឯ.ក</t>
        </is>
      </c>
      <c r="D992" s="522" t="inlineStr">
        <is>
          <t>K004-902004795</t>
        </is>
      </c>
      <c r="E992" s="521" t="inlineStr">
        <is>
          <t>TI2022-0123</t>
        </is>
      </c>
      <c r="F992" s="523" t="n">
        <v>44602</v>
      </c>
      <c r="G992" s="556" t="n">
        <v>697834</v>
      </c>
      <c r="I992" s="521">
        <f>G992</f>
        <v/>
      </c>
      <c r="K992" s="521">
        <f>I992-G992</f>
        <v/>
      </c>
      <c r="M992" s="522" t="inlineStr">
        <is>
          <t>TI20220123</t>
        </is>
      </c>
      <c r="N992" s="522" t="inlineStr">
        <is>
          <t>TI20220123</t>
        </is>
      </c>
      <c r="O992" s="521">
        <f>M992=N992</f>
        <v/>
      </c>
      <c r="P992" s="521">
        <f>AND(MONTH(F992)=MONTH(S992), YEAR(F992)=YEAR(S992))</f>
        <v/>
      </c>
      <c r="Q992" s="521">
        <f>U992="L001-901905215"</f>
        <v/>
      </c>
      <c r="R992" s="556">
        <f>G992-W992</f>
        <v/>
      </c>
      <c r="S992" s="523" t="n">
        <v>44602</v>
      </c>
      <c r="T992" s="522" t="inlineStr">
        <is>
          <t>TI2022-0123</t>
        </is>
      </c>
      <c r="U992" s="522" t="inlineStr">
        <is>
          <t>L001-901905215</t>
        </is>
      </c>
      <c r="V992" s="522" t="inlineStr">
        <is>
          <t>វីអ៊ីស៊ិន (ខេមបូឌា) អ៊ិនដាសស្ទ្រី ឯ.ក</t>
        </is>
      </c>
      <c r="W992" s="556" t="n">
        <v>697834</v>
      </c>
    </row>
    <row r="993">
      <c r="A993" s="521" t="n">
        <v>985</v>
      </c>
      <c r="B993" s="522" t="inlineStr">
        <is>
          <t>Lift-Off Charge,Gate Fee Charge</t>
        </is>
      </c>
      <c r="C993" s="522" t="inlineStr">
        <is>
          <t>កំពង់ផែស្វយ័តភ្នំពេញ "ក.ស.ភ"</t>
        </is>
      </c>
      <c r="D993" s="522" t="inlineStr">
        <is>
          <t>L001-100044999</t>
        </is>
      </c>
      <c r="E993" s="521" t="inlineStr">
        <is>
          <t>INV20220209970</t>
        </is>
      </c>
      <c r="F993" s="523" t="n">
        <v>44599</v>
      </c>
      <c r="G993" s="556" t="n">
        <v>29290</v>
      </c>
      <c r="I993" s="521">
        <f>G993</f>
        <v/>
      </c>
      <c r="K993" s="521">
        <f>I993-G993</f>
        <v/>
      </c>
      <c r="M993" s="522" t="inlineStr">
        <is>
          <t>INV20220209970</t>
        </is>
      </c>
      <c r="N993" s="522" t="inlineStr"/>
      <c r="O993" s="521">
        <f>M993=N993</f>
        <v/>
      </c>
      <c r="P993" s="521">
        <f>AND(MONTH(F993)=MONTH(S993), YEAR(F993)=YEAR(S993))</f>
        <v/>
      </c>
      <c r="Q993" s="521">
        <f>U993="L001-901905215"</f>
        <v/>
      </c>
      <c r="R993" s="556">
        <f>G993-W993</f>
        <v/>
      </c>
      <c r="S993" s="521" t="n"/>
      <c r="T993" s="522" t="n"/>
      <c r="U993" s="522" t="n"/>
      <c r="V993" s="522" t="n"/>
      <c r="W993" s="521" t="n"/>
    </row>
    <row r="994">
      <c r="A994" s="521" t="n">
        <v>986</v>
      </c>
      <c r="B994" s="522" t="inlineStr">
        <is>
          <t>TRUCKING FEE</t>
        </is>
      </c>
      <c r="C994" s="522" t="inlineStr">
        <is>
          <t>56ប៊ី-លីង សឹបផ្លាយ ឆេន មេនេចម៉ិន ឯ.ក</t>
        </is>
      </c>
      <c r="D994" s="522" t="inlineStr">
        <is>
          <t>K004-902004795</t>
        </is>
      </c>
      <c r="E994" s="521" t="inlineStr">
        <is>
          <t>TI2022-0122</t>
        </is>
      </c>
      <c r="F994" s="523" t="n">
        <v>44602</v>
      </c>
      <c r="G994" s="556" t="n">
        <v>783283</v>
      </c>
      <c r="I994" s="521">
        <f>G994</f>
        <v/>
      </c>
      <c r="K994" s="521">
        <f>I994-G994</f>
        <v/>
      </c>
      <c r="M994" s="522" t="inlineStr">
        <is>
          <t>TI20220122</t>
        </is>
      </c>
      <c r="N994" s="522" t="inlineStr">
        <is>
          <t>TI20220122</t>
        </is>
      </c>
      <c r="O994" s="521">
        <f>M994=N994</f>
        <v/>
      </c>
      <c r="P994" s="521">
        <f>AND(MONTH(F994)=MONTH(S994), YEAR(F994)=YEAR(S994))</f>
        <v/>
      </c>
      <c r="Q994" s="521">
        <f>U994="L001-901905215"</f>
        <v/>
      </c>
      <c r="R994" s="556">
        <f>G994-W994</f>
        <v/>
      </c>
      <c r="S994" s="523" t="n">
        <v>44602</v>
      </c>
      <c r="T994" s="522" t="inlineStr">
        <is>
          <t>TI2022-0122</t>
        </is>
      </c>
      <c r="U994" s="522" t="inlineStr">
        <is>
          <t>L001-901905215</t>
        </is>
      </c>
      <c r="V994" s="522" t="inlineStr">
        <is>
          <t>វីអ៊ីស៊ិន (ខេមបូឌា) អ៊ិនដាសស្ទ្រី ឯ.ក</t>
        </is>
      </c>
      <c r="W994" s="556" t="n">
        <v>783283</v>
      </c>
    </row>
    <row r="995">
      <c r="A995" s="521" t="n">
        <v>987</v>
      </c>
      <c r="B995" s="522" t="inlineStr">
        <is>
          <t>Lift-Off Charge,Gate Fee Charge</t>
        </is>
      </c>
      <c r="C995" s="522" t="inlineStr">
        <is>
          <t>កំពង់ផែស្វយ័តភ្នំពេញ "ក.ស.ភ"</t>
        </is>
      </c>
      <c r="D995" s="522" t="inlineStr">
        <is>
          <t>L001-100044999</t>
        </is>
      </c>
      <c r="E995" s="521" t="inlineStr">
        <is>
          <t>INV20220209972</t>
        </is>
      </c>
      <c r="F995" s="523" t="n">
        <v>44595</v>
      </c>
      <c r="G995" s="556" t="n">
        <v>136685</v>
      </c>
      <c r="I995" s="521">
        <f>G995</f>
        <v/>
      </c>
      <c r="K995" s="521">
        <f>I995-G995</f>
        <v/>
      </c>
      <c r="M995" s="522" t="inlineStr">
        <is>
          <t>INV20220209972</t>
        </is>
      </c>
      <c r="N995" s="522" t="inlineStr"/>
      <c r="O995" s="521">
        <f>M995=N995</f>
        <v/>
      </c>
      <c r="P995" s="521">
        <f>AND(MONTH(F995)=MONTH(S995), YEAR(F995)=YEAR(S995))</f>
        <v/>
      </c>
      <c r="Q995" s="521">
        <f>U995="L001-901905215"</f>
        <v/>
      </c>
      <c r="R995" s="556">
        <f>G995-W995</f>
        <v/>
      </c>
      <c r="S995" s="521" t="n"/>
      <c r="T995" s="522" t="n"/>
      <c r="U995" s="522" t="n"/>
      <c r="V995" s="522" t="n"/>
      <c r="W995" s="521" t="n"/>
    </row>
    <row r="996">
      <c r="A996" s="521" t="n">
        <v>988</v>
      </c>
      <c r="B996" s="522" t="inlineStr">
        <is>
          <t>TRUCKING FEE</t>
        </is>
      </c>
      <c r="C996" s="522" t="inlineStr">
        <is>
          <t>56ប៊ី-លីង សឹបផ្លាយ ឆេន មេនេចម៉ិន ឯ.ក</t>
        </is>
      </c>
      <c r="D996" s="522" t="inlineStr">
        <is>
          <t>K004-902004795</t>
        </is>
      </c>
      <c r="E996" s="521" t="inlineStr">
        <is>
          <t>TI2022-0121</t>
        </is>
      </c>
      <c r="F996" s="523" t="n">
        <v>44602</v>
      </c>
      <c r="G996" s="556" t="n">
        <v>1112872</v>
      </c>
      <c r="I996" s="521">
        <f>G996</f>
        <v/>
      </c>
      <c r="K996" s="521">
        <f>I996-G996</f>
        <v/>
      </c>
      <c r="M996" s="522" t="inlineStr">
        <is>
          <t>TI20220121</t>
        </is>
      </c>
      <c r="N996" s="522" t="inlineStr">
        <is>
          <t>TI20220121</t>
        </is>
      </c>
      <c r="O996" s="521">
        <f>M996=N996</f>
        <v/>
      </c>
      <c r="P996" s="521">
        <f>AND(MONTH(F996)=MONTH(S996), YEAR(F996)=YEAR(S996))</f>
        <v/>
      </c>
      <c r="Q996" s="521">
        <f>U996="L001-901905215"</f>
        <v/>
      </c>
      <c r="R996" s="556">
        <f>G996-W996</f>
        <v/>
      </c>
      <c r="S996" s="523" t="n">
        <v>44602</v>
      </c>
      <c r="T996" s="522" t="inlineStr">
        <is>
          <t>TI2022-0121</t>
        </is>
      </c>
      <c r="U996" s="522" t="inlineStr">
        <is>
          <t>L001-901905215</t>
        </is>
      </c>
      <c r="V996" s="522" t="inlineStr">
        <is>
          <t>វីអ៊ីស៊ិន (ខេមបូឌា) អ៊ិនដាសស្ទ្រី ឯ.ក</t>
        </is>
      </c>
      <c r="W996" s="556" t="n">
        <v>1112872</v>
      </c>
    </row>
    <row r="997">
      <c r="A997" s="521" t="n">
        <v>989</v>
      </c>
      <c r="B997" s="522" t="inlineStr">
        <is>
          <t>Lift-Off Charge,Gate Fee Charge</t>
        </is>
      </c>
      <c r="C997" s="522" t="inlineStr">
        <is>
          <t>កំពង់ផែស្វយ័តភ្នំពេញ "ក.ស.ភ"</t>
        </is>
      </c>
      <c r="D997" s="522" t="inlineStr">
        <is>
          <t>L001-100044999</t>
        </is>
      </c>
      <c r="E997" s="521" t="inlineStr">
        <is>
          <t>INV20220209971</t>
        </is>
      </c>
      <c r="F997" s="523" t="n">
        <v>44599</v>
      </c>
      <c r="G997" s="556" t="n">
        <v>117158</v>
      </c>
      <c r="I997" s="521">
        <f>G997</f>
        <v/>
      </c>
      <c r="K997" s="521">
        <f>I997-G997</f>
        <v/>
      </c>
      <c r="M997" s="522" t="inlineStr">
        <is>
          <t>INV20220209971</t>
        </is>
      </c>
      <c r="N997" s="522" t="inlineStr"/>
      <c r="O997" s="521">
        <f>M997=N997</f>
        <v/>
      </c>
      <c r="P997" s="521">
        <f>AND(MONTH(F997)=MONTH(S997), YEAR(F997)=YEAR(S997))</f>
        <v/>
      </c>
      <c r="Q997" s="521">
        <f>U997="L001-901905215"</f>
        <v/>
      </c>
      <c r="R997" s="556">
        <f>G997-W997</f>
        <v/>
      </c>
      <c r="S997" s="521" t="n"/>
      <c r="T997" s="522" t="n"/>
      <c r="U997" s="522" t="n"/>
      <c r="V997" s="522" t="n"/>
      <c r="W997" s="521" t="n"/>
    </row>
    <row r="998">
      <c r="A998" s="521" t="n">
        <v>990</v>
      </c>
      <c r="B998" s="522" t="inlineStr">
        <is>
          <t>TRUCKING FEE</t>
        </is>
      </c>
      <c r="C998" s="522" t="inlineStr">
        <is>
          <t>56ប៊ី-លីង សឹបផ្លាយ ឆេន មេនេចម៉ិន ឯ.ក</t>
        </is>
      </c>
      <c r="D998" s="522" t="inlineStr">
        <is>
          <t>K004-902004795</t>
        </is>
      </c>
      <c r="E998" s="521" t="inlineStr">
        <is>
          <t>TI2022-0120</t>
        </is>
      </c>
      <c r="F998" s="523" t="n">
        <v>44602</v>
      </c>
      <c r="G998" s="556" t="n">
        <v>911456</v>
      </c>
      <c r="I998" s="521">
        <f>G998</f>
        <v/>
      </c>
      <c r="K998" s="521">
        <f>I998-G998</f>
        <v/>
      </c>
      <c r="M998" s="522" t="inlineStr">
        <is>
          <t>TI20220120</t>
        </is>
      </c>
      <c r="N998" s="522" t="inlineStr">
        <is>
          <t>TI20220120</t>
        </is>
      </c>
      <c r="O998" s="521">
        <f>M998=N998</f>
        <v/>
      </c>
      <c r="P998" s="521">
        <f>AND(MONTH(F998)=MONTH(S998), YEAR(F998)=YEAR(S998))</f>
        <v/>
      </c>
      <c r="Q998" s="521">
        <f>U998="L001-901905215"</f>
        <v/>
      </c>
      <c r="R998" s="556">
        <f>G998-W998</f>
        <v/>
      </c>
      <c r="S998" s="523" t="n">
        <v>44602</v>
      </c>
      <c r="T998" s="522" t="inlineStr">
        <is>
          <t>TI2022-0120</t>
        </is>
      </c>
      <c r="U998" s="522" t="inlineStr">
        <is>
          <t>L001-901905215</t>
        </is>
      </c>
      <c r="V998" s="522" t="inlineStr">
        <is>
          <t>វីអ៊ីស៊ិន (ខេមបូឌា) អ៊ិនដាសស្ទ្រី ឯ.ក</t>
        </is>
      </c>
      <c r="W998" s="556" t="n">
        <v>911456</v>
      </c>
    </row>
    <row r="999">
      <c r="A999" s="521" t="n">
        <v>991</v>
      </c>
      <c r="B999" s="522" t="inlineStr">
        <is>
          <t>Monthly Tax declaration for Feb 2023 service</t>
        </is>
      </c>
      <c r="C999" s="522" t="inlineStr">
        <is>
          <t>យីងកឺ ខេម ថេក អ៊ែតវ៉ាយហ្សឺរី ឯ.ក</t>
        </is>
      </c>
      <c r="D999" s="522" t="inlineStr">
        <is>
          <t>K003-902005313</t>
        </is>
      </c>
      <c r="E999" s="521" t="inlineStr">
        <is>
          <t>YKT23-083</t>
        </is>
      </c>
      <c r="F999" s="523" t="n">
        <v>44959</v>
      </c>
      <c r="G999" s="556" t="n">
        <v>575400</v>
      </c>
      <c r="I999" s="521">
        <f>G999</f>
        <v/>
      </c>
      <c r="K999" s="521">
        <f>I999-G999</f>
        <v/>
      </c>
      <c r="M999" s="522" t="inlineStr">
        <is>
          <t>YKT23083</t>
        </is>
      </c>
      <c r="N999" s="522" t="inlineStr">
        <is>
          <t>YKT23083</t>
        </is>
      </c>
      <c r="O999" s="521">
        <f>M999=N999</f>
        <v/>
      </c>
      <c r="P999" s="521">
        <f>AND(MONTH(F999)=MONTH(S999), YEAR(F999)=YEAR(S999))</f>
        <v/>
      </c>
      <c r="Q999" s="521">
        <f>U999="L001-901905215"</f>
        <v/>
      </c>
      <c r="R999" s="556">
        <f>G999-W999</f>
        <v/>
      </c>
      <c r="S999" s="523" t="n">
        <v>44958</v>
      </c>
      <c r="T999" s="522" t="inlineStr">
        <is>
          <t>YKT23-083</t>
        </is>
      </c>
      <c r="U999" s="522" t="inlineStr">
        <is>
          <t>L001-901905215</t>
        </is>
      </c>
      <c r="V999" s="522" t="inlineStr">
        <is>
          <t>វីអ៊ីស៊ិន (ខេមបូឌា) អ៊ិនដាសស្ទ្រី ឯ.ក</t>
        </is>
      </c>
      <c r="W999" s="556" t="n">
        <v>575400</v>
      </c>
    </row>
    <row r="1000">
      <c r="A1000" s="521" t="n">
        <v>992</v>
      </c>
      <c r="B1000" s="522" t="inlineStr">
        <is>
          <t>Monthly Fee 18-2-23 to 18-08-23</t>
        </is>
      </c>
      <c r="C1000" s="522" t="inlineStr">
        <is>
          <t>ខេម ជ្ជីអេសអេម ម.ក</t>
        </is>
      </c>
      <c r="D1000" s="522" t="inlineStr">
        <is>
          <t>L001-100045065</t>
        </is>
      </c>
      <c r="E1000" s="521" t="inlineStr">
        <is>
          <t>85758</t>
        </is>
      </c>
      <c r="F1000" s="523" t="n">
        <v>44972</v>
      </c>
      <c r="G1000" s="556" t="n">
        <v>247020</v>
      </c>
      <c r="I1000" s="521">
        <f>G1000</f>
        <v/>
      </c>
      <c r="K1000" s="521">
        <f>I1000-G1000</f>
        <v/>
      </c>
      <c r="M1000" s="522" t="inlineStr">
        <is>
          <t>85758</t>
        </is>
      </c>
      <c r="N1000" s="522" t="inlineStr"/>
      <c r="O1000" s="521">
        <f>M1000=N1000</f>
        <v/>
      </c>
      <c r="P1000" s="521">
        <f>AND(MONTH(F1000)=MONTH(S1000), YEAR(F1000)=YEAR(S1000))</f>
        <v/>
      </c>
      <c r="Q1000" s="521">
        <f>U1000="L001-901905215"</f>
        <v/>
      </c>
      <c r="R1000" s="556">
        <f>G1000-W1000</f>
        <v/>
      </c>
      <c r="S1000" s="521" t="n"/>
      <c r="T1000" s="522" t="n"/>
      <c r="U1000" s="522" t="n"/>
      <c r="V1000" s="522" t="n"/>
      <c r="W1000" s="521" t="n"/>
    </row>
    <row r="1001">
      <c r="A1001" s="521" t="n">
        <v>993</v>
      </c>
      <c r="B1001" s="522" t="inlineStr">
        <is>
          <t>Carbon Dioxde</t>
        </is>
      </c>
      <c r="C1001" s="522" t="inlineStr">
        <is>
          <t>ធីវីសីុ ហ្គាស សឹលូសិន</t>
        </is>
      </c>
      <c r="D1001" s="522" t="inlineStr">
        <is>
          <t>K005-901501105</t>
        </is>
      </c>
      <c r="E1001" s="521" t="inlineStr">
        <is>
          <t>2023-0402</t>
        </is>
      </c>
      <c r="F1001" s="523" t="n">
        <v>44985</v>
      </c>
      <c r="G1001" s="556" t="n">
        <v>3056508</v>
      </c>
      <c r="I1001" s="521">
        <f>G1001</f>
        <v/>
      </c>
      <c r="K1001" s="521">
        <f>I1001-G1001</f>
        <v/>
      </c>
      <c r="M1001" s="522" t="inlineStr">
        <is>
          <t>20230402</t>
        </is>
      </c>
      <c r="N1001" s="522" t="inlineStr">
        <is>
          <t>20230402</t>
        </is>
      </c>
      <c r="O1001" s="521">
        <f>M1001=N1001</f>
        <v/>
      </c>
      <c r="P1001" s="521">
        <f>AND(MONTH(F1001)=MONTH(S1001), YEAR(F1001)=YEAR(S1001))</f>
        <v/>
      </c>
      <c r="Q1001" s="521">
        <f>U1001="L001-901905215"</f>
        <v/>
      </c>
      <c r="R1001" s="556">
        <f>G1001-W1001</f>
        <v/>
      </c>
      <c r="S1001" s="523" t="n">
        <v>44985</v>
      </c>
      <c r="T1001" s="522" t="inlineStr">
        <is>
          <t>2023-0402</t>
        </is>
      </c>
      <c r="U1001" s="522" t="inlineStr">
        <is>
          <t>L001-901905215</t>
        </is>
      </c>
      <c r="V1001" s="522" t="inlineStr">
        <is>
          <t>វីអ៊ីស៊ិន (ខេមបូឌា) អ៊ិនដាសស្ទ្រី ឯ.ក</t>
        </is>
      </c>
      <c r="W1001" s="556" t="n">
        <v>3056508</v>
      </c>
    </row>
    <row r="1002">
      <c r="A1002" s="521" t="n">
        <v>994</v>
      </c>
      <c r="B1002" s="522" t="inlineStr">
        <is>
          <t>Express Fee</t>
        </is>
      </c>
      <c r="C1002" s="522" t="inlineStr">
        <is>
          <t>ឌី អេច អិល អិចប្រេស (ខេមបូឌា)</t>
        </is>
      </c>
      <c r="D1002" s="522" t="inlineStr">
        <is>
          <t>L001-100045197</t>
        </is>
      </c>
      <c r="E1002" s="521" t="inlineStr">
        <is>
          <t>PNHR000451060</t>
        </is>
      </c>
      <c r="F1002" s="523" t="n">
        <v>44973</v>
      </c>
      <c r="G1002" s="556" t="n">
        <v>36199</v>
      </c>
      <c r="I1002" s="521">
        <f>G1002</f>
        <v/>
      </c>
      <c r="K1002" s="521">
        <f>I1002-G1002</f>
        <v/>
      </c>
      <c r="M1002" s="522" t="inlineStr">
        <is>
          <t>PNHR000451060</t>
        </is>
      </c>
      <c r="N1002" s="522" t="inlineStr">
        <is>
          <t>PNHR000451060</t>
        </is>
      </c>
      <c r="O1002" s="521">
        <f>M1002=N1002</f>
        <v/>
      </c>
      <c r="P1002" s="521">
        <f>AND(MONTH(F1002)=MONTH(S1002), YEAR(F1002)=YEAR(S1002))</f>
        <v/>
      </c>
      <c r="Q1002" s="521">
        <f>U1002="L001-901905215"</f>
        <v/>
      </c>
      <c r="R1002" s="556">
        <f>G1002-W1002</f>
        <v/>
      </c>
      <c r="S1002" s="523" t="n">
        <v>44973</v>
      </c>
      <c r="T1002" s="522" t="inlineStr">
        <is>
          <t>PNHR000451060</t>
        </is>
      </c>
      <c r="U1002" s="522" t="inlineStr">
        <is>
          <t>L001-901905215</t>
        </is>
      </c>
      <c r="V1002" s="522" t="inlineStr">
        <is>
          <t>វីអ៊ីស៊ិន (ខេមបូឌា) អ៊ិនដាសស្ទ្រី ឯ.ក</t>
        </is>
      </c>
      <c r="W1002" s="556" t="n">
        <v>36200</v>
      </c>
    </row>
    <row r="1003">
      <c r="A1003" s="521" t="n">
        <v>995</v>
      </c>
      <c r="B1003" s="522" t="inlineStr">
        <is>
          <t>Express Fee</t>
        </is>
      </c>
      <c r="C1003" s="522" t="inlineStr">
        <is>
          <t>ឌី អេច អិល អិចប្រេស (ខេមបូឌា)</t>
        </is>
      </c>
      <c r="D1003" s="522" t="inlineStr">
        <is>
          <t>L001-100045197</t>
        </is>
      </c>
      <c r="E1003" s="521" t="inlineStr">
        <is>
          <t>PNHR000450353</t>
        </is>
      </c>
      <c r="F1003" s="523" t="n">
        <v>44966</v>
      </c>
      <c r="G1003" s="556" t="n">
        <v>114725</v>
      </c>
      <c r="I1003" s="521">
        <f>G1003</f>
        <v/>
      </c>
      <c r="K1003" s="521">
        <f>I1003-G1003</f>
        <v/>
      </c>
      <c r="M1003" s="522" t="inlineStr">
        <is>
          <t>PNHR000450353</t>
        </is>
      </c>
      <c r="N1003" s="522" t="inlineStr">
        <is>
          <t>PNHR000450353</t>
        </is>
      </c>
      <c r="O1003" s="521">
        <f>M1003=N1003</f>
        <v/>
      </c>
      <c r="P1003" s="521">
        <f>AND(MONTH(F1003)=MONTH(S1003), YEAR(F1003)=YEAR(S1003))</f>
        <v/>
      </c>
      <c r="Q1003" s="521">
        <f>U1003="L001-901905215"</f>
        <v/>
      </c>
      <c r="R1003" s="556">
        <f>G1003-W1003</f>
        <v/>
      </c>
      <c r="S1003" s="523" t="n">
        <v>44966</v>
      </c>
      <c r="T1003" s="522" t="inlineStr">
        <is>
          <t>PNHR000450353</t>
        </is>
      </c>
      <c r="U1003" s="522" t="inlineStr">
        <is>
          <t>L001-901905215</t>
        </is>
      </c>
      <c r="V1003" s="522" t="inlineStr">
        <is>
          <t>វីអ៊ីស៊ិន (ខេមបូឌា) អ៊ិនដាសស្ទ្រី ឯ.ក</t>
        </is>
      </c>
      <c r="W1003" s="556" t="n">
        <v>114727</v>
      </c>
    </row>
    <row r="1004">
      <c r="A1004" s="521" t="n">
        <v>996</v>
      </c>
      <c r="B1004" s="522" t="inlineStr">
        <is>
          <t>Express Fee</t>
        </is>
      </c>
      <c r="C1004" s="522" t="inlineStr">
        <is>
          <t>ឌី អេច អិល អិចប្រេស (ខេមបូឌា)</t>
        </is>
      </c>
      <c r="D1004" s="522" t="inlineStr">
        <is>
          <t>L001-100045197</t>
        </is>
      </c>
      <c r="E1004" s="521" t="inlineStr">
        <is>
          <t>PNHIR00155858</t>
        </is>
      </c>
      <c r="F1004" s="523" t="n">
        <v>44977</v>
      </c>
      <c r="G1004" s="556" t="n">
        <v>8156</v>
      </c>
      <c r="I1004" s="521">
        <f>G1004</f>
        <v/>
      </c>
      <c r="K1004" s="521">
        <f>I1004-G1004</f>
        <v/>
      </c>
      <c r="M1004" s="522" t="inlineStr">
        <is>
          <t>PNHIR00155858</t>
        </is>
      </c>
      <c r="N1004" s="522" t="inlineStr"/>
      <c r="O1004" s="521">
        <f>M1004=N1004</f>
        <v/>
      </c>
      <c r="P1004" s="521">
        <f>AND(MONTH(F1004)=MONTH(S1004), YEAR(F1004)=YEAR(S1004))</f>
        <v/>
      </c>
      <c r="Q1004" s="521">
        <f>U1004="L001-901905215"</f>
        <v/>
      </c>
      <c r="R1004" s="556">
        <f>G1004-W1004</f>
        <v/>
      </c>
      <c r="S1004" s="521" t="n"/>
      <c r="T1004" s="522" t="n"/>
      <c r="U1004" s="522" t="n"/>
      <c r="V1004" s="522" t="n"/>
      <c r="W1004" s="521" t="n"/>
    </row>
    <row r="1005">
      <c r="A1005" s="521" t="n">
        <v>997</v>
      </c>
      <c r="B1005" s="522" t="inlineStr">
        <is>
          <t>Express Fee</t>
        </is>
      </c>
      <c r="C1005" s="522" t="inlineStr">
        <is>
          <t>ឌី អេច អិល អិចប្រេស (ខេមបូឌា)</t>
        </is>
      </c>
      <c r="D1005" s="522" t="inlineStr">
        <is>
          <t>L001-100045197</t>
        </is>
      </c>
      <c r="E1005" s="521" t="inlineStr">
        <is>
          <t>PNHIR00155029</t>
        </is>
      </c>
      <c r="F1005" s="523" t="n">
        <v>44970</v>
      </c>
      <c r="G1005" s="556" t="n">
        <v>8188</v>
      </c>
      <c r="I1005" s="521">
        <f>G1005</f>
        <v/>
      </c>
      <c r="K1005" s="521">
        <f>I1005-G1005</f>
        <v/>
      </c>
      <c r="M1005" s="522" t="inlineStr">
        <is>
          <t>PNHIR00155029</t>
        </is>
      </c>
      <c r="N1005" s="522" t="inlineStr">
        <is>
          <t>PNHIR00155029</t>
        </is>
      </c>
      <c r="O1005" s="521">
        <f>M1005=N1005</f>
        <v/>
      </c>
      <c r="P1005" s="521">
        <f>AND(MONTH(F1005)=MONTH(S1005), YEAR(F1005)=YEAR(S1005))</f>
        <v/>
      </c>
      <c r="Q1005" s="521">
        <f>U1005="L001-901905215"</f>
        <v/>
      </c>
      <c r="R1005" s="556">
        <f>G1005-W1005</f>
        <v/>
      </c>
      <c r="S1005" s="523" t="n">
        <v>44970</v>
      </c>
      <c r="T1005" s="522" t="inlineStr">
        <is>
          <t>PNHIR00155029</t>
        </is>
      </c>
      <c r="U1005" s="522" t="inlineStr">
        <is>
          <t>L001-901905215</t>
        </is>
      </c>
      <c r="V1005" s="522" t="inlineStr">
        <is>
          <t>វីអ៊ីស៊ិន (ខេមបូឌា) អ៊ិនដាសស្ទ្រី ឯ.ក</t>
        </is>
      </c>
      <c r="W1005" s="556" t="n">
        <v>8188</v>
      </c>
    </row>
    <row r="1006">
      <c r="A1006" s="521" t="n">
        <v>998</v>
      </c>
      <c r="B1006" s="522" t="inlineStr">
        <is>
          <t>Express Fee</t>
        </is>
      </c>
      <c r="C1006" s="522" t="inlineStr">
        <is>
          <t>ឌី អេច អិល អិចប្រេស (ខេមបូឌា)</t>
        </is>
      </c>
      <c r="D1006" s="522" t="inlineStr">
        <is>
          <t>L001-100045197</t>
        </is>
      </c>
      <c r="E1006" s="521" t="inlineStr">
        <is>
          <t>PNHIR00154912</t>
        </is>
      </c>
      <c r="F1006" s="523" t="n">
        <v>44967</v>
      </c>
      <c r="G1006" s="556" t="n">
        <v>8198</v>
      </c>
      <c r="I1006" s="521">
        <f>G1006</f>
        <v/>
      </c>
      <c r="K1006" s="521">
        <f>I1006-G1006</f>
        <v/>
      </c>
      <c r="M1006" s="522" t="inlineStr">
        <is>
          <t>PNHIR00154912</t>
        </is>
      </c>
      <c r="N1006" s="522" t="inlineStr">
        <is>
          <t>PNHIR00154912</t>
        </is>
      </c>
      <c r="O1006" s="521">
        <f>M1006=N1006</f>
        <v/>
      </c>
      <c r="P1006" s="521">
        <f>AND(MONTH(F1006)=MONTH(S1006), YEAR(F1006)=YEAR(S1006))</f>
        <v/>
      </c>
      <c r="Q1006" s="521">
        <f>U1006="L001-901905215"</f>
        <v/>
      </c>
      <c r="R1006" s="556">
        <f>G1006-W1006</f>
        <v/>
      </c>
      <c r="S1006" s="523" t="n">
        <v>44967</v>
      </c>
      <c r="T1006" s="522" t="inlineStr">
        <is>
          <t>PNHIR00154912</t>
        </is>
      </c>
      <c r="U1006" s="522" t="inlineStr">
        <is>
          <t>L001-901905215</t>
        </is>
      </c>
      <c r="V1006" s="522" t="inlineStr">
        <is>
          <t>វីអ៊ីស៊ិន (ខេមបូឌា) អ៊ិនដាសស្ទ្រី ឯ.ក</t>
        </is>
      </c>
      <c r="W1006" s="556" t="n">
        <v>8198</v>
      </c>
    </row>
    <row r="1007">
      <c r="A1007" s="521" t="n">
        <v>999</v>
      </c>
      <c r="B1007" s="522" t="inlineStr">
        <is>
          <t>Express Fee</t>
        </is>
      </c>
      <c r="C1007" s="522" t="inlineStr">
        <is>
          <t>ឌី អេច អិល អិចប្រេស (ខេមបូឌា)</t>
        </is>
      </c>
      <c r="D1007" s="522" t="inlineStr">
        <is>
          <t>L001-100045197</t>
        </is>
      </c>
      <c r="E1007" s="521" t="inlineStr">
        <is>
          <t>PNHIR00154740</t>
        </is>
      </c>
      <c r="F1007" s="523" t="n">
        <v>44966</v>
      </c>
      <c r="G1007" s="556" t="n">
        <v>8202</v>
      </c>
      <c r="I1007" s="521">
        <f>G1007</f>
        <v/>
      </c>
      <c r="K1007" s="521">
        <f>I1007-G1007</f>
        <v/>
      </c>
      <c r="M1007" s="522" t="inlineStr">
        <is>
          <t>PNHIR00154740</t>
        </is>
      </c>
      <c r="N1007" s="522" t="inlineStr">
        <is>
          <t>PNHIR00154740</t>
        </is>
      </c>
      <c r="O1007" s="521">
        <f>M1007=N1007</f>
        <v/>
      </c>
      <c r="P1007" s="521">
        <f>AND(MONTH(F1007)=MONTH(S1007), YEAR(F1007)=YEAR(S1007))</f>
        <v/>
      </c>
      <c r="Q1007" s="521">
        <f>U1007="L001-901905215"</f>
        <v/>
      </c>
      <c r="R1007" s="556">
        <f>G1007-W1007</f>
        <v/>
      </c>
      <c r="S1007" s="523" t="n">
        <v>44966</v>
      </c>
      <c r="T1007" s="522" t="inlineStr">
        <is>
          <t>PNHIR00154740</t>
        </is>
      </c>
      <c r="U1007" s="522" t="inlineStr">
        <is>
          <t>L001-901905215</t>
        </is>
      </c>
      <c r="V1007" s="522" t="inlineStr">
        <is>
          <t>វីអ៊ីស៊ិន (ខេមបូឌា) អ៊ិនដាសស្ទ្រី ឯ.ក</t>
        </is>
      </c>
      <c r="W1007" s="556" t="n">
        <v>8202</v>
      </c>
    </row>
    <row r="1008">
      <c r="A1008" s="521" t="n">
        <v>1000</v>
      </c>
      <c r="B1008" s="522" t="inlineStr">
        <is>
          <t>Express Fee</t>
        </is>
      </c>
      <c r="C1008" s="522" t="inlineStr">
        <is>
          <t>ឌី អេច អិល អិចប្រេស (ខេមបូឌា)</t>
        </is>
      </c>
      <c r="D1008" s="522" t="inlineStr">
        <is>
          <t>L001-100045197</t>
        </is>
      </c>
      <c r="E1008" s="521" t="inlineStr">
        <is>
          <t>PNHIR00154727</t>
        </is>
      </c>
      <c r="F1008" s="523" t="n">
        <v>44965</v>
      </c>
      <c r="G1008" s="556" t="n">
        <v>8198</v>
      </c>
      <c r="I1008" s="521">
        <f>G1008</f>
        <v/>
      </c>
      <c r="K1008" s="521">
        <f>I1008-G1008</f>
        <v/>
      </c>
      <c r="M1008" s="522" t="inlineStr">
        <is>
          <t>PNHIR00154727</t>
        </is>
      </c>
      <c r="N1008" s="522" t="inlineStr">
        <is>
          <t>PNHIR00154727</t>
        </is>
      </c>
      <c r="O1008" s="521">
        <f>M1008=N1008</f>
        <v/>
      </c>
      <c r="P1008" s="521">
        <f>AND(MONTH(F1008)=MONTH(S1008), YEAR(F1008)=YEAR(S1008))</f>
        <v/>
      </c>
      <c r="Q1008" s="521">
        <f>U1008="L001-901905215"</f>
        <v/>
      </c>
      <c r="R1008" s="556">
        <f>G1008-W1008</f>
        <v/>
      </c>
      <c r="S1008" s="523" t="n">
        <v>44965</v>
      </c>
      <c r="T1008" s="522" t="inlineStr">
        <is>
          <t>PNHIR00154727</t>
        </is>
      </c>
      <c r="U1008" s="522" t="inlineStr">
        <is>
          <t>L001-901905215</t>
        </is>
      </c>
      <c r="V1008" s="522" t="inlineStr">
        <is>
          <t>វីអ៊ីស៊ិន (ខេមបូឌា) អ៊ិនដាសស្ទ្រី ឯ.ក</t>
        </is>
      </c>
      <c r="W1008" s="556" t="n">
        <v>8198</v>
      </c>
    </row>
    <row r="1009">
      <c r="A1009" s="521" t="n">
        <v>1001</v>
      </c>
      <c r="B1009" s="522" t="inlineStr">
        <is>
          <t>Iron Wire</t>
        </is>
      </c>
      <c r="C1009" s="522" t="inlineStr">
        <is>
          <t>អេ.អេស.ស៊ី.ធី (ខេមបូឌា) ឯ.ក</t>
        </is>
      </c>
      <c r="D1009" s="522" t="inlineStr">
        <is>
          <t>K007-902102757</t>
        </is>
      </c>
      <c r="E1009" s="521" t="inlineStr">
        <is>
          <t>ASCT-TI-23-083</t>
        </is>
      </c>
      <c r="F1009" s="523" t="n">
        <v>44959</v>
      </c>
      <c r="G1009" s="556" t="n">
        <v>776790</v>
      </c>
      <c r="I1009" s="521">
        <f>G1009</f>
        <v/>
      </c>
      <c r="K1009" s="521">
        <f>I1009-G1009</f>
        <v/>
      </c>
      <c r="M1009" s="522" t="inlineStr">
        <is>
          <t>ASCTTI23083</t>
        </is>
      </c>
      <c r="N1009" s="522" t="inlineStr"/>
      <c r="O1009" s="521">
        <f>M1009=N1009</f>
        <v/>
      </c>
      <c r="P1009" s="521">
        <f>AND(MONTH(F1009)=MONTH(S1009), YEAR(F1009)=YEAR(S1009))</f>
        <v/>
      </c>
      <c r="Q1009" s="521">
        <f>U1009="L001-901905215"</f>
        <v/>
      </c>
      <c r="R1009" s="556">
        <f>G1009-W1009</f>
        <v/>
      </c>
      <c r="S1009" s="521" t="n"/>
      <c r="T1009" s="522" t="n"/>
      <c r="U1009" s="522" t="n"/>
      <c r="V1009" s="522" t="n"/>
      <c r="W1009" s="521" t="n"/>
    </row>
    <row r="1010">
      <c r="A1010" s="521" t="n">
        <v>1002</v>
      </c>
      <c r="B1010" s="522" t="inlineStr">
        <is>
          <t>Building Rental Charge for Feb 2023</t>
        </is>
      </c>
      <c r="C1010" s="522" t="inlineStr">
        <is>
          <t>មេហ្គា លេបឹល &amp; ស្ទីកឃើរ (ខេមបូឌា)</t>
        </is>
      </c>
      <c r="D1010" s="522" t="inlineStr">
        <is>
          <t>L001-100185983</t>
        </is>
      </c>
      <c r="E1010" s="521" t="inlineStr">
        <is>
          <t>INV20230201</t>
        </is>
      </c>
      <c r="F1010" s="523" t="n">
        <v>44958</v>
      </c>
      <c r="G1010" s="556" t="n">
        <v>1555019</v>
      </c>
      <c r="I1010" s="521">
        <f>G1010</f>
        <v/>
      </c>
      <c r="K1010" s="521">
        <f>I1010-G1010</f>
        <v/>
      </c>
      <c r="M1010" s="522" t="inlineStr">
        <is>
          <t>INV20230201</t>
        </is>
      </c>
      <c r="N1010" s="522" t="inlineStr">
        <is>
          <t>INV20230201</t>
        </is>
      </c>
      <c r="O1010" s="521">
        <f>M1010=N1010</f>
        <v/>
      </c>
      <c r="P1010" s="521">
        <f>AND(MONTH(F1010)=MONTH(S1010), YEAR(F1010)=YEAR(S1010))</f>
        <v/>
      </c>
      <c r="Q1010" s="521">
        <f>U1010="L001-901905215"</f>
        <v/>
      </c>
      <c r="R1010" s="556">
        <f>G1010-W1010</f>
        <v/>
      </c>
      <c r="S1010" s="523" t="n">
        <v>44958</v>
      </c>
      <c r="T1010" s="522" t="inlineStr">
        <is>
          <t>INV20230201</t>
        </is>
      </c>
      <c r="U1010" s="522" t="inlineStr">
        <is>
          <t>L001-901905215</t>
        </is>
      </c>
      <c r="V1010" s="522" t="inlineStr">
        <is>
          <t>វីអ៊ីស៊ិន (ខេមបូឌា) អ៊ិនដាសស្ទ្រី ឯ.ក</t>
        </is>
      </c>
      <c r="W1010" s="556" t="n">
        <v>1555019</v>
      </c>
    </row>
    <row r="1011">
      <c r="A1011" s="521" t="n">
        <v>1003</v>
      </c>
      <c r="B1011" s="522" t="inlineStr">
        <is>
          <t>Segurity Guard Fee</t>
        </is>
      </c>
      <c r="C1011" s="522" t="inlineStr">
        <is>
          <t>អេសអេហ្វអាយ​ ស៊ីឃ្យួរឹធី ហ្វសស៍ អ៊ិនធើណេសិនណល ឯ.ក</t>
        </is>
      </c>
      <c r="D1011" s="522" t="inlineStr">
        <is>
          <t>K010-901908100</t>
        </is>
      </c>
      <c r="E1011" s="521" t="inlineStr">
        <is>
          <t>SFI2023/089</t>
        </is>
      </c>
      <c r="F1011" s="523" t="n">
        <v>44981</v>
      </c>
      <c r="G1011" s="556" t="n">
        <v>226576</v>
      </c>
      <c r="I1011" s="521">
        <f>G1011</f>
        <v/>
      </c>
      <c r="K1011" s="521">
        <f>I1011-G1011</f>
        <v/>
      </c>
      <c r="M1011" s="522" t="inlineStr">
        <is>
          <t>SFI2023089</t>
        </is>
      </c>
      <c r="N1011" s="522" t="inlineStr">
        <is>
          <t>SFI2023089</t>
        </is>
      </c>
      <c r="O1011" s="521">
        <f>M1011=N1011</f>
        <v/>
      </c>
      <c r="P1011" s="521">
        <f>AND(MONTH(F1011)=MONTH(S1011), YEAR(F1011)=YEAR(S1011))</f>
        <v/>
      </c>
      <c r="Q1011" s="521">
        <f>U1011="L001-901905215"</f>
        <v/>
      </c>
      <c r="R1011" s="556">
        <f>G1011-W1011</f>
        <v/>
      </c>
      <c r="S1011" s="523" t="n">
        <v>44981</v>
      </c>
      <c r="T1011" s="522" t="inlineStr">
        <is>
          <t>SFI2023/089</t>
        </is>
      </c>
      <c r="U1011" s="522" t="inlineStr">
        <is>
          <t>L001-901905215</t>
        </is>
      </c>
      <c r="V1011" s="522" t="inlineStr">
        <is>
          <t>វីអ៊ីស៊ិន (ខេមបូឌា) អ៊ិនដាសស្ទ្រី ឯ.ក</t>
        </is>
      </c>
      <c r="W1011" s="556" t="n">
        <v>226576</v>
      </c>
    </row>
    <row r="1012">
      <c r="A1012" s="521" t="n">
        <v>1004</v>
      </c>
      <c r="B1012" s="522" t="inlineStr">
        <is>
          <t>Infrastructure Maintenance Fee for Feb 2023</t>
        </is>
      </c>
      <c r="C1012" s="522" t="inlineStr">
        <is>
          <t>ភ្នំពេញ អេសអ៊ីហ្សិត ភីអិលស៊ី</t>
        </is>
      </c>
      <c r="D1012" s="522" t="inlineStr">
        <is>
          <t>L001-100046592</t>
        </is>
      </c>
      <c r="E1012" s="521" t="inlineStr">
        <is>
          <t>2023-00709</t>
        </is>
      </c>
      <c r="F1012" s="523" t="n">
        <v>44975</v>
      </c>
      <c r="G1012" s="556" t="n">
        <v>165273</v>
      </c>
      <c r="I1012" s="521">
        <f>G1012</f>
        <v/>
      </c>
      <c r="K1012" s="521">
        <f>I1012-G1012</f>
        <v/>
      </c>
      <c r="M1012" s="522" t="inlineStr">
        <is>
          <t>202300709</t>
        </is>
      </c>
      <c r="N1012" s="522" t="inlineStr">
        <is>
          <t>202300709</t>
        </is>
      </c>
      <c r="O1012" s="521">
        <f>M1012=N1012</f>
        <v/>
      </c>
      <c r="P1012" s="521">
        <f>AND(MONTH(F1012)=MONTH(S1012), YEAR(F1012)=YEAR(S1012))</f>
        <v/>
      </c>
      <c r="Q1012" s="521">
        <f>U1012="L001-901905215"</f>
        <v/>
      </c>
      <c r="R1012" s="556">
        <f>G1012-W1012</f>
        <v/>
      </c>
      <c r="S1012" s="523" t="n">
        <v>44975</v>
      </c>
      <c r="T1012" s="522" t="inlineStr">
        <is>
          <t>2023-00709</t>
        </is>
      </c>
      <c r="U1012" s="522" t="inlineStr">
        <is>
          <t>L001-901905215</t>
        </is>
      </c>
      <c r="V1012" s="522" t="inlineStr">
        <is>
          <t>វីអ៊ីស៊ិន (ខេមបូឌា) អ៊ិនដាសស្ទ្រី ឯ.ក</t>
        </is>
      </c>
      <c r="W1012" s="556" t="n">
        <v>165273</v>
      </c>
    </row>
    <row r="1013">
      <c r="A1013" s="521" t="n">
        <v>1005</v>
      </c>
      <c r="B1013" s="522" t="inlineStr">
        <is>
          <t>Infrastructure Maintenance Fee for Feb 2023</t>
        </is>
      </c>
      <c r="C1013" s="522" t="inlineStr">
        <is>
          <t>ភ្នំពេញ អេសអ៊ីហ្សិត ភីអិលស៊ី</t>
        </is>
      </c>
      <c r="D1013" s="522" t="inlineStr">
        <is>
          <t>L001-100046592</t>
        </is>
      </c>
      <c r="E1013" s="521" t="inlineStr">
        <is>
          <t>2023-00700</t>
        </is>
      </c>
      <c r="F1013" s="523" t="n">
        <v>44975</v>
      </c>
      <c r="G1013" s="556" t="n">
        <v>201228</v>
      </c>
      <c r="I1013" s="521">
        <f>G1013</f>
        <v/>
      </c>
      <c r="K1013" s="521">
        <f>I1013-G1013</f>
        <v/>
      </c>
      <c r="M1013" s="522" t="inlineStr">
        <is>
          <t>202300700</t>
        </is>
      </c>
      <c r="N1013" s="522" t="inlineStr">
        <is>
          <t>202300700</t>
        </is>
      </c>
      <c r="O1013" s="521">
        <f>M1013=N1013</f>
        <v/>
      </c>
      <c r="P1013" s="521">
        <f>AND(MONTH(F1013)=MONTH(S1013), YEAR(F1013)=YEAR(S1013))</f>
        <v/>
      </c>
      <c r="Q1013" s="521">
        <f>U1013="L001-901905215"</f>
        <v/>
      </c>
      <c r="R1013" s="556">
        <f>G1013-W1013</f>
        <v/>
      </c>
      <c r="S1013" s="523" t="n">
        <v>44975</v>
      </c>
      <c r="T1013" s="522" t="inlineStr">
        <is>
          <t>2023-00700</t>
        </is>
      </c>
      <c r="U1013" s="522" t="inlineStr">
        <is>
          <t>L001-901905215</t>
        </is>
      </c>
      <c r="V1013" s="522" t="inlineStr">
        <is>
          <t>វីអ៊ីស៊ិន (ខេមបូឌា) អ៊ិនដាសស្ទ្រី ឯ.ក</t>
        </is>
      </c>
      <c r="W1013" s="556" t="n">
        <v>201228</v>
      </c>
    </row>
    <row r="1014">
      <c r="A1014" s="521" t="n">
        <v>1006</v>
      </c>
      <c r="B1014" s="522" t="inlineStr">
        <is>
          <t>CY THC</t>
        </is>
      </c>
      <c r="C1014" s="522" t="inlineStr">
        <is>
          <t>ហេកធ័រ ត្រេនស្ព័រថេសិន (ខេមបូឌា) ឯ.ក</t>
        </is>
      </c>
      <c r="D1014" s="522" t="inlineStr">
        <is>
          <t>K002-901900264</t>
        </is>
      </c>
      <c r="E1014" s="521" t="inlineStr">
        <is>
          <t>23000244</t>
        </is>
      </c>
      <c r="F1014" s="523" t="n">
        <v>44972</v>
      </c>
      <c r="G1014" s="556" t="n">
        <v>163400</v>
      </c>
      <c r="I1014" s="521">
        <f>G1014</f>
        <v/>
      </c>
      <c r="K1014" s="521">
        <f>I1014-G1014</f>
        <v/>
      </c>
      <c r="M1014" s="522" t="inlineStr">
        <is>
          <t>23000244</t>
        </is>
      </c>
      <c r="N1014" s="522" t="inlineStr"/>
      <c r="O1014" s="521">
        <f>M1014=N1014</f>
        <v/>
      </c>
      <c r="P1014" s="521">
        <f>AND(MONTH(F1014)=MONTH(S1014), YEAR(F1014)=YEAR(S1014))</f>
        <v/>
      </c>
      <c r="Q1014" s="521">
        <f>U1014="L001-901905215"</f>
        <v/>
      </c>
      <c r="R1014" s="556">
        <f>G1014-W1014</f>
        <v/>
      </c>
      <c r="S1014" s="521" t="n"/>
      <c r="T1014" s="522" t="n"/>
      <c r="U1014" s="522" t="n"/>
      <c r="V1014" s="522" t="n"/>
      <c r="W1014" s="521" t="n"/>
    </row>
    <row r="1015">
      <c r="A1015" s="521" t="n">
        <v>1007</v>
      </c>
      <c r="B1015" s="522" t="inlineStr">
        <is>
          <t>Terminal Handling charge</t>
        </is>
      </c>
      <c r="C1015" s="522" t="inlineStr">
        <is>
          <t>យូសេន ឡូជីស្ទីក (ខេមបូឌា) ខូ អិលធីឌី</t>
        </is>
      </c>
      <c r="D1015" s="522" t="inlineStr">
        <is>
          <t>L001-104015799</t>
        </is>
      </c>
      <c r="E1015" s="521" t="inlineStr">
        <is>
          <t>PNHTI0045332</t>
        </is>
      </c>
      <c r="F1015" s="523" t="n">
        <v>44966</v>
      </c>
      <c r="G1015" s="556" t="n">
        <v>232527</v>
      </c>
      <c r="I1015" s="521">
        <f>G1015</f>
        <v/>
      </c>
      <c r="K1015" s="521">
        <f>I1015-G1015</f>
        <v/>
      </c>
      <c r="M1015" s="522" t="inlineStr">
        <is>
          <t>PNHTI0045332</t>
        </is>
      </c>
      <c r="N1015" s="522" t="inlineStr">
        <is>
          <t>PNHTI0045332</t>
        </is>
      </c>
      <c r="O1015" s="521">
        <f>M1015=N1015</f>
        <v/>
      </c>
      <c r="P1015" s="521">
        <f>AND(MONTH(F1015)=MONTH(S1015), YEAR(F1015)=YEAR(S1015))</f>
        <v/>
      </c>
      <c r="Q1015" s="521">
        <f>U1015="L001-901905215"</f>
        <v/>
      </c>
      <c r="R1015" s="556">
        <f>G1015-W1015</f>
        <v/>
      </c>
      <c r="S1015" s="523" t="n">
        <v>44966</v>
      </c>
      <c r="T1015" s="522" t="inlineStr">
        <is>
          <t>PNHTI0045332</t>
        </is>
      </c>
      <c r="U1015" s="522" t="inlineStr">
        <is>
          <t>L001-901905215</t>
        </is>
      </c>
      <c r="V1015" s="522" t="inlineStr">
        <is>
          <t>វីអ៊ីស៊ិន (ខេមបូឌា) អ៊ិនដាសស្ទ្រី ឯ.ក</t>
        </is>
      </c>
      <c r="W1015" s="556" t="n">
        <v>232527</v>
      </c>
    </row>
    <row r="1016">
      <c r="A1016" s="521" t="n">
        <v>1008</v>
      </c>
      <c r="B1016" s="522" t="inlineStr">
        <is>
          <t>THC and DOC charge</t>
        </is>
      </c>
      <c r="C1016" s="522" t="inlineStr">
        <is>
          <t>អ៊ិចស្ពែឌីធ័រ ខេមបូឌា អិលធីឌី</t>
        </is>
      </c>
      <c r="D1016" s="522" t="inlineStr">
        <is>
          <t>L001-100045898</t>
        </is>
      </c>
      <c r="E1016" s="521" t="inlineStr">
        <is>
          <t>TI-0244834</t>
        </is>
      </c>
      <c r="F1016" s="523" t="n">
        <v>44984</v>
      </c>
      <c r="G1016" s="556" t="n">
        <v>599429</v>
      </c>
      <c r="I1016" s="521">
        <f>G1016</f>
        <v/>
      </c>
      <c r="K1016" s="521">
        <f>I1016-G1016</f>
        <v/>
      </c>
      <c r="M1016" s="522" t="inlineStr">
        <is>
          <t>TI0244834</t>
        </is>
      </c>
      <c r="N1016" s="522" t="inlineStr">
        <is>
          <t>TI0244834</t>
        </is>
      </c>
      <c r="O1016" s="521">
        <f>M1016=N1016</f>
        <v/>
      </c>
      <c r="P1016" s="521">
        <f>AND(MONTH(F1016)=MONTH(S1016), YEAR(F1016)=YEAR(S1016))</f>
        <v/>
      </c>
      <c r="Q1016" s="521">
        <f>U1016="L001-901905215"</f>
        <v/>
      </c>
      <c r="R1016" s="556">
        <f>G1016-W1016</f>
        <v/>
      </c>
      <c r="S1016" s="523" t="n">
        <v>44984</v>
      </c>
      <c r="T1016" s="522" t="inlineStr">
        <is>
          <t>TI-0244834</t>
        </is>
      </c>
      <c r="U1016" s="522" t="inlineStr">
        <is>
          <t>L001-901905215</t>
        </is>
      </c>
      <c r="V1016" s="522" t="inlineStr">
        <is>
          <t>វីអ៊ីស៊ិន (ខេមបូឌា) អ៊ិនដាសស្ទ្រី ឯ.ក</t>
        </is>
      </c>
      <c r="W1016" s="556" t="n">
        <v>599429</v>
      </c>
    </row>
    <row r="1017">
      <c r="A1017" s="521" t="n">
        <v>1009</v>
      </c>
      <c r="B1017" s="522" t="inlineStr">
        <is>
          <t>THC and DOC charge</t>
        </is>
      </c>
      <c r="C1017" s="522" t="inlineStr">
        <is>
          <t>អ៊ិចស្ពែឌីធ័រ ខេមបូឌា អិលធីឌី</t>
        </is>
      </c>
      <c r="D1017" s="522" t="inlineStr">
        <is>
          <t>L001-100045898</t>
        </is>
      </c>
      <c r="E1017" s="521" t="inlineStr">
        <is>
          <t>TI-0244831</t>
        </is>
      </c>
      <c r="F1017" s="523" t="n">
        <v>44984</v>
      </c>
      <c r="G1017" s="556" t="n">
        <v>52454</v>
      </c>
      <c r="I1017" s="521">
        <f>G1017</f>
        <v/>
      </c>
      <c r="K1017" s="521">
        <f>I1017-G1017</f>
        <v/>
      </c>
      <c r="M1017" s="522" t="inlineStr">
        <is>
          <t>TI0244831</t>
        </is>
      </c>
      <c r="N1017" s="522" t="inlineStr">
        <is>
          <t>TI0244831</t>
        </is>
      </c>
      <c r="O1017" s="521">
        <f>M1017=N1017</f>
        <v/>
      </c>
      <c r="P1017" s="521">
        <f>AND(MONTH(F1017)=MONTH(S1017), YEAR(F1017)=YEAR(S1017))</f>
        <v/>
      </c>
      <c r="Q1017" s="521">
        <f>U1017="L001-901905215"</f>
        <v/>
      </c>
      <c r="R1017" s="556">
        <f>G1017-W1017</f>
        <v/>
      </c>
      <c r="S1017" s="523" t="n">
        <v>44984</v>
      </c>
      <c r="T1017" s="522" t="inlineStr">
        <is>
          <t>TI-0244831</t>
        </is>
      </c>
      <c r="U1017" s="522" t="inlineStr">
        <is>
          <t>L001-901905215</t>
        </is>
      </c>
      <c r="V1017" s="522" t="inlineStr">
        <is>
          <t>វីអ៊ីស៊ិន (ខេមបូឌា) អ៊ិនដាសស្ទ្រី ឯ.ក</t>
        </is>
      </c>
      <c r="W1017" s="556" t="n">
        <v>52465</v>
      </c>
    </row>
    <row r="1018">
      <c r="A1018" s="521" t="n">
        <v>1010</v>
      </c>
      <c r="B1018" s="522" t="inlineStr">
        <is>
          <t>THC and DOC charge</t>
        </is>
      </c>
      <c r="C1018" s="522" t="inlineStr">
        <is>
          <t>អ៊ិចស្ពែឌីធ័រ ខេមបូឌា អិលធីឌី</t>
        </is>
      </c>
      <c r="D1018" s="522" t="inlineStr">
        <is>
          <t>L001-100045898</t>
        </is>
      </c>
      <c r="E1018" s="521" t="inlineStr">
        <is>
          <t>TI-0244814</t>
        </is>
      </c>
      <c r="F1018" s="523" t="n">
        <v>44984</v>
      </c>
      <c r="G1018" s="556" t="n">
        <v>451087</v>
      </c>
      <c r="I1018" s="521">
        <f>G1018</f>
        <v/>
      </c>
      <c r="K1018" s="521">
        <f>I1018-G1018</f>
        <v/>
      </c>
      <c r="M1018" s="522" t="inlineStr">
        <is>
          <t>TI0244814</t>
        </is>
      </c>
      <c r="N1018" s="522" t="inlineStr">
        <is>
          <t>TI0244814</t>
        </is>
      </c>
      <c r="O1018" s="521">
        <f>M1018=N1018</f>
        <v/>
      </c>
      <c r="P1018" s="521">
        <f>AND(MONTH(F1018)=MONTH(S1018), YEAR(F1018)=YEAR(S1018))</f>
        <v/>
      </c>
      <c r="Q1018" s="521">
        <f>U1018="L001-901905215"</f>
        <v/>
      </c>
      <c r="R1018" s="556">
        <f>G1018-W1018</f>
        <v/>
      </c>
      <c r="S1018" s="523" t="n">
        <v>44984</v>
      </c>
      <c r="T1018" s="522" t="inlineStr">
        <is>
          <t>TI-0244814</t>
        </is>
      </c>
      <c r="U1018" s="522" t="inlineStr">
        <is>
          <t>L001-901905215</t>
        </is>
      </c>
      <c r="V1018" s="522" t="inlineStr">
        <is>
          <t>វីអ៊ីស៊ិន (ខេមបូឌា) អ៊ិនដាសស្ទ្រី ឯ.ក</t>
        </is>
      </c>
      <c r="W1018" s="556" t="n">
        <v>451087</v>
      </c>
    </row>
    <row r="1019">
      <c r="A1019" s="521" t="n">
        <v>1011</v>
      </c>
      <c r="B1019" s="522" t="inlineStr">
        <is>
          <t>THC and DOC charge</t>
        </is>
      </c>
      <c r="C1019" s="522" t="inlineStr">
        <is>
          <t>អ៊ិចស្ពែឌីធ័រ ខេមបូឌា អិលធីឌី</t>
        </is>
      </c>
      <c r="D1019" s="522" t="inlineStr">
        <is>
          <t>L001-100045898</t>
        </is>
      </c>
      <c r="E1019" s="521" t="inlineStr">
        <is>
          <t>TI-0244810</t>
        </is>
      </c>
      <c r="F1019" s="523" t="n">
        <v>44984</v>
      </c>
      <c r="G1019" s="556" t="n">
        <v>52157</v>
      </c>
      <c r="I1019" s="521">
        <f>G1019</f>
        <v/>
      </c>
      <c r="K1019" s="521">
        <f>I1019-G1019</f>
        <v/>
      </c>
      <c r="M1019" s="522" t="inlineStr">
        <is>
          <t>TI0244810</t>
        </is>
      </c>
      <c r="N1019" s="522" t="inlineStr">
        <is>
          <t>TI0244810</t>
        </is>
      </c>
      <c r="O1019" s="521">
        <f>M1019=N1019</f>
        <v/>
      </c>
      <c r="P1019" s="521">
        <f>AND(MONTH(F1019)=MONTH(S1019), YEAR(F1019)=YEAR(S1019))</f>
        <v/>
      </c>
      <c r="Q1019" s="521">
        <f>U1019="L001-901905215"</f>
        <v/>
      </c>
      <c r="R1019" s="556">
        <f>G1019-W1019</f>
        <v/>
      </c>
      <c r="S1019" s="523" t="n">
        <v>44984</v>
      </c>
      <c r="T1019" s="522" t="inlineStr">
        <is>
          <t>TI-0244810</t>
        </is>
      </c>
      <c r="U1019" s="522" t="inlineStr">
        <is>
          <t>L001-901905215</t>
        </is>
      </c>
      <c r="V1019" s="522" t="inlineStr">
        <is>
          <t>វីអ៊ីស៊ិន (ខេមបូឌា) អ៊ិនដាសស្ទ្រី ឯ.ក</t>
        </is>
      </c>
      <c r="W1019" s="556" t="n">
        <v>52142</v>
      </c>
    </row>
    <row r="1020">
      <c r="A1020" s="521" t="n">
        <v>1012</v>
      </c>
      <c r="B1020" s="522" t="inlineStr">
        <is>
          <t>THC and DOC charge</t>
        </is>
      </c>
      <c r="C1020" s="522" t="inlineStr">
        <is>
          <t>អ៊ិចស្ពែឌីធ័រ ខេមបូឌា អិលធីឌី</t>
        </is>
      </c>
      <c r="D1020" s="522" t="inlineStr">
        <is>
          <t>L001-100045898</t>
        </is>
      </c>
      <c r="E1020" s="521" t="inlineStr">
        <is>
          <t>TI-0244806</t>
        </is>
      </c>
      <c r="F1020" s="523" t="n">
        <v>44984</v>
      </c>
      <c r="G1020" s="556" t="n">
        <v>485165</v>
      </c>
      <c r="I1020" s="521">
        <f>G1020</f>
        <v/>
      </c>
      <c r="K1020" s="521">
        <f>I1020-G1020</f>
        <v/>
      </c>
      <c r="M1020" s="522" t="inlineStr">
        <is>
          <t>TI0244806</t>
        </is>
      </c>
      <c r="N1020" s="522" t="inlineStr">
        <is>
          <t>TI0244806</t>
        </is>
      </c>
      <c r="O1020" s="521">
        <f>M1020=N1020</f>
        <v/>
      </c>
      <c r="P1020" s="521">
        <f>AND(MONTH(F1020)=MONTH(S1020), YEAR(F1020)=YEAR(S1020))</f>
        <v/>
      </c>
      <c r="Q1020" s="521">
        <f>U1020="L001-901905215"</f>
        <v/>
      </c>
      <c r="R1020" s="556">
        <f>G1020-W1020</f>
        <v/>
      </c>
      <c r="S1020" s="523" t="n">
        <v>44984</v>
      </c>
      <c r="T1020" s="522" t="inlineStr">
        <is>
          <t>TI-0244806</t>
        </is>
      </c>
      <c r="U1020" s="522" t="inlineStr">
        <is>
          <t>L001-901905215</t>
        </is>
      </c>
      <c r="V1020" s="522" t="inlineStr">
        <is>
          <t>វីអ៊ីស៊ិន (ខេមបូឌា) អ៊ិនដាសស្ទ្រី ឯ.ក</t>
        </is>
      </c>
      <c r="W1020" s="556" t="n">
        <v>485161</v>
      </c>
    </row>
    <row r="1021">
      <c r="A1021" s="521" t="n">
        <v>1013</v>
      </c>
      <c r="B1021" s="522" t="inlineStr">
        <is>
          <t>THC and DOC charge</t>
        </is>
      </c>
      <c r="C1021" s="522" t="inlineStr">
        <is>
          <t>អ៊ិចស្ពែឌីធ័រ ខេមបូឌា អិលធីឌី</t>
        </is>
      </c>
      <c r="D1021" s="522" t="inlineStr">
        <is>
          <t>L001-100045898</t>
        </is>
      </c>
      <c r="E1021" s="521" t="inlineStr">
        <is>
          <t>TI-0244794</t>
        </is>
      </c>
      <c r="F1021" s="523" t="n">
        <v>44984</v>
      </c>
      <c r="G1021" s="556" t="n">
        <v>53340</v>
      </c>
      <c r="I1021" s="521">
        <f>G1021</f>
        <v/>
      </c>
      <c r="K1021" s="521">
        <f>I1021-G1021</f>
        <v/>
      </c>
      <c r="M1021" s="522" t="inlineStr">
        <is>
          <t>TI0244794</t>
        </is>
      </c>
      <c r="N1021" s="522" t="inlineStr">
        <is>
          <t>TI0244794</t>
        </is>
      </c>
      <c r="O1021" s="521">
        <f>M1021=N1021</f>
        <v/>
      </c>
      <c r="P1021" s="521">
        <f>AND(MONTH(F1021)=MONTH(S1021), YEAR(F1021)=YEAR(S1021))</f>
        <v/>
      </c>
      <c r="Q1021" s="521">
        <f>U1021="L001-901905215"</f>
        <v/>
      </c>
      <c r="R1021" s="556">
        <f>G1021-W1021</f>
        <v/>
      </c>
      <c r="S1021" s="523" t="n">
        <v>44984</v>
      </c>
      <c r="T1021" s="522" t="inlineStr">
        <is>
          <t>TI-0244794</t>
        </is>
      </c>
      <c r="U1021" s="522" t="inlineStr">
        <is>
          <t>L001-901905215</t>
        </is>
      </c>
      <c r="V1021" s="522" t="inlineStr">
        <is>
          <t>វីអ៊ីស៊ិន (ខេមបូឌា) អ៊ិនដាសស្ទ្រី ឯ.ក</t>
        </is>
      </c>
      <c r="W1021" s="556" t="n">
        <v>53354</v>
      </c>
    </row>
    <row r="1022">
      <c r="A1022" s="521" t="n">
        <v>1014</v>
      </c>
      <c r="B1022" s="522" t="inlineStr">
        <is>
          <t>THC and DOC charge</t>
        </is>
      </c>
      <c r="C1022" s="522" t="inlineStr">
        <is>
          <t>អ៊ិចស្ពែឌីធ័រ ខេមបូឌា អិលធីឌី</t>
        </is>
      </c>
      <c r="D1022" s="522" t="inlineStr">
        <is>
          <t>L001-100045898</t>
        </is>
      </c>
      <c r="E1022" s="521" t="inlineStr">
        <is>
          <t>TI-0244559</t>
        </is>
      </c>
      <c r="F1022" s="523" t="n">
        <v>44978</v>
      </c>
      <c r="G1022" s="556" t="n">
        <v>293493</v>
      </c>
      <c r="I1022" s="521">
        <f>G1022</f>
        <v/>
      </c>
      <c r="K1022" s="521">
        <f>I1022-G1022</f>
        <v/>
      </c>
      <c r="M1022" s="522" t="inlineStr">
        <is>
          <t>TI0244559</t>
        </is>
      </c>
      <c r="N1022" s="522" t="inlineStr">
        <is>
          <t>TI0244559</t>
        </is>
      </c>
      <c r="O1022" s="521">
        <f>M1022=N1022</f>
        <v/>
      </c>
      <c r="P1022" s="521">
        <f>AND(MONTH(F1022)=MONTH(S1022), YEAR(F1022)=YEAR(S1022))</f>
        <v/>
      </c>
      <c r="Q1022" s="521">
        <f>U1022="L001-901905215"</f>
        <v/>
      </c>
      <c r="R1022" s="556">
        <f>G1022-W1022</f>
        <v/>
      </c>
      <c r="S1022" s="523" t="n">
        <v>44978</v>
      </c>
      <c r="T1022" s="522" t="inlineStr">
        <is>
          <t>TI-0244559</t>
        </is>
      </c>
      <c r="U1022" s="522" t="inlineStr">
        <is>
          <t>L001-901905215</t>
        </is>
      </c>
      <c r="V1022" s="522" t="inlineStr">
        <is>
          <t>វីអ៊ីស៊ិន (ខេមបូឌា) អ៊ិនដាសស្ទ្រី ឯ.ក</t>
        </is>
      </c>
      <c r="W1022" s="556" t="n">
        <v>293493</v>
      </c>
    </row>
    <row r="1023">
      <c r="A1023" s="521" t="n">
        <v>1015</v>
      </c>
      <c r="B1023" s="522" t="inlineStr">
        <is>
          <t>THC and DOC charge</t>
        </is>
      </c>
      <c r="C1023" s="522" t="inlineStr">
        <is>
          <t>អ៊ិចស្ពែឌីធ័រ ខេមបូឌា អិលធីឌី</t>
        </is>
      </c>
      <c r="D1023" s="522" t="inlineStr">
        <is>
          <t>L001-100045898</t>
        </is>
      </c>
      <c r="E1023" s="521" t="inlineStr">
        <is>
          <t>TI-0244550</t>
        </is>
      </c>
      <c r="F1023" s="523" t="n">
        <v>44978</v>
      </c>
      <c r="G1023" s="556" t="n">
        <v>506462</v>
      </c>
      <c r="I1023" s="521">
        <f>G1023</f>
        <v/>
      </c>
      <c r="K1023" s="521">
        <f>I1023-G1023</f>
        <v/>
      </c>
      <c r="M1023" s="522" t="inlineStr">
        <is>
          <t>TI0244550</t>
        </is>
      </c>
      <c r="N1023" s="522" t="inlineStr">
        <is>
          <t>TI0244550</t>
        </is>
      </c>
      <c r="O1023" s="521">
        <f>M1023=N1023</f>
        <v/>
      </c>
      <c r="P1023" s="521">
        <f>AND(MONTH(F1023)=MONTH(S1023), YEAR(F1023)=YEAR(S1023))</f>
        <v/>
      </c>
      <c r="Q1023" s="521">
        <f>U1023="L001-901905215"</f>
        <v/>
      </c>
      <c r="R1023" s="556">
        <f>G1023-W1023</f>
        <v/>
      </c>
      <c r="S1023" s="523" t="n">
        <v>44978</v>
      </c>
      <c r="T1023" s="522" t="inlineStr">
        <is>
          <t>TI-0244550</t>
        </is>
      </c>
      <c r="U1023" s="522" t="inlineStr">
        <is>
          <t>L001-901905215</t>
        </is>
      </c>
      <c r="V1023" s="522" t="inlineStr">
        <is>
          <t>វីអ៊ីស៊ិន (ខេមបូឌា) អ៊ិនដាសស្ទ្រី ឯ.ក</t>
        </is>
      </c>
      <c r="W1023" s="556" t="n">
        <v>506458</v>
      </c>
    </row>
    <row r="1024">
      <c r="A1024" s="521" t="n">
        <v>1016</v>
      </c>
      <c r="B1024" s="522" t="inlineStr">
        <is>
          <t>THC and DOC charge</t>
        </is>
      </c>
      <c r="C1024" s="522" t="inlineStr">
        <is>
          <t>អ៊ិចស្ពែឌីធ័រ ខេមបូឌា អិលធីឌី</t>
        </is>
      </c>
      <c r="D1024" s="522" t="inlineStr">
        <is>
          <t>L001-100045898</t>
        </is>
      </c>
      <c r="E1024" s="521" t="inlineStr">
        <is>
          <t>TI-0244545</t>
        </is>
      </c>
      <c r="F1024" s="523" t="n">
        <v>44978</v>
      </c>
      <c r="G1024" s="556" t="n">
        <v>321900</v>
      </c>
      <c r="I1024" s="521">
        <f>G1024</f>
        <v/>
      </c>
      <c r="K1024" s="521">
        <f>I1024-G1024</f>
        <v/>
      </c>
      <c r="M1024" s="522" t="inlineStr">
        <is>
          <t>TI0244545</t>
        </is>
      </c>
      <c r="N1024" s="522" t="inlineStr">
        <is>
          <t>TI0244545</t>
        </is>
      </c>
      <c r="O1024" s="521">
        <f>M1024=N1024</f>
        <v/>
      </c>
      <c r="P1024" s="521">
        <f>AND(MONTH(F1024)=MONTH(S1024), YEAR(F1024)=YEAR(S1024))</f>
        <v/>
      </c>
      <c r="Q1024" s="521">
        <f>U1024="L001-901905215"</f>
        <v/>
      </c>
      <c r="R1024" s="556">
        <f>G1024-W1024</f>
        <v/>
      </c>
      <c r="S1024" s="523" t="n">
        <v>44978</v>
      </c>
      <c r="T1024" s="522" t="inlineStr">
        <is>
          <t>TI-0244545</t>
        </is>
      </c>
      <c r="U1024" s="522" t="inlineStr">
        <is>
          <t>L001-901905215</t>
        </is>
      </c>
      <c r="V1024" s="522" t="inlineStr">
        <is>
          <t>វីអ៊ីស៊ិន (ខេមបូឌា) អ៊ិនដាសស្ទ្រី ឯ.ក</t>
        </is>
      </c>
      <c r="W1024" s="556" t="n">
        <v>321907</v>
      </c>
    </row>
    <row r="1025">
      <c r="A1025" s="521" t="n">
        <v>1017</v>
      </c>
      <c r="B1025" s="522" t="inlineStr">
        <is>
          <t>THC and DOC charge</t>
        </is>
      </c>
      <c r="C1025" s="522" t="inlineStr">
        <is>
          <t>អ៊ិចស្ពែឌីធ័រ ខេមបូឌា អិលធីឌី</t>
        </is>
      </c>
      <c r="D1025" s="522" t="inlineStr">
        <is>
          <t>L001-100045898</t>
        </is>
      </c>
      <c r="E1025" s="521" t="inlineStr">
        <is>
          <t>TI-0244537</t>
        </is>
      </c>
      <c r="F1025" s="523" t="n">
        <v>44978</v>
      </c>
      <c r="G1025" s="556" t="n">
        <v>83909</v>
      </c>
      <c r="I1025" s="521">
        <f>G1025</f>
        <v/>
      </c>
      <c r="K1025" s="521">
        <f>I1025-G1025</f>
        <v/>
      </c>
      <c r="M1025" s="522" t="inlineStr">
        <is>
          <t>TI0244537</t>
        </is>
      </c>
      <c r="N1025" s="522" t="inlineStr">
        <is>
          <t>TI0244537</t>
        </is>
      </c>
      <c r="O1025" s="521">
        <f>M1025=N1025</f>
        <v/>
      </c>
      <c r="P1025" s="521">
        <f>AND(MONTH(F1025)=MONTH(S1025), YEAR(F1025)=YEAR(S1025))</f>
        <v/>
      </c>
      <c r="Q1025" s="521">
        <f>U1025="L001-901905215"</f>
        <v/>
      </c>
      <c r="R1025" s="556">
        <f>G1025-W1025</f>
        <v/>
      </c>
      <c r="S1025" s="523" t="n">
        <v>44978</v>
      </c>
      <c r="T1025" s="522" t="inlineStr">
        <is>
          <t>TI-0244537</t>
        </is>
      </c>
      <c r="U1025" s="522" t="inlineStr">
        <is>
          <t>L001-901905215</t>
        </is>
      </c>
      <c r="V1025" s="522" t="inlineStr">
        <is>
          <t>វីអ៊ីស៊ិន (ខេមបូឌា) អ៊ិនដាសស្ទ្រី ឯ.ក</t>
        </is>
      </c>
      <c r="W1025" s="556" t="n">
        <v>83902</v>
      </c>
    </row>
    <row r="1026">
      <c r="A1026" s="521" t="n">
        <v>1018</v>
      </c>
      <c r="B1026" s="522" t="inlineStr">
        <is>
          <t>THC and DOC charge</t>
        </is>
      </c>
      <c r="C1026" s="522" t="inlineStr">
        <is>
          <t>អ៊ិចស្ពែឌីធ័រ ខេមបូឌា អិលធីឌី</t>
        </is>
      </c>
      <c r="D1026" s="522" t="inlineStr">
        <is>
          <t>L001-100045898</t>
        </is>
      </c>
      <c r="E1026" s="521" t="inlineStr">
        <is>
          <t>TI-0244534</t>
        </is>
      </c>
      <c r="F1026" s="523" t="n">
        <v>44978</v>
      </c>
      <c r="G1026" s="556" t="n">
        <v>142068</v>
      </c>
      <c r="I1026" s="521">
        <f>G1026</f>
        <v/>
      </c>
      <c r="K1026" s="521">
        <f>I1026-G1026</f>
        <v/>
      </c>
      <c r="M1026" s="522" t="inlineStr">
        <is>
          <t>TI0244534</t>
        </is>
      </c>
      <c r="N1026" s="522" t="inlineStr">
        <is>
          <t>TI0244534</t>
        </is>
      </c>
      <c r="O1026" s="521">
        <f>M1026=N1026</f>
        <v/>
      </c>
      <c r="P1026" s="521">
        <f>AND(MONTH(F1026)=MONTH(S1026), YEAR(F1026)=YEAR(S1026))</f>
        <v/>
      </c>
      <c r="Q1026" s="521">
        <f>U1026="L001-901905215"</f>
        <v/>
      </c>
      <c r="R1026" s="556">
        <f>G1026-W1026</f>
        <v/>
      </c>
      <c r="S1026" s="523" t="n">
        <v>44978</v>
      </c>
      <c r="T1026" s="522" t="inlineStr">
        <is>
          <t>TI-0244534</t>
        </is>
      </c>
      <c r="U1026" s="522" t="inlineStr">
        <is>
          <t>L001-901905215</t>
        </is>
      </c>
      <c r="V1026" s="522" t="inlineStr">
        <is>
          <t>វីអ៊ីស៊ិន (ខេមបូឌា) អ៊ិនដាសស្ទ្រី ឯ.ក</t>
        </is>
      </c>
      <c r="W1026" s="556" t="n">
        <v>142072</v>
      </c>
    </row>
    <row r="1027">
      <c r="A1027" s="521" t="n">
        <v>1019</v>
      </c>
      <c r="B1027" s="522" t="inlineStr">
        <is>
          <t>THC and DOC charge</t>
        </is>
      </c>
      <c r="C1027" s="522" t="inlineStr">
        <is>
          <t>អ៊ិចស្ពែឌីធ័រ ខេមបូឌា អិលធីឌី</t>
        </is>
      </c>
      <c r="D1027" s="522" t="inlineStr">
        <is>
          <t>L001-100045898</t>
        </is>
      </c>
      <c r="E1027" s="521" t="inlineStr">
        <is>
          <t>TI-0244526</t>
        </is>
      </c>
      <c r="F1027" s="523" t="n">
        <v>44978</v>
      </c>
      <c r="G1027" s="556" t="n">
        <v>382110</v>
      </c>
      <c r="I1027" s="521">
        <f>G1027</f>
        <v/>
      </c>
      <c r="K1027" s="521">
        <f>I1027-G1027</f>
        <v/>
      </c>
      <c r="M1027" s="522" t="inlineStr">
        <is>
          <t>TI0244526</t>
        </is>
      </c>
      <c r="N1027" s="522" t="inlineStr">
        <is>
          <t>TI0244526</t>
        </is>
      </c>
      <c r="O1027" s="521">
        <f>M1027=N1027</f>
        <v/>
      </c>
      <c r="P1027" s="521">
        <f>AND(MONTH(F1027)=MONTH(S1027), YEAR(F1027)=YEAR(S1027))</f>
        <v/>
      </c>
      <c r="Q1027" s="521">
        <f>U1027="L001-901905215"</f>
        <v/>
      </c>
      <c r="R1027" s="556">
        <f>G1027-W1027</f>
        <v/>
      </c>
      <c r="S1027" s="523" t="n">
        <v>44978</v>
      </c>
      <c r="T1027" s="522" t="inlineStr">
        <is>
          <t>TI-0244526</t>
        </is>
      </c>
      <c r="U1027" s="522" t="inlineStr">
        <is>
          <t>L001-901905215</t>
        </is>
      </c>
      <c r="V1027" s="522" t="inlineStr">
        <is>
          <t>វីអ៊ីស៊ិន (ខេមបូឌា) អ៊ិនដាសស្ទ្រី ឯ.ក</t>
        </is>
      </c>
      <c r="W1027" s="556" t="n">
        <v>382110</v>
      </c>
    </row>
    <row r="1028">
      <c r="A1028" s="521" t="n">
        <v>1020</v>
      </c>
      <c r="B1028" s="522" t="inlineStr">
        <is>
          <t>THC and DOC charge</t>
        </is>
      </c>
      <c r="C1028" s="522" t="inlineStr">
        <is>
          <t>អ៊ិចស្ពែឌីធ័រ ខេមបូឌា អិលធីឌី</t>
        </is>
      </c>
      <c r="D1028" s="522" t="inlineStr">
        <is>
          <t>L001-100045898</t>
        </is>
      </c>
      <c r="E1028" s="521" t="inlineStr">
        <is>
          <t>TI-0244512</t>
        </is>
      </c>
      <c r="F1028" s="523" t="n">
        <v>44978</v>
      </c>
      <c r="G1028" s="556" t="n">
        <v>496337</v>
      </c>
      <c r="I1028" s="521">
        <f>G1028</f>
        <v/>
      </c>
      <c r="K1028" s="521">
        <f>I1028-G1028</f>
        <v/>
      </c>
      <c r="M1028" s="522" t="inlineStr">
        <is>
          <t>TI0244512</t>
        </is>
      </c>
      <c r="N1028" s="522" t="inlineStr">
        <is>
          <t>TI0244512</t>
        </is>
      </c>
      <c r="O1028" s="521">
        <f>M1028=N1028</f>
        <v/>
      </c>
      <c r="P1028" s="521">
        <f>AND(MONTH(F1028)=MONTH(S1028), YEAR(F1028)=YEAR(S1028))</f>
        <v/>
      </c>
      <c r="Q1028" s="521">
        <f>U1028="L001-901905215"</f>
        <v/>
      </c>
      <c r="R1028" s="556">
        <f>G1028-W1028</f>
        <v/>
      </c>
      <c r="S1028" s="523" t="n">
        <v>44978</v>
      </c>
      <c r="T1028" s="522" t="inlineStr">
        <is>
          <t>TI-0244512</t>
        </is>
      </c>
      <c r="U1028" s="522" t="inlineStr">
        <is>
          <t>L001-901905215</t>
        </is>
      </c>
      <c r="V1028" s="522" t="inlineStr">
        <is>
          <t>វីអ៊ីស៊ិន (ខេមបូឌា) អ៊ិនដាសស្ទ្រី ឯ.ក</t>
        </is>
      </c>
      <c r="W1028" s="556" t="n">
        <v>496337</v>
      </c>
    </row>
    <row r="1029">
      <c r="A1029" s="521" t="n">
        <v>1021</v>
      </c>
      <c r="B1029" s="522" t="inlineStr">
        <is>
          <t>THC and DOC charge</t>
        </is>
      </c>
      <c r="C1029" s="522" t="inlineStr">
        <is>
          <t>អ៊ិចស្ពែឌីធ័រ ខេមបូឌា អិលធីឌី</t>
        </is>
      </c>
      <c r="D1029" s="522" t="inlineStr">
        <is>
          <t>L001-100045898</t>
        </is>
      </c>
      <c r="E1029" s="521" t="inlineStr">
        <is>
          <t>TI-0244289</t>
        </is>
      </c>
      <c r="F1029" s="523" t="n">
        <v>44971</v>
      </c>
      <c r="G1029" s="556" t="n">
        <v>478996</v>
      </c>
      <c r="I1029" s="521">
        <f>G1029</f>
        <v/>
      </c>
      <c r="K1029" s="521">
        <f>I1029-G1029</f>
        <v/>
      </c>
      <c r="M1029" s="522" t="inlineStr">
        <is>
          <t>TI0244289</t>
        </is>
      </c>
      <c r="N1029" s="522" t="inlineStr">
        <is>
          <t>TI0244289</t>
        </is>
      </c>
      <c r="O1029" s="521">
        <f>M1029=N1029</f>
        <v/>
      </c>
      <c r="P1029" s="521">
        <f>AND(MONTH(F1029)=MONTH(S1029), YEAR(F1029)=YEAR(S1029))</f>
        <v/>
      </c>
      <c r="Q1029" s="521">
        <f>U1029="L001-901905215"</f>
        <v/>
      </c>
      <c r="R1029" s="556">
        <f>G1029-W1029</f>
        <v/>
      </c>
      <c r="S1029" s="523" t="n">
        <v>44971</v>
      </c>
      <c r="T1029" s="522" t="inlineStr">
        <is>
          <t>TI-0244289</t>
        </is>
      </c>
      <c r="U1029" s="522" t="inlineStr">
        <is>
          <t>L001-901905215</t>
        </is>
      </c>
      <c r="V1029" s="522" t="inlineStr">
        <is>
          <t>វីអ៊ីស៊ិន (ខេមបូឌា) អ៊ិនដាសស្ទ្រី ឯ.ក</t>
        </is>
      </c>
      <c r="W1029" s="556" t="n">
        <v>478996</v>
      </c>
    </row>
    <row r="1030">
      <c r="A1030" s="521" t="n">
        <v>1022</v>
      </c>
      <c r="B1030" s="522" t="inlineStr">
        <is>
          <t>THC and DOC charge</t>
        </is>
      </c>
      <c r="C1030" s="522" t="inlineStr">
        <is>
          <t>អ៊ិចស្ពែឌីធ័រ ខេមបូឌា អិលធីឌី</t>
        </is>
      </c>
      <c r="D1030" s="522" t="inlineStr">
        <is>
          <t>L001-100045898</t>
        </is>
      </c>
      <c r="E1030" s="521" t="inlineStr">
        <is>
          <t>TI-0244288</t>
        </is>
      </c>
      <c r="F1030" s="523" t="n">
        <v>44971</v>
      </c>
      <c r="G1030" s="556" t="n">
        <v>59410</v>
      </c>
      <c r="I1030" s="521">
        <f>G1030</f>
        <v/>
      </c>
      <c r="K1030" s="521">
        <f>I1030-G1030</f>
        <v/>
      </c>
      <c r="M1030" s="522" t="inlineStr">
        <is>
          <t>TI0244288</t>
        </is>
      </c>
      <c r="N1030" s="522" t="inlineStr">
        <is>
          <t>TI0244288</t>
        </is>
      </c>
      <c r="O1030" s="521">
        <f>M1030=N1030</f>
        <v/>
      </c>
      <c r="P1030" s="521">
        <f>AND(MONTH(F1030)=MONTH(S1030), YEAR(F1030)=YEAR(S1030))</f>
        <v/>
      </c>
      <c r="Q1030" s="521">
        <f>U1030="L001-901905215"</f>
        <v/>
      </c>
      <c r="R1030" s="556">
        <f>G1030-W1030</f>
        <v/>
      </c>
      <c r="S1030" s="523" t="n">
        <v>44971</v>
      </c>
      <c r="T1030" s="522" t="inlineStr">
        <is>
          <t>TI-0244288</t>
        </is>
      </c>
      <c r="U1030" s="522" t="inlineStr">
        <is>
          <t>L001-901905215</t>
        </is>
      </c>
      <c r="V1030" s="522" t="inlineStr">
        <is>
          <t>វីអ៊ីស៊ិន (ខេមបូឌា) អ៊ិនដាសស្ទ្រី ឯ.ក</t>
        </is>
      </c>
      <c r="W1030" s="556" t="n">
        <v>59425</v>
      </c>
    </row>
    <row r="1031">
      <c r="A1031" s="521" t="n">
        <v>1023</v>
      </c>
      <c r="B1031" s="522" t="inlineStr">
        <is>
          <t>THC and DOC charge</t>
        </is>
      </c>
      <c r="C1031" s="522" t="inlineStr">
        <is>
          <t>អ៊ិចស្ពែឌីធ័រ ខេមបូឌា អិលធីឌី</t>
        </is>
      </c>
      <c r="D1031" s="522" t="inlineStr">
        <is>
          <t>L001-100045898</t>
        </is>
      </c>
      <c r="E1031" s="521" t="inlineStr">
        <is>
          <t>TI-0244272</t>
        </is>
      </c>
      <c r="F1031" s="523" t="n">
        <v>44971</v>
      </c>
      <c r="G1031" s="556" t="n">
        <v>354752</v>
      </c>
      <c r="I1031" s="521">
        <f>G1031</f>
        <v/>
      </c>
      <c r="K1031" s="521">
        <f>I1031-G1031</f>
        <v/>
      </c>
      <c r="M1031" s="522" t="inlineStr">
        <is>
          <t>TI0244272</t>
        </is>
      </c>
      <c r="N1031" s="522" t="inlineStr">
        <is>
          <t>TI0244272</t>
        </is>
      </c>
      <c r="O1031" s="521">
        <f>M1031=N1031</f>
        <v/>
      </c>
      <c r="P1031" s="521">
        <f>AND(MONTH(F1031)=MONTH(S1031), YEAR(F1031)=YEAR(S1031))</f>
        <v/>
      </c>
      <c r="Q1031" s="521">
        <f>U1031="L001-901905215"</f>
        <v/>
      </c>
      <c r="R1031" s="556">
        <f>G1031-W1031</f>
        <v/>
      </c>
      <c r="S1031" s="523" t="n">
        <v>44971</v>
      </c>
      <c r="T1031" s="522" t="inlineStr">
        <is>
          <t>TI-0244272</t>
        </is>
      </c>
      <c r="U1031" s="522" t="inlineStr">
        <is>
          <t>L001-901905215</t>
        </is>
      </c>
      <c r="V1031" s="522" t="inlineStr">
        <is>
          <t>វីអ៊ីស៊ិន (ខេមបូឌា) អ៊ិនដាសស្ទ្រី ឯ.ក</t>
        </is>
      </c>
      <c r="W1031" s="556" t="n">
        <v>354752</v>
      </c>
    </row>
    <row r="1032">
      <c r="A1032" s="521" t="n">
        <v>1024</v>
      </c>
      <c r="B1032" s="522" t="inlineStr">
        <is>
          <t>THC and DOC charge</t>
        </is>
      </c>
      <c r="C1032" s="522" t="inlineStr">
        <is>
          <t>អ៊ិចស្ពែឌីធ័រ ខេមបូឌា អិលធីឌី</t>
        </is>
      </c>
      <c r="D1032" s="522" t="inlineStr">
        <is>
          <t>L001-100045898</t>
        </is>
      </c>
      <c r="E1032" s="521" t="inlineStr">
        <is>
          <t>TI-0244261</t>
        </is>
      </c>
      <c r="F1032" s="523" t="n">
        <v>44971</v>
      </c>
      <c r="G1032" s="556" t="n">
        <v>751191</v>
      </c>
      <c r="I1032" s="521">
        <f>G1032</f>
        <v/>
      </c>
      <c r="K1032" s="521">
        <f>I1032-G1032</f>
        <v/>
      </c>
      <c r="M1032" s="522" t="inlineStr">
        <is>
          <t>TI0244261</t>
        </is>
      </c>
      <c r="N1032" s="522" t="inlineStr">
        <is>
          <t>TI0244261</t>
        </is>
      </c>
      <c r="O1032" s="521">
        <f>M1032=N1032</f>
        <v/>
      </c>
      <c r="P1032" s="521">
        <f>AND(MONTH(F1032)=MONTH(S1032), YEAR(F1032)=YEAR(S1032))</f>
        <v/>
      </c>
      <c r="Q1032" s="521">
        <f>U1032="L001-901905215"</f>
        <v/>
      </c>
      <c r="R1032" s="556">
        <f>G1032-W1032</f>
        <v/>
      </c>
      <c r="S1032" s="523" t="n">
        <v>44971</v>
      </c>
      <c r="T1032" s="522" t="inlineStr">
        <is>
          <t>TI-0244261</t>
        </is>
      </c>
      <c r="U1032" s="522" t="inlineStr">
        <is>
          <t>L001-901905215</t>
        </is>
      </c>
      <c r="V1032" s="522" t="inlineStr">
        <is>
          <t>វីអ៊ីស៊ិន (ខេមបូឌា) អ៊ិនដាសស្ទ្រី ឯ.ក</t>
        </is>
      </c>
      <c r="W1032" s="556" t="n">
        <v>751191</v>
      </c>
    </row>
    <row r="1033">
      <c r="A1033" s="521" t="n">
        <v>1025</v>
      </c>
      <c r="B1033" s="522" t="inlineStr">
        <is>
          <t>THC and DOC charge</t>
        </is>
      </c>
      <c r="C1033" s="522" t="inlineStr">
        <is>
          <t>អ៊ិចស្ពែឌីធ័រ ខេមបូឌា អិលធីឌី</t>
        </is>
      </c>
      <c r="D1033" s="522" t="inlineStr">
        <is>
          <t>L001-100045898</t>
        </is>
      </c>
      <c r="E1033" s="521" t="inlineStr">
        <is>
          <t>TI-0244255</t>
        </is>
      </c>
      <c r="F1033" s="523" t="n">
        <v>44971</v>
      </c>
      <c r="G1033" s="556" t="n">
        <v>695607</v>
      </c>
      <c r="I1033" s="521">
        <f>G1033</f>
        <v/>
      </c>
      <c r="K1033" s="521">
        <f>I1033-G1033</f>
        <v/>
      </c>
      <c r="M1033" s="522" t="inlineStr">
        <is>
          <t>TI0244255</t>
        </is>
      </c>
      <c r="N1033" s="522" t="inlineStr">
        <is>
          <t>TI0244255</t>
        </is>
      </c>
      <c r="O1033" s="521">
        <f>M1033=N1033</f>
        <v/>
      </c>
      <c r="P1033" s="521">
        <f>AND(MONTH(F1033)=MONTH(S1033), YEAR(F1033)=YEAR(S1033))</f>
        <v/>
      </c>
      <c r="Q1033" s="521">
        <f>U1033="L001-901905215"</f>
        <v/>
      </c>
      <c r="R1033" s="556">
        <f>G1033-W1033</f>
        <v/>
      </c>
      <c r="S1033" s="523" t="n">
        <v>44971</v>
      </c>
      <c r="T1033" s="522" t="inlineStr">
        <is>
          <t>TI-0244255</t>
        </is>
      </c>
      <c r="U1033" s="522" t="inlineStr">
        <is>
          <t>L001-901905215</t>
        </is>
      </c>
      <c r="V1033" s="522" t="inlineStr">
        <is>
          <t>វីអ៊ីស៊ិន (ខេមបូឌា) អ៊ិនដាសស្ទ្រី ឯ.ក</t>
        </is>
      </c>
      <c r="W1033" s="556" t="n">
        <v>695607</v>
      </c>
    </row>
    <row r="1034">
      <c r="A1034" s="521" t="n">
        <v>1026</v>
      </c>
      <c r="B1034" s="522" t="inlineStr">
        <is>
          <t>THC and DOC charge</t>
        </is>
      </c>
      <c r="C1034" s="522" t="inlineStr">
        <is>
          <t>អ៊ិចស្ពែឌីធ័រ ខេមបូឌា អិលធីឌី</t>
        </is>
      </c>
      <c r="D1034" s="522" t="inlineStr">
        <is>
          <t>L001-100045898</t>
        </is>
      </c>
      <c r="E1034" s="521" t="inlineStr">
        <is>
          <t>TI-0243924</t>
        </is>
      </c>
      <c r="F1034" s="523" t="n">
        <v>44965</v>
      </c>
      <c r="G1034" s="556" t="n">
        <v>621818</v>
      </c>
      <c r="I1034" s="521">
        <f>G1034</f>
        <v/>
      </c>
      <c r="K1034" s="521">
        <f>I1034-G1034</f>
        <v/>
      </c>
      <c r="M1034" s="522" t="inlineStr">
        <is>
          <t>TI0243924</t>
        </is>
      </c>
      <c r="N1034" s="522" t="inlineStr">
        <is>
          <t>TI0243924</t>
        </is>
      </c>
      <c r="O1034" s="521">
        <f>M1034=N1034</f>
        <v/>
      </c>
      <c r="P1034" s="521">
        <f>AND(MONTH(F1034)=MONTH(S1034), YEAR(F1034)=YEAR(S1034))</f>
        <v/>
      </c>
      <c r="Q1034" s="521">
        <f>U1034="L001-901905215"</f>
        <v/>
      </c>
      <c r="R1034" s="556">
        <f>G1034-W1034</f>
        <v/>
      </c>
      <c r="S1034" s="523" t="n">
        <v>44965</v>
      </c>
      <c r="T1034" s="522" t="inlineStr">
        <is>
          <t>TI-0243924</t>
        </is>
      </c>
      <c r="U1034" s="522" t="inlineStr">
        <is>
          <t>L001-901905215</t>
        </is>
      </c>
      <c r="V1034" s="522" t="inlineStr">
        <is>
          <t>វីអ៊ីស៊ិន (ខេមបូឌា) អ៊ិនដាសស្ទ្រី ឯ.ក</t>
        </is>
      </c>
      <c r="W1034" s="556" t="n">
        <v>621818</v>
      </c>
    </row>
    <row r="1035">
      <c r="A1035" s="521" t="n">
        <v>1027</v>
      </c>
      <c r="B1035" s="522" t="inlineStr">
        <is>
          <t>THC and DOC charge</t>
        </is>
      </c>
      <c r="C1035" s="522" t="inlineStr">
        <is>
          <t>អ៊ិចស្ពែឌីធ័រ ខេមបូឌា អិលធីឌី</t>
        </is>
      </c>
      <c r="D1035" s="522" t="inlineStr">
        <is>
          <t>L001-100045898</t>
        </is>
      </c>
      <c r="E1035" s="521" t="inlineStr">
        <is>
          <t>TI-0243923</t>
        </is>
      </c>
      <c r="F1035" s="523" t="n">
        <v>44965</v>
      </c>
      <c r="G1035" s="556" t="n">
        <v>418098</v>
      </c>
      <c r="I1035" s="521">
        <f>G1035</f>
        <v/>
      </c>
      <c r="K1035" s="521">
        <f>I1035-G1035</f>
        <v/>
      </c>
      <c r="M1035" s="522" t="inlineStr">
        <is>
          <t>TI0243923</t>
        </is>
      </c>
      <c r="N1035" s="522" t="inlineStr">
        <is>
          <t>TI0243923</t>
        </is>
      </c>
      <c r="O1035" s="521">
        <f>M1035=N1035</f>
        <v/>
      </c>
      <c r="P1035" s="521">
        <f>AND(MONTH(F1035)=MONTH(S1035), YEAR(F1035)=YEAR(S1035))</f>
        <v/>
      </c>
      <c r="Q1035" s="521">
        <f>U1035="L001-901905215"</f>
        <v/>
      </c>
      <c r="R1035" s="556">
        <f>G1035-W1035</f>
        <v/>
      </c>
      <c r="S1035" s="523" t="n">
        <v>44965</v>
      </c>
      <c r="T1035" s="522" t="inlineStr">
        <is>
          <t>TI-0243923</t>
        </is>
      </c>
      <c r="U1035" s="522" t="inlineStr">
        <is>
          <t>L001-901905215</t>
        </is>
      </c>
      <c r="V1035" s="522" t="inlineStr">
        <is>
          <t>វីអ៊ីស៊ិន (ខេមបូឌា) អ៊ិនដាសស្ទ្រី ឯ.ក</t>
        </is>
      </c>
      <c r="W1035" s="556" t="n">
        <v>418098</v>
      </c>
    </row>
    <row r="1036">
      <c r="A1036" s="521" t="n">
        <v>1028</v>
      </c>
      <c r="B1036" s="522" t="inlineStr">
        <is>
          <t>THC and DOC charge</t>
        </is>
      </c>
      <c r="C1036" s="522" t="inlineStr">
        <is>
          <t>អ៊ិចស្ពែឌីធ័រ ខេមបូឌា អិលធីឌី</t>
        </is>
      </c>
      <c r="D1036" s="522" t="inlineStr">
        <is>
          <t>L001-100045898</t>
        </is>
      </c>
      <c r="E1036" s="521" t="inlineStr">
        <is>
          <t>TI-0243922</t>
        </is>
      </c>
      <c r="F1036" s="523" t="n">
        <v>44965</v>
      </c>
      <c r="G1036" s="556" t="n">
        <v>515654</v>
      </c>
      <c r="I1036" s="521">
        <f>G1036</f>
        <v/>
      </c>
      <c r="K1036" s="521">
        <f>I1036-G1036</f>
        <v/>
      </c>
      <c r="M1036" s="522" t="inlineStr">
        <is>
          <t>TI0243922</t>
        </is>
      </c>
      <c r="N1036" s="522" t="inlineStr">
        <is>
          <t>TI0243922</t>
        </is>
      </c>
      <c r="O1036" s="521">
        <f>M1036=N1036</f>
        <v/>
      </c>
      <c r="P1036" s="521">
        <f>AND(MONTH(F1036)=MONTH(S1036), YEAR(F1036)=YEAR(S1036))</f>
        <v/>
      </c>
      <c r="Q1036" s="521">
        <f>U1036="L001-901905215"</f>
        <v/>
      </c>
      <c r="R1036" s="556">
        <f>G1036-W1036</f>
        <v/>
      </c>
      <c r="S1036" s="523" t="n">
        <v>44965</v>
      </c>
      <c r="T1036" s="522" t="inlineStr">
        <is>
          <t>TI-0243922</t>
        </is>
      </c>
      <c r="U1036" s="522" t="inlineStr">
        <is>
          <t>L001-901905215</t>
        </is>
      </c>
      <c r="V1036" s="522" t="inlineStr">
        <is>
          <t>វីអ៊ីស៊ិន (ខេមបូឌា) អ៊ិនដាសស្ទ្រី ឯ.ក</t>
        </is>
      </c>
      <c r="W1036" s="556" t="n">
        <v>515654</v>
      </c>
    </row>
    <row r="1037">
      <c r="A1037" s="521" t="n">
        <v>1029</v>
      </c>
      <c r="B1037" s="522" t="inlineStr">
        <is>
          <t>THC and DOC charge</t>
        </is>
      </c>
      <c r="C1037" s="522" t="inlineStr">
        <is>
          <t>អ៊ិចស្ពែឌីធ័រ ខេមបូឌា អិលធីឌី</t>
        </is>
      </c>
      <c r="D1037" s="522" t="inlineStr">
        <is>
          <t>L001-100045898</t>
        </is>
      </c>
      <c r="E1037" s="521" t="inlineStr">
        <is>
          <t>TI-0243921</t>
        </is>
      </c>
      <c r="F1037" s="523" t="n">
        <v>44965</v>
      </c>
      <c r="G1037" s="556" t="n">
        <v>144404</v>
      </c>
      <c r="I1037" s="521">
        <f>G1037</f>
        <v/>
      </c>
      <c r="K1037" s="521">
        <f>I1037-G1037</f>
        <v/>
      </c>
      <c r="M1037" s="522" t="inlineStr">
        <is>
          <t>TI0243921</t>
        </is>
      </c>
      <c r="N1037" s="522" t="inlineStr">
        <is>
          <t>TI0243921</t>
        </is>
      </c>
      <c r="O1037" s="521">
        <f>M1037=N1037</f>
        <v/>
      </c>
      <c r="P1037" s="521">
        <f>AND(MONTH(F1037)=MONTH(S1037), YEAR(F1037)=YEAR(S1037))</f>
        <v/>
      </c>
      <c r="Q1037" s="521">
        <f>U1037="L001-901905215"</f>
        <v/>
      </c>
      <c r="R1037" s="556">
        <f>G1037-W1037</f>
        <v/>
      </c>
      <c r="S1037" s="523" t="n">
        <v>44965</v>
      </c>
      <c r="T1037" s="522" t="inlineStr">
        <is>
          <t>TI-0243921</t>
        </is>
      </c>
      <c r="U1037" s="522" t="inlineStr">
        <is>
          <t>L001-901905215</t>
        </is>
      </c>
      <c r="V1037" s="522" t="inlineStr">
        <is>
          <t>វីអ៊ីស៊ិន (ខេមបូឌា) អ៊ិនដាសស្ទ្រី ឯ.ក</t>
        </is>
      </c>
      <c r="W1037" s="556" t="n">
        <v>144408</v>
      </c>
    </row>
    <row r="1038">
      <c r="A1038" s="521" t="n">
        <v>1030</v>
      </c>
      <c r="B1038" s="522" t="inlineStr">
        <is>
          <t>THC and DOC charge</t>
        </is>
      </c>
      <c r="C1038" s="522" t="inlineStr">
        <is>
          <t>អ៊ិចស្ពែឌីធ័រ ខេមបូឌា អិលធីឌី</t>
        </is>
      </c>
      <c r="D1038" s="522" t="inlineStr">
        <is>
          <t>L001-100045898</t>
        </is>
      </c>
      <c r="E1038" s="521" t="inlineStr">
        <is>
          <t>100045898</t>
        </is>
      </c>
      <c r="F1038" s="523" t="n">
        <v>44965</v>
      </c>
      <c r="G1038" s="556" t="n">
        <v>457448</v>
      </c>
      <c r="I1038" s="521">
        <f>G1038</f>
        <v/>
      </c>
      <c r="K1038" s="521">
        <f>I1038-G1038</f>
        <v/>
      </c>
      <c r="M1038" s="522" t="inlineStr">
        <is>
          <t>100045898</t>
        </is>
      </c>
      <c r="N1038" s="522" t="inlineStr"/>
      <c r="O1038" s="521">
        <f>M1038=N1038</f>
        <v/>
      </c>
      <c r="P1038" s="521">
        <f>AND(MONTH(F1038)=MONTH(S1038), YEAR(F1038)=YEAR(S1038))</f>
        <v/>
      </c>
      <c r="Q1038" s="521">
        <f>U1038="L001-901905215"</f>
        <v/>
      </c>
      <c r="R1038" s="556">
        <f>G1038-W1038</f>
        <v/>
      </c>
      <c r="S1038" s="521" t="n"/>
      <c r="T1038" s="522" t="n"/>
      <c r="U1038" s="522" t="n"/>
      <c r="V1038" s="522" t="n"/>
      <c r="W1038" s="521" t="n"/>
    </row>
    <row r="1039">
      <c r="A1039" s="521" t="n">
        <v>1031</v>
      </c>
      <c r="B1039" s="522" t="inlineStr">
        <is>
          <t>THC and DOC charge</t>
        </is>
      </c>
      <c r="C1039" s="522" t="inlineStr">
        <is>
          <t>អ៊ិចស្ពែឌីធ័រ ខេមបូឌា អិលធីឌី</t>
        </is>
      </c>
      <c r="D1039" s="522" t="inlineStr">
        <is>
          <t>L001-100045898</t>
        </is>
      </c>
      <c r="E1039" s="521" t="inlineStr">
        <is>
          <t>TI-0243897</t>
        </is>
      </c>
      <c r="F1039" s="523" t="n">
        <v>44965</v>
      </c>
      <c r="G1039" s="556" t="n">
        <v>356561</v>
      </c>
      <c r="I1039" s="521">
        <f>G1039</f>
        <v/>
      </c>
      <c r="K1039" s="521">
        <f>I1039-G1039</f>
        <v/>
      </c>
      <c r="M1039" s="522" t="inlineStr">
        <is>
          <t>TI0243897</t>
        </is>
      </c>
      <c r="N1039" s="522" t="inlineStr">
        <is>
          <t>TI0243897</t>
        </is>
      </c>
      <c r="O1039" s="521">
        <f>M1039=N1039</f>
        <v/>
      </c>
      <c r="P1039" s="521">
        <f>AND(MONTH(F1039)=MONTH(S1039), YEAR(F1039)=YEAR(S1039))</f>
        <v/>
      </c>
      <c r="Q1039" s="521">
        <f>U1039="L001-901905215"</f>
        <v/>
      </c>
      <c r="R1039" s="556">
        <f>G1039-W1039</f>
        <v/>
      </c>
      <c r="S1039" s="523" t="n">
        <v>44965</v>
      </c>
      <c r="T1039" s="522" t="inlineStr">
        <is>
          <t>TI-0243897</t>
        </is>
      </c>
      <c r="U1039" s="522" t="inlineStr">
        <is>
          <t>L001-901905215</t>
        </is>
      </c>
      <c r="V1039" s="522" t="inlineStr">
        <is>
          <t>វីអ៊ីស៊ិន (ខេមបូឌា) អ៊ិនដាសស្ទ្រី ឯ.ក</t>
        </is>
      </c>
      <c r="W1039" s="556" t="n">
        <v>356572</v>
      </c>
    </row>
    <row r="1040">
      <c r="A1040" s="521" t="n">
        <v>1032</v>
      </c>
      <c r="B1040" s="522" t="inlineStr">
        <is>
          <t>THC and DOC charge</t>
        </is>
      </c>
      <c r="C1040" s="522" t="inlineStr">
        <is>
          <t>អ៊ិចស្ពែឌីធ័រ ខេមបូឌា អិលធីឌី</t>
        </is>
      </c>
      <c r="D1040" s="522" t="inlineStr">
        <is>
          <t>L001-100045898</t>
        </is>
      </c>
      <c r="E1040" s="521" t="inlineStr">
        <is>
          <t>TI-0243893</t>
        </is>
      </c>
      <c r="F1040" s="523" t="n">
        <v>44965</v>
      </c>
      <c r="G1040" s="556" t="n">
        <v>196111</v>
      </c>
      <c r="I1040" s="521">
        <f>G1040</f>
        <v/>
      </c>
      <c r="K1040" s="521">
        <f>I1040-G1040</f>
        <v/>
      </c>
      <c r="M1040" s="522" t="inlineStr">
        <is>
          <t>TI0243893</t>
        </is>
      </c>
      <c r="N1040" s="522" t="inlineStr">
        <is>
          <t>TI0243893</t>
        </is>
      </c>
      <c r="O1040" s="521">
        <f>M1040=N1040</f>
        <v/>
      </c>
      <c r="P1040" s="521">
        <f>AND(MONTH(F1040)=MONTH(S1040), YEAR(F1040)=YEAR(S1040))</f>
        <v/>
      </c>
      <c r="Q1040" s="521">
        <f>U1040="L001-901905215"</f>
        <v/>
      </c>
      <c r="R1040" s="556">
        <f>G1040-W1040</f>
        <v/>
      </c>
      <c r="S1040" s="523" t="n">
        <v>44965</v>
      </c>
      <c r="T1040" s="522" t="inlineStr">
        <is>
          <t>TI-0243893</t>
        </is>
      </c>
      <c r="U1040" s="522" t="inlineStr">
        <is>
          <t>L001-901905215</t>
        </is>
      </c>
      <c r="V1040" s="522" t="inlineStr">
        <is>
          <t>វីអ៊ីស៊ិន (ខេមបូឌា) អ៊ិនដាសស្ទ្រី ឯ.ក</t>
        </is>
      </c>
      <c r="W1040" s="556" t="n">
        <v>196096</v>
      </c>
    </row>
    <row r="1041">
      <c r="A1041" s="521" t="n">
        <v>1033</v>
      </c>
      <c r="B1041" s="522" t="inlineStr">
        <is>
          <t>Export Adminstration Fee</t>
        </is>
      </c>
      <c r="C1041" s="522" t="inlineStr">
        <is>
          <t>ឆាយ ដា ឡូយីស្ទីក</t>
        </is>
      </c>
      <c r="D1041" s="522" t="inlineStr">
        <is>
          <t>L001-100063098</t>
        </is>
      </c>
      <c r="E1041" s="521" t="inlineStr">
        <is>
          <t>2302001973</t>
        </is>
      </c>
      <c r="F1041" s="523" t="n">
        <v>44984</v>
      </c>
      <c r="G1041" s="556" t="n">
        <v>6063</v>
      </c>
      <c r="I1041" s="521">
        <f>G1041</f>
        <v/>
      </c>
      <c r="K1041" s="521">
        <f>I1041-G1041</f>
        <v/>
      </c>
      <c r="M1041" s="522" t="inlineStr">
        <is>
          <t>2302001973</t>
        </is>
      </c>
      <c r="N1041" s="522" t="inlineStr">
        <is>
          <t>2302001973</t>
        </is>
      </c>
      <c r="O1041" s="521">
        <f>M1041=N1041</f>
        <v/>
      </c>
      <c r="P1041" s="521">
        <f>AND(MONTH(F1041)=MONTH(S1041), YEAR(F1041)=YEAR(S1041))</f>
        <v/>
      </c>
      <c r="Q1041" s="521">
        <f>U1041="L001-901905215"</f>
        <v/>
      </c>
      <c r="R1041" s="556">
        <f>G1041-W1041</f>
        <v/>
      </c>
      <c r="S1041" s="523" t="n">
        <v>44984</v>
      </c>
      <c r="T1041" s="522" t="inlineStr">
        <is>
          <t>2302001973</t>
        </is>
      </c>
      <c r="U1041" s="522" t="inlineStr">
        <is>
          <t>L001-901905215</t>
        </is>
      </c>
      <c r="V1041" s="522" t="inlineStr">
        <is>
          <t>វីអ៊ីស៊ិន (ខេមបូឌា) អ៊ិនដាសស្ទ្រី ឯ.ក</t>
        </is>
      </c>
      <c r="W1041" s="556" t="n">
        <v>6063</v>
      </c>
    </row>
    <row r="1042">
      <c r="A1042" s="521" t="n">
        <v>1034</v>
      </c>
      <c r="B1042" s="522" t="inlineStr">
        <is>
          <t>Export Adminstration Fee</t>
        </is>
      </c>
      <c r="C1042" s="522" t="inlineStr">
        <is>
          <t>ឆាយ ដា ឡូយីស្ទីក</t>
        </is>
      </c>
      <c r="D1042" s="522" t="inlineStr">
        <is>
          <t>L001-100063098</t>
        </is>
      </c>
      <c r="E1042" s="521" t="inlineStr">
        <is>
          <t>2302001953</t>
        </is>
      </c>
      <c r="F1042" s="523" t="n">
        <v>44984</v>
      </c>
      <c r="G1042" s="556" t="n">
        <v>88520</v>
      </c>
      <c r="I1042" s="521">
        <f>G1042</f>
        <v/>
      </c>
      <c r="K1042" s="521">
        <f>I1042-G1042</f>
        <v/>
      </c>
      <c r="M1042" s="522" t="inlineStr">
        <is>
          <t>2302001953</t>
        </is>
      </c>
      <c r="N1042" s="522" t="inlineStr">
        <is>
          <t>2302001953</t>
        </is>
      </c>
      <c r="O1042" s="521">
        <f>M1042=N1042</f>
        <v/>
      </c>
      <c r="P1042" s="521">
        <f>AND(MONTH(F1042)=MONTH(S1042), YEAR(F1042)=YEAR(S1042))</f>
        <v/>
      </c>
      <c r="Q1042" s="521">
        <f>U1042="L001-901905215"</f>
        <v/>
      </c>
      <c r="R1042" s="556">
        <f>G1042-W1042</f>
        <v/>
      </c>
      <c r="S1042" s="523" t="n">
        <v>44984</v>
      </c>
      <c r="T1042" s="522" t="inlineStr">
        <is>
          <t>2302001953</t>
        </is>
      </c>
      <c r="U1042" s="522" t="inlineStr">
        <is>
          <t>L001-901905215</t>
        </is>
      </c>
      <c r="V1042" s="522" t="inlineStr">
        <is>
          <t>វីអ៊ីស៊ិន (ខេមបូឌា) អ៊ិនដាសស្ទ្រី ឯ.ក</t>
        </is>
      </c>
      <c r="W1042" s="556" t="n">
        <v>88520</v>
      </c>
    </row>
    <row r="1043">
      <c r="A1043" s="521" t="n">
        <v>1035</v>
      </c>
      <c r="B1043" s="522" t="inlineStr">
        <is>
          <t>Export Adminstration Fee</t>
        </is>
      </c>
      <c r="C1043" s="522" t="inlineStr">
        <is>
          <t>ឆាយ ដា ឡូយីស្ទីក</t>
        </is>
      </c>
      <c r="D1043" s="522" t="inlineStr">
        <is>
          <t>L001-100063098</t>
        </is>
      </c>
      <c r="E1043" s="521" t="inlineStr">
        <is>
          <t>2302001952</t>
        </is>
      </c>
      <c r="F1043" s="523" t="n">
        <v>44984</v>
      </c>
      <c r="G1043" s="556" t="n">
        <v>76394</v>
      </c>
      <c r="I1043" s="521">
        <f>G1043</f>
        <v/>
      </c>
      <c r="K1043" s="521">
        <f>I1043-G1043</f>
        <v/>
      </c>
      <c r="M1043" s="522" t="inlineStr">
        <is>
          <t>2302001952</t>
        </is>
      </c>
      <c r="N1043" s="522" t="inlineStr">
        <is>
          <t>2302001952</t>
        </is>
      </c>
      <c r="O1043" s="521">
        <f>M1043=N1043</f>
        <v/>
      </c>
      <c r="P1043" s="521">
        <f>AND(MONTH(F1043)=MONTH(S1043), YEAR(F1043)=YEAR(S1043))</f>
        <v/>
      </c>
      <c r="Q1043" s="521">
        <f>U1043="L001-901905215"</f>
        <v/>
      </c>
      <c r="R1043" s="556">
        <f>G1043-W1043</f>
        <v/>
      </c>
      <c r="S1043" s="523" t="n">
        <v>44984</v>
      </c>
      <c r="T1043" s="522" t="inlineStr">
        <is>
          <t>2302001952</t>
        </is>
      </c>
      <c r="U1043" s="522" t="inlineStr">
        <is>
          <t>L001-901905215</t>
        </is>
      </c>
      <c r="V1043" s="522" t="inlineStr">
        <is>
          <t>វីអ៊ីស៊ិន (ខេមបូឌា) អ៊ិនដាសស្ទ្រី ឯ.ក</t>
        </is>
      </c>
      <c r="W1043" s="556" t="n">
        <v>76394</v>
      </c>
    </row>
    <row r="1044">
      <c r="A1044" s="521" t="n">
        <v>1036</v>
      </c>
      <c r="B1044" s="522" t="inlineStr">
        <is>
          <t>Export Adminstration Fee</t>
        </is>
      </c>
      <c r="C1044" s="522" t="inlineStr">
        <is>
          <t>ឆាយ ដា ឡូយីស្ទីក</t>
        </is>
      </c>
      <c r="D1044" s="522" t="inlineStr">
        <is>
          <t>L001-100063098</t>
        </is>
      </c>
      <c r="E1044" s="521" t="inlineStr">
        <is>
          <t>2302001937</t>
        </is>
      </c>
      <c r="F1044" s="523" t="n">
        <v>44984</v>
      </c>
      <c r="G1044" s="556" t="n">
        <v>76394</v>
      </c>
      <c r="I1044" s="521">
        <f>G1044</f>
        <v/>
      </c>
      <c r="K1044" s="521">
        <f>I1044-G1044</f>
        <v/>
      </c>
      <c r="M1044" s="522" t="inlineStr">
        <is>
          <t>2302001937</t>
        </is>
      </c>
      <c r="N1044" s="522" t="inlineStr">
        <is>
          <t>2302001937</t>
        </is>
      </c>
      <c r="O1044" s="521">
        <f>M1044=N1044</f>
        <v/>
      </c>
      <c r="P1044" s="521">
        <f>AND(MONTH(F1044)=MONTH(S1044), YEAR(F1044)=YEAR(S1044))</f>
        <v/>
      </c>
      <c r="Q1044" s="521">
        <f>U1044="L001-901905215"</f>
        <v/>
      </c>
      <c r="R1044" s="556">
        <f>G1044-W1044</f>
        <v/>
      </c>
      <c r="S1044" s="523" t="n">
        <v>44984</v>
      </c>
      <c r="T1044" s="522" t="inlineStr">
        <is>
          <t>2302001937</t>
        </is>
      </c>
      <c r="U1044" s="522" t="inlineStr">
        <is>
          <t>L001-901905215</t>
        </is>
      </c>
      <c r="V1044" s="522" t="inlineStr">
        <is>
          <t>វីអ៊ីស៊ិន (ខេមបូឌា) អ៊ិនដាសស្ទ្រី ឯ.ក</t>
        </is>
      </c>
      <c r="W1044" s="556" t="n">
        <v>76394</v>
      </c>
    </row>
    <row r="1045">
      <c r="A1045" s="521" t="n">
        <v>1037</v>
      </c>
      <c r="B1045" s="522" t="inlineStr">
        <is>
          <t>Export Adminstration Fee</t>
        </is>
      </c>
      <c r="C1045" s="522" t="inlineStr">
        <is>
          <t>ឆាយ ដា ឡូយីស្ទីក</t>
        </is>
      </c>
      <c r="D1045" s="522" t="inlineStr">
        <is>
          <t>L001-100063098</t>
        </is>
      </c>
      <c r="E1045" s="521" t="inlineStr">
        <is>
          <t>2302001931</t>
        </is>
      </c>
      <c r="F1045" s="523" t="n">
        <v>44984</v>
      </c>
      <c r="G1045" s="556" t="n">
        <v>76394</v>
      </c>
      <c r="I1045" s="521">
        <f>G1045</f>
        <v/>
      </c>
      <c r="K1045" s="521">
        <f>I1045-G1045</f>
        <v/>
      </c>
      <c r="M1045" s="522" t="inlineStr">
        <is>
          <t>2302001931</t>
        </is>
      </c>
      <c r="N1045" s="522" t="inlineStr">
        <is>
          <t>2302001931</t>
        </is>
      </c>
      <c r="O1045" s="521">
        <f>M1045=N1045</f>
        <v/>
      </c>
      <c r="P1045" s="521">
        <f>AND(MONTH(F1045)=MONTH(S1045), YEAR(F1045)=YEAR(S1045))</f>
        <v/>
      </c>
      <c r="Q1045" s="521">
        <f>U1045="L001-901905215"</f>
        <v/>
      </c>
      <c r="R1045" s="556">
        <f>G1045-W1045</f>
        <v/>
      </c>
      <c r="S1045" s="523" t="n">
        <v>44984</v>
      </c>
      <c r="T1045" s="522" t="inlineStr">
        <is>
          <t>2302001931</t>
        </is>
      </c>
      <c r="U1045" s="522" t="inlineStr">
        <is>
          <t>L001-901905215</t>
        </is>
      </c>
      <c r="V1045" s="522" t="inlineStr">
        <is>
          <t>វីអ៊ីស៊ិន (ខេមបូឌា) អ៊ិនដាសស្ទ្រី ឯ.ក</t>
        </is>
      </c>
      <c r="W1045" s="556" t="n">
        <v>76394</v>
      </c>
    </row>
    <row r="1046">
      <c r="A1046" s="521" t="n">
        <v>1038</v>
      </c>
      <c r="B1046" s="522" t="inlineStr">
        <is>
          <t>Export Adminstration Fee</t>
        </is>
      </c>
      <c r="C1046" s="522" t="inlineStr">
        <is>
          <t>ឆាយ ដា ឡូយីស្ទីក</t>
        </is>
      </c>
      <c r="D1046" s="522" t="inlineStr">
        <is>
          <t>L001-100063098</t>
        </is>
      </c>
      <c r="E1046" s="521" t="inlineStr">
        <is>
          <t>2302001748</t>
        </is>
      </c>
      <c r="F1046" s="523" t="n">
        <v>44977</v>
      </c>
      <c r="G1046" s="556" t="n">
        <v>18351</v>
      </c>
      <c r="I1046" s="521">
        <f>G1046</f>
        <v/>
      </c>
      <c r="K1046" s="521">
        <f>I1046-G1046</f>
        <v/>
      </c>
      <c r="M1046" s="522" t="inlineStr">
        <is>
          <t>2302001748</t>
        </is>
      </c>
      <c r="N1046" s="522" t="inlineStr">
        <is>
          <t>2302001748</t>
        </is>
      </c>
      <c r="O1046" s="521">
        <f>M1046=N1046</f>
        <v/>
      </c>
      <c r="P1046" s="521">
        <f>AND(MONTH(F1046)=MONTH(S1046), YEAR(F1046)=YEAR(S1046))</f>
        <v/>
      </c>
      <c r="Q1046" s="521">
        <f>U1046="L001-901905215"</f>
        <v/>
      </c>
      <c r="R1046" s="556">
        <f>G1046-W1046</f>
        <v/>
      </c>
      <c r="S1046" s="523" t="n">
        <v>44977</v>
      </c>
      <c r="T1046" s="522" t="inlineStr">
        <is>
          <t>2302001748</t>
        </is>
      </c>
      <c r="U1046" s="522" t="inlineStr">
        <is>
          <t>L001-901905215</t>
        </is>
      </c>
      <c r="V1046" s="522" t="inlineStr">
        <is>
          <t>វីអ៊ីស៊ិន (ខេមបូឌា) អ៊ិនដាសស្ទ្រី ឯ.ក</t>
        </is>
      </c>
      <c r="W1046" s="556" t="n">
        <v>18351</v>
      </c>
    </row>
    <row r="1047">
      <c r="A1047" s="521" t="n">
        <v>1039</v>
      </c>
      <c r="B1047" s="522" t="inlineStr">
        <is>
          <t>Export Adminstration Fee</t>
        </is>
      </c>
      <c r="C1047" s="522" t="inlineStr">
        <is>
          <t>ឆាយ ដា ឡូយីស្ទីក</t>
        </is>
      </c>
      <c r="D1047" s="522" t="inlineStr">
        <is>
          <t>L001-100063098</t>
        </is>
      </c>
      <c r="E1047" s="521" t="inlineStr">
        <is>
          <t>2302001335</t>
        </is>
      </c>
      <c r="F1047" s="523" t="n">
        <v>44963</v>
      </c>
      <c r="G1047" s="556" t="n">
        <v>12324</v>
      </c>
      <c r="I1047" s="521">
        <f>G1047</f>
        <v/>
      </c>
      <c r="K1047" s="521">
        <f>I1047-G1047</f>
        <v/>
      </c>
      <c r="M1047" s="522" t="inlineStr">
        <is>
          <t>2302001335</t>
        </is>
      </c>
      <c r="N1047" s="522" t="inlineStr">
        <is>
          <t>2302001335</t>
        </is>
      </c>
      <c r="O1047" s="521">
        <f>M1047=N1047</f>
        <v/>
      </c>
      <c r="P1047" s="521">
        <f>AND(MONTH(F1047)=MONTH(S1047), YEAR(F1047)=YEAR(S1047))</f>
        <v/>
      </c>
      <c r="Q1047" s="521">
        <f>U1047="L001-901905215"</f>
        <v/>
      </c>
      <c r="R1047" s="556">
        <f>G1047-W1047</f>
        <v/>
      </c>
      <c r="S1047" s="523" t="n">
        <v>44963</v>
      </c>
      <c r="T1047" s="522" t="inlineStr">
        <is>
          <t>2302001335</t>
        </is>
      </c>
      <c r="U1047" s="522" t="inlineStr">
        <is>
          <t>L001-901905215</t>
        </is>
      </c>
      <c r="V1047" s="522" t="inlineStr">
        <is>
          <t>វីអ៊ីស៊ិន (ខេមបូឌា) អ៊ិនដាសស្ទ្រី ឯ.ក</t>
        </is>
      </c>
      <c r="W1047" s="556" t="n">
        <v>12324</v>
      </c>
    </row>
    <row r="1048">
      <c r="A1048" s="521" t="n">
        <v>1040</v>
      </c>
      <c r="B1048" s="522" t="inlineStr">
        <is>
          <t>Clearance &amp; Trucking Fee</t>
        </is>
      </c>
      <c r="C1048" s="522" t="inlineStr">
        <is>
          <t>56ប៊ី-លីង សឹបផ្លាយ ឆេន មេនេចម៉ិន ឯ.ក</t>
        </is>
      </c>
      <c r="D1048" s="522" t="inlineStr">
        <is>
          <t>K004-902004795</t>
        </is>
      </c>
      <c r="E1048" s="521" t="inlineStr">
        <is>
          <t>TI2023-0173</t>
        </is>
      </c>
      <c r="F1048" s="523" t="n">
        <v>44985</v>
      </c>
      <c r="G1048" s="556" t="n">
        <v>481117</v>
      </c>
      <c r="I1048" s="521">
        <f>G1048</f>
        <v/>
      </c>
      <c r="K1048" s="521">
        <f>I1048-G1048</f>
        <v/>
      </c>
      <c r="M1048" s="522" t="inlineStr">
        <is>
          <t>TI20230173</t>
        </is>
      </c>
      <c r="N1048" s="522" t="inlineStr">
        <is>
          <t>TI20230173</t>
        </is>
      </c>
      <c r="O1048" s="521">
        <f>M1048=N1048</f>
        <v/>
      </c>
      <c r="P1048" s="521">
        <f>AND(MONTH(F1048)=MONTH(S1048), YEAR(F1048)=YEAR(S1048))</f>
        <v/>
      </c>
      <c r="Q1048" s="521">
        <f>U1048="L001-901905215"</f>
        <v/>
      </c>
      <c r="R1048" s="556">
        <f>G1048-W1048</f>
        <v/>
      </c>
      <c r="S1048" s="523" t="n">
        <v>44985</v>
      </c>
      <c r="T1048" s="522" t="inlineStr">
        <is>
          <t>TI2023-0173</t>
        </is>
      </c>
      <c r="U1048" s="522" t="inlineStr">
        <is>
          <t>L001-901905215</t>
        </is>
      </c>
      <c r="V1048" s="522" t="inlineStr">
        <is>
          <t>វីអ៊ីស៊ិន (ខេមបូឌា) អ៊ិនដាសស្ទ្រី ឯ.ក</t>
        </is>
      </c>
      <c r="W1048" s="556" t="n">
        <v>481117</v>
      </c>
    </row>
    <row r="1049">
      <c r="A1049" s="521" t="n">
        <v>1041</v>
      </c>
      <c r="B1049" s="522" t="inlineStr">
        <is>
          <t>Clearance &amp; Trucking Fee</t>
        </is>
      </c>
      <c r="C1049" s="522" t="inlineStr">
        <is>
          <t>56ប៊ី-លីង សឹបផ្លាយ ឆេន មេនេចម៉ិន ឯ.ក</t>
        </is>
      </c>
      <c r="D1049" s="522" t="inlineStr">
        <is>
          <t>K004-902004795</t>
        </is>
      </c>
      <c r="E1049" s="521" t="inlineStr">
        <is>
          <t>TI2023-0172</t>
        </is>
      </c>
      <c r="F1049" s="523" t="n">
        <v>44985</v>
      </c>
      <c r="G1049" s="556" t="n">
        <v>693375</v>
      </c>
      <c r="I1049" s="521">
        <f>G1049</f>
        <v/>
      </c>
      <c r="K1049" s="521">
        <f>I1049-G1049</f>
        <v/>
      </c>
      <c r="M1049" s="522" t="inlineStr">
        <is>
          <t>TI20230172</t>
        </is>
      </c>
      <c r="N1049" s="522" t="inlineStr">
        <is>
          <t>TI20230172</t>
        </is>
      </c>
      <c r="O1049" s="521">
        <f>M1049=N1049</f>
        <v/>
      </c>
      <c r="P1049" s="521">
        <f>AND(MONTH(F1049)=MONTH(S1049), YEAR(F1049)=YEAR(S1049))</f>
        <v/>
      </c>
      <c r="Q1049" s="521">
        <f>U1049="L001-901905215"</f>
        <v/>
      </c>
      <c r="R1049" s="556">
        <f>G1049-W1049</f>
        <v/>
      </c>
      <c r="S1049" s="523" t="n">
        <v>44985</v>
      </c>
      <c r="T1049" s="522" t="inlineStr">
        <is>
          <t>TI2023-0172</t>
        </is>
      </c>
      <c r="U1049" s="522" t="inlineStr">
        <is>
          <t>L001-901905215</t>
        </is>
      </c>
      <c r="V1049" s="522" t="inlineStr">
        <is>
          <t>វីអ៊ីស៊ិន (ខេមបូឌា) អ៊ិនដាសស្ទ្រី ឯ.ក</t>
        </is>
      </c>
      <c r="W1049" s="556" t="n">
        <v>693375</v>
      </c>
    </row>
    <row r="1050">
      <c r="A1050" s="521" t="n">
        <v>1042</v>
      </c>
      <c r="B1050" s="522" t="inlineStr">
        <is>
          <t>Clearance &amp; Trucking Fee</t>
        </is>
      </c>
      <c r="C1050" s="522" t="inlineStr">
        <is>
          <t>56ប៊ី-លីង សឹបផ្លាយ ឆេន មេនេចម៉ិន ឯ.ក</t>
        </is>
      </c>
      <c r="D1050" s="522" t="inlineStr">
        <is>
          <t>K004-902004795</t>
        </is>
      </c>
      <c r="E1050" s="521" t="inlineStr">
        <is>
          <t>TI2023-0171</t>
        </is>
      </c>
      <c r="F1050" s="523" t="n">
        <v>44985</v>
      </c>
      <c r="G1050" s="556" t="n">
        <v>268860</v>
      </c>
      <c r="I1050" s="521">
        <f>G1050</f>
        <v/>
      </c>
      <c r="K1050" s="521">
        <f>I1050-G1050</f>
        <v/>
      </c>
      <c r="M1050" s="522" t="inlineStr">
        <is>
          <t>TI20230171</t>
        </is>
      </c>
      <c r="N1050" s="522" t="inlineStr">
        <is>
          <t>TI20230171</t>
        </is>
      </c>
      <c r="O1050" s="521">
        <f>M1050=N1050</f>
        <v/>
      </c>
      <c r="P1050" s="521">
        <f>AND(MONTH(F1050)=MONTH(S1050), YEAR(F1050)=YEAR(S1050))</f>
        <v/>
      </c>
      <c r="Q1050" s="521">
        <f>U1050="L001-901905215"</f>
        <v/>
      </c>
      <c r="R1050" s="556">
        <f>G1050-W1050</f>
        <v/>
      </c>
      <c r="S1050" s="523" t="n">
        <v>44985</v>
      </c>
      <c r="T1050" s="522" t="inlineStr">
        <is>
          <t>TI2023-0171</t>
        </is>
      </c>
      <c r="U1050" s="522" t="inlineStr">
        <is>
          <t>L001-901905215</t>
        </is>
      </c>
      <c r="V1050" s="522" t="inlineStr">
        <is>
          <t>វីអ៊ីស៊ិន (ខេមបូឌា) អ៊ិនដាសស្ទ្រី ឯ.ក</t>
        </is>
      </c>
      <c r="W1050" s="556" t="n">
        <v>268860</v>
      </c>
    </row>
    <row r="1051">
      <c r="A1051" s="521" t="n">
        <v>1043</v>
      </c>
      <c r="B1051" s="522" t="inlineStr">
        <is>
          <t>Clearance &amp; Trucking Fee</t>
        </is>
      </c>
      <c r="C1051" s="522" t="inlineStr">
        <is>
          <t>56ប៊ី-លីង សឹបផ្លាយ ឆេន មេនេចម៉ិន ឯ.ក</t>
        </is>
      </c>
      <c r="D1051" s="522" t="inlineStr">
        <is>
          <t>K004-902004795</t>
        </is>
      </c>
      <c r="E1051" s="521" t="inlineStr">
        <is>
          <t>TI2023-0170</t>
        </is>
      </c>
      <c r="F1051" s="523" t="n">
        <v>44985</v>
      </c>
      <c r="G1051" s="556" t="n">
        <v>169806</v>
      </c>
      <c r="I1051" s="521">
        <f>G1051</f>
        <v/>
      </c>
      <c r="K1051" s="521">
        <f>I1051-G1051</f>
        <v/>
      </c>
      <c r="M1051" s="522" t="inlineStr">
        <is>
          <t>TI20230170</t>
        </is>
      </c>
      <c r="N1051" s="522" t="inlineStr">
        <is>
          <t>TI20230170</t>
        </is>
      </c>
      <c r="O1051" s="521">
        <f>M1051=N1051</f>
        <v/>
      </c>
      <c r="P1051" s="521">
        <f>AND(MONTH(F1051)=MONTH(S1051), YEAR(F1051)=YEAR(S1051))</f>
        <v/>
      </c>
      <c r="Q1051" s="521">
        <f>U1051="L001-901905215"</f>
        <v/>
      </c>
      <c r="R1051" s="556">
        <f>G1051-W1051</f>
        <v/>
      </c>
      <c r="S1051" s="523" t="n">
        <v>44985</v>
      </c>
      <c r="T1051" s="522" t="inlineStr">
        <is>
          <t>TI2023-0170</t>
        </is>
      </c>
      <c r="U1051" s="522" t="inlineStr">
        <is>
          <t>L001-901905215</t>
        </is>
      </c>
      <c r="V1051" s="522" t="inlineStr">
        <is>
          <t>វីអ៊ីស៊ិន (ខេមបូឌា) អ៊ិនដាសស្ទ្រី ឯ.ក</t>
        </is>
      </c>
      <c r="W1051" s="556" t="n">
        <v>169806</v>
      </c>
    </row>
    <row r="1052">
      <c r="A1052" s="521" t="n">
        <v>1044</v>
      </c>
      <c r="B1052" s="522" t="inlineStr">
        <is>
          <t>Clearance &amp; Trucking Fee</t>
        </is>
      </c>
      <c r="C1052" s="522" t="inlineStr">
        <is>
          <t>56ប៊ី-លីង សឹបផ្លាយ ឆេន មេនេចម៉ិន ឯ.ក</t>
        </is>
      </c>
      <c r="D1052" s="522" t="inlineStr">
        <is>
          <t>K004-902004795</t>
        </is>
      </c>
      <c r="E1052" s="521" t="inlineStr">
        <is>
          <t>TI2023-0169</t>
        </is>
      </c>
      <c r="F1052" s="523" t="n">
        <v>44985</v>
      </c>
      <c r="G1052" s="556" t="n">
        <v>169806</v>
      </c>
      <c r="I1052" s="521">
        <f>G1052</f>
        <v/>
      </c>
      <c r="K1052" s="521">
        <f>I1052-G1052</f>
        <v/>
      </c>
      <c r="M1052" s="522" t="inlineStr">
        <is>
          <t>TI20230169</t>
        </is>
      </c>
      <c r="N1052" s="522" t="inlineStr">
        <is>
          <t>TI20230169</t>
        </is>
      </c>
      <c r="O1052" s="521">
        <f>M1052=N1052</f>
        <v/>
      </c>
      <c r="P1052" s="521">
        <f>AND(MONTH(F1052)=MONTH(S1052), YEAR(F1052)=YEAR(S1052))</f>
        <v/>
      </c>
      <c r="Q1052" s="521">
        <f>U1052="L001-901905215"</f>
        <v/>
      </c>
      <c r="R1052" s="556">
        <f>G1052-W1052</f>
        <v/>
      </c>
      <c r="S1052" s="523" t="n">
        <v>44985</v>
      </c>
      <c r="T1052" s="522" t="inlineStr">
        <is>
          <t>TI2023-0169</t>
        </is>
      </c>
      <c r="U1052" s="522" t="inlineStr">
        <is>
          <t>L001-901905215</t>
        </is>
      </c>
      <c r="V1052" s="522" t="inlineStr">
        <is>
          <t>វីអ៊ីស៊ិន (ខេមបូឌា) អ៊ិនដាសស្ទ្រី ឯ.ក</t>
        </is>
      </c>
      <c r="W1052" s="556" t="n">
        <v>169806</v>
      </c>
    </row>
    <row r="1053">
      <c r="A1053" s="521" t="n">
        <v>1045</v>
      </c>
      <c r="B1053" s="522" t="inlineStr">
        <is>
          <t>Clearance &amp; Trucking Fee</t>
        </is>
      </c>
      <c r="C1053" s="522" t="inlineStr">
        <is>
          <t>56ប៊ី-លីង សឹបផ្លាយ ឆេន មេនេចម៉ិន ឯ.ក</t>
        </is>
      </c>
      <c r="D1053" s="522" t="inlineStr">
        <is>
          <t>K004-902004795</t>
        </is>
      </c>
      <c r="E1053" s="521" t="inlineStr">
        <is>
          <t>TI2023-0168</t>
        </is>
      </c>
      <c r="F1053" s="523" t="n">
        <v>44985</v>
      </c>
      <c r="G1053" s="556" t="n">
        <v>169806</v>
      </c>
      <c r="I1053" s="521">
        <f>G1053</f>
        <v/>
      </c>
      <c r="K1053" s="521">
        <f>I1053-G1053</f>
        <v/>
      </c>
      <c r="M1053" s="522" t="inlineStr">
        <is>
          <t>TI20230168</t>
        </is>
      </c>
      <c r="N1053" s="522" t="inlineStr">
        <is>
          <t>TI20230168</t>
        </is>
      </c>
      <c r="O1053" s="521">
        <f>M1053=N1053</f>
        <v/>
      </c>
      <c r="P1053" s="521">
        <f>AND(MONTH(F1053)=MONTH(S1053), YEAR(F1053)=YEAR(S1053))</f>
        <v/>
      </c>
      <c r="Q1053" s="521">
        <f>U1053="L001-901905215"</f>
        <v/>
      </c>
      <c r="R1053" s="556">
        <f>G1053-W1053</f>
        <v/>
      </c>
      <c r="S1053" s="523" t="n">
        <v>44985</v>
      </c>
      <c r="T1053" s="522" t="inlineStr">
        <is>
          <t>TI2023-0168</t>
        </is>
      </c>
      <c r="U1053" s="522" t="inlineStr">
        <is>
          <t>L001-901905215</t>
        </is>
      </c>
      <c r="V1053" s="522" t="inlineStr">
        <is>
          <t>វីអ៊ីស៊ិន (ខេមបូឌា) អ៊ិនដាសស្ទ្រី ឯ.ក</t>
        </is>
      </c>
      <c r="W1053" s="556" t="n">
        <v>169806</v>
      </c>
    </row>
    <row r="1054">
      <c r="A1054" s="521" t="n">
        <v>1046</v>
      </c>
      <c r="B1054" s="522" t="inlineStr">
        <is>
          <t>Clearance &amp; Trucking Fee</t>
        </is>
      </c>
      <c r="C1054" s="522" t="inlineStr">
        <is>
          <t>56ប៊ី-លីង សឹបផ្លាយ ឆេន មេនេចម៉ិន ឯ.ក</t>
        </is>
      </c>
      <c r="D1054" s="522" t="inlineStr">
        <is>
          <t>K004-902004795</t>
        </is>
      </c>
      <c r="E1054" s="521" t="inlineStr">
        <is>
          <t>TI2023-0167</t>
        </is>
      </c>
      <c r="F1054" s="523" t="n">
        <v>44985</v>
      </c>
      <c r="G1054" s="556" t="n">
        <v>208215</v>
      </c>
      <c r="I1054" s="521">
        <f>G1054</f>
        <v/>
      </c>
      <c r="K1054" s="521">
        <f>I1054-G1054</f>
        <v/>
      </c>
      <c r="M1054" s="522" t="inlineStr">
        <is>
          <t>TI20230167</t>
        </is>
      </c>
      <c r="N1054" s="522" t="inlineStr">
        <is>
          <t>TI20230167</t>
        </is>
      </c>
      <c r="O1054" s="521">
        <f>M1054=N1054</f>
        <v/>
      </c>
      <c r="P1054" s="521">
        <f>AND(MONTH(F1054)=MONTH(S1054), YEAR(F1054)=YEAR(S1054))</f>
        <v/>
      </c>
      <c r="Q1054" s="521">
        <f>U1054="L001-901905215"</f>
        <v/>
      </c>
      <c r="R1054" s="556">
        <f>G1054-W1054</f>
        <v/>
      </c>
      <c r="S1054" s="523" t="n">
        <v>44985</v>
      </c>
      <c r="T1054" s="522" t="inlineStr">
        <is>
          <t>TI2023-0167</t>
        </is>
      </c>
      <c r="U1054" s="522" t="inlineStr">
        <is>
          <t>L001-901905215</t>
        </is>
      </c>
      <c r="V1054" s="522" t="inlineStr">
        <is>
          <t>វីអ៊ីស៊ិន (ខេមបូឌា) អ៊ិនដាសស្ទ្រី ឯ.ក</t>
        </is>
      </c>
      <c r="W1054" s="556" t="n">
        <v>208215</v>
      </c>
    </row>
    <row r="1055">
      <c r="A1055" s="521" t="n">
        <v>1047</v>
      </c>
      <c r="B1055" s="522" t="inlineStr">
        <is>
          <t>LIFT-OFF Charges</t>
        </is>
      </c>
      <c r="C1055" s="522" t="inlineStr">
        <is>
          <t>កំពង់ផែស្វយ័តភ្នំពេញ "ក.ស.ភ"</t>
        </is>
      </c>
      <c r="D1055" s="522" t="inlineStr">
        <is>
          <t>L001-100044999</t>
        </is>
      </c>
      <c r="E1055" s="521" t="inlineStr">
        <is>
          <t>INV20230209561</t>
        </is>
      </c>
      <c r="F1055" s="523" t="n">
        <v>44978</v>
      </c>
      <c r="G1055" s="556" t="n">
        <v>58536</v>
      </c>
      <c r="I1055" s="521">
        <f>G1055</f>
        <v/>
      </c>
      <c r="K1055" s="521">
        <f>I1055-G1055</f>
        <v/>
      </c>
      <c r="M1055" s="522" t="inlineStr">
        <is>
          <t>INV20230209561</t>
        </is>
      </c>
      <c r="N1055" s="522" t="inlineStr"/>
      <c r="O1055" s="521">
        <f>M1055=N1055</f>
        <v/>
      </c>
      <c r="P1055" s="521">
        <f>AND(MONTH(F1055)=MONTH(S1055), YEAR(F1055)=YEAR(S1055))</f>
        <v/>
      </c>
      <c r="Q1055" s="521">
        <f>U1055="L001-901905215"</f>
        <v/>
      </c>
      <c r="R1055" s="556">
        <f>G1055-W1055</f>
        <v/>
      </c>
      <c r="S1055" s="521" t="n"/>
      <c r="T1055" s="522" t="n"/>
      <c r="U1055" s="522" t="n"/>
      <c r="V1055" s="522" t="n"/>
      <c r="W1055" s="521" t="n"/>
    </row>
    <row r="1056">
      <c r="A1056" s="521" t="n">
        <v>1048</v>
      </c>
      <c r="B1056" s="522" t="inlineStr">
        <is>
          <t>Clearance &amp; Trucking Fee</t>
        </is>
      </c>
      <c r="C1056" s="522" t="inlineStr">
        <is>
          <t>56ប៊ី-លីង សឹបផ្លាយ ឆេន មេនេចម៉ិន ឯ.ក</t>
        </is>
      </c>
      <c r="D1056" s="522" t="inlineStr">
        <is>
          <t>K004-902004795</t>
        </is>
      </c>
      <c r="E1056" s="521" t="inlineStr">
        <is>
          <t>TI2023-0166</t>
        </is>
      </c>
      <c r="F1056" s="523" t="n">
        <v>44985</v>
      </c>
      <c r="G1056" s="556" t="n">
        <v>481117</v>
      </c>
      <c r="I1056" s="521">
        <f>G1056</f>
        <v/>
      </c>
      <c r="K1056" s="521">
        <f>I1056-G1056</f>
        <v/>
      </c>
      <c r="M1056" s="522" t="inlineStr">
        <is>
          <t>TI20230166</t>
        </is>
      </c>
      <c r="N1056" s="522" t="inlineStr">
        <is>
          <t>TI20230166</t>
        </is>
      </c>
      <c r="O1056" s="521">
        <f>M1056=N1056</f>
        <v/>
      </c>
      <c r="P1056" s="521">
        <f>AND(MONTH(F1056)=MONTH(S1056), YEAR(F1056)=YEAR(S1056))</f>
        <v/>
      </c>
      <c r="Q1056" s="521">
        <f>U1056="L001-901905215"</f>
        <v/>
      </c>
      <c r="R1056" s="556">
        <f>G1056-W1056</f>
        <v/>
      </c>
      <c r="S1056" s="523" t="n">
        <v>44985</v>
      </c>
      <c r="T1056" s="522" t="inlineStr">
        <is>
          <t>TI2023-0166</t>
        </is>
      </c>
      <c r="U1056" s="522" t="inlineStr">
        <is>
          <t>L001-901905215</t>
        </is>
      </c>
      <c r="V1056" s="522" t="inlineStr">
        <is>
          <t>វីអ៊ីស៊ិន (ខេមបូឌា) អ៊ិនដាសស្ទ្រី ឯ.ក</t>
        </is>
      </c>
      <c r="W1056" s="556" t="n">
        <v>481117</v>
      </c>
    </row>
    <row r="1057">
      <c r="A1057" s="521" t="n">
        <v>1049</v>
      </c>
      <c r="B1057" s="522" t="inlineStr">
        <is>
          <t>Lift-On &amp; Lift-Off</t>
        </is>
      </c>
      <c r="C1057" s="522" t="inlineStr">
        <is>
          <t>កំពង់ផែស្វយ័តក្រុងព្រះសីហនុ</t>
        </is>
      </c>
      <c r="D1057" s="522" t="inlineStr">
        <is>
          <t>L001-100044638</t>
        </is>
      </c>
      <c r="E1057" s="521" t="inlineStr">
        <is>
          <t>026623</t>
        </is>
      </c>
      <c r="F1057" s="523" t="n">
        <v>44981</v>
      </c>
      <c r="G1057" s="556" t="n">
        <v>6878</v>
      </c>
      <c r="I1057" s="521">
        <f>G1057</f>
        <v/>
      </c>
      <c r="K1057" s="521">
        <f>I1057-G1057</f>
        <v/>
      </c>
      <c r="M1057" s="522" t="inlineStr">
        <is>
          <t>026623</t>
        </is>
      </c>
      <c r="N1057" s="522" t="inlineStr"/>
      <c r="O1057" s="521">
        <f>M1057=N1057</f>
        <v/>
      </c>
      <c r="P1057" s="521">
        <f>AND(MONTH(F1057)=MONTH(S1057), YEAR(F1057)=YEAR(S1057))</f>
        <v/>
      </c>
      <c r="Q1057" s="521">
        <f>U1057="L001-901905215"</f>
        <v/>
      </c>
      <c r="R1057" s="556">
        <f>G1057-W1057</f>
        <v/>
      </c>
      <c r="S1057" s="521" t="n"/>
      <c r="T1057" s="522" t="n"/>
      <c r="U1057" s="522" t="n"/>
      <c r="V1057" s="522" t="n"/>
      <c r="W1057" s="521" t="n"/>
    </row>
    <row r="1058">
      <c r="A1058" s="521" t="n">
        <v>1050</v>
      </c>
      <c r="B1058" s="522" t="inlineStr">
        <is>
          <t>Clearance &amp; Trucking Fee</t>
        </is>
      </c>
      <c r="C1058" s="522" t="inlineStr">
        <is>
          <t>56ប៊ី-លីង សឹបផ្លាយ ឆេន មេនេចម៉ិន ឯ.ក</t>
        </is>
      </c>
      <c r="D1058" s="522" t="inlineStr">
        <is>
          <t>K004-902004795</t>
        </is>
      </c>
      <c r="E1058" s="521" t="inlineStr">
        <is>
          <t>TI2023-0153</t>
        </is>
      </c>
      <c r="F1058" s="523" t="n">
        <v>44985</v>
      </c>
      <c r="G1058" s="556" t="n">
        <v>297161</v>
      </c>
      <c r="I1058" s="521">
        <f>G1058</f>
        <v/>
      </c>
      <c r="K1058" s="521">
        <f>I1058-G1058</f>
        <v/>
      </c>
      <c r="M1058" s="522" t="inlineStr">
        <is>
          <t>TI20230153</t>
        </is>
      </c>
      <c r="N1058" s="522" t="inlineStr">
        <is>
          <t>TI20230153</t>
        </is>
      </c>
      <c r="O1058" s="521">
        <f>M1058=N1058</f>
        <v/>
      </c>
      <c r="P1058" s="521">
        <f>AND(MONTH(F1058)=MONTH(S1058), YEAR(F1058)=YEAR(S1058))</f>
        <v/>
      </c>
      <c r="Q1058" s="521">
        <f>U1058="L001-901905215"</f>
        <v/>
      </c>
      <c r="R1058" s="556">
        <f>G1058-W1058</f>
        <v/>
      </c>
      <c r="S1058" s="523" t="n">
        <v>44985</v>
      </c>
      <c r="T1058" s="522" t="inlineStr">
        <is>
          <t>TI2023-0153</t>
        </is>
      </c>
      <c r="U1058" s="522" t="inlineStr">
        <is>
          <t>L001-901905215</t>
        </is>
      </c>
      <c r="V1058" s="522" t="inlineStr">
        <is>
          <t>វីអ៊ីស៊ិន (ខេមបូឌា) អ៊ិនដាសស្ទ្រី ឯ.ក</t>
        </is>
      </c>
      <c r="W1058" s="556" t="n">
        <v>297161</v>
      </c>
    </row>
    <row r="1059">
      <c r="A1059" s="521" t="n">
        <v>1051</v>
      </c>
      <c r="B1059" s="522" t="inlineStr">
        <is>
          <t>Export Adminstration Fee</t>
        </is>
      </c>
      <c r="C1059" s="522" t="inlineStr">
        <is>
          <t>ឆាយ ដា ឡូយីស្ទីក</t>
        </is>
      </c>
      <c r="D1059" s="522" t="inlineStr">
        <is>
          <t>L001-100063098</t>
        </is>
      </c>
      <c r="E1059" s="521" t="inlineStr">
        <is>
          <t>2302001685</t>
        </is>
      </c>
      <c r="F1059" s="523" t="n">
        <v>44977</v>
      </c>
      <c r="G1059" s="556" t="n">
        <v>77074</v>
      </c>
      <c r="I1059" s="521">
        <f>G1059</f>
        <v/>
      </c>
      <c r="K1059" s="521">
        <f>I1059-G1059</f>
        <v/>
      </c>
      <c r="M1059" s="522" t="inlineStr">
        <is>
          <t>2302001685</t>
        </is>
      </c>
      <c r="N1059" s="522" t="inlineStr">
        <is>
          <t>2302001685</t>
        </is>
      </c>
      <c r="O1059" s="521">
        <f>M1059=N1059</f>
        <v/>
      </c>
      <c r="P1059" s="521">
        <f>AND(MONTH(F1059)=MONTH(S1059), YEAR(F1059)=YEAR(S1059))</f>
        <v/>
      </c>
      <c r="Q1059" s="521">
        <f>U1059="L001-901905215"</f>
        <v/>
      </c>
      <c r="R1059" s="556">
        <f>G1059-W1059</f>
        <v/>
      </c>
      <c r="S1059" s="523" t="n">
        <v>44977</v>
      </c>
      <c r="T1059" s="522" t="inlineStr">
        <is>
          <t>2302001685</t>
        </is>
      </c>
      <c r="U1059" s="522" t="inlineStr">
        <is>
          <t>L001-901905215</t>
        </is>
      </c>
      <c r="V1059" s="522" t="inlineStr">
        <is>
          <t>វីអ៊ីស៊ិន (ខេមបូឌា) អ៊ិនដាសស្ទ្រី ឯ.ក</t>
        </is>
      </c>
      <c r="W1059" s="556" t="n">
        <v>77074</v>
      </c>
    </row>
    <row r="1060">
      <c r="A1060" s="521" t="n">
        <v>1052</v>
      </c>
      <c r="B1060" s="522" t="inlineStr">
        <is>
          <t>Clearance &amp; Trucking Fee</t>
        </is>
      </c>
      <c r="C1060" s="522" t="inlineStr">
        <is>
          <t>56ប៊ី-លីង សឹបផ្លាយ ឆេន មេនេចម៉ិន ឯ.ក</t>
        </is>
      </c>
      <c r="D1060" s="522" t="inlineStr">
        <is>
          <t>K004-902004795</t>
        </is>
      </c>
      <c r="E1060" s="521" t="inlineStr">
        <is>
          <t>TI2023-0146</t>
        </is>
      </c>
      <c r="F1060" s="523" t="n">
        <v>44977</v>
      </c>
      <c r="G1060" s="556" t="n">
        <v>362942</v>
      </c>
      <c r="I1060" s="521">
        <f>G1060</f>
        <v/>
      </c>
      <c r="K1060" s="521">
        <f>I1060-G1060</f>
        <v/>
      </c>
      <c r="M1060" s="522" t="inlineStr">
        <is>
          <t>TI20230146</t>
        </is>
      </c>
      <c r="N1060" s="522" t="inlineStr">
        <is>
          <t>TI20230146</t>
        </is>
      </c>
      <c r="O1060" s="521">
        <f>M1060=N1060</f>
        <v/>
      </c>
      <c r="P1060" s="521">
        <f>AND(MONTH(F1060)=MONTH(S1060), YEAR(F1060)=YEAR(S1060))</f>
        <v/>
      </c>
      <c r="Q1060" s="521">
        <f>U1060="L001-901905215"</f>
        <v/>
      </c>
      <c r="R1060" s="556">
        <f>G1060-W1060</f>
        <v/>
      </c>
      <c r="S1060" s="523" t="n">
        <v>44977</v>
      </c>
      <c r="T1060" s="522" t="inlineStr">
        <is>
          <t>TI2023-0146</t>
        </is>
      </c>
      <c r="U1060" s="522" t="inlineStr">
        <is>
          <t>L001-901905215</t>
        </is>
      </c>
      <c r="V1060" s="522" t="inlineStr">
        <is>
          <t>វីអ៊ីស៊ិន (ខេមបូឌា) អ៊ិនដាសស្ទ្រី ឯ.ក</t>
        </is>
      </c>
      <c r="W1060" s="556" t="n">
        <v>362942</v>
      </c>
    </row>
    <row r="1061">
      <c r="A1061" s="521" t="n">
        <v>1053</v>
      </c>
      <c r="B1061" s="522" t="inlineStr">
        <is>
          <t>Export Adminstration Fee</t>
        </is>
      </c>
      <c r="C1061" s="522" t="inlineStr">
        <is>
          <t>ឆាយ ដា ឡូយីស្ទីក</t>
        </is>
      </c>
      <c r="D1061" s="522" t="inlineStr">
        <is>
          <t>L001-100063098</t>
        </is>
      </c>
      <c r="E1061" s="521" t="inlineStr">
        <is>
          <t>2302001698</t>
        </is>
      </c>
      <c r="F1061" s="523" t="n">
        <v>44977</v>
      </c>
      <c r="G1061" s="556" t="n">
        <v>101542</v>
      </c>
      <c r="I1061" s="521">
        <f>G1061</f>
        <v/>
      </c>
      <c r="K1061" s="521">
        <f>I1061-G1061</f>
        <v/>
      </c>
      <c r="M1061" s="522" t="inlineStr">
        <is>
          <t>2302001698</t>
        </is>
      </c>
      <c r="N1061" s="522" t="inlineStr">
        <is>
          <t>2302001698</t>
        </is>
      </c>
      <c r="O1061" s="521">
        <f>M1061=N1061</f>
        <v/>
      </c>
      <c r="P1061" s="521">
        <f>AND(MONTH(F1061)=MONTH(S1061), YEAR(F1061)=YEAR(S1061))</f>
        <v/>
      </c>
      <c r="Q1061" s="521">
        <f>U1061="L001-901905215"</f>
        <v/>
      </c>
      <c r="R1061" s="556">
        <f>G1061-W1061</f>
        <v/>
      </c>
      <c r="S1061" s="523" t="n">
        <v>44977</v>
      </c>
      <c r="T1061" s="522" t="inlineStr">
        <is>
          <t>2302001698</t>
        </is>
      </c>
      <c r="U1061" s="522" t="inlineStr">
        <is>
          <t>L001-901905215</t>
        </is>
      </c>
      <c r="V1061" s="522" t="inlineStr">
        <is>
          <t>វីអ៊ីស៊ិន (ខេមបូឌា) អ៊ិនដាសស្ទ្រី ឯ.ក</t>
        </is>
      </c>
      <c r="W1061" s="556" t="n">
        <v>101542</v>
      </c>
    </row>
    <row r="1062">
      <c r="A1062" s="521" t="n">
        <v>1054</v>
      </c>
      <c r="B1062" s="522" t="inlineStr">
        <is>
          <t>Clearance &amp; Trucking Fee</t>
        </is>
      </c>
      <c r="C1062" s="522" t="inlineStr">
        <is>
          <t>56ប៊ី-លីង សឹបផ្លាយ ឆេន មេនេចម៉ិន ឯ.ក</t>
        </is>
      </c>
      <c r="D1062" s="522" t="inlineStr">
        <is>
          <t>K004-902004795</t>
        </is>
      </c>
      <c r="E1062" s="521" t="inlineStr">
        <is>
          <t>TI2023-0145</t>
        </is>
      </c>
      <c r="F1062" s="523" t="n">
        <v>44977</v>
      </c>
      <c r="G1062" s="556" t="n">
        <v>171276</v>
      </c>
      <c r="I1062" s="521">
        <f>G1062</f>
        <v/>
      </c>
      <c r="K1062" s="521">
        <f>I1062-G1062</f>
        <v/>
      </c>
      <c r="M1062" s="522" t="inlineStr">
        <is>
          <t>TI20230145</t>
        </is>
      </c>
      <c r="N1062" s="522" t="inlineStr">
        <is>
          <t>TI20230145</t>
        </is>
      </c>
      <c r="O1062" s="521">
        <f>M1062=N1062</f>
        <v/>
      </c>
      <c r="P1062" s="521">
        <f>AND(MONTH(F1062)=MONTH(S1062), YEAR(F1062)=YEAR(S1062))</f>
        <v/>
      </c>
      <c r="Q1062" s="521">
        <f>U1062="L001-901905215"</f>
        <v/>
      </c>
      <c r="R1062" s="556">
        <f>G1062-W1062</f>
        <v/>
      </c>
      <c r="S1062" s="523" t="n">
        <v>44977</v>
      </c>
      <c r="T1062" s="522" t="inlineStr">
        <is>
          <t>TI2023-0145</t>
        </is>
      </c>
      <c r="U1062" s="522" t="inlineStr">
        <is>
          <t>L001-901905215</t>
        </is>
      </c>
      <c r="V1062" s="522" t="inlineStr">
        <is>
          <t>វីអ៊ីស៊ិន (ខេមបូឌា) អ៊ិនដាសស្ទ្រី ឯ.ក</t>
        </is>
      </c>
      <c r="W1062" s="556" t="n">
        <v>171276</v>
      </c>
    </row>
    <row r="1063">
      <c r="A1063" s="521" t="n">
        <v>1055</v>
      </c>
      <c r="B1063" s="522" t="inlineStr">
        <is>
          <t>Export Adminstration Fee</t>
        </is>
      </c>
      <c r="C1063" s="522" t="inlineStr">
        <is>
          <t>ឆាយ ដា ឡូយីស្ទីក</t>
        </is>
      </c>
      <c r="D1063" s="522" t="inlineStr">
        <is>
          <t>L001-100063098</t>
        </is>
      </c>
      <c r="E1063" s="521" t="inlineStr">
        <is>
          <t>2302001706</t>
        </is>
      </c>
      <c r="F1063" s="523" t="n">
        <v>44977</v>
      </c>
      <c r="G1063" s="556" t="n">
        <v>89308</v>
      </c>
      <c r="I1063" s="521">
        <f>G1063</f>
        <v/>
      </c>
      <c r="K1063" s="521">
        <f>I1063-G1063</f>
        <v/>
      </c>
      <c r="M1063" s="522" t="inlineStr">
        <is>
          <t>2302001706</t>
        </is>
      </c>
      <c r="N1063" s="522" t="inlineStr">
        <is>
          <t>2302001706</t>
        </is>
      </c>
      <c r="O1063" s="521">
        <f>M1063=N1063</f>
        <v/>
      </c>
      <c r="P1063" s="521">
        <f>AND(MONTH(F1063)=MONTH(S1063), YEAR(F1063)=YEAR(S1063))</f>
        <v/>
      </c>
      <c r="Q1063" s="521">
        <f>U1063="L001-901905215"</f>
        <v/>
      </c>
      <c r="R1063" s="556">
        <f>G1063-W1063</f>
        <v/>
      </c>
      <c r="S1063" s="523" t="n">
        <v>44977</v>
      </c>
      <c r="T1063" s="522" t="inlineStr">
        <is>
          <t>2302001706</t>
        </is>
      </c>
      <c r="U1063" s="522" t="inlineStr">
        <is>
          <t>L001-901905215</t>
        </is>
      </c>
      <c r="V1063" s="522" t="inlineStr">
        <is>
          <t>វីអ៊ីស៊ិន (ខេមបូឌា) អ៊ិនដាសស្ទ្រី ឯ.ក</t>
        </is>
      </c>
      <c r="W1063" s="556" t="n">
        <v>89308</v>
      </c>
    </row>
    <row r="1064">
      <c r="A1064" s="521" t="n">
        <v>1056</v>
      </c>
      <c r="B1064" s="522" t="inlineStr">
        <is>
          <t>Clearance &amp; Trucking Fee</t>
        </is>
      </c>
      <c r="C1064" s="522" t="inlineStr">
        <is>
          <t>56ប៊ី-លីង សឹបផ្លាយ ឆេន មេនេចម៉ិន ឯ.ក</t>
        </is>
      </c>
      <c r="D1064" s="522" t="inlineStr">
        <is>
          <t>K004-902004795</t>
        </is>
      </c>
      <c r="E1064" s="521" t="inlineStr">
        <is>
          <t>TI2023-0144</t>
        </is>
      </c>
      <c r="F1064" s="523" t="n">
        <v>44977</v>
      </c>
      <c r="G1064" s="556" t="n">
        <v>210017</v>
      </c>
      <c r="I1064" s="521">
        <f>G1064</f>
        <v/>
      </c>
      <c r="K1064" s="521">
        <f>I1064-G1064</f>
        <v/>
      </c>
      <c r="M1064" s="522" t="inlineStr">
        <is>
          <t>TI20230144</t>
        </is>
      </c>
      <c r="N1064" s="522" t="inlineStr">
        <is>
          <t>TI20230144</t>
        </is>
      </c>
      <c r="O1064" s="521">
        <f>M1064=N1064</f>
        <v/>
      </c>
      <c r="P1064" s="521">
        <f>AND(MONTH(F1064)=MONTH(S1064), YEAR(F1064)=YEAR(S1064))</f>
        <v/>
      </c>
      <c r="Q1064" s="521">
        <f>U1064="L001-901905215"</f>
        <v/>
      </c>
      <c r="R1064" s="556">
        <f>G1064-W1064</f>
        <v/>
      </c>
      <c r="S1064" s="523" t="n">
        <v>44977</v>
      </c>
      <c r="T1064" s="522" t="inlineStr">
        <is>
          <t>TI2023-0144</t>
        </is>
      </c>
      <c r="U1064" s="522" t="inlineStr">
        <is>
          <t>L001-901905215</t>
        </is>
      </c>
      <c r="V1064" s="522" t="inlineStr">
        <is>
          <t>វីអ៊ីស៊ិន (ខេមបូឌា) អ៊ិនដាសស្ទ្រី ឯ.ក</t>
        </is>
      </c>
      <c r="W1064" s="556" t="n">
        <v>210017</v>
      </c>
    </row>
    <row r="1065">
      <c r="A1065" s="521" t="n">
        <v>1057</v>
      </c>
      <c r="B1065" s="522" t="inlineStr">
        <is>
          <t>LIFT-OFF Charges</t>
        </is>
      </c>
      <c r="C1065" s="522" t="inlineStr">
        <is>
          <t>កំពង់ផែស្វយ័តភ្នំពេញ "ក.ស.ភ"</t>
        </is>
      </c>
      <c r="D1065" s="522" t="inlineStr">
        <is>
          <t>L001-100044999</t>
        </is>
      </c>
      <c r="E1065" s="521" t="inlineStr">
        <is>
          <t>INV20230209560</t>
        </is>
      </c>
      <c r="F1065" s="523" t="n">
        <v>44978</v>
      </c>
      <c r="G1065" s="556" t="n">
        <v>48780</v>
      </c>
      <c r="I1065" s="521">
        <f>G1065</f>
        <v/>
      </c>
      <c r="K1065" s="521">
        <f>I1065-G1065</f>
        <v/>
      </c>
      <c r="M1065" s="522" t="inlineStr">
        <is>
          <t>INV20230209560</t>
        </is>
      </c>
      <c r="N1065" s="522" t="inlineStr"/>
      <c r="O1065" s="521">
        <f>M1065=N1065</f>
        <v/>
      </c>
      <c r="P1065" s="521">
        <f>AND(MONTH(F1065)=MONTH(S1065), YEAR(F1065)=YEAR(S1065))</f>
        <v/>
      </c>
      <c r="Q1065" s="521">
        <f>U1065="L001-901905215"</f>
        <v/>
      </c>
      <c r="R1065" s="556">
        <f>G1065-W1065</f>
        <v/>
      </c>
      <c r="S1065" s="521" t="n"/>
      <c r="T1065" s="522" t="n"/>
      <c r="U1065" s="522" t="n"/>
      <c r="V1065" s="522" t="n"/>
      <c r="W1065" s="521" t="n"/>
    </row>
    <row r="1066">
      <c r="A1066" s="521" t="n">
        <v>1058</v>
      </c>
      <c r="B1066" s="522" t="inlineStr">
        <is>
          <t>Clearance &amp; Trucking Fee</t>
        </is>
      </c>
      <c r="C1066" s="522" t="inlineStr">
        <is>
          <t>56ប៊ី-លីង សឹបផ្លាយ ឆេន មេនេចម៉ិន ឯ.ក</t>
        </is>
      </c>
      <c r="D1066" s="522" t="inlineStr">
        <is>
          <t>K004-902004795</t>
        </is>
      </c>
      <c r="E1066" s="521" t="inlineStr">
        <is>
          <t>TI2023-0132</t>
        </is>
      </c>
      <c r="F1066" s="523" t="n">
        <v>44977</v>
      </c>
      <c r="G1066" s="556" t="n">
        <v>473048</v>
      </c>
      <c r="I1066" s="521">
        <f>G1066</f>
        <v/>
      </c>
      <c r="K1066" s="521">
        <f>I1066-G1066</f>
        <v/>
      </c>
      <c r="M1066" s="522" t="inlineStr">
        <is>
          <t>TI20230132</t>
        </is>
      </c>
      <c r="N1066" s="522" t="inlineStr">
        <is>
          <t>TI20230132</t>
        </is>
      </c>
      <c r="O1066" s="521">
        <f>M1066=N1066</f>
        <v/>
      </c>
      <c r="P1066" s="521">
        <f>AND(MONTH(F1066)=MONTH(S1066), YEAR(F1066)=YEAR(S1066))</f>
        <v/>
      </c>
      <c r="Q1066" s="521">
        <f>U1066="L001-901905215"</f>
        <v/>
      </c>
      <c r="R1066" s="556">
        <f>G1066-W1066</f>
        <v/>
      </c>
      <c r="S1066" s="523" t="n">
        <v>44977</v>
      </c>
      <c r="T1066" s="522" t="inlineStr">
        <is>
          <t>TI2023-0132</t>
        </is>
      </c>
      <c r="U1066" s="522" t="inlineStr">
        <is>
          <t>L001-901905215</t>
        </is>
      </c>
      <c r="V1066" s="522" t="inlineStr">
        <is>
          <t>វីអ៊ីស៊ិន (ខេមបូឌា) អ៊ិនដាសស្ទ្រី ឯ.ក</t>
        </is>
      </c>
      <c r="W1066" s="556" t="n">
        <v>473048</v>
      </c>
    </row>
    <row r="1067">
      <c r="A1067" s="521" t="n">
        <v>1059</v>
      </c>
      <c r="B1067" s="522" t="inlineStr">
        <is>
          <t>Lift-On &amp; Lift-Off</t>
        </is>
      </c>
      <c r="C1067" s="522" t="inlineStr">
        <is>
          <t>កំពង់ផែស្វយ័តក្រុងព្រះសីហនុ</t>
        </is>
      </c>
      <c r="D1067" s="522" t="inlineStr">
        <is>
          <t>L001-100044638</t>
        </is>
      </c>
      <c r="E1067" s="521" t="inlineStr">
        <is>
          <t>022911</t>
        </is>
      </c>
      <c r="F1067" s="523" t="n">
        <v>44974</v>
      </c>
      <c r="G1067" s="556" t="n">
        <v>20818</v>
      </c>
      <c r="I1067" s="521">
        <f>G1067</f>
        <v/>
      </c>
      <c r="K1067" s="521">
        <f>I1067-G1067</f>
        <v/>
      </c>
      <c r="M1067" s="522" t="inlineStr">
        <is>
          <t>022911</t>
        </is>
      </c>
      <c r="N1067" s="522" t="inlineStr"/>
      <c r="O1067" s="521">
        <f>M1067=N1067</f>
        <v/>
      </c>
      <c r="P1067" s="521">
        <f>AND(MONTH(F1067)=MONTH(S1067), YEAR(F1067)=YEAR(S1067))</f>
        <v/>
      </c>
      <c r="Q1067" s="521">
        <f>U1067="L001-901905215"</f>
        <v/>
      </c>
      <c r="R1067" s="556">
        <f>G1067-W1067</f>
        <v/>
      </c>
      <c r="S1067" s="521" t="n"/>
      <c r="T1067" s="522" t="n"/>
      <c r="U1067" s="522" t="n"/>
      <c r="V1067" s="522" t="n"/>
      <c r="W1067" s="521" t="n"/>
    </row>
    <row r="1068">
      <c r="A1068" s="521" t="n">
        <v>1060</v>
      </c>
      <c r="B1068" s="522" t="inlineStr">
        <is>
          <t>Clearance &amp; Trucking Fee</t>
        </is>
      </c>
      <c r="C1068" s="522" t="inlineStr">
        <is>
          <t>56ប៊ី-លីង សឹបផ្លាយ ឆេន មេនេចម៉ិន ឯ.ក</t>
        </is>
      </c>
      <c r="D1068" s="522" t="inlineStr">
        <is>
          <t>K004-902004795</t>
        </is>
      </c>
      <c r="E1068" s="521" t="inlineStr">
        <is>
          <t>TI2023-0131</t>
        </is>
      </c>
      <c r="F1068" s="523" t="n">
        <v>44977</v>
      </c>
      <c r="G1068" s="556" t="n">
        <v>785015</v>
      </c>
      <c r="I1068" s="521">
        <f>G1068</f>
        <v/>
      </c>
      <c r="K1068" s="521">
        <f>I1068-G1068</f>
        <v/>
      </c>
      <c r="M1068" s="522" t="inlineStr">
        <is>
          <t>TI20230131</t>
        </is>
      </c>
      <c r="N1068" s="522" t="inlineStr">
        <is>
          <t>TI20230131</t>
        </is>
      </c>
      <c r="O1068" s="521">
        <f>M1068=N1068</f>
        <v/>
      </c>
      <c r="P1068" s="521">
        <f>AND(MONTH(F1068)=MONTH(S1068), YEAR(F1068)=YEAR(S1068))</f>
        <v/>
      </c>
      <c r="Q1068" s="521">
        <f>U1068="L001-901905215"</f>
        <v/>
      </c>
      <c r="R1068" s="556">
        <f>G1068-W1068</f>
        <v/>
      </c>
      <c r="S1068" s="523" t="n">
        <v>44977</v>
      </c>
      <c r="T1068" s="522" t="inlineStr">
        <is>
          <t>TI2023-0131</t>
        </is>
      </c>
      <c r="U1068" s="522" t="inlineStr">
        <is>
          <t>L001-901905215</t>
        </is>
      </c>
      <c r="V1068" s="522" t="inlineStr">
        <is>
          <t>វីអ៊ីស៊ិន (ខេមបូឌា) អ៊ិនដាសស្ទ្រី ឯ.ក</t>
        </is>
      </c>
      <c r="W1068" s="556" t="n">
        <v>785015</v>
      </c>
    </row>
    <row r="1069">
      <c r="A1069" s="521" t="n">
        <v>1061</v>
      </c>
      <c r="B1069" s="522" t="inlineStr">
        <is>
          <t>LIFT-OFF Charges</t>
        </is>
      </c>
      <c r="C1069" s="522" t="inlineStr">
        <is>
          <t>កំពង់ផែស្វយ័តភ្នំពេញ "ក.ស.ភ"</t>
        </is>
      </c>
      <c r="D1069" s="522" t="inlineStr">
        <is>
          <t>L001-100044999</t>
        </is>
      </c>
      <c r="E1069" s="521" t="inlineStr">
        <is>
          <t>INV20230208463</t>
        </is>
      </c>
      <c r="F1069" s="523" t="n">
        <v>44971</v>
      </c>
      <c r="G1069" s="556" t="n">
        <v>117706</v>
      </c>
      <c r="I1069" s="521">
        <f>G1069</f>
        <v/>
      </c>
      <c r="K1069" s="521">
        <f>I1069-G1069</f>
        <v/>
      </c>
      <c r="M1069" s="522" t="inlineStr">
        <is>
          <t>INV20230208463</t>
        </is>
      </c>
      <c r="N1069" s="522" t="inlineStr"/>
      <c r="O1069" s="521">
        <f>M1069=N1069</f>
        <v/>
      </c>
      <c r="P1069" s="521">
        <f>AND(MONTH(F1069)=MONTH(S1069), YEAR(F1069)=YEAR(S1069))</f>
        <v/>
      </c>
      <c r="Q1069" s="521">
        <f>U1069="L001-901905215"</f>
        <v/>
      </c>
      <c r="R1069" s="556">
        <f>G1069-W1069</f>
        <v/>
      </c>
      <c r="S1069" s="521" t="n"/>
      <c r="T1069" s="522" t="n"/>
      <c r="U1069" s="522" t="n"/>
      <c r="V1069" s="522" t="n"/>
      <c r="W1069" s="521" t="n"/>
    </row>
    <row r="1070">
      <c r="A1070" s="521" t="n">
        <v>1062</v>
      </c>
      <c r="B1070" s="522" t="inlineStr">
        <is>
          <t>Clearance &amp; Trucking Fee</t>
        </is>
      </c>
      <c r="C1070" s="522" t="inlineStr">
        <is>
          <t>56ប៊ី-លីង សឹបផ្លាយ ឆេន មេនេចម៉ិន ឯ.ក</t>
        </is>
      </c>
      <c r="D1070" s="522" t="inlineStr">
        <is>
          <t>K004-902004795</t>
        </is>
      </c>
      <c r="E1070" s="521" t="inlineStr">
        <is>
          <t>TI2023-0130</t>
        </is>
      </c>
      <c r="F1070" s="523" t="n">
        <v>44970</v>
      </c>
      <c r="G1070" s="556" t="n">
        <v>917056</v>
      </c>
      <c r="I1070" s="521">
        <f>G1070</f>
        <v/>
      </c>
      <c r="K1070" s="521">
        <f>I1070-G1070</f>
        <v/>
      </c>
      <c r="M1070" s="522" t="inlineStr">
        <is>
          <t>TI20230130</t>
        </is>
      </c>
      <c r="N1070" s="522" t="inlineStr">
        <is>
          <t>TI20230130</t>
        </is>
      </c>
      <c r="O1070" s="521">
        <f>M1070=N1070</f>
        <v/>
      </c>
      <c r="P1070" s="521">
        <f>AND(MONTH(F1070)=MONTH(S1070), YEAR(F1070)=YEAR(S1070))</f>
        <v/>
      </c>
      <c r="Q1070" s="521">
        <f>U1070="L001-901905215"</f>
        <v/>
      </c>
      <c r="R1070" s="556">
        <f>G1070-W1070</f>
        <v/>
      </c>
      <c r="S1070" s="523" t="n">
        <v>44970</v>
      </c>
      <c r="T1070" s="522" t="inlineStr">
        <is>
          <t>TI2023-0130</t>
        </is>
      </c>
      <c r="U1070" s="522" t="inlineStr">
        <is>
          <t>L001-901905215</t>
        </is>
      </c>
      <c r="V1070" s="522" t="inlineStr">
        <is>
          <t>វីអ៊ីស៊ិន (ខេមបូឌា) អ៊ិនដាសស្ទ្រី ឯ.ក</t>
        </is>
      </c>
      <c r="W1070" s="556" t="n">
        <v>917056</v>
      </c>
    </row>
    <row r="1071">
      <c r="A1071" s="521" t="n">
        <v>1063</v>
      </c>
      <c r="B1071" s="522" t="inlineStr">
        <is>
          <t>LIFT-OFF Charges</t>
        </is>
      </c>
      <c r="C1071" s="522" t="inlineStr">
        <is>
          <t>កំពង់ផែស្វយ័តភ្នំពេញ "ក.ស.ភ"</t>
        </is>
      </c>
      <c r="D1071" s="522" t="inlineStr">
        <is>
          <t>L001-100044999</t>
        </is>
      </c>
      <c r="E1071" s="521" t="inlineStr">
        <is>
          <t>INV20230208462</t>
        </is>
      </c>
      <c r="F1071" s="523" t="n">
        <v>44971</v>
      </c>
      <c r="G1071" s="556" t="n">
        <v>58853</v>
      </c>
      <c r="I1071" s="521">
        <f>G1071</f>
        <v/>
      </c>
      <c r="K1071" s="521">
        <f>I1071-G1071</f>
        <v/>
      </c>
      <c r="M1071" s="522" t="inlineStr">
        <is>
          <t>INV20230208462</t>
        </is>
      </c>
      <c r="N1071" s="522" t="inlineStr"/>
      <c r="O1071" s="521">
        <f>M1071=N1071</f>
        <v/>
      </c>
      <c r="P1071" s="521">
        <f>AND(MONTH(F1071)=MONTH(S1071), YEAR(F1071)=YEAR(S1071))</f>
        <v/>
      </c>
      <c r="Q1071" s="521">
        <f>U1071="L001-901905215"</f>
        <v/>
      </c>
      <c r="R1071" s="556">
        <f>G1071-W1071</f>
        <v/>
      </c>
      <c r="S1071" s="521" t="n"/>
      <c r="T1071" s="522" t="n"/>
      <c r="U1071" s="522" t="n"/>
      <c r="V1071" s="522" t="n"/>
      <c r="W1071" s="521" t="n"/>
    </row>
    <row r="1072">
      <c r="A1072" s="521" t="n">
        <v>1064</v>
      </c>
      <c r="B1072" s="522" t="inlineStr">
        <is>
          <t>Clearance &amp; Trucking Fee</t>
        </is>
      </c>
      <c r="C1072" s="522" t="inlineStr">
        <is>
          <t>56ប៊ី-លីង សឹបផ្លាយ ឆេន មេនេចម៉ិន ឯ.ក</t>
        </is>
      </c>
      <c r="D1072" s="522" t="inlineStr">
        <is>
          <t>K004-902004795</t>
        </is>
      </c>
      <c r="E1072" s="521" t="inlineStr">
        <is>
          <t>TI2023-0129</t>
        </is>
      </c>
      <c r="F1072" s="523" t="n">
        <v>44970</v>
      </c>
      <c r="G1072" s="556" t="n">
        <v>487186</v>
      </c>
      <c r="I1072" s="521">
        <f>G1072</f>
        <v/>
      </c>
      <c r="K1072" s="521">
        <f>I1072-G1072</f>
        <v/>
      </c>
      <c r="M1072" s="522" t="inlineStr">
        <is>
          <t>TI20230129</t>
        </is>
      </c>
      <c r="N1072" s="522" t="inlineStr">
        <is>
          <t>TI20230129</t>
        </is>
      </c>
      <c r="O1072" s="521">
        <f>M1072=N1072</f>
        <v/>
      </c>
      <c r="P1072" s="521">
        <f>AND(MONTH(F1072)=MONTH(S1072), YEAR(F1072)=YEAR(S1072))</f>
        <v/>
      </c>
      <c r="Q1072" s="521">
        <f>U1072="L001-901905215"</f>
        <v/>
      </c>
      <c r="R1072" s="556">
        <f>G1072-W1072</f>
        <v/>
      </c>
      <c r="S1072" s="523" t="n">
        <v>44970</v>
      </c>
      <c r="T1072" s="522" t="inlineStr">
        <is>
          <t>TI2023-0129</t>
        </is>
      </c>
      <c r="U1072" s="522" t="inlineStr">
        <is>
          <t>L001-901905215</t>
        </is>
      </c>
      <c r="V1072" s="522" t="inlineStr">
        <is>
          <t>វីអ៊ីស៊ិន (ខេមបូឌា) អ៊ិនដាសស្ទ្រី ឯ.ក</t>
        </is>
      </c>
      <c r="W1072" s="556" t="n">
        <v>487186</v>
      </c>
    </row>
    <row r="1073">
      <c r="A1073" s="521" t="n">
        <v>1065</v>
      </c>
      <c r="B1073" s="522" t="inlineStr">
        <is>
          <t>LIFT-OFF Charges</t>
        </is>
      </c>
      <c r="C1073" s="522" t="inlineStr">
        <is>
          <t>កំពង់ផែស្វយ័តភ្នំពេញ "ក.ស.ភ"</t>
        </is>
      </c>
      <c r="D1073" s="522" t="inlineStr">
        <is>
          <t>L001-100044999</t>
        </is>
      </c>
      <c r="E1073" s="521" t="inlineStr">
        <is>
          <t>INV20230208461</t>
        </is>
      </c>
      <c r="F1073" s="523" t="n">
        <v>44971</v>
      </c>
      <c r="G1073" s="556" t="n">
        <v>58853</v>
      </c>
      <c r="I1073" s="521">
        <f>G1073</f>
        <v/>
      </c>
      <c r="K1073" s="521">
        <f>I1073-G1073</f>
        <v/>
      </c>
      <c r="M1073" s="522" t="inlineStr">
        <is>
          <t>INV20230208461</t>
        </is>
      </c>
      <c r="N1073" s="522" t="inlineStr"/>
      <c r="O1073" s="521">
        <f>M1073=N1073</f>
        <v/>
      </c>
      <c r="P1073" s="521">
        <f>AND(MONTH(F1073)=MONTH(S1073), YEAR(F1073)=YEAR(S1073))</f>
        <v/>
      </c>
      <c r="Q1073" s="521">
        <f>U1073="L001-901905215"</f>
        <v/>
      </c>
      <c r="R1073" s="556">
        <f>G1073-W1073</f>
        <v/>
      </c>
      <c r="S1073" s="521" t="n"/>
      <c r="T1073" s="522" t="n"/>
      <c r="U1073" s="522" t="n"/>
      <c r="V1073" s="522" t="n"/>
      <c r="W1073" s="521" t="n"/>
    </row>
    <row r="1074">
      <c r="A1074" s="521" t="n">
        <v>1066</v>
      </c>
      <c r="B1074" s="522" t="inlineStr">
        <is>
          <t>Clearance &amp; Trucking Fee</t>
        </is>
      </c>
      <c r="C1074" s="522" t="inlineStr">
        <is>
          <t>56ប៊ី-លីង សឹបផ្លាយ ឆេន មេនេចម៉ិន ឯ.ក</t>
        </is>
      </c>
      <c r="D1074" s="522" t="inlineStr">
        <is>
          <t>K004-902004795</t>
        </is>
      </c>
      <c r="E1074" s="521" t="inlineStr">
        <is>
          <t>TI2023-0128</t>
        </is>
      </c>
      <c r="F1074" s="523" t="n">
        <v>44970</v>
      </c>
      <c r="G1074" s="556" t="n">
        <v>487186</v>
      </c>
      <c r="I1074" s="521">
        <f>G1074</f>
        <v/>
      </c>
      <c r="K1074" s="521">
        <f>I1074-G1074</f>
        <v/>
      </c>
      <c r="M1074" s="522" t="inlineStr">
        <is>
          <t>TI20230128</t>
        </is>
      </c>
      <c r="N1074" s="522" t="inlineStr">
        <is>
          <t>TI20230128</t>
        </is>
      </c>
      <c r="O1074" s="521">
        <f>M1074=N1074</f>
        <v/>
      </c>
      <c r="P1074" s="521">
        <f>AND(MONTH(F1074)=MONTH(S1074), YEAR(F1074)=YEAR(S1074))</f>
        <v/>
      </c>
      <c r="Q1074" s="521">
        <f>U1074="L001-901905215"</f>
        <v/>
      </c>
      <c r="R1074" s="556">
        <f>G1074-W1074</f>
        <v/>
      </c>
      <c r="S1074" s="523" t="n">
        <v>44970</v>
      </c>
      <c r="T1074" s="522" t="inlineStr">
        <is>
          <t>TI2023-0128</t>
        </is>
      </c>
      <c r="U1074" s="522" t="inlineStr">
        <is>
          <t>L001-901905215</t>
        </is>
      </c>
      <c r="V1074" s="522" t="inlineStr">
        <is>
          <t>វីអ៊ីស៊ិន (ខេមបូឌា) អ៊ិនដាសស្ទ្រី ឯ.ក</t>
        </is>
      </c>
      <c r="W1074" s="556" t="n">
        <v>487186</v>
      </c>
    </row>
    <row r="1075">
      <c r="A1075" s="521" t="n">
        <v>1067</v>
      </c>
      <c r="B1075" s="522" t="inlineStr">
        <is>
          <t>LIFT-OFF Charges</t>
        </is>
      </c>
      <c r="C1075" s="522" t="inlineStr">
        <is>
          <t>កំពង់ផែស្វយ័តភ្នំពេញ "ក.ស.ភ"</t>
        </is>
      </c>
      <c r="D1075" s="522" t="inlineStr">
        <is>
          <t>L001-100044999</t>
        </is>
      </c>
      <c r="E1075" s="521" t="inlineStr">
        <is>
          <t>INV20230208460</t>
        </is>
      </c>
      <c r="F1075" s="523" t="n">
        <v>44971</v>
      </c>
      <c r="G1075" s="556" t="n">
        <v>117706</v>
      </c>
      <c r="I1075" s="521">
        <f>G1075</f>
        <v/>
      </c>
      <c r="K1075" s="521">
        <f>I1075-G1075</f>
        <v/>
      </c>
      <c r="M1075" s="522" t="inlineStr">
        <is>
          <t>INV20230208460</t>
        </is>
      </c>
      <c r="N1075" s="522" t="inlineStr"/>
      <c r="O1075" s="521">
        <f>M1075=N1075</f>
        <v/>
      </c>
      <c r="P1075" s="521">
        <f>AND(MONTH(F1075)=MONTH(S1075), YEAR(F1075)=YEAR(S1075))</f>
        <v/>
      </c>
      <c r="Q1075" s="521">
        <f>U1075="L001-901905215"</f>
        <v/>
      </c>
      <c r="R1075" s="556">
        <f>G1075-W1075</f>
        <v/>
      </c>
      <c r="S1075" s="521" t="n"/>
      <c r="T1075" s="522" t="n"/>
      <c r="U1075" s="522" t="n"/>
      <c r="V1075" s="522" t="n"/>
      <c r="W1075" s="521" t="n"/>
    </row>
    <row r="1076">
      <c r="A1076" s="521" t="n">
        <v>1068</v>
      </c>
      <c r="B1076" s="522" t="inlineStr">
        <is>
          <t>Clearance &amp; Trucking Fee</t>
        </is>
      </c>
      <c r="C1076" s="522" t="inlineStr">
        <is>
          <t>56ប៊ី-លីង សឹបផ្លាយ ឆេន មេនេចម៉ិន ឯ.ក</t>
        </is>
      </c>
      <c r="D1076" s="522" t="inlineStr">
        <is>
          <t>K004-902004795</t>
        </is>
      </c>
      <c r="E1076" s="521" t="inlineStr">
        <is>
          <t>TI2023-0127</t>
        </is>
      </c>
      <c r="F1076" s="523" t="n">
        <v>44970</v>
      </c>
      <c r="G1076" s="556" t="n">
        <v>917056</v>
      </c>
      <c r="I1076" s="521">
        <f>G1076</f>
        <v/>
      </c>
      <c r="K1076" s="521">
        <f>I1076-G1076</f>
        <v/>
      </c>
      <c r="M1076" s="522" t="inlineStr">
        <is>
          <t>TI20230127</t>
        </is>
      </c>
      <c r="N1076" s="522" t="inlineStr">
        <is>
          <t>TI20230127</t>
        </is>
      </c>
      <c r="O1076" s="521">
        <f>M1076=N1076</f>
        <v/>
      </c>
      <c r="P1076" s="521">
        <f>AND(MONTH(F1076)=MONTH(S1076), YEAR(F1076)=YEAR(S1076))</f>
        <v/>
      </c>
      <c r="Q1076" s="521">
        <f>U1076="L001-901905215"</f>
        <v/>
      </c>
      <c r="R1076" s="556">
        <f>G1076-W1076</f>
        <v/>
      </c>
      <c r="S1076" s="523" t="n">
        <v>44970</v>
      </c>
      <c r="T1076" s="522" t="inlineStr">
        <is>
          <t>TI2023-0127</t>
        </is>
      </c>
      <c r="U1076" s="522" t="inlineStr">
        <is>
          <t>L001-901905215</t>
        </is>
      </c>
      <c r="V1076" s="522" t="inlineStr">
        <is>
          <t>វីអ៊ីស៊ិន (ខេមបូឌា) អ៊ិនដាសស្ទ្រី ឯ.ក</t>
        </is>
      </c>
      <c r="W1076" s="556" t="n">
        <v>917056</v>
      </c>
    </row>
    <row r="1077">
      <c r="A1077" s="521" t="n">
        <v>1069</v>
      </c>
      <c r="B1077" s="522" t="inlineStr">
        <is>
          <t>Export Adminstration Fee</t>
        </is>
      </c>
      <c r="C1077" s="522" t="inlineStr">
        <is>
          <t>ឆាយ ដា ឡូយីស្ទីក</t>
        </is>
      </c>
      <c r="D1077" s="522" t="inlineStr">
        <is>
          <t>L001-100063098</t>
        </is>
      </c>
      <c r="E1077" s="521" t="inlineStr">
        <is>
          <t>2302001525</t>
        </is>
      </c>
      <c r="F1077" s="523" t="n">
        <v>44970</v>
      </c>
      <c r="G1077" s="556" t="n">
        <v>2047</v>
      </c>
      <c r="I1077" s="521">
        <f>G1077</f>
        <v/>
      </c>
      <c r="K1077" s="521">
        <f>I1077-G1077</f>
        <v/>
      </c>
      <c r="M1077" s="522" t="inlineStr">
        <is>
          <t>2302001525</t>
        </is>
      </c>
      <c r="N1077" s="522" t="inlineStr">
        <is>
          <t>2302001525</t>
        </is>
      </c>
      <c r="O1077" s="521">
        <f>M1077=N1077</f>
        <v/>
      </c>
      <c r="P1077" s="521">
        <f>AND(MONTH(F1077)=MONTH(S1077), YEAR(F1077)=YEAR(S1077))</f>
        <v/>
      </c>
      <c r="Q1077" s="521">
        <f>U1077="L001-901905215"</f>
        <v/>
      </c>
      <c r="R1077" s="556">
        <f>G1077-W1077</f>
        <v/>
      </c>
      <c r="S1077" s="523" t="n">
        <v>44970</v>
      </c>
      <c r="T1077" s="522" t="inlineStr">
        <is>
          <t>2302001525</t>
        </is>
      </c>
      <c r="U1077" s="522" t="inlineStr">
        <is>
          <t>L001-901905215</t>
        </is>
      </c>
      <c r="V1077" s="522" t="inlineStr">
        <is>
          <t>វីអ៊ីស៊ិន (ខេមបូឌា) អ៊ិនដាសស្ទ្រី ឯ.ក</t>
        </is>
      </c>
      <c r="W1077" s="556" t="n">
        <v>2047</v>
      </c>
    </row>
    <row r="1078">
      <c r="A1078" s="521" t="n">
        <v>1070</v>
      </c>
      <c r="B1078" s="522" t="inlineStr">
        <is>
          <t>Export Adminstration Fee</t>
        </is>
      </c>
      <c r="C1078" s="522" t="inlineStr">
        <is>
          <t>ឆាយ ដា ឡូយីស្ទីក</t>
        </is>
      </c>
      <c r="D1078" s="522" t="inlineStr">
        <is>
          <t>L001-100063098</t>
        </is>
      </c>
      <c r="E1078" s="521" t="inlineStr">
        <is>
          <t>2302001516</t>
        </is>
      </c>
      <c r="F1078" s="523" t="n">
        <v>44970</v>
      </c>
      <c r="G1078" s="556" t="n">
        <v>89659</v>
      </c>
      <c r="I1078" s="521">
        <f>G1078</f>
        <v/>
      </c>
      <c r="K1078" s="521">
        <f>I1078-G1078</f>
        <v/>
      </c>
      <c r="M1078" s="522" t="inlineStr">
        <is>
          <t>2302001516</t>
        </is>
      </c>
      <c r="N1078" s="522" t="inlineStr">
        <is>
          <t>2302001516</t>
        </is>
      </c>
      <c r="O1078" s="521">
        <f>M1078=N1078</f>
        <v/>
      </c>
      <c r="P1078" s="521">
        <f>AND(MONTH(F1078)=MONTH(S1078), YEAR(F1078)=YEAR(S1078))</f>
        <v/>
      </c>
      <c r="Q1078" s="521">
        <f>U1078="L001-901905215"</f>
        <v/>
      </c>
      <c r="R1078" s="556">
        <f>G1078-W1078</f>
        <v/>
      </c>
      <c r="S1078" s="523" t="n">
        <v>44970</v>
      </c>
      <c r="T1078" s="522" t="inlineStr">
        <is>
          <t>2302001516</t>
        </is>
      </c>
      <c r="U1078" s="522" t="inlineStr">
        <is>
          <t>L001-901905215</t>
        </is>
      </c>
      <c r="V1078" s="522" t="inlineStr">
        <is>
          <t>វីអ៊ីស៊ិន (ខេមបូឌា) អ៊ិនដាសស្ទ្រី ឯ.ក</t>
        </is>
      </c>
      <c r="W1078" s="556" t="n">
        <v>89659</v>
      </c>
    </row>
    <row r="1079">
      <c r="A1079" s="521" t="n">
        <v>1071</v>
      </c>
      <c r="B1079" s="522" t="inlineStr">
        <is>
          <t>Clearance &amp; Trucking Fee</t>
        </is>
      </c>
      <c r="C1079" s="522" t="inlineStr">
        <is>
          <t>56ប៊ី-លីង សឹបផ្លាយ ឆេន មេនេចម៉ិន ឯ.ក</t>
        </is>
      </c>
      <c r="D1079" s="522" t="inlineStr">
        <is>
          <t>K004-902004795</t>
        </is>
      </c>
      <c r="E1079" s="521" t="inlineStr">
        <is>
          <t>TI2023-0119</t>
        </is>
      </c>
      <c r="F1079" s="523" t="n">
        <v>44970</v>
      </c>
      <c r="G1079" s="556" t="n">
        <v>186277</v>
      </c>
      <c r="I1079" s="521">
        <f>G1079</f>
        <v/>
      </c>
      <c r="K1079" s="521">
        <f>I1079-G1079</f>
        <v/>
      </c>
      <c r="M1079" s="522" t="inlineStr">
        <is>
          <t>TI20230119</t>
        </is>
      </c>
      <c r="N1079" s="522" t="inlineStr">
        <is>
          <t>TI20230119</t>
        </is>
      </c>
      <c r="O1079" s="521">
        <f>M1079=N1079</f>
        <v/>
      </c>
      <c r="P1079" s="521">
        <f>AND(MONTH(F1079)=MONTH(S1079), YEAR(F1079)=YEAR(S1079))</f>
        <v/>
      </c>
      <c r="Q1079" s="521">
        <f>U1079="L001-901905215"</f>
        <v/>
      </c>
      <c r="R1079" s="556">
        <f>G1079-W1079</f>
        <v/>
      </c>
      <c r="S1079" s="523" t="n">
        <v>44970</v>
      </c>
      <c r="T1079" s="522" t="inlineStr">
        <is>
          <t>TI2023-0119</t>
        </is>
      </c>
      <c r="U1079" s="522" t="inlineStr">
        <is>
          <t>L001-901905215</t>
        </is>
      </c>
      <c r="V1079" s="522" t="inlineStr">
        <is>
          <t>វីអ៊ីស៊ិន (ខេមបូឌា) អ៊ិនដាសស្ទ្រី ឯ.ក</t>
        </is>
      </c>
      <c r="W1079" s="556" t="n">
        <v>186277</v>
      </c>
    </row>
    <row r="1080">
      <c r="A1080" s="521" t="n">
        <v>1072</v>
      </c>
      <c r="B1080" s="522" t="inlineStr">
        <is>
          <t>Lift-On &amp; Lift-Off</t>
        </is>
      </c>
      <c r="C1080" s="522" t="inlineStr">
        <is>
          <t>កំពង់ផែស្វយ័តក្រុងព្រះសីហនុ</t>
        </is>
      </c>
      <c r="D1080" s="522" t="inlineStr">
        <is>
          <t>L001-100044638</t>
        </is>
      </c>
      <c r="E1080" s="521" t="inlineStr">
        <is>
          <t>019727</t>
        </is>
      </c>
      <c r="F1080" s="523" t="n">
        <v>44965</v>
      </c>
      <c r="G1080" s="556" t="n">
        <v>6968</v>
      </c>
      <c r="I1080" s="521">
        <f>G1080</f>
        <v/>
      </c>
      <c r="K1080" s="521">
        <f>I1080-G1080</f>
        <v/>
      </c>
      <c r="M1080" s="522" t="inlineStr">
        <is>
          <t>019727</t>
        </is>
      </c>
      <c r="N1080" s="522" t="inlineStr"/>
      <c r="O1080" s="521">
        <f>M1080=N1080</f>
        <v/>
      </c>
      <c r="P1080" s="521">
        <f>AND(MONTH(F1080)=MONTH(S1080), YEAR(F1080)=YEAR(S1080))</f>
        <v/>
      </c>
      <c r="Q1080" s="521">
        <f>U1080="L001-901905215"</f>
        <v/>
      </c>
      <c r="R1080" s="556">
        <f>G1080-W1080</f>
        <v/>
      </c>
      <c r="S1080" s="521" t="n"/>
      <c r="T1080" s="522" t="n"/>
      <c r="U1080" s="522" t="n"/>
      <c r="V1080" s="522" t="n"/>
      <c r="W1080" s="521" t="n"/>
    </row>
    <row r="1081">
      <c r="A1081" s="521" t="n">
        <v>1073</v>
      </c>
      <c r="B1081" s="522" t="inlineStr">
        <is>
          <t>Clearance &amp; Trucking Fee</t>
        </is>
      </c>
      <c r="C1081" s="522" t="inlineStr">
        <is>
          <t>56ប៊ី-លីង សឹបផ្លាយ ឆេន មេនេចម៉ិន ឯ.ក</t>
        </is>
      </c>
      <c r="D1081" s="522" t="inlineStr">
        <is>
          <t>K004-902004795</t>
        </is>
      </c>
      <c r="E1081" s="521" t="inlineStr">
        <is>
          <t>TI2023-0118</t>
        </is>
      </c>
      <c r="F1081" s="523" t="n">
        <v>44970</v>
      </c>
      <c r="G1081" s="556" t="n">
        <v>300909</v>
      </c>
      <c r="I1081" s="521">
        <f>G1081</f>
        <v/>
      </c>
      <c r="K1081" s="521">
        <f>I1081-G1081</f>
        <v/>
      </c>
      <c r="M1081" s="522" t="inlineStr">
        <is>
          <t>TI20230118</t>
        </is>
      </c>
      <c r="N1081" s="522" t="inlineStr">
        <is>
          <t>TI20230118</t>
        </is>
      </c>
      <c r="O1081" s="521">
        <f>M1081=N1081</f>
        <v/>
      </c>
      <c r="P1081" s="521">
        <f>AND(MONTH(F1081)=MONTH(S1081), YEAR(F1081)=YEAR(S1081))</f>
        <v/>
      </c>
      <c r="Q1081" s="521">
        <f>U1081="L001-901905215"</f>
        <v/>
      </c>
      <c r="R1081" s="556">
        <f>G1081-W1081</f>
        <v/>
      </c>
      <c r="S1081" s="523" t="n">
        <v>44970</v>
      </c>
      <c r="T1081" s="522" t="inlineStr">
        <is>
          <t>TI2023-0118</t>
        </is>
      </c>
      <c r="U1081" s="522" t="inlineStr">
        <is>
          <t>L001-901905215</t>
        </is>
      </c>
      <c r="V1081" s="522" t="inlineStr">
        <is>
          <t>វីអ៊ីស៊ិន (ខេមបូឌា) អ៊ិនដាសស្ទ្រី ឯ.ក</t>
        </is>
      </c>
      <c r="W1081" s="556" t="n">
        <v>300909</v>
      </c>
    </row>
    <row r="1082">
      <c r="A1082" s="521" t="n">
        <v>1074</v>
      </c>
      <c r="B1082" s="522" t="inlineStr">
        <is>
          <t>LIFT-OFF Charges</t>
        </is>
      </c>
      <c r="C1082" s="522" t="inlineStr">
        <is>
          <t>កំពង់ផែស្វយ័តភ្នំពេញ "ក.ស.ភ"</t>
        </is>
      </c>
      <c r="D1082" s="522" t="inlineStr">
        <is>
          <t>L001-100044999</t>
        </is>
      </c>
      <c r="E1082" s="521" t="inlineStr">
        <is>
          <t>INV20230207339</t>
        </is>
      </c>
      <c r="F1082" s="523" t="n">
        <v>44965</v>
      </c>
      <c r="G1082" s="556" t="n">
        <v>59026</v>
      </c>
      <c r="I1082" s="521">
        <f>G1082</f>
        <v/>
      </c>
      <c r="K1082" s="521">
        <f>I1082-G1082</f>
        <v/>
      </c>
      <c r="M1082" s="522" t="inlineStr">
        <is>
          <t>INV20230207339</t>
        </is>
      </c>
      <c r="N1082" s="522" t="inlineStr"/>
      <c r="O1082" s="521">
        <f>M1082=N1082</f>
        <v/>
      </c>
      <c r="P1082" s="521">
        <f>AND(MONTH(F1082)=MONTH(S1082), YEAR(F1082)=YEAR(S1082))</f>
        <v/>
      </c>
      <c r="Q1082" s="521">
        <f>U1082="L001-901905215"</f>
        <v/>
      </c>
      <c r="R1082" s="556">
        <f>G1082-W1082</f>
        <v/>
      </c>
      <c r="S1082" s="521" t="n"/>
      <c r="T1082" s="522" t="n"/>
      <c r="U1082" s="522" t="n"/>
      <c r="V1082" s="522" t="n"/>
      <c r="W1082" s="521" t="n"/>
    </row>
    <row r="1083">
      <c r="A1083" s="521" t="n">
        <v>1075</v>
      </c>
      <c r="B1083" s="522" t="inlineStr">
        <is>
          <t>Clearance &amp; Trucking Fee</t>
        </is>
      </c>
      <c r="C1083" s="522" t="inlineStr">
        <is>
          <t>56ប៊ី-លីង សឹបផ្លាយ ឆេន មេនេចម៉ិន ឯ.ក</t>
        </is>
      </c>
      <c r="D1083" s="522" t="inlineStr">
        <is>
          <t>K004-902004795</t>
        </is>
      </c>
      <c r="E1083" s="521" t="inlineStr">
        <is>
          <t>TI2023-0110</t>
        </is>
      </c>
      <c r="F1083" s="523" t="n">
        <v>44963</v>
      </c>
      <c r="G1083" s="556" t="n">
        <v>488852</v>
      </c>
      <c r="I1083" s="521">
        <f>G1083</f>
        <v/>
      </c>
      <c r="K1083" s="521">
        <f>I1083-G1083</f>
        <v/>
      </c>
      <c r="M1083" s="522" t="inlineStr">
        <is>
          <t>TI20230110</t>
        </is>
      </c>
      <c r="N1083" s="522" t="inlineStr">
        <is>
          <t>TI20230110</t>
        </is>
      </c>
      <c r="O1083" s="521">
        <f>M1083=N1083</f>
        <v/>
      </c>
      <c r="P1083" s="521">
        <f>AND(MONTH(F1083)=MONTH(S1083), YEAR(F1083)=YEAR(S1083))</f>
        <v/>
      </c>
      <c r="Q1083" s="521">
        <f>U1083="L001-901905215"</f>
        <v/>
      </c>
      <c r="R1083" s="556">
        <f>G1083-W1083</f>
        <v/>
      </c>
      <c r="S1083" s="523" t="n">
        <v>44963</v>
      </c>
      <c r="T1083" s="522" t="inlineStr">
        <is>
          <t>TI2023-0110</t>
        </is>
      </c>
      <c r="U1083" s="522" t="inlineStr">
        <is>
          <t>L001-901905215</t>
        </is>
      </c>
      <c r="V1083" s="522" t="inlineStr">
        <is>
          <t>វីអ៊ីស៊ិន (ខេមបូឌា) អ៊ិនដាសស្ទ្រី ឯ.ក</t>
        </is>
      </c>
      <c r="W1083" s="556" t="n">
        <v>488852</v>
      </c>
    </row>
    <row r="1084">
      <c r="A1084" s="521" t="n">
        <v>1076</v>
      </c>
      <c r="B1084" s="522" t="inlineStr">
        <is>
          <t>LIFT-OFF Charges</t>
        </is>
      </c>
      <c r="C1084" s="522" t="inlineStr">
        <is>
          <t>កំពង់ផែស្វយ័តភ្នំពេញ "ក.ស.ភ"</t>
        </is>
      </c>
      <c r="D1084" s="522" t="inlineStr">
        <is>
          <t>L001-100044999</t>
        </is>
      </c>
      <c r="E1084" s="521" t="inlineStr">
        <is>
          <t>INV20230207338</t>
        </is>
      </c>
      <c r="F1084" s="523" t="n">
        <v>44965</v>
      </c>
      <c r="G1084" s="556" t="n">
        <v>59026</v>
      </c>
      <c r="I1084" s="521">
        <f>G1084</f>
        <v/>
      </c>
      <c r="K1084" s="521">
        <f>I1084-G1084</f>
        <v/>
      </c>
      <c r="M1084" s="522" t="inlineStr">
        <is>
          <t>INV20230207338</t>
        </is>
      </c>
      <c r="N1084" s="522" t="inlineStr"/>
      <c r="O1084" s="521">
        <f>M1084=N1084</f>
        <v/>
      </c>
      <c r="P1084" s="521">
        <f>AND(MONTH(F1084)=MONTH(S1084), YEAR(F1084)=YEAR(S1084))</f>
        <v/>
      </c>
      <c r="Q1084" s="521">
        <f>U1084="L001-901905215"</f>
        <v/>
      </c>
      <c r="R1084" s="556">
        <f>G1084-W1084</f>
        <v/>
      </c>
      <c r="S1084" s="521" t="n"/>
      <c r="T1084" s="522" t="n"/>
      <c r="U1084" s="522" t="n"/>
      <c r="V1084" s="522" t="n"/>
      <c r="W1084" s="521" t="n"/>
    </row>
    <row r="1085">
      <c r="A1085" s="521" t="n">
        <v>1077</v>
      </c>
      <c r="B1085" s="522" t="inlineStr">
        <is>
          <t>Clearance &amp; Trucking Fee</t>
        </is>
      </c>
      <c r="C1085" s="522" t="inlineStr">
        <is>
          <t>56ប៊ី-លីង សឹបផ្លាយ ឆេន មេនេចម៉ិន ឯ.ក</t>
        </is>
      </c>
      <c r="D1085" s="522" t="inlineStr">
        <is>
          <t>K004-902004795</t>
        </is>
      </c>
      <c r="E1085" s="521" t="inlineStr">
        <is>
          <t>TI2023-0109</t>
        </is>
      </c>
      <c r="F1085" s="523" t="n">
        <v>44963</v>
      </c>
      <c r="G1085" s="556" t="n">
        <v>488852</v>
      </c>
      <c r="I1085" s="521">
        <f>G1085</f>
        <v/>
      </c>
      <c r="K1085" s="521">
        <f>I1085-G1085</f>
        <v/>
      </c>
      <c r="M1085" s="522" t="inlineStr">
        <is>
          <t>TI20230109</t>
        </is>
      </c>
      <c r="N1085" s="522" t="inlineStr">
        <is>
          <t>TI20230109</t>
        </is>
      </c>
      <c r="O1085" s="521">
        <f>M1085=N1085</f>
        <v/>
      </c>
      <c r="P1085" s="521">
        <f>AND(MONTH(F1085)=MONTH(S1085), YEAR(F1085)=YEAR(S1085))</f>
        <v/>
      </c>
      <c r="Q1085" s="521">
        <f>U1085="L001-901905215"</f>
        <v/>
      </c>
      <c r="R1085" s="556">
        <f>G1085-W1085</f>
        <v/>
      </c>
      <c r="S1085" s="523" t="n">
        <v>44963</v>
      </c>
      <c r="T1085" s="522" t="inlineStr">
        <is>
          <t>TI2023-0109</t>
        </is>
      </c>
      <c r="U1085" s="522" t="inlineStr">
        <is>
          <t>L001-901905215</t>
        </is>
      </c>
      <c r="V1085" s="522" t="inlineStr">
        <is>
          <t>វីអ៊ីស៊ិន (ខេមបូឌា) អ៊ិនដាសស្ទ្រី ឯ.ក</t>
        </is>
      </c>
      <c r="W1085" s="556" t="n">
        <v>488852</v>
      </c>
    </row>
    <row r="1086">
      <c r="A1086" s="521" t="n">
        <v>1078</v>
      </c>
      <c r="B1086" s="522" t="inlineStr">
        <is>
          <t>Lift-On &amp; Lift-Off</t>
        </is>
      </c>
      <c r="C1086" s="522" t="inlineStr">
        <is>
          <t>កំពង់ផែស្វយ័តក្រុងព្រះសីហនុ</t>
        </is>
      </c>
      <c r="D1086" s="522" t="inlineStr">
        <is>
          <t>L001-100044638</t>
        </is>
      </c>
      <c r="E1086" s="521" t="inlineStr">
        <is>
          <t>017497</t>
        </is>
      </c>
      <c r="F1086" s="523" t="n">
        <v>44959</v>
      </c>
      <c r="G1086" s="556" t="n">
        <v>20961</v>
      </c>
      <c r="I1086" s="521">
        <f>G1086</f>
        <v/>
      </c>
      <c r="K1086" s="521">
        <f>I1086-G1086</f>
        <v/>
      </c>
      <c r="M1086" s="522" t="inlineStr">
        <is>
          <t>017497</t>
        </is>
      </c>
      <c r="N1086" s="522" t="inlineStr"/>
      <c r="O1086" s="521">
        <f>M1086=N1086</f>
        <v/>
      </c>
      <c r="P1086" s="521">
        <f>AND(MONTH(F1086)=MONTH(S1086), YEAR(F1086)=YEAR(S1086))</f>
        <v/>
      </c>
      <c r="Q1086" s="521">
        <f>U1086="L001-901905215"</f>
        <v/>
      </c>
      <c r="R1086" s="556">
        <f>G1086-W1086</f>
        <v/>
      </c>
      <c r="S1086" s="521" t="n"/>
      <c r="T1086" s="522" t="n"/>
      <c r="U1086" s="522" t="n"/>
      <c r="V1086" s="522" t="n"/>
      <c r="W1086" s="521" t="n"/>
    </row>
    <row r="1087">
      <c r="A1087" s="521" t="n">
        <v>1079</v>
      </c>
      <c r="B1087" s="522" t="inlineStr">
        <is>
          <t>Clearance &amp; Trucking Fee</t>
        </is>
      </c>
      <c r="C1087" s="522" t="inlineStr">
        <is>
          <t>56ប៊ី-លីង សឹបផ្លាយ ឆេន មេនេចម៉ិន ឯ.ក</t>
        </is>
      </c>
      <c r="D1087" s="522" t="inlineStr">
        <is>
          <t>K004-902004795</t>
        </is>
      </c>
      <c r="E1087" s="521" t="inlineStr">
        <is>
          <t>TI2023-0108</t>
        </is>
      </c>
      <c r="F1087" s="523" t="n">
        <v>44963</v>
      </c>
      <c r="G1087" s="556" t="n">
        <v>790790</v>
      </c>
      <c r="I1087" s="521">
        <f>G1087</f>
        <v/>
      </c>
      <c r="K1087" s="521">
        <f>I1087-G1087</f>
        <v/>
      </c>
      <c r="M1087" s="522" t="inlineStr">
        <is>
          <t>TI20230108</t>
        </is>
      </c>
      <c r="N1087" s="522" t="inlineStr">
        <is>
          <t>TI20230108</t>
        </is>
      </c>
      <c r="O1087" s="521">
        <f>M1087=N1087</f>
        <v/>
      </c>
      <c r="P1087" s="521">
        <f>AND(MONTH(F1087)=MONTH(S1087), YEAR(F1087)=YEAR(S1087))</f>
        <v/>
      </c>
      <c r="Q1087" s="521">
        <f>U1087="L001-901905215"</f>
        <v/>
      </c>
      <c r="R1087" s="556">
        <f>G1087-W1087</f>
        <v/>
      </c>
      <c r="S1087" s="523" t="n">
        <v>44963</v>
      </c>
      <c r="T1087" s="522" t="inlineStr">
        <is>
          <t>TI2023-0108</t>
        </is>
      </c>
      <c r="U1087" s="522" t="inlineStr">
        <is>
          <t>L001-901905215</t>
        </is>
      </c>
      <c r="V1087" s="522" t="inlineStr">
        <is>
          <t>វីអ៊ីស៊ិន (ខេមបូឌា) អ៊ិនដាសស្ទ្រី ឯ.ក</t>
        </is>
      </c>
      <c r="W1087" s="556" t="n">
        <v>790790</v>
      </c>
    </row>
    <row r="1088">
      <c r="A1088" s="521" t="n">
        <v>1080</v>
      </c>
      <c r="B1088" s="522" t="inlineStr">
        <is>
          <t>Clearance &amp; Trucking Fee</t>
        </is>
      </c>
      <c r="C1088" s="522" t="inlineStr">
        <is>
          <t>56ប៊ី-លីង សឹបផ្លាយ ឆេន មេនេចម៉ិន ឯ.ក</t>
        </is>
      </c>
      <c r="D1088" s="522" t="inlineStr">
        <is>
          <t>K004-902004795</t>
        </is>
      </c>
      <c r="E1088" s="521" t="inlineStr">
        <is>
          <t>TI2023-0107</t>
        </is>
      </c>
      <c r="F1088" s="523" t="n">
        <v>44963</v>
      </c>
      <c r="G1088" s="556" t="n">
        <v>186914</v>
      </c>
      <c r="I1088" s="521">
        <f>G1088</f>
        <v/>
      </c>
      <c r="K1088" s="521">
        <f>I1088-G1088</f>
        <v/>
      </c>
      <c r="M1088" s="522" t="inlineStr">
        <is>
          <t>TI20230107</t>
        </is>
      </c>
      <c r="N1088" s="522" t="inlineStr">
        <is>
          <t>TI20230107</t>
        </is>
      </c>
      <c r="O1088" s="521">
        <f>M1088=N1088</f>
        <v/>
      </c>
      <c r="P1088" s="521">
        <f>AND(MONTH(F1088)=MONTH(S1088), YEAR(F1088)=YEAR(S1088))</f>
        <v/>
      </c>
      <c r="Q1088" s="521">
        <f>U1088="L001-901905215"</f>
        <v/>
      </c>
      <c r="R1088" s="556">
        <f>G1088-W1088</f>
        <v/>
      </c>
      <c r="S1088" s="523" t="n">
        <v>44963</v>
      </c>
      <c r="T1088" s="522" t="inlineStr">
        <is>
          <t>TI2023-0107</t>
        </is>
      </c>
      <c r="U1088" s="522" t="inlineStr">
        <is>
          <t>L001-901905215</t>
        </is>
      </c>
      <c r="V1088" s="522" t="inlineStr">
        <is>
          <t>វីអ៊ីស៊ិន (ខេមបូឌា) អ៊ិនដាសស្ទ្រី ឯ.ក</t>
        </is>
      </c>
      <c r="W1088" s="556" t="n">
        <v>186914</v>
      </c>
    </row>
    <row r="1089">
      <c r="A1089" s="521" t="n">
        <v>1081</v>
      </c>
      <c r="B1089" s="522" t="inlineStr">
        <is>
          <t>Export Adminstration Fee</t>
        </is>
      </c>
      <c r="C1089" s="522" t="inlineStr">
        <is>
          <t>ឆាយ ដា ឡូយីស្ទីក</t>
        </is>
      </c>
      <c r="D1089" s="522" t="inlineStr">
        <is>
          <t>L001-100063098</t>
        </is>
      </c>
      <c r="E1089" s="521" t="inlineStr">
        <is>
          <t>2302001289</t>
        </is>
      </c>
      <c r="F1089" s="523" t="n">
        <v>44963</v>
      </c>
      <c r="G1089" s="556" t="n">
        <v>89965</v>
      </c>
      <c r="I1089" s="521">
        <f>G1089</f>
        <v/>
      </c>
      <c r="K1089" s="521">
        <f>I1089-G1089</f>
        <v/>
      </c>
      <c r="M1089" s="522" t="inlineStr">
        <is>
          <t>2302001289</t>
        </is>
      </c>
      <c r="N1089" s="522" t="inlineStr">
        <is>
          <t>2302001289</t>
        </is>
      </c>
      <c r="O1089" s="521">
        <f>M1089=N1089</f>
        <v/>
      </c>
      <c r="P1089" s="521">
        <f>AND(MONTH(F1089)=MONTH(S1089), YEAR(F1089)=YEAR(S1089))</f>
        <v/>
      </c>
      <c r="Q1089" s="521">
        <f>U1089="L001-901905215"</f>
        <v/>
      </c>
      <c r="R1089" s="556">
        <f>G1089-W1089</f>
        <v/>
      </c>
      <c r="S1089" s="523" t="n">
        <v>44963</v>
      </c>
      <c r="T1089" s="522" t="inlineStr">
        <is>
          <t>2302001289</t>
        </is>
      </c>
      <c r="U1089" s="522" t="inlineStr">
        <is>
          <t>L001-901905215</t>
        </is>
      </c>
      <c r="V1089" s="522" t="inlineStr">
        <is>
          <t>វីអ៊ីស៊ិន (ខេមបូឌា) អ៊ិនដាសស្ទ្រី ឯ.ក</t>
        </is>
      </c>
      <c r="W1089" s="556" t="n">
        <v>89965</v>
      </c>
    </row>
    <row r="1090">
      <c r="A1090" s="521" t="n">
        <v>1082</v>
      </c>
      <c r="B1090" s="522" t="inlineStr">
        <is>
          <t>Clearance &amp; Trucking Fee</t>
        </is>
      </c>
      <c r="C1090" s="522" t="inlineStr">
        <is>
          <t>56ប៊ី-លីង សឹបផ្លាយ ឆេន មេនេចម៉ិន ឯ.ក</t>
        </is>
      </c>
      <c r="D1090" s="522" t="inlineStr">
        <is>
          <t>K004-902004795</t>
        </is>
      </c>
      <c r="E1090" s="521" t="inlineStr">
        <is>
          <t>TI2023-0106</t>
        </is>
      </c>
      <c r="F1090" s="523" t="n">
        <v>44963</v>
      </c>
      <c r="G1090" s="556" t="n">
        <v>211562</v>
      </c>
      <c r="I1090" s="521">
        <f>G1090</f>
        <v/>
      </c>
      <c r="K1090" s="521">
        <f>I1090-G1090</f>
        <v/>
      </c>
      <c r="M1090" s="522" t="inlineStr">
        <is>
          <t>TI20230106</t>
        </is>
      </c>
      <c r="N1090" s="522" t="inlineStr">
        <is>
          <t>TI20230106</t>
        </is>
      </c>
      <c r="O1090" s="521">
        <f>M1090=N1090</f>
        <v/>
      </c>
      <c r="P1090" s="521">
        <f>AND(MONTH(F1090)=MONTH(S1090), YEAR(F1090)=YEAR(S1090))</f>
        <v/>
      </c>
      <c r="Q1090" s="521">
        <f>U1090="L001-901905215"</f>
        <v/>
      </c>
      <c r="R1090" s="556">
        <f>G1090-W1090</f>
        <v/>
      </c>
      <c r="S1090" s="523" t="n">
        <v>44963</v>
      </c>
      <c r="T1090" s="522" t="inlineStr">
        <is>
          <t>TI2023-0106</t>
        </is>
      </c>
      <c r="U1090" s="522" t="inlineStr">
        <is>
          <t>L001-901905215</t>
        </is>
      </c>
      <c r="V1090" s="522" t="inlineStr">
        <is>
          <t>វីអ៊ីស៊ិន (ខេមបូឌា) អ៊ិនដាសស្ទ្រី ឯ.ក</t>
        </is>
      </c>
      <c r="W1090" s="556" t="n">
        <v>211562</v>
      </c>
    </row>
    <row r="1091">
      <c r="A1091" s="521" t="n">
        <v>1083</v>
      </c>
      <c r="B1091" s="522" t="inlineStr">
        <is>
          <t>Export Adminstration Fee</t>
        </is>
      </c>
      <c r="C1091" s="522" t="inlineStr">
        <is>
          <t>ឆាយ ដា ឡូយីស្ទីក</t>
        </is>
      </c>
      <c r="D1091" s="522" t="inlineStr">
        <is>
          <t>L001-100063098</t>
        </is>
      </c>
      <c r="E1091" s="521" t="inlineStr">
        <is>
          <t>2302001319</t>
        </is>
      </c>
      <c r="F1091" s="523" t="n">
        <v>44963</v>
      </c>
      <c r="G1091" s="556" t="n">
        <v>89965</v>
      </c>
      <c r="I1091" s="521">
        <f>G1091</f>
        <v/>
      </c>
      <c r="K1091" s="521">
        <f>I1091-G1091</f>
        <v/>
      </c>
      <c r="M1091" s="522" t="inlineStr">
        <is>
          <t>2302001319</t>
        </is>
      </c>
      <c r="N1091" s="522" t="inlineStr">
        <is>
          <t>2302001319</t>
        </is>
      </c>
      <c r="O1091" s="521">
        <f>M1091=N1091</f>
        <v/>
      </c>
      <c r="P1091" s="521">
        <f>AND(MONTH(F1091)=MONTH(S1091), YEAR(F1091)=YEAR(S1091))</f>
        <v/>
      </c>
      <c r="Q1091" s="521">
        <f>U1091="L001-901905215"</f>
        <v/>
      </c>
      <c r="R1091" s="556">
        <f>G1091-W1091</f>
        <v/>
      </c>
      <c r="S1091" s="523" t="n">
        <v>44963</v>
      </c>
      <c r="T1091" s="522" t="inlineStr">
        <is>
          <t>2302001319</t>
        </is>
      </c>
      <c r="U1091" s="522" t="inlineStr">
        <is>
          <t>L001-901905215</t>
        </is>
      </c>
      <c r="V1091" s="522" t="inlineStr">
        <is>
          <t>វីអ៊ីស៊ិន (ខេមបូឌា) អ៊ិនដាសស្ទ្រី ឯ.ក</t>
        </is>
      </c>
      <c r="W1091" s="556" t="n">
        <v>89965</v>
      </c>
    </row>
    <row r="1092">
      <c r="A1092" s="521" t="n">
        <v>1084</v>
      </c>
      <c r="B1092" s="522" t="inlineStr">
        <is>
          <t>Clearance &amp; Trucking Fee</t>
        </is>
      </c>
      <c r="C1092" s="522" t="inlineStr">
        <is>
          <t>56ប៊ី-លីង សឹបផ្លាយ ឆេន មេនេចម៉ិន ឯ.ក</t>
        </is>
      </c>
      <c r="D1092" s="522" t="inlineStr">
        <is>
          <t>K004-902004795</t>
        </is>
      </c>
      <c r="E1092" s="521" t="inlineStr">
        <is>
          <t>TI2023-0105</t>
        </is>
      </c>
      <c r="F1092" s="523" t="n">
        <v>44963</v>
      </c>
      <c r="G1092" s="556" t="n">
        <v>172536</v>
      </c>
      <c r="I1092" s="521">
        <f>G1092</f>
        <v/>
      </c>
      <c r="K1092" s="521">
        <f>I1092-G1092</f>
        <v/>
      </c>
      <c r="M1092" s="522" t="inlineStr">
        <is>
          <t>TI20230105</t>
        </is>
      </c>
      <c r="N1092" s="522" t="inlineStr">
        <is>
          <t>TI20230105</t>
        </is>
      </c>
      <c r="O1092" s="521">
        <f>M1092=N1092</f>
        <v/>
      </c>
      <c r="P1092" s="521">
        <f>AND(MONTH(F1092)=MONTH(S1092), YEAR(F1092)=YEAR(S1092))</f>
        <v/>
      </c>
      <c r="Q1092" s="521">
        <f>U1092="L001-901905215"</f>
        <v/>
      </c>
      <c r="R1092" s="556">
        <f>G1092-W1092</f>
        <v/>
      </c>
      <c r="S1092" s="523" t="n">
        <v>44963</v>
      </c>
      <c r="T1092" s="522" t="inlineStr">
        <is>
          <t>TI2023-0105</t>
        </is>
      </c>
      <c r="U1092" s="522" t="inlineStr">
        <is>
          <t>L001-901905215</t>
        </is>
      </c>
      <c r="V1092" s="522" t="inlineStr">
        <is>
          <t>វីអ៊ីស៊ិន (ខេមបូឌា) អ៊ិនដាសស្ទ្រី ឯ.ក</t>
        </is>
      </c>
      <c r="W1092" s="556" t="n">
        <v>172536</v>
      </c>
    </row>
    <row r="1093">
      <c r="A1093" s="521" t="n">
        <v>1085</v>
      </c>
      <c r="B1093" s="522" t="inlineStr">
        <is>
          <t>Export Adminstration Fee</t>
        </is>
      </c>
      <c r="C1093" s="522" t="inlineStr">
        <is>
          <t>ឆាយ ដា ឡូយីស្ទីក</t>
        </is>
      </c>
      <c r="D1093" s="522" t="inlineStr">
        <is>
          <t>L001-100063098</t>
        </is>
      </c>
      <c r="E1093" s="521" t="inlineStr">
        <is>
          <t>2302001315</t>
        </is>
      </c>
      <c r="F1093" s="523" t="n">
        <v>44963</v>
      </c>
      <c r="G1093" s="556" t="n">
        <v>89965</v>
      </c>
      <c r="I1093" s="521">
        <f>G1093</f>
        <v/>
      </c>
      <c r="K1093" s="521">
        <f>I1093-G1093</f>
        <v/>
      </c>
      <c r="M1093" s="522" t="inlineStr">
        <is>
          <t>2302001315</t>
        </is>
      </c>
      <c r="N1093" s="522" t="inlineStr">
        <is>
          <t>2302001315</t>
        </is>
      </c>
      <c r="O1093" s="521">
        <f>M1093=N1093</f>
        <v/>
      </c>
      <c r="P1093" s="521">
        <f>AND(MONTH(F1093)=MONTH(S1093), YEAR(F1093)=YEAR(S1093))</f>
        <v/>
      </c>
      <c r="Q1093" s="521">
        <f>U1093="L001-901905215"</f>
        <v/>
      </c>
      <c r="R1093" s="556">
        <f>G1093-W1093</f>
        <v/>
      </c>
      <c r="S1093" s="523" t="n">
        <v>44963</v>
      </c>
      <c r="T1093" s="522" t="inlineStr">
        <is>
          <t>2302001315</t>
        </is>
      </c>
      <c r="U1093" s="522" t="inlineStr">
        <is>
          <t>L001-901905215</t>
        </is>
      </c>
      <c r="V1093" s="522" t="inlineStr">
        <is>
          <t>វីអ៊ីស៊ិន (ខេមបូឌា) អ៊ិនដាសស្ទ្រី ឯ.ក</t>
        </is>
      </c>
      <c r="W1093" s="556" t="n">
        <v>89965</v>
      </c>
    </row>
    <row r="1094">
      <c r="A1094" s="521" t="n">
        <v>1086</v>
      </c>
      <c r="B1094" s="522" t="inlineStr">
        <is>
          <t>Clearance &amp; Trucking Fee</t>
        </is>
      </c>
      <c r="C1094" s="522" t="inlineStr">
        <is>
          <t>56ប៊ី-លីង សឹបផ្លាយ ឆេន មេនេចម៉ិន ឯ.ក</t>
        </is>
      </c>
      <c r="D1094" s="522" t="inlineStr">
        <is>
          <t>K004-902004795</t>
        </is>
      </c>
      <c r="E1094" s="521" t="inlineStr">
        <is>
          <t>TI2023-0104</t>
        </is>
      </c>
      <c r="F1094" s="523" t="n">
        <v>44963</v>
      </c>
      <c r="G1094" s="556" t="n">
        <v>211562</v>
      </c>
      <c r="I1094" s="521">
        <f>G1094</f>
        <v/>
      </c>
      <c r="K1094" s="521">
        <f>I1094-G1094</f>
        <v/>
      </c>
      <c r="M1094" s="522" t="inlineStr">
        <is>
          <t>TI20230104</t>
        </is>
      </c>
      <c r="N1094" s="522" t="inlineStr">
        <is>
          <t>TI20230104</t>
        </is>
      </c>
      <c r="O1094" s="521">
        <f>M1094=N1094</f>
        <v/>
      </c>
      <c r="P1094" s="521">
        <f>AND(MONTH(F1094)=MONTH(S1094), YEAR(F1094)=YEAR(S1094))</f>
        <v/>
      </c>
      <c r="Q1094" s="521">
        <f>U1094="L001-901905215"</f>
        <v/>
      </c>
      <c r="R1094" s="556">
        <f>G1094-W1094</f>
        <v/>
      </c>
      <c r="S1094" s="523" t="n">
        <v>44963</v>
      </c>
      <c r="T1094" s="522" t="inlineStr">
        <is>
          <t>TI2023-0104</t>
        </is>
      </c>
      <c r="U1094" s="522" t="inlineStr">
        <is>
          <t>L001-901905215</t>
        </is>
      </c>
      <c r="V1094" s="522" t="inlineStr">
        <is>
          <t>វីអ៊ីស៊ិន (ខេមបូឌា) អ៊ិនដាសស្ទ្រី ឯ.ក</t>
        </is>
      </c>
      <c r="W1094" s="556" t="n">
        <v>211562</v>
      </c>
    </row>
    <row r="1095">
      <c r="A1095" s="521" t="n">
        <v>1087</v>
      </c>
      <c r="B1095" s="522" t="inlineStr">
        <is>
          <t>LIFT-OFF Charges</t>
        </is>
      </c>
      <c r="C1095" s="522" t="inlineStr">
        <is>
          <t>កំពង់ផែស្វយ័តភ្នំពេញ "ក.ស.ភ"</t>
        </is>
      </c>
      <c r="D1095" s="522" t="inlineStr">
        <is>
          <t>L001-100044999</t>
        </is>
      </c>
      <c r="E1095" s="521" t="inlineStr">
        <is>
          <t>INV20230207341</t>
        </is>
      </c>
      <c r="F1095" s="523" t="n">
        <v>44965</v>
      </c>
      <c r="G1095" s="556" t="n">
        <v>59026</v>
      </c>
      <c r="I1095" s="521">
        <f>G1095</f>
        <v/>
      </c>
      <c r="K1095" s="521">
        <f>I1095-G1095</f>
        <v/>
      </c>
      <c r="M1095" s="522" t="inlineStr">
        <is>
          <t>INV20230207341</t>
        </is>
      </c>
      <c r="N1095" s="522" t="inlineStr"/>
      <c r="O1095" s="521">
        <f>M1095=N1095</f>
        <v/>
      </c>
      <c r="P1095" s="521">
        <f>AND(MONTH(F1095)=MONTH(S1095), YEAR(F1095)=YEAR(S1095))</f>
        <v/>
      </c>
      <c r="Q1095" s="521">
        <f>U1095="L001-901905215"</f>
        <v/>
      </c>
      <c r="R1095" s="556">
        <f>G1095-W1095</f>
        <v/>
      </c>
      <c r="S1095" s="521" t="n"/>
      <c r="T1095" s="522" t="n"/>
      <c r="U1095" s="522" t="n"/>
      <c r="V1095" s="522" t="n"/>
      <c r="W1095" s="521" t="n"/>
    </row>
    <row r="1096">
      <c r="A1096" s="521" t="n">
        <v>1088</v>
      </c>
      <c r="B1096" s="522" t="inlineStr">
        <is>
          <t>Clearance &amp; Trucking Fee</t>
        </is>
      </c>
      <c r="C1096" s="522" t="inlineStr">
        <is>
          <t>56ប៊ី-លីង សឹបផ្លាយ ឆេន មេនេចម៉ិន ឯ.ក</t>
        </is>
      </c>
      <c r="D1096" s="522" t="inlineStr">
        <is>
          <t>K004-902004795</t>
        </is>
      </c>
      <c r="E1096" s="521" t="inlineStr">
        <is>
          <t>TI2023-0103</t>
        </is>
      </c>
      <c r="F1096" s="523" t="n">
        <v>44963</v>
      </c>
      <c r="G1096" s="556" t="n">
        <v>488852</v>
      </c>
      <c r="I1096" s="521">
        <f>G1096</f>
        <v/>
      </c>
      <c r="K1096" s="521">
        <f>I1096-G1096</f>
        <v/>
      </c>
      <c r="M1096" s="522" t="inlineStr">
        <is>
          <t>TI20230103</t>
        </is>
      </c>
      <c r="N1096" s="522" t="inlineStr">
        <is>
          <t>TI20230103</t>
        </is>
      </c>
      <c r="O1096" s="521">
        <f>M1096=N1096</f>
        <v/>
      </c>
      <c r="P1096" s="521">
        <f>AND(MONTH(F1096)=MONTH(S1096), YEAR(F1096)=YEAR(S1096))</f>
        <v/>
      </c>
      <c r="Q1096" s="521">
        <f>U1096="L001-901905215"</f>
        <v/>
      </c>
      <c r="R1096" s="556">
        <f>G1096-W1096</f>
        <v/>
      </c>
      <c r="S1096" s="523" t="n">
        <v>44963</v>
      </c>
      <c r="T1096" s="522" t="inlineStr">
        <is>
          <t>TI2023-0103</t>
        </is>
      </c>
      <c r="U1096" s="522" t="inlineStr">
        <is>
          <t>L001-901905215</t>
        </is>
      </c>
      <c r="V1096" s="522" t="inlineStr">
        <is>
          <t>វីអ៊ីស៊ិន (ខេមបូឌា) អ៊ិនដាសស្ទ្រី ឯ.ក</t>
        </is>
      </c>
      <c r="W1096" s="556" t="n">
        <v>488852</v>
      </c>
    </row>
    <row r="1097">
      <c r="A1097" s="521" t="n">
        <v>1089</v>
      </c>
      <c r="B1097" s="522" t="inlineStr">
        <is>
          <t>Carton</t>
        </is>
      </c>
      <c r="C1097" s="522" t="inlineStr">
        <is>
          <t>យី មីង ភែកឃីជីង ឯ.ក</t>
        </is>
      </c>
      <c r="D1097" s="522" t="inlineStr">
        <is>
          <t>B108-902101335</t>
        </is>
      </c>
      <c r="E1097" s="521" t="inlineStr">
        <is>
          <t>YM-0003</t>
        </is>
      </c>
      <c r="F1097" s="523" t="n">
        <v>44985</v>
      </c>
      <c r="G1097" s="556" t="n">
        <v>4825486</v>
      </c>
      <c r="I1097" s="521">
        <f>G1097</f>
        <v/>
      </c>
      <c r="K1097" s="521">
        <f>I1097-G1097</f>
        <v/>
      </c>
      <c r="M1097" s="522" t="inlineStr">
        <is>
          <t>YM0003</t>
        </is>
      </c>
      <c r="N1097" s="522" t="inlineStr">
        <is>
          <t>YM0003</t>
        </is>
      </c>
      <c r="O1097" s="521">
        <f>M1097=N1097</f>
        <v/>
      </c>
      <c r="P1097" s="521">
        <f>AND(MONTH(F1097)=MONTH(S1097), YEAR(F1097)=YEAR(S1097))</f>
        <v/>
      </c>
      <c r="Q1097" s="521">
        <f>U1097="L001-901905215"</f>
        <v/>
      </c>
      <c r="R1097" s="556">
        <f>G1097-W1097</f>
        <v/>
      </c>
      <c r="S1097" s="523" t="n">
        <v>44469</v>
      </c>
      <c r="T1097" s="522" t="inlineStr">
        <is>
          <t>YM-0003</t>
        </is>
      </c>
      <c r="U1097" s="522" t="inlineStr">
        <is>
          <t>L001-901905215</t>
        </is>
      </c>
      <c r="V1097" s="522" t="inlineStr">
        <is>
          <t>វីអ៊ីស៊ិន (ខេមបូឌា) អ៊ិនដាសស្ទ្រី ឯ.ក</t>
        </is>
      </c>
      <c r="W1097" s="556" t="n">
        <v>17092656</v>
      </c>
    </row>
    <row r="1098">
      <c r="A1098" s="521" t="n">
        <v>1090</v>
      </c>
      <c r="B1098" s="522" t="inlineStr">
        <is>
          <t>Paper Label</t>
        </is>
      </c>
      <c r="C1098" s="522" t="inlineStr">
        <is>
          <t>ស៊ីន ហ្វី យ៉ាង ព្រីនធីង &amp; អិកសេសសឺរី ឯ.ក</t>
        </is>
      </c>
      <c r="D1098" s="522" t="inlineStr">
        <is>
          <t>K010-901906822</t>
        </is>
      </c>
      <c r="E1098" s="521" t="inlineStr">
        <is>
          <t>XFY-YD2023031</t>
        </is>
      </c>
      <c r="F1098" s="523" t="n">
        <v>44985</v>
      </c>
      <c r="G1098" s="556" t="n">
        <v>116281</v>
      </c>
      <c r="I1098" s="521">
        <f>G1098</f>
        <v/>
      </c>
      <c r="K1098" s="521">
        <f>I1098-G1098</f>
        <v/>
      </c>
      <c r="M1098" s="522" t="inlineStr">
        <is>
          <t>XFYYD2023031</t>
        </is>
      </c>
      <c r="N1098" s="522" t="inlineStr">
        <is>
          <t>XFYYD2023031</t>
        </is>
      </c>
      <c r="O1098" s="521">
        <f>M1098=N1098</f>
        <v/>
      </c>
      <c r="P1098" s="521">
        <f>AND(MONTH(F1098)=MONTH(S1098), YEAR(F1098)=YEAR(S1098))</f>
        <v/>
      </c>
      <c r="Q1098" s="521">
        <f>U1098="L001-901905215"</f>
        <v/>
      </c>
      <c r="R1098" s="556">
        <f>G1098-W1098</f>
        <v/>
      </c>
      <c r="S1098" s="523" t="n">
        <v>44985</v>
      </c>
      <c r="T1098" s="522" t="inlineStr">
        <is>
          <t>XFY-YD2023031</t>
        </is>
      </c>
      <c r="U1098" s="522" t="inlineStr">
        <is>
          <t>L001-901905215</t>
        </is>
      </c>
      <c r="V1098" s="522" t="inlineStr">
        <is>
          <t>វីអ៊ីស៊ិន (ខេមបូឌា) អ៊ិនដាសស្ទ្រី ឯ.ក</t>
        </is>
      </c>
      <c r="W1098" s="556" t="n">
        <v>116281</v>
      </c>
    </row>
    <row r="1099">
      <c r="A1099" s="521" t="n">
        <v>1091</v>
      </c>
      <c r="B1099" s="522" t="inlineStr">
        <is>
          <t>Carton Box,PDQ,Color Box</t>
        </is>
      </c>
      <c r="C1099" s="522" t="inlineStr">
        <is>
          <t>វីង ចេង ភែកឃីជីង ឯ.ក</t>
        </is>
      </c>
      <c r="D1099" s="522" t="inlineStr">
        <is>
          <t>L001-902102915</t>
        </is>
      </c>
      <c r="E1099" s="521" t="inlineStr">
        <is>
          <t>TI0140</t>
        </is>
      </c>
      <c r="F1099" s="523" t="n">
        <v>44985</v>
      </c>
      <c r="G1099" s="556" t="n">
        <v>2742609</v>
      </c>
      <c r="I1099" s="521">
        <f>G1099</f>
        <v/>
      </c>
      <c r="K1099" s="521">
        <f>I1099-G1099</f>
        <v/>
      </c>
      <c r="M1099" s="522" t="inlineStr">
        <is>
          <t>TI0140</t>
        </is>
      </c>
      <c r="N1099" s="522" t="inlineStr">
        <is>
          <t>TI0140</t>
        </is>
      </c>
      <c r="O1099" s="521">
        <f>M1099=N1099</f>
        <v/>
      </c>
      <c r="P1099" s="521">
        <f>AND(MONTH(F1099)=MONTH(S1099), YEAR(F1099)=YEAR(S1099))</f>
        <v/>
      </c>
      <c r="Q1099" s="521">
        <f>U1099="L001-901905215"</f>
        <v/>
      </c>
      <c r="R1099" s="556">
        <f>G1099-W1099</f>
        <v/>
      </c>
      <c r="S1099" s="523" t="n">
        <v>44985</v>
      </c>
      <c r="T1099" s="522" t="inlineStr">
        <is>
          <t>TI0140</t>
        </is>
      </c>
      <c r="U1099" s="522" t="inlineStr">
        <is>
          <t>L001-901905215</t>
        </is>
      </c>
      <c r="V1099" s="522" t="inlineStr">
        <is>
          <t>វីអ៊ីស៊ិន (ខេមបូឌា) អ៊ិនដាសស្ទ្រី ឯ.ក</t>
        </is>
      </c>
      <c r="W1099" s="556" t="n">
        <v>2742609</v>
      </c>
    </row>
    <row r="1100">
      <c r="A1100" s="521" t="n">
        <v>1092</v>
      </c>
      <c r="B1100" s="522" t="inlineStr">
        <is>
          <t>Poly bag</t>
        </is>
      </c>
      <c r="C1100" s="522" t="inlineStr">
        <is>
          <t>ហុង ហ៊ីង ភែកឃីជីង មេធៀរៀល ឯ.ក</t>
        </is>
      </c>
      <c r="D1100" s="522" t="inlineStr">
        <is>
          <t>L001-901900945</t>
        </is>
      </c>
      <c r="E1100" s="521" t="inlineStr">
        <is>
          <t>T2023-000059</t>
        </is>
      </c>
      <c r="F1100" s="523" t="n">
        <v>44985</v>
      </c>
      <c r="G1100" s="556" t="n">
        <v>230513</v>
      </c>
      <c r="I1100" s="521">
        <f>G1100</f>
        <v/>
      </c>
      <c r="K1100" s="521">
        <f>I1100-G1100</f>
        <v/>
      </c>
      <c r="M1100" s="522" t="inlineStr">
        <is>
          <t>T2023000059</t>
        </is>
      </c>
      <c r="N1100" s="522" t="inlineStr">
        <is>
          <t>T2023000059</t>
        </is>
      </c>
      <c r="O1100" s="521">
        <f>M1100=N1100</f>
        <v/>
      </c>
      <c r="P1100" s="521">
        <f>AND(MONTH(F1100)=MONTH(S1100), YEAR(F1100)=YEAR(S1100))</f>
        <v/>
      </c>
      <c r="Q1100" s="521">
        <f>U1100="L001-901905215"</f>
        <v/>
      </c>
      <c r="R1100" s="556">
        <f>G1100-W1100</f>
        <v/>
      </c>
      <c r="S1100" s="523" t="n">
        <v>44985</v>
      </c>
      <c r="T1100" s="522" t="inlineStr">
        <is>
          <t>T2023-000059</t>
        </is>
      </c>
      <c r="U1100" s="522" t="inlineStr">
        <is>
          <t>L001-901905215</t>
        </is>
      </c>
      <c r="V1100" s="522" t="inlineStr">
        <is>
          <t>វីអ៊ីស៊ិន (ខេមបូឌា) អ៊ិនដាសស្ទ្រី ឯ.ក</t>
        </is>
      </c>
      <c r="W1100" s="556" t="n">
        <v>230513</v>
      </c>
    </row>
    <row r="1101">
      <c r="A1101" s="521" t="n">
        <v>1093</v>
      </c>
      <c r="B1101" s="522" t="inlineStr">
        <is>
          <t>ផ្លាក្រដាស​និង​ក្រដាស</t>
        </is>
      </c>
      <c r="C1101" s="522" t="inlineStr">
        <is>
          <t>ដុងគ័ន ស៊ីធី ហ្វាញស្តារ ព្រីនធីង (ខេមបូឌា)</t>
        </is>
      </c>
      <c r="D1101" s="522" t="inlineStr">
        <is>
          <t>L001-100193021</t>
        </is>
      </c>
      <c r="E1101" s="521" t="inlineStr">
        <is>
          <t>00027</t>
        </is>
      </c>
      <c r="F1101" s="523" t="n">
        <v>44978</v>
      </c>
      <c r="G1101" s="556" t="n">
        <v>184207</v>
      </c>
      <c r="I1101" s="521">
        <f>G1101</f>
        <v/>
      </c>
      <c r="K1101" s="521">
        <f>I1101-G1101</f>
        <v/>
      </c>
      <c r="M1101" s="522" t="inlineStr">
        <is>
          <t>00027</t>
        </is>
      </c>
      <c r="N1101" s="522" t="inlineStr">
        <is>
          <t>00027</t>
        </is>
      </c>
      <c r="O1101" s="521">
        <f>M1101=N1101</f>
        <v/>
      </c>
      <c r="P1101" s="521">
        <f>AND(MONTH(F1101)=MONTH(S1101), YEAR(F1101)=YEAR(S1101))</f>
        <v/>
      </c>
      <c r="Q1101" s="521">
        <f>U1101="L001-901905215"</f>
        <v/>
      </c>
      <c r="R1101" s="556">
        <f>G1101-W1101</f>
        <v/>
      </c>
      <c r="S1101" s="523" t="n">
        <v>44978</v>
      </c>
      <c r="T1101" s="522" t="inlineStr">
        <is>
          <t>00027</t>
        </is>
      </c>
      <c r="U1101" s="522" t="inlineStr">
        <is>
          <t>L001-901905215</t>
        </is>
      </c>
      <c r="V1101" s="522" t="inlineStr">
        <is>
          <t>វីអ៊ីស៊ិន (ខេមបូឌា) អ៊ិនដាសស្ទ្រី ឯ.ក</t>
        </is>
      </c>
      <c r="W1101" s="556" t="n">
        <v>184207</v>
      </c>
    </row>
    <row r="1102">
      <c r="A1102" s="521" t="n">
        <v>1094</v>
      </c>
      <c r="B1102" s="522" t="inlineStr">
        <is>
          <t>Sampling and Travel Fee</t>
        </is>
      </c>
      <c r="C1102" s="522" t="inlineStr">
        <is>
          <t>វីអ៊ីស៊ិន (ខេមបូឌា) អ៊ិនដាសស្ទ្រី ឯ.ក</t>
        </is>
      </c>
      <c r="D1102" s="522" t="inlineStr">
        <is>
          <t>L001-901905215</t>
        </is>
      </c>
      <c r="E1102" s="521" t="inlineStr">
        <is>
          <t>10024832</t>
        </is>
      </c>
      <c r="F1102" s="523" t="n">
        <v>44972</v>
      </c>
      <c r="G1102" s="556" t="n">
        <v>107544</v>
      </c>
      <c r="I1102" s="521">
        <f>G1102</f>
        <v/>
      </c>
      <c r="K1102" s="521">
        <f>I1102-G1102</f>
        <v/>
      </c>
      <c r="M1102" s="522" t="inlineStr">
        <is>
          <t>10024832</t>
        </is>
      </c>
      <c r="N1102" s="522" t="inlineStr"/>
      <c r="O1102" s="521">
        <f>M1102=N1102</f>
        <v/>
      </c>
      <c r="P1102" s="521">
        <f>AND(MONTH(F1102)=MONTH(S1102), YEAR(F1102)=YEAR(S1102))</f>
        <v/>
      </c>
      <c r="Q1102" s="521">
        <f>U1102="L001-901905215"</f>
        <v/>
      </c>
      <c r="R1102" s="556">
        <f>G1102-W1102</f>
        <v/>
      </c>
      <c r="S1102" s="521" t="n"/>
      <c r="T1102" s="522" t="n"/>
      <c r="U1102" s="522" t="n"/>
      <c r="V1102" s="522" t="n"/>
      <c r="W1102" s="521" t="n"/>
    </row>
    <row r="1103">
      <c r="A1103" s="521" t="n">
        <v>1095</v>
      </c>
      <c r="B1103" s="522" t="inlineStr">
        <is>
          <t>Finalx Random Inspection and Travelling Fee</t>
        </is>
      </c>
      <c r="C1103" s="522" t="inlineStr">
        <is>
          <t>អ៊ិនធើថេក ថេសធីង សឺវីស (ខេមបូឌា) ខមភេនី លីមីធីត</t>
        </is>
      </c>
      <c r="D1103" s="522" t="inlineStr">
        <is>
          <t>L001-100045707</t>
        </is>
      </c>
      <c r="E1103" s="521" t="inlineStr">
        <is>
          <t>KHM20230000513</t>
        </is>
      </c>
      <c r="F1103" s="523" t="n">
        <v>44958</v>
      </c>
      <c r="G1103" s="556" t="n">
        <v>65856</v>
      </c>
      <c r="I1103" s="521">
        <f>G1103</f>
        <v/>
      </c>
      <c r="K1103" s="521">
        <f>I1103-G1103</f>
        <v/>
      </c>
      <c r="M1103" s="522" t="inlineStr">
        <is>
          <t>KHM20230000513</t>
        </is>
      </c>
      <c r="N1103" s="522" t="inlineStr"/>
      <c r="O1103" s="521">
        <f>M1103=N1103</f>
        <v/>
      </c>
      <c r="P1103" s="521">
        <f>AND(MONTH(F1103)=MONTH(S1103), YEAR(F1103)=YEAR(S1103))</f>
        <v/>
      </c>
      <c r="Q1103" s="521">
        <f>U1103="L001-901905215"</f>
        <v/>
      </c>
      <c r="R1103" s="556">
        <f>G1103-W1103</f>
        <v/>
      </c>
      <c r="S1103" s="521" t="n"/>
      <c r="T1103" s="522" t="n"/>
      <c r="U1103" s="522" t="n"/>
      <c r="V1103" s="522" t="n"/>
      <c r="W1103" s="521" t="n"/>
    </row>
    <row r="1104">
      <c r="A1104" s="521" t="n">
        <v>1096</v>
      </c>
      <c r="B1104" s="522" t="inlineStr">
        <is>
          <t>Service Fee</t>
        </is>
      </c>
      <c r="C1104" s="522" t="inlineStr">
        <is>
          <t>ប្យួរ៉ូ វេរីតាស (ខេមបូឌា) លីមីធីត</t>
        </is>
      </c>
      <c r="D1104" s="522" t="inlineStr">
        <is>
          <t>L001-107024462</t>
        </is>
      </c>
      <c r="E1104" s="521" t="inlineStr">
        <is>
          <t>59014315</t>
        </is>
      </c>
      <c r="F1104" s="523" t="n">
        <v>44973</v>
      </c>
      <c r="G1104" s="556" t="n">
        <v>55293</v>
      </c>
      <c r="I1104" s="521">
        <f>G1104</f>
        <v/>
      </c>
      <c r="K1104" s="521">
        <f>I1104-G1104</f>
        <v/>
      </c>
      <c r="M1104" s="522" t="inlineStr">
        <is>
          <t>59014315</t>
        </is>
      </c>
      <c r="N1104" s="522" t="inlineStr">
        <is>
          <t>59014315</t>
        </is>
      </c>
      <c r="O1104" s="521">
        <f>M1104=N1104</f>
        <v/>
      </c>
      <c r="P1104" s="521">
        <f>AND(MONTH(F1104)=MONTH(S1104), YEAR(F1104)=YEAR(S1104))</f>
        <v/>
      </c>
      <c r="Q1104" s="521">
        <f>U1104="L001-901905215"</f>
        <v/>
      </c>
      <c r="R1104" s="556">
        <f>G1104-W1104</f>
        <v/>
      </c>
      <c r="S1104" s="523" t="n">
        <v>44973</v>
      </c>
      <c r="T1104" s="522" t="inlineStr">
        <is>
          <t>59014315</t>
        </is>
      </c>
      <c r="U1104" s="522" t="inlineStr">
        <is>
          <t>L001-901905215</t>
        </is>
      </c>
      <c r="V1104" s="522" t="inlineStr">
        <is>
          <t>វីអ៊ីស៊ិន (ខេមបូឌា) អ៊ិនដាសស្ទ្រី ឯ.ក</t>
        </is>
      </c>
      <c r="W1104" s="556" t="n">
        <v>55293</v>
      </c>
    </row>
    <row r="1105">
      <c r="A1105" s="521" t="n">
        <v>1097</v>
      </c>
      <c r="B1105" s="522" t="inlineStr">
        <is>
          <t>Service Fee</t>
        </is>
      </c>
      <c r="C1105" s="522" t="inlineStr">
        <is>
          <t>ប្យួរ៉ូ វេរីតាស (ខេមបូឌា) លីមីធីត</t>
        </is>
      </c>
      <c r="D1105" s="522" t="inlineStr">
        <is>
          <t>L001-107024462</t>
        </is>
      </c>
      <c r="E1105" s="521" t="inlineStr">
        <is>
          <t>59014285</t>
        </is>
      </c>
      <c r="F1105" s="523" t="n">
        <v>44967</v>
      </c>
      <c r="G1105" s="556" t="n">
        <v>111042</v>
      </c>
      <c r="I1105" s="521">
        <f>G1105</f>
        <v/>
      </c>
      <c r="K1105" s="521">
        <f>I1105-G1105</f>
        <v/>
      </c>
      <c r="M1105" s="522" t="inlineStr">
        <is>
          <t>59014285</t>
        </is>
      </c>
      <c r="N1105" s="522" t="inlineStr">
        <is>
          <t>59014285</t>
        </is>
      </c>
      <c r="O1105" s="521">
        <f>M1105=N1105</f>
        <v/>
      </c>
      <c r="P1105" s="521">
        <f>AND(MONTH(F1105)=MONTH(S1105), YEAR(F1105)=YEAR(S1105))</f>
        <v/>
      </c>
      <c r="Q1105" s="521">
        <f>U1105="L001-901905215"</f>
        <v/>
      </c>
      <c r="R1105" s="556">
        <f>G1105-W1105</f>
        <v/>
      </c>
      <c r="S1105" s="523" t="n">
        <v>44967</v>
      </c>
      <c r="T1105" s="522" t="inlineStr">
        <is>
          <t>59014285</t>
        </is>
      </c>
      <c r="U1105" s="522" t="inlineStr">
        <is>
          <t>L001-901905215</t>
        </is>
      </c>
      <c r="V1105" s="522" t="inlineStr">
        <is>
          <t>វីអ៊ីស៊ិន (ខេមបូឌា) អ៊ិនដាសស្ទ្រី ឯ.ក</t>
        </is>
      </c>
      <c r="W1105" s="556" t="n">
        <v>111042</v>
      </c>
    </row>
    <row r="1106">
      <c r="A1106" s="521" t="n">
        <v>1098</v>
      </c>
      <c r="B1106" s="522" t="inlineStr">
        <is>
          <t>Service Fee</t>
        </is>
      </c>
      <c r="C1106" s="522" t="inlineStr">
        <is>
          <t>ប្យួរ៉ូ វេរីតាស (ខេមបូឌា) លីមីធីត</t>
        </is>
      </c>
      <c r="D1106" s="522" t="inlineStr">
        <is>
          <t>L001-107024462</t>
        </is>
      </c>
      <c r="E1106" s="521" t="inlineStr">
        <is>
          <t>59014283</t>
        </is>
      </c>
      <c r="F1106" s="523" t="n">
        <v>44964</v>
      </c>
      <c r="G1106" s="556" t="n">
        <v>55550</v>
      </c>
      <c r="I1106" s="521">
        <f>G1106</f>
        <v/>
      </c>
      <c r="K1106" s="521">
        <f>I1106-G1106</f>
        <v/>
      </c>
      <c r="M1106" s="522" t="inlineStr">
        <is>
          <t>59014283</t>
        </is>
      </c>
      <c r="N1106" s="522" t="inlineStr">
        <is>
          <t>59014283</t>
        </is>
      </c>
      <c r="O1106" s="521">
        <f>M1106=N1106</f>
        <v/>
      </c>
      <c r="P1106" s="521">
        <f>AND(MONTH(F1106)=MONTH(S1106), YEAR(F1106)=YEAR(S1106))</f>
        <v/>
      </c>
      <c r="Q1106" s="521">
        <f>U1106="L001-901905215"</f>
        <v/>
      </c>
      <c r="R1106" s="556">
        <f>G1106-W1106</f>
        <v/>
      </c>
      <c r="S1106" s="523" t="n">
        <v>44966</v>
      </c>
      <c r="T1106" s="522" t="inlineStr">
        <is>
          <t>59014283</t>
        </is>
      </c>
      <c r="U1106" s="522" t="inlineStr">
        <is>
          <t>L001-901905215</t>
        </is>
      </c>
      <c r="V1106" s="522" t="inlineStr">
        <is>
          <t>វីអ៊ីស៊ិន (ខេមបូឌា) អ៊ិនដាសស្ទ្រី ឯ.ក</t>
        </is>
      </c>
      <c r="W1106" s="556" t="n">
        <v>55550</v>
      </c>
    </row>
    <row r="1107">
      <c r="A1107" s="521" t="n">
        <v>1099</v>
      </c>
      <c r="B1107" s="522" t="inlineStr">
        <is>
          <t>Service Fee</t>
        </is>
      </c>
      <c r="C1107" s="522" t="inlineStr">
        <is>
          <t>ប្យួរ៉ូ វេរីតាស (ខេមបូឌា) លីមីធីត</t>
        </is>
      </c>
      <c r="D1107" s="522" t="inlineStr">
        <is>
          <t>L001-107024462</t>
        </is>
      </c>
      <c r="E1107" s="521" t="inlineStr">
        <is>
          <t>59014271</t>
        </is>
      </c>
      <c r="F1107" s="523" t="n">
        <v>44964</v>
      </c>
      <c r="G1107" s="556" t="n">
        <v>55536</v>
      </c>
      <c r="I1107" s="521">
        <f>G1107</f>
        <v/>
      </c>
      <c r="K1107" s="521">
        <f>I1107-G1107</f>
        <v/>
      </c>
      <c r="M1107" s="522" t="inlineStr">
        <is>
          <t>59014271</t>
        </is>
      </c>
      <c r="N1107" s="522" t="inlineStr">
        <is>
          <t>59014271</t>
        </is>
      </c>
      <c r="O1107" s="521">
        <f>M1107=N1107</f>
        <v/>
      </c>
      <c r="P1107" s="521">
        <f>AND(MONTH(F1107)=MONTH(S1107), YEAR(F1107)=YEAR(S1107))</f>
        <v/>
      </c>
      <c r="Q1107" s="521">
        <f>U1107="L001-901905215"</f>
        <v/>
      </c>
      <c r="R1107" s="556">
        <f>G1107-W1107</f>
        <v/>
      </c>
      <c r="S1107" s="523" t="n">
        <v>44964</v>
      </c>
      <c r="T1107" s="522" t="inlineStr">
        <is>
          <t>59014271</t>
        </is>
      </c>
      <c r="U1107" s="522" t="inlineStr">
        <is>
          <t>L001-901905215</t>
        </is>
      </c>
      <c r="V1107" s="522" t="inlineStr">
        <is>
          <t>វីអ៊ីស៊ិន (ខេមបូឌា) អ៊ិនដាសស្ទ្រី ឯ.ក</t>
        </is>
      </c>
      <c r="W1107" s="556" t="n">
        <v>55536</v>
      </c>
    </row>
    <row r="1108">
      <c r="A1108" s="521" t="n">
        <v>1100</v>
      </c>
      <c r="B1108" s="522" t="inlineStr">
        <is>
          <t>Service Fee</t>
        </is>
      </c>
      <c r="C1108" s="522" t="inlineStr">
        <is>
          <t>ប្យួរ៉ូ វេរីតាស (ខេមបូឌា) លីមីធីត</t>
        </is>
      </c>
      <c r="D1108" s="522" t="inlineStr">
        <is>
          <t>L001-107024462</t>
        </is>
      </c>
      <c r="E1108" s="521" t="inlineStr">
        <is>
          <t>59014262</t>
        </is>
      </c>
      <c r="F1108" s="523" t="n">
        <v>44963</v>
      </c>
      <c r="G1108" s="556" t="n">
        <v>55645</v>
      </c>
      <c r="I1108" s="521">
        <f>G1108</f>
        <v/>
      </c>
      <c r="K1108" s="521">
        <f>I1108-G1108</f>
        <v/>
      </c>
      <c r="M1108" s="522" t="inlineStr">
        <is>
          <t>59014262</t>
        </is>
      </c>
      <c r="N1108" s="522" t="inlineStr">
        <is>
          <t>59014262</t>
        </is>
      </c>
      <c r="O1108" s="521">
        <f>M1108=N1108</f>
        <v/>
      </c>
      <c r="P1108" s="521">
        <f>AND(MONTH(F1108)=MONTH(S1108), YEAR(F1108)=YEAR(S1108))</f>
        <v/>
      </c>
      <c r="Q1108" s="521">
        <f>U1108="L001-901905215"</f>
        <v/>
      </c>
      <c r="R1108" s="556">
        <f>G1108-W1108</f>
        <v/>
      </c>
      <c r="S1108" s="523" t="n">
        <v>44963</v>
      </c>
      <c r="T1108" s="522" t="inlineStr">
        <is>
          <t>59014262</t>
        </is>
      </c>
      <c r="U1108" s="522" t="inlineStr">
        <is>
          <t>L001-901905215</t>
        </is>
      </c>
      <c r="V1108" s="522" t="inlineStr">
        <is>
          <t>វីអ៊ីស៊ិន (ខេមបូឌា) អ៊ិនដាសស្ទ្រី ឯ.ក</t>
        </is>
      </c>
      <c r="W1108" s="556" t="n">
        <v>55645</v>
      </c>
    </row>
    <row r="1109">
      <c r="A1109" s="521" t="n">
        <v>1101</v>
      </c>
      <c r="B1109" s="522" t="inlineStr">
        <is>
          <t>Service Fee</t>
        </is>
      </c>
      <c r="C1109" s="522" t="inlineStr">
        <is>
          <t>ប្យួរ៉ូ វេរីតាស (ខេមបូឌា) លីមីធីត</t>
        </is>
      </c>
      <c r="D1109" s="522" t="inlineStr">
        <is>
          <t>L001-107024462</t>
        </is>
      </c>
      <c r="E1109" s="521" t="inlineStr">
        <is>
          <t>59014405</t>
        </is>
      </c>
      <c r="F1109" s="523" t="n">
        <v>44985</v>
      </c>
      <c r="G1109" s="556" t="n">
        <v>54764</v>
      </c>
      <c r="I1109" s="521">
        <f>G1109</f>
        <v/>
      </c>
      <c r="K1109" s="521">
        <f>I1109-G1109</f>
        <v/>
      </c>
      <c r="M1109" s="522" t="inlineStr">
        <is>
          <t>59014405</t>
        </is>
      </c>
      <c r="N1109" s="522" t="inlineStr">
        <is>
          <t>59014405</t>
        </is>
      </c>
      <c r="O1109" s="521">
        <f>M1109=N1109</f>
        <v/>
      </c>
      <c r="P1109" s="521">
        <f>AND(MONTH(F1109)=MONTH(S1109), YEAR(F1109)=YEAR(S1109))</f>
        <v/>
      </c>
      <c r="Q1109" s="521">
        <f>U1109="L001-901905215"</f>
        <v/>
      </c>
      <c r="R1109" s="556">
        <f>G1109-W1109</f>
        <v/>
      </c>
      <c r="S1109" s="523" t="n">
        <v>44985</v>
      </c>
      <c r="T1109" s="522" t="inlineStr">
        <is>
          <t>59014405</t>
        </is>
      </c>
      <c r="U1109" s="522" t="inlineStr">
        <is>
          <t>L001-901905215</t>
        </is>
      </c>
      <c r="V1109" s="522" t="inlineStr">
        <is>
          <t>វីអ៊ីស៊ិន (ខេមបូឌា) អ៊ិនដាសស្ទ្រី ឯ.ក</t>
        </is>
      </c>
      <c r="W1109" s="556" t="n">
        <v>54764</v>
      </c>
    </row>
    <row r="1110">
      <c r="A1110" s="521" t="n">
        <v>1102</v>
      </c>
      <c r="B1110" s="522" t="inlineStr">
        <is>
          <t>Service Fee</t>
        </is>
      </c>
      <c r="C1110" s="522" t="inlineStr">
        <is>
          <t>ប្យួរ៉ូ វេរីតាស (ខេមបូឌា) លីមីធីត</t>
        </is>
      </c>
      <c r="D1110" s="522" t="inlineStr">
        <is>
          <t>L001-107024462</t>
        </is>
      </c>
      <c r="E1110" s="521" t="inlineStr">
        <is>
          <t>59014370</t>
        </is>
      </c>
      <c r="F1110" s="523" t="n">
        <v>44981</v>
      </c>
      <c r="G1110" s="556" t="n">
        <v>54805</v>
      </c>
      <c r="I1110" s="521">
        <f>G1110</f>
        <v/>
      </c>
      <c r="K1110" s="521">
        <f>I1110-G1110</f>
        <v/>
      </c>
      <c r="M1110" s="522" t="inlineStr">
        <is>
          <t>59014370</t>
        </is>
      </c>
      <c r="N1110" s="522" t="inlineStr">
        <is>
          <t>59014370</t>
        </is>
      </c>
      <c r="O1110" s="521">
        <f>M1110=N1110</f>
        <v/>
      </c>
      <c r="P1110" s="521">
        <f>AND(MONTH(F1110)=MONTH(S1110), YEAR(F1110)=YEAR(S1110))</f>
        <v/>
      </c>
      <c r="Q1110" s="521">
        <f>U1110="L001-901905215"</f>
        <v/>
      </c>
      <c r="R1110" s="556">
        <f>G1110-W1110</f>
        <v/>
      </c>
      <c r="S1110" s="523" t="n">
        <v>44981</v>
      </c>
      <c r="T1110" s="522" t="inlineStr">
        <is>
          <t>59014370</t>
        </is>
      </c>
      <c r="U1110" s="522" t="inlineStr">
        <is>
          <t>L001-901905215</t>
        </is>
      </c>
      <c r="V1110" s="522" t="inlineStr">
        <is>
          <t>វីអ៊ីស៊ិន (ខេមបូឌា) អ៊ិនដាសស្ទ្រី ឯ.ក</t>
        </is>
      </c>
      <c r="W1110" s="556" t="n">
        <v>54805</v>
      </c>
    </row>
    <row r="1111">
      <c r="A1111" s="521" t="n">
        <v>1103</v>
      </c>
      <c r="B1111" s="522" t="inlineStr">
        <is>
          <t>Service Fee</t>
        </is>
      </c>
      <c r="C1111" s="522" t="inlineStr">
        <is>
          <t>ប្យួរ៉ូ វេរីតាស (ខេមបូឌា) លីមីធីត</t>
        </is>
      </c>
      <c r="D1111" s="522" t="inlineStr">
        <is>
          <t>L001-107024462</t>
        </is>
      </c>
      <c r="E1111" s="521" t="inlineStr">
        <is>
          <t>59014362</t>
        </is>
      </c>
      <c r="F1111" s="523" t="n">
        <v>44980</v>
      </c>
      <c r="G1111" s="556" t="n">
        <v>54913</v>
      </c>
      <c r="I1111" s="521">
        <f>G1111</f>
        <v/>
      </c>
      <c r="K1111" s="521">
        <f>I1111-G1111</f>
        <v/>
      </c>
      <c r="M1111" s="522" t="inlineStr">
        <is>
          <t>59014362</t>
        </is>
      </c>
      <c r="N1111" s="522" t="inlineStr">
        <is>
          <t>59014362</t>
        </is>
      </c>
      <c r="O1111" s="521">
        <f>M1111=N1111</f>
        <v/>
      </c>
      <c r="P1111" s="521">
        <f>AND(MONTH(F1111)=MONTH(S1111), YEAR(F1111)=YEAR(S1111))</f>
        <v/>
      </c>
      <c r="Q1111" s="521">
        <f>U1111="L001-901905215"</f>
        <v/>
      </c>
      <c r="R1111" s="556">
        <f>G1111-W1111</f>
        <v/>
      </c>
      <c r="S1111" s="523" t="n">
        <v>44980</v>
      </c>
      <c r="T1111" s="522" t="inlineStr">
        <is>
          <t>59014362</t>
        </is>
      </c>
      <c r="U1111" s="522" t="inlineStr">
        <is>
          <t>L001-901905215</t>
        </is>
      </c>
      <c r="V1111" s="522" t="inlineStr">
        <is>
          <t>វីអ៊ីស៊ិន (ខេមបូឌា) អ៊ិនដាសស្ទ្រី ឯ.ក</t>
        </is>
      </c>
      <c r="W1111" s="556" t="n">
        <v>54913</v>
      </c>
    </row>
    <row r="1112">
      <c r="A1112" s="521" t="n">
        <v>1104</v>
      </c>
      <c r="B1112" s="522" t="inlineStr">
        <is>
          <t>Service Fee</t>
        </is>
      </c>
      <c r="C1112" s="522" t="inlineStr">
        <is>
          <t>ប្យួរ៉ូ វេរីតាស (ខេមបូឌា) លីមីធីត</t>
        </is>
      </c>
      <c r="D1112" s="522" t="inlineStr">
        <is>
          <t>L001-107024462</t>
        </is>
      </c>
      <c r="E1112" s="521" t="inlineStr">
        <is>
          <t>59014353</t>
        </is>
      </c>
      <c r="F1112" s="523" t="n">
        <v>44974</v>
      </c>
      <c r="G1112" s="556" t="n">
        <v>55062</v>
      </c>
      <c r="I1112" s="521">
        <f>G1112</f>
        <v/>
      </c>
      <c r="K1112" s="521">
        <f>I1112-G1112</f>
        <v/>
      </c>
      <c r="M1112" s="522" t="inlineStr">
        <is>
          <t>59014353</t>
        </is>
      </c>
      <c r="N1112" s="522" t="inlineStr">
        <is>
          <t>59014353</t>
        </is>
      </c>
      <c r="O1112" s="521">
        <f>M1112=N1112</f>
        <v/>
      </c>
      <c r="P1112" s="521">
        <f>AND(MONTH(F1112)=MONTH(S1112), YEAR(F1112)=YEAR(S1112))</f>
        <v/>
      </c>
      <c r="Q1112" s="521">
        <f>U1112="L001-901905215"</f>
        <v/>
      </c>
      <c r="R1112" s="556">
        <f>G1112-W1112</f>
        <v/>
      </c>
      <c r="S1112" s="523" t="n">
        <v>44978</v>
      </c>
      <c r="T1112" s="522" t="inlineStr">
        <is>
          <t>59014353</t>
        </is>
      </c>
      <c r="U1112" s="522" t="inlineStr">
        <is>
          <t>L001-901905215</t>
        </is>
      </c>
      <c r="V1112" s="522" t="inlineStr">
        <is>
          <t>វីអ៊ីស៊ិន (ខេមបូឌា) អ៊ិនដាសស្ទ្រី ឯ.ក</t>
        </is>
      </c>
      <c r="W1112" s="556" t="n">
        <v>55062</v>
      </c>
    </row>
    <row r="1113">
      <c r="A1113" s="521" t="n">
        <v>1105</v>
      </c>
      <c r="B1113" s="522" t="inlineStr">
        <is>
          <t>Service Fee</t>
        </is>
      </c>
      <c r="C1113" s="522" t="inlineStr">
        <is>
          <t>ប្យួរ៉ូ វេរីតាស (ខេមបូឌា) លីមីធីត</t>
        </is>
      </c>
      <c r="D1113" s="522" t="inlineStr">
        <is>
          <t>L001-107024462</t>
        </is>
      </c>
      <c r="E1113" s="521" t="inlineStr">
        <is>
          <t>59014320</t>
        </is>
      </c>
      <c r="F1113" s="523" t="n">
        <v>44974</v>
      </c>
      <c r="G1113" s="556" t="n">
        <v>55293</v>
      </c>
      <c r="I1113" s="521">
        <f>G1113</f>
        <v/>
      </c>
      <c r="K1113" s="521">
        <f>I1113-G1113</f>
        <v/>
      </c>
      <c r="M1113" s="522" t="inlineStr">
        <is>
          <t>59014320</t>
        </is>
      </c>
      <c r="N1113" s="522" t="inlineStr">
        <is>
          <t>59014320</t>
        </is>
      </c>
      <c r="O1113" s="521">
        <f>M1113=N1113</f>
        <v/>
      </c>
      <c r="P1113" s="521">
        <f>AND(MONTH(F1113)=MONTH(S1113), YEAR(F1113)=YEAR(S1113))</f>
        <v/>
      </c>
      <c r="Q1113" s="521">
        <f>U1113="L001-901905215"</f>
        <v/>
      </c>
      <c r="R1113" s="556">
        <f>G1113-W1113</f>
        <v/>
      </c>
      <c r="S1113" s="523" t="n">
        <v>44974</v>
      </c>
      <c r="T1113" s="522" t="inlineStr">
        <is>
          <t>59014320</t>
        </is>
      </c>
      <c r="U1113" s="522" t="inlineStr">
        <is>
          <t>L001-901905215</t>
        </is>
      </c>
      <c r="V1113" s="522" t="inlineStr">
        <is>
          <t>វីអ៊ីស៊ិន (ខេមបូឌា) អ៊ិនដាសស្ទ្រី ឯ.ក</t>
        </is>
      </c>
      <c r="W1113" s="556" t="n">
        <v>55293</v>
      </c>
    </row>
    <row r="1114">
      <c r="A1114" s="521" t="n">
        <v>1106</v>
      </c>
      <c r="B1114" s="522" t="inlineStr">
        <is>
          <t>KHCIC</t>
        </is>
      </c>
      <c r="C1114" s="522" t="inlineStr">
        <is>
          <t>អេសអាយធីស៊ី ខិនថេនើរ ឡាញ (ខេមបូឌា)</t>
        </is>
      </c>
      <c r="D1114" s="522" t="inlineStr">
        <is>
          <t>L001-107035863</t>
        </is>
      </c>
      <c r="E1114" s="521" t="inlineStr">
        <is>
          <t>SITC2023.002392</t>
        </is>
      </c>
      <c r="F1114" s="523" t="n">
        <v>44958</v>
      </c>
      <c r="G1114" s="556" t="n">
        <v>228105</v>
      </c>
      <c r="I1114" s="521">
        <f>G1114</f>
        <v/>
      </c>
      <c r="K1114" s="521">
        <f>I1114-G1114</f>
        <v/>
      </c>
      <c r="M1114" s="522" t="inlineStr">
        <is>
          <t>SITC2023002392</t>
        </is>
      </c>
      <c r="N1114" s="522" t="inlineStr">
        <is>
          <t>SITC2023002392</t>
        </is>
      </c>
      <c r="O1114" s="521">
        <f>M1114=N1114</f>
        <v/>
      </c>
      <c r="P1114" s="521">
        <f>AND(MONTH(F1114)=MONTH(S1114), YEAR(F1114)=YEAR(S1114))</f>
        <v/>
      </c>
      <c r="Q1114" s="521">
        <f>U1114="L001-901905215"</f>
        <v/>
      </c>
      <c r="R1114" s="556">
        <f>G1114-W1114</f>
        <v/>
      </c>
      <c r="S1114" s="523" t="n">
        <v>44958</v>
      </c>
      <c r="T1114" s="522" t="inlineStr">
        <is>
          <t>SITC2023-002392</t>
        </is>
      </c>
      <c r="U1114" s="522" t="inlineStr">
        <is>
          <t>L001-901905215</t>
        </is>
      </c>
      <c r="V1114" s="522" t="inlineStr">
        <is>
          <t>វីអ៊ីស៊ិន (ខេមបូឌា) អ៊ិនដាសស្ទ្រី ឯ.ក</t>
        </is>
      </c>
      <c r="W1114" s="556" t="n">
        <v>228105</v>
      </c>
    </row>
    <row r="1115">
      <c r="A1115" s="521" t="n">
        <v>1107</v>
      </c>
      <c r="B1115" s="522" t="inlineStr">
        <is>
          <t>Lift-On &amp; Lift-Off</t>
        </is>
      </c>
      <c r="C1115" s="522" t="inlineStr">
        <is>
          <t>កំពង់ផែស្វយ័តក្រុងព្រះសីហនុ</t>
        </is>
      </c>
      <c r="D1115" s="522" t="inlineStr">
        <is>
          <t>L001-100044638</t>
        </is>
      </c>
      <c r="E1115" s="521" t="inlineStr">
        <is>
          <t>018274</t>
        </is>
      </c>
      <c r="F1115" s="523" t="n">
        <v>44960</v>
      </c>
      <c r="G1115" s="556" t="n">
        <v>35757</v>
      </c>
      <c r="I1115" s="521">
        <f>G1115</f>
        <v/>
      </c>
      <c r="K1115" s="521">
        <f>I1115-G1115</f>
        <v/>
      </c>
      <c r="M1115" s="522" t="inlineStr">
        <is>
          <t>018274</t>
        </is>
      </c>
      <c r="N1115" s="522" t="inlineStr"/>
      <c r="O1115" s="521">
        <f>M1115=N1115</f>
        <v/>
      </c>
      <c r="P1115" s="521">
        <f>AND(MONTH(F1115)=MONTH(S1115), YEAR(F1115)=YEAR(S1115))</f>
        <v/>
      </c>
      <c r="Q1115" s="521">
        <f>U1115="L001-901905215"</f>
        <v/>
      </c>
      <c r="R1115" s="556">
        <f>G1115-W1115</f>
        <v/>
      </c>
      <c r="S1115" s="521" t="n"/>
      <c r="T1115" s="522" t="n"/>
      <c r="U1115" s="522" t="n"/>
      <c r="V1115" s="522" t="n"/>
      <c r="W1115" s="521" t="n"/>
    </row>
    <row r="1116">
      <c r="A1116" s="521" t="n">
        <v>1108</v>
      </c>
      <c r="B1116" s="522" t="inlineStr">
        <is>
          <t>Trucking and Handling Fee</t>
        </is>
      </c>
      <c r="C1116" s="522" t="inlineStr">
        <is>
          <t>ហាវតាយ អ៊ិនធើណេសិនណល ឡូជីស្ទីក ឯ.ក</t>
        </is>
      </c>
      <c r="D1116" s="522" t="inlineStr">
        <is>
          <t>K007-902202863</t>
        </is>
      </c>
      <c r="E1116" s="521" t="inlineStr">
        <is>
          <t>HT230033</t>
        </is>
      </c>
      <c r="F1116" s="523" t="n">
        <v>44985</v>
      </c>
      <c r="G1116" s="556" t="n">
        <v>246623</v>
      </c>
      <c r="I1116" s="521">
        <f>G1116</f>
        <v/>
      </c>
      <c r="K1116" s="521">
        <f>I1116-G1116</f>
        <v/>
      </c>
      <c r="M1116" s="522" t="inlineStr">
        <is>
          <t>HT230033</t>
        </is>
      </c>
      <c r="N1116" s="522" t="inlineStr">
        <is>
          <t>HT230033</t>
        </is>
      </c>
      <c r="O1116" s="521">
        <f>M1116=N1116</f>
        <v/>
      </c>
      <c r="P1116" s="521">
        <f>AND(MONTH(F1116)=MONTH(S1116), YEAR(F1116)=YEAR(S1116))</f>
        <v/>
      </c>
      <c r="Q1116" s="521">
        <f>U1116="L001-901905215"</f>
        <v/>
      </c>
      <c r="R1116" s="556">
        <f>G1116-W1116</f>
        <v/>
      </c>
      <c r="S1116" s="523" t="n">
        <v>44985</v>
      </c>
      <c r="T1116" s="522" t="inlineStr">
        <is>
          <t>HT230033</t>
        </is>
      </c>
      <c r="U1116" s="522" t="inlineStr">
        <is>
          <t>L001-901905215</t>
        </is>
      </c>
      <c r="V1116" s="522" t="inlineStr">
        <is>
          <t>វីអ៊ីស៊ិន (ខេមបូឌា) អ៊ិនដាសស្ទ្រី ឯ.ក</t>
        </is>
      </c>
      <c r="W1116" s="556" t="n">
        <v>246623</v>
      </c>
    </row>
    <row r="1117">
      <c r="A1117" s="521" t="n">
        <v>1109</v>
      </c>
      <c r="B1117" s="522" t="inlineStr">
        <is>
          <t>KHCIC</t>
        </is>
      </c>
      <c r="C1117" s="522" t="inlineStr">
        <is>
          <t>អេសអាយធីស៊ី ខិនថេនើរ ឡាញ (ខេមបូឌា)</t>
        </is>
      </c>
      <c r="D1117" s="522" t="inlineStr">
        <is>
          <t>L001-107035863</t>
        </is>
      </c>
      <c r="E1117" s="521" t="inlineStr">
        <is>
          <t>SITC2023.002415</t>
        </is>
      </c>
      <c r="F1117" s="523" t="n">
        <v>44958</v>
      </c>
      <c r="G1117" s="556" t="n">
        <v>347295</v>
      </c>
      <c r="I1117" s="521">
        <f>G1117</f>
        <v/>
      </c>
      <c r="K1117" s="521">
        <f>I1117-G1117</f>
        <v/>
      </c>
      <c r="M1117" s="522" t="inlineStr">
        <is>
          <t>SITC2023002415</t>
        </is>
      </c>
      <c r="N1117" s="522" t="inlineStr">
        <is>
          <t>SITC2023002415</t>
        </is>
      </c>
      <c r="O1117" s="521">
        <f>M1117=N1117</f>
        <v/>
      </c>
      <c r="P1117" s="521">
        <f>AND(MONTH(F1117)=MONTH(S1117), YEAR(F1117)=YEAR(S1117))</f>
        <v/>
      </c>
      <c r="Q1117" s="521">
        <f>U1117="L001-901905215"</f>
        <v/>
      </c>
      <c r="R1117" s="556">
        <f>G1117-W1117</f>
        <v/>
      </c>
      <c r="S1117" s="523" t="n">
        <v>44958</v>
      </c>
      <c r="T1117" s="522" t="inlineStr">
        <is>
          <t>SITC2023-002415</t>
        </is>
      </c>
      <c r="U1117" s="522" t="inlineStr">
        <is>
          <t>L001-901905215</t>
        </is>
      </c>
      <c r="V1117" s="522" t="inlineStr">
        <is>
          <t>វីអ៊ីស៊ិន (ខេមបូឌា) អ៊ិនដាសស្ទ្រី ឯ.ក</t>
        </is>
      </c>
      <c r="W1117" s="556" t="n">
        <v>347295</v>
      </c>
    </row>
    <row r="1118">
      <c r="A1118" s="521" t="n">
        <v>1110</v>
      </c>
      <c r="B1118" s="522" t="inlineStr">
        <is>
          <t>Lift-On &amp; Lift-Off</t>
        </is>
      </c>
      <c r="C1118" s="522" t="inlineStr">
        <is>
          <t>កំពង់ផែស្វយ័តក្រុងព្រះសីហនុ</t>
        </is>
      </c>
      <c r="D1118" s="522" t="inlineStr">
        <is>
          <t>L001-100044638</t>
        </is>
      </c>
      <c r="E1118" s="521" t="inlineStr">
        <is>
          <t>018280</t>
        </is>
      </c>
      <c r="F1118" s="523" t="n">
        <v>44960</v>
      </c>
      <c r="G1118" s="556" t="n">
        <v>59184</v>
      </c>
      <c r="I1118" s="521">
        <f>G1118</f>
        <v/>
      </c>
      <c r="K1118" s="521">
        <f>I1118-G1118</f>
        <v/>
      </c>
      <c r="M1118" s="522" t="inlineStr">
        <is>
          <t>018280</t>
        </is>
      </c>
      <c r="N1118" s="522" t="inlineStr"/>
      <c r="O1118" s="521">
        <f>M1118=N1118</f>
        <v/>
      </c>
      <c r="P1118" s="521">
        <f>AND(MONTH(F1118)=MONTH(S1118), YEAR(F1118)=YEAR(S1118))</f>
        <v/>
      </c>
      <c r="Q1118" s="521">
        <f>U1118="L001-901905215"</f>
        <v/>
      </c>
      <c r="R1118" s="556">
        <f>G1118-W1118</f>
        <v/>
      </c>
      <c r="S1118" s="521" t="n"/>
      <c r="T1118" s="522" t="n"/>
      <c r="U1118" s="522" t="n"/>
      <c r="V1118" s="522" t="n"/>
      <c r="W1118" s="521" t="n"/>
    </row>
    <row r="1119">
      <c r="A1119" s="521" t="n">
        <v>1111</v>
      </c>
      <c r="B1119" s="522" t="inlineStr">
        <is>
          <t>Trucking and Handling Fee</t>
        </is>
      </c>
      <c r="C1119" s="522" t="inlineStr">
        <is>
          <t>ហាវតាយ អ៊ិនធើណេសិនណល ឡូជីស្ទីក ឯ.ក</t>
        </is>
      </c>
      <c r="D1119" s="522" t="inlineStr">
        <is>
          <t>K007-902202863</t>
        </is>
      </c>
      <c r="E1119" s="521" t="inlineStr">
        <is>
          <t>HT230032</t>
        </is>
      </c>
      <c r="F1119" s="523" t="n">
        <v>44985</v>
      </c>
      <c r="G1119" s="556" t="n">
        <v>485160</v>
      </c>
      <c r="I1119" s="521">
        <f>G1119</f>
        <v/>
      </c>
      <c r="K1119" s="521">
        <f>I1119-G1119</f>
        <v/>
      </c>
      <c r="M1119" s="522" t="inlineStr">
        <is>
          <t>HT230032</t>
        </is>
      </c>
      <c r="N1119" s="522" t="inlineStr">
        <is>
          <t>HT230032</t>
        </is>
      </c>
      <c r="O1119" s="521">
        <f>M1119=N1119</f>
        <v/>
      </c>
      <c r="P1119" s="521">
        <f>AND(MONTH(F1119)=MONTH(S1119), YEAR(F1119)=YEAR(S1119))</f>
        <v/>
      </c>
      <c r="Q1119" s="521">
        <f>U1119="L001-901905215"</f>
        <v/>
      </c>
      <c r="R1119" s="556">
        <f>G1119-W1119</f>
        <v/>
      </c>
      <c r="S1119" s="523" t="n">
        <v>44985</v>
      </c>
      <c r="T1119" s="522" t="inlineStr">
        <is>
          <t>HT230032</t>
        </is>
      </c>
      <c r="U1119" s="522" t="inlineStr">
        <is>
          <t>L001-901905215</t>
        </is>
      </c>
      <c r="V1119" s="522" t="inlineStr">
        <is>
          <t>វីអ៊ីស៊ិន (ខេមបូឌា) អ៊ិនដាសស្ទ្រី ឯ.ក</t>
        </is>
      </c>
      <c r="W1119" s="556" t="n">
        <v>485160</v>
      </c>
    </row>
    <row r="1120">
      <c r="A1120" s="521" t="n">
        <v>1112</v>
      </c>
      <c r="B1120" s="522" t="inlineStr">
        <is>
          <t>KHCIC</t>
        </is>
      </c>
      <c r="C1120" s="522" t="inlineStr">
        <is>
          <t>អេសអាយធីស៊ី ខិនថេនើរ ឡាញ (ខេមបូឌា)</t>
        </is>
      </c>
      <c r="D1120" s="522" t="inlineStr">
        <is>
          <t>L001-107035863</t>
        </is>
      </c>
      <c r="E1120" s="521" t="inlineStr">
        <is>
          <t>SITC2023.002404</t>
        </is>
      </c>
      <c r="F1120" s="523" t="n">
        <v>44958</v>
      </c>
      <c r="G1120" s="556" t="n">
        <v>228105</v>
      </c>
      <c r="I1120" s="521">
        <f>G1120</f>
        <v/>
      </c>
      <c r="K1120" s="521">
        <f>I1120-G1120</f>
        <v/>
      </c>
      <c r="M1120" s="522" t="inlineStr">
        <is>
          <t>SITC2023002404</t>
        </is>
      </c>
      <c r="N1120" s="522" t="inlineStr">
        <is>
          <t>SITC2023002404</t>
        </is>
      </c>
      <c r="O1120" s="521">
        <f>M1120=N1120</f>
        <v/>
      </c>
      <c r="P1120" s="521">
        <f>AND(MONTH(F1120)=MONTH(S1120), YEAR(F1120)=YEAR(S1120))</f>
        <v/>
      </c>
      <c r="Q1120" s="521">
        <f>U1120="L001-901905215"</f>
        <v/>
      </c>
      <c r="R1120" s="556">
        <f>G1120-W1120</f>
        <v/>
      </c>
      <c r="S1120" s="523" t="n">
        <v>44958</v>
      </c>
      <c r="T1120" s="522" t="inlineStr">
        <is>
          <t>SITC2023-002404</t>
        </is>
      </c>
      <c r="U1120" s="522" t="inlineStr">
        <is>
          <t>L001-901905215</t>
        </is>
      </c>
      <c r="V1120" s="522" t="inlineStr">
        <is>
          <t>វីអ៊ីស៊ិន (ខេមបូឌា) អ៊ិនដាសស្ទ្រី ឯ.ក</t>
        </is>
      </c>
      <c r="W1120" s="556" t="n">
        <v>228105</v>
      </c>
    </row>
    <row r="1121">
      <c r="A1121" s="521" t="n">
        <v>1113</v>
      </c>
      <c r="B1121" s="522" t="inlineStr">
        <is>
          <t>Lift-On &amp; Lift-Off</t>
        </is>
      </c>
      <c r="C1121" s="522" t="inlineStr">
        <is>
          <t>កំពង់ផែស្វយ័តក្រុងព្រះសីហនុ</t>
        </is>
      </c>
      <c r="D1121" s="522" t="inlineStr">
        <is>
          <t>L001-100044638</t>
        </is>
      </c>
      <c r="E1121" s="521" t="inlineStr">
        <is>
          <t>018270</t>
        </is>
      </c>
      <c r="F1121" s="523" t="n">
        <v>44960</v>
      </c>
      <c r="G1121" s="556" t="n">
        <v>35757</v>
      </c>
      <c r="I1121" s="521">
        <f>G1121</f>
        <v/>
      </c>
      <c r="K1121" s="521">
        <f>I1121-G1121</f>
        <v/>
      </c>
      <c r="M1121" s="522" t="inlineStr">
        <is>
          <t>018270</t>
        </is>
      </c>
      <c r="N1121" s="522" t="inlineStr"/>
      <c r="O1121" s="521">
        <f>M1121=N1121</f>
        <v/>
      </c>
      <c r="P1121" s="521">
        <f>AND(MONTH(F1121)=MONTH(S1121), YEAR(F1121)=YEAR(S1121))</f>
        <v/>
      </c>
      <c r="Q1121" s="521">
        <f>U1121="L001-901905215"</f>
        <v/>
      </c>
      <c r="R1121" s="556">
        <f>G1121-W1121</f>
        <v/>
      </c>
      <c r="S1121" s="521" t="n"/>
      <c r="T1121" s="522" t="n"/>
      <c r="U1121" s="522" t="n"/>
      <c r="V1121" s="522" t="n"/>
      <c r="W1121" s="521" t="n"/>
    </row>
    <row r="1122">
      <c r="A1122" s="521" t="n">
        <v>1114</v>
      </c>
      <c r="B1122" s="522" t="inlineStr">
        <is>
          <t>Trucking and Handling Fee</t>
        </is>
      </c>
      <c r="C1122" s="522" t="inlineStr">
        <is>
          <t>ហាវតាយ អ៊ិនធើណេសិនណល ឡូជីស្ទីក ឯ.ក</t>
        </is>
      </c>
      <c r="D1122" s="522" t="inlineStr">
        <is>
          <t>K007-902202863</t>
        </is>
      </c>
      <c r="E1122" s="521" t="inlineStr">
        <is>
          <t>HT230031</t>
        </is>
      </c>
      <c r="F1122" s="523" t="n">
        <v>44985</v>
      </c>
      <c r="G1122" s="556" t="n">
        <v>246623</v>
      </c>
      <c r="I1122" s="521">
        <f>G1122</f>
        <v/>
      </c>
      <c r="K1122" s="521">
        <f>I1122-G1122</f>
        <v/>
      </c>
      <c r="M1122" s="522" t="inlineStr">
        <is>
          <t>HT230031</t>
        </is>
      </c>
      <c r="N1122" s="522" t="inlineStr">
        <is>
          <t>HT230031</t>
        </is>
      </c>
      <c r="O1122" s="521">
        <f>M1122=N1122</f>
        <v/>
      </c>
      <c r="P1122" s="521">
        <f>AND(MONTH(F1122)=MONTH(S1122), YEAR(F1122)=YEAR(S1122))</f>
        <v/>
      </c>
      <c r="Q1122" s="521">
        <f>U1122="L001-901905215"</f>
        <v/>
      </c>
      <c r="R1122" s="556">
        <f>G1122-W1122</f>
        <v/>
      </c>
      <c r="S1122" s="523" t="n">
        <v>44985</v>
      </c>
      <c r="T1122" s="522" t="inlineStr">
        <is>
          <t>HT230031</t>
        </is>
      </c>
      <c r="U1122" s="522" t="inlineStr">
        <is>
          <t>L001-901905215</t>
        </is>
      </c>
      <c r="V1122" s="522" t="inlineStr">
        <is>
          <t>វីអ៊ីស៊ិន (ខេមបូឌា) អ៊ិនដាសស្ទ្រី ឯ.ក</t>
        </is>
      </c>
      <c r="W1122" s="556" t="n">
        <v>246623</v>
      </c>
    </row>
    <row r="1123">
      <c r="A1123" s="521" t="n">
        <v>1115</v>
      </c>
      <c r="B1123" s="522" t="inlineStr">
        <is>
          <t>KHCIC</t>
        </is>
      </c>
      <c r="C1123" s="522" t="inlineStr">
        <is>
          <t>អេសអាយធីស៊ី ខិនថេនើរ ឡាញ (ខេមបូឌា)</t>
        </is>
      </c>
      <c r="D1123" s="522" t="inlineStr">
        <is>
          <t>L001-107035863</t>
        </is>
      </c>
      <c r="E1123" s="521" t="inlineStr">
        <is>
          <t>SITC2023.002134</t>
        </is>
      </c>
      <c r="F1123" s="523" t="n">
        <v>44968</v>
      </c>
      <c r="G1123" s="556" t="n">
        <v>141415</v>
      </c>
      <c r="I1123" s="521">
        <f>G1123</f>
        <v/>
      </c>
      <c r="K1123" s="521">
        <f>I1123-G1123</f>
        <v/>
      </c>
      <c r="M1123" s="522" t="inlineStr">
        <is>
          <t>SITC2023002134</t>
        </is>
      </c>
      <c r="N1123" s="522" t="inlineStr"/>
      <c r="O1123" s="521">
        <f>M1123=N1123</f>
        <v/>
      </c>
      <c r="P1123" s="521">
        <f>AND(MONTH(F1123)=MONTH(S1123), YEAR(F1123)=YEAR(S1123))</f>
        <v/>
      </c>
      <c r="Q1123" s="521">
        <f>U1123="L001-901905215"</f>
        <v/>
      </c>
      <c r="R1123" s="556">
        <f>G1123-W1123</f>
        <v/>
      </c>
      <c r="S1123" s="521" t="n"/>
      <c r="T1123" s="522" t="n"/>
      <c r="U1123" s="522" t="n"/>
      <c r="V1123" s="522" t="n"/>
      <c r="W1123" s="521" t="n"/>
    </row>
    <row r="1124">
      <c r="A1124" s="521" t="n">
        <v>1116</v>
      </c>
      <c r="B1124" s="522" t="inlineStr">
        <is>
          <t>Lift-On &amp; Lift-Off</t>
        </is>
      </c>
      <c r="C1124" s="522" t="inlineStr">
        <is>
          <t>កំពង់ផែស្វយ័តក្រុងព្រះសីហនុ</t>
        </is>
      </c>
      <c r="D1124" s="522" t="inlineStr">
        <is>
          <t>L001-100044638</t>
        </is>
      </c>
      <c r="E1124" s="521" t="inlineStr">
        <is>
          <t>022446</t>
        </is>
      </c>
      <c r="F1124" s="523" t="n">
        <v>44973</v>
      </c>
      <c r="G1124" s="556" t="n">
        <v>23267</v>
      </c>
      <c r="I1124" s="521">
        <f>G1124</f>
        <v/>
      </c>
      <c r="K1124" s="521">
        <f>I1124-G1124</f>
        <v/>
      </c>
      <c r="M1124" s="522" t="inlineStr">
        <is>
          <t>022446</t>
        </is>
      </c>
      <c r="N1124" s="522" t="inlineStr"/>
      <c r="O1124" s="521">
        <f>M1124=N1124</f>
        <v/>
      </c>
      <c r="P1124" s="521">
        <f>AND(MONTH(F1124)=MONTH(S1124), YEAR(F1124)=YEAR(S1124))</f>
        <v/>
      </c>
      <c r="Q1124" s="521">
        <f>U1124="L001-901905215"</f>
        <v/>
      </c>
      <c r="R1124" s="556">
        <f>G1124-W1124</f>
        <v/>
      </c>
      <c r="S1124" s="521" t="n"/>
      <c r="T1124" s="522" t="n"/>
      <c r="U1124" s="522" t="n"/>
      <c r="V1124" s="522" t="n"/>
      <c r="W1124" s="521" t="n"/>
    </row>
    <row r="1125">
      <c r="A1125" s="521" t="n">
        <v>1117</v>
      </c>
      <c r="B1125" s="522" t="inlineStr">
        <is>
          <t>Trucking and Handling Fee</t>
        </is>
      </c>
      <c r="C1125" s="522" t="inlineStr">
        <is>
          <t>ហាវតាយ អ៊ិនធើណេសិនណល ឡូជីស្ទីក ឯ.ក</t>
        </is>
      </c>
      <c r="D1125" s="522" t="inlineStr">
        <is>
          <t>K007-902202863</t>
        </is>
      </c>
      <c r="E1125" s="521" t="inlineStr">
        <is>
          <t>HT230030</t>
        </is>
      </c>
      <c r="F1125" s="523" t="n">
        <v>44985</v>
      </c>
      <c r="G1125" s="556" t="n">
        <v>238537</v>
      </c>
      <c r="I1125" s="521">
        <f>G1125</f>
        <v/>
      </c>
      <c r="K1125" s="521">
        <f>I1125-G1125</f>
        <v/>
      </c>
      <c r="M1125" s="522" t="inlineStr">
        <is>
          <t>HT230030</t>
        </is>
      </c>
      <c r="N1125" s="522" t="inlineStr">
        <is>
          <t>HT230030</t>
        </is>
      </c>
      <c r="O1125" s="521">
        <f>M1125=N1125</f>
        <v/>
      </c>
      <c r="P1125" s="521">
        <f>AND(MONTH(F1125)=MONTH(S1125), YEAR(F1125)=YEAR(S1125))</f>
        <v/>
      </c>
      <c r="Q1125" s="521">
        <f>U1125="L001-901905215"</f>
        <v/>
      </c>
      <c r="R1125" s="556">
        <f>G1125-W1125</f>
        <v/>
      </c>
      <c r="S1125" s="523" t="n">
        <v>44985</v>
      </c>
      <c r="T1125" s="522" t="inlineStr">
        <is>
          <t>HT230030</t>
        </is>
      </c>
      <c r="U1125" s="522" t="inlineStr">
        <is>
          <t>L001-901905215</t>
        </is>
      </c>
      <c r="V1125" s="522" t="inlineStr">
        <is>
          <t>វីអ៊ីស៊ិន (ខេមបូឌា) អ៊ិនដាសស្ទ្រី ឯ.ក</t>
        </is>
      </c>
      <c r="W1125" s="556" t="n">
        <v>238537</v>
      </c>
    </row>
    <row r="1126">
      <c r="A1126" s="521" t="n">
        <v>1118</v>
      </c>
      <c r="B1126" s="522" t="inlineStr">
        <is>
          <t>Documentation fee</t>
        </is>
      </c>
      <c r="C1126" s="522" t="inlineStr">
        <is>
          <t>មើស្គ (ខេមបូឌា)</t>
        </is>
      </c>
      <c r="D1126" s="522" t="inlineStr">
        <is>
          <t>L001-100045200</t>
        </is>
      </c>
      <c r="E1126" s="521" t="inlineStr">
        <is>
          <t>5995919233</t>
        </is>
      </c>
      <c r="F1126" s="523" t="n">
        <v>44958</v>
      </c>
      <c r="G1126" s="556" t="n">
        <v>96703</v>
      </c>
      <c r="I1126" s="521">
        <f>G1126</f>
        <v/>
      </c>
      <c r="K1126" s="521">
        <f>I1126-G1126</f>
        <v/>
      </c>
      <c r="M1126" s="522" t="inlineStr">
        <is>
          <t>5995919233</t>
        </is>
      </c>
      <c r="N1126" s="522" t="inlineStr"/>
      <c r="O1126" s="521">
        <f>M1126=N1126</f>
        <v/>
      </c>
      <c r="P1126" s="521">
        <f>AND(MONTH(F1126)=MONTH(S1126), YEAR(F1126)=YEAR(S1126))</f>
        <v/>
      </c>
      <c r="Q1126" s="521">
        <f>U1126="L001-901905215"</f>
        <v/>
      </c>
      <c r="R1126" s="556">
        <f>G1126-W1126</f>
        <v/>
      </c>
      <c r="S1126" s="521" t="n"/>
      <c r="T1126" s="522" t="n"/>
      <c r="U1126" s="522" t="n"/>
      <c r="V1126" s="522" t="n"/>
      <c r="W1126" s="521" t="n"/>
    </row>
    <row r="1127">
      <c r="A1127" s="521" t="n">
        <v>1119</v>
      </c>
      <c r="B1127" s="522" t="inlineStr">
        <is>
          <t>Lift-On &amp; Lift-Off</t>
        </is>
      </c>
      <c r="C1127" s="522" t="inlineStr">
        <is>
          <t>កំពង់ផែស្វយ័តក្រុងព្រះសីហនុ</t>
        </is>
      </c>
      <c r="D1127" s="522" t="inlineStr">
        <is>
          <t>L001-100044638</t>
        </is>
      </c>
      <c r="E1127" s="521" t="inlineStr">
        <is>
          <t>010798</t>
        </is>
      </c>
      <c r="F1127" s="523" t="n">
        <v>44958</v>
      </c>
      <c r="G1127" s="556" t="n">
        <v>23467</v>
      </c>
      <c r="I1127" s="521">
        <f>G1127</f>
        <v/>
      </c>
      <c r="K1127" s="521">
        <f>I1127-G1127</f>
        <v/>
      </c>
      <c r="M1127" s="522" t="inlineStr">
        <is>
          <t>010798</t>
        </is>
      </c>
      <c r="N1127" s="522" t="inlineStr"/>
      <c r="O1127" s="521">
        <f>M1127=N1127</f>
        <v/>
      </c>
      <c r="P1127" s="521">
        <f>AND(MONTH(F1127)=MONTH(S1127), YEAR(F1127)=YEAR(S1127))</f>
        <v/>
      </c>
      <c r="Q1127" s="521">
        <f>U1127="L001-901905215"</f>
        <v/>
      </c>
      <c r="R1127" s="556">
        <f>G1127-W1127</f>
        <v/>
      </c>
      <c r="S1127" s="521" t="n"/>
      <c r="T1127" s="522" t="n"/>
      <c r="U1127" s="522" t="n"/>
      <c r="V1127" s="522" t="n"/>
      <c r="W1127" s="521" t="n"/>
    </row>
    <row r="1128">
      <c r="A1128" s="521" t="n">
        <v>1120</v>
      </c>
      <c r="B1128" s="522" t="inlineStr">
        <is>
          <t>Trucking and Handling Fee</t>
        </is>
      </c>
      <c r="C1128" s="522" t="inlineStr">
        <is>
          <t>ហាវតាយ អ៊ិនធើណេសិនណល ឡូជីស្ទីក ឯ.ក</t>
        </is>
      </c>
      <c r="D1128" s="522" t="inlineStr">
        <is>
          <t>K007-902202863</t>
        </is>
      </c>
      <c r="E1128" s="521" t="inlineStr">
        <is>
          <t>HT230023</t>
        </is>
      </c>
      <c r="F1128" s="523" t="n">
        <v>44985</v>
      </c>
      <c r="G1128" s="556" t="n">
        <v>238537</v>
      </c>
      <c r="I1128" s="521">
        <f>G1128</f>
        <v/>
      </c>
      <c r="K1128" s="521">
        <f>I1128-G1128</f>
        <v/>
      </c>
      <c r="M1128" s="522" t="inlineStr">
        <is>
          <t>HT230023</t>
        </is>
      </c>
      <c r="N1128" s="522" t="inlineStr">
        <is>
          <t>HT230023</t>
        </is>
      </c>
      <c r="O1128" s="521">
        <f>M1128=N1128</f>
        <v/>
      </c>
      <c r="P1128" s="521">
        <f>AND(MONTH(F1128)=MONTH(S1128), YEAR(F1128)=YEAR(S1128))</f>
        <v/>
      </c>
      <c r="Q1128" s="521">
        <f>U1128="L001-901905215"</f>
        <v/>
      </c>
      <c r="R1128" s="556">
        <f>G1128-W1128</f>
        <v/>
      </c>
      <c r="S1128" s="523" t="n">
        <v>44985</v>
      </c>
      <c r="T1128" s="522" t="inlineStr">
        <is>
          <t>HT230023</t>
        </is>
      </c>
      <c r="U1128" s="522" t="inlineStr">
        <is>
          <t>L001-901905215</t>
        </is>
      </c>
      <c r="V1128" s="522" t="inlineStr">
        <is>
          <t>វីអ៊ីស៊ិន (ខេមបូឌា) អ៊ិនដាសស្ទ្រី ឯ.ក</t>
        </is>
      </c>
      <c r="W1128" s="556" t="n">
        <v>238537</v>
      </c>
    </row>
    <row r="1129">
      <c r="A1129" s="521" t="n">
        <v>1121</v>
      </c>
      <c r="B1129" s="522" t="n"/>
      <c r="C1129" s="522" t="inlineStr">
        <is>
          <t>កំពង់ផែស្វយ័តក្រុងព្រះសីហនុ</t>
        </is>
      </c>
      <c r="D1129" s="522" t="inlineStr">
        <is>
          <t>L001-100044638</t>
        </is>
      </c>
      <c r="E1129" s="521" t="inlineStr">
        <is>
          <t>047582</t>
        </is>
      </c>
      <c r="F1129" s="523" t="n">
        <v>43921</v>
      </c>
      <c r="G1129" s="556" t="n">
        <v>23199</v>
      </c>
      <c r="I1129" s="521">
        <f>G1129</f>
        <v/>
      </c>
      <c r="K1129" s="521">
        <f>I1129-G1129</f>
        <v/>
      </c>
      <c r="M1129" s="522" t="inlineStr">
        <is>
          <t>047582</t>
        </is>
      </c>
      <c r="N1129" s="522" t="inlineStr"/>
      <c r="O1129" s="521">
        <f>M1129=N1129</f>
        <v/>
      </c>
      <c r="P1129" s="521">
        <f>AND(MONTH(F1129)=MONTH(S1129), YEAR(F1129)=YEAR(S1129))</f>
        <v/>
      </c>
      <c r="Q1129" s="521">
        <f>U1129="L001-901905215"</f>
        <v/>
      </c>
      <c r="R1129" s="556">
        <f>G1129-W1129</f>
        <v/>
      </c>
      <c r="S1129" s="521" t="n"/>
      <c r="T1129" s="522" t="n"/>
      <c r="U1129" s="522" t="n"/>
      <c r="V1129" s="522" t="n"/>
      <c r="W1129" s="521" t="n"/>
    </row>
    <row r="1130">
      <c r="A1130" s="521" t="n">
        <v>1122</v>
      </c>
      <c r="B1130" s="522" t="n"/>
      <c r="C1130" s="522" t="inlineStr">
        <is>
          <t>សូស៊ីយេតេ កុងសេស្យូនែរ ដឺ ឡាអេរ៉ូព័រ</t>
        </is>
      </c>
      <c r="D1130" s="522" t="inlineStr">
        <is>
          <t>L001-100047300</t>
        </is>
      </c>
      <c r="E1130" s="521" t="inlineStr">
        <is>
          <t>2000023036</t>
        </is>
      </c>
      <c r="F1130" s="523" t="n">
        <v>43917</v>
      </c>
      <c r="G1130" s="556" t="n">
        <v>30598</v>
      </c>
      <c r="I1130" s="521">
        <f>G1130</f>
        <v/>
      </c>
      <c r="K1130" s="521">
        <f>I1130-G1130</f>
        <v/>
      </c>
      <c r="M1130" s="522" t="inlineStr">
        <is>
          <t>2000023036</t>
        </is>
      </c>
      <c r="N1130" s="522" t="inlineStr"/>
      <c r="O1130" s="521">
        <f>M1130=N1130</f>
        <v/>
      </c>
      <c r="P1130" s="521">
        <f>AND(MONTH(F1130)=MONTH(S1130), YEAR(F1130)=YEAR(S1130))</f>
        <v/>
      </c>
      <c r="Q1130" s="521">
        <f>U1130="L001-901905215"</f>
        <v/>
      </c>
      <c r="R1130" s="556">
        <f>G1130-W1130</f>
        <v/>
      </c>
      <c r="S1130" s="521" t="n"/>
      <c r="T1130" s="522" t="n"/>
      <c r="U1130" s="522" t="n"/>
      <c r="V1130" s="522" t="n"/>
      <c r="W1130" s="521" t="n"/>
    </row>
    <row r="1131">
      <c r="A1131" s="521" t="n">
        <v>1123</v>
      </c>
      <c r="B1131" s="522" t="n"/>
      <c r="C1131" s="522" t="inlineStr">
        <is>
          <t>ស្ត្រេតស៍ អ៊ិនធើណេសិនណល ភីធីអ៊ី អិលធីឌី</t>
        </is>
      </c>
      <c r="D1131" s="522" t="inlineStr">
        <is>
          <t>L001-100045162</t>
        </is>
      </c>
      <c r="E1131" s="521" t="inlineStr">
        <is>
          <t>2005423</t>
        </is>
      </c>
      <c r="F1131" s="523" t="n">
        <v>43915</v>
      </c>
      <c r="G1131" s="556" t="n">
        <v>83128</v>
      </c>
      <c r="I1131" s="521">
        <f>G1131</f>
        <v/>
      </c>
      <c r="K1131" s="521">
        <f>I1131-G1131</f>
        <v/>
      </c>
      <c r="M1131" s="522" t="inlineStr">
        <is>
          <t>2005423</t>
        </is>
      </c>
      <c r="N1131" s="522" t="inlineStr">
        <is>
          <t>2005423</t>
        </is>
      </c>
      <c r="O1131" s="521">
        <f>M1131=N1131</f>
        <v/>
      </c>
      <c r="P1131" s="521">
        <f>AND(MONTH(F1131)=MONTH(S1131), YEAR(F1131)=YEAR(S1131))</f>
        <v/>
      </c>
      <c r="Q1131" s="521">
        <f>U1131="L001-901905215"</f>
        <v/>
      </c>
      <c r="R1131" s="556">
        <f>G1131-W1131</f>
        <v/>
      </c>
      <c r="S1131" s="523" t="n">
        <v>43915</v>
      </c>
      <c r="T1131" s="522" t="inlineStr">
        <is>
          <t>2005423</t>
        </is>
      </c>
      <c r="U1131" s="522" t="inlineStr">
        <is>
          <t>L001-901905215</t>
        </is>
      </c>
      <c r="V1131" s="522" t="inlineStr">
        <is>
          <t>វីអ៊ីស៊ិន (ខេមបូឌា) អ៊ិនដាសស្ទ្រី ឯ.ក</t>
        </is>
      </c>
      <c r="W1131" s="556" t="n">
        <v>83435</v>
      </c>
    </row>
    <row r="1132">
      <c r="A1132" s="521" t="n">
        <v>1124</v>
      </c>
      <c r="B1132" s="522" t="n"/>
      <c r="C1132" s="522" t="inlineStr">
        <is>
          <t>ភីស៊ីអាយ សឺវីស</t>
        </is>
      </c>
      <c r="D1132" s="522" t="inlineStr">
        <is>
          <t>K010-901639639</t>
        </is>
      </c>
      <c r="E1132" s="521" t="inlineStr">
        <is>
          <t>201900975</t>
        </is>
      </c>
      <c r="F1132" s="523" t="n">
        <v>43915</v>
      </c>
      <c r="G1132" s="556" t="n">
        <v>81100</v>
      </c>
      <c r="I1132" s="521">
        <f>G1132</f>
        <v/>
      </c>
      <c r="K1132" s="521">
        <f>I1132-G1132</f>
        <v/>
      </c>
      <c r="M1132" s="522" t="inlineStr">
        <is>
          <t>201900975</t>
        </is>
      </c>
      <c r="N1132" s="522" t="inlineStr"/>
      <c r="O1132" s="521">
        <f>M1132=N1132</f>
        <v/>
      </c>
      <c r="P1132" s="521">
        <f>AND(MONTH(F1132)=MONTH(S1132), YEAR(F1132)=YEAR(S1132))</f>
        <v/>
      </c>
      <c r="Q1132" s="521">
        <f>U1132="L001-901905215"</f>
        <v/>
      </c>
      <c r="R1132" s="556">
        <f>G1132-W1132</f>
        <v/>
      </c>
      <c r="S1132" s="521" t="n"/>
      <c r="T1132" s="522" t="n"/>
      <c r="U1132" s="522" t="n"/>
      <c r="V1132" s="522" t="n"/>
      <c r="W1132" s="521" t="n"/>
    </row>
    <row r="1133">
      <c r="A1133" s="521" t="n">
        <v>1125</v>
      </c>
      <c r="B1133" s="522" t="n"/>
      <c r="C1133" s="522" t="inlineStr">
        <is>
          <t>អ៊ីជីអេហ្វ ឡូជីស្ទីក ខូ អិលធីឌី</t>
        </is>
      </c>
      <c r="D1133" s="522" t="inlineStr">
        <is>
          <t>L001-901501877</t>
        </is>
      </c>
      <c r="E1133" s="521" t="inlineStr">
        <is>
          <t>2002375</t>
        </is>
      </c>
      <c r="F1133" s="523" t="n">
        <v>43919</v>
      </c>
      <c r="G1133" s="556" t="n">
        <v>89320</v>
      </c>
      <c r="I1133" s="521">
        <f>G1133</f>
        <v/>
      </c>
      <c r="K1133" s="521">
        <f>I1133-G1133</f>
        <v/>
      </c>
      <c r="M1133" s="522" t="inlineStr">
        <is>
          <t>2002375</t>
        </is>
      </c>
      <c r="N1133" s="522" t="inlineStr">
        <is>
          <t>2002375</t>
        </is>
      </c>
      <c r="O1133" s="521">
        <f>M1133=N1133</f>
        <v/>
      </c>
      <c r="P1133" s="521">
        <f>AND(MONTH(F1133)=MONTH(S1133), YEAR(F1133)=YEAR(S1133))</f>
        <v/>
      </c>
      <c r="Q1133" s="521">
        <f>U1133="L001-901905215"</f>
        <v/>
      </c>
      <c r="R1133" s="556">
        <f>G1133-W1133</f>
        <v/>
      </c>
      <c r="S1133" s="523" t="n">
        <v>43919</v>
      </c>
      <c r="T1133" s="522" t="inlineStr">
        <is>
          <t>2002375</t>
        </is>
      </c>
      <c r="U1133" s="522" t="inlineStr">
        <is>
          <t>L001-901905215</t>
        </is>
      </c>
      <c r="V1133" s="522" t="inlineStr">
        <is>
          <t>វីអ៊ីស៊ិន (ខេមបូឌា) អ៊ិនដាសស្ទ្រី ឯ.ក</t>
        </is>
      </c>
      <c r="W1133" s="556" t="n">
        <v>89320</v>
      </c>
    </row>
    <row r="1134">
      <c r="A1134" s="521" t="n">
        <v>1126</v>
      </c>
      <c r="B1134" s="522" t="n"/>
      <c r="C1134" s="522" t="inlineStr">
        <is>
          <t>អ៊ីជីអេហ្វ ឡូជីស្ទីក ខូ អិលធីឌី</t>
        </is>
      </c>
      <c r="D1134" s="522" t="inlineStr">
        <is>
          <t>L001-901501877</t>
        </is>
      </c>
      <c r="E1134" s="521" t="inlineStr">
        <is>
          <t>2002180</t>
        </is>
      </c>
      <c r="F1134" s="523" t="n">
        <v>43916</v>
      </c>
      <c r="G1134" s="556" t="n">
        <v>89320</v>
      </c>
      <c r="I1134" s="521">
        <f>G1134</f>
        <v/>
      </c>
      <c r="K1134" s="521">
        <f>I1134-G1134</f>
        <v/>
      </c>
      <c r="M1134" s="522" t="inlineStr">
        <is>
          <t>2002180</t>
        </is>
      </c>
      <c r="N1134" s="522" t="inlineStr">
        <is>
          <t>2002180</t>
        </is>
      </c>
      <c r="O1134" s="521">
        <f>M1134=N1134</f>
        <v/>
      </c>
      <c r="P1134" s="521">
        <f>AND(MONTH(F1134)=MONTH(S1134), YEAR(F1134)=YEAR(S1134))</f>
        <v/>
      </c>
      <c r="Q1134" s="521">
        <f>U1134="L001-901905215"</f>
        <v/>
      </c>
      <c r="R1134" s="556">
        <f>G1134-W1134</f>
        <v/>
      </c>
      <c r="S1134" s="523" t="n">
        <v>43916</v>
      </c>
      <c r="T1134" s="522" t="inlineStr">
        <is>
          <t>2002180</t>
        </is>
      </c>
      <c r="U1134" s="522" t="inlineStr">
        <is>
          <t>L001-901905215</t>
        </is>
      </c>
      <c r="V1134" s="522" t="inlineStr">
        <is>
          <t>វីអ៊ីស៊ិន (ខេមបូឌា) អ៊ិនដាសស្ទ្រី ឯ.ក</t>
        </is>
      </c>
      <c r="W1134" s="556" t="n">
        <v>89320</v>
      </c>
    </row>
    <row r="1135">
      <c r="A1135" s="521" t="n">
        <v>1127</v>
      </c>
      <c r="B1135" s="522" t="n"/>
      <c r="C1135" s="522" t="inlineStr">
        <is>
          <t>អ៊ីជីអេហ្វ ឡូជីស្ទីក ខូ អិលធីឌី</t>
        </is>
      </c>
      <c r="D1135" s="522" t="inlineStr">
        <is>
          <t>L001-901501877</t>
        </is>
      </c>
      <c r="E1135" s="521" t="inlineStr">
        <is>
          <t>2002179</t>
        </is>
      </c>
      <c r="F1135" s="523" t="n">
        <v>43916</v>
      </c>
      <c r="G1135" s="556" t="n">
        <v>89320</v>
      </c>
      <c r="I1135" s="521">
        <f>G1135</f>
        <v/>
      </c>
      <c r="K1135" s="521">
        <f>I1135-G1135</f>
        <v/>
      </c>
      <c r="M1135" s="522" t="inlineStr">
        <is>
          <t>2002179</t>
        </is>
      </c>
      <c r="N1135" s="522" t="inlineStr">
        <is>
          <t>2002179</t>
        </is>
      </c>
      <c r="O1135" s="521">
        <f>M1135=N1135</f>
        <v/>
      </c>
      <c r="P1135" s="521">
        <f>AND(MONTH(F1135)=MONTH(S1135), YEAR(F1135)=YEAR(S1135))</f>
        <v/>
      </c>
      <c r="Q1135" s="521">
        <f>U1135="L001-901905215"</f>
        <v/>
      </c>
      <c r="R1135" s="556">
        <f>G1135-W1135</f>
        <v/>
      </c>
      <c r="S1135" s="523" t="n">
        <v>43916</v>
      </c>
      <c r="T1135" s="522" t="inlineStr">
        <is>
          <t>2002179</t>
        </is>
      </c>
      <c r="U1135" s="522" t="inlineStr">
        <is>
          <t>L001-901905215</t>
        </is>
      </c>
      <c r="V1135" s="522" t="inlineStr">
        <is>
          <t>វីអ៊ីស៊ិន (ខេមបូឌា) អ៊ិនដាសស្ទ្រី ឯ.ក</t>
        </is>
      </c>
      <c r="W1135" s="556" t="n">
        <v>89320</v>
      </c>
    </row>
    <row r="1136">
      <c r="A1136" s="521" t="n">
        <v>1128</v>
      </c>
      <c r="B1136" s="522" t="n"/>
      <c r="C1136" s="522" t="inlineStr">
        <is>
          <t>អ៊ីជីអេហ្វ ឡូជីស្ទីក ខូ អិលធីឌី</t>
        </is>
      </c>
      <c r="D1136" s="522" t="inlineStr">
        <is>
          <t>L001-901501877</t>
        </is>
      </c>
      <c r="E1136" s="521" t="inlineStr">
        <is>
          <t>2001985</t>
        </is>
      </c>
      <c r="F1136" s="523" t="n">
        <v>43908</v>
      </c>
      <c r="G1136" s="556" t="n">
        <v>89100</v>
      </c>
      <c r="I1136" s="521">
        <f>G1136</f>
        <v/>
      </c>
      <c r="K1136" s="521">
        <f>I1136-G1136</f>
        <v/>
      </c>
      <c r="M1136" s="522" t="inlineStr">
        <is>
          <t>2001985</t>
        </is>
      </c>
      <c r="N1136" s="522" t="inlineStr">
        <is>
          <t>2001985</t>
        </is>
      </c>
      <c r="O1136" s="521">
        <f>M1136=N1136</f>
        <v/>
      </c>
      <c r="P1136" s="521">
        <f>AND(MONTH(F1136)=MONTH(S1136), YEAR(F1136)=YEAR(S1136))</f>
        <v/>
      </c>
      <c r="Q1136" s="521">
        <f>U1136="L001-901905215"</f>
        <v/>
      </c>
      <c r="R1136" s="556">
        <f>G1136-W1136</f>
        <v/>
      </c>
      <c r="S1136" s="523" t="n">
        <v>43908</v>
      </c>
      <c r="T1136" s="522" t="inlineStr">
        <is>
          <t>2001985</t>
        </is>
      </c>
      <c r="U1136" s="522" t="inlineStr">
        <is>
          <t>L001-901905215</t>
        </is>
      </c>
      <c r="V1136" s="522" t="inlineStr">
        <is>
          <t>វីអ៊ីស៊ិន (ខេមបូឌា) អ៊ិនដាសស្ទ្រី ឯ.ក</t>
        </is>
      </c>
      <c r="W1136" s="556" t="n">
        <v>89100</v>
      </c>
    </row>
    <row r="1137">
      <c r="A1137" s="521" t="n">
        <v>1129</v>
      </c>
      <c r="B1137" s="522" t="n"/>
      <c r="C1137" s="522" t="inlineStr">
        <is>
          <t>អ៊ីជីអេហ្វ ឡូជីស្ទីក ខូ អិលធីឌី</t>
        </is>
      </c>
      <c r="D1137" s="522" t="inlineStr">
        <is>
          <t>L001-901501877</t>
        </is>
      </c>
      <c r="E1137" s="521" t="inlineStr">
        <is>
          <t>2001984</t>
        </is>
      </c>
      <c r="F1137" s="523" t="n">
        <v>43908</v>
      </c>
      <c r="G1137" s="556" t="n">
        <v>89100</v>
      </c>
      <c r="I1137" s="521">
        <f>G1137</f>
        <v/>
      </c>
      <c r="K1137" s="521">
        <f>I1137-G1137</f>
        <v/>
      </c>
      <c r="M1137" s="522" t="inlineStr">
        <is>
          <t>2001984</t>
        </is>
      </c>
      <c r="N1137" s="522" t="inlineStr">
        <is>
          <t>2001984</t>
        </is>
      </c>
      <c r="O1137" s="521">
        <f>M1137=N1137</f>
        <v/>
      </c>
      <c r="P1137" s="521">
        <f>AND(MONTH(F1137)=MONTH(S1137), YEAR(F1137)=YEAR(S1137))</f>
        <v/>
      </c>
      <c r="Q1137" s="521">
        <f>U1137="L001-901905215"</f>
        <v/>
      </c>
      <c r="R1137" s="556">
        <f>G1137-W1137</f>
        <v/>
      </c>
      <c r="S1137" s="523" t="n">
        <v>43908</v>
      </c>
      <c r="T1137" s="522" t="inlineStr">
        <is>
          <t>2001984</t>
        </is>
      </c>
      <c r="U1137" s="522" t="inlineStr">
        <is>
          <t>L001-901905215</t>
        </is>
      </c>
      <c r="V1137" s="522" t="inlineStr">
        <is>
          <t>វីអ៊ីស៊ិន (ខេមបូឌា) អ៊ិនដាសស្ទ្រី ឯ.ក</t>
        </is>
      </c>
      <c r="W1137" s="556" t="n">
        <v>89100</v>
      </c>
    </row>
    <row r="1138">
      <c r="A1138" s="521" t="n">
        <v>1130</v>
      </c>
      <c r="B1138" s="522" t="n"/>
      <c r="C1138" s="522" t="inlineStr">
        <is>
          <t>អ៊ីជីអេហ្វ ឡូជីស្ទីក ខូ អិលធីឌី</t>
        </is>
      </c>
      <c r="D1138" s="522" t="inlineStr">
        <is>
          <t>L001-901501877</t>
        </is>
      </c>
      <c r="E1138" s="521" t="inlineStr">
        <is>
          <t>2001983</t>
        </is>
      </c>
      <c r="F1138" s="523" t="n">
        <v>43908</v>
      </c>
      <c r="G1138" s="556" t="n">
        <v>89100</v>
      </c>
      <c r="I1138" s="521">
        <f>G1138</f>
        <v/>
      </c>
      <c r="K1138" s="521">
        <f>I1138-G1138</f>
        <v/>
      </c>
      <c r="M1138" s="522" t="inlineStr">
        <is>
          <t>2001983</t>
        </is>
      </c>
      <c r="N1138" s="522" t="inlineStr">
        <is>
          <t>2001983</t>
        </is>
      </c>
      <c r="O1138" s="521">
        <f>M1138=N1138</f>
        <v/>
      </c>
      <c r="P1138" s="521">
        <f>AND(MONTH(F1138)=MONTH(S1138), YEAR(F1138)=YEAR(S1138))</f>
        <v/>
      </c>
      <c r="Q1138" s="521">
        <f>U1138="L001-901905215"</f>
        <v/>
      </c>
      <c r="R1138" s="556">
        <f>G1138-W1138</f>
        <v/>
      </c>
      <c r="S1138" s="523" t="n">
        <v>43908</v>
      </c>
      <c r="T1138" s="522" t="inlineStr">
        <is>
          <t>2001983</t>
        </is>
      </c>
      <c r="U1138" s="522" t="inlineStr">
        <is>
          <t>L001-901905215</t>
        </is>
      </c>
      <c r="V1138" s="522" t="inlineStr">
        <is>
          <t>វីអ៊ីស៊ិន (ខេមបូឌា) អ៊ិនដាសស្ទ្រី ឯ.ក</t>
        </is>
      </c>
      <c r="W1138" s="556" t="n">
        <v>89100</v>
      </c>
    </row>
    <row r="1139">
      <c r="A1139" s="521" t="n">
        <v>1131</v>
      </c>
      <c r="B1139" s="522" t="n"/>
      <c r="C1139" s="522" t="inlineStr">
        <is>
          <t>អ៊ីជីអេហ្វ ឡូជីស្ទីក ខូ អិលធីឌី</t>
        </is>
      </c>
      <c r="D1139" s="522" t="inlineStr">
        <is>
          <t>L001-901501877</t>
        </is>
      </c>
      <c r="E1139" s="521" t="inlineStr">
        <is>
          <t>2001982</t>
        </is>
      </c>
      <c r="F1139" s="523" t="n">
        <v>43908</v>
      </c>
      <c r="G1139" s="556" t="n">
        <v>89100</v>
      </c>
      <c r="I1139" s="521">
        <f>G1139</f>
        <v/>
      </c>
      <c r="K1139" s="521">
        <f>I1139-G1139</f>
        <v/>
      </c>
      <c r="M1139" s="522" t="inlineStr">
        <is>
          <t>2001982</t>
        </is>
      </c>
      <c r="N1139" s="522" t="inlineStr">
        <is>
          <t>2001982</t>
        </is>
      </c>
      <c r="O1139" s="521">
        <f>M1139=N1139</f>
        <v/>
      </c>
      <c r="P1139" s="521">
        <f>AND(MONTH(F1139)=MONTH(S1139), YEAR(F1139)=YEAR(S1139))</f>
        <v/>
      </c>
      <c r="Q1139" s="521">
        <f>U1139="L001-901905215"</f>
        <v/>
      </c>
      <c r="R1139" s="556">
        <f>G1139-W1139</f>
        <v/>
      </c>
      <c r="S1139" s="523" t="n">
        <v>43908</v>
      </c>
      <c r="T1139" s="522" t="inlineStr">
        <is>
          <t>2001982</t>
        </is>
      </c>
      <c r="U1139" s="522" t="inlineStr">
        <is>
          <t>L001-901905215</t>
        </is>
      </c>
      <c r="V1139" s="522" t="inlineStr">
        <is>
          <t>វីអ៊ីស៊ិន (ខេមបូឌា) អ៊ិនដាសស្ទ្រី ឯ.ក</t>
        </is>
      </c>
      <c r="W1139" s="556" t="n">
        <v>89100</v>
      </c>
    </row>
    <row r="1140">
      <c r="A1140" s="521" t="n">
        <v>1132</v>
      </c>
      <c r="B1140" s="522" t="n"/>
      <c r="C1140" s="522" t="inlineStr">
        <is>
          <t>អ៊ីជីអេហ្វ ឡូជីស្ទីក ខូ អិលធីឌី</t>
        </is>
      </c>
      <c r="D1140" s="522" t="inlineStr">
        <is>
          <t>L001-901501877</t>
        </is>
      </c>
      <c r="E1140" s="521" t="inlineStr">
        <is>
          <t>2001977</t>
        </is>
      </c>
      <c r="F1140" s="523" t="n">
        <v>43907</v>
      </c>
      <c r="G1140" s="556" t="n">
        <v>97056</v>
      </c>
      <c r="I1140" s="521">
        <f>G1140</f>
        <v/>
      </c>
      <c r="K1140" s="521">
        <f>I1140-G1140</f>
        <v/>
      </c>
      <c r="M1140" s="522" t="inlineStr">
        <is>
          <t>2001977</t>
        </is>
      </c>
      <c r="N1140" s="522" t="inlineStr">
        <is>
          <t>2001977</t>
        </is>
      </c>
      <c r="O1140" s="521">
        <f>M1140=N1140</f>
        <v/>
      </c>
      <c r="P1140" s="521">
        <f>AND(MONTH(F1140)=MONTH(S1140), YEAR(F1140)=YEAR(S1140))</f>
        <v/>
      </c>
      <c r="Q1140" s="521">
        <f>U1140="L001-901905215"</f>
        <v/>
      </c>
      <c r="R1140" s="556">
        <f>G1140-W1140</f>
        <v/>
      </c>
      <c r="S1140" s="523" t="n">
        <v>43907</v>
      </c>
      <c r="T1140" s="522" t="inlineStr">
        <is>
          <t>2001977</t>
        </is>
      </c>
      <c r="U1140" s="522" t="inlineStr">
        <is>
          <t>L001-901905215</t>
        </is>
      </c>
      <c r="V1140" s="522" t="inlineStr">
        <is>
          <t>វីអ៊ីស៊ិន (ខេមបូឌា) អ៊ិនដាសស្ទ្រី ឯ.ក</t>
        </is>
      </c>
      <c r="W1140" s="556" t="n">
        <v>97056</v>
      </c>
    </row>
    <row r="1141">
      <c r="A1141" s="521" t="n">
        <v>1133</v>
      </c>
      <c r="B1141" s="522" t="n"/>
      <c r="C1141" s="522" t="inlineStr">
        <is>
          <t>អ៊ិចស្ពែឌីធ័រ ខេមបូឌា អិលធីឌី</t>
        </is>
      </c>
      <c r="D1141" s="522" t="inlineStr">
        <is>
          <t>L001-100045898</t>
        </is>
      </c>
      <c r="E1141" s="521" t="inlineStr">
        <is>
          <t>TI0173561</t>
        </is>
      </c>
      <c r="F1141" s="523" t="n">
        <v>43907</v>
      </c>
      <c r="G1141" s="556" t="n">
        <v>122938</v>
      </c>
      <c r="I1141" s="521">
        <f>G1141</f>
        <v/>
      </c>
      <c r="K1141" s="521">
        <f>I1141-G1141</f>
        <v/>
      </c>
      <c r="M1141" s="522" t="inlineStr">
        <is>
          <t>TI0173561</t>
        </is>
      </c>
      <c r="N1141" s="522" t="inlineStr">
        <is>
          <t>TI0173561</t>
        </is>
      </c>
      <c r="O1141" s="521">
        <f>M1141=N1141</f>
        <v/>
      </c>
      <c r="P1141" s="521">
        <f>AND(MONTH(F1141)=MONTH(S1141), YEAR(F1141)=YEAR(S1141))</f>
        <v/>
      </c>
      <c r="Q1141" s="521">
        <f>U1141="L001-901905215"</f>
        <v/>
      </c>
      <c r="R1141" s="556">
        <f>G1141-W1141</f>
        <v/>
      </c>
      <c r="S1141" s="523" t="n">
        <v>43907</v>
      </c>
      <c r="T1141" s="522" t="inlineStr">
        <is>
          <t>TI-0173561</t>
        </is>
      </c>
      <c r="U1141" s="522" t="inlineStr">
        <is>
          <t>L001-901905215</t>
        </is>
      </c>
      <c r="V1141" s="522" t="inlineStr">
        <is>
          <t>វីអ៊ីស៊ិន (ខេមបូឌា) អ៊ិនដាសស្ទ្រី ឯ.ក</t>
        </is>
      </c>
      <c r="W1141" s="556" t="n">
        <v>122938</v>
      </c>
    </row>
    <row r="1142">
      <c r="A1142" s="521" t="n">
        <v>1134</v>
      </c>
      <c r="B1142" s="522" t="n"/>
      <c r="C1142" s="522" t="inlineStr">
        <is>
          <t>សូស៊ីយេតេ កុងសេស្យូនែរ ដឺ ឡាអេរ៉ូព័រ</t>
        </is>
      </c>
      <c r="D1142" s="522" t="inlineStr">
        <is>
          <t>L001-100047300</t>
        </is>
      </c>
      <c r="E1142" s="521" t="inlineStr">
        <is>
          <t>2000018124</t>
        </is>
      </c>
      <c r="F1142" s="523" t="n">
        <v>43897</v>
      </c>
      <c r="G1142" s="556" t="n">
        <v>24194</v>
      </c>
      <c r="I1142" s="521">
        <f>G1142</f>
        <v/>
      </c>
      <c r="K1142" s="521">
        <f>I1142-G1142</f>
        <v/>
      </c>
      <c r="M1142" s="522" t="inlineStr">
        <is>
          <t>2000018124</t>
        </is>
      </c>
      <c r="N1142" s="522" t="inlineStr"/>
      <c r="O1142" s="521">
        <f>M1142=N1142</f>
        <v/>
      </c>
      <c r="P1142" s="521">
        <f>AND(MONTH(F1142)=MONTH(S1142), YEAR(F1142)=YEAR(S1142))</f>
        <v/>
      </c>
      <c r="Q1142" s="521">
        <f>U1142="L001-901905215"</f>
        <v/>
      </c>
      <c r="R1142" s="556">
        <f>G1142-W1142</f>
        <v/>
      </c>
      <c r="S1142" s="521" t="n"/>
      <c r="T1142" s="522" t="n"/>
      <c r="U1142" s="522" t="n"/>
      <c r="V1142" s="522" t="n"/>
      <c r="W1142" s="521" t="n"/>
    </row>
    <row r="1143">
      <c r="A1143" s="521" t="n">
        <v>1135</v>
      </c>
      <c r="B1143" s="522" t="n"/>
      <c r="C1143" s="522" t="inlineStr">
        <is>
          <t>ខេមវីល គ្លូប៊ល ឯ.ក</t>
        </is>
      </c>
      <c r="D1143" s="522" t="inlineStr">
        <is>
          <t>L001-901637190</t>
        </is>
      </c>
      <c r="E1143" s="521" t="inlineStr">
        <is>
          <t>INV200345</t>
        </is>
      </c>
      <c r="F1143" s="523" t="n">
        <v>43914</v>
      </c>
      <c r="G1143" s="556" t="n">
        <v>137700</v>
      </c>
      <c r="I1143" s="521">
        <f>G1143</f>
        <v/>
      </c>
      <c r="K1143" s="521">
        <f>I1143-G1143</f>
        <v/>
      </c>
      <c r="M1143" s="522" t="inlineStr">
        <is>
          <t>INV200345</t>
        </is>
      </c>
      <c r="N1143" s="522" t="inlineStr">
        <is>
          <t>INV200345</t>
        </is>
      </c>
      <c r="O1143" s="521">
        <f>M1143=N1143</f>
        <v/>
      </c>
      <c r="P1143" s="521">
        <f>AND(MONTH(F1143)=MONTH(S1143), YEAR(F1143)=YEAR(S1143))</f>
        <v/>
      </c>
      <c r="Q1143" s="521">
        <f>U1143="L001-901905215"</f>
        <v/>
      </c>
      <c r="R1143" s="556">
        <f>G1143-W1143</f>
        <v/>
      </c>
      <c r="S1143" s="523" t="n">
        <v>43914</v>
      </c>
      <c r="T1143" s="522" t="inlineStr">
        <is>
          <t>INV200345</t>
        </is>
      </c>
      <c r="U1143" s="522" t="inlineStr">
        <is>
          <t>L001-901905215</t>
        </is>
      </c>
      <c r="V1143" s="522" t="inlineStr">
        <is>
          <t>វីអ៊ីស៊ិន (ខេមបូឌា) អ៊ិនដាសស្ទ្រី ឯ.ក</t>
        </is>
      </c>
      <c r="W1143" s="556" t="n">
        <v>138380</v>
      </c>
    </row>
    <row r="1144">
      <c r="A1144" s="521" t="n">
        <v>1136</v>
      </c>
      <c r="B1144" s="522" t="n"/>
      <c r="C1144" s="522" t="inlineStr">
        <is>
          <t>អ៊ិចស្ពែឌីធ័រ ខេមបូឌា អិលធីឌី</t>
        </is>
      </c>
      <c r="D1144" s="522" t="inlineStr">
        <is>
          <t>L001-100045898</t>
        </is>
      </c>
      <c r="E1144" s="521" t="inlineStr">
        <is>
          <t>TI0174358</t>
        </is>
      </c>
      <c r="F1144" s="523" t="n">
        <v>43920</v>
      </c>
      <c r="G1144" s="556" t="n">
        <v>175608</v>
      </c>
      <c r="I1144" s="521">
        <f>G1144</f>
        <v/>
      </c>
      <c r="K1144" s="521">
        <f>I1144-G1144</f>
        <v/>
      </c>
      <c r="M1144" s="522" t="inlineStr">
        <is>
          <t>TI0174358</t>
        </is>
      </c>
      <c r="N1144" s="522" t="inlineStr">
        <is>
          <t>TI0174358</t>
        </is>
      </c>
      <c r="O1144" s="521">
        <f>M1144=N1144</f>
        <v/>
      </c>
      <c r="P1144" s="521">
        <f>AND(MONTH(F1144)=MONTH(S1144), YEAR(F1144)=YEAR(S1144))</f>
        <v/>
      </c>
      <c r="Q1144" s="521">
        <f>U1144="L001-901905215"</f>
        <v/>
      </c>
      <c r="R1144" s="556">
        <f>G1144-W1144</f>
        <v/>
      </c>
      <c r="S1144" s="523" t="n">
        <v>43920</v>
      </c>
      <c r="T1144" s="522" t="inlineStr">
        <is>
          <t>TI-0174358</t>
        </is>
      </c>
      <c r="U1144" s="522" t="inlineStr">
        <is>
          <t>L001-901905215</t>
        </is>
      </c>
      <c r="V1144" s="522" t="inlineStr">
        <is>
          <t>វីអ៊ីស៊ិន (ខេមបូឌា) អ៊ិនដាសស្ទ្រី ឯ.ក</t>
        </is>
      </c>
      <c r="W1144" s="556" t="n">
        <v>175608</v>
      </c>
    </row>
    <row r="1145">
      <c r="A1145" s="521" t="n">
        <v>1137</v>
      </c>
      <c r="B1145" s="522" t="n"/>
      <c r="C1145" s="522" t="inlineStr">
        <is>
          <t>អ៊ិចស្ពែឌីធ័រ ខេមបូឌា អិលធីឌី</t>
        </is>
      </c>
      <c r="D1145" s="522" t="inlineStr">
        <is>
          <t>L001-100045898</t>
        </is>
      </c>
      <c r="E1145" s="521" t="inlineStr">
        <is>
          <t>TI0173562</t>
        </is>
      </c>
      <c r="F1145" s="523" t="n">
        <v>43907</v>
      </c>
      <c r="G1145" s="556" t="n">
        <v>122938</v>
      </c>
      <c r="I1145" s="521">
        <f>G1145</f>
        <v/>
      </c>
      <c r="K1145" s="521">
        <f>I1145-G1145</f>
        <v/>
      </c>
      <c r="M1145" s="522" t="inlineStr">
        <is>
          <t>TI0173562</t>
        </is>
      </c>
      <c r="N1145" s="522" t="inlineStr">
        <is>
          <t>TI0173562</t>
        </is>
      </c>
      <c r="O1145" s="521">
        <f>M1145=N1145</f>
        <v/>
      </c>
      <c r="P1145" s="521">
        <f>AND(MONTH(F1145)=MONTH(S1145), YEAR(F1145)=YEAR(S1145))</f>
        <v/>
      </c>
      <c r="Q1145" s="521">
        <f>U1145="L001-901905215"</f>
        <v/>
      </c>
      <c r="R1145" s="556">
        <f>G1145-W1145</f>
        <v/>
      </c>
      <c r="S1145" s="523" t="n">
        <v>43907</v>
      </c>
      <c r="T1145" s="522" t="inlineStr">
        <is>
          <t>TI-0173562</t>
        </is>
      </c>
      <c r="U1145" s="522" t="inlineStr">
        <is>
          <t>L001-901905215</t>
        </is>
      </c>
      <c r="V1145" s="522" t="inlineStr">
        <is>
          <t>វីអ៊ីស៊ិន (ខេមបូឌា) អ៊ិនដាសស្ទ្រី ឯ.ក</t>
        </is>
      </c>
      <c r="W1145" s="556" t="n">
        <v>122938</v>
      </c>
    </row>
    <row r="1146">
      <c r="A1146" s="521" t="n">
        <v>1138</v>
      </c>
      <c r="B1146" s="522" t="n"/>
      <c r="C1146" s="522" t="inlineStr">
        <is>
          <t>អ៊ិចស្ពែឌីធ័រ ខេមបូឌា អិលធីឌី</t>
        </is>
      </c>
      <c r="D1146" s="522" t="inlineStr">
        <is>
          <t>L001-100045898</t>
        </is>
      </c>
      <c r="E1146" s="521" t="inlineStr">
        <is>
          <t>TI0173563</t>
        </is>
      </c>
      <c r="F1146" s="523" t="n">
        <v>43907</v>
      </c>
      <c r="G1146" s="556" t="n">
        <v>148819</v>
      </c>
      <c r="I1146" s="521">
        <f>G1146</f>
        <v/>
      </c>
      <c r="K1146" s="521">
        <f>I1146-G1146</f>
        <v/>
      </c>
      <c r="M1146" s="522" t="inlineStr">
        <is>
          <t>TI0173563</t>
        </is>
      </c>
      <c r="N1146" s="522" t="inlineStr">
        <is>
          <t>TI0173563</t>
        </is>
      </c>
      <c r="O1146" s="521">
        <f>M1146=N1146</f>
        <v/>
      </c>
      <c r="P1146" s="521">
        <f>AND(MONTH(F1146)=MONTH(S1146), YEAR(F1146)=YEAR(S1146))</f>
        <v/>
      </c>
      <c r="Q1146" s="521">
        <f>U1146="L001-901905215"</f>
        <v/>
      </c>
      <c r="R1146" s="556">
        <f>G1146-W1146</f>
        <v/>
      </c>
      <c r="S1146" s="523" t="n">
        <v>43907</v>
      </c>
      <c r="T1146" s="522" t="inlineStr">
        <is>
          <t>TI-0173563</t>
        </is>
      </c>
      <c r="U1146" s="522" t="inlineStr">
        <is>
          <t>L001-901905215</t>
        </is>
      </c>
      <c r="V1146" s="522" t="inlineStr">
        <is>
          <t>វីអ៊ីស៊ិន (ខេមបូឌា) អ៊ិនដាសស្ទ្រី ឯ.ក</t>
        </is>
      </c>
      <c r="W1146" s="556" t="n">
        <v>148819</v>
      </c>
    </row>
    <row r="1147">
      <c r="A1147" s="521" t="n">
        <v>1139</v>
      </c>
      <c r="B1147" s="522" t="n"/>
      <c r="C1147" s="522" t="inlineStr">
        <is>
          <t>អ៊ិចស្ពែឌីធ័រ ខេមបូឌា អិលធីឌី</t>
        </is>
      </c>
      <c r="D1147" s="522" t="inlineStr">
        <is>
          <t>L001-100045898</t>
        </is>
      </c>
      <c r="E1147" s="521" t="inlineStr">
        <is>
          <t>TI0173565</t>
        </is>
      </c>
      <c r="F1147" s="523" t="n">
        <v>43907</v>
      </c>
      <c r="G1147" s="556" t="n">
        <v>171061</v>
      </c>
      <c r="I1147" s="521">
        <f>G1147</f>
        <v/>
      </c>
      <c r="K1147" s="521">
        <f>I1147-G1147</f>
        <v/>
      </c>
      <c r="M1147" s="522" t="inlineStr">
        <is>
          <t>TI0173565</t>
        </is>
      </c>
      <c r="N1147" s="522" t="inlineStr">
        <is>
          <t>TI0173565</t>
        </is>
      </c>
      <c r="O1147" s="521">
        <f>M1147=N1147</f>
        <v/>
      </c>
      <c r="P1147" s="521">
        <f>AND(MONTH(F1147)=MONTH(S1147), YEAR(F1147)=YEAR(S1147))</f>
        <v/>
      </c>
      <c r="Q1147" s="521">
        <f>U1147="L001-901905215"</f>
        <v/>
      </c>
      <c r="R1147" s="556">
        <f>G1147-W1147</f>
        <v/>
      </c>
      <c r="S1147" s="523" t="n">
        <v>43907</v>
      </c>
      <c r="T1147" s="522" t="inlineStr">
        <is>
          <t>TI-0173565</t>
        </is>
      </c>
      <c r="U1147" s="522" t="inlineStr">
        <is>
          <t>L001-901905215</t>
        </is>
      </c>
      <c r="V1147" s="522" t="inlineStr">
        <is>
          <t>វីអ៊ីស៊ិន (ខេមបូឌា) អ៊ិនដាសស្ទ្រី ឯ.ក</t>
        </is>
      </c>
      <c r="W1147" s="556" t="n">
        <v>171061</v>
      </c>
    </row>
    <row r="1148">
      <c r="A1148" s="521" t="n">
        <v>1140</v>
      </c>
      <c r="B1148" s="522" t="n"/>
      <c r="C1148" s="522" t="inlineStr">
        <is>
          <t>អ៊ិចស្ពែឌីធ័រ ខេមបូឌា អិលធីឌី</t>
        </is>
      </c>
      <c r="D1148" s="522" t="inlineStr">
        <is>
          <t>L001-100045898</t>
        </is>
      </c>
      <c r="E1148" s="521" t="inlineStr">
        <is>
          <t>TI0173564</t>
        </is>
      </c>
      <c r="F1148" s="523" t="n">
        <v>43907</v>
      </c>
      <c r="G1148" s="556" t="n">
        <v>150841</v>
      </c>
      <c r="I1148" s="521">
        <f>G1148</f>
        <v/>
      </c>
      <c r="K1148" s="521">
        <f>I1148-G1148</f>
        <v/>
      </c>
      <c r="M1148" s="522" t="inlineStr">
        <is>
          <t>TI0173564</t>
        </is>
      </c>
      <c r="N1148" s="522" t="inlineStr">
        <is>
          <t>TI0173564</t>
        </is>
      </c>
      <c r="O1148" s="521">
        <f>M1148=N1148</f>
        <v/>
      </c>
      <c r="P1148" s="521">
        <f>AND(MONTH(F1148)=MONTH(S1148), YEAR(F1148)=YEAR(S1148))</f>
        <v/>
      </c>
      <c r="Q1148" s="521">
        <f>U1148="L001-901905215"</f>
        <v/>
      </c>
      <c r="R1148" s="556">
        <f>G1148-W1148</f>
        <v/>
      </c>
      <c r="S1148" s="523" t="n">
        <v>43907</v>
      </c>
      <c r="T1148" s="522" t="inlineStr">
        <is>
          <t>TI-0173564</t>
        </is>
      </c>
      <c r="U1148" s="522" t="inlineStr">
        <is>
          <t>L001-901905215</t>
        </is>
      </c>
      <c r="V1148" s="522" t="inlineStr">
        <is>
          <t>វីអ៊ីស៊ិន (ខេមបូឌា) អ៊ិនដាសស្ទ្រី ឯ.ក</t>
        </is>
      </c>
      <c r="W1148" s="556" t="n">
        <v>150841</v>
      </c>
    </row>
    <row r="1149">
      <c r="A1149" s="521" t="n">
        <v>1141</v>
      </c>
      <c r="B1149" s="522" t="n"/>
      <c r="C1149" s="522" t="inlineStr">
        <is>
          <t>អ៊ិចស្ពែឌីធ័រ ខេមបូឌា អិលធីឌី</t>
        </is>
      </c>
      <c r="D1149" s="522" t="inlineStr">
        <is>
          <t>L001-100045898</t>
        </is>
      </c>
      <c r="E1149" s="521" t="inlineStr">
        <is>
          <t>TI0172777</t>
        </is>
      </c>
      <c r="F1149" s="523" t="n">
        <v>43900</v>
      </c>
      <c r="G1149" s="556" t="n">
        <v>108838</v>
      </c>
      <c r="I1149" s="521">
        <f>G1149</f>
        <v/>
      </c>
      <c r="K1149" s="521">
        <f>I1149-G1149</f>
        <v/>
      </c>
      <c r="M1149" s="522" t="inlineStr">
        <is>
          <t>TI0172777</t>
        </is>
      </c>
      <c r="N1149" s="522" t="inlineStr">
        <is>
          <t>TI0172777</t>
        </is>
      </c>
      <c r="O1149" s="521">
        <f>M1149=N1149</f>
        <v/>
      </c>
      <c r="P1149" s="521">
        <f>AND(MONTH(F1149)=MONTH(S1149), YEAR(F1149)=YEAR(S1149))</f>
        <v/>
      </c>
      <c r="Q1149" s="521">
        <f>U1149="L001-901905215"</f>
        <v/>
      </c>
      <c r="R1149" s="556">
        <f>G1149-W1149</f>
        <v/>
      </c>
      <c r="S1149" s="523" t="n">
        <v>43900</v>
      </c>
      <c r="T1149" s="522" t="inlineStr">
        <is>
          <t>TI-0172777</t>
        </is>
      </c>
      <c r="U1149" s="522" t="inlineStr">
        <is>
          <t>L001-901905215</t>
        </is>
      </c>
      <c r="V1149" s="522" t="inlineStr">
        <is>
          <t>វីអ៊ីស៊ិន (ខេមបូឌា) អ៊ិនដាសស្ទ្រី ឯ.ក</t>
        </is>
      </c>
      <c r="W1149" s="556" t="n">
        <v>108824</v>
      </c>
    </row>
    <row r="1150">
      <c r="A1150" s="521" t="n">
        <v>1142</v>
      </c>
      <c r="B1150" s="522" t="n"/>
      <c r="C1150" s="522" t="inlineStr">
        <is>
          <t>អ៊ិចស្ពែឌីធ័រ ខេមបូឌា អិលធីឌី</t>
        </is>
      </c>
      <c r="D1150" s="522" t="inlineStr">
        <is>
          <t>L001-100045898</t>
        </is>
      </c>
      <c r="E1150" s="521" t="inlineStr">
        <is>
          <t>TI0172750</t>
        </is>
      </c>
      <c r="F1150" s="523" t="n">
        <v>43900</v>
      </c>
      <c r="G1150" s="556" t="n">
        <v>123120</v>
      </c>
      <c r="I1150" s="521">
        <f>G1150</f>
        <v/>
      </c>
      <c r="K1150" s="521">
        <f>I1150-G1150</f>
        <v/>
      </c>
      <c r="M1150" s="522" t="inlineStr">
        <is>
          <t>TI0172750</t>
        </is>
      </c>
      <c r="N1150" s="522" t="inlineStr">
        <is>
          <t>TI0172750</t>
        </is>
      </c>
      <c r="O1150" s="521">
        <f>M1150=N1150</f>
        <v/>
      </c>
      <c r="P1150" s="521">
        <f>AND(MONTH(F1150)=MONTH(S1150), YEAR(F1150)=YEAR(S1150))</f>
        <v/>
      </c>
      <c r="Q1150" s="521">
        <f>U1150="L001-901905215"</f>
        <v/>
      </c>
      <c r="R1150" s="556">
        <f>G1150-W1150</f>
        <v/>
      </c>
      <c r="S1150" s="523" t="n">
        <v>43900</v>
      </c>
      <c r="T1150" s="522" t="inlineStr">
        <is>
          <t>TI-0172750</t>
        </is>
      </c>
      <c r="U1150" s="522" t="inlineStr">
        <is>
          <t>L001-901905215</t>
        </is>
      </c>
      <c r="V1150" s="522" t="inlineStr">
        <is>
          <t>វីអ៊ីស៊ិន (ខេមបូឌា) អ៊ិនដាសស្ទ្រី ឯ.ក</t>
        </is>
      </c>
      <c r="W1150" s="556" t="n">
        <v>123120</v>
      </c>
    </row>
    <row r="1151">
      <c r="A1151" s="521" t="n">
        <v>1143</v>
      </c>
      <c r="B1151" s="522" t="n"/>
      <c r="C1151" s="522" t="inlineStr">
        <is>
          <t>អ៊ិចស្ពែឌីធ័រ ខេមបូឌា អិលធីឌី</t>
        </is>
      </c>
      <c r="D1151" s="522" t="inlineStr">
        <is>
          <t>L001-100045898</t>
        </is>
      </c>
      <c r="E1151" s="521" t="inlineStr">
        <is>
          <t>TI0172214</t>
        </is>
      </c>
      <c r="F1151" s="523" t="n">
        <v>43892</v>
      </c>
      <c r="G1151" s="556" t="n">
        <v>58884</v>
      </c>
      <c r="I1151" s="521">
        <f>G1151</f>
        <v/>
      </c>
      <c r="K1151" s="521">
        <f>I1151-G1151</f>
        <v/>
      </c>
      <c r="M1151" s="522" t="inlineStr">
        <is>
          <t>TI0172214</t>
        </is>
      </c>
      <c r="N1151" s="522" t="inlineStr">
        <is>
          <t>TI0172214</t>
        </is>
      </c>
      <c r="O1151" s="521">
        <f>M1151=N1151</f>
        <v/>
      </c>
      <c r="P1151" s="521">
        <f>AND(MONTH(F1151)=MONTH(S1151), YEAR(F1151)=YEAR(S1151))</f>
        <v/>
      </c>
      <c r="Q1151" s="521">
        <f>U1151="L001-901905215"</f>
        <v/>
      </c>
      <c r="R1151" s="556">
        <f>G1151-W1151</f>
        <v/>
      </c>
      <c r="S1151" s="523" t="n">
        <v>43892</v>
      </c>
      <c r="T1151" s="522" t="inlineStr">
        <is>
          <t>TI-0172214</t>
        </is>
      </c>
      <c r="U1151" s="522" t="inlineStr">
        <is>
          <t>L001-901905215</t>
        </is>
      </c>
      <c r="V1151" s="522" t="inlineStr">
        <is>
          <t>វីអ៊ីស៊ិន (ខេមបូឌា) អ៊ិនដាសស្ទ្រី ឯ.ក</t>
        </is>
      </c>
      <c r="W1151" s="556" t="n">
        <v>58869</v>
      </c>
    </row>
    <row r="1152">
      <c r="A1152" s="521" t="n">
        <v>1144</v>
      </c>
      <c r="B1152" s="522" t="n"/>
      <c r="C1152" s="522" t="inlineStr">
        <is>
          <t>អ៊ិចស្ពែឌីធ័រ ខេមបូឌា អិលធីឌី</t>
        </is>
      </c>
      <c r="D1152" s="522" t="inlineStr">
        <is>
          <t>L001-100045898</t>
        </is>
      </c>
      <c r="E1152" s="521" t="inlineStr">
        <is>
          <t>TI0172343</t>
        </is>
      </c>
      <c r="F1152" s="523" t="n">
        <v>43892</v>
      </c>
      <c r="G1152" s="556" t="n">
        <v>123850</v>
      </c>
      <c r="I1152" s="521">
        <f>G1152</f>
        <v/>
      </c>
      <c r="K1152" s="521">
        <f>I1152-G1152</f>
        <v/>
      </c>
      <c r="M1152" s="522" t="inlineStr">
        <is>
          <t>TI0172343</t>
        </is>
      </c>
      <c r="N1152" s="522" t="inlineStr">
        <is>
          <t>TI0172343</t>
        </is>
      </c>
      <c r="O1152" s="521">
        <f>M1152=N1152</f>
        <v/>
      </c>
      <c r="P1152" s="521">
        <f>AND(MONTH(F1152)=MONTH(S1152), YEAR(F1152)=YEAR(S1152))</f>
        <v/>
      </c>
      <c r="Q1152" s="521">
        <f>U1152="L001-901905215"</f>
        <v/>
      </c>
      <c r="R1152" s="556">
        <f>G1152-W1152</f>
        <v/>
      </c>
      <c r="S1152" s="523" t="n">
        <v>43892</v>
      </c>
      <c r="T1152" s="522" t="inlineStr">
        <is>
          <t>TI-0172343</t>
        </is>
      </c>
      <c r="U1152" s="522" t="inlineStr">
        <is>
          <t>L001-901905215</t>
        </is>
      </c>
      <c r="V1152" s="522" t="inlineStr">
        <is>
          <t>វីអ៊ីស៊ិន (ខេមបូឌា) អ៊ិនដាសស្ទ្រី ឯ.ក</t>
        </is>
      </c>
      <c r="W1152" s="556" t="n">
        <v>123850</v>
      </c>
    </row>
    <row r="1153">
      <c r="A1153" s="521" t="n">
        <v>1145</v>
      </c>
      <c r="B1153" s="522" t="n"/>
      <c r="C1153" s="522" t="inlineStr">
        <is>
          <t>ហ្គោមី រីសាយឃល110</t>
        </is>
      </c>
      <c r="D1153" s="522" t="inlineStr">
        <is>
          <t>K010-901503890</t>
        </is>
      </c>
      <c r="E1153" s="521" t="inlineStr">
        <is>
          <t>GRIN2020100</t>
        </is>
      </c>
      <c r="F1153" s="523" t="n">
        <v>43918</v>
      </c>
      <c r="G1153" s="556" t="n">
        <v>16240</v>
      </c>
      <c r="I1153" s="521">
        <f>G1153</f>
        <v/>
      </c>
      <c r="K1153" s="521">
        <f>I1153-G1153</f>
        <v/>
      </c>
      <c r="M1153" s="522" t="inlineStr">
        <is>
          <t>GRIN2020100</t>
        </is>
      </c>
      <c r="N1153" s="522" t="inlineStr">
        <is>
          <t>GRIN2020100</t>
        </is>
      </c>
      <c r="O1153" s="521">
        <f>M1153=N1153</f>
        <v/>
      </c>
      <c r="P1153" s="521">
        <f>AND(MONTH(F1153)=MONTH(S1153), YEAR(F1153)=YEAR(S1153))</f>
        <v/>
      </c>
      <c r="Q1153" s="521">
        <f>U1153="L001-901905215"</f>
        <v/>
      </c>
      <c r="R1153" s="556">
        <f>G1153-W1153</f>
        <v/>
      </c>
      <c r="S1153" s="523" t="n">
        <v>43918</v>
      </c>
      <c r="T1153" s="522" t="inlineStr">
        <is>
          <t>GR-IN2020100</t>
        </is>
      </c>
      <c r="U1153" s="522" t="inlineStr">
        <is>
          <t>L001-901905215</t>
        </is>
      </c>
      <c r="V1153" s="522" t="inlineStr">
        <is>
          <t>វីអ៊ីស៊ិន (ខេមបូឌា) អ៊ិនដាសស្ទ្រី ឯ.ក</t>
        </is>
      </c>
      <c r="W1153" s="556" t="n">
        <v>16280</v>
      </c>
    </row>
    <row r="1154">
      <c r="A1154" s="521" t="n">
        <v>1146</v>
      </c>
      <c r="B1154" s="522" t="n"/>
      <c r="C1154" s="522" t="inlineStr">
        <is>
          <t>ថេកអេស៊ីស៊ី ផេភើរ សឺវីស ខនសាល់ធេន ឯ.ក</t>
        </is>
      </c>
      <c r="D1154" s="522" t="inlineStr">
        <is>
          <t>K004-901801112</t>
        </is>
      </c>
      <c r="E1154" s="521" t="inlineStr">
        <is>
          <t>000045</t>
        </is>
      </c>
      <c r="F1154" s="523" t="n">
        <v>43894</v>
      </c>
      <c r="G1154" s="556" t="n">
        <v>162960</v>
      </c>
      <c r="I1154" s="521">
        <f>G1154</f>
        <v/>
      </c>
      <c r="K1154" s="521">
        <f>I1154-G1154</f>
        <v/>
      </c>
      <c r="M1154" s="522" t="inlineStr">
        <is>
          <t>000045</t>
        </is>
      </c>
      <c r="N1154" s="522" t="inlineStr">
        <is>
          <t>000045</t>
        </is>
      </c>
      <c r="O1154" s="521">
        <f>M1154=N1154</f>
        <v/>
      </c>
      <c r="P1154" s="521">
        <f>AND(MONTH(F1154)=MONTH(S1154), YEAR(F1154)=YEAR(S1154))</f>
        <v/>
      </c>
      <c r="Q1154" s="521">
        <f>U1154="L001-901905215"</f>
        <v/>
      </c>
      <c r="R1154" s="556">
        <f>G1154-W1154</f>
        <v/>
      </c>
      <c r="S1154" s="523" t="n">
        <v>43894</v>
      </c>
      <c r="T1154" s="522" t="inlineStr">
        <is>
          <t>000045</t>
        </is>
      </c>
      <c r="U1154" s="522" t="inlineStr">
        <is>
          <t>L001-901905215</t>
        </is>
      </c>
      <c r="V1154" s="522" t="inlineStr">
        <is>
          <t>វីអ៊ីស៊ិន (ខេមបូឌា) អ៊ិនដាសស្ទ្រី ឯ.ក</t>
        </is>
      </c>
      <c r="W1154" s="556" t="n">
        <v>162960</v>
      </c>
    </row>
    <row r="1155">
      <c r="A1155" s="521" t="n">
        <v>1147</v>
      </c>
      <c r="B1155" s="522" t="n"/>
      <c r="C1155" s="522" t="inlineStr">
        <is>
          <t>សហ័ស សិឃ្យូរិធី ឯ.ក</t>
        </is>
      </c>
      <c r="D1155" s="522" t="inlineStr">
        <is>
          <t>K010-107032600</t>
        </is>
      </c>
      <c r="E1155" s="521" t="inlineStr">
        <is>
          <t>2020000133</t>
        </is>
      </c>
      <c r="F1155" s="523" t="n">
        <v>43915</v>
      </c>
      <c r="G1155" s="556" t="n">
        <v>325476</v>
      </c>
      <c r="I1155" s="521">
        <f>G1155</f>
        <v/>
      </c>
      <c r="K1155" s="521">
        <f>I1155-G1155</f>
        <v/>
      </c>
      <c r="M1155" s="522" t="inlineStr">
        <is>
          <t>2020000133</t>
        </is>
      </c>
      <c r="N1155" s="522" t="inlineStr"/>
      <c r="O1155" s="521">
        <f>M1155=N1155</f>
        <v/>
      </c>
      <c r="P1155" s="521">
        <f>AND(MONTH(F1155)=MONTH(S1155), YEAR(F1155)=YEAR(S1155))</f>
        <v/>
      </c>
      <c r="Q1155" s="521">
        <f>U1155="L001-901905215"</f>
        <v/>
      </c>
      <c r="R1155" s="556">
        <f>G1155-W1155</f>
        <v/>
      </c>
      <c r="S1155" s="521" t="n"/>
      <c r="T1155" s="522" t="n"/>
      <c r="U1155" s="522" t="n"/>
      <c r="V1155" s="522" t="n"/>
      <c r="W1155" s="521" t="n"/>
    </row>
    <row r="1156">
      <c r="A1156" s="521" t="n">
        <v>1148</v>
      </c>
      <c r="B1156" s="522" t="n"/>
      <c r="C1156" s="522" t="inlineStr">
        <is>
          <t>អ៊ិចស្ពែឌីធ័រ ខេមបូឌា អិលធីឌី</t>
        </is>
      </c>
      <c r="D1156" s="522" t="inlineStr">
        <is>
          <t>L001-100045898</t>
        </is>
      </c>
      <c r="E1156" s="521" t="inlineStr">
        <is>
          <t>TI0174110</t>
        </is>
      </c>
      <c r="F1156" s="523" t="n">
        <v>43914</v>
      </c>
      <c r="G1156" s="556" t="n">
        <v>220320</v>
      </c>
      <c r="I1156" s="521">
        <f>G1156</f>
        <v/>
      </c>
      <c r="K1156" s="521">
        <f>I1156-G1156</f>
        <v/>
      </c>
      <c r="M1156" s="522" t="inlineStr">
        <is>
          <t>TI0174110</t>
        </is>
      </c>
      <c r="N1156" s="522" t="inlineStr">
        <is>
          <t>TI0174110</t>
        </is>
      </c>
      <c r="O1156" s="521">
        <f>M1156=N1156</f>
        <v/>
      </c>
      <c r="P1156" s="521">
        <f>AND(MONTH(F1156)=MONTH(S1156), YEAR(F1156)=YEAR(S1156))</f>
        <v/>
      </c>
      <c r="Q1156" s="521">
        <f>U1156="L001-901905215"</f>
        <v/>
      </c>
      <c r="R1156" s="556">
        <f>G1156-W1156</f>
        <v/>
      </c>
      <c r="S1156" s="523" t="n">
        <v>43914</v>
      </c>
      <c r="T1156" s="522" t="inlineStr">
        <is>
          <t>TI-0174110</t>
        </is>
      </c>
      <c r="U1156" s="522" t="inlineStr">
        <is>
          <t>L001-901905215</t>
        </is>
      </c>
      <c r="V1156" s="522" t="inlineStr">
        <is>
          <t>វីអ៊ីស៊ិន (ខេមបូឌា) អ៊ិនដាសស្ទ្រី ឯ.ក</t>
        </is>
      </c>
      <c r="W1156" s="556" t="n">
        <v>220320</v>
      </c>
    </row>
    <row r="1157">
      <c r="A1157" s="521" t="n">
        <v>1149</v>
      </c>
      <c r="B1157" s="522" t="n"/>
      <c r="C1157" s="522" t="inlineStr">
        <is>
          <t>ខេមវីល គ្លូប៊ល ឯ.ក</t>
        </is>
      </c>
      <c r="D1157" s="522" t="inlineStr">
        <is>
          <t>L001-901637190</t>
        </is>
      </c>
      <c r="E1157" s="521" t="inlineStr">
        <is>
          <t>INV200289</t>
        </is>
      </c>
      <c r="F1157" s="523" t="n">
        <v>43901</v>
      </c>
      <c r="G1157" s="556" t="n">
        <v>137530</v>
      </c>
      <c r="I1157" s="521">
        <f>G1157</f>
        <v/>
      </c>
      <c r="K1157" s="521">
        <f>I1157-G1157</f>
        <v/>
      </c>
      <c r="M1157" s="522" t="inlineStr">
        <is>
          <t>INV200289</t>
        </is>
      </c>
      <c r="N1157" s="522" t="inlineStr">
        <is>
          <t>INV200289</t>
        </is>
      </c>
      <c r="O1157" s="521">
        <f>M1157=N1157</f>
        <v/>
      </c>
      <c r="P1157" s="521">
        <f>AND(MONTH(F1157)=MONTH(S1157), YEAR(F1157)=YEAR(S1157))</f>
        <v/>
      </c>
      <c r="Q1157" s="521">
        <f>U1157="L001-901905215"</f>
        <v/>
      </c>
      <c r="R1157" s="556">
        <f>G1157-W1157</f>
        <v/>
      </c>
      <c r="S1157" s="523" t="n">
        <v>43901</v>
      </c>
      <c r="T1157" s="522" t="inlineStr">
        <is>
          <t>INV200289</t>
        </is>
      </c>
      <c r="U1157" s="522" t="inlineStr">
        <is>
          <t>L001-901905215</t>
        </is>
      </c>
      <c r="V1157" s="522" t="inlineStr">
        <is>
          <t>វីអ៊ីស៊ិន (ខេមបូឌា) អ៊ិនដាសស្ទ្រី ឯ.ក</t>
        </is>
      </c>
      <c r="W1157" s="556" t="n">
        <v>138380</v>
      </c>
    </row>
    <row r="1158">
      <c r="A1158" s="521" t="n">
        <v>1150</v>
      </c>
      <c r="B1158" s="522" t="inlineStr">
        <is>
          <t>កេសកាតុង</t>
        </is>
      </c>
      <c r="C1158" s="522" t="inlineStr">
        <is>
          <t>ស៊ីងហ្គាពួរ កាតុង (ខេមបូឌា)</t>
        </is>
      </c>
      <c r="D1158" s="522" t="inlineStr">
        <is>
          <t>L001-100121322</t>
        </is>
      </c>
      <c r="E1158" s="521" t="inlineStr">
        <is>
          <t>V0016011</t>
        </is>
      </c>
      <c r="F1158" s="523" t="n">
        <v>44284</v>
      </c>
      <c r="G1158" s="556" t="n">
        <v>789313</v>
      </c>
      <c r="I1158" s="521">
        <f>G1158</f>
        <v/>
      </c>
      <c r="K1158" s="521">
        <f>I1158-G1158</f>
        <v/>
      </c>
      <c r="M1158" s="522" t="inlineStr">
        <is>
          <t>V0016011</t>
        </is>
      </c>
      <c r="N1158" s="522" t="inlineStr">
        <is>
          <t>V0016011</t>
        </is>
      </c>
      <c r="O1158" s="521">
        <f>M1158=N1158</f>
        <v/>
      </c>
      <c r="P1158" s="521">
        <f>AND(MONTH(F1158)=MONTH(S1158), YEAR(F1158)=YEAR(S1158))</f>
        <v/>
      </c>
      <c r="Q1158" s="521">
        <f>U1158="L001-901905215"</f>
        <v/>
      </c>
      <c r="R1158" s="556">
        <f>G1158-W1158</f>
        <v/>
      </c>
      <c r="S1158" s="523" t="n">
        <v>44284</v>
      </c>
      <c r="T1158" s="522" t="inlineStr">
        <is>
          <t>V0016011</t>
        </is>
      </c>
      <c r="U1158" s="522" t="inlineStr">
        <is>
          <t>L001-901905215</t>
        </is>
      </c>
      <c r="V1158" s="522" t="inlineStr">
        <is>
          <t>វីអ៊ីស៊ិន (ខេមបូឌា) អ៊ិនដាសស្ទ្រី ឯ.ក</t>
        </is>
      </c>
      <c r="W1158" s="556" t="n">
        <v>789312</v>
      </c>
    </row>
    <row r="1159">
      <c r="A1159" s="521" t="n">
        <v>1151</v>
      </c>
      <c r="B1159" s="522" t="inlineStr">
        <is>
          <t>កេសកាតុង</t>
        </is>
      </c>
      <c r="C1159" s="522" t="inlineStr">
        <is>
          <t>ស៊ីងហ្គាពួរ កាតុង (ខេមបូឌា)</t>
        </is>
      </c>
      <c r="D1159" s="522" t="inlineStr">
        <is>
          <t>L001-100121322</t>
        </is>
      </c>
      <c r="E1159" s="521" t="inlineStr">
        <is>
          <t>V0016010</t>
        </is>
      </c>
      <c r="F1159" s="523" t="n">
        <v>44283</v>
      </c>
      <c r="G1159" s="556" t="n">
        <v>402882</v>
      </c>
      <c r="I1159" s="521">
        <f>G1159</f>
        <v/>
      </c>
      <c r="K1159" s="521">
        <f>I1159-G1159</f>
        <v/>
      </c>
      <c r="M1159" s="522" t="inlineStr">
        <is>
          <t>V0016010</t>
        </is>
      </c>
      <c r="N1159" s="522" t="inlineStr">
        <is>
          <t>V0016010</t>
        </is>
      </c>
      <c r="O1159" s="521">
        <f>M1159=N1159</f>
        <v/>
      </c>
      <c r="P1159" s="521">
        <f>AND(MONTH(F1159)=MONTH(S1159), YEAR(F1159)=YEAR(S1159))</f>
        <v/>
      </c>
      <c r="Q1159" s="521">
        <f>U1159="L001-901905215"</f>
        <v/>
      </c>
      <c r="R1159" s="556">
        <f>G1159-W1159</f>
        <v/>
      </c>
      <c r="S1159" s="523" t="n">
        <v>44283</v>
      </c>
      <c r="T1159" s="522" t="inlineStr">
        <is>
          <t>V0016010</t>
        </is>
      </c>
      <c r="U1159" s="522" t="inlineStr">
        <is>
          <t>L001-901905215</t>
        </is>
      </c>
      <c r="V1159" s="522" t="inlineStr">
        <is>
          <t>វីអ៊ីស៊ិន (ខេមបូឌា) អ៊ិនដាសស្ទ្រី ឯ.ក</t>
        </is>
      </c>
      <c r="W1159" s="556" t="n">
        <v>402882</v>
      </c>
    </row>
    <row r="1160">
      <c r="A1160" s="521" t="n">
        <v>1152</v>
      </c>
      <c r="B1160" s="522" t="inlineStr">
        <is>
          <t>កេសកាតុង</t>
        </is>
      </c>
      <c r="C1160" s="522" t="inlineStr">
        <is>
          <t>ស៊ីងហ្គាពួរ កាតុង (ខេមបូឌា)</t>
        </is>
      </c>
      <c r="D1160" s="522" t="inlineStr">
        <is>
          <t>L001-100121322</t>
        </is>
      </c>
      <c r="E1160" s="521" t="inlineStr">
        <is>
          <t>V0016007</t>
        </is>
      </c>
      <c r="F1160" s="523" t="n">
        <v>44283</v>
      </c>
      <c r="G1160" s="556" t="n">
        <v>25444</v>
      </c>
      <c r="I1160" s="521">
        <f>G1160</f>
        <v/>
      </c>
      <c r="K1160" s="521">
        <f>I1160-G1160</f>
        <v/>
      </c>
      <c r="M1160" s="522" t="inlineStr">
        <is>
          <t>V0016007</t>
        </is>
      </c>
      <c r="N1160" s="522" t="inlineStr">
        <is>
          <t>V0016007</t>
        </is>
      </c>
      <c r="O1160" s="521">
        <f>M1160=N1160</f>
        <v/>
      </c>
      <c r="P1160" s="521">
        <f>AND(MONTH(F1160)=MONTH(S1160), YEAR(F1160)=YEAR(S1160))</f>
        <v/>
      </c>
      <c r="Q1160" s="521">
        <f>U1160="L001-901905215"</f>
        <v/>
      </c>
      <c r="R1160" s="556">
        <f>G1160-W1160</f>
        <v/>
      </c>
      <c r="S1160" s="523" t="n">
        <v>44283</v>
      </c>
      <c r="T1160" s="522" t="inlineStr">
        <is>
          <t>V0016007</t>
        </is>
      </c>
      <c r="U1160" s="522" t="inlineStr">
        <is>
          <t>L001-901905215</t>
        </is>
      </c>
      <c r="V1160" s="522" t="inlineStr">
        <is>
          <t>វីអ៊ីស៊ិន (ខេមបូឌា) អ៊ិនដាសស្ទ្រី ឯ.ក</t>
        </is>
      </c>
      <c r="W1160" s="556" t="n">
        <v>25443</v>
      </c>
    </row>
    <row r="1161">
      <c r="A1161" s="521" t="n">
        <v>1153</v>
      </c>
      <c r="B1161" s="522" t="inlineStr">
        <is>
          <t>កេសកាតុង</t>
        </is>
      </c>
      <c r="C1161" s="522" t="inlineStr">
        <is>
          <t>ស៊ីងហ្គាពួរ កាតុង (ខេមបូឌា)</t>
        </is>
      </c>
      <c r="D1161" s="522" t="inlineStr">
        <is>
          <t>L001-100121322</t>
        </is>
      </c>
      <c r="E1161" s="521" t="inlineStr">
        <is>
          <t>V0016006</t>
        </is>
      </c>
      <c r="F1161" s="523" t="n">
        <v>44283</v>
      </c>
      <c r="G1161" s="556" t="n">
        <v>449885</v>
      </c>
      <c r="I1161" s="521">
        <f>G1161</f>
        <v/>
      </c>
      <c r="K1161" s="521">
        <f>I1161-G1161</f>
        <v/>
      </c>
      <c r="M1161" s="522" t="inlineStr">
        <is>
          <t>V0016006</t>
        </is>
      </c>
      <c r="N1161" s="522" t="inlineStr">
        <is>
          <t>V0016006</t>
        </is>
      </c>
      <c r="O1161" s="521">
        <f>M1161=N1161</f>
        <v/>
      </c>
      <c r="P1161" s="521">
        <f>AND(MONTH(F1161)=MONTH(S1161), YEAR(F1161)=YEAR(S1161))</f>
        <v/>
      </c>
      <c r="Q1161" s="521">
        <f>U1161="L001-901905215"</f>
        <v/>
      </c>
      <c r="R1161" s="556">
        <f>G1161-W1161</f>
        <v/>
      </c>
      <c r="S1161" s="523" t="n">
        <v>44283</v>
      </c>
      <c r="T1161" s="522" t="inlineStr">
        <is>
          <t>V0016006</t>
        </is>
      </c>
      <c r="U1161" s="522" t="inlineStr">
        <is>
          <t>L001-901905215</t>
        </is>
      </c>
      <c r="V1161" s="522" t="inlineStr">
        <is>
          <t>វីអ៊ីស៊ិន (ខេមបូឌា) អ៊ិនដាសស្ទ្រី ឯ.ក</t>
        </is>
      </c>
      <c r="W1161" s="556" t="n">
        <v>449885</v>
      </c>
    </row>
    <row r="1162">
      <c r="A1162" s="521" t="n">
        <v>1154</v>
      </c>
      <c r="B1162" s="522" t="inlineStr">
        <is>
          <t>កេសកាតុង</t>
        </is>
      </c>
      <c r="C1162" s="522" t="inlineStr">
        <is>
          <t>ស៊ីងហ្គាពួរ កាតុង (ខេមបូឌា)</t>
        </is>
      </c>
      <c r="D1162" s="522" t="inlineStr">
        <is>
          <t>L001-100121322</t>
        </is>
      </c>
      <c r="E1162" s="521" t="inlineStr">
        <is>
          <t>V0016001</t>
        </is>
      </c>
      <c r="F1162" s="523" t="n">
        <v>44282</v>
      </c>
      <c r="G1162" s="556" t="n">
        <v>19526</v>
      </c>
      <c r="I1162" s="521">
        <f>G1162</f>
        <v/>
      </c>
      <c r="K1162" s="521">
        <f>I1162-G1162</f>
        <v/>
      </c>
      <c r="M1162" s="522" t="inlineStr">
        <is>
          <t>V0016001</t>
        </is>
      </c>
      <c r="N1162" s="522" t="inlineStr">
        <is>
          <t>V0016001</t>
        </is>
      </c>
      <c r="O1162" s="521">
        <f>M1162=N1162</f>
        <v/>
      </c>
      <c r="P1162" s="521">
        <f>AND(MONTH(F1162)=MONTH(S1162), YEAR(F1162)=YEAR(S1162))</f>
        <v/>
      </c>
      <c r="Q1162" s="521">
        <f>U1162="L001-901905215"</f>
        <v/>
      </c>
      <c r="R1162" s="556">
        <f>G1162-W1162</f>
        <v/>
      </c>
      <c r="S1162" s="523" t="n">
        <v>44282</v>
      </c>
      <c r="T1162" s="522" t="inlineStr">
        <is>
          <t>V0016001</t>
        </is>
      </c>
      <c r="U1162" s="522" t="inlineStr">
        <is>
          <t>L001-901905215</t>
        </is>
      </c>
      <c r="V1162" s="522" t="inlineStr">
        <is>
          <t>វីអ៊ីស៊ិន (ខេមបូឌា) អ៊ិនដាសស្ទ្រី ឯ.ក</t>
        </is>
      </c>
      <c r="W1162" s="556" t="n">
        <v>19526</v>
      </c>
    </row>
    <row r="1163">
      <c r="A1163" s="521" t="n">
        <v>1155</v>
      </c>
      <c r="B1163" s="522" t="inlineStr">
        <is>
          <t>កេសកាតុង</t>
        </is>
      </c>
      <c r="C1163" s="522" t="inlineStr">
        <is>
          <t>ស៊ីងហ្គាពួរ កាតុង (ខេមបូឌា)</t>
        </is>
      </c>
      <c r="D1163" s="522" t="inlineStr">
        <is>
          <t>L001-100121322</t>
        </is>
      </c>
      <c r="E1163" s="521" t="inlineStr">
        <is>
          <t>V0016000</t>
        </is>
      </c>
      <c r="F1163" s="523" t="n">
        <v>44281</v>
      </c>
      <c r="G1163" s="556" t="n">
        <v>872227</v>
      </c>
      <c r="I1163" s="521">
        <f>G1163</f>
        <v/>
      </c>
      <c r="K1163" s="521">
        <f>I1163-G1163</f>
        <v/>
      </c>
      <c r="M1163" s="522" t="inlineStr">
        <is>
          <t>V0016000</t>
        </is>
      </c>
      <c r="N1163" s="522" t="inlineStr">
        <is>
          <t>V0016000</t>
        </is>
      </c>
      <c r="O1163" s="521">
        <f>M1163=N1163</f>
        <v/>
      </c>
      <c r="P1163" s="521">
        <f>AND(MONTH(F1163)=MONTH(S1163), YEAR(F1163)=YEAR(S1163))</f>
        <v/>
      </c>
      <c r="Q1163" s="521">
        <f>U1163="L001-901905215"</f>
        <v/>
      </c>
      <c r="R1163" s="556">
        <f>G1163-W1163</f>
        <v/>
      </c>
      <c r="S1163" s="523" t="n">
        <v>44281</v>
      </c>
      <c r="T1163" s="522" t="inlineStr">
        <is>
          <t>V0016000</t>
        </is>
      </c>
      <c r="U1163" s="522" t="inlineStr">
        <is>
          <t>L001-901905215</t>
        </is>
      </c>
      <c r="V1163" s="522" t="inlineStr">
        <is>
          <t>វីអ៊ីស៊ិន (ខេមបូឌា) អ៊ិនដាសស្ទ្រី ឯ.ក</t>
        </is>
      </c>
      <c r="W1163" s="556" t="n">
        <v>872227</v>
      </c>
    </row>
    <row r="1164">
      <c r="A1164" s="521" t="n">
        <v>1156</v>
      </c>
      <c r="B1164" s="522" t="inlineStr">
        <is>
          <t>កេសកាតុង</t>
        </is>
      </c>
      <c r="C1164" s="522" t="inlineStr">
        <is>
          <t>ស៊ីងហ្គាពួរ កាតុង (ខេមបូឌា)</t>
        </is>
      </c>
      <c r="D1164" s="522" t="inlineStr">
        <is>
          <t>L001-100121322</t>
        </is>
      </c>
      <c r="E1164" s="521" t="inlineStr">
        <is>
          <t>V0015980</t>
        </is>
      </c>
      <c r="F1164" s="523" t="n">
        <v>44280</v>
      </c>
      <c r="G1164" s="556" t="n">
        <v>797035</v>
      </c>
      <c r="I1164" s="521">
        <f>G1164</f>
        <v/>
      </c>
      <c r="K1164" s="521">
        <f>I1164-G1164</f>
        <v/>
      </c>
      <c r="M1164" s="522" t="inlineStr">
        <is>
          <t>V0015980</t>
        </is>
      </c>
      <c r="N1164" s="522" t="inlineStr">
        <is>
          <t>V0015980</t>
        </is>
      </c>
      <c r="O1164" s="521">
        <f>M1164=N1164</f>
        <v/>
      </c>
      <c r="P1164" s="521">
        <f>AND(MONTH(F1164)=MONTH(S1164), YEAR(F1164)=YEAR(S1164))</f>
        <v/>
      </c>
      <c r="Q1164" s="521">
        <f>U1164="L001-901905215"</f>
        <v/>
      </c>
      <c r="R1164" s="556">
        <f>G1164-W1164</f>
        <v/>
      </c>
      <c r="S1164" s="523" t="n">
        <v>44280</v>
      </c>
      <c r="T1164" s="522" t="inlineStr">
        <is>
          <t>V0015980</t>
        </is>
      </c>
      <c r="U1164" s="522" t="inlineStr">
        <is>
          <t>L001-901905215</t>
        </is>
      </c>
      <c r="V1164" s="522" t="inlineStr">
        <is>
          <t>វីអ៊ីស៊ិន (ខេមបូឌា) អ៊ិនដាសស្ទ្រី ឯ.ក</t>
        </is>
      </c>
      <c r="W1164" s="556" t="n">
        <v>797034</v>
      </c>
    </row>
    <row r="1165">
      <c r="A1165" s="521" t="n">
        <v>1157</v>
      </c>
      <c r="B1165" s="522" t="inlineStr">
        <is>
          <t>កេសកាតុង</t>
        </is>
      </c>
      <c r="C1165" s="522" t="inlineStr">
        <is>
          <t>ស៊ីងហ្គាពួរ កាតុង (ខេមបូឌា)</t>
        </is>
      </c>
      <c r="D1165" s="522" t="inlineStr">
        <is>
          <t>L001-100121322</t>
        </is>
      </c>
      <c r="E1165" s="521" t="inlineStr">
        <is>
          <t>V0015978</t>
        </is>
      </c>
      <c r="F1165" s="523" t="n">
        <v>44279</v>
      </c>
      <c r="G1165" s="556" t="n">
        <v>515735</v>
      </c>
      <c r="I1165" s="521">
        <f>G1165</f>
        <v/>
      </c>
      <c r="K1165" s="521">
        <f>I1165-G1165</f>
        <v/>
      </c>
      <c r="M1165" s="522" t="inlineStr">
        <is>
          <t>V0015978</t>
        </is>
      </c>
      <c r="N1165" s="522" t="inlineStr">
        <is>
          <t>V0015978</t>
        </is>
      </c>
      <c r="O1165" s="521">
        <f>M1165=N1165</f>
        <v/>
      </c>
      <c r="P1165" s="521">
        <f>AND(MONTH(F1165)=MONTH(S1165), YEAR(F1165)=YEAR(S1165))</f>
        <v/>
      </c>
      <c r="Q1165" s="521">
        <f>U1165="L001-901905215"</f>
        <v/>
      </c>
      <c r="R1165" s="556">
        <f>G1165-W1165</f>
        <v/>
      </c>
      <c r="S1165" s="523" t="n">
        <v>44279</v>
      </c>
      <c r="T1165" s="522" t="inlineStr">
        <is>
          <t>V0015978</t>
        </is>
      </c>
      <c r="U1165" s="522" t="inlineStr">
        <is>
          <t>L001-901905215</t>
        </is>
      </c>
      <c r="V1165" s="522" t="inlineStr">
        <is>
          <t>វីអ៊ីស៊ិន (ខេមបូឌា) អ៊ិនដាសស្ទ្រី ឯ.ក</t>
        </is>
      </c>
      <c r="W1165" s="556" t="n">
        <v>515355</v>
      </c>
    </row>
    <row r="1166">
      <c r="A1166" s="521" t="n">
        <v>1158</v>
      </c>
      <c r="B1166" s="522" t="inlineStr">
        <is>
          <t>កេសកាតុង</t>
        </is>
      </c>
      <c r="C1166" s="522" t="inlineStr">
        <is>
          <t>ស៊ីងហ្គាពួរ កាតុង (ខេមបូឌា)</t>
        </is>
      </c>
      <c r="D1166" s="522" t="inlineStr">
        <is>
          <t>L001-100121322</t>
        </is>
      </c>
      <c r="E1166" s="521" t="inlineStr">
        <is>
          <t>V0015972</t>
        </is>
      </c>
      <c r="F1166" s="523" t="n">
        <v>44279</v>
      </c>
      <c r="G1166" s="556" t="n">
        <v>33598</v>
      </c>
      <c r="I1166" s="521">
        <f>G1166</f>
        <v/>
      </c>
      <c r="K1166" s="521">
        <f>I1166-G1166</f>
        <v/>
      </c>
      <c r="M1166" s="522" t="inlineStr">
        <is>
          <t>V0015972</t>
        </is>
      </c>
      <c r="N1166" s="522" t="inlineStr">
        <is>
          <t>V0015972</t>
        </is>
      </c>
      <c r="O1166" s="521">
        <f>M1166=N1166</f>
        <v/>
      </c>
      <c r="P1166" s="521">
        <f>AND(MONTH(F1166)=MONTH(S1166), YEAR(F1166)=YEAR(S1166))</f>
        <v/>
      </c>
      <c r="Q1166" s="521">
        <f>U1166="L001-901905215"</f>
        <v/>
      </c>
      <c r="R1166" s="556">
        <f>G1166-W1166</f>
        <v/>
      </c>
      <c r="S1166" s="523" t="n">
        <v>44279</v>
      </c>
      <c r="T1166" s="522" t="inlineStr">
        <is>
          <t>V0015972</t>
        </is>
      </c>
      <c r="U1166" s="522" t="inlineStr">
        <is>
          <t>L001-901905215</t>
        </is>
      </c>
      <c r="V1166" s="522" t="inlineStr">
        <is>
          <t>វីអ៊ីស៊ិន (ខេមបូឌា) អ៊ិនដាសស្ទ្រី ឯ.ក</t>
        </is>
      </c>
      <c r="W1166" s="556" t="n">
        <v>33574</v>
      </c>
    </row>
    <row r="1167">
      <c r="A1167" s="521" t="n">
        <v>1159</v>
      </c>
      <c r="B1167" s="522" t="inlineStr">
        <is>
          <t>កេសកាតុង</t>
        </is>
      </c>
      <c r="C1167" s="522" t="inlineStr">
        <is>
          <t>ស៊ីងហ្គាពួរ កាតុង (ខេមបូឌា)</t>
        </is>
      </c>
      <c r="D1167" s="522" t="inlineStr">
        <is>
          <t>L001-100121322</t>
        </is>
      </c>
      <c r="E1167" s="521" t="inlineStr">
        <is>
          <t>V0015969</t>
        </is>
      </c>
      <c r="F1167" s="523" t="n">
        <v>44279</v>
      </c>
      <c r="G1167" s="556" t="n">
        <v>463512</v>
      </c>
      <c r="I1167" s="521">
        <f>G1167</f>
        <v/>
      </c>
      <c r="K1167" s="521">
        <f>I1167-G1167</f>
        <v/>
      </c>
      <c r="M1167" s="522" t="inlineStr">
        <is>
          <t>V0015969</t>
        </is>
      </c>
      <c r="N1167" s="522" t="inlineStr">
        <is>
          <t>V0015969</t>
        </is>
      </c>
      <c r="O1167" s="521">
        <f>M1167=N1167</f>
        <v/>
      </c>
      <c r="P1167" s="521">
        <f>AND(MONTH(F1167)=MONTH(S1167), YEAR(F1167)=YEAR(S1167))</f>
        <v/>
      </c>
      <c r="Q1167" s="521">
        <f>U1167="L001-901905215"</f>
        <v/>
      </c>
      <c r="R1167" s="556">
        <f>G1167-W1167</f>
        <v/>
      </c>
      <c r="S1167" s="523" t="n">
        <v>44279</v>
      </c>
      <c r="T1167" s="522" t="inlineStr">
        <is>
          <t>V0015969</t>
        </is>
      </c>
      <c r="U1167" s="522" t="inlineStr">
        <is>
          <t>L001-901905215</t>
        </is>
      </c>
      <c r="V1167" s="522" t="inlineStr">
        <is>
          <t>វីអ៊ីស៊ិន (ខេមបូឌា) អ៊ិនដាសស្ទ្រី ឯ.ក</t>
        </is>
      </c>
      <c r="W1167" s="556" t="n">
        <v>463167</v>
      </c>
    </row>
    <row r="1168">
      <c r="A1168" s="521" t="n">
        <v>1160</v>
      </c>
      <c r="B1168" s="522" t="inlineStr">
        <is>
          <t>កេសកាតុង</t>
        </is>
      </c>
      <c r="C1168" s="522" t="inlineStr">
        <is>
          <t>ស៊ីងហ្គាពួរ កាតុង (ខេមបូឌា)</t>
        </is>
      </c>
      <c r="D1168" s="522" t="inlineStr">
        <is>
          <t>L001-100121322</t>
        </is>
      </c>
      <c r="E1168" s="521" t="inlineStr">
        <is>
          <t>V0015967</t>
        </is>
      </c>
      <c r="F1168" s="523" t="n">
        <v>44278</v>
      </c>
      <c r="G1168" s="556" t="n">
        <v>50988</v>
      </c>
      <c r="I1168" s="521">
        <f>G1168</f>
        <v/>
      </c>
      <c r="K1168" s="521">
        <f>I1168-G1168</f>
        <v/>
      </c>
      <c r="M1168" s="522" t="inlineStr">
        <is>
          <t>V0015967</t>
        </is>
      </c>
      <c r="N1168" s="522" t="inlineStr">
        <is>
          <t>V0015967</t>
        </is>
      </c>
      <c r="O1168" s="521">
        <f>M1168=N1168</f>
        <v/>
      </c>
      <c r="P1168" s="521">
        <f>AND(MONTH(F1168)=MONTH(S1168), YEAR(F1168)=YEAR(S1168))</f>
        <v/>
      </c>
      <c r="Q1168" s="521">
        <f>U1168="L001-901905215"</f>
        <v/>
      </c>
      <c r="R1168" s="556">
        <f>G1168-W1168</f>
        <v/>
      </c>
      <c r="S1168" s="523" t="n">
        <v>44278</v>
      </c>
      <c r="T1168" s="522" t="inlineStr">
        <is>
          <t>V0015967</t>
        </is>
      </c>
      <c r="U1168" s="522" t="inlineStr">
        <is>
          <t>L001-901905215</t>
        </is>
      </c>
      <c r="V1168" s="522" t="inlineStr">
        <is>
          <t>វីអ៊ីស៊ិន (ខេមបូឌា) អ៊ិនដាសស្ទ្រី ឯ.ក</t>
        </is>
      </c>
      <c r="W1168" s="556" t="n">
        <v>50949</v>
      </c>
    </row>
    <row r="1169">
      <c r="A1169" s="521" t="n">
        <v>1161</v>
      </c>
      <c r="B1169" s="522" t="inlineStr">
        <is>
          <t>កេសកាតុង</t>
        </is>
      </c>
      <c r="C1169" s="522" t="inlineStr">
        <is>
          <t>ស៊ីងហ្គាពួរ កាតុង (ខេមបូឌា)</t>
        </is>
      </c>
      <c r="D1169" s="522" t="inlineStr">
        <is>
          <t>L001-100121322</t>
        </is>
      </c>
      <c r="E1169" s="521" t="inlineStr">
        <is>
          <t>V0015926</t>
        </is>
      </c>
      <c r="F1169" s="523" t="n">
        <v>44274</v>
      </c>
      <c r="G1169" s="556" t="n">
        <v>13669</v>
      </c>
      <c r="I1169" s="521">
        <f>G1169</f>
        <v/>
      </c>
      <c r="K1169" s="521">
        <f>I1169-G1169</f>
        <v/>
      </c>
      <c r="M1169" s="522" t="inlineStr">
        <is>
          <t>V0015926</t>
        </is>
      </c>
      <c r="N1169" s="522" t="inlineStr">
        <is>
          <t>V0015926</t>
        </is>
      </c>
      <c r="O1169" s="521">
        <f>M1169=N1169</f>
        <v/>
      </c>
      <c r="P1169" s="521">
        <f>AND(MONTH(F1169)=MONTH(S1169), YEAR(F1169)=YEAR(S1169))</f>
        <v/>
      </c>
      <c r="Q1169" s="521">
        <f>U1169="L001-901905215"</f>
        <v/>
      </c>
      <c r="R1169" s="556">
        <f>G1169-W1169</f>
        <v/>
      </c>
      <c r="S1169" s="523" t="n">
        <v>44274</v>
      </c>
      <c r="T1169" s="522" t="inlineStr">
        <is>
          <t>V0015926</t>
        </is>
      </c>
      <c r="U1169" s="522" t="inlineStr">
        <is>
          <t>L001-901905215</t>
        </is>
      </c>
      <c r="V1169" s="522" t="inlineStr">
        <is>
          <t>វីអ៊ីស៊ិន (ខេមបូឌា) អ៊ិនដាសស្ទ្រី ឯ.ក</t>
        </is>
      </c>
      <c r="W1169" s="556" t="n">
        <v>13654</v>
      </c>
    </row>
    <row r="1170">
      <c r="A1170" s="521" t="n">
        <v>1162</v>
      </c>
      <c r="B1170" s="522" t="inlineStr">
        <is>
          <t>កេសកាតុង</t>
        </is>
      </c>
      <c r="C1170" s="522" t="inlineStr">
        <is>
          <t>ស៊ីងហ្គាពួរ កាតុង (ខេមបូឌា)</t>
        </is>
      </c>
      <c r="D1170" s="522" t="inlineStr">
        <is>
          <t>L001-100121322</t>
        </is>
      </c>
      <c r="E1170" s="521" t="inlineStr">
        <is>
          <t>V0015925</t>
        </is>
      </c>
      <c r="F1170" s="523" t="n">
        <v>44274</v>
      </c>
      <c r="G1170" s="556" t="n">
        <v>496328</v>
      </c>
      <c r="I1170" s="521">
        <f>G1170</f>
        <v/>
      </c>
      <c r="K1170" s="521">
        <f>I1170-G1170</f>
        <v/>
      </c>
      <c r="M1170" s="522" t="inlineStr">
        <is>
          <t>V0015925</t>
        </is>
      </c>
      <c r="N1170" s="522" t="inlineStr">
        <is>
          <t>V0015925</t>
        </is>
      </c>
      <c r="O1170" s="521">
        <f>M1170=N1170</f>
        <v/>
      </c>
      <c r="P1170" s="521">
        <f>AND(MONTH(F1170)=MONTH(S1170), YEAR(F1170)=YEAR(S1170))</f>
        <v/>
      </c>
      <c r="Q1170" s="521">
        <f>U1170="L001-901905215"</f>
        <v/>
      </c>
      <c r="R1170" s="556">
        <f>G1170-W1170</f>
        <v/>
      </c>
      <c r="S1170" s="523" t="n">
        <v>44274</v>
      </c>
      <c r="T1170" s="522" t="inlineStr">
        <is>
          <t>V0015925</t>
        </is>
      </c>
      <c r="U1170" s="522" t="inlineStr">
        <is>
          <t>L001-901905215</t>
        </is>
      </c>
      <c r="V1170" s="522" t="inlineStr">
        <is>
          <t>វីអ៊ីស៊ិន (ខេមបូឌា) អ៊ិនដាសស្ទ្រី ឯ.ក</t>
        </is>
      </c>
      <c r="W1170" s="556" t="n">
        <v>495715</v>
      </c>
    </row>
    <row r="1171">
      <c r="A1171" s="521" t="n">
        <v>1163</v>
      </c>
      <c r="B1171" s="522" t="inlineStr">
        <is>
          <t>កេសកាតុង</t>
        </is>
      </c>
      <c r="C1171" s="522" t="inlineStr">
        <is>
          <t>ស៊ីងហ្គាពួរ កាតុង (ខេមបូឌា)</t>
        </is>
      </c>
      <c r="D1171" s="522" t="inlineStr">
        <is>
          <t>L001-100121322</t>
        </is>
      </c>
      <c r="E1171" s="521" t="inlineStr">
        <is>
          <t>V0015914</t>
        </is>
      </c>
      <c r="F1171" s="523" t="n">
        <v>44273</v>
      </c>
      <c r="G1171" s="556" t="n">
        <v>840375</v>
      </c>
      <c r="I1171" s="521">
        <f>G1171</f>
        <v/>
      </c>
      <c r="K1171" s="521">
        <f>I1171-G1171</f>
        <v/>
      </c>
      <c r="M1171" s="522" t="inlineStr">
        <is>
          <t>V0015914</t>
        </is>
      </c>
      <c r="N1171" s="522" t="inlineStr">
        <is>
          <t>V0015914</t>
        </is>
      </c>
      <c r="O1171" s="521">
        <f>M1171=N1171</f>
        <v/>
      </c>
      <c r="P1171" s="521">
        <f>AND(MONTH(F1171)=MONTH(S1171), YEAR(F1171)=YEAR(S1171))</f>
        <v/>
      </c>
      <c r="Q1171" s="521">
        <f>U1171="L001-901905215"</f>
        <v/>
      </c>
      <c r="R1171" s="556">
        <f>G1171-W1171</f>
        <v/>
      </c>
      <c r="S1171" s="523" t="n">
        <v>44273</v>
      </c>
      <c r="T1171" s="522" t="inlineStr">
        <is>
          <t>V0015914</t>
        </is>
      </c>
      <c r="U1171" s="522" t="inlineStr">
        <is>
          <t>L001-901905215</t>
        </is>
      </c>
      <c r="V1171" s="522" t="inlineStr">
        <is>
          <t>វីអ៊ីស៊ិន (ខេមបូឌា) អ៊ិនដាសស្ទ្រី ឯ.ក</t>
        </is>
      </c>
      <c r="W1171" s="556" t="n">
        <v>839338</v>
      </c>
    </row>
    <row r="1172">
      <c r="A1172" s="521" t="n">
        <v>1164</v>
      </c>
      <c r="B1172" s="522" t="inlineStr">
        <is>
          <t>កេសកាតុង</t>
        </is>
      </c>
      <c r="C1172" s="522" t="inlineStr">
        <is>
          <t>ស៊ីងហ្គាពួរ កាតុង (ខេមបូឌា)</t>
        </is>
      </c>
      <c r="D1172" s="522" t="inlineStr">
        <is>
          <t>L001-100121322</t>
        </is>
      </c>
      <c r="E1172" s="521" t="inlineStr">
        <is>
          <t>V0015905</t>
        </is>
      </c>
      <c r="F1172" s="523" t="n">
        <v>44273</v>
      </c>
      <c r="G1172" s="556" t="n">
        <v>491771</v>
      </c>
      <c r="I1172" s="521">
        <f>G1172</f>
        <v/>
      </c>
      <c r="K1172" s="521">
        <f>I1172-G1172</f>
        <v/>
      </c>
      <c r="M1172" s="522" t="inlineStr">
        <is>
          <t>V0015905</t>
        </is>
      </c>
      <c r="N1172" s="522" t="inlineStr">
        <is>
          <t>V0015905</t>
        </is>
      </c>
      <c r="O1172" s="521">
        <f>M1172=N1172</f>
        <v/>
      </c>
      <c r="P1172" s="521">
        <f>AND(MONTH(F1172)=MONTH(S1172), YEAR(F1172)=YEAR(S1172))</f>
        <v/>
      </c>
      <c r="Q1172" s="521">
        <f>U1172="L001-901905215"</f>
        <v/>
      </c>
      <c r="R1172" s="556">
        <f>G1172-W1172</f>
        <v/>
      </c>
      <c r="S1172" s="523" t="n">
        <v>44273</v>
      </c>
      <c r="T1172" s="522" t="inlineStr">
        <is>
          <t>V0015905</t>
        </is>
      </c>
      <c r="U1172" s="522" t="inlineStr">
        <is>
          <t>L001-901905215</t>
        </is>
      </c>
      <c r="V1172" s="522" t="inlineStr">
        <is>
          <t>វីអ៊ីស៊ិន (ខេមបូឌា) អ៊ិនដាសស្ទ្រី ឯ.ក</t>
        </is>
      </c>
      <c r="W1172" s="556" t="n">
        <v>491166</v>
      </c>
    </row>
    <row r="1173">
      <c r="A1173" s="521" t="n">
        <v>1165</v>
      </c>
      <c r="B1173" s="522" t="inlineStr">
        <is>
          <t>កេសកាតុង</t>
        </is>
      </c>
      <c r="C1173" s="522" t="inlineStr">
        <is>
          <t>ស៊ីងហ្គាពួរ កាតុង (ខេមបូឌា)</t>
        </is>
      </c>
      <c r="D1173" s="522" t="inlineStr">
        <is>
          <t>L001-100121322</t>
        </is>
      </c>
      <c r="E1173" s="521" t="inlineStr">
        <is>
          <t>V0015898</t>
        </is>
      </c>
      <c r="F1173" s="523" t="n">
        <v>44272</v>
      </c>
      <c r="G1173" s="556" t="n">
        <v>986276</v>
      </c>
      <c r="I1173" s="521">
        <f>G1173</f>
        <v/>
      </c>
      <c r="K1173" s="521">
        <f>I1173-G1173</f>
        <v/>
      </c>
      <c r="M1173" s="522" t="inlineStr">
        <is>
          <t>V0015898</t>
        </is>
      </c>
      <c r="N1173" s="522" t="inlineStr">
        <is>
          <t>V0015898</t>
        </is>
      </c>
      <c r="O1173" s="521">
        <f>M1173=N1173</f>
        <v/>
      </c>
      <c r="P1173" s="521">
        <f>AND(MONTH(F1173)=MONTH(S1173), YEAR(F1173)=YEAR(S1173))</f>
        <v/>
      </c>
      <c r="Q1173" s="521">
        <f>U1173="L001-901905215"</f>
        <v/>
      </c>
      <c r="R1173" s="556">
        <f>G1173-W1173</f>
        <v/>
      </c>
      <c r="S1173" s="523" t="n">
        <v>44272</v>
      </c>
      <c r="T1173" s="522" t="inlineStr">
        <is>
          <t>V0015898</t>
        </is>
      </c>
      <c r="U1173" s="522" t="inlineStr">
        <is>
          <t>L001-901905215</t>
        </is>
      </c>
      <c r="V1173" s="522" t="inlineStr">
        <is>
          <t>វីអ៊ីស៊ិន (ខេមបូឌា) អ៊ិនដាសស្ទ្រី ឯ.ក</t>
        </is>
      </c>
      <c r="W1173" s="556" t="n">
        <v>985060</v>
      </c>
    </row>
    <row r="1174">
      <c r="A1174" s="521" t="n">
        <v>1166</v>
      </c>
      <c r="B1174" s="522" t="inlineStr">
        <is>
          <t>កេសកាតុង</t>
        </is>
      </c>
      <c r="C1174" s="522" t="inlineStr">
        <is>
          <t>ស៊ីងហ្គាពួរ កាតុង (ខេមបូឌា)</t>
        </is>
      </c>
      <c r="D1174" s="522" t="inlineStr">
        <is>
          <t>L001-100121322</t>
        </is>
      </c>
      <c r="E1174" s="521" t="inlineStr">
        <is>
          <t>V0015884</t>
        </is>
      </c>
      <c r="F1174" s="523" t="n">
        <v>44271</v>
      </c>
      <c r="G1174" s="556" t="n">
        <v>30331</v>
      </c>
      <c r="I1174" s="521">
        <f>G1174</f>
        <v/>
      </c>
      <c r="K1174" s="521">
        <f>I1174-G1174</f>
        <v/>
      </c>
      <c r="M1174" s="522" t="inlineStr">
        <is>
          <t>V0015884</t>
        </is>
      </c>
      <c r="N1174" s="522" t="inlineStr">
        <is>
          <t>V0015884</t>
        </is>
      </c>
      <c r="O1174" s="521">
        <f>M1174=N1174</f>
        <v/>
      </c>
      <c r="P1174" s="521">
        <f>AND(MONTH(F1174)=MONTH(S1174), YEAR(F1174)=YEAR(S1174))</f>
        <v/>
      </c>
      <c r="Q1174" s="521">
        <f>U1174="L001-901905215"</f>
        <v/>
      </c>
      <c r="R1174" s="556">
        <f>G1174-W1174</f>
        <v/>
      </c>
      <c r="S1174" s="523" t="n">
        <v>44271</v>
      </c>
      <c r="T1174" s="522" t="inlineStr">
        <is>
          <t>V0015884</t>
        </is>
      </c>
      <c r="U1174" s="522" t="inlineStr">
        <is>
          <t>L001-901905215</t>
        </is>
      </c>
      <c r="V1174" s="522" t="inlineStr">
        <is>
          <t>វីអ៊ីស៊ិន (ខេមបូឌា) អ៊ិនដាសស្ទ្រី ឯ.ក</t>
        </is>
      </c>
      <c r="W1174" s="556" t="n">
        <v>30165</v>
      </c>
    </row>
    <row r="1175">
      <c r="A1175" s="521" t="n">
        <v>1167</v>
      </c>
      <c r="B1175" s="522" t="inlineStr">
        <is>
          <t>កេសកាតុង</t>
        </is>
      </c>
      <c r="C1175" s="522" t="inlineStr">
        <is>
          <t>ស៊ីងហ្គាពួរ កាតុង (ខេមបូឌា)</t>
        </is>
      </c>
      <c r="D1175" s="522" t="inlineStr">
        <is>
          <t>L001-100121322</t>
        </is>
      </c>
      <c r="E1175" s="521" t="inlineStr">
        <is>
          <t>V0015764</t>
        </is>
      </c>
      <c r="F1175" s="523" t="n">
        <v>44258</v>
      </c>
      <c r="G1175" s="556" t="n">
        <v>670059</v>
      </c>
      <c r="I1175" s="521">
        <f>G1175</f>
        <v/>
      </c>
      <c r="K1175" s="521">
        <f>I1175-G1175</f>
        <v/>
      </c>
      <c r="M1175" s="522" t="inlineStr">
        <is>
          <t>V0015764</t>
        </is>
      </c>
      <c r="N1175" s="522" t="inlineStr">
        <is>
          <t>V0015764</t>
        </is>
      </c>
      <c r="O1175" s="521">
        <f>M1175=N1175</f>
        <v/>
      </c>
      <c r="P1175" s="521">
        <f>AND(MONTH(F1175)=MONTH(S1175), YEAR(F1175)=YEAR(S1175))</f>
        <v/>
      </c>
      <c r="Q1175" s="521">
        <f>U1175="L001-901905215"</f>
        <v/>
      </c>
      <c r="R1175" s="556">
        <f>G1175-W1175</f>
        <v/>
      </c>
      <c r="S1175" s="523" t="n">
        <v>44258</v>
      </c>
      <c r="T1175" s="522" t="inlineStr">
        <is>
          <t>V0015764</t>
        </is>
      </c>
      <c r="U1175" s="522" t="inlineStr">
        <is>
          <t>L001-901905215</t>
        </is>
      </c>
      <c r="V1175" s="522" t="inlineStr">
        <is>
          <t>វីអ៊ីស៊ិន (ខេមបូឌា) អ៊ិនដាសស្ទ្រី ឯ.ក</t>
        </is>
      </c>
      <c r="W1175" s="556" t="n">
        <v>666436</v>
      </c>
    </row>
    <row r="1176">
      <c r="A1176" s="521" t="n">
        <v>1168</v>
      </c>
      <c r="B1176" s="522" t="inlineStr">
        <is>
          <t>កេសកាតុង</t>
        </is>
      </c>
      <c r="C1176" s="522" t="inlineStr">
        <is>
          <t>ស៊ីងហ្គាពួរ កាតុង (ខេមបូឌា)</t>
        </is>
      </c>
      <c r="D1176" s="522" t="inlineStr">
        <is>
          <t>L001-100121322</t>
        </is>
      </c>
      <c r="E1176" s="521" t="inlineStr">
        <is>
          <t>V0015762</t>
        </is>
      </c>
      <c r="F1176" s="523" t="n">
        <v>44258</v>
      </c>
      <c r="G1176" s="556" t="n">
        <v>675122</v>
      </c>
      <c r="I1176" s="521">
        <f>G1176</f>
        <v/>
      </c>
      <c r="K1176" s="521">
        <f>I1176-G1176</f>
        <v/>
      </c>
      <c r="M1176" s="522" t="inlineStr">
        <is>
          <t>V0015762</t>
        </is>
      </c>
      <c r="N1176" s="522" t="inlineStr">
        <is>
          <t>V0015762</t>
        </is>
      </c>
      <c r="O1176" s="521">
        <f>M1176=N1176</f>
        <v/>
      </c>
      <c r="P1176" s="521">
        <f>AND(MONTH(F1176)=MONTH(S1176), YEAR(F1176)=YEAR(S1176))</f>
        <v/>
      </c>
      <c r="Q1176" s="521">
        <f>U1176="L001-901905215"</f>
        <v/>
      </c>
      <c r="R1176" s="556">
        <f>G1176-W1176</f>
        <v/>
      </c>
      <c r="S1176" s="523" t="n">
        <v>44258</v>
      </c>
      <c r="T1176" s="522" t="inlineStr">
        <is>
          <t>V0015762</t>
        </is>
      </c>
      <c r="U1176" s="522" t="inlineStr">
        <is>
          <t>L001-901905215</t>
        </is>
      </c>
      <c r="V1176" s="522" t="inlineStr">
        <is>
          <t>វីអ៊ីស៊ិន (ខេមបូឌា) អ៊ិនដាសស្ទ្រី ឯ.ក</t>
        </is>
      </c>
      <c r="W1176" s="556" t="n">
        <v>671470</v>
      </c>
    </row>
    <row r="1177">
      <c r="A1177" s="521" t="n">
        <v>1169</v>
      </c>
      <c r="B1177" s="522" t="inlineStr">
        <is>
          <t>Lift-Off</t>
        </is>
      </c>
      <c r="C1177" s="522" t="inlineStr">
        <is>
          <t>កំពង់ផែស្វយ័តភ្នំពេញ "ក.ស.ភ"</t>
        </is>
      </c>
      <c r="D1177" s="522" t="inlineStr">
        <is>
          <t>L001-100044999</t>
        </is>
      </c>
      <c r="E1177" s="521" t="inlineStr">
        <is>
          <t>INV20210314164</t>
        </is>
      </c>
      <c r="F1177" s="523" t="n">
        <v>44271</v>
      </c>
      <c r="G1177" s="556" t="n">
        <v>29160</v>
      </c>
      <c r="I1177" s="521">
        <f>G1177</f>
        <v/>
      </c>
      <c r="K1177" s="521">
        <f>I1177-G1177</f>
        <v/>
      </c>
      <c r="M1177" s="522" t="inlineStr">
        <is>
          <t>INV20210314164</t>
        </is>
      </c>
      <c r="N1177" s="522" t="inlineStr"/>
      <c r="O1177" s="521">
        <f>M1177=N1177</f>
        <v/>
      </c>
      <c r="P1177" s="521">
        <f>AND(MONTH(F1177)=MONTH(S1177), YEAR(F1177)=YEAR(S1177))</f>
        <v/>
      </c>
      <c r="Q1177" s="521">
        <f>U1177="L001-901905215"</f>
        <v/>
      </c>
      <c r="R1177" s="556">
        <f>G1177-W1177</f>
        <v/>
      </c>
      <c r="S1177" s="521" t="n"/>
      <c r="T1177" s="522" t="n"/>
      <c r="U1177" s="522" t="n"/>
      <c r="V1177" s="522" t="n"/>
      <c r="W1177" s="521" t="n"/>
    </row>
    <row r="1178">
      <c r="A1178" s="521" t="n">
        <v>1170</v>
      </c>
      <c r="B1178" s="522" t="inlineStr">
        <is>
          <t>Lift-Off</t>
        </is>
      </c>
      <c r="C1178" s="522" t="inlineStr">
        <is>
          <t>កំពង់ផែស្វយ័តក្រុងព្រះសីហនុ</t>
        </is>
      </c>
      <c r="D1178" s="522" t="inlineStr">
        <is>
          <t>L001-100044638</t>
        </is>
      </c>
      <c r="E1178" s="521" t="inlineStr">
        <is>
          <t>043416</t>
        </is>
      </c>
      <c r="F1178" s="523" t="n">
        <v>44275</v>
      </c>
      <c r="G1178" s="556" t="n">
        <v>20655</v>
      </c>
      <c r="I1178" s="521">
        <f>G1178</f>
        <v/>
      </c>
      <c r="K1178" s="521">
        <f>I1178-G1178</f>
        <v/>
      </c>
      <c r="M1178" s="522" t="inlineStr">
        <is>
          <t>043416</t>
        </is>
      </c>
      <c r="N1178" s="522" t="inlineStr"/>
      <c r="O1178" s="521">
        <f>M1178=N1178</f>
        <v/>
      </c>
      <c r="P1178" s="521">
        <f>AND(MONTH(F1178)=MONTH(S1178), YEAR(F1178)=YEAR(S1178))</f>
        <v/>
      </c>
      <c r="Q1178" s="521">
        <f>U1178="L001-901905215"</f>
        <v/>
      </c>
      <c r="R1178" s="556">
        <f>G1178-W1178</f>
        <v/>
      </c>
      <c r="S1178" s="521" t="n"/>
      <c r="T1178" s="522" t="n"/>
      <c r="U1178" s="522" t="n"/>
      <c r="V1178" s="522" t="n"/>
      <c r="W1178" s="521" t="n"/>
    </row>
    <row r="1179">
      <c r="A1179" s="521" t="n">
        <v>1171</v>
      </c>
      <c r="B1179" s="522" t="inlineStr">
        <is>
          <t>Lift-Off</t>
        </is>
      </c>
      <c r="C1179" s="522" t="inlineStr">
        <is>
          <t>កំពង់ផែស្វយ័តក្រុងព្រះសីហនុ</t>
        </is>
      </c>
      <c r="D1179" s="522" t="inlineStr">
        <is>
          <t>L001-100044638</t>
        </is>
      </c>
      <c r="E1179" s="521" t="inlineStr">
        <is>
          <t>043417</t>
        </is>
      </c>
      <c r="F1179" s="523" t="n">
        <v>44275</v>
      </c>
      <c r="G1179" s="556" t="n">
        <v>6885</v>
      </c>
      <c r="I1179" s="521">
        <f>G1179</f>
        <v/>
      </c>
      <c r="K1179" s="521">
        <f>I1179-G1179</f>
        <v/>
      </c>
      <c r="M1179" s="522" t="inlineStr">
        <is>
          <t>043417</t>
        </is>
      </c>
      <c r="N1179" s="522" t="inlineStr"/>
      <c r="O1179" s="521">
        <f>M1179=N1179</f>
        <v/>
      </c>
      <c r="P1179" s="521">
        <f>AND(MONTH(F1179)=MONTH(S1179), YEAR(F1179)=YEAR(S1179))</f>
        <v/>
      </c>
      <c r="Q1179" s="521">
        <f>U1179="L001-901905215"</f>
        <v/>
      </c>
      <c r="R1179" s="556">
        <f>G1179-W1179</f>
        <v/>
      </c>
      <c r="S1179" s="521" t="n"/>
      <c r="T1179" s="522" t="n"/>
      <c r="U1179" s="522" t="n"/>
      <c r="V1179" s="522" t="n"/>
      <c r="W1179" s="521" t="n"/>
    </row>
    <row r="1180">
      <c r="A1180" s="521" t="n">
        <v>1172</v>
      </c>
      <c r="B1180" s="522" t="inlineStr">
        <is>
          <t>Lift-Off</t>
        </is>
      </c>
      <c r="C1180" s="522" t="inlineStr">
        <is>
          <t>កំពង់ផែស្វយ័តភ្នំពេញ "ក.ស.ភ"</t>
        </is>
      </c>
      <c r="D1180" s="522" t="inlineStr">
        <is>
          <t>L001-100044999</t>
        </is>
      </c>
      <c r="E1180" s="521" t="inlineStr">
        <is>
          <t>INV20210315535</t>
        </is>
      </c>
      <c r="F1180" s="523" t="n">
        <v>44278</v>
      </c>
      <c r="G1180" s="556" t="n">
        <v>29146</v>
      </c>
      <c r="I1180" s="521">
        <f>G1180</f>
        <v/>
      </c>
      <c r="K1180" s="521">
        <f>I1180-G1180</f>
        <v/>
      </c>
      <c r="M1180" s="522" t="inlineStr">
        <is>
          <t>INV20210315535</t>
        </is>
      </c>
      <c r="N1180" s="522" t="inlineStr"/>
      <c r="O1180" s="521">
        <f>M1180=N1180</f>
        <v/>
      </c>
      <c r="P1180" s="521">
        <f>AND(MONTH(F1180)=MONTH(S1180), YEAR(F1180)=YEAR(S1180))</f>
        <v/>
      </c>
      <c r="Q1180" s="521">
        <f>U1180="L001-901905215"</f>
        <v/>
      </c>
      <c r="R1180" s="556">
        <f>G1180-W1180</f>
        <v/>
      </c>
      <c r="S1180" s="521" t="n"/>
      <c r="T1180" s="522" t="n"/>
      <c r="U1180" s="522" t="n"/>
      <c r="V1180" s="522" t="n"/>
      <c r="W1180" s="521" t="n"/>
    </row>
    <row r="1181">
      <c r="A1181" s="521" t="n">
        <v>1173</v>
      </c>
      <c r="B1181" s="522" t="inlineStr">
        <is>
          <t>Lift-Off</t>
        </is>
      </c>
      <c r="C1181" s="522" t="inlineStr">
        <is>
          <t>កំពង់ផែស្វយ័តភ្នំពេញ "ក.ស.ភ"</t>
        </is>
      </c>
      <c r="D1181" s="522" t="inlineStr">
        <is>
          <t>L001-100044999</t>
        </is>
      </c>
      <c r="E1181" s="521" t="inlineStr">
        <is>
          <t>INV20210315534</t>
        </is>
      </c>
      <c r="F1181" s="523" t="n">
        <v>44278</v>
      </c>
      <c r="G1181" s="556" t="n">
        <v>58291</v>
      </c>
      <c r="I1181" s="521">
        <f>G1181</f>
        <v/>
      </c>
      <c r="K1181" s="521">
        <f>I1181-G1181</f>
        <v/>
      </c>
      <c r="M1181" s="522" t="inlineStr">
        <is>
          <t>INV20210315534</t>
        </is>
      </c>
      <c r="N1181" s="522" t="inlineStr"/>
      <c r="O1181" s="521">
        <f>M1181=N1181</f>
        <v/>
      </c>
      <c r="P1181" s="521">
        <f>AND(MONTH(F1181)=MONTH(S1181), YEAR(F1181)=YEAR(S1181))</f>
        <v/>
      </c>
      <c r="Q1181" s="521">
        <f>U1181="L001-901905215"</f>
        <v/>
      </c>
      <c r="R1181" s="556">
        <f>G1181-W1181</f>
        <v/>
      </c>
      <c r="S1181" s="521" t="n"/>
      <c r="T1181" s="522" t="n"/>
      <c r="U1181" s="522" t="n"/>
      <c r="V1181" s="522" t="n"/>
      <c r="W1181" s="521" t="n"/>
    </row>
    <row r="1182">
      <c r="A1182" s="521" t="n">
        <v>1174</v>
      </c>
      <c r="B1182" s="522" t="inlineStr">
        <is>
          <t>Lift-Off</t>
        </is>
      </c>
      <c r="C1182" s="522" t="inlineStr">
        <is>
          <t>កំពង់ផែស្វយ័តក្រុងព្រះសីហនុ</t>
        </is>
      </c>
      <c r="D1182" s="522" t="inlineStr">
        <is>
          <t>L001-100044638</t>
        </is>
      </c>
      <c r="E1182" s="521" t="inlineStr">
        <is>
          <t>033006</t>
        </is>
      </c>
      <c r="F1182" s="523" t="n">
        <v>44256</v>
      </c>
      <c r="G1182" s="556" t="n">
        <v>6917</v>
      </c>
      <c r="I1182" s="521">
        <f>G1182</f>
        <v/>
      </c>
      <c r="K1182" s="521">
        <f>I1182-G1182</f>
        <v/>
      </c>
      <c r="M1182" s="522" t="inlineStr">
        <is>
          <t>033006</t>
        </is>
      </c>
      <c r="N1182" s="522" t="inlineStr"/>
      <c r="O1182" s="521">
        <f>M1182=N1182</f>
        <v/>
      </c>
      <c r="P1182" s="521">
        <f>AND(MONTH(F1182)=MONTH(S1182), YEAR(F1182)=YEAR(S1182))</f>
        <v/>
      </c>
      <c r="Q1182" s="521">
        <f>U1182="L001-901905215"</f>
        <v/>
      </c>
      <c r="R1182" s="556">
        <f>G1182-W1182</f>
        <v/>
      </c>
      <c r="S1182" s="521" t="n"/>
      <c r="T1182" s="522" t="n"/>
      <c r="U1182" s="522" t="n"/>
      <c r="V1182" s="522" t="n"/>
      <c r="W1182" s="521" t="n"/>
    </row>
    <row r="1183">
      <c r="A1183" s="521" t="n">
        <v>1175</v>
      </c>
      <c r="B1183" s="522" t="inlineStr">
        <is>
          <t>Lift-Off</t>
        </is>
      </c>
      <c r="C1183" s="522" t="inlineStr">
        <is>
          <t>កំពង់ផែស្វយ័តក្រុងព្រះសីហនុ</t>
        </is>
      </c>
      <c r="D1183" s="522" t="inlineStr">
        <is>
          <t>L001-100044638</t>
        </is>
      </c>
      <c r="E1183" s="521" t="inlineStr">
        <is>
          <t>039638</t>
        </is>
      </c>
      <c r="F1183" s="523" t="n">
        <v>44268</v>
      </c>
      <c r="G1183" s="556" t="n">
        <v>20681</v>
      </c>
      <c r="I1183" s="521">
        <f>G1183</f>
        <v/>
      </c>
      <c r="K1183" s="521">
        <f>I1183-G1183</f>
        <v/>
      </c>
      <c r="M1183" s="522" t="inlineStr">
        <is>
          <t>039638</t>
        </is>
      </c>
      <c r="N1183" s="522" t="inlineStr"/>
      <c r="O1183" s="521">
        <f>M1183=N1183</f>
        <v/>
      </c>
      <c r="P1183" s="521">
        <f>AND(MONTH(F1183)=MONTH(S1183), YEAR(F1183)=YEAR(S1183))</f>
        <v/>
      </c>
      <c r="Q1183" s="521">
        <f>U1183="L001-901905215"</f>
        <v/>
      </c>
      <c r="R1183" s="556">
        <f>G1183-W1183</f>
        <v/>
      </c>
      <c r="S1183" s="521" t="n"/>
      <c r="T1183" s="522" t="n"/>
      <c r="U1183" s="522" t="n"/>
      <c r="V1183" s="522" t="n"/>
      <c r="W1183" s="521" t="n"/>
    </row>
    <row r="1184">
      <c r="A1184" s="521" t="n">
        <v>1176</v>
      </c>
      <c r="B1184" s="522" t="inlineStr">
        <is>
          <t>Lift-Off</t>
        </is>
      </c>
      <c r="C1184" s="522" t="inlineStr">
        <is>
          <t>កំពង់ផែស្វយ័តភ្នំពេញ "ក.ស.ភ"</t>
        </is>
      </c>
      <c r="D1184" s="522" t="inlineStr">
        <is>
          <t>L001-100044999</t>
        </is>
      </c>
      <c r="E1184" s="521" t="inlineStr">
        <is>
          <t>INV20210315532</t>
        </is>
      </c>
      <c r="F1184" s="523" t="n">
        <v>44278</v>
      </c>
      <c r="G1184" s="556" t="n">
        <v>29146</v>
      </c>
      <c r="I1184" s="521">
        <f>G1184</f>
        <v/>
      </c>
      <c r="K1184" s="521">
        <f>I1184-G1184</f>
        <v/>
      </c>
      <c r="M1184" s="522" t="inlineStr">
        <is>
          <t>INV20210315532</t>
        </is>
      </c>
      <c r="N1184" s="522" t="inlineStr"/>
      <c r="O1184" s="521">
        <f>M1184=N1184</f>
        <v/>
      </c>
      <c r="P1184" s="521">
        <f>AND(MONTH(F1184)=MONTH(S1184), YEAR(F1184)=YEAR(S1184))</f>
        <v/>
      </c>
      <c r="Q1184" s="521">
        <f>U1184="L001-901905215"</f>
        <v/>
      </c>
      <c r="R1184" s="556">
        <f>G1184-W1184</f>
        <v/>
      </c>
      <c r="S1184" s="521" t="n"/>
      <c r="T1184" s="522" t="n"/>
      <c r="U1184" s="522" t="n"/>
      <c r="V1184" s="522" t="n"/>
      <c r="W1184" s="521" t="n"/>
    </row>
    <row r="1185">
      <c r="A1185" s="521" t="n">
        <v>1177</v>
      </c>
      <c r="B1185" s="522" t="inlineStr">
        <is>
          <t>Lift-Off</t>
        </is>
      </c>
      <c r="C1185" s="522" t="inlineStr">
        <is>
          <t>កំពង់ផែស្វយ័តភ្នំពេញ "ក.ស.ភ"</t>
        </is>
      </c>
      <c r="D1185" s="522" t="inlineStr">
        <is>
          <t>L001-100044999</t>
        </is>
      </c>
      <c r="E1185" s="521" t="inlineStr">
        <is>
          <t>INV20210315536</t>
        </is>
      </c>
      <c r="F1185" s="523" t="n">
        <v>44278</v>
      </c>
      <c r="G1185" s="556" t="n">
        <v>48576</v>
      </c>
      <c r="I1185" s="521">
        <f>G1185</f>
        <v/>
      </c>
      <c r="K1185" s="521">
        <f>I1185-G1185</f>
        <v/>
      </c>
      <c r="M1185" s="522" t="inlineStr">
        <is>
          <t>INV20210315536</t>
        </is>
      </c>
      <c r="N1185" s="522" t="inlineStr"/>
      <c r="O1185" s="521">
        <f>M1185=N1185</f>
        <v/>
      </c>
      <c r="P1185" s="521">
        <f>AND(MONTH(F1185)=MONTH(S1185), YEAR(F1185)=YEAR(S1185))</f>
        <v/>
      </c>
      <c r="Q1185" s="521">
        <f>U1185="L001-901905215"</f>
        <v/>
      </c>
      <c r="R1185" s="556">
        <f>G1185-W1185</f>
        <v/>
      </c>
      <c r="S1185" s="521" t="n"/>
      <c r="T1185" s="522" t="n"/>
      <c r="U1185" s="522" t="n"/>
      <c r="V1185" s="522" t="n"/>
      <c r="W1185" s="521" t="n"/>
    </row>
    <row r="1186">
      <c r="A1186" s="521" t="n">
        <v>1178</v>
      </c>
      <c r="B1186" s="522" t="inlineStr">
        <is>
          <t>Lift-Off</t>
        </is>
      </c>
      <c r="C1186" s="522" t="inlineStr">
        <is>
          <t>កំពង់ផែស្វយ័តភ្នំពេញ "ក.ស.ភ"</t>
        </is>
      </c>
      <c r="D1186" s="522" t="inlineStr">
        <is>
          <t>L001-100044999</t>
        </is>
      </c>
      <c r="E1186" s="521" t="inlineStr">
        <is>
          <t>INV20210315905</t>
        </is>
      </c>
      <c r="F1186" s="523" t="n">
        <v>44281</v>
      </c>
      <c r="G1186" s="556" t="n">
        <v>29124</v>
      </c>
      <c r="I1186" s="521">
        <f>G1186</f>
        <v/>
      </c>
      <c r="K1186" s="521">
        <f>I1186-G1186</f>
        <v/>
      </c>
      <c r="M1186" s="522" t="inlineStr">
        <is>
          <t>INV20210315905</t>
        </is>
      </c>
      <c r="N1186" s="522" t="inlineStr"/>
      <c r="O1186" s="521">
        <f>M1186=N1186</f>
        <v/>
      </c>
      <c r="P1186" s="521">
        <f>AND(MONTH(F1186)=MONTH(S1186), YEAR(F1186)=YEAR(S1186))</f>
        <v/>
      </c>
      <c r="Q1186" s="521">
        <f>U1186="L001-901905215"</f>
        <v/>
      </c>
      <c r="R1186" s="556">
        <f>G1186-W1186</f>
        <v/>
      </c>
      <c r="S1186" s="521" t="n"/>
      <c r="T1186" s="522" t="n"/>
      <c r="U1186" s="522" t="n"/>
      <c r="V1186" s="522" t="n"/>
      <c r="W1186" s="521" t="n"/>
    </row>
    <row r="1187">
      <c r="A1187" s="521" t="n">
        <v>1179</v>
      </c>
      <c r="B1187" s="522" t="inlineStr">
        <is>
          <t>Lift-Off</t>
        </is>
      </c>
      <c r="C1187" s="522" t="inlineStr">
        <is>
          <t>កំពង់ផែស្វយ័តភ្នំពេញ "ក.ស.ភ"</t>
        </is>
      </c>
      <c r="D1187" s="522" t="inlineStr">
        <is>
          <t>L001-100044999</t>
        </is>
      </c>
      <c r="E1187" s="521" t="inlineStr">
        <is>
          <t>INV20210316371</t>
        </is>
      </c>
      <c r="F1187" s="523" t="n">
        <v>44284</v>
      </c>
      <c r="G1187" s="556" t="n">
        <v>4854</v>
      </c>
      <c r="I1187" s="521">
        <f>G1187</f>
        <v/>
      </c>
      <c r="K1187" s="521">
        <f>I1187-G1187</f>
        <v/>
      </c>
      <c r="M1187" s="522" t="inlineStr">
        <is>
          <t>INV20210316371</t>
        </is>
      </c>
      <c r="N1187" s="522" t="inlineStr"/>
      <c r="O1187" s="521">
        <f>M1187=N1187</f>
        <v/>
      </c>
      <c r="P1187" s="521">
        <f>AND(MONTH(F1187)=MONTH(S1187), YEAR(F1187)=YEAR(S1187))</f>
        <v/>
      </c>
      <c r="Q1187" s="521">
        <f>U1187="L001-901905215"</f>
        <v/>
      </c>
      <c r="R1187" s="556">
        <f>G1187-W1187</f>
        <v/>
      </c>
      <c r="S1187" s="521" t="n"/>
      <c r="T1187" s="522" t="n"/>
      <c r="U1187" s="522" t="n"/>
      <c r="V1187" s="522" t="n"/>
      <c r="W1187" s="521" t="n"/>
    </row>
    <row r="1188">
      <c r="A1188" s="521" t="n">
        <v>1180</v>
      </c>
      <c r="B1188" s="522" t="inlineStr">
        <is>
          <t>Lift-Off</t>
        </is>
      </c>
      <c r="C1188" s="522" t="inlineStr">
        <is>
          <t>កំពង់ផែស្វយ័តភ្នំពេញ "ក.ស.ភ"</t>
        </is>
      </c>
      <c r="D1188" s="522" t="inlineStr">
        <is>
          <t>L001-100044999</t>
        </is>
      </c>
      <c r="E1188" s="521" t="inlineStr">
        <is>
          <t>INV20210315529</t>
        </is>
      </c>
      <c r="F1188" s="523" t="n">
        <v>44278</v>
      </c>
      <c r="G1188" s="556" t="n">
        <v>29146</v>
      </c>
      <c r="I1188" s="521">
        <f>G1188</f>
        <v/>
      </c>
      <c r="K1188" s="521">
        <f>I1188-G1188</f>
        <v/>
      </c>
      <c r="M1188" s="522" t="inlineStr">
        <is>
          <t>INV20210315529</t>
        </is>
      </c>
      <c r="N1188" s="522" t="inlineStr"/>
      <c r="O1188" s="521">
        <f>M1188=N1188</f>
        <v/>
      </c>
      <c r="P1188" s="521">
        <f>AND(MONTH(F1188)=MONTH(S1188), YEAR(F1188)=YEAR(S1188))</f>
        <v/>
      </c>
      <c r="Q1188" s="521">
        <f>U1188="L001-901905215"</f>
        <v/>
      </c>
      <c r="R1188" s="556">
        <f>G1188-W1188</f>
        <v/>
      </c>
      <c r="S1188" s="521" t="n"/>
      <c r="T1188" s="522" t="n"/>
      <c r="U1188" s="522" t="n"/>
      <c r="V1188" s="522" t="n"/>
      <c r="W1188" s="521" t="n"/>
    </row>
    <row r="1189">
      <c r="A1189" s="521" t="n">
        <v>1181</v>
      </c>
      <c r="B1189" s="522" t="inlineStr">
        <is>
          <t>Lift-Off</t>
        </is>
      </c>
      <c r="C1189" s="522" t="inlineStr">
        <is>
          <t>កំពង់ផែស្វយ័តភ្នំពេញ "ក.ស.ភ"</t>
        </is>
      </c>
      <c r="D1189" s="522" t="inlineStr">
        <is>
          <t>L001-100044999</t>
        </is>
      </c>
      <c r="E1189" s="521" t="inlineStr">
        <is>
          <t>INV20210315530</t>
        </is>
      </c>
      <c r="F1189" s="523" t="n">
        <v>44278</v>
      </c>
      <c r="G1189" s="556" t="n">
        <v>29146</v>
      </c>
      <c r="I1189" s="521">
        <f>G1189</f>
        <v/>
      </c>
      <c r="K1189" s="521">
        <f>I1189-G1189</f>
        <v/>
      </c>
      <c r="M1189" s="522" t="inlineStr">
        <is>
          <t>INV20210315530</t>
        </is>
      </c>
      <c r="N1189" s="522" t="inlineStr"/>
      <c r="O1189" s="521">
        <f>M1189=N1189</f>
        <v/>
      </c>
      <c r="P1189" s="521">
        <f>AND(MONTH(F1189)=MONTH(S1189), YEAR(F1189)=YEAR(S1189))</f>
        <v/>
      </c>
      <c r="Q1189" s="521">
        <f>U1189="L001-901905215"</f>
        <v/>
      </c>
      <c r="R1189" s="556">
        <f>G1189-W1189</f>
        <v/>
      </c>
      <c r="S1189" s="521" t="n"/>
      <c r="T1189" s="522" t="n"/>
      <c r="U1189" s="522" t="n"/>
      <c r="V1189" s="522" t="n"/>
      <c r="W1189" s="521" t="n"/>
    </row>
    <row r="1190">
      <c r="A1190" s="521" t="n">
        <v>1182</v>
      </c>
      <c r="B1190" s="522" t="inlineStr">
        <is>
          <t>Lift-Off</t>
        </is>
      </c>
      <c r="C1190" s="522" t="inlineStr">
        <is>
          <t>កំពង់ផែស្វយ័តភ្នំពេញ "ក.ស.ភ"</t>
        </is>
      </c>
      <c r="D1190" s="522" t="inlineStr">
        <is>
          <t>L001-100044999</t>
        </is>
      </c>
      <c r="E1190" s="521" t="inlineStr">
        <is>
          <t>INV20210315533</t>
        </is>
      </c>
      <c r="F1190" s="523" t="n">
        <v>44278</v>
      </c>
      <c r="G1190" s="556" t="n">
        <v>29146</v>
      </c>
      <c r="I1190" s="521">
        <f>G1190</f>
        <v/>
      </c>
      <c r="K1190" s="521">
        <f>I1190-G1190</f>
        <v/>
      </c>
      <c r="M1190" s="522" t="inlineStr">
        <is>
          <t>INV20210315533</t>
        </is>
      </c>
      <c r="N1190" s="522" t="inlineStr"/>
      <c r="O1190" s="521">
        <f>M1190=N1190</f>
        <v/>
      </c>
      <c r="P1190" s="521">
        <f>AND(MONTH(F1190)=MONTH(S1190), YEAR(F1190)=YEAR(S1190))</f>
        <v/>
      </c>
      <c r="Q1190" s="521">
        <f>U1190="L001-901905215"</f>
        <v/>
      </c>
      <c r="R1190" s="556">
        <f>G1190-W1190</f>
        <v/>
      </c>
      <c r="S1190" s="521" t="n"/>
      <c r="T1190" s="522" t="n"/>
      <c r="U1190" s="522" t="n"/>
      <c r="V1190" s="522" t="n"/>
      <c r="W1190" s="521" t="n"/>
    </row>
    <row r="1191">
      <c r="A1191" s="521" t="n">
        <v>1183</v>
      </c>
      <c r="B1191" s="522" t="inlineStr">
        <is>
          <t>Lift-Off</t>
        </is>
      </c>
      <c r="C1191" s="522" t="inlineStr">
        <is>
          <t>កំពង់ផែស្វយ័តភ្នំពេញ "ក.ស.ភ"</t>
        </is>
      </c>
      <c r="D1191" s="522" t="inlineStr">
        <is>
          <t>L001-100044999</t>
        </is>
      </c>
      <c r="E1191" s="521" t="inlineStr">
        <is>
          <t>INV20210315531</t>
        </is>
      </c>
      <c r="F1191" s="523" t="n">
        <v>44278</v>
      </c>
      <c r="G1191" s="556" t="n">
        <v>19430</v>
      </c>
      <c r="I1191" s="521">
        <f>G1191</f>
        <v/>
      </c>
      <c r="K1191" s="521">
        <f>I1191-G1191</f>
        <v/>
      </c>
      <c r="M1191" s="522" t="inlineStr">
        <is>
          <t>INV20210315531</t>
        </is>
      </c>
      <c r="N1191" s="522" t="inlineStr"/>
      <c r="O1191" s="521">
        <f>M1191=N1191</f>
        <v/>
      </c>
      <c r="P1191" s="521">
        <f>AND(MONTH(F1191)=MONTH(S1191), YEAR(F1191)=YEAR(S1191))</f>
        <v/>
      </c>
      <c r="Q1191" s="521">
        <f>U1191="L001-901905215"</f>
        <v/>
      </c>
      <c r="R1191" s="556">
        <f>G1191-W1191</f>
        <v/>
      </c>
      <c r="S1191" s="521" t="n"/>
      <c r="T1191" s="522" t="n"/>
      <c r="U1191" s="522" t="n"/>
      <c r="V1191" s="522" t="n"/>
      <c r="W1191" s="521" t="n"/>
    </row>
    <row r="1192">
      <c r="A1192" s="521" t="n">
        <v>1184</v>
      </c>
      <c r="B1192" s="522" t="inlineStr">
        <is>
          <t>Lift-Off</t>
        </is>
      </c>
      <c r="C1192" s="522" t="inlineStr">
        <is>
          <t>កំពង់ផែស្វយ័តភ្នំពេញ "ក.ស.ភ"</t>
        </is>
      </c>
      <c r="D1192" s="522" t="inlineStr">
        <is>
          <t>L001-100044999</t>
        </is>
      </c>
      <c r="E1192" s="521" t="inlineStr">
        <is>
          <t>INV20210313948</t>
        </is>
      </c>
      <c r="F1192" s="523" t="n">
        <v>44270</v>
      </c>
      <c r="G1192" s="556" t="n">
        <v>29196</v>
      </c>
      <c r="I1192" s="521">
        <f>G1192</f>
        <v/>
      </c>
      <c r="K1192" s="521">
        <f>I1192-G1192</f>
        <v/>
      </c>
      <c r="M1192" s="522" t="inlineStr">
        <is>
          <t>INV20210313948</t>
        </is>
      </c>
      <c r="N1192" s="522" t="inlineStr"/>
      <c r="O1192" s="521">
        <f>M1192=N1192</f>
        <v/>
      </c>
      <c r="P1192" s="521">
        <f>AND(MONTH(F1192)=MONTH(S1192), YEAR(F1192)=YEAR(S1192))</f>
        <v/>
      </c>
      <c r="Q1192" s="521">
        <f>U1192="L001-901905215"</f>
        <v/>
      </c>
      <c r="R1192" s="556">
        <f>G1192-W1192</f>
        <v/>
      </c>
      <c r="S1192" s="521" t="n"/>
      <c r="T1192" s="522" t="n"/>
      <c r="U1192" s="522" t="n"/>
      <c r="V1192" s="522" t="n"/>
      <c r="W1192" s="521" t="n"/>
    </row>
    <row r="1193">
      <c r="A1193" s="521" t="n">
        <v>1185</v>
      </c>
      <c r="B1193" s="522" t="inlineStr">
        <is>
          <t>Lift-Off</t>
        </is>
      </c>
      <c r="C1193" s="522" t="inlineStr">
        <is>
          <t>កំពង់ផែស្វយ័តភ្នំពេញ "ក.ស.ភ"</t>
        </is>
      </c>
      <c r="D1193" s="522" t="inlineStr">
        <is>
          <t>L001-100044999</t>
        </is>
      </c>
      <c r="E1193" s="521" t="inlineStr">
        <is>
          <t>INV20210313962</t>
        </is>
      </c>
      <c r="F1193" s="523" t="n">
        <v>44270</v>
      </c>
      <c r="G1193" s="556" t="n">
        <v>29196</v>
      </c>
      <c r="I1193" s="521">
        <f>G1193</f>
        <v/>
      </c>
      <c r="K1193" s="521">
        <f>I1193-G1193</f>
        <v/>
      </c>
      <c r="M1193" s="522" t="inlineStr">
        <is>
          <t>INV20210313962</t>
        </is>
      </c>
      <c r="N1193" s="522" t="inlineStr"/>
      <c r="O1193" s="521">
        <f>M1193=N1193</f>
        <v/>
      </c>
      <c r="P1193" s="521">
        <f>AND(MONTH(F1193)=MONTH(S1193), YEAR(F1193)=YEAR(S1193))</f>
        <v/>
      </c>
      <c r="Q1193" s="521">
        <f>U1193="L001-901905215"</f>
        <v/>
      </c>
      <c r="R1193" s="556">
        <f>G1193-W1193</f>
        <v/>
      </c>
      <c r="S1193" s="521" t="n"/>
      <c r="T1193" s="522" t="n"/>
      <c r="U1193" s="522" t="n"/>
      <c r="V1193" s="522" t="n"/>
      <c r="W1193" s="521" t="n"/>
    </row>
    <row r="1194">
      <c r="A1194" s="521" t="n">
        <v>1186</v>
      </c>
      <c r="B1194" s="522" t="inlineStr">
        <is>
          <t>Lift-Off</t>
        </is>
      </c>
      <c r="C1194" s="522" t="inlineStr">
        <is>
          <t>កំពង់ផែស្វយ័តភ្នំពេញ "ក.ស.ភ"</t>
        </is>
      </c>
      <c r="D1194" s="522" t="inlineStr">
        <is>
          <t>L001-100044999</t>
        </is>
      </c>
      <c r="E1194" s="521" t="inlineStr">
        <is>
          <t>INV20210313961</t>
        </is>
      </c>
      <c r="F1194" s="523" t="n">
        <v>44270</v>
      </c>
      <c r="G1194" s="556" t="n">
        <v>29196</v>
      </c>
      <c r="I1194" s="521">
        <f>G1194</f>
        <v/>
      </c>
      <c r="K1194" s="521">
        <f>I1194-G1194</f>
        <v/>
      </c>
      <c r="M1194" s="522" t="inlineStr">
        <is>
          <t>INV20210313961</t>
        </is>
      </c>
      <c r="N1194" s="522" t="inlineStr"/>
      <c r="O1194" s="521">
        <f>M1194=N1194</f>
        <v/>
      </c>
      <c r="P1194" s="521">
        <f>AND(MONTH(F1194)=MONTH(S1194), YEAR(F1194)=YEAR(S1194))</f>
        <v/>
      </c>
      <c r="Q1194" s="521">
        <f>U1194="L001-901905215"</f>
        <v/>
      </c>
      <c r="R1194" s="556">
        <f>G1194-W1194</f>
        <v/>
      </c>
      <c r="S1194" s="521" t="n"/>
      <c r="T1194" s="522" t="n"/>
      <c r="U1194" s="522" t="n"/>
      <c r="V1194" s="522" t="n"/>
      <c r="W1194" s="521" t="n"/>
    </row>
    <row r="1195">
      <c r="A1195" s="521" t="n">
        <v>1187</v>
      </c>
      <c r="B1195" s="522" t="inlineStr">
        <is>
          <t>Customs Clearance, Handling Fee</t>
        </is>
      </c>
      <c r="C1195" s="522" t="inlineStr">
        <is>
          <t>56ប៊ី-លីង សឹបផ្លាយ ឆេន មេនេចម៉ិន ឯ.ក</t>
        </is>
      </c>
      <c r="D1195" s="522" t="inlineStr">
        <is>
          <t>K004-902004795</t>
        </is>
      </c>
      <c r="E1195" s="521" t="inlineStr">
        <is>
          <t>INV202103-0181</t>
        </is>
      </c>
      <c r="F1195" s="523" t="n">
        <v>44286</v>
      </c>
      <c r="G1195" s="556" t="n">
        <v>881810</v>
      </c>
      <c r="I1195" s="521">
        <f>G1195</f>
        <v/>
      </c>
      <c r="K1195" s="521">
        <f>I1195-G1195</f>
        <v/>
      </c>
      <c r="M1195" s="522" t="inlineStr">
        <is>
          <t>INV2021030181</t>
        </is>
      </c>
      <c r="N1195" s="522" t="inlineStr"/>
      <c r="O1195" s="521">
        <f>M1195=N1195</f>
        <v/>
      </c>
      <c r="P1195" s="521">
        <f>AND(MONTH(F1195)=MONTH(S1195), YEAR(F1195)=YEAR(S1195))</f>
        <v/>
      </c>
      <c r="Q1195" s="521">
        <f>U1195="L001-901905215"</f>
        <v/>
      </c>
      <c r="R1195" s="556">
        <f>G1195-W1195</f>
        <v/>
      </c>
      <c r="S1195" s="521" t="n"/>
      <c r="T1195" s="522" t="n"/>
      <c r="U1195" s="522" t="n"/>
      <c r="V1195" s="522" t="n"/>
      <c r="W1195" s="521" t="n"/>
    </row>
    <row r="1196">
      <c r="A1196" s="521" t="n">
        <v>1188</v>
      </c>
      <c r="B1196" s="522" t="inlineStr">
        <is>
          <t>Customs Clearance, Handling Fee</t>
        </is>
      </c>
      <c r="C1196" s="522" t="inlineStr">
        <is>
          <t>56ប៊ី-លីង សឹបផ្លាយ ឆេន មេនេចម៉ិន ឯ.ក</t>
        </is>
      </c>
      <c r="D1196" s="522" t="inlineStr">
        <is>
          <t>K004-902004795</t>
        </is>
      </c>
      <c r="E1196" s="521" t="inlineStr">
        <is>
          <t>INV202103-0186</t>
        </is>
      </c>
      <c r="F1196" s="523" t="n">
        <v>44286</v>
      </c>
      <c r="G1196" s="556" t="n">
        <v>268993</v>
      </c>
      <c r="I1196" s="521">
        <f>G1196</f>
        <v/>
      </c>
      <c r="K1196" s="521">
        <f>I1196-G1196</f>
        <v/>
      </c>
      <c r="M1196" s="522" t="inlineStr">
        <is>
          <t>INV2021030186</t>
        </is>
      </c>
      <c r="N1196" s="522" t="inlineStr"/>
      <c r="O1196" s="521">
        <f>M1196=N1196</f>
        <v/>
      </c>
      <c r="P1196" s="521">
        <f>AND(MONTH(F1196)=MONTH(S1196), YEAR(F1196)=YEAR(S1196))</f>
        <v/>
      </c>
      <c r="Q1196" s="521">
        <f>U1196="L001-901905215"</f>
        <v/>
      </c>
      <c r="R1196" s="556">
        <f>G1196-W1196</f>
        <v/>
      </c>
      <c r="S1196" s="521" t="n"/>
      <c r="T1196" s="522" t="n"/>
      <c r="U1196" s="522" t="n"/>
      <c r="V1196" s="522" t="n"/>
      <c r="W1196" s="521" t="n"/>
    </row>
    <row r="1197">
      <c r="A1197" s="521" t="n">
        <v>1189</v>
      </c>
      <c r="B1197" s="522" t="inlineStr">
        <is>
          <t>Customs Clearance, Handling Fee</t>
        </is>
      </c>
      <c r="C1197" s="522" t="inlineStr">
        <is>
          <t>56ប៊ី-លីង សឹបផ្លាយ ឆេន មេនេចម៉ិន ឯ.ក</t>
        </is>
      </c>
      <c r="D1197" s="522" t="inlineStr">
        <is>
          <t>K004-902004795</t>
        </is>
      </c>
      <c r="E1197" s="521" t="inlineStr">
        <is>
          <t>INV202103-0218</t>
        </is>
      </c>
      <c r="F1197" s="523" t="n">
        <v>44286</v>
      </c>
      <c r="G1197" s="556" t="n">
        <v>675515</v>
      </c>
      <c r="I1197" s="521">
        <f>G1197</f>
        <v/>
      </c>
      <c r="K1197" s="521">
        <f>I1197-G1197</f>
        <v/>
      </c>
      <c r="M1197" s="522" t="inlineStr">
        <is>
          <t>INV2021030218</t>
        </is>
      </c>
      <c r="N1197" s="522" t="inlineStr"/>
      <c r="O1197" s="521">
        <f>M1197=N1197</f>
        <v/>
      </c>
      <c r="P1197" s="521">
        <f>AND(MONTH(F1197)=MONTH(S1197), YEAR(F1197)=YEAR(S1197))</f>
        <v/>
      </c>
      <c r="Q1197" s="521">
        <f>U1197="L001-901905215"</f>
        <v/>
      </c>
      <c r="R1197" s="556">
        <f>G1197-W1197</f>
        <v/>
      </c>
      <c r="S1197" s="521" t="n"/>
      <c r="T1197" s="522" t="n"/>
      <c r="U1197" s="522" t="n"/>
      <c r="V1197" s="522" t="n"/>
      <c r="W1197" s="521" t="n"/>
    </row>
    <row r="1198">
      <c r="A1198" s="521" t="n">
        <v>1190</v>
      </c>
      <c r="B1198" s="522" t="inlineStr">
        <is>
          <t>Customs Clearance, Handling Fee</t>
        </is>
      </c>
      <c r="C1198" s="522" t="inlineStr">
        <is>
          <t>56ប៊ី-លីង សឹបផ្លាយ ឆេន មេនេចម៉ិន ឯ.ក</t>
        </is>
      </c>
      <c r="D1198" s="522" t="inlineStr">
        <is>
          <t>K004-902004795</t>
        </is>
      </c>
      <c r="E1198" s="521" t="inlineStr">
        <is>
          <t>INV202103-0230</t>
        </is>
      </c>
      <c r="F1198" s="523" t="n">
        <v>44286</v>
      </c>
      <c r="G1198" s="556" t="n">
        <v>206295</v>
      </c>
      <c r="I1198" s="521">
        <f>G1198</f>
        <v/>
      </c>
      <c r="K1198" s="521">
        <f>I1198-G1198</f>
        <v/>
      </c>
      <c r="M1198" s="522" t="inlineStr">
        <is>
          <t>INV2021030230</t>
        </is>
      </c>
      <c r="N1198" s="522" t="inlineStr"/>
      <c r="O1198" s="521">
        <f>M1198=N1198</f>
        <v/>
      </c>
      <c r="P1198" s="521">
        <f>AND(MONTH(F1198)=MONTH(S1198), YEAR(F1198)=YEAR(S1198))</f>
        <v/>
      </c>
      <c r="Q1198" s="521">
        <f>U1198="L001-901905215"</f>
        <v/>
      </c>
      <c r="R1198" s="556">
        <f>G1198-W1198</f>
        <v/>
      </c>
      <c r="S1198" s="521" t="n"/>
      <c r="T1198" s="522" t="n"/>
      <c r="U1198" s="522" t="n"/>
      <c r="V1198" s="522" t="n"/>
      <c r="W1198" s="521" t="n"/>
    </row>
    <row r="1199">
      <c r="A1199" s="521" t="n">
        <v>1191</v>
      </c>
      <c r="B1199" s="522" t="inlineStr">
        <is>
          <t>Documentation,local thc,seal fee</t>
        </is>
      </c>
      <c r="C1199" s="522" t="inlineStr">
        <is>
          <t>ត្រេនម៉ារីន ឡូជីស្ទីក (ខេមបូឌា)</t>
        </is>
      </c>
      <c r="D1199" s="522" t="inlineStr">
        <is>
          <t>L001-106004107</t>
        </is>
      </c>
      <c r="E1199" s="521" t="inlineStr">
        <is>
          <t>9961014219</t>
        </is>
      </c>
      <c r="F1199" s="523" t="n">
        <v>44281</v>
      </c>
      <c r="G1199" s="556" t="n">
        <v>247149</v>
      </c>
      <c r="I1199" s="521">
        <f>G1199</f>
        <v/>
      </c>
      <c r="K1199" s="521">
        <f>I1199-G1199</f>
        <v/>
      </c>
      <c r="M1199" s="522" t="inlineStr">
        <is>
          <t>9961014219</t>
        </is>
      </c>
      <c r="N1199" s="522" t="inlineStr"/>
      <c r="O1199" s="521">
        <f>M1199=N1199</f>
        <v/>
      </c>
      <c r="P1199" s="521">
        <f>AND(MONTH(F1199)=MONTH(S1199), YEAR(F1199)=YEAR(S1199))</f>
        <v/>
      </c>
      <c r="Q1199" s="521">
        <f>U1199="L001-901905215"</f>
        <v/>
      </c>
      <c r="R1199" s="556">
        <f>G1199-W1199</f>
        <v/>
      </c>
      <c r="S1199" s="521" t="n"/>
      <c r="T1199" s="522" t="n"/>
      <c r="U1199" s="522" t="n"/>
      <c r="V1199" s="522" t="n"/>
      <c r="W1199" s="521" t="n"/>
    </row>
    <row r="1200">
      <c r="A1200" s="521" t="n">
        <v>1192</v>
      </c>
      <c r="B1200" s="522" t="inlineStr">
        <is>
          <t>Customs Clearance, Handling Fee</t>
        </is>
      </c>
      <c r="C1200" s="522" t="inlineStr">
        <is>
          <t>56ប៊ី-លីង សឹបផ្លាយ ឆេន មេនេចម៉ិន ឯ.ក</t>
        </is>
      </c>
      <c r="D1200" s="522" t="inlineStr">
        <is>
          <t>K004-902004795</t>
        </is>
      </c>
      <c r="E1200" s="521" t="inlineStr">
        <is>
          <t>IN202103-0213</t>
        </is>
      </c>
      <c r="F1200" s="523" t="n">
        <v>44286</v>
      </c>
      <c r="G1200" s="556" t="n">
        <v>750348</v>
      </c>
      <c r="I1200" s="521">
        <f>G1200</f>
        <v/>
      </c>
      <c r="K1200" s="521">
        <f>I1200-G1200</f>
        <v/>
      </c>
      <c r="M1200" s="522" t="inlineStr">
        <is>
          <t>IN2021030213</t>
        </is>
      </c>
      <c r="N1200" s="522" t="inlineStr">
        <is>
          <t>IN2021030213</t>
        </is>
      </c>
      <c r="O1200" s="521">
        <f>M1200=N1200</f>
        <v/>
      </c>
      <c r="P1200" s="521">
        <f>AND(MONTH(F1200)=MONTH(S1200), YEAR(F1200)=YEAR(S1200))</f>
        <v/>
      </c>
      <c r="Q1200" s="521">
        <f>U1200="L001-901905215"</f>
        <v/>
      </c>
      <c r="R1200" s="556">
        <f>G1200-W1200</f>
        <v/>
      </c>
      <c r="S1200" s="523" t="n">
        <v>44286</v>
      </c>
      <c r="T1200" s="522" t="inlineStr">
        <is>
          <t>IN202103-0213</t>
        </is>
      </c>
      <c r="U1200" s="522" t="inlineStr">
        <is>
          <t>L001-901905215</t>
        </is>
      </c>
      <c r="V1200" s="522" t="inlineStr">
        <is>
          <t>វីអ៊ីស៊ិន (ខេមបូឌា) អ៊ិនដាសស្ទ្រី ឯ.ក</t>
        </is>
      </c>
      <c r="W1200" s="556" t="n">
        <v>750348</v>
      </c>
    </row>
    <row r="1201">
      <c r="A1201" s="521" t="n">
        <v>1193</v>
      </c>
      <c r="B1201" s="522" t="inlineStr">
        <is>
          <t>Customs Clearance, Handling Fee</t>
        </is>
      </c>
      <c r="C1201" s="522" t="inlineStr">
        <is>
          <t>56ប៊ី-លីង សឹបផ្លាយ ឆេន មេនេចម៉ិន ឯ.ក</t>
        </is>
      </c>
      <c r="D1201" s="522" t="inlineStr">
        <is>
          <t>K004-902004795</t>
        </is>
      </c>
      <c r="E1201" s="521" t="inlineStr">
        <is>
          <t>IN202103-0246</t>
        </is>
      </c>
      <c r="F1201" s="523" t="n">
        <v>44286</v>
      </c>
      <c r="G1201" s="556" t="n">
        <v>337758</v>
      </c>
      <c r="I1201" s="521">
        <f>G1201</f>
        <v/>
      </c>
      <c r="K1201" s="521">
        <f>I1201-G1201</f>
        <v/>
      </c>
      <c r="M1201" s="522" t="inlineStr">
        <is>
          <t>IN2021030246</t>
        </is>
      </c>
      <c r="N1201" s="522" t="inlineStr">
        <is>
          <t>IN2021030246</t>
        </is>
      </c>
      <c r="O1201" s="521">
        <f>M1201=N1201</f>
        <v/>
      </c>
      <c r="P1201" s="521">
        <f>AND(MONTH(F1201)=MONTH(S1201), YEAR(F1201)=YEAR(S1201))</f>
        <v/>
      </c>
      <c r="Q1201" s="521">
        <f>U1201="L001-901905215"</f>
        <v/>
      </c>
      <c r="R1201" s="556">
        <f>G1201-W1201</f>
        <v/>
      </c>
      <c r="S1201" s="523" t="n">
        <v>44286</v>
      </c>
      <c r="T1201" s="522" t="inlineStr">
        <is>
          <t>IN202103-0246</t>
        </is>
      </c>
      <c r="U1201" s="522" t="inlineStr">
        <is>
          <t>L001-901905215</t>
        </is>
      </c>
      <c r="V1201" s="522" t="inlineStr">
        <is>
          <t>វីអ៊ីស៊ិន (ខេមបូឌា) អ៊ិនដាសស្ទ្រី ឯ.ក</t>
        </is>
      </c>
      <c r="W1201" s="556" t="n">
        <v>337758</v>
      </c>
    </row>
    <row r="1202">
      <c r="A1202" s="521" t="n">
        <v>1194</v>
      </c>
      <c r="B1202" s="522" t="inlineStr">
        <is>
          <t>Customs Clearance, Handling Fee</t>
        </is>
      </c>
      <c r="C1202" s="522" t="inlineStr">
        <is>
          <t>56ប៊ី-លីង សឹបផ្លាយ ឆេន មេនេចម៉ិន ឯ.ក</t>
        </is>
      </c>
      <c r="D1202" s="522" t="inlineStr">
        <is>
          <t>K004-902004795</t>
        </is>
      </c>
      <c r="E1202" s="521" t="inlineStr">
        <is>
          <t>IN202103-0245</t>
        </is>
      </c>
      <c r="F1202" s="523" t="n">
        <v>44286</v>
      </c>
      <c r="G1202" s="556" t="n">
        <v>171508</v>
      </c>
      <c r="I1202" s="521">
        <f>G1202</f>
        <v/>
      </c>
      <c r="K1202" s="521">
        <f>I1202-G1202</f>
        <v/>
      </c>
      <c r="M1202" s="522" t="inlineStr">
        <is>
          <t>IN2021030245</t>
        </is>
      </c>
      <c r="N1202" s="522" t="inlineStr">
        <is>
          <t>IN2021030245</t>
        </is>
      </c>
      <c r="O1202" s="521">
        <f>M1202=N1202</f>
        <v/>
      </c>
      <c r="P1202" s="521">
        <f>AND(MONTH(F1202)=MONTH(S1202), YEAR(F1202)=YEAR(S1202))</f>
        <v/>
      </c>
      <c r="Q1202" s="521">
        <f>U1202="L001-901905215"</f>
        <v/>
      </c>
      <c r="R1202" s="556">
        <f>G1202-W1202</f>
        <v/>
      </c>
      <c r="S1202" s="523" t="n">
        <v>44286</v>
      </c>
      <c r="T1202" s="522" t="inlineStr">
        <is>
          <t>IN202103-0245</t>
        </is>
      </c>
      <c r="U1202" s="522" t="inlineStr">
        <is>
          <t>L001-901905215</t>
        </is>
      </c>
      <c r="V1202" s="522" t="inlineStr">
        <is>
          <t>វីអ៊ីស៊ិន (ខេមបូឌា) អ៊ិនដាសស្ទ្រី ឯ.ក</t>
        </is>
      </c>
      <c r="W1202" s="556" t="n">
        <v>171508</v>
      </c>
    </row>
    <row r="1203">
      <c r="A1203" s="521" t="n">
        <v>1195</v>
      </c>
      <c r="B1203" s="522" t="inlineStr">
        <is>
          <t>Customs Clearance, Handling Fee</t>
        </is>
      </c>
      <c r="C1203" s="522" t="inlineStr">
        <is>
          <t>56ប៊ី-លីង សឹបផ្លាយ ឆេន មេនេចម៉ិន ឯ.ក</t>
        </is>
      </c>
      <c r="D1203" s="522" t="inlineStr">
        <is>
          <t>K004-902004795</t>
        </is>
      </c>
      <c r="E1203" s="521" t="inlineStr">
        <is>
          <t>IN202103-0244</t>
        </is>
      </c>
      <c r="F1203" s="523" t="n">
        <v>44286</v>
      </c>
      <c r="G1203" s="556" t="n">
        <v>95867</v>
      </c>
      <c r="I1203" s="521">
        <f>G1203</f>
        <v/>
      </c>
      <c r="K1203" s="521">
        <f>I1203-G1203</f>
        <v/>
      </c>
      <c r="M1203" s="522" t="inlineStr">
        <is>
          <t>IN2021030244</t>
        </is>
      </c>
      <c r="N1203" s="522" t="inlineStr">
        <is>
          <t>IN2021030244</t>
        </is>
      </c>
      <c r="O1203" s="521">
        <f>M1203=N1203</f>
        <v/>
      </c>
      <c r="P1203" s="521">
        <f>AND(MONTH(F1203)=MONTH(S1203), YEAR(F1203)=YEAR(S1203))</f>
        <v/>
      </c>
      <c r="Q1203" s="521">
        <f>U1203="L001-901905215"</f>
        <v/>
      </c>
      <c r="R1203" s="556">
        <f>G1203-W1203</f>
        <v/>
      </c>
      <c r="S1203" s="523" t="n">
        <v>44286</v>
      </c>
      <c r="T1203" s="522" t="inlineStr">
        <is>
          <t>IN202103-0244</t>
        </is>
      </c>
      <c r="U1203" s="522" t="inlineStr">
        <is>
          <t>L001-901905215</t>
        </is>
      </c>
      <c r="V1203" s="522" t="inlineStr">
        <is>
          <t>វីអ៊ីស៊ិន (ខេមបូឌា) អ៊ិនដាសស្ទ្រី ឯ.ក</t>
        </is>
      </c>
      <c r="W1203" s="556" t="n">
        <v>95867</v>
      </c>
    </row>
    <row r="1204">
      <c r="A1204" s="521" t="n">
        <v>1196</v>
      </c>
      <c r="B1204" s="522" t="inlineStr">
        <is>
          <t>Customs Clearance, Handling Fee</t>
        </is>
      </c>
      <c r="C1204" s="522" t="inlineStr">
        <is>
          <t>56ប៊ី-លីង សឹបផ្លាយ ឆេន មេនេចម៉ិន ឯ.ក</t>
        </is>
      </c>
      <c r="D1204" s="522" t="inlineStr">
        <is>
          <t>K004-902004795</t>
        </is>
      </c>
      <c r="E1204" s="521" t="inlineStr">
        <is>
          <t>IN202103-0242</t>
        </is>
      </c>
      <c r="F1204" s="523" t="n">
        <v>44286</v>
      </c>
      <c r="G1204" s="556" t="n">
        <v>337758</v>
      </c>
      <c r="I1204" s="521">
        <f>G1204</f>
        <v/>
      </c>
      <c r="K1204" s="521">
        <f>I1204-G1204</f>
        <v/>
      </c>
      <c r="M1204" s="522" t="inlineStr">
        <is>
          <t>IN2021030242</t>
        </is>
      </c>
      <c r="N1204" s="522" t="inlineStr">
        <is>
          <t>IN2021030242</t>
        </is>
      </c>
      <c r="O1204" s="521">
        <f>M1204=N1204</f>
        <v/>
      </c>
      <c r="P1204" s="521">
        <f>AND(MONTH(F1204)=MONTH(S1204), YEAR(F1204)=YEAR(S1204))</f>
        <v/>
      </c>
      <c r="Q1204" s="521">
        <f>U1204="L001-901905215"</f>
        <v/>
      </c>
      <c r="R1204" s="556">
        <f>G1204-W1204</f>
        <v/>
      </c>
      <c r="S1204" s="523" t="n">
        <v>44286</v>
      </c>
      <c r="T1204" s="522" t="inlineStr">
        <is>
          <t>IN202103-0242</t>
        </is>
      </c>
      <c r="U1204" s="522" t="inlineStr">
        <is>
          <t>L001-901905215</t>
        </is>
      </c>
      <c r="V1204" s="522" t="inlineStr">
        <is>
          <t>វីអ៊ីស៊ិន (ខេមបូឌា) អ៊ិនដាសស្ទ្រី ឯ.ក</t>
        </is>
      </c>
      <c r="W1204" s="556" t="n">
        <v>337758</v>
      </c>
    </row>
    <row r="1205">
      <c r="A1205" s="521" t="n">
        <v>1197</v>
      </c>
      <c r="B1205" s="522" t="inlineStr">
        <is>
          <t>Customs Clearance, Handling Fee</t>
        </is>
      </c>
      <c r="C1205" s="522" t="inlineStr">
        <is>
          <t>56ប៊ី-លីង សឹបផ្លាយ ឆេន មេនេចម៉ិន ឯ.ក</t>
        </is>
      </c>
      <c r="D1205" s="522" t="inlineStr">
        <is>
          <t>K004-902004795</t>
        </is>
      </c>
      <c r="E1205" s="521" t="inlineStr">
        <is>
          <t>IN202103-0241</t>
        </is>
      </c>
      <c r="F1205" s="523" t="n">
        <v>44286</v>
      </c>
      <c r="G1205" s="556" t="n">
        <v>206295</v>
      </c>
      <c r="I1205" s="521">
        <f>G1205</f>
        <v/>
      </c>
      <c r="K1205" s="521">
        <f>I1205-G1205</f>
        <v/>
      </c>
      <c r="M1205" s="522" t="inlineStr">
        <is>
          <t>IN2021030241</t>
        </is>
      </c>
      <c r="N1205" s="522" t="inlineStr">
        <is>
          <t>IN2021030241</t>
        </is>
      </c>
      <c r="O1205" s="521">
        <f>M1205=N1205</f>
        <v/>
      </c>
      <c r="P1205" s="521">
        <f>AND(MONTH(F1205)=MONTH(S1205), YEAR(F1205)=YEAR(S1205))</f>
        <v/>
      </c>
      <c r="Q1205" s="521">
        <f>U1205="L001-901905215"</f>
        <v/>
      </c>
      <c r="R1205" s="556">
        <f>G1205-W1205</f>
        <v/>
      </c>
      <c r="S1205" s="523" t="n">
        <v>44286</v>
      </c>
      <c r="T1205" s="522" t="inlineStr">
        <is>
          <t>IN202103-0241</t>
        </is>
      </c>
      <c r="U1205" s="522" t="inlineStr">
        <is>
          <t>L001-901905215</t>
        </is>
      </c>
      <c r="V1205" s="522" t="inlineStr">
        <is>
          <t>វីអ៊ីស៊ិន (ខេមបូឌា) អ៊ិនដាសស្ទ្រី ឯ.ក</t>
        </is>
      </c>
      <c r="W1205" s="556" t="n">
        <v>206295</v>
      </c>
    </row>
    <row r="1206">
      <c r="A1206" s="521" t="n">
        <v>1198</v>
      </c>
      <c r="B1206" s="522" t="inlineStr">
        <is>
          <t>Customs Clearance, Handling Fee</t>
        </is>
      </c>
      <c r="C1206" s="522" t="inlineStr">
        <is>
          <t>56ប៊ី-លីង សឹបផ្លាយ ឆេន មេនេចម៉ិន ឯ.ក</t>
        </is>
      </c>
      <c r="D1206" s="522" t="inlineStr">
        <is>
          <t>K004-902004795</t>
        </is>
      </c>
      <c r="E1206" s="521" t="inlineStr">
        <is>
          <t>IN202103-0220</t>
        </is>
      </c>
      <c r="F1206" s="523" t="n">
        <v>44286</v>
      </c>
      <c r="G1206" s="556" t="n">
        <v>738213</v>
      </c>
      <c r="I1206" s="521">
        <f>G1206</f>
        <v/>
      </c>
      <c r="K1206" s="521">
        <f>I1206-G1206</f>
        <v/>
      </c>
      <c r="M1206" s="522" t="inlineStr">
        <is>
          <t>IN2021030220</t>
        </is>
      </c>
      <c r="N1206" s="522" t="inlineStr">
        <is>
          <t>IN2021030220</t>
        </is>
      </c>
      <c r="O1206" s="521">
        <f>M1206=N1206</f>
        <v/>
      </c>
      <c r="P1206" s="521">
        <f>AND(MONTH(F1206)=MONTH(S1206), YEAR(F1206)=YEAR(S1206))</f>
        <v/>
      </c>
      <c r="Q1206" s="521">
        <f>U1206="L001-901905215"</f>
        <v/>
      </c>
      <c r="R1206" s="556">
        <f>G1206-W1206</f>
        <v/>
      </c>
      <c r="S1206" s="523" t="n">
        <v>44286</v>
      </c>
      <c r="T1206" s="522" t="inlineStr">
        <is>
          <t>IN202103-0220</t>
        </is>
      </c>
      <c r="U1206" s="522" t="inlineStr">
        <is>
          <t>L001-901905215</t>
        </is>
      </c>
      <c r="V1206" s="522" t="inlineStr">
        <is>
          <t>វីអ៊ីស៊ិន (ខេមបូឌា) អ៊ិនដាសស្ទ្រី ឯ.ក</t>
        </is>
      </c>
      <c r="W1206" s="556" t="n">
        <v>738213</v>
      </c>
    </row>
    <row r="1207">
      <c r="A1207" s="521" t="n">
        <v>1199</v>
      </c>
      <c r="B1207" s="522" t="inlineStr">
        <is>
          <t>Customs Clearance, Handling Fee</t>
        </is>
      </c>
      <c r="C1207" s="522" t="inlineStr">
        <is>
          <t>56ប៊ី-លីង សឹបផ្លាយ ឆេន មេនេចម៉ិន ឯ.ក</t>
        </is>
      </c>
      <c r="D1207" s="522" t="inlineStr">
        <is>
          <t>K004-902004795</t>
        </is>
      </c>
      <c r="E1207" s="521" t="inlineStr">
        <is>
          <t>IN202103-0216</t>
        </is>
      </c>
      <c r="F1207" s="523" t="n">
        <v>44286</v>
      </c>
      <c r="G1207" s="556" t="n">
        <v>206295</v>
      </c>
      <c r="I1207" s="521">
        <f>G1207</f>
        <v/>
      </c>
      <c r="K1207" s="521">
        <f>I1207-G1207</f>
        <v/>
      </c>
      <c r="M1207" s="522" t="inlineStr">
        <is>
          <t>IN2021030216</t>
        </is>
      </c>
      <c r="N1207" s="522" t="inlineStr">
        <is>
          <t>IN2021030216</t>
        </is>
      </c>
      <c r="O1207" s="521">
        <f>M1207=N1207</f>
        <v/>
      </c>
      <c r="P1207" s="521">
        <f>AND(MONTH(F1207)=MONTH(S1207), YEAR(F1207)=YEAR(S1207))</f>
        <v/>
      </c>
      <c r="Q1207" s="521">
        <f>U1207="L001-901905215"</f>
        <v/>
      </c>
      <c r="R1207" s="556">
        <f>G1207-W1207</f>
        <v/>
      </c>
      <c r="S1207" s="523" t="n">
        <v>44286</v>
      </c>
      <c r="T1207" s="522" t="inlineStr">
        <is>
          <t>IN202103-0216</t>
        </is>
      </c>
      <c r="U1207" s="522" t="inlineStr">
        <is>
          <t>L001-901905215</t>
        </is>
      </c>
      <c r="V1207" s="522" t="inlineStr">
        <is>
          <t>វីអ៊ីស៊ិន (ខេមបូឌា) អ៊ិនដាសស្ទ្រី ឯ.ក</t>
        </is>
      </c>
      <c r="W1207" s="556" t="n">
        <v>206295</v>
      </c>
    </row>
    <row r="1208">
      <c r="A1208" s="521" t="n">
        <v>1200</v>
      </c>
      <c r="B1208" s="522" t="inlineStr">
        <is>
          <t>Customs Clearance, Handling Fee</t>
        </is>
      </c>
      <c r="C1208" s="522" t="inlineStr">
        <is>
          <t>56ប៊ី-លីង សឹបផ្លាយ ឆេន មេនេចម៉ិន ឯ.ក</t>
        </is>
      </c>
      <c r="D1208" s="522" t="inlineStr">
        <is>
          <t>K004-902004795</t>
        </is>
      </c>
      <c r="E1208" s="521" t="inlineStr">
        <is>
          <t>IN202103-0237</t>
        </is>
      </c>
      <c r="F1208" s="523" t="n">
        <v>44286</v>
      </c>
      <c r="G1208" s="556" t="n">
        <v>481355</v>
      </c>
      <c r="I1208" s="521">
        <f>G1208</f>
        <v/>
      </c>
      <c r="K1208" s="521">
        <f>I1208-G1208</f>
        <v/>
      </c>
      <c r="M1208" s="522" t="inlineStr">
        <is>
          <t>IN2021030237</t>
        </is>
      </c>
      <c r="N1208" s="522" t="inlineStr">
        <is>
          <t>IN2021030237</t>
        </is>
      </c>
      <c r="O1208" s="521">
        <f>M1208=N1208</f>
        <v/>
      </c>
      <c r="P1208" s="521">
        <f>AND(MONTH(F1208)=MONTH(S1208), YEAR(F1208)=YEAR(S1208))</f>
        <v/>
      </c>
      <c r="Q1208" s="521">
        <f>U1208="L001-901905215"</f>
        <v/>
      </c>
      <c r="R1208" s="556">
        <f>G1208-W1208</f>
        <v/>
      </c>
      <c r="S1208" s="523" t="n">
        <v>44286</v>
      </c>
      <c r="T1208" s="522" t="inlineStr">
        <is>
          <t>IN202103-0237</t>
        </is>
      </c>
      <c r="U1208" s="522" t="inlineStr">
        <is>
          <t>L001-901905215</t>
        </is>
      </c>
      <c r="V1208" s="522" t="inlineStr">
        <is>
          <t>វីអ៊ីស៊ិន (ខេមបូឌា) អ៊ិនដាសស្ទ្រី ឯ.ក</t>
        </is>
      </c>
      <c r="W1208" s="556" t="n">
        <v>481355</v>
      </c>
    </row>
    <row r="1209">
      <c r="A1209" s="521" t="n">
        <v>1201</v>
      </c>
      <c r="B1209" s="522" t="inlineStr">
        <is>
          <t>Customs Clearance, Handling Fee</t>
        </is>
      </c>
      <c r="C1209" s="522" t="inlineStr">
        <is>
          <t>56ប៊ី-លីង សឹបផ្លាយ ឆេន មេនេចម៉ិន ឯ.ក</t>
        </is>
      </c>
      <c r="D1209" s="522" t="inlineStr">
        <is>
          <t>K004-902004795</t>
        </is>
      </c>
      <c r="E1209" s="521" t="inlineStr">
        <is>
          <t>IN202103-0236</t>
        </is>
      </c>
      <c r="F1209" s="523" t="n">
        <v>44286</v>
      </c>
      <c r="G1209" s="556" t="n">
        <v>268993</v>
      </c>
      <c r="I1209" s="521">
        <f>G1209</f>
        <v/>
      </c>
      <c r="K1209" s="521">
        <f>I1209-G1209</f>
        <v/>
      </c>
      <c r="M1209" s="522" t="inlineStr">
        <is>
          <t>IN2021030236</t>
        </is>
      </c>
      <c r="N1209" s="522" t="inlineStr">
        <is>
          <t>IN2021030236</t>
        </is>
      </c>
      <c r="O1209" s="521">
        <f>M1209=N1209</f>
        <v/>
      </c>
      <c r="P1209" s="521">
        <f>AND(MONTH(F1209)=MONTH(S1209), YEAR(F1209)=YEAR(S1209))</f>
        <v/>
      </c>
      <c r="Q1209" s="521">
        <f>U1209="L001-901905215"</f>
        <v/>
      </c>
      <c r="R1209" s="556">
        <f>G1209-W1209</f>
        <v/>
      </c>
      <c r="S1209" s="523" t="n">
        <v>44286</v>
      </c>
      <c r="T1209" s="522" t="inlineStr">
        <is>
          <t>IN202103-0236</t>
        </is>
      </c>
      <c r="U1209" s="522" t="inlineStr">
        <is>
          <t>L001-901905215</t>
        </is>
      </c>
      <c r="V1209" s="522" t="inlineStr">
        <is>
          <t>វីអ៊ីស៊ិន (ខេមបូឌា) អ៊ិនដាសស្ទ្រី ឯ.ក</t>
        </is>
      </c>
      <c r="W1209" s="556" t="n">
        <v>268993</v>
      </c>
    </row>
    <row r="1210">
      <c r="A1210" s="521" t="n">
        <v>1202</v>
      </c>
      <c r="B1210" s="522" t="inlineStr">
        <is>
          <t>Customs Clearance, Handling Fee</t>
        </is>
      </c>
      <c r="C1210" s="522" t="inlineStr">
        <is>
          <t>56ប៊ី-លីង សឹបផ្លាយ ឆេន មេនេចម៉ិន ឯ.ក</t>
        </is>
      </c>
      <c r="D1210" s="522" t="inlineStr">
        <is>
          <t>K004-902004795</t>
        </is>
      </c>
      <c r="E1210" s="521" t="inlineStr">
        <is>
          <t>IN202103-0235</t>
        </is>
      </c>
      <c r="F1210" s="523" t="n">
        <v>44286</v>
      </c>
      <c r="G1210" s="556" t="n">
        <v>1640248</v>
      </c>
      <c r="I1210" s="521">
        <f>G1210</f>
        <v/>
      </c>
      <c r="K1210" s="521">
        <f>I1210-G1210</f>
        <v/>
      </c>
      <c r="M1210" s="522" t="inlineStr">
        <is>
          <t>IN2021030235</t>
        </is>
      </c>
      <c r="N1210" s="522" t="inlineStr">
        <is>
          <t>IN2021030235</t>
        </is>
      </c>
      <c r="O1210" s="521">
        <f>M1210=N1210</f>
        <v/>
      </c>
      <c r="P1210" s="521">
        <f>AND(MONTH(F1210)=MONTH(S1210), YEAR(F1210)=YEAR(S1210))</f>
        <v/>
      </c>
      <c r="Q1210" s="521">
        <f>U1210="L001-901905215"</f>
        <v/>
      </c>
      <c r="R1210" s="556">
        <f>G1210-W1210</f>
        <v/>
      </c>
      <c r="S1210" s="523" t="n">
        <v>44286</v>
      </c>
      <c r="T1210" s="522" t="inlineStr">
        <is>
          <t>IN202103-0235</t>
        </is>
      </c>
      <c r="U1210" s="522" t="inlineStr">
        <is>
          <t>L001-901905215</t>
        </is>
      </c>
      <c r="V1210" s="522" t="inlineStr">
        <is>
          <t>វីអ៊ីស៊ិន (ខេមបូឌា) អ៊ិនដាសស្ទ្រី ឯ.ក</t>
        </is>
      </c>
      <c r="W1210" s="556" t="n">
        <v>1640248</v>
      </c>
    </row>
    <row r="1211">
      <c r="A1211" s="521" t="n">
        <v>1203</v>
      </c>
      <c r="B1211" s="522" t="inlineStr">
        <is>
          <t>Customs Clearance, Handling Fee</t>
        </is>
      </c>
      <c r="C1211" s="522" t="inlineStr">
        <is>
          <t>56ប៊ី-លីង សឹបផ្លាយ ឆេន មេនេចម៉ិន ឯ.ក</t>
        </is>
      </c>
      <c r="D1211" s="522" t="inlineStr">
        <is>
          <t>K004-902004795</t>
        </is>
      </c>
      <c r="E1211" s="521" t="inlineStr">
        <is>
          <t>IN202103-0234</t>
        </is>
      </c>
      <c r="F1211" s="523" t="n">
        <v>44286</v>
      </c>
      <c r="G1211" s="556" t="n">
        <v>268993</v>
      </c>
      <c r="I1211" s="521">
        <f>G1211</f>
        <v/>
      </c>
      <c r="K1211" s="521">
        <f>I1211-G1211</f>
        <v/>
      </c>
      <c r="M1211" s="522" t="inlineStr">
        <is>
          <t>IN2021030234</t>
        </is>
      </c>
      <c r="N1211" s="522" t="inlineStr">
        <is>
          <t>IN2021030234</t>
        </is>
      </c>
      <c r="O1211" s="521">
        <f>M1211=N1211</f>
        <v/>
      </c>
      <c r="P1211" s="521">
        <f>AND(MONTH(F1211)=MONTH(S1211), YEAR(F1211)=YEAR(S1211))</f>
        <v/>
      </c>
      <c r="Q1211" s="521">
        <f>U1211="L001-901905215"</f>
        <v/>
      </c>
      <c r="R1211" s="556">
        <f>G1211-W1211</f>
        <v/>
      </c>
      <c r="S1211" s="523" t="n">
        <v>44286</v>
      </c>
      <c r="T1211" s="522" t="inlineStr">
        <is>
          <t>IN202103-0234</t>
        </is>
      </c>
      <c r="U1211" s="522" t="inlineStr">
        <is>
          <t>L001-901905215</t>
        </is>
      </c>
      <c r="V1211" s="522" t="inlineStr">
        <is>
          <t>វីអ៊ីស៊ិន (ខេមបូឌា) អ៊ិនដាសស្ទ្រី ឯ.ក</t>
        </is>
      </c>
      <c r="W1211" s="556" t="n">
        <v>268993</v>
      </c>
    </row>
    <row r="1212">
      <c r="A1212" s="521" t="n">
        <v>1204</v>
      </c>
      <c r="B1212" s="522" t="inlineStr">
        <is>
          <t>Customs Clearance, Handling Fee</t>
        </is>
      </c>
      <c r="C1212" s="522" t="inlineStr">
        <is>
          <t>56ប៊ី-លីង សឹបផ្លាយ ឆេន មេនេចម៉ិន ឯ.ក</t>
        </is>
      </c>
      <c r="D1212" s="522" t="inlineStr">
        <is>
          <t>K004-902004795</t>
        </is>
      </c>
      <c r="E1212" s="521" t="inlineStr">
        <is>
          <t>IN202103-0231</t>
        </is>
      </c>
      <c r="F1212" s="523" t="n">
        <v>44286</v>
      </c>
      <c r="G1212" s="556" t="n">
        <v>256858</v>
      </c>
      <c r="I1212" s="521">
        <f>G1212</f>
        <v/>
      </c>
      <c r="K1212" s="521">
        <f>I1212-G1212</f>
        <v/>
      </c>
      <c r="M1212" s="522" t="inlineStr">
        <is>
          <t>IN2021030231</t>
        </is>
      </c>
      <c r="N1212" s="522" t="inlineStr">
        <is>
          <t>IN2021030231</t>
        </is>
      </c>
      <c r="O1212" s="521">
        <f>M1212=N1212</f>
        <v/>
      </c>
      <c r="P1212" s="521">
        <f>AND(MONTH(F1212)=MONTH(S1212), YEAR(F1212)=YEAR(S1212))</f>
        <v/>
      </c>
      <c r="Q1212" s="521">
        <f>U1212="L001-901905215"</f>
        <v/>
      </c>
      <c r="R1212" s="556">
        <f>G1212-W1212</f>
        <v/>
      </c>
      <c r="S1212" s="523" t="n">
        <v>44286</v>
      </c>
      <c r="T1212" s="522" t="inlineStr">
        <is>
          <t>IN202103-0231</t>
        </is>
      </c>
      <c r="U1212" s="522" t="inlineStr">
        <is>
          <t>L001-901905215</t>
        </is>
      </c>
      <c r="V1212" s="522" t="inlineStr">
        <is>
          <t>វីអ៊ីស៊ិន (ខេមបូឌា) អ៊ិនដាសស្ទ្រី ឯ.ក</t>
        </is>
      </c>
      <c r="W1212" s="556" t="n">
        <v>256858</v>
      </c>
    </row>
    <row r="1213">
      <c r="A1213" s="521" t="n">
        <v>1205</v>
      </c>
      <c r="B1213" s="522" t="inlineStr">
        <is>
          <t>Customs Clearance, Handling Fee</t>
        </is>
      </c>
      <c r="C1213" s="522" t="inlineStr">
        <is>
          <t>56ប៊ី-លីង សឹបផ្លាយ ឆេន មេនេចម៉ិន ឯ.ក</t>
        </is>
      </c>
      <c r="D1213" s="522" t="inlineStr">
        <is>
          <t>K004-902004795</t>
        </is>
      </c>
      <c r="E1213" s="521" t="inlineStr">
        <is>
          <t>IN202103-0223</t>
        </is>
      </c>
      <c r="F1213" s="523" t="n">
        <v>44286</v>
      </c>
      <c r="G1213" s="556" t="n">
        <v>268993</v>
      </c>
      <c r="I1213" s="521">
        <f>G1213</f>
        <v/>
      </c>
      <c r="K1213" s="521">
        <f>I1213-G1213</f>
        <v/>
      </c>
      <c r="M1213" s="522" t="inlineStr">
        <is>
          <t>IN2021030223</t>
        </is>
      </c>
      <c r="N1213" s="522" t="inlineStr">
        <is>
          <t>IN2021030223</t>
        </is>
      </c>
      <c r="O1213" s="521">
        <f>M1213=N1213</f>
        <v/>
      </c>
      <c r="P1213" s="521">
        <f>AND(MONTH(F1213)=MONTH(S1213), YEAR(F1213)=YEAR(S1213))</f>
        <v/>
      </c>
      <c r="Q1213" s="521">
        <f>U1213="L001-901905215"</f>
        <v/>
      </c>
      <c r="R1213" s="556">
        <f>G1213-W1213</f>
        <v/>
      </c>
      <c r="S1213" s="523" t="n">
        <v>44286</v>
      </c>
      <c r="T1213" s="522" t="inlineStr">
        <is>
          <t>IN202103-0223</t>
        </is>
      </c>
      <c r="U1213" s="522" t="inlineStr">
        <is>
          <t>L001-901905215</t>
        </is>
      </c>
      <c r="V1213" s="522" t="inlineStr">
        <is>
          <t>វីអ៊ីស៊ិន (ខេមបូឌា) អ៊ិនដាសស្ទ្រី ឯ.ក</t>
        </is>
      </c>
      <c r="W1213" s="556" t="n">
        <v>268993</v>
      </c>
    </row>
    <row r="1214">
      <c r="A1214" s="521" t="n">
        <v>1206</v>
      </c>
      <c r="B1214" s="522" t="inlineStr">
        <is>
          <t>Customs Clearance, Handling Fee</t>
        </is>
      </c>
      <c r="C1214" s="522" t="inlineStr">
        <is>
          <t>56ប៊ី-លីង សឹបផ្លាយ ឆេន មេនេចម៉ិន ឯ.ក</t>
        </is>
      </c>
      <c r="D1214" s="522" t="inlineStr">
        <is>
          <t>K004-902004795</t>
        </is>
      </c>
      <c r="E1214" s="521" t="inlineStr">
        <is>
          <t>IN202103-0222</t>
        </is>
      </c>
      <c r="F1214" s="523" t="n">
        <v>44286</v>
      </c>
      <c r="G1214" s="556" t="n">
        <v>268993</v>
      </c>
      <c r="I1214" s="521">
        <f>G1214</f>
        <v/>
      </c>
      <c r="K1214" s="521">
        <f>I1214-G1214</f>
        <v/>
      </c>
      <c r="M1214" s="522" t="inlineStr">
        <is>
          <t>IN2021030222</t>
        </is>
      </c>
      <c r="N1214" s="522" t="inlineStr">
        <is>
          <t>IN2021030222</t>
        </is>
      </c>
      <c r="O1214" s="521">
        <f>M1214=N1214</f>
        <v/>
      </c>
      <c r="P1214" s="521">
        <f>AND(MONTH(F1214)=MONTH(S1214), YEAR(F1214)=YEAR(S1214))</f>
        <v/>
      </c>
      <c r="Q1214" s="521">
        <f>U1214="L001-901905215"</f>
        <v/>
      </c>
      <c r="R1214" s="556">
        <f>G1214-W1214</f>
        <v/>
      </c>
      <c r="S1214" s="523" t="n">
        <v>44286</v>
      </c>
      <c r="T1214" s="522" t="inlineStr">
        <is>
          <t>IN202103-0222</t>
        </is>
      </c>
      <c r="U1214" s="522" t="inlineStr">
        <is>
          <t>L001-901905215</t>
        </is>
      </c>
      <c r="V1214" s="522" t="inlineStr">
        <is>
          <t>វីអ៊ីស៊ិន (ខេមបូឌា) អ៊ិនដាសស្ទ្រី ឯ.ក</t>
        </is>
      </c>
      <c r="W1214" s="556" t="n">
        <v>268993</v>
      </c>
    </row>
    <row r="1215">
      <c r="A1215" s="521" t="n">
        <v>1207</v>
      </c>
      <c r="B1215" s="522" t="inlineStr">
        <is>
          <t>Customs Clearance, Handling Fee</t>
        </is>
      </c>
      <c r="C1215" s="522" t="inlineStr">
        <is>
          <t>56ប៊ី-លីង សឹបផ្លាយ ឆេន មេនេចម៉ិន ឯ.ក</t>
        </is>
      </c>
      <c r="D1215" s="522" t="inlineStr">
        <is>
          <t>K004-902004795</t>
        </is>
      </c>
      <c r="E1215" s="521" t="inlineStr">
        <is>
          <t>IN202103-0221</t>
        </is>
      </c>
      <c r="F1215" s="523" t="n">
        <v>44286</v>
      </c>
      <c r="G1215" s="556" t="n">
        <v>268993</v>
      </c>
      <c r="I1215" s="521">
        <f>G1215</f>
        <v/>
      </c>
      <c r="K1215" s="521">
        <f>I1215-G1215</f>
        <v/>
      </c>
      <c r="M1215" s="522" t="inlineStr">
        <is>
          <t>IN2021030221</t>
        </is>
      </c>
      <c r="N1215" s="522" t="inlineStr">
        <is>
          <t>IN2021030221</t>
        </is>
      </c>
      <c r="O1215" s="521">
        <f>M1215=N1215</f>
        <v/>
      </c>
      <c r="P1215" s="521">
        <f>AND(MONTH(F1215)=MONTH(S1215), YEAR(F1215)=YEAR(S1215))</f>
        <v/>
      </c>
      <c r="Q1215" s="521">
        <f>U1215="L001-901905215"</f>
        <v/>
      </c>
      <c r="R1215" s="556">
        <f>G1215-W1215</f>
        <v/>
      </c>
      <c r="S1215" s="523" t="n">
        <v>44286</v>
      </c>
      <c r="T1215" s="522" t="inlineStr">
        <is>
          <t>IN202103-0221</t>
        </is>
      </c>
      <c r="U1215" s="522" t="inlineStr">
        <is>
          <t>L001-901905215</t>
        </is>
      </c>
      <c r="V1215" s="522" t="inlineStr">
        <is>
          <t>វីអ៊ីស៊ិន (ខេមបូឌា) អ៊ិនដាសស្ទ្រី ឯ.ក</t>
        </is>
      </c>
      <c r="W1215" s="556" t="n">
        <v>268993</v>
      </c>
    </row>
    <row r="1216">
      <c r="A1216" s="521" t="n">
        <v>1208</v>
      </c>
      <c r="B1216" s="522" t="inlineStr">
        <is>
          <t>Customs Clearance, Handling Fee</t>
        </is>
      </c>
      <c r="C1216" s="522" t="inlineStr">
        <is>
          <t>56ប៊ី-លីង សឹបផ្លាយ ឆេន មេនេចម៉ិន ឯ.ក</t>
        </is>
      </c>
      <c r="D1216" s="522" t="inlineStr">
        <is>
          <t>K004-902004795</t>
        </is>
      </c>
      <c r="E1216" s="521" t="inlineStr">
        <is>
          <t>IN202103-0219</t>
        </is>
      </c>
      <c r="F1216" s="523" t="n">
        <v>44286</v>
      </c>
      <c r="G1216" s="556" t="n">
        <v>256858</v>
      </c>
      <c r="I1216" s="521">
        <f>G1216</f>
        <v/>
      </c>
      <c r="K1216" s="521">
        <f>I1216-G1216</f>
        <v/>
      </c>
      <c r="M1216" s="522" t="inlineStr">
        <is>
          <t>IN2021030219</t>
        </is>
      </c>
      <c r="N1216" s="522" t="inlineStr">
        <is>
          <t>IN2021030219</t>
        </is>
      </c>
      <c r="O1216" s="521">
        <f>M1216=N1216</f>
        <v/>
      </c>
      <c r="P1216" s="521">
        <f>AND(MONTH(F1216)=MONTH(S1216), YEAR(F1216)=YEAR(S1216))</f>
        <v/>
      </c>
      <c r="Q1216" s="521">
        <f>U1216="L001-901905215"</f>
        <v/>
      </c>
      <c r="R1216" s="556">
        <f>G1216-W1216</f>
        <v/>
      </c>
      <c r="S1216" s="523" t="n">
        <v>44286</v>
      </c>
      <c r="T1216" s="522" t="inlineStr">
        <is>
          <t>IN202103-0219</t>
        </is>
      </c>
      <c r="U1216" s="522" t="inlineStr">
        <is>
          <t>L001-901905215</t>
        </is>
      </c>
      <c r="V1216" s="522" t="inlineStr">
        <is>
          <t>វីអ៊ីស៊ិន (ខេមបូឌា) អ៊ិនដាសស្ទ្រី ឯ.ក</t>
        </is>
      </c>
      <c r="W1216" s="556" t="n">
        <v>256858</v>
      </c>
    </row>
    <row r="1217">
      <c r="A1217" s="521" t="n">
        <v>1209</v>
      </c>
      <c r="B1217" s="522" t="inlineStr">
        <is>
          <t>Customs Clearance, Handling Fee</t>
        </is>
      </c>
      <c r="C1217" s="522" t="inlineStr">
        <is>
          <t>56ប៊ី-លីង សឹបផ្លាយ ឆេន មេនេចម៉ិន ឯ.ក</t>
        </is>
      </c>
      <c r="D1217" s="522" t="inlineStr">
        <is>
          <t>K004-902004795</t>
        </is>
      </c>
      <c r="E1217" s="521" t="inlineStr">
        <is>
          <t>IN202103-0217</t>
        </is>
      </c>
      <c r="F1217" s="523" t="n">
        <v>44286</v>
      </c>
      <c r="G1217" s="556" t="n">
        <v>169890</v>
      </c>
      <c r="I1217" s="521">
        <f>G1217</f>
        <v/>
      </c>
      <c r="K1217" s="521">
        <f>I1217-G1217</f>
        <v/>
      </c>
      <c r="M1217" s="522" t="inlineStr">
        <is>
          <t>IN2021030217</t>
        </is>
      </c>
      <c r="N1217" s="522" t="inlineStr">
        <is>
          <t>IN2021030217</t>
        </is>
      </c>
      <c r="O1217" s="521">
        <f>M1217=N1217</f>
        <v/>
      </c>
      <c r="P1217" s="521">
        <f>AND(MONTH(F1217)=MONTH(S1217), YEAR(F1217)=YEAR(S1217))</f>
        <v/>
      </c>
      <c r="Q1217" s="521">
        <f>U1217="L001-901905215"</f>
        <v/>
      </c>
      <c r="R1217" s="556">
        <f>G1217-W1217</f>
        <v/>
      </c>
      <c r="S1217" s="523" t="n">
        <v>44286</v>
      </c>
      <c r="T1217" s="522" t="inlineStr">
        <is>
          <t>IN202103-0217</t>
        </is>
      </c>
      <c r="U1217" s="522" t="inlineStr">
        <is>
          <t>L001-901905215</t>
        </is>
      </c>
      <c r="V1217" s="522" t="inlineStr">
        <is>
          <t>វីអ៊ីស៊ិន (ខេមបូឌា) អ៊ិនដាសស្ទ្រី ឯ.ក</t>
        </is>
      </c>
      <c r="W1217" s="556" t="n">
        <v>169890</v>
      </c>
    </row>
    <row r="1218">
      <c r="A1218" s="521" t="n">
        <v>1210</v>
      </c>
      <c r="B1218" s="522" t="inlineStr">
        <is>
          <t>Customs Clearance, Handling Fee</t>
        </is>
      </c>
      <c r="C1218" s="522" t="inlineStr">
        <is>
          <t>56ប៊ី-លីង សឹបផ្លាយ ឆេន មេនេចម៉ិន ឯ.ក</t>
        </is>
      </c>
      <c r="D1218" s="522" t="inlineStr">
        <is>
          <t>K004-902004795</t>
        </is>
      </c>
      <c r="E1218" s="521" t="inlineStr">
        <is>
          <t>IN202103-0215</t>
        </is>
      </c>
      <c r="F1218" s="523" t="n">
        <v>44286</v>
      </c>
      <c r="G1218" s="556" t="n">
        <v>962710</v>
      </c>
      <c r="I1218" s="521">
        <f>G1218</f>
        <v/>
      </c>
      <c r="K1218" s="521">
        <f>I1218-G1218</f>
        <v/>
      </c>
      <c r="M1218" s="522" t="inlineStr">
        <is>
          <t>IN2021030215</t>
        </is>
      </c>
      <c r="N1218" s="522" t="inlineStr">
        <is>
          <t>IN2021030215</t>
        </is>
      </c>
      <c r="O1218" s="521">
        <f>M1218=N1218</f>
        <v/>
      </c>
      <c r="P1218" s="521">
        <f>AND(MONTH(F1218)=MONTH(S1218), YEAR(F1218)=YEAR(S1218))</f>
        <v/>
      </c>
      <c r="Q1218" s="521">
        <f>U1218="L001-901905215"</f>
        <v/>
      </c>
      <c r="R1218" s="556">
        <f>G1218-W1218</f>
        <v/>
      </c>
      <c r="S1218" s="523" t="n">
        <v>44286</v>
      </c>
      <c r="T1218" s="522" t="inlineStr">
        <is>
          <t>IN202103-0215</t>
        </is>
      </c>
      <c r="U1218" s="522" t="inlineStr">
        <is>
          <t>L001-901905215</t>
        </is>
      </c>
      <c r="V1218" s="522" t="inlineStr">
        <is>
          <t>វីអ៊ីស៊ិន (ខេមបូឌា) អ៊ិនដាសស្ទ្រី ឯ.ក</t>
        </is>
      </c>
      <c r="W1218" s="556" t="n">
        <v>962710</v>
      </c>
    </row>
    <row r="1219">
      <c r="A1219" s="521" t="n">
        <v>1211</v>
      </c>
      <c r="B1219" s="522" t="inlineStr">
        <is>
          <t>Customs Clearance, Handling Fee</t>
        </is>
      </c>
      <c r="C1219" s="522" t="inlineStr">
        <is>
          <t>56ប៊ី-លីង សឹបផ្លាយ ឆេន មេនេចម៉ិន ឯ.ក</t>
        </is>
      </c>
      <c r="D1219" s="522" t="inlineStr">
        <is>
          <t>K004-902004795</t>
        </is>
      </c>
      <c r="E1219" s="521" t="inlineStr">
        <is>
          <t>IN202103-0209</t>
        </is>
      </c>
      <c r="F1219" s="523" t="n">
        <v>44286</v>
      </c>
      <c r="G1219" s="556" t="n">
        <v>268993</v>
      </c>
      <c r="I1219" s="521">
        <f>G1219</f>
        <v/>
      </c>
      <c r="K1219" s="521">
        <f>I1219-G1219</f>
        <v/>
      </c>
      <c r="M1219" s="522" t="inlineStr">
        <is>
          <t>IN2021030209</t>
        </is>
      </c>
      <c r="N1219" s="522" t="inlineStr">
        <is>
          <t>IN2021030209</t>
        </is>
      </c>
      <c r="O1219" s="521">
        <f>M1219=N1219</f>
        <v/>
      </c>
      <c r="P1219" s="521">
        <f>AND(MONTH(F1219)=MONTH(S1219), YEAR(F1219)=YEAR(S1219))</f>
        <v/>
      </c>
      <c r="Q1219" s="521">
        <f>U1219="L001-901905215"</f>
        <v/>
      </c>
      <c r="R1219" s="556">
        <f>G1219-W1219</f>
        <v/>
      </c>
      <c r="S1219" s="523" t="n">
        <v>44286</v>
      </c>
      <c r="T1219" s="522" t="inlineStr">
        <is>
          <t>IN202103-0209</t>
        </is>
      </c>
      <c r="U1219" s="522" t="inlineStr">
        <is>
          <t>L001-901905215</t>
        </is>
      </c>
      <c r="V1219" s="522" t="inlineStr">
        <is>
          <t>វីអ៊ីស៊ិន (ខេមបូឌា) អ៊ិនដាសស្ទ្រី ឯ.ក</t>
        </is>
      </c>
      <c r="W1219" s="556" t="n">
        <v>268993</v>
      </c>
    </row>
    <row r="1220">
      <c r="A1220" s="521" t="n">
        <v>1212</v>
      </c>
      <c r="B1220" s="522" t="inlineStr">
        <is>
          <t>Customs Clearance, Handling Fee</t>
        </is>
      </c>
      <c r="C1220" s="522" t="inlineStr">
        <is>
          <t>56ប៊ី-លីង សឹបផ្លាយ ឆេន មេនេចម៉ិន ឯ.ក</t>
        </is>
      </c>
      <c r="D1220" s="522" t="inlineStr">
        <is>
          <t>K004-902004795</t>
        </is>
      </c>
      <c r="E1220" s="521" t="inlineStr">
        <is>
          <t>IN202103-0208</t>
        </is>
      </c>
      <c r="F1220" s="523" t="n">
        <v>44286</v>
      </c>
      <c r="G1220" s="556" t="n">
        <v>206295</v>
      </c>
      <c r="I1220" s="521">
        <f>G1220</f>
        <v/>
      </c>
      <c r="K1220" s="521">
        <f>I1220-G1220</f>
        <v/>
      </c>
      <c r="M1220" s="522" t="inlineStr">
        <is>
          <t>IN2021030208</t>
        </is>
      </c>
      <c r="N1220" s="522" t="inlineStr">
        <is>
          <t>IN2021030208</t>
        </is>
      </c>
      <c r="O1220" s="521">
        <f>M1220=N1220</f>
        <v/>
      </c>
      <c r="P1220" s="521">
        <f>AND(MONTH(F1220)=MONTH(S1220), YEAR(F1220)=YEAR(S1220))</f>
        <v/>
      </c>
      <c r="Q1220" s="521">
        <f>U1220="L001-901905215"</f>
        <v/>
      </c>
      <c r="R1220" s="556">
        <f>G1220-W1220</f>
        <v/>
      </c>
      <c r="S1220" s="523" t="n">
        <v>44286</v>
      </c>
      <c r="T1220" s="522" t="inlineStr">
        <is>
          <t>IN202103-0208</t>
        </is>
      </c>
      <c r="U1220" s="522" t="inlineStr">
        <is>
          <t>L001-901905215</t>
        </is>
      </c>
      <c r="V1220" s="522" t="inlineStr">
        <is>
          <t>វីអ៊ីស៊ិន (ខេមបូឌា) អ៊ិនដាសស្ទ្រី ឯ.ក</t>
        </is>
      </c>
      <c r="W1220" s="556" t="n">
        <v>206295</v>
      </c>
    </row>
    <row r="1221">
      <c r="A1221" s="521" t="n">
        <v>1213</v>
      </c>
      <c r="B1221" s="522" t="inlineStr">
        <is>
          <t>Customs Clearance, Handling Fee</t>
        </is>
      </c>
      <c r="C1221" s="522" t="inlineStr">
        <is>
          <t>56ប៊ី-លីង សឹបផ្លាយ ឆេន មេនេចម៉ិន ឯ.ក</t>
        </is>
      </c>
      <c r="D1221" s="522" t="inlineStr">
        <is>
          <t>K004-902004795</t>
        </is>
      </c>
      <c r="E1221" s="521" t="inlineStr">
        <is>
          <t>IN202103-0207</t>
        </is>
      </c>
      <c r="F1221" s="523" t="n">
        <v>44286</v>
      </c>
      <c r="G1221" s="556" t="n">
        <v>206295</v>
      </c>
      <c r="I1221" s="521">
        <f>G1221</f>
        <v/>
      </c>
      <c r="K1221" s="521">
        <f>I1221-G1221</f>
        <v/>
      </c>
      <c r="M1221" s="522" t="inlineStr">
        <is>
          <t>IN2021030207</t>
        </is>
      </c>
      <c r="N1221" s="522" t="inlineStr">
        <is>
          <t>IN2021030207</t>
        </is>
      </c>
      <c r="O1221" s="521">
        <f>M1221=N1221</f>
        <v/>
      </c>
      <c r="P1221" s="521">
        <f>AND(MONTH(F1221)=MONTH(S1221), YEAR(F1221)=YEAR(S1221))</f>
        <v/>
      </c>
      <c r="Q1221" s="521">
        <f>U1221="L001-901905215"</f>
        <v/>
      </c>
      <c r="R1221" s="556">
        <f>G1221-W1221</f>
        <v/>
      </c>
      <c r="S1221" s="523" t="n">
        <v>44286</v>
      </c>
      <c r="T1221" s="522" t="inlineStr">
        <is>
          <t>IN202103-0207</t>
        </is>
      </c>
      <c r="U1221" s="522" t="inlineStr">
        <is>
          <t>L001-901905215</t>
        </is>
      </c>
      <c r="V1221" s="522" t="inlineStr">
        <is>
          <t>វីអ៊ីស៊ិន (ខេមបូឌា) អ៊ិនដាសស្ទ្រី ឯ.ក</t>
        </is>
      </c>
      <c r="W1221" s="556" t="n">
        <v>206295</v>
      </c>
    </row>
    <row r="1222">
      <c r="A1222" s="521" t="n">
        <v>1214</v>
      </c>
      <c r="B1222" s="522" t="inlineStr">
        <is>
          <t>Customs Clearance, Handling Fee</t>
        </is>
      </c>
      <c r="C1222" s="522" t="inlineStr">
        <is>
          <t>56ប៊ី-លីង សឹបផ្លាយ ឆេន មេនេចម៉ិន ឯ.ក</t>
        </is>
      </c>
      <c r="D1222" s="522" t="inlineStr">
        <is>
          <t>K004-902004795</t>
        </is>
      </c>
      <c r="E1222" s="521" t="inlineStr">
        <is>
          <t>IN202103-0206</t>
        </is>
      </c>
      <c r="F1222" s="523" t="n">
        <v>44286</v>
      </c>
      <c r="G1222" s="556" t="n">
        <v>206295</v>
      </c>
      <c r="I1222" s="521">
        <f>G1222</f>
        <v/>
      </c>
      <c r="K1222" s="521">
        <f>I1222-G1222</f>
        <v/>
      </c>
      <c r="M1222" s="522" t="inlineStr">
        <is>
          <t>IN2021030206</t>
        </is>
      </c>
      <c r="N1222" s="522" t="inlineStr">
        <is>
          <t>IN2021030206</t>
        </is>
      </c>
      <c r="O1222" s="521">
        <f>M1222=N1222</f>
        <v/>
      </c>
      <c r="P1222" s="521">
        <f>AND(MONTH(F1222)=MONTH(S1222), YEAR(F1222)=YEAR(S1222))</f>
        <v/>
      </c>
      <c r="Q1222" s="521">
        <f>U1222="L001-901905215"</f>
        <v/>
      </c>
      <c r="R1222" s="556">
        <f>G1222-W1222</f>
        <v/>
      </c>
      <c r="S1222" s="523" t="n">
        <v>44286</v>
      </c>
      <c r="T1222" s="522" t="inlineStr">
        <is>
          <t>IN202103-0206</t>
        </is>
      </c>
      <c r="U1222" s="522" t="inlineStr">
        <is>
          <t>L001-901905215</t>
        </is>
      </c>
      <c r="V1222" s="522" t="inlineStr">
        <is>
          <t>វីអ៊ីស៊ិន (ខេមបូឌា) អ៊ិនដាសស្ទ្រី ឯ.ក</t>
        </is>
      </c>
      <c r="W1222" s="556" t="n">
        <v>206295</v>
      </c>
    </row>
    <row r="1223">
      <c r="A1223" s="521" t="n">
        <v>1215</v>
      </c>
      <c r="B1223" s="522" t="inlineStr">
        <is>
          <t>Customs Clearance, Handling Fee</t>
        </is>
      </c>
      <c r="C1223" s="522" t="inlineStr">
        <is>
          <t>56ប៊ី-លីង សឹបផ្លាយ ឆេន មេនេចម៉ិន ឯ.ក</t>
        </is>
      </c>
      <c r="D1223" s="522" t="inlineStr">
        <is>
          <t>K004-902004795</t>
        </is>
      </c>
      <c r="E1223" s="521" t="inlineStr">
        <is>
          <t>IN202103-0198</t>
        </is>
      </c>
      <c r="F1223" s="523" t="n">
        <v>44286</v>
      </c>
      <c r="G1223" s="556" t="n">
        <v>268993</v>
      </c>
      <c r="I1223" s="521">
        <f>G1223</f>
        <v/>
      </c>
      <c r="K1223" s="521">
        <f>I1223-G1223</f>
        <v/>
      </c>
      <c r="M1223" s="522" t="inlineStr">
        <is>
          <t>IN2021030198</t>
        </is>
      </c>
      <c r="N1223" s="522" t="inlineStr">
        <is>
          <t>IN2021030198</t>
        </is>
      </c>
      <c r="O1223" s="521">
        <f>M1223=N1223</f>
        <v/>
      </c>
      <c r="P1223" s="521">
        <f>AND(MONTH(F1223)=MONTH(S1223), YEAR(F1223)=YEAR(S1223))</f>
        <v/>
      </c>
      <c r="Q1223" s="521">
        <f>U1223="L001-901905215"</f>
        <v/>
      </c>
      <c r="R1223" s="556">
        <f>G1223-W1223</f>
        <v/>
      </c>
      <c r="S1223" s="523" t="n">
        <v>44286</v>
      </c>
      <c r="T1223" s="522" t="inlineStr">
        <is>
          <t>IN202103-0198</t>
        </is>
      </c>
      <c r="U1223" s="522" t="inlineStr">
        <is>
          <t>L001-901905215</t>
        </is>
      </c>
      <c r="V1223" s="522" t="inlineStr">
        <is>
          <t>វីអ៊ីស៊ិន (ខេមបូឌា) អ៊ិនដាសស្ទ្រី ឯ.ក</t>
        </is>
      </c>
      <c r="W1223" s="556" t="n">
        <v>268993</v>
      </c>
    </row>
    <row r="1224">
      <c r="A1224" s="521" t="n">
        <v>1216</v>
      </c>
      <c r="B1224" s="522" t="inlineStr">
        <is>
          <t>Customs Clearance, Handling Fee</t>
        </is>
      </c>
      <c r="C1224" s="522" t="inlineStr">
        <is>
          <t>56ប៊ី-លីង សឹបផ្លាយ ឆេន មេនេចម៉ិន ឯ.ក</t>
        </is>
      </c>
      <c r="D1224" s="522" t="inlineStr">
        <is>
          <t>K004-902004795</t>
        </is>
      </c>
      <c r="E1224" s="521" t="inlineStr">
        <is>
          <t>IN202103-0191</t>
        </is>
      </c>
      <c r="F1224" s="523" t="n">
        <v>44286</v>
      </c>
      <c r="G1224" s="556" t="n">
        <v>206295</v>
      </c>
      <c r="I1224" s="521">
        <f>G1224</f>
        <v/>
      </c>
      <c r="K1224" s="521">
        <f>I1224-G1224</f>
        <v/>
      </c>
      <c r="M1224" s="522" t="inlineStr">
        <is>
          <t>IN2021030191</t>
        </is>
      </c>
      <c r="N1224" s="522" t="inlineStr">
        <is>
          <t>IN2021030191</t>
        </is>
      </c>
      <c r="O1224" s="521">
        <f>M1224=N1224</f>
        <v/>
      </c>
      <c r="P1224" s="521">
        <f>AND(MONTH(F1224)=MONTH(S1224), YEAR(F1224)=YEAR(S1224))</f>
        <v/>
      </c>
      <c r="Q1224" s="521">
        <f>U1224="L001-901905215"</f>
        <v/>
      </c>
      <c r="R1224" s="556">
        <f>G1224-W1224</f>
        <v/>
      </c>
      <c r="S1224" s="523" t="n">
        <v>44286</v>
      </c>
      <c r="T1224" s="522" t="inlineStr">
        <is>
          <t>IN202103-0191</t>
        </is>
      </c>
      <c r="U1224" s="522" t="inlineStr">
        <is>
          <t>L001-901905215</t>
        </is>
      </c>
      <c r="V1224" s="522" t="inlineStr">
        <is>
          <t>វីអ៊ីស៊ិន (ខេមបូឌា) អ៊ិនដាសស្ទ្រី ឯ.ក</t>
        </is>
      </c>
      <c r="W1224" s="556" t="n">
        <v>206295</v>
      </c>
    </row>
    <row r="1225">
      <c r="A1225" s="521" t="n">
        <v>1217</v>
      </c>
      <c r="B1225" s="522" t="inlineStr">
        <is>
          <t>Customs Clearance, Handling Fee</t>
        </is>
      </c>
      <c r="C1225" s="522" t="inlineStr">
        <is>
          <t>56ប៊ី-លីង សឹបផ្លាយ ឆេន មេនេចម៉ិន ឯ.ក</t>
        </is>
      </c>
      <c r="D1225" s="522" t="inlineStr">
        <is>
          <t>K004-902004795</t>
        </is>
      </c>
      <c r="E1225" s="521" t="inlineStr">
        <is>
          <t>IN202103-0189</t>
        </is>
      </c>
      <c r="F1225" s="523" t="n">
        <v>44286</v>
      </c>
      <c r="G1225" s="556" t="n">
        <v>268993</v>
      </c>
      <c r="I1225" s="521">
        <f>G1225</f>
        <v/>
      </c>
      <c r="K1225" s="521">
        <f>I1225-G1225</f>
        <v/>
      </c>
      <c r="M1225" s="522" t="inlineStr">
        <is>
          <t>IN2021030189</t>
        </is>
      </c>
      <c r="N1225" s="522" t="inlineStr">
        <is>
          <t>IN2021030189</t>
        </is>
      </c>
      <c r="O1225" s="521">
        <f>M1225=N1225</f>
        <v/>
      </c>
      <c r="P1225" s="521">
        <f>AND(MONTH(F1225)=MONTH(S1225), YEAR(F1225)=YEAR(S1225))</f>
        <v/>
      </c>
      <c r="Q1225" s="521">
        <f>U1225="L001-901905215"</f>
        <v/>
      </c>
      <c r="R1225" s="556">
        <f>G1225-W1225</f>
        <v/>
      </c>
      <c r="S1225" s="523" t="n">
        <v>44286</v>
      </c>
      <c r="T1225" s="522" t="inlineStr">
        <is>
          <t>IN202103-0189</t>
        </is>
      </c>
      <c r="U1225" s="522" t="inlineStr">
        <is>
          <t>L001-901905215</t>
        </is>
      </c>
      <c r="V1225" s="522" t="inlineStr">
        <is>
          <t>វីអ៊ីស៊ិន (ខេមបូឌា) អ៊ិនដាសស្ទ្រី ឯ.ក</t>
        </is>
      </c>
      <c r="W1225" s="556" t="n">
        <v>268993</v>
      </c>
    </row>
    <row r="1226">
      <c r="A1226" s="521" t="n">
        <v>1218</v>
      </c>
      <c r="B1226" s="522" t="inlineStr">
        <is>
          <t>Customs Clearance, Handling Fee</t>
        </is>
      </c>
      <c r="C1226" s="522" t="inlineStr">
        <is>
          <t>56ប៊ី-លីង សឹបផ្លាយ ឆេន មេនេចម៉ិន ឯ.ក</t>
        </is>
      </c>
      <c r="D1226" s="522" t="inlineStr">
        <is>
          <t>K004-902004795</t>
        </is>
      </c>
      <c r="E1226" s="521" t="inlineStr">
        <is>
          <t>IN202103-0185</t>
        </is>
      </c>
      <c r="F1226" s="523" t="n">
        <v>44286</v>
      </c>
      <c r="G1226" s="556" t="n">
        <v>206295</v>
      </c>
      <c r="I1226" s="521">
        <f>G1226</f>
        <v/>
      </c>
      <c r="K1226" s="521">
        <f>I1226-G1226</f>
        <v/>
      </c>
      <c r="M1226" s="522" t="inlineStr">
        <is>
          <t>IN2021030185</t>
        </is>
      </c>
      <c r="N1226" s="522" t="inlineStr">
        <is>
          <t>IN2021030185</t>
        </is>
      </c>
      <c r="O1226" s="521">
        <f>M1226=N1226</f>
        <v/>
      </c>
      <c r="P1226" s="521">
        <f>AND(MONTH(F1226)=MONTH(S1226), YEAR(F1226)=YEAR(S1226))</f>
        <v/>
      </c>
      <c r="Q1226" s="521">
        <f>U1226="L001-901905215"</f>
        <v/>
      </c>
      <c r="R1226" s="556">
        <f>G1226-W1226</f>
        <v/>
      </c>
      <c r="S1226" s="523" t="n">
        <v>44286</v>
      </c>
      <c r="T1226" s="522" t="inlineStr">
        <is>
          <t>IN202103-0185</t>
        </is>
      </c>
      <c r="U1226" s="522" t="inlineStr">
        <is>
          <t>L001-901905215</t>
        </is>
      </c>
      <c r="V1226" s="522" t="inlineStr">
        <is>
          <t>វីអ៊ីស៊ិន (ខេមបូឌា) អ៊ិនដាសស្ទ្រី ឯ.ក</t>
        </is>
      </c>
      <c r="W1226" s="556" t="n">
        <v>206295</v>
      </c>
    </row>
    <row r="1227">
      <c r="A1227" s="521" t="n">
        <v>1219</v>
      </c>
      <c r="B1227" s="522" t="inlineStr">
        <is>
          <t>Customs Clearance, Handling Fee</t>
        </is>
      </c>
      <c r="C1227" s="522" t="inlineStr">
        <is>
          <t>56ប៊ី-លីង សឹបផ្លាយ ឆេន មេនេចម៉ិន ឯ.ក</t>
        </is>
      </c>
      <c r="D1227" s="522" t="inlineStr">
        <is>
          <t>K004-902004795</t>
        </is>
      </c>
      <c r="E1227" s="521" t="inlineStr">
        <is>
          <t>IN202103-0183</t>
        </is>
      </c>
      <c r="F1227" s="523" t="n">
        <v>44286</v>
      </c>
      <c r="G1227" s="556" t="n">
        <v>268993</v>
      </c>
      <c r="I1227" s="521">
        <f>G1227</f>
        <v/>
      </c>
      <c r="K1227" s="521">
        <f>I1227-G1227</f>
        <v/>
      </c>
      <c r="M1227" s="522" t="inlineStr">
        <is>
          <t>IN2021030183</t>
        </is>
      </c>
      <c r="N1227" s="522" t="inlineStr">
        <is>
          <t>IN2021030183</t>
        </is>
      </c>
      <c r="O1227" s="521">
        <f>M1227=N1227</f>
        <v/>
      </c>
      <c r="P1227" s="521">
        <f>AND(MONTH(F1227)=MONTH(S1227), YEAR(F1227)=YEAR(S1227))</f>
        <v/>
      </c>
      <c r="Q1227" s="521">
        <f>U1227="L001-901905215"</f>
        <v/>
      </c>
      <c r="R1227" s="556">
        <f>G1227-W1227</f>
        <v/>
      </c>
      <c r="S1227" s="523" t="n">
        <v>44286</v>
      </c>
      <c r="T1227" s="522" t="inlineStr">
        <is>
          <t>IN202103-0183</t>
        </is>
      </c>
      <c r="U1227" s="522" t="inlineStr">
        <is>
          <t>L001-901905215</t>
        </is>
      </c>
      <c r="V1227" s="522" t="inlineStr">
        <is>
          <t>វីអ៊ីស៊ិន (ខេមបូឌា) អ៊ិនដាសស្ទ្រី ឯ.ក</t>
        </is>
      </c>
      <c r="W1227" s="556" t="n">
        <v>268993</v>
      </c>
    </row>
    <row r="1228">
      <c r="A1228" s="521" t="n">
        <v>1220</v>
      </c>
      <c r="B1228" s="522" t="inlineStr">
        <is>
          <t>Customs Clearance, Handling Fee</t>
        </is>
      </c>
      <c r="C1228" s="522" t="inlineStr">
        <is>
          <t>56ប៊ី-លីង សឹបផ្លាយ ឆេន មេនេចម៉ិន ឯ.ក</t>
        </is>
      </c>
      <c r="D1228" s="522" t="inlineStr">
        <is>
          <t>K004-902004795</t>
        </is>
      </c>
      <c r="E1228" s="521" t="inlineStr">
        <is>
          <t>IN202103-0179</t>
        </is>
      </c>
      <c r="F1228" s="523" t="n">
        <v>44286</v>
      </c>
      <c r="G1228" s="556" t="n">
        <v>268993</v>
      </c>
      <c r="I1228" s="521">
        <f>G1228</f>
        <v/>
      </c>
      <c r="K1228" s="521">
        <f>I1228-G1228</f>
        <v/>
      </c>
      <c r="M1228" s="522" t="inlineStr">
        <is>
          <t>IN2021030179</t>
        </is>
      </c>
      <c r="N1228" s="522" t="inlineStr">
        <is>
          <t>IN2021030179</t>
        </is>
      </c>
      <c r="O1228" s="521">
        <f>M1228=N1228</f>
        <v/>
      </c>
      <c r="P1228" s="521">
        <f>AND(MONTH(F1228)=MONTH(S1228), YEAR(F1228)=YEAR(S1228))</f>
        <v/>
      </c>
      <c r="Q1228" s="521">
        <f>U1228="L001-901905215"</f>
        <v/>
      </c>
      <c r="R1228" s="556">
        <f>G1228-W1228</f>
        <v/>
      </c>
      <c r="S1228" s="523" t="n">
        <v>44286</v>
      </c>
      <c r="T1228" s="522" t="inlineStr">
        <is>
          <t>IN202103-0179</t>
        </is>
      </c>
      <c r="U1228" s="522" t="inlineStr">
        <is>
          <t>L001-901905215</t>
        </is>
      </c>
      <c r="V1228" s="522" t="inlineStr">
        <is>
          <t>វីអ៊ីស៊ិន (ខេមបូឌា) អ៊ិនដាសស្ទ្រី ឯ.ក</t>
        </is>
      </c>
      <c r="W1228" s="556" t="n">
        <v>268993</v>
      </c>
    </row>
    <row r="1229">
      <c r="A1229" s="521" t="n">
        <v>1221</v>
      </c>
      <c r="B1229" s="522" t="inlineStr">
        <is>
          <t>lift on empty</t>
        </is>
      </c>
      <c r="C1229" s="522" t="inlineStr">
        <is>
          <t>ហុង ឡេង ហួរ</t>
        </is>
      </c>
      <c r="D1229" s="522" t="inlineStr">
        <is>
          <t>L001-100068901</t>
        </is>
      </c>
      <c r="E1229" s="521" t="inlineStr">
        <is>
          <t>DPS159254</t>
        </is>
      </c>
      <c r="F1229" s="523" t="n">
        <v>44280</v>
      </c>
      <c r="G1229" s="556" t="n">
        <v>7355</v>
      </c>
      <c r="I1229" s="521">
        <f>G1229</f>
        <v/>
      </c>
      <c r="K1229" s="521">
        <f>I1229-G1229</f>
        <v/>
      </c>
      <c r="M1229" s="522" t="inlineStr">
        <is>
          <t>DPS159254</t>
        </is>
      </c>
      <c r="N1229" s="522" t="inlineStr"/>
      <c r="O1229" s="521">
        <f>M1229=N1229</f>
        <v/>
      </c>
      <c r="P1229" s="521">
        <f>AND(MONTH(F1229)=MONTH(S1229), YEAR(F1229)=YEAR(S1229))</f>
        <v/>
      </c>
      <c r="Q1229" s="521">
        <f>U1229="L001-901905215"</f>
        <v/>
      </c>
      <c r="R1229" s="556">
        <f>G1229-W1229</f>
        <v/>
      </c>
      <c r="S1229" s="521" t="n"/>
      <c r="T1229" s="522" t="n"/>
      <c r="U1229" s="522" t="n"/>
      <c r="V1229" s="522" t="n"/>
      <c r="W1229" s="521" t="n"/>
    </row>
    <row r="1230">
      <c r="A1230" s="521" t="n">
        <v>1222</v>
      </c>
      <c r="B1230" s="522" t="inlineStr">
        <is>
          <t>lift on empty</t>
        </is>
      </c>
      <c r="C1230" s="522" t="inlineStr">
        <is>
          <t>ហុង ឡេង ហួរ</t>
        </is>
      </c>
      <c r="D1230" s="522" t="inlineStr">
        <is>
          <t>L001-100068901</t>
        </is>
      </c>
      <c r="E1230" s="521" t="inlineStr">
        <is>
          <t>DPS19158024</t>
        </is>
      </c>
      <c r="F1230" s="523" t="n">
        <v>44259</v>
      </c>
      <c r="G1230" s="556" t="n">
        <v>7398</v>
      </c>
      <c r="I1230" s="521">
        <f>G1230</f>
        <v/>
      </c>
      <c r="K1230" s="521">
        <f>I1230-G1230</f>
        <v/>
      </c>
      <c r="M1230" s="522" t="inlineStr">
        <is>
          <t>DPS19158024</t>
        </is>
      </c>
      <c r="N1230" s="522" t="inlineStr"/>
      <c r="O1230" s="521">
        <f>M1230=N1230</f>
        <v/>
      </c>
      <c r="P1230" s="521">
        <f>AND(MONTH(F1230)=MONTH(S1230), YEAR(F1230)=YEAR(S1230))</f>
        <v/>
      </c>
      <c r="Q1230" s="521">
        <f>U1230="L001-901905215"</f>
        <v/>
      </c>
      <c r="R1230" s="556">
        <f>G1230-W1230</f>
        <v/>
      </c>
      <c r="S1230" s="521" t="n"/>
      <c r="T1230" s="522" t="n"/>
      <c r="U1230" s="522" t="n"/>
      <c r="V1230" s="522" t="n"/>
      <c r="W1230" s="521" t="n"/>
    </row>
    <row r="1231">
      <c r="A1231" s="521" t="n">
        <v>1223</v>
      </c>
      <c r="B1231" s="522" t="inlineStr">
        <is>
          <t>Monthly Tax Declaration for Feb 2021</t>
        </is>
      </c>
      <c r="C1231" s="522" t="inlineStr">
        <is>
          <t>យីងកឺ ខេម ថេក អ៊ែតវ៉ាយហ្សឺរី ឯ.ក</t>
        </is>
      </c>
      <c r="D1231" s="522" t="inlineStr">
        <is>
          <t>K003-902005313</t>
        </is>
      </c>
      <c r="E1231" s="521" t="inlineStr">
        <is>
          <t>YKT21-025</t>
        </is>
      </c>
      <c r="F1231" s="523" t="n">
        <v>44286</v>
      </c>
      <c r="G1231" s="556" t="n">
        <v>239614</v>
      </c>
      <c r="I1231" s="521">
        <f>G1231</f>
        <v/>
      </c>
      <c r="K1231" s="521">
        <f>I1231-G1231</f>
        <v/>
      </c>
      <c r="M1231" s="522" t="inlineStr">
        <is>
          <t>YKT21025</t>
        </is>
      </c>
      <c r="N1231" s="522" t="inlineStr">
        <is>
          <t>YKT21025</t>
        </is>
      </c>
      <c r="O1231" s="521">
        <f>M1231=N1231</f>
        <v/>
      </c>
      <c r="P1231" s="521">
        <f>AND(MONTH(F1231)=MONTH(S1231), YEAR(F1231)=YEAR(S1231))</f>
        <v/>
      </c>
      <c r="Q1231" s="521">
        <f>U1231="L001-901905215"</f>
        <v/>
      </c>
      <c r="R1231" s="556">
        <f>G1231-W1231</f>
        <v/>
      </c>
      <c r="S1231" s="523" t="n">
        <v>44264</v>
      </c>
      <c r="T1231" s="522" t="inlineStr">
        <is>
          <t>YKT21-025</t>
        </is>
      </c>
      <c r="U1231" s="522" t="inlineStr">
        <is>
          <t>L001-901905215</t>
        </is>
      </c>
      <c r="V1231" s="522" t="inlineStr">
        <is>
          <t>វីអ៊ីស៊ិន (ខេមបូឌា) អ៊ិនដាសស្ទ្រី ឯ.ក</t>
        </is>
      </c>
      <c r="W1231" s="556" t="n">
        <v>239614</v>
      </c>
    </row>
    <row r="1232">
      <c r="A1232" s="521" t="n">
        <v>1224</v>
      </c>
      <c r="B1232" s="522" t="inlineStr">
        <is>
          <t>Lift-Off</t>
        </is>
      </c>
      <c r="C1232" s="522" t="inlineStr">
        <is>
          <t>កំពង់ផែស្វយ័តភ្នំពេញ "ក.ស.ភ"</t>
        </is>
      </c>
      <c r="D1232" s="522" t="inlineStr">
        <is>
          <t>L001-100044999</t>
        </is>
      </c>
      <c r="E1232" s="521" t="inlineStr">
        <is>
          <t>INV20210313955</t>
        </is>
      </c>
      <c r="F1232" s="523" t="n">
        <v>44270</v>
      </c>
      <c r="G1232" s="556" t="n">
        <v>29196</v>
      </c>
      <c r="I1232" s="521">
        <f>G1232</f>
        <v/>
      </c>
      <c r="K1232" s="521">
        <f>I1232-G1232</f>
        <v/>
      </c>
      <c r="M1232" s="522" t="inlineStr">
        <is>
          <t>INV20210313955</t>
        </is>
      </c>
      <c r="N1232" s="522" t="inlineStr"/>
      <c r="O1232" s="521">
        <f>M1232=N1232</f>
        <v/>
      </c>
      <c r="P1232" s="521">
        <f>AND(MONTH(F1232)=MONTH(S1232), YEAR(F1232)=YEAR(S1232))</f>
        <v/>
      </c>
      <c r="Q1232" s="521">
        <f>U1232="L001-901905215"</f>
        <v/>
      </c>
      <c r="R1232" s="556">
        <f>G1232-W1232</f>
        <v/>
      </c>
      <c r="S1232" s="521" t="n"/>
      <c r="T1232" s="522" t="n"/>
      <c r="U1232" s="522" t="n"/>
      <c r="V1232" s="522" t="n"/>
      <c r="W1232" s="521" t="n"/>
    </row>
    <row r="1233">
      <c r="A1233" s="521" t="n">
        <v>1225</v>
      </c>
      <c r="B1233" s="522" t="inlineStr">
        <is>
          <t>Customs Clearance, Handling Fee</t>
        </is>
      </c>
      <c r="C1233" s="522" t="inlineStr">
        <is>
          <t>56ប៊ី-លីង សឹបផ្លាយ ឆេន មេនេចម៉ិន ឯ.ក</t>
        </is>
      </c>
      <c r="D1233" s="522" t="inlineStr">
        <is>
          <t>K004-902004795</t>
        </is>
      </c>
      <c r="E1233" s="521" t="inlineStr">
        <is>
          <t>IN202103-0201</t>
        </is>
      </c>
      <c r="F1233" s="523" t="n">
        <v>44286</v>
      </c>
      <c r="G1233" s="556" t="n">
        <v>268992</v>
      </c>
      <c r="I1233" s="521">
        <f>G1233</f>
        <v/>
      </c>
      <c r="K1233" s="521">
        <f>I1233-G1233</f>
        <v/>
      </c>
      <c r="M1233" s="522" t="inlineStr">
        <is>
          <t>IN2021030201</t>
        </is>
      </c>
      <c r="N1233" s="522" t="inlineStr">
        <is>
          <t>IN2021030201</t>
        </is>
      </c>
      <c r="O1233" s="521">
        <f>M1233=N1233</f>
        <v/>
      </c>
      <c r="P1233" s="521">
        <f>AND(MONTH(F1233)=MONTH(S1233), YEAR(F1233)=YEAR(S1233))</f>
        <v/>
      </c>
      <c r="Q1233" s="521">
        <f>U1233="L001-901905215"</f>
        <v/>
      </c>
      <c r="R1233" s="556">
        <f>G1233-W1233</f>
        <v/>
      </c>
      <c r="S1233" s="523" t="n">
        <v>44286</v>
      </c>
      <c r="T1233" s="522" t="inlineStr">
        <is>
          <t>IN202103-0201</t>
        </is>
      </c>
      <c r="U1233" s="522" t="inlineStr">
        <is>
          <t>L001-901905215</t>
        </is>
      </c>
      <c r="V1233" s="522" t="inlineStr">
        <is>
          <t>វីអ៊ីស៊ិន (ខេមបូឌា) អ៊ិនដាសស្ទ្រី ឯ.ក</t>
        </is>
      </c>
      <c r="W1233" s="556" t="n">
        <v>268993</v>
      </c>
    </row>
    <row r="1234">
      <c r="A1234" s="521" t="n">
        <v>1226</v>
      </c>
      <c r="B1234" s="522" t="inlineStr">
        <is>
          <t>Lift-Off</t>
        </is>
      </c>
      <c r="C1234" s="522" t="inlineStr">
        <is>
          <t>កំពង់ផែស្វយ័តភ្នំពេញ "ក.ស.ភ"</t>
        </is>
      </c>
      <c r="D1234" s="522" t="inlineStr">
        <is>
          <t>L001-100044999</t>
        </is>
      </c>
      <c r="E1234" s="521" t="inlineStr">
        <is>
          <t>INV20210313956</t>
        </is>
      </c>
      <c r="F1234" s="523" t="n">
        <v>44270</v>
      </c>
      <c r="G1234" s="556" t="n">
        <v>29196</v>
      </c>
      <c r="I1234" s="521">
        <f>G1234</f>
        <v/>
      </c>
      <c r="K1234" s="521">
        <f>I1234-G1234</f>
        <v/>
      </c>
      <c r="M1234" s="522" t="inlineStr">
        <is>
          <t>INV20210313956</t>
        </is>
      </c>
      <c r="N1234" s="522" t="inlineStr"/>
      <c r="O1234" s="521">
        <f>M1234=N1234</f>
        <v/>
      </c>
      <c r="P1234" s="521">
        <f>AND(MONTH(F1234)=MONTH(S1234), YEAR(F1234)=YEAR(S1234))</f>
        <v/>
      </c>
      <c r="Q1234" s="521">
        <f>U1234="L001-901905215"</f>
        <v/>
      </c>
      <c r="R1234" s="556">
        <f>G1234-W1234</f>
        <v/>
      </c>
      <c r="S1234" s="521" t="n"/>
      <c r="T1234" s="522" t="n"/>
      <c r="U1234" s="522" t="n"/>
      <c r="V1234" s="522" t="n"/>
      <c r="W1234" s="521" t="n"/>
    </row>
    <row r="1235">
      <c r="A1235" s="521" t="n">
        <v>1227</v>
      </c>
      <c r="B1235" s="522" t="inlineStr">
        <is>
          <t>Customs Clearance, Handling Fee</t>
        </is>
      </c>
      <c r="C1235" s="522" t="inlineStr">
        <is>
          <t>56ប៊ី-លីង សឹបផ្លាយ ឆេន មេនេចម៉ិន ឯ.ក</t>
        </is>
      </c>
      <c r="D1235" s="522" t="inlineStr">
        <is>
          <t>K004-902004795</t>
        </is>
      </c>
      <c r="E1235" s="521" t="inlineStr">
        <is>
          <t>IN202103-0200</t>
        </is>
      </c>
      <c r="F1235" s="523" t="n">
        <v>44286</v>
      </c>
      <c r="G1235" s="556" t="n">
        <v>268993</v>
      </c>
      <c r="I1235" s="521">
        <f>G1235</f>
        <v/>
      </c>
      <c r="K1235" s="521">
        <f>I1235-G1235</f>
        <v/>
      </c>
      <c r="M1235" s="522" t="inlineStr">
        <is>
          <t>IN2021030200</t>
        </is>
      </c>
      <c r="N1235" s="522" t="inlineStr">
        <is>
          <t>IN2021030200</t>
        </is>
      </c>
      <c r="O1235" s="521">
        <f>M1235=N1235</f>
        <v/>
      </c>
      <c r="P1235" s="521">
        <f>AND(MONTH(F1235)=MONTH(S1235), YEAR(F1235)=YEAR(S1235))</f>
        <v/>
      </c>
      <c r="Q1235" s="521">
        <f>U1235="L001-901905215"</f>
        <v/>
      </c>
      <c r="R1235" s="556">
        <f>G1235-W1235</f>
        <v/>
      </c>
      <c r="S1235" s="523" t="n">
        <v>44286</v>
      </c>
      <c r="T1235" s="522" t="inlineStr">
        <is>
          <t>IN202103-0200</t>
        </is>
      </c>
      <c r="U1235" s="522" t="inlineStr">
        <is>
          <t>L001-901905215</t>
        </is>
      </c>
      <c r="V1235" s="522" t="inlineStr">
        <is>
          <t>វីអ៊ីស៊ិន (ខេមបូឌា) អ៊ិនដាសស្ទ្រី ឯ.ក</t>
        </is>
      </c>
      <c r="W1235" s="556" t="n">
        <v>268993</v>
      </c>
    </row>
    <row r="1236">
      <c r="A1236" s="521" t="n">
        <v>1228</v>
      </c>
      <c r="B1236" s="522" t="inlineStr">
        <is>
          <t>Customs Clearance, Handling Fee</t>
        </is>
      </c>
      <c r="C1236" s="522" t="inlineStr">
        <is>
          <t>56ប៊ី-លីង សឹបផ្លាយ ឆេន មេនេចម៉ិន ឯ.ក</t>
        </is>
      </c>
      <c r="D1236" s="522" t="inlineStr">
        <is>
          <t>K004-902004795</t>
        </is>
      </c>
      <c r="E1236" s="521" t="inlineStr">
        <is>
          <t>IN202103-0188</t>
        </is>
      </c>
      <c r="F1236" s="523" t="n">
        <v>44286</v>
      </c>
      <c r="G1236" s="556" t="n">
        <v>337758</v>
      </c>
      <c r="I1236" s="521">
        <f>G1236</f>
        <v/>
      </c>
      <c r="K1236" s="521">
        <f>I1236-G1236</f>
        <v/>
      </c>
      <c r="M1236" s="522" t="inlineStr">
        <is>
          <t>IN2021030188</t>
        </is>
      </c>
      <c r="N1236" s="522" t="inlineStr">
        <is>
          <t>IN2021030188</t>
        </is>
      </c>
      <c r="O1236" s="521">
        <f>M1236=N1236</f>
        <v/>
      </c>
      <c r="P1236" s="521">
        <f>AND(MONTH(F1236)=MONTH(S1236), YEAR(F1236)=YEAR(S1236))</f>
        <v/>
      </c>
      <c r="Q1236" s="521">
        <f>U1236="L001-901905215"</f>
        <v/>
      </c>
      <c r="R1236" s="556">
        <f>G1236-W1236</f>
        <v/>
      </c>
      <c r="S1236" s="523" t="n">
        <v>44286</v>
      </c>
      <c r="T1236" s="522" t="inlineStr">
        <is>
          <t>IN202103-0188</t>
        </is>
      </c>
      <c r="U1236" s="522" t="inlineStr">
        <is>
          <t>L001-901905215</t>
        </is>
      </c>
      <c r="V1236" s="522" t="inlineStr">
        <is>
          <t>វីអ៊ីស៊ិន (ខេមបូឌា) អ៊ិនដាសស្ទ្រី ឯ.ក</t>
        </is>
      </c>
      <c r="W1236" s="556" t="n">
        <v>337758</v>
      </c>
    </row>
    <row r="1237">
      <c r="A1237" s="521" t="n">
        <v>1229</v>
      </c>
      <c r="B1237" s="522" t="inlineStr">
        <is>
          <t>Lift-Off</t>
        </is>
      </c>
      <c r="C1237" s="522" t="inlineStr">
        <is>
          <t>កំពង់ផែស្វយ័តក្រុងព្រះសីហនុ</t>
        </is>
      </c>
      <c r="D1237" s="522" t="inlineStr">
        <is>
          <t>L001-100044638</t>
        </is>
      </c>
      <c r="E1237" s="521" t="inlineStr">
        <is>
          <t>100044638</t>
        </is>
      </c>
      <c r="F1237" s="523" t="n">
        <v>44281</v>
      </c>
      <c r="G1237" s="556" t="n">
        <v>6877</v>
      </c>
      <c r="I1237" s="521">
        <f>G1237</f>
        <v/>
      </c>
      <c r="K1237" s="521">
        <f>I1237-G1237</f>
        <v/>
      </c>
      <c r="M1237" s="522" t="inlineStr">
        <is>
          <t>100044638</t>
        </is>
      </c>
      <c r="N1237" s="522" t="inlineStr"/>
      <c r="O1237" s="521">
        <f>M1237=N1237</f>
        <v/>
      </c>
      <c r="P1237" s="521">
        <f>AND(MONTH(F1237)=MONTH(S1237), YEAR(F1237)=YEAR(S1237))</f>
        <v/>
      </c>
      <c r="Q1237" s="521">
        <f>U1237="L001-901905215"</f>
        <v/>
      </c>
      <c r="R1237" s="556">
        <f>G1237-W1237</f>
        <v/>
      </c>
      <c r="S1237" s="521" t="n"/>
      <c r="T1237" s="522" t="n"/>
      <c r="U1237" s="522" t="n"/>
      <c r="V1237" s="522" t="n"/>
      <c r="W1237" s="521" t="n"/>
    </row>
    <row r="1238">
      <c r="A1238" s="521" t="n">
        <v>1230</v>
      </c>
      <c r="B1238" s="522" t="inlineStr">
        <is>
          <t>Customs Clearance, Handling Fee</t>
        </is>
      </c>
      <c r="C1238" s="522" t="inlineStr">
        <is>
          <t>56ប៊ី-លីង សឹបផ្លាយ ឆេន មេនេចម៉ិន ឯ.ក</t>
        </is>
      </c>
      <c r="D1238" s="522" t="inlineStr">
        <is>
          <t>K004-902004795</t>
        </is>
      </c>
      <c r="E1238" s="521" t="inlineStr">
        <is>
          <t>IN202103-0233</t>
        </is>
      </c>
      <c r="F1238" s="523" t="n">
        <v>44286</v>
      </c>
      <c r="G1238" s="556" t="n">
        <v>337758</v>
      </c>
      <c r="I1238" s="521">
        <f>G1238</f>
        <v/>
      </c>
      <c r="K1238" s="521">
        <f>I1238-G1238</f>
        <v/>
      </c>
      <c r="M1238" s="522" t="inlineStr">
        <is>
          <t>IN2021030233</t>
        </is>
      </c>
      <c r="N1238" s="522" t="inlineStr">
        <is>
          <t>IN2021030233</t>
        </is>
      </c>
      <c r="O1238" s="521">
        <f>M1238=N1238</f>
        <v/>
      </c>
      <c r="P1238" s="521">
        <f>AND(MONTH(F1238)=MONTH(S1238), YEAR(F1238)=YEAR(S1238))</f>
        <v/>
      </c>
      <c r="Q1238" s="521">
        <f>U1238="L001-901905215"</f>
        <v/>
      </c>
      <c r="R1238" s="556">
        <f>G1238-W1238</f>
        <v/>
      </c>
      <c r="S1238" s="523" t="n">
        <v>44286</v>
      </c>
      <c r="T1238" s="522" t="inlineStr">
        <is>
          <t>IN202103-0233</t>
        </is>
      </c>
      <c r="U1238" s="522" t="inlineStr">
        <is>
          <t>L001-901905215</t>
        </is>
      </c>
      <c r="V1238" s="522" t="inlineStr">
        <is>
          <t>វីអ៊ីស៊ិន (ខេមបូឌា) អ៊ិនដាសស្ទ្រី ឯ.ក</t>
        </is>
      </c>
      <c r="W1238" s="556" t="n">
        <v>337758</v>
      </c>
    </row>
    <row r="1239">
      <c r="A1239" s="521" t="n">
        <v>1231</v>
      </c>
      <c r="B1239" s="522" t="inlineStr">
        <is>
          <t>Lift-Off</t>
        </is>
      </c>
      <c r="C1239" s="522" t="inlineStr">
        <is>
          <t>កំពង់ផែស្វយ័តក្រុងព្រះសីហនុ</t>
        </is>
      </c>
      <c r="D1239" s="522" t="inlineStr">
        <is>
          <t>L001-100044638</t>
        </is>
      </c>
      <c r="E1239" s="521" t="inlineStr">
        <is>
          <t>047839</t>
        </is>
      </c>
      <c r="F1239" s="523" t="n">
        <v>44281</v>
      </c>
      <c r="G1239" s="556" t="n">
        <v>20629</v>
      </c>
      <c r="I1239" s="521">
        <f>G1239</f>
        <v/>
      </c>
      <c r="K1239" s="521">
        <f>I1239-G1239</f>
        <v/>
      </c>
      <c r="M1239" s="522" t="inlineStr">
        <is>
          <t>047839</t>
        </is>
      </c>
      <c r="N1239" s="522" t="inlineStr"/>
      <c r="O1239" s="521">
        <f>M1239=N1239</f>
        <v/>
      </c>
      <c r="P1239" s="521">
        <f>AND(MONTH(F1239)=MONTH(S1239), YEAR(F1239)=YEAR(S1239))</f>
        <v/>
      </c>
      <c r="Q1239" s="521">
        <f>U1239="L001-901905215"</f>
        <v/>
      </c>
      <c r="R1239" s="556">
        <f>G1239-W1239</f>
        <v/>
      </c>
      <c r="S1239" s="521" t="n"/>
      <c r="T1239" s="522" t="n"/>
      <c r="U1239" s="522" t="n"/>
      <c r="V1239" s="522" t="n"/>
      <c r="W1239" s="521" t="n"/>
    </row>
    <row r="1240">
      <c r="A1240" s="521" t="n">
        <v>1232</v>
      </c>
      <c r="B1240" s="522" t="inlineStr">
        <is>
          <t>Lift-Off</t>
        </is>
      </c>
      <c r="C1240" s="522" t="inlineStr">
        <is>
          <t>កំពង់ផែស្វយ័តក្រុងព្រះសីហនុ</t>
        </is>
      </c>
      <c r="D1240" s="522" t="inlineStr">
        <is>
          <t>L001-100044638</t>
        </is>
      </c>
      <c r="E1240" s="521" t="inlineStr">
        <is>
          <t>045910</t>
        </is>
      </c>
      <c r="F1240" s="523" t="n">
        <v>44280</v>
      </c>
      <c r="G1240" s="556" t="n">
        <v>20645</v>
      </c>
      <c r="I1240" s="521">
        <f>G1240</f>
        <v/>
      </c>
      <c r="K1240" s="521">
        <f>I1240-G1240</f>
        <v/>
      </c>
      <c r="M1240" s="522" t="inlineStr">
        <is>
          <t>045910</t>
        </is>
      </c>
      <c r="N1240" s="522" t="inlineStr"/>
      <c r="O1240" s="521">
        <f>M1240=N1240</f>
        <v/>
      </c>
      <c r="P1240" s="521">
        <f>AND(MONTH(F1240)=MONTH(S1240), YEAR(F1240)=YEAR(S1240))</f>
        <v/>
      </c>
      <c r="Q1240" s="521">
        <f>U1240="L001-901905215"</f>
        <v/>
      </c>
      <c r="R1240" s="556">
        <f>G1240-W1240</f>
        <v/>
      </c>
      <c r="S1240" s="521" t="n"/>
      <c r="T1240" s="522" t="n"/>
      <c r="U1240" s="522" t="n"/>
      <c r="V1240" s="522" t="n"/>
      <c r="W1240" s="521" t="n"/>
    </row>
    <row r="1241">
      <c r="A1241" s="521" t="n">
        <v>1233</v>
      </c>
      <c r="B1241" s="522" t="inlineStr">
        <is>
          <t>Lift-Off</t>
        </is>
      </c>
      <c r="C1241" s="522" t="inlineStr">
        <is>
          <t>កំពង់ផែស្វយ័តភ្នំពេញ "ក.ស.ភ"</t>
        </is>
      </c>
      <c r="D1241" s="522" t="inlineStr">
        <is>
          <t>L001-100044999</t>
        </is>
      </c>
      <c r="E1241" s="521" t="inlineStr">
        <is>
          <t>INV20210313949</t>
        </is>
      </c>
      <c r="F1241" s="523" t="n">
        <v>44270</v>
      </c>
      <c r="G1241" s="556" t="n">
        <v>19464</v>
      </c>
      <c r="I1241" s="521">
        <f>G1241</f>
        <v/>
      </c>
      <c r="K1241" s="521">
        <f>I1241-G1241</f>
        <v/>
      </c>
      <c r="M1241" s="522" t="inlineStr">
        <is>
          <t>INV20210313949</t>
        </is>
      </c>
      <c r="N1241" s="522" t="inlineStr"/>
      <c r="O1241" s="521">
        <f>M1241=N1241</f>
        <v/>
      </c>
      <c r="P1241" s="521">
        <f>AND(MONTH(F1241)=MONTH(S1241), YEAR(F1241)=YEAR(S1241))</f>
        <v/>
      </c>
      <c r="Q1241" s="521">
        <f>U1241="L001-901905215"</f>
        <v/>
      </c>
      <c r="R1241" s="556">
        <f>G1241-W1241</f>
        <v/>
      </c>
      <c r="S1241" s="521" t="n"/>
      <c r="T1241" s="522" t="n"/>
      <c r="U1241" s="522" t="n"/>
      <c r="V1241" s="522" t="n"/>
      <c r="W1241" s="521" t="n"/>
    </row>
    <row r="1242">
      <c r="A1242" s="521" t="n">
        <v>1234</v>
      </c>
      <c r="B1242" s="522" t="inlineStr">
        <is>
          <t>Lift-Off</t>
        </is>
      </c>
      <c r="C1242" s="522" t="inlineStr">
        <is>
          <t>កំពង់ផែស្វយ័តភ្នំពេញ "ក.ស.ភ"</t>
        </is>
      </c>
      <c r="D1242" s="522" t="inlineStr">
        <is>
          <t>L001-100044999</t>
        </is>
      </c>
      <c r="E1242" s="521" t="inlineStr">
        <is>
          <t>INV20210313953</t>
        </is>
      </c>
      <c r="F1242" s="523" t="n">
        <v>44270</v>
      </c>
      <c r="G1242" s="556" t="n">
        <v>19464</v>
      </c>
      <c r="I1242" s="521">
        <f>G1242</f>
        <v/>
      </c>
      <c r="K1242" s="521">
        <f>I1242-G1242</f>
        <v/>
      </c>
      <c r="M1242" s="522" t="inlineStr">
        <is>
          <t>INV20210313953</t>
        </is>
      </c>
      <c r="N1242" s="522" t="inlineStr"/>
      <c r="O1242" s="521">
        <f>M1242=N1242</f>
        <v/>
      </c>
      <c r="P1242" s="521">
        <f>AND(MONTH(F1242)=MONTH(S1242), YEAR(F1242)=YEAR(S1242))</f>
        <v/>
      </c>
      <c r="Q1242" s="521">
        <f>U1242="L001-901905215"</f>
        <v/>
      </c>
      <c r="R1242" s="556">
        <f>G1242-W1242</f>
        <v/>
      </c>
      <c r="S1242" s="521" t="n"/>
      <c r="T1242" s="522" t="n"/>
      <c r="U1242" s="522" t="n"/>
      <c r="V1242" s="522" t="n"/>
      <c r="W1242" s="521" t="n"/>
    </row>
    <row r="1243">
      <c r="A1243" s="521" t="n">
        <v>1235</v>
      </c>
      <c r="B1243" s="522" t="inlineStr">
        <is>
          <t>Lift On Empty Fee</t>
        </is>
      </c>
      <c r="C1243" s="522" t="inlineStr">
        <is>
          <t>ហុង ឡេង ហួរ</t>
        </is>
      </c>
      <c r="D1243" s="522" t="inlineStr">
        <is>
          <t>L001-100068901</t>
        </is>
      </c>
      <c r="E1243" s="521" t="inlineStr">
        <is>
          <t>DPS19-158410</t>
        </is>
      </c>
      <c r="F1243" s="523" t="n">
        <v>44266</v>
      </c>
      <c r="G1243" s="556" t="n">
        <v>5530</v>
      </c>
      <c r="I1243" s="521">
        <f>G1243</f>
        <v/>
      </c>
      <c r="K1243" s="521">
        <f>I1243-G1243</f>
        <v/>
      </c>
      <c r="M1243" s="522" t="inlineStr">
        <is>
          <t>DPS19158410</t>
        </is>
      </c>
      <c r="N1243" s="522" t="inlineStr"/>
      <c r="O1243" s="521">
        <f>M1243=N1243</f>
        <v/>
      </c>
      <c r="P1243" s="521">
        <f>AND(MONTH(F1243)=MONTH(S1243), YEAR(F1243)=YEAR(S1243))</f>
        <v/>
      </c>
      <c r="Q1243" s="521">
        <f>U1243="L001-901905215"</f>
        <v/>
      </c>
      <c r="R1243" s="556">
        <f>G1243-W1243</f>
        <v/>
      </c>
      <c r="S1243" s="521" t="n"/>
      <c r="T1243" s="522" t="n"/>
      <c r="U1243" s="522" t="n"/>
      <c r="V1243" s="522" t="n"/>
      <c r="W1243" s="521" t="n"/>
    </row>
    <row r="1244">
      <c r="A1244" s="521" t="n">
        <v>1236</v>
      </c>
      <c r="B1244" s="522" t="inlineStr">
        <is>
          <t>Lift-Off</t>
        </is>
      </c>
      <c r="C1244" s="522" t="inlineStr">
        <is>
          <t>កំពង់ផែស្វយ័តភ្នំពេញ "ក.ស.ភ"</t>
        </is>
      </c>
      <c r="D1244" s="522" t="inlineStr">
        <is>
          <t>L001-100044999</t>
        </is>
      </c>
      <c r="E1244" s="521" t="inlineStr">
        <is>
          <t>INV20210313952</t>
        </is>
      </c>
      <c r="F1244" s="523" t="n">
        <v>44270</v>
      </c>
      <c r="G1244" s="556" t="n">
        <v>19464</v>
      </c>
      <c r="I1244" s="521">
        <f>G1244</f>
        <v/>
      </c>
      <c r="K1244" s="521">
        <f>I1244-G1244</f>
        <v/>
      </c>
      <c r="M1244" s="522" t="inlineStr">
        <is>
          <t>INV20210313952</t>
        </is>
      </c>
      <c r="N1244" s="522" t="inlineStr"/>
      <c r="O1244" s="521">
        <f>M1244=N1244</f>
        <v/>
      </c>
      <c r="P1244" s="521">
        <f>AND(MONTH(F1244)=MONTH(S1244), YEAR(F1244)=YEAR(S1244))</f>
        <v/>
      </c>
      <c r="Q1244" s="521">
        <f>U1244="L001-901905215"</f>
        <v/>
      </c>
      <c r="R1244" s="556">
        <f>G1244-W1244</f>
        <v/>
      </c>
      <c r="S1244" s="521" t="n"/>
      <c r="T1244" s="522" t="n"/>
      <c r="U1244" s="522" t="n"/>
      <c r="V1244" s="522" t="n"/>
      <c r="W1244" s="521" t="n"/>
    </row>
    <row r="1245">
      <c r="A1245" s="521" t="n">
        <v>1237</v>
      </c>
      <c r="B1245" s="522" t="inlineStr">
        <is>
          <t>Lift-Off</t>
        </is>
      </c>
      <c r="C1245" s="522" t="inlineStr">
        <is>
          <t>កំពង់ផែស្វយ័តភ្នំពេញ "ក.ស.ភ"</t>
        </is>
      </c>
      <c r="D1245" s="522" t="inlineStr">
        <is>
          <t>L001-100044999</t>
        </is>
      </c>
      <c r="E1245" s="521" t="inlineStr">
        <is>
          <t>INV20210313298</t>
        </is>
      </c>
      <c r="F1245" s="523" t="n">
        <v>44266</v>
      </c>
      <c r="G1245" s="556" t="n">
        <v>29196</v>
      </c>
      <c r="I1245" s="521">
        <f>G1245</f>
        <v/>
      </c>
      <c r="K1245" s="521">
        <f>I1245-G1245</f>
        <v/>
      </c>
      <c r="M1245" s="522" t="inlineStr">
        <is>
          <t>INV20210313298</t>
        </is>
      </c>
      <c r="N1245" s="522" t="inlineStr"/>
      <c r="O1245" s="521">
        <f>M1245=N1245</f>
        <v/>
      </c>
      <c r="P1245" s="521">
        <f>AND(MONTH(F1245)=MONTH(S1245), YEAR(F1245)=YEAR(S1245))</f>
        <v/>
      </c>
      <c r="Q1245" s="521">
        <f>U1245="L001-901905215"</f>
        <v/>
      </c>
      <c r="R1245" s="556">
        <f>G1245-W1245</f>
        <v/>
      </c>
      <c r="S1245" s="521" t="n"/>
      <c r="T1245" s="522" t="n"/>
      <c r="U1245" s="522" t="n"/>
      <c r="V1245" s="522" t="n"/>
      <c r="W1245" s="521" t="n"/>
    </row>
    <row r="1246">
      <c r="A1246" s="521" t="n">
        <v>1238</v>
      </c>
      <c r="B1246" s="522" t="inlineStr">
        <is>
          <t>Lift-Off</t>
        </is>
      </c>
      <c r="C1246" s="522" t="inlineStr">
        <is>
          <t>កំពង់ផែស្វយ័តភ្នំពេញ "ក.ស.ភ"</t>
        </is>
      </c>
      <c r="D1246" s="522" t="inlineStr">
        <is>
          <t>L001-100044999</t>
        </is>
      </c>
      <c r="E1246" s="521" t="inlineStr">
        <is>
          <t>INV20210313947</t>
        </is>
      </c>
      <c r="F1246" s="523" t="n">
        <v>44270</v>
      </c>
      <c r="G1246" s="556" t="n">
        <v>29196</v>
      </c>
      <c r="I1246" s="521">
        <f>G1246</f>
        <v/>
      </c>
      <c r="K1246" s="521">
        <f>I1246-G1246</f>
        <v/>
      </c>
      <c r="M1246" s="522" t="inlineStr">
        <is>
          <t>INV20210313947</t>
        </is>
      </c>
      <c r="N1246" s="522" t="inlineStr"/>
      <c r="O1246" s="521">
        <f>M1246=N1246</f>
        <v/>
      </c>
      <c r="P1246" s="521">
        <f>AND(MONTH(F1246)=MONTH(S1246), YEAR(F1246)=YEAR(S1246))</f>
        <v/>
      </c>
      <c r="Q1246" s="521">
        <f>U1246="L001-901905215"</f>
        <v/>
      </c>
      <c r="R1246" s="556">
        <f>G1246-W1246</f>
        <v/>
      </c>
      <c r="S1246" s="521" t="n"/>
      <c r="T1246" s="522" t="n"/>
      <c r="U1246" s="522" t="n"/>
      <c r="V1246" s="522" t="n"/>
      <c r="W1246" s="521" t="n"/>
    </row>
    <row r="1247">
      <c r="A1247" s="521" t="n">
        <v>1239</v>
      </c>
      <c r="B1247" s="522" t="inlineStr">
        <is>
          <t>Lift-Off</t>
        </is>
      </c>
      <c r="C1247" s="522" t="inlineStr">
        <is>
          <t>កំពង់ផែស្វយ័តភ្នំពេញ "ក.ស.ភ"</t>
        </is>
      </c>
      <c r="D1247" s="522" t="inlineStr">
        <is>
          <t>L001-100044999</t>
        </is>
      </c>
      <c r="E1247" s="521" t="inlineStr">
        <is>
          <t>INV20210313954</t>
        </is>
      </c>
      <c r="F1247" s="523" t="n">
        <v>44270</v>
      </c>
      <c r="G1247" s="556" t="n">
        <v>29196</v>
      </c>
      <c r="I1247" s="521">
        <f>G1247</f>
        <v/>
      </c>
      <c r="K1247" s="521">
        <f>I1247-G1247</f>
        <v/>
      </c>
      <c r="M1247" s="522" t="inlineStr">
        <is>
          <t>INV20210313954</t>
        </is>
      </c>
      <c r="N1247" s="522" t="inlineStr"/>
      <c r="O1247" s="521">
        <f>M1247=N1247</f>
        <v/>
      </c>
      <c r="P1247" s="521">
        <f>AND(MONTH(F1247)=MONTH(S1247), YEAR(F1247)=YEAR(S1247))</f>
        <v/>
      </c>
      <c r="Q1247" s="521">
        <f>U1247="L001-901905215"</f>
        <v/>
      </c>
      <c r="R1247" s="556">
        <f>G1247-W1247</f>
        <v/>
      </c>
      <c r="S1247" s="521" t="n"/>
      <c r="T1247" s="522" t="n"/>
      <c r="U1247" s="522" t="n"/>
      <c r="V1247" s="522" t="n"/>
      <c r="W1247" s="521" t="n"/>
    </row>
    <row r="1248">
      <c r="A1248" s="521" t="n">
        <v>1240</v>
      </c>
      <c r="B1248" s="522" t="inlineStr">
        <is>
          <t>Lift-Off</t>
        </is>
      </c>
      <c r="C1248" s="522" t="inlineStr">
        <is>
          <t>កំពង់ផែស្វយ័តភ្នំពេញ "ក.ស.ភ"</t>
        </is>
      </c>
      <c r="D1248" s="522" t="inlineStr">
        <is>
          <t>L001-100044999</t>
        </is>
      </c>
      <c r="E1248" s="521" t="inlineStr">
        <is>
          <t>INV20210313964</t>
        </is>
      </c>
      <c r="F1248" s="523" t="n">
        <v>44270</v>
      </c>
      <c r="G1248" s="556" t="n">
        <v>116784</v>
      </c>
      <c r="I1248" s="521">
        <f>G1248</f>
        <v/>
      </c>
      <c r="K1248" s="521">
        <f>I1248-G1248</f>
        <v/>
      </c>
      <c r="M1248" s="522" t="inlineStr">
        <is>
          <t>INV20210313964</t>
        </is>
      </c>
      <c r="N1248" s="522" t="inlineStr"/>
      <c r="O1248" s="521">
        <f>M1248=N1248</f>
        <v/>
      </c>
      <c r="P1248" s="521">
        <f>AND(MONTH(F1248)=MONTH(S1248), YEAR(F1248)=YEAR(S1248))</f>
        <v/>
      </c>
      <c r="Q1248" s="521">
        <f>U1248="L001-901905215"</f>
        <v/>
      </c>
      <c r="R1248" s="556">
        <f>G1248-W1248</f>
        <v/>
      </c>
      <c r="S1248" s="521" t="n"/>
      <c r="T1248" s="522" t="n"/>
      <c r="U1248" s="522" t="n"/>
      <c r="V1248" s="522" t="n"/>
      <c r="W1248" s="521" t="n"/>
    </row>
    <row r="1249">
      <c r="A1249" s="521" t="n">
        <v>1241</v>
      </c>
      <c r="B1249" s="522" t="inlineStr">
        <is>
          <t>Lift-Off</t>
        </is>
      </c>
      <c r="C1249" s="522" t="inlineStr">
        <is>
          <t>កំពង់ផែស្វយ័តភ្នំពេញ "ក.ស.ភ"</t>
        </is>
      </c>
      <c r="D1249" s="522" t="inlineStr">
        <is>
          <t>L001-100044999</t>
        </is>
      </c>
      <c r="E1249" s="521" t="inlineStr">
        <is>
          <t>INV20210313960</t>
        </is>
      </c>
      <c r="F1249" s="523" t="n">
        <v>44270</v>
      </c>
      <c r="G1249" s="556" t="n">
        <v>29196</v>
      </c>
      <c r="I1249" s="521">
        <f>G1249</f>
        <v/>
      </c>
      <c r="K1249" s="521">
        <f>I1249-G1249</f>
        <v/>
      </c>
      <c r="M1249" s="522" t="inlineStr">
        <is>
          <t>INV20210313960</t>
        </is>
      </c>
      <c r="N1249" s="522" t="inlineStr"/>
      <c r="O1249" s="521">
        <f>M1249=N1249</f>
        <v/>
      </c>
      <c r="P1249" s="521">
        <f>AND(MONTH(F1249)=MONTH(S1249), YEAR(F1249)=YEAR(S1249))</f>
        <v/>
      </c>
      <c r="Q1249" s="521">
        <f>U1249="L001-901905215"</f>
        <v/>
      </c>
      <c r="R1249" s="556">
        <f>G1249-W1249</f>
        <v/>
      </c>
      <c r="S1249" s="521" t="n"/>
      <c r="T1249" s="522" t="n"/>
      <c r="U1249" s="522" t="n"/>
      <c r="V1249" s="522" t="n"/>
      <c r="W1249" s="521" t="n"/>
    </row>
    <row r="1250">
      <c r="A1250" s="521" t="n">
        <v>1242</v>
      </c>
      <c r="B1250" s="522" t="inlineStr">
        <is>
          <t>Lift-Off</t>
        </is>
      </c>
      <c r="C1250" s="522" t="inlineStr">
        <is>
          <t>កំពង់ផែស្វយ័តភ្នំពេញ "ក.ស.ភ"</t>
        </is>
      </c>
      <c r="D1250" s="522" t="inlineStr">
        <is>
          <t>L001-100044999</t>
        </is>
      </c>
      <c r="E1250" s="521" t="inlineStr">
        <is>
          <t>INV20210313959</t>
        </is>
      </c>
      <c r="F1250" s="523" t="n">
        <v>44270</v>
      </c>
      <c r="G1250" s="556" t="n">
        <v>29196</v>
      </c>
      <c r="I1250" s="521">
        <f>G1250</f>
        <v/>
      </c>
      <c r="K1250" s="521">
        <f>I1250-G1250</f>
        <v/>
      </c>
      <c r="M1250" s="522" t="inlineStr">
        <is>
          <t>INV20210313959</t>
        </is>
      </c>
      <c r="N1250" s="522" t="inlineStr"/>
      <c r="O1250" s="521">
        <f>M1250=N1250</f>
        <v/>
      </c>
      <c r="P1250" s="521">
        <f>AND(MONTH(F1250)=MONTH(S1250), YEAR(F1250)=YEAR(S1250))</f>
        <v/>
      </c>
      <c r="Q1250" s="521">
        <f>U1250="L001-901905215"</f>
        <v/>
      </c>
      <c r="R1250" s="556">
        <f>G1250-W1250</f>
        <v/>
      </c>
      <c r="S1250" s="521" t="n"/>
      <c r="T1250" s="522" t="n"/>
      <c r="U1250" s="522" t="n"/>
      <c r="V1250" s="522" t="n"/>
      <c r="W1250" s="521" t="n"/>
    </row>
    <row r="1251">
      <c r="A1251" s="521" t="n">
        <v>1243</v>
      </c>
      <c r="B1251" s="522" t="inlineStr">
        <is>
          <t>Lift-Off</t>
        </is>
      </c>
      <c r="C1251" s="522" t="inlineStr">
        <is>
          <t>កំពង់ផែស្វយ័តភ្នំពេញ "ក.ស.ភ"</t>
        </is>
      </c>
      <c r="D1251" s="522" t="inlineStr">
        <is>
          <t>L001-100044999</t>
        </is>
      </c>
      <c r="E1251" s="521" t="inlineStr">
        <is>
          <t>INV20210313958</t>
        </is>
      </c>
      <c r="F1251" s="523" t="n">
        <v>44270</v>
      </c>
      <c r="G1251" s="556" t="n">
        <v>29196</v>
      </c>
      <c r="I1251" s="521">
        <f>G1251</f>
        <v/>
      </c>
      <c r="K1251" s="521">
        <f>I1251-G1251</f>
        <v/>
      </c>
      <c r="M1251" s="522" t="inlineStr">
        <is>
          <t>INV20210313958</t>
        </is>
      </c>
      <c r="N1251" s="522" t="inlineStr"/>
      <c r="O1251" s="521">
        <f>M1251=N1251</f>
        <v/>
      </c>
      <c r="P1251" s="521">
        <f>AND(MONTH(F1251)=MONTH(S1251), YEAR(F1251)=YEAR(S1251))</f>
        <v/>
      </c>
      <c r="Q1251" s="521">
        <f>U1251="L001-901905215"</f>
        <v/>
      </c>
      <c r="R1251" s="556">
        <f>G1251-W1251</f>
        <v/>
      </c>
      <c r="S1251" s="521" t="n"/>
      <c r="T1251" s="522" t="n"/>
      <c r="U1251" s="522" t="n"/>
      <c r="V1251" s="522" t="n"/>
      <c r="W1251" s="521" t="n"/>
    </row>
    <row r="1252">
      <c r="A1252" s="521" t="n">
        <v>1244</v>
      </c>
      <c r="B1252" s="522" t="inlineStr">
        <is>
          <t>Lift-Off</t>
        </is>
      </c>
      <c r="C1252" s="522" t="inlineStr">
        <is>
          <t>កំពង់ផែស្វយ័តភ្នំពេញ "ក.ស.ភ"</t>
        </is>
      </c>
      <c r="D1252" s="522" t="inlineStr">
        <is>
          <t>L001-100044999</t>
        </is>
      </c>
      <c r="E1252" s="521" t="inlineStr">
        <is>
          <t>INV20210211343</t>
        </is>
      </c>
      <c r="F1252" s="523" t="n">
        <v>44256</v>
      </c>
      <c r="G1252" s="556" t="n">
        <v>87336</v>
      </c>
      <c r="I1252" s="521">
        <f>G1252</f>
        <v/>
      </c>
      <c r="K1252" s="521">
        <f>I1252-G1252</f>
        <v/>
      </c>
      <c r="M1252" s="522" t="inlineStr">
        <is>
          <t>INV20210211343</t>
        </is>
      </c>
      <c r="N1252" s="522" t="inlineStr"/>
      <c r="O1252" s="521">
        <f>M1252=N1252</f>
        <v/>
      </c>
      <c r="P1252" s="521">
        <f>AND(MONTH(F1252)=MONTH(S1252), YEAR(F1252)=YEAR(S1252))</f>
        <v/>
      </c>
      <c r="Q1252" s="521">
        <f>U1252="L001-901905215"</f>
        <v/>
      </c>
      <c r="R1252" s="556">
        <f>G1252-W1252</f>
        <v/>
      </c>
      <c r="S1252" s="521" t="n"/>
      <c r="T1252" s="522" t="n"/>
      <c r="U1252" s="522" t="n"/>
      <c r="V1252" s="522" t="n"/>
      <c r="W1252" s="521" t="n"/>
    </row>
    <row r="1253">
      <c r="A1253" s="521" t="n">
        <v>1245</v>
      </c>
      <c r="B1253" s="522" t="inlineStr">
        <is>
          <t>Lift-Off</t>
        </is>
      </c>
      <c r="C1253" s="522" t="inlineStr">
        <is>
          <t>កំពង់ផែស្វយ័តភ្នំពេញ "ក.ស.ភ"</t>
        </is>
      </c>
      <c r="D1253" s="522" t="inlineStr">
        <is>
          <t>L001-100044999</t>
        </is>
      </c>
      <c r="E1253" s="521" t="inlineStr">
        <is>
          <t>INV20210211344</t>
        </is>
      </c>
      <c r="F1253" s="523" t="n">
        <v>44256</v>
      </c>
      <c r="G1253" s="556" t="n">
        <v>29112</v>
      </c>
      <c r="I1253" s="521">
        <f>G1253</f>
        <v/>
      </c>
      <c r="K1253" s="521">
        <f>I1253-G1253</f>
        <v/>
      </c>
      <c r="M1253" s="522" t="inlineStr">
        <is>
          <t>INV20210211344</t>
        </is>
      </c>
      <c r="N1253" s="522" t="inlineStr"/>
      <c r="O1253" s="521">
        <f>M1253=N1253</f>
        <v/>
      </c>
      <c r="P1253" s="521">
        <f>AND(MONTH(F1253)=MONTH(S1253), YEAR(F1253)=YEAR(S1253))</f>
        <v/>
      </c>
      <c r="Q1253" s="521">
        <f>U1253="L001-901905215"</f>
        <v/>
      </c>
      <c r="R1253" s="556">
        <f>G1253-W1253</f>
        <v/>
      </c>
      <c r="S1253" s="521" t="n"/>
      <c r="T1253" s="522" t="n"/>
      <c r="U1253" s="522" t="n"/>
      <c r="V1253" s="522" t="n"/>
      <c r="W1253" s="521" t="n"/>
    </row>
    <row r="1254">
      <c r="A1254" s="521" t="n">
        <v>1246</v>
      </c>
      <c r="B1254" s="522" t="inlineStr">
        <is>
          <t>Lift-Off</t>
        </is>
      </c>
      <c r="C1254" s="522" t="inlineStr">
        <is>
          <t>កំពង់ផែស្វយ័តភ្នំពេញ "ក.ស.ភ"</t>
        </is>
      </c>
      <c r="D1254" s="522" t="inlineStr">
        <is>
          <t>L001-100044999</t>
        </is>
      </c>
      <c r="E1254" s="521" t="inlineStr">
        <is>
          <t>INV20210211345</t>
        </is>
      </c>
      <c r="F1254" s="523" t="n">
        <v>44256</v>
      </c>
      <c r="G1254" s="556" t="n">
        <v>58224</v>
      </c>
      <c r="I1254" s="521">
        <f>G1254</f>
        <v/>
      </c>
      <c r="K1254" s="521">
        <f>I1254-G1254</f>
        <v/>
      </c>
      <c r="M1254" s="522" t="inlineStr">
        <is>
          <t>INV20210211345</t>
        </is>
      </c>
      <c r="N1254" s="522" t="inlineStr"/>
      <c r="O1254" s="521">
        <f>M1254=N1254</f>
        <v/>
      </c>
      <c r="P1254" s="521">
        <f>AND(MONTH(F1254)=MONTH(S1254), YEAR(F1254)=YEAR(S1254))</f>
        <v/>
      </c>
      <c r="Q1254" s="521">
        <f>U1254="L001-901905215"</f>
        <v/>
      </c>
      <c r="R1254" s="556">
        <f>G1254-W1254</f>
        <v/>
      </c>
      <c r="S1254" s="521" t="n"/>
      <c r="T1254" s="522" t="n"/>
      <c r="U1254" s="522" t="n"/>
      <c r="V1254" s="522" t="n"/>
      <c r="W1254" s="521" t="n"/>
    </row>
    <row r="1255">
      <c r="A1255" s="521" t="n">
        <v>1247</v>
      </c>
      <c r="B1255" s="522" t="inlineStr">
        <is>
          <t>Lift-Off</t>
        </is>
      </c>
      <c r="C1255" s="522" t="inlineStr">
        <is>
          <t>កំពង់ផែស្វយ័តភ្នំពេញ "ក.ស.ភ"</t>
        </is>
      </c>
      <c r="D1255" s="522" t="inlineStr">
        <is>
          <t>L001-100044999</t>
        </is>
      </c>
      <c r="E1255" s="521" t="inlineStr">
        <is>
          <t>INV20210211342</t>
        </is>
      </c>
      <c r="F1255" s="523" t="n">
        <v>44256</v>
      </c>
      <c r="G1255" s="556" t="n">
        <v>19420</v>
      </c>
      <c r="I1255" s="521">
        <f>G1255</f>
        <v/>
      </c>
      <c r="K1255" s="521">
        <f>I1255-G1255</f>
        <v/>
      </c>
      <c r="M1255" s="522" t="inlineStr">
        <is>
          <t>INV20210211342</t>
        </is>
      </c>
      <c r="N1255" s="522" t="inlineStr"/>
      <c r="O1255" s="521">
        <f>M1255=N1255</f>
        <v/>
      </c>
      <c r="P1255" s="521">
        <f>AND(MONTH(F1255)=MONTH(S1255), YEAR(F1255)=YEAR(S1255))</f>
        <v/>
      </c>
      <c r="Q1255" s="521">
        <f>U1255="L001-901905215"</f>
        <v/>
      </c>
      <c r="R1255" s="556">
        <f>G1255-W1255</f>
        <v/>
      </c>
      <c r="S1255" s="521" t="n"/>
      <c r="T1255" s="522" t="n"/>
      <c r="U1255" s="522" t="n"/>
      <c r="V1255" s="522" t="n"/>
      <c r="W1255" s="521" t="n"/>
    </row>
    <row r="1256">
      <c r="A1256" s="521" t="n">
        <v>1248</v>
      </c>
      <c r="B1256" s="522" t="inlineStr">
        <is>
          <t>Customs Clearance, Handling Fee</t>
        </is>
      </c>
      <c r="C1256" s="522" t="inlineStr">
        <is>
          <t>56ប៊ី-លីង សឹបផ្លាយ ឆេន មេនេចម៉ិន ឯ.ក</t>
        </is>
      </c>
      <c r="D1256" s="522" t="inlineStr">
        <is>
          <t>K004-902004795</t>
        </is>
      </c>
      <c r="E1256" s="521" t="inlineStr">
        <is>
          <t>IN202103-0240</t>
        </is>
      </c>
      <c r="F1256" s="523" t="n">
        <v>44286</v>
      </c>
      <c r="G1256" s="556" t="n">
        <v>157755</v>
      </c>
      <c r="I1256" s="521">
        <f>G1256</f>
        <v/>
      </c>
      <c r="K1256" s="521">
        <f>I1256-G1256</f>
        <v/>
      </c>
      <c r="M1256" s="522" t="inlineStr">
        <is>
          <t>IN2021030240</t>
        </is>
      </c>
      <c r="N1256" s="522" t="inlineStr">
        <is>
          <t>IN2021030240</t>
        </is>
      </c>
      <c r="O1256" s="521">
        <f>M1256=N1256</f>
        <v/>
      </c>
      <c r="P1256" s="521">
        <f>AND(MONTH(F1256)=MONTH(S1256), YEAR(F1256)=YEAR(S1256))</f>
        <v/>
      </c>
      <c r="Q1256" s="521">
        <f>U1256="L001-901905215"</f>
        <v/>
      </c>
      <c r="R1256" s="556">
        <f>G1256-W1256</f>
        <v/>
      </c>
      <c r="S1256" s="523" t="n">
        <v>44286</v>
      </c>
      <c r="T1256" s="522" t="inlineStr">
        <is>
          <t>IN202103-0240</t>
        </is>
      </c>
      <c r="U1256" s="522" t="inlineStr">
        <is>
          <t>L001-901905215</t>
        </is>
      </c>
      <c r="V1256" s="522" t="inlineStr">
        <is>
          <t>វីអ៊ីស៊ិន (ខេមបូឌា) អ៊ិនដាសស្ទ្រី ឯ.ក</t>
        </is>
      </c>
      <c r="W1256" s="556" t="n">
        <v>157755</v>
      </c>
    </row>
    <row r="1257">
      <c r="A1257" s="521" t="n">
        <v>1249</v>
      </c>
      <c r="B1257" s="522" t="inlineStr">
        <is>
          <t>Customs Clearance, Handling Fee</t>
        </is>
      </c>
      <c r="C1257" s="522" t="inlineStr">
        <is>
          <t>56ប៊ី-លីង សឹបផ្លាយ ឆេន មេនេចម៉ិន ឯ.ក</t>
        </is>
      </c>
      <c r="D1257" s="522" t="inlineStr">
        <is>
          <t>K004-902004795</t>
        </is>
      </c>
      <c r="E1257" s="521" t="inlineStr">
        <is>
          <t>IN202103-0239</t>
        </is>
      </c>
      <c r="F1257" s="523" t="n">
        <v>44286</v>
      </c>
      <c r="G1257" s="556" t="n">
        <v>157755</v>
      </c>
      <c r="I1257" s="521">
        <f>G1257</f>
        <v/>
      </c>
      <c r="K1257" s="521">
        <f>I1257-G1257</f>
        <v/>
      </c>
      <c r="M1257" s="522" t="inlineStr">
        <is>
          <t>IN2021030239</t>
        </is>
      </c>
      <c r="N1257" s="522" t="inlineStr">
        <is>
          <t>IN2021030239</t>
        </is>
      </c>
      <c r="O1257" s="521">
        <f>M1257=N1257</f>
        <v/>
      </c>
      <c r="P1257" s="521">
        <f>AND(MONTH(F1257)=MONTH(S1257), YEAR(F1257)=YEAR(S1257))</f>
        <v/>
      </c>
      <c r="Q1257" s="521">
        <f>U1257="L001-901905215"</f>
        <v/>
      </c>
      <c r="R1257" s="556">
        <f>G1257-W1257</f>
        <v/>
      </c>
      <c r="S1257" s="523" t="n">
        <v>44286</v>
      </c>
      <c r="T1257" s="522" t="inlineStr">
        <is>
          <t>IN202103-0239</t>
        </is>
      </c>
      <c r="U1257" s="522" t="inlineStr">
        <is>
          <t>L001-901905215</t>
        </is>
      </c>
      <c r="V1257" s="522" t="inlineStr">
        <is>
          <t>វីអ៊ីស៊ិន (ខេមបូឌា) អ៊ិនដាសស្ទ្រី ឯ.ក</t>
        </is>
      </c>
      <c r="W1257" s="556" t="n">
        <v>157755</v>
      </c>
    </row>
    <row r="1258">
      <c r="A1258" s="521" t="n">
        <v>1250</v>
      </c>
      <c r="B1258" s="522" t="inlineStr">
        <is>
          <t>Customs Clearance, Handling Fee</t>
        </is>
      </c>
      <c r="C1258" s="522" t="inlineStr">
        <is>
          <t>56ប៊ី-លីង សឹបផ្លាយ ឆេន មេនេចម៉ិន ឯ.ក</t>
        </is>
      </c>
      <c r="D1258" s="522" t="inlineStr">
        <is>
          <t>K004-902004795</t>
        </is>
      </c>
      <c r="E1258" s="521" t="inlineStr">
        <is>
          <t>IN202103-0238</t>
        </is>
      </c>
      <c r="F1258" s="523" t="n">
        <v>44286</v>
      </c>
      <c r="G1258" s="556" t="n">
        <v>157755</v>
      </c>
      <c r="I1258" s="521">
        <f>G1258</f>
        <v/>
      </c>
      <c r="K1258" s="521">
        <f>I1258-G1258</f>
        <v/>
      </c>
      <c r="M1258" s="522" t="inlineStr">
        <is>
          <t>IN2021030238</t>
        </is>
      </c>
      <c r="N1258" s="522" t="inlineStr">
        <is>
          <t>IN2021030238</t>
        </is>
      </c>
      <c r="O1258" s="521">
        <f>M1258=N1258</f>
        <v/>
      </c>
      <c r="P1258" s="521">
        <f>AND(MONTH(F1258)=MONTH(S1258), YEAR(F1258)=YEAR(S1258))</f>
        <v/>
      </c>
      <c r="Q1258" s="521">
        <f>U1258="L001-901905215"</f>
        <v/>
      </c>
      <c r="R1258" s="556">
        <f>G1258-W1258</f>
        <v/>
      </c>
      <c r="S1258" s="523" t="n">
        <v>44286</v>
      </c>
      <c r="T1258" s="522" t="inlineStr">
        <is>
          <t>IN202103-0238</t>
        </is>
      </c>
      <c r="U1258" s="522" t="inlineStr">
        <is>
          <t>L001-901905215</t>
        </is>
      </c>
      <c r="V1258" s="522" t="inlineStr">
        <is>
          <t>វីអ៊ីស៊ិន (ខេមបូឌា) អ៊ិនដាសស្ទ្រី ឯ.ក</t>
        </is>
      </c>
      <c r="W1258" s="556" t="n">
        <v>157755</v>
      </c>
    </row>
    <row r="1259">
      <c r="A1259" s="521" t="n">
        <v>1251</v>
      </c>
      <c r="B1259" s="522" t="inlineStr">
        <is>
          <t>Customs Clearance, Handling Fee</t>
        </is>
      </c>
      <c r="C1259" s="522" t="inlineStr">
        <is>
          <t>56ប៊ី-លីង សឹបផ្លាយ ឆេន មេនេចម៉ិន ឯ.ក</t>
        </is>
      </c>
      <c r="D1259" s="522" t="inlineStr">
        <is>
          <t>K004-902004795</t>
        </is>
      </c>
      <c r="E1259" s="521" t="inlineStr">
        <is>
          <t>IN202103-0232</t>
        </is>
      </c>
      <c r="F1259" s="523" t="n">
        <v>44286</v>
      </c>
      <c r="G1259" s="556" t="n">
        <v>337758</v>
      </c>
      <c r="I1259" s="521">
        <f>G1259</f>
        <v/>
      </c>
      <c r="K1259" s="521">
        <f>I1259-G1259</f>
        <v/>
      </c>
      <c r="M1259" s="522" t="inlineStr">
        <is>
          <t>IN2021030232</t>
        </is>
      </c>
      <c r="N1259" s="522" t="inlineStr">
        <is>
          <t>IN2021030232</t>
        </is>
      </c>
      <c r="O1259" s="521">
        <f>M1259=N1259</f>
        <v/>
      </c>
      <c r="P1259" s="521">
        <f>AND(MONTH(F1259)=MONTH(S1259), YEAR(F1259)=YEAR(S1259))</f>
        <v/>
      </c>
      <c r="Q1259" s="521">
        <f>U1259="L001-901905215"</f>
        <v/>
      </c>
      <c r="R1259" s="556">
        <f>G1259-W1259</f>
        <v/>
      </c>
      <c r="S1259" s="523" t="n">
        <v>44286</v>
      </c>
      <c r="T1259" s="522" t="inlineStr">
        <is>
          <t>IN202103-0232</t>
        </is>
      </c>
      <c r="U1259" s="522" t="inlineStr">
        <is>
          <t>L001-901905215</t>
        </is>
      </c>
      <c r="V1259" s="522" t="inlineStr">
        <is>
          <t>វីអ៊ីស៊ិន (ខេមបូឌា) អ៊ិនដាសស្ទ្រី ឯ.ក</t>
        </is>
      </c>
      <c r="W1259" s="556" t="n">
        <v>337758</v>
      </c>
    </row>
    <row r="1260">
      <c r="A1260" s="521" t="n">
        <v>1252</v>
      </c>
      <c r="B1260" s="522" t="inlineStr">
        <is>
          <t>Customs Clearance, Handling Fee</t>
        </is>
      </c>
      <c r="C1260" s="522" t="inlineStr">
        <is>
          <t>56ប៊ី-លីង សឹបផ្លាយ ឆេន មេនេចម៉ិន ឯ.ក</t>
        </is>
      </c>
      <c r="D1260" s="522" t="inlineStr">
        <is>
          <t>K004-902004795</t>
        </is>
      </c>
      <c r="E1260" s="521" t="inlineStr">
        <is>
          <t>IN202103-0229</t>
        </is>
      </c>
      <c r="F1260" s="523" t="n">
        <v>44286</v>
      </c>
      <c r="G1260" s="556" t="n">
        <v>337758</v>
      </c>
      <c r="I1260" s="521">
        <f>G1260</f>
        <v/>
      </c>
      <c r="K1260" s="521">
        <f>I1260-G1260</f>
        <v/>
      </c>
      <c r="M1260" s="522" t="inlineStr">
        <is>
          <t>IN2021030229</t>
        </is>
      </c>
      <c r="N1260" s="522" t="inlineStr">
        <is>
          <t>IN2021030229</t>
        </is>
      </c>
      <c r="O1260" s="521">
        <f>M1260=N1260</f>
        <v/>
      </c>
      <c r="P1260" s="521">
        <f>AND(MONTH(F1260)=MONTH(S1260), YEAR(F1260)=YEAR(S1260))</f>
        <v/>
      </c>
      <c r="Q1260" s="521">
        <f>U1260="L001-901905215"</f>
        <v/>
      </c>
      <c r="R1260" s="556">
        <f>G1260-W1260</f>
        <v/>
      </c>
      <c r="S1260" s="523" t="n">
        <v>44286</v>
      </c>
      <c r="T1260" s="522" t="inlineStr">
        <is>
          <t>IN202103-0229</t>
        </is>
      </c>
      <c r="U1260" s="522" t="inlineStr">
        <is>
          <t>L001-901905215</t>
        </is>
      </c>
      <c r="V1260" s="522" t="inlineStr">
        <is>
          <t>វីអ៊ីស៊ិន (ខេមបូឌា) អ៊ិនដាសស្ទ្រី ឯ.ក</t>
        </is>
      </c>
      <c r="W1260" s="556" t="n">
        <v>337758</v>
      </c>
    </row>
    <row r="1261">
      <c r="A1261" s="521" t="n">
        <v>1253</v>
      </c>
      <c r="B1261" s="522" t="inlineStr">
        <is>
          <t>Customs Clearance, Handling Fee</t>
        </is>
      </c>
      <c r="C1261" s="522" t="inlineStr">
        <is>
          <t>56ប៊ី-លីង សឹបផ្លាយ ឆេន មេនេចម៉ិន ឯ.ក</t>
        </is>
      </c>
      <c r="D1261" s="522" t="inlineStr">
        <is>
          <t>K004-902004795</t>
        </is>
      </c>
      <c r="E1261" s="521" t="inlineStr">
        <is>
          <t>IN202103-0228</t>
        </is>
      </c>
      <c r="F1261" s="523" t="n">
        <v>44286</v>
      </c>
      <c r="G1261" s="556" t="n">
        <v>157755</v>
      </c>
      <c r="I1261" s="521">
        <f>G1261</f>
        <v/>
      </c>
      <c r="K1261" s="521">
        <f>I1261-G1261</f>
        <v/>
      </c>
      <c r="M1261" s="522" t="inlineStr">
        <is>
          <t>IN2021030228</t>
        </is>
      </c>
      <c r="N1261" s="522" t="inlineStr">
        <is>
          <t>IN2021030228</t>
        </is>
      </c>
      <c r="O1261" s="521">
        <f>M1261=N1261</f>
        <v/>
      </c>
      <c r="P1261" s="521">
        <f>AND(MONTH(F1261)=MONTH(S1261), YEAR(F1261)=YEAR(S1261))</f>
        <v/>
      </c>
      <c r="Q1261" s="521">
        <f>U1261="L001-901905215"</f>
        <v/>
      </c>
      <c r="R1261" s="556">
        <f>G1261-W1261</f>
        <v/>
      </c>
      <c r="S1261" s="523" t="n">
        <v>44286</v>
      </c>
      <c r="T1261" s="522" t="inlineStr">
        <is>
          <t>IN202103-0228</t>
        </is>
      </c>
      <c r="U1261" s="522" t="inlineStr">
        <is>
          <t>L001-901905215</t>
        </is>
      </c>
      <c r="V1261" s="522" t="inlineStr">
        <is>
          <t>វីអ៊ីស៊ិន (ខេមបូឌា) អ៊ិនដាសស្ទ្រី ឯ.ក</t>
        </is>
      </c>
      <c r="W1261" s="556" t="n">
        <v>157755</v>
      </c>
    </row>
    <row r="1262">
      <c r="A1262" s="521" t="n">
        <v>1254</v>
      </c>
      <c r="B1262" s="522" t="inlineStr">
        <is>
          <t>Customs Clearance, Truck Fee</t>
        </is>
      </c>
      <c r="C1262" s="522" t="inlineStr">
        <is>
          <t>56ប៊ី-លីង សឹបផ្លាយ ឆេន មេនេចម៉ិន ឯ.ក</t>
        </is>
      </c>
      <c r="D1262" s="522" t="inlineStr">
        <is>
          <t>K004-902004795</t>
        </is>
      </c>
      <c r="E1262" s="521" t="inlineStr">
        <is>
          <t>IN202103-0227</t>
        </is>
      </c>
      <c r="F1262" s="523" t="n">
        <v>44286</v>
      </c>
      <c r="G1262" s="556" t="n">
        <v>279105</v>
      </c>
      <c r="I1262" s="521">
        <f>G1262</f>
        <v/>
      </c>
      <c r="K1262" s="521">
        <f>I1262-G1262</f>
        <v/>
      </c>
      <c r="M1262" s="522" t="inlineStr">
        <is>
          <t>IN2021030227</t>
        </is>
      </c>
      <c r="N1262" s="522" t="inlineStr">
        <is>
          <t>IN2021030227</t>
        </is>
      </c>
      <c r="O1262" s="521">
        <f>M1262=N1262</f>
        <v/>
      </c>
      <c r="P1262" s="521">
        <f>AND(MONTH(F1262)=MONTH(S1262), YEAR(F1262)=YEAR(S1262))</f>
        <v/>
      </c>
      <c r="Q1262" s="521">
        <f>U1262="L001-901905215"</f>
        <v/>
      </c>
      <c r="R1262" s="556">
        <f>G1262-W1262</f>
        <v/>
      </c>
      <c r="S1262" s="523" t="n">
        <v>44286</v>
      </c>
      <c r="T1262" s="522" t="inlineStr">
        <is>
          <t>IN202103-0227</t>
        </is>
      </c>
      <c r="U1262" s="522" t="inlineStr">
        <is>
          <t>L001-901905215</t>
        </is>
      </c>
      <c r="V1262" s="522" t="inlineStr">
        <is>
          <t>វីអ៊ីស៊ិន (ខេមបូឌា) អ៊ិនដាសស្ទ្រី ឯ.ក</t>
        </is>
      </c>
      <c r="W1262" s="556" t="n">
        <v>279105</v>
      </c>
    </row>
    <row r="1263">
      <c r="A1263" s="521" t="n">
        <v>1255</v>
      </c>
      <c r="B1263" s="522" t="inlineStr">
        <is>
          <t>Customs Clearance, Truck Fee</t>
        </is>
      </c>
      <c r="C1263" s="522" t="inlineStr">
        <is>
          <t>56ប៊ី-លីង សឹបផ្លាយ ឆេន មេនេចម៉ិន ឯ.ក</t>
        </is>
      </c>
      <c r="D1263" s="522" t="inlineStr">
        <is>
          <t>K004-902004795</t>
        </is>
      </c>
      <c r="E1263" s="521" t="inlineStr">
        <is>
          <t>IN202103-0226</t>
        </is>
      </c>
      <c r="F1263" s="523" t="n">
        <v>44286</v>
      </c>
      <c r="G1263" s="556" t="n">
        <v>157755</v>
      </c>
      <c r="I1263" s="521">
        <f>G1263</f>
        <v/>
      </c>
      <c r="K1263" s="521">
        <f>I1263-G1263</f>
        <v/>
      </c>
      <c r="M1263" s="522" t="inlineStr">
        <is>
          <t>IN2021030226</t>
        </is>
      </c>
      <c r="N1263" s="522" t="inlineStr">
        <is>
          <t>IN2021030226</t>
        </is>
      </c>
      <c r="O1263" s="521">
        <f>M1263=N1263</f>
        <v/>
      </c>
      <c r="P1263" s="521">
        <f>AND(MONTH(F1263)=MONTH(S1263), YEAR(F1263)=YEAR(S1263))</f>
        <v/>
      </c>
      <c r="Q1263" s="521">
        <f>U1263="L001-901905215"</f>
        <v/>
      </c>
      <c r="R1263" s="556">
        <f>G1263-W1263</f>
        <v/>
      </c>
      <c r="S1263" s="523" t="n">
        <v>44286</v>
      </c>
      <c r="T1263" s="522" t="inlineStr">
        <is>
          <t>IN202103-0226</t>
        </is>
      </c>
      <c r="U1263" s="522" t="inlineStr">
        <is>
          <t>L001-901905215</t>
        </is>
      </c>
      <c r="V1263" s="522" t="inlineStr">
        <is>
          <t>វីអ៊ីស៊ិន (ខេមបូឌា) អ៊ិនដាសស្ទ្រី ឯ.ក</t>
        </is>
      </c>
      <c r="W1263" s="556" t="n">
        <v>157755</v>
      </c>
    </row>
    <row r="1264">
      <c r="A1264" s="521" t="n">
        <v>1256</v>
      </c>
      <c r="B1264" s="522" t="inlineStr">
        <is>
          <t>Customs Clearance, Truck Fee</t>
        </is>
      </c>
      <c r="C1264" s="522" t="inlineStr">
        <is>
          <t>56ប៊ី-លីង សឹបផ្លាយ ឆេន មេនេចម៉ិន ឯ.ក</t>
        </is>
      </c>
      <c r="D1264" s="522" t="inlineStr">
        <is>
          <t>K004-902004795</t>
        </is>
      </c>
      <c r="E1264" s="521" t="inlineStr">
        <is>
          <t>IN202103-0225</t>
        </is>
      </c>
      <c r="F1264" s="523" t="n">
        <v>44286</v>
      </c>
      <c r="G1264" s="556" t="n">
        <v>311465</v>
      </c>
      <c r="I1264" s="521">
        <f>G1264</f>
        <v/>
      </c>
      <c r="K1264" s="521">
        <f>I1264-G1264</f>
        <v/>
      </c>
      <c r="M1264" s="522" t="inlineStr">
        <is>
          <t>IN2021030225</t>
        </is>
      </c>
      <c r="N1264" s="522" t="inlineStr">
        <is>
          <t>IN2021030225</t>
        </is>
      </c>
      <c r="O1264" s="521">
        <f>M1264=N1264</f>
        <v/>
      </c>
      <c r="P1264" s="521">
        <f>AND(MONTH(F1264)=MONTH(S1264), YEAR(F1264)=YEAR(S1264))</f>
        <v/>
      </c>
      <c r="Q1264" s="521">
        <f>U1264="L001-901905215"</f>
        <v/>
      </c>
      <c r="R1264" s="556">
        <f>G1264-W1264</f>
        <v/>
      </c>
      <c r="S1264" s="523" t="n">
        <v>44286</v>
      </c>
      <c r="T1264" s="522" t="inlineStr">
        <is>
          <t>IN202103-0225</t>
        </is>
      </c>
      <c r="U1264" s="522" t="inlineStr">
        <is>
          <t>L001-901905215</t>
        </is>
      </c>
      <c r="V1264" s="522" t="inlineStr">
        <is>
          <t>វីអ៊ីស៊ិន (ខេមបូឌា) អ៊ិនដាសស្ទ្រី ឯ.ក</t>
        </is>
      </c>
      <c r="W1264" s="556" t="n">
        <v>311465</v>
      </c>
    </row>
    <row r="1265">
      <c r="A1265" s="521" t="n">
        <v>1257</v>
      </c>
      <c r="B1265" s="522" t="inlineStr">
        <is>
          <t>Customs Clearance, Truck Fee</t>
        </is>
      </c>
      <c r="C1265" s="522" t="inlineStr">
        <is>
          <t>56ប៊ី-លីង សឹបផ្លាយ ឆេន មេនេចម៉ិន ឯ.ក</t>
        </is>
      </c>
      <c r="D1265" s="522" t="inlineStr">
        <is>
          <t>K004-902004795</t>
        </is>
      </c>
      <c r="E1265" s="521" t="inlineStr">
        <is>
          <t>IN202103-0224</t>
        </is>
      </c>
      <c r="F1265" s="523" t="n">
        <v>44286</v>
      </c>
      <c r="G1265" s="556" t="n">
        <v>157755</v>
      </c>
      <c r="I1265" s="521">
        <f>G1265</f>
        <v/>
      </c>
      <c r="K1265" s="521">
        <f>I1265-G1265</f>
        <v/>
      </c>
      <c r="M1265" s="522" t="inlineStr">
        <is>
          <t>IN2021030224</t>
        </is>
      </c>
      <c r="N1265" s="522" t="inlineStr">
        <is>
          <t>IN2021030224</t>
        </is>
      </c>
      <c r="O1265" s="521">
        <f>M1265=N1265</f>
        <v/>
      </c>
      <c r="P1265" s="521">
        <f>AND(MONTH(F1265)=MONTH(S1265), YEAR(F1265)=YEAR(S1265))</f>
        <v/>
      </c>
      <c r="Q1265" s="521">
        <f>U1265="L001-901905215"</f>
        <v/>
      </c>
      <c r="R1265" s="556">
        <f>G1265-W1265</f>
        <v/>
      </c>
      <c r="S1265" s="523" t="n">
        <v>44286</v>
      </c>
      <c r="T1265" s="522" t="inlineStr">
        <is>
          <t>IN202103-0224</t>
        </is>
      </c>
      <c r="U1265" s="522" t="inlineStr">
        <is>
          <t>L001-901905215</t>
        </is>
      </c>
      <c r="V1265" s="522" t="inlineStr">
        <is>
          <t>វីអ៊ីស៊ិន (ខេមបូឌា) អ៊ិនដាសស្ទ្រី ឯ.ក</t>
        </is>
      </c>
      <c r="W1265" s="556" t="n">
        <v>157755</v>
      </c>
    </row>
    <row r="1266">
      <c r="A1266" s="521" t="n">
        <v>1258</v>
      </c>
      <c r="B1266" s="522" t="inlineStr">
        <is>
          <t>Customs Clearance, Truck Fee</t>
        </is>
      </c>
      <c r="C1266" s="522" t="inlineStr">
        <is>
          <t>56ប៊ី-លីង សឹបផ្លាយ ឆេន មេនេចម៉ិន ឯ.ក</t>
        </is>
      </c>
      <c r="D1266" s="522" t="inlineStr">
        <is>
          <t>K004-902004795</t>
        </is>
      </c>
      <c r="E1266" s="521" t="inlineStr">
        <is>
          <t>IN202103-0214</t>
        </is>
      </c>
      <c r="F1266" s="523" t="n">
        <v>44286</v>
      </c>
      <c r="G1266" s="556" t="n">
        <v>311465</v>
      </c>
      <c r="I1266" s="521">
        <f>G1266</f>
        <v/>
      </c>
      <c r="K1266" s="521">
        <f>I1266-G1266</f>
        <v/>
      </c>
      <c r="M1266" s="522" t="inlineStr">
        <is>
          <t>IN2021030214</t>
        </is>
      </c>
      <c r="N1266" s="522" t="inlineStr">
        <is>
          <t>IN2021030214</t>
        </is>
      </c>
      <c r="O1266" s="521">
        <f>M1266=N1266</f>
        <v/>
      </c>
      <c r="P1266" s="521">
        <f>AND(MONTH(F1266)=MONTH(S1266), YEAR(F1266)=YEAR(S1266))</f>
        <v/>
      </c>
      <c r="Q1266" s="521">
        <f>U1266="L001-901905215"</f>
        <v/>
      </c>
      <c r="R1266" s="556">
        <f>G1266-W1266</f>
        <v/>
      </c>
      <c r="S1266" s="523" t="n">
        <v>44286</v>
      </c>
      <c r="T1266" s="522" t="inlineStr">
        <is>
          <t>IN202103-0214</t>
        </is>
      </c>
      <c r="U1266" s="522" t="inlineStr">
        <is>
          <t>L001-901905215</t>
        </is>
      </c>
      <c r="V1266" s="522" t="inlineStr">
        <is>
          <t>វីអ៊ីស៊ិន (ខេមបូឌា) អ៊ិនដាសស្ទ្រី ឯ.ក</t>
        </is>
      </c>
      <c r="W1266" s="556" t="n">
        <v>311465</v>
      </c>
    </row>
    <row r="1267">
      <c r="A1267" s="521" t="n">
        <v>1259</v>
      </c>
      <c r="B1267" s="522" t="inlineStr">
        <is>
          <t>Customs Clearance, Truck Fee</t>
        </is>
      </c>
      <c r="C1267" s="522" t="inlineStr">
        <is>
          <t>56ប៊ី-លីង សឹបផ្លាយ ឆេន មេនេចម៉ិន ឯ.ក</t>
        </is>
      </c>
      <c r="D1267" s="522" t="inlineStr">
        <is>
          <t>K004-902004795</t>
        </is>
      </c>
      <c r="E1267" s="521" t="inlineStr">
        <is>
          <t>IN202103-0212</t>
        </is>
      </c>
      <c r="F1267" s="523" t="n">
        <v>44286</v>
      </c>
      <c r="G1267" s="556" t="n">
        <v>311465</v>
      </c>
      <c r="I1267" s="521">
        <f>G1267</f>
        <v/>
      </c>
      <c r="K1267" s="521">
        <f>I1267-G1267</f>
        <v/>
      </c>
      <c r="M1267" s="522" t="inlineStr">
        <is>
          <t>IN2021030212</t>
        </is>
      </c>
      <c r="N1267" s="522" t="inlineStr">
        <is>
          <t>IN2021030212</t>
        </is>
      </c>
      <c r="O1267" s="521">
        <f>M1267=N1267</f>
        <v/>
      </c>
      <c r="P1267" s="521">
        <f>AND(MONTH(F1267)=MONTH(S1267), YEAR(F1267)=YEAR(S1267))</f>
        <v/>
      </c>
      <c r="Q1267" s="521">
        <f>U1267="L001-901905215"</f>
        <v/>
      </c>
      <c r="R1267" s="556">
        <f>G1267-W1267</f>
        <v/>
      </c>
      <c r="S1267" s="523" t="n">
        <v>44286</v>
      </c>
      <c r="T1267" s="522" t="inlineStr">
        <is>
          <t>IN202103-0212</t>
        </is>
      </c>
      <c r="U1267" s="522" t="inlineStr">
        <is>
          <t>L001-901905215</t>
        </is>
      </c>
      <c r="V1267" s="522" t="inlineStr">
        <is>
          <t>វីអ៊ីស៊ិន (ខេមបូឌា) អ៊ិនដាសស្ទ្រី ឯ.ក</t>
        </is>
      </c>
      <c r="W1267" s="556" t="n">
        <v>311465</v>
      </c>
    </row>
    <row r="1268">
      <c r="A1268" s="521" t="n">
        <v>1260</v>
      </c>
      <c r="B1268" s="522" t="inlineStr">
        <is>
          <t>Customs Clearance, Handling Fee</t>
        </is>
      </c>
      <c r="C1268" s="522" t="inlineStr">
        <is>
          <t>56ប៊ី-លីង សឹបផ្លាយ ឆេន មេនេចម៉ិន ឯ.ក</t>
        </is>
      </c>
      <c r="D1268" s="522" t="inlineStr">
        <is>
          <t>K004-902004795</t>
        </is>
      </c>
      <c r="E1268" s="521" t="inlineStr">
        <is>
          <t>IN202103-0211</t>
        </is>
      </c>
      <c r="F1268" s="523" t="n">
        <v>44286</v>
      </c>
      <c r="G1268" s="556" t="n">
        <v>157755</v>
      </c>
      <c r="I1268" s="521">
        <f>G1268</f>
        <v/>
      </c>
      <c r="K1268" s="521">
        <f>I1268-G1268</f>
        <v/>
      </c>
      <c r="M1268" s="522" t="inlineStr">
        <is>
          <t>IN2021030211</t>
        </is>
      </c>
      <c r="N1268" s="522" t="inlineStr">
        <is>
          <t>IN2021030211</t>
        </is>
      </c>
      <c r="O1268" s="521">
        <f>M1268=N1268</f>
        <v/>
      </c>
      <c r="P1268" s="521">
        <f>AND(MONTH(F1268)=MONTH(S1268), YEAR(F1268)=YEAR(S1268))</f>
        <v/>
      </c>
      <c r="Q1268" s="521">
        <f>U1268="L001-901905215"</f>
        <v/>
      </c>
      <c r="R1268" s="556">
        <f>G1268-W1268</f>
        <v/>
      </c>
      <c r="S1268" s="523" t="n">
        <v>44286</v>
      </c>
      <c r="T1268" s="522" t="inlineStr">
        <is>
          <t>IN202103-0211</t>
        </is>
      </c>
      <c r="U1268" s="522" t="inlineStr">
        <is>
          <t>L001-901905215</t>
        </is>
      </c>
      <c r="V1268" s="522" t="inlineStr">
        <is>
          <t>វីអ៊ីស៊ិន (ខេមបូឌា) អ៊ិនដាសស្ទ្រី ឯ.ក</t>
        </is>
      </c>
      <c r="W1268" s="556" t="n">
        <v>157755</v>
      </c>
    </row>
    <row r="1269">
      <c r="A1269" s="521" t="n">
        <v>1261</v>
      </c>
      <c r="B1269" s="522" t="inlineStr">
        <is>
          <t>Customs Clearance, Truck Fee</t>
        </is>
      </c>
      <c r="C1269" s="522" t="inlineStr">
        <is>
          <t>56ប៊ី-លីង សឹបផ្លាយ ឆេន មេនេចម៉ិន ឯ.ក</t>
        </is>
      </c>
      <c r="D1269" s="522" t="inlineStr">
        <is>
          <t>K004-902004795</t>
        </is>
      </c>
      <c r="E1269" s="521" t="inlineStr">
        <is>
          <t>IN202103-0210</t>
        </is>
      </c>
      <c r="F1269" s="523" t="n">
        <v>44286</v>
      </c>
      <c r="G1269" s="556" t="n">
        <v>256858</v>
      </c>
      <c r="I1269" s="521">
        <f>G1269</f>
        <v/>
      </c>
      <c r="K1269" s="521">
        <f>I1269-G1269</f>
        <v/>
      </c>
      <c r="M1269" s="522" t="inlineStr">
        <is>
          <t>IN2021030210</t>
        </is>
      </c>
      <c r="N1269" s="522" t="inlineStr">
        <is>
          <t>IN2021030210</t>
        </is>
      </c>
      <c r="O1269" s="521">
        <f>M1269=N1269</f>
        <v/>
      </c>
      <c r="P1269" s="521">
        <f>AND(MONTH(F1269)=MONTH(S1269), YEAR(F1269)=YEAR(S1269))</f>
        <v/>
      </c>
      <c r="Q1269" s="521">
        <f>U1269="L001-901905215"</f>
        <v/>
      </c>
      <c r="R1269" s="556">
        <f>G1269-W1269</f>
        <v/>
      </c>
      <c r="S1269" s="523" t="n">
        <v>44286</v>
      </c>
      <c r="T1269" s="522" t="inlineStr">
        <is>
          <t>IN202103-0210</t>
        </is>
      </c>
      <c r="U1269" s="522" t="inlineStr">
        <is>
          <t>L001-901905215</t>
        </is>
      </c>
      <c r="V1269" s="522" t="inlineStr">
        <is>
          <t>វីអ៊ីស៊ិន (ខេមបូឌា) អ៊ិនដាសស្ទ្រី ឯ.ក</t>
        </is>
      </c>
      <c r="W1269" s="556" t="n">
        <v>256858</v>
      </c>
    </row>
    <row r="1270">
      <c r="A1270" s="521" t="n">
        <v>1262</v>
      </c>
      <c r="B1270" s="522" t="inlineStr">
        <is>
          <t>Customs Clearance, Truck Fee</t>
        </is>
      </c>
      <c r="C1270" s="522" t="inlineStr">
        <is>
          <t>56ប៊ី-លីង សឹបផ្លាយ ឆេន មេនេចម៉ិន ឯ.ក</t>
        </is>
      </c>
      <c r="D1270" s="522" t="inlineStr">
        <is>
          <t>K004-902004795</t>
        </is>
      </c>
      <c r="E1270" s="521" t="inlineStr">
        <is>
          <t>IN202103-0205</t>
        </is>
      </c>
      <c r="F1270" s="523" t="n">
        <v>44286</v>
      </c>
      <c r="G1270" s="556" t="n">
        <v>256858</v>
      </c>
      <c r="I1270" s="521">
        <f>G1270</f>
        <v/>
      </c>
      <c r="K1270" s="521">
        <f>I1270-G1270</f>
        <v/>
      </c>
      <c r="M1270" s="522" t="inlineStr">
        <is>
          <t>IN2021030205</t>
        </is>
      </c>
      <c r="N1270" s="522" t="inlineStr">
        <is>
          <t>IN2021030205</t>
        </is>
      </c>
      <c r="O1270" s="521">
        <f>M1270=N1270</f>
        <v/>
      </c>
      <c r="P1270" s="521">
        <f>AND(MONTH(F1270)=MONTH(S1270), YEAR(F1270)=YEAR(S1270))</f>
        <v/>
      </c>
      <c r="Q1270" s="521">
        <f>U1270="L001-901905215"</f>
        <v/>
      </c>
      <c r="R1270" s="556">
        <f>G1270-W1270</f>
        <v/>
      </c>
      <c r="S1270" s="523" t="n">
        <v>44286</v>
      </c>
      <c r="T1270" s="522" t="inlineStr">
        <is>
          <t>IN202103-0205</t>
        </is>
      </c>
      <c r="U1270" s="522" t="inlineStr">
        <is>
          <t>L001-901905215</t>
        </is>
      </c>
      <c r="V1270" s="522" t="inlineStr">
        <is>
          <t>វីអ៊ីស៊ិន (ខេមបូឌា) អ៊ិនដាសស្ទ្រី ឯ.ក</t>
        </is>
      </c>
      <c r="W1270" s="556" t="n">
        <v>256858</v>
      </c>
    </row>
    <row r="1271">
      <c r="A1271" s="521" t="n">
        <v>1263</v>
      </c>
      <c r="B1271" s="522" t="inlineStr">
        <is>
          <t>Customs Clearance, Truck Fee</t>
        </is>
      </c>
      <c r="C1271" s="522" t="inlineStr">
        <is>
          <t>56ប៊ី-លីង សឹបផ្លាយ ឆេន មេនេចម៉ិន ឯ.ក</t>
        </is>
      </c>
      <c r="D1271" s="522" t="inlineStr">
        <is>
          <t>K004-902004795</t>
        </is>
      </c>
      <c r="E1271" s="521" t="inlineStr">
        <is>
          <t>IN202103-0204</t>
        </is>
      </c>
      <c r="F1271" s="523" t="n">
        <v>44286</v>
      </c>
      <c r="G1271" s="556" t="n">
        <v>256858</v>
      </c>
      <c r="I1271" s="521">
        <f>G1271</f>
        <v/>
      </c>
      <c r="K1271" s="521">
        <f>I1271-G1271</f>
        <v/>
      </c>
      <c r="M1271" s="522" t="inlineStr">
        <is>
          <t>IN2021030204</t>
        </is>
      </c>
      <c r="N1271" s="522" t="inlineStr">
        <is>
          <t>IN2021030204</t>
        </is>
      </c>
      <c r="O1271" s="521">
        <f>M1271=N1271</f>
        <v/>
      </c>
      <c r="P1271" s="521">
        <f>AND(MONTH(F1271)=MONTH(S1271), YEAR(F1271)=YEAR(S1271))</f>
        <v/>
      </c>
      <c r="Q1271" s="521">
        <f>U1271="L001-901905215"</f>
        <v/>
      </c>
      <c r="R1271" s="556">
        <f>G1271-W1271</f>
        <v/>
      </c>
      <c r="S1271" s="523" t="n">
        <v>44286</v>
      </c>
      <c r="T1271" s="522" t="inlineStr">
        <is>
          <t>IN202103-0204</t>
        </is>
      </c>
      <c r="U1271" s="522" t="inlineStr">
        <is>
          <t>L001-901905215</t>
        </is>
      </c>
      <c r="V1271" s="522" t="inlineStr">
        <is>
          <t>វីអ៊ីស៊ិន (ខេមបូឌា) អ៊ិនដាសស្ទ្រី ឯ.ក</t>
        </is>
      </c>
      <c r="W1271" s="556" t="n">
        <v>256858</v>
      </c>
    </row>
    <row r="1272">
      <c r="A1272" s="521" t="n">
        <v>1264</v>
      </c>
      <c r="B1272" s="522" t="inlineStr">
        <is>
          <t>Customs Clearance, Truck Fee</t>
        </is>
      </c>
      <c r="C1272" s="522" t="inlineStr">
        <is>
          <t>56ប៊ី-លីង សឹបផ្លាយ ឆេន មេនេចម៉ិន ឯ.ក</t>
        </is>
      </c>
      <c r="D1272" s="522" t="inlineStr">
        <is>
          <t>K004-902004795</t>
        </is>
      </c>
      <c r="E1272" s="521" t="inlineStr">
        <is>
          <t>IN202103-0203</t>
        </is>
      </c>
      <c r="F1272" s="523" t="n">
        <v>44286</v>
      </c>
      <c r="G1272" s="556" t="n">
        <v>517760</v>
      </c>
      <c r="I1272" s="521">
        <f>G1272</f>
        <v/>
      </c>
      <c r="K1272" s="521">
        <f>I1272-G1272</f>
        <v/>
      </c>
      <c r="M1272" s="522" t="inlineStr">
        <is>
          <t>IN2021030203</t>
        </is>
      </c>
      <c r="N1272" s="522" t="inlineStr">
        <is>
          <t>IN2021030203</t>
        </is>
      </c>
      <c r="O1272" s="521">
        <f>M1272=N1272</f>
        <v/>
      </c>
      <c r="P1272" s="521">
        <f>AND(MONTH(F1272)=MONTH(S1272), YEAR(F1272)=YEAR(S1272))</f>
        <v/>
      </c>
      <c r="Q1272" s="521">
        <f>U1272="L001-901905215"</f>
        <v/>
      </c>
      <c r="R1272" s="556">
        <f>G1272-W1272</f>
        <v/>
      </c>
      <c r="S1272" s="523" t="n">
        <v>44286</v>
      </c>
      <c r="T1272" s="522" t="inlineStr">
        <is>
          <t>IN202103-0203</t>
        </is>
      </c>
      <c r="U1272" s="522" t="inlineStr">
        <is>
          <t>L001-901905215</t>
        </is>
      </c>
      <c r="V1272" s="522" t="inlineStr">
        <is>
          <t>វីអ៊ីស៊ិន (ខេមបូឌា) អ៊ិនដាសស្ទ្រី ឯ.ក</t>
        </is>
      </c>
      <c r="W1272" s="556" t="n">
        <v>517760</v>
      </c>
    </row>
    <row r="1273">
      <c r="A1273" s="521" t="n">
        <v>1265</v>
      </c>
      <c r="B1273" s="522" t="inlineStr">
        <is>
          <t>Customs Clearance, Truck Fee</t>
        </is>
      </c>
      <c r="C1273" s="522" t="inlineStr">
        <is>
          <t>56ប៊ី-លីង សឹបផ្លាយ ឆេន មេនេចម៉ិន ឯ.ក</t>
        </is>
      </c>
      <c r="D1273" s="522" t="inlineStr">
        <is>
          <t>K004-902004795</t>
        </is>
      </c>
      <c r="E1273" s="521" t="inlineStr">
        <is>
          <t>IN202103-0202</t>
        </is>
      </c>
      <c r="F1273" s="523" t="n">
        <v>44286</v>
      </c>
      <c r="G1273" s="556" t="n">
        <v>269083</v>
      </c>
      <c r="I1273" s="521">
        <f>G1273</f>
        <v/>
      </c>
      <c r="K1273" s="521">
        <f>I1273-G1273</f>
        <v/>
      </c>
      <c r="M1273" s="522" t="inlineStr">
        <is>
          <t>IN2021030202</t>
        </is>
      </c>
      <c r="N1273" s="522" t="inlineStr">
        <is>
          <t>IN2021030202</t>
        </is>
      </c>
      <c r="O1273" s="521">
        <f>M1273=N1273</f>
        <v/>
      </c>
      <c r="P1273" s="521">
        <f>AND(MONTH(F1273)=MONTH(S1273), YEAR(F1273)=YEAR(S1273))</f>
        <v/>
      </c>
      <c r="Q1273" s="521">
        <f>U1273="L001-901905215"</f>
        <v/>
      </c>
      <c r="R1273" s="556">
        <f>G1273-W1273</f>
        <v/>
      </c>
      <c r="S1273" s="523" t="n">
        <v>44286</v>
      </c>
      <c r="T1273" s="522" t="inlineStr">
        <is>
          <t>IN202103-0202</t>
        </is>
      </c>
      <c r="U1273" s="522" t="inlineStr">
        <is>
          <t>L001-901905215</t>
        </is>
      </c>
      <c r="V1273" s="522" t="inlineStr">
        <is>
          <t>វីអ៊ីស៊ិន (ខេមបូឌា) អ៊ិនដាសស្ទ្រី ឯ.ក</t>
        </is>
      </c>
      <c r="W1273" s="556" t="n">
        <v>268993</v>
      </c>
    </row>
    <row r="1274">
      <c r="A1274" s="521" t="n">
        <v>1266</v>
      </c>
      <c r="B1274" s="522" t="inlineStr">
        <is>
          <t>Customs Clearance, Truck Fee</t>
        </is>
      </c>
      <c r="C1274" s="522" t="inlineStr">
        <is>
          <t>56ប៊ី-លីង សឹបផ្លាយ ឆេន មេនេចម៉ិន ឯ.ក</t>
        </is>
      </c>
      <c r="D1274" s="522" t="inlineStr">
        <is>
          <t>K004-902004795</t>
        </is>
      </c>
      <c r="E1274" s="521" t="inlineStr">
        <is>
          <t>IN202103-0199</t>
        </is>
      </c>
      <c r="F1274" s="523" t="n">
        <v>44286</v>
      </c>
      <c r="G1274" s="556" t="n">
        <v>906080</v>
      </c>
      <c r="I1274" s="521">
        <f>G1274</f>
        <v/>
      </c>
      <c r="K1274" s="521">
        <f>I1274-G1274</f>
        <v/>
      </c>
      <c r="M1274" s="522" t="inlineStr">
        <is>
          <t>IN2021030199</t>
        </is>
      </c>
      <c r="N1274" s="522" t="inlineStr">
        <is>
          <t>IN2021030199</t>
        </is>
      </c>
      <c r="O1274" s="521">
        <f>M1274=N1274</f>
        <v/>
      </c>
      <c r="P1274" s="521">
        <f>AND(MONTH(F1274)=MONTH(S1274), YEAR(F1274)=YEAR(S1274))</f>
        <v/>
      </c>
      <c r="Q1274" s="521">
        <f>U1274="L001-901905215"</f>
        <v/>
      </c>
      <c r="R1274" s="556">
        <f>G1274-W1274</f>
        <v/>
      </c>
      <c r="S1274" s="523" t="n">
        <v>44286</v>
      </c>
      <c r="T1274" s="522" t="inlineStr">
        <is>
          <t>IN202103-0199</t>
        </is>
      </c>
      <c r="U1274" s="522" t="inlineStr">
        <is>
          <t>L001-901905215</t>
        </is>
      </c>
      <c r="V1274" s="522" t="inlineStr">
        <is>
          <t>វីអ៊ីស៊ិន (ខេមបូឌា) អ៊ិនដាសស្ទ្រី ឯ.ក</t>
        </is>
      </c>
      <c r="W1274" s="556" t="n">
        <v>906080</v>
      </c>
    </row>
    <row r="1275">
      <c r="A1275" s="521" t="n">
        <v>1267</v>
      </c>
      <c r="B1275" s="522" t="inlineStr">
        <is>
          <t>Customs Clearance, Truck Fee</t>
        </is>
      </c>
      <c r="C1275" s="522" t="inlineStr">
        <is>
          <t>56ប៊ី-លីង សឹបផ្លាយ ឆេន មេនេចម៉ិន ឯ.ក</t>
        </is>
      </c>
      <c r="D1275" s="522" t="inlineStr">
        <is>
          <t>K004-902004795</t>
        </is>
      </c>
      <c r="E1275" s="521" t="inlineStr">
        <is>
          <t>IN202103-0197</t>
        </is>
      </c>
      <c r="F1275" s="523" t="n">
        <v>44286</v>
      </c>
      <c r="G1275" s="556" t="n">
        <v>268993</v>
      </c>
      <c r="I1275" s="521">
        <f>G1275</f>
        <v/>
      </c>
      <c r="K1275" s="521">
        <f>I1275-G1275</f>
        <v/>
      </c>
      <c r="M1275" s="522" t="inlineStr">
        <is>
          <t>IN2021030197</t>
        </is>
      </c>
      <c r="N1275" s="522" t="inlineStr">
        <is>
          <t>IN2021030197</t>
        </is>
      </c>
      <c r="O1275" s="521">
        <f>M1275=N1275</f>
        <v/>
      </c>
      <c r="P1275" s="521">
        <f>AND(MONTH(F1275)=MONTH(S1275), YEAR(F1275)=YEAR(S1275))</f>
        <v/>
      </c>
      <c r="Q1275" s="521">
        <f>U1275="L001-901905215"</f>
        <v/>
      </c>
      <c r="R1275" s="556">
        <f>G1275-W1275</f>
        <v/>
      </c>
      <c r="S1275" s="523" t="n">
        <v>44286</v>
      </c>
      <c r="T1275" s="522" t="inlineStr">
        <is>
          <t>IN202103-0197</t>
        </is>
      </c>
      <c r="U1275" s="522" t="inlineStr">
        <is>
          <t>L001-901905215</t>
        </is>
      </c>
      <c r="V1275" s="522" t="inlineStr">
        <is>
          <t>វីអ៊ីស៊ិន (ខេមបូឌា) អ៊ិនដាសស្ទ្រី ឯ.ក</t>
        </is>
      </c>
      <c r="W1275" s="556" t="n">
        <v>268993</v>
      </c>
    </row>
    <row r="1276">
      <c r="A1276" s="521" t="n">
        <v>1268</v>
      </c>
      <c r="B1276" s="522" t="inlineStr">
        <is>
          <t>Customs Clearance, Truck Fee</t>
        </is>
      </c>
      <c r="C1276" s="522" t="inlineStr">
        <is>
          <t>56ប៊ី-លីង សឹបផ្លាយ ឆេន មេនេចម៉ិន ឯ.ក</t>
        </is>
      </c>
      <c r="D1276" s="522" t="inlineStr">
        <is>
          <t>K004-902004795</t>
        </is>
      </c>
      <c r="E1276" s="521" t="inlineStr">
        <is>
          <t>IN202103-0196</t>
        </is>
      </c>
      <c r="F1276" s="523" t="n">
        <v>44286</v>
      </c>
      <c r="G1276" s="556" t="n">
        <v>586525</v>
      </c>
      <c r="I1276" s="521">
        <f>G1276</f>
        <v/>
      </c>
      <c r="K1276" s="521">
        <f>I1276-G1276</f>
        <v/>
      </c>
      <c r="M1276" s="522" t="inlineStr">
        <is>
          <t>IN2021030196</t>
        </is>
      </c>
      <c r="N1276" s="522" t="inlineStr">
        <is>
          <t>IN2021030196</t>
        </is>
      </c>
      <c r="O1276" s="521">
        <f>M1276=N1276</f>
        <v/>
      </c>
      <c r="P1276" s="521">
        <f>AND(MONTH(F1276)=MONTH(S1276), YEAR(F1276)=YEAR(S1276))</f>
        <v/>
      </c>
      <c r="Q1276" s="521">
        <f>U1276="L001-901905215"</f>
        <v/>
      </c>
      <c r="R1276" s="556">
        <f>G1276-W1276</f>
        <v/>
      </c>
      <c r="S1276" s="523" t="n">
        <v>44286</v>
      </c>
      <c r="T1276" s="522" t="inlineStr">
        <is>
          <t>IN202103-0196</t>
        </is>
      </c>
      <c r="U1276" s="522" t="inlineStr">
        <is>
          <t>L001-901905215</t>
        </is>
      </c>
      <c r="V1276" s="522" t="inlineStr">
        <is>
          <t>វីអ៊ីស៊ិន (ខេមបូឌា) អ៊ិនដាសស្ទ្រី ឯ.ក</t>
        </is>
      </c>
      <c r="W1276" s="556" t="n">
        <v>586525</v>
      </c>
    </row>
    <row r="1277">
      <c r="A1277" s="521" t="n">
        <v>1269</v>
      </c>
      <c r="B1277" s="522" t="inlineStr">
        <is>
          <t>Customs Clearance, Truck Fee</t>
        </is>
      </c>
      <c r="C1277" s="522" t="inlineStr">
        <is>
          <t>56ប៊ី-លីង សឹបផ្លាយ ឆេន មេនេចម៉ិន ឯ.ក</t>
        </is>
      </c>
      <c r="D1277" s="522" t="inlineStr">
        <is>
          <t>K004-902004795</t>
        </is>
      </c>
      <c r="E1277" s="521" t="inlineStr">
        <is>
          <t>IN202103-0195</t>
        </is>
      </c>
      <c r="F1277" s="523" t="n">
        <v>44286</v>
      </c>
      <c r="G1277" s="556" t="n">
        <v>337758</v>
      </c>
      <c r="I1277" s="521">
        <f>G1277</f>
        <v/>
      </c>
      <c r="K1277" s="521">
        <f>I1277-G1277</f>
        <v/>
      </c>
      <c r="M1277" s="522" t="inlineStr">
        <is>
          <t>IN2021030195</t>
        </is>
      </c>
      <c r="N1277" s="522" t="inlineStr">
        <is>
          <t>IN2021030195</t>
        </is>
      </c>
      <c r="O1277" s="521">
        <f>M1277=N1277</f>
        <v/>
      </c>
      <c r="P1277" s="521">
        <f>AND(MONTH(F1277)=MONTH(S1277), YEAR(F1277)=YEAR(S1277))</f>
        <v/>
      </c>
      <c r="Q1277" s="521">
        <f>U1277="L001-901905215"</f>
        <v/>
      </c>
      <c r="R1277" s="556">
        <f>G1277-W1277</f>
        <v/>
      </c>
      <c r="S1277" s="523" t="n">
        <v>44286</v>
      </c>
      <c r="T1277" s="522" t="inlineStr">
        <is>
          <t>IN202103-0195</t>
        </is>
      </c>
      <c r="U1277" s="522" t="inlineStr">
        <is>
          <t>L001-901905215</t>
        </is>
      </c>
      <c r="V1277" s="522" t="inlineStr">
        <is>
          <t>វីអ៊ីស៊ិន (ខេមបូឌា) អ៊ិនដាសស្ទ្រី ឯ.ក</t>
        </is>
      </c>
      <c r="W1277" s="556" t="n">
        <v>337758</v>
      </c>
    </row>
    <row r="1278">
      <c r="A1278" s="521" t="n">
        <v>1270</v>
      </c>
      <c r="B1278" s="522" t="inlineStr">
        <is>
          <t>Customs Clearance, Truck Fee</t>
        </is>
      </c>
      <c r="C1278" s="522" t="inlineStr">
        <is>
          <t>56ប៊ី-លីង សឹបផ្លាយ ឆេន មេនេចម៉ិន ឯ.ក</t>
        </is>
      </c>
      <c r="D1278" s="522" t="inlineStr">
        <is>
          <t>K004-902004795</t>
        </is>
      </c>
      <c r="E1278" s="521" t="inlineStr">
        <is>
          <t>IN202103-0194</t>
        </is>
      </c>
      <c r="F1278" s="523" t="n">
        <v>44286</v>
      </c>
      <c r="G1278" s="556" t="n">
        <v>337758</v>
      </c>
      <c r="I1278" s="521">
        <f>G1278</f>
        <v/>
      </c>
      <c r="K1278" s="521">
        <f>I1278-G1278</f>
        <v/>
      </c>
      <c r="M1278" s="522" t="inlineStr">
        <is>
          <t>IN2021030194</t>
        </is>
      </c>
      <c r="N1278" s="522" t="inlineStr">
        <is>
          <t>IN2021030194</t>
        </is>
      </c>
      <c r="O1278" s="521">
        <f>M1278=N1278</f>
        <v/>
      </c>
      <c r="P1278" s="521">
        <f>AND(MONTH(F1278)=MONTH(S1278), YEAR(F1278)=YEAR(S1278))</f>
        <v/>
      </c>
      <c r="Q1278" s="521">
        <f>U1278="L001-901905215"</f>
        <v/>
      </c>
      <c r="R1278" s="556">
        <f>G1278-W1278</f>
        <v/>
      </c>
      <c r="S1278" s="523" t="n">
        <v>44286</v>
      </c>
      <c r="T1278" s="522" t="inlineStr">
        <is>
          <t>IN202103-0194</t>
        </is>
      </c>
      <c r="U1278" s="522" t="inlineStr">
        <is>
          <t>L001-901905215</t>
        </is>
      </c>
      <c r="V1278" s="522" t="inlineStr">
        <is>
          <t>វីអ៊ីស៊ិន (ខេមបូឌា) អ៊ិនដាសស្ទ្រី ឯ.ក</t>
        </is>
      </c>
      <c r="W1278" s="556" t="n">
        <v>337758</v>
      </c>
    </row>
    <row r="1279">
      <c r="A1279" s="521" t="n">
        <v>1271</v>
      </c>
      <c r="B1279" s="522" t="inlineStr">
        <is>
          <t>Customs Clearance, Truck Fee</t>
        </is>
      </c>
      <c r="C1279" s="522" t="inlineStr">
        <is>
          <t>56ប៊ី-លីង សឹបផ្លាយ ឆេន មេនេចម៉ិន ឯ.ក</t>
        </is>
      </c>
      <c r="D1279" s="522" t="inlineStr">
        <is>
          <t>K004-902004795</t>
        </is>
      </c>
      <c r="E1279" s="521" t="inlineStr">
        <is>
          <t>IN202103-0193</t>
        </is>
      </c>
      <c r="F1279" s="523" t="n">
        <v>44286</v>
      </c>
      <c r="G1279" s="556" t="n">
        <v>1173050</v>
      </c>
      <c r="I1279" s="521">
        <f>G1279</f>
        <v/>
      </c>
      <c r="K1279" s="521">
        <f>I1279-G1279</f>
        <v/>
      </c>
      <c r="M1279" s="522" t="inlineStr">
        <is>
          <t>IN2021030193</t>
        </is>
      </c>
      <c r="N1279" s="522" t="inlineStr">
        <is>
          <t>IN2021030193</t>
        </is>
      </c>
      <c r="O1279" s="521">
        <f>M1279=N1279</f>
        <v/>
      </c>
      <c r="P1279" s="521">
        <f>AND(MONTH(F1279)=MONTH(S1279), YEAR(F1279)=YEAR(S1279))</f>
        <v/>
      </c>
      <c r="Q1279" s="521">
        <f>U1279="L001-901905215"</f>
        <v/>
      </c>
      <c r="R1279" s="556">
        <f>G1279-W1279</f>
        <v/>
      </c>
      <c r="S1279" s="523" t="n">
        <v>44286</v>
      </c>
      <c r="T1279" s="522" t="inlineStr">
        <is>
          <t>IN202103-0193</t>
        </is>
      </c>
      <c r="U1279" s="522" t="inlineStr">
        <is>
          <t>L001-901905215</t>
        </is>
      </c>
      <c r="V1279" s="522" t="inlineStr">
        <is>
          <t>វីអ៊ីស៊ិន (ខេមបូឌា) អ៊ិនដាសស្ទ្រី ឯ.ក</t>
        </is>
      </c>
      <c r="W1279" s="556" t="n">
        <v>1173050</v>
      </c>
    </row>
    <row r="1280">
      <c r="A1280" s="521" t="n">
        <v>1272</v>
      </c>
      <c r="B1280" s="522" t="inlineStr">
        <is>
          <t>Customs Clearance, Truck Fee</t>
        </is>
      </c>
      <c r="C1280" s="522" t="inlineStr">
        <is>
          <t>56ប៊ី-លីង សឹបផ្លាយ ឆេន មេនេចម៉ិន ឯ.ក</t>
        </is>
      </c>
      <c r="D1280" s="522" t="inlineStr">
        <is>
          <t>K004-902004795</t>
        </is>
      </c>
      <c r="E1280" s="521" t="inlineStr">
        <is>
          <t>IN202103-0192</t>
        </is>
      </c>
      <c r="F1280" s="523" t="n">
        <v>44286</v>
      </c>
      <c r="G1280" s="556" t="n">
        <v>268993</v>
      </c>
      <c r="I1280" s="521">
        <f>G1280</f>
        <v/>
      </c>
      <c r="K1280" s="521">
        <f>I1280-G1280</f>
        <v/>
      </c>
      <c r="M1280" s="522" t="inlineStr">
        <is>
          <t>IN2021030192</t>
        </is>
      </c>
      <c r="N1280" s="522" t="inlineStr">
        <is>
          <t>IN2021030192</t>
        </is>
      </c>
      <c r="O1280" s="521">
        <f>M1280=N1280</f>
        <v/>
      </c>
      <c r="P1280" s="521">
        <f>AND(MONTH(F1280)=MONTH(S1280), YEAR(F1280)=YEAR(S1280))</f>
        <v/>
      </c>
      <c r="Q1280" s="521">
        <f>U1280="L001-901905215"</f>
        <v/>
      </c>
      <c r="R1280" s="556">
        <f>G1280-W1280</f>
        <v/>
      </c>
      <c r="S1280" s="523" t="n">
        <v>44286</v>
      </c>
      <c r="T1280" s="522" t="inlineStr">
        <is>
          <t>IN202103-0192</t>
        </is>
      </c>
      <c r="U1280" s="522" t="inlineStr">
        <is>
          <t>L001-901905215</t>
        </is>
      </c>
      <c r="V1280" s="522" t="inlineStr">
        <is>
          <t>វីអ៊ីស៊ិន (ខេមបូឌា) អ៊ិនដាសស្ទ្រី ឯ.ក</t>
        </is>
      </c>
      <c r="W1280" s="556" t="n">
        <v>268993</v>
      </c>
    </row>
    <row r="1281">
      <c r="A1281" s="521" t="n">
        <v>1273</v>
      </c>
      <c r="B1281" s="522" t="inlineStr">
        <is>
          <t>Customs Clearance, Truck Fee</t>
        </is>
      </c>
      <c r="C1281" s="522" t="inlineStr">
        <is>
          <t>56ប៊ី-លីង សឹបផ្លាយ ឆេន មេនេចម៉ិន ឯ.ក</t>
        </is>
      </c>
      <c r="D1281" s="522" t="inlineStr">
        <is>
          <t>K004-902004795</t>
        </is>
      </c>
      <c r="E1281" s="521" t="inlineStr">
        <is>
          <t>IN202103-0190</t>
        </is>
      </c>
      <c r="F1281" s="523" t="n">
        <v>44286</v>
      </c>
      <c r="G1281" s="556" t="n">
        <v>268993</v>
      </c>
      <c r="I1281" s="521">
        <f>G1281</f>
        <v/>
      </c>
      <c r="K1281" s="521">
        <f>I1281-G1281</f>
        <v/>
      </c>
      <c r="M1281" s="522" t="inlineStr">
        <is>
          <t>IN2021030190</t>
        </is>
      </c>
      <c r="N1281" s="522" t="inlineStr">
        <is>
          <t>IN2021030190</t>
        </is>
      </c>
      <c r="O1281" s="521">
        <f>M1281=N1281</f>
        <v/>
      </c>
      <c r="P1281" s="521">
        <f>AND(MONTH(F1281)=MONTH(S1281), YEAR(F1281)=YEAR(S1281))</f>
        <v/>
      </c>
      <c r="Q1281" s="521">
        <f>U1281="L001-901905215"</f>
        <v/>
      </c>
      <c r="R1281" s="556">
        <f>G1281-W1281</f>
        <v/>
      </c>
      <c r="S1281" s="523" t="n">
        <v>44286</v>
      </c>
      <c r="T1281" s="522" t="inlineStr">
        <is>
          <t>IN202103-0190</t>
        </is>
      </c>
      <c r="U1281" s="522" t="inlineStr">
        <is>
          <t>L001-901905215</t>
        </is>
      </c>
      <c r="V1281" s="522" t="inlineStr">
        <is>
          <t>វីអ៊ីស៊ិន (ខេមបូឌា) អ៊ិនដាសស្ទ្រី ឯ.ក</t>
        </is>
      </c>
      <c r="W1281" s="556" t="n">
        <v>268993</v>
      </c>
    </row>
    <row r="1282">
      <c r="A1282" s="521" t="n">
        <v>1274</v>
      </c>
      <c r="B1282" s="522" t="inlineStr">
        <is>
          <t>Customs Clearance, Truck Fee</t>
        </is>
      </c>
      <c r="C1282" s="522" t="inlineStr">
        <is>
          <t>56ប៊ី-លីង សឹបផ្លាយ ឆេន មេនេចម៉ិន ឯ.ក</t>
        </is>
      </c>
      <c r="D1282" s="522" t="inlineStr">
        <is>
          <t>K004-902004795</t>
        </is>
      </c>
      <c r="E1282" s="521" t="inlineStr">
        <is>
          <t>IN202103-0187</t>
        </is>
      </c>
      <c r="F1282" s="523" t="n">
        <v>44286</v>
      </c>
      <c r="G1282" s="556" t="n">
        <v>311465</v>
      </c>
      <c r="I1282" s="521">
        <f>G1282</f>
        <v/>
      </c>
      <c r="K1282" s="521">
        <f>I1282-G1282</f>
        <v/>
      </c>
      <c r="M1282" s="522" t="inlineStr">
        <is>
          <t>IN2021030187</t>
        </is>
      </c>
      <c r="N1282" s="522" t="inlineStr">
        <is>
          <t>IN2021030187</t>
        </is>
      </c>
      <c r="O1282" s="521">
        <f>M1282=N1282</f>
        <v/>
      </c>
      <c r="P1282" s="521">
        <f>AND(MONTH(F1282)=MONTH(S1282), YEAR(F1282)=YEAR(S1282))</f>
        <v/>
      </c>
      <c r="Q1282" s="521">
        <f>U1282="L001-901905215"</f>
        <v/>
      </c>
      <c r="R1282" s="556">
        <f>G1282-W1282</f>
        <v/>
      </c>
      <c r="S1282" s="523" t="n">
        <v>44286</v>
      </c>
      <c r="T1282" s="522" t="inlineStr">
        <is>
          <t>IN202103-0187</t>
        </is>
      </c>
      <c r="U1282" s="522" t="inlineStr">
        <is>
          <t>L001-901905215</t>
        </is>
      </c>
      <c r="V1282" s="522" t="inlineStr">
        <is>
          <t>វីអ៊ីស៊ិន (ខេមបូឌា) អ៊ិនដាសស្ទ្រី ឯ.ក</t>
        </is>
      </c>
      <c r="W1282" s="556" t="n">
        <v>311465</v>
      </c>
    </row>
    <row r="1283">
      <c r="A1283" s="521" t="n">
        <v>1275</v>
      </c>
      <c r="B1283" s="522" t="inlineStr">
        <is>
          <t>Customs Clearance, Truck Fee</t>
        </is>
      </c>
      <c r="C1283" s="522" t="inlineStr">
        <is>
          <t>56ប៊ី-លីង សឹបផ្លាយ ឆេន មេនេចម៉ិន ឯ.ក</t>
        </is>
      </c>
      <c r="D1283" s="522" t="inlineStr">
        <is>
          <t>K004-902004795</t>
        </is>
      </c>
      <c r="E1283" s="521" t="inlineStr">
        <is>
          <t>IN202103-0184</t>
        </is>
      </c>
      <c r="F1283" s="523" t="n">
        <v>44286</v>
      </c>
      <c r="G1283" s="556" t="n">
        <v>582480</v>
      </c>
      <c r="I1283" s="521">
        <f>G1283</f>
        <v/>
      </c>
      <c r="K1283" s="521">
        <f>I1283-G1283</f>
        <v/>
      </c>
      <c r="M1283" s="522" t="inlineStr">
        <is>
          <t>IN2021030184</t>
        </is>
      </c>
      <c r="N1283" s="522" t="inlineStr">
        <is>
          <t>IN2021030184</t>
        </is>
      </c>
      <c r="O1283" s="521">
        <f>M1283=N1283</f>
        <v/>
      </c>
      <c r="P1283" s="521">
        <f>AND(MONTH(F1283)=MONTH(S1283), YEAR(F1283)=YEAR(S1283))</f>
        <v/>
      </c>
      <c r="Q1283" s="521">
        <f>U1283="L001-901905215"</f>
        <v/>
      </c>
      <c r="R1283" s="556">
        <f>G1283-W1283</f>
        <v/>
      </c>
      <c r="S1283" s="523" t="n">
        <v>44286</v>
      </c>
      <c r="T1283" s="522" t="inlineStr">
        <is>
          <t>IN202103-0184</t>
        </is>
      </c>
      <c r="U1283" s="522" t="inlineStr">
        <is>
          <t>L001-901905215</t>
        </is>
      </c>
      <c r="V1283" s="522" t="inlineStr">
        <is>
          <t>វីអ៊ីស៊ិន (ខេមបូឌា) អ៊ិនដាសស្ទ្រី ឯ.ក</t>
        </is>
      </c>
      <c r="W1283" s="556" t="n">
        <v>582480</v>
      </c>
    </row>
    <row r="1284">
      <c r="A1284" s="521" t="n">
        <v>1276</v>
      </c>
      <c r="B1284" s="522" t="inlineStr">
        <is>
          <t>Customs Clearance, Truck Fee</t>
        </is>
      </c>
      <c r="C1284" s="522" t="inlineStr">
        <is>
          <t>56ប៊ី-លីង សឹបផ្លាយ ឆេន មេនេចម៉ិន ឯ.ក</t>
        </is>
      </c>
      <c r="D1284" s="522" t="inlineStr">
        <is>
          <t>K004-902004795</t>
        </is>
      </c>
      <c r="E1284" s="521" t="inlineStr">
        <is>
          <t>IN202103-0182</t>
        </is>
      </c>
      <c r="F1284" s="523" t="n">
        <v>44286</v>
      </c>
      <c r="G1284" s="556" t="n">
        <v>311465</v>
      </c>
      <c r="I1284" s="521">
        <f>G1284</f>
        <v/>
      </c>
      <c r="K1284" s="521">
        <f>I1284-G1284</f>
        <v/>
      </c>
      <c r="M1284" s="522" t="inlineStr">
        <is>
          <t>IN2021030182</t>
        </is>
      </c>
      <c r="N1284" s="522" t="inlineStr">
        <is>
          <t>IN2021030182</t>
        </is>
      </c>
      <c r="O1284" s="521">
        <f>M1284=N1284</f>
        <v/>
      </c>
      <c r="P1284" s="521">
        <f>AND(MONTH(F1284)=MONTH(S1284), YEAR(F1284)=YEAR(S1284))</f>
        <v/>
      </c>
      <c r="Q1284" s="521">
        <f>U1284="L001-901905215"</f>
        <v/>
      </c>
      <c r="R1284" s="556">
        <f>G1284-W1284</f>
        <v/>
      </c>
      <c r="S1284" s="523" t="n">
        <v>44286</v>
      </c>
      <c r="T1284" s="522" t="inlineStr">
        <is>
          <t>IN202103-0182</t>
        </is>
      </c>
      <c r="U1284" s="522" t="inlineStr">
        <is>
          <t>L001-901905215</t>
        </is>
      </c>
      <c r="V1284" s="522" t="inlineStr">
        <is>
          <t>វីអ៊ីស៊ិន (ខេមបូឌា) អ៊ិនដាសស្ទ្រី ឯ.ក</t>
        </is>
      </c>
      <c r="W1284" s="556" t="n">
        <v>311465</v>
      </c>
    </row>
    <row r="1285">
      <c r="A1285" s="521" t="n">
        <v>1277</v>
      </c>
      <c r="B1285" s="522" t="inlineStr">
        <is>
          <t>Customs Clearance, Truck Fee</t>
        </is>
      </c>
      <c r="C1285" s="522" t="inlineStr">
        <is>
          <t>56ប៊ី-លីង សឹបផ្លាយ ឆេន មេនេចម៉ិន ឯ.ក</t>
        </is>
      </c>
      <c r="D1285" s="522" t="inlineStr">
        <is>
          <t>K004-902004795</t>
        </is>
      </c>
      <c r="E1285" s="521" t="inlineStr">
        <is>
          <t>IN202103-0180</t>
        </is>
      </c>
      <c r="F1285" s="523" t="n">
        <v>44286</v>
      </c>
      <c r="G1285" s="556" t="n">
        <v>311465</v>
      </c>
      <c r="I1285" s="521">
        <f>G1285</f>
        <v/>
      </c>
      <c r="K1285" s="521">
        <f>I1285-G1285</f>
        <v/>
      </c>
      <c r="M1285" s="522" t="inlineStr">
        <is>
          <t>IN2021030180</t>
        </is>
      </c>
      <c r="N1285" s="522" t="inlineStr">
        <is>
          <t>IN2021030180</t>
        </is>
      </c>
      <c r="O1285" s="521">
        <f>M1285=N1285</f>
        <v/>
      </c>
      <c r="P1285" s="521">
        <f>AND(MONTH(F1285)=MONTH(S1285), YEAR(F1285)=YEAR(S1285))</f>
        <v/>
      </c>
      <c r="Q1285" s="521">
        <f>U1285="L001-901905215"</f>
        <v/>
      </c>
      <c r="R1285" s="556">
        <f>G1285-W1285</f>
        <v/>
      </c>
      <c r="S1285" s="523" t="n">
        <v>44286</v>
      </c>
      <c r="T1285" s="522" t="inlineStr">
        <is>
          <t>IN202103-0180</t>
        </is>
      </c>
      <c r="U1285" s="522" t="inlineStr">
        <is>
          <t>L001-901905215</t>
        </is>
      </c>
      <c r="V1285" s="522" t="inlineStr">
        <is>
          <t>វីអ៊ីស៊ិន (ខេមបូឌា) អ៊ិនដាសស្ទ្រី ឯ.ក</t>
        </is>
      </c>
      <c r="W1285" s="556" t="n">
        <v>311465</v>
      </c>
    </row>
    <row r="1286">
      <c r="A1286" s="521" t="n">
        <v>1278</v>
      </c>
      <c r="B1286" s="522" t="inlineStr">
        <is>
          <t>Customs Clearance, Truck Fee</t>
        </is>
      </c>
      <c r="C1286" s="522" t="inlineStr">
        <is>
          <t>56ប៊ី-លីង សឹបផ្លាយ ឆេន មេនេចម៉ិន ឯ.ក</t>
        </is>
      </c>
      <c r="D1286" s="522" t="inlineStr">
        <is>
          <t>K004-902004795</t>
        </is>
      </c>
      <c r="E1286" s="521" t="inlineStr">
        <is>
          <t>IN202103-0178</t>
        </is>
      </c>
      <c r="F1286" s="523" t="n">
        <v>44286</v>
      </c>
      <c r="G1286" s="556" t="n">
        <v>693718</v>
      </c>
      <c r="I1286" s="521">
        <f>G1286</f>
        <v/>
      </c>
      <c r="K1286" s="521">
        <f>I1286-G1286</f>
        <v/>
      </c>
      <c r="M1286" s="522" t="inlineStr">
        <is>
          <t>IN2021030178</t>
        </is>
      </c>
      <c r="N1286" s="522" t="inlineStr">
        <is>
          <t>IN2021030178</t>
        </is>
      </c>
      <c r="O1286" s="521">
        <f>M1286=N1286</f>
        <v/>
      </c>
      <c r="P1286" s="521">
        <f>AND(MONTH(F1286)=MONTH(S1286), YEAR(F1286)=YEAR(S1286))</f>
        <v/>
      </c>
      <c r="Q1286" s="521">
        <f>U1286="L001-901905215"</f>
        <v/>
      </c>
      <c r="R1286" s="556">
        <f>G1286-W1286</f>
        <v/>
      </c>
      <c r="S1286" s="523" t="n">
        <v>44286</v>
      </c>
      <c r="T1286" s="522" t="inlineStr">
        <is>
          <t>IN202103-0178</t>
        </is>
      </c>
      <c r="U1286" s="522" t="inlineStr">
        <is>
          <t>L001-901905215</t>
        </is>
      </c>
      <c r="V1286" s="522" t="inlineStr">
        <is>
          <t>វីអ៊ីស៊ិន (ខេមបូឌា) អ៊ិនដាសស្ទ្រី ឯ.ក</t>
        </is>
      </c>
      <c r="W1286" s="556" t="n">
        <v>693718</v>
      </c>
    </row>
    <row r="1287">
      <c r="A1287" s="521" t="n">
        <v>1279</v>
      </c>
      <c r="B1287" s="522" t="inlineStr">
        <is>
          <t>Customs Clearance, Truck Fee</t>
        </is>
      </c>
      <c r="C1287" s="522" t="inlineStr">
        <is>
          <t>56ប៊ី-លីង សឹបផ្លាយ ឆេន មេនេចម៉ិន ឯ.ក</t>
        </is>
      </c>
      <c r="D1287" s="522" t="inlineStr">
        <is>
          <t>K004-902004795</t>
        </is>
      </c>
      <c r="E1287" s="521" t="inlineStr">
        <is>
          <t>IN202103-0177</t>
        </is>
      </c>
      <c r="F1287" s="523" t="n">
        <v>44286</v>
      </c>
      <c r="G1287" s="556" t="n">
        <v>268993</v>
      </c>
      <c r="I1287" s="521">
        <f>G1287</f>
        <v/>
      </c>
      <c r="K1287" s="521">
        <f>I1287-G1287</f>
        <v/>
      </c>
      <c r="M1287" s="522" t="inlineStr">
        <is>
          <t>IN2021030177</t>
        </is>
      </c>
      <c r="N1287" s="522" t="inlineStr">
        <is>
          <t>IN2021030177</t>
        </is>
      </c>
      <c r="O1287" s="521">
        <f>M1287=N1287</f>
        <v/>
      </c>
      <c r="P1287" s="521">
        <f>AND(MONTH(F1287)=MONTH(S1287), YEAR(F1287)=YEAR(S1287))</f>
        <v/>
      </c>
      <c r="Q1287" s="521">
        <f>U1287="L001-901905215"</f>
        <v/>
      </c>
      <c r="R1287" s="556">
        <f>G1287-W1287</f>
        <v/>
      </c>
      <c r="S1287" s="523" t="n">
        <v>44286</v>
      </c>
      <c r="T1287" s="522" t="inlineStr">
        <is>
          <t>IN202103-0177</t>
        </is>
      </c>
      <c r="U1287" s="522" t="inlineStr">
        <is>
          <t>L001-901905215</t>
        </is>
      </c>
      <c r="V1287" s="522" t="inlineStr">
        <is>
          <t>វីអ៊ីស៊ិន (ខេមបូឌា) អ៊ិនដាសស្ទ្រី ឯ.ក</t>
        </is>
      </c>
      <c r="W1287" s="556" t="n">
        <v>268993</v>
      </c>
    </row>
    <row r="1288">
      <c r="A1288" s="521" t="n">
        <v>1280</v>
      </c>
      <c r="B1288" s="522" t="inlineStr">
        <is>
          <t>Customs Clearance, Truck Fee</t>
        </is>
      </c>
      <c r="C1288" s="522" t="inlineStr">
        <is>
          <t>56ប៊ី-លីង សឹបផ្លាយ ឆេន មេនេចម៉ិន ឯ.ក</t>
        </is>
      </c>
      <c r="D1288" s="522" t="inlineStr">
        <is>
          <t>K004-902004795</t>
        </is>
      </c>
      <c r="E1288" s="521" t="inlineStr">
        <is>
          <t>IN202103-0176</t>
        </is>
      </c>
      <c r="F1288" s="523" t="n">
        <v>44286</v>
      </c>
      <c r="G1288" s="556" t="n">
        <v>481355</v>
      </c>
      <c r="I1288" s="521">
        <f>G1288</f>
        <v/>
      </c>
      <c r="K1288" s="521">
        <f>I1288-G1288</f>
        <v/>
      </c>
      <c r="M1288" s="522" t="inlineStr">
        <is>
          <t>IN2021030176</t>
        </is>
      </c>
      <c r="N1288" s="522" t="inlineStr"/>
      <c r="O1288" s="521">
        <f>M1288=N1288</f>
        <v/>
      </c>
      <c r="P1288" s="521">
        <f>AND(MONTH(F1288)=MONTH(S1288), YEAR(F1288)=YEAR(S1288))</f>
        <v/>
      </c>
      <c r="Q1288" s="521">
        <f>U1288="L001-901905215"</f>
        <v/>
      </c>
      <c r="R1288" s="556">
        <f>G1288-W1288</f>
        <v/>
      </c>
      <c r="S1288" s="521" t="n"/>
      <c r="T1288" s="522" t="n"/>
      <c r="U1288" s="522" t="n"/>
      <c r="V1288" s="522" t="n"/>
      <c r="W1288" s="521" t="n"/>
    </row>
    <row r="1289">
      <c r="A1289" s="521" t="n">
        <v>1281</v>
      </c>
      <c r="B1289" s="522" t="inlineStr">
        <is>
          <t>Customs Clearance, Truck Fee</t>
        </is>
      </c>
      <c r="C1289" s="522" t="inlineStr">
        <is>
          <t>56ប៊ី-លីង សឹបផ្លាយ ឆេន មេនេចម៉ិន ឯ.ក</t>
        </is>
      </c>
      <c r="D1289" s="522" t="inlineStr">
        <is>
          <t>K004-902004795</t>
        </is>
      </c>
      <c r="E1289" s="521" t="inlineStr">
        <is>
          <t>IN202103-0175</t>
        </is>
      </c>
      <c r="F1289" s="523" t="n">
        <v>44286</v>
      </c>
      <c r="G1289" s="556" t="n">
        <v>256858</v>
      </c>
      <c r="I1289" s="521">
        <f>G1289</f>
        <v/>
      </c>
      <c r="K1289" s="521">
        <f>I1289-G1289</f>
        <v/>
      </c>
      <c r="M1289" s="522" t="inlineStr">
        <is>
          <t>IN2021030175</t>
        </is>
      </c>
      <c r="N1289" s="522" t="inlineStr">
        <is>
          <t>IN2021030175</t>
        </is>
      </c>
      <c r="O1289" s="521">
        <f>M1289=N1289</f>
        <v/>
      </c>
      <c r="P1289" s="521">
        <f>AND(MONTH(F1289)=MONTH(S1289), YEAR(F1289)=YEAR(S1289))</f>
        <v/>
      </c>
      <c r="Q1289" s="521">
        <f>U1289="L001-901905215"</f>
        <v/>
      </c>
      <c r="R1289" s="556">
        <f>G1289-W1289</f>
        <v/>
      </c>
      <c r="S1289" s="523" t="n">
        <v>44286</v>
      </c>
      <c r="T1289" s="522" t="inlineStr">
        <is>
          <t>IN202103-0175</t>
        </is>
      </c>
      <c r="U1289" s="522" t="inlineStr">
        <is>
          <t>L001-901905215</t>
        </is>
      </c>
      <c r="V1289" s="522" t="inlineStr">
        <is>
          <t>វីអ៊ីស៊ិន (ខេមបូឌា) អ៊ិនដាសស្ទ្រី ឯ.ក</t>
        </is>
      </c>
      <c r="W1289" s="556" t="n">
        <v>256858</v>
      </c>
    </row>
    <row r="1290">
      <c r="A1290" s="521" t="n">
        <v>1282</v>
      </c>
      <c r="B1290" s="522" t="inlineStr">
        <is>
          <t>Customs Clearance, Truck Fee</t>
        </is>
      </c>
      <c r="C1290" s="522" t="inlineStr">
        <is>
          <t>56ប៊ី-លីង សឹបផ្លាយ ឆេន មេនេចម៉ិន ឯ.ក</t>
        </is>
      </c>
      <c r="D1290" s="522" t="inlineStr">
        <is>
          <t>K004-902004795</t>
        </is>
      </c>
      <c r="E1290" s="521" t="inlineStr">
        <is>
          <t>IN202103-0166</t>
        </is>
      </c>
      <c r="F1290" s="523" t="n">
        <v>44281</v>
      </c>
      <c r="G1290" s="556" t="n">
        <v>393283</v>
      </c>
      <c r="I1290" s="521">
        <f>G1290</f>
        <v/>
      </c>
      <c r="K1290" s="521">
        <f>I1290-G1290</f>
        <v/>
      </c>
      <c r="M1290" s="522" t="inlineStr">
        <is>
          <t>IN2021030166</t>
        </is>
      </c>
      <c r="N1290" s="522" t="inlineStr">
        <is>
          <t>IN2021030166</t>
        </is>
      </c>
      <c r="O1290" s="521">
        <f>M1290=N1290</f>
        <v/>
      </c>
      <c r="P1290" s="521">
        <f>AND(MONTH(F1290)=MONTH(S1290), YEAR(F1290)=YEAR(S1290))</f>
        <v/>
      </c>
      <c r="Q1290" s="521">
        <f>U1290="L001-901905215"</f>
        <v/>
      </c>
      <c r="R1290" s="556">
        <f>G1290-W1290</f>
        <v/>
      </c>
      <c r="S1290" s="523" t="n">
        <v>44281</v>
      </c>
      <c r="T1290" s="522" t="inlineStr">
        <is>
          <t>IN202103-0166</t>
        </is>
      </c>
      <c r="U1290" s="522" t="inlineStr">
        <is>
          <t>L001-901905215</t>
        </is>
      </c>
      <c r="V1290" s="522" t="inlineStr">
        <is>
          <t>វីអ៊ីស៊ិន (ខេមបូឌា) អ៊ិនដាសស្ទ្រី ឯ.ក</t>
        </is>
      </c>
      <c r="W1290" s="556" t="n">
        <v>311465</v>
      </c>
    </row>
    <row r="1291">
      <c r="A1291" s="521" t="n">
        <v>1283</v>
      </c>
      <c r="B1291" s="522" t="inlineStr">
        <is>
          <t>Export Administration Fee</t>
        </is>
      </c>
      <c r="C1291" s="522" t="inlineStr">
        <is>
          <t>ឆាយ ដា ឡូយីស្ទីក</t>
        </is>
      </c>
      <c r="D1291" s="522" t="inlineStr">
        <is>
          <t>L001-100063098</t>
        </is>
      </c>
      <c r="E1291" s="521" t="inlineStr">
        <is>
          <t>2103003209</t>
        </is>
      </c>
      <c r="F1291" s="523" t="n">
        <v>44284</v>
      </c>
      <c r="G1291" s="556" t="n">
        <v>88585</v>
      </c>
      <c r="I1291" s="521">
        <f>G1291</f>
        <v/>
      </c>
      <c r="K1291" s="521">
        <f>I1291-G1291</f>
        <v/>
      </c>
      <c r="M1291" s="522" t="inlineStr">
        <is>
          <t>2103003209</t>
        </is>
      </c>
      <c r="N1291" s="522" t="inlineStr">
        <is>
          <t>2103003209</t>
        </is>
      </c>
      <c r="O1291" s="521">
        <f>M1291=N1291</f>
        <v/>
      </c>
      <c r="P1291" s="521">
        <f>AND(MONTH(F1291)=MONTH(S1291), YEAR(F1291)=YEAR(S1291))</f>
        <v/>
      </c>
      <c r="Q1291" s="521">
        <f>U1291="L001-901905215"</f>
        <v/>
      </c>
      <c r="R1291" s="556">
        <f>G1291-W1291</f>
        <v/>
      </c>
      <c r="S1291" s="523" t="n">
        <v>44284</v>
      </c>
      <c r="T1291" s="522" t="inlineStr">
        <is>
          <t>2103003209</t>
        </is>
      </c>
      <c r="U1291" s="522" t="inlineStr">
        <is>
          <t>L001-901905215</t>
        </is>
      </c>
      <c r="V1291" s="522" t="inlineStr">
        <is>
          <t>វីអ៊ីស៊ិន (ខេមបូឌា) អ៊ិនដាសស្ទ្រី ឯ.ក</t>
        </is>
      </c>
      <c r="W1291" s="556" t="n">
        <v>88585</v>
      </c>
    </row>
    <row r="1292">
      <c r="A1292" s="521" t="n">
        <v>1284</v>
      </c>
      <c r="B1292" s="522" t="inlineStr">
        <is>
          <t>Export Administration Fee</t>
        </is>
      </c>
      <c r="C1292" s="522" t="inlineStr">
        <is>
          <t>ឆាយ ដា ឡូយីស្ទីក</t>
        </is>
      </c>
      <c r="D1292" s="522" t="inlineStr">
        <is>
          <t>L001-100063098</t>
        </is>
      </c>
      <c r="E1292" s="521" t="inlineStr">
        <is>
          <t>2103002917</t>
        </is>
      </c>
      <c r="F1292" s="523" t="n">
        <v>44277</v>
      </c>
      <c r="G1292" s="556" t="n">
        <v>88695</v>
      </c>
      <c r="I1292" s="521">
        <f>G1292</f>
        <v/>
      </c>
      <c r="K1292" s="521">
        <f>I1292-G1292</f>
        <v/>
      </c>
      <c r="M1292" s="522" t="inlineStr">
        <is>
          <t>2103002917</t>
        </is>
      </c>
      <c r="N1292" s="522" t="inlineStr">
        <is>
          <t>2103002917</t>
        </is>
      </c>
      <c r="O1292" s="521">
        <f>M1292=N1292</f>
        <v/>
      </c>
      <c r="P1292" s="521">
        <f>AND(MONTH(F1292)=MONTH(S1292), YEAR(F1292)=YEAR(S1292))</f>
        <v/>
      </c>
      <c r="Q1292" s="521">
        <f>U1292="L001-901905215"</f>
        <v/>
      </c>
      <c r="R1292" s="556">
        <f>G1292-W1292</f>
        <v/>
      </c>
      <c r="S1292" s="523" t="n">
        <v>44277</v>
      </c>
      <c r="T1292" s="522" t="inlineStr">
        <is>
          <t>2103002917</t>
        </is>
      </c>
      <c r="U1292" s="522" t="inlineStr">
        <is>
          <t>L001-901905215</t>
        </is>
      </c>
      <c r="V1292" s="522" t="inlineStr">
        <is>
          <t>វីអ៊ីស៊ិន (ខេមបូឌា) អ៊ិនដាសស្ទ្រី ឯ.ក</t>
        </is>
      </c>
      <c r="W1292" s="556" t="n">
        <v>88695</v>
      </c>
    </row>
    <row r="1293">
      <c r="A1293" s="521" t="n">
        <v>1285</v>
      </c>
      <c r="B1293" s="522" t="inlineStr">
        <is>
          <t>Export Administration Fee</t>
        </is>
      </c>
      <c r="C1293" s="522" t="inlineStr">
        <is>
          <t>ឆាយ ដា ឡូយីស្ទីក</t>
        </is>
      </c>
      <c r="D1293" s="522" t="inlineStr">
        <is>
          <t>L001-100063098</t>
        </is>
      </c>
      <c r="E1293" s="521" t="inlineStr">
        <is>
          <t>2103002653</t>
        </is>
      </c>
      <c r="F1293" s="523" t="n">
        <v>44270</v>
      </c>
      <c r="G1293" s="556" t="n">
        <v>88805</v>
      </c>
      <c r="I1293" s="521">
        <f>G1293</f>
        <v/>
      </c>
      <c r="K1293" s="521">
        <f>I1293-G1293</f>
        <v/>
      </c>
      <c r="M1293" s="522" t="inlineStr">
        <is>
          <t>2103002653</t>
        </is>
      </c>
      <c r="N1293" s="522" t="inlineStr">
        <is>
          <t>2103002653</t>
        </is>
      </c>
      <c r="O1293" s="521">
        <f>M1293=N1293</f>
        <v/>
      </c>
      <c r="P1293" s="521">
        <f>AND(MONTH(F1293)=MONTH(S1293), YEAR(F1293)=YEAR(S1293))</f>
        <v/>
      </c>
      <c r="Q1293" s="521">
        <f>U1293="L001-901905215"</f>
        <v/>
      </c>
      <c r="R1293" s="556">
        <f>G1293-W1293</f>
        <v/>
      </c>
      <c r="S1293" s="523" t="n">
        <v>44270</v>
      </c>
      <c r="T1293" s="522" t="inlineStr">
        <is>
          <t>2103002653</t>
        </is>
      </c>
      <c r="U1293" s="522" t="inlineStr">
        <is>
          <t>L001-901905215</t>
        </is>
      </c>
      <c r="V1293" s="522" t="inlineStr">
        <is>
          <t>វីអ៊ីស៊ិន (ខេមបូឌា) អ៊ិនដាសស្ទ្រី ឯ.ក</t>
        </is>
      </c>
      <c r="W1293" s="556" t="n">
        <v>88805</v>
      </c>
    </row>
    <row r="1294">
      <c r="A1294" s="521" t="n">
        <v>1286</v>
      </c>
      <c r="B1294" s="522" t="inlineStr">
        <is>
          <t>Export Administration Fee</t>
        </is>
      </c>
      <c r="C1294" s="522" t="inlineStr">
        <is>
          <t>ឆាយ ដា ឡូយីស្ទីក</t>
        </is>
      </c>
      <c r="D1294" s="522" t="inlineStr">
        <is>
          <t>L001-100063098</t>
        </is>
      </c>
      <c r="E1294" s="521" t="inlineStr">
        <is>
          <t>2103002651</t>
        </is>
      </c>
      <c r="F1294" s="523" t="n">
        <v>44270</v>
      </c>
      <c r="G1294" s="556" t="n">
        <v>88805</v>
      </c>
      <c r="I1294" s="521">
        <f>G1294</f>
        <v/>
      </c>
      <c r="K1294" s="521">
        <f>I1294-G1294</f>
        <v/>
      </c>
      <c r="M1294" s="522" t="inlineStr">
        <is>
          <t>2103002651</t>
        </is>
      </c>
      <c r="N1294" s="522" t="inlineStr">
        <is>
          <t>2103002651</t>
        </is>
      </c>
      <c r="O1294" s="521">
        <f>M1294=N1294</f>
        <v/>
      </c>
      <c r="P1294" s="521">
        <f>AND(MONTH(F1294)=MONTH(S1294), YEAR(F1294)=YEAR(S1294))</f>
        <v/>
      </c>
      <c r="Q1294" s="521">
        <f>U1294="L001-901905215"</f>
        <v/>
      </c>
      <c r="R1294" s="556">
        <f>G1294-W1294</f>
        <v/>
      </c>
      <c r="S1294" s="523" t="n">
        <v>44270</v>
      </c>
      <c r="T1294" s="522" t="inlineStr">
        <is>
          <t>2103002651</t>
        </is>
      </c>
      <c r="U1294" s="522" t="inlineStr">
        <is>
          <t>L001-901905215</t>
        </is>
      </c>
      <c r="V1294" s="522" t="inlineStr">
        <is>
          <t>វីអ៊ីស៊ិន (ខេមបូឌា) អ៊ិនដាសស្ទ្រី ឯ.ក</t>
        </is>
      </c>
      <c r="W1294" s="556" t="n">
        <v>88805</v>
      </c>
    </row>
    <row r="1295">
      <c r="A1295" s="521" t="n">
        <v>1287</v>
      </c>
      <c r="B1295" s="522" t="inlineStr">
        <is>
          <t>Export Administration Fee</t>
        </is>
      </c>
      <c r="C1295" s="522" t="inlineStr">
        <is>
          <t>ឆាយ ដា ឡូយីស្ទីក</t>
        </is>
      </c>
      <c r="D1295" s="522" t="inlineStr">
        <is>
          <t>L001-100063098</t>
        </is>
      </c>
      <c r="E1295" s="521" t="inlineStr">
        <is>
          <t>2103002649</t>
        </is>
      </c>
      <c r="F1295" s="523" t="n">
        <v>44270</v>
      </c>
      <c r="G1295" s="556" t="n">
        <v>121245</v>
      </c>
      <c r="I1295" s="521">
        <f>G1295</f>
        <v/>
      </c>
      <c r="K1295" s="521">
        <f>I1295-G1295</f>
        <v/>
      </c>
      <c r="M1295" s="522" t="inlineStr">
        <is>
          <t>2103002649</t>
        </is>
      </c>
      <c r="N1295" s="522" t="inlineStr">
        <is>
          <t>2103002649</t>
        </is>
      </c>
      <c r="O1295" s="521">
        <f>M1295=N1295</f>
        <v/>
      </c>
      <c r="P1295" s="521">
        <f>AND(MONTH(F1295)=MONTH(S1295), YEAR(F1295)=YEAR(S1295))</f>
        <v/>
      </c>
      <c r="Q1295" s="521">
        <f>U1295="L001-901905215"</f>
        <v/>
      </c>
      <c r="R1295" s="556">
        <f>G1295-W1295</f>
        <v/>
      </c>
      <c r="S1295" s="523" t="n">
        <v>44270</v>
      </c>
      <c r="T1295" s="522" t="inlineStr">
        <is>
          <t>2103002649</t>
        </is>
      </c>
      <c r="U1295" s="522" t="inlineStr">
        <is>
          <t>L001-901905215</t>
        </is>
      </c>
      <c r="V1295" s="522" t="inlineStr">
        <is>
          <t>វីអ៊ីស៊ិន (ខេមបូឌា) អ៊ិនដាសស្ទ្រី ឯ.ក</t>
        </is>
      </c>
      <c r="W1295" s="556" t="n">
        <v>121245</v>
      </c>
    </row>
    <row r="1296">
      <c r="A1296" s="521" t="n">
        <v>1288</v>
      </c>
      <c r="B1296" s="522" t="inlineStr">
        <is>
          <t>Export Administration Fee</t>
        </is>
      </c>
      <c r="C1296" s="522" t="inlineStr">
        <is>
          <t>ឆាយ ដា ឡូយីស្ទីក</t>
        </is>
      </c>
      <c r="D1296" s="522" t="inlineStr">
        <is>
          <t>L001-100063098</t>
        </is>
      </c>
      <c r="E1296" s="521" t="inlineStr">
        <is>
          <t>2103002415</t>
        </is>
      </c>
      <c r="F1296" s="523" t="n">
        <v>44264</v>
      </c>
      <c r="G1296" s="556" t="n">
        <v>192207</v>
      </c>
      <c r="I1296" s="521">
        <f>G1296</f>
        <v/>
      </c>
      <c r="K1296" s="521">
        <f>I1296-G1296</f>
        <v/>
      </c>
      <c r="M1296" s="522" t="inlineStr">
        <is>
          <t>2103002415</t>
        </is>
      </c>
      <c r="N1296" s="522" t="inlineStr">
        <is>
          <t>2103002415</t>
        </is>
      </c>
      <c r="O1296" s="521">
        <f>M1296=N1296</f>
        <v/>
      </c>
      <c r="P1296" s="521">
        <f>AND(MONTH(F1296)=MONTH(S1296), YEAR(F1296)=YEAR(S1296))</f>
        <v/>
      </c>
      <c r="Q1296" s="521">
        <f>U1296="L001-901905215"</f>
        <v/>
      </c>
      <c r="R1296" s="556">
        <f>G1296-W1296</f>
        <v/>
      </c>
      <c r="S1296" s="523" t="n">
        <v>44264</v>
      </c>
      <c r="T1296" s="522" t="inlineStr">
        <is>
          <t>2103002415</t>
        </is>
      </c>
      <c r="U1296" s="522" t="inlineStr">
        <is>
          <t>L001-901905215</t>
        </is>
      </c>
      <c r="V1296" s="522" t="inlineStr">
        <is>
          <t>វីអ៊ីស៊ិន (ខេមបូឌា) អ៊ិនដាសស្ទ្រី ឯ.ក</t>
        </is>
      </c>
      <c r="W1296" s="556" t="n">
        <v>192207</v>
      </c>
    </row>
    <row r="1297">
      <c r="A1297" s="521" t="n">
        <v>1289</v>
      </c>
      <c r="B1297" s="522" t="inlineStr">
        <is>
          <t>THC</t>
        </is>
      </c>
      <c r="C1297" s="522" t="inlineStr">
        <is>
          <t>អេស អ វី ស៊ី ហ្វ្រេត សឺវីស (ខេមបូឌា) ខូ អិលធីឌី</t>
        </is>
      </c>
      <c r="D1297" s="522" t="inlineStr">
        <is>
          <t>K005-100150195</t>
        </is>
      </c>
      <c r="E1297" s="521" t="inlineStr">
        <is>
          <t>12101082</t>
        </is>
      </c>
      <c r="F1297" s="523" t="n">
        <v>44274</v>
      </c>
      <c r="G1297" s="556" t="n">
        <v>28890</v>
      </c>
      <c r="I1297" s="521">
        <f>G1297</f>
        <v/>
      </c>
      <c r="K1297" s="521">
        <f>I1297-G1297</f>
        <v/>
      </c>
      <c r="M1297" s="522" t="inlineStr">
        <is>
          <t>12101082</t>
        </is>
      </c>
      <c r="N1297" s="522" t="inlineStr"/>
      <c r="O1297" s="521">
        <f>M1297=N1297</f>
        <v/>
      </c>
      <c r="P1297" s="521">
        <f>AND(MONTH(F1297)=MONTH(S1297), YEAR(F1297)=YEAR(S1297))</f>
        <v/>
      </c>
      <c r="Q1297" s="521">
        <f>U1297="L001-901905215"</f>
        <v/>
      </c>
      <c r="R1297" s="556">
        <f>G1297-W1297</f>
        <v/>
      </c>
      <c r="S1297" s="521" t="n"/>
      <c r="T1297" s="522" t="n"/>
      <c r="U1297" s="522" t="n"/>
      <c r="V1297" s="522" t="n"/>
      <c r="W1297" s="521" t="n"/>
    </row>
    <row r="1298">
      <c r="A1298" s="521" t="n">
        <v>1290</v>
      </c>
      <c r="B1298" s="522" t="inlineStr">
        <is>
          <t>THC</t>
        </is>
      </c>
      <c r="C1298" s="522" t="inlineStr">
        <is>
          <t>អេស អ វី ស៊ី ហ្វ្រេត សឺវីស (ខេមបូឌា) ខូ អិលធីឌី</t>
        </is>
      </c>
      <c r="D1298" s="522" t="inlineStr">
        <is>
          <t>K005-100150195</t>
        </is>
      </c>
      <c r="E1298" s="521" t="inlineStr">
        <is>
          <t>12101083</t>
        </is>
      </c>
      <c r="F1298" s="523" t="n">
        <v>44274</v>
      </c>
      <c r="G1298" s="556" t="n">
        <v>413100</v>
      </c>
      <c r="I1298" s="521">
        <f>G1298</f>
        <v/>
      </c>
      <c r="K1298" s="521">
        <f>I1298-G1298</f>
        <v/>
      </c>
      <c r="M1298" s="522" t="inlineStr">
        <is>
          <t>12101083</t>
        </is>
      </c>
      <c r="N1298" s="522" t="inlineStr"/>
      <c r="O1298" s="521">
        <f>M1298=N1298</f>
        <v/>
      </c>
      <c r="P1298" s="521">
        <f>AND(MONTH(F1298)=MONTH(S1298), YEAR(F1298)=YEAR(S1298))</f>
        <v/>
      </c>
      <c r="Q1298" s="521">
        <f>U1298="L001-901905215"</f>
        <v/>
      </c>
      <c r="R1298" s="556">
        <f>G1298-W1298</f>
        <v/>
      </c>
      <c r="S1298" s="521" t="n"/>
      <c r="T1298" s="522" t="n"/>
      <c r="U1298" s="522" t="n"/>
      <c r="V1298" s="522" t="n"/>
      <c r="W1298" s="521" t="n"/>
    </row>
    <row r="1299">
      <c r="A1299" s="521" t="n">
        <v>1291</v>
      </c>
      <c r="B1299" s="522" t="inlineStr">
        <is>
          <t>THC</t>
        </is>
      </c>
      <c r="C1299" s="522" t="inlineStr">
        <is>
          <t>អេស អ វី ស៊ី ហ្វ្រេត សឺវីស (ខេមបូឌា) ខូ អិលធីឌី</t>
        </is>
      </c>
      <c r="D1299" s="522" t="inlineStr">
        <is>
          <t>K005-100150195</t>
        </is>
      </c>
      <c r="E1299" s="521" t="inlineStr">
        <is>
          <t>12101084</t>
        </is>
      </c>
      <c r="F1299" s="523" t="n">
        <v>44274</v>
      </c>
      <c r="G1299" s="556" t="n">
        <v>413100</v>
      </c>
      <c r="I1299" s="521">
        <f>G1299</f>
        <v/>
      </c>
      <c r="K1299" s="521">
        <f>I1299-G1299</f>
        <v/>
      </c>
      <c r="M1299" s="522" t="inlineStr">
        <is>
          <t>12101084</t>
        </is>
      </c>
      <c r="N1299" s="522" t="inlineStr"/>
      <c r="O1299" s="521">
        <f>M1299=N1299</f>
        <v/>
      </c>
      <c r="P1299" s="521">
        <f>AND(MONTH(F1299)=MONTH(S1299), YEAR(F1299)=YEAR(S1299))</f>
        <v/>
      </c>
      <c r="Q1299" s="521">
        <f>U1299="L001-901905215"</f>
        <v/>
      </c>
      <c r="R1299" s="556">
        <f>G1299-W1299</f>
        <v/>
      </c>
      <c r="S1299" s="521" t="n"/>
      <c r="T1299" s="522" t="n"/>
      <c r="U1299" s="522" t="n"/>
      <c r="V1299" s="522" t="n"/>
      <c r="W1299" s="521" t="n"/>
    </row>
    <row r="1300">
      <c r="A1300" s="521" t="n">
        <v>1292</v>
      </c>
      <c r="B1300" s="522" t="inlineStr">
        <is>
          <t>THC</t>
        </is>
      </c>
      <c r="C1300" s="522" t="inlineStr">
        <is>
          <t>អេស អ វី ស៊ី ហ្វ្រេត សឺវីស (ខេមបូឌា) ខូ អិលធីឌី</t>
        </is>
      </c>
      <c r="D1300" s="522" t="inlineStr">
        <is>
          <t>K005-100150195</t>
        </is>
      </c>
      <c r="E1300" s="521" t="inlineStr">
        <is>
          <t>12101085</t>
        </is>
      </c>
      <c r="F1300" s="523" t="n">
        <v>44274</v>
      </c>
      <c r="G1300" s="556" t="n">
        <v>210600</v>
      </c>
      <c r="I1300" s="521">
        <f>G1300</f>
        <v/>
      </c>
      <c r="K1300" s="521">
        <f>I1300-G1300</f>
        <v/>
      </c>
      <c r="M1300" s="522" t="inlineStr">
        <is>
          <t>12101085</t>
        </is>
      </c>
      <c r="N1300" s="522" t="inlineStr"/>
      <c r="O1300" s="521">
        <f>M1300=N1300</f>
        <v/>
      </c>
      <c r="P1300" s="521">
        <f>AND(MONTH(F1300)=MONTH(S1300), YEAR(F1300)=YEAR(S1300))</f>
        <v/>
      </c>
      <c r="Q1300" s="521">
        <f>U1300="L001-901905215"</f>
        <v/>
      </c>
      <c r="R1300" s="556">
        <f>G1300-W1300</f>
        <v/>
      </c>
      <c r="S1300" s="521" t="n"/>
      <c r="T1300" s="522" t="n"/>
      <c r="U1300" s="522" t="n"/>
      <c r="V1300" s="522" t="n"/>
      <c r="W1300" s="521" t="n"/>
    </row>
    <row r="1301">
      <c r="A1301" s="521" t="n">
        <v>1293</v>
      </c>
      <c r="B1301" s="522" t="inlineStr">
        <is>
          <t>SERVICE FEE</t>
        </is>
      </c>
      <c r="C1301" s="522" t="inlineStr">
        <is>
          <t>ប្យួរ៉ូ វេរីតាស (ខេមបូឌា) លីមីធីត</t>
        </is>
      </c>
      <c r="D1301" s="522" t="inlineStr">
        <is>
          <t>L001-107024462</t>
        </is>
      </c>
      <c r="E1301" s="521" t="inlineStr">
        <is>
          <t>59009981</t>
        </is>
      </c>
      <c r="F1301" s="523" t="n">
        <v>44284</v>
      </c>
      <c r="G1301" s="556" t="n">
        <v>109579</v>
      </c>
      <c r="I1301" s="521">
        <f>G1301</f>
        <v/>
      </c>
      <c r="K1301" s="521">
        <f>I1301-G1301</f>
        <v/>
      </c>
      <c r="M1301" s="522" t="inlineStr">
        <is>
          <t>59009981</t>
        </is>
      </c>
      <c r="N1301" s="522" t="inlineStr">
        <is>
          <t>59009981</t>
        </is>
      </c>
      <c r="O1301" s="521">
        <f>M1301=N1301</f>
        <v/>
      </c>
      <c r="P1301" s="521">
        <f>AND(MONTH(F1301)=MONTH(S1301), YEAR(F1301)=YEAR(S1301))</f>
        <v/>
      </c>
      <c r="Q1301" s="521">
        <f>U1301="L001-901905215"</f>
        <v/>
      </c>
      <c r="R1301" s="556">
        <f>G1301-W1301</f>
        <v/>
      </c>
      <c r="S1301" s="523" t="n">
        <v>44284</v>
      </c>
      <c r="T1301" s="522" t="inlineStr">
        <is>
          <t>59009981</t>
        </is>
      </c>
      <c r="U1301" s="522" t="inlineStr">
        <is>
          <t>L001-901905215</t>
        </is>
      </c>
      <c r="V1301" s="522" t="inlineStr">
        <is>
          <t>វីអ៊ីស៊ិន (ខេមបូឌា) អ៊ិនដាសស្ទ្រី ឯ.ក</t>
        </is>
      </c>
      <c r="W1301" s="556" t="n">
        <v>109579</v>
      </c>
    </row>
    <row r="1302">
      <c r="A1302" s="521" t="n">
        <v>1294</v>
      </c>
      <c r="B1302" s="522" t="inlineStr">
        <is>
          <t>SERVICE FEE</t>
        </is>
      </c>
      <c r="C1302" s="522" t="inlineStr">
        <is>
          <t>ប្យួរ៉ូ វេរីតាស (ខេមបូឌា) លីមីធីត</t>
        </is>
      </c>
      <c r="D1302" s="522" t="inlineStr">
        <is>
          <t>L001-107024462</t>
        </is>
      </c>
      <c r="E1302" s="521" t="inlineStr">
        <is>
          <t>59009991</t>
        </is>
      </c>
      <c r="F1302" s="523" t="n">
        <v>44285</v>
      </c>
      <c r="G1302" s="556" t="n">
        <v>134882</v>
      </c>
      <c r="I1302" s="521">
        <f>G1302</f>
        <v/>
      </c>
      <c r="K1302" s="521">
        <f>I1302-G1302</f>
        <v/>
      </c>
      <c r="M1302" s="522" t="inlineStr">
        <is>
          <t>59009991</t>
        </is>
      </c>
      <c r="N1302" s="522" t="inlineStr">
        <is>
          <t>59009991</t>
        </is>
      </c>
      <c r="O1302" s="521">
        <f>M1302=N1302</f>
        <v/>
      </c>
      <c r="P1302" s="521">
        <f>AND(MONTH(F1302)=MONTH(S1302), YEAR(F1302)=YEAR(S1302))</f>
        <v/>
      </c>
      <c r="Q1302" s="521">
        <f>U1302="L001-901905215"</f>
        <v/>
      </c>
      <c r="R1302" s="556">
        <f>G1302-W1302</f>
        <v/>
      </c>
      <c r="S1302" s="523" t="n">
        <v>44285</v>
      </c>
      <c r="T1302" s="522" t="inlineStr">
        <is>
          <t>59009991</t>
        </is>
      </c>
      <c r="U1302" s="522" t="inlineStr">
        <is>
          <t>L001-901905215</t>
        </is>
      </c>
      <c r="V1302" s="522" t="inlineStr">
        <is>
          <t>វីអ៊ីស៊ិន (ខេមបូឌា) អ៊ិនដាសស្ទ្រី ឯ.ក</t>
        </is>
      </c>
      <c r="W1302" s="556" t="n">
        <v>134882</v>
      </c>
    </row>
    <row r="1303">
      <c r="A1303" s="521" t="n">
        <v>1295</v>
      </c>
      <c r="B1303" s="522" t="inlineStr">
        <is>
          <t>SERVICE FEE</t>
        </is>
      </c>
      <c r="C1303" s="522" t="inlineStr">
        <is>
          <t>ប្យួរ៉ូ វេរីតាស (ខេមបូឌា) លីមីធីត</t>
        </is>
      </c>
      <c r="D1303" s="522" t="inlineStr">
        <is>
          <t>L001-107024462</t>
        </is>
      </c>
      <c r="E1303" s="521" t="inlineStr">
        <is>
          <t>59009990</t>
        </is>
      </c>
      <c r="F1303" s="523" t="n">
        <v>44285</v>
      </c>
      <c r="G1303" s="556" t="n">
        <v>95241</v>
      </c>
      <c r="I1303" s="521">
        <f>G1303</f>
        <v/>
      </c>
      <c r="K1303" s="521">
        <f>I1303-G1303</f>
        <v/>
      </c>
      <c r="M1303" s="522" t="inlineStr">
        <is>
          <t>59009990</t>
        </is>
      </c>
      <c r="N1303" s="522" t="inlineStr">
        <is>
          <t>59009990</t>
        </is>
      </c>
      <c r="O1303" s="521">
        <f>M1303=N1303</f>
        <v/>
      </c>
      <c r="P1303" s="521">
        <f>AND(MONTH(F1303)=MONTH(S1303), YEAR(F1303)=YEAR(S1303))</f>
        <v/>
      </c>
      <c r="Q1303" s="521">
        <f>U1303="L001-901905215"</f>
        <v/>
      </c>
      <c r="R1303" s="556">
        <f>G1303-W1303</f>
        <v/>
      </c>
      <c r="S1303" s="523" t="n">
        <v>44285</v>
      </c>
      <c r="T1303" s="522" t="inlineStr">
        <is>
          <t>59009990</t>
        </is>
      </c>
      <c r="U1303" s="522" t="inlineStr">
        <is>
          <t>L001-901905215</t>
        </is>
      </c>
      <c r="V1303" s="522" t="inlineStr">
        <is>
          <t>វីអ៊ីស៊ិន (ខេមបូឌា) អ៊ិនដាសស្ទ្រី ឯ.ក</t>
        </is>
      </c>
      <c r="W1303" s="556" t="n">
        <v>95241</v>
      </c>
    </row>
    <row r="1304">
      <c r="A1304" s="521" t="n">
        <v>1296</v>
      </c>
      <c r="B1304" s="522" t="inlineStr">
        <is>
          <t>SERVICE FEE</t>
        </is>
      </c>
      <c r="C1304" s="522" t="inlineStr">
        <is>
          <t>ប្យួរ៉ូ វេរីតាស (ខេមបូឌា) លីមីធីត</t>
        </is>
      </c>
      <c r="D1304" s="522" t="inlineStr">
        <is>
          <t>L001-107024462</t>
        </is>
      </c>
      <c r="E1304" s="521" t="inlineStr">
        <is>
          <t>59009974</t>
        </is>
      </c>
      <c r="F1304" s="523" t="n">
        <v>44282</v>
      </c>
      <c r="G1304" s="556" t="n">
        <v>219158</v>
      </c>
      <c r="I1304" s="521">
        <f>G1304</f>
        <v/>
      </c>
      <c r="K1304" s="521">
        <f>I1304-G1304</f>
        <v/>
      </c>
      <c r="M1304" s="522" t="inlineStr">
        <is>
          <t>59009974</t>
        </is>
      </c>
      <c r="N1304" s="522" t="inlineStr">
        <is>
          <t>59009974</t>
        </is>
      </c>
      <c r="O1304" s="521">
        <f>M1304=N1304</f>
        <v/>
      </c>
      <c r="P1304" s="521">
        <f>AND(MONTH(F1304)=MONTH(S1304), YEAR(F1304)=YEAR(S1304))</f>
        <v/>
      </c>
      <c r="Q1304" s="521">
        <f>U1304="L001-901905215"</f>
        <v/>
      </c>
      <c r="R1304" s="556">
        <f>G1304-W1304</f>
        <v/>
      </c>
      <c r="S1304" s="523" t="n">
        <v>44282</v>
      </c>
      <c r="T1304" s="522" t="inlineStr">
        <is>
          <t>59009974</t>
        </is>
      </c>
      <c r="U1304" s="522" t="inlineStr">
        <is>
          <t>L001-901905215</t>
        </is>
      </c>
      <c r="V1304" s="522" t="inlineStr">
        <is>
          <t>វីអ៊ីស៊ិន (ខេមបូឌា) អ៊ិនដាសស្ទ្រី ឯ.ក</t>
        </is>
      </c>
      <c r="W1304" s="556" t="n">
        <v>219158</v>
      </c>
    </row>
    <row r="1305">
      <c r="A1305" s="521" t="n">
        <v>1297</v>
      </c>
      <c r="B1305" s="522" t="inlineStr">
        <is>
          <t>SERVICE FEE</t>
        </is>
      </c>
      <c r="C1305" s="522" t="inlineStr">
        <is>
          <t>ប្យួរ៉ូ វេរីតាស (ខេមបូឌា) លីមីធីត</t>
        </is>
      </c>
      <c r="D1305" s="522" t="inlineStr">
        <is>
          <t>L001-107024462</t>
        </is>
      </c>
      <c r="E1305" s="521" t="inlineStr">
        <is>
          <t>59009968</t>
        </is>
      </c>
      <c r="F1305" s="523" t="n">
        <v>44280</v>
      </c>
      <c r="G1305" s="556" t="n">
        <v>185261</v>
      </c>
      <c r="I1305" s="521">
        <f>G1305</f>
        <v/>
      </c>
      <c r="K1305" s="521">
        <f>I1305-G1305</f>
        <v/>
      </c>
      <c r="M1305" s="522" t="inlineStr">
        <is>
          <t>59009968</t>
        </is>
      </c>
      <c r="N1305" s="522" t="inlineStr">
        <is>
          <t>59009968</t>
        </is>
      </c>
      <c r="O1305" s="521">
        <f>M1305=N1305</f>
        <v/>
      </c>
      <c r="P1305" s="521">
        <f>AND(MONTH(F1305)=MONTH(S1305), YEAR(F1305)=YEAR(S1305))</f>
        <v/>
      </c>
      <c r="Q1305" s="521">
        <f>U1305="L001-901905215"</f>
        <v/>
      </c>
      <c r="R1305" s="556">
        <f>G1305-W1305</f>
        <v/>
      </c>
      <c r="S1305" s="523" t="n">
        <v>44280</v>
      </c>
      <c r="T1305" s="522" t="inlineStr">
        <is>
          <t>59009968</t>
        </is>
      </c>
      <c r="U1305" s="522" t="inlineStr">
        <is>
          <t>L001-901905215</t>
        </is>
      </c>
      <c r="V1305" s="522" t="inlineStr">
        <is>
          <t>វីអ៊ីស៊ិន (ខេមបូឌា) អ៊ិនដាសស្ទ្រី ឯ.ក</t>
        </is>
      </c>
      <c r="W1305" s="556" t="n">
        <v>185261</v>
      </c>
    </row>
    <row r="1306">
      <c r="A1306" s="521" t="n">
        <v>1298</v>
      </c>
      <c r="B1306" s="522" t="inlineStr">
        <is>
          <t>SERVICE FEE</t>
        </is>
      </c>
      <c r="C1306" s="522" t="inlineStr">
        <is>
          <t>ប្យួរ៉ូ វេរីតាស (ខេមបូឌា) លីមីធីត</t>
        </is>
      </c>
      <c r="D1306" s="522" t="inlineStr">
        <is>
          <t>L001-107024462</t>
        </is>
      </c>
      <c r="E1306" s="521" t="inlineStr">
        <is>
          <t>59009966</t>
        </is>
      </c>
      <c r="F1306" s="523" t="n">
        <v>44280</v>
      </c>
      <c r="G1306" s="556" t="n">
        <v>54791</v>
      </c>
      <c r="I1306" s="521">
        <f>G1306</f>
        <v/>
      </c>
      <c r="K1306" s="521">
        <f>I1306-G1306</f>
        <v/>
      </c>
      <c r="M1306" s="522" t="inlineStr">
        <is>
          <t>59009966</t>
        </is>
      </c>
      <c r="N1306" s="522" t="inlineStr">
        <is>
          <t>59009966</t>
        </is>
      </c>
      <c r="O1306" s="521">
        <f>M1306=N1306</f>
        <v/>
      </c>
      <c r="P1306" s="521">
        <f>AND(MONTH(F1306)=MONTH(S1306), YEAR(F1306)=YEAR(S1306))</f>
        <v/>
      </c>
      <c r="Q1306" s="521">
        <f>U1306="L001-901905215"</f>
        <v/>
      </c>
      <c r="R1306" s="556">
        <f>G1306-W1306</f>
        <v/>
      </c>
      <c r="S1306" s="523" t="n">
        <v>44280</v>
      </c>
      <c r="T1306" s="522" t="inlineStr">
        <is>
          <t>59009966</t>
        </is>
      </c>
      <c r="U1306" s="522" t="inlineStr">
        <is>
          <t>L001-901905215</t>
        </is>
      </c>
      <c r="V1306" s="522" t="inlineStr">
        <is>
          <t>វីអ៊ីស៊ិន (ខេមបូឌា) អ៊ិនដាសស្ទ្រី ឯ.ក</t>
        </is>
      </c>
      <c r="W1306" s="556" t="n">
        <v>54791</v>
      </c>
    </row>
    <row r="1307">
      <c r="A1307" s="521" t="n">
        <v>1299</v>
      </c>
      <c r="B1307" s="522" t="inlineStr">
        <is>
          <t>SERVICE FEE</t>
        </is>
      </c>
      <c r="C1307" s="522" t="inlineStr">
        <is>
          <t>ប្យួរ៉ូ វេរីតាស (ខេមបូឌា) លីមីធីត</t>
        </is>
      </c>
      <c r="D1307" s="522" t="inlineStr">
        <is>
          <t>L001-107024462</t>
        </is>
      </c>
      <c r="E1307" s="521" t="inlineStr">
        <is>
          <t>59009944</t>
        </is>
      </c>
      <c r="F1307" s="523" t="n">
        <v>44278</v>
      </c>
      <c r="G1307" s="556" t="n">
        <v>134982</v>
      </c>
      <c r="I1307" s="521">
        <f>G1307</f>
        <v/>
      </c>
      <c r="K1307" s="521">
        <f>I1307-G1307</f>
        <v/>
      </c>
      <c r="M1307" s="522" t="inlineStr">
        <is>
          <t>59009944</t>
        </is>
      </c>
      <c r="N1307" s="522" t="inlineStr">
        <is>
          <t>59009944</t>
        </is>
      </c>
      <c r="O1307" s="521">
        <f>M1307=N1307</f>
        <v/>
      </c>
      <c r="P1307" s="521">
        <f>AND(MONTH(F1307)=MONTH(S1307), YEAR(F1307)=YEAR(S1307))</f>
        <v/>
      </c>
      <c r="Q1307" s="521">
        <f>U1307="L001-901905215"</f>
        <v/>
      </c>
      <c r="R1307" s="556">
        <f>G1307-W1307</f>
        <v/>
      </c>
      <c r="S1307" s="523" t="n">
        <v>44278</v>
      </c>
      <c r="T1307" s="522" t="inlineStr">
        <is>
          <t>59009944</t>
        </is>
      </c>
      <c r="U1307" s="522" t="inlineStr">
        <is>
          <t>L001-901905215</t>
        </is>
      </c>
      <c r="V1307" s="522" t="inlineStr">
        <is>
          <t>វីអ៊ីស៊ិន (ខេមបូឌា) អ៊ិនដាសស្ទ្រី ឯ.ក</t>
        </is>
      </c>
      <c r="W1307" s="556" t="n">
        <v>134982</v>
      </c>
    </row>
    <row r="1308">
      <c r="A1308" s="521" t="n">
        <v>1300</v>
      </c>
      <c r="B1308" s="522" t="inlineStr">
        <is>
          <t>SERVICE FEE</t>
        </is>
      </c>
      <c r="C1308" s="522" t="inlineStr">
        <is>
          <t>ប្យួរ៉ូ វេរីតាស (ខេមបូឌា) លីមីធីត</t>
        </is>
      </c>
      <c r="D1308" s="522" t="inlineStr">
        <is>
          <t>L001-107024462</t>
        </is>
      </c>
      <c r="E1308" s="521" t="inlineStr">
        <is>
          <t>59009938</t>
        </is>
      </c>
      <c r="F1308" s="523" t="n">
        <v>44278</v>
      </c>
      <c r="G1308" s="556" t="n">
        <v>109660</v>
      </c>
      <c r="I1308" s="521">
        <f>G1308</f>
        <v/>
      </c>
      <c r="K1308" s="521">
        <f>I1308-G1308</f>
        <v/>
      </c>
      <c r="M1308" s="522" t="inlineStr">
        <is>
          <t>59009938</t>
        </is>
      </c>
      <c r="N1308" s="522" t="inlineStr">
        <is>
          <t>59009938</t>
        </is>
      </c>
      <c r="O1308" s="521">
        <f>M1308=N1308</f>
        <v/>
      </c>
      <c r="P1308" s="521">
        <f>AND(MONTH(F1308)=MONTH(S1308), YEAR(F1308)=YEAR(S1308))</f>
        <v/>
      </c>
      <c r="Q1308" s="521">
        <f>U1308="L001-901905215"</f>
        <v/>
      </c>
      <c r="R1308" s="556">
        <f>G1308-W1308</f>
        <v/>
      </c>
      <c r="S1308" s="523" t="n">
        <v>44278</v>
      </c>
      <c r="T1308" s="522" t="inlineStr">
        <is>
          <t>59009938</t>
        </is>
      </c>
      <c r="U1308" s="522" t="inlineStr">
        <is>
          <t>L001-901905215</t>
        </is>
      </c>
      <c r="V1308" s="522" t="inlineStr">
        <is>
          <t>វីអ៊ីស៊ិន (ខេមបូឌា) អ៊ិនដាសស្ទ្រី ឯ.ក</t>
        </is>
      </c>
      <c r="W1308" s="556" t="n">
        <v>109660</v>
      </c>
    </row>
    <row r="1309">
      <c r="A1309" s="521" t="n">
        <v>1301</v>
      </c>
      <c r="B1309" s="522" t="inlineStr">
        <is>
          <t>SERVICE FEE</t>
        </is>
      </c>
      <c r="C1309" s="522" t="inlineStr">
        <is>
          <t>ប្យួរ៉ូ វេរីតាស (ខេមបូឌា) លីមីធីត</t>
        </is>
      </c>
      <c r="D1309" s="522" t="inlineStr">
        <is>
          <t>L001-107024462</t>
        </is>
      </c>
      <c r="E1309" s="521" t="inlineStr">
        <is>
          <t>59009934</t>
        </is>
      </c>
      <c r="F1309" s="523" t="n">
        <v>44275</v>
      </c>
      <c r="G1309" s="556" t="n">
        <v>54859</v>
      </c>
      <c r="I1309" s="521">
        <f>G1309</f>
        <v/>
      </c>
      <c r="K1309" s="521">
        <f>I1309-G1309</f>
        <v/>
      </c>
      <c r="M1309" s="522" t="inlineStr">
        <is>
          <t>59009934</t>
        </is>
      </c>
      <c r="N1309" s="522" t="inlineStr">
        <is>
          <t>59009934</t>
        </is>
      </c>
      <c r="O1309" s="521">
        <f>M1309=N1309</f>
        <v/>
      </c>
      <c r="P1309" s="521">
        <f>AND(MONTH(F1309)=MONTH(S1309), YEAR(F1309)=YEAR(S1309))</f>
        <v/>
      </c>
      <c r="Q1309" s="521">
        <f>U1309="L001-901905215"</f>
        <v/>
      </c>
      <c r="R1309" s="556">
        <f>G1309-W1309</f>
        <v/>
      </c>
      <c r="S1309" s="523" t="n">
        <v>44275</v>
      </c>
      <c r="T1309" s="522" t="inlineStr">
        <is>
          <t>59009934</t>
        </is>
      </c>
      <c r="U1309" s="522" t="inlineStr">
        <is>
          <t>L001-901905215</t>
        </is>
      </c>
      <c r="V1309" s="522" t="inlineStr">
        <is>
          <t>វីអ៊ីស៊ិន (ខេមបូឌា) អ៊ិនដាសស្ទ្រី ឯ.ក</t>
        </is>
      </c>
      <c r="W1309" s="556" t="n">
        <v>54859</v>
      </c>
    </row>
    <row r="1310">
      <c r="A1310" s="521" t="n">
        <v>1302</v>
      </c>
      <c r="B1310" s="522" t="inlineStr">
        <is>
          <t>SERVICE FEE</t>
        </is>
      </c>
      <c r="C1310" s="522" t="inlineStr">
        <is>
          <t>ប្យួរ៉ូ វេរីតាស (ខេមបូឌា) លីមីធីត</t>
        </is>
      </c>
      <c r="D1310" s="522" t="inlineStr">
        <is>
          <t>L001-107024462</t>
        </is>
      </c>
      <c r="E1310" s="521" t="inlineStr">
        <is>
          <t>59009926</t>
        </is>
      </c>
      <c r="F1310" s="523" t="n">
        <v>44274</v>
      </c>
      <c r="G1310" s="556" t="n">
        <v>164574</v>
      </c>
      <c r="I1310" s="521">
        <f>G1310</f>
        <v/>
      </c>
      <c r="K1310" s="521">
        <f>I1310-G1310</f>
        <v/>
      </c>
      <c r="M1310" s="522" t="inlineStr">
        <is>
          <t>59009926</t>
        </is>
      </c>
      <c r="N1310" s="522" t="inlineStr">
        <is>
          <t>59009926</t>
        </is>
      </c>
      <c r="O1310" s="521">
        <f>M1310=N1310</f>
        <v/>
      </c>
      <c r="P1310" s="521">
        <f>AND(MONTH(F1310)=MONTH(S1310), YEAR(F1310)=YEAR(S1310))</f>
        <v/>
      </c>
      <c r="Q1310" s="521">
        <f>U1310="L001-901905215"</f>
        <v/>
      </c>
      <c r="R1310" s="556">
        <f>G1310-W1310</f>
        <v/>
      </c>
      <c r="S1310" s="523" t="n">
        <v>44274</v>
      </c>
      <c r="T1310" s="522" t="inlineStr">
        <is>
          <t>59009926</t>
        </is>
      </c>
      <c r="U1310" s="522" t="inlineStr">
        <is>
          <t>L001-901905215</t>
        </is>
      </c>
      <c r="V1310" s="522" t="inlineStr">
        <is>
          <t>វីអ៊ីស៊ិន (ខេមបូឌា) អ៊ិនដាសស្ទ្រី ឯ.ក</t>
        </is>
      </c>
      <c r="W1310" s="556" t="n">
        <v>164574</v>
      </c>
    </row>
    <row r="1311">
      <c r="A1311" s="521" t="n">
        <v>1303</v>
      </c>
      <c r="B1311" s="522" t="inlineStr">
        <is>
          <t>SERVICE FEE</t>
        </is>
      </c>
      <c r="C1311" s="522" t="inlineStr">
        <is>
          <t>ប្យួរ៉ូ វេរីតាស (ខេមបូឌា) លីមីធីត</t>
        </is>
      </c>
      <c r="D1311" s="522" t="inlineStr">
        <is>
          <t>L001-107024462</t>
        </is>
      </c>
      <c r="E1311" s="521" t="inlineStr">
        <is>
          <t>59009923</t>
        </is>
      </c>
      <c r="F1311" s="523" t="n">
        <v>44273</v>
      </c>
      <c r="G1311" s="556" t="n">
        <v>94549</v>
      </c>
      <c r="I1311" s="521">
        <f>G1311</f>
        <v/>
      </c>
      <c r="K1311" s="521">
        <f>I1311-G1311</f>
        <v/>
      </c>
      <c r="M1311" s="522" t="inlineStr">
        <is>
          <t>59009923</t>
        </is>
      </c>
      <c r="N1311" s="522" t="inlineStr">
        <is>
          <t>59009923</t>
        </is>
      </c>
      <c r="O1311" s="521">
        <f>M1311=N1311</f>
        <v/>
      </c>
      <c r="P1311" s="521">
        <f>AND(MONTH(F1311)=MONTH(S1311), YEAR(F1311)=YEAR(S1311))</f>
        <v/>
      </c>
      <c r="Q1311" s="521">
        <f>U1311="L001-901905215"</f>
        <v/>
      </c>
      <c r="R1311" s="556">
        <f>G1311-W1311</f>
        <v/>
      </c>
      <c r="S1311" s="523" t="n">
        <v>44273</v>
      </c>
      <c r="T1311" s="522" t="inlineStr">
        <is>
          <t>59009923</t>
        </is>
      </c>
      <c r="U1311" s="522" t="inlineStr">
        <is>
          <t>L001-901905215</t>
        </is>
      </c>
      <c r="V1311" s="522" t="inlineStr">
        <is>
          <t>វីអ៊ីស៊ិន (ខេមបូឌា) អ៊ិនដាសស្ទ្រី ឯ.ក</t>
        </is>
      </c>
      <c r="W1311" s="556" t="n">
        <v>94549</v>
      </c>
    </row>
    <row r="1312">
      <c r="A1312" s="521" t="n">
        <v>1304</v>
      </c>
      <c r="B1312" s="522" t="inlineStr">
        <is>
          <t>SERVICE FEE</t>
        </is>
      </c>
      <c r="C1312" s="522" t="inlineStr">
        <is>
          <t>ប្យួរ៉ូ វេរីតាស (ខេមបូឌា) លីមីធីត</t>
        </is>
      </c>
      <c r="D1312" s="522" t="inlineStr">
        <is>
          <t>L001-107024462</t>
        </is>
      </c>
      <c r="E1312" s="521" t="inlineStr">
        <is>
          <t>59009913</t>
        </is>
      </c>
      <c r="F1312" s="523" t="n">
        <v>44271</v>
      </c>
      <c r="G1312" s="556" t="n">
        <v>355590</v>
      </c>
      <c r="I1312" s="521">
        <f>G1312</f>
        <v/>
      </c>
      <c r="K1312" s="521">
        <f>I1312-G1312</f>
        <v/>
      </c>
      <c r="M1312" s="522" t="inlineStr">
        <is>
          <t>59009913</t>
        </is>
      </c>
      <c r="N1312" s="522" t="inlineStr">
        <is>
          <t>59009913</t>
        </is>
      </c>
      <c r="O1312" s="521">
        <f>M1312=N1312</f>
        <v/>
      </c>
      <c r="P1312" s="521">
        <f>AND(MONTH(F1312)=MONTH(S1312), YEAR(F1312)=YEAR(S1312))</f>
        <v/>
      </c>
      <c r="Q1312" s="521">
        <f>U1312="L001-901905215"</f>
        <v/>
      </c>
      <c r="R1312" s="556">
        <f>G1312-W1312</f>
        <v/>
      </c>
      <c r="S1312" s="523" t="n">
        <v>44271</v>
      </c>
      <c r="T1312" s="522" t="inlineStr">
        <is>
          <t>59009913</t>
        </is>
      </c>
      <c r="U1312" s="522" t="inlineStr">
        <is>
          <t>L001-901905215</t>
        </is>
      </c>
      <c r="V1312" s="522" t="inlineStr">
        <is>
          <t>វីអ៊ីស៊ិន (ខេមបូឌា) អ៊ិនដាសស្ទ្រី ឯ.ក</t>
        </is>
      </c>
      <c r="W1312" s="556" t="n">
        <v>355590</v>
      </c>
    </row>
    <row r="1313">
      <c r="A1313" s="521" t="n">
        <v>1305</v>
      </c>
      <c r="B1313" s="522" t="inlineStr">
        <is>
          <t>SERVICE FEE</t>
        </is>
      </c>
      <c r="C1313" s="522" t="inlineStr">
        <is>
          <t>ប្យួរ៉ូ វេរីតាស (ខេមបូឌា) លីមីធីត</t>
        </is>
      </c>
      <c r="D1313" s="522" t="inlineStr">
        <is>
          <t>L001-107024462</t>
        </is>
      </c>
      <c r="E1313" s="521" t="inlineStr">
        <is>
          <t>59009905</t>
        </is>
      </c>
      <c r="F1313" s="523" t="n">
        <v>44268</v>
      </c>
      <c r="G1313" s="556" t="n">
        <v>54927</v>
      </c>
      <c r="I1313" s="521">
        <f>G1313</f>
        <v/>
      </c>
      <c r="K1313" s="521">
        <f>I1313-G1313</f>
        <v/>
      </c>
      <c r="M1313" s="522" t="inlineStr">
        <is>
          <t>59009905</t>
        </is>
      </c>
      <c r="N1313" s="522" t="inlineStr">
        <is>
          <t>59009905</t>
        </is>
      </c>
      <c r="O1313" s="521">
        <f>M1313=N1313</f>
        <v/>
      </c>
      <c r="P1313" s="521">
        <f>AND(MONTH(F1313)=MONTH(S1313), YEAR(F1313)=YEAR(S1313))</f>
        <v/>
      </c>
      <c r="Q1313" s="521">
        <f>U1313="L001-901905215"</f>
        <v/>
      </c>
      <c r="R1313" s="556">
        <f>G1313-W1313</f>
        <v/>
      </c>
      <c r="S1313" s="523" t="n">
        <v>44268</v>
      </c>
      <c r="T1313" s="522" t="inlineStr">
        <is>
          <t>59009905</t>
        </is>
      </c>
      <c r="U1313" s="522" t="inlineStr">
        <is>
          <t>L001-901905215</t>
        </is>
      </c>
      <c r="V1313" s="522" t="inlineStr">
        <is>
          <t>វីអ៊ីស៊ិន (ខេមបូឌា) អ៊ិនដាសស្ទ្រី ឯ.ក</t>
        </is>
      </c>
      <c r="W1313" s="556" t="n">
        <v>54927</v>
      </c>
    </row>
    <row r="1314">
      <c r="A1314" s="521" t="n">
        <v>1306</v>
      </c>
      <c r="B1314" s="522" t="inlineStr">
        <is>
          <t>SERVICE FEE</t>
        </is>
      </c>
      <c r="C1314" s="522" t="inlineStr">
        <is>
          <t>ប្យួរ៉ូ វេរីតាស (ខេមបូឌា) លីមីធីត</t>
        </is>
      </c>
      <c r="D1314" s="522" t="inlineStr">
        <is>
          <t>L001-107024462</t>
        </is>
      </c>
      <c r="E1314" s="521" t="inlineStr">
        <is>
          <t>59009902</t>
        </is>
      </c>
      <c r="F1314" s="523" t="n">
        <v>44268</v>
      </c>
      <c r="G1314" s="556" t="n">
        <v>164777</v>
      </c>
      <c r="I1314" s="521">
        <f>G1314</f>
        <v/>
      </c>
      <c r="K1314" s="521">
        <f>I1314-G1314</f>
        <v/>
      </c>
      <c r="M1314" s="522" t="inlineStr">
        <is>
          <t>59009902</t>
        </is>
      </c>
      <c r="N1314" s="522" t="inlineStr">
        <is>
          <t>59009902</t>
        </is>
      </c>
      <c r="O1314" s="521">
        <f>M1314=N1314</f>
        <v/>
      </c>
      <c r="P1314" s="521">
        <f>AND(MONTH(F1314)=MONTH(S1314), YEAR(F1314)=YEAR(S1314))</f>
        <v/>
      </c>
      <c r="Q1314" s="521">
        <f>U1314="L001-901905215"</f>
        <v/>
      </c>
      <c r="R1314" s="556">
        <f>G1314-W1314</f>
        <v/>
      </c>
      <c r="S1314" s="523" t="n">
        <v>44268</v>
      </c>
      <c r="T1314" s="522" t="inlineStr">
        <is>
          <t>59009902</t>
        </is>
      </c>
      <c r="U1314" s="522" t="inlineStr">
        <is>
          <t>L001-901905215</t>
        </is>
      </c>
      <c r="V1314" s="522" t="inlineStr">
        <is>
          <t>វីអ៊ីស៊ិន (ខេមបូឌា) អ៊ិនដាសស្ទ្រី ឯ.ក</t>
        </is>
      </c>
      <c r="W1314" s="556" t="n">
        <v>164777</v>
      </c>
    </row>
    <row r="1315">
      <c r="A1315" s="521" t="n">
        <v>1307</v>
      </c>
      <c r="B1315" s="522" t="inlineStr">
        <is>
          <t>SERVICE FEE</t>
        </is>
      </c>
      <c r="C1315" s="522" t="inlineStr">
        <is>
          <t>ប្យួរ៉ូ វេរីតាស (ខេមបូឌា) លីមីធីត</t>
        </is>
      </c>
      <c r="D1315" s="522" t="inlineStr">
        <is>
          <t>L001-107024462</t>
        </is>
      </c>
      <c r="E1315" s="521" t="inlineStr">
        <is>
          <t>59009898</t>
        </is>
      </c>
      <c r="F1315" s="523" t="n">
        <v>44265</v>
      </c>
      <c r="G1315" s="556" t="n">
        <v>54927</v>
      </c>
      <c r="I1315" s="521">
        <f>G1315</f>
        <v/>
      </c>
      <c r="K1315" s="521">
        <f>I1315-G1315</f>
        <v/>
      </c>
      <c r="M1315" s="522" t="inlineStr">
        <is>
          <t>59009898</t>
        </is>
      </c>
      <c r="N1315" s="522" t="inlineStr">
        <is>
          <t>59009898</t>
        </is>
      </c>
      <c r="O1315" s="521">
        <f>M1315=N1315</f>
        <v/>
      </c>
      <c r="P1315" s="521">
        <f>AND(MONTH(F1315)=MONTH(S1315), YEAR(F1315)=YEAR(S1315))</f>
        <v/>
      </c>
      <c r="Q1315" s="521">
        <f>U1315="L001-901905215"</f>
        <v/>
      </c>
      <c r="R1315" s="556">
        <f>G1315-W1315</f>
        <v/>
      </c>
      <c r="S1315" s="523" t="n">
        <v>44266</v>
      </c>
      <c r="T1315" s="522" t="inlineStr">
        <is>
          <t>59009898</t>
        </is>
      </c>
      <c r="U1315" s="522" t="inlineStr">
        <is>
          <t>L001-901905215</t>
        </is>
      </c>
      <c r="V1315" s="522" t="inlineStr">
        <is>
          <t>វីអ៊ីស៊ិន (ខេមបូឌា) អ៊ិនដាសស្ទ្រី ឯ.ក</t>
        </is>
      </c>
      <c r="W1315" s="556" t="n">
        <v>54927</v>
      </c>
    </row>
    <row r="1316">
      <c r="A1316" s="521" t="n">
        <v>1308</v>
      </c>
      <c r="B1316" s="522" t="inlineStr">
        <is>
          <t>SERVICE FEE</t>
        </is>
      </c>
      <c r="C1316" s="522" t="inlineStr">
        <is>
          <t>ប្យួរ៉ូ វេរីតាស (ខេមបូឌា) លីមីធីត</t>
        </is>
      </c>
      <c r="D1316" s="522" t="inlineStr">
        <is>
          <t>L001-107024462</t>
        </is>
      </c>
      <c r="E1316" s="521" t="inlineStr">
        <is>
          <t>59009881</t>
        </is>
      </c>
      <c r="F1316" s="523" t="n">
        <v>44263</v>
      </c>
      <c r="G1316" s="556" t="n">
        <v>94783</v>
      </c>
      <c r="I1316" s="521">
        <f>G1316</f>
        <v/>
      </c>
      <c r="K1316" s="521">
        <f>I1316-G1316</f>
        <v/>
      </c>
      <c r="M1316" s="522" t="inlineStr">
        <is>
          <t>59009881</t>
        </is>
      </c>
      <c r="N1316" s="522" t="inlineStr">
        <is>
          <t>59009881</t>
        </is>
      </c>
      <c r="O1316" s="521">
        <f>M1316=N1316</f>
        <v/>
      </c>
      <c r="P1316" s="521">
        <f>AND(MONTH(F1316)=MONTH(S1316), YEAR(F1316)=YEAR(S1316))</f>
        <v/>
      </c>
      <c r="Q1316" s="521">
        <f>U1316="L001-901905215"</f>
        <v/>
      </c>
      <c r="R1316" s="556">
        <f>G1316-W1316</f>
        <v/>
      </c>
      <c r="S1316" s="523" t="n">
        <v>44263</v>
      </c>
      <c r="T1316" s="522" t="inlineStr">
        <is>
          <t>59009881</t>
        </is>
      </c>
      <c r="U1316" s="522" t="inlineStr">
        <is>
          <t>L001-901905215</t>
        </is>
      </c>
      <c r="V1316" s="522" t="inlineStr">
        <is>
          <t>វីអ៊ីស៊ិន (ខេមបូឌា) អ៊ិនដាសស្ទ្រី ឯ.ក</t>
        </is>
      </c>
      <c r="W1316" s="556" t="n">
        <v>94783</v>
      </c>
    </row>
    <row r="1317">
      <c r="A1317" s="521" t="n">
        <v>1309</v>
      </c>
      <c r="B1317" s="522" t="inlineStr">
        <is>
          <t>SERVICE FEE</t>
        </is>
      </c>
      <c r="C1317" s="522" t="inlineStr">
        <is>
          <t>ប្យួរ៉ូ វេរីតាស (ខេមបូឌា) លីមីធីត</t>
        </is>
      </c>
      <c r="D1317" s="522" t="inlineStr">
        <is>
          <t>L001-107024462</t>
        </is>
      </c>
      <c r="E1317" s="521" t="inlineStr">
        <is>
          <t>59009876</t>
        </is>
      </c>
      <c r="F1317" s="523" t="n">
        <v>44261</v>
      </c>
      <c r="G1317" s="556" t="n">
        <v>54995</v>
      </c>
      <c r="I1317" s="521">
        <f>G1317</f>
        <v/>
      </c>
      <c r="K1317" s="521">
        <f>I1317-G1317</f>
        <v/>
      </c>
      <c r="M1317" s="522" t="inlineStr">
        <is>
          <t>59009876</t>
        </is>
      </c>
      <c r="N1317" s="522" t="inlineStr">
        <is>
          <t>59009876</t>
        </is>
      </c>
      <c r="O1317" s="521">
        <f>M1317=N1317</f>
        <v/>
      </c>
      <c r="P1317" s="521">
        <f>AND(MONTH(F1317)=MONTH(S1317), YEAR(F1317)=YEAR(S1317))</f>
        <v/>
      </c>
      <c r="Q1317" s="521">
        <f>U1317="L001-901905215"</f>
        <v/>
      </c>
      <c r="R1317" s="556">
        <f>G1317-W1317</f>
        <v/>
      </c>
      <c r="S1317" s="523" t="n">
        <v>44261</v>
      </c>
      <c r="T1317" s="522" t="inlineStr">
        <is>
          <t>59009876</t>
        </is>
      </c>
      <c r="U1317" s="522" t="inlineStr">
        <is>
          <t>L001-901905215</t>
        </is>
      </c>
      <c r="V1317" s="522" t="inlineStr">
        <is>
          <t>វីអ៊ីស៊ិន (ខេមបូឌា) អ៊ិនដាសស្ទ្រី ឯ.ក</t>
        </is>
      </c>
      <c r="W1317" s="556" t="n">
        <v>54995</v>
      </c>
    </row>
    <row r="1318">
      <c r="A1318" s="521" t="n">
        <v>1310</v>
      </c>
      <c r="B1318" s="522" t="inlineStr">
        <is>
          <t>SERVICE FEE</t>
        </is>
      </c>
      <c r="C1318" s="522" t="inlineStr">
        <is>
          <t>ប្យួរ៉ូ វេរីតាស (ខេមបូឌា) លីមីធីត</t>
        </is>
      </c>
      <c r="D1318" s="522" t="inlineStr">
        <is>
          <t>L001-107024462</t>
        </is>
      </c>
      <c r="E1318" s="521" t="inlineStr">
        <is>
          <t>59009868</t>
        </is>
      </c>
      <c r="F1318" s="523" t="n">
        <v>44260</v>
      </c>
      <c r="G1318" s="556" t="n">
        <v>164980</v>
      </c>
      <c r="I1318" s="521">
        <f>G1318</f>
        <v/>
      </c>
      <c r="K1318" s="521">
        <f>I1318-G1318</f>
        <v/>
      </c>
      <c r="M1318" s="522" t="inlineStr">
        <is>
          <t>59009868</t>
        </is>
      </c>
      <c r="N1318" s="522" t="inlineStr">
        <is>
          <t>59009868</t>
        </is>
      </c>
      <c r="O1318" s="521">
        <f>M1318=N1318</f>
        <v/>
      </c>
      <c r="P1318" s="521">
        <f>AND(MONTH(F1318)=MONTH(S1318), YEAR(F1318)=YEAR(S1318))</f>
        <v/>
      </c>
      <c r="Q1318" s="521">
        <f>U1318="L001-901905215"</f>
        <v/>
      </c>
      <c r="R1318" s="556">
        <f>G1318-W1318</f>
        <v/>
      </c>
      <c r="S1318" s="523" t="n">
        <v>44260</v>
      </c>
      <c r="T1318" s="522" t="inlineStr">
        <is>
          <t>59009868</t>
        </is>
      </c>
      <c r="U1318" s="522" t="inlineStr">
        <is>
          <t>L001-901905215</t>
        </is>
      </c>
      <c r="V1318" s="522" t="inlineStr">
        <is>
          <t>វីអ៊ីស៊ិន (ខេមបូឌា) អ៊ិនដាសស្ទ្រី ឯ.ក</t>
        </is>
      </c>
      <c r="W1318" s="556" t="n">
        <v>164980</v>
      </c>
    </row>
    <row r="1319">
      <c r="A1319" s="521" t="n">
        <v>1311</v>
      </c>
      <c r="B1319" s="522" t="inlineStr">
        <is>
          <t>SERVICE FEE</t>
        </is>
      </c>
      <c r="C1319" s="522" t="inlineStr">
        <is>
          <t>ប្យួរ៉ូ វេរីតាស (ខេមបូឌា) លីមីធីត</t>
        </is>
      </c>
      <c r="D1319" s="522" t="inlineStr">
        <is>
          <t>L001-107024462</t>
        </is>
      </c>
      <c r="E1319" s="521" t="inlineStr">
        <is>
          <t>59009861</t>
        </is>
      </c>
      <c r="F1319" s="523" t="n">
        <v>44259</v>
      </c>
      <c r="G1319" s="556" t="n">
        <v>186085</v>
      </c>
      <c r="I1319" s="521">
        <f>G1319</f>
        <v/>
      </c>
      <c r="K1319" s="521">
        <f>I1319-G1319</f>
        <v/>
      </c>
      <c r="M1319" s="522" t="inlineStr">
        <is>
          <t>59009861</t>
        </is>
      </c>
      <c r="N1319" s="522" t="inlineStr">
        <is>
          <t>59009861</t>
        </is>
      </c>
      <c r="O1319" s="521">
        <f>M1319=N1319</f>
        <v/>
      </c>
      <c r="P1319" s="521">
        <f>AND(MONTH(F1319)=MONTH(S1319), YEAR(F1319)=YEAR(S1319))</f>
        <v/>
      </c>
      <c r="Q1319" s="521">
        <f>U1319="L001-901905215"</f>
        <v/>
      </c>
      <c r="R1319" s="556">
        <f>G1319-W1319</f>
        <v/>
      </c>
      <c r="S1319" s="523" t="n">
        <v>44259</v>
      </c>
      <c r="T1319" s="522" t="inlineStr">
        <is>
          <t>59009861</t>
        </is>
      </c>
      <c r="U1319" s="522" t="inlineStr">
        <is>
          <t>L001-901905215</t>
        </is>
      </c>
      <c r="V1319" s="522" t="inlineStr">
        <is>
          <t>វីអ៊ីស៊ិន (ខេមបូឌា) អ៊ិនដាសស្ទ្រី ឯ.ក</t>
        </is>
      </c>
      <c r="W1319" s="556" t="n">
        <v>186085</v>
      </c>
    </row>
    <row r="1320">
      <c r="A1320" s="521" t="n">
        <v>1312</v>
      </c>
      <c r="B1320" s="522" t="inlineStr">
        <is>
          <t>SERVICE FEE</t>
        </is>
      </c>
      <c r="C1320" s="522" t="inlineStr">
        <is>
          <t>ប្យួរ៉ូ វេរីតាស (ខេមបូឌា) លីមីធីត</t>
        </is>
      </c>
      <c r="D1320" s="522" t="inlineStr">
        <is>
          <t>L001-107024462</t>
        </is>
      </c>
      <c r="E1320" s="521" t="inlineStr">
        <is>
          <t>59009852</t>
        </is>
      </c>
      <c r="F1320" s="523" t="n">
        <v>44258</v>
      </c>
      <c r="G1320" s="556" t="n">
        <v>55089</v>
      </c>
      <c r="I1320" s="521">
        <f>G1320</f>
        <v/>
      </c>
      <c r="K1320" s="521">
        <f>I1320-G1320</f>
        <v/>
      </c>
      <c r="M1320" s="522" t="inlineStr">
        <is>
          <t>59009852</t>
        </is>
      </c>
      <c r="N1320" s="522" t="inlineStr">
        <is>
          <t>59009852</t>
        </is>
      </c>
      <c r="O1320" s="521">
        <f>M1320=N1320</f>
        <v/>
      </c>
      <c r="P1320" s="521">
        <f>AND(MONTH(F1320)=MONTH(S1320), YEAR(F1320)=YEAR(S1320))</f>
        <v/>
      </c>
      <c r="Q1320" s="521">
        <f>U1320="L001-901905215"</f>
        <v/>
      </c>
      <c r="R1320" s="556">
        <f>G1320-W1320</f>
        <v/>
      </c>
      <c r="S1320" s="523" t="n">
        <v>44258</v>
      </c>
      <c r="T1320" s="522" t="inlineStr">
        <is>
          <t>59009852</t>
        </is>
      </c>
      <c r="U1320" s="522" t="inlineStr">
        <is>
          <t>L001-901905215</t>
        </is>
      </c>
      <c r="V1320" s="522" t="inlineStr">
        <is>
          <t>វីអ៊ីស៊ិន (ខេមបូឌា) អ៊ិនដាសស្ទ្រី ឯ.ក</t>
        </is>
      </c>
      <c r="W1320" s="556" t="n">
        <v>55089</v>
      </c>
    </row>
    <row r="1321">
      <c r="A1321" s="521" t="n">
        <v>1313</v>
      </c>
      <c r="B1321" s="522" t="inlineStr">
        <is>
          <t>Lift-Off</t>
        </is>
      </c>
      <c r="C1321" s="522" t="inlineStr">
        <is>
          <t>កំពង់ផែស្វយ័តភ្នំពេញ "ក.ស.ភ"</t>
        </is>
      </c>
      <c r="D1321" s="522" t="inlineStr">
        <is>
          <t>L001-100044999</t>
        </is>
      </c>
      <c r="E1321" s="521" t="inlineStr">
        <is>
          <t>INV2021314167</t>
        </is>
      </c>
      <c r="F1321" s="523" t="n">
        <v>44271</v>
      </c>
      <c r="G1321" s="556" t="n">
        <v>116640</v>
      </c>
      <c r="I1321" s="521">
        <f>G1321</f>
        <v/>
      </c>
      <c r="K1321" s="521">
        <f>I1321-G1321</f>
        <v/>
      </c>
      <c r="M1321" s="522" t="inlineStr">
        <is>
          <t>INV2021314167</t>
        </is>
      </c>
      <c r="N1321" s="522" t="inlineStr"/>
      <c r="O1321" s="521">
        <f>M1321=N1321</f>
        <v/>
      </c>
      <c r="P1321" s="521">
        <f>AND(MONTH(F1321)=MONTH(S1321), YEAR(F1321)=YEAR(S1321))</f>
        <v/>
      </c>
      <c r="Q1321" s="521">
        <f>U1321="L001-901905215"</f>
        <v/>
      </c>
      <c r="R1321" s="556">
        <f>G1321-W1321</f>
        <v/>
      </c>
      <c r="S1321" s="521" t="n"/>
      <c r="T1321" s="522" t="n"/>
      <c r="U1321" s="522" t="n"/>
      <c r="V1321" s="522" t="n"/>
      <c r="W1321" s="521" t="n"/>
    </row>
    <row r="1322">
      <c r="A1322" s="521" t="n">
        <v>1314</v>
      </c>
      <c r="B1322" s="522" t="inlineStr">
        <is>
          <t>Lift-Off</t>
        </is>
      </c>
      <c r="C1322" s="522" t="inlineStr">
        <is>
          <t>កំពង់ផែស្វយ័តភ្នំពេញ "ក.ស.ភ"</t>
        </is>
      </c>
      <c r="D1322" s="522" t="inlineStr">
        <is>
          <t>L001-100044999</t>
        </is>
      </c>
      <c r="E1322" s="521" t="inlineStr">
        <is>
          <t>INV2021314166</t>
        </is>
      </c>
      <c r="F1322" s="523" t="n">
        <v>44271</v>
      </c>
      <c r="G1322" s="556" t="n">
        <v>58320</v>
      </c>
      <c r="I1322" s="521">
        <f>G1322</f>
        <v/>
      </c>
      <c r="K1322" s="521">
        <f>I1322-G1322</f>
        <v/>
      </c>
      <c r="M1322" s="522" t="inlineStr">
        <is>
          <t>INV2021314166</t>
        </is>
      </c>
      <c r="N1322" s="522" t="inlineStr"/>
      <c r="O1322" s="521">
        <f>M1322=N1322</f>
        <v/>
      </c>
      <c r="P1322" s="521">
        <f>AND(MONTH(F1322)=MONTH(S1322), YEAR(F1322)=YEAR(S1322))</f>
        <v/>
      </c>
      <c r="Q1322" s="521">
        <f>U1322="L001-901905215"</f>
        <v/>
      </c>
      <c r="R1322" s="556">
        <f>G1322-W1322</f>
        <v/>
      </c>
      <c r="S1322" s="521" t="n"/>
      <c r="T1322" s="522" t="n"/>
      <c r="U1322" s="522" t="n"/>
      <c r="V1322" s="522" t="n"/>
      <c r="W1322" s="521" t="n"/>
    </row>
    <row r="1323">
      <c r="A1323" s="521" t="n">
        <v>1315</v>
      </c>
      <c r="B1323" s="522" t="inlineStr">
        <is>
          <t>Lift-Off</t>
        </is>
      </c>
      <c r="C1323" s="522" t="inlineStr">
        <is>
          <t>កំពង់ផែស្វយ័តភ្នំពេញ "ក.ស.ភ"</t>
        </is>
      </c>
      <c r="D1323" s="522" t="inlineStr">
        <is>
          <t>L001-100044999</t>
        </is>
      </c>
      <c r="E1323" s="521" t="inlineStr">
        <is>
          <t>INV2021314165</t>
        </is>
      </c>
      <c r="F1323" s="523" t="n">
        <v>44271</v>
      </c>
      <c r="G1323" s="556" t="n">
        <v>29160</v>
      </c>
      <c r="I1323" s="521">
        <f>G1323</f>
        <v/>
      </c>
      <c r="K1323" s="521">
        <f>I1323-G1323</f>
        <v/>
      </c>
      <c r="M1323" s="522" t="inlineStr">
        <is>
          <t>INV2021314165</t>
        </is>
      </c>
      <c r="N1323" s="522" t="inlineStr"/>
      <c r="O1323" s="521">
        <f>M1323=N1323</f>
        <v/>
      </c>
      <c r="P1323" s="521">
        <f>AND(MONTH(F1323)=MONTH(S1323), YEAR(F1323)=YEAR(S1323))</f>
        <v/>
      </c>
      <c r="Q1323" s="521">
        <f>U1323="L001-901905215"</f>
        <v/>
      </c>
      <c r="R1323" s="556">
        <f>G1323-W1323</f>
        <v/>
      </c>
      <c r="S1323" s="521" t="n"/>
      <c r="T1323" s="522" t="n"/>
      <c r="U1323" s="522" t="n"/>
      <c r="V1323" s="522" t="n"/>
      <c r="W1323" s="521" t="n"/>
    </row>
    <row r="1324">
      <c r="A1324" s="521" t="n">
        <v>1316</v>
      </c>
      <c r="B1324" s="522" t="inlineStr">
        <is>
          <t>Lift-Off</t>
        </is>
      </c>
      <c r="C1324" s="522" t="inlineStr">
        <is>
          <t>កំពង់ផែស្វយ័តភ្នំពេញ "ក.ស.ភ"</t>
        </is>
      </c>
      <c r="D1324" s="522" t="inlineStr">
        <is>
          <t>L001-100044999</t>
        </is>
      </c>
      <c r="E1324" s="521" t="inlineStr">
        <is>
          <t>INV20210313968</t>
        </is>
      </c>
      <c r="F1324" s="523" t="n">
        <v>44270</v>
      </c>
      <c r="G1324" s="556" t="n">
        <v>29196</v>
      </c>
      <c r="I1324" s="521">
        <f>G1324</f>
        <v/>
      </c>
      <c r="K1324" s="521">
        <f>I1324-G1324</f>
        <v/>
      </c>
      <c r="M1324" s="522" t="inlineStr">
        <is>
          <t>INV20210313968</t>
        </is>
      </c>
      <c r="N1324" s="522" t="inlineStr"/>
      <c r="O1324" s="521">
        <f>M1324=N1324</f>
        <v/>
      </c>
      <c r="P1324" s="521">
        <f>AND(MONTH(F1324)=MONTH(S1324), YEAR(F1324)=YEAR(S1324))</f>
        <v/>
      </c>
      <c r="Q1324" s="521">
        <f>U1324="L001-901905215"</f>
        <v/>
      </c>
      <c r="R1324" s="556">
        <f>G1324-W1324</f>
        <v/>
      </c>
      <c r="S1324" s="521" t="n"/>
      <c r="T1324" s="522" t="n"/>
      <c r="U1324" s="522" t="n"/>
      <c r="V1324" s="522" t="n"/>
      <c r="W1324" s="521" t="n"/>
    </row>
    <row r="1325">
      <c r="A1325" s="521" t="n">
        <v>1317</v>
      </c>
      <c r="B1325" s="522" t="inlineStr">
        <is>
          <t>SERVICE FEE</t>
        </is>
      </c>
      <c r="C1325" s="522" t="inlineStr">
        <is>
          <t>អូរៀនថល ឡូជីស្ទីក &amp; ឌីស្ទ្រីប៊្យូសិន (ខេមបូឌា)</t>
        </is>
      </c>
      <c r="D1325" s="522" t="inlineStr">
        <is>
          <t>L001-103007369</t>
        </is>
      </c>
      <c r="E1325" s="521" t="inlineStr">
        <is>
          <t>SI2103-R0311</t>
        </is>
      </c>
      <c r="F1325" s="523" t="n">
        <v>44274</v>
      </c>
      <c r="G1325" s="556" t="n">
        <v>2652345</v>
      </c>
      <c r="I1325" s="521">
        <f>G1325</f>
        <v/>
      </c>
      <c r="K1325" s="521">
        <f>I1325-G1325</f>
        <v/>
      </c>
      <c r="M1325" s="522" t="inlineStr">
        <is>
          <t>SI2103R0311</t>
        </is>
      </c>
      <c r="N1325" s="522" t="inlineStr"/>
      <c r="O1325" s="521">
        <f>M1325=N1325</f>
        <v/>
      </c>
      <c r="P1325" s="521">
        <f>AND(MONTH(F1325)=MONTH(S1325), YEAR(F1325)=YEAR(S1325))</f>
        <v/>
      </c>
      <c r="Q1325" s="521">
        <f>U1325="L001-901905215"</f>
        <v/>
      </c>
      <c r="R1325" s="556">
        <f>G1325-W1325</f>
        <v/>
      </c>
      <c r="S1325" s="521" t="n"/>
      <c r="T1325" s="522" t="n"/>
      <c r="U1325" s="522" t="n"/>
      <c r="V1325" s="522" t="n"/>
      <c r="W1325" s="521" t="n"/>
    </row>
    <row r="1326">
      <c r="A1326" s="521" t="n">
        <v>1318</v>
      </c>
      <c r="B1326" s="522" t="inlineStr">
        <is>
          <t>Delivery From ord To Atl Cartons</t>
        </is>
      </c>
      <c r="C1326" s="522" t="inlineStr">
        <is>
          <t>ហេលមេន វើលវ៉ាយដ៍ ឡូជីស្ទីក (ខេមបូឌា) អិលអិលស៊ី</t>
        </is>
      </c>
      <c r="D1326" s="522" t="inlineStr">
        <is>
          <t>L001-106002481</t>
        </is>
      </c>
      <c r="E1326" s="521" t="inlineStr">
        <is>
          <t>THWL21-000477</t>
        </is>
      </c>
      <c r="F1326" s="523" t="n">
        <v>44275</v>
      </c>
      <c r="G1326" s="556" t="n">
        <v>60750</v>
      </c>
      <c r="I1326" s="521">
        <f>G1326</f>
        <v/>
      </c>
      <c r="K1326" s="521">
        <f>I1326-G1326</f>
        <v/>
      </c>
      <c r="M1326" s="522" t="inlineStr">
        <is>
          <t>THWL21000477</t>
        </is>
      </c>
      <c r="N1326" s="522" t="inlineStr">
        <is>
          <t>THWL21000477</t>
        </is>
      </c>
      <c r="O1326" s="521">
        <f>M1326=N1326</f>
        <v/>
      </c>
      <c r="P1326" s="521">
        <f>AND(MONTH(F1326)=MONTH(S1326), YEAR(F1326)=YEAR(S1326))</f>
        <v/>
      </c>
      <c r="Q1326" s="521">
        <f>U1326="L001-901905215"</f>
        <v/>
      </c>
      <c r="R1326" s="556">
        <f>G1326-W1326</f>
        <v/>
      </c>
      <c r="S1326" s="523" t="n">
        <v>44275</v>
      </c>
      <c r="T1326" s="522" t="inlineStr">
        <is>
          <t>THWL21-000477</t>
        </is>
      </c>
      <c r="U1326" s="522" t="inlineStr">
        <is>
          <t>L001-901905215</t>
        </is>
      </c>
      <c r="V1326" s="522" t="inlineStr">
        <is>
          <t>វីអ៊ីស៊ិន (ខេមបូឌា) អ៊ិនដាសស្ទ្រី ឯ.ក</t>
        </is>
      </c>
      <c r="W1326" s="556" t="n">
        <v>60750</v>
      </c>
    </row>
    <row r="1327">
      <c r="A1327" s="521" t="n">
        <v>1319</v>
      </c>
      <c r="B1327" s="522" t="inlineStr">
        <is>
          <t>Delivery From ord To Atl Cartons</t>
        </is>
      </c>
      <c r="C1327" s="522" t="inlineStr">
        <is>
          <t>ហេលមេន វើលវ៉ាយដ៍ ឡូជីស្ទីក (ខេមបូឌា) អិលអិលស៊ី</t>
        </is>
      </c>
      <c r="D1327" s="522" t="inlineStr">
        <is>
          <t>L001-106002481</t>
        </is>
      </c>
      <c r="E1327" s="521" t="inlineStr">
        <is>
          <t>THWL21-000476</t>
        </is>
      </c>
      <c r="F1327" s="523" t="n">
        <v>44275</v>
      </c>
      <c r="G1327" s="556" t="n">
        <v>364500</v>
      </c>
      <c r="I1327" s="521">
        <f>G1327</f>
        <v/>
      </c>
      <c r="K1327" s="521">
        <f>I1327-G1327</f>
        <v/>
      </c>
      <c r="M1327" s="522" t="inlineStr">
        <is>
          <t>THWL21000476</t>
        </is>
      </c>
      <c r="N1327" s="522" t="inlineStr">
        <is>
          <t>THWL21000476</t>
        </is>
      </c>
      <c r="O1327" s="521">
        <f>M1327=N1327</f>
        <v/>
      </c>
      <c r="P1327" s="521">
        <f>AND(MONTH(F1327)=MONTH(S1327), YEAR(F1327)=YEAR(S1327))</f>
        <v/>
      </c>
      <c r="Q1327" s="521">
        <f>U1327="L001-901905215"</f>
        <v/>
      </c>
      <c r="R1327" s="556">
        <f>G1327-W1327</f>
        <v/>
      </c>
      <c r="S1327" s="523" t="n">
        <v>44275</v>
      </c>
      <c r="T1327" s="522" t="inlineStr">
        <is>
          <t>THWL21-000476</t>
        </is>
      </c>
      <c r="U1327" s="522" t="inlineStr">
        <is>
          <t>L001-901905215</t>
        </is>
      </c>
      <c r="V1327" s="522" t="inlineStr">
        <is>
          <t>វីអ៊ីស៊ិន (ខេមបូឌា) អ៊ិនដាសស្ទ្រី ឯ.ក</t>
        </is>
      </c>
      <c r="W1327" s="556" t="n">
        <v>364500</v>
      </c>
    </row>
    <row r="1328">
      <c r="A1328" s="521" t="n">
        <v>1320</v>
      </c>
      <c r="B1328" s="522" t="inlineStr">
        <is>
          <t>CY MANAGEMENT FEE</t>
        </is>
      </c>
      <c r="C1328" s="522" t="inlineStr">
        <is>
          <t>អ៊ិចស្ពែឌីធ័រ ខេមបូឌា អិលធីឌី</t>
        </is>
      </c>
      <c r="D1328" s="522" t="inlineStr">
        <is>
          <t>L001-100045898</t>
        </is>
      </c>
      <c r="E1328" s="521" t="inlineStr">
        <is>
          <t>TI-0197077</t>
        </is>
      </c>
      <c r="F1328" s="523" t="n">
        <v>44286</v>
      </c>
      <c r="G1328" s="556" t="n">
        <v>362634</v>
      </c>
      <c r="I1328" s="521">
        <f>G1328</f>
        <v/>
      </c>
      <c r="K1328" s="521">
        <f>I1328-G1328</f>
        <v/>
      </c>
      <c r="M1328" s="522" t="inlineStr">
        <is>
          <t>TI0197077</t>
        </is>
      </c>
      <c r="N1328" s="522" t="inlineStr">
        <is>
          <t>TI0197077</t>
        </is>
      </c>
      <c r="O1328" s="521">
        <f>M1328=N1328</f>
        <v/>
      </c>
      <c r="P1328" s="521">
        <f>AND(MONTH(F1328)=MONTH(S1328), YEAR(F1328)=YEAR(S1328))</f>
        <v/>
      </c>
      <c r="Q1328" s="521">
        <f>U1328="L001-901905215"</f>
        <v/>
      </c>
      <c r="R1328" s="556">
        <f>G1328-W1328</f>
        <v/>
      </c>
      <c r="S1328" s="523" t="n">
        <v>44286</v>
      </c>
      <c r="T1328" s="522" t="inlineStr">
        <is>
          <t>TI-0197077</t>
        </is>
      </c>
      <c r="U1328" s="522" t="inlineStr">
        <is>
          <t>L001-901905215</t>
        </is>
      </c>
      <c r="V1328" s="522" t="inlineStr">
        <is>
          <t>វីអ៊ីស៊ិន (ខេមបូឌា) អ៊ិនដាសស្ទ្រី ឯ.ក</t>
        </is>
      </c>
      <c r="W1328" s="556" t="n">
        <v>362634</v>
      </c>
    </row>
    <row r="1329">
      <c r="A1329" s="521" t="n">
        <v>1321</v>
      </c>
      <c r="B1329" s="522" t="inlineStr">
        <is>
          <t>THC CHARGES</t>
        </is>
      </c>
      <c r="C1329" s="522" t="inlineStr">
        <is>
          <t>អ៊ិចស្ពែឌីធ័រ ខេមបូឌា អិលធីឌី</t>
        </is>
      </c>
      <c r="D1329" s="522" t="inlineStr">
        <is>
          <t>L001-100045898</t>
        </is>
      </c>
      <c r="E1329" s="521" t="inlineStr">
        <is>
          <t>TI-0197071</t>
        </is>
      </c>
      <c r="F1329" s="523" t="n">
        <v>44286</v>
      </c>
      <c r="G1329" s="556" t="n">
        <v>1103274</v>
      </c>
      <c r="I1329" s="521">
        <f>G1329</f>
        <v/>
      </c>
      <c r="K1329" s="521">
        <f>I1329-G1329</f>
        <v/>
      </c>
      <c r="M1329" s="522" t="inlineStr">
        <is>
          <t>TI0197071</t>
        </is>
      </c>
      <c r="N1329" s="522" t="inlineStr">
        <is>
          <t>TI0197071</t>
        </is>
      </c>
      <c r="O1329" s="521">
        <f>M1329=N1329</f>
        <v/>
      </c>
      <c r="P1329" s="521">
        <f>AND(MONTH(F1329)=MONTH(S1329), YEAR(F1329)=YEAR(S1329))</f>
        <v/>
      </c>
      <c r="Q1329" s="521">
        <f>U1329="L001-901905215"</f>
        <v/>
      </c>
      <c r="R1329" s="556">
        <f>G1329-W1329</f>
        <v/>
      </c>
      <c r="S1329" s="523" t="n">
        <v>44286</v>
      </c>
      <c r="T1329" s="522" t="inlineStr">
        <is>
          <t>TI-0197071</t>
        </is>
      </c>
      <c r="U1329" s="522" t="inlineStr">
        <is>
          <t>L001-901905215</t>
        </is>
      </c>
      <c r="V1329" s="522" t="inlineStr">
        <is>
          <t>វីអ៊ីស៊ិន (ខេមបូឌា) អ៊ិនដាសស្ទ្រី ឯ.ក</t>
        </is>
      </c>
      <c r="W1329" s="556" t="n">
        <v>1103274</v>
      </c>
    </row>
    <row r="1330">
      <c r="A1330" s="521" t="n">
        <v>1322</v>
      </c>
      <c r="B1330" s="522" t="inlineStr">
        <is>
          <t>BL FEE</t>
        </is>
      </c>
      <c r="C1330" s="522" t="inlineStr">
        <is>
          <t>អ៊ិចស្ពែឌីធ័រ ខេមបូឌា អិលធីឌី</t>
        </is>
      </c>
      <c r="D1330" s="522" t="inlineStr">
        <is>
          <t>L001-100045898</t>
        </is>
      </c>
      <c r="E1330" s="521" t="inlineStr">
        <is>
          <t>TI-0197067</t>
        </is>
      </c>
      <c r="F1330" s="523" t="n">
        <v>44286</v>
      </c>
      <c r="G1330" s="556" t="n">
        <v>377398</v>
      </c>
      <c r="I1330" s="521">
        <f>G1330</f>
        <v/>
      </c>
      <c r="K1330" s="521">
        <f>I1330-G1330</f>
        <v/>
      </c>
      <c r="M1330" s="522" t="inlineStr">
        <is>
          <t>TI0197067</t>
        </is>
      </c>
      <c r="N1330" s="522" t="inlineStr">
        <is>
          <t>TI0197067</t>
        </is>
      </c>
      <c r="O1330" s="521">
        <f>M1330=N1330</f>
        <v/>
      </c>
      <c r="P1330" s="521">
        <f>AND(MONTH(F1330)=MONTH(S1330), YEAR(F1330)=YEAR(S1330))</f>
        <v/>
      </c>
      <c r="Q1330" s="521">
        <f>U1330="L001-901905215"</f>
        <v/>
      </c>
      <c r="R1330" s="556">
        <f>G1330-W1330</f>
        <v/>
      </c>
      <c r="S1330" s="523" t="n">
        <v>44286</v>
      </c>
      <c r="T1330" s="522" t="inlineStr">
        <is>
          <t>TI-0197067</t>
        </is>
      </c>
      <c r="U1330" s="522" t="inlineStr">
        <is>
          <t>L001-901905215</t>
        </is>
      </c>
      <c r="V1330" s="522" t="inlineStr">
        <is>
          <t>វីអ៊ីស៊ិន (ខេមបូឌា) អ៊ិនដាសស្ទ្រី ឯ.ក</t>
        </is>
      </c>
      <c r="W1330" s="556" t="n">
        <v>377399</v>
      </c>
    </row>
    <row r="1331">
      <c r="A1331" s="521" t="n">
        <v>1323</v>
      </c>
      <c r="B1331" s="522" t="inlineStr">
        <is>
          <t>CY MANAGEMENT FEE</t>
        </is>
      </c>
      <c r="C1331" s="522" t="inlineStr">
        <is>
          <t>អ៊ិចស្ពែឌីធ័រ ខេមបូឌា អិលធីឌី</t>
        </is>
      </c>
      <c r="D1331" s="522" t="inlineStr">
        <is>
          <t>L001-100045898</t>
        </is>
      </c>
      <c r="E1331" s="521" t="inlineStr">
        <is>
          <t>TI-0197066</t>
        </is>
      </c>
      <c r="F1331" s="523" t="n">
        <v>44286</v>
      </c>
      <c r="G1331" s="556" t="n">
        <v>499557</v>
      </c>
      <c r="I1331" s="521">
        <f>G1331</f>
        <v/>
      </c>
      <c r="K1331" s="521">
        <f>I1331-G1331</f>
        <v/>
      </c>
      <c r="M1331" s="522" t="inlineStr">
        <is>
          <t>TI0197066</t>
        </is>
      </c>
      <c r="N1331" s="522" t="inlineStr">
        <is>
          <t>TI0197066</t>
        </is>
      </c>
      <c r="O1331" s="521">
        <f>M1331=N1331</f>
        <v/>
      </c>
      <c r="P1331" s="521">
        <f>AND(MONTH(F1331)=MONTH(S1331), YEAR(F1331)=YEAR(S1331))</f>
        <v/>
      </c>
      <c r="Q1331" s="521">
        <f>U1331="L001-901905215"</f>
        <v/>
      </c>
      <c r="R1331" s="556">
        <f>G1331-W1331</f>
        <v/>
      </c>
      <c r="S1331" s="523" t="n">
        <v>44286</v>
      </c>
      <c r="T1331" s="522" t="inlineStr">
        <is>
          <t>TI-0197066</t>
        </is>
      </c>
      <c r="U1331" s="522" t="inlineStr">
        <is>
          <t>L001-901905215</t>
        </is>
      </c>
      <c r="V1331" s="522" t="inlineStr">
        <is>
          <t>វីអ៊ីស៊ិន (ខេមបូឌា) អ៊ិនដាសស្ទ្រី ឯ.ក</t>
        </is>
      </c>
      <c r="W1331" s="556" t="n">
        <v>499558</v>
      </c>
    </row>
    <row r="1332">
      <c r="A1332" s="521" t="n">
        <v>1324</v>
      </c>
      <c r="B1332" s="522" t="inlineStr">
        <is>
          <t>BL FEE</t>
        </is>
      </c>
      <c r="C1332" s="522" t="inlineStr">
        <is>
          <t>អ៊ិចស្ពែឌីធ័រ ខេមបូឌា អិលធីឌី</t>
        </is>
      </c>
      <c r="D1332" s="522" t="inlineStr">
        <is>
          <t>L001-100045898</t>
        </is>
      </c>
      <c r="E1332" s="521" t="inlineStr">
        <is>
          <t>TI-0197065</t>
        </is>
      </c>
      <c r="F1332" s="523" t="n">
        <v>44286</v>
      </c>
      <c r="G1332" s="556" t="n">
        <v>328049</v>
      </c>
      <c r="I1332" s="521">
        <f>G1332</f>
        <v/>
      </c>
      <c r="K1332" s="521">
        <f>I1332-G1332</f>
        <v/>
      </c>
      <c r="M1332" s="522" t="inlineStr">
        <is>
          <t>TI0197065</t>
        </is>
      </c>
      <c r="N1332" s="522" t="inlineStr">
        <is>
          <t>TI0197065</t>
        </is>
      </c>
      <c r="O1332" s="521">
        <f>M1332=N1332</f>
        <v/>
      </c>
      <c r="P1332" s="521">
        <f>AND(MONTH(F1332)=MONTH(S1332), YEAR(F1332)=YEAR(S1332))</f>
        <v/>
      </c>
      <c r="Q1332" s="521">
        <f>U1332="L001-901905215"</f>
        <v/>
      </c>
      <c r="R1332" s="556">
        <f>G1332-W1332</f>
        <v/>
      </c>
      <c r="S1332" s="523" t="n">
        <v>44286</v>
      </c>
      <c r="T1332" s="522" t="inlineStr">
        <is>
          <t>TI-0197065</t>
        </is>
      </c>
      <c r="U1332" s="522" t="inlineStr">
        <is>
          <t>L001-901905215</t>
        </is>
      </c>
      <c r="V1332" s="522" t="inlineStr">
        <is>
          <t>វីអ៊ីស៊ិន (ខេមបូឌា) អ៊ិនដាសស្ទ្រី ឯ.ក</t>
        </is>
      </c>
      <c r="W1332" s="556" t="n">
        <v>328050</v>
      </c>
    </row>
    <row r="1333">
      <c r="A1333" s="521" t="n">
        <v>1325</v>
      </c>
      <c r="B1333" s="522" t="inlineStr">
        <is>
          <t>CY MANAGEMENT FEE</t>
        </is>
      </c>
      <c r="C1333" s="522" t="inlineStr">
        <is>
          <t>អ៊ិចស្ពែឌីធ័រ ខេមបូឌា អិលធីឌី</t>
        </is>
      </c>
      <c r="D1333" s="522" t="inlineStr">
        <is>
          <t>L001-100045898</t>
        </is>
      </c>
      <c r="E1333" s="521" t="inlineStr">
        <is>
          <t>TI-0197064</t>
        </is>
      </c>
      <c r="F1333" s="523" t="n">
        <v>44286</v>
      </c>
      <c r="G1333" s="556" t="n">
        <v>265756</v>
      </c>
      <c r="I1333" s="521">
        <f>G1333</f>
        <v/>
      </c>
      <c r="K1333" s="521">
        <f>I1333-G1333</f>
        <v/>
      </c>
      <c r="M1333" s="522" t="inlineStr">
        <is>
          <t>TI0197064</t>
        </is>
      </c>
      <c r="N1333" s="522" t="inlineStr">
        <is>
          <t>TI0197064</t>
        </is>
      </c>
      <c r="O1333" s="521">
        <f>M1333=N1333</f>
        <v/>
      </c>
      <c r="P1333" s="521">
        <f>AND(MONTH(F1333)=MONTH(S1333), YEAR(F1333)=YEAR(S1333))</f>
        <v/>
      </c>
      <c r="Q1333" s="521">
        <f>U1333="L001-901905215"</f>
        <v/>
      </c>
      <c r="R1333" s="556">
        <f>G1333-W1333</f>
        <v/>
      </c>
      <c r="S1333" s="523" t="n">
        <v>44286</v>
      </c>
      <c r="T1333" s="522" t="inlineStr">
        <is>
          <t>TI-0197064</t>
        </is>
      </c>
      <c r="U1333" s="522" t="inlineStr">
        <is>
          <t>L001-901905215</t>
        </is>
      </c>
      <c r="V1333" s="522" t="inlineStr">
        <is>
          <t>វីអ៊ីស៊ិន (ខេមបូឌា) អ៊ិនដាសស្ទ្រី ឯ.ក</t>
        </is>
      </c>
      <c r="W1333" s="556" t="n">
        <v>265757</v>
      </c>
    </row>
    <row r="1334">
      <c r="A1334" s="521" t="n">
        <v>1326</v>
      </c>
      <c r="B1334" s="522" t="inlineStr">
        <is>
          <t>THC CHARGES</t>
        </is>
      </c>
      <c r="C1334" s="522" t="inlineStr">
        <is>
          <t>អ៊ិចស្ពែឌីធ័រ ខេមបូឌា អិលធីឌី</t>
        </is>
      </c>
      <c r="D1334" s="522" t="inlineStr">
        <is>
          <t>L001-100045898</t>
        </is>
      </c>
      <c r="E1334" s="521" t="inlineStr">
        <is>
          <t>TI-0196976</t>
        </is>
      </c>
      <c r="F1334" s="523" t="n">
        <v>44285</v>
      </c>
      <c r="G1334" s="556" t="n">
        <v>203059</v>
      </c>
      <c r="I1334" s="521">
        <f>G1334</f>
        <v/>
      </c>
      <c r="K1334" s="521">
        <f>I1334-G1334</f>
        <v/>
      </c>
      <c r="M1334" s="522" t="inlineStr">
        <is>
          <t>TI0196976</t>
        </is>
      </c>
      <c r="N1334" s="522" t="inlineStr"/>
      <c r="O1334" s="521">
        <f>M1334=N1334</f>
        <v/>
      </c>
      <c r="P1334" s="521">
        <f>AND(MONTH(F1334)=MONTH(S1334), YEAR(F1334)=YEAR(S1334))</f>
        <v/>
      </c>
      <c r="Q1334" s="521">
        <f>U1334="L001-901905215"</f>
        <v/>
      </c>
      <c r="R1334" s="556">
        <f>G1334-W1334</f>
        <v/>
      </c>
      <c r="S1334" s="521" t="n"/>
      <c r="T1334" s="522" t="n"/>
      <c r="U1334" s="522" t="n"/>
      <c r="V1334" s="522" t="n"/>
      <c r="W1334" s="521" t="n"/>
    </row>
    <row r="1335">
      <c r="A1335" s="521" t="n">
        <v>1327</v>
      </c>
      <c r="B1335" s="522" t="inlineStr">
        <is>
          <t>CY MANAGEMENT FEE</t>
        </is>
      </c>
      <c r="C1335" s="522" t="inlineStr">
        <is>
          <t>អ៊ិចស្ពែឌីធ័រ ខេមបូឌា អិលធីឌី</t>
        </is>
      </c>
      <c r="D1335" s="522" t="inlineStr">
        <is>
          <t>L001-100045898</t>
        </is>
      </c>
      <c r="E1335" s="521" t="inlineStr">
        <is>
          <t>TI-0196956</t>
        </is>
      </c>
      <c r="F1335" s="523" t="n">
        <v>44285</v>
      </c>
      <c r="G1335" s="556" t="n">
        <v>164631</v>
      </c>
      <c r="I1335" s="521">
        <f>G1335</f>
        <v/>
      </c>
      <c r="K1335" s="521">
        <f>I1335-G1335</f>
        <v/>
      </c>
      <c r="M1335" s="522" t="inlineStr">
        <is>
          <t>TI0196956</t>
        </is>
      </c>
      <c r="N1335" s="522" t="inlineStr">
        <is>
          <t>TI0196956</t>
        </is>
      </c>
      <c r="O1335" s="521">
        <f>M1335=N1335</f>
        <v/>
      </c>
      <c r="P1335" s="521">
        <f>AND(MONTH(F1335)=MONTH(S1335), YEAR(F1335)=YEAR(S1335))</f>
        <v/>
      </c>
      <c r="Q1335" s="521">
        <f>U1335="L001-901905215"</f>
        <v/>
      </c>
      <c r="R1335" s="556">
        <f>G1335-W1335</f>
        <v/>
      </c>
      <c r="S1335" s="523" t="n">
        <v>44285</v>
      </c>
      <c r="T1335" s="522" t="inlineStr">
        <is>
          <t>TI-0196956</t>
        </is>
      </c>
      <c r="U1335" s="522" t="inlineStr">
        <is>
          <t>L001-901905215</t>
        </is>
      </c>
      <c r="V1335" s="522" t="inlineStr">
        <is>
          <t>វីអ៊ីស៊ិន (ខេមបូឌា) អ៊ិនដាសស្ទ្រី ឯ.ក</t>
        </is>
      </c>
      <c r="W1335" s="556" t="n">
        <v>164632</v>
      </c>
    </row>
    <row r="1336">
      <c r="A1336" s="521" t="n">
        <v>1328</v>
      </c>
      <c r="B1336" s="522" t="inlineStr">
        <is>
          <t>BL FEE</t>
        </is>
      </c>
      <c r="C1336" s="522" t="inlineStr">
        <is>
          <t>អ៊ិចស្ពែឌីធ័រ ខេមបូឌា អិលធីឌី</t>
        </is>
      </c>
      <c r="D1336" s="522" t="inlineStr">
        <is>
          <t>L001-100045898</t>
        </is>
      </c>
      <c r="E1336" s="521" t="inlineStr">
        <is>
          <t>TI-0196812</t>
        </is>
      </c>
      <c r="F1336" s="523" t="n">
        <v>44281</v>
      </c>
      <c r="G1336" s="556" t="n">
        <v>12135</v>
      </c>
      <c r="I1336" s="521">
        <f>G1336</f>
        <v/>
      </c>
      <c r="K1336" s="521">
        <f>I1336-G1336</f>
        <v/>
      </c>
      <c r="M1336" s="522" t="inlineStr">
        <is>
          <t>TI0196812</t>
        </is>
      </c>
      <c r="N1336" s="522" t="inlineStr">
        <is>
          <t>TI0196812</t>
        </is>
      </c>
      <c r="O1336" s="521">
        <f>M1336=N1336</f>
        <v/>
      </c>
      <c r="P1336" s="521">
        <f>AND(MONTH(F1336)=MONTH(S1336), YEAR(F1336)=YEAR(S1336))</f>
        <v/>
      </c>
      <c r="Q1336" s="521">
        <f>U1336="L001-901905215"</f>
        <v/>
      </c>
      <c r="R1336" s="556">
        <f>G1336-W1336</f>
        <v/>
      </c>
      <c r="S1336" s="523" t="n">
        <v>44281</v>
      </c>
      <c r="T1336" s="522" t="inlineStr">
        <is>
          <t>TI-0196812</t>
        </is>
      </c>
      <c r="U1336" s="522" t="inlineStr">
        <is>
          <t>L001-901905215</t>
        </is>
      </c>
      <c r="V1336" s="522" t="inlineStr">
        <is>
          <t>វីអ៊ីស៊ិន (ខេមបូឌា) អ៊ិនដាសស្ទ្រី ឯ.ក</t>
        </is>
      </c>
      <c r="W1336" s="556" t="n">
        <v>12135</v>
      </c>
    </row>
    <row r="1337">
      <c r="A1337" s="521" t="n">
        <v>1329</v>
      </c>
      <c r="B1337" s="522" t="inlineStr">
        <is>
          <t>THC CHARGES</t>
        </is>
      </c>
      <c r="C1337" s="522" t="inlineStr">
        <is>
          <t>អ៊ិចស្ពែឌីធ័រ ខេមបូឌា អិលធីឌី</t>
        </is>
      </c>
      <c r="D1337" s="522" t="inlineStr">
        <is>
          <t>L001-100045898</t>
        </is>
      </c>
      <c r="E1337" s="521" t="inlineStr">
        <is>
          <t>TI-01966537</t>
        </is>
      </c>
      <c r="F1337" s="523" t="n">
        <v>44279</v>
      </c>
      <c r="G1337" s="556" t="n">
        <v>203614</v>
      </c>
      <c r="I1337" s="521">
        <f>G1337</f>
        <v/>
      </c>
      <c r="K1337" s="521">
        <f>I1337-G1337</f>
        <v/>
      </c>
      <c r="M1337" s="522" t="inlineStr">
        <is>
          <t>TI01966537</t>
        </is>
      </c>
      <c r="N1337" s="522" t="inlineStr"/>
      <c r="O1337" s="521">
        <f>M1337=N1337</f>
        <v/>
      </c>
      <c r="P1337" s="521">
        <f>AND(MONTH(F1337)=MONTH(S1337), YEAR(F1337)=YEAR(S1337))</f>
        <v/>
      </c>
      <c r="Q1337" s="521">
        <f>U1337="L001-901905215"</f>
        <v/>
      </c>
      <c r="R1337" s="556">
        <f>G1337-W1337</f>
        <v/>
      </c>
      <c r="S1337" s="521" t="n"/>
      <c r="T1337" s="522" t="n"/>
      <c r="U1337" s="522" t="n"/>
      <c r="V1337" s="522" t="n"/>
      <c r="W1337" s="521" t="n"/>
    </row>
    <row r="1338">
      <c r="A1338" s="521" t="n">
        <v>1330</v>
      </c>
      <c r="B1338" s="522" t="inlineStr">
        <is>
          <t>CY MANAGEMENT FEE</t>
        </is>
      </c>
      <c r="C1338" s="522" t="inlineStr">
        <is>
          <t>អ៊ិចស្ពែឌីធ័រ ខេមបូឌា អិលធីឌី</t>
        </is>
      </c>
      <c r="D1338" s="522" t="inlineStr">
        <is>
          <t>L001-100045898</t>
        </is>
      </c>
      <c r="E1338" s="521" t="inlineStr">
        <is>
          <t>TI-0196530</t>
        </is>
      </c>
      <c r="F1338" s="523" t="n">
        <v>44278</v>
      </c>
      <c r="G1338" s="556" t="n">
        <v>564291</v>
      </c>
      <c r="I1338" s="521">
        <f>G1338</f>
        <v/>
      </c>
      <c r="K1338" s="521">
        <f>I1338-G1338</f>
        <v/>
      </c>
      <c r="M1338" s="522" t="inlineStr">
        <is>
          <t>TI0196530</t>
        </is>
      </c>
      <c r="N1338" s="522" t="inlineStr">
        <is>
          <t>TI0196530</t>
        </is>
      </c>
      <c r="O1338" s="521">
        <f>M1338=N1338</f>
        <v/>
      </c>
      <c r="P1338" s="521">
        <f>AND(MONTH(F1338)=MONTH(S1338), YEAR(F1338)=YEAR(S1338))</f>
        <v/>
      </c>
      <c r="Q1338" s="521">
        <f>U1338="L001-901905215"</f>
        <v/>
      </c>
      <c r="R1338" s="556">
        <f>G1338-W1338</f>
        <v/>
      </c>
      <c r="S1338" s="523" t="n">
        <v>44278</v>
      </c>
      <c r="T1338" s="522" t="inlineStr">
        <is>
          <t>TI-0196530</t>
        </is>
      </c>
      <c r="U1338" s="522" t="inlineStr">
        <is>
          <t>L001-901905215</t>
        </is>
      </c>
      <c r="V1338" s="522" t="inlineStr">
        <is>
          <t>វីអ៊ីស៊ិន (ខេមបូឌា) អ៊ិនដាសស្ទ្រី ឯ.ក</t>
        </is>
      </c>
      <c r="W1338" s="556" t="n">
        <v>564291</v>
      </c>
    </row>
    <row r="1339">
      <c r="A1339" s="521" t="n">
        <v>1331</v>
      </c>
      <c r="B1339" s="522" t="inlineStr">
        <is>
          <t>THC CHARGES</t>
        </is>
      </c>
      <c r="C1339" s="522" t="inlineStr">
        <is>
          <t>អ៊ិចស្ពែឌីធ័រ ខេមបូឌា អិលធីឌី</t>
        </is>
      </c>
      <c r="D1339" s="522" t="inlineStr">
        <is>
          <t>L001-100045898</t>
        </is>
      </c>
      <c r="E1339" s="521" t="inlineStr">
        <is>
          <t>TI-0196529</t>
        </is>
      </c>
      <c r="F1339" s="523" t="n">
        <v>44278</v>
      </c>
      <c r="G1339" s="556" t="n">
        <v>334365</v>
      </c>
      <c r="I1339" s="521">
        <f>G1339</f>
        <v/>
      </c>
      <c r="K1339" s="521">
        <f>I1339-G1339</f>
        <v/>
      </c>
      <c r="M1339" s="522" t="inlineStr">
        <is>
          <t>TI0196529</t>
        </is>
      </c>
      <c r="N1339" s="522" t="inlineStr">
        <is>
          <t>TI0196529</t>
        </is>
      </c>
      <c r="O1339" s="521">
        <f>M1339=N1339</f>
        <v/>
      </c>
      <c r="P1339" s="521">
        <f>AND(MONTH(F1339)=MONTH(S1339), YEAR(F1339)=YEAR(S1339))</f>
        <v/>
      </c>
      <c r="Q1339" s="521">
        <f>U1339="L001-901905215"</f>
        <v/>
      </c>
      <c r="R1339" s="556">
        <f>G1339-W1339</f>
        <v/>
      </c>
      <c r="S1339" s="523" t="n">
        <v>44278</v>
      </c>
      <c r="T1339" s="522" t="inlineStr">
        <is>
          <t>TI-0196529</t>
        </is>
      </c>
      <c r="U1339" s="522" t="inlineStr">
        <is>
          <t>L001-901905215</t>
        </is>
      </c>
      <c r="V1339" s="522" t="inlineStr">
        <is>
          <t>វីអ៊ីស៊ិន (ខេមបូឌា) អ៊ិនដាសស្ទ្រី ឯ.ក</t>
        </is>
      </c>
      <c r="W1339" s="556" t="n">
        <v>334365</v>
      </c>
    </row>
    <row r="1340">
      <c r="A1340" s="521" t="n">
        <v>1332</v>
      </c>
      <c r="B1340" s="522" t="inlineStr">
        <is>
          <t>THC CHARGES</t>
        </is>
      </c>
      <c r="C1340" s="522" t="inlineStr">
        <is>
          <t>អ៊ិចស្ពែឌីធ័រ ខេមបូឌា អិលធីឌី</t>
        </is>
      </c>
      <c r="D1340" s="522" t="inlineStr">
        <is>
          <t>L001-100045898</t>
        </is>
      </c>
      <c r="E1340" s="521" t="inlineStr">
        <is>
          <t>TI-0196528</t>
        </is>
      </c>
      <c r="F1340" s="523" t="n">
        <v>44278</v>
      </c>
      <c r="G1340" s="556" t="n">
        <v>201590</v>
      </c>
      <c r="I1340" s="521">
        <f>G1340</f>
        <v/>
      </c>
      <c r="K1340" s="521">
        <f>I1340-G1340</f>
        <v/>
      </c>
      <c r="M1340" s="522" t="inlineStr">
        <is>
          <t>TI0196528</t>
        </is>
      </c>
      <c r="N1340" s="522" t="inlineStr">
        <is>
          <t>TI0196528</t>
        </is>
      </c>
      <c r="O1340" s="521">
        <f>M1340=N1340</f>
        <v/>
      </c>
      <c r="P1340" s="521">
        <f>AND(MONTH(F1340)=MONTH(S1340), YEAR(F1340)=YEAR(S1340))</f>
        <v/>
      </c>
      <c r="Q1340" s="521">
        <f>U1340="L001-901905215"</f>
        <v/>
      </c>
      <c r="R1340" s="556">
        <f>G1340-W1340</f>
        <v/>
      </c>
      <c r="S1340" s="523" t="n">
        <v>44278</v>
      </c>
      <c r="T1340" s="522" t="inlineStr">
        <is>
          <t>TI-0196528</t>
        </is>
      </c>
      <c r="U1340" s="522" t="inlineStr">
        <is>
          <t>L001-901905215</t>
        </is>
      </c>
      <c r="V1340" s="522" t="inlineStr">
        <is>
          <t>វីអ៊ីស៊ិន (ខេមបូឌា) អ៊ិនដាសស្ទ្រី ឯ.ក</t>
        </is>
      </c>
      <c r="W1340" s="556" t="n">
        <v>201590</v>
      </c>
    </row>
    <row r="1341">
      <c r="A1341" s="521" t="n">
        <v>1333</v>
      </c>
      <c r="B1341" s="522" t="inlineStr">
        <is>
          <t>CY MANAGEMENT FEE</t>
        </is>
      </c>
      <c r="C1341" s="522" t="inlineStr">
        <is>
          <t>អ៊ិចស្ពែឌីធ័រ ខេមបូឌា អិលធីឌី</t>
        </is>
      </c>
      <c r="D1341" s="522" t="inlineStr">
        <is>
          <t>L001-100045898</t>
        </is>
      </c>
      <c r="E1341" s="521" t="inlineStr">
        <is>
          <t>TI-0196527</t>
        </is>
      </c>
      <c r="F1341" s="523" t="n">
        <v>44278</v>
      </c>
      <c r="G1341" s="556" t="n">
        <v>147347</v>
      </c>
      <c r="I1341" s="521">
        <f>G1341</f>
        <v/>
      </c>
      <c r="K1341" s="521">
        <f>I1341-G1341</f>
        <v/>
      </c>
      <c r="M1341" s="522" t="inlineStr">
        <is>
          <t>TI0196527</t>
        </is>
      </c>
      <c r="N1341" s="522" t="inlineStr">
        <is>
          <t>TI0196527</t>
        </is>
      </c>
      <c r="O1341" s="521">
        <f>M1341=N1341</f>
        <v/>
      </c>
      <c r="P1341" s="521">
        <f>AND(MONTH(F1341)=MONTH(S1341), YEAR(F1341)=YEAR(S1341))</f>
        <v/>
      </c>
      <c r="Q1341" s="521">
        <f>U1341="L001-901905215"</f>
        <v/>
      </c>
      <c r="R1341" s="556">
        <f>G1341-W1341</f>
        <v/>
      </c>
      <c r="S1341" s="523" t="n">
        <v>44278</v>
      </c>
      <c r="T1341" s="522" t="inlineStr">
        <is>
          <t>TI-0196527</t>
        </is>
      </c>
      <c r="U1341" s="522" t="inlineStr">
        <is>
          <t>L001-901905215</t>
        </is>
      </c>
      <c r="V1341" s="522" t="inlineStr">
        <is>
          <t>វីអ៊ីស៊ិន (ខេមបូឌា) អ៊ិនដាសស្ទ្រី ឯ.ក</t>
        </is>
      </c>
      <c r="W1341" s="556" t="n">
        <v>147347</v>
      </c>
    </row>
    <row r="1342">
      <c r="A1342" s="521" t="n">
        <v>1334</v>
      </c>
      <c r="B1342" s="522" t="inlineStr">
        <is>
          <t>BL FEE</t>
        </is>
      </c>
      <c r="C1342" s="522" t="inlineStr">
        <is>
          <t>អ៊ិចស្ពែឌីធ័រ ខេមបូឌា អិលធីឌី</t>
        </is>
      </c>
      <c r="D1342" s="522" t="inlineStr">
        <is>
          <t>L001-100045898</t>
        </is>
      </c>
      <c r="E1342" s="521" t="inlineStr">
        <is>
          <t>TI-0196526</t>
        </is>
      </c>
      <c r="F1342" s="523" t="n">
        <v>44278</v>
      </c>
      <c r="G1342" s="556" t="n">
        <v>701518</v>
      </c>
      <c r="I1342" s="521">
        <f>G1342</f>
        <v/>
      </c>
      <c r="K1342" s="521">
        <f>I1342-G1342</f>
        <v/>
      </c>
      <c r="M1342" s="522" t="inlineStr">
        <is>
          <t>TI0196526</t>
        </is>
      </c>
      <c r="N1342" s="522" t="inlineStr">
        <is>
          <t>TI0196526</t>
        </is>
      </c>
      <c r="O1342" s="521">
        <f>M1342=N1342</f>
        <v/>
      </c>
      <c r="P1342" s="521">
        <f>AND(MONTH(F1342)=MONTH(S1342), YEAR(F1342)=YEAR(S1342))</f>
        <v/>
      </c>
      <c r="Q1342" s="521">
        <f>U1342="L001-901905215"</f>
        <v/>
      </c>
      <c r="R1342" s="556">
        <f>G1342-W1342</f>
        <v/>
      </c>
      <c r="S1342" s="523" t="n">
        <v>44278</v>
      </c>
      <c r="T1342" s="522" t="inlineStr">
        <is>
          <t>TI-0196526</t>
        </is>
      </c>
      <c r="U1342" s="522" t="inlineStr">
        <is>
          <t>L001-901905215</t>
        </is>
      </c>
      <c r="V1342" s="522" t="inlineStr">
        <is>
          <t>វីអ៊ីស៊ិន (ខេមបូឌា) អ៊ិនដាសស្ទ្រី ឯ.ក</t>
        </is>
      </c>
      <c r="W1342" s="556" t="n">
        <v>701518</v>
      </c>
    </row>
    <row r="1343">
      <c r="A1343" s="521" t="n">
        <v>1335</v>
      </c>
      <c r="B1343" s="522" t="inlineStr">
        <is>
          <t>CFS RECEVICE &amp; TRUCKING CHARGE</t>
        </is>
      </c>
      <c r="C1343" s="522" t="inlineStr">
        <is>
          <t>អ៊ិចស្ពែឌីធ័រ ខេមបូឌា អិលធីឌី</t>
        </is>
      </c>
      <c r="D1343" s="522" t="inlineStr">
        <is>
          <t>L001-100045898</t>
        </is>
      </c>
      <c r="E1343" s="521" t="inlineStr">
        <is>
          <t>TI-0196505</t>
        </is>
      </c>
      <c r="F1343" s="523" t="n">
        <v>44278</v>
      </c>
      <c r="G1343" s="556" t="n">
        <v>109381</v>
      </c>
      <c r="I1343" s="521">
        <f>G1343</f>
        <v/>
      </c>
      <c r="K1343" s="521">
        <f>I1343-G1343</f>
        <v/>
      </c>
      <c r="M1343" s="522" t="inlineStr">
        <is>
          <t>TI0196505</t>
        </is>
      </c>
      <c r="N1343" s="522" t="inlineStr">
        <is>
          <t>TI0196505</t>
        </is>
      </c>
      <c r="O1343" s="521">
        <f>M1343=N1343</f>
        <v/>
      </c>
      <c r="P1343" s="521">
        <f>AND(MONTH(F1343)=MONTH(S1343), YEAR(F1343)=YEAR(S1343))</f>
        <v/>
      </c>
      <c r="Q1343" s="521">
        <f>U1343="L001-901905215"</f>
        <v/>
      </c>
      <c r="R1343" s="556">
        <f>G1343-W1343</f>
        <v/>
      </c>
      <c r="S1343" s="523" t="n">
        <v>44278</v>
      </c>
      <c r="T1343" s="522" t="inlineStr">
        <is>
          <t>TI-0196505</t>
        </is>
      </c>
      <c r="U1343" s="522" t="inlineStr">
        <is>
          <t>L001-901905215</t>
        </is>
      </c>
      <c r="V1343" s="522" t="inlineStr">
        <is>
          <t>វីអ៊ីស៊ិន (ខេមបូឌា) អ៊ិនដាសស្ទ្រី ឯ.ក</t>
        </is>
      </c>
      <c r="W1343" s="556" t="n">
        <v>109377</v>
      </c>
    </row>
    <row r="1344">
      <c r="A1344" s="521" t="n">
        <v>1336</v>
      </c>
      <c r="B1344" s="522" t="inlineStr">
        <is>
          <t>REVISION FEE</t>
        </is>
      </c>
      <c r="C1344" s="522" t="inlineStr">
        <is>
          <t>អ៊ិចស្ពែឌីធ័រ ខេមបូឌា អិលធីឌី</t>
        </is>
      </c>
      <c r="D1344" s="522" t="inlineStr">
        <is>
          <t>L001-100045898</t>
        </is>
      </c>
      <c r="E1344" s="521" t="inlineStr">
        <is>
          <t>TI-0196230</t>
        </is>
      </c>
      <c r="F1344" s="523" t="n">
        <v>44274</v>
      </c>
      <c r="G1344" s="556" t="n">
        <v>34627</v>
      </c>
      <c r="I1344" s="521">
        <f>G1344</f>
        <v/>
      </c>
      <c r="K1344" s="521">
        <f>I1344-G1344</f>
        <v/>
      </c>
      <c r="M1344" s="522" t="inlineStr">
        <is>
          <t>TI0196230</t>
        </is>
      </c>
      <c r="N1344" s="522" t="inlineStr">
        <is>
          <t>TI0196230</t>
        </is>
      </c>
      <c r="O1344" s="521">
        <f>M1344=N1344</f>
        <v/>
      </c>
      <c r="P1344" s="521">
        <f>AND(MONTH(F1344)=MONTH(S1344), YEAR(F1344)=YEAR(S1344))</f>
        <v/>
      </c>
      <c r="Q1344" s="521">
        <f>U1344="L001-901905215"</f>
        <v/>
      </c>
      <c r="R1344" s="556">
        <f>G1344-W1344</f>
        <v/>
      </c>
      <c r="S1344" s="523" t="n">
        <v>44274</v>
      </c>
      <c r="T1344" s="522" t="inlineStr">
        <is>
          <t>TI-0196230</t>
        </is>
      </c>
      <c r="U1344" s="522" t="inlineStr">
        <is>
          <t>L001-901905215</t>
        </is>
      </c>
      <c r="V1344" s="522" t="inlineStr">
        <is>
          <t>វីអ៊ីស៊ិន (ខេមបូឌា) អ៊ិនដាសស្ទ្រី ឯ.ក</t>
        </is>
      </c>
      <c r="W1344" s="556" t="n">
        <v>34628</v>
      </c>
    </row>
    <row r="1345">
      <c r="A1345" s="521" t="n">
        <v>1337</v>
      </c>
      <c r="B1345" s="522" t="inlineStr">
        <is>
          <t>THC CHARGES</t>
        </is>
      </c>
      <c r="C1345" s="522" t="inlineStr">
        <is>
          <t>អ៊ិចស្ពែឌីធ័រ ខេមបូឌា អិលធីឌី</t>
        </is>
      </c>
      <c r="D1345" s="522" t="inlineStr">
        <is>
          <t>L001-100045898</t>
        </is>
      </c>
      <c r="E1345" s="521" t="inlineStr">
        <is>
          <t>TI-0196060</t>
        </is>
      </c>
      <c r="F1345" s="523" t="n">
        <v>44272</v>
      </c>
      <c r="G1345" s="556" t="n">
        <v>223965</v>
      </c>
      <c r="I1345" s="521">
        <f>G1345</f>
        <v/>
      </c>
      <c r="K1345" s="521">
        <f>I1345-G1345</f>
        <v/>
      </c>
      <c r="M1345" s="522" t="inlineStr">
        <is>
          <t>TI0196060</t>
        </is>
      </c>
      <c r="N1345" s="522" t="inlineStr">
        <is>
          <t>TI0196060</t>
        </is>
      </c>
      <c r="O1345" s="521">
        <f>M1345=N1345</f>
        <v/>
      </c>
      <c r="P1345" s="521">
        <f>AND(MONTH(F1345)=MONTH(S1345), YEAR(F1345)=YEAR(S1345))</f>
        <v/>
      </c>
      <c r="Q1345" s="521">
        <f>U1345="L001-901905215"</f>
        <v/>
      </c>
      <c r="R1345" s="556">
        <f>G1345-W1345</f>
        <v/>
      </c>
      <c r="S1345" s="523" t="n">
        <v>44272</v>
      </c>
      <c r="T1345" s="522" t="inlineStr">
        <is>
          <t>TI-0196060</t>
        </is>
      </c>
      <c r="U1345" s="522" t="inlineStr">
        <is>
          <t>L001-901905215</t>
        </is>
      </c>
      <c r="V1345" s="522" t="inlineStr">
        <is>
          <t>វីអ៊ីស៊ិន (ខេមបូឌា) អ៊ិនដាសស្ទ្រី ឯ.ក</t>
        </is>
      </c>
      <c r="W1345" s="556" t="n">
        <v>223965</v>
      </c>
    </row>
    <row r="1346">
      <c r="A1346" s="521" t="n">
        <v>1338</v>
      </c>
      <c r="B1346" s="522" t="inlineStr">
        <is>
          <t>CY MANAGEMENT FEE</t>
        </is>
      </c>
      <c r="C1346" s="522" t="inlineStr">
        <is>
          <t>អ៊ិចស្ពែឌីធ័រ ខេមបូឌា អិលធីឌី</t>
        </is>
      </c>
      <c r="D1346" s="522" t="inlineStr">
        <is>
          <t>L001-100045898</t>
        </is>
      </c>
      <c r="E1346" s="521" t="inlineStr">
        <is>
          <t>TI-0195059</t>
        </is>
      </c>
      <c r="F1346" s="523" t="n">
        <v>44272</v>
      </c>
      <c r="G1346" s="556" t="n">
        <v>223965</v>
      </c>
      <c r="I1346" s="521">
        <f>G1346</f>
        <v/>
      </c>
      <c r="K1346" s="521">
        <f>I1346-G1346</f>
        <v/>
      </c>
      <c r="M1346" s="522" t="inlineStr">
        <is>
          <t>TI0195059</t>
        </is>
      </c>
      <c r="N1346" s="522" t="inlineStr"/>
      <c r="O1346" s="521">
        <f>M1346=N1346</f>
        <v/>
      </c>
      <c r="P1346" s="521">
        <f>AND(MONTH(F1346)=MONTH(S1346), YEAR(F1346)=YEAR(S1346))</f>
        <v/>
      </c>
      <c r="Q1346" s="521">
        <f>U1346="L001-901905215"</f>
        <v/>
      </c>
      <c r="R1346" s="556">
        <f>G1346-W1346</f>
        <v/>
      </c>
      <c r="S1346" s="521" t="n"/>
      <c r="T1346" s="522" t="n"/>
      <c r="U1346" s="522" t="n"/>
      <c r="V1346" s="522" t="n"/>
      <c r="W1346" s="521" t="n"/>
    </row>
    <row r="1347">
      <c r="A1347" s="521" t="n">
        <v>1339</v>
      </c>
      <c r="B1347" s="522" t="inlineStr">
        <is>
          <t>BL FEE</t>
        </is>
      </c>
      <c r="C1347" s="522" t="inlineStr">
        <is>
          <t>អ៊ិចស្ពែឌីធ័រ ខេមបូឌា អិលធីឌី</t>
        </is>
      </c>
      <c r="D1347" s="522" t="inlineStr">
        <is>
          <t>L001-100045898</t>
        </is>
      </c>
      <c r="E1347" s="521" t="inlineStr">
        <is>
          <t>TI-0196058</t>
        </is>
      </c>
      <c r="F1347" s="523" t="n">
        <v>44272</v>
      </c>
      <c r="G1347" s="556" t="n">
        <v>269325</v>
      </c>
      <c r="I1347" s="521">
        <f>G1347</f>
        <v/>
      </c>
      <c r="K1347" s="521">
        <f>I1347-G1347</f>
        <v/>
      </c>
      <c r="M1347" s="522" t="inlineStr">
        <is>
          <t>TI0196058</t>
        </is>
      </c>
      <c r="N1347" s="522" t="inlineStr">
        <is>
          <t>TI0196058</t>
        </is>
      </c>
      <c r="O1347" s="521">
        <f>M1347=N1347</f>
        <v/>
      </c>
      <c r="P1347" s="521">
        <f>AND(MONTH(F1347)=MONTH(S1347), YEAR(F1347)=YEAR(S1347))</f>
        <v/>
      </c>
      <c r="Q1347" s="521">
        <f>U1347="L001-901905215"</f>
        <v/>
      </c>
      <c r="R1347" s="556">
        <f>G1347-W1347</f>
        <v/>
      </c>
      <c r="S1347" s="523" t="n">
        <v>44272</v>
      </c>
      <c r="T1347" s="522" t="inlineStr">
        <is>
          <t>TI-0196058</t>
        </is>
      </c>
      <c r="U1347" s="522" t="inlineStr">
        <is>
          <t>L001-901905215</t>
        </is>
      </c>
      <c r="V1347" s="522" t="inlineStr">
        <is>
          <t>វីអ៊ីស៊ិន (ខេមបូឌា) អ៊ិនដាសស្ទ្រី ឯ.ក</t>
        </is>
      </c>
      <c r="W1347" s="556" t="n">
        <v>269325</v>
      </c>
    </row>
    <row r="1348">
      <c r="A1348" s="521" t="n">
        <v>1340</v>
      </c>
      <c r="B1348" s="522" t="inlineStr">
        <is>
          <t>CY MANAGEMENT FEE</t>
        </is>
      </c>
      <c r="C1348" s="522" t="inlineStr">
        <is>
          <t>អ៊ិចស្ពែឌីធ័រ ខេមបូឌា អិលធីឌី</t>
        </is>
      </c>
      <c r="D1348" s="522" t="inlineStr">
        <is>
          <t>L001-100045898</t>
        </is>
      </c>
      <c r="E1348" s="521" t="inlineStr">
        <is>
          <t>TI-0196057</t>
        </is>
      </c>
      <c r="F1348" s="523" t="n">
        <v>44272</v>
      </c>
      <c r="G1348" s="556" t="n">
        <v>189945</v>
      </c>
      <c r="I1348" s="521">
        <f>G1348</f>
        <v/>
      </c>
      <c r="K1348" s="521">
        <f>I1348-G1348</f>
        <v/>
      </c>
      <c r="M1348" s="522" t="inlineStr">
        <is>
          <t>TI0196057</t>
        </is>
      </c>
      <c r="N1348" s="522" t="inlineStr">
        <is>
          <t>TI0196057</t>
        </is>
      </c>
      <c r="O1348" s="521">
        <f>M1348=N1348</f>
        <v/>
      </c>
      <c r="P1348" s="521">
        <f>AND(MONTH(F1348)=MONTH(S1348), YEAR(F1348)=YEAR(S1348))</f>
        <v/>
      </c>
      <c r="Q1348" s="521">
        <f>U1348="L001-901905215"</f>
        <v/>
      </c>
      <c r="R1348" s="556">
        <f>G1348-W1348</f>
        <v/>
      </c>
      <c r="S1348" s="523" t="n">
        <v>44272</v>
      </c>
      <c r="T1348" s="522" t="inlineStr">
        <is>
          <t>TI-0196057</t>
        </is>
      </c>
      <c r="U1348" s="522" t="inlineStr">
        <is>
          <t>L001-901905215</t>
        </is>
      </c>
      <c r="V1348" s="522" t="inlineStr">
        <is>
          <t>វីអ៊ីស៊ិន (ខេមបូឌា) អ៊ិនដាសស្ទ្រី ឯ.ក</t>
        </is>
      </c>
      <c r="W1348" s="556" t="n">
        <v>189945</v>
      </c>
    </row>
    <row r="1349">
      <c r="A1349" s="521" t="n">
        <v>1341</v>
      </c>
      <c r="B1349" s="522" t="inlineStr">
        <is>
          <t>CY MANAGEMENT FEE</t>
        </is>
      </c>
      <c r="C1349" s="522" t="inlineStr">
        <is>
          <t>អ៊ិចស្ពែឌីធ័រ ខេមបូឌា អិលធីឌី</t>
        </is>
      </c>
      <c r="D1349" s="522" t="inlineStr">
        <is>
          <t>L001-100045898</t>
        </is>
      </c>
      <c r="E1349" s="521" t="inlineStr">
        <is>
          <t>TI-0196056</t>
        </is>
      </c>
      <c r="F1349" s="523" t="n">
        <v>44272</v>
      </c>
      <c r="G1349" s="556" t="n">
        <v>149445</v>
      </c>
      <c r="I1349" s="521">
        <f>G1349</f>
        <v/>
      </c>
      <c r="K1349" s="521">
        <f>I1349-G1349</f>
        <v/>
      </c>
      <c r="M1349" s="522" t="inlineStr">
        <is>
          <t>TI0196056</t>
        </is>
      </c>
      <c r="N1349" s="522" t="inlineStr">
        <is>
          <t>TI0196056</t>
        </is>
      </c>
      <c r="O1349" s="521">
        <f>M1349=N1349</f>
        <v/>
      </c>
      <c r="P1349" s="521">
        <f>AND(MONTH(F1349)=MONTH(S1349), YEAR(F1349)=YEAR(S1349))</f>
        <v/>
      </c>
      <c r="Q1349" s="521">
        <f>U1349="L001-901905215"</f>
        <v/>
      </c>
      <c r="R1349" s="556">
        <f>G1349-W1349</f>
        <v/>
      </c>
      <c r="S1349" s="523" t="n">
        <v>44272</v>
      </c>
      <c r="T1349" s="522" t="inlineStr">
        <is>
          <t>TI-0196056</t>
        </is>
      </c>
      <c r="U1349" s="522" t="inlineStr">
        <is>
          <t>L001-901905215</t>
        </is>
      </c>
      <c r="V1349" s="522" t="inlineStr">
        <is>
          <t>វីអ៊ីស៊ិន (ខេមបូឌា) អ៊ិនដាសស្ទ្រី ឯ.ក</t>
        </is>
      </c>
      <c r="W1349" s="556" t="n">
        <v>149445</v>
      </c>
    </row>
    <row r="1350">
      <c r="A1350" s="521" t="n">
        <v>1342</v>
      </c>
      <c r="B1350" s="522" t="inlineStr">
        <is>
          <t>THC CHARGES</t>
        </is>
      </c>
      <c r="C1350" s="522" t="inlineStr">
        <is>
          <t>អ៊ិចស្ពែឌីធ័រ ខេមបូឌា អិលធីឌី</t>
        </is>
      </c>
      <c r="D1350" s="522" t="inlineStr">
        <is>
          <t>L001-100045898</t>
        </is>
      </c>
      <c r="E1350" s="521" t="inlineStr">
        <is>
          <t>TI-0196045</t>
        </is>
      </c>
      <c r="F1350" s="523" t="n">
        <v>44271</v>
      </c>
      <c r="G1350" s="556" t="n">
        <v>342950</v>
      </c>
      <c r="I1350" s="521">
        <f>G1350</f>
        <v/>
      </c>
      <c r="K1350" s="521">
        <f>I1350-G1350</f>
        <v/>
      </c>
      <c r="M1350" s="522" t="inlineStr">
        <is>
          <t>TI0196045</t>
        </is>
      </c>
      <c r="N1350" s="522" t="inlineStr">
        <is>
          <t>TI0196045</t>
        </is>
      </c>
      <c r="O1350" s="521">
        <f>M1350=N1350</f>
        <v/>
      </c>
      <c r="P1350" s="521">
        <f>AND(MONTH(F1350)=MONTH(S1350), YEAR(F1350)=YEAR(S1350))</f>
        <v/>
      </c>
      <c r="Q1350" s="521">
        <f>U1350="L001-901905215"</f>
        <v/>
      </c>
      <c r="R1350" s="556">
        <f>G1350-W1350</f>
        <v/>
      </c>
      <c r="S1350" s="523" t="n">
        <v>44271</v>
      </c>
      <c r="T1350" s="522" t="inlineStr">
        <is>
          <t>TI-0196045</t>
        </is>
      </c>
      <c r="U1350" s="522" t="inlineStr">
        <is>
          <t>L001-901905215</t>
        </is>
      </c>
      <c r="V1350" s="522" t="inlineStr">
        <is>
          <t>វីអ៊ីស៊ិន (ខេមបូឌា) អ៊ិនដាសស្ទ្រី ឯ.ក</t>
        </is>
      </c>
      <c r="W1350" s="556" t="n">
        <v>342954</v>
      </c>
    </row>
    <row r="1351">
      <c r="A1351" s="521" t="n">
        <v>1343</v>
      </c>
      <c r="B1351" s="522" t="inlineStr">
        <is>
          <t>CFS RECEVICE &amp; TRUCKING CHARGE</t>
        </is>
      </c>
      <c r="C1351" s="522" t="inlineStr">
        <is>
          <t>អ៊ិចស្ពែឌីធ័រ ខេមបូឌា អិលធីឌី</t>
        </is>
      </c>
      <c r="D1351" s="522" t="inlineStr">
        <is>
          <t>L001-100045898</t>
        </is>
      </c>
      <c r="E1351" s="521" t="inlineStr">
        <is>
          <t>TI-0195986</t>
        </is>
      </c>
      <c r="F1351" s="523" t="n">
        <v>44271</v>
      </c>
      <c r="G1351" s="556" t="n">
        <v>112954</v>
      </c>
      <c r="I1351" s="521">
        <f>G1351</f>
        <v/>
      </c>
      <c r="K1351" s="521">
        <f>I1351-G1351</f>
        <v/>
      </c>
      <c r="M1351" s="522" t="inlineStr">
        <is>
          <t>TI0195986</t>
        </is>
      </c>
      <c r="N1351" s="522" t="inlineStr">
        <is>
          <t>TI0195986</t>
        </is>
      </c>
      <c r="O1351" s="521">
        <f>M1351=N1351</f>
        <v/>
      </c>
      <c r="P1351" s="521">
        <f>AND(MONTH(F1351)=MONTH(S1351), YEAR(F1351)=YEAR(S1351))</f>
        <v/>
      </c>
      <c r="Q1351" s="521">
        <f>U1351="L001-901905215"</f>
        <v/>
      </c>
      <c r="R1351" s="556">
        <f>G1351-W1351</f>
        <v/>
      </c>
      <c r="S1351" s="523" t="n">
        <v>44271</v>
      </c>
      <c r="T1351" s="522" t="inlineStr">
        <is>
          <t>TI-0195986</t>
        </is>
      </c>
      <c r="U1351" s="522" t="inlineStr">
        <is>
          <t>L001-901905215</t>
        </is>
      </c>
      <c r="V1351" s="522" t="inlineStr">
        <is>
          <t>វីអ៊ីស៊ិន (ខេមបូឌា) អ៊ិនដាសស្ទ្រី ឯ.ក</t>
        </is>
      </c>
      <c r="W1351" s="556" t="n">
        <v>112955</v>
      </c>
    </row>
    <row r="1352">
      <c r="A1352" s="521" t="n">
        <v>1344</v>
      </c>
      <c r="B1352" s="522" t="inlineStr">
        <is>
          <t>CFS RECEVICE &amp; TRUCKING CHARGE</t>
        </is>
      </c>
      <c r="C1352" s="522" t="inlineStr">
        <is>
          <t>អ៊ិចស្ពែឌីធ័រ ខេមបូឌា អិលធីឌី</t>
        </is>
      </c>
      <c r="D1352" s="522" t="inlineStr">
        <is>
          <t>L001-100045898</t>
        </is>
      </c>
      <c r="E1352" s="521" t="inlineStr">
        <is>
          <t>TI-0195893</t>
        </is>
      </c>
      <c r="F1352" s="523" t="n">
        <v>44270</v>
      </c>
      <c r="G1352" s="556" t="n">
        <v>119173</v>
      </c>
      <c r="I1352" s="521">
        <f>G1352</f>
        <v/>
      </c>
      <c r="K1352" s="521">
        <f>I1352-G1352</f>
        <v/>
      </c>
      <c r="M1352" s="522" t="inlineStr">
        <is>
          <t>TI0195893</t>
        </is>
      </c>
      <c r="N1352" s="522" t="inlineStr">
        <is>
          <t>TI0195893</t>
        </is>
      </c>
      <c r="O1352" s="521">
        <f>M1352=N1352</f>
        <v/>
      </c>
      <c r="P1352" s="521">
        <f>AND(MONTH(F1352)=MONTH(S1352), YEAR(F1352)=YEAR(S1352))</f>
        <v/>
      </c>
      <c r="Q1352" s="521">
        <f>U1352="L001-901905215"</f>
        <v/>
      </c>
      <c r="R1352" s="556">
        <f>G1352-W1352</f>
        <v/>
      </c>
      <c r="S1352" s="523" t="n">
        <v>44270</v>
      </c>
      <c r="T1352" s="522" t="inlineStr">
        <is>
          <t>TI-0195893</t>
        </is>
      </c>
      <c r="U1352" s="522" t="inlineStr">
        <is>
          <t>L001-901905215</t>
        </is>
      </c>
      <c r="V1352" s="522" t="inlineStr">
        <is>
          <t>វីអ៊ីស៊ិន (ខេមបូឌា) អ៊ិនដាសស្ទ្រី ឯ.ក</t>
        </is>
      </c>
      <c r="W1352" s="556" t="n">
        <v>119176</v>
      </c>
    </row>
    <row r="1353">
      <c r="A1353" s="521" t="n">
        <v>1345</v>
      </c>
      <c r="B1353" s="522" t="inlineStr">
        <is>
          <t>CFS RECEVICE &amp; TRUCKING CHARGE</t>
        </is>
      </c>
      <c r="C1353" s="522" t="inlineStr">
        <is>
          <t>អ៊ិចស្ពែឌីធ័រ ខេមបូឌា អិលធីឌី</t>
        </is>
      </c>
      <c r="D1353" s="522" t="inlineStr">
        <is>
          <t>L001-100045898</t>
        </is>
      </c>
      <c r="E1353" s="521" t="inlineStr">
        <is>
          <t>TI-0195606</t>
        </is>
      </c>
      <c r="F1353" s="523" t="n">
        <v>44266</v>
      </c>
      <c r="G1353" s="556" t="n">
        <v>152037</v>
      </c>
      <c r="I1353" s="521">
        <f>G1353</f>
        <v/>
      </c>
      <c r="K1353" s="521">
        <f>I1353-G1353</f>
        <v/>
      </c>
      <c r="M1353" s="522" t="inlineStr">
        <is>
          <t>TI0195606</t>
        </is>
      </c>
      <c r="N1353" s="522" t="inlineStr">
        <is>
          <t>TI0195606</t>
        </is>
      </c>
      <c r="O1353" s="521">
        <f>M1353=N1353</f>
        <v/>
      </c>
      <c r="P1353" s="521">
        <f>AND(MONTH(F1353)=MONTH(S1353), YEAR(F1353)=YEAR(S1353))</f>
        <v/>
      </c>
      <c r="Q1353" s="521">
        <f>U1353="L001-901905215"</f>
        <v/>
      </c>
      <c r="R1353" s="556">
        <f>G1353-W1353</f>
        <v/>
      </c>
      <c r="S1353" s="523" t="n">
        <v>44266</v>
      </c>
      <c r="T1353" s="522" t="inlineStr">
        <is>
          <t>TI-0195606</t>
        </is>
      </c>
      <c r="U1353" s="522" t="inlineStr">
        <is>
          <t>L001-901905215</t>
        </is>
      </c>
      <c r="V1353" s="522" t="inlineStr">
        <is>
          <t>វីអ៊ីស៊ិន (ខេមបូឌា) អ៊ិនដាសស្ទ្រី ឯ.ក</t>
        </is>
      </c>
      <c r="W1353" s="556" t="n">
        <v>152022</v>
      </c>
    </row>
    <row r="1354">
      <c r="A1354" s="521" t="n">
        <v>1346</v>
      </c>
      <c r="B1354" s="522" t="inlineStr">
        <is>
          <t>BL FEE</t>
        </is>
      </c>
      <c r="C1354" s="522" t="inlineStr">
        <is>
          <t>អ៊ិចស្ពែឌីធ័រ ខេមបូឌា អិលធីឌី</t>
        </is>
      </c>
      <c r="D1354" s="522" t="inlineStr">
        <is>
          <t>L001-100045898</t>
        </is>
      </c>
      <c r="E1354" s="521" t="inlineStr">
        <is>
          <t>TI-0195587</t>
        </is>
      </c>
      <c r="F1354" s="523" t="n">
        <v>44266</v>
      </c>
      <c r="G1354" s="556" t="n">
        <v>662587</v>
      </c>
      <c r="I1354" s="521">
        <f>G1354</f>
        <v/>
      </c>
      <c r="K1354" s="521">
        <f>I1354-G1354</f>
        <v/>
      </c>
      <c r="M1354" s="522" t="inlineStr">
        <is>
          <t>TI0195587</t>
        </is>
      </c>
      <c r="N1354" s="522" t="inlineStr">
        <is>
          <t>TI0195587</t>
        </is>
      </c>
      <c r="O1354" s="521">
        <f>M1354=N1354</f>
        <v/>
      </c>
      <c r="P1354" s="521">
        <f>AND(MONTH(F1354)=MONTH(S1354), YEAR(F1354)=YEAR(S1354))</f>
        <v/>
      </c>
      <c r="Q1354" s="521">
        <f>U1354="L001-901905215"</f>
        <v/>
      </c>
      <c r="R1354" s="556">
        <f>G1354-W1354</f>
        <v/>
      </c>
      <c r="S1354" s="523" t="n">
        <v>44266</v>
      </c>
      <c r="T1354" s="522" t="inlineStr">
        <is>
          <t>TI-0195587</t>
        </is>
      </c>
      <c r="U1354" s="522" t="inlineStr">
        <is>
          <t>L001-901905215</t>
        </is>
      </c>
      <c r="V1354" s="522" t="inlineStr">
        <is>
          <t>វីអ៊ីស៊ិន (ខេមបូឌា) អ៊ិនដាសស្ទ្រី ឯ.ក</t>
        </is>
      </c>
      <c r="W1354" s="556" t="n">
        <v>662587</v>
      </c>
    </row>
    <row r="1355">
      <c r="A1355" s="521" t="n">
        <v>1347</v>
      </c>
      <c r="B1355" s="522" t="inlineStr">
        <is>
          <t>CY MANAGEMENT FEE</t>
        </is>
      </c>
      <c r="C1355" s="522" t="inlineStr">
        <is>
          <t>អ៊ិចស្ពែឌីធ័រ ខេមបូឌា អិលធីឌី</t>
        </is>
      </c>
      <c r="D1355" s="522" t="inlineStr">
        <is>
          <t>L001-100045898</t>
        </is>
      </c>
      <c r="E1355" s="521" t="inlineStr">
        <is>
          <t>TI-0195575</t>
        </is>
      </c>
      <c r="F1355" s="523" t="n">
        <v>44266</v>
      </c>
      <c r="G1355" s="556" t="n">
        <v>230324</v>
      </c>
      <c r="I1355" s="521">
        <f>G1355</f>
        <v/>
      </c>
      <c r="K1355" s="521">
        <f>I1355-G1355</f>
        <v/>
      </c>
      <c r="M1355" s="522" t="inlineStr">
        <is>
          <t>TI0195575</t>
        </is>
      </c>
      <c r="N1355" s="522" t="inlineStr">
        <is>
          <t>TI0195575</t>
        </is>
      </c>
      <c r="O1355" s="521">
        <f>M1355=N1355</f>
        <v/>
      </c>
      <c r="P1355" s="521">
        <f>AND(MONTH(F1355)=MONTH(S1355), YEAR(F1355)=YEAR(S1355))</f>
        <v/>
      </c>
      <c r="Q1355" s="521">
        <f>U1355="L001-901905215"</f>
        <v/>
      </c>
      <c r="R1355" s="556">
        <f>G1355-W1355</f>
        <v/>
      </c>
      <c r="S1355" s="523" t="n">
        <v>44266</v>
      </c>
      <c r="T1355" s="522" t="inlineStr">
        <is>
          <t>TI-0195575</t>
        </is>
      </c>
      <c r="U1355" s="522" t="inlineStr">
        <is>
          <t>L001-901905215</t>
        </is>
      </c>
      <c r="V1355" s="522" t="inlineStr">
        <is>
          <t>វីអ៊ីស៊ិន (ខេមបូឌា) អ៊ិនដាសស្ទ្រី ឯ.ក</t>
        </is>
      </c>
      <c r="W1355" s="556" t="n">
        <v>230324</v>
      </c>
    </row>
    <row r="1356">
      <c r="A1356" s="521" t="n">
        <v>1348</v>
      </c>
      <c r="B1356" s="522" t="inlineStr">
        <is>
          <t>CY MANAGEMENT FEE</t>
        </is>
      </c>
      <c r="C1356" s="522" t="inlineStr">
        <is>
          <t>អ៊ិចស្ពែឌីធ័រ ខេមបូឌា អិលធីឌី</t>
        </is>
      </c>
      <c r="D1356" s="522" t="inlineStr">
        <is>
          <t>L001-100045898</t>
        </is>
      </c>
      <c r="E1356" s="521" t="inlineStr">
        <is>
          <t>TI-0195574</t>
        </is>
      </c>
      <c r="F1356" s="523" t="n">
        <v>44266</v>
      </c>
      <c r="G1356" s="556" t="n">
        <v>209643</v>
      </c>
      <c r="I1356" s="521">
        <f>G1356</f>
        <v/>
      </c>
      <c r="K1356" s="521">
        <f>I1356-G1356</f>
        <v/>
      </c>
      <c r="M1356" s="522" t="inlineStr">
        <is>
          <t>TI0195574</t>
        </is>
      </c>
      <c r="N1356" s="522" t="inlineStr">
        <is>
          <t>TI0195574</t>
        </is>
      </c>
      <c r="O1356" s="521">
        <f>M1356=N1356</f>
        <v/>
      </c>
      <c r="P1356" s="521">
        <f>AND(MONTH(F1356)=MONTH(S1356), YEAR(F1356)=YEAR(S1356))</f>
        <v/>
      </c>
      <c r="Q1356" s="521">
        <f>U1356="L001-901905215"</f>
        <v/>
      </c>
      <c r="R1356" s="556">
        <f>G1356-W1356</f>
        <v/>
      </c>
      <c r="S1356" s="523" t="n">
        <v>44266</v>
      </c>
      <c r="T1356" s="522" t="inlineStr">
        <is>
          <t>TI-0195574</t>
        </is>
      </c>
      <c r="U1356" s="522" t="inlineStr">
        <is>
          <t>L001-901905215</t>
        </is>
      </c>
      <c r="V1356" s="522" t="inlineStr">
        <is>
          <t>វីអ៊ីស៊ិន (ខេមបូឌា) អ៊ិនដាសស្ទ្រី ឯ.ក</t>
        </is>
      </c>
      <c r="W1356" s="556" t="n">
        <v>209644</v>
      </c>
    </row>
    <row r="1357">
      <c r="A1357" s="521" t="n">
        <v>1349</v>
      </c>
      <c r="B1357" s="522" t="inlineStr">
        <is>
          <t>THC CHARGES</t>
        </is>
      </c>
      <c r="C1357" s="522" t="inlineStr">
        <is>
          <t>អ៊ិចស្ពែឌីធ័រ ខេមបូឌា អិលធីឌី</t>
        </is>
      </c>
      <c r="D1357" s="522" t="inlineStr">
        <is>
          <t>L001-100045898</t>
        </is>
      </c>
      <c r="E1357" s="521" t="inlineStr">
        <is>
          <t>TI-0195573</t>
        </is>
      </c>
      <c r="F1357" s="523" t="n">
        <v>44266</v>
      </c>
      <c r="G1357" s="556" t="n">
        <v>175581</v>
      </c>
      <c r="I1357" s="521">
        <f>G1357</f>
        <v/>
      </c>
      <c r="K1357" s="521">
        <f>I1357-G1357</f>
        <v/>
      </c>
      <c r="M1357" s="522" t="inlineStr">
        <is>
          <t>TI0195573</t>
        </is>
      </c>
      <c r="N1357" s="522" t="inlineStr">
        <is>
          <t>TI0195573</t>
        </is>
      </c>
      <c r="O1357" s="521">
        <f>M1357=N1357</f>
        <v/>
      </c>
      <c r="P1357" s="521">
        <f>AND(MONTH(F1357)=MONTH(S1357), YEAR(F1357)=YEAR(S1357))</f>
        <v/>
      </c>
      <c r="Q1357" s="521">
        <f>U1357="L001-901905215"</f>
        <v/>
      </c>
      <c r="R1357" s="556">
        <f>G1357-W1357</f>
        <v/>
      </c>
      <c r="S1357" s="523" t="n">
        <v>44266</v>
      </c>
      <c r="T1357" s="522" t="inlineStr">
        <is>
          <t>TI-0195573</t>
        </is>
      </c>
      <c r="U1357" s="522" t="inlineStr">
        <is>
          <t>L001-901905215</t>
        </is>
      </c>
      <c r="V1357" s="522" t="inlineStr">
        <is>
          <t>វីអ៊ីស៊ិន (ខេមបូឌា) អ៊ិនដាសស្ទ្រី ឯ.ក</t>
        </is>
      </c>
      <c r="W1357" s="556" t="n">
        <v>175582</v>
      </c>
    </row>
    <row r="1358">
      <c r="A1358" s="521" t="n">
        <v>1350</v>
      </c>
      <c r="B1358" s="522" t="inlineStr">
        <is>
          <t>BL FEE</t>
        </is>
      </c>
      <c r="C1358" s="522" t="inlineStr">
        <is>
          <t>អ៊ិចស្ពែឌីធ័រ ខេមបូឌា អិលធីឌី</t>
        </is>
      </c>
      <c r="D1358" s="522" t="inlineStr">
        <is>
          <t>L001-100045898</t>
        </is>
      </c>
      <c r="E1358" s="521" t="inlineStr">
        <is>
          <t>TI-0195572</t>
        </is>
      </c>
      <c r="F1358" s="523" t="n">
        <v>44266</v>
      </c>
      <c r="G1358" s="556" t="n">
        <v>674346</v>
      </c>
      <c r="I1358" s="521">
        <f>G1358</f>
        <v/>
      </c>
      <c r="K1358" s="521">
        <f>I1358-G1358</f>
        <v/>
      </c>
      <c r="M1358" s="522" t="inlineStr">
        <is>
          <t>TI0195572</t>
        </is>
      </c>
      <c r="N1358" s="522" t="inlineStr">
        <is>
          <t>TI0195572</t>
        </is>
      </c>
      <c r="O1358" s="521">
        <f>M1358=N1358</f>
        <v/>
      </c>
      <c r="P1358" s="521">
        <f>AND(MONTH(F1358)=MONTH(S1358), YEAR(F1358)=YEAR(S1358))</f>
        <v/>
      </c>
      <c r="Q1358" s="521">
        <f>U1358="L001-901905215"</f>
        <v/>
      </c>
      <c r="R1358" s="556">
        <f>G1358-W1358</f>
        <v/>
      </c>
      <c r="S1358" s="523" t="n">
        <v>44266</v>
      </c>
      <c r="T1358" s="522" t="inlineStr">
        <is>
          <t>TI-0195572</t>
        </is>
      </c>
      <c r="U1358" s="522" t="inlineStr">
        <is>
          <t>L001-901905215</t>
        </is>
      </c>
      <c r="V1358" s="522" t="inlineStr">
        <is>
          <t>វីអ៊ីស៊ិន (ខេមបូឌា) អ៊ិនដាសស្ទ្រី ឯ.ក</t>
        </is>
      </c>
      <c r="W1358" s="556" t="n">
        <v>674347</v>
      </c>
    </row>
    <row r="1359">
      <c r="A1359" s="521" t="n">
        <v>1351</v>
      </c>
      <c r="B1359" s="522" t="inlineStr">
        <is>
          <t>OMB REVISION FEE</t>
        </is>
      </c>
      <c r="C1359" s="522" t="inlineStr">
        <is>
          <t>អ៊ិចស្ពែឌីធ័រ ខេមបូឌា អិលធីឌី</t>
        </is>
      </c>
      <c r="D1359" s="522" t="inlineStr">
        <is>
          <t>L001-100045898</t>
        </is>
      </c>
      <c r="E1359" s="521" t="inlineStr">
        <is>
          <t>TI-0195571</t>
        </is>
      </c>
      <c r="F1359" s="523" t="n">
        <v>44266</v>
      </c>
      <c r="G1359" s="556" t="n">
        <v>363571</v>
      </c>
      <c r="I1359" s="521">
        <f>G1359</f>
        <v/>
      </c>
      <c r="K1359" s="521">
        <f>I1359-G1359</f>
        <v/>
      </c>
      <c r="M1359" s="522" t="inlineStr">
        <is>
          <t>TI0195571</t>
        </is>
      </c>
      <c r="N1359" s="522" t="inlineStr">
        <is>
          <t>TI0195571</t>
        </is>
      </c>
      <c r="O1359" s="521">
        <f>M1359=N1359</f>
        <v/>
      </c>
      <c r="P1359" s="521">
        <f>AND(MONTH(F1359)=MONTH(S1359), YEAR(F1359)=YEAR(S1359))</f>
        <v/>
      </c>
      <c r="Q1359" s="521">
        <f>U1359="L001-901905215"</f>
        <v/>
      </c>
      <c r="R1359" s="556">
        <f>G1359-W1359</f>
        <v/>
      </c>
      <c r="S1359" s="523" t="n">
        <v>44266</v>
      </c>
      <c r="T1359" s="522" t="inlineStr">
        <is>
          <t>TI-0195571</t>
        </is>
      </c>
      <c r="U1359" s="522" t="inlineStr">
        <is>
          <t>L001-901905215</t>
        </is>
      </c>
      <c r="V1359" s="522" t="inlineStr">
        <is>
          <t>វីអ៊ីស៊ិន (ខេមបូឌា) អ៊ិនដាសស្ទ្រី ឯ.ក</t>
        </is>
      </c>
      <c r="W1359" s="556" t="n">
        <v>363571</v>
      </c>
    </row>
    <row r="1360">
      <c r="A1360" s="521" t="n">
        <v>1352</v>
      </c>
      <c r="B1360" s="522" t="inlineStr">
        <is>
          <t>BL FEE</t>
        </is>
      </c>
      <c r="C1360" s="522" t="inlineStr">
        <is>
          <t>អ៊ិចស្ពែឌីធ័រ ខេមបូឌា អិលធីឌី</t>
        </is>
      </c>
      <c r="D1360" s="522" t="inlineStr">
        <is>
          <t>L001-100045898</t>
        </is>
      </c>
      <c r="E1360" s="521" t="inlineStr">
        <is>
          <t>TI-0195570</t>
        </is>
      </c>
      <c r="F1360" s="523" t="n">
        <v>44266</v>
      </c>
      <c r="G1360" s="556" t="n">
        <v>175581</v>
      </c>
      <c r="I1360" s="521">
        <f>G1360</f>
        <v/>
      </c>
      <c r="K1360" s="521">
        <f>I1360-G1360</f>
        <v/>
      </c>
      <c r="M1360" s="522" t="inlineStr">
        <is>
          <t>TI0195570</t>
        </is>
      </c>
      <c r="N1360" s="522" t="inlineStr">
        <is>
          <t>TI0195570</t>
        </is>
      </c>
      <c r="O1360" s="521">
        <f>M1360=N1360</f>
        <v/>
      </c>
      <c r="P1360" s="521">
        <f>AND(MONTH(F1360)=MONTH(S1360), YEAR(F1360)=YEAR(S1360))</f>
        <v/>
      </c>
      <c r="Q1360" s="521">
        <f>U1360="L001-901905215"</f>
        <v/>
      </c>
      <c r="R1360" s="556">
        <f>G1360-W1360</f>
        <v/>
      </c>
      <c r="S1360" s="523" t="n">
        <v>44266</v>
      </c>
      <c r="T1360" s="522" t="inlineStr">
        <is>
          <t>TI-0195570</t>
        </is>
      </c>
      <c r="U1360" s="522" t="inlineStr">
        <is>
          <t>L001-901905215</t>
        </is>
      </c>
      <c r="V1360" s="522" t="inlineStr">
        <is>
          <t>វីអ៊ីស៊ិន (ខេមបូឌា) អ៊ិនដាសស្ទ្រី ឯ.ក</t>
        </is>
      </c>
      <c r="W1360" s="556" t="n">
        <v>175582</v>
      </c>
    </row>
    <row r="1361">
      <c r="A1361" s="521" t="n">
        <v>1353</v>
      </c>
      <c r="B1361" s="522" t="inlineStr">
        <is>
          <t>THC CHARGES</t>
        </is>
      </c>
      <c r="C1361" s="522" t="inlineStr">
        <is>
          <t>អ៊ិចស្ពែឌីធ័រ ខេមបូឌា អិលធីឌី</t>
        </is>
      </c>
      <c r="D1361" s="522" t="inlineStr">
        <is>
          <t>L001-100045898</t>
        </is>
      </c>
      <c r="E1361" s="521" t="inlineStr">
        <is>
          <t>TI-0195329</t>
        </is>
      </c>
      <c r="F1361" s="523" t="n">
        <v>44264</v>
      </c>
      <c r="G1361" s="556" t="n">
        <v>175581</v>
      </c>
      <c r="I1361" s="521">
        <f>G1361</f>
        <v/>
      </c>
      <c r="K1361" s="521">
        <f>I1361-G1361</f>
        <v/>
      </c>
      <c r="M1361" s="522" t="inlineStr">
        <is>
          <t>TI0195329</t>
        </is>
      </c>
      <c r="N1361" s="522" t="inlineStr">
        <is>
          <t>TI0195329</t>
        </is>
      </c>
      <c r="O1361" s="521">
        <f>M1361=N1361</f>
        <v/>
      </c>
      <c r="P1361" s="521">
        <f>AND(MONTH(F1361)=MONTH(S1361), YEAR(F1361)=YEAR(S1361))</f>
        <v/>
      </c>
      <c r="Q1361" s="521">
        <f>U1361="L001-901905215"</f>
        <v/>
      </c>
      <c r="R1361" s="556">
        <f>G1361-W1361</f>
        <v/>
      </c>
      <c r="S1361" s="523" t="n">
        <v>44264</v>
      </c>
      <c r="T1361" s="522" t="inlineStr">
        <is>
          <t>TI-0195329</t>
        </is>
      </c>
      <c r="U1361" s="522" t="inlineStr">
        <is>
          <t>L001-901905215</t>
        </is>
      </c>
      <c r="V1361" s="522" t="inlineStr">
        <is>
          <t>វីអ៊ីស៊ិន (ខេមបូឌា) អ៊ិនដាសស្ទ្រី ឯ.ក</t>
        </is>
      </c>
      <c r="W1361" s="556" t="n">
        <v>175582</v>
      </c>
    </row>
    <row r="1362">
      <c r="A1362" s="521" t="n">
        <v>1354</v>
      </c>
      <c r="B1362" s="522" t="inlineStr">
        <is>
          <t>CY MANAGEMENT FEE</t>
        </is>
      </c>
      <c r="C1362" s="522" t="inlineStr">
        <is>
          <t>អ៊ិចស្ពែឌីធ័រ ខេមបូឌា អិលធីឌី</t>
        </is>
      </c>
      <c r="D1362" s="522" t="inlineStr">
        <is>
          <t>L001-100045898</t>
        </is>
      </c>
      <c r="E1362" s="521" t="inlineStr">
        <is>
          <t>TI-0195119</t>
        </is>
      </c>
      <c r="F1362" s="523" t="n">
        <v>44259</v>
      </c>
      <c r="G1362" s="556" t="n">
        <v>193996</v>
      </c>
      <c r="I1362" s="521">
        <f>G1362</f>
        <v/>
      </c>
      <c r="K1362" s="521">
        <f>I1362-G1362</f>
        <v/>
      </c>
      <c r="M1362" s="522" t="inlineStr">
        <is>
          <t>TI0195119</t>
        </is>
      </c>
      <c r="N1362" s="522" t="inlineStr">
        <is>
          <t>TI0195119</t>
        </is>
      </c>
      <c r="O1362" s="521">
        <f>M1362=N1362</f>
        <v/>
      </c>
      <c r="P1362" s="521">
        <f>AND(MONTH(F1362)=MONTH(S1362), YEAR(F1362)=YEAR(S1362))</f>
        <v/>
      </c>
      <c r="Q1362" s="521">
        <f>U1362="L001-901905215"</f>
        <v/>
      </c>
      <c r="R1362" s="556">
        <f>G1362-W1362</f>
        <v/>
      </c>
      <c r="S1362" s="523" t="n">
        <v>44259</v>
      </c>
      <c r="T1362" s="522" t="inlineStr">
        <is>
          <t>TI-0195119</t>
        </is>
      </c>
      <c r="U1362" s="522" t="inlineStr">
        <is>
          <t>L001-901905215</t>
        </is>
      </c>
      <c r="V1362" s="522" t="inlineStr">
        <is>
          <t>វីអ៊ីស៊ិន (ខេមបូឌា) អ៊ិនដាសស្ទ្រី ឯ.ក</t>
        </is>
      </c>
      <c r="W1362" s="556" t="n">
        <v>193805</v>
      </c>
    </row>
    <row r="1363">
      <c r="A1363" s="521" t="n">
        <v>1355</v>
      </c>
      <c r="B1363" s="522" t="inlineStr">
        <is>
          <t>CY MANAGEMENT FEE</t>
        </is>
      </c>
      <c r="C1363" s="522" t="inlineStr">
        <is>
          <t>អ៊ិចស្ពែឌីធ័រ ខេមបូឌា អិលធីឌី</t>
        </is>
      </c>
      <c r="D1363" s="522" t="inlineStr">
        <is>
          <t>L001-100045898</t>
        </is>
      </c>
      <c r="E1363" s="521" t="inlineStr">
        <is>
          <t>TI-0195118</t>
        </is>
      </c>
      <c r="F1363" s="523" t="n">
        <v>44259</v>
      </c>
      <c r="G1363" s="556" t="n">
        <v>246867</v>
      </c>
      <c r="I1363" s="521">
        <f>G1363</f>
        <v/>
      </c>
      <c r="K1363" s="521">
        <f>I1363-G1363</f>
        <v/>
      </c>
      <c r="M1363" s="522" t="inlineStr">
        <is>
          <t>TI0195118</t>
        </is>
      </c>
      <c r="N1363" s="522" t="inlineStr">
        <is>
          <t>TI0195118</t>
        </is>
      </c>
      <c r="O1363" s="521">
        <f>M1363=N1363</f>
        <v/>
      </c>
      <c r="P1363" s="521">
        <f>AND(MONTH(F1363)=MONTH(S1363), YEAR(F1363)=YEAR(S1363))</f>
        <v/>
      </c>
      <c r="Q1363" s="521">
        <f>U1363="L001-901905215"</f>
        <v/>
      </c>
      <c r="R1363" s="556">
        <f>G1363-W1363</f>
        <v/>
      </c>
      <c r="S1363" s="523" t="n">
        <v>44259</v>
      </c>
      <c r="T1363" s="522" t="inlineStr">
        <is>
          <t>TI-0195118</t>
        </is>
      </c>
      <c r="U1363" s="522" t="inlineStr">
        <is>
          <t>L001-901905215</t>
        </is>
      </c>
      <c r="V1363" s="522" t="inlineStr">
        <is>
          <t>វីអ៊ីស៊ិន (ខេមបូឌា) អ៊ិនដាសស្ទ្រី ឯ.ក</t>
        </is>
      </c>
      <c r="W1363" s="556" t="n">
        <v>246624</v>
      </c>
    </row>
    <row r="1364">
      <c r="A1364" s="521" t="n">
        <v>1356</v>
      </c>
      <c r="B1364" s="522" t="inlineStr">
        <is>
          <t>CY MANAGEMENT FEE</t>
        </is>
      </c>
      <c r="C1364" s="522" t="inlineStr">
        <is>
          <t>អ៊ិចស្ពែឌីធ័រ ខេមបូឌា អិលធីឌី</t>
        </is>
      </c>
      <c r="D1364" s="522" t="inlineStr">
        <is>
          <t>L001-100045898</t>
        </is>
      </c>
      <c r="E1364" s="521" t="inlineStr">
        <is>
          <t>TI-0195117</t>
        </is>
      </c>
      <c r="F1364" s="523" t="n">
        <v>44259</v>
      </c>
      <c r="G1364" s="556" t="n">
        <v>369690</v>
      </c>
      <c r="I1364" s="521">
        <f>G1364</f>
        <v/>
      </c>
      <c r="K1364" s="521">
        <f>I1364-G1364</f>
        <v/>
      </c>
      <c r="M1364" s="522" t="inlineStr">
        <is>
          <t>TI0195117</t>
        </is>
      </c>
      <c r="N1364" s="522" t="inlineStr">
        <is>
          <t>TI0195117</t>
        </is>
      </c>
      <c r="O1364" s="521">
        <f>M1364=N1364</f>
        <v/>
      </c>
      <c r="P1364" s="521">
        <f>AND(MONTH(F1364)=MONTH(S1364), YEAR(F1364)=YEAR(S1364))</f>
        <v/>
      </c>
      <c r="Q1364" s="521">
        <f>U1364="L001-901905215"</f>
        <v/>
      </c>
      <c r="R1364" s="556">
        <f>G1364-W1364</f>
        <v/>
      </c>
      <c r="S1364" s="523" t="n">
        <v>44259</v>
      </c>
      <c r="T1364" s="522" t="inlineStr">
        <is>
          <t>TI-0195117</t>
        </is>
      </c>
      <c r="U1364" s="522" t="inlineStr">
        <is>
          <t>L001-901905215</t>
        </is>
      </c>
      <c r="V1364" s="522" t="inlineStr">
        <is>
          <t>វីអ៊ីស៊ិន (ខេមបូឌា) អ៊ិនដាសស្ទ្រី ឯ.ក</t>
        </is>
      </c>
      <c r="W1364" s="556" t="n">
        <v>369327</v>
      </c>
    </row>
    <row r="1365">
      <c r="A1365" s="521" t="n">
        <v>1357</v>
      </c>
      <c r="B1365" s="522" t="inlineStr">
        <is>
          <t>CY MANAGEMENT FEE</t>
        </is>
      </c>
      <c r="C1365" s="522" t="inlineStr">
        <is>
          <t>អ៊ិចស្ពែឌីធ័រ ខេមបូឌា អិលធីឌី</t>
        </is>
      </c>
      <c r="D1365" s="522" t="inlineStr">
        <is>
          <t>L001-100045898</t>
        </is>
      </c>
      <c r="E1365" s="521" t="inlineStr">
        <is>
          <t>TI-0195116</t>
        </is>
      </c>
      <c r="F1365" s="523" t="n">
        <v>44259</v>
      </c>
      <c r="G1365" s="556" t="n">
        <v>531354</v>
      </c>
      <c r="I1365" s="521">
        <f>G1365</f>
        <v/>
      </c>
      <c r="K1365" s="521">
        <f>I1365-G1365</f>
        <v/>
      </c>
      <c r="M1365" s="522" t="inlineStr">
        <is>
          <t>TI0195116</t>
        </is>
      </c>
      <c r="N1365" s="522" t="inlineStr">
        <is>
          <t>TI0195116</t>
        </is>
      </c>
      <c r="O1365" s="521">
        <f>M1365=N1365</f>
        <v/>
      </c>
      <c r="P1365" s="521">
        <f>AND(MONTH(F1365)=MONTH(S1365), YEAR(F1365)=YEAR(S1365))</f>
        <v/>
      </c>
      <c r="Q1365" s="521">
        <f>U1365="L001-901905215"</f>
        <v/>
      </c>
      <c r="R1365" s="556">
        <f>G1365-W1365</f>
        <v/>
      </c>
      <c r="S1365" s="523" t="n">
        <v>44259</v>
      </c>
      <c r="T1365" s="522" t="inlineStr">
        <is>
          <t>TI-0195116</t>
        </is>
      </c>
      <c r="U1365" s="522" t="inlineStr">
        <is>
          <t>L001-901905215</t>
        </is>
      </c>
      <c r="V1365" s="522" t="inlineStr">
        <is>
          <t>វីអ៊ីស៊ិន (ខេមបូឌា) អ៊ិនដាសស្ទ្រី ឯ.ក</t>
        </is>
      </c>
      <c r="W1365" s="556" t="n">
        <v>530831</v>
      </c>
    </row>
    <row r="1366">
      <c r="A1366" s="521" t="n">
        <v>1358</v>
      </c>
      <c r="B1366" s="522" t="inlineStr">
        <is>
          <t>CY MANAGEMENT FEE</t>
        </is>
      </c>
      <c r="C1366" s="522" t="inlineStr">
        <is>
          <t>អ៊ិចស្ពែឌីធ័រ ខេមបូឌា អិលធីឌី</t>
        </is>
      </c>
      <c r="D1366" s="522" t="inlineStr">
        <is>
          <t>L001-100045898</t>
        </is>
      </c>
      <c r="E1366" s="521" t="inlineStr">
        <is>
          <t>TI-0195115</t>
        </is>
      </c>
      <c r="F1366" s="523" t="n">
        <v>44259</v>
      </c>
      <c r="G1366" s="556" t="n">
        <v>876235</v>
      </c>
      <c r="I1366" s="521">
        <f>G1366</f>
        <v/>
      </c>
      <c r="K1366" s="521">
        <f>I1366-G1366</f>
        <v/>
      </c>
      <c r="M1366" s="522" t="inlineStr">
        <is>
          <t>TI0195115</t>
        </is>
      </c>
      <c r="N1366" s="522" t="inlineStr">
        <is>
          <t>TI0195115</t>
        </is>
      </c>
      <c r="O1366" s="521">
        <f>M1366=N1366</f>
        <v/>
      </c>
      <c r="P1366" s="521">
        <f>AND(MONTH(F1366)=MONTH(S1366), YEAR(F1366)=YEAR(S1366))</f>
        <v/>
      </c>
      <c r="Q1366" s="521">
        <f>U1366="L001-901905215"</f>
        <v/>
      </c>
      <c r="R1366" s="556">
        <f>G1366-W1366</f>
        <v/>
      </c>
      <c r="S1366" s="523" t="n">
        <v>44259</v>
      </c>
      <c r="T1366" s="522" t="inlineStr">
        <is>
          <t>TI-0195115</t>
        </is>
      </c>
      <c r="U1366" s="522" t="inlineStr">
        <is>
          <t>L001-901905215</t>
        </is>
      </c>
      <c r="V1366" s="522" t="inlineStr">
        <is>
          <t>វីអ៊ីស៊ិន (ខេមបូឌា) អ៊ិនដាសស្ទ្រី ឯ.ក</t>
        </is>
      </c>
      <c r="W1366" s="556" t="n">
        <v>875373</v>
      </c>
    </row>
    <row r="1367">
      <c r="A1367" s="521" t="n">
        <v>1359</v>
      </c>
      <c r="B1367" s="522" t="inlineStr">
        <is>
          <t>CY MANAGEMENT FEE</t>
        </is>
      </c>
      <c r="C1367" s="522" t="inlineStr">
        <is>
          <t>អ៊ិចស្ពែឌីធ័រ ខេមបូឌា អិលធីឌី</t>
        </is>
      </c>
      <c r="D1367" s="522" t="inlineStr">
        <is>
          <t>L001-100045898</t>
        </is>
      </c>
      <c r="E1367" s="521" t="inlineStr">
        <is>
          <t>TI-0195114</t>
        </is>
      </c>
      <c r="F1367" s="523" t="n">
        <v>44259</v>
      </c>
      <c r="G1367" s="556" t="n">
        <v>137871</v>
      </c>
      <c r="I1367" s="521">
        <f>G1367</f>
        <v/>
      </c>
      <c r="K1367" s="521">
        <f>I1367-G1367</f>
        <v/>
      </c>
      <c r="M1367" s="522" t="inlineStr">
        <is>
          <t>TI0195114</t>
        </is>
      </c>
      <c r="N1367" s="522" t="inlineStr">
        <is>
          <t>TI0195114</t>
        </is>
      </c>
      <c r="O1367" s="521">
        <f>M1367=N1367</f>
        <v/>
      </c>
      <c r="P1367" s="521">
        <f>AND(MONTH(F1367)=MONTH(S1367), YEAR(F1367)=YEAR(S1367))</f>
        <v/>
      </c>
      <c r="Q1367" s="521">
        <f>U1367="L001-901905215"</f>
        <v/>
      </c>
      <c r="R1367" s="556">
        <f>G1367-W1367</f>
        <v/>
      </c>
      <c r="S1367" s="523" t="n">
        <v>44259</v>
      </c>
      <c r="T1367" s="522" t="inlineStr">
        <is>
          <t>TI-0195114</t>
        </is>
      </c>
      <c r="U1367" s="522" t="inlineStr">
        <is>
          <t>L001-901905215</t>
        </is>
      </c>
      <c r="V1367" s="522" t="inlineStr">
        <is>
          <t>វីអ៊ីស៊ិន (ខេមបូឌា) អ៊ិនដាសស្ទ្រី ឯ.ក</t>
        </is>
      </c>
      <c r="W1367" s="556" t="n">
        <v>137736</v>
      </c>
    </row>
    <row r="1368">
      <c r="A1368" s="521" t="n">
        <v>1360</v>
      </c>
      <c r="B1368" s="522" t="inlineStr">
        <is>
          <t>CFS RECEVICE &amp; TRUCKING CHARGE</t>
        </is>
      </c>
      <c r="C1368" s="522" t="inlineStr">
        <is>
          <t>អ៊ិចស្ពែឌីធ័រ ខេមបូឌា អិលធីឌី</t>
        </is>
      </c>
      <c r="D1368" s="522" t="inlineStr">
        <is>
          <t>L001-100045898</t>
        </is>
      </c>
      <c r="E1368" s="521" t="inlineStr">
        <is>
          <t>TI-0195108</t>
        </is>
      </c>
      <c r="F1368" s="523" t="n">
        <v>44259</v>
      </c>
      <c r="G1368" s="556" t="n">
        <v>232581</v>
      </c>
      <c r="I1368" s="521">
        <f>G1368</f>
        <v/>
      </c>
      <c r="K1368" s="521">
        <f>I1368-G1368</f>
        <v/>
      </c>
      <c r="M1368" s="522" t="inlineStr">
        <is>
          <t>TI0195108</t>
        </is>
      </c>
      <c r="N1368" s="522" t="inlineStr">
        <is>
          <t>TI0195108</t>
        </is>
      </c>
      <c r="O1368" s="521">
        <f>M1368=N1368</f>
        <v/>
      </c>
      <c r="P1368" s="521">
        <f>AND(MONTH(F1368)=MONTH(S1368), YEAR(F1368)=YEAR(S1368))</f>
        <v/>
      </c>
      <c r="Q1368" s="521">
        <f>U1368="L001-901905215"</f>
        <v/>
      </c>
      <c r="R1368" s="556">
        <f>G1368-W1368</f>
        <v/>
      </c>
      <c r="S1368" s="523" t="n">
        <v>44259</v>
      </c>
      <c r="T1368" s="522" t="inlineStr">
        <is>
          <t>TI-0195108</t>
        </is>
      </c>
      <c r="U1368" s="522" t="inlineStr">
        <is>
          <t>L001-901905215</t>
        </is>
      </c>
      <c r="V1368" s="522" t="inlineStr">
        <is>
          <t>វីអ៊ីស៊ិន (ខេមបូឌា) អ៊ិនដាសស្ទ្រី ឯ.ក</t>
        </is>
      </c>
      <c r="W1368" s="556" t="n">
        <v>232363</v>
      </c>
    </row>
    <row r="1369">
      <c r="A1369" s="521" t="n">
        <v>1361</v>
      </c>
      <c r="B1369" s="522" t="inlineStr">
        <is>
          <t>Lift-Off</t>
        </is>
      </c>
      <c r="C1369" s="522" t="inlineStr">
        <is>
          <t>កំពង់ផែស្វយ័តក្រុងព្រះសីហនុ</t>
        </is>
      </c>
      <c r="D1369" s="522" t="inlineStr">
        <is>
          <t>L001-100044638</t>
        </is>
      </c>
      <c r="E1369" s="521" t="inlineStr">
        <is>
          <t>036854</t>
        </is>
      </c>
      <c r="F1369" s="523" t="n">
        <v>44261</v>
      </c>
      <c r="G1369" s="556" t="n">
        <v>6902</v>
      </c>
      <c r="I1369" s="521">
        <f>G1369</f>
        <v/>
      </c>
      <c r="K1369" s="521">
        <f>I1369-G1369</f>
        <v/>
      </c>
      <c r="M1369" s="522" t="inlineStr">
        <is>
          <t>036854</t>
        </is>
      </c>
      <c r="N1369" s="522" t="inlineStr"/>
      <c r="O1369" s="521">
        <f>M1369=N1369</f>
        <v/>
      </c>
      <c r="P1369" s="521">
        <f>AND(MONTH(F1369)=MONTH(S1369), YEAR(F1369)=YEAR(S1369))</f>
        <v/>
      </c>
      <c r="Q1369" s="521">
        <f>U1369="L001-901905215"</f>
        <v/>
      </c>
      <c r="R1369" s="556">
        <f>G1369-W1369</f>
        <v/>
      </c>
      <c r="S1369" s="521" t="n"/>
      <c r="T1369" s="522" t="n"/>
      <c r="U1369" s="522" t="n"/>
      <c r="V1369" s="522" t="n"/>
      <c r="W1369" s="521" t="n"/>
    </row>
    <row r="1370">
      <c r="A1370" s="521" t="n">
        <v>1362</v>
      </c>
      <c r="B1370" s="522" t="inlineStr">
        <is>
          <t>Lift-Off</t>
        </is>
      </c>
      <c r="C1370" s="522" t="inlineStr">
        <is>
          <t>កំពង់ផែស្វយ័តក្រុងព្រះសីហនុ</t>
        </is>
      </c>
      <c r="D1370" s="522" t="inlineStr">
        <is>
          <t>L001-100044638</t>
        </is>
      </c>
      <c r="E1370" s="521" t="inlineStr">
        <is>
          <t>036754</t>
        </is>
      </c>
      <c r="F1370" s="523" t="n">
        <v>44260</v>
      </c>
      <c r="G1370" s="556" t="n">
        <v>6902</v>
      </c>
      <c r="I1370" s="521">
        <f>G1370</f>
        <v/>
      </c>
      <c r="K1370" s="521">
        <f>I1370-G1370</f>
        <v/>
      </c>
      <c r="M1370" s="522" t="inlineStr">
        <is>
          <t>036754</t>
        </is>
      </c>
      <c r="N1370" s="522" t="inlineStr"/>
      <c r="O1370" s="521">
        <f>M1370=N1370</f>
        <v/>
      </c>
      <c r="P1370" s="521">
        <f>AND(MONTH(F1370)=MONTH(S1370), YEAR(F1370)=YEAR(S1370))</f>
        <v/>
      </c>
      <c r="Q1370" s="521">
        <f>U1370="L001-901905215"</f>
        <v/>
      </c>
      <c r="R1370" s="556">
        <f>G1370-W1370</f>
        <v/>
      </c>
      <c r="S1370" s="521" t="n"/>
      <c r="T1370" s="522" t="n"/>
      <c r="U1370" s="522" t="n"/>
      <c r="V1370" s="522" t="n"/>
      <c r="W1370" s="521" t="n"/>
    </row>
    <row r="1371">
      <c r="A1371" s="521" t="n">
        <v>1363</v>
      </c>
      <c r="B1371" s="522" t="inlineStr">
        <is>
          <t>Lift-Off</t>
        </is>
      </c>
      <c r="C1371" s="522" t="inlineStr">
        <is>
          <t>កំពង់ផែស្វយ័តក្រុងព្រះសីហនុ</t>
        </is>
      </c>
      <c r="D1371" s="522" t="inlineStr">
        <is>
          <t>L001-100044638</t>
        </is>
      </c>
      <c r="E1371" s="521" t="inlineStr">
        <is>
          <t>036746</t>
        </is>
      </c>
      <c r="F1371" s="523" t="n">
        <v>44260</v>
      </c>
      <c r="G1371" s="556" t="n">
        <v>15428</v>
      </c>
      <c r="I1371" s="521">
        <f>G1371</f>
        <v/>
      </c>
      <c r="K1371" s="521">
        <f>I1371-G1371</f>
        <v/>
      </c>
      <c r="M1371" s="522" t="inlineStr">
        <is>
          <t>036746</t>
        </is>
      </c>
      <c r="N1371" s="522" t="inlineStr"/>
      <c r="O1371" s="521">
        <f>M1371=N1371</f>
        <v/>
      </c>
      <c r="P1371" s="521">
        <f>AND(MONTH(F1371)=MONTH(S1371), YEAR(F1371)=YEAR(S1371))</f>
        <v/>
      </c>
      <c r="Q1371" s="521">
        <f>U1371="L001-901905215"</f>
        <v/>
      </c>
      <c r="R1371" s="556">
        <f>G1371-W1371</f>
        <v/>
      </c>
      <c r="S1371" s="521" t="n"/>
      <c r="T1371" s="522" t="n"/>
      <c r="U1371" s="522" t="n"/>
      <c r="V1371" s="522" t="n"/>
      <c r="W1371" s="521" t="n"/>
    </row>
    <row r="1372">
      <c r="A1372" s="521" t="n">
        <v>1364</v>
      </c>
      <c r="B1372" s="522" t="inlineStr">
        <is>
          <t>Lift-Off</t>
        </is>
      </c>
      <c r="C1372" s="522" t="inlineStr">
        <is>
          <t>កំពង់ផែស្វយ័តក្រុងព្រះសីហនុ</t>
        </is>
      </c>
      <c r="D1372" s="522" t="inlineStr">
        <is>
          <t>L001-100044638</t>
        </is>
      </c>
      <c r="E1372" s="521" t="inlineStr">
        <is>
          <t>036750</t>
        </is>
      </c>
      <c r="F1372" s="523" t="n">
        <v>44260</v>
      </c>
      <c r="G1372" s="556" t="n">
        <v>20706</v>
      </c>
      <c r="I1372" s="521">
        <f>G1372</f>
        <v/>
      </c>
      <c r="K1372" s="521">
        <f>I1372-G1372</f>
        <v/>
      </c>
      <c r="M1372" s="522" t="inlineStr">
        <is>
          <t>036750</t>
        </is>
      </c>
      <c r="N1372" s="522" t="inlineStr"/>
      <c r="O1372" s="521">
        <f>M1372=N1372</f>
        <v/>
      </c>
      <c r="P1372" s="521">
        <f>AND(MONTH(F1372)=MONTH(S1372), YEAR(F1372)=YEAR(S1372))</f>
        <v/>
      </c>
      <c r="Q1372" s="521">
        <f>U1372="L001-901905215"</f>
        <v/>
      </c>
      <c r="R1372" s="556">
        <f>G1372-W1372</f>
        <v/>
      </c>
      <c r="S1372" s="521" t="n"/>
      <c r="T1372" s="522" t="n"/>
      <c r="U1372" s="522" t="n"/>
      <c r="V1372" s="522" t="n"/>
      <c r="W1372" s="521" t="n"/>
    </row>
    <row r="1373">
      <c r="A1373" s="521" t="n">
        <v>1365</v>
      </c>
      <c r="B1373" s="522" t="inlineStr">
        <is>
          <t>Lift-Off</t>
        </is>
      </c>
      <c r="C1373" s="522" t="inlineStr">
        <is>
          <t>កំពង់ផែស្វយ័តក្រុងព្រះសីហនុ</t>
        </is>
      </c>
      <c r="D1373" s="522" t="inlineStr">
        <is>
          <t>L001-100044638</t>
        </is>
      </c>
      <c r="E1373" s="521" t="inlineStr">
        <is>
          <t>036749</t>
        </is>
      </c>
      <c r="F1373" s="523" t="n">
        <v>44260</v>
      </c>
      <c r="G1373" s="556" t="n">
        <v>20706</v>
      </c>
      <c r="I1373" s="521">
        <f>G1373</f>
        <v/>
      </c>
      <c r="K1373" s="521">
        <f>I1373-G1373</f>
        <v/>
      </c>
      <c r="M1373" s="522" t="inlineStr">
        <is>
          <t>036749</t>
        </is>
      </c>
      <c r="N1373" s="522" t="inlineStr"/>
      <c r="O1373" s="521">
        <f>M1373=N1373</f>
        <v/>
      </c>
      <c r="P1373" s="521">
        <f>AND(MONTH(F1373)=MONTH(S1373), YEAR(F1373)=YEAR(S1373))</f>
        <v/>
      </c>
      <c r="Q1373" s="521">
        <f>U1373="L001-901905215"</f>
        <v/>
      </c>
      <c r="R1373" s="556">
        <f>G1373-W1373</f>
        <v/>
      </c>
      <c r="S1373" s="521" t="n"/>
      <c r="T1373" s="522" t="n"/>
      <c r="U1373" s="522" t="n"/>
      <c r="V1373" s="522" t="n"/>
      <c r="W1373" s="521" t="n"/>
    </row>
    <row r="1374">
      <c r="A1374" s="521" t="n">
        <v>1366</v>
      </c>
      <c r="B1374" s="522" t="inlineStr">
        <is>
          <t>Lift-Off</t>
        </is>
      </c>
      <c r="C1374" s="522" t="inlineStr">
        <is>
          <t>កំពង់ផែស្វយ័តក្រុងព្រះសីហនុ</t>
        </is>
      </c>
      <c r="D1374" s="522" t="inlineStr">
        <is>
          <t>L001-100044638</t>
        </is>
      </c>
      <c r="E1374" s="521" t="inlineStr">
        <is>
          <t>036745</t>
        </is>
      </c>
      <c r="F1374" s="523" t="n">
        <v>44260</v>
      </c>
      <c r="G1374" s="556" t="n">
        <v>6090</v>
      </c>
      <c r="I1374" s="521">
        <f>G1374</f>
        <v/>
      </c>
      <c r="K1374" s="521">
        <f>I1374-G1374</f>
        <v/>
      </c>
      <c r="M1374" s="522" t="inlineStr">
        <is>
          <t>036745</t>
        </is>
      </c>
      <c r="N1374" s="522" t="inlineStr"/>
      <c r="O1374" s="521">
        <f>M1374=N1374</f>
        <v/>
      </c>
      <c r="P1374" s="521">
        <f>AND(MONTH(F1374)=MONTH(S1374), YEAR(F1374)=YEAR(S1374))</f>
        <v/>
      </c>
      <c r="Q1374" s="521">
        <f>U1374="L001-901905215"</f>
        <v/>
      </c>
      <c r="R1374" s="556">
        <f>G1374-W1374</f>
        <v/>
      </c>
      <c r="S1374" s="521" t="n"/>
      <c r="T1374" s="522" t="n"/>
      <c r="U1374" s="522" t="n"/>
      <c r="V1374" s="522" t="n"/>
      <c r="W1374" s="521" t="n"/>
    </row>
    <row r="1375">
      <c r="A1375" s="521" t="n">
        <v>1367</v>
      </c>
      <c r="B1375" s="522" t="inlineStr">
        <is>
          <t>Lift-On &amp; Lift-Off</t>
        </is>
      </c>
      <c r="C1375" s="522" t="inlineStr">
        <is>
          <t>កំពង់ផែស្វយ័តក្រុងព្រះសីហនុ</t>
        </is>
      </c>
      <c r="D1375" s="522" t="inlineStr">
        <is>
          <t>L001-100044638</t>
        </is>
      </c>
      <c r="E1375" s="521" t="inlineStr">
        <is>
          <t>036752</t>
        </is>
      </c>
      <c r="F1375" s="523" t="n">
        <v>44260</v>
      </c>
      <c r="G1375" s="556" t="n">
        <v>6902</v>
      </c>
      <c r="I1375" s="521">
        <f>G1375</f>
        <v/>
      </c>
      <c r="K1375" s="521">
        <f>I1375-G1375</f>
        <v/>
      </c>
      <c r="M1375" s="522" t="inlineStr">
        <is>
          <t>036752</t>
        </is>
      </c>
      <c r="N1375" s="522" t="inlineStr"/>
      <c r="O1375" s="521">
        <f>M1375=N1375</f>
        <v/>
      </c>
      <c r="P1375" s="521">
        <f>AND(MONTH(F1375)=MONTH(S1375), YEAR(F1375)=YEAR(S1375))</f>
        <v/>
      </c>
      <c r="Q1375" s="521">
        <f>U1375="L001-901905215"</f>
        <v/>
      </c>
      <c r="R1375" s="556">
        <f>G1375-W1375</f>
        <v/>
      </c>
      <c r="S1375" s="521" t="n"/>
      <c r="T1375" s="522" t="n"/>
      <c r="U1375" s="522" t="n"/>
      <c r="V1375" s="522" t="n"/>
      <c r="W1375" s="521" t="n"/>
    </row>
    <row r="1376">
      <c r="A1376" s="521" t="n">
        <v>1368</v>
      </c>
      <c r="B1376" s="522" t="inlineStr">
        <is>
          <t>Dest. Tml Handling</t>
        </is>
      </c>
      <c r="C1376" s="522" t="inlineStr">
        <is>
          <t>អ៊ែរ៉ូ ស៊ីបភីង អេជេនស៊ី</t>
        </is>
      </c>
      <c r="D1376" s="522" t="inlineStr">
        <is>
          <t>K004-901635903</t>
        </is>
      </c>
      <c r="E1376" s="521" t="inlineStr">
        <is>
          <t>IKPSA2021507093</t>
        </is>
      </c>
      <c r="F1376" s="523" t="n">
        <v>44266</v>
      </c>
      <c r="G1376" s="556" t="n">
        <v>113540</v>
      </c>
      <c r="I1376" s="521">
        <f>G1376</f>
        <v/>
      </c>
      <c r="K1376" s="521">
        <f>I1376-G1376</f>
        <v/>
      </c>
      <c r="M1376" s="522" t="inlineStr">
        <is>
          <t>IKPSA2021507093</t>
        </is>
      </c>
      <c r="N1376" s="522" t="inlineStr">
        <is>
          <t>IKPSA2021507093</t>
        </is>
      </c>
      <c r="O1376" s="521">
        <f>M1376=N1376</f>
        <v/>
      </c>
      <c r="P1376" s="521">
        <f>AND(MONTH(F1376)=MONTH(S1376), YEAR(F1376)=YEAR(S1376))</f>
        <v/>
      </c>
      <c r="Q1376" s="521">
        <f>U1376="L001-901905215"</f>
        <v/>
      </c>
      <c r="R1376" s="556">
        <f>G1376-W1376</f>
        <v/>
      </c>
      <c r="S1376" s="523" t="n">
        <v>44264</v>
      </c>
      <c r="T1376" s="522" t="inlineStr">
        <is>
          <t>IKPSA2021507093</t>
        </is>
      </c>
      <c r="U1376" s="522" t="inlineStr">
        <is>
          <t>L001-901905215</t>
        </is>
      </c>
      <c r="V1376" s="522" t="inlineStr">
        <is>
          <t>វីអ៊ីស៊ិន (ខេមបូឌា) អ៊ិនដាសស្ទ្រី ឯ.ក</t>
        </is>
      </c>
      <c r="W1376" s="556" t="n">
        <v>113260</v>
      </c>
    </row>
    <row r="1377">
      <c r="A1377" s="521" t="n">
        <v>1369</v>
      </c>
      <c r="B1377" s="522" t="inlineStr">
        <is>
          <t>Container Imbalance Chrg</t>
        </is>
      </c>
      <c r="C1377" s="522" t="inlineStr">
        <is>
          <t>អ៊ែរ៉ូ ស៊ីបភីង អេជេនស៊ី</t>
        </is>
      </c>
      <c r="D1377" s="522" t="inlineStr">
        <is>
          <t>K004-901635903</t>
        </is>
      </c>
      <c r="E1377" s="521" t="inlineStr">
        <is>
          <t>IKPSA2021507092</t>
        </is>
      </c>
      <c r="F1377" s="523" t="n">
        <v>44266</v>
      </c>
      <c r="G1377" s="556" t="n">
        <v>97320</v>
      </c>
      <c r="I1377" s="521">
        <f>G1377</f>
        <v/>
      </c>
      <c r="K1377" s="521">
        <f>I1377-G1377</f>
        <v/>
      </c>
      <c r="M1377" s="522" t="inlineStr">
        <is>
          <t>IKPSA2021507092</t>
        </is>
      </c>
      <c r="N1377" s="522" t="inlineStr">
        <is>
          <t>IKPSA2021507092</t>
        </is>
      </c>
      <c r="O1377" s="521">
        <f>M1377=N1377</f>
        <v/>
      </c>
      <c r="P1377" s="521">
        <f>AND(MONTH(F1377)=MONTH(S1377), YEAR(F1377)=YEAR(S1377))</f>
        <v/>
      </c>
      <c r="Q1377" s="521">
        <f>U1377="L001-901905215"</f>
        <v/>
      </c>
      <c r="R1377" s="556">
        <f>G1377-W1377</f>
        <v/>
      </c>
      <c r="S1377" s="523" t="n">
        <v>44264</v>
      </c>
      <c r="T1377" s="522" t="inlineStr">
        <is>
          <t>IKPSA2021507092</t>
        </is>
      </c>
      <c r="U1377" s="522" t="inlineStr">
        <is>
          <t>L001-901905215</t>
        </is>
      </c>
      <c r="V1377" s="522" t="inlineStr">
        <is>
          <t>វីអ៊ីស៊ិន (ខេមបូឌា) អ៊ិនដាសស្ទ្រី ឯ.ក</t>
        </is>
      </c>
      <c r="W1377" s="556" t="n">
        <v>97080</v>
      </c>
    </row>
    <row r="1378">
      <c r="A1378" s="521" t="n">
        <v>1370</v>
      </c>
      <c r="B1378" s="522" t="inlineStr">
        <is>
          <t>Truck Fee</t>
        </is>
      </c>
      <c r="C1378" s="522" t="inlineStr">
        <is>
          <t>អ៊ែរ៉ូ ស៊ីបភីង អេជេនស៊ី</t>
        </is>
      </c>
      <c r="D1378" s="522" t="inlineStr">
        <is>
          <t>K004-901635903</t>
        </is>
      </c>
      <c r="E1378" s="521" t="inlineStr">
        <is>
          <t>IKPSA2021507091</t>
        </is>
      </c>
      <c r="F1378" s="523" t="n">
        <v>44266</v>
      </c>
      <c r="G1378" s="556" t="n">
        <v>1843</v>
      </c>
      <c r="I1378" s="521">
        <f>G1378</f>
        <v/>
      </c>
      <c r="K1378" s="521">
        <f>I1378-G1378</f>
        <v/>
      </c>
      <c r="M1378" s="522" t="inlineStr">
        <is>
          <t>IKPSA2021507091</t>
        </is>
      </c>
      <c r="N1378" s="522" t="inlineStr">
        <is>
          <t>IKPSA2021507091</t>
        </is>
      </c>
      <c r="O1378" s="521">
        <f>M1378=N1378</f>
        <v/>
      </c>
      <c r="P1378" s="521">
        <f>AND(MONTH(F1378)=MONTH(S1378), YEAR(F1378)=YEAR(S1378))</f>
        <v/>
      </c>
      <c r="Q1378" s="521">
        <f>U1378="L001-901905215"</f>
        <v/>
      </c>
      <c r="R1378" s="556">
        <f>G1378-W1378</f>
        <v/>
      </c>
      <c r="S1378" s="523" t="n">
        <v>44264</v>
      </c>
      <c r="T1378" s="522" t="inlineStr">
        <is>
          <t>IKPSA2021507091</t>
        </is>
      </c>
      <c r="U1378" s="522" t="inlineStr">
        <is>
          <t>L001-901905215</t>
        </is>
      </c>
      <c r="V1378" s="522" t="inlineStr">
        <is>
          <t>វីអ៊ីស៊ិន (ខេមបូឌា) អ៊ិនដាសស្ទ្រី ឯ.ក</t>
        </is>
      </c>
      <c r="W1378" s="556" t="n">
        <v>1840</v>
      </c>
    </row>
    <row r="1379">
      <c r="A1379" s="521" t="n">
        <v>1371</v>
      </c>
      <c r="B1379" s="522" t="inlineStr">
        <is>
          <t>Lift-On &amp; Lift-Off</t>
        </is>
      </c>
      <c r="C1379" s="522" t="inlineStr">
        <is>
          <t>កំពង់ផែស្វយ័តក្រុងព្រះសីហនុ</t>
        </is>
      </c>
      <c r="D1379" s="522" t="inlineStr">
        <is>
          <t>L001-100044638</t>
        </is>
      </c>
      <c r="E1379" s="521" t="inlineStr">
        <is>
          <t>044287</t>
        </is>
      </c>
      <c r="F1379" s="523" t="n">
        <v>44277</v>
      </c>
      <c r="G1379" s="556" t="n">
        <v>61965</v>
      </c>
      <c r="I1379" s="521">
        <f>G1379</f>
        <v/>
      </c>
      <c r="K1379" s="521">
        <f>I1379-G1379</f>
        <v/>
      </c>
      <c r="M1379" s="522" t="inlineStr">
        <is>
          <t>044287</t>
        </is>
      </c>
      <c r="N1379" s="522" t="inlineStr"/>
      <c r="O1379" s="521">
        <f>M1379=N1379</f>
        <v/>
      </c>
      <c r="P1379" s="521">
        <f>AND(MONTH(F1379)=MONTH(S1379), YEAR(F1379)=YEAR(S1379))</f>
        <v/>
      </c>
      <c r="Q1379" s="521">
        <f>U1379="L001-901905215"</f>
        <v/>
      </c>
      <c r="R1379" s="556">
        <f>G1379-W1379</f>
        <v/>
      </c>
      <c r="S1379" s="521" t="n"/>
      <c r="T1379" s="522" t="n"/>
      <c r="U1379" s="522" t="n"/>
      <c r="V1379" s="522" t="n"/>
      <c r="W1379" s="521" t="n"/>
    </row>
    <row r="1380">
      <c r="A1380" s="521" t="n">
        <v>1372</v>
      </c>
      <c r="B1380" s="522" t="inlineStr">
        <is>
          <t>ថ្លៃលើកដាក់ទំនិញចុះពីប៉ាល់​និងថ្លៃឯកសារ</t>
        </is>
      </c>
      <c r="C1380" s="522" t="inlineStr">
        <is>
          <t>ហារី &amp; សាន់ អេជេនស៊ី</t>
        </is>
      </c>
      <c r="D1380" s="522" t="inlineStr">
        <is>
          <t>K002-901637349</t>
        </is>
      </c>
      <c r="E1380" s="521" t="inlineStr">
        <is>
          <t>TI-000730</t>
        </is>
      </c>
      <c r="F1380" s="523" t="n">
        <v>44270</v>
      </c>
      <c r="G1380" s="556" t="n">
        <v>109485</v>
      </c>
      <c r="I1380" s="521">
        <f>G1380</f>
        <v/>
      </c>
      <c r="K1380" s="521">
        <f>I1380-G1380</f>
        <v/>
      </c>
      <c r="M1380" s="522" t="inlineStr">
        <is>
          <t>TI000730</t>
        </is>
      </c>
      <c r="N1380" s="522" t="inlineStr">
        <is>
          <t>TI000730</t>
        </is>
      </c>
      <c r="O1380" s="521">
        <f>M1380=N1380</f>
        <v/>
      </c>
      <c r="P1380" s="521">
        <f>AND(MONTH(F1380)=MONTH(S1380), YEAR(F1380)=YEAR(S1380))</f>
        <v/>
      </c>
      <c r="Q1380" s="521">
        <f>U1380="L001-901905215"</f>
        <v/>
      </c>
      <c r="R1380" s="556">
        <f>G1380-W1380</f>
        <v/>
      </c>
      <c r="S1380" s="523" t="n">
        <v>44270</v>
      </c>
      <c r="T1380" s="522" t="inlineStr">
        <is>
          <t>TI-000730</t>
        </is>
      </c>
      <c r="U1380" s="522" t="inlineStr">
        <is>
          <t>L001-901905215</t>
        </is>
      </c>
      <c r="V1380" s="522" t="inlineStr">
        <is>
          <t>វីអ៊ីស៊ិន (ខេមបូឌា) អ៊ិនដាសស្ទ្រី ឯ.ក</t>
        </is>
      </c>
      <c r="W1380" s="556" t="n">
        <v>109485</v>
      </c>
    </row>
    <row r="1381">
      <c r="A1381" s="521" t="n">
        <v>1373</v>
      </c>
      <c r="B1381" s="522" t="inlineStr">
        <is>
          <t>Lift-On &amp; Lift-Off</t>
        </is>
      </c>
      <c r="C1381" s="522" t="inlineStr">
        <is>
          <t>កំពង់ផែស្វយ័តក្រុងព្រះសីហនុ</t>
        </is>
      </c>
      <c r="D1381" s="522" t="inlineStr">
        <is>
          <t>L001-100044638</t>
        </is>
      </c>
      <c r="E1381" s="521" t="inlineStr">
        <is>
          <t>044282</t>
        </is>
      </c>
      <c r="F1381" s="523" t="n">
        <v>44277</v>
      </c>
      <c r="G1381" s="556" t="n">
        <v>35235</v>
      </c>
      <c r="I1381" s="521">
        <f>G1381</f>
        <v/>
      </c>
      <c r="K1381" s="521">
        <f>I1381-G1381</f>
        <v/>
      </c>
      <c r="M1381" s="522" t="inlineStr">
        <is>
          <t>044282</t>
        </is>
      </c>
      <c r="N1381" s="522" t="inlineStr"/>
      <c r="O1381" s="521">
        <f>M1381=N1381</f>
        <v/>
      </c>
      <c r="P1381" s="521">
        <f>AND(MONTH(F1381)=MONTH(S1381), YEAR(F1381)=YEAR(S1381))</f>
        <v/>
      </c>
      <c r="Q1381" s="521">
        <f>U1381="L001-901905215"</f>
        <v/>
      </c>
      <c r="R1381" s="556">
        <f>G1381-W1381</f>
        <v/>
      </c>
      <c r="S1381" s="521" t="n"/>
      <c r="T1381" s="522" t="n"/>
      <c r="U1381" s="522" t="n"/>
      <c r="V1381" s="522" t="n"/>
      <c r="W1381" s="521" t="n"/>
    </row>
    <row r="1382">
      <c r="A1382" s="521" t="n">
        <v>1374</v>
      </c>
      <c r="B1382" s="522" t="inlineStr">
        <is>
          <t>Dest. Tml Handling</t>
        </is>
      </c>
      <c r="C1382" s="522" t="inlineStr">
        <is>
          <t>អ៊ែរ៉ូ ស៊ីបភីង អេជេនស៊ី</t>
        </is>
      </c>
      <c r="D1382" s="522" t="inlineStr">
        <is>
          <t>K004-901635903</t>
        </is>
      </c>
      <c r="E1382" s="521" t="inlineStr">
        <is>
          <t>IKPSA2021507764</t>
        </is>
      </c>
      <c r="F1382" s="523" t="n">
        <v>44273</v>
      </c>
      <c r="G1382" s="556" t="n">
        <v>113400</v>
      </c>
      <c r="I1382" s="521">
        <f>G1382</f>
        <v/>
      </c>
      <c r="K1382" s="521">
        <f>I1382-G1382</f>
        <v/>
      </c>
      <c r="M1382" s="522" t="inlineStr">
        <is>
          <t>IKPSA2021507764</t>
        </is>
      </c>
      <c r="N1382" s="522" t="inlineStr">
        <is>
          <t>IKPSA2021507764</t>
        </is>
      </c>
      <c r="O1382" s="521">
        <f>M1382=N1382</f>
        <v/>
      </c>
      <c r="P1382" s="521">
        <f>AND(MONTH(F1382)=MONTH(S1382), YEAR(F1382)=YEAR(S1382))</f>
        <v/>
      </c>
      <c r="Q1382" s="521">
        <f>U1382="L001-901905215"</f>
        <v/>
      </c>
      <c r="R1382" s="556">
        <f>G1382-W1382</f>
        <v/>
      </c>
      <c r="S1382" s="523" t="n">
        <v>44271</v>
      </c>
      <c r="T1382" s="522" t="inlineStr">
        <is>
          <t>IKPSA2021507764</t>
        </is>
      </c>
      <c r="U1382" s="522" t="inlineStr">
        <is>
          <t>L001-901905215</t>
        </is>
      </c>
      <c r="V1382" s="522" t="inlineStr">
        <is>
          <t>វីអ៊ីស៊ិន (ខេមបូឌា) អ៊ិនដាសស្ទ្រី ឯ.ក</t>
        </is>
      </c>
      <c r="W1382" s="556" t="n">
        <v>113260</v>
      </c>
    </row>
    <row r="1383">
      <c r="A1383" s="521" t="n">
        <v>1375</v>
      </c>
      <c r="B1383" s="522" t="inlineStr">
        <is>
          <t>Container Imbalance Chrg</t>
        </is>
      </c>
      <c r="C1383" s="522" t="inlineStr">
        <is>
          <t>អ៊ែរ៉ូ ស៊ីបភីង អេជេនស៊ី</t>
        </is>
      </c>
      <c r="D1383" s="522" t="inlineStr">
        <is>
          <t>K004-901635903</t>
        </is>
      </c>
      <c r="E1383" s="521" t="inlineStr">
        <is>
          <t>IKPSA2021507763</t>
        </is>
      </c>
      <c r="F1383" s="523" t="n">
        <v>44273</v>
      </c>
      <c r="G1383" s="556" t="n">
        <v>97200</v>
      </c>
      <c r="I1383" s="521">
        <f>G1383</f>
        <v/>
      </c>
      <c r="K1383" s="521">
        <f>I1383-G1383</f>
        <v/>
      </c>
      <c r="M1383" s="522" t="inlineStr">
        <is>
          <t>IKPSA2021507763</t>
        </is>
      </c>
      <c r="N1383" s="522" t="inlineStr">
        <is>
          <t>IKPSA2021507763</t>
        </is>
      </c>
      <c r="O1383" s="521">
        <f>M1383=N1383</f>
        <v/>
      </c>
      <c r="P1383" s="521">
        <f>AND(MONTH(F1383)=MONTH(S1383), YEAR(F1383)=YEAR(S1383))</f>
        <v/>
      </c>
      <c r="Q1383" s="521">
        <f>U1383="L001-901905215"</f>
        <v/>
      </c>
      <c r="R1383" s="556">
        <f>G1383-W1383</f>
        <v/>
      </c>
      <c r="S1383" s="523" t="n">
        <v>44271</v>
      </c>
      <c r="T1383" s="522" t="inlineStr">
        <is>
          <t>IKPSA2021507763</t>
        </is>
      </c>
      <c r="U1383" s="522" t="inlineStr">
        <is>
          <t>L001-901905215</t>
        </is>
      </c>
      <c r="V1383" s="522" t="inlineStr">
        <is>
          <t>វីអ៊ីស៊ិន (ខេមបូឌា) អ៊ិនដាសស្ទ្រី ឯ.ក</t>
        </is>
      </c>
      <c r="W1383" s="556" t="n">
        <v>97080</v>
      </c>
    </row>
    <row r="1384">
      <c r="A1384" s="521" t="n">
        <v>1376</v>
      </c>
      <c r="B1384" s="522" t="inlineStr">
        <is>
          <t>Truck Fee</t>
        </is>
      </c>
      <c r="C1384" s="522" t="inlineStr">
        <is>
          <t>អ៊ែរ៉ូ ស៊ីបភីង អេជេនស៊ី</t>
        </is>
      </c>
      <c r="D1384" s="522" t="inlineStr">
        <is>
          <t>K004-901635903</t>
        </is>
      </c>
      <c r="E1384" s="521" t="inlineStr">
        <is>
          <t>IKPSA2021507762</t>
        </is>
      </c>
      <c r="F1384" s="523" t="n">
        <v>44273</v>
      </c>
      <c r="G1384" s="556" t="n">
        <v>1841</v>
      </c>
      <c r="I1384" s="521">
        <f>G1384</f>
        <v/>
      </c>
      <c r="K1384" s="521">
        <f>I1384-G1384</f>
        <v/>
      </c>
      <c r="M1384" s="522" t="inlineStr">
        <is>
          <t>IKPSA2021507762</t>
        </is>
      </c>
      <c r="N1384" s="522" t="inlineStr">
        <is>
          <t>IKPSA2021507762</t>
        </is>
      </c>
      <c r="O1384" s="521">
        <f>M1384=N1384</f>
        <v/>
      </c>
      <c r="P1384" s="521">
        <f>AND(MONTH(F1384)=MONTH(S1384), YEAR(F1384)=YEAR(S1384))</f>
        <v/>
      </c>
      <c r="Q1384" s="521">
        <f>U1384="L001-901905215"</f>
        <v/>
      </c>
      <c r="R1384" s="556">
        <f>G1384-W1384</f>
        <v/>
      </c>
      <c r="S1384" s="523" t="n">
        <v>44271</v>
      </c>
      <c r="T1384" s="522" t="inlineStr">
        <is>
          <t>IKPSA2021507762</t>
        </is>
      </c>
      <c r="U1384" s="522" t="inlineStr">
        <is>
          <t>L001-901905215</t>
        </is>
      </c>
      <c r="V1384" s="522" t="inlineStr">
        <is>
          <t>វីអ៊ីស៊ិន (ខេមបូឌា) អ៊ិនដាសស្ទ្រី ឯ.ក</t>
        </is>
      </c>
      <c r="W1384" s="556" t="n">
        <v>1840</v>
      </c>
    </row>
    <row r="1385">
      <c r="A1385" s="521" t="n">
        <v>1377</v>
      </c>
      <c r="B1385" s="522" t="inlineStr">
        <is>
          <t>Lift-On &amp; Lift-Off</t>
        </is>
      </c>
      <c r="C1385" s="522" t="inlineStr">
        <is>
          <t>កំពង់ផែស្វយ័តក្រុងព្រះសីហនុ</t>
        </is>
      </c>
      <c r="D1385" s="522" t="inlineStr">
        <is>
          <t>L001-100044638</t>
        </is>
      </c>
      <c r="E1385" s="521" t="inlineStr">
        <is>
          <t>045024</t>
        </is>
      </c>
      <c r="F1385" s="523" t="n">
        <v>44278</v>
      </c>
      <c r="G1385" s="556" t="n">
        <v>35218</v>
      </c>
      <c r="I1385" s="521">
        <f>G1385</f>
        <v/>
      </c>
      <c r="K1385" s="521">
        <f>I1385-G1385</f>
        <v/>
      </c>
      <c r="M1385" s="522" t="inlineStr">
        <is>
          <t>045024</t>
        </is>
      </c>
      <c r="N1385" s="522" t="inlineStr"/>
      <c r="O1385" s="521">
        <f>M1385=N1385</f>
        <v/>
      </c>
      <c r="P1385" s="521">
        <f>AND(MONTH(F1385)=MONTH(S1385), YEAR(F1385)=YEAR(S1385))</f>
        <v/>
      </c>
      <c r="Q1385" s="521">
        <f>U1385="L001-901905215"</f>
        <v/>
      </c>
      <c r="R1385" s="556">
        <f>G1385-W1385</f>
        <v/>
      </c>
      <c r="S1385" s="521" t="n"/>
      <c r="T1385" s="522" t="n"/>
      <c r="U1385" s="522" t="n"/>
      <c r="V1385" s="522" t="n"/>
      <c r="W1385" s="521" t="n"/>
    </row>
    <row r="1386">
      <c r="A1386" s="521" t="n">
        <v>1378</v>
      </c>
      <c r="B1386" s="522" t="inlineStr">
        <is>
          <t>Dest.Terminal Handli</t>
        </is>
      </c>
      <c r="C1386" s="522" t="inlineStr">
        <is>
          <t>ត្រេនម៉ារីន ឡូជីស្ទីក (ខេមបូឌា)</t>
        </is>
      </c>
      <c r="D1386" s="522" t="inlineStr">
        <is>
          <t>L001-106004107</t>
        </is>
      </c>
      <c r="E1386" s="521" t="inlineStr">
        <is>
          <t>9963004579</t>
        </is>
      </c>
      <c r="F1386" s="523" t="n">
        <v>44266</v>
      </c>
      <c r="G1386" s="556" t="n">
        <v>176393</v>
      </c>
      <c r="I1386" s="521">
        <f>G1386</f>
        <v/>
      </c>
      <c r="K1386" s="521">
        <f>I1386-G1386</f>
        <v/>
      </c>
      <c r="M1386" s="522" t="inlineStr">
        <is>
          <t>9963004579</t>
        </is>
      </c>
      <c r="N1386" s="522" t="inlineStr">
        <is>
          <t>9963004579</t>
        </is>
      </c>
      <c r="O1386" s="521">
        <f>M1386=N1386</f>
        <v/>
      </c>
      <c r="P1386" s="521">
        <f>AND(MONTH(F1386)=MONTH(S1386), YEAR(F1386)=YEAR(S1386))</f>
        <v/>
      </c>
      <c r="Q1386" s="521">
        <f>U1386="L001-901905215"</f>
        <v/>
      </c>
      <c r="R1386" s="556">
        <f>G1386-W1386</f>
        <v/>
      </c>
      <c r="S1386" s="523" t="n">
        <v>44266</v>
      </c>
      <c r="T1386" s="522" t="inlineStr">
        <is>
          <t>9963004579</t>
        </is>
      </c>
      <c r="U1386" s="522" t="inlineStr">
        <is>
          <t>L001-901905215</t>
        </is>
      </c>
      <c r="V1386" s="522" t="inlineStr">
        <is>
          <t>វីអ៊ីស៊ិន (ខេមបូឌា) អ៊ិនដាសស្ទ្រី ឯ.ក</t>
        </is>
      </c>
      <c r="W1386" s="556" t="n">
        <v>175958</v>
      </c>
    </row>
    <row r="1387">
      <c r="A1387" s="521" t="n">
        <v>1379</v>
      </c>
      <c r="B1387" s="522" t="inlineStr">
        <is>
          <t>Lift-On &amp; Lift-Off</t>
        </is>
      </c>
      <c r="C1387" s="522" t="inlineStr">
        <is>
          <t>កំពង់ផែស្វយ័តក្រុងព្រះសីហនុ</t>
        </is>
      </c>
      <c r="D1387" s="522" t="inlineStr">
        <is>
          <t>L001-100044638</t>
        </is>
      </c>
      <c r="E1387" s="521" t="inlineStr">
        <is>
          <t>041726</t>
        </is>
      </c>
      <c r="F1387" s="523" t="n">
        <v>44273</v>
      </c>
      <c r="G1387" s="556" t="n">
        <v>70470</v>
      </c>
      <c r="I1387" s="521">
        <f>G1387</f>
        <v/>
      </c>
      <c r="K1387" s="521">
        <f>I1387-G1387</f>
        <v/>
      </c>
      <c r="M1387" s="522" t="inlineStr">
        <is>
          <t>041726</t>
        </is>
      </c>
      <c r="N1387" s="522" t="inlineStr"/>
      <c r="O1387" s="521">
        <f>M1387=N1387</f>
        <v/>
      </c>
      <c r="P1387" s="521">
        <f>AND(MONTH(F1387)=MONTH(S1387), YEAR(F1387)=YEAR(S1387))</f>
        <v/>
      </c>
      <c r="Q1387" s="521">
        <f>U1387="L001-901905215"</f>
        <v/>
      </c>
      <c r="R1387" s="556">
        <f>G1387-W1387</f>
        <v/>
      </c>
      <c r="S1387" s="521" t="n"/>
      <c r="T1387" s="522" t="n"/>
      <c r="U1387" s="522" t="n"/>
      <c r="V1387" s="522" t="n"/>
      <c r="W1387" s="521" t="n"/>
    </row>
    <row r="1388">
      <c r="A1388" s="521" t="n">
        <v>1380</v>
      </c>
      <c r="B1388" s="522" t="inlineStr">
        <is>
          <t>EQ MANAGEMENT FEE</t>
        </is>
      </c>
      <c r="C1388" s="522" t="inlineStr">
        <is>
          <t>អ៊ែរ៉ូ ស៊ីបភីង អេជេនស៊ី</t>
        </is>
      </c>
      <c r="D1388" s="522" t="inlineStr">
        <is>
          <t>K004-901635903</t>
        </is>
      </c>
      <c r="E1388" s="521" t="inlineStr">
        <is>
          <t>IKPSA2021506179</t>
        </is>
      </c>
      <c r="F1388" s="523" t="n">
        <v>44259</v>
      </c>
      <c r="G1388" s="556" t="n">
        <v>113876</v>
      </c>
      <c r="I1388" s="521">
        <f>G1388</f>
        <v/>
      </c>
      <c r="K1388" s="521">
        <f>I1388-G1388</f>
        <v/>
      </c>
      <c r="M1388" s="522" t="inlineStr">
        <is>
          <t>IKPSA2021506179</t>
        </is>
      </c>
      <c r="N1388" s="522" t="inlineStr">
        <is>
          <t>IKPSA2021506179</t>
        </is>
      </c>
      <c r="O1388" s="521">
        <f>M1388=N1388</f>
        <v/>
      </c>
      <c r="P1388" s="521">
        <f>AND(MONTH(F1388)=MONTH(S1388), YEAR(F1388)=YEAR(S1388))</f>
        <v/>
      </c>
      <c r="Q1388" s="521">
        <f>U1388="L001-901905215"</f>
        <v/>
      </c>
      <c r="R1388" s="556">
        <f>G1388-W1388</f>
        <v/>
      </c>
      <c r="S1388" s="523" t="n">
        <v>44257</v>
      </c>
      <c r="T1388" s="522" t="inlineStr">
        <is>
          <t>IKPSA2021506179</t>
        </is>
      </c>
      <c r="U1388" s="522" t="inlineStr">
        <is>
          <t>L001-901905215</t>
        </is>
      </c>
      <c r="V1388" s="522" t="inlineStr">
        <is>
          <t>វីអ៊ីស៊ិន (ខេមបូឌា) អ៊ិនដាសស្ទ្រី ឯ.ក</t>
        </is>
      </c>
      <c r="W1388" s="556" t="n">
        <v>113260</v>
      </c>
    </row>
    <row r="1389">
      <c r="A1389" s="521" t="n">
        <v>1381</v>
      </c>
      <c r="B1389" s="522" t="inlineStr">
        <is>
          <t>Container Imbalance Chrg</t>
        </is>
      </c>
      <c r="C1389" s="522" t="inlineStr">
        <is>
          <t>អ៊ែរ៉ូ ស៊ីបភីង អេជេនស៊ី</t>
        </is>
      </c>
      <c r="D1389" s="522" t="inlineStr">
        <is>
          <t>K004-901635903</t>
        </is>
      </c>
      <c r="E1389" s="521" t="inlineStr">
        <is>
          <t>IKPSA2021506178</t>
        </is>
      </c>
      <c r="F1389" s="523" t="n">
        <v>44259</v>
      </c>
      <c r="G1389" s="556" t="n">
        <v>97608</v>
      </c>
      <c r="I1389" s="521">
        <f>G1389</f>
        <v/>
      </c>
      <c r="K1389" s="521">
        <f>I1389-G1389</f>
        <v/>
      </c>
      <c r="M1389" s="522" t="inlineStr">
        <is>
          <t>IKPSA2021506178</t>
        </is>
      </c>
      <c r="N1389" s="522" t="inlineStr">
        <is>
          <t>IKPSA2021506178</t>
        </is>
      </c>
      <c r="O1389" s="521">
        <f>M1389=N1389</f>
        <v/>
      </c>
      <c r="P1389" s="521">
        <f>AND(MONTH(F1389)=MONTH(S1389), YEAR(F1389)=YEAR(S1389))</f>
        <v/>
      </c>
      <c r="Q1389" s="521">
        <f>U1389="L001-901905215"</f>
        <v/>
      </c>
      <c r="R1389" s="556">
        <f>G1389-W1389</f>
        <v/>
      </c>
      <c r="S1389" s="523" t="n">
        <v>44257</v>
      </c>
      <c r="T1389" s="522" t="inlineStr">
        <is>
          <t>IKPSA2021506178</t>
        </is>
      </c>
      <c r="U1389" s="522" t="inlineStr">
        <is>
          <t>L001-901905215</t>
        </is>
      </c>
      <c r="V1389" s="522" t="inlineStr">
        <is>
          <t>វីអ៊ីស៊ិន (ខេមបូឌា) អ៊ិនដាសស្ទ្រី ឯ.ក</t>
        </is>
      </c>
      <c r="W1389" s="556" t="n">
        <v>97080</v>
      </c>
    </row>
    <row r="1390">
      <c r="A1390" s="521" t="n">
        <v>1382</v>
      </c>
      <c r="B1390" s="522" t="inlineStr">
        <is>
          <t>Truck Fee</t>
        </is>
      </c>
      <c r="C1390" s="522" t="inlineStr">
        <is>
          <t>អ៊ែរ៉ូ ស៊ីបភីង អេជេនស៊ី</t>
        </is>
      </c>
      <c r="D1390" s="522" t="inlineStr">
        <is>
          <t>K004-901635903</t>
        </is>
      </c>
      <c r="E1390" s="521" t="inlineStr">
        <is>
          <t>IKPSA2021506177</t>
        </is>
      </c>
      <c r="F1390" s="523" t="n">
        <v>44259</v>
      </c>
      <c r="G1390" s="556" t="n">
        <v>1849</v>
      </c>
      <c r="I1390" s="521">
        <f>G1390</f>
        <v/>
      </c>
      <c r="K1390" s="521">
        <f>I1390-G1390</f>
        <v/>
      </c>
      <c r="M1390" s="522" t="inlineStr">
        <is>
          <t>IKPSA2021506177</t>
        </is>
      </c>
      <c r="N1390" s="522" t="inlineStr">
        <is>
          <t>IKPSA2021506177</t>
        </is>
      </c>
      <c r="O1390" s="521">
        <f>M1390=N1390</f>
        <v/>
      </c>
      <c r="P1390" s="521">
        <f>AND(MONTH(F1390)=MONTH(S1390), YEAR(F1390)=YEAR(S1390))</f>
        <v/>
      </c>
      <c r="Q1390" s="521">
        <f>U1390="L001-901905215"</f>
        <v/>
      </c>
      <c r="R1390" s="556">
        <f>G1390-W1390</f>
        <v/>
      </c>
      <c r="S1390" s="523" t="n">
        <v>44257</v>
      </c>
      <c r="T1390" s="522" t="inlineStr">
        <is>
          <t>IKPSA2021506177</t>
        </is>
      </c>
      <c r="U1390" s="522" t="inlineStr">
        <is>
          <t>L001-901905215</t>
        </is>
      </c>
      <c r="V1390" s="522" t="inlineStr">
        <is>
          <t>វីអ៊ីស៊ិន (ខេមបូឌា) អ៊ិនដាសស្ទ្រី ឯ.ក</t>
        </is>
      </c>
      <c r="W1390" s="556" t="n">
        <v>1840</v>
      </c>
    </row>
    <row r="1391">
      <c r="A1391" s="521" t="n">
        <v>1383</v>
      </c>
      <c r="B1391" s="522" t="inlineStr">
        <is>
          <t>Lift-On &amp; Lift-Off</t>
        </is>
      </c>
      <c r="C1391" s="522" t="inlineStr">
        <is>
          <t>កំពង់ផែស្វយ័តក្រុងព្រះសីហនុ</t>
        </is>
      </c>
      <c r="D1391" s="522" t="inlineStr">
        <is>
          <t>L001-100044638</t>
        </is>
      </c>
      <c r="E1391" s="521" t="inlineStr">
        <is>
          <t>037827</t>
        </is>
      </c>
      <c r="F1391" s="523" t="n">
        <v>44265</v>
      </c>
      <c r="G1391" s="556" t="n">
        <v>49877</v>
      </c>
      <c r="I1391" s="521">
        <f>G1391</f>
        <v/>
      </c>
      <c r="K1391" s="521">
        <f>I1391-G1391</f>
        <v/>
      </c>
      <c r="M1391" s="522" t="inlineStr">
        <is>
          <t>037827</t>
        </is>
      </c>
      <c r="N1391" s="522" t="inlineStr"/>
      <c r="O1391" s="521">
        <f>M1391=N1391</f>
        <v/>
      </c>
      <c r="P1391" s="521">
        <f>AND(MONTH(F1391)=MONTH(S1391), YEAR(F1391)=YEAR(S1391))</f>
        <v/>
      </c>
      <c r="Q1391" s="521">
        <f>U1391="L001-901905215"</f>
        <v/>
      </c>
      <c r="R1391" s="556">
        <f>G1391-W1391</f>
        <v/>
      </c>
      <c r="S1391" s="521" t="n"/>
      <c r="T1391" s="522" t="n"/>
      <c r="U1391" s="522" t="n"/>
      <c r="V1391" s="522" t="n"/>
      <c r="W1391" s="521" t="n"/>
    </row>
    <row r="1392">
      <c r="A1392" s="521" t="n">
        <v>1384</v>
      </c>
      <c r="B1392" s="522" t="inlineStr">
        <is>
          <t>Terminal Handling Charge</t>
        </is>
      </c>
      <c r="C1392" s="522" t="inlineStr">
        <is>
          <t>អេវើរហ្គ្រីន ស៊ីបភីង សឺវីស (ខេមបូឌា) ឯ.ក</t>
        </is>
      </c>
      <c r="D1392" s="522" t="inlineStr">
        <is>
          <t>L001-901705421</t>
        </is>
      </c>
      <c r="E1392" s="521" t="inlineStr">
        <is>
          <t>IY21001596</t>
        </is>
      </c>
      <c r="F1392" s="523" t="n">
        <v>44278</v>
      </c>
      <c r="G1392" s="556" t="n">
        <v>120065</v>
      </c>
      <c r="I1392" s="521">
        <f>G1392</f>
        <v/>
      </c>
      <c r="K1392" s="521">
        <f>I1392-G1392</f>
        <v/>
      </c>
      <c r="M1392" s="522" t="inlineStr">
        <is>
          <t>IY21001596</t>
        </is>
      </c>
      <c r="N1392" s="522" t="inlineStr"/>
      <c r="O1392" s="521">
        <f>M1392=N1392</f>
        <v/>
      </c>
      <c r="P1392" s="521">
        <f>AND(MONTH(F1392)=MONTH(S1392), YEAR(F1392)=YEAR(S1392))</f>
        <v/>
      </c>
      <c r="Q1392" s="521">
        <f>U1392="L001-901905215"</f>
        <v/>
      </c>
      <c r="R1392" s="556">
        <f>G1392-W1392</f>
        <v/>
      </c>
      <c r="S1392" s="521" t="n"/>
      <c r="T1392" s="522" t="n"/>
      <c r="U1392" s="522" t="n"/>
      <c r="V1392" s="522" t="n"/>
      <c r="W1392" s="521" t="n"/>
    </row>
    <row r="1393">
      <c r="A1393" s="521" t="n">
        <v>1385</v>
      </c>
      <c r="B1393" s="522" t="inlineStr">
        <is>
          <t>Lift-On &amp; Lift-Off</t>
        </is>
      </c>
      <c r="C1393" s="522" t="inlineStr">
        <is>
          <t>កំពង់ផែស្វយ័តក្រុងព្រះសីហនុ</t>
        </is>
      </c>
      <c r="D1393" s="522" t="inlineStr">
        <is>
          <t>L001-100044638</t>
        </is>
      </c>
      <c r="E1393" s="521" t="inlineStr">
        <is>
          <t>033852</t>
        </is>
      </c>
      <c r="F1393" s="523" t="n">
        <v>44256</v>
      </c>
      <c r="G1393" s="556" t="n">
        <v>35392</v>
      </c>
      <c r="I1393" s="521">
        <f>G1393</f>
        <v/>
      </c>
      <c r="K1393" s="521">
        <f>I1393-G1393</f>
        <v/>
      </c>
      <c r="M1393" s="522" t="inlineStr">
        <is>
          <t>033852</t>
        </is>
      </c>
      <c r="N1393" s="522" t="inlineStr"/>
      <c r="O1393" s="521">
        <f>M1393=N1393</f>
        <v/>
      </c>
      <c r="P1393" s="521">
        <f>AND(MONTH(F1393)=MONTH(S1393), YEAR(F1393)=YEAR(S1393))</f>
        <v/>
      </c>
      <c r="Q1393" s="521">
        <f>U1393="L001-901905215"</f>
        <v/>
      </c>
      <c r="R1393" s="556">
        <f>G1393-W1393</f>
        <v/>
      </c>
      <c r="S1393" s="521" t="n"/>
      <c r="T1393" s="522" t="n"/>
      <c r="U1393" s="522" t="n"/>
      <c r="V1393" s="522" t="n"/>
      <c r="W1393" s="521" t="n"/>
    </row>
    <row r="1394">
      <c r="A1394" s="521" t="n">
        <v>1386</v>
      </c>
      <c r="B1394" s="522" t="inlineStr">
        <is>
          <t>ផ្លាសក្រដាស​និងក្រដាស</t>
        </is>
      </c>
      <c r="C1394" s="522" t="inlineStr">
        <is>
          <t>ដុងគ័ន ស៊ីធី ហ្វាញស្តារ ព្រីនធីង (ខេមបូឌា)</t>
        </is>
      </c>
      <c r="D1394" s="522" t="inlineStr">
        <is>
          <t>L001-100193021</t>
        </is>
      </c>
      <c r="E1394" s="521" t="inlineStr">
        <is>
          <t>000172</t>
        </is>
      </c>
      <c r="F1394" s="523" t="n">
        <v>44284</v>
      </c>
      <c r="G1394" s="556" t="n">
        <v>16909257</v>
      </c>
      <c r="I1394" s="521">
        <f>G1394</f>
        <v/>
      </c>
      <c r="K1394" s="521">
        <f>I1394-G1394</f>
        <v/>
      </c>
      <c r="M1394" s="522" t="inlineStr">
        <is>
          <t>000172</t>
        </is>
      </c>
      <c r="N1394" s="522" t="inlineStr">
        <is>
          <t>000172</t>
        </is>
      </c>
      <c r="O1394" s="521">
        <f>M1394=N1394</f>
        <v/>
      </c>
      <c r="P1394" s="521">
        <f>AND(MONTH(F1394)=MONTH(S1394), YEAR(F1394)=YEAR(S1394))</f>
        <v/>
      </c>
      <c r="Q1394" s="521">
        <f>U1394="L001-901905215"</f>
        <v/>
      </c>
      <c r="R1394" s="556">
        <f>G1394-W1394</f>
        <v/>
      </c>
      <c r="S1394" s="523" t="n">
        <v>44284</v>
      </c>
      <c r="T1394" s="522" t="inlineStr">
        <is>
          <t>000172</t>
        </is>
      </c>
      <c r="U1394" s="522" t="inlineStr">
        <is>
          <t>L001-901905215</t>
        </is>
      </c>
      <c r="V1394" s="522" t="inlineStr">
        <is>
          <t>វីអ៊ីស៊ិន (ខេមបូឌា) អ៊ិនដាសស្ទ្រី ឯ.ក</t>
        </is>
      </c>
      <c r="W1394" s="556" t="n">
        <v>16909257</v>
      </c>
    </row>
    <row r="1395">
      <c r="A1395" s="521" t="n">
        <v>1387</v>
      </c>
      <c r="B1395" s="522" t="inlineStr">
        <is>
          <t>(ផ្លាក) Paper Label</t>
        </is>
      </c>
      <c r="C1395" s="522" t="inlineStr">
        <is>
          <t>ស៊ីន ហ្វី យ៉ាង ព្រីនធីង &amp; អិកសេសសឺរី ឯ.ក</t>
        </is>
      </c>
      <c r="D1395" s="522" t="inlineStr">
        <is>
          <t>K010-901906822</t>
        </is>
      </c>
      <c r="E1395" s="521" t="inlineStr">
        <is>
          <t>XFY-YD2021048</t>
        </is>
      </c>
      <c r="F1395" s="523" t="n">
        <v>44284</v>
      </c>
      <c r="G1395" s="556" t="n">
        <v>8098482</v>
      </c>
      <c r="I1395" s="521">
        <f>G1395</f>
        <v/>
      </c>
      <c r="K1395" s="521">
        <f>I1395-G1395</f>
        <v/>
      </c>
      <c r="M1395" s="522" t="inlineStr">
        <is>
          <t>XFYYD2021048</t>
        </is>
      </c>
      <c r="N1395" s="522" t="inlineStr">
        <is>
          <t>XFYYD2021048</t>
        </is>
      </c>
      <c r="O1395" s="521">
        <f>M1395=N1395</f>
        <v/>
      </c>
      <c r="P1395" s="521">
        <f>AND(MONTH(F1395)=MONTH(S1395), YEAR(F1395)=YEAR(S1395))</f>
        <v/>
      </c>
      <c r="Q1395" s="521">
        <f>U1395="L001-901905215"</f>
        <v/>
      </c>
      <c r="R1395" s="556">
        <f>G1395-W1395</f>
        <v/>
      </c>
      <c r="S1395" s="523" t="n">
        <v>44284</v>
      </c>
      <c r="T1395" s="522" t="inlineStr">
        <is>
          <t>XFY-YD2021048</t>
        </is>
      </c>
      <c r="U1395" s="522" t="inlineStr">
        <is>
          <t>L001-901905215</t>
        </is>
      </c>
      <c r="V1395" s="522" t="inlineStr">
        <is>
          <t>វីអ៊ីស៊ិន (ខេមបូឌា) អ៊ិនដាសស្ទ្រី ឯ.ក</t>
        </is>
      </c>
      <c r="W1395" s="556" t="n">
        <v>8098482</v>
      </c>
    </row>
    <row r="1396">
      <c r="A1396" s="521" t="n">
        <v>1388</v>
      </c>
      <c r="B1396" s="522" t="inlineStr">
        <is>
          <t>គ្រាប់ជ័រ PVC 38 ស white Recycle</t>
        </is>
      </c>
      <c r="C1396" s="522" t="inlineStr">
        <is>
          <t>សេង ម៉ុយ ជុង លី (ខេមបូឌា) អាហ្រ្គោ - ខេមីខល</t>
        </is>
      </c>
      <c r="D1396" s="522" t="inlineStr">
        <is>
          <t>L001-100084087</t>
        </is>
      </c>
      <c r="E1396" s="521" t="inlineStr">
        <is>
          <t>SM21000002</t>
        </is>
      </c>
      <c r="F1396" s="523" t="n">
        <v>44268</v>
      </c>
      <c r="G1396" s="556" t="n">
        <v>3722490</v>
      </c>
      <c r="I1396" s="521">
        <f>G1396</f>
        <v/>
      </c>
      <c r="K1396" s="521">
        <f>I1396-G1396</f>
        <v/>
      </c>
      <c r="M1396" s="522" t="inlineStr">
        <is>
          <t>SM21000002</t>
        </is>
      </c>
      <c r="N1396" s="522" t="inlineStr">
        <is>
          <t>SM21000002</t>
        </is>
      </c>
      <c r="O1396" s="521">
        <f>M1396=N1396</f>
        <v/>
      </c>
      <c r="P1396" s="521">
        <f>AND(MONTH(F1396)=MONTH(S1396), YEAR(F1396)=YEAR(S1396))</f>
        <v/>
      </c>
      <c r="Q1396" s="521">
        <f>U1396="L001-901905215"</f>
        <v/>
      </c>
      <c r="R1396" s="556">
        <f>G1396-W1396</f>
        <v/>
      </c>
      <c r="S1396" s="523" t="n">
        <v>44268</v>
      </c>
      <c r="T1396" s="522" t="inlineStr">
        <is>
          <t>SM21000002</t>
        </is>
      </c>
      <c r="U1396" s="522" t="inlineStr">
        <is>
          <t>L001-901905215</t>
        </is>
      </c>
      <c r="V1396" s="522" t="inlineStr">
        <is>
          <t>វីអ៊ីស៊ិន (ខេមបូឌា) អ៊ិនដាសស្ទ្រី ឯ.ក</t>
        </is>
      </c>
      <c r="W1396" s="556" t="n">
        <v>3722490</v>
      </c>
    </row>
    <row r="1397">
      <c r="A1397" s="521" t="n">
        <v>1389</v>
      </c>
      <c r="B1397" s="522" t="inlineStr">
        <is>
          <t>G40 PET BILISTER COVER (26*17*2.3CM)</t>
        </is>
      </c>
      <c r="C1397" s="522" t="inlineStr">
        <is>
          <t>ខេមបូឌាន វ៉ាយភីស៊ី ត្រេឌីង ឯ.ក</t>
        </is>
      </c>
      <c r="D1397" s="522" t="inlineStr">
        <is>
          <t>B108-901904896</t>
        </is>
      </c>
      <c r="E1397" s="521" t="inlineStr">
        <is>
          <t>YPC2021/03-007</t>
        </is>
      </c>
      <c r="F1397" s="523" t="n">
        <v>44264</v>
      </c>
      <c r="G1397" s="556" t="n">
        <v>3137438</v>
      </c>
      <c r="I1397" s="521">
        <f>G1397</f>
        <v/>
      </c>
      <c r="K1397" s="521">
        <f>I1397-G1397</f>
        <v/>
      </c>
      <c r="M1397" s="522" t="inlineStr">
        <is>
          <t>YPC202103007</t>
        </is>
      </c>
      <c r="N1397" s="522" t="inlineStr"/>
      <c r="O1397" s="521">
        <f>M1397=N1397</f>
        <v/>
      </c>
      <c r="P1397" s="521">
        <f>AND(MONTH(F1397)=MONTH(S1397), YEAR(F1397)=YEAR(S1397))</f>
        <v/>
      </c>
      <c r="Q1397" s="521">
        <f>U1397="L001-901905215"</f>
        <v/>
      </c>
      <c r="R1397" s="556">
        <f>G1397-W1397</f>
        <v/>
      </c>
      <c r="S1397" s="521" t="n"/>
      <c r="T1397" s="522" t="n"/>
      <c r="U1397" s="522" t="n"/>
      <c r="V1397" s="522" t="n"/>
      <c r="W1397" s="521" t="n"/>
    </row>
    <row r="1398">
      <c r="A1398" s="521" t="n">
        <v>1390</v>
      </c>
      <c r="B1398" s="522" t="inlineStr">
        <is>
          <t>Color Box, Display Color, Paper Card</t>
        </is>
      </c>
      <c r="C1398" s="522" t="inlineStr">
        <is>
          <t>វ៉ាយ.ស៊ី ផេកខេជីង ឯ.ក</t>
        </is>
      </c>
      <c r="D1398" s="522" t="inlineStr">
        <is>
          <t>L001-901700417</t>
        </is>
      </c>
      <c r="E1398" s="521" t="inlineStr">
        <is>
          <t>TI0035</t>
        </is>
      </c>
      <c r="F1398" s="523" t="n">
        <v>44286</v>
      </c>
      <c r="G1398" s="556" t="n">
        <v>35241181</v>
      </c>
      <c r="I1398" s="521">
        <f>G1398</f>
        <v/>
      </c>
      <c r="K1398" s="521">
        <f>I1398-G1398</f>
        <v/>
      </c>
      <c r="M1398" s="522" t="inlineStr">
        <is>
          <t>TI0035</t>
        </is>
      </c>
      <c r="N1398" s="522" t="inlineStr">
        <is>
          <t>TI0035</t>
        </is>
      </c>
      <c r="O1398" s="521">
        <f>M1398=N1398</f>
        <v/>
      </c>
      <c r="P1398" s="521">
        <f>AND(MONTH(F1398)=MONTH(S1398), YEAR(F1398)=YEAR(S1398))</f>
        <v/>
      </c>
      <c r="Q1398" s="521">
        <f>U1398="L001-901905215"</f>
        <v/>
      </c>
      <c r="R1398" s="556">
        <f>G1398-W1398</f>
        <v/>
      </c>
      <c r="S1398" s="523" t="n">
        <v>44286</v>
      </c>
      <c r="T1398" s="522" t="inlineStr">
        <is>
          <t>TI0035</t>
        </is>
      </c>
      <c r="U1398" s="522" t="inlineStr">
        <is>
          <t>L001-901905215</t>
        </is>
      </c>
      <c r="V1398" s="522" t="inlineStr">
        <is>
          <t>វីអ៊ីស៊ិន (ខេមបូឌា) អ៊ិនដាសស្ទ្រី ឯ.ក</t>
        </is>
      </c>
      <c r="W1398" s="556" t="n">
        <v>35241180</v>
      </c>
    </row>
    <row r="1399">
      <c r="A1399" s="521" t="n">
        <v>1391</v>
      </c>
      <c r="B1399" s="522" t="inlineStr">
        <is>
          <t>ក្រដាសកាតុងធើ្វកេស</t>
        </is>
      </c>
      <c r="C1399" s="522" t="inlineStr">
        <is>
          <t>ជា យូ អាង ផេកខេកជីង មេធៀរៀល (ខេមបូឌា) ឯ.ក</t>
        </is>
      </c>
      <c r="D1399" s="522" t="inlineStr">
        <is>
          <t>L001-901903560</t>
        </is>
      </c>
      <c r="E1399" s="521" t="inlineStr">
        <is>
          <t>JYA202100132</t>
        </is>
      </c>
      <c r="F1399" s="523" t="n">
        <v>44286</v>
      </c>
      <c r="G1399" s="556" t="n">
        <v>1699091</v>
      </c>
      <c r="I1399" s="521">
        <f>G1399</f>
        <v/>
      </c>
      <c r="K1399" s="521">
        <f>I1399-G1399</f>
        <v/>
      </c>
      <c r="M1399" s="522" t="inlineStr">
        <is>
          <t>JYA202100132</t>
        </is>
      </c>
      <c r="N1399" s="522" t="inlineStr">
        <is>
          <t>JYA202100132</t>
        </is>
      </c>
      <c r="O1399" s="521">
        <f>M1399=N1399</f>
        <v/>
      </c>
      <c r="P1399" s="521">
        <f>AND(MONTH(F1399)=MONTH(S1399), YEAR(F1399)=YEAR(S1399))</f>
        <v/>
      </c>
      <c r="Q1399" s="521">
        <f>U1399="L001-901905215"</f>
        <v/>
      </c>
      <c r="R1399" s="556">
        <f>G1399-W1399</f>
        <v/>
      </c>
      <c r="S1399" s="523" t="n">
        <v>44286</v>
      </c>
      <c r="T1399" s="522" t="inlineStr">
        <is>
          <t>JYA202100132</t>
        </is>
      </c>
      <c r="U1399" s="522" t="inlineStr">
        <is>
          <t>L001-901905215</t>
        </is>
      </c>
      <c r="V1399" s="522" t="inlineStr">
        <is>
          <t>វីអ៊ីស៊ិន (ខេមបូឌា) អ៊ិនដាសស្ទ្រី ឯ.ក</t>
        </is>
      </c>
      <c r="W1399" s="556" t="n">
        <v>1699091</v>
      </c>
    </row>
    <row r="1400">
      <c r="A1400" s="521" t="n">
        <v>1392</v>
      </c>
      <c r="B1400" s="522" t="inlineStr">
        <is>
          <t>Express Fee</t>
        </is>
      </c>
      <c r="C1400" s="522" t="inlineStr">
        <is>
          <t>ឌី អេច អិល អិចប្រេស (ខេមបូឌា)</t>
        </is>
      </c>
      <c r="D1400" s="522" t="inlineStr">
        <is>
          <t>L001-100045197</t>
        </is>
      </c>
      <c r="E1400" s="521" t="inlineStr">
        <is>
          <t>PHHR000374143</t>
        </is>
      </c>
      <c r="F1400" s="523" t="n">
        <v>44266</v>
      </c>
      <c r="G1400" s="556" t="n">
        <v>86570</v>
      </c>
      <c r="I1400" s="521">
        <f>G1400</f>
        <v/>
      </c>
      <c r="K1400" s="521">
        <f>I1400-G1400</f>
        <v/>
      </c>
      <c r="M1400" s="522" t="inlineStr">
        <is>
          <t>PHHR000374143</t>
        </is>
      </c>
      <c r="N1400" s="522" t="inlineStr"/>
      <c r="O1400" s="521">
        <f>M1400=N1400</f>
        <v/>
      </c>
      <c r="P1400" s="521">
        <f>AND(MONTH(F1400)=MONTH(S1400), YEAR(F1400)=YEAR(S1400))</f>
        <v/>
      </c>
      <c r="Q1400" s="521">
        <f>U1400="L001-901905215"</f>
        <v/>
      </c>
      <c r="R1400" s="556">
        <f>G1400-W1400</f>
        <v/>
      </c>
      <c r="S1400" s="521" t="n"/>
      <c r="T1400" s="522" t="n"/>
      <c r="U1400" s="522" t="n"/>
      <c r="V1400" s="522" t="n"/>
      <c r="W1400" s="521" t="n"/>
    </row>
    <row r="1401">
      <c r="A1401" s="521" t="n">
        <v>1393</v>
      </c>
      <c r="B1401" s="522" t="inlineStr">
        <is>
          <t>Express Fee</t>
        </is>
      </c>
      <c r="C1401" s="522" t="inlineStr">
        <is>
          <t>ឌី អេច អិល អិចប្រេស (ខេមបូឌា)</t>
        </is>
      </c>
      <c r="D1401" s="522" t="inlineStr">
        <is>
          <t>L001-100045197</t>
        </is>
      </c>
      <c r="E1401" s="521" t="inlineStr">
        <is>
          <t>PNHR000375045</t>
        </is>
      </c>
      <c r="F1401" s="523" t="n">
        <v>44273</v>
      </c>
      <c r="G1401" s="556" t="n">
        <v>85864</v>
      </c>
      <c r="I1401" s="521">
        <f>G1401</f>
        <v/>
      </c>
      <c r="K1401" s="521">
        <f>I1401-G1401</f>
        <v/>
      </c>
      <c r="M1401" s="522" t="inlineStr">
        <is>
          <t>PNHR000375045</t>
        </is>
      </c>
      <c r="N1401" s="522" t="inlineStr"/>
      <c r="O1401" s="521">
        <f>M1401=N1401</f>
        <v/>
      </c>
      <c r="P1401" s="521">
        <f>AND(MONTH(F1401)=MONTH(S1401), YEAR(F1401)=YEAR(S1401))</f>
        <v/>
      </c>
      <c r="Q1401" s="521">
        <f>U1401="L001-901905215"</f>
        <v/>
      </c>
      <c r="R1401" s="556">
        <f>G1401-W1401</f>
        <v/>
      </c>
      <c r="S1401" s="521" t="n"/>
      <c r="T1401" s="522" t="n"/>
      <c r="U1401" s="522" t="n"/>
      <c r="V1401" s="522" t="n"/>
      <c r="W1401" s="521" t="n"/>
    </row>
    <row r="1402">
      <c r="A1402" s="521" t="n">
        <v>1394</v>
      </c>
      <c r="B1402" s="522" t="inlineStr">
        <is>
          <t>Express Fee</t>
        </is>
      </c>
      <c r="C1402" s="522" t="inlineStr">
        <is>
          <t>ឌី អេច អិល អិចប្រេស (ខេមបូឌា)</t>
        </is>
      </c>
      <c r="D1402" s="522" t="inlineStr">
        <is>
          <t>L001-100045197</t>
        </is>
      </c>
      <c r="E1402" s="521" t="inlineStr">
        <is>
          <t>PNHR000375896</t>
        </is>
      </c>
      <c r="F1402" s="523" t="n">
        <v>44280</v>
      </c>
      <c r="G1402" s="556" t="n">
        <v>11661</v>
      </c>
      <c r="I1402" s="521">
        <f>G1402</f>
        <v/>
      </c>
      <c r="K1402" s="521">
        <f>I1402-G1402</f>
        <v/>
      </c>
      <c r="M1402" s="522" t="inlineStr">
        <is>
          <t>PNHR000375896</t>
        </is>
      </c>
      <c r="N1402" s="522" t="inlineStr"/>
      <c r="O1402" s="521">
        <f>M1402=N1402</f>
        <v/>
      </c>
      <c r="P1402" s="521">
        <f>AND(MONTH(F1402)=MONTH(S1402), YEAR(F1402)=YEAR(S1402))</f>
        <v/>
      </c>
      <c r="Q1402" s="521">
        <f>U1402="L001-901905215"</f>
        <v/>
      </c>
      <c r="R1402" s="556">
        <f>G1402-W1402</f>
        <v/>
      </c>
      <c r="S1402" s="521" t="n"/>
      <c r="T1402" s="522" t="n"/>
      <c r="U1402" s="522" t="n"/>
      <c r="V1402" s="522" t="n"/>
      <c r="W1402" s="521" t="n"/>
    </row>
    <row r="1403">
      <c r="A1403" s="521" t="n">
        <v>1395</v>
      </c>
      <c r="B1403" s="522" t="inlineStr">
        <is>
          <t>Express Fee</t>
        </is>
      </c>
      <c r="C1403" s="522" t="inlineStr">
        <is>
          <t>ឌី អេច អិល អិចប្រេស (ខេមបូឌា)</t>
        </is>
      </c>
      <c r="D1403" s="522" t="inlineStr">
        <is>
          <t>L001-100045197</t>
        </is>
      </c>
      <c r="E1403" s="521" t="inlineStr">
        <is>
          <t>PNHR000376722</t>
        </is>
      </c>
      <c r="F1403" s="523" t="n">
        <v>44286</v>
      </c>
      <c r="G1403" s="556" t="n">
        <v>20865</v>
      </c>
      <c r="I1403" s="521">
        <f>G1403</f>
        <v/>
      </c>
      <c r="K1403" s="521">
        <f>I1403-G1403</f>
        <v/>
      </c>
      <c r="M1403" s="522" t="inlineStr">
        <is>
          <t>PNHR000376722</t>
        </is>
      </c>
      <c r="N1403" s="522" t="inlineStr"/>
      <c r="O1403" s="521">
        <f>M1403=N1403</f>
        <v/>
      </c>
      <c r="P1403" s="521">
        <f>AND(MONTH(F1403)=MONTH(S1403), YEAR(F1403)=YEAR(S1403))</f>
        <v/>
      </c>
      <c r="Q1403" s="521">
        <f>U1403="L001-901905215"</f>
        <v/>
      </c>
      <c r="R1403" s="556">
        <f>G1403-W1403</f>
        <v/>
      </c>
      <c r="S1403" s="521" t="n"/>
      <c r="T1403" s="522" t="n"/>
      <c r="U1403" s="522" t="n"/>
      <c r="V1403" s="522" t="n"/>
      <c r="W1403" s="521" t="n"/>
    </row>
    <row r="1404">
      <c r="A1404" s="521" t="n">
        <v>1396</v>
      </c>
      <c r="B1404" s="522" t="inlineStr">
        <is>
          <t>កាវបិចទួភ្លើង</t>
        </is>
      </c>
      <c r="C1404" s="522" t="inlineStr">
        <is>
          <t>ដាប់បែលយូ.អិល.អិម សប</t>
        </is>
      </c>
      <c r="D1404" s="522" t="inlineStr">
        <is>
          <t>K010-901701900</t>
        </is>
      </c>
      <c r="E1404" s="521" t="inlineStr">
        <is>
          <t>000007</t>
        </is>
      </c>
      <c r="F1404" s="523" t="n">
        <v>44256</v>
      </c>
      <c r="G1404" s="556" t="n">
        <v>175867</v>
      </c>
      <c r="I1404" s="521">
        <f>G1404</f>
        <v/>
      </c>
      <c r="K1404" s="521">
        <f>I1404-G1404</f>
        <v/>
      </c>
      <c r="M1404" s="522" t="inlineStr">
        <is>
          <t>000007</t>
        </is>
      </c>
      <c r="N1404" s="522" t="inlineStr"/>
      <c r="O1404" s="521">
        <f>M1404=N1404</f>
        <v/>
      </c>
      <c r="P1404" s="521">
        <f>AND(MONTH(F1404)=MONTH(S1404), YEAR(F1404)=YEAR(S1404))</f>
        <v/>
      </c>
      <c r="Q1404" s="521">
        <f>U1404="L001-901905215"</f>
        <v/>
      </c>
      <c r="R1404" s="556">
        <f>G1404-W1404</f>
        <v/>
      </c>
      <c r="S1404" s="521" t="n"/>
      <c r="T1404" s="522" t="n"/>
      <c r="U1404" s="522" t="n"/>
      <c r="V1404" s="522" t="n"/>
      <c r="W1404" s="521" t="n"/>
    </row>
    <row r="1405">
      <c r="A1405" s="521" t="n">
        <v>1397</v>
      </c>
      <c r="B1405" s="522" t="inlineStr">
        <is>
          <t>បង់​ប្រមួលសំរាមខែ​ មីនា-2021</t>
        </is>
      </c>
      <c r="C1405" s="522" t="inlineStr">
        <is>
          <t>ហ្គោមី រីសាយឃល110</t>
        </is>
      </c>
      <c r="D1405" s="522" t="inlineStr">
        <is>
          <t>K010-901503890</t>
        </is>
      </c>
      <c r="E1405" s="521" t="inlineStr">
        <is>
          <t>GR-RE21/02-019</t>
        </is>
      </c>
      <c r="F1405" s="523" t="n">
        <v>44286</v>
      </c>
      <c r="G1405" s="556" t="n">
        <v>16180</v>
      </c>
      <c r="I1405" s="521">
        <f>G1405</f>
        <v/>
      </c>
      <c r="K1405" s="521">
        <f>I1405-G1405</f>
        <v/>
      </c>
      <c r="M1405" s="522" t="inlineStr">
        <is>
          <t>GRRE2102019</t>
        </is>
      </c>
      <c r="N1405" s="522" t="inlineStr"/>
      <c r="O1405" s="521">
        <f>M1405=N1405</f>
        <v/>
      </c>
      <c r="P1405" s="521">
        <f>AND(MONTH(F1405)=MONTH(S1405), YEAR(F1405)=YEAR(S1405))</f>
        <v/>
      </c>
      <c r="Q1405" s="521">
        <f>U1405="L001-901905215"</f>
        <v/>
      </c>
      <c r="R1405" s="556">
        <f>G1405-W1405</f>
        <v/>
      </c>
      <c r="S1405" s="521" t="n"/>
      <c r="T1405" s="522" t="n"/>
      <c r="U1405" s="522" t="n"/>
      <c r="V1405" s="522" t="n"/>
      <c r="W1405" s="521" t="n"/>
    </row>
    <row r="1406">
      <c r="A1406" s="521" t="n">
        <v>1398</v>
      </c>
      <c r="B1406" s="522" t="inlineStr">
        <is>
          <t>សេវាសន្តិសុខប្រចាំខែ មីនា​​ -2021</t>
        </is>
      </c>
      <c r="C1406" s="522" t="inlineStr">
        <is>
          <t>សហ័ស សិឃ្យូរិធី ឯ.ក</t>
        </is>
      </c>
      <c r="D1406" s="522" t="inlineStr">
        <is>
          <t>K010-107032600</t>
        </is>
      </c>
      <c r="E1406" s="521" t="inlineStr">
        <is>
          <t>SHTI210105</t>
        </is>
      </c>
      <c r="F1406" s="523" t="n">
        <v>44280</v>
      </c>
      <c r="G1406" s="556" t="n">
        <v>226520</v>
      </c>
      <c r="I1406" s="521">
        <f>G1406</f>
        <v/>
      </c>
      <c r="K1406" s="521">
        <f>I1406-G1406</f>
        <v/>
      </c>
      <c r="M1406" s="522" t="inlineStr">
        <is>
          <t>SHTI210105</t>
        </is>
      </c>
      <c r="N1406" s="522" t="inlineStr">
        <is>
          <t>SHTI210105</t>
        </is>
      </c>
      <c r="O1406" s="521">
        <f>M1406=N1406</f>
        <v/>
      </c>
      <c r="P1406" s="521">
        <f>AND(MONTH(F1406)=MONTH(S1406), YEAR(F1406)=YEAR(S1406))</f>
        <v/>
      </c>
      <c r="Q1406" s="521">
        <f>U1406="L001-901905215"</f>
        <v/>
      </c>
      <c r="R1406" s="556">
        <f>G1406-W1406</f>
        <v/>
      </c>
      <c r="S1406" s="523" t="n">
        <v>44280</v>
      </c>
      <c r="T1406" s="522" t="inlineStr">
        <is>
          <t>SHTI210105</t>
        </is>
      </c>
      <c r="U1406" s="522" t="inlineStr">
        <is>
          <t>L001-901905215</t>
        </is>
      </c>
      <c r="V1406" s="522" t="inlineStr">
        <is>
          <t>វីអ៊ីស៊ិន (ខេមបូឌា) អ៊ិនដាសស្ទ្រី ឯ.ក</t>
        </is>
      </c>
      <c r="W1406" s="556" t="n">
        <v>226520</v>
      </c>
    </row>
    <row r="1407">
      <c r="A1407" s="521" t="n">
        <v>1399</v>
      </c>
      <c r="B1407" s="522" t="inlineStr">
        <is>
          <t>ថៃរទាំហេដ្ឌារចនាសម្ភន្ធ័</t>
        </is>
      </c>
      <c r="C1407" s="522" t="inlineStr">
        <is>
          <t>ភ្នំពេញ អេសអ៊ីហ្សិត ភីអិលស៊ី</t>
        </is>
      </c>
      <c r="D1407" s="522" t="inlineStr">
        <is>
          <t>L001-100046592</t>
        </is>
      </c>
      <c r="E1407" s="521" t="inlineStr">
        <is>
          <t>2021-01200</t>
        </is>
      </c>
      <c r="F1407" s="523" t="n">
        <v>44271</v>
      </c>
      <c r="G1407" s="556" t="n">
        <v>163977</v>
      </c>
      <c r="I1407" s="521">
        <f>G1407</f>
        <v/>
      </c>
      <c r="K1407" s="521">
        <f>I1407-G1407</f>
        <v/>
      </c>
      <c r="M1407" s="522" t="inlineStr">
        <is>
          <t>202101200</t>
        </is>
      </c>
      <c r="N1407" s="522" t="inlineStr">
        <is>
          <t>202101200</t>
        </is>
      </c>
      <c r="O1407" s="521">
        <f>M1407=N1407</f>
        <v/>
      </c>
      <c r="P1407" s="521">
        <f>AND(MONTH(F1407)=MONTH(S1407), YEAR(F1407)=YEAR(S1407))</f>
        <v/>
      </c>
      <c r="Q1407" s="521">
        <f>U1407="L001-901905215"</f>
        <v/>
      </c>
      <c r="R1407" s="556">
        <f>G1407-W1407</f>
        <v/>
      </c>
      <c r="S1407" s="523" t="n">
        <v>44271</v>
      </c>
      <c r="T1407" s="522" t="inlineStr">
        <is>
          <t>2021-01200</t>
        </is>
      </c>
      <c r="U1407" s="522" t="inlineStr">
        <is>
          <t>L001-901905215</t>
        </is>
      </c>
      <c r="V1407" s="522" t="inlineStr">
        <is>
          <t>វីអ៊ីស៊ិន (ខេមបូឌា) អ៊ិនដាសស្ទ្រី ឯ.ក</t>
        </is>
      </c>
      <c r="W1407" s="556" t="n">
        <v>163976</v>
      </c>
    </row>
    <row r="1408">
      <c r="A1408" s="521" t="n">
        <v>1400</v>
      </c>
      <c r="B1408" s="522" t="inlineStr">
        <is>
          <t>ថៃរទាំហេដ្ឌារចនាសម្ភន្ធ័</t>
        </is>
      </c>
      <c r="C1408" s="522" t="inlineStr">
        <is>
          <t>ភ្នំពេញ អេសអ៊ីហ្សិត ភីអិលស៊ី</t>
        </is>
      </c>
      <c r="D1408" s="522" t="inlineStr">
        <is>
          <t>L001-100046592</t>
        </is>
      </c>
      <c r="E1408" s="521" t="inlineStr">
        <is>
          <t>2021-01191</t>
        </is>
      </c>
      <c r="F1408" s="523" t="n">
        <v>44271</v>
      </c>
      <c r="G1408" s="556" t="n">
        <v>199650</v>
      </c>
      <c r="I1408" s="521">
        <f>G1408</f>
        <v/>
      </c>
      <c r="K1408" s="521">
        <f>I1408-G1408</f>
        <v/>
      </c>
      <c r="M1408" s="522" t="inlineStr">
        <is>
          <t>202101191</t>
        </is>
      </c>
      <c r="N1408" s="522" t="inlineStr">
        <is>
          <t>202101191</t>
        </is>
      </c>
      <c r="O1408" s="521">
        <f>M1408=N1408</f>
        <v/>
      </c>
      <c r="P1408" s="521">
        <f>AND(MONTH(F1408)=MONTH(S1408), YEAR(F1408)=YEAR(S1408))</f>
        <v/>
      </c>
      <c r="Q1408" s="521">
        <f>U1408="L001-901905215"</f>
        <v/>
      </c>
      <c r="R1408" s="556">
        <f>G1408-W1408</f>
        <v/>
      </c>
      <c r="S1408" s="523" t="n">
        <v>44271</v>
      </c>
      <c r="T1408" s="522" t="inlineStr">
        <is>
          <t>2021-01191</t>
        </is>
      </c>
      <c r="U1408" s="522" t="inlineStr">
        <is>
          <t>L001-901905215</t>
        </is>
      </c>
      <c r="V1408" s="522" t="inlineStr">
        <is>
          <t>វីអ៊ីស៊ិន (ខេមបូឌា) អ៊ិនដាសស្ទ្រី ឯ.ក</t>
        </is>
      </c>
      <c r="W1408" s="556" t="n">
        <v>199649</v>
      </c>
    </row>
    <row r="1409">
      <c r="A1409" s="521" t="n">
        <v>1401</v>
      </c>
      <c r="B1409" s="522" t="inlineStr">
        <is>
          <t xml:space="preserve">Express Fee </t>
        </is>
      </c>
      <c r="C1409" s="522" t="inlineStr">
        <is>
          <t>ឌី អេច អិល អិចប្រេស (ខេមបូឌា)</t>
        </is>
      </c>
      <c r="D1409" s="522" t="inlineStr">
        <is>
          <t>L001-100045197</t>
        </is>
      </c>
      <c r="E1409" s="521" t="inlineStr">
        <is>
          <t>PNHR000415423</t>
        </is>
      </c>
      <c r="F1409" s="523" t="n">
        <v>44637</v>
      </c>
      <c r="G1409" s="556" t="n">
        <v>16221</v>
      </c>
      <c r="I1409" s="521">
        <f>G1409</f>
        <v/>
      </c>
      <c r="K1409" s="521">
        <f>I1409-G1409</f>
        <v/>
      </c>
      <c r="M1409" s="522" t="inlineStr">
        <is>
          <t>PNHR000415423</t>
        </is>
      </c>
      <c r="N1409" s="522" t="inlineStr"/>
      <c r="O1409" s="521">
        <f>M1409=N1409</f>
        <v/>
      </c>
      <c r="P1409" s="521">
        <f>AND(MONTH(F1409)=MONTH(S1409), YEAR(F1409)=YEAR(S1409))</f>
        <v/>
      </c>
      <c r="Q1409" s="521">
        <f>U1409="L001-901905215"</f>
        <v/>
      </c>
      <c r="R1409" s="556">
        <f>G1409-W1409</f>
        <v/>
      </c>
      <c r="S1409" s="521" t="n"/>
      <c r="T1409" s="522" t="n"/>
      <c r="U1409" s="522" t="n"/>
      <c r="V1409" s="522" t="n"/>
      <c r="W1409" s="521" t="n"/>
    </row>
    <row r="1410">
      <c r="A1410" s="521" t="n">
        <v>1402</v>
      </c>
      <c r="B1410" s="522" t="inlineStr">
        <is>
          <t>Carton Paper</t>
        </is>
      </c>
      <c r="C1410" s="522" t="inlineStr">
        <is>
          <t>យី មីង ភែកឃីជីង ឯ.ក</t>
        </is>
      </c>
      <c r="D1410" s="522" t="inlineStr">
        <is>
          <t>B108-902101335</t>
        </is>
      </c>
      <c r="E1410" s="521" t="inlineStr">
        <is>
          <t>YM-0008</t>
        </is>
      </c>
      <c r="F1410" s="523" t="n">
        <v>44651</v>
      </c>
      <c r="G1410" s="556" t="n">
        <v>2242323</v>
      </c>
      <c r="I1410" s="521">
        <f>G1410</f>
        <v/>
      </c>
      <c r="K1410" s="521">
        <f>I1410-G1410</f>
        <v/>
      </c>
      <c r="M1410" s="522" t="inlineStr">
        <is>
          <t>YM0008</t>
        </is>
      </c>
      <c r="N1410" s="522" t="inlineStr">
        <is>
          <t>YM0008</t>
        </is>
      </c>
      <c r="O1410" s="521">
        <f>M1410=N1410</f>
        <v/>
      </c>
      <c r="P1410" s="521">
        <f>AND(MONTH(F1410)=MONTH(S1410), YEAR(F1410)=YEAR(S1410))</f>
        <v/>
      </c>
      <c r="Q1410" s="521">
        <f>U1410="L001-901905215"</f>
        <v/>
      </c>
      <c r="R1410" s="556">
        <f>G1410-W1410</f>
        <v/>
      </c>
      <c r="S1410" s="523" t="n">
        <v>44651</v>
      </c>
      <c r="T1410" s="522" t="inlineStr">
        <is>
          <t>YM-0008</t>
        </is>
      </c>
      <c r="U1410" s="522" t="inlineStr">
        <is>
          <t>L001-901905215</t>
        </is>
      </c>
      <c r="V1410" s="522" t="inlineStr">
        <is>
          <t>វីអ៊ីស៊ិន (ខេមបូឌា) អ៊ិនដាសស្ទ្រី ឯ.ក</t>
        </is>
      </c>
      <c r="W1410" s="556" t="n">
        <v>2242323</v>
      </c>
    </row>
    <row r="1411">
      <c r="A1411" s="521" t="n">
        <v>1403</v>
      </c>
      <c r="B1411" s="522" t="inlineStr">
        <is>
          <t>Inspection Service Fee</t>
        </is>
      </c>
      <c r="C1411" s="522" t="inlineStr">
        <is>
          <t>ប្យួរ៉ូ វេរីតាស (ខេមបូឌា) លីមីធីត</t>
        </is>
      </c>
      <c r="D1411" s="522" t="inlineStr">
        <is>
          <t>L001-107024462</t>
        </is>
      </c>
      <c r="E1411" s="521" t="inlineStr">
        <is>
          <t>59012048</t>
        </is>
      </c>
      <c r="F1411" s="523" t="n">
        <v>44651</v>
      </c>
      <c r="G1411" s="556" t="n">
        <v>54859</v>
      </c>
      <c r="I1411" s="521">
        <f>G1411</f>
        <v/>
      </c>
      <c r="K1411" s="521">
        <f>I1411-G1411</f>
        <v/>
      </c>
      <c r="M1411" s="522" t="inlineStr">
        <is>
          <t>59012048</t>
        </is>
      </c>
      <c r="N1411" s="522" t="inlineStr">
        <is>
          <t>59012048</t>
        </is>
      </c>
      <c r="O1411" s="521">
        <f>M1411=N1411</f>
        <v/>
      </c>
      <c r="P1411" s="521">
        <f>AND(MONTH(F1411)=MONTH(S1411), YEAR(F1411)=YEAR(S1411))</f>
        <v/>
      </c>
      <c r="Q1411" s="521">
        <f>U1411="L001-901905215"</f>
        <v/>
      </c>
      <c r="R1411" s="556">
        <f>G1411-W1411</f>
        <v/>
      </c>
      <c r="S1411" s="523" t="n">
        <v>44651</v>
      </c>
      <c r="T1411" s="522" t="inlineStr">
        <is>
          <t>59012048</t>
        </is>
      </c>
      <c r="U1411" s="522" t="inlineStr">
        <is>
          <t>L001-901905215</t>
        </is>
      </c>
      <c r="V1411" s="522" t="inlineStr">
        <is>
          <t>វីអ៊ីស៊ិន (ខេមបូឌា) អ៊ិនដាសស្ទ្រី ឯ.ក</t>
        </is>
      </c>
      <c r="W1411" s="556" t="n">
        <v>54859</v>
      </c>
    </row>
    <row r="1412">
      <c r="A1412" s="521" t="n">
        <v>1404</v>
      </c>
      <c r="B1412" s="522" t="inlineStr">
        <is>
          <t>Inspection Service Fee</t>
        </is>
      </c>
      <c r="C1412" s="522" t="inlineStr">
        <is>
          <t>ប្យួរ៉ូ វេរីតាស (ខេមបូឌា) លីមីធីត</t>
        </is>
      </c>
      <c r="D1412" s="522" t="inlineStr">
        <is>
          <t>L001-107024462</t>
        </is>
      </c>
      <c r="E1412" s="521" t="inlineStr">
        <is>
          <t>59012018</t>
        </is>
      </c>
      <c r="F1412" s="523" t="n">
        <v>44645</v>
      </c>
      <c r="G1412" s="556" t="n">
        <v>54859</v>
      </c>
      <c r="I1412" s="521">
        <f>G1412</f>
        <v/>
      </c>
      <c r="K1412" s="521">
        <f>I1412-G1412</f>
        <v/>
      </c>
      <c r="M1412" s="522" t="inlineStr">
        <is>
          <t>59012018</t>
        </is>
      </c>
      <c r="N1412" s="522" t="inlineStr">
        <is>
          <t>59012018</t>
        </is>
      </c>
      <c r="O1412" s="521">
        <f>M1412=N1412</f>
        <v/>
      </c>
      <c r="P1412" s="521">
        <f>AND(MONTH(F1412)=MONTH(S1412), YEAR(F1412)=YEAR(S1412))</f>
        <v/>
      </c>
      <c r="Q1412" s="521">
        <f>U1412="L001-901905215"</f>
        <v/>
      </c>
      <c r="R1412" s="556">
        <f>G1412-W1412</f>
        <v/>
      </c>
      <c r="S1412" s="523" t="n">
        <v>44645</v>
      </c>
      <c r="T1412" s="522" t="inlineStr">
        <is>
          <t>59012018</t>
        </is>
      </c>
      <c r="U1412" s="522" t="inlineStr">
        <is>
          <t>L001-901905215</t>
        </is>
      </c>
      <c r="V1412" s="522" t="inlineStr">
        <is>
          <t>វីអ៊ីស៊ិន (ខេមបូឌា) អ៊ិនដាសស្ទ្រី ឯ.ក</t>
        </is>
      </c>
      <c r="W1412" s="556" t="n">
        <v>54859</v>
      </c>
    </row>
    <row r="1413">
      <c r="A1413" s="521" t="n">
        <v>1405</v>
      </c>
      <c r="B1413" s="522" t="inlineStr">
        <is>
          <t>Inspection Service Fee</t>
        </is>
      </c>
      <c r="C1413" s="522" t="inlineStr">
        <is>
          <t>ប្យួរ៉ូ វេរីតាស (ខេមបូឌា) លីមីធីត</t>
        </is>
      </c>
      <c r="D1413" s="522" t="inlineStr">
        <is>
          <t>L001-107024462</t>
        </is>
      </c>
      <c r="E1413" s="521" t="inlineStr">
        <is>
          <t>59012007</t>
        </is>
      </c>
      <c r="F1413" s="523" t="n">
        <v>44643</v>
      </c>
      <c r="G1413" s="556" t="n">
        <v>109633</v>
      </c>
      <c r="I1413" s="521">
        <f>G1413</f>
        <v/>
      </c>
      <c r="K1413" s="521">
        <f>I1413-G1413</f>
        <v/>
      </c>
      <c r="M1413" s="522" t="inlineStr">
        <is>
          <t>59012007</t>
        </is>
      </c>
      <c r="N1413" s="522" t="inlineStr">
        <is>
          <t>59012007</t>
        </is>
      </c>
      <c r="O1413" s="521">
        <f>M1413=N1413</f>
        <v/>
      </c>
      <c r="P1413" s="521">
        <f>AND(MONTH(F1413)=MONTH(S1413), YEAR(F1413)=YEAR(S1413))</f>
        <v/>
      </c>
      <c r="Q1413" s="521">
        <f>U1413="L001-901905215"</f>
        <v/>
      </c>
      <c r="R1413" s="556">
        <f>G1413-W1413</f>
        <v/>
      </c>
      <c r="S1413" s="523" t="n">
        <v>44643</v>
      </c>
      <c r="T1413" s="522" t="inlineStr">
        <is>
          <t>59012007</t>
        </is>
      </c>
      <c r="U1413" s="522" t="inlineStr">
        <is>
          <t>L001-901905215</t>
        </is>
      </c>
      <c r="V1413" s="522" t="inlineStr">
        <is>
          <t>វីអ៊ីស៊ិន (ខេមបូឌា) អ៊ិនដាសស្ទ្រី ឯ.ក</t>
        </is>
      </c>
      <c r="W1413" s="556" t="n">
        <v>109633</v>
      </c>
    </row>
    <row r="1414">
      <c r="A1414" s="521" t="n">
        <v>1406</v>
      </c>
      <c r="B1414" s="522" t="inlineStr">
        <is>
          <t>Inspection Service Fee</t>
        </is>
      </c>
      <c r="C1414" s="522" t="inlineStr">
        <is>
          <t>ប្យួរ៉ូ វេរីតាស (ខេមបូឌា) លីមីធីត</t>
        </is>
      </c>
      <c r="D1414" s="522" t="inlineStr">
        <is>
          <t>L001-107024462</t>
        </is>
      </c>
      <c r="E1414" s="521" t="inlineStr">
        <is>
          <t>59011992</t>
        </is>
      </c>
      <c r="F1414" s="523" t="n">
        <v>44642</v>
      </c>
      <c r="G1414" s="556" t="n">
        <v>54791</v>
      </c>
      <c r="I1414" s="521">
        <f>G1414</f>
        <v/>
      </c>
      <c r="K1414" s="521">
        <f>I1414-G1414</f>
        <v/>
      </c>
      <c r="M1414" s="522" t="inlineStr">
        <is>
          <t>59011992</t>
        </is>
      </c>
      <c r="N1414" s="522" t="inlineStr">
        <is>
          <t>59011992</t>
        </is>
      </c>
      <c r="O1414" s="521">
        <f>M1414=N1414</f>
        <v/>
      </c>
      <c r="P1414" s="521">
        <f>AND(MONTH(F1414)=MONTH(S1414), YEAR(F1414)=YEAR(S1414))</f>
        <v/>
      </c>
      <c r="Q1414" s="521">
        <f>U1414="L001-901905215"</f>
        <v/>
      </c>
      <c r="R1414" s="556">
        <f>G1414-W1414</f>
        <v/>
      </c>
      <c r="S1414" s="523" t="n">
        <v>44642</v>
      </c>
      <c r="T1414" s="522" t="inlineStr">
        <is>
          <t>59011992</t>
        </is>
      </c>
      <c r="U1414" s="522" t="inlineStr">
        <is>
          <t>L001-901905215</t>
        </is>
      </c>
      <c r="V1414" s="522" t="inlineStr">
        <is>
          <t>វីអ៊ីស៊ិន (ខេមបូឌា) អ៊ិនដាសស្ទ្រី ឯ.ក</t>
        </is>
      </c>
      <c r="W1414" s="556" t="n">
        <v>54791</v>
      </c>
    </row>
    <row r="1415">
      <c r="A1415" s="521" t="n">
        <v>1407</v>
      </c>
      <c r="B1415" s="522" t="inlineStr">
        <is>
          <t>Inspection Service Fee</t>
        </is>
      </c>
      <c r="C1415" s="522" t="inlineStr">
        <is>
          <t>ប្យួរ៉ូ វេរីតាស (ខេមបូឌា) លីមីធីត</t>
        </is>
      </c>
      <c r="D1415" s="522" t="inlineStr">
        <is>
          <t>L001-107024462</t>
        </is>
      </c>
      <c r="E1415" s="521" t="inlineStr">
        <is>
          <t>59011979</t>
        </is>
      </c>
      <c r="F1415" s="523" t="n">
        <v>44639</v>
      </c>
      <c r="G1415" s="556" t="n">
        <v>164005</v>
      </c>
      <c r="I1415" s="521">
        <f>G1415</f>
        <v/>
      </c>
      <c r="K1415" s="521">
        <f>I1415-G1415</f>
        <v/>
      </c>
      <c r="M1415" s="522" t="inlineStr">
        <is>
          <t>59011979</t>
        </is>
      </c>
      <c r="N1415" s="522" t="inlineStr">
        <is>
          <t>59011979</t>
        </is>
      </c>
      <c r="O1415" s="521">
        <f>M1415=N1415</f>
        <v/>
      </c>
      <c r="P1415" s="521">
        <f>AND(MONTH(F1415)=MONTH(S1415), YEAR(F1415)=YEAR(S1415))</f>
        <v/>
      </c>
      <c r="Q1415" s="521">
        <f>U1415="L001-901905215"</f>
        <v/>
      </c>
      <c r="R1415" s="556">
        <f>G1415-W1415</f>
        <v/>
      </c>
      <c r="S1415" s="523" t="n">
        <v>44639</v>
      </c>
      <c r="T1415" s="522" t="inlineStr">
        <is>
          <t>59011979</t>
        </is>
      </c>
      <c r="U1415" s="522" t="inlineStr">
        <is>
          <t>L001-901905215</t>
        </is>
      </c>
      <c r="V1415" s="522" t="inlineStr">
        <is>
          <t>វីអ៊ីស៊ិន (ខេមបូឌា) អ៊ិនដាសស្ទ្រី ឯ.ក</t>
        </is>
      </c>
      <c r="W1415" s="556" t="n">
        <v>164005</v>
      </c>
    </row>
    <row r="1416">
      <c r="A1416" s="521" t="n">
        <v>1408</v>
      </c>
      <c r="B1416" s="522" t="inlineStr">
        <is>
          <t>Inspection Service Fee</t>
        </is>
      </c>
      <c r="C1416" s="522" t="inlineStr">
        <is>
          <t>ប្យួរ៉ូ វេរីតាស (ខេមបូឌា) លីមីធីត</t>
        </is>
      </c>
      <c r="D1416" s="522" t="inlineStr">
        <is>
          <t>L001-107024462</t>
        </is>
      </c>
      <c r="E1416" s="521" t="inlineStr">
        <is>
          <t>59011966</t>
        </is>
      </c>
      <c r="F1416" s="523" t="n">
        <v>44637</v>
      </c>
      <c r="G1416" s="556" t="n">
        <v>54629</v>
      </c>
      <c r="I1416" s="521">
        <f>G1416</f>
        <v/>
      </c>
      <c r="K1416" s="521">
        <f>I1416-G1416</f>
        <v/>
      </c>
      <c r="M1416" s="522" t="inlineStr">
        <is>
          <t>59011966</t>
        </is>
      </c>
      <c r="N1416" s="522" t="inlineStr">
        <is>
          <t>59011966</t>
        </is>
      </c>
      <c r="O1416" s="521">
        <f>M1416=N1416</f>
        <v/>
      </c>
      <c r="P1416" s="521">
        <f>AND(MONTH(F1416)=MONTH(S1416), YEAR(F1416)=YEAR(S1416))</f>
        <v/>
      </c>
      <c r="Q1416" s="521">
        <f>U1416="L001-901905215"</f>
        <v/>
      </c>
      <c r="R1416" s="556">
        <f>G1416-W1416</f>
        <v/>
      </c>
      <c r="S1416" s="523" t="n">
        <v>44637</v>
      </c>
      <c r="T1416" s="522" t="inlineStr">
        <is>
          <t>59011966</t>
        </is>
      </c>
      <c r="U1416" s="522" t="inlineStr">
        <is>
          <t>L001-901905215</t>
        </is>
      </c>
      <c r="V1416" s="522" t="inlineStr">
        <is>
          <t>វីអ៊ីស៊ិន (ខេមបូឌា) អ៊ិនដាសស្ទ្រី ឯ.ក</t>
        </is>
      </c>
      <c r="W1416" s="556" t="n">
        <v>54629</v>
      </c>
    </row>
    <row r="1417">
      <c r="A1417" s="521" t="n">
        <v>1409</v>
      </c>
      <c r="B1417" s="522" t="inlineStr">
        <is>
          <t>Inspection Service Fee</t>
        </is>
      </c>
      <c r="C1417" s="522" t="inlineStr">
        <is>
          <t>ប្យួរ៉ូ វេរីតាស (ខេមបូឌា) លីមីធីត</t>
        </is>
      </c>
      <c r="D1417" s="522" t="inlineStr">
        <is>
          <t>L001-107024462</t>
        </is>
      </c>
      <c r="E1417" s="521" t="inlineStr">
        <is>
          <t>59011953</t>
        </is>
      </c>
      <c r="F1417" s="523" t="n">
        <v>44635</v>
      </c>
      <c r="G1417" s="556" t="n">
        <v>54724</v>
      </c>
      <c r="I1417" s="521">
        <f>G1417</f>
        <v/>
      </c>
      <c r="K1417" s="521">
        <f>I1417-G1417</f>
        <v/>
      </c>
      <c r="M1417" s="522" t="inlineStr">
        <is>
          <t>59011953</t>
        </is>
      </c>
      <c r="N1417" s="522" t="inlineStr">
        <is>
          <t>59011953</t>
        </is>
      </c>
      <c r="O1417" s="521">
        <f>M1417=N1417</f>
        <v/>
      </c>
      <c r="P1417" s="521">
        <f>AND(MONTH(F1417)=MONTH(S1417), YEAR(F1417)=YEAR(S1417))</f>
        <v/>
      </c>
      <c r="Q1417" s="521">
        <f>U1417="L001-901905215"</f>
        <v/>
      </c>
      <c r="R1417" s="556">
        <f>G1417-W1417</f>
        <v/>
      </c>
      <c r="S1417" s="523" t="n">
        <v>44635</v>
      </c>
      <c r="T1417" s="522" t="inlineStr">
        <is>
          <t>59011953</t>
        </is>
      </c>
      <c r="U1417" s="522" t="inlineStr">
        <is>
          <t>L001-901905215</t>
        </is>
      </c>
      <c r="V1417" s="522" t="inlineStr">
        <is>
          <t>វីអ៊ីស៊ិន (ខេមបូឌា) អ៊ិនដាសស្ទ្រី ឯ.ក</t>
        </is>
      </c>
      <c r="W1417" s="556" t="n">
        <v>54724</v>
      </c>
    </row>
    <row r="1418">
      <c r="A1418" s="521" t="n">
        <v>1410</v>
      </c>
      <c r="B1418" s="522" t="inlineStr">
        <is>
          <t>Inspection Service Fee</t>
        </is>
      </c>
      <c r="C1418" s="522" t="inlineStr">
        <is>
          <t>ប្យួរ៉ូ វេរីតាស (ខេមបូឌា) លីមីធីត</t>
        </is>
      </c>
      <c r="D1418" s="522" t="inlineStr">
        <is>
          <t>L001-107024462</t>
        </is>
      </c>
      <c r="E1418" s="521" t="inlineStr">
        <is>
          <t>59011906</t>
        </is>
      </c>
      <c r="F1418" s="523" t="n">
        <v>44624</v>
      </c>
      <c r="G1418" s="556" t="n">
        <v>110067</v>
      </c>
      <c r="I1418" s="521">
        <f>G1418</f>
        <v/>
      </c>
      <c r="K1418" s="521">
        <f>I1418-G1418</f>
        <v/>
      </c>
      <c r="M1418" s="522" t="inlineStr">
        <is>
          <t>59011906</t>
        </is>
      </c>
      <c r="N1418" s="522" t="inlineStr">
        <is>
          <t>59011906</t>
        </is>
      </c>
      <c r="O1418" s="521">
        <f>M1418=N1418</f>
        <v/>
      </c>
      <c r="P1418" s="521">
        <f>AND(MONTH(F1418)=MONTH(S1418), YEAR(F1418)=YEAR(S1418))</f>
        <v/>
      </c>
      <c r="Q1418" s="521">
        <f>U1418="L001-901905215"</f>
        <v/>
      </c>
      <c r="R1418" s="556">
        <f>G1418-W1418</f>
        <v/>
      </c>
      <c r="S1418" s="523" t="n">
        <v>44624</v>
      </c>
      <c r="T1418" s="522" t="inlineStr">
        <is>
          <t>59011906</t>
        </is>
      </c>
      <c r="U1418" s="522" t="inlineStr">
        <is>
          <t>L001-901905215</t>
        </is>
      </c>
      <c r="V1418" s="522" t="inlineStr">
        <is>
          <t>វីអ៊ីស៊ិន (ខេមបូឌា) អ៊ិនដាសស្ទ្រី ឯ.ក</t>
        </is>
      </c>
      <c r="W1418" s="556" t="n">
        <v>110067</v>
      </c>
    </row>
    <row r="1419">
      <c r="A1419" s="521" t="n">
        <v>1411</v>
      </c>
      <c r="B1419" s="522" t="inlineStr">
        <is>
          <t>Foreign Sale</t>
        </is>
      </c>
      <c r="C1419" s="522" t="inlineStr">
        <is>
          <t>មើស្គ (ខេមបូឌា)</t>
        </is>
      </c>
      <c r="D1419" s="522" t="inlineStr">
        <is>
          <t>L001-100045200</t>
        </is>
      </c>
      <c r="E1419" s="521" t="inlineStr">
        <is>
          <t>5995887878</t>
        </is>
      </c>
      <c r="F1419" s="523" t="n">
        <v>44621</v>
      </c>
      <c r="G1419" s="556" t="n">
        <v>121197</v>
      </c>
      <c r="I1419" s="521">
        <f>G1419</f>
        <v/>
      </c>
      <c r="K1419" s="521">
        <f>I1419-G1419</f>
        <v/>
      </c>
      <c r="M1419" s="522" t="inlineStr">
        <is>
          <t>5995887878</t>
        </is>
      </c>
      <c r="N1419" s="522" t="inlineStr"/>
      <c r="O1419" s="521">
        <f>M1419=N1419</f>
        <v/>
      </c>
      <c r="P1419" s="521">
        <f>AND(MONTH(F1419)=MONTH(S1419), YEAR(F1419)=YEAR(S1419))</f>
        <v/>
      </c>
      <c r="Q1419" s="521">
        <f>U1419="L001-901905215"</f>
        <v/>
      </c>
      <c r="R1419" s="556">
        <f>G1419-W1419</f>
        <v/>
      </c>
      <c r="S1419" s="521" t="n"/>
      <c r="T1419" s="522" t="n"/>
      <c r="U1419" s="522" t="n"/>
      <c r="V1419" s="522" t="n"/>
      <c r="W1419" s="521" t="n"/>
    </row>
    <row r="1420">
      <c r="A1420" s="521" t="n">
        <v>1412</v>
      </c>
      <c r="B1420" s="522" t="inlineStr">
        <is>
          <t>Foreign Sale</t>
        </is>
      </c>
      <c r="C1420" s="522" t="inlineStr">
        <is>
          <t>មើស្គ (ខេមបូឌា)</t>
        </is>
      </c>
      <c r="D1420" s="522" t="inlineStr">
        <is>
          <t>L001-100045200</t>
        </is>
      </c>
      <c r="E1420" s="521" t="inlineStr">
        <is>
          <t>5995888047</t>
        </is>
      </c>
      <c r="F1420" s="523" t="n">
        <v>44621</v>
      </c>
      <c r="G1420" s="556" t="n">
        <v>283877</v>
      </c>
      <c r="I1420" s="521">
        <f>G1420</f>
        <v/>
      </c>
      <c r="K1420" s="521">
        <f>I1420-G1420</f>
        <v/>
      </c>
      <c r="M1420" s="522" t="inlineStr">
        <is>
          <t>5995888047</t>
        </is>
      </c>
      <c r="N1420" s="522" t="inlineStr"/>
      <c r="O1420" s="521">
        <f>M1420=N1420</f>
        <v/>
      </c>
      <c r="P1420" s="521">
        <f>AND(MONTH(F1420)=MONTH(S1420), YEAR(F1420)=YEAR(S1420))</f>
        <v/>
      </c>
      <c r="Q1420" s="521">
        <f>U1420="L001-901905215"</f>
        <v/>
      </c>
      <c r="R1420" s="556">
        <f>G1420-W1420</f>
        <v/>
      </c>
      <c r="S1420" s="521" t="n"/>
      <c r="T1420" s="522" t="n"/>
      <c r="U1420" s="522" t="n"/>
      <c r="V1420" s="522" t="n"/>
      <c r="W1420" s="521" t="n"/>
    </row>
    <row r="1421">
      <c r="A1421" s="521" t="n">
        <v>1413</v>
      </c>
      <c r="B1421" s="522" t="inlineStr">
        <is>
          <t>Foreign Sale</t>
        </is>
      </c>
      <c r="C1421" s="522" t="inlineStr">
        <is>
          <t>មើស្គ (ខេមបូឌា)</t>
        </is>
      </c>
      <c r="D1421" s="522" t="inlineStr">
        <is>
          <t>L001-100045200</t>
        </is>
      </c>
      <c r="E1421" s="521" t="inlineStr">
        <is>
          <t>5995887100</t>
        </is>
      </c>
      <c r="F1421" s="523" t="n">
        <v>44621</v>
      </c>
      <c r="G1421" s="556" t="n">
        <v>315173</v>
      </c>
      <c r="I1421" s="521">
        <f>G1421</f>
        <v/>
      </c>
      <c r="K1421" s="521">
        <f>I1421-G1421</f>
        <v/>
      </c>
      <c r="M1421" s="522" t="inlineStr">
        <is>
          <t>5995887100</t>
        </is>
      </c>
      <c r="N1421" s="522" t="inlineStr"/>
      <c r="O1421" s="521">
        <f>M1421=N1421</f>
        <v/>
      </c>
      <c r="P1421" s="521">
        <f>AND(MONTH(F1421)=MONTH(S1421), YEAR(F1421)=YEAR(S1421))</f>
        <v/>
      </c>
      <c r="Q1421" s="521">
        <f>U1421="L001-901905215"</f>
        <v/>
      </c>
      <c r="R1421" s="556">
        <f>G1421-W1421</f>
        <v/>
      </c>
      <c r="S1421" s="521" t="n"/>
      <c r="T1421" s="522" t="n"/>
      <c r="U1421" s="522" t="n"/>
      <c r="V1421" s="522" t="n"/>
      <c r="W1421" s="521" t="n"/>
    </row>
    <row r="1422">
      <c r="A1422" s="521" t="n">
        <v>1414</v>
      </c>
      <c r="B1422" s="522" t="inlineStr">
        <is>
          <t>LIFE -OFF,LIFE-ON</t>
        </is>
      </c>
      <c r="C1422" s="522" t="inlineStr">
        <is>
          <t>កំពង់ផែស្វយ័តក្រុងព្រះសីហនុ</t>
        </is>
      </c>
      <c r="D1422" s="522" t="inlineStr">
        <is>
          <t>L001-100044638</t>
        </is>
      </c>
      <c r="E1422" s="521" t="inlineStr">
        <is>
          <t>026446</t>
        </is>
      </c>
      <c r="F1422" s="523" t="n">
        <v>44621</v>
      </c>
      <c r="G1422" s="556" t="n">
        <v>35400</v>
      </c>
      <c r="I1422" s="521">
        <f>G1422</f>
        <v/>
      </c>
      <c r="K1422" s="521">
        <f>I1422-G1422</f>
        <v/>
      </c>
      <c r="M1422" s="522" t="inlineStr">
        <is>
          <t>026446</t>
        </is>
      </c>
      <c r="N1422" s="522" t="inlineStr"/>
      <c r="O1422" s="521">
        <f>M1422=N1422</f>
        <v/>
      </c>
      <c r="P1422" s="521">
        <f>AND(MONTH(F1422)=MONTH(S1422), YEAR(F1422)=YEAR(S1422))</f>
        <v/>
      </c>
      <c r="Q1422" s="521">
        <f>U1422="L001-901905215"</f>
        <v/>
      </c>
      <c r="R1422" s="556">
        <f>G1422-W1422</f>
        <v/>
      </c>
      <c r="S1422" s="521" t="n"/>
      <c r="T1422" s="522" t="n"/>
      <c r="U1422" s="522" t="n"/>
      <c r="V1422" s="522" t="n"/>
      <c r="W1422" s="521" t="n"/>
    </row>
    <row r="1423">
      <c r="A1423" s="521" t="n">
        <v>1415</v>
      </c>
      <c r="B1423" s="522" t="inlineStr">
        <is>
          <t>Clearance Import,Trucking Import,Handing Fee</t>
        </is>
      </c>
      <c r="C1423" s="522" t="inlineStr">
        <is>
          <t>ហុង តុង អ៊ិនធើណេសិនណល ឡូជីស្ទីក ឯ.ក</t>
        </is>
      </c>
      <c r="D1423" s="522" t="inlineStr">
        <is>
          <t>K003-902006166</t>
        </is>
      </c>
      <c r="E1423" s="521" t="inlineStr">
        <is>
          <t>HT220044</t>
        </is>
      </c>
      <c r="F1423" s="523" t="n">
        <v>44651</v>
      </c>
      <c r="G1423" s="556" t="n">
        <v>247050</v>
      </c>
      <c r="I1423" s="521">
        <f>G1423</f>
        <v/>
      </c>
      <c r="K1423" s="521">
        <f>I1423-G1423</f>
        <v/>
      </c>
      <c r="M1423" s="522" t="inlineStr">
        <is>
          <t>HT220044</t>
        </is>
      </c>
      <c r="N1423" s="522" t="inlineStr">
        <is>
          <t>HT220044</t>
        </is>
      </c>
      <c r="O1423" s="521">
        <f>M1423=N1423</f>
        <v/>
      </c>
      <c r="P1423" s="521">
        <f>AND(MONTH(F1423)=MONTH(S1423), YEAR(F1423)=YEAR(S1423))</f>
        <v/>
      </c>
      <c r="Q1423" s="521">
        <f>U1423="L001-901905215"</f>
        <v/>
      </c>
      <c r="R1423" s="556">
        <f>G1423-W1423</f>
        <v/>
      </c>
      <c r="S1423" s="523" t="n">
        <v>44865</v>
      </c>
      <c r="T1423" s="522" t="inlineStr">
        <is>
          <t>HT220044</t>
        </is>
      </c>
      <c r="U1423" s="522" t="inlineStr">
        <is>
          <t>L001-901905215</t>
        </is>
      </c>
      <c r="V1423" s="522" t="inlineStr">
        <is>
          <t>វីអ៊ីស៊ិន (ខេមបូឌា) អ៊ិនដាសស្ទ្រី ឯ.ក</t>
        </is>
      </c>
      <c r="W1423" s="556" t="n">
        <v>505202</v>
      </c>
    </row>
    <row r="1424">
      <c r="A1424" s="521" t="n">
        <v>1416</v>
      </c>
      <c r="B1424" s="522" t="inlineStr">
        <is>
          <t>LIFE -OFF,LIFE-ON</t>
        </is>
      </c>
      <c r="C1424" s="522" t="inlineStr">
        <is>
          <t>កំពង់ផែស្វយ័តក្រុងព្រះសីហនុ</t>
        </is>
      </c>
      <c r="D1424" s="522" t="inlineStr">
        <is>
          <t>L001-100044638</t>
        </is>
      </c>
      <c r="E1424" s="521" t="inlineStr">
        <is>
          <t>026450</t>
        </is>
      </c>
      <c r="F1424" s="523" t="n">
        <v>44621</v>
      </c>
      <c r="G1424" s="556" t="n">
        <v>93994</v>
      </c>
      <c r="I1424" s="521">
        <f>G1424</f>
        <v/>
      </c>
      <c r="K1424" s="521">
        <f>I1424-G1424</f>
        <v/>
      </c>
      <c r="M1424" s="522" t="inlineStr">
        <is>
          <t>026450</t>
        </is>
      </c>
      <c r="N1424" s="522" t="inlineStr"/>
      <c r="O1424" s="521">
        <f>M1424=N1424</f>
        <v/>
      </c>
      <c r="P1424" s="521">
        <f>AND(MONTH(F1424)=MONTH(S1424), YEAR(F1424)=YEAR(S1424))</f>
        <v/>
      </c>
      <c r="Q1424" s="521">
        <f>U1424="L001-901905215"</f>
        <v/>
      </c>
      <c r="R1424" s="556">
        <f>G1424-W1424</f>
        <v/>
      </c>
      <c r="S1424" s="521" t="n"/>
      <c r="T1424" s="522" t="n"/>
      <c r="U1424" s="522" t="n"/>
      <c r="V1424" s="522" t="n"/>
      <c r="W1424" s="521" t="n"/>
    </row>
    <row r="1425">
      <c r="A1425" s="521" t="n">
        <v>1417</v>
      </c>
      <c r="B1425" s="522" t="inlineStr">
        <is>
          <t>LIFE -OFF,LIFE-ON</t>
        </is>
      </c>
      <c r="C1425" s="522" t="inlineStr">
        <is>
          <t>កំពង់ផែស្វយ័តក្រុងព្រះសីហនុ</t>
        </is>
      </c>
      <c r="D1425" s="522" t="inlineStr">
        <is>
          <t>L001-100044638</t>
        </is>
      </c>
      <c r="E1425" s="521" t="inlineStr">
        <is>
          <t>017830</t>
        </is>
      </c>
      <c r="F1425" s="523" t="n">
        <v>44621</v>
      </c>
      <c r="G1425" s="556" t="n">
        <v>106175</v>
      </c>
      <c r="I1425" s="521">
        <f>G1425</f>
        <v/>
      </c>
      <c r="K1425" s="521">
        <f>I1425-G1425</f>
        <v/>
      </c>
      <c r="M1425" s="522" t="inlineStr">
        <is>
          <t>017830</t>
        </is>
      </c>
      <c r="N1425" s="522" t="inlineStr"/>
      <c r="O1425" s="521">
        <f>M1425=N1425</f>
        <v/>
      </c>
      <c r="P1425" s="521">
        <f>AND(MONTH(F1425)=MONTH(S1425), YEAR(F1425)=YEAR(S1425))</f>
        <v/>
      </c>
      <c r="Q1425" s="521">
        <f>U1425="L001-901905215"</f>
        <v/>
      </c>
      <c r="R1425" s="556">
        <f>G1425-W1425</f>
        <v/>
      </c>
      <c r="S1425" s="521" t="n"/>
      <c r="T1425" s="522" t="n"/>
      <c r="U1425" s="522" t="n"/>
      <c r="V1425" s="522" t="n"/>
      <c r="W1425" s="521" t="n"/>
    </row>
    <row r="1426">
      <c r="A1426" s="521" t="n">
        <v>1418</v>
      </c>
      <c r="B1426" s="522" t="inlineStr">
        <is>
          <t>Clearance Import,Trucking Import,Handing Fee</t>
        </is>
      </c>
      <c r="C1426" s="522" t="inlineStr">
        <is>
          <t>ហុង តុង អ៊ិនធើណេសិនណល ឡូជីស្ទីក ឯ.ក</t>
        </is>
      </c>
      <c r="D1426" s="522" t="inlineStr">
        <is>
          <t>K003-902006166</t>
        </is>
      </c>
      <c r="E1426" s="521" t="inlineStr">
        <is>
          <t>HT220043</t>
        </is>
      </c>
      <c r="F1426" s="523" t="n">
        <v>44651</v>
      </c>
      <c r="G1426" s="556" t="n">
        <v>741150</v>
      </c>
      <c r="I1426" s="521">
        <f>G1426</f>
        <v/>
      </c>
      <c r="K1426" s="521">
        <f>I1426-G1426</f>
        <v/>
      </c>
      <c r="M1426" s="522" t="inlineStr">
        <is>
          <t>HT220043</t>
        </is>
      </c>
      <c r="N1426" s="522" t="inlineStr">
        <is>
          <t>HT220043</t>
        </is>
      </c>
      <c r="O1426" s="521">
        <f>M1426=N1426</f>
        <v/>
      </c>
      <c r="P1426" s="521">
        <f>AND(MONTH(F1426)=MONTH(S1426), YEAR(F1426)=YEAR(S1426))</f>
        <v/>
      </c>
      <c r="Q1426" s="521">
        <f>U1426="L001-901905215"</f>
        <v/>
      </c>
      <c r="R1426" s="556">
        <f>G1426-W1426</f>
        <v/>
      </c>
      <c r="S1426" s="523" t="n">
        <v>44865</v>
      </c>
      <c r="T1426" s="522" t="inlineStr">
        <is>
          <t>HT220043</t>
        </is>
      </c>
      <c r="U1426" s="522" t="inlineStr">
        <is>
          <t>L001-901905215</t>
        </is>
      </c>
      <c r="V1426" s="522" t="inlineStr">
        <is>
          <t>វីអ៊ីស៊ិន (ខេមបូឌា) អ៊ិនដាសស្ទ្រី ឯ.ក</t>
        </is>
      </c>
      <c r="W1426" s="556" t="n">
        <v>140794</v>
      </c>
    </row>
    <row r="1427">
      <c r="A1427" s="521" t="n">
        <v>1419</v>
      </c>
      <c r="B1427" s="522" t="inlineStr">
        <is>
          <t>Clearance Import,Trucking Import,Handing Fee</t>
        </is>
      </c>
      <c r="C1427" s="522" t="inlineStr">
        <is>
          <t>ហុង តុង អ៊ិនធើណេសិនណល ឡូជីស្ទីក ឯ.ក</t>
        </is>
      </c>
      <c r="D1427" s="522" t="inlineStr">
        <is>
          <t>K003-902006166</t>
        </is>
      </c>
      <c r="E1427" s="521" t="inlineStr">
        <is>
          <t>HT220042</t>
        </is>
      </c>
      <c r="F1427" s="523" t="n">
        <v>44651</v>
      </c>
      <c r="G1427" s="556" t="n">
        <v>741150</v>
      </c>
      <c r="I1427" s="521">
        <f>G1427</f>
        <v/>
      </c>
      <c r="K1427" s="521">
        <f>I1427-G1427</f>
        <v/>
      </c>
      <c r="M1427" s="522" t="inlineStr">
        <is>
          <t>HT220042</t>
        </is>
      </c>
      <c r="N1427" s="522" t="inlineStr">
        <is>
          <t>HT220042</t>
        </is>
      </c>
      <c r="O1427" s="521">
        <f>M1427=N1427</f>
        <v/>
      </c>
      <c r="P1427" s="521">
        <f>AND(MONTH(F1427)=MONTH(S1427), YEAR(F1427)=YEAR(S1427))</f>
        <v/>
      </c>
      <c r="Q1427" s="521">
        <f>U1427="L001-901905215"</f>
        <v/>
      </c>
      <c r="R1427" s="556">
        <f>G1427-W1427</f>
        <v/>
      </c>
      <c r="S1427" s="523" t="n">
        <v>44865</v>
      </c>
      <c r="T1427" s="522" t="inlineStr">
        <is>
          <t>HT220042</t>
        </is>
      </c>
      <c r="U1427" s="522" t="inlineStr">
        <is>
          <t>L001-901905215</t>
        </is>
      </c>
      <c r="V1427" s="522" t="inlineStr">
        <is>
          <t>វីអ៊ីស៊ិន (ខេមបូឌា) អ៊ិនដាសស្ទ្រី ឯ.ក</t>
        </is>
      </c>
      <c r="W1427" s="556" t="n">
        <v>244319</v>
      </c>
    </row>
    <row r="1428">
      <c r="A1428" s="521" t="n">
        <v>1420</v>
      </c>
      <c r="B1428" s="522" t="inlineStr">
        <is>
          <t>LIFE -OFF</t>
        </is>
      </c>
      <c r="C1428" s="522" t="inlineStr">
        <is>
          <t>កំពង់ផែស្វយ័តក្រុងព្រះសីហនុ</t>
        </is>
      </c>
      <c r="D1428" s="522" t="inlineStr">
        <is>
          <t>L001-100044638</t>
        </is>
      </c>
      <c r="E1428" s="521" t="inlineStr">
        <is>
          <t>053777</t>
        </is>
      </c>
      <c r="F1428" s="523" t="n">
        <v>44645</v>
      </c>
      <c r="G1428" s="556" t="n">
        <v>20655</v>
      </c>
      <c r="I1428" s="521">
        <f>G1428</f>
        <v/>
      </c>
      <c r="K1428" s="521">
        <f>I1428-G1428</f>
        <v/>
      </c>
      <c r="M1428" s="522" t="inlineStr">
        <is>
          <t>053777</t>
        </is>
      </c>
      <c r="N1428" s="522" t="inlineStr"/>
      <c r="O1428" s="521">
        <f>M1428=N1428</f>
        <v/>
      </c>
      <c r="P1428" s="521">
        <f>AND(MONTH(F1428)=MONTH(S1428), YEAR(F1428)=YEAR(S1428))</f>
        <v/>
      </c>
      <c r="Q1428" s="521">
        <f>U1428="L001-901905215"</f>
        <v/>
      </c>
      <c r="R1428" s="556">
        <f>G1428-W1428</f>
        <v/>
      </c>
      <c r="S1428" s="521" t="n"/>
      <c r="T1428" s="522" t="n"/>
      <c r="U1428" s="522" t="n"/>
      <c r="V1428" s="522" t="n"/>
      <c r="W1428" s="521" t="n"/>
    </row>
    <row r="1429">
      <c r="A1429" s="521" t="n">
        <v>1421</v>
      </c>
      <c r="B1429" s="522" t="inlineStr">
        <is>
          <t>LIFE -OFF</t>
        </is>
      </c>
      <c r="C1429" s="522" t="inlineStr">
        <is>
          <t>កំពង់ផែស្វយ័តក្រុងព្រះសីហនុ</t>
        </is>
      </c>
      <c r="D1429" s="522" t="inlineStr">
        <is>
          <t>L001-100044638</t>
        </is>
      </c>
      <c r="E1429" s="521" t="inlineStr">
        <is>
          <t>053775</t>
        </is>
      </c>
      <c r="F1429" s="523" t="n">
        <v>44645</v>
      </c>
      <c r="G1429" s="556" t="n">
        <v>20655</v>
      </c>
      <c r="I1429" s="521">
        <f>G1429</f>
        <v/>
      </c>
      <c r="K1429" s="521">
        <f>I1429-G1429</f>
        <v/>
      </c>
      <c r="M1429" s="522" t="inlineStr">
        <is>
          <t>053775</t>
        </is>
      </c>
      <c r="N1429" s="522" t="inlineStr"/>
      <c r="O1429" s="521">
        <f>M1429=N1429</f>
        <v/>
      </c>
      <c r="P1429" s="521">
        <f>AND(MONTH(F1429)=MONTH(S1429), YEAR(F1429)=YEAR(S1429))</f>
        <v/>
      </c>
      <c r="Q1429" s="521">
        <f>U1429="L001-901905215"</f>
        <v/>
      </c>
      <c r="R1429" s="556">
        <f>G1429-W1429</f>
        <v/>
      </c>
      <c r="S1429" s="521" t="n"/>
      <c r="T1429" s="522" t="n"/>
      <c r="U1429" s="522" t="n"/>
      <c r="V1429" s="522" t="n"/>
      <c r="W1429" s="521" t="n"/>
    </row>
    <row r="1430">
      <c r="A1430" s="521" t="n">
        <v>1422</v>
      </c>
      <c r="B1430" s="522" t="inlineStr">
        <is>
          <t>LIFE -OFF</t>
        </is>
      </c>
      <c r="C1430" s="522" t="inlineStr">
        <is>
          <t>កំពង់ផែស្វយ័តក្រុងព្រះសីហនុ</t>
        </is>
      </c>
      <c r="D1430" s="522" t="inlineStr">
        <is>
          <t>L001-100044638</t>
        </is>
      </c>
      <c r="E1430" s="521" t="inlineStr">
        <is>
          <t>053551</t>
        </is>
      </c>
      <c r="F1430" s="523" t="n">
        <v>44645</v>
      </c>
      <c r="G1430" s="556" t="n">
        <v>20655</v>
      </c>
      <c r="I1430" s="521">
        <f>G1430</f>
        <v/>
      </c>
      <c r="K1430" s="521">
        <f>I1430-G1430</f>
        <v/>
      </c>
      <c r="M1430" s="522" t="inlineStr">
        <is>
          <t>053551</t>
        </is>
      </c>
      <c r="N1430" s="522" t="inlineStr"/>
      <c r="O1430" s="521">
        <f>M1430=N1430</f>
        <v/>
      </c>
      <c r="P1430" s="521">
        <f>AND(MONTH(F1430)=MONTH(S1430), YEAR(F1430)=YEAR(S1430))</f>
        <v/>
      </c>
      <c r="Q1430" s="521">
        <f>U1430="L001-901905215"</f>
        <v/>
      </c>
      <c r="R1430" s="556">
        <f>G1430-W1430</f>
        <v/>
      </c>
      <c r="S1430" s="521" t="n"/>
      <c r="T1430" s="522" t="n"/>
      <c r="U1430" s="522" t="n"/>
      <c r="V1430" s="522" t="n"/>
      <c r="W1430" s="521" t="n"/>
    </row>
    <row r="1431">
      <c r="A1431" s="521" t="n">
        <v>1423</v>
      </c>
      <c r="B1431" s="522" t="inlineStr">
        <is>
          <t>LIFE -OFF,GATE FEE CHARGE</t>
        </is>
      </c>
      <c r="C1431" s="522" t="inlineStr">
        <is>
          <t>កំពង់ផែស្វយ័តភ្នំពេញ "ក.ស.ភ"</t>
        </is>
      </c>
      <c r="D1431" s="522" t="inlineStr">
        <is>
          <t>L001-100044999</t>
        </is>
      </c>
      <c r="E1431" s="521" t="inlineStr">
        <is>
          <t>INV20220321191</t>
        </is>
      </c>
      <c r="F1431" s="523" t="n">
        <v>44641</v>
      </c>
      <c r="G1431" s="556" t="n">
        <v>29088</v>
      </c>
      <c r="I1431" s="521">
        <f>G1431</f>
        <v/>
      </c>
      <c r="K1431" s="521">
        <f>I1431-G1431</f>
        <v/>
      </c>
      <c r="M1431" s="522" t="inlineStr">
        <is>
          <t>INV20220321191</t>
        </is>
      </c>
      <c r="N1431" s="522" t="inlineStr"/>
      <c r="O1431" s="521">
        <f>M1431=N1431</f>
        <v/>
      </c>
      <c r="P1431" s="521">
        <f>AND(MONTH(F1431)=MONTH(S1431), YEAR(F1431)=YEAR(S1431))</f>
        <v/>
      </c>
      <c r="Q1431" s="521">
        <f>U1431="L001-901905215"</f>
        <v/>
      </c>
      <c r="R1431" s="556">
        <f>G1431-W1431</f>
        <v/>
      </c>
      <c r="S1431" s="521" t="n"/>
      <c r="T1431" s="522" t="n"/>
      <c r="U1431" s="522" t="n"/>
      <c r="V1431" s="522" t="n"/>
      <c r="W1431" s="521" t="n"/>
    </row>
    <row r="1432">
      <c r="A1432" s="521" t="n">
        <v>1424</v>
      </c>
      <c r="B1432" s="522" t="inlineStr">
        <is>
          <t>LIFE -OFF,GATE FEE CHARGE</t>
        </is>
      </c>
      <c r="C1432" s="522" t="inlineStr">
        <is>
          <t>កំពង់ផែស្វយ័តភ្នំពេញ "ក.ស.ភ"</t>
        </is>
      </c>
      <c r="D1432" s="522" t="inlineStr">
        <is>
          <t>L001-100044999</t>
        </is>
      </c>
      <c r="E1432" s="521" t="inlineStr">
        <is>
          <t>INV20220321204</t>
        </is>
      </c>
      <c r="F1432" s="523" t="n">
        <v>44641</v>
      </c>
      <c r="G1432" s="556" t="n">
        <v>87264</v>
      </c>
      <c r="I1432" s="521">
        <f>G1432</f>
        <v/>
      </c>
      <c r="K1432" s="521">
        <f>I1432-G1432</f>
        <v/>
      </c>
      <c r="M1432" s="522" t="inlineStr">
        <is>
          <t>INV20220321204</t>
        </is>
      </c>
      <c r="N1432" s="522" t="inlineStr"/>
      <c r="O1432" s="521">
        <f>M1432=N1432</f>
        <v/>
      </c>
      <c r="P1432" s="521">
        <f>AND(MONTH(F1432)=MONTH(S1432), YEAR(F1432)=YEAR(S1432))</f>
        <v/>
      </c>
      <c r="Q1432" s="521">
        <f>U1432="L001-901905215"</f>
        <v/>
      </c>
      <c r="R1432" s="556">
        <f>G1432-W1432</f>
        <v/>
      </c>
      <c r="S1432" s="521" t="n"/>
      <c r="T1432" s="522" t="n"/>
      <c r="U1432" s="522" t="n"/>
      <c r="V1432" s="522" t="n"/>
      <c r="W1432" s="521" t="n"/>
    </row>
    <row r="1433">
      <c r="A1433" s="521" t="n">
        <v>1425</v>
      </c>
      <c r="B1433" s="522" t="inlineStr">
        <is>
          <t>LIFE -OFF,GATE FEE CHARGE</t>
        </is>
      </c>
      <c r="C1433" s="522" t="inlineStr">
        <is>
          <t>កំពង់ផែស្វយ័តភ្នំពេញ "ក.ស.ភ"</t>
        </is>
      </c>
      <c r="D1433" s="522" t="inlineStr">
        <is>
          <t>L001-100044999</t>
        </is>
      </c>
      <c r="E1433" s="521" t="inlineStr">
        <is>
          <t>INV20220321206</t>
        </is>
      </c>
      <c r="F1433" s="523" t="n">
        <v>44641</v>
      </c>
      <c r="G1433" s="556" t="n">
        <v>29088</v>
      </c>
      <c r="I1433" s="521">
        <f>G1433</f>
        <v/>
      </c>
      <c r="K1433" s="521">
        <f>I1433-G1433</f>
        <v/>
      </c>
      <c r="M1433" s="522" t="inlineStr">
        <is>
          <t>INV20220321206</t>
        </is>
      </c>
      <c r="N1433" s="522" t="inlineStr"/>
      <c r="O1433" s="521">
        <f>M1433=N1433</f>
        <v/>
      </c>
      <c r="P1433" s="521">
        <f>AND(MONTH(F1433)=MONTH(S1433), YEAR(F1433)=YEAR(S1433))</f>
        <v/>
      </c>
      <c r="Q1433" s="521">
        <f>U1433="L001-901905215"</f>
        <v/>
      </c>
      <c r="R1433" s="556">
        <f>G1433-W1433</f>
        <v/>
      </c>
      <c r="S1433" s="521" t="n"/>
      <c r="T1433" s="522" t="n"/>
      <c r="U1433" s="522" t="n"/>
      <c r="V1433" s="522" t="n"/>
      <c r="W1433" s="521" t="n"/>
    </row>
    <row r="1434">
      <c r="A1434" s="521" t="n">
        <v>1426</v>
      </c>
      <c r="B1434" s="522" t="inlineStr">
        <is>
          <t>LIFE -OFF</t>
        </is>
      </c>
      <c r="C1434" s="522" t="inlineStr">
        <is>
          <t>កំពង់ផែស្វយ័តក្រុងព្រះសីហនុ</t>
        </is>
      </c>
      <c r="D1434" s="522" t="inlineStr">
        <is>
          <t>L001-100044638</t>
        </is>
      </c>
      <c r="E1434" s="521" t="inlineStr">
        <is>
          <t>044274</t>
        </is>
      </c>
      <c r="F1434" s="523" t="n">
        <v>44621</v>
      </c>
      <c r="G1434" s="556" t="n">
        <v>26756</v>
      </c>
      <c r="I1434" s="521">
        <f>G1434</f>
        <v/>
      </c>
      <c r="K1434" s="521">
        <f>I1434-G1434</f>
        <v/>
      </c>
      <c r="M1434" s="522" t="inlineStr">
        <is>
          <t>044274</t>
        </is>
      </c>
      <c r="N1434" s="522" t="inlineStr"/>
      <c r="O1434" s="521">
        <f>M1434=N1434</f>
        <v/>
      </c>
      <c r="P1434" s="521">
        <f>AND(MONTH(F1434)=MONTH(S1434), YEAR(F1434)=YEAR(S1434))</f>
        <v/>
      </c>
      <c r="Q1434" s="521">
        <f>U1434="L001-901905215"</f>
        <v/>
      </c>
      <c r="R1434" s="556">
        <f>G1434-W1434</f>
        <v/>
      </c>
      <c r="S1434" s="521" t="n"/>
      <c r="T1434" s="522" t="n"/>
      <c r="U1434" s="522" t="n"/>
      <c r="V1434" s="522" t="n"/>
      <c r="W1434" s="521" t="n"/>
    </row>
    <row r="1435">
      <c r="A1435" s="521" t="n">
        <v>1427</v>
      </c>
      <c r="B1435" s="522" t="inlineStr">
        <is>
          <t>LIFE -OFF,GATE FEE CHARGE</t>
        </is>
      </c>
      <c r="C1435" s="522" t="inlineStr">
        <is>
          <t>កំពង់ផែស្វយ័តភ្នំពេញ "ក.ស.ភ"</t>
        </is>
      </c>
      <c r="D1435" s="522" t="inlineStr">
        <is>
          <t>L001-100044999</t>
        </is>
      </c>
      <c r="E1435" s="521" t="inlineStr">
        <is>
          <t>INV2022319843</t>
        </is>
      </c>
      <c r="F1435" s="523" t="n">
        <v>44635</v>
      </c>
      <c r="G1435" s="556" t="n">
        <v>48480</v>
      </c>
      <c r="I1435" s="521">
        <f>G1435</f>
        <v/>
      </c>
      <c r="K1435" s="521">
        <f>I1435-G1435</f>
        <v/>
      </c>
      <c r="M1435" s="522" t="inlineStr">
        <is>
          <t>INV2022319843</t>
        </is>
      </c>
      <c r="N1435" s="522" t="inlineStr"/>
      <c r="O1435" s="521">
        <f>M1435=N1435</f>
        <v/>
      </c>
      <c r="P1435" s="521">
        <f>AND(MONTH(F1435)=MONTH(S1435), YEAR(F1435)=YEAR(S1435))</f>
        <v/>
      </c>
      <c r="Q1435" s="521">
        <f>U1435="L001-901905215"</f>
        <v/>
      </c>
      <c r="R1435" s="556">
        <f>G1435-W1435</f>
        <v/>
      </c>
      <c r="S1435" s="521" t="n"/>
      <c r="T1435" s="522" t="n"/>
      <c r="U1435" s="522" t="n"/>
      <c r="V1435" s="522" t="n"/>
      <c r="W1435" s="521" t="n"/>
    </row>
    <row r="1436">
      <c r="A1436" s="521" t="n">
        <v>1428</v>
      </c>
      <c r="B1436" s="522" t="inlineStr">
        <is>
          <t>LIFE -OFF,GATE FEE CHARGE</t>
        </is>
      </c>
      <c r="C1436" s="522" t="inlineStr">
        <is>
          <t>កំពង់ផែស្វយ័តភ្នំពេញ "ក.ស.ភ"</t>
        </is>
      </c>
      <c r="D1436" s="522" t="inlineStr">
        <is>
          <t>L001-100044999</t>
        </is>
      </c>
      <c r="E1436" s="521" t="inlineStr">
        <is>
          <t>INV2022319839</t>
        </is>
      </c>
      <c r="F1436" s="523" t="n">
        <v>44635</v>
      </c>
      <c r="G1436" s="556" t="n">
        <v>58176</v>
      </c>
      <c r="I1436" s="521">
        <f>G1436</f>
        <v/>
      </c>
      <c r="K1436" s="521">
        <f>I1436-G1436</f>
        <v/>
      </c>
      <c r="M1436" s="522" t="inlineStr">
        <is>
          <t>INV2022319839</t>
        </is>
      </c>
      <c r="N1436" s="522" t="inlineStr"/>
      <c r="O1436" s="521">
        <f>M1436=N1436</f>
        <v/>
      </c>
      <c r="P1436" s="521">
        <f>AND(MONTH(F1436)=MONTH(S1436), YEAR(F1436)=YEAR(S1436))</f>
        <v/>
      </c>
      <c r="Q1436" s="521">
        <f>U1436="L001-901905215"</f>
        <v/>
      </c>
      <c r="R1436" s="556">
        <f>G1436-W1436</f>
        <v/>
      </c>
      <c r="S1436" s="521" t="n"/>
      <c r="T1436" s="522" t="n"/>
      <c r="U1436" s="522" t="n"/>
      <c r="V1436" s="522" t="n"/>
      <c r="W1436" s="521" t="n"/>
    </row>
    <row r="1437">
      <c r="A1437" s="521" t="n">
        <v>1429</v>
      </c>
      <c r="B1437" s="522" t="inlineStr">
        <is>
          <t>LIFE -OFF,GATE FEE CHARGE</t>
        </is>
      </c>
      <c r="C1437" s="522" t="inlineStr">
        <is>
          <t>កំពង់ផែស្វយ័តភ្នំពេញ "ក.ស.ភ"</t>
        </is>
      </c>
      <c r="D1437" s="522" t="inlineStr">
        <is>
          <t>L001-100044999</t>
        </is>
      </c>
      <c r="E1437" s="521" t="inlineStr">
        <is>
          <t>INV2022319840</t>
        </is>
      </c>
      <c r="F1437" s="523" t="n">
        <v>44635</v>
      </c>
      <c r="G1437" s="556" t="n">
        <v>77568</v>
      </c>
      <c r="I1437" s="521">
        <f>G1437</f>
        <v/>
      </c>
      <c r="K1437" s="521">
        <f>I1437-G1437</f>
        <v/>
      </c>
      <c r="M1437" s="522" t="inlineStr">
        <is>
          <t>INV2022319840</t>
        </is>
      </c>
      <c r="N1437" s="522" t="inlineStr"/>
      <c r="O1437" s="521">
        <f>M1437=N1437</f>
        <v/>
      </c>
      <c r="P1437" s="521">
        <f>AND(MONTH(F1437)=MONTH(S1437), YEAR(F1437)=YEAR(S1437))</f>
        <v/>
      </c>
      <c r="Q1437" s="521">
        <f>U1437="L001-901905215"</f>
        <v/>
      </c>
      <c r="R1437" s="556">
        <f>G1437-W1437</f>
        <v/>
      </c>
      <c r="S1437" s="521" t="n"/>
      <c r="T1437" s="522" t="n"/>
      <c r="U1437" s="522" t="n"/>
      <c r="V1437" s="522" t="n"/>
      <c r="W1437" s="521" t="n"/>
    </row>
    <row r="1438">
      <c r="A1438" s="521" t="n">
        <v>1430</v>
      </c>
      <c r="B1438" s="522" t="inlineStr">
        <is>
          <t>LIFE -OFF,GATE FEE CHARGE</t>
        </is>
      </c>
      <c r="C1438" s="522" t="inlineStr">
        <is>
          <t>កំពង់ផែស្វយ័តភ្នំពេញ "ក.ស.ភ"</t>
        </is>
      </c>
      <c r="D1438" s="522" t="inlineStr">
        <is>
          <t>L001-100044999</t>
        </is>
      </c>
      <c r="E1438" s="521" t="inlineStr">
        <is>
          <t>INV2022319838</t>
        </is>
      </c>
      <c r="F1438" s="523" t="n">
        <v>44635</v>
      </c>
      <c r="G1438" s="556" t="n">
        <v>58176</v>
      </c>
      <c r="I1438" s="521">
        <f>G1438</f>
        <v/>
      </c>
      <c r="K1438" s="521">
        <f>I1438-G1438</f>
        <v/>
      </c>
      <c r="M1438" s="522" t="inlineStr">
        <is>
          <t>INV2022319838</t>
        </is>
      </c>
      <c r="N1438" s="522" t="inlineStr"/>
      <c r="O1438" s="521">
        <f>M1438=N1438</f>
        <v/>
      </c>
      <c r="P1438" s="521">
        <f>AND(MONTH(F1438)=MONTH(S1438), YEAR(F1438)=YEAR(S1438))</f>
        <v/>
      </c>
      <c r="Q1438" s="521">
        <f>U1438="L001-901905215"</f>
        <v/>
      </c>
      <c r="R1438" s="556">
        <f>G1438-W1438</f>
        <v/>
      </c>
      <c r="S1438" s="521" t="n"/>
      <c r="T1438" s="522" t="n"/>
      <c r="U1438" s="522" t="n"/>
      <c r="V1438" s="522" t="n"/>
      <c r="W1438" s="521" t="n"/>
    </row>
    <row r="1439">
      <c r="A1439" s="521" t="n">
        <v>1431</v>
      </c>
      <c r="B1439" s="522" t="inlineStr">
        <is>
          <t>LIFE -OFF,GATE FEE CHARGE</t>
        </is>
      </c>
      <c r="C1439" s="522" t="inlineStr">
        <is>
          <t>កំពង់ផែស្វយ័តភ្នំពេញ "ក.ស.ភ"</t>
        </is>
      </c>
      <c r="D1439" s="522" t="inlineStr">
        <is>
          <t>L001-100044999</t>
        </is>
      </c>
      <c r="E1439" s="521" t="inlineStr">
        <is>
          <t>INV2022319841</t>
        </is>
      </c>
      <c r="F1439" s="523" t="n">
        <v>44635</v>
      </c>
      <c r="G1439" s="556" t="n">
        <v>261792</v>
      </c>
      <c r="I1439" s="521">
        <f>G1439</f>
        <v/>
      </c>
      <c r="K1439" s="521">
        <f>I1439-G1439</f>
        <v/>
      </c>
      <c r="M1439" s="522" t="inlineStr">
        <is>
          <t>INV2022319841</t>
        </is>
      </c>
      <c r="N1439" s="522" t="inlineStr"/>
      <c r="O1439" s="521">
        <f>M1439=N1439</f>
        <v/>
      </c>
      <c r="P1439" s="521">
        <f>AND(MONTH(F1439)=MONTH(S1439), YEAR(F1439)=YEAR(S1439))</f>
        <v/>
      </c>
      <c r="Q1439" s="521">
        <f>U1439="L001-901905215"</f>
        <v/>
      </c>
      <c r="R1439" s="556">
        <f>G1439-W1439</f>
        <v/>
      </c>
      <c r="S1439" s="521" t="n"/>
      <c r="T1439" s="522" t="n"/>
      <c r="U1439" s="522" t="n"/>
      <c r="V1439" s="522" t="n"/>
      <c r="W1439" s="521" t="n"/>
    </row>
    <row r="1440">
      <c r="A1440" s="521" t="n">
        <v>1432</v>
      </c>
      <c r="B1440" s="522" t="inlineStr">
        <is>
          <t>LIFE -OFF,GATE FEE CHARGE</t>
        </is>
      </c>
      <c r="C1440" s="522" t="inlineStr">
        <is>
          <t>កំពង់ផែស្វយ័តភ្នំពេញ "ក.ស.ភ"</t>
        </is>
      </c>
      <c r="D1440" s="522" t="inlineStr">
        <is>
          <t>L001-100044999</t>
        </is>
      </c>
      <c r="E1440" s="521" t="inlineStr">
        <is>
          <t>INV2022319842</t>
        </is>
      </c>
      <c r="F1440" s="523" t="n">
        <v>44635</v>
      </c>
      <c r="G1440" s="556" t="n">
        <v>58176</v>
      </c>
      <c r="I1440" s="521">
        <f>G1440</f>
        <v/>
      </c>
      <c r="K1440" s="521">
        <f>I1440-G1440</f>
        <v/>
      </c>
      <c r="M1440" s="522" t="inlineStr">
        <is>
          <t>INV2022319842</t>
        </is>
      </c>
      <c r="N1440" s="522" t="inlineStr"/>
      <c r="O1440" s="521">
        <f>M1440=N1440</f>
        <v/>
      </c>
      <c r="P1440" s="521">
        <f>AND(MONTH(F1440)=MONTH(S1440), YEAR(F1440)=YEAR(S1440))</f>
        <v/>
      </c>
      <c r="Q1440" s="521">
        <f>U1440="L001-901905215"</f>
        <v/>
      </c>
      <c r="R1440" s="556">
        <f>G1440-W1440</f>
        <v/>
      </c>
      <c r="S1440" s="521" t="n"/>
      <c r="T1440" s="522" t="n"/>
      <c r="U1440" s="522" t="n"/>
      <c r="V1440" s="522" t="n"/>
      <c r="W1440" s="521" t="n"/>
    </row>
    <row r="1441">
      <c r="A1441" s="521" t="n">
        <v>1433</v>
      </c>
      <c r="B1441" s="522" t="inlineStr">
        <is>
          <t>LIFE -OFF,GATE FEE CHARGE</t>
        </is>
      </c>
      <c r="C1441" s="522" t="inlineStr">
        <is>
          <t>កំពង់ផែស្វយ័តភ្នំពេញ "ក.ស.ភ"</t>
        </is>
      </c>
      <c r="D1441" s="522" t="inlineStr">
        <is>
          <t>L001-100044999</t>
        </is>
      </c>
      <c r="E1441" s="521" t="inlineStr">
        <is>
          <t>INV2022319837</t>
        </is>
      </c>
      <c r="F1441" s="523" t="n">
        <v>44635</v>
      </c>
      <c r="G1441" s="556" t="n">
        <v>193920</v>
      </c>
      <c r="I1441" s="521">
        <f>G1441</f>
        <v/>
      </c>
      <c r="K1441" s="521">
        <f>I1441-G1441</f>
        <v/>
      </c>
      <c r="M1441" s="522" t="inlineStr">
        <is>
          <t>INV2022319837</t>
        </is>
      </c>
      <c r="N1441" s="522" t="inlineStr"/>
      <c r="O1441" s="521">
        <f>M1441=N1441</f>
        <v/>
      </c>
      <c r="P1441" s="521">
        <f>AND(MONTH(F1441)=MONTH(S1441), YEAR(F1441)=YEAR(S1441))</f>
        <v/>
      </c>
      <c r="Q1441" s="521">
        <f>U1441="L001-901905215"</f>
        <v/>
      </c>
      <c r="R1441" s="556">
        <f>G1441-W1441</f>
        <v/>
      </c>
      <c r="S1441" s="521" t="n"/>
      <c r="T1441" s="522" t="n"/>
      <c r="U1441" s="522" t="n"/>
      <c r="V1441" s="522" t="n"/>
      <c r="W1441" s="521" t="n"/>
    </row>
    <row r="1442">
      <c r="A1442" s="521" t="n">
        <v>1434</v>
      </c>
      <c r="B1442" s="522" t="inlineStr">
        <is>
          <t>LIFE -OFF,GATE FEE CHARGE</t>
        </is>
      </c>
      <c r="C1442" s="522" t="inlineStr">
        <is>
          <t>កំពង់ផែស្វយ័តភ្នំពេញ "ក.ស.ភ"</t>
        </is>
      </c>
      <c r="D1442" s="522" t="inlineStr">
        <is>
          <t>L001-100044999</t>
        </is>
      </c>
      <c r="E1442" s="521" t="inlineStr">
        <is>
          <t>INV2022317395</t>
        </is>
      </c>
      <c r="F1442" s="523" t="n">
        <v>44625</v>
      </c>
      <c r="G1442" s="556" t="n">
        <v>58507</v>
      </c>
      <c r="I1442" s="521">
        <f>G1442</f>
        <v/>
      </c>
      <c r="K1442" s="521">
        <f>I1442-G1442</f>
        <v/>
      </c>
      <c r="M1442" s="522" t="inlineStr">
        <is>
          <t>INV2022317395</t>
        </is>
      </c>
      <c r="N1442" s="522" t="inlineStr"/>
      <c r="O1442" s="521">
        <f>M1442=N1442</f>
        <v/>
      </c>
      <c r="P1442" s="521">
        <f>AND(MONTH(F1442)=MONTH(S1442), YEAR(F1442)=YEAR(S1442))</f>
        <v/>
      </c>
      <c r="Q1442" s="521">
        <f>U1442="L001-901905215"</f>
        <v/>
      </c>
      <c r="R1442" s="556">
        <f>G1442-W1442</f>
        <v/>
      </c>
      <c r="S1442" s="521" t="n"/>
      <c r="T1442" s="522" t="n"/>
      <c r="U1442" s="522" t="n"/>
      <c r="V1442" s="522" t="n"/>
      <c r="W1442" s="521" t="n"/>
    </row>
    <row r="1443">
      <c r="A1443" s="521" t="n">
        <v>1435</v>
      </c>
      <c r="B1443" s="522" t="inlineStr">
        <is>
          <t>LIFE -OFF,GATE FEE CHARGE</t>
        </is>
      </c>
      <c r="C1443" s="522" t="inlineStr">
        <is>
          <t>កំពង់ផែស្វយ័តភ្នំពេញ "ក.ស.ភ"</t>
        </is>
      </c>
      <c r="D1443" s="522" t="inlineStr">
        <is>
          <t>L001-100044999</t>
        </is>
      </c>
      <c r="E1443" s="521" t="inlineStr">
        <is>
          <t>INV2022317902</t>
        </is>
      </c>
      <c r="F1443" s="523" t="n">
        <v>44625</v>
      </c>
      <c r="G1443" s="556" t="n">
        <v>77971</v>
      </c>
      <c r="I1443" s="521">
        <f>G1443</f>
        <v/>
      </c>
      <c r="K1443" s="521">
        <f>I1443-G1443</f>
        <v/>
      </c>
      <c r="M1443" s="522" t="inlineStr">
        <is>
          <t>INV2022317902</t>
        </is>
      </c>
      <c r="N1443" s="522" t="inlineStr"/>
      <c r="O1443" s="521">
        <f>M1443=N1443</f>
        <v/>
      </c>
      <c r="P1443" s="521">
        <f>AND(MONTH(F1443)=MONTH(S1443), YEAR(F1443)=YEAR(S1443))</f>
        <v/>
      </c>
      <c r="Q1443" s="521">
        <f>U1443="L001-901905215"</f>
        <v/>
      </c>
      <c r="R1443" s="556">
        <f>G1443-W1443</f>
        <v/>
      </c>
      <c r="S1443" s="521" t="n"/>
      <c r="T1443" s="522" t="n"/>
      <c r="U1443" s="522" t="n"/>
      <c r="V1443" s="522" t="n"/>
      <c r="W1443" s="521" t="n"/>
    </row>
    <row r="1444">
      <c r="A1444" s="521" t="n">
        <v>1436</v>
      </c>
      <c r="B1444" s="522" t="inlineStr">
        <is>
          <t>LIFE -OFF,GATE FEE CHARGE</t>
        </is>
      </c>
      <c r="C1444" s="522" t="inlineStr">
        <is>
          <t>កំពង់ផែស្វយ័តភ្នំពេញ "ក.ស.ភ"</t>
        </is>
      </c>
      <c r="D1444" s="522" t="inlineStr">
        <is>
          <t>L001-100044999</t>
        </is>
      </c>
      <c r="E1444" s="521" t="inlineStr">
        <is>
          <t>INV2022317399</t>
        </is>
      </c>
      <c r="F1444" s="523" t="n">
        <v>44625</v>
      </c>
      <c r="G1444" s="556" t="n">
        <v>58507</v>
      </c>
      <c r="I1444" s="521">
        <f>G1444</f>
        <v/>
      </c>
      <c r="K1444" s="521">
        <f>I1444-G1444</f>
        <v/>
      </c>
      <c r="M1444" s="522" t="inlineStr">
        <is>
          <t>INV2022317399</t>
        </is>
      </c>
      <c r="N1444" s="522" t="inlineStr"/>
      <c r="O1444" s="521">
        <f>M1444=N1444</f>
        <v/>
      </c>
      <c r="P1444" s="521">
        <f>AND(MONTH(F1444)=MONTH(S1444), YEAR(F1444)=YEAR(S1444))</f>
        <v/>
      </c>
      <c r="Q1444" s="521">
        <f>U1444="L001-901905215"</f>
        <v/>
      </c>
      <c r="R1444" s="556">
        <f>G1444-W1444</f>
        <v/>
      </c>
      <c r="S1444" s="521" t="n"/>
      <c r="T1444" s="522" t="n"/>
      <c r="U1444" s="522" t="n"/>
      <c r="V1444" s="522" t="n"/>
      <c r="W1444" s="521" t="n"/>
    </row>
    <row r="1445">
      <c r="A1445" s="521" t="n">
        <v>1437</v>
      </c>
      <c r="B1445" s="522" t="inlineStr">
        <is>
          <t>LIFE -OFF,GATE FEE CHARGE</t>
        </is>
      </c>
      <c r="C1445" s="522" t="inlineStr">
        <is>
          <t>កំពង់ផែស្វយ័តភ្នំពេញ "ក.ស.ភ"</t>
        </is>
      </c>
      <c r="D1445" s="522" t="inlineStr">
        <is>
          <t>L001-100044999</t>
        </is>
      </c>
      <c r="E1445" s="521" t="inlineStr">
        <is>
          <t>INV2022317397</t>
        </is>
      </c>
      <c r="F1445" s="523" t="n">
        <v>44625</v>
      </c>
      <c r="G1445" s="556" t="n">
        <v>117014</v>
      </c>
      <c r="I1445" s="521">
        <f>G1445</f>
        <v/>
      </c>
      <c r="K1445" s="521">
        <f>I1445-G1445</f>
        <v/>
      </c>
      <c r="M1445" s="522" t="inlineStr">
        <is>
          <t>INV2022317397</t>
        </is>
      </c>
      <c r="N1445" s="522" t="inlineStr"/>
      <c r="O1445" s="521">
        <f>M1445=N1445</f>
        <v/>
      </c>
      <c r="P1445" s="521">
        <f>AND(MONTH(F1445)=MONTH(S1445), YEAR(F1445)=YEAR(S1445))</f>
        <v/>
      </c>
      <c r="Q1445" s="521">
        <f>U1445="L001-901905215"</f>
        <v/>
      </c>
      <c r="R1445" s="556">
        <f>G1445-W1445</f>
        <v/>
      </c>
      <c r="S1445" s="521" t="n"/>
      <c r="T1445" s="522" t="n"/>
      <c r="U1445" s="522" t="n"/>
      <c r="V1445" s="522" t="n"/>
      <c r="W1445" s="521" t="n"/>
    </row>
    <row r="1446">
      <c r="A1446" s="521" t="n">
        <v>1438</v>
      </c>
      <c r="B1446" s="522" t="inlineStr">
        <is>
          <t>LIFE -OFF</t>
        </is>
      </c>
      <c r="C1446" s="522" t="inlineStr">
        <is>
          <t>កំពង់ផែស្វយ័តក្រុងព្រះសីហនុ</t>
        </is>
      </c>
      <c r="D1446" s="522" t="inlineStr">
        <is>
          <t>L001-100044638</t>
        </is>
      </c>
      <c r="E1446" s="521" t="inlineStr">
        <is>
          <t>038857</t>
        </is>
      </c>
      <c r="F1446" s="523" t="n">
        <v>44622</v>
      </c>
      <c r="G1446" s="556" t="n">
        <v>13821</v>
      </c>
      <c r="I1446" s="521">
        <f>G1446</f>
        <v/>
      </c>
      <c r="K1446" s="521">
        <f>I1446-G1446</f>
        <v/>
      </c>
      <c r="M1446" s="522" t="inlineStr">
        <is>
          <t>038857</t>
        </is>
      </c>
      <c r="N1446" s="522" t="inlineStr"/>
      <c r="O1446" s="521">
        <f>M1446=N1446</f>
        <v/>
      </c>
      <c r="P1446" s="521">
        <f>AND(MONTH(F1446)=MONTH(S1446), YEAR(F1446)=YEAR(S1446))</f>
        <v/>
      </c>
      <c r="Q1446" s="521">
        <f>U1446="L001-901905215"</f>
        <v/>
      </c>
      <c r="R1446" s="556">
        <f>G1446-W1446</f>
        <v/>
      </c>
      <c r="S1446" s="521" t="n"/>
      <c r="T1446" s="522" t="n"/>
      <c r="U1446" s="522" t="n"/>
      <c r="V1446" s="522" t="n"/>
      <c r="W1446" s="521" t="n"/>
    </row>
    <row r="1447">
      <c r="A1447" s="521" t="n">
        <v>1439</v>
      </c>
      <c r="B1447" s="522" t="inlineStr">
        <is>
          <t>LIFE -OFF</t>
        </is>
      </c>
      <c r="C1447" s="522" t="inlineStr">
        <is>
          <t>កំពង់ផែស្វយ័តក្រុងព្រះសីហនុ</t>
        </is>
      </c>
      <c r="D1447" s="522" t="inlineStr">
        <is>
          <t>L001-100044638</t>
        </is>
      </c>
      <c r="E1447" s="521" t="inlineStr">
        <is>
          <t>038863</t>
        </is>
      </c>
      <c r="F1447" s="523" t="n">
        <v>44622</v>
      </c>
      <c r="G1447" s="556" t="n">
        <v>20731</v>
      </c>
      <c r="I1447" s="521">
        <f>G1447</f>
        <v/>
      </c>
      <c r="K1447" s="521">
        <f>I1447-G1447</f>
        <v/>
      </c>
      <c r="M1447" s="522" t="inlineStr">
        <is>
          <t>038863</t>
        </is>
      </c>
      <c r="N1447" s="522" t="inlineStr"/>
      <c r="O1447" s="521">
        <f>M1447=N1447</f>
        <v/>
      </c>
      <c r="P1447" s="521">
        <f>AND(MONTH(F1447)=MONTH(S1447), YEAR(F1447)=YEAR(S1447))</f>
        <v/>
      </c>
      <c r="Q1447" s="521">
        <f>U1447="L001-901905215"</f>
        <v/>
      </c>
      <c r="R1447" s="556">
        <f>G1447-W1447</f>
        <v/>
      </c>
      <c r="S1447" s="521" t="n"/>
      <c r="T1447" s="522" t="n"/>
      <c r="U1447" s="522" t="n"/>
      <c r="V1447" s="522" t="n"/>
      <c r="W1447" s="521" t="n"/>
    </row>
    <row r="1448">
      <c r="A1448" s="521" t="n">
        <v>1440</v>
      </c>
      <c r="B1448" s="522" t="inlineStr">
        <is>
          <t>LIFE -OFF</t>
        </is>
      </c>
      <c r="C1448" s="522" t="inlineStr">
        <is>
          <t>កំពង់ផែស្វយ័តក្រុងព្រះសីហនុ</t>
        </is>
      </c>
      <c r="D1448" s="522" t="inlineStr">
        <is>
          <t>L001-100044638</t>
        </is>
      </c>
      <c r="E1448" s="521" t="inlineStr">
        <is>
          <t>038864</t>
        </is>
      </c>
      <c r="F1448" s="523" t="n">
        <v>44622</v>
      </c>
      <c r="G1448" s="556" t="n">
        <v>20731</v>
      </c>
      <c r="I1448" s="521">
        <f>G1448</f>
        <v/>
      </c>
      <c r="K1448" s="521">
        <f>I1448-G1448</f>
        <v/>
      </c>
      <c r="M1448" s="522" t="inlineStr">
        <is>
          <t>038864</t>
        </is>
      </c>
      <c r="N1448" s="522" t="inlineStr"/>
      <c r="O1448" s="521">
        <f>M1448=N1448</f>
        <v/>
      </c>
      <c r="P1448" s="521">
        <f>AND(MONTH(F1448)=MONTH(S1448), YEAR(F1448)=YEAR(S1448))</f>
        <v/>
      </c>
      <c r="Q1448" s="521">
        <f>U1448="L001-901905215"</f>
        <v/>
      </c>
      <c r="R1448" s="556">
        <f>G1448-W1448</f>
        <v/>
      </c>
      <c r="S1448" s="521" t="n"/>
      <c r="T1448" s="522" t="n"/>
      <c r="U1448" s="522" t="n"/>
      <c r="V1448" s="522" t="n"/>
      <c r="W1448" s="521" t="n"/>
    </row>
    <row r="1449">
      <c r="A1449" s="521" t="n">
        <v>1441</v>
      </c>
      <c r="B1449" s="522" t="inlineStr">
        <is>
          <t>LIFE -OFF</t>
        </is>
      </c>
      <c r="C1449" s="522" t="inlineStr">
        <is>
          <t>កំពង់ផែស្វយ័តក្រុងព្រះសីហនុ</t>
        </is>
      </c>
      <c r="D1449" s="522" t="inlineStr">
        <is>
          <t>L001-100044638</t>
        </is>
      </c>
      <c r="E1449" s="521" t="inlineStr">
        <is>
          <t>038861</t>
        </is>
      </c>
      <c r="F1449" s="523" t="n">
        <v>44622</v>
      </c>
      <c r="G1449" s="556" t="n">
        <v>20731</v>
      </c>
      <c r="I1449" s="521">
        <f>G1449</f>
        <v/>
      </c>
      <c r="K1449" s="521">
        <f>I1449-G1449</f>
        <v/>
      </c>
      <c r="M1449" s="522" t="inlineStr">
        <is>
          <t>038861</t>
        </is>
      </c>
      <c r="N1449" s="522" t="inlineStr"/>
      <c r="O1449" s="521">
        <f>M1449=N1449</f>
        <v/>
      </c>
      <c r="P1449" s="521">
        <f>AND(MONTH(F1449)=MONTH(S1449), YEAR(F1449)=YEAR(S1449))</f>
        <v/>
      </c>
      <c r="Q1449" s="521">
        <f>U1449="L001-901905215"</f>
        <v/>
      </c>
      <c r="R1449" s="556">
        <f>G1449-W1449</f>
        <v/>
      </c>
      <c r="S1449" s="521" t="n"/>
      <c r="T1449" s="522" t="n"/>
      <c r="U1449" s="522" t="n"/>
      <c r="V1449" s="522" t="n"/>
      <c r="W1449" s="521" t="n"/>
    </row>
    <row r="1450">
      <c r="A1450" s="521" t="n">
        <v>1442</v>
      </c>
      <c r="B1450" s="522" t="inlineStr">
        <is>
          <t>LIFE -OFF</t>
        </is>
      </c>
      <c r="C1450" s="522" t="inlineStr">
        <is>
          <t>កំពង់ផែស្វយ័តក្រុងព្រះសីហនុ</t>
        </is>
      </c>
      <c r="D1450" s="522" t="inlineStr">
        <is>
          <t>L001-100044638</t>
        </is>
      </c>
      <c r="E1450" s="521" t="inlineStr">
        <is>
          <t>038862</t>
        </is>
      </c>
      <c r="F1450" s="523" t="n">
        <v>44622</v>
      </c>
      <c r="G1450" s="556" t="n">
        <v>20731</v>
      </c>
      <c r="I1450" s="521">
        <f>G1450</f>
        <v/>
      </c>
      <c r="K1450" s="521">
        <f>I1450-G1450</f>
        <v/>
      </c>
      <c r="M1450" s="522" t="inlineStr">
        <is>
          <t>038862</t>
        </is>
      </c>
      <c r="N1450" s="522" t="inlineStr"/>
      <c r="O1450" s="521">
        <f>M1450=N1450</f>
        <v/>
      </c>
      <c r="P1450" s="521">
        <f>AND(MONTH(F1450)=MONTH(S1450), YEAR(F1450)=YEAR(S1450))</f>
        <v/>
      </c>
      <c r="Q1450" s="521">
        <f>U1450="L001-901905215"</f>
        <v/>
      </c>
      <c r="R1450" s="556">
        <f>G1450-W1450</f>
        <v/>
      </c>
      <c r="S1450" s="521" t="n"/>
      <c r="T1450" s="522" t="n"/>
      <c r="U1450" s="522" t="n"/>
      <c r="V1450" s="522" t="n"/>
      <c r="W1450" s="521" t="n"/>
    </row>
    <row r="1451">
      <c r="A1451" s="521" t="n">
        <v>1443</v>
      </c>
      <c r="B1451" s="522" t="inlineStr">
        <is>
          <t>LIFE -OFF,GATE FEE CHARGE</t>
        </is>
      </c>
      <c r="C1451" s="522" t="inlineStr">
        <is>
          <t>កំពង់ផែស្វយ័តភ្នំពេញ "ក.ស.ភ"</t>
        </is>
      </c>
      <c r="D1451" s="522" t="inlineStr">
        <is>
          <t>L001-100044999</t>
        </is>
      </c>
      <c r="E1451" s="521" t="inlineStr">
        <is>
          <t>INV2022317393</t>
        </is>
      </c>
      <c r="F1451" s="523" t="n">
        <v>44625</v>
      </c>
      <c r="G1451" s="556" t="n">
        <v>87761</v>
      </c>
      <c r="I1451" s="521">
        <f>G1451</f>
        <v/>
      </c>
      <c r="K1451" s="521">
        <f>I1451-G1451</f>
        <v/>
      </c>
      <c r="M1451" s="522" t="inlineStr">
        <is>
          <t>INV2022317393</t>
        </is>
      </c>
      <c r="N1451" s="522" t="inlineStr"/>
      <c r="O1451" s="521">
        <f>M1451=N1451</f>
        <v/>
      </c>
      <c r="P1451" s="521">
        <f>AND(MONTH(F1451)=MONTH(S1451), YEAR(F1451)=YEAR(S1451))</f>
        <v/>
      </c>
      <c r="Q1451" s="521">
        <f>U1451="L001-901905215"</f>
        <v/>
      </c>
      <c r="R1451" s="556">
        <f>G1451-W1451</f>
        <v/>
      </c>
      <c r="S1451" s="521" t="n"/>
      <c r="T1451" s="522" t="n"/>
      <c r="U1451" s="522" t="n"/>
      <c r="V1451" s="522" t="n"/>
      <c r="W1451" s="521" t="n"/>
    </row>
    <row r="1452">
      <c r="A1452" s="521" t="n">
        <v>1444</v>
      </c>
      <c r="B1452" s="522" t="inlineStr">
        <is>
          <t>LIFE -OFF,GATE FEE CHARGE</t>
        </is>
      </c>
      <c r="C1452" s="522" t="inlineStr">
        <is>
          <t>កំពង់ផែស្វយ័តភ្នំពេញ "ក.ស.ភ"</t>
        </is>
      </c>
      <c r="D1452" s="522" t="inlineStr">
        <is>
          <t>L001-100044999</t>
        </is>
      </c>
      <c r="E1452" s="521" t="inlineStr">
        <is>
          <t>INV2022317390</t>
        </is>
      </c>
      <c r="F1452" s="523" t="n">
        <v>44625</v>
      </c>
      <c r="G1452" s="556" t="n">
        <v>58507</v>
      </c>
      <c r="I1452" s="521">
        <f>G1452</f>
        <v/>
      </c>
      <c r="K1452" s="521">
        <f>I1452-G1452</f>
        <v/>
      </c>
      <c r="M1452" s="522" t="inlineStr">
        <is>
          <t>INV2022317390</t>
        </is>
      </c>
      <c r="N1452" s="522" t="inlineStr"/>
      <c r="O1452" s="521">
        <f>M1452=N1452</f>
        <v/>
      </c>
      <c r="P1452" s="521">
        <f>AND(MONTH(F1452)=MONTH(S1452), YEAR(F1452)=YEAR(S1452))</f>
        <v/>
      </c>
      <c r="Q1452" s="521">
        <f>U1452="L001-901905215"</f>
        <v/>
      </c>
      <c r="R1452" s="556">
        <f>G1452-W1452</f>
        <v/>
      </c>
      <c r="S1452" s="521" t="n"/>
      <c r="T1452" s="522" t="n"/>
      <c r="U1452" s="522" t="n"/>
      <c r="V1452" s="522" t="n"/>
      <c r="W1452" s="521" t="n"/>
    </row>
    <row r="1453">
      <c r="A1453" s="521" t="n">
        <v>1445</v>
      </c>
      <c r="B1453" s="522" t="inlineStr">
        <is>
          <t>CLERANCE &amp; TRUCKING FEE</t>
        </is>
      </c>
      <c r="C1453" s="522" t="inlineStr">
        <is>
          <t>56ប៊ី-លីង សឹបផ្លាយ ឆេន មេនេចម៉ិន ឯ.ក</t>
        </is>
      </c>
      <c r="D1453" s="522" t="inlineStr">
        <is>
          <t>K004-902004795</t>
        </is>
      </c>
      <c r="E1453" s="521" t="inlineStr">
        <is>
          <t>TI2022-0295</t>
        </is>
      </c>
      <c r="F1453" s="523" t="n">
        <v>44648</v>
      </c>
      <c r="G1453" s="556" t="n">
        <v>538650</v>
      </c>
      <c r="I1453" s="521">
        <f>G1453</f>
        <v/>
      </c>
      <c r="K1453" s="521">
        <f>I1453-G1453</f>
        <v/>
      </c>
      <c r="M1453" s="522" t="inlineStr">
        <is>
          <t>TI20220295</t>
        </is>
      </c>
      <c r="N1453" s="522" t="inlineStr">
        <is>
          <t>TI20220295</t>
        </is>
      </c>
      <c r="O1453" s="521">
        <f>M1453=N1453</f>
        <v/>
      </c>
      <c r="P1453" s="521">
        <f>AND(MONTH(F1453)=MONTH(S1453), YEAR(F1453)=YEAR(S1453))</f>
        <v/>
      </c>
      <c r="Q1453" s="521">
        <f>U1453="L001-901905215"</f>
        <v/>
      </c>
      <c r="R1453" s="556">
        <f>G1453-W1453</f>
        <v/>
      </c>
      <c r="S1453" s="523" t="n">
        <v>44648</v>
      </c>
      <c r="T1453" s="522" t="inlineStr">
        <is>
          <t>TI2022-0295</t>
        </is>
      </c>
      <c r="U1453" s="522" t="inlineStr">
        <is>
          <t>L001-901905215</t>
        </is>
      </c>
      <c r="V1453" s="522" t="inlineStr">
        <is>
          <t>វីអ៊ីស៊ិន (ខេមបូឌា) អ៊ិនដាសស្ទ្រី ឯ.ក</t>
        </is>
      </c>
      <c r="W1453" s="556" t="n">
        <v>538650</v>
      </c>
    </row>
    <row r="1454">
      <c r="A1454" s="521" t="n">
        <v>1446</v>
      </c>
      <c r="B1454" s="522" t="inlineStr">
        <is>
          <t>CLERANCE &amp; TRUCKING FEE</t>
        </is>
      </c>
      <c r="C1454" s="522" t="inlineStr">
        <is>
          <t>56ប៊ី-លីង សឹបផ្លាយ ឆេន មេនេចម៉ិន ឯ.ក</t>
        </is>
      </c>
      <c r="D1454" s="522" t="inlineStr">
        <is>
          <t>K004-902004795</t>
        </is>
      </c>
      <c r="E1454" s="521" t="inlineStr">
        <is>
          <t>TI2022-0294</t>
        </is>
      </c>
      <c r="F1454" s="523" t="n">
        <v>44648</v>
      </c>
      <c r="G1454" s="556" t="n">
        <v>297675</v>
      </c>
      <c r="I1454" s="521">
        <f>G1454</f>
        <v/>
      </c>
      <c r="K1454" s="521">
        <f>I1454-G1454</f>
        <v/>
      </c>
      <c r="M1454" s="522" t="inlineStr">
        <is>
          <t>TI20220294</t>
        </is>
      </c>
      <c r="N1454" s="522" t="inlineStr">
        <is>
          <t>TI20220294</t>
        </is>
      </c>
      <c r="O1454" s="521">
        <f>M1454=N1454</f>
        <v/>
      </c>
      <c r="P1454" s="521">
        <f>AND(MONTH(F1454)=MONTH(S1454), YEAR(F1454)=YEAR(S1454))</f>
        <v/>
      </c>
      <c r="Q1454" s="521">
        <f>U1454="L001-901905215"</f>
        <v/>
      </c>
      <c r="R1454" s="556">
        <f>G1454-W1454</f>
        <v/>
      </c>
      <c r="S1454" s="523" t="n">
        <v>44648</v>
      </c>
      <c r="T1454" s="522" t="inlineStr">
        <is>
          <t>TI2022-0294</t>
        </is>
      </c>
      <c r="U1454" s="522" t="inlineStr">
        <is>
          <t>L001-901905215</t>
        </is>
      </c>
      <c r="V1454" s="522" t="inlineStr">
        <is>
          <t>វីអ៊ីស៊ិន (ខេមបូឌា) អ៊ិនដាសស្ទ្រី ឯ.ក</t>
        </is>
      </c>
      <c r="W1454" s="556" t="n">
        <v>297675</v>
      </c>
    </row>
    <row r="1455">
      <c r="A1455" s="521" t="n">
        <v>1447</v>
      </c>
      <c r="B1455" s="522" t="inlineStr">
        <is>
          <t>CLERANCE &amp; TRUCKING FEE</t>
        </is>
      </c>
      <c r="C1455" s="522" t="inlineStr">
        <is>
          <t>56ប៊ី-លីង សឹបផ្លាយ ឆេន មេនេចម៉ិន ឯ.ក</t>
        </is>
      </c>
      <c r="D1455" s="522" t="inlineStr">
        <is>
          <t>K004-902004795</t>
        </is>
      </c>
      <c r="E1455" s="521" t="inlineStr">
        <is>
          <t>TI2022-0277</t>
        </is>
      </c>
      <c r="F1455" s="523" t="n">
        <v>44642</v>
      </c>
      <c r="G1455" s="556" t="n">
        <v>693718</v>
      </c>
      <c r="I1455" s="521">
        <f>G1455</f>
        <v/>
      </c>
      <c r="K1455" s="521">
        <f>I1455-G1455</f>
        <v/>
      </c>
      <c r="M1455" s="522" t="inlineStr">
        <is>
          <t>TI20220277</t>
        </is>
      </c>
      <c r="N1455" s="522" t="inlineStr">
        <is>
          <t>TI20220277</t>
        </is>
      </c>
      <c r="O1455" s="521">
        <f>M1455=N1455</f>
        <v/>
      </c>
      <c r="P1455" s="521">
        <f>AND(MONTH(F1455)=MONTH(S1455), YEAR(F1455)=YEAR(S1455))</f>
        <v/>
      </c>
      <c r="Q1455" s="521">
        <f>U1455="L001-901905215"</f>
        <v/>
      </c>
      <c r="R1455" s="556">
        <f>G1455-W1455</f>
        <v/>
      </c>
      <c r="S1455" s="523" t="n">
        <v>44642</v>
      </c>
      <c r="T1455" s="522" t="inlineStr">
        <is>
          <t>TI2022-0277</t>
        </is>
      </c>
      <c r="U1455" s="522" t="inlineStr">
        <is>
          <t>L001-901905215</t>
        </is>
      </c>
      <c r="V1455" s="522" t="inlineStr">
        <is>
          <t>វីអ៊ីស៊ិន (ខេមបូឌា) អ៊ិនដាសស្ទ្រី ឯ.ក</t>
        </is>
      </c>
      <c r="W1455" s="556" t="n">
        <v>693718</v>
      </c>
    </row>
    <row r="1456">
      <c r="A1456" s="521" t="n">
        <v>1448</v>
      </c>
      <c r="B1456" s="522" t="inlineStr">
        <is>
          <t>CLERANCE &amp; TRUCKING FEE</t>
        </is>
      </c>
      <c r="C1456" s="522" t="inlineStr">
        <is>
          <t>56ប៊ី-លីង សឹបផ្លាយ ឆេន មេនេចម៉ិន ឯ.ក</t>
        </is>
      </c>
      <c r="D1456" s="522" t="inlineStr">
        <is>
          <t>K004-902004795</t>
        </is>
      </c>
      <c r="E1456" s="521" t="inlineStr">
        <is>
          <t>TI2022-0276</t>
        </is>
      </c>
      <c r="F1456" s="523" t="n">
        <v>44642</v>
      </c>
      <c r="G1456" s="556" t="n">
        <v>268993</v>
      </c>
      <c r="I1456" s="521">
        <f>G1456</f>
        <v/>
      </c>
      <c r="K1456" s="521">
        <f>I1456-G1456</f>
        <v/>
      </c>
      <c r="M1456" s="522" t="inlineStr">
        <is>
          <t>TI20220276</t>
        </is>
      </c>
      <c r="N1456" s="522" t="inlineStr">
        <is>
          <t>TI20220276</t>
        </is>
      </c>
      <c r="O1456" s="521">
        <f>M1456=N1456</f>
        <v/>
      </c>
      <c r="P1456" s="521">
        <f>AND(MONTH(F1456)=MONTH(S1456), YEAR(F1456)=YEAR(S1456))</f>
        <v/>
      </c>
      <c r="Q1456" s="521">
        <f>U1456="L001-901905215"</f>
        <v/>
      </c>
      <c r="R1456" s="556">
        <f>G1456-W1456</f>
        <v/>
      </c>
      <c r="S1456" s="523" t="n">
        <v>44642</v>
      </c>
      <c r="T1456" s="522" t="inlineStr">
        <is>
          <t>TI2022-0276</t>
        </is>
      </c>
      <c r="U1456" s="522" t="inlineStr">
        <is>
          <t>L001-901905215</t>
        </is>
      </c>
      <c r="V1456" s="522" t="inlineStr">
        <is>
          <t>វីអ៊ីស៊ិន (ខេមបូឌា) អ៊ិនដាសស្ទ្រី ឯ.ក</t>
        </is>
      </c>
      <c r="W1456" s="556" t="n">
        <v>268993</v>
      </c>
    </row>
    <row r="1457">
      <c r="A1457" s="521" t="n">
        <v>1449</v>
      </c>
      <c r="B1457" s="522" t="inlineStr">
        <is>
          <t>CLERANCE &amp; TRUCKING FEE</t>
        </is>
      </c>
      <c r="C1457" s="522" t="inlineStr">
        <is>
          <t>56ប៊ី-លីង សឹបផ្លាយ ឆេន មេនេចម៉ិន ឯ.ក</t>
        </is>
      </c>
      <c r="D1457" s="522" t="inlineStr">
        <is>
          <t>K004-902004795</t>
        </is>
      </c>
      <c r="E1457" s="521" t="inlineStr">
        <is>
          <t>TI2022-0275</t>
        </is>
      </c>
      <c r="F1457" s="523" t="n">
        <v>44642</v>
      </c>
      <c r="G1457" s="556" t="n">
        <v>533940</v>
      </c>
      <c r="I1457" s="521">
        <f>G1457</f>
        <v/>
      </c>
      <c r="K1457" s="521">
        <f>I1457-G1457</f>
        <v/>
      </c>
      <c r="M1457" s="522" t="inlineStr">
        <is>
          <t>TI20220275</t>
        </is>
      </c>
      <c r="N1457" s="522" t="inlineStr">
        <is>
          <t>TI20220275</t>
        </is>
      </c>
      <c r="O1457" s="521">
        <f>M1457=N1457</f>
        <v/>
      </c>
      <c r="P1457" s="521">
        <f>AND(MONTH(F1457)=MONTH(S1457), YEAR(F1457)=YEAR(S1457))</f>
        <v/>
      </c>
      <c r="Q1457" s="521">
        <f>U1457="L001-901905215"</f>
        <v/>
      </c>
      <c r="R1457" s="556">
        <f>G1457-W1457</f>
        <v/>
      </c>
      <c r="S1457" s="523" t="n">
        <v>44642</v>
      </c>
      <c r="T1457" s="522" t="inlineStr">
        <is>
          <t>TI2022-0275</t>
        </is>
      </c>
      <c r="U1457" s="522" t="inlineStr">
        <is>
          <t>L001-901905215</t>
        </is>
      </c>
      <c r="V1457" s="522" t="inlineStr">
        <is>
          <t>វីអ៊ីស៊ិន (ខេមបូឌា) អ៊ិនដាសស្ទ្រី ឯ.ក</t>
        </is>
      </c>
      <c r="W1457" s="556" t="n">
        <v>533940</v>
      </c>
    </row>
    <row r="1458">
      <c r="A1458" s="521" t="n">
        <v>1450</v>
      </c>
      <c r="B1458" s="522" t="inlineStr">
        <is>
          <t>CLERANCE &amp; TRUCKING FEE</t>
        </is>
      </c>
      <c r="C1458" s="522" t="inlineStr">
        <is>
          <t>56ប៊ី-លីង សឹបផ្លាយ ឆេន មេនេចម៉ិន ឯ.ក</t>
        </is>
      </c>
      <c r="D1458" s="522" t="inlineStr">
        <is>
          <t>K004-902004795</t>
        </is>
      </c>
      <c r="E1458" s="521" t="inlineStr">
        <is>
          <t>TI2022-0274</t>
        </is>
      </c>
      <c r="F1458" s="523" t="n">
        <v>44642</v>
      </c>
      <c r="G1458" s="556" t="n">
        <v>469220</v>
      </c>
      <c r="I1458" s="521">
        <f>G1458</f>
        <v/>
      </c>
      <c r="K1458" s="521">
        <f>I1458-G1458</f>
        <v/>
      </c>
      <c r="M1458" s="522" t="inlineStr">
        <is>
          <t>TI20220274</t>
        </is>
      </c>
      <c r="N1458" s="522" t="inlineStr">
        <is>
          <t>TI20220274</t>
        </is>
      </c>
      <c r="O1458" s="521">
        <f>M1458=N1458</f>
        <v/>
      </c>
      <c r="P1458" s="521">
        <f>AND(MONTH(F1458)=MONTH(S1458), YEAR(F1458)=YEAR(S1458))</f>
        <v/>
      </c>
      <c r="Q1458" s="521">
        <f>U1458="L001-901905215"</f>
        <v/>
      </c>
      <c r="R1458" s="556">
        <f>G1458-W1458</f>
        <v/>
      </c>
      <c r="S1458" s="523" t="n">
        <v>44642</v>
      </c>
      <c r="T1458" s="522" t="inlineStr">
        <is>
          <t>TI2022-0274</t>
        </is>
      </c>
      <c r="U1458" s="522" t="inlineStr">
        <is>
          <t>L001-901905215</t>
        </is>
      </c>
      <c r="V1458" s="522" t="inlineStr">
        <is>
          <t>វីអ៊ីស៊ិន (ខេមបូឌា) អ៊ិនដាសស្ទ្រី ឯ.ក</t>
        </is>
      </c>
      <c r="W1458" s="556" t="n">
        <v>469220</v>
      </c>
    </row>
    <row r="1459">
      <c r="A1459" s="521" t="n">
        <v>1451</v>
      </c>
      <c r="B1459" s="522" t="inlineStr">
        <is>
          <t>CLERANCE &amp; TRUCKING FEE</t>
        </is>
      </c>
      <c r="C1459" s="522" t="inlineStr">
        <is>
          <t>56ប៊ី-លីង សឹបផ្លាយ ឆេន មេនេចម៉ិន ឯ.ក</t>
        </is>
      </c>
      <c r="D1459" s="522" t="inlineStr">
        <is>
          <t>K004-902004795</t>
        </is>
      </c>
      <c r="E1459" s="521" t="inlineStr">
        <is>
          <t>TI2022-0273</t>
        </is>
      </c>
      <c r="F1459" s="523" t="n">
        <v>44642</v>
      </c>
      <c r="G1459" s="556" t="n">
        <v>481355</v>
      </c>
      <c r="I1459" s="521">
        <f>G1459</f>
        <v/>
      </c>
      <c r="K1459" s="521">
        <f>I1459-G1459</f>
        <v/>
      </c>
      <c r="M1459" s="522" t="inlineStr">
        <is>
          <t>TI20220273</t>
        </is>
      </c>
      <c r="N1459" s="522" t="inlineStr">
        <is>
          <t>TI20220273</t>
        </is>
      </c>
      <c r="O1459" s="521">
        <f>M1459=N1459</f>
        <v/>
      </c>
      <c r="P1459" s="521">
        <f>AND(MONTH(F1459)=MONTH(S1459), YEAR(F1459)=YEAR(S1459))</f>
        <v/>
      </c>
      <c r="Q1459" s="521">
        <f>U1459="L001-901905215"</f>
        <v/>
      </c>
      <c r="R1459" s="556">
        <f>G1459-W1459</f>
        <v/>
      </c>
      <c r="S1459" s="523" t="n">
        <v>44642</v>
      </c>
      <c r="T1459" s="522" t="inlineStr">
        <is>
          <t>TI2022-0273</t>
        </is>
      </c>
      <c r="U1459" s="522" t="inlineStr">
        <is>
          <t>L001-901905215</t>
        </is>
      </c>
      <c r="V1459" s="522" t="inlineStr">
        <is>
          <t>វីអ៊ីស៊ិន (ខេមបូឌា) អ៊ិនដាសស្ទ្រី ឯ.ក</t>
        </is>
      </c>
      <c r="W1459" s="556" t="n">
        <v>481355</v>
      </c>
    </row>
    <row r="1460">
      <c r="A1460" s="521" t="n">
        <v>1452</v>
      </c>
      <c r="B1460" s="522" t="inlineStr">
        <is>
          <t>CLERANCE &amp; TRUCKING FEE</t>
        </is>
      </c>
      <c r="C1460" s="522" t="inlineStr">
        <is>
          <t>56ប៊ី-លីង សឹបផ្លាយ ឆេន មេនេចម៉ិន ឯ.ក</t>
        </is>
      </c>
      <c r="D1460" s="522" t="inlineStr">
        <is>
          <t>K004-902004795</t>
        </is>
      </c>
      <c r="E1460" s="521" t="inlineStr">
        <is>
          <t>TI2022-0272</t>
        </is>
      </c>
      <c r="F1460" s="523" t="n">
        <v>44642</v>
      </c>
      <c r="G1460" s="556" t="n">
        <v>681583</v>
      </c>
      <c r="I1460" s="521">
        <f>G1460</f>
        <v/>
      </c>
      <c r="K1460" s="521">
        <f>I1460-G1460</f>
        <v/>
      </c>
      <c r="M1460" s="522" t="inlineStr">
        <is>
          <t>TI20220272</t>
        </is>
      </c>
      <c r="N1460" s="522" t="inlineStr">
        <is>
          <t>TI20220272</t>
        </is>
      </c>
      <c r="O1460" s="521">
        <f>M1460=N1460</f>
        <v/>
      </c>
      <c r="P1460" s="521">
        <f>AND(MONTH(F1460)=MONTH(S1460), YEAR(F1460)=YEAR(S1460))</f>
        <v/>
      </c>
      <c r="Q1460" s="521">
        <f>U1460="L001-901905215"</f>
        <v/>
      </c>
      <c r="R1460" s="556">
        <f>G1460-W1460</f>
        <v/>
      </c>
      <c r="S1460" s="523" t="n">
        <v>44642</v>
      </c>
      <c r="T1460" s="522" t="inlineStr">
        <is>
          <t>TI2022-0272</t>
        </is>
      </c>
      <c r="U1460" s="522" t="inlineStr">
        <is>
          <t>L001-901905215</t>
        </is>
      </c>
      <c r="V1460" s="522" t="inlineStr">
        <is>
          <t>វីអ៊ីស៊ិន (ខេមបូឌា) អ៊ិនដាសស្ទ្រី ឯ.ក</t>
        </is>
      </c>
      <c r="W1460" s="556" t="n">
        <v>681583</v>
      </c>
    </row>
    <row r="1461">
      <c r="A1461" s="521" t="n">
        <v>1453</v>
      </c>
      <c r="B1461" s="522" t="inlineStr">
        <is>
          <t>CLERANCE &amp; TRUCKING FEE</t>
        </is>
      </c>
      <c r="C1461" s="522" t="inlineStr">
        <is>
          <t>56ប៊ី-លីង សឹបផ្លាយ ឆេន មេនេចម៉ិន ឯ.ក</t>
        </is>
      </c>
      <c r="D1461" s="522" t="inlineStr">
        <is>
          <t>K004-902004795</t>
        </is>
      </c>
      <c r="E1461" s="521" t="inlineStr">
        <is>
          <t>TI2022-0271</t>
        </is>
      </c>
      <c r="F1461" s="523" t="n">
        <v>44621</v>
      </c>
      <c r="G1461" s="556" t="n">
        <v>480760</v>
      </c>
      <c r="I1461" s="521">
        <f>G1461</f>
        <v/>
      </c>
      <c r="K1461" s="521">
        <f>I1461-G1461</f>
        <v/>
      </c>
      <c r="M1461" s="522" t="inlineStr">
        <is>
          <t>TI20220271</t>
        </is>
      </c>
      <c r="N1461" s="522" t="inlineStr">
        <is>
          <t>TI20220271</t>
        </is>
      </c>
      <c r="O1461" s="521">
        <f>M1461=N1461</f>
        <v/>
      </c>
      <c r="P1461" s="521">
        <f>AND(MONTH(F1461)=MONTH(S1461), YEAR(F1461)=YEAR(S1461))</f>
        <v/>
      </c>
      <c r="Q1461" s="521">
        <f>U1461="L001-901905215"</f>
        <v/>
      </c>
      <c r="R1461" s="556">
        <f>G1461-W1461</f>
        <v/>
      </c>
      <c r="S1461" s="523" t="n">
        <v>44642</v>
      </c>
      <c r="T1461" s="522" t="inlineStr">
        <is>
          <t>TI2022-0271</t>
        </is>
      </c>
      <c r="U1461" s="522" t="inlineStr">
        <is>
          <t>L001-901905215</t>
        </is>
      </c>
      <c r="V1461" s="522" t="inlineStr">
        <is>
          <t>វីអ៊ីស៊ិន (ខេមបូឌា) អ៊ិនដាសស្ទ្រី ឯ.ក</t>
        </is>
      </c>
      <c r="W1461" s="556" t="n">
        <v>480760</v>
      </c>
    </row>
    <row r="1462">
      <c r="A1462" s="521" t="n">
        <v>1454</v>
      </c>
      <c r="B1462" s="522" t="inlineStr">
        <is>
          <t>CLERANCE &amp; TRUCKING FEE</t>
        </is>
      </c>
      <c r="C1462" s="522" t="inlineStr">
        <is>
          <t>56ប៊ី-លីង សឹបផ្លាយ ឆេន មេនេចម៉ិន ឯ.ក</t>
        </is>
      </c>
      <c r="D1462" s="522" t="inlineStr">
        <is>
          <t>K004-902004795</t>
        </is>
      </c>
      <c r="E1462" s="521" t="inlineStr">
        <is>
          <t>TI2022-0270</t>
        </is>
      </c>
      <c r="F1462" s="523" t="n">
        <v>44642</v>
      </c>
      <c r="G1462" s="556" t="n">
        <v>1967893</v>
      </c>
      <c r="I1462" s="521">
        <f>G1462</f>
        <v/>
      </c>
      <c r="K1462" s="521">
        <f>I1462-G1462</f>
        <v/>
      </c>
      <c r="M1462" s="522" t="inlineStr">
        <is>
          <t>TI20220270</t>
        </is>
      </c>
      <c r="N1462" s="522" t="inlineStr">
        <is>
          <t>TI20220270</t>
        </is>
      </c>
      <c r="O1462" s="521">
        <f>M1462=N1462</f>
        <v/>
      </c>
      <c r="P1462" s="521">
        <f>AND(MONTH(F1462)=MONTH(S1462), YEAR(F1462)=YEAR(S1462))</f>
        <v/>
      </c>
      <c r="Q1462" s="521">
        <f>U1462="L001-901905215"</f>
        <v/>
      </c>
      <c r="R1462" s="556">
        <f>G1462-W1462</f>
        <v/>
      </c>
      <c r="S1462" s="523" t="n">
        <v>44642</v>
      </c>
      <c r="T1462" s="522" t="inlineStr">
        <is>
          <t>TI2022-0270</t>
        </is>
      </c>
      <c r="U1462" s="522" t="inlineStr">
        <is>
          <t>L001-901905215</t>
        </is>
      </c>
      <c r="V1462" s="522" t="inlineStr">
        <is>
          <t>វីអ៊ីស៊ិន (ខេមបូឌា) អ៊ិនដាសស្ទ្រី ឯ.ក</t>
        </is>
      </c>
      <c r="W1462" s="556" t="n">
        <v>1967893</v>
      </c>
    </row>
    <row r="1463">
      <c r="A1463" s="521" t="n">
        <v>1455</v>
      </c>
      <c r="B1463" s="522" t="inlineStr">
        <is>
          <t>CLERANCE &amp; TRUCKING FEE</t>
        </is>
      </c>
      <c r="C1463" s="522" t="inlineStr">
        <is>
          <t>56ប៊ី-លីង សឹបផ្លាយ ឆេន មេនេចម៉ិន ឯ.ក</t>
        </is>
      </c>
      <c r="D1463" s="522" t="inlineStr">
        <is>
          <t>K004-902004795</t>
        </is>
      </c>
      <c r="E1463" s="521" t="inlineStr">
        <is>
          <t>TI2022-0269</t>
        </is>
      </c>
      <c r="F1463" s="523" t="n">
        <v>44642</v>
      </c>
      <c r="G1463" s="556" t="n">
        <v>481355</v>
      </c>
      <c r="I1463" s="521">
        <f>G1463</f>
        <v/>
      </c>
      <c r="K1463" s="521">
        <f>I1463-G1463</f>
        <v/>
      </c>
      <c r="M1463" s="522" t="inlineStr">
        <is>
          <t>TI20220269</t>
        </is>
      </c>
      <c r="N1463" s="522" t="inlineStr">
        <is>
          <t>TI20220269</t>
        </is>
      </c>
      <c r="O1463" s="521">
        <f>M1463=N1463</f>
        <v/>
      </c>
      <c r="P1463" s="521">
        <f>AND(MONTH(F1463)=MONTH(S1463), YEAR(F1463)=YEAR(S1463))</f>
        <v/>
      </c>
      <c r="Q1463" s="521">
        <f>U1463="L001-901905215"</f>
        <v/>
      </c>
      <c r="R1463" s="556">
        <f>G1463-W1463</f>
        <v/>
      </c>
      <c r="S1463" s="523" t="n">
        <v>44642</v>
      </c>
      <c r="T1463" s="522" t="inlineStr">
        <is>
          <t>TI2022-0269</t>
        </is>
      </c>
      <c r="U1463" s="522" t="inlineStr">
        <is>
          <t>L001-901905215</t>
        </is>
      </c>
      <c r="V1463" s="522" t="inlineStr">
        <is>
          <t>វីអ៊ីស៊ិន (ខេមបូឌា) អ៊ិនដាសស្ទ្រី ឯ.ក</t>
        </is>
      </c>
      <c r="W1463" s="556" t="n">
        <v>481355</v>
      </c>
    </row>
    <row r="1464">
      <c r="A1464" s="521" t="n">
        <v>1456</v>
      </c>
      <c r="B1464" s="522" t="inlineStr">
        <is>
          <t>CLERANCE &amp; TRUCKING FEE</t>
        </is>
      </c>
      <c r="C1464" s="522" t="inlineStr">
        <is>
          <t>56ប៊ី-លីង សឹបផ្លាយ ឆេន មេនេចម៉ិន ឯ.ក</t>
        </is>
      </c>
      <c r="D1464" s="522" t="inlineStr">
        <is>
          <t>K004-902004795</t>
        </is>
      </c>
      <c r="E1464" s="521" t="inlineStr">
        <is>
          <t>TI2022-0266</t>
        </is>
      </c>
      <c r="F1464" s="523" t="n">
        <v>44642</v>
      </c>
      <c r="G1464" s="556" t="n">
        <v>1531033</v>
      </c>
      <c r="I1464" s="521">
        <f>G1464</f>
        <v/>
      </c>
      <c r="K1464" s="521">
        <f>I1464-G1464</f>
        <v/>
      </c>
      <c r="M1464" s="522" t="inlineStr">
        <is>
          <t>TI20220266</t>
        </is>
      </c>
      <c r="N1464" s="522" t="inlineStr">
        <is>
          <t>TI20220266</t>
        </is>
      </c>
      <c r="O1464" s="521">
        <f>M1464=N1464</f>
        <v/>
      </c>
      <c r="P1464" s="521">
        <f>AND(MONTH(F1464)=MONTH(S1464), YEAR(F1464)=YEAR(S1464))</f>
        <v/>
      </c>
      <c r="Q1464" s="521">
        <f>U1464="L001-901905215"</f>
        <v/>
      </c>
      <c r="R1464" s="556">
        <f>G1464-W1464</f>
        <v/>
      </c>
      <c r="S1464" s="523" t="n">
        <v>44642</v>
      </c>
      <c r="T1464" s="522" t="inlineStr">
        <is>
          <t>TI2022-0266</t>
        </is>
      </c>
      <c r="U1464" s="522" t="inlineStr">
        <is>
          <t>L001-901905215</t>
        </is>
      </c>
      <c r="V1464" s="522" t="inlineStr">
        <is>
          <t>វីអ៊ីស៊ិន (ខេមបូឌា) អ៊ិនដាសស្ទ្រី ឯ.ក</t>
        </is>
      </c>
      <c r="W1464" s="556" t="n">
        <v>1531033</v>
      </c>
    </row>
    <row r="1465">
      <c r="A1465" s="521" t="n">
        <v>1457</v>
      </c>
      <c r="B1465" s="522" t="inlineStr">
        <is>
          <t>CLERANCE &amp; TRUCKING FEE</t>
        </is>
      </c>
      <c r="C1465" s="522" t="inlineStr">
        <is>
          <t>56ប៊ី-លីង សឹបផ្លាយ ឆេន មេនេចម៉ិន ឯ.ក</t>
        </is>
      </c>
      <c r="D1465" s="522" t="inlineStr">
        <is>
          <t>K004-902004795</t>
        </is>
      </c>
      <c r="E1465" s="521" t="inlineStr">
        <is>
          <t>TI2022-0247</t>
        </is>
      </c>
      <c r="F1465" s="523" t="n">
        <v>44635</v>
      </c>
      <c r="G1465" s="556" t="n">
        <v>480760</v>
      </c>
      <c r="I1465" s="521">
        <f>G1465</f>
        <v/>
      </c>
      <c r="K1465" s="521">
        <f>I1465-G1465</f>
        <v/>
      </c>
      <c r="M1465" s="522" t="inlineStr">
        <is>
          <t>TI20220247</t>
        </is>
      </c>
      <c r="N1465" s="522" t="inlineStr">
        <is>
          <t>TI20220247</t>
        </is>
      </c>
      <c r="O1465" s="521">
        <f>M1465=N1465</f>
        <v/>
      </c>
      <c r="P1465" s="521">
        <f>AND(MONTH(F1465)=MONTH(S1465), YEAR(F1465)=YEAR(S1465))</f>
        <v/>
      </c>
      <c r="Q1465" s="521">
        <f>U1465="L001-901905215"</f>
        <v/>
      </c>
      <c r="R1465" s="556">
        <f>G1465-W1465</f>
        <v/>
      </c>
      <c r="S1465" s="523" t="n">
        <v>44635</v>
      </c>
      <c r="T1465" s="522" t="inlineStr">
        <is>
          <t>TI2022-0247</t>
        </is>
      </c>
      <c r="U1465" s="522" t="inlineStr">
        <is>
          <t>L001-901905215</t>
        </is>
      </c>
      <c r="V1465" s="522" t="inlineStr">
        <is>
          <t>វីអ៊ីស៊ិន (ខេមបូឌា) អ៊ិនដាសស្ទ្រី ឯ.ក</t>
        </is>
      </c>
      <c r="W1465" s="556" t="n">
        <v>480760</v>
      </c>
    </row>
    <row r="1466">
      <c r="A1466" s="521" t="n">
        <v>1458</v>
      </c>
      <c r="B1466" s="522" t="inlineStr">
        <is>
          <t>CLERANCE &amp; TRUCKING FEE</t>
        </is>
      </c>
      <c r="C1466" s="522" t="inlineStr">
        <is>
          <t>56ប៊ី-លីង សឹបផ្លាយ ឆេន មេនេចម៉ិន ឯ.ក</t>
        </is>
      </c>
      <c r="D1466" s="522" t="inlineStr">
        <is>
          <t>K004-902004795</t>
        </is>
      </c>
      <c r="E1466" s="521" t="inlineStr">
        <is>
          <t>TI2022-0246</t>
        </is>
      </c>
      <c r="F1466" s="523" t="n">
        <v>44635</v>
      </c>
      <c r="G1466" s="556" t="n">
        <v>680740</v>
      </c>
      <c r="I1466" s="521">
        <f>G1466</f>
        <v/>
      </c>
      <c r="K1466" s="521">
        <f>I1466-G1466</f>
        <v/>
      </c>
      <c r="M1466" s="522" t="inlineStr">
        <is>
          <t>TI20220246</t>
        </is>
      </c>
      <c r="N1466" s="522" t="inlineStr">
        <is>
          <t>TI20220246</t>
        </is>
      </c>
      <c r="O1466" s="521">
        <f>M1466=N1466</f>
        <v/>
      </c>
      <c r="P1466" s="521">
        <f>AND(MONTH(F1466)=MONTH(S1466), YEAR(F1466)=YEAR(S1466))</f>
        <v/>
      </c>
      <c r="Q1466" s="521">
        <f>U1466="L001-901905215"</f>
        <v/>
      </c>
      <c r="R1466" s="556">
        <f>G1466-W1466</f>
        <v/>
      </c>
      <c r="S1466" s="523" t="n">
        <v>44635</v>
      </c>
      <c r="T1466" s="522" t="inlineStr">
        <is>
          <t>TI2022-0246</t>
        </is>
      </c>
      <c r="U1466" s="522" t="inlineStr">
        <is>
          <t>L001-901905215</t>
        </is>
      </c>
      <c r="V1466" s="522" t="inlineStr">
        <is>
          <t>វីអ៊ីស៊ិន (ខេមបូឌា) អ៊ិនដាសស្ទ្រី ឯ.ក</t>
        </is>
      </c>
      <c r="W1466" s="556" t="n">
        <v>680740</v>
      </c>
    </row>
    <row r="1467">
      <c r="A1467" s="521" t="n">
        <v>1459</v>
      </c>
      <c r="B1467" s="522" t="inlineStr">
        <is>
          <t>CLERANCE &amp; TRUCKING FEE</t>
        </is>
      </c>
      <c r="C1467" s="522" t="inlineStr">
        <is>
          <t>56ប៊ី-លីង សឹបផ្លាយ ឆេន មេនេចម៉ិន ឯ.ក</t>
        </is>
      </c>
      <c r="D1467" s="522" t="inlineStr">
        <is>
          <t>K004-902004795</t>
        </is>
      </c>
      <c r="E1467" s="521" t="inlineStr">
        <is>
          <t>TI2022-0245</t>
        </is>
      </c>
      <c r="F1467" s="523" t="n">
        <v>44635</v>
      </c>
      <c r="G1467" s="556" t="n">
        <v>480760</v>
      </c>
      <c r="I1467" s="521">
        <f>G1467</f>
        <v/>
      </c>
      <c r="K1467" s="521">
        <f>I1467-G1467</f>
        <v/>
      </c>
      <c r="M1467" s="522" t="inlineStr">
        <is>
          <t>TI20220245</t>
        </is>
      </c>
      <c r="N1467" s="522" t="inlineStr">
        <is>
          <t>TI20220245</t>
        </is>
      </c>
      <c r="O1467" s="521">
        <f>M1467=N1467</f>
        <v/>
      </c>
      <c r="P1467" s="521">
        <f>AND(MONTH(F1467)=MONTH(S1467), YEAR(F1467)=YEAR(S1467))</f>
        <v/>
      </c>
      <c r="Q1467" s="521">
        <f>U1467="L001-901905215"</f>
        <v/>
      </c>
      <c r="R1467" s="556">
        <f>G1467-W1467</f>
        <v/>
      </c>
      <c r="S1467" s="523" t="n">
        <v>44635</v>
      </c>
      <c r="T1467" s="522" t="inlineStr">
        <is>
          <t>TI2022-0245</t>
        </is>
      </c>
      <c r="U1467" s="522" t="inlineStr">
        <is>
          <t>L001-901905215</t>
        </is>
      </c>
      <c r="V1467" s="522" t="inlineStr">
        <is>
          <t>វីអ៊ីស៊ិន (ខេមបូឌា) អ៊ិនដាសស្ទ្រី ឯ.ក</t>
        </is>
      </c>
      <c r="W1467" s="556" t="n">
        <v>480760</v>
      </c>
    </row>
    <row r="1468">
      <c r="A1468" s="521" t="n">
        <v>1460</v>
      </c>
      <c r="B1468" s="522" t="inlineStr">
        <is>
          <t>CLERANCE &amp; TRUCKING FEE</t>
        </is>
      </c>
      <c r="C1468" s="522" t="inlineStr">
        <is>
          <t>56ប៊ី-លីង សឹបផ្លាយ ឆេន មេនេចម៉ិន ឯ.ក</t>
        </is>
      </c>
      <c r="D1468" s="522" t="inlineStr">
        <is>
          <t>K004-902004795</t>
        </is>
      </c>
      <c r="E1468" s="521" t="inlineStr">
        <is>
          <t>TI2022-0244</t>
        </is>
      </c>
      <c r="F1468" s="523" t="n">
        <v>44635</v>
      </c>
      <c r="G1468" s="556" t="n">
        <v>904960</v>
      </c>
      <c r="I1468" s="521">
        <f>G1468</f>
        <v/>
      </c>
      <c r="K1468" s="521">
        <f>I1468-G1468</f>
        <v/>
      </c>
      <c r="M1468" s="522" t="inlineStr">
        <is>
          <t>TI20220244</t>
        </is>
      </c>
      <c r="N1468" s="522" t="inlineStr">
        <is>
          <t>TI20220244</t>
        </is>
      </c>
      <c r="O1468" s="521">
        <f>M1468=N1468</f>
        <v/>
      </c>
      <c r="P1468" s="521">
        <f>AND(MONTH(F1468)=MONTH(S1468), YEAR(F1468)=YEAR(S1468))</f>
        <v/>
      </c>
      <c r="Q1468" s="521">
        <f>U1468="L001-901905215"</f>
        <v/>
      </c>
      <c r="R1468" s="556">
        <f>G1468-W1468</f>
        <v/>
      </c>
      <c r="S1468" s="523" t="n">
        <v>44635</v>
      </c>
      <c r="T1468" s="522" t="inlineStr">
        <is>
          <t>TI2022-0244</t>
        </is>
      </c>
      <c r="U1468" s="522" t="inlineStr">
        <is>
          <t>L001-901905215</t>
        </is>
      </c>
      <c r="V1468" s="522" t="inlineStr">
        <is>
          <t>វីអ៊ីស៊ិន (ខេមបូឌា) អ៊ិនដាសស្ទ្រី ឯ.ក</t>
        </is>
      </c>
      <c r="W1468" s="556" t="n">
        <v>904960</v>
      </c>
    </row>
    <row r="1469">
      <c r="A1469" s="521" t="n">
        <v>1461</v>
      </c>
      <c r="B1469" s="522" t="inlineStr">
        <is>
          <t>CLERANCE &amp; TRUCKING FEE</t>
        </is>
      </c>
      <c r="C1469" s="522" t="inlineStr">
        <is>
          <t>56ប៊ី-លីង សឹបផ្លាយ ឆេន មេនេចម៉ិន ឯ.ក</t>
        </is>
      </c>
      <c r="D1469" s="522" t="inlineStr">
        <is>
          <t>K004-902004795</t>
        </is>
      </c>
      <c r="E1469" s="521" t="inlineStr">
        <is>
          <t>TI2022-0243</t>
        </is>
      </c>
      <c r="F1469" s="523" t="n">
        <v>44635</v>
      </c>
      <c r="G1469" s="556" t="n">
        <v>1498840</v>
      </c>
      <c r="I1469" s="521">
        <f>G1469</f>
        <v/>
      </c>
      <c r="K1469" s="521">
        <f>I1469-G1469</f>
        <v/>
      </c>
      <c r="M1469" s="522" t="inlineStr">
        <is>
          <t>TI20220243</t>
        </is>
      </c>
      <c r="N1469" s="522" t="inlineStr">
        <is>
          <t>TI20220243</t>
        </is>
      </c>
      <c r="O1469" s="521">
        <f>M1469=N1469</f>
        <v/>
      </c>
      <c r="P1469" s="521">
        <f>AND(MONTH(F1469)=MONTH(S1469), YEAR(F1469)=YEAR(S1469))</f>
        <v/>
      </c>
      <c r="Q1469" s="521">
        <f>U1469="L001-901905215"</f>
        <v/>
      </c>
      <c r="R1469" s="556">
        <f>G1469-W1469</f>
        <v/>
      </c>
      <c r="S1469" s="523" t="n">
        <v>44635</v>
      </c>
      <c r="T1469" s="522" t="inlineStr">
        <is>
          <t>TI2022-0243</t>
        </is>
      </c>
      <c r="U1469" s="522" t="inlineStr">
        <is>
          <t>L001-901905215</t>
        </is>
      </c>
      <c r="V1469" s="522" t="inlineStr">
        <is>
          <t>វីអ៊ីស៊ិន (ខេមបូឌា) អ៊ិនដាសស្ទ្រី ឯ.ក</t>
        </is>
      </c>
      <c r="W1469" s="556" t="n">
        <v>1498840</v>
      </c>
    </row>
    <row r="1470">
      <c r="A1470" s="521" t="n">
        <v>1462</v>
      </c>
      <c r="B1470" s="522" t="inlineStr">
        <is>
          <t>CLERANCE &amp; TRUCKING FEE</t>
        </is>
      </c>
      <c r="C1470" s="522" t="inlineStr">
        <is>
          <t>56ប៊ី-លីង សឹបផ្លាយ ឆេន មេនេចម៉ិន ឯ.ក</t>
        </is>
      </c>
      <c r="D1470" s="522" t="inlineStr">
        <is>
          <t>K004-902004795</t>
        </is>
      </c>
      <c r="E1470" s="521" t="inlineStr">
        <is>
          <t>TI2022-0242</t>
        </is>
      </c>
      <c r="F1470" s="523" t="n">
        <v>44635</v>
      </c>
      <c r="G1470" s="556" t="n">
        <v>692860</v>
      </c>
      <c r="I1470" s="521">
        <f>G1470</f>
        <v/>
      </c>
      <c r="K1470" s="521">
        <f>I1470-G1470</f>
        <v/>
      </c>
      <c r="M1470" s="522" t="inlineStr">
        <is>
          <t>TI20220242</t>
        </is>
      </c>
      <c r="N1470" s="522" t="inlineStr">
        <is>
          <t>TI20220242</t>
        </is>
      </c>
      <c r="O1470" s="521">
        <f>M1470=N1470</f>
        <v/>
      </c>
      <c r="P1470" s="521">
        <f>AND(MONTH(F1470)=MONTH(S1470), YEAR(F1470)=YEAR(S1470))</f>
        <v/>
      </c>
      <c r="Q1470" s="521">
        <f>U1470="L001-901905215"</f>
        <v/>
      </c>
      <c r="R1470" s="556">
        <f>G1470-W1470</f>
        <v/>
      </c>
      <c r="S1470" s="523" t="n">
        <v>44635</v>
      </c>
      <c r="T1470" s="522" t="inlineStr">
        <is>
          <t>TI2022-0242</t>
        </is>
      </c>
      <c r="U1470" s="522" t="inlineStr">
        <is>
          <t>L001-901905215</t>
        </is>
      </c>
      <c r="V1470" s="522" t="inlineStr">
        <is>
          <t>វីអ៊ីស៊ិន (ខេមបូឌា) អ៊ិនដាសស្ទ្រី ឯ.ក</t>
        </is>
      </c>
      <c r="W1470" s="556" t="n">
        <v>692860</v>
      </c>
    </row>
    <row r="1471">
      <c r="A1471" s="521" t="n">
        <v>1463</v>
      </c>
      <c r="B1471" s="522" t="inlineStr">
        <is>
          <t>CLERANCE &amp; TRUCKING FEE</t>
        </is>
      </c>
      <c r="C1471" s="522" t="inlineStr">
        <is>
          <t>56ប៊ី-លីង សឹបផ្លាយ ឆេន មេនេចម៉ិន ឯ.ក</t>
        </is>
      </c>
      <c r="D1471" s="522" t="inlineStr">
        <is>
          <t>K004-902004795</t>
        </is>
      </c>
      <c r="E1471" s="521" t="inlineStr">
        <is>
          <t>TI2022-0241</t>
        </is>
      </c>
      <c r="F1471" s="523" t="n">
        <v>44635</v>
      </c>
      <c r="G1471" s="556" t="n">
        <v>480760</v>
      </c>
      <c r="I1471" s="521">
        <f>G1471</f>
        <v/>
      </c>
      <c r="K1471" s="521">
        <f>I1471-G1471</f>
        <v/>
      </c>
      <c r="M1471" s="522" t="inlineStr">
        <is>
          <t>TI20220241</t>
        </is>
      </c>
      <c r="N1471" s="522" t="inlineStr">
        <is>
          <t>TI20220241</t>
        </is>
      </c>
      <c r="O1471" s="521">
        <f>M1471=N1471</f>
        <v/>
      </c>
      <c r="P1471" s="521">
        <f>AND(MONTH(F1471)=MONTH(S1471), YEAR(F1471)=YEAR(S1471))</f>
        <v/>
      </c>
      <c r="Q1471" s="521">
        <f>U1471="L001-901905215"</f>
        <v/>
      </c>
      <c r="R1471" s="556">
        <f>G1471-W1471</f>
        <v/>
      </c>
      <c r="S1471" s="523" t="n">
        <v>44635</v>
      </c>
      <c r="T1471" s="522" t="inlineStr">
        <is>
          <t>TI2022-0241</t>
        </is>
      </c>
      <c r="U1471" s="522" t="inlineStr">
        <is>
          <t>L001-901905215</t>
        </is>
      </c>
      <c r="V1471" s="522" t="inlineStr">
        <is>
          <t>វីអ៊ីស៊ិន (ខេមបូឌា) អ៊ិនដាសស្ទ្រី ឯ.ក</t>
        </is>
      </c>
      <c r="W1471" s="556" t="n">
        <v>480760</v>
      </c>
    </row>
    <row r="1472">
      <c r="A1472" s="521" t="n">
        <v>1464</v>
      </c>
      <c r="B1472" s="522" t="inlineStr">
        <is>
          <t>Rental Machine Canon  IR 2525</t>
        </is>
      </c>
      <c r="C1472" s="522" t="inlineStr">
        <is>
          <t xml:space="preserve">អិនធីអិល តិចណូឡូជី </t>
        </is>
      </c>
      <c r="D1472" s="522" t="inlineStr">
        <is>
          <t>K005-901900283</t>
        </is>
      </c>
      <c r="E1472" s="521" t="inlineStr">
        <is>
          <t>22-000599</t>
        </is>
      </c>
      <c r="F1472" s="523" t="n">
        <v>44621</v>
      </c>
      <c r="G1472" s="556" t="n">
        <v>21550</v>
      </c>
      <c r="I1472" s="521">
        <f>G1472</f>
        <v/>
      </c>
      <c r="K1472" s="521">
        <f>I1472-G1472</f>
        <v/>
      </c>
      <c r="M1472" s="522" t="inlineStr">
        <is>
          <t>22000599</t>
        </is>
      </c>
      <c r="N1472" s="522" t="inlineStr"/>
      <c r="O1472" s="521">
        <f>M1472=N1472</f>
        <v/>
      </c>
      <c r="P1472" s="521">
        <f>AND(MONTH(F1472)=MONTH(S1472), YEAR(F1472)=YEAR(S1472))</f>
        <v/>
      </c>
      <c r="Q1472" s="521">
        <f>U1472="L001-901905215"</f>
        <v/>
      </c>
      <c r="R1472" s="556">
        <f>G1472-W1472</f>
        <v/>
      </c>
      <c r="S1472" s="521" t="n"/>
      <c r="T1472" s="522" t="n"/>
      <c r="U1472" s="522" t="n"/>
      <c r="V1472" s="522" t="n"/>
      <c r="W1472" s="521" t="n"/>
    </row>
    <row r="1473">
      <c r="A1473" s="521" t="n">
        <v>1465</v>
      </c>
      <c r="B1473" s="522" t="inlineStr">
        <is>
          <t>General Pest Control Service</t>
        </is>
      </c>
      <c r="C1473" s="522" t="inlineStr">
        <is>
          <t>ភីស៊ីអាយ សឺវីស</t>
        </is>
      </c>
      <c r="D1473" s="522" t="inlineStr">
        <is>
          <t>K010-901639639</t>
        </is>
      </c>
      <c r="E1473" s="521" t="inlineStr">
        <is>
          <t>20220219</t>
        </is>
      </c>
      <c r="F1473" s="523" t="n">
        <v>44640</v>
      </c>
      <c r="G1473" s="556" t="n">
        <v>80960</v>
      </c>
      <c r="I1473" s="521">
        <f>G1473</f>
        <v/>
      </c>
      <c r="K1473" s="521">
        <f>I1473-G1473</f>
        <v/>
      </c>
      <c r="M1473" s="522" t="inlineStr">
        <is>
          <t>20220219</t>
        </is>
      </c>
      <c r="N1473" s="522" t="inlineStr"/>
      <c r="O1473" s="521">
        <f>M1473=N1473</f>
        <v/>
      </c>
      <c r="P1473" s="521">
        <f>AND(MONTH(F1473)=MONTH(S1473), YEAR(F1473)=YEAR(S1473))</f>
        <v/>
      </c>
      <c r="Q1473" s="521">
        <f>U1473="L001-901905215"</f>
        <v/>
      </c>
      <c r="R1473" s="556">
        <f>G1473-W1473</f>
        <v/>
      </c>
      <c r="S1473" s="521" t="n"/>
      <c r="T1473" s="522" t="n"/>
      <c r="U1473" s="522" t="n"/>
      <c r="V1473" s="522" t="n"/>
      <c r="W1473" s="521" t="n"/>
    </row>
    <row r="1474">
      <c r="A1474" s="521" t="n">
        <v>1466</v>
      </c>
      <c r="B1474" s="522" t="inlineStr">
        <is>
          <t xml:space="preserve">Monthly Tax Declcaration for Mar 2022 </t>
        </is>
      </c>
      <c r="C1474" s="522" t="inlineStr">
        <is>
          <t>យីងកឺ ខេម ថេក អ៊ែតវ៉ាយហ្សឺរី ឯ.ក</t>
        </is>
      </c>
      <c r="D1474" s="522" t="inlineStr">
        <is>
          <t>K003-902005313</t>
        </is>
      </c>
      <c r="E1474" s="521" t="inlineStr">
        <is>
          <t>YKT22-057</t>
        </is>
      </c>
      <c r="F1474" s="523" t="n">
        <v>44629</v>
      </c>
      <c r="G1474" s="556" t="n">
        <v>568120</v>
      </c>
      <c r="I1474" s="521">
        <f>G1474</f>
        <v/>
      </c>
      <c r="K1474" s="521">
        <f>I1474-G1474</f>
        <v/>
      </c>
      <c r="M1474" s="522" t="inlineStr">
        <is>
          <t>YKT22057</t>
        </is>
      </c>
      <c r="N1474" s="522" t="inlineStr">
        <is>
          <t>YKT22057</t>
        </is>
      </c>
      <c r="O1474" s="521">
        <f>M1474=N1474</f>
        <v/>
      </c>
      <c r="P1474" s="521">
        <f>AND(MONTH(F1474)=MONTH(S1474), YEAR(F1474)=YEAR(S1474))</f>
        <v/>
      </c>
      <c r="Q1474" s="521">
        <f>U1474="L001-901905215"</f>
        <v/>
      </c>
      <c r="R1474" s="556">
        <f>G1474-W1474</f>
        <v/>
      </c>
      <c r="S1474" s="523" t="n">
        <v>44629</v>
      </c>
      <c r="T1474" s="522" t="inlineStr">
        <is>
          <t>YKT22-057</t>
        </is>
      </c>
      <c r="U1474" s="522" t="inlineStr">
        <is>
          <t>L001-901905215</t>
        </is>
      </c>
      <c r="V1474" s="522" t="inlineStr">
        <is>
          <t>វីអ៊ីស៊ិន (ខេមបូឌា) អ៊ិនដាសស្ទ្រី ឯ.ក</t>
        </is>
      </c>
      <c r="W1474" s="556" t="n">
        <v>568120</v>
      </c>
    </row>
    <row r="1475">
      <c r="A1475" s="521" t="n">
        <v>1467</v>
      </c>
      <c r="B1475" s="522" t="inlineStr">
        <is>
          <t>Building Rental Charge and Management Fee for Mar 2022</t>
        </is>
      </c>
      <c r="C1475" s="522" t="inlineStr">
        <is>
          <t>មេហ្គា លេបឹល &amp; ស្ទីកឃើរ (ខេមបូឌា)</t>
        </is>
      </c>
      <c r="D1475" s="522" t="inlineStr">
        <is>
          <t>L001-100185983</t>
        </is>
      </c>
      <c r="E1475" s="521" t="inlineStr">
        <is>
          <t>INV20220301</t>
        </is>
      </c>
      <c r="F1475" s="523" t="n">
        <v>44621</v>
      </c>
      <c r="G1475" s="556" t="n">
        <v>4537279</v>
      </c>
      <c r="I1475" s="521">
        <f>G1475</f>
        <v/>
      </c>
      <c r="K1475" s="521">
        <f>I1475-G1475</f>
        <v/>
      </c>
      <c r="M1475" s="522" t="inlineStr">
        <is>
          <t>INV20220301</t>
        </is>
      </c>
      <c r="N1475" s="522" t="inlineStr"/>
      <c r="O1475" s="521">
        <f>M1475=N1475</f>
        <v/>
      </c>
      <c r="P1475" s="521">
        <f>AND(MONTH(F1475)=MONTH(S1475), YEAR(F1475)=YEAR(S1475))</f>
        <v/>
      </c>
      <c r="Q1475" s="521">
        <f>U1475="L001-901905215"</f>
        <v/>
      </c>
      <c r="R1475" s="556">
        <f>G1475-W1475</f>
        <v/>
      </c>
      <c r="S1475" s="521" t="n"/>
      <c r="T1475" s="522" t="n"/>
      <c r="U1475" s="522" t="n"/>
      <c r="V1475" s="522" t="n"/>
      <c r="W1475" s="521" t="n"/>
    </row>
    <row r="1476">
      <c r="A1476" s="521" t="n">
        <v>1468</v>
      </c>
      <c r="B1476" s="522" t="inlineStr">
        <is>
          <t>Instrasture Maintenance Fee for Mar 2022</t>
        </is>
      </c>
      <c r="C1476" s="522" t="inlineStr">
        <is>
          <t>ភ្នំពេញ អេសអ៊ីហ្សិត ភីអិលស៊ី</t>
        </is>
      </c>
      <c r="D1476" s="522" t="inlineStr">
        <is>
          <t>L001-100046592</t>
        </is>
      </c>
      <c r="E1476" s="521" t="inlineStr">
        <is>
          <t>2022-01244</t>
        </is>
      </c>
      <c r="F1476" s="523" t="n">
        <v>44638</v>
      </c>
      <c r="G1476" s="556" t="n">
        <v>163410</v>
      </c>
      <c r="I1476" s="521">
        <f>G1476</f>
        <v/>
      </c>
      <c r="K1476" s="521">
        <f>I1476-G1476</f>
        <v/>
      </c>
      <c r="M1476" s="522" t="inlineStr">
        <is>
          <t>202201244</t>
        </is>
      </c>
      <c r="N1476" s="522" t="inlineStr">
        <is>
          <t>202201244</t>
        </is>
      </c>
      <c r="O1476" s="521">
        <f>M1476=N1476</f>
        <v/>
      </c>
      <c r="P1476" s="521">
        <f>AND(MONTH(F1476)=MONTH(S1476), YEAR(F1476)=YEAR(S1476))</f>
        <v/>
      </c>
      <c r="Q1476" s="521">
        <f>U1476="L001-901905215"</f>
        <v/>
      </c>
      <c r="R1476" s="556">
        <f>G1476-W1476</f>
        <v/>
      </c>
      <c r="S1476" s="523" t="n">
        <v>44638</v>
      </c>
      <c r="T1476" s="522" t="inlineStr">
        <is>
          <t>2022-01244</t>
        </is>
      </c>
      <c r="U1476" s="522" t="inlineStr">
        <is>
          <t>L001-901905215</t>
        </is>
      </c>
      <c r="V1476" s="522" t="inlineStr">
        <is>
          <t>វីអ៊ីស៊ិន (ខេមបូឌា) អ៊ិនដាសស្ទ្រី ឯ.ក</t>
        </is>
      </c>
      <c r="W1476" s="556" t="n">
        <v>163410</v>
      </c>
    </row>
    <row r="1477">
      <c r="A1477" s="521" t="n">
        <v>1469</v>
      </c>
      <c r="B1477" s="522" t="inlineStr">
        <is>
          <t>Instrasture Maintenance Fee for Mar 2022</t>
        </is>
      </c>
      <c r="C1477" s="522" t="inlineStr">
        <is>
          <t>ភ្នំពេញ អេសអ៊ីហ្សិត ភីអិលស៊ី</t>
        </is>
      </c>
      <c r="D1477" s="522" t="inlineStr">
        <is>
          <t>L001-100046592</t>
        </is>
      </c>
      <c r="E1477" s="521" t="inlineStr">
        <is>
          <t>2022-01235</t>
        </is>
      </c>
      <c r="F1477" s="523" t="n">
        <v>44641</v>
      </c>
      <c r="G1477" s="556" t="n">
        <v>198960</v>
      </c>
      <c r="I1477" s="521">
        <f>G1477</f>
        <v/>
      </c>
      <c r="K1477" s="521">
        <f>I1477-G1477</f>
        <v/>
      </c>
      <c r="M1477" s="522" t="inlineStr">
        <is>
          <t>202201235</t>
        </is>
      </c>
      <c r="N1477" s="522" t="inlineStr">
        <is>
          <t>202201235</t>
        </is>
      </c>
      <c r="O1477" s="521">
        <f>M1477=N1477</f>
        <v/>
      </c>
      <c r="P1477" s="521">
        <f>AND(MONTH(F1477)=MONTH(S1477), YEAR(F1477)=YEAR(S1477))</f>
        <v/>
      </c>
      <c r="Q1477" s="521">
        <f>U1477="L001-901905215"</f>
        <v/>
      </c>
      <c r="R1477" s="556">
        <f>G1477-W1477</f>
        <v/>
      </c>
      <c r="S1477" s="523" t="n">
        <v>44638</v>
      </c>
      <c r="T1477" s="522" t="inlineStr">
        <is>
          <t>2022-01235</t>
        </is>
      </c>
      <c r="U1477" s="522" t="inlineStr">
        <is>
          <t>L001-901905215</t>
        </is>
      </c>
      <c r="V1477" s="522" t="inlineStr">
        <is>
          <t>វីអ៊ីស៊ិន (ខេមបូឌា) អ៊ិនដាសស្ទ្រី ឯ.ក</t>
        </is>
      </c>
      <c r="W1477" s="556" t="n">
        <v>198959</v>
      </c>
    </row>
    <row r="1478">
      <c r="A1478" s="521" t="n">
        <v>1470</v>
      </c>
      <c r="B1478" s="522" t="inlineStr">
        <is>
          <t>Security Service</t>
        </is>
      </c>
      <c r="C1478" s="522" t="inlineStr">
        <is>
          <t>សហ័ស សិឃ្យូរិធី ឯ.ក</t>
        </is>
      </c>
      <c r="D1478" s="522" t="inlineStr">
        <is>
          <t>K010-107032600</t>
        </is>
      </c>
      <c r="E1478" s="521" t="inlineStr">
        <is>
          <t>SHTI220139</t>
        </is>
      </c>
      <c r="F1478" s="523" t="n">
        <v>44643</v>
      </c>
      <c r="G1478" s="556" t="n">
        <v>226632</v>
      </c>
      <c r="I1478" s="521">
        <f>G1478</f>
        <v/>
      </c>
      <c r="K1478" s="521">
        <f>I1478-G1478</f>
        <v/>
      </c>
      <c r="M1478" s="522" t="inlineStr">
        <is>
          <t>SHTI220139</t>
        </is>
      </c>
      <c r="N1478" s="522" t="inlineStr">
        <is>
          <t>SHTI220139</t>
        </is>
      </c>
      <c r="O1478" s="521">
        <f>M1478=N1478</f>
        <v/>
      </c>
      <c r="P1478" s="521">
        <f>AND(MONTH(F1478)=MONTH(S1478), YEAR(F1478)=YEAR(S1478))</f>
        <v/>
      </c>
      <c r="Q1478" s="521">
        <f>U1478="L001-901905215"</f>
        <v/>
      </c>
      <c r="R1478" s="556">
        <f>G1478-W1478</f>
        <v/>
      </c>
      <c r="S1478" s="523" t="n">
        <v>44643</v>
      </c>
      <c r="T1478" s="522" t="inlineStr">
        <is>
          <t>SHTI220139</t>
        </is>
      </c>
      <c r="U1478" s="522" t="inlineStr">
        <is>
          <t>L001-901905215</t>
        </is>
      </c>
      <c r="V1478" s="522" t="inlineStr">
        <is>
          <t>វីអ៊ីស៊ិន (ខេមបូឌា) អ៊ិនដាសស្ទ្រី ឯ.ក</t>
        </is>
      </c>
      <c r="W1478" s="556" t="n">
        <v>226632</v>
      </c>
    </row>
    <row r="1479">
      <c r="A1479" s="521" t="n">
        <v>1471</v>
      </c>
      <c r="B1479" s="522" t="inlineStr">
        <is>
          <t xml:space="preserve">Security Service </t>
        </is>
      </c>
      <c r="C1479" s="522" t="inlineStr">
        <is>
          <t>សហ័ស សិឃ្យូរិធី ឯ.ក</t>
        </is>
      </c>
      <c r="D1479" s="522" t="inlineStr">
        <is>
          <t>K010-107032600</t>
        </is>
      </c>
      <c r="E1479" s="521" t="inlineStr">
        <is>
          <t>SHTI220082</t>
        </is>
      </c>
      <c r="F1479" s="523" t="n">
        <v>44621</v>
      </c>
      <c r="G1479" s="556" t="n">
        <v>227696</v>
      </c>
      <c r="I1479" s="521">
        <f>G1479</f>
        <v/>
      </c>
      <c r="K1479" s="521">
        <f>I1479-G1479</f>
        <v/>
      </c>
      <c r="M1479" s="522" t="inlineStr">
        <is>
          <t>SHTI220082</t>
        </is>
      </c>
      <c r="N1479" s="522" t="inlineStr"/>
      <c r="O1479" s="521">
        <f>M1479=N1479</f>
        <v/>
      </c>
      <c r="P1479" s="521">
        <f>AND(MONTH(F1479)=MONTH(S1479), YEAR(F1479)=YEAR(S1479))</f>
        <v/>
      </c>
      <c r="Q1479" s="521">
        <f>U1479="L001-901905215"</f>
        <v/>
      </c>
      <c r="R1479" s="556">
        <f>G1479-W1479</f>
        <v/>
      </c>
      <c r="S1479" s="521" t="n"/>
      <c r="T1479" s="522" t="n"/>
      <c r="U1479" s="522" t="n"/>
      <c r="V1479" s="522" t="n"/>
      <c r="W1479" s="521" t="n"/>
    </row>
    <row r="1480">
      <c r="A1480" s="521" t="n">
        <v>1472</v>
      </c>
      <c r="B1480" s="522" t="inlineStr">
        <is>
          <t>PAPER LABEL</t>
        </is>
      </c>
      <c r="C1480" s="522" t="inlineStr">
        <is>
          <t>ស៊ីន ហ្វី យ៉ាង ព្រីនធីង &amp; អិកសេសសឺរី ឯ.ក</t>
        </is>
      </c>
      <c r="D1480" s="522" t="inlineStr">
        <is>
          <t>K010-901906822</t>
        </is>
      </c>
      <c r="E1480" s="521" t="inlineStr">
        <is>
          <t>XFY-YD20220054</t>
        </is>
      </c>
      <c r="F1480" s="523" t="n">
        <v>44651</v>
      </c>
      <c r="G1480" s="556" t="n">
        <v>688808</v>
      </c>
      <c r="I1480" s="521">
        <f>G1480</f>
        <v/>
      </c>
      <c r="K1480" s="521">
        <f>I1480-G1480</f>
        <v/>
      </c>
      <c r="M1480" s="522" t="inlineStr">
        <is>
          <t>XFYYD20220054</t>
        </is>
      </c>
      <c r="N1480" s="522" t="inlineStr">
        <is>
          <t>XFYYD20220054</t>
        </is>
      </c>
      <c r="O1480" s="521">
        <f>M1480=N1480</f>
        <v/>
      </c>
      <c r="P1480" s="521">
        <f>AND(MONTH(F1480)=MONTH(S1480), YEAR(F1480)=YEAR(S1480))</f>
        <v/>
      </c>
      <c r="Q1480" s="521">
        <f>U1480="L001-901905215"</f>
        <v/>
      </c>
      <c r="R1480" s="556">
        <f>G1480-W1480</f>
        <v/>
      </c>
      <c r="S1480" s="523" t="n">
        <v>44651</v>
      </c>
      <c r="T1480" s="522" t="inlineStr">
        <is>
          <t>XFY-YD20220054</t>
        </is>
      </c>
      <c r="U1480" s="522" t="inlineStr">
        <is>
          <t>L001-901905215</t>
        </is>
      </c>
      <c r="V1480" s="522" t="inlineStr">
        <is>
          <t>វីអ៊ីស៊ិន (ខេមបូឌា) អ៊ិនដាសស្ទ្រី ឯ.ក</t>
        </is>
      </c>
      <c r="W1480" s="556" t="n">
        <v>688808</v>
      </c>
    </row>
    <row r="1481">
      <c r="A1481" s="521" t="n">
        <v>1473</v>
      </c>
      <c r="B1481" s="522" t="inlineStr">
        <is>
          <t>Stretch Film (ថង់ប្លាស្ទិច)</t>
        </is>
      </c>
      <c r="C1481" s="522" t="inlineStr">
        <is>
          <t>ស៊ីន ឌីងយ័ន ស៊ូ មេធៀរៀល ឯ.ក</t>
        </is>
      </c>
      <c r="D1481" s="522" t="inlineStr">
        <is>
          <t>K010-902100418</t>
        </is>
      </c>
      <c r="E1481" s="521" t="inlineStr">
        <is>
          <t>0000025</t>
        </is>
      </c>
      <c r="F1481" s="523" t="n">
        <v>44644</v>
      </c>
      <c r="G1481" s="556" t="n">
        <v>675297</v>
      </c>
      <c r="I1481" s="521">
        <f>G1481</f>
        <v/>
      </c>
      <c r="K1481" s="521">
        <f>I1481-G1481</f>
        <v/>
      </c>
      <c r="M1481" s="522" t="inlineStr">
        <is>
          <t>0000025</t>
        </is>
      </c>
      <c r="N1481" s="522" t="inlineStr">
        <is>
          <t>0000025</t>
        </is>
      </c>
      <c r="O1481" s="521">
        <f>M1481=N1481</f>
        <v/>
      </c>
      <c r="P1481" s="521">
        <f>AND(MONTH(F1481)=MONTH(S1481), YEAR(F1481)=YEAR(S1481))</f>
        <v/>
      </c>
      <c r="Q1481" s="521">
        <f>U1481="L001-901905215"</f>
        <v/>
      </c>
      <c r="R1481" s="556">
        <f>G1481-W1481</f>
        <v/>
      </c>
      <c r="S1481" s="523" t="n">
        <v>44644</v>
      </c>
      <c r="T1481" s="522" t="inlineStr">
        <is>
          <t>0000025</t>
        </is>
      </c>
      <c r="U1481" s="522" t="inlineStr">
        <is>
          <t>L001-901905215</t>
        </is>
      </c>
      <c r="V1481" s="522" t="inlineStr">
        <is>
          <t>វីអ៊ីស៊ិន (ខេមបូឌា) អ៊ិនដាសស្ទ្រី ឯ.ក</t>
        </is>
      </c>
      <c r="W1481" s="556" t="n">
        <v>675297</v>
      </c>
    </row>
    <row r="1482">
      <c r="A1482" s="521" t="n">
        <v>1474</v>
      </c>
      <c r="B1482" s="522" t="inlineStr">
        <is>
          <t>Paper Card</t>
        </is>
      </c>
      <c r="C1482" s="522" t="inlineStr">
        <is>
          <t>វីង ចេង ភែកឃីជីង ឯ.ក</t>
        </is>
      </c>
      <c r="D1482" s="522" t="inlineStr">
        <is>
          <t>L001-902102915</t>
        </is>
      </c>
      <c r="E1482" s="521" t="inlineStr">
        <is>
          <t>TI0129</t>
        </is>
      </c>
      <c r="F1482" s="523" t="n">
        <v>44651</v>
      </c>
      <c r="G1482" s="556" t="n">
        <v>7208371</v>
      </c>
      <c r="I1482" s="521">
        <f>G1482</f>
        <v/>
      </c>
      <c r="K1482" s="521">
        <f>I1482-G1482</f>
        <v/>
      </c>
      <c r="M1482" s="522" t="inlineStr">
        <is>
          <t>TI0129</t>
        </is>
      </c>
      <c r="N1482" s="522" t="inlineStr">
        <is>
          <t>TI0129</t>
        </is>
      </c>
      <c r="O1482" s="521">
        <f>M1482=N1482</f>
        <v/>
      </c>
      <c r="P1482" s="521">
        <f>AND(MONTH(F1482)=MONTH(S1482), YEAR(F1482)=YEAR(S1482))</f>
        <v/>
      </c>
      <c r="Q1482" s="521">
        <f>U1482="L001-901905215"</f>
        <v/>
      </c>
      <c r="R1482" s="556">
        <f>G1482-W1482</f>
        <v/>
      </c>
      <c r="S1482" s="523" t="n">
        <v>44651</v>
      </c>
      <c r="T1482" s="522" t="inlineStr">
        <is>
          <t>TI0129</t>
        </is>
      </c>
      <c r="U1482" s="522" t="inlineStr">
        <is>
          <t>L001-901905215</t>
        </is>
      </c>
      <c r="V1482" s="522" t="inlineStr">
        <is>
          <t>វីអ៊ីស៊ិន (ខេមបូឌា) អ៊ិនដាសស្ទ្រី ឯ.ក</t>
        </is>
      </c>
      <c r="W1482" s="556" t="n">
        <v>7208370</v>
      </c>
    </row>
    <row r="1483">
      <c r="A1483" s="521" t="n">
        <v>1475</v>
      </c>
      <c r="B1483" s="522" t="inlineStr">
        <is>
          <t>កេសកាតុង</t>
        </is>
      </c>
      <c r="C1483" s="522" t="inlineStr">
        <is>
          <t>ស៊ីងហ្គាពួរ កាតុង (ខេមបូឌា)</t>
        </is>
      </c>
      <c r="D1483" s="522" t="inlineStr">
        <is>
          <t>L001-100121322</t>
        </is>
      </c>
      <c r="E1483" s="521" t="inlineStr">
        <is>
          <t>V0018998</t>
        </is>
      </c>
      <c r="F1483" s="523" t="n">
        <v>44637</v>
      </c>
      <c r="G1483" s="556" t="n">
        <v>52324</v>
      </c>
      <c r="I1483" s="521">
        <f>G1483</f>
        <v/>
      </c>
      <c r="K1483" s="521">
        <f>I1483-G1483</f>
        <v/>
      </c>
      <c r="M1483" s="522" t="inlineStr">
        <is>
          <t>V0018998</t>
        </is>
      </c>
      <c r="N1483" s="522" t="inlineStr">
        <is>
          <t>V0018998</t>
        </is>
      </c>
      <c r="O1483" s="521">
        <f>M1483=N1483</f>
        <v/>
      </c>
      <c r="P1483" s="521">
        <f>AND(MONTH(F1483)=MONTH(S1483), YEAR(F1483)=YEAR(S1483))</f>
        <v/>
      </c>
      <c r="Q1483" s="521">
        <f>U1483="L001-901905215"</f>
        <v/>
      </c>
      <c r="R1483" s="556">
        <f>G1483-W1483</f>
        <v/>
      </c>
      <c r="S1483" s="523" t="n">
        <v>44637</v>
      </c>
      <c r="T1483" s="522" t="inlineStr">
        <is>
          <t>V0018998</t>
        </is>
      </c>
      <c r="U1483" s="522" t="inlineStr">
        <is>
          <t>L001-901905215</t>
        </is>
      </c>
      <c r="V1483" s="522" t="inlineStr">
        <is>
          <t>វីអ៊ីស៊ិន (ខេមបូឌា) អ៊ិនដាសស្ទ្រី ឯ.ក</t>
        </is>
      </c>
      <c r="W1483" s="556" t="n">
        <v>52543</v>
      </c>
    </row>
    <row r="1484">
      <c r="A1484" s="521" t="n">
        <v>1476</v>
      </c>
      <c r="B1484" s="522" t="inlineStr">
        <is>
          <t>កេសកាតុង</t>
        </is>
      </c>
      <c r="C1484" s="522" t="inlineStr">
        <is>
          <t>ស៊ីងហ្គាពួរ កាតុង (ខេមបូឌា)</t>
        </is>
      </c>
      <c r="D1484" s="522" t="inlineStr">
        <is>
          <t>L001-100121322</t>
        </is>
      </c>
      <c r="E1484" s="521" t="inlineStr">
        <is>
          <t>V00118898</t>
        </is>
      </c>
      <c r="F1484" s="523" t="n">
        <v>44629</v>
      </c>
      <c r="G1484" s="556" t="n">
        <v>217879</v>
      </c>
      <c r="I1484" s="521">
        <f>G1484</f>
        <v/>
      </c>
      <c r="K1484" s="521">
        <f>I1484-G1484</f>
        <v/>
      </c>
      <c r="M1484" s="522" t="inlineStr">
        <is>
          <t>V00118898</t>
        </is>
      </c>
      <c r="N1484" s="522" t="inlineStr"/>
      <c r="O1484" s="521">
        <f>M1484=N1484</f>
        <v/>
      </c>
      <c r="P1484" s="521">
        <f>AND(MONTH(F1484)=MONTH(S1484), YEAR(F1484)=YEAR(S1484))</f>
        <v/>
      </c>
      <c r="Q1484" s="521">
        <f>U1484="L001-901905215"</f>
        <v/>
      </c>
      <c r="R1484" s="556">
        <f>G1484-W1484</f>
        <v/>
      </c>
      <c r="S1484" s="521" t="n"/>
      <c r="T1484" s="522" t="n"/>
      <c r="U1484" s="522" t="n"/>
      <c r="V1484" s="522" t="n"/>
      <c r="W1484" s="521" t="n"/>
    </row>
    <row r="1485">
      <c r="A1485" s="521" t="n">
        <v>1477</v>
      </c>
      <c r="B1485" s="522" t="inlineStr">
        <is>
          <t>ផ្លាកក្រដាសនិងក្រដាស</t>
        </is>
      </c>
      <c r="C1485" s="522" t="inlineStr">
        <is>
          <t>ដុងគ័ន ស៊ីធី ហ្វាញស្តារ ព្រីនធីង (ខេមបូឌា)</t>
        </is>
      </c>
      <c r="D1485" s="522" t="inlineStr">
        <is>
          <t>L001-100193021</t>
        </is>
      </c>
      <c r="E1485" s="521" t="inlineStr">
        <is>
          <t>00094</t>
        </is>
      </c>
      <c r="F1485" s="523" t="n">
        <v>44645</v>
      </c>
      <c r="G1485" s="556" t="n">
        <v>4457253</v>
      </c>
      <c r="I1485" s="521">
        <f>G1485</f>
        <v/>
      </c>
      <c r="K1485" s="521">
        <f>I1485-G1485</f>
        <v/>
      </c>
      <c r="M1485" s="522" t="inlineStr">
        <is>
          <t>00094</t>
        </is>
      </c>
      <c r="N1485" s="522" t="inlineStr">
        <is>
          <t>00094</t>
        </is>
      </c>
      <c r="O1485" s="521">
        <f>M1485=N1485</f>
        <v/>
      </c>
      <c r="P1485" s="521">
        <f>AND(MONTH(F1485)=MONTH(S1485), YEAR(F1485)=YEAR(S1485))</f>
        <v/>
      </c>
      <c r="Q1485" s="521">
        <f>U1485="L001-901905215"</f>
        <v/>
      </c>
      <c r="R1485" s="556">
        <f>G1485-W1485</f>
        <v/>
      </c>
      <c r="S1485" s="523" t="n">
        <v>44645</v>
      </c>
      <c r="T1485" s="522" t="inlineStr">
        <is>
          <t>00094</t>
        </is>
      </c>
      <c r="U1485" s="522" t="inlineStr">
        <is>
          <t>L001-901905215</t>
        </is>
      </c>
      <c r="V1485" s="522" t="inlineStr">
        <is>
          <t>វីអ៊ីស៊ិន (ខេមបូឌា) អ៊ិនដាសស្ទ្រី ឯ.ក</t>
        </is>
      </c>
      <c r="W1485" s="556" t="n">
        <v>4457253</v>
      </c>
    </row>
    <row r="1486">
      <c r="A1486" s="521" t="n">
        <v>1478</v>
      </c>
      <c r="B1486" s="522" t="inlineStr">
        <is>
          <t>PLASTIC (OPEN)</t>
        </is>
      </c>
      <c r="C1486" s="522" t="inlineStr">
        <is>
          <t>ឌើ សឹង ហ្វា ភែកឃីជីង អ៊ិនដាសស្រ្ទៀល ឯ.ក</t>
        </is>
      </c>
      <c r="D1486" s="522" t="inlineStr">
        <is>
          <t>L001-901638065</t>
        </is>
      </c>
      <c r="E1486" s="521" t="inlineStr">
        <is>
          <t>DSF202200078</t>
        </is>
      </c>
      <c r="F1486" s="523" t="n">
        <v>44643</v>
      </c>
      <c r="G1486" s="556" t="n">
        <v>16997</v>
      </c>
      <c r="I1486" s="521">
        <f>G1486</f>
        <v/>
      </c>
      <c r="K1486" s="521">
        <f>I1486-G1486</f>
        <v/>
      </c>
      <c r="M1486" s="522" t="inlineStr">
        <is>
          <t>DSF202200078</t>
        </is>
      </c>
      <c r="N1486" s="522" t="inlineStr">
        <is>
          <t>DSF202200078</t>
        </is>
      </c>
      <c r="O1486" s="521">
        <f>M1486=N1486</f>
        <v/>
      </c>
      <c r="P1486" s="521">
        <f>AND(MONTH(F1486)=MONTH(S1486), YEAR(F1486)=YEAR(S1486))</f>
        <v/>
      </c>
      <c r="Q1486" s="521">
        <f>U1486="L001-901905215"</f>
        <v/>
      </c>
      <c r="R1486" s="556">
        <f>G1486-W1486</f>
        <v/>
      </c>
      <c r="S1486" s="523" t="n">
        <v>44643</v>
      </c>
      <c r="T1486" s="522" t="inlineStr">
        <is>
          <t>DSF202200078</t>
        </is>
      </c>
      <c r="U1486" s="522" t="inlineStr">
        <is>
          <t>L001-901905215</t>
        </is>
      </c>
      <c r="V1486" s="522" t="inlineStr">
        <is>
          <t>វីអ៊ីស៊ិន (ខេមបូឌា) អ៊ិនដាសស្ទ្រី ឯ.ក</t>
        </is>
      </c>
      <c r="W1486" s="556" t="n">
        <v>16997</v>
      </c>
    </row>
    <row r="1487">
      <c r="A1487" s="521" t="n">
        <v>1479</v>
      </c>
      <c r="B1487" s="522" t="inlineStr">
        <is>
          <t>DOCUMENT FEE</t>
        </is>
      </c>
      <c r="C1487" s="522" t="inlineStr">
        <is>
          <t>អិម &amp; វ៉ាយ អ៊ិនធើណេសិនណល ឡូជីស្ទីក (ខេមបូឌា)</t>
        </is>
      </c>
      <c r="D1487" s="522" t="inlineStr">
        <is>
          <t>K003-103013059</t>
        </is>
      </c>
      <c r="E1487" s="521" t="inlineStr">
        <is>
          <t>E-22000693</t>
        </is>
      </c>
      <c r="F1487" s="523" t="n">
        <v>44630</v>
      </c>
      <c r="G1487" s="556" t="n">
        <v>376397</v>
      </c>
      <c r="I1487" s="521">
        <f>G1487</f>
        <v/>
      </c>
      <c r="K1487" s="521">
        <f>I1487-G1487</f>
        <v/>
      </c>
      <c r="M1487" s="522" t="inlineStr">
        <is>
          <t>E22000693</t>
        </is>
      </c>
      <c r="N1487" s="522" t="inlineStr">
        <is>
          <t>E22000693</t>
        </is>
      </c>
      <c r="O1487" s="521">
        <f>M1487=N1487</f>
        <v/>
      </c>
      <c r="P1487" s="521">
        <f>AND(MONTH(F1487)=MONTH(S1487), YEAR(F1487)=YEAR(S1487))</f>
        <v/>
      </c>
      <c r="Q1487" s="521">
        <f>U1487="L001-901905215"</f>
        <v/>
      </c>
      <c r="R1487" s="556">
        <f>G1487-W1487</f>
        <v/>
      </c>
      <c r="S1487" s="523" t="n">
        <v>44630</v>
      </c>
      <c r="T1487" s="522" t="inlineStr">
        <is>
          <t>E-22000693</t>
        </is>
      </c>
      <c r="U1487" s="522" t="inlineStr">
        <is>
          <t>L001-901905215</t>
        </is>
      </c>
      <c r="V1487" s="522" t="inlineStr">
        <is>
          <t>វីអ៊ីស៊ិន (ខេមបូឌា) អ៊ិនដាសស្ទ្រី ឯ.ក</t>
        </is>
      </c>
      <c r="W1487" s="556" t="n">
        <v>376397</v>
      </c>
    </row>
    <row r="1488">
      <c r="A1488" s="521" t="n">
        <v>1480</v>
      </c>
      <c r="B1488" s="522" t="inlineStr">
        <is>
          <t>DOCUMENT FEE</t>
        </is>
      </c>
      <c r="C1488" s="522" t="inlineStr">
        <is>
          <t>អិម &amp; វ៉ាយ អ៊ិនធើណេសិនណល ឡូជីស្ទីក (ខេមបូឌា)</t>
        </is>
      </c>
      <c r="D1488" s="522" t="inlineStr">
        <is>
          <t>K003-103013059</t>
        </is>
      </c>
      <c r="E1488" s="521" t="inlineStr">
        <is>
          <t>E-22000597</t>
        </is>
      </c>
      <c r="F1488" s="523" t="n">
        <v>44622</v>
      </c>
      <c r="G1488" s="556" t="n">
        <v>541458</v>
      </c>
      <c r="I1488" s="521">
        <f>G1488</f>
        <v/>
      </c>
      <c r="K1488" s="521">
        <f>I1488-G1488</f>
        <v/>
      </c>
      <c r="M1488" s="522" t="inlineStr">
        <is>
          <t>E22000597</t>
        </is>
      </c>
      <c r="N1488" s="522" t="inlineStr">
        <is>
          <t>E22000597</t>
        </is>
      </c>
      <c r="O1488" s="521">
        <f>M1488=N1488</f>
        <v/>
      </c>
      <c r="P1488" s="521">
        <f>AND(MONTH(F1488)=MONTH(S1488), YEAR(F1488)=YEAR(S1488))</f>
        <v/>
      </c>
      <c r="Q1488" s="521">
        <f>U1488="L001-901905215"</f>
        <v/>
      </c>
      <c r="R1488" s="556">
        <f>G1488-W1488</f>
        <v/>
      </c>
      <c r="S1488" s="523" t="n">
        <v>44621</v>
      </c>
      <c r="T1488" s="522" t="inlineStr">
        <is>
          <t>E-22000597</t>
        </is>
      </c>
      <c r="U1488" s="522" t="inlineStr">
        <is>
          <t>L001-901905215</t>
        </is>
      </c>
      <c r="V1488" s="522" t="inlineStr">
        <is>
          <t>វីអ៊ីស៊ិន (ខេមបូឌា) អ៊ិនដាសស្ទ្រី ឯ.ក</t>
        </is>
      </c>
      <c r="W1488" s="556" t="n">
        <v>541458</v>
      </c>
    </row>
    <row r="1489">
      <c r="A1489" s="521" t="n">
        <v>1481</v>
      </c>
      <c r="B1489" s="522" t="inlineStr">
        <is>
          <t>THC Charge</t>
        </is>
      </c>
      <c r="C1489" s="522" t="inlineStr">
        <is>
          <t>អ៊ិចស្ពែឌីធ័រ ខេមបូឌា អិលធីឌី</t>
        </is>
      </c>
      <c r="D1489" s="522" t="inlineStr">
        <is>
          <t>L001-100045898</t>
        </is>
      </c>
      <c r="E1489" s="521" t="inlineStr">
        <is>
          <t>TI-0224306</t>
        </is>
      </c>
      <c r="F1489" s="523" t="n">
        <v>44649</v>
      </c>
      <c r="G1489" s="556" t="n">
        <v>349110</v>
      </c>
      <c r="I1489" s="521">
        <f>G1489</f>
        <v/>
      </c>
      <c r="K1489" s="521">
        <f>I1489-G1489</f>
        <v/>
      </c>
      <c r="M1489" s="522" t="inlineStr">
        <is>
          <t>TI0224306</t>
        </is>
      </c>
      <c r="N1489" s="522" t="inlineStr">
        <is>
          <t>TI0224306</t>
        </is>
      </c>
      <c r="O1489" s="521">
        <f>M1489=N1489</f>
        <v/>
      </c>
      <c r="P1489" s="521">
        <f>AND(MONTH(F1489)=MONTH(S1489), YEAR(F1489)=YEAR(S1489))</f>
        <v/>
      </c>
      <c r="Q1489" s="521">
        <f>U1489="L001-901905215"</f>
        <v/>
      </c>
      <c r="R1489" s="556">
        <f>G1489-W1489</f>
        <v/>
      </c>
      <c r="S1489" s="523" t="n">
        <v>44649</v>
      </c>
      <c r="T1489" s="522" t="inlineStr">
        <is>
          <t>TI-0224306</t>
        </is>
      </c>
      <c r="U1489" s="522" t="inlineStr">
        <is>
          <t>L001-901905215</t>
        </is>
      </c>
      <c r="V1489" s="522" t="inlineStr">
        <is>
          <t>វីអ៊ីស៊ិន (ខេមបូឌា) អ៊ិនដាសស្ទ្រី ឯ.ក</t>
        </is>
      </c>
      <c r="W1489" s="556" t="n">
        <v>349110</v>
      </c>
    </row>
    <row r="1490">
      <c r="A1490" s="521" t="n">
        <v>1482</v>
      </c>
      <c r="B1490" s="522" t="inlineStr">
        <is>
          <t>THC Charge</t>
        </is>
      </c>
      <c r="C1490" s="522" t="inlineStr">
        <is>
          <t>អ៊ិចស្ពែឌីធ័រ ខេមបូឌា អិលធីឌី</t>
        </is>
      </c>
      <c r="D1490" s="522" t="inlineStr">
        <is>
          <t>L001-100045898</t>
        </is>
      </c>
      <c r="E1490" s="521" t="inlineStr">
        <is>
          <t>TI-0224305</t>
        </is>
      </c>
      <c r="F1490" s="523" t="n">
        <v>44649</v>
      </c>
      <c r="G1490" s="556" t="n">
        <v>159570</v>
      </c>
      <c r="I1490" s="521">
        <f>G1490</f>
        <v/>
      </c>
      <c r="K1490" s="521">
        <f>I1490-G1490</f>
        <v/>
      </c>
      <c r="M1490" s="522" t="inlineStr">
        <is>
          <t>TI0224305</t>
        </is>
      </c>
      <c r="N1490" s="522" t="inlineStr">
        <is>
          <t>TI0224305</t>
        </is>
      </c>
      <c r="O1490" s="521">
        <f>M1490=N1490</f>
        <v/>
      </c>
      <c r="P1490" s="521">
        <f>AND(MONTH(F1490)=MONTH(S1490), YEAR(F1490)=YEAR(S1490))</f>
        <v/>
      </c>
      <c r="Q1490" s="521">
        <f>U1490="L001-901905215"</f>
        <v/>
      </c>
      <c r="R1490" s="556">
        <f>G1490-W1490</f>
        <v/>
      </c>
      <c r="S1490" s="523" t="n">
        <v>44649</v>
      </c>
      <c r="T1490" s="522" t="inlineStr">
        <is>
          <t>TI-0224305</t>
        </is>
      </c>
      <c r="U1490" s="522" t="inlineStr">
        <is>
          <t>L001-901905215</t>
        </is>
      </c>
      <c r="V1490" s="522" t="inlineStr">
        <is>
          <t>វីអ៊ីស៊ិន (ខេមបូឌា) អ៊ិនដាសស្ទ្រី ឯ.ក</t>
        </is>
      </c>
      <c r="W1490" s="556" t="n">
        <v>159570</v>
      </c>
    </row>
    <row r="1491">
      <c r="A1491" s="521" t="n">
        <v>1483</v>
      </c>
      <c r="B1491" s="522" t="inlineStr">
        <is>
          <t>THC Charge</t>
        </is>
      </c>
      <c r="C1491" s="522" t="inlineStr">
        <is>
          <t>អ៊ិចស្ពែឌីធ័រ ខេមបូឌា អិលធីឌី</t>
        </is>
      </c>
      <c r="D1491" s="522" t="inlineStr">
        <is>
          <t>L001-100045898</t>
        </is>
      </c>
      <c r="E1491" s="521" t="inlineStr">
        <is>
          <t>TI-0223978</t>
        </is>
      </c>
      <c r="F1491" s="523" t="n">
        <v>44647</v>
      </c>
      <c r="G1491" s="556" t="n">
        <v>189540</v>
      </c>
      <c r="I1491" s="521">
        <f>G1491</f>
        <v/>
      </c>
      <c r="K1491" s="521">
        <f>I1491-G1491</f>
        <v/>
      </c>
      <c r="M1491" s="522" t="inlineStr">
        <is>
          <t>TI0223978</t>
        </is>
      </c>
      <c r="N1491" s="522" t="inlineStr">
        <is>
          <t>TI0223978</t>
        </is>
      </c>
      <c r="O1491" s="521">
        <f>M1491=N1491</f>
        <v/>
      </c>
      <c r="P1491" s="521">
        <f>AND(MONTH(F1491)=MONTH(S1491), YEAR(F1491)=YEAR(S1491))</f>
        <v/>
      </c>
      <c r="Q1491" s="521">
        <f>U1491="L001-901905215"</f>
        <v/>
      </c>
      <c r="R1491" s="556">
        <f>G1491-W1491</f>
        <v/>
      </c>
      <c r="S1491" s="523" t="n">
        <v>44647</v>
      </c>
      <c r="T1491" s="522" t="inlineStr">
        <is>
          <t>TI-0223978</t>
        </is>
      </c>
      <c r="U1491" s="522" t="inlineStr">
        <is>
          <t>L001-901905215</t>
        </is>
      </c>
      <c r="V1491" s="522" t="inlineStr">
        <is>
          <t>វីអ៊ីស៊ិន (ខេមបូឌា) អ៊ិនដាសស្ទ្រី ឯ.ក</t>
        </is>
      </c>
      <c r="W1491" s="556" t="n">
        <v>189540</v>
      </c>
    </row>
    <row r="1492">
      <c r="A1492" s="521" t="n">
        <v>1484</v>
      </c>
      <c r="B1492" s="522" t="inlineStr">
        <is>
          <t>THC Charge</t>
        </is>
      </c>
      <c r="C1492" s="522" t="inlineStr">
        <is>
          <t>អ៊ិចស្ពែឌីធ័រ ខេមបូឌា អិលធីឌី</t>
        </is>
      </c>
      <c r="D1492" s="522" t="inlineStr">
        <is>
          <t>L001-100045898</t>
        </is>
      </c>
      <c r="E1492" s="521" t="inlineStr">
        <is>
          <t>TI-0223973</t>
        </is>
      </c>
      <c r="F1492" s="523" t="n">
        <v>44647</v>
      </c>
      <c r="G1492" s="556" t="n">
        <v>159570</v>
      </c>
      <c r="I1492" s="521">
        <f>G1492</f>
        <v/>
      </c>
      <c r="K1492" s="521">
        <f>I1492-G1492</f>
        <v/>
      </c>
      <c r="M1492" s="522" t="inlineStr">
        <is>
          <t>TI0223973</t>
        </is>
      </c>
      <c r="N1492" s="522" t="inlineStr">
        <is>
          <t>TI0223973</t>
        </is>
      </c>
      <c r="O1492" s="521">
        <f>M1492=N1492</f>
        <v/>
      </c>
      <c r="P1492" s="521">
        <f>AND(MONTH(F1492)=MONTH(S1492), YEAR(F1492)=YEAR(S1492))</f>
        <v/>
      </c>
      <c r="Q1492" s="521">
        <f>U1492="L001-901905215"</f>
        <v/>
      </c>
      <c r="R1492" s="556">
        <f>G1492-W1492</f>
        <v/>
      </c>
      <c r="S1492" s="523" t="n">
        <v>44647</v>
      </c>
      <c r="T1492" s="522" t="inlineStr">
        <is>
          <t>TI-0223973</t>
        </is>
      </c>
      <c r="U1492" s="522" t="inlineStr">
        <is>
          <t>L001-901905215</t>
        </is>
      </c>
      <c r="V1492" s="522" t="inlineStr">
        <is>
          <t>វីអ៊ីស៊ិន (ខេមបូឌា) អ៊ិនដាសស្ទ្រី ឯ.ក</t>
        </is>
      </c>
      <c r="W1492" s="556" t="n">
        <v>159570</v>
      </c>
    </row>
    <row r="1493">
      <c r="A1493" s="521" t="n">
        <v>1485</v>
      </c>
      <c r="B1493" s="522" t="inlineStr">
        <is>
          <t>THC Charge</t>
        </is>
      </c>
      <c r="C1493" s="522" t="inlineStr">
        <is>
          <t>អ៊ិចស្ពែឌីធ័រ ខេមបូឌា អិលធីឌី</t>
        </is>
      </c>
      <c r="D1493" s="522" t="inlineStr">
        <is>
          <t>L001-100045898</t>
        </is>
      </c>
      <c r="E1493" s="521" t="inlineStr">
        <is>
          <t>TI-0223911</t>
        </is>
      </c>
      <c r="F1493" s="523" t="n">
        <v>44647</v>
      </c>
      <c r="G1493" s="556" t="n">
        <v>290790</v>
      </c>
      <c r="I1493" s="521">
        <f>G1493</f>
        <v/>
      </c>
      <c r="K1493" s="521">
        <f>I1493-G1493</f>
        <v/>
      </c>
      <c r="M1493" s="522" t="inlineStr">
        <is>
          <t>TI0223911</t>
        </is>
      </c>
      <c r="N1493" s="522" t="inlineStr">
        <is>
          <t>TI0223911</t>
        </is>
      </c>
      <c r="O1493" s="521">
        <f>M1493=N1493</f>
        <v/>
      </c>
      <c r="P1493" s="521">
        <f>AND(MONTH(F1493)=MONTH(S1493), YEAR(F1493)=YEAR(S1493))</f>
        <v/>
      </c>
      <c r="Q1493" s="521">
        <f>U1493="L001-901905215"</f>
        <v/>
      </c>
      <c r="R1493" s="556">
        <f>G1493-W1493</f>
        <v/>
      </c>
      <c r="S1493" s="523" t="n">
        <v>44647</v>
      </c>
      <c r="T1493" s="522" t="inlineStr">
        <is>
          <t>TI-0223911</t>
        </is>
      </c>
      <c r="U1493" s="522" t="inlineStr">
        <is>
          <t>L001-901905215</t>
        </is>
      </c>
      <c r="V1493" s="522" t="inlineStr">
        <is>
          <t>វីអ៊ីស៊ិន (ខេមបូឌា) អ៊ិនដាសស្ទ្រី ឯ.ក</t>
        </is>
      </c>
      <c r="W1493" s="556" t="n">
        <v>290790</v>
      </c>
    </row>
    <row r="1494">
      <c r="A1494" s="521" t="n">
        <v>1486</v>
      </c>
      <c r="B1494" s="522" t="inlineStr">
        <is>
          <t xml:space="preserve">THC Charge </t>
        </is>
      </c>
      <c r="C1494" s="522" t="inlineStr">
        <is>
          <t>អ៊ិចស្ពែឌីធ័រ ខេមបូឌា អិលធីឌី</t>
        </is>
      </c>
      <c r="D1494" s="522" t="inlineStr">
        <is>
          <t>L001-100045898</t>
        </is>
      </c>
      <c r="E1494" s="521" t="inlineStr">
        <is>
          <t>TI-0223904</t>
        </is>
      </c>
      <c r="F1494" s="523" t="n">
        <v>44647</v>
      </c>
      <c r="G1494" s="556" t="n">
        <v>349110</v>
      </c>
      <c r="I1494" s="521">
        <f>G1494</f>
        <v/>
      </c>
      <c r="K1494" s="521">
        <f>I1494-G1494</f>
        <v/>
      </c>
      <c r="M1494" s="522" t="inlineStr">
        <is>
          <t>TI0223904</t>
        </is>
      </c>
      <c r="N1494" s="522" t="inlineStr">
        <is>
          <t>TI0223904</t>
        </is>
      </c>
      <c r="O1494" s="521">
        <f>M1494=N1494</f>
        <v/>
      </c>
      <c r="P1494" s="521">
        <f>AND(MONTH(F1494)=MONTH(S1494), YEAR(F1494)=YEAR(S1494))</f>
        <v/>
      </c>
      <c r="Q1494" s="521">
        <f>U1494="L001-901905215"</f>
        <v/>
      </c>
      <c r="R1494" s="556">
        <f>G1494-W1494</f>
        <v/>
      </c>
      <c r="S1494" s="523" t="n">
        <v>44647</v>
      </c>
      <c r="T1494" s="522" t="inlineStr">
        <is>
          <t>TI-0223904</t>
        </is>
      </c>
      <c r="U1494" s="522" t="inlineStr">
        <is>
          <t>L001-901905215</t>
        </is>
      </c>
      <c r="V1494" s="522" t="inlineStr">
        <is>
          <t>វីអ៊ីស៊ិន (ខេមបូឌា) អ៊ិនដាសស្ទ្រី ឯ.ក</t>
        </is>
      </c>
      <c r="W1494" s="556" t="n">
        <v>349110</v>
      </c>
    </row>
    <row r="1495">
      <c r="A1495" s="521" t="n">
        <v>1487</v>
      </c>
      <c r="B1495" s="522" t="inlineStr">
        <is>
          <t>THC Charge</t>
        </is>
      </c>
      <c r="C1495" s="522" t="inlineStr">
        <is>
          <t>អ៊ិចស្ពែឌីធ័រ ខេមបូឌា អិលធីឌី</t>
        </is>
      </c>
      <c r="D1495" s="522" t="inlineStr">
        <is>
          <t>L001-100045898</t>
        </is>
      </c>
      <c r="E1495" s="521" t="inlineStr">
        <is>
          <t>TI-0223903</t>
        </is>
      </c>
      <c r="F1495" s="523" t="n">
        <v>44647</v>
      </c>
      <c r="G1495" s="556" t="n">
        <v>319140</v>
      </c>
      <c r="I1495" s="521">
        <f>G1495</f>
        <v/>
      </c>
      <c r="K1495" s="521">
        <f>I1495-G1495</f>
        <v/>
      </c>
      <c r="M1495" s="522" t="inlineStr">
        <is>
          <t>TI0223903</t>
        </is>
      </c>
      <c r="N1495" s="522" t="inlineStr">
        <is>
          <t>TI0223903</t>
        </is>
      </c>
      <c r="O1495" s="521">
        <f>M1495=N1495</f>
        <v/>
      </c>
      <c r="P1495" s="521">
        <f>AND(MONTH(F1495)=MONTH(S1495), YEAR(F1495)=YEAR(S1495))</f>
        <v/>
      </c>
      <c r="Q1495" s="521">
        <f>U1495="L001-901905215"</f>
        <v/>
      </c>
      <c r="R1495" s="556">
        <f>G1495-W1495</f>
        <v/>
      </c>
      <c r="S1495" s="523" t="n">
        <v>44647</v>
      </c>
      <c r="T1495" s="522" t="inlineStr">
        <is>
          <t>TI-0223903</t>
        </is>
      </c>
      <c r="U1495" s="522" t="inlineStr">
        <is>
          <t>L001-901905215</t>
        </is>
      </c>
      <c r="V1495" s="522" t="inlineStr">
        <is>
          <t>វីអ៊ីស៊ិន (ខេមបូឌា) អ៊ិនដាសស្ទ្រី ឯ.ក</t>
        </is>
      </c>
      <c r="W1495" s="556" t="n">
        <v>319140</v>
      </c>
    </row>
    <row r="1496">
      <c r="A1496" s="521" t="n">
        <v>1488</v>
      </c>
      <c r="B1496" s="522" t="inlineStr">
        <is>
          <t>THC Charge</t>
        </is>
      </c>
      <c r="C1496" s="522" t="inlineStr">
        <is>
          <t>អ៊ិចស្ពែឌីធ័រ ខេមបូឌា អិលធីឌី</t>
        </is>
      </c>
      <c r="D1496" s="522" t="inlineStr">
        <is>
          <t>L001-100045898</t>
        </is>
      </c>
      <c r="E1496" s="521" t="inlineStr">
        <is>
          <t>TI-0223865</t>
        </is>
      </c>
      <c r="F1496" s="523" t="n">
        <v>44647</v>
      </c>
      <c r="G1496" s="556" t="n">
        <v>1176930</v>
      </c>
      <c r="I1496" s="521">
        <f>G1496</f>
        <v/>
      </c>
      <c r="K1496" s="521">
        <f>I1496-G1496</f>
        <v/>
      </c>
      <c r="M1496" s="522" t="inlineStr">
        <is>
          <t>TI0223865</t>
        </is>
      </c>
      <c r="N1496" s="522" t="inlineStr">
        <is>
          <t>TI0223865</t>
        </is>
      </c>
      <c r="O1496" s="521">
        <f>M1496=N1496</f>
        <v/>
      </c>
      <c r="P1496" s="521">
        <f>AND(MONTH(F1496)=MONTH(S1496), YEAR(F1496)=YEAR(S1496))</f>
        <v/>
      </c>
      <c r="Q1496" s="521">
        <f>U1496="L001-901905215"</f>
        <v/>
      </c>
      <c r="R1496" s="556">
        <f>G1496-W1496</f>
        <v/>
      </c>
      <c r="S1496" s="523" t="n">
        <v>44647</v>
      </c>
      <c r="T1496" s="522" t="inlineStr">
        <is>
          <t>TI-0223865</t>
        </is>
      </c>
      <c r="U1496" s="522" t="inlineStr">
        <is>
          <t>L001-901905215</t>
        </is>
      </c>
      <c r="V1496" s="522" t="inlineStr">
        <is>
          <t>វីអ៊ីស៊ិន (ខេមបូឌា) អ៊ិនដាសស្ទ្រី ឯ.ក</t>
        </is>
      </c>
      <c r="W1496" s="556" t="n">
        <v>1176930</v>
      </c>
    </row>
    <row r="1497">
      <c r="A1497" s="521" t="n">
        <v>1489</v>
      </c>
      <c r="B1497" s="522" t="inlineStr">
        <is>
          <t>THC Charge</t>
        </is>
      </c>
      <c r="C1497" s="522" t="inlineStr">
        <is>
          <t>អ៊ិចស្ពែឌីធ័រ ខេមបូឌា អិលធីឌី</t>
        </is>
      </c>
      <c r="D1497" s="522" t="inlineStr">
        <is>
          <t>L001-100045898</t>
        </is>
      </c>
      <c r="E1497" s="521" t="inlineStr">
        <is>
          <t>TI-0223866</t>
        </is>
      </c>
      <c r="F1497" s="523" t="n">
        <v>44647</v>
      </c>
      <c r="G1497" s="556" t="n">
        <v>1850850</v>
      </c>
      <c r="I1497" s="521">
        <f>G1497</f>
        <v/>
      </c>
      <c r="K1497" s="521">
        <f>I1497-G1497</f>
        <v/>
      </c>
      <c r="M1497" s="522" t="inlineStr">
        <is>
          <t>TI0223866</t>
        </is>
      </c>
      <c r="N1497" s="522" t="inlineStr">
        <is>
          <t>TI0223866</t>
        </is>
      </c>
      <c r="O1497" s="521">
        <f>M1497=N1497</f>
        <v/>
      </c>
      <c r="P1497" s="521">
        <f>AND(MONTH(F1497)=MONTH(S1497), YEAR(F1497)=YEAR(S1497))</f>
        <v/>
      </c>
      <c r="Q1497" s="521">
        <f>U1497="L001-901905215"</f>
        <v/>
      </c>
      <c r="R1497" s="556">
        <f>G1497-W1497</f>
        <v/>
      </c>
      <c r="S1497" s="523" t="n">
        <v>44647</v>
      </c>
      <c r="T1497" s="522" t="inlineStr">
        <is>
          <t>TI-0223866</t>
        </is>
      </c>
      <c r="U1497" s="522" t="inlineStr">
        <is>
          <t>L001-901905215</t>
        </is>
      </c>
      <c r="V1497" s="522" t="inlineStr">
        <is>
          <t>វីអ៊ីស៊ិន (ខេមបូឌា) អ៊ិនដាសស្ទ្រី ឯ.ក</t>
        </is>
      </c>
      <c r="W1497" s="556" t="n">
        <v>1850850</v>
      </c>
    </row>
    <row r="1498">
      <c r="A1498" s="521" t="n">
        <v>1490</v>
      </c>
      <c r="B1498" s="522" t="inlineStr">
        <is>
          <t>THC Charge</t>
        </is>
      </c>
      <c r="C1498" s="522" t="inlineStr">
        <is>
          <t>អ៊ិចស្ពែឌីធ័រ ខេមបូឌា អិលធីឌី</t>
        </is>
      </c>
      <c r="D1498" s="522" t="inlineStr">
        <is>
          <t>L001-100045898</t>
        </is>
      </c>
      <c r="E1498" s="521" t="inlineStr">
        <is>
          <t>TI-0223864</t>
        </is>
      </c>
      <c r="F1498" s="523" t="n">
        <v>44647</v>
      </c>
      <c r="G1498" s="556" t="n">
        <v>458460</v>
      </c>
      <c r="I1498" s="521">
        <f>G1498</f>
        <v/>
      </c>
      <c r="K1498" s="521">
        <f>I1498-G1498</f>
        <v/>
      </c>
      <c r="M1498" s="522" t="inlineStr">
        <is>
          <t>TI0223864</t>
        </is>
      </c>
      <c r="N1498" s="522" t="inlineStr">
        <is>
          <t>TI0223864</t>
        </is>
      </c>
      <c r="O1498" s="521">
        <f>M1498=N1498</f>
        <v/>
      </c>
      <c r="P1498" s="521">
        <f>AND(MONTH(F1498)=MONTH(S1498), YEAR(F1498)=YEAR(S1498))</f>
        <v/>
      </c>
      <c r="Q1498" s="521">
        <f>U1498="L001-901905215"</f>
        <v/>
      </c>
      <c r="R1498" s="556">
        <f>G1498-W1498</f>
        <v/>
      </c>
      <c r="S1498" s="523" t="n">
        <v>44647</v>
      </c>
      <c r="T1498" s="522" t="inlineStr">
        <is>
          <t>TI-0223864</t>
        </is>
      </c>
      <c r="U1498" s="522" t="inlineStr">
        <is>
          <t>L001-901905215</t>
        </is>
      </c>
      <c r="V1498" s="522" t="inlineStr">
        <is>
          <t>វីអ៊ីស៊ិន (ខេមបូឌា) អ៊ិនដាសស្ទ្រី ឯ.ក</t>
        </is>
      </c>
      <c r="W1498" s="556" t="n">
        <v>458460</v>
      </c>
    </row>
    <row r="1499">
      <c r="A1499" s="521" t="n">
        <v>1491</v>
      </c>
      <c r="B1499" s="522" t="inlineStr">
        <is>
          <t>THC Charge</t>
        </is>
      </c>
      <c r="C1499" s="522" t="inlineStr">
        <is>
          <t>អ៊ិចស្ពែឌីធ័រ ខេមបូឌា អិលធីឌី</t>
        </is>
      </c>
      <c r="D1499" s="522" t="inlineStr">
        <is>
          <t>L001-100045898</t>
        </is>
      </c>
      <c r="E1499" s="521" t="inlineStr">
        <is>
          <t>TI-0223863</t>
        </is>
      </c>
      <c r="F1499" s="523" t="n">
        <v>44647</v>
      </c>
      <c r="G1499" s="556" t="n">
        <v>332910</v>
      </c>
      <c r="I1499" s="521">
        <f>G1499</f>
        <v/>
      </c>
      <c r="K1499" s="521">
        <f>I1499-G1499</f>
        <v/>
      </c>
      <c r="M1499" s="522" t="inlineStr">
        <is>
          <t>TI0223863</t>
        </is>
      </c>
      <c r="N1499" s="522" t="inlineStr">
        <is>
          <t>TI0223863</t>
        </is>
      </c>
      <c r="O1499" s="521">
        <f>M1499=N1499</f>
        <v/>
      </c>
      <c r="P1499" s="521">
        <f>AND(MONTH(F1499)=MONTH(S1499), YEAR(F1499)=YEAR(S1499))</f>
        <v/>
      </c>
      <c r="Q1499" s="521">
        <f>U1499="L001-901905215"</f>
        <v/>
      </c>
      <c r="R1499" s="556">
        <f>G1499-W1499</f>
        <v/>
      </c>
      <c r="S1499" s="523" t="n">
        <v>44647</v>
      </c>
      <c r="T1499" s="522" t="inlineStr">
        <is>
          <t>TI-0223863</t>
        </is>
      </c>
      <c r="U1499" s="522" t="inlineStr">
        <is>
          <t>L001-901905215</t>
        </is>
      </c>
      <c r="V1499" s="522" t="inlineStr">
        <is>
          <t>វីអ៊ីស៊ិន (ខេមបូឌា) អ៊ិនដាសស្ទ្រី ឯ.ក</t>
        </is>
      </c>
      <c r="W1499" s="556" t="n">
        <v>332910</v>
      </c>
    </row>
    <row r="1500">
      <c r="A1500" s="521" t="n">
        <v>1492</v>
      </c>
      <c r="B1500" s="522" t="inlineStr">
        <is>
          <t xml:space="preserve">THC Charge </t>
        </is>
      </c>
      <c r="C1500" s="522" t="inlineStr">
        <is>
          <t>អ៊ិចស្ពែឌីធ័រ ខេមបូឌា អិលធីឌី</t>
        </is>
      </c>
      <c r="D1500" s="522" t="inlineStr">
        <is>
          <t>L001-100045898</t>
        </is>
      </c>
      <c r="E1500" s="521" t="inlineStr">
        <is>
          <t>TI-0223862</t>
        </is>
      </c>
      <c r="F1500" s="523" t="n">
        <v>44647</v>
      </c>
      <c r="G1500" s="556" t="n">
        <v>349110</v>
      </c>
      <c r="I1500" s="521">
        <f>G1500</f>
        <v/>
      </c>
      <c r="K1500" s="521">
        <f>I1500-G1500</f>
        <v/>
      </c>
      <c r="M1500" s="522" t="inlineStr">
        <is>
          <t>TI0223862</t>
        </is>
      </c>
      <c r="N1500" s="522" t="inlineStr">
        <is>
          <t>TI0223862</t>
        </is>
      </c>
      <c r="O1500" s="521">
        <f>M1500=N1500</f>
        <v/>
      </c>
      <c r="P1500" s="521">
        <f>AND(MONTH(F1500)=MONTH(S1500), YEAR(F1500)=YEAR(S1500))</f>
        <v/>
      </c>
      <c r="Q1500" s="521">
        <f>U1500="L001-901905215"</f>
        <v/>
      </c>
      <c r="R1500" s="556">
        <f>G1500-W1500</f>
        <v/>
      </c>
      <c r="S1500" s="523" t="n">
        <v>44647</v>
      </c>
      <c r="T1500" s="522" t="inlineStr">
        <is>
          <t>TI-0223862</t>
        </is>
      </c>
      <c r="U1500" s="522" t="inlineStr">
        <is>
          <t>L001-901905215</t>
        </is>
      </c>
      <c r="V1500" s="522" t="inlineStr">
        <is>
          <t>វីអ៊ីស៊ិន (ខេមបូឌា) អ៊ិនដាសស្ទ្រី ឯ.ក</t>
        </is>
      </c>
      <c r="W1500" s="556" t="n">
        <v>349110</v>
      </c>
    </row>
    <row r="1501">
      <c r="A1501" s="521" t="n">
        <v>1493</v>
      </c>
      <c r="B1501" s="522" t="inlineStr">
        <is>
          <t xml:space="preserve">THC Charge </t>
        </is>
      </c>
      <c r="C1501" s="522" t="inlineStr">
        <is>
          <t>អ៊ិចស្ពែឌីធ័រ ខេមបូឌា អិលធីឌី</t>
        </is>
      </c>
      <c r="D1501" s="522" t="inlineStr">
        <is>
          <t>L001-100045898</t>
        </is>
      </c>
      <c r="E1501" s="521" t="inlineStr">
        <is>
          <t>TI-0223805</t>
        </is>
      </c>
      <c r="F1501" s="523" t="n">
        <v>44646</v>
      </c>
      <c r="G1501" s="556" t="n">
        <v>480330</v>
      </c>
      <c r="I1501" s="521">
        <f>G1501</f>
        <v/>
      </c>
      <c r="K1501" s="521">
        <f>I1501-G1501</f>
        <v/>
      </c>
      <c r="M1501" s="522" t="inlineStr">
        <is>
          <t>TI0223805</t>
        </is>
      </c>
      <c r="N1501" s="522" t="inlineStr">
        <is>
          <t>TI0223805</t>
        </is>
      </c>
      <c r="O1501" s="521">
        <f>M1501=N1501</f>
        <v/>
      </c>
      <c r="P1501" s="521">
        <f>AND(MONTH(F1501)=MONTH(S1501), YEAR(F1501)=YEAR(S1501))</f>
        <v/>
      </c>
      <c r="Q1501" s="521">
        <f>U1501="L001-901905215"</f>
        <v/>
      </c>
      <c r="R1501" s="556">
        <f>G1501-W1501</f>
        <v/>
      </c>
      <c r="S1501" s="523" t="n">
        <v>44646</v>
      </c>
      <c r="T1501" s="522" t="inlineStr">
        <is>
          <t>TI-0223805</t>
        </is>
      </c>
      <c r="U1501" s="522" t="inlineStr">
        <is>
          <t>L001-901905215</t>
        </is>
      </c>
      <c r="V1501" s="522" t="inlineStr">
        <is>
          <t>វីអ៊ីស៊ិន (ខេមបូឌា) អ៊ិនដាសស្ទ្រី ឯ.ក</t>
        </is>
      </c>
      <c r="W1501" s="556" t="n">
        <v>480330</v>
      </c>
    </row>
    <row r="1502">
      <c r="A1502" s="521" t="n">
        <v>1494</v>
      </c>
      <c r="B1502" s="522" t="inlineStr">
        <is>
          <t xml:space="preserve">THC Charge </t>
        </is>
      </c>
      <c r="C1502" s="522" t="inlineStr">
        <is>
          <t>អ៊ិចស្ពែឌីធ័រ ខេមបូឌា អិលធីឌី</t>
        </is>
      </c>
      <c r="D1502" s="522" t="inlineStr">
        <is>
          <t>L001-100045898</t>
        </is>
      </c>
      <c r="E1502" s="521" t="inlineStr">
        <is>
          <t>TI-0223804</t>
        </is>
      </c>
      <c r="F1502" s="523" t="n">
        <v>44646</v>
      </c>
      <c r="G1502" s="556" t="n">
        <v>349110</v>
      </c>
      <c r="I1502" s="521">
        <f>G1502</f>
        <v/>
      </c>
      <c r="K1502" s="521">
        <f>I1502-G1502</f>
        <v/>
      </c>
      <c r="M1502" s="522" t="inlineStr">
        <is>
          <t>TI0223804</t>
        </is>
      </c>
      <c r="N1502" s="522" t="inlineStr">
        <is>
          <t>TI0223804</t>
        </is>
      </c>
      <c r="O1502" s="521">
        <f>M1502=N1502</f>
        <v/>
      </c>
      <c r="P1502" s="521">
        <f>AND(MONTH(F1502)=MONTH(S1502), YEAR(F1502)=YEAR(S1502))</f>
        <v/>
      </c>
      <c r="Q1502" s="521">
        <f>U1502="L001-901905215"</f>
        <v/>
      </c>
      <c r="R1502" s="556">
        <f>G1502-W1502</f>
        <v/>
      </c>
      <c r="S1502" s="523" t="n">
        <v>44646</v>
      </c>
      <c r="T1502" s="522" t="inlineStr">
        <is>
          <t>TI-0223804</t>
        </is>
      </c>
      <c r="U1502" s="522" t="inlineStr">
        <is>
          <t>L001-901905215</t>
        </is>
      </c>
      <c r="V1502" s="522" t="inlineStr">
        <is>
          <t>វីអ៊ីស៊ិន (ខេមបូឌា) អ៊ិនដាសស្ទ្រី ឯ.ក</t>
        </is>
      </c>
      <c r="W1502" s="556" t="n">
        <v>349110</v>
      </c>
    </row>
    <row r="1503">
      <c r="A1503" s="521" t="n">
        <v>1495</v>
      </c>
      <c r="B1503" s="522" t="inlineStr">
        <is>
          <t>THC Charge</t>
        </is>
      </c>
      <c r="C1503" s="522" t="inlineStr">
        <is>
          <t>អ៊ិចស្ពែឌីធ័រ ខេមបូឌា អិលធីឌី</t>
        </is>
      </c>
      <c r="D1503" s="522" t="inlineStr">
        <is>
          <t>L001-100045898</t>
        </is>
      </c>
      <c r="E1503" s="521" t="inlineStr">
        <is>
          <t>TI-0223791</t>
        </is>
      </c>
      <c r="F1503" s="523" t="n">
        <v>44646</v>
      </c>
      <c r="G1503" s="556" t="n">
        <v>927450</v>
      </c>
      <c r="I1503" s="521">
        <f>G1503</f>
        <v/>
      </c>
      <c r="K1503" s="521">
        <f>I1503-G1503</f>
        <v/>
      </c>
      <c r="M1503" s="522" t="inlineStr">
        <is>
          <t>TI0223791</t>
        </is>
      </c>
      <c r="N1503" s="522" t="inlineStr">
        <is>
          <t>TI0223791</t>
        </is>
      </c>
      <c r="O1503" s="521">
        <f>M1503=N1503</f>
        <v/>
      </c>
      <c r="P1503" s="521">
        <f>AND(MONTH(F1503)=MONTH(S1503), YEAR(F1503)=YEAR(S1503))</f>
        <v/>
      </c>
      <c r="Q1503" s="521">
        <f>U1503="L001-901905215"</f>
        <v/>
      </c>
      <c r="R1503" s="556">
        <f>G1503-W1503</f>
        <v/>
      </c>
      <c r="S1503" s="523" t="n">
        <v>44646</v>
      </c>
      <c r="T1503" s="522" t="inlineStr">
        <is>
          <t>TI-0223791</t>
        </is>
      </c>
      <c r="U1503" s="522" t="inlineStr">
        <is>
          <t>L001-901905215</t>
        </is>
      </c>
      <c r="V1503" s="522" t="inlineStr">
        <is>
          <t>វីអ៊ីស៊ិន (ខេមបូឌា) អ៊ិនដាសស្ទ្រី ឯ.ក</t>
        </is>
      </c>
      <c r="W1503" s="556" t="n">
        <v>927450</v>
      </c>
    </row>
    <row r="1504">
      <c r="A1504" s="521" t="n">
        <v>1496</v>
      </c>
      <c r="B1504" s="522" t="inlineStr">
        <is>
          <t>THC Charge</t>
        </is>
      </c>
      <c r="C1504" s="522" t="inlineStr">
        <is>
          <t>អ៊ិចស្ពែឌីធ័រ ខេមបូឌា អិលធីឌី</t>
        </is>
      </c>
      <c r="D1504" s="522" t="inlineStr">
        <is>
          <t>L001-100045898</t>
        </is>
      </c>
      <c r="E1504" s="521" t="inlineStr">
        <is>
          <t>TI-0222894</t>
        </is>
      </c>
      <c r="F1504" s="523" t="n">
        <v>44641</v>
      </c>
      <c r="G1504" s="556" t="n">
        <v>824958</v>
      </c>
      <c r="I1504" s="521">
        <f>G1504</f>
        <v/>
      </c>
      <c r="K1504" s="521">
        <f>I1504-G1504</f>
        <v/>
      </c>
      <c r="M1504" s="522" t="inlineStr">
        <is>
          <t>TI0222894</t>
        </is>
      </c>
      <c r="N1504" s="522" t="inlineStr">
        <is>
          <t>TI0222894</t>
        </is>
      </c>
      <c r="O1504" s="521">
        <f>M1504=N1504</f>
        <v/>
      </c>
      <c r="P1504" s="521">
        <f>AND(MONTH(F1504)=MONTH(S1504), YEAR(F1504)=YEAR(S1504))</f>
        <v/>
      </c>
      <c r="Q1504" s="521">
        <f>U1504="L001-901905215"</f>
        <v/>
      </c>
      <c r="R1504" s="556">
        <f>G1504-W1504</f>
        <v/>
      </c>
      <c r="S1504" s="523" t="n">
        <v>44641</v>
      </c>
      <c r="T1504" s="522" t="inlineStr">
        <is>
          <t>TI-0222894</t>
        </is>
      </c>
      <c r="U1504" s="522" t="inlineStr">
        <is>
          <t>L001-901905215</t>
        </is>
      </c>
      <c r="V1504" s="522" t="inlineStr">
        <is>
          <t>វីអ៊ីស៊ិន (ខេមបូឌា) អ៊ិនដាសស្ទ្រី ឯ.ក</t>
        </is>
      </c>
      <c r="W1504" s="556" t="n">
        <v>825776</v>
      </c>
    </row>
    <row r="1505">
      <c r="A1505" s="521" t="n">
        <v>1497</v>
      </c>
      <c r="B1505" s="522" t="inlineStr">
        <is>
          <t>THC Charge</t>
        </is>
      </c>
      <c r="C1505" s="522" t="inlineStr">
        <is>
          <t>អ៊ិចស្ពែឌីធ័រ ខេមបូឌា អិលធីឌី</t>
        </is>
      </c>
      <c r="D1505" s="522" t="inlineStr">
        <is>
          <t>L001-100045898</t>
        </is>
      </c>
      <c r="E1505" s="521" t="inlineStr">
        <is>
          <t>TI-0222888</t>
        </is>
      </c>
      <c r="F1505" s="523" t="n">
        <v>44641</v>
      </c>
      <c r="G1505" s="556" t="n">
        <v>566654</v>
      </c>
      <c r="I1505" s="521">
        <f>G1505</f>
        <v/>
      </c>
      <c r="K1505" s="521">
        <f>I1505-G1505</f>
        <v/>
      </c>
      <c r="M1505" s="522" t="inlineStr">
        <is>
          <t>TI0222888</t>
        </is>
      </c>
      <c r="N1505" s="522" t="inlineStr">
        <is>
          <t>TI0222888</t>
        </is>
      </c>
      <c r="O1505" s="521">
        <f>M1505=N1505</f>
        <v/>
      </c>
      <c r="P1505" s="521">
        <f>AND(MONTH(F1505)=MONTH(S1505), YEAR(F1505)=YEAR(S1505))</f>
        <v/>
      </c>
      <c r="Q1505" s="521">
        <f>U1505="L001-901905215"</f>
        <v/>
      </c>
      <c r="R1505" s="556">
        <f>G1505-W1505</f>
        <v/>
      </c>
      <c r="S1505" s="523" t="n">
        <v>44641</v>
      </c>
      <c r="T1505" s="522" t="inlineStr">
        <is>
          <t>TI-0222888</t>
        </is>
      </c>
      <c r="U1505" s="522" t="inlineStr">
        <is>
          <t>L001-901905215</t>
        </is>
      </c>
      <c r="V1505" s="522" t="inlineStr">
        <is>
          <t>វីអ៊ីស៊ិន (ខេមបូឌា) អ៊ិនដាសស្ទ្រី ឯ.ក</t>
        </is>
      </c>
      <c r="W1505" s="556" t="n">
        <v>567216</v>
      </c>
    </row>
    <row r="1506">
      <c r="A1506" s="521" t="n">
        <v>1498</v>
      </c>
      <c r="B1506" s="522" t="inlineStr">
        <is>
          <t xml:space="preserve">THC Charge </t>
        </is>
      </c>
      <c r="C1506" s="522" t="inlineStr">
        <is>
          <t>អ៊ិចស្ពែឌីធ័រ ខេមបូឌា អិលធីឌី</t>
        </is>
      </c>
      <c r="D1506" s="522" t="inlineStr">
        <is>
          <t>L001-100045898</t>
        </is>
      </c>
      <c r="E1506" s="521" t="inlineStr">
        <is>
          <t>TI-0222887</t>
        </is>
      </c>
      <c r="F1506" s="523" t="n">
        <v>44641</v>
      </c>
      <c r="G1506" s="556" t="n">
        <v>250232</v>
      </c>
      <c r="I1506" s="521">
        <f>G1506</f>
        <v/>
      </c>
      <c r="K1506" s="521">
        <f>I1506-G1506</f>
        <v/>
      </c>
      <c r="M1506" s="522" t="inlineStr">
        <is>
          <t>TI0222887</t>
        </is>
      </c>
      <c r="N1506" s="522" t="inlineStr">
        <is>
          <t>TI0222887</t>
        </is>
      </c>
      <c r="O1506" s="521">
        <f>M1506=N1506</f>
        <v/>
      </c>
      <c r="P1506" s="521">
        <f>AND(MONTH(F1506)=MONTH(S1506), YEAR(F1506)=YEAR(S1506))</f>
        <v/>
      </c>
      <c r="Q1506" s="521">
        <f>U1506="L001-901905215"</f>
        <v/>
      </c>
      <c r="R1506" s="556">
        <f>G1506-W1506</f>
        <v/>
      </c>
      <c r="S1506" s="523" t="n">
        <v>44641</v>
      </c>
      <c r="T1506" s="522" t="inlineStr">
        <is>
          <t>TI-0222887</t>
        </is>
      </c>
      <c r="U1506" s="522" t="inlineStr">
        <is>
          <t>L001-901905215</t>
        </is>
      </c>
      <c r="V1506" s="522" t="inlineStr">
        <is>
          <t>វីអ៊ីស៊ិន (ខេមបូឌា) អ៊ិនដាសស្ទ្រី ឯ.ក</t>
        </is>
      </c>
      <c r="W1506" s="556" t="n">
        <v>250480</v>
      </c>
    </row>
    <row r="1507">
      <c r="A1507" s="521" t="n">
        <v>1499</v>
      </c>
      <c r="B1507" s="522" t="inlineStr">
        <is>
          <t>THC Charge</t>
        </is>
      </c>
      <c r="C1507" s="522" t="inlineStr">
        <is>
          <t>អ៊ិចស្ពែឌីធ័រ ខេមបូឌា អិលធីឌី</t>
        </is>
      </c>
      <c r="D1507" s="522" t="inlineStr">
        <is>
          <t>L001-100045898</t>
        </is>
      </c>
      <c r="E1507" s="521" t="inlineStr">
        <is>
          <t>TI-0222886</t>
        </is>
      </c>
      <c r="F1507" s="523" t="n">
        <v>44643</v>
      </c>
      <c r="G1507" s="556" t="n">
        <v>349518</v>
      </c>
      <c r="I1507" s="521">
        <f>G1507</f>
        <v/>
      </c>
      <c r="K1507" s="521">
        <f>I1507-G1507</f>
        <v/>
      </c>
      <c r="M1507" s="522" t="inlineStr">
        <is>
          <t>TI0222886</t>
        </is>
      </c>
      <c r="N1507" s="522" t="inlineStr">
        <is>
          <t>TI0222886</t>
        </is>
      </c>
      <c r="O1507" s="521">
        <f>M1507=N1507</f>
        <v/>
      </c>
      <c r="P1507" s="521">
        <f>AND(MONTH(F1507)=MONTH(S1507), YEAR(F1507)=YEAR(S1507))</f>
        <v/>
      </c>
      <c r="Q1507" s="521">
        <f>U1507="L001-901905215"</f>
        <v/>
      </c>
      <c r="R1507" s="556">
        <f>G1507-W1507</f>
        <v/>
      </c>
      <c r="S1507" s="523" t="n">
        <v>44641</v>
      </c>
      <c r="T1507" s="522" t="inlineStr">
        <is>
          <t>TI-0222886</t>
        </is>
      </c>
      <c r="U1507" s="522" t="inlineStr">
        <is>
          <t>L001-901905215</t>
        </is>
      </c>
      <c r="V1507" s="522" t="inlineStr">
        <is>
          <t>វីអ៊ីស៊ិន (ខេមបូឌា) អ៊ិនដាសស្ទ្រី ឯ.ក</t>
        </is>
      </c>
      <c r="W1507" s="556" t="n">
        <v>349864</v>
      </c>
    </row>
    <row r="1508">
      <c r="A1508" s="521" t="n">
        <v>1500</v>
      </c>
      <c r="B1508" s="522" t="inlineStr">
        <is>
          <t>THC Charge</t>
        </is>
      </c>
      <c r="C1508" s="522" t="inlineStr">
        <is>
          <t>អ៊ិចស្ពែឌីធ័រ ខេមបូឌា អិលធីឌី</t>
        </is>
      </c>
      <c r="D1508" s="522" t="inlineStr">
        <is>
          <t>L001-100045898</t>
        </is>
      </c>
      <c r="E1508" s="521" t="inlineStr">
        <is>
          <t>TI-0222450</t>
        </is>
      </c>
      <c r="F1508" s="523" t="n">
        <v>44636</v>
      </c>
      <c r="G1508" s="556" t="n">
        <v>317800</v>
      </c>
      <c r="I1508" s="521">
        <f>G1508</f>
        <v/>
      </c>
      <c r="K1508" s="521">
        <f>I1508-G1508</f>
        <v/>
      </c>
      <c r="M1508" s="522" t="inlineStr">
        <is>
          <t>TI0222450</t>
        </is>
      </c>
      <c r="N1508" s="522" t="inlineStr">
        <is>
          <t>TI0222450</t>
        </is>
      </c>
      <c r="O1508" s="521">
        <f>M1508=N1508</f>
        <v/>
      </c>
      <c r="P1508" s="521">
        <f>AND(MONTH(F1508)=MONTH(S1508), YEAR(F1508)=YEAR(S1508))</f>
        <v/>
      </c>
      <c r="Q1508" s="521">
        <f>U1508="L001-901905215"</f>
        <v/>
      </c>
      <c r="R1508" s="556">
        <f>G1508-W1508</f>
        <v/>
      </c>
      <c r="S1508" s="523" t="n">
        <v>44636</v>
      </c>
      <c r="T1508" s="522" t="inlineStr">
        <is>
          <t>TI-0222450</t>
        </is>
      </c>
      <c r="U1508" s="522" t="inlineStr">
        <is>
          <t>L001-901905215</t>
        </is>
      </c>
      <c r="V1508" s="522" t="inlineStr">
        <is>
          <t>វីអ៊ីស៊ិន (ខេមបូឌា) អ៊ិនដាសស្ទ្រី ឯ.ក</t>
        </is>
      </c>
      <c r="W1508" s="556" t="n">
        <v>317800</v>
      </c>
    </row>
    <row r="1509">
      <c r="A1509" s="521" t="n">
        <v>1501</v>
      </c>
      <c r="B1509" s="522" t="inlineStr">
        <is>
          <t>THC Charge</t>
        </is>
      </c>
      <c r="C1509" s="522" t="inlineStr">
        <is>
          <t>អ៊ិចស្ពែឌីធ័រ ខេមបូឌា អិលធីឌី</t>
        </is>
      </c>
      <c r="D1509" s="522" t="inlineStr">
        <is>
          <t>L001-100045898</t>
        </is>
      </c>
      <c r="E1509" s="521" t="inlineStr">
        <is>
          <t>TI-0222449</t>
        </is>
      </c>
      <c r="F1509" s="523" t="n">
        <v>44636</v>
      </c>
      <c r="G1509" s="556" t="n">
        <v>953401</v>
      </c>
      <c r="I1509" s="521">
        <f>G1509</f>
        <v/>
      </c>
      <c r="K1509" s="521">
        <f>I1509-G1509</f>
        <v/>
      </c>
      <c r="M1509" s="522" t="inlineStr">
        <is>
          <t>TI0222449</t>
        </is>
      </c>
      <c r="N1509" s="522" t="inlineStr">
        <is>
          <t>TI0222449</t>
        </is>
      </c>
      <c r="O1509" s="521">
        <f>M1509=N1509</f>
        <v/>
      </c>
      <c r="P1509" s="521">
        <f>AND(MONTH(F1509)=MONTH(S1509), YEAR(F1509)=YEAR(S1509))</f>
        <v/>
      </c>
      <c r="Q1509" s="521">
        <f>U1509="L001-901905215"</f>
        <v/>
      </c>
      <c r="R1509" s="556">
        <f>G1509-W1509</f>
        <v/>
      </c>
      <c r="S1509" s="523" t="n">
        <v>44636</v>
      </c>
      <c r="T1509" s="522" t="inlineStr">
        <is>
          <t>TI-0222449</t>
        </is>
      </c>
      <c r="U1509" s="522" t="inlineStr">
        <is>
          <t>L001-901905215</t>
        </is>
      </c>
      <c r="V1509" s="522" t="inlineStr">
        <is>
          <t>វីអ៊ីស៊ិន (ខេមបូឌា) អ៊ិនដាសស្ទ្រី ឯ.ក</t>
        </is>
      </c>
      <c r="W1509" s="556" t="n">
        <v>953401</v>
      </c>
    </row>
    <row r="1510">
      <c r="A1510" s="521" t="n">
        <v>1502</v>
      </c>
      <c r="B1510" s="522" t="inlineStr">
        <is>
          <t xml:space="preserve">THC Charge </t>
        </is>
      </c>
      <c r="C1510" s="522" t="inlineStr">
        <is>
          <t>អ៊ិចស្ពែឌីធ័រ ខេមបូឌា អិលធីឌី</t>
        </is>
      </c>
      <c r="D1510" s="522" t="inlineStr">
        <is>
          <t>L001-100045898</t>
        </is>
      </c>
      <c r="E1510" s="521" t="inlineStr">
        <is>
          <t>TI-0222448</t>
        </is>
      </c>
      <c r="F1510" s="523" t="n">
        <v>44636</v>
      </c>
      <c r="G1510" s="556" t="n">
        <v>635601</v>
      </c>
      <c r="I1510" s="521">
        <f>G1510</f>
        <v/>
      </c>
      <c r="K1510" s="521">
        <f>I1510-G1510</f>
        <v/>
      </c>
      <c r="M1510" s="522" t="inlineStr">
        <is>
          <t>TI0222448</t>
        </is>
      </c>
      <c r="N1510" s="522" t="inlineStr">
        <is>
          <t>TI0222448</t>
        </is>
      </c>
      <c r="O1510" s="521">
        <f>M1510=N1510</f>
        <v/>
      </c>
      <c r="P1510" s="521">
        <f>AND(MONTH(F1510)=MONTH(S1510), YEAR(F1510)=YEAR(S1510))</f>
        <v/>
      </c>
      <c r="Q1510" s="521">
        <f>U1510="L001-901905215"</f>
        <v/>
      </c>
      <c r="R1510" s="556">
        <f>G1510-W1510</f>
        <v/>
      </c>
      <c r="S1510" s="523" t="n">
        <v>44636</v>
      </c>
      <c r="T1510" s="522" t="inlineStr">
        <is>
          <t>TI-0222448</t>
        </is>
      </c>
      <c r="U1510" s="522" t="inlineStr">
        <is>
          <t>L001-901905215</t>
        </is>
      </c>
      <c r="V1510" s="522" t="inlineStr">
        <is>
          <t>វីអ៊ីស៊ិន (ខេមបូឌា) អ៊ិនដាសស្ទ្រី ឯ.ក</t>
        </is>
      </c>
      <c r="W1510" s="556" t="n">
        <v>635601</v>
      </c>
    </row>
    <row r="1511">
      <c r="A1511" s="521" t="n">
        <v>1503</v>
      </c>
      <c r="B1511" s="522" t="inlineStr">
        <is>
          <t>THC Charge</t>
        </is>
      </c>
      <c r="C1511" s="522" t="inlineStr">
        <is>
          <t>អ៊ិចស្ពែឌីធ័រ ខេមបូឌា អិលធីឌី</t>
        </is>
      </c>
      <c r="D1511" s="522" t="inlineStr">
        <is>
          <t>L001-100045898</t>
        </is>
      </c>
      <c r="E1511" s="521" t="inlineStr">
        <is>
          <t>TI-0222438</t>
        </is>
      </c>
      <c r="F1511" s="523" t="n">
        <v>44636</v>
      </c>
      <c r="G1511" s="556" t="n">
        <v>188744</v>
      </c>
      <c r="I1511" s="521">
        <f>G1511</f>
        <v/>
      </c>
      <c r="K1511" s="521">
        <f>I1511-G1511</f>
        <v/>
      </c>
      <c r="M1511" s="522" t="inlineStr">
        <is>
          <t>TI0222438</t>
        </is>
      </c>
      <c r="N1511" s="522" t="inlineStr">
        <is>
          <t>TI0222438</t>
        </is>
      </c>
      <c r="O1511" s="521">
        <f>M1511=N1511</f>
        <v/>
      </c>
      <c r="P1511" s="521">
        <f>AND(MONTH(F1511)=MONTH(S1511), YEAR(F1511)=YEAR(S1511))</f>
        <v/>
      </c>
      <c r="Q1511" s="521">
        <f>U1511="L001-901905215"</f>
        <v/>
      </c>
      <c r="R1511" s="556">
        <f>G1511-W1511</f>
        <v/>
      </c>
      <c r="S1511" s="523" t="n">
        <v>44636</v>
      </c>
      <c r="T1511" s="522" t="inlineStr">
        <is>
          <t>TI-0222438</t>
        </is>
      </c>
      <c r="U1511" s="522" t="inlineStr">
        <is>
          <t>L001-901905215</t>
        </is>
      </c>
      <c r="V1511" s="522" t="inlineStr">
        <is>
          <t>វីអ៊ីស៊ិន (ខេមបូឌា) អ៊ិនដាសស្ទ្រី ឯ.ក</t>
        </is>
      </c>
      <c r="W1511" s="556" t="n">
        <v>188744</v>
      </c>
    </row>
    <row r="1512">
      <c r="A1512" s="521" t="n">
        <v>1504</v>
      </c>
      <c r="B1512" s="522" t="inlineStr">
        <is>
          <t>Handling Fee</t>
        </is>
      </c>
      <c r="C1512" s="522" t="inlineStr">
        <is>
          <t>ដោនវីនដ៍ ឡូជីស្ទីក (ខេមបូឌា)</t>
        </is>
      </c>
      <c r="D1512" s="522" t="inlineStr">
        <is>
          <t>K005-901636038</t>
        </is>
      </c>
      <c r="E1512" s="521" t="inlineStr">
        <is>
          <t>22-00810</t>
        </is>
      </c>
      <c r="F1512" s="523" t="n">
        <v>44630</v>
      </c>
      <c r="G1512" s="556" t="n">
        <v>130603</v>
      </c>
      <c r="I1512" s="521">
        <f>G1512</f>
        <v/>
      </c>
      <c r="K1512" s="521">
        <f>I1512-G1512</f>
        <v/>
      </c>
      <c r="M1512" s="522" t="inlineStr">
        <is>
          <t>2200810</t>
        </is>
      </c>
      <c r="N1512" s="522" t="inlineStr">
        <is>
          <t>2200810</t>
        </is>
      </c>
      <c r="O1512" s="521">
        <f>M1512=N1512</f>
        <v/>
      </c>
      <c r="P1512" s="521">
        <f>AND(MONTH(F1512)=MONTH(S1512), YEAR(F1512)=YEAR(S1512))</f>
        <v/>
      </c>
      <c r="Q1512" s="521">
        <f>U1512="L001-901905215"</f>
        <v/>
      </c>
      <c r="R1512" s="556">
        <f>G1512-W1512</f>
        <v/>
      </c>
      <c r="S1512" s="523" t="n">
        <v>44630</v>
      </c>
      <c r="T1512" s="522" t="inlineStr">
        <is>
          <t>22-00810</t>
        </is>
      </c>
      <c r="U1512" s="522" t="inlineStr">
        <is>
          <t>L001-901905215</t>
        </is>
      </c>
      <c r="V1512" s="522" t="inlineStr">
        <is>
          <t>វីអ៊ីស៊ិន (ខេមបូឌា) អ៊ិនដាសស្ទ្រី ឯ.ក</t>
        </is>
      </c>
      <c r="W1512" s="556" t="n">
        <v>130603</v>
      </c>
    </row>
    <row r="1513">
      <c r="A1513" s="521" t="n">
        <v>1505</v>
      </c>
      <c r="B1513" s="522" t="inlineStr">
        <is>
          <t>Handling Fee</t>
        </is>
      </c>
      <c r="C1513" s="522" t="inlineStr">
        <is>
          <t>អេស៊ាន ហ្វ្រេត (ខេមបូឌា)</t>
        </is>
      </c>
      <c r="D1513" s="522" t="inlineStr">
        <is>
          <t>K004-105012505</t>
        </is>
      </c>
      <c r="E1513" s="521" t="inlineStr">
        <is>
          <t>PPTI22/0500</t>
        </is>
      </c>
      <c r="F1513" s="523" t="n">
        <v>44643</v>
      </c>
      <c r="G1513" s="556" t="n">
        <v>374752</v>
      </c>
      <c r="I1513" s="521">
        <f>G1513</f>
        <v/>
      </c>
      <c r="K1513" s="521">
        <f>I1513-G1513</f>
        <v/>
      </c>
      <c r="M1513" s="522" t="inlineStr">
        <is>
          <t>PPTI220500</t>
        </is>
      </c>
      <c r="N1513" s="522" t="inlineStr">
        <is>
          <t>PPTI220500</t>
        </is>
      </c>
      <c r="O1513" s="521">
        <f>M1513=N1513</f>
        <v/>
      </c>
      <c r="P1513" s="521">
        <f>AND(MONTH(F1513)=MONTH(S1513), YEAR(F1513)=YEAR(S1513))</f>
        <v/>
      </c>
      <c r="Q1513" s="521">
        <f>U1513="L001-901905215"</f>
        <v/>
      </c>
      <c r="R1513" s="556">
        <f>G1513-W1513</f>
        <v/>
      </c>
      <c r="S1513" s="523" t="n">
        <v>44643</v>
      </c>
      <c r="T1513" s="522" t="inlineStr">
        <is>
          <t>PPTI22/0500</t>
        </is>
      </c>
      <c r="U1513" s="522" t="inlineStr">
        <is>
          <t>L001-901905215</t>
        </is>
      </c>
      <c r="V1513" s="522" t="inlineStr">
        <is>
          <t>វីអ៊ីស៊ិន (ខេមបូឌា) អ៊ិនដាសស្ទ្រី ឯ.ក</t>
        </is>
      </c>
      <c r="W1513" s="556" t="n">
        <v>374752</v>
      </c>
    </row>
    <row r="1514">
      <c r="A1514" s="521" t="n">
        <v>1506</v>
      </c>
      <c r="B1514" s="522" t="inlineStr">
        <is>
          <t>Handling Fee</t>
        </is>
      </c>
      <c r="C1514" s="522" t="inlineStr">
        <is>
          <t>អេស៊ាន ហ្វ្រេត (ខេមបូឌា)</t>
        </is>
      </c>
      <c r="D1514" s="522" t="inlineStr">
        <is>
          <t>K004-105012505</t>
        </is>
      </c>
      <c r="E1514" s="521" t="inlineStr">
        <is>
          <t>PPTI22/0410</t>
        </is>
      </c>
      <c r="F1514" s="523" t="n">
        <v>44630</v>
      </c>
      <c r="G1514" s="556" t="n">
        <v>275402</v>
      </c>
      <c r="I1514" s="521">
        <f>G1514</f>
        <v/>
      </c>
      <c r="K1514" s="521">
        <f>I1514-G1514</f>
        <v/>
      </c>
      <c r="M1514" s="522" t="inlineStr">
        <is>
          <t>PPTI220410</t>
        </is>
      </c>
      <c r="N1514" s="522" t="inlineStr"/>
      <c r="O1514" s="521">
        <f>M1514=N1514</f>
        <v/>
      </c>
      <c r="P1514" s="521">
        <f>AND(MONTH(F1514)=MONTH(S1514), YEAR(F1514)=YEAR(S1514))</f>
        <v/>
      </c>
      <c r="Q1514" s="521">
        <f>U1514="L001-901905215"</f>
        <v/>
      </c>
      <c r="R1514" s="556">
        <f>G1514-W1514</f>
        <v/>
      </c>
      <c r="S1514" s="521" t="n"/>
      <c r="T1514" s="522" t="n"/>
      <c r="U1514" s="522" t="n"/>
      <c r="V1514" s="522" t="n"/>
      <c r="W1514" s="521" t="n"/>
    </row>
    <row r="1515">
      <c r="A1515" s="521" t="n">
        <v>1507</v>
      </c>
      <c r="B1515" s="522" t="inlineStr">
        <is>
          <t>Handling Fee</t>
        </is>
      </c>
      <c r="C1515" s="522" t="inlineStr">
        <is>
          <t>អេស៊ាន ហ្វ្រេត (ខេមបូឌា)</t>
        </is>
      </c>
      <c r="D1515" s="522" t="inlineStr">
        <is>
          <t>K004-105012505</t>
        </is>
      </c>
      <c r="E1515" s="521" t="inlineStr">
        <is>
          <t>PPTI22/0361</t>
        </is>
      </c>
      <c r="F1515" s="523" t="n">
        <v>44622</v>
      </c>
      <c r="G1515" s="556" t="n">
        <v>276014</v>
      </c>
      <c r="I1515" s="521">
        <f>G1515</f>
        <v/>
      </c>
      <c r="K1515" s="521">
        <f>I1515-G1515</f>
        <v/>
      </c>
      <c r="M1515" s="522" t="inlineStr">
        <is>
          <t>PPTI220361</t>
        </is>
      </c>
      <c r="N1515" s="522" t="inlineStr"/>
      <c r="O1515" s="521">
        <f>M1515=N1515</f>
        <v/>
      </c>
      <c r="P1515" s="521">
        <f>AND(MONTH(F1515)=MONTH(S1515), YEAR(F1515)=YEAR(S1515))</f>
        <v/>
      </c>
      <c r="Q1515" s="521">
        <f>U1515="L001-901905215"</f>
        <v/>
      </c>
      <c r="R1515" s="556">
        <f>G1515-W1515</f>
        <v/>
      </c>
      <c r="S1515" s="521" t="n"/>
      <c r="T1515" s="522" t="n"/>
      <c r="U1515" s="522" t="n"/>
      <c r="V1515" s="522" t="n"/>
      <c r="W1515" s="521" t="n"/>
    </row>
    <row r="1516">
      <c r="A1516" s="521" t="n">
        <v>1508</v>
      </c>
      <c r="B1516" s="522" t="inlineStr">
        <is>
          <t>TRUCKING FEE</t>
        </is>
      </c>
      <c r="C1516" s="522" t="inlineStr">
        <is>
          <t>56ប៊ី-លីង សឹបផ្លាយ ឆេន មេនេចម៉ិន ឯ.ក</t>
        </is>
      </c>
      <c r="D1516" s="522" t="inlineStr">
        <is>
          <t>K004-902004795</t>
        </is>
      </c>
      <c r="E1516" s="521" t="inlineStr">
        <is>
          <t>TI2022-0267</t>
        </is>
      </c>
      <c r="F1516" s="523" t="n">
        <v>44642</v>
      </c>
      <c r="G1516" s="556" t="n">
        <v>28315</v>
      </c>
      <c r="I1516" s="521">
        <f>G1516</f>
        <v/>
      </c>
      <c r="K1516" s="521">
        <f>I1516-G1516</f>
        <v/>
      </c>
      <c r="M1516" s="522" t="inlineStr">
        <is>
          <t>TI20220267</t>
        </is>
      </c>
      <c r="N1516" s="522" t="inlineStr">
        <is>
          <t>TI20220267</t>
        </is>
      </c>
      <c r="O1516" s="521">
        <f>M1516=N1516</f>
        <v/>
      </c>
      <c r="P1516" s="521">
        <f>AND(MONTH(F1516)=MONTH(S1516), YEAR(F1516)=YEAR(S1516))</f>
        <v/>
      </c>
      <c r="Q1516" s="521">
        <f>U1516="L001-901905215"</f>
        <v/>
      </c>
      <c r="R1516" s="556">
        <f>G1516-W1516</f>
        <v/>
      </c>
      <c r="S1516" s="523" t="n">
        <v>44642</v>
      </c>
      <c r="T1516" s="522" t="inlineStr">
        <is>
          <t>TI2022-0267</t>
        </is>
      </c>
      <c r="U1516" s="522" t="inlineStr">
        <is>
          <t>L001-901905215</t>
        </is>
      </c>
      <c r="V1516" s="522" t="inlineStr">
        <is>
          <t>វីអ៊ីស៊ិន (ខេមបូឌា) អ៊ិនដាសស្ទ្រី ឯ.ក</t>
        </is>
      </c>
      <c r="W1516" s="556" t="n">
        <v>28315</v>
      </c>
    </row>
    <row r="1517">
      <c r="A1517" s="521" t="n">
        <v>1509</v>
      </c>
      <c r="B1517" s="522" t="inlineStr">
        <is>
          <t>TRUCKING FEE</t>
        </is>
      </c>
      <c r="C1517" s="522" t="inlineStr">
        <is>
          <t>56ប៊ី-លីង សឹបផ្លាយ ឆេន មេនេចម៉ិន ឯ.ក</t>
        </is>
      </c>
      <c r="D1517" s="522" t="inlineStr">
        <is>
          <t>K004-902004795</t>
        </is>
      </c>
      <c r="E1517" s="521" t="inlineStr">
        <is>
          <t>TI2022-0237</t>
        </is>
      </c>
      <c r="F1517" s="523" t="n">
        <v>44631</v>
      </c>
      <c r="G1517" s="556" t="n">
        <v>397292</v>
      </c>
      <c r="I1517" s="521">
        <f>G1517</f>
        <v/>
      </c>
      <c r="K1517" s="521">
        <f>I1517-G1517</f>
        <v/>
      </c>
      <c r="M1517" s="522" t="inlineStr">
        <is>
          <t>TI20220237</t>
        </is>
      </c>
      <c r="N1517" s="522" t="inlineStr">
        <is>
          <t>TI20220237</t>
        </is>
      </c>
      <c r="O1517" s="521">
        <f>M1517=N1517</f>
        <v/>
      </c>
      <c r="P1517" s="521">
        <f>AND(MONTH(F1517)=MONTH(S1517), YEAR(F1517)=YEAR(S1517))</f>
        <v/>
      </c>
      <c r="Q1517" s="521">
        <f>U1517="L001-901905215"</f>
        <v/>
      </c>
      <c r="R1517" s="556">
        <f>G1517-W1517</f>
        <v/>
      </c>
      <c r="S1517" s="523" t="n">
        <v>44631</v>
      </c>
      <c r="T1517" s="522" t="inlineStr">
        <is>
          <t>TI2022-0237</t>
        </is>
      </c>
      <c r="U1517" s="522" t="inlineStr">
        <is>
          <t>L001-901905215</t>
        </is>
      </c>
      <c r="V1517" s="522" t="inlineStr">
        <is>
          <t>វីអ៊ីស៊ិន (ខេមបូឌា) អ៊ិនដាសស្ទ្រី ឯ.ក</t>
        </is>
      </c>
      <c r="W1517" s="556" t="n">
        <v>397292</v>
      </c>
    </row>
    <row r="1518">
      <c r="A1518" s="521" t="n">
        <v>1510</v>
      </c>
      <c r="B1518" s="522" t="inlineStr">
        <is>
          <t>TRUCKING FEE</t>
        </is>
      </c>
      <c r="C1518" s="522" t="inlineStr">
        <is>
          <t>56ប៊ី-លីង សឹបផ្លាយ ឆេន មេនេចម៉ិន ឯ.ក</t>
        </is>
      </c>
      <c r="D1518" s="522" t="inlineStr">
        <is>
          <t>K004-902004795</t>
        </is>
      </c>
      <c r="E1518" s="521" t="inlineStr">
        <is>
          <t>TI2022-0236</t>
        </is>
      </c>
      <c r="F1518" s="523" t="n">
        <v>44631</v>
      </c>
      <c r="G1518" s="556" t="n">
        <v>304050</v>
      </c>
      <c r="I1518" s="521">
        <f>G1518</f>
        <v/>
      </c>
      <c r="K1518" s="521">
        <f>I1518-G1518</f>
        <v/>
      </c>
      <c r="M1518" s="522" t="inlineStr">
        <is>
          <t>TI20220236</t>
        </is>
      </c>
      <c r="N1518" s="522" t="inlineStr">
        <is>
          <t>TI20220236</t>
        </is>
      </c>
      <c r="O1518" s="521">
        <f>M1518=N1518</f>
        <v/>
      </c>
      <c r="P1518" s="521">
        <f>AND(MONTH(F1518)=MONTH(S1518), YEAR(F1518)=YEAR(S1518))</f>
        <v/>
      </c>
      <c r="Q1518" s="521">
        <f>U1518="L001-901905215"</f>
        <v/>
      </c>
      <c r="R1518" s="556">
        <f>G1518-W1518</f>
        <v/>
      </c>
      <c r="S1518" s="523" t="n">
        <v>44631</v>
      </c>
      <c r="T1518" s="522" t="inlineStr">
        <is>
          <t>TI2022-0236</t>
        </is>
      </c>
      <c r="U1518" s="522" t="inlineStr">
        <is>
          <t>L001-901905215</t>
        </is>
      </c>
      <c r="V1518" s="522" t="inlineStr">
        <is>
          <t>វីអ៊ីស៊ិន (ខេមបូឌា) អ៊ិនដាសស្ទ្រី ឯ.ក</t>
        </is>
      </c>
      <c r="W1518" s="556" t="n">
        <v>304050</v>
      </c>
    </row>
    <row r="1519">
      <c r="A1519" s="521" t="n">
        <v>1511</v>
      </c>
      <c r="B1519" s="522" t="inlineStr">
        <is>
          <t>THC</t>
        </is>
      </c>
      <c r="C1519" s="522" t="inlineStr">
        <is>
          <t>អេសអាយធីស៊ី ខិនថេនើរ ឡាញ (ខេមបូឌា)</t>
        </is>
      </c>
      <c r="D1519" s="522" t="inlineStr">
        <is>
          <t>L001-107035863</t>
        </is>
      </c>
      <c r="E1519" s="521" t="inlineStr">
        <is>
          <t>SITC2023-006175</t>
        </is>
      </c>
      <c r="F1519" s="523" t="n">
        <v>45008</v>
      </c>
      <c r="G1519" s="556" t="n">
        <v>225385</v>
      </c>
      <c r="I1519" s="521">
        <f>G1519</f>
        <v/>
      </c>
      <c r="K1519" s="521">
        <f>I1519-G1519</f>
        <v/>
      </c>
      <c r="M1519" s="522" t="inlineStr">
        <is>
          <t>SITC2023006175</t>
        </is>
      </c>
      <c r="N1519" s="522" t="inlineStr">
        <is>
          <t>SITC2023006175</t>
        </is>
      </c>
      <c r="O1519" s="521">
        <f>M1519=N1519</f>
        <v/>
      </c>
      <c r="P1519" s="521">
        <f>AND(MONTH(F1519)=MONTH(S1519), YEAR(F1519)=YEAR(S1519))</f>
        <v/>
      </c>
      <c r="Q1519" s="521">
        <f>U1519="L001-901905215"</f>
        <v/>
      </c>
      <c r="R1519" s="556">
        <f>G1519-W1519</f>
        <v/>
      </c>
      <c r="S1519" s="523" t="n">
        <v>45008</v>
      </c>
      <c r="T1519" s="522" t="inlineStr">
        <is>
          <t>SITC2023-006175</t>
        </is>
      </c>
      <c r="U1519" s="522" t="inlineStr">
        <is>
          <t>L001-901905215</t>
        </is>
      </c>
      <c r="V1519" s="522" t="inlineStr">
        <is>
          <t>វីអ៊ីស៊ិន (ខេមបូឌា) អ៊ិនដាសស្ទ្រី ឯ.ក</t>
        </is>
      </c>
      <c r="W1519" s="556" t="n">
        <v>225386</v>
      </c>
    </row>
    <row r="1520">
      <c r="A1520" s="521" t="n">
        <v>1512</v>
      </c>
      <c r="B1520" s="522" t="inlineStr">
        <is>
          <t>LIFT ON AND LIFT OFF</t>
        </is>
      </c>
      <c r="C1520" s="522" t="inlineStr">
        <is>
          <t>កំពង់ផែស្វយ័តក្រុងព្រះសីហនុ</t>
        </is>
      </c>
      <c r="D1520" s="522" t="inlineStr">
        <is>
          <t>L001-100044638</t>
        </is>
      </c>
      <c r="E1520" s="521" t="inlineStr">
        <is>
          <t>044878</t>
        </is>
      </c>
      <c r="F1520" s="523" t="n">
        <v>45013</v>
      </c>
      <c r="G1520" s="556" t="n">
        <v>35279</v>
      </c>
      <c r="I1520" s="521">
        <f>G1520</f>
        <v/>
      </c>
      <c r="K1520" s="521">
        <f>I1520-G1520</f>
        <v/>
      </c>
      <c r="M1520" s="522" t="inlineStr">
        <is>
          <t>044878</t>
        </is>
      </c>
      <c r="N1520" s="522" t="inlineStr"/>
      <c r="O1520" s="521">
        <f>M1520=N1520</f>
        <v/>
      </c>
      <c r="P1520" s="521">
        <f>AND(MONTH(F1520)=MONTH(S1520), YEAR(F1520)=YEAR(S1520))</f>
        <v/>
      </c>
      <c r="Q1520" s="521">
        <f>U1520="L001-901905215"</f>
        <v/>
      </c>
      <c r="R1520" s="556">
        <f>G1520-W1520</f>
        <v/>
      </c>
      <c r="S1520" s="521" t="n"/>
      <c r="T1520" s="522" t="n"/>
      <c r="U1520" s="522" t="n"/>
      <c r="V1520" s="522" t="n"/>
      <c r="W1520" s="521" t="n"/>
    </row>
    <row r="1521">
      <c r="A1521" s="521" t="n">
        <v>1513</v>
      </c>
      <c r="B1521" s="522" t="inlineStr">
        <is>
          <t>LIFT OFF</t>
        </is>
      </c>
      <c r="C1521" s="522" t="inlineStr">
        <is>
          <t>កំពង់ផែស្វយ័តក្រុងព្រះសីហនុ</t>
        </is>
      </c>
      <c r="D1521" s="522" t="inlineStr">
        <is>
          <t>L001-100044638</t>
        </is>
      </c>
      <c r="E1521" s="521" t="inlineStr">
        <is>
          <t>045384</t>
        </is>
      </c>
      <c r="F1521" s="523" t="n">
        <v>45014</v>
      </c>
      <c r="G1521" s="556" t="n">
        <v>20665</v>
      </c>
      <c r="I1521" s="521">
        <f>G1521</f>
        <v/>
      </c>
      <c r="K1521" s="521">
        <f>I1521-G1521</f>
        <v/>
      </c>
      <c r="M1521" s="522" t="inlineStr">
        <is>
          <t>045384</t>
        </is>
      </c>
      <c r="N1521" s="522" t="inlineStr"/>
      <c r="O1521" s="521">
        <f>M1521=N1521</f>
        <v/>
      </c>
      <c r="P1521" s="521">
        <f>AND(MONTH(F1521)=MONTH(S1521), YEAR(F1521)=YEAR(S1521))</f>
        <v/>
      </c>
      <c r="Q1521" s="521">
        <f>U1521="L001-901905215"</f>
        <v/>
      </c>
      <c r="R1521" s="556">
        <f>G1521-W1521</f>
        <v/>
      </c>
      <c r="S1521" s="521" t="n"/>
      <c r="T1521" s="522" t="n"/>
      <c r="U1521" s="522" t="n"/>
      <c r="V1521" s="522" t="n"/>
      <c r="W1521" s="521" t="n"/>
    </row>
    <row r="1522">
      <c r="A1522" s="521" t="n">
        <v>1514</v>
      </c>
      <c r="B1522" s="522" t="inlineStr">
        <is>
          <t>DHL Express</t>
        </is>
      </c>
      <c r="C1522" s="522" t="inlineStr">
        <is>
          <t>ឌី អេច អិល អិចប្រេស (ខេមបូឌា)</t>
        </is>
      </c>
      <c r="D1522" s="522" t="inlineStr">
        <is>
          <t>L001-100045197</t>
        </is>
      </c>
      <c r="E1522" s="521" t="inlineStr">
        <is>
          <t>PNHIR000455315</t>
        </is>
      </c>
      <c r="F1522" s="523" t="n">
        <v>45016</v>
      </c>
      <c r="G1522" s="556" t="n">
        <v>70365</v>
      </c>
      <c r="I1522" s="521">
        <f>G1522</f>
        <v/>
      </c>
      <c r="K1522" s="521">
        <f>I1522-G1522</f>
        <v/>
      </c>
      <c r="M1522" s="522" t="inlineStr">
        <is>
          <t>PNHIR000455315</t>
        </is>
      </c>
      <c r="N1522" s="522" t="inlineStr"/>
      <c r="O1522" s="521">
        <f>M1522=N1522</f>
        <v/>
      </c>
      <c r="P1522" s="521">
        <f>AND(MONTH(F1522)=MONTH(S1522), YEAR(F1522)=YEAR(S1522))</f>
        <v/>
      </c>
      <c r="Q1522" s="521">
        <f>U1522="L001-901905215"</f>
        <v/>
      </c>
      <c r="R1522" s="556">
        <f>G1522-W1522</f>
        <v/>
      </c>
      <c r="S1522" s="521" t="n"/>
      <c r="T1522" s="522" t="n"/>
      <c r="U1522" s="522" t="n"/>
      <c r="V1522" s="522" t="n"/>
      <c r="W1522" s="521" t="n"/>
    </row>
    <row r="1523">
      <c r="A1523" s="521" t="n">
        <v>1515</v>
      </c>
      <c r="B1523" s="522" t="inlineStr">
        <is>
          <t>DHL Express</t>
        </is>
      </c>
      <c r="C1523" s="522" t="inlineStr">
        <is>
          <t>ឌី អេច អិល អិចប្រេស (ខេមបូឌា)</t>
        </is>
      </c>
      <c r="D1523" s="522" t="inlineStr">
        <is>
          <t>L001-100045197</t>
        </is>
      </c>
      <c r="E1523" s="521" t="inlineStr">
        <is>
          <t>PNHIR00158488</t>
        </is>
      </c>
      <c r="F1523" s="523" t="n">
        <v>45016</v>
      </c>
      <c r="G1523" s="556" t="n">
        <v>8108</v>
      </c>
      <c r="I1523" s="521">
        <f>G1523</f>
        <v/>
      </c>
      <c r="K1523" s="521">
        <f>I1523-G1523</f>
        <v/>
      </c>
      <c r="M1523" s="522" t="inlineStr">
        <is>
          <t>PNHIR00158488</t>
        </is>
      </c>
      <c r="N1523" s="522" t="inlineStr">
        <is>
          <t>PNHIR00158488</t>
        </is>
      </c>
      <c r="O1523" s="521">
        <f>M1523=N1523</f>
        <v/>
      </c>
      <c r="P1523" s="521">
        <f>AND(MONTH(F1523)=MONTH(S1523), YEAR(F1523)=YEAR(S1523))</f>
        <v/>
      </c>
      <c r="Q1523" s="521">
        <f>U1523="L001-901905215"</f>
        <v/>
      </c>
      <c r="R1523" s="556">
        <f>G1523-W1523</f>
        <v/>
      </c>
      <c r="S1523" s="523" t="n">
        <v>45016</v>
      </c>
      <c r="T1523" s="522" t="inlineStr">
        <is>
          <t>PNHIR00158488</t>
        </is>
      </c>
      <c r="U1523" s="522" t="inlineStr">
        <is>
          <t>L001-901905215</t>
        </is>
      </c>
      <c r="V1523" s="522" t="inlineStr">
        <is>
          <t>វីអ៊ីស៊ិន (ខេមបូឌា) អ៊ិនដាសស្ទ្រី ឯ.ក</t>
        </is>
      </c>
      <c r="W1523" s="556" t="n">
        <v>8108</v>
      </c>
    </row>
    <row r="1524">
      <c r="A1524" s="521" t="n">
        <v>1516</v>
      </c>
      <c r="B1524" s="522" t="inlineStr">
        <is>
          <t>Monthly Tax declaration for Mar 2023 service</t>
        </is>
      </c>
      <c r="C1524" s="522" t="inlineStr">
        <is>
          <t>យីងកឺ ខេម ថេក អ៊ែតវ៉ាយហ្សឺរី ឯ.ក</t>
        </is>
      </c>
      <c r="D1524" s="522" t="inlineStr">
        <is>
          <t>K003-902005313</t>
        </is>
      </c>
      <c r="E1524" s="521" t="inlineStr">
        <is>
          <t>YKT23-181</t>
        </is>
      </c>
      <c r="F1524" s="523" t="n">
        <v>44986</v>
      </c>
      <c r="G1524" s="556" t="n">
        <v>567560</v>
      </c>
      <c r="I1524" s="521">
        <f>G1524</f>
        <v/>
      </c>
      <c r="K1524" s="521">
        <f>I1524-G1524</f>
        <v/>
      </c>
      <c r="M1524" s="522" t="inlineStr">
        <is>
          <t>YKT23181</t>
        </is>
      </c>
      <c r="N1524" s="522" t="inlineStr">
        <is>
          <t>YKT23181</t>
        </is>
      </c>
      <c r="O1524" s="521">
        <f>M1524=N1524</f>
        <v/>
      </c>
      <c r="P1524" s="521">
        <f>AND(MONTH(F1524)=MONTH(S1524), YEAR(F1524)=YEAR(S1524))</f>
        <v/>
      </c>
      <c r="Q1524" s="521">
        <f>U1524="L001-901905215"</f>
        <v/>
      </c>
      <c r="R1524" s="556">
        <f>G1524-W1524</f>
        <v/>
      </c>
      <c r="S1524" s="523" t="n">
        <v>44986</v>
      </c>
      <c r="T1524" s="522" t="inlineStr">
        <is>
          <t>YKT23-181</t>
        </is>
      </c>
      <c r="U1524" s="522" t="inlineStr">
        <is>
          <t>L001-901905215</t>
        </is>
      </c>
      <c r="V1524" s="522" t="inlineStr">
        <is>
          <t>វីអ៊ីស៊ិន (ខេមបូឌា) អ៊ិនដាសស្ទ្រី ឯ.ក</t>
        </is>
      </c>
      <c r="W1524" s="556" t="n">
        <v>567560</v>
      </c>
    </row>
    <row r="1525">
      <c r="A1525" s="521" t="n">
        <v>1517</v>
      </c>
      <c r="B1525" s="522" t="inlineStr">
        <is>
          <t>KHCIC</t>
        </is>
      </c>
      <c r="C1525" s="522" t="inlineStr">
        <is>
          <t>អេសអាយធីស៊ី ខិនថេនើរ ឡាញ (ខេមបូឌា)</t>
        </is>
      </c>
      <c r="D1525" s="522" t="inlineStr">
        <is>
          <t>L001-107035863</t>
        </is>
      </c>
      <c r="E1525" s="521" t="inlineStr">
        <is>
          <t>SITC2023-004796</t>
        </is>
      </c>
      <c r="F1525" s="523" t="n">
        <v>44986</v>
      </c>
      <c r="G1525" s="556" t="n">
        <v>224553</v>
      </c>
      <c r="I1525" s="521">
        <f>G1525</f>
        <v/>
      </c>
      <c r="K1525" s="521">
        <f>I1525-G1525</f>
        <v/>
      </c>
      <c r="M1525" s="522" t="inlineStr">
        <is>
          <t>SITC2023004796</t>
        </is>
      </c>
      <c r="N1525" s="522" t="inlineStr">
        <is>
          <t>SITC2023004796</t>
        </is>
      </c>
      <c r="O1525" s="521">
        <f>M1525=N1525</f>
        <v/>
      </c>
      <c r="P1525" s="521">
        <f>AND(MONTH(F1525)=MONTH(S1525), YEAR(F1525)=YEAR(S1525))</f>
        <v/>
      </c>
      <c r="Q1525" s="521">
        <f>U1525="L001-901905215"</f>
        <v/>
      </c>
      <c r="R1525" s="556">
        <f>G1525-W1525</f>
        <v/>
      </c>
      <c r="S1525" s="523" t="n">
        <v>44995</v>
      </c>
      <c r="T1525" s="522" t="inlineStr">
        <is>
          <t>SITC2023-004796</t>
        </is>
      </c>
      <c r="U1525" s="522" t="inlineStr">
        <is>
          <t>L001-901905215</t>
        </is>
      </c>
      <c r="V1525" s="522" t="inlineStr">
        <is>
          <t>វីអ៊ីស៊ិន (ខេមបូឌា) អ៊ិនដាសស្ទ្រី ឯ.ក</t>
        </is>
      </c>
      <c r="W1525" s="556" t="n">
        <v>224553</v>
      </c>
    </row>
    <row r="1526">
      <c r="A1526" s="521" t="n">
        <v>1518</v>
      </c>
      <c r="B1526" s="522" t="inlineStr">
        <is>
          <t>Lift on &amp; Lift off</t>
        </is>
      </c>
      <c r="C1526" s="522" t="inlineStr">
        <is>
          <t>កំពង់ផែស្វយ័តក្រុងព្រះសីហនុ</t>
        </is>
      </c>
      <c r="D1526" s="522" t="inlineStr">
        <is>
          <t>L001-100044638</t>
        </is>
      </c>
      <c r="E1526" s="521" t="inlineStr">
        <is>
          <t>035788</t>
        </is>
      </c>
      <c r="F1526" s="523" t="n">
        <v>44999</v>
      </c>
      <c r="G1526" s="556" t="n">
        <v>35226</v>
      </c>
      <c r="I1526" s="521">
        <f>G1526</f>
        <v/>
      </c>
      <c r="K1526" s="521">
        <f>I1526-G1526</f>
        <v/>
      </c>
      <c r="M1526" s="522" t="inlineStr">
        <is>
          <t>035788</t>
        </is>
      </c>
      <c r="N1526" s="522" t="inlineStr"/>
      <c r="O1526" s="521">
        <f>M1526=N1526</f>
        <v/>
      </c>
      <c r="P1526" s="521">
        <f>AND(MONTH(F1526)=MONTH(S1526), YEAR(F1526)=YEAR(S1526))</f>
        <v/>
      </c>
      <c r="Q1526" s="521">
        <f>U1526="L001-901905215"</f>
        <v/>
      </c>
      <c r="R1526" s="556">
        <f>G1526-W1526</f>
        <v/>
      </c>
      <c r="S1526" s="521" t="n"/>
      <c r="T1526" s="522" t="n"/>
      <c r="U1526" s="522" t="n"/>
      <c r="V1526" s="522" t="n"/>
      <c r="W1526" s="521" t="n"/>
    </row>
    <row r="1527">
      <c r="A1527" s="521" t="n">
        <v>1519</v>
      </c>
      <c r="B1527" s="522" t="inlineStr">
        <is>
          <t>Clearance and Trucking Fee</t>
        </is>
      </c>
      <c r="C1527" s="522" t="inlineStr">
        <is>
          <t>ហាវតាយ អ៊ិនធើណេសិនណល ឡូជីស្ទីក ឯ.ក</t>
        </is>
      </c>
      <c r="D1527" s="522" t="inlineStr">
        <is>
          <t>K007-902202863</t>
        </is>
      </c>
      <c r="E1527" s="521" t="inlineStr">
        <is>
          <t>HT230047</t>
        </is>
      </c>
      <c r="F1527" s="523" t="n">
        <v>45016</v>
      </c>
      <c r="G1527" s="556" t="n">
        <v>247294</v>
      </c>
      <c r="I1527" s="521">
        <f>G1527</f>
        <v/>
      </c>
      <c r="K1527" s="521">
        <f>I1527-G1527</f>
        <v/>
      </c>
      <c r="M1527" s="522" t="inlineStr">
        <is>
          <t>HT230047</t>
        </is>
      </c>
      <c r="N1527" s="522" t="inlineStr">
        <is>
          <t>HT230047</t>
        </is>
      </c>
      <c r="O1527" s="521">
        <f>M1527=N1527</f>
        <v/>
      </c>
      <c r="P1527" s="521">
        <f>AND(MONTH(F1527)=MONTH(S1527), YEAR(F1527)=YEAR(S1527))</f>
        <v/>
      </c>
      <c r="Q1527" s="521">
        <f>U1527="L001-901905215"</f>
        <v/>
      </c>
      <c r="R1527" s="556">
        <f>G1527-W1527</f>
        <v/>
      </c>
      <c r="S1527" s="523" t="n">
        <v>45016</v>
      </c>
      <c r="T1527" s="522" t="inlineStr">
        <is>
          <t>HT230047</t>
        </is>
      </c>
      <c r="U1527" s="522" t="inlineStr">
        <is>
          <t>L001-901905215</t>
        </is>
      </c>
      <c r="V1527" s="522" t="inlineStr">
        <is>
          <t>វីអ៊ីស៊ិន (ខេមបូឌា) អ៊ិនដាសស្ទ្រី ឯ.ក</t>
        </is>
      </c>
      <c r="W1527" s="556" t="n">
        <v>247294</v>
      </c>
    </row>
    <row r="1528">
      <c r="A1528" s="521" t="n">
        <v>1520</v>
      </c>
      <c r="B1528" s="522" t="inlineStr">
        <is>
          <t>KHCIC</t>
        </is>
      </c>
      <c r="C1528" s="522" t="inlineStr">
        <is>
          <t>អេសអាយធីស៊ី ខិនថេនើរ ឡាញ (ខេមបូឌា)</t>
        </is>
      </c>
      <c r="D1528" s="522" t="inlineStr">
        <is>
          <t>L001-107035863</t>
        </is>
      </c>
      <c r="E1528" s="521" t="inlineStr">
        <is>
          <t>SITC2023-003755</t>
        </is>
      </c>
      <c r="F1528" s="523" t="n">
        <v>44986</v>
      </c>
      <c r="G1528" s="556" t="n">
        <v>139863</v>
      </c>
      <c r="I1528" s="521">
        <f>G1528</f>
        <v/>
      </c>
      <c r="K1528" s="521">
        <f>I1528-G1528</f>
        <v/>
      </c>
      <c r="M1528" s="522" t="inlineStr">
        <is>
          <t>SITC2023003755</t>
        </is>
      </c>
      <c r="N1528" s="522" t="inlineStr"/>
      <c r="O1528" s="521">
        <f>M1528=N1528</f>
        <v/>
      </c>
      <c r="P1528" s="521">
        <f>AND(MONTH(F1528)=MONTH(S1528), YEAR(F1528)=YEAR(S1528))</f>
        <v/>
      </c>
      <c r="Q1528" s="521">
        <f>U1528="L001-901905215"</f>
        <v/>
      </c>
      <c r="R1528" s="556">
        <f>G1528-W1528</f>
        <v/>
      </c>
      <c r="S1528" s="521" t="n"/>
      <c r="T1528" s="522" t="n"/>
      <c r="U1528" s="522" t="n"/>
      <c r="V1528" s="522" t="n"/>
      <c r="W1528" s="521" t="n"/>
    </row>
    <row r="1529">
      <c r="A1529" s="521" t="n">
        <v>1521</v>
      </c>
      <c r="B1529" s="522" t="inlineStr">
        <is>
          <t>Lift on &amp; Lift off</t>
        </is>
      </c>
      <c r="C1529" s="522" t="inlineStr">
        <is>
          <t>កំពង់ផែស្វយ័តក្រុងព្រះសីហនុ</t>
        </is>
      </c>
      <c r="D1529" s="522" t="inlineStr">
        <is>
          <t>L001-100044638</t>
        </is>
      </c>
      <c r="E1529" s="521" t="inlineStr">
        <is>
          <t>028757</t>
        </is>
      </c>
      <c r="F1529" s="523" t="n">
        <v>44986</v>
      </c>
      <c r="G1529" s="556" t="n">
        <v>23108</v>
      </c>
      <c r="I1529" s="521">
        <f>G1529</f>
        <v/>
      </c>
      <c r="K1529" s="521">
        <f>I1529-G1529</f>
        <v/>
      </c>
      <c r="M1529" s="522" t="inlineStr">
        <is>
          <t>028757</t>
        </is>
      </c>
      <c r="N1529" s="522" t="inlineStr"/>
      <c r="O1529" s="521">
        <f>M1529=N1529</f>
        <v/>
      </c>
      <c r="P1529" s="521">
        <f>AND(MONTH(F1529)=MONTH(S1529), YEAR(F1529)=YEAR(S1529))</f>
        <v/>
      </c>
      <c r="Q1529" s="521">
        <f>U1529="L001-901905215"</f>
        <v/>
      </c>
      <c r="R1529" s="556">
        <f>G1529-W1529</f>
        <v/>
      </c>
      <c r="S1529" s="521" t="n"/>
      <c r="T1529" s="522" t="n"/>
      <c r="U1529" s="522" t="n"/>
      <c r="V1529" s="522" t="n"/>
      <c r="W1529" s="521" t="n"/>
    </row>
    <row r="1530">
      <c r="A1530" s="521" t="n">
        <v>1522</v>
      </c>
      <c r="B1530" s="522" t="inlineStr">
        <is>
          <t>Clearance and Trucking Fee</t>
        </is>
      </c>
      <c r="C1530" s="522" t="inlineStr">
        <is>
          <t>ហាវតាយ អ៊ិនធើណេសិនណល ឡូជីស្ទីក ឯ.ក</t>
        </is>
      </c>
      <c r="D1530" s="522" t="inlineStr">
        <is>
          <t>K007-902202863</t>
        </is>
      </c>
      <c r="E1530" s="521" t="inlineStr">
        <is>
          <t>HT230046</t>
        </is>
      </c>
      <c r="F1530" s="523" t="n">
        <v>45016</v>
      </c>
      <c r="G1530" s="556" t="n">
        <v>239186</v>
      </c>
      <c r="I1530" s="521">
        <f>G1530</f>
        <v/>
      </c>
      <c r="K1530" s="521">
        <f>I1530-G1530</f>
        <v/>
      </c>
      <c r="M1530" s="522" t="inlineStr">
        <is>
          <t>HT230046</t>
        </is>
      </c>
      <c r="N1530" s="522" t="inlineStr">
        <is>
          <t>HT230046</t>
        </is>
      </c>
      <c r="O1530" s="521">
        <f>M1530=N1530</f>
        <v/>
      </c>
      <c r="P1530" s="521">
        <f>AND(MONTH(F1530)=MONTH(S1530), YEAR(F1530)=YEAR(S1530))</f>
        <v/>
      </c>
      <c r="Q1530" s="521">
        <f>U1530="L001-901905215"</f>
        <v/>
      </c>
      <c r="R1530" s="556">
        <f>G1530-W1530</f>
        <v/>
      </c>
      <c r="S1530" s="523" t="n">
        <v>45016</v>
      </c>
      <c r="T1530" s="522" t="inlineStr">
        <is>
          <t>HT230046</t>
        </is>
      </c>
      <c r="U1530" s="522" t="inlineStr">
        <is>
          <t>L001-901905215</t>
        </is>
      </c>
      <c r="V1530" s="522" t="inlineStr">
        <is>
          <t>វីអ៊ីស៊ិន (ខេមបូឌា) អ៊ិនដាសស្ទ្រី ឯ.ក</t>
        </is>
      </c>
      <c r="W1530" s="556" t="n">
        <v>239186</v>
      </c>
    </row>
    <row r="1531">
      <c r="A1531" s="521" t="n">
        <v>1523</v>
      </c>
      <c r="B1531" s="522" t="inlineStr">
        <is>
          <t>KHCIC</t>
        </is>
      </c>
      <c r="C1531" s="522" t="inlineStr">
        <is>
          <t>អេសអាយធីស៊ី ខិនថេនើរ ឡាញ (ខេមបូឌា)</t>
        </is>
      </c>
      <c r="D1531" s="522" t="inlineStr">
        <is>
          <t>L001-107035863</t>
        </is>
      </c>
      <c r="E1531" s="521" t="inlineStr">
        <is>
          <t>SITC2023005487</t>
        </is>
      </c>
      <c r="F1531" s="523" t="n">
        <v>45001</v>
      </c>
      <c r="G1531" s="556" t="n">
        <v>139863</v>
      </c>
      <c r="I1531" s="521">
        <f>G1531</f>
        <v/>
      </c>
      <c r="K1531" s="521">
        <f>I1531-G1531</f>
        <v/>
      </c>
      <c r="M1531" s="522" t="inlineStr">
        <is>
          <t>SITC2023005487</t>
        </is>
      </c>
      <c r="N1531" s="522" t="inlineStr">
        <is>
          <t>SITC2023005487</t>
        </is>
      </c>
      <c r="O1531" s="521">
        <f>M1531=N1531</f>
        <v/>
      </c>
      <c r="P1531" s="521">
        <f>AND(MONTH(F1531)=MONTH(S1531), YEAR(F1531)=YEAR(S1531))</f>
        <v/>
      </c>
      <c r="Q1531" s="521">
        <f>U1531="L001-901905215"</f>
        <v/>
      </c>
      <c r="R1531" s="556">
        <f>G1531-W1531</f>
        <v/>
      </c>
      <c r="S1531" s="523" t="n">
        <v>45001</v>
      </c>
      <c r="T1531" s="522" t="inlineStr">
        <is>
          <t>SITC2023-005487</t>
        </is>
      </c>
      <c r="U1531" s="522" t="inlineStr">
        <is>
          <t>L001-901905215</t>
        </is>
      </c>
      <c r="V1531" s="522" t="inlineStr">
        <is>
          <t>វីអ៊ីស៊ិន (ខេមបូឌា) អ៊ិនដាសស្ទ្រី ឯ.ក</t>
        </is>
      </c>
      <c r="W1531" s="556" t="n">
        <v>139863</v>
      </c>
    </row>
    <row r="1532">
      <c r="A1532" s="521" t="n">
        <v>1524</v>
      </c>
      <c r="B1532" s="522" t="inlineStr">
        <is>
          <t>Lift on &amp; Lift off</t>
        </is>
      </c>
      <c r="C1532" s="522" t="inlineStr">
        <is>
          <t>កំពង់ផែស្វយ័តក្រុងព្រះសីហនុ</t>
        </is>
      </c>
      <c r="D1532" s="522" t="inlineStr">
        <is>
          <t>L001-100044638</t>
        </is>
      </c>
      <c r="E1532" s="521" t="inlineStr">
        <is>
          <t>040473</t>
        </is>
      </c>
      <c r="F1532" s="523" t="n">
        <v>45006</v>
      </c>
      <c r="G1532" s="556" t="n">
        <v>23119</v>
      </c>
      <c r="I1532" s="521">
        <f>G1532</f>
        <v/>
      </c>
      <c r="K1532" s="521">
        <f>I1532-G1532</f>
        <v/>
      </c>
      <c r="M1532" s="522" t="inlineStr">
        <is>
          <t>040473</t>
        </is>
      </c>
      <c r="N1532" s="522" t="inlineStr"/>
      <c r="O1532" s="521">
        <f>M1532=N1532</f>
        <v/>
      </c>
      <c r="P1532" s="521">
        <f>AND(MONTH(F1532)=MONTH(S1532), YEAR(F1532)=YEAR(S1532))</f>
        <v/>
      </c>
      <c r="Q1532" s="521">
        <f>U1532="L001-901905215"</f>
        <v/>
      </c>
      <c r="R1532" s="556">
        <f>G1532-W1532</f>
        <v/>
      </c>
      <c r="S1532" s="521" t="n"/>
      <c r="T1532" s="522" t="n"/>
      <c r="U1532" s="522" t="n"/>
      <c r="V1532" s="522" t="n"/>
      <c r="W1532" s="521" t="n"/>
    </row>
    <row r="1533">
      <c r="A1533" s="521" t="n">
        <v>1525</v>
      </c>
      <c r="B1533" s="522" t="inlineStr">
        <is>
          <t>Clearance and Trucking Fee</t>
        </is>
      </c>
      <c r="C1533" s="522" t="inlineStr">
        <is>
          <t>ហាវតាយ អ៊ិនធើណេសិនណល ឡូជីស្ទីក ឯ.ក</t>
        </is>
      </c>
      <c r="D1533" s="522" t="inlineStr">
        <is>
          <t>K007-902202863</t>
        </is>
      </c>
      <c r="E1533" s="521" t="inlineStr">
        <is>
          <t>HT230045</t>
        </is>
      </c>
      <c r="F1533" s="523" t="n">
        <v>45016</v>
      </c>
      <c r="G1533" s="556" t="n">
        <v>239186</v>
      </c>
      <c r="I1533" s="521">
        <f>G1533</f>
        <v/>
      </c>
      <c r="K1533" s="521">
        <f>I1533-G1533</f>
        <v/>
      </c>
      <c r="M1533" s="522" t="inlineStr">
        <is>
          <t>HT230045</t>
        </is>
      </c>
      <c r="N1533" s="522" t="inlineStr">
        <is>
          <t>HT230045</t>
        </is>
      </c>
      <c r="O1533" s="521">
        <f>M1533=N1533</f>
        <v/>
      </c>
      <c r="P1533" s="521">
        <f>AND(MONTH(F1533)=MONTH(S1533), YEAR(F1533)=YEAR(S1533))</f>
        <v/>
      </c>
      <c r="Q1533" s="521">
        <f>U1533="L001-901905215"</f>
        <v/>
      </c>
      <c r="R1533" s="556">
        <f>G1533-W1533</f>
        <v/>
      </c>
      <c r="S1533" s="523" t="n">
        <v>45016</v>
      </c>
      <c r="T1533" s="522" t="inlineStr">
        <is>
          <t>HT230045</t>
        </is>
      </c>
      <c r="U1533" s="522" t="inlineStr">
        <is>
          <t>L001-901905215</t>
        </is>
      </c>
      <c r="V1533" s="522" t="inlineStr">
        <is>
          <t>វីអ៊ីស៊ិន (ខេមបូឌា) អ៊ិនដាសស្ទ្រី ឯ.ក</t>
        </is>
      </c>
      <c r="W1533" s="556" t="n">
        <v>239186</v>
      </c>
    </row>
    <row r="1534">
      <c r="A1534" s="521" t="n">
        <v>1526</v>
      </c>
      <c r="B1534" s="522" t="inlineStr">
        <is>
          <t>Rental copy machine</t>
        </is>
      </c>
      <c r="C1534" s="522" t="inlineStr">
        <is>
          <t xml:space="preserve">អិនធីអិល តិចណូឡូជី </t>
        </is>
      </c>
      <c r="D1534" s="522" t="inlineStr">
        <is>
          <t>K005-901900283</t>
        </is>
      </c>
      <c r="E1534" s="521" t="inlineStr">
        <is>
          <t>NTL23-0659</t>
        </is>
      </c>
      <c r="F1534" s="523" t="n">
        <v>44986</v>
      </c>
      <c r="G1534" s="556" t="n">
        <v>20410</v>
      </c>
      <c r="I1534" s="521">
        <f>G1534</f>
        <v/>
      </c>
      <c r="K1534" s="521">
        <f>I1534-G1534</f>
        <v/>
      </c>
      <c r="M1534" s="522" t="inlineStr">
        <is>
          <t>NTL230659</t>
        </is>
      </c>
      <c r="N1534" s="522" t="inlineStr"/>
      <c r="O1534" s="521">
        <f>M1534=N1534</f>
        <v/>
      </c>
      <c r="P1534" s="521">
        <f>AND(MONTH(F1534)=MONTH(S1534), YEAR(F1534)=YEAR(S1534))</f>
        <v/>
      </c>
      <c r="Q1534" s="521">
        <f>U1534="L001-901905215"</f>
        <v/>
      </c>
      <c r="R1534" s="556">
        <f>G1534-W1534</f>
        <v/>
      </c>
      <c r="S1534" s="521" t="n"/>
      <c r="T1534" s="522" t="n"/>
      <c r="U1534" s="522" t="n"/>
      <c r="V1534" s="522" t="n"/>
      <c r="W1534" s="521" t="n"/>
    </row>
    <row r="1535">
      <c r="A1535" s="521" t="n">
        <v>1527</v>
      </c>
      <c r="B1535" s="522" t="inlineStr">
        <is>
          <t>Rental copy machine</t>
        </is>
      </c>
      <c r="C1535" s="522" t="inlineStr">
        <is>
          <t xml:space="preserve">អិនធីអិល តិចណូឡូជី </t>
        </is>
      </c>
      <c r="D1535" s="522" t="inlineStr">
        <is>
          <t>K005-901900283</t>
        </is>
      </c>
      <c r="E1535" s="521" t="inlineStr">
        <is>
          <t>NTL23-1121</t>
        </is>
      </c>
      <c r="F1535" s="523" t="n">
        <v>45005</v>
      </c>
      <c r="G1535" s="556" t="n">
        <v>20315</v>
      </c>
      <c r="I1535" s="521">
        <f>G1535</f>
        <v/>
      </c>
      <c r="K1535" s="521">
        <f>I1535-G1535</f>
        <v/>
      </c>
      <c r="M1535" s="522" t="inlineStr">
        <is>
          <t>NTL231121</t>
        </is>
      </c>
      <c r="N1535" s="522" t="inlineStr">
        <is>
          <t>NTL231121</t>
        </is>
      </c>
      <c r="O1535" s="521">
        <f>M1535=N1535</f>
        <v/>
      </c>
      <c r="P1535" s="521">
        <f>AND(MONTH(F1535)=MONTH(S1535), YEAR(F1535)=YEAR(S1535))</f>
        <v/>
      </c>
      <c r="Q1535" s="521">
        <f>U1535="L001-901905215"</f>
        <v/>
      </c>
      <c r="R1535" s="556">
        <f>G1535-W1535</f>
        <v/>
      </c>
      <c r="S1535" s="523" t="n">
        <v>45005</v>
      </c>
      <c r="T1535" s="522" t="inlineStr">
        <is>
          <t>NTL23-1121</t>
        </is>
      </c>
      <c r="U1535" s="522" t="inlineStr">
        <is>
          <t>L001-901905215</t>
        </is>
      </c>
      <c r="V1535" s="522" t="inlineStr">
        <is>
          <t>វីអ៊ីស៊ិន (ខេមបូឌា) អ៊ិនដាសស្ទ្រី ឯ.ក</t>
        </is>
      </c>
      <c r="W1535" s="556" t="n">
        <v>20315</v>
      </c>
    </row>
    <row r="1536">
      <c r="A1536" s="521" t="n">
        <v>1528</v>
      </c>
      <c r="B1536" s="522" t="inlineStr">
        <is>
          <t>Security Guard Fee</t>
        </is>
      </c>
      <c r="C1536" s="522" t="inlineStr">
        <is>
          <t>អេសអេហ្វអាយ​ ស៊ីឃ្យួរឹធី ហ្វសស៍ អ៊ិនធើណេសិនណល ឯ.ក</t>
        </is>
      </c>
      <c r="D1536" s="522" t="inlineStr">
        <is>
          <t>K010-901908100</t>
        </is>
      </c>
      <c r="E1536" s="521" t="inlineStr">
        <is>
          <t>SFI2023/139</t>
        </is>
      </c>
      <c r="F1536" s="523" t="n">
        <v>45009</v>
      </c>
      <c r="G1536" s="556" t="n">
        <v>227360</v>
      </c>
      <c r="I1536" s="521">
        <f>G1536</f>
        <v/>
      </c>
      <c r="K1536" s="521">
        <f>I1536-G1536</f>
        <v/>
      </c>
      <c r="M1536" s="522" t="inlineStr">
        <is>
          <t>SFI2023139</t>
        </is>
      </c>
      <c r="N1536" s="522" t="inlineStr">
        <is>
          <t>SFI2023139</t>
        </is>
      </c>
      <c r="O1536" s="521">
        <f>M1536=N1536</f>
        <v/>
      </c>
      <c r="P1536" s="521">
        <f>AND(MONTH(F1536)=MONTH(S1536), YEAR(F1536)=YEAR(S1536))</f>
        <v/>
      </c>
      <c r="Q1536" s="521">
        <f>U1536="L001-901905215"</f>
        <v/>
      </c>
      <c r="R1536" s="556">
        <f>G1536-W1536</f>
        <v/>
      </c>
      <c r="S1536" s="523" t="n">
        <v>45009</v>
      </c>
      <c r="T1536" s="522" t="inlineStr">
        <is>
          <t>SFI2023/139</t>
        </is>
      </c>
      <c r="U1536" s="522" t="inlineStr">
        <is>
          <t>L001-901905215</t>
        </is>
      </c>
      <c r="V1536" s="522" t="inlineStr">
        <is>
          <t>វីអ៊ីស៊ិន (ខេមបូឌា) អ៊ិនដាសស្ទ្រី ឯ.ក</t>
        </is>
      </c>
      <c r="W1536" s="556" t="n">
        <v>227360</v>
      </c>
    </row>
    <row r="1537">
      <c r="A1537" s="521" t="n">
        <v>1529</v>
      </c>
      <c r="B1537" s="522" t="inlineStr">
        <is>
          <t>LIFT-OFF Charges</t>
        </is>
      </c>
      <c r="C1537" s="522" t="inlineStr">
        <is>
          <t>កំពង់ផែស្វយ័តភ្នំពេញ "ក.ស.ភ"</t>
        </is>
      </c>
      <c r="D1537" s="522" t="inlineStr">
        <is>
          <t>L001-100044999</t>
        </is>
      </c>
      <c r="E1537" s="521" t="inlineStr">
        <is>
          <t>NV20230315878</t>
        </is>
      </c>
      <c r="F1537" s="523" t="n">
        <v>45014</v>
      </c>
      <c r="G1537" s="556" t="n">
        <v>29174</v>
      </c>
      <c r="I1537" s="521">
        <f>G1537</f>
        <v/>
      </c>
      <c r="K1537" s="521">
        <f>I1537-G1537</f>
        <v/>
      </c>
      <c r="M1537" s="522" t="inlineStr">
        <is>
          <t>NV20230315878</t>
        </is>
      </c>
      <c r="N1537" s="522" t="inlineStr"/>
      <c r="O1537" s="521">
        <f>M1537=N1537</f>
        <v/>
      </c>
      <c r="P1537" s="521">
        <f>AND(MONTH(F1537)=MONTH(S1537), YEAR(F1537)=YEAR(S1537))</f>
        <v/>
      </c>
      <c r="Q1537" s="521">
        <f>U1537="L001-901905215"</f>
        <v/>
      </c>
      <c r="R1537" s="556">
        <f>G1537-W1537</f>
        <v/>
      </c>
      <c r="S1537" s="521" t="n"/>
      <c r="T1537" s="522" t="n"/>
      <c r="U1537" s="522" t="n"/>
      <c r="V1537" s="522" t="n"/>
      <c r="W1537" s="521" t="n"/>
    </row>
    <row r="1538">
      <c r="A1538" s="521" t="n">
        <v>1530</v>
      </c>
      <c r="B1538" s="522" t="inlineStr">
        <is>
          <t>Clearance and Trucking Fee</t>
        </is>
      </c>
      <c r="C1538" s="522" t="inlineStr">
        <is>
          <t>56ប៊ី-លីង សឹបផ្លាយ ឆេន មេនេចម៉ិន ឯ.ក</t>
        </is>
      </c>
      <c r="D1538" s="522" t="inlineStr">
        <is>
          <t>K004-902004795</t>
        </is>
      </c>
      <c r="E1538" s="521" t="inlineStr">
        <is>
          <t>TI2023-0287</t>
        </is>
      </c>
      <c r="F1538" s="523" t="n">
        <v>45012</v>
      </c>
      <c r="G1538" s="556" t="n">
        <v>269857</v>
      </c>
      <c r="I1538" s="521">
        <f>G1538</f>
        <v/>
      </c>
      <c r="K1538" s="521">
        <f>I1538-G1538</f>
        <v/>
      </c>
      <c r="M1538" s="522" t="inlineStr">
        <is>
          <t>TI20230287</t>
        </is>
      </c>
      <c r="N1538" s="522" t="inlineStr">
        <is>
          <t>TI20230287</t>
        </is>
      </c>
      <c r="O1538" s="521">
        <f>M1538=N1538</f>
        <v/>
      </c>
      <c r="P1538" s="521">
        <f>AND(MONTH(F1538)=MONTH(S1538), YEAR(F1538)=YEAR(S1538))</f>
        <v/>
      </c>
      <c r="Q1538" s="521">
        <f>U1538="L001-901905215"</f>
        <v/>
      </c>
      <c r="R1538" s="556">
        <f>G1538-W1538</f>
        <v/>
      </c>
      <c r="S1538" s="523" t="n">
        <v>45012</v>
      </c>
      <c r="T1538" s="522" t="inlineStr">
        <is>
          <t>TI2023-0287</t>
        </is>
      </c>
      <c r="U1538" s="522" t="inlineStr">
        <is>
          <t>L001-901905215</t>
        </is>
      </c>
      <c r="V1538" s="522" t="inlineStr">
        <is>
          <t>វីអ៊ីស៊ិន (ខេមបូឌា) អ៊ិនដាសស្ទ្រី ឯ.ក</t>
        </is>
      </c>
      <c r="W1538" s="556" t="n">
        <v>269857</v>
      </c>
    </row>
    <row r="1539">
      <c r="A1539" s="521" t="n">
        <v>1531</v>
      </c>
      <c r="B1539" s="522" t="inlineStr">
        <is>
          <t>Lift off</t>
        </is>
      </c>
      <c r="C1539" s="522" t="inlineStr">
        <is>
          <t>កំពង់ផែស្វយ័តក្រុងព្រះសីហនុ</t>
        </is>
      </c>
      <c r="D1539" s="522" t="inlineStr">
        <is>
          <t>L001-100044638</t>
        </is>
      </c>
      <c r="E1539" s="521" t="inlineStr">
        <is>
          <t>041830</t>
        </is>
      </c>
      <c r="F1539" s="523" t="n">
        <v>45008</v>
      </c>
      <c r="G1539" s="556" t="n">
        <v>6904</v>
      </c>
      <c r="I1539" s="521">
        <f>G1539</f>
        <v/>
      </c>
      <c r="K1539" s="521">
        <f>I1539-G1539</f>
        <v/>
      </c>
      <c r="M1539" s="522" t="inlineStr">
        <is>
          <t>041830</t>
        </is>
      </c>
      <c r="N1539" s="522" t="inlineStr"/>
      <c r="O1539" s="521">
        <f>M1539=N1539</f>
        <v/>
      </c>
      <c r="P1539" s="521">
        <f>AND(MONTH(F1539)=MONTH(S1539), YEAR(F1539)=YEAR(S1539))</f>
        <v/>
      </c>
      <c r="Q1539" s="521">
        <f>U1539="L001-901905215"</f>
        <v/>
      </c>
      <c r="R1539" s="556">
        <f>G1539-W1539</f>
        <v/>
      </c>
      <c r="S1539" s="521" t="n"/>
      <c r="T1539" s="522" t="n"/>
      <c r="U1539" s="522" t="n"/>
      <c r="V1539" s="522" t="n"/>
      <c r="W1539" s="521" t="n"/>
    </row>
    <row r="1540">
      <c r="A1540" s="521" t="n">
        <v>1532</v>
      </c>
      <c r="B1540" s="522" t="inlineStr">
        <is>
          <t>Clearance and Trucking Fee</t>
        </is>
      </c>
      <c r="C1540" s="522" t="inlineStr">
        <is>
          <t>56ប៊ី-លីង សឹបផ្លាយ ឆេន មេនេចម៉ិន ឯ.ក</t>
        </is>
      </c>
      <c r="D1540" s="522" t="inlineStr">
        <is>
          <t>K004-902004795</t>
        </is>
      </c>
      <c r="E1540" s="521" t="inlineStr">
        <is>
          <t>TI2023-0286</t>
        </is>
      </c>
      <c r="F1540" s="523" t="n">
        <v>45012</v>
      </c>
      <c r="G1540" s="556" t="n">
        <v>298263</v>
      </c>
      <c r="I1540" s="521">
        <f>G1540</f>
        <v/>
      </c>
      <c r="K1540" s="521">
        <f>I1540-G1540</f>
        <v/>
      </c>
      <c r="M1540" s="522" t="inlineStr">
        <is>
          <t>TI20230286</t>
        </is>
      </c>
      <c r="N1540" s="522" t="inlineStr">
        <is>
          <t>TI20230286</t>
        </is>
      </c>
      <c r="O1540" s="521">
        <f>M1540=N1540</f>
        <v/>
      </c>
      <c r="P1540" s="521">
        <f>AND(MONTH(F1540)=MONTH(S1540), YEAR(F1540)=YEAR(S1540))</f>
        <v/>
      </c>
      <c r="Q1540" s="521">
        <f>U1540="L001-901905215"</f>
        <v/>
      </c>
      <c r="R1540" s="556">
        <f>G1540-W1540</f>
        <v/>
      </c>
      <c r="S1540" s="523" t="n">
        <v>45012</v>
      </c>
      <c r="T1540" s="522" t="inlineStr">
        <is>
          <t>TI2023-0286</t>
        </is>
      </c>
      <c r="U1540" s="522" t="inlineStr">
        <is>
          <t>L001-901905215</t>
        </is>
      </c>
      <c r="V1540" s="522" t="inlineStr">
        <is>
          <t>វីអ៊ីស៊ិន (ខេមបូឌា) អ៊ិនដាសស្ទ្រី ឯ.ក</t>
        </is>
      </c>
      <c r="W1540" s="556" t="n">
        <v>298263</v>
      </c>
    </row>
    <row r="1541">
      <c r="A1541" s="521" t="n">
        <v>1533</v>
      </c>
      <c r="B1541" s="522" t="inlineStr">
        <is>
          <t>Lift off</t>
        </is>
      </c>
      <c r="C1541" s="522" t="inlineStr">
        <is>
          <t>កំពង់ផែស្វយ័តក្រុងព្រះសីហនុ</t>
        </is>
      </c>
      <c r="D1541" s="522" t="inlineStr">
        <is>
          <t>L001-100044638</t>
        </is>
      </c>
      <c r="E1541" s="521" t="inlineStr">
        <is>
          <t>040928</t>
        </is>
      </c>
      <c r="F1541" s="523" t="n">
        <v>45007</v>
      </c>
      <c r="G1541" s="556" t="n">
        <v>20686</v>
      </c>
      <c r="I1541" s="521">
        <f>G1541</f>
        <v/>
      </c>
      <c r="K1541" s="521">
        <f>I1541-G1541</f>
        <v/>
      </c>
      <c r="M1541" s="522" t="inlineStr">
        <is>
          <t>040928</t>
        </is>
      </c>
      <c r="N1541" s="522" t="inlineStr"/>
      <c r="O1541" s="521">
        <f>M1541=N1541</f>
        <v/>
      </c>
      <c r="P1541" s="521">
        <f>AND(MONTH(F1541)=MONTH(S1541), YEAR(F1541)=YEAR(S1541))</f>
        <v/>
      </c>
      <c r="Q1541" s="521">
        <f>U1541="L001-901905215"</f>
        <v/>
      </c>
      <c r="R1541" s="556">
        <f>G1541-W1541</f>
        <v/>
      </c>
      <c r="S1541" s="521" t="n"/>
      <c r="T1541" s="522" t="n"/>
      <c r="U1541" s="522" t="n"/>
      <c r="V1541" s="522" t="n"/>
      <c r="W1541" s="521" t="n"/>
    </row>
    <row r="1542">
      <c r="A1542" s="521" t="n">
        <v>1534</v>
      </c>
      <c r="B1542" s="522" t="inlineStr">
        <is>
          <t>Clearance and Trucking Fee</t>
        </is>
      </c>
      <c r="C1542" s="522" t="inlineStr">
        <is>
          <t>56ប៊ី-លីង សឹបផ្លាយ ឆេន មេនេចម៉ិន ឯ.ក</t>
        </is>
      </c>
      <c r="D1542" s="522" t="inlineStr">
        <is>
          <t>K004-902004795</t>
        </is>
      </c>
      <c r="E1542" s="521" t="inlineStr">
        <is>
          <t>TI2023-0285</t>
        </is>
      </c>
      <c r="F1542" s="523" t="n">
        <v>45012</v>
      </c>
      <c r="G1542" s="556" t="n">
        <v>298263</v>
      </c>
      <c r="I1542" s="521">
        <f>G1542</f>
        <v/>
      </c>
      <c r="K1542" s="521">
        <f>I1542-G1542</f>
        <v/>
      </c>
      <c r="M1542" s="522" t="inlineStr">
        <is>
          <t>TI20230285</t>
        </is>
      </c>
      <c r="N1542" s="522" t="inlineStr">
        <is>
          <t>TI20230285</t>
        </is>
      </c>
      <c r="O1542" s="521">
        <f>M1542=N1542</f>
        <v/>
      </c>
      <c r="P1542" s="521">
        <f>AND(MONTH(F1542)=MONTH(S1542), YEAR(F1542)=YEAR(S1542))</f>
        <v/>
      </c>
      <c r="Q1542" s="521">
        <f>U1542="L001-901905215"</f>
        <v/>
      </c>
      <c r="R1542" s="556">
        <f>G1542-W1542</f>
        <v/>
      </c>
      <c r="S1542" s="523" t="n">
        <v>45012</v>
      </c>
      <c r="T1542" s="522" t="inlineStr">
        <is>
          <t>TI2023-0285</t>
        </is>
      </c>
      <c r="U1542" s="522" t="inlineStr">
        <is>
          <t>L001-901905215</t>
        </is>
      </c>
      <c r="V1542" s="522" t="inlineStr">
        <is>
          <t>វីអ៊ីស៊ិន (ខេមបូឌា) អ៊ិនដាសស្ទ្រី ឯ.ក</t>
        </is>
      </c>
      <c r="W1542" s="556" t="n">
        <v>298263</v>
      </c>
    </row>
    <row r="1543">
      <c r="A1543" s="521" t="n">
        <v>1535</v>
      </c>
      <c r="B1543" s="522" t="inlineStr">
        <is>
          <t>Clearance and Trucking Fee</t>
        </is>
      </c>
      <c r="C1543" s="522" t="inlineStr">
        <is>
          <t>56ប៊ី-លីង សឹបផ្លាយ ឆេន មេនេចម៉ិន ឯ.ក</t>
        </is>
      </c>
      <c r="D1543" s="522" t="inlineStr">
        <is>
          <t>K004-902004795</t>
        </is>
      </c>
      <c r="E1543" s="521" t="inlineStr">
        <is>
          <t>TI2023-0264</t>
        </is>
      </c>
      <c r="F1543" s="523" t="n">
        <v>45012</v>
      </c>
      <c r="G1543" s="556" t="n">
        <v>170436</v>
      </c>
      <c r="I1543" s="521">
        <f>G1543</f>
        <v/>
      </c>
      <c r="K1543" s="521">
        <f>I1543-G1543</f>
        <v/>
      </c>
      <c r="M1543" s="522" t="inlineStr">
        <is>
          <t>TI20230264</t>
        </is>
      </c>
      <c r="N1543" s="522" t="inlineStr">
        <is>
          <t>TI20230264</t>
        </is>
      </c>
      <c r="O1543" s="521">
        <f>M1543=N1543</f>
        <v/>
      </c>
      <c r="P1543" s="521">
        <f>AND(MONTH(F1543)=MONTH(S1543), YEAR(F1543)=YEAR(S1543))</f>
        <v/>
      </c>
      <c r="Q1543" s="521">
        <f>U1543="L001-901905215"</f>
        <v/>
      </c>
      <c r="R1543" s="556">
        <f>G1543-W1543</f>
        <v/>
      </c>
      <c r="S1543" s="523" t="n">
        <v>45012</v>
      </c>
      <c r="T1543" s="522" t="inlineStr">
        <is>
          <t>TI2023-0264</t>
        </is>
      </c>
      <c r="U1543" s="522" t="inlineStr">
        <is>
          <t>L001-901905215</t>
        </is>
      </c>
      <c r="V1543" s="522" t="inlineStr">
        <is>
          <t>វីអ៊ីស៊ិន (ខេមបូឌា) អ៊ិនដាសស្ទ្រី ឯ.ក</t>
        </is>
      </c>
      <c r="W1543" s="556" t="n">
        <v>170436</v>
      </c>
    </row>
    <row r="1544">
      <c r="A1544" s="521" t="n">
        <v>1536</v>
      </c>
      <c r="B1544" s="522" t="inlineStr">
        <is>
          <t>Clearance and Trucking Fee</t>
        </is>
      </c>
      <c r="C1544" s="522" t="inlineStr">
        <is>
          <t>56ប៊ី-លីង សឹបផ្លាយ ឆេន មេនេចម៉ិន ឯ.ក</t>
        </is>
      </c>
      <c r="D1544" s="522" t="inlineStr">
        <is>
          <t>K004-902004795</t>
        </is>
      </c>
      <c r="E1544" s="521" t="inlineStr">
        <is>
          <t>TI2023-0263</t>
        </is>
      </c>
      <c r="F1544" s="523" t="n">
        <v>45012</v>
      </c>
      <c r="G1544" s="556" t="n">
        <v>170436</v>
      </c>
      <c r="I1544" s="521">
        <f>G1544</f>
        <v/>
      </c>
      <c r="K1544" s="521">
        <f>I1544-G1544</f>
        <v/>
      </c>
      <c r="M1544" s="522" t="inlineStr">
        <is>
          <t>TI20230263</t>
        </is>
      </c>
      <c r="N1544" s="522" t="inlineStr">
        <is>
          <t>TI20230263</t>
        </is>
      </c>
      <c r="O1544" s="521">
        <f>M1544=N1544</f>
        <v/>
      </c>
      <c r="P1544" s="521">
        <f>AND(MONTH(F1544)=MONTH(S1544), YEAR(F1544)=YEAR(S1544))</f>
        <v/>
      </c>
      <c r="Q1544" s="521">
        <f>U1544="L001-901905215"</f>
        <v/>
      </c>
      <c r="R1544" s="556">
        <f>G1544-W1544</f>
        <v/>
      </c>
      <c r="S1544" s="523" t="n">
        <v>45012</v>
      </c>
      <c r="T1544" s="522" t="inlineStr">
        <is>
          <t>TI2023-0263</t>
        </is>
      </c>
      <c r="U1544" s="522" t="inlineStr">
        <is>
          <t>L001-901905215</t>
        </is>
      </c>
      <c r="V1544" s="522" t="inlineStr">
        <is>
          <t>វីអ៊ីស៊ិន (ខេមបូឌា) អ៊ិនដាសស្ទ្រី ឯ.ក</t>
        </is>
      </c>
      <c r="W1544" s="556" t="n">
        <v>170436</v>
      </c>
    </row>
    <row r="1545">
      <c r="A1545" s="521" t="n">
        <v>1537</v>
      </c>
      <c r="B1545" s="522" t="inlineStr">
        <is>
          <t>Clearance and Trucking Fee</t>
        </is>
      </c>
      <c r="C1545" s="522" t="inlineStr">
        <is>
          <t>56ប៊ី-លីង សឹបផ្លាយ ឆេន មេនេចម៉ិន ឯ.ក</t>
        </is>
      </c>
      <c r="D1545" s="522" t="inlineStr">
        <is>
          <t>K004-902004795</t>
        </is>
      </c>
      <c r="E1545" s="521" t="inlineStr">
        <is>
          <t>TI2023-0262</t>
        </is>
      </c>
      <c r="F1545" s="523" t="n">
        <v>45012</v>
      </c>
      <c r="G1545" s="556" t="n">
        <v>170436</v>
      </c>
      <c r="I1545" s="521">
        <f>G1545</f>
        <v/>
      </c>
      <c r="K1545" s="521">
        <f>I1545-G1545</f>
        <v/>
      </c>
      <c r="M1545" s="522" t="inlineStr">
        <is>
          <t>TI20230262</t>
        </is>
      </c>
      <c r="N1545" s="522" t="inlineStr">
        <is>
          <t>TI20230262</t>
        </is>
      </c>
      <c r="O1545" s="521">
        <f>M1545=N1545</f>
        <v/>
      </c>
      <c r="P1545" s="521">
        <f>AND(MONTH(F1545)=MONTH(S1545), YEAR(F1545)=YEAR(S1545))</f>
        <v/>
      </c>
      <c r="Q1545" s="521">
        <f>U1545="L001-901905215"</f>
        <v/>
      </c>
      <c r="R1545" s="556">
        <f>G1545-W1545</f>
        <v/>
      </c>
      <c r="S1545" s="523" t="n">
        <v>45012</v>
      </c>
      <c r="T1545" s="522" t="inlineStr">
        <is>
          <t>TI2023-0262</t>
        </is>
      </c>
      <c r="U1545" s="522" t="inlineStr">
        <is>
          <t>L001-901905215</t>
        </is>
      </c>
      <c r="V1545" s="522" t="inlineStr">
        <is>
          <t>វីអ៊ីស៊ិន (ខេមបូឌា) អ៊ិនដាសស្ទ្រី ឯ.ក</t>
        </is>
      </c>
      <c r="W1545" s="556" t="n">
        <v>170436</v>
      </c>
    </row>
    <row r="1546">
      <c r="A1546" s="521" t="n">
        <v>1538</v>
      </c>
      <c r="B1546" s="522" t="inlineStr">
        <is>
          <t>Clearance and Trucking Fee</t>
        </is>
      </c>
      <c r="C1546" s="522" t="inlineStr">
        <is>
          <t>56ប៊ី-លីង សឹបផ្លាយ ឆេន មេនេចម៉ិន ឯ.ក</t>
        </is>
      </c>
      <c r="D1546" s="522" t="inlineStr">
        <is>
          <t>K004-902004795</t>
        </is>
      </c>
      <c r="E1546" s="521" t="inlineStr">
        <is>
          <t>TI2023-0261</t>
        </is>
      </c>
      <c r="F1546" s="523" t="n">
        <v>45012</v>
      </c>
      <c r="G1546" s="556" t="n">
        <v>170436</v>
      </c>
      <c r="I1546" s="521">
        <f>G1546</f>
        <v/>
      </c>
      <c r="K1546" s="521">
        <f>I1546-G1546</f>
        <v/>
      </c>
      <c r="M1546" s="522" t="inlineStr">
        <is>
          <t>TI20230261</t>
        </is>
      </c>
      <c r="N1546" s="522" t="inlineStr">
        <is>
          <t>TI20230261</t>
        </is>
      </c>
      <c r="O1546" s="521">
        <f>M1546=N1546</f>
        <v/>
      </c>
      <c r="P1546" s="521">
        <f>AND(MONTH(F1546)=MONTH(S1546), YEAR(F1546)=YEAR(S1546))</f>
        <v/>
      </c>
      <c r="Q1546" s="521">
        <f>U1546="L001-901905215"</f>
        <v/>
      </c>
      <c r="R1546" s="556">
        <f>G1546-W1546</f>
        <v/>
      </c>
      <c r="S1546" s="523" t="n">
        <v>45012</v>
      </c>
      <c r="T1546" s="522" t="inlineStr">
        <is>
          <t>TI2023-0261</t>
        </is>
      </c>
      <c r="U1546" s="522" t="inlineStr">
        <is>
          <t>L001-901905215</t>
        </is>
      </c>
      <c r="V1546" s="522" t="inlineStr">
        <is>
          <t>វីអ៊ីស៊ិន (ខេមបូឌា) អ៊ិនដាសស្ទ្រី ឯ.ក</t>
        </is>
      </c>
      <c r="W1546" s="556" t="n">
        <v>170436</v>
      </c>
    </row>
    <row r="1547">
      <c r="A1547" s="521" t="n">
        <v>1539</v>
      </c>
      <c r="B1547" s="522" t="inlineStr">
        <is>
          <t>Clearance and Trucking Fee</t>
        </is>
      </c>
      <c r="C1547" s="522" t="inlineStr">
        <is>
          <t>56ប៊ី-លីង សឹបផ្លាយ ឆេន មេនេចម៉ិន ឯ.ក</t>
        </is>
      </c>
      <c r="D1547" s="522" t="inlineStr">
        <is>
          <t>K004-902004795</t>
        </is>
      </c>
      <c r="E1547" s="521" t="inlineStr">
        <is>
          <t>TI2023-0260</t>
        </is>
      </c>
      <c r="F1547" s="523" t="n">
        <v>45012</v>
      </c>
      <c r="G1547" s="556" t="n">
        <v>192755</v>
      </c>
      <c r="I1547" s="521">
        <f>G1547</f>
        <v/>
      </c>
      <c r="K1547" s="521">
        <f>I1547-G1547</f>
        <v/>
      </c>
      <c r="M1547" s="522" t="inlineStr">
        <is>
          <t>TI20230260</t>
        </is>
      </c>
      <c r="N1547" s="522" t="inlineStr">
        <is>
          <t>TI20230260</t>
        </is>
      </c>
      <c r="O1547" s="521">
        <f>M1547=N1547</f>
        <v/>
      </c>
      <c r="P1547" s="521">
        <f>AND(MONTH(F1547)=MONTH(S1547), YEAR(F1547)=YEAR(S1547))</f>
        <v/>
      </c>
      <c r="Q1547" s="521">
        <f>U1547="L001-901905215"</f>
        <v/>
      </c>
      <c r="R1547" s="556">
        <f>G1547-W1547</f>
        <v/>
      </c>
      <c r="S1547" s="523" t="n">
        <v>45012</v>
      </c>
      <c r="T1547" s="522" t="inlineStr">
        <is>
          <t>TI2023-0260</t>
        </is>
      </c>
      <c r="U1547" s="522" t="inlineStr">
        <is>
          <t>L001-901905215</t>
        </is>
      </c>
      <c r="V1547" s="522" t="inlineStr">
        <is>
          <t>វីអ៊ីស៊ិន (ខេមបូឌា) អ៊ិនដាសស្ទ្រី ឯ.ក</t>
        </is>
      </c>
      <c r="W1547" s="556" t="n">
        <v>192755</v>
      </c>
    </row>
    <row r="1548">
      <c r="A1548" s="521" t="n">
        <v>1540</v>
      </c>
      <c r="B1548" s="522" t="inlineStr">
        <is>
          <t>Lift off</t>
        </is>
      </c>
      <c r="C1548" s="522" t="inlineStr">
        <is>
          <t>កំពង់ផែស្វយ័តក្រុងព្រះសីហនុ</t>
        </is>
      </c>
      <c r="D1548" s="522" t="inlineStr">
        <is>
          <t>L001-100044638</t>
        </is>
      </c>
      <c r="E1548" s="521" t="inlineStr">
        <is>
          <t>038121</t>
        </is>
      </c>
      <c r="F1548" s="523" t="n">
        <v>45002</v>
      </c>
      <c r="G1548" s="556" t="n">
        <v>13790</v>
      </c>
      <c r="I1548" s="521">
        <f>G1548</f>
        <v/>
      </c>
      <c r="K1548" s="521">
        <f>I1548-G1548</f>
        <v/>
      </c>
      <c r="M1548" s="522" t="inlineStr">
        <is>
          <t>038121</t>
        </is>
      </c>
      <c r="N1548" s="522" t="inlineStr"/>
      <c r="O1548" s="521">
        <f>M1548=N1548</f>
        <v/>
      </c>
      <c r="P1548" s="521">
        <f>AND(MONTH(F1548)=MONTH(S1548), YEAR(F1548)=YEAR(S1548))</f>
        <v/>
      </c>
      <c r="Q1548" s="521">
        <f>U1548="L001-901905215"</f>
        <v/>
      </c>
      <c r="R1548" s="556">
        <f>G1548-W1548</f>
        <v/>
      </c>
      <c r="S1548" s="521" t="n"/>
      <c r="T1548" s="522" t="n"/>
      <c r="U1548" s="522" t="n"/>
      <c r="V1548" s="522" t="n"/>
      <c r="W1548" s="521" t="n"/>
    </row>
    <row r="1549">
      <c r="A1549" s="521" t="n">
        <v>1541</v>
      </c>
      <c r="B1549" s="522" t="inlineStr">
        <is>
          <t>Clearance and Trucking Fee</t>
        </is>
      </c>
      <c r="C1549" s="522" t="inlineStr">
        <is>
          <t>56ប៊ី-លីង សឹបផ្លាយ ឆេន មេនេចម៉ិន ឯ.ក</t>
        </is>
      </c>
      <c r="D1549" s="522" t="inlineStr">
        <is>
          <t>K004-902004795</t>
        </is>
      </c>
      <c r="E1549" s="521" t="inlineStr">
        <is>
          <t>TI2023-0253</t>
        </is>
      </c>
      <c r="F1549" s="523" t="n">
        <v>45005</v>
      </c>
      <c r="G1549" s="556" t="n">
        <v>540379</v>
      </c>
      <c r="I1549" s="521">
        <f>G1549</f>
        <v/>
      </c>
      <c r="K1549" s="521">
        <f>I1549-G1549</f>
        <v/>
      </c>
      <c r="M1549" s="522" t="inlineStr">
        <is>
          <t>TI20230253</t>
        </is>
      </c>
      <c r="N1549" s="522" t="inlineStr">
        <is>
          <t>TI20230253</t>
        </is>
      </c>
      <c r="O1549" s="521">
        <f>M1549=N1549</f>
        <v/>
      </c>
      <c r="P1549" s="521">
        <f>AND(MONTH(F1549)=MONTH(S1549), YEAR(F1549)=YEAR(S1549))</f>
        <v/>
      </c>
      <c r="Q1549" s="521">
        <f>U1549="L001-901905215"</f>
        <v/>
      </c>
      <c r="R1549" s="556">
        <f>G1549-W1549</f>
        <v/>
      </c>
      <c r="S1549" s="523" t="n">
        <v>45005</v>
      </c>
      <c r="T1549" s="522" t="inlineStr">
        <is>
          <t>TI2023-0253</t>
        </is>
      </c>
      <c r="U1549" s="522" t="inlineStr">
        <is>
          <t>L001-901905215</t>
        </is>
      </c>
      <c r="V1549" s="522" t="inlineStr">
        <is>
          <t>វីអ៊ីស៊ិន (ខេមបូឌា) អ៊ិនដាសស្ទ្រី ឯ.ក</t>
        </is>
      </c>
      <c r="W1549" s="556" t="n">
        <v>540379</v>
      </c>
    </row>
    <row r="1550">
      <c r="A1550" s="521" t="n">
        <v>1542</v>
      </c>
      <c r="B1550" s="522" t="inlineStr">
        <is>
          <t>LIFT-OFF Charges</t>
        </is>
      </c>
      <c r="C1550" s="522" t="inlineStr">
        <is>
          <t>កំពង់ផែស្វយ័តភ្នំពេញ "ក.ស.ភ"</t>
        </is>
      </c>
      <c r="D1550" s="522" t="inlineStr">
        <is>
          <t>L001-100044999</t>
        </is>
      </c>
      <c r="E1550" s="521" t="inlineStr">
        <is>
          <t>INV20230314499</t>
        </is>
      </c>
      <c r="F1550" s="523" t="n">
        <v>45007</v>
      </c>
      <c r="G1550" s="556" t="n">
        <v>29203</v>
      </c>
      <c r="I1550" s="521">
        <f>G1550</f>
        <v/>
      </c>
      <c r="K1550" s="521">
        <f>I1550-G1550</f>
        <v/>
      </c>
      <c r="M1550" s="522" t="inlineStr">
        <is>
          <t>INV20230314499</t>
        </is>
      </c>
      <c r="N1550" s="522" t="inlineStr"/>
      <c r="O1550" s="521">
        <f>M1550=N1550</f>
        <v/>
      </c>
      <c r="P1550" s="521">
        <f>AND(MONTH(F1550)=MONTH(S1550), YEAR(F1550)=YEAR(S1550))</f>
        <v/>
      </c>
      <c r="Q1550" s="521">
        <f>U1550="L001-901905215"</f>
        <v/>
      </c>
      <c r="R1550" s="556">
        <f>G1550-W1550</f>
        <v/>
      </c>
      <c r="S1550" s="521" t="n"/>
      <c r="T1550" s="522" t="n"/>
      <c r="U1550" s="522" t="n"/>
      <c r="V1550" s="522" t="n"/>
      <c r="W1550" s="521" t="n"/>
    </row>
    <row r="1551">
      <c r="A1551" s="521" t="n">
        <v>1543</v>
      </c>
      <c r="B1551" s="522" t="inlineStr">
        <is>
          <t>Clearance and Trucking Fee</t>
        </is>
      </c>
      <c r="C1551" s="522" t="inlineStr">
        <is>
          <t>56ប៊ី-លីង សឹបផ្លាយ ឆេន មេនេចម៉ិន ឯ.ក</t>
        </is>
      </c>
      <c r="D1551" s="522" t="inlineStr">
        <is>
          <t>K004-902004795</t>
        </is>
      </c>
      <c r="E1551" s="521" t="inlineStr">
        <is>
          <t>TI2023-0252</t>
        </is>
      </c>
      <c r="F1551" s="523" t="n">
        <v>45005</v>
      </c>
      <c r="G1551" s="556" t="n">
        <v>270190</v>
      </c>
      <c r="I1551" s="521">
        <f>G1551</f>
        <v/>
      </c>
      <c r="K1551" s="521">
        <f>I1551-G1551</f>
        <v/>
      </c>
      <c r="M1551" s="522" t="inlineStr">
        <is>
          <t>TI20230252</t>
        </is>
      </c>
      <c r="N1551" s="522" t="inlineStr">
        <is>
          <t>TI20230252</t>
        </is>
      </c>
      <c r="O1551" s="521">
        <f>M1551=N1551</f>
        <v/>
      </c>
      <c r="P1551" s="521">
        <f>AND(MONTH(F1551)=MONTH(S1551), YEAR(F1551)=YEAR(S1551))</f>
        <v/>
      </c>
      <c r="Q1551" s="521">
        <f>U1551="L001-901905215"</f>
        <v/>
      </c>
      <c r="R1551" s="556">
        <f>G1551-W1551</f>
        <v/>
      </c>
      <c r="S1551" s="523" t="n">
        <v>45005</v>
      </c>
      <c r="T1551" s="522" t="inlineStr">
        <is>
          <t>TI2023-0252</t>
        </is>
      </c>
      <c r="U1551" s="522" t="inlineStr">
        <is>
          <t>L001-901905215</t>
        </is>
      </c>
      <c r="V1551" s="522" t="inlineStr">
        <is>
          <t>វីអ៊ីស៊ិន (ខេមបូឌា) អ៊ិនដាសស្ទ្រី ឯ.ក</t>
        </is>
      </c>
      <c r="W1551" s="556" t="n">
        <v>270190</v>
      </c>
    </row>
    <row r="1552">
      <c r="A1552" s="521" t="n">
        <v>1544</v>
      </c>
      <c r="B1552" s="522" t="inlineStr">
        <is>
          <t>LIFT-OFF Charges</t>
        </is>
      </c>
      <c r="C1552" s="522" t="inlineStr">
        <is>
          <t>កំពង់ផែស្វយ័តភ្នំពេញ "ក.ស.ភ"</t>
        </is>
      </c>
      <c r="D1552" s="522" t="inlineStr">
        <is>
          <t>L001-100044999</t>
        </is>
      </c>
      <c r="E1552" s="521" t="inlineStr">
        <is>
          <t>INV20230314390</t>
        </is>
      </c>
      <c r="F1552" s="523" t="n">
        <v>45007</v>
      </c>
      <c r="G1552" s="556" t="n">
        <v>29203</v>
      </c>
      <c r="I1552" s="521">
        <f>G1552</f>
        <v/>
      </c>
      <c r="K1552" s="521">
        <f>I1552-G1552</f>
        <v/>
      </c>
      <c r="M1552" s="522" t="inlineStr">
        <is>
          <t>INV20230314390</t>
        </is>
      </c>
      <c r="N1552" s="522" t="inlineStr"/>
      <c r="O1552" s="521">
        <f>M1552=N1552</f>
        <v/>
      </c>
      <c r="P1552" s="521">
        <f>AND(MONTH(F1552)=MONTH(S1552), YEAR(F1552)=YEAR(S1552))</f>
        <v/>
      </c>
      <c r="Q1552" s="521">
        <f>U1552="L001-901905215"</f>
        <v/>
      </c>
      <c r="R1552" s="556">
        <f>G1552-W1552</f>
        <v/>
      </c>
      <c r="S1552" s="521" t="n"/>
      <c r="T1552" s="522" t="n"/>
      <c r="U1552" s="522" t="n"/>
      <c r="V1552" s="522" t="n"/>
      <c r="W1552" s="521" t="n"/>
    </row>
    <row r="1553">
      <c r="A1553" s="521" t="n">
        <v>1545</v>
      </c>
      <c r="B1553" s="522" t="inlineStr">
        <is>
          <t>Clearance and Trucking Fee</t>
        </is>
      </c>
      <c r="C1553" s="522" t="inlineStr">
        <is>
          <t>56ប៊ី-លីង សឹបផ្លាយ ឆេន មេនេចម៉ិន ឯ.ក</t>
        </is>
      </c>
      <c r="D1553" s="522" t="inlineStr">
        <is>
          <t>K004-902004795</t>
        </is>
      </c>
      <c r="E1553" s="521" t="inlineStr">
        <is>
          <t>TI2023-0251</t>
        </is>
      </c>
      <c r="F1553" s="523" t="n">
        <v>45005</v>
      </c>
      <c r="G1553" s="556" t="n">
        <v>270190</v>
      </c>
      <c r="I1553" s="521">
        <f>G1553</f>
        <v/>
      </c>
      <c r="K1553" s="521">
        <f>I1553-G1553</f>
        <v/>
      </c>
      <c r="M1553" s="522" t="inlineStr">
        <is>
          <t>TI20230251</t>
        </is>
      </c>
      <c r="N1553" s="522" t="inlineStr">
        <is>
          <t>TI20230251</t>
        </is>
      </c>
      <c r="O1553" s="521">
        <f>M1553=N1553</f>
        <v/>
      </c>
      <c r="P1553" s="521">
        <f>AND(MONTH(F1553)=MONTH(S1553), YEAR(F1553)=YEAR(S1553))</f>
        <v/>
      </c>
      <c r="Q1553" s="521">
        <f>U1553="L001-901905215"</f>
        <v/>
      </c>
      <c r="R1553" s="556">
        <f>G1553-W1553</f>
        <v/>
      </c>
      <c r="S1553" s="523" t="n">
        <v>45005</v>
      </c>
      <c r="T1553" s="522" t="inlineStr">
        <is>
          <t>TI2023-0251</t>
        </is>
      </c>
      <c r="U1553" s="522" t="inlineStr">
        <is>
          <t>L001-901905215</t>
        </is>
      </c>
      <c r="V1553" s="522" t="inlineStr">
        <is>
          <t>វីអ៊ីស៊ិន (ខេមបូឌា) អ៊ិនដាសស្ទ្រី ឯ.ក</t>
        </is>
      </c>
      <c r="W1553" s="556" t="n">
        <v>270190</v>
      </c>
    </row>
    <row r="1554">
      <c r="A1554" s="521" t="n">
        <v>1546</v>
      </c>
      <c r="B1554" s="522" t="inlineStr">
        <is>
          <t>Clearance and Trucking Fee</t>
        </is>
      </c>
      <c r="C1554" s="522" t="inlineStr">
        <is>
          <t>56ប៊ី-លីង សឹបផ្លាយ ឆេន មេនេចម៉ិន ឯ.ក</t>
        </is>
      </c>
      <c r="D1554" s="522" t="inlineStr">
        <is>
          <t>K004-902004795</t>
        </is>
      </c>
      <c r="E1554" s="521" t="inlineStr">
        <is>
          <t>TI2023-0246</t>
        </is>
      </c>
      <c r="F1554" s="523" t="n">
        <v>45005</v>
      </c>
      <c r="G1554" s="556" t="n">
        <v>345355</v>
      </c>
      <c r="I1554" s="521">
        <f>G1554</f>
        <v/>
      </c>
      <c r="K1554" s="521">
        <f>I1554-G1554</f>
        <v/>
      </c>
      <c r="M1554" s="522" t="inlineStr">
        <is>
          <t>TI20230246</t>
        </is>
      </c>
      <c r="N1554" s="522" t="inlineStr">
        <is>
          <t>TI20230246</t>
        </is>
      </c>
      <c r="O1554" s="521">
        <f>M1554=N1554</f>
        <v/>
      </c>
      <c r="P1554" s="521">
        <f>AND(MONTH(F1554)=MONTH(S1554), YEAR(F1554)=YEAR(S1554))</f>
        <v/>
      </c>
      <c r="Q1554" s="521">
        <f>U1554="L001-901905215"</f>
        <v/>
      </c>
      <c r="R1554" s="556">
        <f>G1554-W1554</f>
        <v/>
      </c>
      <c r="S1554" s="523" t="n">
        <v>45005</v>
      </c>
      <c r="T1554" s="522" t="inlineStr">
        <is>
          <t>TI2023-0246</t>
        </is>
      </c>
      <c r="U1554" s="522" t="inlineStr">
        <is>
          <t>L001-901905215</t>
        </is>
      </c>
      <c r="V1554" s="522" t="inlineStr">
        <is>
          <t>វីអ៊ីស៊ិន (ខេមបូឌា) អ៊ិនដាសស្ទ្រី ឯ.ក</t>
        </is>
      </c>
      <c r="W1554" s="556" t="n">
        <v>345355</v>
      </c>
    </row>
    <row r="1555">
      <c r="A1555" s="521" t="n">
        <v>1547</v>
      </c>
      <c r="B1555" s="522" t="inlineStr">
        <is>
          <t>Clearance and Trucking Fee</t>
        </is>
      </c>
      <c r="C1555" s="522" t="inlineStr">
        <is>
          <t>56ប៊ី-លីង សឹបផ្លាយ ឆេន មេនេចម៉ិន ឯ.ក</t>
        </is>
      </c>
      <c r="D1555" s="522" t="inlineStr">
        <is>
          <t>K004-902004795</t>
        </is>
      </c>
      <c r="E1555" s="521" t="inlineStr">
        <is>
          <t>TI2023-0245</t>
        </is>
      </c>
      <c r="F1555" s="523" t="n">
        <v>45005</v>
      </c>
      <c r="G1555" s="556" t="n">
        <v>170646</v>
      </c>
      <c r="I1555" s="521">
        <f>G1555</f>
        <v/>
      </c>
      <c r="K1555" s="521">
        <f>I1555-G1555</f>
        <v/>
      </c>
      <c r="M1555" s="522" t="inlineStr">
        <is>
          <t>TI20230245</t>
        </is>
      </c>
      <c r="N1555" s="522" t="inlineStr">
        <is>
          <t>TI20230245</t>
        </is>
      </c>
      <c r="O1555" s="521">
        <f>M1555=N1555</f>
        <v/>
      </c>
      <c r="P1555" s="521">
        <f>AND(MONTH(F1555)=MONTH(S1555), YEAR(F1555)=YEAR(S1555))</f>
        <v/>
      </c>
      <c r="Q1555" s="521">
        <f>U1555="L001-901905215"</f>
        <v/>
      </c>
      <c r="R1555" s="556">
        <f>G1555-W1555</f>
        <v/>
      </c>
      <c r="S1555" s="523" t="n">
        <v>45005</v>
      </c>
      <c r="T1555" s="522" t="inlineStr">
        <is>
          <t>TI2023-0245</t>
        </is>
      </c>
      <c r="U1555" s="522" t="inlineStr">
        <is>
          <t>L001-901905215</t>
        </is>
      </c>
      <c r="V1555" s="522" t="inlineStr">
        <is>
          <t>វីអ៊ីស៊ិន (ខេមបូឌា) អ៊ិនដាសស្ទ្រី ឯ.ក</t>
        </is>
      </c>
      <c r="W1555" s="556" t="n">
        <v>170646</v>
      </c>
    </row>
    <row r="1556">
      <c r="A1556" s="521" t="n">
        <v>1548</v>
      </c>
      <c r="B1556" s="522" t="inlineStr">
        <is>
          <t>Clearance and Trucking Fee</t>
        </is>
      </c>
      <c r="C1556" s="522" t="inlineStr">
        <is>
          <t>56ប៊ី-លីង សឹបផ្លាយ ឆេន មេនេចម៉ិន ឯ.ក</t>
        </is>
      </c>
      <c r="D1556" s="522" t="inlineStr">
        <is>
          <t>K004-902004795</t>
        </is>
      </c>
      <c r="E1556" s="521" t="inlineStr">
        <is>
          <t>TI2023-0244</t>
        </is>
      </c>
      <c r="F1556" s="523" t="n">
        <v>45005</v>
      </c>
      <c r="G1556" s="556" t="n">
        <v>170646</v>
      </c>
      <c r="I1556" s="521">
        <f>G1556</f>
        <v/>
      </c>
      <c r="K1556" s="521">
        <f>I1556-G1556</f>
        <v/>
      </c>
      <c r="M1556" s="522" t="inlineStr">
        <is>
          <t>TI20230244</t>
        </is>
      </c>
      <c r="N1556" s="522" t="inlineStr">
        <is>
          <t>TI20230244</t>
        </is>
      </c>
      <c r="O1556" s="521">
        <f>M1556=N1556</f>
        <v/>
      </c>
      <c r="P1556" s="521">
        <f>AND(MONTH(F1556)=MONTH(S1556), YEAR(F1556)=YEAR(S1556))</f>
        <v/>
      </c>
      <c r="Q1556" s="521">
        <f>U1556="L001-901905215"</f>
        <v/>
      </c>
      <c r="R1556" s="556">
        <f>G1556-W1556</f>
        <v/>
      </c>
      <c r="S1556" s="523" t="n">
        <v>45005</v>
      </c>
      <c r="T1556" s="522" t="inlineStr">
        <is>
          <t>TI2023-0244</t>
        </is>
      </c>
      <c r="U1556" s="522" t="inlineStr">
        <is>
          <t>L001-901905215</t>
        </is>
      </c>
      <c r="V1556" s="522" t="inlineStr">
        <is>
          <t>វីអ៊ីស៊ិន (ខេមបូឌា) អ៊ិនដាសស្ទ្រី ឯ.ក</t>
        </is>
      </c>
      <c r="W1556" s="556" t="n">
        <v>170646</v>
      </c>
    </row>
    <row r="1557">
      <c r="A1557" s="521" t="n">
        <v>1549</v>
      </c>
      <c r="B1557" s="522" t="inlineStr">
        <is>
          <t>Clearance and Trucking Fee</t>
        </is>
      </c>
      <c r="C1557" s="522" t="inlineStr">
        <is>
          <t>56ប៊ី-លីង សឹបផ្លាយ ឆេន មេនេចម៉ិន ឯ.ក</t>
        </is>
      </c>
      <c r="D1557" s="522" t="inlineStr">
        <is>
          <t>K004-902004795</t>
        </is>
      </c>
      <c r="E1557" s="521" t="inlineStr">
        <is>
          <t>TI2023-0243</t>
        </is>
      </c>
      <c r="F1557" s="523" t="n">
        <v>45005</v>
      </c>
      <c r="G1557" s="556" t="n">
        <v>209245</v>
      </c>
      <c r="I1557" s="521">
        <f>G1557</f>
        <v/>
      </c>
      <c r="K1557" s="521">
        <f>I1557-G1557</f>
        <v/>
      </c>
      <c r="M1557" s="522" t="inlineStr">
        <is>
          <t>TI20230243</t>
        </is>
      </c>
      <c r="N1557" s="522" t="inlineStr">
        <is>
          <t>TI20230243</t>
        </is>
      </c>
      <c r="O1557" s="521">
        <f>M1557=N1557</f>
        <v/>
      </c>
      <c r="P1557" s="521">
        <f>AND(MONTH(F1557)=MONTH(S1557), YEAR(F1557)=YEAR(S1557))</f>
        <v/>
      </c>
      <c r="Q1557" s="521">
        <f>U1557="L001-901905215"</f>
        <v/>
      </c>
      <c r="R1557" s="556">
        <f>G1557-W1557</f>
        <v/>
      </c>
      <c r="S1557" s="523" t="n">
        <v>45005</v>
      </c>
      <c r="T1557" s="522" t="inlineStr">
        <is>
          <t>TI2023-0243</t>
        </is>
      </c>
      <c r="U1557" s="522" t="inlineStr">
        <is>
          <t>L001-901905215</t>
        </is>
      </c>
      <c r="V1557" s="522" t="inlineStr">
        <is>
          <t>វីអ៊ីស៊ិន (ខេមបូឌា) អ៊ិនដាសស្ទ្រី ឯ.ក</t>
        </is>
      </c>
      <c r="W1557" s="556" t="n">
        <v>209245</v>
      </c>
    </row>
    <row r="1558">
      <c r="A1558" s="521" t="n">
        <v>1550</v>
      </c>
      <c r="B1558" s="522" t="inlineStr">
        <is>
          <t>Clearance and Trucking Fee</t>
        </is>
      </c>
      <c r="C1558" s="522" t="inlineStr">
        <is>
          <t>56ប៊ី-លីង សឹបផ្លាយ ឆេន មេនេចម៉ិន ឯ.ក</t>
        </is>
      </c>
      <c r="D1558" s="522" t="inlineStr">
        <is>
          <t>K004-902004795</t>
        </is>
      </c>
      <c r="E1558" s="521" t="inlineStr">
        <is>
          <t>TI2023-0242</t>
        </is>
      </c>
      <c r="F1558" s="523" t="n">
        <v>45005</v>
      </c>
      <c r="G1558" s="556" t="n">
        <v>209245</v>
      </c>
      <c r="I1558" s="521">
        <f>G1558</f>
        <v/>
      </c>
      <c r="K1558" s="521">
        <f>I1558-G1558</f>
        <v/>
      </c>
      <c r="M1558" s="522" t="inlineStr">
        <is>
          <t>TI20230242</t>
        </is>
      </c>
      <c r="N1558" s="522" t="inlineStr">
        <is>
          <t>TI20230242</t>
        </is>
      </c>
      <c r="O1558" s="521">
        <f>M1558=N1558</f>
        <v/>
      </c>
      <c r="P1558" s="521">
        <f>AND(MONTH(F1558)=MONTH(S1558), YEAR(F1558)=YEAR(S1558))</f>
        <v/>
      </c>
      <c r="Q1558" s="521">
        <f>U1558="L001-901905215"</f>
        <v/>
      </c>
      <c r="R1558" s="556">
        <f>G1558-W1558</f>
        <v/>
      </c>
      <c r="S1558" s="523" t="n">
        <v>45005</v>
      </c>
      <c r="T1558" s="522" t="inlineStr">
        <is>
          <t>TI2023-0242</t>
        </is>
      </c>
      <c r="U1558" s="522" t="inlineStr">
        <is>
          <t>L001-901905215</t>
        </is>
      </c>
      <c r="V1558" s="522" t="inlineStr">
        <is>
          <t>វីអ៊ីស៊ិន (ខេមបូឌា) អ៊ិនដាសស្ទ្រី ឯ.ក</t>
        </is>
      </c>
      <c r="W1558" s="556" t="n">
        <v>209245</v>
      </c>
    </row>
    <row r="1559">
      <c r="A1559" s="521" t="n">
        <v>1551</v>
      </c>
      <c r="B1559" s="522" t="inlineStr">
        <is>
          <t>Clearance and Trucking Fee</t>
        </is>
      </c>
      <c r="C1559" s="522" t="inlineStr">
        <is>
          <t>56ប៊ី-លីង សឹបផ្លាយ ឆេន មេនេចម៉ិន ឯ.ក</t>
        </is>
      </c>
      <c r="D1559" s="522" t="inlineStr">
        <is>
          <t>K004-902004795</t>
        </is>
      </c>
      <c r="E1559" s="521" t="inlineStr">
        <is>
          <t>TI2023-0221</t>
        </is>
      </c>
      <c r="F1559" s="523" t="n">
        <v>44998</v>
      </c>
      <c r="G1559" s="556" t="n">
        <v>360361</v>
      </c>
      <c r="I1559" s="521">
        <f>G1559</f>
        <v/>
      </c>
      <c r="K1559" s="521">
        <f>I1559-G1559</f>
        <v/>
      </c>
      <c r="M1559" s="522" t="inlineStr">
        <is>
          <t>TI20230221</t>
        </is>
      </c>
      <c r="N1559" s="522" t="inlineStr">
        <is>
          <t>TI20230221</t>
        </is>
      </c>
      <c r="O1559" s="521">
        <f>M1559=N1559</f>
        <v/>
      </c>
      <c r="P1559" s="521">
        <f>AND(MONTH(F1559)=MONTH(S1559), YEAR(F1559)=YEAR(S1559))</f>
        <v/>
      </c>
      <c r="Q1559" s="521">
        <f>U1559="L001-901905215"</f>
        <v/>
      </c>
      <c r="R1559" s="556">
        <f>G1559-W1559</f>
        <v/>
      </c>
      <c r="S1559" s="523" t="n">
        <v>44998</v>
      </c>
      <c r="T1559" s="522" t="inlineStr">
        <is>
          <t>TI2023-0221</t>
        </is>
      </c>
      <c r="U1559" s="522" t="inlineStr">
        <is>
          <t>L001-901905215</t>
        </is>
      </c>
      <c r="V1559" s="522" t="inlineStr">
        <is>
          <t>វីអ៊ីស៊ិន (ខេមបូឌា) អ៊ិនដាសស្ទ្រី ឯ.ក</t>
        </is>
      </c>
      <c r="W1559" s="556" t="n">
        <v>360361</v>
      </c>
    </row>
    <row r="1560">
      <c r="A1560" s="521" t="n">
        <v>1552</v>
      </c>
      <c r="B1560" s="522" t="inlineStr">
        <is>
          <t>LIFT-OFF Charges</t>
        </is>
      </c>
      <c r="C1560" s="522" t="inlineStr">
        <is>
          <t>កំពង់ផែស្វយ័តភ្នំពេញ "ក.ស.ភ"</t>
        </is>
      </c>
      <c r="D1560" s="522" t="inlineStr">
        <is>
          <t>L001-100044999</t>
        </is>
      </c>
      <c r="E1560" s="521" t="inlineStr">
        <is>
          <t>INV20230313449</t>
        </is>
      </c>
      <c r="F1560" s="523" t="n">
        <v>44999</v>
      </c>
      <c r="G1560" s="556" t="n">
        <v>29153</v>
      </c>
      <c r="I1560" s="521">
        <f>G1560</f>
        <v/>
      </c>
      <c r="K1560" s="521">
        <f>I1560-G1560</f>
        <v/>
      </c>
      <c r="M1560" s="522" t="inlineStr">
        <is>
          <t>INV20230313449</t>
        </is>
      </c>
      <c r="N1560" s="522" t="inlineStr"/>
      <c r="O1560" s="521">
        <f>M1560=N1560</f>
        <v/>
      </c>
      <c r="P1560" s="521">
        <f>AND(MONTH(F1560)=MONTH(S1560), YEAR(F1560)=YEAR(S1560))</f>
        <v/>
      </c>
      <c r="Q1560" s="521">
        <f>U1560="L001-901905215"</f>
        <v/>
      </c>
      <c r="R1560" s="556">
        <f>G1560-W1560</f>
        <v/>
      </c>
      <c r="S1560" s="521" t="n"/>
      <c r="T1560" s="522" t="n"/>
      <c r="U1560" s="522" t="n"/>
      <c r="V1560" s="522" t="n"/>
      <c r="W1560" s="521" t="n"/>
    </row>
    <row r="1561">
      <c r="A1561" s="521" t="n">
        <v>1553</v>
      </c>
      <c r="B1561" s="522" t="inlineStr">
        <is>
          <t>Clearance and Trucking Fee</t>
        </is>
      </c>
      <c r="C1561" s="522" t="inlineStr">
        <is>
          <t>56ប៊ី-លីង សឹបផ្លាយ ឆេន មេនេចម៉ិន ឯ.ក</t>
        </is>
      </c>
      <c r="D1561" s="522" t="inlineStr">
        <is>
          <t>K004-902004795</t>
        </is>
      </c>
      <c r="E1561" s="521" t="inlineStr">
        <is>
          <t>TI2023-0220</t>
        </is>
      </c>
      <c r="F1561" s="523" t="n">
        <v>44998</v>
      </c>
      <c r="G1561" s="556" t="n">
        <v>269259</v>
      </c>
      <c r="I1561" s="521">
        <f>G1561</f>
        <v/>
      </c>
      <c r="K1561" s="521">
        <f>I1561-G1561</f>
        <v/>
      </c>
      <c r="M1561" s="522" t="inlineStr">
        <is>
          <t>TI20230220</t>
        </is>
      </c>
      <c r="N1561" s="522" t="inlineStr">
        <is>
          <t>TI20230220</t>
        </is>
      </c>
      <c r="O1561" s="521">
        <f>M1561=N1561</f>
        <v/>
      </c>
      <c r="P1561" s="521">
        <f>AND(MONTH(F1561)=MONTH(S1561), YEAR(F1561)=YEAR(S1561))</f>
        <v/>
      </c>
      <c r="Q1561" s="521">
        <f>U1561="L001-901905215"</f>
        <v/>
      </c>
      <c r="R1561" s="556">
        <f>G1561-W1561</f>
        <v/>
      </c>
      <c r="S1561" s="523" t="n">
        <v>44998</v>
      </c>
      <c r="T1561" s="522" t="inlineStr">
        <is>
          <t>TI2023-0220</t>
        </is>
      </c>
      <c r="U1561" s="522" t="inlineStr">
        <is>
          <t>L001-901905215</t>
        </is>
      </c>
      <c r="V1561" s="522" t="inlineStr">
        <is>
          <t>វីអ៊ីស៊ិន (ខេមបូឌា) អ៊ិនដាសស្ទ្រី ឯ.ក</t>
        </is>
      </c>
      <c r="W1561" s="556" t="n">
        <v>269259</v>
      </c>
    </row>
    <row r="1562">
      <c r="A1562" s="521" t="n">
        <v>1554</v>
      </c>
      <c r="B1562" s="522" t="inlineStr">
        <is>
          <t>LIFT-OFF Charges</t>
        </is>
      </c>
      <c r="C1562" s="522" t="inlineStr">
        <is>
          <t>កំពង់ផែស្វយ័តភ្នំពេញ "ក.ស.ភ"</t>
        </is>
      </c>
      <c r="D1562" s="522" t="inlineStr">
        <is>
          <t>L001-100044999</t>
        </is>
      </c>
      <c r="E1562" s="521" t="inlineStr">
        <is>
          <t>INV20230313450</t>
        </is>
      </c>
      <c r="F1562" s="523" t="n">
        <v>44999</v>
      </c>
      <c r="G1562" s="556" t="n">
        <v>29153</v>
      </c>
      <c r="I1562" s="521">
        <f>G1562</f>
        <v/>
      </c>
      <c r="K1562" s="521">
        <f>I1562-G1562</f>
        <v/>
      </c>
      <c r="M1562" s="522" t="inlineStr">
        <is>
          <t>INV20230313450</t>
        </is>
      </c>
      <c r="N1562" s="522" t="inlineStr"/>
      <c r="O1562" s="521">
        <f>M1562=N1562</f>
        <v/>
      </c>
      <c r="P1562" s="521">
        <f>AND(MONTH(F1562)=MONTH(S1562), YEAR(F1562)=YEAR(S1562))</f>
        <v/>
      </c>
      <c r="Q1562" s="521">
        <f>U1562="L001-901905215"</f>
        <v/>
      </c>
      <c r="R1562" s="556">
        <f>G1562-W1562</f>
        <v/>
      </c>
      <c r="S1562" s="521" t="n"/>
      <c r="T1562" s="522" t="n"/>
      <c r="U1562" s="522" t="n"/>
      <c r="V1562" s="522" t="n"/>
      <c r="W1562" s="521" t="n"/>
    </row>
    <row r="1563">
      <c r="A1563" s="521" t="n">
        <v>1555</v>
      </c>
      <c r="B1563" s="522" t="inlineStr">
        <is>
          <t>Clearance and Trucking Fee</t>
        </is>
      </c>
      <c r="C1563" s="522" t="inlineStr">
        <is>
          <t>56ប៊ី-លីង សឹបផ្លាយ ឆេន មេនេចម៉ិន ឯ.ក</t>
        </is>
      </c>
      <c r="D1563" s="522" t="inlineStr">
        <is>
          <t>K004-902004795</t>
        </is>
      </c>
      <c r="E1563" s="521" t="inlineStr">
        <is>
          <t>TI2023-0219</t>
        </is>
      </c>
      <c r="F1563" s="523" t="n">
        <v>44998</v>
      </c>
      <c r="G1563" s="556" t="n">
        <v>269259</v>
      </c>
      <c r="I1563" s="521">
        <f>G1563</f>
        <v/>
      </c>
      <c r="K1563" s="521">
        <f>I1563-G1563</f>
        <v/>
      </c>
      <c r="M1563" s="522" t="inlineStr">
        <is>
          <t>TI20230219</t>
        </is>
      </c>
      <c r="N1563" s="522" t="inlineStr">
        <is>
          <t>TI20230219</t>
        </is>
      </c>
      <c r="O1563" s="521">
        <f>M1563=N1563</f>
        <v/>
      </c>
      <c r="P1563" s="521">
        <f>AND(MONTH(F1563)=MONTH(S1563), YEAR(F1563)=YEAR(S1563))</f>
        <v/>
      </c>
      <c r="Q1563" s="521">
        <f>U1563="L001-901905215"</f>
        <v/>
      </c>
      <c r="R1563" s="556">
        <f>G1563-W1563</f>
        <v/>
      </c>
      <c r="S1563" s="523" t="n">
        <v>44998</v>
      </c>
      <c r="T1563" s="522" t="inlineStr">
        <is>
          <t>TI2023-0219</t>
        </is>
      </c>
      <c r="U1563" s="522" t="inlineStr">
        <is>
          <t>L001-901905215</t>
        </is>
      </c>
      <c r="V1563" s="522" t="inlineStr">
        <is>
          <t>វីអ៊ីស៊ិន (ខេមបូឌា) អ៊ិនដាសស្ទ្រី ឯ.ក</t>
        </is>
      </c>
      <c r="W1563" s="556" t="n">
        <v>269259</v>
      </c>
    </row>
    <row r="1564">
      <c r="A1564" s="521" t="n">
        <v>1556</v>
      </c>
      <c r="B1564" s="522" t="inlineStr">
        <is>
          <t>Clearance and Trucking Fee</t>
        </is>
      </c>
      <c r="C1564" s="522" t="inlineStr">
        <is>
          <t>56ប៊ី-លីង សឹបផ្លាយ ឆេន មេនេចម៉ិន ឯ.ក</t>
        </is>
      </c>
      <c r="D1564" s="522" t="inlineStr">
        <is>
          <t>K004-902004795</t>
        </is>
      </c>
      <c r="E1564" s="521" t="inlineStr">
        <is>
          <t>TI2023-0218</t>
        </is>
      </c>
      <c r="F1564" s="523" t="n">
        <v>44986</v>
      </c>
      <c r="G1564" s="556" t="n">
        <v>170058</v>
      </c>
      <c r="I1564" s="521">
        <f>G1564</f>
        <v/>
      </c>
      <c r="K1564" s="521">
        <f>I1564-G1564</f>
        <v/>
      </c>
      <c r="M1564" s="522" t="inlineStr">
        <is>
          <t>TI20230218</t>
        </is>
      </c>
      <c r="N1564" s="522" t="inlineStr">
        <is>
          <t>TI20230218</t>
        </is>
      </c>
      <c r="O1564" s="521">
        <f>M1564=N1564</f>
        <v/>
      </c>
      <c r="P1564" s="521">
        <f>AND(MONTH(F1564)=MONTH(S1564), YEAR(F1564)=YEAR(S1564))</f>
        <v/>
      </c>
      <c r="Q1564" s="521">
        <f>U1564="L001-901905215"</f>
        <v/>
      </c>
      <c r="R1564" s="556">
        <f>G1564-W1564</f>
        <v/>
      </c>
      <c r="S1564" s="523" t="n">
        <v>44998</v>
      </c>
      <c r="T1564" s="522" t="inlineStr">
        <is>
          <t>TI2023-0218</t>
        </is>
      </c>
      <c r="U1564" s="522" t="inlineStr">
        <is>
          <t>L001-901905215</t>
        </is>
      </c>
      <c r="V1564" s="522" t="inlineStr">
        <is>
          <t>វីអ៊ីស៊ិន (ខេមបូឌា) អ៊ិនដាសស្ទ្រី ឯ.ក</t>
        </is>
      </c>
      <c r="W1564" s="556" t="n">
        <v>170058</v>
      </c>
    </row>
    <row r="1565">
      <c r="A1565" s="521" t="n">
        <v>1557</v>
      </c>
      <c r="B1565" s="522" t="inlineStr">
        <is>
          <t>Clearance and Trucking Fee</t>
        </is>
      </c>
      <c r="C1565" s="522" t="inlineStr">
        <is>
          <t>56ប៊ី-លីង សឹបផ្លាយ ឆេន មេនេចម៉ិន ឯ.ក</t>
        </is>
      </c>
      <c r="D1565" s="522" t="inlineStr">
        <is>
          <t>K004-902004795</t>
        </is>
      </c>
      <c r="E1565" s="521" t="inlineStr">
        <is>
          <t>TI2023-0217</t>
        </is>
      </c>
      <c r="F1565" s="523" t="n">
        <v>44998</v>
      </c>
      <c r="G1565" s="556" t="n">
        <v>208524</v>
      </c>
      <c r="I1565" s="521">
        <f>G1565</f>
        <v/>
      </c>
      <c r="K1565" s="521">
        <f>I1565-G1565</f>
        <v/>
      </c>
      <c r="M1565" s="522" t="inlineStr">
        <is>
          <t>TI20230217</t>
        </is>
      </c>
      <c r="N1565" s="522" t="inlineStr">
        <is>
          <t>TI20230217</t>
        </is>
      </c>
      <c r="O1565" s="521">
        <f>M1565=N1565</f>
        <v/>
      </c>
      <c r="P1565" s="521">
        <f>AND(MONTH(F1565)=MONTH(S1565), YEAR(F1565)=YEAR(S1565))</f>
        <v/>
      </c>
      <c r="Q1565" s="521">
        <f>U1565="L001-901905215"</f>
        <v/>
      </c>
      <c r="R1565" s="556">
        <f>G1565-W1565</f>
        <v/>
      </c>
      <c r="S1565" s="523" t="n">
        <v>44998</v>
      </c>
      <c r="T1565" s="522" t="inlineStr">
        <is>
          <t>TI2023-0217</t>
        </is>
      </c>
      <c r="U1565" s="522" t="inlineStr">
        <is>
          <t>L001-901905215</t>
        </is>
      </c>
      <c r="V1565" s="522" t="inlineStr">
        <is>
          <t>វីអ៊ីស៊ិន (ខេមបូឌា) អ៊ិនដាសស្ទ្រី ឯ.ក</t>
        </is>
      </c>
      <c r="W1565" s="556" t="n">
        <v>208524</v>
      </c>
    </row>
    <row r="1566">
      <c r="A1566" s="521" t="n">
        <v>1558</v>
      </c>
      <c r="B1566" s="522" t="inlineStr">
        <is>
          <t>Clearance and Trucking Fee</t>
        </is>
      </c>
      <c r="C1566" s="522" t="inlineStr">
        <is>
          <t>56ប៊ី-លីង សឹបផ្លាយ ឆេន មេនេចម៉ិន ឯ.ក</t>
        </is>
      </c>
      <c r="D1566" s="522" t="inlineStr">
        <is>
          <t>K004-902004795</t>
        </is>
      </c>
      <c r="E1566" s="521" t="inlineStr">
        <is>
          <t>TI2023-0216</t>
        </is>
      </c>
      <c r="F1566" s="523" t="n">
        <v>44998</v>
      </c>
      <c r="G1566" s="556" t="n">
        <v>170058</v>
      </c>
      <c r="I1566" s="521">
        <f>G1566</f>
        <v/>
      </c>
      <c r="K1566" s="521">
        <f>I1566-G1566</f>
        <v/>
      </c>
      <c r="M1566" s="522" t="inlineStr">
        <is>
          <t>TI20230216</t>
        </is>
      </c>
      <c r="N1566" s="522" t="inlineStr">
        <is>
          <t>TI20230216</t>
        </is>
      </c>
      <c r="O1566" s="521">
        <f>M1566=N1566</f>
        <v/>
      </c>
      <c r="P1566" s="521">
        <f>AND(MONTH(F1566)=MONTH(S1566), YEAR(F1566)=YEAR(S1566))</f>
        <v/>
      </c>
      <c r="Q1566" s="521">
        <f>U1566="L001-901905215"</f>
        <v/>
      </c>
      <c r="R1566" s="556">
        <f>G1566-W1566</f>
        <v/>
      </c>
      <c r="S1566" s="523" t="n">
        <v>44998</v>
      </c>
      <c r="T1566" s="522" t="inlineStr">
        <is>
          <t>TI2023-0216</t>
        </is>
      </c>
      <c r="U1566" s="522" t="inlineStr">
        <is>
          <t>L001-901905215</t>
        </is>
      </c>
      <c r="V1566" s="522" t="inlineStr">
        <is>
          <t>វីអ៊ីស៊ិន (ខេមបូឌា) អ៊ិនដាសស្ទ្រី ឯ.ក</t>
        </is>
      </c>
      <c r="W1566" s="556" t="n">
        <v>170058</v>
      </c>
    </row>
    <row r="1567">
      <c r="A1567" s="521" t="n">
        <v>1559</v>
      </c>
      <c r="B1567" s="522" t="inlineStr">
        <is>
          <t>Clearance and Trucking Fee</t>
        </is>
      </c>
      <c r="C1567" s="522" t="inlineStr">
        <is>
          <t>56ប៊ី-លីង សឹបផ្លាយ ឆេន មេនេចម៉ិន ឯ.ក</t>
        </is>
      </c>
      <c r="D1567" s="522" t="inlineStr">
        <is>
          <t>K004-902004795</t>
        </is>
      </c>
      <c r="E1567" s="521" t="inlineStr">
        <is>
          <t>TI2023-0215</t>
        </is>
      </c>
      <c r="F1567" s="523" t="n">
        <v>44998</v>
      </c>
      <c r="G1567" s="556" t="n">
        <v>170058</v>
      </c>
      <c r="I1567" s="521">
        <f>G1567</f>
        <v/>
      </c>
      <c r="K1567" s="521">
        <f>I1567-G1567</f>
        <v/>
      </c>
      <c r="M1567" s="522" t="inlineStr">
        <is>
          <t>TI20230215</t>
        </is>
      </c>
      <c r="N1567" s="522" t="inlineStr">
        <is>
          <t>TI20230215</t>
        </is>
      </c>
      <c r="O1567" s="521">
        <f>M1567=N1567</f>
        <v/>
      </c>
      <c r="P1567" s="521">
        <f>AND(MONTH(F1567)=MONTH(S1567), YEAR(F1567)=YEAR(S1567))</f>
        <v/>
      </c>
      <c r="Q1567" s="521">
        <f>U1567="L001-901905215"</f>
        <v/>
      </c>
      <c r="R1567" s="556">
        <f>G1567-W1567</f>
        <v/>
      </c>
      <c r="S1567" s="523" t="n">
        <v>44998</v>
      </c>
      <c r="T1567" s="522" t="inlineStr">
        <is>
          <t>TI2023-0215</t>
        </is>
      </c>
      <c r="U1567" s="522" t="inlineStr">
        <is>
          <t>L001-901905215</t>
        </is>
      </c>
      <c r="V1567" s="522" t="inlineStr">
        <is>
          <t>វីអ៊ីស៊ិន (ខេមបូឌា) អ៊ិនដាសស្ទ្រី ឯ.ក</t>
        </is>
      </c>
      <c r="W1567" s="556" t="n">
        <v>170058</v>
      </c>
    </row>
    <row r="1568">
      <c r="A1568" s="521" t="n">
        <v>1560</v>
      </c>
      <c r="B1568" s="522" t="inlineStr">
        <is>
          <t>Clearance and Trucking Fee</t>
        </is>
      </c>
      <c r="C1568" s="522" t="inlineStr">
        <is>
          <t>56ប៊ី-លីង សឹបផ្លាយ ឆេន មេនេចម៉ិន ឯ.ក</t>
        </is>
      </c>
      <c r="D1568" s="522" t="inlineStr">
        <is>
          <t>K004-902004795</t>
        </is>
      </c>
      <c r="E1568" s="521" t="inlineStr">
        <is>
          <t>TI2023-0214</t>
        </is>
      </c>
      <c r="F1568" s="523" t="n">
        <v>44998</v>
      </c>
      <c r="G1568" s="556" t="n">
        <v>170058</v>
      </c>
      <c r="I1568" s="521">
        <f>G1568</f>
        <v/>
      </c>
      <c r="K1568" s="521">
        <f>I1568-G1568</f>
        <v/>
      </c>
      <c r="M1568" s="522" t="inlineStr">
        <is>
          <t>TI20230214</t>
        </is>
      </c>
      <c r="N1568" s="522" t="inlineStr">
        <is>
          <t>TI20230214</t>
        </is>
      </c>
      <c r="O1568" s="521">
        <f>M1568=N1568</f>
        <v/>
      </c>
      <c r="P1568" s="521">
        <f>AND(MONTH(F1568)=MONTH(S1568), YEAR(F1568)=YEAR(S1568))</f>
        <v/>
      </c>
      <c r="Q1568" s="521">
        <f>U1568="L001-901905215"</f>
        <v/>
      </c>
      <c r="R1568" s="556">
        <f>G1568-W1568</f>
        <v/>
      </c>
      <c r="S1568" s="523" t="n">
        <v>44998</v>
      </c>
      <c r="T1568" s="522" t="inlineStr">
        <is>
          <t>TI2023-0214</t>
        </is>
      </c>
      <c r="U1568" s="522" t="inlineStr">
        <is>
          <t>L001-901905215</t>
        </is>
      </c>
      <c r="V1568" s="522" t="inlineStr">
        <is>
          <t>វីអ៊ីស៊ិន (ខេមបូឌា) អ៊ិនដាសស្ទ្រី ឯ.ក</t>
        </is>
      </c>
      <c r="W1568" s="556" t="n">
        <v>170058</v>
      </c>
    </row>
    <row r="1569">
      <c r="A1569" s="521" t="n">
        <v>1561</v>
      </c>
      <c r="B1569" s="522" t="inlineStr">
        <is>
          <t>Clearance and Trucking Fee</t>
        </is>
      </c>
      <c r="C1569" s="522" t="inlineStr">
        <is>
          <t>56ប៊ី-លីង សឹបផ្លាយ ឆេន មេនេចម៉ិន ឯ.ក</t>
        </is>
      </c>
      <c r="D1569" s="522" t="inlineStr">
        <is>
          <t>K004-902004795</t>
        </is>
      </c>
      <c r="E1569" s="521" t="inlineStr">
        <is>
          <t>TI2023-0213</t>
        </is>
      </c>
      <c r="F1569" s="523" t="n">
        <v>44998</v>
      </c>
      <c r="G1569" s="556" t="n">
        <v>208524</v>
      </c>
      <c r="I1569" s="521">
        <f>G1569</f>
        <v/>
      </c>
      <c r="K1569" s="521">
        <f>I1569-G1569</f>
        <v/>
      </c>
      <c r="M1569" s="522" t="inlineStr">
        <is>
          <t>TI20230213</t>
        </is>
      </c>
      <c r="N1569" s="522" t="inlineStr">
        <is>
          <t>TI20230213</t>
        </is>
      </c>
      <c r="O1569" s="521">
        <f>M1569=N1569</f>
        <v/>
      </c>
      <c r="P1569" s="521">
        <f>AND(MONTH(F1569)=MONTH(S1569), YEAR(F1569)=YEAR(S1569))</f>
        <v/>
      </c>
      <c r="Q1569" s="521">
        <f>U1569="L001-901905215"</f>
        <v/>
      </c>
      <c r="R1569" s="556">
        <f>G1569-W1569</f>
        <v/>
      </c>
      <c r="S1569" s="523" t="n">
        <v>44998</v>
      </c>
      <c r="T1569" s="522" t="inlineStr">
        <is>
          <t>TI2023-0213</t>
        </is>
      </c>
      <c r="U1569" s="522" t="inlineStr">
        <is>
          <t>L001-901905215</t>
        </is>
      </c>
      <c r="V1569" s="522" t="inlineStr">
        <is>
          <t>វីអ៊ីស៊ិន (ខេមបូឌា) អ៊ិនដាសស្ទ្រី ឯ.ក</t>
        </is>
      </c>
      <c r="W1569" s="556" t="n">
        <v>208524</v>
      </c>
    </row>
    <row r="1570">
      <c r="A1570" s="521" t="n">
        <v>1562</v>
      </c>
      <c r="B1570" s="522" t="inlineStr">
        <is>
          <t>Lift off</t>
        </is>
      </c>
      <c r="C1570" s="522" t="inlineStr">
        <is>
          <t>កំពង់ផែស្វយ័តក្រុងព្រះសីហនុ</t>
        </is>
      </c>
      <c r="D1570" s="522" t="inlineStr">
        <is>
          <t>L001-100044638</t>
        </is>
      </c>
      <c r="E1570" s="521" t="inlineStr">
        <is>
          <t>033772</t>
        </is>
      </c>
      <c r="F1570" s="523" t="n">
        <v>44995</v>
      </c>
      <c r="G1570" s="556" t="n">
        <v>6878</v>
      </c>
      <c r="I1570" s="521">
        <f>G1570</f>
        <v/>
      </c>
      <c r="K1570" s="521">
        <f>I1570-G1570</f>
        <v/>
      </c>
      <c r="M1570" s="522" t="inlineStr">
        <is>
          <t>033772</t>
        </is>
      </c>
      <c r="N1570" s="522" t="inlineStr"/>
      <c r="O1570" s="521">
        <f>M1570=N1570</f>
        <v/>
      </c>
      <c r="P1570" s="521">
        <f>AND(MONTH(F1570)=MONTH(S1570), YEAR(F1570)=YEAR(S1570))</f>
        <v/>
      </c>
      <c r="Q1570" s="521">
        <f>U1570="L001-901905215"</f>
        <v/>
      </c>
      <c r="R1570" s="556">
        <f>G1570-W1570</f>
        <v/>
      </c>
      <c r="S1570" s="521" t="n"/>
      <c r="T1570" s="522" t="n"/>
      <c r="U1570" s="522" t="n"/>
      <c r="V1570" s="522" t="n"/>
      <c r="W1570" s="521" t="n"/>
    </row>
    <row r="1571">
      <c r="A1571" s="521" t="n">
        <v>1563</v>
      </c>
      <c r="B1571" s="522" t="inlineStr">
        <is>
          <t>Clearance and Trucking Fee</t>
        </is>
      </c>
      <c r="C1571" s="522" t="inlineStr">
        <is>
          <t>56ប៊ី-លីង សឹបផ្លាយ ឆេន មេនេចម៉ិន ឯ.ក</t>
        </is>
      </c>
      <c r="D1571" s="522" t="inlineStr">
        <is>
          <t>K004-902004795</t>
        </is>
      </c>
      <c r="E1571" s="521" t="inlineStr">
        <is>
          <t>TI2023-0212</t>
        </is>
      </c>
      <c r="F1571" s="523" t="n">
        <v>44998</v>
      </c>
      <c r="G1571" s="556" t="n">
        <v>374533</v>
      </c>
      <c r="I1571" s="521">
        <f>G1571</f>
        <v/>
      </c>
      <c r="K1571" s="521">
        <f>I1571-G1571</f>
        <v/>
      </c>
      <c r="M1571" s="522" t="inlineStr">
        <is>
          <t>TI20230212</t>
        </is>
      </c>
      <c r="N1571" s="522" t="inlineStr">
        <is>
          <t>TI20230212</t>
        </is>
      </c>
      <c r="O1571" s="521">
        <f>M1571=N1571</f>
        <v/>
      </c>
      <c r="P1571" s="521">
        <f>AND(MONTH(F1571)=MONTH(S1571), YEAR(F1571)=YEAR(S1571))</f>
        <v/>
      </c>
      <c r="Q1571" s="521">
        <f>U1571="L001-901905215"</f>
        <v/>
      </c>
      <c r="R1571" s="556">
        <f>G1571-W1571</f>
        <v/>
      </c>
      <c r="S1571" s="523" t="n">
        <v>44998</v>
      </c>
      <c r="T1571" s="522" t="inlineStr">
        <is>
          <t>TI2023-0212</t>
        </is>
      </c>
      <c r="U1571" s="522" t="inlineStr">
        <is>
          <t>L001-901905215</t>
        </is>
      </c>
      <c r="V1571" s="522" t="inlineStr">
        <is>
          <t>វីអ៊ីស៊ិន (ខេមបូឌា) អ៊ិនដាសស្ទ្រី ឯ.ក</t>
        </is>
      </c>
      <c r="W1571" s="556" t="n">
        <v>374533</v>
      </c>
    </row>
    <row r="1572">
      <c r="A1572" s="521" t="n">
        <v>1564</v>
      </c>
      <c r="B1572" s="522" t="inlineStr">
        <is>
          <t>LIFT-OFF Charges</t>
        </is>
      </c>
      <c r="C1572" s="522" t="inlineStr">
        <is>
          <t>កំពង់ផែស្វយ័តភ្នំពេញ "ក.ស.ភ"</t>
        </is>
      </c>
      <c r="D1572" s="522" t="inlineStr">
        <is>
          <t>L001-100044999</t>
        </is>
      </c>
      <c r="E1572" s="521" t="inlineStr">
        <is>
          <t>INV20230312999</t>
        </is>
      </c>
      <c r="F1572" s="523" t="n">
        <v>44998</v>
      </c>
      <c r="G1572" s="556" t="n">
        <v>58306</v>
      </c>
      <c r="I1572" s="521">
        <f>G1572</f>
        <v/>
      </c>
      <c r="K1572" s="521">
        <f>I1572-G1572</f>
        <v/>
      </c>
      <c r="M1572" s="522" t="inlineStr">
        <is>
          <t>INV20230312999</t>
        </is>
      </c>
      <c r="N1572" s="522" t="inlineStr"/>
      <c r="O1572" s="521">
        <f>M1572=N1572</f>
        <v/>
      </c>
      <c r="P1572" s="521">
        <f>AND(MONTH(F1572)=MONTH(S1572), YEAR(F1572)=YEAR(S1572))</f>
        <v/>
      </c>
      <c r="Q1572" s="521">
        <f>U1572="L001-901905215"</f>
        <v/>
      </c>
      <c r="R1572" s="556">
        <f>G1572-W1572</f>
        <v/>
      </c>
      <c r="S1572" s="521" t="n"/>
      <c r="T1572" s="522" t="n"/>
      <c r="U1572" s="522" t="n"/>
      <c r="V1572" s="522" t="n"/>
      <c r="W1572" s="521" t="n"/>
    </row>
    <row r="1573">
      <c r="A1573" s="521" t="n">
        <v>1565</v>
      </c>
      <c r="B1573" s="522" t="inlineStr">
        <is>
          <t>Clearance and Trucking Fee</t>
        </is>
      </c>
      <c r="C1573" s="522" t="inlineStr">
        <is>
          <t>56ប៊ី-លីង សឹបផ្លាយ ឆេន មេនេចម៉ិន ឯ.ក</t>
        </is>
      </c>
      <c r="D1573" s="522" t="inlineStr">
        <is>
          <t>K004-902004795</t>
        </is>
      </c>
      <c r="E1573" s="521" t="inlineStr">
        <is>
          <t>TI2023-0185</t>
        </is>
      </c>
      <c r="F1573" s="523" t="n">
        <v>44992</v>
      </c>
      <c r="G1573" s="556" t="n">
        <v>481950</v>
      </c>
      <c r="I1573" s="521">
        <f>G1573</f>
        <v/>
      </c>
      <c r="K1573" s="521">
        <f>I1573-G1573</f>
        <v/>
      </c>
      <c r="M1573" s="522" t="inlineStr">
        <is>
          <t>TI20230185</t>
        </is>
      </c>
      <c r="N1573" s="522" t="inlineStr">
        <is>
          <t>TI20230185</t>
        </is>
      </c>
      <c r="O1573" s="521">
        <f>M1573=N1573</f>
        <v/>
      </c>
      <c r="P1573" s="521">
        <f>AND(MONTH(F1573)=MONTH(S1573), YEAR(F1573)=YEAR(S1573))</f>
        <v/>
      </c>
      <c r="Q1573" s="521">
        <f>U1573="L001-901905215"</f>
        <v/>
      </c>
      <c r="R1573" s="556">
        <f>G1573-W1573</f>
        <v/>
      </c>
      <c r="S1573" s="523" t="n">
        <v>44992</v>
      </c>
      <c r="T1573" s="522" t="inlineStr">
        <is>
          <t>TI2023-0185</t>
        </is>
      </c>
      <c r="U1573" s="522" t="inlineStr">
        <is>
          <t>L001-901905215</t>
        </is>
      </c>
      <c r="V1573" s="522" t="inlineStr">
        <is>
          <t>វីអ៊ីស៊ិន (ខេមបូឌា) អ៊ិនដាសស្ទ្រី ឯ.ក</t>
        </is>
      </c>
      <c r="W1573" s="556" t="n">
        <v>481950</v>
      </c>
    </row>
    <row r="1574">
      <c r="A1574" s="521" t="n">
        <v>1566</v>
      </c>
      <c r="B1574" s="522" t="inlineStr">
        <is>
          <t>LIFT-OFF Charges</t>
        </is>
      </c>
      <c r="C1574" s="522" t="inlineStr">
        <is>
          <t>កំពង់ផែស្វយ័តភ្នំពេញ "ក.ស.ភ"</t>
        </is>
      </c>
      <c r="D1574" s="522" t="inlineStr">
        <is>
          <t>L001-100044999</t>
        </is>
      </c>
      <c r="E1574" s="521" t="inlineStr">
        <is>
          <t>INV20230312998</t>
        </is>
      </c>
      <c r="F1574" s="523" t="n">
        <v>44998</v>
      </c>
      <c r="G1574" s="556" t="n">
        <v>58306</v>
      </c>
      <c r="I1574" s="521">
        <f>G1574</f>
        <v/>
      </c>
      <c r="K1574" s="521">
        <f>I1574-G1574</f>
        <v/>
      </c>
      <c r="M1574" s="522" t="inlineStr">
        <is>
          <t>INV20230312998</t>
        </is>
      </c>
      <c r="N1574" s="522" t="inlineStr"/>
      <c r="O1574" s="521">
        <f>M1574=N1574</f>
        <v/>
      </c>
      <c r="P1574" s="521">
        <f>AND(MONTH(F1574)=MONTH(S1574), YEAR(F1574)=YEAR(S1574))</f>
        <v/>
      </c>
      <c r="Q1574" s="521">
        <f>U1574="L001-901905215"</f>
        <v/>
      </c>
      <c r="R1574" s="556">
        <f>G1574-W1574</f>
        <v/>
      </c>
      <c r="S1574" s="521" t="n"/>
      <c r="T1574" s="522" t="n"/>
      <c r="U1574" s="522" t="n"/>
      <c r="V1574" s="522" t="n"/>
      <c r="W1574" s="521" t="n"/>
    </row>
    <row r="1575">
      <c r="A1575" s="521" t="n">
        <v>1567</v>
      </c>
      <c r="B1575" s="522" t="inlineStr">
        <is>
          <t>Clearance and Trucking Fee</t>
        </is>
      </c>
      <c r="C1575" s="522" t="inlineStr">
        <is>
          <t>56ប៊ី-លីង សឹបផ្លាយ ឆេន មេនេចម៉ិន ឯ.ក</t>
        </is>
      </c>
      <c r="D1575" s="522" t="inlineStr">
        <is>
          <t>K004-902004795</t>
        </is>
      </c>
      <c r="E1575" s="521" t="inlineStr">
        <is>
          <t>TI2023-0184</t>
        </is>
      </c>
      <c r="F1575" s="523" t="n">
        <v>44992</v>
      </c>
      <c r="G1575" s="556" t="n">
        <v>481950</v>
      </c>
      <c r="I1575" s="521">
        <f>G1575</f>
        <v/>
      </c>
      <c r="K1575" s="521">
        <f>I1575-G1575</f>
        <v/>
      </c>
      <c r="M1575" s="522" t="inlineStr">
        <is>
          <t>TI20230184</t>
        </is>
      </c>
      <c r="N1575" s="522" t="inlineStr">
        <is>
          <t>TI20230184</t>
        </is>
      </c>
      <c r="O1575" s="521">
        <f>M1575=N1575</f>
        <v/>
      </c>
      <c r="P1575" s="521">
        <f>AND(MONTH(F1575)=MONTH(S1575), YEAR(F1575)=YEAR(S1575))</f>
        <v/>
      </c>
      <c r="Q1575" s="521">
        <f>U1575="L001-901905215"</f>
        <v/>
      </c>
      <c r="R1575" s="556">
        <f>G1575-W1575</f>
        <v/>
      </c>
      <c r="S1575" s="523" t="n">
        <v>44992</v>
      </c>
      <c r="T1575" s="522" t="inlineStr">
        <is>
          <t>TI2023-0184</t>
        </is>
      </c>
      <c r="U1575" s="522" t="inlineStr">
        <is>
          <t>L001-901905215</t>
        </is>
      </c>
      <c r="V1575" s="522" t="inlineStr">
        <is>
          <t>វីអ៊ីស៊ិន (ខេមបូឌា) អ៊ិនដាសស្ទ្រី ឯ.ក</t>
        </is>
      </c>
      <c r="W1575" s="556" t="n">
        <v>481950</v>
      </c>
    </row>
    <row r="1576">
      <c r="A1576" s="521" t="n">
        <v>1568</v>
      </c>
      <c r="B1576" s="522" t="inlineStr">
        <is>
          <t>Lift off</t>
        </is>
      </c>
      <c r="C1576" s="522" t="inlineStr">
        <is>
          <t>កំពង់ផែស្វយ័តក្រុងព្រះសីហនុ</t>
        </is>
      </c>
      <c r="D1576" s="522" t="inlineStr">
        <is>
          <t>L001-100044638</t>
        </is>
      </c>
      <c r="E1576" s="521" t="inlineStr">
        <is>
          <t>029961</t>
        </is>
      </c>
      <c r="F1576" s="523" t="n">
        <v>44988</v>
      </c>
      <c r="G1576" s="556" t="n">
        <v>20706</v>
      </c>
      <c r="I1576" s="521">
        <f>G1576</f>
        <v/>
      </c>
      <c r="K1576" s="521">
        <f>I1576-G1576</f>
        <v/>
      </c>
      <c r="M1576" s="522" t="inlineStr">
        <is>
          <t>029961</t>
        </is>
      </c>
      <c r="N1576" s="522" t="inlineStr"/>
      <c r="O1576" s="521">
        <f>M1576=N1576</f>
        <v/>
      </c>
      <c r="P1576" s="521">
        <f>AND(MONTH(F1576)=MONTH(S1576), YEAR(F1576)=YEAR(S1576))</f>
        <v/>
      </c>
      <c r="Q1576" s="521">
        <f>U1576="L001-901905215"</f>
        <v/>
      </c>
      <c r="R1576" s="556">
        <f>G1576-W1576</f>
        <v/>
      </c>
      <c r="S1576" s="521" t="n"/>
      <c r="T1576" s="522" t="n"/>
      <c r="U1576" s="522" t="n"/>
      <c r="V1576" s="522" t="n"/>
      <c r="W1576" s="521" t="n"/>
    </row>
    <row r="1577">
      <c r="A1577" s="521" t="n">
        <v>1569</v>
      </c>
      <c r="B1577" s="522" t="inlineStr">
        <is>
          <t>Clearance and Trucking Fee</t>
        </is>
      </c>
      <c r="C1577" s="522" t="inlineStr">
        <is>
          <t>56ប៊ី-លីង សឹបផ្លាយ ឆេន មេនេចម៉ិន ឯ.ក</t>
        </is>
      </c>
      <c r="D1577" s="522" t="inlineStr">
        <is>
          <t>K004-902004795</t>
        </is>
      </c>
      <c r="E1577" s="521" t="inlineStr">
        <is>
          <t>TI2023-0183</t>
        </is>
      </c>
      <c r="F1577" s="523" t="n">
        <v>44992</v>
      </c>
      <c r="G1577" s="556" t="n">
        <v>297675</v>
      </c>
      <c r="I1577" s="521">
        <f>G1577</f>
        <v/>
      </c>
      <c r="K1577" s="521">
        <f>I1577-G1577</f>
        <v/>
      </c>
      <c r="M1577" s="522" t="inlineStr">
        <is>
          <t>TI20230183</t>
        </is>
      </c>
      <c r="N1577" s="522" t="inlineStr">
        <is>
          <t>TI20230183</t>
        </is>
      </c>
      <c r="O1577" s="521">
        <f>M1577=N1577</f>
        <v/>
      </c>
      <c r="P1577" s="521">
        <f>AND(MONTH(F1577)=MONTH(S1577), YEAR(F1577)=YEAR(S1577))</f>
        <v/>
      </c>
      <c r="Q1577" s="521">
        <f>U1577="L001-901905215"</f>
        <v/>
      </c>
      <c r="R1577" s="556">
        <f>G1577-W1577</f>
        <v/>
      </c>
      <c r="S1577" s="523" t="n">
        <v>44992</v>
      </c>
      <c r="T1577" s="522" t="inlineStr">
        <is>
          <t>TI2023-0183</t>
        </is>
      </c>
      <c r="U1577" s="522" t="inlineStr">
        <is>
          <t>L001-901905215</t>
        </is>
      </c>
      <c r="V1577" s="522" t="inlineStr">
        <is>
          <t>វីអ៊ីស៊ិន (ខេមបូឌា) អ៊ិនដាសស្ទ្រី ឯ.ក</t>
        </is>
      </c>
      <c r="W1577" s="556" t="n">
        <v>297675</v>
      </c>
    </row>
    <row r="1578">
      <c r="A1578" s="521" t="n">
        <v>1570</v>
      </c>
      <c r="B1578" s="522" t="inlineStr">
        <is>
          <t>Clearance and Trucking Fee</t>
        </is>
      </c>
      <c r="C1578" s="522" t="inlineStr">
        <is>
          <t>56ប៊ី-លីង សឹបផ្លាយ ឆេន មេនេចម៉ិន ឯ.ក</t>
        </is>
      </c>
      <c r="D1578" s="522" t="inlineStr">
        <is>
          <t>K004-902004795</t>
        </is>
      </c>
      <c r="E1578" s="521" t="inlineStr">
        <is>
          <t>TI2023-0182</t>
        </is>
      </c>
      <c r="F1578" s="523" t="n">
        <v>44992</v>
      </c>
      <c r="G1578" s="556" t="n">
        <v>170100</v>
      </c>
      <c r="I1578" s="521">
        <f>G1578</f>
        <v/>
      </c>
      <c r="K1578" s="521">
        <f>I1578-G1578</f>
        <v/>
      </c>
      <c r="M1578" s="522" t="inlineStr">
        <is>
          <t>TI20230182</t>
        </is>
      </c>
      <c r="N1578" s="522" t="inlineStr">
        <is>
          <t>TI20230182</t>
        </is>
      </c>
      <c r="O1578" s="521">
        <f>M1578=N1578</f>
        <v/>
      </c>
      <c r="P1578" s="521">
        <f>AND(MONTH(F1578)=MONTH(S1578), YEAR(F1578)=YEAR(S1578))</f>
        <v/>
      </c>
      <c r="Q1578" s="521">
        <f>U1578="L001-901905215"</f>
        <v/>
      </c>
      <c r="R1578" s="556">
        <f>G1578-W1578</f>
        <v/>
      </c>
      <c r="S1578" s="523" t="n">
        <v>44992</v>
      </c>
      <c r="T1578" s="522" t="inlineStr">
        <is>
          <t>TI2023-0182</t>
        </is>
      </c>
      <c r="U1578" s="522" t="inlineStr">
        <is>
          <t>L001-901905215</t>
        </is>
      </c>
      <c r="V1578" s="522" t="inlineStr">
        <is>
          <t>វីអ៊ីស៊ិន (ខេមបូឌា) អ៊ិនដាសស្ទ្រី ឯ.ក</t>
        </is>
      </c>
      <c r="W1578" s="556" t="n">
        <v>170100</v>
      </c>
    </row>
    <row r="1579">
      <c r="A1579" s="521" t="n">
        <v>1571</v>
      </c>
      <c r="B1579" s="522" t="inlineStr">
        <is>
          <t>Clearance and Trucking Fee</t>
        </is>
      </c>
      <c r="C1579" s="522" t="inlineStr">
        <is>
          <t>56ប៊ី-លីង សឹបផ្លាយ ឆេន មេនេចម៉ិន ឯ.ក</t>
        </is>
      </c>
      <c r="D1579" s="522" t="inlineStr">
        <is>
          <t>K004-902004795</t>
        </is>
      </c>
      <c r="E1579" s="521" t="inlineStr">
        <is>
          <t>TI2023-0181</t>
        </is>
      </c>
      <c r="F1579" s="523" t="n">
        <v>44992</v>
      </c>
      <c r="G1579" s="556" t="n">
        <v>208575</v>
      </c>
      <c r="I1579" s="521">
        <f>G1579</f>
        <v/>
      </c>
      <c r="K1579" s="521">
        <f>I1579-G1579</f>
        <v/>
      </c>
      <c r="M1579" s="522" t="inlineStr">
        <is>
          <t>TI20230181</t>
        </is>
      </c>
      <c r="N1579" s="522" t="inlineStr">
        <is>
          <t>TI20230181</t>
        </is>
      </c>
      <c r="O1579" s="521">
        <f>M1579=N1579</f>
        <v/>
      </c>
      <c r="P1579" s="521">
        <f>AND(MONTH(F1579)=MONTH(S1579), YEAR(F1579)=YEAR(S1579))</f>
        <v/>
      </c>
      <c r="Q1579" s="521">
        <f>U1579="L001-901905215"</f>
        <v/>
      </c>
      <c r="R1579" s="556">
        <f>G1579-W1579</f>
        <v/>
      </c>
      <c r="S1579" s="523" t="n">
        <v>44992</v>
      </c>
      <c r="T1579" s="522" t="inlineStr">
        <is>
          <t>TI2023-0181</t>
        </is>
      </c>
      <c r="U1579" s="522" t="inlineStr">
        <is>
          <t>L001-901905215</t>
        </is>
      </c>
      <c r="V1579" s="522" t="inlineStr">
        <is>
          <t>វីអ៊ីស៊ិន (ខេមបូឌា) អ៊ិនដាសស្ទ្រី ឯ.ក</t>
        </is>
      </c>
      <c r="W1579" s="556" t="n">
        <v>208575</v>
      </c>
    </row>
    <row r="1580">
      <c r="A1580" s="521" t="n">
        <v>1572</v>
      </c>
      <c r="B1580" s="522" t="inlineStr">
        <is>
          <t>Clearance and Trucking Fee</t>
        </is>
      </c>
      <c r="C1580" s="522" t="inlineStr">
        <is>
          <t>56ប៊ី-លីង សឹបផ្លាយ ឆេន មេនេចម៉ិន ឯ.ក</t>
        </is>
      </c>
      <c r="D1580" s="522" t="inlineStr">
        <is>
          <t>K004-902004795</t>
        </is>
      </c>
      <c r="E1580" s="521" t="inlineStr">
        <is>
          <t>TI2023-0180</t>
        </is>
      </c>
      <c r="F1580" s="523" t="n">
        <v>44992</v>
      </c>
      <c r="G1580" s="556" t="n">
        <v>170100</v>
      </c>
      <c r="I1580" s="521">
        <f>G1580</f>
        <v/>
      </c>
      <c r="K1580" s="521">
        <f>I1580-G1580</f>
        <v/>
      </c>
      <c r="M1580" s="522" t="inlineStr">
        <is>
          <t>TI20230180</t>
        </is>
      </c>
      <c r="N1580" s="522" t="inlineStr">
        <is>
          <t>TI20230180</t>
        </is>
      </c>
      <c r="O1580" s="521">
        <f>M1580=N1580</f>
        <v/>
      </c>
      <c r="P1580" s="521">
        <f>AND(MONTH(F1580)=MONTH(S1580), YEAR(F1580)=YEAR(S1580))</f>
        <v/>
      </c>
      <c r="Q1580" s="521">
        <f>U1580="L001-901905215"</f>
        <v/>
      </c>
      <c r="R1580" s="556">
        <f>G1580-W1580</f>
        <v/>
      </c>
      <c r="S1580" s="523" t="n">
        <v>44992</v>
      </c>
      <c r="T1580" s="522" t="inlineStr">
        <is>
          <t>TI2023-0180</t>
        </is>
      </c>
      <c r="U1580" s="522" t="inlineStr">
        <is>
          <t>L001-901905215</t>
        </is>
      </c>
      <c r="V1580" s="522" t="inlineStr">
        <is>
          <t>វីអ៊ីស៊ិន (ខេមបូឌា) អ៊ិនដាសស្ទ្រី ឯ.ក</t>
        </is>
      </c>
      <c r="W1580" s="556" t="n">
        <v>170100</v>
      </c>
    </row>
    <row r="1581">
      <c r="A1581" s="521" t="n">
        <v>1573</v>
      </c>
      <c r="B1581" s="522" t="inlineStr">
        <is>
          <t>Clearance and Trucking Fee</t>
        </is>
      </c>
      <c r="C1581" s="522" t="inlineStr">
        <is>
          <t>56ប៊ី-លីង សឹបផ្លាយ ឆេន មេនេចម៉ិន ឯ.ក</t>
        </is>
      </c>
      <c r="D1581" s="522" t="inlineStr">
        <is>
          <t>K004-902004795</t>
        </is>
      </c>
      <c r="E1581" s="521" t="inlineStr">
        <is>
          <t>TI2023-0179</t>
        </is>
      </c>
      <c r="F1581" s="523" t="n">
        <v>44992</v>
      </c>
      <c r="G1581" s="556" t="n">
        <v>208575</v>
      </c>
      <c r="I1581" s="521">
        <f>G1581</f>
        <v/>
      </c>
      <c r="K1581" s="521">
        <f>I1581-G1581</f>
        <v/>
      </c>
      <c r="M1581" s="522" t="inlineStr">
        <is>
          <t>TI20230179</t>
        </is>
      </c>
      <c r="N1581" s="522" t="inlineStr">
        <is>
          <t>TI20230179</t>
        </is>
      </c>
      <c r="O1581" s="521">
        <f>M1581=N1581</f>
        <v/>
      </c>
      <c r="P1581" s="521">
        <f>AND(MONTH(F1581)=MONTH(S1581), YEAR(F1581)=YEAR(S1581))</f>
        <v/>
      </c>
      <c r="Q1581" s="521">
        <f>U1581="L001-901905215"</f>
        <v/>
      </c>
      <c r="R1581" s="556">
        <f>G1581-W1581</f>
        <v/>
      </c>
      <c r="S1581" s="523" t="n">
        <v>44992</v>
      </c>
      <c r="T1581" s="522" t="inlineStr">
        <is>
          <t>TI2023-0179</t>
        </is>
      </c>
      <c r="U1581" s="522" t="inlineStr">
        <is>
          <t>L001-901905215</t>
        </is>
      </c>
      <c r="V1581" s="522" t="inlineStr">
        <is>
          <t>វីអ៊ីស៊ិន (ខេមបូឌា) អ៊ិនដាសស្ទ្រី ឯ.ក</t>
        </is>
      </c>
      <c r="W1581" s="556" t="n">
        <v>208575</v>
      </c>
    </row>
    <row r="1582">
      <c r="A1582" s="521" t="n">
        <v>1574</v>
      </c>
      <c r="B1582" s="522" t="inlineStr">
        <is>
          <t>Express Fee</t>
        </is>
      </c>
      <c r="C1582" s="522" t="inlineStr">
        <is>
          <t>ឌី អេច អិល អិចប្រេស (ខេមបូឌា)</t>
        </is>
      </c>
      <c r="D1582" s="522" t="inlineStr">
        <is>
          <t>L001-100045197</t>
        </is>
      </c>
      <c r="E1582" s="521" t="inlineStr">
        <is>
          <t>PNHR000454500</t>
        </is>
      </c>
      <c r="F1582" s="523" t="n">
        <v>45008</v>
      </c>
      <c r="G1582" s="556" t="n">
        <v>6713</v>
      </c>
      <c r="I1582" s="521">
        <f>G1582</f>
        <v/>
      </c>
      <c r="K1582" s="521">
        <f>I1582-G1582</f>
        <v/>
      </c>
      <c r="M1582" s="522" t="inlineStr">
        <is>
          <t>PNHR000454500</t>
        </is>
      </c>
      <c r="N1582" s="522" t="inlineStr">
        <is>
          <t>PNHR000454500</t>
        </is>
      </c>
      <c r="O1582" s="521">
        <f>M1582=N1582</f>
        <v/>
      </c>
      <c r="P1582" s="521">
        <f>AND(MONTH(F1582)=MONTH(S1582), YEAR(F1582)=YEAR(S1582))</f>
        <v/>
      </c>
      <c r="Q1582" s="521">
        <f>U1582="L001-901905215"</f>
        <v/>
      </c>
      <c r="R1582" s="556">
        <f>G1582-W1582</f>
        <v/>
      </c>
      <c r="S1582" s="523" t="n">
        <v>45008</v>
      </c>
      <c r="T1582" s="522" t="inlineStr">
        <is>
          <t>PNHR000454500</t>
        </is>
      </c>
      <c r="U1582" s="522" t="inlineStr">
        <is>
          <t>L001-901905215</t>
        </is>
      </c>
      <c r="V1582" s="522" t="inlineStr">
        <is>
          <t>វីអ៊ីស៊ិន (ខេមបូឌា) អ៊ិនដាសស្ទ្រី ឯ.ក</t>
        </is>
      </c>
      <c r="W1582" s="556" t="n">
        <v>6712</v>
      </c>
    </row>
    <row r="1583">
      <c r="A1583" s="521" t="n">
        <v>1575</v>
      </c>
      <c r="B1583" s="522" t="inlineStr">
        <is>
          <t>Express Fee</t>
        </is>
      </c>
      <c r="C1583" s="522" t="inlineStr">
        <is>
          <t>ឌី អេច អិល អិចប្រេស (ខេមបូឌា)</t>
        </is>
      </c>
      <c r="D1583" s="522" t="inlineStr">
        <is>
          <t>L001-100045197</t>
        </is>
      </c>
      <c r="E1583" s="521" t="inlineStr">
        <is>
          <t>PNHR000453778</t>
        </is>
      </c>
      <c r="F1583" s="523" t="n">
        <v>45001</v>
      </c>
      <c r="G1583" s="556" t="n">
        <v>8736</v>
      </c>
      <c r="I1583" s="521">
        <f>G1583</f>
        <v/>
      </c>
      <c r="K1583" s="521">
        <f>I1583-G1583</f>
        <v/>
      </c>
      <c r="M1583" s="522" t="inlineStr">
        <is>
          <t>PNHR000453778</t>
        </is>
      </c>
      <c r="N1583" s="522" t="inlineStr">
        <is>
          <t>PNHR000453778</t>
        </is>
      </c>
      <c r="O1583" s="521">
        <f>M1583=N1583</f>
        <v/>
      </c>
      <c r="P1583" s="521">
        <f>AND(MONTH(F1583)=MONTH(S1583), YEAR(F1583)=YEAR(S1583))</f>
        <v/>
      </c>
      <c r="Q1583" s="521">
        <f>U1583="L001-901905215"</f>
        <v/>
      </c>
      <c r="R1583" s="556">
        <f>G1583-W1583</f>
        <v/>
      </c>
      <c r="S1583" s="523" t="n">
        <v>45001</v>
      </c>
      <c r="T1583" s="522" t="inlineStr">
        <is>
          <t>PNHR000453778</t>
        </is>
      </c>
      <c r="U1583" s="522" t="inlineStr">
        <is>
          <t>L001-901905215</t>
        </is>
      </c>
      <c r="V1583" s="522" t="inlineStr">
        <is>
          <t>វីអ៊ីស៊ិន (ខេមបូឌា) អ៊ិនដាសស្ទ្រី ឯ.ក</t>
        </is>
      </c>
      <c r="W1583" s="556" t="n">
        <v>8738</v>
      </c>
    </row>
    <row r="1584">
      <c r="A1584" s="521" t="n">
        <v>1576</v>
      </c>
      <c r="B1584" s="522" t="inlineStr">
        <is>
          <t>Express Fee</t>
        </is>
      </c>
      <c r="C1584" s="522" t="inlineStr">
        <is>
          <t>ឌី អេច អិល អិចប្រេស (ខេមបូឌា)</t>
        </is>
      </c>
      <c r="D1584" s="522" t="inlineStr">
        <is>
          <t>L001-100045197</t>
        </is>
      </c>
      <c r="E1584" s="521" t="inlineStr">
        <is>
          <t>PNHR000453065</t>
        </is>
      </c>
      <c r="F1584" s="523" t="n">
        <v>44994</v>
      </c>
      <c r="G1584" s="556" t="n">
        <v>14107</v>
      </c>
      <c r="I1584" s="521">
        <f>G1584</f>
        <v/>
      </c>
      <c r="K1584" s="521">
        <f>I1584-G1584</f>
        <v/>
      </c>
      <c r="M1584" s="522" t="inlineStr">
        <is>
          <t>PNHR000453065</t>
        </is>
      </c>
      <c r="N1584" s="522" t="inlineStr"/>
      <c r="O1584" s="521">
        <f>M1584=N1584</f>
        <v/>
      </c>
      <c r="P1584" s="521">
        <f>AND(MONTH(F1584)=MONTH(S1584), YEAR(F1584)=YEAR(S1584))</f>
        <v/>
      </c>
      <c r="Q1584" s="521">
        <f>U1584="L001-901905215"</f>
        <v/>
      </c>
      <c r="R1584" s="556">
        <f>G1584-W1584</f>
        <v/>
      </c>
      <c r="S1584" s="521" t="n"/>
      <c r="T1584" s="522" t="n"/>
      <c r="U1584" s="522" t="n"/>
      <c r="V1584" s="522" t="n"/>
      <c r="W1584" s="521" t="n"/>
    </row>
    <row r="1585">
      <c r="A1585" s="521" t="n">
        <v>1577</v>
      </c>
      <c r="B1585" s="522" t="inlineStr">
        <is>
          <t>Express Fee</t>
        </is>
      </c>
      <c r="C1585" s="522" t="inlineStr">
        <is>
          <t>ឌី អេច អិល អិចប្រេស (ខេមបូឌា)</t>
        </is>
      </c>
      <c r="D1585" s="522" t="inlineStr">
        <is>
          <t>L001-100045197</t>
        </is>
      </c>
      <c r="E1585" s="521" t="inlineStr">
        <is>
          <t>PNHR000452341</t>
        </is>
      </c>
      <c r="F1585" s="523" t="n">
        <v>44986</v>
      </c>
      <c r="G1585" s="556" t="n">
        <v>39977</v>
      </c>
      <c r="I1585" s="521">
        <f>G1585</f>
        <v/>
      </c>
      <c r="K1585" s="521">
        <f>I1585-G1585</f>
        <v/>
      </c>
      <c r="M1585" s="522" t="inlineStr">
        <is>
          <t>PNHR000452341</t>
        </is>
      </c>
      <c r="N1585" s="522" t="inlineStr"/>
      <c r="O1585" s="521">
        <f>M1585=N1585</f>
        <v/>
      </c>
      <c r="P1585" s="521">
        <f>AND(MONTH(F1585)=MONTH(S1585), YEAR(F1585)=YEAR(S1585))</f>
        <v/>
      </c>
      <c r="Q1585" s="521">
        <f>U1585="L001-901905215"</f>
        <v/>
      </c>
      <c r="R1585" s="556">
        <f>G1585-W1585</f>
        <v/>
      </c>
      <c r="S1585" s="521" t="n"/>
      <c r="T1585" s="522" t="n"/>
      <c r="U1585" s="522" t="n"/>
      <c r="V1585" s="522" t="n"/>
      <c r="W1585" s="521" t="n"/>
    </row>
    <row r="1586">
      <c r="A1586" s="521" t="n">
        <v>1578</v>
      </c>
      <c r="B1586" s="522" t="inlineStr">
        <is>
          <t>Express Fee</t>
        </is>
      </c>
      <c r="C1586" s="522" t="inlineStr">
        <is>
          <t>ឌី អេច អិល អិចប្រេស (ខេមបូឌា)</t>
        </is>
      </c>
      <c r="D1586" s="522" t="inlineStr">
        <is>
          <t>L001-100045197</t>
        </is>
      </c>
      <c r="E1586" s="521" t="inlineStr">
        <is>
          <t>PNHIR00156769</t>
        </is>
      </c>
      <c r="F1586" s="523" t="n">
        <v>44994</v>
      </c>
      <c r="G1586" s="556" t="n">
        <v>8096</v>
      </c>
      <c r="I1586" s="521">
        <f>G1586</f>
        <v/>
      </c>
      <c r="K1586" s="521">
        <f>I1586-G1586</f>
        <v/>
      </c>
      <c r="M1586" s="522" t="inlineStr">
        <is>
          <t>PNHIR00156769</t>
        </is>
      </c>
      <c r="N1586" s="522" t="inlineStr">
        <is>
          <t>PNHIR00156769</t>
        </is>
      </c>
      <c r="O1586" s="521">
        <f>M1586=N1586</f>
        <v/>
      </c>
      <c r="P1586" s="521">
        <f>AND(MONTH(F1586)=MONTH(S1586), YEAR(F1586)=YEAR(S1586))</f>
        <v/>
      </c>
      <c r="Q1586" s="521">
        <f>U1586="L001-901905215"</f>
        <v/>
      </c>
      <c r="R1586" s="556">
        <f>G1586-W1586</f>
        <v/>
      </c>
      <c r="S1586" s="523" t="n">
        <v>44994</v>
      </c>
      <c r="T1586" s="522" t="inlineStr">
        <is>
          <t>PNHIR00156769</t>
        </is>
      </c>
      <c r="U1586" s="522" t="inlineStr">
        <is>
          <t>L001-901905215</t>
        </is>
      </c>
      <c r="V1586" s="522" t="inlineStr">
        <is>
          <t>វីអ៊ីស៊ិន (ខេមបូឌា) អ៊ិនដាសស្ទ្រី ឯ.ក</t>
        </is>
      </c>
      <c r="W1586" s="556" t="n">
        <v>8096</v>
      </c>
    </row>
    <row r="1587">
      <c r="A1587" s="521" t="n">
        <v>1579</v>
      </c>
      <c r="B1587" s="522" t="inlineStr">
        <is>
          <t>Carbon Dioxide</t>
        </is>
      </c>
      <c r="C1587" s="522" t="inlineStr">
        <is>
          <t>ធីវីសីុ ហ្គាស សឹលូសិន</t>
        </is>
      </c>
      <c r="D1587" s="522" t="inlineStr">
        <is>
          <t>K005-901501105</t>
        </is>
      </c>
      <c r="E1587" s="521" t="inlineStr">
        <is>
          <t>2023-0625</t>
        </is>
      </c>
      <c r="F1587" s="523" t="n">
        <v>45016</v>
      </c>
      <c r="G1587" s="556" t="n">
        <v>827016</v>
      </c>
      <c r="I1587" s="521">
        <f>G1587</f>
        <v/>
      </c>
      <c r="K1587" s="521">
        <f>I1587-G1587</f>
        <v/>
      </c>
      <c r="M1587" s="522" t="inlineStr">
        <is>
          <t>20230625</t>
        </is>
      </c>
      <c r="N1587" s="522" t="inlineStr">
        <is>
          <t>20230625</t>
        </is>
      </c>
      <c r="O1587" s="521">
        <f>M1587=N1587</f>
        <v/>
      </c>
      <c r="P1587" s="521">
        <f>AND(MONTH(F1587)=MONTH(S1587), YEAR(F1587)=YEAR(S1587))</f>
        <v/>
      </c>
      <c r="Q1587" s="521">
        <f>U1587="L001-901905215"</f>
        <v/>
      </c>
      <c r="R1587" s="556">
        <f>G1587-W1587</f>
        <v/>
      </c>
      <c r="S1587" s="523" t="n">
        <v>45016</v>
      </c>
      <c r="T1587" s="522" t="inlineStr">
        <is>
          <t>2023-0625</t>
        </is>
      </c>
      <c r="U1587" s="522" t="inlineStr">
        <is>
          <t>L001-901905215</t>
        </is>
      </c>
      <c r="V1587" s="522" t="inlineStr">
        <is>
          <t>វីអ៊ីស៊ិន (ខេមបូឌា) អ៊ិនដាសស្ទ្រី ឯ.ក</t>
        </is>
      </c>
      <c r="W1587" s="556" t="n">
        <v>827016</v>
      </c>
    </row>
    <row r="1588">
      <c r="A1588" s="521" t="n">
        <v>1580</v>
      </c>
      <c r="B1588" s="522" t="inlineStr">
        <is>
          <t>Building Rental for Mar 2023</t>
        </is>
      </c>
      <c r="C1588" s="522" t="inlineStr">
        <is>
          <t>មេហ្គា លេបឹល &amp; ស្ទីកឃើរ (ខេមបូឌា)</t>
        </is>
      </c>
      <c r="D1588" s="522" t="inlineStr">
        <is>
          <t>L001-100185983</t>
        </is>
      </c>
      <c r="E1588" s="521" t="inlineStr">
        <is>
          <t>INV20230301</t>
        </is>
      </c>
      <c r="F1588" s="523" t="n">
        <v>44986</v>
      </c>
      <c r="G1588" s="556" t="n">
        <v>736663</v>
      </c>
      <c r="I1588" s="521">
        <f>G1588</f>
        <v/>
      </c>
      <c r="K1588" s="521">
        <f>I1588-G1588</f>
        <v/>
      </c>
      <c r="M1588" s="522" t="inlineStr">
        <is>
          <t>INV20230301</t>
        </is>
      </c>
      <c r="N1588" s="522" t="inlineStr">
        <is>
          <t>INV20230301</t>
        </is>
      </c>
      <c r="O1588" s="521">
        <f>M1588=N1588</f>
        <v/>
      </c>
      <c r="P1588" s="521">
        <f>AND(MONTH(F1588)=MONTH(S1588), YEAR(F1588)=YEAR(S1588))</f>
        <v/>
      </c>
      <c r="Q1588" s="521">
        <f>U1588="L001-901905215"</f>
        <v/>
      </c>
      <c r="R1588" s="556">
        <f>G1588-W1588</f>
        <v/>
      </c>
      <c r="S1588" s="523" t="n">
        <v>44986</v>
      </c>
      <c r="T1588" s="522" t="inlineStr">
        <is>
          <t>INV20230301</t>
        </is>
      </c>
      <c r="U1588" s="522" t="inlineStr">
        <is>
          <t>L001-901905215</t>
        </is>
      </c>
      <c r="V1588" s="522" t="inlineStr">
        <is>
          <t>វីអ៊ីស៊ិន (ខេមបូឌា) អ៊ិនដាសស្ទ្រី ឯ.ក</t>
        </is>
      </c>
      <c r="W1588" s="556" t="n">
        <v>736663</v>
      </c>
    </row>
    <row r="1589">
      <c r="A1589" s="521" t="n">
        <v>1581</v>
      </c>
      <c r="B1589" s="522" t="inlineStr">
        <is>
          <t>Infrastructure Maintenance fee for Mar 2023</t>
        </is>
      </c>
      <c r="C1589" s="522" t="inlineStr">
        <is>
          <t>ភ្នំពេញ អេសអ៊ីហ្សិត ភីអិលស៊ី</t>
        </is>
      </c>
      <c r="D1589" s="522" t="inlineStr">
        <is>
          <t>L001-100046592</t>
        </is>
      </c>
      <c r="E1589" s="521" t="inlineStr">
        <is>
          <t>2023-01274</t>
        </is>
      </c>
      <c r="F1589" s="523" t="n">
        <v>45003</v>
      </c>
      <c r="G1589" s="556" t="n">
        <v>164220</v>
      </c>
      <c r="I1589" s="521">
        <f>G1589</f>
        <v/>
      </c>
      <c r="K1589" s="521">
        <f>I1589-G1589</f>
        <v/>
      </c>
      <c r="M1589" s="522" t="inlineStr">
        <is>
          <t>202301274</t>
        </is>
      </c>
      <c r="N1589" s="522" t="inlineStr">
        <is>
          <t>202301274</t>
        </is>
      </c>
      <c r="O1589" s="521">
        <f>M1589=N1589</f>
        <v/>
      </c>
      <c r="P1589" s="521">
        <f>AND(MONTH(F1589)=MONTH(S1589), YEAR(F1589)=YEAR(S1589))</f>
        <v/>
      </c>
      <c r="Q1589" s="521">
        <f>U1589="L001-901905215"</f>
        <v/>
      </c>
      <c r="R1589" s="556">
        <f>G1589-W1589</f>
        <v/>
      </c>
      <c r="S1589" s="523" t="n">
        <v>45003</v>
      </c>
      <c r="T1589" s="522" t="inlineStr">
        <is>
          <t>2023-01274</t>
        </is>
      </c>
      <c r="U1589" s="522" t="inlineStr">
        <is>
          <t>L001-901905215</t>
        </is>
      </c>
      <c r="V1589" s="522" t="inlineStr">
        <is>
          <t>វីអ៊ីស៊ិន (ខេមបូឌា) អ៊ិនដាសស្ទ្រី ឯ.ក</t>
        </is>
      </c>
      <c r="W1589" s="556" t="n">
        <v>164220</v>
      </c>
    </row>
    <row r="1590">
      <c r="A1590" s="521" t="n">
        <v>1582</v>
      </c>
      <c r="B1590" s="522" t="inlineStr">
        <is>
          <t>Infrastructure Maintenance fee for Mar 2023</t>
        </is>
      </c>
      <c r="C1590" s="522" t="inlineStr">
        <is>
          <t>ភ្នំពេញ អេសអ៊ីហ្សិត ភីអិលស៊ី</t>
        </is>
      </c>
      <c r="D1590" s="522" t="inlineStr">
        <is>
          <t>L001-100046592</t>
        </is>
      </c>
      <c r="E1590" s="521" t="inlineStr">
        <is>
          <t>2023-01265</t>
        </is>
      </c>
      <c r="F1590" s="523" t="n">
        <v>45003</v>
      </c>
      <c r="G1590" s="556" t="n">
        <v>199946</v>
      </c>
      <c r="I1590" s="521">
        <f>G1590</f>
        <v/>
      </c>
      <c r="K1590" s="521">
        <f>I1590-G1590</f>
        <v/>
      </c>
      <c r="M1590" s="522" t="inlineStr">
        <is>
          <t>202301265</t>
        </is>
      </c>
      <c r="N1590" s="522" t="inlineStr">
        <is>
          <t>202301265</t>
        </is>
      </c>
      <c r="O1590" s="521">
        <f>M1590=N1590</f>
        <v/>
      </c>
      <c r="P1590" s="521">
        <f>AND(MONTH(F1590)=MONTH(S1590), YEAR(F1590)=YEAR(S1590))</f>
        <v/>
      </c>
      <c r="Q1590" s="521">
        <f>U1590="L001-901905215"</f>
        <v/>
      </c>
      <c r="R1590" s="556">
        <f>G1590-W1590</f>
        <v/>
      </c>
      <c r="S1590" s="523" t="n">
        <v>45003</v>
      </c>
      <c r="T1590" s="522" t="inlineStr">
        <is>
          <t>2023-01265</t>
        </is>
      </c>
      <c r="U1590" s="522" t="inlineStr">
        <is>
          <t>L001-901905215</t>
        </is>
      </c>
      <c r="V1590" s="522" t="inlineStr">
        <is>
          <t>វីអ៊ីស៊ិន (ខេមបូឌា) អ៊ិនដាសស្ទ្រី ឯ.ក</t>
        </is>
      </c>
      <c r="W1590" s="556" t="n">
        <v>199946</v>
      </c>
    </row>
    <row r="1591">
      <c r="A1591" s="521" t="n">
        <v>1583</v>
      </c>
      <c r="B1591" s="522" t="inlineStr">
        <is>
          <t>Customs Processing Fee</t>
        </is>
      </c>
      <c r="C1591" s="522" t="inlineStr">
        <is>
          <t>ត្រង់ស្ពីដ កាហ្កូ (កម្ពុជា)</t>
        </is>
      </c>
      <c r="D1591" s="522" t="inlineStr">
        <is>
          <t>L001-100045782</t>
        </is>
      </c>
      <c r="E1591" s="521" t="inlineStr">
        <is>
          <t>23-001191</t>
        </is>
      </c>
      <c r="F1591" s="523" t="n">
        <v>45005</v>
      </c>
      <c r="G1591" s="556" t="n">
        <v>643136</v>
      </c>
      <c r="I1591" s="521">
        <f>G1591</f>
        <v/>
      </c>
      <c r="K1591" s="521">
        <f>I1591-G1591</f>
        <v/>
      </c>
      <c r="M1591" s="522" t="inlineStr">
        <is>
          <t>23001191</t>
        </is>
      </c>
      <c r="N1591" s="522" t="inlineStr">
        <is>
          <t>23001191</t>
        </is>
      </c>
      <c r="O1591" s="521">
        <f>M1591=N1591</f>
        <v/>
      </c>
      <c r="P1591" s="521">
        <f>AND(MONTH(F1591)=MONTH(S1591), YEAR(F1591)=YEAR(S1591))</f>
        <v/>
      </c>
      <c r="Q1591" s="521">
        <f>U1591="L001-901905215"</f>
        <v/>
      </c>
      <c r="R1591" s="556">
        <f>G1591-W1591</f>
        <v/>
      </c>
      <c r="S1591" s="523" t="n">
        <v>45005</v>
      </c>
      <c r="T1591" s="522" t="inlineStr">
        <is>
          <t>23-001191</t>
        </is>
      </c>
      <c r="U1591" s="522" t="inlineStr">
        <is>
          <t>L001-901905215</t>
        </is>
      </c>
      <c r="V1591" s="522" t="inlineStr">
        <is>
          <t>វីអ៊ីស៊ិន (ខេមបូឌា) អ៊ិនដាសស្ទ្រី ឯ.ក</t>
        </is>
      </c>
      <c r="W1591" s="556" t="n">
        <v>643136</v>
      </c>
    </row>
    <row r="1592">
      <c r="A1592" s="521" t="n">
        <v>1584</v>
      </c>
      <c r="B1592" s="522" t="inlineStr">
        <is>
          <t>THC and DOCUMENT FEE</t>
        </is>
      </c>
      <c r="C1592" s="522" t="inlineStr">
        <is>
          <t>ហេកធ័រ ត្រេនស្ព័រថេសិន (ខេមបូឌា) ឯ.ក</t>
        </is>
      </c>
      <c r="D1592" s="522" t="inlineStr">
        <is>
          <t>K002-901900264</t>
        </is>
      </c>
      <c r="E1592" s="521" t="inlineStr">
        <is>
          <t>23000433</t>
        </is>
      </c>
      <c r="F1592" s="523" t="n">
        <v>44999</v>
      </c>
      <c r="G1592" s="556" t="n">
        <v>161960</v>
      </c>
      <c r="I1592" s="521">
        <f>G1592</f>
        <v/>
      </c>
      <c r="K1592" s="521">
        <f>I1592-G1592</f>
        <v/>
      </c>
      <c r="M1592" s="522" t="inlineStr">
        <is>
          <t>23000433</t>
        </is>
      </c>
      <c r="N1592" s="522" t="inlineStr">
        <is>
          <t>23000433</t>
        </is>
      </c>
      <c r="O1592" s="521">
        <f>M1592=N1592</f>
        <v/>
      </c>
      <c r="P1592" s="521">
        <f>AND(MONTH(F1592)=MONTH(S1592), YEAR(F1592)=YEAR(S1592))</f>
        <v/>
      </c>
      <c r="Q1592" s="521">
        <f>U1592="L001-901905215"</f>
        <v/>
      </c>
      <c r="R1592" s="556">
        <f>G1592-W1592</f>
        <v/>
      </c>
      <c r="S1592" s="523" t="n">
        <v>44999</v>
      </c>
      <c r="T1592" s="522" t="inlineStr">
        <is>
          <t>23000433</t>
        </is>
      </c>
      <c r="U1592" s="522" t="inlineStr">
        <is>
          <t>L001-901905215</t>
        </is>
      </c>
      <c r="V1592" s="522" t="inlineStr">
        <is>
          <t>វីអ៊ីស៊ិន (ខេមបូឌា) អ៊ិនដាសស្ទ្រី ឯ.ក</t>
        </is>
      </c>
      <c r="W1592" s="556" t="n">
        <v>162160</v>
      </c>
    </row>
    <row r="1593">
      <c r="A1593" s="521" t="n">
        <v>1585</v>
      </c>
      <c r="B1593" s="522" t="inlineStr">
        <is>
          <t>THC and DOCUMENT FEE</t>
        </is>
      </c>
      <c r="C1593" s="522" t="inlineStr">
        <is>
          <t>ហេកធ័រ ត្រេនស្ព័រថេសិន (ខេមបូឌា) ឯ.ក</t>
        </is>
      </c>
      <c r="D1593" s="522" t="inlineStr">
        <is>
          <t>K002-901900264</t>
        </is>
      </c>
      <c r="E1593" s="521" t="inlineStr">
        <is>
          <t>23000343</t>
        </is>
      </c>
      <c r="F1593" s="523" t="n">
        <v>44987</v>
      </c>
      <c r="G1593" s="556" t="n">
        <v>162600</v>
      </c>
      <c r="I1593" s="521">
        <f>G1593</f>
        <v/>
      </c>
      <c r="K1593" s="521">
        <f>I1593-G1593</f>
        <v/>
      </c>
      <c r="M1593" s="522" t="inlineStr">
        <is>
          <t>23000343</t>
        </is>
      </c>
      <c r="N1593" s="522" t="inlineStr">
        <is>
          <t>23000343</t>
        </is>
      </c>
      <c r="O1593" s="521">
        <f>M1593=N1593</f>
        <v/>
      </c>
      <c r="P1593" s="521">
        <f>AND(MONTH(F1593)=MONTH(S1593), YEAR(F1593)=YEAR(S1593))</f>
        <v/>
      </c>
      <c r="Q1593" s="521">
        <f>U1593="L001-901905215"</f>
        <v/>
      </c>
      <c r="R1593" s="556">
        <f>G1593-W1593</f>
        <v/>
      </c>
      <c r="S1593" s="523" t="n">
        <v>44987</v>
      </c>
      <c r="T1593" s="522" t="inlineStr">
        <is>
          <t>23000343</t>
        </is>
      </c>
      <c r="U1593" s="522" t="inlineStr">
        <is>
          <t>L001-901905215</t>
        </is>
      </c>
      <c r="V1593" s="522" t="inlineStr">
        <is>
          <t>វីអ៊ីស៊ិន (ខេមបូឌា) អ៊ិនដាសស្ទ្រី ឯ.ក</t>
        </is>
      </c>
      <c r="W1593" s="556" t="n">
        <v>162160</v>
      </c>
    </row>
    <row r="1594">
      <c r="A1594" s="521" t="n">
        <v>1586</v>
      </c>
      <c r="B1594" s="522" t="inlineStr">
        <is>
          <t>THC and DOCUMENT FEE</t>
        </is>
      </c>
      <c r="C1594" s="522" t="inlineStr">
        <is>
          <t>អ៊ិចស្ពែឌីធ័រ ខេមបូឌា អិលធីឌី</t>
        </is>
      </c>
      <c r="D1594" s="522" t="inlineStr">
        <is>
          <t>L001-100045898</t>
        </is>
      </c>
      <c r="E1594" s="521" t="inlineStr">
        <is>
          <t>TI-0246193</t>
        </is>
      </c>
      <c r="F1594" s="523" t="n">
        <v>45012</v>
      </c>
      <c r="G1594" s="556" t="n">
        <v>99513</v>
      </c>
      <c r="I1594" s="521">
        <f>G1594</f>
        <v/>
      </c>
      <c r="K1594" s="521">
        <f>I1594-G1594</f>
        <v/>
      </c>
      <c r="M1594" s="522" t="inlineStr">
        <is>
          <t>TI0246193</t>
        </is>
      </c>
      <c r="N1594" s="522" t="inlineStr">
        <is>
          <t>TI0246193</t>
        </is>
      </c>
      <c r="O1594" s="521">
        <f>M1594=N1594</f>
        <v/>
      </c>
      <c r="P1594" s="521">
        <f>AND(MONTH(F1594)=MONTH(S1594), YEAR(F1594)=YEAR(S1594))</f>
        <v/>
      </c>
      <c r="Q1594" s="521">
        <f>U1594="L001-901905215"</f>
        <v/>
      </c>
      <c r="R1594" s="556">
        <f>G1594-W1594</f>
        <v/>
      </c>
      <c r="S1594" s="523" t="n">
        <v>45012</v>
      </c>
      <c r="T1594" s="522" t="inlineStr">
        <is>
          <t>TI-0246193</t>
        </is>
      </c>
      <c r="U1594" s="522" t="inlineStr">
        <is>
          <t>L001-901905215</t>
        </is>
      </c>
      <c r="V1594" s="522" t="inlineStr">
        <is>
          <t>វីអ៊ីស៊ិន (ខេមបូឌា) អ៊ិនដាសស្ទ្រី ឯ.ក</t>
        </is>
      </c>
      <c r="W1594" s="556" t="n">
        <v>99502</v>
      </c>
    </row>
    <row r="1595">
      <c r="A1595" s="521" t="n">
        <v>1587</v>
      </c>
      <c r="B1595" s="522" t="inlineStr">
        <is>
          <t>THC and DOCUMENT FEE</t>
        </is>
      </c>
      <c r="C1595" s="522" t="inlineStr">
        <is>
          <t>អ៊ិចស្ពែឌីធ័រ ខេមបូឌា អិលធីឌី</t>
        </is>
      </c>
      <c r="D1595" s="522" t="inlineStr">
        <is>
          <t>L001-100045898</t>
        </is>
      </c>
      <c r="E1595" s="521" t="inlineStr">
        <is>
          <t>TI-0246186</t>
        </is>
      </c>
      <c r="F1595" s="523" t="n">
        <v>45012</v>
      </c>
      <c r="G1595" s="556" t="n">
        <v>52595</v>
      </c>
      <c r="I1595" s="521">
        <f>G1595</f>
        <v/>
      </c>
      <c r="K1595" s="521">
        <f>I1595-G1595</f>
        <v/>
      </c>
      <c r="M1595" s="522" t="inlineStr">
        <is>
          <t>TI0246186</t>
        </is>
      </c>
      <c r="N1595" s="522" t="inlineStr">
        <is>
          <t>TI0246186</t>
        </is>
      </c>
      <c r="O1595" s="521">
        <f>M1595=N1595</f>
        <v/>
      </c>
      <c r="P1595" s="521">
        <f>AND(MONTH(F1595)=MONTH(S1595), YEAR(F1595)=YEAR(S1595))</f>
        <v/>
      </c>
      <c r="Q1595" s="521">
        <f>U1595="L001-901905215"</f>
        <v/>
      </c>
      <c r="R1595" s="556">
        <f>G1595-W1595</f>
        <v/>
      </c>
      <c r="S1595" s="523" t="n">
        <v>45012</v>
      </c>
      <c r="T1595" s="522" t="inlineStr">
        <is>
          <t>TI-0246186</t>
        </is>
      </c>
      <c r="U1595" s="522" t="inlineStr">
        <is>
          <t>L001-901905215</t>
        </is>
      </c>
      <c r="V1595" s="522" t="inlineStr">
        <is>
          <t>វីអ៊ីស៊ិន (ខេមបូឌា) អ៊ិនដាសស្ទ្រី ឯ.ក</t>
        </is>
      </c>
      <c r="W1595" s="556" t="n">
        <v>52592</v>
      </c>
    </row>
    <row r="1596">
      <c r="A1596" s="521" t="n">
        <v>1588</v>
      </c>
      <c r="B1596" s="522" t="inlineStr">
        <is>
          <t>THC and DOCUMENT FEE</t>
        </is>
      </c>
      <c r="C1596" s="522" t="inlineStr">
        <is>
          <t>អ៊ិចស្ពែឌីធ័រ ខេមបូឌា អិលធីឌី</t>
        </is>
      </c>
      <c r="D1596" s="522" t="inlineStr">
        <is>
          <t>L001-100045898</t>
        </is>
      </c>
      <c r="E1596" s="521" t="inlineStr">
        <is>
          <t>TI-0246167</t>
        </is>
      </c>
      <c r="F1596" s="523" t="n">
        <v>45012</v>
      </c>
      <c r="G1596" s="556" t="n">
        <v>315307</v>
      </c>
      <c r="I1596" s="521">
        <f>G1596</f>
        <v/>
      </c>
      <c r="K1596" s="521">
        <f>I1596-G1596</f>
        <v/>
      </c>
      <c r="M1596" s="522" t="inlineStr">
        <is>
          <t>TI0246167</t>
        </is>
      </c>
      <c r="N1596" s="522" t="inlineStr">
        <is>
          <t>TI0246167</t>
        </is>
      </c>
      <c r="O1596" s="521">
        <f>M1596=N1596</f>
        <v/>
      </c>
      <c r="P1596" s="521">
        <f>AND(MONTH(F1596)=MONTH(S1596), YEAR(F1596)=YEAR(S1596))</f>
        <v/>
      </c>
      <c r="Q1596" s="521">
        <f>U1596="L001-901905215"</f>
        <v/>
      </c>
      <c r="R1596" s="556">
        <f>G1596-W1596</f>
        <v/>
      </c>
      <c r="S1596" s="523" t="n">
        <v>45012</v>
      </c>
      <c r="T1596" s="522" t="inlineStr">
        <is>
          <t>TI-0246167</t>
        </is>
      </c>
      <c r="U1596" s="522" t="inlineStr">
        <is>
          <t>L001-901905215</t>
        </is>
      </c>
      <c r="V1596" s="522" t="inlineStr">
        <is>
          <t>វីអ៊ីស៊ិន (ខេមបូឌា) អ៊ិនដាសស្ទ្រី ឯ.ក</t>
        </is>
      </c>
      <c r="W1596" s="556" t="n">
        <v>315307</v>
      </c>
    </row>
    <row r="1597">
      <c r="A1597" s="521" t="n">
        <v>1589</v>
      </c>
      <c r="B1597" s="522" t="inlineStr">
        <is>
          <t>THC and DOCUMENT FEE</t>
        </is>
      </c>
      <c r="C1597" s="522" t="inlineStr">
        <is>
          <t>អ៊ិចស្ពែឌីធ័រ ខេមបូឌា អិលធីឌី</t>
        </is>
      </c>
      <c r="D1597" s="522" t="inlineStr">
        <is>
          <t>L001-100045898</t>
        </is>
      </c>
      <c r="E1597" s="521" t="inlineStr">
        <is>
          <t>TI-0246161</t>
        </is>
      </c>
      <c r="F1597" s="523" t="n">
        <v>45012</v>
      </c>
      <c r="G1597" s="556" t="n">
        <v>285277</v>
      </c>
      <c r="I1597" s="521">
        <f>G1597</f>
        <v/>
      </c>
      <c r="K1597" s="521">
        <f>I1597-G1597</f>
        <v/>
      </c>
      <c r="M1597" s="522" t="inlineStr">
        <is>
          <t>TI0246161</t>
        </is>
      </c>
      <c r="N1597" s="522" t="inlineStr">
        <is>
          <t>TI0246161</t>
        </is>
      </c>
      <c r="O1597" s="521">
        <f>M1597=N1597</f>
        <v/>
      </c>
      <c r="P1597" s="521">
        <f>AND(MONTH(F1597)=MONTH(S1597), YEAR(F1597)=YEAR(S1597))</f>
        <v/>
      </c>
      <c r="Q1597" s="521">
        <f>U1597="L001-901905215"</f>
        <v/>
      </c>
      <c r="R1597" s="556">
        <f>G1597-W1597</f>
        <v/>
      </c>
      <c r="S1597" s="523" t="n">
        <v>45012</v>
      </c>
      <c r="T1597" s="522" t="inlineStr">
        <is>
          <t>TI-0246161</t>
        </is>
      </c>
      <c r="U1597" s="522" t="inlineStr">
        <is>
          <t>L001-901905215</t>
        </is>
      </c>
      <c r="V1597" s="522" t="inlineStr">
        <is>
          <t>វីអ៊ីស៊ិន (ខេមបូឌា) អ៊ិនដាសស្ទ្រី ឯ.ក</t>
        </is>
      </c>
      <c r="W1597" s="556" t="n">
        <v>285277</v>
      </c>
    </row>
    <row r="1598">
      <c r="A1598" s="521" t="n">
        <v>1590</v>
      </c>
      <c r="B1598" s="522" t="inlineStr">
        <is>
          <t>THC and DOCUMENT FEE</t>
        </is>
      </c>
      <c r="C1598" s="522" t="inlineStr">
        <is>
          <t>អ៊ិចស្ពែឌីធ័រ ខេមបូឌា អិលធីឌី</t>
        </is>
      </c>
      <c r="D1598" s="522" t="inlineStr">
        <is>
          <t>L001-100045898</t>
        </is>
      </c>
      <c r="E1598" s="521" t="inlineStr">
        <is>
          <t>TI-0246156</t>
        </is>
      </c>
      <c r="F1598" s="523" t="n">
        <v>45012</v>
      </c>
      <c r="G1598" s="556" t="n">
        <v>66208</v>
      </c>
      <c r="I1598" s="521">
        <f>G1598</f>
        <v/>
      </c>
      <c r="K1598" s="521">
        <f>I1598-G1598</f>
        <v/>
      </c>
      <c r="M1598" s="522" t="inlineStr">
        <is>
          <t>TI0246156</t>
        </is>
      </c>
      <c r="N1598" s="522" t="inlineStr">
        <is>
          <t>TI0246156</t>
        </is>
      </c>
      <c r="O1598" s="521">
        <f>M1598=N1598</f>
        <v/>
      </c>
      <c r="P1598" s="521">
        <f>AND(MONTH(F1598)=MONTH(S1598), YEAR(F1598)=YEAR(S1598))</f>
        <v/>
      </c>
      <c r="Q1598" s="521">
        <f>U1598="L001-901905215"</f>
        <v/>
      </c>
      <c r="R1598" s="556">
        <f>G1598-W1598</f>
        <v/>
      </c>
      <c r="S1598" s="523" t="n">
        <v>45012</v>
      </c>
      <c r="T1598" s="522" t="inlineStr">
        <is>
          <t>TI-0246156</t>
        </is>
      </c>
      <c r="U1598" s="522" t="inlineStr">
        <is>
          <t>L001-901905215</t>
        </is>
      </c>
      <c r="V1598" s="522" t="inlineStr">
        <is>
          <t>វីអ៊ីស៊ិន (ខេមបូឌា) អ៊ិនដាសស្ទ្រី ឯ.ក</t>
        </is>
      </c>
      <c r="W1598" s="556" t="n">
        <v>66227</v>
      </c>
    </row>
    <row r="1599">
      <c r="A1599" s="521" t="n">
        <v>1591</v>
      </c>
      <c r="B1599" s="522" t="inlineStr">
        <is>
          <t>THC and DOCUMENT FEE</t>
        </is>
      </c>
      <c r="C1599" s="522" t="inlineStr">
        <is>
          <t>អ៊ិចស្ពែឌីធ័រ ខេមបូឌា អិលធីឌី</t>
        </is>
      </c>
      <c r="D1599" s="522" t="inlineStr">
        <is>
          <t>L001-100045898</t>
        </is>
      </c>
      <c r="E1599" s="521" t="inlineStr">
        <is>
          <t>TI-0246148</t>
        </is>
      </c>
      <c r="F1599" s="523" t="n">
        <v>45012</v>
      </c>
      <c r="G1599" s="556" t="n">
        <v>50504</v>
      </c>
      <c r="I1599" s="521">
        <f>G1599</f>
        <v/>
      </c>
      <c r="K1599" s="521">
        <f>I1599-G1599</f>
        <v/>
      </c>
      <c r="M1599" s="522" t="inlineStr">
        <is>
          <t>TI0246148</t>
        </is>
      </c>
      <c r="N1599" s="522" t="inlineStr">
        <is>
          <t>TI0246148</t>
        </is>
      </c>
      <c r="O1599" s="521">
        <f>M1599=N1599</f>
        <v/>
      </c>
      <c r="P1599" s="521">
        <f>AND(MONTH(F1599)=MONTH(S1599), YEAR(F1599)=YEAR(S1599))</f>
        <v/>
      </c>
      <c r="Q1599" s="521">
        <f>U1599="L001-901905215"</f>
        <v/>
      </c>
      <c r="R1599" s="556">
        <f>G1599-W1599</f>
        <v/>
      </c>
      <c r="S1599" s="523" t="n">
        <v>45012</v>
      </c>
      <c r="T1599" s="522" t="inlineStr">
        <is>
          <t>TI-0246148</t>
        </is>
      </c>
      <c r="U1599" s="522" t="inlineStr">
        <is>
          <t>L001-901905215</t>
        </is>
      </c>
      <c r="V1599" s="522" t="inlineStr">
        <is>
          <t>វីអ៊ីស៊ិន (ខេមបូឌា) អ៊ិនដាសស្ទ្រី ឯ.ក</t>
        </is>
      </c>
      <c r="W1599" s="556" t="n">
        <v>50522</v>
      </c>
    </row>
    <row r="1600">
      <c r="A1600" s="521" t="n">
        <v>1592</v>
      </c>
      <c r="B1600" s="522" t="inlineStr">
        <is>
          <t>THC and DOCUMENT FEE</t>
        </is>
      </c>
      <c r="C1600" s="522" t="inlineStr">
        <is>
          <t>អ៊ិចស្ពែឌីធ័រ ខេមបូឌា អិលធីឌី</t>
        </is>
      </c>
      <c r="D1600" s="522" t="inlineStr">
        <is>
          <t>L001-100045898</t>
        </is>
      </c>
      <c r="E1600" s="521" t="inlineStr">
        <is>
          <t>TI-0246142</t>
        </is>
      </c>
      <c r="F1600" s="523" t="n">
        <v>45012</v>
      </c>
      <c r="G1600" s="556" t="n">
        <v>46390</v>
      </c>
      <c r="I1600" s="521">
        <f>G1600</f>
        <v/>
      </c>
      <c r="K1600" s="521">
        <f>I1600-G1600</f>
        <v/>
      </c>
      <c r="M1600" s="522" t="inlineStr">
        <is>
          <t>TI0246142</t>
        </is>
      </c>
      <c r="N1600" s="522" t="inlineStr">
        <is>
          <t>TI0246142</t>
        </is>
      </c>
      <c r="O1600" s="521">
        <f>M1600=N1600</f>
        <v/>
      </c>
      <c r="P1600" s="521">
        <f>AND(MONTH(F1600)=MONTH(S1600), YEAR(F1600)=YEAR(S1600))</f>
        <v/>
      </c>
      <c r="Q1600" s="521">
        <f>U1600="L001-901905215"</f>
        <v/>
      </c>
      <c r="R1600" s="556">
        <f>G1600-W1600</f>
        <v/>
      </c>
      <c r="S1600" s="523" t="n">
        <v>45012</v>
      </c>
      <c r="T1600" s="522" t="inlineStr">
        <is>
          <t>TI-0246142</t>
        </is>
      </c>
      <c r="U1600" s="522" t="inlineStr">
        <is>
          <t>L001-901905215</t>
        </is>
      </c>
      <c r="V1600" s="522" t="inlineStr">
        <is>
          <t>វីអ៊ីស៊ិន (ខេមបូឌា) អ៊ិនដាសស្ទ្រី ឯ.ក</t>
        </is>
      </c>
      <c r="W1600" s="556" t="n">
        <v>46383</v>
      </c>
    </row>
    <row r="1601">
      <c r="A1601" s="521" t="n">
        <v>1593</v>
      </c>
      <c r="B1601" s="522" t="inlineStr">
        <is>
          <t>THC and DOCUMENT FEE</t>
        </is>
      </c>
      <c r="C1601" s="522" t="inlineStr">
        <is>
          <t>អ៊ិចស្ពែឌីធ័រ ខេមបូឌា អិលធីឌី</t>
        </is>
      </c>
      <c r="D1601" s="522" t="inlineStr">
        <is>
          <t>L001-100045898</t>
        </is>
      </c>
      <c r="E1601" s="521" t="inlineStr">
        <is>
          <t>TI-0246139</t>
        </is>
      </c>
      <c r="F1601" s="523" t="n">
        <v>45012</v>
      </c>
      <c r="G1601" s="556" t="n">
        <v>284060</v>
      </c>
      <c r="I1601" s="521">
        <f>G1601</f>
        <v/>
      </c>
      <c r="K1601" s="521">
        <f>I1601-G1601</f>
        <v/>
      </c>
      <c r="M1601" s="522" t="inlineStr">
        <is>
          <t>TI0246139</t>
        </is>
      </c>
      <c r="N1601" s="522" t="inlineStr">
        <is>
          <t>TI0246139</t>
        </is>
      </c>
      <c r="O1601" s="521">
        <f>M1601=N1601</f>
        <v/>
      </c>
      <c r="P1601" s="521">
        <f>AND(MONTH(F1601)=MONTH(S1601), YEAR(F1601)=YEAR(S1601))</f>
        <v/>
      </c>
      <c r="Q1601" s="521">
        <f>U1601="L001-901905215"</f>
        <v/>
      </c>
      <c r="R1601" s="556">
        <f>G1601-W1601</f>
        <v/>
      </c>
      <c r="S1601" s="523" t="n">
        <v>45012</v>
      </c>
      <c r="T1601" s="522" t="inlineStr">
        <is>
          <t>TI-0246139</t>
        </is>
      </c>
      <c r="U1601" s="522" t="inlineStr">
        <is>
          <t>L001-901905215</t>
        </is>
      </c>
      <c r="V1601" s="522" t="inlineStr">
        <is>
          <t>វីអ៊ីស៊ិន (ខេមបូឌា) អ៊ិនដាសស្ទ្រី ឯ.ក</t>
        </is>
      </c>
      <c r="W1601" s="556" t="n">
        <v>284060</v>
      </c>
    </row>
    <row r="1602">
      <c r="A1602" s="521" t="n">
        <v>1594</v>
      </c>
      <c r="B1602" s="522" t="inlineStr">
        <is>
          <t>THC and DOCUMENT FEE</t>
        </is>
      </c>
      <c r="C1602" s="522" t="inlineStr">
        <is>
          <t>អ៊ិចស្ពែឌីធ័រ ខេមបូឌា អិលធីឌី</t>
        </is>
      </c>
      <c r="D1602" s="522" t="inlineStr">
        <is>
          <t>L001-100045898</t>
        </is>
      </c>
      <c r="E1602" s="521" t="inlineStr">
        <is>
          <t>TI-0246005</t>
        </is>
      </c>
      <c r="F1602" s="523" t="n">
        <v>45006</v>
      </c>
      <c r="G1602" s="556" t="n">
        <v>281523</v>
      </c>
      <c r="I1602" s="521">
        <f>G1602</f>
        <v/>
      </c>
      <c r="K1602" s="521">
        <f>I1602-G1602</f>
        <v/>
      </c>
      <c r="M1602" s="522" t="inlineStr">
        <is>
          <t>TI0246005</t>
        </is>
      </c>
      <c r="N1602" s="522" t="inlineStr">
        <is>
          <t>TI0246005</t>
        </is>
      </c>
      <c r="O1602" s="521">
        <f>M1602=N1602</f>
        <v/>
      </c>
      <c r="P1602" s="521">
        <f>AND(MONTH(F1602)=MONTH(S1602), YEAR(F1602)=YEAR(S1602))</f>
        <v/>
      </c>
      <c r="Q1602" s="521">
        <f>U1602="L001-901905215"</f>
        <v/>
      </c>
      <c r="R1602" s="556">
        <f>G1602-W1602</f>
        <v/>
      </c>
      <c r="S1602" s="523" t="n">
        <v>45006</v>
      </c>
      <c r="T1602" s="522" t="inlineStr">
        <is>
          <t>TI-0246005</t>
        </is>
      </c>
      <c r="U1602" s="522" t="inlineStr">
        <is>
          <t>L001-901905215</t>
        </is>
      </c>
      <c r="V1602" s="522" t="inlineStr">
        <is>
          <t>វីអ៊ីស៊ិន (ខេមបូឌា) អ៊ិនដាសស្ទ្រី ឯ.ក</t>
        </is>
      </c>
      <c r="W1602" s="556" t="n">
        <v>281527</v>
      </c>
    </row>
    <row r="1603">
      <c r="A1603" s="521" t="n">
        <v>1595</v>
      </c>
      <c r="B1603" s="522" t="inlineStr">
        <is>
          <t>THC and DOCUMENT FEE</t>
        </is>
      </c>
      <c r="C1603" s="522" t="inlineStr">
        <is>
          <t>អ៊ិចស្ពែឌីធ័រ ខេមបូឌា អិលធីឌី</t>
        </is>
      </c>
      <c r="D1603" s="522" t="inlineStr">
        <is>
          <t>L001-100045898</t>
        </is>
      </c>
      <c r="E1603" s="521" t="inlineStr">
        <is>
          <t>TI-0245997</t>
        </is>
      </c>
      <c r="F1603" s="523" t="n">
        <v>45006</v>
      </c>
      <c r="G1603" s="556" t="n">
        <v>412315</v>
      </c>
      <c r="I1603" s="521">
        <f>G1603</f>
        <v/>
      </c>
      <c r="K1603" s="521">
        <f>I1603-G1603</f>
        <v/>
      </c>
      <c r="M1603" s="522" t="inlineStr">
        <is>
          <t>TI0245997</t>
        </is>
      </c>
      <c r="N1603" s="522" t="inlineStr">
        <is>
          <t>TI0245997</t>
        </is>
      </c>
      <c r="O1603" s="521">
        <f>M1603=N1603</f>
        <v/>
      </c>
      <c r="P1603" s="521">
        <f>AND(MONTH(F1603)=MONTH(S1603), YEAR(F1603)=YEAR(S1603))</f>
        <v/>
      </c>
      <c r="Q1603" s="521">
        <f>U1603="L001-901905215"</f>
        <v/>
      </c>
      <c r="R1603" s="556">
        <f>G1603-W1603</f>
        <v/>
      </c>
      <c r="S1603" s="523" t="n">
        <v>45006</v>
      </c>
      <c r="T1603" s="522" t="inlineStr">
        <is>
          <t>TI-0245997</t>
        </is>
      </c>
      <c r="U1603" s="522" t="inlineStr">
        <is>
          <t>L001-901905215</t>
        </is>
      </c>
      <c r="V1603" s="522" t="inlineStr">
        <is>
          <t>វីអ៊ីស៊ិន (ខេមបូឌា) អ៊ិនដាសស្ទ្រី ឯ.ក</t>
        </is>
      </c>
      <c r="W1603" s="556" t="n">
        <v>412333</v>
      </c>
    </row>
    <row r="1604">
      <c r="A1604" s="521" t="n">
        <v>1596</v>
      </c>
      <c r="B1604" s="522" t="inlineStr">
        <is>
          <t>THC and DOCUMENT FEE</t>
        </is>
      </c>
      <c r="C1604" s="522" t="inlineStr">
        <is>
          <t>អ៊ិចស្ពែឌីធ័រ ខេមបូឌា អិលធីឌី</t>
        </is>
      </c>
      <c r="D1604" s="522" t="inlineStr">
        <is>
          <t>L001-100045898</t>
        </is>
      </c>
      <c r="E1604" s="521" t="inlineStr">
        <is>
          <t>TI-0245986</t>
        </is>
      </c>
      <c r="F1604" s="523" t="n">
        <v>45006</v>
      </c>
      <c r="G1604" s="556" t="n">
        <v>64236</v>
      </c>
      <c r="I1604" s="521">
        <f>G1604</f>
        <v/>
      </c>
      <c r="K1604" s="521">
        <f>I1604-G1604</f>
        <v/>
      </c>
      <c r="M1604" s="522" t="inlineStr">
        <is>
          <t>TI0245986</t>
        </is>
      </c>
      <c r="N1604" s="522" t="inlineStr">
        <is>
          <t>TI0245986</t>
        </is>
      </c>
      <c r="O1604" s="521">
        <f>M1604=N1604</f>
        <v/>
      </c>
      <c r="P1604" s="521">
        <f>AND(MONTH(F1604)=MONTH(S1604), YEAR(F1604)=YEAR(S1604))</f>
        <v/>
      </c>
      <c r="Q1604" s="521">
        <f>U1604="L001-901905215"</f>
        <v/>
      </c>
      <c r="R1604" s="556">
        <f>G1604-W1604</f>
        <v/>
      </c>
      <c r="S1604" s="523" t="n">
        <v>45006</v>
      </c>
      <c r="T1604" s="522" t="inlineStr">
        <is>
          <t>TI-0245986</t>
        </is>
      </c>
      <c r="U1604" s="522" t="inlineStr">
        <is>
          <t>L001-901905215</t>
        </is>
      </c>
      <c r="V1604" s="522" t="inlineStr">
        <is>
          <t>វីអ៊ីស៊ិន (ខេមបូឌា) អ៊ិនដាសស្ទ្រី ឯ.ក</t>
        </is>
      </c>
      <c r="W1604" s="556" t="n">
        <v>64247</v>
      </c>
    </row>
    <row r="1605">
      <c r="A1605" s="521" t="n">
        <v>1597</v>
      </c>
      <c r="B1605" s="522" t="inlineStr">
        <is>
          <t>THC and DOCUMENT FEE</t>
        </is>
      </c>
      <c r="C1605" s="522" t="inlineStr">
        <is>
          <t>អ៊ិចស្ពែឌីធ័រ ខេមបូឌា អិលធីឌី</t>
        </is>
      </c>
      <c r="D1605" s="522" t="inlineStr">
        <is>
          <t>L001-100045898</t>
        </is>
      </c>
      <c r="E1605" s="521" t="inlineStr">
        <is>
          <t>TI-0245984</t>
        </is>
      </c>
      <c r="F1605" s="523" t="n">
        <v>45006</v>
      </c>
      <c r="G1605" s="556" t="n">
        <v>253094</v>
      </c>
      <c r="I1605" s="521">
        <f>G1605</f>
        <v/>
      </c>
      <c r="K1605" s="521">
        <f>I1605-G1605</f>
        <v/>
      </c>
      <c r="M1605" s="522" t="inlineStr">
        <is>
          <t>TI0245984</t>
        </is>
      </c>
      <c r="N1605" s="522" t="inlineStr">
        <is>
          <t>TI0245984</t>
        </is>
      </c>
      <c r="O1605" s="521">
        <f>M1605=N1605</f>
        <v/>
      </c>
      <c r="P1605" s="521">
        <f>AND(MONTH(F1605)=MONTH(S1605), YEAR(F1605)=YEAR(S1605))</f>
        <v/>
      </c>
      <c r="Q1605" s="521">
        <f>U1605="L001-901905215"</f>
        <v/>
      </c>
      <c r="R1605" s="556">
        <f>G1605-W1605</f>
        <v/>
      </c>
      <c r="S1605" s="523" t="n">
        <v>45006</v>
      </c>
      <c r="T1605" s="522" t="inlineStr">
        <is>
          <t>TI-0245984</t>
        </is>
      </c>
      <c r="U1605" s="522" t="inlineStr">
        <is>
          <t>L001-901905215</t>
        </is>
      </c>
      <c r="V1605" s="522" t="inlineStr">
        <is>
          <t>វីអ៊ីស៊ិន (ខេមបូឌា) អ៊ិនដាសស្ទ្រី ឯ.ក</t>
        </is>
      </c>
      <c r="W1605" s="556" t="n">
        <v>253094</v>
      </c>
    </row>
    <row r="1606">
      <c r="A1606" s="521" t="n">
        <v>1598</v>
      </c>
      <c r="B1606" s="522" t="inlineStr">
        <is>
          <t>THC and DOCUMENT FEE</t>
        </is>
      </c>
      <c r="C1606" s="522" t="inlineStr">
        <is>
          <t>អ៊ិចស្ពែឌីធ័រ ខេមបូឌា អិលធីឌី</t>
        </is>
      </c>
      <c r="D1606" s="522" t="inlineStr">
        <is>
          <t>L001-100045898</t>
        </is>
      </c>
      <c r="E1606" s="521" t="inlineStr">
        <is>
          <t>TI-0245983</t>
        </is>
      </c>
      <c r="F1606" s="523" t="n">
        <v>45006</v>
      </c>
      <c r="G1606" s="556" t="n">
        <v>165079</v>
      </c>
      <c r="I1606" s="521">
        <f>G1606</f>
        <v/>
      </c>
      <c r="K1606" s="521">
        <f>I1606-G1606</f>
        <v/>
      </c>
      <c r="M1606" s="522" t="inlineStr">
        <is>
          <t>TI0245983</t>
        </is>
      </c>
      <c r="N1606" s="522" t="inlineStr">
        <is>
          <t>TI0245983</t>
        </is>
      </c>
      <c r="O1606" s="521">
        <f>M1606=N1606</f>
        <v/>
      </c>
      <c r="P1606" s="521">
        <f>AND(MONTH(F1606)=MONTH(S1606), YEAR(F1606)=YEAR(S1606))</f>
        <v/>
      </c>
      <c r="Q1606" s="521">
        <f>U1606="L001-901905215"</f>
        <v/>
      </c>
      <c r="R1606" s="556">
        <f>G1606-W1606</f>
        <v/>
      </c>
      <c r="S1606" s="523" t="n">
        <v>45006</v>
      </c>
      <c r="T1606" s="522" t="inlineStr">
        <is>
          <t>TI-0245983</t>
        </is>
      </c>
      <c r="U1606" s="522" t="inlineStr">
        <is>
          <t>L001-901905215</t>
        </is>
      </c>
      <c r="V1606" s="522" t="inlineStr">
        <is>
          <t>វីអ៊ីស៊ិន (ខេមបូឌា) អ៊ិនដាសស្ទ្រី ឯ.ក</t>
        </is>
      </c>
      <c r="W1606" s="556" t="n">
        <v>165079</v>
      </c>
    </row>
    <row r="1607">
      <c r="A1607" s="521" t="n">
        <v>1599</v>
      </c>
      <c r="B1607" s="522" t="inlineStr">
        <is>
          <t>THC and DOCUMENT FEE</t>
        </is>
      </c>
      <c r="C1607" s="522" t="inlineStr">
        <is>
          <t>អ៊ិចស្ពែឌីធ័រ ខេមបូឌា អិលធីឌី</t>
        </is>
      </c>
      <c r="D1607" s="522" t="inlineStr">
        <is>
          <t>L001-100045898</t>
        </is>
      </c>
      <c r="E1607" s="521" t="inlineStr">
        <is>
          <t>TI-0245982</t>
        </is>
      </c>
      <c r="F1607" s="523" t="n">
        <v>45006</v>
      </c>
      <c r="G1607" s="556" t="n">
        <v>358086</v>
      </c>
      <c r="I1607" s="521">
        <f>G1607</f>
        <v/>
      </c>
      <c r="K1607" s="521">
        <f>I1607-G1607</f>
        <v/>
      </c>
      <c r="M1607" s="522" t="inlineStr">
        <is>
          <t>TI0245982</t>
        </is>
      </c>
      <c r="N1607" s="522" t="inlineStr">
        <is>
          <t>TI0245982</t>
        </is>
      </c>
      <c r="O1607" s="521">
        <f>M1607=N1607</f>
        <v/>
      </c>
      <c r="P1607" s="521">
        <f>AND(MONTH(F1607)=MONTH(S1607), YEAR(F1607)=YEAR(S1607))</f>
        <v/>
      </c>
      <c r="Q1607" s="521">
        <f>U1607="L001-901905215"</f>
        <v/>
      </c>
      <c r="R1607" s="556">
        <f>G1607-W1607</f>
        <v/>
      </c>
      <c r="S1607" s="523" t="n">
        <v>45006</v>
      </c>
      <c r="T1607" s="522" t="inlineStr">
        <is>
          <t>TI-0245982</t>
        </is>
      </c>
      <c r="U1607" s="522" t="inlineStr">
        <is>
          <t>L001-901905215</t>
        </is>
      </c>
      <c r="V1607" s="522" t="inlineStr">
        <is>
          <t>វីអ៊ីស៊ិន (ខេមបូឌា) អ៊ិនដាសស្ទ្រី ឯ.ក</t>
        </is>
      </c>
      <c r="W1607" s="556" t="n">
        <v>358104</v>
      </c>
    </row>
    <row r="1608">
      <c r="A1608" s="521" t="n">
        <v>1600</v>
      </c>
      <c r="B1608" s="522" t="inlineStr">
        <is>
          <t>THC and DOCUMENT FEE</t>
        </is>
      </c>
      <c r="C1608" s="522" t="inlineStr">
        <is>
          <t>អ៊ិចស្ពែឌីធ័រ ខេមបូឌា អិលធីឌី</t>
        </is>
      </c>
      <c r="D1608" s="522" t="inlineStr">
        <is>
          <t>L001-100045898</t>
        </is>
      </c>
      <c r="E1608" s="521" t="inlineStr">
        <is>
          <t>TI-0245979</t>
        </is>
      </c>
      <c r="F1608" s="523" t="n">
        <v>45006</v>
      </c>
      <c r="G1608" s="556" t="n">
        <v>52640</v>
      </c>
      <c r="I1608" s="521">
        <f>G1608</f>
        <v/>
      </c>
      <c r="K1608" s="521">
        <f>I1608-G1608</f>
        <v/>
      </c>
      <c r="M1608" s="522" t="inlineStr">
        <is>
          <t>TI0245979</t>
        </is>
      </c>
      <c r="N1608" s="522" t="inlineStr">
        <is>
          <t>TI0245979</t>
        </is>
      </c>
      <c r="O1608" s="521">
        <f>M1608=N1608</f>
        <v/>
      </c>
      <c r="P1608" s="521">
        <f>AND(MONTH(F1608)=MONTH(S1608), YEAR(F1608)=YEAR(S1608))</f>
        <v/>
      </c>
      <c r="Q1608" s="521">
        <f>U1608="L001-901905215"</f>
        <v/>
      </c>
      <c r="R1608" s="556">
        <f>G1608-W1608</f>
        <v/>
      </c>
      <c r="S1608" s="523" t="n">
        <v>45006</v>
      </c>
      <c r="T1608" s="522" t="inlineStr">
        <is>
          <t>TI-0245979</t>
        </is>
      </c>
      <c r="U1608" s="522" t="inlineStr">
        <is>
          <t>L001-901905215</t>
        </is>
      </c>
      <c r="V1608" s="522" t="inlineStr">
        <is>
          <t>វីអ៊ីស៊ិន (ខេមបូឌា) អ៊ិនដាសស្ទ្រី ឯ.ក</t>
        </is>
      </c>
      <c r="W1608" s="556" t="n">
        <v>52647</v>
      </c>
    </row>
    <row r="1609">
      <c r="A1609" s="521" t="n">
        <v>1601</v>
      </c>
      <c r="B1609" s="522" t="inlineStr">
        <is>
          <t>THC and DOCUMENT FEE</t>
        </is>
      </c>
      <c r="C1609" s="522" t="inlineStr">
        <is>
          <t>អ៊ិចស្ពែឌីធ័រ ខេមបូឌា អិលធីឌី</t>
        </is>
      </c>
      <c r="D1609" s="522" t="inlineStr">
        <is>
          <t>L001-100045898</t>
        </is>
      </c>
      <c r="E1609" s="521" t="inlineStr">
        <is>
          <t>TI-0245971</t>
        </is>
      </c>
      <c r="F1609" s="523" t="n">
        <v>45006</v>
      </c>
      <c r="G1609" s="556" t="n">
        <v>450216</v>
      </c>
      <c r="I1609" s="521">
        <f>G1609</f>
        <v/>
      </c>
      <c r="K1609" s="521">
        <f>I1609-G1609</f>
        <v/>
      </c>
      <c r="M1609" s="522" t="inlineStr">
        <is>
          <t>TI0245971</t>
        </is>
      </c>
      <c r="N1609" s="522" t="inlineStr">
        <is>
          <t>TI0245971</t>
        </is>
      </c>
      <c r="O1609" s="521">
        <f>M1609=N1609</f>
        <v/>
      </c>
      <c r="P1609" s="521">
        <f>AND(MONTH(F1609)=MONTH(S1609), YEAR(F1609)=YEAR(S1609))</f>
        <v/>
      </c>
      <c r="Q1609" s="521">
        <f>U1609="L001-901905215"</f>
        <v/>
      </c>
      <c r="R1609" s="556">
        <f>G1609-W1609</f>
        <v/>
      </c>
      <c r="S1609" s="523" t="n">
        <v>45006</v>
      </c>
      <c r="T1609" s="522" t="inlineStr">
        <is>
          <t>TI-0245971</t>
        </is>
      </c>
      <c r="U1609" s="522" t="inlineStr">
        <is>
          <t>L001-901905215</t>
        </is>
      </c>
      <c r="V1609" s="522" t="inlineStr">
        <is>
          <t>វីអ៊ីស៊ិន (ខេមបូឌា) អ៊ិនដាសស្ទ្រី ឯ.ក</t>
        </is>
      </c>
      <c r="W1609" s="556" t="n">
        <v>450216</v>
      </c>
    </row>
    <row r="1610">
      <c r="A1610" s="521" t="n">
        <v>1602</v>
      </c>
      <c r="B1610" s="522" t="inlineStr">
        <is>
          <t>THC and DOCUMENT FEE</t>
        </is>
      </c>
      <c r="C1610" s="522" t="inlineStr">
        <is>
          <t>អ៊ិចស្ពែឌីធ័រ ខេមបូឌា អិលធីឌី</t>
        </is>
      </c>
      <c r="D1610" s="522" t="inlineStr">
        <is>
          <t>L001-100045898</t>
        </is>
      </c>
      <c r="E1610" s="521" t="inlineStr">
        <is>
          <t>TI-0245511</t>
        </is>
      </c>
      <c r="F1610" s="523" t="n">
        <v>44998</v>
      </c>
      <c r="G1610" s="556" t="n">
        <v>192762</v>
      </c>
      <c r="I1610" s="521">
        <f>G1610</f>
        <v/>
      </c>
      <c r="K1610" s="521">
        <f>I1610-G1610</f>
        <v/>
      </c>
      <c r="M1610" s="522" t="inlineStr">
        <is>
          <t>TI0245511</t>
        </is>
      </c>
      <c r="N1610" s="522" t="inlineStr">
        <is>
          <t>TI0245511</t>
        </is>
      </c>
      <c r="O1610" s="521">
        <f>M1610=N1610</f>
        <v/>
      </c>
      <c r="P1610" s="521">
        <f>AND(MONTH(F1610)=MONTH(S1610), YEAR(F1610)=YEAR(S1610))</f>
        <v/>
      </c>
      <c r="Q1610" s="521">
        <f>U1610="L001-901905215"</f>
        <v/>
      </c>
      <c r="R1610" s="556">
        <f>G1610-W1610</f>
        <v/>
      </c>
      <c r="S1610" s="523" t="n">
        <v>44998</v>
      </c>
      <c r="T1610" s="522" t="inlineStr">
        <is>
          <t>TI-0245511</t>
        </is>
      </c>
      <c r="U1610" s="522" t="inlineStr">
        <is>
          <t>L001-901905215</t>
        </is>
      </c>
      <c r="V1610" s="522" t="inlineStr">
        <is>
          <t>វីអ៊ីស៊ិន (ខេមបូឌា) អ៊ិនដាសស្ទ្រី ឯ.ក</t>
        </is>
      </c>
      <c r="W1610" s="556" t="n">
        <v>192773</v>
      </c>
    </row>
    <row r="1611">
      <c r="A1611" s="521" t="n">
        <v>1603</v>
      </c>
      <c r="B1611" s="522" t="inlineStr">
        <is>
          <t>THC and DOCUMENT FEE</t>
        </is>
      </c>
      <c r="C1611" s="522" t="inlineStr">
        <is>
          <t>អ៊ិចស្ពែឌីធ័រ ខេមបូឌា អិលធីឌី</t>
        </is>
      </c>
      <c r="D1611" s="522" t="inlineStr">
        <is>
          <t>L001-100045898</t>
        </is>
      </c>
      <c r="E1611" s="521" t="inlineStr">
        <is>
          <t>TI-0245509</t>
        </is>
      </c>
      <c r="F1611" s="523" t="n">
        <v>44998</v>
      </c>
      <c r="G1611" s="556" t="n">
        <v>52913</v>
      </c>
      <c r="I1611" s="521">
        <f>G1611</f>
        <v/>
      </c>
      <c r="K1611" s="521">
        <f>I1611-G1611</f>
        <v/>
      </c>
      <c r="M1611" s="522" t="inlineStr">
        <is>
          <t>TI0245509</t>
        </is>
      </c>
      <c r="N1611" s="522" t="inlineStr">
        <is>
          <t>TI0245509</t>
        </is>
      </c>
      <c r="O1611" s="521">
        <f>M1611=N1611</f>
        <v/>
      </c>
      <c r="P1611" s="521">
        <f>AND(MONTH(F1611)=MONTH(S1611), YEAR(F1611)=YEAR(S1611))</f>
        <v/>
      </c>
      <c r="Q1611" s="521">
        <f>U1611="L001-901905215"</f>
        <v/>
      </c>
      <c r="R1611" s="556">
        <f>G1611-W1611</f>
        <v/>
      </c>
      <c r="S1611" s="523" t="n">
        <v>44998</v>
      </c>
      <c r="T1611" s="522" t="inlineStr">
        <is>
          <t>TI-0245509</t>
        </is>
      </c>
      <c r="U1611" s="522" t="inlineStr">
        <is>
          <t>L001-901905215</t>
        </is>
      </c>
      <c r="V1611" s="522" t="inlineStr">
        <is>
          <t>វីអ៊ីស៊ិន (ខេមបូឌា) អ៊ិនដាសស្ទ្រី ឯ.ក</t>
        </is>
      </c>
      <c r="W1611" s="556" t="n">
        <v>52920</v>
      </c>
    </row>
    <row r="1612">
      <c r="A1612" s="521" t="n">
        <v>1604</v>
      </c>
      <c r="B1612" s="522" t="inlineStr">
        <is>
          <t>THC and DOCUMENT FEE</t>
        </is>
      </c>
      <c r="C1612" s="522" t="inlineStr">
        <is>
          <t>អ៊ិចស្ពែឌីធ័រ ខេមបូឌា អិលធីឌី</t>
        </is>
      </c>
      <c r="D1612" s="522" t="inlineStr">
        <is>
          <t>L001-100045898</t>
        </is>
      </c>
      <c r="E1612" s="521" t="inlineStr">
        <is>
          <t>TI-0245505</t>
        </is>
      </c>
      <c r="F1612" s="523" t="n">
        <v>44998</v>
      </c>
      <c r="G1612" s="556" t="n">
        <v>363438</v>
      </c>
      <c r="I1612" s="521">
        <f>G1612</f>
        <v/>
      </c>
      <c r="K1612" s="521">
        <f>I1612-G1612</f>
        <v/>
      </c>
      <c r="M1612" s="522" t="inlineStr">
        <is>
          <t>TI0245505</t>
        </is>
      </c>
      <c r="N1612" s="522" t="inlineStr">
        <is>
          <t>TI0245505</t>
        </is>
      </c>
      <c r="O1612" s="521">
        <f>M1612=N1612</f>
        <v/>
      </c>
      <c r="P1612" s="521">
        <f>AND(MONTH(F1612)=MONTH(S1612), YEAR(F1612)=YEAR(S1612))</f>
        <v/>
      </c>
      <c r="Q1612" s="521">
        <f>U1612="L001-901905215"</f>
        <v/>
      </c>
      <c r="R1612" s="556">
        <f>G1612-W1612</f>
        <v/>
      </c>
      <c r="S1612" s="523" t="n">
        <v>44998</v>
      </c>
      <c r="T1612" s="522" t="inlineStr">
        <is>
          <t>TI-0245505</t>
        </is>
      </c>
      <c r="U1612" s="522" t="inlineStr">
        <is>
          <t>L001-901905215</t>
        </is>
      </c>
      <c r="V1612" s="522" t="inlineStr">
        <is>
          <t>វីអ៊ីស៊ិន (ខេមបូឌា) អ៊ិនដាសស្ទ្រី ឯ.ក</t>
        </is>
      </c>
      <c r="W1612" s="556" t="n">
        <v>363438</v>
      </c>
    </row>
    <row r="1613">
      <c r="A1613" s="521" t="n">
        <v>1605</v>
      </c>
      <c r="B1613" s="522" t="inlineStr">
        <is>
          <t>THC and DOCUMENT FEE</t>
        </is>
      </c>
      <c r="C1613" s="522" t="inlineStr">
        <is>
          <t>អ៊ិចស្ពែឌីធ័រ ខេមបូឌា អិលធីឌី</t>
        </is>
      </c>
      <c r="D1613" s="522" t="inlineStr">
        <is>
          <t>L001-100045898</t>
        </is>
      </c>
      <c r="E1613" s="521" t="inlineStr">
        <is>
          <t>TI-0245495</t>
        </is>
      </c>
      <c r="F1613" s="523" t="n">
        <v>44998</v>
      </c>
      <c r="G1613" s="556" t="n">
        <v>194757</v>
      </c>
      <c r="I1613" s="521">
        <f>G1613</f>
        <v/>
      </c>
      <c r="K1613" s="521">
        <f>I1613-G1613</f>
        <v/>
      </c>
      <c r="M1613" s="522" t="inlineStr">
        <is>
          <t>TI0245495</t>
        </is>
      </c>
      <c r="N1613" s="522" t="inlineStr">
        <is>
          <t>TI0245495</t>
        </is>
      </c>
      <c r="O1613" s="521">
        <f>M1613=N1613</f>
        <v/>
      </c>
      <c r="P1613" s="521">
        <f>AND(MONTH(F1613)=MONTH(S1613), YEAR(F1613)=YEAR(S1613))</f>
        <v/>
      </c>
      <c r="Q1613" s="521">
        <f>U1613="L001-901905215"</f>
        <v/>
      </c>
      <c r="R1613" s="556">
        <f>G1613-W1613</f>
        <v/>
      </c>
      <c r="S1613" s="523" t="n">
        <v>44998</v>
      </c>
      <c r="T1613" s="522" t="inlineStr">
        <is>
          <t>TI-0245495</t>
        </is>
      </c>
      <c r="U1613" s="522" t="inlineStr">
        <is>
          <t>L001-901905215</t>
        </is>
      </c>
      <c r="V1613" s="522" t="inlineStr">
        <is>
          <t>វីអ៊ីស៊ិន (ខេមបូឌា) អ៊ិនដាសស្ទ្រី ឯ.ក</t>
        </is>
      </c>
      <c r="W1613" s="556" t="n">
        <v>194757</v>
      </c>
    </row>
    <row r="1614">
      <c r="A1614" s="521" t="n">
        <v>1606</v>
      </c>
      <c r="B1614" s="522" t="inlineStr">
        <is>
          <t>THC and DOCUMENT FEE</t>
        </is>
      </c>
      <c r="C1614" s="522" t="inlineStr">
        <is>
          <t>អ៊ិចស្ពែឌីធ័រ ខេមបូឌា អិលធីឌី</t>
        </is>
      </c>
      <c r="D1614" s="522" t="inlineStr">
        <is>
          <t>L001-100045898</t>
        </is>
      </c>
      <c r="E1614" s="521" t="inlineStr">
        <is>
          <t>TI-0245493</t>
        </is>
      </c>
      <c r="F1614" s="523" t="n">
        <v>44998</v>
      </c>
      <c r="G1614" s="556" t="n">
        <v>230421</v>
      </c>
      <c r="I1614" s="521">
        <f>G1614</f>
        <v/>
      </c>
      <c r="K1614" s="521">
        <f>I1614-G1614</f>
        <v/>
      </c>
      <c r="M1614" s="522" t="inlineStr">
        <is>
          <t>TI0245493</t>
        </is>
      </c>
      <c r="N1614" s="522" t="inlineStr">
        <is>
          <t>TI0245493</t>
        </is>
      </c>
      <c r="O1614" s="521">
        <f>M1614=N1614</f>
        <v/>
      </c>
      <c r="P1614" s="521">
        <f>AND(MONTH(F1614)=MONTH(S1614), YEAR(F1614)=YEAR(S1614))</f>
        <v/>
      </c>
      <c r="Q1614" s="521">
        <f>U1614="L001-901905215"</f>
        <v/>
      </c>
      <c r="R1614" s="556">
        <f>G1614-W1614</f>
        <v/>
      </c>
      <c r="S1614" s="523" t="n">
        <v>44998</v>
      </c>
      <c r="T1614" s="522" t="inlineStr">
        <is>
          <t>TI-0245493</t>
        </is>
      </c>
      <c r="U1614" s="522" t="inlineStr">
        <is>
          <t>L001-901905215</t>
        </is>
      </c>
      <c r="V1614" s="522" t="inlineStr">
        <is>
          <t>វីអ៊ីស៊ិន (ខេមបូឌា) អ៊ិនដាសស្ទ្រី ឯ.ក</t>
        </is>
      </c>
      <c r="W1614" s="556" t="n">
        <v>230429</v>
      </c>
    </row>
    <row r="1615">
      <c r="A1615" s="521" t="n">
        <v>1607</v>
      </c>
      <c r="B1615" s="522" t="inlineStr">
        <is>
          <t>THC and DOCUMENT FEE</t>
        </is>
      </c>
      <c r="C1615" s="522" t="inlineStr">
        <is>
          <t>អ៊ិចស្ពែឌីធ័រ ខេមបូឌា អិលធីឌី</t>
        </is>
      </c>
      <c r="D1615" s="522" t="inlineStr">
        <is>
          <t>L001-100045898</t>
        </is>
      </c>
      <c r="E1615" s="521" t="inlineStr">
        <is>
          <t>TI-0245486</t>
        </is>
      </c>
      <c r="F1615" s="523" t="n">
        <v>44998</v>
      </c>
      <c r="G1615" s="556" t="n">
        <v>314202</v>
      </c>
      <c r="I1615" s="521">
        <f>G1615</f>
        <v/>
      </c>
      <c r="K1615" s="521">
        <f>I1615-G1615</f>
        <v/>
      </c>
      <c r="M1615" s="522" t="inlineStr">
        <is>
          <t>TI0245486</t>
        </is>
      </c>
      <c r="N1615" s="522" t="inlineStr">
        <is>
          <t>TI0245486</t>
        </is>
      </c>
      <c r="O1615" s="521">
        <f>M1615=N1615</f>
        <v/>
      </c>
      <c r="P1615" s="521">
        <f>AND(MONTH(F1615)=MONTH(S1615), YEAR(F1615)=YEAR(S1615))</f>
        <v/>
      </c>
      <c r="Q1615" s="521">
        <f>U1615="L001-901905215"</f>
        <v/>
      </c>
      <c r="R1615" s="556">
        <f>G1615-W1615</f>
        <v/>
      </c>
      <c r="S1615" s="523" t="n">
        <v>44998</v>
      </c>
      <c r="T1615" s="522" t="inlineStr">
        <is>
          <t>TI-0245486</t>
        </is>
      </c>
      <c r="U1615" s="522" t="inlineStr">
        <is>
          <t>L001-901905215</t>
        </is>
      </c>
      <c r="V1615" s="522" t="inlineStr">
        <is>
          <t>វីអ៊ីស៊ិន (ខេមបូឌា) អ៊ិនដាសស្ទ្រី ឯ.ក</t>
        </is>
      </c>
      <c r="W1615" s="556" t="n">
        <v>314202</v>
      </c>
    </row>
    <row r="1616">
      <c r="A1616" s="521" t="n">
        <v>1608</v>
      </c>
      <c r="B1616" s="522" t="inlineStr">
        <is>
          <t>THC and DOCUMENT FEE</t>
        </is>
      </c>
      <c r="C1616" s="522" t="inlineStr">
        <is>
          <t>អ៊ិចស្ពែឌីធ័រ ខេមបូឌា អិលធីឌី</t>
        </is>
      </c>
      <c r="D1616" s="522" t="inlineStr">
        <is>
          <t>L001-100045898</t>
        </is>
      </c>
      <c r="E1616" s="521" t="inlineStr">
        <is>
          <t>TI-0245482</t>
        </is>
      </c>
      <c r="F1616" s="523" t="n">
        <v>44998</v>
      </c>
      <c r="G1616" s="556" t="n">
        <v>46718</v>
      </c>
      <c r="I1616" s="521">
        <f>G1616</f>
        <v/>
      </c>
      <c r="K1616" s="521">
        <f>I1616-G1616</f>
        <v/>
      </c>
      <c r="M1616" s="522" t="inlineStr">
        <is>
          <t>TI0245482</t>
        </is>
      </c>
      <c r="N1616" s="522" t="inlineStr">
        <is>
          <t>TI0245482</t>
        </is>
      </c>
      <c r="O1616" s="521">
        <f>M1616=N1616</f>
        <v/>
      </c>
      <c r="P1616" s="521">
        <f>AND(MONTH(F1616)=MONTH(S1616), YEAR(F1616)=YEAR(S1616))</f>
        <v/>
      </c>
      <c r="Q1616" s="521">
        <f>U1616="L001-901905215"</f>
        <v/>
      </c>
      <c r="R1616" s="556">
        <f>G1616-W1616</f>
        <v/>
      </c>
      <c r="S1616" s="523" t="n">
        <v>44998</v>
      </c>
      <c r="T1616" s="522" t="inlineStr">
        <is>
          <t>TI-0245482</t>
        </is>
      </c>
      <c r="U1616" s="522" t="inlineStr">
        <is>
          <t>L001-901905215</t>
        </is>
      </c>
      <c r="V1616" s="522" t="inlineStr">
        <is>
          <t>វីអ៊ីស៊ិន (ខេមបូឌា) អ៊ិនដាសស្ទ្រី ឯ.ក</t>
        </is>
      </c>
      <c r="W1616" s="556" t="n">
        <v>46725</v>
      </c>
    </row>
    <row r="1617">
      <c r="A1617" s="521" t="n">
        <v>1609</v>
      </c>
      <c r="B1617" s="522" t="inlineStr">
        <is>
          <t>THC and DOCUMENT FEE</t>
        </is>
      </c>
      <c r="C1617" s="522" t="inlineStr">
        <is>
          <t>អ៊ិចស្ពែឌីធ័រ ខេមបូឌា អិលធីឌី</t>
        </is>
      </c>
      <c r="D1617" s="522" t="inlineStr">
        <is>
          <t>L001-100045898</t>
        </is>
      </c>
      <c r="E1617" s="521" t="inlineStr">
        <is>
          <t>TI-0245463</t>
        </is>
      </c>
      <c r="F1617" s="523" t="n">
        <v>44998</v>
      </c>
      <c r="G1617" s="556" t="n">
        <v>53031</v>
      </c>
      <c r="I1617" s="521">
        <f>G1617</f>
        <v/>
      </c>
      <c r="K1617" s="521">
        <f>I1617-G1617</f>
        <v/>
      </c>
      <c r="M1617" s="522" t="inlineStr">
        <is>
          <t>TI0245463</t>
        </is>
      </c>
      <c r="N1617" s="522" t="inlineStr">
        <is>
          <t>TI0245463</t>
        </is>
      </c>
      <c r="O1617" s="521">
        <f>M1617=N1617</f>
        <v/>
      </c>
      <c r="P1617" s="521">
        <f>AND(MONTH(F1617)=MONTH(S1617), YEAR(F1617)=YEAR(S1617))</f>
        <v/>
      </c>
      <c r="Q1617" s="521">
        <f>U1617="L001-901905215"</f>
        <v/>
      </c>
      <c r="R1617" s="556">
        <f>G1617-W1617</f>
        <v/>
      </c>
      <c r="S1617" s="523" t="n">
        <v>44998</v>
      </c>
      <c r="T1617" s="522" t="inlineStr">
        <is>
          <t>TI-0245463</t>
        </is>
      </c>
      <c r="U1617" s="522" t="inlineStr">
        <is>
          <t>L001-901905215</t>
        </is>
      </c>
      <c r="V1617" s="522" t="inlineStr">
        <is>
          <t>វីអ៊ីស៊ិន (ខេមបូឌា) អ៊ិនដាសស្ទ្រី ឯ.ក</t>
        </is>
      </c>
      <c r="W1617" s="556" t="n">
        <v>53042</v>
      </c>
    </row>
    <row r="1618">
      <c r="A1618" s="521" t="n">
        <v>1610</v>
      </c>
      <c r="B1618" s="522" t="inlineStr">
        <is>
          <t>THC and DOCUMENT FEE</t>
        </is>
      </c>
      <c r="C1618" s="522" t="inlineStr">
        <is>
          <t>អ៊ិចស្ពែឌីធ័រ ខេមបូឌា អិលធីឌី</t>
        </is>
      </c>
      <c r="D1618" s="522" t="inlineStr">
        <is>
          <t>L001-100045898</t>
        </is>
      </c>
      <c r="E1618" s="521" t="inlineStr">
        <is>
          <t>TI-0245010</t>
        </is>
      </c>
      <c r="F1618" s="523" t="n">
        <v>44991</v>
      </c>
      <c r="G1618" s="556" t="n">
        <v>158212</v>
      </c>
      <c r="I1618" s="521">
        <f>G1618</f>
        <v/>
      </c>
      <c r="K1618" s="521">
        <f>I1618-G1618</f>
        <v/>
      </c>
      <c r="M1618" s="522" t="inlineStr">
        <is>
          <t>TI0245010</t>
        </is>
      </c>
      <c r="N1618" s="522" t="inlineStr">
        <is>
          <t>TI0245010</t>
        </is>
      </c>
      <c r="O1618" s="521">
        <f>M1618=N1618</f>
        <v/>
      </c>
      <c r="P1618" s="521">
        <f>AND(MONTH(F1618)=MONTH(S1618), YEAR(F1618)=YEAR(S1618))</f>
        <v/>
      </c>
      <c r="Q1618" s="521">
        <f>U1618="L001-901905215"</f>
        <v/>
      </c>
      <c r="R1618" s="556">
        <f>G1618-W1618</f>
        <v/>
      </c>
      <c r="S1618" s="523" t="n">
        <v>44991</v>
      </c>
      <c r="T1618" s="522" t="inlineStr">
        <is>
          <t>TI-0245010</t>
        </is>
      </c>
      <c r="U1618" s="522" t="inlineStr">
        <is>
          <t>L001-901905215</t>
        </is>
      </c>
      <c r="V1618" s="522" t="inlineStr">
        <is>
          <t>វីអ៊ីស៊ិន (ខេមបូឌា) អ៊ិនដាសស្ទ្រី ឯ.ក</t>
        </is>
      </c>
      <c r="W1618" s="556" t="n">
        <v>158223</v>
      </c>
    </row>
    <row r="1619">
      <c r="A1619" s="521" t="n">
        <v>1611</v>
      </c>
      <c r="B1619" s="522" t="inlineStr">
        <is>
          <t>THC and DOCUMENT FEE</t>
        </is>
      </c>
      <c r="C1619" s="522" t="inlineStr">
        <is>
          <t>អ៊ិចស្ពែឌីធ័រ ខេមបូឌា អិលធីឌី</t>
        </is>
      </c>
      <c r="D1619" s="522" t="inlineStr">
        <is>
          <t>L001-100045898</t>
        </is>
      </c>
      <c r="E1619" s="521" t="inlineStr">
        <is>
          <t>TI-0245008</t>
        </is>
      </c>
      <c r="F1619" s="523" t="n">
        <v>44991</v>
      </c>
      <c r="G1619" s="556" t="n">
        <v>301553</v>
      </c>
      <c r="I1619" s="521">
        <f>G1619</f>
        <v/>
      </c>
      <c r="K1619" s="521">
        <f>I1619-G1619</f>
        <v/>
      </c>
      <c r="M1619" s="522" t="inlineStr">
        <is>
          <t>TI0245008</t>
        </is>
      </c>
      <c r="N1619" s="522" t="inlineStr">
        <is>
          <t>TI0245008</t>
        </is>
      </c>
      <c r="O1619" s="521">
        <f>M1619=N1619</f>
        <v/>
      </c>
      <c r="P1619" s="521">
        <f>AND(MONTH(F1619)=MONTH(S1619), YEAR(F1619)=YEAR(S1619))</f>
        <v/>
      </c>
      <c r="Q1619" s="521">
        <f>U1619="L001-901905215"</f>
        <v/>
      </c>
      <c r="R1619" s="556">
        <f>G1619-W1619</f>
        <v/>
      </c>
      <c r="S1619" s="523" t="n">
        <v>44991</v>
      </c>
      <c r="T1619" s="522" t="inlineStr">
        <is>
          <t>TI-0245008</t>
        </is>
      </c>
      <c r="U1619" s="522" t="inlineStr">
        <is>
          <t>L001-901905215</t>
        </is>
      </c>
      <c r="V1619" s="522" t="inlineStr">
        <is>
          <t>វីអ៊ីស៊ិន (ខេមបូឌា) អ៊ិនដាសស្ទ្រី ឯ.ក</t>
        </is>
      </c>
      <c r="W1619" s="556" t="n">
        <v>301557</v>
      </c>
    </row>
    <row r="1620">
      <c r="A1620" s="521" t="n">
        <v>1612</v>
      </c>
      <c r="B1620" s="522" t="inlineStr">
        <is>
          <t>THC and DOCUMENT FEE</t>
        </is>
      </c>
      <c r="C1620" s="522" t="inlineStr">
        <is>
          <t>អ៊ិចស្ពែឌីធ័រ ខេមបូឌា អិលធីឌី</t>
        </is>
      </c>
      <c r="D1620" s="522" t="inlineStr">
        <is>
          <t>L001-100045898</t>
        </is>
      </c>
      <c r="E1620" s="521" t="inlineStr">
        <is>
          <t>TI-0245004</t>
        </is>
      </c>
      <c r="F1620" s="523" t="n">
        <v>44991</v>
      </c>
      <c r="G1620" s="556" t="n">
        <v>288301</v>
      </c>
      <c r="I1620" s="521">
        <f>G1620</f>
        <v/>
      </c>
      <c r="K1620" s="521">
        <f>I1620-G1620</f>
        <v/>
      </c>
      <c r="M1620" s="522" t="inlineStr">
        <is>
          <t>TI0245004</t>
        </is>
      </c>
      <c r="N1620" s="522" t="inlineStr">
        <is>
          <t>TI0245004</t>
        </is>
      </c>
      <c r="O1620" s="521">
        <f>M1620=N1620</f>
        <v/>
      </c>
      <c r="P1620" s="521">
        <f>AND(MONTH(F1620)=MONTH(S1620), YEAR(F1620)=YEAR(S1620))</f>
        <v/>
      </c>
      <c r="Q1620" s="521">
        <f>U1620="L001-901905215"</f>
        <v/>
      </c>
      <c r="R1620" s="556">
        <f>G1620-W1620</f>
        <v/>
      </c>
      <c r="S1620" s="523" t="n">
        <v>44991</v>
      </c>
      <c r="T1620" s="522" t="inlineStr">
        <is>
          <t>TI-0245004</t>
        </is>
      </c>
      <c r="U1620" s="522" t="inlineStr">
        <is>
          <t>L001-901905215</t>
        </is>
      </c>
      <c r="V1620" s="522" t="inlineStr">
        <is>
          <t>វីអ៊ីស៊ិន (ខេមបូឌា) អ៊ិនដាសស្ទ្រី ឯ.ក</t>
        </is>
      </c>
      <c r="W1620" s="556" t="n">
        <v>288290</v>
      </c>
    </row>
    <row r="1621">
      <c r="A1621" s="521" t="n">
        <v>1613</v>
      </c>
      <c r="B1621" s="522" t="inlineStr">
        <is>
          <t>THC and DOCUMENT FEE</t>
        </is>
      </c>
      <c r="C1621" s="522" t="inlineStr">
        <is>
          <t>អ៊ិចស្ពែឌីធ័រ ខេមបូឌា អិលធីឌី</t>
        </is>
      </c>
      <c r="D1621" s="522" t="inlineStr">
        <is>
          <t>L001-100045898</t>
        </is>
      </c>
      <c r="E1621" s="521" t="inlineStr">
        <is>
          <t>TI-0244994</t>
        </is>
      </c>
      <c r="F1621" s="523" t="n">
        <v>44991</v>
      </c>
      <c r="G1621" s="556" t="n">
        <v>444647</v>
      </c>
      <c r="I1621" s="521">
        <f>G1621</f>
        <v/>
      </c>
      <c r="K1621" s="521">
        <f>I1621-G1621</f>
        <v/>
      </c>
      <c r="M1621" s="522" t="inlineStr">
        <is>
          <t>TI0244994</t>
        </is>
      </c>
      <c r="N1621" s="522" t="inlineStr">
        <is>
          <t>TI0244994</t>
        </is>
      </c>
      <c r="O1621" s="521">
        <f>M1621=N1621</f>
        <v/>
      </c>
      <c r="P1621" s="521">
        <f>AND(MONTH(F1621)=MONTH(S1621), YEAR(F1621)=YEAR(S1621))</f>
        <v/>
      </c>
      <c r="Q1621" s="521">
        <f>U1621="L001-901905215"</f>
        <v/>
      </c>
      <c r="R1621" s="556">
        <f>G1621-W1621</f>
        <v/>
      </c>
      <c r="S1621" s="523" t="n">
        <v>44991</v>
      </c>
      <c r="T1621" s="522" t="inlineStr">
        <is>
          <t>TI-0244994</t>
        </is>
      </c>
      <c r="U1621" s="522" t="inlineStr">
        <is>
          <t>L001-901905215</t>
        </is>
      </c>
      <c r="V1621" s="522" t="inlineStr">
        <is>
          <t>វីអ៊ីស៊ិន (ខេមបូឌា) អ៊ិនដាសស្ទ្រី ឯ.ក</t>
        </is>
      </c>
      <c r="W1621" s="556" t="n">
        <v>444647</v>
      </c>
    </row>
    <row r="1622">
      <c r="A1622" s="521" t="n">
        <v>1614</v>
      </c>
      <c r="B1622" s="522" t="inlineStr">
        <is>
          <t>THC and DOCUMENT FEE</t>
        </is>
      </c>
      <c r="C1622" s="522" t="inlineStr">
        <is>
          <t>អ៊ិចស្ពែឌីធ័រ ខេមបូឌា អិលធីឌី</t>
        </is>
      </c>
      <c r="D1622" s="522" t="inlineStr">
        <is>
          <t>L001-100045898</t>
        </is>
      </c>
      <c r="E1622" s="521" t="inlineStr">
        <is>
          <t>TI-0244970</t>
        </is>
      </c>
      <c r="F1622" s="523" t="n">
        <v>44991</v>
      </c>
      <c r="G1622" s="556" t="n">
        <v>417871</v>
      </c>
      <c r="I1622" s="521">
        <f>G1622</f>
        <v/>
      </c>
      <c r="K1622" s="521">
        <f>I1622-G1622</f>
        <v/>
      </c>
      <c r="M1622" s="522" t="inlineStr">
        <is>
          <t>TI0244970</t>
        </is>
      </c>
      <c r="N1622" s="522" t="inlineStr">
        <is>
          <t>TI0244970</t>
        </is>
      </c>
      <c r="O1622" s="521">
        <f>M1622=N1622</f>
        <v/>
      </c>
      <c r="P1622" s="521">
        <f>AND(MONTH(F1622)=MONTH(S1622), YEAR(F1622)=YEAR(S1622))</f>
        <v/>
      </c>
      <c r="Q1622" s="521">
        <f>U1622="L001-901905215"</f>
        <v/>
      </c>
      <c r="R1622" s="556">
        <f>G1622-W1622</f>
        <v/>
      </c>
      <c r="S1622" s="523" t="n">
        <v>44991</v>
      </c>
      <c r="T1622" s="522" t="inlineStr">
        <is>
          <t>TI-0244970</t>
        </is>
      </c>
      <c r="U1622" s="522" t="inlineStr">
        <is>
          <t>L001-901905215</t>
        </is>
      </c>
      <c r="V1622" s="522" t="inlineStr">
        <is>
          <t>វីអ៊ីស៊ិន (ខេមបូឌា) អ៊ិនដាសស្ទ្រី ឯ.ក</t>
        </is>
      </c>
      <c r="W1622" s="556" t="n">
        <v>417871</v>
      </c>
    </row>
    <row r="1623">
      <c r="A1623" s="521" t="n">
        <v>1615</v>
      </c>
      <c r="B1623" s="522" t="inlineStr">
        <is>
          <t>THC and DOCUMENT FEE</t>
        </is>
      </c>
      <c r="C1623" s="522" t="inlineStr">
        <is>
          <t>អ៊ិចស្ពែឌីធ័រ ខេមបូឌា អិលធីឌី</t>
        </is>
      </c>
      <c r="D1623" s="522" t="inlineStr">
        <is>
          <t>L001-100045898</t>
        </is>
      </c>
      <c r="E1623" s="521" t="inlineStr">
        <is>
          <t>TI-0244969</t>
        </is>
      </c>
      <c r="F1623" s="523" t="n">
        <v>44991</v>
      </c>
      <c r="G1623" s="556" t="n">
        <v>86993</v>
      </c>
      <c r="I1623" s="521">
        <f>G1623</f>
        <v/>
      </c>
      <c r="K1623" s="521">
        <f>I1623-G1623</f>
        <v/>
      </c>
      <c r="M1623" s="522" t="inlineStr">
        <is>
          <t>TI0244969</t>
        </is>
      </c>
      <c r="N1623" s="522" t="inlineStr">
        <is>
          <t>TI0244969</t>
        </is>
      </c>
      <c r="O1623" s="521">
        <f>M1623=N1623</f>
        <v/>
      </c>
      <c r="P1623" s="521">
        <f>AND(MONTH(F1623)=MONTH(S1623), YEAR(F1623)=YEAR(S1623))</f>
        <v/>
      </c>
      <c r="Q1623" s="521">
        <f>U1623="L001-901905215"</f>
        <v/>
      </c>
      <c r="R1623" s="556">
        <f>G1623-W1623</f>
        <v/>
      </c>
      <c r="S1623" s="523" t="n">
        <v>44991</v>
      </c>
      <c r="T1623" s="522" t="inlineStr">
        <is>
          <t>TI-0244969</t>
        </is>
      </c>
      <c r="U1623" s="522" t="inlineStr">
        <is>
          <t>L001-901905215</t>
        </is>
      </c>
      <c r="V1623" s="522" t="inlineStr">
        <is>
          <t>វីអ៊ីស៊ិន (ខេមបូឌា) អ៊ិនដាសស្ទ្រី ឯ.ក</t>
        </is>
      </c>
      <c r="W1623" s="556" t="n">
        <v>86982</v>
      </c>
    </row>
    <row r="1624">
      <c r="A1624" s="521" t="n">
        <v>1616</v>
      </c>
      <c r="B1624" s="522" t="inlineStr">
        <is>
          <t>THC and DOCUMENT FEE</t>
        </is>
      </c>
      <c r="C1624" s="522" t="inlineStr">
        <is>
          <t>អ៊ិចស្ពែឌីធ័រ ខេមបូឌា អិលធីឌី</t>
        </is>
      </c>
      <c r="D1624" s="522" t="inlineStr">
        <is>
          <t>L001-100045898</t>
        </is>
      </c>
      <c r="E1624" s="521" t="inlineStr">
        <is>
          <t>TI-0244963</t>
        </is>
      </c>
      <c r="F1624" s="523" t="n">
        <v>44991</v>
      </c>
      <c r="G1624" s="556" t="n">
        <v>223946</v>
      </c>
      <c r="I1624" s="521">
        <f>G1624</f>
        <v/>
      </c>
      <c r="K1624" s="521">
        <f>I1624-G1624</f>
        <v/>
      </c>
      <c r="M1624" s="522" t="inlineStr">
        <is>
          <t>TI0244963</t>
        </is>
      </c>
      <c r="N1624" s="522" t="inlineStr">
        <is>
          <t>TI0244963</t>
        </is>
      </c>
      <c r="O1624" s="521">
        <f>M1624=N1624</f>
        <v/>
      </c>
      <c r="P1624" s="521">
        <f>AND(MONTH(F1624)=MONTH(S1624), YEAR(F1624)=YEAR(S1624))</f>
        <v/>
      </c>
      <c r="Q1624" s="521">
        <f>U1624="L001-901905215"</f>
        <v/>
      </c>
      <c r="R1624" s="556">
        <f>G1624-W1624</f>
        <v/>
      </c>
      <c r="S1624" s="523" t="n">
        <v>44991</v>
      </c>
      <c r="T1624" s="522" t="inlineStr">
        <is>
          <t>TI-0244963</t>
        </is>
      </c>
      <c r="U1624" s="522" t="inlineStr">
        <is>
          <t>L001-901905215</t>
        </is>
      </c>
      <c r="V1624" s="522" t="inlineStr">
        <is>
          <t>វីអ៊ីស៊ិន (ខេមបូឌា) អ៊ិនដាសស្ទ្រី ឯ.ក</t>
        </is>
      </c>
      <c r="W1624" s="556" t="n">
        <v>223946</v>
      </c>
    </row>
    <row r="1625">
      <c r="A1625" s="521" t="n">
        <v>1617</v>
      </c>
      <c r="B1625" s="522" t="inlineStr">
        <is>
          <t>Export administration Fee</t>
        </is>
      </c>
      <c r="C1625" s="522" t="inlineStr">
        <is>
          <t>ឆាយ ដា ឡូយីស្ទីក</t>
        </is>
      </c>
      <c r="D1625" s="522" t="inlineStr">
        <is>
          <t>L001-100063098</t>
        </is>
      </c>
      <c r="E1625" s="521" t="inlineStr">
        <is>
          <t>2303002245</t>
        </is>
      </c>
      <c r="F1625" s="523" t="n">
        <v>44991</v>
      </c>
      <c r="G1625" s="556" t="n">
        <v>12171</v>
      </c>
      <c r="I1625" s="521">
        <f>G1625</f>
        <v/>
      </c>
      <c r="K1625" s="521">
        <f>I1625-G1625</f>
        <v/>
      </c>
      <c r="M1625" s="522" t="inlineStr">
        <is>
          <t>2303002245</t>
        </is>
      </c>
      <c r="N1625" s="522" t="inlineStr">
        <is>
          <t>2303002245</t>
        </is>
      </c>
      <c r="O1625" s="521">
        <f>M1625=N1625</f>
        <v/>
      </c>
      <c r="P1625" s="521">
        <f>AND(MONTH(F1625)=MONTH(S1625), YEAR(F1625)=YEAR(S1625))</f>
        <v/>
      </c>
      <c r="Q1625" s="521">
        <f>U1625="L001-901905215"</f>
        <v/>
      </c>
      <c r="R1625" s="556">
        <f>G1625-W1625</f>
        <v/>
      </c>
      <c r="S1625" s="523" t="n">
        <v>44991</v>
      </c>
      <c r="T1625" s="522" t="inlineStr">
        <is>
          <t>2303002245</t>
        </is>
      </c>
      <c r="U1625" s="522" t="inlineStr">
        <is>
          <t>L001-901905215</t>
        </is>
      </c>
      <c r="V1625" s="522" t="inlineStr">
        <is>
          <t>វីអ៊ីស៊ិន (ខេមបូឌា) អ៊ិនដាសស្ទ្រី ឯ.ក</t>
        </is>
      </c>
      <c r="W1625" s="556" t="n">
        <v>12171</v>
      </c>
    </row>
    <row r="1626">
      <c r="A1626" s="521" t="n">
        <v>1618</v>
      </c>
      <c r="B1626" s="522" t="inlineStr">
        <is>
          <t>Export administration Fee</t>
        </is>
      </c>
      <c r="C1626" s="522" t="inlineStr">
        <is>
          <t>ឆាយ ដា ឡូយីស្ទីក</t>
        </is>
      </c>
      <c r="D1626" s="522" t="inlineStr">
        <is>
          <t>L001-100063098</t>
        </is>
      </c>
      <c r="E1626" s="521" t="inlineStr">
        <is>
          <t>2303003044</t>
        </is>
      </c>
      <c r="F1626" s="523" t="n">
        <v>45012</v>
      </c>
      <c r="G1626" s="556" t="n">
        <v>3246</v>
      </c>
      <c r="I1626" s="521">
        <f>G1626</f>
        <v/>
      </c>
      <c r="K1626" s="521">
        <f>I1626-G1626</f>
        <v/>
      </c>
      <c r="M1626" s="522" t="inlineStr">
        <is>
          <t>2303003044</t>
        </is>
      </c>
      <c r="N1626" s="522" t="inlineStr">
        <is>
          <t>2303003044</t>
        </is>
      </c>
      <c r="O1626" s="521">
        <f>M1626=N1626</f>
        <v/>
      </c>
      <c r="P1626" s="521">
        <f>AND(MONTH(F1626)=MONTH(S1626), YEAR(F1626)=YEAR(S1626))</f>
        <v/>
      </c>
      <c r="Q1626" s="521">
        <f>U1626="L001-901905215"</f>
        <v/>
      </c>
      <c r="R1626" s="556">
        <f>G1626-W1626</f>
        <v/>
      </c>
      <c r="S1626" s="523" t="n">
        <v>45012</v>
      </c>
      <c r="T1626" s="522" t="inlineStr">
        <is>
          <t>2303003044</t>
        </is>
      </c>
      <c r="U1626" s="522" t="inlineStr">
        <is>
          <t>L001-901905215</t>
        </is>
      </c>
      <c r="V1626" s="522" t="inlineStr">
        <is>
          <t>វីអ៊ីស៊ិន (ខេមបូឌា) អ៊ិនដាសស្ទ្រី ឯ.ក</t>
        </is>
      </c>
      <c r="W1626" s="556" t="n">
        <v>3246</v>
      </c>
    </row>
    <row r="1627">
      <c r="A1627" s="521" t="n">
        <v>1619</v>
      </c>
      <c r="B1627" s="522" t="inlineStr">
        <is>
          <t>Export administration Fee</t>
        </is>
      </c>
      <c r="C1627" s="522" t="inlineStr">
        <is>
          <t>ឆាយ ដា ឡូយីស្ទីក</t>
        </is>
      </c>
      <c r="D1627" s="522" t="inlineStr">
        <is>
          <t>L001-100063098</t>
        </is>
      </c>
      <c r="E1627" s="521" t="inlineStr">
        <is>
          <t>2303003011</t>
        </is>
      </c>
      <c r="F1627" s="523" t="n">
        <v>45012</v>
      </c>
      <c r="G1627" s="556" t="n">
        <v>76696</v>
      </c>
      <c r="I1627" s="521">
        <f>G1627</f>
        <v/>
      </c>
      <c r="K1627" s="521">
        <f>I1627-G1627</f>
        <v/>
      </c>
      <c r="M1627" s="522" t="inlineStr">
        <is>
          <t>2303003011</t>
        </is>
      </c>
      <c r="N1627" s="522" t="inlineStr">
        <is>
          <t>2303003011</t>
        </is>
      </c>
      <c r="O1627" s="521">
        <f>M1627=N1627</f>
        <v/>
      </c>
      <c r="P1627" s="521">
        <f>AND(MONTH(F1627)=MONTH(S1627), YEAR(F1627)=YEAR(S1627))</f>
        <v/>
      </c>
      <c r="Q1627" s="521">
        <f>U1627="L001-901905215"</f>
        <v/>
      </c>
      <c r="R1627" s="556">
        <f>G1627-W1627</f>
        <v/>
      </c>
      <c r="S1627" s="523" t="n">
        <v>45012</v>
      </c>
      <c r="T1627" s="522" t="inlineStr">
        <is>
          <t>2303003011</t>
        </is>
      </c>
      <c r="U1627" s="522" t="inlineStr">
        <is>
          <t>L001-901905215</t>
        </is>
      </c>
      <c r="V1627" s="522" t="inlineStr">
        <is>
          <t>វីអ៊ីស៊ិន (ខេមបូឌា) អ៊ិនដាសស្ទ្រី ឯ.ក</t>
        </is>
      </c>
      <c r="W1627" s="556" t="n">
        <v>76696</v>
      </c>
    </row>
    <row r="1628">
      <c r="A1628" s="521" t="n">
        <v>1620</v>
      </c>
      <c r="B1628" s="522" t="inlineStr">
        <is>
          <t>Export administration Fee</t>
        </is>
      </c>
      <c r="C1628" s="522" t="inlineStr">
        <is>
          <t>ឆាយ ដា ឡូយីស្ទីក</t>
        </is>
      </c>
      <c r="D1628" s="522" t="inlineStr">
        <is>
          <t>L001-100063098</t>
        </is>
      </c>
      <c r="E1628" s="521" t="inlineStr">
        <is>
          <t>2303003007</t>
        </is>
      </c>
      <c r="F1628" s="523" t="n">
        <v>45012</v>
      </c>
      <c r="G1628" s="556" t="n">
        <v>76696</v>
      </c>
      <c r="I1628" s="521">
        <f>G1628</f>
        <v/>
      </c>
      <c r="K1628" s="521">
        <f>I1628-G1628</f>
        <v/>
      </c>
      <c r="M1628" s="522" t="inlineStr">
        <is>
          <t>2303003007</t>
        </is>
      </c>
      <c r="N1628" s="522" t="inlineStr">
        <is>
          <t>2303003007</t>
        </is>
      </c>
      <c r="O1628" s="521">
        <f>M1628=N1628</f>
        <v/>
      </c>
      <c r="P1628" s="521">
        <f>AND(MONTH(F1628)=MONTH(S1628), YEAR(F1628)=YEAR(S1628))</f>
        <v/>
      </c>
      <c r="Q1628" s="521">
        <f>U1628="L001-901905215"</f>
        <v/>
      </c>
      <c r="R1628" s="556">
        <f>G1628-W1628</f>
        <v/>
      </c>
      <c r="S1628" s="523" t="n">
        <v>45012</v>
      </c>
      <c r="T1628" s="522" t="inlineStr">
        <is>
          <t>2303003007</t>
        </is>
      </c>
      <c r="U1628" s="522" t="inlineStr">
        <is>
          <t>L001-901905215</t>
        </is>
      </c>
      <c r="V1628" s="522" t="inlineStr">
        <is>
          <t>វីអ៊ីស៊ិន (ខេមបូឌា) អ៊ិនដាសស្ទ្រី ឯ.ក</t>
        </is>
      </c>
      <c r="W1628" s="556" t="n">
        <v>76696</v>
      </c>
    </row>
    <row r="1629">
      <c r="A1629" s="521" t="n">
        <v>1621</v>
      </c>
      <c r="B1629" s="522" t="inlineStr">
        <is>
          <t>Export administration Fee</t>
        </is>
      </c>
      <c r="C1629" s="522" t="inlineStr">
        <is>
          <t>ឆាយ ដា ឡូយីស្ទីក</t>
        </is>
      </c>
      <c r="D1629" s="522" t="inlineStr">
        <is>
          <t>L001-100063098</t>
        </is>
      </c>
      <c r="E1629" s="521" t="inlineStr">
        <is>
          <t>2303003005</t>
        </is>
      </c>
      <c r="F1629" s="523" t="n">
        <v>45012</v>
      </c>
      <c r="G1629" s="556" t="n">
        <v>76696</v>
      </c>
      <c r="I1629" s="521">
        <f>G1629</f>
        <v/>
      </c>
      <c r="K1629" s="521">
        <f>I1629-G1629</f>
        <v/>
      </c>
      <c r="M1629" s="522" t="inlineStr">
        <is>
          <t>2303003005</t>
        </is>
      </c>
      <c r="N1629" s="522" t="inlineStr">
        <is>
          <t>2303003005</t>
        </is>
      </c>
      <c r="O1629" s="521">
        <f>M1629=N1629</f>
        <v/>
      </c>
      <c r="P1629" s="521">
        <f>AND(MONTH(F1629)=MONTH(S1629), YEAR(F1629)=YEAR(S1629))</f>
        <v/>
      </c>
      <c r="Q1629" s="521">
        <f>U1629="L001-901905215"</f>
        <v/>
      </c>
      <c r="R1629" s="556">
        <f>G1629-W1629</f>
        <v/>
      </c>
      <c r="S1629" s="523" t="n">
        <v>45012</v>
      </c>
      <c r="T1629" s="522" t="inlineStr">
        <is>
          <t>2303003005</t>
        </is>
      </c>
      <c r="U1629" s="522" t="inlineStr">
        <is>
          <t>L001-901905215</t>
        </is>
      </c>
      <c r="V1629" s="522" t="inlineStr">
        <is>
          <t>វីអ៊ីស៊ិន (ខេមបូឌា) អ៊ិនដាសស្ទ្រី ឯ.ក</t>
        </is>
      </c>
      <c r="W1629" s="556" t="n">
        <v>76696</v>
      </c>
    </row>
    <row r="1630">
      <c r="A1630" s="521" t="n">
        <v>1622</v>
      </c>
      <c r="B1630" s="522" t="inlineStr">
        <is>
          <t>Export administration Fee</t>
        </is>
      </c>
      <c r="C1630" s="522" t="inlineStr">
        <is>
          <t>ឆាយ ដា ឡូយីស្ទីក</t>
        </is>
      </c>
      <c r="D1630" s="522" t="inlineStr">
        <is>
          <t>L001-100063098</t>
        </is>
      </c>
      <c r="E1630" s="521" t="inlineStr">
        <is>
          <t>2303002995</t>
        </is>
      </c>
      <c r="F1630" s="523" t="n">
        <v>45012</v>
      </c>
      <c r="G1630" s="556" t="n">
        <v>88870</v>
      </c>
      <c r="I1630" s="521">
        <f>G1630</f>
        <v/>
      </c>
      <c r="K1630" s="521">
        <f>I1630-G1630</f>
        <v/>
      </c>
      <c r="M1630" s="522" t="inlineStr">
        <is>
          <t>2303002995</t>
        </is>
      </c>
      <c r="N1630" s="522" t="inlineStr">
        <is>
          <t>2303002995</t>
        </is>
      </c>
      <c r="O1630" s="521">
        <f>M1630=N1630</f>
        <v/>
      </c>
      <c r="P1630" s="521">
        <f>AND(MONTH(F1630)=MONTH(S1630), YEAR(F1630)=YEAR(S1630))</f>
        <v/>
      </c>
      <c r="Q1630" s="521">
        <f>U1630="L001-901905215"</f>
        <v/>
      </c>
      <c r="R1630" s="556">
        <f>G1630-W1630</f>
        <v/>
      </c>
      <c r="S1630" s="523" t="n">
        <v>45012</v>
      </c>
      <c r="T1630" s="522" t="inlineStr">
        <is>
          <t>2303002995</t>
        </is>
      </c>
      <c r="U1630" s="522" t="inlineStr">
        <is>
          <t>L001-901905215</t>
        </is>
      </c>
      <c r="V1630" s="522" t="inlineStr">
        <is>
          <t>វីអ៊ីស៊ិន (ខេមបូឌា) អ៊ិនដាសស្ទ្រី ឯ.ក</t>
        </is>
      </c>
      <c r="W1630" s="556" t="n">
        <v>88870</v>
      </c>
    </row>
    <row r="1631">
      <c r="A1631" s="521" t="n">
        <v>1623</v>
      </c>
      <c r="B1631" s="522" t="inlineStr">
        <is>
          <t>Export administration Fee</t>
        </is>
      </c>
      <c r="C1631" s="522" t="inlineStr">
        <is>
          <t>ឆាយ ដា ឡូយីស្ទីក</t>
        </is>
      </c>
      <c r="D1631" s="522" t="inlineStr">
        <is>
          <t>L001-100063098</t>
        </is>
      </c>
      <c r="E1631" s="521" t="inlineStr">
        <is>
          <t>2303002993</t>
        </is>
      </c>
      <c r="F1631" s="523" t="n">
        <v>45012</v>
      </c>
      <c r="G1631" s="556" t="n">
        <v>76696</v>
      </c>
      <c r="I1631" s="521">
        <f>G1631</f>
        <v/>
      </c>
      <c r="K1631" s="521">
        <f>I1631-G1631</f>
        <v/>
      </c>
      <c r="M1631" s="522" t="inlineStr">
        <is>
          <t>2303002993</t>
        </is>
      </c>
      <c r="N1631" s="522" t="inlineStr">
        <is>
          <t>2303002993</t>
        </is>
      </c>
      <c r="O1631" s="521">
        <f>M1631=N1631</f>
        <v/>
      </c>
      <c r="P1631" s="521">
        <f>AND(MONTH(F1631)=MONTH(S1631), YEAR(F1631)=YEAR(S1631))</f>
        <v/>
      </c>
      <c r="Q1631" s="521">
        <f>U1631="L001-901905215"</f>
        <v/>
      </c>
      <c r="R1631" s="556">
        <f>G1631-W1631</f>
        <v/>
      </c>
      <c r="S1631" s="523" t="n">
        <v>45012</v>
      </c>
      <c r="T1631" s="522" t="inlineStr">
        <is>
          <t>2303002993</t>
        </is>
      </c>
      <c r="U1631" s="522" t="inlineStr">
        <is>
          <t>L001-901905215</t>
        </is>
      </c>
      <c r="V1631" s="522" t="inlineStr">
        <is>
          <t>វីអ៊ីស៊ិន (ខេមបូឌា) អ៊ិនដាសស្ទ្រី ឯ.ក</t>
        </is>
      </c>
      <c r="W1631" s="556" t="n">
        <v>76696</v>
      </c>
    </row>
    <row r="1632">
      <c r="A1632" s="521" t="n">
        <v>1624</v>
      </c>
      <c r="B1632" s="522" t="inlineStr">
        <is>
          <t>Export administration Fee</t>
        </is>
      </c>
      <c r="C1632" s="522" t="inlineStr">
        <is>
          <t>ឆាយ ដា ឡូយីស្ទីក</t>
        </is>
      </c>
      <c r="D1632" s="522" t="inlineStr">
        <is>
          <t>L001-100063098</t>
        </is>
      </c>
      <c r="E1632" s="521" t="inlineStr">
        <is>
          <t>2303002760</t>
        </is>
      </c>
      <c r="F1632" s="523" t="n">
        <v>45005</v>
      </c>
      <c r="G1632" s="556" t="n">
        <v>21534</v>
      </c>
      <c r="I1632" s="521">
        <f>G1632</f>
        <v/>
      </c>
      <c r="K1632" s="521">
        <f>I1632-G1632</f>
        <v/>
      </c>
      <c r="M1632" s="522" t="inlineStr">
        <is>
          <t>2303002760</t>
        </is>
      </c>
      <c r="N1632" s="522" t="inlineStr">
        <is>
          <t>2303002760</t>
        </is>
      </c>
      <c r="O1632" s="521">
        <f>M1632=N1632</f>
        <v/>
      </c>
      <c r="P1632" s="521">
        <f>AND(MONTH(F1632)=MONTH(S1632), YEAR(F1632)=YEAR(S1632))</f>
        <v/>
      </c>
      <c r="Q1632" s="521">
        <f>U1632="L001-901905215"</f>
        <v/>
      </c>
      <c r="R1632" s="556">
        <f>G1632-W1632</f>
        <v/>
      </c>
      <c r="S1632" s="523" t="n">
        <v>45005</v>
      </c>
      <c r="T1632" s="522" t="inlineStr">
        <is>
          <t>2303002760</t>
        </is>
      </c>
      <c r="U1632" s="522" t="inlineStr">
        <is>
          <t>L001-901905215</t>
        </is>
      </c>
      <c r="V1632" s="522" t="inlineStr">
        <is>
          <t>វីអ៊ីស៊ិន (ខេមបូឌា) អ៊ិនដាសស្ទ្រី ឯ.ក</t>
        </is>
      </c>
      <c r="W1632" s="556" t="n">
        <v>21534</v>
      </c>
    </row>
    <row r="1633">
      <c r="A1633" s="521" t="n">
        <v>1625</v>
      </c>
      <c r="B1633" s="522" t="inlineStr">
        <is>
          <t>Export administration Fee</t>
        </is>
      </c>
      <c r="C1633" s="522" t="inlineStr">
        <is>
          <t>ឆាយ ដា ឡូយីស្ទីក</t>
        </is>
      </c>
      <c r="D1633" s="522" t="inlineStr">
        <is>
          <t>L001-100063098</t>
        </is>
      </c>
      <c r="E1633" s="521" t="inlineStr">
        <is>
          <t>2303002744</t>
        </is>
      </c>
      <c r="F1633" s="523" t="n">
        <v>45005</v>
      </c>
      <c r="G1633" s="556" t="n">
        <v>76791</v>
      </c>
      <c r="I1633" s="521">
        <f>G1633</f>
        <v/>
      </c>
      <c r="K1633" s="521">
        <f>I1633-G1633</f>
        <v/>
      </c>
      <c r="M1633" s="522" t="inlineStr">
        <is>
          <t>2303002744</t>
        </is>
      </c>
      <c r="N1633" s="522" t="inlineStr">
        <is>
          <t>2303002744</t>
        </is>
      </c>
      <c r="O1633" s="521">
        <f>M1633=N1633</f>
        <v/>
      </c>
      <c r="P1633" s="521">
        <f>AND(MONTH(F1633)=MONTH(S1633), YEAR(F1633)=YEAR(S1633))</f>
        <v/>
      </c>
      <c r="Q1633" s="521">
        <f>U1633="L001-901905215"</f>
        <v/>
      </c>
      <c r="R1633" s="556">
        <f>G1633-W1633</f>
        <v/>
      </c>
      <c r="S1633" s="523" t="n">
        <v>45005</v>
      </c>
      <c r="T1633" s="522" t="inlineStr">
        <is>
          <t>2303002744</t>
        </is>
      </c>
      <c r="U1633" s="522" t="inlineStr">
        <is>
          <t>L001-901905215</t>
        </is>
      </c>
      <c r="V1633" s="522" t="inlineStr">
        <is>
          <t>វីអ៊ីស៊ិន (ខេមបូឌា) អ៊ិនដាសស្ទ្រី ឯ.ក</t>
        </is>
      </c>
      <c r="W1633" s="556" t="n">
        <v>76791</v>
      </c>
    </row>
    <row r="1634">
      <c r="A1634" s="521" t="n">
        <v>1626</v>
      </c>
      <c r="B1634" s="522" t="inlineStr">
        <is>
          <t>Export administration Fee</t>
        </is>
      </c>
      <c r="C1634" s="522" t="inlineStr">
        <is>
          <t>ឆាយ ដា ឡូយីស្ទីក</t>
        </is>
      </c>
      <c r="D1634" s="522" t="inlineStr">
        <is>
          <t>L001-100063098</t>
        </is>
      </c>
      <c r="E1634" s="521" t="inlineStr">
        <is>
          <t>2303002742</t>
        </is>
      </c>
      <c r="F1634" s="523" t="n">
        <v>45005</v>
      </c>
      <c r="G1634" s="556" t="n">
        <v>88980</v>
      </c>
      <c r="I1634" s="521">
        <f>G1634</f>
        <v/>
      </c>
      <c r="K1634" s="521">
        <f>I1634-G1634</f>
        <v/>
      </c>
      <c r="M1634" s="522" t="inlineStr">
        <is>
          <t>2303002742</t>
        </is>
      </c>
      <c r="N1634" s="522" t="inlineStr">
        <is>
          <t>2303002742</t>
        </is>
      </c>
      <c r="O1634" s="521">
        <f>M1634=N1634</f>
        <v/>
      </c>
      <c r="P1634" s="521">
        <f>AND(MONTH(F1634)=MONTH(S1634), YEAR(F1634)=YEAR(S1634))</f>
        <v/>
      </c>
      <c r="Q1634" s="521">
        <f>U1634="L001-901905215"</f>
        <v/>
      </c>
      <c r="R1634" s="556">
        <f>G1634-W1634</f>
        <v/>
      </c>
      <c r="S1634" s="523" t="n">
        <v>45005</v>
      </c>
      <c r="T1634" s="522" t="inlineStr">
        <is>
          <t>2303002742</t>
        </is>
      </c>
      <c r="U1634" s="522" t="inlineStr">
        <is>
          <t>L001-901905215</t>
        </is>
      </c>
      <c r="V1634" s="522" t="inlineStr">
        <is>
          <t>វីអ៊ីស៊ិន (ខេមបូឌា) អ៊ិនដាសស្ទ្រី ឯ.ក</t>
        </is>
      </c>
      <c r="W1634" s="556" t="n">
        <v>88980</v>
      </c>
    </row>
    <row r="1635">
      <c r="A1635" s="521" t="n">
        <v>1627</v>
      </c>
      <c r="B1635" s="522" t="inlineStr">
        <is>
          <t>Export administration Fee</t>
        </is>
      </c>
      <c r="C1635" s="522" t="inlineStr">
        <is>
          <t>ឆាយ ដា ឡូយីស្ទីក</t>
        </is>
      </c>
      <c r="D1635" s="522" t="inlineStr">
        <is>
          <t>L001-100063098</t>
        </is>
      </c>
      <c r="E1635" s="521" t="inlineStr">
        <is>
          <t>2303002740</t>
        </is>
      </c>
      <c r="F1635" s="523" t="n">
        <v>45005</v>
      </c>
      <c r="G1635" s="556" t="n">
        <v>101169</v>
      </c>
      <c r="I1635" s="521">
        <f>G1635</f>
        <v/>
      </c>
      <c r="K1635" s="521">
        <f>I1635-G1635</f>
        <v/>
      </c>
      <c r="M1635" s="522" t="inlineStr">
        <is>
          <t>2303002740</t>
        </is>
      </c>
      <c r="N1635" s="522" t="inlineStr">
        <is>
          <t>2303002740</t>
        </is>
      </c>
      <c r="O1635" s="521">
        <f>M1635=N1635</f>
        <v/>
      </c>
      <c r="P1635" s="521">
        <f>AND(MONTH(F1635)=MONTH(S1635), YEAR(F1635)=YEAR(S1635))</f>
        <v/>
      </c>
      <c r="Q1635" s="521">
        <f>U1635="L001-901905215"</f>
        <v/>
      </c>
      <c r="R1635" s="556">
        <f>G1635-W1635</f>
        <v/>
      </c>
      <c r="S1635" s="523" t="n">
        <v>45005</v>
      </c>
      <c r="T1635" s="522" t="inlineStr">
        <is>
          <t>2303002740</t>
        </is>
      </c>
      <c r="U1635" s="522" t="inlineStr">
        <is>
          <t>L001-901905215</t>
        </is>
      </c>
      <c r="V1635" s="522" t="inlineStr">
        <is>
          <t>វីអ៊ីស៊ិន (ខេមបូឌា) អ៊ិនដាសស្ទ្រី ឯ.ក</t>
        </is>
      </c>
      <c r="W1635" s="556" t="n">
        <v>101169</v>
      </c>
    </row>
    <row r="1636">
      <c r="A1636" s="521" t="n">
        <v>1628</v>
      </c>
      <c r="B1636" s="522" t="inlineStr">
        <is>
          <t>Export administration Fee</t>
        </is>
      </c>
      <c r="C1636" s="522" t="inlineStr">
        <is>
          <t>ឆាយ ដា ឡូយីស្ទីក</t>
        </is>
      </c>
      <c r="D1636" s="522" t="inlineStr">
        <is>
          <t>L001-100063098</t>
        </is>
      </c>
      <c r="E1636" s="521" t="inlineStr">
        <is>
          <t>2303002734</t>
        </is>
      </c>
      <c r="F1636" s="523" t="n">
        <v>45005</v>
      </c>
      <c r="G1636" s="556" t="n">
        <v>76791</v>
      </c>
      <c r="I1636" s="521">
        <f>G1636</f>
        <v/>
      </c>
      <c r="K1636" s="521">
        <f>I1636-G1636</f>
        <v/>
      </c>
      <c r="M1636" s="522" t="inlineStr">
        <is>
          <t>2303002734</t>
        </is>
      </c>
      <c r="N1636" s="522" t="inlineStr">
        <is>
          <t>2303002734</t>
        </is>
      </c>
      <c r="O1636" s="521">
        <f>M1636=N1636</f>
        <v/>
      </c>
      <c r="P1636" s="521">
        <f>AND(MONTH(F1636)=MONTH(S1636), YEAR(F1636)=YEAR(S1636))</f>
        <v/>
      </c>
      <c r="Q1636" s="521">
        <f>U1636="L001-901905215"</f>
        <v/>
      </c>
      <c r="R1636" s="556">
        <f>G1636-W1636</f>
        <v/>
      </c>
      <c r="S1636" s="523" t="n">
        <v>45005</v>
      </c>
      <c r="T1636" s="522" t="inlineStr">
        <is>
          <t>2303002734</t>
        </is>
      </c>
      <c r="U1636" s="522" t="inlineStr">
        <is>
          <t>L001-901905215</t>
        </is>
      </c>
      <c r="V1636" s="522" t="inlineStr">
        <is>
          <t>វីអ៊ីស៊ិន (ខេមបូឌា) អ៊ិនដាសស្ទ្រី ឯ.ក</t>
        </is>
      </c>
      <c r="W1636" s="556" t="n">
        <v>76791</v>
      </c>
    </row>
    <row r="1637">
      <c r="A1637" s="521" t="n">
        <v>1629</v>
      </c>
      <c r="B1637" s="522" t="inlineStr">
        <is>
          <t>Export administration Fee</t>
        </is>
      </c>
      <c r="C1637" s="522" t="inlineStr">
        <is>
          <t>ឆាយ ដា ឡូយីស្ទីក</t>
        </is>
      </c>
      <c r="D1637" s="522" t="inlineStr">
        <is>
          <t>L001-100063098</t>
        </is>
      </c>
      <c r="E1637" s="521" t="inlineStr">
        <is>
          <t>2303002732</t>
        </is>
      </c>
      <c r="F1637" s="523" t="n">
        <v>45005</v>
      </c>
      <c r="G1637" s="556" t="n">
        <v>88980</v>
      </c>
      <c r="I1637" s="521">
        <f>G1637</f>
        <v/>
      </c>
      <c r="K1637" s="521">
        <f>I1637-G1637</f>
        <v/>
      </c>
      <c r="M1637" s="522" t="inlineStr">
        <is>
          <t>2303002732</t>
        </is>
      </c>
      <c r="N1637" s="522" t="inlineStr">
        <is>
          <t>2303002732</t>
        </is>
      </c>
      <c r="O1637" s="521">
        <f>M1637=N1637</f>
        <v/>
      </c>
      <c r="P1637" s="521">
        <f>AND(MONTH(F1637)=MONTH(S1637), YEAR(F1637)=YEAR(S1637))</f>
        <v/>
      </c>
      <c r="Q1637" s="521">
        <f>U1637="L001-901905215"</f>
        <v/>
      </c>
      <c r="R1637" s="556">
        <f>G1637-W1637</f>
        <v/>
      </c>
      <c r="S1637" s="523" t="n">
        <v>45005</v>
      </c>
      <c r="T1637" s="522" t="inlineStr">
        <is>
          <t>2303002732</t>
        </is>
      </c>
      <c r="U1637" s="522" t="inlineStr">
        <is>
          <t>L001-901905215</t>
        </is>
      </c>
      <c r="V1637" s="522" t="inlineStr">
        <is>
          <t>វីអ៊ីស៊ិន (ខេមបូឌា) អ៊ិនដាសស្ទ្រី ឯ.ក</t>
        </is>
      </c>
      <c r="W1637" s="556" t="n">
        <v>88980</v>
      </c>
    </row>
    <row r="1638">
      <c r="A1638" s="521" t="n">
        <v>1630</v>
      </c>
      <c r="B1638" s="522" t="inlineStr">
        <is>
          <t>Export administration Fee</t>
        </is>
      </c>
      <c r="C1638" s="522" t="inlineStr">
        <is>
          <t>ឆាយ ដា ឡូយីស្ទីក</t>
        </is>
      </c>
      <c r="D1638" s="522" t="inlineStr">
        <is>
          <t>L001-100063098</t>
        </is>
      </c>
      <c r="E1638" s="521" t="inlineStr">
        <is>
          <t>2303002507</t>
        </is>
      </c>
      <c r="F1638" s="523" t="n">
        <v>44998</v>
      </c>
      <c r="G1638" s="556" t="n">
        <v>12147</v>
      </c>
      <c r="I1638" s="521">
        <f>G1638</f>
        <v/>
      </c>
      <c r="K1638" s="521">
        <f>I1638-G1638</f>
        <v/>
      </c>
      <c r="M1638" s="522" t="inlineStr">
        <is>
          <t>2303002507</t>
        </is>
      </c>
      <c r="N1638" s="522" t="inlineStr">
        <is>
          <t>2303002507</t>
        </is>
      </c>
      <c r="O1638" s="521">
        <f>M1638=N1638</f>
        <v/>
      </c>
      <c r="P1638" s="521">
        <f>AND(MONTH(F1638)=MONTH(S1638), YEAR(F1638)=YEAR(S1638))</f>
        <v/>
      </c>
      <c r="Q1638" s="521">
        <f>U1638="L001-901905215"</f>
        <v/>
      </c>
      <c r="R1638" s="556">
        <f>G1638-W1638</f>
        <v/>
      </c>
      <c r="S1638" s="523" t="n">
        <v>44998</v>
      </c>
      <c r="T1638" s="522" t="inlineStr">
        <is>
          <t>2303002507</t>
        </is>
      </c>
      <c r="U1638" s="522" t="inlineStr">
        <is>
          <t>L001-901905215</t>
        </is>
      </c>
      <c r="V1638" s="522" t="inlineStr">
        <is>
          <t>វីអ៊ីស៊ិន (ខេមបូឌា) អ៊ិនដាសស្ទ្រី ឯ.ក</t>
        </is>
      </c>
      <c r="W1638" s="556" t="n">
        <v>12147</v>
      </c>
    </row>
    <row r="1639">
      <c r="A1639" s="521" t="n">
        <v>1631</v>
      </c>
      <c r="B1639" s="522" t="inlineStr">
        <is>
          <t>Export administration Fee</t>
        </is>
      </c>
      <c r="C1639" s="522" t="inlineStr">
        <is>
          <t>ឆាយ ដា ឡូយីស្ទីក</t>
        </is>
      </c>
      <c r="D1639" s="522" t="inlineStr">
        <is>
          <t>L001-100063098</t>
        </is>
      </c>
      <c r="E1639" s="521" t="inlineStr">
        <is>
          <t>2303002480</t>
        </is>
      </c>
      <c r="F1639" s="523" t="n">
        <v>44998</v>
      </c>
      <c r="G1639" s="556" t="n">
        <v>76526</v>
      </c>
      <c r="I1639" s="521">
        <f>G1639</f>
        <v/>
      </c>
      <c r="K1639" s="521">
        <f>I1639-G1639</f>
        <v/>
      </c>
      <c r="M1639" s="522" t="inlineStr">
        <is>
          <t>2303002480</t>
        </is>
      </c>
      <c r="N1639" s="522" t="inlineStr">
        <is>
          <t>2303002480</t>
        </is>
      </c>
      <c r="O1639" s="521">
        <f>M1639=N1639</f>
        <v/>
      </c>
      <c r="P1639" s="521">
        <f>AND(MONTH(F1639)=MONTH(S1639), YEAR(F1639)=YEAR(S1639))</f>
        <v/>
      </c>
      <c r="Q1639" s="521">
        <f>U1639="L001-901905215"</f>
        <v/>
      </c>
      <c r="R1639" s="556">
        <f>G1639-W1639</f>
        <v/>
      </c>
      <c r="S1639" s="523" t="n">
        <v>44998</v>
      </c>
      <c r="T1639" s="522" t="inlineStr">
        <is>
          <t>2303002480</t>
        </is>
      </c>
      <c r="U1639" s="522" t="inlineStr">
        <is>
          <t>L001-901905215</t>
        </is>
      </c>
      <c r="V1639" s="522" t="inlineStr">
        <is>
          <t>វីអ៊ីស៊ិន (ខេមបូឌា) អ៊ិនដាសស្ទ្រី ឯ.ក</t>
        </is>
      </c>
      <c r="W1639" s="556" t="n">
        <v>76526</v>
      </c>
    </row>
    <row r="1640">
      <c r="A1640" s="521" t="n">
        <v>1632</v>
      </c>
      <c r="B1640" s="522" t="inlineStr">
        <is>
          <t>Export administration Fee</t>
        </is>
      </c>
      <c r="C1640" s="522" t="inlineStr">
        <is>
          <t>ឆាយ ដា ឡូយីស្ទីក</t>
        </is>
      </c>
      <c r="D1640" s="522" t="inlineStr">
        <is>
          <t>L001-100063098</t>
        </is>
      </c>
      <c r="E1640" s="521" t="inlineStr">
        <is>
          <t>2303002479</t>
        </is>
      </c>
      <c r="F1640" s="523" t="n">
        <v>44998</v>
      </c>
      <c r="G1640" s="556" t="n">
        <v>76526</v>
      </c>
      <c r="I1640" s="521">
        <f>G1640</f>
        <v/>
      </c>
      <c r="K1640" s="521">
        <f>I1640-G1640</f>
        <v/>
      </c>
      <c r="M1640" s="522" t="inlineStr">
        <is>
          <t>2303002479</t>
        </is>
      </c>
      <c r="N1640" s="522" t="inlineStr">
        <is>
          <t>2303002479</t>
        </is>
      </c>
      <c r="O1640" s="521">
        <f>M1640=N1640</f>
        <v/>
      </c>
      <c r="P1640" s="521">
        <f>AND(MONTH(F1640)=MONTH(S1640), YEAR(F1640)=YEAR(S1640))</f>
        <v/>
      </c>
      <c r="Q1640" s="521">
        <f>U1640="L001-901905215"</f>
        <v/>
      </c>
      <c r="R1640" s="556">
        <f>G1640-W1640</f>
        <v/>
      </c>
      <c r="S1640" s="523" t="n">
        <v>44998</v>
      </c>
      <c r="T1640" s="522" t="inlineStr">
        <is>
          <t>2303002479</t>
        </is>
      </c>
      <c r="U1640" s="522" t="inlineStr">
        <is>
          <t>L001-901905215</t>
        </is>
      </c>
      <c r="V1640" s="522" t="inlineStr">
        <is>
          <t>វីអ៊ីស៊ិន (ខេមបូឌា) អ៊ិនដាសស្ទ្រី ឯ.ក</t>
        </is>
      </c>
      <c r="W1640" s="556" t="n">
        <v>76526</v>
      </c>
    </row>
    <row r="1641">
      <c r="A1641" s="521" t="n">
        <v>1633</v>
      </c>
      <c r="B1641" s="522" t="inlineStr">
        <is>
          <t>Export administration Fee</t>
        </is>
      </c>
      <c r="C1641" s="522" t="inlineStr">
        <is>
          <t>ឆាយ ដា ឡូយីស្ទីក</t>
        </is>
      </c>
      <c r="D1641" s="522" t="inlineStr">
        <is>
          <t>L001-100063098</t>
        </is>
      </c>
      <c r="E1641" s="521" t="inlineStr">
        <is>
          <t>2303002477</t>
        </is>
      </c>
      <c r="F1641" s="523" t="n">
        <v>44998</v>
      </c>
      <c r="G1641" s="556" t="n">
        <v>88673</v>
      </c>
      <c r="I1641" s="521">
        <f>G1641</f>
        <v/>
      </c>
      <c r="K1641" s="521">
        <f>I1641-G1641</f>
        <v/>
      </c>
      <c r="M1641" s="522" t="inlineStr">
        <is>
          <t>2303002477</t>
        </is>
      </c>
      <c r="N1641" s="522" t="inlineStr">
        <is>
          <t>2303002477</t>
        </is>
      </c>
      <c r="O1641" s="521">
        <f>M1641=N1641</f>
        <v/>
      </c>
      <c r="P1641" s="521">
        <f>AND(MONTH(F1641)=MONTH(S1641), YEAR(F1641)=YEAR(S1641))</f>
        <v/>
      </c>
      <c r="Q1641" s="521">
        <f>U1641="L001-901905215"</f>
        <v/>
      </c>
      <c r="R1641" s="556">
        <f>G1641-W1641</f>
        <v/>
      </c>
      <c r="S1641" s="523" t="n">
        <v>44998</v>
      </c>
      <c r="T1641" s="522" t="inlineStr">
        <is>
          <t>2303002477</t>
        </is>
      </c>
      <c r="U1641" s="522" t="inlineStr">
        <is>
          <t>L001-901905215</t>
        </is>
      </c>
      <c r="V1641" s="522" t="inlineStr">
        <is>
          <t>វីអ៊ីស៊ិន (ខេមបូឌា) អ៊ិនដាសស្ទ្រី ឯ.ក</t>
        </is>
      </c>
      <c r="W1641" s="556" t="n">
        <v>88673</v>
      </c>
    </row>
    <row r="1642">
      <c r="A1642" s="521" t="n">
        <v>1634</v>
      </c>
      <c r="B1642" s="522" t="inlineStr">
        <is>
          <t>Export administration Fee</t>
        </is>
      </c>
      <c r="C1642" s="522" t="inlineStr">
        <is>
          <t>ឆាយ ដា ឡូយីស្ទីក</t>
        </is>
      </c>
      <c r="D1642" s="522" t="inlineStr">
        <is>
          <t>L001-100063098</t>
        </is>
      </c>
      <c r="E1642" s="521" t="inlineStr">
        <is>
          <t>2303002475</t>
        </is>
      </c>
      <c r="F1642" s="523" t="n">
        <v>44998</v>
      </c>
      <c r="G1642" s="556" t="n">
        <v>76526</v>
      </c>
      <c r="I1642" s="521">
        <f>G1642</f>
        <v/>
      </c>
      <c r="K1642" s="521">
        <f>I1642-G1642</f>
        <v/>
      </c>
      <c r="M1642" s="522" t="inlineStr">
        <is>
          <t>2303002475</t>
        </is>
      </c>
      <c r="N1642" s="522" t="inlineStr">
        <is>
          <t>2303002475</t>
        </is>
      </c>
      <c r="O1642" s="521">
        <f>M1642=N1642</f>
        <v/>
      </c>
      <c r="P1642" s="521">
        <f>AND(MONTH(F1642)=MONTH(S1642), YEAR(F1642)=YEAR(S1642))</f>
        <v/>
      </c>
      <c r="Q1642" s="521">
        <f>U1642="L001-901905215"</f>
        <v/>
      </c>
      <c r="R1642" s="556">
        <f>G1642-W1642</f>
        <v/>
      </c>
      <c r="S1642" s="523" t="n">
        <v>44998</v>
      </c>
      <c r="T1642" s="522" t="inlineStr">
        <is>
          <t>2303002475</t>
        </is>
      </c>
      <c r="U1642" s="522" t="inlineStr">
        <is>
          <t>L001-901905215</t>
        </is>
      </c>
      <c r="V1642" s="522" t="inlineStr">
        <is>
          <t>វីអ៊ីស៊ិន (ខេមបូឌា) អ៊ិនដាសស្ទ្រី ឯ.ក</t>
        </is>
      </c>
      <c r="W1642" s="556" t="n">
        <v>76526</v>
      </c>
    </row>
    <row r="1643">
      <c r="A1643" s="521" t="n">
        <v>1635</v>
      </c>
      <c r="B1643" s="522" t="inlineStr">
        <is>
          <t>Export administration Fee</t>
        </is>
      </c>
      <c r="C1643" s="522" t="inlineStr">
        <is>
          <t>ឆាយ ដា ឡូយីស្ទីក</t>
        </is>
      </c>
      <c r="D1643" s="522" t="inlineStr">
        <is>
          <t>L001-100063098</t>
        </is>
      </c>
      <c r="E1643" s="521" t="inlineStr">
        <is>
          <t>2303002473</t>
        </is>
      </c>
      <c r="F1643" s="523" t="n">
        <v>44986</v>
      </c>
      <c r="G1643" s="556" t="n">
        <v>88673</v>
      </c>
      <c r="I1643" s="521">
        <f>G1643</f>
        <v/>
      </c>
      <c r="K1643" s="521">
        <f>I1643-G1643</f>
        <v/>
      </c>
      <c r="M1643" s="522" t="inlineStr">
        <is>
          <t>2303002473</t>
        </is>
      </c>
      <c r="N1643" s="522" t="inlineStr">
        <is>
          <t>2303002473</t>
        </is>
      </c>
      <c r="O1643" s="521">
        <f>M1643=N1643</f>
        <v/>
      </c>
      <c r="P1643" s="521">
        <f>AND(MONTH(F1643)=MONTH(S1643), YEAR(F1643)=YEAR(S1643))</f>
        <v/>
      </c>
      <c r="Q1643" s="521">
        <f>U1643="L001-901905215"</f>
        <v/>
      </c>
      <c r="R1643" s="556">
        <f>G1643-W1643</f>
        <v/>
      </c>
      <c r="S1643" s="523" t="n">
        <v>44998</v>
      </c>
      <c r="T1643" s="522" t="inlineStr">
        <is>
          <t>2303002473</t>
        </is>
      </c>
      <c r="U1643" s="522" t="inlineStr">
        <is>
          <t>L001-901905215</t>
        </is>
      </c>
      <c r="V1643" s="522" t="inlineStr">
        <is>
          <t>វីអ៊ីស៊ិន (ខេមបូឌា) អ៊ិនដាសស្ទ្រី ឯ.ក</t>
        </is>
      </c>
      <c r="W1643" s="556" t="n">
        <v>88673</v>
      </c>
    </row>
    <row r="1644">
      <c r="A1644" s="521" t="n">
        <v>1636</v>
      </c>
      <c r="B1644" s="522" t="inlineStr">
        <is>
          <t>Export administration Fee</t>
        </is>
      </c>
      <c r="C1644" s="522" t="inlineStr">
        <is>
          <t>ឆាយ ដា ឡូយីស្ទីក</t>
        </is>
      </c>
      <c r="D1644" s="522" t="inlineStr">
        <is>
          <t>L001-100063098</t>
        </is>
      </c>
      <c r="E1644" s="521" t="inlineStr">
        <is>
          <t>2303002470</t>
        </is>
      </c>
      <c r="F1644" s="523" t="n">
        <v>44998</v>
      </c>
      <c r="G1644" s="556" t="n">
        <v>76526</v>
      </c>
      <c r="I1644" s="521">
        <f>G1644</f>
        <v/>
      </c>
      <c r="K1644" s="521">
        <f>I1644-G1644</f>
        <v/>
      </c>
      <c r="M1644" s="522" t="inlineStr">
        <is>
          <t>2303002470</t>
        </is>
      </c>
      <c r="N1644" s="522" t="inlineStr">
        <is>
          <t>2303002470</t>
        </is>
      </c>
      <c r="O1644" s="521">
        <f>M1644=N1644</f>
        <v/>
      </c>
      <c r="P1644" s="521">
        <f>AND(MONTH(F1644)=MONTH(S1644), YEAR(F1644)=YEAR(S1644))</f>
        <v/>
      </c>
      <c r="Q1644" s="521">
        <f>U1644="L001-901905215"</f>
        <v/>
      </c>
      <c r="R1644" s="556">
        <f>G1644-W1644</f>
        <v/>
      </c>
      <c r="S1644" s="523" t="n">
        <v>44998</v>
      </c>
      <c r="T1644" s="522" t="inlineStr">
        <is>
          <t>2303002470</t>
        </is>
      </c>
      <c r="U1644" s="522" t="inlineStr">
        <is>
          <t>L001-901905215</t>
        </is>
      </c>
      <c r="V1644" s="522" t="inlineStr">
        <is>
          <t>វីអ៊ីស៊ិន (ខេមបូឌា) អ៊ិនដាសស្ទ្រី ឯ.ក</t>
        </is>
      </c>
      <c r="W1644" s="556" t="n">
        <v>76526</v>
      </c>
    </row>
    <row r="1645">
      <c r="A1645" s="521" t="n">
        <v>1637</v>
      </c>
      <c r="B1645" s="522" t="inlineStr">
        <is>
          <t>Export administration Fee</t>
        </is>
      </c>
      <c r="C1645" s="522" t="inlineStr">
        <is>
          <t>ឆាយ ដា ឡូយីស្ទីក</t>
        </is>
      </c>
      <c r="D1645" s="522" t="inlineStr">
        <is>
          <t>L001-100063098</t>
        </is>
      </c>
      <c r="E1645" s="521" t="inlineStr">
        <is>
          <t>2303002220</t>
        </is>
      </c>
      <c r="F1645" s="523" t="n">
        <v>44991</v>
      </c>
      <c r="G1645" s="556" t="n">
        <v>88848</v>
      </c>
      <c r="I1645" s="521">
        <f>G1645</f>
        <v/>
      </c>
      <c r="K1645" s="521">
        <f>I1645-G1645</f>
        <v/>
      </c>
      <c r="M1645" s="522" t="inlineStr">
        <is>
          <t>2303002220</t>
        </is>
      </c>
      <c r="N1645" s="522" t="inlineStr">
        <is>
          <t>2303002220</t>
        </is>
      </c>
      <c r="O1645" s="521">
        <f>M1645=N1645</f>
        <v/>
      </c>
      <c r="P1645" s="521">
        <f>AND(MONTH(F1645)=MONTH(S1645), YEAR(F1645)=YEAR(S1645))</f>
        <v/>
      </c>
      <c r="Q1645" s="521">
        <f>U1645="L001-901905215"</f>
        <v/>
      </c>
      <c r="R1645" s="556">
        <f>G1645-W1645</f>
        <v/>
      </c>
      <c r="S1645" s="523" t="n">
        <v>44991</v>
      </c>
      <c r="T1645" s="522" t="inlineStr">
        <is>
          <t>2303002220</t>
        </is>
      </c>
      <c r="U1645" s="522" t="inlineStr">
        <is>
          <t>L001-901905215</t>
        </is>
      </c>
      <c r="V1645" s="522" t="inlineStr">
        <is>
          <t>វីអ៊ីស៊ិន (ខេមបូឌា) អ៊ិនដាសស្ទ្រី ឯ.ក</t>
        </is>
      </c>
      <c r="W1645" s="556" t="n">
        <v>88848</v>
      </c>
    </row>
    <row r="1646">
      <c r="A1646" s="521" t="n">
        <v>1638</v>
      </c>
      <c r="B1646" s="522" t="inlineStr">
        <is>
          <t>Export administration Fee</t>
        </is>
      </c>
      <c r="C1646" s="522" t="inlineStr">
        <is>
          <t>ឆាយ ដា ឡូយីស្ទីក</t>
        </is>
      </c>
      <c r="D1646" s="522" t="inlineStr">
        <is>
          <t>L001-100063098</t>
        </is>
      </c>
      <c r="E1646" s="521" t="inlineStr">
        <is>
          <t>2303002215</t>
        </is>
      </c>
      <c r="F1646" s="523" t="n">
        <v>44991</v>
      </c>
      <c r="G1646" s="556" t="n">
        <v>76677</v>
      </c>
      <c r="I1646" s="521">
        <f>G1646</f>
        <v/>
      </c>
      <c r="K1646" s="521">
        <f>I1646-G1646</f>
        <v/>
      </c>
      <c r="M1646" s="522" t="inlineStr">
        <is>
          <t>2303002215</t>
        </is>
      </c>
      <c r="N1646" s="522" t="inlineStr">
        <is>
          <t>2303002215</t>
        </is>
      </c>
      <c r="O1646" s="521">
        <f>M1646=N1646</f>
        <v/>
      </c>
      <c r="P1646" s="521">
        <f>AND(MONTH(F1646)=MONTH(S1646), YEAR(F1646)=YEAR(S1646))</f>
        <v/>
      </c>
      <c r="Q1646" s="521">
        <f>U1646="L001-901905215"</f>
        <v/>
      </c>
      <c r="R1646" s="556">
        <f>G1646-W1646</f>
        <v/>
      </c>
      <c r="S1646" s="523" t="n">
        <v>44991</v>
      </c>
      <c r="T1646" s="522" t="inlineStr">
        <is>
          <t>2303002215</t>
        </is>
      </c>
      <c r="U1646" s="522" t="inlineStr">
        <is>
          <t>L001-901905215</t>
        </is>
      </c>
      <c r="V1646" s="522" t="inlineStr">
        <is>
          <t>វីអ៊ីស៊ិន (ខេមបូឌា) អ៊ិនដាសស្ទ្រី ឯ.ក</t>
        </is>
      </c>
      <c r="W1646" s="556" t="n">
        <v>76677</v>
      </c>
    </row>
    <row r="1647">
      <c r="A1647" s="521" t="n">
        <v>1639</v>
      </c>
      <c r="B1647" s="522" t="inlineStr">
        <is>
          <t>Export administration Fee</t>
        </is>
      </c>
      <c r="C1647" s="522" t="inlineStr">
        <is>
          <t>ឆាយ ដា ឡូយីស្ទីក</t>
        </is>
      </c>
      <c r="D1647" s="522" t="inlineStr">
        <is>
          <t>L001-100063098</t>
        </is>
      </c>
      <c r="E1647" s="521" t="inlineStr">
        <is>
          <t>2303002211</t>
        </is>
      </c>
      <c r="F1647" s="523" t="n">
        <v>44991</v>
      </c>
      <c r="G1647" s="556" t="n">
        <v>88848</v>
      </c>
      <c r="I1647" s="521">
        <f>G1647</f>
        <v/>
      </c>
      <c r="K1647" s="521">
        <f>I1647-G1647</f>
        <v/>
      </c>
      <c r="M1647" s="522" t="inlineStr">
        <is>
          <t>2303002211</t>
        </is>
      </c>
      <c r="N1647" s="522" t="inlineStr">
        <is>
          <t>2303002211</t>
        </is>
      </c>
      <c r="O1647" s="521">
        <f>M1647=N1647</f>
        <v/>
      </c>
      <c r="P1647" s="521">
        <f>AND(MONTH(F1647)=MONTH(S1647), YEAR(F1647)=YEAR(S1647))</f>
        <v/>
      </c>
      <c r="Q1647" s="521">
        <f>U1647="L001-901905215"</f>
        <v/>
      </c>
      <c r="R1647" s="556">
        <f>G1647-W1647</f>
        <v/>
      </c>
      <c r="S1647" s="523" t="n">
        <v>44991</v>
      </c>
      <c r="T1647" s="522" t="inlineStr">
        <is>
          <t>2303002211</t>
        </is>
      </c>
      <c r="U1647" s="522" t="inlineStr">
        <is>
          <t>L001-901905215</t>
        </is>
      </c>
      <c r="V1647" s="522" t="inlineStr">
        <is>
          <t>វីអ៊ីស៊ិន (ខេមបូឌា) អ៊ិនដាសស្ទ្រី ឯ.ក</t>
        </is>
      </c>
      <c r="W1647" s="556" t="n">
        <v>88848</v>
      </c>
    </row>
    <row r="1648">
      <c r="A1648" s="521" t="n">
        <v>1640</v>
      </c>
      <c r="B1648" s="522" t="inlineStr">
        <is>
          <t>Export administration Fee</t>
        </is>
      </c>
      <c r="C1648" s="522" t="inlineStr">
        <is>
          <t>ឆាយ ដា ឡូយីស្ទីក</t>
        </is>
      </c>
      <c r="D1648" s="522" t="inlineStr">
        <is>
          <t>L001-100063098</t>
        </is>
      </c>
      <c r="E1648" s="521" t="inlineStr">
        <is>
          <t>2303002213</t>
        </is>
      </c>
      <c r="F1648" s="523" t="n">
        <v>44991</v>
      </c>
      <c r="G1648" s="556" t="n">
        <v>76677</v>
      </c>
      <c r="I1648" s="521">
        <f>G1648</f>
        <v/>
      </c>
      <c r="K1648" s="521">
        <f>I1648-G1648</f>
        <v/>
      </c>
      <c r="M1648" s="522" t="inlineStr">
        <is>
          <t>2303002213</t>
        </is>
      </c>
      <c r="N1648" s="522" t="inlineStr">
        <is>
          <t>2303002213</t>
        </is>
      </c>
      <c r="O1648" s="521">
        <f>M1648=N1648</f>
        <v/>
      </c>
      <c r="P1648" s="521">
        <f>AND(MONTH(F1648)=MONTH(S1648), YEAR(F1648)=YEAR(S1648))</f>
        <v/>
      </c>
      <c r="Q1648" s="521">
        <f>U1648="L001-901905215"</f>
        <v/>
      </c>
      <c r="R1648" s="556">
        <f>G1648-W1648</f>
        <v/>
      </c>
      <c r="S1648" s="523" t="n">
        <v>44991</v>
      </c>
      <c r="T1648" s="522" t="inlineStr">
        <is>
          <t>2303002213</t>
        </is>
      </c>
      <c r="U1648" s="522" t="inlineStr">
        <is>
          <t>L001-901905215</t>
        </is>
      </c>
      <c r="V1648" s="522" t="inlineStr">
        <is>
          <t>វីអ៊ីស៊ិន (ខេមបូឌា) អ៊ិនដាសស្ទ្រី ឯ.ក</t>
        </is>
      </c>
      <c r="W1648" s="556" t="n">
        <v>76677</v>
      </c>
    </row>
    <row r="1649">
      <c r="A1649" s="521" t="n">
        <v>1641</v>
      </c>
      <c r="B1649" s="522" t="inlineStr">
        <is>
          <t>LIFT-OFF Charges</t>
        </is>
      </c>
      <c r="C1649" s="522" t="inlineStr">
        <is>
          <t>កំពង់ផែស្វយ័តភ្នំពេញ "ក.ស.ភ"</t>
        </is>
      </c>
      <c r="D1649" s="522" t="inlineStr">
        <is>
          <t>L001-100044999</t>
        </is>
      </c>
      <c r="E1649" s="521" t="inlineStr">
        <is>
          <t>INV20230311165</t>
        </is>
      </c>
      <c r="F1649" s="523" t="n">
        <v>44986</v>
      </c>
      <c r="G1649" s="556" t="n">
        <v>58378</v>
      </c>
      <c r="I1649" s="521">
        <f>G1649</f>
        <v/>
      </c>
      <c r="K1649" s="521">
        <f>I1649-G1649</f>
        <v/>
      </c>
      <c r="M1649" s="522" t="inlineStr">
        <is>
          <t>INV20230311165</t>
        </is>
      </c>
      <c r="N1649" s="522" t="inlineStr"/>
      <c r="O1649" s="521">
        <f>M1649=N1649</f>
        <v/>
      </c>
      <c r="P1649" s="521">
        <f>AND(MONTH(F1649)=MONTH(S1649), YEAR(F1649)=YEAR(S1649))</f>
        <v/>
      </c>
      <c r="Q1649" s="521">
        <f>U1649="L001-901905215"</f>
        <v/>
      </c>
      <c r="R1649" s="556">
        <f>G1649-W1649</f>
        <v/>
      </c>
      <c r="S1649" s="521" t="n"/>
      <c r="T1649" s="522" t="n"/>
      <c r="U1649" s="522" t="n"/>
      <c r="V1649" s="522" t="n"/>
      <c r="W1649" s="521" t="n"/>
    </row>
    <row r="1650">
      <c r="A1650" s="521" t="n">
        <v>1642</v>
      </c>
      <c r="B1650" s="522" t="inlineStr">
        <is>
          <t>LIFT-OFF Charges</t>
        </is>
      </c>
      <c r="C1650" s="522" t="inlineStr">
        <is>
          <t>កំពង់ផែស្វយ័តភ្នំពេញ "ក.ស.ភ"</t>
        </is>
      </c>
      <c r="D1650" s="522" t="inlineStr">
        <is>
          <t>L001-100044999</t>
        </is>
      </c>
      <c r="E1650" s="521" t="inlineStr">
        <is>
          <t>INV20230311166</t>
        </is>
      </c>
      <c r="F1650" s="523" t="n">
        <v>44986</v>
      </c>
      <c r="G1650" s="556" t="n">
        <v>87566</v>
      </c>
      <c r="I1650" s="521">
        <f>G1650</f>
        <v/>
      </c>
      <c r="K1650" s="521">
        <f>I1650-G1650</f>
        <v/>
      </c>
      <c r="M1650" s="522" t="inlineStr">
        <is>
          <t>INV20230311166</t>
        </is>
      </c>
      <c r="N1650" s="522" t="inlineStr"/>
      <c r="O1650" s="521">
        <f>M1650=N1650</f>
        <v/>
      </c>
      <c r="P1650" s="521">
        <f>AND(MONTH(F1650)=MONTH(S1650), YEAR(F1650)=YEAR(S1650))</f>
        <v/>
      </c>
      <c r="Q1650" s="521">
        <f>U1650="L001-901905215"</f>
        <v/>
      </c>
      <c r="R1650" s="556">
        <f>G1650-W1650</f>
        <v/>
      </c>
      <c r="S1650" s="521" t="n"/>
      <c r="T1650" s="522" t="n"/>
      <c r="U1650" s="522" t="n"/>
      <c r="V1650" s="522" t="n"/>
      <c r="W1650" s="521" t="n"/>
    </row>
    <row r="1651">
      <c r="A1651" s="521" t="n">
        <v>1643</v>
      </c>
      <c r="B1651" s="522" t="inlineStr">
        <is>
          <t>LIFT-OFF Charges</t>
        </is>
      </c>
      <c r="C1651" s="522" t="inlineStr">
        <is>
          <t>កំពង់ផែស្វយ័តភ្នំពេញ "ក.ស.ភ"</t>
        </is>
      </c>
      <c r="D1651" s="522" t="inlineStr">
        <is>
          <t>L001-100044999</t>
        </is>
      </c>
      <c r="E1651" s="521" t="inlineStr">
        <is>
          <t>INV20230311164</t>
        </is>
      </c>
      <c r="F1651" s="523" t="n">
        <v>44986</v>
      </c>
      <c r="G1651" s="556" t="n">
        <v>29189</v>
      </c>
      <c r="I1651" s="521">
        <f>G1651</f>
        <v/>
      </c>
      <c r="K1651" s="521">
        <f>I1651-G1651</f>
        <v/>
      </c>
      <c r="M1651" s="522" t="inlineStr">
        <is>
          <t>INV20230311164</t>
        </is>
      </c>
      <c r="N1651" s="522" t="inlineStr"/>
      <c r="O1651" s="521">
        <f>M1651=N1651</f>
        <v/>
      </c>
      <c r="P1651" s="521">
        <f>AND(MONTH(F1651)=MONTH(S1651), YEAR(F1651)=YEAR(S1651))</f>
        <v/>
      </c>
      <c r="Q1651" s="521">
        <f>U1651="L001-901905215"</f>
        <v/>
      </c>
      <c r="R1651" s="556">
        <f>G1651-W1651</f>
        <v/>
      </c>
      <c r="S1651" s="521" t="n"/>
      <c r="T1651" s="522" t="n"/>
      <c r="U1651" s="522" t="n"/>
      <c r="V1651" s="522" t="n"/>
      <c r="W1651" s="521" t="n"/>
    </row>
    <row r="1652">
      <c r="A1652" s="521" t="n">
        <v>1644</v>
      </c>
      <c r="B1652" s="522" t="inlineStr">
        <is>
          <t>Pellet Epe</t>
        </is>
      </c>
      <c r="C1652" s="522" t="inlineStr">
        <is>
          <t>យ័ន សីន តាយ ឯ.ក</t>
        </is>
      </c>
      <c r="D1652" s="522" t="inlineStr">
        <is>
          <t>L001-902104347</t>
        </is>
      </c>
      <c r="E1652" s="521" t="inlineStr">
        <is>
          <t>000092</t>
        </is>
      </c>
      <c r="F1652" s="523" t="n">
        <v>45013</v>
      </c>
      <c r="G1652" s="556" t="n">
        <v>291683</v>
      </c>
      <c r="I1652" s="521">
        <f>G1652</f>
        <v/>
      </c>
      <c r="K1652" s="521">
        <f>I1652-G1652</f>
        <v/>
      </c>
      <c r="M1652" s="522" t="inlineStr">
        <is>
          <t>000092</t>
        </is>
      </c>
      <c r="N1652" s="522" t="inlineStr">
        <is>
          <t>000092</t>
        </is>
      </c>
      <c r="O1652" s="521">
        <f>M1652=N1652</f>
        <v/>
      </c>
      <c r="P1652" s="521">
        <f>AND(MONTH(F1652)=MONTH(S1652), YEAR(F1652)=YEAR(S1652))</f>
        <v/>
      </c>
      <c r="Q1652" s="521">
        <f>U1652="L001-901905215"</f>
        <v/>
      </c>
      <c r="R1652" s="556">
        <f>G1652-W1652</f>
        <v/>
      </c>
      <c r="S1652" s="523" t="n">
        <v>45013</v>
      </c>
      <c r="T1652" s="522" t="inlineStr">
        <is>
          <t>000092</t>
        </is>
      </c>
      <c r="U1652" s="522" t="inlineStr">
        <is>
          <t>L001-901905215</t>
        </is>
      </c>
      <c r="V1652" s="522" t="inlineStr">
        <is>
          <t>វីអ៊ីស៊ិន (ខេមបូឌា) អ៊ិនដាសស្ទ្រី ឯ.ក</t>
        </is>
      </c>
      <c r="W1652" s="556" t="n">
        <v>291683</v>
      </c>
    </row>
    <row r="1653">
      <c r="A1653" s="521" t="n">
        <v>1645</v>
      </c>
      <c r="B1653" s="522" t="inlineStr">
        <is>
          <t>Carton</t>
        </is>
      </c>
      <c r="C1653" s="522" t="inlineStr">
        <is>
          <t>យី មីង ភែកឃីជីង ឯ.ក</t>
        </is>
      </c>
      <c r="D1653" s="522" t="inlineStr">
        <is>
          <t>B108-902101335</t>
        </is>
      </c>
      <c r="E1653" s="521" t="inlineStr">
        <is>
          <t>YM-0010</t>
        </is>
      </c>
      <c r="F1653" s="523" t="n">
        <v>45016</v>
      </c>
      <c r="G1653" s="556" t="n">
        <v>4052463</v>
      </c>
      <c r="I1653" s="521">
        <f>G1653</f>
        <v/>
      </c>
      <c r="K1653" s="521">
        <f>I1653-G1653</f>
        <v/>
      </c>
      <c r="M1653" s="522" t="inlineStr">
        <is>
          <t>YM0010</t>
        </is>
      </c>
      <c r="N1653" s="522" t="inlineStr">
        <is>
          <t>YM0010</t>
        </is>
      </c>
      <c r="O1653" s="521">
        <f>M1653=N1653</f>
        <v/>
      </c>
      <c r="P1653" s="521">
        <f>AND(MONTH(F1653)=MONTH(S1653), YEAR(F1653)=YEAR(S1653))</f>
        <v/>
      </c>
      <c r="Q1653" s="521">
        <f>U1653="L001-901905215"</f>
        <v/>
      </c>
      <c r="R1653" s="556">
        <f>G1653-W1653</f>
        <v/>
      </c>
      <c r="S1653" s="523" t="n">
        <v>44986</v>
      </c>
      <c r="T1653" s="522" t="inlineStr">
        <is>
          <t>YM-0010</t>
        </is>
      </c>
      <c r="U1653" s="522" t="inlineStr">
        <is>
          <t>L001-901905215</t>
        </is>
      </c>
      <c r="V1653" s="522" t="inlineStr">
        <is>
          <t>វីអ៊ីស៊ិន (ខេមបូឌា) អ៊ិនដាសស្ទ្រី ឯ.ក</t>
        </is>
      </c>
      <c r="W1653" s="556" t="n">
        <v>4052463</v>
      </c>
    </row>
    <row r="1654">
      <c r="A1654" s="521" t="n">
        <v>1646</v>
      </c>
      <c r="B1654" s="522" t="inlineStr">
        <is>
          <t>Paper Label</t>
        </is>
      </c>
      <c r="C1654" s="522" t="inlineStr">
        <is>
          <t>ស៊ីន ហ្វី យ៉ាង ព្រីនធីង &amp; អិកសេសសឺរី ឯ.ក</t>
        </is>
      </c>
      <c r="D1654" s="522" t="inlineStr">
        <is>
          <t>K010-901906822</t>
        </is>
      </c>
      <c r="E1654" s="521" t="inlineStr">
        <is>
          <t>XFY-YD2023050</t>
        </is>
      </c>
      <c r="F1654" s="523" t="n">
        <v>45014</v>
      </c>
      <c r="G1654" s="556" t="n">
        <v>780618</v>
      </c>
      <c r="I1654" s="521">
        <f>G1654</f>
        <v/>
      </c>
      <c r="K1654" s="521">
        <f>I1654-G1654</f>
        <v/>
      </c>
      <c r="M1654" s="522" t="inlineStr">
        <is>
          <t>XFYYD2023050</t>
        </is>
      </c>
      <c r="N1654" s="522" t="inlineStr">
        <is>
          <t>XFYYD2023050</t>
        </is>
      </c>
      <c r="O1654" s="521">
        <f>M1654=N1654</f>
        <v/>
      </c>
      <c r="P1654" s="521">
        <f>AND(MONTH(F1654)=MONTH(S1654), YEAR(F1654)=YEAR(S1654))</f>
        <v/>
      </c>
      <c r="Q1654" s="521">
        <f>U1654="L001-901905215"</f>
        <v/>
      </c>
      <c r="R1654" s="556">
        <f>G1654-W1654</f>
        <v/>
      </c>
      <c r="S1654" s="523" t="n">
        <v>45014</v>
      </c>
      <c r="T1654" s="522" t="inlineStr">
        <is>
          <t>XFY-YD2023050</t>
        </is>
      </c>
      <c r="U1654" s="522" t="inlineStr">
        <is>
          <t>L001-901905215</t>
        </is>
      </c>
      <c r="V1654" s="522" t="inlineStr">
        <is>
          <t>វីអ៊ីស៊ិន (ខេមបូឌា) អ៊ិនដាសស្ទ្រី ឯ.ក</t>
        </is>
      </c>
      <c r="W1654" s="556" t="n">
        <v>780618</v>
      </c>
    </row>
    <row r="1655">
      <c r="A1655" s="521" t="n">
        <v>1647</v>
      </c>
      <c r="B1655" s="522" t="inlineStr">
        <is>
          <t>Carton Box</t>
        </is>
      </c>
      <c r="C1655" s="522" t="inlineStr">
        <is>
          <t>វីង ចេង ភែកឃីជីង ឯ.ក</t>
        </is>
      </c>
      <c r="D1655" s="522" t="inlineStr">
        <is>
          <t>L001-902102915</t>
        </is>
      </c>
      <c r="E1655" s="521" t="inlineStr">
        <is>
          <t>TI0221</t>
        </is>
      </c>
      <c r="F1655" s="523" t="n">
        <v>45016</v>
      </c>
      <c r="G1655" s="556" t="n">
        <v>5443504</v>
      </c>
      <c r="I1655" s="521">
        <f>G1655</f>
        <v/>
      </c>
      <c r="K1655" s="521">
        <f>I1655-G1655</f>
        <v/>
      </c>
      <c r="M1655" s="522" t="inlineStr">
        <is>
          <t>TI0221</t>
        </is>
      </c>
      <c r="N1655" s="522" t="inlineStr">
        <is>
          <t>TI0221</t>
        </is>
      </c>
      <c r="O1655" s="521">
        <f>M1655=N1655</f>
        <v/>
      </c>
      <c r="P1655" s="521">
        <f>AND(MONTH(F1655)=MONTH(S1655), YEAR(F1655)=YEAR(S1655))</f>
        <v/>
      </c>
      <c r="Q1655" s="521">
        <f>U1655="L001-901905215"</f>
        <v/>
      </c>
      <c r="R1655" s="556">
        <f>G1655-W1655</f>
        <v/>
      </c>
      <c r="S1655" s="523" t="n">
        <v>45016</v>
      </c>
      <c r="T1655" s="522" t="inlineStr">
        <is>
          <t>TI0221</t>
        </is>
      </c>
      <c r="U1655" s="522" t="inlineStr">
        <is>
          <t>L001-901905215</t>
        </is>
      </c>
      <c r="V1655" s="522" t="inlineStr">
        <is>
          <t>វីអ៊ីស៊ិន (ខេមបូឌា) អ៊ិនដាសស្ទ្រី ឯ.ក</t>
        </is>
      </c>
      <c r="W1655" s="556" t="n">
        <v>5443505</v>
      </c>
    </row>
    <row r="1656">
      <c r="A1656" s="521" t="n">
        <v>1648</v>
      </c>
      <c r="B1656" s="522" t="inlineStr">
        <is>
          <t>Poly bag</t>
        </is>
      </c>
      <c r="C1656" s="522" t="inlineStr">
        <is>
          <t>ហុង ហ៊ីង ភែកឃីជីង មេធៀរៀល ឯ.ក</t>
        </is>
      </c>
      <c r="D1656" s="522" t="inlineStr">
        <is>
          <t>L001-901900945</t>
        </is>
      </c>
      <c r="E1656" s="521" t="inlineStr">
        <is>
          <t>T2023-000112</t>
        </is>
      </c>
      <c r="F1656" s="523" t="n">
        <v>45015</v>
      </c>
      <c r="G1656" s="556" t="n">
        <v>51336</v>
      </c>
      <c r="I1656" s="521">
        <f>G1656</f>
        <v/>
      </c>
      <c r="K1656" s="521">
        <f>I1656-G1656</f>
        <v/>
      </c>
      <c r="M1656" s="522" t="inlineStr">
        <is>
          <t>T2023000112</t>
        </is>
      </c>
      <c r="N1656" s="522" t="inlineStr">
        <is>
          <t>T2023000112</t>
        </is>
      </c>
      <c r="O1656" s="521">
        <f>M1656=N1656</f>
        <v/>
      </c>
      <c r="P1656" s="521">
        <f>AND(MONTH(F1656)=MONTH(S1656), YEAR(F1656)=YEAR(S1656))</f>
        <v/>
      </c>
      <c r="Q1656" s="521">
        <f>U1656="L001-901905215"</f>
        <v/>
      </c>
      <c r="R1656" s="556">
        <f>G1656-W1656</f>
        <v/>
      </c>
      <c r="S1656" s="523" t="n">
        <v>45015</v>
      </c>
      <c r="T1656" s="522" t="inlineStr">
        <is>
          <t>T2023-000112</t>
        </is>
      </c>
      <c r="U1656" s="522" t="inlineStr">
        <is>
          <t>L001-901905215</t>
        </is>
      </c>
      <c r="V1656" s="522" t="inlineStr">
        <is>
          <t>វីអ៊ីស៊ិន (ខេមបូឌា) អ៊ិនដាសស្ទ្រី ឯ.ក</t>
        </is>
      </c>
      <c r="W1656" s="556" t="n">
        <v>51336</v>
      </c>
    </row>
    <row r="1657">
      <c r="A1657" s="521" t="n">
        <v>1649</v>
      </c>
      <c r="B1657" s="522" t="inlineStr">
        <is>
          <t>Paper Box</t>
        </is>
      </c>
      <c r="C1657" s="522" t="inlineStr">
        <is>
          <t>ដុងគ័ន ស៊ីធី ហ្វាញស្តារ ព្រីនធីង (ខេមបូឌា)</t>
        </is>
      </c>
      <c r="D1657" s="522" t="inlineStr">
        <is>
          <t>L001-100193021</t>
        </is>
      </c>
      <c r="E1657" s="521" t="inlineStr">
        <is>
          <t>00072</t>
        </is>
      </c>
      <c r="F1657" s="523" t="n">
        <v>45010</v>
      </c>
      <c r="G1657" s="556" t="n">
        <v>3367859</v>
      </c>
      <c r="I1657" s="521">
        <f>G1657</f>
        <v/>
      </c>
      <c r="K1657" s="521">
        <f>I1657-G1657</f>
        <v/>
      </c>
      <c r="M1657" s="522" t="inlineStr">
        <is>
          <t>00072</t>
        </is>
      </c>
      <c r="N1657" s="522" t="inlineStr">
        <is>
          <t>00072</t>
        </is>
      </c>
      <c r="O1657" s="521">
        <f>M1657=N1657</f>
        <v/>
      </c>
      <c r="P1657" s="521">
        <f>AND(MONTH(F1657)=MONTH(S1657), YEAR(F1657)=YEAR(S1657))</f>
        <v/>
      </c>
      <c r="Q1657" s="521">
        <f>U1657="L001-901905215"</f>
        <v/>
      </c>
      <c r="R1657" s="556">
        <f>G1657-W1657</f>
        <v/>
      </c>
      <c r="S1657" s="523" t="n">
        <v>45010</v>
      </c>
      <c r="T1657" s="522" t="inlineStr">
        <is>
          <t>00072</t>
        </is>
      </c>
      <c r="U1657" s="522" t="inlineStr">
        <is>
          <t>L001-901905215</t>
        </is>
      </c>
      <c r="V1657" s="522" t="inlineStr">
        <is>
          <t>វីអ៊ីស៊ិន (ខេមបូឌា) អ៊ិនដាសស្ទ្រី ឯ.ក</t>
        </is>
      </c>
      <c r="W1657" s="556" t="n">
        <v>3367859</v>
      </c>
    </row>
    <row r="1658">
      <c r="A1658" s="521" t="n">
        <v>1650</v>
      </c>
      <c r="B1658" s="522" t="inlineStr">
        <is>
          <t>Service Fee</t>
        </is>
      </c>
      <c r="C1658" s="522" t="inlineStr">
        <is>
          <t>ប្យួរ៉ូ វេរីតាស (ខេមបូឌា) លីមីធីត</t>
        </is>
      </c>
      <c r="D1658" s="522" t="inlineStr">
        <is>
          <t>L001-107024462</t>
        </is>
      </c>
      <c r="E1658" s="521" t="inlineStr">
        <is>
          <t>59014582</t>
        </is>
      </c>
      <c r="F1658" s="523" t="n">
        <v>45016</v>
      </c>
      <c r="G1658" s="556" t="n">
        <v>54913</v>
      </c>
      <c r="I1658" s="521">
        <f>G1658</f>
        <v/>
      </c>
      <c r="K1658" s="521">
        <f>I1658-G1658</f>
        <v/>
      </c>
      <c r="M1658" s="522" t="inlineStr">
        <is>
          <t>59014582</t>
        </is>
      </c>
      <c r="N1658" s="522" t="inlineStr">
        <is>
          <t>59014582</t>
        </is>
      </c>
      <c r="O1658" s="521">
        <f>M1658=N1658</f>
        <v/>
      </c>
      <c r="P1658" s="521">
        <f>AND(MONTH(F1658)=MONTH(S1658), YEAR(F1658)=YEAR(S1658))</f>
        <v/>
      </c>
      <c r="Q1658" s="521">
        <f>U1658="L001-901905215"</f>
        <v/>
      </c>
      <c r="R1658" s="556">
        <f>G1658-W1658</f>
        <v/>
      </c>
      <c r="S1658" s="523" t="n">
        <v>45016</v>
      </c>
      <c r="T1658" s="522" t="inlineStr">
        <is>
          <t>59014582</t>
        </is>
      </c>
      <c r="U1658" s="522" t="inlineStr">
        <is>
          <t>L001-901905215</t>
        </is>
      </c>
      <c r="V1658" s="522" t="inlineStr">
        <is>
          <t>វីអ៊ីស៊ិន (ខេមបូឌា) អ៊ិនដាសស្ទ្រី ឯ.ក</t>
        </is>
      </c>
      <c r="W1658" s="556" t="n">
        <v>54913</v>
      </c>
    </row>
    <row r="1659">
      <c r="A1659" s="521" t="n">
        <v>1651</v>
      </c>
      <c r="B1659" s="522" t="inlineStr">
        <is>
          <t>Service Fee</t>
        </is>
      </c>
      <c r="C1659" s="522" t="inlineStr">
        <is>
          <t>ប្យួរ៉ូ វេរីតាស (ខេមបូឌា) លីមីធីត</t>
        </is>
      </c>
      <c r="D1659" s="522" t="inlineStr">
        <is>
          <t>L001-107024462</t>
        </is>
      </c>
      <c r="E1659" s="521" t="inlineStr">
        <is>
          <t>59014578</t>
        </is>
      </c>
      <c r="F1659" s="523" t="n">
        <v>45016</v>
      </c>
      <c r="G1659" s="556" t="n">
        <v>109823</v>
      </c>
      <c r="I1659" s="521">
        <f>G1659</f>
        <v/>
      </c>
      <c r="K1659" s="521">
        <f>I1659-G1659</f>
        <v/>
      </c>
      <c r="M1659" s="522" t="inlineStr">
        <is>
          <t>59014578</t>
        </is>
      </c>
      <c r="N1659" s="522" t="inlineStr">
        <is>
          <t>59014578</t>
        </is>
      </c>
      <c r="O1659" s="521">
        <f>M1659=N1659</f>
        <v/>
      </c>
      <c r="P1659" s="521">
        <f>AND(MONTH(F1659)=MONTH(S1659), YEAR(F1659)=YEAR(S1659))</f>
        <v/>
      </c>
      <c r="Q1659" s="521">
        <f>U1659="L001-901905215"</f>
        <v/>
      </c>
      <c r="R1659" s="556">
        <f>G1659-W1659</f>
        <v/>
      </c>
      <c r="S1659" s="523" t="n">
        <v>45016</v>
      </c>
      <c r="T1659" s="522" t="inlineStr">
        <is>
          <t>59014578</t>
        </is>
      </c>
      <c r="U1659" s="522" t="inlineStr">
        <is>
          <t>L001-901905215</t>
        </is>
      </c>
      <c r="V1659" s="522" t="inlineStr">
        <is>
          <t>វីអ៊ីស៊ិន (ខេមបូឌា) អ៊ិនដាសស្ទ្រី ឯ.ក</t>
        </is>
      </c>
      <c r="W1659" s="556" t="n">
        <v>109823</v>
      </c>
    </row>
    <row r="1660">
      <c r="A1660" s="521" t="n">
        <v>1652</v>
      </c>
      <c r="B1660" s="522" t="inlineStr">
        <is>
          <t>Service Fee</t>
        </is>
      </c>
      <c r="C1660" s="522" t="inlineStr">
        <is>
          <t>ប្យួរ៉ូ វេរីតាស (ខេមបូឌា) លីមីធីត</t>
        </is>
      </c>
      <c r="D1660" s="522" t="inlineStr">
        <is>
          <t>L001-107024462</t>
        </is>
      </c>
      <c r="E1660" s="521" t="inlineStr">
        <is>
          <t>59014560</t>
        </is>
      </c>
      <c r="F1660" s="523" t="n">
        <v>45015</v>
      </c>
      <c r="G1660" s="556" t="n">
        <v>109850</v>
      </c>
      <c r="I1660" s="521">
        <f>G1660</f>
        <v/>
      </c>
      <c r="K1660" s="521">
        <f>I1660-G1660</f>
        <v/>
      </c>
      <c r="M1660" s="522" t="inlineStr">
        <is>
          <t>59014560</t>
        </is>
      </c>
      <c r="N1660" s="522" t="inlineStr">
        <is>
          <t>59014560</t>
        </is>
      </c>
      <c r="O1660" s="521">
        <f>M1660=N1660</f>
        <v/>
      </c>
      <c r="P1660" s="521">
        <f>AND(MONTH(F1660)=MONTH(S1660), YEAR(F1660)=YEAR(S1660))</f>
        <v/>
      </c>
      <c r="Q1660" s="521">
        <f>U1660="L001-901905215"</f>
        <v/>
      </c>
      <c r="R1660" s="556">
        <f>G1660-W1660</f>
        <v/>
      </c>
      <c r="S1660" s="523" t="n">
        <v>45015</v>
      </c>
      <c r="T1660" s="522" t="inlineStr">
        <is>
          <t>59014560</t>
        </is>
      </c>
      <c r="U1660" s="522" t="inlineStr">
        <is>
          <t>L001-901905215</t>
        </is>
      </c>
      <c r="V1660" s="522" t="inlineStr">
        <is>
          <t>វីអ៊ីស៊ិន (ខេមបូឌា) អ៊ិនដាសស្ទ្រី ឯ.ក</t>
        </is>
      </c>
      <c r="W1660" s="556" t="n">
        <v>109850</v>
      </c>
    </row>
    <row r="1661">
      <c r="A1661" s="521" t="n">
        <v>1653</v>
      </c>
      <c r="B1661" s="522" t="inlineStr">
        <is>
          <t>Service Fee</t>
        </is>
      </c>
      <c r="C1661" s="522" t="inlineStr">
        <is>
          <t>ប្យួរ៉ូ វេរីតាស (ខេមបូឌា) លីមីធីត</t>
        </is>
      </c>
      <c r="D1661" s="522" t="inlineStr">
        <is>
          <t>L001-107024462</t>
        </is>
      </c>
      <c r="E1661" s="521" t="inlineStr">
        <is>
          <t>59014522</t>
        </is>
      </c>
      <c r="F1661" s="523" t="n">
        <v>45009</v>
      </c>
      <c r="G1661" s="556" t="n">
        <v>109985</v>
      </c>
      <c r="I1661" s="521">
        <f>G1661</f>
        <v/>
      </c>
      <c r="K1661" s="521">
        <f>I1661-G1661</f>
        <v/>
      </c>
      <c r="M1661" s="522" t="inlineStr">
        <is>
          <t>59014522</t>
        </is>
      </c>
      <c r="N1661" s="522" t="inlineStr">
        <is>
          <t>59014522</t>
        </is>
      </c>
      <c r="O1661" s="521">
        <f>M1661=N1661</f>
        <v/>
      </c>
      <c r="P1661" s="521">
        <f>AND(MONTH(F1661)=MONTH(S1661), YEAR(F1661)=YEAR(S1661))</f>
        <v/>
      </c>
      <c r="Q1661" s="521">
        <f>U1661="L001-901905215"</f>
        <v/>
      </c>
      <c r="R1661" s="556">
        <f>G1661-W1661</f>
        <v/>
      </c>
      <c r="S1661" s="523" t="n">
        <v>45009</v>
      </c>
      <c r="T1661" s="522" t="inlineStr">
        <is>
          <t>59014522</t>
        </is>
      </c>
      <c r="U1661" s="522" t="inlineStr">
        <is>
          <t>L001-901905215</t>
        </is>
      </c>
      <c r="V1661" s="522" t="inlineStr">
        <is>
          <t>វីអ៊ីស៊ិន (ខេមបូឌា) អ៊ិនដាសស្ទ្រី ឯ.ក</t>
        </is>
      </c>
      <c r="W1661" s="556" t="n">
        <v>109985</v>
      </c>
    </row>
    <row r="1662">
      <c r="A1662" s="521" t="n">
        <v>1654</v>
      </c>
      <c r="B1662" s="522" t="inlineStr">
        <is>
          <t>Service Fee</t>
        </is>
      </c>
      <c r="C1662" s="522" t="inlineStr">
        <is>
          <t>ប្យួរ៉ូ វេរីតាស (ខេមបូឌា) លីមីធីត</t>
        </is>
      </c>
      <c r="D1662" s="522" t="inlineStr">
        <is>
          <t>L001-107024462</t>
        </is>
      </c>
      <c r="E1662" s="521" t="inlineStr">
        <is>
          <t>59014505</t>
        </is>
      </c>
      <c r="F1662" s="523" t="n">
        <v>45006</v>
      </c>
      <c r="G1662" s="556" t="n">
        <v>54940</v>
      </c>
      <c r="I1662" s="521">
        <f>G1662</f>
        <v/>
      </c>
      <c r="K1662" s="521">
        <f>I1662-G1662</f>
        <v/>
      </c>
      <c r="M1662" s="522" t="inlineStr">
        <is>
          <t>59014505</t>
        </is>
      </c>
      <c r="N1662" s="522" t="inlineStr">
        <is>
          <t>59014505</t>
        </is>
      </c>
      <c r="O1662" s="521">
        <f>M1662=N1662</f>
        <v/>
      </c>
      <c r="P1662" s="521">
        <f>AND(MONTH(F1662)=MONTH(S1662), YEAR(F1662)=YEAR(S1662))</f>
        <v/>
      </c>
      <c r="Q1662" s="521">
        <f>U1662="L001-901905215"</f>
        <v/>
      </c>
      <c r="R1662" s="556">
        <f>G1662-W1662</f>
        <v/>
      </c>
      <c r="S1662" s="523" t="n">
        <v>45006</v>
      </c>
      <c r="T1662" s="522" t="inlineStr">
        <is>
          <t>59014505</t>
        </is>
      </c>
      <c r="U1662" s="522" t="inlineStr">
        <is>
          <t>L001-901905215</t>
        </is>
      </c>
      <c r="V1662" s="522" t="inlineStr">
        <is>
          <t>វីអ៊ីស៊ិន (ខេមបូឌា) អ៊ិនដាសស្ទ្រី ឯ.ក</t>
        </is>
      </c>
      <c r="W1662" s="556" t="n">
        <v>54940</v>
      </c>
    </row>
    <row r="1663">
      <c r="A1663" s="521" t="n">
        <v>1655</v>
      </c>
      <c r="B1663" s="522" t="inlineStr">
        <is>
          <t>Service Fee</t>
        </is>
      </c>
      <c r="C1663" s="522" t="inlineStr">
        <is>
          <t>ប្យួរ៉ូ វេរីតាស (ខេមបូឌា) លីមីធីត</t>
        </is>
      </c>
      <c r="D1663" s="522" t="inlineStr">
        <is>
          <t>L001-107024462</t>
        </is>
      </c>
      <c r="E1663" s="521" t="inlineStr">
        <is>
          <t>59014458</t>
        </is>
      </c>
      <c r="F1663" s="523" t="n">
        <v>45000</v>
      </c>
      <c r="G1663" s="556" t="n">
        <v>54886</v>
      </c>
      <c r="I1663" s="521">
        <f>G1663</f>
        <v/>
      </c>
      <c r="K1663" s="521">
        <f>I1663-G1663</f>
        <v/>
      </c>
      <c r="M1663" s="522" t="inlineStr">
        <is>
          <t>59014458</t>
        </is>
      </c>
      <c r="N1663" s="522" t="inlineStr">
        <is>
          <t>59014458</t>
        </is>
      </c>
      <c r="O1663" s="521">
        <f>M1663=N1663</f>
        <v/>
      </c>
      <c r="P1663" s="521">
        <f>AND(MONTH(F1663)=MONTH(S1663), YEAR(F1663)=YEAR(S1663))</f>
        <v/>
      </c>
      <c r="Q1663" s="521">
        <f>U1663="L001-901905215"</f>
        <v/>
      </c>
      <c r="R1663" s="556">
        <f>G1663-W1663</f>
        <v/>
      </c>
      <c r="S1663" s="523" t="n">
        <v>45000</v>
      </c>
      <c r="T1663" s="522" t="inlineStr">
        <is>
          <t>59014458</t>
        </is>
      </c>
      <c r="U1663" s="522" t="inlineStr">
        <is>
          <t>L001-901905215</t>
        </is>
      </c>
      <c r="V1663" s="522" t="inlineStr">
        <is>
          <t>វីអ៊ីស៊ិន (ខេមបូឌា) អ៊ិនដាសស្ទ្រី ឯ.ក</t>
        </is>
      </c>
      <c r="W1663" s="556" t="n">
        <v>54886</v>
      </c>
    </row>
    <row r="1664">
      <c r="A1664" s="521" t="n">
        <v>1656</v>
      </c>
      <c r="B1664" s="522" t="inlineStr">
        <is>
          <t>Service Fee</t>
        </is>
      </c>
      <c r="C1664" s="522" t="inlineStr">
        <is>
          <t>ប្យួរ៉ូ វេរីតាស (ខេមបូឌា) លីមីធីត</t>
        </is>
      </c>
      <c r="D1664" s="522" t="inlineStr">
        <is>
          <t>L001-107024462</t>
        </is>
      </c>
      <c r="E1664" s="521" t="inlineStr">
        <is>
          <t>59014445</t>
        </is>
      </c>
      <c r="F1664" s="523" t="n">
        <v>44996</v>
      </c>
      <c r="G1664" s="556" t="n">
        <v>54805</v>
      </c>
      <c r="I1664" s="521">
        <f>G1664</f>
        <v/>
      </c>
      <c r="K1664" s="521">
        <f>I1664-G1664</f>
        <v/>
      </c>
      <c r="M1664" s="522" t="inlineStr">
        <is>
          <t>59014445</t>
        </is>
      </c>
      <c r="N1664" s="522" t="inlineStr">
        <is>
          <t>59014445</t>
        </is>
      </c>
      <c r="O1664" s="521">
        <f>M1664=N1664</f>
        <v/>
      </c>
      <c r="P1664" s="521">
        <f>AND(MONTH(F1664)=MONTH(S1664), YEAR(F1664)=YEAR(S1664))</f>
        <v/>
      </c>
      <c r="Q1664" s="521">
        <f>U1664="L001-901905215"</f>
        <v/>
      </c>
      <c r="R1664" s="556">
        <f>G1664-W1664</f>
        <v/>
      </c>
      <c r="S1664" s="523" t="n">
        <v>44996</v>
      </c>
      <c r="T1664" s="522" t="inlineStr">
        <is>
          <t>59014445</t>
        </is>
      </c>
      <c r="U1664" s="522" t="inlineStr">
        <is>
          <t>L001-901905215</t>
        </is>
      </c>
      <c r="V1664" s="522" t="inlineStr">
        <is>
          <t>វីអ៊ីស៊ិន (ខេមបូឌា) អ៊ិនដាសស្ទ្រី ឯ.ក</t>
        </is>
      </c>
      <c r="W1664" s="556" t="n">
        <v>54805</v>
      </c>
    </row>
    <row r="1665">
      <c r="A1665" s="521" t="n">
        <v>1657</v>
      </c>
      <c r="B1665" s="522" t="inlineStr">
        <is>
          <t>Service Fee</t>
        </is>
      </c>
      <c r="C1665" s="522" t="inlineStr">
        <is>
          <t>ប្យួរ៉ូ វេរីតាស (ខេមបូឌា) លីមីធីត</t>
        </is>
      </c>
      <c r="D1665" s="522" t="inlineStr">
        <is>
          <t>L001-107024462</t>
        </is>
      </c>
      <c r="E1665" s="521" t="inlineStr">
        <is>
          <t>59014444</t>
        </is>
      </c>
      <c r="F1665" s="523" t="n">
        <v>44996</v>
      </c>
      <c r="G1665" s="556" t="n">
        <v>109606</v>
      </c>
      <c r="I1665" s="521">
        <f>G1665</f>
        <v/>
      </c>
      <c r="K1665" s="521">
        <f>I1665-G1665</f>
        <v/>
      </c>
      <c r="M1665" s="522" t="inlineStr">
        <is>
          <t>59014444</t>
        </is>
      </c>
      <c r="N1665" s="522" t="inlineStr">
        <is>
          <t>59014444</t>
        </is>
      </c>
      <c r="O1665" s="521">
        <f>M1665=N1665</f>
        <v/>
      </c>
      <c r="P1665" s="521">
        <f>AND(MONTH(F1665)=MONTH(S1665), YEAR(F1665)=YEAR(S1665))</f>
        <v/>
      </c>
      <c r="Q1665" s="521">
        <f>U1665="L001-901905215"</f>
        <v/>
      </c>
      <c r="R1665" s="556">
        <f>G1665-W1665</f>
        <v/>
      </c>
      <c r="S1665" s="523" t="n">
        <v>44996</v>
      </c>
      <c r="T1665" s="522" t="inlineStr">
        <is>
          <t>59014444</t>
        </is>
      </c>
      <c r="U1665" s="522" t="inlineStr">
        <is>
          <t>L001-901905215</t>
        </is>
      </c>
      <c r="V1665" s="522" t="inlineStr">
        <is>
          <t>វីអ៊ីស៊ិន (ខេមបូឌា) អ៊ិនដាសស្ទ្រី ឯ.ក</t>
        </is>
      </c>
      <c r="W1665" s="556" t="n">
        <v>109606</v>
      </c>
    </row>
    <row r="1666">
      <c r="A1666" s="521" t="n">
        <v>1658</v>
      </c>
      <c r="B1666" s="522" t="inlineStr">
        <is>
          <t>Service Fee</t>
        </is>
      </c>
      <c r="C1666" s="522" t="inlineStr">
        <is>
          <t>ប្យួរ៉ូ វេរីតាស (ខេមបូឌា) លីមីធីត</t>
        </is>
      </c>
      <c r="D1666" s="522" t="inlineStr">
        <is>
          <t>L001-107024462</t>
        </is>
      </c>
      <c r="E1666" s="521" t="inlineStr">
        <is>
          <t>59014432</t>
        </is>
      </c>
      <c r="F1666" s="523" t="n">
        <v>44991</v>
      </c>
      <c r="G1666" s="556" t="n">
        <v>54954</v>
      </c>
      <c r="I1666" s="521">
        <f>G1666</f>
        <v/>
      </c>
      <c r="K1666" s="521">
        <f>I1666-G1666</f>
        <v/>
      </c>
      <c r="M1666" s="522" t="inlineStr">
        <is>
          <t>59014432</t>
        </is>
      </c>
      <c r="N1666" s="522" t="inlineStr">
        <is>
          <t>59014432</t>
        </is>
      </c>
      <c r="O1666" s="521">
        <f>M1666=N1666</f>
        <v/>
      </c>
      <c r="P1666" s="521">
        <f>AND(MONTH(F1666)=MONTH(S1666), YEAR(F1666)=YEAR(S1666))</f>
        <v/>
      </c>
      <c r="Q1666" s="521">
        <f>U1666="L001-901905215"</f>
        <v/>
      </c>
      <c r="R1666" s="556">
        <f>G1666-W1666</f>
        <v/>
      </c>
      <c r="S1666" s="523" t="n">
        <v>44991</v>
      </c>
      <c r="T1666" s="522" t="inlineStr">
        <is>
          <t>59014432</t>
        </is>
      </c>
      <c r="U1666" s="522" t="inlineStr">
        <is>
          <t>L001-901905215</t>
        </is>
      </c>
      <c r="V1666" s="522" t="inlineStr">
        <is>
          <t>វីអ៊ីស៊ិន (ខេមបូឌា) អ៊ិនដាសស្ទ្រី ឯ.ក</t>
        </is>
      </c>
      <c r="W1666" s="556" t="n">
        <v>54954</v>
      </c>
    </row>
    <row r="1667">
      <c r="A1667" s="521" t="n">
        <v>1659</v>
      </c>
      <c r="B1667" s="522" t="inlineStr">
        <is>
          <t>Service Fee</t>
        </is>
      </c>
      <c r="C1667" s="522" t="inlineStr">
        <is>
          <t>ប្យួរ៉ូ វេរីតាស (ខេមបូឌា) លីមីធីត</t>
        </is>
      </c>
      <c r="D1667" s="522" t="inlineStr">
        <is>
          <t>L001-107024462</t>
        </is>
      </c>
      <c r="E1667" s="521" t="inlineStr">
        <is>
          <t>59014431</t>
        </is>
      </c>
      <c r="F1667" s="523" t="n">
        <v>44991</v>
      </c>
      <c r="G1667" s="556" t="n">
        <v>94713</v>
      </c>
      <c r="I1667" s="521">
        <f>G1667</f>
        <v/>
      </c>
      <c r="K1667" s="521">
        <f>I1667-G1667</f>
        <v/>
      </c>
      <c r="M1667" s="522" t="inlineStr">
        <is>
          <t>59014431</t>
        </is>
      </c>
      <c r="N1667" s="522" t="inlineStr">
        <is>
          <t>59014431</t>
        </is>
      </c>
      <c r="O1667" s="521">
        <f>M1667=N1667</f>
        <v/>
      </c>
      <c r="P1667" s="521">
        <f>AND(MONTH(F1667)=MONTH(S1667), YEAR(F1667)=YEAR(S1667))</f>
        <v/>
      </c>
      <c r="Q1667" s="521">
        <f>U1667="L001-901905215"</f>
        <v/>
      </c>
      <c r="R1667" s="556">
        <f>G1667-W1667</f>
        <v/>
      </c>
      <c r="S1667" s="523" t="n">
        <v>44991</v>
      </c>
      <c r="T1667" s="522" t="inlineStr">
        <is>
          <t>59014431</t>
        </is>
      </c>
      <c r="U1667" s="522" t="inlineStr">
        <is>
          <t>L001-901905215</t>
        </is>
      </c>
      <c r="V1667" s="522" t="inlineStr">
        <is>
          <t>វីអ៊ីស៊ិន (ខេមបូឌា) អ៊ិនដាសស្ទ្រី ឯ.ក</t>
        </is>
      </c>
      <c r="W1667" s="556" t="n">
        <v>94713</v>
      </c>
    </row>
    <row r="1668">
      <c r="A1668" s="521" t="n">
        <v>1660</v>
      </c>
      <c r="B1668" s="522" t="inlineStr">
        <is>
          <t>Service Fee</t>
        </is>
      </c>
      <c r="C1668" s="522" t="inlineStr">
        <is>
          <t>ប្យួរ៉ូ វេរីតាស (ខេមបូឌា) លីមីធីត</t>
        </is>
      </c>
      <c r="D1668" s="522" t="inlineStr">
        <is>
          <t>L001-107024462</t>
        </is>
      </c>
      <c r="E1668" s="521" t="inlineStr">
        <is>
          <t>59014423</t>
        </is>
      </c>
      <c r="F1668" s="523" t="n">
        <v>44989</v>
      </c>
      <c r="G1668" s="556" t="n">
        <v>54995</v>
      </c>
      <c r="I1668" s="521">
        <f>G1668</f>
        <v/>
      </c>
      <c r="K1668" s="521">
        <f>I1668-G1668</f>
        <v/>
      </c>
      <c r="M1668" s="522" t="inlineStr">
        <is>
          <t>59014423</t>
        </is>
      </c>
      <c r="N1668" s="522" t="inlineStr">
        <is>
          <t>59014423</t>
        </is>
      </c>
      <c r="O1668" s="521">
        <f>M1668=N1668</f>
        <v/>
      </c>
      <c r="P1668" s="521">
        <f>AND(MONTH(F1668)=MONTH(S1668), YEAR(F1668)=YEAR(S1668))</f>
        <v/>
      </c>
      <c r="Q1668" s="521">
        <f>U1668="L001-901905215"</f>
        <v/>
      </c>
      <c r="R1668" s="556">
        <f>G1668-W1668</f>
        <v/>
      </c>
      <c r="S1668" s="523" t="n">
        <v>44989</v>
      </c>
      <c r="T1668" s="522" t="inlineStr">
        <is>
          <t>59014423</t>
        </is>
      </c>
      <c r="U1668" s="522" t="inlineStr">
        <is>
          <t>L001-901905215</t>
        </is>
      </c>
      <c r="V1668" s="522" t="inlineStr">
        <is>
          <t>វីអ៊ីស៊ិន (ខេមបូឌា) អ៊ិនដាសស្ទ្រី ឯ.ក</t>
        </is>
      </c>
      <c r="W1668" s="556" t="n">
        <v>54995</v>
      </c>
    </row>
    <row r="1669">
      <c r="A1669" s="521" t="n">
        <v>1661</v>
      </c>
      <c r="B1669" s="522" t="n"/>
      <c r="C1669" s="522" t="inlineStr">
        <is>
          <t>កំពង់ផែស្វយ័តភ្នំពេញ "ក.ស.ភ"</t>
        </is>
      </c>
      <c r="D1669" s="522" t="inlineStr">
        <is>
          <t>L001-100044999</t>
        </is>
      </c>
      <c r="E1669" s="521" t="inlineStr">
        <is>
          <t>INV20200419701</t>
        </is>
      </c>
      <c r="F1669" s="523" t="n">
        <v>43939</v>
      </c>
      <c r="G1669" s="556" t="n">
        <v>19377</v>
      </c>
      <c r="I1669" s="521">
        <f>G1669</f>
        <v/>
      </c>
      <c r="K1669" s="521">
        <f>I1669-G1669</f>
        <v/>
      </c>
      <c r="M1669" s="522" t="inlineStr">
        <is>
          <t>INV20200419701</t>
        </is>
      </c>
      <c r="N1669" s="522" t="inlineStr"/>
      <c r="O1669" s="521">
        <f>M1669=N1669</f>
        <v/>
      </c>
      <c r="P1669" s="521">
        <f>AND(MONTH(F1669)=MONTH(S1669), YEAR(F1669)=YEAR(S1669))</f>
        <v/>
      </c>
      <c r="Q1669" s="521">
        <f>U1669="L001-901905215"</f>
        <v/>
      </c>
      <c r="R1669" s="556">
        <f>G1669-W1669</f>
        <v/>
      </c>
      <c r="S1669" s="521" t="n"/>
      <c r="T1669" s="522" t="n"/>
      <c r="U1669" s="522" t="n"/>
      <c r="V1669" s="522" t="n"/>
      <c r="W1669" s="521" t="n"/>
    </row>
    <row r="1670">
      <c r="A1670" s="521" t="n">
        <v>1662</v>
      </c>
      <c r="B1670" s="522" t="n"/>
      <c r="C1670" s="522" t="inlineStr">
        <is>
          <t>ភីស៊ីអាយ សឺវីស</t>
        </is>
      </c>
      <c r="D1670" s="522" t="inlineStr">
        <is>
          <t>K010-901639639</t>
        </is>
      </c>
      <c r="E1670" s="521" t="inlineStr">
        <is>
          <t>201901009</t>
        </is>
      </c>
      <c r="F1670" s="523" t="n">
        <v>43946</v>
      </c>
      <c r="G1670" s="556" t="n">
        <v>81600</v>
      </c>
      <c r="I1670" s="521">
        <f>G1670</f>
        <v/>
      </c>
      <c r="K1670" s="521">
        <f>I1670-G1670</f>
        <v/>
      </c>
      <c r="M1670" s="522" t="inlineStr">
        <is>
          <t>201901009</t>
        </is>
      </c>
      <c r="N1670" s="522" t="inlineStr"/>
      <c r="O1670" s="521">
        <f>M1670=N1670</f>
        <v/>
      </c>
      <c r="P1670" s="521">
        <f>AND(MONTH(F1670)=MONTH(S1670), YEAR(F1670)=YEAR(S1670))</f>
        <v/>
      </c>
      <c r="Q1670" s="521">
        <f>U1670="L001-901905215"</f>
        <v/>
      </c>
      <c r="R1670" s="556">
        <f>G1670-W1670</f>
        <v/>
      </c>
      <c r="S1670" s="521" t="n"/>
      <c r="T1670" s="522" t="n"/>
      <c r="U1670" s="522" t="n"/>
      <c r="V1670" s="522" t="n"/>
      <c r="W1670" s="521" t="n"/>
    </row>
    <row r="1671">
      <c r="A1671" s="521" t="n">
        <v>1663</v>
      </c>
      <c r="B1671" s="522" t="n"/>
      <c r="C1671" s="522" t="inlineStr">
        <is>
          <t>ហ្គោមី រីសាយឃល110</t>
        </is>
      </c>
      <c r="D1671" s="522" t="inlineStr">
        <is>
          <t>K010-901503890</t>
        </is>
      </c>
      <c r="E1671" s="521" t="inlineStr">
        <is>
          <t>GRIN2020141</t>
        </is>
      </c>
      <c r="F1671" s="523" t="n">
        <v>43949</v>
      </c>
      <c r="G1671" s="556" t="n">
        <v>16380</v>
      </c>
      <c r="I1671" s="521">
        <f>G1671</f>
        <v/>
      </c>
      <c r="K1671" s="521">
        <f>I1671-G1671</f>
        <v/>
      </c>
      <c r="M1671" s="522" t="inlineStr">
        <is>
          <t>GRIN2020141</t>
        </is>
      </c>
      <c r="N1671" s="522" t="inlineStr">
        <is>
          <t>GRIN2020141</t>
        </is>
      </c>
      <c r="O1671" s="521">
        <f>M1671=N1671</f>
        <v/>
      </c>
      <c r="P1671" s="521">
        <f>AND(MONTH(F1671)=MONTH(S1671), YEAR(F1671)=YEAR(S1671))</f>
        <v/>
      </c>
      <c r="Q1671" s="521">
        <f>U1671="L001-901905215"</f>
        <v/>
      </c>
      <c r="R1671" s="556">
        <f>G1671-W1671</f>
        <v/>
      </c>
      <c r="S1671" s="523" t="n">
        <v>43950</v>
      </c>
      <c r="T1671" s="522" t="inlineStr">
        <is>
          <t>GR-IN2020141</t>
        </is>
      </c>
      <c r="U1671" s="522" t="inlineStr">
        <is>
          <t>L001-901905215</t>
        </is>
      </c>
      <c r="V1671" s="522" t="inlineStr">
        <is>
          <t>វីអ៊ីស៊ិន (ខេមបូឌា) អ៊ិនដាសស្ទ្រី ឯ.ក</t>
        </is>
      </c>
      <c r="W1671" s="556" t="n">
        <v>16396</v>
      </c>
    </row>
    <row r="1672">
      <c r="A1672" s="521" t="n">
        <v>1664</v>
      </c>
      <c r="B1672" s="522" t="n"/>
      <c r="C1672" s="522" t="inlineStr">
        <is>
          <t>អ៊ិចស្ពែឌីធ័រ ខេមបូឌា អិលធីឌី</t>
        </is>
      </c>
      <c r="D1672" s="522" t="inlineStr">
        <is>
          <t>L001-100045898</t>
        </is>
      </c>
      <c r="E1672" s="521" t="inlineStr">
        <is>
          <t>TI0175492</t>
        </is>
      </c>
      <c r="F1672" s="523" t="n">
        <v>43948</v>
      </c>
      <c r="G1672" s="556" t="n">
        <v>148467</v>
      </c>
      <c r="I1672" s="521">
        <f>G1672</f>
        <v/>
      </c>
      <c r="K1672" s="521">
        <f>I1672-G1672</f>
        <v/>
      </c>
      <c r="M1672" s="522" t="inlineStr">
        <is>
          <t>TI0175492</t>
        </is>
      </c>
      <c r="N1672" s="522" t="inlineStr">
        <is>
          <t>TI0175492</t>
        </is>
      </c>
      <c r="O1672" s="521">
        <f>M1672=N1672</f>
        <v/>
      </c>
      <c r="P1672" s="521">
        <f>AND(MONTH(F1672)=MONTH(S1672), YEAR(F1672)=YEAR(S1672))</f>
        <v/>
      </c>
      <c r="Q1672" s="521">
        <f>U1672="L001-901905215"</f>
        <v/>
      </c>
      <c r="R1672" s="556">
        <f>G1672-W1672</f>
        <v/>
      </c>
      <c r="S1672" s="523" t="n">
        <v>43948</v>
      </c>
      <c r="T1672" s="522" t="inlineStr">
        <is>
          <t>TI-0175492</t>
        </is>
      </c>
      <c r="U1672" s="522" t="inlineStr">
        <is>
          <t>L001-901905215</t>
        </is>
      </c>
      <c r="V1672" s="522" t="inlineStr">
        <is>
          <t>វីអ៊ីស៊ិន (ខេមបូឌា) អ៊ិនដាសស្ទ្រី ឯ.ក</t>
        </is>
      </c>
      <c r="W1672" s="556" t="n">
        <v>148467</v>
      </c>
    </row>
    <row r="1673">
      <c r="A1673" s="521" t="n">
        <v>1665</v>
      </c>
      <c r="B1673" s="522" t="n"/>
      <c r="C1673" s="522" t="inlineStr">
        <is>
          <t>អ៊ិចស្ពែឌីធ័រ ខេមបូឌា អិលធីឌី</t>
        </is>
      </c>
      <c r="D1673" s="522" t="inlineStr">
        <is>
          <t>L001-100045898</t>
        </is>
      </c>
      <c r="E1673" s="521" t="inlineStr">
        <is>
          <t>TI0175491</t>
        </is>
      </c>
      <c r="F1673" s="523" t="n">
        <v>43948</v>
      </c>
      <c r="G1673" s="556" t="n">
        <v>152557</v>
      </c>
      <c r="I1673" s="521">
        <f>G1673</f>
        <v/>
      </c>
      <c r="K1673" s="521">
        <f>I1673-G1673</f>
        <v/>
      </c>
      <c r="M1673" s="522" t="inlineStr">
        <is>
          <t>TI0175491</t>
        </is>
      </c>
      <c r="N1673" s="522" t="inlineStr">
        <is>
          <t>TI0175491</t>
        </is>
      </c>
      <c r="O1673" s="521">
        <f>M1673=N1673</f>
        <v/>
      </c>
      <c r="P1673" s="521">
        <f>AND(MONTH(F1673)=MONTH(S1673), YEAR(F1673)=YEAR(S1673))</f>
        <v/>
      </c>
      <c r="Q1673" s="521">
        <f>U1673="L001-901905215"</f>
        <v/>
      </c>
      <c r="R1673" s="556">
        <f>G1673-W1673</f>
        <v/>
      </c>
      <c r="S1673" s="523" t="n">
        <v>43948</v>
      </c>
      <c r="T1673" s="522" t="inlineStr">
        <is>
          <t>TI-0175491</t>
        </is>
      </c>
      <c r="U1673" s="522" t="inlineStr">
        <is>
          <t>L001-901905215</t>
        </is>
      </c>
      <c r="V1673" s="522" t="inlineStr">
        <is>
          <t>វីអ៊ីស៊ិន (ខេមបូឌា) អ៊ិនដាសស្ទ្រី ឯ.ក</t>
        </is>
      </c>
      <c r="W1673" s="556" t="n">
        <v>152557</v>
      </c>
    </row>
    <row r="1674">
      <c r="A1674" s="521" t="n">
        <v>1666</v>
      </c>
      <c r="B1674" s="522" t="n"/>
      <c r="C1674" s="522" t="inlineStr">
        <is>
          <t>អ៊ិចស្ពែឌីធ័រ ខេមបូឌា អិលធីឌី</t>
        </is>
      </c>
      <c r="D1674" s="522" t="inlineStr">
        <is>
          <t>L001-100045898</t>
        </is>
      </c>
      <c r="E1674" s="521" t="inlineStr">
        <is>
          <t>TI0175490</t>
        </is>
      </c>
      <c r="F1674" s="523" t="n">
        <v>43948</v>
      </c>
      <c r="G1674" s="556" t="n">
        <v>152557</v>
      </c>
      <c r="I1674" s="521">
        <f>G1674</f>
        <v/>
      </c>
      <c r="K1674" s="521">
        <f>I1674-G1674</f>
        <v/>
      </c>
      <c r="M1674" s="522" t="inlineStr">
        <is>
          <t>TI0175490</t>
        </is>
      </c>
      <c r="N1674" s="522" t="inlineStr">
        <is>
          <t>TI0175490</t>
        </is>
      </c>
      <c r="O1674" s="521">
        <f>M1674=N1674</f>
        <v/>
      </c>
      <c r="P1674" s="521">
        <f>AND(MONTH(F1674)=MONTH(S1674), YEAR(F1674)=YEAR(S1674))</f>
        <v/>
      </c>
      <c r="Q1674" s="521">
        <f>U1674="L001-901905215"</f>
        <v/>
      </c>
      <c r="R1674" s="556">
        <f>G1674-W1674</f>
        <v/>
      </c>
      <c r="S1674" s="523" t="n">
        <v>43948</v>
      </c>
      <c r="T1674" s="522" t="inlineStr">
        <is>
          <t>TI-0175490</t>
        </is>
      </c>
      <c r="U1674" s="522" t="inlineStr">
        <is>
          <t>L001-901905215</t>
        </is>
      </c>
      <c r="V1674" s="522" t="inlineStr">
        <is>
          <t>វីអ៊ីស៊ិន (ខេមបូឌា) អ៊ិនដាសស្ទ្រី ឯ.ក</t>
        </is>
      </c>
      <c r="W1674" s="556" t="n">
        <v>152557</v>
      </c>
    </row>
    <row r="1675">
      <c r="A1675" s="521" t="n">
        <v>1667</v>
      </c>
      <c r="B1675" s="522" t="n"/>
      <c r="C1675" s="522" t="inlineStr">
        <is>
          <t>អ៊ីជីអេហ្វ ឡូជីស្ទីក ខូ អិលធីឌី</t>
        </is>
      </c>
      <c r="D1675" s="522" t="inlineStr">
        <is>
          <t>L001-901501877</t>
        </is>
      </c>
      <c r="E1675" s="521" t="inlineStr">
        <is>
          <t>2003068</t>
        </is>
      </c>
      <c r="F1675" s="523" t="n">
        <v>43945</v>
      </c>
      <c r="G1675" s="556" t="n">
        <v>93840</v>
      </c>
      <c r="I1675" s="521">
        <f>G1675</f>
        <v/>
      </c>
      <c r="K1675" s="521">
        <f>I1675-G1675</f>
        <v/>
      </c>
      <c r="M1675" s="522" t="inlineStr">
        <is>
          <t>2003068</t>
        </is>
      </c>
      <c r="N1675" s="522" t="inlineStr">
        <is>
          <t>2003068</t>
        </is>
      </c>
      <c r="O1675" s="521">
        <f>M1675=N1675</f>
        <v/>
      </c>
      <c r="P1675" s="521">
        <f>AND(MONTH(F1675)=MONTH(S1675), YEAR(F1675)=YEAR(S1675))</f>
        <v/>
      </c>
      <c r="Q1675" s="521">
        <f>U1675="L001-901905215"</f>
        <v/>
      </c>
      <c r="R1675" s="556">
        <f>G1675-W1675</f>
        <v/>
      </c>
      <c r="S1675" s="523" t="n">
        <v>43945</v>
      </c>
      <c r="T1675" s="522" t="inlineStr">
        <is>
          <t>2003068</t>
        </is>
      </c>
      <c r="U1675" s="522" t="inlineStr">
        <is>
          <t>L001-901905215</t>
        </is>
      </c>
      <c r="V1675" s="522" t="inlineStr">
        <is>
          <t>វីអ៊ីស៊ិន (ខេមបូឌា) អ៊ិនដាសស្ទ្រី ឯ.ក</t>
        </is>
      </c>
      <c r="W1675" s="556" t="n">
        <v>93840</v>
      </c>
    </row>
    <row r="1676">
      <c r="A1676" s="521" t="n">
        <v>1668</v>
      </c>
      <c r="B1676" s="522" t="n"/>
      <c r="C1676" s="522" t="inlineStr">
        <is>
          <t>អ៊ីជីអេហ្វ ឡូជីស្ទីក ខូ អិលធីឌី</t>
        </is>
      </c>
      <c r="D1676" s="522" t="inlineStr">
        <is>
          <t>L001-901501877</t>
        </is>
      </c>
      <c r="E1676" s="521" t="inlineStr">
        <is>
          <t>2003067</t>
        </is>
      </c>
      <c r="F1676" s="523" t="n">
        <v>43945</v>
      </c>
      <c r="G1676" s="556" t="n">
        <v>89760</v>
      </c>
      <c r="I1676" s="521">
        <f>G1676</f>
        <v/>
      </c>
      <c r="K1676" s="521">
        <f>I1676-G1676</f>
        <v/>
      </c>
      <c r="M1676" s="522" t="inlineStr">
        <is>
          <t>2003067</t>
        </is>
      </c>
      <c r="N1676" s="522" t="inlineStr">
        <is>
          <t>2003067</t>
        </is>
      </c>
      <c r="O1676" s="521">
        <f>M1676=N1676</f>
        <v/>
      </c>
      <c r="P1676" s="521">
        <f>AND(MONTH(F1676)=MONTH(S1676), YEAR(F1676)=YEAR(S1676))</f>
        <v/>
      </c>
      <c r="Q1676" s="521">
        <f>U1676="L001-901905215"</f>
        <v/>
      </c>
      <c r="R1676" s="556">
        <f>G1676-W1676</f>
        <v/>
      </c>
      <c r="S1676" s="523" t="n">
        <v>43945</v>
      </c>
      <c r="T1676" s="522" t="inlineStr">
        <is>
          <t>2003067</t>
        </is>
      </c>
      <c r="U1676" s="522" t="inlineStr">
        <is>
          <t>L001-901905215</t>
        </is>
      </c>
      <c r="V1676" s="522" t="inlineStr">
        <is>
          <t>វីអ៊ីស៊ិន (ខេមបូឌា) អ៊ិនដាសស្ទ្រី ឯ.ក</t>
        </is>
      </c>
      <c r="W1676" s="556" t="n">
        <v>89760</v>
      </c>
    </row>
    <row r="1677">
      <c r="A1677" s="521" t="n">
        <v>1669</v>
      </c>
      <c r="B1677" s="522" t="n"/>
      <c r="C1677" s="522" t="inlineStr">
        <is>
          <t>អ៊ីជីអេហ្វ ឡូជីស្ទីក ខូ អិលធីឌី</t>
        </is>
      </c>
      <c r="D1677" s="522" t="inlineStr">
        <is>
          <t>L001-901501877</t>
        </is>
      </c>
      <c r="E1677" s="521" t="inlineStr">
        <is>
          <t>2003066</t>
        </is>
      </c>
      <c r="F1677" s="523" t="n">
        <v>43945</v>
      </c>
      <c r="G1677" s="556" t="n">
        <v>89760</v>
      </c>
      <c r="I1677" s="521">
        <f>G1677</f>
        <v/>
      </c>
      <c r="K1677" s="521">
        <f>I1677-G1677</f>
        <v/>
      </c>
      <c r="M1677" s="522" t="inlineStr">
        <is>
          <t>2003066</t>
        </is>
      </c>
      <c r="N1677" s="522" t="inlineStr">
        <is>
          <t>2003066</t>
        </is>
      </c>
      <c r="O1677" s="521">
        <f>M1677=N1677</f>
        <v/>
      </c>
      <c r="P1677" s="521">
        <f>AND(MONTH(F1677)=MONTH(S1677), YEAR(F1677)=YEAR(S1677))</f>
        <v/>
      </c>
      <c r="Q1677" s="521">
        <f>U1677="L001-901905215"</f>
        <v/>
      </c>
      <c r="R1677" s="556">
        <f>G1677-W1677</f>
        <v/>
      </c>
      <c r="S1677" s="523" t="n">
        <v>43945</v>
      </c>
      <c r="T1677" s="522" t="inlineStr">
        <is>
          <t>2003066</t>
        </is>
      </c>
      <c r="U1677" s="522" t="inlineStr">
        <is>
          <t>L001-901905215</t>
        </is>
      </c>
      <c r="V1677" s="522" t="inlineStr">
        <is>
          <t>វីអ៊ីស៊ិន (ខេមបូឌា) អ៊ិនដាសស្ទ្រី ឯ.ក</t>
        </is>
      </c>
      <c r="W1677" s="556" t="n">
        <v>89760</v>
      </c>
    </row>
    <row r="1678">
      <c r="A1678" s="521" t="n">
        <v>1670</v>
      </c>
      <c r="B1678" s="522" t="n"/>
      <c r="C1678" s="522" t="inlineStr">
        <is>
          <t>ខេមវីល គ្លូប៊ល ឯ.ក</t>
        </is>
      </c>
      <c r="D1678" s="522" t="inlineStr">
        <is>
          <t>L001-901637190</t>
        </is>
      </c>
      <c r="E1678" s="521" t="inlineStr">
        <is>
          <t>INV200458</t>
        </is>
      </c>
      <c r="F1678" s="523" t="n">
        <v>43942</v>
      </c>
      <c r="G1678" s="556" t="n">
        <v>175010</v>
      </c>
      <c r="I1678" s="521">
        <f>G1678</f>
        <v/>
      </c>
      <c r="K1678" s="521">
        <f>I1678-G1678</f>
        <v/>
      </c>
      <c r="M1678" s="522" t="inlineStr">
        <is>
          <t>INV200458</t>
        </is>
      </c>
      <c r="N1678" s="522" t="inlineStr">
        <is>
          <t>INV200458</t>
        </is>
      </c>
      <c r="O1678" s="521">
        <f>M1678=N1678</f>
        <v/>
      </c>
      <c r="P1678" s="521">
        <f>AND(MONTH(F1678)=MONTH(S1678), YEAR(F1678)=YEAR(S1678))</f>
        <v/>
      </c>
      <c r="Q1678" s="521">
        <f>U1678="L001-901905215"</f>
        <v/>
      </c>
      <c r="R1678" s="556">
        <f>G1678-W1678</f>
        <v/>
      </c>
      <c r="S1678" s="523" t="n">
        <v>43942</v>
      </c>
      <c r="T1678" s="522" t="inlineStr">
        <is>
          <t>INV200458</t>
        </is>
      </c>
      <c r="U1678" s="522" t="inlineStr">
        <is>
          <t>L001-901905215</t>
        </is>
      </c>
      <c r="V1678" s="522" t="inlineStr">
        <is>
          <t>វីអ៊ីស៊ិន (ខេមបូឌា) អ៊ិនដាសស្ទ្រី ឯ.ក</t>
        </is>
      </c>
      <c r="W1678" s="556" t="n">
        <v>0</v>
      </c>
    </row>
    <row r="1679">
      <c r="A1679" s="521" t="n">
        <v>1671</v>
      </c>
      <c r="B1679" s="522" t="n"/>
      <c r="C1679" s="522" t="inlineStr">
        <is>
          <t>អ៊ិចស្ពែឌីធ័រ ខេមបូឌា អិលធីឌី</t>
        </is>
      </c>
      <c r="D1679" s="522" t="inlineStr">
        <is>
          <t>L001-100045898</t>
        </is>
      </c>
      <c r="E1679" s="521" t="inlineStr">
        <is>
          <t>TI0175264</t>
        </is>
      </c>
      <c r="F1679" s="523" t="n">
        <v>43941</v>
      </c>
      <c r="G1679" s="556" t="n">
        <v>193901</v>
      </c>
      <c r="I1679" s="521">
        <f>G1679</f>
        <v/>
      </c>
      <c r="K1679" s="521">
        <f>I1679-G1679</f>
        <v/>
      </c>
      <c r="M1679" s="522" t="inlineStr">
        <is>
          <t>TI0175264</t>
        </is>
      </c>
      <c r="N1679" s="522" t="inlineStr">
        <is>
          <t>TI0175264</t>
        </is>
      </c>
      <c r="O1679" s="521">
        <f>M1679=N1679</f>
        <v/>
      </c>
      <c r="P1679" s="521">
        <f>AND(MONTH(F1679)=MONTH(S1679), YEAR(F1679)=YEAR(S1679))</f>
        <v/>
      </c>
      <c r="Q1679" s="521">
        <f>U1679="L001-901905215"</f>
        <v/>
      </c>
      <c r="R1679" s="556">
        <f>G1679-W1679</f>
        <v/>
      </c>
      <c r="S1679" s="523" t="n">
        <v>43941</v>
      </c>
      <c r="T1679" s="522" t="inlineStr">
        <is>
          <t>TI-0175264</t>
        </is>
      </c>
      <c r="U1679" s="522" t="inlineStr">
        <is>
          <t>L001-901905215</t>
        </is>
      </c>
      <c r="V1679" s="522" t="inlineStr">
        <is>
          <t>វីអ៊ីស៊ិន (ខេមបូឌា) អ៊ិនដាសស្ទ្រី ឯ.ក</t>
        </is>
      </c>
      <c r="W1679" s="556" t="n">
        <v>193901</v>
      </c>
    </row>
    <row r="1680">
      <c r="A1680" s="521" t="n">
        <v>1672</v>
      </c>
      <c r="B1680" s="522" t="n"/>
      <c r="C1680" s="522" t="inlineStr">
        <is>
          <t>ខេមវីល គ្លូប៊ល ឯ.ក</t>
        </is>
      </c>
      <c r="D1680" s="522" t="inlineStr">
        <is>
          <t>L001-901637190</t>
        </is>
      </c>
      <c r="E1680" s="521" t="inlineStr">
        <is>
          <t>INV200441</t>
        </is>
      </c>
      <c r="F1680" s="523" t="n">
        <v>43936</v>
      </c>
      <c r="G1680" s="556" t="n">
        <v>105430</v>
      </c>
      <c r="I1680" s="521">
        <f>G1680</f>
        <v/>
      </c>
      <c r="K1680" s="521">
        <f>I1680-G1680</f>
        <v/>
      </c>
      <c r="M1680" s="522" t="inlineStr">
        <is>
          <t>INV200441</t>
        </is>
      </c>
      <c r="N1680" s="522" t="inlineStr">
        <is>
          <t>INV200441</t>
        </is>
      </c>
      <c r="O1680" s="521">
        <f>M1680=N1680</f>
        <v/>
      </c>
      <c r="P1680" s="521">
        <f>AND(MONTH(F1680)=MONTH(S1680), YEAR(F1680)=YEAR(S1680))</f>
        <v/>
      </c>
      <c r="Q1680" s="521">
        <f>U1680="L001-901905215"</f>
        <v/>
      </c>
      <c r="R1680" s="556">
        <f>G1680-W1680</f>
        <v/>
      </c>
      <c r="S1680" s="523" t="n">
        <v>43936</v>
      </c>
      <c r="T1680" s="522" t="inlineStr">
        <is>
          <t>INV200441</t>
        </is>
      </c>
      <c r="U1680" s="522" t="inlineStr">
        <is>
          <t>L001-901905215</t>
        </is>
      </c>
      <c r="V1680" s="522" t="inlineStr">
        <is>
          <t>វីអ៊ីស៊ិន (ខេមបូឌា) អ៊ិនដាសស្ទ្រី ឯ.ក</t>
        </is>
      </c>
      <c r="W1680" s="556" t="n">
        <v>81980</v>
      </c>
    </row>
    <row r="1681">
      <c r="A1681" s="521" t="n">
        <v>1673</v>
      </c>
      <c r="B1681" s="522" t="n"/>
      <c r="C1681" s="522" t="inlineStr">
        <is>
          <t>អ៊ិចស្ពែឌីធ័រ ខេមបូឌា អិលធីឌី</t>
        </is>
      </c>
      <c r="D1681" s="522" t="inlineStr">
        <is>
          <t>L001-100045898</t>
        </is>
      </c>
      <c r="E1681" s="521" t="inlineStr">
        <is>
          <t>TI0174957</t>
        </is>
      </c>
      <c r="F1681" s="523" t="n">
        <v>43934</v>
      </c>
      <c r="G1681" s="556" t="n">
        <v>123120</v>
      </c>
      <c r="I1681" s="521">
        <f>G1681</f>
        <v/>
      </c>
      <c r="K1681" s="521">
        <f>I1681-G1681</f>
        <v/>
      </c>
      <c r="M1681" s="522" t="inlineStr">
        <is>
          <t>TI0174957</t>
        </is>
      </c>
      <c r="N1681" s="522" t="inlineStr">
        <is>
          <t>TI0174957</t>
        </is>
      </c>
      <c r="O1681" s="521">
        <f>M1681=N1681</f>
        <v/>
      </c>
      <c r="P1681" s="521">
        <f>AND(MONTH(F1681)=MONTH(S1681), YEAR(F1681)=YEAR(S1681))</f>
        <v/>
      </c>
      <c r="Q1681" s="521">
        <f>U1681="L001-901905215"</f>
        <v/>
      </c>
      <c r="R1681" s="556">
        <f>G1681-W1681</f>
        <v/>
      </c>
      <c r="S1681" s="523" t="n">
        <v>43934</v>
      </c>
      <c r="T1681" s="522" t="inlineStr">
        <is>
          <t>TI-0174957</t>
        </is>
      </c>
      <c r="U1681" s="522" t="inlineStr">
        <is>
          <t>L001-901905215</t>
        </is>
      </c>
      <c r="V1681" s="522" t="inlineStr">
        <is>
          <t>វីអ៊ីស៊ិន (ខេមបូឌា) អ៊ិនដាសស្ទ្រី ឯ.ក</t>
        </is>
      </c>
      <c r="W1681" s="556" t="n">
        <v>123120</v>
      </c>
    </row>
    <row r="1682">
      <c r="A1682" s="521" t="n">
        <v>1674</v>
      </c>
      <c r="B1682" s="522" t="n"/>
      <c r="C1682" s="522" t="inlineStr">
        <is>
          <t>អ៊ិចស្ពែឌីធ័រ ខេមបូឌា អិលធីឌី</t>
        </is>
      </c>
      <c r="D1682" s="522" t="inlineStr">
        <is>
          <t>L001-100045898</t>
        </is>
      </c>
      <c r="E1682" s="521" t="inlineStr">
        <is>
          <t>TI0174956</t>
        </is>
      </c>
      <c r="F1682" s="523" t="n">
        <v>43934</v>
      </c>
      <c r="G1682" s="556" t="n">
        <v>199260</v>
      </c>
      <c r="I1682" s="521">
        <f>G1682</f>
        <v/>
      </c>
      <c r="K1682" s="521">
        <f>I1682-G1682</f>
        <v/>
      </c>
      <c r="M1682" s="522" t="inlineStr">
        <is>
          <t>TI0174956</t>
        </is>
      </c>
      <c r="N1682" s="522" t="inlineStr">
        <is>
          <t>TI0174956</t>
        </is>
      </c>
      <c r="O1682" s="521">
        <f>M1682=N1682</f>
        <v/>
      </c>
      <c r="P1682" s="521">
        <f>AND(MONTH(F1682)=MONTH(S1682), YEAR(F1682)=YEAR(S1682))</f>
        <v/>
      </c>
      <c r="Q1682" s="521">
        <f>U1682="L001-901905215"</f>
        <v/>
      </c>
      <c r="R1682" s="556">
        <f>G1682-W1682</f>
        <v/>
      </c>
      <c r="S1682" s="523" t="n">
        <v>43934</v>
      </c>
      <c r="T1682" s="522" t="inlineStr">
        <is>
          <t>TI-0174956</t>
        </is>
      </c>
      <c r="U1682" s="522" t="inlineStr">
        <is>
          <t>L001-901905215</t>
        </is>
      </c>
      <c r="V1682" s="522" t="inlineStr">
        <is>
          <t>វីអ៊ីស៊ិន (ខេមបូឌា) អ៊ិនដាសស្ទ្រី ឯ.ក</t>
        </is>
      </c>
      <c r="W1682" s="556" t="n">
        <v>199260</v>
      </c>
    </row>
    <row r="1683">
      <c r="A1683" s="521" t="n">
        <v>1675</v>
      </c>
      <c r="B1683" s="522" t="n"/>
      <c r="C1683" s="522" t="inlineStr">
        <is>
          <t>អ៊ីជីអេហ្វ ឡូជីស្ទីក ខូ អិលធីឌី</t>
        </is>
      </c>
      <c r="D1683" s="522" t="inlineStr">
        <is>
          <t>L001-901501877</t>
        </is>
      </c>
      <c r="E1683" s="521" t="inlineStr">
        <is>
          <t>2002798</t>
        </is>
      </c>
      <c r="F1683" s="523" t="n">
        <v>43931</v>
      </c>
      <c r="G1683" s="556" t="n">
        <v>93265</v>
      </c>
      <c r="I1683" s="521">
        <f>G1683</f>
        <v/>
      </c>
      <c r="K1683" s="521">
        <f>I1683-G1683</f>
        <v/>
      </c>
      <c r="M1683" s="522" t="inlineStr">
        <is>
          <t>2002798</t>
        </is>
      </c>
      <c r="N1683" s="522" t="inlineStr">
        <is>
          <t>2002798</t>
        </is>
      </c>
      <c r="O1683" s="521">
        <f>M1683=N1683</f>
        <v/>
      </c>
      <c r="P1683" s="521">
        <f>AND(MONTH(F1683)=MONTH(S1683), YEAR(F1683)=YEAR(S1683))</f>
        <v/>
      </c>
      <c r="Q1683" s="521">
        <f>U1683="L001-901905215"</f>
        <v/>
      </c>
      <c r="R1683" s="556">
        <f>G1683-W1683</f>
        <v/>
      </c>
      <c r="S1683" s="523" t="n">
        <v>43931</v>
      </c>
      <c r="T1683" s="522" t="inlineStr">
        <is>
          <t>2002798</t>
        </is>
      </c>
      <c r="U1683" s="522" t="inlineStr">
        <is>
          <t>L001-901905215</t>
        </is>
      </c>
      <c r="V1683" s="522" t="inlineStr">
        <is>
          <t>វីអ៊ីស៊ិន (ខេមបូឌា) អ៊ិនដាសស្ទ្រី ឯ.ក</t>
        </is>
      </c>
      <c r="W1683" s="556" t="n">
        <v>93265</v>
      </c>
    </row>
    <row r="1684">
      <c r="A1684" s="521" t="n">
        <v>1676</v>
      </c>
      <c r="B1684" s="522" t="n"/>
      <c r="C1684" s="522" t="inlineStr">
        <is>
          <t>អ៊ីជីអេហ្វ ឡូជីស្ទីក ខូ អិលធីឌី</t>
        </is>
      </c>
      <c r="D1684" s="522" t="inlineStr">
        <is>
          <t>L001-901501877</t>
        </is>
      </c>
      <c r="E1684" s="521" t="inlineStr">
        <is>
          <t>2002797</t>
        </is>
      </c>
      <c r="F1684" s="523" t="n">
        <v>43931</v>
      </c>
      <c r="G1684" s="556" t="n">
        <v>89210</v>
      </c>
      <c r="I1684" s="521">
        <f>G1684</f>
        <v/>
      </c>
      <c r="K1684" s="521">
        <f>I1684-G1684</f>
        <v/>
      </c>
      <c r="M1684" s="522" t="inlineStr">
        <is>
          <t>2002797</t>
        </is>
      </c>
      <c r="N1684" s="522" t="inlineStr">
        <is>
          <t>2002797</t>
        </is>
      </c>
      <c r="O1684" s="521">
        <f>M1684=N1684</f>
        <v/>
      </c>
      <c r="P1684" s="521">
        <f>AND(MONTH(F1684)=MONTH(S1684), YEAR(F1684)=YEAR(S1684))</f>
        <v/>
      </c>
      <c r="Q1684" s="521">
        <f>U1684="L001-901905215"</f>
        <v/>
      </c>
      <c r="R1684" s="556">
        <f>G1684-W1684</f>
        <v/>
      </c>
      <c r="S1684" s="523" t="n">
        <v>43931</v>
      </c>
      <c r="T1684" s="522" t="inlineStr">
        <is>
          <t>2002797</t>
        </is>
      </c>
      <c r="U1684" s="522" t="inlineStr">
        <is>
          <t>L001-901905215</t>
        </is>
      </c>
      <c r="V1684" s="522" t="inlineStr">
        <is>
          <t>វីអ៊ីស៊ិន (ខេមបូឌា) អ៊ិនដាសស្ទ្រី ឯ.ក</t>
        </is>
      </c>
      <c r="W1684" s="556" t="n">
        <v>89210</v>
      </c>
    </row>
    <row r="1685">
      <c r="A1685" s="521" t="n">
        <v>1677</v>
      </c>
      <c r="B1685" s="522" t="n"/>
      <c r="C1685" s="522" t="inlineStr">
        <is>
          <t>ខេមវីល គ្លូប៊ល ឯ.ក</t>
        </is>
      </c>
      <c r="D1685" s="522" t="inlineStr">
        <is>
          <t>L001-901637190</t>
        </is>
      </c>
      <c r="E1685" s="521" t="inlineStr">
        <is>
          <t>INV200410</t>
        </is>
      </c>
      <c r="F1685" s="523" t="n">
        <v>43930</v>
      </c>
      <c r="G1685" s="556" t="n">
        <v>223025</v>
      </c>
      <c r="I1685" s="521">
        <f>G1685</f>
        <v/>
      </c>
      <c r="K1685" s="521">
        <f>I1685-G1685</f>
        <v/>
      </c>
      <c r="M1685" s="522" t="inlineStr">
        <is>
          <t>INV200410</t>
        </is>
      </c>
      <c r="N1685" s="522" t="inlineStr">
        <is>
          <t>INV200410</t>
        </is>
      </c>
      <c r="O1685" s="521">
        <f>M1685=N1685</f>
        <v/>
      </c>
      <c r="P1685" s="521">
        <f>AND(MONTH(F1685)=MONTH(S1685), YEAR(F1685)=YEAR(S1685))</f>
        <v/>
      </c>
      <c r="Q1685" s="521">
        <f>U1685="L001-901905215"</f>
        <v/>
      </c>
      <c r="R1685" s="556">
        <f>G1685-W1685</f>
        <v/>
      </c>
      <c r="S1685" s="523" t="n">
        <v>43930</v>
      </c>
      <c r="T1685" s="522" t="inlineStr">
        <is>
          <t>INV200410</t>
        </is>
      </c>
      <c r="U1685" s="522" t="inlineStr">
        <is>
          <t>L001-901905215</t>
        </is>
      </c>
      <c r="V1685" s="522" t="inlineStr">
        <is>
          <t>វីអ៊ីស៊ិន (ខេមបូឌា) អ៊ិនដាសស្ទ្រី ឯ.ក</t>
        </is>
      </c>
      <c r="W1685" s="556" t="n">
        <v>368910</v>
      </c>
    </row>
    <row r="1686">
      <c r="A1686" s="521" t="n">
        <v>1678</v>
      </c>
      <c r="B1686" s="522" t="n"/>
      <c r="C1686" s="522" t="inlineStr">
        <is>
          <t>ខេមវីល គ្លូប៊ល ឯ.ក</t>
        </is>
      </c>
      <c r="D1686" s="522" t="inlineStr">
        <is>
          <t>L001-901637190</t>
        </is>
      </c>
      <c r="E1686" s="521" t="inlineStr">
        <is>
          <t>INV200405</t>
        </is>
      </c>
      <c r="F1686" s="523" t="n">
        <v>43930</v>
      </c>
      <c r="G1686" s="556" t="n">
        <v>117595</v>
      </c>
      <c r="I1686" s="521">
        <f>G1686</f>
        <v/>
      </c>
      <c r="K1686" s="521">
        <f>I1686-G1686</f>
        <v/>
      </c>
      <c r="M1686" s="522" t="inlineStr">
        <is>
          <t>INV200405</t>
        </is>
      </c>
      <c r="N1686" s="522" t="inlineStr">
        <is>
          <t>INV200405</t>
        </is>
      </c>
      <c r="O1686" s="521">
        <f>M1686=N1686</f>
        <v/>
      </c>
      <c r="P1686" s="521">
        <f>AND(MONTH(F1686)=MONTH(S1686), YEAR(F1686)=YEAR(S1686))</f>
        <v/>
      </c>
      <c r="Q1686" s="521">
        <f>U1686="L001-901905215"</f>
        <v/>
      </c>
      <c r="R1686" s="556">
        <f>G1686-W1686</f>
        <v/>
      </c>
      <c r="S1686" s="523" t="n">
        <v>43930</v>
      </c>
      <c r="T1686" s="522" t="inlineStr">
        <is>
          <t>INV200405</t>
        </is>
      </c>
      <c r="U1686" s="522" t="inlineStr">
        <is>
          <t>L001-901905215</t>
        </is>
      </c>
      <c r="V1686" s="522" t="inlineStr">
        <is>
          <t>វីអ៊ីស៊ិន (ខេមបូឌា) អ៊ិនដាសស្ទ្រី ឯ.ក</t>
        </is>
      </c>
      <c r="W1686" s="556" t="n">
        <v>176257</v>
      </c>
    </row>
    <row r="1687">
      <c r="A1687" s="521" t="n">
        <v>1679</v>
      </c>
      <c r="B1687" s="522" t="n"/>
      <c r="C1687" s="522" t="inlineStr">
        <is>
          <t>ថេកអេស៊ីស៊ី ផេភើរ សឺវីស ខនសាល់ធេន ឯ.ក</t>
        </is>
      </c>
      <c r="D1687" s="522" t="inlineStr">
        <is>
          <t>K004-901801112</t>
        </is>
      </c>
      <c r="E1687" s="521" t="inlineStr">
        <is>
          <t>000058</t>
        </is>
      </c>
      <c r="F1687" s="523" t="n">
        <v>43929</v>
      </c>
      <c r="G1687" s="556" t="n">
        <v>162600</v>
      </c>
      <c r="I1687" s="521">
        <f>G1687</f>
        <v/>
      </c>
      <c r="K1687" s="521">
        <f>I1687-G1687</f>
        <v/>
      </c>
      <c r="M1687" s="522" t="inlineStr">
        <is>
          <t>000058</t>
        </is>
      </c>
      <c r="N1687" s="522" t="inlineStr">
        <is>
          <t>000058</t>
        </is>
      </c>
      <c r="O1687" s="521">
        <f>M1687=N1687</f>
        <v/>
      </c>
      <c r="P1687" s="521">
        <f>AND(MONTH(F1687)=MONTH(S1687), YEAR(F1687)=YEAR(S1687))</f>
        <v/>
      </c>
      <c r="Q1687" s="521">
        <f>U1687="L001-901905215"</f>
        <v/>
      </c>
      <c r="R1687" s="556">
        <f>G1687-W1687</f>
        <v/>
      </c>
      <c r="S1687" s="523" t="n">
        <v>43927</v>
      </c>
      <c r="T1687" s="522" t="inlineStr">
        <is>
          <t>000058</t>
        </is>
      </c>
      <c r="U1687" s="522" t="inlineStr">
        <is>
          <t>L001-901905215</t>
        </is>
      </c>
      <c r="V1687" s="522" t="inlineStr">
        <is>
          <t>វីអ៊ីស៊ិន (ខេមបូឌា) អ៊ិនដាសស្ទ្រី ឯ.ក</t>
        </is>
      </c>
      <c r="W1687" s="556" t="n">
        <v>162600</v>
      </c>
    </row>
    <row r="1688">
      <c r="A1688" s="521" t="n">
        <v>1680</v>
      </c>
      <c r="B1688" s="522" t="n"/>
      <c r="C1688" s="522" t="inlineStr">
        <is>
          <t>សូស៊ីយេតេ កុងសេស្យូនែរ ដឺ ឡាអេរ៉ូព័រ</t>
        </is>
      </c>
      <c r="D1688" s="522" t="inlineStr">
        <is>
          <t>L001-100047300</t>
        </is>
      </c>
      <c r="E1688" s="521" t="inlineStr">
        <is>
          <t>2000-024610</t>
        </is>
      </c>
      <c r="F1688" s="523" t="n">
        <v>43929</v>
      </c>
      <c r="G1688" s="556" t="n">
        <v>27837</v>
      </c>
      <c r="I1688" s="521">
        <f>G1688</f>
        <v/>
      </c>
      <c r="K1688" s="521">
        <f>I1688-G1688</f>
        <v/>
      </c>
      <c r="M1688" s="522" t="inlineStr">
        <is>
          <t>2000024610</t>
        </is>
      </c>
      <c r="N1688" s="522" t="inlineStr"/>
      <c r="O1688" s="521">
        <f>M1688=N1688</f>
        <v/>
      </c>
      <c r="P1688" s="521">
        <f>AND(MONTH(F1688)=MONTH(S1688), YEAR(F1688)=YEAR(S1688))</f>
        <v/>
      </c>
      <c r="Q1688" s="521">
        <f>U1688="L001-901905215"</f>
        <v/>
      </c>
      <c r="R1688" s="556">
        <f>G1688-W1688</f>
        <v/>
      </c>
      <c r="S1688" s="521" t="n"/>
      <c r="T1688" s="522" t="n"/>
      <c r="U1688" s="522" t="n"/>
      <c r="V1688" s="522" t="n"/>
      <c r="W1688" s="521" t="n"/>
    </row>
    <row r="1689">
      <c r="A1689" s="521" t="n">
        <v>1681</v>
      </c>
      <c r="B1689" s="522" t="n"/>
      <c r="C1689" s="522" t="inlineStr">
        <is>
          <t>អ៊ីជីអេហ្វ ឡូជីស្ទីក ខូ អិលធីឌី</t>
        </is>
      </c>
      <c r="D1689" s="522" t="inlineStr">
        <is>
          <t>L001-901501877</t>
        </is>
      </c>
      <c r="E1689" s="521" t="inlineStr">
        <is>
          <t>2002631</t>
        </is>
      </c>
      <c r="F1689" s="523" t="n">
        <v>43924</v>
      </c>
      <c r="G1689" s="556" t="n">
        <v>93564</v>
      </c>
      <c r="I1689" s="521">
        <f>G1689</f>
        <v/>
      </c>
      <c r="K1689" s="521">
        <f>I1689-G1689</f>
        <v/>
      </c>
      <c r="M1689" s="522" t="inlineStr">
        <is>
          <t>2002631</t>
        </is>
      </c>
      <c r="N1689" s="522" t="inlineStr">
        <is>
          <t>2002631</t>
        </is>
      </c>
      <c r="O1689" s="521">
        <f>M1689=N1689</f>
        <v/>
      </c>
      <c r="P1689" s="521">
        <f>AND(MONTH(F1689)=MONTH(S1689), YEAR(F1689)=YEAR(S1689))</f>
        <v/>
      </c>
      <c r="Q1689" s="521">
        <f>U1689="L001-901905215"</f>
        <v/>
      </c>
      <c r="R1689" s="556">
        <f>G1689-W1689</f>
        <v/>
      </c>
      <c r="S1689" s="523" t="n">
        <v>43924</v>
      </c>
      <c r="T1689" s="522" t="inlineStr">
        <is>
          <t>2002631</t>
        </is>
      </c>
      <c r="U1689" s="522" t="inlineStr">
        <is>
          <t>L001-901905215</t>
        </is>
      </c>
      <c r="V1689" s="522" t="inlineStr">
        <is>
          <t>វីអ៊ីស៊ិន (ខេមបូឌា) អ៊ិនដាសស្ទ្រី ឯ.ក</t>
        </is>
      </c>
      <c r="W1689" s="556" t="n">
        <v>93564</v>
      </c>
    </row>
    <row r="1690">
      <c r="A1690" s="521" t="n">
        <v>1682</v>
      </c>
      <c r="B1690" s="522" t="n"/>
      <c r="C1690" s="522" t="inlineStr">
        <is>
          <t>អ៊ីជីអេហ្វ ឡូជីស្ទីក ខូ អិលធីឌី</t>
        </is>
      </c>
      <c r="D1690" s="522" t="inlineStr">
        <is>
          <t>L001-901501877</t>
        </is>
      </c>
      <c r="E1690" s="521" t="inlineStr">
        <is>
          <t>2002630</t>
        </is>
      </c>
      <c r="F1690" s="523" t="n">
        <v>43924</v>
      </c>
      <c r="G1690" s="556" t="n">
        <v>89496</v>
      </c>
      <c r="I1690" s="521">
        <f>G1690</f>
        <v/>
      </c>
      <c r="K1690" s="521">
        <f>I1690-G1690</f>
        <v/>
      </c>
      <c r="M1690" s="522" t="inlineStr">
        <is>
          <t>2002630</t>
        </is>
      </c>
      <c r="N1690" s="522" t="inlineStr">
        <is>
          <t>2002630</t>
        </is>
      </c>
      <c r="O1690" s="521">
        <f>M1690=N1690</f>
        <v/>
      </c>
      <c r="P1690" s="521">
        <f>AND(MONTH(F1690)=MONTH(S1690), YEAR(F1690)=YEAR(S1690))</f>
        <v/>
      </c>
      <c r="Q1690" s="521">
        <f>U1690="L001-901905215"</f>
        <v/>
      </c>
      <c r="R1690" s="556">
        <f>G1690-W1690</f>
        <v/>
      </c>
      <c r="S1690" s="523" t="n">
        <v>43924</v>
      </c>
      <c r="T1690" s="522" t="inlineStr">
        <is>
          <t>2002630</t>
        </is>
      </c>
      <c r="U1690" s="522" t="inlineStr">
        <is>
          <t>L001-901905215</t>
        </is>
      </c>
      <c r="V1690" s="522" t="inlineStr">
        <is>
          <t>វីអ៊ីស៊ិន (ខេមបូឌា) អ៊ិនដាសស្ទ្រី ឯ.ក</t>
        </is>
      </c>
      <c r="W1690" s="556" t="n">
        <v>89496</v>
      </c>
    </row>
    <row r="1691">
      <c r="A1691" s="521" t="n">
        <v>1683</v>
      </c>
      <c r="B1691" s="522" t="inlineStr">
        <is>
          <t>Infrastructure Maintenance for Apr 2021</t>
        </is>
      </c>
      <c r="C1691" s="522" t="inlineStr">
        <is>
          <t>ភ្នំពេញ អេសអ៊ីហ្សិត ភីអិលស៊ី</t>
        </is>
      </c>
      <c r="D1691" s="522" t="inlineStr">
        <is>
          <t>L001-100046592</t>
        </is>
      </c>
      <c r="E1691" s="521" t="inlineStr">
        <is>
          <t>2021-01710</t>
        </is>
      </c>
      <c r="F1691" s="523" t="n">
        <v>44309</v>
      </c>
      <c r="G1691" s="556" t="n">
        <v>163896</v>
      </c>
      <c r="I1691" s="521">
        <f>G1691</f>
        <v/>
      </c>
      <c r="K1691" s="521">
        <f>I1691-G1691</f>
        <v/>
      </c>
      <c r="M1691" s="522" t="inlineStr">
        <is>
          <t>202101710</t>
        </is>
      </c>
      <c r="N1691" s="522" t="inlineStr">
        <is>
          <t>202101710</t>
        </is>
      </c>
      <c r="O1691" s="521">
        <f>M1691=N1691</f>
        <v/>
      </c>
      <c r="P1691" s="521">
        <f>AND(MONTH(F1691)=MONTH(S1691), YEAR(F1691)=YEAR(S1691))</f>
        <v/>
      </c>
      <c r="Q1691" s="521">
        <f>U1691="L001-901905215"</f>
        <v/>
      </c>
      <c r="R1691" s="556">
        <f>G1691-W1691</f>
        <v/>
      </c>
      <c r="S1691" s="523" t="n">
        <v>44309</v>
      </c>
      <c r="T1691" s="522" t="inlineStr">
        <is>
          <t>2021-01710</t>
        </is>
      </c>
      <c r="U1691" s="522" t="inlineStr">
        <is>
          <t>L001-901905215</t>
        </is>
      </c>
      <c r="V1691" s="522" t="inlineStr">
        <is>
          <t>វីអ៊ីស៊ិន (ខេមបូឌា) អ៊ិនដាសស្ទ្រី ឯ.ក</t>
        </is>
      </c>
      <c r="W1691" s="556" t="n">
        <v>163895</v>
      </c>
    </row>
    <row r="1692">
      <c r="A1692" s="521" t="n">
        <v>1684</v>
      </c>
      <c r="B1692" s="522" t="inlineStr">
        <is>
          <t>Infrastructure Maintenance for Apr 2021</t>
        </is>
      </c>
      <c r="C1692" s="522" t="inlineStr">
        <is>
          <t>ភ្នំពេញ អេសអ៊ីហ្សិត ភីអិលស៊ី</t>
        </is>
      </c>
      <c r="D1692" s="522" t="inlineStr">
        <is>
          <t>L001-100046592</t>
        </is>
      </c>
      <c r="E1692" s="521" t="inlineStr">
        <is>
          <t>2021-01701</t>
        </is>
      </c>
      <c r="F1692" s="523" t="n">
        <v>44309</v>
      </c>
      <c r="G1692" s="556" t="n">
        <v>199552</v>
      </c>
      <c r="I1692" s="521">
        <f>G1692</f>
        <v/>
      </c>
      <c r="K1692" s="521">
        <f>I1692-G1692</f>
        <v/>
      </c>
      <c r="M1692" s="522" t="inlineStr">
        <is>
          <t>202101701</t>
        </is>
      </c>
      <c r="N1692" s="522" t="inlineStr">
        <is>
          <t>202101701</t>
        </is>
      </c>
      <c r="O1692" s="521">
        <f>M1692=N1692</f>
        <v/>
      </c>
      <c r="P1692" s="521">
        <f>AND(MONTH(F1692)=MONTH(S1692), YEAR(F1692)=YEAR(S1692))</f>
        <v/>
      </c>
      <c r="Q1692" s="521">
        <f>U1692="L001-901905215"</f>
        <v/>
      </c>
      <c r="R1692" s="556">
        <f>G1692-W1692</f>
        <v/>
      </c>
      <c r="S1692" s="523" t="n">
        <v>44309</v>
      </c>
      <c r="T1692" s="522" t="inlineStr">
        <is>
          <t>2021-01701</t>
        </is>
      </c>
      <c r="U1692" s="522" t="inlineStr">
        <is>
          <t>L001-901905215</t>
        </is>
      </c>
      <c r="V1692" s="522" t="inlineStr">
        <is>
          <t>វីអ៊ីស៊ិន (ខេមបូឌា) អ៊ិនដាសស្ទ្រី ឯ.ក</t>
        </is>
      </c>
      <c r="W1692" s="556" t="n">
        <v>199550</v>
      </c>
    </row>
    <row r="1693">
      <c r="A1693" s="521" t="n">
        <v>1685</v>
      </c>
      <c r="B1693" s="522" t="inlineStr">
        <is>
          <t>Security Guard fee for Apr 2021</t>
        </is>
      </c>
      <c r="C1693" s="522" t="inlineStr">
        <is>
          <t>សហ័ស សិឃ្យូរិធី ឯ.ក</t>
        </is>
      </c>
      <c r="D1693" s="522" t="inlineStr">
        <is>
          <t>K010-107032600</t>
        </is>
      </c>
      <c r="E1693" s="521" t="inlineStr">
        <is>
          <t>SHTI210149</t>
        </is>
      </c>
      <c r="F1693" s="523" t="n">
        <v>44308</v>
      </c>
      <c r="G1693" s="556" t="n">
        <v>226688</v>
      </c>
      <c r="I1693" s="521">
        <f>G1693</f>
        <v/>
      </c>
      <c r="K1693" s="521">
        <f>I1693-G1693</f>
        <v/>
      </c>
      <c r="M1693" s="522" t="inlineStr">
        <is>
          <t>SHTI210149</t>
        </is>
      </c>
      <c r="N1693" s="522" t="inlineStr">
        <is>
          <t>SHTI210149</t>
        </is>
      </c>
      <c r="O1693" s="521">
        <f>M1693=N1693</f>
        <v/>
      </c>
      <c r="P1693" s="521">
        <f>AND(MONTH(F1693)=MONTH(S1693), YEAR(F1693)=YEAR(S1693))</f>
        <v/>
      </c>
      <c r="Q1693" s="521">
        <f>U1693="L001-901905215"</f>
        <v/>
      </c>
      <c r="R1693" s="556">
        <f>G1693-W1693</f>
        <v/>
      </c>
      <c r="S1693" s="523" t="n">
        <v>44308</v>
      </c>
      <c r="T1693" s="522" t="inlineStr">
        <is>
          <t>SHTI210149</t>
        </is>
      </c>
      <c r="U1693" s="522" t="inlineStr">
        <is>
          <t>L001-901905215</t>
        </is>
      </c>
      <c r="V1693" s="522" t="inlineStr">
        <is>
          <t>វីអ៊ីស៊ិន (ខេមបូឌា) អ៊ិនដាសស្ទ្រី ឯ.ក</t>
        </is>
      </c>
      <c r="W1693" s="556" t="n">
        <v>226688</v>
      </c>
    </row>
    <row r="1694">
      <c r="A1694" s="521" t="n">
        <v>1686</v>
      </c>
      <c r="B1694" s="522" t="inlineStr">
        <is>
          <t>Waste Collection service for Apr 2021</t>
        </is>
      </c>
      <c r="C1694" s="522" t="inlineStr">
        <is>
          <t>ហ្គោមី រីសាយឃល110</t>
        </is>
      </c>
      <c r="D1694" s="522" t="inlineStr">
        <is>
          <t>K010-901503890</t>
        </is>
      </c>
      <c r="E1694" s="521" t="inlineStr">
        <is>
          <t>GR-TIN21/04-024</t>
        </is>
      </c>
      <c r="F1694" s="523" t="n">
        <v>44316</v>
      </c>
      <c r="G1694" s="556" t="n">
        <v>8096</v>
      </c>
      <c r="I1694" s="521">
        <f>G1694</f>
        <v/>
      </c>
      <c r="K1694" s="521">
        <f>I1694-G1694</f>
        <v/>
      </c>
      <c r="M1694" s="522" t="inlineStr">
        <is>
          <t>GRTIN2104024</t>
        </is>
      </c>
      <c r="N1694" s="522" t="inlineStr">
        <is>
          <t>GRTIN2104024</t>
        </is>
      </c>
      <c r="O1694" s="521">
        <f>M1694=N1694</f>
        <v/>
      </c>
      <c r="P1694" s="521">
        <f>AND(MONTH(F1694)=MONTH(S1694), YEAR(F1694)=YEAR(S1694))</f>
        <v/>
      </c>
      <c r="Q1694" s="521">
        <f>U1694="L001-901905215"</f>
        <v/>
      </c>
      <c r="R1694" s="556">
        <f>G1694-W1694</f>
        <v/>
      </c>
      <c r="S1694" s="523" t="n">
        <v>44315</v>
      </c>
      <c r="T1694" s="522" t="inlineStr">
        <is>
          <t>GR-TIN21/04-024</t>
        </is>
      </c>
      <c r="U1694" s="522" t="inlineStr">
        <is>
          <t>L001-901905215</t>
        </is>
      </c>
      <c r="V1694" s="522" t="inlineStr">
        <is>
          <t>វីអ៊ីស៊ិន (ខេមបូឌា) អ៊ិនដាសស្ទ្រី ឯ.ក</t>
        </is>
      </c>
      <c r="W1694" s="556" t="n">
        <v>8096</v>
      </c>
    </row>
    <row r="1695">
      <c r="A1695" s="521" t="n">
        <v>1687</v>
      </c>
      <c r="B1695" s="522" t="inlineStr">
        <is>
          <t>Life-Off Charge</t>
        </is>
      </c>
      <c r="C1695" s="522" t="inlineStr">
        <is>
          <t>កំពង់ផែស្វយ័តភ្នំពេញ "ក.ស.ភ"</t>
        </is>
      </c>
      <c r="D1695" s="522" t="inlineStr">
        <is>
          <t>L001-100044999</t>
        </is>
      </c>
      <c r="E1695" s="521" t="inlineStr">
        <is>
          <t>INV20210418309</t>
        </is>
      </c>
      <c r="F1695" s="523" t="n">
        <v>44292</v>
      </c>
      <c r="G1695" s="556" t="n">
        <v>58248</v>
      </c>
      <c r="I1695" s="521">
        <f>G1695</f>
        <v/>
      </c>
      <c r="K1695" s="521">
        <f>I1695-G1695</f>
        <v/>
      </c>
      <c r="M1695" s="522" t="inlineStr">
        <is>
          <t>INV20210418309</t>
        </is>
      </c>
      <c r="N1695" s="522" t="inlineStr"/>
      <c r="O1695" s="521">
        <f>M1695=N1695</f>
        <v/>
      </c>
      <c r="P1695" s="521">
        <f>AND(MONTH(F1695)=MONTH(S1695), YEAR(F1695)=YEAR(S1695))</f>
        <v/>
      </c>
      <c r="Q1695" s="521">
        <f>U1695="L001-901905215"</f>
        <v/>
      </c>
      <c r="R1695" s="556">
        <f>G1695-W1695</f>
        <v/>
      </c>
      <c r="S1695" s="521" t="n"/>
      <c r="T1695" s="522" t="n"/>
      <c r="U1695" s="522" t="n"/>
      <c r="V1695" s="522" t="n"/>
      <c r="W1695" s="521" t="n"/>
    </row>
    <row r="1696">
      <c r="A1696" s="521" t="n">
        <v>1688</v>
      </c>
      <c r="B1696" s="522" t="inlineStr">
        <is>
          <t>Life-Off Charge</t>
        </is>
      </c>
      <c r="C1696" s="522" t="inlineStr">
        <is>
          <t>កំពង់ផែស្វយ័តភ្នំពេញ "ក.ស.ភ"</t>
        </is>
      </c>
      <c r="D1696" s="522" t="inlineStr">
        <is>
          <t>L001-100044999</t>
        </is>
      </c>
      <c r="E1696" s="521" t="inlineStr">
        <is>
          <t>INV20210418307</t>
        </is>
      </c>
      <c r="F1696" s="523" t="n">
        <v>44292</v>
      </c>
      <c r="G1696" s="556" t="n">
        <v>29124</v>
      </c>
      <c r="I1696" s="521">
        <f>G1696</f>
        <v/>
      </c>
      <c r="K1696" s="521">
        <f>I1696-G1696</f>
        <v/>
      </c>
      <c r="M1696" s="522" t="inlineStr">
        <is>
          <t>INV20210418307</t>
        </is>
      </c>
      <c r="N1696" s="522" t="inlineStr"/>
      <c r="O1696" s="521">
        <f>M1696=N1696</f>
        <v/>
      </c>
      <c r="P1696" s="521">
        <f>AND(MONTH(F1696)=MONTH(S1696), YEAR(F1696)=YEAR(S1696))</f>
        <v/>
      </c>
      <c r="Q1696" s="521">
        <f>U1696="L001-901905215"</f>
        <v/>
      </c>
      <c r="R1696" s="556">
        <f>G1696-W1696</f>
        <v/>
      </c>
      <c r="S1696" s="521" t="n"/>
      <c r="T1696" s="522" t="n"/>
      <c r="U1696" s="522" t="n"/>
      <c r="V1696" s="522" t="n"/>
      <c r="W1696" s="521" t="n"/>
    </row>
    <row r="1697">
      <c r="A1697" s="521" t="n">
        <v>1689</v>
      </c>
      <c r="B1697" s="522" t="inlineStr">
        <is>
          <t>Life-Off Charge</t>
        </is>
      </c>
      <c r="C1697" s="522" t="inlineStr">
        <is>
          <t>កំពង់ផែស្វយ័តភ្នំពេញ "ក.ស.ភ"</t>
        </is>
      </c>
      <c r="D1697" s="522" t="inlineStr">
        <is>
          <t>L001-100044999</t>
        </is>
      </c>
      <c r="E1697" s="521" t="inlineStr">
        <is>
          <t>INV20210418306</t>
        </is>
      </c>
      <c r="F1697" s="523" t="n">
        <v>44292</v>
      </c>
      <c r="G1697" s="556" t="n">
        <v>29124</v>
      </c>
      <c r="I1697" s="521">
        <f>G1697</f>
        <v/>
      </c>
      <c r="K1697" s="521">
        <f>I1697-G1697</f>
        <v/>
      </c>
      <c r="M1697" s="522" t="inlineStr">
        <is>
          <t>INV20210418306</t>
        </is>
      </c>
      <c r="N1697" s="522" t="inlineStr"/>
      <c r="O1697" s="521">
        <f>M1697=N1697</f>
        <v/>
      </c>
      <c r="P1697" s="521">
        <f>AND(MONTH(F1697)=MONTH(S1697), YEAR(F1697)=YEAR(S1697))</f>
        <v/>
      </c>
      <c r="Q1697" s="521">
        <f>U1697="L001-901905215"</f>
        <v/>
      </c>
      <c r="R1697" s="556">
        <f>G1697-W1697</f>
        <v/>
      </c>
      <c r="S1697" s="521" t="n"/>
      <c r="T1697" s="522" t="n"/>
      <c r="U1697" s="522" t="n"/>
      <c r="V1697" s="522" t="n"/>
      <c r="W1697" s="521" t="n"/>
    </row>
    <row r="1698">
      <c r="A1698" s="521" t="n">
        <v>1690</v>
      </c>
      <c r="B1698" s="522" t="inlineStr">
        <is>
          <t>Life-Off Charge</t>
        </is>
      </c>
      <c r="C1698" s="522" t="inlineStr">
        <is>
          <t>កំពង់ផែស្វយ័តភ្នំពេញ "ក.ស.ភ"</t>
        </is>
      </c>
      <c r="D1698" s="522" t="inlineStr">
        <is>
          <t>L001-100044999</t>
        </is>
      </c>
      <c r="E1698" s="521" t="inlineStr">
        <is>
          <t>INV20210418310</t>
        </is>
      </c>
      <c r="F1698" s="523" t="n">
        <v>44292</v>
      </c>
      <c r="G1698" s="556" t="n">
        <v>19416</v>
      </c>
      <c r="I1698" s="521">
        <f>G1698</f>
        <v/>
      </c>
      <c r="K1698" s="521">
        <f>I1698-G1698</f>
        <v/>
      </c>
      <c r="M1698" s="522" t="inlineStr">
        <is>
          <t>INV20210418310</t>
        </is>
      </c>
      <c r="N1698" s="522" t="inlineStr"/>
      <c r="O1698" s="521">
        <f>M1698=N1698</f>
        <v/>
      </c>
      <c r="P1698" s="521">
        <f>AND(MONTH(F1698)=MONTH(S1698), YEAR(F1698)=YEAR(S1698))</f>
        <v/>
      </c>
      <c r="Q1698" s="521">
        <f>U1698="L001-901905215"</f>
        <v/>
      </c>
      <c r="R1698" s="556">
        <f>G1698-W1698</f>
        <v/>
      </c>
      <c r="S1698" s="521" t="n"/>
      <c r="T1698" s="522" t="n"/>
      <c r="U1698" s="522" t="n"/>
      <c r="V1698" s="522" t="n"/>
      <c r="W1698" s="521" t="n"/>
    </row>
    <row r="1699">
      <c r="A1699" s="521" t="n">
        <v>1691</v>
      </c>
      <c r="B1699" s="522" t="inlineStr">
        <is>
          <t>Life-Off Charge</t>
        </is>
      </c>
      <c r="C1699" s="522" t="inlineStr">
        <is>
          <t>កំពង់ផែស្វយ័តភ្នំពេញ "ក.ស.ភ"</t>
        </is>
      </c>
      <c r="D1699" s="522" t="inlineStr">
        <is>
          <t>L001-100044999</t>
        </is>
      </c>
      <c r="E1699" s="521" t="inlineStr">
        <is>
          <t>INV20210418315</t>
        </is>
      </c>
      <c r="F1699" s="523" t="n">
        <v>44292</v>
      </c>
      <c r="G1699" s="556" t="n">
        <v>116496</v>
      </c>
      <c r="I1699" s="521">
        <f>G1699</f>
        <v/>
      </c>
      <c r="K1699" s="521">
        <f>I1699-G1699</f>
        <v/>
      </c>
      <c r="M1699" s="522" t="inlineStr">
        <is>
          <t>INV20210418315</t>
        </is>
      </c>
      <c r="N1699" s="522" t="inlineStr"/>
      <c r="O1699" s="521">
        <f>M1699=N1699</f>
        <v/>
      </c>
      <c r="P1699" s="521">
        <f>AND(MONTH(F1699)=MONTH(S1699), YEAR(F1699)=YEAR(S1699))</f>
        <v/>
      </c>
      <c r="Q1699" s="521">
        <f>U1699="L001-901905215"</f>
        <v/>
      </c>
      <c r="R1699" s="556">
        <f>G1699-W1699</f>
        <v/>
      </c>
      <c r="S1699" s="521" t="n"/>
      <c r="T1699" s="522" t="n"/>
      <c r="U1699" s="522" t="n"/>
      <c r="V1699" s="522" t="n"/>
      <c r="W1699" s="521" t="n"/>
    </row>
    <row r="1700">
      <c r="A1700" s="521" t="n">
        <v>1692</v>
      </c>
      <c r="B1700" s="522" t="inlineStr">
        <is>
          <t>Documentation fee</t>
        </is>
      </c>
      <c r="C1700" s="522" t="inlineStr">
        <is>
          <t>ត្រេនម៉ារីន ឡូជីស្ទីក (ខេមបូឌា)</t>
        </is>
      </c>
      <c r="D1700" s="522" t="inlineStr">
        <is>
          <t>L001-106004107</t>
        </is>
      </c>
      <c r="E1700" s="521" t="inlineStr">
        <is>
          <t>9961014289</t>
        </is>
      </c>
      <c r="F1700" s="523" t="n">
        <v>44292</v>
      </c>
      <c r="G1700" s="556" t="n">
        <v>322951</v>
      </c>
      <c r="I1700" s="521">
        <f>G1700</f>
        <v/>
      </c>
      <c r="K1700" s="521">
        <f>I1700-G1700</f>
        <v/>
      </c>
      <c r="M1700" s="522" t="inlineStr">
        <is>
          <t>9961014289</t>
        </is>
      </c>
      <c r="N1700" s="522" t="inlineStr"/>
      <c r="O1700" s="521">
        <f>M1700=N1700</f>
        <v/>
      </c>
      <c r="P1700" s="521">
        <f>AND(MONTH(F1700)=MONTH(S1700), YEAR(F1700)=YEAR(S1700))</f>
        <v/>
      </c>
      <c r="Q1700" s="521">
        <f>U1700="L001-901905215"</f>
        <v/>
      </c>
      <c r="R1700" s="556">
        <f>G1700-W1700</f>
        <v/>
      </c>
      <c r="S1700" s="521" t="n"/>
      <c r="T1700" s="522" t="n"/>
      <c r="U1700" s="522" t="n"/>
      <c r="V1700" s="522" t="n"/>
      <c r="W1700" s="521" t="n"/>
    </row>
    <row r="1701">
      <c r="A1701" s="521" t="n">
        <v>1693</v>
      </c>
      <c r="B1701" s="522" t="inlineStr">
        <is>
          <t>Life-Off Charge</t>
        </is>
      </c>
      <c r="C1701" s="522" t="inlineStr">
        <is>
          <t>កំពង់ផែស្វយ័តភ្នំពេញ "ក.ស.ភ"</t>
        </is>
      </c>
      <c r="D1701" s="522" t="inlineStr">
        <is>
          <t>L001-100044999</t>
        </is>
      </c>
      <c r="E1701" s="521" t="inlineStr">
        <is>
          <t>INV20210418314</t>
        </is>
      </c>
      <c r="F1701" s="523" t="n">
        <v>44292</v>
      </c>
      <c r="G1701" s="556" t="n">
        <v>29124</v>
      </c>
      <c r="I1701" s="521">
        <f>G1701</f>
        <v/>
      </c>
      <c r="K1701" s="521">
        <f>I1701-G1701</f>
        <v/>
      </c>
      <c r="M1701" s="522" t="inlineStr">
        <is>
          <t>INV20210418314</t>
        </is>
      </c>
      <c r="N1701" s="522" t="inlineStr"/>
      <c r="O1701" s="521">
        <f>M1701=N1701</f>
        <v/>
      </c>
      <c r="P1701" s="521">
        <f>AND(MONTH(F1701)=MONTH(S1701), YEAR(F1701)=YEAR(S1701))</f>
        <v/>
      </c>
      <c r="Q1701" s="521">
        <f>U1701="L001-901905215"</f>
        <v/>
      </c>
      <c r="R1701" s="556">
        <f>G1701-W1701</f>
        <v/>
      </c>
      <c r="S1701" s="521" t="n"/>
      <c r="T1701" s="522" t="n"/>
      <c r="U1701" s="522" t="n"/>
      <c r="V1701" s="522" t="n"/>
      <c r="W1701" s="521" t="n"/>
    </row>
    <row r="1702">
      <c r="A1702" s="521" t="n">
        <v>1694</v>
      </c>
      <c r="B1702" s="522" t="inlineStr">
        <is>
          <t>Life-Off Charge</t>
        </is>
      </c>
      <c r="C1702" s="522" t="inlineStr">
        <is>
          <t>កំពង់ផែស្វយ័តភ្នំពេញ "ក.ស.ភ"</t>
        </is>
      </c>
      <c r="D1702" s="522" t="inlineStr">
        <is>
          <t>L001-100044999</t>
        </is>
      </c>
      <c r="E1702" s="521" t="inlineStr">
        <is>
          <t>INV20210418313</t>
        </is>
      </c>
      <c r="F1702" s="523" t="n">
        <v>44292</v>
      </c>
      <c r="G1702" s="556" t="n">
        <v>116496</v>
      </c>
      <c r="I1702" s="521">
        <f>G1702</f>
        <v/>
      </c>
      <c r="K1702" s="521">
        <f>I1702-G1702</f>
        <v/>
      </c>
      <c r="M1702" s="522" t="inlineStr">
        <is>
          <t>INV20210418313</t>
        </is>
      </c>
      <c r="N1702" s="522" t="inlineStr"/>
      <c r="O1702" s="521">
        <f>M1702=N1702</f>
        <v/>
      </c>
      <c r="P1702" s="521">
        <f>AND(MONTH(F1702)=MONTH(S1702), YEAR(F1702)=YEAR(S1702))</f>
        <v/>
      </c>
      <c r="Q1702" s="521">
        <f>U1702="L001-901905215"</f>
        <v/>
      </c>
      <c r="R1702" s="556">
        <f>G1702-W1702</f>
        <v/>
      </c>
      <c r="S1702" s="521" t="n"/>
      <c r="T1702" s="522" t="n"/>
      <c r="U1702" s="522" t="n"/>
      <c r="V1702" s="522" t="n"/>
      <c r="W1702" s="521" t="n"/>
    </row>
    <row r="1703">
      <c r="A1703" s="521" t="n">
        <v>1695</v>
      </c>
      <c r="B1703" s="522" t="inlineStr">
        <is>
          <t>OCEAN FREIGHT</t>
        </is>
      </c>
      <c r="C1703" s="522" t="inlineStr">
        <is>
          <t>ខូស្កូ ស៊ីបភីង ឡាញ (ខេមបូឌា) ឯ.ក</t>
        </is>
      </c>
      <c r="D1703" s="522" t="inlineStr">
        <is>
          <t>L001-100103383</t>
        </is>
      </c>
      <c r="E1703" s="521" t="inlineStr">
        <is>
          <t>COS2104-04665</t>
        </is>
      </c>
      <c r="F1703" s="523" t="n">
        <v>44292</v>
      </c>
      <c r="G1703" s="556" t="n">
        <v>110024</v>
      </c>
      <c r="I1703" s="521">
        <f>G1703</f>
        <v/>
      </c>
      <c r="K1703" s="521">
        <f>I1703-G1703</f>
        <v/>
      </c>
      <c r="M1703" s="522" t="inlineStr">
        <is>
          <t>COS210404665</t>
        </is>
      </c>
      <c r="N1703" s="522" t="inlineStr">
        <is>
          <t>COS210404665</t>
        </is>
      </c>
      <c r="O1703" s="521">
        <f>M1703=N1703</f>
        <v/>
      </c>
      <c r="P1703" s="521">
        <f>AND(MONTH(F1703)=MONTH(S1703), YEAR(F1703)=YEAR(S1703))</f>
        <v/>
      </c>
      <c r="Q1703" s="521">
        <f>U1703="L001-901905215"</f>
        <v/>
      </c>
      <c r="R1703" s="556">
        <f>G1703-W1703</f>
        <v/>
      </c>
      <c r="S1703" s="523" t="n">
        <v>44292</v>
      </c>
      <c r="T1703" s="522" t="inlineStr">
        <is>
          <t>COS2104-04665</t>
        </is>
      </c>
      <c r="U1703" s="522" t="inlineStr">
        <is>
          <t>L001-901905215</t>
        </is>
      </c>
      <c r="V1703" s="522" t="inlineStr">
        <is>
          <t>វីអ៊ីស៊ិន (ខេមបូឌា) អ៊ិនដាសស្ទ្រី ឯ.ក</t>
        </is>
      </c>
      <c r="W1703" s="556" t="n">
        <v>110024</v>
      </c>
    </row>
    <row r="1704">
      <c r="A1704" s="521" t="n">
        <v>1696</v>
      </c>
      <c r="B1704" s="522" t="inlineStr">
        <is>
          <t>Monthly Tax Declaration For March 2021</t>
        </is>
      </c>
      <c r="C1704" s="522" t="inlineStr">
        <is>
          <t>យីងកឺ ខេម ថេក អ៊ែតវ៉ាយហ្សឺរី ឯ.ក</t>
        </is>
      </c>
      <c r="D1704" s="522" t="inlineStr">
        <is>
          <t>K003-902005313</t>
        </is>
      </c>
      <c r="E1704" s="521" t="inlineStr">
        <is>
          <t>YKT21-057</t>
        </is>
      </c>
      <c r="F1704" s="523" t="n">
        <v>44291</v>
      </c>
      <c r="G1704" s="556" t="n">
        <v>239023</v>
      </c>
      <c r="I1704" s="521">
        <f>G1704</f>
        <v/>
      </c>
      <c r="K1704" s="521">
        <f>I1704-G1704</f>
        <v/>
      </c>
      <c r="M1704" s="522" t="inlineStr">
        <is>
          <t>YKT21057</t>
        </is>
      </c>
      <c r="N1704" s="522" t="inlineStr">
        <is>
          <t>YKT21057</t>
        </is>
      </c>
      <c r="O1704" s="521">
        <f>M1704=N1704</f>
        <v/>
      </c>
      <c r="P1704" s="521">
        <f>AND(MONTH(F1704)=MONTH(S1704), YEAR(F1704)=YEAR(S1704))</f>
        <v/>
      </c>
      <c r="Q1704" s="521">
        <f>U1704="L001-901905215"</f>
        <v/>
      </c>
      <c r="R1704" s="556">
        <f>G1704-W1704</f>
        <v/>
      </c>
      <c r="S1704" s="523" t="n">
        <v>44291</v>
      </c>
      <c r="T1704" s="522" t="inlineStr">
        <is>
          <t>YKT21-057</t>
        </is>
      </c>
      <c r="U1704" s="522" t="inlineStr">
        <is>
          <t>L001-901905215</t>
        </is>
      </c>
      <c r="V1704" s="522" t="inlineStr">
        <is>
          <t>វីអ៊ីស៊ិន (ខេមបូឌា) អ៊ិនដាសស្ទ្រី ឯ.ក</t>
        </is>
      </c>
      <c r="W1704" s="556" t="n">
        <v>239023</v>
      </c>
    </row>
    <row r="1705">
      <c r="A1705" s="521" t="n">
        <v>1697</v>
      </c>
      <c r="B1705" s="522" t="inlineStr">
        <is>
          <t>Life-Off Charge</t>
        </is>
      </c>
      <c r="C1705" s="522" t="inlineStr">
        <is>
          <t>កំពង់ផែស្វយ័តភ្នំពេញ "ក.ស.ភ"</t>
        </is>
      </c>
      <c r="D1705" s="522" t="inlineStr">
        <is>
          <t>L001-100044999</t>
        </is>
      </c>
      <c r="E1705" s="521" t="inlineStr">
        <is>
          <t>INV20210419129</t>
        </is>
      </c>
      <c r="F1705" s="523" t="n">
        <v>44298</v>
      </c>
      <c r="G1705" s="556" t="n">
        <v>58291</v>
      </c>
      <c r="I1705" s="521">
        <f>G1705</f>
        <v/>
      </c>
      <c r="K1705" s="521">
        <f>I1705-G1705</f>
        <v/>
      </c>
      <c r="M1705" s="522" t="inlineStr">
        <is>
          <t>INV20210419129</t>
        </is>
      </c>
      <c r="N1705" s="522" t="inlineStr"/>
      <c r="O1705" s="521">
        <f>M1705=N1705</f>
        <v/>
      </c>
      <c r="P1705" s="521">
        <f>AND(MONTH(F1705)=MONTH(S1705), YEAR(F1705)=YEAR(S1705))</f>
        <v/>
      </c>
      <c r="Q1705" s="521">
        <f>U1705="L001-901905215"</f>
        <v/>
      </c>
      <c r="R1705" s="556">
        <f>G1705-W1705</f>
        <v/>
      </c>
      <c r="S1705" s="521" t="n"/>
      <c r="T1705" s="522" t="n"/>
      <c r="U1705" s="522" t="n"/>
      <c r="V1705" s="522" t="n"/>
      <c r="W1705" s="521" t="n"/>
    </row>
    <row r="1706">
      <c r="A1706" s="521" t="n">
        <v>1698</v>
      </c>
      <c r="B1706" s="522" t="inlineStr">
        <is>
          <t>Lift Off</t>
        </is>
      </c>
      <c r="C1706" s="522" t="inlineStr">
        <is>
          <t>កំពង់ផែស្វយ័តក្រុងព្រះសីហនុ</t>
        </is>
      </c>
      <c r="D1706" s="522" t="inlineStr">
        <is>
          <t>L001-100044638</t>
        </is>
      </c>
      <c r="E1706" s="521" t="inlineStr">
        <is>
          <t>054960</t>
        </is>
      </c>
      <c r="F1706" s="523" t="n">
        <v>44294</v>
      </c>
      <c r="G1706" s="556" t="n">
        <v>20635</v>
      </c>
      <c r="I1706" s="521">
        <f>G1706</f>
        <v/>
      </c>
      <c r="K1706" s="521">
        <f>I1706-G1706</f>
        <v/>
      </c>
      <c r="M1706" s="522" t="inlineStr">
        <is>
          <t>054960</t>
        </is>
      </c>
      <c r="N1706" s="522" t="inlineStr"/>
      <c r="O1706" s="521">
        <f>M1706=N1706</f>
        <v/>
      </c>
      <c r="P1706" s="521">
        <f>AND(MONTH(F1706)=MONTH(S1706), YEAR(F1706)=YEAR(S1706))</f>
        <v/>
      </c>
      <c r="Q1706" s="521">
        <f>U1706="L001-901905215"</f>
        <v/>
      </c>
      <c r="R1706" s="556">
        <f>G1706-W1706</f>
        <v/>
      </c>
      <c r="S1706" s="521" t="n"/>
      <c r="T1706" s="522" t="n"/>
      <c r="U1706" s="522" t="n"/>
      <c r="V1706" s="522" t="n"/>
      <c r="W1706" s="521" t="n"/>
    </row>
    <row r="1707">
      <c r="A1707" s="521" t="n">
        <v>1699</v>
      </c>
      <c r="B1707" s="522" t="inlineStr">
        <is>
          <t>Life-Off Charge</t>
        </is>
      </c>
      <c r="C1707" s="522" t="inlineStr">
        <is>
          <t>កំពង់ផែស្វយ័តភ្នំពេញ "ក.ស.ភ"</t>
        </is>
      </c>
      <c r="D1707" s="522" t="inlineStr">
        <is>
          <t>L001-100044999</t>
        </is>
      </c>
      <c r="E1707" s="521" t="inlineStr">
        <is>
          <t>INV20210419904</t>
        </is>
      </c>
      <c r="F1707" s="523" t="n">
        <v>44305</v>
      </c>
      <c r="G1707" s="556" t="n">
        <v>29146</v>
      </c>
      <c r="I1707" s="521">
        <f>G1707</f>
        <v/>
      </c>
      <c r="K1707" s="521">
        <f>I1707-G1707</f>
        <v/>
      </c>
      <c r="M1707" s="522" t="inlineStr">
        <is>
          <t>INV20210419904</t>
        </is>
      </c>
      <c r="N1707" s="522" t="inlineStr"/>
      <c r="O1707" s="521">
        <f>M1707=N1707</f>
        <v/>
      </c>
      <c r="P1707" s="521">
        <f>AND(MONTH(F1707)=MONTH(S1707), YEAR(F1707)=YEAR(S1707))</f>
        <v/>
      </c>
      <c r="Q1707" s="521">
        <f>U1707="L001-901905215"</f>
        <v/>
      </c>
      <c r="R1707" s="556">
        <f>G1707-W1707</f>
        <v/>
      </c>
      <c r="S1707" s="521" t="n"/>
      <c r="T1707" s="522" t="n"/>
      <c r="U1707" s="522" t="n"/>
      <c r="V1707" s="522" t="n"/>
      <c r="W1707" s="521" t="n"/>
    </row>
    <row r="1708">
      <c r="A1708" s="521" t="n">
        <v>1700</v>
      </c>
      <c r="B1708" s="522" t="inlineStr">
        <is>
          <t>Life-Off Charge</t>
        </is>
      </c>
      <c r="C1708" s="522" t="inlineStr">
        <is>
          <t>កំពង់ផែស្វយ័តភ្នំពេញ "ក.ស.ភ"</t>
        </is>
      </c>
      <c r="D1708" s="522" t="inlineStr">
        <is>
          <t>L001-100044999</t>
        </is>
      </c>
      <c r="E1708" s="521" t="inlineStr">
        <is>
          <t>INV20210420479</t>
        </is>
      </c>
      <c r="F1708" s="523" t="n">
        <v>44309</v>
      </c>
      <c r="G1708" s="556" t="n">
        <v>7286</v>
      </c>
      <c r="I1708" s="521">
        <f>G1708</f>
        <v/>
      </c>
      <c r="K1708" s="521">
        <f>I1708-G1708</f>
        <v/>
      </c>
      <c r="M1708" s="522" t="inlineStr">
        <is>
          <t>INV20210420479</t>
        </is>
      </c>
      <c r="N1708" s="522" t="inlineStr"/>
      <c r="O1708" s="521">
        <f>M1708=N1708</f>
        <v/>
      </c>
      <c r="P1708" s="521">
        <f>AND(MONTH(F1708)=MONTH(S1708), YEAR(F1708)=YEAR(S1708))</f>
        <v/>
      </c>
      <c r="Q1708" s="521">
        <f>U1708="L001-901905215"</f>
        <v/>
      </c>
      <c r="R1708" s="556">
        <f>G1708-W1708</f>
        <v/>
      </c>
      <c r="S1708" s="521" t="n"/>
      <c r="T1708" s="522" t="n"/>
      <c r="U1708" s="522" t="n"/>
      <c r="V1708" s="522" t="n"/>
      <c r="W1708" s="521" t="n"/>
    </row>
    <row r="1709">
      <c r="A1709" s="521" t="n">
        <v>1701</v>
      </c>
      <c r="B1709" s="522" t="inlineStr">
        <is>
          <t>Life-Off Charge</t>
        </is>
      </c>
      <c r="C1709" s="522" t="inlineStr">
        <is>
          <t>កំពង់ផែស្វយ័តភ្នំពេញ "ក.ស.ភ"</t>
        </is>
      </c>
      <c r="D1709" s="522" t="inlineStr">
        <is>
          <t>L001-100044999</t>
        </is>
      </c>
      <c r="E1709" s="521" t="inlineStr">
        <is>
          <t>INV20210419899</t>
        </is>
      </c>
      <c r="F1709" s="523" t="n">
        <v>44305</v>
      </c>
      <c r="G1709" s="556" t="n">
        <v>87437</v>
      </c>
      <c r="I1709" s="521">
        <f>G1709</f>
        <v/>
      </c>
      <c r="K1709" s="521">
        <f>I1709-G1709</f>
        <v/>
      </c>
      <c r="M1709" s="522" t="inlineStr">
        <is>
          <t>INV20210419899</t>
        </is>
      </c>
      <c r="N1709" s="522" t="inlineStr"/>
      <c r="O1709" s="521">
        <f>M1709=N1709</f>
        <v/>
      </c>
      <c r="P1709" s="521">
        <f>AND(MONTH(F1709)=MONTH(S1709), YEAR(F1709)=YEAR(S1709))</f>
        <v/>
      </c>
      <c r="Q1709" s="521">
        <f>U1709="L001-901905215"</f>
        <v/>
      </c>
      <c r="R1709" s="556">
        <f>G1709-W1709</f>
        <v/>
      </c>
      <c r="S1709" s="521" t="n"/>
      <c r="T1709" s="522" t="n"/>
      <c r="U1709" s="522" t="n"/>
      <c r="V1709" s="522" t="n"/>
      <c r="W1709" s="521" t="n"/>
    </row>
    <row r="1710">
      <c r="A1710" s="521" t="n">
        <v>1702</v>
      </c>
      <c r="B1710" s="522" t="inlineStr">
        <is>
          <t>Life-Off Charge</t>
        </is>
      </c>
      <c r="C1710" s="522" t="inlineStr">
        <is>
          <t>កំពង់ផែស្វយ័តភ្នំពេញ "ក.ស.ភ"</t>
        </is>
      </c>
      <c r="D1710" s="522" t="inlineStr">
        <is>
          <t>L001-100044999</t>
        </is>
      </c>
      <c r="E1710" s="521" t="inlineStr">
        <is>
          <t>INV20210419903</t>
        </is>
      </c>
      <c r="F1710" s="523" t="n">
        <v>44305</v>
      </c>
      <c r="G1710" s="556" t="n">
        <v>19430</v>
      </c>
      <c r="I1710" s="521">
        <f>G1710</f>
        <v/>
      </c>
      <c r="K1710" s="521">
        <f>I1710-G1710</f>
        <v/>
      </c>
      <c r="M1710" s="522" t="inlineStr">
        <is>
          <t>INV20210419903</t>
        </is>
      </c>
      <c r="N1710" s="522" t="inlineStr"/>
      <c r="O1710" s="521">
        <f>M1710=N1710</f>
        <v/>
      </c>
      <c r="P1710" s="521">
        <f>AND(MONTH(F1710)=MONTH(S1710), YEAR(F1710)=YEAR(S1710))</f>
        <v/>
      </c>
      <c r="Q1710" s="521">
        <f>U1710="L001-901905215"</f>
        <v/>
      </c>
      <c r="R1710" s="556">
        <f>G1710-W1710</f>
        <v/>
      </c>
      <c r="S1710" s="521" t="n"/>
      <c r="T1710" s="522" t="n"/>
      <c r="U1710" s="522" t="n"/>
      <c r="V1710" s="522" t="n"/>
      <c r="W1710" s="521" t="n"/>
    </row>
    <row r="1711">
      <c r="A1711" s="521" t="n">
        <v>1703</v>
      </c>
      <c r="B1711" s="522" t="inlineStr">
        <is>
          <t>Life-Off Charge</t>
        </is>
      </c>
      <c r="C1711" s="522" t="inlineStr">
        <is>
          <t>កំពង់ផែស្វយ័តភ្នំពេញ "ក.ស.ភ"</t>
        </is>
      </c>
      <c r="D1711" s="522" t="inlineStr">
        <is>
          <t>L001-100044999</t>
        </is>
      </c>
      <c r="E1711" s="521" t="inlineStr">
        <is>
          <t>INV20210420478</t>
        </is>
      </c>
      <c r="F1711" s="523" t="n">
        <v>44309</v>
      </c>
      <c r="G1711" s="556" t="n">
        <v>2429</v>
      </c>
      <c r="I1711" s="521">
        <f>G1711</f>
        <v/>
      </c>
      <c r="K1711" s="521">
        <f>I1711-G1711</f>
        <v/>
      </c>
      <c r="M1711" s="522" t="inlineStr">
        <is>
          <t>INV20210420478</t>
        </is>
      </c>
      <c r="N1711" s="522" t="inlineStr"/>
      <c r="O1711" s="521">
        <f>M1711=N1711</f>
        <v/>
      </c>
      <c r="P1711" s="521">
        <f>AND(MONTH(F1711)=MONTH(S1711), YEAR(F1711)=YEAR(S1711))</f>
        <v/>
      </c>
      <c r="Q1711" s="521">
        <f>U1711="L001-901905215"</f>
        <v/>
      </c>
      <c r="R1711" s="556">
        <f>G1711-W1711</f>
        <v/>
      </c>
      <c r="S1711" s="521" t="n"/>
      <c r="T1711" s="522" t="n"/>
      <c r="U1711" s="522" t="n"/>
      <c r="V1711" s="522" t="n"/>
      <c r="W1711" s="521" t="n"/>
    </row>
    <row r="1712">
      <c r="A1712" s="521" t="n">
        <v>1704</v>
      </c>
      <c r="B1712" s="522" t="inlineStr">
        <is>
          <t>Life-Off Charge</t>
        </is>
      </c>
      <c r="C1712" s="522" t="inlineStr">
        <is>
          <t>កំពង់ផែស្វយ័តភ្នំពេញ "ក.ស.ភ"</t>
        </is>
      </c>
      <c r="D1712" s="522" t="inlineStr">
        <is>
          <t>L001-100044999</t>
        </is>
      </c>
      <c r="E1712" s="521" t="inlineStr">
        <is>
          <t>INV20210419902</t>
        </is>
      </c>
      <c r="F1712" s="523" t="n">
        <v>44305</v>
      </c>
      <c r="G1712" s="556" t="n">
        <v>29146</v>
      </c>
      <c r="I1712" s="521">
        <f>G1712</f>
        <v/>
      </c>
      <c r="K1712" s="521">
        <f>I1712-G1712</f>
        <v/>
      </c>
      <c r="M1712" s="522" t="inlineStr">
        <is>
          <t>INV20210419902</t>
        </is>
      </c>
      <c r="N1712" s="522" t="inlineStr"/>
      <c r="O1712" s="521">
        <f>M1712=N1712</f>
        <v/>
      </c>
      <c r="P1712" s="521">
        <f>AND(MONTH(F1712)=MONTH(S1712), YEAR(F1712)=YEAR(S1712))</f>
        <v/>
      </c>
      <c r="Q1712" s="521">
        <f>U1712="L001-901905215"</f>
        <v/>
      </c>
      <c r="R1712" s="556">
        <f>G1712-W1712</f>
        <v/>
      </c>
      <c r="S1712" s="521" t="n"/>
      <c r="T1712" s="522" t="n"/>
      <c r="U1712" s="522" t="n"/>
      <c r="V1712" s="522" t="n"/>
      <c r="W1712" s="521" t="n"/>
    </row>
    <row r="1713">
      <c r="A1713" s="521" t="n">
        <v>1705</v>
      </c>
      <c r="B1713" s="522" t="inlineStr">
        <is>
          <t>Lift Off</t>
        </is>
      </c>
      <c r="C1713" s="522" t="inlineStr">
        <is>
          <t>កំពង់ផែស្វយ័តក្រុងព្រះសីហនុ</t>
        </is>
      </c>
      <c r="D1713" s="522" t="inlineStr">
        <is>
          <t>L001-100044638</t>
        </is>
      </c>
      <c r="E1713" s="521" t="inlineStr">
        <is>
          <t>056660</t>
        </is>
      </c>
      <c r="F1713" s="523" t="n">
        <v>44296</v>
      </c>
      <c r="G1713" s="556" t="n">
        <v>20635</v>
      </c>
      <c r="I1713" s="521">
        <f>G1713</f>
        <v/>
      </c>
      <c r="K1713" s="521">
        <f>I1713-G1713</f>
        <v/>
      </c>
      <c r="M1713" s="522" t="inlineStr">
        <is>
          <t>056660</t>
        </is>
      </c>
      <c r="N1713" s="522" t="inlineStr"/>
      <c r="O1713" s="521">
        <f>M1713=N1713</f>
        <v/>
      </c>
      <c r="P1713" s="521">
        <f>AND(MONTH(F1713)=MONTH(S1713), YEAR(F1713)=YEAR(S1713))</f>
        <v/>
      </c>
      <c r="Q1713" s="521">
        <f>U1713="L001-901905215"</f>
        <v/>
      </c>
      <c r="R1713" s="556">
        <f>G1713-W1713</f>
        <v/>
      </c>
      <c r="S1713" s="521" t="n"/>
      <c r="T1713" s="522" t="n"/>
      <c r="U1713" s="522" t="n"/>
      <c r="V1713" s="522" t="n"/>
      <c r="W1713" s="521" t="n"/>
    </row>
    <row r="1714">
      <c r="A1714" s="521" t="n">
        <v>1706</v>
      </c>
      <c r="B1714" s="522" t="inlineStr">
        <is>
          <t>Storage 20 Feet Contaniner</t>
        </is>
      </c>
      <c r="C1714" s="522" t="inlineStr">
        <is>
          <t>កំពង់ផែស្វយ័តភ្នំពេញ "ក.ស.ភ"</t>
        </is>
      </c>
      <c r="D1714" s="522" t="inlineStr">
        <is>
          <t>L001-100044999</t>
        </is>
      </c>
      <c r="E1714" s="521" t="inlineStr">
        <is>
          <t>INV20210421388</t>
        </is>
      </c>
      <c r="F1714" s="523" t="n">
        <v>44315</v>
      </c>
      <c r="G1714" s="556" t="n">
        <v>6072</v>
      </c>
      <c r="I1714" s="521">
        <f>G1714</f>
        <v/>
      </c>
      <c r="K1714" s="521">
        <f>I1714-G1714</f>
        <v/>
      </c>
      <c r="M1714" s="522" t="inlineStr">
        <is>
          <t>INV20210421388</t>
        </is>
      </c>
      <c r="N1714" s="522" t="inlineStr"/>
      <c r="O1714" s="521">
        <f>M1714=N1714</f>
        <v/>
      </c>
      <c r="P1714" s="521">
        <f>AND(MONTH(F1714)=MONTH(S1714), YEAR(F1714)=YEAR(S1714))</f>
        <v/>
      </c>
      <c r="Q1714" s="521">
        <f>U1714="L001-901905215"</f>
        <v/>
      </c>
      <c r="R1714" s="556">
        <f>G1714-W1714</f>
        <v/>
      </c>
      <c r="S1714" s="521" t="n"/>
      <c r="T1714" s="522" t="n"/>
      <c r="U1714" s="522" t="n"/>
      <c r="V1714" s="522" t="n"/>
      <c r="W1714" s="521" t="n"/>
    </row>
    <row r="1715">
      <c r="A1715" s="521" t="n">
        <v>1707</v>
      </c>
      <c r="B1715" s="522" t="inlineStr">
        <is>
          <t>Life-Off Charge</t>
        </is>
      </c>
      <c r="C1715" s="522" t="inlineStr">
        <is>
          <t>កំពង់ផែស្វយ័តភ្នំពេញ "ក.ស.ភ"</t>
        </is>
      </c>
      <c r="D1715" s="522" t="inlineStr">
        <is>
          <t>L001-100044999</t>
        </is>
      </c>
      <c r="E1715" s="521" t="inlineStr">
        <is>
          <t>INV20210419901</t>
        </is>
      </c>
      <c r="F1715" s="523" t="n">
        <v>44305</v>
      </c>
      <c r="G1715" s="556" t="n">
        <v>19430</v>
      </c>
      <c r="I1715" s="521">
        <f>G1715</f>
        <v/>
      </c>
      <c r="K1715" s="521">
        <f>I1715-G1715</f>
        <v/>
      </c>
      <c r="M1715" s="522" t="inlineStr">
        <is>
          <t>INV20210419901</t>
        </is>
      </c>
      <c r="N1715" s="522" t="inlineStr"/>
      <c r="O1715" s="521">
        <f>M1715=N1715</f>
        <v/>
      </c>
      <c r="P1715" s="521">
        <f>AND(MONTH(F1715)=MONTH(S1715), YEAR(F1715)=YEAR(S1715))</f>
        <v/>
      </c>
      <c r="Q1715" s="521">
        <f>U1715="L001-901905215"</f>
        <v/>
      </c>
      <c r="R1715" s="556">
        <f>G1715-W1715</f>
        <v/>
      </c>
      <c r="S1715" s="521" t="n"/>
      <c r="T1715" s="522" t="n"/>
      <c r="U1715" s="522" t="n"/>
      <c r="V1715" s="522" t="n"/>
      <c r="W1715" s="521" t="n"/>
    </row>
    <row r="1716">
      <c r="A1716" s="521" t="n">
        <v>1708</v>
      </c>
      <c r="B1716" s="522" t="inlineStr">
        <is>
          <t>Life-Off Charge</t>
        </is>
      </c>
      <c r="C1716" s="522" t="inlineStr">
        <is>
          <t>កំពង់ផែស្វយ័តភ្នំពេញ "ក.ស.ភ"</t>
        </is>
      </c>
      <c r="D1716" s="522" t="inlineStr">
        <is>
          <t>L001-100044999</t>
        </is>
      </c>
      <c r="E1716" s="521" t="inlineStr">
        <is>
          <t>INV20210418912</t>
        </is>
      </c>
      <c r="F1716" s="523" t="n">
        <v>44296</v>
      </c>
      <c r="G1716" s="556" t="n">
        <v>29131</v>
      </c>
      <c r="I1716" s="521">
        <f>G1716</f>
        <v/>
      </c>
      <c r="K1716" s="521">
        <f>I1716-G1716</f>
        <v/>
      </c>
      <c r="M1716" s="522" t="inlineStr">
        <is>
          <t>INV20210418912</t>
        </is>
      </c>
      <c r="N1716" s="522" t="inlineStr"/>
      <c r="O1716" s="521">
        <f>M1716=N1716</f>
        <v/>
      </c>
      <c r="P1716" s="521">
        <f>AND(MONTH(F1716)=MONTH(S1716), YEAR(F1716)=YEAR(S1716))</f>
        <v/>
      </c>
      <c r="Q1716" s="521">
        <f>U1716="L001-901905215"</f>
        <v/>
      </c>
      <c r="R1716" s="556">
        <f>G1716-W1716</f>
        <v/>
      </c>
      <c r="S1716" s="521" t="n"/>
      <c r="T1716" s="522" t="n"/>
      <c r="U1716" s="522" t="n"/>
      <c r="V1716" s="522" t="n"/>
      <c r="W1716" s="521" t="n"/>
    </row>
    <row r="1717">
      <c r="A1717" s="521" t="n">
        <v>1709</v>
      </c>
      <c r="B1717" s="522" t="inlineStr">
        <is>
          <t>Life-Off Charge</t>
        </is>
      </c>
      <c r="C1717" s="522" t="inlineStr">
        <is>
          <t>កំពង់ផែស្វយ័តភ្នំពេញ "ក.ស.ភ"</t>
        </is>
      </c>
      <c r="D1717" s="522" t="inlineStr">
        <is>
          <t>L001-100044999</t>
        </is>
      </c>
      <c r="E1717" s="521" t="inlineStr">
        <is>
          <t>INV20210418913</t>
        </is>
      </c>
      <c r="F1717" s="523" t="n">
        <v>44296</v>
      </c>
      <c r="G1717" s="556" t="n">
        <v>29131</v>
      </c>
      <c r="I1717" s="521">
        <f>G1717</f>
        <v/>
      </c>
      <c r="K1717" s="521">
        <f>I1717-G1717</f>
        <v/>
      </c>
      <c r="M1717" s="522" t="inlineStr">
        <is>
          <t>INV20210418913</t>
        </is>
      </c>
      <c r="N1717" s="522" t="inlineStr"/>
      <c r="O1717" s="521">
        <f>M1717=N1717</f>
        <v/>
      </c>
      <c r="P1717" s="521">
        <f>AND(MONTH(F1717)=MONTH(S1717), YEAR(F1717)=YEAR(S1717))</f>
        <v/>
      </c>
      <c r="Q1717" s="521">
        <f>U1717="L001-901905215"</f>
        <v/>
      </c>
      <c r="R1717" s="556">
        <f>G1717-W1717</f>
        <v/>
      </c>
      <c r="S1717" s="521" t="n"/>
      <c r="T1717" s="522" t="n"/>
      <c r="U1717" s="522" t="n"/>
      <c r="V1717" s="522" t="n"/>
      <c r="W1717" s="521" t="n"/>
    </row>
    <row r="1718">
      <c r="A1718" s="521" t="n">
        <v>1710</v>
      </c>
      <c r="B1718" s="522" t="inlineStr">
        <is>
          <t>Service Fee</t>
        </is>
      </c>
      <c r="C1718" s="522" t="inlineStr">
        <is>
          <t>សូស៊ីយេតេ កុងសេស្យូនែរ ដឺ ឡាអេរ៉ូព័រ</t>
        </is>
      </c>
      <c r="D1718" s="522" t="inlineStr">
        <is>
          <t>L001-100047300</t>
        </is>
      </c>
      <c r="E1718" s="521" t="inlineStr">
        <is>
          <t>2100-019312</t>
        </is>
      </c>
      <c r="F1718" s="523" t="n">
        <v>44296</v>
      </c>
      <c r="G1718" s="556" t="n">
        <v>14470</v>
      </c>
      <c r="I1718" s="521">
        <f>G1718</f>
        <v/>
      </c>
      <c r="K1718" s="521">
        <f>I1718-G1718</f>
        <v/>
      </c>
      <c r="M1718" s="522" t="inlineStr">
        <is>
          <t>2100019312</t>
        </is>
      </c>
      <c r="N1718" s="522" t="inlineStr"/>
      <c r="O1718" s="521">
        <f>M1718=N1718</f>
        <v/>
      </c>
      <c r="P1718" s="521">
        <f>AND(MONTH(F1718)=MONTH(S1718), YEAR(F1718)=YEAR(S1718))</f>
        <v/>
      </c>
      <c r="Q1718" s="521">
        <f>U1718="L001-901905215"</f>
        <v/>
      </c>
      <c r="R1718" s="556">
        <f>G1718-W1718</f>
        <v/>
      </c>
      <c r="S1718" s="521" t="n"/>
      <c r="T1718" s="522" t="n"/>
      <c r="U1718" s="522" t="n"/>
      <c r="V1718" s="522" t="n"/>
      <c r="W1718" s="521" t="n"/>
    </row>
    <row r="1719">
      <c r="A1719" s="521" t="n">
        <v>1711</v>
      </c>
      <c r="B1719" s="522" t="inlineStr">
        <is>
          <t>Service Fee</t>
        </is>
      </c>
      <c r="C1719" s="522" t="inlineStr">
        <is>
          <t>សូស៊ីយេតេ កុងសេស្យូនែរ ដឺ ឡាអេរ៉ូព័រ</t>
        </is>
      </c>
      <c r="D1719" s="522" t="inlineStr">
        <is>
          <t>L001-100047300</t>
        </is>
      </c>
      <c r="E1719" s="521" t="inlineStr">
        <is>
          <t>2100-017807</t>
        </is>
      </c>
      <c r="F1719" s="523" t="n">
        <v>44289</v>
      </c>
      <c r="G1719" s="556" t="n">
        <v>13179</v>
      </c>
      <c r="I1719" s="521">
        <f>G1719</f>
        <v/>
      </c>
      <c r="K1719" s="521">
        <f>I1719-G1719</f>
        <v/>
      </c>
      <c r="M1719" s="522" t="inlineStr">
        <is>
          <t>2100017807</t>
        </is>
      </c>
      <c r="N1719" s="522" t="inlineStr"/>
      <c r="O1719" s="521">
        <f>M1719=N1719</f>
        <v/>
      </c>
      <c r="P1719" s="521">
        <f>AND(MONTH(F1719)=MONTH(S1719), YEAR(F1719)=YEAR(S1719))</f>
        <v/>
      </c>
      <c r="Q1719" s="521">
        <f>U1719="L001-901905215"</f>
        <v/>
      </c>
      <c r="R1719" s="556">
        <f>G1719-W1719</f>
        <v/>
      </c>
      <c r="S1719" s="521" t="n"/>
      <c r="T1719" s="522" t="n"/>
      <c r="U1719" s="522" t="n"/>
      <c r="V1719" s="522" t="n"/>
      <c r="W1719" s="521" t="n"/>
    </row>
    <row r="1720">
      <c r="A1720" s="521" t="n">
        <v>1712</v>
      </c>
      <c r="B1720" s="522" t="inlineStr">
        <is>
          <t>Lift Off</t>
        </is>
      </c>
      <c r="C1720" s="522" t="inlineStr">
        <is>
          <t>កំពង់ផែស្វយ័តក្រុងព្រះសីហនុ</t>
        </is>
      </c>
      <c r="D1720" s="522" t="inlineStr">
        <is>
          <t>L001-100044638</t>
        </is>
      </c>
      <c r="E1720" s="521" t="inlineStr">
        <is>
          <t>0511831</t>
        </is>
      </c>
      <c r="F1720" s="523" t="n">
        <v>44288</v>
      </c>
      <c r="G1720" s="556" t="n">
        <v>6880</v>
      </c>
      <c r="I1720" s="521">
        <f>G1720</f>
        <v/>
      </c>
      <c r="K1720" s="521">
        <f>I1720-G1720</f>
        <v/>
      </c>
      <c r="M1720" s="522" t="inlineStr">
        <is>
          <t>0511831</t>
        </is>
      </c>
      <c r="N1720" s="522" t="inlineStr"/>
      <c r="O1720" s="521">
        <f>M1720=N1720</f>
        <v/>
      </c>
      <c r="P1720" s="521">
        <f>AND(MONTH(F1720)=MONTH(S1720), YEAR(F1720)=YEAR(S1720))</f>
        <v/>
      </c>
      <c r="Q1720" s="521">
        <f>U1720="L001-901905215"</f>
        <v/>
      </c>
      <c r="R1720" s="556">
        <f>G1720-W1720</f>
        <v/>
      </c>
      <c r="S1720" s="521" t="n"/>
      <c r="T1720" s="522" t="n"/>
      <c r="U1720" s="522" t="n"/>
      <c r="V1720" s="522" t="n"/>
      <c r="W1720" s="521" t="n"/>
    </row>
    <row r="1721">
      <c r="A1721" s="521" t="n">
        <v>1713</v>
      </c>
      <c r="B1721" s="522" t="inlineStr">
        <is>
          <t>Lift Off</t>
        </is>
      </c>
      <c r="C1721" s="522" t="inlineStr">
        <is>
          <t>កំពង់ផែស្វយ័តក្រុងព្រះសីហនុ</t>
        </is>
      </c>
      <c r="D1721" s="522" t="inlineStr">
        <is>
          <t>L001-100044638</t>
        </is>
      </c>
      <c r="E1721" s="521" t="inlineStr">
        <is>
          <t>051772</t>
        </is>
      </c>
      <c r="F1721" s="523" t="n">
        <v>44288</v>
      </c>
      <c r="G1721" s="556" t="n">
        <v>6880</v>
      </c>
      <c r="I1721" s="521">
        <f>G1721</f>
        <v/>
      </c>
      <c r="K1721" s="521">
        <f>I1721-G1721</f>
        <v/>
      </c>
      <c r="M1721" s="522" t="inlineStr">
        <is>
          <t>051772</t>
        </is>
      </c>
      <c r="N1721" s="522" t="inlineStr"/>
      <c r="O1721" s="521">
        <f>M1721=N1721</f>
        <v/>
      </c>
      <c r="P1721" s="521">
        <f>AND(MONTH(F1721)=MONTH(S1721), YEAR(F1721)=YEAR(S1721))</f>
        <v/>
      </c>
      <c r="Q1721" s="521">
        <f>U1721="L001-901905215"</f>
        <v/>
      </c>
      <c r="R1721" s="556">
        <f>G1721-W1721</f>
        <v/>
      </c>
      <c r="S1721" s="521" t="n"/>
      <c r="T1721" s="522" t="n"/>
      <c r="U1721" s="522" t="n"/>
      <c r="V1721" s="522" t="n"/>
      <c r="W1721" s="521" t="n"/>
    </row>
    <row r="1722">
      <c r="A1722" s="521" t="n">
        <v>1714</v>
      </c>
      <c r="B1722" s="522" t="inlineStr">
        <is>
          <t>Lift Off</t>
        </is>
      </c>
      <c r="C1722" s="522" t="inlineStr">
        <is>
          <t>កំពង់ផែស្វយ័តក្រុងព្រះសីហនុ</t>
        </is>
      </c>
      <c r="D1722" s="522" t="inlineStr">
        <is>
          <t>L001-100044638</t>
        </is>
      </c>
      <c r="E1722" s="521" t="inlineStr">
        <is>
          <t>051773</t>
        </is>
      </c>
      <c r="F1722" s="523" t="n">
        <v>44288</v>
      </c>
      <c r="G1722" s="556" t="n">
        <v>15379</v>
      </c>
      <c r="I1722" s="521">
        <f>G1722</f>
        <v/>
      </c>
      <c r="K1722" s="521">
        <f>I1722-G1722</f>
        <v/>
      </c>
      <c r="M1722" s="522" t="inlineStr">
        <is>
          <t>051773</t>
        </is>
      </c>
      <c r="N1722" s="522" t="inlineStr"/>
      <c r="O1722" s="521">
        <f>M1722=N1722</f>
        <v/>
      </c>
      <c r="P1722" s="521">
        <f>AND(MONTH(F1722)=MONTH(S1722), YEAR(F1722)=YEAR(S1722))</f>
        <v/>
      </c>
      <c r="Q1722" s="521">
        <f>U1722="L001-901905215"</f>
        <v/>
      </c>
      <c r="R1722" s="556">
        <f>G1722-W1722</f>
        <v/>
      </c>
      <c r="S1722" s="521" t="n"/>
      <c r="T1722" s="522" t="n"/>
      <c r="U1722" s="522" t="n"/>
      <c r="V1722" s="522" t="n"/>
      <c r="W1722" s="521" t="n"/>
    </row>
    <row r="1723">
      <c r="A1723" s="521" t="n">
        <v>1715</v>
      </c>
      <c r="B1723" s="522" t="inlineStr">
        <is>
          <t>Lift Off Charges</t>
        </is>
      </c>
      <c r="C1723" s="522" t="inlineStr">
        <is>
          <t>កំពង់ផែស្វយ័តភ្នំពេញ "ក.ស.ភ"</t>
        </is>
      </c>
      <c r="D1723" s="522" t="inlineStr">
        <is>
          <t>L001-100044999</t>
        </is>
      </c>
      <c r="E1723" s="521" t="inlineStr">
        <is>
          <t>INV20210418312</t>
        </is>
      </c>
      <c r="F1723" s="523" t="n">
        <v>44292</v>
      </c>
      <c r="G1723" s="556" t="n">
        <v>29124</v>
      </c>
      <c r="I1723" s="521">
        <f>G1723</f>
        <v/>
      </c>
      <c r="K1723" s="521">
        <f>I1723-G1723</f>
        <v/>
      </c>
      <c r="M1723" s="522" t="inlineStr">
        <is>
          <t>INV20210418312</t>
        </is>
      </c>
      <c r="N1723" s="522" t="inlineStr"/>
      <c r="O1723" s="521">
        <f>M1723=N1723</f>
        <v/>
      </c>
      <c r="P1723" s="521">
        <f>AND(MONTH(F1723)=MONTH(S1723), YEAR(F1723)=YEAR(S1723))</f>
        <v/>
      </c>
      <c r="Q1723" s="521">
        <f>U1723="L001-901905215"</f>
        <v/>
      </c>
      <c r="R1723" s="556">
        <f>G1723-W1723</f>
        <v/>
      </c>
      <c r="S1723" s="521" t="n"/>
      <c r="T1723" s="522" t="n"/>
      <c r="U1723" s="522" t="n"/>
      <c r="V1723" s="522" t="n"/>
      <c r="W1723" s="521" t="n"/>
    </row>
    <row r="1724">
      <c r="A1724" s="521" t="n">
        <v>1716</v>
      </c>
      <c r="B1724" s="522" t="inlineStr">
        <is>
          <t>Lift Off Charges</t>
        </is>
      </c>
      <c r="C1724" s="522" t="inlineStr">
        <is>
          <t>កំពង់ផែស្វយ័តភ្នំពេញ "ក.ស.ភ"</t>
        </is>
      </c>
      <c r="D1724" s="522" t="inlineStr">
        <is>
          <t>L001-100044999</t>
        </is>
      </c>
      <c r="E1724" s="521" t="inlineStr">
        <is>
          <t>INV20210419124</t>
        </is>
      </c>
      <c r="F1724" s="523" t="n">
        <v>44298</v>
      </c>
      <c r="G1724" s="556" t="n">
        <v>58291</v>
      </c>
      <c r="I1724" s="521">
        <f>G1724</f>
        <v/>
      </c>
      <c r="K1724" s="521">
        <f>I1724-G1724</f>
        <v/>
      </c>
      <c r="M1724" s="522" t="inlineStr">
        <is>
          <t>INV20210419124</t>
        </is>
      </c>
      <c r="N1724" s="522" t="inlineStr"/>
      <c r="O1724" s="521">
        <f>M1724=N1724</f>
        <v/>
      </c>
      <c r="P1724" s="521">
        <f>AND(MONTH(F1724)=MONTH(S1724), YEAR(F1724)=YEAR(S1724))</f>
        <v/>
      </c>
      <c r="Q1724" s="521">
        <f>U1724="L001-901905215"</f>
        <v/>
      </c>
      <c r="R1724" s="556">
        <f>G1724-W1724</f>
        <v/>
      </c>
      <c r="S1724" s="521" t="n"/>
      <c r="T1724" s="522" t="n"/>
      <c r="U1724" s="522" t="n"/>
      <c r="V1724" s="522" t="n"/>
      <c r="W1724" s="521" t="n"/>
    </row>
    <row r="1725">
      <c r="A1725" s="521" t="n">
        <v>1717</v>
      </c>
      <c r="B1725" s="522" t="inlineStr">
        <is>
          <t>Lift Off Charges</t>
        </is>
      </c>
      <c r="C1725" s="522" t="inlineStr">
        <is>
          <t>កំពង់ផែស្វយ័តភ្នំពេញ "ក.ស.ភ"</t>
        </is>
      </c>
      <c r="D1725" s="522" t="inlineStr">
        <is>
          <t>L001-100044999</t>
        </is>
      </c>
      <c r="E1725" s="521" t="inlineStr">
        <is>
          <t>INV20210419125</t>
        </is>
      </c>
      <c r="F1725" s="523" t="n">
        <v>44298</v>
      </c>
      <c r="G1725" s="556" t="n">
        <v>87437</v>
      </c>
      <c r="I1725" s="521">
        <f>G1725</f>
        <v/>
      </c>
      <c r="K1725" s="521">
        <f>I1725-G1725</f>
        <v/>
      </c>
      <c r="M1725" s="522" t="inlineStr">
        <is>
          <t>INV20210419125</t>
        </is>
      </c>
      <c r="N1725" s="522" t="inlineStr"/>
      <c r="O1725" s="521">
        <f>M1725=N1725</f>
        <v/>
      </c>
      <c r="P1725" s="521">
        <f>AND(MONTH(F1725)=MONTH(S1725), YEAR(F1725)=YEAR(S1725))</f>
        <v/>
      </c>
      <c r="Q1725" s="521">
        <f>U1725="L001-901905215"</f>
        <v/>
      </c>
      <c r="R1725" s="556">
        <f>G1725-W1725</f>
        <v/>
      </c>
      <c r="S1725" s="521" t="n"/>
      <c r="T1725" s="522" t="n"/>
      <c r="U1725" s="522" t="n"/>
      <c r="V1725" s="522" t="n"/>
      <c r="W1725" s="521" t="n"/>
    </row>
    <row r="1726">
      <c r="A1726" s="521" t="n">
        <v>1718</v>
      </c>
      <c r="B1726" s="522" t="inlineStr">
        <is>
          <t>Lift Off Charges</t>
        </is>
      </c>
      <c r="C1726" s="522" t="inlineStr">
        <is>
          <t>កំពង់ផែស្វយ័តភ្នំពេញ "ក.ស.ភ"</t>
        </is>
      </c>
      <c r="D1726" s="522" t="inlineStr">
        <is>
          <t>L001-100044999</t>
        </is>
      </c>
      <c r="E1726" s="521" t="inlineStr">
        <is>
          <t>INV20210418311</t>
        </is>
      </c>
      <c r="F1726" s="523" t="n">
        <v>44292</v>
      </c>
      <c r="G1726" s="556" t="n">
        <v>29124</v>
      </c>
      <c r="I1726" s="521">
        <f>G1726</f>
        <v/>
      </c>
      <c r="K1726" s="521">
        <f>I1726-G1726</f>
        <v/>
      </c>
      <c r="M1726" s="522" t="inlineStr">
        <is>
          <t>INV20210418311</t>
        </is>
      </c>
      <c r="N1726" s="522" t="inlineStr"/>
      <c r="O1726" s="521">
        <f>M1726=N1726</f>
        <v/>
      </c>
      <c r="P1726" s="521">
        <f>AND(MONTH(F1726)=MONTH(S1726), YEAR(F1726)=YEAR(S1726))</f>
        <v/>
      </c>
      <c r="Q1726" s="521">
        <f>U1726="L001-901905215"</f>
        <v/>
      </c>
      <c r="R1726" s="556">
        <f>G1726-W1726</f>
        <v/>
      </c>
      <c r="S1726" s="521" t="n"/>
      <c r="T1726" s="522" t="n"/>
      <c r="U1726" s="522" t="n"/>
      <c r="V1726" s="522" t="n"/>
      <c r="W1726" s="521" t="n"/>
    </row>
    <row r="1727">
      <c r="A1727" s="521" t="n">
        <v>1719</v>
      </c>
      <c r="B1727" s="522" t="inlineStr">
        <is>
          <t>Export Administration Fee</t>
        </is>
      </c>
      <c r="C1727" s="522" t="inlineStr">
        <is>
          <t>ឆាយ ដា ឡូយីស្ទីក</t>
        </is>
      </c>
      <c r="D1727" s="522" t="inlineStr">
        <is>
          <t>L001-100063098</t>
        </is>
      </c>
      <c r="E1727" s="521" t="inlineStr">
        <is>
          <t>2104003885</t>
        </is>
      </c>
      <c r="F1727" s="523" t="n">
        <v>44306</v>
      </c>
      <c r="G1727" s="556" t="n">
        <v>191875</v>
      </c>
      <c r="I1727" s="521">
        <f>G1727</f>
        <v/>
      </c>
      <c r="K1727" s="521">
        <f>I1727-G1727</f>
        <v/>
      </c>
      <c r="M1727" s="522" t="inlineStr">
        <is>
          <t>2104003885</t>
        </is>
      </c>
      <c r="N1727" s="522" t="inlineStr">
        <is>
          <t>2104003885</t>
        </is>
      </c>
      <c r="O1727" s="521">
        <f>M1727=N1727</f>
        <v/>
      </c>
      <c r="P1727" s="521">
        <f>AND(MONTH(F1727)=MONTH(S1727), YEAR(F1727)=YEAR(S1727))</f>
        <v/>
      </c>
      <c r="Q1727" s="521">
        <f>U1727="L001-901905215"</f>
        <v/>
      </c>
      <c r="R1727" s="556">
        <f>G1727-W1727</f>
        <v/>
      </c>
      <c r="S1727" s="523" t="n">
        <v>44306</v>
      </c>
      <c r="T1727" s="522" t="inlineStr">
        <is>
          <t>2104003885</t>
        </is>
      </c>
      <c r="U1727" s="522" t="inlineStr">
        <is>
          <t>L001-901905215</t>
        </is>
      </c>
      <c r="V1727" s="522" t="inlineStr">
        <is>
          <t>វីអ៊ីស៊ិន (ខេមបូឌា) អ៊ិនដាសស្ទ្រី ឯ.ក</t>
        </is>
      </c>
      <c r="W1727" s="556" t="n">
        <v>191875</v>
      </c>
    </row>
    <row r="1728">
      <c r="A1728" s="521" t="n">
        <v>1720</v>
      </c>
      <c r="B1728" s="522" t="inlineStr">
        <is>
          <t>Export Administration Fee</t>
        </is>
      </c>
      <c r="C1728" s="522" t="inlineStr">
        <is>
          <t>ឆាយ ដា ឡូយីស្ទីក</t>
        </is>
      </c>
      <c r="D1728" s="522" t="inlineStr">
        <is>
          <t>L001-100063098</t>
        </is>
      </c>
      <c r="E1728" s="521" t="inlineStr">
        <is>
          <t>2104003894</t>
        </is>
      </c>
      <c r="F1728" s="523" t="n">
        <v>44306</v>
      </c>
      <c r="G1728" s="556" t="n">
        <v>191875</v>
      </c>
      <c r="I1728" s="521">
        <f>G1728</f>
        <v/>
      </c>
      <c r="K1728" s="521">
        <f>I1728-G1728</f>
        <v/>
      </c>
      <c r="M1728" s="522" t="inlineStr">
        <is>
          <t>2104003894</t>
        </is>
      </c>
      <c r="N1728" s="522" t="inlineStr">
        <is>
          <t>2104003894</t>
        </is>
      </c>
      <c r="O1728" s="521">
        <f>M1728=N1728</f>
        <v/>
      </c>
      <c r="P1728" s="521">
        <f>AND(MONTH(F1728)=MONTH(S1728), YEAR(F1728)=YEAR(S1728))</f>
        <v/>
      </c>
      <c r="Q1728" s="521">
        <f>U1728="L001-901905215"</f>
        <v/>
      </c>
      <c r="R1728" s="556">
        <f>G1728-W1728</f>
        <v/>
      </c>
      <c r="S1728" s="523" t="n">
        <v>44306</v>
      </c>
      <c r="T1728" s="522" t="inlineStr">
        <is>
          <t>2104003894</t>
        </is>
      </c>
      <c r="U1728" s="522" t="inlineStr">
        <is>
          <t>L001-901905215</t>
        </is>
      </c>
      <c r="V1728" s="522" t="inlineStr">
        <is>
          <t>វីអ៊ីស៊ិន (ខេមបូឌា) អ៊ិនដាសស្ទ្រី ឯ.ក</t>
        </is>
      </c>
      <c r="W1728" s="556" t="n">
        <v>191875</v>
      </c>
    </row>
    <row r="1729">
      <c r="A1729" s="521" t="n">
        <v>1721</v>
      </c>
      <c r="B1729" s="522" t="inlineStr">
        <is>
          <t>Export Administration Fee</t>
        </is>
      </c>
      <c r="C1729" s="522" t="inlineStr">
        <is>
          <t>ឆាយ ដា ឡូយីស្ទីក</t>
        </is>
      </c>
      <c r="D1729" s="522" t="inlineStr">
        <is>
          <t>L001-100063098</t>
        </is>
      </c>
      <c r="E1729" s="521" t="inlineStr">
        <is>
          <t>2104003512</t>
        </is>
      </c>
      <c r="F1729" s="523" t="n">
        <v>44291</v>
      </c>
      <c r="G1729" s="556" t="n">
        <v>76451</v>
      </c>
      <c r="I1729" s="521">
        <f>G1729</f>
        <v/>
      </c>
      <c r="K1729" s="521">
        <f>I1729-G1729</f>
        <v/>
      </c>
      <c r="M1729" s="522" t="inlineStr">
        <is>
          <t>2104003512</t>
        </is>
      </c>
      <c r="N1729" s="522" t="inlineStr">
        <is>
          <t>2104003512</t>
        </is>
      </c>
      <c r="O1729" s="521">
        <f>M1729=N1729</f>
        <v/>
      </c>
      <c r="P1729" s="521">
        <f>AND(MONTH(F1729)=MONTH(S1729), YEAR(F1729)=YEAR(S1729))</f>
        <v/>
      </c>
      <c r="Q1729" s="521">
        <f>U1729="L001-901905215"</f>
        <v/>
      </c>
      <c r="R1729" s="556">
        <f>G1729-W1729</f>
        <v/>
      </c>
      <c r="S1729" s="523" t="n">
        <v>44291</v>
      </c>
      <c r="T1729" s="522" t="inlineStr">
        <is>
          <t>2104003512</t>
        </is>
      </c>
      <c r="U1729" s="522" t="inlineStr">
        <is>
          <t>L001-901905215</t>
        </is>
      </c>
      <c r="V1729" s="522" t="inlineStr">
        <is>
          <t>វីអ៊ីស៊ិន (ខេមបូឌា) អ៊ិនដាសស្ទ្រី ឯ.ក</t>
        </is>
      </c>
      <c r="W1729" s="556" t="n">
        <v>76451</v>
      </c>
    </row>
    <row r="1730">
      <c r="A1730" s="521" t="n">
        <v>1722</v>
      </c>
      <c r="B1730" s="522" t="inlineStr">
        <is>
          <t>Export Administration Fee</t>
        </is>
      </c>
      <c r="C1730" s="522" t="inlineStr">
        <is>
          <t>ឆាយ ដា ឡូយីស្ទីក</t>
        </is>
      </c>
      <c r="D1730" s="522" t="inlineStr">
        <is>
          <t>L001-100063098</t>
        </is>
      </c>
      <c r="E1730" s="521" t="inlineStr">
        <is>
          <t>2104003502</t>
        </is>
      </c>
      <c r="F1730" s="523" t="n">
        <v>44291</v>
      </c>
      <c r="G1730" s="556" t="n">
        <v>88585</v>
      </c>
      <c r="I1730" s="521">
        <f>G1730</f>
        <v/>
      </c>
      <c r="K1730" s="521">
        <f>I1730-G1730</f>
        <v/>
      </c>
      <c r="M1730" s="522" t="inlineStr">
        <is>
          <t>2104003502</t>
        </is>
      </c>
      <c r="N1730" s="522" t="inlineStr">
        <is>
          <t>2104003502</t>
        </is>
      </c>
      <c r="O1730" s="521">
        <f>M1730=N1730</f>
        <v/>
      </c>
      <c r="P1730" s="521">
        <f>AND(MONTH(F1730)=MONTH(S1730), YEAR(F1730)=YEAR(S1730))</f>
        <v/>
      </c>
      <c r="Q1730" s="521">
        <f>U1730="L001-901905215"</f>
        <v/>
      </c>
      <c r="R1730" s="556">
        <f>G1730-W1730</f>
        <v/>
      </c>
      <c r="S1730" s="523" t="n">
        <v>44291</v>
      </c>
      <c r="T1730" s="522" t="inlineStr">
        <is>
          <t>2104003502</t>
        </is>
      </c>
      <c r="U1730" s="522" t="inlineStr">
        <is>
          <t>L001-901905215</t>
        </is>
      </c>
      <c r="V1730" s="522" t="inlineStr">
        <is>
          <t>វីអ៊ីស៊ិន (ខេមបូឌា) អ៊ិនដាសស្ទ្រី ឯ.ក</t>
        </is>
      </c>
      <c r="W1730" s="556" t="n">
        <v>88585</v>
      </c>
    </row>
    <row r="1731">
      <c r="A1731" s="521" t="n">
        <v>1723</v>
      </c>
      <c r="B1731" s="522" t="inlineStr">
        <is>
          <t>Import Clearance Fee</t>
        </is>
      </c>
      <c r="C1731" s="522" t="inlineStr">
        <is>
          <t>អូរៀនថល ឡូជីស្ទីក &amp; ឌីស្ទ្រីប៊្យូសិន (ខេមបូឌា)</t>
        </is>
      </c>
      <c r="D1731" s="522" t="inlineStr">
        <is>
          <t>L001-103007369</t>
        </is>
      </c>
      <c r="E1731" s="521" t="inlineStr">
        <is>
          <t>SI2103-R0451</t>
        </is>
      </c>
      <c r="F1731" s="523" t="n">
        <v>44306</v>
      </c>
      <c r="G1731" s="556" t="n">
        <v>2771105</v>
      </c>
      <c r="I1731" s="521">
        <f>G1731</f>
        <v/>
      </c>
      <c r="K1731" s="521">
        <f>I1731-G1731</f>
        <v/>
      </c>
      <c r="M1731" s="522" t="inlineStr">
        <is>
          <t>SI2103R0451</t>
        </is>
      </c>
      <c r="N1731" s="522" t="inlineStr"/>
      <c r="O1731" s="521">
        <f>M1731=N1731</f>
        <v/>
      </c>
      <c r="P1731" s="521">
        <f>AND(MONTH(F1731)=MONTH(S1731), YEAR(F1731)=YEAR(S1731))</f>
        <v/>
      </c>
      <c r="Q1731" s="521">
        <f>U1731="L001-901905215"</f>
        <v/>
      </c>
      <c r="R1731" s="556">
        <f>G1731-W1731</f>
        <v/>
      </c>
      <c r="S1731" s="521" t="n"/>
      <c r="T1731" s="522" t="n"/>
      <c r="U1731" s="522" t="n"/>
      <c r="V1731" s="522" t="n"/>
      <c r="W1731" s="521" t="n"/>
    </row>
    <row r="1732">
      <c r="A1732" s="521" t="n">
        <v>1724</v>
      </c>
      <c r="B1732" s="522" t="inlineStr">
        <is>
          <t>Import Clearance Fee</t>
        </is>
      </c>
      <c r="C1732" s="522" t="inlineStr">
        <is>
          <t>អូរៀនថល ឡូជីស្ទីក &amp; ឌីស្ទ្រីប៊្យូសិន (ខេមបូឌា)</t>
        </is>
      </c>
      <c r="D1732" s="522" t="inlineStr">
        <is>
          <t>L001-103007369</t>
        </is>
      </c>
      <c r="E1732" s="521" t="inlineStr">
        <is>
          <t>SI2103-R1078</t>
        </is>
      </c>
      <c r="F1732" s="523" t="n">
        <v>44292</v>
      </c>
      <c r="G1732" s="556" t="n">
        <v>2655620</v>
      </c>
      <c r="I1732" s="521">
        <f>G1732</f>
        <v/>
      </c>
      <c r="K1732" s="521">
        <f>I1732-G1732</f>
        <v/>
      </c>
      <c r="M1732" s="522" t="inlineStr">
        <is>
          <t>SI2103R1078</t>
        </is>
      </c>
      <c r="N1732" s="522" t="inlineStr"/>
      <c r="O1732" s="521">
        <f>M1732=N1732</f>
        <v/>
      </c>
      <c r="P1732" s="521">
        <f>AND(MONTH(F1732)=MONTH(S1732), YEAR(F1732)=YEAR(S1732))</f>
        <v/>
      </c>
      <c r="Q1732" s="521">
        <f>U1732="L001-901905215"</f>
        <v/>
      </c>
      <c r="R1732" s="556">
        <f>G1732-W1732</f>
        <v/>
      </c>
      <c r="S1732" s="521" t="n"/>
      <c r="T1732" s="522" t="n"/>
      <c r="U1732" s="522" t="n"/>
      <c r="V1732" s="522" t="n"/>
      <c r="W1732" s="521" t="n"/>
    </row>
    <row r="1733">
      <c r="A1733" s="521" t="n">
        <v>1725</v>
      </c>
      <c r="B1733" s="522" t="inlineStr">
        <is>
          <t>Import Clearance Fee</t>
        </is>
      </c>
      <c r="C1733" s="522" t="inlineStr">
        <is>
          <t>អូរៀនថល ឡូជីស្ទីក &amp; ឌីស្ទ្រីប៊្យូសិន (ខេមបូឌា)</t>
        </is>
      </c>
      <c r="D1733" s="522" t="inlineStr">
        <is>
          <t>L001-103007369</t>
        </is>
      </c>
      <c r="E1733" s="521" t="inlineStr">
        <is>
          <t>SI2103-R1077</t>
        </is>
      </c>
      <c r="F1733" s="523" t="n">
        <v>44292</v>
      </c>
      <c r="G1733" s="556" t="n">
        <v>2655620</v>
      </c>
      <c r="I1733" s="521">
        <f>G1733</f>
        <v/>
      </c>
      <c r="K1733" s="521">
        <f>I1733-G1733</f>
        <v/>
      </c>
      <c r="M1733" s="522" t="inlineStr">
        <is>
          <t>SI2103R1077</t>
        </is>
      </c>
      <c r="N1733" s="522" t="inlineStr"/>
      <c r="O1733" s="521">
        <f>M1733=N1733</f>
        <v/>
      </c>
      <c r="P1733" s="521">
        <f>AND(MONTH(F1733)=MONTH(S1733), YEAR(F1733)=YEAR(S1733))</f>
        <v/>
      </c>
      <c r="Q1733" s="521">
        <f>U1733="L001-901905215"</f>
        <v/>
      </c>
      <c r="R1733" s="556">
        <f>G1733-W1733</f>
        <v/>
      </c>
      <c r="S1733" s="521" t="n"/>
      <c r="T1733" s="522" t="n"/>
      <c r="U1733" s="522" t="n"/>
      <c r="V1733" s="522" t="n"/>
      <c r="W1733" s="521" t="n"/>
    </row>
    <row r="1734">
      <c r="A1734" s="521" t="n">
        <v>1726</v>
      </c>
      <c r="B1734" s="522" t="inlineStr">
        <is>
          <t>Import Clearance Fee</t>
        </is>
      </c>
      <c r="C1734" s="522" t="inlineStr">
        <is>
          <t>អូរៀនថល ឡូជីស្ទីក &amp; ឌីស្ទ្រីប៊្យូសិន (ខេមបូឌា)</t>
        </is>
      </c>
      <c r="D1734" s="522" t="inlineStr">
        <is>
          <t>L001-103007369</t>
        </is>
      </c>
      <c r="E1734" s="521" t="inlineStr">
        <is>
          <t>SI2103-R1076</t>
        </is>
      </c>
      <c r="F1734" s="523" t="n">
        <v>44292</v>
      </c>
      <c r="G1734" s="556" t="n">
        <v>2422863</v>
      </c>
      <c r="I1734" s="521">
        <f>G1734</f>
        <v/>
      </c>
      <c r="K1734" s="521">
        <f>I1734-G1734</f>
        <v/>
      </c>
      <c r="M1734" s="522" t="inlineStr">
        <is>
          <t>SI2103R1076</t>
        </is>
      </c>
      <c r="N1734" s="522" t="inlineStr"/>
      <c r="O1734" s="521">
        <f>M1734=N1734</f>
        <v/>
      </c>
      <c r="P1734" s="521">
        <f>AND(MONTH(F1734)=MONTH(S1734), YEAR(F1734)=YEAR(S1734))</f>
        <v/>
      </c>
      <c r="Q1734" s="521">
        <f>U1734="L001-901905215"</f>
        <v/>
      </c>
      <c r="R1734" s="556">
        <f>G1734-W1734</f>
        <v/>
      </c>
      <c r="S1734" s="521" t="n"/>
      <c r="T1734" s="522" t="n"/>
      <c r="U1734" s="522" t="n"/>
      <c r="V1734" s="522" t="n"/>
      <c r="W1734" s="521" t="n"/>
    </row>
    <row r="1735">
      <c r="A1735" s="521" t="n">
        <v>1727</v>
      </c>
      <c r="B1735" s="522" t="inlineStr">
        <is>
          <t>Import Clearance Fee</t>
        </is>
      </c>
      <c r="C1735" s="522" t="inlineStr">
        <is>
          <t>អូរៀនថល ឡូជីស្ទីក &amp; ឌីស្ទ្រីប៊្យូសិន (ខេមបូឌា)</t>
        </is>
      </c>
      <c r="D1735" s="522" t="inlineStr">
        <is>
          <t>L001-103007369</t>
        </is>
      </c>
      <c r="E1735" s="521" t="inlineStr">
        <is>
          <t>SI2103-R1075</t>
        </is>
      </c>
      <c r="F1735" s="523" t="n">
        <v>44292</v>
      </c>
      <c r="G1735" s="556" t="n">
        <v>2655620</v>
      </c>
      <c r="I1735" s="521">
        <f>G1735</f>
        <v/>
      </c>
      <c r="K1735" s="521">
        <f>I1735-G1735</f>
        <v/>
      </c>
      <c r="M1735" s="522" t="inlineStr">
        <is>
          <t>SI2103R1075</t>
        </is>
      </c>
      <c r="N1735" s="522" t="inlineStr"/>
      <c r="O1735" s="521">
        <f>M1735=N1735</f>
        <v/>
      </c>
      <c r="P1735" s="521">
        <f>AND(MONTH(F1735)=MONTH(S1735), YEAR(F1735)=YEAR(S1735))</f>
        <v/>
      </c>
      <c r="Q1735" s="521">
        <f>U1735="L001-901905215"</f>
        <v/>
      </c>
      <c r="R1735" s="556">
        <f>G1735-W1735</f>
        <v/>
      </c>
      <c r="S1735" s="521" t="n"/>
      <c r="T1735" s="522" t="n"/>
      <c r="U1735" s="522" t="n"/>
      <c r="V1735" s="522" t="n"/>
      <c r="W1735" s="521" t="n"/>
    </row>
    <row r="1736">
      <c r="A1736" s="521" t="n">
        <v>1728</v>
      </c>
      <c r="B1736" s="522" t="inlineStr">
        <is>
          <t>Import Clearance Fee</t>
        </is>
      </c>
      <c r="C1736" s="522" t="inlineStr">
        <is>
          <t>អូរៀនថល ឡូជីស្ទីក &amp; ឌីស្ទ្រីប៊្យូសិន (ខេមបូឌា)</t>
        </is>
      </c>
      <c r="D1736" s="522" t="inlineStr">
        <is>
          <t>L001-103007369</t>
        </is>
      </c>
      <c r="E1736" s="521" t="inlineStr">
        <is>
          <t>SI2103-R1074</t>
        </is>
      </c>
      <c r="F1736" s="523" t="n">
        <v>44292</v>
      </c>
      <c r="G1736" s="556" t="n">
        <v>2655620</v>
      </c>
      <c r="I1736" s="521">
        <f>G1736</f>
        <v/>
      </c>
      <c r="K1736" s="521">
        <f>I1736-G1736</f>
        <v/>
      </c>
      <c r="M1736" s="522" t="inlineStr">
        <is>
          <t>SI2103R1074</t>
        </is>
      </c>
      <c r="N1736" s="522" t="inlineStr"/>
      <c r="O1736" s="521">
        <f>M1736=N1736</f>
        <v/>
      </c>
      <c r="P1736" s="521">
        <f>AND(MONTH(F1736)=MONTH(S1736), YEAR(F1736)=YEAR(S1736))</f>
        <v/>
      </c>
      <c r="Q1736" s="521">
        <f>U1736="L001-901905215"</f>
        <v/>
      </c>
      <c r="R1736" s="556">
        <f>G1736-W1736</f>
        <v/>
      </c>
      <c r="S1736" s="521" t="n"/>
      <c r="T1736" s="522" t="n"/>
      <c r="U1736" s="522" t="n"/>
      <c r="V1736" s="522" t="n"/>
      <c r="W1736" s="521" t="n"/>
    </row>
    <row r="1737">
      <c r="A1737" s="521" t="n">
        <v>1729</v>
      </c>
      <c r="B1737" s="522" t="inlineStr">
        <is>
          <t>Import Clearance Fee</t>
        </is>
      </c>
      <c r="C1737" s="522" t="inlineStr">
        <is>
          <t>អូរៀនថល ឡូជីស្ទីក &amp; ឌីស្ទ្រីប៊្យូសិន (ខេមបូឌា)</t>
        </is>
      </c>
      <c r="D1737" s="522" t="inlineStr">
        <is>
          <t>L001-103007369</t>
        </is>
      </c>
      <c r="E1737" s="521" t="inlineStr">
        <is>
          <t>SI2103-R1073</t>
        </is>
      </c>
      <c r="F1737" s="523" t="n">
        <v>44292</v>
      </c>
      <c r="G1737" s="556" t="n">
        <v>2422863</v>
      </c>
      <c r="I1737" s="521">
        <f>G1737</f>
        <v/>
      </c>
      <c r="K1737" s="521">
        <f>I1737-G1737</f>
        <v/>
      </c>
      <c r="M1737" s="522" t="inlineStr">
        <is>
          <t>SI2103R1073</t>
        </is>
      </c>
      <c r="N1737" s="522" t="inlineStr"/>
      <c r="O1737" s="521">
        <f>M1737=N1737</f>
        <v/>
      </c>
      <c r="P1737" s="521">
        <f>AND(MONTH(F1737)=MONTH(S1737), YEAR(F1737)=YEAR(S1737))</f>
        <v/>
      </c>
      <c r="Q1737" s="521">
        <f>U1737="L001-901905215"</f>
        <v/>
      </c>
      <c r="R1737" s="556">
        <f>G1737-W1737</f>
        <v/>
      </c>
      <c r="S1737" s="521" t="n"/>
      <c r="T1737" s="522" t="n"/>
      <c r="U1737" s="522" t="n"/>
      <c r="V1737" s="522" t="n"/>
      <c r="W1737" s="521" t="n"/>
    </row>
    <row r="1738">
      <c r="A1738" s="521" t="n">
        <v>1730</v>
      </c>
      <c r="B1738" s="522" t="inlineStr">
        <is>
          <t>Import Clearance Fee</t>
        </is>
      </c>
      <c r="C1738" s="522" t="inlineStr">
        <is>
          <t>អូរៀនថល ឡូជីស្ទីក &amp; ឌីស្ទ្រីប៊្យូសិន (ខេមបូឌា)</t>
        </is>
      </c>
      <c r="D1738" s="522" t="inlineStr">
        <is>
          <t>L001-103007369</t>
        </is>
      </c>
      <c r="E1738" s="521" t="inlineStr">
        <is>
          <t>SI2103-R1072</t>
        </is>
      </c>
      <c r="F1738" s="523" t="n">
        <v>44292</v>
      </c>
      <c r="G1738" s="556" t="n">
        <v>2422863</v>
      </c>
      <c r="I1738" s="521">
        <f>G1738</f>
        <v/>
      </c>
      <c r="K1738" s="521">
        <f>I1738-G1738</f>
        <v/>
      </c>
      <c r="M1738" s="522" t="inlineStr">
        <is>
          <t>SI2103R1072</t>
        </is>
      </c>
      <c r="N1738" s="522" t="inlineStr"/>
      <c r="O1738" s="521">
        <f>M1738=N1738</f>
        <v/>
      </c>
      <c r="P1738" s="521">
        <f>AND(MONTH(F1738)=MONTH(S1738), YEAR(F1738)=YEAR(S1738))</f>
        <v/>
      </c>
      <c r="Q1738" s="521">
        <f>U1738="L001-901905215"</f>
        <v/>
      </c>
      <c r="R1738" s="556">
        <f>G1738-W1738</f>
        <v/>
      </c>
      <c r="S1738" s="521" t="n"/>
      <c r="T1738" s="522" t="n"/>
      <c r="U1738" s="522" t="n"/>
      <c r="V1738" s="522" t="n"/>
      <c r="W1738" s="521" t="n"/>
    </row>
    <row r="1739">
      <c r="A1739" s="521" t="n">
        <v>1731</v>
      </c>
      <c r="B1739" s="522" t="inlineStr">
        <is>
          <t>Service Fee</t>
        </is>
      </c>
      <c r="C1739" s="522" t="inlineStr">
        <is>
          <t>ប្យួរ៉ូ វេរីតាស (ខេមបូឌា) លីមីធីត</t>
        </is>
      </c>
      <c r="D1739" s="522" t="inlineStr">
        <is>
          <t>L001-107024462</t>
        </is>
      </c>
      <c r="E1739" s="521" t="inlineStr">
        <is>
          <t>59010069</t>
        </is>
      </c>
      <c r="F1739" s="523" t="n">
        <v>44299</v>
      </c>
      <c r="G1739" s="556" t="n">
        <v>100390</v>
      </c>
      <c r="I1739" s="521">
        <f>G1739</f>
        <v/>
      </c>
      <c r="K1739" s="521">
        <f>I1739-G1739</f>
        <v/>
      </c>
      <c r="M1739" s="522" t="inlineStr">
        <is>
          <t>59010069</t>
        </is>
      </c>
      <c r="N1739" s="522" t="inlineStr">
        <is>
          <t>59010069</t>
        </is>
      </c>
      <c r="O1739" s="521">
        <f>M1739=N1739</f>
        <v/>
      </c>
      <c r="P1739" s="521">
        <f>AND(MONTH(F1739)=MONTH(S1739), YEAR(F1739)=YEAR(S1739))</f>
        <v/>
      </c>
      <c r="Q1739" s="521">
        <f>U1739="L001-901905215"</f>
        <v/>
      </c>
      <c r="R1739" s="556">
        <f>G1739-W1739</f>
        <v/>
      </c>
      <c r="S1739" s="523" t="n">
        <v>44299</v>
      </c>
      <c r="T1739" s="522" t="inlineStr">
        <is>
          <t>59010069</t>
        </is>
      </c>
      <c r="U1739" s="522" t="inlineStr">
        <is>
          <t>L001-901905215</t>
        </is>
      </c>
      <c r="V1739" s="522" t="inlineStr">
        <is>
          <t>វីអ៊ីស៊ិន (ខេមបូឌា) អ៊ិនដាសស្ទ្រី ឯ.ក</t>
        </is>
      </c>
      <c r="W1739" s="556" t="n">
        <v>100390</v>
      </c>
    </row>
    <row r="1740">
      <c r="A1740" s="521" t="n">
        <v>1732</v>
      </c>
      <c r="B1740" s="522" t="inlineStr">
        <is>
          <t>Service Fee</t>
        </is>
      </c>
      <c r="C1740" s="522" t="inlineStr">
        <is>
          <t>ប្យួរ៉ូ វេរីតាស (ខេមបូឌា) លីមីធីត</t>
        </is>
      </c>
      <c r="D1740" s="522" t="inlineStr">
        <is>
          <t>L001-107024462</t>
        </is>
      </c>
      <c r="E1740" s="521" t="inlineStr">
        <is>
          <t>59010053</t>
        </is>
      </c>
      <c r="F1740" s="523" t="n">
        <v>44298</v>
      </c>
      <c r="G1740" s="556" t="n">
        <v>54832</v>
      </c>
      <c r="I1740" s="521">
        <f>G1740</f>
        <v/>
      </c>
      <c r="K1740" s="521">
        <f>I1740-G1740</f>
        <v/>
      </c>
      <c r="M1740" s="522" t="inlineStr">
        <is>
          <t>59010053</t>
        </is>
      </c>
      <c r="N1740" s="522" t="inlineStr">
        <is>
          <t>59010053</t>
        </is>
      </c>
      <c r="O1740" s="521">
        <f>M1740=N1740</f>
        <v/>
      </c>
      <c r="P1740" s="521">
        <f>AND(MONTH(F1740)=MONTH(S1740), YEAR(F1740)=YEAR(S1740))</f>
        <v/>
      </c>
      <c r="Q1740" s="521">
        <f>U1740="L001-901905215"</f>
        <v/>
      </c>
      <c r="R1740" s="556">
        <f>G1740-W1740</f>
        <v/>
      </c>
      <c r="S1740" s="523" t="n">
        <v>44298</v>
      </c>
      <c r="T1740" s="522" t="inlineStr">
        <is>
          <t>59010053</t>
        </is>
      </c>
      <c r="U1740" s="522" t="inlineStr">
        <is>
          <t>L001-901905215</t>
        </is>
      </c>
      <c r="V1740" s="522" t="inlineStr">
        <is>
          <t>វីអ៊ីស៊ិន (ខេមបូឌា) អ៊ិនដាសស្ទ្រី ឯ.ក</t>
        </is>
      </c>
      <c r="W1740" s="556" t="n">
        <v>54832</v>
      </c>
    </row>
    <row r="1741">
      <c r="A1741" s="521" t="n">
        <v>1733</v>
      </c>
      <c r="B1741" s="522" t="inlineStr">
        <is>
          <t>Service Fee</t>
        </is>
      </c>
      <c r="C1741" s="522" t="inlineStr">
        <is>
          <t>ប្យួរ៉ូ វេរីតាស (ខេមបូឌា) លីមីធីត</t>
        </is>
      </c>
      <c r="D1741" s="522" t="inlineStr">
        <is>
          <t>L001-107024462</t>
        </is>
      </c>
      <c r="E1741" s="521" t="inlineStr">
        <is>
          <t>59010057</t>
        </is>
      </c>
      <c r="F1741" s="523" t="n">
        <v>44298</v>
      </c>
      <c r="G1741" s="556" t="n">
        <v>54832</v>
      </c>
      <c r="I1741" s="521">
        <f>G1741</f>
        <v/>
      </c>
      <c r="K1741" s="521">
        <f>I1741-G1741</f>
        <v/>
      </c>
      <c r="M1741" s="522" t="inlineStr">
        <is>
          <t>59010057</t>
        </is>
      </c>
      <c r="N1741" s="522" t="inlineStr">
        <is>
          <t>59010057</t>
        </is>
      </c>
      <c r="O1741" s="521">
        <f>M1741=N1741</f>
        <v/>
      </c>
      <c r="P1741" s="521">
        <f>AND(MONTH(F1741)=MONTH(S1741), YEAR(F1741)=YEAR(S1741))</f>
        <v/>
      </c>
      <c r="Q1741" s="521">
        <f>U1741="L001-901905215"</f>
        <v/>
      </c>
      <c r="R1741" s="556">
        <f>G1741-W1741</f>
        <v/>
      </c>
      <c r="S1741" s="523" t="n">
        <v>44298</v>
      </c>
      <c r="T1741" s="522" t="inlineStr">
        <is>
          <t>59010057</t>
        </is>
      </c>
      <c r="U1741" s="522" t="inlineStr">
        <is>
          <t>L001-901905215</t>
        </is>
      </c>
      <c r="V1741" s="522" t="inlineStr">
        <is>
          <t>វីអ៊ីស៊ិន (ខេមបូឌា) អ៊ិនដាសស្ទ្រី ឯ.ក</t>
        </is>
      </c>
      <c r="W1741" s="556" t="n">
        <v>54832</v>
      </c>
    </row>
    <row r="1742">
      <c r="A1742" s="521" t="n">
        <v>1734</v>
      </c>
      <c r="B1742" s="522" t="inlineStr">
        <is>
          <t>Service Fee</t>
        </is>
      </c>
      <c r="C1742" s="522" t="inlineStr">
        <is>
          <t>ប្យួរ៉ូ វេរីតាស (ខេមបូឌា) លីមីធីត</t>
        </is>
      </c>
      <c r="D1742" s="522" t="inlineStr">
        <is>
          <t>L001-107024462</t>
        </is>
      </c>
      <c r="E1742" s="521" t="inlineStr">
        <is>
          <t>59010056</t>
        </is>
      </c>
      <c r="F1742" s="523" t="n">
        <v>44298</v>
      </c>
      <c r="G1742" s="556" t="n">
        <v>285932</v>
      </c>
      <c r="I1742" s="521">
        <f>G1742</f>
        <v/>
      </c>
      <c r="K1742" s="521">
        <f>I1742-G1742</f>
        <v/>
      </c>
      <c r="M1742" s="522" t="inlineStr">
        <is>
          <t>59010056</t>
        </is>
      </c>
      <c r="N1742" s="522" t="inlineStr">
        <is>
          <t>59010056</t>
        </is>
      </c>
      <c r="O1742" s="521">
        <f>M1742=N1742</f>
        <v/>
      </c>
      <c r="P1742" s="521">
        <f>AND(MONTH(F1742)=MONTH(S1742), YEAR(F1742)=YEAR(S1742))</f>
        <v/>
      </c>
      <c r="Q1742" s="521">
        <f>U1742="L001-901905215"</f>
        <v/>
      </c>
      <c r="R1742" s="556">
        <f>G1742-W1742</f>
        <v/>
      </c>
      <c r="S1742" s="523" t="n">
        <v>44298</v>
      </c>
      <c r="T1742" s="522" t="inlineStr">
        <is>
          <t>59010056</t>
        </is>
      </c>
      <c r="U1742" s="522" t="inlineStr">
        <is>
          <t>L001-901905215</t>
        </is>
      </c>
      <c r="V1742" s="522" t="inlineStr">
        <is>
          <t>វីអ៊ីស៊ិន (ខេមបូឌា) អ៊ិនដាសស្ទ្រី ឯ.ក</t>
        </is>
      </c>
      <c r="W1742" s="556" t="n">
        <v>285932</v>
      </c>
    </row>
    <row r="1743">
      <c r="A1743" s="521" t="n">
        <v>1735</v>
      </c>
      <c r="B1743" s="522" t="inlineStr">
        <is>
          <t>Service Fee</t>
        </is>
      </c>
      <c r="C1743" s="522" t="inlineStr">
        <is>
          <t>ប្យួរ៉ូ វេរីតាស (ខេមបូឌា) លីមីធីត</t>
        </is>
      </c>
      <c r="D1743" s="522" t="inlineStr">
        <is>
          <t>L001-107024462</t>
        </is>
      </c>
      <c r="E1743" s="521" t="inlineStr">
        <is>
          <t>59010047</t>
        </is>
      </c>
      <c r="F1743" s="523" t="n">
        <v>44294</v>
      </c>
      <c r="G1743" s="556" t="n">
        <v>54805</v>
      </c>
      <c r="I1743" s="521">
        <f>G1743</f>
        <v/>
      </c>
      <c r="K1743" s="521">
        <f>I1743-G1743</f>
        <v/>
      </c>
      <c r="M1743" s="522" t="inlineStr">
        <is>
          <t>59010047</t>
        </is>
      </c>
      <c r="N1743" s="522" t="inlineStr">
        <is>
          <t>59010047</t>
        </is>
      </c>
      <c r="O1743" s="521">
        <f>M1743=N1743</f>
        <v/>
      </c>
      <c r="P1743" s="521">
        <f>AND(MONTH(F1743)=MONTH(S1743), YEAR(F1743)=YEAR(S1743))</f>
        <v/>
      </c>
      <c r="Q1743" s="521">
        <f>U1743="L001-901905215"</f>
        <v/>
      </c>
      <c r="R1743" s="556">
        <f>G1743-W1743</f>
        <v/>
      </c>
      <c r="S1743" s="523" t="n">
        <v>44294</v>
      </c>
      <c r="T1743" s="522" t="inlineStr">
        <is>
          <t>59010047</t>
        </is>
      </c>
      <c r="U1743" s="522" t="inlineStr">
        <is>
          <t>L001-901905215</t>
        </is>
      </c>
      <c r="V1743" s="522" t="inlineStr">
        <is>
          <t>វីអ៊ីស៊ិន (ខេមបូឌា) អ៊ិនដាសស្ទ្រី ឯ.ក</t>
        </is>
      </c>
      <c r="W1743" s="556" t="n">
        <v>54805</v>
      </c>
    </row>
    <row r="1744">
      <c r="A1744" s="521" t="n">
        <v>1736</v>
      </c>
      <c r="B1744" s="522" t="inlineStr">
        <is>
          <t>Service Fee</t>
        </is>
      </c>
      <c r="C1744" s="522" t="inlineStr">
        <is>
          <t>ប្យួរ៉ូ វេរីតាស (ខេមបូឌា) លីមីធីត</t>
        </is>
      </c>
      <c r="D1744" s="522" t="inlineStr">
        <is>
          <t>L001-107024462</t>
        </is>
      </c>
      <c r="E1744" s="521" t="inlineStr">
        <is>
          <t>59010026</t>
        </is>
      </c>
      <c r="F1744" s="523" t="n">
        <v>44291</v>
      </c>
      <c r="G1744" s="556" t="n">
        <v>120541</v>
      </c>
      <c r="I1744" s="521">
        <f>G1744</f>
        <v/>
      </c>
      <c r="K1744" s="521">
        <f>I1744-G1744</f>
        <v/>
      </c>
      <c r="M1744" s="522" t="inlineStr">
        <is>
          <t>59010026</t>
        </is>
      </c>
      <c r="N1744" s="522" t="inlineStr">
        <is>
          <t>59010026</t>
        </is>
      </c>
      <c r="O1744" s="521">
        <f>M1744=N1744</f>
        <v/>
      </c>
      <c r="P1744" s="521">
        <f>AND(MONTH(F1744)=MONTH(S1744), YEAR(F1744)=YEAR(S1744))</f>
        <v/>
      </c>
      <c r="Q1744" s="521">
        <f>U1744="L001-901905215"</f>
        <v/>
      </c>
      <c r="R1744" s="556">
        <f>G1744-W1744</f>
        <v/>
      </c>
      <c r="S1744" s="523" t="n">
        <v>44291</v>
      </c>
      <c r="T1744" s="522" t="inlineStr">
        <is>
          <t>59010026</t>
        </is>
      </c>
      <c r="U1744" s="522" t="inlineStr">
        <is>
          <t>L001-901905215</t>
        </is>
      </c>
      <c r="V1744" s="522" t="inlineStr">
        <is>
          <t>វីអ៊ីស៊ិន (ខេមបូឌា) អ៊ិនដាសស្ទ្រី ឯ.ក</t>
        </is>
      </c>
      <c r="W1744" s="556" t="n">
        <v>120541</v>
      </c>
    </row>
    <row r="1745">
      <c r="A1745" s="521" t="n">
        <v>1737</v>
      </c>
      <c r="B1745" s="522" t="inlineStr">
        <is>
          <t>Service Fee</t>
        </is>
      </c>
      <c r="C1745" s="522" t="inlineStr">
        <is>
          <t>ប្យួរ៉ូ វេរីតាស (ខេមបូឌា) លីមីធីត</t>
        </is>
      </c>
      <c r="D1745" s="522" t="inlineStr">
        <is>
          <t>L001-107024462</t>
        </is>
      </c>
      <c r="E1745" s="521" t="inlineStr">
        <is>
          <t>59010020</t>
        </is>
      </c>
      <c r="F1745" s="523" t="n">
        <v>44287</v>
      </c>
      <c r="G1745" s="556" t="n">
        <v>109633</v>
      </c>
      <c r="I1745" s="521">
        <f>G1745</f>
        <v/>
      </c>
      <c r="K1745" s="521">
        <f>I1745-G1745</f>
        <v/>
      </c>
      <c r="M1745" s="522" t="inlineStr">
        <is>
          <t>59010020</t>
        </is>
      </c>
      <c r="N1745" s="522" t="inlineStr">
        <is>
          <t>59010020</t>
        </is>
      </c>
      <c r="O1745" s="521">
        <f>M1745=N1745</f>
        <v/>
      </c>
      <c r="P1745" s="521">
        <f>AND(MONTH(F1745)=MONTH(S1745), YEAR(F1745)=YEAR(S1745))</f>
        <v/>
      </c>
      <c r="Q1745" s="521">
        <f>U1745="L001-901905215"</f>
        <v/>
      </c>
      <c r="R1745" s="556">
        <f>G1745-W1745</f>
        <v/>
      </c>
      <c r="S1745" s="523" t="n">
        <v>44289</v>
      </c>
      <c r="T1745" s="522" t="inlineStr">
        <is>
          <t>59010020</t>
        </is>
      </c>
      <c r="U1745" s="522" t="inlineStr">
        <is>
          <t>L001-901905215</t>
        </is>
      </c>
      <c r="V1745" s="522" t="inlineStr">
        <is>
          <t>វីអ៊ីស៊ិន (ខេមបូឌា) អ៊ិនដាសស្ទ្រី ឯ.ក</t>
        </is>
      </c>
      <c r="W1745" s="556" t="n">
        <v>109633</v>
      </c>
    </row>
    <row r="1746">
      <c r="A1746" s="521" t="n">
        <v>1738</v>
      </c>
      <c r="B1746" s="522" t="inlineStr">
        <is>
          <t>Service Fee</t>
        </is>
      </c>
      <c r="C1746" s="522" t="inlineStr">
        <is>
          <t>ប្យួរ៉ូ វេរីតាស (ខេមបូឌា) លីមីធីត</t>
        </is>
      </c>
      <c r="D1746" s="522" t="inlineStr">
        <is>
          <t>L001-107024462</t>
        </is>
      </c>
      <c r="E1746" s="521" t="inlineStr">
        <is>
          <t>59010019</t>
        </is>
      </c>
      <c r="F1746" s="523" t="n">
        <v>44289</v>
      </c>
      <c r="G1746" s="556" t="n">
        <v>109633</v>
      </c>
      <c r="I1746" s="521">
        <f>G1746</f>
        <v/>
      </c>
      <c r="K1746" s="521">
        <f>I1746-G1746</f>
        <v/>
      </c>
      <c r="M1746" s="522" t="inlineStr">
        <is>
          <t>59010019</t>
        </is>
      </c>
      <c r="N1746" s="522" t="inlineStr">
        <is>
          <t>59010019</t>
        </is>
      </c>
      <c r="O1746" s="521">
        <f>M1746=N1746</f>
        <v/>
      </c>
      <c r="P1746" s="521">
        <f>AND(MONTH(F1746)=MONTH(S1746), YEAR(F1746)=YEAR(S1746))</f>
        <v/>
      </c>
      <c r="Q1746" s="521">
        <f>U1746="L001-901905215"</f>
        <v/>
      </c>
      <c r="R1746" s="556">
        <f>G1746-W1746</f>
        <v/>
      </c>
      <c r="S1746" s="523" t="n">
        <v>44289</v>
      </c>
      <c r="T1746" s="522" t="inlineStr">
        <is>
          <t>59010019</t>
        </is>
      </c>
      <c r="U1746" s="522" t="inlineStr">
        <is>
          <t>L001-901905215</t>
        </is>
      </c>
      <c r="V1746" s="522" t="inlineStr">
        <is>
          <t>វីអ៊ីស៊ិន (ខេមបូឌា) អ៊ិនដាសស្ទ្រី ឯ.ក</t>
        </is>
      </c>
      <c r="W1746" s="556" t="n">
        <v>109633</v>
      </c>
    </row>
    <row r="1747">
      <c r="A1747" s="521" t="n">
        <v>1739</v>
      </c>
      <c r="B1747" s="522" t="inlineStr">
        <is>
          <t>Detention Fee</t>
        </is>
      </c>
      <c r="C1747" s="522" t="inlineStr">
        <is>
          <t>អ៊ិចស្ពែឌីធ័រ ខេមបូឌា អិលធីឌី</t>
        </is>
      </c>
      <c r="D1747" s="522" t="inlineStr">
        <is>
          <t>L001-100045898</t>
        </is>
      </c>
      <c r="E1747" s="521" t="inlineStr">
        <is>
          <t>TI-0198307</t>
        </is>
      </c>
      <c r="F1747" s="523" t="n">
        <v>44308</v>
      </c>
      <c r="G1747" s="556" t="n">
        <v>19430</v>
      </c>
      <c r="I1747" s="521">
        <f>G1747</f>
        <v/>
      </c>
      <c r="K1747" s="521">
        <f>I1747-G1747</f>
        <v/>
      </c>
      <c r="M1747" s="522" t="inlineStr">
        <is>
          <t>TI0198307</t>
        </is>
      </c>
      <c r="N1747" s="522" t="inlineStr">
        <is>
          <t>TI0198307</t>
        </is>
      </c>
      <c r="O1747" s="521">
        <f>M1747=N1747</f>
        <v/>
      </c>
      <c r="P1747" s="521">
        <f>AND(MONTH(F1747)=MONTH(S1747), YEAR(F1747)=YEAR(S1747))</f>
        <v/>
      </c>
      <c r="Q1747" s="521">
        <f>U1747="L001-901905215"</f>
        <v/>
      </c>
      <c r="R1747" s="556">
        <f>G1747-W1747</f>
        <v/>
      </c>
      <c r="S1747" s="523" t="n">
        <v>44308</v>
      </c>
      <c r="T1747" s="522" t="inlineStr">
        <is>
          <t>TI-0198307</t>
        </is>
      </c>
      <c r="U1747" s="522" t="inlineStr">
        <is>
          <t>L001-901905215</t>
        </is>
      </c>
      <c r="V1747" s="522" t="inlineStr">
        <is>
          <t>វីអ៊ីស៊ិន (ខេមបូឌា) អ៊ិនដាសស្ទ្រី ឯ.ក</t>
        </is>
      </c>
      <c r="W1747" s="556" t="n">
        <v>19430</v>
      </c>
    </row>
    <row r="1748">
      <c r="A1748" s="521" t="n">
        <v>1740</v>
      </c>
      <c r="B1748" s="522" t="inlineStr">
        <is>
          <t>Detention Fee</t>
        </is>
      </c>
      <c r="C1748" s="522" t="inlineStr">
        <is>
          <t>អ៊ិចស្ពែឌីធ័រ ខេមបូឌា អិលធីឌី</t>
        </is>
      </c>
      <c r="D1748" s="522" t="inlineStr">
        <is>
          <t>L001-100045898</t>
        </is>
      </c>
      <c r="E1748" s="521" t="inlineStr">
        <is>
          <t>TI-0198308</t>
        </is>
      </c>
      <c r="F1748" s="523" t="n">
        <v>44308</v>
      </c>
      <c r="G1748" s="556" t="n">
        <v>19430</v>
      </c>
      <c r="I1748" s="521">
        <f>G1748</f>
        <v/>
      </c>
      <c r="K1748" s="521">
        <f>I1748-G1748</f>
        <v/>
      </c>
      <c r="M1748" s="522" t="inlineStr">
        <is>
          <t>TI0198308</t>
        </is>
      </c>
      <c r="N1748" s="522" t="inlineStr">
        <is>
          <t>TI0198308</t>
        </is>
      </c>
      <c r="O1748" s="521">
        <f>M1748=N1748</f>
        <v/>
      </c>
      <c r="P1748" s="521">
        <f>AND(MONTH(F1748)=MONTH(S1748), YEAR(F1748)=YEAR(S1748))</f>
        <v/>
      </c>
      <c r="Q1748" s="521">
        <f>U1748="L001-901905215"</f>
        <v/>
      </c>
      <c r="R1748" s="556">
        <f>G1748-W1748</f>
        <v/>
      </c>
      <c r="S1748" s="523" t="n">
        <v>44308</v>
      </c>
      <c r="T1748" s="522" t="inlineStr">
        <is>
          <t>TI-0198308</t>
        </is>
      </c>
      <c r="U1748" s="522" t="inlineStr">
        <is>
          <t>L001-901905215</t>
        </is>
      </c>
      <c r="V1748" s="522" t="inlineStr">
        <is>
          <t>វីអ៊ីស៊ិន (ខេមបូឌា) អ៊ិនដាសស្ទ្រី ឯ.ក</t>
        </is>
      </c>
      <c r="W1748" s="556" t="n">
        <v>19430</v>
      </c>
    </row>
    <row r="1749">
      <c r="A1749" s="521" t="n">
        <v>1741</v>
      </c>
      <c r="B1749" s="522" t="inlineStr">
        <is>
          <t>Detention Fee</t>
        </is>
      </c>
      <c r="C1749" s="522" t="inlineStr">
        <is>
          <t>អ៊ិចស្ពែឌីធ័រ ខេមបូឌា អិលធីឌី</t>
        </is>
      </c>
      <c r="D1749" s="522" t="inlineStr">
        <is>
          <t>L001-100045898</t>
        </is>
      </c>
      <c r="E1749" s="521" t="inlineStr">
        <is>
          <t>TI-0198309</t>
        </is>
      </c>
      <c r="F1749" s="523" t="n">
        <v>44308</v>
      </c>
      <c r="G1749" s="556" t="n">
        <v>86222</v>
      </c>
      <c r="I1749" s="521">
        <f>G1749</f>
        <v/>
      </c>
      <c r="K1749" s="521">
        <f>I1749-G1749</f>
        <v/>
      </c>
      <c r="M1749" s="522" t="inlineStr">
        <is>
          <t>TI0198309</t>
        </is>
      </c>
      <c r="N1749" s="522" t="inlineStr">
        <is>
          <t>TI0198309</t>
        </is>
      </c>
      <c r="O1749" s="521">
        <f>M1749=N1749</f>
        <v/>
      </c>
      <c r="P1749" s="521">
        <f>AND(MONTH(F1749)=MONTH(S1749), YEAR(F1749)=YEAR(S1749))</f>
        <v/>
      </c>
      <c r="Q1749" s="521">
        <f>U1749="L001-901905215"</f>
        <v/>
      </c>
      <c r="R1749" s="556">
        <f>G1749-W1749</f>
        <v/>
      </c>
      <c r="S1749" s="523" t="n">
        <v>44308</v>
      </c>
      <c r="T1749" s="522" t="inlineStr">
        <is>
          <t>TI-0198309</t>
        </is>
      </c>
      <c r="U1749" s="522" t="inlineStr">
        <is>
          <t>L001-901905215</t>
        </is>
      </c>
      <c r="V1749" s="522" t="inlineStr">
        <is>
          <t>វីអ៊ីស៊ិន (ខេមបូឌា) អ៊ិនដាសស្ទ្រី ឯ.ក</t>
        </is>
      </c>
      <c r="W1749" s="556" t="n">
        <v>86222</v>
      </c>
    </row>
    <row r="1750">
      <c r="A1750" s="521" t="n">
        <v>1742</v>
      </c>
      <c r="B1750" s="522" t="inlineStr">
        <is>
          <t>Detention Fee</t>
        </is>
      </c>
      <c r="C1750" s="522" t="inlineStr">
        <is>
          <t>អ៊ិចស្ពែឌីធ័រ ខេមបូឌា អិលធីឌី</t>
        </is>
      </c>
      <c r="D1750" s="522" t="inlineStr">
        <is>
          <t>L001-100045898</t>
        </is>
      </c>
      <c r="E1750" s="521" t="inlineStr">
        <is>
          <t>TI-0198310</t>
        </is>
      </c>
      <c r="F1750" s="523" t="n">
        <v>44308</v>
      </c>
      <c r="G1750" s="556" t="n">
        <v>19430</v>
      </c>
      <c r="I1750" s="521">
        <f>G1750</f>
        <v/>
      </c>
      <c r="K1750" s="521">
        <f>I1750-G1750</f>
        <v/>
      </c>
      <c r="M1750" s="522" t="inlineStr">
        <is>
          <t>TI0198310</t>
        </is>
      </c>
      <c r="N1750" s="522" t="inlineStr">
        <is>
          <t>TI0198310</t>
        </is>
      </c>
      <c r="O1750" s="521">
        <f>M1750=N1750</f>
        <v/>
      </c>
      <c r="P1750" s="521">
        <f>AND(MONTH(F1750)=MONTH(S1750), YEAR(F1750)=YEAR(S1750))</f>
        <v/>
      </c>
      <c r="Q1750" s="521">
        <f>U1750="L001-901905215"</f>
        <v/>
      </c>
      <c r="R1750" s="556">
        <f>G1750-W1750</f>
        <v/>
      </c>
      <c r="S1750" s="523" t="n">
        <v>44308</v>
      </c>
      <c r="T1750" s="522" t="inlineStr">
        <is>
          <t>TI-0198310</t>
        </is>
      </c>
      <c r="U1750" s="522" t="inlineStr">
        <is>
          <t>L001-901905215</t>
        </is>
      </c>
      <c r="V1750" s="522" t="inlineStr">
        <is>
          <t>វីអ៊ីស៊ិន (ខេមបូឌា) អ៊ិនដាសស្ទ្រី ឯ.ក</t>
        </is>
      </c>
      <c r="W1750" s="556" t="n">
        <v>19430</v>
      </c>
    </row>
    <row r="1751">
      <c r="A1751" s="521" t="n">
        <v>1743</v>
      </c>
      <c r="B1751" s="522" t="inlineStr">
        <is>
          <t>Trucking Fee</t>
        </is>
      </c>
      <c r="C1751" s="522" t="inlineStr">
        <is>
          <t>អ៊ិចស្ពែឌីធ័រ ខេមបូឌា អិលធីឌី</t>
        </is>
      </c>
      <c r="D1751" s="522" t="inlineStr">
        <is>
          <t>L001-100045898</t>
        </is>
      </c>
      <c r="E1751" s="521" t="inlineStr">
        <is>
          <t>TI-0198270</t>
        </is>
      </c>
      <c r="F1751" s="523" t="n">
        <v>44307</v>
      </c>
      <c r="G1751" s="556" t="n">
        <v>259786</v>
      </c>
      <c r="I1751" s="521">
        <f>G1751</f>
        <v/>
      </c>
      <c r="K1751" s="521">
        <f>I1751-G1751</f>
        <v/>
      </c>
      <c r="M1751" s="522" t="inlineStr">
        <is>
          <t>TI0198270</t>
        </is>
      </c>
      <c r="N1751" s="522" t="inlineStr">
        <is>
          <t>TI0198270</t>
        </is>
      </c>
      <c r="O1751" s="521">
        <f>M1751=N1751</f>
        <v/>
      </c>
      <c r="P1751" s="521">
        <f>AND(MONTH(F1751)=MONTH(S1751), YEAR(F1751)=YEAR(S1751))</f>
        <v/>
      </c>
      <c r="Q1751" s="521">
        <f>U1751="L001-901905215"</f>
        <v/>
      </c>
      <c r="R1751" s="556">
        <f>G1751-W1751</f>
        <v/>
      </c>
      <c r="S1751" s="523" t="n">
        <v>44307</v>
      </c>
      <c r="T1751" s="522" t="inlineStr">
        <is>
          <t>TI-0198270</t>
        </is>
      </c>
      <c r="U1751" s="522" t="inlineStr">
        <is>
          <t>L001-901905215</t>
        </is>
      </c>
      <c r="V1751" s="522" t="inlineStr">
        <is>
          <t>វីអ៊ីស៊ិន (ខេមបូឌា) អ៊ិនដាសស្ទ្រី ឯ.ក</t>
        </is>
      </c>
      <c r="W1751" s="556" t="n">
        <v>259801</v>
      </c>
    </row>
    <row r="1752">
      <c r="A1752" s="521" t="n">
        <v>1744</v>
      </c>
      <c r="B1752" s="522" t="inlineStr">
        <is>
          <t>Trucking Fee</t>
        </is>
      </c>
      <c r="C1752" s="522" t="inlineStr">
        <is>
          <t>អ៊ិចស្ពែឌីធ័រ ខេមបូឌា អិលធីឌី</t>
        </is>
      </c>
      <c r="D1752" s="522" t="inlineStr">
        <is>
          <t>L001-100045898</t>
        </is>
      </c>
      <c r="E1752" s="521" t="inlineStr">
        <is>
          <t>TI-0198119</t>
        </is>
      </c>
      <c r="F1752" s="523" t="n">
        <v>44306</v>
      </c>
      <c r="G1752" s="556" t="n">
        <v>200262</v>
      </c>
      <c r="I1752" s="521">
        <f>G1752</f>
        <v/>
      </c>
      <c r="K1752" s="521">
        <f>I1752-G1752</f>
        <v/>
      </c>
      <c r="M1752" s="522" t="inlineStr">
        <is>
          <t>TI0198119</t>
        </is>
      </c>
      <c r="N1752" s="522" t="inlineStr">
        <is>
          <t>TI0198119</t>
        </is>
      </c>
      <c r="O1752" s="521">
        <f>M1752=N1752</f>
        <v/>
      </c>
      <c r="P1752" s="521">
        <f>AND(MONTH(F1752)=MONTH(S1752), YEAR(F1752)=YEAR(S1752))</f>
        <v/>
      </c>
      <c r="Q1752" s="521">
        <f>U1752="L001-901905215"</f>
        <v/>
      </c>
      <c r="R1752" s="556">
        <f>G1752-W1752</f>
        <v/>
      </c>
      <c r="S1752" s="523" t="n">
        <v>44306</v>
      </c>
      <c r="T1752" s="522" t="inlineStr">
        <is>
          <t>TI-0198119</t>
        </is>
      </c>
      <c r="U1752" s="522" t="inlineStr">
        <is>
          <t>L001-901905215</t>
        </is>
      </c>
      <c r="V1752" s="522" t="inlineStr">
        <is>
          <t>វីអ៊ីស៊ិន (ខេមបូឌា) អ៊ិនដាសស្ទ្រី ឯ.ក</t>
        </is>
      </c>
      <c r="W1752" s="556" t="n">
        <v>200255</v>
      </c>
    </row>
    <row r="1753">
      <c r="A1753" s="521" t="n">
        <v>1745</v>
      </c>
      <c r="B1753" s="522" t="inlineStr">
        <is>
          <t>Cy Management Fee</t>
        </is>
      </c>
      <c r="C1753" s="522" t="inlineStr">
        <is>
          <t>អ៊ិចស្ពែឌីធ័រ ខេមបូឌា អិលធីឌី</t>
        </is>
      </c>
      <c r="D1753" s="522" t="inlineStr">
        <is>
          <t>L001-100045898</t>
        </is>
      </c>
      <c r="E1753" s="521" t="inlineStr">
        <is>
          <t>TI-0198087</t>
        </is>
      </c>
      <c r="F1753" s="523" t="n">
        <v>44305</v>
      </c>
      <c r="G1753" s="556" t="n">
        <v>172850</v>
      </c>
      <c r="I1753" s="521">
        <f>G1753</f>
        <v/>
      </c>
      <c r="K1753" s="521">
        <f>I1753-G1753</f>
        <v/>
      </c>
      <c r="M1753" s="522" t="inlineStr">
        <is>
          <t>TI0198087</t>
        </is>
      </c>
      <c r="N1753" s="522" t="inlineStr">
        <is>
          <t>TI0198087</t>
        </is>
      </c>
      <c r="O1753" s="521">
        <f>M1753=N1753</f>
        <v/>
      </c>
      <c r="P1753" s="521">
        <f>AND(MONTH(F1753)=MONTH(S1753), YEAR(F1753)=YEAR(S1753))</f>
        <v/>
      </c>
      <c r="Q1753" s="521">
        <f>U1753="L001-901905215"</f>
        <v/>
      </c>
      <c r="R1753" s="556">
        <f>G1753-W1753</f>
        <v/>
      </c>
      <c r="S1753" s="523" t="n">
        <v>44305</v>
      </c>
      <c r="T1753" s="522" t="inlineStr">
        <is>
          <t>TI-0198087</t>
        </is>
      </c>
      <c r="U1753" s="522" t="inlineStr">
        <is>
          <t>L001-901905215</t>
        </is>
      </c>
      <c r="V1753" s="522" t="inlineStr">
        <is>
          <t>វីអ៊ីស៊ិន (ខេមបូឌា) អ៊ិនដាសស្ទ្រី ឯ.ក</t>
        </is>
      </c>
      <c r="W1753" s="556" t="n">
        <v>172850</v>
      </c>
    </row>
    <row r="1754">
      <c r="A1754" s="521" t="n">
        <v>1746</v>
      </c>
      <c r="B1754" s="522" t="inlineStr">
        <is>
          <t>Cy Management Fee</t>
        </is>
      </c>
      <c r="C1754" s="522" t="inlineStr">
        <is>
          <t>អ៊ិចស្ពែឌីធ័រ ខេមបូឌា អិលធីឌី</t>
        </is>
      </c>
      <c r="D1754" s="522" t="inlineStr">
        <is>
          <t>L001-100045898</t>
        </is>
      </c>
      <c r="E1754" s="521" t="inlineStr">
        <is>
          <t>TI-0198078</t>
        </is>
      </c>
      <c r="F1754" s="523" t="n">
        <v>44305</v>
      </c>
      <c r="G1754" s="556" t="n">
        <v>209282</v>
      </c>
      <c r="I1754" s="521">
        <f>G1754</f>
        <v/>
      </c>
      <c r="K1754" s="521">
        <f>I1754-G1754</f>
        <v/>
      </c>
      <c r="M1754" s="522" t="inlineStr">
        <is>
          <t>TI0198078</t>
        </is>
      </c>
      <c r="N1754" s="522" t="inlineStr">
        <is>
          <t>TI0198078</t>
        </is>
      </c>
      <c r="O1754" s="521">
        <f>M1754=N1754</f>
        <v/>
      </c>
      <c r="P1754" s="521">
        <f>AND(MONTH(F1754)=MONTH(S1754), YEAR(F1754)=YEAR(S1754))</f>
        <v/>
      </c>
      <c r="Q1754" s="521">
        <f>U1754="L001-901905215"</f>
        <v/>
      </c>
      <c r="R1754" s="556">
        <f>G1754-W1754</f>
        <v/>
      </c>
      <c r="S1754" s="523" t="n">
        <v>44305</v>
      </c>
      <c r="T1754" s="522" t="inlineStr">
        <is>
          <t>TI-0198078</t>
        </is>
      </c>
      <c r="U1754" s="522" t="inlineStr">
        <is>
          <t>L001-901905215</t>
        </is>
      </c>
      <c r="V1754" s="522" t="inlineStr">
        <is>
          <t>វីអ៊ីស៊ិន (ខេមបូឌា) អ៊ិនដាសស្ទ្រី ឯ.ក</t>
        </is>
      </c>
      <c r="W1754" s="556" t="n">
        <v>209282</v>
      </c>
    </row>
    <row r="1755">
      <c r="A1755" s="521" t="n">
        <v>1747</v>
      </c>
      <c r="B1755" s="522" t="inlineStr">
        <is>
          <t>Cy Management Fee</t>
        </is>
      </c>
      <c r="C1755" s="522" t="inlineStr">
        <is>
          <t>អ៊ិចស្ពែឌីធ័រ ខេមបូឌា អិលធីឌី</t>
        </is>
      </c>
      <c r="D1755" s="522" t="inlineStr">
        <is>
          <t>L001-100045898</t>
        </is>
      </c>
      <c r="E1755" s="521" t="inlineStr">
        <is>
          <t>TI-0198077</t>
        </is>
      </c>
      <c r="F1755" s="523" t="n">
        <v>44305</v>
      </c>
      <c r="G1755" s="556" t="n">
        <v>265144</v>
      </c>
      <c r="I1755" s="521">
        <f>G1755</f>
        <v/>
      </c>
      <c r="K1755" s="521">
        <f>I1755-G1755</f>
        <v/>
      </c>
      <c r="M1755" s="522" t="inlineStr">
        <is>
          <t>TI0198077</t>
        </is>
      </c>
      <c r="N1755" s="522" t="inlineStr">
        <is>
          <t>TI0198077</t>
        </is>
      </c>
      <c r="O1755" s="521">
        <f>M1755=N1755</f>
        <v/>
      </c>
      <c r="P1755" s="521">
        <f>AND(MONTH(F1755)=MONTH(S1755), YEAR(F1755)=YEAR(S1755))</f>
        <v/>
      </c>
      <c r="Q1755" s="521">
        <f>U1755="L001-901905215"</f>
        <v/>
      </c>
      <c r="R1755" s="556">
        <f>G1755-W1755</f>
        <v/>
      </c>
      <c r="S1755" s="523" t="n">
        <v>44305</v>
      </c>
      <c r="T1755" s="522" t="inlineStr">
        <is>
          <t>TI-0198077</t>
        </is>
      </c>
      <c r="U1755" s="522" t="inlineStr">
        <is>
          <t>L001-901905215</t>
        </is>
      </c>
      <c r="V1755" s="522" t="inlineStr">
        <is>
          <t>វីអ៊ីស៊ិន (ខេមបូឌា) អ៊ិនដាសស្ទ្រី ឯ.ក</t>
        </is>
      </c>
      <c r="W1755" s="556" t="n">
        <v>265144</v>
      </c>
    </row>
    <row r="1756">
      <c r="A1756" s="521" t="n">
        <v>1748</v>
      </c>
      <c r="B1756" s="522" t="inlineStr">
        <is>
          <t>Cy Management Fee</t>
        </is>
      </c>
      <c r="C1756" s="522" t="inlineStr">
        <is>
          <t>អ៊ិចស្ពែឌីធ័រ ខេមបូឌា អិលធីឌី</t>
        </is>
      </c>
      <c r="D1756" s="522" t="inlineStr">
        <is>
          <t>L001-100045898</t>
        </is>
      </c>
      <c r="E1756" s="521" t="inlineStr">
        <is>
          <t>TI-0198076</t>
        </is>
      </c>
      <c r="F1756" s="523" t="n">
        <v>44305</v>
      </c>
      <c r="G1756" s="556" t="n">
        <v>155038</v>
      </c>
      <c r="I1756" s="521">
        <f>G1756</f>
        <v/>
      </c>
      <c r="K1756" s="521">
        <f>I1756-G1756</f>
        <v/>
      </c>
      <c r="M1756" s="522" t="inlineStr">
        <is>
          <t>TI0198076</t>
        </is>
      </c>
      <c r="N1756" s="522" t="inlineStr">
        <is>
          <t>TI0198076</t>
        </is>
      </c>
      <c r="O1756" s="521">
        <f>M1756=N1756</f>
        <v/>
      </c>
      <c r="P1756" s="521">
        <f>AND(MONTH(F1756)=MONTH(S1756), YEAR(F1756)=YEAR(S1756))</f>
        <v/>
      </c>
      <c r="Q1756" s="521">
        <f>U1756="L001-901905215"</f>
        <v/>
      </c>
      <c r="R1756" s="556">
        <f>G1756-W1756</f>
        <v/>
      </c>
      <c r="S1756" s="523" t="n">
        <v>44305</v>
      </c>
      <c r="T1756" s="522" t="inlineStr">
        <is>
          <t>TI-0198076</t>
        </is>
      </c>
      <c r="U1756" s="522" t="inlineStr">
        <is>
          <t>L001-901905215</t>
        </is>
      </c>
      <c r="V1756" s="522" t="inlineStr">
        <is>
          <t>វីអ៊ីស៊ិន (ខេមបូឌា) អ៊ិនដាសស្ទ្រី ឯ.ក</t>
        </is>
      </c>
      <c r="W1756" s="556" t="n">
        <v>155038</v>
      </c>
    </row>
    <row r="1757">
      <c r="A1757" s="521" t="n">
        <v>1749</v>
      </c>
      <c r="B1757" s="522" t="inlineStr">
        <is>
          <t>Cy Management Fee</t>
        </is>
      </c>
      <c r="C1757" s="522" t="inlineStr">
        <is>
          <t>អ៊ិចស្ពែឌីធ័រ ខេមបូឌា អិលធីឌី</t>
        </is>
      </c>
      <c r="D1757" s="522" t="inlineStr">
        <is>
          <t>L001-100045898</t>
        </is>
      </c>
      <c r="E1757" s="521" t="inlineStr">
        <is>
          <t>TI-0198075</t>
        </is>
      </c>
      <c r="F1757" s="523" t="n">
        <v>44305</v>
      </c>
      <c r="G1757" s="556" t="n">
        <v>459853</v>
      </c>
      <c r="I1757" s="521">
        <f>G1757</f>
        <v/>
      </c>
      <c r="K1757" s="521">
        <f>I1757-G1757</f>
        <v/>
      </c>
      <c r="M1757" s="522" t="inlineStr">
        <is>
          <t>TI0198075</t>
        </is>
      </c>
      <c r="N1757" s="522" t="inlineStr">
        <is>
          <t>TI0198075</t>
        </is>
      </c>
      <c r="O1757" s="521">
        <f>M1757=N1757</f>
        <v/>
      </c>
      <c r="P1757" s="521">
        <f>AND(MONTH(F1757)=MONTH(S1757), YEAR(F1757)=YEAR(S1757))</f>
        <v/>
      </c>
      <c r="Q1757" s="521">
        <f>U1757="L001-901905215"</f>
        <v/>
      </c>
      <c r="R1757" s="556">
        <f>G1757-W1757</f>
        <v/>
      </c>
      <c r="S1757" s="523" t="n">
        <v>44305</v>
      </c>
      <c r="T1757" s="522" t="inlineStr">
        <is>
          <t>TI-0198075</t>
        </is>
      </c>
      <c r="U1757" s="522" t="inlineStr">
        <is>
          <t>L001-901905215</t>
        </is>
      </c>
      <c r="V1757" s="522" t="inlineStr">
        <is>
          <t>វីអ៊ីស៊ិន (ខេមបូឌា) អ៊ិនដាសស្ទ្រី ឯ.ក</t>
        </is>
      </c>
      <c r="W1757" s="556" t="n">
        <v>459853</v>
      </c>
    </row>
    <row r="1758">
      <c r="A1758" s="521" t="n">
        <v>1750</v>
      </c>
      <c r="B1758" s="522" t="inlineStr">
        <is>
          <t>Cy Management Fee</t>
        </is>
      </c>
      <c r="C1758" s="522" t="inlineStr">
        <is>
          <t>អ៊ិចស្ពែឌីធ័រ ខេមបូឌា អិលធីឌី</t>
        </is>
      </c>
      <c r="D1758" s="522" t="inlineStr">
        <is>
          <t>L001-100045898</t>
        </is>
      </c>
      <c r="E1758" s="521" t="inlineStr">
        <is>
          <t>TI-0198074</t>
        </is>
      </c>
      <c r="F1758" s="523" t="n">
        <v>44305</v>
      </c>
      <c r="G1758" s="556" t="n">
        <v>480902</v>
      </c>
      <c r="I1758" s="521">
        <f>G1758</f>
        <v/>
      </c>
      <c r="K1758" s="521">
        <f>I1758-G1758</f>
        <v/>
      </c>
      <c r="M1758" s="522" t="inlineStr">
        <is>
          <t>TI0198074</t>
        </is>
      </c>
      <c r="N1758" s="522" t="inlineStr">
        <is>
          <t>TI0198074</t>
        </is>
      </c>
      <c r="O1758" s="521">
        <f>M1758=N1758</f>
        <v/>
      </c>
      <c r="P1758" s="521">
        <f>AND(MONTH(F1758)=MONTH(S1758), YEAR(F1758)=YEAR(S1758))</f>
        <v/>
      </c>
      <c r="Q1758" s="521">
        <f>U1758="L001-901905215"</f>
        <v/>
      </c>
      <c r="R1758" s="556">
        <f>G1758-W1758</f>
        <v/>
      </c>
      <c r="S1758" s="523" t="n">
        <v>44305</v>
      </c>
      <c r="T1758" s="522" t="inlineStr">
        <is>
          <t>TI-0198074</t>
        </is>
      </c>
      <c r="U1758" s="522" t="inlineStr">
        <is>
          <t>L001-901905215</t>
        </is>
      </c>
      <c r="V1758" s="522" t="inlineStr">
        <is>
          <t>វីអ៊ីស៊ិន (ខេមបូឌា) អ៊ិនដាសស្ទ្រី ឯ.ក</t>
        </is>
      </c>
      <c r="W1758" s="556" t="n">
        <v>480902</v>
      </c>
    </row>
    <row r="1759">
      <c r="A1759" s="521" t="n">
        <v>1751</v>
      </c>
      <c r="B1759" s="522" t="inlineStr">
        <is>
          <t>Cy Management Fee</t>
        </is>
      </c>
      <c r="C1759" s="522" t="inlineStr">
        <is>
          <t>អ៊ិចស្ពែឌីធ័រ ខេមបូឌា អិលធីឌី</t>
        </is>
      </c>
      <c r="D1759" s="522" t="inlineStr">
        <is>
          <t>L001-100045898</t>
        </is>
      </c>
      <c r="E1759" s="521" t="inlineStr">
        <is>
          <t>TI-0198073</t>
        </is>
      </c>
      <c r="F1759" s="523" t="n">
        <v>44305</v>
      </c>
      <c r="G1759" s="556" t="n">
        <v>546682</v>
      </c>
      <c r="I1759" s="521">
        <f>G1759</f>
        <v/>
      </c>
      <c r="K1759" s="521">
        <f>I1759-G1759</f>
        <v/>
      </c>
      <c r="M1759" s="522" t="inlineStr">
        <is>
          <t>TI0198073</t>
        </is>
      </c>
      <c r="N1759" s="522" t="inlineStr">
        <is>
          <t>TI0198073</t>
        </is>
      </c>
      <c r="O1759" s="521">
        <f>M1759=N1759</f>
        <v/>
      </c>
      <c r="P1759" s="521">
        <f>AND(MONTH(F1759)=MONTH(S1759), YEAR(F1759)=YEAR(S1759))</f>
        <v/>
      </c>
      <c r="Q1759" s="521">
        <f>U1759="L001-901905215"</f>
        <v/>
      </c>
      <c r="R1759" s="556">
        <f>G1759-W1759</f>
        <v/>
      </c>
      <c r="S1759" s="523" t="n">
        <v>44305</v>
      </c>
      <c r="T1759" s="522" t="inlineStr">
        <is>
          <t>TI-0198073</t>
        </is>
      </c>
      <c r="U1759" s="522" t="inlineStr">
        <is>
          <t>L001-901905215</t>
        </is>
      </c>
      <c r="V1759" s="522" t="inlineStr">
        <is>
          <t>វីអ៊ីស៊ិន (ខេមបូឌា) អ៊ិនដាសស្ទ្រី ឯ.ក</t>
        </is>
      </c>
      <c r="W1759" s="556" t="n">
        <v>546682</v>
      </c>
    </row>
    <row r="1760">
      <c r="A1760" s="521" t="n">
        <v>1752</v>
      </c>
      <c r="B1760" s="522" t="inlineStr">
        <is>
          <t>Cy Management Fee</t>
        </is>
      </c>
      <c r="C1760" s="522" t="inlineStr">
        <is>
          <t>អ៊ិចស្ពែឌីធ័រ ខេមបូឌា អិលធីឌី</t>
        </is>
      </c>
      <c r="D1760" s="522" t="inlineStr">
        <is>
          <t>L001-100045898</t>
        </is>
      </c>
      <c r="E1760" s="521" t="inlineStr">
        <is>
          <t>TI-0198072</t>
        </is>
      </c>
      <c r="F1760" s="523" t="n">
        <v>44305</v>
      </c>
      <c r="G1760" s="556" t="n">
        <v>282146</v>
      </c>
      <c r="I1760" s="521">
        <f>G1760</f>
        <v/>
      </c>
      <c r="K1760" s="521">
        <f>I1760-G1760</f>
        <v/>
      </c>
      <c r="M1760" s="522" t="inlineStr">
        <is>
          <t>TI0198072</t>
        </is>
      </c>
      <c r="N1760" s="522" t="inlineStr">
        <is>
          <t>TI0198072</t>
        </is>
      </c>
      <c r="O1760" s="521">
        <f>M1760=N1760</f>
        <v/>
      </c>
      <c r="P1760" s="521">
        <f>AND(MONTH(F1760)=MONTH(S1760), YEAR(F1760)=YEAR(S1760))</f>
        <v/>
      </c>
      <c r="Q1760" s="521">
        <f>U1760="L001-901905215"</f>
        <v/>
      </c>
      <c r="R1760" s="556">
        <f>G1760-W1760</f>
        <v/>
      </c>
      <c r="S1760" s="523" t="n">
        <v>44305</v>
      </c>
      <c r="T1760" s="522" t="inlineStr">
        <is>
          <t>TI-0198072</t>
        </is>
      </c>
      <c r="U1760" s="522" t="inlineStr">
        <is>
          <t>L001-901905215</t>
        </is>
      </c>
      <c r="V1760" s="522" t="inlineStr">
        <is>
          <t>វីអ៊ីស៊ិន (ខេមបូឌា) អ៊ិនដាសស្ទ្រី ឯ.ក</t>
        </is>
      </c>
      <c r="W1760" s="556" t="n">
        <v>282146</v>
      </c>
    </row>
    <row r="1761">
      <c r="A1761" s="521" t="n">
        <v>1753</v>
      </c>
      <c r="B1761" s="522" t="inlineStr">
        <is>
          <t>BL Fee</t>
        </is>
      </c>
      <c r="C1761" s="522" t="inlineStr">
        <is>
          <t>អ៊ិចស្ពែឌីធ័រ ខេមបូឌា អិលធីឌី</t>
        </is>
      </c>
      <c r="D1761" s="522" t="inlineStr">
        <is>
          <t>L001-100045898</t>
        </is>
      </c>
      <c r="E1761" s="521" t="inlineStr">
        <is>
          <t>TI-0198071</t>
        </is>
      </c>
      <c r="F1761" s="523" t="n">
        <v>44305</v>
      </c>
      <c r="G1761" s="556" t="n">
        <v>386584</v>
      </c>
      <c r="I1761" s="521">
        <f>G1761</f>
        <v/>
      </c>
      <c r="K1761" s="521">
        <f>I1761-G1761</f>
        <v/>
      </c>
      <c r="M1761" s="522" t="inlineStr">
        <is>
          <t>TI0198071</t>
        </is>
      </c>
      <c r="N1761" s="522" t="inlineStr">
        <is>
          <t>TI0198071</t>
        </is>
      </c>
      <c r="O1761" s="521">
        <f>M1761=N1761</f>
        <v/>
      </c>
      <c r="P1761" s="521">
        <f>AND(MONTH(F1761)=MONTH(S1761), YEAR(F1761)=YEAR(S1761))</f>
        <v/>
      </c>
      <c r="Q1761" s="521">
        <f>U1761="L001-901905215"</f>
        <v/>
      </c>
      <c r="R1761" s="556">
        <f>G1761-W1761</f>
        <v/>
      </c>
      <c r="S1761" s="523" t="n">
        <v>44305</v>
      </c>
      <c r="T1761" s="522" t="inlineStr">
        <is>
          <t>TI-0198071</t>
        </is>
      </c>
      <c r="U1761" s="522" t="inlineStr">
        <is>
          <t>L001-901905215</t>
        </is>
      </c>
      <c r="V1761" s="522" t="inlineStr">
        <is>
          <t>វីអ៊ីស៊ិន (ខេមបូឌា) អ៊ិនដាសស្ទ្រី ឯ.ក</t>
        </is>
      </c>
      <c r="W1761" s="556" t="n">
        <v>386584</v>
      </c>
    </row>
    <row r="1762">
      <c r="A1762" s="521" t="n">
        <v>1754</v>
      </c>
      <c r="B1762" s="522" t="inlineStr">
        <is>
          <t>Terminal Handing Chr</t>
        </is>
      </c>
      <c r="C1762" s="522" t="inlineStr">
        <is>
          <t>អ៊ិចស្ពែឌីធ័រ ខេមបូឌា អិលធីឌី</t>
        </is>
      </c>
      <c r="D1762" s="522" t="inlineStr">
        <is>
          <t>L001-100045898</t>
        </is>
      </c>
      <c r="E1762" s="521" t="inlineStr">
        <is>
          <t>TI-0197664</t>
        </is>
      </c>
      <c r="F1762" s="523" t="n">
        <v>44298</v>
      </c>
      <c r="G1762" s="556" t="n">
        <v>14161</v>
      </c>
      <c r="I1762" s="521">
        <f>G1762</f>
        <v/>
      </c>
      <c r="K1762" s="521">
        <f>I1762-G1762</f>
        <v/>
      </c>
      <c r="M1762" s="522" t="inlineStr">
        <is>
          <t>TI0197664</t>
        </is>
      </c>
      <c r="N1762" s="522" t="inlineStr">
        <is>
          <t>TI0197664</t>
        </is>
      </c>
      <c r="O1762" s="521">
        <f>M1762=N1762</f>
        <v/>
      </c>
      <c r="P1762" s="521">
        <f>AND(MONTH(F1762)=MONTH(S1762), YEAR(F1762)=YEAR(S1762))</f>
        <v/>
      </c>
      <c r="Q1762" s="521">
        <f>U1762="L001-901905215"</f>
        <v/>
      </c>
      <c r="R1762" s="556">
        <f>G1762-W1762</f>
        <v/>
      </c>
      <c r="S1762" s="523" t="n">
        <v>44298</v>
      </c>
      <c r="T1762" s="522" t="inlineStr">
        <is>
          <t>TI-0197664</t>
        </is>
      </c>
      <c r="U1762" s="522" t="inlineStr">
        <is>
          <t>L001-901905215</t>
        </is>
      </c>
      <c r="V1762" s="522" t="inlineStr">
        <is>
          <t>វីអ៊ីស៊ិន (ខេមបូឌា) អ៊ិនដាសស្ទ្រី ឯ.ក</t>
        </is>
      </c>
      <c r="W1762" s="556" t="n">
        <v>14168</v>
      </c>
    </row>
    <row r="1763">
      <c r="A1763" s="521" t="n">
        <v>1755</v>
      </c>
      <c r="B1763" s="522" t="inlineStr">
        <is>
          <t>Terminal Handing Chr</t>
        </is>
      </c>
      <c r="C1763" s="522" t="inlineStr">
        <is>
          <t>អ៊ិចស្ពែឌីធ័រ ខេមបូឌា អិលធីឌី</t>
        </is>
      </c>
      <c r="D1763" s="522" t="inlineStr">
        <is>
          <t>L001-100045898</t>
        </is>
      </c>
      <c r="E1763" s="521" t="inlineStr">
        <is>
          <t>TI-0197667</t>
        </is>
      </c>
      <c r="F1763" s="523" t="n">
        <v>44298</v>
      </c>
      <c r="G1763" s="556" t="n">
        <v>6069</v>
      </c>
      <c r="I1763" s="521">
        <f>G1763</f>
        <v/>
      </c>
      <c r="K1763" s="521">
        <f>I1763-G1763</f>
        <v/>
      </c>
      <c r="M1763" s="522" t="inlineStr">
        <is>
          <t>TI0197667</t>
        </is>
      </c>
      <c r="N1763" s="522" t="inlineStr">
        <is>
          <t>TI0197667</t>
        </is>
      </c>
      <c r="O1763" s="521">
        <f>M1763=N1763</f>
        <v/>
      </c>
      <c r="P1763" s="521">
        <f>AND(MONTH(F1763)=MONTH(S1763), YEAR(F1763)=YEAR(S1763))</f>
        <v/>
      </c>
      <c r="Q1763" s="521">
        <f>U1763="L001-901905215"</f>
        <v/>
      </c>
      <c r="R1763" s="556">
        <f>G1763-W1763</f>
        <v/>
      </c>
      <c r="S1763" s="523" t="n">
        <v>44298</v>
      </c>
      <c r="T1763" s="522" t="inlineStr">
        <is>
          <t>TI-0197667</t>
        </is>
      </c>
      <c r="U1763" s="522" t="inlineStr">
        <is>
          <t>L001-901905215</t>
        </is>
      </c>
      <c r="V1763" s="522" t="inlineStr">
        <is>
          <t>វីអ៊ីស៊ិន (ខេមបូឌា) អ៊ិនដាសស្ទ្រី ឯ.ក</t>
        </is>
      </c>
      <c r="W1763" s="556" t="n">
        <v>6072</v>
      </c>
    </row>
    <row r="1764">
      <c r="A1764" s="521" t="n">
        <v>1756</v>
      </c>
      <c r="B1764" s="522" t="inlineStr">
        <is>
          <t>Terminal Handing Chr</t>
        </is>
      </c>
      <c r="C1764" s="522" t="inlineStr">
        <is>
          <t>អ៊ិចស្ពែឌីធ័រ ខេមបូឌា អិលធីឌី</t>
        </is>
      </c>
      <c r="D1764" s="522" t="inlineStr">
        <is>
          <t>L001-100045898</t>
        </is>
      </c>
      <c r="E1764" s="521" t="inlineStr">
        <is>
          <t>TI-0197669</t>
        </is>
      </c>
      <c r="F1764" s="523" t="n">
        <v>44298</v>
      </c>
      <c r="G1764" s="556" t="n">
        <v>6069</v>
      </c>
      <c r="I1764" s="521">
        <f>G1764</f>
        <v/>
      </c>
      <c r="K1764" s="521">
        <f>I1764-G1764</f>
        <v/>
      </c>
      <c r="M1764" s="522" t="inlineStr">
        <is>
          <t>TI0197669</t>
        </is>
      </c>
      <c r="N1764" s="522" t="inlineStr">
        <is>
          <t>TI0197669</t>
        </is>
      </c>
      <c r="O1764" s="521">
        <f>M1764=N1764</f>
        <v/>
      </c>
      <c r="P1764" s="521">
        <f>AND(MONTH(F1764)=MONTH(S1764), YEAR(F1764)=YEAR(S1764))</f>
        <v/>
      </c>
      <c r="Q1764" s="521">
        <f>U1764="L001-901905215"</f>
        <v/>
      </c>
      <c r="R1764" s="556">
        <f>G1764-W1764</f>
        <v/>
      </c>
      <c r="S1764" s="523" t="n">
        <v>44298</v>
      </c>
      <c r="T1764" s="522" t="inlineStr">
        <is>
          <t>TI-0197669</t>
        </is>
      </c>
      <c r="U1764" s="522" t="inlineStr">
        <is>
          <t>L001-901905215</t>
        </is>
      </c>
      <c r="V1764" s="522" t="inlineStr">
        <is>
          <t>វីអ៊ីស៊ិន (ខេមបូឌា) អ៊ិនដាសស្ទ្រី ឯ.ក</t>
        </is>
      </c>
      <c r="W1764" s="556" t="n">
        <v>6072</v>
      </c>
    </row>
    <row r="1765">
      <c r="A1765" s="521" t="n">
        <v>1757</v>
      </c>
      <c r="B1765" s="522" t="inlineStr">
        <is>
          <t>Terminal Handing Chr</t>
        </is>
      </c>
      <c r="C1765" s="522" t="inlineStr">
        <is>
          <t>អ៊ិចស្ពែឌីធ័រ ខេមបូឌា អិលធីឌី</t>
        </is>
      </c>
      <c r="D1765" s="522" t="inlineStr">
        <is>
          <t>L001-100045898</t>
        </is>
      </c>
      <c r="E1765" s="521" t="inlineStr">
        <is>
          <t>TI-0197671</t>
        </is>
      </c>
      <c r="F1765" s="523" t="n">
        <v>44298</v>
      </c>
      <c r="G1765" s="556" t="n">
        <v>2023</v>
      </c>
      <c r="I1765" s="521">
        <f>G1765</f>
        <v/>
      </c>
      <c r="K1765" s="521">
        <f>I1765-G1765</f>
        <v/>
      </c>
      <c r="M1765" s="522" t="inlineStr">
        <is>
          <t>TI0197671</t>
        </is>
      </c>
      <c r="N1765" s="522" t="inlineStr">
        <is>
          <t>TI0197671</t>
        </is>
      </c>
      <c r="O1765" s="521">
        <f>M1765=N1765</f>
        <v/>
      </c>
      <c r="P1765" s="521">
        <f>AND(MONTH(F1765)=MONTH(S1765), YEAR(F1765)=YEAR(S1765))</f>
        <v/>
      </c>
      <c r="Q1765" s="521">
        <f>U1765="L001-901905215"</f>
        <v/>
      </c>
      <c r="R1765" s="556">
        <f>G1765-W1765</f>
        <v/>
      </c>
      <c r="S1765" s="523" t="n">
        <v>44298</v>
      </c>
      <c r="T1765" s="522" t="inlineStr">
        <is>
          <t>TI-0197671</t>
        </is>
      </c>
      <c r="U1765" s="522" t="inlineStr">
        <is>
          <t>L001-901905215</t>
        </is>
      </c>
      <c r="V1765" s="522" t="inlineStr">
        <is>
          <t>វីអ៊ីស៊ិន (ខេមបូឌា) អ៊ិនដាសស្ទ្រី ឯ.ក</t>
        </is>
      </c>
      <c r="W1765" s="556" t="n">
        <v>2024</v>
      </c>
    </row>
    <row r="1766">
      <c r="A1766" s="521" t="n">
        <v>1758</v>
      </c>
      <c r="B1766" s="522" t="inlineStr">
        <is>
          <t>Terminal Handing Chr</t>
        </is>
      </c>
      <c r="C1766" s="522" t="inlineStr">
        <is>
          <t>អ៊ិចស្ពែឌីធ័រ ខេមបូឌា អិលធីឌី</t>
        </is>
      </c>
      <c r="D1766" s="522" t="inlineStr">
        <is>
          <t>L001-100045898</t>
        </is>
      </c>
      <c r="E1766" s="521" t="inlineStr">
        <is>
          <t>TI-0197679</t>
        </is>
      </c>
      <c r="F1766" s="523" t="n">
        <v>44298</v>
      </c>
      <c r="G1766" s="556" t="n">
        <v>6069</v>
      </c>
      <c r="I1766" s="521">
        <f>G1766</f>
        <v/>
      </c>
      <c r="K1766" s="521">
        <f>I1766-G1766</f>
        <v/>
      </c>
      <c r="M1766" s="522" t="inlineStr">
        <is>
          <t>TI0197679</t>
        </is>
      </c>
      <c r="N1766" s="522" t="inlineStr">
        <is>
          <t>TI0197679</t>
        </is>
      </c>
      <c r="O1766" s="521">
        <f>M1766=N1766</f>
        <v/>
      </c>
      <c r="P1766" s="521">
        <f>AND(MONTH(F1766)=MONTH(S1766), YEAR(F1766)=YEAR(S1766))</f>
        <v/>
      </c>
      <c r="Q1766" s="521">
        <f>U1766="L001-901905215"</f>
        <v/>
      </c>
      <c r="R1766" s="556">
        <f>G1766-W1766</f>
        <v/>
      </c>
      <c r="S1766" s="523" t="n">
        <v>44298</v>
      </c>
      <c r="T1766" s="522" t="inlineStr">
        <is>
          <t>TI-0197679</t>
        </is>
      </c>
      <c r="U1766" s="522" t="inlineStr">
        <is>
          <t>L001-901905215</t>
        </is>
      </c>
      <c r="V1766" s="522" t="inlineStr">
        <is>
          <t>វីអ៊ីស៊ិន (ខេមបូឌា) អ៊ិនដាសស្ទ្រី ឯ.ក</t>
        </is>
      </c>
      <c r="W1766" s="556" t="n">
        <v>6072</v>
      </c>
    </row>
    <row r="1767">
      <c r="A1767" s="521" t="n">
        <v>1759</v>
      </c>
      <c r="B1767" s="522" t="inlineStr">
        <is>
          <t>Terminal Handing Chr</t>
        </is>
      </c>
      <c r="C1767" s="522" t="inlineStr">
        <is>
          <t>អ៊ិចស្ពែឌីធ័រ ខេមបូឌា អិលធីឌី</t>
        </is>
      </c>
      <c r="D1767" s="522" t="inlineStr">
        <is>
          <t>L001-100045898</t>
        </is>
      </c>
      <c r="E1767" s="521" t="inlineStr">
        <is>
          <t>TI-0197682</t>
        </is>
      </c>
      <c r="F1767" s="523" t="n">
        <v>44298</v>
      </c>
      <c r="G1767" s="556" t="n">
        <v>8092</v>
      </c>
      <c r="I1767" s="521">
        <f>G1767</f>
        <v/>
      </c>
      <c r="K1767" s="521">
        <f>I1767-G1767</f>
        <v/>
      </c>
      <c r="M1767" s="522" t="inlineStr">
        <is>
          <t>TI0197682</t>
        </is>
      </c>
      <c r="N1767" s="522" t="inlineStr">
        <is>
          <t>TI0197682</t>
        </is>
      </c>
      <c r="O1767" s="521">
        <f>M1767=N1767</f>
        <v/>
      </c>
      <c r="P1767" s="521">
        <f>AND(MONTH(F1767)=MONTH(S1767), YEAR(F1767)=YEAR(S1767))</f>
        <v/>
      </c>
      <c r="Q1767" s="521">
        <f>U1767="L001-901905215"</f>
        <v/>
      </c>
      <c r="R1767" s="556">
        <f>G1767-W1767</f>
        <v/>
      </c>
      <c r="S1767" s="523" t="n">
        <v>44298</v>
      </c>
      <c r="T1767" s="522" t="inlineStr">
        <is>
          <t>TI-0197682</t>
        </is>
      </c>
      <c r="U1767" s="522" t="inlineStr">
        <is>
          <t>L001-901905215</t>
        </is>
      </c>
      <c r="V1767" s="522" t="inlineStr">
        <is>
          <t>វីអ៊ីស៊ិន (ខេមបូឌា) អ៊ិនដាសស្ទ្រី ឯ.ក</t>
        </is>
      </c>
      <c r="W1767" s="556" t="n">
        <v>8096</v>
      </c>
    </row>
    <row r="1768">
      <c r="A1768" s="521" t="n">
        <v>1760</v>
      </c>
      <c r="B1768" s="522" t="inlineStr">
        <is>
          <t>Terminal Handing Chr</t>
        </is>
      </c>
      <c r="C1768" s="522" t="inlineStr">
        <is>
          <t>អ៊ិចស្ពែឌីធ័រ ខេមបូឌា អិលធីឌី</t>
        </is>
      </c>
      <c r="D1768" s="522" t="inlineStr">
        <is>
          <t>L001-100045898</t>
        </is>
      </c>
      <c r="E1768" s="521" t="inlineStr">
        <is>
          <t>TI-0197696</t>
        </is>
      </c>
      <c r="F1768" s="523" t="n">
        <v>44298</v>
      </c>
      <c r="G1768" s="556" t="n">
        <v>12144</v>
      </c>
      <c r="I1768" s="521">
        <f>G1768</f>
        <v/>
      </c>
      <c r="K1768" s="521">
        <f>I1768-G1768</f>
        <v/>
      </c>
      <c r="M1768" s="522" t="inlineStr">
        <is>
          <t>TI0197696</t>
        </is>
      </c>
      <c r="N1768" s="522" t="inlineStr">
        <is>
          <t>TI0197696</t>
        </is>
      </c>
      <c r="O1768" s="521">
        <f>M1768=N1768</f>
        <v/>
      </c>
      <c r="P1768" s="521">
        <f>AND(MONTH(F1768)=MONTH(S1768), YEAR(F1768)=YEAR(S1768))</f>
        <v/>
      </c>
      <c r="Q1768" s="521">
        <f>U1768="L001-901905215"</f>
        <v/>
      </c>
      <c r="R1768" s="556">
        <f>G1768-W1768</f>
        <v/>
      </c>
      <c r="S1768" s="523" t="n">
        <v>44298</v>
      </c>
      <c r="T1768" s="522" t="inlineStr">
        <is>
          <t>TI-0197696</t>
        </is>
      </c>
      <c r="U1768" s="522" t="inlineStr">
        <is>
          <t>L001-901905215</t>
        </is>
      </c>
      <c r="V1768" s="522" t="inlineStr">
        <is>
          <t>វីអ៊ីស៊ិន (ខេមបូឌា) អ៊ិនដាសស្ទ្រី ឯ.ក</t>
        </is>
      </c>
      <c r="W1768" s="556" t="n">
        <v>12144</v>
      </c>
    </row>
    <row r="1769">
      <c r="A1769" s="521" t="n">
        <v>1761</v>
      </c>
      <c r="B1769" s="522" t="inlineStr">
        <is>
          <t>Thc Charges</t>
        </is>
      </c>
      <c r="C1769" s="522" t="inlineStr">
        <is>
          <t>អ៊ិចស្ពែឌីធ័រ ខេមបូឌា អិលធីឌី</t>
        </is>
      </c>
      <c r="D1769" s="522" t="inlineStr">
        <is>
          <t>L001-100045898</t>
        </is>
      </c>
      <c r="E1769" s="521" t="inlineStr">
        <is>
          <t>TI-0197531</t>
        </is>
      </c>
      <c r="F1769" s="523" t="n">
        <v>44294</v>
      </c>
      <c r="G1769" s="556" t="n">
        <v>532858</v>
      </c>
      <c r="I1769" s="521">
        <f>G1769</f>
        <v/>
      </c>
      <c r="K1769" s="521">
        <f>I1769-G1769</f>
        <v/>
      </c>
      <c r="M1769" s="522" t="inlineStr">
        <is>
          <t>TI0197531</t>
        </is>
      </c>
      <c r="N1769" s="522" t="inlineStr">
        <is>
          <t>TI0197531</t>
        </is>
      </c>
      <c r="O1769" s="521">
        <f>M1769=N1769</f>
        <v/>
      </c>
      <c r="P1769" s="521">
        <f>AND(MONTH(F1769)=MONTH(S1769), YEAR(F1769)=YEAR(S1769))</f>
        <v/>
      </c>
      <c r="Q1769" s="521">
        <f>U1769="L001-901905215"</f>
        <v/>
      </c>
      <c r="R1769" s="556">
        <f>G1769-W1769</f>
        <v/>
      </c>
      <c r="S1769" s="523" t="n">
        <v>44294</v>
      </c>
      <c r="T1769" s="522" t="inlineStr">
        <is>
          <t>TI-0197531</t>
        </is>
      </c>
      <c r="U1769" s="522" t="inlineStr">
        <is>
          <t>L001-901905215</t>
        </is>
      </c>
      <c r="V1769" s="522" t="inlineStr">
        <is>
          <t>វីអ៊ីស៊ិន (ខេមបូឌា) អ៊ិនដាសស្ទ្រី ឯ.ក</t>
        </is>
      </c>
      <c r="W1769" s="556" t="n">
        <v>532858</v>
      </c>
    </row>
    <row r="1770">
      <c r="A1770" s="521" t="n">
        <v>1762</v>
      </c>
      <c r="B1770" s="522" t="inlineStr">
        <is>
          <t>Thc Charges</t>
        </is>
      </c>
      <c r="C1770" s="522" t="inlineStr">
        <is>
          <t>អ៊ិចស្ពែឌីធ័រ ខេមបូឌា អិលធីឌី</t>
        </is>
      </c>
      <c r="D1770" s="522" t="inlineStr">
        <is>
          <t>L001-100045898</t>
        </is>
      </c>
      <c r="E1770" s="521" t="inlineStr">
        <is>
          <t>TI-0197528</t>
        </is>
      </c>
      <c r="F1770" s="523" t="n">
        <v>44294</v>
      </c>
      <c r="G1770" s="556" t="n">
        <v>386393</v>
      </c>
      <c r="I1770" s="521">
        <f>G1770</f>
        <v/>
      </c>
      <c r="K1770" s="521">
        <f>I1770-G1770</f>
        <v/>
      </c>
      <c r="M1770" s="522" t="inlineStr">
        <is>
          <t>TI0197528</t>
        </is>
      </c>
      <c r="N1770" s="522" t="inlineStr">
        <is>
          <t>TI0197528</t>
        </is>
      </c>
      <c r="O1770" s="521">
        <f>M1770=N1770</f>
        <v/>
      </c>
      <c r="P1770" s="521">
        <f>AND(MONTH(F1770)=MONTH(S1770), YEAR(F1770)=YEAR(S1770))</f>
        <v/>
      </c>
      <c r="Q1770" s="521">
        <f>U1770="L001-901905215"</f>
        <v/>
      </c>
      <c r="R1770" s="556">
        <f>G1770-W1770</f>
        <v/>
      </c>
      <c r="S1770" s="523" t="n">
        <v>44294</v>
      </c>
      <c r="T1770" s="522" t="inlineStr">
        <is>
          <t>TI-0197528</t>
        </is>
      </c>
      <c r="U1770" s="522" t="inlineStr">
        <is>
          <t>L001-901905215</t>
        </is>
      </c>
      <c r="V1770" s="522" t="inlineStr">
        <is>
          <t>វីអ៊ីស៊ិន (ខេមបូឌា) អ៊ិនដាសស្ទ្រី ឯ.ក</t>
        </is>
      </c>
      <c r="W1770" s="556" t="n">
        <v>386393</v>
      </c>
    </row>
    <row r="1771">
      <c r="A1771" s="521" t="n">
        <v>1763</v>
      </c>
      <c r="B1771" s="522" t="inlineStr">
        <is>
          <t>Cy Management Fee</t>
        </is>
      </c>
      <c r="C1771" s="522" t="inlineStr">
        <is>
          <t>អ៊ិចស្ពែឌីធ័រ ខេមបូឌា អិលធីឌី</t>
        </is>
      </c>
      <c r="D1771" s="522" t="inlineStr">
        <is>
          <t>L001-100045898</t>
        </is>
      </c>
      <c r="E1771" s="521" t="inlineStr">
        <is>
          <t>TI-0197529</t>
        </is>
      </c>
      <c r="F1771" s="523" t="n">
        <v>44294</v>
      </c>
      <c r="G1771" s="556" t="n">
        <v>334200</v>
      </c>
      <c r="I1771" s="521">
        <f>G1771</f>
        <v/>
      </c>
      <c r="K1771" s="521">
        <f>I1771-G1771</f>
        <v/>
      </c>
      <c r="M1771" s="522" t="inlineStr">
        <is>
          <t>TI0197529</t>
        </is>
      </c>
      <c r="N1771" s="522" t="inlineStr">
        <is>
          <t>TI0197529</t>
        </is>
      </c>
      <c r="O1771" s="521">
        <f>M1771=N1771</f>
        <v/>
      </c>
      <c r="P1771" s="521">
        <f>AND(MONTH(F1771)=MONTH(S1771), YEAR(F1771)=YEAR(S1771))</f>
        <v/>
      </c>
      <c r="Q1771" s="521">
        <f>U1771="L001-901905215"</f>
        <v/>
      </c>
      <c r="R1771" s="556">
        <f>G1771-W1771</f>
        <v/>
      </c>
      <c r="S1771" s="523" t="n">
        <v>44294</v>
      </c>
      <c r="T1771" s="522" t="inlineStr">
        <is>
          <t>TI-0197529</t>
        </is>
      </c>
      <c r="U1771" s="522" t="inlineStr">
        <is>
          <t>L001-901905215</t>
        </is>
      </c>
      <c r="V1771" s="522" t="inlineStr">
        <is>
          <t>វីអ៊ីស៊ិន (ខេមបូឌា) អ៊ិនដាសស្ទ្រី ឯ.ក</t>
        </is>
      </c>
      <c r="W1771" s="556" t="n">
        <v>334200</v>
      </c>
    </row>
    <row r="1772">
      <c r="A1772" s="521" t="n">
        <v>1764</v>
      </c>
      <c r="B1772" s="522" t="inlineStr">
        <is>
          <t>Cy Management Fee</t>
        </is>
      </c>
      <c r="C1772" s="522" t="inlineStr">
        <is>
          <t>អ៊ិចស្ពែឌីធ័រ ខេមបូឌា អិលធីឌី</t>
        </is>
      </c>
      <c r="D1772" s="522" t="inlineStr">
        <is>
          <t>L001-100045898</t>
        </is>
      </c>
      <c r="E1772" s="521" t="inlineStr">
        <is>
          <t>TI-0197530</t>
        </is>
      </c>
      <c r="F1772" s="523" t="n">
        <v>44294</v>
      </c>
      <c r="G1772" s="556" t="n">
        <v>305878</v>
      </c>
      <c r="I1772" s="521">
        <f>G1772</f>
        <v/>
      </c>
      <c r="K1772" s="521">
        <f>I1772-G1772</f>
        <v/>
      </c>
      <c r="M1772" s="522" t="inlineStr">
        <is>
          <t>TI0197530</t>
        </is>
      </c>
      <c r="N1772" s="522" t="inlineStr">
        <is>
          <t>TI0197530</t>
        </is>
      </c>
      <c r="O1772" s="521">
        <f>M1772=N1772</f>
        <v/>
      </c>
      <c r="P1772" s="521">
        <f>AND(MONTH(F1772)=MONTH(S1772), YEAR(F1772)=YEAR(S1772))</f>
        <v/>
      </c>
      <c r="Q1772" s="521">
        <f>U1772="L001-901905215"</f>
        <v/>
      </c>
      <c r="R1772" s="556">
        <f>G1772-W1772</f>
        <v/>
      </c>
      <c r="S1772" s="523" t="n">
        <v>44294</v>
      </c>
      <c r="T1772" s="522" t="inlineStr">
        <is>
          <t>TI-0197530</t>
        </is>
      </c>
      <c r="U1772" s="522" t="inlineStr">
        <is>
          <t>L001-901905215</t>
        </is>
      </c>
      <c r="V1772" s="522" t="inlineStr">
        <is>
          <t>វីអ៊ីស៊ិន (ខេមបូឌា) អ៊ិនដាសស្ទ្រី ឯ.ក</t>
        </is>
      </c>
      <c r="W1772" s="556" t="n">
        <v>305878</v>
      </c>
    </row>
    <row r="1773">
      <c r="A1773" s="521" t="n">
        <v>1765</v>
      </c>
      <c r="B1773" s="522" t="inlineStr">
        <is>
          <t>BL Fee</t>
        </is>
      </c>
      <c r="C1773" s="522" t="inlineStr">
        <is>
          <t>អ៊ិចស្ពែឌីធ័រ ខេមបូឌា អិលធីឌី</t>
        </is>
      </c>
      <c r="D1773" s="522" t="inlineStr">
        <is>
          <t>L001-100045898</t>
        </is>
      </c>
      <c r="E1773" s="521" t="inlineStr">
        <is>
          <t>TI-0197477</t>
        </is>
      </c>
      <c r="F1773" s="523" t="n">
        <v>44294</v>
      </c>
      <c r="G1773" s="556" t="n">
        <v>94763</v>
      </c>
      <c r="I1773" s="521">
        <f>G1773</f>
        <v/>
      </c>
      <c r="K1773" s="521">
        <f>I1773-G1773</f>
        <v/>
      </c>
      <c r="M1773" s="522" t="inlineStr">
        <is>
          <t>TI0197477</t>
        </is>
      </c>
      <c r="N1773" s="522" t="inlineStr">
        <is>
          <t>TI0197477</t>
        </is>
      </c>
      <c r="O1773" s="521">
        <f>M1773=N1773</f>
        <v/>
      </c>
      <c r="P1773" s="521">
        <f>AND(MONTH(F1773)=MONTH(S1773), YEAR(F1773)=YEAR(S1773))</f>
        <v/>
      </c>
      <c r="Q1773" s="521">
        <f>U1773="L001-901905215"</f>
        <v/>
      </c>
      <c r="R1773" s="556">
        <f>G1773-W1773</f>
        <v/>
      </c>
      <c r="S1773" s="523" t="n">
        <v>44294</v>
      </c>
      <c r="T1773" s="522" t="inlineStr">
        <is>
          <t>TI-0197477</t>
        </is>
      </c>
      <c r="U1773" s="522" t="inlineStr">
        <is>
          <t>L001-901905215</t>
        </is>
      </c>
      <c r="V1773" s="522" t="inlineStr">
        <is>
          <t>វីអ៊ីស៊ិន (ខេមបូឌា) អ៊ិនដាសស្ទ្រី ឯ.ក</t>
        </is>
      </c>
      <c r="W1773" s="556" t="n">
        <v>94798</v>
      </c>
    </row>
    <row r="1774">
      <c r="A1774" s="521" t="n">
        <v>1766</v>
      </c>
      <c r="B1774" s="522" t="inlineStr">
        <is>
          <t>Trucking Fee</t>
        </is>
      </c>
      <c r="C1774" s="522" t="inlineStr">
        <is>
          <t>អ៊ិចស្ពែឌីធ័រ ខេមបូឌា អិលធីឌី</t>
        </is>
      </c>
      <c r="D1774" s="522" t="inlineStr">
        <is>
          <t>L001-100045898</t>
        </is>
      </c>
      <c r="E1774" s="521" t="inlineStr">
        <is>
          <t>TI-0197436</t>
        </is>
      </c>
      <c r="F1774" s="523" t="n">
        <v>44293</v>
      </c>
      <c r="G1774" s="556" t="n">
        <v>138464</v>
      </c>
      <c r="I1774" s="521">
        <f>G1774</f>
        <v/>
      </c>
      <c r="K1774" s="521">
        <f>I1774-G1774</f>
        <v/>
      </c>
      <c r="M1774" s="522" t="inlineStr">
        <is>
          <t>TI0197436</t>
        </is>
      </c>
      <c r="N1774" s="522" t="inlineStr">
        <is>
          <t>TI0197436</t>
        </is>
      </c>
      <c r="O1774" s="521">
        <f>M1774=N1774</f>
        <v/>
      </c>
      <c r="P1774" s="521">
        <f>AND(MONTH(F1774)=MONTH(S1774), YEAR(F1774)=YEAR(S1774))</f>
        <v/>
      </c>
      <c r="Q1774" s="521">
        <f>U1774="L001-901905215"</f>
        <v/>
      </c>
      <c r="R1774" s="556">
        <f>G1774-W1774</f>
        <v/>
      </c>
      <c r="S1774" s="523" t="n">
        <v>44293</v>
      </c>
      <c r="T1774" s="522" t="inlineStr">
        <is>
          <t>TI-0197436</t>
        </is>
      </c>
      <c r="U1774" s="522" t="inlineStr">
        <is>
          <t>L001-901905215</t>
        </is>
      </c>
      <c r="V1774" s="522" t="inlineStr">
        <is>
          <t>វីអ៊ីស៊ិន (ខេមបូឌា) អ៊ិនដាសស្ទ្រី ឯ.ក</t>
        </is>
      </c>
      <c r="W1774" s="556" t="n">
        <v>138460</v>
      </c>
    </row>
    <row r="1775">
      <c r="A1775" s="521" t="n">
        <v>1767</v>
      </c>
      <c r="B1775" s="522" t="inlineStr">
        <is>
          <t>Vgm Processing Fee</t>
        </is>
      </c>
      <c r="C1775" s="522" t="inlineStr">
        <is>
          <t>អ៊ិចស្ពែឌីធ័រ ខេមបូឌា អិលធីឌី</t>
        </is>
      </c>
      <c r="D1775" s="522" t="inlineStr">
        <is>
          <t>L001-100045898</t>
        </is>
      </c>
      <c r="E1775" s="521" t="inlineStr">
        <is>
          <t>TI-0197425</t>
        </is>
      </c>
      <c r="F1775" s="523" t="n">
        <v>44293</v>
      </c>
      <c r="G1775" s="556" t="n">
        <v>207398</v>
      </c>
      <c r="I1775" s="521">
        <f>G1775</f>
        <v/>
      </c>
      <c r="K1775" s="521">
        <f>I1775-G1775</f>
        <v/>
      </c>
      <c r="M1775" s="522" t="inlineStr">
        <is>
          <t>TI0197425</t>
        </is>
      </c>
      <c r="N1775" s="522" t="inlineStr">
        <is>
          <t>TI0197425</t>
        </is>
      </c>
      <c r="O1775" s="521">
        <f>M1775=N1775</f>
        <v/>
      </c>
      <c r="P1775" s="521">
        <f>AND(MONTH(F1775)=MONTH(S1775), YEAR(F1775)=YEAR(S1775))</f>
        <v/>
      </c>
      <c r="Q1775" s="521">
        <f>U1775="L001-901905215"</f>
        <v/>
      </c>
      <c r="R1775" s="556">
        <f>G1775-W1775</f>
        <v/>
      </c>
      <c r="S1775" s="523" t="n">
        <v>44293</v>
      </c>
      <c r="T1775" s="522" t="inlineStr">
        <is>
          <t>TI-0197425</t>
        </is>
      </c>
      <c r="U1775" s="522" t="inlineStr">
        <is>
          <t>L001-901905215</t>
        </is>
      </c>
      <c r="V1775" s="522" t="inlineStr">
        <is>
          <t>វីអ៊ីស៊ិន (ខេមបូឌា) អ៊ិនដាសស្ទ្រី ឯ.ក</t>
        </is>
      </c>
      <c r="W1775" s="556" t="n">
        <v>207387</v>
      </c>
    </row>
    <row r="1776">
      <c r="A1776" s="521" t="n">
        <v>1768</v>
      </c>
      <c r="B1776" s="522" t="inlineStr">
        <is>
          <t>Terminal Handing Chr</t>
        </is>
      </c>
      <c r="C1776" s="522" t="inlineStr">
        <is>
          <t>អ៊ិចស្ពែឌីធ័រ ខេមបូឌា អិលធីឌី</t>
        </is>
      </c>
      <c r="D1776" s="522" t="inlineStr">
        <is>
          <t>L001-100045898</t>
        </is>
      </c>
      <c r="E1776" s="521" t="inlineStr">
        <is>
          <t>TI-0197405</t>
        </is>
      </c>
      <c r="F1776" s="523" t="n">
        <v>44293</v>
      </c>
      <c r="G1776" s="556" t="n">
        <v>36405</v>
      </c>
      <c r="I1776" s="521">
        <f>G1776</f>
        <v/>
      </c>
      <c r="K1776" s="521">
        <f>I1776-G1776</f>
        <v/>
      </c>
      <c r="M1776" s="522" t="inlineStr">
        <is>
          <t>TI0197405</t>
        </is>
      </c>
      <c r="N1776" s="522" t="inlineStr">
        <is>
          <t>TI0197405</t>
        </is>
      </c>
      <c r="O1776" s="521">
        <f>M1776=N1776</f>
        <v/>
      </c>
      <c r="P1776" s="521">
        <f>AND(MONTH(F1776)=MONTH(S1776), YEAR(F1776)=YEAR(S1776))</f>
        <v/>
      </c>
      <c r="Q1776" s="521">
        <f>U1776="L001-901905215"</f>
        <v/>
      </c>
      <c r="R1776" s="556">
        <f>G1776-W1776</f>
        <v/>
      </c>
      <c r="S1776" s="523" t="n">
        <v>44293</v>
      </c>
      <c r="T1776" s="522" t="inlineStr">
        <is>
          <t>TI-0197405</t>
        </is>
      </c>
      <c r="U1776" s="522" t="inlineStr">
        <is>
          <t>L001-901905215</t>
        </is>
      </c>
      <c r="V1776" s="522" t="inlineStr">
        <is>
          <t>វីអ៊ីស៊ិន (ខេមបូឌា) អ៊ិនដាសស្ទ្រី ឯ.ក</t>
        </is>
      </c>
      <c r="W1776" s="556" t="n">
        <v>36405</v>
      </c>
    </row>
    <row r="1777">
      <c r="A1777" s="521" t="n">
        <v>1769</v>
      </c>
      <c r="B1777" s="522" t="inlineStr">
        <is>
          <t>Thc Charges</t>
        </is>
      </c>
      <c r="C1777" s="522" t="inlineStr">
        <is>
          <t>អ៊ិចស្ពែឌីធ័រ ខេមបូឌា អិលធីឌី</t>
        </is>
      </c>
      <c r="D1777" s="522" t="inlineStr">
        <is>
          <t>L001-100045898</t>
        </is>
      </c>
      <c r="E1777" s="521" t="inlineStr">
        <is>
          <t>TI-0197319</t>
        </is>
      </c>
      <c r="F1777" s="523" t="n">
        <v>44292</v>
      </c>
      <c r="G1777" s="556" t="n">
        <v>6067</v>
      </c>
      <c r="I1777" s="521">
        <f>G1777</f>
        <v/>
      </c>
      <c r="K1777" s="521">
        <f>I1777-G1777</f>
        <v/>
      </c>
      <c r="M1777" s="522" t="inlineStr">
        <is>
          <t>TI0197319</t>
        </is>
      </c>
      <c r="N1777" s="522" t="inlineStr">
        <is>
          <t>TI0197319</t>
        </is>
      </c>
      <c r="O1777" s="521">
        <f>M1777=N1777</f>
        <v/>
      </c>
      <c r="P1777" s="521">
        <f>AND(MONTH(F1777)=MONTH(S1777), YEAR(F1777)=YEAR(S1777))</f>
        <v/>
      </c>
      <c r="Q1777" s="521">
        <f>U1777="L001-901905215"</f>
        <v/>
      </c>
      <c r="R1777" s="556">
        <f>G1777-W1777</f>
        <v/>
      </c>
      <c r="S1777" s="523" t="n">
        <v>44292</v>
      </c>
      <c r="T1777" s="522" t="inlineStr">
        <is>
          <t>TI-0197319</t>
        </is>
      </c>
      <c r="U1777" s="522" t="inlineStr">
        <is>
          <t>L001-901905215</t>
        </is>
      </c>
      <c r="V1777" s="522" t="inlineStr">
        <is>
          <t>វីអ៊ីស៊ិន (ខេមបូឌា) អ៊ិនដាសស្ទ្រី ឯ.ក</t>
        </is>
      </c>
      <c r="W1777" s="556" t="n">
        <v>6068</v>
      </c>
    </row>
    <row r="1778">
      <c r="A1778" s="521" t="n">
        <v>1770</v>
      </c>
      <c r="B1778" s="522" t="inlineStr">
        <is>
          <t>Custom Clearance Fee</t>
        </is>
      </c>
      <c r="C1778" s="522" t="inlineStr">
        <is>
          <t>56ប៊ី-លីង សឹបផ្លាយ ឆេន មេនេចម៉ិន ឯ.ក</t>
        </is>
      </c>
      <c r="D1778" s="522" t="inlineStr">
        <is>
          <t>K004-902004795</t>
        </is>
      </c>
      <c r="E1778" s="521" t="inlineStr">
        <is>
          <t>IN202104-0269</t>
        </is>
      </c>
      <c r="F1778" s="523" t="n">
        <v>44314</v>
      </c>
      <c r="G1778" s="556" t="n">
        <v>502200</v>
      </c>
      <c r="I1778" s="521">
        <f>G1778</f>
        <v/>
      </c>
      <c r="K1778" s="521">
        <f>I1778-G1778</f>
        <v/>
      </c>
      <c r="M1778" s="522" t="inlineStr">
        <is>
          <t>IN2021040269</t>
        </is>
      </c>
      <c r="N1778" s="522" t="inlineStr">
        <is>
          <t>IN2021040269</t>
        </is>
      </c>
      <c r="O1778" s="521">
        <f>M1778=N1778</f>
        <v/>
      </c>
      <c r="P1778" s="521">
        <f>AND(MONTH(F1778)=MONTH(S1778), YEAR(F1778)=YEAR(S1778))</f>
        <v/>
      </c>
      <c r="Q1778" s="521">
        <f>U1778="L001-901905215"</f>
        <v/>
      </c>
      <c r="R1778" s="556">
        <f>G1778-W1778</f>
        <v/>
      </c>
      <c r="S1778" s="523" t="n">
        <v>44314</v>
      </c>
      <c r="T1778" s="522" t="inlineStr">
        <is>
          <t>IN202104-0269</t>
        </is>
      </c>
      <c r="U1778" s="522" t="inlineStr">
        <is>
          <t>L001-901905215</t>
        </is>
      </c>
      <c r="V1778" s="522" t="inlineStr">
        <is>
          <t>វីអ៊ីស៊ិន (ខេមបូឌា) អ៊ិនដាសស្ទ្រី ឯ.ក</t>
        </is>
      </c>
      <c r="W1778" s="556" t="n">
        <v>502200</v>
      </c>
    </row>
    <row r="1779">
      <c r="A1779" s="521" t="n">
        <v>1771</v>
      </c>
      <c r="B1779" s="522" t="inlineStr">
        <is>
          <t>Custom Clearance Fee</t>
        </is>
      </c>
      <c r="C1779" s="522" t="inlineStr">
        <is>
          <t>56ប៊ី-លីង សឹបផ្លាយ ឆេន មេនេចម៉ិន ឯ.ក</t>
        </is>
      </c>
      <c r="D1779" s="522" t="inlineStr">
        <is>
          <t>K004-902004795</t>
        </is>
      </c>
      <c r="E1779" s="521" t="inlineStr">
        <is>
          <t>IN202104-0268</t>
        </is>
      </c>
      <c r="F1779" s="523" t="n">
        <v>44314</v>
      </c>
      <c r="G1779" s="556" t="n">
        <v>297675</v>
      </c>
      <c r="I1779" s="521">
        <f>G1779</f>
        <v/>
      </c>
      <c r="K1779" s="521">
        <f>I1779-G1779</f>
        <v/>
      </c>
      <c r="M1779" s="522" t="inlineStr">
        <is>
          <t>IN2021040268</t>
        </is>
      </c>
      <c r="N1779" s="522" t="inlineStr">
        <is>
          <t>IN2021040268</t>
        </is>
      </c>
      <c r="O1779" s="521">
        <f>M1779=N1779</f>
        <v/>
      </c>
      <c r="P1779" s="521">
        <f>AND(MONTH(F1779)=MONTH(S1779), YEAR(F1779)=YEAR(S1779))</f>
        <v/>
      </c>
      <c r="Q1779" s="521">
        <f>U1779="L001-901905215"</f>
        <v/>
      </c>
      <c r="R1779" s="556">
        <f>G1779-W1779</f>
        <v/>
      </c>
      <c r="S1779" s="523" t="n">
        <v>44314</v>
      </c>
      <c r="T1779" s="522" t="inlineStr">
        <is>
          <t>IN202104-0268</t>
        </is>
      </c>
      <c r="U1779" s="522" t="inlineStr">
        <is>
          <t>L001-901905215</t>
        </is>
      </c>
      <c r="V1779" s="522" t="inlineStr">
        <is>
          <t>វីអ៊ីស៊ិន (ខេមបូឌា) អ៊ិនដាសស្ទ្រី ឯ.ក</t>
        </is>
      </c>
      <c r="W1779" s="556" t="n">
        <v>297675</v>
      </c>
    </row>
    <row r="1780">
      <c r="A1780" s="521" t="n">
        <v>1772</v>
      </c>
      <c r="B1780" s="522" t="inlineStr">
        <is>
          <t>Custom Clearance Fee</t>
        </is>
      </c>
      <c r="C1780" s="522" t="inlineStr">
        <is>
          <t>56ប៊ី-លីង សឹបផ្លាយ ឆេន មេនេចម៉ិន ឯ.ក</t>
        </is>
      </c>
      <c r="D1780" s="522" t="inlineStr">
        <is>
          <t>K004-902004795</t>
        </is>
      </c>
      <c r="E1780" s="521" t="inlineStr">
        <is>
          <t>IN202104-0267</t>
        </is>
      </c>
      <c r="F1780" s="523" t="n">
        <v>44314</v>
      </c>
      <c r="G1780" s="556" t="n">
        <v>269325</v>
      </c>
      <c r="I1780" s="521">
        <f>G1780</f>
        <v/>
      </c>
      <c r="K1780" s="521">
        <f>I1780-G1780</f>
        <v/>
      </c>
      <c r="M1780" s="522" t="inlineStr">
        <is>
          <t>IN2021040267</t>
        </is>
      </c>
      <c r="N1780" s="522" t="inlineStr">
        <is>
          <t>IN2021040267</t>
        </is>
      </c>
      <c r="O1780" s="521">
        <f>M1780=N1780</f>
        <v/>
      </c>
      <c r="P1780" s="521">
        <f>AND(MONTH(F1780)=MONTH(S1780), YEAR(F1780)=YEAR(S1780))</f>
        <v/>
      </c>
      <c r="Q1780" s="521">
        <f>U1780="L001-901905215"</f>
        <v/>
      </c>
      <c r="R1780" s="556">
        <f>G1780-W1780</f>
        <v/>
      </c>
      <c r="S1780" s="523" t="n">
        <v>44314</v>
      </c>
      <c r="T1780" s="522" t="inlineStr">
        <is>
          <t>IN202104-0267</t>
        </is>
      </c>
      <c r="U1780" s="522" t="inlineStr">
        <is>
          <t>L001-901905215</t>
        </is>
      </c>
      <c r="V1780" s="522" t="inlineStr">
        <is>
          <t>វីអ៊ីស៊ិន (ខេមបូឌា) អ៊ិនដាសស្ទ្រី ឯ.ក</t>
        </is>
      </c>
      <c r="W1780" s="556" t="n">
        <v>269325</v>
      </c>
    </row>
    <row r="1781">
      <c r="A1781" s="521" t="n">
        <v>1773</v>
      </c>
      <c r="B1781" s="522" t="inlineStr">
        <is>
          <t>Custom Clearance Fee</t>
        </is>
      </c>
      <c r="C1781" s="522" t="inlineStr">
        <is>
          <t>56ប៊ី-លីង សឹបផ្លាយ ឆេន មេនេចម៉ិន ឯ.ក</t>
        </is>
      </c>
      <c r="D1781" s="522" t="inlineStr">
        <is>
          <t>K004-902004795</t>
        </is>
      </c>
      <c r="E1781" s="521" t="inlineStr">
        <is>
          <t>IN202104-0266</t>
        </is>
      </c>
      <c r="F1781" s="523" t="n">
        <v>44314</v>
      </c>
      <c r="G1781" s="556" t="n">
        <v>735075</v>
      </c>
      <c r="I1781" s="521">
        <f>G1781</f>
        <v/>
      </c>
      <c r="K1781" s="521">
        <f>I1781-G1781</f>
        <v/>
      </c>
      <c r="M1781" s="522" t="inlineStr">
        <is>
          <t>IN2021040266</t>
        </is>
      </c>
      <c r="N1781" s="522" t="inlineStr">
        <is>
          <t>IN2021040266</t>
        </is>
      </c>
      <c r="O1781" s="521">
        <f>M1781=N1781</f>
        <v/>
      </c>
      <c r="P1781" s="521">
        <f>AND(MONTH(F1781)=MONTH(S1781), YEAR(F1781)=YEAR(S1781))</f>
        <v/>
      </c>
      <c r="Q1781" s="521">
        <f>U1781="L001-901905215"</f>
        <v/>
      </c>
      <c r="R1781" s="556">
        <f>G1781-W1781</f>
        <v/>
      </c>
      <c r="S1781" s="523" t="n">
        <v>44314</v>
      </c>
      <c r="T1781" s="522" t="inlineStr">
        <is>
          <t>IN202104-0266</t>
        </is>
      </c>
      <c r="U1781" s="522" t="inlineStr">
        <is>
          <t>L001-901905215</t>
        </is>
      </c>
      <c r="V1781" s="522" t="inlineStr">
        <is>
          <t>វីអ៊ីស៊ិន (ខេមបូឌា) អ៊ិនដាសស្ទ្រី ឯ.ក</t>
        </is>
      </c>
      <c r="W1781" s="556" t="n">
        <v>735075</v>
      </c>
    </row>
    <row r="1782">
      <c r="A1782" s="521" t="n">
        <v>1774</v>
      </c>
      <c r="B1782" s="522" t="inlineStr">
        <is>
          <t>Custom Clearance Fee</t>
        </is>
      </c>
      <c r="C1782" s="522" t="inlineStr">
        <is>
          <t>56ប៊ី-លីង សឹបផ្លាយ ឆេន មេនេចម៉ិន ឯ.ក</t>
        </is>
      </c>
      <c r="D1782" s="522" t="inlineStr">
        <is>
          <t>K004-902004795</t>
        </is>
      </c>
      <c r="E1782" s="521" t="inlineStr">
        <is>
          <t>IN202104-0265</t>
        </is>
      </c>
      <c r="F1782" s="523" t="n">
        <v>44314</v>
      </c>
      <c r="G1782" s="556" t="n">
        <v>208575</v>
      </c>
      <c r="I1782" s="521">
        <f>G1782</f>
        <v/>
      </c>
      <c r="K1782" s="521">
        <f>I1782-G1782</f>
        <v/>
      </c>
      <c r="M1782" s="522" t="inlineStr">
        <is>
          <t>IN2021040265</t>
        </is>
      </c>
      <c r="N1782" s="522" t="inlineStr">
        <is>
          <t>IN2021040265</t>
        </is>
      </c>
      <c r="O1782" s="521">
        <f>M1782=N1782</f>
        <v/>
      </c>
      <c r="P1782" s="521">
        <f>AND(MONTH(F1782)=MONTH(S1782), YEAR(F1782)=YEAR(S1782))</f>
        <v/>
      </c>
      <c r="Q1782" s="521">
        <f>U1782="L001-901905215"</f>
        <v/>
      </c>
      <c r="R1782" s="556">
        <f>G1782-W1782</f>
        <v/>
      </c>
      <c r="S1782" s="523" t="n">
        <v>44314</v>
      </c>
      <c r="T1782" s="522" t="inlineStr">
        <is>
          <t>IN202104-0265</t>
        </is>
      </c>
      <c r="U1782" s="522" t="inlineStr">
        <is>
          <t>L001-901905215</t>
        </is>
      </c>
      <c r="V1782" s="522" t="inlineStr">
        <is>
          <t>វីអ៊ីស៊ិន (ខេមបូឌា) អ៊ិនដាសស្ទ្រី ឯ.ក</t>
        </is>
      </c>
      <c r="W1782" s="556" t="n">
        <v>208575</v>
      </c>
    </row>
    <row r="1783">
      <c r="A1783" s="521" t="n">
        <v>1775</v>
      </c>
      <c r="B1783" s="522" t="inlineStr">
        <is>
          <t>Custom Clearance Fee</t>
        </is>
      </c>
      <c r="C1783" s="522" t="inlineStr">
        <is>
          <t>56ប៊ី-លីង សឹបផ្លាយ ឆេន មេនេចម៉ិន ឯ.ក</t>
        </is>
      </c>
      <c r="D1783" s="522" t="inlineStr">
        <is>
          <t>K004-902004795</t>
        </is>
      </c>
      <c r="E1783" s="521" t="inlineStr">
        <is>
          <t>IN202104-0264</t>
        </is>
      </c>
      <c r="F1783" s="523" t="n">
        <v>44314</v>
      </c>
      <c r="G1783" s="556" t="n">
        <v>336150</v>
      </c>
      <c r="I1783" s="521">
        <f>G1783</f>
        <v/>
      </c>
      <c r="K1783" s="521">
        <f>I1783-G1783</f>
        <v/>
      </c>
      <c r="M1783" s="522" t="inlineStr">
        <is>
          <t>IN2021040264</t>
        </is>
      </c>
      <c r="N1783" s="522" t="inlineStr">
        <is>
          <t>IN2021040264</t>
        </is>
      </c>
      <c r="O1783" s="521">
        <f>M1783=N1783</f>
        <v/>
      </c>
      <c r="P1783" s="521">
        <f>AND(MONTH(F1783)=MONTH(S1783), YEAR(F1783)=YEAR(S1783))</f>
        <v/>
      </c>
      <c r="Q1783" s="521">
        <f>U1783="L001-901905215"</f>
        <v/>
      </c>
      <c r="R1783" s="556">
        <f>G1783-W1783</f>
        <v/>
      </c>
      <c r="S1783" s="523" t="n">
        <v>44314</v>
      </c>
      <c r="T1783" s="522" t="inlineStr">
        <is>
          <t>IN202104-0264</t>
        </is>
      </c>
      <c r="U1783" s="522" t="inlineStr">
        <is>
          <t>L001-901905215</t>
        </is>
      </c>
      <c r="V1783" s="522" t="inlineStr">
        <is>
          <t>វីអ៊ីស៊ិន (ខេមបូឌា) អ៊ិនដាសស្ទ្រី ឯ.ក</t>
        </is>
      </c>
      <c r="W1783" s="556" t="n">
        <v>336150</v>
      </c>
    </row>
    <row r="1784">
      <c r="A1784" s="521" t="n">
        <v>1776</v>
      </c>
      <c r="B1784" s="522" t="inlineStr">
        <is>
          <t>Custom Clearance Fee</t>
        </is>
      </c>
      <c r="C1784" s="522" t="inlineStr">
        <is>
          <t>56ប៊ី-លីង សឹបផ្លាយ ឆេន មេនេចម៉ិន ឯ.ក</t>
        </is>
      </c>
      <c r="D1784" s="522" t="inlineStr">
        <is>
          <t>K004-902004795</t>
        </is>
      </c>
      <c r="E1784" s="521" t="inlineStr">
        <is>
          <t>IN202104-0263</t>
        </is>
      </c>
      <c r="F1784" s="523" t="n">
        <v>44314</v>
      </c>
      <c r="G1784" s="556" t="n">
        <v>257175</v>
      </c>
      <c r="I1784" s="521">
        <f>G1784</f>
        <v/>
      </c>
      <c r="K1784" s="521">
        <f>I1784-G1784</f>
        <v/>
      </c>
      <c r="M1784" s="522" t="inlineStr">
        <is>
          <t>IN2021040263</t>
        </is>
      </c>
      <c r="N1784" s="522" t="inlineStr">
        <is>
          <t>IN2021040263</t>
        </is>
      </c>
      <c r="O1784" s="521">
        <f>M1784=N1784</f>
        <v/>
      </c>
      <c r="P1784" s="521">
        <f>AND(MONTH(F1784)=MONTH(S1784), YEAR(F1784)=YEAR(S1784))</f>
        <v/>
      </c>
      <c r="Q1784" s="521">
        <f>U1784="L001-901905215"</f>
        <v/>
      </c>
      <c r="R1784" s="556">
        <f>G1784-W1784</f>
        <v/>
      </c>
      <c r="S1784" s="523" t="n">
        <v>44314</v>
      </c>
      <c r="T1784" s="522" t="inlineStr">
        <is>
          <t>IN202104-0263</t>
        </is>
      </c>
      <c r="U1784" s="522" t="inlineStr">
        <is>
          <t>L001-901905215</t>
        </is>
      </c>
      <c r="V1784" s="522" t="inlineStr">
        <is>
          <t>វីអ៊ីស៊ិន (ខេមបូឌា) អ៊ិនដាសស្ទ្រី ឯ.ក</t>
        </is>
      </c>
      <c r="W1784" s="556" t="n">
        <v>257175</v>
      </c>
    </row>
    <row r="1785">
      <c r="A1785" s="521" t="n">
        <v>1777</v>
      </c>
      <c r="B1785" s="522" t="inlineStr">
        <is>
          <t>Custom Clearance Fee</t>
        </is>
      </c>
      <c r="C1785" s="522" t="inlineStr">
        <is>
          <t>56ប៊ី-លីង សឹបផ្លាយ ឆេន មេនេចម៉ិន ឯ.ក</t>
        </is>
      </c>
      <c r="D1785" s="522" t="inlineStr">
        <is>
          <t>K004-902004795</t>
        </is>
      </c>
      <c r="E1785" s="521" t="inlineStr">
        <is>
          <t>IN202104-0262</t>
        </is>
      </c>
      <c r="F1785" s="523" t="n">
        <v>44314</v>
      </c>
      <c r="G1785" s="556" t="n">
        <v>269325</v>
      </c>
      <c r="I1785" s="521">
        <f>G1785</f>
        <v/>
      </c>
      <c r="K1785" s="521">
        <f>I1785-G1785</f>
        <v/>
      </c>
      <c r="M1785" s="522" t="inlineStr">
        <is>
          <t>IN2021040262</t>
        </is>
      </c>
      <c r="N1785" s="522" t="inlineStr">
        <is>
          <t>IN2021040262</t>
        </is>
      </c>
      <c r="O1785" s="521">
        <f>M1785=N1785</f>
        <v/>
      </c>
      <c r="P1785" s="521">
        <f>AND(MONTH(F1785)=MONTH(S1785), YEAR(F1785)=YEAR(S1785))</f>
        <v/>
      </c>
      <c r="Q1785" s="521">
        <f>U1785="L001-901905215"</f>
        <v/>
      </c>
      <c r="R1785" s="556">
        <f>G1785-W1785</f>
        <v/>
      </c>
      <c r="S1785" s="523" t="n">
        <v>44314</v>
      </c>
      <c r="T1785" s="522" t="inlineStr">
        <is>
          <t>IN202104-0262</t>
        </is>
      </c>
      <c r="U1785" s="522" t="inlineStr">
        <is>
          <t>L001-901905215</t>
        </is>
      </c>
      <c r="V1785" s="522" t="inlineStr">
        <is>
          <t>វីអ៊ីស៊ិន (ខេមបូឌា) អ៊ិនដាសស្ទ្រី ឯ.ក</t>
        </is>
      </c>
      <c r="W1785" s="556" t="n">
        <v>269325</v>
      </c>
    </row>
    <row r="1786">
      <c r="A1786" s="521" t="n">
        <v>1778</v>
      </c>
      <c r="B1786" s="522" t="inlineStr">
        <is>
          <t>Custom Clearance Fee</t>
        </is>
      </c>
      <c r="C1786" s="522" t="inlineStr">
        <is>
          <t>56ប៊ី-លីង សឹបផ្លាយ ឆេន មេនេចម៉ិន ឯ.ក</t>
        </is>
      </c>
      <c r="D1786" s="522" t="inlineStr">
        <is>
          <t>K004-902004795</t>
        </is>
      </c>
      <c r="E1786" s="521" t="inlineStr">
        <is>
          <t>IN202104-0261</t>
        </is>
      </c>
      <c r="F1786" s="523" t="n">
        <v>44314</v>
      </c>
      <c r="G1786" s="556" t="n">
        <v>297675</v>
      </c>
      <c r="I1786" s="521">
        <f>G1786</f>
        <v/>
      </c>
      <c r="K1786" s="521">
        <f>I1786-G1786</f>
        <v/>
      </c>
      <c r="M1786" s="522" t="inlineStr">
        <is>
          <t>IN2021040261</t>
        </is>
      </c>
      <c r="N1786" s="522" t="inlineStr">
        <is>
          <t>IN2021040261</t>
        </is>
      </c>
      <c r="O1786" s="521">
        <f>M1786=N1786</f>
        <v/>
      </c>
      <c r="P1786" s="521">
        <f>AND(MONTH(F1786)=MONTH(S1786), YEAR(F1786)=YEAR(S1786))</f>
        <v/>
      </c>
      <c r="Q1786" s="521">
        <f>U1786="L001-901905215"</f>
        <v/>
      </c>
      <c r="R1786" s="556">
        <f>G1786-W1786</f>
        <v/>
      </c>
      <c r="S1786" s="523" t="n">
        <v>44314</v>
      </c>
      <c r="T1786" s="522" t="inlineStr">
        <is>
          <t>IN202104-0261</t>
        </is>
      </c>
      <c r="U1786" s="522" t="inlineStr">
        <is>
          <t>L001-901905215</t>
        </is>
      </c>
      <c r="V1786" s="522" t="inlineStr">
        <is>
          <t>វីអ៊ីស៊ិន (ខេមបូឌា) អ៊ិនដាសស្ទ្រី ឯ.ក</t>
        </is>
      </c>
      <c r="W1786" s="556" t="n">
        <v>297675</v>
      </c>
    </row>
    <row r="1787">
      <c r="A1787" s="521" t="n">
        <v>1779</v>
      </c>
      <c r="B1787" s="522" t="inlineStr">
        <is>
          <t>Custom Clearance Fee</t>
        </is>
      </c>
      <c r="C1787" s="522" t="inlineStr">
        <is>
          <t>56ប៊ី-លីង សឹបផ្លាយ ឆេន មេនេចម៉ិន ឯ.ក</t>
        </is>
      </c>
      <c r="D1787" s="522" t="inlineStr">
        <is>
          <t>K004-902004795</t>
        </is>
      </c>
      <c r="E1787" s="521" t="inlineStr">
        <is>
          <t>IN202104-0260</t>
        </is>
      </c>
      <c r="F1787" s="523" t="n">
        <v>44314</v>
      </c>
      <c r="G1787" s="556" t="n">
        <v>257175</v>
      </c>
      <c r="I1787" s="521">
        <f>G1787</f>
        <v/>
      </c>
      <c r="K1787" s="521">
        <f>I1787-G1787</f>
        <v/>
      </c>
      <c r="M1787" s="522" t="inlineStr">
        <is>
          <t>IN2021040260</t>
        </is>
      </c>
      <c r="N1787" s="522" t="inlineStr">
        <is>
          <t>IN2021040260</t>
        </is>
      </c>
      <c r="O1787" s="521">
        <f>M1787=N1787</f>
        <v/>
      </c>
      <c r="P1787" s="521">
        <f>AND(MONTH(F1787)=MONTH(S1787), YEAR(F1787)=YEAR(S1787))</f>
        <v/>
      </c>
      <c r="Q1787" s="521">
        <f>U1787="L001-901905215"</f>
        <v/>
      </c>
      <c r="R1787" s="556">
        <f>G1787-W1787</f>
        <v/>
      </c>
      <c r="S1787" s="523" t="n">
        <v>44314</v>
      </c>
      <c r="T1787" s="522" t="inlineStr">
        <is>
          <t>IN202104-0260</t>
        </is>
      </c>
      <c r="U1787" s="522" t="inlineStr">
        <is>
          <t>L001-901905215</t>
        </is>
      </c>
      <c r="V1787" s="522" t="inlineStr">
        <is>
          <t>វីអ៊ីស៊ិន (ខេមបូឌា) អ៊ិនដាសស្ទ្រី ឯ.ក</t>
        </is>
      </c>
      <c r="W1787" s="556" t="n">
        <v>257175</v>
      </c>
    </row>
    <row r="1788">
      <c r="A1788" s="521" t="n">
        <v>1780</v>
      </c>
      <c r="B1788" s="522" t="inlineStr">
        <is>
          <t>Custom Clearance Fee</t>
        </is>
      </c>
      <c r="C1788" s="522" t="inlineStr">
        <is>
          <t>56ប៊ី-លីង សឹបផ្លាយ ឆេន មេនេចម៉ិន ឯ.ក</t>
        </is>
      </c>
      <c r="D1788" s="522" t="inlineStr">
        <is>
          <t>K004-902004795</t>
        </is>
      </c>
      <c r="E1788" s="521" t="inlineStr">
        <is>
          <t>IN202104-0259</t>
        </is>
      </c>
      <c r="F1788" s="523" t="n">
        <v>44314</v>
      </c>
      <c r="G1788" s="556" t="n">
        <v>269325</v>
      </c>
      <c r="I1788" s="521">
        <f>G1788</f>
        <v/>
      </c>
      <c r="K1788" s="521">
        <f>I1788-G1788</f>
        <v/>
      </c>
      <c r="M1788" s="522" t="inlineStr">
        <is>
          <t>IN2021040259</t>
        </is>
      </c>
      <c r="N1788" s="522" t="inlineStr">
        <is>
          <t>IN2021040259</t>
        </is>
      </c>
      <c r="O1788" s="521">
        <f>M1788=N1788</f>
        <v/>
      </c>
      <c r="P1788" s="521">
        <f>AND(MONTH(F1788)=MONTH(S1788), YEAR(F1788)=YEAR(S1788))</f>
        <v/>
      </c>
      <c r="Q1788" s="521">
        <f>U1788="L001-901905215"</f>
        <v/>
      </c>
      <c r="R1788" s="556">
        <f>G1788-W1788</f>
        <v/>
      </c>
      <c r="S1788" s="523" t="n">
        <v>44314</v>
      </c>
      <c r="T1788" s="522" t="inlineStr">
        <is>
          <t>IN202104-0259</t>
        </is>
      </c>
      <c r="U1788" s="522" t="inlineStr">
        <is>
          <t>L001-901905215</t>
        </is>
      </c>
      <c r="V1788" s="522" t="inlineStr">
        <is>
          <t>វីអ៊ីស៊ិន (ខេមបូឌា) អ៊ិនដាសស្ទ្រី ឯ.ក</t>
        </is>
      </c>
      <c r="W1788" s="556" t="n">
        <v>269325</v>
      </c>
    </row>
    <row r="1789">
      <c r="A1789" s="521" t="n">
        <v>1781</v>
      </c>
      <c r="B1789" s="522" t="inlineStr">
        <is>
          <t>Custom Clearance Fee</t>
        </is>
      </c>
      <c r="C1789" s="522" t="inlineStr">
        <is>
          <t>56ប៊ី-លីង សឹបផ្លាយ ឆេន មេនេចម៉ិន ឯ.ក</t>
        </is>
      </c>
      <c r="D1789" s="522" t="inlineStr">
        <is>
          <t>K004-902004795</t>
        </is>
      </c>
      <c r="E1789" s="521" t="inlineStr">
        <is>
          <t>IN202104-0258</t>
        </is>
      </c>
      <c r="F1789" s="523" t="n">
        <v>44314</v>
      </c>
      <c r="G1789" s="556" t="n">
        <v>269325</v>
      </c>
      <c r="I1789" s="521">
        <f>G1789</f>
        <v/>
      </c>
      <c r="K1789" s="521">
        <f>I1789-G1789</f>
        <v/>
      </c>
      <c r="M1789" s="522" t="inlineStr">
        <is>
          <t>IN2021040258</t>
        </is>
      </c>
      <c r="N1789" s="522" t="inlineStr">
        <is>
          <t>IN2021040258</t>
        </is>
      </c>
      <c r="O1789" s="521">
        <f>M1789=N1789</f>
        <v/>
      </c>
      <c r="P1789" s="521">
        <f>AND(MONTH(F1789)=MONTH(S1789), YEAR(F1789)=YEAR(S1789))</f>
        <v/>
      </c>
      <c r="Q1789" s="521">
        <f>U1789="L001-901905215"</f>
        <v/>
      </c>
      <c r="R1789" s="556">
        <f>G1789-W1789</f>
        <v/>
      </c>
      <c r="S1789" s="523" t="n">
        <v>44314</v>
      </c>
      <c r="T1789" s="522" t="inlineStr">
        <is>
          <t>IN202104-0258</t>
        </is>
      </c>
      <c r="U1789" s="522" t="inlineStr">
        <is>
          <t>L001-901905215</t>
        </is>
      </c>
      <c r="V1789" s="522" t="inlineStr">
        <is>
          <t>វីអ៊ីស៊ិន (ខេមបូឌា) អ៊ិនដាសស្ទ្រី ឯ.ក</t>
        </is>
      </c>
      <c r="W1789" s="556" t="n">
        <v>269325</v>
      </c>
    </row>
    <row r="1790">
      <c r="A1790" s="521" t="n">
        <v>1782</v>
      </c>
      <c r="B1790" s="522" t="inlineStr">
        <is>
          <t>Custom Clearance Fee</t>
        </is>
      </c>
      <c r="C1790" s="522" t="inlineStr">
        <is>
          <t>56ប៊ី-លីង សឹបផ្លាយ ឆេន មេនេចម៉ិន ឯ.ក</t>
        </is>
      </c>
      <c r="D1790" s="522" t="inlineStr">
        <is>
          <t>K004-902004795</t>
        </is>
      </c>
      <c r="E1790" s="521" t="inlineStr">
        <is>
          <t>IN202104-0257</t>
        </is>
      </c>
      <c r="F1790" s="523" t="n">
        <v>44314</v>
      </c>
      <c r="G1790" s="556" t="n">
        <v>164025</v>
      </c>
      <c r="I1790" s="521">
        <f>G1790</f>
        <v/>
      </c>
      <c r="K1790" s="521">
        <f>I1790-G1790</f>
        <v/>
      </c>
      <c r="M1790" s="522" t="inlineStr">
        <is>
          <t>IN2021040257</t>
        </is>
      </c>
      <c r="N1790" s="522" t="inlineStr">
        <is>
          <t>IN2021040257</t>
        </is>
      </c>
      <c r="O1790" s="521">
        <f>M1790=N1790</f>
        <v/>
      </c>
      <c r="P1790" s="521">
        <f>AND(MONTH(F1790)=MONTH(S1790), YEAR(F1790)=YEAR(S1790))</f>
        <v/>
      </c>
      <c r="Q1790" s="521">
        <f>U1790="L001-901905215"</f>
        <v/>
      </c>
      <c r="R1790" s="556">
        <f>G1790-W1790</f>
        <v/>
      </c>
      <c r="S1790" s="523" t="n">
        <v>44314</v>
      </c>
      <c r="T1790" s="522" t="inlineStr">
        <is>
          <t>IN202104-0257</t>
        </is>
      </c>
      <c r="U1790" s="522" t="inlineStr">
        <is>
          <t>L001-901905215</t>
        </is>
      </c>
      <c r="V1790" s="522" t="inlineStr">
        <is>
          <t>វីអ៊ីស៊ិន (ខេមបូឌា) អ៊ិនដាសស្ទ្រី ឯ.ក</t>
        </is>
      </c>
      <c r="W1790" s="556" t="n">
        <v>164025</v>
      </c>
    </row>
    <row r="1791">
      <c r="A1791" s="521" t="n">
        <v>1783</v>
      </c>
      <c r="B1791" s="522" t="inlineStr">
        <is>
          <t>Custom Clearance Fee</t>
        </is>
      </c>
      <c r="C1791" s="522" t="inlineStr">
        <is>
          <t>56ប៊ី-លីង សឹបផ្លាយ ឆេន មេនេចម៉ិន ឯ.ក</t>
        </is>
      </c>
      <c r="D1791" s="522" t="inlineStr">
        <is>
          <t>K004-902004795</t>
        </is>
      </c>
      <c r="E1791" s="521" t="inlineStr">
        <is>
          <t>IN202104-0256</t>
        </is>
      </c>
      <c r="F1791" s="523" t="n">
        <v>44314</v>
      </c>
      <c r="G1791" s="556" t="n">
        <v>166050</v>
      </c>
      <c r="I1791" s="521">
        <f>G1791</f>
        <v/>
      </c>
      <c r="K1791" s="521">
        <f>I1791-G1791</f>
        <v/>
      </c>
      <c r="M1791" s="522" t="inlineStr">
        <is>
          <t>IN2021040256</t>
        </is>
      </c>
      <c r="N1791" s="522" t="inlineStr">
        <is>
          <t>IN2021040256</t>
        </is>
      </c>
      <c r="O1791" s="521">
        <f>M1791=N1791</f>
        <v/>
      </c>
      <c r="P1791" s="521">
        <f>AND(MONTH(F1791)=MONTH(S1791), YEAR(F1791)=YEAR(S1791))</f>
        <v/>
      </c>
      <c r="Q1791" s="521">
        <f>U1791="L001-901905215"</f>
        <v/>
      </c>
      <c r="R1791" s="556">
        <f>G1791-W1791</f>
        <v/>
      </c>
      <c r="S1791" s="523" t="n">
        <v>44314</v>
      </c>
      <c r="T1791" s="522" t="inlineStr">
        <is>
          <t>IN202104-0256</t>
        </is>
      </c>
      <c r="U1791" s="522" t="inlineStr">
        <is>
          <t>L001-901905215</t>
        </is>
      </c>
      <c r="V1791" s="522" t="inlineStr">
        <is>
          <t>វីអ៊ីស៊ិន (ខេមបូឌា) អ៊ិនដាសស្ទ្រី ឯ.ក</t>
        </is>
      </c>
      <c r="W1791" s="556" t="n">
        <v>169323</v>
      </c>
    </row>
    <row r="1792">
      <c r="A1792" s="521" t="n">
        <v>1784</v>
      </c>
      <c r="B1792" s="522" t="inlineStr">
        <is>
          <t>Custom Clearance Fee</t>
        </is>
      </c>
      <c r="C1792" s="522" t="inlineStr">
        <is>
          <t>56ប៊ី-លីង សឹបផ្លាយ ឆេន មេនេចម៉ិន ឯ.ក</t>
        </is>
      </c>
      <c r="D1792" s="522" t="inlineStr">
        <is>
          <t>K004-902004795</t>
        </is>
      </c>
      <c r="E1792" s="521" t="inlineStr">
        <is>
          <t>IN202104-0255</t>
        </is>
      </c>
      <c r="F1792" s="523" t="n">
        <v>44314</v>
      </c>
      <c r="G1792" s="556" t="n">
        <v>164025</v>
      </c>
      <c r="I1792" s="521">
        <f>G1792</f>
        <v/>
      </c>
      <c r="K1792" s="521">
        <f>I1792-G1792</f>
        <v/>
      </c>
      <c r="M1792" s="522" t="inlineStr">
        <is>
          <t>IN2021040255</t>
        </is>
      </c>
      <c r="N1792" s="522" t="inlineStr">
        <is>
          <t>IN2021040255</t>
        </is>
      </c>
      <c r="O1792" s="521">
        <f>M1792=N1792</f>
        <v/>
      </c>
      <c r="P1792" s="521">
        <f>AND(MONTH(F1792)=MONTH(S1792), YEAR(F1792)=YEAR(S1792))</f>
        <v/>
      </c>
      <c r="Q1792" s="521">
        <f>U1792="L001-901905215"</f>
        <v/>
      </c>
      <c r="R1792" s="556">
        <f>G1792-W1792</f>
        <v/>
      </c>
      <c r="S1792" s="523" t="n">
        <v>44314</v>
      </c>
      <c r="T1792" s="522" t="inlineStr">
        <is>
          <t>IN202104-0255</t>
        </is>
      </c>
      <c r="U1792" s="522" t="inlineStr">
        <is>
          <t>L001-901905215</t>
        </is>
      </c>
      <c r="V1792" s="522" t="inlineStr">
        <is>
          <t>វីអ៊ីស៊ិន (ខេមបូឌា) អ៊ិនដាសស្ទ្រី ឯ.ក</t>
        </is>
      </c>
      <c r="W1792" s="556" t="n">
        <v>164025</v>
      </c>
    </row>
    <row r="1793">
      <c r="A1793" s="521" t="n">
        <v>1785</v>
      </c>
      <c r="B1793" s="522" t="inlineStr">
        <is>
          <t>Custom Clearance Fee</t>
        </is>
      </c>
      <c r="C1793" s="522" t="inlineStr">
        <is>
          <t>56ប៊ី-លីង សឹបផ្លាយ ឆេន មេនេចម៉ិន ឯ.ក</t>
        </is>
      </c>
      <c r="D1793" s="522" t="inlineStr">
        <is>
          <t>K004-902004795</t>
        </is>
      </c>
      <c r="E1793" s="521" t="inlineStr">
        <is>
          <t>IN202104-0254</t>
        </is>
      </c>
      <c r="F1793" s="523" t="n">
        <v>44314</v>
      </c>
      <c r="G1793" s="556" t="n">
        <v>269325</v>
      </c>
      <c r="I1793" s="521">
        <f>G1793</f>
        <v/>
      </c>
      <c r="K1793" s="521">
        <f>I1793-G1793</f>
        <v/>
      </c>
      <c r="M1793" s="522" t="inlineStr">
        <is>
          <t>IN2021040254</t>
        </is>
      </c>
      <c r="N1793" s="522" t="inlineStr">
        <is>
          <t>IN2021040254</t>
        </is>
      </c>
      <c r="O1793" s="521">
        <f>M1793=N1793</f>
        <v/>
      </c>
      <c r="P1793" s="521">
        <f>AND(MONTH(F1793)=MONTH(S1793), YEAR(F1793)=YEAR(S1793))</f>
        <v/>
      </c>
      <c r="Q1793" s="521">
        <f>U1793="L001-901905215"</f>
        <v/>
      </c>
      <c r="R1793" s="556">
        <f>G1793-W1793</f>
        <v/>
      </c>
      <c r="S1793" s="523" t="n">
        <v>44314</v>
      </c>
      <c r="T1793" s="522" t="inlineStr">
        <is>
          <t>IN202104-0254</t>
        </is>
      </c>
      <c r="U1793" s="522" t="inlineStr">
        <is>
          <t>L001-901905215</t>
        </is>
      </c>
      <c r="V1793" s="522" t="inlineStr">
        <is>
          <t>វីអ៊ីស៊ិន (ខេមបូឌា) អ៊ិនដាសស្ទ្រី ឯ.ក</t>
        </is>
      </c>
      <c r="W1793" s="556" t="n">
        <v>269325</v>
      </c>
    </row>
    <row r="1794">
      <c r="A1794" s="521" t="n">
        <v>1786</v>
      </c>
      <c r="B1794" s="522" t="inlineStr">
        <is>
          <t>Custom Clearance Fee</t>
        </is>
      </c>
      <c r="C1794" s="522" t="inlineStr">
        <is>
          <t>56ប៊ី-លីង សឹបផ្លាយ ឆេន មេនេចម៉ិន ឯ.ក</t>
        </is>
      </c>
      <c r="D1794" s="522" t="inlineStr">
        <is>
          <t>K004-902004795</t>
        </is>
      </c>
      <c r="E1794" s="521" t="inlineStr">
        <is>
          <t>IN202104-0253</t>
        </is>
      </c>
      <c r="F1794" s="523" t="n">
        <v>44314</v>
      </c>
      <c r="G1794" s="556" t="n">
        <v>297675</v>
      </c>
      <c r="I1794" s="521">
        <f>G1794</f>
        <v/>
      </c>
      <c r="K1794" s="521">
        <f>I1794-G1794</f>
        <v/>
      </c>
      <c r="M1794" s="522" t="inlineStr">
        <is>
          <t>IN2021040253</t>
        </is>
      </c>
      <c r="N1794" s="522" t="inlineStr">
        <is>
          <t>IN2021040253</t>
        </is>
      </c>
      <c r="O1794" s="521">
        <f>M1794=N1794</f>
        <v/>
      </c>
      <c r="P1794" s="521">
        <f>AND(MONTH(F1794)=MONTH(S1794), YEAR(F1794)=YEAR(S1794))</f>
        <v/>
      </c>
      <c r="Q1794" s="521">
        <f>U1794="L001-901905215"</f>
        <v/>
      </c>
      <c r="R1794" s="556">
        <f>G1794-W1794</f>
        <v/>
      </c>
      <c r="S1794" s="523" t="n">
        <v>44314</v>
      </c>
      <c r="T1794" s="522" t="inlineStr">
        <is>
          <t>IN202104-0253</t>
        </is>
      </c>
      <c r="U1794" s="522" t="inlineStr">
        <is>
          <t>L001-901905215</t>
        </is>
      </c>
      <c r="V1794" s="522" t="inlineStr">
        <is>
          <t>វីអ៊ីស៊ិន (ខេមបូឌា) អ៊ិនដាសស្ទ្រី ឯ.ក</t>
        </is>
      </c>
      <c r="W1794" s="556" t="n">
        <v>297675</v>
      </c>
    </row>
    <row r="1795">
      <c r="A1795" s="521" t="n">
        <v>1787</v>
      </c>
      <c r="B1795" s="522" t="inlineStr">
        <is>
          <t>Custom Clearance Fee</t>
        </is>
      </c>
      <c r="C1795" s="522" t="inlineStr">
        <is>
          <t>56ប៊ី-លីង សឹបផ្លាយ ឆេន មេនេចម៉ិន ឯ.ក</t>
        </is>
      </c>
      <c r="D1795" s="522" t="inlineStr">
        <is>
          <t>K004-902004795</t>
        </is>
      </c>
      <c r="E1795" s="521" t="inlineStr">
        <is>
          <t>IN202104-0252</t>
        </is>
      </c>
      <c r="F1795" s="523" t="n">
        <v>44314</v>
      </c>
      <c r="G1795" s="556" t="n">
        <v>293625</v>
      </c>
      <c r="I1795" s="521">
        <f>G1795</f>
        <v/>
      </c>
      <c r="K1795" s="521">
        <f>I1795-G1795</f>
        <v/>
      </c>
      <c r="M1795" s="522" t="inlineStr">
        <is>
          <t>IN2021040252</t>
        </is>
      </c>
      <c r="N1795" s="522" t="inlineStr">
        <is>
          <t>IN2021040252</t>
        </is>
      </c>
      <c r="O1795" s="521">
        <f>M1795=N1795</f>
        <v/>
      </c>
      <c r="P1795" s="521">
        <f>AND(MONTH(F1795)=MONTH(S1795), YEAR(F1795)=YEAR(S1795))</f>
        <v/>
      </c>
      <c r="Q1795" s="521">
        <f>U1795="L001-901905215"</f>
        <v/>
      </c>
      <c r="R1795" s="556">
        <f>G1795-W1795</f>
        <v/>
      </c>
      <c r="S1795" s="523" t="n">
        <v>44314</v>
      </c>
      <c r="T1795" s="522" t="inlineStr">
        <is>
          <t>IN202104-0252</t>
        </is>
      </c>
      <c r="U1795" s="522" t="inlineStr">
        <is>
          <t>L001-901905215</t>
        </is>
      </c>
      <c r="V1795" s="522" t="inlineStr">
        <is>
          <t>វីអ៊ីស៊ិន (ខេមបូឌា) អ៊ិនដាសស្ទ្រី ឯ.ក</t>
        </is>
      </c>
      <c r="W1795" s="556" t="n">
        <v>293625</v>
      </c>
    </row>
    <row r="1796">
      <c r="A1796" s="521" t="n">
        <v>1788</v>
      </c>
      <c r="B1796" s="522" t="inlineStr">
        <is>
          <t>Custom Clearance Fee</t>
        </is>
      </c>
      <c r="C1796" s="522" t="inlineStr">
        <is>
          <t>56ប៊ី-លីង សឹបផ្លាយ ឆេន មេនេចម៉ិន ឯ.ក</t>
        </is>
      </c>
      <c r="D1796" s="522" t="inlineStr">
        <is>
          <t>K004-902004795</t>
        </is>
      </c>
      <c r="E1796" s="521" t="inlineStr">
        <is>
          <t>IN202104-0251</t>
        </is>
      </c>
      <c r="F1796" s="523" t="n">
        <v>44314</v>
      </c>
      <c r="G1796" s="556" t="n">
        <v>269325</v>
      </c>
      <c r="I1796" s="521">
        <f>G1796</f>
        <v/>
      </c>
      <c r="K1796" s="521">
        <f>I1796-G1796</f>
        <v/>
      </c>
      <c r="M1796" s="522" t="inlineStr">
        <is>
          <t>IN2021040251</t>
        </is>
      </c>
      <c r="N1796" s="522" t="inlineStr">
        <is>
          <t>IN2021040251</t>
        </is>
      </c>
      <c r="O1796" s="521">
        <f>M1796=N1796</f>
        <v/>
      </c>
      <c r="P1796" s="521">
        <f>AND(MONTH(F1796)=MONTH(S1796), YEAR(F1796)=YEAR(S1796))</f>
        <v/>
      </c>
      <c r="Q1796" s="521">
        <f>U1796="L001-901905215"</f>
        <v/>
      </c>
      <c r="R1796" s="556">
        <f>G1796-W1796</f>
        <v/>
      </c>
      <c r="S1796" s="523" t="n">
        <v>44314</v>
      </c>
      <c r="T1796" s="522" t="inlineStr">
        <is>
          <t>IN202104-0251</t>
        </is>
      </c>
      <c r="U1796" s="522" t="inlineStr">
        <is>
          <t>L001-901905215</t>
        </is>
      </c>
      <c r="V1796" s="522" t="inlineStr">
        <is>
          <t>វីអ៊ីស៊ិន (ខេមបូឌា) អ៊ិនដាសស្ទ្រី ឯ.ក</t>
        </is>
      </c>
      <c r="W1796" s="556" t="n">
        <v>269325</v>
      </c>
    </row>
    <row r="1797">
      <c r="A1797" s="521" t="n">
        <v>1789</v>
      </c>
      <c r="B1797" s="522" t="inlineStr">
        <is>
          <t>Custom Clearance Fee</t>
        </is>
      </c>
      <c r="C1797" s="522" t="inlineStr">
        <is>
          <t>56ប៊ី-លីង សឹបផ្លាយ ឆេន មេនេចម៉ិន ឯ.ក</t>
        </is>
      </c>
      <c r="D1797" s="522" t="inlineStr">
        <is>
          <t>K004-902004795</t>
        </is>
      </c>
      <c r="E1797" s="521" t="inlineStr">
        <is>
          <t>IN202104-0249</t>
        </is>
      </c>
      <c r="F1797" s="523" t="n">
        <v>44314</v>
      </c>
      <c r="G1797" s="556" t="n">
        <v>502200</v>
      </c>
      <c r="I1797" s="521">
        <f>G1797</f>
        <v/>
      </c>
      <c r="K1797" s="521">
        <f>I1797-G1797</f>
        <v/>
      </c>
      <c r="M1797" s="522" t="inlineStr">
        <is>
          <t>IN2021040249</t>
        </is>
      </c>
      <c r="N1797" s="522" t="inlineStr">
        <is>
          <t>IN2021040249</t>
        </is>
      </c>
      <c r="O1797" s="521">
        <f>M1797=N1797</f>
        <v/>
      </c>
      <c r="P1797" s="521">
        <f>AND(MONTH(F1797)=MONTH(S1797), YEAR(F1797)=YEAR(S1797))</f>
        <v/>
      </c>
      <c r="Q1797" s="521">
        <f>U1797="L001-901905215"</f>
        <v/>
      </c>
      <c r="R1797" s="556">
        <f>G1797-W1797</f>
        <v/>
      </c>
      <c r="S1797" s="523" t="n">
        <v>44314</v>
      </c>
      <c r="T1797" s="522" t="inlineStr">
        <is>
          <t>IN202104-0249</t>
        </is>
      </c>
      <c r="U1797" s="522" t="inlineStr">
        <is>
          <t>L001-901905215</t>
        </is>
      </c>
      <c r="V1797" s="522" t="inlineStr">
        <is>
          <t>វីអ៊ីស៊ិន (ខេមបូឌា) អ៊ិនដាសស្ទ្រី ឯ.ក</t>
        </is>
      </c>
      <c r="W1797" s="556" t="n">
        <v>502200</v>
      </c>
    </row>
    <row r="1798">
      <c r="A1798" s="521" t="n">
        <v>1790</v>
      </c>
      <c r="B1798" s="522" t="inlineStr">
        <is>
          <t>Custom Clearance Fee</t>
        </is>
      </c>
      <c r="C1798" s="522" t="inlineStr">
        <is>
          <t>56ប៊ី-លីង សឹបផ្លាយ ឆេន មេនេចម៉ិន ឯ.ក</t>
        </is>
      </c>
      <c r="D1798" s="522" t="inlineStr">
        <is>
          <t>K004-902004795</t>
        </is>
      </c>
      <c r="E1798" s="521" t="inlineStr">
        <is>
          <t>IN202104-0248</t>
        </is>
      </c>
      <c r="F1798" s="523" t="n">
        <v>44314</v>
      </c>
      <c r="G1798" s="556" t="n">
        <v>735075</v>
      </c>
      <c r="I1798" s="521">
        <f>G1798</f>
        <v/>
      </c>
      <c r="K1798" s="521">
        <f>I1798-G1798</f>
        <v/>
      </c>
      <c r="M1798" s="522" t="inlineStr">
        <is>
          <t>IN2021040248</t>
        </is>
      </c>
      <c r="N1798" s="522" t="inlineStr">
        <is>
          <t>IN2021040248</t>
        </is>
      </c>
      <c r="O1798" s="521">
        <f>M1798=N1798</f>
        <v/>
      </c>
      <c r="P1798" s="521">
        <f>AND(MONTH(F1798)=MONTH(S1798), YEAR(F1798)=YEAR(S1798))</f>
        <v/>
      </c>
      <c r="Q1798" s="521">
        <f>U1798="L001-901905215"</f>
        <v/>
      </c>
      <c r="R1798" s="556">
        <f>G1798-W1798</f>
        <v/>
      </c>
      <c r="S1798" s="523" t="n">
        <v>44314</v>
      </c>
      <c r="T1798" s="522" t="inlineStr">
        <is>
          <t>IN202104-0248</t>
        </is>
      </c>
      <c r="U1798" s="522" t="inlineStr">
        <is>
          <t>L001-901905215</t>
        </is>
      </c>
      <c r="V1798" s="522" t="inlineStr">
        <is>
          <t>វីអ៊ីស៊ិន (ខេមបូឌា) អ៊ិនដាសស្ទ្រី ឯ.ក</t>
        </is>
      </c>
      <c r="W1798" s="556" t="n">
        <v>735075</v>
      </c>
    </row>
    <row r="1799">
      <c r="A1799" s="521" t="n">
        <v>1791</v>
      </c>
      <c r="B1799" s="522" t="inlineStr">
        <is>
          <t>Custom Clearance Fee</t>
        </is>
      </c>
      <c r="C1799" s="522" t="inlineStr">
        <is>
          <t>56ប៊ី-លីង សឹបផ្លាយ ឆេន មេនេចម៉ិន ឯ.ក</t>
        </is>
      </c>
      <c r="D1799" s="522" t="inlineStr">
        <is>
          <t>K004-902004795</t>
        </is>
      </c>
      <c r="E1799" s="521" t="inlineStr">
        <is>
          <t>IN202104-0247</t>
        </is>
      </c>
      <c r="F1799" s="523" t="n">
        <v>44309</v>
      </c>
      <c r="G1799" s="556" t="n">
        <v>269192</v>
      </c>
      <c r="I1799" s="521">
        <f>G1799</f>
        <v/>
      </c>
      <c r="K1799" s="521">
        <f>I1799-G1799</f>
        <v/>
      </c>
      <c r="M1799" s="522" t="inlineStr">
        <is>
          <t>IN2021040247</t>
        </is>
      </c>
      <c r="N1799" s="522" t="inlineStr">
        <is>
          <t>IN2021040247</t>
        </is>
      </c>
      <c r="O1799" s="521">
        <f>M1799=N1799</f>
        <v/>
      </c>
      <c r="P1799" s="521">
        <f>AND(MONTH(F1799)=MONTH(S1799), YEAR(F1799)=YEAR(S1799))</f>
        <v/>
      </c>
      <c r="Q1799" s="521">
        <f>U1799="L001-901905215"</f>
        <v/>
      </c>
      <c r="R1799" s="556">
        <f>G1799-W1799</f>
        <v/>
      </c>
      <c r="S1799" s="523" t="n">
        <v>44309</v>
      </c>
      <c r="T1799" s="522" t="inlineStr">
        <is>
          <t>IN202104-0247</t>
        </is>
      </c>
      <c r="U1799" s="522" t="inlineStr">
        <is>
          <t>L001-901905215</t>
        </is>
      </c>
      <c r="V1799" s="522" t="inlineStr">
        <is>
          <t>វីអ៊ីស៊ិន (ខេមបូឌា) អ៊ិនដាសស្ទ្រី ឯ.ក</t>
        </is>
      </c>
      <c r="W1799" s="556" t="n">
        <v>269192</v>
      </c>
    </row>
    <row r="1800">
      <c r="A1800" s="521" t="n">
        <v>1792</v>
      </c>
      <c r="B1800" s="522" t="inlineStr">
        <is>
          <t>Express Fee</t>
        </is>
      </c>
      <c r="C1800" s="522" t="inlineStr">
        <is>
          <t>ឌី អេច អិល អិចប្រេស (ខេមបូឌា)</t>
        </is>
      </c>
      <c r="D1800" s="522" t="inlineStr">
        <is>
          <t>L001-100045197</t>
        </is>
      </c>
      <c r="E1800" s="521" t="inlineStr">
        <is>
          <t>PNHR000377581.</t>
        </is>
      </c>
      <c r="F1800" s="523" t="n">
        <v>44294</v>
      </c>
      <c r="G1800" s="556" t="n">
        <v>16459</v>
      </c>
      <c r="I1800" s="521">
        <f>G1800</f>
        <v/>
      </c>
      <c r="K1800" s="521">
        <f>I1800-G1800</f>
        <v/>
      </c>
      <c r="M1800" s="522" t="inlineStr">
        <is>
          <t>PNHR000377581</t>
        </is>
      </c>
      <c r="N1800" s="522" t="inlineStr"/>
      <c r="O1800" s="521">
        <f>M1800=N1800</f>
        <v/>
      </c>
      <c r="P1800" s="521">
        <f>AND(MONTH(F1800)=MONTH(S1800), YEAR(F1800)=YEAR(S1800))</f>
        <v/>
      </c>
      <c r="Q1800" s="521">
        <f>U1800="L001-901905215"</f>
        <v/>
      </c>
      <c r="R1800" s="556">
        <f>G1800-W1800</f>
        <v/>
      </c>
      <c r="S1800" s="521" t="n"/>
      <c r="T1800" s="522" t="n"/>
      <c r="U1800" s="522" t="n"/>
      <c r="V1800" s="522" t="n"/>
      <c r="W1800" s="521" t="n"/>
    </row>
    <row r="1801">
      <c r="A1801" s="521" t="n">
        <v>1793</v>
      </c>
      <c r="B1801" s="522" t="inlineStr">
        <is>
          <t>សេវាកំចាត់សត្វល្អិតសំរាប់ខែ មីនា ឆ្នាំ 2021</t>
        </is>
      </c>
      <c r="C1801" s="522" t="inlineStr">
        <is>
          <t>ភីស៊ីអាយ សឺវីស</t>
        </is>
      </c>
      <c r="D1801" s="522" t="inlineStr">
        <is>
          <t>K010-901639639</t>
        </is>
      </c>
      <c r="E1801" s="521" t="inlineStr">
        <is>
          <t>2021-0065</t>
        </is>
      </c>
      <c r="F1801" s="523" t="n">
        <v>44311</v>
      </c>
      <c r="G1801" s="556" t="n">
        <v>80960</v>
      </c>
      <c r="I1801" s="521">
        <f>G1801</f>
        <v/>
      </c>
      <c r="K1801" s="521">
        <f>I1801-G1801</f>
        <v/>
      </c>
      <c r="M1801" s="522" t="inlineStr">
        <is>
          <t>20210065</t>
        </is>
      </c>
      <c r="N1801" s="522" t="inlineStr"/>
      <c r="O1801" s="521">
        <f>M1801=N1801</f>
        <v/>
      </c>
      <c r="P1801" s="521">
        <f>AND(MONTH(F1801)=MONTH(S1801), YEAR(F1801)=YEAR(S1801))</f>
        <v/>
      </c>
      <c r="Q1801" s="521">
        <f>U1801="L001-901905215"</f>
        <v/>
      </c>
      <c r="R1801" s="556">
        <f>G1801-W1801</f>
        <v/>
      </c>
      <c r="S1801" s="521" t="n"/>
      <c r="T1801" s="522" t="n"/>
      <c r="U1801" s="522" t="n"/>
      <c r="V1801" s="522" t="n"/>
      <c r="W1801" s="521" t="n"/>
    </row>
    <row r="1802">
      <c r="A1802" s="521" t="n">
        <v>1794</v>
      </c>
      <c r="B1802" s="522" t="inlineStr">
        <is>
          <t>ផ្លាកក្រដាសនិងក្រដាស</t>
        </is>
      </c>
      <c r="C1802" s="522" t="inlineStr">
        <is>
          <t>ដុងគ័ន ស៊ីធី ហ្វាញស្តារ ព្រីនធីង (ខេមបូឌា)</t>
        </is>
      </c>
      <c r="D1802" s="522" t="inlineStr">
        <is>
          <t>L001-100193021</t>
        </is>
      </c>
      <c r="E1802" s="521" t="inlineStr">
        <is>
          <t>000207</t>
        </is>
      </c>
      <c r="F1802" s="523" t="n">
        <v>44310</v>
      </c>
      <c r="G1802" s="556" t="n">
        <v>6459758</v>
      </c>
      <c r="I1802" s="521">
        <f>G1802</f>
        <v/>
      </c>
      <c r="K1802" s="521">
        <f>I1802-G1802</f>
        <v/>
      </c>
      <c r="M1802" s="522" t="inlineStr">
        <is>
          <t>000207</t>
        </is>
      </c>
      <c r="N1802" s="522" t="inlineStr">
        <is>
          <t>000207</t>
        </is>
      </c>
      <c r="O1802" s="521">
        <f>M1802=N1802</f>
        <v/>
      </c>
      <c r="P1802" s="521">
        <f>AND(MONTH(F1802)=MONTH(S1802), YEAR(F1802)=YEAR(S1802))</f>
        <v/>
      </c>
      <c r="Q1802" s="521">
        <f>U1802="L001-901905215"</f>
        <v/>
      </c>
      <c r="R1802" s="556">
        <f>G1802-W1802</f>
        <v/>
      </c>
      <c r="S1802" s="523" t="n">
        <v>44313</v>
      </c>
      <c r="T1802" s="522" t="inlineStr">
        <is>
          <t>000207</t>
        </is>
      </c>
      <c r="U1802" s="522" t="inlineStr">
        <is>
          <t>L001-901905215</t>
        </is>
      </c>
      <c r="V1802" s="522" t="inlineStr">
        <is>
          <t>វីអ៊ីស៊ិន (ខេមបូឌា) អ៊ិនដាសស្ទ្រី ឯ.ក</t>
        </is>
      </c>
      <c r="W1802" s="556" t="n">
        <v>6459758</v>
      </c>
    </row>
    <row r="1803">
      <c r="A1803" s="521" t="n">
        <v>1795</v>
      </c>
      <c r="B1803" s="522" t="inlineStr">
        <is>
          <t>ក្រដាសកាតុងធ្ធើកេស</t>
        </is>
      </c>
      <c r="C1803" s="522" t="inlineStr">
        <is>
          <t>ជា យូ អាង ផេកខេកជីង មេធៀរៀល (ខេមបូឌា) ឯ.ក</t>
        </is>
      </c>
      <c r="D1803" s="522" t="inlineStr">
        <is>
          <t>L001-901903560</t>
        </is>
      </c>
      <c r="E1803" s="521" t="inlineStr">
        <is>
          <t>JYA202100154</t>
        </is>
      </c>
      <c r="F1803" s="523" t="n">
        <v>44310</v>
      </c>
      <c r="G1803" s="556" t="n">
        <v>3855691</v>
      </c>
      <c r="I1803" s="521">
        <f>G1803</f>
        <v/>
      </c>
      <c r="K1803" s="521">
        <f>I1803-G1803</f>
        <v/>
      </c>
      <c r="M1803" s="522" t="inlineStr">
        <is>
          <t>JYA202100154</t>
        </is>
      </c>
      <c r="N1803" s="522" t="inlineStr">
        <is>
          <t>JYA202100154</t>
        </is>
      </c>
      <c r="O1803" s="521">
        <f>M1803=N1803</f>
        <v/>
      </c>
      <c r="P1803" s="521">
        <f>AND(MONTH(F1803)=MONTH(S1803), YEAR(F1803)=YEAR(S1803))</f>
        <v/>
      </c>
      <c r="Q1803" s="521">
        <f>U1803="L001-901905215"</f>
        <v/>
      </c>
      <c r="R1803" s="556">
        <f>G1803-W1803</f>
        <v/>
      </c>
      <c r="S1803" s="523" t="n">
        <v>44310</v>
      </c>
      <c r="T1803" s="522" t="inlineStr">
        <is>
          <t>JYA202100154</t>
        </is>
      </c>
      <c r="U1803" s="522" t="inlineStr">
        <is>
          <t>L001-901905215</t>
        </is>
      </c>
      <c r="V1803" s="522" t="inlineStr">
        <is>
          <t>វីអ៊ីស៊ិន (ខេមបូឌា) អ៊ិនដាសស្ទ្រី ឯ.ក</t>
        </is>
      </c>
      <c r="W1803" s="556" t="n">
        <v>3855691</v>
      </c>
    </row>
    <row r="1804">
      <c r="A1804" s="521" t="n">
        <v>1796</v>
      </c>
      <c r="B1804" s="522" t="inlineStr">
        <is>
          <t>Paper Label</t>
        </is>
      </c>
      <c r="C1804" s="522" t="inlineStr">
        <is>
          <t>ស៊ីន ហ្វី យ៉ាង ព្រីនធីង &amp; អិកសេសសឺរី ឯ.ក</t>
        </is>
      </c>
      <c r="D1804" s="522" t="inlineStr">
        <is>
          <t>K010-901906822</t>
        </is>
      </c>
      <c r="E1804" s="521" t="inlineStr">
        <is>
          <t>XFY-YD2021059</t>
        </is>
      </c>
      <c r="F1804" s="523" t="n">
        <v>44315</v>
      </c>
      <c r="G1804" s="556" t="n">
        <v>285384</v>
      </c>
      <c r="I1804" s="521">
        <f>G1804</f>
        <v/>
      </c>
      <c r="K1804" s="521">
        <f>I1804-G1804</f>
        <v/>
      </c>
      <c r="M1804" s="522" t="inlineStr">
        <is>
          <t>XFYYD2021059</t>
        </is>
      </c>
      <c r="N1804" s="522" t="inlineStr">
        <is>
          <t>XFYYD2021059</t>
        </is>
      </c>
      <c r="O1804" s="521">
        <f>M1804=N1804</f>
        <v/>
      </c>
      <c r="P1804" s="521">
        <f>AND(MONTH(F1804)=MONTH(S1804), YEAR(F1804)=YEAR(S1804))</f>
        <v/>
      </c>
      <c r="Q1804" s="521">
        <f>U1804="L001-901905215"</f>
        <v/>
      </c>
      <c r="R1804" s="556">
        <f>G1804-W1804</f>
        <v/>
      </c>
      <c r="S1804" s="523" t="n">
        <v>44315</v>
      </c>
      <c r="T1804" s="522" t="inlineStr">
        <is>
          <t>XFY-YD2021059</t>
        </is>
      </c>
      <c r="U1804" s="522" t="inlineStr">
        <is>
          <t>L001-901905215</t>
        </is>
      </c>
      <c r="V1804" s="522" t="inlineStr">
        <is>
          <t>វីអ៊ីស៊ិន (ខេមបូឌា) អ៊ិនដាសស្ទ្រី ឯ.ក</t>
        </is>
      </c>
      <c r="W1804" s="556" t="n">
        <v>285384</v>
      </c>
    </row>
    <row r="1805">
      <c r="A1805" s="521" t="n">
        <v>1797</v>
      </c>
      <c r="B1805" s="522" t="inlineStr">
        <is>
          <t>Color Box, Paper Card</t>
        </is>
      </c>
      <c r="C1805" s="522" t="inlineStr">
        <is>
          <t>វ៉ាយ.ស៊ី ផេកខេជីង ឯ.ក</t>
        </is>
      </c>
      <c r="D1805" s="522" t="inlineStr">
        <is>
          <t>L001-901700417</t>
        </is>
      </c>
      <c r="E1805" s="521" t="inlineStr">
        <is>
          <t>TI0040</t>
        </is>
      </c>
      <c r="F1805" s="523" t="n">
        <v>44316</v>
      </c>
      <c r="G1805" s="556" t="n">
        <v>9829789</v>
      </c>
      <c r="I1805" s="521">
        <f>G1805</f>
        <v/>
      </c>
      <c r="K1805" s="521">
        <f>I1805-G1805</f>
        <v/>
      </c>
      <c r="M1805" s="522" t="inlineStr">
        <is>
          <t>TI0040</t>
        </is>
      </c>
      <c r="N1805" s="522" t="inlineStr">
        <is>
          <t>TI0040</t>
        </is>
      </c>
      <c r="O1805" s="521">
        <f>M1805=N1805</f>
        <v/>
      </c>
      <c r="P1805" s="521">
        <f>AND(MONTH(F1805)=MONTH(S1805), YEAR(F1805)=YEAR(S1805))</f>
        <v/>
      </c>
      <c r="Q1805" s="521">
        <f>U1805="L001-901905215"</f>
        <v/>
      </c>
      <c r="R1805" s="556">
        <f>G1805-W1805</f>
        <v/>
      </c>
      <c r="S1805" s="523" t="n">
        <v>44316</v>
      </c>
      <c r="T1805" s="522" t="inlineStr">
        <is>
          <t>TI0040</t>
        </is>
      </c>
      <c r="U1805" s="522" t="inlineStr">
        <is>
          <t>L001-901905215</t>
        </is>
      </c>
      <c r="V1805" s="522" t="inlineStr">
        <is>
          <t>វីអ៊ីស៊ិន (ខេមបូឌា) អ៊ិនដាសស្ទ្រី ឯ.ក</t>
        </is>
      </c>
      <c r="W1805" s="556" t="n">
        <v>9829787</v>
      </c>
    </row>
    <row r="1806">
      <c r="A1806" s="521" t="n">
        <v>1798</v>
      </c>
      <c r="B1806" s="522" t="inlineStr">
        <is>
          <t>Sticker</t>
        </is>
      </c>
      <c r="C1806" s="522" t="inlineStr">
        <is>
          <t>ហេង កៃ (ខេមបូឌា) ព្រីនធីង</t>
        </is>
      </c>
      <c r="D1806" s="522" t="inlineStr">
        <is>
          <t>K010-901504622</t>
        </is>
      </c>
      <c r="E1806" s="521" t="inlineStr">
        <is>
          <t>2100046</t>
        </is>
      </c>
      <c r="F1806" s="523" t="n">
        <v>44311</v>
      </c>
      <c r="G1806" s="556" t="n">
        <v>2685767</v>
      </c>
      <c r="I1806" s="521">
        <f>G1806</f>
        <v/>
      </c>
      <c r="K1806" s="521">
        <f>I1806-G1806</f>
        <v/>
      </c>
      <c r="M1806" s="522" t="inlineStr">
        <is>
          <t>2100046</t>
        </is>
      </c>
      <c r="N1806" s="522" t="inlineStr">
        <is>
          <t>2100046</t>
        </is>
      </c>
      <c r="O1806" s="521">
        <f>M1806=N1806</f>
        <v/>
      </c>
      <c r="P1806" s="521">
        <f>AND(MONTH(F1806)=MONTH(S1806), YEAR(F1806)=YEAR(S1806))</f>
        <v/>
      </c>
      <c r="Q1806" s="521">
        <f>U1806="L001-901905215"</f>
        <v/>
      </c>
      <c r="R1806" s="556">
        <f>G1806-W1806</f>
        <v/>
      </c>
      <c r="S1806" s="523" t="n">
        <v>44311</v>
      </c>
      <c r="T1806" s="522" t="inlineStr">
        <is>
          <t>2100046</t>
        </is>
      </c>
      <c r="U1806" s="522" t="inlineStr">
        <is>
          <t>L001-901905215</t>
        </is>
      </c>
      <c r="V1806" s="522" t="inlineStr">
        <is>
          <t>វីអ៊ីស៊ិន (ខេមបូឌា) អ៊ិនដាសស្ទ្រី ឯ.ក</t>
        </is>
      </c>
      <c r="W1806" s="556" t="n">
        <v>2685767</v>
      </c>
    </row>
    <row r="1807">
      <c r="A1807" s="521" t="n">
        <v>1799</v>
      </c>
      <c r="B1807" s="522" t="inlineStr">
        <is>
          <t>G40 PET Blister Cover</t>
        </is>
      </c>
      <c r="C1807" s="522" t="inlineStr">
        <is>
          <t>ខេមបូឌាន វ៉ាយភីស៊ី ត្រេឌីង ឯ.ក</t>
        </is>
      </c>
      <c r="D1807" s="522" t="inlineStr">
        <is>
          <t>B108-901904896</t>
        </is>
      </c>
      <c r="E1807" s="521" t="inlineStr">
        <is>
          <t>YPC2021/04-0009</t>
        </is>
      </c>
      <c r="F1807" s="523" t="n">
        <v>44291</v>
      </c>
      <c r="G1807" s="556" t="n">
        <v>3943875</v>
      </c>
      <c r="I1807" s="521">
        <f>G1807</f>
        <v/>
      </c>
      <c r="K1807" s="521">
        <f>I1807-G1807</f>
        <v/>
      </c>
      <c r="M1807" s="522" t="inlineStr">
        <is>
          <t>YPC2021040009</t>
        </is>
      </c>
      <c r="N1807" s="522" t="inlineStr"/>
      <c r="O1807" s="521">
        <f>M1807=N1807</f>
        <v/>
      </c>
      <c r="P1807" s="521">
        <f>AND(MONTH(F1807)=MONTH(S1807), YEAR(F1807)=YEAR(S1807))</f>
        <v/>
      </c>
      <c r="Q1807" s="521">
        <f>U1807="L001-901905215"</f>
        <v/>
      </c>
      <c r="R1807" s="556">
        <f>G1807-W1807</f>
        <v/>
      </c>
      <c r="S1807" s="521" t="n"/>
      <c r="T1807" s="522" t="n"/>
      <c r="U1807" s="522" t="n"/>
      <c r="V1807" s="522" t="n"/>
      <c r="W1807" s="521" t="n"/>
    </row>
    <row r="1808">
      <c r="A1808" s="521" t="n">
        <v>1800</v>
      </c>
      <c r="B1808" s="522" t="inlineStr">
        <is>
          <t>Rental Machine Canon IR-2525</t>
        </is>
      </c>
      <c r="C1808" s="522" t="inlineStr">
        <is>
          <t xml:space="preserve">អិនធីអិល តិចណូឡូជី </t>
        </is>
      </c>
      <c r="D1808" s="522" t="inlineStr">
        <is>
          <t>K005-901900283</t>
        </is>
      </c>
      <c r="E1808" s="521" t="inlineStr">
        <is>
          <t>22-000991</t>
        </is>
      </c>
      <c r="F1808" s="523" t="n">
        <v>44652</v>
      </c>
      <c r="G1808" s="556" t="n">
        <v>22711</v>
      </c>
      <c r="I1808" s="521">
        <f>G1808</f>
        <v/>
      </c>
      <c r="K1808" s="521">
        <f>I1808-G1808</f>
        <v/>
      </c>
      <c r="M1808" s="522" t="inlineStr">
        <is>
          <t>22000991</t>
        </is>
      </c>
      <c r="N1808" s="522" t="inlineStr"/>
      <c r="O1808" s="521">
        <f>M1808=N1808</f>
        <v/>
      </c>
      <c r="P1808" s="521">
        <f>AND(MONTH(F1808)=MONTH(S1808), YEAR(F1808)=YEAR(S1808))</f>
        <v/>
      </c>
      <c r="Q1808" s="521">
        <f>U1808="L001-901905215"</f>
        <v/>
      </c>
      <c r="R1808" s="556">
        <f>G1808-W1808</f>
        <v/>
      </c>
      <c r="S1808" s="521" t="n"/>
      <c r="T1808" s="522" t="n"/>
      <c r="U1808" s="522" t="n"/>
      <c r="V1808" s="522" t="n"/>
      <c r="W1808" s="521" t="n"/>
    </row>
    <row r="1809">
      <c r="A1809" s="521" t="n">
        <v>1801</v>
      </c>
      <c r="B1809" s="522" t="inlineStr">
        <is>
          <t>LIFE -OFF,GATE FEE CHARGE</t>
        </is>
      </c>
      <c r="C1809" s="522" t="inlineStr">
        <is>
          <t>កំពង់ផែស្វយ័តភ្នំពេញ "ក.ស.ភ"</t>
        </is>
      </c>
      <c r="D1809" s="522" t="inlineStr">
        <is>
          <t>L001-100044999</t>
        </is>
      </c>
      <c r="E1809" s="521" t="inlineStr">
        <is>
          <t>INV20220431265</t>
        </is>
      </c>
      <c r="F1809" s="523" t="n">
        <v>44678</v>
      </c>
      <c r="G1809" s="556" t="n">
        <v>2426</v>
      </c>
      <c r="I1809" s="521">
        <f>G1809</f>
        <v/>
      </c>
      <c r="K1809" s="521">
        <f>I1809-G1809</f>
        <v/>
      </c>
      <c r="M1809" s="522" t="inlineStr">
        <is>
          <t>INV20220431265</t>
        </is>
      </c>
      <c r="N1809" s="522" t="inlineStr"/>
      <c r="O1809" s="521">
        <f>M1809=N1809</f>
        <v/>
      </c>
      <c r="P1809" s="521">
        <f>AND(MONTH(F1809)=MONTH(S1809), YEAR(F1809)=YEAR(S1809))</f>
        <v/>
      </c>
      <c r="Q1809" s="521">
        <f>U1809="L001-901905215"</f>
        <v/>
      </c>
      <c r="R1809" s="556">
        <f>G1809-W1809</f>
        <v/>
      </c>
      <c r="S1809" s="521" t="n"/>
      <c r="T1809" s="522" t="n"/>
      <c r="U1809" s="522" t="n"/>
      <c r="V1809" s="522" t="n"/>
      <c r="W1809" s="521" t="n"/>
    </row>
    <row r="1810">
      <c r="A1810" s="521" t="n">
        <v>1802</v>
      </c>
      <c r="B1810" s="522" t="inlineStr">
        <is>
          <t>LIFE -OFF,GATE FEE CHARGE</t>
        </is>
      </c>
      <c r="C1810" s="522" t="inlineStr">
        <is>
          <t>កំពង់ផែស្វយ័តភ្នំពេញ "ក.ស.ភ"</t>
        </is>
      </c>
      <c r="D1810" s="522" t="inlineStr">
        <is>
          <t>L001-100044999</t>
        </is>
      </c>
      <c r="E1810" s="521" t="inlineStr">
        <is>
          <t>INV20220426030</t>
        </is>
      </c>
      <c r="F1810" s="523" t="n">
        <v>44657</v>
      </c>
      <c r="G1810" s="556" t="n">
        <v>87458</v>
      </c>
      <c r="I1810" s="521">
        <f>G1810</f>
        <v/>
      </c>
      <c r="K1810" s="521">
        <f>I1810-G1810</f>
        <v/>
      </c>
      <c r="M1810" s="522" t="inlineStr">
        <is>
          <t>INV20220426030</t>
        </is>
      </c>
      <c r="N1810" s="522" t="inlineStr"/>
      <c r="O1810" s="521">
        <f>M1810=N1810</f>
        <v/>
      </c>
      <c r="P1810" s="521">
        <f>AND(MONTH(F1810)=MONTH(S1810), YEAR(F1810)=YEAR(S1810))</f>
        <v/>
      </c>
      <c r="Q1810" s="521">
        <f>U1810="L001-901905215"</f>
        <v/>
      </c>
      <c r="R1810" s="556">
        <f>G1810-W1810</f>
        <v/>
      </c>
      <c r="S1810" s="521" t="n"/>
      <c r="T1810" s="522" t="n"/>
      <c r="U1810" s="522" t="n"/>
      <c r="V1810" s="522" t="n"/>
      <c r="W1810" s="521" t="n"/>
    </row>
    <row r="1811">
      <c r="A1811" s="521" t="n">
        <v>1803</v>
      </c>
      <c r="B1811" s="522" t="inlineStr">
        <is>
          <t>LIFE -OFF</t>
        </is>
      </c>
      <c r="C1811" s="522" t="inlineStr">
        <is>
          <t>កំពង់ផែស្វយ័តក្រុងព្រះសីហនុ</t>
        </is>
      </c>
      <c r="D1811" s="522" t="inlineStr">
        <is>
          <t>L001-100044638</t>
        </is>
      </c>
      <c r="E1811" s="521" t="inlineStr">
        <is>
          <t>063053</t>
        </is>
      </c>
      <c r="F1811" s="523" t="n">
        <v>44659</v>
      </c>
      <c r="G1811" s="556" t="n">
        <v>6877</v>
      </c>
      <c r="I1811" s="521">
        <f>G1811</f>
        <v/>
      </c>
      <c r="K1811" s="521">
        <f>I1811-G1811</f>
        <v/>
      </c>
      <c r="M1811" s="522" t="inlineStr">
        <is>
          <t>063053</t>
        </is>
      </c>
      <c r="N1811" s="522" t="inlineStr"/>
      <c r="O1811" s="521">
        <f>M1811=N1811</f>
        <v/>
      </c>
      <c r="P1811" s="521">
        <f>AND(MONTH(F1811)=MONTH(S1811), YEAR(F1811)=YEAR(S1811))</f>
        <v/>
      </c>
      <c r="Q1811" s="521">
        <f>U1811="L001-901905215"</f>
        <v/>
      </c>
      <c r="R1811" s="556">
        <f>G1811-W1811</f>
        <v/>
      </c>
      <c r="S1811" s="521" t="n"/>
      <c r="T1811" s="522" t="n"/>
      <c r="U1811" s="522" t="n"/>
      <c r="V1811" s="522" t="n"/>
      <c r="W1811" s="521" t="n"/>
    </row>
    <row r="1812">
      <c r="A1812" s="521" t="n">
        <v>1804</v>
      </c>
      <c r="B1812" s="522" t="inlineStr">
        <is>
          <t>LIFE -OFF</t>
        </is>
      </c>
      <c r="C1812" s="522" t="inlineStr">
        <is>
          <t>កំពង់ផែស្វយ័តក្រុងព្រះសីហនុ</t>
        </is>
      </c>
      <c r="D1812" s="522" t="inlineStr">
        <is>
          <t>L001-100044638</t>
        </is>
      </c>
      <c r="E1812" s="521" t="inlineStr">
        <is>
          <t>063057</t>
        </is>
      </c>
      <c r="F1812" s="523" t="n">
        <v>44659</v>
      </c>
      <c r="G1812" s="556" t="n">
        <v>6877</v>
      </c>
      <c r="I1812" s="521">
        <f>G1812</f>
        <v/>
      </c>
      <c r="K1812" s="521">
        <f>I1812-G1812</f>
        <v/>
      </c>
      <c r="M1812" s="522" t="inlineStr">
        <is>
          <t>063057</t>
        </is>
      </c>
      <c r="N1812" s="522" t="inlineStr"/>
      <c r="O1812" s="521">
        <f>M1812=N1812</f>
        <v/>
      </c>
      <c r="P1812" s="521">
        <f>AND(MONTH(F1812)=MONTH(S1812), YEAR(F1812)=YEAR(S1812))</f>
        <v/>
      </c>
      <c r="Q1812" s="521">
        <f>U1812="L001-901905215"</f>
        <v/>
      </c>
      <c r="R1812" s="556">
        <f>G1812-W1812</f>
        <v/>
      </c>
      <c r="S1812" s="521" t="n"/>
      <c r="T1812" s="522" t="n"/>
      <c r="U1812" s="522" t="n"/>
      <c r="V1812" s="522" t="n"/>
      <c r="W1812" s="521" t="n"/>
    </row>
    <row r="1813">
      <c r="A1813" s="521" t="n">
        <v>1805</v>
      </c>
      <c r="B1813" s="522" t="inlineStr">
        <is>
          <t>LIFE -OFF,</t>
        </is>
      </c>
      <c r="C1813" s="522" t="inlineStr">
        <is>
          <t>កំពង់ផែស្វយ័តក្រុងព្រះសីហនុ</t>
        </is>
      </c>
      <c r="D1813" s="522" t="inlineStr">
        <is>
          <t>L001-100044638</t>
        </is>
      </c>
      <c r="E1813" s="521" t="inlineStr">
        <is>
          <t>063059</t>
        </is>
      </c>
      <c r="F1813" s="523" t="n">
        <v>44659</v>
      </c>
      <c r="G1813" s="556" t="n">
        <v>6877</v>
      </c>
      <c r="I1813" s="521">
        <f>G1813</f>
        <v/>
      </c>
      <c r="K1813" s="521">
        <f>I1813-G1813</f>
        <v/>
      </c>
      <c r="M1813" s="522" t="inlineStr">
        <is>
          <t>063059</t>
        </is>
      </c>
      <c r="N1813" s="522" t="inlineStr"/>
      <c r="O1813" s="521">
        <f>M1813=N1813</f>
        <v/>
      </c>
      <c r="P1813" s="521">
        <f>AND(MONTH(F1813)=MONTH(S1813), YEAR(F1813)=YEAR(S1813))</f>
        <v/>
      </c>
      <c r="Q1813" s="521">
        <f>U1813="L001-901905215"</f>
        <v/>
      </c>
      <c r="R1813" s="556">
        <f>G1813-W1813</f>
        <v/>
      </c>
      <c r="S1813" s="521" t="n"/>
      <c r="T1813" s="522" t="n"/>
      <c r="U1813" s="522" t="n"/>
      <c r="V1813" s="522" t="n"/>
      <c r="W1813" s="521" t="n"/>
    </row>
    <row r="1814">
      <c r="A1814" s="521" t="n">
        <v>1806</v>
      </c>
      <c r="B1814" s="522" t="inlineStr">
        <is>
          <t>Customer Clearance,Export Service, Seal Fee,Handling Charge,Trucking Fee, Export Permit</t>
        </is>
      </c>
      <c r="C1814" s="522" t="inlineStr">
        <is>
          <t>យ៉ាំង ស៊ា ឡូជីស្ទីក (ខេមបូឌា)</t>
        </is>
      </c>
      <c r="D1814" s="522" t="inlineStr">
        <is>
          <t>K004-901637199</t>
        </is>
      </c>
      <c r="E1814" s="521" t="inlineStr">
        <is>
          <t>2022040049</t>
        </is>
      </c>
      <c r="F1814" s="523" t="n">
        <v>44669</v>
      </c>
      <c r="G1814" s="556" t="n">
        <v>778663</v>
      </c>
      <c r="I1814" s="521">
        <f>G1814</f>
        <v/>
      </c>
      <c r="K1814" s="521">
        <f>I1814-G1814</f>
        <v/>
      </c>
      <c r="M1814" s="522" t="inlineStr">
        <is>
          <t>2022040049</t>
        </is>
      </c>
      <c r="N1814" s="522" t="inlineStr">
        <is>
          <t>2022040049</t>
        </is>
      </c>
      <c r="O1814" s="521">
        <f>M1814=N1814</f>
        <v/>
      </c>
      <c r="P1814" s="521">
        <f>AND(MONTH(F1814)=MONTH(S1814), YEAR(F1814)=YEAR(S1814))</f>
        <v/>
      </c>
      <c r="Q1814" s="521">
        <f>U1814="L001-901905215"</f>
        <v/>
      </c>
      <c r="R1814" s="556">
        <f>G1814-W1814</f>
        <v/>
      </c>
      <c r="S1814" s="523" t="n">
        <v>44669</v>
      </c>
      <c r="T1814" s="522" t="inlineStr">
        <is>
          <t>2022040049</t>
        </is>
      </c>
      <c r="U1814" s="522" t="inlineStr">
        <is>
          <t>L001-901905215</t>
        </is>
      </c>
      <c r="V1814" s="522" t="inlineStr">
        <is>
          <t>វីអ៊ីស៊ិន (ខេមបូឌា) អ៊ិនដាសស្ទ្រី ឯ.ក</t>
        </is>
      </c>
      <c r="W1814" s="556" t="n">
        <v>778663</v>
      </c>
    </row>
    <row r="1815">
      <c r="A1815" s="521" t="n">
        <v>1807</v>
      </c>
      <c r="B1815" s="522" t="inlineStr">
        <is>
          <t>LIFE -OFF,GATE FEE CHARGE</t>
        </is>
      </c>
      <c r="C1815" s="522" t="inlineStr">
        <is>
          <t>កំពង់ផែស្វយ័តក្រុងព្រះសីហនុ</t>
        </is>
      </c>
      <c r="D1815" s="522" t="inlineStr">
        <is>
          <t>L001-100044638</t>
        </is>
      </c>
      <c r="E1815" s="521" t="inlineStr">
        <is>
          <t>063196</t>
        </is>
      </c>
      <c r="F1815" s="523" t="n">
        <v>44659</v>
      </c>
      <c r="G1815" s="556" t="n">
        <v>6877</v>
      </c>
      <c r="I1815" s="521">
        <f>G1815</f>
        <v/>
      </c>
      <c r="K1815" s="521">
        <f>I1815-G1815</f>
        <v/>
      </c>
      <c r="M1815" s="522" t="inlineStr">
        <is>
          <t>063196</t>
        </is>
      </c>
      <c r="N1815" s="522" t="inlineStr"/>
      <c r="O1815" s="521">
        <f>M1815=N1815</f>
        <v/>
      </c>
      <c r="P1815" s="521">
        <f>AND(MONTH(F1815)=MONTH(S1815), YEAR(F1815)=YEAR(S1815))</f>
        <v/>
      </c>
      <c r="Q1815" s="521">
        <f>U1815="L001-901905215"</f>
        <v/>
      </c>
      <c r="R1815" s="556">
        <f>G1815-W1815</f>
        <v/>
      </c>
      <c r="S1815" s="521" t="n"/>
      <c r="T1815" s="522" t="n"/>
      <c r="U1815" s="522" t="n"/>
      <c r="V1815" s="522" t="n"/>
      <c r="W1815" s="521" t="n"/>
    </row>
    <row r="1816">
      <c r="A1816" s="521" t="n">
        <v>1808</v>
      </c>
      <c r="B1816" s="522" t="inlineStr">
        <is>
          <t>LIFE -OFF,GATE FEE CHARGE</t>
        </is>
      </c>
      <c r="C1816" s="522" t="inlineStr">
        <is>
          <t>កំពង់ផែស្វយ័តក្រុងព្រះសីហនុ</t>
        </is>
      </c>
      <c r="D1816" s="522" t="inlineStr">
        <is>
          <t>L001-100044638</t>
        </is>
      </c>
      <c r="E1816" s="521" t="inlineStr">
        <is>
          <t>063194</t>
        </is>
      </c>
      <c r="F1816" s="523" t="n">
        <v>44659</v>
      </c>
      <c r="G1816" s="556" t="n">
        <v>6877</v>
      </c>
      <c r="I1816" s="521">
        <f>G1816</f>
        <v/>
      </c>
      <c r="K1816" s="521">
        <f>I1816-G1816</f>
        <v/>
      </c>
      <c r="M1816" s="522" t="inlineStr">
        <is>
          <t>063194</t>
        </is>
      </c>
      <c r="N1816" s="522" t="inlineStr"/>
      <c r="O1816" s="521">
        <f>M1816=N1816</f>
        <v/>
      </c>
      <c r="P1816" s="521">
        <f>AND(MONTH(F1816)=MONTH(S1816), YEAR(F1816)=YEAR(S1816))</f>
        <v/>
      </c>
      <c r="Q1816" s="521">
        <f>U1816="L001-901905215"</f>
        <v/>
      </c>
      <c r="R1816" s="556">
        <f>G1816-W1816</f>
        <v/>
      </c>
      <c r="S1816" s="521" t="n"/>
      <c r="T1816" s="522" t="n"/>
      <c r="U1816" s="522" t="n"/>
      <c r="V1816" s="522" t="n"/>
      <c r="W1816" s="521" t="n"/>
    </row>
    <row r="1817">
      <c r="A1817" s="521" t="n">
        <v>1809</v>
      </c>
      <c r="B1817" s="522" t="inlineStr">
        <is>
          <t>LIFE -OFF,GATE FEE CHARGE</t>
        </is>
      </c>
      <c r="C1817" s="522" t="inlineStr">
        <is>
          <t>កំពង់ផែស្វយ័តក្រុងព្រះសីហនុ</t>
        </is>
      </c>
      <c r="D1817" s="522" t="inlineStr">
        <is>
          <t>L001-100044638</t>
        </is>
      </c>
      <c r="E1817" s="521" t="inlineStr">
        <is>
          <t>063051</t>
        </is>
      </c>
      <c r="F1817" s="523" t="n">
        <v>44659</v>
      </c>
      <c r="G1817" s="556" t="n">
        <v>6877</v>
      </c>
      <c r="I1817" s="521">
        <f>G1817</f>
        <v/>
      </c>
      <c r="K1817" s="521">
        <f>I1817-G1817</f>
        <v/>
      </c>
      <c r="M1817" s="522" t="inlineStr">
        <is>
          <t>063051</t>
        </is>
      </c>
      <c r="N1817" s="522" t="inlineStr"/>
      <c r="O1817" s="521">
        <f>M1817=N1817</f>
        <v/>
      </c>
      <c r="P1817" s="521">
        <f>AND(MONTH(F1817)=MONTH(S1817), YEAR(F1817)=YEAR(S1817))</f>
        <v/>
      </c>
      <c r="Q1817" s="521">
        <f>U1817="L001-901905215"</f>
        <v/>
      </c>
      <c r="R1817" s="556">
        <f>G1817-W1817</f>
        <v/>
      </c>
      <c r="S1817" s="521" t="n"/>
      <c r="T1817" s="522" t="n"/>
      <c r="U1817" s="522" t="n"/>
      <c r="V1817" s="522" t="n"/>
      <c r="W1817" s="521" t="n"/>
    </row>
    <row r="1818">
      <c r="A1818" s="521" t="n">
        <v>1810</v>
      </c>
      <c r="B1818" s="522" t="inlineStr">
        <is>
          <t>Customer Clearance,Export Service, Seal Fee,Handling Charge,Trucking Fee, Export Permit</t>
        </is>
      </c>
      <c r="C1818" s="522" t="inlineStr">
        <is>
          <t>យ៉ាំង ស៊ា ឡូជីស្ទីក (ខេមបូឌា)</t>
        </is>
      </c>
      <c r="D1818" s="522" t="inlineStr">
        <is>
          <t>K004-901637199</t>
        </is>
      </c>
      <c r="E1818" s="521" t="inlineStr">
        <is>
          <t>2022040036</t>
        </is>
      </c>
      <c r="F1818" s="523" t="n">
        <v>44663</v>
      </c>
      <c r="G1818" s="556" t="n">
        <v>778663</v>
      </c>
      <c r="I1818" s="521">
        <f>G1818</f>
        <v/>
      </c>
      <c r="K1818" s="521">
        <f>I1818-G1818</f>
        <v/>
      </c>
      <c r="M1818" s="522" t="inlineStr">
        <is>
          <t>2022040036</t>
        </is>
      </c>
      <c r="N1818" s="522" t="inlineStr">
        <is>
          <t>2022040036</t>
        </is>
      </c>
      <c r="O1818" s="521">
        <f>M1818=N1818</f>
        <v/>
      </c>
      <c r="P1818" s="521">
        <f>AND(MONTH(F1818)=MONTH(S1818), YEAR(F1818)=YEAR(S1818))</f>
        <v/>
      </c>
      <c r="Q1818" s="521">
        <f>U1818="L001-901905215"</f>
        <v/>
      </c>
      <c r="R1818" s="556">
        <f>G1818-W1818</f>
        <v/>
      </c>
      <c r="S1818" s="523" t="n">
        <v>44663</v>
      </c>
      <c r="T1818" s="522" t="inlineStr">
        <is>
          <t>2022040036</t>
        </is>
      </c>
      <c r="U1818" s="522" t="inlineStr">
        <is>
          <t>L001-901905215</t>
        </is>
      </c>
      <c r="V1818" s="522" t="inlineStr">
        <is>
          <t>វីអ៊ីស៊ិន (ខេមបូឌា) អ៊ិនដាសស្ទ្រី ឯ.ក</t>
        </is>
      </c>
      <c r="W1818" s="556" t="n">
        <v>778663</v>
      </c>
    </row>
    <row r="1819">
      <c r="A1819" s="521" t="n">
        <v>1811</v>
      </c>
      <c r="B1819" s="522" t="inlineStr">
        <is>
          <t>EIB,EMF,KHCIC,KHDOC,KHTHC</t>
        </is>
      </c>
      <c r="C1819" s="522" t="inlineStr">
        <is>
          <t>អេសអាយធីស៊ី ខិនថេនើរ ឡាញ (ខេមបូឌា)</t>
        </is>
      </c>
      <c r="D1819" s="522" t="inlineStr">
        <is>
          <t>L001-107035863</t>
        </is>
      </c>
      <c r="E1819" s="521" t="inlineStr">
        <is>
          <t>SITC2022-005845</t>
        </is>
      </c>
      <c r="F1819" s="523" t="n">
        <v>44652</v>
      </c>
      <c r="G1819" s="556" t="n">
        <v>225219</v>
      </c>
      <c r="I1819" s="521">
        <f>G1819</f>
        <v/>
      </c>
      <c r="K1819" s="521">
        <f>I1819-G1819</f>
        <v/>
      </c>
      <c r="M1819" s="522" t="inlineStr">
        <is>
          <t>SITC2022005845</t>
        </is>
      </c>
      <c r="N1819" s="522" t="inlineStr"/>
      <c r="O1819" s="521">
        <f>M1819=N1819</f>
        <v/>
      </c>
      <c r="P1819" s="521">
        <f>AND(MONTH(F1819)=MONTH(S1819), YEAR(F1819)=YEAR(S1819))</f>
        <v/>
      </c>
      <c r="Q1819" s="521">
        <f>U1819="L001-901905215"</f>
        <v/>
      </c>
      <c r="R1819" s="556">
        <f>G1819-W1819</f>
        <v/>
      </c>
      <c r="S1819" s="521" t="n"/>
      <c r="T1819" s="522" t="n"/>
      <c r="U1819" s="522" t="n"/>
      <c r="V1819" s="522" t="n"/>
      <c r="W1819" s="521" t="n"/>
    </row>
    <row r="1820">
      <c r="A1820" s="521" t="n">
        <v>1812</v>
      </c>
      <c r="B1820" s="522" t="inlineStr">
        <is>
          <t>Lift-On &amp; Lift-Off</t>
        </is>
      </c>
      <c r="C1820" s="522" t="inlineStr">
        <is>
          <t>កំពង់ផែស្វយ័តក្រុងព្រះសីហនុ</t>
        </is>
      </c>
      <c r="D1820" s="522" t="inlineStr">
        <is>
          <t>L001-100044638</t>
        </is>
      </c>
      <c r="E1820" s="521" t="inlineStr">
        <is>
          <t>045078</t>
        </is>
      </c>
      <c r="F1820" s="523" t="n">
        <v>44652</v>
      </c>
      <c r="G1820" s="556" t="n">
        <v>35270</v>
      </c>
      <c r="I1820" s="521">
        <f>G1820</f>
        <v/>
      </c>
      <c r="K1820" s="521">
        <f>I1820-G1820</f>
        <v/>
      </c>
      <c r="M1820" s="522" t="inlineStr">
        <is>
          <t>045078</t>
        </is>
      </c>
      <c r="N1820" s="522" t="inlineStr"/>
      <c r="O1820" s="521">
        <f>M1820=N1820</f>
        <v/>
      </c>
      <c r="P1820" s="521">
        <f>AND(MONTH(F1820)=MONTH(S1820), YEAR(F1820)=YEAR(S1820))</f>
        <v/>
      </c>
      <c r="Q1820" s="521">
        <f>U1820="L001-901905215"</f>
        <v/>
      </c>
      <c r="R1820" s="556">
        <f>G1820-W1820</f>
        <v/>
      </c>
      <c r="S1820" s="521" t="n"/>
      <c r="T1820" s="522" t="n"/>
      <c r="U1820" s="522" t="n"/>
      <c r="V1820" s="522" t="n"/>
      <c r="W1820" s="521" t="n"/>
    </row>
    <row r="1821">
      <c r="A1821" s="521" t="n">
        <v>1813</v>
      </c>
      <c r="B1821" s="522" t="inlineStr">
        <is>
          <t>Clearance Import&amp; Trucking Import &amp; Handling Fee</t>
        </is>
      </c>
      <c r="C1821" s="522" t="inlineStr">
        <is>
          <t>ហុង តុង អ៊ិនធើណេសិនណល ឡូជីស្ទីក ឯ.ក</t>
        </is>
      </c>
      <c r="D1821" s="522" t="inlineStr">
        <is>
          <t>K003-902006166</t>
        </is>
      </c>
      <c r="E1821" s="521" t="inlineStr">
        <is>
          <t>HT220057</t>
        </is>
      </c>
      <c r="F1821" s="523" t="n">
        <v>44652</v>
      </c>
      <c r="G1821" s="556" t="n">
        <v>246806</v>
      </c>
      <c r="I1821" s="521">
        <f>G1821</f>
        <v/>
      </c>
      <c r="K1821" s="521">
        <f>I1821-G1821</f>
        <v/>
      </c>
      <c r="M1821" s="522" t="inlineStr">
        <is>
          <t>HT220057</t>
        </is>
      </c>
      <c r="N1821" s="522" t="inlineStr">
        <is>
          <t>HT220057</t>
        </is>
      </c>
      <c r="O1821" s="521">
        <f>M1821=N1821</f>
        <v/>
      </c>
      <c r="P1821" s="521">
        <f>AND(MONTH(F1821)=MONTH(S1821), YEAR(F1821)=YEAR(S1821))</f>
        <v/>
      </c>
      <c r="Q1821" s="521">
        <f>U1821="L001-901905215"</f>
        <v/>
      </c>
      <c r="R1821" s="556">
        <f>G1821-W1821</f>
        <v/>
      </c>
      <c r="S1821" s="523" t="n">
        <v>44680</v>
      </c>
      <c r="T1821" s="522" t="inlineStr">
        <is>
          <t>HT220057</t>
        </is>
      </c>
      <c r="U1821" s="522" t="inlineStr">
        <is>
          <t>L001-901905215</t>
        </is>
      </c>
      <c r="V1821" s="522" t="inlineStr">
        <is>
          <t>វីអ៊ីស៊ិន (ខេមបូឌា) អ៊ិនដាសស្ទ្រី ឯ.ក</t>
        </is>
      </c>
      <c r="W1821" s="556" t="n">
        <v>246806</v>
      </c>
    </row>
    <row r="1822">
      <c r="A1822" s="521" t="n">
        <v>1814</v>
      </c>
      <c r="B1822" s="522" t="inlineStr">
        <is>
          <t>Foreign Sale</t>
        </is>
      </c>
      <c r="C1822" s="522" t="inlineStr">
        <is>
          <t>មើស្គ (ខេមបូឌា)</t>
        </is>
      </c>
      <c r="D1822" s="522" t="inlineStr">
        <is>
          <t>L001-100045200</t>
        </is>
      </c>
      <c r="E1822" s="521" t="inlineStr">
        <is>
          <t>59988555</t>
        </is>
      </c>
      <c r="F1822" s="523" t="n">
        <v>44652</v>
      </c>
      <c r="G1822" s="556" t="n">
        <v>120869</v>
      </c>
      <c r="I1822" s="521">
        <f>G1822</f>
        <v/>
      </c>
      <c r="K1822" s="521">
        <f>I1822-G1822</f>
        <v/>
      </c>
      <c r="M1822" s="522" t="inlineStr">
        <is>
          <t>59988555</t>
        </is>
      </c>
      <c r="N1822" s="522" t="inlineStr"/>
      <c r="O1822" s="521">
        <f>M1822=N1822</f>
        <v/>
      </c>
      <c r="P1822" s="521">
        <f>AND(MONTH(F1822)=MONTH(S1822), YEAR(F1822)=YEAR(S1822))</f>
        <v/>
      </c>
      <c r="Q1822" s="521">
        <f>U1822="L001-901905215"</f>
        <v/>
      </c>
      <c r="R1822" s="556">
        <f>G1822-W1822</f>
        <v/>
      </c>
      <c r="S1822" s="521" t="n"/>
      <c r="T1822" s="522" t="n"/>
      <c r="U1822" s="522" t="n"/>
      <c r="V1822" s="522" t="n"/>
      <c r="W1822" s="521" t="n"/>
    </row>
    <row r="1823">
      <c r="A1823" s="521" t="n">
        <v>1815</v>
      </c>
      <c r="B1823" s="522" t="inlineStr">
        <is>
          <t>Lift-On &amp; Lift-Off</t>
        </is>
      </c>
      <c r="C1823" s="522" t="inlineStr">
        <is>
          <t>កំពង់ផែស្វយ័តក្រុងព្រះសីហនុ</t>
        </is>
      </c>
      <c r="D1823" s="522" t="inlineStr">
        <is>
          <t>L001-100044638</t>
        </is>
      </c>
      <c r="E1823" s="521" t="inlineStr">
        <is>
          <t>047414</t>
        </is>
      </c>
      <c r="F1823" s="523" t="n">
        <v>44652</v>
      </c>
      <c r="G1823" s="556" t="n">
        <v>35090</v>
      </c>
      <c r="I1823" s="521">
        <f>G1823</f>
        <v/>
      </c>
      <c r="K1823" s="521">
        <f>I1823-G1823</f>
        <v/>
      </c>
      <c r="M1823" s="522" t="inlineStr">
        <is>
          <t>047414</t>
        </is>
      </c>
      <c r="N1823" s="522" t="inlineStr"/>
      <c r="O1823" s="521">
        <f>M1823=N1823</f>
        <v/>
      </c>
      <c r="P1823" s="521">
        <f>AND(MONTH(F1823)=MONTH(S1823), YEAR(F1823)=YEAR(S1823))</f>
        <v/>
      </c>
      <c r="Q1823" s="521">
        <f>U1823="L001-901905215"</f>
        <v/>
      </c>
      <c r="R1823" s="556">
        <f>G1823-W1823</f>
        <v/>
      </c>
      <c r="S1823" s="521" t="n"/>
      <c r="T1823" s="522" t="n"/>
      <c r="U1823" s="522" t="n"/>
      <c r="V1823" s="522" t="n"/>
      <c r="W1823" s="521" t="n"/>
    </row>
    <row r="1824">
      <c r="A1824" s="521" t="n">
        <v>1816</v>
      </c>
      <c r="B1824" s="522" t="inlineStr">
        <is>
          <t>Clearance Import&amp; Trucking Import &amp; Handling Fee</t>
        </is>
      </c>
      <c r="C1824" s="522" t="inlineStr">
        <is>
          <t>ហុង តុង អ៊ិនធើណេសិនណល ឡូជីស្ទីក ឯ.ក</t>
        </is>
      </c>
      <c r="D1824" s="522" t="inlineStr">
        <is>
          <t>K003-902006166</t>
        </is>
      </c>
      <c r="E1824" s="521" t="inlineStr">
        <is>
          <t>HT220056</t>
        </is>
      </c>
      <c r="F1824" s="523" t="n">
        <v>44680</v>
      </c>
      <c r="G1824" s="556" t="n">
        <v>246806</v>
      </c>
      <c r="I1824" s="521">
        <f>G1824</f>
        <v/>
      </c>
      <c r="K1824" s="521">
        <f>I1824-G1824</f>
        <v/>
      </c>
      <c r="M1824" s="522" t="inlineStr">
        <is>
          <t>HT220056</t>
        </is>
      </c>
      <c r="N1824" s="522" t="inlineStr">
        <is>
          <t>HT220056</t>
        </is>
      </c>
      <c r="O1824" s="521">
        <f>M1824=N1824</f>
        <v/>
      </c>
      <c r="P1824" s="521">
        <f>AND(MONTH(F1824)=MONTH(S1824), YEAR(F1824)=YEAR(S1824))</f>
        <v/>
      </c>
      <c r="Q1824" s="521">
        <f>U1824="L001-901905215"</f>
        <v/>
      </c>
      <c r="R1824" s="556">
        <f>G1824-W1824</f>
        <v/>
      </c>
      <c r="S1824" s="523" t="n">
        <v>44680</v>
      </c>
      <c r="T1824" s="522" t="inlineStr">
        <is>
          <t>HT220056</t>
        </is>
      </c>
      <c r="U1824" s="522" t="inlineStr">
        <is>
          <t>L001-901905215</t>
        </is>
      </c>
      <c r="V1824" s="522" t="inlineStr">
        <is>
          <t>វីអ៊ីស៊ិន (ខេមបូឌា) អ៊ិនដាសស្ទ្រី ឯ.ក</t>
        </is>
      </c>
      <c r="W1824" s="556" t="n">
        <v>246806</v>
      </c>
    </row>
    <row r="1825">
      <c r="A1825" s="521" t="n">
        <v>1817</v>
      </c>
      <c r="B1825" s="522" t="inlineStr">
        <is>
          <t>Cy Management Fee, Thc Charges, Bl Fee,FCR Fee, VGM Processing Fee</t>
        </is>
      </c>
      <c r="C1825" s="522" t="inlineStr">
        <is>
          <t>អ៊ិចស្ពែឌីធ័រ ខេមបូឌា អិលធីឌី</t>
        </is>
      </c>
      <c r="D1825" s="522" t="inlineStr">
        <is>
          <t>L001-100045898</t>
        </is>
      </c>
      <c r="E1825" s="521" t="inlineStr">
        <is>
          <t>TI-0225700</t>
        </is>
      </c>
      <c r="F1825" s="523" t="n">
        <v>44671</v>
      </c>
      <c r="G1825" s="556" t="n">
        <v>249172</v>
      </c>
      <c r="I1825" s="521">
        <f>G1825</f>
        <v/>
      </c>
      <c r="K1825" s="521">
        <f>I1825-G1825</f>
        <v/>
      </c>
      <c r="M1825" s="522" t="inlineStr">
        <is>
          <t>TI0225700</t>
        </is>
      </c>
      <c r="N1825" s="522" t="inlineStr">
        <is>
          <t>TI0225700</t>
        </is>
      </c>
      <c r="O1825" s="521">
        <f>M1825=N1825</f>
        <v/>
      </c>
      <c r="P1825" s="521">
        <f>AND(MONTH(F1825)=MONTH(S1825), YEAR(F1825)=YEAR(S1825))</f>
        <v/>
      </c>
      <c r="Q1825" s="521">
        <f>U1825="L001-901905215"</f>
        <v/>
      </c>
      <c r="R1825" s="556">
        <f>G1825-W1825</f>
        <v/>
      </c>
      <c r="S1825" s="523" t="n">
        <v>44671</v>
      </c>
      <c r="T1825" s="522" t="inlineStr">
        <is>
          <t>TI-0225700</t>
        </is>
      </c>
      <c r="U1825" s="522" t="inlineStr">
        <is>
          <t>L001-901905215</t>
        </is>
      </c>
      <c r="V1825" s="522" t="inlineStr">
        <is>
          <t>វីអ៊ីស៊ិន (ខេមបូឌា) អ៊ិនដាសស្ទ្រី ឯ.ក</t>
        </is>
      </c>
      <c r="W1825" s="556" t="n">
        <v>249172</v>
      </c>
    </row>
    <row r="1826">
      <c r="A1826" s="521" t="n">
        <v>1818</v>
      </c>
      <c r="B1826" s="522" t="inlineStr">
        <is>
          <t>Cy Management Fee, Thc Charges, Bl Fee,FCR Fee, VGM Processing Fee</t>
        </is>
      </c>
      <c r="C1826" s="522" t="inlineStr">
        <is>
          <t>អ៊ិចស្ពែឌីធ័រ ខេមបូឌា អិលធីឌី</t>
        </is>
      </c>
      <c r="D1826" s="522" t="inlineStr">
        <is>
          <t>L001-100045898</t>
        </is>
      </c>
      <c r="E1826" s="521" t="inlineStr">
        <is>
          <t>TI-0225699</t>
        </is>
      </c>
      <c r="F1826" s="523" t="n">
        <v>44671</v>
      </c>
      <c r="G1826" s="556" t="n">
        <v>370522</v>
      </c>
      <c r="I1826" s="521">
        <f>G1826</f>
        <v/>
      </c>
      <c r="K1826" s="521">
        <f>I1826-G1826</f>
        <v/>
      </c>
      <c r="M1826" s="522" t="inlineStr">
        <is>
          <t>TI0225699</t>
        </is>
      </c>
      <c r="N1826" s="522" t="inlineStr">
        <is>
          <t>TI0225699</t>
        </is>
      </c>
      <c r="O1826" s="521">
        <f>M1826=N1826</f>
        <v/>
      </c>
      <c r="P1826" s="521">
        <f>AND(MONTH(F1826)=MONTH(S1826), YEAR(F1826)=YEAR(S1826))</f>
        <v/>
      </c>
      <c r="Q1826" s="521">
        <f>U1826="L001-901905215"</f>
        <v/>
      </c>
      <c r="R1826" s="556">
        <f>G1826-W1826</f>
        <v/>
      </c>
      <c r="S1826" s="523" t="n">
        <v>44671</v>
      </c>
      <c r="T1826" s="522" t="inlineStr">
        <is>
          <t>TI-0225699</t>
        </is>
      </c>
      <c r="U1826" s="522" t="inlineStr">
        <is>
          <t>L001-901905215</t>
        </is>
      </c>
      <c r="V1826" s="522" t="inlineStr">
        <is>
          <t>វីអ៊ីស៊ិន (ខេមបូឌា) អ៊ិនដាសស្ទ្រី ឯ.ក</t>
        </is>
      </c>
      <c r="W1826" s="556" t="n">
        <v>370522</v>
      </c>
    </row>
    <row r="1827">
      <c r="A1827" s="521" t="n">
        <v>1819</v>
      </c>
      <c r="B1827" s="522" t="inlineStr">
        <is>
          <t>Cy Management Fee, Thc Charges, Bl Fee,FCR Fee, VGM Processing Fee</t>
        </is>
      </c>
      <c r="C1827" s="522" t="inlineStr">
        <is>
          <t>អ៊ិចស្ពែឌីធ័រ ខេមបូឌា អិលធីឌី</t>
        </is>
      </c>
      <c r="D1827" s="522" t="inlineStr">
        <is>
          <t>L001-100045898</t>
        </is>
      </c>
      <c r="E1827" s="521" t="inlineStr">
        <is>
          <t>TI-0225698</t>
        </is>
      </c>
      <c r="F1827" s="523" t="n">
        <v>44671</v>
      </c>
      <c r="G1827" s="556" t="n">
        <v>129035</v>
      </c>
      <c r="I1827" s="521">
        <f>G1827</f>
        <v/>
      </c>
      <c r="K1827" s="521">
        <f>I1827-G1827</f>
        <v/>
      </c>
      <c r="M1827" s="522" t="inlineStr">
        <is>
          <t>TI0225698</t>
        </is>
      </c>
      <c r="N1827" s="522" t="inlineStr">
        <is>
          <t>TI0225698</t>
        </is>
      </c>
      <c r="O1827" s="521">
        <f>M1827=N1827</f>
        <v/>
      </c>
      <c r="P1827" s="521">
        <f>AND(MONTH(F1827)=MONTH(S1827), YEAR(F1827)=YEAR(S1827))</f>
        <v/>
      </c>
      <c r="Q1827" s="521">
        <f>U1827="L001-901905215"</f>
        <v/>
      </c>
      <c r="R1827" s="556">
        <f>G1827-W1827</f>
        <v/>
      </c>
      <c r="S1827" s="523" t="n">
        <v>44671</v>
      </c>
      <c r="T1827" s="522" t="inlineStr">
        <is>
          <t>TI-0225698</t>
        </is>
      </c>
      <c r="U1827" s="522" t="inlineStr">
        <is>
          <t>L001-901905215</t>
        </is>
      </c>
      <c r="V1827" s="522" t="inlineStr">
        <is>
          <t>វីអ៊ីស៊ិន (ខេមបូឌា) អ៊ិនដាសស្ទ្រី ឯ.ក</t>
        </is>
      </c>
      <c r="W1827" s="556" t="n">
        <v>129036</v>
      </c>
    </row>
    <row r="1828">
      <c r="A1828" s="521" t="n">
        <v>1820</v>
      </c>
      <c r="B1828" s="522" t="inlineStr">
        <is>
          <t>Cy Management Fee, Thc Charges, Bl Fee,FCR Fee, VGM Processing Fee</t>
        </is>
      </c>
      <c r="C1828" s="522" t="inlineStr">
        <is>
          <t>អ៊ិចស្ពែឌីធ័រ ខេមបូឌា អិលធីឌី</t>
        </is>
      </c>
      <c r="D1828" s="522" t="inlineStr">
        <is>
          <t>L001-100045898</t>
        </is>
      </c>
      <c r="E1828" s="521" t="inlineStr">
        <is>
          <t>TI-0225649</t>
        </is>
      </c>
      <c r="F1828" s="523" t="n">
        <v>44670</v>
      </c>
      <c r="G1828" s="556" t="n">
        <v>508052</v>
      </c>
      <c r="I1828" s="521">
        <f>G1828</f>
        <v/>
      </c>
      <c r="K1828" s="521">
        <f>I1828-G1828</f>
        <v/>
      </c>
      <c r="M1828" s="522" t="inlineStr">
        <is>
          <t>TI0225649</t>
        </is>
      </c>
      <c r="N1828" s="522" t="inlineStr">
        <is>
          <t>TI0225649</t>
        </is>
      </c>
      <c r="O1828" s="521">
        <f>M1828=N1828</f>
        <v/>
      </c>
      <c r="P1828" s="521">
        <f>AND(MONTH(F1828)=MONTH(S1828), YEAR(F1828)=YEAR(S1828))</f>
        <v/>
      </c>
      <c r="Q1828" s="521">
        <f>U1828="L001-901905215"</f>
        <v/>
      </c>
      <c r="R1828" s="556">
        <f>G1828-W1828</f>
        <v/>
      </c>
      <c r="S1828" s="523" t="n">
        <v>44670</v>
      </c>
      <c r="T1828" s="522" t="inlineStr">
        <is>
          <t>TI-0225649</t>
        </is>
      </c>
      <c r="U1828" s="522" t="inlineStr">
        <is>
          <t>L001-901905215</t>
        </is>
      </c>
      <c r="V1828" s="522" t="inlineStr">
        <is>
          <t>វីអ៊ីស៊ិន (ខេមបូឌា) អ៊ិនដាសស្ទ្រី ឯ.ក</t>
        </is>
      </c>
      <c r="W1828" s="556" t="n">
        <v>508052</v>
      </c>
    </row>
    <row r="1829">
      <c r="A1829" s="521" t="n">
        <v>1821</v>
      </c>
      <c r="B1829" s="522" t="inlineStr">
        <is>
          <t>Cy Management Fee, Thc Charges, Bl Fee,FCR Fee, VGM Processing Fee</t>
        </is>
      </c>
      <c r="C1829" s="522" t="inlineStr">
        <is>
          <t>អ៊ិចស្ពែឌីធ័រ ខេមបូឌា អិលធីឌី</t>
        </is>
      </c>
      <c r="D1829" s="522" t="inlineStr">
        <is>
          <t>L001-100045898</t>
        </is>
      </c>
      <c r="E1829" s="521" t="inlineStr">
        <is>
          <t>TI-0225621</t>
        </is>
      </c>
      <c r="F1829" s="523" t="n">
        <v>44670</v>
      </c>
      <c r="G1829" s="556" t="n">
        <v>597851</v>
      </c>
      <c r="I1829" s="521">
        <f>G1829</f>
        <v/>
      </c>
      <c r="K1829" s="521">
        <f>I1829-G1829</f>
        <v/>
      </c>
      <c r="M1829" s="522" t="inlineStr">
        <is>
          <t>TI0225621</t>
        </is>
      </c>
      <c r="N1829" s="522" t="inlineStr">
        <is>
          <t>TI0225621</t>
        </is>
      </c>
      <c r="O1829" s="521">
        <f>M1829=N1829</f>
        <v/>
      </c>
      <c r="P1829" s="521">
        <f>AND(MONTH(F1829)=MONTH(S1829), YEAR(F1829)=YEAR(S1829))</f>
        <v/>
      </c>
      <c r="Q1829" s="521">
        <f>U1829="L001-901905215"</f>
        <v/>
      </c>
      <c r="R1829" s="556">
        <f>G1829-W1829</f>
        <v/>
      </c>
      <c r="S1829" s="523" t="n">
        <v>44670</v>
      </c>
      <c r="T1829" s="522" t="inlineStr">
        <is>
          <t>TI-0225621</t>
        </is>
      </c>
      <c r="U1829" s="522" t="inlineStr">
        <is>
          <t>L001-901905215</t>
        </is>
      </c>
      <c r="V1829" s="522" t="inlineStr">
        <is>
          <t>វីអ៊ីស៊ិន (ខេមបូឌា) អ៊ិនដាសស្ទ្រី ឯ.ក</t>
        </is>
      </c>
      <c r="W1829" s="556" t="n">
        <v>597851</v>
      </c>
    </row>
    <row r="1830">
      <c r="A1830" s="521" t="n">
        <v>1822</v>
      </c>
      <c r="B1830" s="522" t="inlineStr">
        <is>
          <t>Cy Management Fee, Thc Charges, Bl Fee,FCR Fee, VGM Processing Fee</t>
        </is>
      </c>
      <c r="C1830" s="522" t="inlineStr">
        <is>
          <t>អ៊ិចស្ពែឌីធ័រ ខេមបូឌា អិលធីឌី</t>
        </is>
      </c>
      <c r="D1830" s="522" t="inlineStr">
        <is>
          <t>L001-100045898</t>
        </is>
      </c>
      <c r="E1830" s="521" t="inlineStr">
        <is>
          <t>TI-0225620</t>
        </is>
      </c>
      <c r="F1830" s="523" t="n">
        <v>44670</v>
      </c>
      <c r="G1830" s="556" t="n">
        <v>378612</v>
      </c>
      <c r="I1830" s="521">
        <f>G1830</f>
        <v/>
      </c>
      <c r="K1830" s="521">
        <f>I1830-G1830</f>
        <v/>
      </c>
      <c r="M1830" s="522" t="inlineStr">
        <is>
          <t>TI0225620</t>
        </is>
      </c>
      <c r="N1830" s="522" t="inlineStr">
        <is>
          <t>TI0225620</t>
        </is>
      </c>
      <c r="O1830" s="521">
        <f>M1830=N1830</f>
        <v/>
      </c>
      <c r="P1830" s="521">
        <f>AND(MONTH(F1830)=MONTH(S1830), YEAR(F1830)=YEAR(S1830))</f>
        <v/>
      </c>
      <c r="Q1830" s="521">
        <f>U1830="L001-901905215"</f>
        <v/>
      </c>
      <c r="R1830" s="556">
        <f>G1830-W1830</f>
        <v/>
      </c>
      <c r="S1830" s="523" t="n">
        <v>44670</v>
      </c>
      <c r="T1830" s="522" t="inlineStr">
        <is>
          <t>TI-0225620</t>
        </is>
      </c>
      <c r="U1830" s="522" t="inlineStr">
        <is>
          <t>L001-901905215</t>
        </is>
      </c>
      <c r="V1830" s="522" t="inlineStr">
        <is>
          <t>វីអ៊ីស៊ិន (ខេមបូឌា) អ៊ិនដាសស្ទ្រី ឯ.ក</t>
        </is>
      </c>
      <c r="W1830" s="556" t="n">
        <v>378612</v>
      </c>
    </row>
    <row r="1831">
      <c r="A1831" s="521" t="n">
        <v>1823</v>
      </c>
      <c r="B1831" s="522" t="inlineStr">
        <is>
          <t>Cy Management Fee, Thc Charges, Bl Fee,FCR Fee, VGM Processing Fee</t>
        </is>
      </c>
      <c r="C1831" s="522" t="inlineStr">
        <is>
          <t>អ៊ិចស្ពែឌីធ័រ ខេមបូឌា អិលធីឌី</t>
        </is>
      </c>
      <c r="D1831" s="522" t="inlineStr">
        <is>
          <t>L001-100045898</t>
        </is>
      </c>
      <c r="E1831" s="521" t="inlineStr">
        <is>
          <t>TI-0225619</t>
        </is>
      </c>
      <c r="F1831" s="523" t="n">
        <v>44670</v>
      </c>
      <c r="G1831" s="556" t="n">
        <v>219239</v>
      </c>
      <c r="I1831" s="521">
        <f>G1831</f>
        <v/>
      </c>
      <c r="K1831" s="521">
        <f>I1831-G1831</f>
        <v/>
      </c>
      <c r="M1831" s="522" t="inlineStr">
        <is>
          <t>TI0225619</t>
        </is>
      </c>
      <c r="N1831" s="522" t="inlineStr">
        <is>
          <t>TI0225619</t>
        </is>
      </c>
      <c r="O1831" s="521">
        <f>M1831=N1831</f>
        <v/>
      </c>
      <c r="P1831" s="521">
        <f>AND(MONTH(F1831)=MONTH(S1831), YEAR(F1831)=YEAR(S1831))</f>
        <v/>
      </c>
      <c r="Q1831" s="521">
        <f>U1831="L001-901905215"</f>
        <v/>
      </c>
      <c r="R1831" s="556">
        <f>G1831-W1831</f>
        <v/>
      </c>
      <c r="S1831" s="523" t="n">
        <v>44670</v>
      </c>
      <c r="T1831" s="522" t="inlineStr">
        <is>
          <t>TI-0225619</t>
        </is>
      </c>
      <c r="U1831" s="522" t="inlineStr">
        <is>
          <t>L001-901905215</t>
        </is>
      </c>
      <c r="V1831" s="522" t="inlineStr">
        <is>
          <t>វីអ៊ីស៊ិន (ខេមបូឌា) អ៊ិនដាសស្ទ្រី ឯ.ក</t>
        </is>
      </c>
      <c r="W1831" s="556" t="n">
        <v>219239</v>
      </c>
    </row>
    <row r="1832">
      <c r="A1832" s="521" t="n">
        <v>1824</v>
      </c>
      <c r="B1832" s="522" t="inlineStr">
        <is>
          <t>Cy Management Fee, Thc Charges, Bl Fee,FCR Fee, VGM Processing Fee</t>
        </is>
      </c>
      <c r="C1832" s="522" t="inlineStr">
        <is>
          <t>អ៊ិចស្ពែឌីធ័រ ខេមបូឌា អិលធីឌី</t>
        </is>
      </c>
      <c r="D1832" s="522" t="inlineStr">
        <is>
          <t>L001-100045898</t>
        </is>
      </c>
      <c r="E1832" s="521" t="inlineStr">
        <is>
          <t>TI-0224902</t>
        </is>
      </c>
      <c r="F1832" s="523" t="n">
        <v>44656</v>
      </c>
      <c r="G1832" s="556" t="n">
        <v>526370</v>
      </c>
      <c r="I1832" s="521">
        <f>G1832</f>
        <v/>
      </c>
      <c r="K1832" s="521">
        <f>I1832-G1832</f>
        <v/>
      </c>
      <c r="M1832" s="522" t="inlineStr">
        <is>
          <t>TI0224902</t>
        </is>
      </c>
      <c r="N1832" s="522" t="inlineStr">
        <is>
          <t>TI0224902</t>
        </is>
      </c>
      <c r="O1832" s="521">
        <f>M1832=N1832</f>
        <v/>
      </c>
      <c r="P1832" s="521">
        <f>AND(MONTH(F1832)=MONTH(S1832), YEAR(F1832)=YEAR(S1832))</f>
        <v/>
      </c>
      <c r="Q1832" s="521">
        <f>U1832="L001-901905215"</f>
        <v/>
      </c>
      <c r="R1832" s="556">
        <f>G1832-W1832</f>
        <v/>
      </c>
      <c r="S1832" s="523" t="n">
        <v>44656</v>
      </c>
      <c r="T1832" s="522" t="inlineStr">
        <is>
          <t>TI-0224902</t>
        </is>
      </c>
      <c r="U1832" s="522" t="inlineStr">
        <is>
          <t>L001-901905215</t>
        </is>
      </c>
      <c r="V1832" s="522" t="inlineStr">
        <is>
          <t>វីអ៊ីស៊ិន (ខេមបូឌា) អ៊ិនដាសស្ទ្រី ឯ.ក</t>
        </is>
      </c>
      <c r="W1832" s="556" t="n">
        <v>526370</v>
      </c>
    </row>
    <row r="1833">
      <c r="A1833" s="521" t="n">
        <v>1825</v>
      </c>
      <c r="B1833" s="522" t="inlineStr">
        <is>
          <t>Cy Management Fee, Thc Charges, Bl Fee,FCR Fee, VGM Processing Fee</t>
        </is>
      </c>
      <c r="C1833" s="522" t="inlineStr">
        <is>
          <t>អ៊ិចស្ពែឌីធ័រ ខេមបូឌា អិលធីឌី</t>
        </is>
      </c>
      <c r="D1833" s="522" t="inlineStr">
        <is>
          <t>L001-100045898</t>
        </is>
      </c>
      <c r="E1833" s="521" t="inlineStr">
        <is>
          <t>TI-0224901</t>
        </is>
      </c>
      <c r="F1833" s="523" t="n">
        <v>44656</v>
      </c>
      <c r="G1833" s="556" t="n">
        <v>279381</v>
      </c>
      <c r="I1833" s="521">
        <f>G1833</f>
        <v/>
      </c>
      <c r="K1833" s="521">
        <f>I1833-G1833</f>
        <v/>
      </c>
      <c r="M1833" s="522" t="inlineStr">
        <is>
          <t>TI0224901</t>
        </is>
      </c>
      <c r="N1833" s="522" t="inlineStr">
        <is>
          <t>TI0224901</t>
        </is>
      </c>
      <c r="O1833" s="521">
        <f>M1833=N1833</f>
        <v/>
      </c>
      <c r="P1833" s="521">
        <f>AND(MONTH(F1833)=MONTH(S1833), YEAR(F1833)=YEAR(S1833))</f>
        <v/>
      </c>
      <c r="Q1833" s="521">
        <f>U1833="L001-901905215"</f>
        <v/>
      </c>
      <c r="R1833" s="556">
        <f>G1833-W1833</f>
        <v/>
      </c>
      <c r="S1833" s="523" t="n">
        <v>44656</v>
      </c>
      <c r="T1833" s="522" t="inlineStr">
        <is>
          <t>TI-0224901</t>
        </is>
      </c>
      <c r="U1833" s="522" t="inlineStr">
        <is>
          <t>L001-901905215</t>
        </is>
      </c>
      <c r="V1833" s="522" t="inlineStr">
        <is>
          <t>វីអ៊ីស៊ិន (ខេមបូឌា) អ៊ិនដាសស្ទ្រី ឯ.ក</t>
        </is>
      </c>
      <c r="W1833" s="556" t="n">
        <v>279381</v>
      </c>
    </row>
    <row r="1834">
      <c r="A1834" s="521" t="n">
        <v>1826</v>
      </c>
      <c r="B1834" s="522" t="inlineStr">
        <is>
          <t>THC, CARRIER BL FEE,SEAL FEE, HANDLING FEE, VGM FEE, AMS FEE,TELEX FEE</t>
        </is>
      </c>
      <c r="C1834" s="522" t="inlineStr">
        <is>
          <t>អេស៊ាន ហ្វ្រេត (ខេមបូឌា)</t>
        </is>
      </c>
      <c r="D1834" s="522" t="inlineStr">
        <is>
          <t>K004-105012505</t>
        </is>
      </c>
      <c r="E1834" s="521" t="inlineStr">
        <is>
          <t>PPTT22/0590</t>
        </is>
      </c>
      <c r="F1834" s="523" t="n">
        <v>44669</v>
      </c>
      <c r="G1834" s="556" t="n">
        <v>174744</v>
      </c>
      <c r="I1834" s="521">
        <f>G1834</f>
        <v/>
      </c>
      <c r="K1834" s="521">
        <f>I1834-G1834</f>
        <v/>
      </c>
      <c r="M1834" s="522" t="inlineStr">
        <is>
          <t>PPTT220590</t>
        </is>
      </c>
      <c r="N1834" s="522" t="inlineStr"/>
      <c r="O1834" s="521">
        <f>M1834=N1834</f>
        <v/>
      </c>
      <c r="P1834" s="521">
        <f>AND(MONTH(F1834)=MONTH(S1834), YEAR(F1834)=YEAR(S1834))</f>
        <v/>
      </c>
      <c r="Q1834" s="521">
        <f>U1834="L001-901905215"</f>
        <v/>
      </c>
      <c r="R1834" s="556">
        <f>G1834-W1834</f>
        <v/>
      </c>
      <c r="S1834" s="521" t="n"/>
      <c r="T1834" s="522" t="n"/>
      <c r="U1834" s="522" t="n"/>
      <c r="V1834" s="522" t="n"/>
      <c r="W1834" s="521" t="n"/>
    </row>
    <row r="1835">
      <c r="A1835" s="521" t="n">
        <v>1827</v>
      </c>
      <c r="B1835" s="522" t="inlineStr">
        <is>
          <t>THC, CARRIER BL FEE,SEAL FEE, HANDLING FEE, VGM FEE, AMS FEE,TELEX FEE</t>
        </is>
      </c>
      <c r="C1835" s="522" t="inlineStr">
        <is>
          <t>អេស៊ាន ហ្វ្រេត (ខេមបូឌា)</t>
        </is>
      </c>
      <c r="D1835" s="522" t="inlineStr">
        <is>
          <t>K004-105012505</t>
        </is>
      </c>
      <c r="E1835" s="521" t="inlineStr">
        <is>
          <t>PPTT22/0589</t>
        </is>
      </c>
      <c r="F1835" s="523" t="n">
        <v>44669</v>
      </c>
      <c r="G1835" s="556" t="n">
        <v>174744</v>
      </c>
      <c r="I1835" s="521">
        <f>G1835</f>
        <v/>
      </c>
      <c r="K1835" s="521">
        <f>I1835-G1835</f>
        <v/>
      </c>
      <c r="M1835" s="522" t="inlineStr">
        <is>
          <t>PPTT220589</t>
        </is>
      </c>
      <c r="N1835" s="522" t="inlineStr"/>
      <c r="O1835" s="521">
        <f>M1835=N1835</f>
        <v/>
      </c>
      <c r="P1835" s="521">
        <f>AND(MONTH(F1835)=MONTH(S1835), YEAR(F1835)=YEAR(S1835))</f>
        <v/>
      </c>
      <c r="Q1835" s="521">
        <f>U1835="L001-901905215"</f>
        <v/>
      </c>
      <c r="R1835" s="556">
        <f>G1835-W1835</f>
        <v/>
      </c>
      <c r="S1835" s="521" t="n"/>
      <c r="T1835" s="522" t="n"/>
      <c r="U1835" s="522" t="n"/>
      <c r="V1835" s="522" t="n"/>
      <c r="W1835" s="521" t="n"/>
    </row>
    <row r="1836">
      <c r="A1836" s="521" t="n">
        <v>1828</v>
      </c>
      <c r="B1836" s="522" t="inlineStr">
        <is>
          <t>THC, CARRIER BL FEE,SEAL FEE, HANDLING FEE, VGM FEE, AMS FEE,TELEX FEE</t>
        </is>
      </c>
      <c r="C1836" s="522" t="inlineStr">
        <is>
          <t>អេស៊ាន ហ្វ្រេត (ខេមបូឌា)</t>
        </is>
      </c>
      <c r="D1836" s="522" t="inlineStr">
        <is>
          <t>K004-105012505</t>
        </is>
      </c>
      <c r="E1836" s="521" t="inlineStr">
        <is>
          <t>PPTT22/0580</t>
        </is>
      </c>
      <c r="F1836" s="523" t="n">
        <v>44659</v>
      </c>
      <c r="G1836" s="556" t="n">
        <v>174744</v>
      </c>
      <c r="I1836" s="521">
        <f>G1836</f>
        <v/>
      </c>
      <c r="K1836" s="521">
        <f>I1836-G1836</f>
        <v/>
      </c>
      <c r="M1836" s="522" t="inlineStr">
        <is>
          <t>PPTT220580</t>
        </is>
      </c>
      <c r="N1836" s="522" t="inlineStr"/>
      <c r="O1836" s="521">
        <f>M1836=N1836</f>
        <v/>
      </c>
      <c r="P1836" s="521">
        <f>AND(MONTH(F1836)=MONTH(S1836), YEAR(F1836)=YEAR(S1836))</f>
        <v/>
      </c>
      <c r="Q1836" s="521">
        <f>U1836="L001-901905215"</f>
        <v/>
      </c>
      <c r="R1836" s="556">
        <f>G1836-W1836</f>
        <v/>
      </c>
      <c r="S1836" s="521" t="n"/>
      <c r="T1836" s="522" t="n"/>
      <c r="U1836" s="522" t="n"/>
      <c r="V1836" s="522" t="n"/>
      <c r="W1836" s="521" t="n"/>
    </row>
    <row r="1837">
      <c r="A1837" s="521" t="n">
        <v>1829</v>
      </c>
      <c r="B1837" s="522" t="inlineStr">
        <is>
          <t>LIFE -OFF,GATE FEE CHARGE</t>
        </is>
      </c>
      <c r="C1837" s="522" t="inlineStr">
        <is>
          <t>កំពង់ផែស្វយ័តភ្នំពេញ "ក.ស.ភ"</t>
        </is>
      </c>
      <c r="D1837" s="522" t="inlineStr">
        <is>
          <t>L001-100044999</t>
        </is>
      </c>
      <c r="E1837" s="521" t="inlineStr">
        <is>
          <t>INV20220428504</t>
        </is>
      </c>
      <c r="F1837" s="523" t="n">
        <v>44669</v>
      </c>
      <c r="G1837" s="556" t="n">
        <v>29124</v>
      </c>
      <c r="I1837" s="521">
        <f>G1837</f>
        <v/>
      </c>
      <c r="K1837" s="521">
        <f>I1837-G1837</f>
        <v/>
      </c>
      <c r="M1837" s="522" t="inlineStr">
        <is>
          <t>INV20220428504</t>
        </is>
      </c>
      <c r="N1837" s="522" t="inlineStr"/>
      <c r="O1837" s="521">
        <f>M1837=N1837</f>
        <v/>
      </c>
      <c r="P1837" s="521">
        <f>AND(MONTH(F1837)=MONTH(S1837), YEAR(F1837)=YEAR(S1837))</f>
        <v/>
      </c>
      <c r="Q1837" s="521">
        <f>U1837="L001-901905215"</f>
        <v/>
      </c>
      <c r="R1837" s="556">
        <f>G1837-W1837</f>
        <v/>
      </c>
      <c r="S1837" s="521" t="n"/>
      <c r="T1837" s="522" t="n"/>
      <c r="U1837" s="522" t="n"/>
      <c r="V1837" s="522" t="n"/>
      <c r="W1837" s="521" t="n"/>
    </row>
    <row r="1838">
      <c r="A1838" s="521" t="n">
        <v>1830</v>
      </c>
      <c r="B1838" s="522" t="inlineStr">
        <is>
          <t>CLEARNCE &amp; TRUCKING FEE</t>
        </is>
      </c>
      <c r="C1838" s="522" t="inlineStr">
        <is>
          <t>56ប៊ី-លីង សឹបផ្លាយ ឆេន មេនេចម៉ិន ឯ.ក</t>
        </is>
      </c>
      <c r="D1838" s="522" t="inlineStr">
        <is>
          <t>K004-902004795</t>
        </is>
      </c>
      <c r="E1838" s="521" t="inlineStr">
        <is>
          <t>TI2022-0345</t>
        </is>
      </c>
      <c r="F1838" s="523" t="n">
        <v>44669</v>
      </c>
      <c r="G1838" s="556" t="n">
        <v>268993</v>
      </c>
      <c r="I1838" s="521">
        <f>G1838</f>
        <v/>
      </c>
      <c r="K1838" s="521">
        <f>I1838-G1838</f>
        <v/>
      </c>
      <c r="M1838" s="522" t="inlineStr">
        <is>
          <t>TI20220345</t>
        </is>
      </c>
      <c r="N1838" s="522" t="inlineStr">
        <is>
          <t>TI20220345</t>
        </is>
      </c>
      <c r="O1838" s="521">
        <f>M1838=N1838</f>
        <v/>
      </c>
      <c r="P1838" s="521">
        <f>AND(MONTH(F1838)=MONTH(S1838), YEAR(F1838)=YEAR(S1838))</f>
        <v/>
      </c>
      <c r="Q1838" s="521">
        <f>U1838="L001-901905215"</f>
        <v/>
      </c>
      <c r="R1838" s="556">
        <f>G1838-W1838</f>
        <v/>
      </c>
      <c r="S1838" s="523" t="n">
        <v>44669</v>
      </c>
      <c r="T1838" s="522" t="inlineStr">
        <is>
          <t>TI2022-0345</t>
        </is>
      </c>
      <c r="U1838" s="522" t="inlineStr">
        <is>
          <t>L001-901905215</t>
        </is>
      </c>
      <c r="V1838" s="522" t="inlineStr">
        <is>
          <t>វីអ៊ីស៊ិន (ខេមបូឌា) អ៊ិនដាសស្ទ្រី ឯ.ក</t>
        </is>
      </c>
      <c r="W1838" s="556" t="n">
        <v>268993</v>
      </c>
    </row>
    <row r="1839">
      <c r="A1839" s="521" t="n">
        <v>1831</v>
      </c>
      <c r="B1839" s="522" t="inlineStr">
        <is>
          <t>LIFE -OFF,GATE FEE CHARGE</t>
        </is>
      </c>
      <c r="C1839" s="522" t="inlineStr">
        <is>
          <t>កំពង់ផែស្វយ័តភ្នំពេញ "ក.ស.ភ"</t>
        </is>
      </c>
      <c r="D1839" s="522" t="inlineStr">
        <is>
          <t>L001-100044999</t>
        </is>
      </c>
      <c r="E1839" s="521" t="inlineStr">
        <is>
          <t>INV20220428505</t>
        </is>
      </c>
      <c r="F1839" s="523" t="n">
        <v>44669</v>
      </c>
      <c r="G1839" s="556" t="n">
        <v>58248</v>
      </c>
      <c r="I1839" s="521">
        <f>G1839</f>
        <v/>
      </c>
      <c r="K1839" s="521">
        <f>I1839-G1839</f>
        <v/>
      </c>
      <c r="M1839" s="522" t="inlineStr">
        <is>
          <t>INV20220428505</t>
        </is>
      </c>
      <c r="N1839" s="522" t="inlineStr"/>
      <c r="O1839" s="521">
        <f>M1839=N1839</f>
        <v/>
      </c>
      <c r="P1839" s="521">
        <f>AND(MONTH(F1839)=MONTH(S1839), YEAR(F1839)=YEAR(S1839))</f>
        <v/>
      </c>
      <c r="Q1839" s="521">
        <f>U1839="L001-901905215"</f>
        <v/>
      </c>
      <c r="R1839" s="556">
        <f>G1839-W1839</f>
        <v/>
      </c>
      <c r="S1839" s="521" t="n"/>
      <c r="T1839" s="522" t="n"/>
      <c r="U1839" s="522" t="n"/>
      <c r="V1839" s="522" t="n"/>
      <c r="W1839" s="521" t="n"/>
    </row>
    <row r="1840">
      <c r="A1840" s="521" t="n">
        <v>1832</v>
      </c>
      <c r="B1840" s="522" t="inlineStr">
        <is>
          <t>CLEARNCE &amp; TRUCKING FEE</t>
        </is>
      </c>
      <c r="C1840" s="522" t="inlineStr">
        <is>
          <t>56ប៊ី-លីង សឹបផ្លាយ ឆេន មេនេចម៉ិន ឯ.ក</t>
        </is>
      </c>
      <c r="D1840" s="522" t="inlineStr">
        <is>
          <t>K004-902004795</t>
        </is>
      </c>
      <c r="E1840" s="521" t="inlineStr">
        <is>
          <t>TI2022-0344</t>
        </is>
      </c>
      <c r="F1840" s="523" t="n">
        <v>44669</v>
      </c>
      <c r="G1840" s="556" t="n">
        <v>481355</v>
      </c>
      <c r="I1840" s="521">
        <f>G1840</f>
        <v/>
      </c>
      <c r="K1840" s="521">
        <f>I1840-G1840</f>
        <v/>
      </c>
      <c r="M1840" s="522" t="inlineStr">
        <is>
          <t>TI20220344</t>
        </is>
      </c>
      <c r="N1840" s="522" t="inlineStr">
        <is>
          <t>TI20220344</t>
        </is>
      </c>
      <c r="O1840" s="521">
        <f>M1840=N1840</f>
        <v/>
      </c>
      <c r="P1840" s="521">
        <f>AND(MONTH(F1840)=MONTH(S1840), YEAR(F1840)=YEAR(S1840))</f>
        <v/>
      </c>
      <c r="Q1840" s="521">
        <f>U1840="L001-901905215"</f>
        <v/>
      </c>
      <c r="R1840" s="556">
        <f>G1840-W1840</f>
        <v/>
      </c>
      <c r="S1840" s="523" t="n">
        <v>44669</v>
      </c>
      <c r="T1840" s="522" t="inlineStr">
        <is>
          <t>TI2022-0344</t>
        </is>
      </c>
      <c r="U1840" s="522" t="inlineStr">
        <is>
          <t>L001-901905215</t>
        </is>
      </c>
      <c r="V1840" s="522" t="inlineStr">
        <is>
          <t>វីអ៊ីស៊ិន (ខេមបូឌា) អ៊ិនដាសស្ទ្រី ឯ.ក</t>
        </is>
      </c>
      <c r="W1840" s="556" t="n">
        <v>481355</v>
      </c>
    </row>
    <row r="1841">
      <c r="A1841" s="521" t="n">
        <v>1833</v>
      </c>
      <c r="B1841" s="522" t="inlineStr">
        <is>
          <t>LIFE -OFF,GATE FEE CHARGE</t>
        </is>
      </c>
      <c r="C1841" s="522" t="inlineStr">
        <is>
          <t>កំពង់ផែស្វយ័តភ្នំពេញ "ក.ស.ភ"</t>
        </is>
      </c>
      <c r="D1841" s="522" t="inlineStr">
        <is>
          <t>L001-100044999</t>
        </is>
      </c>
      <c r="E1841" s="521" t="inlineStr">
        <is>
          <t>INV20220428502</t>
        </is>
      </c>
      <c r="F1841" s="523" t="n">
        <v>44669</v>
      </c>
      <c r="G1841" s="556" t="n">
        <v>19416</v>
      </c>
      <c r="I1841" s="521">
        <f>G1841</f>
        <v/>
      </c>
      <c r="K1841" s="521">
        <f>I1841-G1841</f>
        <v/>
      </c>
      <c r="M1841" s="522" t="inlineStr">
        <is>
          <t>INV20220428502</t>
        </is>
      </c>
      <c r="N1841" s="522" t="inlineStr"/>
      <c r="O1841" s="521">
        <f>M1841=N1841</f>
        <v/>
      </c>
      <c r="P1841" s="521">
        <f>AND(MONTH(F1841)=MONTH(S1841), YEAR(F1841)=YEAR(S1841))</f>
        <v/>
      </c>
      <c r="Q1841" s="521">
        <f>U1841="L001-901905215"</f>
        <v/>
      </c>
      <c r="R1841" s="556">
        <f>G1841-W1841</f>
        <v/>
      </c>
      <c r="S1841" s="521" t="n"/>
      <c r="T1841" s="522" t="n"/>
      <c r="U1841" s="522" t="n"/>
      <c r="V1841" s="522" t="n"/>
      <c r="W1841" s="521" t="n"/>
    </row>
    <row r="1842">
      <c r="A1842" s="521" t="n">
        <v>1834</v>
      </c>
      <c r="B1842" s="522" t="inlineStr">
        <is>
          <t>CLEARNCE &amp; TRUCKING FEE</t>
        </is>
      </c>
      <c r="C1842" s="522" t="inlineStr">
        <is>
          <t>56ប៊ី-លីង សឹបផ្លាយ ឆេន មេនេចម៉ិន ឯ.ក</t>
        </is>
      </c>
      <c r="D1842" s="522" t="inlineStr">
        <is>
          <t>K004-902004795</t>
        </is>
      </c>
      <c r="E1842" s="521" t="inlineStr">
        <is>
          <t>TI2022-0343</t>
        </is>
      </c>
      <c r="F1842" s="523" t="n">
        <v>44669</v>
      </c>
      <c r="G1842" s="556" t="n">
        <v>256858</v>
      </c>
      <c r="I1842" s="521">
        <f>G1842</f>
        <v/>
      </c>
      <c r="K1842" s="521">
        <f>I1842-G1842</f>
        <v/>
      </c>
      <c r="M1842" s="522" t="inlineStr">
        <is>
          <t>TI20220343</t>
        </is>
      </c>
      <c r="N1842" s="522" t="inlineStr">
        <is>
          <t>TI20220343</t>
        </is>
      </c>
      <c r="O1842" s="521">
        <f>M1842=N1842</f>
        <v/>
      </c>
      <c r="P1842" s="521">
        <f>AND(MONTH(F1842)=MONTH(S1842), YEAR(F1842)=YEAR(S1842))</f>
        <v/>
      </c>
      <c r="Q1842" s="521">
        <f>U1842="L001-901905215"</f>
        <v/>
      </c>
      <c r="R1842" s="556">
        <f>G1842-W1842</f>
        <v/>
      </c>
      <c r="S1842" s="523" t="n">
        <v>44669</v>
      </c>
      <c r="T1842" s="522" t="inlineStr">
        <is>
          <t>TI2022-0343</t>
        </is>
      </c>
      <c r="U1842" s="522" t="inlineStr">
        <is>
          <t>L001-901905215</t>
        </is>
      </c>
      <c r="V1842" s="522" t="inlineStr">
        <is>
          <t>វីអ៊ីស៊ិន (ខេមបូឌា) អ៊ិនដាសស្ទ្រី ឯ.ក</t>
        </is>
      </c>
      <c r="W1842" s="556" t="n">
        <v>256858</v>
      </c>
    </row>
    <row r="1843">
      <c r="A1843" s="521" t="n">
        <v>1835</v>
      </c>
      <c r="B1843" s="522" t="inlineStr">
        <is>
          <t>LIFE -OFF,GATE FEE CHARGE</t>
        </is>
      </c>
      <c r="C1843" s="522" t="inlineStr">
        <is>
          <t>កំពង់ផែស្វយ័តភ្នំពេញ "ក.ស.ភ"</t>
        </is>
      </c>
      <c r="D1843" s="522" t="inlineStr">
        <is>
          <t>L001-100044999</t>
        </is>
      </c>
      <c r="E1843" s="521" t="inlineStr">
        <is>
          <t>INV20220427278</t>
        </is>
      </c>
      <c r="F1843" s="523" t="n">
        <v>44662</v>
      </c>
      <c r="G1843" s="556" t="n">
        <v>58248</v>
      </c>
      <c r="I1843" s="521">
        <f>G1843</f>
        <v/>
      </c>
      <c r="K1843" s="521">
        <f>I1843-G1843</f>
        <v/>
      </c>
      <c r="M1843" s="522" t="inlineStr">
        <is>
          <t>INV20220427278</t>
        </is>
      </c>
      <c r="N1843" s="522" t="inlineStr"/>
      <c r="O1843" s="521">
        <f>M1843=N1843</f>
        <v/>
      </c>
      <c r="P1843" s="521">
        <f>AND(MONTH(F1843)=MONTH(S1843), YEAR(F1843)=YEAR(S1843))</f>
        <v/>
      </c>
      <c r="Q1843" s="521">
        <f>U1843="L001-901905215"</f>
        <v/>
      </c>
      <c r="R1843" s="556">
        <f>G1843-W1843</f>
        <v/>
      </c>
      <c r="S1843" s="521" t="n"/>
      <c r="T1843" s="522" t="n"/>
      <c r="U1843" s="522" t="n"/>
      <c r="V1843" s="522" t="n"/>
      <c r="W1843" s="521" t="n"/>
    </row>
    <row r="1844">
      <c r="A1844" s="521" t="n">
        <v>1836</v>
      </c>
      <c r="B1844" s="522" t="inlineStr">
        <is>
          <t>CLEARNCE &amp; TRUCKING FEE</t>
        </is>
      </c>
      <c r="C1844" s="522" t="inlineStr">
        <is>
          <t>56ប៊ី-លីង សឹបផ្លាយ ឆេន មេនេចម៉ិន ឯ.ក</t>
        </is>
      </c>
      <c r="D1844" s="522" t="inlineStr">
        <is>
          <t>K004-902004795</t>
        </is>
      </c>
      <c r="E1844" s="521" t="inlineStr">
        <is>
          <t>TI2022-0328</t>
        </is>
      </c>
      <c r="F1844" s="523" t="n">
        <v>44662</v>
      </c>
      <c r="G1844" s="556" t="n">
        <v>481355</v>
      </c>
      <c r="I1844" s="521">
        <f>G1844</f>
        <v/>
      </c>
      <c r="K1844" s="521">
        <f>I1844-G1844</f>
        <v/>
      </c>
      <c r="M1844" s="522" t="inlineStr">
        <is>
          <t>TI20220328</t>
        </is>
      </c>
      <c r="N1844" s="522" t="inlineStr">
        <is>
          <t>TI20220328</t>
        </is>
      </c>
      <c r="O1844" s="521">
        <f>M1844=N1844</f>
        <v/>
      </c>
      <c r="P1844" s="521">
        <f>AND(MONTH(F1844)=MONTH(S1844), YEAR(F1844)=YEAR(S1844))</f>
        <v/>
      </c>
      <c r="Q1844" s="521">
        <f>U1844="L001-901905215"</f>
        <v/>
      </c>
      <c r="R1844" s="556">
        <f>G1844-W1844</f>
        <v/>
      </c>
      <c r="S1844" s="523" t="n">
        <v>44662</v>
      </c>
      <c r="T1844" s="522" t="inlineStr">
        <is>
          <t>TI2022-0328</t>
        </is>
      </c>
      <c r="U1844" s="522" t="inlineStr">
        <is>
          <t>L001-901905215</t>
        </is>
      </c>
      <c r="V1844" s="522" t="inlineStr">
        <is>
          <t>វីអ៊ីស៊ិន (ខេមបូឌា) អ៊ិនដាសស្ទ្រី ឯ.ក</t>
        </is>
      </c>
      <c r="W1844" s="556" t="n">
        <v>481355</v>
      </c>
    </row>
    <row r="1845">
      <c r="A1845" s="521" t="n">
        <v>1837</v>
      </c>
      <c r="B1845" s="522" t="inlineStr">
        <is>
          <t>LIFE -OFF,GATE FEE CHARGE</t>
        </is>
      </c>
      <c r="C1845" s="522" t="inlineStr">
        <is>
          <t>កំពង់ផែស្វយ័តភ្នំពេញ "ក.ស.ភ"</t>
        </is>
      </c>
      <c r="D1845" s="522" t="inlineStr">
        <is>
          <t>L001-100044999</t>
        </is>
      </c>
      <c r="E1845" s="521" t="inlineStr">
        <is>
          <t>INV20220427263</t>
        </is>
      </c>
      <c r="F1845" s="523" t="n">
        <v>44662</v>
      </c>
      <c r="G1845" s="556" t="n">
        <v>29124</v>
      </c>
      <c r="I1845" s="521">
        <f>G1845</f>
        <v/>
      </c>
      <c r="K1845" s="521">
        <f>I1845-G1845</f>
        <v/>
      </c>
      <c r="M1845" s="522" t="inlineStr">
        <is>
          <t>INV20220427263</t>
        </is>
      </c>
      <c r="N1845" s="522" t="inlineStr"/>
      <c r="O1845" s="521">
        <f>M1845=N1845</f>
        <v/>
      </c>
      <c r="P1845" s="521">
        <f>AND(MONTH(F1845)=MONTH(S1845), YEAR(F1845)=YEAR(S1845))</f>
        <v/>
      </c>
      <c r="Q1845" s="521">
        <f>U1845="L001-901905215"</f>
        <v/>
      </c>
      <c r="R1845" s="556">
        <f>G1845-W1845</f>
        <v/>
      </c>
      <c r="S1845" s="521" t="n"/>
      <c r="T1845" s="522" t="n"/>
      <c r="U1845" s="522" t="n"/>
      <c r="V1845" s="522" t="n"/>
      <c r="W1845" s="521" t="n"/>
    </row>
    <row r="1846">
      <c r="A1846" s="521" t="n">
        <v>1838</v>
      </c>
      <c r="B1846" s="522" t="inlineStr">
        <is>
          <t>CLEARNCE &amp; TRUCKING FEE</t>
        </is>
      </c>
      <c r="C1846" s="522" t="inlineStr">
        <is>
          <t>56ប៊ី-លីង សឹបផ្លាយ ឆេន មេនេចម៉ិន ឯ.ក</t>
        </is>
      </c>
      <c r="D1846" s="522" t="inlineStr">
        <is>
          <t>K004-902004795</t>
        </is>
      </c>
      <c r="E1846" s="521" t="inlineStr">
        <is>
          <t>TI2022-0327</t>
        </is>
      </c>
      <c r="F1846" s="523" t="n">
        <v>44662</v>
      </c>
      <c r="G1846" s="556" t="n">
        <v>268993</v>
      </c>
      <c r="I1846" s="521">
        <f>G1846</f>
        <v/>
      </c>
      <c r="K1846" s="521">
        <f>I1846-G1846</f>
        <v/>
      </c>
      <c r="M1846" s="522" t="inlineStr">
        <is>
          <t>TI20220327</t>
        </is>
      </c>
      <c r="N1846" s="522" t="inlineStr">
        <is>
          <t>TI20220327</t>
        </is>
      </c>
      <c r="O1846" s="521">
        <f>M1846=N1846</f>
        <v/>
      </c>
      <c r="P1846" s="521">
        <f>AND(MONTH(F1846)=MONTH(S1846), YEAR(F1846)=YEAR(S1846))</f>
        <v/>
      </c>
      <c r="Q1846" s="521">
        <f>U1846="L001-901905215"</f>
        <v/>
      </c>
      <c r="R1846" s="556">
        <f>G1846-W1846</f>
        <v/>
      </c>
      <c r="S1846" s="523" t="n">
        <v>44662</v>
      </c>
      <c r="T1846" s="522" t="inlineStr">
        <is>
          <t>TI2022-0327</t>
        </is>
      </c>
      <c r="U1846" s="522" t="inlineStr">
        <is>
          <t>L001-901905215</t>
        </is>
      </c>
      <c r="V1846" s="522" t="inlineStr">
        <is>
          <t>វីអ៊ីស៊ិន (ខេមបូឌា) អ៊ិនដាសស្ទ្រី ឯ.ក</t>
        </is>
      </c>
      <c r="W1846" s="556" t="n">
        <v>268993</v>
      </c>
    </row>
    <row r="1847">
      <c r="A1847" s="521" t="n">
        <v>1839</v>
      </c>
      <c r="B1847" s="522" t="inlineStr">
        <is>
          <t>LIFE -OFF,GATE FEE CHARGE</t>
        </is>
      </c>
      <c r="C1847" s="522" t="inlineStr">
        <is>
          <t>កំពង់ផែស្វយ័តភ្នំពេញ "ក.ស.ភ"</t>
        </is>
      </c>
      <c r="D1847" s="522" t="inlineStr">
        <is>
          <t>L001-100044999</t>
        </is>
      </c>
      <c r="E1847" s="521" t="inlineStr">
        <is>
          <t>INV20220427262</t>
        </is>
      </c>
      <c r="F1847" s="523" t="n">
        <v>44662</v>
      </c>
      <c r="G1847" s="556" t="n">
        <v>29124</v>
      </c>
      <c r="I1847" s="521">
        <f>G1847</f>
        <v/>
      </c>
      <c r="K1847" s="521">
        <f>I1847-G1847</f>
        <v/>
      </c>
      <c r="M1847" s="522" t="inlineStr">
        <is>
          <t>INV20220427262</t>
        </is>
      </c>
      <c r="N1847" s="522" t="inlineStr"/>
      <c r="O1847" s="521">
        <f>M1847=N1847</f>
        <v/>
      </c>
      <c r="P1847" s="521">
        <f>AND(MONTH(F1847)=MONTH(S1847), YEAR(F1847)=YEAR(S1847))</f>
        <v/>
      </c>
      <c r="Q1847" s="521">
        <f>U1847="L001-901905215"</f>
        <v/>
      </c>
      <c r="R1847" s="556">
        <f>G1847-W1847</f>
        <v/>
      </c>
      <c r="S1847" s="521" t="n"/>
      <c r="T1847" s="522" t="n"/>
      <c r="U1847" s="522" t="n"/>
      <c r="V1847" s="522" t="n"/>
      <c r="W1847" s="521" t="n"/>
    </row>
    <row r="1848">
      <c r="A1848" s="521" t="n">
        <v>1840</v>
      </c>
      <c r="B1848" s="522" t="inlineStr">
        <is>
          <t>CLEARNCE &amp; TRUCKING FEE</t>
        </is>
      </c>
      <c r="C1848" s="522" t="inlineStr">
        <is>
          <t>56ប៊ី-លីង សឹបផ្លាយ ឆេន មេនេចម៉ិន ឯ.ក</t>
        </is>
      </c>
      <c r="D1848" s="522" t="inlineStr">
        <is>
          <t>K004-902004795</t>
        </is>
      </c>
      <c r="E1848" s="521" t="inlineStr">
        <is>
          <t>TI2022-0326</t>
        </is>
      </c>
      <c r="F1848" s="523" t="n">
        <v>44659</v>
      </c>
      <c r="G1848" s="556" t="n">
        <v>268993</v>
      </c>
      <c r="I1848" s="521">
        <f>G1848</f>
        <v/>
      </c>
      <c r="K1848" s="521">
        <f>I1848-G1848</f>
        <v/>
      </c>
      <c r="M1848" s="522" t="inlineStr">
        <is>
          <t>TI20220326</t>
        </is>
      </c>
      <c r="N1848" s="522" t="inlineStr">
        <is>
          <t>TI20220326</t>
        </is>
      </c>
      <c r="O1848" s="521">
        <f>M1848=N1848</f>
        <v/>
      </c>
      <c r="P1848" s="521">
        <f>AND(MONTH(F1848)=MONTH(S1848), YEAR(F1848)=YEAR(S1848))</f>
        <v/>
      </c>
      <c r="Q1848" s="521">
        <f>U1848="L001-901905215"</f>
        <v/>
      </c>
      <c r="R1848" s="556">
        <f>G1848-W1848</f>
        <v/>
      </c>
      <c r="S1848" s="523" t="n">
        <v>44659</v>
      </c>
      <c r="T1848" s="522" t="inlineStr">
        <is>
          <t>TI2022-0326</t>
        </is>
      </c>
      <c r="U1848" s="522" t="inlineStr">
        <is>
          <t>L001-901905215</t>
        </is>
      </c>
      <c r="V1848" s="522" t="inlineStr">
        <is>
          <t>វីអ៊ីស៊ិន (ខេមបូឌា) អ៊ិនដាសស្ទ្រី ឯ.ក</t>
        </is>
      </c>
      <c r="W1848" s="556" t="n">
        <v>268993</v>
      </c>
    </row>
    <row r="1849">
      <c r="A1849" s="521" t="n">
        <v>1841</v>
      </c>
      <c r="B1849" s="522" t="inlineStr">
        <is>
          <t>LIFE -OFF,GATE FEE CHARGE</t>
        </is>
      </c>
      <c r="C1849" s="522" t="inlineStr">
        <is>
          <t>កំពង់ផែស្វយ័តភ្នំពេញ "ក.ស.ភ"</t>
        </is>
      </c>
      <c r="D1849" s="522" t="inlineStr">
        <is>
          <t>L001-100044999</t>
        </is>
      </c>
      <c r="E1849" s="521" t="inlineStr">
        <is>
          <t>INV20220431264</t>
        </is>
      </c>
      <c r="F1849" s="523" t="n">
        <v>44678</v>
      </c>
      <c r="G1849" s="556" t="n">
        <v>2426</v>
      </c>
      <c r="I1849" s="521">
        <f>G1849</f>
        <v/>
      </c>
      <c r="K1849" s="521">
        <f>I1849-G1849</f>
        <v/>
      </c>
      <c r="M1849" s="522" t="inlineStr">
        <is>
          <t>INV20220431264</t>
        </is>
      </c>
      <c r="N1849" s="522" t="inlineStr"/>
      <c r="O1849" s="521">
        <f>M1849=N1849</f>
        <v/>
      </c>
      <c r="P1849" s="521">
        <f>AND(MONTH(F1849)=MONTH(S1849), YEAR(F1849)=YEAR(S1849))</f>
        <v/>
      </c>
      <c r="Q1849" s="521">
        <f>U1849="L001-901905215"</f>
        <v/>
      </c>
      <c r="R1849" s="556">
        <f>G1849-W1849</f>
        <v/>
      </c>
      <c r="S1849" s="521" t="n"/>
      <c r="T1849" s="522" t="n"/>
      <c r="U1849" s="522" t="n"/>
      <c r="V1849" s="522" t="n"/>
      <c r="W1849" s="521" t="n"/>
    </row>
    <row r="1850">
      <c r="A1850" s="521" t="n">
        <v>1842</v>
      </c>
      <c r="B1850" s="522" t="inlineStr">
        <is>
          <t>CLEARNCE &amp; TRUCKING FEE</t>
        </is>
      </c>
      <c r="C1850" s="522" t="inlineStr">
        <is>
          <t>56ប៊ី-លីង សឹបផ្លាយ ឆេន មេនេចម៉ិន ឯ.ក</t>
        </is>
      </c>
      <c r="D1850" s="522" t="inlineStr">
        <is>
          <t>K004-902004795</t>
        </is>
      </c>
      <c r="E1850" s="521" t="inlineStr">
        <is>
          <t>TI2022-0325</t>
        </is>
      </c>
      <c r="F1850" s="523" t="n">
        <v>44659</v>
      </c>
      <c r="G1850" s="556" t="n">
        <v>268993</v>
      </c>
      <c r="I1850" s="521">
        <f>G1850</f>
        <v/>
      </c>
      <c r="K1850" s="521">
        <f>I1850-G1850</f>
        <v/>
      </c>
      <c r="M1850" s="522" t="inlineStr">
        <is>
          <t>TI20220325</t>
        </is>
      </c>
      <c r="N1850" s="522" t="inlineStr">
        <is>
          <t>TI20220325</t>
        </is>
      </c>
      <c r="O1850" s="521">
        <f>M1850=N1850</f>
        <v/>
      </c>
      <c r="P1850" s="521">
        <f>AND(MONTH(F1850)=MONTH(S1850), YEAR(F1850)=YEAR(S1850))</f>
        <v/>
      </c>
      <c r="Q1850" s="521">
        <f>U1850="L001-901905215"</f>
        <v/>
      </c>
      <c r="R1850" s="556">
        <f>G1850-W1850</f>
        <v/>
      </c>
      <c r="S1850" s="523" t="n">
        <v>44659</v>
      </c>
      <c r="T1850" s="522" t="inlineStr">
        <is>
          <t>TI2022-0325</t>
        </is>
      </c>
      <c r="U1850" s="522" t="inlineStr">
        <is>
          <t>L001-901905215</t>
        </is>
      </c>
      <c r="V1850" s="522" t="inlineStr">
        <is>
          <t>វីអ៊ីស៊ិន (ខេមបូឌា) អ៊ិនដាសស្ទ្រី ឯ.ក</t>
        </is>
      </c>
      <c r="W1850" s="556" t="n">
        <v>268993</v>
      </c>
    </row>
    <row r="1851">
      <c r="A1851" s="521" t="n">
        <v>1843</v>
      </c>
      <c r="B1851" s="522" t="inlineStr">
        <is>
          <t>LIFE -OFF,GATE FEE CHARGE</t>
        </is>
      </c>
      <c r="C1851" s="522" t="inlineStr">
        <is>
          <t>កំពង់ផែស្វយ័តភ្នំពេញ "ក.ស.ភ"</t>
        </is>
      </c>
      <c r="D1851" s="522" t="inlineStr">
        <is>
          <t>L001-100044999</t>
        </is>
      </c>
      <c r="E1851" s="521" t="inlineStr">
        <is>
          <t>INV20220427270</t>
        </is>
      </c>
      <c r="F1851" s="523" t="n">
        <v>44662</v>
      </c>
      <c r="G1851" s="556" t="n">
        <v>29124</v>
      </c>
      <c r="I1851" s="521">
        <f>G1851</f>
        <v/>
      </c>
      <c r="K1851" s="521">
        <f>I1851-G1851</f>
        <v/>
      </c>
      <c r="M1851" s="522" t="inlineStr">
        <is>
          <t>INV20220427270</t>
        </is>
      </c>
      <c r="N1851" s="522" t="inlineStr"/>
      <c r="O1851" s="521">
        <f>M1851=N1851</f>
        <v/>
      </c>
      <c r="P1851" s="521">
        <f>AND(MONTH(F1851)=MONTH(S1851), YEAR(F1851)=YEAR(S1851))</f>
        <v/>
      </c>
      <c r="Q1851" s="521">
        <f>U1851="L001-901905215"</f>
        <v/>
      </c>
      <c r="R1851" s="556">
        <f>G1851-W1851</f>
        <v/>
      </c>
      <c r="S1851" s="521" t="n"/>
      <c r="T1851" s="522" t="n"/>
      <c r="U1851" s="522" t="n"/>
      <c r="V1851" s="522" t="n"/>
      <c r="W1851" s="521" t="n"/>
    </row>
    <row r="1852">
      <c r="A1852" s="521" t="n">
        <v>1844</v>
      </c>
      <c r="B1852" s="522" t="inlineStr">
        <is>
          <t>CLEARNCE &amp; TRUCKING FEE</t>
        </is>
      </c>
      <c r="C1852" s="522" t="inlineStr">
        <is>
          <t>56ប៊ី-លីង សឹបផ្លាយ ឆេន មេនេចម៉ិន ឯ.ក</t>
        </is>
      </c>
      <c r="D1852" s="522" t="inlineStr">
        <is>
          <t>K004-902004795</t>
        </is>
      </c>
      <c r="E1852" s="521" t="inlineStr">
        <is>
          <t>TI2022-0321</t>
        </is>
      </c>
      <c r="F1852" s="523" t="n">
        <v>44657</v>
      </c>
      <c r="G1852" s="556" t="n">
        <v>694404</v>
      </c>
      <c r="I1852" s="521">
        <f>G1852</f>
        <v/>
      </c>
      <c r="K1852" s="521">
        <f>I1852-G1852</f>
        <v/>
      </c>
      <c r="M1852" s="522" t="inlineStr">
        <is>
          <t>TI20220321</t>
        </is>
      </c>
      <c r="N1852" s="522" t="inlineStr">
        <is>
          <t>TI20220321</t>
        </is>
      </c>
      <c r="O1852" s="521">
        <f>M1852=N1852</f>
        <v/>
      </c>
      <c r="P1852" s="521">
        <f>AND(MONTH(F1852)=MONTH(S1852), YEAR(F1852)=YEAR(S1852))</f>
        <v/>
      </c>
      <c r="Q1852" s="521">
        <f>U1852="L001-901905215"</f>
        <v/>
      </c>
      <c r="R1852" s="556">
        <f>G1852-W1852</f>
        <v/>
      </c>
      <c r="S1852" s="523" t="n">
        <v>44657</v>
      </c>
      <c r="T1852" s="522" t="inlineStr">
        <is>
          <t>TI2022-0321</t>
        </is>
      </c>
      <c r="U1852" s="522" t="inlineStr">
        <is>
          <t>L001-901905215</t>
        </is>
      </c>
      <c r="V1852" s="522" t="inlineStr">
        <is>
          <t>វីអ៊ីស៊ិន (ខេមបូឌា) អ៊ិនដាសស្ទ្រី ឯ.ក</t>
        </is>
      </c>
      <c r="W1852" s="556" t="n">
        <v>694404</v>
      </c>
    </row>
    <row r="1853">
      <c r="A1853" s="521" t="n">
        <v>1845</v>
      </c>
      <c r="B1853" s="522" t="inlineStr">
        <is>
          <t>LIFE -OFF,GATE FEE CHARGE</t>
        </is>
      </c>
      <c r="C1853" s="522" t="inlineStr">
        <is>
          <t>កំពង់ផែស្វយ័តភ្នំពេញ "ក.ស.ភ"</t>
        </is>
      </c>
      <c r="D1853" s="522" t="inlineStr">
        <is>
          <t>L001-100044999</t>
        </is>
      </c>
      <c r="E1853" s="521" t="inlineStr">
        <is>
          <t>INV2022431267</t>
        </is>
      </c>
      <c r="F1853" s="523" t="n">
        <v>44678</v>
      </c>
      <c r="G1853" s="556" t="n">
        <v>2426</v>
      </c>
      <c r="I1853" s="521">
        <f>G1853</f>
        <v/>
      </c>
      <c r="K1853" s="521">
        <f>I1853-G1853</f>
        <v/>
      </c>
      <c r="M1853" s="522" t="inlineStr">
        <is>
          <t>INV2022431267</t>
        </is>
      </c>
      <c r="N1853" s="522" t="inlineStr"/>
      <c r="O1853" s="521">
        <f>M1853=N1853</f>
        <v/>
      </c>
      <c r="P1853" s="521">
        <f>AND(MONTH(F1853)=MONTH(S1853), YEAR(F1853)=YEAR(S1853))</f>
        <v/>
      </c>
      <c r="Q1853" s="521">
        <f>U1853="L001-901905215"</f>
        <v/>
      </c>
      <c r="R1853" s="556">
        <f>G1853-W1853</f>
        <v/>
      </c>
      <c r="S1853" s="521" t="n"/>
      <c r="T1853" s="522" t="n"/>
      <c r="U1853" s="522" t="n"/>
      <c r="V1853" s="522" t="n"/>
      <c r="W1853" s="521" t="n"/>
    </row>
    <row r="1854">
      <c r="A1854" s="521" t="n">
        <v>1846</v>
      </c>
      <c r="B1854" s="522" t="inlineStr">
        <is>
          <t>LIFE -OFF,GATE FEE CHARGE</t>
        </is>
      </c>
      <c r="C1854" s="522" t="inlineStr">
        <is>
          <t>កំពង់ផែស្វយ័តភ្នំពេញ "ក.ស.ភ"</t>
        </is>
      </c>
      <c r="D1854" s="522" t="inlineStr">
        <is>
          <t>L001-100044999</t>
        </is>
      </c>
      <c r="E1854" s="521" t="inlineStr">
        <is>
          <t>INV2022426032</t>
        </is>
      </c>
      <c r="F1854" s="523" t="n">
        <v>44657</v>
      </c>
      <c r="G1854" s="556" t="n">
        <v>29153</v>
      </c>
      <c r="I1854" s="521">
        <f>G1854</f>
        <v/>
      </c>
      <c r="K1854" s="521">
        <f>I1854-G1854</f>
        <v/>
      </c>
      <c r="M1854" s="522" t="inlineStr">
        <is>
          <t>INV2022426032</t>
        </is>
      </c>
      <c r="N1854" s="522" t="inlineStr"/>
      <c r="O1854" s="521">
        <f>M1854=N1854</f>
        <v/>
      </c>
      <c r="P1854" s="521">
        <f>AND(MONTH(F1854)=MONTH(S1854), YEAR(F1854)=YEAR(S1854))</f>
        <v/>
      </c>
      <c r="Q1854" s="521">
        <f>U1854="L001-901905215"</f>
        <v/>
      </c>
      <c r="R1854" s="556">
        <f>G1854-W1854</f>
        <v/>
      </c>
      <c r="S1854" s="521" t="n"/>
      <c r="T1854" s="522" t="n"/>
      <c r="U1854" s="522" t="n"/>
      <c r="V1854" s="522" t="n"/>
      <c r="W1854" s="521" t="n"/>
    </row>
    <row r="1855">
      <c r="A1855" s="521" t="n">
        <v>1847</v>
      </c>
      <c r="B1855" s="522" t="inlineStr">
        <is>
          <t>CLEARNCE &amp; TRUCKING FEE</t>
        </is>
      </c>
      <c r="C1855" s="522" t="inlineStr">
        <is>
          <t>56ប៊ី-លីង សឹបផ្លាយ ឆេន មេនេចម៉ិន ឯ.ក</t>
        </is>
      </c>
      <c r="D1855" s="522" t="inlineStr">
        <is>
          <t>K004-902004795</t>
        </is>
      </c>
      <c r="E1855" s="521" t="inlineStr">
        <is>
          <t>TI2022-0320</t>
        </is>
      </c>
      <c r="F1855" s="523" t="n">
        <v>44657</v>
      </c>
      <c r="G1855" s="556" t="n">
        <v>269259</v>
      </c>
      <c r="I1855" s="521">
        <f>G1855</f>
        <v/>
      </c>
      <c r="K1855" s="521">
        <f>I1855-G1855</f>
        <v/>
      </c>
      <c r="M1855" s="522" t="inlineStr">
        <is>
          <t>TI20220320</t>
        </is>
      </c>
      <c r="N1855" s="522" t="inlineStr">
        <is>
          <t>TI20220320</t>
        </is>
      </c>
      <c r="O1855" s="521">
        <f>M1855=N1855</f>
        <v/>
      </c>
      <c r="P1855" s="521">
        <f>AND(MONTH(F1855)=MONTH(S1855), YEAR(F1855)=YEAR(S1855))</f>
        <v/>
      </c>
      <c r="Q1855" s="521">
        <f>U1855="L001-901905215"</f>
        <v/>
      </c>
      <c r="R1855" s="556">
        <f>G1855-W1855</f>
        <v/>
      </c>
      <c r="S1855" s="523" t="n">
        <v>44657</v>
      </c>
      <c r="T1855" s="522" t="inlineStr">
        <is>
          <t>TI2022-0320</t>
        </is>
      </c>
      <c r="U1855" s="522" t="inlineStr">
        <is>
          <t>L001-901905215</t>
        </is>
      </c>
      <c r="V1855" s="522" t="inlineStr">
        <is>
          <t>វីអ៊ីស៊ិន (ខេមបូឌា) អ៊ិនដាសស្ទ្រី ឯ.ក</t>
        </is>
      </c>
      <c r="W1855" s="556" t="n">
        <v>269259</v>
      </c>
    </row>
    <row r="1856">
      <c r="A1856" s="521" t="n">
        <v>1848</v>
      </c>
      <c r="B1856" s="522" t="inlineStr">
        <is>
          <t>LIFE -OFF,GATE FEE CHARGE</t>
        </is>
      </c>
      <c r="C1856" s="522" t="inlineStr">
        <is>
          <t>កំពង់ផែស្វយ័តភ្នំពេញ "ក.ស.ភ"</t>
        </is>
      </c>
      <c r="D1856" s="522" t="inlineStr">
        <is>
          <t>L001-100044999</t>
        </is>
      </c>
      <c r="E1856" s="521" t="inlineStr">
        <is>
          <t>INV2022426031</t>
        </is>
      </c>
      <c r="F1856" s="523" t="n">
        <v>44657</v>
      </c>
      <c r="G1856" s="556" t="n">
        <v>29153</v>
      </c>
      <c r="I1856" s="521">
        <f>G1856</f>
        <v/>
      </c>
      <c r="K1856" s="521">
        <f>I1856-G1856</f>
        <v/>
      </c>
      <c r="M1856" s="522" t="inlineStr">
        <is>
          <t>INV2022426031</t>
        </is>
      </c>
      <c r="N1856" s="522" t="inlineStr"/>
      <c r="O1856" s="521">
        <f>M1856=N1856</f>
        <v/>
      </c>
      <c r="P1856" s="521">
        <f>AND(MONTH(F1856)=MONTH(S1856), YEAR(F1856)=YEAR(S1856))</f>
        <v/>
      </c>
      <c r="Q1856" s="521">
        <f>U1856="L001-901905215"</f>
        <v/>
      </c>
      <c r="R1856" s="556">
        <f>G1856-W1856</f>
        <v/>
      </c>
      <c r="S1856" s="521" t="n"/>
      <c r="T1856" s="522" t="n"/>
      <c r="U1856" s="522" t="n"/>
      <c r="V1856" s="522" t="n"/>
      <c r="W1856" s="521" t="n"/>
    </row>
    <row r="1857">
      <c r="A1857" s="521" t="n">
        <v>1849</v>
      </c>
      <c r="B1857" s="522" t="inlineStr">
        <is>
          <t xml:space="preserve">Express Fee </t>
        </is>
      </c>
      <c r="C1857" s="522" t="inlineStr">
        <is>
          <t>ឌី អេច អិល អិចប្រេស (ខេមបូឌា)</t>
        </is>
      </c>
      <c r="D1857" s="522" t="inlineStr">
        <is>
          <t>L001-100045197</t>
        </is>
      </c>
      <c r="E1857" s="521" t="inlineStr">
        <is>
          <t>PNHR000419025</t>
        </is>
      </c>
      <c r="F1857" s="523" t="n">
        <v>44672</v>
      </c>
      <c r="G1857" s="556" t="n">
        <v>14320</v>
      </c>
      <c r="I1857" s="521">
        <f>G1857</f>
        <v/>
      </c>
      <c r="K1857" s="521">
        <f>I1857-G1857</f>
        <v/>
      </c>
      <c r="M1857" s="522" t="inlineStr">
        <is>
          <t>PNHR000419025</t>
        </is>
      </c>
      <c r="N1857" s="522" t="inlineStr"/>
      <c r="O1857" s="521">
        <f>M1857=N1857</f>
        <v/>
      </c>
      <c r="P1857" s="521">
        <f>AND(MONTH(F1857)=MONTH(S1857), YEAR(F1857)=YEAR(S1857))</f>
        <v/>
      </c>
      <c r="Q1857" s="521">
        <f>U1857="L001-901905215"</f>
        <v/>
      </c>
      <c r="R1857" s="556">
        <f>G1857-W1857</f>
        <v/>
      </c>
      <c r="S1857" s="521" t="n"/>
      <c r="T1857" s="522" t="n"/>
      <c r="U1857" s="522" t="n"/>
      <c r="V1857" s="522" t="n"/>
      <c r="W1857" s="521" t="n"/>
    </row>
    <row r="1858">
      <c r="A1858" s="521" t="n">
        <v>1850</v>
      </c>
      <c r="B1858" s="522" t="inlineStr">
        <is>
          <t>CLEARNCE &amp; TRUCKING FEE</t>
        </is>
      </c>
      <c r="C1858" s="522" t="inlineStr">
        <is>
          <t>56ប៊ី-លីង សឹបផ្លាយ ឆេន មេនេចម៉ិន ឯ.ក</t>
        </is>
      </c>
      <c r="D1858" s="522" t="inlineStr">
        <is>
          <t>K004-902004795</t>
        </is>
      </c>
      <c r="E1858" s="521" t="inlineStr">
        <is>
          <t>TI2022-0319</t>
        </is>
      </c>
      <c r="F1858" s="523" t="n">
        <v>44657</v>
      </c>
      <c r="G1858" s="556" t="n">
        <v>269259</v>
      </c>
      <c r="I1858" s="521">
        <f>G1858</f>
        <v/>
      </c>
      <c r="K1858" s="521">
        <f>I1858-G1858</f>
        <v/>
      </c>
      <c r="M1858" s="522" t="inlineStr">
        <is>
          <t>TI20220319</t>
        </is>
      </c>
      <c r="N1858" s="522" t="inlineStr">
        <is>
          <t>TI20220319</t>
        </is>
      </c>
      <c r="O1858" s="521">
        <f>M1858=N1858</f>
        <v/>
      </c>
      <c r="P1858" s="521">
        <f>AND(MONTH(F1858)=MONTH(S1858), YEAR(F1858)=YEAR(S1858))</f>
        <v/>
      </c>
      <c r="Q1858" s="521">
        <f>U1858="L001-901905215"</f>
        <v/>
      </c>
      <c r="R1858" s="556">
        <f>G1858-W1858</f>
        <v/>
      </c>
      <c r="S1858" s="523" t="n">
        <v>44657</v>
      </c>
      <c r="T1858" s="522" t="inlineStr">
        <is>
          <t>TI2022-0319</t>
        </is>
      </c>
      <c r="U1858" s="522" t="inlineStr">
        <is>
          <t>L001-901905215</t>
        </is>
      </c>
      <c r="V1858" s="522" t="inlineStr">
        <is>
          <t>វីអ៊ីស៊ិន (ខេមបូឌា) អ៊ិនដាសស្ទ្រី ឯ.ក</t>
        </is>
      </c>
      <c r="W1858" s="556" t="n">
        <v>269259</v>
      </c>
    </row>
    <row r="1859">
      <c r="A1859" s="521" t="n">
        <v>1851</v>
      </c>
      <c r="B1859" s="522" t="inlineStr">
        <is>
          <t>Building Rental Charge and Management Fee for April 2022</t>
        </is>
      </c>
      <c r="C1859" s="522" t="inlineStr">
        <is>
          <t>មេហ្គា លេបឹល &amp; ស្ទីកឃើរ (ខេមបូឌា)</t>
        </is>
      </c>
      <c r="D1859" s="522" t="inlineStr">
        <is>
          <t>L001-100185983</t>
        </is>
      </c>
      <c r="E1859" s="521" t="inlineStr">
        <is>
          <t>INV20220401</t>
        </is>
      </c>
      <c r="F1859" s="523" t="n">
        <v>44652</v>
      </c>
      <c r="G1859" s="556" t="n">
        <v>4521653</v>
      </c>
      <c r="I1859" s="521">
        <f>G1859</f>
        <v/>
      </c>
      <c r="K1859" s="521">
        <f>I1859-G1859</f>
        <v/>
      </c>
      <c r="M1859" s="522" t="inlineStr">
        <is>
          <t>INV20220401</t>
        </is>
      </c>
      <c r="N1859" s="522" t="inlineStr"/>
      <c r="O1859" s="521">
        <f>M1859=N1859</f>
        <v/>
      </c>
      <c r="P1859" s="521">
        <f>AND(MONTH(F1859)=MONTH(S1859), YEAR(F1859)=YEAR(S1859))</f>
        <v/>
      </c>
      <c r="Q1859" s="521">
        <f>U1859="L001-901905215"</f>
        <v/>
      </c>
      <c r="R1859" s="556">
        <f>G1859-W1859</f>
        <v/>
      </c>
      <c r="S1859" s="521" t="n"/>
      <c r="T1859" s="522" t="n"/>
      <c r="U1859" s="522" t="n"/>
      <c r="V1859" s="522" t="n"/>
      <c r="W1859" s="521" t="n"/>
    </row>
    <row r="1860">
      <c r="A1860" s="521" t="n">
        <v>1852</v>
      </c>
      <c r="B1860" s="522" t="inlineStr">
        <is>
          <t>Security Service</t>
        </is>
      </c>
      <c r="C1860" s="522" t="inlineStr">
        <is>
          <t>សហ័ស សិឃ្យូរិធី ឯ.ក</t>
        </is>
      </c>
      <c r="D1860" s="522" t="inlineStr">
        <is>
          <t>K010-107032600</t>
        </is>
      </c>
      <c r="E1860" s="521" t="inlineStr">
        <is>
          <t>SHTI210149</t>
        </is>
      </c>
      <c r="F1860" s="523" t="n">
        <v>44676</v>
      </c>
      <c r="G1860" s="556" t="n">
        <v>226688</v>
      </c>
      <c r="I1860" s="521">
        <f>G1860</f>
        <v/>
      </c>
      <c r="K1860" s="521">
        <f>I1860-G1860</f>
        <v/>
      </c>
      <c r="M1860" s="522" t="inlineStr">
        <is>
          <t>SHTI210149</t>
        </is>
      </c>
      <c r="N1860" s="522" t="inlineStr">
        <is>
          <t>SHTI210149</t>
        </is>
      </c>
      <c r="O1860" s="521">
        <f>M1860=N1860</f>
        <v/>
      </c>
      <c r="P1860" s="521">
        <f>AND(MONTH(F1860)=MONTH(S1860), YEAR(F1860)=YEAR(S1860))</f>
        <v/>
      </c>
      <c r="Q1860" s="521">
        <f>U1860="L001-901905215"</f>
        <v/>
      </c>
      <c r="R1860" s="556">
        <f>G1860-W1860</f>
        <v/>
      </c>
      <c r="S1860" s="523" t="n">
        <v>44308</v>
      </c>
      <c r="T1860" s="522" t="inlineStr">
        <is>
          <t>SHTI210149</t>
        </is>
      </c>
      <c r="U1860" s="522" t="inlineStr">
        <is>
          <t>L001-901905215</t>
        </is>
      </c>
      <c r="V1860" s="522" t="inlineStr">
        <is>
          <t>វីអ៊ីស៊ិន (ខេមបូឌា) អ៊ិនដាសស្ទ្រី ឯ.ក</t>
        </is>
      </c>
      <c r="W1860" s="556" t="n">
        <v>226688</v>
      </c>
    </row>
    <row r="1861">
      <c r="A1861" s="521" t="n">
        <v>1853</v>
      </c>
      <c r="B1861" s="522" t="inlineStr">
        <is>
          <t>Instrasture Maintenance Fee for Mar 2022</t>
        </is>
      </c>
      <c r="C1861" s="522" t="inlineStr">
        <is>
          <t>ភ្នំពេញ អេសអ៊ីហ្សិត ភីអិលស៊ី</t>
        </is>
      </c>
      <c r="D1861" s="522" t="inlineStr">
        <is>
          <t>L001-100046592</t>
        </is>
      </c>
      <c r="E1861" s="521" t="inlineStr">
        <is>
          <t>2022-01789</t>
        </is>
      </c>
      <c r="F1861" s="523" t="n">
        <v>44669</v>
      </c>
      <c r="G1861" s="556" t="n">
        <v>163775</v>
      </c>
      <c r="I1861" s="521">
        <f>G1861</f>
        <v/>
      </c>
      <c r="K1861" s="521">
        <f>I1861-G1861</f>
        <v/>
      </c>
      <c r="M1861" s="522" t="inlineStr">
        <is>
          <t>202201789</t>
        </is>
      </c>
      <c r="N1861" s="522" t="inlineStr">
        <is>
          <t>202201789</t>
        </is>
      </c>
      <c r="O1861" s="521">
        <f>M1861=N1861</f>
        <v/>
      </c>
      <c r="P1861" s="521">
        <f>AND(MONTH(F1861)=MONTH(S1861), YEAR(F1861)=YEAR(S1861))</f>
        <v/>
      </c>
      <c r="Q1861" s="521">
        <f>U1861="L001-901905215"</f>
        <v/>
      </c>
      <c r="R1861" s="556">
        <f>G1861-W1861</f>
        <v/>
      </c>
      <c r="S1861" s="523" t="n">
        <v>44669</v>
      </c>
      <c r="T1861" s="522" t="inlineStr">
        <is>
          <t>2022-01789</t>
        </is>
      </c>
      <c r="U1861" s="522" t="inlineStr">
        <is>
          <t>L001-901905215</t>
        </is>
      </c>
      <c r="V1861" s="522" t="inlineStr">
        <is>
          <t>វីអ៊ីស៊ិន (ខេមបូឌា) អ៊ិនដាសស្ទ្រី ឯ.ក</t>
        </is>
      </c>
      <c r="W1861" s="556" t="n">
        <v>163775</v>
      </c>
    </row>
    <row r="1862">
      <c r="A1862" s="521" t="n">
        <v>1854</v>
      </c>
      <c r="B1862" s="522" t="inlineStr">
        <is>
          <t>Instrasture Maintenance Fee for Mar 2022</t>
        </is>
      </c>
      <c r="C1862" s="522" t="inlineStr">
        <is>
          <t>ភ្នំពេញ អេសអ៊ីហ្សិត ភីអិលស៊ី</t>
        </is>
      </c>
      <c r="D1862" s="522" t="inlineStr">
        <is>
          <t>L001-100046592</t>
        </is>
      </c>
      <c r="E1862" s="521" t="inlineStr">
        <is>
          <t>2022-01780</t>
        </is>
      </c>
      <c r="F1862" s="523" t="n">
        <v>44669</v>
      </c>
      <c r="G1862" s="556" t="n">
        <v>199404</v>
      </c>
      <c r="I1862" s="521">
        <f>G1862</f>
        <v/>
      </c>
      <c r="K1862" s="521">
        <f>I1862-G1862</f>
        <v/>
      </c>
      <c r="M1862" s="522" t="inlineStr">
        <is>
          <t>202201780</t>
        </is>
      </c>
      <c r="N1862" s="522" t="inlineStr">
        <is>
          <t>202201780</t>
        </is>
      </c>
      <c r="O1862" s="521">
        <f>M1862=N1862</f>
        <v/>
      </c>
      <c r="P1862" s="521">
        <f>AND(MONTH(F1862)=MONTH(S1862), YEAR(F1862)=YEAR(S1862))</f>
        <v/>
      </c>
      <c r="Q1862" s="521">
        <f>U1862="L001-901905215"</f>
        <v/>
      </c>
      <c r="R1862" s="556">
        <f>G1862-W1862</f>
        <v/>
      </c>
      <c r="S1862" s="523" t="n">
        <v>44669</v>
      </c>
      <c r="T1862" s="522" t="inlineStr">
        <is>
          <t>2022-01780</t>
        </is>
      </c>
      <c r="U1862" s="522" t="inlineStr">
        <is>
          <t>L001-901905215</t>
        </is>
      </c>
      <c r="V1862" s="522" t="inlineStr">
        <is>
          <t>វីអ៊ីស៊ិន (ខេមបូឌា) អ៊ិនដាសស្ទ្រី ឯ.ក</t>
        </is>
      </c>
      <c r="W1862" s="556" t="n">
        <v>199404</v>
      </c>
    </row>
    <row r="1863">
      <c r="A1863" s="521" t="n">
        <v>1855</v>
      </c>
      <c r="B1863" s="522" t="inlineStr">
        <is>
          <t>Security servicee fee</t>
        </is>
      </c>
      <c r="C1863" s="522" t="inlineStr">
        <is>
          <t>ភី.អិល (ខេមបូឌា) ស៊ីឃ្យួរឹធី</t>
        </is>
      </c>
      <c r="D1863" s="522" t="inlineStr">
        <is>
          <t>K010-901502809</t>
        </is>
      </c>
      <c r="E1863" s="521" t="inlineStr">
        <is>
          <t>PL000959</t>
        </is>
      </c>
      <c r="F1863" s="523" t="n">
        <v>44652</v>
      </c>
      <c r="G1863" s="556" t="n">
        <v>202300</v>
      </c>
      <c r="I1863" s="521">
        <f>G1863</f>
        <v/>
      </c>
      <c r="K1863" s="521">
        <f>I1863-G1863</f>
        <v/>
      </c>
      <c r="M1863" s="522" t="inlineStr">
        <is>
          <t>PL000959</t>
        </is>
      </c>
      <c r="N1863" s="522" t="inlineStr"/>
      <c r="O1863" s="521">
        <f>M1863=N1863</f>
        <v/>
      </c>
      <c r="P1863" s="521">
        <f>AND(MONTH(F1863)=MONTH(S1863), YEAR(F1863)=YEAR(S1863))</f>
        <v/>
      </c>
      <c r="Q1863" s="521">
        <f>U1863="L001-901905215"</f>
        <v/>
      </c>
      <c r="R1863" s="556">
        <f>G1863-W1863</f>
        <v/>
      </c>
      <c r="S1863" s="521" t="n"/>
      <c r="T1863" s="522" t="n"/>
      <c r="U1863" s="522" t="n"/>
      <c r="V1863" s="522" t="n"/>
      <c r="W1863" s="521" t="n"/>
    </row>
    <row r="1864">
      <c r="A1864" s="521" t="n">
        <v>1856</v>
      </c>
      <c r="B1864" s="522" t="inlineStr">
        <is>
          <t>Carton Paper</t>
        </is>
      </c>
      <c r="C1864" s="522" t="inlineStr">
        <is>
          <t>យី មីង ភែកឃីជីង ឯ.ក</t>
        </is>
      </c>
      <c r="D1864" s="522" t="inlineStr">
        <is>
          <t>B108-902101335</t>
        </is>
      </c>
      <c r="E1864" s="521" t="inlineStr">
        <is>
          <t>YM-0012</t>
        </is>
      </c>
      <c r="F1864" s="523" t="n">
        <v>44681</v>
      </c>
      <c r="G1864" s="556" t="n">
        <v>125029</v>
      </c>
      <c r="I1864" s="521">
        <f>G1864</f>
        <v/>
      </c>
      <c r="K1864" s="521">
        <f>I1864-G1864</f>
        <v/>
      </c>
      <c r="M1864" s="522" t="inlineStr">
        <is>
          <t>YM0012</t>
        </is>
      </c>
      <c r="N1864" s="522" t="inlineStr">
        <is>
          <t>YM0012</t>
        </is>
      </c>
      <c r="O1864" s="521">
        <f>M1864=N1864</f>
        <v/>
      </c>
      <c r="P1864" s="521">
        <f>AND(MONTH(F1864)=MONTH(S1864), YEAR(F1864)=YEAR(S1864))</f>
        <v/>
      </c>
      <c r="Q1864" s="521">
        <f>U1864="L001-901905215"</f>
        <v/>
      </c>
      <c r="R1864" s="556">
        <f>G1864-W1864</f>
        <v/>
      </c>
      <c r="S1864" s="523" t="n">
        <v>44681</v>
      </c>
      <c r="T1864" s="522" t="inlineStr">
        <is>
          <t>YM-0012</t>
        </is>
      </c>
      <c r="U1864" s="522" t="inlineStr">
        <is>
          <t>L001-901905215</t>
        </is>
      </c>
      <c r="V1864" s="522" t="inlineStr">
        <is>
          <t>វីអ៊ីស៊ិន (ខេមបូឌា) អ៊ិនដាសស្ទ្រី ឯ.ក</t>
        </is>
      </c>
      <c r="W1864" s="556" t="n">
        <v>125029</v>
      </c>
    </row>
    <row r="1865">
      <c r="A1865" s="521" t="n">
        <v>1857</v>
      </c>
      <c r="B1865" s="522" t="inlineStr">
        <is>
          <t>Inspection Service Fee</t>
        </is>
      </c>
      <c r="C1865" s="522" t="inlineStr">
        <is>
          <t>ប្យួរ៉ូ វេរីតាស (ខេមបូឌា) លីមីធីត</t>
        </is>
      </c>
      <c r="D1865" s="522" t="inlineStr">
        <is>
          <t>L001-107024462</t>
        </is>
      </c>
      <c r="E1865" s="521" t="inlineStr">
        <is>
          <t>59012095</t>
        </is>
      </c>
      <c r="F1865" s="523" t="n">
        <v>44659</v>
      </c>
      <c r="G1865" s="556" t="n">
        <v>54791</v>
      </c>
      <c r="I1865" s="521">
        <f>G1865</f>
        <v/>
      </c>
      <c r="K1865" s="521">
        <f>I1865-G1865</f>
        <v/>
      </c>
      <c r="M1865" s="522" t="inlineStr">
        <is>
          <t>59012095</t>
        </is>
      </c>
      <c r="N1865" s="522" t="inlineStr">
        <is>
          <t>59012095</t>
        </is>
      </c>
      <c r="O1865" s="521">
        <f>M1865=N1865</f>
        <v/>
      </c>
      <c r="P1865" s="521">
        <f>AND(MONTH(F1865)=MONTH(S1865), YEAR(F1865)=YEAR(S1865))</f>
        <v/>
      </c>
      <c r="Q1865" s="521">
        <f>U1865="L001-901905215"</f>
        <v/>
      </c>
      <c r="R1865" s="556">
        <f>G1865-W1865</f>
        <v/>
      </c>
      <c r="S1865" s="523" t="n">
        <v>44659</v>
      </c>
      <c r="T1865" s="522" t="inlineStr">
        <is>
          <t>59012095</t>
        </is>
      </c>
      <c r="U1865" s="522" t="inlineStr">
        <is>
          <t>L001-901905215</t>
        </is>
      </c>
      <c r="V1865" s="522" t="inlineStr">
        <is>
          <t>វីអ៊ីស៊ិន (ខេមបូឌា) អ៊ិនដាសស្ទ្រី ឯ.ក</t>
        </is>
      </c>
      <c r="W1865" s="556" t="n">
        <v>54791</v>
      </c>
    </row>
    <row r="1866">
      <c r="A1866" s="521" t="n">
        <v>1858</v>
      </c>
      <c r="B1866" s="522" t="inlineStr">
        <is>
          <t>Inspection Service Fee</t>
        </is>
      </c>
      <c r="C1866" s="522" t="inlineStr">
        <is>
          <t>ប្យួរ៉ូ វេរីតាស (ខេមបូឌា) លីមីធីត</t>
        </is>
      </c>
      <c r="D1866" s="522" t="inlineStr">
        <is>
          <t>L001-107024462</t>
        </is>
      </c>
      <c r="E1866" s="521" t="inlineStr">
        <is>
          <t>59012094</t>
        </is>
      </c>
      <c r="F1866" s="523" t="n">
        <v>44659</v>
      </c>
      <c r="G1866" s="556" t="n">
        <v>54791</v>
      </c>
      <c r="I1866" s="521">
        <f>G1866</f>
        <v/>
      </c>
      <c r="K1866" s="521">
        <f>I1866-G1866</f>
        <v/>
      </c>
      <c r="M1866" s="522" t="inlineStr">
        <is>
          <t>59012094</t>
        </is>
      </c>
      <c r="N1866" s="522" t="inlineStr">
        <is>
          <t>59012094</t>
        </is>
      </c>
      <c r="O1866" s="521">
        <f>M1866=N1866</f>
        <v/>
      </c>
      <c r="P1866" s="521">
        <f>AND(MONTH(F1866)=MONTH(S1866), YEAR(F1866)=YEAR(S1866))</f>
        <v/>
      </c>
      <c r="Q1866" s="521">
        <f>U1866="L001-901905215"</f>
        <v/>
      </c>
      <c r="R1866" s="556">
        <f>G1866-W1866</f>
        <v/>
      </c>
      <c r="S1866" s="523" t="n">
        <v>44659</v>
      </c>
      <c r="T1866" s="522" t="inlineStr">
        <is>
          <t>59012094</t>
        </is>
      </c>
      <c r="U1866" s="522" t="inlineStr">
        <is>
          <t>L001-901905215</t>
        </is>
      </c>
      <c r="V1866" s="522" t="inlineStr">
        <is>
          <t>វីអ៊ីស៊ិន (ខេមបូឌា) អ៊ិនដាសស្ទ្រី ឯ.ក</t>
        </is>
      </c>
      <c r="W1866" s="556" t="n">
        <v>54791</v>
      </c>
    </row>
    <row r="1867">
      <c r="A1867" s="521" t="n">
        <v>1859</v>
      </c>
      <c r="B1867" s="522" t="inlineStr">
        <is>
          <t>Inspection Service Fee</t>
        </is>
      </c>
      <c r="C1867" s="522" t="inlineStr">
        <is>
          <t>ប្យួរ៉ូ វេរីតាស (ខេមបូឌា) លីមីធីត</t>
        </is>
      </c>
      <c r="D1867" s="522" t="inlineStr">
        <is>
          <t>L001-107024462</t>
        </is>
      </c>
      <c r="E1867" s="521" t="inlineStr">
        <is>
          <t>59012078</t>
        </is>
      </c>
      <c r="F1867" s="523" t="n">
        <v>44656</v>
      </c>
      <c r="G1867" s="556" t="n">
        <v>54846</v>
      </c>
      <c r="I1867" s="521">
        <f>G1867</f>
        <v/>
      </c>
      <c r="K1867" s="521">
        <f>I1867-G1867</f>
        <v/>
      </c>
      <c r="M1867" s="522" t="inlineStr">
        <is>
          <t>59012078</t>
        </is>
      </c>
      <c r="N1867" s="522" t="inlineStr">
        <is>
          <t>59012078</t>
        </is>
      </c>
      <c r="O1867" s="521">
        <f>M1867=N1867</f>
        <v/>
      </c>
      <c r="P1867" s="521">
        <f>AND(MONTH(F1867)=MONTH(S1867), YEAR(F1867)=YEAR(S1867))</f>
        <v/>
      </c>
      <c r="Q1867" s="521">
        <f>U1867="L001-901905215"</f>
        <v/>
      </c>
      <c r="R1867" s="556">
        <f>G1867-W1867</f>
        <v/>
      </c>
      <c r="S1867" s="523" t="n">
        <v>44656</v>
      </c>
      <c r="T1867" s="522" t="inlineStr">
        <is>
          <t>59012078</t>
        </is>
      </c>
      <c r="U1867" s="522" t="inlineStr">
        <is>
          <t>L001-901905215</t>
        </is>
      </c>
      <c r="V1867" s="522" t="inlineStr">
        <is>
          <t>វីអ៊ីស៊ិន (ខេមបូឌា) អ៊ិនដាសស្ទ្រី ឯ.ក</t>
        </is>
      </c>
      <c r="W1867" s="556" t="n">
        <v>54846</v>
      </c>
    </row>
    <row r="1868">
      <c r="A1868" s="521" t="n">
        <v>1860</v>
      </c>
      <c r="B1868" s="522" t="inlineStr">
        <is>
          <t>Monthly Tax Declcaration for April 2022</t>
        </is>
      </c>
      <c r="C1868" s="522" t="inlineStr">
        <is>
          <t>យីងកឺ ខេម ថេក អ៊ែតវ៉ាយហ្សឺរី ឯ.ក</t>
        </is>
      </c>
      <c r="D1868" s="522" t="inlineStr">
        <is>
          <t>K003-902005313</t>
        </is>
      </c>
      <c r="E1868" s="521" t="inlineStr">
        <is>
          <t>YKT22-087</t>
        </is>
      </c>
      <c r="F1868" s="523" t="n">
        <v>44652</v>
      </c>
      <c r="G1868" s="556" t="n">
        <v>567140</v>
      </c>
      <c r="I1868" s="521">
        <f>G1868</f>
        <v/>
      </c>
      <c r="K1868" s="521">
        <f>I1868-G1868</f>
        <v/>
      </c>
      <c r="M1868" s="522" t="inlineStr">
        <is>
          <t>YKT22087</t>
        </is>
      </c>
      <c r="N1868" s="522" t="inlineStr">
        <is>
          <t>YKT22087</t>
        </is>
      </c>
      <c r="O1868" s="521">
        <f>M1868=N1868</f>
        <v/>
      </c>
      <c r="P1868" s="521">
        <f>AND(MONTH(F1868)=MONTH(S1868), YEAR(F1868)=YEAR(S1868))</f>
        <v/>
      </c>
      <c r="Q1868" s="521">
        <f>U1868="L001-901905215"</f>
        <v/>
      </c>
      <c r="R1868" s="556">
        <f>G1868-W1868</f>
        <v/>
      </c>
      <c r="S1868" s="523" t="n">
        <v>44655</v>
      </c>
      <c r="T1868" s="522" t="inlineStr">
        <is>
          <t>YKT22-087</t>
        </is>
      </c>
      <c r="U1868" s="522" t="inlineStr">
        <is>
          <t>L001-901905215</t>
        </is>
      </c>
      <c r="V1868" s="522" t="inlineStr">
        <is>
          <t>វីអ៊ីស៊ិន (ខេមបូឌា) អ៊ិនដាសស្ទ្រី ឯ.ក</t>
        </is>
      </c>
      <c r="W1868" s="556" t="n">
        <v>567140</v>
      </c>
    </row>
    <row r="1869">
      <c r="A1869" s="521" t="n">
        <v>1861</v>
      </c>
      <c r="B1869" s="522" t="inlineStr">
        <is>
          <t>Annual Tax Return for 2021</t>
        </is>
      </c>
      <c r="C1869" s="522" t="inlineStr">
        <is>
          <t>យីងកឺ ខេម ថេក អ៊ែតវ៉ាយហ្សឺរី ឯ.ក</t>
        </is>
      </c>
      <c r="D1869" s="522" t="inlineStr">
        <is>
          <t>K003-902005313</t>
        </is>
      </c>
      <c r="E1869" s="521" t="inlineStr">
        <is>
          <t>YKT22-066</t>
        </is>
      </c>
      <c r="F1869" s="523" t="n">
        <v>44652</v>
      </c>
      <c r="G1869" s="556" t="n">
        <v>405100</v>
      </c>
      <c r="I1869" s="521">
        <f>G1869</f>
        <v/>
      </c>
      <c r="K1869" s="521">
        <f>I1869-G1869</f>
        <v/>
      </c>
      <c r="M1869" s="522" t="inlineStr">
        <is>
          <t>YKT22066</t>
        </is>
      </c>
      <c r="N1869" s="522" t="inlineStr">
        <is>
          <t>YKT22066</t>
        </is>
      </c>
      <c r="O1869" s="521">
        <f>M1869=N1869</f>
        <v/>
      </c>
      <c r="P1869" s="521">
        <f>AND(MONTH(F1869)=MONTH(S1869), YEAR(F1869)=YEAR(S1869))</f>
        <v/>
      </c>
      <c r="Q1869" s="521">
        <f>U1869="L001-901905215"</f>
        <v/>
      </c>
      <c r="R1869" s="556">
        <f>G1869-W1869</f>
        <v/>
      </c>
      <c r="S1869" s="523" t="n">
        <v>44652</v>
      </c>
      <c r="T1869" s="522" t="inlineStr">
        <is>
          <t>YKT22-066</t>
        </is>
      </c>
      <c r="U1869" s="522" t="inlineStr">
        <is>
          <t>L001-901905215</t>
        </is>
      </c>
      <c r="V1869" s="522" t="inlineStr">
        <is>
          <t>វីអ៊ីស៊ិន (ខេមបូឌា) អ៊ិនដាសស្ទ្រី ឯ.ក</t>
        </is>
      </c>
      <c r="W1869" s="556" t="n">
        <v>405100</v>
      </c>
    </row>
    <row r="1870">
      <c r="A1870" s="521" t="n">
        <v>1862</v>
      </c>
      <c r="B1870" s="522" t="inlineStr">
        <is>
          <t>CLEARANCE AND TRUCKING FEE</t>
        </is>
      </c>
      <c r="C1870" s="522" t="inlineStr">
        <is>
          <t>56ប៊ី-លីង សឹបផ្លាយ ឆេន មេនេចម៉ិន ឯ.ក</t>
        </is>
      </c>
      <c r="D1870" s="522" t="inlineStr">
        <is>
          <t>K004-902004795</t>
        </is>
      </c>
      <c r="E1870" s="521" t="inlineStr">
        <is>
          <t>TI2023-0380</t>
        </is>
      </c>
      <c r="F1870" s="523" t="n">
        <v>45029</v>
      </c>
      <c r="G1870" s="556" t="n">
        <v>193088</v>
      </c>
      <c r="I1870" s="521">
        <f>G1870</f>
        <v/>
      </c>
      <c r="K1870" s="521">
        <f>I1870-G1870</f>
        <v/>
      </c>
      <c r="M1870" s="522" t="inlineStr">
        <is>
          <t>TI20230380</t>
        </is>
      </c>
      <c r="N1870" s="522" t="inlineStr">
        <is>
          <t>TI20230380</t>
        </is>
      </c>
      <c r="O1870" s="521">
        <f>M1870=N1870</f>
        <v/>
      </c>
      <c r="P1870" s="521">
        <f>AND(MONTH(F1870)=MONTH(S1870), YEAR(F1870)=YEAR(S1870))</f>
        <v/>
      </c>
      <c r="Q1870" s="521">
        <f>U1870="L001-901905215"</f>
        <v/>
      </c>
      <c r="R1870" s="556">
        <f>G1870-W1870</f>
        <v/>
      </c>
      <c r="S1870" s="523" t="n">
        <v>45029</v>
      </c>
      <c r="T1870" s="522" t="inlineStr">
        <is>
          <t>TI2023-0380</t>
        </is>
      </c>
      <c r="U1870" s="522" t="inlineStr">
        <is>
          <t>L001-901905215</t>
        </is>
      </c>
      <c r="V1870" s="522" t="inlineStr">
        <is>
          <t>វីអ៊ីស៊ិន (ខេមបូឌា) អ៊ិនដាសស្ទ្រី ឯ.ក</t>
        </is>
      </c>
      <c r="W1870" s="556" t="n">
        <v>193088</v>
      </c>
    </row>
    <row r="1871">
      <c r="A1871" s="521" t="n">
        <v>1863</v>
      </c>
      <c r="B1871" s="522" t="inlineStr">
        <is>
          <t>CLEARANCE AND TRUCKING FEE</t>
        </is>
      </c>
      <c r="C1871" s="522" t="inlineStr">
        <is>
          <t>56ប៊ី-លីង សឹបផ្លាយ ឆេន មេនេចម៉ិន ឯ.ក</t>
        </is>
      </c>
      <c r="D1871" s="522" t="inlineStr">
        <is>
          <t>K004-902004795</t>
        </is>
      </c>
      <c r="E1871" s="521" t="inlineStr">
        <is>
          <t>TI2023-0337</t>
        </is>
      </c>
      <c r="F1871" s="523" t="n">
        <v>45023</v>
      </c>
      <c r="G1871" s="556" t="n">
        <v>336731</v>
      </c>
      <c r="I1871" s="521">
        <f>G1871</f>
        <v/>
      </c>
      <c r="K1871" s="521">
        <f>I1871-G1871</f>
        <v/>
      </c>
      <c r="M1871" s="522" t="inlineStr">
        <is>
          <t>TI20230337</t>
        </is>
      </c>
      <c r="N1871" s="522" t="inlineStr">
        <is>
          <t>TI20230337</t>
        </is>
      </c>
      <c r="O1871" s="521">
        <f>M1871=N1871</f>
        <v/>
      </c>
      <c r="P1871" s="521">
        <f>AND(MONTH(F1871)=MONTH(S1871), YEAR(F1871)=YEAR(S1871))</f>
        <v/>
      </c>
      <c r="Q1871" s="521">
        <f>U1871="L001-901905215"</f>
        <v/>
      </c>
      <c r="R1871" s="556">
        <f>G1871-W1871</f>
        <v/>
      </c>
      <c r="S1871" s="523" t="n">
        <v>45023</v>
      </c>
      <c r="T1871" s="522" t="inlineStr">
        <is>
          <t>TI2023-0337</t>
        </is>
      </c>
      <c r="U1871" s="522" t="inlineStr">
        <is>
          <t>L001-901905215</t>
        </is>
      </c>
      <c r="V1871" s="522" t="inlineStr">
        <is>
          <t>វីអ៊ីស៊ិន (ខេមបូឌា) អ៊ិនដាសស្ទ្រី ឯ.ក</t>
        </is>
      </c>
      <c r="W1871" s="556" t="n">
        <v>336731</v>
      </c>
    </row>
    <row r="1872">
      <c r="A1872" s="521" t="n">
        <v>1864</v>
      </c>
      <c r="B1872" s="522" t="inlineStr">
        <is>
          <t>CLEARANCE AND TRUCKING FEE</t>
        </is>
      </c>
      <c r="C1872" s="522" t="inlineStr">
        <is>
          <t>56ប៊ី-លីង សឹបផ្លាយ ឆេន មេនេចម៉ិន ឯ.ក</t>
        </is>
      </c>
      <c r="D1872" s="522" t="inlineStr">
        <is>
          <t>K004-902004795</t>
        </is>
      </c>
      <c r="E1872" s="521" t="inlineStr">
        <is>
          <t>TI2023-0356</t>
        </is>
      </c>
      <c r="F1872" s="523" t="n">
        <v>45023</v>
      </c>
      <c r="G1872" s="556" t="n">
        <v>269791</v>
      </c>
      <c r="I1872" s="521">
        <f>G1872</f>
        <v/>
      </c>
      <c r="K1872" s="521">
        <f>I1872-G1872</f>
        <v/>
      </c>
      <c r="M1872" s="522" t="inlineStr">
        <is>
          <t>TI20230356</t>
        </is>
      </c>
      <c r="N1872" s="522" t="inlineStr">
        <is>
          <t>TI20230356</t>
        </is>
      </c>
      <c r="O1872" s="521">
        <f>M1872=N1872</f>
        <v/>
      </c>
      <c r="P1872" s="521">
        <f>AND(MONTH(F1872)=MONTH(S1872), YEAR(F1872)=YEAR(S1872))</f>
        <v/>
      </c>
      <c r="Q1872" s="521">
        <f>U1872="L001-901905215"</f>
        <v/>
      </c>
      <c r="R1872" s="556">
        <f>G1872-W1872</f>
        <v/>
      </c>
      <c r="S1872" s="523" t="n">
        <v>45023</v>
      </c>
      <c r="T1872" s="522" t="inlineStr">
        <is>
          <t>TI2023-0356</t>
        </is>
      </c>
      <c r="U1872" s="522" t="inlineStr">
        <is>
          <t>L001-901905215</t>
        </is>
      </c>
      <c r="V1872" s="522" t="inlineStr">
        <is>
          <t>វីអ៊ីស៊ិន (ខេមបូឌា) អ៊ិនដាសស្ទ្រី ឯ.ក</t>
        </is>
      </c>
      <c r="W1872" s="556" t="n">
        <v>269791</v>
      </c>
    </row>
    <row r="1873">
      <c r="A1873" s="521" t="n">
        <v>1865</v>
      </c>
      <c r="B1873" s="522" t="inlineStr">
        <is>
          <t>LIFT OFF CHARGES 40'FULL AND GATE FEE CHARGES 40' FULL</t>
        </is>
      </c>
      <c r="C1873" s="522" t="inlineStr">
        <is>
          <t>កំពង់ផែស្វយ័តភ្នំពេញ "ក.ស.ភ"</t>
        </is>
      </c>
      <c r="D1873" s="522" t="inlineStr">
        <is>
          <t>L001-100044999</t>
        </is>
      </c>
      <c r="E1873" s="521" t="inlineStr">
        <is>
          <t>INV20230418817</t>
        </is>
      </c>
      <c r="F1873" s="523" t="n">
        <v>45028</v>
      </c>
      <c r="G1873" s="556" t="n">
        <v>29246</v>
      </c>
      <c r="I1873" s="521">
        <f>G1873</f>
        <v/>
      </c>
      <c r="K1873" s="521">
        <f>I1873-G1873</f>
        <v/>
      </c>
      <c r="M1873" s="522" t="inlineStr">
        <is>
          <t>INV20230418817</t>
        </is>
      </c>
      <c r="N1873" s="522" t="inlineStr"/>
      <c r="O1873" s="521">
        <f>M1873=N1873</f>
        <v/>
      </c>
      <c r="P1873" s="521">
        <f>AND(MONTH(F1873)=MONTH(S1873), YEAR(F1873)=YEAR(S1873))</f>
        <v/>
      </c>
      <c r="Q1873" s="521">
        <f>U1873="L001-901905215"</f>
        <v/>
      </c>
      <c r="R1873" s="556">
        <f>G1873-W1873</f>
        <v/>
      </c>
      <c r="S1873" s="521" t="n"/>
      <c r="T1873" s="522" t="n"/>
      <c r="U1873" s="522" t="n"/>
      <c r="V1873" s="522" t="n"/>
      <c r="W1873" s="521" t="n"/>
    </row>
    <row r="1874">
      <c r="A1874" s="521" t="n">
        <v>1866</v>
      </c>
      <c r="B1874" s="522" t="inlineStr">
        <is>
          <t>CLEARANCE AND TRUCKING FEE</t>
        </is>
      </c>
      <c r="C1874" s="522" t="inlineStr">
        <is>
          <t>56ប៊ី-លីង សឹបផ្លាយ ឆេន មេនេចម៉ិន ឯ.ក</t>
        </is>
      </c>
      <c r="D1874" s="522" t="inlineStr">
        <is>
          <t>K004-902004795</t>
        </is>
      </c>
      <c r="E1874" s="521" t="inlineStr">
        <is>
          <t>TI2023-0358</t>
        </is>
      </c>
      <c r="F1874" s="523" t="n">
        <v>45023</v>
      </c>
      <c r="G1874" s="556" t="n">
        <v>208936</v>
      </c>
      <c r="I1874" s="521">
        <f>G1874</f>
        <v/>
      </c>
      <c r="K1874" s="521">
        <f>I1874-G1874</f>
        <v/>
      </c>
      <c r="M1874" s="522" t="inlineStr">
        <is>
          <t>TI20230358</t>
        </is>
      </c>
      <c r="N1874" s="522" t="inlineStr">
        <is>
          <t>TI20230358</t>
        </is>
      </c>
      <c r="O1874" s="521">
        <f>M1874=N1874</f>
        <v/>
      </c>
      <c r="P1874" s="521">
        <f>AND(MONTH(F1874)=MONTH(S1874), YEAR(F1874)=YEAR(S1874))</f>
        <v/>
      </c>
      <c r="Q1874" s="521">
        <f>U1874="L001-901905215"</f>
        <v/>
      </c>
      <c r="R1874" s="556">
        <f>G1874-W1874</f>
        <v/>
      </c>
      <c r="S1874" s="523" t="n">
        <v>45023</v>
      </c>
      <c r="T1874" s="522" t="inlineStr">
        <is>
          <t>TI2023-0358</t>
        </is>
      </c>
      <c r="U1874" s="522" t="inlineStr">
        <is>
          <t>L001-901905215</t>
        </is>
      </c>
      <c r="V1874" s="522" t="inlineStr">
        <is>
          <t>វីអ៊ីស៊ិន (ខេមបូឌា) អ៊ិនដាសស្ទ្រី ឯ.ក</t>
        </is>
      </c>
      <c r="W1874" s="556" t="n">
        <v>208936</v>
      </c>
    </row>
    <row r="1875">
      <c r="A1875" s="521" t="n">
        <v>1867</v>
      </c>
      <c r="B1875" s="522" t="inlineStr">
        <is>
          <t>CLEARANCE AND TRUCKING FEE</t>
        </is>
      </c>
      <c r="C1875" s="522" t="inlineStr">
        <is>
          <t>56ប៊ី-លីង សឹបផ្លាយ ឆេន មេនេចម៉ិន ឯ.ក</t>
        </is>
      </c>
      <c r="D1875" s="522" t="inlineStr">
        <is>
          <t>K004-902004795</t>
        </is>
      </c>
      <c r="E1875" s="521" t="inlineStr">
        <is>
          <t>TI2023-0370</t>
        </is>
      </c>
      <c r="F1875" s="523" t="n">
        <v>45029</v>
      </c>
      <c r="G1875" s="556" t="n">
        <v>298778</v>
      </c>
      <c r="I1875" s="521">
        <f>G1875</f>
        <v/>
      </c>
      <c r="K1875" s="521">
        <f>I1875-G1875</f>
        <v/>
      </c>
      <c r="M1875" s="522" t="inlineStr">
        <is>
          <t>TI20230370</t>
        </is>
      </c>
      <c r="N1875" s="522" t="inlineStr">
        <is>
          <t>TI20230370</t>
        </is>
      </c>
      <c r="O1875" s="521">
        <f>M1875=N1875</f>
        <v/>
      </c>
      <c r="P1875" s="521">
        <f>AND(MONTH(F1875)=MONTH(S1875), YEAR(F1875)=YEAR(S1875))</f>
        <v/>
      </c>
      <c r="Q1875" s="521">
        <f>U1875="L001-901905215"</f>
        <v/>
      </c>
      <c r="R1875" s="556">
        <f>G1875-W1875</f>
        <v/>
      </c>
      <c r="S1875" s="523" t="n">
        <v>45029</v>
      </c>
      <c r="T1875" s="522" t="inlineStr">
        <is>
          <t>TI2023-0370</t>
        </is>
      </c>
      <c r="U1875" s="522" t="inlineStr">
        <is>
          <t>L001-901905215</t>
        </is>
      </c>
      <c r="V1875" s="522" t="inlineStr">
        <is>
          <t>វីអ៊ីស៊ិន (ខេមបូឌា) អ៊ិនដាសស្ទ្រី ឯ.ក</t>
        </is>
      </c>
      <c r="W1875" s="556" t="n">
        <v>298778</v>
      </c>
    </row>
    <row r="1876">
      <c r="A1876" s="521" t="n">
        <v>1868</v>
      </c>
      <c r="B1876" s="522" t="inlineStr">
        <is>
          <t>LIFT OFF</t>
        </is>
      </c>
      <c r="C1876" s="522" t="inlineStr">
        <is>
          <t>កំពង់ផែស្វយ័តក្រុងព្រះសីហនុ</t>
        </is>
      </c>
      <c r="D1876" s="522" t="inlineStr">
        <is>
          <t>L001-100044638</t>
        </is>
      </c>
      <c r="E1876" s="521" t="inlineStr">
        <is>
          <t>054020</t>
        </is>
      </c>
      <c r="F1876" s="523" t="n">
        <v>45028</v>
      </c>
      <c r="G1876" s="556" t="n">
        <v>6905</v>
      </c>
      <c r="I1876" s="521">
        <f>G1876</f>
        <v/>
      </c>
      <c r="K1876" s="521">
        <f>I1876-G1876</f>
        <v/>
      </c>
      <c r="M1876" s="522" t="inlineStr">
        <is>
          <t>054020</t>
        </is>
      </c>
      <c r="N1876" s="522" t="inlineStr"/>
      <c r="O1876" s="521">
        <f>M1876=N1876</f>
        <v/>
      </c>
      <c r="P1876" s="521">
        <f>AND(MONTH(F1876)=MONTH(S1876), YEAR(F1876)=YEAR(S1876))</f>
        <v/>
      </c>
      <c r="Q1876" s="521">
        <f>U1876="L001-901905215"</f>
        <v/>
      </c>
      <c r="R1876" s="556">
        <f>G1876-W1876</f>
        <v/>
      </c>
      <c r="S1876" s="521" t="n"/>
      <c r="T1876" s="522" t="n"/>
      <c r="U1876" s="522" t="n"/>
      <c r="V1876" s="522" t="n"/>
      <c r="W1876" s="521" t="n"/>
    </row>
    <row r="1877">
      <c r="A1877" s="521" t="n">
        <v>1869</v>
      </c>
      <c r="B1877" s="522" t="inlineStr">
        <is>
          <t>CLERANCE FEE</t>
        </is>
      </c>
      <c r="C1877" s="522" t="inlineStr">
        <is>
          <t>56ប៊ី-លីង សឹបផ្លាយ ឆេន មេនេចម៉ិន ឯ.ក</t>
        </is>
      </c>
      <c r="D1877" s="522" t="inlineStr">
        <is>
          <t>K004-902004795</t>
        </is>
      </c>
      <c r="E1877" s="521" t="inlineStr">
        <is>
          <t>TI2023-0379</t>
        </is>
      </c>
      <c r="F1877" s="523" t="n">
        <v>45029</v>
      </c>
      <c r="G1877" s="556" t="n">
        <v>170730</v>
      </c>
      <c r="I1877" s="521">
        <f>G1877</f>
        <v/>
      </c>
      <c r="K1877" s="521">
        <f>I1877-G1877</f>
        <v/>
      </c>
      <c r="M1877" s="522" t="inlineStr">
        <is>
          <t>TI20230379</t>
        </is>
      </c>
      <c r="N1877" s="522" t="inlineStr">
        <is>
          <t>TI20230379</t>
        </is>
      </c>
      <c r="O1877" s="521">
        <f>M1877=N1877</f>
        <v/>
      </c>
      <c r="P1877" s="521">
        <f>AND(MONTH(F1877)=MONTH(S1877), YEAR(F1877)=YEAR(S1877))</f>
        <v/>
      </c>
      <c r="Q1877" s="521">
        <f>U1877="L001-901905215"</f>
        <v/>
      </c>
      <c r="R1877" s="556">
        <f>G1877-W1877</f>
        <v/>
      </c>
      <c r="S1877" s="523" t="n">
        <v>45029</v>
      </c>
      <c r="T1877" s="522" t="inlineStr">
        <is>
          <t>TI2023-0379</t>
        </is>
      </c>
      <c r="U1877" s="522" t="inlineStr">
        <is>
          <t>L001-901905215</t>
        </is>
      </c>
      <c r="V1877" s="522" t="inlineStr">
        <is>
          <t>វីអ៊ីស៊ិន (ខេមបូឌា) អ៊ិនដាសស្ទ្រី ឯ.ក</t>
        </is>
      </c>
      <c r="W1877" s="556" t="n">
        <v>170730</v>
      </c>
    </row>
    <row r="1878">
      <c r="A1878" s="521" t="n">
        <v>1870</v>
      </c>
      <c r="B1878" s="522" t="inlineStr">
        <is>
          <t>CLEARANCE AND TRUCKING FEE</t>
        </is>
      </c>
      <c r="C1878" s="522" t="inlineStr">
        <is>
          <t>56ប៊ី-លីង សឹបផ្លាយ ឆេន មេនេចម៉ិន ឯ.ក</t>
        </is>
      </c>
      <c r="D1878" s="522" t="inlineStr">
        <is>
          <t>K004-902004795</t>
        </is>
      </c>
      <c r="E1878" s="521" t="inlineStr">
        <is>
          <t>TI2023-0381</t>
        </is>
      </c>
      <c r="F1878" s="523" t="n">
        <v>45029</v>
      </c>
      <c r="G1878" s="556" t="n">
        <v>209348</v>
      </c>
      <c r="I1878" s="521">
        <f>G1878</f>
        <v/>
      </c>
      <c r="K1878" s="521">
        <f>I1878-G1878</f>
        <v/>
      </c>
      <c r="M1878" s="522" t="inlineStr">
        <is>
          <t>TI20230381</t>
        </is>
      </c>
      <c r="N1878" s="522" t="inlineStr">
        <is>
          <t>TI20230381</t>
        </is>
      </c>
      <c r="O1878" s="521">
        <f>M1878=N1878</f>
        <v/>
      </c>
      <c r="P1878" s="521">
        <f>AND(MONTH(F1878)=MONTH(S1878), YEAR(F1878)=YEAR(S1878))</f>
        <v/>
      </c>
      <c r="Q1878" s="521">
        <f>U1878="L001-901905215"</f>
        <v/>
      </c>
      <c r="R1878" s="556">
        <f>G1878-W1878</f>
        <v/>
      </c>
      <c r="S1878" s="523" t="n">
        <v>45029</v>
      </c>
      <c r="T1878" s="522" t="inlineStr">
        <is>
          <t>TI2023-0381</t>
        </is>
      </c>
      <c r="U1878" s="522" t="inlineStr">
        <is>
          <t>L001-901905215</t>
        </is>
      </c>
      <c r="V1878" s="522" t="inlineStr">
        <is>
          <t>វីអ៊ីស៊ិន (ខេមបូឌា) អ៊ិនដាសស្ទ្រី ឯ.ក</t>
        </is>
      </c>
      <c r="W1878" s="556" t="n">
        <v>209348</v>
      </c>
    </row>
    <row r="1879">
      <c r="A1879" s="521" t="n">
        <v>1871</v>
      </c>
      <c r="B1879" s="522" t="inlineStr">
        <is>
          <t>CLEARANCE FEE</t>
        </is>
      </c>
      <c r="C1879" s="522" t="inlineStr">
        <is>
          <t>56ប៊ី-លីង សឹបផ្លាយ ឆេន មេនេចម៉ិន ឯ.ក</t>
        </is>
      </c>
      <c r="D1879" s="522" t="inlineStr">
        <is>
          <t>K004-902004795</t>
        </is>
      </c>
      <c r="E1879" s="521" t="inlineStr">
        <is>
          <t>TI2023-0395</t>
        </is>
      </c>
      <c r="F1879" s="523" t="n">
        <v>45029</v>
      </c>
      <c r="G1879" s="556" t="n">
        <v>170730</v>
      </c>
      <c r="I1879" s="521">
        <f>G1879</f>
        <v/>
      </c>
      <c r="K1879" s="521">
        <f>I1879-G1879</f>
        <v/>
      </c>
      <c r="M1879" s="522" t="inlineStr">
        <is>
          <t>TI20230395</t>
        </is>
      </c>
      <c r="N1879" s="522" t="inlineStr">
        <is>
          <t>TI20230395</t>
        </is>
      </c>
      <c r="O1879" s="521">
        <f>M1879=N1879</f>
        <v/>
      </c>
      <c r="P1879" s="521">
        <f>AND(MONTH(F1879)=MONTH(S1879), YEAR(F1879)=YEAR(S1879))</f>
        <v/>
      </c>
      <c r="Q1879" s="521">
        <f>U1879="L001-901905215"</f>
        <v/>
      </c>
      <c r="R1879" s="556">
        <f>G1879-W1879</f>
        <v/>
      </c>
      <c r="S1879" s="523" t="n">
        <v>45029</v>
      </c>
      <c r="T1879" s="522" t="inlineStr">
        <is>
          <t>TI2023-0395</t>
        </is>
      </c>
      <c r="U1879" s="522" t="inlineStr">
        <is>
          <t>L001-901905215</t>
        </is>
      </c>
      <c r="V1879" s="522" t="inlineStr">
        <is>
          <t>វីអ៊ីស៊ិន (ខេមបូឌា) អ៊ិនដាសស្ទ្រី ឯ.ក</t>
        </is>
      </c>
      <c r="W1879" s="556" t="n">
        <v>170730</v>
      </c>
    </row>
    <row r="1880">
      <c r="A1880" s="521" t="n">
        <v>1872</v>
      </c>
      <c r="B1880" s="522" t="inlineStr">
        <is>
          <t>CLERANCE FEE</t>
        </is>
      </c>
      <c r="C1880" s="522" t="inlineStr">
        <is>
          <t>56ប៊ី-លីង សឹបផ្លាយ ឆេន មេនេចម៉ិន ឯ.ក</t>
        </is>
      </c>
      <c r="D1880" s="522" t="inlineStr">
        <is>
          <t>K004-902004795</t>
        </is>
      </c>
      <c r="E1880" s="521" t="inlineStr">
        <is>
          <t>TI2023-0382</t>
        </is>
      </c>
      <c r="F1880" s="523" t="n">
        <v>45029</v>
      </c>
      <c r="G1880" s="556" t="n">
        <v>170730</v>
      </c>
      <c r="I1880" s="521">
        <f>G1880</f>
        <v/>
      </c>
      <c r="K1880" s="521">
        <f>I1880-G1880</f>
        <v/>
      </c>
      <c r="M1880" s="522" t="inlineStr">
        <is>
          <t>TI20230382</t>
        </is>
      </c>
      <c r="N1880" s="522" t="inlineStr">
        <is>
          <t>TI20230382</t>
        </is>
      </c>
      <c r="O1880" s="521">
        <f>M1880=N1880</f>
        <v/>
      </c>
      <c r="P1880" s="521">
        <f>AND(MONTH(F1880)=MONTH(S1880), YEAR(F1880)=YEAR(S1880))</f>
        <v/>
      </c>
      <c r="Q1880" s="521">
        <f>U1880="L001-901905215"</f>
        <v/>
      </c>
      <c r="R1880" s="556">
        <f>G1880-W1880</f>
        <v/>
      </c>
      <c r="S1880" s="523" t="n">
        <v>45029</v>
      </c>
      <c r="T1880" s="522" t="inlineStr">
        <is>
          <t>TI2023-0382</t>
        </is>
      </c>
      <c r="U1880" s="522" t="inlineStr">
        <is>
          <t>L001-901905215</t>
        </is>
      </c>
      <c r="V1880" s="522" t="inlineStr">
        <is>
          <t>វីអ៊ីស៊ិន (ខេមបូឌា) អ៊ិនដាសស្ទ្រី ឯ.ក</t>
        </is>
      </c>
      <c r="W1880" s="556" t="n">
        <v>170730</v>
      </c>
    </row>
    <row r="1881">
      <c r="A1881" s="521" t="n">
        <v>1873</v>
      </c>
      <c r="B1881" s="522" t="inlineStr">
        <is>
          <t>CLERANCE FEE</t>
        </is>
      </c>
      <c r="C1881" s="522" t="inlineStr">
        <is>
          <t>56ប៊ី-លីង សឹបផ្លាយ ឆេន មេនេចម៉ិន ឯ.ក</t>
        </is>
      </c>
      <c r="D1881" s="522" t="inlineStr">
        <is>
          <t>K004-902004795</t>
        </is>
      </c>
      <c r="E1881" s="521" t="inlineStr">
        <is>
          <t>TI2023-0383</t>
        </is>
      </c>
      <c r="F1881" s="523" t="n">
        <v>45029</v>
      </c>
      <c r="G1881" s="556" t="n">
        <v>170730</v>
      </c>
      <c r="I1881" s="521">
        <f>G1881</f>
        <v/>
      </c>
      <c r="K1881" s="521">
        <f>I1881-G1881</f>
        <v/>
      </c>
      <c r="M1881" s="522" t="inlineStr">
        <is>
          <t>TI20230383</t>
        </is>
      </c>
      <c r="N1881" s="522" t="inlineStr">
        <is>
          <t>TI20230383</t>
        </is>
      </c>
      <c r="O1881" s="521">
        <f>M1881=N1881</f>
        <v/>
      </c>
      <c r="P1881" s="521">
        <f>AND(MONTH(F1881)=MONTH(S1881), YEAR(F1881)=YEAR(S1881))</f>
        <v/>
      </c>
      <c r="Q1881" s="521">
        <f>U1881="L001-901905215"</f>
        <v/>
      </c>
      <c r="R1881" s="556">
        <f>G1881-W1881</f>
        <v/>
      </c>
      <c r="S1881" s="523" t="n">
        <v>45029</v>
      </c>
      <c r="T1881" s="522" t="inlineStr">
        <is>
          <t>TI2023-0383</t>
        </is>
      </c>
      <c r="U1881" s="522" t="inlineStr">
        <is>
          <t>L001-901905215</t>
        </is>
      </c>
      <c r="V1881" s="522" t="inlineStr">
        <is>
          <t>វីអ៊ីស៊ិន (ខេមបូឌា) អ៊ិនដាសស្ទ្រី ឯ.ក</t>
        </is>
      </c>
      <c r="W1881" s="556" t="n">
        <v>170730</v>
      </c>
    </row>
    <row r="1882">
      <c r="A1882" s="521" t="n">
        <v>1874</v>
      </c>
      <c r="B1882" s="522" t="inlineStr">
        <is>
          <t>CLEARANCE AND TRUCKING FEE</t>
        </is>
      </c>
      <c r="C1882" s="522" t="inlineStr">
        <is>
          <t>56ប៊ី-លីង សឹបផ្លាយ ឆេន មេនេចម៉ិន ឯ.ក</t>
        </is>
      </c>
      <c r="D1882" s="522" t="inlineStr">
        <is>
          <t>K004-902004795</t>
        </is>
      </c>
      <c r="E1882" s="521" t="inlineStr">
        <is>
          <t>TI2023-0384</t>
        </is>
      </c>
      <c r="F1882" s="523" t="n">
        <v>45029</v>
      </c>
      <c r="G1882" s="556" t="n">
        <v>361785</v>
      </c>
      <c r="I1882" s="521">
        <f>G1882</f>
        <v/>
      </c>
      <c r="K1882" s="521">
        <f>I1882-G1882</f>
        <v/>
      </c>
      <c r="M1882" s="522" t="inlineStr">
        <is>
          <t>TI20230384</t>
        </is>
      </c>
      <c r="N1882" s="522" t="inlineStr">
        <is>
          <t>TI20230384</t>
        </is>
      </c>
      <c r="O1882" s="521">
        <f>M1882=N1882</f>
        <v/>
      </c>
      <c r="P1882" s="521">
        <f>AND(MONTH(F1882)=MONTH(S1882), YEAR(F1882)=YEAR(S1882))</f>
        <v/>
      </c>
      <c r="Q1882" s="521">
        <f>U1882="L001-901905215"</f>
        <v/>
      </c>
      <c r="R1882" s="556">
        <f>G1882-W1882</f>
        <v/>
      </c>
      <c r="S1882" s="523" t="n">
        <v>45029</v>
      </c>
      <c r="T1882" s="522" t="inlineStr">
        <is>
          <t>TI2023-0384</t>
        </is>
      </c>
      <c r="U1882" s="522" t="inlineStr">
        <is>
          <t>L001-901905215</t>
        </is>
      </c>
      <c r="V1882" s="522" t="inlineStr">
        <is>
          <t>វីអ៊ីស៊ិន (ខេមបូឌា) អ៊ិនដាសស្ទ្រី ឯ.ក</t>
        </is>
      </c>
      <c r="W1882" s="556" t="n">
        <v>361785</v>
      </c>
    </row>
    <row r="1883">
      <c r="A1883" s="521" t="n">
        <v>1875</v>
      </c>
      <c r="B1883" s="522" t="inlineStr">
        <is>
          <t>CLEARANCE AND TRUCKING FEE</t>
        </is>
      </c>
      <c r="C1883" s="522" t="inlineStr">
        <is>
          <t>56ប៊ី-លីង សឹបផ្លាយ ឆេន មេនេចម៉ិន ឯ.ក</t>
        </is>
      </c>
      <c r="D1883" s="522" t="inlineStr">
        <is>
          <t>K004-902004795</t>
        </is>
      </c>
      <c r="E1883" s="521" t="inlineStr">
        <is>
          <t>TI2023-0385</t>
        </is>
      </c>
      <c r="F1883" s="523" t="n">
        <v>45029</v>
      </c>
      <c r="G1883" s="556" t="n">
        <v>170730</v>
      </c>
      <c r="I1883" s="521">
        <f>G1883</f>
        <v/>
      </c>
      <c r="K1883" s="521">
        <f>I1883-G1883</f>
        <v/>
      </c>
      <c r="M1883" s="522" t="inlineStr">
        <is>
          <t>TI20230385</t>
        </is>
      </c>
      <c r="N1883" s="522" t="inlineStr">
        <is>
          <t>TI20230385</t>
        </is>
      </c>
      <c r="O1883" s="521">
        <f>M1883=N1883</f>
        <v/>
      </c>
      <c r="P1883" s="521">
        <f>AND(MONTH(F1883)=MONTH(S1883), YEAR(F1883)=YEAR(S1883))</f>
        <v/>
      </c>
      <c r="Q1883" s="521">
        <f>U1883="L001-901905215"</f>
        <v/>
      </c>
      <c r="R1883" s="556">
        <f>G1883-W1883</f>
        <v/>
      </c>
      <c r="S1883" s="523" t="n">
        <v>45029</v>
      </c>
      <c r="T1883" s="522" t="inlineStr">
        <is>
          <t>TI2023-0385</t>
        </is>
      </c>
      <c r="U1883" s="522" t="inlineStr">
        <is>
          <t>L001-901905215</t>
        </is>
      </c>
      <c r="V1883" s="522" t="inlineStr">
        <is>
          <t>វីអ៊ីស៊ិន (ខេមបូឌា) អ៊ិនដាសស្ទ្រី ឯ.ក</t>
        </is>
      </c>
      <c r="W1883" s="556" t="n">
        <v>170730</v>
      </c>
    </row>
    <row r="1884">
      <c r="A1884" s="521" t="n">
        <v>1876</v>
      </c>
      <c r="B1884" s="522" t="inlineStr">
        <is>
          <t>CLEARANCE AND TRUCKING FEE</t>
        </is>
      </c>
      <c r="C1884" s="522" t="inlineStr">
        <is>
          <t>56ប៊ី-លីង សឹបផ្លាយ ឆេន មេនេចម៉ិន ឯ.ក</t>
        </is>
      </c>
      <c r="D1884" s="522" t="inlineStr">
        <is>
          <t>K004-902004795</t>
        </is>
      </c>
      <c r="E1884" s="521" t="inlineStr">
        <is>
          <t>TI2023-0386</t>
        </is>
      </c>
      <c r="F1884" s="523" t="n">
        <v>45029</v>
      </c>
      <c r="G1884" s="556" t="n">
        <v>270323</v>
      </c>
      <c r="I1884" s="521">
        <f>G1884</f>
        <v/>
      </c>
      <c r="K1884" s="521">
        <f>I1884-G1884</f>
        <v/>
      </c>
      <c r="M1884" s="522" t="inlineStr">
        <is>
          <t>TI20230386</t>
        </is>
      </c>
      <c r="N1884" s="522" t="inlineStr">
        <is>
          <t>TI20230386</t>
        </is>
      </c>
      <c r="O1884" s="521">
        <f>M1884=N1884</f>
        <v/>
      </c>
      <c r="P1884" s="521">
        <f>AND(MONTH(F1884)=MONTH(S1884), YEAR(F1884)=YEAR(S1884))</f>
        <v/>
      </c>
      <c r="Q1884" s="521">
        <f>U1884="L001-901905215"</f>
        <v/>
      </c>
      <c r="R1884" s="556">
        <f>G1884-W1884</f>
        <v/>
      </c>
      <c r="S1884" s="523" t="n">
        <v>45029</v>
      </c>
      <c r="T1884" s="522" t="inlineStr">
        <is>
          <t>TI2023-0386</t>
        </is>
      </c>
      <c r="U1884" s="522" t="inlineStr">
        <is>
          <t>L001-901905215</t>
        </is>
      </c>
      <c r="V1884" s="522" t="inlineStr">
        <is>
          <t>វីអ៊ីស៊ិន (ខេមបូឌា) អ៊ិនដាសស្ទ្រី ឯ.ក</t>
        </is>
      </c>
      <c r="W1884" s="556" t="n">
        <v>270323</v>
      </c>
    </row>
    <row r="1885">
      <c r="A1885" s="521" t="n">
        <v>1877</v>
      </c>
      <c r="B1885" s="522" t="inlineStr">
        <is>
          <t>LIFT OFF CHARGES 40'FULL AND GATE FEE CHARGES 40' FULL</t>
        </is>
      </c>
      <c r="C1885" s="522" t="inlineStr">
        <is>
          <t>កំពង់ផែស្វយ័តភ្នំពេញ "ក.ស.ភ"</t>
        </is>
      </c>
      <c r="D1885" s="522" t="inlineStr">
        <is>
          <t>L001-100044999</t>
        </is>
      </c>
      <c r="E1885" s="521" t="inlineStr">
        <is>
          <t>INV20230418821</t>
        </is>
      </c>
      <c r="F1885" s="523" t="n">
        <v>45028</v>
      </c>
      <c r="G1885" s="556" t="n">
        <v>29246</v>
      </c>
      <c r="I1885" s="521">
        <f>G1885</f>
        <v/>
      </c>
      <c r="K1885" s="521">
        <f>I1885-G1885</f>
        <v/>
      </c>
      <c r="M1885" s="522" t="inlineStr">
        <is>
          <t>INV20230418821</t>
        </is>
      </c>
      <c r="N1885" s="522" t="inlineStr"/>
      <c r="O1885" s="521">
        <f>M1885=N1885</f>
        <v/>
      </c>
      <c r="P1885" s="521">
        <f>AND(MONTH(F1885)=MONTH(S1885), YEAR(F1885)=YEAR(S1885))</f>
        <v/>
      </c>
      <c r="Q1885" s="521">
        <f>U1885="L001-901905215"</f>
        <v/>
      </c>
      <c r="R1885" s="556">
        <f>G1885-W1885</f>
        <v/>
      </c>
      <c r="S1885" s="521" t="n"/>
      <c r="T1885" s="522" t="n"/>
      <c r="U1885" s="522" t="n"/>
      <c r="V1885" s="522" t="n"/>
      <c r="W1885" s="521" t="n"/>
    </row>
    <row r="1886">
      <c r="A1886" s="521" t="n">
        <v>1878</v>
      </c>
      <c r="B1886" s="522" t="inlineStr">
        <is>
          <t>CLEARANCE FEE</t>
        </is>
      </c>
      <c r="C1886" s="522" t="inlineStr">
        <is>
          <t>56ប៊ី-លីង សឹបផ្លាយ ឆេន មេនេចម៉ិន ឯ.ក</t>
        </is>
      </c>
      <c r="D1886" s="522" t="inlineStr">
        <is>
          <t>K004-902004795</t>
        </is>
      </c>
      <c r="E1886" s="521" t="inlineStr">
        <is>
          <t>TI2023-0393</t>
        </is>
      </c>
      <c r="F1886" s="523" t="n">
        <v>45029</v>
      </c>
      <c r="G1886" s="556" t="n">
        <v>170730</v>
      </c>
      <c r="I1886" s="521">
        <f>G1886</f>
        <v/>
      </c>
      <c r="K1886" s="521">
        <f>I1886-G1886</f>
        <v/>
      </c>
      <c r="M1886" s="522" t="inlineStr">
        <is>
          <t>TI20230393</t>
        </is>
      </c>
      <c r="N1886" s="522" t="inlineStr">
        <is>
          <t>TI20230393</t>
        </is>
      </c>
      <c r="O1886" s="521">
        <f>M1886=N1886</f>
        <v/>
      </c>
      <c r="P1886" s="521">
        <f>AND(MONTH(F1886)=MONTH(S1886), YEAR(F1886)=YEAR(S1886))</f>
        <v/>
      </c>
      <c r="Q1886" s="521">
        <f>U1886="L001-901905215"</f>
        <v/>
      </c>
      <c r="R1886" s="556">
        <f>G1886-W1886</f>
        <v/>
      </c>
      <c r="S1886" s="523" t="n">
        <v>45029</v>
      </c>
      <c r="T1886" s="522" t="inlineStr">
        <is>
          <t>TI2023-0393</t>
        </is>
      </c>
      <c r="U1886" s="522" t="inlineStr">
        <is>
          <t>L001-901905215</t>
        </is>
      </c>
      <c r="V1886" s="522" t="inlineStr">
        <is>
          <t>វីអ៊ីស៊ិន (ខេមបូឌា) អ៊ិនដាសស្ទ្រី ឯ.ក</t>
        </is>
      </c>
      <c r="W1886" s="556" t="n">
        <v>170730</v>
      </c>
    </row>
    <row r="1887">
      <c r="A1887" s="521" t="n">
        <v>1879</v>
      </c>
      <c r="B1887" s="522" t="inlineStr">
        <is>
          <t>CLERANCE FEE</t>
        </is>
      </c>
      <c r="C1887" s="522" t="inlineStr">
        <is>
          <t>56ប៊ី-លីង សឹបផ្លាយ ឆេន មេនេចម៉ិន ឯ.ក</t>
        </is>
      </c>
      <c r="D1887" s="522" t="inlineStr">
        <is>
          <t>K004-902004795</t>
        </is>
      </c>
      <c r="E1887" s="521" t="inlineStr">
        <is>
          <t>TI2023-0336</t>
        </is>
      </c>
      <c r="F1887" s="523" t="n">
        <v>45023</v>
      </c>
      <c r="G1887" s="556" t="n">
        <v>170394</v>
      </c>
      <c r="I1887" s="521">
        <f>G1887</f>
        <v/>
      </c>
      <c r="K1887" s="521">
        <f>I1887-G1887</f>
        <v/>
      </c>
      <c r="M1887" s="522" t="inlineStr">
        <is>
          <t>TI20230336</t>
        </is>
      </c>
      <c r="N1887" s="522" t="inlineStr">
        <is>
          <t>TI20230336</t>
        </is>
      </c>
      <c r="O1887" s="521">
        <f>M1887=N1887</f>
        <v/>
      </c>
      <c r="P1887" s="521">
        <f>AND(MONTH(F1887)=MONTH(S1887), YEAR(F1887)=YEAR(S1887))</f>
        <v/>
      </c>
      <c r="Q1887" s="521">
        <f>U1887="L001-901905215"</f>
        <v/>
      </c>
      <c r="R1887" s="556">
        <f>G1887-W1887</f>
        <v/>
      </c>
      <c r="S1887" s="523" t="n">
        <v>45023</v>
      </c>
      <c r="T1887" s="522" t="inlineStr">
        <is>
          <t>TI2023-0336</t>
        </is>
      </c>
      <c r="U1887" s="522" t="inlineStr">
        <is>
          <t>L001-901905215</t>
        </is>
      </c>
      <c r="V1887" s="522" t="inlineStr">
        <is>
          <t>វីអ៊ីស៊ិន (ខេមបូឌា) អ៊ិនដាសស្ទ្រី ឯ.ក</t>
        </is>
      </c>
      <c r="W1887" s="556" t="n">
        <v>170394</v>
      </c>
    </row>
    <row r="1888">
      <c r="A1888" s="521" t="n">
        <v>1880</v>
      </c>
      <c r="B1888" s="522" t="inlineStr">
        <is>
          <t>CLERANCE FEE</t>
        </is>
      </c>
      <c r="C1888" s="522" t="inlineStr">
        <is>
          <t>56ប៊ី-លីង សឹបផ្លាយ ឆេន មេនេចម៉ិន ឯ.ក</t>
        </is>
      </c>
      <c r="D1888" s="522" t="inlineStr">
        <is>
          <t>K004-902004795</t>
        </is>
      </c>
      <c r="E1888" s="521" t="inlineStr">
        <is>
          <t>TI2023-0335</t>
        </is>
      </c>
      <c r="F1888" s="523" t="n">
        <v>45023</v>
      </c>
      <c r="G1888" s="556" t="n">
        <v>170394</v>
      </c>
      <c r="I1888" s="521">
        <f>G1888</f>
        <v/>
      </c>
      <c r="K1888" s="521">
        <f>I1888-G1888</f>
        <v/>
      </c>
      <c r="M1888" s="522" t="inlineStr">
        <is>
          <t>TI20230335</t>
        </is>
      </c>
      <c r="N1888" s="522" t="inlineStr">
        <is>
          <t>TI20230335</t>
        </is>
      </c>
      <c r="O1888" s="521">
        <f>M1888=N1888</f>
        <v/>
      </c>
      <c r="P1888" s="521">
        <f>AND(MONTH(F1888)=MONTH(S1888), YEAR(F1888)=YEAR(S1888))</f>
        <v/>
      </c>
      <c r="Q1888" s="521">
        <f>U1888="L001-901905215"</f>
        <v/>
      </c>
      <c r="R1888" s="556">
        <f>G1888-W1888</f>
        <v/>
      </c>
      <c r="S1888" s="523" t="n">
        <v>45023</v>
      </c>
      <c r="T1888" s="522" t="inlineStr">
        <is>
          <t>TI2023-0335</t>
        </is>
      </c>
      <c r="U1888" s="522" t="inlineStr">
        <is>
          <t>L001-901905215</t>
        </is>
      </c>
      <c r="V1888" s="522" t="inlineStr">
        <is>
          <t>វីអ៊ីស៊ិន (ខេមបូឌា) អ៊ិនដាសស្ទ្រី ឯ.ក</t>
        </is>
      </c>
      <c r="W1888" s="556" t="n">
        <v>170394</v>
      </c>
    </row>
    <row r="1889">
      <c r="A1889" s="521" t="n">
        <v>1881</v>
      </c>
      <c r="B1889" s="522" t="inlineStr">
        <is>
          <t>CLEARANCE AND TRUCKING FEE</t>
        </is>
      </c>
      <c r="C1889" s="522" t="inlineStr">
        <is>
          <t>56ប៊ី-លីង សឹបផ្លាយ ឆេន មេនេចម៉ិន ឯ.ក</t>
        </is>
      </c>
      <c r="D1889" s="522" t="inlineStr">
        <is>
          <t>K004-902004795</t>
        </is>
      </c>
      <c r="E1889" s="521" t="inlineStr">
        <is>
          <t>TI2023-0334</t>
        </is>
      </c>
      <c r="F1889" s="523" t="n">
        <v>45023</v>
      </c>
      <c r="G1889" s="556" t="n">
        <v>208936</v>
      </c>
      <c r="I1889" s="521">
        <f>G1889</f>
        <v/>
      </c>
      <c r="K1889" s="521">
        <f>I1889-G1889</f>
        <v/>
      </c>
      <c r="M1889" s="522" t="inlineStr">
        <is>
          <t>TI20230334</t>
        </is>
      </c>
      <c r="N1889" s="522" t="inlineStr">
        <is>
          <t>TI20230334</t>
        </is>
      </c>
      <c r="O1889" s="521">
        <f>M1889=N1889</f>
        <v/>
      </c>
      <c r="P1889" s="521">
        <f>AND(MONTH(F1889)=MONTH(S1889), YEAR(F1889)=YEAR(S1889))</f>
        <v/>
      </c>
      <c r="Q1889" s="521">
        <f>U1889="L001-901905215"</f>
        <v/>
      </c>
      <c r="R1889" s="556">
        <f>G1889-W1889</f>
        <v/>
      </c>
      <c r="S1889" s="523" t="n">
        <v>45023</v>
      </c>
      <c r="T1889" s="522" t="inlineStr">
        <is>
          <t>TI2023-0334</t>
        </is>
      </c>
      <c r="U1889" s="522" t="inlineStr">
        <is>
          <t>L001-901905215</t>
        </is>
      </c>
      <c r="V1889" s="522" t="inlineStr">
        <is>
          <t>វីអ៊ីស៊ិន (ខេមបូឌា) អ៊ិនដាសស្ទ្រី ឯ.ក</t>
        </is>
      </c>
      <c r="W1889" s="556" t="n">
        <v>208936</v>
      </c>
    </row>
    <row r="1890">
      <c r="A1890" s="521" t="n">
        <v>1882</v>
      </c>
      <c r="B1890" s="522" t="inlineStr">
        <is>
          <t>LIFT OFF CHARGES 40'FULL AND GATE FEE CHARGES 40' FULL</t>
        </is>
      </c>
      <c r="C1890" s="522" t="inlineStr">
        <is>
          <t>កំពង់ផែស្វយ័តភ្នំពេញ "ក.ស.ភ"</t>
        </is>
      </c>
      <c r="D1890" s="522" t="inlineStr">
        <is>
          <t>L001-100044999</t>
        </is>
      </c>
      <c r="E1890" s="521" t="inlineStr">
        <is>
          <t>INV20230417022</t>
        </is>
      </c>
      <c r="F1890" s="523" t="n">
        <v>45020</v>
      </c>
      <c r="G1890" s="556" t="n">
        <v>29160</v>
      </c>
      <c r="I1890" s="521">
        <f>G1890</f>
        <v/>
      </c>
      <c r="K1890" s="521">
        <f>I1890-G1890</f>
        <v/>
      </c>
      <c r="M1890" s="522" t="inlineStr">
        <is>
          <t>INV20230417022</t>
        </is>
      </c>
      <c r="N1890" s="522" t="inlineStr"/>
      <c r="O1890" s="521">
        <f>M1890=N1890</f>
        <v/>
      </c>
      <c r="P1890" s="521">
        <f>AND(MONTH(F1890)=MONTH(S1890), YEAR(F1890)=YEAR(S1890))</f>
        <v/>
      </c>
      <c r="Q1890" s="521">
        <f>U1890="L001-901905215"</f>
        <v/>
      </c>
      <c r="R1890" s="556">
        <f>G1890-W1890</f>
        <v/>
      </c>
      <c r="S1890" s="521" t="n"/>
      <c r="T1890" s="522" t="n"/>
      <c r="U1890" s="522" t="n"/>
      <c r="V1890" s="522" t="n"/>
      <c r="W1890" s="521" t="n"/>
    </row>
    <row r="1891">
      <c r="A1891" s="521" t="n">
        <v>1883</v>
      </c>
      <c r="B1891" s="522" t="inlineStr">
        <is>
          <t>Export Administration fee, Port Formality, service Charge &amp; Extra Cut Seal</t>
        </is>
      </c>
      <c r="C1891" s="522" t="inlineStr">
        <is>
          <t>ឆាយ ដា ឡូយីស្ទីក</t>
        </is>
      </c>
      <c r="D1891" s="522" t="inlineStr">
        <is>
          <t>L001-100063098</t>
        </is>
      </c>
      <c r="E1891" s="521" t="inlineStr">
        <is>
          <t>2304003780</t>
        </is>
      </c>
      <c r="F1891" s="523" t="n">
        <v>45033</v>
      </c>
      <c r="G1891" s="556" t="n">
        <v>88980</v>
      </c>
      <c r="I1891" s="521">
        <f>G1891</f>
        <v/>
      </c>
      <c r="K1891" s="521">
        <f>I1891-G1891</f>
        <v/>
      </c>
      <c r="M1891" s="522" t="inlineStr">
        <is>
          <t>2304003780</t>
        </is>
      </c>
      <c r="N1891" s="522" t="inlineStr">
        <is>
          <t>2304003780</t>
        </is>
      </c>
      <c r="O1891" s="521">
        <f>M1891=N1891</f>
        <v/>
      </c>
      <c r="P1891" s="521">
        <f>AND(MONTH(F1891)=MONTH(S1891), YEAR(F1891)=YEAR(S1891))</f>
        <v/>
      </c>
      <c r="Q1891" s="521">
        <f>U1891="L001-901905215"</f>
        <v/>
      </c>
      <c r="R1891" s="556">
        <f>G1891-W1891</f>
        <v/>
      </c>
      <c r="S1891" s="523" t="n">
        <v>45033</v>
      </c>
      <c r="T1891" s="522" t="inlineStr">
        <is>
          <t>2304003780</t>
        </is>
      </c>
      <c r="U1891" s="522" t="inlineStr">
        <is>
          <t>L001-901905215</t>
        </is>
      </c>
      <c r="V1891" s="522" t="inlineStr">
        <is>
          <t>វីអ៊ីស៊ិន (ខេមបូឌា) អ៊ិនដាសស្ទ្រី ឯ.ក</t>
        </is>
      </c>
      <c r="W1891" s="556" t="n">
        <v>88980</v>
      </c>
    </row>
    <row r="1892">
      <c r="A1892" s="521" t="n">
        <v>1884</v>
      </c>
      <c r="B1892" s="522" t="inlineStr">
        <is>
          <t>Export Administration fee, Port Formality, service Charge &amp; Extra Cut Seal</t>
        </is>
      </c>
      <c r="C1892" s="522" t="inlineStr">
        <is>
          <t>ឆាយ ដា ឡូយីស្ទីក</t>
        </is>
      </c>
      <c r="D1892" s="522" t="inlineStr">
        <is>
          <t>L001-100063098</t>
        </is>
      </c>
      <c r="E1892" s="521" t="inlineStr">
        <is>
          <t>2304003783</t>
        </is>
      </c>
      <c r="F1892" s="523" t="n">
        <v>45033</v>
      </c>
      <c r="G1892" s="556" t="n">
        <v>76791</v>
      </c>
      <c r="I1892" s="521">
        <f>G1892</f>
        <v/>
      </c>
      <c r="K1892" s="521">
        <f>I1892-G1892</f>
        <v/>
      </c>
      <c r="M1892" s="522" t="inlineStr">
        <is>
          <t>2304003783</t>
        </is>
      </c>
      <c r="N1892" s="522" t="inlineStr">
        <is>
          <t>2304003783</t>
        </is>
      </c>
      <c r="O1892" s="521">
        <f>M1892=N1892</f>
        <v/>
      </c>
      <c r="P1892" s="521">
        <f>AND(MONTH(F1892)=MONTH(S1892), YEAR(F1892)=YEAR(S1892))</f>
        <v/>
      </c>
      <c r="Q1892" s="521">
        <f>U1892="L001-901905215"</f>
        <v/>
      </c>
      <c r="R1892" s="556">
        <f>G1892-W1892</f>
        <v/>
      </c>
      <c r="S1892" s="523" t="n">
        <v>45033</v>
      </c>
      <c r="T1892" s="522" t="inlineStr">
        <is>
          <t>2304003783</t>
        </is>
      </c>
      <c r="U1892" s="522" t="inlineStr">
        <is>
          <t>L001-901905215</t>
        </is>
      </c>
      <c r="V1892" s="522" t="inlineStr">
        <is>
          <t>វីអ៊ីស៊ិន (ខេមបូឌា) អ៊ិនដាសស្ទ្រី ឯ.ក</t>
        </is>
      </c>
      <c r="W1892" s="556" t="n">
        <v>76791</v>
      </c>
    </row>
    <row r="1893">
      <c r="A1893" s="521" t="n">
        <v>1885</v>
      </c>
      <c r="B1893" s="522" t="inlineStr">
        <is>
          <t>Export Administration fee, Port Formality, service Charge</t>
        </is>
      </c>
      <c r="C1893" s="522" t="inlineStr">
        <is>
          <t>ឆាយ ដា ឡូយីស្ទីក</t>
        </is>
      </c>
      <c r="D1893" s="522" t="inlineStr">
        <is>
          <t>L001-100063098</t>
        </is>
      </c>
      <c r="E1893" s="521" t="inlineStr">
        <is>
          <t>2304003786</t>
        </is>
      </c>
      <c r="F1893" s="523" t="n">
        <v>45033</v>
      </c>
      <c r="G1893" s="556" t="n">
        <v>76791</v>
      </c>
      <c r="I1893" s="521">
        <f>G1893</f>
        <v/>
      </c>
      <c r="K1893" s="521">
        <f>I1893-G1893</f>
        <v/>
      </c>
      <c r="M1893" s="522" t="inlineStr">
        <is>
          <t>2304003786</t>
        </is>
      </c>
      <c r="N1893" s="522" t="inlineStr">
        <is>
          <t>2304003786</t>
        </is>
      </c>
      <c r="O1893" s="521">
        <f>M1893=N1893</f>
        <v/>
      </c>
      <c r="P1893" s="521">
        <f>AND(MONTH(F1893)=MONTH(S1893), YEAR(F1893)=YEAR(S1893))</f>
        <v/>
      </c>
      <c r="Q1893" s="521">
        <f>U1893="L001-901905215"</f>
        <v/>
      </c>
      <c r="R1893" s="556">
        <f>G1893-W1893</f>
        <v/>
      </c>
      <c r="S1893" s="523" t="n">
        <v>45033</v>
      </c>
      <c r="T1893" s="522" t="inlineStr">
        <is>
          <t>2304003786</t>
        </is>
      </c>
      <c r="U1893" s="522" t="inlineStr">
        <is>
          <t>L001-901905215</t>
        </is>
      </c>
      <c r="V1893" s="522" t="inlineStr">
        <is>
          <t>វីអ៊ីស៊ិន (ខេមបូឌា) អ៊ិនដាសស្ទ្រី ឯ.ក</t>
        </is>
      </c>
      <c r="W1893" s="556" t="n">
        <v>76791</v>
      </c>
    </row>
    <row r="1894">
      <c r="A1894" s="521" t="n">
        <v>1886</v>
      </c>
      <c r="B1894" s="522" t="inlineStr">
        <is>
          <t>Worker fee</t>
        </is>
      </c>
      <c r="C1894" s="522" t="inlineStr">
        <is>
          <t>ឆាយ ដា ឡូយីស្ទីក</t>
        </is>
      </c>
      <c r="D1894" s="522" t="inlineStr">
        <is>
          <t>L001-100063098</t>
        </is>
      </c>
      <c r="E1894" s="521" t="inlineStr">
        <is>
          <t>2304003814</t>
        </is>
      </c>
      <c r="F1894" s="523" t="n">
        <v>45034</v>
      </c>
      <c r="G1894" s="556" t="n">
        <v>15439</v>
      </c>
      <c r="I1894" s="521">
        <f>G1894</f>
        <v/>
      </c>
      <c r="K1894" s="521">
        <f>I1894-G1894</f>
        <v/>
      </c>
      <c r="M1894" s="522" t="inlineStr">
        <is>
          <t>2304003814</t>
        </is>
      </c>
      <c r="N1894" s="522" t="inlineStr">
        <is>
          <t>2304003814</t>
        </is>
      </c>
      <c r="O1894" s="521">
        <f>M1894=N1894</f>
        <v/>
      </c>
      <c r="P1894" s="521">
        <f>AND(MONTH(F1894)=MONTH(S1894), YEAR(F1894)=YEAR(S1894))</f>
        <v/>
      </c>
      <c r="Q1894" s="521">
        <f>U1894="L001-901905215"</f>
        <v/>
      </c>
      <c r="R1894" s="556">
        <f>G1894-W1894</f>
        <v/>
      </c>
      <c r="S1894" s="523" t="n">
        <v>45034</v>
      </c>
      <c r="T1894" s="522" t="inlineStr">
        <is>
          <t>2304003814</t>
        </is>
      </c>
      <c r="U1894" s="522" t="inlineStr">
        <is>
          <t>L001-901905215</t>
        </is>
      </c>
      <c r="V1894" s="522" t="inlineStr">
        <is>
          <t>វីអ៊ីស៊ិន (ខេមបូឌា) អ៊ិនដាសស្ទ្រី ឯ.ក</t>
        </is>
      </c>
      <c r="W1894" s="556" t="n">
        <v>15439</v>
      </c>
    </row>
    <row r="1895">
      <c r="A1895" s="521" t="n">
        <v>1887</v>
      </c>
      <c r="B1895" s="522" t="inlineStr">
        <is>
          <t>Export Administration fee, Port Formality, service Charge</t>
        </is>
      </c>
      <c r="C1895" s="522" t="inlineStr">
        <is>
          <t>ឆាយ ដា ឡូយីស្ទីក</t>
        </is>
      </c>
      <c r="D1895" s="522" t="inlineStr">
        <is>
          <t>L001-100063098</t>
        </is>
      </c>
      <c r="E1895" s="521" t="inlineStr">
        <is>
          <t>2304004030</t>
        </is>
      </c>
      <c r="F1895" s="523" t="n">
        <v>45040</v>
      </c>
      <c r="G1895" s="556" t="n">
        <v>77093</v>
      </c>
      <c r="I1895" s="521">
        <f>G1895</f>
        <v/>
      </c>
      <c r="K1895" s="521">
        <f>I1895-G1895</f>
        <v/>
      </c>
      <c r="M1895" s="522" t="inlineStr">
        <is>
          <t>2304004030</t>
        </is>
      </c>
      <c r="N1895" s="522" t="inlineStr">
        <is>
          <t>2304004030</t>
        </is>
      </c>
      <c r="O1895" s="521">
        <f>M1895=N1895</f>
        <v/>
      </c>
      <c r="P1895" s="521">
        <f>AND(MONTH(F1895)=MONTH(S1895), YEAR(F1895)=YEAR(S1895))</f>
        <v/>
      </c>
      <c r="Q1895" s="521">
        <f>U1895="L001-901905215"</f>
        <v/>
      </c>
      <c r="R1895" s="556">
        <f>G1895-W1895</f>
        <v/>
      </c>
      <c r="S1895" s="523" t="n">
        <v>45040</v>
      </c>
      <c r="T1895" s="522" t="inlineStr">
        <is>
          <t>2304004030</t>
        </is>
      </c>
      <c r="U1895" s="522" t="inlineStr">
        <is>
          <t>L001-901905215</t>
        </is>
      </c>
      <c r="V1895" s="522" t="inlineStr">
        <is>
          <t>វីអ៊ីស៊ិន (ខេមបូឌា) អ៊ិនដាសស្ទ្រី ឯ.ក</t>
        </is>
      </c>
      <c r="W1895" s="556" t="n">
        <v>77093</v>
      </c>
    </row>
    <row r="1896">
      <c r="A1896" s="521" t="n">
        <v>1888</v>
      </c>
      <c r="B1896" s="522" t="inlineStr">
        <is>
          <t>Export Administration fee, Port Formality, service Charge &amp; Extra Cut Seal</t>
        </is>
      </c>
      <c r="C1896" s="522" t="inlineStr">
        <is>
          <t>ឆាយ ដា ឡូយីស្ទីក</t>
        </is>
      </c>
      <c r="D1896" s="522" t="inlineStr">
        <is>
          <t>L001-100063098</t>
        </is>
      </c>
      <c r="E1896" s="521" t="inlineStr">
        <is>
          <t>2304004032</t>
        </is>
      </c>
      <c r="F1896" s="523" t="n">
        <v>45040</v>
      </c>
      <c r="G1896" s="556" t="n">
        <v>89330</v>
      </c>
      <c r="I1896" s="521">
        <f>G1896</f>
        <v/>
      </c>
      <c r="K1896" s="521">
        <f>I1896-G1896</f>
        <v/>
      </c>
      <c r="M1896" s="522" t="inlineStr">
        <is>
          <t>2304004032</t>
        </is>
      </c>
      <c r="N1896" s="522" t="inlineStr">
        <is>
          <t>2304004032</t>
        </is>
      </c>
      <c r="O1896" s="521">
        <f>M1896=N1896</f>
        <v/>
      </c>
      <c r="P1896" s="521">
        <f>AND(MONTH(F1896)=MONTH(S1896), YEAR(F1896)=YEAR(S1896))</f>
        <v/>
      </c>
      <c r="Q1896" s="521">
        <f>U1896="L001-901905215"</f>
        <v/>
      </c>
      <c r="R1896" s="556">
        <f>G1896-W1896</f>
        <v/>
      </c>
      <c r="S1896" s="523" t="n">
        <v>45040</v>
      </c>
      <c r="T1896" s="522" t="inlineStr">
        <is>
          <t>2304004032</t>
        </is>
      </c>
      <c r="U1896" s="522" t="inlineStr">
        <is>
          <t>L001-901905215</t>
        </is>
      </c>
      <c r="V1896" s="522" t="inlineStr">
        <is>
          <t>វីអ៊ីស៊ិន (ខេមបូឌា) អ៊ិនដាសស្ទ្រី ឯ.ក</t>
        </is>
      </c>
      <c r="W1896" s="556" t="n">
        <v>89330</v>
      </c>
    </row>
    <row r="1897">
      <c r="A1897" s="521" t="n">
        <v>1889</v>
      </c>
      <c r="B1897" s="522" t="inlineStr">
        <is>
          <t>Export Administration fee, Port Formality, service Charge</t>
        </is>
      </c>
      <c r="C1897" s="522" t="inlineStr">
        <is>
          <t>ឆាយ ដា ឡូយីស្ទីក</t>
        </is>
      </c>
      <c r="D1897" s="522" t="inlineStr">
        <is>
          <t>L001-100063098</t>
        </is>
      </c>
      <c r="E1897" s="521" t="inlineStr">
        <is>
          <t>2304004040</t>
        </is>
      </c>
      <c r="F1897" s="523" t="n">
        <v>45040</v>
      </c>
      <c r="G1897" s="556" t="n">
        <v>77093</v>
      </c>
      <c r="I1897" s="521">
        <f>G1897</f>
        <v/>
      </c>
      <c r="K1897" s="521">
        <f>I1897-G1897</f>
        <v/>
      </c>
      <c r="M1897" s="522" t="inlineStr">
        <is>
          <t>2304004040</t>
        </is>
      </c>
      <c r="N1897" s="522" t="inlineStr">
        <is>
          <t>2304004040</t>
        </is>
      </c>
      <c r="O1897" s="521">
        <f>M1897=N1897</f>
        <v/>
      </c>
      <c r="P1897" s="521">
        <f>AND(MONTH(F1897)=MONTH(S1897), YEAR(F1897)=YEAR(S1897))</f>
        <v/>
      </c>
      <c r="Q1897" s="521">
        <f>U1897="L001-901905215"</f>
        <v/>
      </c>
      <c r="R1897" s="556">
        <f>G1897-W1897</f>
        <v/>
      </c>
      <c r="S1897" s="523" t="n">
        <v>45040</v>
      </c>
      <c r="T1897" s="522" t="inlineStr">
        <is>
          <t>2304004040</t>
        </is>
      </c>
      <c r="U1897" s="522" t="inlineStr">
        <is>
          <t>L001-901905215</t>
        </is>
      </c>
      <c r="V1897" s="522" t="inlineStr">
        <is>
          <t>វីអ៊ីស៊ិន (ខេមបូឌា) អ៊ិនដាសស្ទ្រី ឯ.ក</t>
        </is>
      </c>
      <c r="W1897" s="556" t="n">
        <v>77093</v>
      </c>
    </row>
    <row r="1898">
      <c r="A1898" s="521" t="n">
        <v>1890</v>
      </c>
      <c r="B1898" s="522" t="inlineStr">
        <is>
          <t>Export Administration fee, Port Formality, service Charge &amp; Extra Cut Seal</t>
        </is>
      </c>
      <c r="C1898" s="522" t="inlineStr">
        <is>
          <t>ឆាយ ដា ឡូយីស្ទីក</t>
        </is>
      </c>
      <c r="D1898" s="522" t="inlineStr">
        <is>
          <t>L001-100063098</t>
        </is>
      </c>
      <c r="E1898" s="521" t="inlineStr">
        <is>
          <t>2304004054</t>
        </is>
      </c>
      <c r="F1898" s="523" t="n">
        <v>45040</v>
      </c>
      <c r="G1898" s="556" t="n">
        <v>89330</v>
      </c>
      <c r="I1898" s="521">
        <f>G1898</f>
        <v/>
      </c>
      <c r="K1898" s="521">
        <f>I1898-G1898</f>
        <v/>
      </c>
      <c r="M1898" s="522" t="inlineStr">
        <is>
          <t>2304004054</t>
        </is>
      </c>
      <c r="N1898" s="522" t="inlineStr">
        <is>
          <t>2304004054</t>
        </is>
      </c>
      <c r="O1898" s="521">
        <f>M1898=N1898</f>
        <v/>
      </c>
      <c r="P1898" s="521">
        <f>AND(MONTH(F1898)=MONTH(S1898), YEAR(F1898)=YEAR(S1898))</f>
        <v/>
      </c>
      <c r="Q1898" s="521">
        <f>U1898="L001-901905215"</f>
        <v/>
      </c>
      <c r="R1898" s="556">
        <f>G1898-W1898</f>
        <v/>
      </c>
      <c r="S1898" s="523" t="n">
        <v>45040</v>
      </c>
      <c r="T1898" s="522" t="inlineStr">
        <is>
          <t>2304004054</t>
        </is>
      </c>
      <c r="U1898" s="522" t="inlineStr">
        <is>
          <t>L001-901905215</t>
        </is>
      </c>
      <c r="V1898" s="522" t="inlineStr">
        <is>
          <t>វីអ៊ីស៊ិន (ខេមបូឌា) អ៊ិនដាសស្ទ្រី ឯ.ក</t>
        </is>
      </c>
      <c r="W1898" s="556" t="n">
        <v>89330</v>
      </c>
    </row>
    <row r="1899">
      <c r="A1899" s="521" t="n">
        <v>1891</v>
      </c>
      <c r="B1899" s="522" t="inlineStr">
        <is>
          <t>Export Administration fee, Port Formality, service Charge &amp; Extra Cut Seal</t>
        </is>
      </c>
      <c r="C1899" s="522" t="inlineStr">
        <is>
          <t>ឆាយ ដា ឡូយីស្ទីក</t>
        </is>
      </c>
      <c r="D1899" s="522" t="inlineStr">
        <is>
          <t>L001-100063098</t>
        </is>
      </c>
      <c r="E1899" s="521" t="inlineStr">
        <is>
          <t>2304004056</t>
        </is>
      </c>
      <c r="F1899" s="523" t="n">
        <v>45040</v>
      </c>
      <c r="G1899" s="556" t="n">
        <v>89330</v>
      </c>
      <c r="I1899" s="521">
        <f>G1899</f>
        <v/>
      </c>
      <c r="K1899" s="521">
        <f>I1899-G1899</f>
        <v/>
      </c>
      <c r="M1899" s="522" t="inlineStr">
        <is>
          <t>2304004056</t>
        </is>
      </c>
      <c r="N1899" s="522" t="inlineStr">
        <is>
          <t>2304004056</t>
        </is>
      </c>
      <c r="O1899" s="521">
        <f>M1899=N1899</f>
        <v/>
      </c>
      <c r="P1899" s="521">
        <f>AND(MONTH(F1899)=MONTH(S1899), YEAR(F1899)=YEAR(S1899))</f>
        <v/>
      </c>
      <c r="Q1899" s="521">
        <f>U1899="L001-901905215"</f>
        <v/>
      </c>
      <c r="R1899" s="556">
        <f>G1899-W1899</f>
        <v/>
      </c>
      <c r="S1899" s="523" t="n">
        <v>45040</v>
      </c>
      <c r="T1899" s="522" t="inlineStr">
        <is>
          <t>2304004056</t>
        </is>
      </c>
      <c r="U1899" s="522" t="inlineStr">
        <is>
          <t>L001-901905215</t>
        </is>
      </c>
      <c r="V1899" s="522" t="inlineStr">
        <is>
          <t>វីអ៊ីស៊ិន (ខេមបូឌា) អ៊ិនដាសស្ទ្រី ឯ.ក</t>
        </is>
      </c>
      <c r="W1899" s="556" t="n">
        <v>89330</v>
      </c>
    </row>
    <row r="1900">
      <c r="A1900" s="521" t="n">
        <v>1892</v>
      </c>
      <c r="B1900" s="522" t="inlineStr">
        <is>
          <t>Export Administration fee, Port Formality, service Charge &amp; Extra Cut Seal</t>
        </is>
      </c>
      <c r="C1900" s="522" t="inlineStr">
        <is>
          <t>ឆាយ ដា ឡូយីស្ទីក</t>
        </is>
      </c>
      <c r="D1900" s="522" t="inlineStr">
        <is>
          <t>L001-100063098</t>
        </is>
      </c>
      <c r="E1900" s="521" t="inlineStr">
        <is>
          <t>2304004058</t>
        </is>
      </c>
      <c r="F1900" s="523" t="n">
        <v>45040</v>
      </c>
      <c r="G1900" s="556" t="n">
        <v>89330</v>
      </c>
      <c r="I1900" s="521">
        <f>G1900</f>
        <v/>
      </c>
      <c r="K1900" s="521">
        <f>I1900-G1900</f>
        <v/>
      </c>
      <c r="M1900" s="522" t="inlineStr">
        <is>
          <t>2304004058</t>
        </is>
      </c>
      <c r="N1900" s="522" t="inlineStr">
        <is>
          <t>2304004058</t>
        </is>
      </c>
      <c r="O1900" s="521">
        <f>M1900=N1900</f>
        <v/>
      </c>
      <c r="P1900" s="521">
        <f>AND(MONTH(F1900)=MONTH(S1900), YEAR(F1900)=YEAR(S1900))</f>
        <v/>
      </c>
      <c r="Q1900" s="521">
        <f>U1900="L001-901905215"</f>
        <v/>
      </c>
      <c r="R1900" s="556">
        <f>G1900-W1900</f>
        <v/>
      </c>
      <c r="S1900" s="523" t="n">
        <v>45040</v>
      </c>
      <c r="T1900" s="522" t="inlineStr">
        <is>
          <t>2304004058</t>
        </is>
      </c>
      <c r="U1900" s="522" t="inlineStr">
        <is>
          <t>L001-901905215</t>
        </is>
      </c>
      <c r="V1900" s="522" t="inlineStr">
        <is>
          <t>វីអ៊ីស៊ិន (ខេមបូឌា) អ៊ិនដាសស្ទ្រី ឯ.ក</t>
        </is>
      </c>
      <c r="W1900" s="556" t="n">
        <v>89330</v>
      </c>
    </row>
    <row r="1901">
      <c r="A1901" s="521" t="n">
        <v>1893</v>
      </c>
      <c r="B1901" s="522" t="inlineStr">
        <is>
          <t>Export Administration fee, Port Formality, service Charge, OT Document, late Gate Container, Late Gate Document</t>
        </is>
      </c>
      <c r="C1901" s="522" t="inlineStr">
        <is>
          <t>ឆាយ ដា ឡូយីស្ទីក</t>
        </is>
      </c>
      <c r="D1901" s="522" t="inlineStr">
        <is>
          <t>L001-100063098</t>
        </is>
      </c>
      <c r="E1901" s="521" t="inlineStr">
        <is>
          <t>2304004062</t>
        </is>
      </c>
      <c r="F1901" s="523" t="n">
        <v>45040</v>
      </c>
      <c r="G1901" s="556" t="n">
        <v>181108</v>
      </c>
      <c r="I1901" s="521">
        <f>G1901</f>
        <v/>
      </c>
      <c r="K1901" s="521">
        <f>I1901-G1901</f>
        <v/>
      </c>
      <c r="M1901" s="522" t="inlineStr">
        <is>
          <t>2304004062</t>
        </is>
      </c>
      <c r="N1901" s="522" t="inlineStr">
        <is>
          <t>2304004062</t>
        </is>
      </c>
      <c r="O1901" s="521">
        <f>M1901=N1901</f>
        <v/>
      </c>
      <c r="P1901" s="521">
        <f>AND(MONTH(F1901)=MONTH(S1901), YEAR(F1901)=YEAR(S1901))</f>
        <v/>
      </c>
      <c r="Q1901" s="521">
        <f>U1901="L001-901905215"</f>
        <v/>
      </c>
      <c r="R1901" s="556">
        <f>G1901-W1901</f>
        <v/>
      </c>
      <c r="S1901" s="523" t="n">
        <v>45040</v>
      </c>
      <c r="T1901" s="522" t="inlineStr">
        <is>
          <t>2304004062</t>
        </is>
      </c>
      <c r="U1901" s="522" t="inlineStr">
        <is>
          <t>L001-901905215</t>
        </is>
      </c>
      <c r="V1901" s="522" t="inlineStr">
        <is>
          <t>វីអ៊ីស៊ិន (ខេមបូឌា) អ៊ិនដាសស្ទ្រី ឯ.ក</t>
        </is>
      </c>
      <c r="W1901" s="556" t="n">
        <v>181108</v>
      </c>
    </row>
    <row r="1902">
      <c r="A1902" s="521" t="n">
        <v>1894</v>
      </c>
      <c r="B1902" s="522" t="inlineStr">
        <is>
          <t>Export Administration fee, Port Formality, service Charge &amp; Extra Cut Seal</t>
        </is>
      </c>
      <c r="C1902" s="522" t="inlineStr">
        <is>
          <t>ឆាយ ដា ឡូយីស្ទីក</t>
        </is>
      </c>
      <c r="D1902" s="522" t="inlineStr">
        <is>
          <t>L001-100063098</t>
        </is>
      </c>
      <c r="E1902" s="521" t="inlineStr">
        <is>
          <t>2304004066</t>
        </is>
      </c>
      <c r="F1902" s="523" t="n">
        <v>45040</v>
      </c>
      <c r="G1902" s="556" t="n">
        <v>89330</v>
      </c>
      <c r="I1902" s="521">
        <f>G1902</f>
        <v/>
      </c>
      <c r="K1902" s="521">
        <f>I1902-G1902</f>
        <v/>
      </c>
      <c r="M1902" s="522" t="inlineStr">
        <is>
          <t>2304004066</t>
        </is>
      </c>
      <c r="N1902" s="522" t="inlineStr">
        <is>
          <t>2304004066</t>
        </is>
      </c>
      <c r="O1902" s="521">
        <f>M1902=N1902</f>
        <v/>
      </c>
      <c r="P1902" s="521">
        <f>AND(MONTH(F1902)=MONTH(S1902), YEAR(F1902)=YEAR(S1902))</f>
        <v/>
      </c>
      <c r="Q1902" s="521">
        <f>U1902="L001-901905215"</f>
        <v/>
      </c>
      <c r="R1902" s="556">
        <f>G1902-W1902</f>
        <v/>
      </c>
      <c r="S1902" s="523" t="n">
        <v>45040</v>
      </c>
      <c r="T1902" s="522" t="inlineStr">
        <is>
          <t>2304004066</t>
        </is>
      </c>
      <c r="U1902" s="522" t="inlineStr">
        <is>
          <t>L001-901905215</t>
        </is>
      </c>
      <c r="V1902" s="522" t="inlineStr">
        <is>
          <t>វីអ៊ីស៊ិន (ខេមបូឌា) អ៊ិនដាសស្ទ្រី ឯ.ក</t>
        </is>
      </c>
      <c r="W1902" s="556" t="n">
        <v>89330</v>
      </c>
    </row>
    <row r="1903">
      <c r="A1903" s="521" t="n">
        <v>1895</v>
      </c>
      <c r="B1903" s="522" t="inlineStr">
        <is>
          <t>Worker fee</t>
        </is>
      </c>
      <c r="C1903" s="522" t="inlineStr">
        <is>
          <t>ឆាយ ដា ឡូយីស្ទីក</t>
        </is>
      </c>
      <c r="D1903" s="522" t="inlineStr">
        <is>
          <t>L001-100063098</t>
        </is>
      </c>
      <c r="E1903" s="521" t="inlineStr">
        <is>
          <t>2304004077</t>
        </is>
      </c>
      <c r="F1903" s="523" t="n">
        <v>45040</v>
      </c>
      <c r="G1903" s="556" t="n">
        <v>30593</v>
      </c>
      <c r="I1903" s="521">
        <f>G1903</f>
        <v/>
      </c>
      <c r="K1903" s="521">
        <f>I1903-G1903</f>
        <v/>
      </c>
      <c r="M1903" s="522" t="inlineStr">
        <is>
          <t>2304004077</t>
        </is>
      </c>
      <c r="N1903" s="522" t="inlineStr">
        <is>
          <t>2304004077</t>
        </is>
      </c>
      <c r="O1903" s="521">
        <f>M1903=N1903</f>
        <v/>
      </c>
      <c r="P1903" s="521">
        <f>AND(MONTH(F1903)=MONTH(S1903), YEAR(F1903)=YEAR(S1903))</f>
        <v/>
      </c>
      <c r="Q1903" s="521">
        <f>U1903="L001-901905215"</f>
        <v/>
      </c>
      <c r="R1903" s="556">
        <f>G1903-W1903</f>
        <v/>
      </c>
      <c r="S1903" s="523" t="n">
        <v>45040</v>
      </c>
      <c r="T1903" s="522" t="inlineStr">
        <is>
          <t>2304004077</t>
        </is>
      </c>
      <c r="U1903" s="522" t="inlineStr">
        <is>
          <t>L001-901905215</t>
        </is>
      </c>
      <c r="V1903" s="522" t="inlineStr">
        <is>
          <t>វីអ៊ីស៊ិន (ខេមបូឌា) អ៊ិនដាសស្ទ្រី ឯ.ក</t>
        </is>
      </c>
      <c r="W1903" s="556" t="n">
        <v>30593</v>
      </c>
    </row>
    <row r="1904">
      <c r="A1904" s="521" t="n">
        <v>1896</v>
      </c>
      <c r="B1904" s="522" t="inlineStr">
        <is>
          <t>CLEARANCE AND TRUCKING FEE</t>
        </is>
      </c>
      <c r="C1904" s="522" t="inlineStr">
        <is>
          <t>56ប៊ី-លីង សឹបផ្លាយ ឆេន មេនេចម៉ិន ឯ.ក</t>
        </is>
      </c>
      <c r="D1904" s="522" t="inlineStr">
        <is>
          <t>K004-902004795</t>
        </is>
      </c>
      <c r="E1904" s="521" t="inlineStr">
        <is>
          <t>TI2023-0332</t>
        </is>
      </c>
      <c r="F1904" s="523" t="n">
        <v>45023</v>
      </c>
      <c r="G1904" s="556" t="n">
        <v>298190</v>
      </c>
      <c r="I1904" s="521">
        <f>G1904</f>
        <v/>
      </c>
      <c r="K1904" s="521">
        <f>I1904-G1904</f>
        <v/>
      </c>
      <c r="M1904" s="522" t="inlineStr">
        <is>
          <t>TI20230332</t>
        </is>
      </c>
      <c r="N1904" s="522" t="inlineStr">
        <is>
          <t>TI20230332</t>
        </is>
      </c>
      <c r="O1904" s="521">
        <f>M1904=N1904</f>
        <v/>
      </c>
      <c r="P1904" s="521">
        <f>AND(MONTH(F1904)=MONTH(S1904), YEAR(F1904)=YEAR(S1904))</f>
        <v/>
      </c>
      <c r="Q1904" s="521">
        <f>U1904="L001-901905215"</f>
        <v/>
      </c>
      <c r="R1904" s="556">
        <f>G1904-W1904</f>
        <v/>
      </c>
      <c r="S1904" s="523" t="n">
        <v>45023</v>
      </c>
      <c r="T1904" s="522" t="inlineStr">
        <is>
          <t>TI2023-0332</t>
        </is>
      </c>
      <c r="U1904" s="522" t="inlineStr">
        <is>
          <t>L001-901905215</t>
        </is>
      </c>
      <c r="V1904" s="522" t="inlineStr">
        <is>
          <t>វីអ៊ីស៊ិន (ខេមបូឌា) អ៊ិនដាសស្ទ្រី ឯ.ក</t>
        </is>
      </c>
      <c r="W1904" s="556" t="n">
        <v>298190</v>
      </c>
    </row>
    <row r="1905">
      <c r="A1905" s="521" t="n">
        <v>1897</v>
      </c>
      <c r="B1905" s="522" t="inlineStr">
        <is>
          <t>CLEARANCE AND TRUCKING FEE</t>
        </is>
      </c>
      <c r="C1905" s="522" t="inlineStr">
        <is>
          <t>56ប៊ី-លីង សឹបផ្លាយ ឆេន មេនេចម៉ិន ឯ.ក</t>
        </is>
      </c>
      <c r="D1905" s="522" t="inlineStr">
        <is>
          <t>K004-902004795</t>
        </is>
      </c>
      <c r="E1905" s="521" t="inlineStr">
        <is>
          <t>TI2023-0333</t>
        </is>
      </c>
      <c r="F1905" s="523" t="n">
        <v>45023</v>
      </c>
      <c r="G1905" s="556" t="n">
        <v>269791</v>
      </c>
      <c r="I1905" s="521">
        <f>G1905</f>
        <v/>
      </c>
      <c r="K1905" s="521">
        <f>I1905-G1905</f>
        <v/>
      </c>
      <c r="M1905" s="522" t="inlineStr">
        <is>
          <t>TI20230333</t>
        </is>
      </c>
      <c r="N1905" s="522" t="inlineStr">
        <is>
          <t>TI20230333</t>
        </is>
      </c>
      <c r="O1905" s="521">
        <f>M1905=N1905</f>
        <v/>
      </c>
      <c r="P1905" s="521">
        <f>AND(MONTH(F1905)=MONTH(S1905), YEAR(F1905)=YEAR(S1905))</f>
        <v/>
      </c>
      <c r="Q1905" s="521">
        <f>U1905="L001-901905215"</f>
        <v/>
      </c>
      <c r="R1905" s="556">
        <f>G1905-W1905</f>
        <v/>
      </c>
      <c r="S1905" s="523" t="n">
        <v>45023</v>
      </c>
      <c r="T1905" s="522" t="inlineStr">
        <is>
          <t>TI2023-0333</t>
        </is>
      </c>
      <c r="U1905" s="522" t="inlineStr">
        <is>
          <t>L001-901905215</t>
        </is>
      </c>
      <c r="V1905" s="522" t="inlineStr">
        <is>
          <t>វីអ៊ីស៊ិន (ខេមបូឌា) អ៊ិនដាសស្ទ្រី ឯ.ក</t>
        </is>
      </c>
      <c r="W1905" s="556" t="n">
        <v>269791</v>
      </c>
    </row>
    <row r="1906">
      <c r="A1906" s="521" t="n">
        <v>1898</v>
      </c>
      <c r="B1906" s="522" t="inlineStr">
        <is>
          <t>CLEARANCE AND TRUCKING FEE</t>
        </is>
      </c>
      <c r="C1906" s="522" t="inlineStr">
        <is>
          <t>56ប៊ី-លីង សឹបផ្លាយ ឆេន មេនេចម៉ិន ឯ.ក</t>
        </is>
      </c>
      <c r="D1906" s="522" t="inlineStr">
        <is>
          <t>K004-902004795</t>
        </is>
      </c>
      <c r="E1906" s="521" t="inlineStr">
        <is>
          <t>TI2023-0394</t>
        </is>
      </c>
      <c r="F1906" s="523" t="n">
        <v>45029</v>
      </c>
      <c r="G1906" s="556" t="n">
        <v>209348</v>
      </c>
      <c r="I1906" s="521">
        <f>G1906</f>
        <v/>
      </c>
      <c r="K1906" s="521">
        <f>I1906-G1906</f>
        <v/>
      </c>
      <c r="M1906" s="522" t="inlineStr">
        <is>
          <t>TI20230394</t>
        </is>
      </c>
      <c r="N1906" s="522" t="inlineStr">
        <is>
          <t>TI20230394</t>
        </is>
      </c>
      <c r="O1906" s="521">
        <f>M1906=N1906</f>
        <v/>
      </c>
      <c r="P1906" s="521">
        <f>AND(MONTH(F1906)=MONTH(S1906), YEAR(F1906)=YEAR(S1906))</f>
        <v/>
      </c>
      <c r="Q1906" s="521">
        <f>U1906="L001-901905215"</f>
        <v/>
      </c>
      <c r="R1906" s="556">
        <f>G1906-W1906</f>
        <v/>
      </c>
      <c r="S1906" s="523" t="n">
        <v>45029</v>
      </c>
      <c r="T1906" s="522" t="inlineStr">
        <is>
          <t>TI2023-0394</t>
        </is>
      </c>
      <c r="U1906" s="522" t="inlineStr">
        <is>
          <t>L001-901905215</t>
        </is>
      </c>
      <c r="V1906" s="522" t="inlineStr">
        <is>
          <t>វីអ៊ីស៊ិន (ខេមបូឌា) អ៊ិនដាសស្ទ្រី ឯ.ក</t>
        </is>
      </c>
      <c r="W1906" s="556" t="n">
        <v>209348</v>
      </c>
    </row>
    <row r="1907">
      <c r="A1907" s="521" t="n">
        <v>1899</v>
      </c>
      <c r="B1907" s="522" t="inlineStr">
        <is>
          <t>CLEARANCE AND TRUCKING FEE</t>
        </is>
      </c>
      <c r="C1907" s="522" t="inlineStr">
        <is>
          <t>56ប៊ី-លីង សឹបផ្លាយ ឆេន មេនេចម៉ិន ឯ.ក</t>
        </is>
      </c>
      <c r="D1907" s="522" t="inlineStr">
        <is>
          <t>K004-902004795</t>
        </is>
      </c>
      <c r="E1907" s="521" t="inlineStr">
        <is>
          <t>TI2023-0396</t>
        </is>
      </c>
      <c r="F1907" s="523" t="n">
        <v>45029</v>
      </c>
      <c r="G1907" s="556" t="n">
        <v>209348</v>
      </c>
      <c r="I1907" s="521">
        <f>G1907</f>
        <v/>
      </c>
      <c r="K1907" s="521">
        <f>I1907-G1907</f>
        <v/>
      </c>
      <c r="M1907" s="522" t="inlineStr">
        <is>
          <t>TI20230396</t>
        </is>
      </c>
      <c r="N1907" s="522" t="inlineStr">
        <is>
          <t>TI20230396</t>
        </is>
      </c>
      <c r="O1907" s="521">
        <f>M1907=N1907</f>
        <v/>
      </c>
      <c r="P1907" s="521">
        <f>AND(MONTH(F1907)=MONTH(S1907), YEAR(F1907)=YEAR(S1907))</f>
        <v/>
      </c>
      <c r="Q1907" s="521">
        <f>U1907="L001-901905215"</f>
        <v/>
      </c>
      <c r="R1907" s="556">
        <f>G1907-W1907</f>
        <v/>
      </c>
      <c r="S1907" s="523" t="n">
        <v>45029</v>
      </c>
      <c r="T1907" s="522" t="inlineStr">
        <is>
          <t>TI2023-0396</t>
        </is>
      </c>
      <c r="U1907" s="522" t="inlineStr">
        <is>
          <t>L001-901905215</t>
        </is>
      </c>
      <c r="V1907" s="522" t="inlineStr">
        <is>
          <t>វីអ៊ីស៊ិន (ខេមបូឌា) អ៊ិនដាសស្ទ្រី ឯ.ក</t>
        </is>
      </c>
      <c r="W1907" s="556" t="n">
        <v>209348</v>
      </c>
    </row>
    <row r="1908">
      <c r="A1908" s="521" t="n">
        <v>1900</v>
      </c>
      <c r="B1908" s="522" t="inlineStr">
        <is>
          <t>Export Administration fee, Port Formality, service Charge &amp; Extra Cut Seal</t>
        </is>
      </c>
      <c r="C1908" s="522" t="inlineStr">
        <is>
          <t>ឆាយ ដា ឡូយីស្ទីក</t>
        </is>
      </c>
      <c r="D1908" s="522" t="inlineStr">
        <is>
          <t>L001-100063098</t>
        </is>
      </c>
      <c r="E1908" s="521" t="inlineStr">
        <is>
          <t>2304003766</t>
        </is>
      </c>
      <c r="F1908" s="523" t="n">
        <v>45033</v>
      </c>
      <c r="G1908" s="556" t="n">
        <v>88980</v>
      </c>
      <c r="I1908" s="521">
        <f>G1908</f>
        <v/>
      </c>
      <c r="K1908" s="521">
        <f>I1908-G1908</f>
        <v/>
      </c>
      <c r="M1908" s="522" t="inlineStr">
        <is>
          <t>2304003766</t>
        </is>
      </c>
      <c r="N1908" s="522" t="inlineStr">
        <is>
          <t>2304003766</t>
        </is>
      </c>
      <c r="O1908" s="521">
        <f>M1908=N1908</f>
        <v/>
      </c>
      <c r="P1908" s="521">
        <f>AND(MONTH(F1908)=MONTH(S1908), YEAR(F1908)=YEAR(S1908))</f>
        <v/>
      </c>
      <c r="Q1908" s="521">
        <f>U1908="L001-901905215"</f>
        <v/>
      </c>
      <c r="R1908" s="556">
        <f>G1908-W1908</f>
        <v/>
      </c>
      <c r="S1908" s="523" t="n">
        <v>45033</v>
      </c>
      <c r="T1908" s="522" t="inlineStr">
        <is>
          <t>2304003766</t>
        </is>
      </c>
      <c r="U1908" s="522" t="inlineStr">
        <is>
          <t>L001-901905215</t>
        </is>
      </c>
      <c r="V1908" s="522" t="inlineStr">
        <is>
          <t>វីអ៊ីស៊ិន (ខេមបូឌា) អ៊ិនដាសស្ទ្រី ឯ.ក</t>
        </is>
      </c>
      <c r="W1908" s="556" t="n">
        <v>88980</v>
      </c>
    </row>
    <row r="1909">
      <c r="A1909" s="521" t="n">
        <v>1901</v>
      </c>
      <c r="B1909" s="522" t="inlineStr">
        <is>
          <t>CLEARANCE AND TRUCKING FEE</t>
        </is>
      </c>
      <c r="C1909" s="522" t="inlineStr">
        <is>
          <t>56ប៊ី-លីង សឹបផ្លាយ ឆេន មេនេចម៉ិន ឯ.ក</t>
        </is>
      </c>
      <c r="D1909" s="522" t="inlineStr">
        <is>
          <t>K004-902004795</t>
        </is>
      </c>
      <c r="E1909" s="521" t="inlineStr">
        <is>
          <t>TI2023-0513</t>
        </is>
      </c>
      <c r="F1909" s="523" t="n">
        <v>45043</v>
      </c>
      <c r="G1909" s="556" t="n">
        <v>211459</v>
      </c>
      <c r="I1909" s="521">
        <f>G1909</f>
        <v/>
      </c>
      <c r="K1909" s="521">
        <f>I1909-G1909</f>
        <v/>
      </c>
      <c r="M1909" s="522" t="inlineStr">
        <is>
          <t>TI20230513</t>
        </is>
      </c>
      <c r="N1909" s="522" t="inlineStr">
        <is>
          <t>TI20230513</t>
        </is>
      </c>
      <c r="O1909" s="521">
        <f>M1909=N1909</f>
        <v/>
      </c>
      <c r="P1909" s="521">
        <f>AND(MONTH(F1909)=MONTH(S1909), YEAR(F1909)=YEAR(S1909))</f>
        <v/>
      </c>
      <c r="Q1909" s="521">
        <f>U1909="L001-901905215"</f>
        <v/>
      </c>
      <c r="R1909" s="556">
        <f>G1909-W1909</f>
        <v/>
      </c>
      <c r="S1909" s="523" t="n">
        <v>45043</v>
      </c>
      <c r="T1909" s="522" t="inlineStr">
        <is>
          <t>TI2023-0513</t>
        </is>
      </c>
      <c r="U1909" s="522" t="inlineStr">
        <is>
          <t>L001-901905215</t>
        </is>
      </c>
      <c r="V1909" s="522" t="inlineStr">
        <is>
          <t>វីអ៊ីស៊ិន (ខេមបូឌា) អ៊ិនដាសស្ទ្រី ឯ.ក</t>
        </is>
      </c>
      <c r="W1909" s="556" t="n">
        <v>211459</v>
      </c>
    </row>
    <row r="1910">
      <c r="A1910" s="521" t="n">
        <v>1902</v>
      </c>
      <c r="B1910" s="522" t="inlineStr">
        <is>
          <t>CLEARANCE FEE</t>
        </is>
      </c>
      <c r="C1910" s="522" t="inlineStr">
        <is>
          <t>56ប៊ី-លីង សឹបផ្លាយ ឆេន មេនេចម៉ិន ឯ.ក</t>
        </is>
      </c>
      <c r="D1910" s="522" t="inlineStr">
        <is>
          <t>K004-902004795</t>
        </is>
      </c>
      <c r="E1910" s="521" t="inlineStr">
        <is>
          <t>TI2023-0514</t>
        </is>
      </c>
      <c r="F1910" s="523" t="n">
        <v>45043</v>
      </c>
      <c r="G1910" s="556" t="n">
        <v>172452</v>
      </c>
      <c r="I1910" s="521">
        <f>G1910</f>
        <v/>
      </c>
      <c r="K1910" s="521">
        <f>I1910-G1910</f>
        <v/>
      </c>
      <c r="M1910" s="522" t="inlineStr">
        <is>
          <t>TI20230514</t>
        </is>
      </c>
      <c r="N1910" s="522" t="inlineStr">
        <is>
          <t>TI20230514</t>
        </is>
      </c>
      <c r="O1910" s="521">
        <f>M1910=N1910</f>
        <v/>
      </c>
      <c r="P1910" s="521">
        <f>AND(MONTH(F1910)=MONTH(S1910), YEAR(F1910)=YEAR(S1910))</f>
        <v/>
      </c>
      <c r="Q1910" s="521">
        <f>U1910="L001-901905215"</f>
        <v/>
      </c>
      <c r="R1910" s="556">
        <f>G1910-W1910</f>
        <v/>
      </c>
      <c r="S1910" s="523" t="n">
        <v>45043</v>
      </c>
      <c r="T1910" s="522" t="inlineStr">
        <is>
          <t>TI2023-0514</t>
        </is>
      </c>
      <c r="U1910" s="522" t="inlineStr">
        <is>
          <t>L001-901905215</t>
        </is>
      </c>
      <c r="V1910" s="522" t="inlineStr">
        <is>
          <t>វីអ៊ីស៊ិន (ខេមបូឌា) អ៊ិនដាសស្ទ្រី ឯ.ក</t>
        </is>
      </c>
      <c r="W1910" s="556" t="n">
        <v>172452</v>
      </c>
    </row>
    <row r="1911">
      <c r="A1911" s="521" t="n">
        <v>1903</v>
      </c>
      <c r="B1911" s="522" t="inlineStr">
        <is>
          <t>CLEARANCE FEE</t>
        </is>
      </c>
      <c r="C1911" s="522" t="inlineStr">
        <is>
          <t>56ប៊ី-លីង សឹបផ្លាយ ឆេន មេនេចម៉ិន ឯ.ក</t>
        </is>
      </c>
      <c r="D1911" s="522" t="inlineStr">
        <is>
          <t>K004-902004795</t>
        </is>
      </c>
      <c r="E1911" s="521" t="inlineStr">
        <is>
          <t>TI2023-0515</t>
        </is>
      </c>
      <c r="F1911" s="523" t="n">
        <v>45043</v>
      </c>
      <c r="G1911" s="556" t="n">
        <v>172452</v>
      </c>
      <c r="I1911" s="521">
        <f>G1911</f>
        <v/>
      </c>
      <c r="K1911" s="521">
        <f>I1911-G1911</f>
        <v/>
      </c>
      <c r="M1911" s="522" t="inlineStr">
        <is>
          <t>TI20230515</t>
        </is>
      </c>
      <c r="N1911" s="522" t="inlineStr">
        <is>
          <t>TI20230515</t>
        </is>
      </c>
      <c r="O1911" s="521">
        <f>M1911=N1911</f>
        <v/>
      </c>
      <c r="P1911" s="521">
        <f>AND(MONTH(F1911)=MONTH(S1911), YEAR(F1911)=YEAR(S1911))</f>
        <v/>
      </c>
      <c r="Q1911" s="521">
        <f>U1911="L001-901905215"</f>
        <v/>
      </c>
      <c r="R1911" s="556">
        <f>G1911-W1911</f>
        <v/>
      </c>
      <c r="S1911" s="523" t="n">
        <v>45043</v>
      </c>
      <c r="T1911" s="522" t="inlineStr">
        <is>
          <t>TI2023-0515</t>
        </is>
      </c>
      <c r="U1911" s="522" t="inlineStr">
        <is>
          <t>L001-901905215</t>
        </is>
      </c>
      <c r="V1911" s="522" t="inlineStr">
        <is>
          <t>វីអ៊ីស៊ិន (ខេមបូឌា) អ៊ិនដាសស្ទ្រី ឯ.ក</t>
        </is>
      </c>
      <c r="W1911" s="556" t="n">
        <v>172452</v>
      </c>
    </row>
    <row r="1912">
      <c r="A1912" s="521" t="n">
        <v>1904</v>
      </c>
      <c r="B1912" s="522" t="inlineStr">
        <is>
          <t>CLEARANCE FEE</t>
        </is>
      </c>
      <c r="C1912" s="522" t="inlineStr">
        <is>
          <t>56ប៊ី-លីង សឹបផ្លាយ ឆេន មេនេចម៉ិន ឯ.ក</t>
        </is>
      </c>
      <c r="D1912" s="522" t="inlineStr">
        <is>
          <t>K004-902004795</t>
        </is>
      </c>
      <c r="E1912" s="521" t="inlineStr">
        <is>
          <t>TI2023-0516</t>
        </is>
      </c>
      <c r="F1912" s="523" t="n">
        <v>45043</v>
      </c>
      <c r="G1912" s="556" t="n">
        <v>172452</v>
      </c>
      <c r="I1912" s="521">
        <f>G1912</f>
        <v/>
      </c>
      <c r="K1912" s="521">
        <f>I1912-G1912</f>
        <v/>
      </c>
      <c r="M1912" s="522" t="inlineStr">
        <is>
          <t>TI20230516</t>
        </is>
      </c>
      <c r="N1912" s="522" t="inlineStr">
        <is>
          <t>TI20230516</t>
        </is>
      </c>
      <c r="O1912" s="521">
        <f>M1912=N1912</f>
        <v/>
      </c>
      <c r="P1912" s="521">
        <f>AND(MONTH(F1912)=MONTH(S1912), YEAR(F1912)=YEAR(S1912))</f>
        <v/>
      </c>
      <c r="Q1912" s="521">
        <f>U1912="L001-901905215"</f>
        <v/>
      </c>
      <c r="R1912" s="556">
        <f>G1912-W1912</f>
        <v/>
      </c>
      <c r="S1912" s="523" t="n">
        <v>45043</v>
      </c>
      <c r="T1912" s="522" t="inlineStr">
        <is>
          <t>TI2023-0516</t>
        </is>
      </c>
      <c r="U1912" s="522" t="inlineStr">
        <is>
          <t>L001-901905215</t>
        </is>
      </c>
      <c r="V1912" s="522" t="inlineStr">
        <is>
          <t>វីអ៊ីស៊ិន (ខេមបូឌា) អ៊ិនដាសស្ទ្រី ឯ.ក</t>
        </is>
      </c>
      <c r="W1912" s="556" t="n">
        <v>172452</v>
      </c>
    </row>
    <row r="1913">
      <c r="A1913" s="521" t="n">
        <v>1905</v>
      </c>
      <c r="B1913" s="522" t="inlineStr">
        <is>
          <t>CLEARANCE AND TRUCKING FEE</t>
        </is>
      </c>
      <c r="C1913" s="522" t="inlineStr">
        <is>
          <t>56ប៊ី-លីង សឹបផ្លាយ ឆេន មេនេចម៉ិន ឯ.ក</t>
        </is>
      </c>
      <c r="D1913" s="522" t="inlineStr">
        <is>
          <t>K004-902004795</t>
        </is>
      </c>
      <c r="E1913" s="521" t="inlineStr">
        <is>
          <t>TI2023-0517</t>
        </is>
      </c>
      <c r="F1913" s="523" t="n">
        <v>45043</v>
      </c>
      <c r="G1913" s="556" t="n">
        <v>211459</v>
      </c>
      <c r="I1913" s="521">
        <f>G1913</f>
        <v/>
      </c>
      <c r="K1913" s="521">
        <f>I1913-G1913</f>
        <v/>
      </c>
      <c r="M1913" s="522" t="inlineStr">
        <is>
          <t>TI20230517</t>
        </is>
      </c>
      <c r="N1913" s="522" t="inlineStr">
        <is>
          <t>TI20230517</t>
        </is>
      </c>
      <c r="O1913" s="521">
        <f>M1913=N1913</f>
        <v/>
      </c>
      <c r="P1913" s="521">
        <f>AND(MONTH(F1913)=MONTH(S1913), YEAR(F1913)=YEAR(S1913))</f>
        <v/>
      </c>
      <c r="Q1913" s="521">
        <f>U1913="L001-901905215"</f>
        <v/>
      </c>
      <c r="R1913" s="556">
        <f>G1913-W1913</f>
        <v/>
      </c>
      <c r="S1913" s="523" t="n">
        <v>45043</v>
      </c>
      <c r="T1913" s="522" t="inlineStr">
        <is>
          <t>TI2023-0517</t>
        </is>
      </c>
      <c r="U1913" s="522" t="inlineStr">
        <is>
          <t>L001-901905215</t>
        </is>
      </c>
      <c r="V1913" s="522" t="inlineStr">
        <is>
          <t>វីអ៊ីស៊ិន (ខេមបូឌា) អ៊ិនដាសស្ទ្រី ឯ.ក</t>
        </is>
      </c>
      <c r="W1913" s="556" t="n">
        <v>211459</v>
      </c>
    </row>
    <row r="1914">
      <c r="A1914" s="521" t="n">
        <v>1906</v>
      </c>
      <c r="B1914" s="522" t="inlineStr">
        <is>
          <t>CLEARANCE AND TRUCKING FEE</t>
        </is>
      </c>
      <c r="C1914" s="522" t="inlineStr">
        <is>
          <t>56ប៊ី-លីង សឹបផ្លាយ ឆេន មេនេចម៉ិន ឯ.ក</t>
        </is>
      </c>
      <c r="D1914" s="522" t="inlineStr">
        <is>
          <t>K004-902004795</t>
        </is>
      </c>
      <c r="E1914" s="521" t="inlineStr">
        <is>
          <t>TI2023-0399</t>
        </is>
      </c>
      <c r="F1914" s="523" t="n">
        <v>45029</v>
      </c>
      <c r="G1914" s="556" t="n">
        <v>270323</v>
      </c>
      <c r="I1914" s="521">
        <f>G1914</f>
        <v/>
      </c>
      <c r="K1914" s="521">
        <f>I1914-G1914</f>
        <v/>
      </c>
      <c r="M1914" s="522" t="inlineStr">
        <is>
          <t>TI20230399</t>
        </is>
      </c>
      <c r="N1914" s="522" t="inlineStr">
        <is>
          <t>TI20230399</t>
        </is>
      </c>
      <c r="O1914" s="521">
        <f>M1914=N1914</f>
        <v/>
      </c>
      <c r="P1914" s="521">
        <f>AND(MONTH(F1914)=MONTH(S1914), YEAR(F1914)=YEAR(S1914))</f>
        <v/>
      </c>
      <c r="Q1914" s="521">
        <f>U1914="L001-901905215"</f>
        <v/>
      </c>
      <c r="R1914" s="556">
        <f>G1914-W1914</f>
        <v/>
      </c>
      <c r="S1914" s="523" t="n">
        <v>45029</v>
      </c>
      <c r="T1914" s="522" t="inlineStr">
        <is>
          <t>TI2023-0399</t>
        </is>
      </c>
      <c r="U1914" s="522" t="inlineStr">
        <is>
          <t>L001-901905215</t>
        </is>
      </c>
      <c r="V1914" s="522" t="inlineStr">
        <is>
          <t>វីអ៊ីស៊ិន (ខេមបូឌា) អ៊ិនដាសស្ទ្រី ឯ.ក</t>
        </is>
      </c>
      <c r="W1914" s="556" t="n">
        <v>270323</v>
      </c>
    </row>
    <row r="1915">
      <c r="A1915" s="521" t="n">
        <v>1907</v>
      </c>
      <c r="B1915" s="522" t="inlineStr">
        <is>
          <t>CLEARANCE AND TRUCKING FEE</t>
        </is>
      </c>
      <c r="C1915" s="522" t="inlineStr">
        <is>
          <t>56ប៊ី-លីង សឹបផ្លាយ ឆេន មេនេចម៉ិន ឯ.ក</t>
        </is>
      </c>
      <c r="D1915" s="522" t="inlineStr">
        <is>
          <t>K004-902004795</t>
        </is>
      </c>
      <c r="E1915" s="521" t="inlineStr">
        <is>
          <t>TI2023-0512</t>
        </is>
      </c>
      <c r="F1915" s="523" t="n">
        <v>45043</v>
      </c>
      <c r="G1915" s="556" t="n">
        <v>211459</v>
      </c>
      <c r="I1915" s="521">
        <f>G1915</f>
        <v/>
      </c>
      <c r="K1915" s="521">
        <f>I1915-G1915</f>
        <v/>
      </c>
      <c r="M1915" s="522" t="inlineStr">
        <is>
          <t>TI20230512</t>
        </is>
      </c>
      <c r="N1915" s="522" t="inlineStr">
        <is>
          <t>TI20230512</t>
        </is>
      </c>
      <c r="O1915" s="521">
        <f>M1915=N1915</f>
        <v/>
      </c>
      <c r="P1915" s="521">
        <f>AND(MONTH(F1915)=MONTH(S1915), YEAR(F1915)=YEAR(S1915))</f>
        <v/>
      </c>
      <c r="Q1915" s="521">
        <f>U1915="L001-901905215"</f>
        <v/>
      </c>
      <c r="R1915" s="556">
        <f>G1915-W1915</f>
        <v/>
      </c>
      <c r="S1915" s="523" t="n">
        <v>45043</v>
      </c>
      <c r="T1915" s="522" t="inlineStr">
        <is>
          <t>TI2023-0512</t>
        </is>
      </c>
      <c r="U1915" s="522" t="inlineStr">
        <is>
          <t>L001-901905215</t>
        </is>
      </c>
      <c r="V1915" s="522" t="inlineStr">
        <is>
          <t>វីអ៊ីស៊ិន (ខេមបូឌា) អ៊ិនដាសស្ទ្រី ឯ.ក</t>
        </is>
      </c>
      <c r="W1915" s="556" t="n">
        <v>211459</v>
      </c>
    </row>
    <row r="1916">
      <c r="A1916" s="521" t="n">
        <v>1908</v>
      </c>
      <c r="B1916" s="522" t="inlineStr">
        <is>
          <t>CLEARANCE FEE</t>
        </is>
      </c>
      <c r="C1916" s="522" t="inlineStr">
        <is>
          <t>56ប៊ី-លីង សឹបផ្លាយ ឆេន មេនេចម៉ិន ឯ.ក</t>
        </is>
      </c>
      <c r="D1916" s="522" t="inlineStr">
        <is>
          <t>K004-902004795</t>
        </is>
      </c>
      <c r="E1916" s="521" t="inlineStr">
        <is>
          <t>TI2023-0507</t>
        </is>
      </c>
      <c r="F1916" s="523" t="n">
        <v>45043</v>
      </c>
      <c r="G1916" s="556" t="n">
        <v>172452</v>
      </c>
      <c r="I1916" s="521">
        <f>G1916</f>
        <v/>
      </c>
      <c r="K1916" s="521">
        <f>I1916-G1916</f>
        <v/>
      </c>
      <c r="M1916" s="522" t="inlineStr">
        <is>
          <t>TI20230507</t>
        </is>
      </c>
      <c r="N1916" s="522" t="inlineStr">
        <is>
          <t>TI20230507</t>
        </is>
      </c>
      <c r="O1916" s="521">
        <f>M1916=N1916</f>
        <v/>
      </c>
      <c r="P1916" s="521">
        <f>AND(MONTH(F1916)=MONTH(S1916), YEAR(F1916)=YEAR(S1916))</f>
        <v/>
      </c>
      <c r="Q1916" s="521">
        <f>U1916="L001-901905215"</f>
        <v/>
      </c>
      <c r="R1916" s="556">
        <f>G1916-W1916</f>
        <v/>
      </c>
      <c r="S1916" s="523" t="n">
        <v>45043</v>
      </c>
      <c r="T1916" s="522" t="inlineStr">
        <is>
          <t>TI2023-0507</t>
        </is>
      </c>
      <c r="U1916" s="522" t="inlineStr">
        <is>
          <t>L001-901905215</t>
        </is>
      </c>
      <c r="V1916" s="522" t="inlineStr">
        <is>
          <t>វីអ៊ីស៊ិន (ខេមបូឌា) អ៊ិនដាសស្ទ្រី ឯ.ក</t>
        </is>
      </c>
      <c r="W1916" s="556" t="n">
        <v>172452</v>
      </c>
    </row>
    <row r="1917">
      <c r="A1917" s="521" t="n">
        <v>1909</v>
      </c>
      <c r="B1917" s="522" t="inlineStr">
        <is>
          <t>CLEARANCE FEE</t>
        </is>
      </c>
      <c r="C1917" s="522" t="inlineStr">
        <is>
          <t>56ប៊ី-លីង សឹបផ្លាយ ឆេន មេនេចម៉ិន ឯ.ក</t>
        </is>
      </c>
      <c r="D1917" s="522" t="inlineStr">
        <is>
          <t>K004-902004795</t>
        </is>
      </c>
      <c r="E1917" s="521" t="inlineStr">
        <is>
          <t>TI2023-0482</t>
        </is>
      </c>
      <c r="F1917" s="523" t="n">
        <v>45040</v>
      </c>
      <c r="G1917" s="556" t="n">
        <v>171318</v>
      </c>
      <c r="I1917" s="521">
        <f>G1917</f>
        <v/>
      </c>
      <c r="K1917" s="521">
        <f>I1917-G1917</f>
        <v/>
      </c>
      <c r="M1917" s="522" t="inlineStr">
        <is>
          <t>TI20230482</t>
        </is>
      </c>
      <c r="N1917" s="522" t="inlineStr">
        <is>
          <t>TI20230482</t>
        </is>
      </c>
      <c r="O1917" s="521">
        <f>M1917=N1917</f>
        <v/>
      </c>
      <c r="P1917" s="521">
        <f>AND(MONTH(F1917)=MONTH(S1917), YEAR(F1917)=YEAR(S1917))</f>
        <v/>
      </c>
      <c r="Q1917" s="521">
        <f>U1917="L001-901905215"</f>
        <v/>
      </c>
      <c r="R1917" s="556">
        <f>G1917-W1917</f>
        <v/>
      </c>
      <c r="S1917" s="523" t="n">
        <v>45040</v>
      </c>
      <c r="T1917" s="522" t="inlineStr">
        <is>
          <t>TI2023-0482</t>
        </is>
      </c>
      <c r="U1917" s="522" t="inlineStr">
        <is>
          <t>L001-901905215</t>
        </is>
      </c>
      <c r="V1917" s="522" t="inlineStr">
        <is>
          <t>វីអ៊ីស៊ិន (ខេមបូឌា) អ៊ិនដាសស្ទ្រី ឯ.ក</t>
        </is>
      </c>
      <c r="W1917" s="556" t="n">
        <v>171318</v>
      </c>
    </row>
    <row r="1918">
      <c r="A1918" s="521" t="n">
        <v>1910</v>
      </c>
      <c r="B1918" s="522" t="inlineStr">
        <is>
          <t>CLEARANCE AND TRUCKING FEE</t>
        </is>
      </c>
      <c r="C1918" s="522" t="inlineStr">
        <is>
          <t>56ប៊ី-លីង សឹបផ្លាយ ឆេន មេនេចម៉ិន ឯ.ក</t>
        </is>
      </c>
      <c r="D1918" s="522" t="inlineStr">
        <is>
          <t>K004-902004795</t>
        </is>
      </c>
      <c r="E1918" s="521" t="inlineStr">
        <is>
          <t>TI2023-0481</t>
        </is>
      </c>
      <c r="F1918" s="523" t="n">
        <v>45040</v>
      </c>
      <c r="G1918" s="556" t="n">
        <v>271254</v>
      </c>
      <c r="I1918" s="521">
        <f>G1918</f>
        <v/>
      </c>
      <c r="K1918" s="521">
        <f>I1918-G1918</f>
        <v/>
      </c>
      <c r="M1918" s="522" t="inlineStr">
        <is>
          <t>TI20230481</t>
        </is>
      </c>
      <c r="N1918" s="522" t="inlineStr">
        <is>
          <t>TI20230481</t>
        </is>
      </c>
      <c r="O1918" s="521">
        <f>M1918=N1918</f>
        <v/>
      </c>
      <c r="P1918" s="521">
        <f>AND(MONTH(F1918)=MONTH(S1918), YEAR(F1918)=YEAR(S1918))</f>
        <v/>
      </c>
      <c r="Q1918" s="521">
        <f>U1918="L001-901905215"</f>
        <v/>
      </c>
      <c r="R1918" s="556">
        <f>G1918-W1918</f>
        <v/>
      </c>
      <c r="S1918" s="523" t="n">
        <v>45040</v>
      </c>
      <c r="T1918" s="522" t="inlineStr">
        <is>
          <t>TI2023-0481</t>
        </is>
      </c>
      <c r="U1918" s="522" t="inlineStr">
        <is>
          <t>L001-901905215</t>
        </is>
      </c>
      <c r="V1918" s="522" t="inlineStr">
        <is>
          <t>វីអ៊ីស៊ិន (ខេមបូឌា) អ៊ិនដាសស្ទ្រី ឯ.ក</t>
        </is>
      </c>
      <c r="W1918" s="556" t="n">
        <v>271254</v>
      </c>
    </row>
    <row r="1919">
      <c r="A1919" s="521" t="n">
        <v>1911</v>
      </c>
      <c r="B1919" s="522" t="inlineStr">
        <is>
          <t>LIFT OFF CHARGES 45'FULL AND GATE FEE CHARGES 45' FULL</t>
        </is>
      </c>
      <c r="C1919" s="522" t="inlineStr">
        <is>
          <t>កំពង់ផែស្វយ័តភ្នំពេញ "ក.ស.ភ"</t>
        </is>
      </c>
      <c r="D1919" s="522" t="inlineStr">
        <is>
          <t>L001-100044999</t>
        </is>
      </c>
      <c r="E1919" s="521" t="inlineStr">
        <is>
          <t>INV20230419176</t>
        </is>
      </c>
      <c r="F1919" s="523" t="n">
        <v>45033</v>
      </c>
      <c r="G1919" s="556" t="n">
        <v>29254</v>
      </c>
      <c r="I1919" s="521">
        <f>G1919</f>
        <v/>
      </c>
      <c r="K1919" s="521">
        <f>I1919-G1919</f>
        <v/>
      </c>
      <c r="M1919" s="522" t="inlineStr">
        <is>
          <t>INV20230419176</t>
        </is>
      </c>
      <c r="N1919" s="522" t="inlineStr"/>
      <c r="O1919" s="521">
        <f>M1919=N1919</f>
        <v/>
      </c>
      <c r="P1919" s="521">
        <f>AND(MONTH(F1919)=MONTH(S1919), YEAR(F1919)=YEAR(S1919))</f>
        <v/>
      </c>
      <c r="Q1919" s="521">
        <f>U1919="L001-901905215"</f>
        <v/>
      </c>
      <c r="R1919" s="556">
        <f>G1919-W1919</f>
        <v/>
      </c>
      <c r="S1919" s="521" t="n"/>
      <c r="T1919" s="522" t="n"/>
      <c r="U1919" s="522" t="n"/>
      <c r="V1919" s="522" t="n"/>
      <c r="W1919" s="521" t="n"/>
    </row>
    <row r="1920">
      <c r="A1920" s="521" t="n">
        <v>1912</v>
      </c>
      <c r="B1920" s="522" t="inlineStr">
        <is>
          <t>CLEARANCE AND TRUCKING FEE</t>
        </is>
      </c>
      <c r="C1920" s="522" t="inlineStr">
        <is>
          <t>56ប៊ី-លីង សឹបផ្លាយ ឆេន មេនេចម៉ិន ឯ.ក</t>
        </is>
      </c>
      <c r="D1920" s="522" t="inlineStr">
        <is>
          <t>K004-902004795</t>
        </is>
      </c>
      <c r="E1920" s="521" t="inlineStr">
        <is>
          <t>TI2023-0440</t>
        </is>
      </c>
      <c r="F1920" s="523" t="n">
        <v>45035</v>
      </c>
      <c r="G1920" s="556" t="n">
        <v>666824</v>
      </c>
      <c r="I1920" s="521">
        <f>G1920</f>
        <v/>
      </c>
      <c r="K1920" s="521">
        <f>I1920-G1920</f>
        <v/>
      </c>
      <c r="M1920" s="522" t="inlineStr">
        <is>
          <t>TI20230440</t>
        </is>
      </c>
      <c r="N1920" s="522" t="inlineStr">
        <is>
          <t>TI20230440</t>
        </is>
      </c>
      <c r="O1920" s="521">
        <f>M1920=N1920</f>
        <v/>
      </c>
      <c r="P1920" s="521">
        <f>AND(MONTH(F1920)=MONTH(S1920), YEAR(F1920)=YEAR(S1920))</f>
        <v/>
      </c>
      <c r="Q1920" s="521">
        <f>U1920="L001-901905215"</f>
        <v/>
      </c>
      <c r="R1920" s="556">
        <f>G1920-W1920</f>
        <v/>
      </c>
      <c r="S1920" s="523" t="n">
        <v>45035</v>
      </c>
      <c r="T1920" s="522" t="inlineStr">
        <is>
          <t>TI2023-0440</t>
        </is>
      </c>
      <c r="U1920" s="522" t="inlineStr">
        <is>
          <t>L001-901905215</t>
        </is>
      </c>
      <c r="V1920" s="522" t="inlineStr">
        <is>
          <t>វីអ៊ីស៊ិន (ខេមបូឌា) អ៊ិនដាសស្ទ្រី ឯ.ក</t>
        </is>
      </c>
      <c r="W1920" s="556" t="n">
        <v>666824</v>
      </c>
    </row>
    <row r="1921">
      <c r="A1921" s="521" t="n">
        <v>1913</v>
      </c>
      <c r="B1921" s="522" t="inlineStr">
        <is>
          <t>CLEARANCE AND TRUCKING FEE</t>
        </is>
      </c>
      <c r="C1921" s="522" t="inlineStr">
        <is>
          <t>56ប៊ី-លីង សឹបផ្លាយ ឆេន មេនេចម៉ិន ឯ.ក</t>
        </is>
      </c>
      <c r="D1921" s="522" t="inlineStr">
        <is>
          <t>K004-902004795</t>
        </is>
      </c>
      <c r="E1921" s="521" t="inlineStr">
        <is>
          <t>TI2023-0447</t>
        </is>
      </c>
      <c r="F1921" s="523" t="n">
        <v>45040</v>
      </c>
      <c r="G1921" s="556" t="n">
        <v>299807</v>
      </c>
      <c r="I1921" s="521">
        <f>G1921</f>
        <v/>
      </c>
      <c r="K1921" s="521">
        <f>I1921-G1921</f>
        <v/>
      </c>
      <c r="M1921" s="522" t="inlineStr">
        <is>
          <t>TI20230447</t>
        </is>
      </c>
      <c r="N1921" s="522" t="inlineStr">
        <is>
          <t>TI20230447</t>
        </is>
      </c>
      <c r="O1921" s="521">
        <f>M1921=N1921</f>
        <v/>
      </c>
      <c r="P1921" s="521">
        <f>AND(MONTH(F1921)=MONTH(S1921), YEAR(F1921)=YEAR(S1921))</f>
        <v/>
      </c>
      <c r="Q1921" s="521">
        <f>U1921="L001-901905215"</f>
        <v/>
      </c>
      <c r="R1921" s="556">
        <f>G1921-W1921</f>
        <v/>
      </c>
      <c r="S1921" s="523" t="n">
        <v>45040</v>
      </c>
      <c r="T1921" s="522" t="inlineStr">
        <is>
          <t>TI2023-0447</t>
        </is>
      </c>
      <c r="U1921" s="522" t="inlineStr">
        <is>
          <t>L001-901905215</t>
        </is>
      </c>
      <c r="V1921" s="522" t="inlineStr">
        <is>
          <t>វីអ៊ីស៊ិន (ខេមបូឌា) អ៊ិនដាសស្ទ្រី ឯ.ក</t>
        </is>
      </c>
      <c r="W1921" s="556" t="n">
        <v>299807</v>
      </c>
    </row>
    <row r="1922">
      <c r="A1922" s="521" t="n">
        <v>1914</v>
      </c>
      <c r="B1922" s="522" t="inlineStr">
        <is>
          <t>LIFT OFF</t>
        </is>
      </c>
      <c r="C1922" s="522" t="inlineStr">
        <is>
          <t>កំពង់ផែស្វយ័តក្រុងព្រះសីហនុ</t>
        </is>
      </c>
      <c r="D1922" s="522" t="inlineStr">
        <is>
          <t>L001-100044638</t>
        </is>
      </c>
      <c r="E1922" s="521" t="inlineStr">
        <is>
          <t>58288</t>
        </is>
      </c>
      <c r="F1922" s="523" t="n">
        <v>45036</v>
      </c>
      <c r="G1922" s="556" t="n">
        <v>20757</v>
      </c>
      <c r="I1922" s="521">
        <f>G1922</f>
        <v/>
      </c>
      <c r="K1922" s="521">
        <f>I1922-G1922</f>
        <v/>
      </c>
      <c r="M1922" s="522" t="inlineStr">
        <is>
          <t>58288</t>
        </is>
      </c>
      <c r="N1922" s="522" t="inlineStr"/>
      <c r="O1922" s="521">
        <f>M1922=N1922</f>
        <v/>
      </c>
      <c r="P1922" s="521">
        <f>AND(MONTH(F1922)=MONTH(S1922), YEAR(F1922)=YEAR(S1922))</f>
        <v/>
      </c>
      <c r="Q1922" s="521">
        <f>U1922="L001-901905215"</f>
        <v/>
      </c>
      <c r="R1922" s="556">
        <f>G1922-W1922</f>
        <v/>
      </c>
      <c r="S1922" s="521" t="n"/>
      <c r="T1922" s="522" t="n"/>
      <c r="U1922" s="522" t="n"/>
      <c r="V1922" s="522" t="n"/>
      <c r="W1922" s="521" t="n"/>
    </row>
    <row r="1923">
      <c r="A1923" s="521" t="n">
        <v>1915</v>
      </c>
      <c r="B1923" s="522" t="inlineStr">
        <is>
          <t>CLEARANCE AND TRUCKING FEE</t>
        </is>
      </c>
      <c r="C1923" s="522" t="inlineStr">
        <is>
          <t>56ប៊ី-លីង សឹបផ្លាយ ឆេន មេនេចម៉ិន ឯ.ក</t>
        </is>
      </c>
      <c r="D1923" s="522" t="inlineStr">
        <is>
          <t>K004-902004795</t>
        </is>
      </c>
      <c r="E1923" s="521" t="inlineStr">
        <is>
          <t>TI2023-0448</t>
        </is>
      </c>
      <c r="F1923" s="523" t="n">
        <v>45040</v>
      </c>
      <c r="G1923" s="556" t="n">
        <v>542507</v>
      </c>
      <c r="I1923" s="521">
        <f>G1923</f>
        <v/>
      </c>
      <c r="K1923" s="521">
        <f>I1923-G1923</f>
        <v/>
      </c>
      <c r="M1923" s="522" t="inlineStr">
        <is>
          <t>TI20230448</t>
        </is>
      </c>
      <c r="N1923" s="522" t="inlineStr">
        <is>
          <t>TI20230448</t>
        </is>
      </c>
      <c r="O1923" s="521">
        <f>M1923=N1923</f>
        <v/>
      </c>
      <c r="P1923" s="521">
        <f>AND(MONTH(F1923)=MONTH(S1923), YEAR(F1923)=YEAR(S1923))</f>
        <v/>
      </c>
      <c r="Q1923" s="521">
        <f>U1923="L001-901905215"</f>
        <v/>
      </c>
      <c r="R1923" s="556">
        <f>G1923-W1923</f>
        <v/>
      </c>
      <c r="S1923" s="523" t="n">
        <v>45040</v>
      </c>
      <c r="T1923" s="522" t="inlineStr">
        <is>
          <t>TI2023-0448</t>
        </is>
      </c>
      <c r="U1923" s="522" t="inlineStr">
        <is>
          <t>L001-901905215</t>
        </is>
      </c>
      <c r="V1923" s="522" t="inlineStr">
        <is>
          <t>វីអ៊ីស៊ិន (ខេមបូឌា) អ៊ិនដាសស្ទ្រី ឯ.ក</t>
        </is>
      </c>
      <c r="W1923" s="556" t="n">
        <v>542507</v>
      </c>
    </row>
    <row r="1924">
      <c r="A1924" s="521" t="n">
        <v>1916</v>
      </c>
      <c r="B1924" s="522" t="inlineStr">
        <is>
          <t>LIFT OFF</t>
        </is>
      </c>
      <c r="C1924" s="522" t="inlineStr">
        <is>
          <t>កំពង់ផែស្វយ័តក្រុងព្រះសីហនុ</t>
        </is>
      </c>
      <c r="D1924" s="522" t="inlineStr">
        <is>
          <t>L001-100044638</t>
        </is>
      </c>
      <c r="E1924" s="521" t="inlineStr">
        <is>
          <t>058289</t>
        </is>
      </c>
      <c r="F1924" s="523" t="n">
        <v>45036</v>
      </c>
      <c r="G1924" s="556" t="n">
        <v>20757</v>
      </c>
      <c r="I1924" s="521">
        <f>G1924</f>
        <v/>
      </c>
      <c r="K1924" s="521">
        <f>I1924-G1924</f>
        <v/>
      </c>
      <c r="M1924" s="522" t="inlineStr">
        <is>
          <t>058289</t>
        </is>
      </c>
      <c r="N1924" s="522" t="inlineStr"/>
      <c r="O1924" s="521">
        <f>M1924=N1924</f>
        <v/>
      </c>
      <c r="P1924" s="521">
        <f>AND(MONTH(F1924)=MONTH(S1924), YEAR(F1924)=YEAR(S1924))</f>
        <v/>
      </c>
      <c r="Q1924" s="521">
        <f>U1924="L001-901905215"</f>
        <v/>
      </c>
      <c r="R1924" s="556">
        <f>G1924-W1924</f>
        <v/>
      </c>
      <c r="S1924" s="521" t="n"/>
      <c r="T1924" s="522" t="n"/>
      <c r="U1924" s="522" t="n"/>
      <c r="V1924" s="522" t="n"/>
      <c r="W1924" s="521" t="n"/>
    </row>
    <row r="1925">
      <c r="A1925" s="521" t="n">
        <v>1917</v>
      </c>
      <c r="B1925" s="522" t="inlineStr">
        <is>
          <t>LIFT OFF</t>
        </is>
      </c>
      <c r="C1925" s="522" t="inlineStr">
        <is>
          <t>កំពង់ផែស្វយ័តក្រុងព្រះសីហនុ</t>
        </is>
      </c>
      <c r="D1925" s="522" t="inlineStr">
        <is>
          <t>L001-100044638</t>
        </is>
      </c>
      <c r="E1925" s="521" t="inlineStr">
        <is>
          <t>058291</t>
        </is>
      </c>
      <c r="F1925" s="523" t="n">
        <v>45036</v>
      </c>
      <c r="G1925" s="556" t="n">
        <v>20757</v>
      </c>
      <c r="I1925" s="521">
        <f>G1925</f>
        <v/>
      </c>
      <c r="K1925" s="521">
        <f>I1925-G1925</f>
        <v/>
      </c>
      <c r="M1925" s="522" t="inlineStr">
        <is>
          <t>058291</t>
        </is>
      </c>
      <c r="N1925" s="522" t="inlineStr"/>
      <c r="O1925" s="521">
        <f>M1925=N1925</f>
        <v/>
      </c>
      <c r="P1925" s="521">
        <f>AND(MONTH(F1925)=MONTH(S1925), YEAR(F1925)=YEAR(S1925))</f>
        <v/>
      </c>
      <c r="Q1925" s="521">
        <f>U1925="L001-901905215"</f>
        <v/>
      </c>
      <c r="R1925" s="556">
        <f>G1925-W1925</f>
        <v/>
      </c>
      <c r="S1925" s="521" t="n"/>
      <c r="T1925" s="522" t="n"/>
      <c r="U1925" s="522" t="n"/>
      <c r="V1925" s="522" t="n"/>
      <c r="W1925" s="521" t="n"/>
    </row>
    <row r="1926">
      <c r="A1926" s="521" t="n">
        <v>1918</v>
      </c>
      <c r="B1926" s="522" t="inlineStr">
        <is>
          <t>CLEARANCE AND TRUCKING FEE</t>
        </is>
      </c>
      <c r="C1926" s="522" t="inlineStr">
        <is>
          <t>56ប៊ី-លីង សឹបផ្លាយ ឆេន មេនេចម៉ិន ឯ.ក</t>
        </is>
      </c>
      <c r="D1926" s="522" t="inlineStr">
        <is>
          <t>K004-902004795</t>
        </is>
      </c>
      <c r="E1926" s="521" t="inlineStr">
        <is>
          <t>TI2023-0449</t>
        </is>
      </c>
      <c r="F1926" s="523" t="n">
        <v>45040</v>
      </c>
      <c r="G1926" s="556" t="n">
        <v>210069</v>
      </c>
      <c r="I1926" s="521">
        <f>G1926</f>
        <v/>
      </c>
      <c r="K1926" s="521">
        <f>I1926-G1926</f>
        <v/>
      </c>
      <c r="M1926" s="522" t="inlineStr">
        <is>
          <t>TI20230449</t>
        </is>
      </c>
      <c r="N1926" s="522" t="inlineStr">
        <is>
          <t>TI20230449</t>
        </is>
      </c>
      <c r="O1926" s="521">
        <f>M1926=N1926</f>
        <v/>
      </c>
      <c r="P1926" s="521">
        <f>AND(MONTH(F1926)=MONTH(S1926), YEAR(F1926)=YEAR(S1926))</f>
        <v/>
      </c>
      <c r="Q1926" s="521">
        <f>U1926="L001-901905215"</f>
        <v/>
      </c>
      <c r="R1926" s="556">
        <f>G1926-W1926</f>
        <v/>
      </c>
      <c r="S1926" s="523" t="n">
        <v>45040</v>
      </c>
      <c r="T1926" s="522" t="inlineStr">
        <is>
          <t>TI2023-0449</t>
        </is>
      </c>
      <c r="U1926" s="522" t="inlineStr">
        <is>
          <t>L001-901905215</t>
        </is>
      </c>
      <c r="V1926" s="522" t="inlineStr">
        <is>
          <t>វីអ៊ីស៊ិន (ខេមបូឌា) អ៊ិនដាសស្ទ្រី ឯ.ក</t>
        </is>
      </c>
      <c r="W1926" s="556" t="n">
        <v>210069</v>
      </c>
    </row>
    <row r="1927">
      <c r="A1927" s="521" t="n">
        <v>1919</v>
      </c>
      <c r="B1927" s="522" t="inlineStr">
        <is>
          <t>CLEARANCE FEE</t>
        </is>
      </c>
      <c r="C1927" s="522" t="inlineStr">
        <is>
          <t>56ប៊ី-លីង សឹបផ្លាយ ឆេន មេនេចម៉ិន ឯ.ក</t>
        </is>
      </c>
      <c r="D1927" s="522" t="inlineStr">
        <is>
          <t>K004-902004795</t>
        </is>
      </c>
      <c r="E1927" s="521" t="inlineStr">
        <is>
          <t>TI2023-0450</t>
        </is>
      </c>
      <c r="F1927" s="523" t="n">
        <v>45040</v>
      </c>
      <c r="G1927" s="556" t="n">
        <v>171318</v>
      </c>
      <c r="I1927" s="521">
        <f>G1927</f>
        <v/>
      </c>
      <c r="K1927" s="521">
        <f>I1927-G1927</f>
        <v/>
      </c>
      <c r="M1927" s="522" t="inlineStr">
        <is>
          <t>TI20230450</t>
        </is>
      </c>
      <c r="N1927" s="522" t="inlineStr">
        <is>
          <t>TI20230450</t>
        </is>
      </c>
      <c r="O1927" s="521">
        <f>M1927=N1927</f>
        <v/>
      </c>
      <c r="P1927" s="521">
        <f>AND(MONTH(F1927)=MONTH(S1927), YEAR(F1927)=YEAR(S1927))</f>
        <v/>
      </c>
      <c r="Q1927" s="521">
        <f>U1927="L001-901905215"</f>
        <v/>
      </c>
      <c r="R1927" s="556">
        <f>G1927-W1927</f>
        <v/>
      </c>
      <c r="S1927" s="523" t="n">
        <v>45040</v>
      </c>
      <c r="T1927" s="522" t="inlineStr">
        <is>
          <t>TI2023-0450</t>
        </is>
      </c>
      <c r="U1927" s="522" t="inlineStr">
        <is>
          <t>L001-901905215</t>
        </is>
      </c>
      <c r="V1927" s="522" t="inlineStr">
        <is>
          <t>វីអ៊ីស៊ិន (ខេមបូឌា) អ៊ិនដាសស្ទ្រី ឯ.ក</t>
        </is>
      </c>
      <c r="W1927" s="556" t="n">
        <v>171318</v>
      </c>
    </row>
    <row r="1928">
      <c r="A1928" s="521" t="n">
        <v>1920</v>
      </c>
      <c r="B1928" s="522" t="inlineStr">
        <is>
          <t>CLEARANCE AND TRUCKING FEE</t>
        </is>
      </c>
      <c r="C1928" s="522" t="inlineStr">
        <is>
          <t>56ប៊ី-លីង សឹបផ្លាយ ឆេន មេនេចម៉ិន ឯ.ក</t>
        </is>
      </c>
      <c r="D1928" s="522" t="inlineStr">
        <is>
          <t>K004-902004795</t>
        </is>
      </c>
      <c r="E1928" s="521" t="inlineStr">
        <is>
          <t>TI2023-0451</t>
        </is>
      </c>
      <c r="F1928" s="523" t="n">
        <v>45040</v>
      </c>
      <c r="G1928" s="556" t="n">
        <v>210069</v>
      </c>
      <c r="I1928" s="521">
        <f>G1928</f>
        <v/>
      </c>
      <c r="K1928" s="521">
        <f>I1928-G1928</f>
        <v/>
      </c>
      <c r="M1928" s="522" t="inlineStr">
        <is>
          <t>TI20230451</t>
        </is>
      </c>
      <c r="N1928" s="522" t="inlineStr">
        <is>
          <t>TI20230451</t>
        </is>
      </c>
      <c r="O1928" s="521">
        <f>M1928=N1928</f>
        <v/>
      </c>
      <c r="P1928" s="521">
        <f>AND(MONTH(F1928)=MONTH(S1928), YEAR(F1928)=YEAR(S1928))</f>
        <v/>
      </c>
      <c r="Q1928" s="521">
        <f>U1928="L001-901905215"</f>
        <v/>
      </c>
      <c r="R1928" s="556">
        <f>G1928-W1928</f>
        <v/>
      </c>
      <c r="S1928" s="523" t="n">
        <v>45040</v>
      </c>
      <c r="T1928" s="522" t="inlineStr">
        <is>
          <t>TI2023-0451</t>
        </is>
      </c>
      <c r="U1928" s="522" t="inlineStr">
        <is>
          <t>L001-901905215</t>
        </is>
      </c>
      <c r="V1928" s="522" t="inlineStr">
        <is>
          <t>វីអ៊ីស៊ិន (ខេមបូឌា) អ៊ិនដាសស្ទ្រី ឯ.ក</t>
        </is>
      </c>
      <c r="W1928" s="556" t="n">
        <v>210069</v>
      </c>
    </row>
    <row r="1929">
      <c r="A1929" s="521" t="n">
        <v>1921</v>
      </c>
      <c r="B1929" s="522" t="inlineStr">
        <is>
          <t>CLEARANCE FEE</t>
        </is>
      </c>
      <c r="C1929" s="522" t="inlineStr">
        <is>
          <t>56ប៊ី-លីង សឹបផ្លាយ ឆេន មេនេចម៉ិន ឯ.ក</t>
        </is>
      </c>
      <c r="D1929" s="522" t="inlineStr">
        <is>
          <t>K004-902004795</t>
        </is>
      </c>
      <c r="E1929" s="521" t="inlineStr">
        <is>
          <t>TI2023-0452</t>
        </is>
      </c>
      <c r="F1929" s="523" t="n">
        <v>45040</v>
      </c>
      <c r="G1929" s="556" t="n">
        <v>171318</v>
      </c>
      <c r="I1929" s="521">
        <f>G1929</f>
        <v/>
      </c>
      <c r="K1929" s="521">
        <f>I1929-G1929</f>
        <v/>
      </c>
      <c r="M1929" s="522" t="inlineStr">
        <is>
          <t>TI20230452</t>
        </is>
      </c>
      <c r="N1929" s="522" t="inlineStr">
        <is>
          <t>TI20230452</t>
        </is>
      </c>
      <c r="O1929" s="521">
        <f>M1929=N1929</f>
        <v/>
      </c>
      <c r="P1929" s="521">
        <f>AND(MONTH(F1929)=MONTH(S1929), YEAR(F1929)=YEAR(S1929))</f>
        <v/>
      </c>
      <c r="Q1929" s="521">
        <f>U1929="L001-901905215"</f>
        <v/>
      </c>
      <c r="R1929" s="556">
        <f>G1929-W1929</f>
        <v/>
      </c>
      <c r="S1929" s="523" t="n">
        <v>45040</v>
      </c>
      <c r="T1929" s="522" t="inlineStr">
        <is>
          <t>TI2023-0452</t>
        </is>
      </c>
      <c r="U1929" s="522" t="inlineStr">
        <is>
          <t>L001-901905215</t>
        </is>
      </c>
      <c r="V1929" s="522" t="inlineStr">
        <is>
          <t>វីអ៊ីស៊ិន (ខេមបូឌា) អ៊ិនដាសស្ទ្រី ឯ.ក</t>
        </is>
      </c>
      <c r="W1929" s="556" t="n">
        <v>171318</v>
      </c>
    </row>
    <row r="1930">
      <c r="A1930" s="521" t="n">
        <v>1922</v>
      </c>
      <c r="B1930" s="522" t="inlineStr">
        <is>
          <t>CLEARANCE AND TRUCKING FEE</t>
        </is>
      </c>
      <c r="C1930" s="522" t="inlineStr">
        <is>
          <t>56ប៊ី-លីង សឹបផ្លាយ ឆេន មេនេចម៉ិន ឯ.ក</t>
        </is>
      </c>
      <c r="D1930" s="522" t="inlineStr">
        <is>
          <t>K004-902004795</t>
        </is>
      </c>
      <c r="E1930" s="521" t="inlineStr">
        <is>
          <t>TI2023-0453</t>
        </is>
      </c>
      <c r="F1930" s="523" t="n">
        <v>45040</v>
      </c>
      <c r="G1930" s="556" t="n">
        <v>210069</v>
      </c>
      <c r="I1930" s="521">
        <f>G1930</f>
        <v/>
      </c>
      <c r="K1930" s="521">
        <f>I1930-G1930</f>
        <v/>
      </c>
      <c r="M1930" s="522" t="inlineStr">
        <is>
          <t>TI20230453</t>
        </is>
      </c>
      <c r="N1930" s="522" t="inlineStr">
        <is>
          <t>TI20230453</t>
        </is>
      </c>
      <c r="O1930" s="521">
        <f>M1930=N1930</f>
        <v/>
      </c>
      <c r="P1930" s="521">
        <f>AND(MONTH(F1930)=MONTH(S1930), YEAR(F1930)=YEAR(S1930))</f>
        <v/>
      </c>
      <c r="Q1930" s="521">
        <f>U1930="L001-901905215"</f>
        <v/>
      </c>
      <c r="R1930" s="556">
        <f>G1930-W1930</f>
        <v/>
      </c>
      <c r="S1930" s="523" t="n">
        <v>45040</v>
      </c>
      <c r="T1930" s="522" t="inlineStr">
        <is>
          <t>TI2023-0453</t>
        </is>
      </c>
      <c r="U1930" s="522" t="inlineStr">
        <is>
          <t>L001-901905215</t>
        </is>
      </c>
      <c r="V1930" s="522" t="inlineStr">
        <is>
          <t>វីអ៊ីស៊ិន (ខេមបូឌា) អ៊ិនដាសស្ទ្រី ឯ.ក</t>
        </is>
      </c>
      <c r="W1930" s="556" t="n">
        <v>210069</v>
      </c>
    </row>
    <row r="1931">
      <c r="A1931" s="521" t="n">
        <v>1923</v>
      </c>
      <c r="B1931" s="522" t="inlineStr">
        <is>
          <t>CLEARANCE FEE</t>
        </is>
      </c>
      <c r="C1931" s="522" t="inlineStr">
        <is>
          <t>56ប៊ី-លីង សឹបផ្លាយ ឆេន មេនេចម៉ិន ឯ.ក</t>
        </is>
      </c>
      <c r="D1931" s="522" t="inlineStr">
        <is>
          <t>K004-902004795</t>
        </is>
      </c>
      <c r="E1931" s="521" t="inlineStr">
        <is>
          <t>TI2023-0454</t>
        </is>
      </c>
      <c r="F1931" s="523" t="n">
        <v>45040</v>
      </c>
      <c r="G1931" s="556" t="n">
        <v>171318</v>
      </c>
      <c r="I1931" s="521">
        <f>G1931</f>
        <v/>
      </c>
      <c r="K1931" s="521">
        <f>I1931-G1931</f>
        <v/>
      </c>
      <c r="M1931" s="522" t="inlineStr">
        <is>
          <t>TI20230454</t>
        </is>
      </c>
      <c r="N1931" s="522" t="inlineStr">
        <is>
          <t>TI20230454</t>
        </is>
      </c>
      <c r="O1931" s="521">
        <f>M1931=N1931</f>
        <v/>
      </c>
      <c r="P1931" s="521">
        <f>AND(MONTH(F1931)=MONTH(S1931), YEAR(F1931)=YEAR(S1931))</f>
        <v/>
      </c>
      <c r="Q1931" s="521">
        <f>U1931="L001-901905215"</f>
        <v/>
      </c>
      <c r="R1931" s="556">
        <f>G1931-W1931</f>
        <v/>
      </c>
      <c r="S1931" s="523" t="n">
        <v>45040</v>
      </c>
      <c r="T1931" s="522" t="inlineStr">
        <is>
          <t>TI2023-0454</t>
        </is>
      </c>
      <c r="U1931" s="522" t="inlineStr">
        <is>
          <t>L001-901905215</t>
        </is>
      </c>
      <c r="V1931" s="522" t="inlineStr">
        <is>
          <t>វីអ៊ីស៊ិន (ខេមបូឌា) អ៊ិនដាសស្ទ្រី ឯ.ក</t>
        </is>
      </c>
      <c r="W1931" s="556" t="n">
        <v>171318</v>
      </c>
    </row>
    <row r="1932">
      <c r="A1932" s="521" t="n">
        <v>1924</v>
      </c>
      <c r="B1932" s="522" t="inlineStr">
        <is>
          <t>CLEARANCE AND TRUCKING FEE</t>
        </is>
      </c>
      <c r="C1932" s="522" t="inlineStr">
        <is>
          <t>56ប៊ី-លីង សឹបផ្លាយ ឆេន មេនេចម៉ិន ឯ.ក</t>
        </is>
      </c>
      <c r="D1932" s="522" t="inlineStr">
        <is>
          <t>K004-902004795</t>
        </is>
      </c>
      <c r="E1932" s="521" t="inlineStr">
        <is>
          <t>TI2023-0455</t>
        </is>
      </c>
      <c r="F1932" s="523" t="n">
        <v>45040</v>
      </c>
      <c r="G1932" s="556" t="n">
        <v>210069</v>
      </c>
      <c r="I1932" s="521">
        <f>G1932</f>
        <v/>
      </c>
      <c r="K1932" s="521">
        <f>I1932-G1932</f>
        <v/>
      </c>
      <c r="M1932" s="522" t="inlineStr">
        <is>
          <t>TI20230455</t>
        </is>
      </c>
      <c r="N1932" s="522" t="inlineStr">
        <is>
          <t>TI20230455</t>
        </is>
      </c>
      <c r="O1932" s="521">
        <f>M1932=N1932</f>
        <v/>
      </c>
      <c r="P1932" s="521">
        <f>AND(MONTH(F1932)=MONTH(S1932), YEAR(F1932)=YEAR(S1932))</f>
        <v/>
      </c>
      <c r="Q1932" s="521">
        <f>U1932="L001-901905215"</f>
        <v/>
      </c>
      <c r="R1932" s="556">
        <f>G1932-W1932</f>
        <v/>
      </c>
      <c r="S1932" s="523" t="n">
        <v>45040</v>
      </c>
      <c r="T1932" s="522" t="inlineStr">
        <is>
          <t>TI2023-0455</t>
        </is>
      </c>
      <c r="U1932" s="522" t="inlineStr">
        <is>
          <t>L001-901905215</t>
        </is>
      </c>
      <c r="V1932" s="522" t="inlineStr">
        <is>
          <t>វីអ៊ីស៊ិន (ខេមបូឌា) អ៊ិនដាសស្ទ្រី ឯ.ក</t>
        </is>
      </c>
      <c r="W1932" s="556" t="n">
        <v>210069</v>
      </c>
    </row>
    <row r="1933">
      <c r="A1933" s="521" t="n">
        <v>1925</v>
      </c>
      <c r="B1933" s="522" t="inlineStr">
        <is>
          <t>CLEARANCE AND TRUCKING FEE</t>
        </is>
      </c>
      <c r="C1933" s="522" t="inlineStr">
        <is>
          <t>56ប៊ី-លីង សឹបផ្លាយ ឆេន មេនេចម៉ិន ឯ.ក</t>
        </is>
      </c>
      <c r="D1933" s="522" t="inlineStr">
        <is>
          <t>K004-902004795</t>
        </is>
      </c>
      <c r="E1933" s="521" t="inlineStr">
        <is>
          <t>TI2023-0456</t>
        </is>
      </c>
      <c r="F1933" s="523" t="n">
        <v>45040</v>
      </c>
      <c r="G1933" s="556" t="n">
        <v>210069</v>
      </c>
      <c r="I1933" s="521">
        <f>G1933</f>
        <v/>
      </c>
      <c r="K1933" s="521">
        <f>I1933-G1933</f>
        <v/>
      </c>
      <c r="M1933" s="522" t="inlineStr">
        <is>
          <t>TI20230456</t>
        </is>
      </c>
      <c r="N1933" s="522" t="inlineStr">
        <is>
          <t>TI20230456</t>
        </is>
      </c>
      <c r="O1933" s="521">
        <f>M1933=N1933</f>
        <v/>
      </c>
      <c r="P1933" s="521">
        <f>AND(MONTH(F1933)=MONTH(S1933), YEAR(F1933)=YEAR(S1933))</f>
        <v/>
      </c>
      <c r="Q1933" s="521">
        <f>U1933="L001-901905215"</f>
        <v/>
      </c>
      <c r="R1933" s="556">
        <f>G1933-W1933</f>
        <v/>
      </c>
      <c r="S1933" s="523" t="n">
        <v>45040</v>
      </c>
      <c r="T1933" s="522" t="inlineStr">
        <is>
          <t>TI2023-0456</t>
        </is>
      </c>
      <c r="U1933" s="522" t="inlineStr">
        <is>
          <t>L001-901905215</t>
        </is>
      </c>
      <c r="V1933" s="522" t="inlineStr">
        <is>
          <t>វីអ៊ីស៊ិន (ខេមបូឌា) អ៊ិនដាសស្ទ្រី ឯ.ក</t>
        </is>
      </c>
      <c r="W1933" s="556" t="n">
        <v>210069</v>
      </c>
    </row>
    <row r="1934">
      <c r="A1934" s="521" t="n">
        <v>1926</v>
      </c>
      <c r="B1934" s="522" t="inlineStr">
        <is>
          <t>Export Administration fee, Port Formality, service Charge &amp; Extra Cut Seal</t>
        </is>
      </c>
      <c r="C1934" s="522" t="inlineStr">
        <is>
          <t>ឆាយ ដា ឡូយីស្ទីក</t>
        </is>
      </c>
      <c r="D1934" s="522" t="inlineStr">
        <is>
          <t>L001-100063098</t>
        </is>
      </c>
      <c r="E1934" s="521" t="inlineStr">
        <is>
          <t>2304003775</t>
        </is>
      </c>
      <c r="F1934" s="523" t="n">
        <v>45033</v>
      </c>
      <c r="G1934" s="556" t="n">
        <v>88980</v>
      </c>
      <c r="I1934" s="521">
        <f>G1934</f>
        <v/>
      </c>
      <c r="K1934" s="521">
        <f>I1934-G1934</f>
        <v/>
      </c>
      <c r="M1934" s="522" t="inlineStr">
        <is>
          <t>2304003775</t>
        </is>
      </c>
      <c r="N1934" s="522" t="inlineStr">
        <is>
          <t>2304003775</t>
        </is>
      </c>
      <c r="O1934" s="521">
        <f>M1934=N1934</f>
        <v/>
      </c>
      <c r="P1934" s="521">
        <f>AND(MONTH(F1934)=MONTH(S1934), YEAR(F1934)=YEAR(S1934))</f>
        <v/>
      </c>
      <c r="Q1934" s="521">
        <f>U1934="L001-901905215"</f>
        <v/>
      </c>
      <c r="R1934" s="556">
        <f>G1934-W1934</f>
        <v/>
      </c>
      <c r="S1934" s="523" t="n">
        <v>45033</v>
      </c>
      <c r="T1934" s="522" t="inlineStr">
        <is>
          <t>2304003775</t>
        </is>
      </c>
      <c r="U1934" s="522" t="inlineStr">
        <is>
          <t>L001-901905215</t>
        </is>
      </c>
      <c r="V1934" s="522" t="inlineStr">
        <is>
          <t>វីអ៊ីស៊ិន (ខេមបូឌា) អ៊ិនដាសស្ទ្រី ឯ.ក</t>
        </is>
      </c>
      <c r="W1934" s="556" t="n">
        <v>88980</v>
      </c>
    </row>
    <row r="1935">
      <c r="A1935" s="521" t="n">
        <v>1927</v>
      </c>
      <c r="B1935" s="522" t="inlineStr">
        <is>
          <t>Export Administration fee, Port Formality, service Charge</t>
        </is>
      </c>
      <c r="C1935" s="522" t="inlineStr">
        <is>
          <t>ឆាយ ដា ឡូយីស្ទីក</t>
        </is>
      </c>
      <c r="D1935" s="522" t="inlineStr">
        <is>
          <t>L001-100063098</t>
        </is>
      </c>
      <c r="E1935" s="521" t="inlineStr">
        <is>
          <t>2304003760</t>
        </is>
      </c>
      <c r="F1935" s="523" t="n">
        <v>45033</v>
      </c>
      <c r="G1935" s="556" t="n">
        <v>76791</v>
      </c>
      <c r="I1935" s="521">
        <f>G1935</f>
        <v/>
      </c>
      <c r="K1935" s="521">
        <f>I1935-G1935</f>
        <v/>
      </c>
      <c r="M1935" s="522" t="inlineStr">
        <is>
          <t>2304003760</t>
        </is>
      </c>
      <c r="N1935" s="522" t="inlineStr">
        <is>
          <t>2304003760</t>
        </is>
      </c>
      <c r="O1935" s="521">
        <f>M1935=N1935</f>
        <v/>
      </c>
      <c r="P1935" s="521">
        <f>AND(MONTH(F1935)=MONTH(S1935), YEAR(F1935)=YEAR(S1935))</f>
        <v/>
      </c>
      <c r="Q1935" s="521">
        <f>U1935="L001-901905215"</f>
        <v/>
      </c>
      <c r="R1935" s="556">
        <f>G1935-W1935</f>
        <v/>
      </c>
      <c r="S1935" s="523" t="n">
        <v>45033</v>
      </c>
      <c r="T1935" s="522" t="inlineStr">
        <is>
          <t>2304003760</t>
        </is>
      </c>
      <c r="U1935" s="522" t="inlineStr">
        <is>
          <t>L001-901905215</t>
        </is>
      </c>
      <c r="V1935" s="522" t="inlineStr">
        <is>
          <t>វីអ៊ីស៊ិន (ខេមបូឌា) អ៊ិនដាសស្ទ្រី ឯ.ក</t>
        </is>
      </c>
      <c r="W1935" s="556" t="n">
        <v>76791</v>
      </c>
    </row>
    <row r="1936">
      <c r="A1936" s="521" t="n">
        <v>1928</v>
      </c>
      <c r="B1936" s="522" t="inlineStr">
        <is>
          <t>Carbon dioxide 40L</t>
        </is>
      </c>
      <c r="C1936" s="522" t="inlineStr">
        <is>
          <t>ធីវីសីុ ហ្គាស សឹលូសិន</t>
        </is>
      </c>
      <c r="D1936" s="522" t="inlineStr">
        <is>
          <t>K005-901501105</t>
        </is>
      </c>
      <c r="E1936" s="521" t="inlineStr">
        <is>
          <t>2023-0830</t>
        </is>
      </c>
      <c r="F1936" s="523" t="n">
        <v>45046</v>
      </c>
      <c r="G1936" s="556" t="n">
        <v>296280</v>
      </c>
      <c r="I1936" s="521">
        <f>G1936</f>
        <v/>
      </c>
      <c r="K1936" s="521">
        <f>I1936-G1936</f>
        <v/>
      </c>
      <c r="M1936" s="522" t="inlineStr">
        <is>
          <t>20230830</t>
        </is>
      </c>
      <c r="N1936" s="522" t="inlineStr">
        <is>
          <t>20230830</t>
        </is>
      </c>
      <c r="O1936" s="521">
        <f>M1936=N1936</f>
        <v/>
      </c>
      <c r="P1936" s="521">
        <f>AND(MONTH(F1936)=MONTH(S1936), YEAR(F1936)=YEAR(S1936))</f>
        <v/>
      </c>
      <c r="Q1936" s="521">
        <f>U1936="L001-901905215"</f>
        <v/>
      </c>
      <c r="R1936" s="556">
        <f>G1936-W1936</f>
        <v/>
      </c>
      <c r="S1936" s="523" t="n">
        <v>45046</v>
      </c>
      <c r="T1936" s="522" t="inlineStr">
        <is>
          <t>2023-0830</t>
        </is>
      </c>
      <c r="U1936" s="522" t="inlineStr">
        <is>
          <t>L001-901905215</t>
        </is>
      </c>
      <c r="V1936" s="522" t="inlineStr">
        <is>
          <t>វីអ៊ីស៊ិន (ខេមបូឌា) អ៊ិនដាសស្ទ្រី ឯ.ក</t>
        </is>
      </c>
      <c r="W1936" s="556" t="n">
        <v>296280</v>
      </c>
    </row>
    <row r="1937">
      <c r="A1937" s="521" t="n">
        <v>1929</v>
      </c>
      <c r="B1937" s="522" t="inlineStr">
        <is>
          <t>DHL Express</t>
        </is>
      </c>
      <c r="C1937" s="522" t="inlineStr">
        <is>
          <t>ឌី អេច អិល អិចប្រេស (ខេមបូឌា)</t>
        </is>
      </c>
      <c r="D1937" s="522" t="inlineStr">
        <is>
          <t>L001-100045197</t>
        </is>
      </c>
      <c r="E1937" s="521" t="inlineStr">
        <is>
          <t>PNHIR00159383</t>
        </is>
      </c>
      <c r="F1937" s="523" t="n">
        <v>45029</v>
      </c>
      <c r="G1937" s="556" t="n">
        <v>8130</v>
      </c>
      <c r="I1937" s="521">
        <f>G1937</f>
        <v/>
      </c>
      <c r="K1937" s="521">
        <f>I1937-G1937</f>
        <v/>
      </c>
      <c r="M1937" s="522" t="inlineStr">
        <is>
          <t>PNHIR00159383</t>
        </is>
      </c>
      <c r="N1937" s="522" t="inlineStr">
        <is>
          <t>PNHIR00159383</t>
        </is>
      </c>
      <c r="O1937" s="521">
        <f>M1937=N1937</f>
        <v/>
      </c>
      <c r="P1937" s="521">
        <f>AND(MONTH(F1937)=MONTH(S1937), YEAR(F1937)=YEAR(S1937))</f>
        <v/>
      </c>
      <c r="Q1937" s="521">
        <f>U1937="L001-901905215"</f>
        <v/>
      </c>
      <c r="R1937" s="556">
        <f>G1937-W1937</f>
        <v/>
      </c>
      <c r="S1937" s="523" t="n">
        <v>45029</v>
      </c>
      <c r="T1937" s="522" t="inlineStr">
        <is>
          <t>PNHIR00159383</t>
        </is>
      </c>
      <c r="U1937" s="522" t="inlineStr">
        <is>
          <t>L001-901905215</t>
        </is>
      </c>
      <c r="V1937" s="522" t="inlineStr">
        <is>
          <t>វីអ៊ីស៊ិន (ខេមបូឌា) អ៊ិនដាសស្ទ្រី ឯ.ក</t>
        </is>
      </c>
      <c r="W1937" s="556" t="n">
        <v>8130</v>
      </c>
    </row>
    <row r="1938">
      <c r="A1938" s="521" t="n">
        <v>1930</v>
      </c>
      <c r="B1938" s="522" t="inlineStr">
        <is>
          <t>DHL Express</t>
        </is>
      </c>
      <c r="C1938" s="522" t="inlineStr">
        <is>
          <t>ឌី អេច អិល អិចប្រេស (ខេមបូឌា)</t>
        </is>
      </c>
      <c r="D1938" s="522" t="inlineStr">
        <is>
          <t>L001-100045197</t>
        </is>
      </c>
      <c r="E1938" s="521" t="inlineStr">
        <is>
          <t>PNHIR00159581</t>
        </is>
      </c>
      <c r="F1938" s="523" t="n">
        <v>45033</v>
      </c>
      <c r="G1938" s="556" t="n">
        <v>8126</v>
      </c>
      <c r="I1938" s="521">
        <f>G1938</f>
        <v/>
      </c>
      <c r="K1938" s="521">
        <f>I1938-G1938</f>
        <v/>
      </c>
      <c r="M1938" s="522" t="inlineStr">
        <is>
          <t>PNHIR00159581</t>
        </is>
      </c>
      <c r="N1938" s="522" t="inlineStr">
        <is>
          <t>PNHIR00159581</t>
        </is>
      </c>
      <c r="O1938" s="521">
        <f>M1938=N1938</f>
        <v/>
      </c>
      <c r="P1938" s="521">
        <f>AND(MONTH(F1938)=MONTH(S1938), YEAR(F1938)=YEAR(S1938))</f>
        <v/>
      </c>
      <c r="Q1938" s="521">
        <f>U1938="L001-901905215"</f>
        <v/>
      </c>
      <c r="R1938" s="556">
        <f>G1938-W1938</f>
        <v/>
      </c>
      <c r="S1938" s="523" t="n">
        <v>45033</v>
      </c>
      <c r="T1938" s="522" t="inlineStr">
        <is>
          <t>PNHIR00159581</t>
        </is>
      </c>
      <c r="U1938" s="522" t="inlineStr">
        <is>
          <t>L001-901905215</t>
        </is>
      </c>
      <c r="V1938" s="522" t="inlineStr">
        <is>
          <t>វីអ៊ីស៊ិន (ខេមបូឌា) អ៊ិនដាសស្ទ្រី ឯ.ក</t>
        </is>
      </c>
      <c r="W1938" s="556" t="n">
        <v>8126</v>
      </c>
    </row>
    <row r="1939">
      <c r="A1939" s="521" t="n">
        <v>1931</v>
      </c>
      <c r="B1939" s="522" t="inlineStr">
        <is>
          <t>DHL Express</t>
        </is>
      </c>
      <c r="C1939" s="522" t="inlineStr">
        <is>
          <t>ឌី អេច អិល អិចប្រេស (ខេមបូឌា)</t>
        </is>
      </c>
      <c r="D1939" s="522" t="inlineStr">
        <is>
          <t>L001-100045197</t>
        </is>
      </c>
      <c r="E1939" s="521" t="inlineStr">
        <is>
          <t>PNHIR000456630</t>
        </is>
      </c>
      <c r="F1939" s="523" t="n">
        <v>45029</v>
      </c>
      <c r="G1939" s="556" t="n">
        <v>47516</v>
      </c>
      <c r="I1939" s="521">
        <f>G1939</f>
        <v/>
      </c>
      <c r="K1939" s="521">
        <f>I1939-G1939</f>
        <v/>
      </c>
      <c r="M1939" s="522" t="inlineStr">
        <is>
          <t>PNHIR000456630</t>
        </is>
      </c>
      <c r="N1939" s="522" t="inlineStr"/>
      <c r="O1939" s="521">
        <f>M1939=N1939</f>
        <v/>
      </c>
      <c r="P1939" s="521">
        <f>AND(MONTH(F1939)=MONTH(S1939), YEAR(F1939)=YEAR(S1939))</f>
        <v/>
      </c>
      <c r="Q1939" s="521">
        <f>U1939="L001-901905215"</f>
        <v/>
      </c>
      <c r="R1939" s="556">
        <f>G1939-W1939</f>
        <v/>
      </c>
      <c r="S1939" s="521" t="n"/>
      <c r="T1939" s="522" t="n"/>
      <c r="U1939" s="522" t="n"/>
      <c r="V1939" s="522" t="n"/>
      <c r="W1939" s="521" t="n"/>
    </row>
    <row r="1940">
      <c r="A1940" s="521" t="n">
        <v>1932</v>
      </c>
      <c r="B1940" s="522" t="inlineStr">
        <is>
          <t>DHL Express</t>
        </is>
      </c>
      <c r="C1940" s="522" t="inlineStr">
        <is>
          <t>ឌី អេច អិល អិចប្រេស (ខេមបូឌា)</t>
        </is>
      </c>
      <c r="D1940" s="522" t="inlineStr">
        <is>
          <t>L001-100045197</t>
        </is>
      </c>
      <c r="E1940" s="521" t="inlineStr">
        <is>
          <t>PNHIR000457242</t>
        </is>
      </c>
      <c r="F1940" s="523" t="n">
        <v>45036</v>
      </c>
      <c r="G1940" s="556" t="n">
        <v>83805</v>
      </c>
      <c r="I1940" s="521">
        <f>G1940</f>
        <v/>
      </c>
      <c r="K1940" s="521">
        <f>I1940-G1940</f>
        <v/>
      </c>
      <c r="M1940" s="522" t="inlineStr">
        <is>
          <t>PNHIR000457242</t>
        </is>
      </c>
      <c r="N1940" s="522" t="inlineStr"/>
      <c r="O1940" s="521">
        <f>M1940=N1940</f>
        <v/>
      </c>
      <c r="P1940" s="521">
        <f>AND(MONTH(F1940)=MONTH(S1940), YEAR(F1940)=YEAR(S1940))</f>
        <v/>
      </c>
      <c r="Q1940" s="521">
        <f>U1940="L001-901905215"</f>
        <v/>
      </c>
      <c r="R1940" s="556">
        <f>G1940-W1940</f>
        <v/>
      </c>
      <c r="S1940" s="521" t="n"/>
      <c r="T1940" s="522" t="n"/>
      <c r="U1940" s="522" t="n"/>
      <c r="V1940" s="522" t="n"/>
      <c r="W1940" s="521" t="n"/>
    </row>
    <row r="1941">
      <c r="A1941" s="521" t="n">
        <v>1933</v>
      </c>
      <c r="B1941" s="522" t="inlineStr">
        <is>
          <t>DHL Express</t>
        </is>
      </c>
      <c r="C1941" s="522" t="inlineStr">
        <is>
          <t>ឌី អេច អិល អិចប្រេស (ខេមបូឌា)</t>
        </is>
      </c>
      <c r="D1941" s="522" t="inlineStr">
        <is>
          <t>L001-100045197</t>
        </is>
      </c>
      <c r="E1941" s="521" t="inlineStr">
        <is>
          <t>PNHIR00159803</t>
        </is>
      </c>
      <c r="F1941" s="523" t="n">
        <v>45036</v>
      </c>
      <c r="G1941" s="556" t="n">
        <v>8140</v>
      </c>
      <c r="I1941" s="521">
        <f>G1941</f>
        <v/>
      </c>
      <c r="K1941" s="521">
        <f>I1941-G1941</f>
        <v/>
      </c>
      <c r="M1941" s="522" t="inlineStr">
        <is>
          <t>PNHIR00159803</t>
        </is>
      </c>
      <c r="N1941" s="522" t="inlineStr">
        <is>
          <t>PNHIR00159803</t>
        </is>
      </c>
      <c r="O1941" s="521">
        <f>M1941=N1941</f>
        <v/>
      </c>
      <c r="P1941" s="521">
        <f>AND(MONTH(F1941)=MONTH(S1941), YEAR(F1941)=YEAR(S1941))</f>
        <v/>
      </c>
      <c r="Q1941" s="521">
        <f>U1941="L001-901905215"</f>
        <v/>
      </c>
      <c r="R1941" s="556">
        <f>G1941-W1941</f>
        <v/>
      </c>
      <c r="S1941" s="523" t="n">
        <v>45036</v>
      </c>
      <c r="T1941" s="522" t="inlineStr">
        <is>
          <t>PNHIR00159803</t>
        </is>
      </c>
      <c r="U1941" s="522" t="inlineStr">
        <is>
          <t>L001-901905215</t>
        </is>
      </c>
      <c r="V1941" s="522" t="inlineStr">
        <is>
          <t>វីអ៊ីស៊ិន (ខេមបូឌា) អ៊ិនដាសស្ទ្រី ឯ.ក</t>
        </is>
      </c>
      <c r="W1941" s="556" t="n">
        <v>8140</v>
      </c>
    </row>
    <row r="1942">
      <c r="A1942" s="521" t="n">
        <v>1934</v>
      </c>
      <c r="B1942" s="522" t="inlineStr">
        <is>
          <t>DHL Express</t>
        </is>
      </c>
      <c r="C1942" s="522" t="inlineStr">
        <is>
          <t>ឌី អេច អិល អិចប្រេស (ខេមបូឌា)</t>
        </is>
      </c>
      <c r="D1942" s="522" t="inlineStr">
        <is>
          <t>L001-100045197</t>
        </is>
      </c>
      <c r="E1942" s="521" t="inlineStr">
        <is>
          <t>PNHIR000457830</t>
        </is>
      </c>
      <c r="F1942" s="523" t="n">
        <v>45043</v>
      </c>
      <c r="G1942" s="556" t="n">
        <v>8438</v>
      </c>
      <c r="I1942" s="521">
        <f>G1942</f>
        <v/>
      </c>
      <c r="K1942" s="521">
        <f>I1942-G1942</f>
        <v/>
      </c>
      <c r="M1942" s="522" t="inlineStr">
        <is>
          <t>PNHIR000457830</t>
        </is>
      </c>
      <c r="N1942" s="522" t="inlineStr"/>
      <c r="O1942" s="521">
        <f>M1942=N1942</f>
        <v/>
      </c>
      <c r="P1942" s="521">
        <f>AND(MONTH(F1942)=MONTH(S1942), YEAR(F1942)=YEAR(S1942))</f>
        <v/>
      </c>
      <c r="Q1942" s="521">
        <f>U1942="L001-901905215"</f>
        <v/>
      </c>
      <c r="R1942" s="556">
        <f>G1942-W1942</f>
        <v/>
      </c>
      <c r="S1942" s="521" t="n"/>
      <c r="T1942" s="522" t="n"/>
      <c r="U1942" s="522" t="n"/>
      <c r="V1942" s="522" t="n"/>
      <c r="W1942" s="521" t="n"/>
    </row>
    <row r="1943">
      <c r="A1943" s="521" t="n">
        <v>1935</v>
      </c>
      <c r="B1943" s="522" t="inlineStr">
        <is>
          <t>DHL Express</t>
        </is>
      </c>
      <c r="C1943" s="522" t="inlineStr">
        <is>
          <t>ឌី អេច អិល អិចប្រេស (ខេមបូឌា)</t>
        </is>
      </c>
      <c r="D1943" s="522" t="inlineStr">
        <is>
          <t>L001-100045197</t>
        </is>
      </c>
      <c r="E1943" s="521" t="inlineStr">
        <is>
          <t>PNHIR000458374</t>
        </is>
      </c>
      <c r="F1943" s="523" t="n">
        <v>45046</v>
      </c>
      <c r="G1943" s="556" t="n">
        <v>19752</v>
      </c>
      <c r="I1943" s="521">
        <f>G1943</f>
        <v/>
      </c>
      <c r="K1943" s="521">
        <f>I1943-G1943</f>
        <v/>
      </c>
      <c r="M1943" s="522" t="inlineStr">
        <is>
          <t>PNHIR000458374</t>
        </is>
      </c>
      <c r="N1943" s="522" t="inlineStr"/>
      <c r="O1943" s="521">
        <f>M1943=N1943</f>
        <v/>
      </c>
      <c r="P1943" s="521">
        <f>AND(MONTH(F1943)=MONTH(S1943), YEAR(F1943)=YEAR(S1943))</f>
        <v/>
      </c>
      <c r="Q1943" s="521">
        <f>U1943="L001-901905215"</f>
        <v/>
      </c>
      <c r="R1943" s="556">
        <f>G1943-W1943</f>
        <v/>
      </c>
      <c r="S1943" s="521" t="n"/>
      <c r="T1943" s="522" t="n"/>
      <c r="U1943" s="522" t="n"/>
      <c r="V1943" s="522" t="n"/>
      <c r="W1943" s="521" t="n"/>
    </row>
    <row r="1944">
      <c r="A1944" s="521" t="n">
        <v>1936</v>
      </c>
      <c r="B1944" s="522" t="inlineStr">
        <is>
          <t>Security fee</t>
        </is>
      </c>
      <c r="C1944" s="522" t="inlineStr">
        <is>
          <t>អេសអេហ្វអាយ​ ស៊ីឃ្យួរឹធី ហ្វសស៍ អ៊ិនធើណេសិនណល ឯ.ក</t>
        </is>
      </c>
      <c r="D1944" s="522" t="inlineStr">
        <is>
          <t>K010-901908100</t>
        </is>
      </c>
      <c r="E1944" s="521" t="inlineStr">
        <is>
          <t>SIF2023/189</t>
        </is>
      </c>
      <c r="F1944" s="523" t="n">
        <v>45040</v>
      </c>
      <c r="G1944" s="556" t="n">
        <v>228424</v>
      </c>
      <c r="I1944" s="521">
        <f>G1944</f>
        <v/>
      </c>
      <c r="K1944" s="521">
        <f>I1944-G1944</f>
        <v/>
      </c>
      <c r="M1944" s="522" t="inlineStr">
        <is>
          <t>SIF2023189</t>
        </is>
      </c>
      <c r="N1944" s="522" t="inlineStr"/>
      <c r="O1944" s="521">
        <f>M1944=N1944</f>
        <v/>
      </c>
      <c r="P1944" s="521">
        <f>AND(MONTH(F1944)=MONTH(S1944), YEAR(F1944)=YEAR(S1944))</f>
        <v/>
      </c>
      <c r="Q1944" s="521">
        <f>U1944="L001-901905215"</f>
        <v/>
      </c>
      <c r="R1944" s="556">
        <f>G1944-W1944</f>
        <v/>
      </c>
      <c r="S1944" s="521" t="n"/>
      <c r="T1944" s="522" t="n"/>
      <c r="U1944" s="522" t="n"/>
      <c r="V1944" s="522" t="n"/>
      <c r="W1944" s="521" t="n"/>
    </row>
    <row r="1945">
      <c r="A1945" s="521" t="n">
        <v>1937</v>
      </c>
      <c r="B1945" s="522" t="inlineStr">
        <is>
          <t>HANDLING AND TRUCKING FEE</t>
        </is>
      </c>
      <c r="C1945" s="522" t="inlineStr">
        <is>
          <t>អ៊ិចស្ពែឌីធ័រ ខេមបូឌា អិលធីឌី</t>
        </is>
      </c>
      <c r="D1945" s="522" t="inlineStr">
        <is>
          <t>L001-100045898</t>
        </is>
      </c>
      <c r="E1945" s="521" t="inlineStr">
        <is>
          <t>TI-0246599</t>
        </is>
      </c>
      <c r="F1945" s="523" t="n">
        <v>45019</v>
      </c>
      <c r="G1945" s="556" t="n">
        <v>57667</v>
      </c>
      <c r="I1945" s="521">
        <f>G1945</f>
        <v/>
      </c>
      <c r="K1945" s="521">
        <f>I1945-G1945</f>
        <v/>
      </c>
      <c r="M1945" s="522" t="inlineStr">
        <is>
          <t>TI0246599</t>
        </is>
      </c>
      <c r="N1945" s="522" t="inlineStr">
        <is>
          <t>TI0246599</t>
        </is>
      </c>
      <c r="O1945" s="521">
        <f>M1945=N1945</f>
        <v/>
      </c>
      <c r="P1945" s="521">
        <f>AND(MONTH(F1945)=MONTH(S1945), YEAR(F1945)=YEAR(S1945))</f>
        <v/>
      </c>
      <c r="Q1945" s="521">
        <f>U1945="L001-901905215"</f>
        <v/>
      </c>
      <c r="R1945" s="556">
        <f>G1945-W1945</f>
        <v/>
      </c>
      <c r="S1945" s="523" t="n">
        <v>45019</v>
      </c>
      <c r="T1945" s="522" t="inlineStr">
        <is>
          <t>TI-0246599</t>
        </is>
      </c>
      <c r="U1945" s="522" t="inlineStr">
        <is>
          <t>L001-901905215</t>
        </is>
      </c>
      <c r="V1945" s="522" t="inlineStr">
        <is>
          <t>វីអ៊ីស៊ិន (ខេមបូឌា) អ៊ិនដាសស្ទ្រី ឯ.ក</t>
        </is>
      </c>
      <c r="W1945" s="556" t="n">
        <v>57660</v>
      </c>
    </row>
    <row r="1946">
      <c r="A1946" s="521" t="n">
        <v>1938</v>
      </c>
      <c r="B1946" s="522" t="inlineStr">
        <is>
          <t>Rental machine copy</t>
        </is>
      </c>
      <c r="C1946" s="522" t="inlineStr">
        <is>
          <t xml:space="preserve">អិនធីអិល តិចណូឡូជី </t>
        </is>
      </c>
      <c r="D1946" s="522" t="inlineStr">
        <is>
          <t>K005-901900283</t>
        </is>
      </c>
      <c r="E1946" s="521" t="inlineStr">
        <is>
          <t>NTL23-1593</t>
        </is>
      </c>
      <c r="F1946" s="523" t="n">
        <v>45040</v>
      </c>
      <c r="G1946" s="556" t="n">
        <v>20395</v>
      </c>
      <c r="I1946" s="521">
        <f>G1946</f>
        <v/>
      </c>
      <c r="K1946" s="521">
        <f>I1946-G1946</f>
        <v/>
      </c>
      <c r="M1946" s="522" t="inlineStr">
        <is>
          <t>NTL231593</t>
        </is>
      </c>
      <c r="N1946" s="522" t="inlineStr">
        <is>
          <t>NTL231593</t>
        </is>
      </c>
      <c r="O1946" s="521">
        <f>M1946=N1946</f>
        <v/>
      </c>
      <c r="P1946" s="521">
        <f>AND(MONTH(F1946)=MONTH(S1946), YEAR(F1946)=YEAR(S1946))</f>
        <v/>
      </c>
      <c r="Q1946" s="521">
        <f>U1946="L001-901905215"</f>
        <v/>
      </c>
      <c r="R1946" s="556">
        <f>G1946-W1946</f>
        <v/>
      </c>
      <c r="S1946" s="523" t="n">
        <v>45040</v>
      </c>
      <c r="T1946" s="522" t="inlineStr">
        <is>
          <t>NTL23-1593</t>
        </is>
      </c>
      <c r="U1946" s="522" t="inlineStr">
        <is>
          <t>L001-901905215</t>
        </is>
      </c>
      <c r="V1946" s="522" t="inlineStr">
        <is>
          <t>វីអ៊ីស៊ិន (ខេមបូឌា) អ៊ិនដាសស្ទ្រី ឯ.ក</t>
        </is>
      </c>
      <c r="W1946" s="556" t="n">
        <v>20395</v>
      </c>
    </row>
    <row r="1947">
      <c r="A1947" s="521" t="n">
        <v>1939</v>
      </c>
      <c r="B1947" s="522" t="inlineStr">
        <is>
          <t>Construction materials</t>
        </is>
      </c>
      <c r="C1947" s="522" t="inlineStr">
        <is>
          <t>រ៉ូស ផ្លាស្ទីក (ខេមបូឌា) ឯ.ក</t>
        </is>
      </c>
      <c r="D1947" s="522" t="inlineStr">
        <is>
          <t>K006-901801572</t>
        </is>
      </c>
      <c r="E1947" s="521" t="inlineStr">
        <is>
          <t>TI-000024</t>
        </is>
      </c>
      <c r="F1947" s="523" t="n">
        <v>45042</v>
      </c>
      <c r="G1947" s="556" t="n">
        <v>1842687</v>
      </c>
      <c r="I1947" s="521">
        <f>G1947</f>
        <v/>
      </c>
      <c r="K1947" s="521">
        <f>I1947-G1947</f>
        <v/>
      </c>
      <c r="M1947" s="522" t="inlineStr">
        <is>
          <t>TI000024</t>
        </is>
      </c>
      <c r="N1947" s="522" t="inlineStr">
        <is>
          <t>TI000024</t>
        </is>
      </c>
      <c r="O1947" s="521">
        <f>M1947=N1947</f>
        <v/>
      </c>
      <c r="P1947" s="521">
        <f>AND(MONTH(F1947)=MONTH(S1947), YEAR(F1947)=YEAR(S1947))</f>
        <v/>
      </c>
      <c r="Q1947" s="521">
        <f>U1947="L001-901905215"</f>
        <v/>
      </c>
      <c r="R1947" s="556">
        <f>G1947-W1947</f>
        <v/>
      </c>
      <c r="S1947" s="523" t="n">
        <v>45042</v>
      </c>
      <c r="T1947" s="522" t="inlineStr">
        <is>
          <t>TI-000024</t>
        </is>
      </c>
      <c r="U1947" s="522" t="inlineStr">
        <is>
          <t>L001-901905215</t>
        </is>
      </c>
      <c r="V1947" s="522" t="inlineStr">
        <is>
          <t>វីអ៊ីស៊ិន (ខេមបូឌា) អ៊ិនដាសស្ទ្រី ឯ.ក</t>
        </is>
      </c>
      <c r="W1947" s="556" t="n">
        <v>1842687</v>
      </c>
    </row>
    <row r="1948">
      <c r="A1948" s="521" t="n">
        <v>1940</v>
      </c>
      <c r="B1948" s="522" t="inlineStr">
        <is>
          <t>Service Fee</t>
        </is>
      </c>
      <c r="C1948" s="522" t="inlineStr">
        <is>
          <t>ប្យួរ៉ូ វេរីតាស (ខេមបូឌា) លីមីធីត</t>
        </is>
      </c>
      <c r="D1948" s="522" t="inlineStr">
        <is>
          <t>L001-107024462</t>
        </is>
      </c>
      <c r="E1948" s="521" t="inlineStr">
        <is>
          <t>59014619</t>
        </is>
      </c>
      <c r="F1948" s="523" t="n">
        <v>45023</v>
      </c>
      <c r="G1948" s="556" t="n">
        <v>54954</v>
      </c>
      <c r="I1948" s="521">
        <f>G1948</f>
        <v/>
      </c>
      <c r="K1948" s="521">
        <f>I1948-G1948</f>
        <v/>
      </c>
      <c r="M1948" s="522" t="inlineStr">
        <is>
          <t>59014619</t>
        </is>
      </c>
      <c r="N1948" s="522" t="inlineStr">
        <is>
          <t>59014619</t>
        </is>
      </c>
      <c r="O1948" s="521">
        <f>M1948=N1948</f>
        <v/>
      </c>
      <c r="P1948" s="521">
        <f>AND(MONTH(F1948)=MONTH(S1948), YEAR(F1948)=YEAR(S1948))</f>
        <v/>
      </c>
      <c r="Q1948" s="521">
        <f>U1948="L001-901905215"</f>
        <v/>
      </c>
      <c r="R1948" s="556">
        <f>G1948-W1948</f>
        <v/>
      </c>
      <c r="S1948" s="523" t="n">
        <v>45023</v>
      </c>
      <c r="T1948" s="522" t="inlineStr">
        <is>
          <t>59014619</t>
        </is>
      </c>
      <c r="U1948" s="522" t="inlineStr">
        <is>
          <t>L001-901905215</t>
        </is>
      </c>
      <c r="V1948" s="522" t="inlineStr">
        <is>
          <t>វីអ៊ីស៊ិន (ខេមបូឌា) អ៊ិនដាសស្ទ្រី ឯ.ក</t>
        </is>
      </c>
      <c r="W1948" s="556" t="n">
        <v>54954</v>
      </c>
    </row>
    <row r="1949">
      <c r="A1949" s="521" t="n">
        <v>1941</v>
      </c>
      <c r="B1949" s="522" t="inlineStr">
        <is>
          <t>Service Fee</t>
        </is>
      </c>
      <c r="C1949" s="522" t="inlineStr">
        <is>
          <t>ប្យួរ៉ូ វេរីតាស (ខេមបូឌា) លីមីធីត</t>
        </is>
      </c>
      <c r="D1949" s="522" t="inlineStr">
        <is>
          <t>L001-107024462</t>
        </is>
      </c>
      <c r="E1949" s="521" t="inlineStr">
        <is>
          <t>59014629</t>
        </is>
      </c>
      <c r="F1949" s="523" t="n">
        <v>45026</v>
      </c>
      <c r="G1949" s="556" t="n">
        <v>109985</v>
      </c>
      <c r="I1949" s="521">
        <f>G1949</f>
        <v/>
      </c>
      <c r="K1949" s="521">
        <f>I1949-G1949</f>
        <v/>
      </c>
      <c r="M1949" s="522" t="inlineStr">
        <is>
          <t>59014629</t>
        </is>
      </c>
      <c r="N1949" s="522" t="inlineStr">
        <is>
          <t>59014629</t>
        </is>
      </c>
      <c r="O1949" s="521">
        <f>M1949=N1949</f>
        <v/>
      </c>
      <c r="P1949" s="521">
        <f>AND(MONTH(F1949)=MONTH(S1949), YEAR(F1949)=YEAR(S1949))</f>
        <v/>
      </c>
      <c r="Q1949" s="521">
        <f>U1949="L001-901905215"</f>
        <v/>
      </c>
      <c r="R1949" s="556">
        <f>G1949-W1949</f>
        <v/>
      </c>
      <c r="S1949" s="523" t="n">
        <v>45026</v>
      </c>
      <c r="T1949" s="522" t="inlineStr">
        <is>
          <t>59014629</t>
        </is>
      </c>
      <c r="U1949" s="522" t="inlineStr">
        <is>
          <t>L001-901905215</t>
        </is>
      </c>
      <c r="V1949" s="522" t="inlineStr">
        <is>
          <t>វីអ៊ីស៊ិន (ខេមបូឌា) អ៊ិនដាសស្ទ្រី ឯ.ក</t>
        </is>
      </c>
      <c r="W1949" s="556" t="n">
        <v>109985</v>
      </c>
    </row>
    <row r="1950">
      <c r="A1950" s="521" t="n">
        <v>1942</v>
      </c>
      <c r="B1950" s="522" t="inlineStr">
        <is>
          <t>Service Fee</t>
        </is>
      </c>
      <c r="C1950" s="522" t="inlineStr">
        <is>
          <t>ប្យួរ៉ូ វេរីតាស (ខេមបូឌា) លីមីធីត</t>
        </is>
      </c>
      <c r="D1950" s="522" t="inlineStr">
        <is>
          <t>L001-107024462</t>
        </is>
      </c>
      <c r="E1950" s="521" t="inlineStr">
        <is>
          <t>59014651</t>
        </is>
      </c>
      <c r="F1950" s="523" t="n">
        <v>45029</v>
      </c>
      <c r="G1950" s="556" t="n">
        <v>110121</v>
      </c>
      <c r="I1950" s="521">
        <f>G1950</f>
        <v/>
      </c>
      <c r="K1950" s="521">
        <f>I1950-G1950</f>
        <v/>
      </c>
      <c r="M1950" s="522" t="inlineStr">
        <is>
          <t>59014651</t>
        </is>
      </c>
      <c r="N1950" s="522" t="inlineStr">
        <is>
          <t>59014651</t>
        </is>
      </c>
      <c r="O1950" s="521">
        <f>M1950=N1950</f>
        <v/>
      </c>
      <c r="P1950" s="521">
        <f>AND(MONTH(F1950)=MONTH(S1950), YEAR(F1950)=YEAR(S1950))</f>
        <v/>
      </c>
      <c r="Q1950" s="521">
        <f>U1950="L001-901905215"</f>
        <v/>
      </c>
      <c r="R1950" s="556">
        <f>G1950-W1950</f>
        <v/>
      </c>
      <c r="S1950" s="523" t="n">
        <v>45029</v>
      </c>
      <c r="T1950" s="522" t="inlineStr">
        <is>
          <t>59014651</t>
        </is>
      </c>
      <c r="U1950" s="522" t="inlineStr">
        <is>
          <t>L001-901905215</t>
        </is>
      </c>
      <c r="V1950" s="522" t="inlineStr">
        <is>
          <t>វីអ៊ីស៊ិន (ខេមបូឌា) អ៊ិនដាសស្ទ្រី ឯ.ក</t>
        </is>
      </c>
      <c r="W1950" s="556" t="n">
        <v>110121</v>
      </c>
    </row>
    <row r="1951">
      <c r="A1951" s="521" t="n">
        <v>1943</v>
      </c>
      <c r="B1951" s="522" t="inlineStr">
        <is>
          <t>Service Fee</t>
        </is>
      </c>
      <c r="C1951" s="522" t="inlineStr">
        <is>
          <t>ប្យួរ៉ូ វេរីតាស (ខេមបូឌា) លីមីធីត</t>
        </is>
      </c>
      <c r="D1951" s="522" t="inlineStr">
        <is>
          <t>L001-107024462</t>
        </is>
      </c>
      <c r="E1951" s="521" t="inlineStr">
        <is>
          <t>59014693</t>
        </is>
      </c>
      <c r="F1951" s="523" t="n">
        <v>45038</v>
      </c>
      <c r="G1951" s="556" t="n">
        <v>55171</v>
      </c>
      <c r="I1951" s="521">
        <f>G1951</f>
        <v/>
      </c>
      <c r="K1951" s="521">
        <f>I1951-G1951</f>
        <v/>
      </c>
      <c r="M1951" s="522" t="inlineStr">
        <is>
          <t>59014693</t>
        </is>
      </c>
      <c r="N1951" s="522" t="inlineStr">
        <is>
          <t>59014693</t>
        </is>
      </c>
      <c r="O1951" s="521">
        <f>M1951=N1951</f>
        <v/>
      </c>
      <c r="P1951" s="521">
        <f>AND(MONTH(F1951)=MONTH(S1951), YEAR(F1951)=YEAR(S1951))</f>
        <v/>
      </c>
      <c r="Q1951" s="521">
        <f>U1951="L001-901905215"</f>
        <v/>
      </c>
      <c r="R1951" s="556">
        <f>G1951-W1951</f>
        <v/>
      </c>
      <c r="S1951" s="523" t="n">
        <v>45038</v>
      </c>
      <c r="T1951" s="522" t="inlineStr">
        <is>
          <t>59014693</t>
        </is>
      </c>
      <c r="U1951" s="522" t="inlineStr">
        <is>
          <t>L001-901905215</t>
        </is>
      </c>
      <c r="V1951" s="522" t="inlineStr">
        <is>
          <t>វីអ៊ីស៊ិន (ខេមបូឌា) អ៊ិនដាសស្ទ្រី ឯ.ក</t>
        </is>
      </c>
      <c r="W1951" s="556" t="n">
        <v>55171</v>
      </c>
    </row>
    <row r="1952">
      <c r="A1952" s="521" t="n">
        <v>1944</v>
      </c>
      <c r="B1952" s="522" t="inlineStr">
        <is>
          <t>Final Random Inspection &amp; Travelling Fee</t>
        </is>
      </c>
      <c r="C1952" s="522" t="inlineStr">
        <is>
          <t>អ៊ិនធើថេក ថេសធីង សឺវីស (ខេមបូឌា) ខមភេនី លីមីធីត</t>
        </is>
      </c>
      <c r="D1952" s="522" t="inlineStr">
        <is>
          <t>L001-100045707</t>
        </is>
      </c>
      <c r="E1952" s="521" t="inlineStr">
        <is>
          <t>KHM20230003985</t>
        </is>
      </c>
      <c r="F1952" s="523" t="n">
        <v>45029</v>
      </c>
      <c r="G1952" s="556" t="n">
        <v>518287</v>
      </c>
      <c r="I1952" s="521">
        <f>G1952</f>
        <v/>
      </c>
      <c r="K1952" s="521">
        <f>I1952-G1952</f>
        <v/>
      </c>
      <c r="M1952" s="522" t="inlineStr">
        <is>
          <t>KHM20230003985</t>
        </is>
      </c>
      <c r="N1952" s="522" t="inlineStr">
        <is>
          <t>KHM20230003985</t>
        </is>
      </c>
      <c r="O1952" s="521">
        <f>M1952=N1952</f>
        <v/>
      </c>
      <c r="P1952" s="521">
        <f>AND(MONTH(F1952)=MONTH(S1952), YEAR(F1952)=YEAR(S1952))</f>
        <v/>
      </c>
      <c r="Q1952" s="521">
        <f>U1952="L001-901905215"</f>
        <v/>
      </c>
      <c r="R1952" s="556">
        <f>G1952-W1952</f>
        <v/>
      </c>
      <c r="S1952" s="523" t="n">
        <v>45029</v>
      </c>
      <c r="T1952" s="522" t="inlineStr">
        <is>
          <t>KHM20230003985</t>
        </is>
      </c>
      <c r="U1952" s="522" t="inlineStr">
        <is>
          <t>L001-901905215</t>
        </is>
      </c>
      <c r="V1952" s="522" t="inlineStr">
        <is>
          <t>វីអ៊ីស៊ិន (ខេមបូឌា) អ៊ិនដាសស្ទ្រី ឯ.ក</t>
        </is>
      </c>
      <c r="W1952" s="556" t="n">
        <v>518288</v>
      </c>
    </row>
    <row r="1953">
      <c r="A1953" s="521" t="n">
        <v>1945</v>
      </c>
      <c r="B1953" s="522" t="inlineStr">
        <is>
          <t>DHL Express</t>
        </is>
      </c>
      <c r="C1953" s="522" t="inlineStr">
        <is>
          <t>ឌី អេច អិល អិចប្រេស (ខេមបូឌា)</t>
        </is>
      </c>
      <c r="D1953" s="522" t="inlineStr">
        <is>
          <t>L001-100045197</t>
        </is>
      </c>
      <c r="E1953" s="521" t="inlineStr">
        <is>
          <t>PNHIR00159195</t>
        </is>
      </c>
      <c r="F1953" s="523" t="n">
        <v>45026</v>
      </c>
      <c r="G1953" s="556" t="n">
        <v>8120</v>
      </c>
      <c r="I1953" s="521">
        <f>G1953</f>
        <v/>
      </c>
      <c r="K1953" s="521">
        <f>I1953-G1953</f>
        <v/>
      </c>
      <c r="M1953" s="522" t="inlineStr">
        <is>
          <t>PNHIR00159195</t>
        </is>
      </c>
      <c r="N1953" s="522" t="inlineStr">
        <is>
          <t>PNHIR00159195</t>
        </is>
      </c>
      <c r="O1953" s="521">
        <f>M1953=N1953</f>
        <v/>
      </c>
      <c r="P1953" s="521">
        <f>AND(MONTH(F1953)=MONTH(S1953), YEAR(F1953)=YEAR(S1953))</f>
        <v/>
      </c>
      <c r="Q1953" s="521">
        <f>U1953="L001-901905215"</f>
        <v/>
      </c>
      <c r="R1953" s="556">
        <f>G1953-W1953</f>
        <v/>
      </c>
      <c r="S1953" s="523" t="n">
        <v>45026</v>
      </c>
      <c r="T1953" s="522" t="inlineStr">
        <is>
          <t>PNHIR00159195</t>
        </is>
      </c>
      <c r="U1953" s="522" t="inlineStr">
        <is>
          <t>L001-901905215</t>
        </is>
      </c>
      <c r="V1953" s="522" t="inlineStr">
        <is>
          <t>វីអ៊ីស៊ិន (ខេមបូឌា) អ៊ិនដាសស្ទ្រី ឯ.ក</t>
        </is>
      </c>
      <c r="W1953" s="556" t="n">
        <v>8120</v>
      </c>
    </row>
    <row r="1954">
      <c r="A1954" s="521" t="n">
        <v>1946</v>
      </c>
      <c r="B1954" s="522" t="inlineStr">
        <is>
          <t>DHL Express</t>
        </is>
      </c>
      <c r="C1954" s="522" t="inlineStr">
        <is>
          <t>ឌី អេច អិល អិចប្រេស (ខេមបូឌា)</t>
        </is>
      </c>
      <c r="D1954" s="522" t="inlineStr">
        <is>
          <t>L001-100045197</t>
        </is>
      </c>
      <c r="E1954" s="521" t="inlineStr">
        <is>
          <t>PNHIR000455997</t>
        </is>
      </c>
      <c r="F1954" s="523" t="n">
        <v>45022</v>
      </c>
      <c r="G1954" s="556" t="n">
        <v>29298</v>
      </c>
      <c r="I1954" s="521">
        <f>G1954</f>
        <v/>
      </c>
      <c r="K1954" s="521">
        <f>I1954-G1954</f>
        <v/>
      </c>
      <c r="M1954" s="522" t="inlineStr">
        <is>
          <t>PNHIR000455997</t>
        </is>
      </c>
      <c r="N1954" s="522" t="inlineStr"/>
      <c r="O1954" s="521">
        <f>M1954=N1954</f>
        <v/>
      </c>
      <c r="P1954" s="521">
        <f>AND(MONTH(F1954)=MONTH(S1954), YEAR(F1954)=YEAR(S1954))</f>
        <v/>
      </c>
      <c r="Q1954" s="521">
        <f>U1954="L001-901905215"</f>
        <v/>
      </c>
      <c r="R1954" s="556">
        <f>G1954-W1954</f>
        <v/>
      </c>
      <c r="S1954" s="521" t="n"/>
      <c r="T1954" s="522" t="n"/>
      <c r="U1954" s="522" t="n"/>
      <c r="V1954" s="522" t="n"/>
      <c r="W1954" s="521" t="n"/>
    </row>
    <row r="1955">
      <c r="A1955" s="521" t="n">
        <v>1947</v>
      </c>
      <c r="B1955" s="522" t="inlineStr">
        <is>
          <t>DHL Express</t>
        </is>
      </c>
      <c r="C1955" s="522" t="inlineStr">
        <is>
          <t>ឌី អេច អិល អិចប្រេស (ខេមបូឌា)</t>
        </is>
      </c>
      <c r="D1955" s="522" t="inlineStr">
        <is>
          <t>L001-100045197</t>
        </is>
      </c>
      <c r="E1955" s="521" t="inlineStr">
        <is>
          <t>PNHIR00158743</t>
        </is>
      </c>
      <c r="F1955" s="523" t="n">
        <v>45019</v>
      </c>
      <c r="G1955" s="556" t="n">
        <v>8104</v>
      </c>
      <c r="I1955" s="521">
        <f>G1955</f>
        <v/>
      </c>
      <c r="K1955" s="521">
        <f>I1955-G1955</f>
        <v/>
      </c>
      <c r="M1955" s="522" t="inlineStr">
        <is>
          <t>PNHIR00158743</t>
        </is>
      </c>
      <c r="N1955" s="522" t="inlineStr">
        <is>
          <t>PNHIR00158743</t>
        </is>
      </c>
      <c r="O1955" s="521">
        <f>M1955=N1955</f>
        <v/>
      </c>
      <c r="P1955" s="521">
        <f>AND(MONTH(F1955)=MONTH(S1955), YEAR(F1955)=YEAR(S1955))</f>
        <v/>
      </c>
      <c r="Q1955" s="521">
        <f>U1955="L001-901905215"</f>
        <v/>
      </c>
      <c r="R1955" s="556">
        <f>G1955-W1955</f>
        <v/>
      </c>
      <c r="S1955" s="523" t="n">
        <v>45019</v>
      </c>
      <c r="T1955" s="522" t="inlineStr">
        <is>
          <t>PNHIR00158743</t>
        </is>
      </c>
      <c r="U1955" s="522" t="inlineStr">
        <is>
          <t>L001-901905215</t>
        </is>
      </c>
      <c r="V1955" s="522" t="inlineStr">
        <is>
          <t>វីអ៊ីស៊ិន (ខេមបូឌា) អ៊ិនដាសស្ទ្រី ឯ.ក</t>
        </is>
      </c>
      <c r="W1955" s="556" t="n">
        <v>8104</v>
      </c>
    </row>
    <row r="1956">
      <c r="A1956" s="521" t="n">
        <v>1948</v>
      </c>
      <c r="B1956" s="522" t="inlineStr">
        <is>
          <t>Infrastructure Maintenance fee for April 2023</t>
        </is>
      </c>
      <c r="C1956" s="522" t="inlineStr">
        <is>
          <t>ភ្នំពេញ អេសអ៊ីហ្សិត ភីអិលស៊ី</t>
        </is>
      </c>
      <c r="D1956" s="522" t="inlineStr">
        <is>
          <t>L001-100046592</t>
        </is>
      </c>
      <c r="E1956" s="521" t="inlineStr">
        <is>
          <t>2023-01845</t>
        </is>
      </c>
      <c r="F1956" s="523" t="n">
        <v>45034</v>
      </c>
      <c r="G1956" s="556" t="n">
        <v>164503</v>
      </c>
      <c r="I1956" s="521">
        <f>G1956</f>
        <v/>
      </c>
      <c r="K1956" s="521">
        <f>I1956-G1956</f>
        <v/>
      </c>
      <c r="M1956" s="522" t="inlineStr">
        <is>
          <t>202301845</t>
        </is>
      </c>
      <c r="N1956" s="522" t="inlineStr">
        <is>
          <t>202301845</t>
        </is>
      </c>
      <c r="O1956" s="521">
        <f>M1956=N1956</f>
        <v/>
      </c>
      <c r="P1956" s="521">
        <f>AND(MONTH(F1956)=MONTH(S1956), YEAR(F1956)=YEAR(S1956))</f>
        <v/>
      </c>
      <c r="Q1956" s="521">
        <f>U1956="L001-901905215"</f>
        <v/>
      </c>
      <c r="R1956" s="556">
        <f>G1956-W1956</f>
        <v/>
      </c>
      <c r="S1956" s="523" t="n">
        <v>45034</v>
      </c>
      <c r="T1956" s="522" t="inlineStr">
        <is>
          <t>2023-01845</t>
        </is>
      </c>
      <c r="U1956" s="522" t="inlineStr">
        <is>
          <t>L001-901905215</t>
        </is>
      </c>
      <c r="V1956" s="522" t="inlineStr">
        <is>
          <t>វីអ៊ីស៊ិន (ខេមបូឌា) អ៊ិនដាសស្ទ្រី ឯ.ក</t>
        </is>
      </c>
      <c r="W1956" s="556" t="n">
        <v>164503</v>
      </c>
    </row>
    <row r="1957">
      <c r="A1957" s="521" t="n">
        <v>1949</v>
      </c>
      <c r="B1957" s="522" t="inlineStr">
        <is>
          <t>CY THC,DOCUMENT CHARGE,SEAL FEE, AMS FEE, HANDLING CHARGE AND OBL SURRENDER</t>
        </is>
      </c>
      <c r="C1957" s="522" t="inlineStr">
        <is>
          <t>ហេកធ័រ ត្រេនស្ព័រថេសិន (ខេមបូឌា) ឯ.ក</t>
        </is>
      </c>
      <c r="D1957" s="522" t="inlineStr">
        <is>
          <t>K002-901900264</t>
        </is>
      </c>
      <c r="E1957" s="521" t="inlineStr">
        <is>
          <t>23000600</t>
        </is>
      </c>
      <c r="F1957" s="523" t="n">
        <v>45020</v>
      </c>
      <c r="G1957" s="556" t="n">
        <v>168075</v>
      </c>
      <c r="I1957" s="521">
        <f>G1957</f>
        <v/>
      </c>
      <c r="K1957" s="521">
        <f>I1957-G1957</f>
        <v/>
      </c>
      <c r="M1957" s="522" t="inlineStr">
        <is>
          <t>23000600</t>
        </is>
      </c>
      <c r="N1957" s="522" t="inlineStr">
        <is>
          <t>23000600</t>
        </is>
      </c>
      <c r="O1957" s="521">
        <f>M1957=N1957</f>
        <v/>
      </c>
      <c r="P1957" s="521">
        <f>AND(MONTH(F1957)=MONTH(S1957), YEAR(F1957)=YEAR(S1957))</f>
        <v/>
      </c>
      <c r="Q1957" s="521">
        <f>U1957="L001-901905215"</f>
        <v/>
      </c>
      <c r="R1957" s="556">
        <f>G1957-W1957</f>
        <v/>
      </c>
      <c r="S1957" s="523" t="n">
        <v>45020</v>
      </c>
      <c r="T1957" s="522" t="inlineStr">
        <is>
          <t>23000600</t>
        </is>
      </c>
      <c r="U1957" s="522" t="inlineStr">
        <is>
          <t>L001-901905215</t>
        </is>
      </c>
      <c r="V1957" s="522" t="inlineStr">
        <is>
          <t>វីអ៊ីស៊ិន (ខេមបូឌា) អ៊ិនដាសស្ទ្រី ឯ.ក</t>
        </is>
      </c>
      <c r="W1957" s="556" t="n">
        <v>170773</v>
      </c>
    </row>
    <row r="1958">
      <c r="A1958" s="521" t="n">
        <v>1950</v>
      </c>
      <c r="B1958" s="522" t="inlineStr">
        <is>
          <t>IMPORT FEE CHARGE</t>
        </is>
      </c>
      <c r="C1958" s="522" t="inlineStr">
        <is>
          <t>យូសេន ឡូជីស្ទីក (ខេមបូឌា) ខូ អិលធីឌី</t>
        </is>
      </c>
      <c r="D1958" s="522" t="inlineStr">
        <is>
          <t>L001-104015799</t>
        </is>
      </c>
      <c r="E1958" s="521" t="inlineStr">
        <is>
          <t>PNHTI0048094</t>
        </is>
      </c>
      <c r="F1958" s="523" t="n">
        <v>45044</v>
      </c>
      <c r="G1958" s="556" t="n">
        <v>1211606</v>
      </c>
      <c r="I1958" s="521">
        <f>G1958</f>
        <v/>
      </c>
      <c r="K1958" s="521">
        <f>I1958-G1958</f>
        <v/>
      </c>
      <c r="M1958" s="522" t="inlineStr">
        <is>
          <t>PNHTI0048094</t>
        </is>
      </c>
      <c r="N1958" s="522" t="inlineStr">
        <is>
          <t>PNHTI0048094</t>
        </is>
      </c>
      <c r="O1958" s="521">
        <f>M1958=N1958</f>
        <v/>
      </c>
      <c r="P1958" s="521">
        <f>AND(MONTH(F1958)=MONTH(S1958), YEAR(F1958)=YEAR(S1958))</f>
        <v/>
      </c>
      <c r="Q1958" s="521">
        <f>U1958="L001-901905215"</f>
        <v/>
      </c>
      <c r="R1958" s="556">
        <f>G1958-W1958</f>
        <v/>
      </c>
      <c r="S1958" s="523" t="n">
        <v>45044</v>
      </c>
      <c r="T1958" s="522" t="inlineStr">
        <is>
          <t>PNHTI0048094</t>
        </is>
      </c>
      <c r="U1958" s="522" t="inlineStr">
        <is>
          <t>L001-901905215</t>
        </is>
      </c>
      <c r="V1958" s="522" t="inlineStr">
        <is>
          <t>វីអ៊ីស៊ិន (ខេមបូឌា) អ៊ិនដាសស្ទ្រី ឯ.ក</t>
        </is>
      </c>
      <c r="W1958" s="556" t="n">
        <v>1211606</v>
      </c>
    </row>
    <row r="1959">
      <c r="A1959" s="521" t="n">
        <v>1951</v>
      </c>
      <c r="B1959" s="522" t="inlineStr">
        <is>
          <t>IMPORT FEE CHARGE</t>
        </is>
      </c>
      <c r="C1959" s="522" t="inlineStr">
        <is>
          <t>យូសេន ឡូជីស្ទីក (ខេមបូឌា) ខូ អិលធីឌី</t>
        </is>
      </c>
      <c r="D1959" s="522" t="inlineStr">
        <is>
          <t>L001-104015799</t>
        </is>
      </c>
      <c r="E1959" s="521" t="inlineStr">
        <is>
          <t>PNHTI0048095</t>
        </is>
      </c>
      <c r="F1959" s="523" t="n">
        <v>45044</v>
      </c>
      <c r="G1959" s="556" t="n">
        <v>154313</v>
      </c>
      <c r="I1959" s="521">
        <f>G1959</f>
        <v/>
      </c>
      <c r="K1959" s="521">
        <f>I1959-G1959</f>
        <v/>
      </c>
      <c r="M1959" s="522" t="inlineStr">
        <is>
          <t>PNHTI0048095</t>
        </is>
      </c>
      <c r="N1959" s="522" t="inlineStr">
        <is>
          <t>PNHTI0048095</t>
        </is>
      </c>
      <c r="O1959" s="521">
        <f>M1959=N1959</f>
        <v/>
      </c>
      <c r="P1959" s="521">
        <f>AND(MONTH(F1959)=MONTH(S1959), YEAR(F1959)=YEAR(S1959))</f>
        <v/>
      </c>
      <c r="Q1959" s="521">
        <f>U1959="L001-901905215"</f>
        <v/>
      </c>
      <c r="R1959" s="556">
        <f>G1959-W1959</f>
        <v/>
      </c>
      <c r="S1959" s="523" t="n">
        <v>45044</v>
      </c>
      <c r="T1959" s="522" t="inlineStr">
        <is>
          <t>PNHTI0048095</t>
        </is>
      </c>
      <c r="U1959" s="522" t="inlineStr">
        <is>
          <t>L001-901905215</t>
        </is>
      </c>
      <c r="V1959" s="522" t="inlineStr">
        <is>
          <t>វីអ៊ីស៊ិន (ខេមបូឌា) អ៊ិនដាសស្ទ្រី ឯ.ក</t>
        </is>
      </c>
      <c r="W1959" s="556" t="n">
        <v>154313</v>
      </c>
    </row>
    <row r="1960">
      <c r="A1960" s="521" t="n">
        <v>1952</v>
      </c>
      <c r="B1960" s="522" t="inlineStr">
        <is>
          <t>IMPORT FEE CHARGE</t>
        </is>
      </c>
      <c r="C1960" s="522" t="inlineStr">
        <is>
          <t>យូសេន ឡូជីស្ទីក (ខេមបូឌា) ខូ អិលធីឌី</t>
        </is>
      </c>
      <c r="D1960" s="522" t="inlineStr">
        <is>
          <t>L001-104015799</t>
        </is>
      </c>
      <c r="E1960" s="521" t="inlineStr">
        <is>
          <t>PNHTI0048097</t>
        </is>
      </c>
      <c r="F1960" s="523" t="n">
        <v>45044</v>
      </c>
      <c r="G1960" s="556" t="n">
        <v>296280</v>
      </c>
      <c r="I1960" s="521">
        <f>G1960</f>
        <v/>
      </c>
      <c r="K1960" s="521">
        <f>I1960-G1960</f>
        <v/>
      </c>
      <c r="M1960" s="522" t="inlineStr">
        <is>
          <t>PNHTI0048097</t>
        </is>
      </c>
      <c r="N1960" s="522" t="inlineStr">
        <is>
          <t>PNHTI0048097</t>
        </is>
      </c>
      <c r="O1960" s="521">
        <f>M1960=N1960</f>
        <v/>
      </c>
      <c r="P1960" s="521">
        <f>AND(MONTH(F1960)=MONTH(S1960), YEAR(F1960)=YEAR(S1960))</f>
        <v/>
      </c>
      <c r="Q1960" s="521">
        <f>U1960="L001-901905215"</f>
        <v/>
      </c>
      <c r="R1960" s="556">
        <f>G1960-W1960</f>
        <v/>
      </c>
      <c r="S1960" s="523" t="n">
        <v>45044</v>
      </c>
      <c r="T1960" s="522" t="inlineStr">
        <is>
          <t>PNHTI0048097</t>
        </is>
      </c>
      <c r="U1960" s="522" t="inlineStr">
        <is>
          <t>L001-901905215</t>
        </is>
      </c>
      <c r="V1960" s="522" t="inlineStr">
        <is>
          <t>វីអ៊ីស៊ិន (ខេមបូឌា) អ៊ិនដាសស្ទ្រី ឯ.ក</t>
        </is>
      </c>
      <c r="W1960" s="556" t="n">
        <v>296280</v>
      </c>
    </row>
    <row r="1961">
      <c r="A1961" s="521" t="n">
        <v>1953</v>
      </c>
      <c r="B1961" s="522" t="inlineStr">
        <is>
          <t>CLEARANCE IMPORT 40',TRUCKING IMPORT 40' AND HANDLING FEE</t>
        </is>
      </c>
      <c r="C1961" s="522" t="inlineStr">
        <is>
          <t>ហាវតាយ អ៊ិនធើណេសិនណល ឡូជីស្ទីក ឯ.ក</t>
        </is>
      </c>
      <c r="D1961" s="522" t="inlineStr">
        <is>
          <t>K007-902202863</t>
        </is>
      </c>
      <c r="E1961" s="521" t="inlineStr">
        <is>
          <t>HT230049</t>
        </is>
      </c>
      <c r="F1961" s="523" t="n">
        <v>45044</v>
      </c>
      <c r="G1961" s="556" t="n">
        <v>251015</v>
      </c>
      <c r="I1961" s="521">
        <f>G1961</f>
        <v/>
      </c>
      <c r="K1961" s="521">
        <f>I1961-G1961</f>
        <v/>
      </c>
      <c r="M1961" s="522" t="inlineStr">
        <is>
          <t>HT230049</t>
        </is>
      </c>
      <c r="N1961" s="522" t="inlineStr">
        <is>
          <t>HT230049</t>
        </is>
      </c>
      <c r="O1961" s="521">
        <f>M1961=N1961</f>
        <v/>
      </c>
      <c r="P1961" s="521">
        <f>AND(MONTH(F1961)=MONTH(S1961), YEAR(F1961)=YEAR(S1961))</f>
        <v/>
      </c>
      <c r="Q1961" s="521">
        <f>U1961="L001-901905215"</f>
        <v/>
      </c>
      <c r="R1961" s="556">
        <f>G1961-W1961</f>
        <v/>
      </c>
      <c r="S1961" s="523" t="n">
        <v>45044</v>
      </c>
      <c r="T1961" s="522" t="inlineStr">
        <is>
          <t>HT230049</t>
        </is>
      </c>
      <c r="U1961" s="522" t="inlineStr">
        <is>
          <t>L001-901905215</t>
        </is>
      </c>
      <c r="V1961" s="522" t="inlineStr">
        <is>
          <t>វីអ៊ីស៊ិន (ខេមបូឌា) អ៊ិនដាសស្ទ្រី ឯ.ក</t>
        </is>
      </c>
      <c r="W1961" s="556" t="n">
        <v>251015</v>
      </c>
    </row>
    <row r="1962">
      <c r="A1962" s="521" t="n">
        <v>1954</v>
      </c>
      <c r="B1962" s="522" t="inlineStr">
        <is>
          <t>LIFT ON AND LIFT OFF</t>
        </is>
      </c>
      <c r="C1962" s="522" t="inlineStr">
        <is>
          <t>កំពង់ផែស្វយ័តក្រុងព្រះសីហនុ</t>
        </is>
      </c>
      <c r="D1962" s="522" t="inlineStr">
        <is>
          <t>L001-100044638</t>
        </is>
      </c>
      <c r="E1962" s="521" t="inlineStr">
        <is>
          <t>052876</t>
        </is>
      </c>
      <c r="F1962" s="523" t="n">
        <v>45026</v>
      </c>
      <c r="G1962" s="556" t="n">
        <v>35322</v>
      </c>
      <c r="I1962" s="521">
        <f>G1962</f>
        <v/>
      </c>
      <c r="K1962" s="521">
        <f>I1962-G1962</f>
        <v/>
      </c>
      <c r="M1962" s="522" t="inlineStr">
        <is>
          <t>052876</t>
        </is>
      </c>
      <c r="N1962" s="522" t="inlineStr"/>
      <c r="O1962" s="521">
        <f>M1962=N1962</f>
        <v/>
      </c>
      <c r="P1962" s="521">
        <f>AND(MONTH(F1962)=MONTH(S1962), YEAR(F1962)=YEAR(S1962))</f>
        <v/>
      </c>
      <c r="Q1962" s="521">
        <f>U1962="L001-901905215"</f>
        <v/>
      </c>
      <c r="R1962" s="556">
        <f>G1962-W1962</f>
        <v/>
      </c>
      <c r="S1962" s="521" t="n"/>
      <c r="T1962" s="522" t="n"/>
      <c r="U1962" s="522" t="n"/>
      <c r="V1962" s="522" t="n"/>
      <c r="W1962" s="521" t="n"/>
    </row>
    <row r="1963">
      <c r="A1963" s="521" t="n">
        <v>1955</v>
      </c>
      <c r="B1963" s="522" t="inlineStr">
        <is>
          <t>EIB,EMF,KHCIC,KHDOC AND KHTHC</t>
        </is>
      </c>
      <c r="C1963" s="522" t="inlineStr">
        <is>
          <t>អេសអាយធីស៊ី ខិនថេនើរ ឡាញ (ខេមបូឌា)</t>
        </is>
      </c>
      <c r="D1963" s="522" t="inlineStr">
        <is>
          <t>L001-107035863</t>
        </is>
      </c>
      <c r="E1963" s="521" t="inlineStr">
        <is>
          <t>SITC2023-007609</t>
        </is>
      </c>
      <c r="F1963" s="523" t="n">
        <v>45021</v>
      </c>
      <c r="G1963" s="556" t="n">
        <v>224775</v>
      </c>
      <c r="I1963" s="521">
        <f>G1963</f>
        <v/>
      </c>
      <c r="K1963" s="521">
        <f>I1963-G1963</f>
        <v/>
      </c>
      <c r="M1963" s="522" t="inlineStr">
        <is>
          <t>SITC2023007609</t>
        </is>
      </c>
      <c r="N1963" s="522" t="inlineStr">
        <is>
          <t>SITC2023007609</t>
        </is>
      </c>
      <c r="O1963" s="521">
        <f>M1963=N1963</f>
        <v/>
      </c>
      <c r="P1963" s="521">
        <f>AND(MONTH(F1963)=MONTH(S1963), YEAR(F1963)=YEAR(S1963))</f>
        <v/>
      </c>
      <c r="Q1963" s="521">
        <f>U1963="L001-901905215"</f>
        <v/>
      </c>
      <c r="R1963" s="556">
        <f>G1963-W1963</f>
        <v/>
      </c>
      <c r="S1963" s="523" t="n">
        <v>45021</v>
      </c>
      <c r="T1963" s="522" t="inlineStr">
        <is>
          <t>SITC2023-007609</t>
        </is>
      </c>
      <c r="U1963" s="522" t="inlineStr">
        <is>
          <t>L001-901905215</t>
        </is>
      </c>
      <c r="V1963" s="522" t="inlineStr">
        <is>
          <t>វីអ៊ីស៊ិន (ខេមបូឌា) អ៊ិនដាសស្ទ្រី ឯ.ក</t>
        </is>
      </c>
      <c r="W1963" s="556" t="n">
        <v>224942</v>
      </c>
    </row>
    <row r="1964">
      <c r="A1964" s="521" t="n">
        <v>1956</v>
      </c>
      <c r="B1964" s="522" t="inlineStr">
        <is>
          <t>CLEARANCE IMPORT 20',TRUCKING IMPORT 20' AND HANDLING FEE</t>
        </is>
      </c>
      <c r="C1964" s="522" t="inlineStr">
        <is>
          <t>ហាវតាយ អ៊ិនធើណេសិនណល ឡូជីស្ទីក ឯ.ក</t>
        </is>
      </c>
      <c r="D1964" s="522" t="inlineStr">
        <is>
          <t>K007-902202863</t>
        </is>
      </c>
      <c r="E1964" s="521" t="inlineStr">
        <is>
          <t>HT230050</t>
        </is>
      </c>
      <c r="F1964" s="523" t="n">
        <v>45044</v>
      </c>
      <c r="G1964" s="556" t="n">
        <v>242785</v>
      </c>
      <c r="I1964" s="521">
        <f>G1964</f>
        <v/>
      </c>
      <c r="K1964" s="521">
        <f>I1964-G1964</f>
        <v/>
      </c>
      <c r="M1964" s="522" t="inlineStr">
        <is>
          <t>HT230050</t>
        </is>
      </c>
      <c r="N1964" s="522" t="inlineStr">
        <is>
          <t>HT230050</t>
        </is>
      </c>
      <c r="O1964" s="521">
        <f>M1964=N1964</f>
        <v/>
      </c>
      <c r="P1964" s="521">
        <f>AND(MONTH(F1964)=MONTH(S1964), YEAR(F1964)=YEAR(S1964))</f>
        <v/>
      </c>
      <c r="Q1964" s="521">
        <f>U1964="L001-901905215"</f>
        <v/>
      </c>
      <c r="R1964" s="556">
        <f>G1964-W1964</f>
        <v/>
      </c>
      <c r="S1964" s="523" t="n">
        <v>45044</v>
      </c>
      <c r="T1964" s="522" t="inlineStr">
        <is>
          <t>HT230050</t>
        </is>
      </c>
      <c r="U1964" s="522" t="inlineStr">
        <is>
          <t>L001-901905215</t>
        </is>
      </c>
      <c r="V1964" s="522" t="inlineStr">
        <is>
          <t>វីអ៊ីស៊ិន (ខេមបូឌា) អ៊ិនដាសស្ទ្រី ឯ.ក</t>
        </is>
      </c>
      <c r="W1964" s="556" t="n">
        <v>242785</v>
      </c>
    </row>
    <row r="1965">
      <c r="A1965" s="521" t="n">
        <v>1957</v>
      </c>
      <c r="B1965" s="522" t="inlineStr">
        <is>
          <t>LIFT ON AND LIFT OFF</t>
        </is>
      </c>
      <c r="C1965" s="522" t="inlineStr">
        <is>
          <t>កំពង់ផែស្វយ័តក្រុងព្រះសីហនុ</t>
        </is>
      </c>
      <c r="D1965" s="522" t="inlineStr">
        <is>
          <t>L001-100044638</t>
        </is>
      </c>
      <c r="E1965" s="521" t="inlineStr">
        <is>
          <t>048965</t>
        </is>
      </c>
      <c r="F1965" s="523" t="n">
        <v>45021</v>
      </c>
      <c r="G1965" s="556" t="n">
        <v>23102</v>
      </c>
      <c r="I1965" s="521">
        <f>G1965</f>
        <v/>
      </c>
      <c r="K1965" s="521">
        <f>I1965-G1965</f>
        <v/>
      </c>
      <c r="M1965" s="522" t="inlineStr">
        <is>
          <t>048965</t>
        </is>
      </c>
      <c r="N1965" s="522" t="inlineStr"/>
      <c r="O1965" s="521">
        <f>M1965=N1965</f>
        <v/>
      </c>
      <c r="P1965" s="521">
        <f>AND(MONTH(F1965)=MONTH(S1965), YEAR(F1965)=YEAR(S1965))</f>
        <v/>
      </c>
      <c r="Q1965" s="521">
        <f>U1965="L001-901905215"</f>
        <v/>
      </c>
      <c r="R1965" s="556">
        <f>G1965-W1965</f>
        <v/>
      </c>
      <c r="S1965" s="521" t="n"/>
      <c r="T1965" s="522" t="n"/>
      <c r="U1965" s="522" t="n"/>
      <c r="V1965" s="522" t="n"/>
      <c r="W1965" s="521" t="n"/>
    </row>
    <row r="1966">
      <c r="A1966" s="521" t="n">
        <v>1958</v>
      </c>
      <c r="B1966" s="522" t="inlineStr">
        <is>
          <t>EIB,EMF,KHCIC,KHDOC AND KHTHC</t>
        </is>
      </c>
      <c r="C1966" s="522" t="inlineStr">
        <is>
          <t>អេសអាយធីស៊ី ខិនថេនើរ ឡាញ (ខេមបូឌា)</t>
        </is>
      </c>
      <c r="D1966" s="522" t="inlineStr">
        <is>
          <t>L001-107035863</t>
        </is>
      </c>
      <c r="E1966" s="521" t="inlineStr">
        <is>
          <t>SITC2023-007253</t>
        </is>
      </c>
      <c r="F1966" s="523" t="n">
        <v>45017</v>
      </c>
      <c r="G1966" s="556" t="n">
        <v>139863</v>
      </c>
      <c r="I1966" s="521">
        <f>G1966</f>
        <v/>
      </c>
      <c r="K1966" s="521">
        <f>I1966-G1966</f>
        <v/>
      </c>
      <c r="M1966" s="522" t="inlineStr">
        <is>
          <t>SITC2023007253</t>
        </is>
      </c>
      <c r="N1966" s="522" t="inlineStr">
        <is>
          <t>SITC2023007253</t>
        </is>
      </c>
      <c r="O1966" s="521">
        <f>M1966=N1966</f>
        <v/>
      </c>
      <c r="P1966" s="521">
        <f>AND(MONTH(F1966)=MONTH(S1966), YEAR(F1966)=YEAR(S1966))</f>
        <v/>
      </c>
      <c r="Q1966" s="521">
        <f>U1966="L001-901905215"</f>
        <v/>
      </c>
      <c r="R1966" s="556">
        <f>G1966-W1966</f>
        <v/>
      </c>
      <c r="S1966" s="523" t="n">
        <v>45017</v>
      </c>
      <c r="T1966" s="522" t="inlineStr">
        <is>
          <t>SITC2023-007253</t>
        </is>
      </c>
      <c r="U1966" s="522" t="inlineStr">
        <is>
          <t>L001-901905215</t>
        </is>
      </c>
      <c r="V1966" s="522" t="inlineStr">
        <is>
          <t>វីអ៊ីស៊ិន (ខេមបូឌា) អ៊ិនដាសស្ទ្រី ឯ.ក</t>
        </is>
      </c>
      <c r="W1966" s="556" t="n">
        <v>139863</v>
      </c>
    </row>
    <row r="1967">
      <c r="A1967" s="521" t="n">
        <v>1959</v>
      </c>
      <c r="B1967" s="522" t="inlineStr">
        <is>
          <t>CLEARANCE IMPORT 20',TRUCKING IMPORT 20' AND HANDLING FEE</t>
        </is>
      </c>
      <c r="C1967" s="522" t="inlineStr">
        <is>
          <t>ហាវតាយ អ៊ិនធើណេសិនណល ឡូជីស្ទីក ឯ.ក</t>
        </is>
      </c>
      <c r="D1967" s="522" t="inlineStr">
        <is>
          <t>K007-902202863</t>
        </is>
      </c>
      <c r="E1967" s="521" t="inlineStr">
        <is>
          <t>HT230057</t>
        </is>
      </c>
      <c r="F1967" s="523" t="n">
        <v>45044</v>
      </c>
      <c r="G1967" s="556" t="n">
        <v>242785</v>
      </c>
      <c r="I1967" s="521">
        <f>G1967</f>
        <v/>
      </c>
      <c r="K1967" s="521">
        <f>I1967-G1967</f>
        <v/>
      </c>
      <c r="M1967" s="522" t="inlineStr">
        <is>
          <t>HT230057</t>
        </is>
      </c>
      <c r="N1967" s="522" t="inlineStr">
        <is>
          <t>HT230057</t>
        </is>
      </c>
      <c r="O1967" s="521">
        <f>M1967=N1967</f>
        <v/>
      </c>
      <c r="P1967" s="521">
        <f>AND(MONTH(F1967)=MONTH(S1967), YEAR(F1967)=YEAR(S1967))</f>
        <v/>
      </c>
      <c r="Q1967" s="521">
        <f>U1967="L001-901905215"</f>
        <v/>
      </c>
      <c r="R1967" s="556">
        <f>G1967-W1967</f>
        <v/>
      </c>
      <c r="S1967" s="523" t="n">
        <v>45044</v>
      </c>
      <c r="T1967" s="522" t="inlineStr">
        <is>
          <t>HT230057</t>
        </is>
      </c>
      <c r="U1967" s="522" t="inlineStr">
        <is>
          <t>L001-901905215</t>
        </is>
      </c>
      <c r="V1967" s="522" t="inlineStr">
        <is>
          <t>វីអ៊ីស៊ិន (ខេមបូឌា) អ៊ិនដាសស្ទ្រី ឯ.ក</t>
        </is>
      </c>
      <c r="W1967" s="556" t="n">
        <v>242785</v>
      </c>
    </row>
    <row r="1968">
      <c r="A1968" s="521" t="n">
        <v>1960</v>
      </c>
      <c r="B1968" s="522" t="inlineStr">
        <is>
          <t>LIFT ON AND LIFT OFF</t>
        </is>
      </c>
      <c r="C1968" s="522" t="inlineStr">
        <is>
          <t>កំពង់ផែស្វយ័តក្រុងព្រះសីហនុ</t>
        </is>
      </c>
      <c r="D1968" s="522" t="inlineStr">
        <is>
          <t>L001-100044638</t>
        </is>
      </c>
      <c r="E1968" s="521" t="inlineStr">
        <is>
          <t>060896</t>
        </is>
      </c>
      <c r="F1968" s="523" t="n">
        <v>45040</v>
      </c>
      <c r="G1968" s="556" t="n">
        <v>23250</v>
      </c>
      <c r="I1968" s="521">
        <f>G1968</f>
        <v/>
      </c>
      <c r="K1968" s="521">
        <f>I1968-G1968</f>
        <v/>
      </c>
      <c r="M1968" s="522" t="inlineStr">
        <is>
          <t>060896</t>
        </is>
      </c>
      <c r="N1968" s="522" t="inlineStr"/>
      <c r="O1968" s="521">
        <f>M1968=N1968</f>
        <v/>
      </c>
      <c r="P1968" s="521">
        <f>AND(MONTH(F1968)=MONTH(S1968), YEAR(F1968)=YEAR(S1968))</f>
        <v/>
      </c>
      <c r="Q1968" s="521">
        <f>U1968="L001-901905215"</f>
        <v/>
      </c>
      <c r="R1968" s="556">
        <f>G1968-W1968</f>
        <v/>
      </c>
      <c r="S1968" s="521" t="n"/>
      <c r="T1968" s="522" t="n"/>
      <c r="U1968" s="522" t="n"/>
      <c r="V1968" s="522" t="n"/>
      <c r="W1968" s="521" t="n"/>
    </row>
    <row r="1969">
      <c r="A1969" s="521" t="n">
        <v>1961</v>
      </c>
      <c r="B1969" s="522" t="inlineStr">
        <is>
          <t>EIB,EMF,KHCIC,KHDOC AND KHTHC</t>
        </is>
      </c>
      <c r="C1969" s="522" t="inlineStr">
        <is>
          <t>អេសអាយធីស៊ី ខិនថេនើរ ឡាញ (ខេមបូឌា)</t>
        </is>
      </c>
      <c r="D1969" s="522" t="inlineStr">
        <is>
          <t>L001-107035863</t>
        </is>
      </c>
      <c r="E1969" s="521" t="inlineStr">
        <is>
          <t>SITC2023-009094</t>
        </is>
      </c>
      <c r="F1969" s="523" t="n">
        <v>45036</v>
      </c>
      <c r="G1969" s="556" t="n">
        <v>140415</v>
      </c>
      <c r="I1969" s="521">
        <f>G1969</f>
        <v/>
      </c>
      <c r="K1969" s="521">
        <f>I1969-G1969</f>
        <v/>
      </c>
      <c r="M1969" s="522" t="inlineStr">
        <is>
          <t>SITC2023009094</t>
        </is>
      </c>
      <c r="N1969" s="522" t="inlineStr">
        <is>
          <t>SITC2023009094</t>
        </is>
      </c>
      <c r="O1969" s="521">
        <f>M1969=N1969</f>
        <v/>
      </c>
      <c r="P1969" s="521">
        <f>AND(MONTH(F1969)=MONTH(S1969), YEAR(F1969)=YEAR(S1969))</f>
        <v/>
      </c>
      <c r="Q1969" s="521">
        <f>U1969="L001-901905215"</f>
        <v/>
      </c>
      <c r="R1969" s="556">
        <f>G1969-W1969</f>
        <v/>
      </c>
      <c r="S1969" s="523" t="n">
        <v>45036</v>
      </c>
      <c r="T1969" s="522" t="inlineStr">
        <is>
          <t>SITC2023-009094</t>
        </is>
      </c>
      <c r="U1969" s="522" t="inlineStr">
        <is>
          <t>L001-901905215</t>
        </is>
      </c>
      <c r="V1969" s="522" t="inlineStr">
        <is>
          <t>វីអ៊ីស៊ិន (ខេមបូឌា) អ៊ិនដាសស្ទ្រី ឯ.ក</t>
        </is>
      </c>
      <c r="W1969" s="556" t="n">
        <v>140415</v>
      </c>
    </row>
    <row r="1970">
      <c r="A1970" s="521" t="n">
        <v>1962</v>
      </c>
      <c r="B1970" s="522" t="inlineStr">
        <is>
          <t>Building Rental Charge (540 SQM) For April 2023 and Management Fee For March 2023</t>
        </is>
      </c>
      <c r="C1970" s="522" t="inlineStr">
        <is>
          <t>មេហ្គា លេបឹល &amp; ស្ទីកឃើរ (ខេមបូឌា)</t>
        </is>
      </c>
      <c r="D1970" s="522" t="inlineStr">
        <is>
          <t>L001-100185983</t>
        </is>
      </c>
      <c r="E1970" s="521" t="inlineStr">
        <is>
          <t>INV20230401</t>
        </is>
      </c>
      <c r="F1970" s="523" t="n">
        <v>45019</v>
      </c>
      <c r="G1970" s="556" t="n">
        <v>652571</v>
      </c>
      <c r="I1970" s="521">
        <f>G1970</f>
        <v/>
      </c>
      <c r="K1970" s="521">
        <f>I1970-G1970</f>
        <v/>
      </c>
      <c r="M1970" s="522" t="inlineStr">
        <is>
          <t>INV20230401</t>
        </is>
      </c>
      <c r="N1970" s="522" t="inlineStr">
        <is>
          <t>INV20230401</t>
        </is>
      </c>
      <c r="O1970" s="521">
        <f>M1970=N1970</f>
        <v/>
      </c>
      <c r="P1970" s="521">
        <f>AND(MONTH(F1970)=MONTH(S1970), YEAR(F1970)=YEAR(S1970))</f>
        <v/>
      </c>
      <c r="Q1970" s="521">
        <f>U1970="L001-901905215"</f>
        <v/>
      </c>
      <c r="R1970" s="556">
        <f>G1970-W1970</f>
        <v/>
      </c>
      <c r="S1970" s="523" t="n">
        <v>45019</v>
      </c>
      <c r="T1970" s="522" t="inlineStr">
        <is>
          <t>INV20230401</t>
        </is>
      </c>
      <c r="U1970" s="522" t="inlineStr">
        <is>
          <t>L001-901905215</t>
        </is>
      </c>
      <c r="V1970" s="522" t="inlineStr">
        <is>
          <t>វីអ៊ីស៊ិន (ខេមបូឌា) អ៊ិនដាសស្ទ្រី ឯ.ក</t>
        </is>
      </c>
      <c r="W1970" s="556" t="n">
        <v>652571</v>
      </c>
    </row>
    <row r="1971">
      <c r="A1971" s="521" t="n">
        <v>1963</v>
      </c>
      <c r="B1971" s="522" t="inlineStr">
        <is>
          <t>Infrastructure Maintenance fee for April 2023</t>
        </is>
      </c>
      <c r="C1971" s="522" t="inlineStr">
        <is>
          <t>ភ្នំពេញ អេសអ៊ីហ្សិត ភីអិលស៊ី</t>
        </is>
      </c>
      <c r="D1971" s="522" t="inlineStr">
        <is>
          <t>L001-100046592</t>
        </is>
      </c>
      <c r="E1971" s="521" t="inlineStr">
        <is>
          <t>2023-01836</t>
        </is>
      </c>
      <c r="F1971" s="523" t="n">
        <v>45034</v>
      </c>
      <c r="G1971" s="556" t="n">
        <v>200291</v>
      </c>
      <c r="I1971" s="521">
        <f>G1971</f>
        <v/>
      </c>
      <c r="K1971" s="521">
        <f>I1971-G1971</f>
        <v/>
      </c>
      <c r="M1971" s="522" t="inlineStr">
        <is>
          <t>202301836</t>
        </is>
      </c>
      <c r="N1971" s="522" t="inlineStr">
        <is>
          <t>202301836</t>
        </is>
      </c>
      <c r="O1971" s="521">
        <f>M1971=N1971</f>
        <v/>
      </c>
      <c r="P1971" s="521">
        <f>AND(MONTH(F1971)=MONTH(S1971), YEAR(F1971)=YEAR(S1971))</f>
        <v/>
      </c>
      <c r="Q1971" s="521">
        <f>U1971="L001-901905215"</f>
        <v/>
      </c>
      <c r="R1971" s="556">
        <f>G1971-W1971</f>
        <v/>
      </c>
      <c r="S1971" s="523" t="n">
        <v>45034</v>
      </c>
      <c r="T1971" s="522" t="inlineStr">
        <is>
          <t>2023-01836</t>
        </is>
      </c>
      <c r="U1971" s="522" t="inlineStr">
        <is>
          <t>L001-901905215</t>
        </is>
      </c>
      <c r="V1971" s="522" t="inlineStr">
        <is>
          <t>វីអ៊ីស៊ិន (ខេមបូឌា) អ៊ិនដាសស្ទ្រី ឯ.ក</t>
        </is>
      </c>
      <c r="W1971" s="556" t="n">
        <v>200291</v>
      </c>
    </row>
    <row r="1972">
      <c r="A1972" s="521" t="n">
        <v>1964</v>
      </c>
      <c r="B1972" s="522" t="inlineStr">
        <is>
          <t>HANDLING AND TRUCKING FEE</t>
        </is>
      </c>
      <c r="C1972" s="522" t="inlineStr">
        <is>
          <t>អ៊ិចស្ពែឌីធ័រ ខេមបូឌា អិលធីឌី</t>
        </is>
      </c>
      <c r="D1972" s="522" t="inlineStr">
        <is>
          <t>L001-100045898</t>
        </is>
      </c>
      <c r="E1972" s="521" t="inlineStr">
        <is>
          <t>TI-0246573</t>
        </is>
      </c>
      <c r="F1972" s="523" t="n">
        <v>45019</v>
      </c>
      <c r="G1972" s="556" t="n">
        <v>221854</v>
      </c>
      <c r="I1972" s="521">
        <f>G1972</f>
        <v/>
      </c>
      <c r="K1972" s="521">
        <f>I1972-G1972</f>
        <v/>
      </c>
      <c r="M1972" s="522" t="inlineStr">
        <is>
          <t>TI0246573</t>
        </is>
      </c>
      <c r="N1972" s="522" t="inlineStr">
        <is>
          <t>TI0246573</t>
        </is>
      </c>
      <c r="O1972" s="521">
        <f>M1972=N1972</f>
        <v/>
      </c>
      <c r="P1972" s="521">
        <f>AND(MONTH(F1972)=MONTH(S1972), YEAR(F1972)=YEAR(S1972))</f>
        <v/>
      </c>
      <c r="Q1972" s="521">
        <f>U1972="L001-901905215"</f>
        <v/>
      </c>
      <c r="R1972" s="556">
        <f>G1972-W1972</f>
        <v/>
      </c>
      <c r="S1972" s="523" t="n">
        <v>45019</v>
      </c>
      <c r="T1972" s="522" t="inlineStr">
        <is>
          <t>TI-0246573</t>
        </is>
      </c>
      <c r="U1972" s="522" t="inlineStr">
        <is>
          <t>L001-901905215</t>
        </is>
      </c>
      <c r="V1972" s="522" t="inlineStr">
        <is>
          <t>វីអ៊ីស៊ិន (ខេមបូឌា) អ៊ិនដាសស្ទ្រី ឯ.ក</t>
        </is>
      </c>
      <c r="W1972" s="556" t="n">
        <v>221847</v>
      </c>
    </row>
    <row r="1973">
      <c r="A1973" s="521" t="n">
        <v>1965</v>
      </c>
      <c r="B1973" s="522" t="inlineStr">
        <is>
          <t>HANDLING AND TRUCKING FEE</t>
        </is>
      </c>
      <c r="C1973" s="522" t="inlineStr">
        <is>
          <t>អ៊ិចស្ពែឌីធ័រ ខេមបូឌា អិលធីឌី</t>
        </is>
      </c>
      <c r="D1973" s="522" t="inlineStr">
        <is>
          <t>L001-100045898</t>
        </is>
      </c>
      <c r="E1973" s="521" t="inlineStr">
        <is>
          <t>TI-0246600</t>
        </is>
      </c>
      <c r="F1973" s="523" t="n">
        <v>45019</v>
      </c>
      <c r="G1973" s="556" t="n">
        <v>293770</v>
      </c>
      <c r="I1973" s="521">
        <f>G1973</f>
        <v/>
      </c>
      <c r="K1973" s="521">
        <f>I1973-G1973</f>
        <v/>
      </c>
      <c r="M1973" s="522" t="inlineStr">
        <is>
          <t>TI0246600</t>
        </is>
      </c>
      <c r="N1973" s="522" t="inlineStr">
        <is>
          <t>TI0246600</t>
        </is>
      </c>
      <c r="O1973" s="521">
        <f>M1973=N1973</f>
        <v/>
      </c>
      <c r="P1973" s="521">
        <f>AND(MONTH(F1973)=MONTH(S1973), YEAR(F1973)=YEAR(S1973))</f>
        <v/>
      </c>
      <c r="Q1973" s="521">
        <f>U1973="L001-901905215"</f>
        <v/>
      </c>
      <c r="R1973" s="556">
        <f>G1973-W1973</f>
        <v/>
      </c>
      <c r="S1973" s="523" t="n">
        <v>45019</v>
      </c>
      <c r="T1973" s="522" t="inlineStr">
        <is>
          <t>TI-0246600</t>
        </is>
      </c>
      <c r="U1973" s="522" t="inlineStr">
        <is>
          <t>L001-901905215</t>
        </is>
      </c>
      <c r="V1973" s="522" t="inlineStr">
        <is>
          <t>វីអ៊ីស៊ិន (ខេមបូឌា) អ៊ិនដាសស្ទ្រី ឯ.ក</t>
        </is>
      </c>
      <c r="W1973" s="556" t="n">
        <v>293770</v>
      </c>
    </row>
    <row r="1974">
      <c r="A1974" s="521" t="n">
        <v>1966</v>
      </c>
      <c r="B1974" s="522" t="inlineStr">
        <is>
          <t>Worker fee</t>
        </is>
      </c>
      <c r="C1974" s="522" t="inlineStr">
        <is>
          <t>ឆាយ ដា ឡូយីស្ទីក</t>
        </is>
      </c>
      <c r="D1974" s="522" t="inlineStr">
        <is>
          <t>L001-100063098</t>
        </is>
      </c>
      <c r="E1974" s="521" t="inlineStr">
        <is>
          <t>2304003595</t>
        </is>
      </c>
      <c r="F1974" s="523" t="n">
        <v>45027</v>
      </c>
      <c r="G1974" s="556" t="n">
        <v>24366</v>
      </c>
      <c r="I1974" s="521">
        <f>G1974</f>
        <v/>
      </c>
      <c r="K1974" s="521">
        <f>I1974-G1974</f>
        <v/>
      </c>
      <c r="M1974" s="522" t="inlineStr">
        <is>
          <t>2304003595</t>
        </is>
      </c>
      <c r="N1974" s="522" t="inlineStr">
        <is>
          <t>2304003595</t>
        </is>
      </c>
      <c r="O1974" s="521">
        <f>M1974=N1974</f>
        <v/>
      </c>
      <c r="P1974" s="521">
        <f>AND(MONTH(F1974)=MONTH(S1974), YEAR(F1974)=YEAR(S1974))</f>
        <v/>
      </c>
      <c r="Q1974" s="521">
        <f>U1974="L001-901905215"</f>
        <v/>
      </c>
      <c r="R1974" s="556">
        <f>G1974-W1974</f>
        <v/>
      </c>
      <c r="S1974" s="523" t="n">
        <v>45027</v>
      </c>
      <c r="T1974" s="522" t="inlineStr">
        <is>
          <t>2304003595</t>
        </is>
      </c>
      <c r="U1974" s="522" t="inlineStr">
        <is>
          <t>L001-901905215</t>
        </is>
      </c>
      <c r="V1974" s="522" t="inlineStr">
        <is>
          <t>វីអ៊ីស៊ិន (ខេមបូឌា) អ៊ិនដាសស្ទ្រី ឯ.ក</t>
        </is>
      </c>
      <c r="W1974" s="556" t="n">
        <v>24366</v>
      </c>
    </row>
    <row r="1975">
      <c r="A1975" s="521" t="n">
        <v>1967</v>
      </c>
      <c r="B1975" s="522" t="inlineStr">
        <is>
          <t>Export Administration fee, Port Formality, service Charge</t>
        </is>
      </c>
      <c r="C1975" s="522" t="inlineStr">
        <is>
          <t>ឆាយ ដា ឡូយីស្ទីក</t>
        </is>
      </c>
      <c r="D1975" s="522" t="inlineStr">
        <is>
          <t>L001-100063098</t>
        </is>
      </c>
      <c r="E1975" s="521" t="inlineStr">
        <is>
          <t>2304003332</t>
        </is>
      </c>
      <c r="F1975" s="523" t="n">
        <v>45019</v>
      </c>
      <c r="G1975" s="556" t="n">
        <v>76583</v>
      </c>
      <c r="I1975" s="521">
        <f>G1975</f>
        <v/>
      </c>
      <c r="K1975" s="521">
        <f>I1975-G1975</f>
        <v/>
      </c>
      <c r="M1975" s="522" t="inlineStr">
        <is>
          <t>2304003332</t>
        </is>
      </c>
      <c r="N1975" s="522" t="inlineStr">
        <is>
          <t>2304003332</t>
        </is>
      </c>
      <c r="O1975" s="521">
        <f>M1975=N1975</f>
        <v/>
      </c>
      <c r="P1975" s="521">
        <f>AND(MONTH(F1975)=MONTH(S1975), YEAR(F1975)=YEAR(S1975))</f>
        <v/>
      </c>
      <c r="Q1975" s="521">
        <f>U1975="L001-901905215"</f>
        <v/>
      </c>
      <c r="R1975" s="556">
        <f>G1975-W1975</f>
        <v/>
      </c>
      <c r="S1975" s="523" t="n">
        <v>45019</v>
      </c>
      <c r="T1975" s="522" t="inlineStr">
        <is>
          <t>2304003332</t>
        </is>
      </c>
      <c r="U1975" s="522" t="inlineStr">
        <is>
          <t>L001-901905215</t>
        </is>
      </c>
      <c r="V1975" s="522" t="inlineStr">
        <is>
          <t>វីអ៊ីស៊ិន (ខេមបូឌា) អ៊ិនដាសស្ទ្រី ឯ.ក</t>
        </is>
      </c>
      <c r="W1975" s="556" t="n">
        <v>76583</v>
      </c>
    </row>
    <row r="1976">
      <c r="A1976" s="521" t="n">
        <v>1968</v>
      </c>
      <c r="B1976" s="522" t="inlineStr">
        <is>
          <t>HANDLING AND TRUCKING FEE</t>
        </is>
      </c>
      <c r="C1976" s="522" t="inlineStr">
        <is>
          <t>អ៊ិចស្ពែឌីធ័រ ខេមបូឌា អិលធីឌី</t>
        </is>
      </c>
      <c r="D1976" s="522" t="inlineStr">
        <is>
          <t>L001-100045898</t>
        </is>
      </c>
      <c r="E1976" s="521" t="inlineStr">
        <is>
          <t>TI-0247614</t>
        </is>
      </c>
      <c r="F1976" s="523" t="n">
        <v>45040</v>
      </c>
      <c r="G1976" s="556" t="n">
        <v>415290</v>
      </c>
      <c r="I1976" s="521">
        <f>G1976</f>
        <v/>
      </c>
      <c r="K1976" s="521">
        <f>I1976-G1976</f>
        <v/>
      </c>
      <c r="M1976" s="522" t="inlineStr">
        <is>
          <t>TI0247614</t>
        </is>
      </c>
      <c r="N1976" s="522" t="inlineStr">
        <is>
          <t>TI0247614</t>
        </is>
      </c>
      <c r="O1976" s="521">
        <f>M1976=N1976</f>
        <v/>
      </c>
      <c r="P1976" s="521">
        <f>AND(MONTH(F1976)=MONTH(S1976), YEAR(F1976)=YEAR(S1976))</f>
        <v/>
      </c>
      <c r="Q1976" s="521">
        <f>U1976="L001-901905215"</f>
        <v/>
      </c>
      <c r="R1976" s="556">
        <f>G1976-W1976</f>
        <v/>
      </c>
      <c r="S1976" s="523" t="n">
        <v>45040</v>
      </c>
      <c r="T1976" s="522" t="inlineStr">
        <is>
          <t>TI-0247614</t>
        </is>
      </c>
      <c r="U1976" s="522" t="inlineStr">
        <is>
          <t>L001-901905215</t>
        </is>
      </c>
      <c r="V1976" s="522" t="inlineStr">
        <is>
          <t>វីអ៊ីស៊ិន (ខេមបូឌា) អ៊ិនដាសស្ទ្រី ឯ.ក</t>
        </is>
      </c>
      <c r="W1976" s="556" t="n">
        <v>415283</v>
      </c>
    </row>
    <row r="1977">
      <c r="A1977" s="521" t="n">
        <v>1969</v>
      </c>
      <c r="B1977" s="522" t="inlineStr">
        <is>
          <t>HANDLING AND TRUCKING FEE</t>
        </is>
      </c>
      <c r="C1977" s="522" t="inlineStr">
        <is>
          <t>អ៊ិចស្ពែឌីធ័រ ខេមបូឌា អិលធីឌី</t>
        </is>
      </c>
      <c r="D1977" s="522" t="inlineStr">
        <is>
          <t>L001-100045898</t>
        </is>
      </c>
      <c r="E1977" s="521" t="inlineStr">
        <is>
          <t>TI-0247617</t>
        </is>
      </c>
      <c r="F1977" s="523" t="n">
        <v>45040</v>
      </c>
      <c r="G1977" s="556" t="n">
        <v>325215</v>
      </c>
      <c r="I1977" s="521">
        <f>G1977</f>
        <v/>
      </c>
      <c r="K1977" s="521">
        <f>I1977-G1977</f>
        <v/>
      </c>
      <c r="M1977" s="522" t="inlineStr">
        <is>
          <t>TI0247617</t>
        </is>
      </c>
      <c r="N1977" s="522" t="inlineStr">
        <is>
          <t>TI0247617</t>
        </is>
      </c>
      <c r="O1977" s="521">
        <f>M1977=N1977</f>
        <v/>
      </c>
      <c r="P1977" s="521">
        <f>AND(MONTH(F1977)=MONTH(S1977), YEAR(F1977)=YEAR(S1977))</f>
        <v/>
      </c>
      <c r="Q1977" s="521">
        <f>U1977="L001-901905215"</f>
        <v/>
      </c>
      <c r="R1977" s="556">
        <f>G1977-W1977</f>
        <v/>
      </c>
      <c r="S1977" s="523" t="n">
        <v>45040</v>
      </c>
      <c r="T1977" s="522" t="inlineStr">
        <is>
          <t>TI-0247617</t>
        </is>
      </c>
      <c r="U1977" s="522" t="inlineStr">
        <is>
          <t>L001-901905215</t>
        </is>
      </c>
      <c r="V1977" s="522" t="inlineStr">
        <is>
          <t>វីអ៊ីស៊ិន (ខេមបូឌា) អ៊ិនដាសស្ទ្រី ឯ.ក</t>
        </is>
      </c>
      <c r="W1977" s="556" t="n">
        <v>325219</v>
      </c>
    </row>
    <row r="1978">
      <c r="A1978" s="521" t="n">
        <v>1970</v>
      </c>
      <c r="B1978" s="522" t="inlineStr">
        <is>
          <t>HANDLING AND TRUCKING FEE</t>
        </is>
      </c>
      <c r="C1978" s="522" t="inlineStr">
        <is>
          <t>អ៊ិចស្ពែឌីធ័រ ខេមបូឌា អិលធីឌី</t>
        </is>
      </c>
      <c r="D1978" s="522" t="inlineStr">
        <is>
          <t>L001-100045898</t>
        </is>
      </c>
      <c r="E1978" s="521" t="inlineStr">
        <is>
          <t>TI-0247625</t>
        </is>
      </c>
      <c r="F1978" s="523" t="n">
        <v>45040</v>
      </c>
      <c r="G1978" s="556" t="n">
        <v>56898</v>
      </c>
      <c r="I1978" s="521">
        <f>G1978</f>
        <v/>
      </c>
      <c r="K1978" s="521">
        <f>I1978-G1978</f>
        <v/>
      </c>
      <c r="M1978" s="522" t="inlineStr">
        <is>
          <t>TI0247625</t>
        </is>
      </c>
      <c r="N1978" s="522" t="inlineStr">
        <is>
          <t>TI0247625</t>
        </is>
      </c>
      <c r="O1978" s="521">
        <f>M1978=N1978</f>
        <v/>
      </c>
      <c r="P1978" s="521">
        <f>AND(MONTH(F1978)=MONTH(S1978), YEAR(F1978)=YEAR(S1978))</f>
        <v/>
      </c>
      <c r="Q1978" s="521">
        <f>U1978="L001-901905215"</f>
        <v/>
      </c>
      <c r="R1978" s="556">
        <f>G1978-W1978</f>
        <v/>
      </c>
      <c r="S1978" s="523" t="n">
        <v>45040</v>
      </c>
      <c r="T1978" s="522" t="inlineStr">
        <is>
          <t>TI-0247625</t>
        </is>
      </c>
      <c r="U1978" s="522" t="inlineStr">
        <is>
          <t>L001-901905215</t>
        </is>
      </c>
      <c r="V1978" s="522" t="inlineStr">
        <is>
          <t>វីអ៊ីស៊ិន (ខេមបូឌា) អ៊ិនដាសស្ទ្រី ឯ.ក</t>
        </is>
      </c>
      <c r="W1978" s="556" t="n">
        <v>56902</v>
      </c>
    </row>
    <row r="1979">
      <c r="A1979" s="521" t="n">
        <v>1971</v>
      </c>
      <c r="B1979" s="522" t="inlineStr">
        <is>
          <t>HANDLING AND TRUCKING FEE</t>
        </is>
      </c>
      <c r="C1979" s="522" t="inlineStr">
        <is>
          <t>អ៊ិចស្ពែឌីធ័រ ខេមបូឌា អិលធីឌី</t>
        </is>
      </c>
      <c r="D1979" s="522" t="inlineStr">
        <is>
          <t>L001-100045898</t>
        </is>
      </c>
      <c r="E1979" s="521" t="inlineStr">
        <is>
          <t>TI-0247633</t>
        </is>
      </c>
      <c r="F1979" s="523" t="n">
        <v>45040</v>
      </c>
      <c r="G1979" s="556" t="n">
        <v>52741</v>
      </c>
      <c r="I1979" s="521">
        <f>G1979</f>
        <v/>
      </c>
      <c r="K1979" s="521">
        <f>I1979-G1979</f>
        <v/>
      </c>
      <c r="M1979" s="522" t="inlineStr">
        <is>
          <t>TI0247633</t>
        </is>
      </c>
      <c r="N1979" s="522" t="inlineStr">
        <is>
          <t>TI0247633</t>
        </is>
      </c>
      <c r="O1979" s="521">
        <f>M1979=N1979</f>
        <v/>
      </c>
      <c r="P1979" s="521">
        <f>AND(MONTH(F1979)=MONTH(S1979), YEAR(F1979)=YEAR(S1979))</f>
        <v/>
      </c>
      <c r="Q1979" s="521">
        <f>U1979="L001-901905215"</f>
        <v/>
      </c>
      <c r="R1979" s="556">
        <f>G1979-W1979</f>
        <v/>
      </c>
      <c r="S1979" s="523" t="n">
        <v>45040</v>
      </c>
      <c r="T1979" s="522" t="inlineStr">
        <is>
          <t>TI-0247633</t>
        </is>
      </c>
      <c r="U1979" s="522" t="inlineStr">
        <is>
          <t>L001-901905215</t>
        </is>
      </c>
      <c r="V1979" s="522" t="inlineStr">
        <is>
          <t>វីអ៊ីស៊ិន (ខេមបូឌា) អ៊ិនដាសស្ទ្រី ឯ.ក</t>
        </is>
      </c>
      <c r="W1979" s="556" t="n">
        <v>52741</v>
      </c>
    </row>
    <row r="1980">
      <c r="A1980" s="521" t="n">
        <v>1972</v>
      </c>
      <c r="B1980" s="522" t="inlineStr">
        <is>
          <t>HANDLING AND TRUCKING FEE</t>
        </is>
      </c>
      <c r="C1980" s="522" t="inlineStr">
        <is>
          <t>អ៊ិចស្ពែឌីធ័រ ខេមបូឌា អិលធីឌី</t>
        </is>
      </c>
      <c r="D1980" s="522" t="inlineStr">
        <is>
          <t>L001-100045898</t>
        </is>
      </c>
      <c r="E1980" s="521" t="inlineStr">
        <is>
          <t>TI-0247636</t>
        </is>
      </c>
      <c r="F1980" s="523" t="n">
        <v>45040</v>
      </c>
      <c r="G1980" s="556" t="n">
        <v>204432</v>
      </c>
      <c r="I1980" s="521">
        <f>G1980</f>
        <v/>
      </c>
      <c r="K1980" s="521">
        <f>I1980-G1980</f>
        <v/>
      </c>
      <c r="M1980" s="522" t="inlineStr">
        <is>
          <t>TI0247636</t>
        </is>
      </c>
      <c r="N1980" s="522" t="inlineStr">
        <is>
          <t>TI0247636</t>
        </is>
      </c>
      <c r="O1980" s="521">
        <f>M1980=N1980</f>
        <v/>
      </c>
      <c r="P1980" s="521">
        <f>AND(MONTH(F1980)=MONTH(S1980), YEAR(F1980)=YEAR(S1980))</f>
        <v/>
      </c>
      <c r="Q1980" s="521">
        <f>U1980="L001-901905215"</f>
        <v/>
      </c>
      <c r="R1980" s="556">
        <f>G1980-W1980</f>
        <v/>
      </c>
      <c r="S1980" s="523" t="n">
        <v>45040</v>
      </c>
      <c r="T1980" s="522" t="inlineStr">
        <is>
          <t>TI-0247636</t>
        </is>
      </c>
      <c r="U1980" s="522" t="inlineStr">
        <is>
          <t>L001-901905215</t>
        </is>
      </c>
      <c r="V1980" s="522" t="inlineStr">
        <is>
          <t>វីអ៊ីស៊ិន (ខេមបូឌា) អ៊ិនដាសស្ទ្រី ឯ.ក</t>
        </is>
      </c>
      <c r="W1980" s="556" t="n">
        <v>204439</v>
      </c>
    </row>
    <row r="1981">
      <c r="A1981" s="521" t="n">
        <v>1973</v>
      </c>
      <c r="B1981" s="522" t="inlineStr">
        <is>
          <t>Export Administration fee, Port Formality &amp; service Charge</t>
        </is>
      </c>
      <c r="C1981" s="522" t="inlineStr">
        <is>
          <t>ឆាយ ដា ឡូយីស្ទីក</t>
        </is>
      </c>
      <c r="D1981" s="522" t="inlineStr">
        <is>
          <t>L001-100063098</t>
        </is>
      </c>
      <c r="E1981" s="521" t="inlineStr">
        <is>
          <t>2304003319</t>
        </is>
      </c>
      <c r="F1981" s="523" t="n">
        <v>45019</v>
      </c>
      <c r="G1981" s="556" t="n">
        <v>76583</v>
      </c>
      <c r="I1981" s="521">
        <f>G1981</f>
        <v/>
      </c>
      <c r="K1981" s="521">
        <f>I1981-G1981</f>
        <v/>
      </c>
      <c r="M1981" s="522" t="inlineStr">
        <is>
          <t>2304003319</t>
        </is>
      </c>
      <c r="N1981" s="522" t="inlineStr">
        <is>
          <t>2304003319</t>
        </is>
      </c>
      <c r="O1981" s="521">
        <f>M1981=N1981</f>
        <v/>
      </c>
      <c r="P1981" s="521">
        <f>AND(MONTH(F1981)=MONTH(S1981), YEAR(F1981)=YEAR(S1981))</f>
        <v/>
      </c>
      <c r="Q1981" s="521">
        <f>U1981="L001-901905215"</f>
        <v/>
      </c>
      <c r="R1981" s="556">
        <f>G1981-W1981</f>
        <v/>
      </c>
      <c r="S1981" s="523" t="n">
        <v>45019</v>
      </c>
      <c r="T1981" s="522" t="inlineStr">
        <is>
          <t>2304003319</t>
        </is>
      </c>
      <c r="U1981" s="522" t="inlineStr">
        <is>
          <t>L001-901905215</t>
        </is>
      </c>
      <c r="V1981" s="522" t="inlineStr">
        <is>
          <t>វីអ៊ីស៊ិន (ខេមបូឌា) អ៊ិនដាសស្ទ្រី ឯ.ក</t>
        </is>
      </c>
      <c r="W1981" s="556" t="n">
        <v>76583</v>
      </c>
    </row>
    <row r="1982">
      <c r="A1982" s="521" t="n">
        <v>1974</v>
      </c>
      <c r="B1982" s="522" t="inlineStr">
        <is>
          <t>Export Administration fee, Port Formality, service Charge &amp; Extra Cut Seal</t>
        </is>
      </c>
      <c r="C1982" s="522" t="inlineStr">
        <is>
          <t>ឆាយ ដា ឡូយីស្ទីក</t>
        </is>
      </c>
      <c r="D1982" s="522" t="inlineStr">
        <is>
          <t>L001-100063098</t>
        </is>
      </c>
      <c r="E1982" s="521" t="inlineStr">
        <is>
          <t>2304003323</t>
        </is>
      </c>
      <c r="F1982" s="523" t="n">
        <v>45019</v>
      </c>
      <c r="G1982" s="556" t="n">
        <v>100895</v>
      </c>
      <c r="I1982" s="521">
        <f>G1982</f>
        <v/>
      </c>
      <c r="K1982" s="521">
        <f>I1982-G1982</f>
        <v/>
      </c>
      <c r="M1982" s="522" t="inlineStr">
        <is>
          <t>2304003323</t>
        </is>
      </c>
      <c r="N1982" s="522" t="inlineStr">
        <is>
          <t>2304003323</t>
        </is>
      </c>
      <c r="O1982" s="521">
        <f>M1982=N1982</f>
        <v/>
      </c>
      <c r="P1982" s="521">
        <f>AND(MONTH(F1982)=MONTH(S1982), YEAR(F1982)=YEAR(S1982))</f>
        <v/>
      </c>
      <c r="Q1982" s="521">
        <f>U1982="L001-901905215"</f>
        <v/>
      </c>
      <c r="R1982" s="556">
        <f>G1982-W1982</f>
        <v/>
      </c>
      <c r="S1982" s="523" t="n">
        <v>45019</v>
      </c>
      <c r="T1982" s="522" t="inlineStr">
        <is>
          <t>2304003323</t>
        </is>
      </c>
      <c r="U1982" s="522" t="inlineStr">
        <is>
          <t>L001-901905215</t>
        </is>
      </c>
      <c r="V1982" s="522" t="inlineStr">
        <is>
          <t>វីអ៊ីស៊ិន (ខេមបូឌា) អ៊ិនដាសស្ទ្រី ឯ.ក</t>
        </is>
      </c>
      <c r="W1982" s="556" t="n">
        <v>100895</v>
      </c>
    </row>
    <row r="1983">
      <c r="A1983" s="521" t="n">
        <v>1975</v>
      </c>
      <c r="B1983" s="522" t="inlineStr">
        <is>
          <t>Export Administration fee, Port Formality, service Charge &amp; Extra Cut Seal</t>
        </is>
      </c>
      <c r="C1983" s="522" t="inlineStr">
        <is>
          <t>ឆាយ ដា ឡូយីស្ទីក</t>
        </is>
      </c>
      <c r="D1983" s="522" t="inlineStr">
        <is>
          <t>L001-100063098</t>
        </is>
      </c>
      <c r="E1983" s="521" t="inlineStr">
        <is>
          <t>2304003342</t>
        </is>
      </c>
      <c r="F1983" s="523" t="n">
        <v>45019</v>
      </c>
      <c r="G1983" s="556" t="n">
        <v>88739</v>
      </c>
      <c r="I1983" s="521">
        <f>G1983</f>
        <v/>
      </c>
      <c r="K1983" s="521">
        <f>I1983-G1983</f>
        <v/>
      </c>
      <c r="M1983" s="522" t="inlineStr">
        <is>
          <t>2304003342</t>
        </is>
      </c>
      <c r="N1983" s="522" t="inlineStr">
        <is>
          <t>2304003342</t>
        </is>
      </c>
      <c r="O1983" s="521">
        <f>M1983=N1983</f>
        <v/>
      </c>
      <c r="P1983" s="521">
        <f>AND(MONTH(F1983)=MONTH(S1983), YEAR(F1983)=YEAR(S1983))</f>
        <v/>
      </c>
      <c r="Q1983" s="521">
        <f>U1983="L001-901905215"</f>
        <v/>
      </c>
      <c r="R1983" s="556">
        <f>G1983-W1983</f>
        <v/>
      </c>
      <c r="S1983" s="523" t="n">
        <v>45019</v>
      </c>
      <c r="T1983" s="522" t="inlineStr">
        <is>
          <t>2304003342</t>
        </is>
      </c>
      <c r="U1983" s="522" t="inlineStr">
        <is>
          <t>L001-901905215</t>
        </is>
      </c>
      <c r="V1983" s="522" t="inlineStr">
        <is>
          <t>វីអ៊ីស៊ិន (ខេមបូឌា) អ៊ិនដាសស្ទ្រី ឯ.ក</t>
        </is>
      </c>
      <c r="W1983" s="556" t="n">
        <v>88739</v>
      </c>
    </row>
    <row r="1984">
      <c r="A1984" s="521" t="n">
        <v>1976</v>
      </c>
      <c r="B1984" s="522" t="inlineStr">
        <is>
          <t>HANDLING AND TRUCKING FEE</t>
        </is>
      </c>
      <c r="C1984" s="522" t="inlineStr">
        <is>
          <t>អ៊ិចស្ពែឌីធ័រ ខេមបូឌា អិលធីឌី</t>
        </is>
      </c>
      <c r="D1984" s="522" t="inlineStr">
        <is>
          <t>L001-100045898</t>
        </is>
      </c>
      <c r="E1984" s="521" t="inlineStr">
        <is>
          <t>TI-0246602</t>
        </is>
      </c>
      <c r="F1984" s="523" t="n">
        <v>45019</v>
      </c>
      <c r="G1984" s="556" t="n">
        <v>520432</v>
      </c>
      <c r="I1984" s="521">
        <f>G1984</f>
        <v/>
      </c>
      <c r="K1984" s="521">
        <f>I1984-G1984</f>
        <v/>
      </c>
      <c r="M1984" s="522" t="inlineStr">
        <is>
          <t>TI0246602</t>
        </is>
      </c>
      <c r="N1984" s="522" t="inlineStr">
        <is>
          <t>TI0246602</t>
        </is>
      </c>
      <c r="O1984" s="521">
        <f>M1984=N1984</f>
        <v/>
      </c>
      <c r="P1984" s="521">
        <f>AND(MONTH(F1984)=MONTH(S1984), YEAR(F1984)=YEAR(S1984))</f>
        <v/>
      </c>
      <c r="Q1984" s="521">
        <f>U1984="L001-901905215"</f>
        <v/>
      </c>
      <c r="R1984" s="556">
        <f>G1984-W1984</f>
        <v/>
      </c>
      <c r="S1984" s="523" t="n">
        <v>45019</v>
      </c>
      <c r="T1984" s="522" t="inlineStr">
        <is>
          <t>TI-0246602</t>
        </is>
      </c>
      <c r="U1984" s="522" t="inlineStr">
        <is>
          <t>L001-901905215</t>
        </is>
      </c>
      <c r="V1984" s="522" t="inlineStr">
        <is>
          <t>វីអ៊ីស៊ិន (ខេមបូឌា) អ៊ិនដាសស្ទ្រី ឯ.ក</t>
        </is>
      </c>
      <c r="W1984" s="556" t="n">
        <v>520439</v>
      </c>
    </row>
    <row r="1985">
      <c r="A1985" s="521" t="n">
        <v>1977</v>
      </c>
      <c r="B1985" s="522" t="inlineStr">
        <is>
          <t>Worker fee</t>
        </is>
      </c>
      <c r="C1985" s="522" t="inlineStr">
        <is>
          <t>ឆាយ ដា ឡូយីស្ទីក</t>
        </is>
      </c>
      <c r="D1985" s="522" t="inlineStr">
        <is>
          <t>L001-100063098</t>
        </is>
      </c>
      <c r="E1985" s="521" t="inlineStr">
        <is>
          <t>2304003361</t>
        </is>
      </c>
      <c r="F1985" s="523" t="n">
        <v>45019</v>
      </c>
      <c r="G1985" s="556" t="n">
        <v>8104</v>
      </c>
      <c r="I1985" s="521">
        <f>G1985</f>
        <v/>
      </c>
      <c r="K1985" s="521">
        <f>I1985-G1985</f>
        <v/>
      </c>
      <c r="M1985" s="522" t="inlineStr">
        <is>
          <t>2304003361</t>
        </is>
      </c>
      <c r="N1985" s="522" t="inlineStr">
        <is>
          <t>2304003361</t>
        </is>
      </c>
      <c r="O1985" s="521">
        <f>M1985=N1985</f>
        <v/>
      </c>
      <c r="P1985" s="521">
        <f>AND(MONTH(F1985)=MONTH(S1985), YEAR(F1985)=YEAR(S1985))</f>
        <v/>
      </c>
      <c r="Q1985" s="521">
        <f>U1985="L001-901905215"</f>
        <v/>
      </c>
      <c r="R1985" s="556">
        <f>G1985-W1985</f>
        <v/>
      </c>
      <c r="S1985" s="523" t="n">
        <v>45019</v>
      </c>
      <c r="T1985" s="522" t="inlineStr">
        <is>
          <t>2304003361</t>
        </is>
      </c>
      <c r="U1985" s="522" t="inlineStr">
        <is>
          <t>L001-901905215</t>
        </is>
      </c>
      <c r="V1985" s="522" t="inlineStr">
        <is>
          <t>វីអ៊ីស៊ិន (ខេមបូឌា) អ៊ិនដាសស្ទ្រី ឯ.ក</t>
        </is>
      </c>
      <c r="W1985" s="556" t="n">
        <v>8104</v>
      </c>
    </row>
    <row r="1986">
      <c r="A1986" s="521" t="n">
        <v>1978</v>
      </c>
      <c r="B1986" s="522" t="inlineStr">
        <is>
          <t>Export Administration fee, Port Formality, service Charge</t>
        </is>
      </c>
      <c r="C1986" s="522" t="inlineStr">
        <is>
          <t>ឆាយ ដា ឡូយីស្ទីក</t>
        </is>
      </c>
      <c r="D1986" s="522" t="inlineStr">
        <is>
          <t>L001-100063098</t>
        </is>
      </c>
      <c r="E1986" s="521" t="inlineStr">
        <is>
          <t>2304003534</t>
        </is>
      </c>
      <c r="F1986" s="523" t="n">
        <v>45026</v>
      </c>
      <c r="G1986" s="556" t="n">
        <v>76734</v>
      </c>
      <c r="I1986" s="521">
        <f>G1986</f>
        <v/>
      </c>
      <c r="K1986" s="521">
        <f>I1986-G1986</f>
        <v/>
      </c>
      <c r="M1986" s="522" t="inlineStr">
        <is>
          <t>2304003534</t>
        </is>
      </c>
      <c r="N1986" s="522" t="inlineStr">
        <is>
          <t>2304003534</t>
        </is>
      </c>
      <c r="O1986" s="521">
        <f>M1986=N1986</f>
        <v/>
      </c>
      <c r="P1986" s="521">
        <f>AND(MONTH(F1986)=MONTH(S1986), YEAR(F1986)=YEAR(S1986))</f>
        <v/>
      </c>
      <c r="Q1986" s="521">
        <f>U1986="L001-901905215"</f>
        <v/>
      </c>
      <c r="R1986" s="556">
        <f>G1986-W1986</f>
        <v/>
      </c>
      <c r="S1986" s="523" t="n">
        <v>45026</v>
      </c>
      <c r="T1986" s="522" t="inlineStr">
        <is>
          <t>2304003534</t>
        </is>
      </c>
      <c r="U1986" s="522" t="inlineStr">
        <is>
          <t>L001-901905215</t>
        </is>
      </c>
      <c r="V1986" s="522" t="inlineStr">
        <is>
          <t>វីអ៊ីស៊ិន (ខេមបូឌា) អ៊ិនដាសស្ទ្រី ឯ.ក</t>
        </is>
      </c>
      <c r="W1986" s="556" t="n">
        <v>76734</v>
      </c>
    </row>
    <row r="1987">
      <c r="A1987" s="521" t="n">
        <v>1979</v>
      </c>
      <c r="B1987" s="522" t="inlineStr">
        <is>
          <t>Export Administration fee, Port Formality, service Charge &amp; Extra Cut Seal</t>
        </is>
      </c>
      <c r="C1987" s="522" t="inlineStr">
        <is>
          <t>ឆាយ ដា ឡូយីស្ទីក</t>
        </is>
      </c>
      <c r="D1987" s="522" t="inlineStr">
        <is>
          <t>L001-100063098</t>
        </is>
      </c>
      <c r="E1987" s="521" t="inlineStr">
        <is>
          <t>2304003536</t>
        </is>
      </c>
      <c r="F1987" s="523" t="n">
        <v>45026</v>
      </c>
      <c r="G1987" s="556" t="n">
        <v>101094</v>
      </c>
      <c r="I1987" s="521">
        <f>G1987</f>
        <v/>
      </c>
      <c r="K1987" s="521">
        <f>I1987-G1987</f>
        <v/>
      </c>
      <c r="M1987" s="522" t="inlineStr">
        <is>
          <t>2304003536</t>
        </is>
      </c>
      <c r="N1987" s="522" t="inlineStr">
        <is>
          <t>2304003536</t>
        </is>
      </c>
      <c r="O1987" s="521">
        <f>M1987=N1987</f>
        <v/>
      </c>
      <c r="P1987" s="521">
        <f>AND(MONTH(F1987)=MONTH(S1987), YEAR(F1987)=YEAR(S1987))</f>
        <v/>
      </c>
      <c r="Q1987" s="521">
        <f>U1987="L001-901905215"</f>
        <v/>
      </c>
      <c r="R1987" s="556">
        <f>G1987-W1987</f>
        <v/>
      </c>
      <c r="S1987" s="523" t="n">
        <v>45026</v>
      </c>
      <c r="T1987" s="522" t="inlineStr">
        <is>
          <t>2304003536</t>
        </is>
      </c>
      <c r="U1987" s="522" t="inlineStr">
        <is>
          <t>L001-901905215</t>
        </is>
      </c>
      <c r="V1987" s="522" t="inlineStr">
        <is>
          <t>វីអ៊ីស៊ិន (ខេមបូឌា) អ៊ិនដាសស្ទ្រី ឯ.ក</t>
        </is>
      </c>
      <c r="W1987" s="556" t="n">
        <v>101094</v>
      </c>
    </row>
    <row r="1988">
      <c r="A1988" s="521" t="n">
        <v>1980</v>
      </c>
      <c r="B1988" s="522" t="inlineStr">
        <is>
          <t>Export Administration fee, Port Formality, service Charge &amp; Extra Cut Seal</t>
        </is>
      </c>
      <c r="C1988" s="522" t="inlineStr">
        <is>
          <t>ឆាយ ដា ឡូយីស្ទីក</t>
        </is>
      </c>
      <c r="D1988" s="522" t="inlineStr">
        <is>
          <t>L001-100063098</t>
        </is>
      </c>
      <c r="E1988" s="521" t="inlineStr">
        <is>
          <t>2304003549</t>
        </is>
      </c>
      <c r="F1988" s="523" t="n">
        <v>45026</v>
      </c>
      <c r="G1988" s="556" t="n">
        <v>88914</v>
      </c>
      <c r="I1988" s="521">
        <f>G1988</f>
        <v/>
      </c>
      <c r="K1988" s="521">
        <f>I1988-G1988</f>
        <v/>
      </c>
      <c r="M1988" s="522" t="inlineStr">
        <is>
          <t>2304003549</t>
        </is>
      </c>
      <c r="N1988" s="522" t="inlineStr">
        <is>
          <t>2304003549</t>
        </is>
      </c>
      <c r="O1988" s="521">
        <f>M1988=N1988</f>
        <v/>
      </c>
      <c r="P1988" s="521">
        <f>AND(MONTH(F1988)=MONTH(S1988), YEAR(F1988)=YEAR(S1988))</f>
        <v/>
      </c>
      <c r="Q1988" s="521">
        <f>U1988="L001-901905215"</f>
        <v/>
      </c>
      <c r="R1988" s="556">
        <f>G1988-W1988</f>
        <v/>
      </c>
      <c r="S1988" s="523" t="n">
        <v>45026</v>
      </c>
      <c r="T1988" s="522" t="inlineStr">
        <is>
          <t>2304003549</t>
        </is>
      </c>
      <c r="U1988" s="522" t="inlineStr">
        <is>
          <t>L001-901905215</t>
        </is>
      </c>
      <c r="V1988" s="522" t="inlineStr">
        <is>
          <t>វីអ៊ីស៊ិន (ខេមបូឌា) អ៊ិនដាសស្ទ្រី ឯ.ក</t>
        </is>
      </c>
      <c r="W1988" s="556" t="n">
        <v>88914</v>
      </c>
    </row>
    <row r="1989">
      <c r="A1989" s="521" t="n">
        <v>1981</v>
      </c>
      <c r="B1989" s="522" t="inlineStr">
        <is>
          <t>Export Administration fee, Port Formality, service Charge</t>
        </is>
      </c>
      <c r="C1989" s="522" t="inlineStr">
        <is>
          <t>ឆាយ ដា ឡូយីស្ទីក</t>
        </is>
      </c>
      <c r="D1989" s="522" t="inlineStr">
        <is>
          <t>L001-100063098</t>
        </is>
      </c>
      <c r="E1989" s="521" t="inlineStr">
        <is>
          <t>2304003550</t>
        </is>
      </c>
      <c r="F1989" s="523" t="n">
        <v>45026</v>
      </c>
      <c r="G1989" s="556" t="n">
        <v>76734</v>
      </c>
      <c r="I1989" s="521">
        <f>G1989</f>
        <v/>
      </c>
      <c r="K1989" s="521">
        <f>I1989-G1989</f>
        <v/>
      </c>
      <c r="M1989" s="522" t="inlineStr">
        <is>
          <t>2304003550</t>
        </is>
      </c>
      <c r="N1989" s="522" t="inlineStr">
        <is>
          <t>2304003550</t>
        </is>
      </c>
      <c r="O1989" s="521">
        <f>M1989=N1989</f>
        <v/>
      </c>
      <c r="P1989" s="521">
        <f>AND(MONTH(F1989)=MONTH(S1989), YEAR(F1989)=YEAR(S1989))</f>
        <v/>
      </c>
      <c r="Q1989" s="521">
        <f>U1989="L001-901905215"</f>
        <v/>
      </c>
      <c r="R1989" s="556">
        <f>G1989-W1989</f>
        <v/>
      </c>
      <c r="S1989" s="523" t="n">
        <v>45026</v>
      </c>
      <c r="T1989" s="522" t="inlineStr">
        <is>
          <t>2304003550</t>
        </is>
      </c>
      <c r="U1989" s="522" t="inlineStr">
        <is>
          <t>L001-901905215</t>
        </is>
      </c>
      <c r="V1989" s="522" t="inlineStr">
        <is>
          <t>វីអ៊ីស៊ិន (ខេមបូឌា) អ៊ិនដាសស្ទ្រី ឯ.ក</t>
        </is>
      </c>
      <c r="W1989" s="556" t="n">
        <v>76734</v>
      </c>
    </row>
    <row r="1990">
      <c r="A1990" s="521" t="n">
        <v>1982</v>
      </c>
      <c r="B1990" s="522" t="inlineStr">
        <is>
          <t>Export Administration fee, Port Formality, service Charge, Extra Cut Seal, OT Document, late Gate Container, Late Gate Document</t>
        </is>
      </c>
      <c r="C1990" s="522" t="inlineStr">
        <is>
          <t>ឆាយ ដា ឡូយីស្ទីក</t>
        </is>
      </c>
      <c r="D1990" s="522" t="inlineStr">
        <is>
          <t>L001-100063098</t>
        </is>
      </c>
      <c r="E1990" s="521" t="inlineStr">
        <is>
          <t>2304003556</t>
        </is>
      </c>
      <c r="F1990" s="523" t="n">
        <v>45026</v>
      </c>
      <c r="G1990" s="556" t="n">
        <v>192444</v>
      </c>
      <c r="I1990" s="521">
        <f>G1990</f>
        <v/>
      </c>
      <c r="K1990" s="521">
        <f>I1990-G1990</f>
        <v/>
      </c>
      <c r="M1990" s="522" t="inlineStr">
        <is>
          <t>2304003556</t>
        </is>
      </c>
      <c r="N1990" s="522" t="inlineStr">
        <is>
          <t>2304003556</t>
        </is>
      </c>
      <c r="O1990" s="521">
        <f>M1990=N1990</f>
        <v/>
      </c>
      <c r="P1990" s="521">
        <f>AND(MONTH(F1990)=MONTH(S1990), YEAR(F1990)=YEAR(S1990))</f>
        <v/>
      </c>
      <c r="Q1990" s="521">
        <f>U1990="L001-901905215"</f>
        <v/>
      </c>
      <c r="R1990" s="556">
        <f>G1990-W1990</f>
        <v/>
      </c>
      <c r="S1990" s="523" t="n">
        <v>45026</v>
      </c>
      <c r="T1990" s="522" t="inlineStr">
        <is>
          <t>2304003556</t>
        </is>
      </c>
      <c r="U1990" s="522" t="inlineStr">
        <is>
          <t>L001-901905215</t>
        </is>
      </c>
      <c r="V1990" s="522" t="inlineStr">
        <is>
          <t>វីអ៊ីស៊ិន (ខេមបូឌា) អ៊ិនដាសស្ទ្រី ឯ.ក</t>
        </is>
      </c>
      <c r="W1990" s="556" t="n">
        <v>192444</v>
      </c>
    </row>
    <row r="1991">
      <c r="A1991" s="521" t="n">
        <v>1983</v>
      </c>
      <c r="B1991" s="522" t="inlineStr">
        <is>
          <t>Export Administration fee, Port Formality, service Charge</t>
        </is>
      </c>
      <c r="C1991" s="522" t="inlineStr">
        <is>
          <t>ឆាយ ដា ឡូយីស្ទីក</t>
        </is>
      </c>
      <c r="D1991" s="522" t="inlineStr">
        <is>
          <t>L001-100063098</t>
        </is>
      </c>
      <c r="E1991" s="521" t="inlineStr">
        <is>
          <t>2304003559</t>
        </is>
      </c>
      <c r="F1991" s="523" t="n">
        <v>45026</v>
      </c>
      <c r="G1991" s="556" t="n">
        <v>76734</v>
      </c>
      <c r="I1991" s="521">
        <f>G1991</f>
        <v/>
      </c>
      <c r="K1991" s="521">
        <f>I1991-G1991</f>
        <v/>
      </c>
      <c r="M1991" s="522" t="inlineStr">
        <is>
          <t>2304003559</t>
        </is>
      </c>
      <c r="N1991" s="522" t="inlineStr">
        <is>
          <t>2304003559</t>
        </is>
      </c>
      <c r="O1991" s="521">
        <f>M1991=N1991</f>
        <v/>
      </c>
      <c r="P1991" s="521">
        <f>AND(MONTH(F1991)=MONTH(S1991), YEAR(F1991)=YEAR(S1991))</f>
        <v/>
      </c>
      <c r="Q1991" s="521">
        <f>U1991="L001-901905215"</f>
        <v/>
      </c>
      <c r="R1991" s="556">
        <f>G1991-W1991</f>
        <v/>
      </c>
      <c r="S1991" s="523" t="n">
        <v>45026</v>
      </c>
      <c r="T1991" s="522" t="inlineStr">
        <is>
          <t>2304003559</t>
        </is>
      </c>
      <c r="U1991" s="522" t="inlineStr">
        <is>
          <t>L001-901905215</t>
        </is>
      </c>
      <c r="V1991" s="522" t="inlineStr">
        <is>
          <t>វីអ៊ីស៊ិន (ខេមបូឌា) អ៊ិនដាសស្ទ្រី ឯ.ក</t>
        </is>
      </c>
      <c r="W1991" s="556" t="n">
        <v>76734</v>
      </c>
    </row>
    <row r="1992">
      <c r="A1992" s="521" t="n">
        <v>1984</v>
      </c>
      <c r="B1992" s="522" t="inlineStr">
        <is>
          <t>HANDLING AND TRUCKING FEE</t>
        </is>
      </c>
      <c r="C1992" s="522" t="inlineStr">
        <is>
          <t>អ៊ិចស្ពែឌីធ័រ ខេមបូឌា អិលធីឌី</t>
        </is>
      </c>
      <c r="D1992" s="522" t="inlineStr">
        <is>
          <t>L001-100045898</t>
        </is>
      </c>
      <c r="E1992" s="521" t="inlineStr">
        <is>
          <t>TI-0247600</t>
        </is>
      </c>
      <c r="F1992" s="523" t="n">
        <v>45040</v>
      </c>
      <c r="G1992" s="556" t="n">
        <v>250636</v>
      </c>
      <c r="I1992" s="521">
        <f>G1992</f>
        <v/>
      </c>
      <c r="K1992" s="521">
        <f>I1992-G1992</f>
        <v/>
      </c>
      <c r="M1992" s="522" t="inlineStr">
        <is>
          <t>TI0247600</t>
        </is>
      </c>
      <c r="N1992" s="522" t="inlineStr">
        <is>
          <t>TI0247600</t>
        </is>
      </c>
      <c r="O1992" s="521">
        <f>M1992=N1992</f>
        <v/>
      </c>
      <c r="P1992" s="521">
        <f>AND(MONTH(F1992)=MONTH(S1992), YEAR(F1992)=YEAR(S1992))</f>
        <v/>
      </c>
      <c r="Q1992" s="521">
        <f>U1992="L001-901905215"</f>
        <v/>
      </c>
      <c r="R1992" s="556">
        <f>G1992-W1992</f>
        <v/>
      </c>
      <c r="S1992" s="523" t="n">
        <v>45040</v>
      </c>
      <c r="T1992" s="522" t="inlineStr">
        <is>
          <t>TI-0247600</t>
        </is>
      </c>
      <c r="U1992" s="522" t="inlineStr">
        <is>
          <t>L001-901905215</t>
        </is>
      </c>
      <c r="V1992" s="522" t="inlineStr">
        <is>
          <t>វីអ៊ីស៊ិន (ខេមបូឌា) អ៊ិនដាសស្ទ្រី ឯ.ក</t>
        </is>
      </c>
      <c r="W1992" s="556" t="n">
        <v>250655</v>
      </c>
    </row>
    <row r="1993">
      <c r="A1993" s="521" t="n">
        <v>1985</v>
      </c>
      <c r="B1993" s="522" t="inlineStr">
        <is>
          <t>HANDLING AND TRUCKING FEE</t>
        </is>
      </c>
      <c r="C1993" s="522" t="inlineStr">
        <is>
          <t>អ៊ិចស្ពែឌីធ័រ ខេមបូឌា អិលធីឌី</t>
        </is>
      </c>
      <c r="D1993" s="522" t="inlineStr">
        <is>
          <t>L001-100045898</t>
        </is>
      </c>
      <c r="E1993" s="521" t="inlineStr">
        <is>
          <t>TI-0247588</t>
        </is>
      </c>
      <c r="F1993" s="523" t="n">
        <v>45040</v>
      </c>
      <c r="G1993" s="556" t="n">
        <v>291849</v>
      </c>
      <c r="I1993" s="521">
        <f>G1993</f>
        <v/>
      </c>
      <c r="K1993" s="521">
        <f>I1993-G1993</f>
        <v/>
      </c>
      <c r="M1993" s="522" t="inlineStr">
        <is>
          <t>TI0247588</t>
        </is>
      </c>
      <c r="N1993" s="522" t="inlineStr">
        <is>
          <t>TI0247588</t>
        </is>
      </c>
      <c r="O1993" s="521">
        <f>M1993=N1993</f>
        <v/>
      </c>
      <c r="P1993" s="521">
        <f>AND(MONTH(F1993)=MONTH(S1993), YEAR(F1993)=YEAR(S1993))</f>
        <v/>
      </c>
      <c r="Q1993" s="521">
        <f>U1993="L001-901905215"</f>
        <v/>
      </c>
      <c r="R1993" s="556">
        <f>G1993-W1993</f>
        <v/>
      </c>
      <c r="S1993" s="523" t="n">
        <v>45040</v>
      </c>
      <c r="T1993" s="522" t="inlineStr">
        <is>
          <t>TI-0247588</t>
        </is>
      </c>
      <c r="U1993" s="522" t="inlineStr">
        <is>
          <t>L001-901905215</t>
        </is>
      </c>
      <c r="V1993" s="522" t="inlineStr">
        <is>
          <t>វីអ៊ីស៊ិន (ខេមបូឌា) អ៊ិនដាសស្ទ្រី ឯ.ក</t>
        </is>
      </c>
      <c r="W1993" s="556" t="n">
        <v>291852</v>
      </c>
    </row>
    <row r="1994">
      <c r="A1994" s="521" t="n">
        <v>1986</v>
      </c>
      <c r="B1994" s="522" t="inlineStr">
        <is>
          <t>HANDLING AND TRUCKING FEE</t>
        </is>
      </c>
      <c r="C1994" s="522" t="inlineStr">
        <is>
          <t>អ៊ិចស្ពែឌីធ័រ ខេមបូឌា អិលធីឌី</t>
        </is>
      </c>
      <c r="D1994" s="522" t="inlineStr">
        <is>
          <t>L001-100045898</t>
        </is>
      </c>
      <c r="E1994" s="521" t="inlineStr">
        <is>
          <t>TI-0247578</t>
        </is>
      </c>
      <c r="F1994" s="523" t="n">
        <v>45040</v>
      </c>
      <c r="G1994" s="556" t="n">
        <v>255101</v>
      </c>
      <c r="I1994" s="521">
        <f>G1994</f>
        <v/>
      </c>
      <c r="K1994" s="521">
        <f>I1994-G1994</f>
        <v/>
      </c>
      <c r="M1994" s="522" t="inlineStr">
        <is>
          <t>TI0247578</t>
        </is>
      </c>
      <c r="N1994" s="522" t="inlineStr">
        <is>
          <t>TI0247578</t>
        </is>
      </c>
      <c r="O1994" s="521">
        <f>M1994=N1994</f>
        <v/>
      </c>
      <c r="P1994" s="521">
        <f>AND(MONTH(F1994)=MONTH(S1994), YEAR(F1994)=YEAR(S1994))</f>
        <v/>
      </c>
      <c r="Q1994" s="521">
        <f>U1994="L001-901905215"</f>
        <v/>
      </c>
      <c r="R1994" s="556">
        <f>G1994-W1994</f>
        <v/>
      </c>
      <c r="S1994" s="523" t="n">
        <v>45040</v>
      </c>
      <c r="T1994" s="522" t="inlineStr">
        <is>
          <t>TI-0247578</t>
        </is>
      </c>
      <c r="U1994" s="522" t="inlineStr">
        <is>
          <t>L001-901905215</t>
        </is>
      </c>
      <c r="V1994" s="522" t="inlineStr">
        <is>
          <t>វីអ៊ីស៊ិន (ខេមបូឌា) អ៊ិនដាសស្ទ្រី ឯ.ក</t>
        </is>
      </c>
      <c r="W1994" s="556" t="n">
        <v>255101</v>
      </c>
    </row>
    <row r="1995">
      <c r="A1995" s="521" t="n">
        <v>1987</v>
      </c>
      <c r="B1995" s="522" t="inlineStr">
        <is>
          <t>HANDLING AND TRUCKING FEE</t>
        </is>
      </c>
      <c r="C1995" s="522" t="inlineStr">
        <is>
          <t>អ៊ិចស្ពែឌីធ័រ ខេមបូឌា អិលធីឌី</t>
        </is>
      </c>
      <c r="D1995" s="522" t="inlineStr">
        <is>
          <t>L001-100045898</t>
        </is>
      </c>
      <c r="E1995" s="521" t="inlineStr">
        <is>
          <t>TI-0247328</t>
        </is>
      </c>
      <c r="F1995" s="523" t="n">
        <v>45034</v>
      </c>
      <c r="G1995" s="556" t="n">
        <v>193772</v>
      </c>
      <c r="I1995" s="521">
        <f>G1995</f>
        <v/>
      </c>
      <c r="K1995" s="521">
        <f>I1995-G1995</f>
        <v/>
      </c>
      <c r="M1995" s="522" t="inlineStr">
        <is>
          <t>TI0247328</t>
        </is>
      </c>
      <c r="N1995" s="522" t="inlineStr">
        <is>
          <t>TI0247328</t>
        </is>
      </c>
      <c r="O1995" s="521">
        <f>M1995=N1995</f>
        <v/>
      </c>
      <c r="P1995" s="521">
        <f>AND(MONTH(F1995)=MONTH(S1995), YEAR(F1995)=YEAR(S1995))</f>
        <v/>
      </c>
      <c r="Q1995" s="521">
        <f>U1995="L001-901905215"</f>
        <v/>
      </c>
      <c r="R1995" s="556">
        <f>G1995-W1995</f>
        <v/>
      </c>
      <c r="S1995" s="523" t="n">
        <v>45034</v>
      </c>
      <c r="T1995" s="522" t="inlineStr">
        <is>
          <t>TI-0247328</t>
        </is>
      </c>
      <c r="U1995" s="522" t="inlineStr">
        <is>
          <t>L001-901905215</t>
        </is>
      </c>
      <c r="V1995" s="522" t="inlineStr">
        <is>
          <t>វីអ៊ីស៊ិន (ខេមបូឌា) អ៊ិនដាសស្ទ្រី ឯ.ក</t>
        </is>
      </c>
      <c r="W1995" s="556" t="n">
        <v>193764</v>
      </c>
    </row>
    <row r="1996">
      <c r="A1996" s="521" t="n">
        <v>1988</v>
      </c>
      <c r="B1996" s="522" t="inlineStr">
        <is>
          <t>HANDLING AND TRUCKING FEE</t>
        </is>
      </c>
      <c r="C1996" s="522" t="inlineStr">
        <is>
          <t>អ៊ិចស្ពែឌីធ័រ ខេមបូឌា អិលធីឌី</t>
        </is>
      </c>
      <c r="D1996" s="522" t="inlineStr">
        <is>
          <t>L001-100045898</t>
        </is>
      </c>
      <c r="E1996" s="521" t="inlineStr">
        <is>
          <t>TI-0246610</t>
        </is>
      </c>
      <c r="F1996" s="523" t="n">
        <v>45019</v>
      </c>
      <c r="G1996" s="556" t="n">
        <v>97362</v>
      </c>
      <c r="I1996" s="521">
        <f>G1996</f>
        <v/>
      </c>
      <c r="K1996" s="521">
        <f>I1996-G1996</f>
        <v/>
      </c>
      <c r="M1996" s="522" t="inlineStr">
        <is>
          <t>TI0246610</t>
        </is>
      </c>
      <c r="N1996" s="522" t="inlineStr">
        <is>
          <t>TI0246610</t>
        </is>
      </c>
      <c r="O1996" s="521">
        <f>M1996=N1996</f>
        <v/>
      </c>
      <c r="P1996" s="521">
        <f>AND(MONTH(F1996)=MONTH(S1996), YEAR(F1996)=YEAR(S1996))</f>
        <v/>
      </c>
      <c r="Q1996" s="521">
        <f>U1996="L001-901905215"</f>
        <v/>
      </c>
      <c r="R1996" s="556">
        <f>G1996-W1996</f>
        <v/>
      </c>
      <c r="S1996" s="523" t="n">
        <v>45019</v>
      </c>
      <c r="T1996" s="522" t="inlineStr">
        <is>
          <t>TI-0246610</t>
        </is>
      </c>
      <c r="U1996" s="522" t="inlineStr">
        <is>
          <t>L001-901905215</t>
        </is>
      </c>
      <c r="V1996" s="522" t="inlineStr">
        <is>
          <t>វីអ៊ីស៊ិន (ខេមបូឌា) អ៊ិនដាសស្ទ្រី ឯ.ក</t>
        </is>
      </c>
      <c r="W1996" s="556" t="n">
        <v>97370</v>
      </c>
    </row>
    <row r="1997">
      <c r="A1997" s="521" t="n">
        <v>1989</v>
      </c>
      <c r="B1997" s="522" t="inlineStr">
        <is>
          <t>HANDLING AND TRUCKING FEE</t>
        </is>
      </c>
      <c r="C1997" s="522" t="inlineStr">
        <is>
          <t>អ៊ិចស្ពែឌីធ័រ ខេមបូឌា អិលធីឌី</t>
        </is>
      </c>
      <c r="D1997" s="522" t="inlineStr">
        <is>
          <t>L001-100045898</t>
        </is>
      </c>
      <c r="E1997" s="521" t="inlineStr">
        <is>
          <t>TI-0246939</t>
        </is>
      </c>
      <c r="F1997" s="523" t="n">
        <v>45026</v>
      </c>
      <c r="G1997" s="556" t="n">
        <v>262682</v>
      </c>
      <c r="I1997" s="521">
        <f>G1997</f>
        <v/>
      </c>
      <c r="K1997" s="521">
        <f>I1997-G1997</f>
        <v/>
      </c>
      <c r="M1997" s="522" t="inlineStr">
        <is>
          <t>TI0246939</t>
        </is>
      </c>
      <c r="N1997" s="522" t="inlineStr">
        <is>
          <t>TI0246939</t>
        </is>
      </c>
      <c r="O1997" s="521">
        <f>M1997=N1997</f>
        <v/>
      </c>
      <c r="P1997" s="521">
        <f>AND(MONTH(F1997)=MONTH(S1997), YEAR(F1997)=YEAR(S1997))</f>
        <v/>
      </c>
      <c r="Q1997" s="521">
        <f>U1997="L001-901905215"</f>
        <v/>
      </c>
      <c r="R1997" s="556">
        <f>G1997-W1997</f>
        <v/>
      </c>
      <c r="S1997" s="523" t="n">
        <v>45026</v>
      </c>
      <c r="T1997" s="522" t="inlineStr">
        <is>
          <t>TI-0246939</t>
        </is>
      </c>
      <c r="U1997" s="522" t="inlineStr">
        <is>
          <t>L001-901905215</t>
        </is>
      </c>
      <c r="V1997" s="522" t="inlineStr">
        <is>
          <t>វីអ៊ីស៊ិន (ខេមបូឌា) អ៊ិនដាសស្ទ្រី ឯ.ក</t>
        </is>
      </c>
      <c r="W1997" s="556" t="n">
        <v>262682</v>
      </c>
    </row>
    <row r="1998">
      <c r="A1998" s="521" t="n">
        <v>1990</v>
      </c>
      <c r="B1998" s="522" t="inlineStr">
        <is>
          <t>HANDLING AND TRUCKING FEE</t>
        </is>
      </c>
      <c r="C1998" s="522" t="inlineStr">
        <is>
          <t>អ៊ិចស្ពែឌីធ័រ ខេមបូឌា អិលធីឌី</t>
        </is>
      </c>
      <c r="D1998" s="522" t="inlineStr">
        <is>
          <t>L001-100045898</t>
        </is>
      </c>
      <c r="E1998" s="521" t="inlineStr">
        <is>
          <t>TI-0246952</t>
        </is>
      </c>
      <c r="F1998" s="523" t="n">
        <v>45026</v>
      </c>
      <c r="G1998" s="556" t="n">
        <v>58006</v>
      </c>
      <c r="I1998" s="521">
        <f>G1998</f>
        <v/>
      </c>
      <c r="K1998" s="521">
        <f>I1998-G1998</f>
        <v/>
      </c>
      <c r="M1998" s="522" t="inlineStr">
        <is>
          <t>TI0246952</t>
        </is>
      </c>
      <c r="N1998" s="522" t="inlineStr">
        <is>
          <t>TI0246952</t>
        </is>
      </c>
      <c r="O1998" s="521">
        <f>M1998=N1998</f>
        <v/>
      </c>
      <c r="P1998" s="521">
        <f>AND(MONTH(F1998)=MONTH(S1998), YEAR(F1998)=YEAR(S1998))</f>
        <v/>
      </c>
      <c r="Q1998" s="521">
        <f>U1998="L001-901905215"</f>
        <v/>
      </c>
      <c r="R1998" s="556">
        <f>G1998-W1998</f>
        <v/>
      </c>
      <c r="S1998" s="523" t="n">
        <v>45026</v>
      </c>
      <c r="T1998" s="522" t="inlineStr">
        <is>
          <t>TI-0246952</t>
        </is>
      </c>
      <c r="U1998" s="522" t="inlineStr">
        <is>
          <t>L001-901905215</t>
        </is>
      </c>
      <c r="V1998" s="522" t="inlineStr">
        <is>
          <t>វីអ៊ីស៊ិន (ខេមបូឌា) អ៊ិនដាសស្ទ្រី ឯ.ក</t>
        </is>
      </c>
      <c r="W1998" s="556" t="n">
        <v>58017</v>
      </c>
    </row>
    <row r="1999">
      <c r="A1999" s="521" t="n">
        <v>1991</v>
      </c>
      <c r="B1999" s="522" t="inlineStr">
        <is>
          <t>HANDLING AND TRUCKING FEE</t>
        </is>
      </c>
      <c r="C1999" s="522" t="inlineStr">
        <is>
          <t>អ៊ិចស្ពែឌីធ័រ ខេមបូឌា អិលធីឌី</t>
        </is>
      </c>
      <c r="D1999" s="522" t="inlineStr">
        <is>
          <t>L001-100045898</t>
        </is>
      </c>
      <c r="E1999" s="521" t="inlineStr">
        <is>
          <t>TI-0246958</t>
        </is>
      </c>
      <c r="F1999" s="523" t="n">
        <v>45026</v>
      </c>
      <c r="G1999" s="556" t="n">
        <v>354722</v>
      </c>
      <c r="I1999" s="521">
        <f>G1999</f>
        <v/>
      </c>
      <c r="K1999" s="521">
        <f>I1999-G1999</f>
        <v/>
      </c>
      <c r="M1999" s="522" t="inlineStr">
        <is>
          <t>TI0246958</t>
        </is>
      </c>
      <c r="N1999" s="522" t="inlineStr">
        <is>
          <t>TI0246958</t>
        </is>
      </c>
      <c r="O1999" s="521">
        <f>M1999=N1999</f>
        <v/>
      </c>
      <c r="P1999" s="521">
        <f>AND(MONTH(F1999)=MONTH(S1999), YEAR(F1999)=YEAR(S1999))</f>
        <v/>
      </c>
      <c r="Q1999" s="521">
        <f>U1999="L001-901905215"</f>
        <v/>
      </c>
      <c r="R1999" s="556">
        <f>G1999-W1999</f>
        <v/>
      </c>
      <c r="S1999" s="523" t="n">
        <v>45026</v>
      </c>
      <c r="T1999" s="522" t="inlineStr">
        <is>
          <t>TI-0246958</t>
        </is>
      </c>
      <c r="U1999" s="522" t="inlineStr">
        <is>
          <t>L001-901905215</t>
        </is>
      </c>
      <c r="V1999" s="522" t="inlineStr">
        <is>
          <t>វីអ៊ីស៊ិន (ខេមបូឌា) អ៊ិនដាសស្ទ្រី ឯ.ក</t>
        </is>
      </c>
      <c r="W1999" s="556" t="n">
        <v>354722</v>
      </c>
    </row>
    <row r="2000">
      <c r="A2000" s="521" t="n">
        <v>1992</v>
      </c>
      <c r="B2000" s="522" t="inlineStr">
        <is>
          <t>HANDLING AND TRUCKING FEE</t>
        </is>
      </c>
      <c r="C2000" s="522" t="inlineStr">
        <is>
          <t>អ៊ិចស្ពែឌីធ័រ ខេមបូឌា អិលធីឌី</t>
        </is>
      </c>
      <c r="D2000" s="522" t="inlineStr">
        <is>
          <t>L001-100045898</t>
        </is>
      </c>
      <c r="E2000" s="521" t="inlineStr">
        <is>
          <t>TI-0246966</t>
        </is>
      </c>
      <c r="F2000" s="523" t="n">
        <v>45026</v>
      </c>
      <c r="G2000" s="556" t="n">
        <v>56918</v>
      </c>
      <c r="I2000" s="521">
        <f>G2000</f>
        <v/>
      </c>
      <c r="K2000" s="521">
        <f>I2000-G2000</f>
        <v/>
      </c>
      <c r="M2000" s="522" t="inlineStr">
        <is>
          <t>TI0246966</t>
        </is>
      </c>
      <c r="N2000" s="522" t="inlineStr">
        <is>
          <t>TI0246966</t>
        </is>
      </c>
      <c r="O2000" s="521">
        <f>M2000=N2000</f>
        <v/>
      </c>
      <c r="P2000" s="521">
        <f>AND(MONTH(F2000)=MONTH(S2000), YEAR(F2000)=YEAR(S2000))</f>
        <v/>
      </c>
      <c r="Q2000" s="521">
        <f>U2000="L001-901905215"</f>
        <v/>
      </c>
      <c r="R2000" s="556">
        <f>G2000-W2000</f>
        <v/>
      </c>
      <c r="S2000" s="523" t="n">
        <v>45026</v>
      </c>
      <c r="T2000" s="522" t="inlineStr">
        <is>
          <t>TI-0246966</t>
        </is>
      </c>
      <c r="U2000" s="522" t="inlineStr">
        <is>
          <t>L001-901905215</t>
        </is>
      </c>
      <c r="V2000" s="522" t="inlineStr">
        <is>
          <t>វីអ៊ីស៊ិន (ខេមបូឌា) អ៊ិនដាសស្ទ្រី ឯ.ក</t>
        </is>
      </c>
      <c r="W2000" s="556" t="n">
        <v>56921</v>
      </c>
    </row>
    <row r="2001">
      <c r="A2001" s="521" t="n">
        <v>1993</v>
      </c>
      <c r="B2001" s="522" t="inlineStr">
        <is>
          <t>HANDLING AND TRUCKING FEE</t>
        </is>
      </c>
      <c r="C2001" s="522" t="inlineStr">
        <is>
          <t>អ៊ិចស្ពែឌីធ័រ ខេមបូឌា អិលធីឌី</t>
        </is>
      </c>
      <c r="D2001" s="522" t="inlineStr">
        <is>
          <t>L001-100045898</t>
        </is>
      </c>
      <c r="E2001" s="521" t="inlineStr">
        <is>
          <t>TI-0246992</t>
        </is>
      </c>
      <c r="F2001" s="523" t="n">
        <v>45026</v>
      </c>
      <c r="G2001" s="556" t="n">
        <v>282642</v>
      </c>
      <c r="I2001" s="521">
        <f>G2001</f>
        <v/>
      </c>
      <c r="K2001" s="521">
        <f>I2001-G2001</f>
        <v/>
      </c>
      <c r="M2001" s="522" t="inlineStr">
        <is>
          <t>TI0246992</t>
        </is>
      </c>
      <c r="N2001" s="522" t="inlineStr">
        <is>
          <t>TI0246992</t>
        </is>
      </c>
      <c r="O2001" s="521">
        <f>M2001=N2001</f>
        <v/>
      </c>
      <c r="P2001" s="521">
        <f>AND(MONTH(F2001)=MONTH(S2001), YEAR(F2001)=YEAR(S2001))</f>
        <v/>
      </c>
      <c r="Q2001" s="521">
        <f>U2001="L001-901905215"</f>
        <v/>
      </c>
      <c r="R2001" s="556">
        <f>G2001-W2001</f>
        <v/>
      </c>
      <c r="S2001" s="523" t="n">
        <v>45026</v>
      </c>
      <c r="T2001" s="522" t="inlineStr">
        <is>
          <t>TI-0246992</t>
        </is>
      </c>
      <c r="U2001" s="522" t="inlineStr">
        <is>
          <t>L001-901905215</t>
        </is>
      </c>
      <c r="V2001" s="522" t="inlineStr">
        <is>
          <t>វីអ៊ីស៊ិន (ខេមបូឌា) អ៊ិនដាសស្ទ្រី ឯ.ក</t>
        </is>
      </c>
      <c r="W2001" s="556" t="n">
        <v>282657</v>
      </c>
    </row>
    <row r="2002">
      <c r="A2002" s="521" t="n">
        <v>1994</v>
      </c>
      <c r="B2002" s="522" t="inlineStr">
        <is>
          <t>HANDLING AND TRUCKING FEE</t>
        </is>
      </c>
      <c r="C2002" s="522" t="inlineStr">
        <is>
          <t>អ៊ិចស្ពែឌីធ័រ ខេមបូឌា អិលធីឌី</t>
        </is>
      </c>
      <c r="D2002" s="522" t="inlineStr">
        <is>
          <t>L001-100045898</t>
        </is>
      </c>
      <c r="E2002" s="521" t="inlineStr">
        <is>
          <t>TI-0247002</t>
        </is>
      </c>
      <c r="F2002" s="523" t="n">
        <v>45026</v>
      </c>
      <c r="G2002" s="556" t="n">
        <v>391561</v>
      </c>
      <c r="I2002" s="521">
        <f>G2002</f>
        <v/>
      </c>
      <c r="K2002" s="521">
        <f>I2002-G2002</f>
        <v/>
      </c>
      <c r="M2002" s="522" t="inlineStr">
        <is>
          <t>TI0247002</t>
        </is>
      </c>
      <c r="N2002" s="522" t="inlineStr">
        <is>
          <t>TI0247002</t>
        </is>
      </c>
      <c r="O2002" s="521">
        <f>M2002=N2002</f>
        <v/>
      </c>
      <c r="P2002" s="521">
        <f>AND(MONTH(F2002)=MONTH(S2002), YEAR(F2002)=YEAR(S2002))</f>
        <v/>
      </c>
      <c r="Q2002" s="521">
        <f>U2002="L001-901905215"</f>
        <v/>
      </c>
      <c r="R2002" s="556">
        <f>G2002-W2002</f>
        <v/>
      </c>
      <c r="S2002" s="523" t="n">
        <v>45026</v>
      </c>
      <c r="T2002" s="522" t="inlineStr">
        <is>
          <t>TI-0247002</t>
        </is>
      </c>
      <c r="U2002" s="522" t="inlineStr">
        <is>
          <t>L001-901905215</t>
        </is>
      </c>
      <c r="V2002" s="522" t="inlineStr">
        <is>
          <t>វីអ៊ីស៊ិន (ខេមបូឌា) អ៊ិនដាសស្ទ្រី ឯ.ក</t>
        </is>
      </c>
      <c r="W2002" s="556" t="n">
        <v>391546</v>
      </c>
    </row>
    <row r="2003">
      <c r="A2003" s="521" t="n">
        <v>1995</v>
      </c>
      <c r="B2003" s="522" t="inlineStr">
        <is>
          <t>HANDLING AND TRUCKING FEE</t>
        </is>
      </c>
      <c r="C2003" s="522" t="inlineStr">
        <is>
          <t>អ៊ិចស្ពែឌីធ័រ ខេមបូឌា អិលធីឌី</t>
        </is>
      </c>
      <c r="D2003" s="522" t="inlineStr">
        <is>
          <t>L001-100045898</t>
        </is>
      </c>
      <c r="E2003" s="521" t="inlineStr">
        <is>
          <t>TI-0247005</t>
        </is>
      </c>
      <c r="F2003" s="523" t="n">
        <v>45026</v>
      </c>
      <c r="G2003" s="556" t="n">
        <v>326830</v>
      </c>
      <c r="I2003" s="521">
        <f>G2003</f>
        <v/>
      </c>
      <c r="K2003" s="521">
        <f>I2003-G2003</f>
        <v/>
      </c>
      <c r="M2003" s="522" t="inlineStr">
        <is>
          <t>TI0247005</t>
        </is>
      </c>
      <c r="N2003" s="522" t="inlineStr">
        <is>
          <t>TI0247005</t>
        </is>
      </c>
      <c r="O2003" s="521">
        <f>M2003=N2003</f>
        <v/>
      </c>
      <c r="P2003" s="521">
        <f>AND(MONTH(F2003)=MONTH(S2003), YEAR(F2003)=YEAR(S2003))</f>
        <v/>
      </c>
      <c r="Q2003" s="521">
        <f>U2003="L001-901905215"</f>
        <v/>
      </c>
      <c r="R2003" s="556">
        <f>G2003-W2003</f>
        <v/>
      </c>
      <c r="S2003" s="523" t="n">
        <v>45026</v>
      </c>
      <c r="T2003" s="522" t="inlineStr">
        <is>
          <t>TI-0247005</t>
        </is>
      </c>
      <c r="U2003" s="522" t="inlineStr">
        <is>
          <t>L001-901905215</t>
        </is>
      </c>
      <c r="V2003" s="522" t="inlineStr">
        <is>
          <t>វីអ៊ីស៊ិន (ខេមបូឌា) អ៊ិនដាសស្ទ្រី ឯ.ក</t>
        </is>
      </c>
      <c r="W2003" s="556" t="n">
        <v>326830</v>
      </c>
    </row>
    <row r="2004">
      <c r="A2004" s="521" t="n">
        <v>1996</v>
      </c>
      <c r="B2004" s="522" t="inlineStr">
        <is>
          <t>HANDLING AND TRUCKING FEE</t>
        </is>
      </c>
      <c r="C2004" s="522" t="inlineStr">
        <is>
          <t>អ៊ិចស្ពែឌីធ័រ ខេមបូឌា អិលធីឌី</t>
        </is>
      </c>
      <c r="D2004" s="522" t="inlineStr">
        <is>
          <t>L001-100045898</t>
        </is>
      </c>
      <c r="E2004" s="521" t="inlineStr">
        <is>
          <t>TI-0247006</t>
        </is>
      </c>
      <c r="F2004" s="523" t="n">
        <v>45026</v>
      </c>
      <c r="G2004" s="556" t="n">
        <v>652364</v>
      </c>
      <c r="I2004" s="521">
        <f>G2004</f>
        <v/>
      </c>
      <c r="K2004" s="521">
        <f>I2004-G2004</f>
        <v/>
      </c>
      <c r="M2004" s="522" t="inlineStr">
        <is>
          <t>TI0247006</t>
        </is>
      </c>
      <c r="N2004" s="522" t="inlineStr">
        <is>
          <t>TI0247006</t>
        </is>
      </c>
      <c r="O2004" s="521">
        <f>M2004=N2004</f>
        <v/>
      </c>
      <c r="P2004" s="521">
        <f>AND(MONTH(F2004)=MONTH(S2004), YEAR(F2004)=YEAR(S2004))</f>
        <v/>
      </c>
      <c r="Q2004" s="521">
        <f>U2004="L001-901905215"</f>
        <v/>
      </c>
      <c r="R2004" s="556">
        <f>G2004-W2004</f>
        <v/>
      </c>
      <c r="S2004" s="523" t="n">
        <v>45026</v>
      </c>
      <c r="T2004" s="522" t="inlineStr">
        <is>
          <t>TI-0247006</t>
        </is>
      </c>
      <c r="U2004" s="522" t="inlineStr">
        <is>
          <t>L001-901905215</t>
        </is>
      </c>
      <c r="V2004" s="522" t="inlineStr">
        <is>
          <t>វីអ៊ីស៊ិន (ខេមបូឌា) អ៊ិនដាសស្ទ្រី ឯ.ក</t>
        </is>
      </c>
      <c r="W2004" s="556" t="n">
        <v>652361</v>
      </c>
    </row>
    <row r="2005">
      <c r="A2005" s="521" t="n">
        <v>1997</v>
      </c>
      <c r="B2005" s="522" t="inlineStr">
        <is>
          <t>HANDLING AND TRUCKING FEE</t>
        </is>
      </c>
      <c r="C2005" s="522" t="inlineStr">
        <is>
          <t>អ៊ិចស្ពែឌីធ័រ ខេមបូឌា អិលធីឌី</t>
        </is>
      </c>
      <c r="D2005" s="522" t="inlineStr">
        <is>
          <t>L001-100045898</t>
        </is>
      </c>
      <c r="E2005" s="521" t="inlineStr">
        <is>
          <t>TI-0247264</t>
        </is>
      </c>
      <c r="F2005" s="523" t="n">
        <v>45034</v>
      </c>
      <c r="G2005" s="556" t="n">
        <v>303262</v>
      </c>
      <c r="I2005" s="521">
        <f>G2005</f>
        <v/>
      </c>
      <c r="K2005" s="521">
        <f>I2005-G2005</f>
        <v/>
      </c>
      <c r="M2005" s="522" t="inlineStr">
        <is>
          <t>TI0247264</t>
        </is>
      </c>
      <c r="N2005" s="522" t="inlineStr">
        <is>
          <t>TI0247264</t>
        </is>
      </c>
      <c r="O2005" s="521">
        <f>M2005=N2005</f>
        <v/>
      </c>
      <c r="P2005" s="521">
        <f>AND(MONTH(F2005)=MONTH(S2005), YEAR(F2005)=YEAR(S2005))</f>
        <v/>
      </c>
      <c r="Q2005" s="521">
        <f>U2005="L001-901905215"</f>
        <v/>
      </c>
      <c r="R2005" s="556">
        <f>G2005-W2005</f>
        <v/>
      </c>
      <c r="S2005" s="523" t="n">
        <v>45034</v>
      </c>
      <c r="T2005" s="522" t="inlineStr">
        <is>
          <t>TI-0247264</t>
        </is>
      </c>
      <c r="U2005" s="522" t="inlineStr">
        <is>
          <t>L001-901905215</t>
        </is>
      </c>
      <c r="V2005" s="522" t="inlineStr">
        <is>
          <t>វីអ៊ីស៊ិន (ខេមបូឌា) អ៊ិនដាសស្ទ្រី ឯ.ក</t>
        </is>
      </c>
      <c r="W2005" s="556" t="n">
        <v>303262</v>
      </c>
    </row>
    <row r="2006">
      <c r="A2006" s="521" t="n">
        <v>1998</v>
      </c>
      <c r="B2006" s="522" t="inlineStr">
        <is>
          <t>HANDLING AND TRUCKING FEE</t>
        </is>
      </c>
      <c r="C2006" s="522" t="inlineStr">
        <is>
          <t>អ៊ិចស្ពែឌីធ័រ ខេមបូឌា អិលធីឌី</t>
        </is>
      </c>
      <c r="D2006" s="522" t="inlineStr">
        <is>
          <t>L001-100045898</t>
        </is>
      </c>
      <c r="E2006" s="521" t="inlineStr">
        <is>
          <t>TI-0247274</t>
        </is>
      </c>
      <c r="F2006" s="523" t="n">
        <v>45034</v>
      </c>
      <c r="G2006" s="556" t="n">
        <v>327478</v>
      </c>
      <c r="I2006" s="521">
        <f>G2006</f>
        <v/>
      </c>
      <c r="K2006" s="521">
        <f>I2006-G2006</f>
        <v/>
      </c>
      <c r="M2006" s="522" t="inlineStr">
        <is>
          <t>TI0247274</t>
        </is>
      </c>
      <c r="N2006" s="522" t="inlineStr">
        <is>
          <t>TI0247274</t>
        </is>
      </c>
      <c r="O2006" s="521">
        <f>M2006=N2006</f>
        <v/>
      </c>
      <c r="P2006" s="521">
        <f>AND(MONTH(F2006)=MONTH(S2006), YEAR(F2006)=YEAR(S2006))</f>
        <v/>
      </c>
      <c r="Q2006" s="521">
        <f>U2006="L001-901905215"</f>
        <v/>
      </c>
      <c r="R2006" s="556">
        <f>G2006-W2006</f>
        <v/>
      </c>
      <c r="S2006" s="523" t="n">
        <v>45034</v>
      </c>
      <c r="T2006" s="522" t="inlineStr">
        <is>
          <t>TI-0247274</t>
        </is>
      </c>
      <c r="U2006" s="522" t="inlineStr">
        <is>
          <t>L001-901905215</t>
        </is>
      </c>
      <c r="V2006" s="522" t="inlineStr">
        <is>
          <t>វីអ៊ីស៊ិន (ខេមបូឌា) អ៊ិនដាសស្ទ្រី ឯ.ក</t>
        </is>
      </c>
      <c r="W2006" s="556" t="n">
        <v>327478</v>
      </c>
    </row>
    <row r="2007">
      <c r="A2007" s="521" t="n">
        <v>1999</v>
      </c>
      <c r="B2007" s="522" t="inlineStr">
        <is>
          <t>HANDLING AND TRUCKING FEE</t>
        </is>
      </c>
      <c r="C2007" s="522" t="inlineStr">
        <is>
          <t>អ៊ិចស្ពែឌីធ័រ ខេមបូឌា អិលធីឌី</t>
        </is>
      </c>
      <c r="D2007" s="522" t="inlineStr">
        <is>
          <t>L001-100045898</t>
        </is>
      </c>
      <c r="E2007" s="521" t="inlineStr">
        <is>
          <t>TI-0247289</t>
        </is>
      </c>
      <c r="F2007" s="523" t="n">
        <v>45034</v>
      </c>
      <c r="G2007" s="556" t="n">
        <v>232574</v>
      </c>
      <c r="I2007" s="521">
        <f>G2007</f>
        <v/>
      </c>
      <c r="K2007" s="521">
        <f>I2007-G2007</f>
        <v/>
      </c>
      <c r="M2007" s="522" t="inlineStr">
        <is>
          <t>TI0247289</t>
        </is>
      </c>
      <c r="N2007" s="522" t="inlineStr">
        <is>
          <t>TI0247289</t>
        </is>
      </c>
      <c r="O2007" s="521">
        <f>M2007=N2007</f>
        <v/>
      </c>
      <c r="P2007" s="521">
        <f>AND(MONTH(F2007)=MONTH(S2007), YEAR(F2007)=YEAR(S2007))</f>
        <v/>
      </c>
      <c r="Q2007" s="521">
        <f>U2007="L001-901905215"</f>
        <v/>
      </c>
      <c r="R2007" s="556">
        <f>G2007-W2007</f>
        <v/>
      </c>
      <c r="S2007" s="523" t="n">
        <v>45034</v>
      </c>
      <c r="T2007" s="522" t="inlineStr">
        <is>
          <t>TI-0247289</t>
        </is>
      </c>
      <c r="U2007" s="522" t="inlineStr">
        <is>
          <t>L001-901905215</t>
        </is>
      </c>
      <c r="V2007" s="522" t="inlineStr">
        <is>
          <t>វីអ៊ីស៊ិន (ខេមបូឌា) អ៊ិនដាសស្ទ្រី ឯ.ក</t>
        </is>
      </c>
      <c r="W2007" s="556" t="n">
        <v>232566</v>
      </c>
    </row>
    <row r="2008">
      <c r="A2008" s="521" t="n">
        <v>2000</v>
      </c>
      <c r="B2008" s="522" t="inlineStr">
        <is>
          <t>HANDLING AND TRUCKING FEE</t>
        </is>
      </c>
      <c r="C2008" s="522" t="inlineStr">
        <is>
          <t>អ៊ិចស្ពែឌីធ័រ ខេមបូឌា អិលធីឌី</t>
        </is>
      </c>
      <c r="D2008" s="522" t="inlineStr">
        <is>
          <t>L001-100045898</t>
        </is>
      </c>
      <c r="E2008" s="521" t="inlineStr">
        <is>
          <t>TI-0247298</t>
        </is>
      </c>
      <c r="F2008" s="523" t="n">
        <v>45034</v>
      </c>
      <c r="G2008" s="556" t="n">
        <v>87713</v>
      </c>
      <c r="I2008" s="521">
        <f>G2008</f>
        <v/>
      </c>
      <c r="K2008" s="521">
        <f>I2008-G2008</f>
        <v/>
      </c>
      <c r="M2008" s="522" t="inlineStr">
        <is>
          <t>TI0247298</t>
        </is>
      </c>
      <c r="N2008" s="522" t="inlineStr">
        <is>
          <t>TI0247298</t>
        </is>
      </c>
      <c r="O2008" s="521">
        <f>M2008=N2008</f>
        <v/>
      </c>
      <c r="P2008" s="521">
        <f>AND(MONTH(F2008)=MONTH(S2008), YEAR(F2008)=YEAR(S2008))</f>
        <v/>
      </c>
      <c r="Q2008" s="521">
        <f>U2008="L001-901905215"</f>
        <v/>
      </c>
      <c r="R2008" s="556">
        <f>G2008-W2008</f>
        <v/>
      </c>
      <c r="S2008" s="523" t="n">
        <v>45034</v>
      </c>
      <c r="T2008" s="522" t="inlineStr">
        <is>
          <t>TI-0247298</t>
        </is>
      </c>
      <c r="U2008" s="522" t="inlineStr">
        <is>
          <t>L001-901905215</t>
        </is>
      </c>
      <c r="V2008" s="522" t="inlineStr">
        <is>
          <t>វីអ៊ីស៊ិន (ខេមបូឌា) អ៊ិនដាសស្ទ្រី ឯ.ក</t>
        </is>
      </c>
      <c r="W2008" s="556" t="n">
        <v>87720</v>
      </c>
    </row>
    <row r="2009">
      <c r="A2009" s="521" t="n">
        <v>2001</v>
      </c>
      <c r="B2009" s="522" t="inlineStr">
        <is>
          <t>HANDLING AND TRUCKING FEE</t>
        </is>
      </c>
      <c r="C2009" s="522" t="inlineStr">
        <is>
          <t>អ៊ិចស្ពែឌីធ័រ ខេមបូឌា អិលធីឌី</t>
        </is>
      </c>
      <c r="D2009" s="522" t="inlineStr">
        <is>
          <t>L001-100045898</t>
        </is>
      </c>
      <c r="E2009" s="521" t="inlineStr">
        <is>
          <t>TI-0247309</t>
        </is>
      </c>
      <c r="F2009" s="523" t="n">
        <v>45034</v>
      </c>
      <c r="G2009" s="556" t="n">
        <v>198237</v>
      </c>
      <c r="I2009" s="521">
        <f>G2009</f>
        <v/>
      </c>
      <c r="K2009" s="521">
        <f>I2009-G2009</f>
        <v/>
      </c>
      <c r="M2009" s="522" t="inlineStr">
        <is>
          <t>TI0247309</t>
        </is>
      </c>
      <c r="N2009" s="522" t="inlineStr">
        <is>
          <t>TI0247309</t>
        </is>
      </c>
      <c r="O2009" s="521">
        <f>M2009=N2009</f>
        <v/>
      </c>
      <c r="P2009" s="521">
        <f>AND(MONTH(F2009)=MONTH(S2009), YEAR(F2009)=YEAR(S2009))</f>
        <v/>
      </c>
      <c r="Q2009" s="521">
        <f>U2009="L001-901905215"</f>
        <v/>
      </c>
      <c r="R2009" s="556">
        <f>G2009-W2009</f>
        <v/>
      </c>
      <c r="S2009" s="523" t="n">
        <v>45034</v>
      </c>
      <c r="T2009" s="522" t="inlineStr">
        <is>
          <t>TI-0247309</t>
        </is>
      </c>
      <c r="U2009" s="522" t="inlineStr">
        <is>
          <t>L001-901905215</t>
        </is>
      </c>
      <c r="V2009" s="522" t="inlineStr">
        <is>
          <t>វីអ៊ីស៊ិន (ខេមបូឌា) អ៊ិនដាសស្ទ្រី ឯ.ក</t>
        </is>
      </c>
      <c r="W2009" s="556" t="n">
        <v>198234</v>
      </c>
    </row>
    <row r="2010">
      <c r="A2010" s="521" t="n">
        <v>2002</v>
      </c>
      <c r="B2010" s="522" t="inlineStr">
        <is>
          <t>HANDLING AND TRUCKING FEE</t>
        </is>
      </c>
      <c r="C2010" s="522" t="inlineStr">
        <is>
          <t>អ៊ិចស្ពែឌីធ័រ ខេមបូឌា អិលធីឌី</t>
        </is>
      </c>
      <c r="D2010" s="522" t="inlineStr">
        <is>
          <t>L001-100045898</t>
        </is>
      </c>
      <c r="E2010" s="521" t="inlineStr">
        <is>
          <t>TI-0247323</t>
        </is>
      </c>
      <c r="F2010" s="523" t="n">
        <v>45034</v>
      </c>
      <c r="G2010" s="556" t="n">
        <v>252054</v>
      </c>
      <c r="I2010" s="521">
        <f>G2010</f>
        <v/>
      </c>
      <c r="K2010" s="521">
        <f>I2010-G2010</f>
        <v/>
      </c>
      <c r="M2010" s="522" t="inlineStr">
        <is>
          <t>TI0247323</t>
        </is>
      </c>
      <c r="N2010" s="522" t="inlineStr">
        <is>
          <t>TI0247323</t>
        </is>
      </c>
      <c r="O2010" s="521">
        <f>M2010=N2010</f>
        <v/>
      </c>
      <c r="P2010" s="521">
        <f>AND(MONTH(F2010)=MONTH(S2010), YEAR(F2010)=YEAR(S2010))</f>
        <v/>
      </c>
      <c r="Q2010" s="521">
        <f>U2010="L001-901905215"</f>
        <v/>
      </c>
      <c r="R2010" s="556">
        <f>G2010-W2010</f>
        <v/>
      </c>
      <c r="S2010" s="523" t="n">
        <v>45034</v>
      </c>
      <c r="T2010" s="522" t="inlineStr">
        <is>
          <t>TI-0247323</t>
        </is>
      </c>
      <c r="U2010" s="522" t="inlineStr">
        <is>
          <t>L001-901905215</t>
        </is>
      </c>
      <c r="V2010" s="522" t="inlineStr">
        <is>
          <t>វីអ៊ីស៊ិន (ខេមបូឌា) អ៊ិនដាសស្ទ្រី ឯ.ក</t>
        </is>
      </c>
      <c r="W2010" s="556" t="n">
        <v>252069</v>
      </c>
    </row>
    <row r="2011">
      <c r="A2011" s="521" t="n">
        <v>2003</v>
      </c>
      <c r="B2011" s="522" t="inlineStr">
        <is>
          <t>CY THC,DOCUMENT CHARGE,SEAL FEE, AMS FEE, HANDLING CHARGE AND OBL SURRENDER</t>
        </is>
      </c>
      <c r="C2011" s="522" t="inlineStr">
        <is>
          <t>ហេកធ័រ ត្រេនស្ព័រថេសិន (ខេមបូឌា) ឯ.ក</t>
        </is>
      </c>
      <c r="D2011" s="522" t="inlineStr">
        <is>
          <t>K002-901900264</t>
        </is>
      </c>
      <c r="E2011" s="521" t="inlineStr">
        <is>
          <t>23000698</t>
        </is>
      </c>
      <c r="F2011" s="523" t="n">
        <v>45035</v>
      </c>
      <c r="G2011" s="556" t="n">
        <v>168739</v>
      </c>
      <c r="I2011" s="521">
        <f>G2011</f>
        <v/>
      </c>
      <c r="K2011" s="521">
        <f>I2011-G2011</f>
        <v/>
      </c>
      <c r="M2011" s="522" t="inlineStr">
        <is>
          <t>23000698</t>
        </is>
      </c>
      <c r="N2011" s="522" t="inlineStr">
        <is>
          <t>23000698</t>
        </is>
      </c>
      <c r="O2011" s="521">
        <f>M2011=N2011</f>
        <v/>
      </c>
      <c r="P2011" s="521">
        <f>AND(MONTH(F2011)=MONTH(S2011), YEAR(F2011)=YEAR(S2011))</f>
        <v/>
      </c>
      <c r="Q2011" s="521">
        <f>U2011="L001-901905215"</f>
        <v/>
      </c>
      <c r="R2011" s="556">
        <f>G2011-W2011</f>
        <v/>
      </c>
      <c r="S2011" s="523" t="n">
        <v>45035</v>
      </c>
      <c r="T2011" s="522" t="inlineStr">
        <is>
          <t>23000698</t>
        </is>
      </c>
      <c r="U2011" s="522" t="inlineStr">
        <is>
          <t>L001-901905215</t>
        </is>
      </c>
      <c r="V2011" s="522" t="inlineStr">
        <is>
          <t>វីអ៊ីស៊ិន (ខេមបូឌា) អ៊ិនដាសស្ទ្រី ឯ.ក</t>
        </is>
      </c>
      <c r="W2011" s="556" t="n">
        <v>170773</v>
      </c>
    </row>
    <row r="2012">
      <c r="A2012" s="521" t="n">
        <v>2004</v>
      </c>
      <c r="B2012" s="522" t="inlineStr">
        <is>
          <t>Paper label</t>
        </is>
      </c>
      <c r="C2012" s="522" t="inlineStr">
        <is>
          <t>ស៊ីន ហ្វី យ៉ាង ព្រីនធីង &amp; អិកសេសសឺរី ឯ.ក</t>
        </is>
      </c>
      <c r="D2012" s="522" t="inlineStr">
        <is>
          <t>K010-901906822</t>
        </is>
      </c>
      <c r="E2012" s="521" t="inlineStr">
        <is>
          <t>XFY-YD2023067</t>
        </is>
      </c>
      <c r="F2012" s="523" t="n">
        <v>45043</v>
      </c>
      <c r="G2012" s="556" t="n">
        <v>262727</v>
      </c>
      <c r="I2012" s="521">
        <f>G2012</f>
        <v/>
      </c>
      <c r="K2012" s="521">
        <f>I2012-G2012</f>
        <v/>
      </c>
      <c r="M2012" s="522" t="inlineStr">
        <is>
          <t>XFYYD2023067</t>
        </is>
      </c>
      <c r="N2012" s="522" t="inlineStr">
        <is>
          <t>XFYYD2023067</t>
        </is>
      </c>
      <c r="O2012" s="521">
        <f>M2012=N2012</f>
        <v/>
      </c>
      <c r="P2012" s="521">
        <f>AND(MONTH(F2012)=MONTH(S2012), YEAR(F2012)=YEAR(S2012))</f>
        <v/>
      </c>
      <c r="Q2012" s="521">
        <f>U2012="L001-901905215"</f>
        <v/>
      </c>
      <c r="R2012" s="556">
        <f>G2012-W2012</f>
        <v/>
      </c>
      <c r="S2012" s="523" t="n">
        <v>45043</v>
      </c>
      <c r="T2012" s="522" t="inlineStr">
        <is>
          <t>XFY-YD2023067</t>
        </is>
      </c>
      <c r="U2012" s="522" t="inlineStr">
        <is>
          <t>L001-901905215</t>
        </is>
      </c>
      <c r="V2012" s="522" t="inlineStr">
        <is>
          <t>វីអ៊ីស៊ិន (ខេមបូឌា) អ៊ិនដាសស្ទ្រី ឯ.ក</t>
        </is>
      </c>
      <c r="W2012" s="556" t="n">
        <v>262727</v>
      </c>
    </row>
    <row r="2013">
      <c r="A2013" s="521" t="n">
        <v>2005</v>
      </c>
      <c r="B2013" s="522" t="inlineStr">
        <is>
          <t>PDQ and Color box</t>
        </is>
      </c>
      <c r="C2013" s="522" t="inlineStr">
        <is>
          <t>វីង ចេង ភែកឃីជីង ឯ.ក</t>
        </is>
      </c>
      <c r="D2013" s="522" t="inlineStr">
        <is>
          <t>L001-902102915</t>
        </is>
      </c>
      <c r="E2013" s="521" t="inlineStr">
        <is>
          <t>TI0288</t>
        </is>
      </c>
      <c r="F2013" s="523" t="n">
        <v>45045</v>
      </c>
      <c r="G2013" s="556" t="n">
        <v>2021605</v>
      </c>
      <c r="I2013" s="521">
        <f>G2013</f>
        <v/>
      </c>
      <c r="K2013" s="521">
        <f>I2013-G2013</f>
        <v/>
      </c>
      <c r="M2013" s="522" t="inlineStr">
        <is>
          <t>TI0288</t>
        </is>
      </c>
      <c r="N2013" s="522" t="inlineStr">
        <is>
          <t>TI0288</t>
        </is>
      </c>
      <c r="O2013" s="521">
        <f>M2013=N2013</f>
        <v/>
      </c>
      <c r="P2013" s="521">
        <f>AND(MONTH(F2013)=MONTH(S2013), YEAR(F2013)=YEAR(S2013))</f>
        <v/>
      </c>
      <c r="Q2013" s="521">
        <f>U2013="L001-901905215"</f>
        <v/>
      </c>
      <c r="R2013" s="556">
        <f>G2013-W2013</f>
        <v/>
      </c>
      <c r="S2013" s="523" t="n">
        <v>45045</v>
      </c>
      <c r="T2013" s="522" t="inlineStr">
        <is>
          <t>TI0288</t>
        </is>
      </c>
      <c r="U2013" s="522" t="inlineStr">
        <is>
          <t>L001-901905215</t>
        </is>
      </c>
      <c r="V2013" s="522" t="inlineStr">
        <is>
          <t>វីអ៊ីស៊ិន (ខេមបូឌា) អ៊ិនដាសស្ទ្រី ឯ.ក</t>
        </is>
      </c>
      <c r="W2013" s="556" t="n">
        <v>2021606</v>
      </c>
    </row>
    <row r="2014">
      <c r="A2014" s="521" t="n">
        <v>2006</v>
      </c>
      <c r="B2014" s="522" t="inlineStr">
        <is>
          <t>Poly bag</t>
        </is>
      </c>
      <c r="C2014" s="522" t="inlineStr">
        <is>
          <t>ហុង ហ៊ីង ភែកឃីជីង មេធៀរៀល ឯ.ក</t>
        </is>
      </c>
      <c r="D2014" s="522" t="inlineStr">
        <is>
          <t>L001-901900945</t>
        </is>
      </c>
      <c r="E2014" s="521" t="inlineStr">
        <is>
          <t>T2023-000153</t>
        </is>
      </c>
      <c r="F2014" s="523" t="n">
        <v>45043</v>
      </c>
      <c r="G2014" s="556" t="n">
        <v>15645</v>
      </c>
      <c r="I2014" s="521">
        <f>G2014</f>
        <v/>
      </c>
      <c r="K2014" s="521">
        <f>I2014-G2014</f>
        <v/>
      </c>
      <c r="M2014" s="522" t="inlineStr">
        <is>
          <t>T2023000153</t>
        </is>
      </c>
      <c r="N2014" s="522" t="inlineStr">
        <is>
          <t>T2023000153</t>
        </is>
      </c>
      <c r="O2014" s="521">
        <f>M2014=N2014</f>
        <v/>
      </c>
      <c r="P2014" s="521">
        <f>AND(MONTH(F2014)=MONTH(S2014), YEAR(F2014)=YEAR(S2014))</f>
        <v/>
      </c>
      <c r="Q2014" s="521">
        <f>U2014="L001-901905215"</f>
        <v/>
      </c>
      <c r="R2014" s="556">
        <f>G2014-W2014</f>
        <v/>
      </c>
      <c r="S2014" s="523" t="n">
        <v>45043</v>
      </c>
      <c r="T2014" s="522" t="inlineStr">
        <is>
          <t>T2023-000153</t>
        </is>
      </c>
      <c r="U2014" s="522" t="inlineStr">
        <is>
          <t>L001-901905215</t>
        </is>
      </c>
      <c r="V2014" s="522" t="inlineStr">
        <is>
          <t>វីអ៊ីស៊ិន (ខេមបូឌា) អ៊ិនដាសស្ទ្រី ឯ.ក</t>
        </is>
      </c>
      <c r="W2014" s="556" t="n">
        <v>15645</v>
      </c>
    </row>
    <row r="2015">
      <c r="A2015" s="521" t="n">
        <v>2007</v>
      </c>
      <c r="B2015" s="522" t="inlineStr">
        <is>
          <t>Paper</t>
        </is>
      </c>
      <c r="C2015" s="522" t="inlineStr">
        <is>
          <t>ដុងគ័ន ស៊ីធី ហ្វាញស្តារ ព្រីនធីង (ខេមបូឌា)</t>
        </is>
      </c>
      <c r="D2015" s="522" t="inlineStr">
        <is>
          <t>L001-100193021</t>
        </is>
      </c>
      <c r="E2015" s="521" t="inlineStr">
        <is>
          <t>00098</t>
        </is>
      </c>
      <c r="F2015" s="523" t="n">
        <v>45042</v>
      </c>
      <c r="G2015" s="556" t="n">
        <v>5921985</v>
      </c>
      <c r="I2015" s="521">
        <f>G2015</f>
        <v/>
      </c>
      <c r="K2015" s="521">
        <f>I2015-G2015</f>
        <v/>
      </c>
      <c r="M2015" s="522" t="inlineStr">
        <is>
          <t>00098</t>
        </is>
      </c>
      <c r="N2015" s="522" t="inlineStr">
        <is>
          <t>00098</t>
        </is>
      </c>
      <c r="O2015" s="521">
        <f>M2015=N2015</f>
        <v/>
      </c>
      <c r="P2015" s="521">
        <f>AND(MONTH(F2015)=MONTH(S2015), YEAR(F2015)=YEAR(S2015))</f>
        <v/>
      </c>
      <c r="Q2015" s="521">
        <f>U2015="L001-901905215"</f>
        <v/>
      </c>
      <c r="R2015" s="556">
        <f>G2015-W2015</f>
        <v/>
      </c>
      <c r="S2015" s="523" t="n">
        <v>45042</v>
      </c>
      <c r="T2015" s="522" t="inlineStr">
        <is>
          <t>00098</t>
        </is>
      </c>
      <c r="U2015" s="522" t="inlineStr">
        <is>
          <t>L001-901905215</t>
        </is>
      </c>
      <c r="V2015" s="522" t="inlineStr">
        <is>
          <t>វីអ៊ីស៊ិន (ខេមបូឌា) អ៊ិនដាសស្ទ្រី ឯ.ក</t>
        </is>
      </c>
      <c r="W2015" s="556" t="n">
        <v>5921985</v>
      </c>
    </row>
    <row r="2016">
      <c r="A2016" s="521" t="n">
        <v>2008</v>
      </c>
      <c r="B2016" s="522" t="n"/>
      <c r="C2016" s="522" t="inlineStr">
        <is>
          <t>អ៊ិចស្ពែឌីធ័រ ខេមបូឌា អិលធីឌី</t>
        </is>
      </c>
      <c r="D2016" s="522" t="inlineStr">
        <is>
          <t>L001-100045898</t>
        </is>
      </c>
      <c r="E2016" s="521" t="inlineStr">
        <is>
          <t>TI0176128</t>
        </is>
      </c>
      <c r="F2016" s="523" t="n">
        <v>43963</v>
      </c>
      <c r="G2016" s="556" t="n">
        <v>150880</v>
      </c>
      <c r="I2016" s="521">
        <f>G2016</f>
        <v/>
      </c>
      <c r="K2016" s="521">
        <f>I2016-G2016</f>
        <v/>
      </c>
      <c r="M2016" s="522" t="inlineStr">
        <is>
          <t>TI0176128</t>
        </is>
      </c>
      <c r="N2016" s="522" t="inlineStr">
        <is>
          <t>TI0176128</t>
        </is>
      </c>
      <c r="O2016" s="521">
        <f>M2016=N2016</f>
        <v/>
      </c>
      <c r="P2016" s="521">
        <f>AND(MONTH(F2016)=MONTH(S2016), YEAR(F2016)=YEAR(S2016))</f>
        <v/>
      </c>
      <c r="Q2016" s="521">
        <f>U2016="L001-901905215"</f>
        <v/>
      </c>
      <c r="R2016" s="556">
        <f>G2016-W2016</f>
        <v/>
      </c>
      <c r="S2016" s="523" t="n">
        <v>43963</v>
      </c>
      <c r="T2016" s="522" t="inlineStr">
        <is>
          <t>TI-0176128</t>
        </is>
      </c>
      <c r="U2016" s="522" t="inlineStr">
        <is>
          <t>L001-901905215</t>
        </is>
      </c>
      <c r="V2016" s="522" t="inlineStr">
        <is>
          <t>វីអ៊ីស៊ិន (ខេមបូឌា) អ៊ិនដាសស្ទ្រី ឯ.ក</t>
        </is>
      </c>
      <c r="W2016" s="556" t="n">
        <v>150880</v>
      </c>
    </row>
    <row r="2017">
      <c r="A2017" s="521" t="n">
        <v>2009</v>
      </c>
      <c r="B2017" s="522" t="n"/>
      <c r="C2017" s="522" t="inlineStr">
        <is>
          <t>ខេមវីល គ្លូប៊ល ឯ.ក</t>
        </is>
      </c>
      <c r="D2017" s="522" t="inlineStr">
        <is>
          <t>L001-901637190</t>
        </is>
      </c>
      <c r="E2017" s="521" t="inlineStr">
        <is>
          <t>INV200572</t>
        </is>
      </c>
      <c r="F2017" s="523" t="n">
        <v>43977</v>
      </c>
      <c r="G2017" s="556" t="n">
        <v>176945</v>
      </c>
      <c r="I2017" s="521">
        <f>G2017</f>
        <v/>
      </c>
      <c r="K2017" s="521">
        <f>I2017-G2017</f>
        <v/>
      </c>
      <c r="M2017" s="522" t="inlineStr">
        <is>
          <t>INV200572</t>
        </is>
      </c>
      <c r="N2017" s="522" t="inlineStr">
        <is>
          <t>INV200572</t>
        </is>
      </c>
      <c r="O2017" s="521">
        <f>M2017=N2017</f>
        <v/>
      </c>
      <c r="P2017" s="521">
        <f>AND(MONTH(F2017)=MONTH(S2017), YEAR(F2017)=YEAR(S2017))</f>
        <v/>
      </c>
      <c r="Q2017" s="521">
        <f>U2017="L001-901905215"</f>
        <v/>
      </c>
      <c r="R2017" s="556">
        <f>G2017-W2017</f>
        <v/>
      </c>
      <c r="S2017" s="523" t="n">
        <v>43977</v>
      </c>
      <c r="T2017" s="522" t="inlineStr">
        <is>
          <t>INV200572</t>
        </is>
      </c>
      <c r="U2017" s="522" t="inlineStr">
        <is>
          <t>L001-901905215</t>
        </is>
      </c>
      <c r="V2017" s="522" t="inlineStr">
        <is>
          <t>វីអ៊ីស៊ិន (ខេមបូឌា) អ៊ិនដាសស្ទ្រី ឯ.ក</t>
        </is>
      </c>
      <c r="W2017" s="556" t="n">
        <v>176988</v>
      </c>
    </row>
    <row r="2018">
      <c r="A2018" s="521" t="n">
        <v>2010</v>
      </c>
      <c r="B2018" s="522" t="n"/>
      <c r="C2018" s="522" t="inlineStr">
        <is>
          <t>ប្យួរ៉ូ វេរីតាស (ខេមបូឌា) លីមីធីត</t>
        </is>
      </c>
      <c r="D2018" s="522" t="inlineStr">
        <is>
          <t>L001-107024462</t>
        </is>
      </c>
      <c r="E2018" s="521" t="inlineStr">
        <is>
          <t>59007504</t>
        </is>
      </c>
      <c r="F2018" s="523" t="n">
        <v>43959</v>
      </c>
      <c r="G2018" s="556" t="n">
        <v>184770</v>
      </c>
      <c r="I2018" s="521">
        <f>G2018</f>
        <v/>
      </c>
      <c r="K2018" s="521">
        <f>I2018-G2018</f>
        <v/>
      </c>
      <c r="M2018" s="522" t="inlineStr">
        <is>
          <t>59007504</t>
        </is>
      </c>
      <c r="N2018" s="522" t="inlineStr">
        <is>
          <t>59007504</t>
        </is>
      </c>
      <c r="O2018" s="521">
        <f>M2018=N2018</f>
        <v/>
      </c>
      <c r="P2018" s="521">
        <f>AND(MONTH(F2018)=MONTH(S2018), YEAR(F2018)=YEAR(S2018))</f>
        <v/>
      </c>
      <c r="Q2018" s="521">
        <f>U2018="L001-901905215"</f>
        <v/>
      </c>
      <c r="R2018" s="556">
        <f>G2018-W2018</f>
        <v/>
      </c>
      <c r="S2018" s="523" t="n">
        <v>43959</v>
      </c>
      <c r="T2018" s="522" t="inlineStr">
        <is>
          <t>59007504</t>
        </is>
      </c>
      <c r="U2018" s="522" t="inlineStr">
        <is>
          <t>L001-901905215</t>
        </is>
      </c>
      <c r="V2018" s="522" t="inlineStr">
        <is>
          <t>វីអ៊ីស៊ិន (ខេមបូឌា) អ៊ិនដាសស្ទ្រី ឯ.ក</t>
        </is>
      </c>
      <c r="W2018" s="556" t="n">
        <v>184770</v>
      </c>
    </row>
    <row r="2019">
      <c r="A2019" s="521" t="n">
        <v>2011</v>
      </c>
      <c r="B2019" s="522" t="n"/>
      <c r="C2019" s="522" t="inlineStr">
        <is>
          <t>ប្យួរ៉ូ វេរីតាស (ខេមបូឌា) លីមីធីត</t>
        </is>
      </c>
      <c r="D2019" s="522" t="inlineStr">
        <is>
          <t>L001-107024462</t>
        </is>
      </c>
      <c r="E2019" s="521" t="inlineStr">
        <is>
          <t>59007476</t>
        </is>
      </c>
      <c r="F2019" s="523" t="n">
        <v>43956</v>
      </c>
      <c r="G2019" s="556" t="n">
        <v>123120</v>
      </c>
      <c r="I2019" s="521">
        <f>G2019</f>
        <v/>
      </c>
      <c r="K2019" s="521">
        <f>I2019-G2019</f>
        <v/>
      </c>
      <c r="M2019" s="522" t="inlineStr">
        <is>
          <t>59007476</t>
        </is>
      </c>
      <c r="N2019" s="522" t="inlineStr">
        <is>
          <t>59007476</t>
        </is>
      </c>
      <c r="O2019" s="521">
        <f>M2019=N2019</f>
        <v/>
      </c>
      <c r="P2019" s="521">
        <f>AND(MONTH(F2019)=MONTH(S2019), YEAR(F2019)=YEAR(S2019))</f>
        <v/>
      </c>
      <c r="Q2019" s="521">
        <f>U2019="L001-901905215"</f>
        <v/>
      </c>
      <c r="R2019" s="556">
        <f>G2019-W2019</f>
        <v/>
      </c>
      <c r="S2019" s="523" t="n">
        <v>43956</v>
      </c>
      <c r="T2019" s="522" t="inlineStr">
        <is>
          <t>59007476</t>
        </is>
      </c>
      <c r="U2019" s="522" t="inlineStr">
        <is>
          <t>L001-901905215</t>
        </is>
      </c>
      <c r="V2019" s="522" t="inlineStr">
        <is>
          <t>វីអ៊ីស៊ិន (ខេមបូឌា) អ៊ិនដាសស្ទ្រី ឯ.ក</t>
        </is>
      </c>
      <c r="W2019" s="556" t="n">
        <v>123120</v>
      </c>
    </row>
    <row r="2020">
      <c r="A2020" s="521" t="n">
        <v>2012</v>
      </c>
      <c r="B2020" s="522" t="n"/>
      <c r="C2020" s="522" t="inlineStr">
        <is>
          <t>អ៊ិចស្ពែឌីធ័រ ខេមបូឌា អិលធីឌី</t>
        </is>
      </c>
      <c r="D2020" s="522" t="inlineStr">
        <is>
          <t>L001-100045898</t>
        </is>
      </c>
      <c r="E2020" s="521" t="inlineStr">
        <is>
          <t>TI0176701</t>
        </is>
      </c>
      <c r="F2020" s="523" t="n">
        <v>43976</v>
      </c>
      <c r="G2020" s="556" t="n">
        <v>125096</v>
      </c>
      <c r="I2020" s="521">
        <f>G2020</f>
        <v/>
      </c>
      <c r="K2020" s="521">
        <f>I2020-G2020</f>
        <v/>
      </c>
      <c r="M2020" s="522" t="inlineStr">
        <is>
          <t>TI0176701</t>
        </is>
      </c>
      <c r="N2020" s="522" t="inlineStr">
        <is>
          <t>TI0176701</t>
        </is>
      </c>
      <c r="O2020" s="521">
        <f>M2020=N2020</f>
        <v/>
      </c>
      <c r="P2020" s="521">
        <f>AND(MONTH(F2020)=MONTH(S2020), YEAR(F2020)=YEAR(S2020))</f>
        <v/>
      </c>
      <c r="Q2020" s="521">
        <f>U2020="L001-901905215"</f>
        <v/>
      </c>
      <c r="R2020" s="556">
        <f>G2020-W2020</f>
        <v/>
      </c>
      <c r="S2020" s="523" t="n">
        <v>43976</v>
      </c>
      <c r="T2020" s="522" t="inlineStr">
        <is>
          <t>TI-0176701</t>
        </is>
      </c>
      <c r="U2020" s="522" t="inlineStr">
        <is>
          <t>L001-901905215</t>
        </is>
      </c>
      <c r="V2020" s="522" t="inlineStr">
        <is>
          <t>វីអ៊ីស៊ិន (ខេមបូឌា) អ៊ិនដាសស្ទ្រី ឯ.ក</t>
        </is>
      </c>
      <c r="W2020" s="556" t="n">
        <v>125096</v>
      </c>
    </row>
    <row r="2021">
      <c r="A2021" s="521" t="n">
        <v>2013</v>
      </c>
      <c r="B2021" s="522" t="n"/>
      <c r="C2021" s="522" t="inlineStr">
        <is>
          <t>អ៊ិចស្ពែឌីធ័រ ខេមបូឌា អិលធីឌី</t>
        </is>
      </c>
      <c r="D2021" s="522" t="inlineStr">
        <is>
          <t>L001-100045898</t>
        </is>
      </c>
      <c r="E2021" s="521" t="inlineStr">
        <is>
          <t>TI0176700</t>
        </is>
      </c>
      <c r="F2021" s="523" t="n">
        <v>43976</v>
      </c>
      <c r="G2021" s="556" t="n">
        <v>151432</v>
      </c>
      <c r="I2021" s="521">
        <f>G2021</f>
        <v/>
      </c>
      <c r="K2021" s="521">
        <f>I2021-G2021</f>
        <v/>
      </c>
      <c r="M2021" s="522" t="inlineStr">
        <is>
          <t>TI0176700</t>
        </is>
      </c>
      <c r="N2021" s="522" t="inlineStr">
        <is>
          <t>TI0176700</t>
        </is>
      </c>
      <c r="O2021" s="521">
        <f>M2021=N2021</f>
        <v/>
      </c>
      <c r="P2021" s="521">
        <f>AND(MONTH(F2021)=MONTH(S2021), YEAR(F2021)=YEAR(S2021))</f>
        <v/>
      </c>
      <c r="Q2021" s="521">
        <f>U2021="L001-901905215"</f>
        <v/>
      </c>
      <c r="R2021" s="556">
        <f>G2021-W2021</f>
        <v/>
      </c>
      <c r="S2021" s="523" t="n">
        <v>43976</v>
      </c>
      <c r="T2021" s="522" t="inlineStr">
        <is>
          <t>TI-0176700</t>
        </is>
      </c>
      <c r="U2021" s="522" t="inlineStr">
        <is>
          <t>L001-901905215</t>
        </is>
      </c>
      <c r="V2021" s="522" t="inlineStr">
        <is>
          <t>វីអ៊ីស៊ិន (ខេមបូឌា) អ៊ិនដាសស្ទ្រី ឯ.ក</t>
        </is>
      </c>
      <c r="W2021" s="556" t="n">
        <v>151432</v>
      </c>
    </row>
    <row r="2022">
      <c r="A2022" s="521" t="n">
        <v>2014</v>
      </c>
      <c r="B2022" s="522" t="n"/>
      <c r="C2022" s="522" t="inlineStr">
        <is>
          <t>អ៊ិចស្ពែឌីធ័រ ខេមបូឌា អិលធីឌី</t>
        </is>
      </c>
      <c r="D2022" s="522" t="inlineStr">
        <is>
          <t>L001-100045898</t>
        </is>
      </c>
      <c r="E2022" s="521" t="inlineStr">
        <is>
          <t>TI0176556</t>
        </is>
      </c>
      <c r="F2022" s="523" t="n">
        <v>43971</v>
      </c>
      <c r="G2022" s="556" t="n">
        <v>90443</v>
      </c>
      <c r="I2022" s="521">
        <f>G2022</f>
        <v/>
      </c>
      <c r="K2022" s="521">
        <f>I2022-G2022</f>
        <v/>
      </c>
      <c r="M2022" s="522" t="inlineStr">
        <is>
          <t>TI0176556</t>
        </is>
      </c>
      <c r="N2022" s="522" t="inlineStr">
        <is>
          <t>TI0176556</t>
        </is>
      </c>
      <c r="O2022" s="521">
        <f>M2022=N2022</f>
        <v/>
      </c>
      <c r="P2022" s="521">
        <f>AND(MONTH(F2022)=MONTH(S2022), YEAR(F2022)=YEAR(S2022))</f>
        <v/>
      </c>
      <c r="Q2022" s="521">
        <f>U2022="L001-901905215"</f>
        <v/>
      </c>
      <c r="R2022" s="556">
        <f>G2022-W2022</f>
        <v/>
      </c>
      <c r="S2022" s="523" t="n">
        <v>43971</v>
      </c>
      <c r="T2022" s="522" t="inlineStr">
        <is>
          <t>TI-0176556</t>
        </is>
      </c>
      <c r="U2022" s="522" t="inlineStr">
        <is>
          <t>L001-901905215</t>
        </is>
      </c>
      <c r="V2022" s="522" t="inlineStr">
        <is>
          <t>វីអ៊ីស៊ិន (ខេមបូឌា) អ៊ិនដាសស្ទ្រី ឯ.ក</t>
        </is>
      </c>
      <c r="W2022" s="556" t="n">
        <v>90439</v>
      </c>
    </row>
    <row r="2023">
      <c r="A2023" s="521" t="n">
        <v>2015</v>
      </c>
      <c r="B2023" s="522" t="n"/>
      <c r="C2023" s="522" t="inlineStr">
        <is>
          <t>ខេមវីល គ្លូប៊ល ឯ.ក</t>
        </is>
      </c>
      <c r="D2023" s="522" t="inlineStr">
        <is>
          <t>L001-901637190</t>
        </is>
      </c>
      <c r="E2023" s="521" t="inlineStr">
        <is>
          <t>INV200537</t>
        </is>
      </c>
      <c r="F2023" s="523" t="n">
        <v>43969</v>
      </c>
      <c r="G2023" s="556" t="n">
        <v>86205</v>
      </c>
      <c r="I2023" s="521">
        <f>G2023</f>
        <v/>
      </c>
      <c r="K2023" s="521">
        <f>I2023-G2023</f>
        <v/>
      </c>
      <c r="M2023" s="522" t="inlineStr">
        <is>
          <t>INV200537</t>
        </is>
      </c>
      <c r="N2023" s="522" t="inlineStr">
        <is>
          <t>INV200537</t>
        </is>
      </c>
      <c r="O2023" s="521">
        <f>M2023=N2023</f>
        <v/>
      </c>
      <c r="P2023" s="521">
        <f>AND(MONTH(F2023)=MONTH(S2023), YEAR(F2023)=YEAR(S2023))</f>
        <v/>
      </c>
      <c r="Q2023" s="521">
        <f>U2023="L001-901905215"</f>
        <v/>
      </c>
      <c r="R2023" s="556">
        <f>G2023-W2023</f>
        <v/>
      </c>
      <c r="S2023" s="523" t="n">
        <v>43969</v>
      </c>
      <c r="T2023" s="522" t="inlineStr">
        <is>
          <t>INV200537</t>
        </is>
      </c>
      <c r="U2023" s="522" t="inlineStr">
        <is>
          <t>L001-901905215</t>
        </is>
      </c>
      <c r="V2023" s="522" t="inlineStr">
        <is>
          <t>វីអ៊ីស៊ិន (ខេមបូឌា) អ៊ិនដាសស្ទ្រី ឯ.ក</t>
        </is>
      </c>
      <c r="W2023" s="556" t="n">
        <v>86436</v>
      </c>
    </row>
    <row r="2024">
      <c r="A2024" s="521" t="n">
        <v>2016</v>
      </c>
      <c r="B2024" s="522" t="n"/>
      <c r="C2024" s="522" t="inlineStr">
        <is>
          <t>កំពង់ផែស្វយ័តភ្នំពេញ "ក.ស.ភ"</t>
        </is>
      </c>
      <c r="D2024" s="522" t="inlineStr">
        <is>
          <t>L001-100044999</t>
        </is>
      </c>
      <c r="E2024" s="521" t="inlineStr">
        <is>
          <t>INV20200524267</t>
        </is>
      </c>
      <c r="F2024" s="523" t="n">
        <v>43974</v>
      </c>
      <c r="G2024" s="556" t="n">
        <v>19625</v>
      </c>
      <c r="I2024" s="521">
        <f>G2024</f>
        <v/>
      </c>
      <c r="K2024" s="521">
        <f>I2024-G2024</f>
        <v/>
      </c>
      <c r="M2024" s="522" t="inlineStr">
        <is>
          <t>INV20200524267</t>
        </is>
      </c>
      <c r="N2024" s="522" t="inlineStr"/>
      <c r="O2024" s="521">
        <f>M2024=N2024</f>
        <v/>
      </c>
      <c r="P2024" s="521">
        <f>AND(MONTH(F2024)=MONTH(S2024), YEAR(F2024)=YEAR(S2024))</f>
        <v/>
      </c>
      <c r="Q2024" s="521">
        <f>U2024="L001-901905215"</f>
        <v/>
      </c>
      <c r="R2024" s="556">
        <f>G2024-W2024</f>
        <v/>
      </c>
      <c r="S2024" s="521" t="n"/>
      <c r="T2024" s="522" t="n"/>
      <c r="U2024" s="522" t="n"/>
      <c r="V2024" s="522" t="n"/>
      <c r="W2024" s="521" t="n"/>
    </row>
    <row r="2025">
      <c r="A2025" s="521" t="n">
        <v>2017</v>
      </c>
      <c r="B2025" s="522" t="n"/>
      <c r="C2025" s="522" t="inlineStr">
        <is>
          <t>អ៊ិចស្ពែឌីធ័រ ខេមបូឌា អិលធីឌី</t>
        </is>
      </c>
      <c r="D2025" s="522" t="inlineStr">
        <is>
          <t>L001-100045898</t>
        </is>
      </c>
      <c r="E2025" s="521" t="inlineStr">
        <is>
          <t>TI0176540</t>
        </is>
      </c>
      <c r="F2025" s="523" t="n">
        <v>43971</v>
      </c>
      <c r="G2025" s="556" t="n">
        <v>63372</v>
      </c>
      <c r="I2025" s="521">
        <f>G2025</f>
        <v/>
      </c>
      <c r="K2025" s="521">
        <f>I2025-G2025</f>
        <v/>
      </c>
      <c r="M2025" s="522" t="inlineStr">
        <is>
          <t>TI0176540</t>
        </is>
      </c>
      <c r="N2025" s="522" t="inlineStr">
        <is>
          <t>TI0176540</t>
        </is>
      </c>
      <c r="O2025" s="521">
        <f>M2025=N2025</f>
        <v/>
      </c>
      <c r="P2025" s="521">
        <f>AND(MONTH(F2025)=MONTH(S2025), YEAR(F2025)=YEAR(S2025))</f>
        <v/>
      </c>
      <c r="Q2025" s="521">
        <f>U2025="L001-901905215"</f>
        <v/>
      </c>
      <c r="R2025" s="556">
        <f>G2025-W2025</f>
        <v/>
      </c>
      <c r="S2025" s="523" t="n">
        <v>43971</v>
      </c>
      <c r="T2025" s="522" t="inlineStr">
        <is>
          <t>TI-0176540</t>
        </is>
      </c>
      <c r="U2025" s="522" t="inlineStr">
        <is>
          <t>L001-901905215</t>
        </is>
      </c>
      <c r="V2025" s="522" t="inlineStr">
        <is>
          <t>វីអ៊ីស៊ិន (ខេមបូឌា) អ៊ិនដាសស្ទ្រី ឯ.ក</t>
        </is>
      </c>
      <c r="W2025" s="556" t="n">
        <v>63361</v>
      </c>
    </row>
    <row r="2026">
      <c r="A2026" s="521" t="n">
        <v>2018</v>
      </c>
      <c r="B2026" s="522" t="n"/>
      <c r="C2026" s="522" t="inlineStr">
        <is>
          <t>អ៊ិចស្ពែឌីធ័រ ខេមបូឌា អិលធីឌី</t>
        </is>
      </c>
      <c r="D2026" s="522" t="inlineStr">
        <is>
          <t>L001-100045898</t>
        </is>
      </c>
      <c r="E2026" s="521" t="inlineStr">
        <is>
          <t>TI0176343</t>
        </is>
      </c>
      <c r="F2026" s="523" t="n">
        <v>43969</v>
      </c>
      <c r="G2026" s="556" t="n">
        <v>135055</v>
      </c>
      <c r="I2026" s="521">
        <f>G2026</f>
        <v/>
      </c>
      <c r="K2026" s="521">
        <f>I2026-G2026</f>
        <v/>
      </c>
      <c r="M2026" s="522" t="inlineStr">
        <is>
          <t>TI0176343</t>
        </is>
      </c>
      <c r="N2026" s="522" t="inlineStr">
        <is>
          <t>TI0176343</t>
        </is>
      </c>
      <c r="O2026" s="521">
        <f>M2026=N2026</f>
        <v/>
      </c>
      <c r="P2026" s="521">
        <f>AND(MONTH(F2026)=MONTH(S2026), YEAR(F2026)=YEAR(S2026))</f>
        <v/>
      </c>
      <c r="Q2026" s="521">
        <f>U2026="L001-901905215"</f>
        <v/>
      </c>
      <c r="R2026" s="556">
        <f>G2026-W2026</f>
        <v/>
      </c>
      <c r="S2026" s="523" t="n">
        <v>43969</v>
      </c>
      <c r="T2026" s="522" t="inlineStr">
        <is>
          <t>TI-0176343</t>
        </is>
      </c>
      <c r="U2026" s="522" t="inlineStr">
        <is>
          <t>L001-901905215</t>
        </is>
      </c>
      <c r="V2026" s="522" t="inlineStr">
        <is>
          <t>វីអ៊ីស៊ិន (ខេមបូឌា) អ៊ិនដាសស្ទ្រី ឯ.ក</t>
        </is>
      </c>
      <c r="W2026" s="556" t="n">
        <v>135055</v>
      </c>
    </row>
    <row r="2027">
      <c r="A2027" s="521" t="n">
        <v>2019</v>
      </c>
      <c r="B2027" s="522" t="n"/>
      <c r="C2027" s="522" t="inlineStr">
        <is>
          <t>អ៊ិចស្ពែឌីធ័រ ខេមបូឌា អិលធីឌី</t>
        </is>
      </c>
      <c r="D2027" s="522" t="inlineStr">
        <is>
          <t>L001-100045898</t>
        </is>
      </c>
      <c r="E2027" s="521" t="inlineStr">
        <is>
          <t>TI0176344</t>
        </is>
      </c>
      <c r="F2027" s="523" t="n">
        <v>43969</v>
      </c>
      <c r="G2027" s="556" t="n">
        <v>216539</v>
      </c>
      <c r="I2027" s="521">
        <f>G2027</f>
        <v/>
      </c>
      <c r="K2027" s="521">
        <f>I2027-G2027</f>
        <v/>
      </c>
      <c r="M2027" s="522" t="inlineStr">
        <is>
          <t>TI0176344</t>
        </is>
      </c>
      <c r="N2027" s="522" t="inlineStr">
        <is>
          <t>TI0176344</t>
        </is>
      </c>
      <c r="O2027" s="521">
        <f>M2027=N2027</f>
        <v/>
      </c>
      <c r="P2027" s="521">
        <f>AND(MONTH(F2027)=MONTH(S2027), YEAR(F2027)=YEAR(S2027))</f>
        <v/>
      </c>
      <c r="Q2027" s="521">
        <f>U2027="L001-901905215"</f>
        <v/>
      </c>
      <c r="R2027" s="556">
        <f>G2027-W2027</f>
        <v/>
      </c>
      <c r="S2027" s="523" t="n">
        <v>43969</v>
      </c>
      <c r="T2027" s="522" t="inlineStr">
        <is>
          <t>TI-0176344</t>
        </is>
      </c>
      <c r="U2027" s="522" t="inlineStr">
        <is>
          <t>L001-901905215</t>
        </is>
      </c>
      <c r="V2027" s="522" t="inlineStr">
        <is>
          <t>វីអ៊ីស៊ិន (ខេមបូឌា) អ៊ិនដាសស្ទ្រី ឯ.ក</t>
        </is>
      </c>
      <c r="W2027" s="556" t="n">
        <v>216539</v>
      </c>
    </row>
    <row r="2028">
      <c r="A2028" s="521" t="n">
        <v>2020</v>
      </c>
      <c r="B2028" s="522" t="n"/>
      <c r="C2028" s="522" t="inlineStr">
        <is>
          <t>អ៊ិចស្ពែឌីធ័រ ខេមបូឌា អិលធីឌី</t>
        </is>
      </c>
      <c r="D2028" s="522" t="inlineStr">
        <is>
          <t>L001-100045898</t>
        </is>
      </c>
      <c r="E2028" s="521" t="inlineStr">
        <is>
          <t>TI0176237</t>
        </is>
      </c>
      <c r="F2028" s="523" t="n">
        <v>43965</v>
      </c>
      <c r="G2028" s="556" t="n">
        <v>68435</v>
      </c>
      <c r="I2028" s="521">
        <f>G2028</f>
        <v/>
      </c>
      <c r="K2028" s="521">
        <f>I2028-G2028</f>
        <v/>
      </c>
      <c r="M2028" s="522" t="inlineStr">
        <is>
          <t>TI0176237</t>
        </is>
      </c>
      <c r="N2028" s="522" t="inlineStr">
        <is>
          <t>TI0176237</t>
        </is>
      </c>
      <c r="O2028" s="521">
        <f>M2028=N2028</f>
        <v/>
      </c>
      <c r="P2028" s="521">
        <f>AND(MONTH(F2028)=MONTH(S2028), YEAR(F2028)=YEAR(S2028))</f>
        <v/>
      </c>
      <c r="Q2028" s="521">
        <f>U2028="L001-901905215"</f>
        <v/>
      </c>
      <c r="R2028" s="556">
        <f>G2028-W2028</f>
        <v/>
      </c>
      <c r="S2028" s="523" t="n">
        <v>43965</v>
      </c>
      <c r="T2028" s="522" t="inlineStr">
        <is>
          <t>TI-0176237</t>
        </is>
      </c>
      <c r="U2028" s="522" t="inlineStr">
        <is>
          <t>L001-901905215</t>
        </is>
      </c>
      <c r="V2028" s="522" t="inlineStr">
        <is>
          <t>វីអ៊ីស៊ិន (ខេមបូឌា) អ៊ិនដាសស្ទ្រី ឯ.ក</t>
        </is>
      </c>
      <c r="W2028" s="556" t="n">
        <v>68427</v>
      </c>
    </row>
    <row r="2029">
      <c r="A2029" s="521" t="n">
        <v>2021</v>
      </c>
      <c r="B2029" s="522" t="n"/>
      <c r="C2029" s="522" t="inlineStr">
        <is>
          <t>អ៊ិចស្ពែឌីធ័រ ខេមបូឌា អិលធីឌី</t>
        </is>
      </c>
      <c r="D2029" s="522" t="inlineStr">
        <is>
          <t>L001-100045898</t>
        </is>
      </c>
      <c r="E2029" s="521" t="inlineStr">
        <is>
          <t>TI0176127</t>
        </is>
      </c>
      <c r="F2029" s="523" t="n">
        <v>43963</v>
      </c>
      <c r="G2029" s="556" t="n">
        <v>150880</v>
      </c>
      <c r="I2029" s="521">
        <f>G2029</f>
        <v/>
      </c>
      <c r="K2029" s="521">
        <f>I2029-G2029</f>
        <v/>
      </c>
      <c r="M2029" s="522" t="inlineStr">
        <is>
          <t>TI0176127</t>
        </is>
      </c>
      <c r="N2029" s="522" t="inlineStr">
        <is>
          <t>TI0176127</t>
        </is>
      </c>
      <c r="O2029" s="521">
        <f>M2029=N2029</f>
        <v/>
      </c>
      <c r="P2029" s="521">
        <f>AND(MONTH(F2029)=MONTH(S2029), YEAR(F2029)=YEAR(S2029))</f>
        <v/>
      </c>
      <c r="Q2029" s="521">
        <f>U2029="L001-901905215"</f>
        <v/>
      </c>
      <c r="R2029" s="556">
        <f>G2029-W2029</f>
        <v/>
      </c>
      <c r="S2029" s="523" t="n">
        <v>43963</v>
      </c>
      <c r="T2029" s="522" t="inlineStr">
        <is>
          <t>TI-0176127</t>
        </is>
      </c>
      <c r="U2029" s="522" t="inlineStr">
        <is>
          <t>L001-901905215</t>
        </is>
      </c>
      <c r="V2029" s="522" t="inlineStr">
        <is>
          <t>វីអ៊ីស៊ិន (ខេមបូឌា) អ៊ិនដាសស្ទ្រី ឯ.ក</t>
        </is>
      </c>
      <c r="W2029" s="556" t="n">
        <v>150880</v>
      </c>
    </row>
    <row r="2030">
      <c r="A2030" s="521" t="n">
        <v>2022</v>
      </c>
      <c r="B2030" s="522" t="n"/>
      <c r="C2030" s="522" t="inlineStr">
        <is>
          <t>អ៊ិចស្ពែឌីធ័រ ខេមបូឌា អិលធីឌី</t>
        </is>
      </c>
      <c r="D2030" s="522" t="inlineStr">
        <is>
          <t>L001-100045898</t>
        </is>
      </c>
      <c r="E2030" s="521" t="inlineStr">
        <is>
          <t>TI0176129</t>
        </is>
      </c>
      <c r="F2030" s="523" t="n">
        <v>43963</v>
      </c>
      <c r="G2030" s="556" t="n">
        <v>124640</v>
      </c>
      <c r="I2030" s="521">
        <f>G2030</f>
        <v/>
      </c>
      <c r="K2030" s="521">
        <f>I2030-G2030</f>
        <v/>
      </c>
      <c r="M2030" s="522" t="inlineStr">
        <is>
          <t>TI0176129</t>
        </is>
      </c>
      <c r="N2030" s="522" t="inlineStr">
        <is>
          <t>TI0176129</t>
        </is>
      </c>
      <c r="O2030" s="521">
        <f>M2030=N2030</f>
        <v/>
      </c>
      <c r="P2030" s="521">
        <f>AND(MONTH(F2030)=MONTH(S2030), YEAR(F2030)=YEAR(S2030))</f>
        <v/>
      </c>
      <c r="Q2030" s="521">
        <f>U2030="L001-901905215"</f>
        <v/>
      </c>
      <c r="R2030" s="556">
        <f>G2030-W2030</f>
        <v/>
      </c>
      <c r="S2030" s="523" t="n">
        <v>43963</v>
      </c>
      <c r="T2030" s="522" t="inlineStr">
        <is>
          <t>TI-0176129</t>
        </is>
      </c>
      <c r="U2030" s="522" t="inlineStr">
        <is>
          <t>L001-901905215</t>
        </is>
      </c>
      <c r="V2030" s="522" t="inlineStr">
        <is>
          <t>វីអ៊ីស៊ិន (ខេមបូឌា) អ៊ិនដាសស្ទ្រី ឯ.ក</t>
        </is>
      </c>
      <c r="W2030" s="556" t="n">
        <v>124640</v>
      </c>
    </row>
    <row r="2031">
      <c r="A2031" s="521" t="n">
        <v>2023</v>
      </c>
      <c r="B2031" s="522" t="n"/>
      <c r="C2031" s="522" t="inlineStr">
        <is>
          <t>អ៊ិចស្ពែឌីធ័រ ខេមបូឌា អិលធីឌី</t>
        </is>
      </c>
      <c r="D2031" s="522" t="inlineStr">
        <is>
          <t>L001-100045898</t>
        </is>
      </c>
      <c r="E2031" s="521" t="inlineStr">
        <is>
          <t>TI0176130</t>
        </is>
      </c>
      <c r="F2031" s="523" t="n">
        <v>43963</v>
      </c>
      <c r="G2031" s="556" t="n">
        <v>152930</v>
      </c>
      <c r="I2031" s="521">
        <f>G2031</f>
        <v/>
      </c>
      <c r="K2031" s="521">
        <f>I2031-G2031</f>
        <v/>
      </c>
      <c r="M2031" s="522" t="inlineStr">
        <is>
          <t>TI0176130</t>
        </is>
      </c>
      <c r="N2031" s="522" t="inlineStr">
        <is>
          <t>TI0176130</t>
        </is>
      </c>
      <c r="O2031" s="521">
        <f>M2031=N2031</f>
        <v/>
      </c>
      <c r="P2031" s="521">
        <f>AND(MONTH(F2031)=MONTH(S2031), YEAR(F2031)=YEAR(S2031))</f>
        <v/>
      </c>
      <c r="Q2031" s="521">
        <f>U2031="L001-901905215"</f>
        <v/>
      </c>
      <c r="R2031" s="556">
        <f>G2031-W2031</f>
        <v/>
      </c>
      <c r="S2031" s="523" t="n">
        <v>43963</v>
      </c>
      <c r="T2031" s="522" t="inlineStr">
        <is>
          <t>TI-0176130</t>
        </is>
      </c>
      <c r="U2031" s="522" t="inlineStr">
        <is>
          <t>L001-901905215</t>
        </is>
      </c>
      <c r="V2031" s="522" t="inlineStr">
        <is>
          <t>វីអ៊ីស៊ិន (ខេមបូឌា) អ៊ិនដាសស្ទ្រី ឯ.ក</t>
        </is>
      </c>
      <c r="W2031" s="556" t="n">
        <v>152930</v>
      </c>
    </row>
    <row r="2032">
      <c r="A2032" s="521" t="n">
        <v>2024</v>
      </c>
      <c r="B2032" s="522" t="n"/>
      <c r="C2032" s="522" t="inlineStr">
        <is>
          <t>អ៊ិចស្ពែឌីធ័រ ខេមបូឌា អិលធីឌី</t>
        </is>
      </c>
      <c r="D2032" s="522" t="inlineStr">
        <is>
          <t>L001-100045898</t>
        </is>
      </c>
      <c r="E2032" s="521" t="inlineStr">
        <is>
          <t>TI0175858</t>
        </is>
      </c>
      <c r="F2032" s="523" t="n">
        <v>43956</v>
      </c>
      <c r="G2032" s="556" t="n">
        <v>153079</v>
      </c>
      <c r="I2032" s="521">
        <f>G2032</f>
        <v/>
      </c>
      <c r="K2032" s="521">
        <f>I2032-G2032</f>
        <v/>
      </c>
      <c r="M2032" s="522" t="inlineStr">
        <is>
          <t>TI0175858</t>
        </is>
      </c>
      <c r="N2032" s="522" t="inlineStr">
        <is>
          <t>TI0175858</t>
        </is>
      </c>
      <c r="O2032" s="521">
        <f>M2032=N2032</f>
        <v/>
      </c>
      <c r="P2032" s="521">
        <f>AND(MONTH(F2032)=MONTH(S2032), YEAR(F2032)=YEAR(S2032))</f>
        <v/>
      </c>
      <c r="Q2032" s="521">
        <f>U2032="L001-901905215"</f>
        <v/>
      </c>
      <c r="R2032" s="556">
        <f>G2032-W2032</f>
        <v/>
      </c>
      <c r="S2032" s="523" t="n">
        <v>43956</v>
      </c>
      <c r="T2032" s="522" t="inlineStr">
        <is>
          <t>TI-0175858</t>
        </is>
      </c>
      <c r="U2032" s="522" t="inlineStr">
        <is>
          <t>L001-901905215</t>
        </is>
      </c>
      <c r="V2032" s="522" t="inlineStr">
        <is>
          <t>វីអ៊ីស៊ិន (ខេមបូឌា) អ៊ិនដាសស្ទ្រី ឯ.ក</t>
        </is>
      </c>
      <c r="W2032" s="556" t="n">
        <v>153079</v>
      </c>
    </row>
    <row r="2033">
      <c r="A2033" s="521" t="n">
        <v>2025</v>
      </c>
      <c r="B2033" s="522" t="n"/>
      <c r="C2033" s="522" t="inlineStr">
        <is>
          <t>អ៊ិចស្ពែឌីធ័រ ខេមបូឌា អិលធីឌី</t>
        </is>
      </c>
      <c r="D2033" s="522" t="inlineStr">
        <is>
          <t>L001-100045898</t>
        </is>
      </c>
      <c r="E2033" s="521" t="inlineStr">
        <is>
          <t>TI0175857</t>
        </is>
      </c>
      <c r="F2033" s="523" t="n">
        <v>43956</v>
      </c>
      <c r="G2033" s="556" t="n">
        <v>151027</v>
      </c>
      <c r="I2033" s="521">
        <f>G2033</f>
        <v/>
      </c>
      <c r="K2033" s="521">
        <f>I2033-G2033</f>
        <v/>
      </c>
      <c r="M2033" s="522" t="inlineStr">
        <is>
          <t>TI0175857</t>
        </is>
      </c>
      <c r="N2033" s="522" t="inlineStr">
        <is>
          <t>TI0175857</t>
        </is>
      </c>
      <c r="O2033" s="521">
        <f>M2033=N2033</f>
        <v/>
      </c>
      <c r="P2033" s="521">
        <f>AND(MONTH(F2033)=MONTH(S2033), YEAR(F2033)=YEAR(S2033))</f>
        <v/>
      </c>
      <c r="Q2033" s="521">
        <f>U2033="L001-901905215"</f>
        <v/>
      </c>
      <c r="R2033" s="556">
        <f>G2033-W2033</f>
        <v/>
      </c>
      <c r="S2033" s="523" t="n">
        <v>43956</v>
      </c>
      <c r="T2033" s="522" t="inlineStr">
        <is>
          <t>TI-0175857</t>
        </is>
      </c>
      <c r="U2033" s="522" t="inlineStr">
        <is>
          <t>L001-901905215</t>
        </is>
      </c>
      <c r="V2033" s="522" t="inlineStr">
        <is>
          <t>វីអ៊ីស៊ិន (ខេមបូឌា) អ៊ិនដាសស្ទ្រី ឯ.ក</t>
        </is>
      </c>
      <c r="W2033" s="556" t="n">
        <v>151027</v>
      </c>
    </row>
    <row r="2034">
      <c r="A2034" s="521" t="n">
        <v>2026</v>
      </c>
      <c r="B2034" s="522" t="n"/>
      <c r="C2034" s="522" t="inlineStr">
        <is>
          <t>កំពង់ផែស្វយ័តភ្នំពេញ "ក.ស.ភ"</t>
        </is>
      </c>
      <c r="D2034" s="522" t="inlineStr">
        <is>
          <t>L001-100044999</t>
        </is>
      </c>
      <c r="E2034" s="521" t="inlineStr">
        <is>
          <t>INV20200524266</t>
        </is>
      </c>
      <c r="F2034" s="523" t="n">
        <v>43974</v>
      </c>
      <c r="G2034" s="556" t="n">
        <v>19625</v>
      </c>
      <c r="I2034" s="521">
        <f>G2034</f>
        <v/>
      </c>
      <c r="K2034" s="521">
        <f>I2034-G2034</f>
        <v/>
      </c>
      <c r="M2034" s="522" t="inlineStr">
        <is>
          <t>INV20200524266</t>
        </is>
      </c>
      <c r="N2034" s="522" t="inlineStr"/>
      <c r="O2034" s="521">
        <f>M2034=N2034</f>
        <v/>
      </c>
      <c r="P2034" s="521">
        <f>AND(MONTH(F2034)=MONTH(S2034), YEAR(F2034)=YEAR(S2034))</f>
        <v/>
      </c>
      <c r="Q2034" s="521">
        <f>U2034="L001-901905215"</f>
        <v/>
      </c>
      <c r="R2034" s="556">
        <f>G2034-W2034</f>
        <v/>
      </c>
      <c r="S2034" s="521" t="n"/>
      <c r="T2034" s="522" t="n"/>
      <c r="U2034" s="522" t="n"/>
      <c r="V2034" s="522" t="n"/>
      <c r="W2034" s="521" t="n"/>
    </row>
    <row r="2035">
      <c r="A2035" s="521" t="n">
        <v>2027</v>
      </c>
      <c r="B2035" s="522" t="n"/>
      <c r="C2035" s="522" t="inlineStr">
        <is>
          <t>ខេមវីល គ្លូប៊ល ឯ.ក</t>
        </is>
      </c>
      <c r="D2035" s="522" t="inlineStr">
        <is>
          <t>L001-901637190</t>
        </is>
      </c>
      <c r="E2035" s="521" t="inlineStr">
        <is>
          <t>INV200571</t>
        </is>
      </c>
      <c r="F2035" s="523" t="n">
        <v>43977</v>
      </c>
      <c r="G2035" s="556" t="n">
        <v>176945</v>
      </c>
      <c r="I2035" s="521">
        <f>G2035</f>
        <v/>
      </c>
      <c r="K2035" s="521">
        <f>I2035-G2035</f>
        <v/>
      </c>
      <c r="M2035" s="522" t="inlineStr">
        <is>
          <t>INV200571</t>
        </is>
      </c>
      <c r="N2035" s="522" t="inlineStr">
        <is>
          <t>INV200571</t>
        </is>
      </c>
      <c r="O2035" s="521">
        <f>M2035=N2035</f>
        <v/>
      </c>
      <c r="P2035" s="521">
        <f>AND(MONTH(F2035)=MONTH(S2035), YEAR(F2035)=YEAR(S2035))</f>
        <v/>
      </c>
      <c r="Q2035" s="521">
        <f>U2035="L001-901905215"</f>
        <v/>
      </c>
      <c r="R2035" s="556">
        <f>G2035-W2035</f>
        <v/>
      </c>
      <c r="S2035" s="523" t="n">
        <v>43977</v>
      </c>
      <c r="T2035" s="522" t="inlineStr">
        <is>
          <t>INV200571</t>
        </is>
      </c>
      <c r="U2035" s="522" t="inlineStr">
        <is>
          <t>L001-901905215</t>
        </is>
      </c>
      <c r="V2035" s="522" t="inlineStr">
        <is>
          <t>វីអ៊ីស៊ិន (ខេមបូឌា) អ៊ិនដាសស្ទ្រី ឯ.ក</t>
        </is>
      </c>
      <c r="W2035" s="556" t="n">
        <v>176988</v>
      </c>
    </row>
    <row r="2036">
      <c r="A2036" s="521" t="n">
        <v>2028</v>
      </c>
      <c r="B2036" s="522" t="n"/>
      <c r="C2036" s="522" t="inlineStr">
        <is>
          <t>ខេមវីល គ្លូប៊ល ឯ.ក</t>
        </is>
      </c>
      <c r="D2036" s="522" t="inlineStr">
        <is>
          <t>L001-901637190</t>
        </is>
      </c>
      <c r="E2036" s="521" t="inlineStr">
        <is>
          <t>INV200538</t>
        </is>
      </c>
      <c r="F2036" s="523" t="n">
        <v>43969</v>
      </c>
      <c r="G2036" s="556" t="n">
        <v>86205</v>
      </c>
      <c r="I2036" s="521">
        <f>G2036</f>
        <v/>
      </c>
      <c r="K2036" s="521">
        <f>I2036-G2036</f>
        <v/>
      </c>
      <c r="M2036" s="522" t="inlineStr">
        <is>
          <t>INV200538</t>
        </is>
      </c>
      <c r="N2036" s="522" t="inlineStr">
        <is>
          <t>INV200538</t>
        </is>
      </c>
      <c r="O2036" s="521">
        <f>M2036=N2036</f>
        <v/>
      </c>
      <c r="P2036" s="521">
        <f>AND(MONTH(F2036)=MONTH(S2036), YEAR(F2036)=YEAR(S2036))</f>
        <v/>
      </c>
      <c r="Q2036" s="521">
        <f>U2036="L001-901905215"</f>
        <v/>
      </c>
      <c r="R2036" s="556">
        <f>G2036-W2036</f>
        <v/>
      </c>
      <c r="S2036" s="523" t="n">
        <v>43969</v>
      </c>
      <c r="T2036" s="522" t="inlineStr">
        <is>
          <t>INV200538</t>
        </is>
      </c>
      <c r="U2036" s="522" t="inlineStr">
        <is>
          <t>L001-901905215</t>
        </is>
      </c>
      <c r="V2036" s="522" t="inlineStr">
        <is>
          <t>វីអ៊ីស៊ិន (ខេមបូឌា) អ៊ិនដាសស្ទ្រី ឯ.ក</t>
        </is>
      </c>
      <c r="W2036" s="556" t="n">
        <v>86436</v>
      </c>
    </row>
    <row r="2037">
      <c r="A2037" s="521" t="n">
        <v>2029</v>
      </c>
      <c r="B2037" s="522" t="n"/>
      <c r="C2037" s="522" t="inlineStr">
        <is>
          <t>កំពង់ផែស្វយ័តភ្នំពេញ "ក.ស.ភ"</t>
        </is>
      </c>
      <c r="D2037" s="522" t="inlineStr">
        <is>
          <t>L001-100044999</t>
        </is>
      </c>
      <c r="E2037" s="521" t="inlineStr">
        <is>
          <t>INV20200522484</t>
        </is>
      </c>
      <c r="F2037" s="523" t="n">
        <v>43960</v>
      </c>
      <c r="G2037" s="556" t="n">
        <v>19597</v>
      </c>
      <c r="I2037" s="521">
        <f>G2037</f>
        <v/>
      </c>
      <c r="K2037" s="521">
        <f>I2037-G2037</f>
        <v/>
      </c>
      <c r="M2037" s="522" t="inlineStr">
        <is>
          <t>INV20200522484</t>
        </is>
      </c>
      <c r="N2037" s="522" t="inlineStr"/>
      <c r="O2037" s="521">
        <f>M2037=N2037</f>
        <v/>
      </c>
      <c r="P2037" s="521">
        <f>AND(MONTH(F2037)=MONTH(S2037), YEAR(F2037)=YEAR(S2037))</f>
        <v/>
      </c>
      <c r="Q2037" s="521">
        <f>U2037="L001-901905215"</f>
        <v/>
      </c>
      <c r="R2037" s="556">
        <f>G2037-W2037</f>
        <v/>
      </c>
      <c r="S2037" s="521" t="n"/>
      <c r="T2037" s="522" t="n"/>
      <c r="U2037" s="522" t="n"/>
      <c r="V2037" s="522" t="n"/>
      <c r="W2037" s="521" t="n"/>
    </row>
    <row r="2038">
      <c r="A2038" s="521" t="n">
        <v>2030</v>
      </c>
      <c r="B2038" s="522" t="n"/>
      <c r="C2038" s="522" t="inlineStr">
        <is>
          <t>ខេមវីល គ្លូប៊ល ឯ.ក</t>
        </is>
      </c>
      <c r="D2038" s="522" t="inlineStr">
        <is>
          <t>L001-901637190</t>
        </is>
      </c>
      <c r="E2038" s="521" t="inlineStr">
        <is>
          <t>INV200523</t>
        </is>
      </c>
      <c r="F2038" s="523" t="n">
        <v>43969</v>
      </c>
      <c r="G2038" s="556" t="n">
        <v>176515</v>
      </c>
      <c r="I2038" s="521">
        <f>G2038</f>
        <v/>
      </c>
      <c r="K2038" s="521">
        <f>I2038-G2038</f>
        <v/>
      </c>
      <c r="M2038" s="522" t="inlineStr">
        <is>
          <t>INV200523</t>
        </is>
      </c>
      <c r="N2038" s="522" t="inlineStr">
        <is>
          <t>INV200523</t>
        </is>
      </c>
      <c r="O2038" s="521">
        <f>M2038=N2038</f>
        <v/>
      </c>
      <c r="P2038" s="521">
        <f>AND(MONTH(F2038)=MONTH(S2038), YEAR(F2038)=YEAR(S2038))</f>
        <v/>
      </c>
      <c r="Q2038" s="521">
        <f>U2038="L001-901905215"</f>
        <v/>
      </c>
      <c r="R2038" s="556">
        <f>G2038-W2038</f>
        <v/>
      </c>
      <c r="S2038" s="523" t="n">
        <v>43969</v>
      </c>
      <c r="T2038" s="522" t="inlineStr">
        <is>
          <t>INV200523</t>
        </is>
      </c>
      <c r="U2038" s="522" t="inlineStr">
        <is>
          <t>L001-901905215</t>
        </is>
      </c>
      <c r="V2038" s="522" t="inlineStr">
        <is>
          <t>វីអ៊ីស៊ិន (ខេមបូឌា) អ៊ិនដាសស្ទ្រី ឯ.ក</t>
        </is>
      </c>
      <c r="W2038" s="556" t="n">
        <v>176988</v>
      </c>
    </row>
    <row r="2039">
      <c r="A2039" s="521" t="n">
        <v>2031</v>
      </c>
      <c r="B2039" s="522" t="n"/>
      <c r="C2039" s="522" t="inlineStr">
        <is>
          <t>កំពង់ផែស្វយ័តភ្នំពេញ "ក.ស.ភ"</t>
        </is>
      </c>
      <c r="D2039" s="522" t="inlineStr">
        <is>
          <t>L001-100044999</t>
        </is>
      </c>
      <c r="E2039" s="521" t="inlineStr">
        <is>
          <t>INV20200522485</t>
        </is>
      </c>
      <c r="F2039" s="523" t="n">
        <v>43960</v>
      </c>
      <c r="G2039" s="556" t="n">
        <v>19597</v>
      </c>
      <c r="I2039" s="521">
        <f>G2039</f>
        <v/>
      </c>
      <c r="K2039" s="521">
        <f>I2039-G2039</f>
        <v/>
      </c>
      <c r="M2039" s="522" t="inlineStr">
        <is>
          <t>INV20200522485</t>
        </is>
      </c>
      <c r="N2039" s="522" t="inlineStr"/>
      <c r="O2039" s="521">
        <f>M2039=N2039</f>
        <v/>
      </c>
      <c r="P2039" s="521">
        <f>AND(MONTH(F2039)=MONTH(S2039), YEAR(F2039)=YEAR(S2039))</f>
        <v/>
      </c>
      <c r="Q2039" s="521">
        <f>U2039="L001-901905215"</f>
        <v/>
      </c>
      <c r="R2039" s="556">
        <f>G2039-W2039</f>
        <v/>
      </c>
      <c r="S2039" s="521" t="n"/>
      <c r="T2039" s="522" t="n"/>
      <c r="U2039" s="522" t="n"/>
      <c r="V2039" s="522" t="n"/>
      <c r="W2039" s="521" t="n"/>
    </row>
    <row r="2040">
      <c r="A2040" s="521" t="n">
        <v>2032</v>
      </c>
      <c r="B2040" s="522" t="n"/>
      <c r="C2040" s="522" t="inlineStr">
        <is>
          <t>ខេមវីល គ្លូប៊ល ឯ.ក</t>
        </is>
      </c>
      <c r="D2040" s="522" t="inlineStr">
        <is>
          <t>L001-901637190</t>
        </is>
      </c>
      <c r="E2040" s="521" t="inlineStr">
        <is>
          <t>INV200524</t>
        </is>
      </c>
      <c r="F2040" s="523" t="n">
        <v>43969</v>
      </c>
      <c r="G2040" s="556" t="n">
        <v>176515</v>
      </c>
      <c r="I2040" s="521">
        <f>G2040</f>
        <v/>
      </c>
      <c r="K2040" s="521">
        <f>I2040-G2040</f>
        <v/>
      </c>
      <c r="M2040" s="522" t="inlineStr">
        <is>
          <t>INV200524</t>
        </is>
      </c>
      <c r="N2040" s="522" t="inlineStr">
        <is>
          <t>INV200524</t>
        </is>
      </c>
      <c r="O2040" s="521">
        <f>M2040=N2040</f>
        <v/>
      </c>
      <c r="P2040" s="521">
        <f>AND(MONTH(F2040)=MONTH(S2040), YEAR(F2040)=YEAR(S2040))</f>
        <v/>
      </c>
      <c r="Q2040" s="521">
        <f>U2040="L001-901905215"</f>
        <v/>
      </c>
      <c r="R2040" s="556">
        <f>G2040-W2040</f>
        <v/>
      </c>
      <c r="S2040" s="523" t="n">
        <v>43969</v>
      </c>
      <c r="T2040" s="522" t="inlineStr">
        <is>
          <t>INV200524</t>
        </is>
      </c>
      <c r="U2040" s="522" t="inlineStr">
        <is>
          <t>L001-901905215</t>
        </is>
      </c>
      <c r="V2040" s="522" t="inlineStr">
        <is>
          <t>វីអ៊ីស៊ិន (ខេមបូឌា) អ៊ិនដាសស្ទ្រី ឯ.ក</t>
        </is>
      </c>
      <c r="W2040" s="556" t="n">
        <v>176988</v>
      </c>
    </row>
    <row r="2041">
      <c r="A2041" s="521" t="n">
        <v>2033</v>
      </c>
      <c r="B2041" s="522" t="n"/>
      <c r="C2041" s="522" t="inlineStr">
        <is>
          <t>ខេមវីល គ្លូប៊ល ឯ.ក</t>
        </is>
      </c>
      <c r="D2041" s="522" t="inlineStr">
        <is>
          <t>L001-901637190</t>
        </is>
      </c>
      <c r="E2041" s="521" t="inlineStr">
        <is>
          <t>INV200535</t>
        </is>
      </c>
      <c r="F2041" s="523" t="n">
        <v>43969</v>
      </c>
      <c r="G2041" s="556" t="n">
        <v>86205</v>
      </c>
      <c r="I2041" s="521">
        <f>G2041</f>
        <v/>
      </c>
      <c r="K2041" s="521">
        <f>I2041-G2041</f>
        <v/>
      </c>
      <c r="M2041" s="522" t="inlineStr">
        <is>
          <t>INV200535</t>
        </is>
      </c>
      <c r="N2041" s="522" t="inlineStr">
        <is>
          <t>INV200535</t>
        </is>
      </c>
      <c r="O2041" s="521">
        <f>M2041=N2041</f>
        <v/>
      </c>
      <c r="P2041" s="521">
        <f>AND(MONTH(F2041)=MONTH(S2041), YEAR(F2041)=YEAR(S2041))</f>
        <v/>
      </c>
      <c r="Q2041" s="521">
        <f>U2041="L001-901905215"</f>
        <v/>
      </c>
      <c r="R2041" s="556">
        <f>G2041-W2041</f>
        <v/>
      </c>
      <c r="S2041" s="523" t="n">
        <v>43969</v>
      </c>
      <c r="T2041" s="522" t="inlineStr">
        <is>
          <t>INV200535</t>
        </is>
      </c>
      <c r="U2041" s="522" t="inlineStr">
        <is>
          <t>L001-901905215</t>
        </is>
      </c>
      <c r="V2041" s="522" t="inlineStr">
        <is>
          <t>វីអ៊ីស៊ិន (ខេមបូឌា) អ៊ិនដាសស្ទ្រី ឯ.ក</t>
        </is>
      </c>
      <c r="W2041" s="556" t="n">
        <v>86436</v>
      </c>
    </row>
    <row r="2042">
      <c r="A2042" s="521" t="n">
        <v>2034</v>
      </c>
      <c r="B2042" s="522" t="inlineStr">
        <is>
          <t>Monthly tax declaration for Apr 2021</t>
        </is>
      </c>
      <c r="C2042" s="522" t="inlineStr">
        <is>
          <t>យីងកឺ ខេម ថេក អ៊ែតវ៉ាយហ្សឺរី ឯ.ក</t>
        </is>
      </c>
      <c r="D2042" s="522" t="inlineStr">
        <is>
          <t>K003-902005313</t>
        </is>
      </c>
      <c r="E2042" s="521" t="inlineStr">
        <is>
          <t>YKT21-074</t>
        </is>
      </c>
      <c r="F2042" s="523" t="n">
        <v>44322</v>
      </c>
      <c r="G2042" s="556" t="n">
        <v>239319</v>
      </c>
      <c r="I2042" s="521">
        <f>G2042</f>
        <v/>
      </c>
      <c r="K2042" s="521">
        <f>I2042-G2042</f>
        <v/>
      </c>
      <c r="M2042" s="522" t="inlineStr">
        <is>
          <t>YKT21074</t>
        </is>
      </c>
      <c r="N2042" s="522" t="inlineStr">
        <is>
          <t>YKT21074</t>
        </is>
      </c>
      <c r="O2042" s="521">
        <f>M2042=N2042</f>
        <v/>
      </c>
      <c r="P2042" s="521">
        <f>AND(MONTH(F2042)=MONTH(S2042), YEAR(F2042)=YEAR(S2042))</f>
        <v/>
      </c>
      <c r="Q2042" s="521">
        <f>U2042="L001-901905215"</f>
        <v/>
      </c>
      <c r="R2042" s="556">
        <f>G2042-W2042</f>
        <v/>
      </c>
      <c r="S2042" s="523" t="n">
        <v>44322</v>
      </c>
      <c r="T2042" s="522" t="inlineStr">
        <is>
          <t>YKT21-074</t>
        </is>
      </c>
      <c r="U2042" s="522" t="inlineStr">
        <is>
          <t>L001-901905215</t>
        </is>
      </c>
      <c r="V2042" s="522" t="inlineStr">
        <is>
          <t>វីអ៊ីស៊ិន (ខេមបូឌា) អ៊ិនដាសស្ទ្រី ឯ.ក</t>
        </is>
      </c>
      <c r="W2042" s="556" t="n">
        <v>239319</v>
      </c>
    </row>
    <row r="2043">
      <c r="A2043" s="521" t="n">
        <v>2035</v>
      </c>
      <c r="B2043" s="522" t="inlineStr">
        <is>
          <t>Sampling and travel fee</t>
        </is>
      </c>
      <c r="C2043" s="522" t="inlineStr">
        <is>
          <t>អេសជីអេស (ខេមបូឌា) លីមីធីត</t>
        </is>
      </c>
      <c r="D2043" s="522" t="inlineStr">
        <is>
          <t>L001-107030519</t>
        </is>
      </c>
      <c r="E2043" s="521" t="inlineStr">
        <is>
          <t>10011821</t>
        </is>
      </c>
      <c r="F2043" s="523" t="n">
        <v>44317</v>
      </c>
      <c r="G2043" s="556" t="n">
        <v>10628</v>
      </c>
      <c r="I2043" s="521">
        <f>G2043</f>
        <v/>
      </c>
      <c r="K2043" s="521">
        <f>I2043-G2043</f>
        <v/>
      </c>
      <c r="M2043" s="522" t="inlineStr">
        <is>
          <t>10011821</t>
        </is>
      </c>
      <c r="N2043" s="522" t="inlineStr"/>
      <c r="O2043" s="521">
        <f>M2043=N2043</f>
        <v/>
      </c>
      <c r="P2043" s="521">
        <f>AND(MONTH(F2043)=MONTH(S2043), YEAR(F2043)=YEAR(S2043))</f>
        <v/>
      </c>
      <c r="Q2043" s="521">
        <f>U2043="L001-901905215"</f>
        <v/>
      </c>
      <c r="R2043" s="556">
        <f>G2043-W2043</f>
        <v/>
      </c>
      <c r="S2043" s="521" t="n"/>
      <c r="T2043" s="522" t="n"/>
      <c r="U2043" s="522" t="n"/>
      <c r="V2043" s="522" t="n"/>
      <c r="W2043" s="521" t="n"/>
    </row>
    <row r="2044">
      <c r="A2044" s="521" t="n">
        <v>2036</v>
      </c>
      <c r="B2044" s="522" t="inlineStr">
        <is>
          <t>Express Fee</t>
        </is>
      </c>
      <c r="C2044" s="522" t="inlineStr">
        <is>
          <t>ឌី អេច អិល អិចប្រេស (ខេមបូឌា)</t>
        </is>
      </c>
      <c r="D2044" s="522" t="inlineStr">
        <is>
          <t>L001-100045197</t>
        </is>
      </c>
      <c r="E2044" s="521" t="inlineStr">
        <is>
          <t>PNHR000380677</t>
        </is>
      </c>
      <c r="F2044" s="523" t="n">
        <v>44336</v>
      </c>
      <c r="G2044" s="556" t="n">
        <v>6903</v>
      </c>
      <c r="I2044" s="521">
        <f>G2044</f>
        <v/>
      </c>
      <c r="K2044" s="521">
        <f>I2044-G2044</f>
        <v/>
      </c>
      <c r="M2044" s="522" t="inlineStr">
        <is>
          <t>PNHR000380677</t>
        </is>
      </c>
      <c r="N2044" s="522" t="inlineStr"/>
      <c r="O2044" s="521">
        <f>M2044=N2044</f>
        <v/>
      </c>
      <c r="P2044" s="521">
        <f>AND(MONTH(F2044)=MONTH(S2044), YEAR(F2044)=YEAR(S2044))</f>
        <v/>
      </c>
      <c r="Q2044" s="521">
        <f>U2044="L001-901905215"</f>
        <v/>
      </c>
      <c r="R2044" s="556">
        <f>G2044-W2044</f>
        <v/>
      </c>
      <c r="S2044" s="521" t="n"/>
      <c r="T2044" s="522" t="n"/>
      <c r="U2044" s="522" t="n"/>
      <c r="V2044" s="522" t="n"/>
      <c r="W2044" s="521" t="n"/>
    </row>
    <row r="2045">
      <c r="A2045" s="521" t="n">
        <v>2037</v>
      </c>
      <c r="B2045" s="522" t="inlineStr">
        <is>
          <t>Express Fee</t>
        </is>
      </c>
      <c r="C2045" s="522" t="inlineStr">
        <is>
          <t>ឌី អេច អិល អិចប្រេស (ខេមបូឌា)</t>
        </is>
      </c>
      <c r="D2045" s="522" t="inlineStr">
        <is>
          <t>L001-100045197</t>
        </is>
      </c>
      <c r="E2045" s="521" t="inlineStr">
        <is>
          <t>PNHR000379912</t>
        </is>
      </c>
      <c r="F2045" s="523" t="n">
        <v>44329</v>
      </c>
      <c r="G2045" s="556" t="n">
        <v>8557</v>
      </c>
      <c r="I2045" s="521">
        <f>G2045</f>
        <v/>
      </c>
      <c r="K2045" s="521">
        <f>I2045-G2045</f>
        <v/>
      </c>
      <c r="M2045" s="522" t="inlineStr">
        <is>
          <t>PNHR000379912</t>
        </is>
      </c>
      <c r="N2045" s="522" t="inlineStr"/>
      <c r="O2045" s="521">
        <f>M2045=N2045</f>
        <v/>
      </c>
      <c r="P2045" s="521">
        <f>AND(MONTH(F2045)=MONTH(S2045), YEAR(F2045)=YEAR(S2045))</f>
        <v/>
      </c>
      <c r="Q2045" s="521">
        <f>U2045="L001-901905215"</f>
        <v/>
      </c>
      <c r="R2045" s="556">
        <f>G2045-W2045</f>
        <v/>
      </c>
      <c r="S2045" s="521" t="n"/>
      <c r="T2045" s="522" t="n"/>
      <c r="U2045" s="522" t="n"/>
      <c r="V2045" s="522" t="n"/>
      <c r="W2045" s="521" t="n"/>
    </row>
    <row r="2046">
      <c r="A2046" s="521" t="n">
        <v>2038</v>
      </c>
      <c r="B2046" s="522" t="inlineStr">
        <is>
          <t>Lift On/Off</t>
        </is>
      </c>
      <c r="C2046" s="522" t="inlineStr">
        <is>
          <t>កំពង់ផែស្វយ័តភ្នំពេញ "ក.ស.ភ"</t>
        </is>
      </c>
      <c r="D2046" s="522" t="inlineStr">
        <is>
          <t>L001-100044999</t>
        </is>
      </c>
      <c r="E2046" s="521" t="inlineStr">
        <is>
          <t>INV20210418526</t>
        </is>
      </c>
      <c r="F2046" s="523" t="n">
        <v>44317</v>
      </c>
      <c r="G2046" s="556" t="n">
        <v>4855</v>
      </c>
      <c r="I2046" s="521">
        <f>G2046</f>
        <v/>
      </c>
      <c r="K2046" s="521">
        <f>I2046-G2046</f>
        <v/>
      </c>
      <c r="M2046" s="522" t="inlineStr">
        <is>
          <t>INV20210418526</t>
        </is>
      </c>
      <c r="N2046" s="522" t="inlineStr"/>
      <c r="O2046" s="521">
        <f>M2046=N2046</f>
        <v/>
      </c>
      <c r="P2046" s="521">
        <f>AND(MONTH(F2046)=MONTH(S2046), YEAR(F2046)=YEAR(S2046))</f>
        <v/>
      </c>
      <c r="Q2046" s="521">
        <f>U2046="L001-901905215"</f>
        <v/>
      </c>
      <c r="R2046" s="556">
        <f>G2046-W2046</f>
        <v/>
      </c>
      <c r="S2046" s="521" t="n"/>
      <c r="T2046" s="522" t="n"/>
      <c r="U2046" s="522" t="n"/>
      <c r="V2046" s="522" t="n"/>
      <c r="W2046" s="521" t="n"/>
    </row>
    <row r="2047">
      <c r="A2047" s="521" t="n">
        <v>2039</v>
      </c>
      <c r="B2047" s="522" t="inlineStr">
        <is>
          <t>THC Local charge</t>
        </is>
      </c>
      <c r="C2047" s="522" t="inlineStr">
        <is>
          <t>មើស្គ (ខេមបូឌា)</t>
        </is>
      </c>
      <c r="D2047" s="522" t="inlineStr">
        <is>
          <t>L001-100045200</t>
        </is>
      </c>
      <c r="E2047" s="521" t="inlineStr">
        <is>
          <t>5995874738</t>
        </is>
      </c>
      <c r="F2047" s="523" t="n">
        <v>44342</v>
      </c>
      <c r="G2047" s="556" t="n">
        <v>172106</v>
      </c>
      <c r="I2047" s="521">
        <f>G2047</f>
        <v/>
      </c>
      <c r="K2047" s="521">
        <f>I2047-G2047</f>
        <v/>
      </c>
      <c r="M2047" s="522" t="inlineStr">
        <is>
          <t>5995874738</t>
        </is>
      </c>
      <c r="N2047" s="522" t="inlineStr">
        <is>
          <t>5995874738</t>
        </is>
      </c>
      <c r="O2047" s="521">
        <f>M2047=N2047</f>
        <v/>
      </c>
      <c r="P2047" s="521">
        <f>AND(MONTH(F2047)=MONTH(S2047), YEAR(F2047)=YEAR(S2047))</f>
        <v/>
      </c>
      <c r="Q2047" s="521">
        <f>U2047="L001-901905215"</f>
        <v/>
      </c>
      <c r="R2047" s="556">
        <f>G2047-W2047</f>
        <v/>
      </c>
      <c r="S2047" s="523" t="n">
        <v>44342</v>
      </c>
      <c r="T2047" s="522" t="inlineStr">
        <is>
          <t>5995874738</t>
        </is>
      </c>
      <c r="U2047" s="522" t="inlineStr">
        <is>
          <t>L001-901905215</t>
        </is>
      </c>
      <c r="V2047" s="522" t="inlineStr">
        <is>
          <t>វីអ៊ីស៊ិន (ខេមបូឌា) អ៊ិនដាសស្ទ្រី ឯ.ក</t>
        </is>
      </c>
      <c r="W2047" s="556" t="n">
        <v>172106</v>
      </c>
    </row>
    <row r="2048">
      <c r="A2048" s="521" t="n">
        <v>2040</v>
      </c>
      <c r="B2048" s="522" t="inlineStr">
        <is>
          <t>THC Local charge</t>
        </is>
      </c>
      <c r="C2048" s="522" t="inlineStr">
        <is>
          <t>មើស្គ (ខេមបូឌា)</t>
        </is>
      </c>
      <c r="D2048" s="522" t="inlineStr">
        <is>
          <t>L001-100045200</t>
        </is>
      </c>
      <c r="E2048" s="521" t="inlineStr">
        <is>
          <t>5995874743</t>
        </is>
      </c>
      <c r="F2048" s="523" t="n">
        <v>44342</v>
      </c>
      <c r="G2048" s="556" t="n">
        <v>66397</v>
      </c>
      <c r="I2048" s="521">
        <f>G2048</f>
        <v/>
      </c>
      <c r="K2048" s="521">
        <f>I2048-G2048</f>
        <v/>
      </c>
      <c r="M2048" s="522" t="inlineStr">
        <is>
          <t>5995874743</t>
        </is>
      </c>
      <c r="N2048" s="522" t="inlineStr">
        <is>
          <t>5995874743</t>
        </is>
      </c>
      <c r="O2048" s="521">
        <f>M2048=N2048</f>
        <v/>
      </c>
      <c r="P2048" s="521">
        <f>AND(MONTH(F2048)=MONTH(S2048), YEAR(F2048)=YEAR(S2048))</f>
        <v/>
      </c>
      <c r="Q2048" s="521">
        <f>U2048="L001-901905215"</f>
        <v/>
      </c>
      <c r="R2048" s="556">
        <f>G2048-W2048</f>
        <v/>
      </c>
      <c r="S2048" s="523" t="n">
        <v>44342</v>
      </c>
      <c r="T2048" s="522" t="inlineStr">
        <is>
          <t>5995874743</t>
        </is>
      </c>
      <c r="U2048" s="522" t="inlineStr">
        <is>
          <t>L001-901905215</t>
        </is>
      </c>
      <c r="V2048" s="522" t="inlineStr">
        <is>
          <t>វីអ៊ីស៊ិន (ខេមបូឌា) អ៊ិនដាសស្ទ្រី ឯ.ក</t>
        </is>
      </c>
      <c r="W2048" s="556" t="n">
        <v>66397</v>
      </c>
    </row>
    <row r="2049">
      <c r="A2049" s="521" t="n">
        <v>2041</v>
      </c>
      <c r="B2049" s="522" t="inlineStr">
        <is>
          <t>General pest control service on May 2021</t>
        </is>
      </c>
      <c r="C2049" s="522" t="inlineStr">
        <is>
          <t>ភីស៊ីអាយ សឺវីស</t>
        </is>
      </c>
      <c r="D2049" s="522" t="inlineStr">
        <is>
          <t>K010-901639639</t>
        </is>
      </c>
      <c r="E2049" s="521" t="inlineStr">
        <is>
          <t>2021-0090</t>
        </is>
      </c>
      <c r="F2049" s="523" t="n">
        <v>44333</v>
      </c>
      <c r="G2049" s="556" t="n">
        <v>80960</v>
      </c>
      <c r="I2049" s="521">
        <f>G2049</f>
        <v/>
      </c>
      <c r="K2049" s="521">
        <f>I2049-G2049</f>
        <v/>
      </c>
      <c r="M2049" s="522" t="inlineStr">
        <is>
          <t>20210090</t>
        </is>
      </c>
      <c r="N2049" s="522" t="inlineStr"/>
      <c r="O2049" s="521">
        <f>M2049=N2049</f>
        <v/>
      </c>
      <c r="P2049" s="521">
        <f>AND(MONTH(F2049)=MONTH(S2049), YEAR(F2049)=YEAR(S2049))</f>
        <v/>
      </c>
      <c r="Q2049" s="521">
        <f>U2049="L001-901905215"</f>
        <v/>
      </c>
      <c r="R2049" s="556">
        <f>G2049-W2049</f>
        <v/>
      </c>
      <c r="S2049" s="521" t="n"/>
      <c r="T2049" s="522" t="n"/>
      <c r="U2049" s="522" t="n"/>
      <c r="V2049" s="522" t="n"/>
      <c r="W2049" s="521" t="n"/>
    </row>
    <row r="2050">
      <c r="A2050" s="521" t="n">
        <v>2042</v>
      </c>
      <c r="B2050" s="522" t="inlineStr">
        <is>
          <t>Service Fee</t>
        </is>
      </c>
      <c r="C2050" s="522" t="inlineStr">
        <is>
          <t>សូស៊ីយេតេ កុងសេស្យូនែរ ដឺ ឡាអេរ៉ូព័រ</t>
        </is>
      </c>
      <c r="D2050" s="522" t="inlineStr">
        <is>
          <t>L001-100047300</t>
        </is>
      </c>
      <c r="E2050" s="521" t="inlineStr">
        <is>
          <t>2100-026242</t>
        </is>
      </c>
      <c r="F2050" s="523" t="n">
        <v>44343</v>
      </c>
      <c r="G2050" s="556" t="n">
        <v>10290</v>
      </c>
      <c r="I2050" s="521">
        <f>G2050</f>
        <v/>
      </c>
      <c r="K2050" s="521">
        <f>I2050-G2050</f>
        <v/>
      </c>
      <c r="M2050" s="522" t="inlineStr">
        <is>
          <t>2100026242</t>
        </is>
      </c>
      <c r="N2050" s="522" t="inlineStr"/>
      <c r="O2050" s="521">
        <f>M2050=N2050</f>
        <v/>
      </c>
      <c r="P2050" s="521">
        <f>AND(MONTH(F2050)=MONTH(S2050), YEAR(F2050)=YEAR(S2050))</f>
        <v/>
      </c>
      <c r="Q2050" s="521">
        <f>U2050="L001-901905215"</f>
        <v/>
      </c>
      <c r="R2050" s="556">
        <f>G2050-W2050</f>
        <v/>
      </c>
      <c r="S2050" s="521" t="n"/>
      <c r="T2050" s="522" t="n"/>
      <c r="U2050" s="522" t="n"/>
      <c r="V2050" s="522" t="n"/>
      <c r="W2050" s="521" t="n"/>
    </row>
    <row r="2051">
      <c r="A2051" s="521" t="n">
        <v>2043</v>
      </c>
      <c r="B2051" s="522" t="inlineStr">
        <is>
          <t>Service Fee</t>
        </is>
      </c>
      <c r="C2051" s="522" t="inlineStr">
        <is>
          <t>សូស៊ីយេតេ កុងសេស្យូនែរ ដឺ ឡាអេរ៉ូព័រ</t>
        </is>
      </c>
      <c r="D2051" s="522" t="inlineStr">
        <is>
          <t>L001-100047300</t>
        </is>
      </c>
      <c r="E2051" s="521" t="inlineStr">
        <is>
          <t>2100-025649</t>
        </is>
      </c>
      <c r="F2051" s="523" t="n">
        <v>44340</v>
      </c>
      <c r="G2051" s="556" t="n">
        <v>22224</v>
      </c>
      <c r="I2051" s="521">
        <f>G2051</f>
        <v/>
      </c>
      <c r="K2051" s="521">
        <f>I2051-G2051</f>
        <v/>
      </c>
      <c r="M2051" s="522" t="inlineStr">
        <is>
          <t>2100025649</t>
        </is>
      </c>
      <c r="N2051" s="522" t="inlineStr"/>
      <c r="O2051" s="521">
        <f>M2051=N2051</f>
        <v/>
      </c>
      <c r="P2051" s="521">
        <f>AND(MONTH(F2051)=MONTH(S2051), YEAR(F2051)=YEAR(S2051))</f>
        <v/>
      </c>
      <c r="Q2051" s="521">
        <f>U2051="L001-901905215"</f>
        <v/>
      </c>
      <c r="R2051" s="556">
        <f>G2051-W2051</f>
        <v/>
      </c>
      <c r="S2051" s="521" t="n"/>
      <c r="T2051" s="522" t="n"/>
      <c r="U2051" s="522" t="n"/>
      <c r="V2051" s="522" t="n"/>
      <c r="W2051" s="521" t="n"/>
    </row>
    <row r="2052">
      <c r="A2052" s="521" t="n">
        <v>2044</v>
      </c>
      <c r="B2052" s="522" t="inlineStr">
        <is>
          <t>Lift On &amp; Lift Off</t>
        </is>
      </c>
      <c r="C2052" s="522" t="inlineStr">
        <is>
          <t>កំពង់ផែស្វយ័តក្រុងព្រះសីហនុ</t>
        </is>
      </c>
      <c r="D2052" s="522" t="inlineStr">
        <is>
          <t>L001-100044638</t>
        </is>
      </c>
      <c r="E2052" s="521" t="inlineStr">
        <is>
          <t>082359</t>
        </is>
      </c>
      <c r="F2052" s="523" t="n">
        <v>44340</v>
      </c>
      <c r="G2052" s="556" t="n">
        <v>35435</v>
      </c>
      <c r="I2052" s="521">
        <f>G2052</f>
        <v/>
      </c>
      <c r="K2052" s="521">
        <f>I2052-G2052</f>
        <v/>
      </c>
      <c r="M2052" s="522" t="inlineStr">
        <is>
          <t>082359</t>
        </is>
      </c>
      <c r="N2052" s="522" t="inlineStr"/>
      <c r="O2052" s="521">
        <f>M2052=N2052</f>
        <v/>
      </c>
      <c r="P2052" s="521">
        <f>AND(MONTH(F2052)=MONTH(S2052), YEAR(F2052)=YEAR(S2052))</f>
        <v/>
      </c>
      <c r="Q2052" s="521">
        <f>U2052="L001-901905215"</f>
        <v/>
      </c>
      <c r="R2052" s="556">
        <f>G2052-W2052</f>
        <v/>
      </c>
      <c r="S2052" s="521" t="n"/>
      <c r="T2052" s="522" t="n"/>
      <c r="U2052" s="522" t="n"/>
      <c r="V2052" s="522" t="n"/>
      <c r="W2052" s="521" t="n"/>
    </row>
    <row r="2053">
      <c r="A2053" s="521" t="n">
        <v>2045</v>
      </c>
      <c r="B2053" s="522" t="inlineStr">
        <is>
          <t>Lift On &amp; Lift Off</t>
        </is>
      </c>
      <c r="C2053" s="522" t="inlineStr">
        <is>
          <t>កំពង់ផែស្វយ័តក្រុងព្រះសីហនុ</t>
        </is>
      </c>
      <c r="D2053" s="522" t="inlineStr">
        <is>
          <t>L001-100044638</t>
        </is>
      </c>
      <c r="E2053" s="521" t="inlineStr">
        <is>
          <t>080799</t>
        </is>
      </c>
      <c r="F2053" s="523" t="n">
        <v>44337</v>
      </c>
      <c r="G2053" s="556" t="n">
        <v>35453</v>
      </c>
      <c r="I2053" s="521">
        <f>G2053</f>
        <v/>
      </c>
      <c r="K2053" s="521">
        <f>I2053-G2053</f>
        <v/>
      </c>
      <c r="M2053" s="522" t="inlineStr">
        <is>
          <t>080799</t>
        </is>
      </c>
      <c r="N2053" s="522" t="inlineStr"/>
      <c r="O2053" s="521">
        <f>M2053=N2053</f>
        <v/>
      </c>
      <c r="P2053" s="521">
        <f>AND(MONTH(F2053)=MONTH(S2053), YEAR(F2053)=YEAR(S2053))</f>
        <v/>
      </c>
      <c r="Q2053" s="521">
        <f>U2053="L001-901905215"</f>
        <v/>
      </c>
      <c r="R2053" s="556">
        <f>G2053-W2053</f>
        <v/>
      </c>
      <c r="S2053" s="521" t="n"/>
      <c r="T2053" s="522" t="n"/>
      <c r="U2053" s="522" t="n"/>
      <c r="V2053" s="522" t="n"/>
      <c r="W2053" s="521" t="n"/>
    </row>
    <row r="2054">
      <c r="A2054" s="521" t="n">
        <v>2046</v>
      </c>
      <c r="B2054" s="522" t="inlineStr">
        <is>
          <t>THC</t>
        </is>
      </c>
      <c r="C2054" s="522" t="inlineStr">
        <is>
          <t>ខូស្កូ ស៊ីបភីង ឡាញ (ខេមបូឌា) ឯ.ក</t>
        </is>
      </c>
      <c r="D2054" s="522" t="inlineStr">
        <is>
          <t>L001-100103383</t>
        </is>
      </c>
      <c r="E2054" s="521" t="inlineStr">
        <is>
          <t>COS2105-06393</t>
        </is>
      </c>
      <c r="F2054" s="523" t="n">
        <v>44333</v>
      </c>
      <c r="G2054" s="556" t="n">
        <v>213570</v>
      </c>
      <c r="I2054" s="521">
        <f>G2054</f>
        <v/>
      </c>
      <c r="K2054" s="521">
        <f>I2054-G2054</f>
        <v/>
      </c>
      <c r="M2054" s="522" t="inlineStr">
        <is>
          <t>COS210506393</t>
        </is>
      </c>
      <c r="N2054" s="522" t="inlineStr">
        <is>
          <t>COS210506393</t>
        </is>
      </c>
      <c r="O2054" s="521">
        <f>M2054=N2054</f>
        <v/>
      </c>
      <c r="P2054" s="521">
        <f>AND(MONTH(F2054)=MONTH(S2054), YEAR(F2054)=YEAR(S2054))</f>
        <v/>
      </c>
      <c r="Q2054" s="521">
        <f>U2054="L001-901905215"</f>
        <v/>
      </c>
      <c r="R2054" s="556">
        <f>G2054-W2054</f>
        <v/>
      </c>
      <c r="S2054" s="523" t="n">
        <v>44333</v>
      </c>
      <c r="T2054" s="522" t="inlineStr">
        <is>
          <t>COS2105-06393</t>
        </is>
      </c>
      <c r="U2054" s="522" t="inlineStr">
        <is>
          <t>L001-901905215</t>
        </is>
      </c>
      <c r="V2054" s="522" t="inlineStr">
        <is>
          <t>វីអ៊ីស៊ិន (ខេមបូឌា) អ៊ិនដាសស្ទ្រី ឯ.ក</t>
        </is>
      </c>
      <c r="W2054" s="556" t="n">
        <v>213570</v>
      </c>
    </row>
    <row r="2055">
      <c r="A2055" s="521" t="n">
        <v>2047</v>
      </c>
      <c r="B2055" s="522" t="inlineStr">
        <is>
          <t>Lift on</t>
        </is>
      </c>
      <c r="C2055" s="522" t="inlineStr">
        <is>
          <t>ហុង ឡេង ហួរ</t>
        </is>
      </c>
      <c r="D2055" s="522" t="inlineStr">
        <is>
          <t>L001-100068901</t>
        </is>
      </c>
      <c r="E2055" s="521" t="inlineStr">
        <is>
          <t>161646</t>
        </is>
      </c>
      <c r="F2055" s="523" t="n">
        <v>44337</v>
      </c>
      <c r="G2055" s="556" t="n">
        <v>5557</v>
      </c>
      <c r="I2055" s="521">
        <f>G2055</f>
        <v/>
      </c>
      <c r="K2055" s="521">
        <f>I2055-G2055</f>
        <v/>
      </c>
      <c r="M2055" s="522" t="inlineStr">
        <is>
          <t>161646</t>
        </is>
      </c>
      <c r="N2055" s="522" t="inlineStr"/>
      <c r="O2055" s="521">
        <f>M2055=N2055</f>
        <v/>
      </c>
      <c r="P2055" s="521">
        <f>AND(MONTH(F2055)=MONTH(S2055), YEAR(F2055)=YEAR(S2055))</f>
        <v/>
      </c>
      <c r="Q2055" s="521">
        <f>U2055="L001-901905215"</f>
        <v/>
      </c>
      <c r="R2055" s="556">
        <f>G2055-W2055</f>
        <v/>
      </c>
      <c r="S2055" s="521" t="n"/>
      <c r="T2055" s="522" t="n"/>
      <c r="U2055" s="522" t="n"/>
      <c r="V2055" s="522" t="n"/>
      <c r="W2055" s="521" t="n"/>
    </row>
    <row r="2056">
      <c r="A2056" s="521" t="n">
        <v>2048</v>
      </c>
      <c r="B2056" s="522" t="inlineStr">
        <is>
          <t>THC,DOC FEE</t>
        </is>
      </c>
      <c r="C2056" s="522" t="inlineStr">
        <is>
          <t>ហារី &amp; សាន់ អេជេនស៊ី</t>
        </is>
      </c>
      <c r="D2056" s="522" t="inlineStr">
        <is>
          <t>K002-901637349</t>
        </is>
      </c>
      <c r="E2056" s="521" t="inlineStr">
        <is>
          <t>TI-001084</t>
        </is>
      </c>
      <c r="F2056" s="523" t="n">
        <v>44319</v>
      </c>
      <c r="G2056" s="556" t="n">
        <v>109296</v>
      </c>
      <c r="I2056" s="521">
        <f>G2056</f>
        <v/>
      </c>
      <c r="K2056" s="521">
        <f>I2056-G2056</f>
        <v/>
      </c>
      <c r="M2056" s="522" t="inlineStr">
        <is>
          <t>TI001084</t>
        </is>
      </c>
      <c r="N2056" s="522" t="inlineStr">
        <is>
          <t>TI001084</t>
        </is>
      </c>
      <c r="O2056" s="521">
        <f>M2056=N2056</f>
        <v/>
      </c>
      <c r="P2056" s="521">
        <f>AND(MONTH(F2056)=MONTH(S2056), YEAR(F2056)=YEAR(S2056))</f>
        <v/>
      </c>
      <c r="Q2056" s="521">
        <f>U2056="L001-901905215"</f>
        <v/>
      </c>
      <c r="R2056" s="556">
        <f>G2056-W2056</f>
        <v/>
      </c>
      <c r="S2056" s="523" t="n">
        <v>44319</v>
      </c>
      <c r="T2056" s="522" t="inlineStr">
        <is>
          <t>TI-001084</t>
        </is>
      </c>
      <c r="U2056" s="522" t="inlineStr">
        <is>
          <t>L001-901905215</t>
        </is>
      </c>
      <c r="V2056" s="522" t="inlineStr">
        <is>
          <t>វីអ៊ីស៊ិន (ខេមបូឌា) អ៊ិនដាសស្ទ្រី ឯ.ក</t>
        </is>
      </c>
      <c r="W2056" s="556" t="n">
        <v>109296</v>
      </c>
    </row>
    <row r="2057">
      <c r="A2057" s="521" t="n">
        <v>2049</v>
      </c>
      <c r="B2057" s="522" t="inlineStr">
        <is>
          <t>Lift On &amp; Lift Off</t>
        </is>
      </c>
      <c r="C2057" s="522" t="inlineStr">
        <is>
          <t>កំពង់ផែស្វយ័តក្រុងព្រះសីហនុ</t>
        </is>
      </c>
      <c r="D2057" s="522" t="inlineStr">
        <is>
          <t>L001-100044638</t>
        </is>
      </c>
      <c r="E2057" s="521" t="inlineStr">
        <is>
          <t>075033</t>
        </is>
      </c>
      <c r="F2057" s="523" t="n">
        <v>44317</v>
      </c>
      <c r="G2057" s="556" t="n">
        <v>35365</v>
      </c>
      <c r="I2057" s="521">
        <f>G2057</f>
        <v/>
      </c>
      <c r="K2057" s="521">
        <f>I2057-G2057</f>
        <v/>
      </c>
      <c r="M2057" s="522" t="inlineStr">
        <is>
          <t>075033</t>
        </is>
      </c>
      <c r="N2057" s="522" t="inlineStr"/>
      <c r="O2057" s="521">
        <f>M2057=N2057</f>
        <v/>
      </c>
      <c r="P2057" s="521">
        <f>AND(MONTH(F2057)=MONTH(S2057), YEAR(F2057)=YEAR(S2057))</f>
        <v/>
      </c>
      <c r="Q2057" s="521">
        <f>U2057="L001-901905215"</f>
        <v/>
      </c>
      <c r="R2057" s="556">
        <f>G2057-W2057</f>
        <v/>
      </c>
      <c r="S2057" s="521" t="n"/>
      <c r="T2057" s="522" t="n"/>
      <c r="U2057" s="522" t="n"/>
      <c r="V2057" s="522" t="n"/>
      <c r="W2057" s="521" t="n"/>
    </row>
    <row r="2058">
      <c r="A2058" s="521" t="n">
        <v>2050</v>
      </c>
      <c r="B2058" s="522" t="inlineStr">
        <is>
          <t>Terminal handing charge</t>
        </is>
      </c>
      <c r="C2058" s="522" t="inlineStr">
        <is>
          <t>អេវើរហ្គ្រីន ស៊ីបភីង សឺវីស (ខេមបូឌា) ឯ.ក</t>
        </is>
      </c>
      <c r="D2058" s="522" t="inlineStr">
        <is>
          <t>L001-901705421</t>
        </is>
      </c>
      <c r="E2058" s="521" t="inlineStr">
        <is>
          <t>IY21003381</t>
        </is>
      </c>
      <c r="F2058" s="523" t="n">
        <v>44328</v>
      </c>
      <c r="G2058" s="556" t="n">
        <v>91013</v>
      </c>
      <c r="I2058" s="521">
        <f>G2058</f>
        <v/>
      </c>
      <c r="K2058" s="521">
        <f>I2058-G2058</f>
        <v/>
      </c>
      <c r="M2058" s="522" t="inlineStr">
        <is>
          <t>IY21003381</t>
        </is>
      </c>
      <c r="N2058" s="522" t="inlineStr"/>
      <c r="O2058" s="521">
        <f>M2058=N2058</f>
        <v/>
      </c>
      <c r="P2058" s="521">
        <f>AND(MONTH(F2058)=MONTH(S2058), YEAR(F2058)=YEAR(S2058))</f>
        <v/>
      </c>
      <c r="Q2058" s="521">
        <f>U2058="L001-901905215"</f>
        <v/>
      </c>
      <c r="R2058" s="556">
        <f>G2058-W2058</f>
        <v/>
      </c>
      <c r="S2058" s="521" t="n"/>
      <c r="T2058" s="522" t="n"/>
      <c r="U2058" s="522" t="n"/>
      <c r="V2058" s="522" t="n"/>
      <c r="W2058" s="521" t="n"/>
    </row>
    <row r="2059">
      <c r="A2059" s="521" t="n">
        <v>2051</v>
      </c>
      <c r="B2059" s="522" t="inlineStr">
        <is>
          <t>Trucking Fee</t>
        </is>
      </c>
      <c r="C2059" s="522" t="inlineStr">
        <is>
          <t>56ប៊ី-លីង សឹបផ្លាយ ឆេន មេនេចម៉ិន ឯ.ក</t>
        </is>
      </c>
      <c r="D2059" s="522" t="inlineStr">
        <is>
          <t>K004-902004795</t>
        </is>
      </c>
      <c r="E2059" s="521" t="inlineStr">
        <is>
          <t>IN202105-0326</t>
        </is>
      </c>
      <c r="F2059" s="523" t="n">
        <v>44347</v>
      </c>
      <c r="G2059" s="556" t="n">
        <v>299292</v>
      </c>
      <c r="I2059" s="521">
        <f>G2059</f>
        <v/>
      </c>
      <c r="K2059" s="521">
        <f>I2059-G2059</f>
        <v/>
      </c>
      <c r="M2059" s="522" t="inlineStr">
        <is>
          <t>IN2021050326</t>
        </is>
      </c>
      <c r="N2059" s="522" t="inlineStr">
        <is>
          <t>IN2021050326</t>
        </is>
      </c>
      <c r="O2059" s="521">
        <f>M2059=N2059</f>
        <v/>
      </c>
      <c r="P2059" s="521">
        <f>AND(MONTH(F2059)=MONTH(S2059), YEAR(F2059)=YEAR(S2059))</f>
        <v/>
      </c>
      <c r="Q2059" s="521">
        <f>U2059="L001-901905215"</f>
        <v/>
      </c>
      <c r="R2059" s="556">
        <f>G2059-W2059</f>
        <v/>
      </c>
      <c r="S2059" s="523" t="n">
        <v>44347</v>
      </c>
      <c r="T2059" s="522" t="inlineStr">
        <is>
          <t>IN202105-0326</t>
        </is>
      </c>
      <c r="U2059" s="522" t="inlineStr">
        <is>
          <t>L001-901905215</t>
        </is>
      </c>
      <c r="V2059" s="522" t="inlineStr">
        <is>
          <t>វីអ៊ីស៊ិន (ខេមបូឌា) អ៊ិនដាសស្ទ្រី ឯ.ក</t>
        </is>
      </c>
      <c r="W2059" s="556" t="n">
        <v>299292</v>
      </c>
    </row>
    <row r="2060">
      <c r="A2060" s="521" t="n">
        <v>2052</v>
      </c>
      <c r="B2060" s="522" t="inlineStr">
        <is>
          <t>Trucking Fee</t>
        </is>
      </c>
      <c r="C2060" s="522" t="inlineStr">
        <is>
          <t>56ប៊ី-លីង សឹបផ្លាយ ឆេន មេនេចម៉ិន ឯ.ក</t>
        </is>
      </c>
      <c r="D2060" s="522" t="inlineStr">
        <is>
          <t>K004-902004795</t>
        </is>
      </c>
      <c r="E2060" s="521" t="inlineStr">
        <is>
          <t>IN202105-0325</t>
        </is>
      </c>
      <c r="F2060" s="523" t="n">
        <v>44347</v>
      </c>
      <c r="G2060" s="556" t="n">
        <v>166952</v>
      </c>
      <c r="I2060" s="521">
        <f>G2060</f>
        <v/>
      </c>
      <c r="K2060" s="521">
        <f>I2060-G2060</f>
        <v/>
      </c>
      <c r="M2060" s="522" t="inlineStr">
        <is>
          <t>IN2021050325</t>
        </is>
      </c>
      <c r="N2060" s="522" t="inlineStr">
        <is>
          <t>IN2021050325</t>
        </is>
      </c>
      <c r="O2060" s="521">
        <f>M2060=N2060</f>
        <v/>
      </c>
      <c r="P2060" s="521">
        <f>AND(MONTH(F2060)=MONTH(S2060), YEAR(F2060)=YEAR(S2060))</f>
        <v/>
      </c>
      <c r="Q2060" s="521">
        <f>U2060="L001-901905215"</f>
        <v/>
      </c>
      <c r="R2060" s="556">
        <f>G2060-W2060</f>
        <v/>
      </c>
      <c r="S2060" s="523" t="n">
        <v>44347</v>
      </c>
      <c r="T2060" s="522" t="inlineStr">
        <is>
          <t>IN202105-0325</t>
        </is>
      </c>
      <c r="U2060" s="522" t="inlineStr">
        <is>
          <t>L001-901905215</t>
        </is>
      </c>
      <c r="V2060" s="522" t="inlineStr">
        <is>
          <t>វីអ៊ីស៊ិន (ខេមបូឌា) អ៊ិនដាសស្ទ្រី ឯ.ក</t>
        </is>
      </c>
      <c r="W2060" s="556" t="n">
        <v>166952</v>
      </c>
    </row>
    <row r="2061">
      <c r="A2061" s="521" t="n">
        <v>2053</v>
      </c>
      <c r="B2061" s="522" t="inlineStr">
        <is>
          <t>Trucking Fee</t>
        </is>
      </c>
      <c r="C2061" s="522" t="inlineStr">
        <is>
          <t>56ប៊ី-លីង សឹបផ្លាយ ឆេន មេនេចម៉ិន ឯ.ក</t>
        </is>
      </c>
      <c r="D2061" s="522" t="inlineStr">
        <is>
          <t>K004-902004795</t>
        </is>
      </c>
      <c r="E2061" s="521" t="inlineStr">
        <is>
          <t>IN202105-0324</t>
        </is>
      </c>
      <c r="F2061" s="523" t="n">
        <v>44347</v>
      </c>
      <c r="G2061" s="556" t="n">
        <v>166952</v>
      </c>
      <c r="I2061" s="521">
        <f>G2061</f>
        <v/>
      </c>
      <c r="K2061" s="521">
        <f>I2061-G2061</f>
        <v/>
      </c>
      <c r="M2061" s="522" t="inlineStr">
        <is>
          <t>IN2021050324</t>
        </is>
      </c>
      <c r="N2061" s="522" t="inlineStr">
        <is>
          <t>IN2021050324</t>
        </is>
      </c>
      <c r="O2061" s="521">
        <f>M2061=N2061</f>
        <v/>
      </c>
      <c r="P2061" s="521">
        <f>AND(MONTH(F2061)=MONTH(S2061), YEAR(F2061)=YEAR(S2061))</f>
        <v/>
      </c>
      <c r="Q2061" s="521">
        <f>U2061="L001-901905215"</f>
        <v/>
      </c>
      <c r="R2061" s="556">
        <f>G2061-W2061</f>
        <v/>
      </c>
      <c r="S2061" s="523" t="n">
        <v>44347</v>
      </c>
      <c r="T2061" s="522" t="inlineStr">
        <is>
          <t>IN202105-0324</t>
        </is>
      </c>
      <c r="U2061" s="522" t="inlineStr">
        <is>
          <t>L001-901905215</t>
        </is>
      </c>
      <c r="V2061" s="522" t="inlineStr">
        <is>
          <t>វីអ៊ីស៊ិន (ខេមបូឌា) អ៊ិនដាសស្ទ្រី ឯ.ក</t>
        </is>
      </c>
      <c r="W2061" s="556" t="n">
        <v>166952</v>
      </c>
    </row>
    <row r="2062">
      <c r="A2062" s="521" t="n">
        <v>2054</v>
      </c>
      <c r="B2062" s="522" t="inlineStr">
        <is>
          <t>Trucking Fee</t>
        </is>
      </c>
      <c r="C2062" s="522" t="inlineStr">
        <is>
          <t>56ប៊ី-លីង សឹបផ្លាយ ឆេន មេនេចម៉ិន ឯ.ក</t>
        </is>
      </c>
      <c r="D2062" s="522" t="inlineStr">
        <is>
          <t>K004-902004795</t>
        </is>
      </c>
      <c r="E2062" s="521" t="inlineStr">
        <is>
          <t>IN202105-0323</t>
        </is>
      </c>
      <c r="F2062" s="523" t="n">
        <v>44347</v>
      </c>
      <c r="G2062" s="556" t="n">
        <v>423488</v>
      </c>
      <c r="I2062" s="521">
        <f>G2062</f>
        <v/>
      </c>
      <c r="K2062" s="521">
        <f>I2062-G2062</f>
        <v/>
      </c>
      <c r="M2062" s="522" t="inlineStr">
        <is>
          <t>IN2021050323</t>
        </is>
      </c>
      <c r="N2062" s="522" t="inlineStr">
        <is>
          <t>IN2021050323</t>
        </is>
      </c>
      <c r="O2062" s="521">
        <f>M2062=N2062</f>
        <v/>
      </c>
      <c r="P2062" s="521">
        <f>AND(MONTH(F2062)=MONTH(S2062), YEAR(F2062)=YEAR(S2062))</f>
        <v/>
      </c>
      <c r="Q2062" s="521">
        <f>U2062="L001-901905215"</f>
        <v/>
      </c>
      <c r="R2062" s="556">
        <f>G2062-W2062</f>
        <v/>
      </c>
      <c r="S2062" s="523" t="n">
        <v>44347</v>
      </c>
      <c r="T2062" s="522" t="inlineStr">
        <is>
          <t>IN202105-0323</t>
        </is>
      </c>
      <c r="U2062" s="522" t="inlineStr">
        <is>
          <t>L001-901905215</t>
        </is>
      </c>
      <c r="V2062" s="522" t="inlineStr">
        <is>
          <t>វីអ៊ីស៊ិន (ខេមបូឌា) អ៊ិនដាសស្ទ្រី ឯ.ក</t>
        </is>
      </c>
      <c r="W2062" s="556" t="n">
        <v>423488</v>
      </c>
    </row>
    <row r="2063">
      <c r="A2063" s="521" t="n">
        <v>2055</v>
      </c>
      <c r="B2063" s="522" t="inlineStr">
        <is>
          <t>Trucking Fee</t>
        </is>
      </c>
      <c r="C2063" s="522" t="inlineStr">
        <is>
          <t>56ប៊ី-លីង សឹបផ្លាយ ឆេន មេនេចម៉ិន ឯ.ក</t>
        </is>
      </c>
      <c r="D2063" s="522" t="inlineStr">
        <is>
          <t>K004-902004795</t>
        </is>
      </c>
      <c r="E2063" s="521" t="inlineStr">
        <is>
          <t>IN202105-0322</t>
        </is>
      </c>
      <c r="F2063" s="523" t="n">
        <v>44347</v>
      </c>
      <c r="G2063" s="556" t="n">
        <v>423488</v>
      </c>
      <c r="I2063" s="521">
        <f>G2063</f>
        <v/>
      </c>
      <c r="K2063" s="521">
        <f>I2063-G2063</f>
        <v/>
      </c>
      <c r="M2063" s="522" t="inlineStr">
        <is>
          <t>IN2021050322</t>
        </is>
      </c>
      <c r="N2063" s="522" t="inlineStr">
        <is>
          <t>IN2021050322</t>
        </is>
      </c>
      <c r="O2063" s="521">
        <f>M2063=N2063</f>
        <v/>
      </c>
      <c r="P2063" s="521">
        <f>AND(MONTH(F2063)=MONTH(S2063), YEAR(F2063)=YEAR(S2063))</f>
        <v/>
      </c>
      <c r="Q2063" s="521">
        <f>U2063="L001-901905215"</f>
        <v/>
      </c>
      <c r="R2063" s="556">
        <f>G2063-W2063</f>
        <v/>
      </c>
      <c r="S2063" s="523" t="n">
        <v>44347</v>
      </c>
      <c r="T2063" s="522" t="inlineStr">
        <is>
          <t>IN202105-0322</t>
        </is>
      </c>
      <c r="U2063" s="522" t="inlineStr">
        <is>
          <t>L001-901905215</t>
        </is>
      </c>
      <c r="V2063" s="522" t="inlineStr">
        <is>
          <t>វីអ៊ីស៊ិន (ខេមបូឌា) អ៊ិនដាសស្ទ្រី ឯ.ក</t>
        </is>
      </c>
      <c r="W2063" s="556" t="n">
        <v>423488</v>
      </c>
    </row>
    <row r="2064">
      <c r="A2064" s="521" t="n">
        <v>2056</v>
      </c>
      <c r="B2064" s="522" t="inlineStr">
        <is>
          <t>Trucking Fee</t>
        </is>
      </c>
      <c r="C2064" s="522" t="inlineStr">
        <is>
          <t>56ប៊ី-លីង សឹបផ្លាយ ឆេន មេនេចម៉ិន ឯ.ក</t>
        </is>
      </c>
      <c r="D2064" s="522" t="inlineStr">
        <is>
          <t>K004-902004795</t>
        </is>
      </c>
      <c r="E2064" s="521" t="inlineStr">
        <is>
          <t>IN202105-0321</t>
        </is>
      </c>
      <c r="F2064" s="523" t="n">
        <v>44347</v>
      </c>
      <c r="G2064" s="556" t="n">
        <v>299292</v>
      </c>
      <c r="I2064" s="521">
        <f>G2064</f>
        <v/>
      </c>
      <c r="K2064" s="521">
        <f>I2064-G2064</f>
        <v/>
      </c>
      <c r="M2064" s="522" t="inlineStr">
        <is>
          <t>IN2021050321</t>
        </is>
      </c>
      <c r="N2064" s="522" t="inlineStr">
        <is>
          <t>IN2021050321</t>
        </is>
      </c>
      <c r="O2064" s="521">
        <f>M2064=N2064</f>
        <v/>
      </c>
      <c r="P2064" s="521">
        <f>AND(MONTH(F2064)=MONTH(S2064), YEAR(F2064)=YEAR(S2064))</f>
        <v/>
      </c>
      <c r="Q2064" s="521">
        <f>U2064="L001-901905215"</f>
        <v/>
      </c>
      <c r="R2064" s="556">
        <f>G2064-W2064</f>
        <v/>
      </c>
      <c r="S2064" s="523" t="n">
        <v>44347</v>
      </c>
      <c r="T2064" s="522" t="inlineStr">
        <is>
          <t>IN202105-0321</t>
        </is>
      </c>
      <c r="U2064" s="522" t="inlineStr">
        <is>
          <t>L001-901905215</t>
        </is>
      </c>
      <c r="V2064" s="522" t="inlineStr">
        <is>
          <t>វីអ៊ីស៊ិន (ខេមបូឌា) អ៊ិនដាសស្ទ្រី ឯ.ក</t>
        </is>
      </c>
      <c r="W2064" s="556" t="n">
        <v>299292</v>
      </c>
    </row>
    <row r="2065">
      <c r="A2065" s="521" t="n">
        <v>2057</v>
      </c>
      <c r="B2065" s="522" t="inlineStr">
        <is>
          <t>Trucking Fee</t>
        </is>
      </c>
      <c r="C2065" s="522" t="inlineStr">
        <is>
          <t>56ប៊ី-លីង សឹបផ្លាយ ឆេន មេនេចម៉ិន ឯ.ក</t>
        </is>
      </c>
      <c r="D2065" s="522" t="inlineStr">
        <is>
          <t>K004-902004795</t>
        </is>
      </c>
      <c r="E2065" s="521" t="inlineStr">
        <is>
          <t>IN202105-0320</t>
        </is>
      </c>
      <c r="F2065" s="523" t="n">
        <v>44347</v>
      </c>
      <c r="G2065" s="556" t="n">
        <v>270788</v>
      </c>
      <c r="I2065" s="521">
        <f>G2065</f>
        <v/>
      </c>
      <c r="K2065" s="521">
        <f>I2065-G2065</f>
        <v/>
      </c>
      <c r="M2065" s="522" t="inlineStr">
        <is>
          <t>IN2021050320</t>
        </is>
      </c>
      <c r="N2065" s="522" t="inlineStr">
        <is>
          <t>IN2021050320</t>
        </is>
      </c>
      <c r="O2065" s="521">
        <f>M2065=N2065</f>
        <v/>
      </c>
      <c r="P2065" s="521">
        <f>AND(MONTH(F2065)=MONTH(S2065), YEAR(F2065)=YEAR(S2065))</f>
        <v/>
      </c>
      <c r="Q2065" s="521">
        <f>U2065="L001-901905215"</f>
        <v/>
      </c>
      <c r="R2065" s="556">
        <f>G2065-W2065</f>
        <v/>
      </c>
      <c r="S2065" s="523" t="n">
        <v>44347</v>
      </c>
      <c r="T2065" s="522" t="inlineStr">
        <is>
          <t>IN202105-0320</t>
        </is>
      </c>
      <c r="U2065" s="522" t="inlineStr">
        <is>
          <t>L001-901905215</t>
        </is>
      </c>
      <c r="V2065" s="522" t="inlineStr">
        <is>
          <t>វីអ៊ីស៊ិន (ខេមបូឌា) អ៊ិនដាសស្ទ្រី ឯ.ក</t>
        </is>
      </c>
      <c r="W2065" s="556" t="n">
        <v>270788</v>
      </c>
    </row>
    <row r="2066">
      <c r="A2066" s="521" t="n">
        <v>2058</v>
      </c>
      <c r="B2066" s="522" t="inlineStr">
        <is>
          <t>Trucking Fee</t>
        </is>
      </c>
      <c r="C2066" s="522" t="inlineStr">
        <is>
          <t>56ប៊ី-លីង សឹបផ្លាយ ឆេន មេនេចម៉ិន ឯ.ក</t>
        </is>
      </c>
      <c r="D2066" s="522" t="inlineStr">
        <is>
          <t>K004-902004795</t>
        </is>
      </c>
      <c r="E2066" s="521" t="inlineStr">
        <is>
          <t>IN202105-0319</t>
        </is>
      </c>
      <c r="F2066" s="523" t="n">
        <v>44347</v>
      </c>
      <c r="G2066" s="556" t="n">
        <v>270788</v>
      </c>
      <c r="I2066" s="521">
        <f>G2066</f>
        <v/>
      </c>
      <c r="K2066" s="521">
        <f>I2066-G2066</f>
        <v/>
      </c>
      <c r="M2066" s="522" t="inlineStr">
        <is>
          <t>IN2021050319</t>
        </is>
      </c>
      <c r="N2066" s="522" t="inlineStr">
        <is>
          <t>IN2021050319</t>
        </is>
      </c>
      <c r="O2066" s="521">
        <f>M2066=N2066</f>
        <v/>
      </c>
      <c r="P2066" s="521">
        <f>AND(MONTH(F2066)=MONTH(S2066), YEAR(F2066)=YEAR(S2066))</f>
        <v/>
      </c>
      <c r="Q2066" s="521">
        <f>U2066="L001-901905215"</f>
        <v/>
      </c>
      <c r="R2066" s="556">
        <f>G2066-W2066</f>
        <v/>
      </c>
      <c r="S2066" s="523" t="n">
        <v>44347</v>
      </c>
      <c r="T2066" s="522" t="inlineStr">
        <is>
          <t>IN202105-0319</t>
        </is>
      </c>
      <c r="U2066" s="522" t="inlineStr">
        <is>
          <t>L001-901905215</t>
        </is>
      </c>
      <c r="V2066" s="522" t="inlineStr">
        <is>
          <t>វីអ៊ីស៊ិន (ខេមបូឌា) អ៊ិនដាសស្ទ្រី ឯ.ក</t>
        </is>
      </c>
      <c r="W2066" s="556" t="n">
        <v>270788</v>
      </c>
    </row>
    <row r="2067">
      <c r="A2067" s="521" t="n">
        <v>2059</v>
      </c>
      <c r="B2067" s="522" t="inlineStr">
        <is>
          <t>Trucking Fee</t>
        </is>
      </c>
      <c r="C2067" s="522" t="inlineStr">
        <is>
          <t>56ប៊ី-លីង សឹបផ្លាយ ឆេន មេនេចម៉ិន ឯ.ក</t>
        </is>
      </c>
      <c r="D2067" s="522" t="inlineStr">
        <is>
          <t>K004-902004795</t>
        </is>
      </c>
      <c r="E2067" s="521" t="inlineStr">
        <is>
          <t>IN202105-0318</t>
        </is>
      </c>
      <c r="F2067" s="523" t="n">
        <v>44347</v>
      </c>
      <c r="G2067" s="556" t="n">
        <v>299292</v>
      </c>
      <c r="I2067" s="521">
        <f>G2067</f>
        <v/>
      </c>
      <c r="K2067" s="521">
        <f>I2067-G2067</f>
        <v/>
      </c>
      <c r="M2067" s="522" t="inlineStr">
        <is>
          <t>IN2021050318</t>
        </is>
      </c>
      <c r="N2067" s="522" t="inlineStr">
        <is>
          <t>IN2021050318</t>
        </is>
      </c>
      <c r="O2067" s="521">
        <f>M2067=N2067</f>
        <v/>
      </c>
      <c r="P2067" s="521">
        <f>AND(MONTH(F2067)=MONTH(S2067), YEAR(F2067)=YEAR(S2067))</f>
        <v/>
      </c>
      <c r="Q2067" s="521">
        <f>U2067="L001-901905215"</f>
        <v/>
      </c>
      <c r="R2067" s="556">
        <f>G2067-W2067</f>
        <v/>
      </c>
      <c r="S2067" s="523" t="n">
        <v>44347</v>
      </c>
      <c r="T2067" s="522" t="inlineStr">
        <is>
          <t>IN202105-0318</t>
        </is>
      </c>
      <c r="U2067" s="522" t="inlineStr">
        <is>
          <t>L001-901905215</t>
        </is>
      </c>
      <c r="V2067" s="522" t="inlineStr">
        <is>
          <t>វីអ៊ីស៊ិន (ខេមបូឌា) អ៊ិនដាសស្ទ្រី ឯ.ក</t>
        </is>
      </c>
      <c r="W2067" s="556" t="n">
        <v>299292</v>
      </c>
    </row>
    <row r="2068">
      <c r="A2068" s="521" t="n">
        <v>2060</v>
      </c>
      <c r="B2068" s="522" t="inlineStr">
        <is>
          <t>Trucking Fee</t>
        </is>
      </c>
      <c r="C2068" s="522" t="inlineStr">
        <is>
          <t>56ប៊ី-លីង សឹបផ្លាយ ឆេន មេនេចម៉ិន ឯ.ក</t>
        </is>
      </c>
      <c r="D2068" s="522" t="inlineStr">
        <is>
          <t>K004-902004795</t>
        </is>
      </c>
      <c r="E2068" s="521" t="inlineStr">
        <is>
          <t>IN202105-0317</t>
        </is>
      </c>
      <c r="F2068" s="523" t="n">
        <v>44347</v>
      </c>
      <c r="G2068" s="556" t="n">
        <v>164916</v>
      </c>
      <c r="I2068" s="521">
        <f>G2068</f>
        <v/>
      </c>
      <c r="K2068" s="521">
        <f>I2068-G2068</f>
        <v/>
      </c>
      <c r="M2068" s="522" t="inlineStr">
        <is>
          <t>IN2021050317</t>
        </is>
      </c>
      <c r="N2068" s="522" t="inlineStr">
        <is>
          <t>IN2021050317</t>
        </is>
      </c>
      <c r="O2068" s="521">
        <f>M2068=N2068</f>
        <v/>
      </c>
      <c r="P2068" s="521">
        <f>AND(MONTH(F2068)=MONTH(S2068), YEAR(F2068)=YEAR(S2068))</f>
        <v/>
      </c>
      <c r="Q2068" s="521">
        <f>U2068="L001-901905215"</f>
        <v/>
      </c>
      <c r="R2068" s="556">
        <f>G2068-W2068</f>
        <v/>
      </c>
      <c r="S2068" s="523" t="n">
        <v>44347</v>
      </c>
      <c r="T2068" s="522" t="inlineStr">
        <is>
          <t>IN202105-0317</t>
        </is>
      </c>
      <c r="U2068" s="522" t="inlineStr">
        <is>
          <t>L001-901905215</t>
        </is>
      </c>
      <c r="V2068" s="522" t="inlineStr">
        <is>
          <t>វីអ៊ីស៊ិន (ខេមបូឌា) អ៊ិនដាសស្ទ្រី ឯ.ក</t>
        </is>
      </c>
      <c r="W2068" s="556" t="n">
        <v>164916</v>
      </c>
    </row>
    <row r="2069">
      <c r="A2069" s="521" t="n">
        <v>2061</v>
      </c>
      <c r="B2069" s="522" t="inlineStr">
        <is>
          <t>Trucking Fee</t>
        </is>
      </c>
      <c r="C2069" s="522" t="inlineStr">
        <is>
          <t>56ប៊ី-លីង សឹបផ្លាយ ឆេន មេនេចម៉ិន ឯ.ក</t>
        </is>
      </c>
      <c r="D2069" s="522" t="inlineStr">
        <is>
          <t>K004-902004795</t>
        </is>
      </c>
      <c r="E2069" s="521" t="inlineStr">
        <is>
          <t>IN202105-0316</t>
        </is>
      </c>
      <c r="F2069" s="523" t="n">
        <v>44347</v>
      </c>
      <c r="G2069" s="556" t="n">
        <v>260608</v>
      </c>
      <c r="I2069" s="521">
        <f>G2069</f>
        <v/>
      </c>
      <c r="K2069" s="521">
        <f>I2069-G2069</f>
        <v/>
      </c>
      <c r="M2069" s="522" t="inlineStr">
        <is>
          <t>IN2021050316</t>
        </is>
      </c>
      <c r="N2069" s="522" t="inlineStr">
        <is>
          <t>IN2021050316</t>
        </is>
      </c>
      <c r="O2069" s="521">
        <f>M2069=N2069</f>
        <v/>
      </c>
      <c r="P2069" s="521">
        <f>AND(MONTH(F2069)=MONTH(S2069), YEAR(F2069)=YEAR(S2069))</f>
        <v/>
      </c>
      <c r="Q2069" s="521">
        <f>U2069="L001-901905215"</f>
        <v/>
      </c>
      <c r="R2069" s="556">
        <f>G2069-W2069</f>
        <v/>
      </c>
      <c r="S2069" s="523" t="n">
        <v>44347</v>
      </c>
      <c r="T2069" s="522" t="inlineStr">
        <is>
          <t>IN202105-0316</t>
        </is>
      </c>
      <c r="U2069" s="522" t="inlineStr">
        <is>
          <t>L001-901905215</t>
        </is>
      </c>
      <c r="V2069" s="522" t="inlineStr">
        <is>
          <t>វីអ៊ីស៊ិន (ខេមបូឌា) អ៊ិនដាសស្ទ្រី ឯ.ក</t>
        </is>
      </c>
      <c r="W2069" s="556" t="n">
        <v>260608</v>
      </c>
    </row>
    <row r="2070">
      <c r="A2070" s="521" t="n">
        <v>2062</v>
      </c>
      <c r="B2070" s="522" t="inlineStr">
        <is>
          <t>Trucking Fee</t>
        </is>
      </c>
      <c r="C2070" s="522" t="inlineStr">
        <is>
          <t>56ប៊ី-លីង សឹបផ្លាយ ឆេន មេនេចម៉ិន ឯ.ក</t>
        </is>
      </c>
      <c r="D2070" s="522" t="inlineStr">
        <is>
          <t>K004-902004795</t>
        </is>
      </c>
      <c r="E2070" s="521" t="inlineStr">
        <is>
          <t>IN202105-0315</t>
        </is>
      </c>
      <c r="F2070" s="523" t="n">
        <v>44347</v>
      </c>
      <c r="G2070" s="556" t="n">
        <v>484568</v>
      </c>
      <c r="I2070" s="521">
        <f>G2070</f>
        <v/>
      </c>
      <c r="K2070" s="521">
        <f>I2070-G2070</f>
        <v/>
      </c>
      <c r="M2070" s="522" t="inlineStr">
        <is>
          <t>IN2021050315</t>
        </is>
      </c>
      <c r="N2070" s="522" t="inlineStr">
        <is>
          <t>IN2021050315</t>
        </is>
      </c>
      <c r="O2070" s="521">
        <f>M2070=N2070</f>
        <v/>
      </c>
      <c r="P2070" s="521">
        <f>AND(MONTH(F2070)=MONTH(S2070), YEAR(F2070)=YEAR(S2070))</f>
        <v/>
      </c>
      <c r="Q2070" s="521">
        <f>U2070="L001-901905215"</f>
        <v/>
      </c>
      <c r="R2070" s="556">
        <f>G2070-W2070</f>
        <v/>
      </c>
      <c r="S2070" s="523" t="n">
        <v>44347</v>
      </c>
      <c r="T2070" s="522" t="inlineStr">
        <is>
          <t>IN202105-0315</t>
        </is>
      </c>
      <c r="U2070" s="522" t="inlineStr">
        <is>
          <t>L001-901905215</t>
        </is>
      </c>
      <c r="V2070" s="522" t="inlineStr">
        <is>
          <t>វីអ៊ីស៊ិន (ខេមបូឌា) អ៊ិនដាសស្ទ្រី ឯ.ក</t>
        </is>
      </c>
      <c r="W2070" s="556" t="n">
        <v>484568</v>
      </c>
    </row>
    <row r="2071">
      <c r="A2071" s="521" t="n">
        <v>2063</v>
      </c>
      <c r="B2071" s="522" t="inlineStr">
        <is>
          <t>Trucking Fee</t>
        </is>
      </c>
      <c r="C2071" s="522" t="inlineStr">
        <is>
          <t>56ប៊ី-លីង សឹបផ្លាយ ឆេន មេនេចម៉ិន ឯ.ក</t>
        </is>
      </c>
      <c r="D2071" s="522" t="inlineStr">
        <is>
          <t>K004-902004795</t>
        </is>
      </c>
      <c r="E2071" s="521" t="inlineStr">
        <is>
          <t>IN202105-0314</t>
        </is>
      </c>
      <c r="F2071" s="523" t="n">
        <v>44347</v>
      </c>
      <c r="G2071" s="556" t="n">
        <v>258572</v>
      </c>
      <c r="I2071" s="521">
        <f>G2071</f>
        <v/>
      </c>
      <c r="K2071" s="521">
        <f>I2071-G2071</f>
        <v/>
      </c>
      <c r="M2071" s="522" t="inlineStr">
        <is>
          <t>IN2021050314</t>
        </is>
      </c>
      <c r="N2071" s="522" t="inlineStr">
        <is>
          <t>IN2021050314</t>
        </is>
      </c>
      <c r="O2071" s="521">
        <f>M2071=N2071</f>
        <v/>
      </c>
      <c r="P2071" s="521">
        <f>AND(MONTH(F2071)=MONTH(S2071), YEAR(F2071)=YEAR(S2071))</f>
        <v/>
      </c>
      <c r="Q2071" s="521">
        <f>U2071="L001-901905215"</f>
        <v/>
      </c>
      <c r="R2071" s="556">
        <f>G2071-W2071</f>
        <v/>
      </c>
      <c r="S2071" s="523" t="n">
        <v>44347</v>
      </c>
      <c r="T2071" s="522" t="inlineStr">
        <is>
          <t>IN202105-0314</t>
        </is>
      </c>
      <c r="U2071" s="522" t="inlineStr">
        <is>
          <t>L001-901905215</t>
        </is>
      </c>
      <c r="V2071" s="522" t="inlineStr">
        <is>
          <t>វីអ៊ីស៊ិន (ខេមបូឌា) អ៊ិនដាសស្ទ្រី ឯ.ក</t>
        </is>
      </c>
      <c r="W2071" s="556" t="n">
        <v>258572</v>
      </c>
    </row>
    <row r="2072">
      <c r="A2072" s="521" t="n">
        <v>2064</v>
      </c>
      <c r="B2072" s="522" t="inlineStr">
        <is>
          <t>Trucking Fee</t>
        </is>
      </c>
      <c r="C2072" s="522" t="inlineStr">
        <is>
          <t>56ប៊ី-លីង សឹបផ្លាយ ឆេន មេនេចម៉ិន ឯ.ក</t>
        </is>
      </c>
      <c r="D2072" s="522" t="inlineStr">
        <is>
          <t>K004-902004795</t>
        </is>
      </c>
      <c r="E2072" s="521" t="inlineStr">
        <is>
          <t>IN202105-0313</t>
        </is>
      </c>
      <c r="F2072" s="523" t="n">
        <v>44347</v>
      </c>
      <c r="G2072" s="556" t="n">
        <v>164916</v>
      </c>
      <c r="I2072" s="521">
        <f>G2072</f>
        <v/>
      </c>
      <c r="K2072" s="521">
        <f>I2072-G2072</f>
        <v/>
      </c>
      <c r="M2072" s="522" t="inlineStr">
        <is>
          <t>IN2021050313</t>
        </is>
      </c>
      <c r="N2072" s="522" t="inlineStr">
        <is>
          <t>IN2021050313</t>
        </is>
      </c>
      <c r="O2072" s="521">
        <f>M2072=N2072</f>
        <v/>
      </c>
      <c r="P2072" s="521">
        <f>AND(MONTH(F2072)=MONTH(S2072), YEAR(F2072)=YEAR(S2072))</f>
        <v/>
      </c>
      <c r="Q2072" s="521">
        <f>U2072="L001-901905215"</f>
        <v/>
      </c>
      <c r="R2072" s="556">
        <f>G2072-W2072</f>
        <v/>
      </c>
      <c r="S2072" s="523" t="n">
        <v>44347</v>
      </c>
      <c r="T2072" s="522" t="inlineStr">
        <is>
          <t>IN202105-0313</t>
        </is>
      </c>
      <c r="U2072" s="522" t="inlineStr">
        <is>
          <t>L001-901905215</t>
        </is>
      </c>
      <c r="V2072" s="522" t="inlineStr">
        <is>
          <t>វីអ៊ីស៊ិន (ខេមបូឌា) អ៊ិនដាសស្ទ្រី ឯ.ក</t>
        </is>
      </c>
      <c r="W2072" s="556" t="n">
        <v>164916</v>
      </c>
    </row>
    <row r="2073">
      <c r="A2073" s="521" t="n">
        <v>2065</v>
      </c>
      <c r="B2073" s="522" t="inlineStr">
        <is>
          <t>Trucking Fee</t>
        </is>
      </c>
      <c r="C2073" s="522" t="inlineStr">
        <is>
          <t>56ប៊ី-លីង សឹបផ្លាយ ឆេន មេនេចម៉ិន ឯ.ក</t>
        </is>
      </c>
      <c r="D2073" s="522" t="inlineStr">
        <is>
          <t>K004-902004795</t>
        </is>
      </c>
      <c r="E2073" s="521" t="inlineStr">
        <is>
          <t>IN202105-0312</t>
        </is>
      </c>
      <c r="F2073" s="523" t="n">
        <v>44347</v>
      </c>
      <c r="G2073" s="556" t="n">
        <v>236176</v>
      </c>
      <c r="I2073" s="521">
        <f>G2073</f>
        <v/>
      </c>
      <c r="K2073" s="521">
        <f>I2073-G2073</f>
        <v/>
      </c>
      <c r="M2073" s="522" t="inlineStr">
        <is>
          <t>IN2021050312</t>
        </is>
      </c>
      <c r="N2073" s="522" t="inlineStr">
        <is>
          <t>IN2021050312</t>
        </is>
      </c>
      <c r="O2073" s="521">
        <f>M2073=N2073</f>
        <v/>
      </c>
      <c r="P2073" s="521">
        <f>AND(MONTH(F2073)=MONTH(S2073), YEAR(F2073)=YEAR(S2073))</f>
        <v/>
      </c>
      <c r="Q2073" s="521">
        <f>U2073="L001-901905215"</f>
        <v/>
      </c>
      <c r="R2073" s="556">
        <f>G2073-W2073</f>
        <v/>
      </c>
      <c r="S2073" s="523" t="n">
        <v>44347</v>
      </c>
      <c r="T2073" s="522" t="inlineStr">
        <is>
          <t>IN202105-0312</t>
        </is>
      </c>
      <c r="U2073" s="522" t="inlineStr">
        <is>
          <t>L001-901905215</t>
        </is>
      </c>
      <c r="V2073" s="522" t="inlineStr">
        <is>
          <t>វីអ៊ីស៊ិន (ខេមបូឌា) អ៊ិនដាសស្ទ្រី ឯ.ក</t>
        </is>
      </c>
      <c r="W2073" s="556" t="n">
        <v>236176</v>
      </c>
    </row>
    <row r="2074">
      <c r="A2074" s="521" t="n">
        <v>2066</v>
      </c>
      <c r="B2074" s="522" t="inlineStr">
        <is>
          <t>Trucking Fee</t>
        </is>
      </c>
      <c r="C2074" s="522" t="inlineStr">
        <is>
          <t>56ប៊ី-លីង សឹបផ្លាយ ឆេន មេនេចម៉ិន ឯ.ក</t>
        </is>
      </c>
      <c r="D2074" s="522" t="inlineStr">
        <is>
          <t>K004-902004795</t>
        </is>
      </c>
      <c r="E2074" s="521" t="inlineStr">
        <is>
          <t>IN202105-0311</t>
        </is>
      </c>
      <c r="F2074" s="523" t="n">
        <v>44347</v>
      </c>
      <c r="G2074" s="556" t="n">
        <v>236176</v>
      </c>
      <c r="I2074" s="521">
        <f>G2074</f>
        <v/>
      </c>
      <c r="K2074" s="521">
        <f>I2074-G2074</f>
        <v/>
      </c>
      <c r="M2074" s="522" t="inlineStr">
        <is>
          <t>IN2021050311</t>
        </is>
      </c>
      <c r="N2074" s="522" t="inlineStr">
        <is>
          <t>IN2021050311</t>
        </is>
      </c>
      <c r="O2074" s="521">
        <f>M2074=N2074</f>
        <v/>
      </c>
      <c r="P2074" s="521">
        <f>AND(MONTH(F2074)=MONTH(S2074), YEAR(F2074)=YEAR(S2074))</f>
        <v/>
      </c>
      <c r="Q2074" s="521">
        <f>U2074="L001-901905215"</f>
        <v/>
      </c>
      <c r="R2074" s="556">
        <f>G2074-W2074</f>
        <v/>
      </c>
      <c r="S2074" s="523" t="n">
        <v>44347</v>
      </c>
      <c r="T2074" s="522" t="inlineStr">
        <is>
          <t>IN202105-0311</t>
        </is>
      </c>
      <c r="U2074" s="522" t="inlineStr">
        <is>
          <t>L001-901905215</t>
        </is>
      </c>
      <c r="V2074" s="522" t="inlineStr">
        <is>
          <t>វីអ៊ីស៊ិន (ខេមបូឌា) អ៊ិនដាសស្ទ្រី ឯ.ក</t>
        </is>
      </c>
      <c r="W2074" s="556" t="n">
        <v>236176</v>
      </c>
    </row>
    <row r="2075">
      <c r="A2075" s="521" t="n">
        <v>2067</v>
      </c>
      <c r="B2075" s="522" t="inlineStr">
        <is>
          <t>Trucking Fee</t>
        </is>
      </c>
      <c r="C2075" s="522" t="inlineStr">
        <is>
          <t>56ប៊ី-លីង សឹបផ្លាយ ឆេន មេនេចម៉ិន ឯ.ក</t>
        </is>
      </c>
      <c r="D2075" s="522" t="inlineStr">
        <is>
          <t>K004-902004795</t>
        </is>
      </c>
      <c r="E2075" s="521" t="inlineStr">
        <is>
          <t>IN202105-0310</t>
        </is>
      </c>
      <c r="F2075" s="523" t="n">
        <v>44347</v>
      </c>
      <c r="G2075" s="556" t="n">
        <v>258572</v>
      </c>
      <c r="I2075" s="521">
        <f>G2075</f>
        <v/>
      </c>
      <c r="K2075" s="521">
        <f>I2075-G2075</f>
        <v/>
      </c>
      <c r="M2075" s="522" t="inlineStr">
        <is>
          <t>IN2021050310</t>
        </is>
      </c>
      <c r="N2075" s="522" t="inlineStr">
        <is>
          <t>IN2021050310</t>
        </is>
      </c>
      <c r="O2075" s="521">
        <f>M2075=N2075</f>
        <v/>
      </c>
      <c r="P2075" s="521">
        <f>AND(MONTH(F2075)=MONTH(S2075), YEAR(F2075)=YEAR(S2075))</f>
        <v/>
      </c>
      <c r="Q2075" s="521">
        <f>U2075="L001-901905215"</f>
        <v/>
      </c>
      <c r="R2075" s="556">
        <f>G2075-W2075</f>
        <v/>
      </c>
      <c r="S2075" s="523" t="n">
        <v>44347</v>
      </c>
      <c r="T2075" s="522" t="inlineStr">
        <is>
          <t>IN202105-0310</t>
        </is>
      </c>
      <c r="U2075" s="522" t="inlineStr">
        <is>
          <t>L001-901905215</t>
        </is>
      </c>
      <c r="V2075" s="522" t="inlineStr">
        <is>
          <t>វីអ៊ីស៊ិន (ខេមបូឌា) អ៊ិនដាសស្ទ្រី ឯ.ក</t>
        </is>
      </c>
      <c r="W2075" s="556" t="n">
        <v>258572</v>
      </c>
    </row>
    <row r="2076">
      <c r="A2076" s="521" t="n">
        <v>2068</v>
      </c>
      <c r="B2076" s="522" t="inlineStr">
        <is>
          <t>Trucking Fee</t>
        </is>
      </c>
      <c r="C2076" s="522" t="inlineStr">
        <is>
          <t>56ប៊ី-លីង សឹបផ្លាយ ឆេន មេនេចម៉ិន ឯ.ក</t>
        </is>
      </c>
      <c r="D2076" s="522" t="inlineStr">
        <is>
          <t>K004-902004795</t>
        </is>
      </c>
      <c r="E2076" s="521" t="inlineStr">
        <is>
          <t>IN202105-0309</t>
        </is>
      </c>
      <c r="F2076" s="523" t="n">
        <v>44347</v>
      </c>
      <c r="G2076" s="556" t="n">
        <v>293184</v>
      </c>
      <c r="I2076" s="521">
        <f>G2076</f>
        <v/>
      </c>
      <c r="K2076" s="521">
        <f>I2076-G2076</f>
        <v/>
      </c>
      <c r="M2076" s="522" t="inlineStr">
        <is>
          <t>IN2021050309</t>
        </is>
      </c>
      <c r="N2076" s="522" t="inlineStr">
        <is>
          <t>IN2021050309</t>
        </is>
      </c>
      <c r="O2076" s="521">
        <f>M2076=N2076</f>
        <v/>
      </c>
      <c r="P2076" s="521">
        <f>AND(MONTH(F2076)=MONTH(S2076), YEAR(F2076)=YEAR(S2076))</f>
        <v/>
      </c>
      <c r="Q2076" s="521">
        <f>U2076="L001-901905215"</f>
        <v/>
      </c>
      <c r="R2076" s="556">
        <f>G2076-W2076</f>
        <v/>
      </c>
      <c r="S2076" s="523" t="n">
        <v>44347</v>
      </c>
      <c r="T2076" s="522" t="inlineStr">
        <is>
          <t>IN202105-0309</t>
        </is>
      </c>
      <c r="U2076" s="522" t="inlineStr">
        <is>
          <t>L001-901905215</t>
        </is>
      </c>
      <c r="V2076" s="522" t="inlineStr">
        <is>
          <t>វីអ៊ីស៊ិន (ខេមបូឌា) អ៊ិនដាសស្ទ្រី ឯ.ក</t>
        </is>
      </c>
      <c r="W2076" s="556" t="n">
        <v>293184</v>
      </c>
    </row>
    <row r="2077">
      <c r="A2077" s="521" t="n">
        <v>2069</v>
      </c>
      <c r="B2077" s="522" t="inlineStr">
        <is>
          <t>Trucking Fee</t>
        </is>
      </c>
      <c r="C2077" s="522" t="inlineStr">
        <is>
          <t>56ប៊ី-លីង សឹបផ្លាយ ឆេន មេនេចម៉ិន ឯ.ក</t>
        </is>
      </c>
      <c r="D2077" s="522" t="inlineStr">
        <is>
          <t>K004-902004795</t>
        </is>
      </c>
      <c r="E2077" s="521" t="inlineStr">
        <is>
          <t>IN202105-0307</t>
        </is>
      </c>
      <c r="F2077" s="523" t="n">
        <v>44347</v>
      </c>
      <c r="G2077" s="556" t="n">
        <v>270788</v>
      </c>
      <c r="I2077" s="521">
        <f>G2077</f>
        <v/>
      </c>
      <c r="K2077" s="521">
        <f>I2077-G2077</f>
        <v/>
      </c>
      <c r="M2077" s="522" t="inlineStr">
        <is>
          <t>IN2021050307</t>
        </is>
      </c>
      <c r="N2077" s="522" t="inlineStr">
        <is>
          <t>IN2021050307</t>
        </is>
      </c>
      <c r="O2077" s="521">
        <f>M2077=N2077</f>
        <v/>
      </c>
      <c r="P2077" s="521">
        <f>AND(MONTH(F2077)=MONTH(S2077), YEAR(F2077)=YEAR(S2077))</f>
        <v/>
      </c>
      <c r="Q2077" s="521">
        <f>U2077="L001-901905215"</f>
        <v/>
      </c>
      <c r="R2077" s="556">
        <f>G2077-W2077</f>
        <v/>
      </c>
      <c r="S2077" s="523" t="n">
        <v>44347</v>
      </c>
      <c r="T2077" s="522" t="inlineStr">
        <is>
          <t>IN202105-0307</t>
        </is>
      </c>
      <c r="U2077" s="522" t="inlineStr">
        <is>
          <t>L001-901905215</t>
        </is>
      </c>
      <c r="V2077" s="522" t="inlineStr">
        <is>
          <t>វីអ៊ីស៊ិន (ខេមបូឌា) អ៊ិនដាសស្ទ្រី ឯ.ក</t>
        </is>
      </c>
      <c r="W2077" s="556" t="n">
        <v>270788</v>
      </c>
    </row>
    <row r="2078">
      <c r="A2078" s="521" t="n">
        <v>2070</v>
      </c>
      <c r="B2078" s="522" t="inlineStr">
        <is>
          <t>Trucking Fee</t>
        </is>
      </c>
      <c r="C2078" s="522" t="inlineStr">
        <is>
          <t>56ប៊ី-លីង សឹបផ្លាយ ឆេន មេនេចម៉ិន ឯ.ក</t>
        </is>
      </c>
      <c r="D2078" s="522" t="inlineStr">
        <is>
          <t>K004-902004795</t>
        </is>
      </c>
      <c r="E2078" s="521" t="inlineStr">
        <is>
          <t>IN202105-0305</t>
        </is>
      </c>
      <c r="F2078" s="523" t="n">
        <v>44347</v>
      </c>
      <c r="G2078" s="556" t="n">
        <v>270788</v>
      </c>
      <c r="I2078" s="521">
        <f>G2078</f>
        <v/>
      </c>
      <c r="K2078" s="521">
        <f>I2078-G2078</f>
        <v/>
      </c>
      <c r="M2078" s="522" t="inlineStr">
        <is>
          <t>IN2021050305</t>
        </is>
      </c>
      <c r="N2078" s="522" t="inlineStr"/>
      <c r="O2078" s="521">
        <f>M2078=N2078</f>
        <v/>
      </c>
      <c r="P2078" s="521">
        <f>AND(MONTH(F2078)=MONTH(S2078), YEAR(F2078)=YEAR(S2078))</f>
        <v/>
      </c>
      <c r="Q2078" s="521">
        <f>U2078="L001-901905215"</f>
        <v/>
      </c>
      <c r="R2078" s="556">
        <f>G2078-W2078</f>
        <v/>
      </c>
      <c r="S2078" s="521" t="n"/>
      <c r="T2078" s="522" t="n"/>
      <c r="U2078" s="522" t="n"/>
      <c r="V2078" s="522" t="n"/>
      <c r="W2078" s="521" t="n"/>
    </row>
    <row r="2079">
      <c r="A2079" s="521" t="n">
        <v>2071</v>
      </c>
      <c r="B2079" s="522" t="inlineStr">
        <is>
          <t>Trucking Fee</t>
        </is>
      </c>
      <c r="C2079" s="522" t="inlineStr">
        <is>
          <t>56ប៊ី-លីង សឹបផ្លាយ ឆេន មេនេចម៉ិន ឯ.ក</t>
        </is>
      </c>
      <c r="D2079" s="522" t="inlineStr">
        <is>
          <t>K004-902004795</t>
        </is>
      </c>
      <c r="E2079" s="521" t="inlineStr">
        <is>
          <t>IN202105-0304</t>
        </is>
      </c>
      <c r="F2079" s="523" t="n">
        <v>44347</v>
      </c>
      <c r="G2079" s="556" t="n">
        <v>270788</v>
      </c>
      <c r="I2079" s="521">
        <f>G2079</f>
        <v/>
      </c>
      <c r="K2079" s="521">
        <f>I2079-G2079</f>
        <v/>
      </c>
      <c r="M2079" s="522" t="inlineStr">
        <is>
          <t>IN2021050304</t>
        </is>
      </c>
      <c r="N2079" s="522" t="inlineStr">
        <is>
          <t>IN2021050304</t>
        </is>
      </c>
      <c r="O2079" s="521">
        <f>M2079=N2079</f>
        <v/>
      </c>
      <c r="P2079" s="521">
        <f>AND(MONTH(F2079)=MONTH(S2079), YEAR(F2079)=YEAR(S2079))</f>
        <v/>
      </c>
      <c r="Q2079" s="521">
        <f>U2079="L001-901905215"</f>
        <v/>
      </c>
      <c r="R2079" s="556">
        <f>G2079-W2079</f>
        <v/>
      </c>
      <c r="S2079" s="523" t="n">
        <v>44347</v>
      </c>
      <c r="T2079" s="522" t="inlineStr">
        <is>
          <t>IN202105-0304</t>
        </is>
      </c>
      <c r="U2079" s="522" t="inlineStr">
        <is>
          <t>L001-901905215</t>
        </is>
      </c>
      <c r="V2079" s="522" t="inlineStr">
        <is>
          <t>វីអ៊ីស៊ិន (ខេមបូឌា) អ៊ិនដាសស្ទ្រី ឯ.ក</t>
        </is>
      </c>
      <c r="W2079" s="556" t="n">
        <v>270788</v>
      </c>
    </row>
    <row r="2080">
      <c r="A2080" s="521" t="n">
        <v>2072</v>
      </c>
      <c r="B2080" s="522" t="inlineStr">
        <is>
          <t>Trucking Fee</t>
        </is>
      </c>
      <c r="C2080" s="522" t="inlineStr">
        <is>
          <t>56ប៊ី-លីង សឹបផ្លាយ ឆេន មេនេចម៉ិន ឯ.ក</t>
        </is>
      </c>
      <c r="D2080" s="522" t="inlineStr">
        <is>
          <t>K004-902004795</t>
        </is>
      </c>
      <c r="E2080" s="521" t="inlineStr">
        <is>
          <t>IN202105-0303</t>
        </is>
      </c>
      <c r="F2080" s="523" t="n">
        <v>44347</v>
      </c>
      <c r="G2080" s="556" t="n">
        <v>258572</v>
      </c>
      <c r="I2080" s="521">
        <f>G2080</f>
        <v/>
      </c>
      <c r="K2080" s="521">
        <f>I2080-G2080</f>
        <v/>
      </c>
      <c r="M2080" s="522" t="inlineStr">
        <is>
          <t>IN2021050303</t>
        </is>
      </c>
      <c r="N2080" s="522" t="inlineStr">
        <is>
          <t>IN2021050303</t>
        </is>
      </c>
      <c r="O2080" s="521">
        <f>M2080=N2080</f>
        <v/>
      </c>
      <c r="P2080" s="521">
        <f>AND(MONTH(F2080)=MONTH(S2080), YEAR(F2080)=YEAR(S2080))</f>
        <v/>
      </c>
      <c r="Q2080" s="521">
        <f>U2080="L001-901905215"</f>
        <v/>
      </c>
      <c r="R2080" s="556">
        <f>G2080-W2080</f>
        <v/>
      </c>
      <c r="S2080" s="523" t="n">
        <v>44347</v>
      </c>
      <c r="T2080" s="522" t="inlineStr">
        <is>
          <t>IN202105-0303</t>
        </is>
      </c>
      <c r="U2080" s="522" t="inlineStr">
        <is>
          <t>L001-901905215</t>
        </is>
      </c>
      <c r="V2080" s="522" t="inlineStr">
        <is>
          <t>វីអ៊ីស៊ិន (ខេមបូឌា) អ៊ិនដាសស្ទ្រី ឯ.ក</t>
        </is>
      </c>
      <c r="W2080" s="556" t="n">
        <v>258572</v>
      </c>
    </row>
    <row r="2081">
      <c r="A2081" s="521" t="n">
        <v>2073</v>
      </c>
      <c r="B2081" s="522" t="inlineStr">
        <is>
          <t>Trucking Fee</t>
        </is>
      </c>
      <c r="C2081" s="522" t="inlineStr">
        <is>
          <t>56ប៊ី-លីង សឹបផ្លាយ ឆេន មេនេចម៉ិន ឯ.ក</t>
        </is>
      </c>
      <c r="D2081" s="522" t="inlineStr">
        <is>
          <t>K004-902004795</t>
        </is>
      </c>
      <c r="E2081" s="521" t="inlineStr">
        <is>
          <t>IN202105-0302</t>
        </is>
      </c>
      <c r="F2081" s="523" t="n">
        <v>44347</v>
      </c>
      <c r="G2081" s="556" t="n">
        <v>295220</v>
      </c>
      <c r="I2081" s="521">
        <f>G2081</f>
        <v/>
      </c>
      <c r="K2081" s="521">
        <f>I2081-G2081</f>
        <v/>
      </c>
      <c r="M2081" s="522" t="inlineStr">
        <is>
          <t>IN2021050302</t>
        </is>
      </c>
      <c r="N2081" s="522" t="inlineStr">
        <is>
          <t>IN2021050302</t>
        </is>
      </c>
      <c r="O2081" s="521">
        <f>M2081=N2081</f>
        <v/>
      </c>
      <c r="P2081" s="521">
        <f>AND(MONTH(F2081)=MONTH(S2081), YEAR(F2081)=YEAR(S2081))</f>
        <v/>
      </c>
      <c r="Q2081" s="521">
        <f>U2081="L001-901905215"</f>
        <v/>
      </c>
      <c r="R2081" s="556">
        <f>G2081-W2081</f>
        <v/>
      </c>
      <c r="S2081" s="523" t="n">
        <v>44347</v>
      </c>
      <c r="T2081" s="522" t="inlineStr">
        <is>
          <t>IN202105-0302</t>
        </is>
      </c>
      <c r="U2081" s="522" t="inlineStr">
        <is>
          <t>L001-901905215</t>
        </is>
      </c>
      <c r="V2081" s="522" t="inlineStr">
        <is>
          <t>វីអ៊ីស៊ិន (ខេមបូឌា) អ៊ិនដាសស្ទ្រី ឯ.ក</t>
        </is>
      </c>
      <c r="W2081" s="556" t="n">
        <v>295220</v>
      </c>
    </row>
    <row r="2082">
      <c r="A2082" s="521" t="n">
        <v>2074</v>
      </c>
      <c r="B2082" s="522" t="inlineStr">
        <is>
          <t>Trucking Fee</t>
        </is>
      </c>
      <c r="C2082" s="522" t="inlineStr">
        <is>
          <t>56ប៊ី-លីង សឹបផ្លាយ ឆេន មេនេចម៉ិន ឯ.ក</t>
        </is>
      </c>
      <c r="D2082" s="522" t="inlineStr">
        <is>
          <t>K004-902004795</t>
        </is>
      </c>
      <c r="E2082" s="521" t="inlineStr">
        <is>
          <t>IN202105-0301</t>
        </is>
      </c>
      <c r="F2082" s="523" t="n">
        <v>44347</v>
      </c>
      <c r="G2082" s="556" t="n">
        <v>258572</v>
      </c>
      <c r="I2082" s="521">
        <f>G2082</f>
        <v/>
      </c>
      <c r="K2082" s="521">
        <f>I2082-G2082</f>
        <v/>
      </c>
      <c r="M2082" s="522" t="inlineStr">
        <is>
          <t>IN2021050301</t>
        </is>
      </c>
      <c r="N2082" s="522" t="inlineStr">
        <is>
          <t>IN2021050301</t>
        </is>
      </c>
      <c r="O2082" s="521">
        <f>M2082=N2082</f>
        <v/>
      </c>
      <c r="P2082" s="521">
        <f>AND(MONTH(F2082)=MONTH(S2082), YEAR(F2082)=YEAR(S2082))</f>
        <v/>
      </c>
      <c r="Q2082" s="521">
        <f>U2082="L001-901905215"</f>
        <v/>
      </c>
      <c r="R2082" s="556">
        <f>G2082-W2082</f>
        <v/>
      </c>
      <c r="S2082" s="523" t="n">
        <v>44347</v>
      </c>
      <c r="T2082" s="522" t="inlineStr">
        <is>
          <t>IN202105-0301</t>
        </is>
      </c>
      <c r="U2082" s="522" t="inlineStr">
        <is>
          <t>L001-901905215</t>
        </is>
      </c>
      <c r="V2082" s="522" t="inlineStr">
        <is>
          <t>វីអ៊ីស៊ិន (ខេមបូឌា) អ៊ិនដាសស្ទ្រី ឯ.ក</t>
        </is>
      </c>
      <c r="W2082" s="556" t="n">
        <v>258572</v>
      </c>
    </row>
    <row r="2083">
      <c r="A2083" s="521" t="n">
        <v>2075</v>
      </c>
      <c r="B2083" s="522" t="inlineStr">
        <is>
          <t>Trucking Fee</t>
        </is>
      </c>
      <c r="C2083" s="522" t="inlineStr">
        <is>
          <t>56ប៊ី-លីង សឹបផ្លាយ ឆេន មេនេចម៉ិន ឯ.ក</t>
        </is>
      </c>
      <c r="D2083" s="522" t="inlineStr">
        <is>
          <t>K004-902004795</t>
        </is>
      </c>
      <c r="E2083" s="521" t="inlineStr">
        <is>
          <t>IN202105-0300</t>
        </is>
      </c>
      <c r="F2083" s="523" t="n">
        <v>44347</v>
      </c>
      <c r="G2083" s="556" t="n">
        <v>541576</v>
      </c>
      <c r="I2083" s="521">
        <f>G2083</f>
        <v/>
      </c>
      <c r="K2083" s="521">
        <f>I2083-G2083</f>
        <v/>
      </c>
      <c r="M2083" s="522" t="inlineStr">
        <is>
          <t>IN2021050300</t>
        </is>
      </c>
      <c r="N2083" s="522" t="inlineStr">
        <is>
          <t>IN2021050300</t>
        </is>
      </c>
      <c r="O2083" s="521">
        <f>M2083=N2083</f>
        <v/>
      </c>
      <c r="P2083" s="521">
        <f>AND(MONTH(F2083)=MONTH(S2083), YEAR(F2083)=YEAR(S2083))</f>
        <v/>
      </c>
      <c r="Q2083" s="521">
        <f>U2083="L001-901905215"</f>
        <v/>
      </c>
      <c r="R2083" s="556">
        <f>G2083-W2083</f>
        <v/>
      </c>
      <c r="S2083" s="523" t="n">
        <v>44347</v>
      </c>
      <c r="T2083" s="522" t="inlineStr">
        <is>
          <t>IN202105-0300</t>
        </is>
      </c>
      <c r="U2083" s="522" t="inlineStr">
        <is>
          <t>L001-901905215</t>
        </is>
      </c>
      <c r="V2083" s="522" t="inlineStr">
        <is>
          <t>វីអ៊ីស៊ិន (ខេមបូឌា) អ៊ិនដាសស្ទ្រី ឯ.ក</t>
        </is>
      </c>
      <c r="W2083" s="556" t="n">
        <v>541576</v>
      </c>
    </row>
    <row r="2084">
      <c r="A2084" s="521" t="n">
        <v>2076</v>
      </c>
      <c r="B2084" s="522" t="inlineStr">
        <is>
          <t>Trucking Fee</t>
        </is>
      </c>
      <c r="C2084" s="522" t="inlineStr">
        <is>
          <t>56ប៊ី-លីង សឹបផ្លាយ ឆេន មេនេចម៉ិន ឯ.ក</t>
        </is>
      </c>
      <c r="D2084" s="522" t="inlineStr">
        <is>
          <t>K004-902004795</t>
        </is>
      </c>
      <c r="E2084" s="521" t="inlineStr">
        <is>
          <t>IN202105-0299</t>
        </is>
      </c>
      <c r="F2084" s="523" t="n">
        <v>44347</v>
      </c>
      <c r="G2084" s="556" t="n">
        <v>484568</v>
      </c>
      <c r="I2084" s="521">
        <f>G2084</f>
        <v/>
      </c>
      <c r="K2084" s="521">
        <f>I2084-G2084</f>
        <v/>
      </c>
      <c r="M2084" s="522" t="inlineStr">
        <is>
          <t>IN2021050299</t>
        </is>
      </c>
      <c r="N2084" s="522" t="inlineStr">
        <is>
          <t>IN2021050299</t>
        </is>
      </c>
      <c r="O2084" s="521">
        <f>M2084=N2084</f>
        <v/>
      </c>
      <c r="P2084" s="521">
        <f>AND(MONTH(F2084)=MONTH(S2084), YEAR(F2084)=YEAR(S2084))</f>
        <v/>
      </c>
      <c r="Q2084" s="521">
        <f>U2084="L001-901905215"</f>
        <v/>
      </c>
      <c r="R2084" s="556">
        <f>G2084-W2084</f>
        <v/>
      </c>
      <c r="S2084" s="523" t="n">
        <v>44317</v>
      </c>
      <c r="T2084" s="522" t="inlineStr">
        <is>
          <t>IN202105-0299</t>
        </is>
      </c>
      <c r="U2084" s="522" t="inlineStr">
        <is>
          <t>L001-901905215</t>
        </is>
      </c>
      <c r="V2084" s="522" t="inlineStr">
        <is>
          <t>វីអ៊ីស៊ិន (ខេមបូឌា) អ៊ិនដាសស្ទ្រី ឯ.ក</t>
        </is>
      </c>
      <c r="W2084" s="556" t="n">
        <v>484568</v>
      </c>
    </row>
    <row r="2085">
      <c r="A2085" s="521" t="n">
        <v>2077</v>
      </c>
      <c r="B2085" s="522" t="inlineStr">
        <is>
          <t>Trucking Fee</t>
        </is>
      </c>
      <c r="C2085" s="522" t="inlineStr">
        <is>
          <t>56ប៊ី-លីង សឹបផ្លាយ ឆេន មេនេចម៉ិន ឯ.ក</t>
        </is>
      </c>
      <c r="D2085" s="522" t="inlineStr">
        <is>
          <t>K004-902004795</t>
        </is>
      </c>
      <c r="E2085" s="521" t="inlineStr">
        <is>
          <t>IN202105-0298</t>
        </is>
      </c>
      <c r="F2085" s="523" t="n">
        <v>44347</v>
      </c>
      <c r="G2085" s="556" t="n">
        <v>472352</v>
      </c>
      <c r="I2085" s="521">
        <f>G2085</f>
        <v/>
      </c>
      <c r="K2085" s="521">
        <f>I2085-G2085</f>
        <v/>
      </c>
      <c r="M2085" s="522" t="inlineStr">
        <is>
          <t>IN2021050298</t>
        </is>
      </c>
      <c r="N2085" s="522" t="inlineStr">
        <is>
          <t>IN2021050298</t>
        </is>
      </c>
      <c r="O2085" s="521">
        <f>M2085=N2085</f>
        <v/>
      </c>
      <c r="P2085" s="521">
        <f>AND(MONTH(F2085)=MONTH(S2085), YEAR(F2085)=YEAR(S2085))</f>
        <v/>
      </c>
      <c r="Q2085" s="521">
        <f>U2085="L001-901905215"</f>
        <v/>
      </c>
      <c r="R2085" s="556">
        <f>G2085-W2085</f>
        <v/>
      </c>
      <c r="S2085" s="523" t="n">
        <v>44347</v>
      </c>
      <c r="T2085" s="522" t="inlineStr">
        <is>
          <t>IN202105-0298</t>
        </is>
      </c>
      <c r="U2085" s="522" t="inlineStr">
        <is>
          <t>L001-901905215</t>
        </is>
      </c>
      <c r="V2085" s="522" t="inlineStr">
        <is>
          <t>វីអ៊ីស៊ិន (ខេមបូឌា) អ៊ិនដាសស្ទ្រី ឯ.ក</t>
        </is>
      </c>
      <c r="W2085" s="556" t="n">
        <v>472352</v>
      </c>
    </row>
    <row r="2086">
      <c r="A2086" s="521" t="n">
        <v>2078</v>
      </c>
      <c r="B2086" s="522" t="inlineStr">
        <is>
          <t>Trucking Fee</t>
        </is>
      </c>
      <c r="C2086" s="522" t="inlineStr">
        <is>
          <t>56ប៊ី-លីង សឹបផ្លាយ ឆេន មេនេចម៉ិន ឯ.ក</t>
        </is>
      </c>
      <c r="D2086" s="522" t="inlineStr">
        <is>
          <t>K004-902004795</t>
        </is>
      </c>
      <c r="E2086" s="521" t="inlineStr">
        <is>
          <t>IN202105-0297</t>
        </is>
      </c>
      <c r="F2086" s="523" t="n">
        <v>44347</v>
      </c>
      <c r="G2086" s="556" t="n">
        <v>270788</v>
      </c>
      <c r="I2086" s="521">
        <f>G2086</f>
        <v/>
      </c>
      <c r="K2086" s="521">
        <f>I2086-G2086</f>
        <v/>
      </c>
      <c r="M2086" s="522" t="inlineStr">
        <is>
          <t>IN2021050297</t>
        </is>
      </c>
      <c r="N2086" s="522" t="inlineStr">
        <is>
          <t>IN2021050297</t>
        </is>
      </c>
      <c r="O2086" s="521">
        <f>M2086=N2086</f>
        <v/>
      </c>
      <c r="P2086" s="521">
        <f>AND(MONTH(F2086)=MONTH(S2086), YEAR(F2086)=YEAR(S2086))</f>
        <v/>
      </c>
      <c r="Q2086" s="521">
        <f>U2086="L001-901905215"</f>
        <v/>
      </c>
      <c r="R2086" s="556">
        <f>G2086-W2086</f>
        <v/>
      </c>
      <c r="S2086" s="523" t="n">
        <v>44347</v>
      </c>
      <c r="T2086" s="522" t="inlineStr">
        <is>
          <t>IN202105-0297</t>
        </is>
      </c>
      <c r="U2086" s="522" t="inlineStr">
        <is>
          <t>L001-901905215</t>
        </is>
      </c>
      <c r="V2086" s="522" t="inlineStr">
        <is>
          <t>វីអ៊ីស៊ិន (ខេមបូឌា) អ៊ិនដាសស្ទ្រី ឯ.ក</t>
        </is>
      </c>
      <c r="W2086" s="556" t="n">
        <v>270788</v>
      </c>
    </row>
    <row r="2087">
      <c r="A2087" s="521" t="n">
        <v>2079</v>
      </c>
      <c r="B2087" s="522" t="inlineStr">
        <is>
          <t>Trucking Fee</t>
        </is>
      </c>
      <c r="C2087" s="522" t="inlineStr">
        <is>
          <t>56ប៊ី-លីង សឹបផ្លាយ ឆេន មេនេចម៉ិន ឯ.ក</t>
        </is>
      </c>
      <c r="D2087" s="522" t="inlineStr">
        <is>
          <t>K004-902004795</t>
        </is>
      </c>
      <c r="E2087" s="521" t="inlineStr">
        <is>
          <t>IN202105-0296</t>
        </is>
      </c>
      <c r="F2087" s="523" t="n">
        <v>44347</v>
      </c>
      <c r="G2087" s="556" t="n">
        <v>201564</v>
      </c>
      <c r="I2087" s="521">
        <f>G2087</f>
        <v/>
      </c>
      <c r="K2087" s="521">
        <f>I2087-G2087</f>
        <v/>
      </c>
      <c r="M2087" s="522" t="inlineStr">
        <is>
          <t>IN2021050296</t>
        </is>
      </c>
      <c r="N2087" s="522" t="inlineStr">
        <is>
          <t>IN2021050296</t>
        </is>
      </c>
      <c r="O2087" s="521">
        <f>M2087=N2087</f>
        <v/>
      </c>
      <c r="P2087" s="521">
        <f>AND(MONTH(F2087)=MONTH(S2087), YEAR(F2087)=YEAR(S2087))</f>
        <v/>
      </c>
      <c r="Q2087" s="521">
        <f>U2087="L001-901905215"</f>
        <v/>
      </c>
      <c r="R2087" s="556">
        <f>G2087-W2087</f>
        <v/>
      </c>
      <c r="S2087" s="523" t="n">
        <v>44347</v>
      </c>
      <c r="T2087" s="522" t="inlineStr">
        <is>
          <t>IN202105-0296</t>
        </is>
      </c>
      <c r="U2087" s="522" t="inlineStr">
        <is>
          <t>L001-901905215</t>
        </is>
      </c>
      <c r="V2087" s="522" t="inlineStr">
        <is>
          <t>វីអ៊ីស៊ិន (ខេមបូឌា) អ៊ិនដាសស្ទ្រី ឯ.ក</t>
        </is>
      </c>
      <c r="W2087" s="556" t="n">
        <v>201564</v>
      </c>
    </row>
    <row r="2088">
      <c r="A2088" s="521" t="n">
        <v>2080</v>
      </c>
      <c r="B2088" s="522" t="inlineStr">
        <is>
          <t>Trucking Fee</t>
        </is>
      </c>
      <c r="C2088" s="522" t="inlineStr">
        <is>
          <t>56ប៊ី-លីង សឹបផ្លាយ ឆេន មេនេចម៉ិន ឯ.ក</t>
        </is>
      </c>
      <c r="D2088" s="522" t="inlineStr">
        <is>
          <t>K004-902004795</t>
        </is>
      </c>
      <c r="E2088" s="521" t="inlineStr">
        <is>
          <t>IN202105-0295</t>
        </is>
      </c>
      <c r="F2088" s="523" t="n">
        <v>44347</v>
      </c>
      <c r="G2088" s="556" t="n">
        <v>209708</v>
      </c>
      <c r="I2088" s="521">
        <f>G2088</f>
        <v/>
      </c>
      <c r="K2088" s="521">
        <f>I2088-G2088</f>
        <v/>
      </c>
      <c r="M2088" s="522" t="inlineStr">
        <is>
          <t>IN2021050295</t>
        </is>
      </c>
      <c r="N2088" s="522" t="inlineStr">
        <is>
          <t>IN2021050295</t>
        </is>
      </c>
      <c r="O2088" s="521">
        <f>M2088=N2088</f>
        <v/>
      </c>
      <c r="P2088" s="521">
        <f>AND(MONTH(F2088)=MONTH(S2088), YEAR(F2088)=YEAR(S2088))</f>
        <v/>
      </c>
      <c r="Q2088" s="521">
        <f>U2088="L001-901905215"</f>
        <v/>
      </c>
      <c r="R2088" s="556">
        <f>G2088-W2088</f>
        <v/>
      </c>
      <c r="S2088" s="523" t="n">
        <v>44347</v>
      </c>
      <c r="T2088" s="522" t="inlineStr">
        <is>
          <t>IN202105-0295</t>
        </is>
      </c>
      <c r="U2088" s="522" t="inlineStr">
        <is>
          <t>L001-901905215</t>
        </is>
      </c>
      <c r="V2088" s="522" t="inlineStr">
        <is>
          <t>វីអ៊ីស៊ិន (ខេមបូឌា) អ៊ិនដាសស្ទ្រី ឯ.ក</t>
        </is>
      </c>
      <c r="W2088" s="556" t="n">
        <v>209708</v>
      </c>
    </row>
    <row r="2089">
      <c r="A2089" s="521" t="n">
        <v>2081</v>
      </c>
      <c r="B2089" s="522" t="inlineStr">
        <is>
          <t>Trucking Fee</t>
        </is>
      </c>
      <c r="C2089" s="522" t="inlineStr">
        <is>
          <t>56ប៊ី-លីង សឹបផ្លាយ ឆេន មេនេចម៉ិន ឯ.ក</t>
        </is>
      </c>
      <c r="D2089" s="522" t="inlineStr">
        <is>
          <t>K004-902004795</t>
        </is>
      </c>
      <c r="E2089" s="521" t="inlineStr">
        <is>
          <t>IN202105-0294</t>
        </is>
      </c>
      <c r="F2089" s="523" t="n">
        <v>44347</v>
      </c>
      <c r="G2089" s="556" t="n">
        <v>299292</v>
      </c>
      <c r="I2089" s="521">
        <f>G2089</f>
        <v/>
      </c>
      <c r="K2089" s="521">
        <f>I2089-G2089</f>
        <v/>
      </c>
      <c r="M2089" s="522" t="inlineStr">
        <is>
          <t>IN2021050294</t>
        </is>
      </c>
      <c r="N2089" s="522" t="inlineStr">
        <is>
          <t>IN2021050294</t>
        </is>
      </c>
      <c r="O2089" s="521">
        <f>M2089=N2089</f>
        <v/>
      </c>
      <c r="P2089" s="521">
        <f>AND(MONTH(F2089)=MONTH(S2089), YEAR(F2089)=YEAR(S2089))</f>
        <v/>
      </c>
      <c r="Q2089" s="521">
        <f>U2089="L001-901905215"</f>
        <v/>
      </c>
      <c r="R2089" s="556">
        <f>G2089-W2089</f>
        <v/>
      </c>
      <c r="S2089" s="523" t="n">
        <v>44347</v>
      </c>
      <c r="T2089" s="522" t="inlineStr">
        <is>
          <t>IN202105-0294</t>
        </is>
      </c>
      <c r="U2089" s="522" t="inlineStr">
        <is>
          <t>L001-901905215</t>
        </is>
      </c>
      <c r="V2089" s="522" t="inlineStr">
        <is>
          <t>វីអ៊ីស៊ិន (ខេមបូឌា) អ៊ិនដាសស្ទ្រី ឯ.ក</t>
        </is>
      </c>
      <c r="W2089" s="556" t="n">
        <v>299292</v>
      </c>
    </row>
    <row r="2090">
      <c r="A2090" s="521" t="n">
        <v>2082</v>
      </c>
      <c r="B2090" s="522" t="inlineStr">
        <is>
          <t>Handling Charge</t>
        </is>
      </c>
      <c r="C2090" s="522" t="inlineStr">
        <is>
          <t>56ប៊ី-លីង សឹបផ្លាយ ឆេន មេនេចម៉ិន ឯ.ក</t>
        </is>
      </c>
      <c r="D2090" s="522" t="inlineStr">
        <is>
          <t>K004-902004795</t>
        </is>
      </c>
      <c r="E2090" s="521" t="inlineStr">
        <is>
          <t>IN202105-0292</t>
        </is>
      </c>
      <c r="F2090" s="523" t="n">
        <v>44344</v>
      </c>
      <c r="G2090" s="556" t="n">
        <v>270655</v>
      </c>
      <c r="I2090" s="521">
        <f>G2090</f>
        <v/>
      </c>
      <c r="K2090" s="521">
        <f>I2090-G2090</f>
        <v/>
      </c>
      <c r="M2090" s="522" t="inlineStr">
        <is>
          <t>IN2021050292</t>
        </is>
      </c>
      <c r="N2090" s="522" t="inlineStr">
        <is>
          <t>IN2021050292</t>
        </is>
      </c>
      <c r="O2090" s="521">
        <f>M2090=N2090</f>
        <v/>
      </c>
      <c r="P2090" s="521">
        <f>AND(MONTH(F2090)=MONTH(S2090), YEAR(F2090)=YEAR(S2090))</f>
        <v/>
      </c>
      <c r="Q2090" s="521">
        <f>U2090="L001-901905215"</f>
        <v/>
      </c>
      <c r="R2090" s="556">
        <f>G2090-W2090</f>
        <v/>
      </c>
      <c r="S2090" s="523" t="n">
        <v>44344</v>
      </c>
      <c r="T2090" s="522" t="inlineStr">
        <is>
          <t>IN202105-0292</t>
        </is>
      </c>
      <c r="U2090" s="522" t="inlineStr">
        <is>
          <t>L001-901905215</t>
        </is>
      </c>
      <c r="V2090" s="522" t="inlineStr">
        <is>
          <t>វីអ៊ីស៊ិន (ខេមបូឌា) អ៊ិនដាសស្ទ្រី ឯ.ក</t>
        </is>
      </c>
      <c r="W2090" s="556" t="n">
        <v>270655</v>
      </c>
    </row>
    <row r="2091">
      <c r="A2091" s="521" t="n">
        <v>2083</v>
      </c>
      <c r="B2091" s="522" t="inlineStr">
        <is>
          <t>Handling Charge</t>
        </is>
      </c>
      <c r="C2091" s="522" t="inlineStr">
        <is>
          <t>56ប៊ី-លីង សឹបផ្លាយ ឆេន មេនេចម៉ិន ឯ.ក</t>
        </is>
      </c>
      <c r="D2091" s="522" t="inlineStr">
        <is>
          <t>K004-902004795</t>
        </is>
      </c>
      <c r="E2091" s="521" t="inlineStr">
        <is>
          <t>IN202105-0291</t>
        </is>
      </c>
      <c r="F2091" s="523" t="n">
        <v>44344</v>
      </c>
      <c r="G2091" s="556" t="n">
        <v>463980</v>
      </c>
      <c r="I2091" s="521">
        <f>G2091</f>
        <v/>
      </c>
      <c r="K2091" s="521">
        <f>I2091-G2091</f>
        <v/>
      </c>
      <c r="M2091" s="522" t="inlineStr">
        <is>
          <t>IN2021050291</t>
        </is>
      </c>
      <c r="N2091" s="522" t="inlineStr">
        <is>
          <t>IN2021050291</t>
        </is>
      </c>
      <c r="O2091" s="521">
        <f>M2091=N2091</f>
        <v/>
      </c>
      <c r="P2091" s="521">
        <f>AND(MONTH(F2091)=MONTH(S2091), YEAR(F2091)=YEAR(S2091))</f>
        <v/>
      </c>
      <c r="Q2091" s="521">
        <f>U2091="L001-901905215"</f>
        <v/>
      </c>
      <c r="R2091" s="556">
        <f>G2091-W2091</f>
        <v/>
      </c>
      <c r="S2091" s="523" t="n">
        <v>44344</v>
      </c>
      <c r="T2091" s="522" t="inlineStr">
        <is>
          <t>IN202105-0291</t>
        </is>
      </c>
      <c r="U2091" s="522" t="inlineStr">
        <is>
          <t>L001-901905215</t>
        </is>
      </c>
      <c r="V2091" s="522" t="inlineStr">
        <is>
          <t>វីអ៊ីស៊ិន (ខេមបូឌា) អ៊ិនដាសស្ទ្រី ឯ.ក</t>
        </is>
      </c>
      <c r="W2091" s="556" t="n">
        <v>463980</v>
      </c>
    </row>
    <row r="2092">
      <c r="A2092" s="521" t="n">
        <v>2084</v>
      </c>
      <c r="B2092" s="522" t="inlineStr">
        <is>
          <t>Handling Charge</t>
        </is>
      </c>
      <c r="C2092" s="522" t="inlineStr">
        <is>
          <t>56ប៊ី-លីង សឹបផ្លាយ ឆេន មេនេចម៉ិន ឯ.ក</t>
        </is>
      </c>
      <c r="D2092" s="522" t="inlineStr">
        <is>
          <t>K004-902004795</t>
        </is>
      </c>
      <c r="E2092" s="521" t="inlineStr">
        <is>
          <t>IN202105-0290</t>
        </is>
      </c>
      <c r="F2092" s="523" t="n">
        <v>44344</v>
      </c>
      <c r="G2092" s="556" t="n">
        <v>299145</v>
      </c>
      <c r="I2092" s="521">
        <f>G2092</f>
        <v/>
      </c>
      <c r="K2092" s="521">
        <f>I2092-G2092</f>
        <v/>
      </c>
      <c r="M2092" s="522" t="inlineStr">
        <is>
          <t>IN2021050290</t>
        </is>
      </c>
      <c r="N2092" s="522" t="inlineStr">
        <is>
          <t>IN2021050290</t>
        </is>
      </c>
      <c r="O2092" s="521">
        <f>M2092=N2092</f>
        <v/>
      </c>
      <c r="P2092" s="521">
        <f>AND(MONTH(F2092)=MONTH(S2092), YEAR(F2092)=YEAR(S2092))</f>
        <v/>
      </c>
      <c r="Q2092" s="521">
        <f>U2092="L001-901905215"</f>
        <v/>
      </c>
      <c r="R2092" s="556">
        <f>G2092-W2092</f>
        <v/>
      </c>
      <c r="S2092" s="523" t="n">
        <v>44343</v>
      </c>
      <c r="T2092" s="522" t="inlineStr">
        <is>
          <t>IN202105-0290</t>
        </is>
      </c>
      <c r="U2092" s="522" t="inlineStr">
        <is>
          <t>L001-901905215</t>
        </is>
      </c>
      <c r="V2092" s="522" t="inlineStr">
        <is>
          <t>វីអ៊ីស៊ិន (ខេមបូឌា) អ៊ិនដាសស្ទ្រី ឯ.ក</t>
        </is>
      </c>
      <c r="W2092" s="556" t="n">
        <v>299145</v>
      </c>
    </row>
    <row r="2093">
      <c r="A2093" s="521" t="n">
        <v>2085</v>
      </c>
      <c r="B2093" s="522" t="inlineStr">
        <is>
          <t>Handling Charge</t>
        </is>
      </c>
      <c r="C2093" s="522" t="inlineStr">
        <is>
          <t>56ប៊ី-លីង សឹបផ្លាយ ឆេន មេនេចម៉ិន ឯ.ក</t>
        </is>
      </c>
      <c r="D2093" s="522" t="inlineStr">
        <is>
          <t>K004-902004795</t>
        </is>
      </c>
      <c r="E2093" s="521" t="inlineStr">
        <is>
          <t>IN202105-0289</t>
        </is>
      </c>
      <c r="F2093" s="523" t="n">
        <v>44344</v>
      </c>
      <c r="G2093" s="556" t="n">
        <v>293040</v>
      </c>
      <c r="I2093" s="521">
        <f>G2093</f>
        <v/>
      </c>
      <c r="K2093" s="521">
        <f>I2093-G2093</f>
        <v/>
      </c>
      <c r="M2093" s="522" t="inlineStr">
        <is>
          <t>IN2021050289</t>
        </is>
      </c>
      <c r="N2093" s="522" t="inlineStr">
        <is>
          <t>IN2021050289</t>
        </is>
      </c>
      <c r="O2093" s="521">
        <f>M2093=N2093</f>
        <v/>
      </c>
      <c r="P2093" s="521">
        <f>AND(MONTH(F2093)=MONTH(S2093), YEAR(F2093)=YEAR(S2093))</f>
        <v/>
      </c>
      <c r="Q2093" s="521">
        <f>U2093="L001-901905215"</f>
        <v/>
      </c>
      <c r="R2093" s="556">
        <f>G2093-W2093</f>
        <v/>
      </c>
      <c r="S2093" s="523" t="n">
        <v>44343</v>
      </c>
      <c r="T2093" s="522" t="inlineStr">
        <is>
          <t>IN202105-0289</t>
        </is>
      </c>
      <c r="U2093" s="522" t="inlineStr">
        <is>
          <t>L001-901905215</t>
        </is>
      </c>
      <c r="V2093" s="522" t="inlineStr">
        <is>
          <t>វីអ៊ីស៊ិន (ខេមបូឌា) អ៊ិនដាសស្ទ្រី ឯ.ក</t>
        </is>
      </c>
      <c r="W2093" s="556" t="n">
        <v>293040</v>
      </c>
    </row>
    <row r="2094">
      <c r="A2094" s="521" t="n">
        <v>2086</v>
      </c>
      <c r="B2094" s="522" t="inlineStr">
        <is>
          <t>Handling Charge</t>
        </is>
      </c>
      <c r="C2094" s="522" t="inlineStr">
        <is>
          <t>56ប៊ី-លីង សឹបផ្លាយ ឆេន មេនេចម៉ិន ឯ.ក</t>
        </is>
      </c>
      <c r="D2094" s="522" t="inlineStr">
        <is>
          <t>K004-902004795</t>
        </is>
      </c>
      <c r="E2094" s="521" t="inlineStr">
        <is>
          <t>IN202105-0288</t>
        </is>
      </c>
      <c r="F2094" s="523" t="n">
        <v>44344</v>
      </c>
      <c r="G2094" s="556" t="n">
        <v>164835</v>
      </c>
      <c r="I2094" s="521">
        <f>G2094</f>
        <v/>
      </c>
      <c r="K2094" s="521">
        <f>I2094-G2094</f>
        <v/>
      </c>
      <c r="M2094" s="522" t="inlineStr">
        <is>
          <t>IN2021050288</t>
        </is>
      </c>
      <c r="N2094" s="522" t="inlineStr">
        <is>
          <t>IN2021050288</t>
        </is>
      </c>
      <c r="O2094" s="521">
        <f>M2094=N2094</f>
        <v/>
      </c>
      <c r="P2094" s="521">
        <f>AND(MONTH(F2094)=MONTH(S2094), YEAR(F2094)=YEAR(S2094))</f>
        <v/>
      </c>
      <c r="Q2094" s="521">
        <f>U2094="L001-901905215"</f>
        <v/>
      </c>
      <c r="R2094" s="556">
        <f>G2094-W2094</f>
        <v/>
      </c>
      <c r="S2094" s="523" t="n">
        <v>44343</v>
      </c>
      <c r="T2094" s="522" t="inlineStr">
        <is>
          <t>IN202105-0288</t>
        </is>
      </c>
      <c r="U2094" s="522" t="inlineStr">
        <is>
          <t>L001-901905215</t>
        </is>
      </c>
      <c r="V2094" s="522" t="inlineStr">
        <is>
          <t>វីអ៊ីស៊ិន (ខេមបូឌា) អ៊ិនដាសស្ទ្រី ឯ.ក</t>
        </is>
      </c>
      <c r="W2094" s="556" t="n">
        <v>164835</v>
      </c>
    </row>
    <row r="2095">
      <c r="A2095" s="521" t="n">
        <v>2087</v>
      </c>
      <c r="B2095" s="522" t="inlineStr">
        <is>
          <t>Handling Charge</t>
        </is>
      </c>
      <c r="C2095" s="522" t="inlineStr">
        <is>
          <t>56ប៊ី-លីង សឹបផ្លាយ ឆេន មេនេចម៉ិន ឯ.ក</t>
        </is>
      </c>
      <c r="D2095" s="522" t="inlineStr">
        <is>
          <t>K004-902004795</t>
        </is>
      </c>
      <c r="E2095" s="521" t="inlineStr">
        <is>
          <t>IN202105-0287</t>
        </is>
      </c>
      <c r="F2095" s="523" t="n">
        <v>44344</v>
      </c>
      <c r="G2095" s="556" t="n">
        <v>164835</v>
      </c>
      <c r="I2095" s="521">
        <f>G2095</f>
        <v/>
      </c>
      <c r="K2095" s="521">
        <f>I2095-G2095</f>
        <v/>
      </c>
      <c r="M2095" s="522" t="inlineStr">
        <is>
          <t>IN2021050287</t>
        </is>
      </c>
      <c r="N2095" s="522" t="inlineStr">
        <is>
          <t>IN2021050287</t>
        </is>
      </c>
      <c r="O2095" s="521">
        <f>M2095=N2095</f>
        <v/>
      </c>
      <c r="P2095" s="521">
        <f>AND(MONTH(F2095)=MONTH(S2095), YEAR(F2095)=YEAR(S2095))</f>
        <v/>
      </c>
      <c r="Q2095" s="521">
        <f>U2095="L001-901905215"</f>
        <v/>
      </c>
      <c r="R2095" s="556">
        <f>G2095-W2095</f>
        <v/>
      </c>
      <c r="S2095" s="523" t="n">
        <v>44343</v>
      </c>
      <c r="T2095" s="522" t="inlineStr">
        <is>
          <t>IN202105-0287</t>
        </is>
      </c>
      <c r="U2095" s="522" t="inlineStr">
        <is>
          <t>L001-901905215</t>
        </is>
      </c>
      <c r="V2095" s="522" t="inlineStr">
        <is>
          <t>វីអ៊ីស៊ិន (ខេមបូឌា) អ៊ិនដាសស្ទ្រី ឯ.ក</t>
        </is>
      </c>
      <c r="W2095" s="556" t="n">
        <v>164835</v>
      </c>
    </row>
    <row r="2096">
      <c r="A2096" s="521" t="n">
        <v>2088</v>
      </c>
      <c r="B2096" s="522" t="inlineStr">
        <is>
          <t>Handling Charge</t>
        </is>
      </c>
      <c r="C2096" s="522" t="inlineStr">
        <is>
          <t>56ប៊ី-លីង សឹបផ្លាយ ឆេន មេនេចម៉ិន ឯ.ក</t>
        </is>
      </c>
      <c r="D2096" s="522" t="inlineStr">
        <is>
          <t>K004-902004795</t>
        </is>
      </c>
      <c r="E2096" s="521" t="inlineStr">
        <is>
          <t>IN202105-0286</t>
        </is>
      </c>
      <c r="F2096" s="523" t="n">
        <v>44317</v>
      </c>
      <c r="G2096" s="556" t="n">
        <v>494505</v>
      </c>
      <c r="I2096" s="521">
        <f>G2096</f>
        <v/>
      </c>
      <c r="K2096" s="521">
        <f>I2096-G2096</f>
        <v/>
      </c>
      <c r="M2096" s="522" t="inlineStr">
        <is>
          <t>IN2021050286</t>
        </is>
      </c>
      <c r="N2096" s="522" t="inlineStr">
        <is>
          <t>IN2021050286</t>
        </is>
      </c>
      <c r="O2096" s="521">
        <f>M2096=N2096</f>
        <v/>
      </c>
      <c r="P2096" s="521">
        <f>AND(MONTH(F2096)=MONTH(S2096), YEAR(F2096)=YEAR(S2096))</f>
        <v/>
      </c>
      <c r="Q2096" s="521">
        <f>U2096="L001-901905215"</f>
        <v/>
      </c>
      <c r="R2096" s="556">
        <f>G2096-W2096</f>
        <v/>
      </c>
      <c r="S2096" s="523" t="n">
        <v>44343</v>
      </c>
      <c r="T2096" s="522" t="inlineStr">
        <is>
          <t>IN202105-0286</t>
        </is>
      </c>
      <c r="U2096" s="522" t="inlineStr">
        <is>
          <t>L001-901905215</t>
        </is>
      </c>
      <c r="V2096" s="522" t="inlineStr">
        <is>
          <t>វីអ៊ីស៊ិន (ខេមបូឌា) អ៊ិនដាសស្ទ្រី ឯ.ក</t>
        </is>
      </c>
      <c r="W2096" s="556" t="n">
        <v>494505</v>
      </c>
    </row>
    <row r="2097">
      <c r="A2097" s="521" t="n">
        <v>2089</v>
      </c>
      <c r="B2097" s="522" t="inlineStr">
        <is>
          <t xml:space="preserve">Handling Charge </t>
        </is>
      </c>
      <c r="C2097" s="522" t="inlineStr">
        <is>
          <t>56ប៊ី-លីង សឹបផ្លាយ ឆេន មេនេចម៉ិន ឯ.ក</t>
        </is>
      </c>
      <c r="D2097" s="522" t="inlineStr">
        <is>
          <t>K004-902004795</t>
        </is>
      </c>
      <c r="E2097" s="521" t="inlineStr">
        <is>
          <t>IN202105-0285</t>
        </is>
      </c>
      <c r="F2097" s="523" t="n">
        <v>44344</v>
      </c>
      <c r="G2097" s="556" t="n">
        <v>368335</v>
      </c>
      <c r="I2097" s="521">
        <f>G2097</f>
        <v/>
      </c>
      <c r="K2097" s="521">
        <f>I2097-G2097</f>
        <v/>
      </c>
      <c r="M2097" s="522" t="inlineStr">
        <is>
          <t>IN2021050285</t>
        </is>
      </c>
      <c r="N2097" s="522" t="inlineStr">
        <is>
          <t>IN2021050285</t>
        </is>
      </c>
      <c r="O2097" s="521">
        <f>M2097=N2097</f>
        <v/>
      </c>
      <c r="P2097" s="521">
        <f>AND(MONTH(F2097)=MONTH(S2097), YEAR(F2097)=YEAR(S2097))</f>
        <v/>
      </c>
      <c r="Q2097" s="521">
        <f>U2097="L001-901905215"</f>
        <v/>
      </c>
      <c r="R2097" s="556">
        <f>G2097-W2097</f>
        <v/>
      </c>
      <c r="S2097" s="523" t="n">
        <v>44343</v>
      </c>
      <c r="T2097" s="522" t="inlineStr">
        <is>
          <t>IN202105-0285</t>
        </is>
      </c>
      <c r="U2097" s="522" t="inlineStr">
        <is>
          <t>L001-901905215</t>
        </is>
      </c>
      <c r="V2097" s="522" t="inlineStr">
        <is>
          <t>វីអ៊ីស៊ិន (ខេមបូឌា) អ៊ិនដាសស្ទ្រី ឯ.ក</t>
        </is>
      </c>
      <c r="W2097" s="556" t="n">
        <v>368335</v>
      </c>
    </row>
    <row r="2098">
      <c r="A2098" s="521" t="n">
        <v>2090</v>
      </c>
      <c r="B2098" s="522" t="inlineStr">
        <is>
          <t>Handling Charge</t>
        </is>
      </c>
      <c r="C2098" s="522" t="inlineStr">
        <is>
          <t>56ប៊ី-លីង សឹបផ្លាយ ឆេន មេនេចម៉ិន ឯ.ក</t>
        </is>
      </c>
      <c r="D2098" s="522" t="inlineStr">
        <is>
          <t>K004-902004795</t>
        </is>
      </c>
      <c r="E2098" s="521" t="inlineStr">
        <is>
          <t>IN202105-0284</t>
        </is>
      </c>
      <c r="F2098" s="523" t="n">
        <v>44344</v>
      </c>
      <c r="G2098" s="556" t="n">
        <v>162800</v>
      </c>
      <c r="I2098" s="521">
        <f>G2098</f>
        <v/>
      </c>
      <c r="K2098" s="521">
        <f>I2098-G2098</f>
        <v/>
      </c>
      <c r="M2098" s="522" t="inlineStr">
        <is>
          <t>IN2021050284</t>
        </is>
      </c>
      <c r="N2098" s="522" t="inlineStr">
        <is>
          <t>IN2021050284</t>
        </is>
      </c>
      <c r="O2098" s="521">
        <f>M2098=N2098</f>
        <v/>
      </c>
      <c r="P2098" s="521">
        <f>AND(MONTH(F2098)=MONTH(S2098), YEAR(F2098)=YEAR(S2098))</f>
        <v/>
      </c>
      <c r="Q2098" s="521">
        <f>U2098="L001-901905215"</f>
        <v/>
      </c>
      <c r="R2098" s="556">
        <f>G2098-W2098</f>
        <v/>
      </c>
      <c r="S2098" s="523" t="n">
        <v>44343</v>
      </c>
      <c r="T2098" s="522" t="inlineStr">
        <is>
          <t>IN202105-0284</t>
        </is>
      </c>
      <c r="U2098" s="522" t="inlineStr">
        <is>
          <t>L001-901905215</t>
        </is>
      </c>
      <c r="V2098" s="522" t="inlineStr">
        <is>
          <t>វីអ៊ីស៊ិន (ខេមបូឌា) អ៊ិនដាសស្ទ្រី ឯ.ក</t>
        </is>
      </c>
      <c r="W2098" s="556" t="n">
        <v>162800</v>
      </c>
    </row>
    <row r="2099">
      <c r="A2099" s="521" t="n">
        <v>2091</v>
      </c>
      <c r="B2099" s="522" t="inlineStr">
        <is>
          <t xml:space="preserve">Handling Charge </t>
        </is>
      </c>
      <c r="C2099" s="522" t="inlineStr">
        <is>
          <t>56ប៊ី-លីង សឹបផ្លាយ ឆេន មេនេចម៉ិន ឯ.ក</t>
        </is>
      </c>
      <c r="D2099" s="522" t="inlineStr">
        <is>
          <t>K004-902004795</t>
        </is>
      </c>
      <c r="E2099" s="521" t="inlineStr">
        <is>
          <t>IN202105-0283</t>
        </is>
      </c>
      <c r="F2099" s="523" t="n">
        <v>44344</v>
      </c>
      <c r="G2099" s="556" t="n">
        <v>325600</v>
      </c>
      <c r="I2099" s="521">
        <f>G2099</f>
        <v/>
      </c>
      <c r="K2099" s="521">
        <f>I2099-G2099</f>
        <v/>
      </c>
      <c r="M2099" s="522" t="inlineStr">
        <is>
          <t>IN2021050283</t>
        </is>
      </c>
      <c r="N2099" s="522" t="inlineStr">
        <is>
          <t>IN2021050283</t>
        </is>
      </c>
      <c r="O2099" s="521">
        <f>M2099=N2099</f>
        <v/>
      </c>
      <c r="P2099" s="521">
        <f>AND(MONTH(F2099)=MONTH(S2099), YEAR(F2099)=YEAR(S2099))</f>
        <v/>
      </c>
      <c r="Q2099" s="521">
        <f>U2099="L001-901905215"</f>
        <v/>
      </c>
      <c r="R2099" s="556">
        <f>G2099-W2099</f>
        <v/>
      </c>
      <c r="S2099" s="523" t="n">
        <v>44343</v>
      </c>
      <c r="T2099" s="522" t="inlineStr">
        <is>
          <t>IN202105-0283</t>
        </is>
      </c>
      <c r="U2099" s="522" t="inlineStr">
        <is>
          <t>L001-901905215</t>
        </is>
      </c>
      <c r="V2099" s="522" t="inlineStr">
        <is>
          <t>វីអ៊ីស៊ិន (ខេមបូឌា) អ៊ិនដាសស្ទ្រី ឯ.ក</t>
        </is>
      </c>
      <c r="W2099" s="556" t="n">
        <v>325600</v>
      </c>
    </row>
    <row r="2100">
      <c r="A2100" s="521" t="n">
        <v>2092</v>
      </c>
      <c r="B2100" s="522" t="inlineStr">
        <is>
          <t>Lift On/Off</t>
        </is>
      </c>
      <c r="C2100" s="522" t="inlineStr">
        <is>
          <t>កំពង់ផែស្វយ័តភ្នំពេញ "ក.ស.ភ"</t>
        </is>
      </c>
      <c r="D2100" s="522" t="inlineStr">
        <is>
          <t>L001-100044999</t>
        </is>
      </c>
      <c r="E2100" s="521" t="inlineStr">
        <is>
          <t>INV20210525925</t>
        </is>
      </c>
      <c r="F2100" s="523" t="n">
        <v>44340</v>
      </c>
      <c r="G2100" s="556" t="n">
        <v>29326</v>
      </c>
      <c r="I2100" s="521">
        <f>G2100</f>
        <v/>
      </c>
      <c r="K2100" s="521">
        <f>I2100-G2100</f>
        <v/>
      </c>
      <c r="M2100" s="522" t="inlineStr">
        <is>
          <t>INV20210525925</t>
        </is>
      </c>
      <c r="N2100" s="522" t="inlineStr"/>
      <c r="O2100" s="521">
        <f>M2100=N2100</f>
        <v/>
      </c>
      <c r="P2100" s="521">
        <f>AND(MONTH(F2100)=MONTH(S2100), YEAR(F2100)=YEAR(S2100))</f>
        <v/>
      </c>
      <c r="Q2100" s="521">
        <f>U2100="L001-901905215"</f>
        <v/>
      </c>
      <c r="R2100" s="556">
        <f>G2100-W2100</f>
        <v/>
      </c>
      <c r="S2100" s="521" t="n"/>
      <c r="T2100" s="522" t="n"/>
      <c r="U2100" s="522" t="n"/>
      <c r="V2100" s="522" t="n"/>
      <c r="W2100" s="521" t="n"/>
    </row>
    <row r="2101">
      <c r="A2101" s="521" t="n">
        <v>2093</v>
      </c>
      <c r="B2101" s="522" t="inlineStr">
        <is>
          <t>Express Fee</t>
        </is>
      </c>
      <c r="C2101" s="522" t="inlineStr">
        <is>
          <t>ឌី អេច អិល អិចប្រេស (ខេមបូឌា)</t>
        </is>
      </c>
      <c r="D2101" s="522" t="inlineStr">
        <is>
          <t>L001-100045197</t>
        </is>
      </c>
      <c r="E2101" s="521" t="inlineStr">
        <is>
          <t>PNHR000378375</t>
        </is>
      </c>
      <c r="F2101" s="523" t="n">
        <v>44317</v>
      </c>
      <c r="G2101" s="556" t="n">
        <v>29546</v>
      </c>
      <c r="I2101" s="521">
        <f>G2101</f>
        <v/>
      </c>
      <c r="K2101" s="521">
        <f>I2101-G2101</f>
        <v/>
      </c>
      <c r="M2101" s="522" t="inlineStr">
        <is>
          <t>PNHR000378375</t>
        </is>
      </c>
      <c r="N2101" s="522" t="inlineStr"/>
      <c r="O2101" s="521">
        <f>M2101=N2101</f>
        <v/>
      </c>
      <c r="P2101" s="521">
        <f>AND(MONTH(F2101)=MONTH(S2101), YEAR(F2101)=YEAR(S2101))</f>
        <v/>
      </c>
      <c r="Q2101" s="521">
        <f>U2101="L001-901905215"</f>
        <v/>
      </c>
      <c r="R2101" s="556">
        <f>G2101-W2101</f>
        <v/>
      </c>
      <c r="S2101" s="521" t="n"/>
      <c r="T2101" s="522" t="n"/>
      <c r="U2101" s="522" t="n"/>
      <c r="V2101" s="522" t="n"/>
      <c r="W2101" s="521" t="n"/>
    </row>
    <row r="2102">
      <c r="A2102" s="521" t="n">
        <v>2094</v>
      </c>
      <c r="B2102" s="522" t="inlineStr">
        <is>
          <t>DOC FEE</t>
        </is>
      </c>
      <c r="C2102" s="522" t="inlineStr">
        <is>
          <t>ស្ត្រេតស៍ អ៊ិនធើណេសិនណល ភីធីអ៊ី អិលធីឌី</t>
        </is>
      </c>
      <c r="D2102" s="522" t="inlineStr">
        <is>
          <t>L001-100045162</t>
        </is>
      </c>
      <c r="E2102" s="521" t="inlineStr">
        <is>
          <t>2108603</t>
        </is>
      </c>
      <c r="F2102" s="523" t="n">
        <v>44333</v>
      </c>
      <c r="G2102" s="556" t="n">
        <v>22374</v>
      </c>
      <c r="I2102" s="521">
        <f>G2102</f>
        <v/>
      </c>
      <c r="K2102" s="521">
        <f>I2102-G2102</f>
        <v/>
      </c>
      <c r="M2102" s="522" t="inlineStr">
        <is>
          <t>2108603</t>
        </is>
      </c>
      <c r="N2102" s="522" t="inlineStr">
        <is>
          <t>2108603</t>
        </is>
      </c>
      <c r="O2102" s="521">
        <f>M2102=N2102</f>
        <v/>
      </c>
      <c r="P2102" s="521">
        <f>AND(MONTH(F2102)=MONTH(S2102), YEAR(F2102)=YEAR(S2102))</f>
        <v/>
      </c>
      <c r="Q2102" s="521">
        <f>U2102="L001-901905215"</f>
        <v/>
      </c>
      <c r="R2102" s="556">
        <f>G2102-W2102</f>
        <v/>
      </c>
      <c r="S2102" s="523" t="n">
        <v>44333</v>
      </c>
      <c r="T2102" s="522" t="inlineStr">
        <is>
          <t>2108603</t>
        </is>
      </c>
      <c r="U2102" s="522" t="inlineStr">
        <is>
          <t>L001-901905215</t>
        </is>
      </c>
      <c r="V2102" s="522" t="inlineStr">
        <is>
          <t>វីអ៊ីស៊ិន (ខេមបូឌា) អ៊ិនដាសស្ទ្រី ឯ.ក</t>
        </is>
      </c>
      <c r="W2102" s="556" t="n">
        <v>22374</v>
      </c>
    </row>
    <row r="2103">
      <c r="A2103" s="521" t="n">
        <v>2095</v>
      </c>
      <c r="B2103" s="522" t="inlineStr">
        <is>
          <t>Sticker</t>
        </is>
      </c>
      <c r="C2103" s="522" t="inlineStr">
        <is>
          <t>ហេង កៃ (ខេមបូឌា) ព្រីនធីង</t>
        </is>
      </c>
      <c r="D2103" s="522" t="inlineStr">
        <is>
          <t>K010-901504622</t>
        </is>
      </c>
      <c r="E2103" s="521" t="inlineStr">
        <is>
          <t>2100062</t>
        </is>
      </c>
      <c r="F2103" s="523" t="n">
        <v>44341</v>
      </c>
      <c r="G2103" s="556" t="n">
        <v>393126</v>
      </c>
      <c r="I2103" s="521">
        <f>G2103</f>
        <v/>
      </c>
      <c r="K2103" s="521">
        <f>I2103-G2103</f>
        <v/>
      </c>
      <c r="M2103" s="522" t="inlineStr">
        <is>
          <t>2100062</t>
        </is>
      </c>
      <c r="N2103" s="522" t="inlineStr">
        <is>
          <t>2100062</t>
        </is>
      </c>
      <c r="O2103" s="521">
        <f>M2103=N2103</f>
        <v/>
      </c>
      <c r="P2103" s="521">
        <f>AND(MONTH(F2103)=MONTH(S2103), YEAR(F2103)=YEAR(S2103))</f>
        <v/>
      </c>
      <c r="Q2103" s="521">
        <f>U2103="L001-901905215"</f>
        <v/>
      </c>
      <c r="R2103" s="556">
        <f>G2103-W2103</f>
        <v/>
      </c>
      <c r="S2103" s="523" t="n">
        <v>44341</v>
      </c>
      <c r="T2103" s="522" t="inlineStr">
        <is>
          <t>2100062</t>
        </is>
      </c>
      <c r="U2103" s="522" t="inlineStr">
        <is>
          <t>L001-901905215</t>
        </is>
      </c>
      <c r="V2103" s="522" t="inlineStr">
        <is>
          <t>វីអ៊ីស៊ិន (ខេមបូឌា) អ៊ិនដាសស្ទ្រី ឯ.ក</t>
        </is>
      </c>
      <c r="W2103" s="556" t="n">
        <v>393126</v>
      </c>
    </row>
    <row r="2104">
      <c r="A2104" s="521" t="n">
        <v>2096</v>
      </c>
      <c r="B2104" s="522" t="inlineStr">
        <is>
          <t>Waste collection service for May 2021</t>
        </is>
      </c>
      <c r="C2104" s="522" t="inlineStr">
        <is>
          <t>ហ្គោមី រីសាយឃល110</t>
        </is>
      </c>
      <c r="D2104" s="522" t="inlineStr">
        <is>
          <t>K010-901503890</t>
        </is>
      </c>
      <c r="E2104" s="521" t="inlineStr">
        <is>
          <t>GR-TIN21/05/-006</t>
        </is>
      </c>
      <c r="F2104" s="523" t="n">
        <v>44342</v>
      </c>
      <c r="G2104" s="556" t="n">
        <v>16280</v>
      </c>
      <c r="I2104" s="521">
        <f>G2104</f>
        <v/>
      </c>
      <c r="K2104" s="521">
        <f>I2104-G2104</f>
        <v/>
      </c>
      <c r="M2104" s="522" t="inlineStr">
        <is>
          <t>GRTIN2105006</t>
        </is>
      </c>
      <c r="N2104" s="522" t="inlineStr">
        <is>
          <t>GRTIN2105006</t>
        </is>
      </c>
      <c r="O2104" s="521">
        <f>M2104=N2104</f>
        <v/>
      </c>
      <c r="P2104" s="521">
        <f>AND(MONTH(F2104)=MONTH(S2104), YEAR(F2104)=YEAR(S2104))</f>
        <v/>
      </c>
      <c r="Q2104" s="521">
        <f>U2104="L001-901905215"</f>
        <v/>
      </c>
      <c r="R2104" s="556">
        <f>G2104-W2104</f>
        <v/>
      </c>
      <c r="S2104" s="523" t="n">
        <v>44342</v>
      </c>
      <c r="T2104" s="522" t="inlineStr">
        <is>
          <t>GR-TIN21/05-006</t>
        </is>
      </c>
      <c r="U2104" s="522" t="inlineStr">
        <is>
          <t>L001-901905215</t>
        </is>
      </c>
      <c r="V2104" s="522" t="inlineStr">
        <is>
          <t>វីអ៊ីស៊ិន (ខេមបូឌា) អ៊ិនដាសស្ទ្រី ឯ.ក</t>
        </is>
      </c>
      <c r="W2104" s="556" t="n">
        <v>16280</v>
      </c>
    </row>
    <row r="2105">
      <c r="A2105" s="521" t="n">
        <v>2097</v>
      </c>
      <c r="B2105" s="522" t="inlineStr">
        <is>
          <t>Scurity fee for May 2021</t>
        </is>
      </c>
      <c r="C2105" s="522" t="inlineStr">
        <is>
          <t>សហ័ស សិឃ្យូរិធី ឯ.ក</t>
        </is>
      </c>
      <c r="D2105" s="522" t="inlineStr">
        <is>
          <t>K010-107032600</t>
        </is>
      </c>
      <c r="E2105" s="521" t="inlineStr">
        <is>
          <t>SHTI210195</t>
        </is>
      </c>
      <c r="F2105" s="523" t="n">
        <v>44340</v>
      </c>
      <c r="G2105" s="556" t="n">
        <v>228088</v>
      </c>
      <c r="I2105" s="521">
        <f>G2105</f>
        <v/>
      </c>
      <c r="K2105" s="521">
        <f>I2105-G2105</f>
        <v/>
      </c>
      <c r="M2105" s="522" t="inlineStr">
        <is>
          <t>SHTI210195</t>
        </is>
      </c>
      <c r="N2105" s="522" t="inlineStr">
        <is>
          <t>SHTI210195</t>
        </is>
      </c>
      <c r="O2105" s="521">
        <f>M2105=N2105</f>
        <v/>
      </c>
      <c r="P2105" s="521">
        <f>AND(MONTH(F2105)=MONTH(S2105), YEAR(F2105)=YEAR(S2105))</f>
        <v/>
      </c>
      <c r="Q2105" s="521">
        <f>U2105="L001-901905215"</f>
        <v/>
      </c>
      <c r="R2105" s="556">
        <f>G2105-W2105</f>
        <v/>
      </c>
      <c r="S2105" s="523" t="n">
        <v>44340</v>
      </c>
      <c r="T2105" s="522" t="inlineStr">
        <is>
          <t>SHTI210195</t>
        </is>
      </c>
      <c r="U2105" s="522" t="inlineStr">
        <is>
          <t>L001-901905215</t>
        </is>
      </c>
      <c r="V2105" s="522" t="inlineStr">
        <is>
          <t>វីអ៊ីស៊ិន (ខេមបូឌា) អ៊ិនដាសស្ទ្រី ឯ.ក</t>
        </is>
      </c>
      <c r="W2105" s="556" t="n">
        <v>228088</v>
      </c>
    </row>
    <row r="2106">
      <c r="A2106" s="521" t="n">
        <v>2098</v>
      </c>
      <c r="B2106" s="522" t="inlineStr">
        <is>
          <t>Infrastructure maintenance fee for May 2021</t>
        </is>
      </c>
      <c r="C2106" s="522" t="inlineStr">
        <is>
          <t>ភ្នំពេញ អេសអ៊ីហ្សិត ភីអិលស៊ី</t>
        </is>
      </c>
      <c r="D2106" s="522" t="inlineStr">
        <is>
          <t>L001-100046592</t>
        </is>
      </c>
      <c r="E2106" s="521" t="inlineStr">
        <is>
          <t>2021-02227</t>
        </is>
      </c>
      <c r="F2106" s="523" t="n">
        <v>44333</v>
      </c>
      <c r="G2106" s="556" t="n">
        <v>164706</v>
      </c>
      <c r="I2106" s="521">
        <f>G2106</f>
        <v/>
      </c>
      <c r="K2106" s="521">
        <f>I2106-G2106</f>
        <v/>
      </c>
      <c r="M2106" s="522" t="inlineStr">
        <is>
          <t>202102227</t>
        </is>
      </c>
      <c r="N2106" s="522" t="inlineStr">
        <is>
          <t>202102227</t>
        </is>
      </c>
      <c r="O2106" s="521">
        <f>M2106=N2106</f>
        <v/>
      </c>
      <c r="P2106" s="521">
        <f>AND(MONTH(F2106)=MONTH(S2106), YEAR(F2106)=YEAR(S2106))</f>
        <v/>
      </c>
      <c r="Q2106" s="521">
        <f>U2106="L001-901905215"</f>
        <v/>
      </c>
      <c r="R2106" s="556">
        <f>G2106-W2106</f>
        <v/>
      </c>
      <c r="S2106" s="523" t="n">
        <v>44333</v>
      </c>
      <c r="T2106" s="522" t="inlineStr">
        <is>
          <t>2021-02227</t>
        </is>
      </c>
      <c r="U2106" s="522" t="inlineStr">
        <is>
          <t>L001-901905215</t>
        </is>
      </c>
      <c r="V2106" s="522" t="inlineStr">
        <is>
          <t>វីអ៊ីស៊ិន (ខេមបូឌា) អ៊ិនដាសស្ទ្រី ឯ.ក</t>
        </is>
      </c>
      <c r="W2106" s="556" t="n">
        <v>164705</v>
      </c>
    </row>
    <row r="2107">
      <c r="A2107" s="521" t="n">
        <v>2099</v>
      </c>
      <c r="B2107" s="522" t="inlineStr">
        <is>
          <t>Infrastructure fee for May 2021</t>
        </is>
      </c>
      <c r="C2107" s="522" t="inlineStr">
        <is>
          <t>ភ្នំពេញ អេសអ៊ីហ្សិត ភីអិលស៊ី</t>
        </is>
      </c>
      <c r="D2107" s="522" t="inlineStr">
        <is>
          <t>L001-100046592</t>
        </is>
      </c>
      <c r="E2107" s="521" t="inlineStr">
        <is>
          <t>2021-02216</t>
        </is>
      </c>
      <c r="F2107" s="523" t="n">
        <v>44333</v>
      </c>
      <c r="G2107" s="556" t="n">
        <v>200538</v>
      </c>
      <c r="I2107" s="521">
        <f>G2107</f>
        <v/>
      </c>
      <c r="K2107" s="521">
        <f>I2107-G2107</f>
        <v/>
      </c>
      <c r="M2107" s="522" t="inlineStr">
        <is>
          <t>202102216</t>
        </is>
      </c>
      <c r="N2107" s="522" t="inlineStr"/>
      <c r="O2107" s="521">
        <f>M2107=N2107</f>
        <v/>
      </c>
      <c r="P2107" s="521">
        <f>AND(MONTH(F2107)=MONTH(S2107), YEAR(F2107)=YEAR(S2107))</f>
        <v/>
      </c>
      <c r="Q2107" s="521">
        <f>U2107="L001-901905215"</f>
        <v/>
      </c>
      <c r="R2107" s="556">
        <f>G2107-W2107</f>
        <v/>
      </c>
      <c r="S2107" s="521" t="n"/>
      <c r="T2107" s="522" t="n"/>
      <c r="U2107" s="522" t="n"/>
      <c r="V2107" s="522" t="n"/>
      <c r="W2107" s="521" t="n"/>
    </row>
    <row r="2108">
      <c r="A2108" s="521" t="n">
        <v>2100</v>
      </c>
      <c r="B2108" s="522" t="inlineStr">
        <is>
          <t>Import clearance</t>
        </is>
      </c>
      <c r="C2108" s="522" t="inlineStr">
        <is>
          <t>អូរៀនថល ឡូជីស្ទីក &amp; ឌីស្ទ្រីប៊្យូសិន (ខេមបូឌា)</t>
        </is>
      </c>
      <c r="D2108" s="522" t="inlineStr">
        <is>
          <t>L001-103007369</t>
        </is>
      </c>
      <c r="E2108" s="521" t="inlineStr">
        <is>
          <t>21-4399</t>
        </is>
      </c>
      <c r="F2108" s="523" t="n">
        <v>44343</v>
      </c>
      <c r="G2108" s="556" t="n">
        <v>3012114</v>
      </c>
      <c r="I2108" s="521">
        <f>G2108</f>
        <v/>
      </c>
      <c r="K2108" s="521">
        <f>I2108-G2108</f>
        <v/>
      </c>
      <c r="M2108" s="522" t="inlineStr">
        <is>
          <t>214399</t>
        </is>
      </c>
      <c r="N2108" s="522" t="inlineStr">
        <is>
          <t>214399</t>
        </is>
      </c>
      <c r="O2108" s="521">
        <f>M2108=N2108</f>
        <v/>
      </c>
      <c r="P2108" s="521">
        <f>AND(MONTH(F2108)=MONTH(S2108), YEAR(F2108)=YEAR(S2108))</f>
        <v/>
      </c>
      <c r="Q2108" s="521">
        <f>U2108="L001-901905215"</f>
        <v/>
      </c>
      <c r="R2108" s="556">
        <f>G2108-W2108</f>
        <v/>
      </c>
      <c r="S2108" s="523" t="n">
        <v>44329</v>
      </c>
      <c r="T2108" s="522" t="inlineStr">
        <is>
          <t>21-4399</t>
        </is>
      </c>
      <c r="U2108" s="522" t="inlineStr">
        <is>
          <t>L001-901905215</t>
        </is>
      </c>
      <c r="V2108" s="522" t="inlineStr">
        <is>
          <t>វីអ៊ីស៊ិន (ខេមបូឌា) អ៊ិនដាសស្ទ្រី ឯ.ក</t>
        </is>
      </c>
      <c r="W2108" s="556" t="n">
        <v>3012114</v>
      </c>
    </row>
    <row r="2109">
      <c r="A2109" s="521" t="n">
        <v>2101</v>
      </c>
      <c r="B2109" s="522" t="inlineStr">
        <is>
          <t>THC Charge</t>
        </is>
      </c>
      <c r="C2109" s="522" t="inlineStr">
        <is>
          <t>អេស អ វី ស៊ី ហ្វ្រេត សឺវីស (ខេមបូឌា) ខូ អិលធីឌី</t>
        </is>
      </c>
      <c r="D2109" s="522" t="inlineStr">
        <is>
          <t>K005-100150195</t>
        </is>
      </c>
      <c r="E2109" s="521" t="inlineStr">
        <is>
          <t>12102529</t>
        </is>
      </c>
      <c r="F2109" s="523" t="n">
        <v>44343</v>
      </c>
      <c r="G2109" s="556" t="n">
        <v>224664</v>
      </c>
      <c r="I2109" s="521">
        <f>G2109</f>
        <v/>
      </c>
      <c r="K2109" s="521">
        <f>I2109-G2109</f>
        <v/>
      </c>
      <c r="M2109" s="522" t="inlineStr">
        <is>
          <t>12102529</t>
        </is>
      </c>
      <c r="N2109" s="522" t="inlineStr">
        <is>
          <t>12102529</t>
        </is>
      </c>
      <c r="O2109" s="521">
        <f>M2109=N2109</f>
        <v/>
      </c>
      <c r="P2109" s="521">
        <f>AND(MONTH(F2109)=MONTH(S2109), YEAR(F2109)=YEAR(S2109))</f>
        <v/>
      </c>
      <c r="Q2109" s="521">
        <f>U2109="L001-901905215"</f>
        <v/>
      </c>
      <c r="R2109" s="556">
        <f>G2109-W2109</f>
        <v/>
      </c>
      <c r="S2109" s="523" t="n">
        <v>44343</v>
      </c>
      <c r="T2109" s="522" t="inlineStr">
        <is>
          <t>12102529</t>
        </is>
      </c>
      <c r="U2109" s="522" t="inlineStr">
        <is>
          <t>L001-901905215</t>
        </is>
      </c>
      <c r="V2109" s="522" t="inlineStr">
        <is>
          <t>វីអ៊ីស៊ិន (ខេមបូឌា) អ៊ិនដាសស្ទ្រី ឯ.ក</t>
        </is>
      </c>
      <c r="W2109" s="556" t="n">
        <v>224664</v>
      </c>
    </row>
    <row r="2110">
      <c r="A2110" s="521" t="n">
        <v>2102</v>
      </c>
      <c r="B2110" s="522" t="inlineStr">
        <is>
          <t>THC Charge</t>
        </is>
      </c>
      <c r="C2110" s="522" t="inlineStr">
        <is>
          <t>អេស អ វី ស៊ី ហ្វ្រេត សឺវីស (ខេមបូឌា) ខូ អិលធីឌី</t>
        </is>
      </c>
      <c r="D2110" s="522" t="inlineStr">
        <is>
          <t>K005-100150195</t>
        </is>
      </c>
      <c r="E2110" s="521" t="inlineStr">
        <is>
          <t>12102296</t>
        </is>
      </c>
      <c r="F2110" s="523" t="n">
        <v>44323</v>
      </c>
      <c r="G2110" s="556" t="n">
        <v>263194</v>
      </c>
      <c r="I2110" s="521">
        <f>G2110</f>
        <v/>
      </c>
      <c r="K2110" s="521">
        <f>I2110-G2110</f>
        <v/>
      </c>
      <c r="M2110" s="522" t="inlineStr">
        <is>
          <t>12102296</t>
        </is>
      </c>
      <c r="N2110" s="522" t="inlineStr">
        <is>
          <t>12102296</t>
        </is>
      </c>
      <c r="O2110" s="521">
        <f>M2110=N2110</f>
        <v/>
      </c>
      <c r="P2110" s="521">
        <f>AND(MONTH(F2110)=MONTH(S2110), YEAR(F2110)=YEAR(S2110))</f>
        <v/>
      </c>
      <c r="Q2110" s="521">
        <f>U2110="L001-901905215"</f>
        <v/>
      </c>
      <c r="R2110" s="556">
        <f>G2110-W2110</f>
        <v/>
      </c>
      <c r="S2110" s="523" t="n">
        <v>44323</v>
      </c>
      <c r="T2110" s="522" t="inlineStr">
        <is>
          <t>12102296</t>
        </is>
      </c>
      <c r="U2110" s="522" t="inlineStr">
        <is>
          <t>L001-901905215</t>
        </is>
      </c>
      <c r="V2110" s="522" t="inlineStr">
        <is>
          <t>វីអ៊ីស៊ិន (ខេមបូឌា) អ៊ិនដាសស្ទ្រី ឯ.ក</t>
        </is>
      </c>
      <c r="W2110" s="556" t="n">
        <v>263194</v>
      </c>
    </row>
    <row r="2111">
      <c r="A2111" s="521" t="n">
        <v>2103</v>
      </c>
      <c r="B2111" s="522" t="inlineStr">
        <is>
          <t>THC Charge</t>
        </is>
      </c>
      <c r="C2111" s="522" t="inlineStr">
        <is>
          <t>អេស អ វី ស៊ី ហ្វ្រេត សឺវីស (ខេមបូឌា) ខូ អិលធីឌី</t>
        </is>
      </c>
      <c r="D2111" s="522" t="inlineStr">
        <is>
          <t>K005-100150195</t>
        </is>
      </c>
      <c r="E2111" s="521" t="inlineStr">
        <is>
          <t>12101613</t>
        </is>
      </c>
      <c r="F2111" s="523" t="n">
        <v>44317</v>
      </c>
      <c r="G2111" s="556" t="n">
        <v>210496</v>
      </c>
      <c r="I2111" s="521">
        <f>G2111</f>
        <v/>
      </c>
      <c r="K2111" s="521">
        <f>I2111-G2111</f>
        <v/>
      </c>
      <c r="M2111" s="522" t="inlineStr">
        <is>
          <t>12101613</t>
        </is>
      </c>
      <c r="N2111" s="522" t="inlineStr"/>
      <c r="O2111" s="521">
        <f>M2111=N2111</f>
        <v/>
      </c>
      <c r="P2111" s="521">
        <f>AND(MONTH(F2111)=MONTH(S2111), YEAR(F2111)=YEAR(S2111))</f>
        <v/>
      </c>
      <c r="Q2111" s="521">
        <f>U2111="L001-901905215"</f>
        <v/>
      </c>
      <c r="R2111" s="556">
        <f>G2111-W2111</f>
        <v/>
      </c>
      <c r="S2111" s="521" t="n"/>
      <c r="T2111" s="522" t="n"/>
      <c r="U2111" s="522" t="n"/>
      <c r="V2111" s="522" t="n"/>
      <c r="W2111" s="521" t="n"/>
    </row>
    <row r="2112">
      <c r="A2112" s="521" t="n">
        <v>2104</v>
      </c>
      <c r="B2112" s="522" t="inlineStr">
        <is>
          <t>THC Charge</t>
        </is>
      </c>
      <c r="C2112" s="522" t="inlineStr">
        <is>
          <t>អេស អ វី ស៊ី ហ្វ្រេត សឺវីស (ខេមបូឌា) ខូ អិលធីឌី</t>
        </is>
      </c>
      <c r="D2112" s="522" t="inlineStr">
        <is>
          <t>K005-100150195</t>
        </is>
      </c>
      <c r="E2112" s="521" t="inlineStr">
        <is>
          <t>12101611</t>
        </is>
      </c>
      <c r="F2112" s="523" t="n">
        <v>44336</v>
      </c>
      <c r="G2112" s="556" t="n">
        <v>210496</v>
      </c>
      <c r="I2112" s="521">
        <f>G2112</f>
        <v/>
      </c>
      <c r="K2112" s="521">
        <f>I2112-G2112</f>
        <v/>
      </c>
      <c r="M2112" s="522" t="inlineStr">
        <is>
          <t>12101611</t>
        </is>
      </c>
      <c r="N2112" s="522" t="inlineStr"/>
      <c r="O2112" s="521">
        <f>M2112=N2112</f>
        <v/>
      </c>
      <c r="P2112" s="521">
        <f>AND(MONTH(F2112)=MONTH(S2112), YEAR(F2112)=YEAR(S2112))</f>
        <v/>
      </c>
      <c r="Q2112" s="521">
        <f>U2112="L001-901905215"</f>
        <v/>
      </c>
      <c r="R2112" s="556">
        <f>G2112-W2112</f>
        <v/>
      </c>
      <c r="S2112" s="521" t="n"/>
      <c r="T2112" s="522" t="n"/>
      <c r="U2112" s="522" t="n"/>
      <c r="V2112" s="522" t="n"/>
      <c r="W2112" s="521" t="n"/>
    </row>
    <row r="2113">
      <c r="A2113" s="521" t="n">
        <v>2105</v>
      </c>
      <c r="B2113" s="522" t="inlineStr">
        <is>
          <t>THC Charge</t>
        </is>
      </c>
      <c r="C2113" s="522" t="inlineStr">
        <is>
          <t>អ៊ិចស្ពែឌីធ័រ ខេមបូឌា អិលធីឌី</t>
        </is>
      </c>
      <c r="D2113" s="522" t="inlineStr">
        <is>
          <t>L001-100045898</t>
        </is>
      </c>
      <c r="E2113" s="521" t="inlineStr">
        <is>
          <t>TI-0199805</t>
        </is>
      </c>
      <c r="F2113" s="523" t="n">
        <v>44347</v>
      </c>
      <c r="G2113" s="556" t="n">
        <v>382768</v>
      </c>
      <c r="I2113" s="521">
        <f>G2113</f>
        <v/>
      </c>
      <c r="K2113" s="521">
        <f>I2113-G2113</f>
        <v/>
      </c>
      <c r="M2113" s="522" t="inlineStr">
        <is>
          <t>TI0199805</t>
        </is>
      </c>
      <c r="N2113" s="522" t="inlineStr">
        <is>
          <t>TI0199805</t>
        </is>
      </c>
      <c r="O2113" s="521">
        <f>M2113=N2113</f>
        <v/>
      </c>
      <c r="P2113" s="521">
        <f>AND(MONTH(F2113)=MONTH(S2113), YEAR(F2113)=YEAR(S2113))</f>
        <v/>
      </c>
      <c r="Q2113" s="521">
        <f>U2113="L001-901905215"</f>
        <v/>
      </c>
      <c r="R2113" s="556">
        <f>G2113-W2113</f>
        <v/>
      </c>
      <c r="S2113" s="523" t="n">
        <v>44347</v>
      </c>
      <c r="T2113" s="522" t="inlineStr">
        <is>
          <t>TI-0199805</t>
        </is>
      </c>
      <c r="U2113" s="522" t="inlineStr">
        <is>
          <t>L001-901905215</t>
        </is>
      </c>
      <c r="V2113" s="522" t="inlineStr">
        <is>
          <t>វីអ៊ីស៊ិន (ខេមបូឌា) អ៊ិនដាសស្ទ្រី ឯ.ក</t>
        </is>
      </c>
      <c r="W2113" s="556" t="n">
        <v>382768</v>
      </c>
    </row>
    <row r="2114">
      <c r="A2114" s="521" t="n">
        <v>2106</v>
      </c>
      <c r="B2114" s="522" t="inlineStr">
        <is>
          <t>THC Charge</t>
        </is>
      </c>
      <c r="C2114" s="522" t="inlineStr">
        <is>
          <t>អ៊ិចស្ពែឌីធ័រ ខេមបូឌា អិលធីឌី</t>
        </is>
      </c>
      <c r="D2114" s="522" t="inlineStr">
        <is>
          <t>L001-100045898</t>
        </is>
      </c>
      <c r="E2114" s="521" t="inlineStr">
        <is>
          <t>TI-0199804</t>
        </is>
      </c>
      <c r="F2114" s="523" t="n">
        <v>44347</v>
      </c>
      <c r="G2114" s="556" t="n">
        <v>244727</v>
      </c>
      <c r="I2114" s="521">
        <f>G2114</f>
        <v/>
      </c>
      <c r="K2114" s="521">
        <f>I2114-G2114</f>
        <v/>
      </c>
      <c r="M2114" s="522" t="inlineStr">
        <is>
          <t>TI0199804</t>
        </is>
      </c>
      <c r="N2114" s="522" t="inlineStr">
        <is>
          <t>TI0199804</t>
        </is>
      </c>
      <c r="O2114" s="521">
        <f>M2114=N2114</f>
        <v/>
      </c>
      <c r="P2114" s="521">
        <f>AND(MONTH(F2114)=MONTH(S2114), YEAR(F2114)=YEAR(S2114))</f>
        <v/>
      </c>
      <c r="Q2114" s="521">
        <f>U2114="L001-901905215"</f>
        <v/>
      </c>
      <c r="R2114" s="556">
        <f>G2114-W2114</f>
        <v/>
      </c>
      <c r="S2114" s="523" t="n">
        <v>44347</v>
      </c>
      <c r="T2114" s="522" t="inlineStr">
        <is>
          <t>TI-0199804</t>
        </is>
      </c>
      <c r="U2114" s="522" t="inlineStr">
        <is>
          <t>L001-901905215</t>
        </is>
      </c>
      <c r="V2114" s="522" t="inlineStr">
        <is>
          <t>វីអ៊ីស៊ិន (ខេមបូឌា) អ៊ិនដាសស្ទ្រី ឯ.ក</t>
        </is>
      </c>
      <c r="W2114" s="556" t="n">
        <v>244727</v>
      </c>
    </row>
    <row r="2115">
      <c r="A2115" s="521" t="n">
        <v>2107</v>
      </c>
      <c r="B2115" s="522" t="inlineStr">
        <is>
          <t>THC Charge</t>
        </is>
      </c>
      <c r="C2115" s="522" t="inlineStr">
        <is>
          <t>អ៊ិចស្ពែឌីធ័រ ខេមបូឌា អិលធីឌី</t>
        </is>
      </c>
      <c r="D2115" s="522" t="inlineStr">
        <is>
          <t>L001-100045898</t>
        </is>
      </c>
      <c r="E2115" s="521" t="inlineStr">
        <is>
          <t>TI-0199803</t>
        </is>
      </c>
      <c r="F2115" s="523" t="n">
        <v>44347</v>
      </c>
      <c r="G2115" s="556" t="n">
        <v>412901</v>
      </c>
      <c r="I2115" s="521">
        <f>G2115</f>
        <v/>
      </c>
      <c r="K2115" s="521">
        <f>I2115-G2115</f>
        <v/>
      </c>
      <c r="M2115" s="522" t="inlineStr">
        <is>
          <t>TI0199803</t>
        </is>
      </c>
      <c r="N2115" s="522" t="inlineStr">
        <is>
          <t>TI0199803</t>
        </is>
      </c>
      <c r="O2115" s="521">
        <f>M2115=N2115</f>
        <v/>
      </c>
      <c r="P2115" s="521">
        <f>AND(MONTH(F2115)=MONTH(S2115), YEAR(F2115)=YEAR(S2115))</f>
        <v/>
      </c>
      <c r="Q2115" s="521">
        <f>U2115="L001-901905215"</f>
        <v/>
      </c>
      <c r="R2115" s="556">
        <f>G2115-W2115</f>
        <v/>
      </c>
      <c r="S2115" s="523" t="n">
        <v>44347</v>
      </c>
      <c r="T2115" s="522" t="inlineStr">
        <is>
          <t>TI-0199803</t>
        </is>
      </c>
      <c r="U2115" s="522" t="inlineStr">
        <is>
          <t>L001-901905215</t>
        </is>
      </c>
      <c r="V2115" s="522" t="inlineStr">
        <is>
          <t>វីអ៊ីស៊ិន (ខេមបូឌា) អ៊ិនដាសស្ទ្រី ឯ.ក</t>
        </is>
      </c>
      <c r="W2115" s="556" t="n">
        <v>412901</v>
      </c>
    </row>
    <row r="2116">
      <c r="A2116" s="521" t="n">
        <v>2108</v>
      </c>
      <c r="B2116" s="522" t="inlineStr">
        <is>
          <t>THC Charge</t>
        </is>
      </c>
      <c r="C2116" s="522" t="inlineStr">
        <is>
          <t>អ៊ិចស្ពែឌីធ័រ ខេមបូឌា អិលធីឌី</t>
        </is>
      </c>
      <c r="D2116" s="522" t="inlineStr">
        <is>
          <t>L001-100045898</t>
        </is>
      </c>
      <c r="E2116" s="521" t="inlineStr">
        <is>
          <t>TI-0199802</t>
        </is>
      </c>
      <c r="F2116" s="523" t="n">
        <v>44347</v>
      </c>
      <c r="G2116" s="556" t="n">
        <v>330239</v>
      </c>
      <c r="I2116" s="521">
        <f>G2116</f>
        <v/>
      </c>
      <c r="K2116" s="521">
        <f>I2116-G2116</f>
        <v/>
      </c>
      <c r="M2116" s="522" t="inlineStr">
        <is>
          <t>TI0199802</t>
        </is>
      </c>
      <c r="N2116" s="522" t="inlineStr">
        <is>
          <t>TI0199802</t>
        </is>
      </c>
      <c r="O2116" s="521">
        <f>M2116=N2116</f>
        <v/>
      </c>
      <c r="P2116" s="521">
        <f>AND(MONTH(F2116)=MONTH(S2116), YEAR(F2116)=YEAR(S2116))</f>
        <v/>
      </c>
      <c r="Q2116" s="521">
        <f>U2116="L001-901905215"</f>
        <v/>
      </c>
      <c r="R2116" s="556">
        <f>G2116-W2116</f>
        <v/>
      </c>
      <c r="S2116" s="523" t="n">
        <v>44347</v>
      </c>
      <c r="T2116" s="522" t="inlineStr">
        <is>
          <t>TI-0199802</t>
        </is>
      </c>
      <c r="U2116" s="522" t="inlineStr">
        <is>
          <t>L001-901905215</t>
        </is>
      </c>
      <c r="V2116" s="522" t="inlineStr">
        <is>
          <t>វីអ៊ីស៊ិន (ខេមបូឌា) អ៊ិនដាសស្ទ្រី ឯ.ក</t>
        </is>
      </c>
      <c r="W2116" s="556" t="n">
        <v>330239</v>
      </c>
    </row>
    <row r="2117">
      <c r="A2117" s="521" t="n">
        <v>2109</v>
      </c>
      <c r="B2117" s="522" t="inlineStr">
        <is>
          <t>THC Charge</t>
        </is>
      </c>
      <c r="C2117" s="522" t="inlineStr">
        <is>
          <t>អ៊ិចស្ពែឌីធ័រ ខេមបូឌា អិលធីឌី</t>
        </is>
      </c>
      <c r="D2117" s="522" t="inlineStr">
        <is>
          <t>L001-100045898</t>
        </is>
      </c>
      <c r="E2117" s="521" t="inlineStr">
        <is>
          <t>TI-0199455</t>
        </is>
      </c>
      <c r="F2117" s="523" t="n">
        <v>44340</v>
      </c>
      <c r="G2117" s="556" t="n">
        <v>672860</v>
      </c>
      <c r="I2117" s="521">
        <f>G2117</f>
        <v/>
      </c>
      <c r="K2117" s="521">
        <f>I2117-G2117</f>
        <v/>
      </c>
      <c r="M2117" s="522" t="inlineStr">
        <is>
          <t>TI0199455</t>
        </is>
      </c>
      <c r="N2117" s="522" t="inlineStr">
        <is>
          <t>TI0199455</t>
        </is>
      </c>
      <c r="O2117" s="521">
        <f>M2117=N2117</f>
        <v/>
      </c>
      <c r="P2117" s="521">
        <f>AND(MONTH(F2117)=MONTH(S2117), YEAR(F2117)=YEAR(S2117))</f>
        <v/>
      </c>
      <c r="Q2117" s="521">
        <f>U2117="L001-901905215"</f>
        <v/>
      </c>
      <c r="R2117" s="556">
        <f>G2117-W2117</f>
        <v/>
      </c>
      <c r="S2117" s="523" t="n">
        <v>44340</v>
      </c>
      <c r="T2117" s="522" t="inlineStr">
        <is>
          <t>TI-0199455</t>
        </is>
      </c>
      <c r="U2117" s="522" t="inlineStr">
        <is>
          <t>L001-901905215</t>
        </is>
      </c>
      <c r="V2117" s="522" t="inlineStr">
        <is>
          <t>វីអ៊ីស៊ិន (ខេមបូឌា) អ៊ិនដាសស្ទ្រី ឯ.ក</t>
        </is>
      </c>
      <c r="W2117" s="556" t="n">
        <v>672860</v>
      </c>
    </row>
    <row r="2118">
      <c r="A2118" s="521" t="n">
        <v>2110</v>
      </c>
      <c r="B2118" s="522" t="inlineStr">
        <is>
          <t>THC Charge</t>
        </is>
      </c>
      <c r="C2118" s="522" t="inlineStr">
        <is>
          <t>អ៊ិចស្ពែឌីធ័រ ខេមបូឌា អិលធីឌី</t>
        </is>
      </c>
      <c r="D2118" s="522" t="inlineStr">
        <is>
          <t>L001-100045898</t>
        </is>
      </c>
      <c r="E2118" s="521" t="inlineStr">
        <is>
          <t>TI-0199454</t>
        </is>
      </c>
      <c r="F2118" s="523" t="n">
        <v>44340</v>
      </c>
      <c r="G2118" s="556" t="n">
        <v>309955</v>
      </c>
      <c r="I2118" s="521">
        <f>G2118</f>
        <v/>
      </c>
      <c r="K2118" s="521">
        <f>I2118-G2118</f>
        <v/>
      </c>
      <c r="M2118" s="522" t="inlineStr">
        <is>
          <t>TI0199454</t>
        </is>
      </c>
      <c r="N2118" s="522" t="inlineStr">
        <is>
          <t>TI0199454</t>
        </is>
      </c>
      <c r="O2118" s="521">
        <f>M2118=N2118</f>
        <v/>
      </c>
      <c r="P2118" s="521">
        <f>AND(MONTH(F2118)=MONTH(S2118), YEAR(F2118)=YEAR(S2118))</f>
        <v/>
      </c>
      <c r="Q2118" s="521">
        <f>U2118="L001-901905215"</f>
        <v/>
      </c>
      <c r="R2118" s="556">
        <f>G2118-W2118</f>
        <v/>
      </c>
      <c r="S2118" s="523" t="n">
        <v>44340</v>
      </c>
      <c r="T2118" s="522" t="inlineStr">
        <is>
          <t>TI-0199454</t>
        </is>
      </c>
      <c r="U2118" s="522" t="inlineStr">
        <is>
          <t>L001-901905215</t>
        </is>
      </c>
      <c r="V2118" s="522" t="inlineStr">
        <is>
          <t>វីអ៊ីស៊ិន (ខេមបូឌា) អ៊ិនដាសស្ទ្រី ឯ.ក</t>
        </is>
      </c>
      <c r="W2118" s="556" t="n">
        <v>309955</v>
      </c>
    </row>
    <row r="2119">
      <c r="A2119" s="521" t="n">
        <v>2111</v>
      </c>
      <c r="B2119" s="522" t="inlineStr">
        <is>
          <t>THC Charge</t>
        </is>
      </c>
      <c r="C2119" s="522" t="inlineStr">
        <is>
          <t>អ៊ិចស្ពែឌីធ័រ ខេមបូឌា អិលធីឌី</t>
        </is>
      </c>
      <c r="D2119" s="522" t="inlineStr">
        <is>
          <t>L001-100045898</t>
        </is>
      </c>
      <c r="E2119" s="521" t="inlineStr">
        <is>
          <t>TI-0199453</t>
        </is>
      </c>
      <c r="F2119" s="523" t="n">
        <v>44340</v>
      </c>
      <c r="G2119" s="556" t="n">
        <v>608099</v>
      </c>
      <c r="I2119" s="521">
        <f>G2119</f>
        <v/>
      </c>
      <c r="K2119" s="521">
        <f>I2119-G2119</f>
        <v/>
      </c>
      <c r="M2119" s="522" t="inlineStr">
        <is>
          <t>TI0199453</t>
        </is>
      </c>
      <c r="N2119" s="522" t="inlineStr">
        <is>
          <t>TI0199453</t>
        </is>
      </c>
      <c r="O2119" s="521">
        <f>M2119=N2119</f>
        <v/>
      </c>
      <c r="P2119" s="521">
        <f>AND(MONTH(F2119)=MONTH(S2119), YEAR(F2119)=YEAR(S2119))</f>
        <v/>
      </c>
      <c r="Q2119" s="521">
        <f>U2119="L001-901905215"</f>
        <v/>
      </c>
      <c r="R2119" s="556">
        <f>G2119-W2119</f>
        <v/>
      </c>
      <c r="S2119" s="523" t="n">
        <v>44340</v>
      </c>
      <c r="T2119" s="522" t="inlineStr">
        <is>
          <t>TI-0199453</t>
        </is>
      </c>
      <c r="U2119" s="522" t="inlineStr">
        <is>
          <t>L001-901905215</t>
        </is>
      </c>
      <c r="V2119" s="522" t="inlineStr">
        <is>
          <t>វីអ៊ីស៊ិន (ខេមបូឌា) អ៊ិនដាសស្ទ្រី ឯ.ក</t>
        </is>
      </c>
      <c r="W2119" s="556" t="n">
        <v>608099</v>
      </c>
    </row>
    <row r="2120">
      <c r="A2120" s="521" t="n">
        <v>2112</v>
      </c>
      <c r="B2120" s="522" t="inlineStr">
        <is>
          <t>THC Charge</t>
        </is>
      </c>
      <c r="C2120" s="522" t="inlineStr">
        <is>
          <t>អ៊ិចស្ពែឌីធ័រ ខេមបូឌា អិលធីឌី</t>
        </is>
      </c>
      <c r="D2120" s="522" t="inlineStr">
        <is>
          <t>L001-100045898</t>
        </is>
      </c>
      <c r="E2120" s="521" t="inlineStr">
        <is>
          <t>TI-0199806</t>
        </is>
      </c>
      <c r="F2120" s="523" t="n">
        <v>44347</v>
      </c>
      <c r="G2120" s="556" t="n">
        <v>231290</v>
      </c>
      <c r="I2120" s="521">
        <f>G2120</f>
        <v/>
      </c>
      <c r="K2120" s="521">
        <f>I2120-G2120</f>
        <v/>
      </c>
      <c r="M2120" s="522" t="inlineStr">
        <is>
          <t>TI0199806</t>
        </is>
      </c>
      <c r="N2120" s="522" t="inlineStr">
        <is>
          <t>TI0199806</t>
        </is>
      </c>
      <c r="O2120" s="521">
        <f>M2120=N2120</f>
        <v/>
      </c>
      <c r="P2120" s="521">
        <f>AND(MONTH(F2120)=MONTH(S2120), YEAR(F2120)=YEAR(S2120))</f>
        <v/>
      </c>
      <c r="Q2120" s="521">
        <f>U2120="L001-901905215"</f>
        <v/>
      </c>
      <c r="R2120" s="556">
        <f>G2120-W2120</f>
        <v/>
      </c>
      <c r="S2120" s="523" t="n">
        <v>44347</v>
      </c>
      <c r="T2120" s="522" t="inlineStr">
        <is>
          <t>TI-0199806</t>
        </is>
      </c>
      <c r="U2120" s="522" t="inlineStr">
        <is>
          <t>L001-901905215</t>
        </is>
      </c>
      <c r="V2120" s="522" t="inlineStr">
        <is>
          <t>វីអ៊ីស៊ិន (ខេមបូឌា) អ៊ិនដាសស្ទ្រី ឯ.ក</t>
        </is>
      </c>
      <c r="W2120" s="556" t="n">
        <v>231290</v>
      </c>
    </row>
    <row r="2121">
      <c r="A2121" s="521" t="n">
        <v>2113</v>
      </c>
      <c r="B2121" s="522" t="inlineStr">
        <is>
          <t>THC Charge</t>
        </is>
      </c>
      <c r="C2121" s="522" t="inlineStr">
        <is>
          <t>អ៊ិចស្ពែឌីធ័រ ខេមបូឌា អិលធីឌី</t>
        </is>
      </c>
      <c r="D2121" s="522" t="inlineStr">
        <is>
          <t>L001-100045898</t>
        </is>
      </c>
      <c r="E2121" s="521" t="inlineStr">
        <is>
          <t>TI-0199452</t>
        </is>
      </c>
      <c r="F2121" s="523" t="n">
        <v>44340</v>
      </c>
      <c r="G2121" s="556" t="n">
        <v>150294</v>
      </c>
      <c r="I2121" s="521">
        <f>G2121</f>
        <v/>
      </c>
      <c r="K2121" s="521">
        <f>I2121-G2121</f>
        <v/>
      </c>
      <c r="M2121" s="522" t="inlineStr">
        <is>
          <t>TI0199452</t>
        </is>
      </c>
      <c r="N2121" s="522" t="inlineStr">
        <is>
          <t>TI0199452</t>
        </is>
      </c>
      <c r="O2121" s="521">
        <f>M2121=N2121</f>
        <v/>
      </c>
      <c r="P2121" s="521">
        <f>AND(MONTH(F2121)=MONTH(S2121), YEAR(F2121)=YEAR(S2121))</f>
        <v/>
      </c>
      <c r="Q2121" s="521">
        <f>U2121="L001-901905215"</f>
        <v/>
      </c>
      <c r="R2121" s="556">
        <f>G2121-W2121</f>
        <v/>
      </c>
      <c r="S2121" s="523" t="n">
        <v>44340</v>
      </c>
      <c r="T2121" s="522" t="inlineStr">
        <is>
          <t>TI-0199452</t>
        </is>
      </c>
      <c r="U2121" s="522" t="inlineStr">
        <is>
          <t>L001-901905215</t>
        </is>
      </c>
      <c r="V2121" s="522" t="inlineStr">
        <is>
          <t>វីអ៊ីស៊ិន (ខេមបូឌា) អ៊ិនដាសស្ទ្រី ឯ.ក</t>
        </is>
      </c>
      <c r="W2121" s="556" t="n">
        <v>150294</v>
      </c>
    </row>
    <row r="2122">
      <c r="A2122" s="521" t="n">
        <v>2114</v>
      </c>
      <c r="B2122" s="522" t="inlineStr">
        <is>
          <t>THC Charge</t>
        </is>
      </c>
      <c r="C2122" s="522" t="inlineStr">
        <is>
          <t>អ៊ិចស្ពែឌីធ័រ ខេមបូឌា អិលធីឌី</t>
        </is>
      </c>
      <c r="D2122" s="522" t="inlineStr">
        <is>
          <t>L001-100045898</t>
        </is>
      </c>
      <c r="E2122" s="521" t="inlineStr">
        <is>
          <t>TI-0199451</t>
        </is>
      </c>
      <c r="F2122" s="523" t="n">
        <v>44340</v>
      </c>
      <c r="G2122" s="556" t="n">
        <v>348241</v>
      </c>
      <c r="I2122" s="521">
        <f>G2122</f>
        <v/>
      </c>
      <c r="K2122" s="521">
        <f>I2122-G2122</f>
        <v/>
      </c>
      <c r="M2122" s="522" t="inlineStr">
        <is>
          <t>TI0199451</t>
        </is>
      </c>
      <c r="N2122" s="522" t="inlineStr">
        <is>
          <t>TI0199451</t>
        </is>
      </c>
      <c r="O2122" s="521">
        <f>M2122=N2122</f>
        <v/>
      </c>
      <c r="P2122" s="521">
        <f>AND(MONTH(F2122)=MONTH(S2122), YEAR(F2122)=YEAR(S2122))</f>
        <v/>
      </c>
      <c r="Q2122" s="521">
        <f>U2122="L001-901905215"</f>
        <v/>
      </c>
      <c r="R2122" s="556">
        <f>G2122-W2122</f>
        <v/>
      </c>
      <c r="S2122" s="523" t="n">
        <v>44340</v>
      </c>
      <c r="T2122" s="522" t="inlineStr">
        <is>
          <t>TI-0199451</t>
        </is>
      </c>
      <c r="U2122" s="522" t="inlineStr">
        <is>
          <t>L001-901905215</t>
        </is>
      </c>
      <c r="V2122" s="522" t="inlineStr">
        <is>
          <t>វីអ៊ីស៊ិន (ខេមបូឌា) អ៊ិនដាសស្ទ្រី ឯ.ក</t>
        </is>
      </c>
      <c r="W2122" s="556" t="n">
        <v>348242</v>
      </c>
    </row>
    <row r="2123">
      <c r="A2123" s="521" t="n">
        <v>2115</v>
      </c>
      <c r="B2123" s="522" t="inlineStr">
        <is>
          <t>THC Charge</t>
        </is>
      </c>
      <c r="C2123" s="522" t="inlineStr">
        <is>
          <t>អ៊ិចស្ពែឌីធ័រ ខេមបូឌា អិលធីឌី</t>
        </is>
      </c>
      <c r="D2123" s="522" t="inlineStr">
        <is>
          <t>L001-100045898</t>
        </is>
      </c>
      <c r="E2123" s="521" t="inlineStr">
        <is>
          <t>TI-0199450</t>
        </is>
      </c>
      <c r="F2123" s="523" t="n">
        <v>44340</v>
      </c>
      <c r="G2123" s="556" t="n">
        <v>146221</v>
      </c>
      <c r="I2123" s="521">
        <f>G2123</f>
        <v/>
      </c>
      <c r="K2123" s="521">
        <f>I2123-G2123</f>
        <v/>
      </c>
      <c r="M2123" s="522" t="inlineStr">
        <is>
          <t>TI0199450</t>
        </is>
      </c>
      <c r="N2123" s="522" t="inlineStr">
        <is>
          <t>TI0199450</t>
        </is>
      </c>
      <c r="O2123" s="521">
        <f>M2123=N2123</f>
        <v/>
      </c>
      <c r="P2123" s="521">
        <f>AND(MONTH(F2123)=MONTH(S2123), YEAR(F2123)=YEAR(S2123))</f>
        <v/>
      </c>
      <c r="Q2123" s="521">
        <f>U2123="L001-901905215"</f>
        <v/>
      </c>
      <c r="R2123" s="556">
        <f>G2123-W2123</f>
        <v/>
      </c>
      <c r="S2123" s="523" t="n">
        <v>44340</v>
      </c>
      <c r="T2123" s="522" t="inlineStr">
        <is>
          <t>TI-0199450</t>
        </is>
      </c>
      <c r="U2123" s="522" t="inlineStr">
        <is>
          <t>L001-901905215</t>
        </is>
      </c>
      <c r="V2123" s="522" t="inlineStr">
        <is>
          <t>វីអ៊ីស៊ិន (ខេមបូឌា) អ៊ិនដាសស្ទ្រី ឯ.ក</t>
        </is>
      </c>
      <c r="W2123" s="556" t="n">
        <v>146221</v>
      </c>
    </row>
    <row r="2124">
      <c r="A2124" s="521" t="n">
        <v>2116</v>
      </c>
      <c r="B2124" s="522" t="inlineStr">
        <is>
          <t>THC Charge</t>
        </is>
      </c>
      <c r="C2124" s="522" t="inlineStr">
        <is>
          <t>អ៊ិចស្ពែឌីធ័រ ខេមបូឌា អិលធីឌី</t>
        </is>
      </c>
      <c r="D2124" s="522" t="inlineStr">
        <is>
          <t>L001-100045898</t>
        </is>
      </c>
      <c r="E2124" s="521" t="inlineStr">
        <is>
          <t>TI-0199245</t>
        </is>
      </c>
      <c r="F2124" s="523" t="n">
        <v>44335</v>
      </c>
      <c r="G2124" s="556" t="n">
        <v>488760</v>
      </c>
      <c r="I2124" s="521">
        <f>G2124</f>
        <v/>
      </c>
      <c r="K2124" s="521">
        <f>I2124-G2124</f>
        <v/>
      </c>
      <c r="M2124" s="522" t="inlineStr">
        <is>
          <t>TI0199245</t>
        </is>
      </c>
      <c r="N2124" s="522" t="inlineStr">
        <is>
          <t>TI0199245</t>
        </is>
      </c>
      <c r="O2124" s="521">
        <f>M2124=N2124</f>
        <v/>
      </c>
      <c r="P2124" s="521">
        <f>AND(MONTH(F2124)=MONTH(S2124), YEAR(F2124)=YEAR(S2124))</f>
        <v/>
      </c>
      <c r="Q2124" s="521">
        <f>U2124="L001-901905215"</f>
        <v/>
      </c>
      <c r="R2124" s="556">
        <f>G2124-W2124</f>
        <v/>
      </c>
      <c r="S2124" s="523" t="n">
        <v>44335</v>
      </c>
      <c r="T2124" s="522" t="inlineStr">
        <is>
          <t>TI-0199245</t>
        </is>
      </c>
      <c r="U2124" s="522" t="inlineStr">
        <is>
          <t>L001-901905215</t>
        </is>
      </c>
      <c r="V2124" s="522" t="inlineStr">
        <is>
          <t>វីអ៊ីស៊ិន (ខេមបូឌា) អ៊ិនដាសស្ទ្រី ឯ.ក</t>
        </is>
      </c>
      <c r="W2124" s="556" t="n">
        <v>488760</v>
      </c>
    </row>
    <row r="2125">
      <c r="A2125" s="521" t="n">
        <v>2117</v>
      </c>
      <c r="B2125" s="522" t="inlineStr">
        <is>
          <t>THC Charge</t>
        </is>
      </c>
      <c r="C2125" s="522" t="inlineStr">
        <is>
          <t>អ៊ិចស្ពែឌីធ័រ ខេមបូឌា អិលធីឌី</t>
        </is>
      </c>
      <c r="D2125" s="522" t="inlineStr">
        <is>
          <t>L001-100045898</t>
        </is>
      </c>
      <c r="E2125" s="521" t="inlineStr">
        <is>
          <t>TI-0199244</t>
        </is>
      </c>
      <c r="F2125" s="523" t="n">
        <v>44335</v>
      </c>
      <c r="G2125" s="556" t="n">
        <v>620318</v>
      </c>
      <c r="I2125" s="521">
        <f>G2125</f>
        <v/>
      </c>
      <c r="K2125" s="521">
        <f>I2125-G2125</f>
        <v/>
      </c>
      <c r="M2125" s="522" t="inlineStr">
        <is>
          <t>TI0199244</t>
        </is>
      </c>
      <c r="N2125" s="522" t="inlineStr">
        <is>
          <t>TI0199244</t>
        </is>
      </c>
      <c r="O2125" s="521">
        <f>M2125=N2125</f>
        <v/>
      </c>
      <c r="P2125" s="521">
        <f>AND(MONTH(F2125)=MONTH(S2125), YEAR(F2125)=YEAR(S2125))</f>
        <v/>
      </c>
      <c r="Q2125" s="521">
        <f>U2125="L001-901905215"</f>
        <v/>
      </c>
      <c r="R2125" s="556">
        <f>G2125-W2125</f>
        <v/>
      </c>
      <c r="S2125" s="523" t="n">
        <v>44335</v>
      </c>
      <c r="T2125" s="522" t="inlineStr">
        <is>
          <t>TI-0199244</t>
        </is>
      </c>
      <c r="U2125" s="522" t="inlineStr">
        <is>
          <t>L001-901905215</t>
        </is>
      </c>
      <c r="V2125" s="522" t="inlineStr">
        <is>
          <t>វីអ៊ីស៊ិន (ខេមបូឌា) អ៊ិនដាសស្ទ្រី ឯ.ក</t>
        </is>
      </c>
      <c r="W2125" s="556" t="n">
        <v>620318</v>
      </c>
    </row>
    <row r="2126">
      <c r="A2126" s="521" t="n">
        <v>2118</v>
      </c>
      <c r="B2126" s="522" t="inlineStr">
        <is>
          <t>THC Charge</t>
        </is>
      </c>
      <c r="C2126" s="522" t="inlineStr">
        <is>
          <t>អ៊ិចស្ពែឌីធ័រ ខេមបូឌា អិលធីឌី</t>
        </is>
      </c>
      <c r="D2126" s="522" t="inlineStr">
        <is>
          <t>L001-100045898</t>
        </is>
      </c>
      <c r="E2126" s="521" t="inlineStr">
        <is>
          <t>TI-0199207</t>
        </is>
      </c>
      <c r="F2126" s="523" t="n">
        <v>44334</v>
      </c>
      <c r="G2126" s="556" t="n">
        <v>194282</v>
      </c>
      <c r="I2126" s="521">
        <f>G2126</f>
        <v/>
      </c>
      <c r="K2126" s="521">
        <f>I2126-G2126</f>
        <v/>
      </c>
      <c r="M2126" s="522" t="inlineStr">
        <is>
          <t>TI0199207</t>
        </is>
      </c>
      <c r="N2126" s="522" t="inlineStr">
        <is>
          <t>TI0199207</t>
        </is>
      </c>
      <c r="O2126" s="521">
        <f>M2126=N2126</f>
        <v/>
      </c>
      <c r="P2126" s="521">
        <f>AND(MONTH(F2126)=MONTH(S2126), YEAR(F2126)=YEAR(S2126))</f>
        <v/>
      </c>
      <c r="Q2126" s="521">
        <f>U2126="L001-901905215"</f>
        <v/>
      </c>
      <c r="R2126" s="556">
        <f>G2126-W2126</f>
        <v/>
      </c>
      <c r="S2126" s="523" t="n">
        <v>44334</v>
      </c>
      <c r="T2126" s="522" t="inlineStr">
        <is>
          <t>TI-0199207</t>
        </is>
      </c>
      <c r="U2126" s="522" t="inlineStr">
        <is>
          <t>L001-901905215</t>
        </is>
      </c>
      <c r="V2126" s="522" t="inlineStr">
        <is>
          <t>វីអ៊ីស៊ិន (ខេមបូឌា) អ៊ិនដាសស្ទ្រី ឯ.ក</t>
        </is>
      </c>
      <c r="W2126" s="556" t="n">
        <v>194282</v>
      </c>
    </row>
    <row r="2127">
      <c r="A2127" s="521" t="n">
        <v>2119</v>
      </c>
      <c r="B2127" s="522" t="inlineStr">
        <is>
          <t>THC Charge</t>
        </is>
      </c>
      <c r="C2127" s="522" t="inlineStr">
        <is>
          <t>អ៊ិចស្ពែឌីធ័រ ខេមបូឌា អិលធីឌី</t>
        </is>
      </c>
      <c r="D2127" s="522" t="inlineStr">
        <is>
          <t>L001-100045898</t>
        </is>
      </c>
      <c r="E2127" s="521" t="inlineStr">
        <is>
          <t>TI-0199034</t>
        </is>
      </c>
      <c r="F2127" s="523" t="n">
        <v>44329</v>
      </c>
      <c r="G2127" s="556" t="n">
        <v>230722</v>
      </c>
      <c r="I2127" s="521">
        <f>G2127</f>
        <v/>
      </c>
      <c r="K2127" s="521">
        <f>I2127-G2127</f>
        <v/>
      </c>
      <c r="M2127" s="522" t="inlineStr">
        <is>
          <t>TI0199034</t>
        </is>
      </c>
      <c r="N2127" s="522" t="inlineStr">
        <is>
          <t>TI0199034</t>
        </is>
      </c>
      <c r="O2127" s="521">
        <f>M2127=N2127</f>
        <v/>
      </c>
      <c r="P2127" s="521">
        <f>AND(MONTH(F2127)=MONTH(S2127), YEAR(F2127)=YEAR(S2127))</f>
        <v/>
      </c>
      <c r="Q2127" s="521">
        <f>U2127="L001-901905215"</f>
        <v/>
      </c>
      <c r="R2127" s="556">
        <f>G2127-W2127</f>
        <v/>
      </c>
      <c r="S2127" s="523" t="n">
        <v>44329</v>
      </c>
      <c r="T2127" s="522" t="inlineStr">
        <is>
          <t>TI-0199034</t>
        </is>
      </c>
      <c r="U2127" s="522" t="inlineStr">
        <is>
          <t>L001-901905215</t>
        </is>
      </c>
      <c r="V2127" s="522" t="inlineStr">
        <is>
          <t>វីអ៊ីស៊ិន (ខេមបូឌា) អ៊ិនដាសស្ទ្រី ឯ.ក</t>
        </is>
      </c>
      <c r="W2127" s="556" t="n">
        <v>230892</v>
      </c>
    </row>
    <row r="2128">
      <c r="A2128" s="521" t="n">
        <v>2120</v>
      </c>
      <c r="B2128" s="522" t="inlineStr">
        <is>
          <t>THC Charge</t>
        </is>
      </c>
      <c r="C2128" s="522" t="inlineStr">
        <is>
          <t>អ៊ិចស្ពែឌីធ័រ ខេមបូឌា អិលធីឌី</t>
        </is>
      </c>
      <c r="D2128" s="522" t="inlineStr">
        <is>
          <t>L001-100045898</t>
        </is>
      </c>
      <c r="E2128" s="521" t="inlineStr">
        <is>
          <t>TI-0199033</t>
        </is>
      </c>
      <c r="F2128" s="523" t="n">
        <v>44329</v>
      </c>
      <c r="G2128" s="556" t="n">
        <v>671042</v>
      </c>
      <c r="I2128" s="521">
        <f>G2128</f>
        <v/>
      </c>
      <c r="K2128" s="521">
        <f>I2128-G2128</f>
        <v/>
      </c>
      <c r="M2128" s="522" t="inlineStr">
        <is>
          <t>TI0199033</t>
        </is>
      </c>
      <c r="N2128" s="522" t="inlineStr">
        <is>
          <t>TI0199033</t>
        </is>
      </c>
      <c r="O2128" s="521">
        <f>M2128=N2128</f>
        <v/>
      </c>
      <c r="P2128" s="521">
        <f>AND(MONTH(F2128)=MONTH(S2128), YEAR(F2128)=YEAR(S2128))</f>
        <v/>
      </c>
      <c r="Q2128" s="521">
        <f>U2128="L001-901905215"</f>
        <v/>
      </c>
      <c r="R2128" s="556">
        <f>G2128-W2128</f>
        <v/>
      </c>
      <c r="S2128" s="523" t="n">
        <v>44329</v>
      </c>
      <c r="T2128" s="522" t="inlineStr">
        <is>
          <t>TI-0199033</t>
        </is>
      </c>
      <c r="U2128" s="522" t="inlineStr">
        <is>
          <t>L001-901905215</t>
        </is>
      </c>
      <c r="V2128" s="522" t="inlineStr">
        <is>
          <t>វីអ៊ីស៊ិន (ខេមបូឌា) អ៊ិនដាសស្ទ្រី ឯ.ក</t>
        </is>
      </c>
      <c r="W2128" s="556" t="n">
        <v>671538</v>
      </c>
    </row>
    <row r="2129">
      <c r="A2129" s="521" t="n">
        <v>2121</v>
      </c>
      <c r="B2129" s="522" t="inlineStr">
        <is>
          <t>THC Charge</t>
        </is>
      </c>
      <c r="C2129" s="522" t="inlineStr">
        <is>
          <t>អ៊ិចស្ពែឌីធ័រ ខេមបូឌា អិលធីឌី</t>
        </is>
      </c>
      <c r="D2129" s="522" t="inlineStr">
        <is>
          <t>L001-100045898</t>
        </is>
      </c>
      <c r="E2129" s="521" t="inlineStr">
        <is>
          <t>TI-0199032</t>
        </is>
      </c>
      <c r="F2129" s="523" t="n">
        <v>44327</v>
      </c>
      <c r="G2129" s="556" t="n">
        <v>381828</v>
      </c>
      <c r="I2129" s="521">
        <f>G2129</f>
        <v/>
      </c>
      <c r="K2129" s="521">
        <f>I2129-G2129</f>
        <v/>
      </c>
      <c r="M2129" s="522" t="inlineStr">
        <is>
          <t>TI0199032</t>
        </is>
      </c>
      <c r="N2129" s="522" t="inlineStr">
        <is>
          <t>TI0199032</t>
        </is>
      </c>
      <c r="O2129" s="521">
        <f>M2129=N2129</f>
        <v/>
      </c>
      <c r="P2129" s="521">
        <f>AND(MONTH(F2129)=MONTH(S2129), YEAR(F2129)=YEAR(S2129))</f>
        <v/>
      </c>
      <c r="Q2129" s="521">
        <f>U2129="L001-901905215"</f>
        <v/>
      </c>
      <c r="R2129" s="556">
        <f>G2129-W2129</f>
        <v/>
      </c>
      <c r="S2129" s="523" t="n">
        <v>44329</v>
      </c>
      <c r="T2129" s="522" t="inlineStr">
        <is>
          <t>TI-0199032</t>
        </is>
      </c>
      <c r="U2129" s="522" t="inlineStr">
        <is>
          <t>L001-901905215</t>
        </is>
      </c>
      <c r="V2129" s="522" t="inlineStr">
        <is>
          <t>វីអ៊ីស៊ិន (ខេមបូឌា) អ៊ិនដាសស្ទ្រី ឯ.ក</t>
        </is>
      </c>
      <c r="W2129" s="556" t="n">
        <v>382110</v>
      </c>
    </row>
    <row r="2130">
      <c r="A2130" s="521" t="n">
        <v>2122</v>
      </c>
      <c r="B2130" s="522" t="inlineStr">
        <is>
          <t>THC Charge</t>
        </is>
      </c>
      <c r="C2130" s="522" t="inlineStr">
        <is>
          <t>អ៊ិចស្ពែឌីធ័រ ខេមបូឌា អិលធីឌី</t>
        </is>
      </c>
      <c r="D2130" s="522" t="inlineStr">
        <is>
          <t>L001-100045898</t>
        </is>
      </c>
      <c r="E2130" s="521" t="inlineStr">
        <is>
          <t>TI-0198890</t>
        </is>
      </c>
      <c r="F2130" s="523" t="n">
        <v>44327</v>
      </c>
      <c r="G2130" s="556" t="n">
        <v>114231</v>
      </c>
      <c r="I2130" s="521">
        <f>G2130</f>
        <v/>
      </c>
      <c r="K2130" s="521">
        <f>I2130-G2130</f>
        <v/>
      </c>
      <c r="M2130" s="522" t="inlineStr">
        <is>
          <t>TI0198890</t>
        </is>
      </c>
      <c r="N2130" s="522" t="inlineStr">
        <is>
          <t>TI0198890</t>
        </is>
      </c>
      <c r="O2130" s="521">
        <f>M2130=N2130</f>
        <v/>
      </c>
      <c r="P2130" s="521">
        <f>AND(MONTH(F2130)=MONTH(S2130), YEAR(F2130)=YEAR(S2130))</f>
        <v/>
      </c>
      <c r="Q2130" s="521">
        <f>U2130="L001-901905215"</f>
        <v/>
      </c>
      <c r="R2130" s="556">
        <f>G2130-W2130</f>
        <v/>
      </c>
      <c r="S2130" s="523" t="n">
        <v>44327</v>
      </c>
      <c r="T2130" s="522" t="inlineStr">
        <is>
          <t>TI-0198890</t>
        </is>
      </c>
      <c r="U2130" s="522" t="inlineStr">
        <is>
          <t>L001-901905215</t>
        </is>
      </c>
      <c r="V2130" s="522" t="inlineStr">
        <is>
          <t>វីអ៊ីស៊ិន (ខេមបូឌា) អ៊ិនដាសស្ទ្រី ឯ.ក</t>
        </is>
      </c>
      <c r="W2130" s="556" t="n">
        <v>114223</v>
      </c>
    </row>
    <row r="2131">
      <c r="A2131" s="521" t="n">
        <v>2123</v>
      </c>
      <c r="B2131" s="522" t="inlineStr">
        <is>
          <t>Detention fee</t>
        </is>
      </c>
      <c r="C2131" s="522" t="inlineStr">
        <is>
          <t>អ៊ិចស្ពែឌីធ័រ ខេមបូឌា អិលធីឌី</t>
        </is>
      </c>
      <c r="D2131" s="522" t="inlineStr">
        <is>
          <t>L001-100045898</t>
        </is>
      </c>
      <c r="E2131" s="521" t="inlineStr">
        <is>
          <t>TI-0198637</t>
        </is>
      </c>
      <c r="F2131" s="523" t="n">
        <v>44320</v>
      </c>
      <c r="G2131" s="556" t="n">
        <v>77760</v>
      </c>
      <c r="I2131" s="521">
        <f>G2131</f>
        <v/>
      </c>
      <c r="K2131" s="521">
        <f>I2131-G2131</f>
        <v/>
      </c>
      <c r="M2131" s="522" t="inlineStr">
        <is>
          <t>TI0198637</t>
        </is>
      </c>
      <c r="N2131" s="522" t="inlineStr">
        <is>
          <t>TI0198637</t>
        </is>
      </c>
      <c r="O2131" s="521">
        <f>M2131=N2131</f>
        <v/>
      </c>
      <c r="P2131" s="521">
        <f>AND(MONTH(F2131)=MONTH(S2131), YEAR(F2131)=YEAR(S2131))</f>
        <v/>
      </c>
      <c r="Q2131" s="521">
        <f>U2131="L001-901905215"</f>
        <v/>
      </c>
      <c r="R2131" s="556">
        <f>G2131-W2131</f>
        <v/>
      </c>
      <c r="S2131" s="523" t="n">
        <v>44320</v>
      </c>
      <c r="T2131" s="522" t="inlineStr">
        <is>
          <t>TI-0198637</t>
        </is>
      </c>
      <c r="U2131" s="522" t="inlineStr">
        <is>
          <t>L001-901905215</t>
        </is>
      </c>
      <c r="V2131" s="522" t="inlineStr">
        <is>
          <t>វីអ៊ីស៊ិន (ខេមបូឌា) អ៊ិនដាសស្ទ្រី ឯ.ក</t>
        </is>
      </c>
      <c r="W2131" s="556" t="n">
        <v>77760</v>
      </c>
    </row>
    <row r="2132">
      <c r="A2132" s="521" t="n">
        <v>2124</v>
      </c>
      <c r="B2132" s="522" t="inlineStr">
        <is>
          <t>Export Administration Fee</t>
        </is>
      </c>
      <c r="C2132" s="522" t="inlineStr">
        <is>
          <t>ឆាយ ដា ឡូយីស្ទីក</t>
        </is>
      </c>
      <c r="D2132" s="522" t="inlineStr">
        <is>
          <t>L001-100063098</t>
        </is>
      </c>
      <c r="E2132" s="521" t="inlineStr">
        <is>
          <t>2105004426</t>
        </is>
      </c>
      <c r="F2132" s="523" t="n">
        <v>44326</v>
      </c>
      <c r="G2132" s="556" t="n">
        <v>192444</v>
      </c>
      <c r="I2132" s="521">
        <f>G2132</f>
        <v/>
      </c>
      <c r="K2132" s="521">
        <f>I2132-G2132</f>
        <v/>
      </c>
      <c r="M2132" s="522" t="inlineStr">
        <is>
          <t>2105004426</t>
        </is>
      </c>
      <c r="N2132" s="522" t="inlineStr">
        <is>
          <t>2105004426</t>
        </is>
      </c>
      <c r="O2132" s="521">
        <f>M2132=N2132</f>
        <v/>
      </c>
      <c r="P2132" s="521">
        <f>AND(MONTH(F2132)=MONTH(S2132), YEAR(F2132)=YEAR(S2132))</f>
        <v/>
      </c>
      <c r="Q2132" s="521">
        <f>U2132="L001-901905215"</f>
        <v/>
      </c>
      <c r="R2132" s="556">
        <f>G2132-W2132</f>
        <v/>
      </c>
      <c r="S2132" s="523" t="n">
        <v>44326</v>
      </c>
      <c r="T2132" s="522" t="inlineStr">
        <is>
          <t>2105004426</t>
        </is>
      </c>
      <c r="U2132" s="522" t="inlineStr">
        <is>
          <t>L001-901905215</t>
        </is>
      </c>
      <c r="V2132" s="522" t="inlineStr">
        <is>
          <t>វីអ៊ីស៊ិន (ខេមបូឌា) អ៊ិនដាសស្ទ្រី ឯ.ក</t>
        </is>
      </c>
      <c r="W2132" s="556" t="n">
        <v>192444</v>
      </c>
    </row>
    <row r="2133">
      <c r="A2133" s="521" t="n">
        <v>2125</v>
      </c>
      <c r="B2133" s="522" t="inlineStr">
        <is>
          <t>កេសកាតុង</t>
        </is>
      </c>
      <c r="C2133" s="522" t="inlineStr">
        <is>
          <t>ស៊ីងហ្គាពួរ កាតុង (ខេមបូឌា)</t>
        </is>
      </c>
      <c r="D2133" s="522" t="inlineStr">
        <is>
          <t>L001-100121322</t>
        </is>
      </c>
      <c r="E2133" s="521" t="inlineStr">
        <is>
          <t>V0016225</t>
        </is>
      </c>
      <c r="F2133" s="523" t="n">
        <v>44335</v>
      </c>
      <c r="G2133" s="556" t="n">
        <v>822868</v>
      </c>
      <c r="I2133" s="521">
        <f>G2133</f>
        <v/>
      </c>
      <c r="K2133" s="521">
        <f>I2133-G2133</f>
        <v/>
      </c>
      <c r="M2133" s="522" t="inlineStr">
        <is>
          <t>V0016225</t>
        </is>
      </c>
      <c r="N2133" s="522" t="inlineStr">
        <is>
          <t>V0016225</t>
        </is>
      </c>
      <c r="O2133" s="521">
        <f>M2133=N2133</f>
        <v/>
      </c>
      <c r="P2133" s="521">
        <f>AND(MONTH(F2133)=MONTH(S2133), YEAR(F2133)=YEAR(S2133))</f>
        <v/>
      </c>
      <c r="Q2133" s="521">
        <f>U2133="L001-901905215"</f>
        <v/>
      </c>
      <c r="R2133" s="556">
        <f>G2133-W2133</f>
        <v/>
      </c>
      <c r="S2133" s="523" t="n">
        <v>44335</v>
      </c>
      <c r="T2133" s="522" t="inlineStr">
        <is>
          <t>V0016225</t>
        </is>
      </c>
      <c r="U2133" s="522" t="inlineStr">
        <is>
          <t>L001-901905215</t>
        </is>
      </c>
      <c r="V2133" s="522" t="inlineStr">
        <is>
          <t>វីអ៊ីស៊ិន (ខេមបូឌា) អ៊ិនដាសស្ទ្រី ឯ.ក</t>
        </is>
      </c>
      <c r="W2133" s="556" t="n">
        <v>822666</v>
      </c>
    </row>
    <row r="2134">
      <c r="A2134" s="521" t="n">
        <v>2126</v>
      </c>
      <c r="B2134" s="522" t="inlineStr">
        <is>
          <t>កេសកាតុង</t>
        </is>
      </c>
      <c r="C2134" s="522" t="inlineStr">
        <is>
          <t>ស៊ីងហ្គាពួរ កាតុង (ខេមបូឌា)</t>
        </is>
      </c>
      <c r="D2134" s="522" t="inlineStr">
        <is>
          <t>L001-100121322</t>
        </is>
      </c>
      <c r="E2134" s="521" t="inlineStr">
        <is>
          <t>V0016234</t>
        </is>
      </c>
      <c r="F2134" s="523" t="n">
        <v>44336</v>
      </c>
      <c r="G2134" s="556" t="n">
        <v>740020</v>
      </c>
      <c r="I2134" s="521">
        <f>G2134</f>
        <v/>
      </c>
      <c r="K2134" s="521">
        <f>I2134-G2134</f>
        <v/>
      </c>
      <c r="M2134" s="522" t="inlineStr">
        <is>
          <t>V0016234</t>
        </is>
      </c>
      <c r="N2134" s="522" t="inlineStr">
        <is>
          <t>V0016234</t>
        </is>
      </c>
      <c r="O2134" s="521">
        <f>M2134=N2134</f>
        <v/>
      </c>
      <c r="P2134" s="521">
        <f>AND(MONTH(F2134)=MONTH(S2134), YEAR(F2134)=YEAR(S2134))</f>
        <v/>
      </c>
      <c r="Q2134" s="521">
        <f>U2134="L001-901905215"</f>
        <v/>
      </c>
      <c r="R2134" s="556">
        <f>G2134-W2134</f>
        <v/>
      </c>
      <c r="S2134" s="523" t="n">
        <v>44336</v>
      </c>
      <c r="T2134" s="522" t="inlineStr">
        <is>
          <t>V0016234</t>
        </is>
      </c>
      <c r="U2134" s="522" t="inlineStr">
        <is>
          <t>L001-901905215</t>
        </is>
      </c>
      <c r="V2134" s="522" t="inlineStr">
        <is>
          <t>វីអ៊ីស៊ិន (ខេមបូឌា) អ៊ិនដាសស្ទ្រី ឯ.ក</t>
        </is>
      </c>
      <c r="W2134" s="556" t="n">
        <v>739475</v>
      </c>
    </row>
    <row r="2135">
      <c r="A2135" s="521" t="n">
        <v>2127</v>
      </c>
      <c r="B2135" s="522" t="inlineStr">
        <is>
          <t>កេសកាតុង</t>
        </is>
      </c>
      <c r="C2135" s="522" t="inlineStr">
        <is>
          <t>ស៊ីងហ្គាពួរ កាតុង (ខេមបូឌា)</t>
        </is>
      </c>
      <c r="D2135" s="522" t="inlineStr">
        <is>
          <t>L001-100121322</t>
        </is>
      </c>
      <c r="E2135" s="521" t="inlineStr">
        <is>
          <t>V0016239</t>
        </is>
      </c>
      <c r="F2135" s="523" t="n">
        <v>44336</v>
      </c>
      <c r="G2135" s="556" t="n">
        <v>192035</v>
      </c>
      <c r="I2135" s="521">
        <f>G2135</f>
        <v/>
      </c>
      <c r="K2135" s="521">
        <f>I2135-G2135</f>
        <v/>
      </c>
      <c r="M2135" s="522" t="inlineStr">
        <is>
          <t>V0016239</t>
        </is>
      </c>
      <c r="N2135" s="522" t="inlineStr">
        <is>
          <t>V0016239</t>
        </is>
      </c>
      <c r="O2135" s="521">
        <f>M2135=N2135</f>
        <v/>
      </c>
      <c r="P2135" s="521">
        <f>AND(MONTH(F2135)=MONTH(S2135), YEAR(F2135)=YEAR(S2135))</f>
        <v/>
      </c>
      <c r="Q2135" s="521">
        <f>U2135="L001-901905215"</f>
        <v/>
      </c>
      <c r="R2135" s="556">
        <f>G2135-W2135</f>
        <v/>
      </c>
      <c r="S2135" s="523" t="n">
        <v>44336</v>
      </c>
      <c r="T2135" s="522" t="inlineStr">
        <is>
          <t>V0016239</t>
        </is>
      </c>
      <c r="U2135" s="522" t="inlineStr">
        <is>
          <t>L001-901905215</t>
        </is>
      </c>
      <c r="V2135" s="522" t="inlineStr">
        <is>
          <t>វីអ៊ីស៊ិន (ខេមបូឌា) អ៊ិនដាសស្ទ្រី ឯ.ក</t>
        </is>
      </c>
      <c r="W2135" s="556" t="n">
        <v>191895</v>
      </c>
    </row>
    <row r="2136">
      <c r="A2136" s="521" t="n">
        <v>2128</v>
      </c>
      <c r="B2136" s="522" t="inlineStr">
        <is>
          <t>កេសកាតុង</t>
        </is>
      </c>
      <c r="C2136" s="522" t="inlineStr">
        <is>
          <t>ស៊ីងហ្គាពួរ កាតុង (ខេមបូឌា)</t>
        </is>
      </c>
      <c r="D2136" s="522" t="inlineStr">
        <is>
          <t>L001-100121322</t>
        </is>
      </c>
      <c r="E2136" s="521" t="inlineStr">
        <is>
          <t>V0016263</t>
        </is>
      </c>
      <c r="F2136" s="523" t="n">
        <v>44338</v>
      </c>
      <c r="G2136" s="556" t="n">
        <v>48930</v>
      </c>
      <c r="I2136" s="521">
        <f>G2136</f>
        <v/>
      </c>
      <c r="K2136" s="521">
        <f>I2136-G2136</f>
        <v/>
      </c>
      <c r="M2136" s="522" t="inlineStr">
        <is>
          <t>V0016263</t>
        </is>
      </c>
      <c r="N2136" s="522" t="inlineStr">
        <is>
          <t>V0016263</t>
        </is>
      </c>
      <c r="O2136" s="521">
        <f>M2136=N2136</f>
        <v/>
      </c>
      <c r="P2136" s="521">
        <f>AND(MONTH(F2136)=MONTH(S2136), YEAR(F2136)=YEAR(S2136))</f>
        <v/>
      </c>
      <c r="Q2136" s="521">
        <f>U2136="L001-901905215"</f>
        <v/>
      </c>
      <c r="R2136" s="556">
        <f>G2136-W2136</f>
        <v/>
      </c>
      <c r="S2136" s="523" t="n">
        <v>44338</v>
      </c>
      <c r="T2136" s="522" t="inlineStr">
        <is>
          <t>V0016263</t>
        </is>
      </c>
      <c r="U2136" s="522" t="inlineStr">
        <is>
          <t>L001-901905215</t>
        </is>
      </c>
      <c r="V2136" s="522" t="inlineStr">
        <is>
          <t>វីអ៊ីស៊ិន (ខេមបូឌា) អ៊ិនដាសស្ទ្រី ឯ.ក</t>
        </is>
      </c>
      <c r="W2136" s="556" t="n">
        <v>48894</v>
      </c>
    </row>
    <row r="2137">
      <c r="A2137" s="521" t="n">
        <v>2129</v>
      </c>
      <c r="B2137" s="522" t="inlineStr">
        <is>
          <t>កេសកាតុង</t>
        </is>
      </c>
      <c r="C2137" s="522" t="inlineStr">
        <is>
          <t>ស៊ីងហ្គាពួរ កាតុង (ខេមបូឌា)</t>
        </is>
      </c>
      <c r="D2137" s="522" t="inlineStr">
        <is>
          <t>L001-100121322</t>
        </is>
      </c>
      <c r="E2137" s="521" t="inlineStr">
        <is>
          <t>V0016279</t>
        </is>
      </c>
      <c r="F2137" s="523" t="n">
        <v>44340</v>
      </c>
      <c r="G2137" s="556" t="n">
        <v>798308</v>
      </c>
      <c r="I2137" s="521">
        <f>G2137</f>
        <v/>
      </c>
      <c r="K2137" s="521">
        <f>I2137-G2137</f>
        <v/>
      </c>
      <c r="M2137" s="522" t="inlineStr">
        <is>
          <t>V0016279</t>
        </is>
      </c>
      <c r="N2137" s="522" t="inlineStr">
        <is>
          <t>V0016279</t>
        </is>
      </c>
      <c r="O2137" s="521">
        <f>M2137=N2137</f>
        <v/>
      </c>
      <c r="P2137" s="521">
        <f>AND(MONTH(F2137)=MONTH(S2137), YEAR(F2137)=YEAR(S2137))</f>
        <v/>
      </c>
      <c r="Q2137" s="521">
        <f>U2137="L001-901905215"</f>
        <v/>
      </c>
      <c r="R2137" s="556">
        <f>G2137-W2137</f>
        <v/>
      </c>
      <c r="S2137" s="523" t="n">
        <v>44340</v>
      </c>
      <c r="T2137" s="522" t="inlineStr">
        <is>
          <t>V0016279</t>
        </is>
      </c>
      <c r="U2137" s="522" t="inlineStr">
        <is>
          <t>L001-901905215</t>
        </is>
      </c>
      <c r="V2137" s="522" t="inlineStr">
        <is>
          <t>វីអ៊ីស៊ិន (ខេមបូឌា) អ៊ិនដាសស្ទ្រី ឯ.ក</t>
        </is>
      </c>
      <c r="W2137" s="556" t="n">
        <v>798112</v>
      </c>
    </row>
    <row r="2138">
      <c r="A2138" s="521" t="n">
        <v>2130</v>
      </c>
      <c r="B2138" s="522" t="inlineStr">
        <is>
          <t>កេសកាតុង</t>
        </is>
      </c>
      <c r="C2138" s="522" t="inlineStr">
        <is>
          <t>ស៊ីងហ្គាពួរ កាតុង (ខេមបូឌា)</t>
        </is>
      </c>
      <c r="D2138" s="522" t="inlineStr">
        <is>
          <t>L001-100121322</t>
        </is>
      </c>
      <c r="E2138" s="521" t="inlineStr">
        <is>
          <t>V0016298</t>
        </is>
      </c>
      <c r="F2138" s="523" t="n">
        <v>44341</v>
      </c>
      <c r="G2138" s="556" t="n">
        <v>638646</v>
      </c>
      <c r="I2138" s="521">
        <f>G2138</f>
        <v/>
      </c>
      <c r="K2138" s="521">
        <f>I2138-G2138</f>
        <v/>
      </c>
      <c r="M2138" s="522" t="inlineStr">
        <is>
          <t>V0016298</t>
        </is>
      </c>
      <c r="N2138" s="522" t="inlineStr">
        <is>
          <t>V0016298</t>
        </is>
      </c>
      <c r="O2138" s="521">
        <f>M2138=N2138</f>
        <v/>
      </c>
      <c r="P2138" s="521">
        <f>AND(MONTH(F2138)=MONTH(S2138), YEAR(F2138)=YEAR(S2138))</f>
        <v/>
      </c>
      <c r="Q2138" s="521">
        <f>U2138="L001-901905215"</f>
        <v/>
      </c>
      <c r="R2138" s="556">
        <f>G2138-W2138</f>
        <v/>
      </c>
      <c r="S2138" s="523" t="n">
        <v>44341</v>
      </c>
      <c r="T2138" s="522" t="inlineStr">
        <is>
          <t>V0016298</t>
        </is>
      </c>
      <c r="U2138" s="522" t="inlineStr">
        <is>
          <t>L001-901905215</t>
        </is>
      </c>
      <c r="V2138" s="522" t="inlineStr">
        <is>
          <t>វីអ៊ីស៊ិន (ខេមបូឌា) អ៊ិនដាសស្ទ្រី ឯ.ក</t>
        </is>
      </c>
      <c r="W2138" s="556" t="n">
        <v>638490</v>
      </c>
    </row>
    <row r="2139">
      <c r="A2139" s="521" t="n">
        <v>2131</v>
      </c>
      <c r="B2139" s="522" t="inlineStr">
        <is>
          <t>កេសកាតុង</t>
        </is>
      </c>
      <c r="C2139" s="522" t="inlineStr">
        <is>
          <t>ស៊ីងហ្គាពួរ កាតុង (ខេមបូឌា)</t>
        </is>
      </c>
      <c r="D2139" s="522" t="inlineStr">
        <is>
          <t>L001-100121322</t>
        </is>
      </c>
      <c r="E2139" s="521" t="inlineStr">
        <is>
          <t>V0016299</t>
        </is>
      </c>
      <c r="F2139" s="523" t="n">
        <v>44341</v>
      </c>
      <c r="G2139" s="556" t="n">
        <v>581168</v>
      </c>
      <c r="I2139" s="521">
        <f>G2139</f>
        <v/>
      </c>
      <c r="K2139" s="521">
        <f>I2139-G2139</f>
        <v/>
      </c>
      <c r="M2139" s="522" t="inlineStr">
        <is>
          <t>V0016299</t>
        </is>
      </c>
      <c r="N2139" s="522" t="inlineStr">
        <is>
          <t>V0016299</t>
        </is>
      </c>
      <c r="O2139" s="521">
        <f>M2139=N2139</f>
        <v/>
      </c>
      <c r="P2139" s="521">
        <f>AND(MONTH(F2139)=MONTH(S2139), YEAR(F2139)=YEAR(S2139))</f>
        <v/>
      </c>
      <c r="Q2139" s="521">
        <f>U2139="L001-901905215"</f>
        <v/>
      </c>
      <c r="R2139" s="556">
        <f>G2139-W2139</f>
        <v/>
      </c>
      <c r="S2139" s="523" t="n">
        <v>44341</v>
      </c>
      <c r="T2139" s="522" t="inlineStr">
        <is>
          <t>V0016299</t>
        </is>
      </c>
      <c r="U2139" s="522" t="inlineStr">
        <is>
          <t>L001-901905215</t>
        </is>
      </c>
      <c r="V2139" s="522" t="inlineStr">
        <is>
          <t>វីអ៊ីស៊ិន (ខេមបូឌា) អ៊ិនដាសស្ទ្រី ឯ.ក</t>
        </is>
      </c>
      <c r="W2139" s="556" t="n">
        <v>581026</v>
      </c>
    </row>
    <row r="2140">
      <c r="A2140" s="521" t="n">
        <v>2132</v>
      </c>
      <c r="B2140" s="522" t="inlineStr">
        <is>
          <t>កេសកាតុង</t>
        </is>
      </c>
      <c r="C2140" s="522" t="inlineStr">
        <is>
          <t>ស៊ីងហ្គាពួរ កាតុង (ខេមបូឌា)</t>
        </is>
      </c>
      <c r="D2140" s="522" t="inlineStr">
        <is>
          <t>L001-100121322</t>
        </is>
      </c>
      <c r="E2140" s="521" t="inlineStr">
        <is>
          <t>V0016317</t>
        </is>
      </c>
      <c r="F2140" s="523" t="n">
        <v>44343</v>
      </c>
      <c r="G2140" s="556" t="n">
        <v>18540</v>
      </c>
      <c r="I2140" s="521">
        <f>G2140</f>
        <v/>
      </c>
      <c r="K2140" s="521">
        <f>I2140-G2140</f>
        <v/>
      </c>
      <c r="M2140" s="522" t="inlineStr">
        <is>
          <t>V0016317</t>
        </is>
      </c>
      <c r="N2140" s="522" t="inlineStr">
        <is>
          <t>V0016317</t>
        </is>
      </c>
      <c r="O2140" s="521">
        <f>M2140=N2140</f>
        <v/>
      </c>
      <c r="P2140" s="521">
        <f>AND(MONTH(F2140)=MONTH(S2140), YEAR(F2140)=YEAR(S2140))</f>
        <v/>
      </c>
      <c r="Q2140" s="521">
        <f>U2140="L001-901905215"</f>
        <v/>
      </c>
      <c r="R2140" s="556">
        <f>G2140-W2140</f>
        <v/>
      </c>
      <c r="S2140" s="523" t="n">
        <v>44343</v>
      </c>
      <c r="T2140" s="522" t="inlineStr">
        <is>
          <t>V0016317</t>
        </is>
      </c>
      <c r="U2140" s="522" t="inlineStr">
        <is>
          <t>L001-901905215</t>
        </is>
      </c>
      <c r="V2140" s="522" t="inlineStr">
        <is>
          <t>វីអ៊ីស៊ិន (ខេមបូឌា) អ៊ិនដាសស្ទ្រី ឯ.ក</t>
        </is>
      </c>
      <c r="W2140" s="556" t="n">
        <v>18550</v>
      </c>
    </row>
    <row r="2141">
      <c r="A2141" s="521" t="n">
        <v>2133</v>
      </c>
      <c r="B2141" s="522" t="inlineStr">
        <is>
          <t>កេសកាតុង</t>
        </is>
      </c>
      <c r="C2141" s="522" t="inlineStr">
        <is>
          <t>ស៊ីងហ្គាពួរ កាតុង (ខេមបូឌា)</t>
        </is>
      </c>
      <c r="D2141" s="522" t="inlineStr">
        <is>
          <t>L001-100121322</t>
        </is>
      </c>
      <c r="E2141" s="521" t="inlineStr">
        <is>
          <t>V0016318</t>
        </is>
      </c>
      <c r="F2141" s="523" t="n">
        <v>44343</v>
      </c>
      <c r="G2141" s="556" t="n">
        <v>171480</v>
      </c>
      <c r="I2141" s="521">
        <f>G2141</f>
        <v/>
      </c>
      <c r="K2141" s="521">
        <f>I2141-G2141</f>
        <v/>
      </c>
      <c r="M2141" s="522" t="inlineStr">
        <is>
          <t>V0016318</t>
        </is>
      </c>
      <c r="N2141" s="522" t="inlineStr">
        <is>
          <t>V0016318</t>
        </is>
      </c>
      <c r="O2141" s="521">
        <f>M2141=N2141</f>
        <v/>
      </c>
      <c r="P2141" s="521">
        <f>AND(MONTH(F2141)=MONTH(S2141), YEAR(F2141)=YEAR(S2141))</f>
        <v/>
      </c>
      <c r="Q2141" s="521">
        <f>U2141="L001-901905215"</f>
        <v/>
      </c>
      <c r="R2141" s="556">
        <f>G2141-W2141</f>
        <v/>
      </c>
      <c r="S2141" s="523" t="n">
        <v>44343</v>
      </c>
      <c r="T2141" s="522" t="inlineStr">
        <is>
          <t>V0016318</t>
        </is>
      </c>
      <c r="U2141" s="522" t="inlineStr">
        <is>
          <t>L001-901905215</t>
        </is>
      </c>
      <c r="V2141" s="522" t="inlineStr">
        <is>
          <t>វីអ៊ីស៊ិន (ខេមបូឌា) អ៊ិនដាសស្ទ្រី ឯ.ក</t>
        </is>
      </c>
      <c r="W2141" s="556" t="n">
        <v>171564</v>
      </c>
    </row>
    <row r="2142">
      <c r="A2142" s="521" t="n">
        <v>2134</v>
      </c>
      <c r="B2142" s="522" t="inlineStr">
        <is>
          <t>កេសកាតុង</t>
        </is>
      </c>
      <c r="C2142" s="522" t="inlineStr">
        <is>
          <t>ស៊ីងហ្គាពួរ កាតុង (ខេមបូឌា)</t>
        </is>
      </c>
      <c r="D2142" s="522" t="inlineStr">
        <is>
          <t>L001-100121322</t>
        </is>
      </c>
      <c r="E2142" s="521" t="inlineStr">
        <is>
          <t>V0016344</t>
        </is>
      </c>
      <c r="F2142" s="523" t="n">
        <v>44347</v>
      </c>
      <c r="G2142" s="556" t="n">
        <v>654851</v>
      </c>
      <c r="I2142" s="521">
        <f>G2142</f>
        <v/>
      </c>
      <c r="K2142" s="521">
        <f>I2142-G2142</f>
        <v/>
      </c>
      <c r="M2142" s="522" t="inlineStr">
        <is>
          <t>V0016344</t>
        </is>
      </c>
      <c r="N2142" s="522" t="inlineStr">
        <is>
          <t>V0016344</t>
        </is>
      </c>
      <c r="O2142" s="521">
        <f>M2142=N2142</f>
        <v/>
      </c>
      <c r="P2142" s="521">
        <f>AND(MONTH(F2142)=MONTH(S2142), YEAR(F2142)=YEAR(S2142))</f>
        <v/>
      </c>
      <c r="Q2142" s="521">
        <f>U2142="L001-901905215"</f>
        <v/>
      </c>
      <c r="R2142" s="556">
        <f>G2142-W2142</f>
        <v/>
      </c>
      <c r="S2142" s="523" t="n">
        <v>44347</v>
      </c>
      <c r="T2142" s="522" t="inlineStr">
        <is>
          <t>V0016344</t>
        </is>
      </c>
      <c r="U2142" s="522" t="inlineStr">
        <is>
          <t>L001-901905215</t>
        </is>
      </c>
      <c r="V2142" s="522" t="inlineStr">
        <is>
          <t>វីអ៊ីស៊ិន (ខេមបូឌា) អ៊ិនដាសស្ទ្រី ឯ.ក</t>
        </is>
      </c>
      <c r="W2142" s="556" t="n">
        <v>654852</v>
      </c>
    </row>
    <row r="2143">
      <c r="A2143" s="521" t="n">
        <v>2135</v>
      </c>
      <c r="B2143" s="522" t="inlineStr">
        <is>
          <t>កេសកាតុង</t>
        </is>
      </c>
      <c r="C2143" s="522" t="inlineStr">
        <is>
          <t>ស៊ីងហ្គាពួរ កាតុង (ខេមបូឌា)</t>
        </is>
      </c>
      <c r="D2143" s="522" t="inlineStr">
        <is>
          <t>L001-100121322</t>
        </is>
      </c>
      <c r="E2143" s="521" t="inlineStr">
        <is>
          <t>V0016346</t>
        </is>
      </c>
      <c r="F2143" s="523" t="n">
        <v>44347</v>
      </c>
      <c r="G2143" s="556" t="n">
        <v>449158</v>
      </c>
      <c r="I2143" s="521">
        <f>G2143</f>
        <v/>
      </c>
      <c r="K2143" s="521">
        <f>I2143-G2143</f>
        <v/>
      </c>
      <c r="M2143" s="522" t="inlineStr">
        <is>
          <t>V0016346</t>
        </is>
      </c>
      <c r="N2143" s="522" t="inlineStr">
        <is>
          <t>V0016346</t>
        </is>
      </c>
      <c r="O2143" s="521">
        <f>M2143=N2143</f>
        <v/>
      </c>
      <c r="P2143" s="521">
        <f>AND(MONTH(F2143)=MONTH(S2143), YEAR(F2143)=YEAR(S2143))</f>
        <v/>
      </c>
      <c r="Q2143" s="521">
        <f>U2143="L001-901905215"</f>
        <v/>
      </c>
      <c r="R2143" s="556">
        <f>G2143-W2143</f>
        <v/>
      </c>
      <c r="S2143" s="523" t="n">
        <v>44347</v>
      </c>
      <c r="T2143" s="522" t="inlineStr">
        <is>
          <t>V0016346</t>
        </is>
      </c>
      <c r="U2143" s="522" t="inlineStr">
        <is>
          <t>L001-901905215</t>
        </is>
      </c>
      <c r="V2143" s="522" t="inlineStr">
        <is>
          <t>វីអ៊ីស៊ិន (ខេមបូឌា) អ៊ិនដាសស្ទ្រី ឯ.ក</t>
        </is>
      </c>
      <c r="W2143" s="556" t="n">
        <v>449156</v>
      </c>
    </row>
    <row r="2144">
      <c r="A2144" s="521" t="n">
        <v>2136</v>
      </c>
      <c r="B2144" s="522" t="inlineStr">
        <is>
          <t>កេសកាតុង</t>
        </is>
      </c>
      <c r="C2144" s="522" t="inlineStr">
        <is>
          <t>ស៊ីងហ្គាពួរ កាតុង (ខេមបូឌា)</t>
        </is>
      </c>
      <c r="D2144" s="522" t="inlineStr">
        <is>
          <t>L001-100121322</t>
        </is>
      </c>
      <c r="E2144" s="521" t="inlineStr">
        <is>
          <t>V0016061</t>
        </is>
      </c>
      <c r="F2144" s="523" t="n">
        <v>44317</v>
      </c>
      <c r="G2144" s="556" t="n">
        <v>565450</v>
      </c>
      <c r="I2144" s="521">
        <f>G2144</f>
        <v/>
      </c>
      <c r="K2144" s="521">
        <f>I2144-G2144</f>
        <v/>
      </c>
      <c r="M2144" s="522" t="inlineStr">
        <is>
          <t>V0016061</t>
        </is>
      </c>
      <c r="N2144" s="522" t="inlineStr"/>
      <c r="O2144" s="521">
        <f>M2144=N2144</f>
        <v/>
      </c>
      <c r="P2144" s="521">
        <f>AND(MONTH(F2144)=MONTH(S2144), YEAR(F2144)=YEAR(S2144))</f>
        <v/>
      </c>
      <c r="Q2144" s="521">
        <f>U2144="L001-901905215"</f>
        <v/>
      </c>
      <c r="R2144" s="556">
        <f>G2144-W2144</f>
        <v/>
      </c>
      <c r="S2144" s="521" t="n"/>
      <c r="T2144" s="522" t="n"/>
      <c r="U2144" s="522" t="n"/>
      <c r="V2144" s="522" t="n"/>
      <c r="W2144" s="521" t="n"/>
    </row>
    <row r="2145">
      <c r="A2145" s="521" t="n">
        <v>2137</v>
      </c>
      <c r="B2145" s="522" t="inlineStr">
        <is>
          <t>កេសកាតុង</t>
        </is>
      </c>
      <c r="C2145" s="522" t="inlineStr">
        <is>
          <t>ស៊ីងហ្គាពួរ កាតុង (ខេមបូឌា)</t>
        </is>
      </c>
      <c r="D2145" s="522" t="inlineStr">
        <is>
          <t>L001-100121322</t>
        </is>
      </c>
      <c r="E2145" s="521" t="inlineStr">
        <is>
          <t>V0016062</t>
        </is>
      </c>
      <c r="F2145" s="523" t="n">
        <v>44317</v>
      </c>
      <c r="G2145" s="556" t="n">
        <v>104110</v>
      </c>
      <c r="I2145" s="521">
        <f>G2145</f>
        <v/>
      </c>
      <c r="K2145" s="521">
        <f>I2145-G2145</f>
        <v/>
      </c>
      <c r="M2145" s="522" t="inlineStr">
        <is>
          <t>V0016062</t>
        </is>
      </c>
      <c r="N2145" s="522" t="inlineStr"/>
      <c r="O2145" s="521">
        <f>M2145=N2145</f>
        <v/>
      </c>
      <c r="P2145" s="521">
        <f>AND(MONTH(F2145)=MONTH(S2145), YEAR(F2145)=YEAR(S2145))</f>
        <v/>
      </c>
      <c r="Q2145" s="521">
        <f>U2145="L001-901905215"</f>
        <v/>
      </c>
      <c r="R2145" s="556">
        <f>G2145-W2145</f>
        <v/>
      </c>
      <c r="S2145" s="521" t="n"/>
      <c r="T2145" s="522" t="n"/>
      <c r="U2145" s="522" t="n"/>
      <c r="V2145" s="522" t="n"/>
      <c r="W2145" s="521" t="n"/>
    </row>
    <row r="2146">
      <c r="A2146" s="521" t="n">
        <v>2138</v>
      </c>
      <c r="B2146" s="522" t="inlineStr">
        <is>
          <t>កេសកាតុង</t>
        </is>
      </c>
      <c r="C2146" s="522" t="inlineStr">
        <is>
          <t>ស៊ីងហ្គាពួរ កាតុង (ខេមបូឌា)</t>
        </is>
      </c>
      <c r="D2146" s="522" t="inlineStr">
        <is>
          <t>L001-100121322</t>
        </is>
      </c>
      <c r="E2146" s="521" t="inlineStr">
        <is>
          <t>V0016125</t>
        </is>
      </c>
      <c r="F2146" s="523" t="n">
        <v>44329</v>
      </c>
      <c r="G2146" s="556" t="n">
        <v>7408</v>
      </c>
      <c r="I2146" s="521">
        <f>G2146</f>
        <v/>
      </c>
      <c r="K2146" s="521">
        <f>I2146-G2146</f>
        <v/>
      </c>
      <c r="M2146" s="522" t="inlineStr">
        <is>
          <t>V0016125</t>
        </is>
      </c>
      <c r="N2146" s="522" t="inlineStr"/>
      <c r="O2146" s="521">
        <f>M2146=N2146</f>
        <v/>
      </c>
      <c r="P2146" s="521">
        <f>AND(MONTH(F2146)=MONTH(S2146), YEAR(F2146)=YEAR(S2146))</f>
        <v/>
      </c>
      <c r="Q2146" s="521">
        <f>U2146="L001-901905215"</f>
        <v/>
      </c>
      <c r="R2146" s="556">
        <f>G2146-W2146</f>
        <v/>
      </c>
      <c r="S2146" s="521" t="n"/>
      <c r="T2146" s="522" t="n"/>
      <c r="U2146" s="522" t="n"/>
      <c r="V2146" s="522" t="n"/>
      <c r="W2146" s="521" t="n"/>
    </row>
    <row r="2147">
      <c r="A2147" s="521" t="n">
        <v>2139</v>
      </c>
      <c r="B2147" s="522" t="inlineStr">
        <is>
          <t>Color Box,Paper card,PDQ</t>
        </is>
      </c>
      <c r="C2147" s="522" t="inlineStr">
        <is>
          <t>ហឺ ចេង ស៊ីង ភែកឃីជីង (ខេមបូឌា) ឯ.ក</t>
        </is>
      </c>
      <c r="D2147" s="522" t="inlineStr">
        <is>
          <t>L001-902004143</t>
        </is>
      </c>
      <c r="E2147" s="521" t="inlineStr">
        <is>
          <t>00154</t>
        </is>
      </c>
      <c r="F2147" s="523" t="n">
        <v>44347</v>
      </c>
      <c r="G2147" s="556" t="n">
        <v>15733123</v>
      </c>
      <c r="I2147" s="521">
        <f>G2147</f>
        <v/>
      </c>
      <c r="K2147" s="521">
        <f>I2147-G2147</f>
        <v/>
      </c>
      <c r="M2147" s="522" t="inlineStr">
        <is>
          <t>00154</t>
        </is>
      </c>
      <c r="N2147" s="522" t="inlineStr">
        <is>
          <t>00154</t>
        </is>
      </c>
      <c r="O2147" s="521">
        <f>M2147=N2147</f>
        <v/>
      </c>
      <c r="P2147" s="521">
        <f>AND(MONTH(F2147)=MONTH(S2147), YEAR(F2147)=YEAR(S2147))</f>
        <v/>
      </c>
      <c r="Q2147" s="521">
        <f>U2147="L001-901905215"</f>
        <v/>
      </c>
      <c r="R2147" s="556">
        <f>G2147-W2147</f>
        <v/>
      </c>
      <c r="S2147" s="523" t="n">
        <v>44347</v>
      </c>
      <c r="T2147" s="522" t="inlineStr">
        <is>
          <t>00154</t>
        </is>
      </c>
      <c r="U2147" s="522" t="inlineStr">
        <is>
          <t>L001-901905215</t>
        </is>
      </c>
      <c r="V2147" s="522" t="inlineStr">
        <is>
          <t>វីអ៊ីស៊ិន (ខេមបូឌា) អ៊ិនដាសស្ទ្រី ឯ.ក</t>
        </is>
      </c>
      <c r="W2147" s="556" t="n">
        <v>15733125</v>
      </c>
    </row>
    <row r="2148">
      <c r="A2148" s="521" t="n">
        <v>2140</v>
      </c>
      <c r="B2148" s="522" t="inlineStr">
        <is>
          <t>ផ្លាកក្រដាសនិងក្រដាស</t>
        </is>
      </c>
      <c r="C2148" s="522" t="inlineStr">
        <is>
          <t>ដុងគ័ន ស៊ីធី ហ្វាញស្តារ ព្រីនធីង (ខេមបូឌា)</t>
        </is>
      </c>
      <c r="D2148" s="522" t="inlineStr">
        <is>
          <t>L001-100193021</t>
        </is>
      </c>
      <c r="E2148" s="521" t="inlineStr">
        <is>
          <t>000279</t>
        </is>
      </c>
      <c r="F2148" s="523" t="n">
        <v>44347</v>
      </c>
      <c r="G2148" s="556" t="n">
        <v>9189718</v>
      </c>
      <c r="I2148" s="521">
        <f>G2148</f>
        <v/>
      </c>
      <c r="K2148" s="521">
        <f>I2148-G2148</f>
        <v/>
      </c>
      <c r="M2148" s="522" t="inlineStr">
        <is>
          <t>000279</t>
        </is>
      </c>
      <c r="N2148" s="522" t="inlineStr">
        <is>
          <t>000279</t>
        </is>
      </c>
      <c r="O2148" s="521">
        <f>M2148=N2148</f>
        <v/>
      </c>
      <c r="P2148" s="521">
        <f>AND(MONTH(F2148)=MONTH(S2148), YEAR(F2148)=YEAR(S2148))</f>
        <v/>
      </c>
      <c r="Q2148" s="521">
        <f>U2148="L001-901905215"</f>
        <v/>
      </c>
      <c r="R2148" s="556">
        <f>G2148-W2148</f>
        <v/>
      </c>
      <c r="S2148" s="523" t="n">
        <v>44347</v>
      </c>
      <c r="T2148" s="522" t="inlineStr">
        <is>
          <t>000279</t>
        </is>
      </c>
      <c r="U2148" s="522" t="inlineStr">
        <is>
          <t>L001-901905215</t>
        </is>
      </c>
      <c r="V2148" s="522" t="inlineStr">
        <is>
          <t>វីអ៊ីស៊ិន (ខេមបូឌា) អ៊ិនដាសស្ទ្រី ឯ.ក</t>
        </is>
      </c>
      <c r="W2148" s="556" t="n">
        <v>9189718</v>
      </c>
    </row>
    <row r="2149">
      <c r="A2149" s="521" t="n">
        <v>2141</v>
      </c>
      <c r="B2149" s="522" t="inlineStr">
        <is>
          <t>G40 PET Blister Cover</t>
        </is>
      </c>
      <c r="C2149" s="522" t="inlineStr">
        <is>
          <t>ខេមបូឌាន វ៉ាយភីស៊ី ត្រេឌីង ឯ.ក</t>
        </is>
      </c>
      <c r="D2149" s="522" t="inlineStr">
        <is>
          <t>B108-901904896</t>
        </is>
      </c>
      <c r="E2149" s="521" t="inlineStr">
        <is>
          <t>YPC2021/05-0009</t>
        </is>
      </c>
      <c r="F2149" s="523" t="n">
        <v>44337</v>
      </c>
      <c r="G2149" s="556" t="n">
        <v>2648750</v>
      </c>
      <c r="I2149" s="521">
        <f>G2149</f>
        <v/>
      </c>
      <c r="K2149" s="521">
        <f>I2149-G2149</f>
        <v/>
      </c>
      <c r="M2149" s="522" t="inlineStr">
        <is>
          <t>YPC2021050009</t>
        </is>
      </c>
      <c r="N2149" s="522" t="inlineStr"/>
      <c r="O2149" s="521">
        <f>M2149=N2149</f>
        <v/>
      </c>
      <c r="P2149" s="521">
        <f>AND(MONTH(F2149)=MONTH(S2149), YEAR(F2149)=YEAR(S2149))</f>
        <v/>
      </c>
      <c r="Q2149" s="521">
        <f>U2149="L001-901905215"</f>
        <v/>
      </c>
      <c r="R2149" s="556">
        <f>G2149-W2149</f>
        <v/>
      </c>
      <c r="S2149" s="521" t="n"/>
      <c r="T2149" s="522" t="n"/>
      <c r="U2149" s="522" t="n"/>
      <c r="V2149" s="522" t="n"/>
      <c r="W2149" s="521" t="n"/>
    </row>
    <row r="2150">
      <c r="A2150" s="521" t="n">
        <v>2142</v>
      </c>
      <c r="B2150" s="522" t="inlineStr">
        <is>
          <t>Paper label</t>
        </is>
      </c>
      <c r="C2150" s="522" t="inlineStr">
        <is>
          <t>ស៊ីន ហ្វី យ៉ាង ព្រីនធីង &amp; អិកសេសសឺរី ឯ.ក</t>
        </is>
      </c>
      <c r="D2150" s="522" t="inlineStr">
        <is>
          <t>K010-901906822</t>
        </is>
      </c>
      <c r="E2150" s="521" t="inlineStr">
        <is>
          <t>XFY-YD2021070</t>
        </is>
      </c>
      <c r="F2150" s="523" t="n">
        <v>44347</v>
      </c>
      <c r="G2150" s="556" t="n">
        <v>3471856</v>
      </c>
      <c r="I2150" s="521">
        <f>G2150</f>
        <v/>
      </c>
      <c r="K2150" s="521">
        <f>I2150-G2150</f>
        <v/>
      </c>
      <c r="M2150" s="522" t="inlineStr">
        <is>
          <t>XFYYD2021070</t>
        </is>
      </c>
      <c r="N2150" s="522" t="inlineStr">
        <is>
          <t>XFYYD2021070</t>
        </is>
      </c>
      <c r="O2150" s="521">
        <f>M2150=N2150</f>
        <v/>
      </c>
      <c r="P2150" s="521">
        <f>AND(MONTH(F2150)=MONTH(S2150), YEAR(F2150)=YEAR(S2150))</f>
        <v/>
      </c>
      <c r="Q2150" s="521">
        <f>U2150="L001-901905215"</f>
        <v/>
      </c>
      <c r="R2150" s="556">
        <f>G2150-W2150</f>
        <v/>
      </c>
      <c r="S2150" s="523" t="n">
        <v>44347</v>
      </c>
      <c r="T2150" s="522" t="inlineStr">
        <is>
          <t>XFY-YD2021070</t>
        </is>
      </c>
      <c r="U2150" s="522" t="inlineStr">
        <is>
          <t>L001-901905215</t>
        </is>
      </c>
      <c r="V2150" s="522" t="inlineStr">
        <is>
          <t>វីអ៊ីស៊ិន (ខេមបូឌា) អ៊ិនដាសស្ទ្រី ឯ.ក</t>
        </is>
      </c>
      <c r="W2150" s="556" t="n">
        <v>3471856</v>
      </c>
    </row>
    <row r="2151">
      <c r="A2151" s="521" t="n">
        <v>2143</v>
      </c>
      <c r="B2151" s="522" t="inlineStr">
        <is>
          <t>THC,DOC FEE</t>
        </is>
      </c>
      <c r="C2151" s="522" t="inlineStr">
        <is>
          <t>ស្ត្រេតស៍ អ៊ិនធើណេសិនណល ភីធីអ៊ី អិលធីឌី</t>
        </is>
      </c>
      <c r="D2151" s="522" t="inlineStr">
        <is>
          <t>L001-100045162</t>
        </is>
      </c>
      <c r="E2151" s="521" t="inlineStr">
        <is>
          <t>2108602</t>
        </is>
      </c>
      <c r="F2151" s="523" t="n">
        <v>44333</v>
      </c>
      <c r="G2151" s="556" t="n">
        <v>111870</v>
      </c>
      <c r="I2151" s="521">
        <f>G2151</f>
        <v/>
      </c>
      <c r="K2151" s="521">
        <f>I2151-G2151</f>
        <v/>
      </c>
      <c r="M2151" s="522" t="inlineStr">
        <is>
          <t>2108602</t>
        </is>
      </c>
      <c r="N2151" s="522" t="inlineStr">
        <is>
          <t>2108602</t>
        </is>
      </c>
      <c r="O2151" s="521">
        <f>M2151=N2151</f>
        <v/>
      </c>
      <c r="P2151" s="521">
        <f>AND(MONTH(F2151)=MONTH(S2151), YEAR(F2151)=YEAR(S2151))</f>
        <v/>
      </c>
      <c r="Q2151" s="521">
        <f>U2151="L001-901905215"</f>
        <v/>
      </c>
      <c r="R2151" s="556">
        <f>G2151-W2151</f>
        <v/>
      </c>
      <c r="S2151" s="523" t="n">
        <v>44333</v>
      </c>
      <c r="T2151" s="522" t="inlineStr">
        <is>
          <t>2108602</t>
        </is>
      </c>
      <c r="U2151" s="522" t="inlineStr">
        <is>
          <t>L001-901905215</t>
        </is>
      </c>
      <c r="V2151" s="522" t="inlineStr">
        <is>
          <t>វីអ៊ីស៊ិន (ខេមបូឌា) អ៊ិនដាសស្ទ្រី ឯ.ក</t>
        </is>
      </c>
      <c r="W2151" s="556" t="n">
        <v>111870</v>
      </c>
    </row>
    <row r="2152">
      <c r="A2152" s="521" t="n">
        <v>2144</v>
      </c>
      <c r="B2152" s="522" t="inlineStr">
        <is>
          <t>ក្រដាសកាតុងធ្វើកេស</t>
        </is>
      </c>
      <c r="C2152" s="522" t="inlineStr">
        <is>
          <t>ជា យូ អាង ផេកខេកជីង មេធៀរៀល (ខេមបូឌា) ឯ.ក</t>
        </is>
      </c>
      <c r="D2152" s="522" t="inlineStr">
        <is>
          <t>L001-901903560</t>
        </is>
      </c>
      <c r="E2152" s="521" t="inlineStr">
        <is>
          <t>JYA202100206</t>
        </is>
      </c>
      <c r="F2152" s="523" t="n">
        <v>44347</v>
      </c>
      <c r="G2152" s="556" t="n">
        <v>4497250</v>
      </c>
      <c r="I2152" s="521">
        <f>G2152</f>
        <v/>
      </c>
      <c r="K2152" s="521">
        <f>I2152-G2152</f>
        <v/>
      </c>
      <c r="M2152" s="522" t="inlineStr">
        <is>
          <t>JYA202100206</t>
        </is>
      </c>
      <c r="N2152" s="522" t="inlineStr">
        <is>
          <t>JYA202100206</t>
        </is>
      </c>
      <c r="O2152" s="521">
        <f>M2152=N2152</f>
        <v/>
      </c>
      <c r="P2152" s="521">
        <f>AND(MONTH(F2152)=MONTH(S2152), YEAR(F2152)=YEAR(S2152))</f>
        <v/>
      </c>
      <c r="Q2152" s="521">
        <f>U2152="L001-901905215"</f>
        <v/>
      </c>
      <c r="R2152" s="556">
        <f>G2152-W2152</f>
        <v/>
      </c>
      <c r="S2152" s="523" t="n">
        <v>44347</v>
      </c>
      <c r="T2152" s="522" t="inlineStr">
        <is>
          <t>JYA202100206</t>
        </is>
      </c>
      <c r="U2152" s="522" t="inlineStr">
        <is>
          <t>L001-901905215</t>
        </is>
      </c>
      <c r="V2152" s="522" t="inlineStr">
        <is>
          <t>វីអ៊ីស៊ិន (ខេមបូឌា) អ៊ិនដាសស្ទ្រី ឯ.ក</t>
        </is>
      </c>
      <c r="W2152" s="556" t="n">
        <v>4497250</v>
      </c>
    </row>
    <row r="2153">
      <c r="A2153" s="521" t="n">
        <v>2145</v>
      </c>
      <c r="B2153" s="522" t="inlineStr">
        <is>
          <t>Documentation fee</t>
        </is>
      </c>
      <c r="C2153" s="522" t="inlineStr">
        <is>
          <t>ត្រេនម៉ារីន ឡូជីស្ទីក (ខេមបូឌា)</t>
        </is>
      </c>
      <c r="D2153" s="522" t="inlineStr">
        <is>
          <t>L001-106004107</t>
        </is>
      </c>
      <c r="E2153" s="521" t="inlineStr">
        <is>
          <t>9963005101</t>
        </is>
      </c>
      <c r="F2153" s="523" t="n">
        <v>44338</v>
      </c>
      <c r="G2153" s="556" t="n">
        <v>99176</v>
      </c>
      <c r="I2153" s="521">
        <f>G2153</f>
        <v/>
      </c>
      <c r="K2153" s="521">
        <f>I2153-G2153</f>
        <v/>
      </c>
      <c r="M2153" s="522" t="inlineStr">
        <is>
          <t>9963005101</t>
        </is>
      </c>
      <c r="N2153" s="522" t="inlineStr"/>
      <c r="O2153" s="521">
        <f>M2153=N2153</f>
        <v/>
      </c>
      <c r="P2153" s="521">
        <f>AND(MONTH(F2153)=MONTH(S2153), YEAR(F2153)=YEAR(S2153))</f>
        <v/>
      </c>
      <c r="Q2153" s="521">
        <f>U2153="L001-901905215"</f>
        <v/>
      </c>
      <c r="R2153" s="556">
        <f>G2153-W2153</f>
        <v/>
      </c>
      <c r="S2153" s="521" t="n"/>
      <c r="T2153" s="522" t="n"/>
      <c r="U2153" s="522" t="n"/>
      <c r="V2153" s="522" t="n"/>
      <c r="W2153" s="521" t="n"/>
    </row>
    <row r="2154">
      <c r="A2154" s="521" t="n">
        <v>2146</v>
      </c>
      <c r="B2154" s="522" t="inlineStr">
        <is>
          <t>Lift On/Off</t>
        </is>
      </c>
      <c r="C2154" s="522" t="inlineStr">
        <is>
          <t>កំពង់ផែស្វយ័តភ្នំពេញ "ក.ស.ភ"</t>
        </is>
      </c>
      <c r="D2154" s="522" t="inlineStr">
        <is>
          <t>L001-100044999</t>
        </is>
      </c>
      <c r="E2154" s="521" t="inlineStr">
        <is>
          <t>INV20210522899</t>
        </is>
      </c>
      <c r="F2154" s="523" t="n">
        <v>44324</v>
      </c>
      <c r="G2154" s="556" t="n">
        <v>58406</v>
      </c>
      <c r="I2154" s="521">
        <f>G2154</f>
        <v/>
      </c>
      <c r="K2154" s="521">
        <f>I2154-G2154</f>
        <v/>
      </c>
      <c r="M2154" s="522" t="inlineStr">
        <is>
          <t>INV20210522899</t>
        </is>
      </c>
      <c r="N2154" s="522" t="inlineStr"/>
      <c r="O2154" s="521">
        <f>M2154=N2154</f>
        <v/>
      </c>
      <c r="P2154" s="521">
        <f>AND(MONTH(F2154)=MONTH(S2154), YEAR(F2154)=YEAR(S2154))</f>
        <v/>
      </c>
      <c r="Q2154" s="521">
        <f>U2154="L001-901905215"</f>
        <v/>
      </c>
      <c r="R2154" s="556">
        <f>G2154-W2154</f>
        <v/>
      </c>
      <c r="S2154" s="521" t="n"/>
      <c r="T2154" s="522" t="n"/>
      <c r="U2154" s="522" t="n"/>
      <c r="V2154" s="522" t="n"/>
      <c r="W2154" s="521" t="n"/>
    </row>
    <row r="2155">
      <c r="A2155" s="521" t="n">
        <v>2147</v>
      </c>
      <c r="B2155" s="522" t="inlineStr">
        <is>
          <t>Lift On/Off</t>
        </is>
      </c>
      <c r="C2155" s="522" t="inlineStr">
        <is>
          <t>កំពង់ផែស្វយ័តក្រុងព្រះសីហនុ</t>
        </is>
      </c>
      <c r="D2155" s="522" t="inlineStr">
        <is>
          <t>L001-100044638</t>
        </is>
      </c>
      <c r="E2155" s="521" t="inlineStr">
        <is>
          <t>071144</t>
        </is>
      </c>
      <c r="F2155" s="523" t="n">
        <v>44323</v>
      </c>
      <c r="G2155" s="556" t="n">
        <v>20686</v>
      </c>
      <c r="I2155" s="521">
        <f>G2155</f>
        <v/>
      </c>
      <c r="K2155" s="521">
        <f>I2155-G2155</f>
        <v/>
      </c>
      <c r="M2155" s="522" t="inlineStr">
        <is>
          <t>071144</t>
        </is>
      </c>
      <c r="N2155" s="522" t="inlineStr"/>
      <c r="O2155" s="521">
        <f>M2155=N2155</f>
        <v/>
      </c>
      <c r="P2155" s="521">
        <f>AND(MONTH(F2155)=MONTH(S2155), YEAR(F2155)=YEAR(S2155))</f>
        <v/>
      </c>
      <c r="Q2155" s="521">
        <f>U2155="L001-901905215"</f>
        <v/>
      </c>
      <c r="R2155" s="556">
        <f>G2155-W2155</f>
        <v/>
      </c>
      <c r="S2155" s="521" t="n"/>
      <c r="T2155" s="522" t="n"/>
      <c r="U2155" s="522" t="n"/>
      <c r="V2155" s="522" t="n"/>
      <c r="W2155" s="521" t="n"/>
    </row>
    <row r="2156">
      <c r="A2156" s="521" t="n">
        <v>2148</v>
      </c>
      <c r="B2156" s="522" t="inlineStr">
        <is>
          <t>Lift On/Off</t>
        </is>
      </c>
      <c r="C2156" s="522" t="inlineStr">
        <is>
          <t>កំពង់ផែស្វយ័តក្រុងព្រះសីហនុ</t>
        </is>
      </c>
      <c r="D2156" s="522" t="inlineStr">
        <is>
          <t>L001-100044638</t>
        </is>
      </c>
      <c r="E2156" s="521" t="inlineStr">
        <is>
          <t>071145</t>
        </is>
      </c>
      <c r="F2156" s="523" t="n">
        <v>44323</v>
      </c>
      <c r="G2156" s="556" t="n">
        <v>20686</v>
      </c>
      <c r="I2156" s="521">
        <f>G2156</f>
        <v/>
      </c>
      <c r="K2156" s="521">
        <f>I2156-G2156</f>
        <v/>
      </c>
      <c r="M2156" s="522" t="inlineStr">
        <is>
          <t>071145</t>
        </is>
      </c>
      <c r="N2156" s="522" t="inlineStr"/>
      <c r="O2156" s="521">
        <f>M2156=N2156</f>
        <v/>
      </c>
      <c r="P2156" s="521">
        <f>AND(MONTH(F2156)=MONTH(S2156), YEAR(F2156)=YEAR(S2156))</f>
        <v/>
      </c>
      <c r="Q2156" s="521">
        <f>U2156="L001-901905215"</f>
        <v/>
      </c>
      <c r="R2156" s="556">
        <f>G2156-W2156</f>
        <v/>
      </c>
      <c r="S2156" s="521" t="n"/>
      <c r="T2156" s="522" t="n"/>
      <c r="U2156" s="522" t="n"/>
      <c r="V2156" s="522" t="n"/>
      <c r="W2156" s="521" t="n"/>
    </row>
    <row r="2157">
      <c r="A2157" s="521" t="n">
        <v>2149</v>
      </c>
      <c r="B2157" s="522" t="inlineStr">
        <is>
          <t>Lift On/Off</t>
        </is>
      </c>
      <c r="C2157" s="522" t="inlineStr">
        <is>
          <t>កំពង់ផែស្វយ័តភ្នំពេញ "ក.ស.ភ"</t>
        </is>
      </c>
      <c r="D2157" s="522" t="inlineStr">
        <is>
          <t>L001-100044999</t>
        </is>
      </c>
      <c r="E2157" s="521" t="inlineStr">
        <is>
          <t>INV20210524509</t>
        </is>
      </c>
      <c r="F2157" s="523" t="n">
        <v>44333</v>
      </c>
      <c r="G2157" s="556" t="n">
        <v>29290</v>
      </c>
      <c r="I2157" s="521">
        <f>G2157</f>
        <v/>
      </c>
      <c r="K2157" s="521">
        <f>I2157-G2157</f>
        <v/>
      </c>
      <c r="M2157" s="522" t="inlineStr">
        <is>
          <t>INV20210524509</t>
        </is>
      </c>
      <c r="N2157" s="522" t="inlineStr"/>
      <c r="O2157" s="521">
        <f>M2157=N2157</f>
        <v/>
      </c>
      <c r="P2157" s="521">
        <f>AND(MONTH(F2157)=MONTH(S2157), YEAR(F2157)=YEAR(S2157))</f>
        <v/>
      </c>
      <c r="Q2157" s="521">
        <f>U2157="L001-901905215"</f>
        <v/>
      </c>
      <c r="R2157" s="556">
        <f>G2157-W2157</f>
        <v/>
      </c>
      <c r="S2157" s="521" t="n"/>
      <c r="T2157" s="522" t="n"/>
      <c r="U2157" s="522" t="n"/>
      <c r="V2157" s="522" t="n"/>
      <c r="W2157" s="521" t="n"/>
    </row>
    <row r="2158">
      <c r="A2158" s="521" t="n">
        <v>2150</v>
      </c>
      <c r="B2158" s="522" t="inlineStr">
        <is>
          <t>Lift On/Off</t>
        </is>
      </c>
      <c r="C2158" s="522" t="inlineStr">
        <is>
          <t>កំពង់ផែស្វយ័តភ្នំពេញ "ក.ស.ភ"</t>
        </is>
      </c>
      <c r="D2158" s="522" t="inlineStr">
        <is>
          <t>L001-100044999</t>
        </is>
      </c>
      <c r="E2158" s="521" t="inlineStr">
        <is>
          <t>INV20210524508</t>
        </is>
      </c>
      <c r="F2158" s="523" t="n">
        <v>44333</v>
      </c>
      <c r="G2158" s="556" t="n">
        <v>58579</v>
      </c>
      <c r="I2158" s="521">
        <f>G2158</f>
        <v/>
      </c>
      <c r="K2158" s="521">
        <f>I2158-G2158</f>
        <v/>
      </c>
      <c r="M2158" s="522" t="inlineStr">
        <is>
          <t>INV20210524508</t>
        </is>
      </c>
      <c r="N2158" s="522" t="inlineStr"/>
      <c r="O2158" s="521">
        <f>M2158=N2158</f>
        <v/>
      </c>
      <c r="P2158" s="521">
        <f>AND(MONTH(F2158)=MONTH(S2158), YEAR(F2158)=YEAR(S2158))</f>
        <v/>
      </c>
      <c r="Q2158" s="521">
        <f>U2158="L001-901905215"</f>
        <v/>
      </c>
      <c r="R2158" s="556">
        <f>G2158-W2158</f>
        <v/>
      </c>
      <c r="S2158" s="521" t="n"/>
      <c r="T2158" s="522" t="n"/>
      <c r="U2158" s="522" t="n"/>
      <c r="V2158" s="522" t="n"/>
      <c r="W2158" s="521" t="n"/>
    </row>
    <row r="2159">
      <c r="A2159" s="521" t="n">
        <v>2151</v>
      </c>
      <c r="B2159" s="522" t="inlineStr">
        <is>
          <t>Lift On/Off</t>
        </is>
      </c>
      <c r="C2159" s="522" t="inlineStr">
        <is>
          <t>កំពង់ផែស្វយ័តភ្នំពេញ "ក.ស.ភ"</t>
        </is>
      </c>
      <c r="D2159" s="522" t="inlineStr">
        <is>
          <t>L001-100044999</t>
        </is>
      </c>
      <c r="E2159" s="521" t="inlineStr">
        <is>
          <t>INV20210524506</t>
        </is>
      </c>
      <c r="F2159" s="523" t="n">
        <v>44333</v>
      </c>
      <c r="G2159" s="556" t="n">
        <v>48816</v>
      </c>
      <c r="I2159" s="521">
        <f>G2159</f>
        <v/>
      </c>
      <c r="K2159" s="521">
        <f>I2159-G2159</f>
        <v/>
      </c>
      <c r="M2159" s="522" t="inlineStr">
        <is>
          <t>INV20210524506</t>
        </is>
      </c>
      <c r="N2159" s="522" t="inlineStr"/>
      <c r="O2159" s="521">
        <f>M2159=N2159</f>
        <v/>
      </c>
      <c r="P2159" s="521">
        <f>AND(MONTH(F2159)=MONTH(S2159), YEAR(F2159)=YEAR(S2159))</f>
        <v/>
      </c>
      <c r="Q2159" s="521">
        <f>U2159="L001-901905215"</f>
        <v/>
      </c>
      <c r="R2159" s="556">
        <f>G2159-W2159</f>
        <v/>
      </c>
      <c r="S2159" s="521" t="n"/>
      <c r="T2159" s="522" t="n"/>
      <c r="U2159" s="522" t="n"/>
      <c r="V2159" s="522" t="n"/>
      <c r="W2159" s="521" t="n"/>
    </row>
    <row r="2160">
      <c r="A2160" s="521" t="n">
        <v>2152</v>
      </c>
      <c r="B2160" s="522" t="inlineStr">
        <is>
          <t>Lift On/Off</t>
        </is>
      </c>
      <c r="C2160" s="522" t="inlineStr">
        <is>
          <t>កំពង់ផែស្វយ័តក្រុងព្រះសីហនុ</t>
        </is>
      </c>
      <c r="D2160" s="522" t="inlineStr">
        <is>
          <t>L001-100044638</t>
        </is>
      </c>
      <c r="E2160" s="521" t="inlineStr">
        <is>
          <t>081322</t>
        </is>
      </c>
      <c r="F2160" s="523" t="n">
        <v>44337</v>
      </c>
      <c r="G2160" s="556" t="n">
        <v>27710</v>
      </c>
      <c r="I2160" s="521">
        <f>G2160</f>
        <v/>
      </c>
      <c r="K2160" s="521">
        <f>I2160-G2160</f>
        <v/>
      </c>
      <c r="M2160" s="522" t="inlineStr">
        <is>
          <t>081322</t>
        </is>
      </c>
      <c r="N2160" s="522" t="inlineStr"/>
      <c r="O2160" s="521">
        <f>M2160=N2160</f>
        <v/>
      </c>
      <c r="P2160" s="521">
        <f>AND(MONTH(F2160)=MONTH(S2160), YEAR(F2160)=YEAR(S2160))</f>
        <v/>
      </c>
      <c r="Q2160" s="521">
        <f>U2160="L001-901905215"</f>
        <v/>
      </c>
      <c r="R2160" s="556">
        <f>G2160-W2160</f>
        <v/>
      </c>
      <c r="S2160" s="521" t="n"/>
      <c r="T2160" s="522" t="n"/>
      <c r="U2160" s="522" t="n"/>
      <c r="V2160" s="522" t="n"/>
      <c r="W2160" s="521" t="n"/>
    </row>
    <row r="2161">
      <c r="A2161" s="521" t="n">
        <v>2153</v>
      </c>
      <c r="B2161" s="522" t="inlineStr">
        <is>
          <t>Lift On/Off</t>
        </is>
      </c>
      <c r="C2161" s="522" t="inlineStr">
        <is>
          <t>កំពង់ផែស្វយ័តភ្នំពេញ "ក.ស.ភ"</t>
        </is>
      </c>
      <c r="D2161" s="522" t="inlineStr">
        <is>
          <t>L001-100044999</t>
        </is>
      </c>
      <c r="E2161" s="521" t="inlineStr">
        <is>
          <t>INV20210525931</t>
        </is>
      </c>
      <c r="F2161" s="523" t="n">
        <v>44340</v>
      </c>
      <c r="G2161" s="556" t="n">
        <v>19550</v>
      </c>
      <c r="I2161" s="521">
        <f>G2161</f>
        <v/>
      </c>
      <c r="K2161" s="521">
        <f>I2161-G2161</f>
        <v/>
      </c>
      <c r="M2161" s="522" t="inlineStr">
        <is>
          <t>INV20210525931</t>
        </is>
      </c>
      <c r="N2161" s="522" t="inlineStr"/>
      <c r="O2161" s="521">
        <f>M2161=N2161</f>
        <v/>
      </c>
      <c r="P2161" s="521">
        <f>AND(MONTH(F2161)=MONTH(S2161), YEAR(F2161)=YEAR(S2161))</f>
        <v/>
      </c>
      <c r="Q2161" s="521">
        <f>U2161="L001-901905215"</f>
        <v/>
      </c>
      <c r="R2161" s="556">
        <f>G2161-W2161</f>
        <v/>
      </c>
      <c r="S2161" s="521" t="n"/>
      <c r="T2161" s="522" t="n"/>
      <c r="U2161" s="522" t="n"/>
      <c r="V2161" s="522" t="n"/>
      <c r="W2161" s="521" t="n"/>
    </row>
    <row r="2162">
      <c r="A2162" s="521" t="n">
        <v>2154</v>
      </c>
      <c r="B2162" s="522" t="inlineStr">
        <is>
          <t>Lift On/Off</t>
        </is>
      </c>
      <c r="C2162" s="522" t="inlineStr">
        <is>
          <t>កំពង់ផែស្វយ័តក្រុងព្រះសីហនុ</t>
        </is>
      </c>
      <c r="D2162" s="522" t="inlineStr">
        <is>
          <t>L001-100044638</t>
        </is>
      </c>
      <c r="E2162" s="521" t="inlineStr">
        <is>
          <t>081656</t>
        </is>
      </c>
      <c r="F2162" s="523" t="n">
        <v>44338</v>
      </c>
      <c r="G2162" s="556" t="n">
        <v>6113</v>
      </c>
      <c r="I2162" s="521">
        <f>G2162</f>
        <v/>
      </c>
      <c r="K2162" s="521">
        <f>I2162-G2162</f>
        <v/>
      </c>
      <c r="M2162" s="522" t="inlineStr">
        <is>
          <t>081656</t>
        </is>
      </c>
      <c r="N2162" s="522" t="inlineStr"/>
      <c r="O2162" s="521">
        <f>M2162=N2162</f>
        <v/>
      </c>
      <c r="P2162" s="521">
        <f>AND(MONTH(F2162)=MONTH(S2162), YEAR(F2162)=YEAR(S2162))</f>
        <v/>
      </c>
      <c r="Q2162" s="521">
        <f>U2162="L001-901905215"</f>
        <v/>
      </c>
      <c r="R2162" s="556">
        <f>G2162-W2162</f>
        <v/>
      </c>
      <c r="S2162" s="521" t="n"/>
      <c r="T2162" s="522" t="n"/>
      <c r="U2162" s="522" t="n"/>
      <c r="V2162" s="522" t="n"/>
      <c r="W2162" s="521" t="n"/>
    </row>
    <row r="2163">
      <c r="A2163" s="521" t="n">
        <v>2155</v>
      </c>
      <c r="B2163" s="522" t="inlineStr">
        <is>
          <t>Lift On/Off</t>
        </is>
      </c>
      <c r="C2163" s="522" t="inlineStr">
        <is>
          <t>កំពង់ផែស្វយ័តភ្នំពេញ "ក.ស.ភ"</t>
        </is>
      </c>
      <c r="D2163" s="522" t="inlineStr">
        <is>
          <t>L001-100044999</t>
        </is>
      </c>
      <c r="E2163" s="521" t="inlineStr">
        <is>
          <t>INV20210525932</t>
        </is>
      </c>
      <c r="F2163" s="523" t="n">
        <v>44340</v>
      </c>
      <c r="G2163" s="556" t="n">
        <v>19550</v>
      </c>
      <c r="I2163" s="521">
        <f>G2163</f>
        <v/>
      </c>
      <c r="K2163" s="521">
        <f>I2163-G2163</f>
        <v/>
      </c>
      <c r="M2163" s="522" t="inlineStr">
        <is>
          <t>INV20210525932</t>
        </is>
      </c>
      <c r="N2163" s="522" t="inlineStr"/>
      <c r="O2163" s="521">
        <f>M2163=N2163</f>
        <v/>
      </c>
      <c r="P2163" s="521">
        <f>AND(MONTH(F2163)=MONTH(S2163), YEAR(F2163)=YEAR(S2163))</f>
        <v/>
      </c>
      <c r="Q2163" s="521">
        <f>U2163="L001-901905215"</f>
        <v/>
      </c>
      <c r="R2163" s="556">
        <f>G2163-W2163</f>
        <v/>
      </c>
      <c r="S2163" s="521" t="n"/>
      <c r="T2163" s="522" t="n"/>
      <c r="U2163" s="522" t="n"/>
      <c r="V2163" s="522" t="n"/>
      <c r="W2163" s="521" t="n"/>
    </row>
    <row r="2164">
      <c r="A2164" s="521" t="n">
        <v>2156</v>
      </c>
      <c r="B2164" s="522" t="inlineStr">
        <is>
          <t>Lift On/Off</t>
        </is>
      </c>
      <c r="C2164" s="522" t="inlineStr">
        <is>
          <t>កំពង់ផែស្វយ័តភ្នំពេញ "ក.ស.ភ"</t>
        </is>
      </c>
      <c r="D2164" s="522" t="inlineStr">
        <is>
          <t>L001-100044999</t>
        </is>
      </c>
      <c r="E2164" s="521" t="inlineStr">
        <is>
          <t>INV20210525927</t>
        </is>
      </c>
      <c r="F2164" s="523" t="n">
        <v>44340</v>
      </c>
      <c r="G2164" s="556" t="n">
        <v>29326</v>
      </c>
      <c r="I2164" s="521">
        <f>G2164</f>
        <v/>
      </c>
      <c r="K2164" s="521">
        <f>I2164-G2164</f>
        <v/>
      </c>
      <c r="M2164" s="522" t="inlineStr">
        <is>
          <t>INV20210525927</t>
        </is>
      </c>
      <c r="N2164" s="522" t="inlineStr"/>
      <c r="O2164" s="521">
        <f>M2164=N2164</f>
        <v/>
      </c>
      <c r="P2164" s="521">
        <f>AND(MONTH(F2164)=MONTH(S2164), YEAR(F2164)=YEAR(S2164))</f>
        <v/>
      </c>
      <c r="Q2164" s="521">
        <f>U2164="L001-901905215"</f>
        <v/>
      </c>
      <c r="R2164" s="556">
        <f>G2164-W2164</f>
        <v/>
      </c>
      <c r="S2164" s="521" t="n"/>
      <c r="T2164" s="522" t="n"/>
      <c r="U2164" s="522" t="n"/>
      <c r="V2164" s="522" t="n"/>
      <c r="W2164" s="521" t="n"/>
    </row>
    <row r="2165">
      <c r="A2165" s="521" t="n">
        <v>2157</v>
      </c>
      <c r="B2165" s="522" t="inlineStr">
        <is>
          <t>Lift On/Off</t>
        </is>
      </c>
      <c r="C2165" s="522" t="inlineStr">
        <is>
          <t>កំពង់ផែស្វយ័តភ្នំពេញ "ក.ស.ភ"</t>
        </is>
      </c>
      <c r="D2165" s="522" t="inlineStr">
        <is>
          <t>L001-100044999</t>
        </is>
      </c>
      <c r="E2165" s="521" t="inlineStr">
        <is>
          <t>INV20210525929</t>
        </is>
      </c>
      <c r="F2165" s="523" t="n">
        <v>44340</v>
      </c>
      <c r="G2165" s="556" t="n">
        <v>58651</v>
      </c>
      <c r="I2165" s="521">
        <f>G2165</f>
        <v/>
      </c>
      <c r="K2165" s="521">
        <f>I2165-G2165</f>
        <v/>
      </c>
      <c r="M2165" s="522" t="inlineStr">
        <is>
          <t>INV20210525929</t>
        </is>
      </c>
      <c r="N2165" s="522" t="inlineStr"/>
      <c r="O2165" s="521">
        <f>M2165=N2165</f>
        <v/>
      </c>
      <c r="P2165" s="521">
        <f>AND(MONTH(F2165)=MONTH(S2165), YEAR(F2165)=YEAR(S2165))</f>
        <v/>
      </c>
      <c r="Q2165" s="521">
        <f>U2165="L001-901905215"</f>
        <v/>
      </c>
      <c r="R2165" s="556">
        <f>G2165-W2165</f>
        <v/>
      </c>
      <c r="S2165" s="521" t="n"/>
      <c r="T2165" s="522" t="n"/>
      <c r="U2165" s="522" t="n"/>
      <c r="V2165" s="522" t="n"/>
      <c r="W2165" s="521" t="n"/>
    </row>
    <row r="2166">
      <c r="A2166" s="521" t="n">
        <v>2158</v>
      </c>
      <c r="B2166" s="522" t="inlineStr">
        <is>
          <t>Lift On/Off</t>
        </is>
      </c>
      <c r="C2166" s="522" t="inlineStr">
        <is>
          <t>សូស៊ីយេតេ កុងសេស្យូនែរ ដឺ ឡាអេរ៉ូព័រ</t>
        </is>
      </c>
      <c r="D2166" s="522" t="inlineStr">
        <is>
          <t>L001-100047300</t>
        </is>
      </c>
      <c r="E2166" s="521" t="inlineStr">
        <is>
          <t>2100-025679</t>
        </is>
      </c>
      <c r="F2166" s="523" t="n">
        <v>44340</v>
      </c>
      <c r="G2166" s="556" t="n">
        <v>10005</v>
      </c>
      <c r="I2166" s="521">
        <f>G2166</f>
        <v/>
      </c>
      <c r="K2166" s="521">
        <f>I2166-G2166</f>
        <v/>
      </c>
      <c r="M2166" s="522" t="inlineStr">
        <is>
          <t>2100025679</t>
        </is>
      </c>
      <c r="N2166" s="522" t="inlineStr"/>
      <c r="O2166" s="521">
        <f>M2166=N2166</f>
        <v/>
      </c>
      <c r="P2166" s="521">
        <f>AND(MONTH(F2166)=MONTH(S2166), YEAR(F2166)=YEAR(S2166))</f>
        <v/>
      </c>
      <c r="Q2166" s="521">
        <f>U2166="L001-901905215"</f>
        <v/>
      </c>
      <c r="R2166" s="556">
        <f>G2166-W2166</f>
        <v/>
      </c>
      <c r="S2166" s="521" t="n"/>
      <c r="T2166" s="522" t="n"/>
      <c r="U2166" s="522" t="n"/>
      <c r="V2166" s="522" t="n"/>
      <c r="W2166" s="521" t="n"/>
    </row>
    <row r="2167">
      <c r="A2167" s="521" t="n">
        <v>2159</v>
      </c>
      <c r="B2167" s="522" t="inlineStr">
        <is>
          <t>Lift On/Off</t>
        </is>
      </c>
      <c r="C2167" s="522" t="inlineStr">
        <is>
          <t>កំពង់ផែស្វយ័តក្រុងព្រះសីហនុ</t>
        </is>
      </c>
      <c r="D2167" s="522" t="inlineStr">
        <is>
          <t>L001-100044638</t>
        </is>
      </c>
      <c r="E2167" s="521" t="inlineStr">
        <is>
          <t>085825</t>
        </is>
      </c>
      <c r="F2167" s="523" t="n">
        <v>44344</v>
      </c>
      <c r="G2167" s="556" t="n">
        <v>15466</v>
      </c>
      <c r="I2167" s="521">
        <f>G2167</f>
        <v/>
      </c>
      <c r="K2167" s="521">
        <f>I2167-G2167</f>
        <v/>
      </c>
      <c r="M2167" s="522" t="inlineStr">
        <is>
          <t>085825</t>
        </is>
      </c>
      <c r="N2167" s="522" t="inlineStr"/>
      <c r="O2167" s="521">
        <f>M2167=N2167</f>
        <v/>
      </c>
      <c r="P2167" s="521">
        <f>AND(MONTH(F2167)=MONTH(S2167), YEAR(F2167)=YEAR(S2167))</f>
        <v/>
      </c>
      <c r="Q2167" s="521">
        <f>U2167="L001-901905215"</f>
        <v/>
      </c>
      <c r="R2167" s="556">
        <f>G2167-W2167</f>
        <v/>
      </c>
      <c r="S2167" s="521" t="n"/>
      <c r="T2167" s="522" t="n"/>
      <c r="U2167" s="522" t="n"/>
      <c r="V2167" s="522" t="n"/>
      <c r="W2167" s="521" t="n"/>
    </row>
    <row r="2168">
      <c r="A2168" s="521" t="n">
        <v>2160</v>
      </c>
      <c r="B2168" s="522" t="inlineStr">
        <is>
          <t>Lift On/Off</t>
        </is>
      </c>
      <c r="C2168" s="522" t="inlineStr">
        <is>
          <t>កំពង់ផែស្វយ័តក្រុងព្រះសីហនុ</t>
        </is>
      </c>
      <c r="D2168" s="522" t="inlineStr">
        <is>
          <t>L001-100044638</t>
        </is>
      </c>
      <c r="E2168" s="521" t="inlineStr">
        <is>
          <t>085823</t>
        </is>
      </c>
      <c r="F2168" s="523" t="n">
        <v>44344</v>
      </c>
      <c r="G2168" s="556" t="n">
        <v>20757</v>
      </c>
      <c r="I2168" s="521">
        <f>G2168</f>
        <v/>
      </c>
      <c r="K2168" s="521">
        <f>I2168-G2168</f>
        <v/>
      </c>
      <c r="M2168" s="522" t="inlineStr">
        <is>
          <t>085823</t>
        </is>
      </c>
      <c r="N2168" s="522" t="inlineStr"/>
      <c r="O2168" s="521">
        <f>M2168=N2168</f>
        <v/>
      </c>
      <c r="P2168" s="521">
        <f>AND(MONTH(F2168)=MONTH(S2168), YEAR(F2168)=YEAR(S2168))</f>
        <v/>
      </c>
      <c r="Q2168" s="521">
        <f>U2168="L001-901905215"</f>
        <v/>
      </c>
      <c r="R2168" s="556">
        <f>G2168-W2168</f>
        <v/>
      </c>
      <c r="S2168" s="521" t="n"/>
      <c r="T2168" s="522" t="n"/>
      <c r="U2168" s="522" t="n"/>
      <c r="V2168" s="522" t="n"/>
      <c r="W2168" s="521" t="n"/>
    </row>
    <row r="2169">
      <c r="A2169" s="521" t="n">
        <v>2161</v>
      </c>
      <c r="B2169" s="522" t="inlineStr">
        <is>
          <t>Lift On/Off</t>
        </is>
      </c>
      <c r="C2169" s="522" t="inlineStr">
        <is>
          <t>កំពង់ផែស្វយ័តក្រុងព្រះសីហនុ</t>
        </is>
      </c>
      <c r="D2169" s="522" t="inlineStr">
        <is>
          <t>L001-100044638</t>
        </is>
      </c>
      <c r="E2169" s="521" t="inlineStr">
        <is>
          <t>086318</t>
        </is>
      </c>
      <c r="F2169" s="523" t="n">
        <v>44345</v>
      </c>
      <c r="G2169" s="556" t="n">
        <v>6919</v>
      </c>
      <c r="I2169" s="521">
        <f>G2169</f>
        <v/>
      </c>
      <c r="K2169" s="521">
        <f>I2169-G2169</f>
        <v/>
      </c>
      <c r="M2169" s="522" t="inlineStr">
        <is>
          <t>086318</t>
        </is>
      </c>
      <c r="N2169" s="522" t="inlineStr"/>
      <c r="O2169" s="521">
        <f>M2169=N2169</f>
        <v/>
      </c>
      <c r="P2169" s="521">
        <f>AND(MONTH(F2169)=MONTH(S2169), YEAR(F2169)=YEAR(S2169))</f>
        <v/>
      </c>
      <c r="Q2169" s="521">
        <f>U2169="L001-901905215"</f>
        <v/>
      </c>
      <c r="R2169" s="556">
        <f>G2169-W2169</f>
        <v/>
      </c>
      <c r="S2169" s="521" t="n"/>
      <c r="T2169" s="522" t="n"/>
      <c r="U2169" s="522" t="n"/>
      <c r="V2169" s="522" t="n"/>
      <c r="W2169" s="521" t="n"/>
    </row>
    <row r="2170">
      <c r="A2170" s="521" t="n">
        <v>2162</v>
      </c>
      <c r="B2170" s="522" t="inlineStr">
        <is>
          <t>Service Fee</t>
        </is>
      </c>
      <c r="C2170" s="522" t="inlineStr">
        <is>
          <t>សូស៊ីយេតេ កុងសេស្យូនែរ ដឺ ឡាអេរ៉ូព័រ</t>
        </is>
      </c>
      <c r="D2170" s="522" t="inlineStr">
        <is>
          <t>L001-100047300</t>
        </is>
      </c>
      <c r="E2170" s="521" t="inlineStr">
        <is>
          <t>2100-011390</t>
        </is>
      </c>
      <c r="F2170" s="523" t="n">
        <v>44320</v>
      </c>
      <c r="G2170" s="556" t="n">
        <v>56679</v>
      </c>
      <c r="I2170" s="521">
        <f>G2170</f>
        <v/>
      </c>
      <c r="K2170" s="521">
        <f>I2170-G2170</f>
        <v/>
      </c>
      <c r="M2170" s="522" t="inlineStr">
        <is>
          <t>2100011390</t>
        </is>
      </c>
      <c r="N2170" s="522" t="inlineStr"/>
      <c r="O2170" s="521">
        <f>M2170=N2170</f>
        <v/>
      </c>
      <c r="P2170" s="521">
        <f>AND(MONTH(F2170)=MONTH(S2170), YEAR(F2170)=YEAR(S2170))</f>
        <v/>
      </c>
      <c r="Q2170" s="521">
        <f>U2170="L001-901905215"</f>
        <v/>
      </c>
      <c r="R2170" s="556">
        <f>G2170-W2170</f>
        <v/>
      </c>
      <c r="S2170" s="521" t="n"/>
      <c r="T2170" s="522" t="n"/>
      <c r="U2170" s="522" t="n"/>
      <c r="V2170" s="522" t="n"/>
      <c r="W2170" s="521" t="n"/>
    </row>
    <row r="2171">
      <c r="A2171" s="521" t="n">
        <v>2163</v>
      </c>
      <c r="B2171" s="522" t="inlineStr">
        <is>
          <t>Light On/Off</t>
        </is>
      </c>
      <c r="C2171" s="522" t="inlineStr">
        <is>
          <t>កំពង់ផែស្វយ័តក្រុងព្រះសីហនុ</t>
        </is>
      </c>
      <c r="D2171" s="522" t="inlineStr">
        <is>
          <t>L001-100044638</t>
        </is>
      </c>
      <c r="E2171" s="521" t="inlineStr">
        <is>
          <t>074079</t>
        </is>
      </c>
      <c r="F2171" s="523" t="n">
        <v>44328</v>
      </c>
      <c r="G2171" s="556" t="n">
        <v>60930</v>
      </c>
      <c r="I2171" s="521">
        <f>G2171</f>
        <v/>
      </c>
      <c r="K2171" s="521">
        <f>I2171-G2171</f>
        <v/>
      </c>
      <c r="M2171" s="522" t="inlineStr">
        <is>
          <t>074079</t>
        </is>
      </c>
      <c r="N2171" s="522" t="inlineStr"/>
      <c r="O2171" s="521">
        <f>M2171=N2171</f>
        <v/>
      </c>
      <c r="P2171" s="521">
        <f>AND(MONTH(F2171)=MONTH(S2171), YEAR(F2171)=YEAR(S2171))</f>
        <v/>
      </c>
      <c r="Q2171" s="521">
        <f>U2171="L001-901905215"</f>
        <v/>
      </c>
      <c r="R2171" s="556">
        <f>G2171-W2171</f>
        <v/>
      </c>
      <c r="S2171" s="521" t="n"/>
      <c r="T2171" s="522" t="n"/>
      <c r="U2171" s="522" t="n"/>
      <c r="V2171" s="522" t="n"/>
      <c r="W2171" s="521" t="n"/>
    </row>
    <row r="2172">
      <c r="A2172" s="521" t="n">
        <v>2164</v>
      </c>
      <c r="B2172" s="522" t="inlineStr">
        <is>
          <t>Service Fee</t>
        </is>
      </c>
      <c r="C2172" s="522" t="inlineStr">
        <is>
          <t>សូស៊ីយេតេ កុងសេស្យូនែរ ដឺ ឡាអេរ៉ូព័រ</t>
        </is>
      </c>
      <c r="D2172" s="522" t="inlineStr">
        <is>
          <t>L001-100047300</t>
        </is>
      </c>
      <c r="E2172" s="521" t="inlineStr">
        <is>
          <t>2100-022445</t>
        </is>
      </c>
      <c r="F2172" s="523" t="n">
        <v>44323</v>
      </c>
      <c r="G2172" s="556" t="n">
        <v>108586</v>
      </c>
      <c r="I2172" s="521">
        <f>G2172</f>
        <v/>
      </c>
      <c r="K2172" s="521">
        <f>I2172-G2172</f>
        <v/>
      </c>
      <c r="M2172" s="522" t="inlineStr">
        <is>
          <t>2100022445</t>
        </is>
      </c>
      <c r="N2172" s="522" t="inlineStr"/>
      <c r="O2172" s="521">
        <f>M2172=N2172</f>
        <v/>
      </c>
      <c r="P2172" s="521">
        <f>AND(MONTH(F2172)=MONTH(S2172), YEAR(F2172)=YEAR(S2172))</f>
        <v/>
      </c>
      <c r="Q2172" s="521">
        <f>U2172="L001-901905215"</f>
        <v/>
      </c>
      <c r="R2172" s="556">
        <f>G2172-W2172</f>
        <v/>
      </c>
      <c r="S2172" s="521" t="n"/>
      <c r="T2172" s="522" t="n"/>
      <c r="U2172" s="522" t="n"/>
      <c r="V2172" s="522" t="n"/>
      <c r="W2172" s="521" t="n"/>
    </row>
    <row r="2173">
      <c r="A2173" s="521" t="n">
        <v>2165</v>
      </c>
      <c r="B2173" s="522" t="inlineStr">
        <is>
          <t>Light On/Off</t>
        </is>
      </c>
      <c r="C2173" s="522" t="inlineStr">
        <is>
          <t>កំពង់ផែស្វយ័តក្រុងព្រះសីហនុ</t>
        </is>
      </c>
      <c r="D2173" s="522" t="inlineStr">
        <is>
          <t>L001-100044638</t>
        </is>
      </c>
      <c r="E2173" s="521" t="inlineStr">
        <is>
          <t>075706</t>
        </is>
      </c>
      <c r="F2173" s="523" t="n">
        <v>44330</v>
      </c>
      <c r="G2173" s="556" t="n">
        <v>84145</v>
      </c>
      <c r="I2173" s="521">
        <f>G2173</f>
        <v/>
      </c>
      <c r="K2173" s="521">
        <f>I2173-G2173</f>
        <v/>
      </c>
      <c r="M2173" s="522" t="inlineStr">
        <is>
          <t>075706</t>
        </is>
      </c>
      <c r="N2173" s="522" t="inlineStr"/>
      <c r="O2173" s="521">
        <f>M2173=N2173</f>
        <v/>
      </c>
      <c r="P2173" s="521">
        <f>AND(MONTH(F2173)=MONTH(S2173), YEAR(F2173)=YEAR(S2173))</f>
        <v/>
      </c>
      <c r="Q2173" s="521">
        <f>U2173="L001-901905215"</f>
        <v/>
      </c>
      <c r="R2173" s="556">
        <f>G2173-W2173</f>
        <v/>
      </c>
      <c r="S2173" s="521" t="n"/>
      <c r="T2173" s="522" t="n"/>
      <c r="U2173" s="522" t="n"/>
      <c r="V2173" s="522" t="n"/>
      <c r="W2173" s="521" t="n"/>
    </row>
    <row r="2174">
      <c r="A2174" s="521" t="n">
        <v>2166</v>
      </c>
      <c r="B2174" s="522" t="inlineStr">
        <is>
          <t>Service Fee</t>
        </is>
      </c>
      <c r="C2174" s="522" t="inlineStr">
        <is>
          <t>សូស៊ីយេតេ កុងសេស្យូនែរ ដឺ ឡាអេរ៉ូព័រ</t>
        </is>
      </c>
      <c r="D2174" s="522" t="inlineStr">
        <is>
          <t>L001-100047300</t>
        </is>
      </c>
      <c r="E2174" s="521" t="inlineStr">
        <is>
          <t>2100-023432</t>
        </is>
      </c>
      <c r="F2174" s="523" t="n">
        <v>44329</v>
      </c>
      <c r="G2174" s="556" t="n">
        <v>289557</v>
      </c>
      <c r="I2174" s="521">
        <f>G2174</f>
        <v/>
      </c>
      <c r="K2174" s="521">
        <f>I2174-G2174</f>
        <v/>
      </c>
      <c r="M2174" s="522" t="inlineStr">
        <is>
          <t>2100023432</t>
        </is>
      </c>
      <c r="N2174" s="522" t="inlineStr"/>
      <c r="O2174" s="521">
        <f>M2174=N2174</f>
        <v/>
      </c>
      <c r="P2174" s="521">
        <f>AND(MONTH(F2174)=MONTH(S2174), YEAR(F2174)=YEAR(S2174))</f>
        <v/>
      </c>
      <c r="Q2174" s="521">
        <f>U2174="L001-901905215"</f>
        <v/>
      </c>
      <c r="R2174" s="556">
        <f>G2174-W2174</f>
        <v/>
      </c>
      <c r="S2174" s="521" t="n"/>
      <c r="T2174" s="522" t="n"/>
      <c r="U2174" s="522" t="n"/>
      <c r="V2174" s="522" t="n"/>
      <c r="W2174" s="521" t="n"/>
    </row>
    <row r="2175">
      <c r="A2175" s="521" t="n">
        <v>2167</v>
      </c>
      <c r="B2175" s="522" t="inlineStr">
        <is>
          <t>Service Fee</t>
        </is>
      </c>
      <c r="C2175" s="522" t="inlineStr">
        <is>
          <t>សូស៊ីយេតេ កុងសេស្យូនែរ ដឺ ឡាអេរ៉ូព័រ</t>
        </is>
      </c>
      <c r="D2175" s="522" t="inlineStr">
        <is>
          <t>L001-100047300</t>
        </is>
      </c>
      <c r="E2175" s="521" t="inlineStr">
        <is>
          <t>2100-023431</t>
        </is>
      </c>
      <c r="F2175" s="523" t="n">
        <v>44329</v>
      </c>
      <c r="G2175" s="556" t="n">
        <v>160257</v>
      </c>
      <c r="I2175" s="521">
        <f>G2175</f>
        <v/>
      </c>
      <c r="K2175" s="521">
        <f>I2175-G2175</f>
        <v/>
      </c>
      <c r="M2175" s="522" t="inlineStr">
        <is>
          <t>2100023431</t>
        </is>
      </c>
      <c r="N2175" s="522" t="inlineStr"/>
      <c r="O2175" s="521">
        <f>M2175=N2175</f>
        <v/>
      </c>
      <c r="P2175" s="521">
        <f>AND(MONTH(F2175)=MONTH(S2175), YEAR(F2175)=YEAR(S2175))</f>
        <v/>
      </c>
      <c r="Q2175" s="521">
        <f>U2175="L001-901905215"</f>
        <v/>
      </c>
      <c r="R2175" s="556">
        <f>G2175-W2175</f>
        <v/>
      </c>
      <c r="S2175" s="521" t="n"/>
      <c r="T2175" s="522" t="n"/>
      <c r="U2175" s="522" t="n"/>
      <c r="V2175" s="522" t="n"/>
      <c r="W2175" s="521" t="n"/>
    </row>
    <row r="2176">
      <c r="A2176" s="521" t="n">
        <v>2168</v>
      </c>
      <c r="B2176" s="522" t="inlineStr">
        <is>
          <t>Light On/Off</t>
        </is>
      </c>
      <c r="C2176" s="522" t="inlineStr">
        <is>
          <t>កំពង់ផែស្វយ័តក្រុងព្រះសីហនុ</t>
        </is>
      </c>
      <c r="D2176" s="522" t="inlineStr">
        <is>
          <t>L001-100044638</t>
        </is>
      </c>
      <c r="E2176" s="521" t="inlineStr">
        <is>
          <t>070533</t>
        </is>
      </c>
      <c r="F2176" s="523" t="n">
        <v>44329</v>
      </c>
      <c r="G2176" s="556" t="n">
        <v>35365</v>
      </c>
      <c r="I2176" s="521">
        <f>G2176</f>
        <v/>
      </c>
      <c r="K2176" s="521">
        <f>I2176-G2176</f>
        <v/>
      </c>
      <c r="M2176" s="522" t="inlineStr">
        <is>
          <t>070533</t>
        </is>
      </c>
      <c r="N2176" s="522" t="inlineStr"/>
      <c r="O2176" s="521">
        <f>M2176=N2176</f>
        <v/>
      </c>
      <c r="P2176" s="521">
        <f>AND(MONTH(F2176)=MONTH(S2176), YEAR(F2176)=YEAR(S2176))</f>
        <v/>
      </c>
      <c r="Q2176" s="521">
        <f>U2176="L001-901905215"</f>
        <v/>
      </c>
      <c r="R2176" s="556">
        <f>G2176-W2176</f>
        <v/>
      </c>
      <c r="S2176" s="521" t="n"/>
      <c r="T2176" s="522" t="n"/>
      <c r="U2176" s="522" t="n"/>
      <c r="V2176" s="522" t="n"/>
      <c r="W2176" s="521" t="n"/>
    </row>
    <row r="2177">
      <c r="A2177" s="521" t="n">
        <v>2169</v>
      </c>
      <c r="B2177" s="522" t="inlineStr">
        <is>
          <t>Service Fee</t>
        </is>
      </c>
      <c r="C2177" s="522" t="inlineStr">
        <is>
          <t>ប្យួរ៉ូ វេរីតាស (ខេមបូឌា) លីមីធីត</t>
        </is>
      </c>
      <c r="D2177" s="522" t="inlineStr">
        <is>
          <t>L001-107024462</t>
        </is>
      </c>
      <c r="E2177" s="521" t="inlineStr">
        <is>
          <t>59010200</t>
        </is>
      </c>
      <c r="F2177" s="523" t="n">
        <v>44344</v>
      </c>
      <c r="G2177" s="556" t="n">
        <v>110256</v>
      </c>
      <c r="I2177" s="521">
        <f>G2177</f>
        <v/>
      </c>
      <c r="K2177" s="521">
        <f>I2177-G2177</f>
        <v/>
      </c>
      <c r="M2177" s="522" t="inlineStr">
        <is>
          <t>59010200</t>
        </is>
      </c>
      <c r="N2177" s="522" t="inlineStr">
        <is>
          <t>59010200</t>
        </is>
      </c>
      <c r="O2177" s="521">
        <f>M2177=N2177</f>
        <v/>
      </c>
      <c r="P2177" s="521">
        <f>AND(MONTH(F2177)=MONTH(S2177), YEAR(F2177)=YEAR(S2177))</f>
        <v/>
      </c>
      <c r="Q2177" s="521">
        <f>U2177="L001-901905215"</f>
        <v/>
      </c>
      <c r="R2177" s="556">
        <f>G2177-W2177</f>
        <v/>
      </c>
      <c r="S2177" s="523" t="n">
        <v>44345</v>
      </c>
      <c r="T2177" s="522" t="inlineStr">
        <is>
          <t>59010200</t>
        </is>
      </c>
      <c r="U2177" s="522" t="inlineStr">
        <is>
          <t>L001-901905215</t>
        </is>
      </c>
      <c r="V2177" s="522" t="inlineStr">
        <is>
          <t>វីអ៊ីស៊ិន (ខេមបូឌា) អ៊ិនដាសស្ទ្រី ឯ.ក</t>
        </is>
      </c>
      <c r="W2177" s="556" t="n">
        <v>110256</v>
      </c>
    </row>
    <row r="2178">
      <c r="A2178" s="521" t="n">
        <v>2170</v>
      </c>
      <c r="B2178" s="522" t="inlineStr">
        <is>
          <t>Service Fee</t>
        </is>
      </c>
      <c r="C2178" s="522" t="inlineStr">
        <is>
          <t>ប្យួរ៉ូ វេរីតាស (ខេមបូឌា) លីមីធីត</t>
        </is>
      </c>
      <c r="D2178" s="522" t="inlineStr">
        <is>
          <t>L001-107024462</t>
        </is>
      </c>
      <c r="E2178" s="521" t="inlineStr">
        <is>
          <t>59010188</t>
        </is>
      </c>
      <c r="F2178" s="523" t="n">
        <v>44343</v>
      </c>
      <c r="G2178" s="556" t="n">
        <v>165386</v>
      </c>
      <c r="I2178" s="521">
        <f>G2178</f>
        <v/>
      </c>
      <c r="K2178" s="521">
        <f>I2178-G2178</f>
        <v/>
      </c>
      <c r="M2178" s="522" t="inlineStr">
        <is>
          <t>59010188</t>
        </is>
      </c>
      <c r="N2178" s="522" t="inlineStr">
        <is>
          <t>59010188</t>
        </is>
      </c>
      <c r="O2178" s="521">
        <f>M2178=N2178</f>
        <v/>
      </c>
      <c r="P2178" s="521">
        <f>AND(MONTH(F2178)=MONTH(S2178), YEAR(F2178)=YEAR(S2178))</f>
        <v/>
      </c>
      <c r="Q2178" s="521">
        <f>U2178="L001-901905215"</f>
        <v/>
      </c>
      <c r="R2178" s="556">
        <f>G2178-W2178</f>
        <v/>
      </c>
      <c r="S2178" s="523" t="n">
        <v>44343</v>
      </c>
      <c r="T2178" s="522" t="inlineStr">
        <is>
          <t>59010188</t>
        </is>
      </c>
      <c r="U2178" s="522" t="inlineStr">
        <is>
          <t>L001-901905215</t>
        </is>
      </c>
      <c r="V2178" s="522" t="inlineStr">
        <is>
          <t>វីអ៊ីស៊ិន (ខេមបូឌា) អ៊ិនដាសស្ទ្រី ឯ.ក</t>
        </is>
      </c>
      <c r="W2178" s="556" t="n">
        <v>165386</v>
      </c>
    </row>
    <row r="2179">
      <c r="A2179" s="521" t="n">
        <v>2171</v>
      </c>
      <c r="B2179" s="522" t="inlineStr">
        <is>
          <t>Service Fee</t>
        </is>
      </c>
      <c r="C2179" s="522" t="inlineStr">
        <is>
          <t>ប្យួរ៉ូ វេរីតាស (ខេមបូឌា) លីមីធីត</t>
        </is>
      </c>
      <c r="D2179" s="522" t="inlineStr">
        <is>
          <t>L001-107024462</t>
        </is>
      </c>
      <c r="E2179" s="521" t="inlineStr">
        <is>
          <t>59010175</t>
        </is>
      </c>
      <c r="F2179" s="523" t="n">
        <v>44341</v>
      </c>
      <c r="G2179" s="556" t="n">
        <v>191798</v>
      </c>
      <c r="I2179" s="521">
        <f>G2179</f>
        <v/>
      </c>
      <c r="K2179" s="521">
        <f>I2179-G2179</f>
        <v/>
      </c>
      <c r="M2179" s="522" t="inlineStr">
        <is>
          <t>59010175</t>
        </is>
      </c>
      <c r="N2179" s="522" t="inlineStr">
        <is>
          <t>59010175</t>
        </is>
      </c>
      <c r="O2179" s="521">
        <f>M2179=N2179</f>
        <v/>
      </c>
      <c r="P2179" s="521">
        <f>AND(MONTH(F2179)=MONTH(S2179), YEAR(F2179)=YEAR(S2179))</f>
        <v/>
      </c>
      <c r="Q2179" s="521">
        <f>U2179="L001-901905215"</f>
        <v/>
      </c>
      <c r="R2179" s="556">
        <f>G2179-W2179</f>
        <v/>
      </c>
      <c r="S2179" s="523" t="n">
        <v>44341</v>
      </c>
      <c r="T2179" s="522" t="inlineStr">
        <is>
          <t>59010175</t>
        </is>
      </c>
      <c r="U2179" s="522" t="inlineStr">
        <is>
          <t>L001-901905215</t>
        </is>
      </c>
      <c r="V2179" s="522" t="inlineStr">
        <is>
          <t>វីអ៊ីស៊ិន (ខេមបូឌា) អ៊ិនដាសស្ទ្រី ឯ.ក</t>
        </is>
      </c>
      <c r="W2179" s="556" t="n">
        <v>191798</v>
      </c>
    </row>
    <row r="2180">
      <c r="A2180" s="521" t="n">
        <v>2172</v>
      </c>
      <c r="B2180" s="522" t="inlineStr">
        <is>
          <t>Service Fee</t>
        </is>
      </c>
      <c r="C2180" s="522" t="inlineStr">
        <is>
          <t>ប្យួរ៉ូ វេរីតាស (ខេមបូឌា) លីមីធីត</t>
        </is>
      </c>
      <c r="D2180" s="522" t="inlineStr">
        <is>
          <t>L001-107024462</t>
        </is>
      </c>
      <c r="E2180" s="521" t="inlineStr">
        <is>
          <t>59010171</t>
        </is>
      </c>
      <c r="F2180" s="523" t="n">
        <v>44340</v>
      </c>
      <c r="G2180" s="556" t="n">
        <v>165508</v>
      </c>
      <c r="I2180" s="521">
        <f>G2180</f>
        <v/>
      </c>
      <c r="K2180" s="521">
        <f>I2180-G2180</f>
        <v/>
      </c>
      <c r="M2180" s="522" t="inlineStr">
        <is>
          <t>59010171</t>
        </is>
      </c>
      <c r="N2180" s="522" t="inlineStr">
        <is>
          <t>59010171</t>
        </is>
      </c>
      <c r="O2180" s="521">
        <f>M2180=N2180</f>
        <v/>
      </c>
      <c r="P2180" s="521">
        <f>AND(MONTH(F2180)=MONTH(S2180), YEAR(F2180)=YEAR(S2180))</f>
        <v/>
      </c>
      <c r="Q2180" s="521">
        <f>U2180="L001-901905215"</f>
        <v/>
      </c>
      <c r="R2180" s="556">
        <f>G2180-W2180</f>
        <v/>
      </c>
      <c r="S2180" s="523" t="n">
        <v>44340</v>
      </c>
      <c r="T2180" s="522" t="inlineStr">
        <is>
          <t>59010171</t>
        </is>
      </c>
      <c r="U2180" s="522" t="inlineStr">
        <is>
          <t>L001-901905215</t>
        </is>
      </c>
      <c r="V2180" s="522" t="inlineStr">
        <is>
          <t>វីអ៊ីស៊ិន (ខេមបូឌា) អ៊ិនដាសស្ទ្រី ឯ.ក</t>
        </is>
      </c>
      <c r="W2180" s="556" t="n">
        <v>165508</v>
      </c>
    </row>
    <row r="2181">
      <c r="A2181" s="521" t="n">
        <v>2173</v>
      </c>
      <c r="B2181" s="522" t="inlineStr">
        <is>
          <t>Service Fee</t>
        </is>
      </c>
      <c r="C2181" s="522" t="inlineStr">
        <is>
          <t>ប្យួរ៉ូ វេរីតាស (ខេមបូឌា) លីមីធីត</t>
        </is>
      </c>
      <c r="D2181" s="522" t="inlineStr">
        <is>
          <t>L001-107024462</t>
        </is>
      </c>
      <c r="E2181" s="521" t="inlineStr">
        <is>
          <t>59010168</t>
        </is>
      </c>
      <c r="F2181" s="523" t="n">
        <v>44340</v>
      </c>
      <c r="G2181" s="556" t="n">
        <v>55171</v>
      </c>
      <c r="I2181" s="521">
        <f>G2181</f>
        <v/>
      </c>
      <c r="K2181" s="521">
        <f>I2181-G2181</f>
        <v/>
      </c>
      <c r="M2181" s="522" t="inlineStr">
        <is>
          <t>59010168</t>
        </is>
      </c>
      <c r="N2181" s="522" t="inlineStr">
        <is>
          <t>59010168</t>
        </is>
      </c>
      <c r="O2181" s="521">
        <f>M2181=N2181</f>
        <v/>
      </c>
      <c r="P2181" s="521">
        <f>AND(MONTH(F2181)=MONTH(S2181), YEAR(F2181)=YEAR(S2181))</f>
        <v/>
      </c>
      <c r="Q2181" s="521">
        <f>U2181="L001-901905215"</f>
        <v/>
      </c>
      <c r="R2181" s="556">
        <f>G2181-W2181</f>
        <v/>
      </c>
      <c r="S2181" s="523" t="n">
        <v>44340</v>
      </c>
      <c r="T2181" s="522" t="inlineStr">
        <is>
          <t>59010168</t>
        </is>
      </c>
      <c r="U2181" s="522" t="inlineStr">
        <is>
          <t>L001-901905215</t>
        </is>
      </c>
      <c r="V2181" s="522" t="inlineStr">
        <is>
          <t>វីអ៊ីស៊ិន (ខេមបូឌា) អ៊ិនដាសស្ទ្រី ឯ.ក</t>
        </is>
      </c>
      <c r="W2181" s="556" t="n">
        <v>55171</v>
      </c>
    </row>
    <row r="2182">
      <c r="A2182" s="521" t="n">
        <v>2174</v>
      </c>
      <c r="B2182" s="522" t="inlineStr">
        <is>
          <t>Service Fee</t>
        </is>
      </c>
      <c r="C2182" s="522" t="inlineStr">
        <is>
          <t>ប្យួរ៉ូ វេរីតាស (ខេមបូឌា) លីមីធីត</t>
        </is>
      </c>
      <c r="D2182" s="522" t="inlineStr">
        <is>
          <t>L001-107024462</t>
        </is>
      </c>
      <c r="E2182" s="521" t="inlineStr">
        <is>
          <t>59010161</t>
        </is>
      </c>
      <c r="F2182" s="523" t="n">
        <v>44337</v>
      </c>
      <c r="G2182" s="556" t="n">
        <v>55198</v>
      </c>
      <c r="I2182" s="521">
        <f>G2182</f>
        <v/>
      </c>
      <c r="K2182" s="521">
        <f>I2182-G2182</f>
        <v/>
      </c>
      <c r="M2182" s="522" t="inlineStr">
        <is>
          <t>59010161</t>
        </is>
      </c>
      <c r="N2182" s="522" t="inlineStr">
        <is>
          <t>59010161</t>
        </is>
      </c>
      <c r="O2182" s="521">
        <f>M2182=N2182</f>
        <v/>
      </c>
      <c r="P2182" s="521">
        <f>AND(MONTH(F2182)=MONTH(S2182), YEAR(F2182)=YEAR(S2182))</f>
        <v/>
      </c>
      <c r="Q2182" s="521">
        <f>U2182="L001-901905215"</f>
        <v/>
      </c>
      <c r="R2182" s="556">
        <f>G2182-W2182</f>
        <v/>
      </c>
      <c r="S2182" s="523" t="n">
        <v>44337</v>
      </c>
      <c r="T2182" s="522" t="inlineStr">
        <is>
          <t>59010161</t>
        </is>
      </c>
      <c r="U2182" s="522" t="inlineStr">
        <is>
          <t>L001-901905215</t>
        </is>
      </c>
      <c r="V2182" s="522" t="inlineStr">
        <is>
          <t>វីអ៊ីស៊ិន (ខេមបូឌា) អ៊ិនដាសស្ទ្រី ឯ.ក</t>
        </is>
      </c>
      <c r="W2182" s="556" t="n">
        <v>55198</v>
      </c>
    </row>
    <row r="2183">
      <c r="A2183" s="521" t="n">
        <v>2175</v>
      </c>
      <c r="B2183" s="522" t="inlineStr">
        <is>
          <t>Service Fee</t>
        </is>
      </c>
      <c r="C2183" s="522" t="inlineStr">
        <is>
          <t>ប្យួរ៉ូ វេរីតាស (ខេមបូឌា) លីមីធីត</t>
        </is>
      </c>
      <c r="D2183" s="522" t="inlineStr">
        <is>
          <t>L001-107024462</t>
        </is>
      </c>
      <c r="E2183" s="521" t="inlineStr">
        <is>
          <t>59010159</t>
        </is>
      </c>
      <c r="F2183" s="523" t="n">
        <v>44336</v>
      </c>
      <c r="G2183" s="556" t="n">
        <v>186635</v>
      </c>
      <c r="I2183" s="521">
        <f>G2183</f>
        <v/>
      </c>
      <c r="K2183" s="521">
        <f>I2183-G2183</f>
        <v/>
      </c>
      <c r="M2183" s="522" t="inlineStr">
        <is>
          <t>59010159</t>
        </is>
      </c>
      <c r="N2183" s="522" t="inlineStr">
        <is>
          <t>59010159</t>
        </is>
      </c>
      <c r="O2183" s="521">
        <f>M2183=N2183</f>
        <v/>
      </c>
      <c r="P2183" s="521">
        <f>AND(MONTH(F2183)=MONTH(S2183), YEAR(F2183)=YEAR(S2183))</f>
        <v/>
      </c>
      <c r="Q2183" s="521">
        <f>U2183="L001-901905215"</f>
        <v/>
      </c>
      <c r="R2183" s="556">
        <f>G2183-W2183</f>
        <v/>
      </c>
      <c r="S2183" s="523" t="n">
        <v>44336</v>
      </c>
      <c r="T2183" s="522" t="inlineStr">
        <is>
          <t>59010159</t>
        </is>
      </c>
      <c r="U2183" s="522" t="inlineStr">
        <is>
          <t>L001-901905215</t>
        </is>
      </c>
      <c r="V2183" s="522" t="inlineStr">
        <is>
          <t>វីអ៊ីស៊ិន (ខេមបូឌា) អ៊ិនដាសស្ទ្រី ឯ.ក</t>
        </is>
      </c>
      <c r="W2183" s="556" t="n">
        <v>186635</v>
      </c>
    </row>
    <row r="2184">
      <c r="A2184" s="521" t="n">
        <v>2176</v>
      </c>
      <c r="B2184" s="522" t="inlineStr">
        <is>
          <t>Service Fee</t>
        </is>
      </c>
      <c r="C2184" s="522" t="inlineStr">
        <is>
          <t>ប្យួរ៉ូ វេរីតាស (ខេមបូឌា) លីមីធីត</t>
        </is>
      </c>
      <c r="D2184" s="522" t="inlineStr">
        <is>
          <t>L001-107024462</t>
        </is>
      </c>
      <c r="E2184" s="521" t="inlineStr">
        <is>
          <t>59010157</t>
        </is>
      </c>
      <c r="F2184" s="523" t="n">
        <v>44336</v>
      </c>
      <c r="G2184" s="556" t="n">
        <v>165589</v>
      </c>
      <c r="I2184" s="521">
        <f>G2184</f>
        <v/>
      </c>
      <c r="K2184" s="521">
        <f>I2184-G2184</f>
        <v/>
      </c>
      <c r="M2184" s="522" t="inlineStr">
        <is>
          <t>59010157</t>
        </is>
      </c>
      <c r="N2184" s="522" t="inlineStr">
        <is>
          <t>59010157</t>
        </is>
      </c>
      <c r="O2184" s="521">
        <f>M2184=N2184</f>
        <v/>
      </c>
      <c r="P2184" s="521">
        <f>AND(MONTH(F2184)=MONTH(S2184), YEAR(F2184)=YEAR(S2184))</f>
        <v/>
      </c>
      <c r="Q2184" s="521">
        <f>U2184="L001-901905215"</f>
        <v/>
      </c>
      <c r="R2184" s="556">
        <f>G2184-W2184</f>
        <v/>
      </c>
      <c r="S2184" s="523" t="n">
        <v>44336</v>
      </c>
      <c r="T2184" s="522" t="inlineStr">
        <is>
          <t>59010157</t>
        </is>
      </c>
      <c r="U2184" s="522" t="inlineStr">
        <is>
          <t>L001-901905215</t>
        </is>
      </c>
      <c r="V2184" s="522" t="inlineStr">
        <is>
          <t>វីអ៊ីស៊ិន (ខេមបូឌា) អ៊ិនដាសស្ទ្រី ឯ.ក</t>
        </is>
      </c>
      <c r="W2184" s="556" t="n">
        <v>165590</v>
      </c>
    </row>
    <row r="2185">
      <c r="A2185" s="521" t="n">
        <v>2177</v>
      </c>
      <c r="B2185" s="522" t="inlineStr">
        <is>
          <t>Service Fee</t>
        </is>
      </c>
      <c r="C2185" s="522" t="inlineStr">
        <is>
          <t>ប្យួរ៉ូ វេរីតាស (ខេមបូឌា) លីមីធីត</t>
        </is>
      </c>
      <c r="D2185" s="522" t="inlineStr">
        <is>
          <t>L001-107024462</t>
        </is>
      </c>
      <c r="E2185" s="521" t="inlineStr">
        <is>
          <t>59010135</t>
        </is>
      </c>
      <c r="F2185" s="523" t="n">
        <v>44330</v>
      </c>
      <c r="G2185" s="556" t="n">
        <v>110121</v>
      </c>
      <c r="I2185" s="521">
        <f>G2185</f>
        <v/>
      </c>
      <c r="K2185" s="521">
        <f>I2185-G2185</f>
        <v/>
      </c>
      <c r="M2185" s="522" t="inlineStr">
        <is>
          <t>59010135</t>
        </is>
      </c>
      <c r="N2185" s="522" t="inlineStr">
        <is>
          <t>59010135</t>
        </is>
      </c>
      <c r="O2185" s="521">
        <f>M2185=N2185</f>
        <v/>
      </c>
      <c r="P2185" s="521">
        <f>AND(MONTH(F2185)=MONTH(S2185), YEAR(F2185)=YEAR(S2185))</f>
        <v/>
      </c>
      <c r="Q2185" s="521">
        <f>U2185="L001-901905215"</f>
        <v/>
      </c>
      <c r="R2185" s="556">
        <f>G2185-W2185</f>
        <v/>
      </c>
      <c r="S2185" s="523" t="n">
        <v>44330</v>
      </c>
      <c r="T2185" s="522" t="inlineStr">
        <is>
          <t>59010135</t>
        </is>
      </c>
      <c r="U2185" s="522" t="inlineStr">
        <is>
          <t>L001-901905215</t>
        </is>
      </c>
      <c r="V2185" s="522" t="inlineStr">
        <is>
          <t>វីអ៊ីស៊ិន (ខេមបូឌា) អ៊ិនដាសស្ទ្រី ឯ.ក</t>
        </is>
      </c>
      <c r="W2185" s="556" t="n">
        <v>110121</v>
      </c>
    </row>
    <row r="2186">
      <c r="A2186" s="521" t="n">
        <v>2178</v>
      </c>
      <c r="B2186" s="522" t="inlineStr">
        <is>
          <t>Service Fee</t>
        </is>
      </c>
      <c r="C2186" s="522" t="inlineStr">
        <is>
          <t>ប្យួរ៉ូ វេរីតាស (ខេមបូឌា) លីមីធីត</t>
        </is>
      </c>
      <c r="D2186" s="522" t="inlineStr">
        <is>
          <t>L001-107024462</t>
        </is>
      </c>
      <c r="E2186" s="521" t="inlineStr">
        <is>
          <t>59010130</t>
        </is>
      </c>
      <c r="F2186" s="523" t="n">
        <v>44329</v>
      </c>
      <c r="G2186" s="556" t="n">
        <v>55062</v>
      </c>
      <c r="I2186" s="521">
        <f>G2186</f>
        <v/>
      </c>
      <c r="K2186" s="521">
        <f>I2186-G2186</f>
        <v/>
      </c>
      <c r="M2186" s="522" t="inlineStr">
        <is>
          <t>59010130</t>
        </is>
      </c>
      <c r="N2186" s="522" t="inlineStr">
        <is>
          <t>59010130</t>
        </is>
      </c>
      <c r="O2186" s="521">
        <f>M2186=N2186</f>
        <v/>
      </c>
      <c r="P2186" s="521">
        <f>AND(MONTH(F2186)=MONTH(S2186), YEAR(F2186)=YEAR(S2186))</f>
        <v/>
      </c>
      <c r="Q2186" s="521">
        <f>U2186="L001-901905215"</f>
        <v/>
      </c>
      <c r="R2186" s="556">
        <f>G2186-W2186</f>
        <v/>
      </c>
      <c r="S2186" s="523" t="n">
        <v>44329</v>
      </c>
      <c r="T2186" s="522" t="inlineStr">
        <is>
          <t>59010130</t>
        </is>
      </c>
      <c r="U2186" s="522" t="inlineStr">
        <is>
          <t>L001-901905215</t>
        </is>
      </c>
      <c r="V2186" s="522" t="inlineStr">
        <is>
          <t>វីអ៊ីស៊ិន (ខេមបូឌា) អ៊ិនដាសស្ទ្រី ឯ.ក</t>
        </is>
      </c>
      <c r="W2186" s="556" t="n">
        <v>55062</v>
      </c>
    </row>
    <row r="2187">
      <c r="A2187" s="521" t="n">
        <v>2179</v>
      </c>
      <c r="B2187" s="522" t="inlineStr">
        <is>
          <t>Service Fee</t>
        </is>
      </c>
      <c r="C2187" s="522" t="inlineStr">
        <is>
          <t>ប្យួរ៉ូ វេរីតាស (ខេមបូឌា) លីមីធីត</t>
        </is>
      </c>
      <c r="D2187" s="522" t="inlineStr">
        <is>
          <t>L001-107024462</t>
        </is>
      </c>
      <c r="E2187" s="521" t="inlineStr">
        <is>
          <t>59010116</t>
        </is>
      </c>
      <c r="F2187" s="523" t="n">
        <v>44323</v>
      </c>
      <c r="G2187" s="556" t="n">
        <v>109877</v>
      </c>
      <c r="I2187" s="521">
        <f>G2187</f>
        <v/>
      </c>
      <c r="K2187" s="521">
        <f>I2187-G2187</f>
        <v/>
      </c>
      <c r="M2187" s="522" t="inlineStr">
        <is>
          <t>59010116</t>
        </is>
      </c>
      <c r="N2187" s="522" t="inlineStr">
        <is>
          <t>59010116</t>
        </is>
      </c>
      <c r="O2187" s="521">
        <f>M2187=N2187</f>
        <v/>
      </c>
      <c r="P2187" s="521">
        <f>AND(MONTH(F2187)=MONTH(S2187), YEAR(F2187)=YEAR(S2187))</f>
        <v/>
      </c>
      <c r="Q2187" s="521">
        <f>U2187="L001-901905215"</f>
        <v/>
      </c>
      <c r="R2187" s="556">
        <f>G2187-W2187</f>
        <v/>
      </c>
      <c r="S2187" s="523" t="n">
        <v>44323</v>
      </c>
      <c r="T2187" s="522" t="inlineStr">
        <is>
          <t>59010116</t>
        </is>
      </c>
      <c r="U2187" s="522" t="inlineStr">
        <is>
          <t>L001-901905215</t>
        </is>
      </c>
      <c r="V2187" s="522" t="inlineStr">
        <is>
          <t>វីអ៊ីស៊ិន (ខេមបូឌា) អ៊ិនដាសស្ទ្រី ឯ.ក</t>
        </is>
      </c>
      <c r="W2187" s="556" t="n">
        <v>109877</v>
      </c>
    </row>
    <row r="2188">
      <c r="A2188" s="521" t="n">
        <v>2180</v>
      </c>
      <c r="B2188" s="522" t="inlineStr">
        <is>
          <t>Lift-On &amp; Lift-Off</t>
        </is>
      </c>
      <c r="C2188" s="522" t="inlineStr">
        <is>
          <t>កំពង់ផែស្វយ័តភ្នំពេញ "ក.ស.ភ"</t>
        </is>
      </c>
      <c r="D2188" s="522" t="inlineStr">
        <is>
          <t>L001-100044999</t>
        </is>
      </c>
      <c r="E2188" s="521" t="inlineStr">
        <is>
          <t>INV20220538049</t>
        </is>
      </c>
      <c r="F2188" s="523" t="n">
        <v>44704</v>
      </c>
      <c r="G2188" s="556" t="n">
        <v>29246</v>
      </c>
      <c r="I2188" s="521">
        <f>G2188</f>
        <v/>
      </c>
      <c r="K2188" s="521">
        <f>I2188-G2188</f>
        <v/>
      </c>
      <c r="M2188" s="522" t="inlineStr">
        <is>
          <t>INV20220538049</t>
        </is>
      </c>
      <c r="N2188" s="522" t="inlineStr"/>
      <c r="O2188" s="521">
        <f>M2188=N2188</f>
        <v/>
      </c>
      <c r="P2188" s="521">
        <f>AND(MONTH(F2188)=MONTH(S2188), YEAR(F2188)=YEAR(S2188))</f>
        <v/>
      </c>
      <c r="Q2188" s="521">
        <f>U2188="L001-901905215"</f>
        <v/>
      </c>
      <c r="R2188" s="556">
        <f>G2188-W2188</f>
        <v/>
      </c>
      <c r="S2188" s="521" t="n"/>
      <c r="T2188" s="522" t="n"/>
      <c r="U2188" s="522" t="n"/>
      <c r="V2188" s="522" t="n"/>
      <c r="W2188" s="521" t="n"/>
    </row>
    <row r="2189">
      <c r="A2189" s="521" t="n">
        <v>2181</v>
      </c>
      <c r="B2189" s="522" t="inlineStr">
        <is>
          <t>Paper Label</t>
        </is>
      </c>
      <c r="C2189" s="522" t="inlineStr">
        <is>
          <t>ស៊ីន ហ្វី យ៉ាង ព្រីនធីង &amp; អិកសេសសឺរី ឯ.ក</t>
        </is>
      </c>
      <c r="D2189" s="522" t="inlineStr">
        <is>
          <t>K010-901906822</t>
        </is>
      </c>
      <c r="E2189" s="521" t="inlineStr">
        <is>
          <t>XYF-YD20220084</t>
        </is>
      </c>
      <c r="F2189" s="523" t="n">
        <v>44712</v>
      </c>
      <c r="G2189" s="556" t="n">
        <v>961577</v>
      </c>
      <c r="I2189" s="521">
        <f>G2189</f>
        <v/>
      </c>
      <c r="K2189" s="521">
        <f>I2189-G2189</f>
        <v/>
      </c>
      <c r="M2189" s="522" t="inlineStr">
        <is>
          <t>XYFYD20220084</t>
        </is>
      </c>
      <c r="N2189" s="522" t="inlineStr"/>
      <c r="O2189" s="521">
        <f>M2189=N2189</f>
        <v/>
      </c>
      <c r="P2189" s="521">
        <f>AND(MONTH(F2189)=MONTH(S2189), YEAR(F2189)=YEAR(S2189))</f>
        <v/>
      </c>
      <c r="Q2189" s="521">
        <f>U2189="L001-901905215"</f>
        <v/>
      </c>
      <c r="R2189" s="556">
        <f>G2189-W2189</f>
        <v/>
      </c>
      <c r="S2189" s="521" t="n"/>
      <c r="T2189" s="522" t="n"/>
      <c r="U2189" s="522" t="n"/>
      <c r="V2189" s="522" t="n"/>
      <c r="W2189" s="521" t="n"/>
    </row>
    <row r="2190">
      <c r="A2190" s="521" t="n">
        <v>2182</v>
      </c>
      <c r="B2190" s="522" t="inlineStr">
        <is>
          <t>Color Box and PDQ</t>
        </is>
      </c>
      <c r="C2190" s="522" t="inlineStr">
        <is>
          <t>វីង ចេង ភែកឃីជីង ឯ.ក</t>
        </is>
      </c>
      <c r="D2190" s="522" t="inlineStr">
        <is>
          <t>L001-902102915</t>
        </is>
      </c>
      <c r="E2190" s="521" t="inlineStr">
        <is>
          <t>TI0220</t>
        </is>
      </c>
      <c r="F2190" s="523" t="n">
        <v>44712</v>
      </c>
      <c r="G2190" s="556" t="n">
        <v>11925561</v>
      </c>
      <c r="I2190" s="521">
        <f>G2190</f>
        <v/>
      </c>
      <c r="K2190" s="521">
        <f>I2190-G2190</f>
        <v/>
      </c>
      <c r="M2190" s="522" t="inlineStr">
        <is>
          <t>TI0220</t>
        </is>
      </c>
      <c r="N2190" s="522" t="inlineStr">
        <is>
          <t>TI0220</t>
        </is>
      </c>
      <c r="O2190" s="521">
        <f>M2190=N2190</f>
        <v/>
      </c>
      <c r="P2190" s="521">
        <f>AND(MONTH(F2190)=MONTH(S2190), YEAR(F2190)=YEAR(S2190))</f>
        <v/>
      </c>
      <c r="Q2190" s="521">
        <f>U2190="L001-901905215"</f>
        <v/>
      </c>
      <c r="R2190" s="556">
        <f>G2190-W2190</f>
        <v/>
      </c>
      <c r="S2190" s="523" t="n">
        <v>44712</v>
      </c>
      <c r="T2190" s="522" t="inlineStr">
        <is>
          <t>TI0220</t>
        </is>
      </c>
      <c r="U2190" s="522" t="inlineStr">
        <is>
          <t>L001-901905215</t>
        </is>
      </c>
      <c r="V2190" s="522" t="inlineStr">
        <is>
          <t>វីអ៊ីស៊ិន (ខេមបូឌា) អ៊ិនដាសស្ទ្រី ឯ.ក</t>
        </is>
      </c>
      <c r="W2190" s="556" t="n">
        <v>11925559</v>
      </c>
    </row>
    <row r="2191">
      <c r="A2191" s="521" t="n">
        <v>2183</v>
      </c>
      <c r="B2191" s="522" t="inlineStr">
        <is>
          <t>Plastic Box</t>
        </is>
      </c>
      <c r="C2191" s="522" t="inlineStr">
        <is>
          <t>ដុងគ័ន ស៊ីធី ហ្វាញស្តារ ព្រីនធីង (ខេមបូឌា)</t>
        </is>
      </c>
      <c r="D2191" s="522" t="inlineStr">
        <is>
          <t>L001-100193021</t>
        </is>
      </c>
      <c r="E2191" s="521" t="inlineStr">
        <is>
          <t>00155</t>
        </is>
      </c>
      <c r="F2191" s="523" t="n">
        <v>44708</v>
      </c>
      <c r="G2191" s="556" t="n">
        <v>3756489</v>
      </c>
      <c r="I2191" s="521">
        <f>G2191</f>
        <v/>
      </c>
      <c r="K2191" s="521">
        <f>I2191-G2191</f>
        <v/>
      </c>
      <c r="M2191" s="522" t="inlineStr">
        <is>
          <t>00155</t>
        </is>
      </c>
      <c r="N2191" s="522" t="inlineStr">
        <is>
          <t>00155</t>
        </is>
      </c>
      <c r="O2191" s="521">
        <f>M2191=N2191</f>
        <v/>
      </c>
      <c r="P2191" s="521">
        <f>AND(MONTH(F2191)=MONTH(S2191), YEAR(F2191)=YEAR(S2191))</f>
        <v/>
      </c>
      <c r="Q2191" s="521">
        <f>U2191="L001-901905215"</f>
        <v/>
      </c>
      <c r="R2191" s="556">
        <f>G2191-W2191</f>
        <v/>
      </c>
      <c r="S2191" s="523" t="n">
        <v>44708</v>
      </c>
      <c r="T2191" s="522" t="inlineStr">
        <is>
          <t>00155</t>
        </is>
      </c>
      <c r="U2191" s="522" t="inlineStr">
        <is>
          <t>L001-901905215</t>
        </is>
      </c>
      <c r="V2191" s="522" t="inlineStr">
        <is>
          <t>វីអ៊ីស៊ិន (ខេមបូឌា) អ៊ិនដាសស្ទ្រី ឯ.ក</t>
        </is>
      </c>
      <c r="W2191" s="556" t="n">
        <v>3756489</v>
      </c>
    </row>
    <row r="2192">
      <c r="A2192" s="521" t="n">
        <v>2184</v>
      </c>
      <c r="B2192" s="522" t="inlineStr">
        <is>
          <t>Plastic</t>
        </is>
      </c>
      <c r="C2192" s="522" t="inlineStr">
        <is>
          <t>ឌើ សឹង ហ្វា ភែកឃីជីង អ៊ិនដាសស្រ្ទៀល ឯ.ក</t>
        </is>
      </c>
      <c r="D2192" s="522" t="inlineStr">
        <is>
          <t>L001-901638065</t>
        </is>
      </c>
      <c r="E2192" s="521" t="inlineStr">
        <is>
          <t>DSF202200153</t>
        </is>
      </c>
      <c r="F2192" s="523" t="n">
        <v>44706</v>
      </c>
      <c r="G2192" s="556" t="n">
        <v>599941</v>
      </c>
      <c r="I2192" s="521">
        <f>G2192</f>
        <v/>
      </c>
      <c r="K2192" s="521">
        <f>I2192-G2192</f>
        <v/>
      </c>
      <c r="M2192" s="522" t="inlineStr">
        <is>
          <t>DSF202200153</t>
        </is>
      </c>
      <c r="N2192" s="522" t="inlineStr">
        <is>
          <t>DSF202200153</t>
        </is>
      </c>
      <c r="O2192" s="521">
        <f>M2192=N2192</f>
        <v/>
      </c>
      <c r="P2192" s="521">
        <f>AND(MONTH(F2192)=MONTH(S2192), YEAR(F2192)=YEAR(S2192))</f>
        <v/>
      </c>
      <c r="Q2192" s="521">
        <f>U2192="L001-901905215"</f>
        <v/>
      </c>
      <c r="R2192" s="556">
        <f>G2192-W2192</f>
        <v/>
      </c>
      <c r="S2192" s="523" t="n">
        <v>44706</v>
      </c>
      <c r="T2192" s="522" t="inlineStr">
        <is>
          <t>DSF202200153</t>
        </is>
      </c>
      <c r="U2192" s="522" t="inlineStr">
        <is>
          <t>L001-901905215</t>
        </is>
      </c>
      <c r="V2192" s="522" t="inlineStr">
        <is>
          <t>វីអ៊ីស៊ិន (ខេមបូឌា) អ៊ិនដាសស្ទ្រី ឯ.ក</t>
        </is>
      </c>
      <c r="W2192" s="556" t="n">
        <v>599941</v>
      </c>
    </row>
    <row r="2193">
      <c r="A2193" s="521" t="n">
        <v>2185</v>
      </c>
      <c r="B2193" s="522" t="inlineStr">
        <is>
          <t>Carton Paper</t>
        </is>
      </c>
      <c r="C2193" s="522" t="inlineStr">
        <is>
          <t>យី មីង ភែកឃីជីង ឯ.ក</t>
        </is>
      </c>
      <c r="D2193" s="522" t="inlineStr">
        <is>
          <t>B108-902101335</t>
        </is>
      </c>
      <c r="E2193" s="521" t="inlineStr">
        <is>
          <t>YM-0017</t>
        </is>
      </c>
      <c r="F2193" s="523" t="n">
        <v>44711</v>
      </c>
      <c r="G2193" s="556" t="n">
        <v>1938305</v>
      </c>
      <c r="I2193" s="521">
        <f>G2193</f>
        <v/>
      </c>
      <c r="K2193" s="521">
        <f>I2193-G2193</f>
        <v/>
      </c>
      <c r="M2193" s="522" t="inlineStr">
        <is>
          <t>YM0017</t>
        </is>
      </c>
      <c r="N2193" s="522" t="inlineStr">
        <is>
          <t>YM0017</t>
        </is>
      </c>
      <c r="O2193" s="521">
        <f>M2193=N2193</f>
        <v/>
      </c>
      <c r="P2193" s="521">
        <f>AND(MONTH(F2193)=MONTH(S2193), YEAR(F2193)=YEAR(S2193))</f>
        <v/>
      </c>
      <c r="Q2193" s="521">
        <f>U2193="L001-901905215"</f>
        <v/>
      </c>
      <c r="R2193" s="556">
        <f>G2193-W2193</f>
        <v/>
      </c>
      <c r="S2193" s="523" t="n">
        <v>44711</v>
      </c>
      <c r="T2193" s="522" t="inlineStr">
        <is>
          <t>YM-0017</t>
        </is>
      </c>
      <c r="U2193" s="522" t="inlineStr">
        <is>
          <t>L001-901905215</t>
        </is>
      </c>
      <c r="V2193" s="522" t="inlineStr">
        <is>
          <t>វីអ៊ីស៊ិន (ខេមបូឌា) អ៊ិនដាសស្ទ្រី ឯ.ក</t>
        </is>
      </c>
      <c r="W2193" s="556" t="n">
        <v>1938305</v>
      </c>
    </row>
    <row r="2194">
      <c r="A2194" s="521" t="n">
        <v>2186</v>
      </c>
      <c r="B2194" s="522" t="inlineStr">
        <is>
          <t>CLEARNCE &amp; TRUCKING FEE</t>
        </is>
      </c>
      <c r="C2194" s="522" t="inlineStr">
        <is>
          <t>56ប៊ី-លីង សឹបផ្លាយ ឆេន មេនេចម៉ិន ឯ.ក</t>
        </is>
      </c>
      <c r="D2194" s="522" t="inlineStr">
        <is>
          <t>K004-902004795</t>
        </is>
      </c>
      <c r="E2194" s="521" t="inlineStr">
        <is>
          <t>TI2022-0427</t>
        </is>
      </c>
      <c r="F2194" s="523" t="n">
        <v>44711</v>
      </c>
      <c r="G2194" s="556" t="n">
        <v>270123</v>
      </c>
      <c r="I2194" s="521">
        <f>G2194</f>
        <v/>
      </c>
      <c r="K2194" s="521">
        <f>I2194-G2194</f>
        <v/>
      </c>
      <c r="M2194" s="522" t="inlineStr">
        <is>
          <t>TI20220427</t>
        </is>
      </c>
      <c r="N2194" s="522" t="inlineStr">
        <is>
          <t>TI20220427</t>
        </is>
      </c>
      <c r="O2194" s="521">
        <f>M2194=N2194</f>
        <v/>
      </c>
      <c r="P2194" s="521">
        <f>AND(MONTH(F2194)=MONTH(S2194), YEAR(F2194)=YEAR(S2194))</f>
        <v/>
      </c>
      <c r="Q2194" s="521">
        <f>U2194="L001-901905215"</f>
        <v/>
      </c>
      <c r="R2194" s="556">
        <f>G2194-W2194</f>
        <v/>
      </c>
      <c r="S2194" s="523" t="n">
        <v>44711</v>
      </c>
      <c r="T2194" s="522" t="inlineStr">
        <is>
          <t>TI2022-0427</t>
        </is>
      </c>
      <c r="U2194" s="522" t="inlineStr">
        <is>
          <t>L001-901905215</t>
        </is>
      </c>
      <c r="V2194" s="522" t="inlineStr">
        <is>
          <t>វីអ៊ីស៊ិន (ខេមបូឌា) អ៊ិនដាសស្ទ្រី ឯ.ក</t>
        </is>
      </c>
      <c r="W2194" s="556" t="n">
        <v>270123</v>
      </c>
    </row>
    <row r="2195">
      <c r="A2195" s="521" t="n">
        <v>2187</v>
      </c>
      <c r="B2195" s="522" t="inlineStr">
        <is>
          <t>Rental Machine Canon IR-2525</t>
        </is>
      </c>
      <c r="C2195" s="522" t="inlineStr">
        <is>
          <t xml:space="preserve">អិនធីអិល តិចណូឡូជី </t>
        </is>
      </c>
      <c r="D2195" s="522" t="inlineStr">
        <is>
          <t>K005-901900283</t>
        </is>
      </c>
      <c r="E2195" s="521" t="inlineStr">
        <is>
          <t>22001405</t>
        </is>
      </c>
      <c r="F2195" s="523" t="n">
        <v>44682</v>
      </c>
      <c r="G2195" s="556" t="n">
        <v>25962</v>
      </c>
      <c r="I2195" s="521">
        <f>G2195</f>
        <v/>
      </c>
      <c r="K2195" s="521">
        <f>I2195-G2195</f>
        <v/>
      </c>
      <c r="M2195" s="522" t="inlineStr">
        <is>
          <t>22001405</t>
        </is>
      </c>
      <c r="N2195" s="522" t="inlineStr"/>
      <c r="O2195" s="521">
        <f>M2195=N2195</f>
        <v/>
      </c>
      <c r="P2195" s="521">
        <f>AND(MONTH(F2195)=MONTH(S2195), YEAR(F2195)=YEAR(S2195))</f>
        <v/>
      </c>
      <c r="Q2195" s="521">
        <f>U2195="L001-901905215"</f>
        <v/>
      </c>
      <c r="R2195" s="556">
        <f>G2195-W2195</f>
        <v/>
      </c>
      <c r="S2195" s="521" t="n"/>
      <c r="T2195" s="522" t="n"/>
      <c r="U2195" s="522" t="n"/>
      <c r="V2195" s="522" t="n"/>
      <c r="W2195" s="521" t="n"/>
    </row>
    <row r="2196">
      <c r="A2196" s="521" t="n">
        <v>2188</v>
      </c>
      <c r="B2196" s="522" t="inlineStr">
        <is>
          <t>Express Fee</t>
        </is>
      </c>
      <c r="C2196" s="522" t="inlineStr">
        <is>
          <t>ឌី អេច អិល អិចប្រេស (ខេមបូឌា)</t>
        </is>
      </c>
      <c r="D2196" s="522" t="inlineStr">
        <is>
          <t>L001-100045197</t>
        </is>
      </c>
      <c r="E2196" s="521" t="inlineStr">
        <is>
          <t>PNHR000423860</t>
        </is>
      </c>
      <c r="F2196" s="523" t="n">
        <v>44712</v>
      </c>
      <c r="G2196" s="556" t="n">
        <v>33012</v>
      </c>
      <c r="I2196" s="521">
        <f>G2196</f>
        <v/>
      </c>
      <c r="K2196" s="521">
        <f>I2196-G2196</f>
        <v/>
      </c>
      <c r="M2196" s="522" t="inlineStr">
        <is>
          <t>PNHR000423860</t>
        </is>
      </c>
      <c r="N2196" s="522" t="inlineStr">
        <is>
          <t>PNHR000423860</t>
        </is>
      </c>
      <c r="O2196" s="521">
        <f>M2196=N2196</f>
        <v/>
      </c>
      <c r="P2196" s="521">
        <f>AND(MONTH(F2196)=MONTH(S2196), YEAR(F2196)=YEAR(S2196))</f>
        <v/>
      </c>
      <c r="Q2196" s="521">
        <f>U2196="L001-901905215"</f>
        <v/>
      </c>
      <c r="R2196" s="556">
        <f>G2196-W2196</f>
        <v/>
      </c>
      <c r="S2196" s="523" t="n">
        <v>44712</v>
      </c>
      <c r="T2196" s="522" t="inlineStr">
        <is>
          <t>PNHR000423860.</t>
        </is>
      </c>
      <c r="U2196" s="522" t="inlineStr">
        <is>
          <t>L001-901905215</t>
        </is>
      </c>
      <c r="V2196" s="522" t="inlineStr">
        <is>
          <t>វីអ៊ីស៊ិន (ខេមបូឌា) អ៊ិនដាសស្ទ្រី ឯ.ក</t>
        </is>
      </c>
      <c r="W2196" s="556" t="n">
        <v>0</v>
      </c>
    </row>
    <row r="2197">
      <c r="A2197" s="521" t="n">
        <v>2189</v>
      </c>
      <c r="B2197" s="522" t="inlineStr">
        <is>
          <t>Express Fee</t>
        </is>
      </c>
      <c r="C2197" s="522" t="inlineStr">
        <is>
          <t>ឌី អេច អិល អិចប្រេស (ខេមបូឌា)</t>
        </is>
      </c>
      <c r="D2197" s="522" t="inlineStr">
        <is>
          <t>L001-100045197</t>
        </is>
      </c>
      <c r="E2197" s="521" t="inlineStr">
        <is>
          <t>PNHR000423196</t>
        </is>
      </c>
      <c r="F2197" s="523" t="n">
        <v>44707</v>
      </c>
      <c r="G2197" s="556" t="n">
        <v>20693</v>
      </c>
      <c r="I2197" s="521">
        <f>G2197</f>
        <v/>
      </c>
      <c r="K2197" s="521">
        <f>I2197-G2197</f>
        <v/>
      </c>
      <c r="M2197" s="522" t="inlineStr">
        <is>
          <t>PNHR000423196</t>
        </is>
      </c>
      <c r="N2197" s="522" t="inlineStr">
        <is>
          <t>PNHR000423196</t>
        </is>
      </c>
      <c r="O2197" s="521">
        <f>M2197=N2197</f>
        <v/>
      </c>
      <c r="P2197" s="521">
        <f>AND(MONTH(F2197)=MONTH(S2197), YEAR(F2197)=YEAR(S2197))</f>
        <v/>
      </c>
      <c r="Q2197" s="521">
        <f>U2197="L001-901905215"</f>
        <v/>
      </c>
      <c r="R2197" s="556">
        <f>G2197-W2197</f>
        <v/>
      </c>
      <c r="S2197" s="523" t="n">
        <v>44707</v>
      </c>
      <c r="T2197" s="522" t="inlineStr">
        <is>
          <t>PNHR000423196</t>
        </is>
      </c>
      <c r="U2197" s="522" t="inlineStr">
        <is>
          <t>L001-901905215</t>
        </is>
      </c>
      <c r="V2197" s="522" t="inlineStr">
        <is>
          <t>វីអ៊ីស៊ិន (ខេមបូឌា) អ៊ិនដាសស្ទ្រី ឯ.ក</t>
        </is>
      </c>
      <c r="W2197" s="556" t="n">
        <v>20692</v>
      </c>
    </row>
    <row r="2198">
      <c r="A2198" s="521" t="n">
        <v>2190</v>
      </c>
      <c r="B2198" s="522" t="inlineStr">
        <is>
          <t>Express Fee</t>
        </is>
      </c>
      <c r="C2198" s="522" t="inlineStr">
        <is>
          <t>ឌី អេច អិល អិចប្រេស (ខេមបូឌា)</t>
        </is>
      </c>
      <c r="D2198" s="522" t="inlineStr">
        <is>
          <t>L001-100045197</t>
        </is>
      </c>
      <c r="E2198" s="521" t="inlineStr">
        <is>
          <t>PNHR000421629</t>
        </is>
      </c>
      <c r="F2198" s="523" t="n">
        <v>44693</v>
      </c>
      <c r="G2198" s="556" t="n">
        <v>4864</v>
      </c>
      <c r="I2198" s="521">
        <f>G2198</f>
        <v/>
      </c>
      <c r="K2198" s="521">
        <f>I2198-G2198</f>
        <v/>
      </c>
      <c r="M2198" s="522" t="inlineStr">
        <is>
          <t>PNHR000421629</t>
        </is>
      </c>
      <c r="N2198" s="522" t="inlineStr">
        <is>
          <t>PNHR000421629</t>
        </is>
      </c>
      <c r="O2198" s="521">
        <f>M2198=N2198</f>
        <v/>
      </c>
      <c r="P2198" s="521">
        <f>AND(MONTH(F2198)=MONTH(S2198), YEAR(F2198)=YEAR(S2198))</f>
        <v/>
      </c>
      <c r="Q2198" s="521">
        <f>U2198="L001-901905215"</f>
        <v/>
      </c>
      <c r="R2198" s="556">
        <f>G2198-W2198</f>
        <v/>
      </c>
      <c r="S2198" s="523" t="n">
        <v>44693</v>
      </c>
      <c r="T2198" s="522" t="inlineStr">
        <is>
          <t>PNHR000421629</t>
        </is>
      </c>
      <c r="U2198" s="522" t="inlineStr">
        <is>
          <t>L001-901905215</t>
        </is>
      </c>
      <c r="V2198" s="522" t="inlineStr">
        <is>
          <t>វីអ៊ីស៊ិន (ខេមបូឌា) អ៊ិនដាសស្ទ្រី ឯ.ក</t>
        </is>
      </c>
      <c r="W2198" s="556" t="n">
        <v>4865</v>
      </c>
    </row>
    <row r="2199">
      <c r="A2199" s="521" t="n">
        <v>2191</v>
      </c>
      <c r="B2199" s="522" t="inlineStr">
        <is>
          <t>Building Rental Charge and Management Fee for May 2022</t>
        </is>
      </c>
      <c r="C2199" s="522" t="inlineStr">
        <is>
          <t>មេហ្គា លេបឹល &amp; ស្ទីកឃើរ (ខេមបូឌា)</t>
        </is>
      </c>
      <c r="D2199" s="522" t="inlineStr">
        <is>
          <t>L001-100185983</t>
        </is>
      </c>
      <c r="E2199" s="521" t="inlineStr">
        <is>
          <t>INV20220502</t>
        </is>
      </c>
      <c r="F2199" s="523" t="n">
        <v>44683</v>
      </c>
      <c r="G2199" s="556" t="n">
        <v>4518304</v>
      </c>
      <c r="I2199" s="521">
        <f>G2199</f>
        <v/>
      </c>
      <c r="K2199" s="521">
        <f>I2199-G2199</f>
        <v/>
      </c>
      <c r="M2199" s="522" t="inlineStr">
        <is>
          <t>INV20220502</t>
        </is>
      </c>
      <c r="N2199" s="522" t="inlineStr">
        <is>
          <t>INV20220502</t>
        </is>
      </c>
      <c r="O2199" s="521">
        <f>M2199=N2199</f>
        <v/>
      </c>
      <c r="P2199" s="521">
        <f>AND(MONTH(F2199)=MONTH(S2199), YEAR(F2199)=YEAR(S2199))</f>
        <v/>
      </c>
      <c r="Q2199" s="521">
        <f>U2199="L001-901905215"</f>
        <v/>
      </c>
      <c r="R2199" s="556">
        <f>G2199-W2199</f>
        <v/>
      </c>
      <c r="S2199" s="523" t="n">
        <v>44683</v>
      </c>
      <c r="T2199" s="522" t="inlineStr">
        <is>
          <t>INV20220502</t>
        </is>
      </c>
      <c r="U2199" s="522" t="inlineStr">
        <is>
          <t>L001-901905215</t>
        </is>
      </c>
      <c r="V2199" s="522" t="inlineStr">
        <is>
          <t>វីអ៊ីស៊ិន (ខេមបូឌា) អ៊ិនដាសស្ទ្រី ឯ.ក</t>
        </is>
      </c>
      <c r="W2199" s="556" t="n">
        <v>4518305</v>
      </c>
    </row>
    <row r="2200">
      <c r="A2200" s="521" t="n">
        <v>2192</v>
      </c>
      <c r="B2200" s="522" t="inlineStr">
        <is>
          <t>Security Guard  for May 2022</t>
        </is>
      </c>
      <c r="C2200" s="522" t="inlineStr">
        <is>
          <t>ជីអេសអេស គ្លូប៊ល ស៊ីឃ្យួរឹធី សឹលូសិន</t>
        </is>
      </c>
      <c r="D2200" s="522" t="inlineStr">
        <is>
          <t>L001-105008486</t>
        </is>
      </c>
      <c r="E2200" s="521" t="inlineStr">
        <is>
          <t>20220876</t>
        </is>
      </c>
      <c r="F2200" s="523" t="n">
        <v>44705</v>
      </c>
      <c r="G2200" s="556" t="n">
        <v>227472</v>
      </c>
      <c r="I2200" s="521">
        <f>G2200</f>
        <v/>
      </c>
      <c r="K2200" s="521">
        <f>I2200-G2200</f>
        <v/>
      </c>
      <c r="M2200" s="522" t="inlineStr">
        <is>
          <t>20220876</t>
        </is>
      </c>
      <c r="N2200" s="522" t="inlineStr">
        <is>
          <t>20220876</t>
        </is>
      </c>
      <c r="O2200" s="521">
        <f>M2200=N2200</f>
        <v/>
      </c>
      <c r="P2200" s="521">
        <f>AND(MONTH(F2200)=MONTH(S2200), YEAR(F2200)=YEAR(S2200))</f>
        <v/>
      </c>
      <c r="Q2200" s="521">
        <f>U2200="L001-901905215"</f>
        <v/>
      </c>
      <c r="R2200" s="556">
        <f>G2200-W2200</f>
        <v/>
      </c>
      <c r="S2200" s="523" t="n">
        <v>44705</v>
      </c>
      <c r="T2200" s="522" t="inlineStr">
        <is>
          <t>20220876</t>
        </is>
      </c>
      <c r="U2200" s="522" t="inlineStr">
        <is>
          <t>L001-901905215</t>
        </is>
      </c>
      <c r="V2200" s="522" t="inlineStr">
        <is>
          <t>វីអ៊ីស៊ិន (ខេមបូឌា) អ៊ិនដាសស្ទ្រី ឯ.ក</t>
        </is>
      </c>
      <c r="W2200" s="556" t="n">
        <v>227472</v>
      </c>
    </row>
    <row r="2201">
      <c r="A2201" s="521" t="n">
        <v>2193</v>
      </c>
      <c r="B2201" s="522" t="inlineStr">
        <is>
          <t>Instrasture Maintenance Fee for Mar 2022</t>
        </is>
      </c>
      <c r="C2201" s="522" t="inlineStr">
        <is>
          <t>ភ្នំពេញ អេសអ៊ីហ្សិត ភីអិលស៊ី</t>
        </is>
      </c>
      <c r="D2201" s="522" t="inlineStr">
        <is>
          <t>L001-100046592</t>
        </is>
      </c>
      <c r="E2201" s="521" t="inlineStr">
        <is>
          <t>202202346</t>
        </is>
      </c>
      <c r="F2201" s="523" t="n">
        <v>44699</v>
      </c>
      <c r="G2201" s="556" t="n">
        <v>164423</v>
      </c>
      <c r="I2201" s="521">
        <f>G2201</f>
        <v/>
      </c>
      <c r="K2201" s="521">
        <f>I2201-G2201</f>
        <v/>
      </c>
      <c r="M2201" s="522" t="inlineStr">
        <is>
          <t>202202346</t>
        </is>
      </c>
      <c r="N2201" s="522" t="inlineStr">
        <is>
          <t>202202346</t>
        </is>
      </c>
      <c r="O2201" s="521">
        <f>M2201=N2201</f>
        <v/>
      </c>
      <c r="P2201" s="521">
        <f>AND(MONTH(F2201)=MONTH(S2201), YEAR(F2201)=YEAR(S2201))</f>
        <v/>
      </c>
      <c r="Q2201" s="521">
        <f>U2201="L001-901905215"</f>
        <v/>
      </c>
      <c r="R2201" s="556">
        <f>G2201-W2201</f>
        <v/>
      </c>
      <c r="S2201" s="523" t="n">
        <v>44699</v>
      </c>
      <c r="T2201" s="522" t="inlineStr">
        <is>
          <t>2022-02346</t>
        </is>
      </c>
      <c r="U2201" s="522" t="inlineStr">
        <is>
          <t>L001-901905215</t>
        </is>
      </c>
      <c r="V2201" s="522" t="inlineStr">
        <is>
          <t>វីអ៊ីស៊ិន (ខេមបូឌា) អ៊ិនដាសស្ទ្រី ឯ.ក</t>
        </is>
      </c>
      <c r="W2201" s="556" t="n">
        <v>164423</v>
      </c>
    </row>
    <row r="2202">
      <c r="A2202" s="521" t="n">
        <v>2194</v>
      </c>
      <c r="B2202" s="522" t="inlineStr">
        <is>
          <t>Waster Water Charge</t>
        </is>
      </c>
      <c r="C2202" s="522" t="inlineStr">
        <is>
          <t>ភ្នំពេញ អេសអ៊ីហ្សិត ភីអិលស៊ី</t>
        </is>
      </c>
      <c r="D2202" s="522" t="inlineStr">
        <is>
          <t>L001-100046592</t>
        </is>
      </c>
      <c r="E2202" s="521" t="inlineStr">
        <is>
          <t>202202337</t>
        </is>
      </c>
      <c r="F2202" s="523" t="n">
        <v>44699</v>
      </c>
      <c r="G2202" s="556" t="n">
        <v>200193</v>
      </c>
      <c r="I2202" s="521">
        <f>G2202</f>
        <v/>
      </c>
      <c r="K2202" s="521">
        <f>I2202-G2202</f>
        <v/>
      </c>
      <c r="M2202" s="522" t="inlineStr">
        <is>
          <t>202202337</t>
        </is>
      </c>
      <c r="N2202" s="522" t="inlineStr">
        <is>
          <t>202202337</t>
        </is>
      </c>
      <c r="O2202" s="521">
        <f>M2202=N2202</f>
        <v/>
      </c>
      <c r="P2202" s="521">
        <f>AND(MONTH(F2202)=MONTH(S2202), YEAR(F2202)=YEAR(S2202))</f>
        <v/>
      </c>
      <c r="Q2202" s="521">
        <f>U2202="L001-901905215"</f>
        <v/>
      </c>
      <c r="R2202" s="556">
        <f>G2202-W2202</f>
        <v/>
      </c>
      <c r="S2202" s="523" t="n">
        <v>44699</v>
      </c>
      <c r="T2202" s="522" t="inlineStr">
        <is>
          <t>2022-02337</t>
        </is>
      </c>
      <c r="U2202" s="522" t="inlineStr">
        <is>
          <t>L001-901905215</t>
        </is>
      </c>
      <c r="V2202" s="522" t="inlineStr">
        <is>
          <t>វីអ៊ីស៊ិន (ខេមបូឌា) អ៊ិនដាសស្ទ្រី ឯ.ក</t>
        </is>
      </c>
      <c r="W2202" s="556" t="n">
        <v>200193</v>
      </c>
    </row>
    <row r="2203">
      <c r="A2203" s="521" t="n">
        <v>2195</v>
      </c>
      <c r="B2203" s="522" t="inlineStr">
        <is>
          <t>Inspection Service Fee</t>
        </is>
      </c>
      <c r="C2203" s="522" t="inlineStr">
        <is>
          <t>ប្យួរ៉ូ វេរីតាស (ខេមបូឌា) លីមីធីត</t>
        </is>
      </c>
      <c r="D2203" s="522" t="inlineStr">
        <is>
          <t>L001-107024462</t>
        </is>
      </c>
      <c r="E2203" s="521" t="inlineStr">
        <is>
          <t>59012380</t>
        </is>
      </c>
      <c r="F2203" s="523" t="n">
        <v>44702</v>
      </c>
      <c r="G2203" s="556" t="n">
        <v>55008</v>
      </c>
      <c r="I2203" s="521">
        <f>G2203</f>
        <v/>
      </c>
      <c r="K2203" s="521">
        <f>I2203-G2203</f>
        <v/>
      </c>
      <c r="M2203" s="522" t="inlineStr">
        <is>
          <t>59012380</t>
        </is>
      </c>
      <c r="N2203" s="522" t="inlineStr">
        <is>
          <t>59012380</t>
        </is>
      </c>
      <c r="O2203" s="521">
        <f>M2203=N2203</f>
        <v/>
      </c>
      <c r="P2203" s="521">
        <f>AND(MONTH(F2203)=MONTH(S2203), YEAR(F2203)=YEAR(S2203))</f>
        <v/>
      </c>
      <c r="Q2203" s="521">
        <f>U2203="L001-901905215"</f>
        <v/>
      </c>
      <c r="R2203" s="556">
        <f>G2203-W2203</f>
        <v/>
      </c>
      <c r="S2203" s="523" t="n">
        <v>44702</v>
      </c>
      <c r="T2203" s="522" t="inlineStr">
        <is>
          <t>59012380</t>
        </is>
      </c>
      <c r="U2203" s="522" t="inlineStr">
        <is>
          <t>L001-901905215</t>
        </is>
      </c>
      <c r="V2203" s="522" t="inlineStr">
        <is>
          <t>វីអ៊ីស៊ិន (ខេមបូឌា) អ៊ិនដាសស្ទ្រី ឯ.ក</t>
        </is>
      </c>
      <c r="W2203" s="556" t="n">
        <v>55008</v>
      </c>
    </row>
    <row r="2204">
      <c r="A2204" s="521" t="n">
        <v>2196</v>
      </c>
      <c r="B2204" s="522" t="inlineStr">
        <is>
          <t>Inspection Service Fee</t>
        </is>
      </c>
      <c r="C2204" s="522" t="inlineStr">
        <is>
          <t>ប្យួរ៉ូ វេរីតាស (ខេមបូឌា) លីមីធីត</t>
        </is>
      </c>
      <c r="D2204" s="522" t="inlineStr">
        <is>
          <t>L001-107024462</t>
        </is>
      </c>
      <c r="E2204" s="521" t="inlineStr">
        <is>
          <t>59012289</t>
        </is>
      </c>
      <c r="F2204" s="523" t="n">
        <v>44687</v>
      </c>
      <c r="G2204" s="556" t="n">
        <v>109850</v>
      </c>
      <c r="I2204" s="521">
        <f>G2204</f>
        <v/>
      </c>
      <c r="K2204" s="521">
        <f>I2204-G2204</f>
        <v/>
      </c>
      <c r="M2204" s="522" t="inlineStr">
        <is>
          <t>59012289</t>
        </is>
      </c>
      <c r="N2204" s="522" t="inlineStr">
        <is>
          <t>59012289</t>
        </is>
      </c>
      <c r="O2204" s="521">
        <f>M2204=N2204</f>
        <v/>
      </c>
      <c r="P2204" s="521">
        <f>AND(MONTH(F2204)=MONTH(S2204), YEAR(F2204)=YEAR(S2204))</f>
        <v/>
      </c>
      <c r="Q2204" s="521">
        <f>U2204="L001-901905215"</f>
        <v/>
      </c>
      <c r="R2204" s="556">
        <f>G2204-W2204</f>
        <v/>
      </c>
      <c r="S2204" s="523" t="n">
        <v>44687</v>
      </c>
      <c r="T2204" s="522" t="inlineStr">
        <is>
          <t>59012289</t>
        </is>
      </c>
      <c r="U2204" s="522" t="inlineStr">
        <is>
          <t>L001-901905215</t>
        </is>
      </c>
      <c r="V2204" s="522" t="inlineStr">
        <is>
          <t>វីអ៊ីស៊ិន (ខេមបូឌា) អ៊ិនដាសស្ទ្រី ឯ.ក</t>
        </is>
      </c>
      <c r="W2204" s="556" t="n">
        <v>109850</v>
      </c>
    </row>
    <row r="2205">
      <c r="A2205" s="521" t="n">
        <v>2197</v>
      </c>
      <c r="B2205" s="522" t="inlineStr">
        <is>
          <t>Inspection Service Fee</t>
        </is>
      </c>
      <c r="C2205" s="522" t="inlineStr">
        <is>
          <t>ប្យួរ៉ូ វេរីតាស (ខេមបូឌា) លីមីធីត</t>
        </is>
      </c>
      <c r="D2205" s="522" t="inlineStr">
        <is>
          <t>L001-107024462</t>
        </is>
      </c>
      <c r="E2205" s="521" t="inlineStr">
        <is>
          <t>59012262</t>
        </is>
      </c>
      <c r="F2205" s="523" t="n">
        <v>44686</v>
      </c>
      <c r="G2205" s="556" t="n">
        <v>54886</v>
      </c>
      <c r="I2205" s="521">
        <f>G2205</f>
        <v/>
      </c>
      <c r="K2205" s="521">
        <f>I2205-G2205</f>
        <v/>
      </c>
      <c r="M2205" s="522" t="inlineStr">
        <is>
          <t>59012262</t>
        </is>
      </c>
      <c r="N2205" s="522" t="inlineStr">
        <is>
          <t>59012262</t>
        </is>
      </c>
      <c r="O2205" s="521">
        <f>M2205=N2205</f>
        <v/>
      </c>
      <c r="P2205" s="521">
        <f>AND(MONTH(F2205)=MONTH(S2205), YEAR(F2205)=YEAR(S2205))</f>
        <v/>
      </c>
      <c r="Q2205" s="521">
        <f>U2205="L001-901905215"</f>
        <v/>
      </c>
      <c r="R2205" s="556">
        <f>G2205-W2205</f>
        <v/>
      </c>
      <c r="S2205" s="523" t="n">
        <v>44686</v>
      </c>
      <c r="T2205" s="522" t="inlineStr">
        <is>
          <t>59012262</t>
        </is>
      </c>
      <c r="U2205" s="522" t="inlineStr">
        <is>
          <t>L001-901905215</t>
        </is>
      </c>
      <c r="V2205" s="522" t="inlineStr">
        <is>
          <t>វីអ៊ីស៊ិន (ខេមបូឌា) អ៊ិនដាសស្ទ្រី ឯ.ក</t>
        </is>
      </c>
      <c r="W2205" s="556" t="n">
        <v>54886</v>
      </c>
    </row>
    <row r="2206">
      <c r="A2206" s="521" t="n">
        <v>2198</v>
      </c>
      <c r="B2206" s="522" t="inlineStr">
        <is>
          <t>EMF</t>
        </is>
      </c>
      <c r="C2206" s="522" t="inlineStr">
        <is>
          <t>អេសអាយធីស៊ី ខិនថេនើរ ឡាញ (ខេមបូឌា)</t>
        </is>
      </c>
      <c r="D2206" s="522" t="inlineStr">
        <is>
          <t>L001-107035863</t>
        </is>
      </c>
      <c r="E2206" s="521" t="inlineStr">
        <is>
          <t>SITC2022-008833</t>
        </is>
      </c>
      <c r="F2206" s="523" t="n">
        <v>44682</v>
      </c>
      <c r="G2206" s="556" t="n">
        <v>139553</v>
      </c>
      <c r="I2206" s="521">
        <f>G2206</f>
        <v/>
      </c>
      <c r="K2206" s="521">
        <f>I2206-G2206</f>
        <v/>
      </c>
      <c r="M2206" s="522" t="inlineStr">
        <is>
          <t>SITC2022008833</t>
        </is>
      </c>
      <c r="N2206" s="522" t="inlineStr"/>
      <c r="O2206" s="521">
        <f>M2206=N2206</f>
        <v/>
      </c>
      <c r="P2206" s="521">
        <f>AND(MONTH(F2206)=MONTH(S2206), YEAR(F2206)=YEAR(S2206))</f>
        <v/>
      </c>
      <c r="Q2206" s="521">
        <f>U2206="L001-901905215"</f>
        <v/>
      </c>
      <c r="R2206" s="556">
        <f>G2206-W2206</f>
        <v/>
      </c>
      <c r="S2206" s="521" t="n"/>
      <c r="T2206" s="522" t="n"/>
      <c r="U2206" s="522" t="n"/>
      <c r="V2206" s="522" t="n"/>
      <c r="W2206" s="521" t="n"/>
    </row>
    <row r="2207">
      <c r="A2207" s="521" t="n">
        <v>2199</v>
      </c>
      <c r="B2207" s="522" t="inlineStr">
        <is>
          <t>Lift-On &amp; Lift-Off</t>
        </is>
      </c>
      <c r="C2207" s="522" t="inlineStr">
        <is>
          <t>កំពង់ផែស្វយ័តក្រុងព្រះសីហនុ</t>
        </is>
      </c>
      <c r="D2207" s="522" t="inlineStr">
        <is>
          <t>L001-100044638</t>
        </is>
      </c>
      <c r="E2207" s="521" t="inlineStr">
        <is>
          <t>071191</t>
        </is>
      </c>
      <c r="F2207" s="523" t="n">
        <v>44682</v>
      </c>
      <c r="G2207" s="556" t="n">
        <v>23045</v>
      </c>
      <c r="I2207" s="521">
        <f>G2207</f>
        <v/>
      </c>
      <c r="K2207" s="521">
        <f>I2207-G2207</f>
        <v/>
      </c>
      <c r="M2207" s="522" t="inlineStr">
        <is>
          <t>071191</t>
        </is>
      </c>
      <c r="N2207" s="522" t="inlineStr"/>
      <c r="O2207" s="521">
        <f>M2207=N2207</f>
        <v/>
      </c>
      <c r="P2207" s="521">
        <f>AND(MONTH(F2207)=MONTH(S2207), YEAR(F2207)=YEAR(S2207))</f>
        <v/>
      </c>
      <c r="Q2207" s="521">
        <f>U2207="L001-901905215"</f>
        <v/>
      </c>
      <c r="R2207" s="556">
        <f>G2207-W2207</f>
        <v/>
      </c>
      <c r="S2207" s="521" t="n"/>
      <c r="T2207" s="522" t="n"/>
      <c r="U2207" s="522" t="n"/>
      <c r="V2207" s="522" t="n"/>
      <c r="W2207" s="521" t="n"/>
    </row>
    <row r="2208">
      <c r="A2208" s="521" t="n">
        <v>2200</v>
      </c>
      <c r="B2208" s="522" t="inlineStr">
        <is>
          <t>Clearance Import&amp; Trucking Import &amp; Handling Fee</t>
        </is>
      </c>
      <c r="C2208" s="522" t="inlineStr">
        <is>
          <t>ហុង តុង អ៊ិនធើណេសិនណល ឡូជីស្ទីក ឯ.ក</t>
        </is>
      </c>
      <c r="D2208" s="522" t="inlineStr">
        <is>
          <t>K003-902006166</t>
        </is>
      </c>
      <c r="E2208" s="521" t="inlineStr">
        <is>
          <t>HT220070</t>
        </is>
      </c>
      <c r="F2208" s="523" t="n">
        <v>44712</v>
      </c>
      <c r="G2208" s="556" t="n">
        <v>239658</v>
      </c>
      <c r="I2208" s="521">
        <f>G2208</f>
        <v/>
      </c>
      <c r="K2208" s="521">
        <f>I2208-G2208</f>
        <v/>
      </c>
      <c r="M2208" s="522" t="inlineStr">
        <is>
          <t>HT220070</t>
        </is>
      </c>
      <c r="N2208" s="522" t="inlineStr">
        <is>
          <t>HT220070</t>
        </is>
      </c>
      <c r="O2208" s="521">
        <f>M2208=N2208</f>
        <v/>
      </c>
      <c r="P2208" s="521">
        <f>AND(MONTH(F2208)=MONTH(S2208), YEAR(F2208)=YEAR(S2208))</f>
        <v/>
      </c>
      <c r="Q2208" s="521">
        <f>U2208="L001-901905215"</f>
        <v/>
      </c>
      <c r="R2208" s="556">
        <f>G2208-W2208</f>
        <v/>
      </c>
      <c r="S2208" s="523" t="n">
        <v>44895</v>
      </c>
      <c r="T2208" s="522" t="inlineStr">
        <is>
          <t>HT220070</t>
        </is>
      </c>
      <c r="U2208" s="522" t="inlineStr">
        <is>
          <t>L001-901905215</t>
        </is>
      </c>
      <c r="V2208" s="522" t="inlineStr">
        <is>
          <t>វីអ៊ីស៊ិន (ខេមបូឌា) អ៊ិនដាសស្ទ្រី ឯ.ក</t>
        </is>
      </c>
      <c r="W2208" s="556" t="n">
        <v>251442</v>
      </c>
    </row>
    <row r="2209">
      <c r="A2209" s="521" t="n">
        <v>2201</v>
      </c>
      <c r="B2209" s="522" t="inlineStr">
        <is>
          <t>Terminal Handling Charge</t>
        </is>
      </c>
      <c r="C2209" s="522" t="inlineStr">
        <is>
          <t>អេវើរហ្គ្រីន ស៊ីបភីង សឺវីស (ខេមបូឌា) ឯ.ក</t>
        </is>
      </c>
      <c r="D2209" s="522" t="inlineStr">
        <is>
          <t>L001-901705421</t>
        </is>
      </c>
      <c r="E2209" s="521" t="inlineStr">
        <is>
          <t>IY22004528</t>
        </is>
      </c>
      <c r="F2209" s="523" t="n">
        <v>44682</v>
      </c>
      <c r="G2209" s="556" t="n">
        <v>119328</v>
      </c>
      <c r="I2209" s="521">
        <f>G2209</f>
        <v/>
      </c>
      <c r="K2209" s="521">
        <f>I2209-G2209</f>
        <v/>
      </c>
      <c r="M2209" s="522" t="inlineStr">
        <is>
          <t>IY22004528</t>
        </is>
      </c>
      <c r="N2209" s="522" t="inlineStr"/>
      <c r="O2209" s="521">
        <f>M2209=N2209</f>
        <v/>
      </c>
      <c r="P2209" s="521">
        <f>AND(MONTH(F2209)=MONTH(S2209), YEAR(F2209)=YEAR(S2209))</f>
        <v/>
      </c>
      <c r="Q2209" s="521">
        <f>U2209="L001-901905215"</f>
        <v/>
      </c>
      <c r="R2209" s="556">
        <f>G2209-W2209</f>
        <v/>
      </c>
      <c r="S2209" s="521" t="n"/>
      <c r="T2209" s="522" t="n"/>
      <c r="U2209" s="522" t="n"/>
      <c r="V2209" s="522" t="n"/>
      <c r="W2209" s="521" t="n"/>
    </row>
    <row r="2210">
      <c r="A2210" s="521" t="n">
        <v>2202</v>
      </c>
      <c r="B2210" s="522" t="inlineStr">
        <is>
          <t>Lift-On &amp; Lift-Off</t>
        </is>
      </c>
      <c r="C2210" s="522" t="inlineStr">
        <is>
          <t>កំពង់ផែស្វយ័តក្រុងព្រះសីហនុ</t>
        </is>
      </c>
      <c r="D2210" s="522" t="inlineStr">
        <is>
          <t>L001-100044638</t>
        </is>
      </c>
      <c r="E2210" s="521" t="inlineStr">
        <is>
          <t>076442</t>
        </is>
      </c>
      <c r="F2210" s="523" t="n">
        <v>44682</v>
      </c>
      <c r="G2210" s="556" t="n">
        <v>54594</v>
      </c>
      <c r="I2210" s="521">
        <f>G2210</f>
        <v/>
      </c>
      <c r="K2210" s="521">
        <f>I2210-G2210</f>
        <v/>
      </c>
      <c r="M2210" s="522" t="inlineStr">
        <is>
          <t>076442</t>
        </is>
      </c>
      <c r="N2210" s="522" t="inlineStr"/>
      <c r="O2210" s="521">
        <f>M2210=N2210</f>
        <v/>
      </c>
      <c r="P2210" s="521">
        <f>AND(MONTH(F2210)=MONTH(S2210), YEAR(F2210)=YEAR(S2210))</f>
        <v/>
      </c>
      <c r="Q2210" s="521">
        <f>U2210="L001-901905215"</f>
        <v/>
      </c>
      <c r="R2210" s="556">
        <f>G2210-W2210</f>
        <v/>
      </c>
      <c r="S2210" s="521" t="n"/>
      <c r="T2210" s="522" t="n"/>
      <c r="U2210" s="522" t="n"/>
      <c r="V2210" s="522" t="n"/>
      <c r="W2210" s="521" t="n"/>
    </row>
    <row r="2211">
      <c r="A2211" s="521" t="n">
        <v>2203</v>
      </c>
      <c r="B2211" s="522" t="inlineStr">
        <is>
          <t>Lift-On &amp; Lift-Off</t>
        </is>
      </c>
      <c r="C2211" s="522" t="inlineStr">
        <is>
          <t>កំពង់ផែស្វយ័តក្រុងព្រះសីហនុ</t>
        </is>
      </c>
      <c r="D2211" s="522" t="inlineStr">
        <is>
          <t>L001-100044638</t>
        </is>
      </c>
      <c r="E2211" s="521" t="inlineStr">
        <is>
          <t>076902</t>
        </is>
      </c>
      <c r="F2211" s="523" t="n">
        <v>44682</v>
      </c>
      <c r="G2211" s="556" t="n">
        <v>2428</v>
      </c>
      <c r="I2211" s="521">
        <f>G2211</f>
        <v/>
      </c>
      <c r="K2211" s="521">
        <f>I2211-G2211</f>
        <v/>
      </c>
      <c r="M2211" s="522" t="inlineStr">
        <is>
          <t>076902</t>
        </is>
      </c>
      <c r="N2211" s="522" t="inlineStr"/>
      <c r="O2211" s="521">
        <f>M2211=N2211</f>
        <v/>
      </c>
      <c r="P2211" s="521">
        <f>AND(MONTH(F2211)=MONTH(S2211), YEAR(F2211)=YEAR(S2211))</f>
        <v/>
      </c>
      <c r="Q2211" s="521">
        <f>U2211="L001-901905215"</f>
        <v/>
      </c>
      <c r="R2211" s="556">
        <f>G2211-W2211</f>
        <v/>
      </c>
      <c r="S2211" s="521" t="n"/>
      <c r="T2211" s="522" t="n"/>
      <c r="U2211" s="522" t="n"/>
      <c r="V2211" s="522" t="n"/>
      <c r="W2211" s="521" t="n"/>
    </row>
    <row r="2212">
      <c r="A2212" s="521" t="n">
        <v>2204</v>
      </c>
      <c r="B2212" s="522" t="inlineStr">
        <is>
          <t>Clearance Import&amp; Trucking Import &amp; Handling Fee</t>
        </is>
      </c>
      <c r="C2212" s="522" t="inlineStr">
        <is>
          <t>ហុង តុង អ៊ិនធើណេសិនណល ឡូជីស្ទីក ឯ.ក</t>
        </is>
      </c>
      <c r="D2212" s="522" t="inlineStr">
        <is>
          <t>K003-902006166</t>
        </is>
      </c>
      <c r="E2212" s="521" t="inlineStr">
        <is>
          <t>HT220069</t>
        </is>
      </c>
      <c r="F2212" s="523" t="n">
        <v>44705</v>
      </c>
      <c r="G2212" s="556" t="n">
        <v>247782</v>
      </c>
      <c r="I2212" s="521">
        <f>G2212</f>
        <v/>
      </c>
      <c r="K2212" s="521">
        <f>I2212-G2212</f>
        <v/>
      </c>
      <c r="M2212" s="522" t="inlineStr">
        <is>
          <t>HT220069</t>
        </is>
      </c>
      <c r="N2212" s="522" t="inlineStr">
        <is>
          <t>HT220069</t>
        </is>
      </c>
      <c r="O2212" s="521">
        <f>M2212=N2212</f>
        <v/>
      </c>
      <c r="P2212" s="521">
        <f>AND(MONTH(F2212)=MONTH(S2212), YEAR(F2212)=YEAR(S2212))</f>
        <v/>
      </c>
      <c r="Q2212" s="521">
        <f>U2212="L001-901905215"</f>
        <v/>
      </c>
      <c r="R2212" s="556">
        <f>G2212-W2212</f>
        <v/>
      </c>
      <c r="S2212" s="523" t="n">
        <v>44895</v>
      </c>
      <c r="T2212" s="522" t="inlineStr">
        <is>
          <t>HT220069</t>
        </is>
      </c>
      <c r="U2212" s="522" t="inlineStr">
        <is>
          <t>L001-901905215</t>
        </is>
      </c>
      <c r="V2212" s="522" t="inlineStr">
        <is>
          <t>វីអ៊ីស៊ិន (ខេមបូឌា) អ៊ិនដាសស្ទ្រី ឯ.ក</t>
        </is>
      </c>
      <c r="W2212" s="556" t="n">
        <v>502884</v>
      </c>
    </row>
    <row r="2213">
      <c r="A2213" s="521" t="n">
        <v>2205</v>
      </c>
      <c r="B2213" s="522" t="inlineStr">
        <is>
          <t>Document Fee ( Logistic )</t>
        </is>
      </c>
      <c r="C2213" s="522" t="inlineStr">
        <is>
          <t>ស្ត្រេតស៍ អ៊ិនធើណេសិនណល ភីធីអ៊ី អិលធីឌី</t>
        </is>
      </c>
      <c r="D2213" s="522" t="inlineStr">
        <is>
          <t>L001-100045162</t>
        </is>
      </c>
      <c r="E2213" s="521" t="inlineStr">
        <is>
          <t>2206822</t>
        </is>
      </c>
      <c r="F2213" s="523" t="n">
        <v>44682</v>
      </c>
      <c r="G2213" s="556" t="n">
        <v>82923</v>
      </c>
      <c r="I2213" s="521">
        <f>G2213</f>
        <v/>
      </c>
      <c r="K2213" s="521">
        <f>I2213-G2213</f>
        <v/>
      </c>
      <c r="M2213" s="522" t="inlineStr">
        <is>
          <t>2206822</t>
        </is>
      </c>
      <c r="N2213" s="522" t="inlineStr"/>
      <c r="O2213" s="521">
        <f>M2213=N2213</f>
        <v/>
      </c>
      <c r="P2213" s="521">
        <f>AND(MONTH(F2213)=MONTH(S2213), YEAR(F2213)=YEAR(S2213))</f>
        <v/>
      </c>
      <c r="Q2213" s="521">
        <f>U2213="L001-901905215"</f>
        <v/>
      </c>
      <c r="R2213" s="556">
        <f>G2213-W2213</f>
        <v/>
      </c>
      <c r="S2213" s="521" t="n"/>
      <c r="T2213" s="522" t="n"/>
      <c r="U2213" s="522" t="n"/>
      <c r="V2213" s="522" t="n"/>
      <c r="W2213" s="521" t="n"/>
    </row>
    <row r="2214">
      <c r="A2214" s="521" t="n">
        <v>2206</v>
      </c>
      <c r="B2214" s="522" t="inlineStr">
        <is>
          <t>Lift-On &amp; Lift-Off</t>
        </is>
      </c>
      <c r="C2214" s="522" t="inlineStr">
        <is>
          <t>កំពង់ផែស្វយ័តក្រុងព្រះសីហនុ</t>
        </is>
      </c>
      <c r="D2214" s="522" t="inlineStr">
        <is>
          <t>L001-100044638</t>
        </is>
      </c>
      <c r="E2214" s="521" t="inlineStr">
        <is>
          <t>071193</t>
        </is>
      </c>
      <c r="F2214" s="523" t="n">
        <v>44682</v>
      </c>
      <c r="G2214" s="556" t="n">
        <v>30323</v>
      </c>
      <c r="I2214" s="521">
        <f>G2214</f>
        <v/>
      </c>
      <c r="K2214" s="521">
        <f>I2214-G2214</f>
        <v/>
      </c>
      <c r="M2214" s="522" t="inlineStr">
        <is>
          <t>071193</t>
        </is>
      </c>
      <c r="N2214" s="522" t="inlineStr"/>
      <c r="O2214" s="521">
        <f>M2214=N2214</f>
        <v/>
      </c>
      <c r="P2214" s="521">
        <f>AND(MONTH(F2214)=MONTH(S2214), YEAR(F2214)=YEAR(S2214))</f>
        <v/>
      </c>
      <c r="Q2214" s="521">
        <f>U2214="L001-901905215"</f>
        <v/>
      </c>
      <c r="R2214" s="556">
        <f>G2214-W2214</f>
        <v/>
      </c>
      <c r="S2214" s="521" t="n"/>
      <c r="T2214" s="522" t="n"/>
      <c r="U2214" s="522" t="n"/>
      <c r="V2214" s="522" t="n"/>
      <c r="W2214" s="521" t="n"/>
    </row>
    <row r="2215">
      <c r="A2215" s="521" t="n">
        <v>2207</v>
      </c>
      <c r="B2215" s="522" t="inlineStr">
        <is>
          <t>Lift-On &amp; Lift-Off</t>
        </is>
      </c>
      <c r="C2215" s="522" t="inlineStr">
        <is>
          <t>កំពង់ផែស្វយ័តក្រុងព្រះសីហនុ</t>
        </is>
      </c>
      <c r="D2215" s="522" t="inlineStr">
        <is>
          <t>L001-100044638</t>
        </is>
      </c>
      <c r="E2215" s="521" t="inlineStr">
        <is>
          <t>071835</t>
        </is>
      </c>
      <c r="F2215" s="523" t="n">
        <v>44682</v>
      </c>
      <c r="G2215" s="556" t="n">
        <v>1212</v>
      </c>
      <c r="I2215" s="521">
        <f>G2215</f>
        <v/>
      </c>
      <c r="K2215" s="521">
        <f>I2215-G2215</f>
        <v/>
      </c>
      <c r="M2215" s="522" t="inlineStr">
        <is>
          <t>071835</t>
        </is>
      </c>
      <c r="N2215" s="522" t="inlineStr"/>
      <c r="O2215" s="521">
        <f>M2215=N2215</f>
        <v/>
      </c>
      <c r="P2215" s="521">
        <f>AND(MONTH(F2215)=MONTH(S2215), YEAR(F2215)=YEAR(S2215))</f>
        <v/>
      </c>
      <c r="Q2215" s="521">
        <f>U2215="L001-901905215"</f>
        <v/>
      </c>
      <c r="R2215" s="556">
        <f>G2215-W2215</f>
        <v/>
      </c>
      <c r="S2215" s="521" t="n"/>
      <c r="T2215" s="522" t="n"/>
      <c r="U2215" s="522" t="n"/>
      <c r="V2215" s="522" t="n"/>
      <c r="W2215" s="521" t="n"/>
    </row>
    <row r="2216">
      <c r="A2216" s="521" t="n">
        <v>2208</v>
      </c>
      <c r="B2216" s="522" t="inlineStr">
        <is>
          <t>Clearance Import&amp; Trucking Import &amp; Handling Fee</t>
        </is>
      </c>
      <c r="C2216" s="522" t="inlineStr">
        <is>
          <t>ហុង តុង អ៊ិនធើណេសិនណល ឡូជីស្ទីក ឯ.ក</t>
        </is>
      </c>
      <c r="D2216" s="522" t="inlineStr">
        <is>
          <t>K003-902006166</t>
        </is>
      </c>
      <c r="E2216" s="521" t="inlineStr">
        <is>
          <t>HT220068</t>
        </is>
      </c>
      <c r="F2216" s="523" t="n">
        <v>44705</v>
      </c>
      <c r="G2216" s="556" t="n">
        <v>239658</v>
      </c>
      <c r="I2216" s="521">
        <f>G2216</f>
        <v/>
      </c>
      <c r="K2216" s="521">
        <f>I2216-G2216</f>
        <v/>
      </c>
      <c r="M2216" s="522" t="inlineStr">
        <is>
          <t>HT220068</t>
        </is>
      </c>
      <c r="N2216" s="522" t="inlineStr">
        <is>
          <t>HT220068</t>
        </is>
      </c>
      <c r="O2216" s="521">
        <f>M2216=N2216</f>
        <v/>
      </c>
      <c r="P2216" s="521">
        <f>AND(MONTH(F2216)=MONTH(S2216), YEAR(F2216)=YEAR(S2216))</f>
        <v/>
      </c>
      <c r="Q2216" s="521">
        <f>U2216="L001-901905215"</f>
        <v/>
      </c>
      <c r="R2216" s="556">
        <f>G2216-W2216</f>
        <v/>
      </c>
      <c r="S2216" s="523" t="n">
        <v>44895</v>
      </c>
      <c r="T2216" s="522" t="inlineStr">
        <is>
          <t>HT220068</t>
        </is>
      </c>
      <c r="U2216" s="522" t="inlineStr">
        <is>
          <t>L001-901905215</t>
        </is>
      </c>
      <c r="V2216" s="522" t="inlineStr">
        <is>
          <t>វីអ៊ីស៊ិន (ខេមបូឌា) អ៊ិនដាសស្ទ្រី ឯ.ក</t>
        </is>
      </c>
      <c r="W2216" s="556" t="n">
        <v>251442</v>
      </c>
    </row>
    <row r="2217">
      <c r="A2217" s="521" t="n">
        <v>2209</v>
      </c>
      <c r="B2217" s="522" t="inlineStr">
        <is>
          <t>Trucking</t>
        </is>
      </c>
      <c r="C2217" s="522" t="inlineStr">
        <is>
          <t>អ៊ែរ៉ូ ស៊ីបភីង អេជេនស៊ី</t>
        </is>
      </c>
      <c r="D2217" s="522" t="inlineStr">
        <is>
          <t>K004-901635903</t>
        </is>
      </c>
      <c r="E2217" s="521" t="inlineStr">
        <is>
          <t>IKPSA2022511056</t>
        </is>
      </c>
      <c r="F2217" s="523" t="n">
        <v>44682</v>
      </c>
      <c r="G2217" s="556" t="n">
        <v>113120</v>
      </c>
      <c r="I2217" s="521">
        <f>G2217</f>
        <v/>
      </c>
      <c r="K2217" s="521">
        <f>I2217-G2217</f>
        <v/>
      </c>
      <c r="M2217" s="522" t="inlineStr">
        <is>
          <t>IKPSA2022511056</t>
        </is>
      </c>
      <c r="N2217" s="522" t="inlineStr"/>
      <c r="O2217" s="521">
        <f>M2217=N2217</f>
        <v/>
      </c>
      <c r="P2217" s="521">
        <f>AND(MONTH(F2217)=MONTH(S2217), YEAR(F2217)=YEAR(S2217))</f>
        <v/>
      </c>
      <c r="Q2217" s="521">
        <f>U2217="L001-901905215"</f>
        <v/>
      </c>
      <c r="R2217" s="556">
        <f>G2217-W2217</f>
        <v/>
      </c>
      <c r="S2217" s="521" t="n"/>
      <c r="T2217" s="522" t="n"/>
      <c r="U2217" s="522" t="n"/>
      <c r="V2217" s="522" t="n"/>
      <c r="W2217" s="521" t="n"/>
    </row>
    <row r="2218">
      <c r="A2218" s="521" t="n">
        <v>2210</v>
      </c>
      <c r="B2218" s="522" t="inlineStr">
        <is>
          <t>Trucking</t>
        </is>
      </c>
      <c r="C2218" s="522" t="inlineStr">
        <is>
          <t>អ៊ែរ៉ូ ស៊ីបភីង អេជេនស៊ី</t>
        </is>
      </c>
      <c r="D2218" s="522" t="inlineStr">
        <is>
          <t>K004-901635903</t>
        </is>
      </c>
      <c r="E2218" s="521" t="inlineStr">
        <is>
          <t>IKPSA2022511055</t>
        </is>
      </c>
      <c r="F2218" s="523" t="n">
        <v>44682</v>
      </c>
      <c r="G2218" s="556" t="n">
        <v>96960</v>
      </c>
      <c r="I2218" s="521">
        <f>G2218</f>
        <v/>
      </c>
      <c r="K2218" s="521">
        <f>I2218-G2218</f>
        <v/>
      </c>
      <c r="M2218" s="522" t="inlineStr">
        <is>
          <t>IKPSA2022511055</t>
        </is>
      </c>
      <c r="N2218" s="522" t="inlineStr"/>
      <c r="O2218" s="521">
        <f>M2218=N2218</f>
        <v/>
      </c>
      <c r="P2218" s="521">
        <f>AND(MONTH(F2218)=MONTH(S2218), YEAR(F2218)=YEAR(S2218))</f>
        <v/>
      </c>
      <c r="Q2218" s="521">
        <f>U2218="L001-901905215"</f>
        <v/>
      </c>
      <c r="R2218" s="556">
        <f>G2218-W2218</f>
        <v/>
      </c>
      <c r="S2218" s="521" t="n"/>
      <c r="T2218" s="522" t="n"/>
      <c r="U2218" s="522" t="n"/>
      <c r="V2218" s="522" t="n"/>
      <c r="W2218" s="521" t="n"/>
    </row>
    <row r="2219">
      <c r="A2219" s="521" t="n">
        <v>2211</v>
      </c>
      <c r="B2219" s="522" t="inlineStr">
        <is>
          <t>Trucking</t>
        </is>
      </c>
      <c r="C2219" s="522" t="inlineStr">
        <is>
          <t>អ៊ែរ៉ូ ស៊ីបភីង អេជេនស៊ី</t>
        </is>
      </c>
      <c r="D2219" s="522" t="inlineStr">
        <is>
          <t>K004-901635903</t>
        </is>
      </c>
      <c r="E2219" s="521" t="inlineStr">
        <is>
          <t>IKPSA2022511053</t>
        </is>
      </c>
      <c r="F2219" s="523" t="n">
        <v>44682</v>
      </c>
      <c r="G2219" s="556" t="n">
        <v>1836</v>
      </c>
      <c r="I2219" s="521">
        <f>G2219</f>
        <v/>
      </c>
      <c r="K2219" s="521">
        <f>I2219-G2219</f>
        <v/>
      </c>
      <c r="M2219" s="522" t="inlineStr">
        <is>
          <t>IKPSA2022511053</t>
        </is>
      </c>
      <c r="N2219" s="522" t="inlineStr"/>
      <c r="O2219" s="521">
        <f>M2219=N2219</f>
        <v/>
      </c>
      <c r="P2219" s="521">
        <f>AND(MONTH(F2219)=MONTH(S2219), YEAR(F2219)=YEAR(S2219))</f>
        <v/>
      </c>
      <c r="Q2219" s="521">
        <f>U2219="L001-901905215"</f>
        <v/>
      </c>
      <c r="R2219" s="556">
        <f>G2219-W2219</f>
        <v/>
      </c>
      <c r="S2219" s="521" t="n"/>
      <c r="T2219" s="522" t="n"/>
      <c r="U2219" s="522" t="n"/>
      <c r="V2219" s="522" t="n"/>
      <c r="W2219" s="521" t="n"/>
    </row>
    <row r="2220">
      <c r="A2220" s="521" t="n">
        <v>2212</v>
      </c>
      <c r="B2220" s="522" t="inlineStr">
        <is>
          <t>Lift-On &amp; Lift-Off</t>
        </is>
      </c>
      <c r="C2220" s="522" t="inlineStr">
        <is>
          <t>កំពង់ផែស្វយ័តក្រុងព្រះសីហនុ</t>
        </is>
      </c>
      <c r="D2220" s="522" t="inlineStr">
        <is>
          <t>L001-100044638</t>
        </is>
      </c>
      <c r="E2220" s="521" t="inlineStr">
        <is>
          <t>053322</t>
        </is>
      </c>
      <c r="F2220" s="523" t="n">
        <v>44682</v>
      </c>
      <c r="G2220" s="556" t="n">
        <v>35235</v>
      </c>
      <c r="I2220" s="521">
        <f>G2220</f>
        <v/>
      </c>
      <c r="K2220" s="521">
        <f>I2220-G2220</f>
        <v/>
      </c>
      <c r="M2220" s="522" t="inlineStr">
        <is>
          <t>053322</t>
        </is>
      </c>
      <c r="N2220" s="522" t="inlineStr"/>
      <c r="O2220" s="521">
        <f>M2220=N2220</f>
        <v/>
      </c>
      <c r="P2220" s="521">
        <f>AND(MONTH(F2220)=MONTH(S2220), YEAR(F2220)=YEAR(S2220))</f>
        <v/>
      </c>
      <c r="Q2220" s="521">
        <f>U2220="L001-901905215"</f>
        <v/>
      </c>
      <c r="R2220" s="556">
        <f>G2220-W2220</f>
        <v/>
      </c>
      <c r="S2220" s="521" t="n"/>
      <c r="T2220" s="522" t="n"/>
      <c r="U2220" s="522" t="n"/>
      <c r="V2220" s="522" t="n"/>
      <c r="W2220" s="521" t="n"/>
    </row>
    <row r="2221">
      <c r="A2221" s="521" t="n">
        <v>2213</v>
      </c>
      <c r="B2221" s="522" t="inlineStr">
        <is>
          <t>Clearance Import&amp; Trucking Import &amp; Handling Fee</t>
        </is>
      </c>
      <c r="C2221" s="522" t="inlineStr">
        <is>
          <t>ហុង តុង អ៊ិនធើណេសិនណល ឡូជីស្ទីក ឯ.ក</t>
        </is>
      </c>
      <c r="D2221" s="522" t="inlineStr">
        <is>
          <t>K003-902006166</t>
        </is>
      </c>
      <c r="E2221" s="521" t="inlineStr">
        <is>
          <t>HT220061</t>
        </is>
      </c>
      <c r="F2221" s="523" t="n">
        <v>44701</v>
      </c>
      <c r="G2221" s="556" t="n">
        <v>247721</v>
      </c>
      <c r="I2221" s="521">
        <f>G2221</f>
        <v/>
      </c>
      <c r="K2221" s="521">
        <f>I2221-G2221</f>
        <v/>
      </c>
      <c r="M2221" s="522" t="inlineStr">
        <is>
          <t>HT220061</t>
        </is>
      </c>
      <c r="N2221" s="522" t="inlineStr">
        <is>
          <t>HT220061</t>
        </is>
      </c>
      <c r="O2221" s="521">
        <f>M2221=N2221</f>
        <v/>
      </c>
      <c r="P2221" s="521">
        <f>AND(MONTH(F2221)=MONTH(S2221), YEAR(F2221)=YEAR(S2221))</f>
        <v/>
      </c>
      <c r="Q2221" s="521">
        <f>U2221="L001-901905215"</f>
        <v/>
      </c>
      <c r="R2221" s="556">
        <f>G2221-W2221</f>
        <v/>
      </c>
      <c r="S2221" s="523" t="n">
        <v>44701</v>
      </c>
      <c r="T2221" s="522" t="inlineStr">
        <is>
          <t>HT220061</t>
        </is>
      </c>
      <c r="U2221" s="522" t="inlineStr">
        <is>
          <t>L001-901905215</t>
        </is>
      </c>
      <c r="V2221" s="522" t="inlineStr">
        <is>
          <t>វីអ៊ីស៊ិន (ខេមបូឌា) អ៊ិនដាសស្ទ្រី ឯ.ក</t>
        </is>
      </c>
      <c r="W2221" s="556" t="n">
        <v>247721</v>
      </c>
    </row>
    <row r="2222">
      <c r="A2222" s="521" t="n">
        <v>2214</v>
      </c>
      <c r="B2222" s="522" t="inlineStr">
        <is>
          <t>Cy Management Fee, Thc Charges, Bl Fee,FCR Fee, VGM Processing Fee</t>
        </is>
      </c>
      <c r="C2222" s="522" t="inlineStr">
        <is>
          <t>អ៊ិចស្ពែឌីធ័រ ខេមបូឌា អិលធីឌី</t>
        </is>
      </c>
      <c r="D2222" s="522" t="inlineStr">
        <is>
          <t>L001-100045898</t>
        </is>
      </c>
      <c r="E2222" s="521" t="inlineStr">
        <is>
          <t>TI-0228799</t>
        </is>
      </c>
      <c r="F2222" s="523" t="n">
        <v>44712</v>
      </c>
      <c r="G2222" s="556" t="n">
        <v>280278</v>
      </c>
      <c r="I2222" s="521">
        <f>G2222</f>
        <v/>
      </c>
      <c r="K2222" s="521">
        <f>I2222-G2222</f>
        <v/>
      </c>
      <c r="M2222" s="522" t="inlineStr">
        <is>
          <t>TI0228799</t>
        </is>
      </c>
      <c r="N2222" s="522" t="inlineStr">
        <is>
          <t>TI0228799</t>
        </is>
      </c>
      <c r="O2222" s="521">
        <f>M2222=N2222</f>
        <v/>
      </c>
      <c r="P2222" s="521">
        <f>AND(MONTH(F2222)=MONTH(S2222), YEAR(F2222)=YEAR(S2222))</f>
        <v/>
      </c>
      <c r="Q2222" s="521">
        <f>U2222="L001-901905215"</f>
        <v/>
      </c>
      <c r="R2222" s="556">
        <f>G2222-W2222</f>
        <v/>
      </c>
      <c r="S2222" s="523" t="n">
        <v>44712</v>
      </c>
      <c r="T2222" s="522" t="inlineStr">
        <is>
          <t>TI-0228799</t>
        </is>
      </c>
      <c r="U2222" s="522" t="inlineStr">
        <is>
          <t>L001-901905215</t>
        </is>
      </c>
      <c r="V2222" s="522" t="inlineStr">
        <is>
          <t>វីអ៊ីស៊ិន (ខេមបូឌា) អ៊ិនដាសស្ទ្រី ឯ.ក</t>
        </is>
      </c>
      <c r="W2222" s="556" t="n">
        <v>280278</v>
      </c>
    </row>
    <row r="2223">
      <c r="A2223" s="521" t="n">
        <v>2215</v>
      </c>
      <c r="B2223" s="522" t="inlineStr">
        <is>
          <t>Cy Management Fee, Thc Charges, Bl Fee,FCR Fee, VGM Processing Fee</t>
        </is>
      </c>
      <c r="C2223" s="522" t="inlineStr">
        <is>
          <t>អ៊ិចស្ពែឌីធ័រ ខេមបូឌា អិលធីឌី</t>
        </is>
      </c>
      <c r="D2223" s="522" t="inlineStr">
        <is>
          <t>L001-100045898</t>
        </is>
      </c>
      <c r="E2223" s="521" t="inlineStr">
        <is>
          <t>TI-0228789</t>
        </is>
      </c>
      <c r="F2223" s="523" t="n">
        <v>44712</v>
      </c>
      <c r="G2223" s="556" t="n">
        <v>191726</v>
      </c>
      <c r="I2223" s="521">
        <f>G2223</f>
        <v/>
      </c>
      <c r="K2223" s="521">
        <f>I2223-G2223</f>
        <v/>
      </c>
      <c r="M2223" s="522" t="inlineStr">
        <is>
          <t>TI0228789</t>
        </is>
      </c>
      <c r="N2223" s="522" t="inlineStr">
        <is>
          <t>TI0228789</t>
        </is>
      </c>
      <c r="O2223" s="521">
        <f>M2223=N2223</f>
        <v/>
      </c>
      <c r="P2223" s="521">
        <f>AND(MONTH(F2223)=MONTH(S2223), YEAR(F2223)=YEAR(S2223))</f>
        <v/>
      </c>
      <c r="Q2223" s="521">
        <f>U2223="L001-901905215"</f>
        <v/>
      </c>
      <c r="R2223" s="556">
        <f>G2223-W2223</f>
        <v/>
      </c>
      <c r="S2223" s="523" t="n">
        <v>44712</v>
      </c>
      <c r="T2223" s="522" t="inlineStr">
        <is>
          <t>TI-0228789</t>
        </is>
      </c>
      <c r="U2223" s="522" t="inlineStr">
        <is>
          <t>L001-901905215</t>
        </is>
      </c>
      <c r="V2223" s="522" t="inlineStr">
        <is>
          <t>វីអ៊ីស៊ិន (ខេមបូឌា) អ៊ិនដាសស្ទ្រី ឯ.ក</t>
        </is>
      </c>
      <c r="W2223" s="556" t="n">
        <v>191726</v>
      </c>
    </row>
    <row r="2224">
      <c r="A2224" s="521" t="n">
        <v>2216</v>
      </c>
      <c r="B2224" s="522" t="inlineStr">
        <is>
          <t>Cy Management Fee, Thc Charges, Bl Fee,FCR Fee, VGM Processing Fee</t>
        </is>
      </c>
      <c r="C2224" s="522" t="inlineStr">
        <is>
          <t>អ៊ិចស្ពែឌីធ័រ ខេមបូឌា អិលធីឌី</t>
        </is>
      </c>
      <c r="D2224" s="522" t="inlineStr">
        <is>
          <t>L001-100045898</t>
        </is>
      </c>
      <c r="E2224" s="521" t="inlineStr">
        <is>
          <t>TI-0228359</t>
        </is>
      </c>
      <c r="F2224" s="523" t="n">
        <v>44708</v>
      </c>
      <c r="G2224" s="556" t="n">
        <v>215948</v>
      </c>
      <c r="I2224" s="521">
        <f>G2224</f>
        <v/>
      </c>
      <c r="K2224" s="521">
        <f>I2224-G2224</f>
        <v/>
      </c>
      <c r="M2224" s="522" t="inlineStr">
        <is>
          <t>TI0228359</t>
        </is>
      </c>
      <c r="N2224" s="522" t="inlineStr">
        <is>
          <t>TI0228359</t>
        </is>
      </c>
      <c r="O2224" s="521">
        <f>M2224=N2224</f>
        <v/>
      </c>
      <c r="P2224" s="521">
        <f>AND(MONTH(F2224)=MONTH(S2224), YEAR(F2224)=YEAR(S2224))</f>
        <v/>
      </c>
      <c r="Q2224" s="521">
        <f>U2224="L001-901905215"</f>
        <v/>
      </c>
      <c r="R2224" s="556">
        <f>G2224-W2224</f>
        <v/>
      </c>
      <c r="S2224" s="523" t="n">
        <v>44708</v>
      </c>
      <c r="T2224" s="522" t="inlineStr">
        <is>
          <t>TI-0228359</t>
        </is>
      </c>
      <c r="U2224" s="522" t="inlineStr">
        <is>
          <t>L001-901905215</t>
        </is>
      </c>
      <c r="V2224" s="522" t="inlineStr">
        <is>
          <t>វីអ៊ីស៊ិន (ខេមបូឌា) អ៊ិនដាសស្ទ្រី ឯ.ក</t>
        </is>
      </c>
      <c r="W2224" s="556" t="n">
        <v>215948</v>
      </c>
    </row>
    <row r="2225">
      <c r="A2225" s="521" t="n">
        <v>2217</v>
      </c>
      <c r="B2225" s="522" t="inlineStr">
        <is>
          <t>Cy Management Fee, Thc Charges, Bl Fee,FCR Fee, VGM Processing Fee</t>
        </is>
      </c>
      <c r="C2225" s="522" t="inlineStr">
        <is>
          <t>អ៊ិចស្ពែឌីធ័រ ខេមបូឌា អិលធីឌី</t>
        </is>
      </c>
      <c r="D2225" s="522" t="inlineStr">
        <is>
          <t>L001-100045898</t>
        </is>
      </c>
      <c r="E2225" s="521" t="inlineStr">
        <is>
          <t>TI-0228136</t>
        </is>
      </c>
      <c r="F2225" s="523" t="n">
        <v>44706</v>
      </c>
      <c r="G2225" s="556" t="n">
        <v>216152</v>
      </c>
      <c r="I2225" s="521">
        <f>G2225</f>
        <v/>
      </c>
      <c r="K2225" s="521">
        <f>I2225-G2225</f>
        <v/>
      </c>
      <c r="M2225" s="522" t="inlineStr">
        <is>
          <t>TI0228136</t>
        </is>
      </c>
      <c r="N2225" s="522" t="inlineStr">
        <is>
          <t>TI0228136</t>
        </is>
      </c>
      <c r="O2225" s="521">
        <f>M2225=N2225</f>
        <v/>
      </c>
      <c r="P2225" s="521">
        <f>AND(MONTH(F2225)=MONTH(S2225), YEAR(F2225)=YEAR(S2225))</f>
        <v/>
      </c>
      <c r="Q2225" s="521">
        <f>U2225="L001-901905215"</f>
        <v/>
      </c>
      <c r="R2225" s="556">
        <f>G2225-W2225</f>
        <v/>
      </c>
      <c r="S2225" s="523" t="n">
        <v>44706</v>
      </c>
      <c r="T2225" s="522" t="inlineStr">
        <is>
          <t>TI-0228136</t>
        </is>
      </c>
      <c r="U2225" s="522" t="inlineStr">
        <is>
          <t>L001-901905215</t>
        </is>
      </c>
      <c r="V2225" s="522" t="inlineStr">
        <is>
          <t>វីអ៊ីស៊ិន (ខេមបូឌា) អ៊ិនដាសស្ទ្រី ឯ.ក</t>
        </is>
      </c>
      <c r="W2225" s="556" t="n">
        <v>216152</v>
      </c>
    </row>
    <row r="2226">
      <c r="A2226" s="521" t="n">
        <v>2218</v>
      </c>
      <c r="B2226" s="522" t="inlineStr">
        <is>
          <t>Cy Management Fee, Thc Charges, Bl Fee,FCR Fee, VGM Processing Fee</t>
        </is>
      </c>
      <c r="C2226" s="522" t="inlineStr">
        <is>
          <t>អ៊ិចស្ពែឌីធ័រ ខេមបូឌា អិលធីឌី</t>
        </is>
      </c>
      <c r="D2226" s="522" t="inlineStr">
        <is>
          <t>L001-100045898</t>
        </is>
      </c>
      <c r="E2226" s="521" t="inlineStr">
        <is>
          <t>TI-0227752</t>
        </is>
      </c>
      <c r="F2226" s="523" t="n">
        <v>44699</v>
      </c>
      <c r="G2226" s="556" t="n">
        <v>186909</v>
      </c>
      <c r="I2226" s="521">
        <f>G2226</f>
        <v/>
      </c>
      <c r="K2226" s="521">
        <f>I2226-G2226</f>
        <v/>
      </c>
      <c r="M2226" s="522" t="inlineStr">
        <is>
          <t>TI0227752</t>
        </is>
      </c>
      <c r="N2226" s="522" t="inlineStr">
        <is>
          <t>TI0227752</t>
        </is>
      </c>
      <c r="O2226" s="521">
        <f>M2226=N2226</f>
        <v/>
      </c>
      <c r="P2226" s="521">
        <f>AND(MONTH(F2226)=MONTH(S2226), YEAR(F2226)=YEAR(S2226))</f>
        <v/>
      </c>
      <c r="Q2226" s="521">
        <f>U2226="L001-901905215"</f>
        <v/>
      </c>
      <c r="R2226" s="556">
        <f>G2226-W2226</f>
        <v/>
      </c>
      <c r="S2226" s="523" t="n">
        <v>44699</v>
      </c>
      <c r="T2226" s="522" t="inlineStr">
        <is>
          <t>TI-0227752</t>
        </is>
      </c>
      <c r="U2226" s="522" t="inlineStr">
        <is>
          <t>L001-901905215</t>
        </is>
      </c>
      <c r="V2226" s="522" t="inlineStr">
        <is>
          <t>វីអ៊ីស៊ិន (ខេមបូឌា) អ៊ិនដាសស្ទ្រី ឯ.ក</t>
        </is>
      </c>
      <c r="W2226" s="556" t="n">
        <v>186928</v>
      </c>
    </row>
    <row r="2227">
      <c r="A2227" s="521" t="n">
        <v>2219</v>
      </c>
      <c r="B2227" s="522" t="inlineStr">
        <is>
          <t>Cy Management Fee, Thc Charges, Bl Fee,FCR Fee, VGM Processing Fee</t>
        </is>
      </c>
      <c r="C2227" s="522" t="inlineStr">
        <is>
          <t>អ៊ិចស្ពែឌីធ័រ ខេមបូឌា អិលធីឌី</t>
        </is>
      </c>
      <c r="D2227" s="522" t="inlineStr">
        <is>
          <t>L001-100045898</t>
        </is>
      </c>
      <c r="E2227" s="521" t="inlineStr">
        <is>
          <t>TI-0227176</t>
        </is>
      </c>
      <c r="F2227" s="523" t="n">
        <v>44692</v>
      </c>
      <c r="G2227" s="556" t="n">
        <v>189602</v>
      </c>
      <c r="I2227" s="521">
        <f>G2227</f>
        <v/>
      </c>
      <c r="K2227" s="521">
        <f>I2227-G2227</f>
        <v/>
      </c>
      <c r="M2227" s="522" t="inlineStr">
        <is>
          <t>TI0227176</t>
        </is>
      </c>
      <c r="N2227" s="522" t="inlineStr">
        <is>
          <t>TI0227176</t>
        </is>
      </c>
      <c r="O2227" s="521">
        <f>M2227=N2227</f>
        <v/>
      </c>
      <c r="P2227" s="521">
        <f>AND(MONTH(F2227)=MONTH(S2227), YEAR(F2227)=YEAR(S2227))</f>
        <v/>
      </c>
      <c r="Q2227" s="521">
        <f>U2227="L001-901905215"</f>
        <v/>
      </c>
      <c r="R2227" s="556">
        <f>G2227-W2227</f>
        <v/>
      </c>
      <c r="S2227" s="523" t="n">
        <v>44692</v>
      </c>
      <c r="T2227" s="522" t="inlineStr">
        <is>
          <t>TI-0227176</t>
        </is>
      </c>
      <c r="U2227" s="522" t="inlineStr">
        <is>
          <t>L001-901905215</t>
        </is>
      </c>
      <c r="V2227" s="522" t="inlineStr">
        <is>
          <t>វីអ៊ីស៊ិន (ខេមបូឌា) អ៊ិនដាសស្ទ្រី ឯ.ក</t>
        </is>
      </c>
      <c r="W2227" s="556" t="n">
        <v>189602</v>
      </c>
    </row>
    <row r="2228">
      <c r="A2228" s="521" t="n">
        <v>2220</v>
      </c>
      <c r="B2228" s="522" t="inlineStr">
        <is>
          <t>Service Charge</t>
        </is>
      </c>
      <c r="C2228" s="522" t="inlineStr">
        <is>
          <t>ឆាយ ដា ឡូយីស្ទីក</t>
        </is>
      </c>
      <c r="D2228" s="522" t="inlineStr">
        <is>
          <t>L001-100063098</t>
        </is>
      </c>
      <c r="E2228" s="521" t="inlineStr">
        <is>
          <t>2205005437</t>
        </is>
      </c>
      <c r="F2228" s="523" t="n">
        <v>44704</v>
      </c>
      <c r="G2228" s="556" t="n">
        <v>88958</v>
      </c>
      <c r="I2228" s="521">
        <f>G2228</f>
        <v/>
      </c>
      <c r="K2228" s="521">
        <f>I2228-G2228</f>
        <v/>
      </c>
      <c r="M2228" s="522" t="inlineStr">
        <is>
          <t>2205005437</t>
        </is>
      </c>
      <c r="N2228" s="522" t="inlineStr">
        <is>
          <t>2205005437</t>
        </is>
      </c>
      <c r="O2228" s="521">
        <f>M2228=N2228</f>
        <v/>
      </c>
      <c r="P2228" s="521">
        <f>AND(MONTH(F2228)=MONTH(S2228), YEAR(F2228)=YEAR(S2228))</f>
        <v/>
      </c>
      <c r="Q2228" s="521">
        <f>U2228="L001-901905215"</f>
        <v/>
      </c>
      <c r="R2228" s="556">
        <f>G2228-W2228</f>
        <v/>
      </c>
      <c r="S2228" s="523" t="n">
        <v>44704</v>
      </c>
      <c r="T2228" s="522" t="inlineStr">
        <is>
          <t>2205005437</t>
        </is>
      </c>
      <c r="U2228" s="522" t="inlineStr">
        <is>
          <t>L001-901905215</t>
        </is>
      </c>
      <c r="V2228" s="522" t="inlineStr">
        <is>
          <t>វីអ៊ីស៊ិន (ខេមបូឌា) អ៊ិនដាសស្ទ្រី ឯ.ក</t>
        </is>
      </c>
      <c r="W2228" s="556" t="n">
        <v>88958</v>
      </c>
    </row>
    <row r="2229">
      <c r="A2229" s="521" t="n">
        <v>2221</v>
      </c>
      <c r="B2229" s="522" t="inlineStr">
        <is>
          <t>Service Charge</t>
        </is>
      </c>
      <c r="C2229" s="522" t="inlineStr">
        <is>
          <t>ឆាយ ដា ឡូយីស្ទីក</t>
        </is>
      </c>
      <c r="D2229" s="522" t="inlineStr">
        <is>
          <t>L001-100063098</t>
        </is>
      </c>
      <c r="E2229" s="521" t="inlineStr">
        <is>
          <t>2205005183</t>
        </is>
      </c>
      <c r="F2229" s="523" t="n">
        <v>44697</v>
      </c>
      <c r="G2229" s="556" t="n">
        <v>88936</v>
      </c>
      <c r="I2229" s="521">
        <f>G2229</f>
        <v/>
      </c>
      <c r="K2229" s="521">
        <f>I2229-G2229</f>
        <v/>
      </c>
      <c r="M2229" s="522" t="inlineStr">
        <is>
          <t>2205005183</t>
        </is>
      </c>
      <c r="N2229" s="522" t="inlineStr">
        <is>
          <t>2205005183</t>
        </is>
      </c>
      <c r="O2229" s="521">
        <f>M2229=N2229</f>
        <v/>
      </c>
      <c r="P2229" s="521">
        <f>AND(MONTH(F2229)=MONTH(S2229), YEAR(F2229)=YEAR(S2229))</f>
        <v/>
      </c>
      <c r="Q2229" s="521">
        <f>U2229="L001-901905215"</f>
        <v/>
      </c>
      <c r="R2229" s="556">
        <f>G2229-W2229</f>
        <v/>
      </c>
      <c r="S2229" s="523" t="n">
        <v>44697</v>
      </c>
      <c r="T2229" s="522" t="inlineStr">
        <is>
          <t>2205005183</t>
        </is>
      </c>
      <c r="U2229" s="522" t="inlineStr">
        <is>
          <t>L001-901905215</t>
        </is>
      </c>
      <c r="V2229" s="522" t="inlineStr">
        <is>
          <t>វីអ៊ីស៊ិន (ខេមបូឌា) អ៊ិនដាសស្ទ្រី ឯ.ក</t>
        </is>
      </c>
      <c r="W2229" s="556" t="n">
        <v>88936</v>
      </c>
    </row>
    <row r="2230">
      <c r="A2230" s="521" t="n">
        <v>2222</v>
      </c>
      <c r="B2230" s="522" t="inlineStr">
        <is>
          <t>CLEARNCE &amp; TRUCKING FEE</t>
        </is>
      </c>
      <c r="C2230" s="522" t="inlineStr">
        <is>
          <t>56ប៊ី-លីង សឹបផ្លាយ ឆេន មេនេចម៉ិន ឯ.ក</t>
        </is>
      </c>
      <c r="D2230" s="522" t="inlineStr">
        <is>
          <t>K004-902004795</t>
        </is>
      </c>
      <c r="E2230" s="521" t="inlineStr">
        <is>
          <t>TI2022-0426</t>
        </is>
      </c>
      <c r="F2230" s="523" t="n">
        <v>44711</v>
      </c>
      <c r="G2230" s="556" t="n">
        <v>257937</v>
      </c>
      <c r="I2230" s="521">
        <f>G2230</f>
        <v/>
      </c>
      <c r="K2230" s="521">
        <f>I2230-G2230</f>
        <v/>
      </c>
      <c r="M2230" s="522" t="inlineStr">
        <is>
          <t>TI20220426</t>
        </is>
      </c>
      <c r="N2230" s="522" t="inlineStr">
        <is>
          <t>TI20220426</t>
        </is>
      </c>
      <c r="O2230" s="521">
        <f>M2230=N2230</f>
        <v/>
      </c>
      <c r="P2230" s="521">
        <f>AND(MONTH(F2230)=MONTH(S2230), YEAR(F2230)=YEAR(S2230))</f>
        <v/>
      </c>
      <c r="Q2230" s="521">
        <f>U2230="L001-901905215"</f>
        <v/>
      </c>
      <c r="R2230" s="556">
        <f>G2230-W2230</f>
        <v/>
      </c>
      <c r="S2230" s="523" t="n">
        <v>44711</v>
      </c>
      <c r="T2230" s="522" t="inlineStr">
        <is>
          <t>TI2022-0426</t>
        </is>
      </c>
      <c r="U2230" s="522" t="inlineStr">
        <is>
          <t>L001-901905215</t>
        </is>
      </c>
      <c r="V2230" s="522" t="inlineStr">
        <is>
          <t>វីអ៊ីស៊ិន (ខេមបូឌា) អ៊ិនដាសស្ទ្រី ឯ.ក</t>
        </is>
      </c>
      <c r="W2230" s="556" t="n">
        <v>257937</v>
      </c>
    </row>
    <row r="2231">
      <c r="A2231" s="521" t="n">
        <v>2223</v>
      </c>
      <c r="B2231" s="522" t="inlineStr">
        <is>
          <t>CLEARNCE &amp; TRUCKING FEE</t>
        </is>
      </c>
      <c r="C2231" s="522" t="inlineStr">
        <is>
          <t>56ប៊ី-លីង សឹបផ្លាយ ឆេន មេនេចម៉ិន ឯ.ក</t>
        </is>
      </c>
      <c r="D2231" s="522" t="inlineStr">
        <is>
          <t>K004-902004795</t>
        </is>
      </c>
      <c r="E2231" s="521" t="inlineStr">
        <is>
          <t>TI2022-0405</t>
        </is>
      </c>
      <c r="F2231" s="523" t="n">
        <v>44704</v>
      </c>
      <c r="G2231" s="556" t="n">
        <v>270123</v>
      </c>
      <c r="I2231" s="521">
        <f>G2231</f>
        <v/>
      </c>
      <c r="K2231" s="521">
        <f>I2231-G2231</f>
        <v/>
      </c>
      <c r="M2231" s="522" t="inlineStr">
        <is>
          <t>TI20220405</t>
        </is>
      </c>
      <c r="N2231" s="522" t="inlineStr">
        <is>
          <t>TI20220405</t>
        </is>
      </c>
      <c r="O2231" s="521">
        <f>M2231=N2231</f>
        <v/>
      </c>
      <c r="P2231" s="521">
        <f>AND(MONTH(F2231)=MONTH(S2231), YEAR(F2231)=YEAR(S2231))</f>
        <v/>
      </c>
      <c r="Q2231" s="521">
        <f>U2231="L001-901905215"</f>
        <v/>
      </c>
      <c r="R2231" s="556">
        <f>G2231-W2231</f>
        <v/>
      </c>
      <c r="S2231" s="523" t="n">
        <v>44704</v>
      </c>
      <c r="T2231" s="522" t="inlineStr">
        <is>
          <t>TI2022-0405</t>
        </is>
      </c>
      <c r="U2231" s="522" t="inlineStr">
        <is>
          <t>L001-901905215</t>
        </is>
      </c>
      <c r="V2231" s="522" t="inlineStr">
        <is>
          <t>វីអ៊ីស៊ិន (ខេមបូឌា) អ៊ិនដាសស្ទ្រី ឯ.ក</t>
        </is>
      </c>
      <c r="W2231" s="556" t="n">
        <v>270123</v>
      </c>
    </row>
    <row r="2232">
      <c r="A2232" s="521" t="n">
        <v>2224</v>
      </c>
      <c r="B2232" s="522" t="inlineStr">
        <is>
          <t>CLEARNCE &amp; TRUCKING FEE</t>
        </is>
      </c>
      <c r="C2232" s="522" t="inlineStr">
        <is>
          <t>56ប៊ី-លីង សឹបផ្លាយ ឆេន មេនេចម៉ិន ឯ.ក</t>
        </is>
      </c>
      <c r="D2232" s="522" t="inlineStr">
        <is>
          <t>K004-902004795</t>
        </is>
      </c>
      <c r="E2232" s="521" t="inlineStr">
        <is>
          <t>TI2022-0404</t>
        </is>
      </c>
      <c r="F2232" s="523" t="n">
        <v>44704</v>
      </c>
      <c r="G2232" s="556" t="n">
        <v>209193</v>
      </c>
      <c r="I2232" s="521">
        <f>G2232</f>
        <v/>
      </c>
      <c r="K2232" s="521">
        <f>I2232-G2232</f>
        <v/>
      </c>
      <c r="M2232" s="522" t="inlineStr">
        <is>
          <t>TI20220404</t>
        </is>
      </c>
      <c r="N2232" s="522" t="inlineStr">
        <is>
          <t>TI20220404</t>
        </is>
      </c>
      <c r="O2232" s="521">
        <f>M2232=N2232</f>
        <v/>
      </c>
      <c r="P2232" s="521">
        <f>AND(MONTH(F2232)=MONTH(S2232), YEAR(F2232)=YEAR(S2232))</f>
        <v/>
      </c>
      <c r="Q2232" s="521">
        <f>U2232="L001-901905215"</f>
        <v/>
      </c>
      <c r="R2232" s="556">
        <f>G2232-W2232</f>
        <v/>
      </c>
      <c r="S2232" s="523" t="n">
        <v>44704</v>
      </c>
      <c r="T2232" s="522" t="inlineStr">
        <is>
          <t>TI2022-0404</t>
        </is>
      </c>
      <c r="U2232" s="522" t="inlineStr">
        <is>
          <t>L001-901905215</t>
        </is>
      </c>
      <c r="V2232" s="522" t="inlineStr">
        <is>
          <t>វីអ៊ីស៊ិន (ខេមបូឌា) អ៊ិនដាសស្ទ្រី ឯ.ក</t>
        </is>
      </c>
      <c r="W2232" s="556" t="n">
        <v>209193</v>
      </c>
    </row>
    <row r="2233">
      <c r="A2233" s="521" t="n">
        <v>2225</v>
      </c>
      <c r="B2233" s="522" t="inlineStr">
        <is>
          <t>CLEARNCE &amp; TRUCKING FEE</t>
        </is>
      </c>
      <c r="C2233" s="522" t="inlineStr">
        <is>
          <t>56ប៊ី-លីង សឹបផ្លាយ ឆេន មេនេចម៉ិន ឯ.ក</t>
        </is>
      </c>
      <c r="D2233" s="522" t="inlineStr">
        <is>
          <t>K004-902004795</t>
        </is>
      </c>
      <c r="E2233" s="521" t="inlineStr">
        <is>
          <t>TI2022-0403</t>
        </is>
      </c>
      <c r="F2233" s="523" t="n">
        <v>44704</v>
      </c>
      <c r="G2233" s="556" t="n">
        <v>209193</v>
      </c>
      <c r="I2233" s="521">
        <f>G2233</f>
        <v/>
      </c>
      <c r="K2233" s="521">
        <f>I2233-G2233</f>
        <v/>
      </c>
      <c r="M2233" s="522" t="inlineStr">
        <is>
          <t>TI20220403</t>
        </is>
      </c>
      <c r="N2233" s="522" t="inlineStr">
        <is>
          <t>TI20220403</t>
        </is>
      </c>
      <c r="O2233" s="521">
        <f>M2233=N2233</f>
        <v/>
      </c>
      <c r="P2233" s="521">
        <f>AND(MONTH(F2233)=MONTH(S2233), YEAR(F2233)=YEAR(S2233))</f>
        <v/>
      </c>
      <c r="Q2233" s="521">
        <f>U2233="L001-901905215"</f>
        <v/>
      </c>
      <c r="R2233" s="556">
        <f>G2233-W2233</f>
        <v/>
      </c>
      <c r="S2233" s="523" t="n">
        <v>44704</v>
      </c>
      <c r="T2233" s="522" t="inlineStr">
        <is>
          <t>TI2022-0403</t>
        </is>
      </c>
      <c r="U2233" s="522" t="inlineStr">
        <is>
          <t>L001-901905215</t>
        </is>
      </c>
      <c r="V2233" s="522" t="inlineStr">
        <is>
          <t>វីអ៊ីស៊ិន (ខេមបូឌា) អ៊ិនដាសស្ទ្រី ឯ.ក</t>
        </is>
      </c>
      <c r="W2233" s="556" t="n">
        <v>209193</v>
      </c>
    </row>
    <row r="2234">
      <c r="A2234" s="521" t="n">
        <v>2226</v>
      </c>
      <c r="B2234" s="522" t="inlineStr">
        <is>
          <t>LIFE -OFF,GATE FEE CHARGE</t>
        </is>
      </c>
      <c r="C2234" s="522" t="inlineStr">
        <is>
          <t>កំពង់ផែស្វយ័តភ្នំពេញ "ក.ស.ភ"</t>
        </is>
      </c>
      <c r="D2234" s="522" t="inlineStr">
        <is>
          <t>L001-100044999</t>
        </is>
      </c>
      <c r="E2234" s="521" t="inlineStr">
        <is>
          <t>INV20220535358</t>
        </is>
      </c>
      <c r="F2234" s="523" t="n">
        <v>44692</v>
      </c>
      <c r="G2234" s="556" t="n">
        <v>19488</v>
      </c>
      <c r="I2234" s="521">
        <f>G2234</f>
        <v/>
      </c>
      <c r="K2234" s="521">
        <f>I2234-G2234</f>
        <v/>
      </c>
      <c r="M2234" s="522" t="inlineStr">
        <is>
          <t>INV20220535358</t>
        </is>
      </c>
      <c r="N2234" s="522" t="inlineStr"/>
      <c r="O2234" s="521">
        <f>M2234=N2234</f>
        <v/>
      </c>
      <c r="P2234" s="521">
        <f>AND(MONTH(F2234)=MONTH(S2234), YEAR(F2234)=YEAR(S2234))</f>
        <v/>
      </c>
      <c r="Q2234" s="521">
        <f>U2234="L001-901905215"</f>
        <v/>
      </c>
      <c r="R2234" s="556">
        <f>G2234-W2234</f>
        <v/>
      </c>
      <c r="S2234" s="521" t="n"/>
      <c r="T2234" s="522" t="n"/>
      <c r="U2234" s="522" t="n"/>
      <c r="V2234" s="522" t="n"/>
      <c r="W2234" s="521" t="n"/>
    </row>
    <row r="2235">
      <c r="A2235" s="521" t="n">
        <v>2227</v>
      </c>
      <c r="B2235" s="522" t="inlineStr">
        <is>
          <t>CLEARNCE &amp; TRUCKING FEE</t>
        </is>
      </c>
      <c r="C2235" s="522" t="inlineStr">
        <is>
          <t>56ប៊ី-លីង សឹបផ្លាយ ឆេន មេនេចម៉ិន ឯ.ក</t>
        </is>
      </c>
      <c r="D2235" s="522" t="inlineStr">
        <is>
          <t>K004-902004795</t>
        </is>
      </c>
      <c r="E2235" s="521" t="inlineStr">
        <is>
          <t>TI2022-0382</t>
        </is>
      </c>
      <c r="F2235" s="523" t="n">
        <v>44690</v>
      </c>
      <c r="G2235" s="556" t="n">
        <v>257620</v>
      </c>
      <c r="I2235" s="521">
        <f>G2235</f>
        <v/>
      </c>
      <c r="K2235" s="521">
        <f>I2235-G2235</f>
        <v/>
      </c>
      <c r="M2235" s="522" t="inlineStr">
        <is>
          <t>TI20220382</t>
        </is>
      </c>
      <c r="N2235" s="522" t="inlineStr">
        <is>
          <t>TI20220382</t>
        </is>
      </c>
      <c r="O2235" s="521">
        <f>M2235=N2235</f>
        <v/>
      </c>
      <c r="P2235" s="521">
        <f>AND(MONTH(F2235)=MONTH(S2235), YEAR(F2235)=YEAR(S2235))</f>
        <v/>
      </c>
      <c r="Q2235" s="521">
        <f>U2235="L001-901905215"</f>
        <v/>
      </c>
      <c r="R2235" s="556">
        <f>G2235-W2235</f>
        <v/>
      </c>
      <c r="S2235" s="523" t="n">
        <v>44690</v>
      </c>
      <c r="T2235" s="522" t="inlineStr">
        <is>
          <t>TI2022-0382</t>
        </is>
      </c>
      <c r="U2235" s="522" t="inlineStr">
        <is>
          <t>L001-901905215</t>
        </is>
      </c>
      <c r="V2235" s="522" t="inlineStr">
        <is>
          <t>វីអ៊ីស៊ិន (ខេមបូឌា) អ៊ិនដាសស្ទ្រី ឯ.ក</t>
        </is>
      </c>
      <c r="W2235" s="556" t="n">
        <v>257620</v>
      </c>
    </row>
    <row r="2236">
      <c r="A2236" s="521" t="n">
        <v>2228</v>
      </c>
      <c r="B2236" s="522" t="inlineStr">
        <is>
          <t>Consulting Monthly Tax service</t>
        </is>
      </c>
      <c r="C2236" s="522" t="inlineStr">
        <is>
          <t>យីងកឺ ខេម ថេក អ៊ែតវ៉ាយហ្សឺរី ឯ.ក</t>
        </is>
      </c>
      <c r="D2236" s="522" t="inlineStr">
        <is>
          <t>K003-902005313</t>
        </is>
      </c>
      <c r="E2236" s="521" t="inlineStr">
        <is>
          <t>YKT22-117</t>
        </is>
      </c>
      <c r="F2236" s="523" t="n">
        <v>44686</v>
      </c>
      <c r="G2236" s="556" t="n">
        <v>239436</v>
      </c>
      <c r="I2236" s="521">
        <f>G2236</f>
        <v/>
      </c>
      <c r="K2236" s="521">
        <f>I2236-G2236</f>
        <v/>
      </c>
      <c r="M2236" s="522" t="inlineStr">
        <is>
          <t>YKT22117</t>
        </is>
      </c>
      <c r="N2236" s="522" t="inlineStr">
        <is>
          <t>YKT22117</t>
        </is>
      </c>
      <c r="O2236" s="521">
        <f>M2236=N2236</f>
        <v/>
      </c>
      <c r="P2236" s="521">
        <f>AND(MONTH(F2236)=MONTH(S2236), YEAR(F2236)=YEAR(S2236))</f>
        <v/>
      </c>
      <c r="Q2236" s="521">
        <f>U2236="L001-901905215"</f>
        <v/>
      </c>
      <c r="R2236" s="556">
        <f>G2236-W2236</f>
        <v/>
      </c>
      <c r="S2236" s="523" t="n">
        <v>44686</v>
      </c>
      <c r="T2236" s="522" t="inlineStr">
        <is>
          <t>YKT22-117</t>
        </is>
      </c>
      <c r="U2236" s="522" t="inlineStr">
        <is>
          <t>L001-901905215</t>
        </is>
      </c>
      <c r="V2236" s="522" t="inlineStr">
        <is>
          <t>វីអ៊ីស៊ិន (ខេមបូឌា) អ៊ិនដាសស្ទ្រី ឯ.ក</t>
        </is>
      </c>
      <c r="W2236" s="556" t="n">
        <v>239436</v>
      </c>
    </row>
    <row r="2237">
      <c r="A2237" s="521" t="n">
        <v>2229</v>
      </c>
      <c r="B2237" s="522" t="inlineStr">
        <is>
          <t>Monthly Tax Declcaration for May 2022</t>
        </is>
      </c>
      <c r="C2237" s="522" t="inlineStr">
        <is>
          <t>យីងកឺ ខេម ថេក អ៊ែតវ៉ាយហ្សឺរី ឯ.ក</t>
        </is>
      </c>
      <c r="D2237" s="522" t="inlineStr">
        <is>
          <t>K003-902005313</t>
        </is>
      </c>
      <c r="E2237" s="521" t="inlineStr">
        <is>
          <t>YKT22-106</t>
        </is>
      </c>
      <c r="F2237" s="523" t="n">
        <v>44686</v>
      </c>
      <c r="G2237" s="556" t="n">
        <v>567280</v>
      </c>
      <c r="I2237" s="521">
        <f>G2237</f>
        <v/>
      </c>
      <c r="K2237" s="521">
        <f>I2237-G2237</f>
        <v/>
      </c>
      <c r="M2237" s="522" t="inlineStr">
        <is>
          <t>YKT22106</t>
        </is>
      </c>
      <c r="N2237" s="522" t="inlineStr">
        <is>
          <t>YKT22106</t>
        </is>
      </c>
      <c r="O2237" s="521">
        <f>M2237=N2237</f>
        <v/>
      </c>
      <c r="P2237" s="521">
        <f>AND(MONTH(F2237)=MONTH(S2237), YEAR(F2237)=YEAR(S2237))</f>
        <v/>
      </c>
      <c r="Q2237" s="521">
        <f>U2237="L001-901905215"</f>
        <v/>
      </c>
      <c r="R2237" s="556">
        <f>G2237-W2237</f>
        <v/>
      </c>
      <c r="S2237" s="523" t="n">
        <v>44686</v>
      </c>
      <c r="T2237" s="522" t="inlineStr">
        <is>
          <t>YKT22-106</t>
        </is>
      </c>
      <c r="U2237" s="522" t="inlineStr">
        <is>
          <t>L001-901905215</t>
        </is>
      </c>
      <c r="V2237" s="522" t="inlineStr">
        <is>
          <t>វីអ៊ីស៊ិន (ខេមបូឌា) អ៊ិនដាសស្ទ្រី ឯ.ក</t>
        </is>
      </c>
      <c r="W2237" s="556" t="n">
        <v>567280</v>
      </c>
    </row>
    <row r="2238">
      <c r="A2238" s="521" t="n">
        <v>2230</v>
      </c>
      <c r="B2238" s="522" t="inlineStr">
        <is>
          <t>Export Charge</t>
        </is>
      </c>
      <c r="C2238" s="522" t="inlineStr">
        <is>
          <t>ឆាយ ដា ឡូយីស្ទីក</t>
        </is>
      </c>
      <c r="D2238" s="522" t="inlineStr">
        <is>
          <t>L001-100063098</t>
        </is>
      </c>
      <c r="E2238" s="521" t="inlineStr">
        <is>
          <t>2305004658</t>
        </is>
      </c>
      <c r="F2238" s="523" t="n">
        <v>45055</v>
      </c>
      <c r="G2238" s="556" t="n">
        <v>78019</v>
      </c>
      <c r="I2238" s="521">
        <f>G2238</f>
        <v/>
      </c>
      <c r="K2238" s="521">
        <f>I2238-G2238</f>
        <v/>
      </c>
      <c r="M2238" s="522" t="inlineStr">
        <is>
          <t>2305004658</t>
        </is>
      </c>
      <c r="N2238" s="522" t="inlineStr">
        <is>
          <t>2305004658</t>
        </is>
      </c>
      <c r="O2238" s="521">
        <f>M2238=N2238</f>
        <v/>
      </c>
      <c r="P2238" s="521">
        <f>AND(MONTH(F2238)=MONTH(S2238), YEAR(F2238)=YEAR(S2238))</f>
        <v/>
      </c>
      <c r="Q2238" s="521">
        <f>U2238="L001-901905215"</f>
        <v/>
      </c>
      <c r="R2238" s="556">
        <f>G2238-W2238</f>
        <v/>
      </c>
      <c r="S2238" s="523" t="n">
        <v>45055</v>
      </c>
      <c r="T2238" s="522" t="inlineStr">
        <is>
          <t>2305004658</t>
        </is>
      </c>
      <c r="U2238" s="522" t="inlineStr">
        <is>
          <t>L001-901905215</t>
        </is>
      </c>
      <c r="V2238" s="522" t="inlineStr">
        <is>
          <t>វីអ៊ីស៊ិន (ខេមបូឌា) អ៊ិនដាសស្ទ្រី ឯ.ក</t>
        </is>
      </c>
      <c r="W2238" s="556" t="n">
        <v>78019</v>
      </c>
    </row>
    <row r="2239">
      <c r="A2239" s="521" t="n">
        <v>2231</v>
      </c>
      <c r="B2239" s="522" t="inlineStr">
        <is>
          <t>Export Charge</t>
        </is>
      </c>
      <c r="C2239" s="522" t="inlineStr">
        <is>
          <t>ឆាយ ដា ឡូយីស្ទីក</t>
        </is>
      </c>
      <c r="D2239" s="522" t="inlineStr">
        <is>
          <t>L001-100063098</t>
        </is>
      </c>
      <c r="E2239" s="521" t="inlineStr">
        <is>
          <t>2305004676</t>
        </is>
      </c>
      <c r="F2239" s="523" t="n">
        <v>45055</v>
      </c>
      <c r="G2239" s="556" t="n">
        <v>78019</v>
      </c>
      <c r="I2239" s="521">
        <f>G2239</f>
        <v/>
      </c>
      <c r="K2239" s="521">
        <f>I2239-G2239</f>
        <v/>
      </c>
      <c r="M2239" s="522" t="inlineStr">
        <is>
          <t>2305004676</t>
        </is>
      </c>
      <c r="N2239" s="522" t="inlineStr">
        <is>
          <t>2305004676</t>
        </is>
      </c>
      <c r="O2239" s="521">
        <f>M2239=N2239</f>
        <v/>
      </c>
      <c r="P2239" s="521">
        <f>AND(MONTH(F2239)=MONTH(S2239), YEAR(F2239)=YEAR(S2239))</f>
        <v/>
      </c>
      <c r="Q2239" s="521">
        <f>U2239="L001-901905215"</f>
        <v/>
      </c>
      <c r="R2239" s="556">
        <f>G2239-W2239</f>
        <v/>
      </c>
      <c r="S2239" s="523" t="n">
        <v>45055</v>
      </c>
      <c r="T2239" s="522" t="inlineStr">
        <is>
          <t>2305004676</t>
        </is>
      </c>
      <c r="U2239" s="522" t="inlineStr">
        <is>
          <t>L001-901905215</t>
        </is>
      </c>
      <c r="V2239" s="522" t="inlineStr">
        <is>
          <t>វីអ៊ីស៊ិន (ខេមបូឌា) អ៊ិនដាសស្ទ្រី ឯ.ក</t>
        </is>
      </c>
      <c r="W2239" s="556" t="n">
        <v>78019</v>
      </c>
    </row>
    <row r="2240">
      <c r="A2240" s="521" t="n">
        <v>2232</v>
      </c>
      <c r="B2240" s="522" t="inlineStr">
        <is>
          <t>HANDLING AND TRUCKING FEE</t>
        </is>
      </c>
      <c r="C2240" s="522" t="inlineStr">
        <is>
          <t>អ៊ិចស្ពែឌីធ័រ ខេមបូឌា អិលធីឌី</t>
        </is>
      </c>
      <c r="D2240" s="522" t="inlineStr">
        <is>
          <t>L001-100045898</t>
        </is>
      </c>
      <c r="E2240" s="521" t="inlineStr">
        <is>
          <t>TI-0248676</t>
        </is>
      </c>
      <c r="F2240" s="523" t="n">
        <v>45061</v>
      </c>
      <c r="G2240" s="556" t="n">
        <v>55380</v>
      </c>
      <c r="I2240" s="521">
        <f>G2240</f>
        <v/>
      </c>
      <c r="K2240" s="521">
        <f>I2240-G2240</f>
        <v/>
      </c>
      <c r="M2240" s="522" t="inlineStr">
        <is>
          <t>TI0248676</t>
        </is>
      </c>
      <c r="N2240" s="522" t="inlineStr">
        <is>
          <t>TI0248676</t>
        </is>
      </c>
      <c r="O2240" s="521">
        <f>M2240=N2240</f>
        <v/>
      </c>
      <c r="P2240" s="521">
        <f>AND(MONTH(F2240)=MONTH(S2240), YEAR(F2240)=YEAR(S2240))</f>
        <v/>
      </c>
      <c r="Q2240" s="521">
        <f>U2240="L001-901905215"</f>
        <v/>
      </c>
      <c r="R2240" s="556">
        <f>G2240-W2240</f>
        <v/>
      </c>
      <c r="S2240" s="523" t="n">
        <v>45061</v>
      </c>
      <c r="T2240" s="522" t="inlineStr">
        <is>
          <t>TI-0248676</t>
        </is>
      </c>
      <c r="U2240" s="522" t="inlineStr">
        <is>
          <t>L001-901905215</t>
        </is>
      </c>
      <c r="V2240" s="522" t="inlineStr">
        <is>
          <t>វីអ៊ីស៊ិន (ខេមបូឌា) អ៊ិនដាសស្ទ្រី ឯ.ក</t>
        </is>
      </c>
      <c r="W2240" s="556" t="n">
        <v>55388</v>
      </c>
    </row>
    <row r="2241">
      <c r="A2241" s="521" t="n">
        <v>2233</v>
      </c>
      <c r="B2241" s="522" t="inlineStr">
        <is>
          <t>CLERANCE FEE</t>
        </is>
      </c>
      <c r="C2241" s="522" t="inlineStr">
        <is>
          <t>56ប៊ី-លីង សឹបផ្លាយ ឆេន មេនេចម៉ិន ឯ.ក</t>
        </is>
      </c>
      <c r="D2241" s="522" t="inlineStr">
        <is>
          <t>K004-902004795</t>
        </is>
      </c>
      <c r="E2241" s="521" t="inlineStr">
        <is>
          <t>TI2023-0658</t>
        </is>
      </c>
      <c r="F2241" s="523" t="n">
        <v>45075</v>
      </c>
      <c r="G2241" s="556" t="n">
        <v>172746</v>
      </c>
      <c r="I2241" s="521">
        <f>G2241</f>
        <v/>
      </c>
      <c r="K2241" s="521">
        <f>I2241-G2241</f>
        <v/>
      </c>
      <c r="M2241" s="522" t="inlineStr">
        <is>
          <t>TI20230658</t>
        </is>
      </c>
      <c r="N2241" s="522" t="inlineStr">
        <is>
          <t>TI20230658</t>
        </is>
      </c>
      <c r="O2241" s="521">
        <f>M2241=N2241</f>
        <v/>
      </c>
      <c r="P2241" s="521">
        <f>AND(MONTH(F2241)=MONTH(S2241), YEAR(F2241)=YEAR(S2241))</f>
        <v/>
      </c>
      <c r="Q2241" s="521">
        <f>U2241="L001-901905215"</f>
        <v/>
      </c>
      <c r="R2241" s="556">
        <f>G2241-W2241</f>
        <v/>
      </c>
      <c r="S2241" s="523" t="n">
        <v>45075</v>
      </c>
      <c r="T2241" s="522" t="inlineStr">
        <is>
          <t>TI2023-0658</t>
        </is>
      </c>
      <c r="U2241" s="522" t="inlineStr">
        <is>
          <t>L001-901905215</t>
        </is>
      </c>
      <c r="V2241" s="522" t="inlineStr">
        <is>
          <t>វីអ៊ីស៊ិន (ខេមបូឌា) អ៊ិនដាសស្ទ្រី ឯ.ក</t>
        </is>
      </c>
      <c r="W2241" s="556" t="n">
        <v>172746</v>
      </c>
    </row>
    <row r="2242">
      <c r="A2242" s="521" t="n">
        <v>2234</v>
      </c>
      <c r="B2242" s="522" t="inlineStr">
        <is>
          <t>Export Charge</t>
        </is>
      </c>
      <c r="C2242" s="522" t="inlineStr">
        <is>
          <t>ឆាយ ដា ឡូយីស្ទីក</t>
        </is>
      </c>
      <c r="D2242" s="522" t="inlineStr">
        <is>
          <t>L001-100063098</t>
        </is>
      </c>
      <c r="E2242" s="521" t="inlineStr">
        <is>
          <t>2305004669</t>
        </is>
      </c>
      <c r="F2242" s="523" t="n">
        <v>45055</v>
      </c>
      <c r="G2242" s="556" t="n">
        <v>90403</v>
      </c>
      <c r="I2242" s="521">
        <f>G2242</f>
        <v/>
      </c>
      <c r="K2242" s="521">
        <f>I2242-G2242</f>
        <v/>
      </c>
      <c r="M2242" s="522" t="inlineStr">
        <is>
          <t>2305004669</t>
        </is>
      </c>
      <c r="N2242" s="522" t="inlineStr">
        <is>
          <t>2305004669</t>
        </is>
      </c>
      <c r="O2242" s="521">
        <f>M2242=N2242</f>
        <v/>
      </c>
      <c r="P2242" s="521">
        <f>AND(MONTH(F2242)=MONTH(S2242), YEAR(F2242)=YEAR(S2242))</f>
        <v/>
      </c>
      <c r="Q2242" s="521">
        <f>U2242="L001-901905215"</f>
        <v/>
      </c>
      <c r="R2242" s="556">
        <f>G2242-W2242</f>
        <v/>
      </c>
      <c r="S2242" s="523" t="n">
        <v>45055</v>
      </c>
      <c r="T2242" s="522" t="inlineStr">
        <is>
          <t>2305004669</t>
        </is>
      </c>
      <c r="U2242" s="522" t="inlineStr">
        <is>
          <t>L001-901905215</t>
        </is>
      </c>
      <c r="V2242" s="522" t="inlineStr">
        <is>
          <t>វីអ៊ីស៊ិន (ខេមបូឌា) អ៊ិនដាសស្ទ្រី ឯ.ក</t>
        </is>
      </c>
      <c r="W2242" s="556" t="n">
        <v>90403</v>
      </c>
    </row>
    <row r="2243">
      <c r="A2243" s="521" t="n">
        <v>2235</v>
      </c>
      <c r="B2243" s="522" t="inlineStr">
        <is>
          <t>HANDLING AND TRUCKING FEE</t>
        </is>
      </c>
      <c r="C2243" s="522" t="inlineStr">
        <is>
          <t>អ៊ិចស្ពែឌីធ័រ ខេមបូឌា អិលធីឌី</t>
        </is>
      </c>
      <c r="D2243" s="522" t="inlineStr">
        <is>
          <t>L001-100045898</t>
        </is>
      </c>
      <c r="E2243" s="521" t="inlineStr">
        <is>
          <t>TI-0248682</t>
        </is>
      </c>
      <c r="F2243" s="523" t="n">
        <v>45061</v>
      </c>
      <c r="G2243" s="556" t="n">
        <v>188834</v>
      </c>
      <c r="I2243" s="521">
        <f>G2243</f>
        <v/>
      </c>
      <c r="K2243" s="521">
        <f>I2243-G2243</f>
        <v/>
      </c>
      <c r="M2243" s="522" t="inlineStr">
        <is>
          <t>TI0248682</t>
        </is>
      </c>
      <c r="N2243" s="522" t="inlineStr">
        <is>
          <t>TI0248682</t>
        </is>
      </c>
      <c r="O2243" s="521">
        <f>M2243=N2243</f>
        <v/>
      </c>
      <c r="P2243" s="521">
        <f>AND(MONTH(F2243)=MONTH(S2243), YEAR(F2243)=YEAR(S2243))</f>
        <v/>
      </c>
      <c r="Q2243" s="521">
        <f>U2243="L001-901905215"</f>
        <v/>
      </c>
      <c r="R2243" s="556">
        <f>G2243-W2243</f>
        <v/>
      </c>
      <c r="S2243" s="523" t="n">
        <v>45061</v>
      </c>
      <c r="T2243" s="522" t="inlineStr">
        <is>
          <t>TI-0248682</t>
        </is>
      </c>
      <c r="U2243" s="522" t="inlineStr">
        <is>
          <t>L001-901905215</t>
        </is>
      </c>
      <c r="V2243" s="522" t="inlineStr">
        <is>
          <t>វីអ៊ីស៊ិន (ខេមបូឌា) អ៊ិនដាសស្ទ្រី ឯ.ក</t>
        </is>
      </c>
      <c r="W2243" s="556" t="n">
        <v>188837</v>
      </c>
    </row>
    <row r="2244">
      <c r="A2244" s="521" t="n">
        <v>2236</v>
      </c>
      <c r="B2244" s="522" t="inlineStr">
        <is>
          <t>CLEARANCE AND TRUCKING FEE</t>
        </is>
      </c>
      <c r="C2244" s="522" t="inlineStr">
        <is>
          <t>56ប៊ី-លីង សឹបផ្លាយ ឆេន មេនេចម៉ិន ឯ.ក</t>
        </is>
      </c>
      <c r="D2244" s="522" t="inlineStr">
        <is>
          <t>K004-902004795</t>
        </is>
      </c>
      <c r="E2244" s="521" t="inlineStr">
        <is>
          <t>TI2023-0657</t>
        </is>
      </c>
      <c r="F2244" s="523" t="n">
        <v>45075</v>
      </c>
      <c r="G2244" s="556" t="n">
        <v>211820</v>
      </c>
      <c r="I2244" s="521">
        <f>G2244</f>
        <v/>
      </c>
      <c r="K2244" s="521">
        <f>I2244-G2244</f>
        <v/>
      </c>
      <c r="M2244" s="522" t="inlineStr">
        <is>
          <t>TI20230657</t>
        </is>
      </c>
      <c r="N2244" s="522" t="inlineStr">
        <is>
          <t>TI20230657</t>
        </is>
      </c>
      <c r="O2244" s="521">
        <f>M2244=N2244</f>
        <v/>
      </c>
      <c r="P2244" s="521">
        <f>AND(MONTH(F2244)=MONTH(S2244), YEAR(F2244)=YEAR(S2244))</f>
        <v/>
      </c>
      <c r="Q2244" s="521">
        <f>U2244="L001-901905215"</f>
        <v/>
      </c>
      <c r="R2244" s="556">
        <f>G2244-W2244</f>
        <v/>
      </c>
      <c r="S2244" s="523" t="n">
        <v>45075</v>
      </c>
      <c r="T2244" s="522" t="inlineStr">
        <is>
          <t>TI2023-0657</t>
        </is>
      </c>
      <c r="U2244" s="522" t="inlineStr">
        <is>
          <t>L001-901905215</t>
        </is>
      </c>
      <c r="V2244" s="522" t="inlineStr">
        <is>
          <t>វីអ៊ីស៊ិន (ខេមបូឌា) អ៊ិនដាសស្ទ្រី ឯ.ក</t>
        </is>
      </c>
      <c r="W2244" s="556" t="n">
        <v>211820</v>
      </c>
    </row>
    <row r="2245">
      <c r="A2245" s="521" t="n">
        <v>2237</v>
      </c>
      <c r="B2245" s="522" t="inlineStr">
        <is>
          <t>HANDLING AND TRUCKING FEE</t>
        </is>
      </c>
      <c r="C2245" s="522" t="inlineStr">
        <is>
          <t>អ៊ិចស្ពែឌីធ័រ ខេមបូឌា អិលធីឌី</t>
        </is>
      </c>
      <c r="D2245" s="522" t="inlineStr">
        <is>
          <t>L001-100045898</t>
        </is>
      </c>
      <c r="E2245" s="521" t="inlineStr">
        <is>
          <t>TI-0248684</t>
        </is>
      </c>
      <c r="F2245" s="523" t="n">
        <v>45061</v>
      </c>
      <c r="G2245" s="556" t="n">
        <v>147942</v>
      </c>
      <c r="I2245" s="521">
        <f>G2245</f>
        <v/>
      </c>
      <c r="K2245" s="521">
        <f>I2245-G2245</f>
        <v/>
      </c>
      <c r="M2245" s="522" t="inlineStr">
        <is>
          <t>TI0248684</t>
        </is>
      </c>
      <c r="N2245" s="522" t="inlineStr">
        <is>
          <t>TI0248684</t>
        </is>
      </c>
      <c r="O2245" s="521">
        <f>M2245=N2245</f>
        <v/>
      </c>
      <c r="P2245" s="521">
        <f>AND(MONTH(F2245)=MONTH(S2245), YEAR(F2245)=YEAR(S2245))</f>
        <v/>
      </c>
      <c r="Q2245" s="521">
        <f>U2245="L001-901905215"</f>
        <v/>
      </c>
      <c r="R2245" s="556">
        <f>G2245-W2245</f>
        <v/>
      </c>
      <c r="S2245" s="523" t="n">
        <v>45061</v>
      </c>
      <c r="T2245" s="522" t="inlineStr">
        <is>
          <t>TI-0248684</t>
        </is>
      </c>
      <c r="U2245" s="522" t="inlineStr">
        <is>
          <t>L001-901905215</t>
        </is>
      </c>
      <c r="V2245" s="522" t="inlineStr">
        <is>
          <t>វីអ៊ីស៊ិន (ខេមបូឌា) អ៊ិនដាសស្ទ្រី ឯ.ក</t>
        </is>
      </c>
      <c r="W2245" s="556" t="n">
        <v>147934</v>
      </c>
    </row>
    <row r="2246">
      <c r="A2246" s="521" t="n">
        <v>2238</v>
      </c>
      <c r="B2246" s="522" t="inlineStr">
        <is>
          <t>CLERANCE FEE</t>
        </is>
      </c>
      <c r="C2246" s="522" t="inlineStr">
        <is>
          <t>56ប៊ី-លីង សឹបផ្លាយ ឆេន មេនេចម៉ិន ឯ.ក</t>
        </is>
      </c>
      <c r="D2246" s="522" t="inlineStr">
        <is>
          <t>K004-902004795</t>
        </is>
      </c>
      <c r="E2246" s="521" t="inlineStr">
        <is>
          <t>TI2023-0628</t>
        </is>
      </c>
      <c r="F2246" s="523" t="n">
        <v>45069</v>
      </c>
      <c r="G2246" s="556" t="n">
        <v>172704</v>
      </c>
      <c r="I2246" s="521">
        <f>G2246</f>
        <v/>
      </c>
      <c r="K2246" s="521">
        <f>I2246-G2246</f>
        <v/>
      </c>
      <c r="M2246" s="522" t="inlineStr">
        <is>
          <t>TI20230628</t>
        </is>
      </c>
      <c r="N2246" s="522" t="inlineStr">
        <is>
          <t>TI20230628</t>
        </is>
      </c>
      <c r="O2246" s="521">
        <f>M2246=N2246</f>
        <v/>
      </c>
      <c r="P2246" s="521">
        <f>AND(MONTH(F2246)=MONTH(S2246), YEAR(F2246)=YEAR(S2246))</f>
        <v/>
      </c>
      <c r="Q2246" s="521">
        <f>U2246="L001-901905215"</f>
        <v/>
      </c>
      <c r="R2246" s="556">
        <f>G2246-W2246</f>
        <v/>
      </c>
      <c r="S2246" s="523" t="n">
        <v>45069</v>
      </c>
      <c r="T2246" s="522" t="inlineStr">
        <is>
          <t>TI2023-0628</t>
        </is>
      </c>
      <c r="U2246" s="522" t="inlineStr">
        <is>
          <t>L001-901905215</t>
        </is>
      </c>
      <c r="V2246" s="522" t="inlineStr">
        <is>
          <t>វីអ៊ីស៊ិន (ខេមបូឌា) អ៊ិនដាសស្ទ្រី ឯ.ក</t>
        </is>
      </c>
      <c r="W2246" s="556" t="n">
        <v>172704</v>
      </c>
    </row>
    <row r="2247">
      <c r="A2247" s="521" t="n">
        <v>2239</v>
      </c>
      <c r="B2247" s="522" t="inlineStr">
        <is>
          <t>Worker fee</t>
        </is>
      </c>
      <c r="C2247" s="522" t="inlineStr">
        <is>
          <t>ឆាយ ដា ឡូយីស្ទីក</t>
        </is>
      </c>
      <c r="D2247" s="522" t="inlineStr">
        <is>
          <t>L001-100063098</t>
        </is>
      </c>
      <c r="E2247" s="521" t="inlineStr">
        <is>
          <t>2305004500</t>
        </is>
      </c>
      <c r="F2247" s="523" t="n">
        <v>45049</v>
      </c>
      <c r="G2247" s="556" t="n">
        <v>18540</v>
      </c>
      <c r="I2247" s="521">
        <f>G2247</f>
        <v/>
      </c>
      <c r="K2247" s="521">
        <f>I2247-G2247</f>
        <v/>
      </c>
      <c r="M2247" s="522" t="inlineStr">
        <is>
          <t>2305004500</t>
        </is>
      </c>
      <c r="N2247" s="522" t="inlineStr">
        <is>
          <t>2305004500</t>
        </is>
      </c>
      <c r="O2247" s="521">
        <f>M2247=N2247</f>
        <v/>
      </c>
      <c r="P2247" s="521">
        <f>AND(MONTH(F2247)=MONTH(S2247), YEAR(F2247)=YEAR(S2247))</f>
        <v/>
      </c>
      <c r="Q2247" s="521">
        <f>U2247="L001-901905215"</f>
        <v/>
      </c>
      <c r="R2247" s="556">
        <f>G2247-W2247</f>
        <v/>
      </c>
      <c r="S2247" s="523" t="n">
        <v>45049</v>
      </c>
      <c r="T2247" s="522" t="inlineStr">
        <is>
          <t>2305004500</t>
        </is>
      </c>
      <c r="U2247" s="522" t="inlineStr">
        <is>
          <t>L001-901905215</t>
        </is>
      </c>
      <c r="V2247" s="522" t="inlineStr">
        <is>
          <t>វីអ៊ីស៊ិន (ខេមបូឌា) អ៊ិនដាសស្ទ្រី ឯ.ក</t>
        </is>
      </c>
      <c r="W2247" s="556" t="n">
        <v>18540</v>
      </c>
    </row>
    <row r="2248">
      <c r="A2248" s="521" t="n">
        <v>2240</v>
      </c>
      <c r="B2248" s="522" t="inlineStr">
        <is>
          <t>Export Charge</t>
        </is>
      </c>
      <c r="C2248" s="522" t="inlineStr">
        <is>
          <t>ឆាយ ដា ឡូយីស្ទីក</t>
        </is>
      </c>
      <c r="D2248" s="522" t="inlineStr">
        <is>
          <t>L001-100063098</t>
        </is>
      </c>
      <c r="E2248" s="521" t="inlineStr">
        <is>
          <t>2305004660</t>
        </is>
      </c>
      <c r="F2248" s="523" t="n">
        <v>45055</v>
      </c>
      <c r="G2248" s="556" t="n">
        <v>78019</v>
      </c>
      <c r="I2248" s="521">
        <f>G2248</f>
        <v/>
      </c>
      <c r="K2248" s="521">
        <f>I2248-G2248</f>
        <v/>
      </c>
      <c r="M2248" s="522" t="inlineStr">
        <is>
          <t>2305004660</t>
        </is>
      </c>
      <c r="N2248" s="522" t="inlineStr">
        <is>
          <t>2305004660</t>
        </is>
      </c>
      <c r="O2248" s="521">
        <f>M2248=N2248</f>
        <v/>
      </c>
      <c r="P2248" s="521">
        <f>AND(MONTH(F2248)=MONTH(S2248), YEAR(F2248)=YEAR(S2248))</f>
        <v/>
      </c>
      <c r="Q2248" s="521">
        <f>U2248="L001-901905215"</f>
        <v/>
      </c>
      <c r="R2248" s="556">
        <f>G2248-W2248</f>
        <v/>
      </c>
      <c r="S2248" s="523" t="n">
        <v>45055</v>
      </c>
      <c r="T2248" s="522" t="inlineStr">
        <is>
          <t>2305004660</t>
        </is>
      </c>
      <c r="U2248" s="522" t="inlineStr">
        <is>
          <t>L001-901905215</t>
        </is>
      </c>
      <c r="V2248" s="522" t="inlineStr">
        <is>
          <t>វីអ៊ីស៊ិន (ខេមបូឌា) អ៊ិនដាសស្ទ្រី ឯ.ក</t>
        </is>
      </c>
      <c r="W2248" s="556" t="n">
        <v>78019</v>
      </c>
    </row>
    <row r="2249">
      <c r="A2249" s="521" t="n">
        <v>2241</v>
      </c>
      <c r="B2249" s="522" t="inlineStr">
        <is>
          <t>HANDLING AND TRUCKING FEE</t>
        </is>
      </c>
      <c r="C2249" s="522" t="inlineStr">
        <is>
          <t>អ៊ិចស្ពែឌីធ័រ ខេមបូឌា អិលធីឌី</t>
        </is>
      </c>
      <c r="D2249" s="522" t="inlineStr">
        <is>
          <t>L001-100045898</t>
        </is>
      </c>
      <c r="E2249" s="521" t="inlineStr">
        <is>
          <t>TI-0249068</t>
        </is>
      </c>
      <c r="F2249" s="523" t="n">
        <v>45068</v>
      </c>
      <c r="G2249" s="556" t="n">
        <v>57397</v>
      </c>
      <c r="I2249" s="521">
        <f>G2249</f>
        <v/>
      </c>
      <c r="K2249" s="521">
        <f>I2249-G2249</f>
        <v/>
      </c>
      <c r="M2249" s="522" t="inlineStr">
        <is>
          <t>TI0249068</t>
        </is>
      </c>
      <c r="N2249" s="522" t="inlineStr">
        <is>
          <t>TI0249068</t>
        </is>
      </c>
      <c r="O2249" s="521">
        <f>M2249=N2249</f>
        <v/>
      </c>
      <c r="P2249" s="521">
        <f>AND(MONTH(F2249)=MONTH(S2249), YEAR(F2249)=YEAR(S2249))</f>
        <v/>
      </c>
      <c r="Q2249" s="521">
        <f>U2249="L001-901905215"</f>
        <v/>
      </c>
      <c r="R2249" s="556">
        <f>G2249-W2249</f>
        <v/>
      </c>
      <c r="S2249" s="523" t="n">
        <v>45068</v>
      </c>
      <c r="T2249" s="522" t="inlineStr">
        <is>
          <t>TI-0249068</t>
        </is>
      </c>
      <c r="U2249" s="522" t="inlineStr">
        <is>
          <t>L001-901905215</t>
        </is>
      </c>
      <c r="V2249" s="522" t="inlineStr">
        <is>
          <t>វីអ៊ីស៊ិន (ខេមបូឌា) អ៊ិនដាសស្ទ្រី ឯ.ក</t>
        </is>
      </c>
      <c r="W2249" s="556" t="n">
        <v>57390</v>
      </c>
    </row>
    <row r="2250">
      <c r="A2250" s="521" t="n">
        <v>2242</v>
      </c>
      <c r="B2250" s="522" t="inlineStr">
        <is>
          <t>CLERANCE FEE</t>
        </is>
      </c>
      <c r="C2250" s="522" t="inlineStr">
        <is>
          <t>56ប៊ី-លីង សឹបផ្លាយ ឆេន មេនេចម៉ិន ឯ.ក</t>
        </is>
      </c>
      <c r="D2250" s="522" t="inlineStr">
        <is>
          <t>K004-902004795</t>
        </is>
      </c>
      <c r="E2250" s="521" t="inlineStr">
        <is>
          <t>TI2023-0627</t>
        </is>
      </c>
      <c r="F2250" s="523" t="n">
        <v>45069</v>
      </c>
      <c r="G2250" s="556" t="n">
        <v>172704</v>
      </c>
      <c r="I2250" s="521">
        <f>G2250</f>
        <v/>
      </c>
      <c r="K2250" s="521">
        <f>I2250-G2250</f>
        <v/>
      </c>
      <c r="M2250" s="522" t="inlineStr">
        <is>
          <t>TI20230627</t>
        </is>
      </c>
      <c r="N2250" s="522" t="inlineStr">
        <is>
          <t>TI20230627</t>
        </is>
      </c>
      <c r="O2250" s="521">
        <f>M2250=N2250</f>
        <v/>
      </c>
      <c r="P2250" s="521">
        <f>AND(MONTH(F2250)=MONTH(S2250), YEAR(F2250)=YEAR(S2250))</f>
        <v/>
      </c>
      <c r="Q2250" s="521">
        <f>U2250="L001-901905215"</f>
        <v/>
      </c>
      <c r="R2250" s="556">
        <f>G2250-W2250</f>
        <v/>
      </c>
      <c r="S2250" s="523" t="n">
        <v>45069</v>
      </c>
      <c r="T2250" s="522" t="inlineStr">
        <is>
          <t>TI2023-0627</t>
        </is>
      </c>
      <c r="U2250" s="522" t="inlineStr">
        <is>
          <t>L001-901905215</t>
        </is>
      </c>
      <c r="V2250" s="522" t="inlineStr">
        <is>
          <t>វីអ៊ីស៊ិន (ខេមបូឌា) អ៊ិនដាសស្ទ្រី ឯ.ក</t>
        </is>
      </c>
      <c r="W2250" s="556" t="n">
        <v>172704</v>
      </c>
    </row>
    <row r="2251">
      <c r="A2251" s="521" t="n">
        <v>2243</v>
      </c>
      <c r="B2251" s="522" t="inlineStr">
        <is>
          <t>HANDLING AND TRUCKING FEE</t>
        </is>
      </c>
      <c r="C2251" s="522" t="inlineStr">
        <is>
          <t>អ៊ិចស្ពែឌីធ័រ ខេមបូឌា អិលធីឌី</t>
        </is>
      </c>
      <c r="D2251" s="522" t="inlineStr">
        <is>
          <t>L001-100045898</t>
        </is>
      </c>
      <c r="E2251" s="521" t="inlineStr">
        <is>
          <t>TI-0249089</t>
        </is>
      </c>
      <c r="F2251" s="523" t="n">
        <v>45068</v>
      </c>
      <c r="G2251" s="556" t="n">
        <v>175854</v>
      </c>
      <c r="I2251" s="521">
        <f>G2251</f>
        <v/>
      </c>
      <c r="K2251" s="521">
        <f>I2251-G2251</f>
        <v/>
      </c>
      <c r="M2251" s="522" t="inlineStr">
        <is>
          <t>TI0249089</t>
        </is>
      </c>
      <c r="N2251" s="522" t="inlineStr">
        <is>
          <t>TI0249089</t>
        </is>
      </c>
      <c r="O2251" s="521">
        <f>M2251=N2251</f>
        <v/>
      </c>
      <c r="P2251" s="521">
        <f>AND(MONTH(F2251)=MONTH(S2251), YEAR(F2251)=YEAR(S2251))</f>
        <v/>
      </c>
      <c r="Q2251" s="521">
        <f>U2251="L001-901905215"</f>
        <v/>
      </c>
      <c r="R2251" s="556">
        <f>G2251-W2251</f>
        <v/>
      </c>
      <c r="S2251" s="523" t="n">
        <v>45068</v>
      </c>
      <c r="T2251" s="522" t="inlineStr">
        <is>
          <t>TI-0249089</t>
        </is>
      </c>
      <c r="U2251" s="522" t="inlineStr">
        <is>
          <t>L001-901905215</t>
        </is>
      </c>
      <c r="V2251" s="522" t="inlineStr">
        <is>
          <t>វីអ៊ីស៊ិន (ខេមបូឌា) អ៊ិនដាសស្ទ្រី ឯ.ក</t>
        </is>
      </c>
      <c r="W2251" s="556" t="n">
        <v>175869</v>
      </c>
    </row>
    <row r="2252">
      <c r="A2252" s="521" t="n">
        <v>2244</v>
      </c>
      <c r="B2252" s="522" t="inlineStr">
        <is>
          <t>Export Charge</t>
        </is>
      </c>
      <c r="C2252" s="522" t="inlineStr">
        <is>
          <t>ឆាយ ដា ឡូយីស្ទីក</t>
        </is>
      </c>
      <c r="D2252" s="522" t="inlineStr">
        <is>
          <t>L001-100063098</t>
        </is>
      </c>
      <c r="E2252" s="521" t="inlineStr">
        <is>
          <t>2305004463</t>
        </is>
      </c>
      <c r="F2252" s="523" t="n">
        <v>45048</v>
      </c>
      <c r="G2252" s="556" t="n">
        <v>77849</v>
      </c>
      <c r="I2252" s="521">
        <f>G2252</f>
        <v/>
      </c>
      <c r="K2252" s="521">
        <f>I2252-G2252</f>
        <v/>
      </c>
      <c r="M2252" s="522" t="inlineStr">
        <is>
          <t>2305004463</t>
        </is>
      </c>
      <c r="N2252" s="522" t="inlineStr">
        <is>
          <t>2305004463</t>
        </is>
      </c>
      <c r="O2252" s="521">
        <f>M2252=N2252</f>
        <v/>
      </c>
      <c r="P2252" s="521">
        <f>AND(MONTH(F2252)=MONTH(S2252), YEAR(F2252)=YEAR(S2252))</f>
        <v/>
      </c>
      <c r="Q2252" s="521">
        <f>U2252="L001-901905215"</f>
        <v/>
      </c>
      <c r="R2252" s="556">
        <f>G2252-W2252</f>
        <v/>
      </c>
      <c r="S2252" s="523" t="n">
        <v>45048</v>
      </c>
      <c r="T2252" s="522" t="inlineStr">
        <is>
          <t>2305004463</t>
        </is>
      </c>
      <c r="U2252" s="522" t="inlineStr">
        <is>
          <t>L001-901905215</t>
        </is>
      </c>
      <c r="V2252" s="522" t="inlineStr">
        <is>
          <t>វីអ៊ីស៊ិន (ខេមបូឌា) អ៊ិនដាសស្ទ្រី ឯ.ក</t>
        </is>
      </c>
      <c r="W2252" s="556" t="n">
        <v>77849</v>
      </c>
    </row>
    <row r="2253">
      <c r="A2253" s="521" t="n">
        <v>2245</v>
      </c>
      <c r="B2253" s="522" t="inlineStr">
        <is>
          <t>CLERANCE FEE</t>
        </is>
      </c>
      <c r="C2253" s="522" t="inlineStr">
        <is>
          <t>56ប៊ី-លីង សឹបផ្លាយ ឆេន មេនេចម៉ិន ឯ.ក</t>
        </is>
      </c>
      <c r="D2253" s="522" t="inlineStr">
        <is>
          <t>K004-902004795</t>
        </is>
      </c>
      <c r="E2253" s="521" t="inlineStr">
        <is>
          <t>TI2023-0626</t>
        </is>
      </c>
      <c r="F2253" s="523" t="n">
        <v>45069</v>
      </c>
      <c r="G2253" s="556" t="n">
        <v>172704</v>
      </c>
      <c r="I2253" s="521">
        <f>G2253</f>
        <v/>
      </c>
      <c r="K2253" s="521">
        <f>I2253-G2253</f>
        <v/>
      </c>
      <c r="M2253" s="522" t="inlineStr">
        <is>
          <t>TI20230626</t>
        </is>
      </c>
      <c r="N2253" s="522" t="inlineStr">
        <is>
          <t>TI20230626</t>
        </is>
      </c>
      <c r="O2253" s="521">
        <f>M2253=N2253</f>
        <v/>
      </c>
      <c r="P2253" s="521">
        <f>AND(MONTH(F2253)=MONTH(S2253), YEAR(F2253)=YEAR(S2253))</f>
        <v/>
      </c>
      <c r="Q2253" s="521">
        <f>U2253="L001-901905215"</f>
        <v/>
      </c>
      <c r="R2253" s="556">
        <f>G2253-W2253</f>
        <v/>
      </c>
      <c r="S2253" s="523" t="n">
        <v>45069</v>
      </c>
      <c r="T2253" s="522" t="inlineStr">
        <is>
          <t>TI2023-0626</t>
        </is>
      </c>
      <c r="U2253" s="522" t="inlineStr">
        <is>
          <t>L001-901905215</t>
        </is>
      </c>
      <c r="V2253" s="522" t="inlineStr">
        <is>
          <t>វីអ៊ីស៊ិន (ខេមបូឌា) អ៊ិនដាសស្ទ្រី ឯ.ក</t>
        </is>
      </c>
      <c r="W2253" s="556" t="n">
        <v>172704</v>
      </c>
    </row>
    <row r="2254">
      <c r="A2254" s="521" t="n">
        <v>2246</v>
      </c>
      <c r="B2254" s="522" t="inlineStr">
        <is>
          <t>Export Charge</t>
        </is>
      </c>
      <c r="C2254" s="522" t="inlineStr">
        <is>
          <t>ឆាយ ដា ឡូយីស្ទីក</t>
        </is>
      </c>
      <c r="D2254" s="522" t="inlineStr">
        <is>
          <t>L001-100063098</t>
        </is>
      </c>
      <c r="E2254" s="521" t="inlineStr">
        <is>
          <t>2305004472</t>
        </is>
      </c>
      <c r="F2254" s="523" t="n">
        <v>45048</v>
      </c>
      <c r="G2254" s="556" t="n">
        <v>90206</v>
      </c>
      <c r="I2254" s="521">
        <f>G2254</f>
        <v/>
      </c>
      <c r="K2254" s="521">
        <f>I2254-G2254</f>
        <v/>
      </c>
      <c r="M2254" s="522" t="inlineStr">
        <is>
          <t>2305004472</t>
        </is>
      </c>
      <c r="N2254" s="522" t="inlineStr">
        <is>
          <t>2305004472</t>
        </is>
      </c>
      <c r="O2254" s="521">
        <f>M2254=N2254</f>
        <v/>
      </c>
      <c r="P2254" s="521">
        <f>AND(MONTH(F2254)=MONTH(S2254), YEAR(F2254)=YEAR(S2254))</f>
        <v/>
      </c>
      <c r="Q2254" s="521">
        <f>U2254="L001-901905215"</f>
        <v/>
      </c>
      <c r="R2254" s="556">
        <f>G2254-W2254</f>
        <v/>
      </c>
      <c r="S2254" s="523" t="n">
        <v>45048</v>
      </c>
      <c r="T2254" s="522" t="inlineStr">
        <is>
          <t>2305004472</t>
        </is>
      </c>
      <c r="U2254" s="522" t="inlineStr">
        <is>
          <t>L001-901905215</t>
        </is>
      </c>
      <c r="V2254" s="522" t="inlineStr">
        <is>
          <t>វីអ៊ីស៊ិន (ខេមបូឌា) អ៊ិនដាសស្ទ្រី ឯ.ក</t>
        </is>
      </c>
      <c r="W2254" s="556" t="n">
        <v>90206</v>
      </c>
    </row>
    <row r="2255">
      <c r="A2255" s="521" t="n">
        <v>2247</v>
      </c>
      <c r="B2255" s="522" t="inlineStr">
        <is>
          <t>HANDLING AND TRUCKING FEE</t>
        </is>
      </c>
      <c r="C2255" s="522" t="inlineStr">
        <is>
          <t>អ៊ិចស្ពែឌីធ័រ ខេមបូឌា អិលធីឌី</t>
        </is>
      </c>
      <c r="D2255" s="522" t="inlineStr">
        <is>
          <t>L001-100045898</t>
        </is>
      </c>
      <c r="E2255" s="521" t="inlineStr">
        <is>
          <t>TI-0249129</t>
        </is>
      </c>
      <c r="F2255" s="523" t="n">
        <v>45068</v>
      </c>
      <c r="G2255" s="556" t="n">
        <v>58137</v>
      </c>
      <c r="I2255" s="521">
        <f>G2255</f>
        <v/>
      </c>
      <c r="K2255" s="521">
        <f>I2255-G2255</f>
        <v/>
      </c>
      <c r="M2255" s="522" t="inlineStr">
        <is>
          <t>TI0249129</t>
        </is>
      </c>
      <c r="N2255" s="522" t="inlineStr">
        <is>
          <t>TI0249129</t>
        </is>
      </c>
      <c r="O2255" s="521">
        <f>M2255=N2255</f>
        <v/>
      </c>
      <c r="P2255" s="521">
        <f>AND(MONTH(F2255)=MONTH(S2255), YEAR(F2255)=YEAR(S2255))</f>
        <v/>
      </c>
      <c r="Q2255" s="521">
        <f>U2255="L001-901905215"</f>
        <v/>
      </c>
      <c r="R2255" s="556">
        <f>G2255-W2255</f>
        <v/>
      </c>
      <c r="S2255" s="523" t="n">
        <v>45068</v>
      </c>
      <c r="T2255" s="522" t="inlineStr">
        <is>
          <t>TI-0249129</t>
        </is>
      </c>
      <c r="U2255" s="522" t="inlineStr">
        <is>
          <t>L001-901905215</t>
        </is>
      </c>
      <c r="V2255" s="522" t="inlineStr">
        <is>
          <t>វីអ៊ីស៊ិន (ខេមបូឌា) អ៊ិនដាសស្ទ្រី ឯ.ក</t>
        </is>
      </c>
      <c r="W2255" s="556" t="n">
        <v>58130</v>
      </c>
    </row>
    <row r="2256">
      <c r="A2256" s="521" t="n">
        <v>2248</v>
      </c>
      <c r="B2256" s="522" t="inlineStr">
        <is>
          <t>CLEARANCE AND TRUCKING FEE</t>
        </is>
      </c>
      <c r="C2256" s="522" t="inlineStr">
        <is>
          <t>56ប៊ី-លីង សឹបផ្លាយ ឆេន មេនេចម៉ិន ឯ.ក</t>
        </is>
      </c>
      <c r="D2256" s="522" t="inlineStr">
        <is>
          <t>K004-902004795</t>
        </is>
      </c>
      <c r="E2256" s="521" t="inlineStr">
        <is>
          <t>TI2023-0625</t>
        </is>
      </c>
      <c r="F2256" s="523" t="n">
        <v>45069</v>
      </c>
      <c r="G2256" s="556" t="n">
        <v>211768</v>
      </c>
      <c r="I2256" s="521">
        <f>G2256</f>
        <v/>
      </c>
      <c r="K2256" s="521">
        <f>I2256-G2256</f>
        <v/>
      </c>
      <c r="M2256" s="522" t="inlineStr">
        <is>
          <t>TI20230625</t>
        </is>
      </c>
      <c r="N2256" s="522" t="inlineStr">
        <is>
          <t>TI20230625</t>
        </is>
      </c>
      <c r="O2256" s="521">
        <f>M2256=N2256</f>
        <v/>
      </c>
      <c r="P2256" s="521">
        <f>AND(MONTH(F2256)=MONTH(S2256), YEAR(F2256)=YEAR(S2256))</f>
        <v/>
      </c>
      <c r="Q2256" s="521">
        <f>U2256="L001-901905215"</f>
        <v/>
      </c>
      <c r="R2256" s="556">
        <f>G2256-W2256</f>
        <v/>
      </c>
      <c r="S2256" s="523" t="n">
        <v>45069</v>
      </c>
      <c r="T2256" s="522" t="inlineStr">
        <is>
          <t>TI2023-0625</t>
        </is>
      </c>
      <c r="U2256" s="522" t="inlineStr">
        <is>
          <t>L001-901905215</t>
        </is>
      </c>
      <c r="V2256" s="522" t="inlineStr">
        <is>
          <t>វីអ៊ីស៊ិន (ខេមបូឌា) អ៊ិនដាសស្ទ្រី ឯ.ក</t>
        </is>
      </c>
      <c r="W2256" s="556" t="n">
        <v>211768</v>
      </c>
    </row>
    <row r="2257">
      <c r="A2257" s="521" t="n">
        <v>2249</v>
      </c>
      <c r="B2257" s="522" t="inlineStr">
        <is>
          <t>Export Charge</t>
        </is>
      </c>
      <c r="C2257" s="522" t="inlineStr">
        <is>
          <t>ឆាយ ដា ឡូយីស្ទីក</t>
        </is>
      </c>
      <c r="D2257" s="522" t="inlineStr">
        <is>
          <t>L001-100063098</t>
        </is>
      </c>
      <c r="E2257" s="521" t="inlineStr">
        <is>
          <t>2305004471</t>
        </is>
      </c>
      <c r="F2257" s="523" t="n">
        <v>45048</v>
      </c>
      <c r="G2257" s="556" t="n">
        <v>77849</v>
      </c>
      <c r="I2257" s="521">
        <f>G2257</f>
        <v/>
      </c>
      <c r="K2257" s="521">
        <f>I2257-G2257</f>
        <v/>
      </c>
      <c r="M2257" s="522" t="inlineStr">
        <is>
          <t>2305004471</t>
        </is>
      </c>
      <c r="N2257" s="522" t="inlineStr">
        <is>
          <t>2305004471</t>
        </is>
      </c>
      <c r="O2257" s="521">
        <f>M2257=N2257</f>
        <v/>
      </c>
      <c r="P2257" s="521">
        <f>AND(MONTH(F2257)=MONTH(S2257), YEAR(F2257)=YEAR(S2257))</f>
        <v/>
      </c>
      <c r="Q2257" s="521">
        <f>U2257="L001-901905215"</f>
        <v/>
      </c>
      <c r="R2257" s="556">
        <f>G2257-W2257</f>
        <v/>
      </c>
      <c r="S2257" s="523" t="n">
        <v>45048</v>
      </c>
      <c r="T2257" s="522" t="inlineStr">
        <is>
          <t>2305004471</t>
        </is>
      </c>
      <c r="U2257" s="522" t="inlineStr">
        <is>
          <t>L001-901905215</t>
        </is>
      </c>
      <c r="V2257" s="522" t="inlineStr">
        <is>
          <t>វីអ៊ីស៊ិន (ខេមបូឌា) អ៊ិនដាសស្ទ្រី ឯ.ក</t>
        </is>
      </c>
      <c r="W2257" s="556" t="n">
        <v>77849</v>
      </c>
    </row>
    <row r="2258">
      <c r="A2258" s="521" t="n">
        <v>2250</v>
      </c>
      <c r="B2258" s="522" t="inlineStr">
        <is>
          <t>HANDLING AND TRUCKING FEE</t>
        </is>
      </c>
      <c r="C2258" s="522" t="inlineStr">
        <is>
          <t>អ៊ិចស្ពែឌីធ័រ ខេមបូឌា អិលធីឌី</t>
        </is>
      </c>
      <c r="D2258" s="522" t="inlineStr">
        <is>
          <t>L001-100045898</t>
        </is>
      </c>
      <c r="E2258" s="521" t="inlineStr">
        <is>
          <t>TI-0249136</t>
        </is>
      </c>
      <c r="F2258" s="523" t="n">
        <v>45068</v>
      </c>
      <c r="G2258" s="556" t="n">
        <v>57266</v>
      </c>
      <c r="I2258" s="521">
        <f>G2258</f>
        <v/>
      </c>
      <c r="K2258" s="521">
        <f>I2258-G2258</f>
        <v/>
      </c>
      <c r="M2258" s="522" t="inlineStr">
        <is>
          <t>TI0249136</t>
        </is>
      </c>
      <c r="N2258" s="522" t="inlineStr">
        <is>
          <t>TI0249136</t>
        </is>
      </c>
      <c r="O2258" s="521">
        <f>M2258=N2258</f>
        <v/>
      </c>
      <c r="P2258" s="521">
        <f>AND(MONTH(F2258)=MONTH(S2258), YEAR(F2258)=YEAR(S2258))</f>
        <v/>
      </c>
      <c r="Q2258" s="521">
        <f>U2258="L001-901905215"</f>
        <v/>
      </c>
      <c r="R2258" s="556">
        <f>G2258-W2258</f>
        <v/>
      </c>
      <c r="S2258" s="523" t="n">
        <v>45068</v>
      </c>
      <c r="T2258" s="522" t="inlineStr">
        <is>
          <t>TI-0249136</t>
        </is>
      </c>
      <c r="U2258" s="522" t="inlineStr">
        <is>
          <t>L001-901905215</t>
        </is>
      </c>
      <c r="V2258" s="522" t="inlineStr">
        <is>
          <t>វីអ៊ីស៊ិន (ខេមបូឌា) អ៊ិនដាសស្ទ្រី ឯ.ក</t>
        </is>
      </c>
      <c r="W2258" s="556" t="n">
        <v>57266</v>
      </c>
    </row>
    <row r="2259">
      <c r="A2259" s="521" t="n">
        <v>2251</v>
      </c>
      <c r="B2259" s="522" t="inlineStr">
        <is>
          <t>CLERANCE FEE</t>
        </is>
      </c>
      <c r="C2259" s="522" t="inlineStr">
        <is>
          <t>56ប៊ី-លីង សឹបផ្លាយ ឆេន មេនេចម៉ិន ឯ.ក</t>
        </is>
      </c>
      <c r="D2259" s="522" t="inlineStr">
        <is>
          <t>K004-902004795</t>
        </is>
      </c>
      <c r="E2259" s="521" t="inlineStr">
        <is>
          <t>TI2023-0577</t>
        </is>
      </c>
      <c r="F2259" s="523" t="n">
        <v>45054</v>
      </c>
      <c r="G2259" s="556" t="n">
        <v>173124</v>
      </c>
      <c r="I2259" s="521">
        <f>G2259</f>
        <v/>
      </c>
      <c r="K2259" s="521">
        <f>I2259-G2259</f>
        <v/>
      </c>
      <c r="M2259" s="522" t="inlineStr">
        <is>
          <t>TI20230577</t>
        </is>
      </c>
      <c r="N2259" s="522" t="inlineStr">
        <is>
          <t>TI20230577</t>
        </is>
      </c>
      <c r="O2259" s="521">
        <f>M2259=N2259</f>
        <v/>
      </c>
      <c r="P2259" s="521">
        <f>AND(MONTH(F2259)=MONTH(S2259), YEAR(F2259)=YEAR(S2259))</f>
        <v/>
      </c>
      <c r="Q2259" s="521">
        <f>U2259="L001-901905215"</f>
        <v/>
      </c>
      <c r="R2259" s="556">
        <f>G2259-W2259</f>
        <v/>
      </c>
      <c r="S2259" s="523" t="n">
        <v>45054</v>
      </c>
      <c r="T2259" s="522" t="inlineStr">
        <is>
          <t>TI2023-0577</t>
        </is>
      </c>
      <c r="U2259" s="522" t="inlineStr">
        <is>
          <t>L001-901905215</t>
        </is>
      </c>
      <c r="V2259" s="522" t="inlineStr">
        <is>
          <t>វីអ៊ីស៊ិន (ខេមបូឌា) អ៊ិនដាសស្ទ្រី ឯ.ក</t>
        </is>
      </c>
      <c r="W2259" s="556" t="n">
        <v>173124</v>
      </c>
    </row>
    <row r="2260">
      <c r="A2260" s="521" t="n">
        <v>2252</v>
      </c>
      <c r="B2260" s="522" t="inlineStr">
        <is>
          <t>Export Charge</t>
        </is>
      </c>
      <c r="C2260" s="522" t="inlineStr">
        <is>
          <t>ឆាយ ដា ឡូយីស្ទីក</t>
        </is>
      </c>
      <c r="D2260" s="522" t="inlineStr">
        <is>
          <t>L001-100063098</t>
        </is>
      </c>
      <c r="E2260" s="521" t="inlineStr">
        <is>
          <t>2305004467</t>
        </is>
      </c>
      <c r="F2260" s="523" t="n">
        <v>45048</v>
      </c>
      <c r="G2260" s="556" t="n">
        <v>77849</v>
      </c>
      <c r="I2260" s="521">
        <f>G2260</f>
        <v/>
      </c>
      <c r="K2260" s="521">
        <f>I2260-G2260</f>
        <v/>
      </c>
      <c r="M2260" s="522" t="inlineStr">
        <is>
          <t>2305004467</t>
        </is>
      </c>
      <c r="N2260" s="522" t="inlineStr">
        <is>
          <t>2305004467</t>
        </is>
      </c>
      <c r="O2260" s="521">
        <f>M2260=N2260</f>
        <v/>
      </c>
      <c r="P2260" s="521">
        <f>AND(MONTH(F2260)=MONTH(S2260), YEAR(F2260)=YEAR(S2260))</f>
        <v/>
      </c>
      <c r="Q2260" s="521">
        <f>U2260="L001-901905215"</f>
        <v/>
      </c>
      <c r="R2260" s="556">
        <f>G2260-W2260</f>
        <v/>
      </c>
      <c r="S2260" s="523" t="n">
        <v>45048</v>
      </c>
      <c r="T2260" s="522" t="inlineStr">
        <is>
          <t>2305004467</t>
        </is>
      </c>
      <c r="U2260" s="522" t="inlineStr">
        <is>
          <t>L001-901905215</t>
        </is>
      </c>
      <c r="V2260" s="522" t="inlineStr">
        <is>
          <t>វីអ៊ីស៊ិន (ខេមបូឌា) អ៊ិនដាសស្ទ្រី ឯ.ក</t>
        </is>
      </c>
      <c r="W2260" s="556" t="n">
        <v>77849</v>
      </c>
    </row>
    <row r="2261">
      <c r="A2261" s="521" t="n">
        <v>2253</v>
      </c>
      <c r="B2261" s="522" t="inlineStr">
        <is>
          <t>HANDLING AND TRUCKING FEE</t>
        </is>
      </c>
      <c r="C2261" s="522" t="inlineStr">
        <is>
          <t>អ៊ិចស្ពែឌីធ័រ ខេមបូឌា អិលធីឌី</t>
        </is>
      </c>
      <c r="D2261" s="522" t="inlineStr">
        <is>
          <t>L001-100045898</t>
        </is>
      </c>
      <c r="E2261" s="521" t="inlineStr">
        <is>
          <t>TI-0249595</t>
        </is>
      </c>
      <c r="F2261" s="523" t="n">
        <v>45075</v>
      </c>
      <c r="G2261" s="556" t="n">
        <v>205643</v>
      </c>
      <c r="I2261" s="521">
        <f>G2261</f>
        <v/>
      </c>
      <c r="K2261" s="521">
        <f>I2261-G2261</f>
        <v/>
      </c>
      <c r="M2261" s="522" t="inlineStr">
        <is>
          <t>TI0249595</t>
        </is>
      </c>
      <c r="N2261" s="522" t="inlineStr">
        <is>
          <t>TI0249595</t>
        </is>
      </c>
      <c r="O2261" s="521">
        <f>M2261=N2261</f>
        <v/>
      </c>
      <c r="P2261" s="521">
        <f>AND(MONTH(F2261)=MONTH(S2261), YEAR(F2261)=YEAR(S2261))</f>
        <v/>
      </c>
      <c r="Q2261" s="521">
        <f>U2261="L001-901905215"</f>
        <v/>
      </c>
      <c r="R2261" s="556">
        <f>G2261-W2261</f>
        <v/>
      </c>
      <c r="S2261" s="523" t="n">
        <v>45075</v>
      </c>
      <c r="T2261" s="522" t="inlineStr">
        <is>
          <t>TI-0249595</t>
        </is>
      </c>
      <c r="U2261" s="522" t="inlineStr">
        <is>
          <t>L001-901905215</t>
        </is>
      </c>
      <c r="V2261" s="522" t="inlineStr">
        <is>
          <t>វីអ៊ីស៊ិន (ខេមបូឌា) អ៊ិនដាសស្ទ្រី ឯ.ក</t>
        </is>
      </c>
      <c r="W2261" s="556" t="n">
        <v>205650</v>
      </c>
    </row>
    <row r="2262">
      <c r="A2262" s="521" t="n">
        <v>2254</v>
      </c>
      <c r="B2262" s="522" t="inlineStr">
        <is>
          <t>CLERANCE FEE</t>
        </is>
      </c>
      <c r="C2262" s="522" t="inlineStr">
        <is>
          <t>56ប៊ី-លីង សឹបផ្លាយ ឆេន មេនេចម៉ិន ឯ.ក</t>
        </is>
      </c>
      <c r="D2262" s="522" t="inlineStr">
        <is>
          <t>K004-902004795</t>
        </is>
      </c>
      <c r="E2262" s="521" t="inlineStr">
        <is>
          <t>TI2023-0576</t>
        </is>
      </c>
      <c r="F2262" s="523" t="n">
        <v>45054</v>
      </c>
      <c r="G2262" s="556" t="n">
        <v>173124</v>
      </c>
      <c r="I2262" s="521">
        <f>G2262</f>
        <v/>
      </c>
      <c r="K2262" s="521">
        <f>I2262-G2262</f>
        <v/>
      </c>
      <c r="M2262" s="522" t="inlineStr">
        <is>
          <t>TI20230576</t>
        </is>
      </c>
      <c r="N2262" s="522" t="inlineStr">
        <is>
          <t>TI20230576</t>
        </is>
      </c>
      <c r="O2262" s="521">
        <f>M2262=N2262</f>
        <v/>
      </c>
      <c r="P2262" s="521">
        <f>AND(MONTH(F2262)=MONTH(S2262), YEAR(F2262)=YEAR(S2262))</f>
        <v/>
      </c>
      <c r="Q2262" s="521">
        <f>U2262="L001-901905215"</f>
        <v/>
      </c>
      <c r="R2262" s="556">
        <f>G2262-W2262</f>
        <v/>
      </c>
      <c r="S2262" s="523" t="n">
        <v>45054</v>
      </c>
      <c r="T2262" s="522" t="inlineStr">
        <is>
          <t>TI2023-0576</t>
        </is>
      </c>
      <c r="U2262" s="522" t="inlineStr">
        <is>
          <t>L001-901905215</t>
        </is>
      </c>
      <c r="V2262" s="522" t="inlineStr">
        <is>
          <t>វីអ៊ីស៊ិន (ខេមបូឌា) អ៊ិនដាសស្ទ្រី ឯ.ក</t>
        </is>
      </c>
      <c r="W2262" s="556" t="n">
        <v>173124</v>
      </c>
    </row>
    <row r="2263">
      <c r="A2263" s="521" t="n">
        <v>2255</v>
      </c>
      <c r="B2263" s="522" t="inlineStr">
        <is>
          <t>HANDLING AND TRUCKING FEE</t>
        </is>
      </c>
      <c r="C2263" s="522" t="inlineStr">
        <is>
          <t>អ៊ិចស្ពែឌីធ័រ ខេមបូឌា អិលធីឌី</t>
        </is>
      </c>
      <c r="D2263" s="522" t="inlineStr">
        <is>
          <t>L001-100045898</t>
        </is>
      </c>
      <c r="E2263" s="521" t="inlineStr">
        <is>
          <t>TI-0249606</t>
        </is>
      </c>
      <c r="F2263" s="523" t="n">
        <v>45075</v>
      </c>
      <c r="G2263" s="556" t="n">
        <v>57331</v>
      </c>
      <c r="I2263" s="521">
        <f>G2263</f>
        <v/>
      </c>
      <c r="K2263" s="521">
        <f>I2263-G2263</f>
        <v/>
      </c>
      <c r="M2263" s="522" t="inlineStr">
        <is>
          <t>TI0249606</t>
        </is>
      </c>
      <c r="N2263" s="522" t="inlineStr">
        <is>
          <t>TI0249606</t>
        </is>
      </c>
      <c r="O2263" s="521">
        <f>M2263=N2263</f>
        <v/>
      </c>
      <c r="P2263" s="521">
        <f>AND(MONTH(F2263)=MONTH(S2263), YEAR(F2263)=YEAR(S2263))</f>
        <v/>
      </c>
      <c r="Q2263" s="521">
        <f>U2263="L001-901905215"</f>
        <v/>
      </c>
      <c r="R2263" s="556">
        <f>G2263-W2263</f>
        <v/>
      </c>
      <c r="S2263" s="523" t="n">
        <v>45075</v>
      </c>
      <c r="T2263" s="522" t="inlineStr">
        <is>
          <t>TI-0249606</t>
        </is>
      </c>
      <c r="U2263" s="522" t="inlineStr">
        <is>
          <t>L001-901905215</t>
        </is>
      </c>
      <c r="V2263" s="522" t="inlineStr">
        <is>
          <t>វីអ៊ីស៊ិន (ខេមបូឌា) អ៊ិនដាសស្ទ្រី ឯ.ក</t>
        </is>
      </c>
      <c r="W2263" s="556" t="n">
        <v>57335</v>
      </c>
    </row>
    <row r="2264">
      <c r="A2264" s="521" t="n">
        <v>2256</v>
      </c>
      <c r="B2264" s="522" t="inlineStr">
        <is>
          <t>Worker fee</t>
        </is>
      </c>
      <c r="C2264" s="522" t="inlineStr">
        <is>
          <t>ឆាយ ដា ឡូយីស្ទីក</t>
        </is>
      </c>
      <c r="D2264" s="522" t="inlineStr">
        <is>
          <t>L001-100063098</t>
        </is>
      </c>
      <c r="E2264" s="521" t="inlineStr">
        <is>
          <t>2305005732</t>
        </is>
      </c>
      <c r="F2264" s="523" t="n">
        <v>45076</v>
      </c>
      <c r="G2264" s="556" t="n">
        <v>12345</v>
      </c>
      <c r="I2264" s="521">
        <f>G2264</f>
        <v/>
      </c>
      <c r="K2264" s="521">
        <f>I2264-G2264</f>
        <v/>
      </c>
      <c r="M2264" s="522" t="inlineStr">
        <is>
          <t>2305005732</t>
        </is>
      </c>
      <c r="N2264" s="522" t="inlineStr">
        <is>
          <t>2305005732</t>
        </is>
      </c>
      <c r="O2264" s="521">
        <f>M2264=N2264</f>
        <v/>
      </c>
      <c r="P2264" s="521">
        <f>AND(MONTH(F2264)=MONTH(S2264), YEAR(F2264)=YEAR(S2264))</f>
        <v/>
      </c>
      <c r="Q2264" s="521">
        <f>U2264="L001-901905215"</f>
        <v/>
      </c>
      <c r="R2264" s="556">
        <f>G2264-W2264</f>
        <v/>
      </c>
      <c r="S2264" s="523" t="n">
        <v>45076</v>
      </c>
      <c r="T2264" s="522" t="inlineStr">
        <is>
          <t>2305005732</t>
        </is>
      </c>
      <c r="U2264" s="522" t="inlineStr">
        <is>
          <t>L001-901905215</t>
        </is>
      </c>
      <c r="V2264" s="522" t="inlineStr">
        <is>
          <t>វីអ៊ីស៊ិន (ខេមបូឌា) អ៊ិនដាសស្ទ្រី ឯ.ក</t>
        </is>
      </c>
      <c r="W2264" s="556" t="n">
        <v>12345</v>
      </c>
    </row>
    <row r="2265">
      <c r="A2265" s="521" t="n">
        <v>2257</v>
      </c>
      <c r="B2265" s="522" t="inlineStr">
        <is>
          <t>CLERANCE FEE</t>
        </is>
      </c>
      <c r="C2265" s="522" t="inlineStr">
        <is>
          <t>56ប៊ី-លីង សឹបផ្លាយ ឆេន មេនេចម៉ិន ឯ.ក</t>
        </is>
      </c>
      <c r="D2265" s="522" t="inlineStr">
        <is>
          <t>K004-902004795</t>
        </is>
      </c>
      <c r="E2265" s="521" t="inlineStr">
        <is>
          <t>TI2023-0659</t>
        </is>
      </c>
      <c r="F2265" s="523" t="n">
        <v>45075</v>
      </c>
      <c r="G2265" s="556" t="n">
        <v>172746</v>
      </c>
      <c r="I2265" s="521">
        <f>G2265</f>
        <v/>
      </c>
      <c r="K2265" s="521">
        <f>I2265-G2265</f>
        <v/>
      </c>
      <c r="M2265" s="522" t="inlineStr">
        <is>
          <t>TI20230659</t>
        </is>
      </c>
      <c r="N2265" s="522" t="inlineStr">
        <is>
          <t>TI20230659</t>
        </is>
      </c>
      <c r="O2265" s="521">
        <f>M2265=N2265</f>
        <v/>
      </c>
      <c r="P2265" s="521">
        <f>AND(MONTH(F2265)=MONTH(S2265), YEAR(F2265)=YEAR(S2265))</f>
        <v/>
      </c>
      <c r="Q2265" s="521">
        <f>U2265="L001-901905215"</f>
        <v/>
      </c>
      <c r="R2265" s="556">
        <f>G2265-W2265</f>
        <v/>
      </c>
      <c r="S2265" s="523" t="n">
        <v>45075</v>
      </c>
      <c r="T2265" s="522" t="inlineStr">
        <is>
          <t>TI2023-0659</t>
        </is>
      </c>
      <c r="U2265" s="522" t="inlineStr">
        <is>
          <t>L001-901905215</t>
        </is>
      </c>
      <c r="V2265" s="522" t="inlineStr">
        <is>
          <t>វីអ៊ីស៊ិន (ខេមបូឌា) អ៊ិនដាសស្ទ្រី ឯ.ក</t>
        </is>
      </c>
      <c r="W2265" s="556" t="n">
        <v>172746</v>
      </c>
    </row>
    <row r="2266">
      <c r="A2266" s="521" t="n">
        <v>2258</v>
      </c>
      <c r="B2266" s="522" t="inlineStr">
        <is>
          <t>HANDLING AND TRUCKING FEE</t>
        </is>
      </c>
      <c r="C2266" s="522" t="inlineStr">
        <is>
          <t>អ៊ិចស្ពែឌីធ័រ ខេមបូឌា អិលធីឌី</t>
        </is>
      </c>
      <c r="D2266" s="522" t="inlineStr">
        <is>
          <t>L001-100045898</t>
        </is>
      </c>
      <c r="E2266" s="521" t="inlineStr">
        <is>
          <t>TI-0248667</t>
        </is>
      </c>
      <c r="F2266" s="523" t="n">
        <v>45061</v>
      </c>
      <c r="G2266" s="556" t="n">
        <v>57303</v>
      </c>
      <c r="I2266" s="521">
        <f>G2266</f>
        <v/>
      </c>
      <c r="K2266" s="521">
        <f>I2266-G2266</f>
        <v/>
      </c>
      <c r="M2266" s="522" t="inlineStr">
        <is>
          <t>TI0248667</t>
        </is>
      </c>
      <c r="N2266" s="522" t="inlineStr">
        <is>
          <t>TI0248667</t>
        </is>
      </c>
      <c r="O2266" s="521">
        <f>M2266=N2266</f>
        <v/>
      </c>
      <c r="P2266" s="521">
        <f>AND(MONTH(F2266)=MONTH(S2266), YEAR(F2266)=YEAR(S2266))</f>
        <v/>
      </c>
      <c r="Q2266" s="521">
        <f>U2266="L001-901905215"</f>
        <v/>
      </c>
      <c r="R2266" s="556">
        <f>G2266-W2266</f>
        <v/>
      </c>
      <c r="S2266" s="523" t="n">
        <v>45061</v>
      </c>
      <c r="T2266" s="522" t="inlineStr">
        <is>
          <t>TI-0248667</t>
        </is>
      </c>
      <c r="U2266" s="522" t="inlineStr">
        <is>
          <t>L001-901905215</t>
        </is>
      </c>
      <c r="V2266" s="522" t="inlineStr">
        <is>
          <t>វីអ៊ីស៊ិន (ខេមបូឌា) អ៊ិនដាសស្ទ្រី ឯ.ក</t>
        </is>
      </c>
      <c r="W2266" s="556" t="n">
        <v>57322</v>
      </c>
    </row>
    <row r="2267">
      <c r="A2267" s="521" t="n">
        <v>2259</v>
      </c>
      <c r="B2267" s="522" t="inlineStr">
        <is>
          <t>CLEARANCE AND TRUCKING FEE</t>
        </is>
      </c>
      <c r="C2267" s="522" t="inlineStr">
        <is>
          <t>56ប៊ី-លីង សឹបផ្លាយ ឆេន មេនេចម៉ិន ឯ.ក</t>
        </is>
      </c>
      <c r="D2267" s="522" t="inlineStr">
        <is>
          <t>K004-902004795</t>
        </is>
      </c>
      <c r="E2267" s="521" t="inlineStr">
        <is>
          <t>TI2023-0660</t>
        </is>
      </c>
      <c r="F2267" s="523" t="n">
        <v>45075</v>
      </c>
      <c r="G2267" s="556" t="n">
        <v>211820</v>
      </c>
      <c r="I2267" s="521">
        <f>G2267</f>
        <v/>
      </c>
      <c r="K2267" s="521">
        <f>I2267-G2267</f>
        <v/>
      </c>
      <c r="M2267" s="522" t="inlineStr">
        <is>
          <t>TI20230660</t>
        </is>
      </c>
      <c r="N2267" s="522" t="inlineStr">
        <is>
          <t>TI20230660</t>
        </is>
      </c>
      <c r="O2267" s="521">
        <f>M2267=N2267</f>
        <v/>
      </c>
      <c r="P2267" s="521">
        <f>AND(MONTH(F2267)=MONTH(S2267), YEAR(F2267)=YEAR(S2267))</f>
        <v/>
      </c>
      <c r="Q2267" s="521">
        <f>U2267="L001-901905215"</f>
        <v/>
      </c>
      <c r="R2267" s="556">
        <f>G2267-W2267</f>
        <v/>
      </c>
      <c r="S2267" s="523" t="n">
        <v>45075</v>
      </c>
      <c r="T2267" s="522" t="inlineStr">
        <is>
          <t>TI2023-0660</t>
        </is>
      </c>
      <c r="U2267" s="522" t="inlineStr">
        <is>
          <t>L001-901905215</t>
        </is>
      </c>
      <c r="V2267" s="522" t="inlineStr">
        <is>
          <t>វីអ៊ីស៊ិន (ខេមបូឌា) អ៊ិនដាសស្ទ្រី ឯ.ក</t>
        </is>
      </c>
      <c r="W2267" s="556" t="n">
        <v>211820</v>
      </c>
    </row>
    <row r="2268">
      <c r="A2268" s="521" t="n">
        <v>2260</v>
      </c>
      <c r="B2268" s="522" t="inlineStr">
        <is>
          <t>HANDLING AND TRUCKING FEE</t>
        </is>
      </c>
      <c r="C2268" s="522" t="inlineStr">
        <is>
          <t>អ៊ិចស្ពែឌីធ័រ ខេមបូឌា អិលធីឌី</t>
        </is>
      </c>
      <c r="D2268" s="522" t="inlineStr">
        <is>
          <t>L001-100045898</t>
        </is>
      </c>
      <c r="E2268" s="521" t="inlineStr">
        <is>
          <t>TI-0248661</t>
        </is>
      </c>
      <c r="F2268" s="523" t="n">
        <v>45061</v>
      </c>
      <c r="G2268" s="556" t="n">
        <v>57483</v>
      </c>
      <c r="I2268" s="521">
        <f>G2268</f>
        <v/>
      </c>
      <c r="K2268" s="521">
        <f>I2268-G2268</f>
        <v/>
      </c>
      <c r="M2268" s="522" t="inlineStr">
        <is>
          <t>TI0248661</t>
        </is>
      </c>
      <c r="N2268" s="522" t="inlineStr">
        <is>
          <t>TI0248661</t>
        </is>
      </c>
      <c r="O2268" s="521">
        <f>M2268=N2268</f>
        <v/>
      </c>
      <c r="P2268" s="521">
        <f>AND(MONTH(F2268)=MONTH(S2268), YEAR(F2268)=YEAR(S2268))</f>
        <v/>
      </c>
      <c r="Q2268" s="521">
        <f>U2268="L001-901905215"</f>
        <v/>
      </c>
      <c r="R2268" s="556">
        <f>G2268-W2268</f>
        <v/>
      </c>
      <c r="S2268" s="523" t="n">
        <v>45061</v>
      </c>
      <c r="T2268" s="522" t="inlineStr">
        <is>
          <t>TI-0248661</t>
        </is>
      </c>
      <c r="U2268" s="522" t="inlineStr">
        <is>
          <t>L001-901905215</t>
        </is>
      </c>
      <c r="V2268" s="522" t="inlineStr">
        <is>
          <t>វីអ៊ីស៊ិន (ខេមបូឌា) អ៊ិនដាសស្ទ្រី ឯ.ក</t>
        </is>
      </c>
      <c r="W2268" s="556" t="n">
        <v>57487</v>
      </c>
    </row>
    <row r="2269">
      <c r="A2269" s="521" t="n">
        <v>2261</v>
      </c>
      <c r="B2269" s="522" t="inlineStr">
        <is>
          <t>Export Charge</t>
        </is>
      </c>
      <c r="C2269" s="522" t="inlineStr">
        <is>
          <t>ឆាយ ដា ឡូយីស្ទីក</t>
        </is>
      </c>
      <c r="D2269" s="522" t="inlineStr">
        <is>
          <t>L001-100063098</t>
        </is>
      </c>
      <c r="E2269" s="521" t="inlineStr">
        <is>
          <t>2305005349</t>
        </is>
      </c>
      <c r="F2269" s="523" t="n">
        <v>45068</v>
      </c>
      <c r="G2269" s="556" t="n">
        <v>77698</v>
      </c>
      <c r="I2269" s="521">
        <f>G2269</f>
        <v/>
      </c>
      <c r="K2269" s="521">
        <f>I2269-G2269</f>
        <v/>
      </c>
      <c r="M2269" s="522" t="inlineStr">
        <is>
          <t>2305005349</t>
        </is>
      </c>
      <c r="N2269" s="522" t="inlineStr">
        <is>
          <t>2305005349</t>
        </is>
      </c>
      <c r="O2269" s="521">
        <f>M2269=N2269</f>
        <v/>
      </c>
      <c r="P2269" s="521">
        <f>AND(MONTH(F2269)=MONTH(S2269), YEAR(F2269)=YEAR(S2269))</f>
        <v/>
      </c>
      <c r="Q2269" s="521">
        <f>U2269="L001-901905215"</f>
        <v/>
      </c>
      <c r="R2269" s="556">
        <f>G2269-W2269</f>
        <v/>
      </c>
      <c r="S2269" s="523" t="n">
        <v>45068</v>
      </c>
      <c r="T2269" s="522" t="inlineStr">
        <is>
          <t>2305005349</t>
        </is>
      </c>
      <c r="U2269" s="522" t="inlineStr">
        <is>
          <t>L001-901905215</t>
        </is>
      </c>
      <c r="V2269" s="522" t="inlineStr">
        <is>
          <t>វីអ៊ីស៊ិន (ខេមបូឌា) អ៊ិនដាសស្ទ្រី ឯ.ក</t>
        </is>
      </c>
      <c r="W2269" s="556" t="n">
        <v>77698</v>
      </c>
    </row>
    <row r="2270">
      <c r="A2270" s="521" t="n">
        <v>2262</v>
      </c>
      <c r="B2270" s="522" t="inlineStr">
        <is>
          <t>Export Charge</t>
        </is>
      </c>
      <c r="C2270" s="522" t="inlineStr">
        <is>
          <t>ឆាយ ដា ឡូយីស្ទីក</t>
        </is>
      </c>
      <c r="D2270" s="522" t="inlineStr">
        <is>
          <t>L001-100063098</t>
        </is>
      </c>
      <c r="E2270" s="521" t="inlineStr">
        <is>
          <t>2305005344</t>
        </is>
      </c>
      <c r="F2270" s="523" t="n">
        <v>45068</v>
      </c>
      <c r="G2270" s="556" t="n">
        <v>77698</v>
      </c>
      <c r="I2270" s="521">
        <f>G2270</f>
        <v/>
      </c>
      <c r="K2270" s="521">
        <f>I2270-G2270</f>
        <v/>
      </c>
      <c r="M2270" s="522" t="inlineStr">
        <is>
          <t>2305005344</t>
        </is>
      </c>
      <c r="N2270" s="522" t="inlineStr">
        <is>
          <t>2305005344</t>
        </is>
      </c>
      <c r="O2270" s="521">
        <f>M2270=N2270</f>
        <v/>
      </c>
      <c r="P2270" s="521">
        <f>AND(MONTH(F2270)=MONTH(S2270), YEAR(F2270)=YEAR(S2270))</f>
        <v/>
      </c>
      <c r="Q2270" s="521">
        <f>U2270="L001-901905215"</f>
        <v/>
      </c>
      <c r="R2270" s="556">
        <f>G2270-W2270</f>
        <v/>
      </c>
      <c r="S2270" s="523" t="n">
        <v>45068</v>
      </c>
      <c r="T2270" s="522" t="inlineStr">
        <is>
          <t>2305005344</t>
        </is>
      </c>
      <c r="U2270" s="522" t="inlineStr">
        <is>
          <t>L001-901905215</t>
        </is>
      </c>
      <c r="V2270" s="522" t="inlineStr">
        <is>
          <t>វីអ៊ីស៊ិន (ខេមបូឌា) អ៊ិនដាសស្ទ្រី ឯ.ក</t>
        </is>
      </c>
      <c r="W2270" s="556" t="n">
        <v>77698</v>
      </c>
    </row>
    <row r="2271">
      <c r="A2271" s="521" t="n">
        <v>2263</v>
      </c>
      <c r="B2271" s="522" t="inlineStr">
        <is>
          <t>Export Charge</t>
        </is>
      </c>
      <c r="C2271" s="522" t="inlineStr">
        <is>
          <t>ឆាយ ដា ឡូយីស្ទីក</t>
        </is>
      </c>
      <c r="D2271" s="522" t="inlineStr">
        <is>
          <t>L001-100063098</t>
        </is>
      </c>
      <c r="E2271" s="521" t="inlineStr">
        <is>
          <t>2305005342</t>
        </is>
      </c>
      <c r="F2271" s="523" t="n">
        <v>45068</v>
      </c>
      <c r="G2271" s="556" t="n">
        <v>90031</v>
      </c>
      <c r="I2271" s="521">
        <f>G2271</f>
        <v/>
      </c>
      <c r="K2271" s="521">
        <f>I2271-G2271</f>
        <v/>
      </c>
      <c r="M2271" s="522" t="inlineStr">
        <is>
          <t>2305005342</t>
        </is>
      </c>
      <c r="N2271" s="522" t="inlineStr">
        <is>
          <t>2305005342</t>
        </is>
      </c>
      <c r="O2271" s="521">
        <f>M2271=N2271</f>
        <v/>
      </c>
      <c r="P2271" s="521">
        <f>AND(MONTH(F2271)=MONTH(S2271), YEAR(F2271)=YEAR(S2271))</f>
        <v/>
      </c>
      <c r="Q2271" s="521">
        <f>U2271="L001-901905215"</f>
        <v/>
      </c>
      <c r="R2271" s="556">
        <f>G2271-W2271</f>
        <v/>
      </c>
      <c r="S2271" s="523" t="n">
        <v>45068</v>
      </c>
      <c r="T2271" s="522" t="inlineStr">
        <is>
          <t>2305005342</t>
        </is>
      </c>
      <c r="U2271" s="522" t="inlineStr">
        <is>
          <t>L001-901905215</t>
        </is>
      </c>
      <c r="V2271" s="522" t="inlineStr">
        <is>
          <t>វីអ៊ីស៊ិន (ខេមបូឌា) អ៊ិនដាសស្ទ្រី ឯ.ក</t>
        </is>
      </c>
      <c r="W2271" s="556" t="n">
        <v>90031</v>
      </c>
    </row>
    <row r="2272">
      <c r="A2272" s="521" t="n">
        <v>2264</v>
      </c>
      <c r="B2272" s="522" t="inlineStr">
        <is>
          <t>HANDLING AND TRUCKING FEE</t>
        </is>
      </c>
      <c r="C2272" s="522" t="inlineStr">
        <is>
          <t>អ៊ិចស្ពែឌីធ័រ ខេមបូឌា អិលធីឌី</t>
        </is>
      </c>
      <c r="D2272" s="522" t="inlineStr">
        <is>
          <t>L001-100045898</t>
        </is>
      </c>
      <c r="E2272" s="521" t="inlineStr">
        <is>
          <t>TI-0247919</t>
        </is>
      </c>
      <c r="F2272" s="523" t="n">
        <v>45048</v>
      </c>
      <c r="G2272" s="556" t="n">
        <v>377169</v>
      </c>
      <c r="I2272" s="521">
        <f>G2272</f>
        <v/>
      </c>
      <c r="K2272" s="521">
        <f>I2272-G2272</f>
        <v/>
      </c>
      <c r="M2272" s="522" t="inlineStr">
        <is>
          <t>TI0247919</t>
        </is>
      </c>
      <c r="N2272" s="522" t="inlineStr">
        <is>
          <t>TI0247919</t>
        </is>
      </c>
      <c r="O2272" s="521">
        <f>M2272=N2272</f>
        <v/>
      </c>
      <c r="P2272" s="521">
        <f>AND(MONTH(F2272)=MONTH(S2272), YEAR(F2272)=YEAR(S2272))</f>
        <v/>
      </c>
      <c r="Q2272" s="521">
        <f>U2272="L001-901905215"</f>
        <v/>
      </c>
      <c r="R2272" s="556">
        <f>G2272-W2272</f>
        <v/>
      </c>
      <c r="S2272" s="523" t="n">
        <v>45048</v>
      </c>
      <c r="T2272" s="522" t="inlineStr">
        <is>
          <t>TI-0247919</t>
        </is>
      </c>
      <c r="U2272" s="522" t="inlineStr">
        <is>
          <t>L001-901905215</t>
        </is>
      </c>
      <c r="V2272" s="522" t="inlineStr">
        <is>
          <t>វីអ៊ីស៊ិន (ខេមបូឌា) អ៊ិនដាសស្ទ្រី ឯ.ក</t>
        </is>
      </c>
      <c r="W2272" s="556" t="n">
        <v>377177</v>
      </c>
    </row>
    <row r="2273">
      <c r="A2273" s="521" t="n">
        <v>2265</v>
      </c>
      <c r="B2273" s="522" t="inlineStr">
        <is>
          <t>Export Charge</t>
        </is>
      </c>
      <c r="C2273" s="522" t="inlineStr">
        <is>
          <t>ឆាយ ដា ឡូយីស្ទីក</t>
        </is>
      </c>
      <c r="D2273" s="522" t="inlineStr">
        <is>
          <t>L001-100063098</t>
        </is>
      </c>
      <c r="E2273" s="521" t="inlineStr">
        <is>
          <t>2305005305</t>
        </is>
      </c>
      <c r="F2273" s="523" t="n">
        <v>45068</v>
      </c>
      <c r="G2273" s="556" t="n">
        <v>77698</v>
      </c>
      <c r="I2273" s="521">
        <f>G2273</f>
        <v/>
      </c>
      <c r="K2273" s="521">
        <f>I2273-G2273</f>
        <v/>
      </c>
      <c r="M2273" s="522" t="inlineStr">
        <is>
          <t>2305005305</t>
        </is>
      </c>
      <c r="N2273" s="522" t="inlineStr">
        <is>
          <t>2305005305</t>
        </is>
      </c>
      <c r="O2273" s="521">
        <f>M2273=N2273</f>
        <v/>
      </c>
      <c r="P2273" s="521">
        <f>AND(MONTH(F2273)=MONTH(S2273), YEAR(F2273)=YEAR(S2273))</f>
        <v/>
      </c>
      <c r="Q2273" s="521">
        <f>U2273="L001-901905215"</f>
        <v/>
      </c>
      <c r="R2273" s="556">
        <f>G2273-W2273</f>
        <v/>
      </c>
      <c r="S2273" s="523" t="n">
        <v>45068</v>
      </c>
      <c r="T2273" s="522" t="inlineStr">
        <is>
          <t>2305005305</t>
        </is>
      </c>
      <c r="U2273" s="522" t="inlineStr">
        <is>
          <t>L001-901905215</t>
        </is>
      </c>
      <c r="V2273" s="522" t="inlineStr">
        <is>
          <t>វីអ៊ីស៊ិន (ខេមបូឌា) អ៊ិនដាសស្ទ្រី ឯ.ក</t>
        </is>
      </c>
      <c r="W2273" s="556" t="n">
        <v>77698</v>
      </c>
    </row>
    <row r="2274">
      <c r="A2274" s="521" t="n">
        <v>2266</v>
      </c>
      <c r="B2274" s="522" t="inlineStr">
        <is>
          <t>HANDLING AND TRUCKING FEE</t>
        </is>
      </c>
      <c r="C2274" s="522" t="inlineStr">
        <is>
          <t>អ៊ិចស្ពែឌីធ័រ ខេមបូឌា អិលធីឌី</t>
        </is>
      </c>
      <c r="D2274" s="522" t="inlineStr">
        <is>
          <t>L001-100045898</t>
        </is>
      </c>
      <c r="E2274" s="521" t="inlineStr">
        <is>
          <t>TI-0247875</t>
        </is>
      </c>
      <c r="F2274" s="523" t="n">
        <v>45048</v>
      </c>
      <c r="G2274" s="556" t="n">
        <v>219090</v>
      </c>
      <c r="I2274" s="521">
        <f>G2274</f>
        <v/>
      </c>
      <c r="K2274" s="521">
        <f>I2274-G2274</f>
        <v/>
      </c>
      <c r="M2274" s="522" t="inlineStr">
        <is>
          <t>TI0247875</t>
        </is>
      </c>
      <c r="N2274" s="522" t="inlineStr">
        <is>
          <t>TI0247875</t>
        </is>
      </c>
      <c r="O2274" s="521">
        <f>M2274=N2274</f>
        <v/>
      </c>
      <c r="P2274" s="521">
        <f>AND(MONTH(F2274)=MONTH(S2274), YEAR(F2274)=YEAR(S2274))</f>
        <v/>
      </c>
      <c r="Q2274" s="521">
        <f>U2274="L001-901905215"</f>
        <v/>
      </c>
      <c r="R2274" s="556">
        <f>G2274-W2274</f>
        <v/>
      </c>
      <c r="S2274" s="523" t="n">
        <v>45048</v>
      </c>
      <c r="T2274" s="522" t="inlineStr">
        <is>
          <t>TI-0247875</t>
        </is>
      </c>
      <c r="U2274" s="522" t="inlineStr">
        <is>
          <t>L001-901905215</t>
        </is>
      </c>
      <c r="V2274" s="522" t="inlineStr">
        <is>
          <t>វីអ៊ីស៊ិន (ខេមបូឌា) អ៊ិនដាសស្ទ្រី ឯ.ក</t>
        </is>
      </c>
      <c r="W2274" s="556" t="n">
        <v>219090</v>
      </c>
    </row>
    <row r="2275">
      <c r="A2275" s="521" t="n">
        <v>2267</v>
      </c>
      <c r="B2275" s="522" t="inlineStr">
        <is>
          <t>Export Charge</t>
        </is>
      </c>
      <c r="C2275" s="522" t="inlineStr">
        <is>
          <t>ឆាយ ដា ឡូយីស្ទីក</t>
        </is>
      </c>
      <c r="D2275" s="522" t="inlineStr">
        <is>
          <t>L001-100063098</t>
        </is>
      </c>
      <c r="E2275" s="521" t="inlineStr">
        <is>
          <t>2305004966</t>
        </is>
      </c>
      <c r="F2275" s="523" t="n">
        <v>45061</v>
      </c>
      <c r="G2275" s="556" t="n">
        <v>90119</v>
      </c>
      <c r="I2275" s="521">
        <f>G2275</f>
        <v/>
      </c>
      <c r="K2275" s="521">
        <f>I2275-G2275</f>
        <v/>
      </c>
      <c r="M2275" s="522" t="inlineStr">
        <is>
          <t>2305004966</t>
        </is>
      </c>
      <c r="N2275" s="522" t="inlineStr">
        <is>
          <t>2305004966</t>
        </is>
      </c>
      <c r="O2275" s="521">
        <f>M2275=N2275</f>
        <v/>
      </c>
      <c r="P2275" s="521">
        <f>AND(MONTH(F2275)=MONTH(S2275), YEAR(F2275)=YEAR(S2275))</f>
        <v/>
      </c>
      <c r="Q2275" s="521">
        <f>U2275="L001-901905215"</f>
        <v/>
      </c>
      <c r="R2275" s="556">
        <f>G2275-W2275</f>
        <v/>
      </c>
      <c r="S2275" s="523" t="n">
        <v>45061</v>
      </c>
      <c r="T2275" s="522" t="inlineStr">
        <is>
          <t>2305004966</t>
        </is>
      </c>
      <c r="U2275" s="522" t="inlineStr">
        <is>
          <t>L001-901905215</t>
        </is>
      </c>
      <c r="V2275" s="522" t="inlineStr">
        <is>
          <t>វីអ៊ីស៊ិន (ខេមបូឌា) អ៊ិនដាសស្ទ្រី ឯ.ក</t>
        </is>
      </c>
      <c r="W2275" s="556" t="n">
        <v>90119</v>
      </c>
    </row>
    <row r="2276">
      <c r="A2276" s="521" t="n">
        <v>2268</v>
      </c>
      <c r="B2276" s="522" t="inlineStr">
        <is>
          <t>HANDLING AND TRUCKING FEE</t>
        </is>
      </c>
      <c r="C2276" s="522" t="inlineStr">
        <is>
          <t>អ៊ិចស្ពែឌីធ័រ ខេមបូឌា អិលធីឌី</t>
        </is>
      </c>
      <c r="D2276" s="522" t="inlineStr">
        <is>
          <t>L001-100045898</t>
        </is>
      </c>
      <c r="E2276" s="521" t="inlineStr">
        <is>
          <t>TI-0248191</t>
        </is>
      </c>
      <c r="F2276" s="523" t="n">
        <v>45053</v>
      </c>
      <c r="G2276" s="556" t="n">
        <v>97534</v>
      </c>
      <c r="I2276" s="521">
        <f>G2276</f>
        <v/>
      </c>
      <c r="K2276" s="521">
        <f>I2276-G2276</f>
        <v/>
      </c>
      <c r="M2276" s="522" t="inlineStr">
        <is>
          <t>TI0248191</t>
        </is>
      </c>
      <c r="N2276" s="522" t="inlineStr">
        <is>
          <t>TI0248191</t>
        </is>
      </c>
      <c r="O2276" s="521">
        <f>M2276=N2276</f>
        <v/>
      </c>
      <c r="P2276" s="521">
        <f>AND(MONTH(F2276)=MONTH(S2276), YEAR(F2276)=YEAR(S2276))</f>
        <v/>
      </c>
      <c r="Q2276" s="521">
        <f>U2276="L001-901905215"</f>
        <v/>
      </c>
      <c r="R2276" s="556">
        <f>G2276-W2276</f>
        <v/>
      </c>
      <c r="S2276" s="523" t="n">
        <v>45053</v>
      </c>
      <c r="T2276" s="522" t="inlineStr">
        <is>
          <t>TI-0248191</t>
        </is>
      </c>
      <c r="U2276" s="522" t="inlineStr">
        <is>
          <t>L001-901905215</t>
        </is>
      </c>
      <c r="V2276" s="522" t="inlineStr">
        <is>
          <t>វីអ៊ីស៊ិន (ខេមបូឌា) អ៊ិនដាសស្ទ្រី ឯ.ក</t>
        </is>
      </c>
      <c r="W2276" s="556" t="n">
        <v>97527</v>
      </c>
    </row>
    <row r="2277">
      <c r="A2277" s="521" t="n">
        <v>2269</v>
      </c>
      <c r="B2277" s="522" t="inlineStr">
        <is>
          <t>Export Charge</t>
        </is>
      </c>
      <c r="C2277" s="522" t="inlineStr">
        <is>
          <t>ឆាយ ដា ឡូយីស្ទីក</t>
        </is>
      </c>
      <c r="D2277" s="522" t="inlineStr">
        <is>
          <t>L001-100063098</t>
        </is>
      </c>
      <c r="E2277" s="521" t="inlineStr">
        <is>
          <t>2305004963</t>
        </is>
      </c>
      <c r="F2277" s="523" t="n">
        <v>45061</v>
      </c>
      <c r="G2277" s="556" t="n">
        <v>77773</v>
      </c>
      <c r="I2277" s="521">
        <f>G2277</f>
        <v/>
      </c>
      <c r="K2277" s="521">
        <f>I2277-G2277</f>
        <v/>
      </c>
      <c r="M2277" s="522" t="inlineStr">
        <is>
          <t>2305004963</t>
        </is>
      </c>
      <c r="N2277" s="522" t="inlineStr">
        <is>
          <t>2305004963</t>
        </is>
      </c>
      <c r="O2277" s="521">
        <f>M2277=N2277</f>
        <v/>
      </c>
      <c r="P2277" s="521">
        <f>AND(MONTH(F2277)=MONTH(S2277), YEAR(F2277)=YEAR(S2277))</f>
        <v/>
      </c>
      <c r="Q2277" s="521">
        <f>U2277="L001-901905215"</f>
        <v/>
      </c>
      <c r="R2277" s="556">
        <f>G2277-W2277</f>
        <v/>
      </c>
      <c r="S2277" s="523" t="n">
        <v>45061</v>
      </c>
      <c r="T2277" s="522" t="inlineStr">
        <is>
          <t>2305004963</t>
        </is>
      </c>
      <c r="U2277" s="522" t="inlineStr">
        <is>
          <t>L001-901905215</t>
        </is>
      </c>
      <c r="V2277" s="522" t="inlineStr">
        <is>
          <t>វីអ៊ីស៊ិន (ខេមបូឌា) អ៊ិនដាសស្ទ្រី ឯ.ក</t>
        </is>
      </c>
      <c r="W2277" s="556" t="n">
        <v>77773</v>
      </c>
    </row>
    <row r="2278">
      <c r="A2278" s="521" t="n">
        <v>2270</v>
      </c>
      <c r="B2278" s="522" t="inlineStr">
        <is>
          <t>HANDLING AND TRUCKING FEE</t>
        </is>
      </c>
      <c r="C2278" s="522" t="inlineStr">
        <is>
          <t>អ៊ិចស្ពែឌីធ័រ ខេមបូឌា អិលធីឌី</t>
        </is>
      </c>
      <c r="D2278" s="522" t="inlineStr">
        <is>
          <t>L001-100045898</t>
        </is>
      </c>
      <c r="E2278" s="521" t="inlineStr">
        <is>
          <t>TI-0248224</t>
        </is>
      </c>
      <c r="F2278" s="523" t="n">
        <v>45053</v>
      </c>
      <c r="G2278" s="556" t="n">
        <v>57404</v>
      </c>
      <c r="I2278" s="521">
        <f>G2278</f>
        <v/>
      </c>
      <c r="K2278" s="521">
        <f>I2278-G2278</f>
        <v/>
      </c>
      <c r="M2278" s="522" t="inlineStr">
        <is>
          <t>TI0248224</t>
        </is>
      </c>
      <c r="N2278" s="522" t="inlineStr">
        <is>
          <t>TI0248224</t>
        </is>
      </c>
      <c r="O2278" s="521">
        <f>M2278=N2278</f>
        <v/>
      </c>
      <c r="P2278" s="521">
        <f>AND(MONTH(F2278)=MONTH(S2278), YEAR(F2278)=YEAR(S2278))</f>
        <v/>
      </c>
      <c r="Q2278" s="521">
        <f>U2278="L001-901905215"</f>
        <v/>
      </c>
      <c r="R2278" s="556">
        <f>G2278-W2278</f>
        <v/>
      </c>
      <c r="S2278" s="523" t="n">
        <v>45053</v>
      </c>
      <c r="T2278" s="522" t="inlineStr">
        <is>
          <t>TI-0248224</t>
        </is>
      </c>
      <c r="U2278" s="522" t="inlineStr">
        <is>
          <t>L001-901905215</t>
        </is>
      </c>
      <c r="V2278" s="522" t="inlineStr">
        <is>
          <t>វីអ៊ីស៊ិន (ខេមបូឌា) អ៊ិនដាសស្ទ្រី ឯ.ក</t>
        </is>
      </c>
      <c r="W2278" s="556" t="n">
        <v>57419</v>
      </c>
    </row>
    <row r="2279">
      <c r="A2279" s="521" t="n">
        <v>2271</v>
      </c>
      <c r="B2279" s="522" t="inlineStr">
        <is>
          <t>Export Charge</t>
        </is>
      </c>
      <c r="C2279" s="522" t="inlineStr">
        <is>
          <t>ឆាយ ដា ឡូយីស្ទីក</t>
        </is>
      </c>
      <c r="D2279" s="522" t="inlineStr">
        <is>
          <t>L001-100063098</t>
        </is>
      </c>
      <c r="E2279" s="521" t="inlineStr">
        <is>
          <t>2305004950</t>
        </is>
      </c>
      <c r="F2279" s="523" t="n">
        <v>45061</v>
      </c>
      <c r="G2279" s="556" t="n">
        <v>77773</v>
      </c>
      <c r="I2279" s="521">
        <f>G2279</f>
        <v/>
      </c>
      <c r="K2279" s="521">
        <f>I2279-G2279</f>
        <v/>
      </c>
      <c r="M2279" s="522" t="inlineStr">
        <is>
          <t>2305004950</t>
        </is>
      </c>
      <c r="N2279" s="522" t="inlineStr">
        <is>
          <t>2305004950</t>
        </is>
      </c>
      <c r="O2279" s="521">
        <f>M2279=N2279</f>
        <v/>
      </c>
      <c r="P2279" s="521">
        <f>AND(MONTH(F2279)=MONTH(S2279), YEAR(F2279)=YEAR(S2279))</f>
        <v/>
      </c>
      <c r="Q2279" s="521">
        <f>U2279="L001-901905215"</f>
        <v/>
      </c>
      <c r="R2279" s="556">
        <f>G2279-W2279</f>
        <v/>
      </c>
      <c r="S2279" s="523" t="n">
        <v>45061</v>
      </c>
      <c r="T2279" s="522" t="inlineStr">
        <is>
          <t>2305004950</t>
        </is>
      </c>
      <c r="U2279" s="522" t="inlineStr">
        <is>
          <t>L001-901905215</t>
        </is>
      </c>
      <c r="V2279" s="522" t="inlineStr">
        <is>
          <t>វីអ៊ីស៊ិន (ខេមបូឌា) អ៊ិនដាសស្ទ្រី ឯ.ក</t>
        </is>
      </c>
      <c r="W2279" s="556" t="n">
        <v>77773</v>
      </c>
    </row>
    <row r="2280">
      <c r="A2280" s="521" t="n">
        <v>2272</v>
      </c>
      <c r="B2280" s="522" t="inlineStr">
        <is>
          <t>HANDLING AND TRUCKING FEE</t>
        </is>
      </c>
      <c r="C2280" s="522" t="inlineStr">
        <is>
          <t>អ៊ិចស្ពែឌីធ័រ ខេមបូឌា អិលធីឌី</t>
        </is>
      </c>
      <c r="D2280" s="522" t="inlineStr">
        <is>
          <t>L001-100045898</t>
        </is>
      </c>
      <c r="E2280" s="521" t="inlineStr">
        <is>
          <t>TI-0247862</t>
        </is>
      </c>
      <c r="F2280" s="523" t="n">
        <v>45048</v>
      </c>
      <c r="G2280" s="556" t="n">
        <v>112988</v>
      </c>
      <c r="I2280" s="521">
        <f>G2280</f>
        <v/>
      </c>
      <c r="K2280" s="521">
        <f>I2280-G2280</f>
        <v/>
      </c>
      <c r="M2280" s="522" t="inlineStr">
        <is>
          <t>TI0247862</t>
        </is>
      </c>
      <c r="N2280" s="522" t="inlineStr">
        <is>
          <t>TI0247862</t>
        </is>
      </c>
      <c r="O2280" s="521">
        <f>M2280=N2280</f>
        <v/>
      </c>
      <c r="P2280" s="521">
        <f>AND(MONTH(F2280)=MONTH(S2280), YEAR(F2280)=YEAR(S2280))</f>
        <v/>
      </c>
      <c r="Q2280" s="521">
        <f>U2280="L001-901905215"</f>
        <v/>
      </c>
      <c r="R2280" s="556">
        <f>G2280-W2280</f>
        <v/>
      </c>
      <c r="S2280" s="523" t="n">
        <v>45048</v>
      </c>
      <c r="T2280" s="522" t="inlineStr">
        <is>
          <t>TI-0247862</t>
        </is>
      </c>
      <c r="U2280" s="522" t="inlineStr">
        <is>
          <t>L001-901905215</t>
        </is>
      </c>
      <c r="V2280" s="522" t="inlineStr">
        <is>
          <t>វីអ៊ីស៊ិន (ខេមបូឌា) អ៊ិនដាសស្ទ្រី ឯ.ក</t>
        </is>
      </c>
      <c r="W2280" s="556" t="n">
        <v>112984</v>
      </c>
    </row>
    <row r="2281">
      <c r="A2281" s="521" t="n">
        <v>2273</v>
      </c>
      <c r="B2281" s="522" t="inlineStr">
        <is>
          <t>Export Charge</t>
        </is>
      </c>
      <c r="C2281" s="522" t="inlineStr">
        <is>
          <t>ឆាយ ដា ឡូយីស្ទីក</t>
        </is>
      </c>
      <c r="D2281" s="522" t="inlineStr">
        <is>
          <t>L001-100063098</t>
        </is>
      </c>
      <c r="E2281" s="521" t="inlineStr">
        <is>
          <t>2305004940</t>
        </is>
      </c>
      <c r="F2281" s="523" t="n">
        <v>45061</v>
      </c>
      <c r="G2281" s="556" t="n">
        <v>77773</v>
      </c>
      <c r="I2281" s="521">
        <f>G2281</f>
        <v/>
      </c>
      <c r="K2281" s="521">
        <f>I2281-G2281</f>
        <v/>
      </c>
      <c r="M2281" s="522" t="inlineStr">
        <is>
          <t>2305004940</t>
        </is>
      </c>
      <c r="N2281" s="522" t="inlineStr">
        <is>
          <t>2305004940</t>
        </is>
      </c>
      <c r="O2281" s="521">
        <f>M2281=N2281</f>
        <v/>
      </c>
      <c r="P2281" s="521">
        <f>AND(MONTH(F2281)=MONTH(S2281), YEAR(F2281)=YEAR(S2281))</f>
        <v/>
      </c>
      <c r="Q2281" s="521">
        <f>U2281="L001-901905215"</f>
        <v/>
      </c>
      <c r="R2281" s="556">
        <f>G2281-W2281</f>
        <v/>
      </c>
      <c r="S2281" s="523" t="n">
        <v>45061</v>
      </c>
      <c r="T2281" s="522" t="inlineStr">
        <is>
          <t>2305004940</t>
        </is>
      </c>
      <c r="U2281" s="522" t="inlineStr">
        <is>
          <t>L001-901905215</t>
        </is>
      </c>
      <c r="V2281" s="522" t="inlineStr">
        <is>
          <t>វីអ៊ីស៊ិន (ខេមបូឌា) អ៊ិនដាសស្ទ្រី ឯ.ក</t>
        </is>
      </c>
      <c r="W2281" s="556" t="n">
        <v>77773</v>
      </c>
    </row>
    <row r="2282">
      <c r="A2282" s="521" t="n">
        <v>2274</v>
      </c>
      <c r="B2282" s="522" t="inlineStr">
        <is>
          <t>HANDLING AND TRUCKING FEE</t>
        </is>
      </c>
      <c r="C2282" s="522" t="inlineStr">
        <is>
          <t>អ៊ិចស្ពែឌីធ័រ ខេមបូឌា អិលធីឌី</t>
        </is>
      </c>
      <c r="D2282" s="522" t="inlineStr">
        <is>
          <t>L001-100045898</t>
        </is>
      </c>
      <c r="E2282" s="521" t="inlineStr">
        <is>
          <t>TI-0247925</t>
        </is>
      </c>
      <c r="F2282" s="523" t="n">
        <v>45048</v>
      </c>
      <c r="G2282" s="556" t="n">
        <v>156327</v>
      </c>
      <c r="I2282" s="521">
        <f>G2282</f>
        <v/>
      </c>
      <c r="K2282" s="521">
        <f>I2282-G2282</f>
        <v/>
      </c>
      <c r="M2282" s="522" t="inlineStr">
        <is>
          <t>TI0247925</t>
        </is>
      </c>
      <c r="N2282" s="522" t="inlineStr">
        <is>
          <t>TI0247925</t>
        </is>
      </c>
      <c r="O2282" s="521">
        <f>M2282=N2282</f>
        <v/>
      </c>
      <c r="P2282" s="521">
        <f>AND(MONTH(F2282)=MONTH(S2282), YEAR(F2282)=YEAR(S2282))</f>
        <v/>
      </c>
      <c r="Q2282" s="521">
        <f>U2282="L001-901905215"</f>
        <v/>
      </c>
      <c r="R2282" s="556">
        <f>G2282-W2282</f>
        <v/>
      </c>
      <c r="S2282" s="523" t="n">
        <v>45048</v>
      </c>
      <c r="T2282" s="522" t="inlineStr">
        <is>
          <t>TI-0247925</t>
        </is>
      </c>
      <c r="U2282" s="522" t="inlineStr">
        <is>
          <t>L001-901905215</t>
        </is>
      </c>
      <c r="V2282" s="522" t="inlineStr">
        <is>
          <t>វីអ៊ីស៊ិន (ខេមបូឌា) អ៊ិនដាសស្ទ្រី ឯ.ក</t>
        </is>
      </c>
      <c r="W2282" s="556" t="n">
        <v>156316</v>
      </c>
    </row>
    <row r="2283">
      <c r="A2283" s="521" t="n">
        <v>2275</v>
      </c>
      <c r="B2283" s="522" t="inlineStr">
        <is>
          <t>HANDLING AND TRUCKING FEE</t>
        </is>
      </c>
      <c r="C2283" s="522" t="inlineStr">
        <is>
          <t>អ៊ិចស្ពែឌីធ័រ ខេមបូឌា អិលធីឌី</t>
        </is>
      </c>
      <c r="D2283" s="522" t="inlineStr">
        <is>
          <t>L001-100045898</t>
        </is>
      </c>
      <c r="E2283" s="521" t="inlineStr">
        <is>
          <t>TI-0247890</t>
        </is>
      </c>
      <c r="F2283" s="523" t="n">
        <v>45048</v>
      </c>
      <c r="G2283" s="556" t="n">
        <v>58160</v>
      </c>
      <c r="I2283" s="521">
        <f>G2283</f>
        <v/>
      </c>
      <c r="K2283" s="521">
        <f>I2283-G2283</f>
        <v/>
      </c>
      <c r="M2283" s="522" t="inlineStr">
        <is>
          <t>TI0247890</t>
        </is>
      </c>
      <c r="N2283" s="522" t="inlineStr">
        <is>
          <t>TI0247890</t>
        </is>
      </c>
      <c r="O2283" s="521">
        <f>M2283=N2283</f>
        <v/>
      </c>
      <c r="P2283" s="521">
        <f>AND(MONTH(F2283)=MONTH(S2283), YEAR(F2283)=YEAR(S2283))</f>
        <v/>
      </c>
      <c r="Q2283" s="521">
        <f>U2283="L001-901905215"</f>
        <v/>
      </c>
      <c r="R2283" s="556">
        <f>G2283-W2283</f>
        <v/>
      </c>
      <c r="S2283" s="523" t="n">
        <v>45048</v>
      </c>
      <c r="T2283" s="522" t="inlineStr">
        <is>
          <t>TI-0247890</t>
        </is>
      </c>
      <c r="U2283" s="522" t="inlineStr">
        <is>
          <t>L001-901905215</t>
        </is>
      </c>
      <c r="V2283" s="522" t="inlineStr">
        <is>
          <t>វីអ៊ីស៊ិន (ខេមបូឌា) អ៊ិនដាសស្ទ្រី ឯ.ក</t>
        </is>
      </c>
      <c r="W2283" s="556" t="n">
        <v>58160</v>
      </c>
    </row>
    <row r="2284">
      <c r="A2284" s="521" t="n">
        <v>2276</v>
      </c>
      <c r="B2284" s="522" t="inlineStr">
        <is>
          <t>HANDLING AND TRUCKING FEE</t>
        </is>
      </c>
      <c r="C2284" s="522" t="inlineStr">
        <is>
          <t>អ៊ិចស្ពែឌីធ័រ ខេមបូឌា អិលធីឌី</t>
        </is>
      </c>
      <c r="D2284" s="522" t="inlineStr">
        <is>
          <t>L001-100045898</t>
        </is>
      </c>
      <c r="E2284" s="521" t="inlineStr">
        <is>
          <t>TI-0248214</t>
        </is>
      </c>
      <c r="F2284" s="523" t="n">
        <v>45053</v>
      </c>
      <c r="G2284" s="556" t="n">
        <v>209019</v>
      </c>
      <c r="I2284" s="521">
        <f>G2284</f>
        <v/>
      </c>
      <c r="K2284" s="521">
        <f>I2284-G2284</f>
        <v/>
      </c>
      <c r="M2284" s="522" t="inlineStr">
        <is>
          <t>TI0248214</t>
        </is>
      </c>
      <c r="N2284" s="522" t="inlineStr">
        <is>
          <t>TI0248214</t>
        </is>
      </c>
      <c r="O2284" s="521">
        <f>M2284=N2284</f>
        <v/>
      </c>
      <c r="P2284" s="521">
        <f>AND(MONTH(F2284)=MONTH(S2284), YEAR(F2284)=YEAR(S2284))</f>
        <v/>
      </c>
      <c r="Q2284" s="521">
        <f>U2284="L001-901905215"</f>
        <v/>
      </c>
      <c r="R2284" s="556">
        <f>G2284-W2284</f>
        <v/>
      </c>
      <c r="S2284" s="523" t="n">
        <v>45053</v>
      </c>
      <c r="T2284" s="522" t="inlineStr">
        <is>
          <t>TI-0248214</t>
        </is>
      </c>
      <c r="U2284" s="522" t="inlineStr">
        <is>
          <t>L001-901905215</t>
        </is>
      </c>
      <c r="V2284" s="522" t="inlineStr">
        <is>
          <t>វីអ៊ីស៊ិន (ខេមបូឌា) អ៊ិនដាសស្ទ្រី ឯ.ក</t>
        </is>
      </c>
      <c r="W2284" s="556" t="n">
        <v>209027</v>
      </c>
    </row>
    <row r="2285">
      <c r="A2285" s="521" t="n">
        <v>2277</v>
      </c>
      <c r="B2285" s="522" t="inlineStr">
        <is>
          <t>Export Charge</t>
        </is>
      </c>
      <c r="C2285" s="522" t="inlineStr">
        <is>
          <t>ឆាយ ដា ឡូយីស្ទីក</t>
        </is>
      </c>
      <c r="D2285" s="522" t="inlineStr">
        <is>
          <t>L001-100063098</t>
        </is>
      </c>
      <c r="E2285" s="521" t="inlineStr">
        <is>
          <t>2305004935</t>
        </is>
      </c>
      <c r="F2285" s="523" t="n">
        <v>45061</v>
      </c>
      <c r="G2285" s="556" t="n">
        <v>77773</v>
      </c>
      <c r="I2285" s="521">
        <f>G2285</f>
        <v/>
      </c>
      <c r="K2285" s="521">
        <f>I2285-G2285</f>
        <v/>
      </c>
      <c r="M2285" s="522" t="inlineStr">
        <is>
          <t>2305004935</t>
        </is>
      </c>
      <c r="N2285" s="522" t="inlineStr">
        <is>
          <t>2305004935</t>
        </is>
      </c>
      <c r="O2285" s="521">
        <f>M2285=N2285</f>
        <v/>
      </c>
      <c r="P2285" s="521">
        <f>AND(MONTH(F2285)=MONTH(S2285), YEAR(F2285)=YEAR(S2285))</f>
        <v/>
      </c>
      <c r="Q2285" s="521">
        <f>U2285="L001-901905215"</f>
        <v/>
      </c>
      <c r="R2285" s="556">
        <f>G2285-W2285</f>
        <v/>
      </c>
      <c r="S2285" s="523" t="n">
        <v>45061</v>
      </c>
      <c r="T2285" s="522" t="inlineStr">
        <is>
          <t>2305004935</t>
        </is>
      </c>
      <c r="U2285" s="522" t="inlineStr">
        <is>
          <t>L001-901905215</t>
        </is>
      </c>
      <c r="V2285" s="522" t="inlineStr">
        <is>
          <t>វីអ៊ីស៊ិន (ខេមបូឌា) អ៊ិនដាសស្ទ្រី ឯ.ក</t>
        </is>
      </c>
      <c r="W2285" s="556" t="n">
        <v>77773</v>
      </c>
    </row>
    <row r="2286">
      <c r="A2286" s="521" t="n">
        <v>2278</v>
      </c>
      <c r="B2286" s="522" t="inlineStr">
        <is>
          <t>Worker fee</t>
        </is>
      </c>
      <c r="C2286" s="522" t="inlineStr">
        <is>
          <t>ឆាយ ដា ឡូយីស្ទីក</t>
        </is>
      </c>
      <c r="D2286" s="522" t="inlineStr">
        <is>
          <t>L001-100063098</t>
        </is>
      </c>
      <c r="E2286" s="521" t="inlineStr">
        <is>
          <t>2305004999</t>
        </is>
      </c>
      <c r="F2286" s="523" t="n">
        <v>45062</v>
      </c>
      <c r="G2286" s="556" t="n">
        <v>6167</v>
      </c>
      <c r="I2286" s="521">
        <f>G2286</f>
        <v/>
      </c>
      <c r="K2286" s="521">
        <f>I2286-G2286</f>
        <v/>
      </c>
      <c r="M2286" s="522" t="inlineStr">
        <is>
          <t>2305004999</t>
        </is>
      </c>
      <c r="N2286" s="522" t="inlineStr">
        <is>
          <t>2305004999</t>
        </is>
      </c>
      <c r="O2286" s="521">
        <f>M2286=N2286</f>
        <v/>
      </c>
      <c r="P2286" s="521">
        <f>AND(MONTH(F2286)=MONTH(S2286), YEAR(F2286)=YEAR(S2286))</f>
        <v/>
      </c>
      <c r="Q2286" s="521">
        <f>U2286="L001-901905215"</f>
        <v/>
      </c>
      <c r="R2286" s="556">
        <f>G2286-W2286</f>
        <v/>
      </c>
      <c r="S2286" s="523" t="n">
        <v>45062</v>
      </c>
      <c r="T2286" s="522" t="inlineStr">
        <is>
          <t>2305004999</t>
        </is>
      </c>
      <c r="U2286" s="522" t="inlineStr">
        <is>
          <t>L001-901905215</t>
        </is>
      </c>
      <c r="V2286" s="522" t="inlineStr">
        <is>
          <t>វីអ៊ីស៊ិន (ខេមបូឌា) អ៊ិនដាសស្ទ្រី ឯ.ក</t>
        </is>
      </c>
      <c r="W2286" s="556" t="n">
        <v>6167</v>
      </c>
    </row>
    <row r="2287">
      <c r="A2287" s="521" t="n">
        <v>2279</v>
      </c>
      <c r="B2287" s="522" t="inlineStr">
        <is>
          <t>Export Charge</t>
        </is>
      </c>
      <c r="C2287" s="522" t="inlineStr">
        <is>
          <t>ឆាយ ដា ឡូយីស្ទីក</t>
        </is>
      </c>
      <c r="D2287" s="522" t="inlineStr">
        <is>
          <t>L001-100063098</t>
        </is>
      </c>
      <c r="E2287" s="521" t="inlineStr">
        <is>
          <t>2305004932</t>
        </is>
      </c>
      <c r="F2287" s="523" t="n">
        <v>45061</v>
      </c>
      <c r="G2287" s="556" t="n">
        <v>77773</v>
      </c>
      <c r="I2287" s="521">
        <f>G2287</f>
        <v/>
      </c>
      <c r="K2287" s="521">
        <f>I2287-G2287</f>
        <v/>
      </c>
      <c r="M2287" s="522" t="inlineStr">
        <is>
          <t>2305004932</t>
        </is>
      </c>
      <c r="N2287" s="522" t="inlineStr">
        <is>
          <t>2305004932</t>
        </is>
      </c>
      <c r="O2287" s="521">
        <f>M2287=N2287</f>
        <v/>
      </c>
      <c r="P2287" s="521">
        <f>AND(MONTH(F2287)=MONTH(S2287), YEAR(F2287)=YEAR(S2287))</f>
        <v/>
      </c>
      <c r="Q2287" s="521">
        <f>U2287="L001-901905215"</f>
        <v/>
      </c>
      <c r="R2287" s="556">
        <f>G2287-W2287</f>
        <v/>
      </c>
      <c r="S2287" s="523" t="n">
        <v>45061</v>
      </c>
      <c r="T2287" s="522" t="inlineStr">
        <is>
          <t>2305004932</t>
        </is>
      </c>
      <c r="U2287" s="522" t="inlineStr">
        <is>
          <t>L001-901905215</t>
        </is>
      </c>
      <c r="V2287" s="522" t="inlineStr">
        <is>
          <t>វីអ៊ីស៊ិន (ខេមបូឌា) អ៊ិនដាសស្ទ្រី ឯ.ក</t>
        </is>
      </c>
      <c r="W2287" s="556" t="n">
        <v>77773</v>
      </c>
    </row>
    <row r="2288">
      <c r="A2288" s="521" t="n">
        <v>2280</v>
      </c>
      <c r="B2288" s="522" t="inlineStr">
        <is>
          <t>HANDLING AND TRUCKING FEE</t>
        </is>
      </c>
      <c r="C2288" s="522" t="inlineStr">
        <is>
          <t>អ៊ិចស្ពែឌីធ័រ ខេមបូឌា អិលធីឌី</t>
        </is>
      </c>
      <c r="D2288" s="522" t="inlineStr">
        <is>
          <t>L001-100045898</t>
        </is>
      </c>
      <c r="E2288" s="521" t="inlineStr">
        <is>
          <t>TI-0249096</t>
        </is>
      </c>
      <c r="F2288" s="523" t="n">
        <v>45068</v>
      </c>
      <c r="G2288" s="556" t="n">
        <v>55192</v>
      </c>
      <c r="I2288" s="521">
        <f>G2288</f>
        <v/>
      </c>
      <c r="K2288" s="521">
        <f>I2288-G2288</f>
        <v/>
      </c>
      <c r="M2288" s="522" t="inlineStr">
        <is>
          <t>TI0249096</t>
        </is>
      </c>
      <c r="N2288" s="522" t="inlineStr">
        <is>
          <t>TI0249096</t>
        </is>
      </c>
      <c r="O2288" s="521">
        <f>M2288=N2288</f>
        <v/>
      </c>
      <c r="P2288" s="521">
        <f>AND(MONTH(F2288)=MONTH(S2288), YEAR(F2288)=YEAR(S2288))</f>
        <v/>
      </c>
      <c r="Q2288" s="521">
        <f>U2288="L001-901905215"</f>
        <v/>
      </c>
      <c r="R2288" s="556">
        <f>G2288-W2288</f>
        <v/>
      </c>
      <c r="S2288" s="523" t="n">
        <v>45068</v>
      </c>
      <c r="T2288" s="522" t="inlineStr">
        <is>
          <t>TI-0249096</t>
        </is>
      </c>
      <c r="U2288" s="522" t="inlineStr">
        <is>
          <t>L001-901905215</t>
        </is>
      </c>
      <c r="V2288" s="522" t="inlineStr">
        <is>
          <t>វីអ៊ីស៊ិន (ខេមបូឌា) អ៊ិនដាសស្ទ្រី ឯ.ក</t>
        </is>
      </c>
      <c r="W2288" s="556" t="n">
        <v>55211</v>
      </c>
    </row>
    <row r="2289">
      <c r="A2289" s="521" t="n">
        <v>2281</v>
      </c>
      <c r="B2289" s="522" t="inlineStr">
        <is>
          <t>HANDLING AND TRUCKING FEE</t>
        </is>
      </c>
      <c r="C2289" s="522" t="inlineStr">
        <is>
          <t>អ៊ិចស្ពែឌីធ័រ ខេមបូឌា អិលធីឌី</t>
        </is>
      </c>
      <c r="D2289" s="522" t="inlineStr">
        <is>
          <t>L001-100045898</t>
        </is>
      </c>
      <c r="E2289" s="521" t="inlineStr">
        <is>
          <t>TI-0248647</t>
        </is>
      </c>
      <c r="F2289" s="523" t="n">
        <v>45061</v>
      </c>
      <c r="G2289" s="556" t="n">
        <v>91469</v>
      </c>
      <c r="I2289" s="521">
        <f>G2289</f>
        <v/>
      </c>
      <c r="K2289" s="521">
        <f>I2289-G2289</f>
        <v/>
      </c>
      <c r="M2289" s="522" t="inlineStr">
        <is>
          <t>TI0248647</t>
        </is>
      </c>
      <c r="N2289" s="522" t="inlineStr">
        <is>
          <t>TI0248647</t>
        </is>
      </c>
      <c r="O2289" s="521">
        <f>M2289=N2289</f>
        <v/>
      </c>
      <c r="P2289" s="521">
        <f>AND(MONTH(F2289)=MONTH(S2289), YEAR(F2289)=YEAR(S2289))</f>
        <v/>
      </c>
      <c r="Q2289" s="521">
        <f>U2289="L001-901905215"</f>
        <v/>
      </c>
      <c r="R2289" s="556">
        <f>G2289-W2289</f>
        <v/>
      </c>
      <c r="S2289" s="523" t="n">
        <v>45061</v>
      </c>
      <c r="T2289" s="522" t="inlineStr">
        <is>
          <t>TI-0248647</t>
        </is>
      </c>
      <c r="U2289" s="522" t="inlineStr">
        <is>
          <t>L001-901905215</t>
        </is>
      </c>
      <c r="V2289" s="522" t="inlineStr">
        <is>
          <t>វីអ៊ីស៊ិន (ខេមបូឌា) អ៊ិនដាសស្ទ្រី ឯ.ក</t>
        </is>
      </c>
      <c r="W2289" s="556" t="n">
        <v>91476</v>
      </c>
    </row>
    <row r="2290">
      <c r="A2290" s="521" t="n">
        <v>2282</v>
      </c>
      <c r="B2290" s="522" t="inlineStr">
        <is>
          <t>CLEARANCE FEE</t>
        </is>
      </c>
      <c r="C2290" s="522" t="inlineStr">
        <is>
          <t>56ប៊ី-លីង សឹបផ្លាយ ឆេន មេនេចម៉ិន ឯ.ក</t>
        </is>
      </c>
      <c r="D2290" s="522" t="inlineStr">
        <is>
          <t>K004-902004795</t>
        </is>
      </c>
      <c r="E2290" s="521" t="inlineStr">
        <is>
          <t>TI2023-0662</t>
        </is>
      </c>
      <c r="F2290" s="523" t="n">
        <v>45075</v>
      </c>
      <c r="G2290" s="556" t="n">
        <v>172746</v>
      </c>
      <c r="I2290" s="521">
        <f>G2290</f>
        <v/>
      </c>
      <c r="K2290" s="521">
        <f>I2290-G2290</f>
        <v/>
      </c>
      <c r="M2290" s="522" t="inlineStr">
        <is>
          <t>TI20230662</t>
        </is>
      </c>
      <c r="N2290" s="522" t="inlineStr">
        <is>
          <t>TI20230662</t>
        </is>
      </c>
      <c r="O2290" s="521">
        <f>M2290=N2290</f>
        <v/>
      </c>
      <c r="P2290" s="521">
        <f>AND(MONTH(F2290)=MONTH(S2290), YEAR(F2290)=YEAR(S2290))</f>
        <v/>
      </c>
      <c r="Q2290" s="521">
        <f>U2290="L001-901905215"</f>
        <v/>
      </c>
      <c r="R2290" s="556">
        <f>G2290-W2290</f>
        <v/>
      </c>
      <c r="S2290" s="523" t="n">
        <v>45075</v>
      </c>
      <c r="T2290" s="522" t="inlineStr">
        <is>
          <t>TI2023-0662</t>
        </is>
      </c>
      <c r="U2290" s="522" t="inlineStr">
        <is>
          <t>L001-901905215</t>
        </is>
      </c>
      <c r="V2290" s="522" t="inlineStr">
        <is>
          <t>វីអ៊ីស៊ិន (ខេមបូឌា) អ៊ិនដាសស្ទ្រី ឯ.ក</t>
        </is>
      </c>
      <c r="W2290" s="556" t="n">
        <v>172746</v>
      </c>
    </row>
    <row r="2291">
      <c r="A2291" s="521" t="n">
        <v>2283</v>
      </c>
      <c r="B2291" s="522" t="inlineStr">
        <is>
          <t>Export Charge</t>
        </is>
      </c>
      <c r="C2291" s="522" t="inlineStr">
        <is>
          <t>ឆាយ ដា ឡូយីស្ទីក</t>
        </is>
      </c>
      <c r="D2291" s="522" t="inlineStr">
        <is>
          <t>L001-100063098</t>
        </is>
      </c>
      <c r="E2291" s="521" t="inlineStr">
        <is>
          <t>2305004931</t>
        </is>
      </c>
      <c r="F2291" s="523" t="n">
        <v>45061</v>
      </c>
      <c r="G2291" s="556" t="n">
        <v>77773</v>
      </c>
      <c r="I2291" s="521">
        <f>G2291</f>
        <v/>
      </c>
      <c r="K2291" s="521">
        <f>I2291-G2291</f>
        <v/>
      </c>
      <c r="M2291" s="522" t="inlineStr">
        <is>
          <t>2305004931</t>
        </is>
      </c>
      <c r="N2291" s="522" t="inlineStr">
        <is>
          <t>2305004931</t>
        </is>
      </c>
      <c r="O2291" s="521">
        <f>M2291=N2291</f>
        <v/>
      </c>
      <c r="P2291" s="521">
        <f>AND(MONTH(F2291)=MONTH(S2291), YEAR(F2291)=YEAR(S2291))</f>
        <v/>
      </c>
      <c r="Q2291" s="521">
        <f>U2291="L001-901905215"</f>
        <v/>
      </c>
      <c r="R2291" s="556">
        <f>G2291-W2291</f>
        <v/>
      </c>
      <c r="S2291" s="523" t="n">
        <v>45061</v>
      </c>
      <c r="T2291" s="522" t="inlineStr">
        <is>
          <t>2305004931</t>
        </is>
      </c>
      <c r="U2291" s="522" t="inlineStr">
        <is>
          <t>L001-901905215</t>
        </is>
      </c>
      <c r="V2291" s="522" t="inlineStr">
        <is>
          <t>វីអ៊ីស៊ិន (ខេមបូឌា) អ៊ិនដាសស្ទ្រី ឯ.ក</t>
        </is>
      </c>
      <c r="W2291" s="556" t="n">
        <v>77773</v>
      </c>
    </row>
    <row r="2292">
      <c r="A2292" s="521" t="n">
        <v>2284</v>
      </c>
      <c r="B2292" s="522" t="inlineStr">
        <is>
          <t>HANDLING AND TRUCKING FEE</t>
        </is>
      </c>
      <c r="C2292" s="522" t="inlineStr">
        <is>
          <t>អ៊ិចស្ពែឌីធ័រ ខេមបូឌា អិលធីឌី</t>
        </is>
      </c>
      <c r="D2292" s="522" t="inlineStr">
        <is>
          <t>L001-100045898</t>
        </is>
      </c>
      <c r="E2292" s="521" t="inlineStr">
        <is>
          <t>TI-0248652</t>
        </is>
      </c>
      <c r="F2292" s="523" t="n">
        <v>45061</v>
      </c>
      <c r="G2292" s="556" t="n">
        <v>57573</v>
      </c>
      <c r="I2292" s="521">
        <f>G2292</f>
        <v/>
      </c>
      <c r="K2292" s="521">
        <f>I2292-G2292</f>
        <v/>
      </c>
      <c r="M2292" s="522" t="inlineStr">
        <is>
          <t>TI0248652</t>
        </is>
      </c>
      <c r="N2292" s="522" t="inlineStr">
        <is>
          <t>TI0248652</t>
        </is>
      </c>
      <c r="O2292" s="521">
        <f>M2292=N2292</f>
        <v/>
      </c>
      <c r="P2292" s="521">
        <f>AND(MONTH(F2292)=MONTH(S2292), YEAR(F2292)=YEAR(S2292))</f>
        <v/>
      </c>
      <c r="Q2292" s="521">
        <f>U2292="L001-901905215"</f>
        <v/>
      </c>
      <c r="R2292" s="556">
        <f>G2292-W2292</f>
        <v/>
      </c>
      <c r="S2292" s="523" t="n">
        <v>45061</v>
      </c>
      <c r="T2292" s="522" t="inlineStr">
        <is>
          <t>TI-0248652</t>
        </is>
      </c>
      <c r="U2292" s="522" t="inlineStr">
        <is>
          <t>L001-901905215</t>
        </is>
      </c>
      <c r="V2292" s="522" t="inlineStr">
        <is>
          <t>វីអ៊ីស៊ិន (ខេមបូឌា) អ៊ិនដាសស្ទ្រី ឯ.ក</t>
        </is>
      </c>
      <c r="W2292" s="556" t="n">
        <v>57569</v>
      </c>
    </row>
    <row r="2293">
      <c r="A2293" s="521" t="n">
        <v>2285</v>
      </c>
      <c r="B2293" s="522" t="inlineStr">
        <is>
          <t>CLEARANCE FEE</t>
        </is>
      </c>
      <c r="C2293" s="522" t="inlineStr">
        <is>
          <t>56ប៊ី-លីង សឹបផ្លាយ ឆេន មេនេចម៉ិន ឯ.ក</t>
        </is>
      </c>
      <c r="D2293" s="522" t="inlineStr">
        <is>
          <t>K004-902004795</t>
        </is>
      </c>
      <c r="E2293" s="521" t="inlineStr">
        <is>
          <t>TI2023-0661</t>
        </is>
      </c>
      <c r="F2293" s="523" t="n">
        <v>45075</v>
      </c>
      <c r="G2293" s="556" t="n">
        <v>172746</v>
      </c>
      <c r="I2293" s="521">
        <f>G2293</f>
        <v/>
      </c>
      <c r="K2293" s="521">
        <f>I2293-G2293</f>
        <v/>
      </c>
      <c r="M2293" s="522" t="inlineStr">
        <is>
          <t>TI20230661</t>
        </is>
      </c>
      <c r="N2293" s="522" t="inlineStr">
        <is>
          <t>TI20230661</t>
        </is>
      </c>
      <c r="O2293" s="521">
        <f>M2293=N2293</f>
        <v/>
      </c>
      <c r="P2293" s="521">
        <f>AND(MONTH(F2293)=MONTH(S2293), YEAR(F2293)=YEAR(S2293))</f>
        <v/>
      </c>
      <c r="Q2293" s="521">
        <f>U2293="L001-901905215"</f>
        <v/>
      </c>
      <c r="R2293" s="556">
        <f>G2293-W2293</f>
        <v/>
      </c>
      <c r="S2293" s="523" t="n">
        <v>45075</v>
      </c>
      <c r="T2293" s="522" t="inlineStr">
        <is>
          <t>TI2023-0661</t>
        </is>
      </c>
      <c r="U2293" s="522" t="inlineStr">
        <is>
          <t>L001-901905215</t>
        </is>
      </c>
      <c r="V2293" s="522" t="inlineStr">
        <is>
          <t>វីអ៊ីស៊ិន (ខេមបូឌា) អ៊ិនដាសស្ទ្រី ឯ.ក</t>
        </is>
      </c>
      <c r="W2293" s="556" t="n">
        <v>172746</v>
      </c>
    </row>
    <row r="2294">
      <c r="A2294" s="521" t="n">
        <v>2286</v>
      </c>
      <c r="B2294" s="522" t="inlineStr">
        <is>
          <t>Worker fee</t>
        </is>
      </c>
      <c r="C2294" s="522" t="inlineStr">
        <is>
          <t>ឆាយ ដា ឡូយីស្ទីក</t>
        </is>
      </c>
      <c r="D2294" s="522" t="inlineStr">
        <is>
          <t>L001-100063098</t>
        </is>
      </c>
      <c r="E2294" s="521" t="inlineStr">
        <is>
          <t>2305004696</t>
        </is>
      </c>
      <c r="F2294" s="523" t="n">
        <v>45056</v>
      </c>
      <c r="G2294" s="556" t="n">
        <v>6185</v>
      </c>
      <c r="I2294" s="521">
        <f>G2294</f>
        <v/>
      </c>
      <c r="K2294" s="521">
        <f>I2294-G2294</f>
        <v/>
      </c>
      <c r="M2294" s="522" t="inlineStr">
        <is>
          <t>2305004696</t>
        </is>
      </c>
      <c r="N2294" s="522" t="inlineStr">
        <is>
          <t>2305004696</t>
        </is>
      </c>
      <c r="O2294" s="521">
        <f>M2294=N2294</f>
        <v/>
      </c>
      <c r="P2294" s="521">
        <f>AND(MONTH(F2294)=MONTH(S2294), YEAR(F2294)=YEAR(S2294))</f>
        <v/>
      </c>
      <c r="Q2294" s="521">
        <f>U2294="L001-901905215"</f>
        <v/>
      </c>
      <c r="R2294" s="556">
        <f>G2294-W2294</f>
        <v/>
      </c>
      <c r="S2294" s="523" t="n">
        <v>45056</v>
      </c>
      <c r="T2294" s="522" t="inlineStr">
        <is>
          <t>2305004696</t>
        </is>
      </c>
      <c r="U2294" s="522" t="inlineStr">
        <is>
          <t>L001-901905215</t>
        </is>
      </c>
      <c r="V2294" s="522" t="inlineStr">
        <is>
          <t>វីអ៊ីស៊ិន (ខេមបូឌា) អ៊ិនដាសស្ទ្រី ឯ.ក</t>
        </is>
      </c>
      <c r="W2294" s="556" t="n">
        <v>6185</v>
      </c>
    </row>
    <row r="2295">
      <c r="A2295" s="521" t="n">
        <v>2287</v>
      </c>
      <c r="B2295" s="522" t="inlineStr">
        <is>
          <t>Export Charge</t>
        </is>
      </c>
      <c r="C2295" s="522" t="inlineStr">
        <is>
          <t>ឆាយ ដា ឡូយីស្ទីក</t>
        </is>
      </c>
      <c r="D2295" s="522" t="inlineStr">
        <is>
          <t>L001-100063098</t>
        </is>
      </c>
      <c r="E2295" s="521" t="inlineStr">
        <is>
          <t>2305004465</t>
        </is>
      </c>
      <c r="F2295" s="523" t="n">
        <v>45048</v>
      </c>
      <c r="G2295" s="556" t="n">
        <v>77849</v>
      </c>
      <c r="I2295" s="521">
        <f>G2295</f>
        <v/>
      </c>
      <c r="K2295" s="521">
        <f>I2295-G2295</f>
        <v/>
      </c>
      <c r="M2295" s="522" t="inlineStr">
        <is>
          <t>2305004465</t>
        </is>
      </c>
      <c r="N2295" s="522" t="inlineStr">
        <is>
          <t>2305004465</t>
        </is>
      </c>
      <c r="O2295" s="521">
        <f>M2295=N2295</f>
        <v/>
      </c>
      <c r="P2295" s="521">
        <f>AND(MONTH(F2295)=MONTH(S2295), YEAR(F2295)=YEAR(S2295))</f>
        <v/>
      </c>
      <c r="Q2295" s="521">
        <f>U2295="L001-901905215"</f>
        <v/>
      </c>
      <c r="R2295" s="556">
        <f>G2295-W2295</f>
        <v/>
      </c>
      <c r="S2295" s="523" t="n">
        <v>45048</v>
      </c>
      <c r="T2295" s="522" t="inlineStr">
        <is>
          <t>2305004465</t>
        </is>
      </c>
      <c r="U2295" s="522" t="inlineStr">
        <is>
          <t>L001-901905215</t>
        </is>
      </c>
      <c r="V2295" s="522" t="inlineStr">
        <is>
          <t>វីអ៊ីស៊ិន (ខេមបូឌា) អ៊ិនដាសស្ទ្រី ឯ.ក</t>
        </is>
      </c>
      <c r="W2295" s="556" t="n">
        <v>77849</v>
      </c>
    </row>
    <row r="2296">
      <c r="A2296" s="521" t="n">
        <v>2288</v>
      </c>
      <c r="B2296" s="522" t="inlineStr">
        <is>
          <t>CLEARANCE AND TRUCKING FEE</t>
        </is>
      </c>
      <c r="C2296" s="522" t="inlineStr">
        <is>
          <t>56ប៊ី-លីង សឹបផ្លាយ ឆេន មេនេចម៉ិន ឯ.ក</t>
        </is>
      </c>
      <c r="D2296" s="522" t="inlineStr">
        <is>
          <t>K004-902004795</t>
        </is>
      </c>
      <c r="E2296" s="521" t="inlineStr">
        <is>
          <t>TI2023-0575</t>
        </is>
      </c>
      <c r="F2296" s="523" t="n">
        <v>45054</v>
      </c>
      <c r="G2296" s="556" t="n">
        <v>212283</v>
      </c>
      <c r="I2296" s="521">
        <f>G2296</f>
        <v/>
      </c>
      <c r="K2296" s="521">
        <f>I2296-G2296</f>
        <v/>
      </c>
      <c r="M2296" s="522" t="inlineStr">
        <is>
          <t>TI20230575</t>
        </is>
      </c>
      <c r="N2296" s="522" t="inlineStr">
        <is>
          <t>TI20230575</t>
        </is>
      </c>
      <c r="O2296" s="521">
        <f>M2296=N2296</f>
        <v/>
      </c>
      <c r="P2296" s="521">
        <f>AND(MONTH(F2296)=MONTH(S2296), YEAR(F2296)=YEAR(S2296))</f>
        <v/>
      </c>
      <c r="Q2296" s="521">
        <f>U2296="L001-901905215"</f>
        <v/>
      </c>
      <c r="R2296" s="556">
        <f>G2296-W2296</f>
        <v/>
      </c>
      <c r="S2296" s="523" t="n">
        <v>45054</v>
      </c>
      <c r="T2296" s="522" t="inlineStr">
        <is>
          <t>TI2023-0575</t>
        </is>
      </c>
      <c r="U2296" s="522" t="inlineStr">
        <is>
          <t>L001-901905215</t>
        </is>
      </c>
      <c r="V2296" s="522" t="inlineStr">
        <is>
          <t>វីអ៊ីស៊ិន (ខេមបូឌា) អ៊ិនដាសស្ទ្រី ឯ.ក</t>
        </is>
      </c>
      <c r="W2296" s="556" t="n">
        <v>212283</v>
      </c>
    </row>
    <row r="2297">
      <c r="A2297" s="521" t="n">
        <v>2289</v>
      </c>
      <c r="B2297" s="522" t="inlineStr">
        <is>
          <t>Clearance Import</t>
        </is>
      </c>
      <c r="C2297" s="522" t="inlineStr">
        <is>
          <t>ហាវតាយ អ៊ិនធើណេសិនណល ឡូជីស្ទីក ឯ.ក</t>
        </is>
      </c>
      <c r="D2297" s="522" t="inlineStr">
        <is>
          <t>K007-902202863</t>
        </is>
      </c>
      <c r="E2297" s="521" t="inlineStr">
        <is>
          <t>HT230069</t>
        </is>
      </c>
      <c r="F2297" s="523" t="n">
        <v>45077</v>
      </c>
      <c r="G2297" s="556" t="n">
        <v>493920</v>
      </c>
      <c r="I2297" s="521">
        <f>G2297</f>
        <v/>
      </c>
      <c r="K2297" s="521">
        <f>I2297-G2297</f>
        <v/>
      </c>
      <c r="M2297" s="522" t="inlineStr">
        <is>
          <t>HT230069</t>
        </is>
      </c>
      <c r="N2297" s="522" t="inlineStr">
        <is>
          <t>HT230069</t>
        </is>
      </c>
      <c r="O2297" s="521">
        <f>M2297=N2297</f>
        <v/>
      </c>
      <c r="P2297" s="521">
        <f>AND(MONTH(F2297)=MONTH(S2297), YEAR(F2297)=YEAR(S2297))</f>
        <v/>
      </c>
      <c r="Q2297" s="521">
        <f>U2297="L001-901905215"</f>
        <v/>
      </c>
      <c r="R2297" s="556">
        <f>G2297-W2297</f>
        <v/>
      </c>
      <c r="S2297" s="523" t="n">
        <v>45077</v>
      </c>
      <c r="T2297" s="522" t="inlineStr">
        <is>
          <t>HT230069</t>
        </is>
      </c>
      <c r="U2297" s="522" t="inlineStr">
        <is>
          <t>L001-901905215</t>
        </is>
      </c>
      <c r="V2297" s="522" t="inlineStr">
        <is>
          <t>វីអ៊ីស៊ិន (ខេមបូឌា) អ៊ិនដាសស្ទ្រី ឯ.ក</t>
        </is>
      </c>
      <c r="W2297" s="556" t="n">
        <v>493920</v>
      </c>
    </row>
    <row r="2298">
      <c r="A2298" s="521" t="n">
        <v>2290</v>
      </c>
      <c r="B2298" s="522" t="inlineStr">
        <is>
          <t>Clearance Import</t>
        </is>
      </c>
      <c r="C2298" s="522" t="inlineStr">
        <is>
          <t>ហាវតាយ អ៊ិនធើណេសិនណល ឡូជីស្ទីក ឯ.ក</t>
        </is>
      </c>
      <c r="D2298" s="522" t="inlineStr">
        <is>
          <t>K007-902202863</t>
        </is>
      </c>
      <c r="E2298" s="521" t="inlineStr">
        <is>
          <t>HT230071</t>
        </is>
      </c>
      <c r="F2298" s="523" t="n">
        <v>45077</v>
      </c>
      <c r="G2298" s="556" t="n">
        <v>242844</v>
      </c>
      <c r="I2298" s="521">
        <f>G2298</f>
        <v/>
      </c>
      <c r="K2298" s="521">
        <f>I2298-G2298</f>
        <v/>
      </c>
      <c r="M2298" s="522" t="inlineStr">
        <is>
          <t>HT230071</t>
        </is>
      </c>
      <c r="N2298" s="522" t="inlineStr">
        <is>
          <t>HT230071</t>
        </is>
      </c>
      <c r="O2298" s="521">
        <f>M2298=N2298</f>
        <v/>
      </c>
      <c r="P2298" s="521">
        <f>AND(MONTH(F2298)=MONTH(S2298), YEAR(F2298)=YEAR(S2298))</f>
        <v/>
      </c>
      <c r="Q2298" s="521">
        <f>U2298="L001-901905215"</f>
        <v/>
      </c>
      <c r="R2298" s="556">
        <f>G2298-W2298</f>
        <v/>
      </c>
      <c r="S2298" s="523" t="n">
        <v>45077</v>
      </c>
      <c r="T2298" s="522" t="inlineStr">
        <is>
          <t>HT230071</t>
        </is>
      </c>
      <c r="U2298" s="522" t="inlineStr">
        <is>
          <t>L001-901905215</t>
        </is>
      </c>
      <c r="V2298" s="522" t="inlineStr">
        <is>
          <t>វីអ៊ីស៊ិន (ខេមបូឌា) អ៊ិនដាសស្ទ្រី ឯ.ក</t>
        </is>
      </c>
      <c r="W2298" s="556" t="n">
        <v>242844</v>
      </c>
    </row>
    <row r="2299">
      <c r="A2299" s="521" t="n">
        <v>2291</v>
      </c>
      <c r="B2299" s="522" t="inlineStr">
        <is>
          <t>Document Charge</t>
        </is>
      </c>
      <c r="C2299" s="522" t="inlineStr">
        <is>
          <t>អេសអាយធីស៊ី ខិនថេនើរ ឡាញ (ខេមបូឌា)</t>
        </is>
      </c>
      <c r="D2299" s="522" t="inlineStr">
        <is>
          <t>L001-107035863</t>
        </is>
      </c>
      <c r="E2299" s="521" t="inlineStr">
        <is>
          <t>SITC2023-011094</t>
        </is>
      </c>
      <c r="F2299" s="523" t="n">
        <v>45057</v>
      </c>
      <c r="G2299" s="556" t="n">
        <v>228660</v>
      </c>
      <c r="I2299" s="521">
        <f>G2299</f>
        <v/>
      </c>
      <c r="K2299" s="521">
        <f>I2299-G2299</f>
        <v/>
      </c>
      <c r="M2299" s="522" t="inlineStr">
        <is>
          <t>SITC2023011094</t>
        </is>
      </c>
      <c r="N2299" s="522" t="inlineStr">
        <is>
          <t>SITC2023011094</t>
        </is>
      </c>
      <c r="O2299" s="521">
        <f>M2299=N2299</f>
        <v/>
      </c>
      <c r="P2299" s="521">
        <f>AND(MONTH(F2299)=MONTH(S2299), YEAR(F2299)=YEAR(S2299))</f>
        <v/>
      </c>
      <c r="Q2299" s="521">
        <f>U2299="L001-901905215"</f>
        <v/>
      </c>
      <c r="R2299" s="556">
        <f>G2299-W2299</f>
        <v/>
      </c>
      <c r="S2299" s="523" t="n">
        <v>45057</v>
      </c>
      <c r="T2299" s="522" t="inlineStr">
        <is>
          <t>SITC2023-011094</t>
        </is>
      </c>
      <c r="U2299" s="522" t="inlineStr">
        <is>
          <t>L001-901905215</t>
        </is>
      </c>
      <c r="V2299" s="522" t="inlineStr">
        <is>
          <t>វីអ៊ីស៊ិន (ខេមបូឌា) អ៊ិនដាសស្ទ្រី ឯ.ក</t>
        </is>
      </c>
      <c r="W2299" s="556" t="n">
        <v>228660</v>
      </c>
    </row>
    <row r="2300">
      <c r="A2300" s="521" t="n">
        <v>2292</v>
      </c>
      <c r="B2300" s="522" t="inlineStr">
        <is>
          <t>LIFT ON AND LIFT OFF</t>
        </is>
      </c>
      <c r="C2300" s="522" t="inlineStr">
        <is>
          <t>កំពង់ផែស្វយ័តក្រុងព្រះសីហនុ</t>
        </is>
      </c>
      <c r="D2300" s="522" t="inlineStr">
        <is>
          <t>L001-100044638</t>
        </is>
      </c>
      <c r="E2300" s="521" t="inlineStr">
        <is>
          <t>074339</t>
        </is>
      </c>
      <c r="F2300" s="523" t="n">
        <v>45061</v>
      </c>
      <c r="G2300" s="556" t="n">
        <v>35801</v>
      </c>
      <c r="I2300" s="521">
        <f>G2300</f>
        <v/>
      </c>
      <c r="K2300" s="521">
        <f>I2300-G2300</f>
        <v/>
      </c>
      <c r="M2300" s="522" t="inlineStr">
        <is>
          <t>074339</t>
        </is>
      </c>
      <c r="N2300" s="522" t="inlineStr"/>
      <c r="O2300" s="521">
        <f>M2300=N2300</f>
        <v/>
      </c>
      <c r="P2300" s="521">
        <f>AND(MONTH(F2300)=MONTH(S2300), YEAR(F2300)=YEAR(S2300))</f>
        <v/>
      </c>
      <c r="Q2300" s="521">
        <f>U2300="L001-901905215"</f>
        <v/>
      </c>
      <c r="R2300" s="556">
        <f>G2300-W2300</f>
        <v/>
      </c>
      <c r="S2300" s="521" t="n"/>
      <c r="T2300" s="522" t="n"/>
      <c r="U2300" s="522" t="n"/>
      <c r="V2300" s="522" t="n"/>
      <c r="W2300" s="521" t="n"/>
    </row>
    <row r="2301">
      <c r="A2301" s="521" t="n">
        <v>2293</v>
      </c>
      <c r="B2301" s="522" t="inlineStr">
        <is>
          <t>Clearance Import</t>
        </is>
      </c>
      <c r="C2301" s="522" t="inlineStr">
        <is>
          <t>ហាវតាយ អ៊ិនធើណេសិនណល ឡូជីស្ទីក ឯ.ក</t>
        </is>
      </c>
      <c r="D2301" s="522" t="inlineStr">
        <is>
          <t>K007-902202863</t>
        </is>
      </c>
      <c r="E2301" s="521" t="inlineStr">
        <is>
          <t>HT230070</t>
        </is>
      </c>
      <c r="F2301" s="523" t="n">
        <v>45077</v>
      </c>
      <c r="G2301" s="556" t="n">
        <v>251076</v>
      </c>
      <c r="I2301" s="521">
        <f>G2301</f>
        <v/>
      </c>
      <c r="K2301" s="521">
        <f>I2301-G2301</f>
        <v/>
      </c>
      <c r="M2301" s="522" t="inlineStr">
        <is>
          <t>HT230070</t>
        </is>
      </c>
      <c r="N2301" s="522" t="inlineStr">
        <is>
          <t>HT230070</t>
        </is>
      </c>
      <c r="O2301" s="521">
        <f>M2301=N2301</f>
        <v/>
      </c>
      <c r="P2301" s="521">
        <f>AND(MONTH(F2301)=MONTH(S2301), YEAR(F2301)=YEAR(S2301))</f>
        <v/>
      </c>
      <c r="Q2301" s="521">
        <f>U2301="L001-901905215"</f>
        <v/>
      </c>
      <c r="R2301" s="556">
        <f>G2301-W2301</f>
        <v/>
      </c>
      <c r="S2301" s="523" t="n">
        <v>45077</v>
      </c>
      <c r="T2301" s="522" t="inlineStr">
        <is>
          <t>HT230070</t>
        </is>
      </c>
      <c r="U2301" s="522" t="inlineStr">
        <is>
          <t>L001-901905215</t>
        </is>
      </c>
      <c r="V2301" s="522" t="inlineStr">
        <is>
          <t>វីអ៊ីស៊ិន (ខេមបូឌា) អ៊ិនដាសស្ទ្រី ឯ.ក</t>
        </is>
      </c>
      <c r="W2301" s="556" t="n">
        <v>251076</v>
      </c>
    </row>
    <row r="2302">
      <c r="A2302" s="521" t="n">
        <v>2294</v>
      </c>
      <c r="B2302" s="522" t="inlineStr">
        <is>
          <t>Document Charge</t>
        </is>
      </c>
      <c r="C2302" s="522" t="inlineStr">
        <is>
          <t>អេសអាយធីស៊ី ខិនថេនើរ ឡាញ (ខេមបូឌា)</t>
        </is>
      </c>
      <c r="D2302" s="522" t="inlineStr">
        <is>
          <t>L001-107035863</t>
        </is>
      </c>
      <c r="E2302" s="521" t="inlineStr">
        <is>
          <t>SITC2023-010583</t>
        </is>
      </c>
      <c r="F2302" s="523" t="n">
        <v>45051</v>
      </c>
      <c r="G2302" s="556" t="n">
        <v>348309</v>
      </c>
      <c r="I2302" s="521">
        <f>G2302</f>
        <v/>
      </c>
      <c r="K2302" s="521">
        <f>I2302-G2302</f>
        <v/>
      </c>
      <c r="M2302" s="522" t="inlineStr">
        <is>
          <t>SITC2023010583</t>
        </is>
      </c>
      <c r="N2302" s="522" t="inlineStr">
        <is>
          <t>SITC2023010583</t>
        </is>
      </c>
      <c r="O2302" s="521">
        <f>M2302=N2302</f>
        <v/>
      </c>
      <c r="P2302" s="521">
        <f>AND(MONTH(F2302)=MONTH(S2302), YEAR(F2302)=YEAR(S2302))</f>
        <v/>
      </c>
      <c r="Q2302" s="521">
        <f>U2302="L001-901905215"</f>
        <v/>
      </c>
      <c r="R2302" s="556">
        <f>G2302-W2302</f>
        <v/>
      </c>
      <c r="S2302" s="523" t="n">
        <v>45051</v>
      </c>
      <c r="T2302" s="522" t="inlineStr">
        <is>
          <t>SITC2023-010583</t>
        </is>
      </c>
      <c r="U2302" s="522" t="inlineStr">
        <is>
          <t>L001-901905215</t>
        </is>
      </c>
      <c r="V2302" s="522" t="inlineStr">
        <is>
          <t>វីអ៊ីស៊ិន (ខេមបូឌា) អ៊ិនដាសស្ទ្រី ឯ.ក</t>
        </is>
      </c>
      <c r="W2302" s="556" t="n">
        <v>348309</v>
      </c>
    </row>
    <row r="2303">
      <c r="A2303" s="521" t="n">
        <v>2295</v>
      </c>
      <c r="B2303" s="522" t="inlineStr">
        <is>
          <t>LIFT ON AND LIFT OFF</t>
        </is>
      </c>
      <c r="C2303" s="522" t="inlineStr">
        <is>
          <t>កំពង់ផែស្វយ័តក្រុងព្រះសីហនុ</t>
        </is>
      </c>
      <c r="D2303" s="522" t="inlineStr">
        <is>
          <t>L001-100044638</t>
        </is>
      </c>
      <c r="E2303" s="521" t="inlineStr">
        <is>
          <t>072967</t>
        </is>
      </c>
      <c r="F2303" s="523" t="n">
        <v>45058</v>
      </c>
      <c r="G2303" s="556" t="n">
        <v>59285</v>
      </c>
      <c r="I2303" s="521">
        <f>G2303</f>
        <v/>
      </c>
      <c r="K2303" s="521">
        <f>I2303-G2303</f>
        <v/>
      </c>
      <c r="M2303" s="522" t="inlineStr">
        <is>
          <t>072967</t>
        </is>
      </c>
      <c r="N2303" s="522" t="inlineStr"/>
      <c r="O2303" s="521">
        <f>M2303=N2303</f>
        <v/>
      </c>
      <c r="P2303" s="521">
        <f>AND(MONTH(F2303)=MONTH(S2303), YEAR(F2303)=YEAR(S2303))</f>
        <v/>
      </c>
      <c r="Q2303" s="521">
        <f>U2303="L001-901905215"</f>
        <v/>
      </c>
      <c r="R2303" s="556">
        <f>G2303-W2303</f>
        <v/>
      </c>
      <c r="S2303" s="521" t="n"/>
      <c r="T2303" s="522" t="n"/>
      <c r="U2303" s="522" t="n"/>
      <c r="V2303" s="522" t="n"/>
      <c r="W2303" s="521" t="n"/>
    </row>
    <row r="2304">
      <c r="A2304" s="521" t="n">
        <v>2296</v>
      </c>
      <c r="B2304" s="522" t="inlineStr">
        <is>
          <t>HANDLING AND TRUCKING FEE</t>
        </is>
      </c>
      <c r="C2304" s="522" t="inlineStr">
        <is>
          <t>អ៊ិចស្ពែឌីធ័រ ខេមបូឌា អិលធីឌី</t>
        </is>
      </c>
      <c r="D2304" s="522" t="inlineStr">
        <is>
          <t>L001-100045898</t>
        </is>
      </c>
      <c r="E2304" s="521" t="inlineStr">
        <is>
          <t>TI-0249613</t>
        </is>
      </c>
      <c r="F2304" s="523" t="n">
        <v>45075</v>
      </c>
      <c r="G2304" s="556" t="n">
        <v>198613</v>
      </c>
      <c r="I2304" s="521">
        <f>G2304</f>
        <v/>
      </c>
      <c r="K2304" s="521">
        <f>I2304-G2304</f>
        <v/>
      </c>
      <c r="M2304" s="522" t="inlineStr">
        <is>
          <t>TI0249613</t>
        </is>
      </c>
      <c r="N2304" s="522" t="inlineStr">
        <is>
          <t>TI0249613</t>
        </is>
      </c>
      <c r="O2304" s="521">
        <f>M2304=N2304</f>
        <v/>
      </c>
      <c r="P2304" s="521">
        <f>AND(MONTH(F2304)=MONTH(S2304), YEAR(F2304)=YEAR(S2304))</f>
        <v/>
      </c>
      <c r="Q2304" s="521">
        <f>U2304="L001-901905215"</f>
        <v/>
      </c>
      <c r="R2304" s="556">
        <f>G2304-W2304</f>
        <v/>
      </c>
      <c r="S2304" s="523" t="n">
        <v>45075</v>
      </c>
      <c r="T2304" s="522" t="inlineStr">
        <is>
          <t>TI-0249613</t>
        </is>
      </c>
      <c r="U2304" s="522" t="inlineStr">
        <is>
          <t>L001-901905215</t>
        </is>
      </c>
      <c r="V2304" s="522" t="inlineStr">
        <is>
          <t>វីអ៊ីស៊ិន (ខេមបូឌា) អ៊ិនដាសស្ទ្រី ឯ.ក</t>
        </is>
      </c>
      <c r="W2304" s="556" t="n">
        <v>198617</v>
      </c>
    </row>
    <row r="2305">
      <c r="A2305" s="521" t="n">
        <v>2297</v>
      </c>
      <c r="B2305" s="522" t="inlineStr">
        <is>
          <t>Clearance Import</t>
        </is>
      </c>
      <c r="C2305" s="522" t="inlineStr">
        <is>
          <t>ហាវតាយ អ៊ិនធើណេសិនណល ឡូជីស្ទីក ឯ.ក</t>
        </is>
      </c>
      <c r="D2305" s="522" t="inlineStr">
        <is>
          <t>K007-902202863</t>
        </is>
      </c>
      <c r="E2305" s="521" t="inlineStr">
        <is>
          <t>HT230072</t>
        </is>
      </c>
      <c r="F2305" s="523" t="n">
        <v>45077</v>
      </c>
      <c r="G2305" s="556" t="n">
        <v>251076</v>
      </c>
      <c r="I2305" s="521">
        <f>G2305</f>
        <v/>
      </c>
      <c r="K2305" s="521">
        <f>I2305-G2305</f>
        <v/>
      </c>
      <c r="M2305" s="522" t="inlineStr">
        <is>
          <t>HT230072</t>
        </is>
      </c>
      <c r="N2305" s="522" t="inlineStr">
        <is>
          <t>HT230072</t>
        </is>
      </c>
      <c r="O2305" s="521">
        <f>M2305=N2305</f>
        <v/>
      </c>
      <c r="P2305" s="521">
        <f>AND(MONTH(F2305)=MONTH(S2305), YEAR(F2305)=YEAR(S2305))</f>
        <v/>
      </c>
      <c r="Q2305" s="521">
        <f>U2305="L001-901905215"</f>
        <v/>
      </c>
      <c r="R2305" s="556">
        <f>G2305-W2305</f>
        <v/>
      </c>
      <c r="S2305" s="523" t="n">
        <v>45077</v>
      </c>
      <c r="T2305" s="522" t="inlineStr">
        <is>
          <t>HT230072</t>
        </is>
      </c>
      <c r="U2305" s="522" t="inlineStr">
        <is>
          <t>L001-901905215</t>
        </is>
      </c>
      <c r="V2305" s="522" t="inlineStr">
        <is>
          <t>វីអ៊ីស៊ិន (ខេមបូឌា) អ៊ិនដាសស្ទ្រី ឯ.ក</t>
        </is>
      </c>
      <c r="W2305" s="556" t="n">
        <v>251076</v>
      </c>
    </row>
    <row r="2306">
      <c r="A2306" s="521" t="n">
        <v>2298</v>
      </c>
      <c r="B2306" s="522" t="inlineStr">
        <is>
          <t>CLERANCE FEE</t>
        </is>
      </c>
      <c r="C2306" s="522" t="inlineStr">
        <is>
          <t>56ប៊ី-លីង សឹបផ្លាយ ឆេន មេនេចម៉ិន ឯ.ក</t>
        </is>
      </c>
      <c r="D2306" s="522" t="inlineStr">
        <is>
          <t>K004-902004795</t>
        </is>
      </c>
      <c r="E2306" s="521" t="inlineStr">
        <is>
          <t>TI2023-0570</t>
        </is>
      </c>
      <c r="F2306" s="523" t="n">
        <v>45054</v>
      </c>
      <c r="G2306" s="556" t="n">
        <v>173124</v>
      </c>
      <c r="I2306" s="521">
        <f>G2306</f>
        <v/>
      </c>
      <c r="K2306" s="521">
        <f>I2306-G2306</f>
        <v/>
      </c>
      <c r="M2306" s="522" t="inlineStr">
        <is>
          <t>TI20230570</t>
        </is>
      </c>
      <c r="N2306" s="522" t="inlineStr">
        <is>
          <t>TI20230570</t>
        </is>
      </c>
      <c r="O2306" s="521">
        <f>M2306=N2306</f>
        <v/>
      </c>
      <c r="P2306" s="521">
        <f>AND(MONTH(F2306)=MONTH(S2306), YEAR(F2306)=YEAR(S2306))</f>
        <v/>
      </c>
      <c r="Q2306" s="521">
        <f>U2306="L001-901905215"</f>
        <v/>
      </c>
      <c r="R2306" s="556">
        <f>G2306-W2306</f>
        <v/>
      </c>
      <c r="S2306" s="523" t="n">
        <v>45054</v>
      </c>
      <c r="T2306" s="522" t="inlineStr">
        <is>
          <t>TI2023-0570</t>
        </is>
      </c>
      <c r="U2306" s="522" t="inlineStr">
        <is>
          <t>L001-901905215</t>
        </is>
      </c>
      <c r="V2306" s="522" t="inlineStr">
        <is>
          <t>វីអ៊ីស៊ិន (ខេមបូឌា) អ៊ិនដាសស្ទ្រី ឯ.ក</t>
        </is>
      </c>
      <c r="W2306" s="556" t="n">
        <v>173124</v>
      </c>
    </row>
    <row r="2307">
      <c r="A2307" s="521" t="n">
        <v>2299</v>
      </c>
      <c r="B2307" s="522" t="inlineStr">
        <is>
          <t>CLERANCE FEE</t>
        </is>
      </c>
      <c r="C2307" s="522" t="inlineStr">
        <is>
          <t>56ប៊ី-លីង សឹបផ្លាយ ឆេន មេនេចម៉ិន ឯ.ក</t>
        </is>
      </c>
      <c r="D2307" s="522" t="inlineStr">
        <is>
          <t>K004-902004795</t>
        </is>
      </c>
      <c r="E2307" s="521" t="inlineStr">
        <is>
          <t>TI2023-0536</t>
        </is>
      </c>
      <c r="F2307" s="523" t="n">
        <v>45049</v>
      </c>
      <c r="G2307" s="556" t="n">
        <v>173040</v>
      </c>
      <c r="I2307" s="521">
        <f>G2307</f>
        <v/>
      </c>
      <c r="K2307" s="521">
        <f>I2307-G2307</f>
        <v/>
      </c>
      <c r="M2307" s="522" t="inlineStr">
        <is>
          <t>TI20230536</t>
        </is>
      </c>
      <c r="N2307" s="522" t="inlineStr">
        <is>
          <t>TI20230536</t>
        </is>
      </c>
      <c r="O2307" s="521">
        <f>M2307=N2307</f>
        <v/>
      </c>
      <c r="P2307" s="521">
        <f>AND(MONTH(F2307)=MONTH(S2307), YEAR(F2307)=YEAR(S2307))</f>
        <v/>
      </c>
      <c r="Q2307" s="521">
        <f>U2307="L001-901905215"</f>
        <v/>
      </c>
      <c r="R2307" s="556">
        <f>G2307-W2307</f>
        <v/>
      </c>
      <c r="S2307" s="523" t="n">
        <v>45049</v>
      </c>
      <c r="T2307" s="522" t="inlineStr">
        <is>
          <t>TI2023-0536</t>
        </is>
      </c>
      <c r="U2307" s="522" t="inlineStr">
        <is>
          <t>L001-901905215</t>
        </is>
      </c>
      <c r="V2307" s="522" t="inlineStr">
        <is>
          <t>វីអ៊ីស៊ិន (ខេមបូឌា) អ៊ិនដាសស្ទ្រី ឯ.ក</t>
        </is>
      </c>
      <c r="W2307" s="556" t="n">
        <v>173040</v>
      </c>
    </row>
    <row r="2308">
      <c r="A2308" s="521" t="n">
        <v>2300</v>
      </c>
      <c r="B2308" s="522" t="inlineStr">
        <is>
          <t>CLEARANCE AND TRUCKING FEE</t>
        </is>
      </c>
      <c r="C2308" s="522" t="inlineStr">
        <is>
          <t>56ប៊ី-លីង សឹបផ្លាយ ឆេន មេនេចម៉ិន ឯ.ក</t>
        </is>
      </c>
      <c r="D2308" s="522" t="inlineStr">
        <is>
          <t>K004-902004795</t>
        </is>
      </c>
      <c r="E2308" s="521" t="inlineStr">
        <is>
          <t>TI2023-0535</t>
        </is>
      </c>
      <c r="F2308" s="523" t="n">
        <v>45049</v>
      </c>
      <c r="G2308" s="556" t="n">
        <v>212180</v>
      </c>
      <c r="I2308" s="521">
        <f>G2308</f>
        <v/>
      </c>
      <c r="K2308" s="521">
        <f>I2308-G2308</f>
        <v/>
      </c>
      <c r="M2308" s="522" t="inlineStr">
        <is>
          <t>TI20230535</t>
        </is>
      </c>
      <c r="N2308" s="522" t="inlineStr">
        <is>
          <t>TI20230535</t>
        </is>
      </c>
      <c r="O2308" s="521">
        <f>M2308=N2308</f>
        <v/>
      </c>
      <c r="P2308" s="521">
        <f>AND(MONTH(F2308)=MONTH(S2308), YEAR(F2308)=YEAR(S2308))</f>
        <v/>
      </c>
      <c r="Q2308" s="521">
        <f>U2308="L001-901905215"</f>
        <v/>
      </c>
      <c r="R2308" s="556">
        <f>G2308-W2308</f>
        <v/>
      </c>
      <c r="S2308" s="523" t="n">
        <v>45049</v>
      </c>
      <c r="T2308" s="522" t="inlineStr">
        <is>
          <t>TI2023-0535</t>
        </is>
      </c>
      <c r="U2308" s="522" t="inlineStr">
        <is>
          <t>L001-901905215</t>
        </is>
      </c>
      <c r="V2308" s="522" t="inlineStr">
        <is>
          <t>វីអ៊ីស៊ិន (ខេមបូឌា) អ៊ិនដាសស្ទ្រី ឯ.ក</t>
        </is>
      </c>
      <c r="W2308" s="556" t="n">
        <v>212180</v>
      </c>
    </row>
    <row r="2309">
      <c r="A2309" s="521" t="n">
        <v>2301</v>
      </c>
      <c r="B2309" s="522" t="inlineStr">
        <is>
          <t>CLERANCE FEE</t>
        </is>
      </c>
      <c r="C2309" s="522" t="inlineStr">
        <is>
          <t>56ប៊ី-លីង សឹបផ្លាយ ឆេន មេនេចម៉ិន ឯ.ក</t>
        </is>
      </c>
      <c r="D2309" s="522" t="inlineStr">
        <is>
          <t>K004-902004795</t>
        </is>
      </c>
      <c r="E2309" s="521" t="inlineStr">
        <is>
          <t>TI2023-0534</t>
        </is>
      </c>
      <c r="F2309" s="523" t="n">
        <v>45049</v>
      </c>
      <c r="G2309" s="556" t="n">
        <v>173040</v>
      </c>
      <c r="I2309" s="521">
        <f>G2309</f>
        <v/>
      </c>
      <c r="K2309" s="521">
        <f>I2309-G2309</f>
        <v/>
      </c>
      <c r="M2309" s="522" t="inlineStr">
        <is>
          <t>TI20230534</t>
        </is>
      </c>
      <c r="N2309" s="522" t="inlineStr">
        <is>
          <t>TI20230534</t>
        </is>
      </c>
      <c r="O2309" s="521">
        <f>M2309=N2309</f>
        <v/>
      </c>
      <c r="P2309" s="521">
        <f>AND(MONTH(F2309)=MONTH(S2309), YEAR(F2309)=YEAR(S2309))</f>
        <v/>
      </c>
      <c r="Q2309" s="521">
        <f>U2309="L001-901905215"</f>
        <v/>
      </c>
      <c r="R2309" s="556">
        <f>G2309-W2309</f>
        <v/>
      </c>
      <c r="S2309" s="523" t="n">
        <v>45049</v>
      </c>
      <c r="T2309" s="522" t="inlineStr">
        <is>
          <t>TI2023-0534</t>
        </is>
      </c>
      <c r="U2309" s="522" t="inlineStr">
        <is>
          <t>L001-901905215</t>
        </is>
      </c>
      <c r="V2309" s="522" t="inlineStr">
        <is>
          <t>វីអ៊ីស៊ិន (ខេមបូឌា) អ៊ិនដាសស្ទ្រី ឯ.ក</t>
        </is>
      </c>
      <c r="W2309" s="556" t="n">
        <v>173040</v>
      </c>
    </row>
    <row r="2310">
      <c r="A2310" s="521" t="n">
        <v>2302</v>
      </c>
      <c r="B2310" s="522" t="inlineStr">
        <is>
          <t>Document Charge</t>
        </is>
      </c>
      <c r="C2310" s="522" t="inlineStr">
        <is>
          <t>ហេកធ័រ ត្រេនស្ព័រថេសិន (ខេមបូឌា) ឯ.ក</t>
        </is>
      </c>
      <c r="D2310" s="522" t="inlineStr">
        <is>
          <t>K002-901900264</t>
        </is>
      </c>
      <c r="E2310" s="521" t="inlineStr">
        <is>
          <t>23000839</t>
        </is>
      </c>
      <c r="F2310" s="523" t="n">
        <v>45055</v>
      </c>
      <c r="G2310" s="556" t="n">
        <v>189888</v>
      </c>
      <c r="I2310" s="521">
        <f>G2310</f>
        <v/>
      </c>
      <c r="K2310" s="521">
        <f>I2310-G2310</f>
        <v/>
      </c>
      <c r="M2310" s="522" t="inlineStr">
        <is>
          <t>23000839</t>
        </is>
      </c>
      <c r="N2310" s="522" t="inlineStr">
        <is>
          <t>23000839</t>
        </is>
      </c>
      <c r="O2310" s="521">
        <f>M2310=N2310</f>
        <v/>
      </c>
      <c r="P2310" s="521">
        <f>AND(MONTH(F2310)=MONTH(S2310), YEAR(F2310)=YEAR(S2310))</f>
        <v/>
      </c>
      <c r="Q2310" s="521">
        <f>U2310="L001-901905215"</f>
        <v/>
      </c>
      <c r="R2310" s="556">
        <f>G2310-W2310</f>
        <v/>
      </c>
      <c r="S2310" s="523" t="n">
        <v>45055</v>
      </c>
      <c r="T2310" s="522" t="inlineStr">
        <is>
          <t>23000839</t>
        </is>
      </c>
      <c r="U2310" s="522" t="inlineStr">
        <is>
          <t>L001-901905215</t>
        </is>
      </c>
      <c r="V2310" s="522" t="inlineStr">
        <is>
          <t>វីអ៊ីស៊ិន (ខេមបូឌា) អ៊ិនដាសស្ទ្រី ឯ.ក</t>
        </is>
      </c>
      <c r="W2310" s="556" t="n">
        <v>189336</v>
      </c>
    </row>
    <row r="2311">
      <c r="A2311" s="521" t="n">
        <v>2303</v>
      </c>
      <c r="B2311" s="522" t="inlineStr">
        <is>
          <t>CLERANCE FEE</t>
        </is>
      </c>
      <c r="C2311" s="522" t="inlineStr">
        <is>
          <t>56ប៊ី-លីង សឹបផ្លាយ ឆេន មេនេចម៉ិន ឯ.ក</t>
        </is>
      </c>
      <c r="D2311" s="522" t="inlineStr">
        <is>
          <t>K004-902004795</t>
        </is>
      </c>
      <c r="E2311" s="521" t="inlineStr">
        <is>
          <t>TI2023-0533</t>
        </is>
      </c>
      <c r="F2311" s="523" t="n">
        <v>45049</v>
      </c>
      <c r="G2311" s="556" t="n">
        <v>173040</v>
      </c>
      <c r="I2311" s="521">
        <f>G2311</f>
        <v/>
      </c>
      <c r="K2311" s="521">
        <f>I2311-G2311</f>
        <v/>
      </c>
      <c r="M2311" s="522" t="inlineStr">
        <is>
          <t>TI20230533</t>
        </is>
      </c>
      <c r="N2311" s="522" t="inlineStr">
        <is>
          <t>TI20230533</t>
        </is>
      </c>
      <c r="O2311" s="521">
        <f>M2311=N2311</f>
        <v/>
      </c>
      <c r="P2311" s="521">
        <f>AND(MONTH(F2311)=MONTH(S2311), YEAR(F2311)=YEAR(S2311))</f>
        <v/>
      </c>
      <c r="Q2311" s="521">
        <f>U2311="L001-901905215"</f>
        <v/>
      </c>
      <c r="R2311" s="556">
        <f>G2311-W2311</f>
        <v/>
      </c>
      <c r="S2311" s="523" t="n">
        <v>45049</v>
      </c>
      <c r="T2311" s="522" t="inlineStr">
        <is>
          <t>TI2023-0533</t>
        </is>
      </c>
      <c r="U2311" s="522" t="inlineStr">
        <is>
          <t>L001-901905215</t>
        </is>
      </c>
      <c r="V2311" s="522" t="inlineStr">
        <is>
          <t>វីអ៊ីស៊ិន (ខេមបូឌា) អ៊ិនដាសស្ទ្រី ឯ.ក</t>
        </is>
      </c>
      <c r="W2311" s="556" t="n">
        <v>173040</v>
      </c>
    </row>
    <row r="2312">
      <c r="A2312" s="521" t="n">
        <v>2304</v>
      </c>
      <c r="B2312" s="522" t="inlineStr">
        <is>
          <t>LIFT OFF</t>
        </is>
      </c>
      <c r="C2312" s="522" t="inlineStr">
        <is>
          <t>កំពង់ផែស្វយ័តភ្នំពេញ "ក.ស.ភ"</t>
        </is>
      </c>
      <c r="D2312" s="522" t="inlineStr">
        <is>
          <t>L001-100044999</t>
        </is>
      </c>
      <c r="E2312" s="521" t="inlineStr">
        <is>
          <t>INV20230522514</t>
        </is>
      </c>
      <c r="F2312" s="523" t="n">
        <v>45049</v>
      </c>
      <c r="G2312" s="556" t="n">
        <v>29664</v>
      </c>
      <c r="I2312" s="521">
        <f>G2312</f>
        <v/>
      </c>
      <c r="K2312" s="521">
        <f>I2312-G2312</f>
        <v/>
      </c>
      <c r="M2312" s="522" t="inlineStr">
        <is>
          <t>INV20230522514</t>
        </is>
      </c>
      <c r="N2312" s="522" t="inlineStr"/>
      <c r="O2312" s="521">
        <f>M2312=N2312</f>
        <v/>
      </c>
      <c r="P2312" s="521">
        <f>AND(MONTH(F2312)=MONTH(S2312), YEAR(F2312)=YEAR(S2312))</f>
        <v/>
      </c>
      <c r="Q2312" s="521">
        <f>U2312="L001-901905215"</f>
        <v/>
      </c>
      <c r="R2312" s="556">
        <f>G2312-W2312</f>
        <v/>
      </c>
      <c r="S2312" s="521" t="n"/>
      <c r="T2312" s="522" t="n"/>
      <c r="U2312" s="522" t="n"/>
      <c r="V2312" s="522" t="n"/>
      <c r="W2312" s="521" t="n"/>
    </row>
    <row r="2313">
      <c r="A2313" s="521" t="n">
        <v>2305</v>
      </c>
      <c r="B2313" s="522" t="inlineStr">
        <is>
          <t>LIFT ON AND LIFT OFF</t>
        </is>
      </c>
      <c r="C2313" s="522" t="inlineStr">
        <is>
          <t>កំពង់ផែស្វយ័តក្រុងព្រះសីហនុ</t>
        </is>
      </c>
      <c r="D2313" s="522" t="inlineStr">
        <is>
          <t>L001-100044638</t>
        </is>
      </c>
      <c r="E2313" s="521" t="inlineStr">
        <is>
          <t>079061</t>
        </is>
      </c>
      <c r="F2313" s="523" t="n">
        <v>45068</v>
      </c>
      <c r="G2313" s="556" t="n">
        <v>23433</v>
      </c>
      <c r="I2313" s="521">
        <f>G2313</f>
        <v/>
      </c>
      <c r="K2313" s="521">
        <f>I2313-G2313</f>
        <v/>
      </c>
      <c r="M2313" s="522" t="inlineStr">
        <is>
          <t>079061</t>
        </is>
      </c>
      <c r="N2313" s="522" t="inlineStr"/>
      <c r="O2313" s="521">
        <f>M2313=N2313</f>
        <v/>
      </c>
      <c r="P2313" s="521">
        <f>AND(MONTH(F2313)=MONTH(S2313), YEAR(F2313)=YEAR(S2313))</f>
        <v/>
      </c>
      <c r="Q2313" s="521">
        <f>U2313="L001-901905215"</f>
        <v/>
      </c>
      <c r="R2313" s="556">
        <f>G2313-W2313</f>
        <v/>
      </c>
      <c r="S2313" s="521" t="n"/>
      <c r="T2313" s="522" t="n"/>
      <c r="U2313" s="522" t="n"/>
      <c r="V2313" s="522" t="n"/>
      <c r="W2313" s="521" t="n"/>
    </row>
    <row r="2314">
      <c r="A2314" s="521" t="n">
        <v>2306</v>
      </c>
      <c r="B2314" s="522" t="inlineStr">
        <is>
          <t>Document Charge</t>
        </is>
      </c>
      <c r="C2314" s="522" t="inlineStr">
        <is>
          <t>អេសអាយធីស៊ី ខិនថេនើរ ឡាញ (ខេមបូឌា)</t>
        </is>
      </c>
      <c r="D2314" s="522" t="inlineStr">
        <is>
          <t>L001-107035863</t>
        </is>
      </c>
      <c r="E2314" s="521" t="inlineStr">
        <is>
          <t>SITC2023-011550</t>
        </is>
      </c>
      <c r="F2314" s="523" t="n">
        <v>45063</v>
      </c>
      <c r="G2314" s="556" t="n">
        <v>141864</v>
      </c>
      <c r="I2314" s="521">
        <f>G2314</f>
        <v/>
      </c>
      <c r="K2314" s="521">
        <f>I2314-G2314</f>
        <v/>
      </c>
      <c r="M2314" s="522" t="inlineStr">
        <is>
          <t>SITC2023011550</t>
        </is>
      </c>
      <c r="N2314" s="522" t="inlineStr">
        <is>
          <t>SITC2023011550</t>
        </is>
      </c>
      <c r="O2314" s="521">
        <f>M2314=N2314</f>
        <v/>
      </c>
      <c r="P2314" s="521">
        <f>AND(MONTH(F2314)=MONTH(S2314), YEAR(F2314)=YEAR(S2314))</f>
        <v/>
      </c>
      <c r="Q2314" s="521">
        <f>U2314="L001-901905215"</f>
        <v/>
      </c>
      <c r="R2314" s="556">
        <f>G2314-W2314</f>
        <v/>
      </c>
      <c r="S2314" s="523" t="n">
        <v>45063</v>
      </c>
      <c r="T2314" s="522" t="inlineStr">
        <is>
          <t>SITC2023-011550</t>
        </is>
      </c>
      <c r="U2314" s="522" t="inlineStr">
        <is>
          <t>L001-901905215</t>
        </is>
      </c>
      <c r="V2314" s="522" t="inlineStr">
        <is>
          <t>វីអ៊ីស៊ិន (ខេមបូឌា) អ៊ិនដាសស្ទ្រី ឯ.ក</t>
        </is>
      </c>
      <c r="W2314" s="556" t="n">
        <v>141864</v>
      </c>
    </row>
    <row r="2315">
      <c r="A2315" s="521" t="n">
        <v>2307</v>
      </c>
      <c r="B2315" s="522" t="inlineStr">
        <is>
          <t>Export Charge</t>
        </is>
      </c>
      <c r="C2315" s="522" t="inlineStr">
        <is>
          <t>ឆាយ ដា ឡូយីស្ទីក</t>
        </is>
      </c>
      <c r="D2315" s="522" t="inlineStr">
        <is>
          <t>L001-100063098</t>
        </is>
      </c>
      <c r="E2315" s="521" t="inlineStr">
        <is>
          <t>2305004459</t>
        </is>
      </c>
      <c r="F2315" s="523" t="n">
        <v>45048</v>
      </c>
      <c r="G2315" s="556" t="n">
        <v>90206</v>
      </c>
      <c r="I2315" s="521">
        <f>G2315</f>
        <v/>
      </c>
      <c r="K2315" s="521">
        <f>I2315-G2315</f>
        <v/>
      </c>
      <c r="M2315" s="522" t="inlineStr">
        <is>
          <t>2305004459</t>
        </is>
      </c>
      <c r="N2315" s="522" t="inlineStr">
        <is>
          <t>2305004459</t>
        </is>
      </c>
      <c r="O2315" s="521">
        <f>M2315=N2315</f>
        <v/>
      </c>
      <c r="P2315" s="521">
        <f>AND(MONTH(F2315)=MONTH(S2315), YEAR(F2315)=YEAR(S2315))</f>
        <v/>
      </c>
      <c r="Q2315" s="521">
        <f>U2315="L001-901905215"</f>
        <v/>
      </c>
      <c r="R2315" s="556">
        <f>G2315-W2315</f>
        <v/>
      </c>
      <c r="S2315" s="523" t="n">
        <v>45048</v>
      </c>
      <c r="T2315" s="522" t="inlineStr">
        <is>
          <t>2305004459</t>
        </is>
      </c>
      <c r="U2315" s="522" t="inlineStr">
        <is>
          <t>L001-901905215</t>
        </is>
      </c>
      <c r="V2315" s="522" t="inlineStr">
        <is>
          <t>វីអ៊ីស៊ិន (ខេមបូឌា) អ៊ិនដាសស្ទ្រី ឯ.ក</t>
        </is>
      </c>
      <c r="W2315" s="556" t="n">
        <v>90206</v>
      </c>
    </row>
    <row r="2316">
      <c r="A2316" s="521" t="n">
        <v>2308</v>
      </c>
      <c r="B2316" s="522" t="inlineStr">
        <is>
          <t>CLERANCE FEE</t>
        </is>
      </c>
      <c r="C2316" s="522" t="inlineStr">
        <is>
          <t>56ប៊ី-លីង សឹបផ្លាយ ឆេន មេនេចម៉ិន ឯ.ក</t>
        </is>
      </c>
      <c r="D2316" s="522" t="inlineStr">
        <is>
          <t>K004-902004795</t>
        </is>
      </c>
      <c r="E2316" s="521" t="inlineStr">
        <is>
          <t>TI2023-0574</t>
        </is>
      </c>
      <c r="F2316" s="523" t="n">
        <v>45054</v>
      </c>
      <c r="G2316" s="556" t="n">
        <v>173124</v>
      </c>
      <c r="I2316" s="521">
        <f>G2316</f>
        <v/>
      </c>
      <c r="K2316" s="521">
        <f>I2316-G2316</f>
        <v/>
      </c>
      <c r="M2316" s="522" t="inlineStr">
        <is>
          <t>TI20230574</t>
        </is>
      </c>
      <c r="N2316" s="522" t="inlineStr">
        <is>
          <t>TI20230574</t>
        </is>
      </c>
      <c r="O2316" s="521">
        <f>M2316=N2316</f>
        <v/>
      </c>
      <c r="P2316" s="521">
        <f>AND(MONTH(F2316)=MONTH(S2316), YEAR(F2316)=YEAR(S2316))</f>
        <v/>
      </c>
      <c r="Q2316" s="521">
        <f>U2316="L001-901905215"</f>
        <v/>
      </c>
      <c r="R2316" s="556">
        <f>G2316-W2316</f>
        <v/>
      </c>
      <c r="S2316" s="523" t="n">
        <v>45054</v>
      </c>
      <c r="T2316" s="522" t="inlineStr">
        <is>
          <t>TI2023-0574</t>
        </is>
      </c>
      <c r="U2316" s="522" t="inlineStr">
        <is>
          <t>L001-901905215</t>
        </is>
      </c>
      <c r="V2316" s="522" t="inlineStr">
        <is>
          <t>វីអ៊ីស៊ិន (ខេមបូឌា) អ៊ិនដាសស្ទ្រី ឯ.ក</t>
        </is>
      </c>
      <c r="W2316" s="556" t="n">
        <v>173124</v>
      </c>
    </row>
    <row r="2317">
      <c r="A2317" s="521" t="n">
        <v>2309</v>
      </c>
      <c r="B2317" s="522" t="inlineStr">
        <is>
          <t>HANDLING AND TRUCKING FEE</t>
        </is>
      </c>
      <c r="C2317" s="522" t="inlineStr">
        <is>
          <t>អ៊ិចស្ពែឌីធ័រ ខេមបូឌា អិលធីឌី</t>
        </is>
      </c>
      <c r="D2317" s="522" t="inlineStr">
        <is>
          <t>L001-100045898</t>
        </is>
      </c>
      <c r="E2317" s="521" t="inlineStr">
        <is>
          <t>TI-0249622</t>
        </is>
      </c>
      <c r="F2317" s="523" t="n">
        <v>45075</v>
      </c>
      <c r="G2317" s="556" t="n">
        <v>76633</v>
      </c>
      <c r="I2317" s="521">
        <f>G2317</f>
        <v/>
      </c>
      <c r="K2317" s="521">
        <f>I2317-G2317</f>
        <v/>
      </c>
      <c r="M2317" s="522" t="inlineStr">
        <is>
          <t>TI0249622</t>
        </is>
      </c>
      <c r="N2317" s="522" t="inlineStr">
        <is>
          <t>TI0249622</t>
        </is>
      </c>
      <c r="O2317" s="521">
        <f>M2317=N2317</f>
        <v/>
      </c>
      <c r="P2317" s="521">
        <f>AND(MONTH(F2317)=MONTH(S2317), YEAR(F2317)=YEAR(S2317))</f>
        <v/>
      </c>
      <c r="Q2317" s="521">
        <f>U2317="L001-901905215"</f>
        <v/>
      </c>
      <c r="R2317" s="556">
        <f>G2317-W2317</f>
        <v/>
      </c>
      <c r="S2317" s="523" t="n">
        <v>45075</v>
      </c>
      <c r="T2317" s="522" t="inlineStr">
        <is>
          <t>TI-0249622</t>
        </is>
      </c>
      <c r="U2317" s="522" t="inlineStr">
        <is>
          <t>L001-901905215</t>
        </is>
      </c>
      <c r="V2317" s="522" t="inlineStr">
        <is>
          <t>វីអ៊ីស៊ិន (ខេមបូឌា) អ៊ិនដាសស្ទ្រី ឯ.ក</t>
        </is>
      </c>
      <c r="W2317" s="556" t="n">
        <v>76625</v>
      </c>
    </row>
    <row r="2318">
      <c r="A2318" s="521" t="n">
        <v>2310</v>
      </c>
      <c r="B2318" s="522" t="inlineStr">
        <is>
          <t>CLERANCE FEE</t>
        </is>
      </c>
      <c r="C2318" s="522" t="inlineStr">
        <is>
          <t>56ប៊ី-លីង សឹបផ្លាយ ឆេន មេនេចម៉ិន ឯ.ក</t>
        </is>
      </c>
      <c r="D2318" s="522" t="inlineStr">
        <is>
          <t>K004-902004795</t>
        </is>
      </c>
      <c r="E2318" s="521" t="inlineStr">
        <is>
          <t>TI2023-0573</t>
        </is>
      </c>
      <c r="F2318" s="523" t="n">
        <v>45054</v>
      </c>
      <c r="G2318" s="556" t="n">
        <v>173124</v>
      </c>
      <c r="I2318" s="521">
        <f>G2318</f>
        <v/>
      </c>
      <c r="K2318" s="521">
        <f>I2318-G2318</f>
        <v/>
      </c>
      <c r="M2318" s="522" t="inlineStr">
        <is>
          <t>TI20230573</t>
        </is>
      </c>
      <c r="N2318" s="522" t="inlineStr">
        <is>
          <t>TI20230573</t>
        </is>
      </c>
      <c r="O2318" s="521">
        <f>M2318=N2318</f>
        <v/>
      </c>
      <c r="P2318" s="521">
        <f>AND(MONTH(F2318)=MONTH(S2318), YEAR(F2318)=YEAR(S2318))</f>
        <v/>
      </c>
      <c r="Q2318" s="521">
        <f>U2318="L001-901905215"</f>
        <v/>
      </c>
      <c r="R2318" s="556">
        <f>G2318-W2318</f>
        <v/>
      </c>
      <c r="S2318" s="523" t="n">
        <v>45054</v>
      </c>
      <c r="T2318" s="522" t="inlineStr">
        <is>
          <t>TI2023-0573</t>
        </is>
      </c>
      <c r="U2318" s="522" t="inlineStr">
        <is>
          <t>L001-901905215</t>
        </is>
      </c>
      <c r="V2318" s="522" t="inlineStr">
        <is>
          <t>វីអ៊ីស៊ិន (ខេមបូឌា) អ៊ិនដាសស្ទ្រី ឯ.ក</t>
        </is>
      </c>
      <c r="W2318" s="556" t="n">
        <v>173124</v>
      </c>
    </row>
    <row r="2319">
      <c r="A2319" s="521" t="n">
        <v>2311</v>
      </c>
      <c r="B2319" s="522" t="inlineStr">
        <is>
          <t>HANDLING AND TRUCKING FEE</t>
        </is>
      </c>
      <c r="C2319" s="522" t="inlineStr">
        <is>
          <t>អ៊ិចស្ពែឌីធ័រ ខេមបូឌា អិលធីឌី</t>
        </is>
      </c>
      <c r="D2319" s="522" t="inlineStr">
        <is>
          <t>L001-100045898</t>
        </is>
      </c>
      <c r="E2319" s="521" t="inlineStr">
        <is>
          <t>TI-0249631</t>
        </is>
      </c>
      <c r="F2319" s="523" t="n">
        <v>45075</v>
      </c>
      <c r="G2319" s="556" t="n">
        <v>57627</v>
      </c>
      <c r="I2319" s="521">
        <f>G2319</f>
        <v/>
      </c>
      <c r="K2319" s="521">
        <f>I2319-G2319</f>
        <v/>
      </c>
      <c r="M2319" s="522" t="inlineStr">
        <is>
          <t>TI0249631</t>
        </is>
      </c>
      <c r="N2319" s="522" t="inlineStr">
        <is>
          <t>TI0249631</t>
        </is>
      </c>
      <c r="O2319" s="521">
        <f>M2319=N2319</f>
        <v/>
      </c>
      <c r="P2319" s="521">
        <f>AND(MONTH(F2319)=MONTH(S2319), YEAR(F2319)=YEAR(S2319))</f>
        <v/>
      </c>
      <c r="Q2319" s="521">
        <f>U2319="L001-901905215"</f>
        <v/>
      </c>
      <c r="R2319" s="556">
        <f>G2319-W2319</f>
        <v/>
      </c>
      <c r="S2319" s="523" t="n">
        <v>45075</v>
      </c>
      <c r="T2319" s="522" t="inlineStr">
        <is>
          <t>TI-0249631</t>
        </is>
      </c>
      <c r="U2319" s="522" t="inlineStr">
        <is>
          <t>L001-901905215</t>
        </is>
      </c>
      <c r="V2319" s="522" t="inlineStr">
        <is>
          <t>វីអ៊ីស៊ិន (ខេមបូឌា) អ៊ិនដាសស្ទ្រី ឯ.ក</t>
        </is>
      </c>
      <c r="W2319" s="556" t="n">
        <v>57623</v>
      </c>
    </row>
    <row r="2320">
      <c r="A2320" s="521" t="n">
        <v>2312</v>
      </c>
      <c r="B2320" s="522" t="inlineStr">
        <is>
          <t>Export Charge</t>
        </is>
      </c>
      <c r="C2320" s="522" t="inlineStr">
        <is>
          <t>ឆាយ ដា ឡូយីស្ទីក</t>
        </is>
      </c>
      <c r="D2320" s="522" t="inlineStr">
        <is>
          <t>L001-100063098</t>
        </is>
      </c>
      <c r="E2320" s="521" t="inlineStr">
        <is>
          <t>2305004457</t>
        </is>
      </c>
      <c r="F2320" s="523" t="n">
        <v>45048</v>
      </c>
      <c r="G2320" s="556" t="n">
        <v>90206</v>
      </c>
      <c r="I2320" s="521">
        <f>G2320</f>
        <v/>
      </c>
      <c r="K2320" s="521">
        <f>I2320-G2320</f>
        <v/>
      </c>
      <c r="M2320" s="522" t="inlineStr">
        <is>
          <t>2305004457</t>
        </is>
      </c>
      <c r="N2320" s="522" t="inlineStr">
        <is>
          <t>2305004457</t>
        </is>
      </c>
      <c r="O2320" s="521">
        <f>M2320=N2320</f>
        <v/>
      </c>
      <c r="P2320" s="521">
        <f>AND(MONTH(F2320)=MONTH(S2320), YEAR(F2320)=YEAR(S2320))</f>
        <v/>
      </c>
      <c r="Q2320" s="521">
        <f>U2320="L001-901905215"</f>
        <v/>
      </c>
      <c r="R2320" s="556">
        <f>G2320-W2320</f>
        <v/>
      </c>
      <c r="S2320" s="523" t="n">
        <v>45048</v>
      </c>
      <c r="T2320" s="522" t="inlineStr">
        <is>
          <t>2305004457</t>
        </is>
      </c>
      <c r="U2320" s="522" t="inlineStr">
        <is>
          <t>L001-901905215</t>
        </is>
      </c>
      <c r="V2320" s="522" t="inlineStr">
        <is>
          <t>វីអ៊ីស៊ិន (ខេមបូឌា) អ៊ិនដាសស្ទ្រី ឯ.ក</t>
        </is>
      </c>
      <c r="W2320" s="556" t="n">
        <v>90206</v>
      </c>
    </row>
    <row r="2321">
      <c r="A2321" s="521" t="n">
        <v>2313</v>
      </c>
      <c r="B2321" s="522" t="inlineStr">
        <is>
          <t>CLERANCE FEE</t>
        </is>
      </c>
      <c r="C2321" s="522" t="inlineStr">
        <is>
          <t>56ប៊ី-លីង សឹបផ្លាយ ឆេន មេនេចម៉ិន ឯ.ក</t>
        </is>
      </c>
      <c r="D2321" s="522" t="inlineStr">
        <is>
          <t>K004-902004795</t>
        </is>
      </c>
      <c r="E2321" s="521" t="inlineStr">
        <is>
          <t>TI2023-0572</t>
        </is>
      </c>
      <c r="F2321" s="523" t="n">
        <v>45054</v>
      </c>
      <c r="G2321" s="556" t="n">
        <v>173124</v>
      </c>
      <c r="I2321" s="521">
        <f>G2321</f>
        <v/>
      </c>
      <c r="K2321" s="521">
        <f>I2321-G2321</f>
        <v/>
      </c>
      <c r="M2321" s="522" t="inlineStr">
        <is>
          <t>TI20230572</t>
        </is>
      </c>
      <c r="N2321" s="522" t="inlineStr">
        <is>
          <t>TI20230572</t>
        </is>
      </c>
      <c r="O2321" s="521">
        <f>M2321=N2321</f>
        <v/>
      </c>
      <c r="P2321" s="521">
        <f>AND(MONTH(F2321)=MONTH(S2321), YEAR(F2321)=YEAR(S2321))</f>
        <v/>
      </c>
      <c r="Q2321" s="521">
        <f>U2321="L001-901905215"</f>
        <v/>
      </c>
      <c r="R2321" s="556">
        <f>G2321-W2321</f>
        <v/>
      </c>
      <c r="S2321" s="523" t="n">
        <v>45054</v>
      </c>
      <c r="T2321" s="522" t="inlineStr">
        <is>
          <t>TI2023-0572</t>
        </is>
      </c>
      <c r="U2321" s="522" t="inlineStr">
        <is>
          <t>L001-901905215</t>
        </is>
      </c>
      <c r="V2321" s="522" t="inlineStr">
        <is>
          <t>វីអ៊ីស៊ិន (ខេមបូឌា) អ៊ិនដាសស្ទ្រី ឯ.ក</t>
        </is>
      </c>
      <c r="W2321" s="556" t="n">
        <v>173124</v>
      </c>
    </row>
    <row r="2322">
      <c r="A2322" s="521" t="n">
        <v>2314</v>
      </c>
      <c r="B2322" s="522" t="inlineStr">
        <is>
          <t>HANDLING AND TRUCKING FEE</t>
        </is>
      </c>
      <c r="C2322" s="522" t="inlineStr">
        <is>
          <t>អ៊ិចស្ពែឌីធ័រ ខេមបូឌា អិលធីឌី</t>
        </is>
      </c>
      <c r="D2322" s="522" t="inlineStr">
        <is>
          <t>L001-100045898</t>
        </is>
      </c>
      <c r="E2322" s="521" t="inlineStr">
        <is>
          <t>TI-0249653</t>
        </is>
      </c>
      <c r="F2322" s="523" t="n">
        <v>45075</v>
      </c>
      <c r="G2322" s="556" t="n">
        <v>191546</v>
      </c>
      <c r="I2322" s="521">
        <f>G2322</f>
        <v/>
      </c>
      <c r="K2322" s="521">
        <f>I2322-G2322</f>
        <v/>
      </c>
      <c r="M2322" s="522" t="inlineStr">
        <is>
          <t>TI0249653</t>
        </is>
      </c>
      <c r="N2322" s="522" t="inlineStr">
        <is>
          <t>TI0249653</t>
        </is>
      </c>
      <c r="O2322" s="521">
        <f>M2322=N2322</f>
        <v/>
      </c>
      <c r="P2322" s="521">
        <f>AND(MONTH(F2322)=MONTH(S2322), YEAR(F2322)=YEAR(S2322))</f>
        <v/>
      </c>
      <c r="Q2322" s="521">
        <f>U2322="L001-901905215"</f>
        <v/>
      </c>
      <c r="R2322" s="556">
        <f>G2322-W2322</f>
        <v/>
      </c>
      <c r="S2322" s="523" t="n">
        <v>45075</v>
      </c>
      <c r="T2322" s="522" t="inlineStr">
        <is>
          <t>TI-0249653</t>
        </is>
      </c>
      <c r="U2322" s="522" t="inlineStr">
        <is>
          <t>L001-901905215</t>
        </is>
      </c>
      <c r="V2322" s="522" t="inlineStr">
        <is>
          <t>វីអ៊ីស៊ិន (ខេមបូឌា) អ៊ិនដាសស្ទ្រី ឯ.ក</t>
        </is>
      </c>
      <c r="W2322" s="556" t="n">
        <v>191542</v>
      </c>
    </row>
    <row r="2323">
      <c r="A2323" s="521" t="n">
        <v>2315</v>
      </c>
      <c r="B2323" s="522" t="inlineStr">
        <is>
          <t>Export Charge</t>
        </is>
      </c>
      <c r="C2323" s="522" t="inlineStr">
        <is>
          <t>ឆាយ ដា ឡូយីស្ទីក</t>
        </is>
      </c>
      <c r="D2323" s="522" t="inlineStr">
        <is>
          <t>L001-100063098</t>
        </is>
      </c>
      <c r="E2323" s="521" t="inlineStr">
        <is>
          <t>2305004455</t>
        </is>
      </c>
      <c r="F2323" s="523" t="n">
        <v>45048</v>
      </c>
      <c r="G2323" s="556" t="n">
        <v>77849</v>
      </c>
      <c r="I2323" s="521">
        <f>G2323</f>
        <v/>
      </c>
      <c r="K2323" s="521">
        <f>I2323-G2323</f>
        <v/>
      </c>
      <c r="M2323" s="522" t="inlineStr">
        <is>
          <t>2305004455</t>
        </is>
      </c>
      <c r="N2323" s="522" t="inlineStr">
        <is>
          <t>2305004455</t>
        </is>
      </c>
      <c r="O2323" s="521">
        <f>M2323=N2323</f>
        <v/>
      </c>
      <c r="P2323" s="521">
        <f>AND(MONTH(F2323)=MONTH(S2323), YEAR(F2323)=YEAR(S2323))</f>
        <v/>
      </c>
      <c r="Q2323" s="521">
        <f>U2323="L001-901905215"</f>
        <v/>
      </c>
      <c r="R2323" s="556">
        <f>G2323-W2323</f>
        <v/>
      </c>
      <c r="S2323" s="523" t="n">
        <v>45048</v>
      </c>
      <c r="T2323" s="522" t="inlineStr">
        <is>
          <t>2305004455</t>
        </is>
      </c>
      <c r="U2323" s="522" t="inlineStr">
        <is>
          <t>L001-901905215</t>
        </is>
      </c>
      <c r="V2323" s="522" t="inlineStr">
        <is>
          <t>វីអ៊ីស៊ិន (ខេមបូឌា) អ៊ិនដាសស្ទ្រី ឯ.ក</t>
        </is>
      </c>
      <c r="W2323" s="556" t="n">
        <v>77849</v>
      </c>
    </row>
    <row r="2324">
      <c r="A2324" s="521" t="n">
        <v>2316</v>
      </c>
      <c r="B2324" s="522" t="inlineStr">
        <is>
          <t>CLERANCE FEE</t>
        </is>
      </c>
      <c r="C2324" s="522" t="inlineStr">
        <is>
          <t>56ប៊ី-លីង សឹបផ្លាយ ឆេន មេនេចម៉ិន ឯ.ក</t>
        </is>
      </c>
      <c r="D2324" s="522" t="inlineStr">
        <is>
          <t>K004-902004795</t>
        </is>
      </c>
      <c r="E2324" s="521" t="inlineStr">
        <is>
          <t>TI2023-0571</t>
        </is>
      </c>
      <c r="F2324" s="523" t="n">
        <v>45054</v>
      </c>
      <c r="G2324" s="556" t="n">
        <v>173124</v>
      </c>
      <c r="I2324" s="521">
        <f>G2324</f>
        <v/>
      </c>
      <c r="K2324" s="521">
        <f>I2324-G2324</f>
        <v/>
      </c>
      <c r="M2324" s="522" t="inlineStr">
        <is>
          <t>TI20230571</t>
        </is>
      </c>
      <c r="N2324" s="522" t="inlineStr">
        <is>
          <t>TI20230571</t>
        </is>
      </c>
      <c r="O2324" s="521">
        <f>M2324=N2324</f>
        <v/>
      </c>
      <c r="P2324" s="521">
        <f>AND(MONTH(F2324)=MONTH(S2324), YEAR(F2324)=YEAR(S2324))</f>
        <v/>
      </c>
      <c r="Q2324" s="521">
        <f>U2324="L001-901905215"</f>
        <v/>
      </c>
      <c r="R2324" s="556">
        <f>G2324-W2324</f>
        <v/>
      </c>
      <c r="S2324" s="523" t="n">
        <v>45047</v>
      </c>
      <c r="T2324" s="522" t="inlineStr">
        <is>
          <t>TI2023-0571</t>
        </is>
      </c>
      <c r="U2324" s="522" t="inlineStr">
        <is>
          <t>L001-901905215</t>
        </is>
      </c>
      <c r="V2324" s="522" t="inlineStr">
        <is>
          <t>វីអ៊ីស៊ិន (ខេមបូឌា) អ៊ិនដាសស្ទ្រី ឯ.ក</t>
        </is>
      </c>
      <c r="W2324" s="556" t="n">
        <v>173124</v>
      </c>
    </row>
    <row r="2325">
      <c r="A2325" s="521" t="n">
        <v>2317</v>
      </c>
      <c r="B2325" s="522" t="inlineStr">
        <is>
          <t>Service Fee</t>
        </is>
      </c>
      <c r="C2325" s="522" t="inlineStr">
        <is>
          <t>ប្យួរ៉ូ វេរីតាស (ខេមបូឌា) លីមីធីត</t>
        </is>
      </c>
      <c r="D2325" s="522" t="inlineStr">
        <is>
          <t>L001-107024462</t>
        </is>
      </c>
      <c r="E2325" s="521" t="inlineStr">
        <is>
          <t>59014856</t>
        </is>
      </c>
      <c r="F2325" s="523" t="n">
        <v>45064</v>
      </c>
      <c r="G2325" s="556" t="n">
        <v>111340</v>
      </c>
      <c r="I2325" s="521">
        <f>G2325</f>
        <v/>
      </c>
      <c r="K2325" s="521">
        <f>I2325-G2325</f>
        <v/>
      </c>
      <c r="M2325" s="522" t="inlineStr">
        <is>
          <t>59014856</t>
        </is>
      </c>
      <c r="N2325" s="522" t="inlineStr">
        <is>
          <t>59014856</t>
        </is>
      </c>
      <c r="O2325" s="521">
        <f>M2325=N2325</f>
        <v/>
      </c>
      <c r="P2325" s="521">
        <f>AND(MONTH(F2325)=MONTH(S2325), YEAR(F2325)=YEAR(S2325))</f>
        <v/>
      </c>
      <c r="Q2325" s="521">
        <f>U2325="L001-901905215"</f>
        <v/>
      </c>
      <c r="R2325" s="556">
        <f>G2325-W2325</f>
        <v/>
      </c>
      <c r="S2325" s="523" t="n">
        <v>45064</v>
      </c>
      <c r="T2325" s="522" t="inlineStr">
        <is>
          <t>59014856</t>
        </is>
      </c>
      <c r="U2325" s="522" t="inlineStr">
        <is>
          <t>L001-901905215</t>
        </is>
      </c>
      <c r="V2325" s="522" t="inlineStr">
        <is>
          <t>វីអ៊ីស៊ិន (ខេមបូឌា) អ៊ិនដាសស្ទ្រី ឯ.ក</t>
        </is>
      </c>
      <c r="W2325" s="556" t="n">
        <v>111340</v>
      </c>
    </row>
    <row r="2326">
      <c r="A2326" s="521" t="n">
        <v>2318</v>
      </c>
      <c r="B2326" s="522" t="inlineStr">
        <is>
          <t>Service Fee</t>
        </is>
      </c>
      <c r="C2326" s="522" t="inlineStr">
        <is>
          <t>ប្យួរ៉ូ វេរីតាស (ខេមបូឌា) លីមីធីត</t>
        </is>
      </c>
      <c r="D2326" s="522" t="inlineStr">
        <is>
          <t>L001-107024462</t>
        </is>
      </c>
      <c r="E2326" s="521" t="inlineStr">
        <is>
          <t>59014912</t>
        </is>
      </c>
      <c r="F2326" s="523" t="n">
        <v>45071</v>
      </c>
      <c r="G2326" s="556" t="n">
        <v>55672</v>
      </c>
      <c r="I2326" s="521">
        <f>G2326</f>
        <v/>
      </c>
      <c r="K2326" s="521">
        <f>I2326-G2326</f>
        <v/>
      </c>
      <c r="M2326" s="522" t="inlineStr">
        <is>
          <t>59014912</t>
        </is>
      </c>
      <c r="N2326" s="522" t="inlineStr">
        <is>
          <t>59014912</t>
        </is>
      </c>
      <c r="O2326" s="521">
        <f>M2326=N2326</f>
        <v/>
      </c>
      <c r="P2326" s="521">
        <f>AND(MONTH(F2326)=MONTH(S2326), YEAR(F2326)=YEAR(S2326))</f>
        <v/>
      </c>
      <c r="Q2326" s="521">
        <f>U2326="L001-901905215"</f>
        <v/>
      </c>
      <c r="R2326" s="556">
        <f>G2326-W2326</f>
        <v/>
      </c>
      <c r="S2326" s="523" t="n">
        <v>45071</v>
      </c>
      <c r="T2326" s="522" t="inlineStr">
        <is>
          <t>59014912</t>
        </is>
      </c>
      <c r="U2326" s="522" t="inlineStr">
        <is>
          <t>L001-901905215</t>
        </is>
      </c>
      <c r="V2326" s="522" t="inlineStr">
        <is>
          <t>វីអ៊ីស៊ិន (ខេមបូឌា) អ៊ិនដាសស្ទ្រី ឯ.ក</t>
        </is>
      </c>
      <c r="W2326" s="556" t="n">
        <v>55672</v>
      </c>
    </row>
    <row r="2327">
      <c r="A2327" s="521" t="n">
        <v>2319</v>
      </c>
      <c r="B2327" s="522" t="inlineStr">
        <is>
          <t>Service Fee</t>
        </is>
      </c>
      <c r="C2327" s="522" t="inlineStr">
        <is>
          <t>ប្យួរ៉ូ វេរីតាស (ខេមបូឌា) លីមីធីត</t>
        </is>
      </c>
      <c r="D2327" s="522" t="inlineStr">
        <is>
          <t>L001-107024462</t>
        </is>
      </c>
      <c r="E2327" s="521" t="inlineStr">
        <is>
          <t>59014776</t>
        </is>
      </c>
      <c r="F2327" s="523" t="n">
        <v>45055</v>
      </c>
      <c r="G2327" s="556" t="n">
        <v>55916</v>
      </c>
      <c r="I2327" s="521">
        <f>G2327</f>
        <v/>
      </c>
      <c r="K2327" s="521">
        <f>I2327-G2327</f>
        <v/>
      </c>
      <c r="M2327" s="522" t="inlineStr">
        <is>
          <t>59014776</t>
        </is>
      </c>
      <c r="N2327" s="522" t="inlineStr">
        <is>
          <t>59014776</t>
        </is>
      </c>
      <c r="O2327" s="521">
        <f>M2327=N2327</f>
        <v/>
      </c>
      <c r="P2327" s="521">
        <f>AND(MONTH(F2327)=MONTH(S2327), YEAR(F2327)=YEAR(S2327))</f>
        <v/>
      </c>
      <c r="Q2327" s="521">
        <f>U2327="L001-901905215"</f>
        <v/>
      </c>
      <c r="R2327" s="556">
        <f>G2327-W2327</f>
        <v/>
      </c>
      <c r="S2327" s="523" t="n">
        <v>45055</v>
      </c>
      <c r="T2327" s="522" t="inlineStr">
        <is>
          <t>59014776</t>
        </is>
      </c>
      <c r="U2327" s="522" t="inlineStr">
        <is>
          <t>L001-901905215</t>
        </is>
      </c>
      <c r="V2327" s="522" t="inlineStr">
        <is>
          <t>វីអ៊ីស៊ិន (ខេមបូឌា) អ៊ិនដាសស្ទ្រី ឯ.ក</t>
        </is>
      </c>
      <c r="W2327" s="556" t="n">
        <v>55916</v>
      </c>
    </row>
    <row r="2328">
      <c r="A2328" s="521" t="n">
        <v>2320</v>
      </c>
      <c r="B2328" s="522" t="inlineStr">
        <is>
          <t>Service Fee</t>
        </is>
      </c>
      <c r="C2328" s="522" t="inlineStr">
        <is>
          <t>ប្យួរ៉ូ វេរីតាស (ខេមបូឌា) លីមីធីត</t>
        </is>
      </c>
      <c r="D2328" s="522" t="inlineStr">
        <is>
          <t>L001-107024462</t>
        </is>
      </c>
      <c r="E2328" s="521" t="inlineStr">
        <is>
          <t>59014973</t>
        </is>
      </c>
      <c r="F2328" s="523" t="n">
        <v>45077</v>
      </c>
      <c r="G2328" s="556" t="n">
        <v>474163</v>
      </c>
      <c r="I2328" s="521">
        <f>G2328</f>
        <v/>
      </c>
      <c r="K2328" s="521">
        <f>I2328-G2328</f>
        <v/>
      </c>
      <c r="M2328" s="522" t="inlineStr">
        <is>
          <t>59014973</t>
        </is>
      </c>
      <c r="N2328" s="522" t="inlineStr">
        <is>
          <t>59014973</t>
        </is>
      </c>
      <c r="O2328" s="521">
        <f>M2328=N2328</f>
        <v/>
      </c>
      <c r="P2328" s="521">
        <f>AND(MONTH(F2328)=MONTH(S2328), YEAR(F2328)=YEAR(S2328))</f>
        <v/>
      </c>
      <c r="Q2328" s="521">
        <f>U2328="L001-901905215"</f>
        <v/>
      </c>
      <c r="R2328" s="556">
        <f>G2328-W2328</f>
        <v/>
      </c>
      <c r="S2328" s="523" t="n">
        <v>45077</v>
      </c>
      <c r="T2328" s="522" t="inlineStr">
        <is>
          <t>59014973</t>
        </is>
      </c>
      <c r="U2328" s="522" t="inlineStr">
        <is>
          <t>L001-901905215</t>
        </is>
      </c>
      <c r="V2328" s="522" t="inlineStr">
        <is>
          <t>វីអ៊ីស៊ិន (ខេមបូឌា) អ៊ិនដាសស្ទ្រី ឯ.ក</t>
        </is>
      </c>
      <c r="W2328" s="556" t="n">
        <v>474163</v>
      </c>
    </row>
    <row r="2329">
      <c r="A2329" s="521" t="n">
        <v>2321</v>
      </c>
      <c r="B2329" s="522" t="inlineStr">
        <is>
          <t>Service Fee</t>
        </is>
      </c>
      <c r="C2329" s="522" t="inlineStr">
        <is>
          <t>ប្យួរ៉ូ វេរីតាស (ខេមបូឌា) លីមីធីត</t>
        </is>
      </c>
      <c r="D2329" s="522" t="inlineStr">
        <is>
          <t>L001-107024462</t>
        </is>
      </c>
      <c r="E2329" s="521" t="inlineStr">
        <is>
          <t>59014968</t>
        </is>
      </c>
      <c r="F2329" s="523" t="n">
        <v>45077</v>
      </c>
      <c r="G2329" s="556" t="n">
        <v>474163</v>
      </c>
      <c r="I2329" s="521">
        <f>G2329</f>
        <v/>
      </c>
      <c r="K2329" s="521">
        <f>I2329-G2329</f>
        <v/>
      </c>
      <c r="M2329" s="522" t="inlineStr">
        <is>
          <t>59014968</t>
        </is>
      </c>
      <c r="N2329" s="522" t="inlineStr">
        <is>
          <t>59014968</t>
        </is>
      </c>
      <c r="O2329" s="521">
        <f>M2329=N2329</f>
        <v/>
      </c>
      <c r="P2329" s="521">
        <f>AND(MONTH(F2329)=MONTH(S2329), YEAR(F2329)=YEAR(S2329))</f>
        <v/>
      </c>
      <c r="Q2329" s="521">
        <f>U2329="L001-901905215"</f>
        <v/>
      </c>
      <c r="R2329" s="556">
        <f>G2329-W2329</f>
        <v/>
      </c>
      <c r="S2329" s="523" t="n">
        <v>45077</v>
      </c>
      <c r="T2329" s="522" t="inlineStr">
        <is>
          <t>59014968</t>
        </is>
      </c>
      <c r="U2329" s="522" t="inlineStr">
        <is>
          <t>L001-901905215</t>
        </is>
      </c>
      <c r="V2329" s="522" t="inlineStr">
        <is>
          <t>វីអ៊ីស៊ិន (ខេមបូឌា) អ៊ិនដាសស្ទ្រី ឯ.ក</t>
        </is>
      </c>
      <c r="W2329" s="556" t="n">
        <v>474163</v>
      </c>
    </row>
    <row r="2330">
      <c r="A2330" s="521" t="n">
        <v>2322</v>
      </c>
      <c r="B2330" s="522" t="inlineStr">
        <is>
          <t>Copy Machine Rental fee for May 2023</t>
        </is>
      </c>
      <c r="C2330" s="522" t="inlineStr">
        <is>
          <t xml:space="preserve">អិនធីអិល តិចណូឡូជី </t>
        </is>
      </c>
      <c r="D2330" s="522" t="inlineStr">
        <is>
          <t>K005-901900283</t>
        </is>
      </c>
      <c r="E2330" s="521" t="inlineStr">
        <is>
          <t>NTL23-1929</t>
        </is>
      </c>
      <c r="F2330" s="523" t="n">
        <v>45064</v>
      </c>
      <c r="G2330" s="556" t="n">
        <v>32828</v>
      </c>
      <c r="I2330" s="521">
        <f>G2330</f>
        <v/>
      </c>
      <c r="K2330" s="521">
        <f>I2330-G2330</f>
        <v/>
      </c>
      <c r="M2330" s="522" t="inlineStr">
        <is>
          <t>NTL231929</t>
        </is>
      </c>
      <c r="N2330" s="522" t="inlineStr">
        <is>
          <t>NTL231929</t>
        </is>
      </c>
      <c r="O2330" s="521">
        <f>M2330=N2330</f>
        <v/>
      </c>
      <c r="P2330" s="521">
        <f>AND(MONTH(F2330)=MONTH(S2330), YEAR(F2330)=YEAR(S2330))</f>
        <v/>
      </c>
      <c r="Q2330" s="521">
        <f>U2330="L001-901905215"</f>
        <v/>
      </c>
      <c r="R2330" s="556">
        <f>G2330-W2330</f>
        <v/>
      </c>
      <c r="S2330" s="523" t="n">
        <v>45064</v>
      </c>
      <c r="T2330" s="522" t="inlineStr">
        <is>
          <t>NTL23-1929</t>
        </is>
      </c>
      <c r="U2330" s="522" t="inlineStr">
        <is>
          <t>L001-901905215</t>
        </is>
      </c>
      <c r="V2330" s="522" t="inlineStr">
        <is>
          <t>វីអ៊ីស៊ិន (ខេមបូឌា) អ៊ិនដាសស្ទ្រី ឯ.ក</t>
        </is>
      </c>
      <c r="W2330" s="556" t="n">
        <v>32828</v>
      </c>
    </row>
    <row r="2331">
      <c r="A2331" s="521" t="n">
        <v>2323</v>
      </c>
      <c r="B2331" s="522" t="inlineStr">
        <is>
          <t>Security fee</t>
        </is>
      </c>
      <c r="C2331" s="522" t="inlineStr">
        <is>
          <t>អេសអេហ្វអាយ​ ស៊ីឃ្យួរឹធី ហ្វសស៍ អ៊ិនធើណេសិនណល ឯ.ក</t>
        </is>
      </c>
      <c r="D2331" s="522" t="inlineStr">
        <is>
          <t>K010-901908100</t>
        </is>
      </c>
      <c r="E2331" s="521" t="inlineStr">
        <is>
          <t>SFI2023/240</t>
        </is>
      </c>
      <c r="F2331" s="523" t="n">
        <v>45070</v>
      </c>
      <c r="G2331" s="556" t="n">
        <v>230216</v>
      </c>
      <c r="I2331" s="521">
        <f>G2331</f>
        <v/>
      </c>
      <c r="K2331" s="521">
        <f>I2331-G2331</f>
        <v/>
      </c>
      <c r="M2331" s="522" t="inlineStr">
        <is>
          <t>SFI2023240</t>
        </is>
      </c>
      <c r="N2331" s="522" t="inlineStr">
        <is>
          <t>SFI2023240</t>
        </is>
      </c>
      <c r="O2331" s="521">
        <f>M2331=N2331</f>
        <v/>
      </c>
      <c r="P2331" s="521">
        <f>AND(MONTH(F2331)=MONTH(S2331), YEAR(F2331)=YEAR(S2331))</f>
        <v/>
      </c>
      <c r="Q2331" s="521">
        <f>U2331="L001-901905215"</f>
        <v/>
      </c>
      <c r="R2331" s="556">
        <f>G2331-W2331</f>
        <v/>
      </c>
      <c r="S2331" s="523" t="n">
        <v>45070</v>
      </c>
      <c r="T2331" s="522" t="inlineStr">
        <is>
          <t>SFI2023/240</t>
        </is>
      </c>
      <c r="U2331" s="522" t="inlineStr">
        <is>
          <t>L001-901905215</t>
        </is>
      </c>
      <c r="V2331" s="522" t="inlineStr">
        <is>
          <t>វីអ៊ីស៊ិន (ខេមបូឌា) អ៊ិនដាសស្ទ្រី ឯ.ក</t>
        </is>
      </c>
      <c r="W2331" s="556" t="n">
        <v>230216</v>
      </c>
    </row>
    <row r="2332">
      <c r="A2332" s="521" t="n">
        <v>2324</v>
      </c>
      <c r="B2332" s="522" t="inlineStr">
        <is>
          <t>Carbon dioxide 40L</t>
        </is>
      </c>
      <c r="C2332" s="522" t="inlineStr">
        <is>
          <t>ធីវីសីុ ហ្គាស សឹលូសិន</t>
        </is>
      </c>
      <c r="D2332" s="522" t="inlineStr">
        <is>
          <t>K005-901501105</t>
        </is>
      </c>
      <c r="E2332" s="521" t="inlineStr">
        <is>
          <t>2023-1051</t>
        </is>
      </c>
      <c r="F2332" s="523" t="n">
        <v>45077</v>
      </c>
      <c r="G2332" s="556" t="n">
        <v>750758</v>
      </c>
      <c r="I2332" s="521">
        <f>G2332</f>
        <v/>
      </c>
      <c r="K2332" s="521">
        <f>I2332-G2332</f>
        <v/>
      </c>
      <c r="M2332" s="522" t="inlineStr">
        <is>
          <t>20231051</t>
        </is>
      </c>
      <c r="N2332" s="522" t="inlineStr">
        <is>
          <t>20231051</t>
        </is>
      </c>
      <c r="O2332" s="521">
        <f>M2332=N2332</f>
        <v/>
      </c>
      <c r="P2332" s="521">
        <f>AND(MONTH(F2332)=MONTH(S2332), YEAR(F2332)=YEAR(S2332))</f>
        <v/>
      </c>
      <c r="Q2332" s="521">
        <f>U2332="L001-901905215"</f>
        <v/>
      </c>
      <c r="R2332" s="556">
        <f>G2332-W2332</f>
        <v/>
      </c>
      <c r="S2332" s="523" t="n">
        <v>45077</v>
      </c>
      <c r="T2332" s="522" t="inlineStr">
        <is>
          <t>2023-1051</t>
        </is>
      </c>
      <c r="U2332" s="522" t="inlineStr">
        <is>
          <t>L001-901905215</t>
        </is>
      </c>
      <c r="V2332" s="522" t="inlineStr">
        <is>
          <t>វីអ៊ីស៊ិន (ខេមបូឌា) អ៊ិនដាសស្ទ្រី ឯ.ក</t>
        </is>
      </c>
      <c r="W2332" s="556" t="n">
        <v>750758</v>
      </c>
    </row>
    <row r="2333">
      <c r="A2333" s="521" t="n">
        <v>2325</v>
      </c>
      <c r="B2333" s="522" t="inlineStr">
        <is>
          <t>DHL Express</t>
        </is>
      </c>
      <c r="C2333" s="522" t="inlineStr">
        <is>
          <t>ឌី អេច អិល អិចប្រេស (ខេមបូឌា)</t>
        </is>
      </c>
      <c r="D2333" s="522" t="inlineStr">
        <is>
          <t>L001-100045197</t>
        </is>
      </c>
      <c r="E2333" s="521" t="inlineStr">
        <is>
          <t>PNHIR000461246</t>
        </is>
      </c>
      <c r="F2333" s="523" t="n">
        <v>45077</v>
      </c>
      <c r="G2333" s="556" t="n">
        <v>31018</v>
      </c>
      <c r="I2333" s="521">
        <f>G2333</f>
        <v/>
      </c>
      <c r="K2333" s="521">
        <f>I2333-G2333</f>
        <v/>
      </c>
      <c r="M2333" s="522" t="inlineStr">
        <is>
          <t>PNHIR000461246</t>
        </is>
      </c>
      <c r="N2333" s="522" t="inlineStr"/>
      <c r="O2333" s="521">
        <f>M2333=N2333</f>
        <v/>
      </c>
      <c r="P2333" s="521">
        <f>AND(MONTH(F2333)=MONTH(S2333), YEAR(F2333)=YEAR(S2333))</f>
        <v/>
      </c>
      <c r="Q2333" s="521">
        <f>U2333="L001-901905215"</f>
        <v/>
      </c>
      <c r="R2333" s="556">
        <f>G2333-W2333</f>
        <v/>
      </c>
      <c r="S2333" s="521" t="n"/>
      <c r="T2333" s="522" t="n"/>
      <c r="U2333" s="522" t="n"/>
      <c r="V2333" s="522" t="n"/>
      <c r="W2333" s="521" t="n"/>
    </row>
    <row r="2334">
      <c r="A2334" s="521" t="n">
        <v>2326</v>
      </c>
      <c r="B2334" s="522" t="inlineStr">
        <is>
          <t>DHL Express</t>
        </is>
      </c>
      <c r="C2334" s="522" t="inlineStr">
        <is>
          <t>ឌី អេច អិល អិចប្រេស (ខេមបូឌា)</t>
        </is>
      </c>
      <c r="D2334" s="522" t="inlineStr">
        <is>
          <t>L001-100045197</t>
        </is>
      </c>
      <c r="E2334" s="521" t="inlineStr">
        <is>
          <t>PNHIR00459951</t>
        </is>
      </c>
      <c r="F2334" s="523" t="n">
        <v>45064</v>
      </c>
      <c r="G2334" s="556" t="n">
        <v>54741</v>
      </c>
      <c r="I2334" s="521">
        <f>G2334</f>
        <v/>
      </c>
      <c r="K2334" s="521">
        <f>I2334-G2334</f>
        <v/>
      </c>
      <c r="M2334" s="522" t="inlineStr">
        <is>
          <t>PNHIR00459951</t>
        </is>
      </c>
      <c r="N2334" s="522" t="inlineStr"/>
      <c r="O2334" s="521">
        <f>M2334=N2334</f>
        <v/>
      </c>
      <c r="P2334" s="521">
        <f>AND(MONTH(F2334)=MONTH(S2334), YEAR(F2334)=YEAR(S2334))</f>
        <v/>
      </c>
      <c r="Q2334" s="521">
        <f>U2334="L001-901905215"</f>
        <v/>
      </c>
      <c r="R2334" s="556">
        <f>G2334-W2334</f>
        <v/>
      </c>
      <c r="S2334" s="521" t="n"/>
      <c r="T2334" s="522" t="n"/>
      <c r="U2334" s="522" t="n"/>
      <c r="V2334" s="522" t="n"/>
      <c r="W2334" s="521" t="n"/>
    </row>
    <row r="2335">
      <c r="A2335" s="521" t="n">
        <v>2327</v>
      </c>
      <c r="B2335" s="522" t="inlineStr">
        <is>
          <t>DHL Express</t>
        </is>
      </c>
      <c r="C2335" s="522" t="inlineStr">
        <is>
          <t>ឌី អេច អិល អិចប្រេស (ខេមបូឌា)</t>
        </is>
      </c>
      <c r="D2335" s="522" t="inlineStr">
        <is>
          <t>L001-100045197</t>
        </is>
      </c>
      <c r="E2335" s="521" t="inlineStr">
        <is>
          <t>PNHIR00161762</t>
        </is>
      </c>
      <c r="F2335" s="523" t="n">
        <v>45061</v>
      </c>
      <c r="G2335" s="556" t="n">
        <v>8230</v>
      </c>
      <c r="I2335" s="521">
        <f>G2335</f>
        <v/>
      </c>
      <c r="K2335" s="521">
        <f>I2335-G2335</f>
        <v/>
      </c>
      <c r="M2335" s="522" t="inlineStr">
        <is>
          <t>PNHIR00161762</t>
        </is>
      </c>
      <c r="N2335" s="522" t="inlineStr">
        <is>
          <t>PNHIR00161762</t>
        </is>
      </c>
      <c r="O2335" s="521">
        <f>M2335=N2335</f>
        <v/>
      </c>
      <c r="P2335" s="521">
        <f>AND(MONTH(F2335)=MONTH(S2335), YEAR(F2335)=YEAR(S2335))</f>
        <v/>
      </c>
      <c r="Q2335" s="521">
        <f>U2335="L001-901905215"</f>
        <v/>
      </c>
      <c r="R2335" s="556">
        <f>G2335-W2335</f>
        <v/>
      </c>
      <c r="S2335" s="523" t="n">
        <v>45061</v>
      </c>
      <c r="T2335" s="522" t="inlineStr">
        <is>
          <t>PNHIR00161762</t>
        </is>
      </c>
      <c r="U2335" s="522" t="inlineStr">
        <is>
          <t>L001-901905215</t>
        </is>
      </c>
      <c r="V2335" s="522" t="inlineStr">
        <is>
          <t>វីអ៊ីស៊ិន (ខេមបូឌា) អ៊ិនដាសស្ទ្រី ឯ.ក</t>
        </is>
      </c>
      <c r="W2335" s="556" t="n">
        <v>8230</v>
      </c>
    </row>
    <row r="2336">
      <c r="A2336" s="521" t="n">
        <v>2328</v>
      </c>
      <c r="B2336" s="522" t="inlineStr">
        <is>
          <t>DHL Express</t>
        </is>
      </c>
      <c r="C2336" s="522" t="inlineStr">
        <is>
          <t>ឌី អេច អិល អិចប្រេស (ខេមបូឌា)</t>
        </is>
      </c>
      <c r="D2336" s="522" t="inlineStr">
        <is>
          <t>L001-100045197</t>
        </is>
      </c>
      <c r="E2336" s="521" t="inlineStr">
        <is>
          <t>PNHIR000459297</t>
        </is>
      </c>
      <c r="F2336" s="523" t="n">
        <v>45057</v>
      </c>
      <c r="G2336" s="556" t="n">
        <v>43050</v>
      </c>
      <c r="I2336" s="521">
        <f>G2336</f>
        <v/>
      </c>
      <c r="K2336" s="521">
        <f>I2336-G2336</f>
        <v/>
      </c>
      <c r="M2336" s="522" t="inlineStr">
        <is>
          <t>PNHIR000459297</t>
        </is>
      </c>
      <c r="N2336" s="522" t="inlineStr"/>
      <c r="O2336" s="521">
        <f>M2336=N2336</f>
        <v/>
      </c>
      <c r="P2336" s="521">
        <f>AND(MONTH(F2336)=MONTH(S2336), YEAR(F2336)=YEAR(S2336))</f>
        <v/>
      </c>
      <c r="Q2336" s="521">
        <f>U2336="L001-901905215"</f>
        <v/>
      </c>
      <c r="R2336" s="556">
        <f>G2336-W2336</f>
        <v/>
      </c>
      <c r="S2336" s="521" t="n"/>
      <c r="T2336" s="522" t="n"/>
      <c r="U2336" s="522" t="n"/>
      <c r="V2336" s="522" t="n"/>
      <c r="W2336" s="521" t="n"/>
    </row>
    <row r="2337">
      <c r="A2337" s="521" t="n">
        <v>2329</v>
      </c>
      <c r="B2337" s="522" t="inlineStr">
        <is>
          <t>DHL Express</t>
        </is>
      </c>
      <c r="C2337" s="522" t="inlineStr">
        <is>
          <t>ឌី អេច អិល អិចប្រេស (ខេមបូឌា)</t>
        </is>
      </c>
      <c r="D2337" s="522" t="inlineStr">
        <is>
          <t>L001-100045197</t>
        </is>
      </c>
      <c r="E2337" s="521" t="inlineStr">
        <is>
          <t>PNHIR00161095</t>
        </is>
      </c>
      <c r="F2337" s="523" t="n">
        <v>45054</v>
      </c>
      <c r="G2337" s="556" t="n">
        <v>8244</v>
      </c>
      <c r="I2337" s="521">
        <f>G2337</f>
        <v/>
      </c>
      <c r="K2337" s="521">
        <f>I2337-G2337</f>
        <v/>
      </c>
      <c r="M2337" s="522" t="inlineStr">
        <is>
          <t>PNHIR00161095</t>
        </is>
      </c>
      <c r="N2337" s="522" t="inlineStr">
        <is>
          <t>PNHIR00161095</t>
        </is>
      </c>
      <c r="O2337" s="521">
        <f>M2337=N2337</f>
        <v/>
      </c>
      <c r="P2337" s="521">
        <f>AND(MONTH(F2337)=MONTH(S2337), YEAR(F2337)=YEAR(S2337))</f>
        <v/>
      </c>
      <c r="Q2337" s="521">
        <f>U2337="L001-901905215"</f>
        <v/>
      </c>
      <c r="R2337" s="556">
        <f>G2337-W2337</f>
        <v/>
      </c>
      <c r="S2337" s="523" t="n">
        <v>45054</v>
      </c>
      <c r="T2337" s="522" t="inlineStr">
        <is>
          <t>PNHIR00161095</t>
        </is>
      </c>
      <c r="U2337" s="522" t="inlineStr">
        <is>
          <t>L001-901905215</t>
        </is>
      </c>
      <c r="V2337" s="522" t="inlineStr">
        <is>
          <t>វីអ៊ីស៊ិន (ខេមបូឌា) អ៊ិនដាសស្ទ្រី ឯ.ក</t>
        </is>
      </c>
      <c r="W2337" s="556" t="n">
        <v>8244</v>
      </c>
    </row>
    <row r="2338">
      <c r="A2338" s="521" t="n">
        <v>2330</v>
      </c>
      <c r="B2338" s="522" t="inlineStr">
        <is>
          <t>Infrastructure Maintenance fee for April 2023</t>
        </is>
      </c>
      <c r="C2338" s="522" t="inlineStr">
        <is>
          <t>ភ្នំពេញ អេសអ៊ីហ្សិត ភីអិលស៊ី</t>
        </is>
      </c>
      <c r="D2338" s="522" t="inlineStr">
        <is>
          <t>L001-100046592</t>
        </is>
      </c>
      <c r="E2338" s="521" t="inlineStr">
        <is>
          <t>2023-02414</t>
        </is>
      </c>
      <c r="F2338" s="523" t="n">
        <v>45064</v>
      </c>
      <c r="G2338" s="556" t="n">
        <v>166406</v>
      </c>
      <c r="I2338" s="521">
        <f>G2338</f>
        <v/>
      </c>
      <c r="K2338" s="521">
        <f>I2338-G2338</f>
        <v/>
      </c>
      <c r="M2338" s="522" t="inlineStr">
        <is>
          <t>202302414</t>
        </is>
      </c>
      <c r="N2338" s="522" t="inlineStr">
        <is>
          <t>202302414</t>
        </is>
      </c>
      <c r="O2338" s="521">
        <f>M2338=N2338</f>
        <v/>
      </c>
      <c r="P2338" s="521">
        <f>AND(MONTH(F2338)=MONTH(S2338), YEAR(F2338)=YEAR(S2338))</f>
        <v/>
      </c>
      <c r="Q2338" s="521">
        <f>U2338="L001-901905215"</f>
        <v/>
      </c>
      <c r="R2338" s="556">
        <f>G2338-W2338</f>
        <v/>
      </c>
      <c r="S2338" s="523" t="n">
        <v>45064</v>
      </c>
      <c r="T2338" s="522" t="inlineStr">
        <is>
          <t>2023-02414</t>
        </is>
      </c>
      <c r="U2338" s="522" t="inlineStr">
        <is>
          <t>L001-901905215</t>
        </is>
      </c>
      <c r="V2338" s="522" t="inlineStr">
        <is>
          <t>វីអ៊ីស៊ិន (ខេមបូឌា) អ៊ិនដាសស្ទ្រី ឯ.ក</t>
        </is>
      </c>
      <c r="W2338" s="556" t="n">
        <v>166406</v>
      </c>
    </row>
    <row r="2339">
      <c r="A2339" s="521" t="n">
        <v>2331</v>
      </c>
      <c r="B2339" s="522" t="inlineStr">
        <is>
          <t>Infrastructure Maintenance fee for April 2023</t>
        </is>
      </c>
      <c r="C2339" s="522" t="inlineStr">
        <is>
          <t>ភ្នំពេញ អេសអ៊ីហ្សិត ភីអិលស៊ី</t>
        </is>
      </c>
      <c r="D2339" s="522" t="inlineStr">
        <is>
          <t>L001-100046592</t>
        </is>
      </c>
      <c r="E2339" s="521" t="inlineStr">
        <is>
          <t>2023-02405</t>
        </is>
      </c>
      <c r="F2339" s="523" t="n">
        <v>45064</v>
      </c>
      <c r="G2339" s="556" t="n">
        <v>202608</v>
      </c>
      <c r="I2339" s="521">
        <f>G2339</f>
        <v/>
      </c>
      <c r="K2339" s="521">
        <f>I2339-G2339</f>
        <v/>
      </c>
      <c r="M2339" s="522" t="inlineStr">
        <is>
          <t>202302405</t>
        </is>
      </c>
      <c r="N2339" s="522" t="inlineStr">
        <is>
          <t>202302405</t>
        </is>
      </c>
      <c r="O2339" s="521">
        <f>M2339=N2339</f>
        <v/>
      </c>
      <c r="P2339" s="521">
        <f>AND(MONTH(F2339)=MONTH(S2339), YEAR(F2339)=YEAR(S2339))</f>
        <v/>
      </c>
      <c r="Q2339" s="521">
        <f>U2339="L001-901905215"</f>
        <v/>
      </c>
      <c r="R2339" s="556">
        <f>G2339-W2339</f>
        <v/>
      </c>
      <c r="S2339" s="523" t="n">
        <v>45064</v>
      </c>
      <c r="T2339" s="522" t="inlineStr">
        <is>
          <t>2023-02405</t>
        </is>
      </c>
      <c r="U2339" s="522" t="inlineStr">
        <is>
          <t>L001-901905215</t>
        </is>
      </c>
      <c r="V2339" s="522" t="inlineStr">
        <is>
          <t>វីអ៊ីស៊ិន (ខេមបូឌា) អ៊ិនដាសស្ទ្រី ឯ.ក</t>
        </is>
      </c>
      <c r="W2339" s="556" t="n">
        <v>202608</v>
      </c>
    </row>
    <row r="2340">
      <c r="A2340" s="521" t="n">
        <v>2332</v>
      </c>
      <c r="B2340" s="522" t="inlineStr">
        <is>
          <t>Building Rental Charge (540 SQM) For May 2023 and Management Fee For April 2023 and Management Fee For May 2023</t>
        </is>
      </c>
      <c r="C2340" s="522" t="inlineStr">
        <is>
          <t>មេហ្គា លេបឹល &amp; ស្ទីកឃើរ (ខេមបូឌា)</t>
        </is>
      </c>
      <c r="D2340" s="522" t="inlineStr">
        <is>
          <t>L001-100185983</t>
        </is>
      </c>
      <c r="E2340" s="521" t="inlineStr">
        <is>
          <t>INV20230501</t>
        </is>
      </c>
      <c r="F2340" s="523" t="n">
        <v>45048</v>
      </c>
      <c r="G2340" s="556" t="n">
        <v>720106</v>
      </c>
      <c r="I2340" s="521">
        <f>G2340</f>
        <v/>
      </c>
      <c r="K2340" s="521">
        <f>I2340-G2340</f>
        <v/>
      </c>
      <c r="M2340" s="522" t="inlineStr">
        <is>
          <t>INV20230501</t>
        </is>
      </c>
      <c r="N2340" s="522" t="inlineStr">
        <is>
          <t>INV20230501</t>
        </is>
      </c>
      <c r="O2340" s="521">
        <f>M2340=N2340</f>
        <v/>
      </c>
      <c r="P2340" s="521">
        <f>AND(MONTH(F2340)=MONTH(S2340), YEAR(F2340)=YEAR(S2340))</f>
        <v/>
      </c>
      <c r="Q2340" s="521">
        <f>U2340="L001-901905215"</f>
        <v/>
      </c>
      <c r="R2340" s="556">
        <f>G2340-W2340</f>
        <v/>
      </c>
      <c r="S2340" s="523" t="n">
        <v>45048</v>
      </c>
      <c r="T2340" s="522" t="inlineStr">
        <is>
          <t>INV20230501</t>
        </is>
      </c>
      <c r="U2340" s="522" t="inlineStr">
        <is>
          <t>L001-901905215</t>
        </is>
      </c>
      <c r="V2340" s="522" t="inlineStr">
        <is>
          <t>វីអ៊ីស៊ិន (ខេមបូឌា) អ៊ិនដាសស្ទ្រី ឯ.ក</t>
        </is>
      </c>
      <c r="W2340" s="556" t="n">
        <v>720106</v>
      </c>
    </row>
    <row r="2341">
      <c r="A2341" s="521" t="n">
        <v>2333</v>
      </c>
      <c r="B2341" s="522" t="inlineStr">
        <is>
          <t>Export Charge</t>
        </is>
      </c>
      <c r="C2341" s="522" t="inlineStr">
        <is>
          <t>ឆាយ ដា ឡូយីស្ទីក</t>
        </is>
      </c>
      <c r="D2341" s="522" t="inlineStr">
        <is>
          <t>L001-100063098</t>
        </is>
      </c>
      <c r="E2341" s="521" t="inlineStr">
        <is>
          <t>2305005354</t>
        </is>
      </c>
      <c r="F2341" s="523" t="n">
        <v>45068</v>
      </c>
      <c r="G2341" s="556" t="n">
        <v>77698</v>
      </c>
      <c r="I2341" s="521">
        <f>G2341</f>
        <v/>
      </c>
      <c r="K2341" s="521">
        <f>I2341-G2341</f>
        <v/>
      </c>
      <c r="M2341" s="522" t="inlineStr">
        <is>
          <t>2305005354</t>
        </is>
      </c>
      <c r="N2341" s="522" t="inlineStr">
        <is>
          <t>2305005354</t>
        </is>
      </c>
      <c r="O2341" s="521">
        <f>M2341=N2341</f>
        <v/>
      </c>
      <c r="P2341" s="521">
        <f>AND(MONTH(F2341)=MONTH(S2341), YEAR(F2341)=YEAR(S2341))</f>
        <v/>
      </c>
      <c r="Q2341" s="521">
        <f>U2341="L001-901905215"</f>
        <v/>
      </c>
      <c r="R2341" s="556">
        <f>G2341-W2341</f>
        <v/>
      </c>
      <c r="S2341" s="523" t="n">
        <v>45068</v>
      </c>
      <c r="T2341" s="522" t="inlineStr">
        <is>
          <t>2305005354</t>
        </is>
      </c>
      <c r="U2341" s="522" t="inlineStr">
        <is>
          <t>L001-901905215</t>
        </is>
      </c>
      <c r="V2341" s="522" t="inlineStr">
        <is>
          <t>វីអ៊ីស៊ិន (ខេមបូឌា) អ៊ិនដាសស្ទ្រី ឯ.ក</t>
        </is>
      </c>
      <c r="W2341" s="556" t="n">
        <v>77698</v>
      </c>
    </row>
    <row r="2342">
      <c r="A2342" s="521" t="n">
        <v>2334</v>
      </c>
      <c r="B2342" s="522" t="inlineStr">
        <is>
          <t>Export Charge</t>
        </is>
      </c>
      <c r="C2342" s="522" t="inlineStr">
        <is>
          <t>ឆាយ ដា ឡូយីស្ទីក</t>
        </is>
      </c>
      <c r="D2342" s="522" t="inlineStr">
        <is>
          <t>L001-100063098</t>
        </is>
      </c>
      <c r="E2342" s="521" t="inlineStr">
        <is>
          <t>2305005635</t>
        </is>
      </c>
      <c r="F2342" s="523" t="n">
        <v>45075</v>
      </c>
      <c r="G2342" s="556" t="n">
        <v>77736</v>
      </c>
      <c r="I2342" s="521">
        <f>G2342</f>
        <v/>
      </c>
      <c r="K2342" s="521">
        <f>I2342-G2342</f>
        <v/>
      </c>
      <c r="M2342" s="522" t="inlineStr">
        <is>
          <t>2305005635</t>
        </is>
      </c>
      <c r="N2342" s="522" t="inlineStr">
        <is>
          <t>2305005635</t>
        </is>
      </c>
      <c r="O2342" s="521">
        <f>M2342=N2342</f>
        <v/>
      </c>
      <c r="P2342" s="521">
        <f>AND(MONTH(F2342)=MONTH(S2342), YEAR(F2342)=YEAR(S2342))</f>
        <v/>
      </c>
      <c r="Q2342" s="521">
        <f>U2342="L001-901905215"</f>
        <v/>
      </c>
      <c r="R2342" s="556">
        <f>G2342-W2342</f>
        <v/>
      </c>
      <c r="S2342" s="523" t="n">
        <v>45075</v>
      </c>
      <c r="T2342" s="522" t="inlineStr">
        <is>
          <t>2305005635</t>
        </is>
      </c>
      <c r="U2342" s="522" t="inlineStr">
        <is>
          <t>L001-901905215</t>
        </is>
      </c>
      <c r="V2342" s="522" t="inlineStr">
        <is>
          <t>វីអ៊ីស៊ិន (ខេមបូឌា) អ៊ិនដាសស្ទ្រី ឯ.ក</t>
        </is>
      </c>
      <c r="W2342" s="556" t="n">
        <v>77736</v>
      </c>
    </row>
    <row r="2343">
      <c r="A2343" s="521" t="n">
        <v>2335</v>
      </c>
      <c r="B2343" s="522" t="inlineStr">
        <is>
          <t>Export Charge</t>
        </is>
      </c>
      <c r="C2343" s="522" t="inlineStr">
        <is>
          <t>ឆាយ ដា ឡូយីស្ទីក</t>
        </is>
      </c>
      <c r="D2343" s="522" t="inlineStr">
        <is>
          <t>L001-100063098</t>
        </is>
      </c>
      <c r="E2343" s="521" t="inlineStr">
        <is>
          <t>2305005642</t>
        </is>
      </c>
      <c r="F2343" s="523" t="n">
        <v>45075</v>
      </c>
      <c r="G2343" s="556" t="n">
        <v>90075</v>
      </c>
      <c r="I2343" s="521">
        <f>G2343</f>
        <v/>
      </c>
      <c r="K2343" s="521">
        <f>I2343-G2343</f>
        <v/>
      </c>
      <c r="M2343" s="522" t="inlineStr">
        <is>
          <t>2305005642</t>
        </is>
      </c>
      <c r="N2343" s="522" t="inlineStr">
        <is>
          <t>2305005642</t>
        </is>
      </c>
      <c r="O2343" s="521">
        <f>M2343=N2343</f>
        <v/>
      </c>
      <c r="P2343" s="521">
        <f>AND(MONTH(F2343)=MONTH(S2343), YEAR(F2343)=YEAR(S2343))</f>
        <v/>
      </c>
      <c r="Q2343" s="521">
        <f>U2343="L001-901905215"</f>
        <v/>
      </c>
      <c r="R2343" s="556">
        <f>G2343-W2343</f>
        <v/>
      </c>
      <c r="S2343" s="523" t="n">
        <v>45075</v>
      </c>
      <c r="T2343" s="522" t="inlineStr">
        <is>
          <t>2305005642</t>
        </is>
      </c>
      <c r="U2343" s="522" t="inlineStr">
        <is>
          <t>L001-901905215</t>
        </is>
      </c>
      <c r="V2343" s="522" t="inlineStr">
        <is>
          <t>វីអ៊ីស៊ិន (ខេមបូឌា) អ៊ិនដាសស្ទ្រី ឯ.ក</t>
        </is>
      </c>
      <c r="W2343" s="556" t="n">
        <v>90075</v>
      </c>
    </row>
    <row r="2344">
      <c r="A2344" s="521" t="n">
        <v>2336</v>
      </c>
      <c r="B2344" s="522" t="inlineStr">
        <is>
          <t>HANDLING AND TRUCKING FEE</t>
        </is>
      </c>
      <c r="C2344" s="522" t="inlineStr">
        <is>
          <t>អ៊ិចស្ពែឌីធ័រ ខេមបូឌា អិលធីឌី</t>
        </is>
      </c>
      <c r="D2344" s="522" t="inlineStr">
        <is>
          <t>L001-100045898</t>
        </is>
      </c>
      <c r="E2344" s="521" t="inlineStr">
        <is>
          <t>TI-0247880</t>
        </is>
      </c>
      <c r="F2344" s="523" t="n">
        <v>45048</v>
      </c>
      <c r="G2344" s="556" t="n">
        <v>119009</v>
      </c>
      <c r="I2344" s="521">
        <f>G2344</f>
        <v/>
      </c>
      <c r="K2344" s="521">
        <f>I2344-G2344</f>
        <v/>
      </c>
      <c r="M2344" s="522" t="inlineStr">
        <is>
          <t>TI0247880</t>
        </is>
      </c>
      <c r="N2344" s="522" t="inlineStr">
        <is>
          <t>TI0247880</t>
        </is>
      </c>
      <c r="O2344" s="521">
        <f>M2344=N2344</f>
        <v/>
      </c>
      <c r="P2344" s="521">
        <f>AND(MONTH(F2344)=MONTH(S2344), YEAR(F2344)=YEAR(S2344))</f>
        <v/>
      </c>
      <c r="Q2344" s="521">
        <f>U2344="L001-901905215"</f>
        <v/>
      </c>
      <c r="R2344" s="556">
        <f>G2344-W2344</f>
        <v/>
      </c>
      <c r="S2344" s="523" t="n">
        <v>45048</v>
      </c>
      <c r="T2344" s="522" t="inlineStr">
        <is>
          <t>TI-0247880</t>
        </is>
      </c>
      <c r="U2344" s="522" t="inlineStr">
        <is>
          <t>L001-901905215</t>
        </is>
      </c>
      <c r="V2344" s="522" t="inlineStr">
        <is>
          <t>វីអ៊ីស៊ិន (ខេមបូឌា) អ៊ិនដាសស្ទ្រី ឯ.ក</t>
        </is>
      </c>
      <c r="W2344" s="556" t="n">
        <v>118998</v>
      </c>
    </row>
    <row r="2345">
      <c r="A2345" s="521" t="n">
        <v>2337</v>
      </c>
      <c r="B2345" s="522" t="inlineStr">
        <is>
          <t>Paper Label</t>
        </is>
      </c>
      <c r="C2345" s="522" t="inlineStr">
        <is>
          <t>ស៊ីន ហ្វី យ៉ាង ព្រីនធីង &amp; អិកសេសសឺរី ឯ.ក</t>
        </is>
      </c>
      <c r="D2345" s="522" t="inlineStr">
        <is>
          <t>K010-901906822</t>
        </is>
      </c>
      <c r="E2345" s="521" t="inlineStr">
        <is>
          <t>XFY-YD2023088</t>
        </is>
      </c>
      <c r="F2345" s="523" t="n">
        <v>45077</v>
      </c>
      <c r="G2345" s="556" t="n">
        <v>534286</v>
      </c>
      <c r="I2345" s="521">
        <f>G2345</f>
        <v/>
      </c>
      <c r="K2345" s="521">
        <f>I2345-G2345</f>
        <v/>
      </c>
      <c r="M2345" s="522" t="inlineStr">
        <is>
          <t>XFYYD2023088</t>
        </is>
      </c>
      <c r="N2345" s="522" t="inlineStr">
        <is>
          <t>XFYYD2023088</t>
        </is>
      </c>
      <c r="O2345" s="521">
        <f>M2345=N2345</f>
        <v/>
      </c>
      <c r="P2345" s="521">
        <f>AND(MONTH(F2345)=MONTH(S2345), YEAR(F2345)=YEAR(S2345))</f>
        <v/>
      </c>
      <c r="Q2345" s="521">
        <f>U2345="L001-901905215"</f>
        <v/>
      </c>
      <c r="R2345" s="556">
        <f>G2345-W2345</f>
        <v/>
      </c>
      <c r="S2345" s="523" t="n">
        <v>45077</v>
      </c>
      <c r="T2345" s="522" t="inlineStr">
        <is>
          <t>XFY-YD2023088</t>
        </is>
      </c>
      <c r="U2345" s="522" t="inlineStr">
        <is>
          <t>L001-901905215</t>
        </is>
      </c>
      <c r="V2345" s="522" t="inlineStr">
        <is>
          <t>វីអ៊ីស៊ិន (ខេមបូឌា) អ៊ិនដាសស្ទ្រី ឯ.ក</t>
        </is>
      </c>
      <c r="W2345" s="556" t="n">
        <v>534286</v>
      </c>
    </row>
    <row r="2346">
      <c r="A2346" s="521" t="n">
        <v>2338</v>
      </c>
      <c r="B2346" s="522" t="inlineStr">
        <is>
          <t>CARTON</t>
        </is>
      </c>
      <c r="C2346" s="522" t="inlineStr">
        <is>
          <t>យី មីង ភែកឃីជីង ឯ.ក</t>
        </is>
      </c>
      <c r="D2346" s="522" t="inlineStr">
        <is>
          <t>B108-902101335</t>
        </is>
      </c>
      <c r="E2346" s="521" t="inlineStr">
        <is>
          <t>YM-0024</t>
        </is>
      </c>
      <c r="F2346" s="523" t="n">
        <v>45077</v>
      </c>
      <c r="G2346" s="556" t="n">
        <v>1791126</v>
      </c>
      <c r="I2346" s="521">
        <f>G2346</f>
        <v/>
      </c>
      <c r="K2346" s="521">
        <f>I2346-G2346</f>
        <v/>
      </c>
      <c r="M2346" s="522" t="inlineStr">
        <is>
          <t>YM0024</t>
        </is>
      </c>
      <c r="N2346" s="522" t="inlineStr"/>
      <c r="O2346" s="521">
        <f>M2346=N2346</f>
        <v/>
      </c>
      <c r="P2346" s="521">
        <f>AND(MONTH(F2346)=MONTH(S2346), YEAR(F2346)=YEAR(S2346))</f>
        <v/>
      </c>
      <c r="Q2346" s="521">
        <f>U2346="L001-901905215"</f>
        <v/>
      </c>
      <c r="R2346" s="556">
        <f>G2346-W2346</f>
        <v/>
      </c>
      <c r="S2346" s="521" t="n"/>
      <c r="T2346" s="522" t="n"/>
      <c r="U2346" s="522" t="n"/>
      <c r="V2346" s="522" t="n"/>
      <c r="W2346" s="521" t="n"/>
    </row>
    <row r="2347">
      <c r="A2347" s="521" t="n">
        <v>2339</v>
      </c>
      <c r="B2347" s="522" t="inlineStr">
        <is>
          <t>PDQ and Color box</t>
        </is>
      </c>
      <c r="C2347" s="522" t="inlineStr">
        <is>
          <t>វីង ចេង ភែកឃីជីង ឯ.ក</t>
        </is>
      </c>
      <c r="D2347" s="522" t="inlineStr">
        <is>
          <t>L001-902102915</t>
        </is>
      </c>
      <c r="E2347" s="521" t="inlineStr">
        <is>
          <t>TI0386</t>
        </is>
      </c>
      <c r="F2347" s="523" t="n">
        <v>45077</v>
      </c>
      <c r="G2347" s="556" t="n">
        <v>7526859</v>
      </c>
      <c r="I2347" s="521">
        <f>G2347</f>
        <v/>
      </c>
      <c r="K2347" s="521">
        <f>I2347-G2347</f>
        <v/>
      </c>
      <c r="M2347" s="522" t="inlineStr">
        <is>
          <t>TI0386</t>
        </is>
      </c>
      <c r="N2347" s="522" t="inlineStr">
        <is>
          <t>TI0386</t>
        </is>
      </c>
      <c r="O2347" s="521">
        <f>M2347=N2347</f>
        <v/>
      </c>
      <c r="P2347" s="521">
        <f>AND(MONTH(F2347)=MONTH(S2347), YEAR(F2347)=YEAR(S2347))</f>
        <v/>
      </c>
      <c r="Q2347" s="521">
        <f>U2347="L001-901905215"</f>
        <v/>
      </c>
      <c r="R2347" s="556">
        <f>G2347-W2347</f>
        <v/>
      </c>
      <c r="S2347" s="523" t="n">
        <v>45077</v>
      </c>
      <c r="T2347" s="522" t="inlineStr">
        <is>
          <t>TI0386</t>
        </is>
      </c>
      <c r="U2347" s="522" t="inlineStr">
        <is>
          <t>L001-901905215</t>
        </is>
      </c>
      <c r="V2347" s="522" t="inlineStr">
        <is>
          <t>វីអ៊ីស៊ិន (ខេមបូឌា) អ៊ិនដាសស្ទ្រី ឯ.ក</t>
        </is>
      </c>
      <c r="W2347" s="556" t="n">
        <v>7526858</v>
      </c>
    </row>
    <row r="2348">
      <c r="A2348" s="521" t="n">
        <v>2340</v>
      </c>
      <c r="B2348" s="522" t="inlineStr">
        <is>
          <t>Poly bag</t>
        </is>
      </c>
      <c r="C2348" s="522" t="inlineStr">
        <is>
          <t>ហុង ហ៊ីង ភែកឃីជីង មេធៀរៀល ឯ.ក</t>
        </is>
      </c>
      <c r="D2348" s="522" t="inlineStr">
        <is>
          <t>L001-901900945</t>
        </is>
      </c>
      <c r="E2348" s="521" t="inlineStr">
        <is>
          <t>T2023-000188</t>
        </is>
      </c>
      <c r="F2348" s="523" t="n">
        <v>45076</v>
      </c>
      <c r="G2348" s="556" t="n">
        <v>271010</v>
      </c>
      <c r="I2348" s="521">
        <f>G2348</f>
        <v/>
      </c>
      <c r="K2348" s="521">
        <f>I2348-G2348</f>
        <v/>
      </c>
      <c r="M2348" s="522" t="inlineStr">
        <is>
          <t>T2023000188</t>
        </is>
      </c>
      <c r="N2348" s="522" t="inlineStr">
        <is>
          <t>T2023000188</t>
        </is>
      </c>
      <c r="O2348" s="521">
        <f>M2348=N2348</f>
        <v/>
      </c>
      <c r="P2348" s="521">
        <f>AND(MONTH(F2348)=MONTH(S2348), YEAR(F2348)=YEAR(S2348))</f>
        <v/>
      </c>
      <c r="Q2348" s="521">
        <f>U2348="L001-901905215"</f>
        <v/>
      </c>
      <c r="R2348" s="556">
        <f>G2348-W2348</f>
        <v/>
      </c>
      <c r="S2348" s="523" t="n">
        <v>45076</v>
      </c>
      <c r="T2348" s="522" t="inlineStr">
        <is>
          <t>T2023-000188</t>
        </is>
      </c>
      <c r="U2348" s="522" t="inlineStr">
        <is>
          <t>L001-901905215</t>
        </is>
      </c>
      <c r="V2348" s="522" t="inlineStr">
        <is>
          <t>វីអ៊ីស៊ិន (ខេមបូឌា) អ៊ិនដាសស្ទ្រី ឯ.ក</t>
        </is>
      </c>
      <c r="W2348" s="556" t="n">
        <v>271010</v>
      </c>
    </row>
    <row r="2349">
      <c r="A2349" s="521" t="n">
        <v>2341</v>
      </c>
      <c r="B2349" s="522" t="inlineStr">
        <is>
          <t>Tax declaration service</t>
        </is>
      </c>
      <c r="C2349" s="522" t="inlineStr">
        <is>
          <t>អេហ្វជីអេស សឺវីស (ខេមបូឌា) ឯ.ក</t>
        </is>
      </c>
      <c r="D2349" s="522" t="inlineStr">
        <is>
          <t>K004-902102545</t>
        </is>
      </c>
      <c r="E2349" s="521" t="inlineStr">
        <is>
          <t>FGS2023-0358</t>
        </is>
      </c>
      <c r="F2349" s="523" t="n">
        <v>45070</v>
      </c>
      <c r="G2349" s="556" t="n">
        <v>287770</v>
      </c>
      <c r="I2349" s="521">
        <f>G2349</f>
        <v/>
      </c>
      <c r="K2349" s="521">
        <f>I2349-G2349</f>
        <v/>
      </c>
      <c r="M2349" s="522" t="inlineStr">
        <is>
          <t>FGS20230358</t>
        </is>
      </c>
      <c r="N2349" s="522" t="inlineStr">
        <is>
          <t>FGS20230358</t>
        </is>
      </c>
      <c r="O2349" s="521">
        <f>M2349=N2349</f>
        <v/>
      </c>
      <c r="P2349" s="521">
        <f>AND(MONTH(F2349)=MONTH(S2349), YEAR(F2349)=YEAR(S2349))</f>
        <v/>
      </c>
      <c r="Q2349" s="521">
        <f>U2349="L001-901905215"</f>
        <v/>
      </c>
      <c r="R2349" s="556">
        <f>G2349-W2349</f>
        <v/>
      </c>
      <c r="S2349" s="523" t="n">
        <v>45070</v>
      </c>
      <c r="T2349" s="522" t="inlineStr">
        <is>
          <t>FGS2023-0358</t>
        </is>
      </c>
      <c r="U2349" s="522" t="inlineStr">
        <is>
          <t>L001-901905215</t>
        </is>
      </c>
      <c r="V2349" s="522" t="inlineStr">
        <is>
          <t>វីអ៊ីស៊ិន (ខេមបូឌា) អ៊ិនដាសស្ទ្រី ឯ.ក</t>
        </is>
      </c>
      <c r="W2349" s="556" t="n">
        <v>287770</v>
      </c>
    </row>
    <row r="2350">
      <c r="A2350" s="521" t="n">
        <v>2342</v>
      </c>
      <c r="B2350" s="522" t="inlineStr">
        <is>
          <t>Export Charge</t>
        </is>
      </c>
      <c r="C2350" s="522" t="inlineStr">
        <is>
          <t>ឆាយ ដា ឡូយីស្ទីក</t>
        </is>
      </c>
      <c r="D2350" s="522" t="inlineStr">
        <is>
          <t>L001-100063098</t>
        </is>
      </c>
      <c r="E2350" s="521" t="inlineStr">
        <is>
          <t>2305005676</t>
        </is>
      </c>
      <c r="F2350" s="523" t="n">
        <v>45075</v>
      </c>
      <c r="G2350" s="556" t="n">
        <v>77736</v>
      </c>
      <c r="I2350" s="521">
        <f>G2350</f>
        <v/>
      </c>
      <c r="K2350" s="521">
        <f>I2350-G2350</f>
        <v/>
      </c>
      <c r="M2350" s="522" t="inlineStr">
        <is>
          <t>2305005676</t>
        </is>
      </c>
      <c r="N2350" s="522" t="inlineStr">
        <is>
          <t>2305005676</t>
        </is>
      </c>
      <c r="O2350" s="521">
        <f>M2350=N2350</f>
        <v/>
      </c>
      <c r="P2350" s="521">
        <f>AND(MONTH(F2350)=MONTH(S2350), YEAR(F2350)=YEAR(S2350))</f>
        <v/>
      </c>
      <c r="Q2350" s="521">
        <f>U2350="L001-901905215"</f>
        <v/>
      </c>
      <c r="R2350" s="556">
        <f>G2350-W2350</f>
        <v/>
      </c>
      <c r="S2350" s="523" t="n">
        <v>45075</v>
      </c>
      <c r="T2350" s="522" t="inlineStr">
        <is>
          <t>2305005676</t>
        </is>
      </c>
      <c r="U2350" s="522" t="inlineStr">
        <is>
          <t>L001-901905215</t>
        </is>
      </c>
      <c r="V2350" s="522" t="inlineStr">
        <is>
          <t>វីអ៊ីស៊ិន (ខេមបូឌា) អ៊ិនដាសស្ទ្រី ឯ.ក</t>
        </is>
      </c>
      <c r="W2350" s="556" t="n">
        <v>77736</v>
      </c>
    </row>
    <row r="2351">
      <c r="A2351" s="521" t="n">
        <v>2343</v>
      </c>
      <c r="B2351" s="522" t="inlineStr">
        <is>
          <t>Export Charge</t>
        </is>
      </c>
      <c r="C2351" s="522" t="inlineStr">
        <is>
          <t>ឆាយ ដា ឡូយីស្ទីក</t>
        </is>
      </c>
      <c r="D2351" s="522" t="inlineStr">
        <is>
          <t>L001-100063098</t>
        </is>
      </c>
      <c r="E2351" s="521" t="inlineStr">
        <is>
          <t>2305005663</t>
        </is>
      </c>
      <c r="F2351" s="523" t="n">
        <v>45075</v>
      </c>
      <c r="G2351" s="556" t="n">
        <v>77736</v>
      </c>
      <c r="I2351" s="521">
        <f>G2351</f>
        <v/>
      </c>
      <c r="K2351" s="521">
        <f>I2351-G2351</f>
        <v/>
      </c>
      <c r="M2351" s="522" t="inlineStr">
        <is>
          <t>2305005663</t>
        </is>
      </c>
      <c r="N2351" s="522" t="inlineStr">
        <is>
          <t>2305005663</t>
        </is>
      </c>
      <c r="O2351" s="521">
        <f>M2351=N2351</f>
        <v/>
      </c>
      <c r="P2351" s="521">
        <f>AND(MONTH(F2351)=MONTH(S2351), YEAR(F2351)=YEAR(S2351))</f>
        <v/>
      </c>
      <c r="Q2351" s="521">
        <f>U2351="L001-901905215"</f>
        <v/>
      </c>
      <c r="R2351" s="556">
        <f>G2351-W2351</f>
        <v/>
      </c>
      <c r="S2351" s="523" t="n">
        <v>45075</v>
      </c>
      <c r="T2351" s="522" t="inlineStr">
        <is>
          <t>2305005663</t>
        </is>
      </c>
      <c r="U2351" s="522" t="inlineStr">
        <is>
          <t>L001-901905215</t>
        </is>
      </c>
      <c r="V2351" s="522" t="inlineStr">
        <is>
          <t>វីអ៊ីស៊ិន (ខេមបូឌា) អ៊ិនដាសស្ទ្រី ឯ.ក</t>
        </is>
      </c>
      <c r="W2351" s="556" t="n">
        <v>77736</v>
      </c>
    </row>
    <row r="2352">
      <c r="A2352" s="521" t="n">
        <v>2344</v>
      </c>
      <c r="B2352" s="522" t="inlineStr">
        <is>
          <t>HANDLING AND TRUCKING FEE</t>
        </is>
      </c>
      <c r="C2352" s="522" t="inlineStr">
        <is>
          <t>អ៊ិចស្ពែឌីធ័រ ខេមបូឌា អិលធីឌី</t>
        </is>
      </c>
      <c r="D2352" s="522" t="inlineStr">
        <is>
          <t>L001-100045898</t>
        </is>
      </c>
      <c r="E2352" s="521" t="inlineStr">
        <is>
          <t>TI-0247909</t>
        </is>
      </c>
      <c r="F2352" s="523" t="n">
        <v>45048</v>
      </c>
      <c r="G2352" s="556" t="n">
        <v>111902</v>
      </c>
      <c r="I2352" s="521">
        <f>G2352</f>
        <v/>
      </c>
      <c r="K2352" s="521">
        <f>I2352-G2352</f>
        <v/>
      </c>
      <c r="M2352" s="522" t="inlineStr">
        <is>
          <t>TI0247909</t>
        </is>
      </c>
      <c r="N2352" s="522" t="inlineStr">
        <is>
          <t>TI0247909</t>
        </is>
      </c>
      <c r="O2352" s="521">
        <f>M2352=N2352</f>
        <v/>
      </c>
      <c r="P2352" s="521">
        <f>AND(MONTH(F2352)=MONTH(S2352), YEAR(F2352)=YEAR(S2352))</f>
        <v/>
      </c>
      <c r="Q2352" s="521">
        <f>U2352="L001-901905215"</f>
        <v/>
      </c>
      <c r="R2352" s="556">
        <f>G2352-W2352</f>
        <v/>
      </c>
      <c r="S2352" s="523" t="n">
        <v>45048</v>
      </c>
      <c r="T2352" s="522" t="inlineStr">
        <is>
          <t>TI-0247909</t>
        </is>
      </c>
      <c r="U2352" s="522" t="inlineStr">
        <is>
          <t>L001-901905215</t>
        </is>
      </c>
      <c r="V2352" s="522" t="inlineStr">
        <is>
          <t>វីអ៊ីស៊ិន (ខេមបូឌា) អ៊ិនដាសស្ទ្រី ឯ.ក</t>
        </is>
      </c>
      <c r="W2352" s="556" t="n">
        <v>111913</v>
      </c>
    </row>
    <row r="2353">
      <c r="A2353" s="521" t="n">
        <v>2345</v>
      </c>
      <c r="B2353" s="522" t="inlineStr">
        <is>
          <t>HANDLING AND TRUCKING FEE</t>
        </is>
      </c>
      <c r="C2353" s="522" t="inlineStr">
        <is>
          <t>អ៊ិចស្ពែឌីធ័រ ខេមបូឌា អិលធីឌី</t>
        </is>
      </c>
      <c r="D2353" s="522" t="inlineStr">
        <is>
          <t>L001-100045898</t>
        </is>
      </c>
      <c r="E2353" s="521" t="inlineStr">
        <is>
          <t>TI-0248205</t>
        </is>
      </c>
      <c r="F2353" s="523" t="n">
        <v>45053</v>
      </c>
      <c r="G2353" s="556" t="n">
        <v>57363</v>
      </c>
      <c r="I2353" s="521">
        <f>G2353</f>
        <v/>
      </c>
      <c r="K2353" s="521">
        <f>I2353-G2353</f>
        <v/>
      </c>
      <c r="M2353" s="522" t="inlineStr">
        <is>
          <t>TI0248205</t>
        </is>
      </c>
      <c r="N2353" s="522" t="inlineStr">
        <is>
          <t>TI0248205</t>
        </is>
      </c>
      <c r="O2353" s="521">
        <f>M2353=N2353</f>
        <v/>
      </c>
      <c r="P2353" s="521">
        <f>AND(MONTH(F2353)=MONTH(S2353), YEAR(F2353)=YEAR(S2353))</f>
        <v/>
      </c>
      <c r="Q2353" s="521">
        <f>U2353="L001-901905215"</f>
        <v/>
      </c>
      <c r="R2353" s="556">
        <f>G2353-W2353</f>
        <v/>
      </c>
      <c r="S2353" s="523" t="n">
        <v>45053</v>
      </c>
      <c r="T2353" s="522" t="inlineStr">
        <is>
          <t>TI-0248205</t>
        </is>
      </c>
      <c r="U2353" s="522" t="inlineStr">
        <is>
          <t>L001-901905215</t>
        </is>
      </c>
      <c r="V2353" s="522" t="inlineStr">
        <is>
          <t>វីអ៊ីស៊ិន (ខេមបូឌា) អ៊ិនដាសស្ទ្រី ឯ.ក</t>
        </is>
      </c>
      <c r="W2353" s="556" t="n">
        <v>57378</v>
      </c>
    </row>
    <row r="2354">
      <c r="A2354" s="521" t="n">
        <v>2346</v>
      </c>
      <c r="B2354" s="522" t="inlineStr">
        <is>
          <t>Export Charge</t>
        </is>
      </c>
      <c r="C2354" s="522" t="inlineStr">
        <is>
          <t>ឆាយ ដា ឡូយីស្ទីក</t>
        </is>
      </c>
      <c r="D2354" s="522" t="inlineStr">
        <is>
          <t>L001-100063098</t>
        </is>
      </c>
      <c r="E2354" s="521" t="inlineStr">
        <is>
          <t>2305005647</t>
        </is>
      </c>
      <c r="F2354" s="523" t="n">
        <v>45075</v>
      </c>
      <c r="G2354" s="556" t="n">
        <v>77736</v>
      </c>
      <c r="I2354" s="521">
        <f>G2354</f>
        <v/>
      </c>
      <c r="K2354" s="521">
        <f>I2354-G2354</f>
        <v/>
      </c>
      <c r="M2354" s="522" t="inlineStr">
        <is>
          <t>2305005647</t>
        </is>
      </c>
      <c r="N2354" s="522" t="inlineStr">
        <is>
          <t>2305005647</t>
        </is>
      </c>
      <c r="O2354" s="521">
        <f>M2354=N2354</f>
        <v/>
      </c>
      <c r="P2354" s="521">
        <f>AND(MONTH(F2354)=MONTH(S2354), YEAR(F2354)=YEAR(S2354))</f>
        <v/>
      </c>
      <c r="Q2354" s="521">
        <f>U2354="L001-901905215"</f>
        <v/>
      </c>
      <c r="R2354" s="556">
        <f>G2354-W2354</f>
        <v/>
      </c>
      <c r="S2354" s="523" t="n">
        <v>45075</v>
      </c>
      <c r="T2354" s="522" t="inlineStr">
        <is>
          <t>2305005647</t>
        </is>
      </c>
      <c r="U2354" s="522" t="inlineStr">
        <is>
          <t>L001-901905215</t>
        </is>
      </c>
      <c r="V2354" s="522" t="inlineStr">
        <is>
          <t>វីអ៊ីស៊ិន (ខេមបូឌា) អ៊ិនដាសស្ទ្រី ឯ.ក</t>
        </is>
      </c>
      <c r="W2354" s="556" t="n">
        <v>77736</v>
      </c>
    </row>
    <row r="2355">
      <c r="A2355" s="521" t="n">
        <v>2347</v>
      </c>
      <c r="B2355" s="522" t="inlineStr">
        <is>
          <t>HANDLING AND TRUCKING FEE</t>
        </is>
      </c>
      <c r="C2355" s="522" t="inlineStr">
        <is>
          <t>អ៊ិចស្ពែឌីធ័រ ខេមបូឌា អិលធីឌី</t>
        </is>
      </c>
      <c r="D2355" s="522" t="inlineStr">
        <is>
          <t>L001-100045898</t>
        </is>
      </c>
      <c r="E2355" s="521" t="inlineStr">
        <is>
          <t>TI-0247897</t>
        </is>
      </c>
      <c r="F2355" s="523" t="n">
        <v>45048</v>
      </c>
      <c r="G2355" s="556" t="n">
        <v>157469</v>
      </c>
      <c r="I2355" s="521">
        <f>G2355</f>
        <v/>
      </c>
      <c r="K2355" s="521">
        <f>I2355-G2355</f>
        <v/>
      </c>
      <c r="M2355" s="522" t="inlineStr">
        <is>
          <t>TI0247897</t>
        </is>
      </c>
      <c r="N2355" s="522" t="inlineStr">
        <is>
          <t>TI0247897</t>
        </is>
      </c>
      <c r="O2355" s="521">
        <f>M2355=N2355</f>
        <v/>
      </c>
      <c r="P2355" s="521">
        <f>AND(MONTH(F2355)=MONTH(S2355), YEAR(F2355)=YEAR(S2355))</f>
        <v/>
      </c>
      <c r="Q2355" s="521">
        <f>U2355="L001-901905215"</f>
        <v/>
      </c>
      <c r="R2355" s="556">
        <f>G2355-W2355</f>
        <v/>
      </c>
      <c r="S2355" s="523" t="n">
        <v>45048</v>
      </c>
      <c r="T2355" s="522" t="inlineStr">
        <is>
          <t>TI-0247897</t>
        </is>
      </c>
      <c r="U2355" s="522" t="inlineStr">
        <is>
          <t>L001-901905215</t>
        </is>
      </c>
      <c r="V2355" s="522" t="inlineStr">
        <is>
          <t>វីអ៊ីស៊ិន (ខេមបូឌា) អ៊ិនដាសស្ទ្រី ឯ.ក</t>
        </is>
      </c>
      <c r="W2355" s="556" t="n">
        <v>157469</v>
      </c>
    </row>
    <row r="2356">
      <c r="A2356" s="521" t="n">
        <v>2348</v>
      </c>
      <c r="B2356" s="522" t="inlineStr">
        <is>
          <t>Export Charge</t>
        </is>
      </c>
      <c r="C2356" s="522" t="inlineStr">
        <is>
          <t>ឆាយ ដា ឡូយីស្ទីក</t>
        </is>
      </c>
      <c r="D2356" s="522" t="inlineStr">
        <is>
          <t>L001-100063098</t>
        </is>
      </c>
      <c r="E2356" s="521" t="inlineStr">
        <is>
          <t>2305005645</t>
        </is>
      </c>
      <c r="F2356" s="523" t="n">
        <v>45075</v>
      </c>
      <c r="G2356" s="556" t="n">
        <v>90075</v>
      </c>
      <c r="I2356" s="521">
        <f>G2356</f>
        <v/>
      </c>
      <c r="K2356" s="521">
        <f>I2356-G2356</f>
        <v/>
      </c>
      <c r="M2356" s="522" t="inlineStr">
        <is>
          <t>2305005645</t>
        </is>
      </c>
      <c r="N2356" s="522" t="inlineStr">
        <is>
          <t>2305005645</t>
        </is>
      </c>
      <c r="O2356" s="521">
        <f>M2356=N2356</f>
        <v/>
      </c>
      <c r="P2356" s="521">
        <f>AND(MONTH(F2356)=MONTH(S2356), YEAR(F2356)=YEAR(S2356))</f>
        <v/>
      </c>
      <c r="Q2356" s="521">
        <f>U2356="L001-901905215"</f>
        <v/>
      </c>
      <c r="R2356" s="556">
        <f>G2356-W2356</f>
        <v/>
      </c>
      <c r="S2356" s="523" t="n">
        <v>45075</v>
      </c>
      <c r="T2356" s="522" t="inlineStr">
        <is>
          <t>2305005645</t>
        </is>
      </c>
      <c r="U2356" s="522" t="inlineStr">
        <is>
          <t>L001-901905215</t>
        </is>
      </c>
      <c r="V2356" s="522" t="inlineStr">
        <is>
          <t>វីអ៊ីស៊ិន (ខេមបូឌា) អ៊ិនដាសស្ទ្រី ឯ.ក</t>
        </is>
      </c>
      <c r="W2356" s="556" t="n">
        <v>90075</v>
      </c>
    </row>
    <row r="2357">
      <c r="A2357" s="521" t="n">
        <v>2349</v>
      </c>
      <c r="B2357" s="522" t="inlineStr">
        <is>
          <t>Worker fee</t>
        </is>
      </c>
      <c r="C2357" s="522" t="inlineStr">
        <is>
          <t>ឆាយ ដា ឡូយីស្ទីក</t>
        </is>
      </c>
      <c r="D2357" s="522" t="inlineStr">
        <is>
          <t>L001-100063098</t>
        </is>
      </c>
      <c r="E2357" s="521" t="inlineStr">
        <is>
          <t>2305005371</t>
        </is>
      </c>
      <c r="F2357" s="523" t="n">
        <v>45069</v>
      </c>
      <c r="G2357" s="556" t="n">
        <v>6168</v>
      </c>
      <c r="I2357" s="521">
        <f>G2357</f>
        <v/>
      </c>
      <c r="K2357" s="521">
        <f>I2357-G2357</f>
        <v/>
      </c>
      <c r="M2357" s="522" t="inlineStr">
        <is>
          <t>2305005371</t>
        </is>
      </c>
      <c r="N2357" s="522" t="inlineStr">
        <is>
          <t>2305005371</t>
        </is>
      </c>
      <c r="O2357" s="521">
        <f>M2357=N2357</f>
        <v/>
      </c>
      <c r="P2357" s="521">
        <f>AND(MONTH(F2357)=MONTH(S2357), YEAR(F2357)=YEAR(S2357))</f>
        <v/>
      </c>
      <c r="Q2357" s="521">
        <f>U2357="L001-901905215"</f>
        <v/>
      </c>
      <c r="R2357" s="556">
        <f>G2357-W2357</f>
        <v/>
      </c>
      <c r="S2357" s="523" t="n">
        <v>45069</v>
      </c>
      <c r="T2357" s="522" t="inlineStr">
        <is>
          <t>2305005371</t>
        </is>
      </c>
      <c r="U2357" s="522" t="inlineStr">
        <is>
          <t>L001-901905215</t>
        </is>
      </c>
      <c r="V2357" s="522" t="inlineStr">
        <is>
          <t>វីអ៊ីស៊ិន (ខេមបូឌា) អ៊ិនដាសស្ទ្រី ឯ.ក</t>
        </is>
      </c>
      <c r="W2357" s="556" t="n">
        <v>6168</v>
      </c>
    </row>
    <row r="2358">
      <c r="A2358" s="521" t="n">
        <v>2350</v>
      </c>
      <c r="B2358" s="522" t="n"/>
      <c r="C2358" s="522" t="inlineStr">
        <is>
          <t>ប្យួរ៉ូ វេរីតាស (ខេមបូឌា) លីមីធីត</t>
        </is>
      </c>
      <c r="D2358" s="522" t="inlineStr">
        <is>
          <t>L001-107024462</t>
        </is>
      </c>
      <c r="E2358" s="521" t="inlineStr">
        <is>
          <t>59007825</t>
        </is>
      </c>
      <c r="F2358" s="523" t="n">
        <v>44008</v>
      </c>
      <c r="G2358" s="556" t="n">
        <v>61275</v>
      </c>
      <c r="I2358" s="521">
        <f>G2358</f>
        <v/>
      </c>
      <c r="K2358" s="521">
        <f>I2358-G2358</f>
        <v/>
      </c>
      <c r="M2358" s="522" t="inlineStr">
        <is>
          <t>59007825</t>
        </is>
      </c>
      <c r="N2358" s="522" t="inlineStr">
        <is>
          <t>59007825</t>
        </is>
      </c>
      <c r="O2358" s="521">
        <f>M2358=N2358</f>
        <v/>
      </c>
      <c r="P2358" s="521">
        <f>AND(MONTH(F2358)=MONTH(S2358), YEAR(F2358)=YEAR(S2358))</f>
        <v/>
      </c>
      <c r="Q2358" s="521">
        <f>U2358="L001-901905215"</f>
        <v/>
      </c>
      <c r="R2358" s="556">
        <f>G2358-W2358</f>
        <v/>
      </c>
      <c r="S2358" s="523" t="n">
        <v>44008</v>
      </c>
      <c r="T2358" s="522" t="inlineStr">
        <is>
          <t>59007825</t>
        </is>
      </c>
      <c r="U2358" s="522" t="inlineStr">
        <is>
          <t>L001-901905215</t>
        </is>
      </c>
      <c r="V2358" s="522" t="inlineStr">
        <is>
          <t>វីអ៊ីស៊ិន (ខេមបូឌា) អ៊ិនដាសស្ទ្រី ឯ.ក</t>
        </is>
      </c>
      <c r="W2358" s="556" t="n">
        <v>61275</v>
      </c>
    </row>
    <row r="2359">
      <c r="A2359" s="521" t="n">
        <v>2351</v>
      </c>
      <c r="B2359" s="522" t="n"/>
      <c r="C2359" s="522" t="inlineStr">
        <is>
          <t>ភីស៊ីអាយ សឺវីស</t>
        </is>
      </c>
      <c r="D2359" s="522" t="inlineStr">
        <is>
          <t>K010-901639639</t>
        </is>
      </c>
      <c r="E2359" s="521" t="inlineStr">
        <is>
          <t>201901108</t>
        </is>
      </c>
      <c r="F2359" s="523" t="n">
        <v>44007</v>
      </c>
      <c r="G2359" s="556" t="n">
        <v>81500</v>
      </c>
      <c r="I2359" s="521">
        <f>G2359</f>
        <v/>
      </c>
      <c r="K2359" s="521">
        <f>I2359-G2359</f>
        <v/>
      </c>
      <c r="M2359" s="522" t="inlineStr">
        <is>
          <t>201901108</t>
        </is>
      </c>
      <c r="N2359" s="522" t="inlineStr"/>
      <c r="O2359" s="521">
        <f>M2359=N2359</f>
        <v/>
      </c>
      <c r="P2359" s="521">
        <f>AND(MONTH(F2359)=MONTH(S2359), YEAR(F2359)=YEAR(S2359))</f>
        <v/>
      </c>
      <c r="Q2359" s="521">
        <f>U2359="L001-901905215"</f>
        <v/>
      </c>
      <c r="R2359" s="556">
        <f>G2359-W2359</f>
        <v/>
      </c>
      <c r="S2359" s="521" t="n"/>
      <c r="T2359" s="522" t="n"/>
      <c r="U2359" s="522" t="n"/>
      <c r="V2359" s="522" t="n"/>
      <c r="W2359" s="521" t="n"/>
    </row>
    <row r="2360">
      <c r="A2360" s="521" t="n">
        <v>2352</v>
      </c>
      <c r="B2360" s="522" t="n"/>
      <c r="C2360" s="522" t="inlineStr">
        <is>
          <t>យីងកឺ ខេម ឯ.ក</t>
        </is>
      </c>
      <c r="D2360" s="522" t="inlineStr">
        <is>
          <t>K003-901900367</t>
        </is>
      </c>
      <c r="E2360" s="521" t="inlineStr">
        <is>
          <t>YK20041</t>
        </is>
      </c>
      <c r="F2360" s="523" t="n">
        <v>43990</v>
      </c>
      <c r="G2360" s="556" t="n">
        <v>485491</v>
      </c>
      <c r="I2360" s="521">
        <f>G2360</f>
        <v/>
      </c>
      <c r="K2360" s="521">
        <f>I2360-G2360</f>
        <v/>
      </c>
      <c r="M2360" s="522" t="inlineStr">
        <is>
          <t>YK20041</t>
        </is>
      </c>
      <c r="N2360" s="522" t="inlineStr">
        <is>
          <t>YK20041</t>
        </is>
      </c>
      <c r="O2360" s="521">
        <f>M2360=N2360</f>
        <v/>
      </c>
      <c r="P2360" s="521">
        <f>AND(MONTH(F2360)=MONTH(S2360), YEAR(F2360)=YEAR(S2360))</f>
        <v/>
      </c>
      <c r="Q2360" s="521">
        <f>U2360="L001-901905215"</f>
        <v/>
      </c>
      <c r="R2360" s="556">
        <f>G2360-W2360</f>
        <v/>
      </c>
      <c r="S2360" s="523" t="n">
        <v>43990</v>
      </c>
      <c r="T2360" s="522" t="inlineStr">
        <is>
          <t>YK20041</t>
        </is>
      </c>
      <c r="U2360" s="522" t="inlineStr">
        <is>
          <t>L001-901905215</t>
        </is>
      </c>
      <c r="V2360" s="522" t="inlineStr">
        <is>
          <t>វីអ៊ីស៊ិន (ខេមបូឌា) អ៊ិនដាសស្ទ្រី ឯ.ក</t>
        </is>
      </c>
      <c r="W2360" s="556" t="n">
        <v>485491</v>
      </c>
    </row>
    <row r="2361">
      <c r="A2361" s="521" t="n">
        <v>2353</v>
      </c>
      <c r="B2361" s="522" t="n"/>
      <c r="C2361" s="522" t="inlineStr">
        <is>
          <t>ខេមបូឌាន វ៉ាយភីស៊ី ត្រេឌីង ឯ.ក</t>
        </is>
      </c>
      <c r="D2361" s="522" t="inlineStr">
        <is>
          <t>B108-901904896</t>
        </is>
      </c>
      <c r="E2361" s="521" t="inlineStr">
        <is>
          <t>20200057</t>
        </is>
      </c>
      <c r="F2361" s="523" t="n">
        <v>44012</v>
      </c>
      <c r="G2361" s="556" t="n">
        <v>1361090</v>
      </c>
      <c r="I2361" s="521">
        <f>G2361</f>
        <v/>
      </c>
      <c r="K2361" s="521">
        <f>I2361-G2361</f>
        <v/>
      </c>
      <c r="M2361" s="522" t="inlineStr">
        <is>
          <t>20200057</t>
        </is>
      </c>
      <c r="N2361" s="522" t="inlineStr"/>
      <c r="O2361" s="521">
        <f>M2361=N2361</f>
        <v/>
      </c>
      <c r="P2361" s="521">
        <f>AND(MONTH(F2361)=MONTH(S2361), YEAR(F2361)=YEAR(S2361))</f>
        <v/>
      </c>
      <c r="Q2361" s="521">
        <f>U2361="L001-901905215"</f>
        <v/>
      </c>
      <c r="R2361" s="556">
        <f>G2361-W2361</f>
        <v/>
      </c>
      <c r="S2361" s="521" t="n"/>
      <c r="T2361" s="522" t="n"/>
      <c r="U2361" s="522" t="n"/>
      <c r="V2361" s="522" t="n"/>
      <c r="W2361" s="521" t="n"/>
    </row>
    <row r="2362">
      <c r="A2362" s="521" t="n">
        <v>2354</v>
      </c>
      <c r="B2362" s="522" t="n"/>
      <c r="C2362" s="522" t="inlineStr">
        <is>
          <t>កំពង់ផែស្វយ័តភ្នំពេញ "ក.ស.ភ"</t>
        </is>
      </c>
      <c r="D2362" s="522" t="inlineStr">
        <is>
          <t>L001-100044999</t>
        </is>
      </c>
      <c r="E2362" s="521" t="inlineStr">
        <is>
          <t>INV20200630470</t>
        </is>
      </c>
      <c r="F2362" s="523" t="n">
        <v>44012</v>
      </c>
      <c r="G2362" s="556" t="n">
        <v>29284</v>
      </c>
      <c r="I2362" s="521">
        <f>G2362</f>
        <v/>
      </c>
      <c r="K2362" s="521">
        <f>I2362-G2362</f>
        <v/>
      </c>
      <c r="M2362" s="522" t="inlineStr">
        <is>
          <t>INV20200630470</t>
        </is>
      </c>
      <c r="N2362" s="522" t="inlineStr"/>
      <c r="O2362" s="521">
        <f>M2362=N2362</f>
        <v/>
      </c>
      <c r="P2362" s="521">
        <f>AND(MONTH(F2362)=MONTH(S2362), YEAR(F2362)=YEAR(S2362))</f>
        <v/>
      </c>
      <c r="Q2362" s="521">
        <f>U2362="L001-901905215"</f>
        <v/>
      </c>
      <c r="R2362" s="556">
        <f>G2362-W2362</f>
        <v/>
      </c>
      <c r="S2362" s="521" t="n"/>
      <c r="T2362" s="522" t="n"/>
      <c r="U2362" s="522" t="n"/>
      <c r="V2362" s="522" t="n"/>
      <c r="W2362" s="521" t="n"/>
    </row>
    <row r="2363">
      <c r="A2363" s="521" t="n">
        <v>2355</v>
      </c>
      <c r="B2363" s="522" t="n"/>
      <c r="C2363" s="522" t="inlineStr">
        <is>
          <t>អ៊ីជីអេហ្វ ឡូជីស្ទីក ខូ អិលធីឌី</t>
        </is>
      </c>
      <c r="D2363" s="522" t="inlineStr">
        <is>
          <t>L001-901501877</t>
        </is>
      </c>
      <c r="E2363" s="521" t="inlineStr">
        <is>
          <t>2004510</t>
        </is>
      </c>
      <c r="F2363" s="523" t="n">
        <v>44012</v>
      </c>
      <c r="G2363" s="556" t="n">
        <v>94139</v>
      </c>
      <c r="I2363" s="521">
        <f>G2363</f>
        <v/>
      </c>
      <c r="K2363" s="521">
        <f>I2363-G2363</f>
        <v/>
      </c>
      <c r="M2363" s="522" t="inlineStr">
        <is>
          <t>2004510</t>
        </is>
      </c>
      <c r="N2363" s="522" t="inlineStr">
        <is>
          <t>2004510</t>
        </is>
      </c>
      <c r="O2363" s="521">
        <f>M2363=N2363</f>
        <v/>
      </c>
      <c r="P2363" s="521">
        <f>AND(MONTH(F2363)=MONTH(S2363), YEAR(F2363)=YEAR(S2363))</f>
        <v/>
      </c>
      <c r="Q2363" s="521">
        <f>U2363="L001-901905215"</f>
        <v/>
      </c>
      <c r="R2363" s="556">
        <f>G2363-W2363</f>
        <v/>
      </c>
      <c r="S2363" s="523" t="n">
        <v>44012</v>
      </c>
      <c r="T2363" s="522" t="inlineStr">
        <is>
          <t>2004510</t>
        </is>
      </c>
      <c r="U2363" s="522" t="inlineStr">
        <is>
          <t>L001-901905215</t>
        </is>
      </c>
      <c r="V2363" s="522" t="inlineStr">
        <is>
          <t>វីអ៊ីស៊ិន (ខេមបូឌា) អ៊ិនដាសស្ទ្រី ឯ.ក</t>
        </is>
      </c>
      <c r="W2363" s="556" t="n">
        <v>94139</v>
      </c>
    </row>
    <row r="2364">
      <c r="A2364" s="521" t="n">
        <v>2356</v>
      </c>
      <c r="B2364" s="522" t="n"/>
      <c r="C2364" s="522" t="inlineStr">
        <is>
          <t>ខេមបូឌាន វ៉ាយភីស៊ី ត្រេឌីង ឯ.ក</t>
        </is>
      </c>
      <c r="D2364" s="522" t="inlineStr">
        <is>
          <t>B108-901904896</t>
        </is>
      </c>
      <c r="E2364" s="521" t="inlineStr">
        <is>
          <t>20200047</t>
        </is>
      </c>
      <c r="F2364" s="523" t="n">
        <v>43997</v>
      </c>
      <c r="G2364" s="556" t="n">
        <v>663213</v>
      </c>
      <c r="I2364" s="521">
        <f>G2364</f>
        <v/>
      </c>
      <c r="K2364" s="521">
        <f>I2364-G2364</f>
        <v/>
      </c>
      <c r="M2364" s="522" t="inlineStr">
        <is>
          <t>20200047</t>
        </is>
      </c>
      <c r="N2364" s="522" t="inlineStr"/>
      <c r="O2364" s="521">
        <f>M2364=N2364</f>
        <v/>
      </c>
      <c r="P2364" s="521">
        <f>AND(MONTH(F2364)=MONTH(S2364), YEAR(F2364)=YEAR(S2364))</f>
        <v/>
      </c>
      <c r="Q2364" s="521">
        <f>U2364="L001-901905215"</f>
        <v/>
      </c>
      <c r="R2364" s="556">
        <f>G2364-W2364</f>
        <v/>
      </c>
      <c r="S2364" s="521" t="n"/>
      <c r="T2364" s="522" t="n"/>
      <c r="U2364" s="522" t="n"/>
      <c r="V2364" s="522" t="n"/>
      <c r="W2364" s="521" t="n"/>
    </row>
    <row r="2365">
      <c r="A2365" s="521" t="n">
        <v>2357</v>
      </c>
      <c r="B2365" s="522" t="n"/>
      <c r="C2365" s="522" t="inlineStr">
        <is>
          <t>វ៉ាយ.ស៊ី ផេកខេជីង ឯ.ក</t>
        </is>
      </c>
      <c r="D2365" s="522" t="inlineStr">
        <is>
          <t>L001-901700417</t>
        </is>
      </c>
      <c r="E2365" s="521" t="inlineStr">
        <is>
          <t>TI0097</t>
        </is>
      </c>
      <c r="F2365" s="523" t="n">
        <v>44004</v>
      </c>
      <c r="G2365" s="556" t="n">
        <v>6932898</v>
      </c>
      <c r="I2365" s="521">
        <f>G2365</f>
        <v/>
      </c>
      <c r="K2365" s="521">
        <f>I2365-G2365</f>
        <v/>
      </c>
      <c r="M2365" s="522" t="inlineStr">
        <is>
          <t>TI0097</t>
        </is>
      </c>
      <c r="N2365" s="522" t="inlineStr">
        <is>
          <t>TI0097</t>
        </is>
      </c>
      <c r="O2365" s="521">
        <f>M2365=N2365</f>
        <v/>
      </c>
      <c r="P2365" s="521">
        <f>AND(MONTH(F2365)=MONTH(S2365), YEAR(F2365)=YEAR(S2365))</f>
        <v/>
      </c>
      <c r="Q2365" s="521">
        <f>U2365="L001-901905215"</f>
        <v/>
      </c>
      <c r="R2365" s="556">
        <f>G2365-W2365</f>
        <v/>
      </c>
      <c r="S2365" s="523" t="n">
        <v>44004</v>
      </c>
      <c r="T2365" s="522" t="inlineStr">
        <is>
          <t>TI0097</t>
        </is>
      </c>
      <c r="U2365" s="522" t="inlineStr">
        <is>
          <t>L001-901905215</t>
        </is>
      </c>
      <c r="V2365" s="522" t="inlineStr">
        <is>
          <t>វីអ៊ីស៊ិន (ខេមបូឌា) អ៊ិនដាសស្ទ្រី ឯ.ក</t>
        </is>
      </c>
      <c r="W2365" s="556" t="n">
        <v>6980652</v>
      </c>
    </row>
    <row r="2366">
      <c r="A2366" s="521" t="n">
        <v>2358</v>
      </c>
      <c r="B2366" s="522" t="n"/>
      <c r="C2366" s="522" t="inlineStr">
        <is>
          <t>វ៉ាយ.ស៊ី ផេកខេជីង ឯ.ក</t>
        </is>
      </c>
      <c r="D2366" s="522" t="inlineStr">
        <is>
          <t>L001-901700417</t>
        </is>
      </c>
      <c r="E2366" s="521" t="inlineStr">
        <is>
          <t>TI0094</t>
        </is>
      </c>
      <c r="F2366" s="523" t="n">
        <v>43994</v>
      </c>
      <c r="G2366" s="556" t="n">
        <v>1567027</v>
      </c>
      <c r="I2366" s="521">
        <f>G2366</f>
        <v/>
      </c>
      <c r="K2366" s="521">
        <f>I2366-G2366</f>
        <v/>
      </c>
      <c r="M2366" s="522" t="inlineStr">
        <is>
          <t>TI0094</t>
        </is>
      </c>
      <c r="N2366" s="522" t="inlineStr">
        <is>
          <t>TI0094</t>
        </is>
      </c>
      <c r="O2366" s="521">
        <f>M2366=N2366</f>
        <v/>
      </c>
      <c r="P2366" s="521">
        <f>AND(MONTH(F2366)=MONTH(S2366), YEAR(F2366)=YEAR(S2366))</f>
        <v/>
      </c>
      <c r="Q2366" s="521">
        <f>U2366="L001-901905215"</f>
        <v/>
      </c>
      <c r="R2366" s="556">
        <f>G2366-W2366</f>
        <v/>
      </c>
      <c r="S2366" s="523" t="n">
        <v>43994</v>
      </c>
      <c r="T2366" s="522" t="inlineStr">
        <is>
          <t>TI0094</t>
        </is>
      </c>
      <c r="U2366" s="522" t="inlineStr">
        <is>
          <t>L001-901905215</t>
        </is>
      </c>
      <c r="V2366" s="522" t="inlineStr">
        <is>
          <t>វីអ៊ីស៊ិន (ខេមបូឌា) អ៊ិនដាសស្ទ្រី ឯ.ក</t>
        </is>
      </c>
      <c r="W2366" s="556" t="n">
        <v>1568945</v>
      </c>
    </row>
    <row r="2367">
      <c r="A2367" s="521" t="n">
        <v>2359</v>
      </c>
      <c r="B2367" s="522" t="n"/>
      <c r="C2367" s="522" t="inlineStr">
        <is>
          <t>អ៊ិនធើថេក ថេសធីង សឺវីស (ខេមបូឌា) ខមភេនី លីមីធីត</t>
        </is>
      </c>
      <c r="D2367" s="522" t="inlineStr">
        <is>
          <t>L001-100045707</t>
        </is>
      </c>
      <c r="E2367" s="521" t="inlineStr">
        <is>
          <t>KHM20200006461</t>
        </is>
      </c>
      <c r="F2367" s="523" t="n">
        <v>43998</v>
      </c>
      <c r="G2367" s="556" t="n">
        <v>57464</v>
      </c>
      <c r="I2367" s="521">
        <f>G2367</f>
        <v/>
      </c>
      <c r="K2367" s="521">
        <f>I2367-G2367</f>
        <v/>
      </c>
      <c r="M2367" s="522" t="inlineStr">
        <is>
          <t>KHM20200006461</t>
        </is>
      </c>
      <c r="N2367" s="522" t="inlineStr"/>
      <c r="O2367" s="521">
        <f>M2367=N2367</f>
        <v/>
      </c>
      <c r="P2367" s="521">
        <f>AND(MONTH(F2367)=MONTH(S2367), YEAR(F2367)=YEAR(S2367))</f>
        <v/>
      </c>
      <c r="Q2367" s="521">
        <f>U2367="L001-901905215"</f>
        <v/>
      </c>
      <c r="R2367" s="556">
        <f>G2367-W2367</f>
        <v/>
      </c>
      <c r="S2367" s="521" t="n"/>
      <c r="T2367" s="522" t="n"/>
      <c r="U2367" s="522" t="n"/>
      <c r="V2367" s="522" t="n"/>
      <c r="W2367" s="521" t="n"/>
    </row>
    <row r="2368">
      <c r="A2368" s="521" t="n">
        <v>2360</v>
      </c>
      <c r="B2368" s="522" t="n"/>
      <c r="C2368" s="522" t="inlineStr">
        <is>
          <t>អ៊ិចស្ពែឌីធ័រ ខេមបូឌា អិលធីឌី</t>
        </is>
      </c>
      <c r="D2368" s="522" t="inlineStr">
        <is>
          <t>L001-100045898</t>
        </is>
      </c>
      <c r="E2368" s="521" t="inlineStr">
        <is>
          <t>TI0179089</t>
        </is>
      </c>
      <c r="F2368" s="523" t="n">
        <v>44012</v>
      </c>
      <c r="G2368" s="556" t="n">
        <v>146939</v>
      </c>
      <c r="I2368" s="521">
        <f>G2368</f>
        <v/>
      </c>
      <c r="K2368" s="521">
        <f>I2368-G2368</f>
        <v/>
      </c>
      <c r="M2368" s="522" t="inlineStr">
        <is>
          <t>TI0179089</t>
        </is>
      </c>
      <c r="N2368" s="522" t="inlineStr">
        <is>
          <t>TI0179089</t>
        </is>
      </c>
      <c r="O2368" s="521">
        <f>M2368=N2368</f>
        <v/>
      </c>
      <c r="P2368" s="521">
        <f>AND(MONTH(F2368)=MONTH(S2368), YEAR(F2368)=YEAR(S2368))</f>
        <v/>
      </c>
      <c r="Q2368" s="521">
        <f>U2368="L001-901905215"</f>
        <v/>
      </c>
      <c r="R2368" s="556">
        <f>G2368-W2368</f>
        <v/>
      </c>
      <c r="S2368" s="523" t="n">
        <v>44012</v>
      </c>
      <c r="T2368" s="522" t="inlineStr">
        <is>
          <t>TI-0179089</t>
        </is>
      </c>
      <c r="U2368" s="522" t="inlineStr">
        <is>
          <t>L001-901905215</t>
        </is>
      </c>
      <c r="V2368" s="522" t="inlineStr">
        <is>
          <t>វីអ៊ីស៊ិន (ខេមបូឌា) អ៊ិនដាសស្ទ្រី ឯ.ក</t>
        </is>
      </c>
      <c r="W2368" s="556" t="n">
        <v>146939</v>
      </c>
    </row>
    <row r="2369">
      <c r="A2369" s="521" t="n">
        <v>2361</v>
      </c>
      <c r="B2369" s="522" t="n"/>
      <c r="C2369" s="522" t="inlineStr">
        <is>
          <t>អ៊ិចស្ពែឌីធ័រ ខេមបូឌា អិលធីឌី</t>
        </is>
      </c>
      <c r="D2369" s="522" t="inlineStr">
        <is>
          <t>L001-100045898</t>
        </is>
      </c>
      <c r="E2369" s="521" t="inlineStr">
        <is>
          <t>TI0179082</t>
        </is>
      </c>
      <c r="F2369" s="523" t="n">
        <v>44012</v>
      </c>
      <c r="G2369" s="556" t="n">
        <v>173134</v>
      </c>
      <c r="I2369" s="521">
        <f>G2369</f>
        <v/>
      </c>
      <c r="K2369" s="521">
        <f>I2369-G2369</f>
        <v/>
      </c>
      <c r="M2369" s="522" t="inlineStr">
        <is>
          <t>TI0179082</t>
        </is>
      </c>
      <c r="N2369" s="522" t="inlineStr">
        <is>
          <t>TI0179082</t>
        </is>
      </c>
      <c r="O2369" s="521">
        <f>M2369=N2369</f>
        <v/>
      </c>
      <c r="P2369" s="521">
        <f>AND(MONTH(F2369)=MONTH(S2369), YEAR(F2369)=YEAR(S2369))</f>
        <v/>
      </c>
      <c r="Q2369" s="521">
        <f>U2369="L001-901905215"</f>
        <v/>
      </c>
      <c r="R2369" s="556">
        <f>G2369-W2369</f>
        <v/>
      </c>
      <c r="S2369" s="523" t="n">
        <v>44012</v>
      </c>
      <c r="T2369" s="522" t="inlineStr">
        <is>
          <t>TI-0179082</t>
        </is>
      </c>
      <c r="U2369" s="522" t="inlineStr">
        <is>
          <t>L001-901905215</t>
        </is>
      </c>
      <c r="V2369" s="522" t="inlineStr">
        <is>
          <t>វីអ៊ីស៊ិន (ខេមបូឌា) អ៊ិនដាសស្ទ្រី ឯ.ក</t>
        </is>
      </c>
      <c r="W2369" s="556" t="n">
        <v>173134</v>
      </c>
    </row>
    <row r="2370">
      <c r="A2370" s="521" t="n">
        <v>2362</v>
      </c>
      <c r="B2370" s="522" t="n"/>
      <c r="C2370" s="522" t="inlineStr">
        <is>
          <t>កំពង់ផែស្វយ័តភ្នំពេញ "ក.ស.ភ"</t>
        </is>
      </c>
      <c r="D2370" s="522" t="inlineStr">
        <is>
          <t>L001-100044999</t>
        </is>
      </c>
      <c r="E2370" s="521" t="inlineStr">
        <is>
          <t>INV20200629768</t>
        </is>
      </c>
      <c r="F2370" s="523" t="n">
        <v>44009</v>
      </c>
      <c r="G2370" s="556" t="n">
        <v>29226</v>
      </c>
      <c r="I2370" s="521">
        <f>G2370</f>
        <v/>
      </c>
      <c r="K2370" s="521">
        <f>I2370-G2370</f>
        <v/>
      </c>
      <c r="M2370" s="522" t="inlineStr">
        <is>
          <t>INV20200629768</t>
        </is>
      </c>
      <c r="N2370" s="522" t="inlineStr"/>
      <c r="O2370" s="521">
        <f>M2370=N2370</f>
        <v/>
      </c>
      <c r="P2370" s="521">
        <f>AND(MONTH(F2370)=MONTH(S2370), YEAR(F2370)=YEAR(S2370))</f>
        <v/>
      </c>
      <c r="Q2370" s="521">
        <f>U2370="L001-901905215"</f>
        <v/>
      </c>
      <c r="R2370" s="556">
        <f>G2370-W2370</f>
        <v/>
      </c>
      <c r="S2370" s="521" t="n"/>
      <c r="T2370" s="522" t="n"/>
      <c r="U2370" s="522" t="n"/>
      <c r="V2370" s="522" t="n"/>
      <c r="W2370" s="521" t="n"/>
    </row>
    <row r="2371">
      <c r="A2371" s="521" t="n">
        <v>2363</v>
      </c>
      <c r="B2371" s="522" t="inlineStr">
        <is>
          <t>External Audit service fee</t>
        </is>
      </c>
      <c r="C2371" s="522" t="inlineStr">
        <is>
          <t>យីងកឺ ខេម ថេក អ៊ែតវ៉ាយហ្សឺរី ឯ.ក</t>
        </is>
      </c>
      <c r="D2371" s="522" t="inlineStr">
        <is>
          <t>K003-902005313</t>
        </is>
      </c>
      <c r="E2371" s="521" t="inlineStr">
        <is>
          <t>YKT21-091</t>
        </is>
      </c>
      <c r="F2371" s="523" t="n">
        <v>44357</v>
      </c>
      <c r="G2371" s="556" t="n">
        <v>1020500</v>
      </c>
      <c r="I2371" s="521">
        <f>G2371</f>
        <v/>
      </c>
      <c r="K2371" s="521">
        <f>I2371-G2371</f>
        <v/>
      </c>
      <c r="M2371" s="522" t="inlineStr">
        <is>
          <t>YKT21091</t>
        </is>
      </c>
      <c r="N2371" s="522" t="inlineStr">
        <is>
          <t>YKT21091</t>
        </is>
      </c>
      <c r="O2371" s="521">
        <f>M2371=N2371</f>
        <v/>
      </c>
      <c r="P2371" s="521">
        <f>AND(MONTH(F2371)=MONTH(S2371), YEAR(F2371)=YEAR(S2371))</f>
        <v/>
      </c>
      <c r="Q2371" s="521">
        <f>U2371="L001-901905215"</f>
        <v/>
      </c>
      <c r="R2371" s="556">
        <f>G2371-W2371</f>
        <v/>
      </c>
      <c r="S2371" s="523" t="n">
        <v>44354</v>
      </c>
      <c r="T2371" s="522" t="inlineStr">
        <is>
          <t>YKT21-091</t>
        </is>
      </c>
      <c r="U2371" s="522" t="inlineStr">
        <is>
          <t>L001-901905215</t>
        </is>
      </c>
      <c r="V2371" s="522" t="inlineStr">
        <is>
          <t>វីអ៊ីស៊ិន (ខេមបូឌា) អ៊ិនដាសស្ទ្រី ឯ.ក</t>
        </is>
      </c>
      <c r="W2371" s="556" t="n">
        <v>1020500</v>
      </c>
    </row>
    <row r="2372">
      <c r="A2372" s="521" t="n">
        <v>2364</v>
      </c>
      <c r="B2372" s="522" t="inlineStr">
        <is>
          <t>Monthly Tax declaration for May 2021</t>
        </is>
      </c>
      <c r="C2372" s="522" t="inlineStr">
        <is>
          <t>យីងកឺ ខេម ថេក អ៊ែតវ៉ាយហ្សឺរី ឯ.ក</t>
        </is>
      </c>
      <c r="D2372" s="522" t="inlineStr">
        <is>
          <t>K003-902005313</t>
        </is>
      </c>
      <c r="E2372" s="521" t="inlineStr">
        <is>
          <t>YKT21-090</t>
        </is>
      </c>
      <c r="F2372" s="523" t="n">
        <v>44354</v>
      </c>
      <c r="G2372" s="556" t="n">
        <v>241091</v>
      </c>
      <c r="I2372" s="521">
        <f>G2372</f>
        <v/>
      </c>
      <c r="K2372" s="521">
        <f>I2372-G2372</f>
        <v/>
      </c>
      <c r="M2372" s="522" t="inlineStr">
        <is>
          <t>YKT21090</t>
        </is>
      </c>
      <c r="N2372" s="522" t="inlineStr">
        <is>
          <t>YKT21090</t>
        </is>
      </c>
      <c r="O2372" s="521">
        <f>M2372=N2372</f>
        <v/>
      </c>
      <c r="P2372" s="521">
        <f>AND(MONTH(F2372)=MONTH(S2372), YEAR(F2372)=YEAR(S2372))</f>
        <v/>
      </c>
      <c r="Q2372" s="521">
        <f>U2372="L001-901905215"</f>
        <v/>
      </c>
      <c r="R2372" s="556">
        <f>G2372-W2372</f>
        <v/>
      </c>
      <c r="S2372" s="523" t="n">
        <v>44354</v>
      </c>
      <c r="T2372" s="522" t="inlineStr">
        <is>
          <t>YKT21-090</t>
        </is>
      </c>
      <c r="U2372" s="522" t="inlineStr">
        <is>
          <t>L001-901905215</t>
        </is>
      </c>
      <c r="V2372" s="522" t="inlineStr">
        <is>
          <t>វីអ៊ីស៊ិន (ខេមបូឌា) អ៊ិនដាសស្ទ្រី ឯ.ក</t>
        </is>
      </c>
      <c r="W2372" s="556" t="n">
        <v>241091</v>
      </c>
    </row>
    <row r="2373">
      <c r="A2373" s="521" t="n">
        <v>2365</v>
      </c>
      <c r="B2373" s="522" t="inlineStr">
        <is>
          <t>Lift Off Charges</t>
        </is>
      </c>
      <c r="C2373" s="522" t="inlineStr">
        <is>
          <t>កំពង់ផែស្វយ័តភ្នំពេញ "ក.ស.ភ"</t>
        </is>
      </c>
      <c r="D2373" s="522" t="inlineStr">
        <is>
          <t>L001-100044999</t>
        </is>
      </c>
      <c r="E2373" s="521" t="inlineStr">
        <is>
          <t>INV20210633531</t>
        </is>
      </c>
      <c r="F2373" s="523" t="n">
        <v>44373</v>
      </c>
      <c r="G2373" s="556" t="n">
        <v>29340</v>
      </c>
      <c r="I2373" s="521">
        <f>G2373</f>
        <v/>
      </c>
      <c r="K2373" s="521">
        <f>I2373-G2373</f>
        <v/>
      </c>
      <c r="M2373" s="522" t="inlineStr">
        <is>
          <t>INV20210633531</t>
        </is>
      </c>
      <c r="N2373" s="522" t="inlineStr"/>
      <c r="O2373" s="521">
        <f>M2373=N2373</f>
        <v/>
      </c>
      <c r="P2373" s="521">
        <f>AND(MONTH(F2373)=MONTH(S2373), YEAR(F2373)=YEAR(S2373))</f>
        <v/>
      </c>
      <c r="Q2373" s="521">
        <f>U2373="L001-901905215"</f>
        <v/>
      </c>
      <c r="R2373" s="556">
        <f>G2373-W2373</f>
        <v/>
      </c>
      <c r="S2373" s="521" t="n"/>
      <c r="T2373" s="522" t="n"/>
      <c r="U2373" s="522" t="n"/>
      <c r="V2373" s="522" t="n"/>
      <c r="W2373" s="521" t="n"/>
    </row>
    <row r="2374">
      <c r="A2374" s="521" t="n">
        <v>2366</v>
      </c>
      <c r="B2374" s="522" t="inlineStr">
        <is>
          <t>Custom Clearance</t>
        </is>
      </c>
      <c r="C2374" s="522" t="inlineStr">
        <is>
          <t>56ប៊ី-លីង សឹបផ្លាយ ឆេន មេនេចម៉ិន ឯ.ក</t>
        </is>
      </c>
      <c r="D2374" s="522" t="inlineStr">
        <is>
          <t>K004-902004795</t>
        </is>
      </c>
      <c r="E2374" s="521" t="inlineStr">
        <is>
          <t>IN202106-0366</t>
        </is>
      </c>
      <c r="F2374" s="523" t="n">
        <v>44377</v>
      </c>
      <c r="G2374" s="556" t="n">
        <v>338225</v>
      </c>
      <c r="I2374" s="521">
        <f>G2374</f>
        <v/>
      </c>
      <c r="K2374" s="521">
        <f>I2374-G2374</f>
        <v/>
      </c>
      <c r="M2374" s="522" t="inlineStr">
        <is>
          <t>IN2021060366</t>
        </is>
      </c>
      <c r="N2374" s="522" t="inlineStr">
        <is>
          <t>IN2021060366</t>
        </is>
      </c>
      <c r="O2374" s="521">
        <f>M2374=N2374</f>
        <v/>
      </c>
      <c r="P2374" s="521">
        <f>AND(MONTH(F2374)=MONTH(S2374), YEAR(F2374)=YEAR(S2374))</f>
        <v/>
      </c>
      <c r="Q2374" s="521">
        <f>U2374="L001-901905215"</f>
        <v/>
      </c>
      <c r="R2374" s="556">
        <f>G2374-W2374</f>
        <v/>
      </c>
      <c r="S2374" s="523" t="n">
        <v>44377</v>
      </c>
      <c r="T2374" s="522" t="inlineStr">
        <is>
          <t>IN202106-0366</t>
        </is>
      </c>
      <c r="U2374" s="522" t="inlineStr">
        <is>
          <t>L001-901905215</t>
        </is>
      </c>
      <c r="V2374" s="522" t="inlineStr">
        <is>
          <t>វីអ៊ីស៊ិន (ខេមបូឌា) អ៊ិនដាសស្ទ្រី ឯ.ក</t>
        </is>
      </c>
      <c r="W2374" s="556" t="n">
        <v>338225</v>
      </c>
    </row>
    <row r="2375">
      <c r="A2375" s="521" t="n">
        <v>2367</v>
      </c>
      <c r="B2375" s="522" t="inlineStr">
        <is>
          <t>KHCIC</t>
        </is>
      </c>
      <c r="C2375" s="522" t="inlineStr">
        <is>
          <t>អេសអាយធីស៊ី ខិនថេនើរ ឡាញ (ខេមបូឌា)</t>
        </is>
      </c>
      <c r="D2375" s="522" t="inlineStr">
        <is>
          <t>L001-107035863</t>
        </is>
      </c>
      <c r="E2375" s="521" t="inlineStr">
        <is>
          <t>SITC2021-010553</t>
        </is>
      </c>
      <c r="F2375" s="523" t="n">
        <v>44370</v>
      </c>
      <c r="G2375" s="556" t="n">
        <v>430335</v>
      </c>
      <c r="I2375" s="521">
        <f>G2375</f>
        <v/>
      </c>
      <c r="K2375" s="521">
        <f>I2375-G2375</f>
        <v/>
      </c>
      <c r="M2375" s="522" t="inlineStr">
        <is>
          <t>SITC2021010553</t>
        </is>
      </c>
      <c r="N2375" s="522" t="inlineStr"/>
      <c r="O2375" s="521">
        <f>M2375=N2375</f>
        <v/>
      </c>
      <c r="P2375" s="521">
        <f>AND(MONTH(F2375)=MONTH(S2375), YEAR(F2375)=YEAR(S2375))</f>
        <v/>
      </c>
      <c r="Q2375" s="521">
        <f>U2375="L001-901905215"</f>
        <v/>
      </c>
      <c r="R2375" s="556">
        <f>G2375-W2375</f>
        <v/>
      </c>
      <c r="S2375" s="521" t="n"/>
      <c r="T2375" s="522" t="n"/>
      <c r="U2375" s="522" t="n"/>
      <c r="V2375" s="522" t="n"/>
      <c r="W2375" s="521" t="n"/>
    </row>
    <row r="2376">
      <c r="A2376" s="521" t="n">
        <v>2368</v>
      </c>
      <c r="B2376" s="522" t="inlineStr">
        <is>
          <t>Lift Off Charges</t>
        </is>
      </c>
      <c r="C2376" s="522" t="inlineStr">
        <is>
          <t>កំពង់ផែស្វយ័តក្រុងព្រះសីហនុ</t>
        </is>
      </c>
      <c r="D2376" s="522" t="inlineStr">
        <is>
          <t>L001-100044638</t>
        </is>
      </c>
      <c r="E2376" s="521" t="inlineStr">
        <is>
          <t>105884</t>
        </is>
      </c>
      <c r="F2376" s="523" t="n">
        <v>44377</v>
      </c>
      <c r="G2376" s="556" t="n">
        <v>70905</v>
      </c>
      <c r="I2376" s="521">
        <f>G2376</f>
        <v/>
      </c>
      <c r="K2376" s="521">
        <f>I2376-G2376</f>
        <v/>
      </c>
      <c r="M2376" s="522" t="inlineStr">
        <is>
          <t>105884</t>
        </is>
      </c>
      <c r="N2376" s="522" t="inlineStr"/>
      <c r="O2376" s="521">
        <f>M2376=N2376</f>
        <v/>
      </c>
      <c r="P2376" s="521">
        <f>AND(MONTH(F2376)=MONTH(S2376), YEAR(F2376)=YEAR(S2376))</f>
        <v/>
      </c>
      <c r="Q2376" s="521">
        <f>U2376="L001-901905215"</f>
        <v/>
      </c>
      <c r="R2376" s="556">
        <f>G2376-W2376</f>
        <v/>
      </c>
      <c r="S2376" s="521" t="n"/>
      <c r="T2376" s="522" t="n"/>
      <c r="U2376" s="522" t="n"/>
      <c r="V2376" s="522" t="n"/>
      <c r="W2376" s="521" t="n"/>
    </row>
    <row r="2377">
      <c r="A2377" s="521" t="n">
        <v>2369</v>
      </c>
      <c r="B2377" s="522" t="inlineStr">
        <is>
          <t>Custom Clearance</t>
        </is>
      </c>
      <c r="C2377" s="522" t="inlineStr">
        <is>
          <t>56ប៊ី-លីង សឹបផ្លាយ ឆេន មេនេចម៉ិន ឯ.ក</t>
        </is>
      </c>
      <c r="D2377" s="522" t="inlineStr">
        <is>
          <t>K004-902004795</t>
        </is>
      </c>
      <c r="E2377" s="521" t="inlineStr">
        <is>
          <t>IN202106-0365</t>
        </is>
      </c>
      <c r="F2377" s="523" t="n">
        <v>44377</v>
      </c>
      <c r="G2377" s="556" t="n">
        <v>590875</v>
      </c>
      <c r="I2377" s="521">
        <f>G2377</f>
        <v/>
      </c>
      <c r="K2377" s="521">
        <f>I2377-G2377</f>
        <v/>
      </c>
      <c r="M2377" s="522" t="inlineStr">
        <is>
          <t>IN2021060365</t>
        </is>
      </c>
      <c r="N2377" s="522" t="inlineStr">
        <is>
          <t>IN2021060365</t>
        </is>
      </c>
      <c r="O2377" s="521">
        <f>M2377=N2377</f>
        <v/>
      </c>
      <c r="P2377" s="521">
        <f>AND(MONTH(F2377)=MONTH(S2377), YEAR(F2377)=YEAR(S2377))</f>
        <v/>
      </c>
      <c r="Q2377" s="521">
        <f>U2377="L001-901905215"</f>
        <v/>
      </c>
      <c r="R2377" s="556">
        <f>G2377-W2377</f>
        <v/>
      </c>
      <c r="S2377" s="523" t="n">
        <v>44377</v>
      </c>
      <c r="T2377" s="522" t="inlineStr">
        <is>
          <t>IN202106-0365</t>
        </is>
      </c>
      <c r="U2377" s="522" t="inlineStr">
        <is>
          <t>L001-901905215</t>
        </is>
      </c>
      <c r="V2377" s="522" t="inlineStr">
        <is>
          <t>វីអ៊ីស៊ិន (ខេមបូឌា) អ៊ិនដាសស្ទ្រី ឯ.ក</t>
        </is>
      </c>
      <c r="W2377" s="556" t="n">
        <v>590875</v>
      </c>
    </row>
    <row r="2378">
      <c r="A2378" s="521" t="n">
        <v>2370</v>
      </c>
      <c r="B2378" s="522" t="inlineStr">
        <is>
          <t>KHCIC</t>
        </is>
      </c>
      <c r="C2378" s="522" t="inlineStr">
        <is>
          <t>អេសអាយធីស៊ី ខិនថេនើរ ឡាញ (ខេមបូឌា)</t>
        </is>
      </c>
      <c r="D2378" s="522" t="inlineStr">
        <is>
          <t>L001-107035863</t>
        </is>
      </c>
      <c r="E2378" s="521" t="inlineStr">
        <is>
          <t>SITC2021-011074</t>
        </is>
      </c>
      <c r="F2378" s="523" t="n">
        <v>44377</v>
      </c>
      <c r="G2378" s="556" t="n">
        <v>226163</v>
      </c>
      <c r="I2378" s="521">
        <f>G2378</f>
        <v/>
      </c>
      <c r="K2378" s="521">
        <f>I2378-G2378</f>
        <v/>
      </c>
      <c r="M2378" s="522" t="inlineStr">
        <is>
          <t>SITC2021011074</t>
        </is>
      </c>
      <c r="N2378" s="522" t="inlineStr"/>
      <c r="O2378" s="521">
        <f>M2378=N2378</f>
        <v/>
      </c>
      <c r="P2378" s="521">
        <f>AND(MONTH(F2378)=MONTH(S2378), YEAR(F2378)=YEAR(S2378))</f>
        <v/>
      </c>
      <c r="Q2378" s="521">
        <f>U2378="L001-901905215"</f>
        <v/>
      </c>
      <c r="R2378" s="556">
        <f>G2378-W2378</f>
        <v/>
      </c>
      <c r="S2378" s="521" t="n"/>
      <c r="T2378" s="522" t="n"/>
      <c r="U2378" s="522" t="n"/>
      <c r="V2378" s="522" t="n"/>
      <c r="W2378" s="521" t="n"/>
    </row>
    <row r="2379">
      <c r="A2379" s="521" t="n">
        <v>2371</v>
      </c>
      <c r="B2379" s="522" t="inlineStr">
        <is>
          <t>ក្រដាសកាតុងធ្ចើកេស</t>
        </is>
      </c>
      <c r="C2379" s="522" t="inlineStr">
        <is>
          <t>ជា យូ អាង ផេកខេកជីង មេធៀរៀល (ខេមបូឌា) ឯ.ក</t>
        </is>
      </c>
      <c r="D2379" s="522" t="inlineStr">
        <is>
          <t>L001-901903560</t>
        </is>
      </c>
      <c r="E2379" s="521" t="inlineStr">
        <is>
          <t>JYA202100273</t>
        </is>
      </c>
      <c r="F2379" s="523" t="n">
        <v>44377</v>
      </c>
      <c r="G2379" s="556" t="n">
        <v>292867</v>
      </c>
      <c r="I2379" s="521">
        <f>G2379</f>
        <v/>
      </c>
      <c r="K2379" s="521">
        <f>I2379-G2379</f>
        <v/>
      </c>
      <c r="M2379" s="522" t="inlineStr">
        <is>
          <t>JYA202100273</t>
        </is>
      </c>
      <c r="N2379" s="522" t="inlineStr">
        <is>
          <t>JYA202100273</t>
        </is>
      </c>
      <c r="O2379" s="521">
        <f>M2379=N2379</f>
        <v/>
      </c>
      <c r="P2379" s="521">
        <f>AND(MONTH(F2379)=MONTH(S2379), YEAR(F2379)=YEAR(S2379))</f>
        <v/>
      </c>
      <c r="Q2379" s="521">
        <f>U2379="L001-901905215"</f>
        <v/>
      </c>
      <c r="R2379" s="556">
        <f>G2379-W2379</f>
        <v/>
      </c>
      <c r="S2379" s="523" t="n">
        <v>44377</v>
      </c>
      <c r="T2379" s="522" t="inlineStr">
        <is>
          <t>JYA202100273</t>
        </is>
      </c>
      <c r="U2379" s="522" t="inlineStr">
        <is>
          <t>L001-901905215</t>
        </is>
      </c>
      <c r="V2379" s="522" t="inlineStr">
        <is>
          <t>វីអ៊ីស៊ិន (ខេមបូឌា) អ៊ិនដាសស្ទ្រី ឯ.ក</t>
        </is>
      </c>
      <c r="W2379" s="556" t="n">
        <v>292867</v>
      </c>
    </row>
    <row r="2380">
      <c r="A2380" s="521" t="n">
        <v>2372</v>
      </c>
      <c r="B2380" s="522" t="inlineStr">
        <is>
          <t>STICKER</t>
        </is>
      </c>
      <c r="C2380" s="522" t="inlineStr">
        <is>
          <t>ហេង កៃ (ខេមបូឌា) ព្រីនធីង</t>
        </is>
      </c>
      <c r="D2380" s="522" t="inlineStr">
        <is>
          <t>K010-901504622</t>
        </is>
      </c>
      <c r="E2380" s="521" t="inlineStr">
        <is>
          <t>2100076</t>
        </is>
      </c>
      <c r="F2380" s="523" t="n">
        <v>44377</v>
      </c>
      <c r="G2380" s="556" t="n">
        <v>800737</v>
      </c>
      <c r="I2380" s="521">
        <f>G2380</f>
        <v/>
      </c>
      <c r="K2380" s="521">
        <f>I2380-G2380</f>
        <v/>
      </c>
      <c r="M2380" s="522" t="inlineStr">
        <is>
          <t>2100076</t>
        </is>
      </c>
      <c r="N2380" s="522" t="inlineStr">
        <is>
          <t>2100076</t>
        </is>
      </c>
      <c r="O2380" s="521">
        <f>M2380=N2380</f>
        <v/>
      </c>
      <c r="P2380" s="521">
        <f>AND(MONTH(F2380)=MONTH(S2380), YEAR(F2380)=YEAR(S2380))</f>
        <v/>
      </c>
      <c r="Q2380" s="521">
        <f>U2380="L001-901905215"</f>
        <v/>
      </c>
      <c r="R2380" s="556">
        <f>G2380-W2380</f>
        <v/>
      </c>
      <c r="S2380" s="523" t="n">
        <v>44377</v>
      </c>
      <c r="T2380" s="522" t="inlineStr">
        <is>
          <t>2100076</t>
        </is>
      </c>
      <c r="U2380" s="522" t="inlineStr">
        <is>
          <t>L001-901905215</t>
        </is>
      </c>
      <c r="V2380" s="522" t="inlineStr">
        <is>
          <t>វីអ៊ីស៊ិន (ខេមបូឌា) អ៊ិនដាសស្ទ្រី ឯ.ក</t>
        </is>
      </c>
      <c r="W2380" s="556" t="n">
        <v>800738</v>
      </c>
    </row>
    <row r="2381">
      <c r="A2381" s="521" t="n">
        <v>2373</v>
      </c>
      <c r="B2381" s="522" t="inlineStr">
        <is>
          <t>Import clearance</t>
        </is>
      </c>
      <c r="C2381" s="522" t="inlineStr">
        <is>
          <t>អូរៀនថល ឡូជីស្ទីក &amp; ឌីស្ទ្រីប៊្យូសិន (ខេមបូឌា)</t>
        </is>
      </c>
      <c r="D2381" s="522" t="inlineStr">
        <is>
          <t>L001-103007369</t>
        </is>
      </c>
      <c r="E2381" s="521" t="inlineStr">
        <is>
          <t>21-5634</t>
        </is>
      </c>
      <c r="F2381" s="523" t="n">
        <v>44364</v>
      </c>
      <c r="G2381" s="556" t="n">
        <v>281658</v>
      </c>
      <c r="I2381" s="521">
        <f>G2381</f>
        <v/>
      </c>
      <c r="K2381" s="521">
        <f>I2381-G2381</f>
        <v/>
      </c>
      <c r="M2381" s="522" t="inlineStr">
        <is>
          <t>215634</t>
        </is>
      </c>
      <c r="N2381" s="522" t="inlineStr">
        <is>
          <t>215634</t>
        </is>
      </c>
      <c r="O2381" s="521">
        <f>M2381=N2381</f>
        <v/>
      </c>
      <c r="P2381" s="521">
        <f>AND(MONTH(F2381)=MONTH(S2381), YEAR(F2381)=YEAR(S2381))</f>
        <v/>
      </c>
      <c r="Q2381" s="521">
        <f>U2381="L001-901905215"</f>
        <v/>
      </c>
      <c r="R2381" s="556">
        <f>G2381-W2381</f>
        <v/>
      </c>
      <c r="S2381" s="523" t="n">
        <v>44364</v>
      </c>
      <c r="T2381" s="522" t="inlineStr">
        <is>
          <t>21-5634</t>
        </is>
      </c>
      <c r="U2381" s="522" t="inlineStr">
        <is>
          <t>L001-901905215</t>
        </is>
      </c>
      <c r="V2381" s="522" t="inlineStr">
        <is>
          <t>វីអ៊ីស៊ិន (ខេមបូឌា) អ៊ិនដាសស្ទ្រី ឯ.ក</t>
        </is>
      </c>
      <c r="W2381" s="556" t="n">
        <v>281658</v>
      </c>
    </row>
    <row r="2382">
      <c r="A2382" s="521" t="n">
        <v>2374</v>
      </c>
      <c r="B2382" s="522" t="inlineStr">
        <is>
          <t>Import clearance</t>
        </is>
      </c>
      <c r="C2382" s="522" t="inlineStr">
        <is>
          <t>អូរៀនថល ឡូជីស្ទីក &amp; ឌីស្ទ្រីប៊្យូសិន (ខេមបូឌា)</t>
        </is>
      </c>
      <c r="D2382" s="522" t="inlineStr">
        <is>
          <t>L001-103007369</t>
        </is>
      </c>
      <c r="E2382" s="521" t="inlineStr">
        <is>
          <t>21-5636</t>
        </is>
      </c>
      <c r="F2382" s="523" t="n">
        <v>44355</v>
      </c>
      <c r="G2382" s="556" t="n">
        <v>281658</v>
      </c>
      <c r="I2382" s="521">
        <f>G2382</f>
        <v/>
      </c>
      <c r="K2382" s="521">
        <f>I2382-G2382</f>
        <v/>
      </c>
      <c r="M2382" s="522" t="inlineStr">
        <is>
          <t>215636</t>
        </is>
      </c>
      <c r="N2382" s="522" t="inlineStr">
        <is>
          <t>215636</t>
        </is>
      </c>
      <c r="O2382" s="521">
        <f>M2382=N2382</f>
        <v/>
      </c>
      <c r="P2382" s="521">
        <f>AND(MONTH(F2382)=MONTH(S2382), YEAR(F2382)=YEAR(S2382))</f>
        <v/>
      </c>
      <c r="Q2382" s="521">
        <f>U2382="L001-901905215"</f>
        <v/>
      </c>
      <c r="R2382" s="556">
        <f>G2382-W2382</f>
        <v/>
      </c>
      <c r="S2382" s="523" t="n">
        <v>44355</v>
      </c>
      <c r="T2382" s="522" t="inlineStr">
        <is>
          <t>21-5636</t>
        </is>
      </c>
      <c r="U2382" s="522" t="inlineStr">
        <is>
          <t>L001-901905215</t>
        </is>
      </c>
      <c r="V2382" s="522" t="inlineStr">
        <is>
          <t>វីអ៊ីស៊ិន (ខេមបូឌា) អ៊ិនដាសស្ទ្រី ឯ.ក</t>
        </is>
      </c>
      <c r="W2382" s="556" t="n">
        <v>281658</v>
      </c>
    </row>
    <row r="2383">
      <c r="A2383" s="521" t="n">
        <v>2375</v>
      </c>
      <c r="B2383" s="522" t="inlineStr">
        <is>
          <t>Import clearance</t>
        </is>
      </c>
      <c r="C2383" s="522" t="inlineStr">
        <is>
          <t>អូរៀនថល ឡូជីស្ទីក &amp; ឌីស្ទ្រីប៊្យូសិន (ខេមបូឌា)</t>
        </is>
      </c>
      <c r="D2383" s="522" t="inlineStr">
        <is>
          <t>L001-103007369</t>
        </is>
      </c>
      <c r="E2383" s="521" t="inlineStr">
        <is>
          <t>21-5635</t>
        </is>
      </c>
      <c r="F2383" s="523" t="n">
        <v>44348</v>
      </c>
      <c r="G2383" s="556" t="n">
        <v>281658</v>
      </c>
      <c r="I2383" s="521">
        <f>G2383</f>
        <v/>
      </c>
      <c r="K2383" s="521">
        <f>I2383-G2383</f>
        <v/>
      </c>
      <c r="M2383" s="522" t="inlineStr">
        <is>
          <t>215635</t>
        </is>
      </c>
      <c r="N2383" s="522" t="inlineStr">
        <is>
          <t>215635</t>
        </is>
      </c>
      <c r="O2383" s="521">
        <f>M2383=N2383</f>
        <v/>
      </c>
      <c r="P2383" s="521">
        <f>AND(MONTH(F2383)=MONTH(S2383), YEAR(F2383)=YEAR(S2383))</f>
        <v/>
      </c>
      <c r="Q2383" s="521">
        <f>U2383="L001-901905215"</f>
        <v/>
      </c>
      <c r="R2383" s="556">
        <f>G2383-W2383</f>
        <v/>
      </c>
      <c r="S2383" s="523" t="n">
        <v>44348</v>
      </c>
      <c r="T2383" s="522" t="inlineStr">
        <is>
          <t>21-5635</t>
        </is>
      </c>
      <c r="U2383" s="522" t="inlineStr">
        <is>
          <t>L001-901905215</t>
        </is>
      </c>
      <c r="V2383" s="522" t="inlineStr">
        <is>
          <t>វីអ៊ីស៊ិន (ខេមបូឌា) អ៊ិនដាសស្ទ្រី ឯ.ក</t>
        </is>
      </c>
      <c r="W2383" s="556" t="n">
        <v>281658</v>
      </c>
    </row>
    <row r="2384">
      <c r="A2384" s="521" t="n">
        <v>2376</v>
      </c>
      <c r="B2384" s="522" t="inlineStr">
        <is>
          <t>THC CHARGES</t>
        </is>
      </c>
      <c r="C2384" s="522" t="inlineStr">
        <is>
          <t>អ៊ិចស្ពែឌីធ័រ ខេមបូឌា អិលធីឌី</t>
        </is>
      </c>
      <c r="D2384" s="522" t="inlineStr">
        <is>
          <t>L001-100045898</t>
        </is>
      </c>
      <c r="E2384" s="521" t="inlineStr">
        <is>
          <t>TI-0202072</t>
        </is>
      </c>
      <c r="F2384" s="523" t="n">
        <v>44376</v>
      </c>
      <c r="G2384" s="556" t="n">
        <v>220457</v>
      </c>
      <c r="I2384" s="521">
        <f>G2384</f>
        <v/>
      </c>
      <c r="K2384" s="521">
        <f>I2384-G2384</f>
        <v/>
      </c>
      <c r="M2384" s="522" t="inlineStr">
        <is>
          <t>TI0202072</t>
        </is>
      </c>
      <c r="N2384" s="522" t="inlineStr">
        <is>
          <t>TI0202072</t>
        </is>
      </c>
      <c r="O2384" s="521">
        <f>M2384=N2384</f>
        <v/>
      </c>
      <c r="P2384" s="521">
        <f>AND(MONTH(F2384)=MONTH(S2384), YEAR(F2384)=YEAR(S2384))</f>
        <v/>
      </c>
      <c r="Q2384" s="521">
        <f>U2384="L001-901905215"</f>
        <v/>
      </c>
      <c r="R2384" s="556">
        <f>G2384-W2384</f>
        <v/>
      </c>
      <c r="S2384" s="523" t="n">
        <v>44376</v>
      </c>
      <c r="T2384" s="522" t="inlineStr">
        <is>
          <t>TI-0202072</t>
        </is>
      </c>
      <c r="U2384" s="522" t="inlineStr">
        <is>
          <t>L001-901905215</t>
        </is>
      </c>
      <c r="V2384" s="522" t="inlineStr">
        <is>
          <t>វីអ៊ីស៊ិន (ខេមបូឌា) អ៊ិនដាសស្ទ្រី ឯ.ក</t>
        </is>
      </c>
      <c r="W2384" s="556" t="n">
        <v>220403</v>
      </c>
    </row>
    <row r="2385">
      <c r="A2385" s="521" t="n">
        <v>2377</v>
      </c>
      <c r="B2385" s="522" t="inlineStr">
        <is>
          <t>THC CHARGES</t>
        </is>
      </c>
      <c r="C2385" s="522" t="inlineStr">
        <is>
          <t>អ៊ិចស្ពែឌីធ័រ ខេមបូឌា អិលធីឌី</t>
        </is>
      </c>
      <c r="D2385" s="522" t="inlineStr">
        <is>
          <t>L001-100045898</t>
        </is>
      </c>
      <c r="E2385" s="521" t="inlineStr">
        <is>
          <t>TI-0202017</t>
        </is>
      </c>
      <c r="F2385" s="523" t="n">
        <v>44376</v>
      </c>
      <c r="G2385" s="556" t="n">
        <v>258555</v>
      </c>
      <c r="I2385" s="521">
        <f>G2385</f>
        <v/>
      </c>
      <c r="K2385" s="521">
        <f>I2385-G2385</f>
        <v/>
      </c>
      <c r="M2385" s="522" t="inlineStr">
        <is>
          <t>TI0202017</t>
        </is>
      </c>
      <c r="N2385" s="522" t="inlineStr">
        <is>
          <t>TI0202017</t>
        </is>
      </c>
      <c r="O2385" s="521">
        <f>M2385=N2385</f>
        <v/>
      </c>
      <c r="P2385" s="521">
        <f>AND(MONTH(F2385)=MONTH(S2385), YEAR(F2385)=YEAR(S2385))</f>
        <v/>
      </c>
      <c r="Q2385" s="521">
        <f>U2385="L001-901905215"</f>
        <v/>
      </c>
      <c r="R2385" s="556">
        <f>G2385-W2385</f>
        <v/>
      </c>
      <c r="S2385" s="523" t="n">
        <v>44376</v>
      </c>
      <c r="T2385" s="522" t="inlineStr">
        <is>
          <t>TI-0202017</t>
        </is>
      </c>
      <c r="U2385" s="522" t="inlineStr">
        <is>
          <t>L001-901905215</t>
        </is>
      </c>
      <c r="V2385" s="522" t="inlineStr">
        <is>
          <t>វីអ៊ីស៊ិន (ខេមបូឌា) អ៊ិនដាសស្ទ្រី ឯ.ក</t>
        </is>
      </c>
      <c r="W2385" s="556" t="n">
        <v>258495</v>
      </c>
    </row>
    <row r="2386">
      <c r="A2386" s="521" t="n">
        <v>2378</v>
      </c>
      <c r="B2386" s="522" t="inlineStr">
        <is>
          <t>THC CHARGES</t>
        </is>
      </c>
      <c r="C2386" s="522" t="inlineStr">
        <is>
          <t>អ៊ិចស្ពែឌីធ័រ ខេមបូឌា អិលធីឌី</t>
        </is>
      </c>
      <c r="D2386" s="522" t="inlineStr">
        <is>
          <t>L001-100045898</t>
        </is>
      </c>
      <c r="E2386" s="521" t="inlineStr">
        <is>
          <t>TI-0201895</t>
        </is>
      </c>
      <c r="F2386" s="523" t="n">
        <v>44375</v>
      </c>
      <c r="G2386" s="556" t="n">
        <v>336595</v>
      </c>
      <c r="I2386" s="521">
        <f>G2386</f>
        <v/>
      </c>
      <c r="K2386" s="521">
        <f>I2386-G2386</f>
        <v/>
      </c>
      <c r="M2386" s="522" t="inlineStr">
        <is>
          <t>TI0201895</t>
        </is>
      </c>
      <c r="N2386" s="522" t="inlineStr">
        <is>
          <t>TI0201895</t>
        </is>
      </c>
      <c r="O2386" s="521">
        <f>M2386=N2386</f>
        <v/>
      </c>
      <c r="P2386" s="521">
        <f>AND(MONTH(F2386)=MONTH(S2386), YEAR(F2386)=YEAR(S2386))</f>
        <v/>
      </c>
      <c r="Q2386" s="521">
        <f>U2386="L001-901905215"</f>
        <v/>
      </c>
      <c r="R2386" s="556">
        <f>G2386-W2386</f>
        <v/>
      </c>
      <c r="S2386" s="523" t="n">
        <v>44375</v>
      </c>
      <c r="T2386" s="522" t="inlineStr">
        <is>
          <t>TI-0201895</t>
        </is>
      </c>
      <c r="U2386" s="522" t="inlineStr">
        <is>
          <t>L001-901905215</t>
        </is>
      </c>
      <c r="V2386" s="522" t="inlineStr">
        <is>
          <t>វីអ៊ីស៊ិន (ខេមបូឌា) អ៊ិនដាសស្ទ្រី ឯ.ក</t>
        </is>
      </c>
      <c r="W2386" s="556" t="n">
        <v>336595</v>
      </c>
    </row>
    <row r="2387">
      <c r="A2387" s="521" t="n">
        <v>2379</v>
      </c>
      <c r="B2387" s="522" t="inlineStr">
        <is>
          <t>THC CHARGES</t>
        </is>
      </c>
      <c r="C2387" s="522" t="inlineStr">
        <is>
          <t>អ៊ិចស្ពែឌីធ័រ ខេមបូឌា អិលធីឌី</t>
        </is>
      </c>
      <c r="D2387" s="522" t="inlineStr">
        <is>
          <t>L001-100045898</t>
        </is>
      </c>
      <c r="E2387" s="521" t="inlineStr">
        <is>
          <t>TI-0201894</t>
        </is>
      </c>
      <c r="F2387" s="523" t="n">
        <v>44375</v>
      </c>
      <c r="G2387" s="556" t="n">
        <v>210677</v>
      </c>
      <c r="I2387" s="521">
        <f>G2387</f>
        <v/>
      </c>
      <c r="K2387" s="521">
        <f>I2387-G2387</f>
        <v/>
      </c>
      <c r="M2387" s="522" t="inlineStr">
        <is>
          <t>TI0201894</t>
        </is>
      </c>
      <c r="N2387" s="522" t="inlineStr">
        <is>
          <t>TI0201894</t>
        </is>
      </c>
      <c r="O2387" s="521">
        <f>M2387=N2387</f>
        <v/>
      </c>
      <c r="P2387" s="521">
        <f>AND(MONTH(F2387)=MONTH(S2387), YEAR(F2387)=YEAR(S2387))</f>
        <v/>
      </c>
      <c r="Q2387" s="521">
        <f>U2387="L001-901905215"</f>
        <v/>
      </c>
      <c r="R2387" s="556">
        <f>G2387-W2387</f>
        <v/>
      </c>
      <c r="S2387" s="523" t="n">
        <v>44375</v>
      </c>
      <c r="T2387" s="522" t="inlineStr">
        <is>
          <t>TI-0201894</t>
        </is>
      </c>
      <c r="U2387" s="522" t="inlineStr">
        <is>
          <t>L001-901905215</t>
        </is>
      </c>
      <c r="V2387" s="522" t="inlineStr">
        <is>
          <t>វីអ៊ីស៊ិន (ខេមបូឌា) អ៊ិនដាសស្ទ្រី ឯ.ក</t>
        </is>
      </c>
      <c r="W2387" s="556" t="n">
        <v>210678</v>
      </c>
    </row>
    <row r="2388">
      <c r="A2388" s="521" t="n">
        <v>2380</v>
      </c>
      <c r="B2388" s="522" t="inlineStr">
        <is>
          <t>THC CHARGES</t>
        </is>
      </c>
      <c r="C2388" s="522" t="inlineStr">
        <is>
          <t>អ៊ិចស្ពែឌីធ័រ ខេមបូឌា អិលធីឌី</t>
        </is>
      </c>
      <c r="D2388" s="522" t="inlineStr">
        <is>
          <t>L001-100045898</t>
        </is>
      </c>
      <c r="E2388" s="521" t="inlineStr">
        <is>
          <t>TI-0201028</t>
        </is>
      </c>
      <c r="F2388" s="523" t="n">
        <v>44363</v>
      </c>
      <c r="G2388" s="556" t="n">
        <v>205123</v>
      </c>
      <c r="I2388" s="521">
        <f>G2388</f>
        <v/>
      </c>
      <c r="K2388" s="521">
        <f>I2388-G2388</f>
        <v/>
      </c>
      <c r="M2388" s="522" t="inlineStr">
        <is>
          <t>TI0201028</t>
        </is>
      </c>
      <c r="N2388" s="522" t="inlineStr">
        <is>
          <t>TI0201028</t>
        </is>
      </c>
      <c r="O2388" s="521">
        <f>M2388=N2388</f>
        <v/>
      </c>
      <c r="P2388" s="521">
        <f>AND(MONTH(F2388)=MONTH(S2388), YEAR(F2388)=YEAR(S2388))</f>
        <v/>
      </c>
      <c r="Q2388" s="521">
        <f>U2388="L001-901905215"</f>
        <v/>
      </c>
      <c r="R2388" s="556">
        <f>G2388-W2388</f>
        <v/>
      </c>
      <c r="S2388" s="523" t="n">
        <v>44363</v>
      </c>
      <c r="T2388" s="522" t="inlineStr">
        <is>
          <t>TI-0201028</t>
        </is>
      </c>
      <c r="U2388" s="522" t="inlineStr">
        <is>
          <t>L001-901905215</t>
        </is>
      </c>
      <c r="V2388" s="522" t="inlineStr">
        <is>
          <t>វីអ៊ីស៊ិន (ខេមបូឌា) អ៊ិនដាសស្ទ្រី ឯ.ក</t>
        </is>
      </c>
      <c r="W2388" s="556" t="n">
        <v>205123</v>
      </c>
    </row>
    <row r="2389">
      <c r="A2389" s="521" t="n">
        <v>2381</v>
      </c>
      <c r="B2389" s="522" t="inlineStr">
        <is>
          <t>THC CHARGES</t>
        </is>
      </c>
      <c r="C2389" s="522" t="inlineStr">
        <is>
          <t>អ៊ិចស្ពែឌីធ័រ ខេមបូឌា អិលធីឌី</t>
        </is>
      </c>
      <c r="D2389" s="522" t="inlineStr">
        <is>
          <t>L001-100045898</t>
        </is>
      </c>
      <c r="E2389" s="521" t="inlineStr">
        <is>
          <t>TI-0201027</t>
        </is>
      </c>
      <c r="F2389" s="523" t="n">
        <v>44363</v>
      </c>
      <c r="G2389" s="556" t="n">
        <v>196967</v>
      </c>
      <c r="I2389" s="521">
        <f>G2389</f>
        <v/>
      </c>
      <c r="K2389" s="521">
        <f>I2389-G2389</f>
        <v/>
      </c>
      <c r="M2389" s="522" t="inlineStr">
        <is>
          <t>TI0201027</t>
        </is>
      </c>
      <c r="N2389" s="522" t="inlineStr">
        <is>
          <t>TI0201027</t>
        </is>
      </c>
      <c r="O2389" s="521">
        <f>M2389=N2389</f>
        <v/>
      </c>
      <c r="P2389" s="521">
        <f>AND(MONTH(F2389)=MONTH(S2389), YEAR(F2389)=YEAR(S2389))</f>
        <v/>
      </c>
      <c r="Q2389" s="521">
        <f>U2389="L001-901905215"</f>
        <v/>
      </c>
      <c r="R2389" s="556">
        <f>G2389-W2389</f>
        <v/>
      </c>
      <c r="S2389" s="523" t="n">
        <v>44363</v>
      </c>
      <c r="T2389" s="522" t="inlineStr">
        <is>
          <t>TI-0201027</t>
        </is>
      </c>
      <c r="U2389" s="522" t="inlineStr">
        <is>
          <t>L001-901905215</t>
        </is>
      </c>
      <c r="V2389" s="522" t="inlineStr">
        <is>
          <t>វីអ៊ីស៊ិន (ខេមបូឌា) អ៊ិនដាសស្ទ្រី ឯ.ក</t>
        </is>
      </c>
      <c r="W2389" s="556" t="n">
        <v>196967</v>
      </c>
    </row>
    <row r="2390">
      <c r="A2390" s="521" t="n">
        <v>2382</v>
      </c>
      <c r="B2390" s="522" t="inlineStr">
        <is>
          <t>DETENTION FEE</t>
        </is>
      </c>
      <c r="C2390" s="522" t="inlineStr">
        <is>
          <t>អ៊ិចស្ពែឌីធ័រ ខេមបូឌា អិលធីឌី</t>
        </is>
      </c>
      <c r="D2390" s="522" t="inlineStr">
        <is>
          <t>L001-100045898</t>
        </is>
      </c>
      <c r="E2390" s="521" t="inlineStr">
        <is>
          <t>TI-0200992</t>
        </is>
      </c>
      <c r="F2390" s="523" t="n">
        <v>44362</v>
      </c>
      <c r="G2390" s="556" t="n">
        <v>19579</v>
      </c>
      <c r="I2390" s="521">
        <f>G2390</f>
        <v/>
      </c>
      <c r="K2390" s="521">
        <f>I2390-G2390</f>
        <v/>
      </c>
      <c r="M2390" s="522" t="inlineStr">
        <is>
          <t>TI0200992</t>
        </is>
      </c>
      <c r="N2390" s="522" t="inlineStr">
        <is>
          <t>TI0200992</t>
        </is>
      </c>
      <c r="O2390" s="521">
        <f>M2390=N2390</f>
        <v/>
      </c>
      <c r="P2390" s="521">
        <f>AND(MONTH(F2390)=MONTH(S2390), YEAR(F2390)=YEAR(S2390))</f>
        <v/>
      </c>
      <c r="Q2390" s="521">
        <f>U2390="L001-901905215"</f>
        <v/>
      </c>
      <c r="R2390" s="556">
        <f>G2390-W2390</f>
        <v/>
      </c>
      <c r="S2390" s="523" t="n">
        <v>44362</v>
      </c>
      <c r="T2390" s="522" t="inlineStr">
        <is>
          <t>TI-0200992</t>
        </is>
      </c>
      <c r="U2390" s="522" t="inlineStr">
        <is>
          <t>L001-901905215</t>
        </is>
      </c>
      <c r="V2390" s="522" t="inlineStr">
        <is>
          <t>វីអ៊ីស៊ិន (ខេមបូឌា) អ៊ិនដាសស្ទ្រី ឯ.ក</t>
        </is>
      </c>
      <c r="W2390" s="556" t="n">
        <v>19579</v>
      </c>
    </row>
    <row r="2391">
      <c r="A2391" s="521" t="n">
        <v>2383</v>
      </c>
      <c r="B2391" s="522" t="inlineStr">
        <is>
          <t>STORAGE FEE</t>
        </is>
      </c>
      <c r="C2391" s="522" t="inlineStr">
        <is>
          <t>អ៊ិចស្ពែឌីធ័រ ខេមបូឌា អិលធីឌី</t>
        </is>
      </c>
      <c r="D2391" s="522" t="inlineStr">
        <is>
          <t>L001-100045898</t>
        </is>
      </c>
      <c r="E2391" s="521" t="inlineStr">
        <is>
          <t>TI-0200831</t>
        </is>
      </c>
      <c r="F2391" s="523" t="n">
        <v>44362</v>
      </c>
      <c r="G2391" s="556" t="n">
        <v>9790</v>
      </c>
      <c r="I2391" s="521">
        <f>G2391</f>
        <v/>
      </c>
      <c r="K2391" s="521">
        <f>I2391-G2391</f>
        <v/>
      </c>
      <c r="M2391" s="522" t="inlineStr">
        <is>
          <t>TI0200831</t>
        </is>
      </c>
      <c r="N2391" s="522" t="inlineStr">
        <is>
          <t>TI0200831</t>
        </is>
      </c>
      <c r="O2391" s="521">
        <f>M2391=N2391</f>
        <v/>
      </c>
      <c r="P2391" s="521">
        <f>AND(MONTH(F2391)=MONTH(S2391), YEAR(F2391)=YEAR(S2391))</f>
        <v/>
      </c>
      <c r="Q2391" s="521">
        <f>U2391="L001-901905215"</f>
        <v/>
      </c>
      <c r="R2391" s="556">
        <f>G2391-W2391</f>
        <v/>
      </c>
      <c r="S2391" s="523" t="n">
        <v>44362</v>
      </c>
      <c r="T2391" s="522" t="inlineStr">
        <is>
          <t>TI-0200831</t>
        </is>
      </c>
      <c r="U2391" s="522" t="inlineStr">
        <is>
          <t>L001-901905215</t>
        </is>
      </c>
      <c r="V2391" s="522" t="inlineStr">
        <is>
          <t>វីអ៊ីស៊ិន (ខេមបូឌា) អ៊ិនដាសស្ទ្រី ឯ.ក</t>
        </is>
      </c>
      <c r="W2391" s="556" t="n">
        <v>9790</v>
      </c>
    </row>
    <row r="2392">
      <c r="A2392" s="521" t="n">
        <v>2384</v>
      </c>
      <c r="B2392" s="522" t="inlineStr">
        <is>
          <t>THC CHARGES</t>
        </is>
      </c>
      <c r="C2392" s="522" t="inlineStr">
        <is>
          <t>អ៊ិចស្ពែឌីធ័រ ខេមបូឌា អិលធីឌី</t>
        </is>
      </c>
      <c r="D2392" s="522" t="inlineStr">
        <is>
          <t>L001-100045898</t>
        </is>
      </c>
      <c r="E2392" s="521" t="inlineStr">
        <is>
          <t>TI-0200500</t>
        </is>
      </c>
      <c r="F2392" s="523" t="n">
        <v>44356</v>
      </c>
      <c r="G2392" s="556" t="n">
        <v>1032240</v>
      </c>
      <c r="I2392" s="521">
        <f>G2392</f>
        <v/>
      </c>
      <c r="K2392" s="521">
        <f>I2392-G2392</f>
        <v/>
      </c>
      <c r="M2392" s="522" t="inlineStr">
        <is>
          <t>TI0200500</t>
        </is>
      </c>
      <c r="N2392" s="522" t="inlineStr">
        <is>
          <t>TI0200500</t>
        </is>
      </c>
      <c r="O2392" s="521">
        <f>M2392=N2392</f>
        <v/>
      </c>
      <c r="P2392" s="521">
        <f>AND(MONTH(F2392)=MONTH(S2392), YEAR(F2392)=YEAR(S2392))</f>
        <v/>
      </c>
      <c r="Q2392" s="521">
        <f>U2392="L001-901905215"</f>
        <v/>
      </c>
      <c r="R2392" s="556">
        <f>G2392-W2392</f>
        <v/>
      </c>
      <c r="S2392" s="523" t="n">
        <v>44356</v>
      </c>
      <c r="T2392" s="522" t="inlineStr">
        <is>
          <t>TI-0200500</t>
        </is>
      </c>
      <c r="U2392" s="522" t="inlineStr">
        <is>
          <t>L001-901905215</t>
        </is>
      </c>
      <c r="V2392" s="522" t="inlineStr">
        <is>
          <t>វីអ៊ីស៊ិន (ខេមបូឌា) អ៊ិនដាសស្ទ្រី ឯ.ក</t>
        </is>
      </c>
      <c r="W2392" s="556" t="n">
        <v>1032240</v>
      </c>
    </row>
    <row r="2393">
      <c r="A2393" s="521" t="n">
        <v>2385</v>
      </c>
      <c r="B2393" s="522" t="inlineStr">
        <is>
          <t>THC CHARGES</t>
        </is>
      </c>
      <c r="C2393" s="522" t="inlineStr">
        <is>
          <t>អ៊ិចស្ពែឌីធ័រ ខេមបូឌា អិលធីឌី</t>
        </is>
      </c>
      <c r="D2393" s="522" t="inlineStr">
        <is>
          <t>L001-100045898</t>
        </is>
      </c>
      <c r="E2393" s="521" t="inlineStr">
        <is>
          <t>TI-0200497</t>
        </is>
      </c>
      <c r="F2393" s="523" t="n">
        <v>44356</v>
      </c>
      <c r="G2393" s="556" t="n">
        <v>316200</v>
      </c>
      <c r="I2393" s="521">
        <f>G2393</f>
        <v/>
      </c>
      <c r="K2393" s="521">
        <f>I2393-G2393</f>
        <v/>
      </c>
      <c r="M2393" s="522" t="inlineStr">
        <is>
          <t>TI0200497</t>
        </is>
      </c>
      <c r="N2393" s="522" t="inlineStr">
        <is>
          <t>TI0200497</t>
        </is>
      </c>
      <c r="O2393" s="521">
        <f>M2393=N2393</f>
        <v/>
      </c>
      <c r="P2393" s="521">
        <f>AND(MONTH(F2393)=MONTH(S2393), YEAR(F2393)=YEAR(S2393))</f>
        <v/>
      </c>
      <c r="Q2393" s="521">
        <f>U2393="L001-901905215"</f>
        <v/>
      </c>
      <c r="R2393" s="556">
        <f>G2393-W2393</f>
        <v/>
      </c>
      <c r="S2393" s="523" t="n">
        <v>44356</v>
      </c>
      <c r="T2393" s="522" t="inlineStr">
        <is>
          <t>TI-0200497</t>
        </is>
      </c>
      <c r="U2393" s="522" t="inlineStr">
        <is>
          <t>L001-901905215</t>
        </is>
      </c>
      <c r="V2393" s="522" t="inlineStr">
        <is>
          <t>វីអ៊ីស៊ិន (ខេមបូឌា) អ៊ិនដាសស្ទ្រី ឯ.ក</t>
        </is>
      </c>
      <c r="W2393" s="556" t="n">
        <v>316200</v>
      </c>
    </row>
    <row r="2394">
      <c r="A2394" s="521" t="n">
        <v>2386</v>
      </c>
      <c r="B2394" s="522" t="inlineStr">
        <is>
          <t>Export Administration Fee</t>
        </is>
      </c>
      <c r="C2394" s="522" t="inlineStr">
        <is>
          <t>ឆាយ ដា ឡូយីស្ទីក</t>
        </is>
      </c>
      <c r="D2394" s="522" t="inlineStr">
        <is>
          <t>L001-100063098</t>
        </is>
      </c>
      <c r="E2394" s="521" t="inlineStr">
        <is>
          <t>2106006489</t>
        </is>
      </c>
      <c r="F2394" s="523" t="n">
        <v>44375</v>
      </c>
      <c r="G2394" s="556" t="n">
        <v>180930</v>
      </c>
      <c r="I2394" s="521">
        <f>G2394</f>
        <v/>
      </c>
      <c r="K2394" s="521">
        <f>I2394-G2394</f>
        <v/>
      </c>
      <c r="M2394" s="522" t="inlineStr">
        <is>
          <t>2106006489</t>
        </is>
      </c>
      <c r="N2394" s="522" t="inlineStr">
        <is>
          <t>2106006489</t>
        </is>
      </c>
      <c r="O2394" s="521">
        <f>M2394=N2394</f>
        <v/>
      </c>
      <c r="P2394" s="521">
        <f>AND(MONTH(F2394)=MONTH(S2394), YEAR(F2394)=YEAR(S2394))</f>
        <v/>
      </c>
      <c r="Q2394" s="521">
        <f>U2394="L001-901905215"</f>
        <v/>
      </c>
      <c r="R2394" s="556">
        <f>G2394-W2394</f>
        <v/>
      </c>
      <c r="S2394" s="523" t="n">
        <v>44375</v>
      </c>
      <c r="T2394" s="522" t="inlineStr">
        <is>
          <t>2106006489</t>
        </is>
      </c>
      <c r="U2394" s="522" t="inlineStr">
        <is>
          <t>L001-901905215</t>
        </is>
      </c>
      <c r="V2394" s="522" t="inlineStr">
        <is>
          <t>វីអ៊ីស៊ិន (ខេមបូឌា) អ៊ិនដាសស្ទ្រី ឯ.ក</t>
        </is>
      </c>
      <c r="W2394" s="556" t="n">
        <v>180930</v>
      </c>
    </row>
    <row r="2395">
      <c r="A2395" s="521" t="n">
        <v>2387</v>
      </c>
      <c r="B2395" s="522" t="inlineStr">
        <is>
          <t>Airwaybill Fee</t>
        </is>
      </c>
      <c r="C2395" s="522" t="inlineStr">
        <is>
          <t>ត្រង់ស្ពីដ កាហ្កូ (កម្ពុជា)</t>
        </is>
      </c>
      <c r="D2395" s="522" t="inlineStr">
        <is>
          <t>L001-100045782</t>
        </is>
      </c>
      <c r="E2395" s="521" t="inlineStr">
        <is>
          <t>21-002875</t>
        </is>
      </c>
      <c r="F2395" s="523" t="n">
        <v>44348</v>
      </c>
      <c r="G2395" s="556" t="n">
        <v>24450</v>
      </c>
      <c r="I2395" s="521">
        <f>G2395</f>
        <v/>
      </c>
      <c r="K2395" s="521">
        <f>I2395-G2395</f>
        <v/>
      </c>
      <c r="M2395" s="522" t="inlineStr">
        <is>
          <t>21002875</t>
        </is>
      </c>
      <c r="N2395" s="522" t="inlineStr"/>
      <c r="O2395" s="521">
        <f>M2395=N2395</f>
        <v/>
      </c>
      <c r="P2395" s="521">
        <f>AND(MONTH(F2395)=MONTH(S2395), YEAR(F2395)=YEAR(S2395))</f>
        <v/>
      </c>
      <c r="Q2395" s="521">
        <f>U2395="L001-901905215"</f>
        <v/>
      </c>
      <c r="R2395" s="556">
        <f>G2395-W2395</f>
        <v/>
      </c>
      <c r="S2395" s="521" t="n"/>
      <c r="T2395" s="522" t="n"/>
      <c r="U2395" s="522" t="n"/>
      <c r="V2395" s="522" t="n"/>
      <c r="W2395" s="521" t="n"/>
    </row>
    <row r="2396">
      <c r="A2396" s="521" t="n">
        <v>2388</v>
      </c>
      <c r="B2396" s="522" t="inlineStr">
        <is>
          <t>THC</t>
        </is>
      </c>
      <c r="C2396" s="522" t="inlineStr">
        <is>
          <t>ខូស្កូ ស៊ីបភីង ឡាញ (ខេមបូឌា) ឯ.ក</t>
        </is>
      </c>
      <c r="D2396" s="522" t="inlineStr">
        <is>
          <t>L001-100103383</t>
        </is>
      </c>
      <c r="E2396" s="521" t="inlineStr">
        <is>
          <t>COS2106-06694</t>
        </is>
      </c>
      <c r="F2396" s="523" t="n">
        <v>44348</v>
      </c>
      <c r="G2396" s="556" t="n">
        <v>110840</v>
      </c>
      <c r="I2396" s="521">
        <f>G2396</f>
        <v/>
      </c>
      <c r="K2396" s="521">
        <f>I2396-G2396</f>
        <v/>
      </c>
      <c r="M2396" s="522" t="inlineStr">
        <is>
          <t>COS210606694</t>
        </is>
      </c>
      <c r="N2396" s="522" t="inlineStr">
        <is>
          <t>COS210606694</t>
        </is>
      </c>
      <c r="O2396" s="521">
        <f>M2396=N2396</f>
        <v/>
      </c>
      <c r="P2396" s="521">
        <f>AND(MONTH(F2396)=MONTH(S2396), YEAR(F2396)=YEAR(S2396))</f>
        <v/>
      </c>
      <c r="Q2396" s="521">
        <f>U2396="L001-901905215"</f>
        <v/>
      </c>
      <c r="R2396" s="556">
        <f>G2396-W2396</f>
        <v/>
      </c>
      <c r="S2396" s="523" t="n">
        <v>44348</v>
      </c>
      <c r="T2396" s="522" t="inlineStr">
        <is>
          <t>COS2106-06694</t>
        </is>
      </c>
      <c r="U2396" s="522" t="inlineStr">
        <is>
          <t>L001-901905215</t>
        </is>
      </c>
      <c r="V2396" s="522" t="inlineStr">
        <is>
          <t>វីអ៊ីស៊ិន (ខេមបូឌា) អ៊ិនដាសស្ទ្រី ឯ.ក</t>
        </is>
      </c>
      <c r="W2396" s="556" t="n">
        <v>110840</v>
      </c>
    </row>
    <row r="2397">
      <c r="A2397" s="521" t="n">
        <v>2389</v>
      </c>
      <c r="B2397" s="522" t="inlineStr">
        <is>
          <t>THC</t>
        </is>
      </c>
      <c r="C2397" s="522" t="inlineStr">
        <is>
          <t>ខូស្កូ ស៊ីបភីង ឡាញ (ខេមបូឌា) ឯ.ក</t>
        </is>
      </c>
      <c r="D2397" s="522" t="inlineStr">
        <is>
          <t>L001-100103383</t>
        </is>
      </c>
      <c r="E2397" s="521" t="inlineStr">
        <is>
          <t>COS2105-05736</t>
        </is>
      </c>
      <c r="F2397" s="523" t="n">
        <v>44348</v>
      </c>
      <c r="G2397" s="556" t="n">
        <v>261501</v>
      </c>
      <c r="I2397" s="521">
        <f>G2397</f>
        <v/>
      </c>
      <c r="K2397" s="521">
        <f>I2397-G2397</f>
        <v/>
      </c>
      <c r="M2397" s="522" t="inlineStr">
        <is>
          <t>COS210505736</t>
        </is>
      </c>
      <c r="N2397" s="522" t="inlineStr"/>
      <c r="O2397" s="521">
        <f>M2397=N2397</f>
        <v/>
      </c>
      <c r="P2397" s="521">
        <f>AND(MONTH(F2397)=MONTH(S2397), YEAR(F2397)=YEAR(S2397))</f>
        <v/>
      </c>
      <c r="Q2397" s="521">
        <f>U2397="L001-901905215"</f>
        <v/>
      </c>
      <c r="R2397" s="556">
        <f>G2397-W2397</f>
        <v/>
      </c>
      <c r="S2397" s="521" t="n"/>
      <c r="T2397" s="522" t="n"/>
      <c r="U2397" s="522" t="n"/>
      <c r="V2397" s="522" t="n"/>
      <c r="W2397" s="521" t="n"/>
    </row>
    <row r="2398">
      <c r="A2398" s="521" t="n">
        <v>2390</v>
      </c>
      <c r="B2398" s="522" t="inlineStr">
        <is>
          <t>Custom Clearance</t>
        </is>
      </c>
      <c r="C2398" s="522" t="inlineStr">
        <is>
          <t>56ប៊ី-លីង សឹបផ្លាយ ឆេន មេនេចម៉ិន ឯ.ក</t>
        </is>
      </c>
      <c r="D2398" s="522" t="inlineStr">
        <is>
          <t>K004-902004795</t>
        </is>
      </c>
      <c r="E2398" s="521" t="inlineStr">
        <is>
          <t>IN202106-0363</t>
        </is>
      </c>
      <c r="F2398" s="523" t="n">
        <v>44377</v>
      </c>
      <c r="G2398" s="556" t="n">
        <v>299513</v>
      </c>
      <c r="I2398" s="521">
        <f>G2398</f>
        <v/>
      </c>
      <c r="K2398" s="521">
        <f>I2398-G2398</f>
        <v/>
      </c>
      <c r="M2398" s="522" t="inlineStr">
        <is>
          <t>IN2021060363</t>
        </is>
      </c>
      <c r="N2398" s="522" t="inlineStr">
        <is>
          <t>IN2021060363</t>
        </is>
      </c>
      <c r="O2398" s="521">
        <f>M2398=N2398</f>
        <v/>
      </c>
      <c r="P2398" s="521">
        <f>AND(MONTH(F2398)=MONTH(S2398), YEAR(F2398)=YEAR(S2398))</f>
        <v/>
      </c>
      <c r="Q2398" s="521">
        <f>U2398="L001-901905215"</f>
        <v/>
      </c>
      <c r="R2398" s="556">
        <f>G2398-W2398</f>
        <v/>
      </c>
      <c r="S2398" s="523" t="n">
        <v>44377</v>
      </c>
      <c r="T2398" s="522" t="inlineStr">
        <is>
          <t>IN202106-0363</t>
        </is>
      </c>
      <c r="U2398" s="522" t="inlineStr">
        <is>
          <t>L001-901905215</t>
        </is>
      </c>
      <c r="V2398" s="522" t="inlineStr">
        <is>
          <t>វីអ៊ីស៊ិន (ខេមបូឌា) អ៊ិនដាសស្ទ្រី ឯ.ក</t>
        </is>
      </c>
      <c r="W2398" s="556" t="n">
        <v>299513</v>
      </c>
    </row>
    <row r="2399">
      <c r="A2399" s="521" t="n">
        <v>2391</v>
      </c>
      <c r="B2399" s="522" t="inlineStr">
        <is>
          <t>Custom Clearance</t>
        </is>
      </c>
      <c r="C2399" s="522" t="inlineStr">
        <is>
          <t>56ប៊ី-លីង សឹបផ្លាយ ឆេន មេនេចម៉ិន ឯ.ក</t>
        </is>
      </c>
      <c r="D2399" s="522" t="inlineStr">
        <is>
          <t>K004-902004795</t>
        </is>
      </c>
      <c r="E2399" s="521" t="inlineStr">
        <is>
          <t>IN202106-0362</t>
        </is>
      </c>
      <c r="F2399" s="523" t="n">
        <v>44377</v>
      </c>
      <c r="G2399" s="556" t="n">
        <v>270988</v>
      </c>
      <c r="I2399" s="521">
        <f>G2399</f>
        <v/>
      </c>
      <c r="K2399" s="521">
        <f>I2399-G2399</f>
        <v/>
      </c>
      <c r="M2399" s="522" t="inlineStr">
        <is>
          <t>IN2021060362</t>
        </is>
      </c>
      <c r="N2399" s="522" t="inlineStr">
        <is>
          <t>IN2021060362</t>
        </is>
      </c>
      <c r="O2399" s="521">
        <f>M2399=N2399</f>
        <v/>
      </c>
      <c r="P2399" s="521">
        <f>AND(MONTH(F2399)=MONTH(S2399), YEAR(F2399)=YEAR(S2399))</f>
        <v/>
      </c>
      <c r="Q2399" s="521">
        <f>U2399="L001-901905215"</f>
        <v/>
      </c>
      <c r="R2399" s="556">
        <f>G2399-W2399</f>
        <v/>
      </c>
      <c r="S2399" s="523" t="n">
        <v>44377</v>
      </c>
      <c r="T2399" s="522" t="inlineStr">
        <is>
          <t>IN202106-0362</t>
        </is>
      </c>
      <c r="U2399" s="522" t="inlineStr">
        <is>
          <t>L001-901905215</t>
        </is>
      </c>
      <c r="V2399" s="522" t="inlineStr">
        <is>
          <t>វីអ៊ីស៊ិន (ខេមបូឌា) អ៊ិនដាសស្ទ្រី ឯ.ក</t>
        </is>
      </c>
      <c r="W2399" s="556" t="n">
        <v>270988</v>
      </c>
    </row>
    <row r="2400">
      <c r="A2400" s="521" t="n">
        <v>2392</v>
      </c>
      <c r="B2400" s="522" t="inlineStr">
        <is>
          <t>Custom Clearance</t>
        </is>
      </c>
      <c r="C2400" s="522" t="inlineStr">
        <is>
          <t>56ប៊ី-លីង សឹបផ្លាយ ឆេន មេនេចម៉ិន ឯ.ក</t>
        </is>
      </c>
      <c r="D2400" s="522" t="inlineStr">
        <is>
          <t>K004-902004795</t>
        </is>
      </c>
      <c r="E2400" s="521" t="inlineStr">
        <is>
          <t>IN202106-0361</t>
        </is>
      </c>
      <c r="F2400" s="523" t="n">
        <v>44377</v>
      </c>
      <c r="G2400" s="556" t="n">
        <v>270988</v>
      </c>
      <c r="I2400" s="521">
        <f>G2400</f>
        <v/>
      </c>
      <c r="K2400" s="521">
        <f>I2400-G2400</f>
        <v/>
      </c>
      <c r="M2400" s="522" t="inlineStr">
        <is>
          <t>IN2021060361</t>
        </is>
      </c>
      <c r="N2400" s="522" t="inlineStr">
        <is>
          <t>IN2021060361</t>
        </is>
      </c>
      <c r="O2400" s="521">
        <f>M2400=N2400</f>
        <v/>
      </c>
      <c r="P2400" s="521">
        <f>AND(MONTH(F2400)=MONTH(S2400), YEAR(F2400)=YEAR(S2400))</f>
        <v/>
      </c>
      <c r="Q2400" s="521">
        <f>U2400="L001-901905215"</f>
        <v/>
      </c>
      <c r="R2400" s="556">
        <f>G2400-W2400</f>
        <v/>
      </c>
      <c r="S2400" s="523" t="n">
        <v>44377</v>
      </c>
      <c r="T2400" s="522" t="inlineStr">
        <is>
          <t>IN202106-0361</t>
        </is>
      </c>
      <c r="U2400" s="522" t="inlineStr">
        <is>
          <t>L001-901905215</t>
        </is>
      </c>
      <c r="V2400" s="522" t="inlineStr">
        <is>
          <t>វីអ៊ីស៊ិន (ខេមបូឌា) អ៊ិនដាសស្ទ្រី ឯ.ក</t>
        </is>
      </c>
      <c r="W2400" s="556" t="n">
        <v>270988</v>
      </c>
    </row>
    <row r="2401">
      <c r="A2401" s="521" t="n">
        <v>2393</v>
      </c>
      <c r="B2401" s="522" t="inlineStr">
        <is>
          <t>Custom Clearance</t>
        </is>
      </c>
      <c r="C2401" s="522" t="inlineStr">
        <is>
          <t>56ប៊ី-លីង សឹបផ្លាយ ឆេន មេនេចម៉ិន ឯ.ក</t>
        </is>
      </c>
      <c r="D2401" s="522" t="inlineStr">
        <is>
          <t>K004-902004795</t>
        </is>
      </c>
      <c r="E2401" s="521" t="inlineStr">
        <is>
          <t>IN202106-0360</t>
        </is>
      </c>
      <c r="F2401" s="523" t="n">
        <v>44377</v>
      </c>
      <c r="G2401" s="556" t="n">
        <v>165038</v>
      </c>
      <c r="I2401" s="521">
        <f>G2401</f>
        <v/>
      </c>
      <c r="K2401" s="521">
        <f>I2401-G2401</f>
        <v/>
      </c>
      <c r="M2401" s="522" t="inlineStr">
        <is>
          <t>IN2021060360</t>
        </is>
      </c>
      <c r="N2401" s="522" t="inlineStr">
        <is>
          <t>IN2021060360</t>
        </is>
      </c>
      <c r="O2401" s="521">
        <f>M2401=N2401</f>
        <v/>
      </c>
      <c r="P2401" s="521">
        <f>AND(MONTH(F2401)=MONTH(S2401), YEAR(F2401)=YEAR(S2401))</f>
        <v/>
      </c>
      <c r="Q2401" s="521">
        <f>U2401="L001-901905215"</f>
        <v/>
      </c>
      <c r="R2401" s="556">
        <f>G2401-W2401</f>
        <v/>
      </c>
      <c r="S2401" s="523" t="n">
        <v>44377</v>
      </c>
      <c r="T2401" s="522" t="inlineStr">
        <is>
          <t>IN202106-0360</t>
        </is>
      </c>
      <c r="U2401" s="522" t="inlineStr">
        <is>
          <t>L001-901905215</t>
        </is>
      </c>
      <c r="V2401" s="522" t="inlineStr">
        <is>
          <t>វីអ៊ីស៊ិន (ខេមបូឌា) អ៊ិនដាសស្ទ្រី ឯ.ក</t>
        </is>
      </c>
      <c r="W2401" s="556" t="n">
        <v>165038</v>
      </c>
    </row>
    <row r="2402">
      <c r="A2402" s="521" t="n">
        <v>2394</v>
      </c>
      <c r="B2402" s="522" t="inlineStr">
        <is>
          <t>Custom Clearance</t>
        </is>
      </c>
      <c r="C2402" s="522" t="inlineStr">
        <is>
          <t>56ប៊ី-លីង សឹបផ្លាយ ឆេន មេនេចម៉ិន ឯ.ក</t>
        </is>
      </c>
      <c r="D2402" s="522" t="inlineStr">
        <is>
          <t>K004-902004795</t>
        </is>
      </c>
      <c r="E2402" s="521" t="inlineStr">
        <is>
          <t>IN202106-0359</t>
        </is>
      </c>
      <c r="F2402" s="523" t="n">
        <v>44377</v>
      </c>
      <c r="G2402" s="556" t="n">
        <v>299513</v>
      </c>
      <c r="I2402" s="521">
        <f>G2402</f>
        <v/>
      </c>
      <c r="K2402" s="521">
        <f>I2402-G2402</f>
        <v/>
      </c>
      <c r="M2402" s="522" t="inlineStr">
        <is>
          <t>IN2021060359</t>
        </is>
      </c>
      <c r="N2402" s="522" t="inlineStr">
        <is>
          <t>IN2021060359</t>
        </is>
      </c>
      <c r="O2402" s="521">
        <f>M2402=N2402</f>
        <v/>
      </c>
      <c r="P2402" s="521">
        <f>AND(MONTH(F2402)=MONTH(S2402), YEAR(F2402)=YEAR(S2402))</f>
        <v/>
      </c>
      <c r="Q2402" s="521">
        <f>U2402="L001-901905215"</f>
        <v/>
      </c>
      <c r="R2402" s="556">
        <f>G2402-W2402</f>
        <v/>
      </c>
      <c r="S2402" s="523" t="n">
        <v>44377</v>
      </c>
      <c r="T2402" s="522" t="inlineStr">
        <is>
          <t>IN202106-0359</t>
        </is>
      </c>
      <c r="U2402" s="522" t="inlineStr">
        <is>
          <t>L001-901905215</t>
        </is>
      </c>
      <c r="V2402" s="522" t="inlineStr">
        <is>
          <t>វីអ៊ីស៊ិន (ខេមបូឌា) អ៊ិនដាសស្ទ្រី ឯ.ក</t>
        </is>
      </c>
      <c r="W2402" s="556" t="n">
        <v>299513</v>
      </c>
    </row>
    <row r="2403">
      <c r="A2403" s="521" t="n">
        <v>2395</v>
      </c>
      <c r="B2403" s="522" t="inlineStr">
        <is>
          <t>Custom Clearance</t>
        </is>
      </c>
      <c r="C2403" s="522" t="inlineStr">
        <is>
          <t>56ប៊ី-លីង សឹបផ្លាយ ឆេន មេនេចម៉ិន ឯ.ក</t>
        </is>
      </c>
      <c r="D2403" s="522" t="inlineStr">
        <is>
          <t>K004-902004795</t>
        </is>
      </c>
      <c r="E2403" s="521" t="inlineStr">
        <is>
          <t>IN202106-0358</t>
        </is>
      </c>
      <c r="F2403" s="523" t="n">
        <v>44377</v>
      </c>
      <c r="G2403" s="556" t="n">
        <v>167075</v>
      </c>
      <c r="I2403" s="521">
        <f>G2403</f>
        <v/>
      </c>
      <c r="K2403" s="521">
        <f>I2403-G2403</f>
        <v/>
      </c>
      <c r="M2403" s="522" t="inlineStr">
        <is>
          <t>IN2021060358</t>
        </is>
      </c>
      <c r="N2403" s="522" t="inlineStr">
        <is>
          <t>IN2021060358</t>
        </is>
      </c>
      <c r="O2403" s="521">
        <f>M2403=N2403</f>
        <v/>
      </c>
      <c r="P2403" s="521">
        <f>AND(MONTH(F2403)=MONTH(S2403), YEAR(F2403)=YEAR(S2403))</f>
        <v/>
      </c>
      <c r="Q2403" s="521">
        <f>U2403="L001-901905215"</f>
        <v/>
      </c>
      <c r="R2403" s="556">
        <f>G2403-W2403</f>
        <v/>
      </c>
      <c r="S2403" s="523" t="n">
        <v>44377</v>
      </c>
      <c r="T2403" s="522" t="inlineStr">
        <is>
          <t>IN202106-0358</t>
        </is>
      </c>
      <c r="U2403" s="522" t="inlineStr">
        <is>
          <t>L001-901905215</t>
        </is>
      </c>
      <c r="V2403" s="522" t="inlineStr">
        <is>
          <t>វីអ៊ីស៊ិន (ខេមបូឌា) អ៊ិនដាសស្ទ្រី ឯ.ក</t>
        </is>
      </c>
      <c r="W2403" s="556" t="n">
        <v>167075</v>
      </c>
    </row>
    <row r="2404">
      <c r="A2404" s="521" t="n">
        <v>2396</v>
      </c>
      <c r="B2404" s="522" t="inlineStr">
        <is>
          <t>Custom Clearance</t>
        </is>
      </c>
      <c r="C2404" s="522" t="inlineStr">
        <is>
          <t>56ប៊ី-លីង សឹបផ្លាយ ឆេន មេនេចម៉ិន ឯ.ក</t>
        </is>
      </c>
      <c r="D2404" s="522" t="inlineStr">
        <is>
          <t>K004-902004795</t>
        </is>
      </c>
      <c r="E2404" s="521" t="inlineStr">
        <is>
          <t>IN202106-0357</t>
        </is>
      </c>
      <c r="F2404" s="523" t="n">
        <v>44377</v>
      </c>
      <c r="G2404" s="556" t="n">
        <v>165038</v>
      </c>
      <c r="I2404" s="521">
        <f>G2404</f>
        <v/>
      </c>
      <c r="K2404" s="521">
        <f>I2404-G2404</f>
        <v/>
      </c>
      <c r="M2404" s="522" t="inlineStr">
        <is>
          <t>IN2021060357</t>
        </is>
      </c>
      <c r="N2404" s="522" t="inlineStr">
        <is>
          <t>IN2021060357</t>
        </is>
      </c>
      <c r="O2404" s="521">
        <f>M2404=N2404</f>
        <v/>
      </c>
      <c r="P2404" s="521">
        <f>AND(MONTH(F2404)=MONTH(S2404), YEAR(F2404)=YEAR(S2404))</f>
        <v/>
      </c>
      <c r="Q2404" s="521">
        <f>U2404="L001-901905215"</f>
        <v/>
      </c>
      <c r="R2404" s="556">
        <f>G2404-W2404</f>
        <v/>
      </c>
      <c r="S2404" s="523" t="n">
        <v>44377</v>
      </c>
      <c r="T2404" s="522" t="inlineStr">
        <is>
          <t>IN202106-0357</t>
        </is>
      </c>
      <c r="U2404" s="522" t="inlineStr">
        <is>
          <t>L001-901905215</t>
        </is>
      </c>
      <c r="V2404" s="522" t="inlineStr">
        <is>
          <t>វីអ៊ីស៊ិន (ខេមបូឌា) អ៊ិនដាសស្ទ្រី ឯ.ក</t>
        </is>
      </c>
      <c r="W2404" s="556" t="n">
        <v>165038</v>
      </c>
    </row>
    <row r="2405">
      <c r="A2405" s="521" t="n">
        <v>2397</v>
      </c>
      <c r="B2405" s="522" t="inlineStr">
        <is>
          <t>Custom Clearance</t>
        </is>
      </c>
      <c r="C2405" s="522" t="inlineStr">
        <is>
          <t>56ប៊ី-លីង សឹបផ្លាយ ឆេន មេនេចម៉ិន ឯ.ក</t>
        </is>
      </c>
      <c r="D2405" s="522" t="inlineStr">
        <is>
          <t>K004-902004795</t>
        </is>
      </c>
      <c r="E2405" s="521" t="inlineStr">
        <is>
          <t>IN202106-0356</t>
        </is>
      </c>
      <c r="F2405" s="523" t="n">
        <v>44377</v>
      </c>
      <c r="G2405" s="556" t="n">
        <v>270988</v>
      </c>
      <c r="I2405" s="521">
        <f>G2405</f>
        <v/>
      </c>
      <c r="K2405" s="521">
        <f>I2405-G2405</f>
        <v/>
      </c>
      <c r="M2405" s="522" t="inlineStr">
        <is>
          <t>IN2021060356</t>
        </is>
      </c>
      <c r="N2405" s="522" t="inlineStr">
        <is>
          <t>IN2021060356</t>
        </is>
      </c>
      <c r="O2405" s="521">
        <f>M2405=N2405</f>
        <v/>
      </c>
      <c r="P2405" s="521">
        <f>AND(MONTH(F2405)=MONTH(S2405), YEAR(F2405)=YEAR(S2405))</f>
        <v/>
      </c>
      <c r="Q2405" s="521">
        <f>U2405="L001-901905215"</f>
        <v/>
      </c>
      <c r="R2405" s="556">
        <f>G2405-W2405</f>
        <v/>
      </c>
      <c r="S2405" s="523" t="n">
        <v>44377</v>
      </c>
      <c r="T2405" s="522" t="inlineStr">
        <is>
          <t>IN202106-0356</t>
        </is>
      </c>
      <c r="U2405" s="522" t="inlineStr">
        <is>
          <t>L001-901905215</t>
        </is>
      </c>
      <c r="V2405" s="522" t="inlineStr">
        <is>
          <t>វីអ៊ីស៊ិន (ខេមបូឌា) អ៊ិនដាសស្ទ្រី ឯ.ក</t>
        </is>
      </c>
      <c r="W2405" s="556" t="n">
        <v>270988</v>
      </c>
    </row>
    <row r="2406">
      <c r="A2406" s="521" t="n">
        <v>2398</v>
      </c>
      <c r="B2406" s="522" t="inlineStr">
        <is>
          <t>Custom Clearance</t>
        </is>
      </c>
      <c r="C2406" s="522" t="inlineStr">
        <is>
          <t>56ប៊ី-លីង សឹបផ្លាយ ឆេន មេនេចម៉ិន ឯ.ក</t>
        </is>
      </c>
      <c r="D2406" s="522" t="inlineStr">
        <is>
          <t>K004-902004795</t>
        </is>
      </c>
      <c r="E2406" s="521" t="inlineStr">
        <is>
          <t>IN202106-0355</t>
        </is>
      </c>
      <c r="F2406" s="523" t="n">
        <v>44377</v>
      </c>
      <c r="G2406" s="556" t="n">
        <v>270988</v>
      </c>
      <c r="I2406" s="521">
        <f>G2406</f>
        <v/>
      </c>
      <c r="K2406" s="521">
        <f>I2406-G2406</f>
        <v/>
      </c>
      <c r="M2406" s="522" t="inlineStr">
        <is>
          <t>IN2021060355</t>
        </is>
      </c>
      <c r="N2406" s="522" t="inlineStr">
        <is>
          <t>IN2021060355</t>
        </is>
      </c>
      <c r="O2406" s="521">
        <f>M2406=N2406</f>
        <v/>
      </c>
      <c r="P2406" s="521">
        <f>AND(MONTH(F2406)=MONTH(S2406), YEAR(F2406)=YEAR(S2406))</f>
        <v/>
      </c>
      <c r="Q2406" s="521">
        <f>U2406="L001-901905215"</f>
        <v/>
      </c>
      <c r="R2406" s="556">
        <f>G2406-W2406</f>
        <v/>
      </c>
      <c r="S2406" s="523" t="n">
        <v>44377</v>
      </c>
      <c r="T2406" s="522" t="inlineStr">
        <is>
          <t>IN202106-0355</t>
        </is>
      </c>
      <c r="U2406" s="522" t="inlineStr">
        <is>
          <t>L001-901905215</t>
        </is>
      </c>
      <c r="V2406" s="522" t="inlineStr">
        <is>
          <t>វីអ៊ីស៊ិន (ខេមបូឌា) អ៊ិនដាសស្ទ្រី ឯ.ក</t>
        </is>
      </c>
      <c r="W2406" s="556" t="n">
        <v>270988</v>
      </c>
    </row>
    <row r="2407">
      <c r="A2407" s="521" t="n">
        <v>2399</v>
      </c>
      <c r="B2407" s="522" t="inlineStr">
        <is>
          <t>Custom Clearance</t>
        </is>
      </c>
      <c r="C2407" s="522" t="inlineStr">
        <is>
          <t>56ប៊ី-លីង សឹបផ្លាយ ឆេន មេនេចម៉ិន ឯ.ក</t>
        </is>
      </c>
      <c r="D2407" s="522" t="inlineStr">
        <is>
          <t>K004-902004795</t>
        </is>
      </c>
      <c r="E2407" s="521" t="inlineStr">
        <is>
          <t>IN202106-0349</t>
        </is>
      </c>
      <c r="F2407" s="523" t="n">
        <v>44377</v>
      </c>
      <c r="G2407" s="556" t="n">
        <v>258763</v>
      </c>
      <c r="I2407" s="521">
        <f>G2407</f>
        <v/>
      </c>
      <c r="K2407" s="521">
        <f>I2407-G2407</f>
        <v/>
      </c>
      <c r="M2407" s="522" t="inlineStr">
        <is>
          <t>IN2021060349</t>
        </is>
      </c>
      <c r="N2407" s="522" t="inlineStr">
        <is>
          <t>IN2021060349</t>
        </is>
      </c>
      <c r="O2407" s="521">
        <f>M2407=N2407</f>
        <v/>
      </c>
      <c r="P2407" s="521">
        <f>AND(MONTH(F2407)=MONTH(S2407), YEAR(F2407)=YEAR(S2407))</f>
        <v/>
      </c>
      <c r="Q2407" s="521">
        <f>U2407="L001-901905215"</f>
        <v/>
      </c>
      <c r="R2407" s="556">
        <f>G2407-W2407</f>
        <v/>
      </c>
      <c r="S2407" s="523" t="n">
        <v>44377</v>
      </c>
      <c r="T2407" s="522" t="inlineStr">
        <is>
          <t>IN202106-0349</t>
        </is>
      </c>
      <c r="U2407" s="522" t="inlineStr">
        <is>
          <t>L001-901905215</t>
        </is>
      </c>
      <c r="V2407" s="522" t="inlineStr">
        <is>
          <t>វីអ៊ីស៊ិន (ខេមបូឌា) អ៊ិនដាសស្ទ្រី ឯ.ក</t>
        </is>
      </c>
      <c r="W2407" s="556" t="n">
        <v>258763</v>
      </c>
    </row>
    <row r="2408">
      <c r="A2408" s="521" t="n">
        <v>2400</v>
      </c>
      <c r="B2408" s="522" t="inlineStr">
        <is>
          <t>Custom Clearance</t>
        </is>
      </c>
      <c r="C2408" s="522" t="inlineStr">
        <is>
          <t>56ប៊ី-លីង សឹបផ្លាយ ឆេន មេនេចម៉ិន ឯ.ក</t>
        </is>
      </c>
      <c r="D2408" s="522" t="inlineStr">
        <is>
          <t>K004-902004795</t>
        </is>
      </c>
      <c r="E2408" s="521" t="inlineStr">
        <is>
          <t>IN202106-0348</t>
        </is>
      </c>
      <c r="F2408" s="523" t="n">
        <v>44377</v>
      </c>
      <c r="G2408" s="556" t="n">
        <v>313775</v>
      </c>
      <c r="I2408" s="521">
        <f>G2408</f>
        <v/>
      </c>
      <c r="K2408" s="521">
        <f>I2408-G2408</f>
        <v/>
      </c>
      <c r="M2408" s="522" t="inlineStr">
        <is>
          <t>IN2021060348</t>
        </is>
      </c>
      <c r="N2408" s="522" t="inlineStr">
        <is>
          <t>IN2021060348</t>
        </is>
      </c>
      <c r="O2408" s="521">
        <f>M2408=N2408</f>
        <v/>
      </c>
      <c r="P2408" s="521">
        <f>AND(MONTH(F2408)=MONTH(S2408), YEAR(F2408)=YEAR(S2408))</f>
        <v/>
      </c>
      <c r="Q2408" s="521">
        <f>U2408="L001-901905215"</f>
        <v/>
      </c>
      <c r="R2408" s="556">
        <f>G2408-W2408</f>
        <v/>
      </c>
      <c r="S2408" s="523" t="n">
        <v>44377</v>
      </c>
      <c r="T2408" s="522" t="inlineStr">
        <is>
          <t>IN202106-0348</t>
        </is>
      </c>
      <c r="U2408" s="522" t="inlineStr">
        <is>
          <t>L001-901905215</t>
        </is>
      </c>
      <c r="V2408" s="522" t="inlineStr">
        <is>
          <t>វីអ៊ីស៊ិន (ខេមបូឌា) អ៊ិនដាសស្ទ្រី ឯ.ក</t>
        </is>
      </c>
      <c r="W2408" s="556" t="n">
        <v>313775</v>
      </c>
    </row>
    <row r="2409">
      <c r="A2409" s="521" t="n">
        <v>2401</v>
      </c>
      <c r="B2409" s="522" t="inlineStr">
        <is>
          <t>Custom Clearance</t>
        </is>
      </c>
      <c r="C2409" s="522" t="inlineStr">
        <is>
          <t>56ប៊ី-លីង សឹបផ្លាយ ឆេន មេនេចម៉ិន ឯ.ក</t>
        </is>
      </c>
      <c r="D2409" s="522" t="inlineStr">
        <is>
          <t>K004-902004795</t>
        </is>
      </c>
      <c r="E2409" s="521" t="inlineStr">
        <is>
          <t>IN202106-0347</t>
        </is>
      </c>
      <c r="F2409" s="523" t="n">
        <v>44377</v>
      </c>
      <c r="G2409" s="556" t="n">
        <v>167075</v>
      </c>
      <c r="I2409" s="521">
        <f>G2409</f>
        <v/>
      </c>
      <c r="K2409" s="521">
        <f>I2409-G2409</f>
        <v/>
      </c>
      <c r="M2409" s="522" t="inlineStr">
        <is>
          <t>IN2021060347</t>
        </is>
      </c>
      <c r="N2409" s="522" t="inlineStr">
        <is>
          <t>IN2021060347</t>
        </is>
      </c>
      <c r="O2409" s="521">
        <f>M2409=N2409</f>
        <v/>
      </c>
      <c r="P2409" s="521">
        <f>AND(MONTH(F2409)=MONTH(S2409), YEAR(F2409)=YEAR(S2409))</f>
        <v/>
      </c>
      <c r="Q2409" s="521">
        <f>U2409="L001-901905215"</f>
        <v/>
      </c>
      <c r="R2409" s="556">
        <f>G2409-W2409</f>
        <v/>
      </c>
      <c r="S2409" s="523" t="n">
        <v>44377</v>
      </c>
      <c r="T2409" s="522" t="inlineStr">
        <is>
          <t>IN202106-0347</t>
        </is>
      </c>
      <c r="U2409" s="522" t="inlineStr">
        <is>
          <t>L001-901905215</t>
        </is>
      </c>
      <c r="V2409" s="522" t="inlineStr">
        <is>
          <t>វីអ៊ីស៊ិន (ខេមបូឌា) អ៊ិនដាសស្ទ្រី ឯ.ក</t>
        </is>
      </c>
      <c r="W2409" s="556" t="n">
        <v>167075</v>
      </c>
    </row>
    <row r="2410">
      <c r="A2410" s="521" t="n">
        <v>2402</v>
      </c>
      <c r="B2410" s="522" t="inlineStr">
        <is>
          <t>Custom Clearance and Trucking Fee</t>
        </is>
      </c>
      <c r="C2410" s="522" t="inlineStr">
        <is>
          <t>56ប៊ី-លីង សឹបផ្លាយ ឆេន មេនេចម៉ិន ឯ.ក</t>
        </is>
      </c>
      <c r="D2410" s="522" t="inlineStr">
        <is>
          <t>K004-902004795</t>
        </is>
      </c>
      <c r="E2410" s="521" t="inlineStr">
        <is>
          <t>IN202106-0346</t>
        </is>
      </c>
      <c r="F2410" s="523" t="n">
        <v>44377</v>
      </c>
      <c r="G2410" s="556" t="n">
        <v>270988</v>
      </c>
      <c r="I2410" s="521">
        <f>G2410</f>
        <v/>
      </c>
      <c r="K2410" s="521">
        <f>I2410-G2410</f>
        <v/>
      </c>
      <c r="M2410" s="522" t="inlineStr">
        <is>
          <t>IN2021060346</t>
        </is>
      </c>
      <c r="N2410" s="522" t="inlineStr">
        <is>
          <t>IN2021060346</t>
        </is>
      </c>
      <c r="O2410" s="521">
        <f>M2410=N2410</f>
        <v/>
      </c>
      <c r="P2410" s="521">
        <f>AND(MONTH(F2410)=MONTH(S2410), YEAR(F2410)=YEAR(S2410))</f>
        <v/>
      </c>
      <c r="Q2410" s="521">
        <f>U2410="L001-901905215"</f>
        <v/>
      </c>
      <c r="R2410" s="556">
        <f>G2410-W2410</f>
        <v/>
      </c>
      <c r="S2410" s="523" t="n">
        <v>44377</v>
      </c>
      <c r="T2410" s="522" t="inlineStr">
        <is>
          <t>IN202106-0346</t>
        </is>
      </c>
      <c r="U2410" s="522" t="inlineStr">
        <is>
          <t>L001-901905215</t>
        </is>
      </c>
      <c r="V2410" s="522" t="inlineStr">
        <is>
          <t>វីអ៊ីស៊ិន (ខេមបូឌា) អ៊ិនដាសស្ទ្រី ឯ.ក</t>
        </is>
      </c>
      <c r="W2410" s="556" t="n">
        <v>270988</v>
      </c>
    </row>
    <row r="2411">
      <c r="A2411" s="521" t="n">
        <v>2403</v>
      </c>
      <c r="B2411" s="522" t="inlineStr">
        <is>
          <t>Custom Clearance and Trucking Fee</t>
        </is>
      </c>
      <c r="C2411" s="522" t="inlineStr">
        <is>
          <t>56ប៊ី-លីង សឹបផ្លាយ ឆេន មេនេចម៉ិន ឯ.ក</t>
        </is>
      </c>
      <c r="D2411" s="522" t="inlineStr">
        <is>
          <t>K004-902004795</t>
        </is>
      </c>
      <c r="E2411" s="521" t="inlineStr">
        <is>
          <t>IN202106-0345</t>
        </is>
      </c>
      <c r="F2411" s="523" t="n">
        <v>44377</v>
      </c>
      <c r="G2411" s="556" t="n">
        <v>912800</v>
      </c>
      <c r="I2411" s="521">
        <f>G2411</f>
        <v/>
      </c>
      <c r="K2411" s="521">
        <f>I2411-G2411</f>
        <v/>
      </c>
      <c r="M2411" s="522" t="inlineStr">
        <is>
          <t>IN2021060345</t>
        </is>
      </c>
      <c r="N2411" s="522" t="inlineStr">
        <is>
          <t>IN2021060345</t>
        </is>
      </c>
      <c r="O2411" s="521">
        <f>M2411=N2411</f>
        <v/>
      </c>
      <c r="P2411" s="521">
        <f>AND(MONTH(F2411)=MONTH(S2411), YEAR(F2411)=YEAR(S2411))</f>
        <v/>
      </c>
      <c r="Q2411" s="521">
        <f>U2411="L001-901905215"</f>
        <v/>
      </c>
      <c r="R2411" s="556">
        <f>G2411-W2411</f>
        <v/>
      </c>
      <c r="S2411" s="523" t="n">
        <v>44377</v>
      </c>
      <c r="T2411" s="522" t="inlineStr">
        <is>
          <t>IN202106-0345</t>
        </is>
      </c>
      <c r="U2411" s="522" t="inlineStr">
        <is>
          <t>L001-901905215</t>
        </is>
      </c>
      <c r="V2411" s="522" t="inlineStr">
        <is>
          <t>វីអ៊ីស៊ិន (ខេមបូឌា) អ៊ិនដាសស្ទ្រី ឯ.ក</t>
        </is>
      </c>
      <c r="W2411" s="556" t="n">
        <v>912800</v>
      </c>
    </row>
    <row r="2412">
      <c r="A2412" s="521" t="n">
        <v>2404</v>
      </c>
      <c r="B2412" s="522" t="inlineStr">
        <is>
          <t>Custom Clearance and Trucking Fee</t>
        </is>
      </c>
      <c r="C2412" s="522" t="inlineStr">
        <is>
          <t>56ប៊ី-លីង សឹបផ្លាយ ឆេន មេនេចម៉ិន ឯ.ក</t>
        </is>
      </c>
      <c r="D2412" s="522" t="inlineStr">
        <is>
          <t>K004-902004795</t>
        </is>
      </c>
      <c r="E2412" s="521" t="inlineStr">
        <is>
          <t>IN202106-0344</t>
        </is>
      </c>
      <c r="F2412" s="523" t="n">
        <v>44377</v>
      </c>
      <c r="G2412" s="556" t="n">
        <v>270988</v>
      </c>
      <c r="I2412" s="521">
        <f>G2412</f>
        <v/>
      </c>
      <c r="K2412" s="521">
        <f>I2412-G2412</f>
        <v/>
      </c>
      <c r="M2412" s="522" t="inlineStr">
        <is>
          <t>IN2021060344</t>
        </is>
      </c>
      <c r="N2412" s="522" t="inlineStr">
        <is>
          <t>IN2021060344</t>
        </is>
      </c>
      <c r="O2412" s="521">
        <f>M2412=N2412</f>
        <v/>
      </c>
      <c r="P2412" s="521">
        <f>AND(MONTH(F2412)=MONTH(S2412), YEAR(F2412)=YEAR(S2412))</f>
        <v/>
      </c>
      <c r="Q2412" s="521">
        <f>U2412="L001-901905215"</f>
        <v/>
      </c>
      <c r="R2412" s="556">
        <f>G2412-W2412</f>
        <v/>
      </c>
      <c r="S2412" s="523" t="n">
        <v>44377</v>
      </c>
      <c r="T2412" s="522" t="inlineStr">
        <is>
          <t>IN202106-0344</t>
        </is>
      </c>
      <c r="U2412" s="522" t="inlineStr">
        <is>
          <t>L001-901905215</t>
        </is>
      </c>
      <c r="V2412" s="522" t="inlineStr">
        <is>
          <t>វីអ៊ីស៊ិន (ខេមបូឌា) អ៊ិនដាសស្ទ្រី ឯ.ក</t>
        </is>
      </c>
      <c r="W2412" s="556" t="n">
        <v>270988</v>
      </c>
    </row>
    <row r="2413">
      <c r="A2413" s="521" t="n">
        <v>2405</v>
      </c>
      <c r="B2413" s="522" t="inlineStr">
        <is>
          <t>Custom Clearance and Trucking Fee</t>
        </is>
      </c>
      <c r="C2413" s="522" t="inlineStr">
        <is>
          <t>56ប៊ី-លីង សឹបផ្លាយ ឆេន មេនេចម៉ិន ឯ.ក</t>
        </is>
      </c>
      <c r="D2413" s="522" t="inlineStr">
        <is>
          <t>K004-902004795</t>
        </is>
      </c>
      <c r="E2413" s="521" t="inlineStr">
        <is>
          <t>IN202106-0343</t>
        </is>
      </c>
      <c r="F2413" s="523" t="n">
        <v>44377</v>
      </c>
      <c r="G2413" s="556" t="n">
        <v>165038</v>
      </c>
      <c r="I2413" s="521">
        <f>G2413</f>
        <v/>
      </c>
      <c r="K2413" s="521">
        <f>I2413-G2413</f>
        <v/>
      </c>
      <c r="M2413" s="522" t="inlineStr">
        <is>
          <t>IN2021060343</t>
        </is>
      </c>
      <c r="N2413" s="522" t="inlineStr">
        <is>
          <t>IN2021060343</t>
        </is>
      </c>
      <c r="O2413" s="521">
        <f>M2413=N2413</f>
        <v/>
      </c>
      <c r="P2413" s="521">
        <f>AND(MONTH(F2413)=MONTH(S2413), YEAR(F2413)=YEAR(S2413))</f>
        <v/>
      </c>
      <c r="Q2413" s="521">
        <f>U2413="L001-901905215"</f>
        <v/>
      </c>
      <c r="R2413" s="556">
        <f>G2413-W2413</f>
        <v/>
      </c>
      <c r="S2413" s="523" t="n">
        <v>44377</v>
      </c>
      <c r="T2413" s="522" t="inlineStr">
        <is>
          <t>IN202106-0343</t>
        </is>
      </c>
      <c r="U2413" s="522" t="inlineStr">
        <is>
          <t>L001-901905215</t>
        </is>
      </c>
      <c r="V2413" s="522" t="inlineStr">
        <is>
          <t>វីអ៊ីស៊ិន (ខេមបូឌា) អ៊ិនដាសស្ទ្រី ឯ.ក</t>
        </is>
      </c>
      <c r="W2413" s="556" t="n">
        <v>165038</v>
      </c>
    </row>
    <row r="2414">
      <c r="A2414" s="521" t="n">
        <v>2406</v>
      </c>
      <c r="B2414" s="522" t="inlineStr">
        <is>
          <t>G40 PET Blister</t>
        </is>
      </c>
      <c r="C2414" s="522" t="inlineStr">
        <is>
          <t>ខេមបូឌាន វ៉ាយភីស៊ី ត្រេឌីង ឯ.ក</t>
        </is>
      </c>
      <c r="D2414" s="522" t="inlineStr">
        <is>
          <t>B108-901904896</t>
        </is>
      </c>
      <c r="E2414" s="521" t="inlineStr">
        <is>
          <t>YPC2021/06-0010</t>
        </is>
      </c>
      <c r="F2414" s="523" t="n">
        <v>44376</v>
      </c>
      <c r="G2414" s="556" t="n">
        <v>2648750</v>
      </c>
      <c r="I2414" s="521">
        <f>G2414</f>
        <v/>
      </c>
      <c r="K2414" s="521">
        <f>I2414-G2414</f>
        <v/>
      </c>
      <c r="M2414" s="522" t="inlineStr">
        <is>
          <t>YPC2021060010</t>
        </is>
      </c>
      <c r="N2414" s="522" t="inlineStr"/>
      <c r="O2414" s="521">
        <f>M2414=N2414</f>
        <v/>
      </c>
      <c r="P2414" s="521">
        <f>AND(MONTH(F2414)=MONTH(S2414), YEAR(F2414)=YEAR(S2414))</f>
        <v/>
      </c>
      <c r="Q2414" s="521">
        <f>U2414="L001-901905215"</f>
        <v/>
      </c>
      <c r="R2414" s="556">
        <f>G2414-W2414</f>
        <v/>
      </c>
      <c r="S2414" s="521" t="n"/>
      <c r="T2414" s="522" t="n"/>
      <c r="U2414" s="522" t="n"/>
      <c r="V2414" s="522" t="n"/>
      <c r="W2414" s="521" t="n"/>
    </row>
    <row r="2415">
      <c r="A2415" s="521" t="n">
        <v>2407</v>
      </c>
      <c r="B2415" s="522" t="inlineStr">
        <is>
          <t>Paper Label</t>
        </is>
      </c>
      <c r="C2415" s="522" t="inlineStr">
        <is>
          <t>ស៊ីន ហ្វី យ៉ាង ព្រីនធីង &amp; អិកសេសសឺរី ឯ.ក</t>
        </is>
      </c>
      <c r="D2415" s="522" t="inlineStr">
        <is>
          <t>K010-901906822</t>
        </is>
      </c>
      <c r="E2415" s="521" t="inlineStr">
        <is>
          <t>XFY-YD2021085</t>
        </is>
      </c>
      <c r="F2415" s="523" t="n">
        <v>44373</v>
      </c>
      <c r="G2415" s="556" t="n">
        <v>1506723</v>
      </c>
      <c r="I2415" s="521">
        <f>G2415</f>
        <v/>
      </c>
      <c r="K2415" s="521">
        <f>I2415-G2415</f>
        <v/>
      </c>
      <c r="M2415" s="522" t="inlineStr">
        <is>
          <t>XFYYD2021085</t>
        </is>
      </c>
      <c r="N2415" s="522" t="inlineStr">
        <is>
          <t>XFYYD2021085</t>
        </is>
      </c>
      <c r="O2415" s="521">
        <f>M2415=N2415</f>
        <v/>
      </c>
      <c r="P2415" s="521">
        <f>AND(MONTH(F2415)=MONTH(S2415), YEAR(F2415)=YEAR(S2415))</f>
        <v/>
      </c>
      <c r="Q2415" s="521">
        <f>U2415="L001-901905215"</f>
        <v/>
      </c>
      <c r="R2415" s="556">
        <f>G2415-W2415</f>
        <v/>
      </c>
      <c r="S2415" s="523" t="n">
        <v>44373</v>
      </c>
      <c r="T2415" s="522" t="inlineStr">
        <is>
          <t>XFY-YD2021085</t>
        </is>
      </c>
      <c r="U2415" s="522" t="inlineStr">
        <is>
          <t>L001-901905215</t>
        </is>
      </c>
      <c r="V2415" s="522" t="inlineStr">
        <is>
          <t>វីអ៊ីស៊ិន (ខេមបូឌា) អ៊ិនដាសស្ទ្រី ឯ.ក</t>
        </is>
      </c>
      <c r="W2415" s="556" t="n">
        <v>1506723</v>
      </c>
    </row>
    <row r="2416">
      <c r="A2416" s="521" t="n">
        <v>2408</v>
      </c>
      <c r="B2416" s="522" t="inlineStr">
        <is>
          <t>កេសតាតុង</t>
        </is>
      </c>
      <c r="C2416" s="522" t="inlineStr">
        <is>
          <t>ស៊ីងហ្គាពួរ កាតុង (ខេមបូឌា)</t>
        </is>
      </c>
      <c r="D2416" s="522" t="inlineStr">
        <is>
          <t>L001-100121322</t>
        </is>
      </c>
      <c r="E2416" s="521" t="inlineStr">
        <is>
          <t>V0016363</t>
        </is>
      </c>
      <c r="F2416" s="523" t="n">
        <v>44348</v>
      </c>
      <c r="G2416" s="556" t="n">
        <v>740020</v>
      </c>
      <c r="I2416" s="521">
        <f>G2416</f>
        <v/>
      </c>
      <c r="K2416" s="521">
        <f>I2416-G2416</f>
        <v/>
      </c>
      <c r="M2416" s="522" t="inlineStr">
        <is>
          <t>V0016363</t>
        </is>
      </c>
      <c r="N2416" s="522" t="inlineStr">
        <is>
          <t>V0016363</t>
        </is>
      </c>
      <c r="O2416" s="521">
        <f>M2416=N2416</f>
        <v/>
      </c>
      <c r="P2416" s="521">
        <f>AND(MONTH(F2416)=MONTH(S2416), YEAR(F2416)=YEAR(S2416))</f>
        <v/>
      </c>
      <c r="Q2416" s="521">
        <f>U2416="L001-901905215"</f>
        <v/>
      </c>
      <c r="R2416" s="556">
        <f>G2416-W2416</f>
        <v/>
      </c>
      <c r="S2416" s="523" t="n">
        <v>44348</v>
      </c>
      <c r="T2416" s="522" t="inlineStr">
        <is>
          <t>V0016363</t>
        </is>
      </c>
      <c r="U2416" s="522" t="inlineStr">
        <is>
          <t>L001-901905215</t>
        </is>
      </c>
      <c r="V2416" s="522" t="inlineStr">
        <is>
          <t>វីអ៊ីស៊ិន (ខេមបូឌា) អ៊ិនដាសស្ទ្រី ឯ.ក</t>
        </is>
      </c>
      <c r="W2416" s="556" t="n">
        <v>740020</v>
      </c>
    </row>
    <row r="2417">
      <c r="A2417" s="521" t="n">
        <v>2409</v>
      </c>
      <c r="B2417" s="522" t="inlineStr">
        <is>
          <t>កេសតាតុង</t>
        </is>
      </c>
      <c r="C2417" s="522" t="inlineStr">
        <is>
          <t>ស៊ីងហ្គាពួរ កាតុង (ខេមបូឌា)</t>
        </is>
      </c>
      <c r="D2417" s="522" t="inlineStr">
        <is>
          <t>L001-100121322</t>
        </is>
      </c>
      <c r="E2417" s="521" t="inlineStr">
        <is>
          <t>V0016373</t>
        </is>
      </c>
      <c r="F2417" s="523" t="n">
        <v>44348</v>
      </c>
      <c r="G2417" s="556" t="n">
        <v>663243</v>
      </c>
      <c r="I2417" s="521">
        <f>G2417</f>
        <v/>
      </c>
      <c r="K2417" s="521">
        <f>I2417-G2417</f>
        <v/>
      </c>
      <c r="M2417" s="522" t="inlineStr">
        <is>
          <t>V0016373</t>
        </is>
      </c>
      <c r="N2417" s="522" t="inlineStr">
        <is>
          <t>V0016373</t>
        </is>
      </c>
      <c r="O2417" s="521">
        <f>M2417=N2417</f>
        <v/>
      </c>
      <c r="P2417" s="521">
        <f>AND(MONTH(F2417)=MONTH(S2417), YEAR(F2417)=YEAR(S2417))</f>
        <v/>
      </c>
      <c r="Q2417" s="521">
        <f>U2417="L001-901905215"</f>
        <v/>
      </c>
      <c r="R2417" s="556">
        <f>G2417-W2417</f>
        <v/>
      </c>
      <c r="S2417" s="523" t="n">
        <v>44348</v>
      </c>
      <c r="T2417" s="522" t="inlineStr">
        <is>
          <t>V0016373</t>
        </is>
      </c>
      <c r="U2417" s="522" t="inlineStr">
        <is>
          <t>L001-901905215</t>
        </is>
      </c>
      <c r="V2417" s="522" t="inlineStr">
        <is>
          <t>វីអ៊ីស៊ិន (ខេមបូឌា) អ៊ិនដាសស្ទ្រី ឯ.ក</t>
        </is>
      </c>
      <c r="W2417" s="556" t="n">
        <v>663243</v>
      </c>
    </row>
    <row r="2418">
      <c r="A2418" s="521" t="n">
        <v>2410</v>
      </c>
      <c r="B2418" s="522" t="inlineStr">
        <is>
          <t>ទ្រនាប់កេស</t>
        </is>
      </c>
      <c r="C2418" s="522" t="inlineStr">
        <is>
          <t>ស៊ីងហ្គាពួរ កាតុង (ខេមបូឌា)</t>
        </is>
      </c>
      <c r="D2418" s="522" t="inlineStr">
        <is>
          <t>L001-100121322</t>
        </is>
      </c>
      <c r="E2418" s="521" t="inlineStr">
        <is>
          <t>V0016413</t>
        </is>
      </c>
      <c r="F2418" s="523" t="n">
        <v>44351</v>
      </c>
      <c r="G2418" s="556" t="n">
        <v>73473</v>
      </c>
      <c r="I2418" s="521">
        <f>G2418</f>
        <v/>
      </c>
      <c r="K2418" s="521">
        <f>I2418-G2418</f>
        <v/>
      </c>
      <c r="M2418" s="522" t="inlineStr">
        <is>
          <t>V0016413</t>
        </is>
      </c>
      <c r="N2418" s="522" t="inlineStr">
        <is>
          <t>V0016413</t>
        </is>
      </c>
      <c r="O2418" s="521">
        <f>M2418=N2418</f>
        <v/>
      </c>
      <c r="P2418" s="521">
        <f>AND(MONTH(F2418)=MONTH(S2418), YEAR(F2418)=YEAR(S2418))</f>
        <v/>
      </c>
      <c r="Q2418" s="521">
        <f>U2418="L001-901905215"</f>
        <v/>
      </c>
      <c r="R2418" s="556">
        <f>G2418-W2418</f>
        <v/>
      </c>
      <c r="S2418" s="523" t="n">
        <v>44351</v>
      </c>
      <c r="T2418" s="522" t="inlineStr">
        <is>
          <t>V0016413</t>
        </is>
      </c>
      <c r="U2418" s="522" t="inlineStr">
        <is>
          <t>L001-901905215</t>
        </is>
      </c>
      <c r="V2418" s="522" t="inlineStr">
        <is>
          <t>វីអ៊ីស៊ិន (ខេមបូឌា) អ៊ិនដាសស្ទ្រី ឯ.ក</t>
        </is>
      </c>
      <c r="W2418" s="556" t="n">
        <v>73383</v>
      </c>
    </row>
    <row r="2419">
      <c r="A2419" s="521" t="n">
        <v>2411</v>
      </c>
      <c r="B2419" s="522" t="inlineStr">
        <is>
          <t>កេសតាតុង</t>
        </is>
      </c>
      <c r="C2419" s="522" t="inlineStr">
        <is>
          <t>ស៊ីងហ្គាពួរ កាតុង (ខេមបូឌា)</t>
        </is>
      </c>
      <c r="D2419" s="522" t="inlineStr">
        <is>
          <t>L001-100121322</t>
        </is>
      </c>
      <c r="E2419" s="521" t="inlineStr">
        <is>
          <t>V0016416</t>
        </is>
      </c>
      <c r="F2419" s="523" t="n">
        <v>44352</v>
      </c>
      <c r="G2419" s="556" t="n">
        <v>367200</v>
      </c>
      <c r="I2419" s="521">
        <f>G2419</f>
        <v/>
      </c>
      <c r="K2419" s="521">
        <f>I2419-G2419</f>
        <v/>
      </c>
      <c r="M2419" s="522" t="inlineStr">
        <is>
          <t>V0016416</t>
        </is>
      </c>
      <c r="N2419" s="522" t="inlineStr">
        <is>
          <t>V0016416</t>
        </is>
      </c>
      <c r="O2419" s="521">
        <f>M2419=N2419</f>
        <v/>
      </c>
      <c r="P2419" s="521">
        <f>AND(MONTH(F2419)=MONTH(S2419), YEAR(F2419)=YEAR(S2419))</f>
        <v/>
      </c>
      <c r="Q2419" s="521">
        <f>U2419="L001-901905215"</f>
        <v/>
      </c>
      <c r="R2419" s="556">
        <f>G2419-W2419</f>
        <v/>
      </c>
      <c r="S2419" s="523" t="n">
        <v>44352</v>
      </c>
      <c r="T2419" s="522" t="inlineStr">
        <is>
          <t>V0016416</t>
        </is>
      </c>
      <c r="U2419" s="522" t="inlineStr">
        <is>
          <t>L001-901905215</t>
        </is>
      </c>
      <c r="V2419" s="522" t="inlineStr">
        <is>
          <t>វីអ៊ីស៊ិន (ខេមបូឌា) អ៊ិនដាសស្ទ្រី ឯ.ក</t>
        </is>
      </c>
      <c r="W2419" s="556" t="n">
        <v>366750</v>
      </c>
    </row>
    <row r="2420">
      <c r="A2420" s="521" t="n">
        <v>2412</v>
      </c>
      <c r="B2420" s="522" t="inlineStr">
        <is>
          <t>កេសតាតុង</t>
        </is>
      </c>
      <c r="C2420" s="522" t="inlineStr">
        <is>
          <t>ស៊ីងហ្គាពួរ កាតុង (ខេមបូឌា)</t>
        </is>
      </c>
      <c r="D2420" s="522" t="inlineStr">
        <is>
          <t>L001-100121322</t>
        </is>
      </c>
      <c r="E2420" s="521" t="inlineStr">
        <is>
          <t>V0016419</t>
        </is>
      </c>
      <c r="F2420" s="523" t="n">
        <v>44348</v>
      </c>
      <c r="G2420" s="556" t="n">
        <v>238680</v>
      </c>
      <c r="I2420" s="521">
        <f>G2420</f>
        <v/>
      </c>
      <c r="K2420" s="521">
        <f>I2420-G2420</f>
        <v/>
      </c>
      <c r="M2420" s="522" t="inlineStr">
        <is>
          <t>V0016419</t>
        </is>
      </c>
      <c r="N2420" s="522" t="inlineStr">
        <is>
          <t>V0016419</t>
        </is>
      </c>
      <c r="O2420" s="521">
        <f>M2420=N2420</f>
        <v/>
      </c>
      <c r="P2420" s="521">
        <f>AND(MONTH(F2420)=MONTH(S2420), YEAR(F2420)=YEAR(S2420))</f>
        <v/>
      </c>
      <c r="Q2420" s="521">
        <f>U2420="L001-901905215"</f>
        <v/>
      </c>
      <c r="R2420" s="556">
        <f>G2420-W2420</f>
        <v/>
      </c>
      <c r="S2420" s="523" t="n">
        <v>44353</v>
      </c>
      <c r="T2420" s="522" t="inlineStr">
        <is>
          <t>V0016419</t>
        </is>
      </c>
      <c r="U2420" s="522" t="inlineStr">
        <is>
          <t>L001-901905215</t>
        </is>
      </c>
      <c r="V2420" s="522" t="inlineStr">
        <is>
          <t>វីអ៊ីស៊ិន (ខេមបូឌា) អ៊ិនដាសស្ទ្រី ឯ.ក</t>
        </is>
      </c>
      <c r="W2420" s="556" t="n">
        <v>238388</v>
      </c>
    </row>
    <row r="2421">
      <c r="A2421" s="521" t="n">
        <v>2413</v>
      </c>
      <c r="B2421" s="522" t="inlineStr">
        <is>
          <t>កេសតាតុង</t>
        </is>
      </c>
      <c r="C2421" s="522" t="inlineStr">
        <is>
          <t>ស៊ីងហ្គាពួរ កាតុង (ខេមបូឌា)</t>
        </is>
      </c>
      <c r="D2421" s="522" t="inlineStr">
        <is>
          <t>L001-100121322</t>
        </is>
      </c>
      <c r="E2421" s="521" t="inlineStr">
        <is>
          <t>V0016432</t>
        </is>
      </c>
      <c r="F2421" s="523" t="n">
        <v>44348</v>
      </c>
      <c r="G2421" s="556" t="n">
        <v>25377</v>
      </c>
      <c r="I2421" s="521">
        <f>G2421</f>
        <v/>
      </c>
      <c r="K2421" s="521">
        <f>I2421-G2421</f>
        <v/>
      </c>
      <c r="M2421" s="522" t="inlineStr">
        <is>
          <t>V0016432</t>
        </is>
      </c>
      <c r="N2421" s="522" t="inlineStr">
        <is>
          <t>V0016432</t>
        </is>
      </c>
      <c r="O2421" s="521">
        <f>M2421=N2421</f>
        <v/>
      </c>
      <c r="P2421" s="521">
        <f>AND(MONTH(F2421)=MONTH(S2421), YEAR(F2421)=YEAR(S2421))</f>
        <v/>
      </c>
      <c r="Q2421" s="521">
        <f>U2421="L001-901905215"</f>
        <v/>
      </c>
      <c r="R2421" s="556">
        <f>G2421-W2421</f>
        <v/>
      </c>
      <c r="S2421" s="523" t="n">
        <v>44356</v>
      </c>
      <c r="T2421" s="522" t="inlineStr">
        <is>
          <t>V0016432</t>
        </is>
      </c>
      <c r="U2421" s="522" t="inlineStr">
        <is>
          <t>L001-901905215</t>
        </is>
      </c>
      <c r="V2421" s="522" t="inlineStr">
        <is>
          <t>វីអ៊ីស៊ិន (ខេមបូឌា) អ៊ិនដាសស្ទ្រី ឯ.ក</t>
        </is>
      </c>
      <c r="W2421" s="556" t="n">
        <v>25347</v>
      </c>
    </row>
    <row r="2422">
      <c r="A2422" s="521" t="n">
        <v>2414</v>
      </c>
      <c r="B2422" s="522" t="inlineStr">
        <is>
          <t>កេសតាតុង</t>
        </is>
      </c>
      <c r="C2422" s="522" t="inlineStr">
        <is>
          <t>ស៊ីងហ្គាពួរ កាតុង (ខេមបូឌា)</t>
        </is>
      </c>
      <c r="D2422" s="522" t="inlineStr">
        <is>
          <t>L001-100121322</t>
        </is>
      </c>
      <c r="E2422" s="521" t="inlineStr">
        <is>
          <t>V0016433</t>
        </is>
      </c>
      <c r="F2422" s="523" t="n">
        <v>44356</v>
      </c>
      <c r="G2422" s="556" t="n">
        <v>676750</v>
      </c>
      <c r="I2422" s="521">
        <f>G2422</f>
        <v/>
      </c>
      <c r="K2422" s="521">
        <f>I2422-G2422</f>
        <v/>
      </c>
      <c r="M2422" s="522" t="inlineStr">
        <is>
          <t>V0016433</t>
        </is>
      </c>
      <c r="N2422" s="522" t="inlineStr">
        <is>
          <t>V0016433</t>
        </is>
      </c>
      <c r="O2422" s="521">
        <f>M2422=N2422</f>
        <v/>
      </c>
      <c r="P2422" s="521">
        <f>AND(MONTH(F2422)=MONTH(S2422), YEAR(F2422)=YEAR(S2422))</f>
        <v/>
      </c>
      <c r="Q2422" s="521">
        <f>U2422="L001-901905215"</f>
        <v/>
      </c>
      <c r="R2422" s="556">
        <f>G2422-W2422</f>
        <v/>
      </c>
      <c r="S2422" s="523" t="n">
        <v>44356</v>
      </c>
      <c r="T2422" s="522" t="inlineStr">
        <is>
          <t>V0016433</t>
        </is>
      </c>
      <c r="U2422" s="522" t="inlineStr">
        <is>
          <t>L001-901905215</t>
        </is>
      </c>
      <c r="V2422" s="522" t="inlineStr">
        <is>
          <t>វីអ៊ីស៊ិន (ខេមបូឌា) អ៊ិនដាសស្ទ្រី ឯ.ក</t>
        </is>
      </c>
      <c r="W2422" s="556" t="n">
        <v>675920</v>
      </c>
    </row>
    <row r="2423">
      <c r="A2423" s="521" t="n">
        <v>2415</v>
      </c>
      <c r="B2423" s="522" t="inlineStr">
        <is>
          <t>កេសតាតុង</t>
        </is>
      </c>
      <c r="C2423" s="522" t="inlineStr">
        <is>
          <t>ស៊ីងហ្គាពួរ កាតុង (ខេមបូឌា)</t>
        </is>
      </c>
      <c r="D2423" s="522" t="inlineStr">
        <is>
          <t>L001-100121322</t>
        </is>
      </c>
      <c r="E2423" s="521" t="inlineStr">
        <is>
          <t>V0016441</t>
        </is>
      </c>
      <c r="F2423" s="523" t="n">
        <v>44357</v>
      </c>
      <c r="G2423" s="556" t="n">
        <v>431657</v>
      </c>
      <c r="I2423" s="521">
        <f>G2423</f>
        <v/>
      </c>
      <c r="K2423" s="521">
        <f>I2423-G2423</f>
        <v/>
      </c>
      <c r="M2423" s="522" t="inlineStr">
        <is>
          <t>V0016441</t>
        </is>
      </c>
      <c r="N2423" s="522" t="inlineStr">
        <is>
          <t>V0016441</t>
        </is>
      </c>
      <c r="O2423" s="521">
        <f>M2423=N2423</f>
        <v/>
      </c>
      <c r="P2423" s="521">
        <f>AND(MONTH(F2423)=MONTH(S2423), YEAR(F2423)=YEAR(S2423))</f>
        <v/>
      </c>
      <c r="Q2423" s="521">
        <f>U2423="L001-901905215"</f>
        <v/>
      </c>
      <c r="R2423" s="556">
        <f>G2423-W2423</f>
        <v/>
      </c>
      <c r="S2423" s="523" t="n">
        <v>44357</v>
      </c>
      <c r="T2423" s="522" t="inlineStr">
        <is>
          <t>V0016441</t>
        </is>
      </c>
      <c r="U2423" s="522" t="inlineStr">
        <is>
          <t>L001-901905215</t>
        </is>
      </c>
      <c r="V2423" s="522" t="inlineStr">
        <is>
          <t>វីអ៊ីស៊ិន (ខេមបូឌា) អ៊ិនដាសស្ទ្រី ឯ.ក</t>
        </is>
      </c>
      <c r="W2423" s="556" t="n">
        <v>430916</v>
      </c>
    </row>
    <row r="2424">
      <c r="A2424" s="521" t="n">
        <v>2416</v>
      </c>
      <c r="B2424" s="522" t="inlineStr">
        <is>
          <t>STICKER A4 SIZE</t>
        </is>
      </c>
      <c r="C2424" s="522" t="inlineStr">
        <is>
          <t>ស៊ីងហ្គាពួរ កាតុង (ខេមបូឌា)</t>
        </is>
      </c>
      <c r="D2424" s="522" t="inlineStr">
        <is>
          <t>L001-100121322</t>
        </is>
      </c>
      <c r="E2424" s="521" t="inlineStr">
        <is>
          <t>V0016462</t>
        </is>
      </c>
      <c r="F2424" s="523" t="n">
        <v>44361</v>
      </c>
      <c r="G2424" s="556" t="n">
        <v>16956</v>
      </c>
      <c r="I2424" s="521">
        <f>G2424</f>
        <v/>
      </c>
      <c r="K2424" s="521">
        <f>I2424-G2424</f>
        <v/>
      </c>
      <c r="M2424" s="522" t="inlineStr">
        <is>
          <t>V0016462</t>
        </is>
      </c>
      <c r="N2424" s="522" t="inlineStr">
        <is>
          <t>V0016462</t>
        </is>
      </c>
      <c r="O2424" s="521">
        <f>M2424=N2424</f>
        <v/>
      </c>
      <c r="P2424" s="521">
        <f>AND(MONTH(F2424)=MONTH(S2424), YEAR(F2424)=YEAR(S2424))</f>
        <v/>
      </c>
      <c r="Q2424" s="521">
        <f>U2424="L001-901905215"</f>
        <v/>
      </c>
      <c r="R2424" s="556">
        <f>G2424-W2424</f>
        <v/>
      </c>
      <c r="S2424" s="523" t="n">
        <v>44361</v>
      </c>
      <c r="T2424" s="522" t="inlineStr">
        <is>
          <t>V0016462</t>
        </is>
      </c>
      <c r="U2424" s="522" t="inlineStr">
        <is>
          <t>L001-901905215</t>
        </is>
      </c>
      <c r="V2424" s="522" t="inlineStr">
        <is>
          <t>វីអ៊ីស៊ិន (ខេមបូឌា) អ៊ិនដាសស្ទ្រី ឯ.ក</t>
        </is>
      </c>
      <c r="W2424" s="556" t="n">
        <v>16937</v>
      </c>
    </row>
    <row r="2425">
      <c r="A2425" s="521" t="n">
        <v>2417</v>
      </c>
      <c r="B2425" s="522" t="inlineStr">
        <is>
          <t>កេសតាតុង</t>
        </is>
      </c>
      <c r="C2425" s="522" t="inlineStr">
        <is>
          <t>ស៊ីងហ្គាពួរ កាតុង (ខេមបូឌា)</t>
        </is>
      </c>
      <c r="D2425" s="522" t="inlineStr">
        <is>
          <t>L001-100121322</t>
        </is>
      </c>
      <c r="E2425" s="521" t="inlineStr">
        <is>
          <t>V0016463</t>
        </is>
      </c>
      <c r="F2425" s="523" t="n">
        <v>44361</v>
      </c>
      <c r="G2425" s="556" t="n">
        <v>350802</v>
      </c>
      <c r="I2425" s="521">
        <f>G2425</f>
        <v/>
      </c>
      <c r="K2425" s="521">
        <f>I2425-G2425</f>
        <v/>
      </c>
      <c r="M2425" s="522" t="inlineStr">
        <is>
          <t>V0016463</t>
        </is>
      </c>
      <c r="N2425" s="522" t="inlineStr">
        <is>
          <t>V0016463</t>
        </is>
      </c>
      <c r="O2425" s="521">
        <f>M2425=N2425</f>
        <v/>
      </c>
      <c r="P2425" s="521">
        <f>AND(MONTH(F2425)=MONTH(S2425), YEAR(F2425)=YEAR(S2425))</f>
        <v/>
      </c>
      <c r="Q2425" s="521">
        <f>U2425="L001-901905215"</f>
        <v/>
      </c>
      <c r="R2425" s="556">
        <f>G2425-W2425</f>
        <v/>
      </c>
      <c r="S2425" s="523" t="n">
        <v>44361</v>
      </c>
      <c r="T2425" s="522" t="inlineStr">
        <is>
          <t>V0016463</t>
        </is>
      </c>
      <c r="U2425" s="522" t="inlineStr">
        <is>
          <t>L001-901905215</t>
        </is>
      </c>
      <c r="V2425" s="522" t="inlineStr">
        <is>
          <t>វីអ៊ីស៊ិន (ខេមបូឌា) អ៊ិនដាសស្ទ្រី ឯ.ក</t>
        </is>
      </c>
      <c r="W2425" s="556" t="n">
        <v>350372</v>
      </c>
    </row>
    <row r="2426">
      <c r="A2426" s="521" t="n">
        <v>2418</v>
      </c>
      <c r="B2426" s="522" t="inlineStr">
        <is>
          <t>កេសតាតុងនិងទ្រនាបកេស</t>
        </is>
      </c>
      <c r="C2426" s="522" t="inlineStr">
        <is>
          <t>ស៊ីងហ្គាពួរ កាតុង (ខេមបូឌា)</t>
        </is>
      </c>
      <c r="D2426" s="522" t="inlineStr">
        <is>
          <t>L001-100121322</t>
        </is>
      </c>
      <c r="E2426" s="521" t="inlineStr">
        <is>
          <t>V0016640</t>
        </is>
      </c>
      <c r="F2426" s="523" t="n">
        <v>44377</v>
      </c>
      <c r="G2426" s="556" t="n">
        <v>19853</v>
      </c>
      <c r="I2426" s="521">
        <f>G2426</f>
        <v/>
      </c>
      <c r="K2426" s="521">
        <f>I2426-G2426</f>
        <v/>
      </c>
      <c r="M2426" s="522" t="inlineStr">
        <is>
          <t>V0016640</t>
        </is>
      </c>
      <c r="N2426" s="522" t="inlineStr">
        <is>
          <t>V0016640</t>
        </is>
      </c>
      <c r="O2426" s="521">
        <f>M2426=N2426</f>
        <v/>
      </c>
      <c r="P2426" s="521">
        <f>AND(MONTH(F2426)=MONTH(S2426), YEAR(F2426)=YEAR(S2426))</f>
        <v/>
      </c>
      <c r="Q2426" s="521">
        <f>U2426="L001-901905215"</f>
        <v/>
      </c>
      <c r="R2426" s="556">
        <f>G2426-W2426</f>
        <v/>
      </c>
      <c r="S2426" s="523" t="n">
        <v>44377</v>
      </c>
      <c r="T2426" s="522" t="inlineStr">
        <is>
          <t>V0016640</t>
        </is>
      </c>
      <c r="U2426" s="522" t="inlineStr">
        <is>
          <t>L001-901905215</t>
        </is>
      </c>
      <c r="V2426" s="522" t="inlineStr">
        <is>
          <t>វីអ៊ីស៊ិន (ខេមបូឌា) អ៊ិនដាសស្ទ្រី ឯ.ក</t>
        </is>
      </c>
      <c r="W2426" s="556" t="n">
        <v>19853</v>
      </c>
    </row>
    <row r="2427">
      <c r="A2427" s="521" t="n">
        <v>2419</v>
      </c>
      <c r="B2427" s="522" t="inlineStr">
        <is>
          <t>Color Box, Paper Card, PDQ</t>
        </is>
      </c>
      <c r="C2427" s="522" t="inlineStr">
        <is>
          <t>ហឺ ចេង ស៊ីង ភែកឃីជីង (ខេមបូឌា) ឯ.ក</t>
        </is>
      </c>
      <c r="D2427" s="522" t="inlineStr">
        <is>
          <t>L001-902004143</t>
        </is>
      </c>
      <c r="E2427" s="521" t="inlineStr">
        <is>
          <t>00187</t>
        </is>
      </c>
      <c r="F2427" s="523" t="n">
        <v>44377</v>
      </c>
      <c r="G2427" s="556" t="n">
        <v>16953458</v>
      </c>
      <c r="I2427" s="521">
        <f>G2427</f>
        <v/>
      </c>
      <c r="K2427" s="521">
        <f>I2427-G2427</f>
        <v/>
      </c>
      <c r="M2427" s="522" t="inlineStr">
        <is>
          <t>00187</t>
        </is>
      </c>
      <c r="N2427" s="522" t="inlineStr">
        <is>
          <t>00187</t>
        </is>
      </c>
      <c r="O2427" s="521">
        <f>M2427=N2427</f>
        <v/>
      </c>
      <c r="P2427" s="521">
        <f>AND(MONTH(F2427)=MONTH(S2427), YEAR(F2427)=YEAR(S2427))</f>
        <v/>
      </c>
      <c r="Q2427" s="521">
        <f>U2427="L001-901905215"</f>
        <v/>
      </c>
      <c r="R2427" s="556">
        <f>G2427-W2427</f>
        <v/>
      </c>
      <c r="S2427" s="523" t="n">
        <v>44377</v>
      </c>
      <c r="T2427" s="522" t="inlineStr">
        <is>
          <t>00187</t>
        </is>
      </c>
      <c r="U2427" s="522" t="inlineStr">
        <is>
          <t>L001-901905215</t>
        </is>
      </c>
      <c r="V2427" s="522" t="inlineStr">
        <is>
          <t>វីអ៊ីស៊ិន (ខេមបូឌា) អ៊ិនដាសស្ទ្រី ឯ.ក</t>
        </is>
      </c>
      <c r="W2427" s="556" t="n">
        <v>16953459</v>
      </c>
    </row>
    <row r="2428">
      <c r="A2428" s="521" t="n">
        <v>2420</v>
      </c>
      <c r="B2428" s="522" t="inlineStr">
        <is>
          <t>ផ្លាកក្រដាសនិងក្រដាស</t>
        </is>
      </c>
      <c r="C2428" s="522" t="inlineStr">
        <is>
          <t>ដុងគ័ន ស៊ីធី ហ្វាញស្តារ ព្រីនធីង (ខេមបូឌា)</t>
        </is>
      </c>
      <c r="D2428" s="522" t="inlineStr">
        <is>
          <t>L001-100193021</t>
        </is>
      </c>
      <c r="E2428" s="521" t="inlineStr">
        <is>
          <t>000321</t>
        </is>
      </c>
      <c r="F2428" s="523" t="n">
        <v>44376</v>
      </c>
      <c r="G2428" s="556" t="n">
        <v>5157500</v>
      </c>
      <c r="I2428" s="521">
        <f>G2428</f>
        <v/>
      </c>
      <c r="K2428" s="521">
        <f>I2428-G2428</f>
        <v/>
      </c>
      <c r="M2428" s="522" t="inlineStr">
        <is>
          <t>000321</t>
        </is>
      </c>
      <c r="N2428" s="522" t="inlineStr">
        <is>
          <t>000321</t>
        </is>
      </c>
      <c r="O2428" s="521">
        <f>M2428=N2428</f>
        <v/>
      </c>
      <c r="P2428" s="521">
        <f>AND(MONTH(F2428)=MONTH(S2428), YEAR(F2428)=YEAR(S2428))</f>
        <v/>
      </c>
      <c r="Q2428" s="521">
        <f>U2428="L001-901905215"</f>
        <v/>
      </c>
      <c r="R2428" s="556">
        <f>G2428-W2428</f>
        <v/>
      </c>
      <c r="S2428" s="523" t="n">
        <v>44376</v>
      </c>
      <c r="T2428" s="522" t="inlineStr">
        <is>
          <t>000321</t>
        </is>
      </c>
      <c r="U2428" s="522" t="inlineStr">
        <is>
          <t>L001-901905215</t>
        </is>
      </c>
      <c r="V2428" s="522" t="inlineStr">
        <is>
          <t>វីអ៊ីស៊ិន (ខេមបូឌា) អ៊ិនដាសស្ទ្រី ឯ.ក</t>
        </is>
      </c>
      <c r="W2428" s="556" t="n">
        <v>5157500</v>
      </c>
    </row>
    <row r="2429">
      <c r="A2429" s="521" t="n">
        <v>2421</v>
      </c>
      <c r="B2429" s="522" t="inlineStr">
        <is>
          <t>Water Meter Installtion Fee</t>
        </is>
      </c>
      <c r="C2429" s="522" t="inlineStr">
        <is>
          <t>ភ្នំពេញ អេសអ៊ីហ្សិត ភីអិលស៊ី</t>
        </is>
      </c>
      <c r="D2429" s="522" t="inlineStr">
        <is>
          <t>L001-100046592</t>
        </is>
      </c>
      <c r="E2429" s="521" t="inlineStr">
        <is>
          <t>2021-02641</t>
        </is>
      </c>
      <c r="F2429" s="523" t="n">
        <v>44348</v>
      </c>
      <c r="G2429" s="556" t="n">
        <v>323962</v>
      </c>
      <c r="I2429" s="521">
        <f>G2429</f>
        <v/>
      </c>
      <c r="K2429" s="521">
        <f>I2429-G2429</f>
        <v/>
      </c>
      <c r="M2429" s="522" t="inlineStr">
        <is>
          <t>202102641</t>
        </is>
      </c>
      <c r="N2429" s="522" t="inlineStr">
        <is>
          <t>202102641</t>
        </is>
      </c>
      <c r="O2429" s="521">
        <f>M2429=N2429</f>
        <v/>
      </c>
      <c r="P2429" s="521">
        <f>AND(MONTH(F2429)=MONTH(S2429), YEAR(F2429)=YEAR(S2429))</f>
        <v/>
      </c>
      <c r="Q2429" s="521">
        <f>U2429="L001-901905215"</f>
        <v/>
      </c>
      <c r="R2429" s="556">
        <f>G2429-W2429</f>
        <v/>
      </c>
      <c r="S2429" s="523" t="n">
        <v>44348</v>
      </c>
      <c r="T2429" s="522" t="inlineStr">
        <is>
          <t>2021-02641</t>
        </is>
      </c>
      <c r="U2429" s="522" t="inlineStr">
        <is>
          <t>L001-901905215</t>
        </is>
      </c>
      <c r="V2429" s="522" t="inlineStr">
        <is>
          <t>វីអ៊ីស៊ិន (ខេមបូឌា) អ៊ិនដាសស្ទ្រី ឯ.ក</t>
        </is>
      </c>
      <c r="W2429" s="556" t="n">
        <v>323963</v>
      </c>
    </row>
    <row r="2430">
      <c r="A2430" s="521" t="n">
        <v>2422</v>
      </c>
      <c r="B2430" s="522" t="inlineStr">
        <is>
          <t>Kimchi and Vanila Ice-cream</t>
        </is>
      </c>
      <c r="C2430" s="522" t="inlineStr">
        <is>
          <t>ខ្មែរ អ៊ិននើវេធីវ សឺវីស ឯ.ក</t>
        </is>
      </c>
      <c r="D2430" s="522" t="inlineStr">
        <is>
          <t>L001-100185800</t>
        </is>
      </c>
      <c r="E2430" s="521" t="inlineStr">
        <is>
          <t>2021-6363</t>
        </is>
      </c>
      <c r="F2430" s="523" t="n">
        <v>44350</v>
      </c>
      <c r="G2430" s="556" t="n">
        <v>5200</v>
      </c>
      <c r="I2430" s="521">
        <f>G2430</f>
        <v/>
      </c>
      <c r="K2430" s="521">
        <f>I2430-G2430</f>
        <v/>
      </c>
      <c r="M2430" s="522" t="inlineStr">
        <is>
          <t>20216363</t>
        </is>
      </c>
      <c r="N2430" s="522" t="inlineStr"/>
      <c r="O2430" s="521">
        <f>M2430=N2430</f>
        <v/>
      </c>
      <c r="P2430" s="521">
        <f>AND(MONTH(F2430)=MONTH(S2430), YEAR(F2430)=YEAR(S2430))</f>
        <v/>
      </c>
      <c r="Q2430" s="521">
        <f>U2430="L001-901905215"</f>
        <v/>
      </c>
      <c r="R2430" s="556">
        <f>G2430-W2430</f>
        <v/>
      </c>
      <c r="S2430" s="521" t="n"/>
      <c r="T2430" s="522" t="n"/>
      <c r="U2430" s="522" t="n"/>
      <c r="V2430" s="522" t="n"/>
      <c r="W2430" s="521" t="n"/>
    </row>
    <row r="2431">
      <c r="A2431" s="521" t="n">
        <v>2423</v>
      </c>
      <c r="B2431" s="522" t="inlineStr">
        <is>
          <t>Kimchi,Salmon and mushroom sauce</t>
        </is>
      </c>
      <c r="C2431" s="522" t="inlineStr">
        <is>
          <t>ខ្មែរ អ៊ិននើវេធីវ សឺវីស ឯ.ក</t>
        </is>
      </c>
      <c r="D2431" s="522" t="inlineStr">
        <is>
          <t>L001-100185800</t>
        </is>
      </c>
      <c r="E2431" s="521" t="inlineStr">
        <is>
          <t>2021-6413</t>
        </is>
      </c>
      <c r="F2431" s="523" t="n">
        <v>44351</v>
      </c>
      <c r="G2431" s="556" t="n">
        <v>11600</v>
      </c>
      <c r="I2431" s="521">
        <f>G2431</f>
        <v/>
      </c>
      <c r="K2431" s="521">
        <f>I2431-G2431</f>
        <v/>
      </c>
      <c r="M2431" s="522" t="inlineStr">
        <is>
          <t>20216413</t>
        </is>
      </c>
      <c r="N2431" s="522" t="inlineStr"/>
      <c r="O2431" s="521">
        <f>M2431=N2431</f>
        <v/>
      </c>
      <c r="P2431" s="521">
        <f>AND(MONTH(F2431)=MONTH(S2431), YEAR(F2431)=YEAR(S2431))</f>
        <v/>
      </c>
      <c r="Q2431" s="521">
        <f>U2431="L001-901905215"</f>
        <v/>
      </c>
      <c r="R2431" s="556">
        <f>G2431-W2431</f>
        <v/>
      </c>
      <c r="S2431" s="521" t="n"/>
      <c r="T2431" s="522" t="n"/>
      <c r="U2431" s="522" t="n"/>
      <c r="V2431" s="522" t="n"/>
      <c r="W2431" s="521" t="n"/>
    </row>
    <row r="2432">
      <c r="A2432" s="521" t="n">
        <v>2424</v>
      </c>
      <c r="B2432" s="522" t="inlineStr">
        <is>
          <t>Rental Machine Canon</t>
        </is>
      </c>
      <c r="C2432" s="522" t="inlineStr">
        <is>
          <t xml:space="preserve">អិនធីអិល តិចណូឡូជី </t>
        </is>
      </c>
      <c r="D2432" s="522" t="inlineStr">
        <is>
          <t>K005-901900283</t>
        </is>
      </c>
      <c r="E2432" s="521" t="inlineStr">
        <is>
          <t>21-001406</t>
        </is>
      </c>
      <c r="F2432" s="523" t="n">
        <v>44376</v>
      </c>
      <c r="G2432" s="556" t="n">
        <v>78462</v>
      </c>
      <c r="I2432" s="521">
        <f>G2432</f>
        <v/>
      </c>
      <c r="K2432" s="521">
        <f>I2432-G2432</f>
        <v/>
      </c>
      <c r="M2432" s="522" t="inlineStr">
        <is>
          <t>21001406</t>
        </is>
      </c>
      <c r="N2432" s="522" t="inlineStr">
        <is>
          <t>21001406</t>
        </is>
      </c>
      <c r="O2432" s="521">
        <f>M2432=N2432</f>
        <v/>
      </c>
      <c r="P2432" s="521">
        <f>AND(MONTH(F2432)=MONTH(S2432), YEAR(F2432)=YEAR(S2432))</f>
        <v/>
      </c>
      <c r="Q2432" s="521">
        <f>U2432="L001-901905215"</f>
        <v/>
      </c>
      <c r="R2432" s="556">
        <f>G2432-W2432</f>
        <v/>
      </c>
      <c r="S2432" s="523" t="n">
        <v>44376</v>
      </c>
      <c r="T2432" s="522" t="inlineStr">
        <is>
          <t>21-001406</t>
        </is>
      </c>
      <c r="U2432" s="522" t="inlineStr">
        <is>
          <t>L001-901905215</t>
        </is>
      </c>
      <c r="V2432" s="522" t="inlineStr">
        <is>
          <t>វីអ៊ីស៊ិន (ខេមបូឌា) អ៊ិនដាសស្ទ្រី ឯ.ក</t>
        </is>
      </c>
      <c r="W2432" s="556" t="n">
        <v>78462</v>
      </c>
    </row>
    <row r="2433">
      <c r="A2433" s="521" t="n">
        <v>2425</v>
      </c>
      <c r="B2433" s="522" t="inlineStr">
        <is>
          <t>Express Fee</t>
        </is>
      </c>
      <c r="C2433" s="522" t="inlineStr">
        <is>
          <t>ឌី អេច អិល អិចប្រេស (ខេមបូឌា)</t>
        </is>
      </c>
      <c r="D2433" s="522" t="inlineStr">
        <is>
          <t>L001-100045197</t>
        </is>
      </c>
      <c r="E2433" s="521" t="inlineStr">
        <is>
          <t>PNHR000384071</t>
        </is>
      </c>
      <c r="F2433" s="523" t="n">
        <v>44364</v>
      </c>
      <c r="G2433" s="556" t="n">
        <v>272093</v>
      </c>
      <c r="I2433" s="521">
        <f>G2433</f>
        <v/>
      </c>
      <c r="K2433" s="521">
        <f>I2433-G2433</f>
        <v/>
      </c>
      <c r="M2433" s="522" t="inlineStr">
        <is>
          <t>PNHR000384071</t>
        </is>
      </c>
      <c r="N2433" s="522" t="inlineStr"/>
      <c r="O2433" s="521">
        <f>M2433=N2433</f>
        <v/>
      </c>
      <c r="P2433" s="521">
        <f>AND(MONTH(F2433)=MONTH(S2433), YEAR(F2433)=YEAR(S2433))</f>
        <v/>
      </c>
      <c r="Q2433" s="521">
        <f>U2433="L001-901905215"</f>
        <v/>
      </c>
      <c r="R2433" s="556">
        <f>G2433-W2433</f>
        <v/>
      </c>
      <c r="S2433" s="521" t="n"/>
      <c r="T2433" s="522" t="n"/>
      <c r="U2433" s="522" t="n"/>
      <c r="V2433" s="522" t="n"/>
      <c r="W2433" s="521" t="n"/>
    </row>
    <row r="2434">
      <c r="A2434" s="521" t="n">
        <v>2426</v>
      </c>
      <c r="B2434" s="522" t="inlineStr">
        <is>
          <t>Express Fee</t>
        </is>
      </c>
      <c r="C2434" s="522" t="inlineStr">
        <is>
          <t>ឌី អេច អិល អិចប្រេស (ខេមបូឌា)</t>
        </is>
      </c>
      <c r="D2434" s="522" t="inlineStr">
        <is>
          <t>L001-100045197</t>
        </is>
      </c>
      <c r="E2434" s="521" t="inlineStr">
        <is>
          <t>PNHR000383113</t>
        </is>
      </c>
      <c r="F2434" s="523" t="n">
        <v>44357</v>
      </c>
      <c r="G2434" s="556" t="n">
        <v>7115</v>
      </c>
      <c r="I2434" s="521">
        <f>G2434</f>
        <v/>
      </c>
      <c r="K2434" s="521">
        <f>I2434-G2434</f>
        <v/>
      </c>
      <c r="M2434" s="522" t="inlineStr">
        <is>
          <t>PNHR000383113</t>
        </is>
      </c>
      <c r="N2434" s="522" t="inlineStr"/>
      <c r="O2434" s="521">
        <f>M2434=N2434</f>
        <v/>
      </c>
      <c r="P2434" s="521">
        <f>AND(MONTH(F2434)=MONTH(S2434), YEAR(F2434)=YEAR(S2434))</f>
        <v/>
      </c>
      <c r="Q2434" s="521">
        <f>U2434="L001-901905215"</f>
        <v/>
      </c>
      <c r="R2434" s="556">
        <f>G2434-W2434</f>
        <v/>
      </c>
      <c r="S2434" s="521" t="n"/>
      <c r="T2434" s="522" t="n"/>
      <c r="U2434" s="522" t="n"/>
      <c r="V2434" s="522" t="n"/>
      <c r="W2434" s="521" t="n"/>
    </row>
    <row r="2435">
      <c r="A2435" s="521" t="n">
        <v>2427</v>
      </c>
      <c r="B2435" s="522" t="inlineStr">
        <is>
          <t>General pest control service on Jun 2021</t>
        </is>
      </c>
      <c r="C2435" s="522" t="inlineStr">
        <is>
          <t>ភីស៊ីអាយ សឺវីស</t>
        </is>
      </c>
      <c r="D2435" s="522" t="inlineStr">
        <is>
          <t>K010-901639639</t>
        </is>
      </c>
      <c r="E2435" s="521" t="inlineStr">
        <is>
          <t>2021-0103</t>
        </is>
      </c>
      <c r="F2435" s="523" t="n">
        <v>44361</v>
      </c>
      <c r="G2435" s="556" t="n">
        <v>80960</v>
      </c>
      <c r="I2435" s="521">
        <f>G2435</f>
        <v/>
      </c>
      <c r="K2435" s="521">
        <f>I2435-G2435</f>
        <v/>
      </c>
      <c r="M2435" s="522" t="inlineStr">
        <is>
          <t>20210103</t>
        </is>
      </c>
      <c r="N2435" s="522" t="inlineStr"/>
      <c r="O2435" s="521">
        <f>M2435=N2435</f>
        <v/>
      </c>
      <c r="P2435" s="521">
        <f>AND(MONTH(F2435)=MONTH(S2435), YEAR(F2435)=YEAR(S2435))</f>
        <v/>
      </c>
      <c r="Q2435" s="521">
        <f>U2435="L001-901905215"</f>
        <v/>
      </c>
      <c r="R2435" s="556">
        <f>G2435-W2435</f>
        <v/>
      </c>
      <c r="S2435" s="521" t="n"/>
      <c r="T2435" s="522" t="n"/>
      <c r="U2435" s="522" t="n"/>
      <c r="V2435" s="522" t="n"/>
      <c r="W2435" s="521" t="n"/>
    </row>
    <row r="2436">
      <c r="A2436" s="521" t="n">
        <v>2428</v>
      </c>
      <c r="B2436" s="522" t="inlineStr">
        <is>
          <t>Waste Collection service for Jun 2021</t>
        </is>
      </c>
      <c r="C2436" s="522" t="inlineStr">
        <is>
          <t>ហ្គោមី រីសាយឃល110</t>
        </is>
      </c>
      <c r="D2436" s="522" t="inlineStr">
        <is>
          <t>K010-901503890</t>
        </is>
      </c>
      <c r="E2436" s="521" t="inlineStr">
        <is>
          <t>GR-TIN21/06-005</t>
        </is>
      </c>
      <c r="F2436" s="523" t="n">
        <v>44375</v>
      </c>
      <c r="G2436" s="556" t="n">
        <v>16300</v>
      </c>
      <c r="I2436" s="521">
        <f>G2436</f>
        <v/>
      </c>
      <c r="K2436" s="521">
        <f>I2436-G2436</f>
        <v/>
      </c>
      <c r="M2436" s="522" t="inlineStr">
        <is>
          <t>GRTIN2106005</t>
        </is>
      </c>
      <c r="N2436" s="522" t="inlineStr">
        <is>
          <t>GRTIN2106005</t>
        </is>
      </c>
      <c r="O2436" s="521">
        <f>M2436=N2436</f>
        <v/>
      </c>
      <c r="P2436" s="521">
        <f>AND(MONTH(F2436)=MONTH(S2436), YEAR(F2436)=YEAR(S2436))</f>
        <v/>
      </c>
      <c r="Q2436" s="521">
        <f>U2436="L001-901905215"</f>
        <v/>
      </c>
      <c r="R2436" s="556">
        <f>G2436-W2436</f>
        <v/>
      </c>
      <c r="S2436" s="523" t="n">
        <v>44375</v>
      </c>
      <c r="T2436" s="522" t="inlineStr">
        <is>
          <t>GR-TIN21/06-005</t>
        </is>
      </c>
      <c r="U2436" s="522" t="inlineStr">
        <is>
          <t>L001-901905215</t>
        </is>
      </c>
      <c r="V2436" s="522" t="inlineStr">
        <is>
          <t>វីអ៊ីស៊ិន (ខេមបូឌា) អ៊ិនដាសស្ទ្រី ឯ.ក</t>
        </is>
      </c>
      <c r="W2436" s="556" t="n">
        <v>16300</v>
      </c>
    </row>
    <row r="2437">
      <c r="A2437" s="521" t="n">
        <v>2429</v>
      </c>
      <c r="B2437" s="522" t="inlineStr">
        <is>
          <t>Security guard fee</t>
        </is>
      </c>
      <c r="C2437" s="522" t="inlineStr">
        <is>
          <t>សហ័ស សិឃ្យូរិធី ឯ.ក</t>
        </is>
      </c>
      <c r="D2437" s="522" t="inlineStr">
        <is>
          <t>K010-107032600</t>
        </is>
      </c>
      <c r="E2437" s="521" t="inlineStr">
        <is>
          <t>SHTI210242</t>
        </is>
      </c>
      <c r="F2437" s="523" t="n">
        <v>44370</v>
      </c>
      <c r="G2437" s="556" t="n">
        <v>228424</v>
      </c>
      <c r="I2437" s="521">
        <f>G2437</f>
        <v/>
      </c>
      <c r="K2437" s="521">
        <f>I2437-G2437</f>
        <v/>
      </c>
      <c r="M2437" s="522" t="inlineStr">
        <is>
          <t>SHTI210242</t>
        </is>
      </c>
      <c r="N2437" s="522" t="inlineStr">
        <is>
          <t>SHTI210242</t>
        </is>
      </c>
      <c r="O2437" s="521">
        <f>M2437=N2437</f>
        <v/>
      </c>
      <c r="P2437" s="521">
        <f>AND(MONTH(F2437)=MONTH(S2437), YEAR(F2437)=YEAR(S2437))</f>
        <v/>
      </c>
      <c r="Q2437" s="521">
        <f>U2437="L001-901905215"</f>
        <v/>
      </c>
      <c r="R2437" s="556">
        <f>G2437-W2437</f>
        <v/>
      </c>
      <c r="S2437" s="523" t="n">
        <v>44370</v>
      </c>
      <c r="T2437" s="522" t="inlineStr">
        <is>
          <t>SHTI210242</t>
        </is>
      </c>
      <c r="U2437" s="522" t="inlineStr">
        <is>
          <t>L001-901905215</t>
        </is>
      </c>
      <c r="V2437" s="522" t="inlineStr">
        <is>
          <t>វីអ៊ីស៊ិន (ខេមបូឌា) អ៊ិនដាសស្ទ្រី ឯ.ក</t>
        </is>
      </c>
      <c r="W2437" s="556" t="n">
        <v>228424</v>
      </c>
    </row>
    <row r="2438">
      <c r="A2438" s="521" t="n">
        <v>2430</v>
      </c>
      <c r="B2438" s="522" t="inlineStr">
        <is>
          <t>Infrastructure maintenance fee for Jun 2021</t>
        </is>
      </c>
      <c r="C2438" s="522" t="inlineStr">
        <is>
          <t>ភ្នំពេញ អេសអ៊ីហ្សិត ភីអិលស៊ី</t>
        </is>
      </c>
      <c r="D2438" s="522" t="inlineStr">
        <is>
          <t>L001-100046592</t>
        </is>
      </c>
      <c r="E2438" s="521" t="inlineStr">
        <is>
          <t>2021-02748</t>
        </is>
      </c>
      <c r="F2438" s="523" t="n">
        <v>44363</v>
      </c>
      <c r="G2438" s="556" t="n">
        <v>165111</v>
      </c>
      <c r="I2438" s="521">
        <f>G2438</f>
        <v/>
      </c>
      <c r="K2438" s="521">
        <f>I2438-G2438</f>
        <v/>
      </c>
      <c r="M2438" s="522" t="inlineStr">
        <is>
          <t>202102748</t>
        </is>
      </c>
      <c r="N2438" s="522" t="inlineStr">
        <is>
          <t>202102748</t>
        </is>
      </c>
      <c r="O2438" s="521">
        <f>M2438=N2438</f>
        <v/>
      </c>
      <c r="P2438" s="521">
        <f>AND(MONTH(F2438)=MONTH(S2438), YEAR(F2438)=YEAR(S2438))</f>
        <v/>
      </c>
      <c r="Q2438" s="521">
        <f>U2438="L001-901905215"</f>
        <v/>
      </c>
      <c r="R2438" s="556">
        <f>G2438-W2438</f>
        <v/>
      </c>
      <c r="S2438" s="523" t="n">
        <v>44363</v>
      </c>
      <c r="T2438" s="522" t="inlineStr">
        <is>
          <t>2021-02748</t>
        </is>
      </c>
      <c r="U2438" s="522" t="inlineStr">
        <is>
          <t>L001-901905215</t>
        </is>
      </c>
      <c r="V2438" s="522" t="inlineStr">
        <is>
          <t>វីអ៊ីស៊ិន (ខេមបូឌា) អ៊ិនដាសស្ទ្រី ឯ.ក</t>
        </is>
      </c>
      <c r="W2438" s="556" t="n">
        <v>165110</v>
      </c>
    </row>
    <row r="2439">
      <c r="A2439" s="521" t="n">
        <v>2431</v>
      </c>
      <c r="B2439" s="522" t="inlineStr">
        <is>
          <t>Infrastructure maintenance fee for Jun 2021</t>
        </is>
      </c>
      <c r="C2439" s="522" t="inlineStr">
        <is>
          <t>ភ្នំពេញ អេសអ៊ីហ្សិត ភីអិលស៊ី</t>
        </is>
      </c>
      <c r="D2439" s="522" t="inlineStr">
        <is>
          <t>L001-100046592</t>
        </is>
      </c>
      <c r="E2439" s="521" t="inlineStr">
        <is>
          <t>2021-02739</t>
        </is>
      </c>
      <c r="F2439" s="523" t="n">
        <v>44363</v>
      </c>
      <c r="G2439" s="556" t="n">
        <v>201031</v>
      </c>
      <c r="I2439" s="521">
        <f>G2439</f>
        <v/>
      </c>
      <c r="K2439" s="521">
        <f>I2439-G2439</f>
        <v/>
      </c>
      <c r="M2439" s="522" t="inlineStr">
        <is>
          <t>202102739</t>
        </is>
      </c>
      <c r="N2439" s="522" t="inlineStr">
        <is>
          <t>202102739</t>
        </is>
      </c>
      <c r="O2439" s="521">
        <f>M2439=N2439</f>
        <v/>
      </c>
      <c r="P2439" s="521">
        <f>AND(MONTH(F2439)=MONTH(S2439), YEAR(F2439)=YEAR(S2439))</f>
        <v/>
      </c>
      <c r="Q2439" s="521">
        <f>U2439="L001-901905215"</f>
        <v/>
      </c>
      <c r="R2439" s="556">
        <f>G2439-W2439</f>
        <v/>
      </c>
      <c r="S2439" s="523" t="n">
        <v>44363</v>
      </c>
      <c r="T2439" s="522" t="inlineStr">
        <is>
          <t>2021-02739</t>
        </is>
      </c>
      <c r="U2439" s="522" t="inlineStr">
        <is>
          <t>L001-901905215</t>
        </is>
      </c>
      <c r="V2439" s="522" t="inlineStr">
        <is>
          <t>វីអ៊ីស៊ិន (ខេមបូឌា) អ៊ិនដាសស្ទ្រី ឯ.ក</t>
        </is>
      </c>
      <c r="W2439" s="556" t="n">
        <v>201029</v>
      </c>
    </row>
    <row r="2440">
      <c r="A2440" s="521" t="n">
        <v>2432</v>
      </c>
      <c r="B2440" s="522" t="inlineStr">
        <is>
          <t>Sealing sample fee</t>
        </is>
      </c>
      <c r="C2440" s="522" t="inlineStr">
        <is>
          <t>អ៊ិនធើថេក ថេសធីង សឺវីស (ខេមបូឌា) ខមភេនី លីមីធីត</t>
        </is>
      </c>
      <c r="D2440" s="522" t="inlineStr">
        <is>
          <t>L001-100045707</t>
        </is>
      </c>
      <c r="E2440" s="521" t="inlineStr">
        <is>
          <t>KHM20210006119</t>
        </is>
      </c>
      <c r="F2440" s="523" t="n">
        <v>44363</v>
      </c>
      <c r="G2440" s="556" t="n">
        <v>440424</v>
      </c>
      <c r="I2440" s="521">
        <f>G2440</f>
        <v/>
      </c>
      <c r="K2440" s="521">
        <f>I2440-G2440</f>
        <v/>
      </c>
      <c r="M2440" s="522" t="inlineStr">
        <is>
          <t>KHM20210006119</t>
        </is>
      </c>
      <c r="N2440" s="522" t="inlineStr"/>
      <c r="O2440" s="521">
        <f>M2440=N2440</f>
        <v/>
      </c>
      <c r="P2440" s="521">
        <f>AND(MONTH(F2440)=MONTH(S2440), YEAR(F2440)=YEAR(S2440))</f>
        <v/>
      </c>
      <c r="Q2440" s="521">
        <f>U2440="L001-901905215"</f>
        <v/>
      </c>
      <c r="R2440" s="556">
        <f>G2440-W2440</f>
        <v/>
      </c>
      <c r="S2440" s="521" t="n"/>
      <c r="T2440" s="522" t="n"/>
      <c r="U2440" s="522" t="n"/>
      <c r="V2440" s="522" t="n"/>
      <c r="W2440" s="521" t="n"/>
    </row>
    <row r="2441">
      <c r="A2441" s="521" t="n">
        <v>2433</v>
      </c>
      <c r="B2441" s="522" t="inlineStr">
        <is>
          <t>Sealing sample fee</t>
        </is>
      </c>
      <c r="C2441" s="522" t="inlineStr">
        <is>
          <t>អ៊ិនធើថេក ថេសធីង សឺវីស (ខេមបូឌា) ខមភេនី លីមីធីត</t>
        </is>
      </c>
      <c r="D2441" s="522" t="inlineStr">
        <is>
          <t>L001-100045707</t>
        </is>
      </c>
      <c r="E2441" s="521" t="inlineStr">
        <is>
          <t>KHM20210005861</t>
        </is>
      </c>
      <c r="F2441" s="523" t="n">
        <v>44357</v>
      </c>
      <c r="G2441" s="556" t="n">
        <v>57705</v>
      </c>
      <c r="I2441" s="521">
        <f>G2441</f>
        <v/>
      </c>
      <c r="K2441" s="521">
        <f>I2441-G2441</f>
        <v/>
      </c>
      <c r="M2441" s="522" t="inlineStr">
        <is>
          <t>KHM20210005861</t>
        </is>
      </c>
      <c r="N2441" s="522" t="inlineStr"/>
      <c r="O2441" s="521">
        <f>M2441=N2441</f>
        <v/>
      </c>
      <c r="P2441" s="521">
        <f>AND(MONTH(F2441)=MONTH(S2441), YEAR(F2441)=YEAR(S2441))</f>
        <v/>
      </c>
      <c r="Q2441" s="521">
        <f>U2441="L001-901905215"</f>
        <v/>
      </c>
      <c r="R2441" s="556">
        <f>G2441-W2441</f>
        <v/>
      </c>
      <c r="S2441" s="521" t="n"/>
      <c r="T2441" s="522" t="n"/>
      <c r="U2441" s="522" t="n"/>
      <c r="V2441" s="522" t="n"/>
      <c r="W2441" s="521" t="n"/>
    </row>
    <row r="2442">
      <c r="A2442" s="521" t="n">
        <v>2434</v>
      </c>
      <c r="B2442" s="522" t="inlineStr">
        <is>
          <t>Service fee</t>
        </is>
      </c>
      <c r="C2442" s="522" t="inlineStr">
        <is>
          <t>ប្យួរ៉ូ វេរីតាស (ខេមបូឌា) លីមីធីត</t>
        </is>
      </c>
      <c r="D2442" s="522" t="inlineStr">
        <is>
          <t>L001-107024462</t>
        </is>
      </c>
      <c r="E2442" s="521" t="inlineStr">
        <is>
          <t>59010382</t>
        </is>
      </c>
      <c r="F2442" s="523" t="n">
        <v>44375</v>
      </c>
      <c r="G2442" s="556" t="n">
        <v>110392</v>
      </c>
      <c r="I2442" s="521">
        <f>G2442</f>
        <v/>
      </c>
      <c r="K2442" s="521">
        <f>I2442-G2442</f>
        <v/>
      </c>
      <c r="M2442" s="522" t="inlineStr">
        <is>
          <t>59010382</t>
        </is>
      </c>
      <c r="N2442" s="522" t="inlineStr">
        <is>
          <t>59010382</t>
        </is>
      </c>
      <c r="O2442" s="521">
        <f>M2442=N2442</f>
        <v/>
      </c>
      <c r="P2442" s="521">
        <f>AND(MONTH(F2442)=MONTH(S2442), YEAR(F2442)=YEAR(S2442))</f>
        <v/>
      </c>
      <c r="Q2442" s="521">
        <f>U2442="L001-901905215"</f>
        <v/>
      </c>
      <c r="R2442" s="556">
        <f>G2442-W2442</f>
        <v/>
      </c>
      <c r="S2442" s="523" t="n">
        <v>44375</v>
      </c>
      <c r="T2442" s="522" t="inlineStr">
        <is>
          <t>59010382</t>
        </is>
      </c>
      <c r="U2442" s="522" t="inlineStr">
        <is>
          <t>L001-901905215</t>
        </is>
      </c>
      <c r="V2442" s="522" t="inlineStr">
        <is>
          <t>វីអ៊ីស៊ិន (ខេមបូឌា) អ៊ិនដាសស្ទ្រី ឯ.ក</t>
        </is>
      </c>
      <c r="W2442" s="556" t="n">
        <v>110392</v>
      </c>
    </row>
    <row r="2443">
      <c r="A2443" s="521" t="n">
        <v>2435</v>
      </c>
      <c r="B2443" s="522" t="inlineStr">
        <is>
          <t>Service fee</t>
        </is>
      </c>
      <c r="C2443" s="522" t="inlineStr">
        <is>
          <t>ប្យួរ៉ូ វេរីតាស (ខេមបូឌា) លីមីធីត</t>
        </is>
      </c>
      <c r="D2443" s="522" t="inlineStr">
        <is>
          <t>L001-107024462</t>
        </is>
      </c>
      <c r="E2443" s="521" t="inlineStr">
        <is>
          <t>59010377</t>
        </is>
      </c>
      <c r="F2443" s="523" t="n">
        <v>44372</v>
      </c>
      <c r="G2443" s="556" t="n">
        <v>110392</v>
      </c>
      <c r="I2443" s="521">
        <f>G2443</f>
        <v/>
      </c>
      <c r="K2443" s="521">
        <f>I2443-G2443</f>
        <v/>
      </c>
      <c r="M2443" s="522" t="inlineStr">
        <is>
          <t>59010377</t>
        </is>
      </c>
      <c r="N2443" s="522" t="inlineStr">
        <is>
          <t>59010377</t>
        </is>
      </c>
      <c r="O2443" s="521">
        <f>M2443=N2443</f>
        <v/>
      </c>
      <c r="P2443" s="521">
        <f>AND(MONTH(F2443)=MONTH(S2443), YEAR(F2443)=YEAR(S2443))</f>
        <v/>
      </c>
      <c r="Q2443" s="521">
        <f>U2443="L001-901905215"</f>
        <v/>
      </c>
      <c r="R2443" s="556">
        <f>G2443-W2443</f>
        <v/>
      </c>
      <c r="S2443" s="523" t="n">
        <v>44372</v>
      </c>
      <c r="T2443" s="522" t="inlineStr">
        <is>
          <t>59010377</t>
        </is>
      </c>
      <c r="U2443" s="522" t="inlineStr">
        <is>
          <t>L001-901905215</t>
        </is>
      </c>
      <c r="V2443" s="522" t="inlineStr">
        <is>
          <t>វីអ៊ីស៊ិន (ខេមបូឌា) អ៊ិនដាសស្ទ្រី ឯ.ក</t>
        </is>
      </c>
      <c r="W2443" s="556" t="n">
        <v>110392</v>
      </c>
    </row>
    <row r="2444">
      <c r="A2444" s="521" t="n">
        <v>2436</v>
      </c>
      <c r="B2444" s="522" t="inlineStr">
        <is>
          <t>Service fee</t>
        </is>
      </c>
      <c r="C2444" s="522" t="inlineStr">
        <is>
          <t>ប្យួរ៉ូ វេរីតាស (ខេមបូឌា) លីមីធីត</t>
        </is>
      </c>
      <c r="D2444" s="522" t="inlineStr">
        <is>
          <t>L001-107024462</t>
        </is>
      </c>
      <c r="E2444" s="521" t="inlineStr">
        <is>
          <t>59010252</t>
        </is>
      </c>
      <c r="F2444" s="523" t="n">
        <v>44354</v>
      </c>
      <c r="G2444" s="556" t="n">
        <v>110527</v>
      </c>
      <c r="I2444" s="521">
        <f>G2444</f>
        <v/>
      </c>
      <c r="K2444" s="521">
        <f>I2444-G2444</f>
        <v/>
      </c>
      <c r="M2444" s="522" t="inlineStr">
        <is>
          <t>59010252</t>
        </is>
      </c>
      <c r="N2444" s="522" t="inlineStr">
        <is>
          <t>59010252</t>
        </is>
      </c>
      <c r="O2444" s="521">
        <f>M2444=N2444</f>
        <v/>
      </c>
      <c r="P2444" s="521">
        <f>AND(MONTH(F2444)=MONTH(S2444), YEAR(F2444)=YEAR(S2444))</f>
        <v/>
      </c>
      <c r="Q2444" s="521">
        <f>U2444="L001-901905215"</f>
        <v/>
      </c>
      <c r="R2444" s="556">
        <f>G2444-W2444</f>
        <v/>
      </c>
      <c r="S2444" s="523" t="n">
        <v>44354</v>
      </c>
      <c r="T2444" s="522" t="inlineStr">
        <is>
          <t>59010252</t>
        </is>
      </c>
      <c r="U2444" s="522" t="inlineStr">
        <is>
          <t>L001-901905215</t>
        </is>
      </c>
      <c r="V2444" s="522" t="inlineStr">
        <is>
          <t>វីអ៊ីស៊ិន (ខេមបូឌា) អ៊ិនដាសស្ទ្រី ឯ.ក</t>
        </is>
      </c>
      <c r="W2444" s="556" t="n">
        <v>110527</v>
      </c>
    </row>
    <row r="2445">
      <c r="A2445" s="521" t="n">
        <v>2437</v>
      </c>
      <c r="B2445" s="522" t="inlineStr">
        <is>
          <t>Service fee</t>
        </is>
      </c>
      <c r="C2445" s="522" t="inlineStr">
        <is>
          <t>ប្យួរ៉ូ វេរីតាស (ខេមបូឌា) លីមីធីត</t>
        </is>
      </c>
      <c r="D2445" s="522" t="inlineStr">
        <is>
          <t>L001-107024462</t>
        </is>
      </c>
      <c r="E2445" s="521" t="inlineStr">
        <is>
          <t>59010254</t>
        </is>
      </c>
      <c r="F2445" s="523" t="n">
        <v>44354</v>
      </c>
      <c r="G2445" s="556" t="n">
        <v>165793</v>
      </c>
      <c r="I2445" s="521">
        <f>G2445</f>
        <v/>
      </c>
      <c r="K2445" s="521">
        <f>I2445-G2445</f>
        <v/>
      </c>
      <c r="M2445" s="522" t="inlineStr">
        <is>
          <t>59010254</t>
        </is>
      </c>
      <c r="N2445" s="522" t="inlineStr">
        <is>
          <t>59010254</t>
        </is>
      </c>
      <c r="O2445" s="521">
        <f>M2445=N2445</f>
        <v/>
      </c>
      <c r="P2445" s="521">
        <f>AND(MONTH(F2445)=MONTH(S2445), YEAR(F2445)=YEAR(S2445))</f>
        <v/>
      </c>
      <c r="Q2445" s="521">
        <f>U2445="L001-901905215"</f>
        <v/>
      </c>
      <c r="R2445" s="556">
        <f>G2445-W2445</f>
        <v/>
      </c>
      <c r="S2445" s="523" t="n">
        <v>44354</v>
      </c>
      <c r="T2445" s="522" t="inlineStr">
        <is>
          <t>59010254</t>
        </is>
      </c>
      <c r="U2445" s="522" t="inlineStr">
        <is>
          <t>L001-901905215</t>
        </is>
      </c>
      <c r="V2445" s="522" t="inlineStr">
        <is>
          <t>វីអ៊ីស៊ិន (ខេមបូឌា) អ៊ិនដាសស្ទ្រី ឯ.ក</t>
        </is>
      </c>
      <c r="W2445" s="556" t="n">
        <v>165793</v>
      </c>
    </row>
    <row r="2446">
      <c r="A2446" s="521" t="n">
        <v>2438</v>
      </c>
      <c r="B2446" s="522" t="inlineStr">
        <is>
          <t>Service fee</t>
        </is>
      </c>
      <c r="C2446" s="522" t="inlineStr">
        <is>
          <t>ប្យួរ៉ូ វេរីតាស (ខេមបូឌា) លីមីធីត</t>
        </is>
      </c>
      <c r="D2446" s="522" t="inlineStr">
        <is>
          <t>L001-107024462</t>
        </is>
      </c>
      <c r="E2446" s="521" t="inlineStr">
        <is>
          <t>59010294</t>
        </is>
      </c>
      <c r="F2446" s="523" t="n">
        <v>44361</v>
      </c>
      <c r="G2446" s="556" t="n">
        <v>55265</v>
      </c>
      <c r="I2446" s="521">
        <f>G2446</f>
        <v/>
      </c>
      <c r="K2446" s="521">
        <f>I2446-G2446</f>
        <v/>
      </c>
      <c r="M2446" s="522" t="inlineStr">
        <is>
          <t>59010294</t>
        </is>
      </c>
      <c r="N2446" s="522" t="inlineStr">
        <is>
          <t>59010294</t>
        </is>
      </c>
      <c r="O2446" s="521">
        <f>M2446=N2446</f>
        <v/>
      </c>
      <c r="P2446" s="521">
        <f>AND(MONTH(F2446)=MONTH(S2446), YEAR(F2446)=YEAR(S2446))</f>
        <v/>
      </c>
      <c r="Q2446" s="521">
        <f>U2446="L001-901905215"</f>
        <v/>
      </c>
      <c r="R2446" s="556">
        <f>G2446-W2446</f>
        <v/>
      </c>
      <c r="S2446" s="523" t="n">
        <v>44361</v>
      </c>
      <c r="T2446" s="522" t="inlineStr">
        <is>
          <t>59010294</t>
        </is>
      </c>
      <c r="U2446" s="522" t="inlineStr">
        <is>
          <t>L001-901905215</t>
        </is>
      </c>
      <c r="V2446" s="522" t="inlineStr">
        <is>
          <t>វីអ៊ីស៊ិន (ខេមបូឌា) អ៊ិនដាសស្ទ្រី ឯ.ក</t>
        </is>
      </c>
      <c r="W2446" s="556" t="n">
        <v>55266</v>
      </c>
    </row>
    <row r="2447">
      <c r="A2447" s="521" t="n">
        <v>2439</v>
      </c>
      <c r="B2447" s="522" t="inlineStr">
        <is>
          <t>Service fee</t>
        </is>
      </c>
      <c r="C2447" s="522" t="inlineStr">
        <is>
          <t>ប្យួរ៉ូ វេរីតាស (ខេមបូឌា) លីមីធីត</t>
        </is>
      </c>
      <c r="D2447" s="522" t="inlineStr">
        <is>
          <t>L001-107024462</t>
        </is>
      </c>
      <c r="E2447" s="521" t="inlineStr">
        <is>
          <t>59010318</t>
        </is>
      </c>
      <c r="F2447" s="523" t="n">
        <v>44364</v>
      </c>
      <c r="G2447" s="556" t="n">
        <v>55211</v>
      </c>
      <c r="I2447" s="521">
        <f>G2447</f>
        <v/>
      </c>
      <c r="K2447" s="521">
        <f>I2447-G2447</f>
        <v/>
      </c>
      <c r="M2447" s="522" t="inlineStr">
        <is>
          <t>59010318</t>
        </is>
      </c>
      <c r="N2447" s="522" t="inlineStr">
        <is>
          <t>59010318</t>
        </is>
      </c>
      <c r="O2447" s="521">
        <f>M2447=N2447</f>
        <v/>
      </c>
      <c r="P2447" s="521">
        <f>AND(MONTH(F2447)=MONTH(S2447), YEAR(F2447)=YEAR(S2447))</f>
        <v/>
      </c>
      <c r="Q2447" s="521">
        <f>U2447="L001-901905215"</f>
        <v/>
      </c>
      <c r="R2447" s="556">
        <f>G2447-W2447</f>
        <v/>
      </c>
      <c r="S2447" s="523" t="n">
        <v>44364</v>
      </c>
      <c r="T2447" s="522" t="inlineStr">
        <is>
          <t>59010318</t>
        </is>
      </c>
      <c r="U2447" s="522" t="inlineStr">
        <is>
          <t>L001-901905215</t>
        </is>
      </c>
      <c r="V2447" s="522" t="inlineStr">
        <is>
          <t>វីអ៊ីស៊ិន (ខេមបូឌា) អ៊ិនដាសស្ទ្រី ឯ.ក</t>
        </is>
      </c>
      <c r="W2447" s="556" t="n">
        <v>55211</v>
      </c>
    </row>
    <row r="2448">
      <c r="A2448" s="521" t="n">
        <v>2440</v>
      </c>
      <c r="B2448" s="522" t="inlineStr">
        <is>
          <t>Service fee</t>
        </is>
      </c>
      <c r="C2448" s="522" t="inlineStr">
        <is>
          <t>ប្យួរ៉ូ វេរីតាស (ខេមបូឌា) លីមីធីត</t>
        </is>
      </c>
      <c r="D2448" s="522" t="inlineStr">
        <is>
          <t>L001-107024462</t>
        </is>
      </c>
      <c r="E2448" s="521" t="inlineStr">
        <is>
          <t>59010323</t>
        </is>
      </c>
      <c r="F2448" s="523" t="n">
        <v>44365</v>
      </c>
      <c r="G2448" s="556" t="n">
        <v>55211</v>
      </c>
      <c r="I2448" s="521">
        <f>G2448</f>
        <v/>
      </c>
      <c r="K2448" s="521">
        <f>I2448-G2448</f>
        <v/>
      </c>
      <c r="M2448" s="522" t="inlineStr">
        <is>
          <t>59010323</t>
        </is>
      </c>
      <c r="N2448" s="522" t="inlineStr">
        <is>
          <t>59010323</t>
        </is>
      </c>
      <c r="O2448" s="521">
        <f>M2448=N2448</f>
        <v/>
      </c>
      <c r="P2448" s="521">
        <f>AND(MONTH(F2448)=MONTH(S2448), YEAR(F2448)=YEAR(S2448))</f>
        <v/>
      </c>
      <c r="Q2448" s="521">
        <f>U2448="L001-901905215"</f>
        <v/>
      </c>
      <c r="R2448" s="556">
        <f>G2448-W2448</f>
        <v/>
      </c>
      <c r="S2448" s="523" t="n">
        <v>44365</v>
      </c>
      <c r="T2448" s="522" t="inlineStr">
        <is>
          <t>59010323</t>
        </is>
      </c>
      <c r="U2448" s="522" t="inlineStr">
        <is>
          <t>L001-901905215</t>
        </is>
      </c>
      <c r="V2448" s="522" t="inlineStr">
        <is>
          <t>វីអ៊ីស៊ិន (ខេមបូឌា) អ៊ិនដាសស្ទ្រី ឯ.ក</t>
        </is>
      </c>
      <c r="W2448" s="556" t="n">
        <v>55211</v>
      </c>
    </row>
    <row r="2449">
      <c r="A2449" s="521" t="n">
        <v>2441</v>
      </c>
      <c r="B2449" s="522" t="inlineStr">
        <is>
          <t>Service fee</t>
        </is>
      </c>
      <c r="C2449" s="522" t="inlineStr">
        <is>
          <t>ប្យួរ៉ូ វេរីតាស (ខេមបូឌា) លីមីធីត</t>
        </is>
      </c>
      <c r="D2449" s="522" t="inlineStr">
        <is>
          <t>L001-107024462</t>
        </is>
      </c>
      <c r="E2449" s="521" t="inlineStr">
        <is>
          <t>59010334</t>
        </is>
      </c>
      <c r="F2449" s="523" t="n">
        <v>44368</v>
      </c>
      <c r="G2449" s="556" t="n">
        <v>110419</v>
      </c>
      <c r="I2449" s="521">
        <f>G2449</f>
        <v/>
      </c>
      <c r="K2449" s="521">
        <f>I2449-G2449</f>
        <v/>
      </c>
      <c r="M2449" s="522" t="inlineStr">
        <is>
          <t>59010334</t>
        </is>
      </c>
      <c r="N2449" s="522" t="inlineStr">
        <is>
          <t>59010334</t>
        </is>
      </c>
      <c r="O2449" s="521">
        <f>M2449=N2449</f>
        <v/>
      </c>
      <c r="P2449" s="521">
        <f>AND(MONTH(F2449)=MONTH(S2449), YEAR(F2449)=YEAR(S2449))</f>
        <v/>
      </c>
      <c r="Q2449" s="521">
        <f>U2449="L001-901905215"</f>
        <v/>
      </c>
      <c r="R2449" s="556">
        <f>G2449-W2449</f>
        <v/>
      </c>
      <c r="S2449" s="523" t="n">
        <v>44368</v>
      </c>
      <c r="T2449" s="522" t="inlineStr">
        <is>
          <t>59010334</t>
        </is>
      </c>
      <c r="U2449" s="522" t="inlineStr">
        <is>
          <t>L001-901905215</t>
        </is>
      </c>
      <c r="V2449" s="522" t="inlineStr">
        <is>
          <t>វីអ៊ីស៊ិន (ខេមបូឌា) អ៊ិនដាសស្ទ្រី ឯ.ក</t>
        </is>
      </c>
      <c r="W2449" s="556" t="n">
        <v>110419</v>
      </c>
    </row>
    <row r="2450">
      <c r="A2450" s="521" t="n">
        <v>2442</v>
      </c>
      <c r="B2450" s="522" t="inlineStr">
        <is>
          <t>Dest. Terminal Handli</t>
        </is>
      </c>
      <c r="C2450" s="522" t="inlineStr">
        <is>
          <t>ត្រេនម៉ារីន ឡូជីស្ទីក (ខេមបូឌា)</t>
        </is>
      </c>
      <c r="D2450" s="522" t="inlineStr">
        <is>
          <t>L001-106004107</t>
        </is>
      </c>
      <c r="E2450" s="521" t="inlineStr">
        <is>
          <t>9963005634</t>
        </is>
      </c>
      <c r="F2450" s="523" t="n">
        <v>44359</v>
      </c>
      <c r="G2450" s="556" t="n">
        <v>100009</v>
      </c>
      <c r="I2450" s="521">
        <f>G2450</f>
        <v/>
      </c>
      <c r="K2450" s="521">
        <f>I2450-G2450</f>
        <v/>
      </c>
      <c r="M2450" s="522" t="inlineStr">
        <is>
          <t>9963005634</t>
        </is>
      </c>
      <c r="N2450" s="522" t="inlineStr">
        <is>
          <t>9963005634</t>
        </is>
      </c>
      <c r="O2450" s="521">
        <f>M2450=N2450</f>
        <v/>
      </c>
      <c r="P2450" s="521">
        <f>AND(MONTH(F2450)=MONTH(S2450), YEAR(F2450)=YEAR(S2450))</f>
        <v/>
      </c>
      <c r="Q2450" s="521">
        <f>U2450="L001-901905215"</f>
        <v/>
      </c>
      <c r="R2450" s="556">
        <f>G2450-W2450</f>
        <v/>
      </c>
      <c r="S2450" s="523" t="n">
        <v>44359</v>
      </c>
      <c r="T2450" s="522" t="inlineStr">
        <is>
          <t>9963005634</t>
        </is>
      </c>
      <c r="U2450" s="522" t="inlineStr">
        <is>
          <t>L001-901905215</t>
        </is>
      </c>
      <c r="V2450" s="522" t="inlineStr">
        <is>
          <t>វីអ៊ីស៊ិន (ខេមបូឌា) អ៊ិនដាសស្ទ្រី ឯ.ក</t>
        </is>
      </c>
      <c r="W2450" s="556" t="n">
        <v>99838</v>
      </c>
    </row>
    <row r="2451">
      <c r="A2451" s="521" t="n">
        <v>2443</v>
      </c>
      <c r="B2451" s="522" t="inlineStr">
        <is>
          <t>Lift-On&amp; Lift-Off</t>
        </is>
      </c>
      <c r="C2451" s="522" t="inlineStr">
        <is>
          <t>កំពង់ផែស្វយ័តក្រុងព្រះសីហនុ</t>
        </is>
      </c>
      <c r="D2451" s="522" t="inlineStr">
        <is>
          <t>L001-100044638</t>
        </is>
      </c>
      <c r="E2451" s="521" t="inlineStr">
        <is>
          <t>097161</t>
        </is>
      </c>
      <c r="F2451" s="523" t="n">
        <v>44363</v>
      </c>
      <c r="G2451" s="556" t="n">
        <v>35479</v>
      </c>
      <c r="I2451" s="521">
        <f>G2451</f>
        <v/>
      </c>
      <c r="K2451" s="521">
        <f>I2451-G2451</f>
        <v/>
      </c>
      <c r="M2451" s="522" t="inlineStr">
        <is>
          <t>097161</t>
        </is>
      </c>
      <c r="N2451" s="522" t="inlineStr"/>
      <c r="O2451" s="521">
        <f>M2451=N2451</f>
        <v/>
      </c>
      <c r="P2451" s="521">
        <f>AND(MONTH(F2451)=MONTH(S2451), YEAR(F2451)=YEAR(S2451))</f>
        <v/>
      </c>
      <c r="Q2451" s="521">
        <f>U2451="L001-901905215"</f>
        <v/>
      </c>
      <c r="R2451" s="556">
        <f>G2451-W2451</f>
        <v/>
      </c>
      <c r="S2451" s="521" t="n"/>
      <c r="T2451" s="522" t="n"/>
      <c r="U2451" s="522" t="n"/>
      <c r="V2451" s="522" t="n"/>
      <c r="W2451" s="521" t="n"/>
    </row>
    <row r="2452">
      <c r="A2452" s="521" t="n">
        <v>2444</v>
      </c>
      <c r="B2452" s="522" t="inlineStr">
        <is>
          <t>Service Fee</t>
        </is>
      </c>
      <c r="C2452" s="522" t="inlineStr">
        <is>
          <t>សូស៊ីយេតេ កុងសេស្យូនែរ ដឺ ឡាអេរ៉ូព័រ</t>
        </is>
      </c>
      <c r="D2452" s="522" t="inlineStr">
        <is>
          <t>L001-100047300</t>
        </is>
      </c>
      <c r="E2452" s="521" t="inlineStr">
        <is>
          <t>2100-028039</t>
        </is>
      </c>
      <c r="F2452" s="523" t="n">
        <v>44351</v>
      </c>
      <c r="G2452" s="556" t="n">
        <v>9825</v>
      </c>
      <c r="I2452" s="521">
        <f>G2452</f>
        <v/>
      </c>
      <c r="K2452" s="521">
        <f>I2452-G2452</f>
        <v/>
      </c>
      <c r="M2452" s="522" t="inlineStr">
        <is>
          <t>2100028039</t>
        </is>
      </c>
      <c r="N2452" s="522" t="inlineStr"/>
      <c r="O2452" s="521">
        <f>M2452=N2452</f>
        <v/>
      </c>
      <c r="P2452" s="521">
        <f>AND(MONTH(F2452)=MONTH(S2452), YEAR(F2452)=YEAR(S2452))</f>
        <v/>
      </c>
      <c r="Q2452" s="521">
        <f>U2452="L001-901905215"</f>
        <v/>
      </c>
      <c r="R2452" s="556">
        <f>G2452-W2452</f>
        <v/>
      </c>
      <c r="S2452" s="521" t="n"/>
      <c r="T2452" s="522" t="n"/>
      <c r="U2452" s="522" t="n"/>
      <c r="V2452" s="522" t="n"/>
      <c r="W2452" s="521" t="n"/>
    </row>
    <row r="2453">
      <c r="A2453" s="521" t="n">
        <v>2445</v>
      </c>
      <c r="B2453" s="522" t="inlineStr">
        <is>
          <t>Service Fee</t>
        </is>
      </c>
      <c r="C2453" s="522" t="inlineStr">
        <is>
          <t>សូស៊ីយេតេ កុងសេស្យូនែរ ដឺ ឡាអេរ៉ូព័រ</t>
        </is>
      </c>
      <c r="D2453" s="522" t="inlineStr">
        <is>
          <t>L001-100047300</t>
        </is>
      </c>
      <c r="E2453" s="521" t="inlineStr">
        <is>
          <t>2100-032694</t>
        </is>
      </c>
      <c r="F2453" s="523" t="n">
        <v>44372</v>
      </c>
      <c r="G2453" s="556" t="n">
        <v>3260</v>
      </c>
      <c r="I2453" s="521">
        <f>G2453</f>
        <v/>
      </c>
      <c r="K2453" s="521">
        <f>I2453-G2453</f>
        <v/>
      </c>
      <c r="M2453" s="522" t="inlineStr">
        <is>
          <t>2100032694</t>
        </is>
      </c>
      <c r="N2453" s="522" t="inlineStr"/>
      <c r="O2453" s="521">
        <f>M2453=N2453</f>
        <v/>
      </c>
      <c r="P2453" s="521">
        <f>AND(MONTH(F2453)=MONTH(S2453), YEAR(F2453)=YEAR(S2453))</f>
        <v/>
      </c>
      <c r="Q2453" s="521">
        <f>U2453="L001-901905215"</f>
        <v/>
      </c>
      <c r="R2453" s="556">
        <f>G2453-W2453</f>
        <v/>
      </c>
      <c r="S2453" s="521" t="n"/>
      <c r="T2453" s="522" t="n"/>
      <c r="U2453" s="522" t="n"/>
      <c r="V2453" s="522" t="n"/>
      <c r="W2453" s="521" t="n"/>
    </row>
    <row r="2454">
      <c r="A2454" s="521" t="n">
        <v>2446</v>
      </c>
      <c r="B2454" s="522" t="inlineStr">
        <is>
          <t>Service Fee</t>
        </is>
      </c>
      <c r="C2454" s="522" t="inlineStr">
        <is>
          <t>សូស៊ីយេតេ កុងសេស្យូនែរ ដឺ ឡាអេរ៉ូព័រ</t>
        </is>
      </c>
      <c r="D2454" s="522" t="inlineStr">
        <is>
          <t>L001-100047300</t>
        </is>
      </c>
      <c r="E2454" s="521" t="inlineStr">
        <is>
          <t>2100-031239</t>
        </is>
      </c>
      <c r="F2454" s="523" t="n">
        <v>44366</v>
      </c>
      <c r="G2454" s="556" t="n">
        <v>9097</v>
      </c>
      <c r="I2454" s="521">
        <f>G2454</f>
        <v/>
      </c>
      <c r="K2454" s="521">
        <f>I2454-G2454</f>
        <v/>
      </c>
      <c r="M2454" s="522" t="inlineStr">
        <is>
          <t>2100031239</t>
        </is>
      </c>
      <c r="N2454" s="522" t="inlineStr"/>
      <c r="O2454" s="521">
        <f>M2454=N2454</f>
        <v/>
      </c>
      <c r="P2454" s="521">
        <f>AND(MONTH(F2454)=MONTH(S2454), YEAR(F2454)=YEAR(S2454))</f>
        <v/>
      </c>
      <c r="Q2454" s="521">
        <f>U2454="L001-901905215"</f>
        <v/>
      </c>
      <c r="R2454" s="556">
        <f>G2454-W2454</f>
        <v/>
      </c>
      <c r="S2454" s="521" t="n"/>
      <c r="T2454" s="522" t="n"/>
      <c r="U2454" s="522" t="n"/>
      <c r="V2454" s="522" t="n"/>
      <c r="W2454" s="521" t="n"/>
    </row>
    <row r="2455">
      <c r="A2455" s="521" t="n">
        <v>2447</v>
      </c>
      <c r="B2455" s="522" t="inlineStr">
        <is>
          <t>Lift Off Charges</t>
        </is>
      </c>
      <c r="C2455" s="522" t="inlineStr">
        <is>
          <t>កំពង់ផែស្វយ័តភ្នំពេញ "ក.ស.ភ"</t>
        </is>
      </c>
      <c r="D2455" s="522" t="inlineStr">
        <is>
          <t>L001-100044999</t>
        </is>
      </c>
      <c r="E2455" s="521" t="inlineStr">
        <is>
          <t>INV20210633470</t>
        </is>
      </c>
      <c r="F2455" s="523" t="n">
        <v>44373</v>
      </c>
      <c r="G2455" s="556" t="n">
        <v>29340</v>
      </c>
      <c r="I2455" s="521">
        <f>G2455</f>
        <v/>
      </c>
      <c r="K2455" s="521">
        <f>I2455-G2455</f>
        <v/>
      </c>
      <c r="M2455" s="522" t="inlineStr">
        <is>
          <t>INV20210633470</t>
        </is>
      </c>
      <c r="N2455" s="522" t="inlineStr"/>
      <c r="O2455" s="521">
        <f>M2455=N2455</f>
        <v/>
      </c>
      <c r="P2455" s="521">
        <f>AND(MONTH(F2455)=MONTH(S2455), YEAR(F2455)=YEAR(S2455))</f>
        <v/>
      </c>
      <c r="Q2455" s="521">
        <f>U2455="L001-901905215"</f>
        <v/>
      </c>
      <c r="R2455" s="556">
        <f>G2455-W2455</f>
        <v/>
      </c>
      <c r="S2455" s="521" t="n"/>
      <c r="T2455" s="522" t="n"/>
      <c r="U2455" s="522" t="n"/>
      <c r="V2455" s="522" t="n"/>
      <c r="W2455" s="521" t="n"/>
    </row>
    <row r="2456">
      <c r="A2456" s="521" t="n">
        <v>2448</v>
      </c>
      <c r="B2456" s="522" t="inlineStr">
        <is>
          <t>Lift Off Charges</t>
        </is>
      </c>
      <c r="C2456" s="522" t="inlineStr">
        <is>
          <t>កំពង់ផែស្វយ័តភ្នំពេញ "ក.ស.ភ"</t>
        </is>
      </c>
      <c r="D2456" s="522" t="inlineStr">
        <is>
          <t>L001-100044999</t>
        </is>
      </c>
      <c r="E2456" s="521" t="inlineStr">
        <is>
          <t>INV20210633466</t>
        </is>
      </c>
      <c r="F2456" s="523" t="n">
        <v>44373</v>
      </c>
      <c r="G2456" s="556" t="n">
        <v>29340</v>
      </c>
      <c r="I2456" s="521">
        <f>G2456</f>
        <v/>
      </c>
      <c r="K2456" s="521">
        <f>I2456-G2456</f>
        <v/>
      </c>
      <c r="M2456" s="522" t="inlineStr">
        <is>
          <t>INV20210633466</t>
        </is>
      </c>
      <c r="N2456" s="522" t="inlineStr"/>
      <c r="O2456" s="521">
        <f>M2456=N2456</f>
        <v/>
      </c>
      <c r="P2456" s="521">
        <f>AND(MONTH(F2456)=MONTH(S2456), YEAR(F2456)=YEAR(S2456))</f>
        <v/>
      </c>
      <c r="Q2456" s="521">
        <f>U2456="L001-901905215"</f>
        <v/>
      </c>
      <c r="R2456" s="556">
        <f>G2456-W2456</f>
        <v/>
      </c>
      <c r="S2456" s="521" t="n"/>
      <c r="T2456" s="522" t="n"/>
      <c r="U2456" s="522" t="n"/>
      <c r="V2456" s="522" t="n"/>
      <c r="W2456" s="521" t="n"/>
    </row>
    <row r="2457">
      <c r="A2457" s="521" t="n">
        <v>2449</v>
      </c>
      <c r="B2457" s="522" t="inlineStr">
        <is>
          <t>Lift Off Charges</t>
        </is>
      </c>
      <c r="C2457" s="522" t="inlineStr">
        <is>
          <t>កំពង់ផែស្វយ័តភ្នំពេញ "ក.ស.ភ"</t>
        </is>
      </c>
      <c r="D2457" s="522" t="inlineStr">
        <is>
          <t>L001-100044999</t>
        </is>
      </c>
      <c r="E2457" s="521" t="inlineStr">
        <is>
          <t>INV20210633530</t>
        </is>
      </c>
      <c r="F2457" s="523" t="n">
        <v>44373</v>
      </c>
      <c r="G2457" s="556" t="n">
        <v>29340</v>
      </c>
      <c r="I2457" s="521">
        <f>G2457</f>
        <v/>
      </c>
      <c r="K2457" s="521">
        <f>I2457-G2457</f>
        <v/>
      </c>
      <c r="M2457" s="522" t="inlineStr">
        <is>
          <t>INV20210633530</t>
        </is>
      </c>
      <c r="N2457" s="522" t="inlineStr"/>
      <c r="O2457" s="521">
        <f>M2457=N2457</f>
        <v/>
      </c>
      <c r="P2457" s="521">
        <f>AND(MONTH(F2457)=MONTH(S2457), YEAR(F2457)=YEAR(S2457))</f>
        <v/>
      </c>
      <c r="Q2457" s="521">
        <f>U2457="L001-901905215"</f>
        <v/>
      </c>
      <c r="R2457" s="556">
        <f>G2457-W2457</f>
        <v/>
      </c>
      <c r="S2457" s="521" t="n"/>
      <c r="T2457" s="522" t="n"/>
      <c r="U2457" s="522" t="n"/>
      <c r="V2457" s="522" t="n"/>
      <c r="W2457" s="521" t="n"/>
    </row>
    <row r="2458">
      <c r="A2458" s="521" t="n">
        <v>2450</v>
      </c>
      <c r="B2458" s="522" t="inlineStr">
        <is>
          <t>Lift Off Charges</t>
        </is>
      </c>
      <c r="C2458" s="522" t="inlineStr">
        <is>
          <t>កំពង់ផែស្វយ័តភ្នំពេញ "ក.ស.ភ"</t>
        </is>
      </c>
      <c r="D2458" s="522" t="inlineStr">
        <is>
          <t>L001-100044999</t>
        </is>
      </c>
      <c r="E2458" s="521" t="inlineStr">
        <is>
          <t>INV20210630366</t>
        </is>
      </c>
      <c r="F2458" s="523" t="n">
        <v>44359</v>
      </c>
      <c r="G2458" s="556" t="n">
        <v>29390</v>
      </c>
      <c r="I2458" s="521">
        <f>G2458</f>
        <v/>
      </c>
      <c r="K2458" s="521">
        <f>I2458-G2458</f>
        <v/>
      </c>
      <c r="M2458" s="522" t="inlineStr">
        <is>
          <t>INV20210630366</t>
        </is>
      </c>
      <c r="N2458" s="522" t="inlineStr"/>
      <c r="O2458" s="521">
        <f>M2458=N2458</f>
        <v/>
      </c>
      <c r="P2458" s="521">
        <f>AND(MONTH(F2458)=MONTH(S2458), YEAR(F2458)=YEAR(S2458))</f>
        <v/>
      </c>
      <c r="Q2458" s="521">
        <f>U2458="L001-901905215"</f>
        <v/>
      </c>
      <c r="R2458" s="556">
        <f>G2458-W2458</f>
        <v/>
      </c>
      <c r="S2458" s="521" t="n"/>
      <c r="T2458" s="522" t="n"/>
      <c r="U2458" s="522" t="n"/>
      <c r="V2458" s="522" t="n"/>
      <c r="W2458" s="521" t="n"/>
    </row>
    <row r="2459">
      <c r="A2459" s="521" t="n">
        <v>2451</v>
      </c>
      <c r="B2459" s="522" t="inlineStr">
        <is>
          <t>SEAL FEE</t>
        </is>
      </c>
      <c r="C2459" s="522" t="inlineStr">
        <is>
          <t>ខូស្កូ ស៊ីបភីង ឡាញ (ខេមបូឌា) ឯ.ក</t>
        </is>
      </c>
      <c r="D2459" s="522" t="inlineStr">
        <is>
          <t>L001-100103383</t>
        </is>
      </c>
      <c r="E2459" s="521" t="inlineStr">
        <is>
          <t>COS2106-07467</t>
        </is>
      </c>
      <c r="F2459" s="523" t="n">
        <v>44361</v>
      </c>
      <c r="G2459" s="556" t="n">
        <v>110976</v>
      </c>
      <c r="I2459" s="521">
        <f>G2459</f>
        <v/>
      </c>
      <c r="K2459" s="521">
        <f>I2459-G2459</f>
        <v/>
      </c>
      <c r="M2459" s="522" t="inlineStr">
        <is>
          <t>COS210607467</t>
        </is>
      </c>
      <c r="N2459" s="522" t="inlineStr">
        <is>
          <t>COS210607467</t>
        </is>
      </c>
      <c r="O2459" s="521">
        <f>M2459=N2459</f>
        <v/>
      </c>
      <c r="P2459" s="521">
        <f>AND(MONTH(F2459)=MONTH(S2459), YEAR(F2459)=YEAR(S2459))</f>
        <v/>
      </c>
      <c r="Q2459" s="521">
        <f>U2459="L001-901905215"</f>
        <v/>
      </c>
      <c r="R2459" s="556">
        <f>G2459-W2459</f>
        <v/>
      </c>
      <c r="S2459" s="523" t="n">
        <v>44361</v>
      </c>
      <c r="T2459" s="522" t="inlineStr">
        <is>
          <t>COS2106-07467</t>
        </is>
      </c>
      <c r="U2459" s="522" t="inlineStr">
        <is>
          <t>L001-901905215</t>
        </is>
      </c>
      <c r="V2459" s="522" t="inlineStr">
        <is>
          <t>វីអ៊ីស៊ិន (ខេមបូឌា) អ៊ិនដាសស្ទ្រី ឯ.ក</t>
        </is>
      </c>
      <c r="W2459" s="556" t="n">
        <v>110976</v>
      </c>
    </row>
    <row r="2460">
      <c r="A2460" s="521" t="n">
        <v>2452</v>
      </c>
      <c r="B2460" s="522" t="inlineStr">
        <is>
          <t>Lift Off Charges</t>
        </is>
      </c>
      <c r="C2460" s="522" t="inlineStr">
        <is>
          <t>កំពង់ផែស្វយ័តភ្នំពេញ "ក.ស.ភ"</t>
        </is>
      </c>
      <c r="D2460" s="522" t="inlineStr">
        <is>
          <t>L001-100044999</t>
        </is>
      </c>
      <c r="E2460" s="521" t="inlineStr">
        <is>
          <t>INV20210630505</t>
        </is>
      </c>
      <c r="F2460" s="523" t="n">
        <v>44361</v>
      </c>
      <c r="G2460" s="556" t="n">
        <v>29376</v>
      </c>
      <c r="I2460" s="521">
        <f>G2460</f>
        <v/>
      </c>
      <c r="K2460" s="521">
        <f>I2460-G2460</f>
        <v/>
      </c>
      <c r="M2460" s="522" t="inlineStr">
        <is>
          <t>INV20210630505</t>
        </is>
      </c>
      <c r="N2460" s="522" t="inlineStr"/>
      <c r="O2460" s="521">
        <f>M2460=N2460</f>
        <v/>
      </c>
      <c r="P2460" s="521">
        <f>AND(MONTH(F2460)=MONTH(S2460), YEAR(F2460)=YEAR(S2460))</f>
        <v/>
      </c>
      <c r="Q2460" s="521">
        <f>U2460="L001-901905215"</f>
        <v/>
      </c>
      <c r="R2460" s="556">
        <f>G2460-W2460</f>
        <v/>
      </c>
      <c r="S2460" s="521" t="n"/>
      <c r="T2460" s="522" t="n"/>
      <c r="U2460" s="522" t="n"/>
      <c r="V2460" s="522" t="n"/>
      <c r="W2460" s="521" t="n"/>
    </row>
    <row r="2461">
      <c r="A2461" s="521" t="n">
        <v>2453</v>
      </c>
      <c r="B2461" s="522" t="inlineStr">
        <is>
          <t>LIFT ON EMPITY FEE</t>
        </is>
      </c>
      <c r="C2461" s="522" t="inlineStr">
        <is>
          <t>កំពង់ផែស្វយ័តភ្នំពេញ "ក.ស.ភ"</t>
        </is>
      </c>
      <c r="D2461" s="522" t="inlineStr">
        <is>
          <t>L001-100044999</t>
        </is>
      </c>
      <c r="E2461" s="521" t="inlineStr">
        <is>
          <t>163248</t>
        </is>
      </c>
      <c r="F2461" s="523" t="n">
        <v>44358</v>
      </c>
      <c r="G2461" s="556" t="n">
        <v>5564</v>
      </c>
      <c r="I2461" s="521">
        <f>G2461</f>
        <v/>
      </c>
      <c r="K2461" s="521">
        <f>I2461-G2461</f>
        <v/>
      </c>
      <c r="M2461" s="522" t="inlineStr">
        <is>
          <t>163248</t>
        </is>
      </c>
      <c r="N2461" s="522" t="inlineStr"/>
      <c r="O2461" s="521">
        <f>M2461=N2461</f>
        <v/>
      </c>
      <c r="P2461" s="521">
        <f>AND(MONTH(F2461)=MONTH(S2461), YEAR(F2461)=YEAR(S2461))</f>
        <v/>
      </c>
      <c r="Q2461" s="521">
        <f>U2461="L001-901905215"</f>
        <v/>
      </c>
      <c r="R2461" s="556">
        <f>G2461-W2461</f>
        <v/>
      </c>
      <c r="S2461" s="521" t="n"/>
      <c r="T2461" s="522" t="n"/>
      <c r="U2461" s="522" t="n"/>
      <c r="V2461" s="522" t="n"/>
      <c r="W2461" s="521" t="n"/>
    </row>
    <row r="2462">
      <c r="A2462" s="521" t="n">
        <v>2454</v>
      </c>
      <c r="B2462" s="522" t="inlineStr">
        <is>
          <t>Lift Off Charges</t>
        </is>
      </c>
      <c r="C2462" s="522" t="inlineStr">
        <is>
          <t>កំពង់ផែស្វយ័តភ្នំពេញ "ក.ស.ភ"</t>
        </is>
      </c>
      <c r="D2462" s="522" t="inlineStr">
        <is>
          <t>L001-100044999</t>
        </is>
      </c>
      <c r="E2462" s="521" t="inlineStr">
        <is>
          <t>INV20210630362</t>
        </is>
      </c>
      <c r="F2462" s="523" t="n">
        <v>44359</v>
      </c>
      <c r="G2462" s="556" t="n">
        <v>19594</v>
      </c>
      <c r="I2462" s="521">
        <f>G2462</f>
        <v/>
      </c>
      <c r="K2462" s="521">
        <f>I2462-G2462</f>
        <v/>
      </c>
      <c r="M2462" s="522" t="inlineStr">
        <is>
          <t>INV20210630362</t>
        </is>
      </c>
      <c r="N2462" s="522" t="inlineStr"/>
      <c r="O2462" s="521">
        <f>M2462=N2462</f>
        <v/>
      </c>
      <c r="P2462" s="521">
        <f>AND(MONTH(F2462)=MONTH(S2462), YEAR(F2462)=YEAR(S2462))</f>
        <v/>
      </c>
      <c r="Q2462" s="521">
        <f>U2462="L001-901905215"</f>
        <v/>
      </c>
      <c r="R2462" s="556">
        <f>G2462-W2462</f>
        <v/>
      </c>
      <c r="S2462" s="521" t="n"/>
      <c r="T2462" s="522" t="n"/>
      <c r="U2462" s="522" t="n"/>
      <c r="V2462" s="522" t="n"/>
      <c r="W2462" s="521" t="n"/>
    </row>
    <row r="2463">
      <c r="A2463" s="521" t="n">
        <v>2455</v>
      </c>
      <c r="B2463" s="522" t="inlineStr">
        <is>
          <t>Lift Off Charges</t>
        </is>
      </c>
      <c r="C2463" s="522" t="inlineStr">
        <is>
          <t>កំពង់ផែស្វយ័តភ្នំពេញ "ក.ស.ភ"</t>
        </is>
      </c>
      <c r="D2463" s="522" t="inlineStr">
        <is>
          <t>L001-100044999</t>
        </is>
      </c>
      <c r="E2463" s="521" t="inlineStr">
        <is>
          <t>INV20210629043</t>
        </is>
      </c>
      <c r="F2463" s="523" t="n">
        <v>44354</v>
      </c>
      <c r="G2463" s="556" t="n">
        <v>29376</v>
      </c>
      <c r="I2463" s="521">
        <f>G2463</f>
        <v/>
      </c>
      <c r="K2463" s="521">
        <f>I2463-G2463</f>
        <v/>
      </c>
      <c r="M2463" s="522" t="inlineStr">
        <is>
          <t>INV20210629043</t>
        </is>
      </c>
      <c r="N2463" s="522" t="inlineStr"/>
      <c r="O2463" s="521">
        <f>M2463=N2463</f>
        <v/>
      </c>
      <c r="P2463" s="521">
        <f>AND(MONTH(F2463)=MONTH(S2463), YEAR(F2463)=YEAR(S2463))</f>
        <v/>
      </c>
      <c r="Q2463" s="521">
        <f>U2463="L001-901905215"</f>
        <v/>
      </c>
      <c r="R2463" s="556">
        <f>G2463-W2463</f>
        <v/>
      </c>
      <c r="S2463" s="521" t="n"/>
      <c r="T2463" s="522" t="n"/>
      <c r="U2463" s="522" t="n"/>
      <c r="V2463" s="522" t="n"/>
      <c r="W2463" s="521" t="n"/>
    </row>
    <row r="2464">
      <c r="A2464" s="521" t="n">
        <v>2456</v>
      </c>
      <c r="B2464" s="522" t="inlineStr">
        <is>
          <t>Lift Off Charges</t>
        </is>
      </c>
      <c r="C2464" s="522" t="inlineStr">
        <is>
          <t>កំពង់ផែស្វយ័តភ្នំពេញ "ក.ស.ភ"</t>
        </is>
      </c>
      <c r="D2464" s="522" t="inlineStr">
        <is>
          <t>L001-100044999</t>
        </is>
      </c>
      <c r="E2464" s="521" t="inlineStr">
        <is>
          <t>INV20210629047</t>
        </is>
      </c>
      <c r="F2464" s="523" t="n">
        <v>44354</v>
      </c>
      <c r="G2464" s="556" t="n">
        <v>117504</v>
      </c>
      <c r="I2464" s="521">
        <f>G2464</f>
        <v/>
      </c>
      <c r="K2464" s="521">
        <f>I2464-G2464</f>
        <v/>
      </c>
      <c r="M2464" s="522" t="inlineStr">
        <is>
          <t>INV20210629047</t>
        </is>
      </c>
      <c r="N2464" s="522" t="inlineStr"/>
      <c r="O2464" s="521">
        <f>M2464=N2464</f>
        <v/>
      </c>
      <c r="P2464" s="521">
        <f>AND(MONTH(F2464)=MONTH(S2464), YEAR(F2464)=YEAR(S2464))</f>
        <v/>
      </c>
      <c r="Q2464" s="521">
        <f>U2464="L001-901905215"</f>
        <v/>
      </c>
      <c r="R2464" s="556">
        <f>G2464-W2464</f>
        <v/>
      </c>
      <c r="S2464" s="521" t="n"/>
      <c r="T2464" s="522" t="n"/>
      <c r="U2464" s="522" t="n"/>
      <c r="V2464" s="522" t="n"/>
      <c r="W2464" s="521" t="n"/>
    </row>
    <row r="2465">
      <c r="A2465" s="521" t="n">
        <v>2457</v>
      </c>
      <c r="B2465" s="522" t="inlineStr">
        <is>
          <t>SEAL FEE</t>
        </is>
      </c>
      <c r="C2465" s="522" t="inlineStr">
        <is>
          <t>ខូស្កូ ស៊ីបភីង ឡាញ (ខេមបូឌា) ឯ.ក</t>
        </is>
      </c>
      <c r="D2465" s="522" t="inlineStr">
        <is>
          <t>L001-100103383</t>
        </is>
      </c>
      <c r="E2465" s="521" t="inlineStr">
        <is>
          <t>COS2106-07104</t>
        </is>
      </c>
      <c r="F2465" s="523" t="n">
        <v>44354</v>
      </c>
      <c r="G2465" s="556" t="n">
        <v>110976</v>
      </c>
      <c r="I2465" s="521">
        <f>G2465</f>
        <v/>
      </c>
      <c r="K2465" s="521">
        <f>I2465-G2465</f>
        <v/>
      </c>
      <c r="M2465" s="522" t="inlineStr">
        <is>
          <t>COS210607104</t>
        </is>
      </c>
      <c r="N2465" s="522" t="inlineStr">
        <is>
          <t>COS210607104</t>
        </is>
      </c>
      <c r="O2465" s="521">
        <f>M2465=N2465</f>
        <v/>
      </c>
      <c r="P2465" s="521">
        <f>AND(MONTH(F2465)=MONTH(S2465), YEAR(F2465)=YEAR(S2465))</f>
        <v/>
      </c>
      <c r="Q2465" s="521">
        <f>U2465="L001-901905215"</f>
        <v/>
      </c>
      <c r="R2465" s="556">
        <f>G2465-W2465</f>
        <v/>
      </c>
      <c r="S2465" s="523" t="n">
        <v>44354</v>
      </c>
      <c r="T2465" s="522" t="inlineStr">
        <is>
          <t>COS2106-07104</t>
        </is>
      </c>
      <c r="U2465" s="522" t="inlineStr">
        <is>
          <t>L001-901905215</t>
        </is>
      </c>
      <c r="V2465" s="522" t="inlineStr">
        <is>
          <t>វីអ៊ីស៊ិន (ខេមបូឌា) អ៊ិនដាសស្ទ្រី ឯ.ក</t>
        </is>
      </c>
      <c r="W2465" s="556" t="n">
        <v>110976</v>
      </c>
    </row>
    <row r="2466">
      <c r="A2466" s="521" t="n">
        <v>2458</v>
      </c>
      <c r="B2466" s="522" t="inlineStr">
        <is>
          <t>Lift Off Charges</t>
        </is>
      </c>
      <c r="C2466" s="522" t="inlineStr">
        <is>
          <t>កំពង់ផែស្វយ័តភ្នំពេញ "ក.ស.ភ"</t>
        </is>
      </c>
      <c r="D2466" s="522" t="inlineStr">
        <is>
          <t>L001-100044999</t>
        </is>
      </c>
      <c r="E2466" s="521" t="inlineStr">
        <is>
          <t>INV20210629041</t>
        </is>
      </c>
      <c r="F2466" s="523" t="n">
        <v>44354</v>
      </c>
      <c r="G2466" s="556" t="n">
        <v>29376</v>
      </c>
      <c r="I2466" s="521">
        <f>G2466</f>
        <v/>
      </c>
      <c r="K2466" s="521">
        <f>I2466-G2466</f>
        <v/>
      </c>
      <c r="M2466" s="522" t="inlineStr">
        <is>
          <t>INV20210629041</t>
        </is>
      </c>
      <c r="N2466" s="522" t="inlineStr"/>
      <c r="O2466" s="521">
        <f>M2466=N2466</f>
        <v/>
      </c>
      <c r="P2466" s="521">
        <f>AND(MONTH(F2466)=MONTH(S2466), YEAR(F2466)=YEAR(S2466))</f>
        <v/>
      </c>
      <c r="Q2466" s="521">
        <f>U2466="L001-901905215"</f>
        <v/>
      </c>
      <c r="R2466" s="556">
        <f>G2466-W2466</f>
        <v/>
      </c>
      <c r="S2466" s="521" t="n"/>
      <c r="T2466" s="522" t="n"/>
      <c r="U2466" s="522" t="n"/>
      <c r="V2466" s="522" t="n"/>
      <c r="W2466" s="521" t="n"/>
    </row>
    <row r="2467">
      <c r="A2467" s="521" t="n">
        <v>2459</v>
      </c>
      <c r="B2467" s="522" t="inlineStr">
        <is>
          <t>Express fee</t>
        </is>
      </c>
      <c r="C2467" s="522" t="inlineStr">
        <is>
          <t>សូស៊ីយេតេ កុងសេស្យូនែរ ដឺ ឡាអេរ៉ូព័រ</t>
        </is>
      </c>
      <c r="D2467" s="522" t="inlineStr">
        <is>
          <t>L001-100047300</t>
        </is>
      </c>
      <c r="E2467" s="521" t="inlineStr">
        <is>
          <t>2200-034326</t>
        </is>
      </c>
      <c r="F2467" s="523" t="n">
        <v>44719</v>
      </c>
      <c r="G2467" s="556" t="n">
        <v>4915</v>
      </c>
      <c r="I2467" s="521">
        <f>G2467</f>
        <v/>
      </c>
      <c r="K2467" s="521">
        <f>I2467-G2467</f>
        <v/>
      </c>
      <c r="M2467" s="522" t="inlineStr">
        <is>
          <t>2200034326</t>
        </is>
      </c>
      <c r="N2467" s="522" t="inlineStr"/>
      <c r="O2467" s="521">
        <f>M2467=N2467</f>
        <v/>
      </c>
      <c r="P2467" s="521">
        <f>AND(MONTH(F2467)=MONTH(S2467), YEAR(F2467)=YEAR(S2467))</f>
        <v/>
      </c>
      <c r="Q2467" s="521">
        <f>U2467="L001-901905215"</f>
        <v/>
      </c>
      <c r="R2467" s="556">
        <f>G2467-W2467</f>
        <v/>
      </c>
      <c r="S2467" s="521" t="n"/>
      <c r="T2467" s="522" t="n"/>
      <c r="U2467" s="522" t="n"/>
      <c r="V2467" s="522" t="n"/>
      <c r="W2467" s="521" t="n"/>
    </row>
    <row r="2468">
      <c r="A2468" s="521" t="n">
        <v>2460</v>
      </c>
      <c r="B2468" s="522" t="inlineStr">
        <is>
          <t>CLEARNCE &amp; TRUCKING FEE</t>
        </is>
      </c>
      <c r="C2468" s="522" t="inlineStr">
        <is>
          <t>ហុង តុង អ៊ិនធើណេសិនណល ឡូជីស្ទីក ឯ.ក</t>
        </is>
      </c>
      <c r="D2468" s="522" t="inlineStr">
        <is>
          <t>K003-902006166</t>
        </is>
      </c>
      <c r="E2468" s="521" t="inlineStr">
        <is>
          <t>HT220097</t>
        </is>
      </c>
      <c r="F2468" s="523" t="n">
        <v>44742</v>
      </c>
      <c r="G2468" s="556" t="n">
        <v>141006</v>
      </c>
      <c r="I2468" s="521">
        <f>G2468</f>
        <v/>
      </c>
      <c r="K2468" s="521">
        <f>I2468-G2468</f>
        <v/>
      </c>
      <c r="M2468" s="522" t="inlineStr">
        <is>
          <t>HT220097</t>
        </is>
      </c>
      <c r="N2468" s="522" t="inlineStr">
        <is>
          <t>HT220097</t>
        </is>
      </c>
      <c r="O2468" s="521">
        <f>M2468=N2468</f>
        <v/>
      </c>
      <c r="P2468" s="521">
        <f>AND(MONTH(F2468)=MONTH(S2468), YEAR(F2468)=YEAR(S2468))</f>
        <v/>
      </c>
      <c r="Q2468" s="521">
        <f>U2468="L001-901905215"</f>
        <v/>
      </c>
      <c r="R2468" s="556">
        <f>G2468-W2468</f>
        <v/>
      </c>
      <c r="S2468" s="523" t="n">
        <v>44742</v>
      </c>
      <c r="T2468" s="522" t="inlineStr">
        <is>
          <t>HT220097</t>
        </is>
      </c>
      <c r="U2468" s="522" t="inlineStr">
        <is>
          <t>L001-901905215</t>
        </is>
      </c>
      <c r="V2468" s="522" t="inlineStr">
        <is>
          <t>វីអ៊ីស៊ិន (ខេមបូឌា) អ៊ិនដាសស្ទ្រី ឯ.ក</t>
        </is>
      </c>
      <c r="W2468" s="556" t="n">
        <v>141006</v>
      </c>
    </row>
    <row r="2469">
      <c r="A2469" s="521" t="n">
        <v>2461</v>
      </c>
      <c r="B2469" s="522" t="inlineStr">
        <is>
          <t>KHCIC</t>
        </is>
      </c>
      <c r="C2469" s="522" t="inlineStr">
        <is>
          <t>អេសអាយធីស៊ី ខិនថេនើរ ឡាញ (ខេមបូឌា)</t>
        </is>
      </c>
      <c r="D2469" s="522" t="inlineStr">
        <is>
          <t>L001-107035863</t>
        </is>
      </c>
      <c r="E2469" s="521" t="inlineStr">
        <is>
          <t>SITC2022-012593</t>
        </is>
      </c>
      <c r="F2469" s="523" t="n">
        <v>44715</v>
      </c>
      <c r="G2469" s="556" t="n">
        <v>227383</v>
      </c>
      <c r="I2469" s="521">
        <f>G2469</f>
        <v/>
      </c>
      <c r="K2469" s="521">
        <f>I2469-G2469</f>
        <v/>
      </c>
      <c r="M2469" s="522" t="inlineStr">
        <is>
          <t>SITC2022012593</t>
        </is>
      </c>
      <c r="N2469" s="522" t="inlineStr">
        <is>
          <t>SITC2022012593</t>
        </is>
      </c>
      <c r="O2469" s="521">
        <f>M2469=N2469</f>
        <v/>
      </c>
      <c r="P2469" s="521">
        <f>AND(MONTH(F2469)=MONTH(S2469), YEAR(F2469)=YEAR(S2469))</f>
        <v/>
      </c>
      <c r="Q2469" s="521">
        <f>U2469="L001-901905215"</f>
        <v/>
      </c>
      <c r="R2469" s="556">
        <f>G2469-W2469</f>
        <v/>
      </c>
      <c r="S2469" s="523" t="n">
        <v>44715</v>
      </c>
      <c r="T2469" s="522" t="inlineStr">
        <is>
          <t>SITC2022-012593</t>
        </is>
      </c>
      <c r="U2469" s="522" t="inlineStr">
        <is>
          <t>L001-901905215</t>
        </is>
      </c>
      <c r="V2469" s="522" t="inlineStr">
        <is>
          <t>វីអ៊ីស៊ិន (ខេមបូឌា) អ៊ិនដាសស្ទ្រី ឯ.ក</t>
        </is>
      </c>
      <c r="W2469" s="556" t="n">
        <v>227384</v>
      </c>
    </row>
    <row r="2470">
      <c r="A2470" s="521" t="n">
        <v>2462</v>
      </c>
      <c r="B2470" s="522" t="inlineStr">
        <is>
          <t>Lift-On &amp; Lift-Off</t>
        </is>
      </c>
      <c r="C2470" s="522" t="inlineStr">
        <is>
          <t>កំពង់ផែស្វយ័តក្រុងព្រះសីហនុ</t>
        </is>
      </c>
      <c r="D2470" s="522" t="inlineStr">
        <is>
          <t>L001-100044638</t>
        </is>
      </c>
      <c r="E2470" s="521" t="inlineStr">
        <is>
          <t>105080</t>
        </is>
      </c>
      <c r="F2470" s="523" t="n">
        <v>44721</v>
      </c>
      <c r="G2470" s="556" t="n">
        <v>35635</v>
      </c>
      <c r="I2470" s="521">
        <f>G2470</f>
        <v/>
      </c>
      <c r="K2470" s="521">
        <f>I2470-G2470</f>
        <v/>
      </c>
      <c r="M2470" s="522" t="inlineStr">
        <is>
          <t>105080</t>
        </is>
      </c>
      <c r="N2470" s="522" t="inlineStr"/>
      <c r="O2470" s="521">
        <f>M2470=N2470</f>
        <v/>
      </c>
      <c r="P2470" s="521">
        <f>AND(MONTH(F2470)=MONTH(S2470), YEAR(F2470)=YEAR(S2470))</f>
        <v/>
      </c>
      <c r="Q2470" s="521">
        <f>U2470="L001-901905215"</f>
        <v/>
      </c>
      <c r="R2470" s="556">
        <f>G2470-W2470</f>
        <v/>
      </c>
      <c r="S2470" s="521" t="n"/>
      <c r="T2470" s="522" t="n"/>
      <c r="U2470" s="522" t="n"/>
      <c r="V2470" s="522" t="n"/>
      <c r="W2470" s="521" t="n"/>
    </row>
    <row r="2471">
      <c r="A2471" s="521" t="n">
        <v>2463</v>
      </c>
      <c r="B2471" s="522" t="inlineStr">
        <is>
          <t>CLEARNCE &amp; TRUCKING FEE</t>
        </is>
      </c>
      <c r="C2471" s="522" t="inlineStr">
        <is>
          <t>ហុង តុង អ៊ិនធើណេសិនណល ឡូជីស្ទីក ឯ.ក</t>
        </is>
      </c>
      <c r="D2471" s="522" t="inlineStr">
        <is>
          <t>K003-902006166</t>
        </is>
      </c>
      <c r="E2471" s="521" t="inlineStr">
        <is>
          <t>HT220094</t>
        </is>
      </c>
      <c r="F2471" s="523" t="n">
        <v>44742</v>
      </c>
      <c r="G2471" s="556" t="n">
        <v>261106</v>
      </c>
      <c r="I2471" s="521">
        <f>G2471</f>
        <v/>
      </c>
      <c r="K2471" s="521">
        <f>I2471-G2471</f>
        <v/>
      </c>
      <c r="M2471" s="522" t="inlineStr">
        <is>
          <t>HT220094</t>
        </is>
      </c>
      <c r="N2471" s="522" t="inlineStr">
        <is>
          <t>HT220094</t>
        </is>
      </c>
      <c r="O2471" s="521">
        <f>M2471=N2471</f>
        <v/>
      </c>
      <c r="P2471" s="521">
        <f>AND(MONTH(F2471)=MONTH(S2471), YEAR(F2471)=YEAR(S2471))</f>
        <v/>
      </c>
      <c r="Q2471" s="521">
        <f>U2471="L001-901905215"</f>
        <v/>
      </c>
      <c r="R2471" s="556">
        <f>G2471-W2471</f>
        <v/>
      </c>
      <c r="S2471" s="523" t="n">
        <v>44742</v>
      </c>
      <c r="T2471" s="522" t="inlineStr">
        <is>
          <t>HT220094</t>
        </is>
      </c>
      <c r="U2471" s="522" t="inlineStr">
        <is>
          <t>L001-901905215</t>
        </is>
      </c>
      <c r="V2471" s="522" t="inlineStr">
        <is>
          <t>វីអ៊ីស៊ិន (ខេមបូឌា) អ៊ិនដាសស្ទ្រី ឯ.ក</t>
        </is>
      </c>
      <c r="W2471" s="556" t="n">
        <v>261106</v>
      </c>
    </row>
    <row r="2472">
      <c r="A2472" s="521" t="n">
        <v>2464</v>
      </c>
      <c r="B2472" s="522" t="inlineStr">
        <is>
          <t>Foreign Sale</t>
        </is>
      </c>
      <c r="C2472" s="522" t="inlineStr">
        <is>
          <t>មើស្គ (ខេមបូឌា)</t>
        </is>
      </c>
      <c r="D2472" s="522" t="inlineStr">
        <is>
          <t>L001-100045200</t>
        </is>
      </c>
      <c r="E2472" s="521" t="inlineStr">
        <is>
          <t>5995895873</t>
        </is>
      </c>
      <c r="F2472" s="523" t="n">
        <v>44721</v>
      </c>
      <c r="G2472" s="556" t="n">
        <v>90176</v>
      </c>
      <c r="I2472" s="521">
        <f>G2472</f>
        <v/>
      </c>
      <c r="K2472" s="521">
        <f>I2472-G2472</f>
        <v/>
      </c>
      <c r="M2472" s="522" t="inlineStr">
        <is>
          <t>5995895873</t>
        </is>
      </c>
      <c r="N2472" s="522" t="inlineStr">
        <is>
          <t>5995895873</t>
        </is>
      </c>
      <c r="O2472" s="521">
        <f>M2472=N2472</f>
        <v/>
      </c>
      <c r="P2472" s="521">
        <f>AND(MONTH(F2472)=MONTH(S2472), YEAR(F2472)=YEAR(S2472))</f>
        <v/>
      </c>
      <c r="Q2472" s="521">
        <f>U2472="L001-901905215"</f>
        <v/>
      </c>
      <c r="R2472" s="556">
        <f>G2472-W2472</f>
        <v/>
      </c>
      <c r="S2472" s="523" t="n">
        <v>44721</v>
      </c>
      <c r="T2472" s="522" t="inlineStr">
        <is>
          <t>5995895873</t>
        </is>
      </c>
      <c r="U2472" s="522" t="inlineStr">
        <is>
          <t>L001-901905215</t>
        </is>
      </c>
      <c r="V2472" s="522" t="inlineStr">
        <is>
          <t>វីអ៊ីស៊ិន (ខេមបូឌា) អ៊ិនដាសស្ទ្រី ឯ.ក</t>
        </is>
      </c>
      <c r="W2472" s="556" t="n">
        <v>90176</v>
      </c>
    </row>
    <row r="2473">
      <c r="A2473" s="521" t="n">
        <v>2465</v>
      </c>
      <c r="B2473" s="522" t="inlineStr">
        <is>
          <t>Lift-On &amp; Lift-Off</t>
        </is>
      </c>
      <c r="C2473" s="522" t="inlineStr">
        <is>
          <t>កំពង់ផែស្វយ័តក្រុងព្រះសីហនុ</t>
        </is>
      </c>
      <c r="D2473" s="522" t="inlineStr">
        <is>
          <t>L001-100044638</t>
        </is>
      </c>
      <c r="E2473" s="521" t="inlineStr">
        <is>
          <t>109338</t>
        </is>
      </c>
      <c r="F2473" s="523" t="n">
        <v>44727</v>
      </c>
      <c r="G2473" s="556" t="n">
        <v>23347</v>
      </c>
      <c r="I2473" s="521">
        <f>G2473</f>
        <v/>
      </c>
      <c r="K2473" s="521">
        <f>I2473-G2473</f>
        <v/>
      </c>
      <c r="M2473" s="522" t="inlineStr">
        <is>
          <t>109338</t>
        </is>
      </c>
      <c r="N2473" s="522" t="inlineStr"/>
      <c r="O2473" s="521">
        <f>M2473=N2473</f>
        <v/>
      </c>
      <c r="P2473" s="521">
        <f>AND(MONTH(F2473)=MONTH(S2473), YEAR(F2473)=YEAR(S2473))</f>
        <v/>
      </c>
      <c r="Q2473" s="521">
        <f>U2473="L001-901905215"</f>
        <v/>
      </c>
      <c r="R2473" s="556">
        <f>G2473-W2473</f>
        <v/>
      </c>
      <c r="S2473" s="521" t="n"/>
      <c r="T2473" s="522" t="n"/>
      <c r="U2473" s="522" t="n"/>
      <c r="V2473" s="522" t="n"/>
      <c r="W2473" s="521" t="n"/>
    </row>
    <row r="2474">
      <c r="A2474" s="521" t="n">
        <v>2466</v>
      </c>
      <c r="B2474" s="522" t="inlineStr">
        <is>
          <t>CLEARNCE &amp; TRUCKING FEE</t>
        </is>
      </c>
      <c r="C2474" s="522" t="inlineStr">
        <is>
          <t>ហុង តុង អ៊ិនធើណេសិនណល ឡូជីស្ទីក ឯ.ក</t>
        </is>
      </c>
      <c r="D2474" s="522" t="inlineStr">
        <is>
          <t>K003-902006166</t>
        </is>
      </c>
      <c r="E2474" s="521" t="inlineStr">
        <is>
          <t>HT220093</t>
        </is>
      </c>
      <c r="F2474" s="523" t="n">
        <v>44742</v>
      </c>
      <c r="G2474" s="556" t="n">
        <v>252498</v>
      </c>
      <c r="I2474" s="521">
        <f>G2474</f>
        <v/>
      </c>
      <c r="K2474" s="521">
        <f>I2474-G2474</f>
        <v/>
      </c>
      <c r="M2474" s="522" t="inlineStr">
        <is>
          <t>HT220093</t>
        </is>
      </c>
      <c r="N2474" s="522" t="inlineStr">
        <is>
          <t>HT220093</t>
        </is>
      </c>
      <c r="O2474" s="521">
        <f>M2474=N2474</f>
        <v/>
      </c>
      <c r="P2474" s="521">
        <f>AND(MONTH(F2474)=MONTH(S2474), YEAR(F2474)=YEAR(S2474))</f>
        <v/>
      </c>
      <c r="Q2474" s="521">
        <f>U2474="L001-901905215"</f>
        <v/>
      </c>
      <c r="R2474" s="556">
        <f>G2474-W2474</f>
        <v/>
      </c>
      <c r="S2474" s="523" t="n">
        <v>44922</v>
      </c>
      <c r="T2474" s="522" t="inlineStr">
        <is>
          <t>HT220093</t>
        </is>
      </c>
      <c r="U2474" s="522" t="inlineStr">
        <is>
          <t>L001-901905215</t>
        </is>
      </c>
      <c r="V2474" s="522" t="inlineStr">
        <is>
          <t>វីអ៊ីស៊ិន (ខេមបូឌា) អ៊ិនដាសស្ទ្រី ឯ.ក</t>
        </is>
      </c>
      <c r="W2474" s="556" t="n">
        <v>501908</v>
      </c>
    </row>
    <row r="2475">
      <c r="A2475" s="521" t="n">
        <v>2467</v>
      </c>
      <c r="B2475" s="522" t="inlineStr">
        <is>
          <t>KHCIC</t>
        </is>
      </c>
      <c r="C2475" s="522" t="inlineStr">
        <is>
          <t>អេសអាយធីស៊ី ខិនថេនើរ ឡាញ (ខេមបូឌា)</t>
        </is>
      </c>
      <c r="D2475" s="522" t="inlineStr">
        <is>
          <t>L001-107035863</t>
        </is>
      </c>
      <c r="E2475" s="521" t="inlineStr">
        <is>
          <t>SITC2022-011558</t>
        </is>
      </c>
      <c r="F2475" s="523" t="n">
        <v>44713</v>
      </c>
      <c r="G2475" s="556" t="n">
        <v>225441</v>
      </c>
      <c r="I2475" s="521">
        <f>G2475</f>
        <v/>
      </c>
      <c r="K2475" s="521">
        <f>I2475-G2475</f>
        <v/>
      </c>
      <c r="M2475" s="522" t="inlineStr">
        <is>
          <t>SITC2022011558</t>
        </is>
      </c>
      <c r="N2475" s="522" t="inlineStr"/>
      <c r="O2475" s="521">
        <f>M2475=N2475</f>
        <v/>
      </c>
      <c r="P2475" s="521">
        <f>AND(MONTH(F2475)=MONTH(S2475), YEAR(F2475)=YEAR(S2475))</f>
        <v/>
      </c>
      <c r="Q2475" s="521">
        <f>U2475="L001-901905215"</f>
        <v/>
      </c>
      <c r="R2475" s="556">
        <f>G2475-W2475</f>
        <v/>
      </c>
      <c r="S2475" s="521" t="n"/>
      <c r="T2475" s="522" t="n"/>
      <c r="U2475" s="522" t="n"/>
      <c r="V2475" s="522" t="n"/>
      <c r="W2475" s="521" t="n"/>
    </row>
    <row r="2476">
      <c r="A2476" s="521" t="n">
        <v>2468</v>
      </c>
      <c r="B2476" s="522" t="inlineStr">
        <is>
          <t>Lift-On &amp; Lift-Off</t>
        </is>
      </c>
      <c r="C2476" s="522" t="inlineStr">
        <is>
          <t>កំពង់ផែស្វយ័តក្រុងព្រះសីហនុ</t>
        </is>
      </c>
      <c r="D2476" s="522" t="inlineStr">
        <is>
          <t>L001-100044638</t>
        </is>
      </c>
      <c r="E2476" s="521" t="inlineStr">
        <is>
          <t>095790</t>
        </is>
      </c>
      <c r="F2476" s="523" t="n">
        <v>44713</v>
      </c>
      <c r="G2476" s="556" t="n">
        <v>35348</v>
      </c>
      <c r="I2476" s="521">
        <f>G2476</f>
        <v/>
      </c>
      <c r="K2476" s="521">
        <f>I2476-G2476</f>
        <v/>
      </c>
      <c r="M2476" s="522" t="inlineStr">
        <is>
          <t>095790</t>
        </is>
      </c>
      <c r="N2476" s="522" t="inlineStr"/>
      <c r="O2476" s="521">
        <f>M2476=N2476</f>
        <v/>
      </c>
      <c r="P2476" s="521">
        <f>AND(MONTH(F2476)=MONTH(S2476), YEAR(F2476)=YEAR(S2476))</f>
        <v/>
      </c>
      <c r="Q2476" s="521">
        <f>U2476="L001-901905215"</f>
        <v/>
      </c>
      <c r="R2476" s="556">
        <f>G2476-W2476</f>
        <v/>
      </c>
      <c r="S2476" s="521" t="n"/>
      <c r="T2476" s="522" t="n"/>
      <c r="U2476" s="522" t="n"/>
      <c r="V2476" s="522" t="n"/>
      <c r="W2476" s="521" t="n"/>
    </row>
    <row r="2477">
      <c r="A2477" s="521" t="n">
        <v>2469</v>
      </c>
      <c r="B2477" s="522" t="inlineStr">
        <is>
          <t>CLEARNCE &amp; TRUCKING FEE</t>
        </is>
      </c>
      <c r="C2477" s="522" t="inlineStr">
        <is>
          <t>ហុង តុង អ៊ិនធើណេសិនណល ឡូជីស្ទីក ឯ.ក</t>
        </is>
      </c>
      <c r="D2477" s="522" t="inlineStr">
        <is>
          <t>K003-902006166</t>
        </is>
      </c>
      <c r="E2477" s="521" t="inlineStr">
        <is>
          <t>HT220085</t>
        </is>
      </c>
      <c r="F2477" s="523" t="n">
        <v>44742</v>
      </c>
      <c r="G2477" s="556" t="n">
        <v>260979</v>
      </c>
      <c r="I2477" s="521">
        <f>G2477</f>
        <v/>
      </c>
      <c r="K2477" s="521">
        <f>I2477-G2477</f>
        <v/>
      </c>
      <c r="M2477" s="522" t="inlineStr">
        <is>
          <t>HT220085</t>
        </is>
      </c>
      <c r="N2477" s="522" t="inlineStr">
        <is>
          <t>HT220085</t>
        </is>
      </c>
      <c r="O2477" s="521">
        <f>M2477=N2477</f>
        <v/>
      </c>
      <c r="P2477" s="521">
        <f>AND(MONTH(F2477)=MONTH(S2477), YEAR(F2477)=YEAR(S2477))</f>
        <v/>
      </c>
      <c r="Q2477" s="521">
        <f>U2477="L001-901905215"</f>
        <v/>
      </c>
      <c r="R2477" s="556">
        <f>G2477-W2477</f>
        <v/>
      </c>
      <c r="S2477" s="523" t="n">
        <v>44922</v>
      </c>
      <c r="T2477" s="522" t="inlineStr">
        <is>
          <t>HT220085</t>
        </is>
      </c>
      <c r="U2477" s="522" t="inlineStr">
        <is>
          <t>L001-901905215</t>
        </is>
      </c>
      <c r="V2477" s="522" t="inlineStr">
        <is>
          <t>វីអ៊ីស៊ិន (ខេមបូឌា) អ៊ិនដាសស្ទ្រី ឯ.ក</t>
        </is>
      </c>
      <c r="W2477" s="556" t="n">
        <v>250954</v>
      </c>
    </row>
    <row r="2478">
      <c r="A2478" s="521" t="n">
        <v>2470</v>
      </c>
      <c r="B2478" s="522" t="inlineStr">
        <is>
          <t>Foreign Sale</t>
        </is>
      </c>
      <c r="C2478" s="522" t="inlineStr">
        <is>
          <t>មើស្គ (ខេមបូឌា)</t>
        </is>
      </c>
      <c r="D2478" s="522" t="inlineStr">
        <is>
          <t>L001-100045200</t>
        </is>
      </c>
      <c r="E2478" s="521" t="inlineStr">
        <is>
          <t>5995893251</t>
        </is>
      </c>
      <c r="F2478" s="523" t="n">
        <v>44713</v>
      </c>
      <c r="G2478" s="556" t="n">
        <v>89954</v>
      </c>
      <c r="I2478" s="521">
        <f>G2478</f>
        <v/>
      </c>
      <c r="K2478" s="521">
        <f>I2478-G2478</f>
        <v/>
      </c>
      <c r="M2478" s="522" t="inlineStr">
        <is>
          <t>5995893251</t>
        </is>
      </c>
      <c r="N2478" s="522" t="inlineStr"/>
      <c r="O2478" s="521">
        <f>M2478=N2478</f>
        <v/>
      </c>
      <c r="P2478" s="521">
        <f>AND(MONTH(F2478)=MONTH(S2478), YEAR(F2478)=YEAR(S2478))</f>
        <v/>
      </c>
      <c r="Q2478" s="521">
        <f>U2478="L001-901905215"</f>
        <v/>
      </c>
      <c r="R2478" s="556">
        <f>G2478-W2478</f>
        <v/>
      </c>
      <c r="S2478" s="521" t="n"/>
      <c r="T2478" s="522" t="n"/>
      <c r="U2478" s="522" t="n"/>
      <c r="V2478" s="522" t="n"/>
      <c r="W2478" s="521" t="n"/>
    </row>
    <row r="2479">
      <c r="A2479" s="521" t="n">
        <v>2471</v>
      </c>
      <c r="B2479" s="522" t="inlineStr">
        <is>
          <t>Lift-On &amp; Lift-Off</t>
        </is>
      </c>
      <c r="C2479" s="522" t="inlineStr">
        <is>
          <t>កំពង់ផែស្វយ័តក្រុងព្រះសីហនុ</t>
        </is>
      </c>
      <c r="D2479" s="522" t="inlineStr">
        <is>
          <t>L001-100044638</t>
        </is>
      </c>
      <c r="E2479" s="521" t="inlineStr">
        <is>
          <t>086092</t>
        </is>
      </c>
      <c r="F2479" s="523" t="n">
        <v>44713</v>
      </c>
      <c r="G2479" s="556" t="n">
        <v>23142</v>
      </c>
      <c r="I2479" s="521">
        <f>G2479</f>
        <v/>
      </c>
      <c r="K2479" s="521">
        <f>I2479-G2479</f>
        <v/>
      </c>
      <c r="M2479" s="522" t="inlineStr">
        <is>
          <t>086092</t>
        </is>
      </c>
      <c r="N2479" s="522" t="inlineStr"/>
      <c r="O2479" s="521">
        <f>M2479=N2479</f>
        <v/>
      </c>
      <c r="P2479" s="521">
        <f>AND(MONTH(F2479)=MONTH(S2479), YEAR(F2479)=YEAR(S2479))</f>
        <v/>
      </c>
      <c r="Q2479" s="521">
        <f>U2479="L001-901905215"</f>
        <v/>
      </c>
      <c r="R2479" s="556">
        <f>G2479-W2479</f>
        <v/>
      </c>
      <c r="S2479" s="521" t="n"/>
      <c r="T2479" s="522" t="n"/>
      <c r="U2479" s="522" t="n"/>
      <c r="V2479" s="522" t="n"/>
      <c r="W2479" s="521" t="n"/>
    </row>
    <row r="2480">
      <c r="A2480" s="521" t="n">
        <v>2472</v>
      </c>
      <c r="B2480" s="522" t="inlineStr">
        <is>
          <t>CLEARNCE &amp; TRUCKING FEE</t>
        </is>
      </c>
      <c r="C2480" s="522" t="inlineStr">
        <is>
          <t>ហុង តុង អ៊ិនធើណេសិនណល ឡូជីស្ទីក ឯ.ក</t>
        </is>
      </c>
      <c r="D2480" s="522" t="inlineStr">
        <is>
          <t>K003-902006166</t>
        </is>
      </c>
      <c r="E2480" s="521" t="inlineStr">
        <is>
          <t>HT220080v</t>
        </is>
      </c>
      <c r="F2480" s="523" t="n">
        <v>44728</v>
      </c>
      <c r="G2480" s="556" t="n">
        <v>252314</v>
      </c>
      <c r="I2480" s="521">
        <f>G2480</f>
        <v/>
      </c>
      <c r="K2480" s="521">
        <f>I2480-G2480</f>
        <v/>
      </c>
      <c r="M2480" s="522" t="inlineStr">
        <is>
          <t>HT220080v</t>
        </is>
      </c>
      <c r="N2480" s="522" t="inlineStr"/>
      <c r="O2480" s="521">
        <f>M2480=N2480</f>
        <v/>
      </c>
      <c r="P2480" s="521">
        <f>AND(MONTH(F2480)=MONTH(S2480), YEAR(F2480)=YEAR(S2480))</f>
        <v/>
      </c>
      <c r="Q2480" s="521">
        <f>U2480="L001-901905215"</f>
        <v/>
      </c>
      <c r="R2480" s="556">
        <f>G2480-W2480</f>
        <v/>
      </c>
      <c r="S2480" s="521" t="n"/>
      <c r="T2480" s="522" t="n"/>
      <c r="U2480" s="522" t="n"/>
      <c r="V2480" s="522" t="n"/>
      <c r="W2480" s="521" t="n"/>
    </row>
    <row r="2481">
      <c r="A2481" s="521" t="n">
        <v>2473</v>
      </c>
      <c r="B2481" s="522" t="inlineStr">
        <is>
          <t>Trucking</t>
        </is>
      </c>
      <c r="C2481" s="522" t="inlineStr">
        <is>
          <t>អ៊ែរ៉ូ ស៊ីបភីង អេជេនស៊ី</t>
        </is>
      </c>
      <c r="D2481" s="522" t="inlineStr">
        <is>
          <t>K004-901635903</t>
        </is>
      </c>
      <c r="E2481" s="521" t="inlineStr">
        <is>
          <t>IKPSA2022518164</t>
        </is>
      </c>
      <c r="F2481" s="523" t="n">
        <v>44713</v>
      </c>
      <c r="G2481" s="556" t="n">
        <v>97200</v>
      </c>
      <c r="I2481" s="521">
        <f>G2481</f>
        <v/>
      </c>
      <c r="K2481" s="521">
        <f>I2481-G2481</f>
        <v/>
      </c>
      <c r="M2481" s="522" t="inlineStr">
        <is>
          <t>IKPSA2022518164</t>
        </is>
      </c>
      <c r="N2481" s="522" t="inlineStr"/>
      <c r="O2481" s="521">
        <f>M2481=N2481</f>
        <v/>
      </c>
      <c r="P2481" s="521">
        <f>AND(MONTH(F2481)=MONTH(S2481), YEAR(F2481)=YEAR(S2481))</f>
        <v/>
      </c>
      <c r="Q2481" s="521">
        <f>U2481="L001-901905215"</f>
        <v/>
      </c>
      <c r="R2481" s="556">
        <f>G2481-W2481</f>
        <v/>
      </c>
      <c r="S2481" s="521" t="n"/>
      <c r="T2481" s="522" t="n"/>
      <c r="U2481" s="522" t="n"/>
      <c r="V2481" s="522" t="n"/>
      <c r="W2481" s="521" t="n"/>
    </row>
    <row r="2482">
      <c r="A2482" s="521" t="n">
        <v>2474</v>
      </c>
      <c r="B2482" s="522" t="inlineStr">
        <is>
          <t>Trucking</t>
        </is>
      </c>
      <c r="C2482" s="522" t="inlineStr">
        <is>
          <t>អ៊ែរ៉ូ ស៊ីបភីង អេជេនស៊ី</t>
        </is>
      </c>
      <c r="D2482" s="522" t="inlineStr">
        <is>
          <t>K004-901635903</t>
        </is>
      </c>
      <c r="E2482" s="521" t="inlineStr">
        <is>
          <t>IKPSA2022518167</t>
        </is>
      </c>
      <c r="F2482" s="523" t="n">
        <v>44713</v>
      </c>
      <c r="G2482" s="556" t="n">
        <v>113400</v>
      </c>
      <c r="I2482" s="521">
        <f>G2482</f>
        <v/>
      </c>
      <c r="K2482" s="521">
        <f>I2482-G2482</f>
        <v/>
      </c>
      <c r="M2482" s="522" t="inlineStr">
        <is>
          <t>IKPSA2022518167</t>
        </is>
      </c>
      <c r="N2482" s="522" t="inlineStr"/>
      <c r="O2482" s="521">
        <f>M2482=N2482</f>
        <v/>
      </c>
      <c r="P2482" s="521">
        <f>AND(MONTH(F2482)=MONTH(S2482), YEAR(F2482)=YEAR(S2482))</f>
        <v/>
      </c>
      <c r="Q2482" s="521">
        <f>U2482="L001-901905215"</f>
        <v/>
      </c>
      <c r="R2482" s="556">
        <f>G2482-W2482</f>
        <v/>
      </c>
      <c r="S2482" s="521" t="n"/>
      <c r="T2482" s="522" t="n"/>
      <c r="U2482" s="522" t="n"/>
      <c r="V2482" s="522" t="n"/>
      <c r="W2482" s="521" t="n"/>
    </row>
    <row r="2483">
      <c r="A2483" s="521" t="n">
        <v>2475</v>
      </c>
      <c r="B2483" s="522" t="inlineStr">
        <is>
          <t>Trucking</t>
        </is>
      </c>
      <c r="C2483" s="522" t="inlineStr">
        <is>
          <t>អ៊ែរ៉ូ ស៊ីបភីង អេជេនស៊ី</t>
        </is>
      </c>
      <c r="D2483" s="522" t="inlineStr">
        <is>
          <t>K004-901635903</t>
        </is>
      </c>
      <c r="E2483" s="521" t="inlineStr">
        <is>
          <t>IKPSA2022518162</t>
        </is>
      </c>
      <c r="F2483" s="523" t="n">
        <v>44713</v>
      </c>
      <c r="G2483" s="556" t="n">
        <v>1841</v>
      </c>
      <c r="I2483" s="521">
        <f>G2483</f>
        <v/>
      </c>
      <c r="K2483" s="521">
        <f>I2483-G2483</f>
        <v/>
      </c>
      <c r="M2483" s="522" t="inlineStr">
        <is>
          <t>IKPSA2022518162</t>
        </is>
      </c>
      <c r="N2483" s="522" t="inlineStr"/>
      <c r="O2483" s="521">
        <f>M2483=N2483</f>
        <v/>
      </c>
      <c r="P2483" s="521">
        <f>AND(MONTH(F2483)=MONTH(S2483), YEAR(F2483)=YEAR(S2483))</f>
        <v/>
      </c>
      <c r="Q2483" s="521">
        <f>U2483="L001-901905215"</f>
        <v/>
      </c>
      <c r="R2483" s="556">
        <f>G2483-W2483</f>
        <v/>
      </c>
      <c r="S2483" s="521" t="n"/>
      <c r="T2483" s="522" t="n"/>
      <c r="U2483" s="522" t="n"/>
      <c r="V2483" s="522" t="n"/>
      <c r="W2483" s="521" t="n"/>
    </row>
    <row r="2484">
      <c r="A2484" s="521" t="n">
        <v>2476</v>
      </c>
      <c r="B2484" s="522" t="inlineStr">
        <is>
          <t>Lift-On &amp; Lift-Off</t>
        </is>
      </c>
      <c r="C2484" s="522" t="inlineStr">
        <is>
          <t>កំពង់ផែស្វយ័តក្រុងព្រះសីហនុ</t>
        </is>
      </c>
      <c r="D2484" s="522" t="inlineStr">
        <is>
          <t>L001-100044638</t>
        </is>
      </c>
      <c r="E2484" s="521" t="inlineStr">
        <is>
          <t>083575</t>
        </is>
      </c>
      <c r="F2484" s="523" t="n">
        <v>44713</v>
      </c>
      <c r="G2484" s="556" t="n">
        <v>35279</v>
      </c>
      <c r="I2484" s="521">
        <f>G2484</f>
        <v/>
      </c>
      <c r="K2484" s="521">
        <f>I2484-G2484</f>
        <v/>
      </c>
      <c r="M2484" s="522" t="inlineStr">
        <is>
          <t>083575</t>
        </is>
      </c>
      <c r="N2484" s="522" t="inlineStr"/>
      <c r="O2484" s="521">
        <f>M2484=N2484</f>
        <v/>
      </c>
      <c r="P2484" s="521">
        <f>AND(MONTH(F2484)=MONTH(S2484), YEAR(F2484)=YEAR(S2484))</f>
        <v/>
      </c>
      <c r="Q2484" s="521">
        <f>U2484="L001-901905215"</f>
        <v/>
      </c>
      <c r="R2484" s="556">
        <f>G2484-W2484</f>
        <v/>
      </c>
      <c r="S2484" s="521" t="n"/>
      <c r="T2484" s="522" t="n"/>
      <c r="U2484" s="522" t="n"/>
      <c r="V2484" s="522" t="n"/>
      <c r="W2484" s="521" t="n"/>
    </row>
    <row r="2485">
      <c r="A2485" s="521" t="n">
        <v>2477</v>
      </c>
      <c r="B2485" s="522" t="inlineStr">
        <is>
          <t>CLEARNCE &amp; TRUCKING FEE</t>
        </is>
      </c>
      <c r="C2485" s="522" t="inlineStr">
        <is>
          <t>ហុង តុង អ៊ិនធើណេសិនណល ឡូជីស្ទីក ឯ.ក</t>
        </is>
      </c>
      <c r="D2485" s="522" t="inlineStr">
        <is>
          <t>K003-902006166</t>
        </is>
      </c>
      <c r="E2485" s="521" t="inlineStr">
        <is>
          <t>HT220079</t>
        </is>
      </c>
      <c r="F2485" s="523" t="n">
        <v>44728</v>
      </c>
      <c r="G2485" s="556" t="n">
        <v>260915</v>
      </c>
      <c r="I2485" s="521">
        <f>G2485</f>
        <v/>
      </c>
      <c r="K2485" s="521">
        <f>I2485-G2485</f>
        <v/>
      </c>
      <c r="M2485" s="522" t="inlineStr">
        <is>
          <t>HT220079</t>
        </is>
      </c>
      <c r="N2485" s="522" t="inlineStr">
        <is>
          <t>HT220079</t>
        </is>
      </c>
      <c r="O2485" s="521">
        <f>M2485=N2485</f>
        <v/>
      </c>
      <c r="P2485" s="521">
        <f>AND(MONTH(F2485)=MONTH(S2485), YEAR(F2485)=YEAR(S2485))</f>
        <v/>
      </c>
      <c r="Q2485" s="521">
        <f>U2485="L001-901905215"</f>
        <v/>
      </c>
      <c r="R2485" s="556">
        <f>G2485-W2485</f>
        <v/>
      </c>
      <c r="S2485" s="523" t="n">
        <v>44728</v>
      </c>
      <c r="T2485" s="522" t="inlineStr">
        <is>
          <t>HT220079</t>
        </is>
      </c>
      <c r="U2485" s="522" t="inlineStr">
        <is>
          <t>L001-901905215</t>
        </is>
      </c>
      <c r="V2485" s="522" t="inlineStr">
        <is>
          <t>វីអ៊ីស៊ិន (ខេមបូឌា) អ៊ិនដាសស្ទ្រី ឯ.ក</t>
        </is>
      </c>
      <c r="W2485" s="556" t="n">
        <v>260915</v>
      </c>
    </row>
    <row r="2486">
      <c r="A2486" s="521" t="n">
        <v>2478</v>
      </c>
      <c r="B2486" s="522" t="inlineStr">
        <is>
          <t>KHCIC</t>
        </is>
      </c>
      <c r="C2486" s="522" t="inlineStr">
        <is>
          <t>អេសអាយធីស៊ី ខិនថេនើរ ឡាញ (ខេមបូឌា)</t>
        </is>
      </c>
      <c r="D2486" s="522" t="inlineStr">
        <is>
          <t>L001-107035863</t>
        </is>
      </c>
      <c r="E2486" s="521" t="inlineStr">
        <is>
          <t>SITC2022-009945</t>
        </is>
      </c>
      <c r="F2486" s="523" t="n">
        <v>44713</v>
      </c>
      <c r="G2486" s="556" t="n">
        <v>224553</v>
      </c>
      <c r="I2486" s="521">
        <f>G2486</f>
        <v/>
      </c>
      <c r="K2486" s="521">
        <f>I2486-G2486</f>
        <v/>
      </c>
      <c r="M2486" s="522" t="inlineStr">
        <is>
          <t>SITC2022009945</t>
        </is>
      </c>
      <c r="N2486" s="522" t="inlineStr"/>
      <c r="O2486" s="521">
        <f>M2486=N2486</f>
        <v/>
      </c>
      <c r="P2486" s="521">
        <f>AND(MONTH(F2486)=MONTH(S2486), YEAR(F2486)=YEAR(S2486))</f>
        <v/>
      </c>
      <c r="Q2486" s="521">
        <f>U2486="L001-901905215"</f>
        <v/>
      </c>
      <c r="R2486" s="556">
        <f>G2486-W2486</f>
        <v/>
      </c>
      <c r="S2486" s="521" t="n"/>
      <c r="T2486" s="522" t="n"/>
      <c r="U2486" s="522" t="n"/>
      <c r="V2486" s="522" t="n"/>
      <c r="W2486" s="521" t="n"/>
    </row>
    <row r="2487">
      <c r="A2487" s="521" t="n">
        <v>2479</v>
      </c>
      <c r="B2487" s="522" t="inlineStr">
        <is>
          <t>Lift-On &amp; Lift-Off</t>
        </is>
      </c>
      <c r="C2487" s="522" t="inlineStr">
        <is>
          <t>កំពង់ផែស្វយ័តក្រុងព្រះសីហនុ</t>
        </is>
      </c>
      <c r="D2487" s="522" t="inlineStr">
        <is>
          <t>L001-100044638</t>
        </is>
      </c>
      <c r="E2487" s="521" t="inlineStr">
        <is>
          <t>080768</t>
        </is>
      </c>
      <c r="F2487" s="523" t="n">
        <v>44713</v>
      </c>
      <c r="G2487" s="556" t="n">
        <v>35235</v>
      </c>
      <c r="I2487" s="521">
        <f>G2487</f>
        <v/>
      </c>
      <c r="K2487" s="521">
        <f>I2487-G2487</f>
        <v/>
      </c>
      <c r="M2487" s="522" t="inlineStr">
        <is>
          <t>080768</t>
        </is>
      </c>
      <c r="N2487" s="522" t="inlineStr"/>
      <c r="O2487" s="521">
        <f>M2487=N2487</f>
        <v/>
      </c>
      <c r="P2487" s="521">
        <f>AND(MONTH(F2487)=MONTH(S2487), YEAR(F2487)=YEAR(S2487))</f>
        <v/>
      </c>
      <c r="Q2487" s="521">
        <f>U2487="L001-901905215"</f>
        <v/>
      </c>
      <c r="R2487" s="556">
        <f>G2487-W2487</f>
        <v/>
      </c>
      <c r="S2487" s="521" t="n"/>
      <c r="T2487" s="522" t="n"/>
      <c r="U2487" s="522" t="n"/>
      <c r="V2487" s="522" t="n"/>
      <c r="W2487" s="521" t="n"/>
    </row>
    <row r="2488">
      <c r="A2488" s="521" t="n">
        <v>2480</v>
      </c>
      <c r="B2488" s="522" t="inlineStr">
        <is>
          <t>CLEARNCE &amp; TRUCKING FEE</t>
        </is>
      </c>
      <c r="C2488" s="522" t="inlineStr">
        <is>
          <t>ហុង តុង អ៊ិនធើណេសិនណល ឡូជីស្ទីក ឯ.ក</t>
        </is>
      </c>
      <c r="D2488" s="522" t="inlineStr">
        <is>
          <t>K003-902006166</t>
        </is>
      </c>
      <c r="E2488" s="521" t="inlineStr">
        <is>
          <t>HT220078</t>
        </is>
      </c>
      <c r="F2488" s="523" t="n">
        <v>44735</v>
      </c>
      <c r="G2488" s="556" t="n">
        <v>260915</v>
      </c>
      <c r="I2488" s="521">
        <f>G2488</f>
        <v/>
      </c>
      <c r="K2488" s="521">
        <f>I2488-G2488</f>
        <v/>
      </c>
      <c r="M2488" s="522" t="inlineStr">
        <is>
          <t>HT220078</t>
        </is>
      </c>
      <c r="N2488" s="522" t="inlineStr">
        <is>
          <t>HT220078</t>
        </is>
      </c>
      <c r="O2488" s="521">
        <f>M2488=N2488</f>
        <v/>
      </c>
      <c r="P2488" s="521">
        <f>AND(MONTH(F2488)=MONTH(S2488), YEAR(F2488)=YEAR(S2488))</f>
        <v/>
      </c>
      <c r="Q2488" s="521">
        <f>U2488="L001-901905215"</f>
        <v/>
      </c>
      <c r="R2488" s="556">
        <f>G2488-W2488</f>
        <v/>
      </c>
      <c r="S2488" s="523" t="n">
        <v>44728</v>
      </c>
      <c r="T2488" s="522" t="inlineStr">
        <is>
          <t>HT220078</t>
        </is>
      </c>
      <c r="U2488" s="522" t="inlineStr">
        <is>
          <t>L001-901905215</t>
        </is>
      </c>
      <c r="V2488" s="522" t="inlineStr">
        <is>
          <t>វីអ៊ីស៊ិន (ខេមបូឌា) អ៊ិនដាសស្ទ្រី ឯ.ក</t>
        </is>
      </c>
      <c r="W2488" s="556" t="n">
        <v>260915</v>
      </c>
    </row>
    <row r="2489">
      <c r="A2489" s="521" t="n">
        <v>2481</v>
      </c>
      <c r="B2489" s="522" t="inlineStr">
        <is>
          <t>Cy Management Fee, Thc Charges, Bl Fee,FCR Fee, VGM Processing Fee</t>
        </is>
      </c>
      <c r="C2489" s="522" t="inlineStr">
        <is>
          <t>អ៊ិចស្ពែឌីធ័រ ខេមបូឌា អិលធីឌី</t>
        </is>
      </c>
      <c r="D2489" s="522" t="inlineStr">
        <is>
          <t>L001-100045898</t>
        </is>
      </c>
      <c r="E2489" s="521" t="inlineStr">
        <is>
          <t>TI-0231087</t>
        </is>
      </c>
      <c r="F2489" s="523" t="n">
        <v>44742</v>
      </c>
      <c r="G2489" s="556" t="n">
        <v>34842</v>
      </c>
      <c r="I2489" s="521">
        <f>G2489</f>
        <v/>
      </c>
      <c r="K2489" s="521">
        <f>I2489-G2489</f>
        <v/>
      </c>
      <c r="M2489" s="522" t="inlineStr">
        <is>
          <t>TI0231087</t>
        </is>
      </c>
      <c r="N2489" s="522" t="inlineStr">
        <is>
          <t>TI0231087</t>
        </is>
      </c>
      <c r="O2489" s="521">
        <f>M2489=N2489</f>
        <v/>
      </c>
      <c r="P2489" s="521">
        <f>AND(MONTH(F2489)=MONTH(S2489), YEAR(F2489)=YEAR(S2489))</f>
        <v/>
      </c>
      <c r="Q2489" s="521">
        <f>U2489="L001-901905215"</f>
        <v/>
      </c>
      <c r="R2489" s="556">
        <f>G2489-W2489</f>
        <v/>
      </c>
      <c r="S2489" s="523" t="n">
        <v>44742</v>
      </c>
      <c r="T2489" s="522" t="inlineStr">
        <is>
          <t>TI-0231087</t>
        </is>
      </c>
      <c r="U2489" s="522" t="inlineStr">
        <is>
          <t>L001-901905215</t>
        </is>
      </c>
      <c r="V2489" s="522" t="inlineStr">
        <is>
          <t>វីអ៊ីស៊ិន (ខេមបូឌា) អ៊ិនដាសស្ទ្រី ឯ.ក</t>
        </is>
      </c>
      <c r="W2489" s="556" t="n">
        <v>34842</v>
      </c>
    </row>
    <row r="2490">
      <c r="A2490" s="521" t="n">
        <v>2482</v>
      </c>
      <c r="B2490" s="522" t="inlineStr">
        <is>
          <t>Cy Management Fee, Thc Charges, Bl Fee,FCR Fee, VGM Processing Fee</t>
        </is>
      </c>
      <c r="C2490" s="522" t="inlineStr">
        <is>
          <t>អ៊ិចស្ពែឌីធ័រ ខេមបូឌា អិលធីឌី</t>
        </is>
      </c>
      <c r="D2490" s="522" t="inlineStr">
        <is>
          <t>L001-100045898</t>
        </is>
      </c>
      <c r="E2490" s="521" t="inlineStr">
        <is>
          <t>TI-0230835</t>
        </is>
      </c>
      <c r="F2490" s="523" t="n">
        <v>44740</v>
      </c>
      <c r="G2490" s="556" t="n">
        <v>65830</v>
      </c>
      <c r="I2490" s="521">
        <f>G2490</f>
        <v/>
      </c>
      <c r="K2490" s="521">
        <f>I2490-G2490</f>
        <v/>
      </c>
      <c r="M2490" s="522" t="inlineStr">
        <is>
          <t>TI0230835</t>
        </is>
      </c>
      <c r="N2490" s="522" t="inlineStr">
        <is>
          <t>TI0230835</t>
        </is>
      </c>
      <c r="O2490" s="521">
        <f>M2490=N2490</f>
        <v/>
      </c>
      <c r="P2490" s="521">
        <f>AND(MONTH(F2490)=MONTH(S2490), YEAR(F2490)=YEAR(S2490))</f>
        <v/>
      </c>
      <c r="Q2490" s="521">
        <f>U2490="L001-901905215"</f>
        <v/>
      </c>
      <c r="R2490" s="556">
        <f>G2490-W2490</f>
        <v/>
      </c>
      <c r="S2490" s="523" t="n">
        <v>44740</v>
      </c>
      <c r="T2490" s="522" t="inlineStr">
        <is>
          <t>TI-0230835</t>
        </is>
      </c>
      <c r="U2490" s="522" t="inlineStr">
        <is>
          <t>L001-901905215</t>
        </is>
      </c>
      <c r="V2490" s="522" t="inlineStr">
        <is>
          <t>វីអ៊ីស៊ិន (ខេមបូឌា) អ៊ិនដាសស្ទ្រី ឯ.ក</t>
        </is>
      </c>
      <c r="W2490" s="556" t="n">
        <v>65823</v>
      </c>
    </row>
    <row r="2491">
      <c r="A2491" s="521" t="n">
        <v>2483</v>
      </c>
      <c r="B2491" s="522" t="inlineStr">
        <is>
          <t>Cy Management Fee, Thc Charges, Bl Fee,FCR Fee, VGM Processing Fee</t>
        </is>
      </c>
      <c r="C2491" s="522" t="inlineStr">
        <is>
          <t>អ៊ិចស្ពែឌីធ័រ ខេមបូឌា អិលធីឌី</t>
        </is>
      </c>
      <c r="D2491" s="522" t="inlineStr">
        <is>
          <t>L001-100045898</t>
        </is>
      </c>
      <c r="E2491" s="521" t="inlineStr">
        <is>
          <t>TI-0230831</t>
        </is>
      </c>
      <c r="F2491" s="523" t="n">
        <v>44740</v>
      </c>
      <c r="G2491" s="556" t="n">
        <v>341212</v>
      </c>
      <c r="I2491" s="521">
        <f>G2491</f>
        <v/>
      </c>
      <c r="K2491" s="521">
        <f>I2491-G2491</f>
        <v/>
      </c>
      <c r="M2491" s="522" t="inlineStr">
        <is>
          <t>TI0230831</t>
        </is>
      </c>
      <c r="N2491" s="522" t="inlineStr">
        <is>
          <t>TI0230831</t>
        </is>
      </c>
      <c r="O2491" s="521">
        <f>M2491=N2491</f>
        <v/>
      </c>
      <c r="P2491" s="521">
        <f>AND(MONTH(F2491)=MONTH(S2491), YEAR(F2491)=YEAR(S2491))</f>
        <v/>
      </c>
      <c r="Q2491" s="521">
        <f>U2491="L001-901905215"</f>
        <v/>
      </c>
      <c r="R2491" s="556">
        <f>G2491-W2491</f>
        <v/>
      </c>
      <c r="S2491" s="523" t="n">
        <v>44740</v>
      </c>
      <c r="T2491" s="522" t="inlineStr">
        <is>
          <t>TI-0230831</t>
        </is>
      </c>
      <c r="U2491" s="522" t="inlineStr">
        <is>
          <t>L001-901905215</t>
        </is>
      </c>
      <c r="V2491" s="522" t="inlineStr">
        <is>
          <t>វីអ៊ីស៊ិន (ខេមបូឌា) អ៊ិនដាសស្ទ្រី ឯ.ក</t>
        </is>
      </c>
      <c r="W2491" s="556" t="n">
        <v>341197</v>
      </c>
    </row>
    <row r="2492">
      <c r="A2492" s="521" t="n">
        <v>2484</v>
      </c>
      <c r="B2492" s="522" t="inlineStr">
        <is>
          <t>Cy Management Fee, Thc Charges, Bl Fee,FCR Fee, VGM Processing Fee</t>
        </is>
      </c>
      <c r="C2492" s="522" t="inlineStr">
        <is>
          <t>អ៊ិចស្ពែឌីធ័រ ខេមបូឌា អិលធីឌី</t>
        </is>
      </c>
      <c r="D2492" s="522" t="inlineStr">
        <is>
          <t>L001-100045898</t>
        </is>
      </c>
      <c r="E2492" s="521" t="inlineStr">
        <is>
          <t>TI-0230828</t>
        </is>
      </c>
      <c r="F2492" s="523" t="n">
        <v>44740</v>
      </c>
      <c r="G2492" s="556" t="n">
        <v>217907</v>
      </c>
      <c r="I2492" s="521">
        <f>G2492</f>
        <v/>
      </c>
      <c r="K2492" s="521">
        <f>I2492-G2492</f>
        <v/>
      </c>
      <c r="M2492" s="522" t="inlineStr">
        <is>
          <t>TI0230828</t>
        </is>
      </c>
      <c r="N2492" s="522" t="inlineStr">
        <is>
          <t>TI0230828</t>
        </is>
      </c>
      <c r="O2492" s="521">
        <f>M2492=N2492</f>
        <v/>
      </c>
      <c r="P2492" s="521">
        <f>AND(MONTH(F2492)=MONTH(S2492), YEAR(F2492)=YEAR(S2492))</f>
        <v/>
      </c>
      <c r="Q2492" s="521">
        <f>U2492="L001-901905215"</f>
        <v/>
      </c>
      <c r="R2492" s="556">
        <f>G2492-W2492</f>
        <v/>
      </c>
      <c r="S2492" s="523" t="n">
        <v>44740</v>
      </c>
      <c r="T2492" s="522" t="inlineStr">
        <is>
          <t>TI-0230828</t>
        </is>
      </c>
      <c r="U2492" s="522" t="inlineStr">
        <is>
          <t>L001-901905215</t>
        </is>
      </c>
      <c r="V2492" s="522" t="inlineStr">
        <is>
          <t>វីអ៊ីស៊ិន (ខេមបូឌា) អ៊ិនដាសស្ទ្រី ឯ.ក</t>
        </is>
      </c>
      <c r="W2492" s="556" t="n">
        <v>217907</v>
      </c>
    </row>
    <row r="2493">
      <c r="A2493" s="521" t="n">
        <v>2485</v>
      </c>
      <c r="B2493" s="522" t="inlineStr">
        <is>
          <t>Cy Management Fee, Thc Charges, Bl Fee,FCR Fee, VGM Processing Fee</t>
        </is>
      </c>
      <c r="C2493" s="522" t="inlineStr">
        <is>
          <t>អ៊ិចស្ពែឌីធ័រ ខេមបូឌា អិលធីឌី</t>
        </is>
      </c>
      <c r="D2493" s="522" t="inlineStr">
        <is>
          <t>L001-100045898</t>
        </is>
      </c>
      <c r="E2493" s="521" t="inlineStr">
        <is>
          <t>TI-0230827</t>
        </is>
      </c>
      <c r="F2493" s="523" t="n">
        <v>44740</v>
      </c>
      <c r="G2493" s="556" t="n">
        <v>222003</v>
      </c>
      <c r="I2493" s="521">
        <f>G2493</f>
        <v/>
      </c>
      <c r="K2493" s="521">
        <f>I2493-G2493</f>
        <v/>
      </c>
      <c r="M2493" s="522" t="inlineStr">
        <is>
          <t>TI0230827</t>
        </is>
      </c>
      <c r="N2493" s="522" t="inlineStr">
        <is>
          <t>TI0230827</t>
        </is>
      </c>
      <c r="O2493" s="521">
        <f>M2493=N2493</f>
        <v/>
      </c>
      <c r="P2493" s="521">
        <f>AND(MONTH(F2493)=MONTH(S2493), YEAR(F2493)=YEAR(S2493))</f>
        <v/>
      </c>
      <c r="Q2493" s="521">
        <f>U2493="L001-901905215"</f>
        <v/>
      </c>
      <c r="R2493" s="556">
        <f>G2493-W2493</f>
        <v/>
      </c>
      <c r="S2493" s="523" t="n">
        <v>44740</v>
      </c>
      <c r="T2493" s="522" t="inlineStr">
        <is>
          <t>TI-0230827</t>
        </is>
      </c>
      <c r="U2493" s="522" t="inlineStr">
        <is>
          <t>L001-901905215</t>
        </is>
      </c>
      <c r="V2493" s="522" t="inlineStr">
        <is>
          <t>វីអ៊ីស៊ិន (ខេមបូឌា) អ៊ិនដាសស្ទ្រី ឯ.ក</t>
        </is>
      </c>
      <c r="W2493" s="556" t="n">
        <v>222003</v>
      </c>
    </row>
    <row r="2494">
      <c r="A2494" s="521" t="n">
        <v>2486</v>
      </c>
      <c r="B2494" s="522" t="inlineStr">
        <is>
          <t>Cy Management Fee, Thc Charges, Bl Fee,FCR Fee, VGM Processing Fee</t>
        </is>
      </c>
      <c r="C2494" s="522" t="inlineStr">
        <is>
          <t>អ៊ិចស្ពែឌីធ័រ ខេមបូឌា អិលធីឌី</t>
        </is>
      </c>
      <c r="D2494" s="522" t="inlineStr">
        <is>
          <t>L001-100045898</t>
        </is>
      </c>
      <c r="E2494" s="521" t="inlineStr">
        <is>
          <t>TI-0230825</t>
        </is>
      </c>
      <c r="F2494" s="523" t="n">
        <v>44740</v>
      </c>
      <c r="G2494" s="556" t="n">
        <v>614635</v>
      </c>
      <c r="I2494" s="521">
        <f>G2494</f>
        <v/>
      </c>
      <c r="K2494" s="521">
        <f>I2494-G2494</f>
        <v/>
      </c>
      <c r="M2494" s="522" t="inlineStr">
        <is>
          <t>TI0230825</t>
        </is>
      </c>
      <c r="N2494" s="522" t="inlineStr">
        <is>
          <t>TI0230825</t>
        </is>
      </c>
      <c r="O2494" s="521">
        <f>M2494=N2494</f>
        <v/>
      </c>
      <c r="P2494" s="521">
        <f>AND(MONTH(F2494)=MONTH(S2494), YEAR(F2494)=YEAR(S2494))</f>
        <v/>
      </c>
      <c r="Q2494" s="521">
        <f>U2494="L001-901905215"</f>
        <v/>
      </c>
      <c r="R2494" s="556">
        <f>G2494-W2494</f>
        <v/>
      </c>
      <c r="S2494" s="523" t="n">
        <v>44740</v>
      </c>
      <c r="T2494" s="522" t="inlineStr">
        <is>
          <t>TI-0230825</t>
        </is>
      </c>
      <c r="U2494" s="522" t="inlineStr">
        <is>
          <t>L001-901905215</t>
        </is>
      </c>
      <c r="V2494" s="522" t="inlineStr">
        <is>
          <t>វីអ៊ីស៊ិន (ខេមបូឌា) អ៊ិនដាសស្ទ្រី ឯ.ក</t>
        </is>
      </c>
      <c r="W2494" s="556" t="n">
        <v>614646</v>
      </c>
    </row>
    <row r="2495">
      <c r="A2495" s="521" t="n">
        <v>2487</v>
      </c>
      <c r="B2495" s="522" t="inlineStr">
        <is>
          <t>Cy Management Fee, Thc Charges, Bl Fee,FCR Fee, VGM Processing Fee</t>
        </is>
      </c>
      <c r="C2495" s="522" t="inlineStr">
        <is>
          <t>អ៊ិចស្ពែឌីធ័រ ខេមបូឌា អិលធីឌី</t>
        </is>
      </c>
      <c r="D2495" s="522" t="inlineStr">
        <is>
          <t>L001-100045898</t>
        </is>
      </c>
      <c r="E2495" s="521" t="inlineStr">
        <is>
          <t>TI-0230822</t>
        </is>
      </c>
      <c r="F2495" s="523" t="n">
        <v>44740</v>
      </c>
      <c r="G2495" s="556" t="n">
        <v>470429</v>
      </c>
      <c r="I2495" s="521">
        <f>G2495</f>
        <v/>
      </c>
      <c r="K2495" s="521">
        <f>I2495-G2495</f>
        <v/>
      </c>
      <c r="M2495" s="522" t="inlineStr">
        <is>
          <t>TI0230822</t>
        </is>
      </c>
      <c r="N2495" s="522" t="inlineStr">
        <is>
          <t>TI0230822</t>
        </is>
      </c>
      <c r="O2495" s="521">
        <f>M2495=N2495</f>
        <v/>
      </c>
      <c r="P2495" s="521">
        <f>AND(MONTH(F2495)=MONTH(S2495), YEAR(F2495)=YEAR(S2495))</f>
        <v/>
      </c>
      <c r="Q2495" s="521">
        <f>U2495="L001-901905215"</f>
        <v/>
      </c>
      <c r="R2495" s="556">
        <f>G2495-W2495</f>
        <v/>
      </c>
      <c r="S2495" s="523" t="n">
        <v>44740</v>
      </c>
      <c r="T2495" s="522" t="inlineStr">
        <is>
          <t>TI-0230822</t>
        </is>
      </c>
      <c r="U2495" s="522" t="inlineStr">
        <is>
          <t>L001-901905215</t>
        </is>
      </c>
      <c r="V2495" s="522" t="inlineStr">
        <is>
          <t>វីអ៊ីស៊ិន (ខេមបូឌា) អ៊ិនដាសស្ទ្រី ឯ.ក</t>
        </is>
      </c>
      <c r="W2495" s="556" t="n">
        <v>470426</v>
      </c>
    </row>
    <row r="2496">
      <c r="A2496" s="521" t="n">
        <v>2488</v>
      </c>
      <c r="B2496" s="522" t="inlineStr">
        <is>
          <t>Cy Management Fee, Thc Charges, Bl Fee,FCR Fee, VGM Processing Fee</t>
        </is>
      </c>
      <c r="C2496" s="522" t="inlineStr">
        <is>
          <t>អ៊ិចស្ពែឌីធ័រ ខេមបូឌា អិលធីឌី</t>
        </is>
      </c>
      <c r="D2496" s="522" t="inlineStr">
        <is>
          <t>L001-100045898</t>
        </is>
      </c>
      <c r="E2496" s="521" t="inlineStr">
        <is>
          <t>TI-0230291</t>
        </is>
      </c>
      <c r="F2496" s="523" t="n">
        <v>44733</v>
      </c>
      <c r="G2496" s="556" t="n">
        <v>312934</v>
      </c>
      <c r="I2496" s="521">
        <f>G2496</f>
        <v/>
      </c>
      <c r="K2496" s="521">
        <f>I2496-G2496</f>
        <v/>
      </c>
      <c r="M2496" s="522" t="inlineStr">
        <is>
          <t>TI0230291</t>
        </is>
      </c>
      <c r="N2496" s="522" t="inlineStr">
        <is>
          <t>TI0230291</t>
        </is>
      </c>
      <c r="O2496" s="521">
        <f>M2496=N2496</f>
        <v/>
      </c>
      <c r="P2496" s="521">
        <f>AND(MONTH(F2496)=MONTH(S2496), YEAR(F2496)=YEAR(S2496))</f>
        <v/>
      </c>
      <c r="Q2496" s="521">
        <f>U2496="L001-901905215"</f>
        <v/>
      </c>
      <c r="R2496" s="556">
        <f>G2496-W2496</f>
        <v/>
      </c>
      <c r="S2496" s="523" t="n">
        <v>44733</v>
      </c>
      <c r="T2496" s="522" t="inlineStr">
        <is>
          <t>TI-0230291</t>
        </is>
      </c>
      <c r="U2496" s="522" t="inlineStr">
        <is>
          <t>L001-901905215</t>
        </is>
      </c>
      <c r="V2496" s="522" t="inlineStr">
        <is>
          <t>វីអ៊ីស៊ិន (ខេមបូឌា) អ៊ិនដាសស្ទ្រី ឯ.ក</t>
        </is>
      </c>
      <c r="W2496" s="556" t="n">
        <v>313011</v>
      </c>
    </row>
    <row r="2497">
      <c r="A2497" s="521" t="n">
        <v>2489</v>
      </c>
      <c r="B2497" s="522" t="inlineStr">
        <is>
          <t>Cy Management Fee, Thc Charges, Bl Fee,FCR Fee, VGM Processing Fee</t>
        </is>
      </c>
      <c r="C2497" s="522" t="inlineStr">
        <is>
          <t>អ៊ិចស្ពែឌីធ័រ ខេមបូឌា អិលធីឌី</t>
        </is>
      </c>
      <c r="D2497" s="522" t="inlineStr">
        <is>
          <t>L001-100045898</t>
        </is>
      </c>
      <c r="E2497" s="521" t="inlineStr">
        <is>
          <t>TI-0230288</t>
        </is>
      </c>
      <c r="F2497" s="523" t="n">
        <v>44733</v>
      </c>
      <c r="G2497" s="556" t="n">
        <v>501652</v>
      </c>
      <c r="I2497" s="521">
        <f>G2497</f>
        <v/>
      </c>
      <c r="K2497" s="521">
        <f>I2497-G2497</f>
        <v/>
      </c>
      <c r="M2497" s="522" t="inlineStr">
        <is>
          <t>TI0230288</t>
        </is>
      </c>
      <c r="N2497" s="522" t="inlineStr">
        <is>
          <t>TI0230288</t>
        </is>
      </c>
      <c r="O2497" s="521">
        <f>M2497=N2497</f>
        <v/>
      </c>
      <c r="P2497" s="521">
        <f>AND(MONTH(F2497)=MONTH(S2497), YEAR(F2497)=YEAR(S2497))</f>
        <v/>
      </c>
      <c r="Q2497" s="521">
        <f>U2497="L001-901905215"</f>
        <v/>
      </c>
      <c r="R2497" s="556">
        <f>G2497-W2497</f>
        <v/>
      </c>
      <c r="S2497" s="523" t="n">
        <v>44733</v>
      </c>
      <c r="T2497" s="522" t="inlineStr">
        <is>
          <t>TI-0230288</t>
        </is>
      </c>
      <c r="U2497" s="522" t="inlineStr">
        <is>
          <t>L001-901905215</t>
        </is>
      </c>
      <c r="V2497" s="522" t="inlineStr">
        <is>
          <t>វីអ៊ីស៊ិន (ខេមបូឌា) អ៊ិនដាសស្ទ្រី ឯ.ក</t>
        </is>
      </c>
      <c r="W2497" s="556" t="n">
        <v>501760</v>
      </c>
    </row>
    <row r="2498">
      <c r="A2498" s="521" t="n">
        <v>2490</v>
      </c>
      <c r="B2498" s="522" t="inlineStr">
        <is>
          <t>Cy Management Fee, Thc Charges, Bl Fee,FCR Fee, VGM Processing Fee</t>
        </is>
      </c>
      <c r="C2498" s="522" t="inlineStr">
        <is>
          <t>អ៊ិចស្ពែឌីធ័រ ខេមបូឌា អិលធីឌី</t>
        </is>
      </c>
      <c r="D2498" s="522" t="inlineStr">
        <is>
          <t>L001-100045898</t>
        </is>
      </c>
      <c r="E2498" s="521" t="inlineStr">
        <is>
          <t>TI-0230275</t>
        </is>
      </c>
      <c r="F2498" s="523" t="n">
        <v>44733</v>
      </c>
      <c r="G2498" s="556" t="n">
        <v>54648</v>
      </c>
      <c r="I2498" s="521">
        <f>G2498</f>
        <v/>
      </c>
      <c r="K2498" s="521">
        <f>I2498-G2498</f>
        <v/>
      </c>
      <c r="M2498" s="522" t="inlineStr">
        <is>
          <t>TI0230275</t>
        </is>
      </c>
      <c r="N2498" s="522" t="inlineStr">
        <is>
          <t>TI0230275</t>
        </is>
      </c>
      <c r="O2498" s="521">
        <f>M2498=N2498</f>
        <v/>
      </c>
      <c r="P2498" s="521">
        <f>AND(MONTH(F2498)=MONTH(S2498), YEAR(F2498)=YEAR(S2498))</f>
        <v/>
      </c>
      <c r="Q2498" s="521">
        <f>U2498="L001-901905215"</f>
        <v/>
      </c>
      <c r="R2498" s="556">
        <f>G2498-W2498</f>
        <v/>
      </c>
      <c r="S2498" s="523" t="n">
        <v>44733</v>
      </c>
      <c r="T2498" s="522" t="inlineStr">
        <is>
          <t>TI-0230275</t>
        </is>
      </c>
      <c r="U2498" s="522" t="inlineStr">
        <is>
          <t>L001-901905215</t>
        </is>
      </c>
      <c r="V2498" s="522" t="inlineStr">
        <is>
          <t>វីអ៊ីស៊ិន (ខេមបូឌា) អ៊ិនដាសស្ទ្រី ឯ.ក</t>
        </is>
      </c>
      <c r="W2498" s="556" t="n">
        <v>54654</v>
      </c>
    </row>
    <row r="2499">
      <c r="A2499" s="521" t="n">
        <v>2491</v>
      </c>
      <c r="B2499" s="522" t="inlineStr">
        <is>
          <t>Cy Management Fee, Thc Charges, Bl Fee,FCR Fee, VGM Processing Fee</t>
        </is>
      </c>
      <c r="C2499" s="522" t="inlineStr">
        <is>
          <t>អ៊ិចស្ពែឌីធ័រ ខេមបូឌា អិលធីឌី</t>
        </is>
      </c>
      <c r="D2499" s="522" t="inlineStr">
        <is>
          <t>L001-100045898</t>
        </is>
      </c>
      <c r="E2499" s="521" t="inlineStr">
        <is>
          <t>TI-0230259</t>
        </is>
      </c>
      <c r="F2499" s="523" t="n">
        <v>44733</v>
      </c>
      <c r="G2499" s="556" t="n">
        <v>217907</v>
      </c>
      <c r="I2499" s="521">
        <f>G2499</f>
        <v/>
      </c>
      <c r="K2499" s="521">
        <f>I2499-G2499</f>
        <v/>
      </c>
      <c r="M2499" s="522" t="inlineStr">
        <is>
          <t>TI0230259</t>
        </is>
      </c>
      <c r="N2499" s="522" t="inlineStr">
        <is>
          <t>TI0230259</t>
        </is>
      </c>
      <c r="O2499" s="521">
        <f>M2499=N2499</f>
        <v/>
      </c>
      <c r="P2499" s="521">
        <f>AND(MONTH(F2499)=MONTH(S2499), YEAR(F2499)=YEAR(S2499))</f>
        <v/>
      </c>
      <c r="Q2499" s="521">
        <f>U2499="L001-901905215"</f>
        <v/>
      </c>
      <c r="R2499" s="556">
        <f>G2499-W2499</f>
        <v/>
      </c>
      <c r="S2499" s="523" t="n">
        <v>44733</v>
      </c>
      <c r="T2499" s="522" t="inlineStr">
        <is>
          <t>TI-0230259</t>
        </is>
      </c>
      <c r="U2499" s="522" t="inlineStr">
        <is>
          <t>L001-901905215</t>
        </is>
      </c>
      <c r="V2499" s="522" t="inlineStr">
        <is>
          <t>វីអ៊ីស៊ិន (ខេមបូឌា) អ៊ិនដាសស្ទ្រី ឯ.ក</t>
        </is>
      </c>
      <c r="W2499" s="556" t="n">
        <v>217960</v>
      </c>
    </row>
    <row r="2500">
      <c r="A2500" s="521" t="n">
        <v>2492</v>
      </c>
      <c r="B2500" s="522" t="inlineStr">
        <is>
          <t>Cy Management Fee, Thc Charges, Bl Fee,FCR Fee, VGM Processing Fee</t>
        </is>
      </c>
      <c r="C2500" s="522" t="inlineStr">
        <is>
          <t>អ៊ិចស្ពែឌីធ័រ ខេមបូឌា អិលធីឌី</t>
        </is>
      </c>
      <c r="D2500" s="522" t="inlineStr">
        <is>
          <t>L001-100045898</t>
        </is>
      </c>
      <c r="E2500" s="521" t="inlineStr">
        <is>
          <t>TI-0230248</t>
        </is>
      </c>
      <c r="F2500" s="523" t="n">
        <v>44733</v>
      </c>
      <c r="G2500" s="556" t="n">
        <v>328704</v>
      </c>
      <c r="I2500" s="521">
        <f>G2500</f>
        <v/>
      </c>
      <c r="K2500" s="521">
        <f>I2500-G2500</f>
        <v/>
      </c>
      <c r="M2500" s="522" t="inlineStr">
        <is>
          <t>TI0230248</t>
        </is>
      </c>
      <c r="N2500" s="522" t="inlineStr">
        <is>
          <t>TI0230248</t>
        </is>
      </c>
      <c r="O2500" s="521">
        <f>M2500=N2500</f>
        <v/>
      </c>
      <c r="P2500" s="521">
        <f>AND(MONTH(F2500)=MONTH(S2500), YEAR(F2500)=YEAR(S2500))</f>
        <v/>
      </c>
      <c r="Q2500" s="521">
        <f>U2500="L001-901905215"</f>
        <v/>
      </c>
      <c r="R2500" s="556">
        <f>G2500-W2500</f>
        <v/>
      </c>
      <c r="S2500" s="523" t="n">
        <v>44733</v>
      </c>
      <c r="T2500" s="522" t="inlineStr">
        <is>
          <t>TI-0230248</t>
        </is>
      </c>
      <c r="U2500" s="522" t="inlineStr">
        <is>
          <t>L001-901905215</t>
        </is>
      </c>
      <c r="V2500" s="522" t="inlineStr">
        <is>
          <t>វីអ៊ីស៊ិន (ខេមបូឌា) អ៊ិនដាសស្ទ្រី ឯ.ក</t>
        </is>
      </c>
      <c r="W2500" s="556" t="n">
        <v>328784</v>
      </c>
    </row>
    <row r="2501">
      <c r="A2501" s="521" t="n">
        <v>2493</v>
      </c>
      <c r="B2501" s="522" t="inlineStr">
        <is>
          <t>Cy Management Fee, Thc Charges, Bl Fee,FCR Fee, VGM Processing Fee</t>
        </is>
      </c>
      <c r="C2501" s="522" t="inlineStr">
        <is>
          <t>អ៊ិចស្ពែឌីធ័រ ខេមបូឌា អិលធីឌី</t>
        </is>
      </c>
      <c r="D2501" s="522" t="inlineStr">
        <is>
          <t>L001-100045898</t>
        </is>
      </c>
      <c r="E2501" s="521" t="inlineStr">
        <is>
          <t>TI-0230228</t>
        </is>
      </c>
      <c r="F2501" s="523" t="n">
        <v>44733</v>
      </c>
      <c r="G2501" s="556" t="n">
        <v>222003</v>
      </c>
      <c r="I2501" s="521">
        <f>G2501</f>
        <v/>
      </c>
      <c r="K2501" s="521">
        <f>I2501-G2501</f>
        <v/>
      </c>
      <c r="M2501" s="522" t="inlineStr">
        <is>
          <t>TI0230228</t>
        </is>
      </c>
      <c r="N2501" s="522" t="inlineStr">
        <is>
          <t>TI0230228</t>
        </is>
      </c>
      <c r="O2501" s="521">
        <f>M2501=N2501</f>
        <v/>
      </c>
      <c r="P2501" s="521">
        <f>AND(MONTH(F2501)=MONTH(S2501), YEAR(F2501)=YEAR(S2501))</f>
        <v/>
      </c>
      <c r="Q2501" s="521">
        <f>U2501="L001-901905215"</f>
        <v/>
      </c>
      <c r="R2501" s="556">
        <f>G2501-W2501</f>
        <v/>
      </c>
      <c r="S2501" s="523" t="n">
        <v>44733</v>
      </c>
      <c r="T2501" s="522" t="inlineStr">
        <is>
          <t>TI-0230228</t>
        </is>
      </c>
      <c r="U2501" s="522" t="inlineStr">
        <is>
          <t>L001-901905215</t>
        </is>
      </c>
      <c r="V2501" s="522" t="inlineStr">
        <is>
          <t>វីអ៊ីស៊ិន (ខេមបូឌា) អ៊ិនដាសស្ទ្រី ឯ.ក</t>
        </is>
      </c>
      <c r="W2501" s="556" t="n">
        <v>222057</v>
      </c>
    </row>
    <row r="2502">
      <c r="A2502" s="521" t="n">
        <v>2494</v>
      </c>
      <c r="B2502" s="522" t="inlineStr">
        <is>
          <t>Cy Management Fee, Thc Charges, Bl Fee,FCR Fee, VGM Processing Fee</t>
        </is>
      </c>
      <c r="C2502" s="522" t="inlineStr">
        <is>
          <t>អ៊ិចស្ពែឌីធ័រ ខេមបូឌា អិលធីឌី</t>
        </is>
      </c>
      <c r="D2502" s="522" t="inlineStr">
        <is>
          <t>L001-100045898</t>
        </is>
      </c>
      <c r="E2502" s="521" t="inlineStr">
        <is>
          <t>TI-0230157</t>
        </is>
      </c>
      <c r="F2502" s="523" t="n">
        <v>44733</v>
      </c>
      <c r="G2502" s="556" t="n">
        <v>16384</v>
      </c>
      <c r="I2502" s="521">
        <f>G2502</f>
        <v/>
      </c>
      <c r="K2502" s="521">
        <f>I2502-G2502</f>
        <v/>
      </c>
      <c r="M2502" s="522" t="inlineStr">
        <is>
          <t>TI0230157</t>
        </is>
      </c>
      <c r="N2502" s="522" t="inlineStr">
        <is>
          <t>TI0230157</t>
        </is>
      </c>
      <c r="O2502" s="521">
        <f>M2502=N2502</f>
        <v/>
      </c>
      <c r="P2502" s="521">
        <f>AND(MONTH(F2502)=MONTH(S2502), YEAR(F2502)=YEAR(S2502))</f>
        <v/>
      </c>
      <c r="Q2502" s="521">
        <f>U2502="L001-901905215"</f>
        <v/>
      </c>
      <c r="R2502" s="556">
        <f>G2502-W2502</f>
        <v/>
      </c>
      <c r="S2502" s="523" t="n">
        <v>44733</v>
      </c>
      <c r="T2502" s="522" t="inlineStr">
        <is>
          <t>TI-0230157</t>
        </is>
      </c>
      <c r="U2502" s="522" t="inlineStr">
        <is>
          <t>L001-901905215</t>
        </is>
      </c>
      <c r="V2502" s="522" t="inlineStr">
        <is>
          <t>វីអ៊ីស៊ិន (ខេមបូឌា) អ៊ិនដាសស្ទ្រី ឯ.ក</t>
        </is>
      </c>
      <c r="W2502" s="556" t="n">
        <v>16384</v>
      </c>
    </row>
    <row r="2503">
      <c r="A2503" s="521" t="n">
        <v>2495</v>
      </c>
      <c r="B2503" s="522" t="inlineStr">
        <is>
          <t>Cy Management Fee, Thc Charges, Bl Fee,FCR Fee, VGM Processing Fee</t>
        </is>
      </c>
      <c r="C2503" s="522" t="inlineStr">
        <is>
          <t>អ៊ិចស្ពែឌីធ័រ ខេមបូឌា អិលធីឌី</t>
        </is>
      </c>
      <c r="D2503" s="522" t="inlineStr">
        <is>
          <t>L001-100045898</t>
        </is>
      </c>
      <c r="E2503" s="521" t="inlineStr">
        <is>
          <t>TI-0229755</t>
        </is>
      </c>
      <c r="F2503" s="523" t="n">
        <v>44726</v>
      </c>
      <c r="G2503" s="556" t="n">
        <v>163061</v>
      </c>
      <c r="I2503" s="521">
        <f>G2503</f>
        <v/>
      </c>
      <c r="K2503" s="521">
        <f>I2503-G2503</f>
        <v/>
      </c>
      <c r="M2503" s="522" t="inlineStr">
        <is>
          <t>TI0229755</t>
        </is>
      </c>
      <c r="N2503" s="522" t="inlineStr">
        <is>
          <t>TI0229755</t>
        </is>
      </c>
      <c r="O2503" s="521">
        <f>M2503=N2503</f>
        <v/>
      </c>
      <c r="P2503" s="521">
        <f>AND(MONTH(F2503)=MONTH(S2503), YEAR(F2503)=YEAR(S2503))</f>
        <v/>
      </c>
      <c r="Q2503" s="521">
        <f>U2503="L001-901905215"</f>
        <v/>
      </c>
      <c r="R2503" s="556">
        <f>G2503-W2503</f>
        <v/>
      </c>
      <c r="S2503" s="523" t="n">
        <v>44726</v>
      </c>
      <c r="T2503" s="522" t="inlineStr">
        <is>
          <t>TI-0229755</t>
        </is>
      </c>
      <c r="U2503" s="522" t="inlineStr">
        <is>
          <t>L001-901905215</t>
        </is>
      </c>
      <c r="V2503" s="522" t="inlineStr">
        <is>
          <t>វីអ៊ីស៊ិន (ខេមបូឌា) អ៊ិនដាសស្ទ្រី ឯ.ក</t>
        </is>
      </c>
      <c r="W2503" s="556" t="n">
        <v>163061</v>
      </c>
    </row>
    <row r="2504">
      <c r="A2504" s="521" t="n">
        <v>2496</v>
      </c>
      <c r="B2504" s="522" t="inlineStr">
        <is>
          <t>Cy Management Fee, Thc Charges, Bl Fee,FCR Fee, VGM Processing Fee</t>
        </is>
      </c>
      <c r="C2504" s="522" t="inlineStr">
        <is>
          <t>អ៊ិចស្ពែឌីធ័រ ខេមបូឌា អិលធីឌី</t>
        </is>
      </c>
      <c r="D2504" s="522" t="inlineStr">
        <is>
          <t>L001-100045898</t>
        </is>
      </c>
      <c r="E2504" s="521" t="inlineStr">
        <is>
          <t>TI-0229723</t>
        </is>
      </c>
      <c r="F2504" s="523" t="n">
        <v>44726</v>
      </c>
      <c r="G2504" s="556" t="n">
        <v>283136</v>
      </c>
      <c r="I2504" s="521">
        <f>G2504</f>
        <v/>
      </c>
      <c r="K2504" s="521">
        <f>I2504-G2504</f>
        <v/>
      </c>
      <c r="M2504" s="522" t="inlineStr">
        <is>
          <t>TI0229723</t>
        </is>
      </c>
      <c r="N2504" s="522" t="inlineStr">
        <is>
          <t>TI0229723</t>
        </is>
      </c>
      <c r="O2504" s="521">
        <f>M2504=N2504</f>
        <v/>
      </c>
      <c r="P2504" s="521">
        <f>AND(MONTH(F2504)=MONTH(S2504), YEAR(F2504)=YEAR(S2504))</f>
        <v/>
      </c>
      <c r="Q2504" s="521">
        <f>U2504="L001-901905215"</f>
        <v/>
      </c>
      <c r="R2504" s="556">
        <f>G2504-W2504</f>
        <v/>
      </c>
      <c r="S2504" s="523" t="n">
        <v>44726</v>
      </c>
      <c r="T2504" s="522" t="inlineStr">
        <is>
          <t>TI-0229723</t>
        </is>
      </c>
      <c r="U2504" s="522" t="inlineStr">
        <is>
          <t>L001-901905215</t>
        </is>
      </c>
      <c r="V2504" s="522" t="inlineStr">
        <is>
          <t>វីអ៊ីស៊ិន (ខេមបូឌា) អ៊ិនដាសស្ទ្រី ឯ.ក</t>
        </is>
      </c>
      <c r="W2504" s="556" t="n">
        <v>283144</v>
      </c>
    </row>
    <row r="2505">
      <c r="A2505" s="521" t="n">
        <v>2497</v>
      </c>
      <c r="B2505" s="522" t="inlineStr">
        <is>
          <t>Cy Management Fee, Thc Charges, Bl Fee,FCR Fee, VGM Processing Fee</t>
        </is>
      </c>
      <c r="C2505" s="522" t="inlineStr">
        <is>
          <t>អ៊ិចស្ពែឌីធ័រ ខេមបូឌា អិលធីឌី</t>
        </is>
      </c>
      <c r="D2505" s="522" t="inlineStr">
        <is>
          <t>L001-100045898</t>
        </is>
      </c>
      <c r="E2505" s="521" t="inlineStr">
        <is>
          <t>TI-0229722</t>
        </is>
      </c>
      <c r="F2505" s="523" t="n">
        <v>44726</v>
      </c>
      <c r="G2505" s="556" t="n">
        <v>313011</v>
      </c>
      <c r="I2505" s="521">
        <f>G2505</f>
        <v/>
      </c>
      <c r="K2505" s="521">
        <f>I2505-G2505</f>
        <v/>
      </c>
      <c r="M2505" s="522" t="inlineStr">
        <is>
          <t>TI0229722</t>
        </is>
      </c>
      <c r="N2505" s="522" t="inlineStr">
        <is>
          <t>TI0229722</t>
        </is>
      </c>
      <c r="O2505" s="521">
        <f>M2505=N2505</f>
        <v/>
      </c>
      <c r="P2505" s="521">
        <f>AND(MONTH(F2505)=MONTH(S2505), YEAR(F2505)=YEAR(S2505))</f>
        <v/>
      </c>
      <c r="Q2505" s="521">
        <f>U2505="L001-901905215"</f>
        <v/>
      </c>
      <c r="R2505" s="556">
        <f>G2505-W2505</f>
        <v/>
      </c>
      <c r="S2505" s="523" t="n">
        <v>44726</v>
      </c>
      <c r="T2505" s="522" t="inlineStr">
        <is>
          <t>TI-0229722</t>
        </is>
      </c>
      <c r="U2505" s="522" t="inlineStr">
        <is>
          <t>L001-901905215</t>
        </is>
      </c>
      <c r="V2505" s="522" t="inlineStr">
        <is>
          <t>វីអ៊ីស៊ិន (ខេមបូឌា) អ៊ិនដាសស្ទ្រី ឯ.ក</t>
        </is>
      </c>
      <c r="W2505" s="556" t="n">
        <v>313011</v>
      </c>
    </row>
    <row r="2506">
      <c r="A2506" s="521" t="n">
        <v>2498</v>
      </c>
      <c r="B2506" s="522" t="inlineStr">
        <is>
          <t>Cy Management Fee, Thc Charges, Bl Fee,FCR Fee, VGM Processing Fee</t>
        </is>
      </c>
      <c r="C2506" s="522" t="inlineStr">
        <is>
          <t>អ៊ិចស្ពែឌីធ័រ ខេមបូឌា អិលធីឌី</t>
        </is>
      </c>
      <c r="D2506" s="522" t="inlineStr">
        <is>
          <t>L001-100045898</t>
        </is>
      </c>
      <c r="E2506" s="521" t="inlineStr">
        <is>
          <t>TI-0229326</t>
        </is>
      </c>
      <c r="F2506" s="523" t="n">
        <v>44721</v>
      </c>
      <c r="G2506" s="556" t="n">
        <v>248218</v>
      </c>
      <c r="I2506" s="521">
        <f>G2506</f>
        <v/>
      </c>
      <c r="K2506" s="521">
        <f>I2506-G2506</f>
        <v/>
      </c>
      <c r="M2506" s="522" t="inlineStr">
        <is>
          <t>TI0229326</t>
        </is>
      </c>
      <c r="N2506" s="522" t="inlineStr">
        <is>
          <t>TI0229326</t>
        </is>
      </c>
      <c r="O2506" s="521">
        <f>M2506=N2506</f>
        <v/>
      </c>
      <c r="P2506" s="521">
        <f>AND(MONTH(F2506)=MONTH(S2506), YEAR(F2506)=YEAR(S2506))</f>
        <v/>
      </c>
      <c r="Q2506" s="521">
        <f>U2506="L001-901905215"</f>
        <v/>
      </c>
      <c r="R2506" s="556">
        <f>G2506-W2506</f>
        <v/>
      </c>
      <c r="S2506" s="523" t="n">
        <v>44721</v>
      </c>
      <c r="T2506" s="522" t="inlineStr">
        <is>
          <t>TI-0229326</t>
        </is>
      </c>
      <c r="U2506" s="522" t="inlineStr">
        <is>
          <t>L001-901905215</t>
        </is>
      </c>
      <c r="V2506" s="522" t="inlineStr">
        <is>
          <t>វីអ៊ីស៊ិន (ខេមបូឌា) អ៊ិនដាសស្ទ្រី ឯ.ក</t>
        </is>
      </c>
      <c r="W2506" s="556" t="n">
        <v>248218</v>
      </c>
    </row>
    <row r="2507">
      <c r="A2507" s="521" t="n">
        <v>2499</v>
      </c>
      <c r="B2507" s="522" t="inlineStr">
        <is>
          <t>Cy Management Fee, Thc Charges, Bl Fee,FCR Fee, VGM Processing Fee</t>
        </is>
      </c>
      <c r="C2507" s="522" t="inlineStr">
        <is>
          <t>អ៊ិចស្ពែឌីធ័រ ខេមបូឌា អិលធីឌី</t>
        </is>
      </c>
      <c r="D2507" s="522" t="inlineStr">
        <is>
          <t>L001-100045898</t>
        </is>
      </c>
      <c r="E2507" s="521" t="inlineStr">
        <is>
          <t>TI-0229255</t>
        </is>
      </c>
      <c r="F2507" s="523" t="n">
        <v>44720</v>
      </c>
      <c r="G2507" s="556" t="n">
        <v>82654</v>
      </c>
      <c r="I2507" s="521">
        <f>G2507</f>
        <v/>
      </c>
      <c r="K2507" s="521">
        <f>I2507-G2507</f>
        <v/>
      </c>
      <c r="M2507" s="522" t="inlineStr">
        <is>
          <t>TI0229255</t>
        </is>
      </c>
      <c r="N2507" s="522" t="inlineStr">
        <is>
          <t>TI0229255</t>
        </is>
      </c>
      <c r="O2507" s="521">
        <f>M2507=N2507</f>
        <v/>
      </c>
      <c r="P2507" s="521">
        <f>AND(MONTH(F2507)=MONTH(S2507), YEAR(F2507)=YEAR(S2507))</f>
        <v/>
      </c>
      <c r="Q2507" s="521">
        <f>U2507="L001-901905215"</f>
        <v/>
      </c>
      <c r="R2507" s="556">
        <f>G2507-W2507</f>
        <v/>
      </c>
      <c r="S2507" s="523" t="n">
        <v>44720</v>
      </c>
      <c r="T2507" s="522" t="inlineStr">
        <is>
          <t>TI-0229255</t>
        </is>
      </c>
      <c r="U2507" s="522" t="inlineStr">
        <is>
          <t>L001-901905215</t>
        </is>
      </c>
      <c r="V2507" s="522" t="inlineStr">
        <is>
          <t>វីអ៊ីស៊ិន (ខេមបូឌា) អ៊ិនដាសស្ទ្រី ឯ.ក</t>
        </is>
      </c>
      <c r="W2507" s="556" t="n">
        <v>82657</v>
      </c>
    </row>
    <row r="2508">
      <c r="A2508" s="521" t="n">
        <v>2500</v>
      </c>
      <c r="B2508" s="522" t="inlineStr">
        <is>
          <t>Cy Management Fee, Thc Charges, Bl Fee,FCR Fee, VGM Processing Fee</t>
        </is>
      </c>
      <c r="C2508" s="522" t="inlineStr">
        <is>
          <t>អ៊ិចស្ពែឌីធ័រ ខេមបូឌា អិលធីឌី</t>
        </is>
      </c>
      <c r="D2508" s="522" t="inlineStr">
        <is>
          <t>L001-100045898</t>
        </is>
      </c>
      <c r="E2508" s="521" t="inlineStr">
        <is>
          <t>TI-0229194</t>
        </is>
      </c>
      <c r="F2508" s="523" t="n">
        <v>44720</v>
      </c>
      <c r="G2508" s="556" t="n">
        <v>164339</v>
      </c>
      <c r="I2508" s="521">
        <f>G2508</f>
        <v/>
      </c>
      <c r="K2508" s="521">
        <f>I2508-G2508</f>
        <v/>
      </c>
      <c r="M2508" s="522" t="inlineStr">
        <is>
          <t>TI0229194</t>
        </is>
      </c>
      <c r="N2508" s="522" t="inlineStr">
        <is>
          <t>TI0229194</t>
        </is>
      </c>
      <c r="O2508" s="521">
        <f>M2508=N2508</f>
        <v/>
      </c>
      <c r="P2508" s="521">
        <f>AND(MONTH(F2508)=MONTH(S2508), YEAR(F2508)=YEAR(S2508))</f>
        <v/>
      </c>
      <c r="Q2508" s="521">
        <f>U2508="L001-901905215"</f>
        <v/>
      </c>
      <c r="R2508" s="556">
        <f>G2508-W2508</f>
        <v/>
      </c>
      <c r="S2508" s="523" t="n">
        <v>44720</v>
      </c>
      <c r="T2508" s="522" t="inlineStr">
        <is>
          <t>TI-0229194</t>
        </is>
      </c>
      <c r="U2508" s="522" t="inlineStr">
        <is>
          <t>L001-901905215</t>
        </is>
      </c>
      <c r="V2508" s="522" t="inlineStr">
        <is>
          <t>វីអ៊ីស៊ិន (ខេមបូឌា) អ៊ិនដាសស្ទ្រី ឯ.ក</t>
        </is>
      </c>
      <c r="W2508" s="556" t="n">
        <v>164332</v>
      </c>
    </row>
    <row r="2509">
      <c r="A2509" s="521" t="n">
        <v>2501</v>
      </c>
      <c r="B2509" s="522" t="inlineStr">
        <is>
          <t>Handling Fee</t>
        </is>
      </c>
      <c r="C2509" s="522" t="inlineStr">
        <is>
          <t>ត្រង់ស្ពីដ កាហ្កូ (កម្ពុជា)</t>
        </is>
      </c>
      <c r="D2509" s="522" t="inlineStr">
        <is>
          <t>L001-100045782</t>
        </is>
      </c>
      <c r="E2509" s="521" t="inlineStr">
        <is>
          <t>22004316</t>
        </is>
      </c>
      <c r="F2509" s="523" t="n">
        <v>44742</v>
      </c>
      <c r="G2509" s="556" t="n">
        <v>336118</v>
      </c>
      <c r="I2509" s="521">
        <f>G2509</f>
        <v/>
      </c>
      <c r="K2509" s="521">
        <f>I2509-G2509</f>
        <v/>
      </c>
      <c r="M2509" s="522" t="inlineStr">
        <is>
          <t>22004316</t>
        </is>
      </c>
      <c r="N2509" s="522" t="inlineStr">
        <is>
          <t>22004316</t>
        </is>
      </c>
      <c r="O2509" s="521">
        <f>M2509=N2509</f>
        <v/>
      </c>
      <c r="P2509" s="521">
        <f>AND(MONTH(F2509)=MONTH(S2509), YEAR(F2509)=YEAR(S2509))</f>
        <v/>
      </c>
      <c r="Q2509" s="521">
        <f>U2509="L001-901905215"</f>
        <v/>
      </c>
      <c r="R2509" s="556">
        <f>G2509-W2509</f>
        <v/>
      </c>
      <c r="S2509" s="523" t="n">
        <v>44742</v>
      </c>
      <c r="T2509" s="522" t="inlineStr">
        <is>
          <t>22-004316</t>
        </is>
      </c>
      <c r="U2509" s="522" t="inlineStr">
        <is>
          <t>L001-901905215</t>
        </is>
      </c>
      <c r="V2509" s="522" t="inlineStr">
        <is>
          <t>វីអ៊ីស៊ិន (ខេមបូឌា) អ៊ិនដាសស្ទ្រី ឯ.ក</t>
        </is>
      </c>
      <c r="W2509" s="556" t="n">
        <v>336118</v>
      </c>
    </row>
    <row r="2510">
      <c r="A2510" s="521" t="n">
        <v>2502</v>
      </c>
      <c r="B2510" s="522" t="inlineStr">
        <is>
          <t>Handling Fee</t>
        </is>
      </c>
      <c r="C2510" s="522" t="inlineStr">
        <is>
          <t>ត្រង់ស្ពីដ កាហ្កូ (កម្ពុជា)</t>
        </is>
      </c>
      <c r="D2510" s="522" t="inlineStr">
        <is>
          <t>L001-100045782</t>
        </is>
      </c>
      <c r="E2510" s="521" t="inlineStr">
        <is>
          <t>22004120</t>
        </is>
      </c>
      <c r="F2510" s="523" t="n">
        <v>44734</v>
      </c>
      <c r="G2510" s="556" t="n">
        <v>465010</v>
      </c>
      <c r="I2510" s="521">
        <f>G2510</f>
        <v/>
      </c>
      <c r="K2510" s="521">
        <f>I2510-G2510</f>
        <v/>
      </c>
      <c r="M2510" s="522" t="inlineStr">
        <is>
          <t>22004120</t>
        </is>
      </c>
      <c r="N2510" s="522" t="inlineStr">
        <is>
          <t>22004120</t>
        </is>
      </c>
      <c r="O2510" s="521">
        <f>M2510=N2510</f>
        <v/>
      </c>
      <c r="P2510" s="521">
        <f>AND(MONTH(F2510)=MONTH(S2510), YEAR(F2510)=YEAR(S2510))</f>
        <v/>
      </c>
      <c r="Q2510" s="521">
        <f>U2510="L001-901905215"</f>
        <v/>
      </c>
      <c r="R2510" s="556">
        <f>G2510-W2510</f>
        <v/>
      </c>
      <c r="S2510" s="523" t="n">
        <v>44734</v>
      </c>
      <c r="T2510" s="522" t="inlineStr">
        <is>
          <t>22-004120</t>
        </is>
      </c>
      <c r="U2510" s="522" t="inlineStr">
        <is>
          <t>L001-901905215</t>
        </is>
      </c>
      <c r="V2510" s="522" t="inlineStr">
        <is>
          <t>វីអ៊ីស៊ិន (ខេមបូឌា) អ៊ិនដាសស្ទ្រី ឯ.ក</t>
        </is>
      </c>
      <c r="W2510" s="556" t="n">
        <v>465010</v>
      </c>
    </row>
    <row r="2511">
      <c r="A2511" s="521" t="n">
        <v>2503</v>
      </c>
      <c r="B2511" s="522" t="inlineStr">
        <is>
          <t>Handling Fee</t>
        </is>
      </c>
      <c r="C2511" s="522" t="inlineStr">
        <is>
          <t>ត្រង់ស្ពីដ កាហ្កូ (កម្ពុជា)</t>
        </is>
      </c>
      <c r="D2511" s="522" t="inlineStr">
        <is>
          <t>L001-100045782</t>
        </is>
      </c>
      <c r="E2511" s="521" t="inlineStr">
        <is>
          <t>22004116</t>
        </is>
      </c>
      <c r="F2511" s="523" t="n">
        <v>44734</v>
      </c>
      <c r="G2511" s="556" t="n">
        <v>465010</v>
      </c>
      <c r="I2511" s="521">
        <f>G2511</f>
        <v/>
      </c>
      <c r="K2511" s="521">
        <f>I2511-G2511</f>
        <v/>
      </c>
      <c r="M2511" s="522" t="inlineStr">
        <is>
          <t>22004116</t>
        </is>
      </c>
      <c r="N2511" s="522" t="inlineStr">
        <is>
          <t>22004116</t>
        </is>
      </c>
      <c r="O2511" s="521">
        <f>M2511=N2511</f>
        <v/>
      </c>
      <c r="P2511" s="521">
        <f>AND(MONTH(F2511)=MONTH(S2511), YEAR(F2511)=YEAR(S2511))</f>
        <v/>
      </c>
      <c r="Q2511" s="521">
        <f>U2511="L001-901905215"</f>
        <v/>
      </c>
      <c r="R2511" s="556">
        <f>G2511-W2511</f>
        <v/>
      </c>
      <c r="S2511" s="523" t="n">
        <v>44734</v>
      </c>
      <c r="T2511" s="522" t="inlineStr">
        <is>
          <t>22-004116</t>
        </is>
      </c>
      <c r="U2511" s="522" t="inlineStr">
        <is>
          <t>L001-901905215</t>
        </is>
      </c>
      <c r="V2511" s="522" t="inlineStr">
        <is>
          <t>វីអ៊ីស៊ិន (ខេមបូឌា) អ៊ិនដាសស្ទ្រី ឯ.ក</t>
        </is>
      </c>
      <c r="W2511" s="556" t="n">
        <v>465010</v>
      </c>
    </row>
    <row r="2512">
      <c r="A2512" s="521" t="n">
        <v>2504</v>
      </c>
      <c r="B2512" s="522" t="inlineStr">
        <is>
          <t>Service Charge</t>
        </is>
      </c>
      <c r="C2512" s="522" t="inlineStr">
        <is>
          <t>ឆាយ ដា ឡូយីស្ទីក</t>
        </is>
      </c>
      <c r="D2512" s="522" t="inlineStr">
        <is>
          <t>L001-100063098</t>
        </is>
      </c>
      <c r="E2512" s="521" t="inlineStr">
        <is>
          <t>2206007258</t>
        </is>
      </c>
      <c r="F2512" s="523" t="n">
        <v>44740</v>
      </c>
      <c r="G2512" s="556" t="n">
        <v>6144</v>
      </c>
      <c r="I2512" s="521">
        <f>G2512</f>
        <v/>
      </c>
      <c r="K2512" s="521">
        <f>I2512-G2512</f>
        <v/>
      </c>
      <c r="M2512" s="522" t="inlineStr">
        <is>
          <t>2206007258</t>
        </is>
      </c>
      <c r="N2512" s="522" t="inlineStr">
        <is>
          <t>2206007258</t>
        </is>
      </c>
      <c r="O2512" s="521">
        <f>M2512=N2512</f>
        <v/>
      </c>
      <c r="P2512" s="521">
        <f>AND(MONTH(F2512)=MONTH(S2512), YEAR(F2512)=YEAR(S2512))</f>
        <v/>
      </c>
      <c r="Q2512" s="521">
        <f>U2512="L001-901905215"</f>
        <v/>
      </c>
      <c r="R2512" s="556">
        <f>G2512-W2512</f>
        <v/>
      </c>
      <c r="S2512" s="523" t="n">
        <v>44740</v>
      </c>
      <c r="T2512" s="522" t="inlineStr">
        <is>
          <t>2206007258</t>
        </is>
      </c>
      <c r="U2512" s="522" t="inlineStr">
        <is>
          <t>L001-901905215</t>
        </is>
      </c>
      <c r="V2512" s="522" t="inlineStr">
        <is>
          <t>វីអ៊ីស៊ិន (ខេមបូឌា) អ៊ិនដាសស្ទ្រី ឯ.ក</t>
        </is>
      </c>
      <c r="W2512" s="556" t="n">
        <v>6144</v>
      </c>
    </row>
    <row r="2513">
      <c r="A2513" s="521" t="n">
        <v>2505</v>
      </c>
      <c r="B2513" s="522" t="inlineStr">
        <is>
          <t>Service Charge</t>
        </is>
      </c>
      <c r="C2513" s="522" t="inlineStr">
        <is>
          <t>ឆាយ ដា ឡូយីស្ទីក</t>
        </is>
      </c>
      <c r="D2513" s="522" t="inlineStr">
        <is>
          <t>L001-100063098</t>
        </is>
      </c>
      <c r="E2513" s="521" t="inlineStr">
        <is>
          <t>2206007192</t>
        </is>
      </c>
      <c r="F2513" s="523" t="n">
        <v>44739</v>
      </c>
      <c r="G2513" s="556" t="n">
        <v>89681</v>
      </c>
      <c r="I2513" s="521">
        <f>G2513</f>
        <v/>
      </c>
      <c r="K2513" s="521">
        <f>I2513-G2513</f>
        <v/>
      </c>
      <c r="M2513" s="522" t="inlineStr">
        <is>
          <t>2206007192</t>
        </is>
      </c>
      <c r="N2513" s="522" t="inlineStr">
        <is>
          <t>2206007192</t>
        </is>
      </c>
      <c r="O2513" s="521">
        <f>M2513=N2513</f>
        <v/>
      </c>
      <c r="P2513" s="521">
        <f>AND(MONTH(F2513)=MONTH(S2513), YEAR(F2513)=YEAR(S2513))</f>
        <v/>
      </c>
      <c r="Q2513" s="521">
        <f>U2513="L001-901905215"</f>
        <v/>
      </c>
      <c r="R2513" s="556">
        <f>G2513-W2513</f>
        <v/>
      </c>
      <c r="S2513" s="523" t="n">
        <v>44739</v>
      </c>
      <c r="T2513" s="522" t="inlineStr">
        <is>
          <t>2206007192</t>
        </is>
      </c>
      <c r="U2513" s="522" t="inlineStr">
        <is>
          <t>L001-901905215</t>
        </is>
      </c>
      <c r="V2513" s="522" t="inlineStr">
        <is>
          <t>វីអ៊ីស៊ិន (ខេមបូឌា) អ៊ិនដាសស្ទ្រី ឯ.ក</t>
        </is>
      </c>
      <c r="W2513" s="556" t="n">
        <v>89681</v>
      </c>
    </row>
    <row r="2514">
      <c r="A2514" s="521" t="n">
        <v>2506</v>
      </c>
      <c r="B2514" s="522" t="inlineStr">
        <is>
          <t>Service Charge</t>
        </is>
      </c>
      <c r="C2514" s="522" t="inlineStr">
        <is>
          <t>ឆាយ ដា ឡូយីស្ទីក</t>
        </is>
      </c>
      <c r="D2514" s="522" t="inlineStr">
        <is>
          <t>L001-100063098</t>
        </is>
      </c>
      <c r="E2514" s="521" t="inlineStr">
        <is>
          <t>2206007191</t>
        </is>
      </c>
      <c r="F2514" s="523" t="n">
        <v>44739</v>
      </c>
      <c r="G2514" s="556" t="n">
        <v>151105</v>
      </c>
      <c r="I2514" s="521">
        <f>G2514</f>
        <v/>
      </c>
      <c r="K2514" s="521">
        <f>I2514-G2514</f>
        <v/>
      </c>
      <c r="M2514" s="522" t="inlineStr">
        <is>
          <t>2206007191</t>
        </is>
      </c>
      <c r="N2514" s="522" t="inlineStr">
        <is>
          <t>2206007191</t>
        </is>
      </c>
      <c r="O2514" s="521">
        <f>M2514=N2514</f>
        <v/>
      </c>
      <c r="P2514" s="521">
        <f>AND(MONTH(F2514)=MONTH(S2514), YEAR(F2514)=YEAR(S2514))</f>
        <v/>
      </c>
      <c r="Q2514" s="521">
        <f>U2514="L001-901905215"</f>
        <v/>
      </c>
      <c r="R2514" s="556">
        <f>G2514-W2514</f>
        <v/>
      </c>
      <c r="S2514" s="523" t="n">
        <v>44739</v>
      </c>
      <c r="T2514" s="522" t="inlineStr">
        <is>
          <t>2206007191</t>
        </is>
      </c>
      <c r="U2514" s="522" t="inlineStr">
        <is>
          <t>L001-901905215</t>
        </is>
      </c>
      <c r="V2514" s="522" t="inlineStr">
        <is>
          <t>វីអ៊ីស៊ិន (ខេមបូឌា) អ៊ិនដាសស្ទ្រី ឯ.ក</t>
        </is>
      </c>
      <c r="W2514" s="556" t="n">
        <v>151105</v>
      </c>
    </row>
    <row r="2515">
      <c r="A2515" s="521" t="n">
        <v>2507</v>
      </c>
      <c r="B2515" s="522" t="inlineStr">
        <is>
          <t>Service Charge</t>
        </is>
      </c>
      <c r="C2515" s="522" t="inlineStr">
        <is>
          <t>ឆាយ ដា ឡូយីស្ទីក</t>
        </is>
      </c>
      <c r="D2515" s="522" t="inlineStr">
        <is>
          <t>L001-100063098</t>
        </is>
      </c>
      <c r="E2515" s="521" t="inlineStr">
        <is>
          <t>2206007190</t>
        </is>
      </c>
      <c r="F2515" s="523" t="n">
        <v>44739</v>
      </c>
      <c r="G2515" s="556" t="n">
        <v>89681</v>
      </c>
      <c r="I2515" s="521">
        <f>G2515</f>
        <v/>
      </c>
      <c r="K2515" s="521">
        <f>I2515-G2515</f>
        <v/>
      </c>
      <c r="M2515" s="522" t="inlineStr">
        <is>
          <t>2206007190</t>
        </is>
      </c>
      <c r="N2515" s="522" t="inlineStr">
        <is>
          <t>2206007190</t>
        </is>
      </c>
      <c r="O2515" s="521">
        <f>M2515=N2515</f>
        <v/>
      </c>
      <c r="P2515" s="521">
        <f>AND(MONTH(F2515)=MONTH(S2515), YEAR(F2515)=YEAR(S2515))</f>
        <v/>
      </c>
      <c r="Q2515" s="521">
        <f>U2515="L001-901905215"</f>
        <v/>
      </c>
      <c r="R2515" s="556">
        <f>G2515-W2515</f>
        <v/>
      </c>
      <c r="S2515" s="523" t="n">
        <v>44739</v>
      </c>
      <c r="T2515" s="522" t="inlineStr">
        <is>
          <t>2206007190</t>
        </is>
      </c>
      <c r="U2515" s="522" t="inlineStr">
        <is>
          <t>L001-901905215</t>
        </is>
      </c>
      <c r="V2515" s="522" t="inlineStr">
        <is>
          <t>វីអ៊ីស៊ិន (ខេមបូឌា) អ៊ិនដាសស្ទ្រី ឯ.ក</t>
        </is>
      </c>
      <c r="W2515" s="556" t="n">
        <v>89681</v>
      </c>
    </row>
    <row r="2516">
      <c r="A2516" s="521" t="n">
        <v>2508</v>
      </c>
      <c r="B2516" s="522" t="inlineStr">
        <is>
          <t>Service Charge</t>
        </is>
      </c>
      <c r="C2516" s="522" t="inlineStr">
        <is>
          <t>ឆាយ ដា ឡូយីស្ទីក</t>
        </is>
      </c>
      <c r="D2516" s="522" t="inlineStr">
        <is>
          <t>L001-100063098</t>
        </is>
      </c>
      <c r="E2516" s="521" t="inlineStr">
        <is>
          <t>2206007188</t>
        </is>
      </c>
      <c r="F2516" s="523" t="n">
        <v>44739</v>
      </c>
      <c r="G2516" s="556" t="n">
        <v>151105</v>
      </c>
      <c r="I2516" s="521">
        <f>G2516</f>
        <v/>
      </c>
      <c r="K2516" s="521">
        <f>I2516-G2516</f>
        <v/>
      </c>
      <c r="M2516" s="522" t="inlineStr">
        <is>
          <t>2206007188</t>
        </is>
      </c>
      <c r="N2516" s="522" t="inlineStr">
        <is>
          <t>2206007188</t>
        </is>
      </c>
      <c r="O2516" s="521">
        <f>M2516=N2516</f>
        <v/>
      </c>
      <c r="P2516" s="521">
        <f>AND(MONTH(F2516)=MONTH(S2516), YEAR(F2516)=YEAR(S2516))</f>
        <v/>
      </c>
      <c r="Q2516" s="521">
        <f>U2516="L001-901905215"</f>
        <v/>
      </c>
      <c r="R2516" s="556">
        <f>G2516-W2516</f>
        <v/>
      </c>
      <c r="S2516" s="523" t="n">
        <v>44739</v>
      </c>
      <c r="T2516" s="522" t="inlineStr">
        <is>
          <t>2206007188</t>
        </is>
      </c>
      <c r="U2516" s="522" t="inlineStr">
        <is>
          <t>L001-901905215</t>
        </is>
      </c>
      <c r="V2516" s="522" t="inlineStr">
        <is>
          <t>វីអ៊ីស៊ិន (ខេមបូឌា) អ៊ិនដាសស្ទ្រី ឯ.ក</t>
        </is>
      </c>
      <c r="W2516" s="556" t="n">
        <v>151105</v>
      </c>
    </row>
    <row r="2517">
      <c r="A2517" s="521" t="n">
        <v>2509</v>
      </c>
      <c r="B2517" s="522" t="inlineStr">
        <is>
          <t>Service Charge</t>
        </is>
      </c>
      <c r="C2517" s="522" t="inlineStr">
        <is>
          <t>ឆាយ ដា ឡូយីស្ទីក</t>
        </is>
      </c>
      <c r="D2517" s="522" t="inlineStr">
        <is>
          <t>L001-100063098</t>
        </is>
      </c>
      <c r="E2517" s="521" t="inlineStr">
        <is>
          <t>2206006842</t>
        </is>
      </c>
      <c r="F2517" s="523" t="n">
        <v>44733</v>
      </c>
      <c r="G2517" s="556" t="n">
        <v>89724</v>
      </c>
      <c r="I2517" s="521">
        <f>G2517</f>
        <v/>
      </c>
      <c r="K2517" s="521">
        <f>I2517-G2517</f>
        <v/>
      </c>
      <c r="M2517" s="522" t="inlineStr">
        <is>
          <t>2206006842</t>
        </is>
      </c>
      <c r="N2517" s="522" t="inlineStr">
        <is>
          <t>2206006842</t>
        </is>
      </c>
      <c r="O2517" s="521">
        <f>M2517=N2517</f>
        <v/>
      </c>
      <c r="P2517" s="521">
        <f>AND(MONTH(F2517)=MONTH(S2517), YEAR(F2517)=YEAR(S2517))</f>
        <v/>
      </c>
      <c r="Q2517" s="521">
        <f>U2517="L001-901905215"</f>
        <v/>
      </c>
      <c r="R2517" s="556">
        <f>G2517-W2517</f>
        <v/>
      </c>
      <c r="S2517" s="523" t="n">
        <v>44733</v>
      </c>
      <c r="T2517" s="522" t="inlineStr">
        <is>
          <t>2206006842</t>
        </is>
      </c>
      <c r="U2517" s="522" t="inlineStr">
        <is>
          <t>L001-901905215</t>
        </is>
      </c>
      <c r="V2517" s="522" t="inlineStr">
        <is>
          <t>វីអ៊ីស៊ិន (ខេមបូឌា) អ៊ិនដាសស្ទ្រី ឯ.ក</t>
        </is>
      </c>
      <c r="W2517" s="556" t="n">
        <v>89724</v>
      </c>
    </row>
    <row r="2518">
      <c r="A2518" s="521" t="n">
        <v>2510</v>
      </c>
      <c r="B2518" s="522" t="inlineStr">
        <is>
          <t>Service Charge</t>
        </is>
      </c>
      <c r="C2518" s="522" t="inlineStr">
        <is>
          <t>ឆាយ ដា ឡូយីស្ទីក</t>
        </is>
      </c>
      <c r="D2518" s="522" t="inlineStr">
        <is>
          <t>L001-100063098</t>
        </is>
      </c>
      <c r="E2518" s="521" t="inlineStr">
        <is>
          <t>2206006840</t>
        </is>
      </c>
      <c r="F2518" s="523" t="n">
        <v>44733</v>
      </c>
      <c r="G2518" s="556" t="n">
        <v>89724</v>
      </c>
      <c r="I2518" s="521">
        <f>G2518</f>
        <v/>
      </c>
      <c r="K2518" s="521">
        <f>I2518-G2518</f>
        <v/>
      </c>
      <c r="M2518" s="522" t="inlineStr">
        <is>
          <t>2206006840</t>
        </is>
      </c>
      <c r="N2518" s="522" t="inlineStr">
        <is>
          <t>2206006840</t>
        </is>
      </c>
      <c r="O2518" s="521">
        <f>M2518=N2518</f>
        <v/>
      </c>
      <c r="P2518" s="521">
        <f>AND(MONTH(F2518)=MONTH(S2518), YEAR(F2518)=YEAR(S2518))</f>
        <v/>
      </c>
      <c r="Q2518" s="521">
        <f>U2518="L001-901905215"</f>
        <v/>
      </c>
      <c r="R2518" s="556">
        <f>G2518-W2518</f>
        <v/>
      </c>
      <c r="S2518" s="523" t="n">
        <v>44733</v>
      </c>
      <c r="T2518" s="522" t="inlineStr">
        <is>
          <t>2206006840</t>
        </is>
      </c>
      <c r="U2518" s="522" t="inlineStr">
        <is>
          <t>L001-901905215</t>
        </is>
      </c>
      <c r="V2518" s="522" t="inlineStr">
        <is>
          <t>វីអ៊ីស៊ិន (ខេមបូឌា) អ៊ិនដាសស្ទ្រី ឯ.ក</t>
        </is>
      </c>
      <c r="W2518" s="556" t="n">
        <v>89724</v>
      </c>
    </row>
    <row r="2519">
      <c r="A2519" s="521" t="n">
        <v>2511</v>
      </c>
      <c r="B2519" s="522" t="inlineStr">
        <is>
          <t>Service Charge</t>
        </is>
      </c>
      <c r="C2519" s="522" t="inlineStr">
        <is>
          <t>ឆាយ ដា ឡូយីស្ទីក</t>
        </is>
      </c>
      <c r="D2519" s="522" t="inlineStr">
        <is>
          <t>L001-100063098</t>
        </is>
      </c>
      <c r="E2519" s="521" t="inlineStr">
        <is>
          <t>2206006830</t>
        </is>
      </c>
      <c r="F2519" s="523" t="n">
        <v>44733</v>
      </c>
      <c r="G2519" s="556" t="n">
        <v>89724</v>
      </c>
      <c r="I2519" s="521">
        <f>G2519</f>
        <v/>
      </c>
      <c r="K2519" s="521">
        <f>I2519-G2519</f>
        <v/>
      </c>
      <c r="M2519" s="522" t="inlineStr">
        <is>
          <t>2206006830</t>
        </is>
      </c>
      <c r="N2519" s="522" t="inlineStr">
        <is>
          <t>2206006830</t>
        </is>
      </c>
      <c r="O2519" s="521">
        <f>M2519=N2519</f>
        <v/>
      </c>
      <c r="P2519" s="521">
        <f>AND(MONTH(F2519)=MONTH(S2519), YEAR(F2519)=YEAR(S2519))</f>
        <v/>
      </c>
      <c r="Q2519" s="521">
        <f>U2519="L001-901905215"</f>
        <v/>
      </c>
      <c r="R2519" s="556">
        <f>G2519-W2519</f>
        <v/>
      </c>
      <c r="S2519" s="523" t="n">
        <v>44733</v>
      </c>
      <c r="T2519" s="522" t="inlineStr">
        <is>
          <t>2206006830</t>
        </is>
      </c>
      <c r="U2519" s="522" t="inlineStr">
        <is>
          <t>L001-901905215</t>
        </is>
      </c>
      <c r="V2519" s="522" t="inlineStr">
        <is>
          <t>វីអ៊ីស៊ិន (ខេមបូឌា) អ៊ិនដាសស្ទ្រី ឯ.ក</t>
        </is>
      </c>
      <c r="W2519" s="556" t="n">
        <v>89724</v>
      </c>
    </row>
    <row r="2520">
      <c r="A2520" s="521" t="n">
        <v>2512</v>
      </c>
      <c r="B2520" s="522" t="inlineStr">
        <is>
          <t>Service Charge</t>
        </is>
      </c>
      <c r="C2520" s="522" t="inlineStr">
        <is>
          <t>ឆាយ ដា ឡូយីស្ទីក</t>
        </is>
      </c>
      <c r="D2520" s="522" t="inlineStr">
        <is>
          <t>L001-100063098</t>
        </is>
      </c>
      <c r="E2520" s="521" t="inlineStr">
        <is>
          <t>2206006446</t>
        </is>
      </c>
      <c r="F2520" s="523" t="n">
        <v>44725</v>
      </c>
      <c r="G2520" s="556" t="n">
        <v>89724</v>
      </c>
      <c r="I2520" s="521">
        <f>G2520</f>
        <v/>
      </c>
      <c r="K2520" s="521">
        <f>I2520-G2520</f>
        <v/>
      </c>
      <c r="M2520" s="522" t="inlineStr">
        <is>
          <t>2206006446</t>
        </is>
      </c>
      <c r="N2520" s="522" t="inlineStr">
        <is>
          <t>2206006446</t>
        </is>
      </c>
      <c r="O2520" s="521">
        <f>M2520=N2520</f>
        <v/>
      </c>
      <c r="P2520" s="521">
        <f>AND(MONTH(F2520)=MONTH(S2520), YEAR(F2520)=YEAR(S2520))</f>
        <v/>
      </c>
      <c r="Q2520" s="521">
        <f>U2520="L001-901905215"</f>
        <v/>
      </c>
      <c r="R2520" s="556">
        <f>G2520-W2520</f>
        <v/>
      </c>
      <c r="S2520" s="523" t="n">
        <v>44725</v>
      </c>
      <c r="T2520" s="522" t="inlineStr">
        <is>
          <t>2206006446</t>
        </is>
      </c>
      <c r="U2520" s="522" t="inlineStr">
        <is>
          <t>L001-901905215</t>
        </is>
      </c>
      <c r="V2520" s="522" t="inlineStr">
        <is>
          <t>វីអ៊ីស៊ិន (ខេមបូឌា) អ៊ិនដាសស្ទ្រី ឯ.ក</t>
        </is>
      </c>
      <c r="W2520" s="556" t="n">
        <v>89724</v>
      </c>
    </row>
    <row r="2521">
      <c r="A2521" s="521" t="n">
        <v>2513</v>
      </c>
      <c r="B2521" s="522" t="inlineStr">
        <is>
          <t>Service Charge</t>
        </is>
      </c>
      <c r="C2521" s="522" t="inlineStr">
        <is>
          <t>ឆាយ ដា ឡូយីស្ទីក</t>
        </is>
      </c>
      <c r="D2521" s="522" t="inlineStr">
        <is>
          <t>L001-100063098</t>
        </is>
      </c>
      <c r="E2521" s="521" t="inlineStr">
        <is>
          <t>2206006116</t>
        </is>
      </c>
      <c r="F2521" s="523" t="n">
        <v>44719</v>
      </c>
      <c r="G2521" s="556" t="n">
        <v>89702</v>
      </c>
      <c r="I2521" s="521">
        <f>G2521</f>
        <v/>
      </c>
      <c r="K2521" s="521">
        <f>I2521-G2521</f>
        <v/>
      </c>
      <c r="M2521" s="522" t="inlineStr">
        <is>
          <t>2206006116</t>
        </is>
      </c>
      <c r="N2521" s="522" t="inlineStr">
        <is>
          <t>2206006116</t>
        </is>
      </c>
      <c r="O2521" s="521">
        <f>M2521=N2521</f>
        <v/>
      </c>
      <c r="P2521" s="521">
        <f>AND(MONTH(F2521)=MONTH(S2521), YEAR(F2521)=YEAR(S2521))</f>
        <v/>
      </c>
      <c r="Q2521" s="521">
        <f>U2521="L001-901905215"</f>
        <v/>
      </c>
      <c r="R2521" s="556">
        <f>G2521-W2521</f>
        <v/>
      </c>
      <c r="S2521" s="523" t="n">
        <v>44719</v>
      </c>
      <c r="T2521" s="522" t="inlineStr">
        <is>
          <t>2206006116</t>
        </is>
      </c>
      <c r="U2521" s="522" t="inlineStr">
        <is>
          <t>L001-901905215</t>
        </is>
      </c>
      <c r="V2521" s="522" t="inlineStr">
        <is>
          <t>វីអ៊ីស៊ិន (ខេមបូឌា) អ៊ិនដាសស្ទ្រី ឯ.ក</t>
        </is>
      </c>
      <c r="W2521" s="556" t="n">
        <v>89702</v>
      </c>
    </row>
    <row r="2522">
      <c r="A2522" s="521" t="n">
        <v>2514</v>
      </c>
      <c r="B2522" s="522" t="inlineStr">
        <is>
          <t>Service Charge</t>
        </is>
      </c>
      <c r="C2522" s="522" t="inlineStr">
        <is>
          <t>ឆាយ ដា ឡូយីស្ទីក</t>
        </is>
      </c>
      <c r="D2522" s="522" t="inlineStr">
        <is>
          <t>L001-100063098</t>
        </is>
      </c>
      <c r="E2522" s="521" t="inlineStr">
        <is>
          <t>2206006087</t>
        </is>
      </c>
      <c r="F2522" s="523" t="n">
        <v>44719</v>
      </c>
      <c r="G2522" s="556" t="n">
        <v>89702</v>
      </c>
      <c r="I2522" s="521">
        <f>G2522</f>
        <v/>
      </c>
      <c r="K2522" s="521">
        <f>I2522-G2522</f>
        <v/>
      </c>
      <c r="M2522" s="522" t="inlineStr">
        <is>
          <t>2206006087</t>
        </is>
      </c>
      <c r="N2522" s="522" t="inlineStr">
        <is>
          <t>2206006087</t>
        </is>
      </c>
      <c r="O2522" s="521">
        <f>M2522=N2522</f>
        <v/>
      </c>
      <c r="P2522" s="521">
        <f>AND(MONTH(F2522)=MONTH(S2522), YEAR(F2522)=YEAR(S2522))</f>
        <v/>
      </c>
      <c r="Q2522" s="521">
        <f>U2522="L001-901905215"</f>
        <v/>
      </c>
      <c r="R2522" s="556">
        <f>G2522-W2522</f>
        <v/>
      </c>
      <c r="S2522" s="523" t="n">
        <v>44719</v>
      </c>
      <c r="T2522" s="522" t="inlineStr">
        <is>
          <t>2206006087</t>
        </is>
      </c>
      <c r="U2522" s="522" t="inlineStr">
        <is>
          <t>L001-901905215</t>
        </is>
      </c>
      <c r="V2522" s="522" t="inlineStr">
        <is>
          <t>វីអ៊ីស៊ិន (ខេមបូឌា) អ៊ិនដាសស្ទ្រី ឯ.ក</t>
        </is>
      </c>
      <c r="W2522" s="556" t="n">
        <v>89702</v>
      </c>
    </row>
    <row r="2523">
      <c r="A2523" s="521" t="n">
        <v>2515</v>
      </c>
      <c r="B2523" s="522" t="inlineStr">
        <is>
          <t>CLEARNCE &amp; TRUCKING FEE</t>
        </is>
      </c>
      <c r="C2523" s="522" t="inlineStr">
        <is>
          <t>56ប៊ី-លីង សឹបផ្លាយ ឆេន មេនេចម៉ិន ឯ.ក</t>
        </is>
      </c>
      <c r="D2523" s="522" t="inlineStr">
        <is>
          <t>K004-902004795</t>
        </is>
      </c>
      <c r="E2523" s="521" t="inlineStr">
        <is>
          <t>TI2022-0522</t>
        </is>
      </c>
      <c r="F2523" s="523" t="n">
        <v>44742</v>
      </c>
      <c r="G2523" s="556" t="n">
        <v>211099</v>
      </c>
      <c r="I2523" s="521">
        <f>G2523</f>
        <v/>
      </c>
      <c r="K2523" s="521">
        <f>I2523-G2523</f>
        <v/>
      </c>
      <c r="M2523" s="522" t="inlineStr">
        <is>
          <t>TI20220522</t>
        </is>
      </c>
      <c r="N2523" s="522" t="inlineStr">
        <is>
          <t>TI20220522</t>
        </is>
      </c>
      <c r="O2523" s="521">
        <f>M2523=N2523</f>
        <v/>
      </c>
      <c r="P2523" s="521">
        <f>AND(MONTH(F2523)=MONTH(S2523), YEAR(F2523)=YEAR(S2523))</f>
        <v/>
      </c>
      <c r="Q2523" s="521">
        <f>U2523="L001-901905215"</f>
        <v/>
      </c>
      <c r="R2523" s="556">
        <f>G2523-W2523</f>
        <v/>
      </c>
      <c r="S2523" s="523" t="n">
        <v>44742</v>
      </c>
      <c r="T2523" s="522" t="inlineStr">
        <is>
          <t>TI2022-0522</t>
        </is>
      </c>
      <c r="U2523" s="522" t="inlineStr">
        <is>
          <t>L001-901905215</t>
        </is>
      </c>
      <c r="V2523" s="522" t="inlineStr">
        <is>
          <t>វីអ៊ីស៊ិន (ខេមបូឌា) អ៊ិនដាសស្ទ្រី ឯ.ក</t>
        </is>
      </c>
      <c r="W2523" s="556" t="n">
        <v>211099</v>
      </c>
    </row>
    <row r="2524">
      <c r="A2524" s="521" t="n">
        <v>2516</v>
      </c>
      <c r="B2524" s="522" t="inlineStr">
        <is>
          <t>CLEARNCE &amp; TRUCKING FEE</t>
        </is>
      </c>
      <c r="C2524" s="522" t="inlineStr">
        <is>
          <t>56ប៊ី-លីង សឹបផ្លាយ ឆេន មេនេចម៉ិន ឯ.ក</t>
        </is>
      </c>
      <c r="D2524" s="522" t="inlineStr">
        <is>
          <t>K004-902004795</t>
        </is>
      </c>
      <c r="E2524" s="521" t="inlineStr">
        <is>
          <t>TI2022-0521</t>
        </is>
      </c>
      <c r="F2524" s="523" t="n">
        <v>44742</v>
      </c>
      <c r="G2524" s="556" t="n">
        <v>186505</v>
      </c>
      <c r="I2524" s="521">
        <f>G2524</f>
        <v/>
      </c>
      <c r="K2524" s="521">
        <f>I2524-G2524</f>
        <v/>
      </c>
      <c r="M2524" s="522" t="inlineStr">
        <is>
          <t>TI20220521</t>
        </is>
      </c>
      <c r="N2524" s="522" t="inlineStr">
        <is>
          <t>TI20220521</t>
        </is>
      </c>
      <c r="O2524" s="521">
        <f>M2524=N2524</f>
        <v/>
      </c>
      <c r="P2524" s="521">
        <f>AND(MONTH(F2524)=MONTH(S2524), YEAR(F2524)=YEAR(S2524))</f>
        <v/>
      </c>
      <c r="Q2524" s="521">
        <f>U2524="L001-901905215"</f>
        <v/>
      </c>
      <c r="R2524" s="556">
        <f>G2524-W2524</f>
        <v/>
      </c>
      <c r="S2524" s="523" t="n">
        <v>44742</v>
      </c>
      <c r="T2524" s="522" t="inlineStr">
        <is>
          <t>TI2022-0521</t>
        </is>
      </c>
      <c r="U2524" s="522" t="inlineStr">
        <is>
          <t>L001-901905215</t>
        </is>
      </c>
      <c r="V2524" s="522" t="inlineStr">
        <is>
          <t>វីអ៊ីស៊ិន (ខេមបូឌា) អ៊ិនដាសស្ទ្រី ឯ.ក</t>
        </is>
      </c>
      <c r="W2524" s="556" t="n">
        <v>186505</v>
      </c>
    </row>
    <row r="2525">
      <c r="A2525" s="521" t="n">
        <v>2517</v>
      </c>
      <c r="B2525" s="522" t="inlineStr">
        <is>
          <t>LIFE -OFF,GATE FEE CHARGE</t>
        </is>
      </c>
      <c r="C2525" s="522" t="inlineStr">
        <is>
          <t>កំពង់ផែស្វយ័តភ្នំពេញ "ក.ស.ភ"</t>
        </is>
      </c>
      <c r="D2525" s="522" t="inlineStr">
        <is>
          <t>L001-100044999</t>
        </is>
      </c>
      <c r="E2525" s="521" t="inlineStr">
        <is>
          <t>INV20220648961</t>
        </is>
      </c>
      <c r="F2525" s="523" t="n">
        <v>44742</v>
      </c>
      <c r="G2525" s="556" t="n">
        <v>29513</v>
      </c>
      <c r="I2525" s="521">
        <f>G2525</f>
        <v/>
      </c>
      <c r="K2525" s="521">
        <f>I2525-G2525</f>
        <v/>
      </c>
      <c r="M2525" s="522" t="inlineStr">
        <is>
          <t>INV20220648961</t>
        </is>
      </c>
      <c r="N2525" s="522" t="inlineStr"/>
      <c r="O2525" s="521">
        <f>M2525=N2525</f>
        <v/>
      </c>
      <c r="P2525" s="521">
        <f>AND(MONTH(F2525)=MONTH(S2525), YEAR(F2525)=YEAR(S2525))</f>
        <v/>
      </c>
      <c r="Q2525" s="521">
        <f>U2525="L001-901905215"</f>
        <v/>
      </c>
      <c r="R2525" s="556">
        <f>G2525-W2525</f>
        <v/>
      </c>
      <c r="S2525" s="521" t="n"/>
      <c r="T2525" s="522" t="n"/>
      <c r="U2525" s="522" t="n"/>
      <c r="V2525" s="522" t="n"/>
      <c r="W2525" s="521" t="n"/>
    </row>
    <row r="2526">
      <c r="A2526" s="521" t="n">
        <v>2518</v>
      </c>
      <c r="B2526" s="522" t="inlineStr">
        <is>
          <t>CLEARNCE &amp; TRUCKING FEE</t>
        </is>
      </c>
      <c r="C2526" s="522" t="inlineStr">
        <is>
          <t>56ប៊ី-លីង សឹបផ្លាយ ឆេន មេនេចម៉ិន ឯ.ក</t>
        </is>
      </c>
      <c r="D2526" s="522" t="inlineStr">
        <is>
          <t>K004-902004795</t>
        </is>
      </c>
      <c r="E2526" s="521" t="inlineStr">
        <is>
          <t>TI2022-0520</t>
        </is>
      </c>
      <c r="F2526" s="523" t="n">
        <v>44742</v>
      </c>
      <c r="G2526" s="556" t="n">
        <v>272584</v>
      </c>
      <c r="I2526" s="521">
        <f>G2526</f>
        <v/>
      </c>
      <c r="K2526" s="521">
        <f>I2526-G2526</f>
        <v/>
      </c>
      <c r="M2526" s="522" t="inlineStr">
        <is>
          <t>TI20220520</t>
        </is>
      </c>
      <c r="N2526" s="522" t="inlineStr">
        <is>
          <t>TI20220520</t>
        </is>
      </c>
      <c r="O2526" s="521">
        <f>M2526=N2526</f>
        <v/>
      </c>
      <c r="P2526" s="521">
        <f>AND(MONTH(F2526)=MONTH(S2526), YEAR(F2526)=YEAR(S2526))</f>
        <v/>
      </c>
      <c r="Q2526" s="521">
        <f>U2526="L001-901905215"</f>
        <v/>
      </c>
      <c r="R2526" s="556">
        <f>G2526-W2526</f>
        <v/>
      </c>
      <c r="S2526" s="523" t="n">
        <v>44742</v>
      </c>
      <c r="T2526" s="522" t="inlineStr">
        <is>
          <t>TI2022-0520</t>
        </is>
      </c>
      <c r="U2526" s="522" t="inlineStr">
        <is>
          <t>L001-901905215</t>
        </is>
      </c>
      <c r="V2526" s="522" t="inlineStr">
        <is>
          <t>វីអ៊ីស៊ិន (ខេមបូឌា) អ៊ិនដាសស្ទ្រី ឯ.ក</t>
        </is>
      </c>
      <c r="W2526" s="556" t="n">
        <v>272584</v>
      </c>
    </row>
    <row r="2527">
      <c r="A2527" s="521" t="n">
        <v>2519</v>
      </c>
      <c r="B2527" s="522" t="inlineStr">
        <is>
          <t>CLEARNCE &amp; TRUCKING FEE</t>
        </is>
      </c>
      <c r="C2527" s="522" t="inlineStr">
        <is>
          <t>56ប៊ី-លីង សឹបផ្លាយ ឆេន មេនេចម៉ិន ឯ.ក</t>
        </is>
      </c>
      <c r="D2527" s="522" t="inlineStr">
        <is>
          <t>K004-902004795</t>
        </is>
      </c>
      <c r="E2527" s="521" t="inlineStr">
        <is>
          <t>TI2022-0519</t>
        </is>
      </c>
      <c r="F2527" s="523" t="n">
        <v>44742</v>
      </c>
      <c r="G2527" s="556" t="n">
        <v>348415</v>
      </c>
      <c r="I2527" s="521">
        <f>G2527</f>
        <v/>
      </c>
      <c r="K2527" s="521">
        <f>I2527-G2527</f>
        <v/>
      </c>
      <c r="M2527" s="522" t="inlineStr">
        <is>
          <t>TI20220519</t>
        </is>
      </c>
      <c r="N2527" s="522" t="inlineStr">
        <is>
          <t>TI20220519</t>
        </is>
      </c>
      <c r="O2527" s="521">
        <f>M2527=N2527</f>
        <v/>
      </c>
      <c r="P2527" s="521">
        <f>AND(MONTH(F2527)=MONTH(S2527), YEAR(F2527)=YEAR(S2527))</f>
        <v/>
      </c>
      <c r="Q2527" s="521">
        <f>U2527="L001-901905215"</f>
        <v/>
      </c>
      <c r="R2527" s="556">
        <f>G2527-W2527</f>
        <v/>
      </c>
      <c r="S2527" s="523" t="n">
        <v>44742</v>
      </c>
      <c r="T2527" s="522" t="inlineStr">
        <is>
          <t>TI2022-0519</t>
        </is>
      </c>
      <c r="U2527" s="522" t="inlineStr">
        <is>
          <t>L001-901905215</t>
        </is>
      </c>
      <c r="V2527" s="522" t="inlineStr">
        <is>
          <t>វីអ៊ីស៊ិន (ខេមបូឌា) អ៊ិនដាសស្ទ្រី ឯ.ក</t>
        </is>
      </c>
      <c r="W2527" s="556" t="n">
        <v>348415</v>
      </c>
    </row>
    <row r="2528">
      <c r="A2528" s="521" t="n">
        <v>2520</v>
      </c>
      <c r="B2528" s="522" t="inlineStr">
        <is>
          <t>CLEARNCE &amp; TRUCKING FEE</t>
        </is>
      </c>
      <c r="C2528" s="522" t="inlineStr">
        <is>
          <t>56ប៊ី-លីង សឹបផ្លាយ ឆេន មេនេចម៉ិន ឯ.ក</t>
        </is>
      </c>
      <c r="D2528" s="522" t="inlineStr">
        <is>
          <t>K004-902004795</t>
        </is>
      </c>
      <c r="E2528" s="521" t="inlineStr">
        <is>
          <t>TI2022-0518</t>
        </is>
      </c>
      <c r="F2528" s="523" t="n">
        <v>44742</v>
      </c>
      <c r="G2528" s="556" t="n">
        <v>348415</v>
      </c>
      <c r="I2528" s="521">
        <f>G2528</f>
        <v/>
      </c>
      <c r="K2528" s="521">
        <f>I2528-G2528</f>
        <v/>
      </c>
      <c r="M2528" s="522" t="inlineStr">
        <is>
          <t>TI20220518</t>
        </is>
      </c>
      <c r="N2528" s="522" t="inlineStr">
        <is>
          <t>TI20220518</t>
        </is>
      </c>
      <c r="O2528" s="521">
        <f>M2528=N2528</f>
        <v/>
      </c>
      <c r="P2528" s="521">
        <f>AND(MONTH(F2528)=MONTH(S2528), YEAR(F2528)=YEAR(S2528))</f>
        <v/>
      </c>
      <c r="Q2528" s="521">
        <f>U2528="L001-901905215"</f>
        <v/>
      </c>
      <c r="R2528" s="556">
        <f>G2528-W2528</f>
        <v/>
      </c>
      <c r="S2528" s="523" t="n">
        <v>44742</v>
      </c>
      <c r="T2528" s="522" t="inlineStr">
        <is>
          <t>TI2022-0518</t>
        </is>
      </c>
      <c r="U2528" s="522" t="inlineStr">
        <is>
          <t>L001-901905215</t>
        </is>
      </c>
      <c r="V2528" s="522" t="inlineStr">
        <is>
          <t>វីអ៊ីស៊ិន (ខេមបូឌា) អ៊ិនដាសស្ទ្រី ឯ.ក</t>
        </is>
      </c>
      <c r="W2528" s="556" t="n">
        <v>348415</v>
      </c>
    </row>
    <row r="2529">
      <c r="A2529" s="521" t="n">
        <v>2521</v>
      </c>
      <c r="B2529" s="522" t="inlineStr">
        <is>
          <t>LIFE -OFF,GATE FEE CHARGE</t>
        </is>
      </c>
      <c r="C2529" s="522" t="inlineStr">
        <is>
          <t>កំពង់ផែស្វយ័តភ្នំពេញ "ក.ស.ភ"</t>
        </is>
      </c>
      <c r="D2529" s="522" t="inlineStr">
        <is>
          <t>L001-100044999</t>
        </is>
      </c>
      <c r="E2529" s="521" t="inlineStr">
        <is>
          <t>INV20220648960</t>
        </is>
      </c>
      <c r="F2529" s="523" t="n">
        <v>44742</v>
      </c>
      <c r="G2529" s="556" t="n">
        <v>59026</v>
      </c>
      <c r="I2529" s="521">
        <f>G2529</f>
        <v/>
      </c>
      <c r="K2529" s="521">
        <f>I2529-G2529</f>
        <v/>
      </c>
      <c r="M2529" s="522" t="inlineStr">
        <is>
          <t>INV20220648960</t>
        </is>
      </c>
      <c r="N2529" s="522" t="inlineStr"/>
      <c r="O2529" s="521">
        <f>M2529=N2529</f>
        <v/>
      </c>
      <c r="P2529" s="521">
        <f>AND(MONTH(F2529)=MONTH(S2529), YEAR(F2529)=YEAR(S2529))</f>
        <v/>
      </c>
      <c r="Q2529" s="521">
        <f>U2529="L001-901905215"</f>
        <v/>
      </c>
      <c r="R2529" s="556">
        <f>G2529-W2529</f>
        <v/>
      </c>
      <c r="S2529" s="521" t="n"/>
      <c r="T2529" s="522" t="n"/>
      <c r="U2529" s="522" t="n"/>
      <c r="V2529" s="522" t="n"/>
      <c r="W2529" s="521" t="n"/>
    </row>
    <row r="2530">
      <c r="A2530" s="521" t="n">
        <v>2522</v>
      </c>
      <c r="B2530" s="522" t="inlineStr">
        <is>
          <t>CLEARNCE &amp; TRUCKING FEE</t>
        </is>
      </c>
      <c r="C2530" s="522" t="inlineStr">
        <is>
          <t>56ប៊ី-លីង សឹបផ្លាយ ឆេន មេនេចម៉ិន ឯ.ក</t>
        </is>
      </c>
      <c r="D2530" s="522" t="inlineStr">
        <is>
          <t>K004-902004795</t>
        </is>
      </c>
      <c r="E2530" s="521" t="inlineStr">
        <is>
          <t>TI2022-0517</t>
        </is>
      </c>
      <c r="F2530" s="523" t="n">
        <v>44742</v>
      </c>
      <c r="G2530" s="556" t="n">
        <v>487781</v>
      </c>
      <c r="I2530" s="521">
        <f>G2530</f>
        <v/>
      </c>
      <c r="K2530" s="521">
        <f>I2530-G2530</f>
        <v/>
      </c>
      <c r="M2530" s="522" t="inlineStr">
        <is>
          <t>TI20220517</t>
        </is>
      </c>
      <c r="N2530" s="522" t="inlineStr">
        <is>
          <t>TI20220517</t>
        </is>
      </c>
      <c r="O2530" s="521">
        <f>M2530=N2530</f>
        <v/>
      </c>
      <c r="P2530" s="521">
        <f>AND(MONTH(F2530)=MONTH(S2530), YEAR(F2530)=YEAR(S2530))</f>
        <v/>
      </c>
      <c r="Q2530" s="521">
        <f>U2530="L001-901905215"</f>
        <v/>
      </c>
      <c r="R2530" s="556">
        <f>G2530-W2530</f>
        <v/>
      </c>
      <c r="S2530" s="523" t="n">
        <v>44742</v>
      </c>
      <c r="T2530" s="522" t="inlineStr">
        <is>
          <t>TI2022-0517</t>
        </is>
      </c>
      <c r="U2530" s="522" t="inlineStr">
        <is>
          <t>L001-901905215</t>
        </is>
      </c>
      <c r="V2530" s="522" t="inlineStr">
        <is>
          <t>វីអ៊ីស៊ិន (ខេមបូឌា) អ៊ិនដាសស្ទ្រី ឯ.ក</t>
        </is>
      </c>
      <c r="W2530" s="556" t="n">
        <v>487781</v>
      </c>
    </row>
    <row r="2531">
      <c r="A2531" s="521" t="n">
        <v>2523</v>
      </c>
      <c r="B2531" s="522" t="inlineStr">
        <is>
          <t>Lift-On &amp; Lift-Off</t>
        </is>
      </c>
      <c r="C2531" s="522" t="inlineStr">
        <is>
          <t>កំពង់ផែស្វយ័តក្រុងព្រះសីហនុ</t>
        </is>
      </c>
      <c r="D2531" s="522" t="inlineStr">
        <is>
          <t>L001-100044638</t>
        </is>
      </c>
      <c r="E2531" s="521" t="inlineStr">
        <is>
          <t>114269</t>
        </is>
      </c>
      <c r="F2531" s="523" t="n">
        <v>44735</v>
      </c>
      <c r="G2531" s="556" t="n">
        <v>6965</v>
      </c>
      <c r="I2531" s="521">
        <f>G2531</f>
        <v/>
      </c>
      <c r="K2531" s="521">
        <f>I2531-G2531</f>
        <v/>
      </c>
      <c r="M2531" s="522" t="inlineStr">
        <is>
          <t>114269</t>
        </is>
      </c>
      <c r="N2531" s="522" t="inlineStr"/>
      <c r="O2531" s="521">
        <f>M2531=N2531</f>
        <v/>
      </c>
      <c r="P2531" s="521">
        <f>AND(MONTH(F2531)=MONTH(S2531), YEAR(F2531)=YEAR(S2531))</f>
        <v/>
      </c>
      <c r="Q2531" s="521">
        <f>U2531="L001-901905215"</f>
        <v/>
      </c>
      <c r="R2531" s="556">
        <f>G2531-W2531</f>
        <v/>
      </c>
      <c r="S2531" s="521" t="n"/>
      <c r="T2531" s="522" t="n"/>
      <c r="U2531" s="522" t="n"/>
      <c r="V2531" s="522" t="n"/>
      <c r="W2531" s="521" t="n"/>
    </row>
    <row r="2532">
      <c r="A2532" s="521" t="n">
        <v>2524</v>
      </c>
      <c r="B2532" s="522" t="inlineStr">
        <is>
          <t>CLEARNCE &amp; TRUCKING FEE</t>
        </is>
      </c>
      <c r="C2532" s="522" t="inlineStr">
        <is>
          <t>56ប៊ី-លីង សឹបផ្លាយ ឆេន មេនេចម៉ិន ឯ.ក</t>
        </is>
      </c>
      <c r="D2532" s="522" t="inlineStr">
        <is>
          <t>K004-902004795</t>
        </is>
      </c>
      <c r="E2532" s="521" t="inlineStr">
        <is>
          <t>TI2022-0516</t>
        </is>
      </c>
      <c r="F2532" s="523" t="n">
        <v>44742</v>
      </c>
      <c r="G2532" s="556" t="n">
        <v>301277</v>
      </c>
      <c r="I2532" s="521">
        <f>G2532</f>
        <v/>
      </c>
      <c r="K2532" s="521">
        <f>I2532-G2532</f>
        <v/>
      </c>
      <c r="M2532" s="522" t="inlineStr">
        <is>
          <t>TI20220516</t>
        </is>
      </c>
      <c r="N2532" s="522" t="inlineStr">
        <is>
          <t>TI20220516</t>
        </is>
      </c>
      <c r="O2532" s="521">
        <f>M2532=N2532</f>
        <v/>
      </c>
      <c r="P2532" s="521">
        <f>AND(MONTH(F2532)=MONTH(S2532), YEAR(F2532)=YEAR(S2532))</f>
        <v/>
      </c>
      <c r="Q2532" s="521">
        <f>U2532="L001-901905215"</f>
        <v/>
      </c>
      <c r="R2532" s="556">
        <f>G2532-W2532</f>
        <v/>
      </c>
      <c r="S2532" s="523" t="n">
        <v>44742</v>
      </c>
      <c r="T2532" s="522" t="inlineStr">
        <is>
          <t>TI2022-0516</t>
        </is>
      </c>
      <c r="U2532" s="522" t="inlineStr">
        <is>
          <t>L001-901905215</t>
        </is>
      </c>
      <c r="V2532" s="522" t="inlineStr">
        <is>
          <t>វីអ៊ីស៊ិន (ខេមបូឌា) អ៊ិនដាសស្ទ្រី ឯ.ក</t>
        </is>
      </c>
      <c r="W2532" s="556" t="n">
        <v>301277</v>
      </c>
    </row>
    <row r="2533">
      <c r="A2533" s="521" t="n">
        <v>2525</v>
      </c>
      <c r="B2533" s="522" t="inlineStr">
        <is>
          <t>LIFE -OFF,GATE FEE CHARGE</t>
        </is>
      </c>
      <c r="C2533" s="522" t="inlineStr">
        <is>
          <t>កំពង់ផែស្វយ័តភ្នំពេញ "ក.ស.ភ"</t>
        </is>
      </c>
      <c r="D2533" s="522" t="inlineStr">
        <is>
          <t>L001-100044999</t>
        </is>
      </c>
      <c r="E2533" s="521" t="inlineStr">
        <is>
          <t>INV20220645837</t>
        </is>
      </c>
      <c r="F2533" s="523" t="n">
        <v>44732</v>
      </c>
      <c r="G2533" s="556" t="n">
        <v>29491</v>
      </c>
      <c r="I2533" s="521">
        <f>G2533</f>
        <v/>
      </c>
      <c r="K2533" s="521">
        <f>I2533-G2533</f>
        <v/>
      </c>
      <c r="M2533" s="522" t="inlineStr">
        <is>
          <t>INV20220645837</t>
        </is>
      </c>
      <c r="N2533" s="522" t="inlineStr"/>
      <c r="O2533" s="521">
        <f>M2533=N2533</f>
        <v/>
      </c>
      <c r="P2533" s="521">
        <f>AND(MONTH(F2533)=MONTH(S2533), YEAR(F2533)=YEAR(S2533))</f>
        <v/>
      </c>
      <c r="Q2533" s="521">
        <f>U2533="L001-901905215"</f>
        <v/>
      </c>
      <c r="R2533" s="556">
        <f>G2533-W2533</f>
        <v/>
      </c>
      <c r="S2533" s="521" t="n"/>
      <c r="T2533" s="522" t="n"/>
      <c r="U2533" s="522" t="n"/>
      <c r="V2533" s="522" t="n"/>
      <c r="W2533" s="521" t="n"/>
    </row>
    <row r="2534">
      <c r="A2534" s="521" t="n">
        <v>2526</v>
      </c>
      <c r="B2534" s="522" t="inlineStr">
        <is>
          <t>CLEARNCE &amp; TRUCKING FEE</t>
        </is>
      </c>
      <c r="C2534" s="522" t="inlineStr">
        <is>
          <t>56ប៊ី-លីង សឹបផ្លាយ ឆេន មេនេចម៉ិន ឯ.ក</t>
        </is>
      </c>
      <c r="D2534" s="522" t="inlineStr">
        <is>
          <t>K004-902004795</t>
        </is>
      </c>
      <c r="E2534" s="521" t="inlineStr">
        <is>
          <t>TI2022-0478</t>
        </is>
      </c>
      <c r="F2534" s="523" t="n">
        <v>44732</v>
      </c>
      <c r="G2534" s="556" t="n">
        <v>272384</v>
      </c>
      <c r="I2534" s="521">
        <f>G2534</f>
        <v/>
      </c>
      <c r="K2534" s="521">
        <f>I2534-G2534</f>
        <v/>
      </c>
      <c r="M2534" s="522" t="inlineStr">
        <is>
          <t>TI20220478</t>
        </is>
      </c>
      <c r="N2534" s="522" t="inlineStr">
        <is>
          <t>TI20220478</t>
        </is>
      </c>
      <c r="O2534" s="521">
        <f>M2534=N2534</f>
        <v/>
      </c>
      <c r="P2534" s="521">
        <f>AND(MONTH(F2534)=MONTH(S2534), YEAR(F2534)=YEAR(S2534))</f>
        <v/>
      </c>
      <c r="Q2534" s="521">
        <f>U2534="L001-901905215"</f>
        <v/>
      </c>
      <c r="R2534" s="556">
        <f>G2534-W2534</f>
        <v/>
      </c>
      <c r="S2534" s="523" t="n">
        <v>44732</v>
      </c>
      <c r="T2534" s="522" t="inlineStr">
        <is>
          <t>TI2022-0478</t>
        </is>
      </c>
      <c r="U2534" s="522" t="inlineStr">
        <is>
          <t>L001-901905215</t>
        </is>
      </c>
      <c r="V2534" s="522" t="inlineStr">
        <is>
          <t>វីអ៊ីស៊ិន (ខេមបូឌា) អ៊ិនដាសស្ទ្រី ឯ.ក</t>
        </is>
      </c>
      <c r="W2534" s="556" t="n">
        <v>272384</v>
      </c>
    </row>
    <row r="2535">
      <c r="A2535" s="521" t="n">
        <v>2527</v>
      </c>
      <c r="B2535" s="522" t="inlineStr">
        <is>
          <t>Lift-On &amp; Lift-Off</t>
        </is>
      </c>
      <c r="C2535" s="522" t="inlineStr">
        <is>
          <t>កំពង់ផែស្វយ័តក្រុងព្រះសីហនុ</t>
        </is>
      </c>
      <c r="D2535" s="522" t="inlineStr">
        <is>
          <t>L001-100044638</t>
        </is>
      </c>
      <c r="E2535" s="521" t="inlineStr">
        <is>
          <t>110022</t>
        </is>
      </c>
      <c r="F2535" s="523" t="n">
        <v>44728</v>
      </c>
      <c r="G2535" s="556" t="n">
        <v>20890</v>
      </c>
      <c r="I2535" s="521">
        <f>G2535</f>
        <v/>
      </c>
      <c r="K2535" s="521">
        <f>I2535-G2535</f>
        <v/>
      </c>
      <c r="M2535" s="522" t="inlineStr">
        <is>
          <t>110022</t>
        </is>
      </c>
      <c r="N2535" s="522" t="inlineStr"/>
      <c r="O2535" s="521">
        <f>M2535=N2535</f>
        <v/>
      </c>
      <c r="P2535" s="521">
        <f>AND(MONTH(F2535)=MONTH(S2535), YEAR(F2535)=YEAR(S2535))</f>
        <v/>
      </c>
      <c r="Q2535" s="521">
        <f>U2535="L001-901905215"</f>
        <v/>
      </c>
      <c r="R2535" s="556">
        <f>G2535-W2535</f>
        <v/>
      </c>
      <c r="S2535" s="521" t="n"/>
      <c r="T2535" s="522" t="n"/>
      <c r="U2535" s="522" t="n"/>
      <c r="V2535" s="522" t="n"/>
      <c r="W2535" s="521" t="n"/>
    </row>
    <row r="2536">
      <c r="A2536" s="521" t="n">
        <v>2528</v>
      </c>
      <c r="B2536" s="522" t="inlineStr">
        <is>
          <t>CLEARNCE &amp; TRUCKING FEE</t>
        </is>
      </c>
      <c r="C2536" s="522" t="inlineStr">
        <is>
          <t>56ប៊ី-លីង សឹបផ្លាយ ឆេន មេនេចម៉ិន ឯ.ក</t>
        </is>
      </c>
      <c r="D2536" s="522" t="inlineStr">
        <is>
          <t>K004-902004795</t>
        </is>
      </c>
      <c r="E2536" s="521" t="inlineStr">
        <is>
          <t>TI2022-0477</t>
        </is>
      </c>
      <c r="F2536" s="523" t="n">
        <v>44732</v>
      </c>
      <c r="G2536" s="556" t="n">
        <v>387072</v>
      </c>
      <c r="I2536" s="521">
        <f>G2536</f>
        <v/>
      </c>
      <c r="K2536" s="521">
        <f>I2536-G2536</f>
        <v/>
      </c>
      <c r="M2536" s="522" t="inlineStr">
        <is>
          <t>TI20220477</t>
        </is>
      </c>
      <c r="N2536" s="522" t="inlineStr">
        <is>
          <t>TI20220477</t>
        </is>
      </c>
      <c r="O2536" s="521">
        <f>M2536=N2536</f>
        <v/>
      </c>
      <c r="P2536" s="521">
        <f>AND(MONTH(F2536)=MONTH(S2536), YEAR(F2536)=YEAR(S2536))</f>
        <v/>
      </c>
      <c r="Q2536" s="521">
        <f>U2536="L001-901905215"</f>
        <v/>
      </c>
      <c r="R2536" s="556">
        <f>G2536-W2536</f>
        <v/>
      </c>
      <c r="S2536" s="523" t="n">
        <v>44732</v>
      </c>
      <c r="T2536" s="522" t="inlineStr">
        <is>
          <t>TI2022-0477</t>
        </is>
      </c>
      <c r="U2536" s="522" t="inlineStr">
        <is>
          <t>L001-901905215</t>
        </is>
      </c>
      <c r="V2536" s="522" t="inlineStr">
        <is>
          <t>វីអ៊ីស៊ិន (ខេមបូឌា) អ៊ិនដាសស្ទ្រី ឯ.ក</t>
        </is>
      </c>
      <c r="W2536" s="556" t="n">
        <v>387072</v>
      </c>
    </row>
    <row r="2537">
      <c r="A2537" s="521" t="n">
        <v>2529</v>
      </c>
      <c r="B2537" s="522" t="inlineStr">
        <is>
          <t>LIFE -OFF,GATE FEE CHARGE</t>
        </is>
      </c>
      <c r="C2537" s="522" t="inlineStr">
        <is>
          <t>កំពង់ផែស្វយ័តភ្នំពេញ "ក.ស.ភ"</t>
        </is>
      </c>
      <c r="D2537" s="522" t="inlineStr">
        <is>
          <t>L001-100044999</t>
        </is>
      </c>
      <c r="E2537" s="521" t="inlineStr">
        <is>
          <t>INV20220645836</t>
        </is>
      </c>
      <c r="F2537" s="523" t="n">
        <v>44732</v>
      </c>
      <c r="G2537" s="556" t="n">
        <v>29491</v>
      </c>
      <c r="I2537" s="521">
        <f>G2537</f>
        <v/>
      </c>
      <c r="K2537" s="521">
        <f>I2537-G2537</f>
        <v/>
      </c>
      <c r="M2537" s="522" t="inlineStr">
        <is>
          <t>INV20220645836</t>
        </is>
      </c>
      <c r="N2537" s="522" t="inlineStr"/>
      <c r="O2537" s="521">
        <f>M2537=N2537</f>
        <v/>
      </c>
      <c r="P2537" s="521">
        <f>AND(MONTH(F2537)=MONTH(S2537), YEAR(F2537)=YEAR(S2537))</f>
        <v/>
      </c>
      <c r="Q2537" s="521">
        <f>U2537="L001-901905215"</f>
        <v/>
      </c>
      <c r="R2537" s="556">
        <f>G2537-W2537</f>
        <v/>
      </c>
      <c r="S2537" s="521" t="n"/>
      <c r="T2537" s="522" t="n"/>
      <c r="U2537" s="522" t="n"/>
      <c r="V2537" s="522" t="n"/>
      <c r="W2537" s="521" t="n"/>
    </row>
    <row r="2538">
      <c r="A2538" s="521" t="n">
        <v>2530</v>
      </c>
      <c r="B2538" s="522" t="inlineStr">
        <is>
          <t>CLEARNCE &amp; TRUCKING FEE</t>
        </is>
      </c>
      <c r="C2538" s="522" t="inlineStr">
        <is>
          <t>56ប៊ី-លីង សឹបផ្លាយ ឆេន មេនេចម៉ិន ឯ.ក</t>
        </is>
      </c>
      <c r="D2538" s="522" t="inlineStr">
        <is>
          <t>K004-902004795</t>
        </is>
      </c>
      <c r="E2538" s="521" t="inlineStr">
        <is>
          <t>TI2022-0476</t>
        </is>
      </c>
      <c r="F2538" s="523" t="n">
        <v>44732</v>
      </c>
      <c r="G2538" s="556" t="n">
        <v>272384</v>
      </c>
      <c r="I2538" s="521">
        <f>G2538</f>
        <v/>
      </c>
      <c r="K2538" s="521">
        <f>I2538-G2538</f>
        <v/>
      </c>
      <c r="M2538" s="522" t="inlineStr">
        <is>
          <t>TI20220476</t>
        </is>
      </c>
      <c r="N2538" s="522" t="inlineStr">
        <is>
          <t>TI20220476</t>
        </is>
      </c>
      <c r="O2538" s="521">
        <f>M2538=N2538</f>
        <v/>
      </c>
      <c r="P2538" s="521">
        <f>AND(MONTH(F2538)=MONTH(S2538), YEAR(F2538)=YEAR(S2538))</f>
        <v/>
      </c>
      <c r="Q2538" s="521">
        <f>U2538="L001-901905215"</f>
        <v/>
      </c>
      <c r="R2538" s="556">
        <f>G2538-W2538</f>
        <v/>
      </c>
      <c r="S2538" s="523" t="n">
        <v>44732</v>
      </c>
      <c r="T2538" s="522" t="inlineStr">
        <is>
          <t>TI2022-0476</t>
        </is>
      </c>
      <c r="U2538" s="522" t="inlineStr">
        <is>
          <t>L001-901905215</t>
        </is>
      </c>
      <c r="V2538" s="522" t="inlineStr">
        <is>
          <t>វីអ៊ីស៊ិន (ខេមបូឌា) អ៊ិនដាសស្ទ្រី ឯ.ក</t>
        </is>
      </c>
      <c r="W2538" s="556" t="n">
        <v>272384</v>
      </c>
    </row>
    <row r="2539">
      <c r="A2539" s="521" t="n">
        <v>2531</v>
      </c>
      <c r="B2539" s="522" t="inlineStr">
        <is>
          <t>CLEARNCE &amp; TRUCKING FEE</t>
        </is>
      </c>
      <c r="C2539" s="522" t="inlineStr">
        <is>
          <t>56ប៊ី-លីង សឹបផ្លាយ ឆេន មេនេចម៉ិន ឯ.ក</t>
        </is>
      </c>
      <c r="D2539" s="522" t="inlineStr">
        <is>
          <t>K004-902004795</t>
        </is>
      </c>
      <c r="E2539" s="521" t="inlineStr">
        <is>
          <t>TI2022-0475</t>
        </is>
      </c>
      <c r="F2539" s="523" t="n">
        <v>44732</v>
      </c>
      <c r="G2539" s="556" t="n">
        <v>210944</v>
      </c>
      <c r="I2539" s="521">
        <f>G2539</f>
        <v/>
      </c>
      <c r="K2539" s="521">
        <f>I2539-G2539</f>
        <v/>
      </c>
      <c r="M2539" s="522" t="inlineStr">
        <is>
          <t>TI20220475</t>
        </is>
      </c>
      <c r="N2539" s="522" t="inlineStr">
        <is>
          <t>TI20220475</t>
        </is>
      </c>
      <c r="O2539" s="521">
        <f>M2539=N2539</f>
        <v/>
      </c>
      <c r="P2539" s="521">
        <f>AND(MONTH(F2539)=MONTH(S2539), YEAR(F2539)=YEAR(S2539))</f>
        <v/>
      </c>
      <c r="Q2539" s="521">
        <f>U2539="L001-901905215"</f>
        <v/>
      </c>
      <c r="R2539" s="556">
        <f>G2539-W2539</f>
        <v/>
      </c>
      <c r="S2539" s="523" t="n">
        <v>44732</v>
      </c>
      <c r="T2539" s="522" t="inlineStr">
        <is>
          <t>TI2022-0475</t>
        </is>
      </c>
      <c r="U2539" s="522" t="inlineStr">
        <is>
          <t>L001-901905215</t>
        </is>
      </c>
      <c r="V2539" s="522" t="inlineStr">
        <is>
          <t>វីអ៊ីស៊ិន (ខេមបូឌា) អ៊ិនដាសស្ទ្រី ឯ.ក</t>
        </is>
      </c>
      <c r="W2539" s="556" t="n">
        <v>210944</v>
      </c>
    </row>
    <row r="2540">
      <c r="A2540" s="521" t="n">
        <v>2532</v>
      </c>
      <c r="B2540" s="522" t="inlineStr">
        <is>
          <t>CLEARNCE &amp; TRUCKING FEE</t>
        </is>
      </c>
      <c r="C2540" s="522" t="inlineStr">
        <is>
          <t>56ប៊ី-លីង សឹបផ្លាយ ឆេន មេនេចម៉ិន ឯ.ក</t>
        </is>
      </c>
      <c r="D2540" s="522" t="inlineStr">
        <is>
          <t>K004-902004795</t>
        </is>
      </c>
      <c r="E2540" s="521" t="inlineStr">
        <is>
          <t>TI2022-0474</t>
        </is>
      </c>
      <c r="F2540" s="523" t="n">
        <v>44732</v>
      </c>
      <c r="G2540" s="556" t="n">
        <v>348160</v>
      </c>
      <c r="I2540" s="521">
        <f>G2540</f>
        <v/>
      </c>
      <c r="K2540" s="521">
        <f>I2540-G2540</f>
        <v/>
      </c>
      <c r="M2540" s="522" t="inlineStr">
        <is>
          <t>TI20220474</t>
        </is>
      </c>
      <c r="N2540" s="522" t="inlineStr">
        <is>
          <t>TI20220474</t>
        </is>
      </c>
      <c r="O2540" s="521">
        <f>M2540=N2540</f>
        <v/>
      </c>
      <c r="P2540" s="521">
        <f>AND(MONTH(F2540)=MONTH(S2540), YEAR(F2540)=YEAR(S2540))</f>
        <v/>
      </c>
      <c r="Q2540" s="521">
        <f>U2540="L001-901905215"</f>
        <v/>
      </c>
      <c r="R2540" s="556">
        <f>G2540-W2540</f>
        <v/>
      </c>
      <c r="S2540" s="523" t="n">
        <v>44732</v>
      </c>
      <c r="T2540" s="522" t="inlineStr">
        <is>
          <t>TI2022-0474</t>
        </is>
      </c>
      <c r="U2540" s="522" t="inlineStr">
        <is>
          <t>L001-901905215</t>
        </is>
      </c>
      <c r="V2540" s="522" t="inlineStr">
        <is>
          <t>វីអ៊ីស៊ិន (ខេមបូឌា) អ៊ិនដាសស្ទ្រី ឯ.ក</t>
        </is>
      </c>
      <c r="W2540" s="556" t="n">
        <v>348160</v>
      </c>
    </row>
    <row r="2541">
      <c r="A2541" s="521" t="n">
        <v>2533</v>
      </c>
      <c r="B2541" s="522" t="inlineStr">
        <is>
          <t>CLEARNCE &amp; TRUCKING FEE</t>
        </is>
      </c>
      <c r="C2541" s="522" t="inlineStr">
        <is>
          <t>56ប៊ី-លីង សឹបផ្លាយ ឆេន មេនេចម៉ិន ឯ.ក</t>
        </is>
      </c>
      <c r="D2541" s="522" t="inlineStr">
        <is>
          <t>K004-902004795</t>
        </is>
      </c>
      <c r="E2541" s="521" t="inlineStr">
        <is>
          <t>TI2022-0473</t>
        </is>
      </c>
      <c r="F2541" s="523" t="n">
        <v>44732</v>
      </c>
      <c r="G2541" s="556" t="n">
        <v>186368</v>
      </c>
      <c r="I2541" s="521">
        <f>G2541</f>
        <v/>
      </c>
      <c r="K2541" s="521">
        <f>I2541-G2541</f>
        <v/>
      </c>
      <c r="M2541" s="522" t="inlineStr">
        <is>
          <t>TI20220473</t>
        </is>
      </c>
      <c r="N2541" s="522" t="inlineStr">
        <is>
          <t>TI20220473</t>
        </is>
      </c>
      <c r="O2541" s="521">
        <f>M2541=N2541</f>
        <v/>
      </c>
      <c r="P2541" s="521">
        <f>AND(MONTH(F2541)=MONTH(S2541), YEAR(F2541)=YEAR(S2541))</f>
        <v/>
      </c>
      <c r="Q2541" s="521">
        <f>U2541="L001-901905215"</f>
        <v/>
      </c>
      <c r="R2541" s="556">
        <f>G2541-W2541</f>
        <v/>
      </c>
      <c r="S2541" s="523" t="n">
        <v>44732</v>
      </c>
      <c r="T2541" s="522" t="inlineStr">
        <is>
          <t>TI2022-0473</t>
        </is>
      </c>
      <c r="U2541" s="522" t="inlineStr">
        <is>
          <t>L001-901905215</t>
        </is>
      </c>
      <c r="V2541" s="522" t="inlineStr">
        <is>
          <t>វីអ៊ីស៊ិន (ខេមបូឌា) អ៊ិនដាសស្ទ្រី ឯ.ក</t>
        </is>
      </c>
      <c r="W2541" s="556" t="n">
        <v>186368</v>
      </c>
    </row>
    <row r="2542">
      <c r="A2542" s="521" t="n">
        <v>2534</v>
      </c>
      <c r="B2542" s="522" t="inlineStr">
        <is>
          <t>CLEARNCE &amp; TRUCKING FEE</t>
        </is>
      </c>
      <c r="C2542" s="522" t="inlineStr">
        <is>
          <t>56ប៊ី-លីង សឹបផ្លាយ ឆេន មេនេចម៉ិន ឯ.ក</t>
        </is>
      </c>
      <c r="D2542" s="522" t="inlineStr">
        <is>
          <t>K004-902004795</t>
        </is>
      </c>
      <c r="E2542" s="521" t="inlineStr">
        <is>
          <t>TI2022-0448</t>
        </is>
      </c>
      <c r="F2542" s="523" t="n">
        <v>44725</v>
      </c>
      <c r="G2542" s="556" t="n">
        <v>210996</v>
      </c>
      <c r="I2542" s="521">
        <f>G2542</f>
        <v/>
      </c>
      <c r="K2542" s="521">
        <f>I2542-G2542</f>
        <v/>
      </c>
      <c r="M2542" s="522" t="inlineStr">
        <is>
          <t>TI20220448</t>
        </is>
      </c>
      <c r="N2542" s="522" t="inlineStr">
        <is>
          <t>TI20220448</t>
        </is>
      </c>
      <c r="O2542" s="521">
        <f>M2542=N2542</f>
        <v/>
      </c>
      <c r="P2542" s="521">
        <f>AND(MONTH(F2542)=MONTH(S2542), YEAR(F2542)=YEAR(S2542))</f>
        <v/>
      </c>
      <c r="Q2542" s="521">
        <f>U2542="L001-901905215"</f>
        <v/>
      </c>
      <c r="R2542" s="556">
        <f>G2542-W2542</f>
        <v/>
      </c>
      <c r="S2542" s="523" t="n">
        <v>44725</v>
      </c>
      <c r="T2542" s="522" t="inlineStr">
        <is>
          <t>TI2022-0448</t>
        </is>
      </c>
      <c r="U2542" s="522" t="inlineStr">
        <is>
          <t>L001-901905215</t>
        </is>
      </c>
      <c r="V2542" s="522" t="inlineStr">
        <is>
          <t>វីអ៊ីស៊ិន (ខេមបូឌា) អ៊ិនដាសស្ទ្រី ឯ.ក</t>
        </is>
      </c>
      <c r="W2542" s="556" t="n">
        <v>210996</v>
      </c>
    </row>
    <row r="2543">
      <c r="A2543" s="521" t="n">
        <v>2535</v>
      </c>
      <c r="B2543" s="522" t="inlineStr">
        <is>
          <t>LIFE -OFF,GATE FEE CHARGE</t>
        </is>
      </c>
      <c r="C2543" s="522" t="inlineStr">
        <is>
          <t>កំពង់ផែស្វយ័តភ្នំពេញ "ក.ស.ភ"</t>
        </is>
      </c>
      <c r="D2543" s="522" t="inlineStr">
        <is>
          <t>L001-100044999</t>
        </is>
      </c>
      <c r="E2543" s="521" t="inlineStr">
        <is>
          <t>INV20220644574</t>
        </is>
      </c>
      <c r="F2543" s="523" t="n">
        <v>44727</v>
      </c>
      <c r="G2543" s="556" t="n">
        <v>88474</v>
      </c>
      <c r="I2543" s="521">
        <f>G2543</f>
        <v/>
      </c>
      <c r="K2543" s="521">
        <f>I2543-G2543</f>
        <v/>
      </c>
      <c r="M2543" s="522" t="inlineStr">
        <is>
          <t>INV20220644574</t>
        </is>
      </c>
      <c r="N2543" s="522" t="inlineStr"/>
      <c r="O2543" s="521">
        <f>M2543=N2543</f>
        <v/>
      </c>
      <c r="P2543" s="521">
        <f>AND(MONTH(F2543)=MONTH(S2543), YEAR(F2543)=YEAR(S2543))</f>
        <v/>
      </c>
      <c r="Q2543" s="521">
        <f>U2543="L001-901905215"</f>
        <v/>
      </c>
      <c r="R2543" s="556">
        <f>G2543-W2543</f>
        <v/>
      </c>
      <c r="S2543" s="521" t="n"/>
      <c r="T2543" s="522" t="n"/>
      <c r="U2543" s="522" t="n"/>
      <c r="V2543" s="522" t="n"/>
      <c r="W2543" s="521" t="n"/>
    </row>
    <row r="2544">
      <c r="A2544" s="521" t="n">
        <v>2536</v>
      </c>
      <c r="B2544" s="522" t="inlineStr">
        <is>
          <t>CLEARNCE &amp; TRUCKING FEE</t>
        </is>
      </c>
      <c r="C2544" s="522" t="inlineStr">
        <is>
          <t>56ប៊ី-លីង សឹបផ្លាយ ឆេន មេនេចម៉ិន ឯ.ក</t>
        </is>
      </c>
      <c r="D2544" s="522" t="inlineStr">
        <is>
          <t>K004-902004795</t>
        </is>
      </c>
      <c r="E2544" s="521" t="inlineStr">
        <is>
          <t>TI2022-0447</t>
        </is>
      </c>
      <c r="F2544" s="523" t="n">
        <v>44725</v>
      </c>
      <c r="G2544" s="556" t="n">
        <v>678054</v>
      </c>
      <c r="I2544" s="521">
        <f>G2544</f>
        <v/>
      </c>
      <c r="K2544" s="521">
        <f>I2544-G2544</f>
        <v/>
      </c>
      <c r="M2544" s="522" t="inlineStr">
        <is>
          <t>TI20220447</t>
        </is>
      </c>
      <c r="N2544" s="522" t="inlineStr">
        <is>
          <t>TI20220447</t>
        </is>
      </c>
      <c r="O2544" s="521">
        <f>M2544=N2544</f>
        <v/>
      </c>
      <c r="P2544" s="521">
        <f>AND(MONTH(F2544)=MONTH(S2544), YEAR(F2544)=YEAR(S2544))</f>
        <v/>
      </c>
      <c r="Q2544" s="521">
        <f>U2544="L001-901905215"</f>
        <v/>
      </c>
      <c r="R2544" s="556">
        <f>G2544-W2544</f>
        <v/>
      </c>
      <c r="S2544" s="523" t="n">
        <v>44725</v>
      </c>
      <c r="T2544" s="522" t="inlineStr">
        <is>
          <t>TI2022-0447</t>
        </is>
      </c>
      <c r="U2544" s="522" t="inlineStr">
        <is>
          <t>L001-901905215</t>
        </is>
      </c>
      <c r="V2544" s="522" t="inlineStr">
        <is>
          <t>វីអ៊ីស៊ិន (ខេមបូឌា) អ៊ិនដាសស្ទ្រី ឯ.ក</t>
        </is>
      </c>
      <c r="W2544" s="556" t="n">
        <v>678054</v>
      </c>
    </row>
    <row r="2545">
      <c r="A2545" s="521" t="n">
        <v>2537</v>
      </c>
      <c r="B2545" s="522" t="inlineStr">
        <is>
          <t>Lift-On &amp; Lift-Off</t>
        </is>
      </c>
      <c r="C2545" s="522" t="inlineStr">
        <is>
          <t>កំពង់ផែស្វយ័តក្រុងព្រះសីហនុ</t>
        </is>
      </c>
      <c r="D2545" s="522" t="inlineStr">
        <is>
          <t>L001-100044638</t>
        </is>
      </c>
      <c r="E2545" s="521" t="inlineStr">
        <is>
          <t>105326</t>
        </is>
      </c>
      <c r="F2545" s="523" t="n">
        <v>44722</v>
      </c>
      <c r="G2545" s="556" t="n">
        <v>62669</v>
      </c>
      <c r="I2545" s="521">
        <f>G2545</f>
        <v/>
      </c>
      <c r="K2545" s="521">
        <f>I2545-G2545</f>
        <v/>
      </c>
      <c r="M2545" s="522" t="inlineStr">
        <is>
          <t>105326</t>
        </is>
      </c>
      <c r="N2545" s="522" t="inlineStr"/>
      <c r="O2545" s="521">
        <f>M2545=N2545</f>
        <v/>
      </c>
      <c r="P2545" s="521">
        <f>AND(MONTH(F2545)=MONTH(S2545), YEAR(F2545)=YEAR(S2545))</f>
        <v/>
      </c>
      <c r="Q2545" s="521">
        <f>U2545="L001-901905215"</f>
        <v/>
      </c>
      <c r="R2545" s="556">
        <f>G2545-W2545</f>
        <v/>
      </c>
      <c r="S2545" s="521" t="n"/>
      <c r="T2545" s="522" t="n"/>
      <c r="U2545" s="522" t="n"/>
      <c r="V2545" s="522" t="n"/>
      <c r="W2545" s="521" t="n"/>
    </row>
    <row r="2546">
      <c r="A2546" s="521" t="n">
        <v>2538</v>
      </c>
      <c r="B2546" s="522" t="inlineStr">
        <is>
          <t>CLEARNCE &amp; TRUCKING FEE</t>
        </is>
      </c>
      <c r="C2546" s="522" t="inlineStr">
        <is>
          <t>56ប៊ី-លីង សឹបផ្លាយ ឆេន មេនេចម៉ិន ឯ.ក</t>
        </is>
      </c>
      <c r="D2546" s="522" t="inlineStr">
        <is>
          <t>K004-902004795</t>
        </is>
      </c>
      <c r="E2546" s="521" t="inlineStr">
        <is>
          <t>TI2022-0446</t>
        </is>
      </c>
      <c r="F2546" s="523" t="n">
        <v>44725</v>
      </c>
      <c r="G2546" s="556" t="n">
        <v>788673</v>
      </c>
      <c r="I2546" s="521">
        <f>G2546</f>
        <v/>
      </c>
      <c r="K2546" s="521">
        <f>I2546-G2546</f>
        <v/>
      </c>
      <c r="M2546" s="522" t="inlineStr">
        <is>
          <t>TI20220446</t>
        </is>
      </c>
      <c r="N2546" s="522" t="inlineStr">
        <is>
          <t>TI20220446</t>
        </is>
      </c>
      <c r="O2546" s="521">
        <f>M2546=N2546</f>
        <v/>
      </c>
      <c r="P2546" s="521">
        <f>AND(MONTH(F2546)=MONTH(S2546), YEAR(F2546)=YEAR(S2546))</f>
        <v/>
      </c>
      <c r="Q2546" s="521">
        <f>U2546="L001-901905215"</f>
        <v/>
      </c>
      <c r="R2546" s="556">
        <f>G2546-W2546</f>
        <v/>
      </c>
      <c r="S2546" s="523" t="n">
        <v>44725</v>
      </c>
      <c r="T2546" s="522" t="inlineStr">
        <is>
          <t>TI2022-0446</t>
        </is>
      </c>
      <c r="U2546" s="522" t="inlineStr">
        <is>
          <t>L001-901905215</t>
        </is>
      </c>
      <c r="V2546" s="522" t="inlineStr">
        <is>
          <t>វីអ៊ីស៊ិន (ខេមបូឌា) អ៊ិនដាសស្ទ្រី ឯ.ក</t>
        </is>
      </c>
      <c r="W2546" s="556" t="n">
        <v>788673</v>
      </c>
    </row>
    <row r="2547">
      <c r="A2547" s="521" t="n">
        <v>2539</v>
      </c>
      <c r="B2547" s="522" t="inlineStr">
        <is>
          <t>LIFE -OFF,GATE FEE CHARGE</t>
        </is>
      </c>
      <c r="C2547" s="522" t="inlineStr">
        <is>
          <t>កំពង់ផែស្វយ័តភ្នំពេញ "ក.ស.ភ"</t>
        </is>
      </c>
      <c r="D2547" s="522" t="inlineStr">
        <is>
          <t>L001-100044999</t>
        </is>
      </c>
      <c r="E2547" s="521" t="inlineStr">
        <is>
          <t>INV20220644571</t>
        </is>
      </c>
      <c r="F2547" s="523" t="n">
        <v>44727</v>
      </c>
      <c r="G2547" s="556" t="n">
        <v>19661</v>
      </c>
      <c r="I2547" s="521">
        <f>G2547</f>
        <v/>
      </c>
      <c r="K2547" s="521">
        <f>I2547-G2547</f>
        <v/>
      </c>
      <c r="M2547" s="522" t="inlineStr">
        <is>
          <t>INV20220644571</t>
        </is>
      </c>
      <c r="N2547" s="522" t="inlineStr"/>
      <c r="O2547" s="521">
        <f>M2547=N2547</f>
        <v/>
      </c>
      <c r="P2547" s="521">
        <f>AND(MONTH(F2547)=MONTH(S2547), YEAR(F2547)=YEAR(S2547))</f>
        <v/>
      </c>
      <c r="Q2547" s="521">
        <f>U2547="L001-901905215"</f>
        <v/>
      </c>
      <c r="R2547" s="556">
        <f>G2547-W2547</f>
        <v/>
      </c>
      <c r="S2547" s="521" t="n"/>
      <c r="T2547" s="522" t="n"/>
      <c r="U2547" s="522" t="n"/>
      <c r="V2547" s="522" t="n"/>
      <c r="W2547" s="521" t="n"/>
    </row>
    <row r="2548">
      <c r="A2548" s="521" t="n">
        <v>2540</v>
      </c>
      <c r="B2548" s="522" t="inlineStr">
        <is>
          <t>CLEARNCE &amp; TRUCKING FEE</t>
        </is>
      </c>
      <c r="C2548" s="522" t="inlineStr">
        <is>
          <t>56ប៊ី-លីង សឹបផ្លាយ ឆេន មេនេចម៉ិន ឯ.ក</t>
        </is>
      </c>
      <c r="D2548" s="522" t="inlineStr">
        <is>
          <t>K004-902004795</t>
        </is>
      </c>
      <c r="E2548" s="521" t="inlineStr">
        <is>
          <t>TI2022-0445</t>
        </is>
      </c>
      <c r="F2548" s="523" t="n">
        <v>44725</v>
      </c>
      <c r="G2548" s="556" t="n">
        <v>260160</v>
      </c>
      <c r="I2548" s="521">
        <f>G2548</f>
        <v/>
      </c>
      <c r="K2548" s="521">
        <f>I2548-G2548</f>
        <v/>
      </c>
      <c r="M2548" s="522" t="inlineStr">
        <is>
          <t>TI20220445</t>
        </is>
      </c>
      <c r="N2548" s="522" t="inlineStr">
        <is>
          <t>TI20220445</t>
        </is>
      </c>
      <c r="O2548" s="521">
        <f>M2548=N2548</f>
        <v/>
      </c>
      <c r="P2548" s="521">
        <f>AND(MONTH(F2548)=MONTH(S2548), YEAR(F2548)=YEAR(S2548))</f>
        <v/>
      </c>
      <c r="Q2548" s="521">
        <f>U2548="L001-901905215"</f>
        <v/>
      </c>
      <c r="R2548" s="556">
        <f>G2548-W2548</f>
        <v/>
      </c>
      <c r="S2548" s="523" t="n">
        <v>44725</v>
      </c>
      <c r="T2548" s="522" t="inlineStr">
        <is>
          <t>TI2022-0445</t>
        </is>
      </c>
      <c r="U2548" s="522" t="inlineStr">
        <is>
          <t>L001-901905215</t>
        </is>
      </c>
      <c r="V2548" s="522" t="inlineStr">
        <is>
          <t>វីអ៊ីស៊ិន (ខេមបូឌា) អ៊ិនដាសស្ទ្រី ឯ.ក</t>
        </is>
      </c>
      <c r="W2548" s="556" t="n">
        <v>260160</v>
      </c>
    </row>
    <row r="2549">
      <c r="A2549" s="521" t="n">
        <v>2541</v>
      </c>
      <c r="B2549" s="522" t="inlineStr">
        <is>
          <t>LIFE -OFF,GATE FEE CHARGE</t>
        </is>
      </c>
      <c r="C2549" s="522" t="inlineStr">
        <is>
          <t>កំពង់ផែស្វយ័តភ្នំពេញ "ក.ស.ភ"</t>
        </is>
      </c>
      <c r="D2549" s="522" t="inlineStr">
        <is>
          <t>L001-100044999</t>
        </is>
      </c>
      <c r="E2549" s="521" t="inlineStr">
        <is>
          <t>INV20220644576</t>
        </is>
      </c>
      <c r="F2549" s="523" t="n">
        <v>44727</v>
      </c>
      <c r="G2549" s="556" t="n">
        <v>29491</v>
      </c>
      <c r="I2549" s="521">
        <f>G2549</f>
        <v/>
      </c>
      <c r="K2549" s="521">
        <f>I2549-G2549</f>
        <v/>
      </c>
      <c r="M2549" s="522" t="inlineStr">
        <is>
          <t>INV20220644576</t>
        </is>
      </c>
      <c r="N2549" s="522" t="inlineStr"/>
      <c r="O2549" s="521">
        <f>M2549=N2549</f>
        <v/>
      </c>
      <c r="P2549" s="521">
        <f>AND(MONTH(F2549)=MONTH(S2549), YEAR(F2549)=YEAR(S2549))</f>
        <v/>
      </c>
      <c r="Q2549" s="521">
        <f>U2549="L001-901905215"</f>
        <v/>
      </c>
      <c r="R2549" s="556">
        <f>G2549-W2549</f>
        <v/>
      </c>
      <c r="S2549" s="521" t="n"/>
      <c r="T2549" s="522" t="n"/>
      <c r="U2549" s="522" t="n"/>
      <c r="V2549" s="522" t="n"/>
      <c r="W2549" s="521" t="n"/>
    </row>
    <row r="2550">
      <c r="A2550" s="521" t="n">
        <v>2542</v>
      </c>
      <c r="B2550" s="522" t="inlineStr">
        <is>
          <t>CLEARNCE &amp; TRUCKING FEE</t>
        </is>
      </c>
      <c r="C2550" s="522" t="inlineStr">
        <is>
          <t>56ប៊ី-លីង សឹបផ្លាយ ឆេន មេនេចម៉ិន ឯ.ក</t>
        </is>
      </c>
      <c r="D2550" s="522" t="inlineStr">
        <is>
          <t>K004-902004795</t>
        </is>
      </c>
      <c r="E2550" s="521" t="inlineStr">
        <is>
          <t>TI2022-0444</t>
        </is>
      </c>
      <c r="F2550" s="523" t="n">
        <v>44722</v>
      </c>
      <c r="G2550" s="556" t="n">
        <v>272384</v>
      </c>
      <c r="I2550" s="521">
        <f>G2550</f>
        <v/>
      </c>
      <c r="K2550" s="521">
        <f>I2550-G2550</f>
        <v/>
      </c>
      <c r="M2550" s="522" t="inlineStr">
        <is>
          <t>TI20220444</t>
        </is>
      </c>
      <c r="N2550" s="522" t="inlineStr">
        <is>
          <t>TI20220444</t>
        </is>
      </c>
      <c r="O2550" s="521">
        <f>M2550=N2550</f>
        <v/>
      </c>
      <c r="P2550" s="521">
        <f>AND(MONTH(F2550)=MONTH(S2550), YEAR(F2550)=YEAR(S2550))</f>
        <v/>
      </c>
      <c r="Q2550" s="521">
        <f>U2550="L001-901905215"</f>
        <v/>
      </c>
      <c r="R2550" s="556">
        <f>G2550-W2550</f>
        <v/>
      </c>
      <c r="S2550" s="523" t="n">
        <v>44722</v>
      </c>
      <c r="T2550" s="522" t="inlineStr">
        <is>
          <t>TI2022-0444</t>
        </is>
      </c>
      <c r="U2550" s="522" t="inlineStr">
        <is>
          <t>L001-901905215</t>
        </is>
      </c>
      <c r="V2550" s="522" t="inlineStr">
        <is>
          <t>វីអ៊ីស៊ិន (ខេមបូឌា) អ៊ិនដាសស្ទ្រី ឯ.ក</t>
        </is>
      </c>
      <c r="W2550" s="556" t="n">
        <v>272384</v>
      </c>
    </row>
    <row r="2551">
      <c r="A2551" s="521" t="n">
        <v>2543</v>
      </c>
      <c r="B2551" s="522" t="inlineStr">
        <is>
          <t>LIFE -OFF,GATE FEE CHARGE</t>
        </is>
      </c>
      <c r="C2551" s="522" t="inlineStr">
        <is>
          <t>កំពង់ផែស្វយ័តភ្នំពេញ "ក.ស.ភ"</t>
        </is>
      </c>
      <c r="D2551" s="522" t="inlineStr">
        <is>
          <t>L001-100044999</t>
        </is>
      </c>
      <c r="E2551" s="521" t="inlineStr">
        <is>
          <t>INV20220642432</t>
        </is>
      </c>
      <c r="F2551" s="523" t="n">
        <v>44720</v>
      </c>
      <c r="G2551" s="556" t="n">
        <v>29491</v>
      </c>
      <c r="I2551" s="521">
        <f>G2551</f>
        <v/>
      </c>
      <c r="K2551" s="521">
        <f>I2551-G2551</f>
        <v/>
      </c>
      <c r="M2551" s="522" t="inlineStr">
        <is>
          <t>INV20220642432</t>
        </is>
      </c>
      <c r="N2551" s="522" t="inlineStr"/>
      <c r="O2551" s="521">
        <f>M2551=N2551</f>
        <v/>
      </c>
      <c r="P2551" s="521">
        <f>AND(MONTH(F2551)=MONTH(S2551), YEAR(F2551)=YEAR(S2551))</f>
        <v/>
      </c>
      <c r="Q2551" s="521">
        <f>U2551="L001-901905215"</f>
        <v/>
      </c>
      <c r="R2551" s="556">
        <f>G2551-W2551</f>
        <v/>
      </c>
      <c r="S2551" s="521" t="n"/>
      <c r="T2551" s="522" t="n"/>
      <c r="U2551" s="522" t="n"/>
      <c r="V2551" s="522" t="n"/>
      <c r="W2551" s="521" t="n"/>
    </row>
    <row r="2552">
      <c r="A2552" s="521" t="n">
        <v>2544</v>
      </c>
      <c r="B2552" s="522" t="inlineStr">
        <is>
          <t>LIFE -OFF,GATE FEE CHARGE</t>
        </is>
      </c>
      <c r="C2552" s="522" t="inlineStr">
        <is>
          <t>កំពង់ផែស្វយ័តភ្នំពេញ "ក.ស.ភ"</t>
        </is>
      </c>
      <c r="D2552" s="522" t="inlineStr">
        <is>
          <t>L001-100044999</t>
        </is>
      </c>
      <c r="E2552" s="521" t="inlineStr">
        <is>
          <t>INV20220649081</t>
        </is>
      </c>
      <c r="F2552" s="523" t="n">
        <v>44742</v>
      </c>
      <c r="G2552" s="556" t="n">
        <v>7378</v>
      </c>
      <c r="I2552" s="521">
        <f>G2552</f>
        <v/>
      </c>
      <c r="K2552" s="521">
        <f>I2552-G2552</f>
        <v/>
      </c>
      <c r="M2552" s="522" t="inlineStr">
        <is>
          <t>INV20220649081</t>
        </is>
      </c>
      <c r="N2552" s="522" t="inlineStr"/>
      <c r="O2552" s="521">
        <f>M2552=N2552</f>
        <v/>
      </c>
      <c r="P2552" s="521">
        <f>AND(MONTH(F2552)=MONTH(S2552), YEAR(F2552)=YEAR(S2552))</f>
        <v/>
      </c>
      <c r="Q2552" s="521">
        <f>U2552="L001-901905215"</f>
        <v/>
      </c>
      <c r="R2552" s="556">
        <f>G2552-W2552</f>
        <v/>
      </c>
      <c r="S2552" s="521" t="n"/>
      <c r="T2552" s="522" t="n"/>
      <c r="U2552" s="522" t="n"/>
      <c r="V2552" s="522" t="n"/>
      <c r="W2552" s="521" t="n"/>
    </row>
    <row r="2553">
      <c r="A2553" s="521" t="n">
        <v>2545</v>
      </c>
      <c r="B2553" s="522" t="inlineStr">
        <is>
          <t>CLEARNCE &amp; TRUCKING FEE</t>
        </is>
      </c>
      <c r="C2553" s="522" t="inlineStr">
        <is>
          <t>56ប៊ី-លីង សឹបផ្លាយ ឆេន មេនេចម៉ិន ឯ.ក</t>
        </is>
      </c>
      <c r="D2553" s="522" t="inlineStr">
        <is>
          <t>K004-902004795</t>
        </is>
      </c>
      <c r="E2553" s="521" t="inlineStr">
        <is>
          <t>TI2022-0436</t>
        </is>
      </c>
      <c r="F2553" s="523" t="n">
        <v>44715</v>
      </c>
      <c r="G2553" s="556" t="n">
        <v>272451</v>
      </c>
      <c r="I2553" s="521">
        <f>G2553</f>
        <v/>
      </c>
      <c r="K2553" s="521">
        <f>I2553-G2553</f>
        <v/>
      </c>
      <c r="M2553" s="522" t="inlineStr">
        <is>
          <t>TI20220436</t>
        </is>
      </c>
      <c r="N2553" s="522" t="inlineStr">
        <is>
          <t>TI20220436</t>
        </is>
      </c>
      <c r="O2553" s="521">
        <f>M2553=N2553</f>
        <v/>
      </c>
      <c r="P2553" s="521">
        <f>AND(MONTH(F2553)=MONTH(S2553), YEAR(F2553)=YEAR(S2553))</f>
        <v/>
      </c>
      <c r="Q2553" s="521">
        <f>U2553="L001-901905215"</f>
        <v/>
      </c>
      <c r="R2553" s="556">
        <f>G2553-W2553</f>
        <v/>
      </c>
      <c r="S2553" s="523" t="n">
        <v>44715</v>
      </c>
      <c r="T2553" s="522" t="inlineStr">
        <is>
          <t>TI2022-0436</t>
        </is>
      </c>
      <c r="U2553" s="522" t="inlineStr">
        <is>
          <t>L001-901905215</t>
        </is>
      </c>
      <c r="V2553" s="522" t="inlineStr">
        <is>
          <t>វីអ៊ីស៊ិន (ខេមបូឌា) អ៊ិនដាសស្ទ្រី ឯ.ក</t>
        </is>
      </c>
      <c r="W2553" s="556" t="n">
        <v>272451</v>
      </c>
    </row>
    <row r="2554">
      <c r="A2554" s="521" t="n">
        <v>2546</v>
      </c>
      <c r="B2554" s="522" t="inlineStr">
        <is>
          <t>CLEARNCE &amp; TRUCKING FEE</t>
        </is>
      </c>
      <c r="C2554" s="522" t="inlineStr">
        <is>
          <t>56ប៊ី-លីង សឹបផ្លាយ ឆេន មេនេចម៉ិន ឯ.ក</t>
        </is>
      </c>
      <c r="D2554" s="522" t="inlineStr">
        <is>
          <t>K004-902004795</t>
        </is>
      </c>
      <c r="E2554" s="521" t="inlineStr">
        <is>
          <t>TI2022-0435</t>
        </is>
      </c>
      <c r="F2554" s="523" t="n">
        <v>44715</v>
      </c>
      <c r="G2554" s="556" t="n">
        <v>194608</v>
      </c>
      <c r="I2554" s="521">
        <f>G2554</f>
        <v/>
      </c>
      <c r="K2554" s="521">
        <f>I2554-G2554</f>
        <v/>
      </c>
      <c r="M2554" s="522" t="inlineStr">
        <is>
          <t>TI20220435</t>
        </is>
      </c>
      <c r="N2554" s="522" t="inlineStr">
        <is>
          <t>TI20220435</t>
        </is>
      </c>
      <c r="O2554" s="521">
        <f>M2554=N2554</f>
        <v/>
      </c>
      <c r="P2554" s="521">
        <f>AND(MONTH(F2554)=MONTH(S2554), YEAR(F2554)=YEAR(S2554))</f>
        <v/>
      </c>
      <c r="Q2554" s="521">
        <f>U2554="L001-901905215"</f>
        <v/>
      </c>
      <c r="R2554" s="556">
        <f>G2554-W2554</f>
        <v/>
      </c>
      <c r="S2554" s="523" t="n">
        <v>44715</v>
      </c>
      <c r="T2554" s="522" t="inlineStr">
        <is>
          <t>TI2022-0435</t>
        </is>
      </c>
      <c r="U2554" s="522" t="inlineStr">
        <is>
          <t>L001-901905215</t>
        </is>
      </c>
      <c r="V2554" s="522" t="inlineStr">
        <is>
          <t>វីអ៊ីស៊ិន (ខេមបូឌា) អ៊ិនដាសស្ទ្រី ឯ.ក</t>
        </is>
      </c>
      <c r="W2554" s="556" t="n">
        <v>194608</v>
      </c>
    </row>
    <row r="2555">
      <c r="A2555" s="521" t="n">
        <v>2547</v>
      </c>
      <c r="B2555" s="522" t="inlineStr">
        <is>
          <t>CLEARNCE &amp; TRUCKING FEE</t>
        </is>
      </c>
      <c r="C2555" s="522" t="inlineStr">
        <is>
          <t>56ប៊ី-លីង សឹបផ្លាយ ឆេន មេនេចម៉ិន ឯ.ក</t>
        </is>
      </c>
      <c r="D2555" s="522" t="inlineStr">
        <is>
          <t>K004-902004795</t>
        </is>
      </c>
      <c r="E2555" s="521" t="inlineStr">
        <is>
          <t>TI2022-0434</t>
        </is>
      </c>
      <c r="F2555" s="523" t="n">
        <v>44715</v>
      </c>
      <c r="G2555" s="556" t="n">
        <v>210996</v>
      </c>
      <c r="I2555" s="521">
        <f>G2555</f>
        <v/>
      </c>
      <c r="K2555" s="521">
        <f>I2555-G2555</f>
        <v/>
      </c>
      <c r="M2555" s="522" t="inlineStr">
        <is>
          <t>TI20220434</t>
        </is>
      </c>
      <c r="N2555" s="522" t="inlineStr">
        <is>
          <t>TI20220434</t>
        </is>
      </c>
      <c r="O2555" s="521">
        <f>M2555=N2555</f>
        <v/>
      </c>
      <c r="P2555" s="521">
        <f>AND(MONTH(F2555)=MONTH(S2555), YEAR(F2555)=YEAR(S2555))</f>
        <v/>
      </c>
      <c r="Q2555" s="521">
        <f>U2555="L001-901905215"</f>
        <v/>
      </c>
      <c r="R2555" s="556">
        <f>G2555-W2555</f>
        <v/>
      </c>
      <c r="S2555" s="523" t="n">
        <v>44715</v>
      </c>
      <c r="T2555" s="522" t="inlineStr">
        <is>
          <t>TI2022-0434</t>
        </is>
      </c>
      <c r="U2555" s="522" t="inlineStr">
        <is>
          <t>L001-901905215</t>
        </is>
      </c>
      <c r="V2555" s="522" t="inlineStr">
        <is>
          <t>វីអ៊ីស៊ិន (ខេមបូឌា) អ៊ិនដាសស្ទ្រី ឯ.ក</t>
        </is>
      </c>
      <c r="W2555" s="556" t="n">
        <v>210996</v>
      </c>
    </row>
    <row r="2556">
      <c r="A2556" s="521" t="n">
        <v>2548</v>
      </c>
      <c r="B2556" s="522" t="inlineStr">
        <is>
          <t>Paper Label</t>
        </is>
      </c>
      <c r="C2556" s="522" t="inlineStr">
        <is>
          <t>ស៊ីន ហ្វី យ៉ាង ព្រីនធីង &amp; អិកសេសសឺរី ឯ.ក</t>
        </is>
      </c>
      <c r="D2556" s="522" t="inlineStr">
        <is>
          <t>K010-901906822</t>
        </is>
      </c>
      <c r="E2556" s="521" t="inlineStr">
        <is>
          <t>XFY-YD20220099</t>
        </is>
      </c>
      <c r="F2556" s="523" t="n">
        <v>44739</v>
      </c>
      <c r="G2556" s="556" t="n">
        <v>656715</v>
      </c>
      <c r="I2556" s="521">
        <f>G2556</f>
        <v/>
      </c>
      <c r="K2556" s="521">
        <f>I2556-G2556</f>
        <v/>
      </c>
      <c r="M2556" s="522" t="inlineStr">
        <is>
          <t>XFYYD20220099</t>
        </is>
      </c>
      <c r="N2556" s="522" t="inlineStr">
        <is>
          <t>XFYYD20220099</t>
        </is>
      </c>
      <c r="O2556" s="521">
        <f>M2556=N2556</f>
        <v/>
      </c>
      <c r="P2556" s="521">
        <f>AND(MONTH(F2556)=MONTH(S2556), YEAR(F2556)=YEAR(S2556))</f>
        <v/>
      </c>
      <c r="Q2556" s="521">
        <f>U2556="L001-901905215"</f>
        <v/>
      </c>
      <c r="R2556" s="556">
        <f>G2556-W2556</f>
        <v/>
      </c>
      <c r="S2556" s="523" t="n">
        <v>44739</v>
      </c>
      <c r="T2556" s="522" t="inlineStr">
        <is>
          <t>XFY-YD20220099</t>
        </is>
      </c>
      <c r="U2556" s="522" t="inlineStr">
        <is>
          <t>L001-901905215</t>
        </is>
      </c>
      <c r="V2556" s="522" t="inlineStr">
        <is>
          <t>វីអ៊ីស៊ិន (ខេមបូឌា) អ៊ិនដាសស្ទ្រី ឯ.ក</t>
        </is>
      </c>
      <c r="W2556" s="556" t="n">
        <v>656715</v>
      </c>
    </row>
    <row r="2557">
      <c r="A2557" s="521" t="n">
        <v>2549</v>
      </c>
      <c r="B2557" s="522" t="inlineStr">
        <is>
          <t>Security fee for Jun 2022</t>
        </is>
      </c>
      <c r="C2557" s="522" t="inlineStr">
        <is>
          <t>ជីអេសអេស គ្លូប៊ល ស៊ីឃ្យួរឹធី សឹលូសិន</t>
        </is>
      </c>
      <c r="D2557" s="522" t="inlineStr">
        <is>
          <t>L001-105008486</t>
        </is>
      </c>
      <c r="E2557" s="521" t="inlineStr">
        <is>
          <t>20221067</t>
        </is>
      </c>
      <c r="F2557" s="523" t="n">
        <v>44732</v>
      </c>
      <c r="G2557" s="556" t="n">
        <v>229376</v>
      </c>
      <c r="I2557" s="521">
        <f>G2557</f>
        <v/>
      </c>
      <c r="K2557" s="521">
        <f>I2557-G2557</f>
        <v/>
      </c>
      <c r="M2557" s="522" t="inlineStr">
        <is>
          <t>20221067</t>
        </is>
      </c>
      <c r="N2557" s="522" t="inlineStr">
        <is>
          <t>20221067</t>
        </is>
      </c>
      <c r="O2557" s="521">
        <f>M2557=N2557</f>
        <v/>
      </c>
      <c r="P2557" s="521">
        <f>AND(MONTH(F2557)=MONTH(S2557), YEAR(F2557)=YEAR(S2557))</f>
        <v/>
      </c>
      <c r="Q2557" s="521">
        <f>U2557="L001-901905215"</f>
        <v/>
      </c>
      <c r="R2557" s="556">
        <f>G2557-W2557</f>
        <v/>
      </c>
      <c r="S2557" s="523" t="n">
        <v>44732</v>
      </c>
      <c r="T2557" s="522" t="inlineStr">
        <is>
          <t>20221067</t>
        </is>
      </c>
      <c r="U2557" s="522" t="inlineStr">
        <is>
          <t>L001-901905215</t>
        </is>
      </c>
      <c r="V2557" s="522" t="inlineStr">
        <is>
          <t>វីអ៊ីស៊ិន (ខេមបូឌា) អ៊ិនដាសស្ទ្រី ឯ.ក</t>
        </is>
      </c>
      <c r="W2557" s="556" t="n">
        <v>229376</v>
      </c>
    </row>
    <row r="2558">
      <c r="A2558" s="521" t="n">
        <v>2550</v>
      </c>
      <c r="B2558" s="522" t="inlineStr">
        <is>
          <t>Rental Machine Canon IR-2525</t>
        </is>
      </c>
      <c r="C2558" s="522" t="inlineStr">
        <is>
          <t xml:space="preserve">អិនធីអិល តិចណូឡូជី </t>
        </is>
      </c>
      <c r="D2558" s="522" t="inlineStr">
        <is>
          <t>K005-901900283</t>
        </is>
      </c>
      <c r="E2558" s="521" t="inlineStr">
        <is>
          <t>22001740</t>
        </is>
      </c>
      <c r="F2558" s="523" t="n">
        <v>44713</v>
      </c>
      <c r="G2558" s="556" t="n">
        <v>20310</v>
      </c>
      <c r="I2558" s="521">
        <f>G2558</f>
        <v/>
      </c>
      <c r="K2558" s="521">
        <f>I2558-G2558</f>
        <v/>
      </c>
      <c r="M2558" s="522" t="inlineStr">
        <is>
          <t>22001740</t>
        </is>
      </c>
      <c r="N2558" s="522" t="inlineStr"/>
      <c r="O2558" s="521">
        <f>M2558=N2558</f>
        <v/>
      </c>
      <c r="P2558" s="521">
        <f>AND(MONTH(F2558)=MONTH(S2558), YEAR(F2558)=YEAR(S2558))</f>
        <v/>
      </c>
      <c r="Q2558" s="521">
        <f>U2558="L001-901905215"</f>
        <v/>
      </c>
      <c r="R2558" s="556">
        <f>G2558-W2558</f>
        <v/>
      </c>
      <c r="S2558" s="521" t="n"/>
      <c r="T2558" s="522" t="n"/>
      <c r="U2558" s="522" t="n"/>
      <c r="V2558" s="522" t="n"/>
      <c r="W2558" s="521" t="n"/>
    </row>
    <row r="2559">
      <c r="A2559" s="521" t="n">
        <v>2551</v>
      </c>
      <c r="B2559" s="522" t="inlineStr">
        <is>
          <t>Express fee</t>
        </is>
      </c>
      <c r="C2559" s="522" t="inlineStr">
        <is>
          <t>ឌី អេច អិល អិចប្រេស (ខេមបូឌា)</t>
        </is>
      </c>
      <c r="D2559" s="522" t="inlineStr">
        <is>
          <t>L001-100045197</t>
        </is>
      </c>
      <c r="E2559" s="521" t="inlineStr">
        <is>
          <t>PNHR000426287</t>
        </is>
      </c>
      <c r="F2559" s="523" t="n">
        <v>44735</v>
      </c>
      <c r="G2559" s="556" t="n">
        <v>16585</v>
      </c>
      <c r="I2559" s="521">
        <f>G2559</f>
        <v/>
      </c>
      <c r="K2559" s="521">
        <f>I2559-G2559</f>
        <v/>
      </c>
      <c r="M2559" s="522" t="inlineStr">
        <is>
          <t>PNHR000426287</t>
        </is>
      </c>
      <c r="N2559" s="522" t="inlineStr">
        <is>
          <t>PNHR000426287</t>
        </is>
      </c>
      <c r="O2559" s="521">
        <f>M2559=N2559</f>
        <v/>
      </c>
      <c r="P2559" s="521">
        <f>AND(MONTH(F2559)=MONTH(S2559), YEAR(F2559)=YEAR(S2559))</f>
        <v/>
      </c>
      <c r="Q2559" s="521">
        <f>U2559="L001-901905215"</f>
        <v/>
      </c>
      <c r="R2559" s="556">
        <f>G2559-W2559</f>
        <v/>
      </c>
      <c r="S2559" s="523" t="n">
        <v>44735</v>
      </c>
      <c r="T2559" s="522" t="inlineStr">
        <is>
          <t>PNHR000426287</t>
        </is>
      </c>
      <c r="U2559" s="522" t="inlineStr">
        <is>
          <t>L001-901905215</t>
        </is>
      </c>
      <c r="V2559" s="522" t="inlineStr">
        <is>
          <t>វីអ៊ីស៊ិន (ខេមបូឌា) អ៊ិនដាសស្ទ្រី ឯ.ក</t>
        </is>
      </c>
      <c r="W2559" s="556" t="n">
        <v>16585</v>
      </c>
    </row>
    <row r="2560">
      <c r="A2560" s="521" t="n">
        <v>2552</v>
      </c>
      <c r="B2560" s="522" t="inlineStr">
        <is>
          <t>Express fee</t>
        </is>
      </c>
      <c r="C2560" s="522" t="inlineStr">
        <is>
          <t>ឌី អេច អិល អិចប្រេស (ខេមបូឌា)</t>
        </is>
      </c>
      <c r="D2560" s="522" t="inlineStr">
        <is>
          <t>L001-100045197</t>
        </is>
      </c>
      <c r="E2560" s="521" t="inlineStr">
        <is>
          <t>PNHIR00137276</t>
        </is>
      </c>
      <c r="F2560" s="523" t="n">
        <v>44742</v>
      </c>
      <c r="G2560" s="556" t="n">
        <v>1639</v>
      </c>
      <c r="I2560" s="521">
        <f>G2560</f>
        <v/>
      </c>
      <c r="K2560" s="521">
        <f>I2560-G2560</f>
        <v/>
      </c>
      <c r="M2560" s="522" t="inlineStr">
        <is>
          <t>PNHIR00137276</t>
        </is>
      </c>
      <c r="N2560" s="522" t="inlineStr">
        <is>
          <t>PNHIR00137276</t>
        </is>
      </c>
      <c r="O2560" s="521">
        <f>M2560=N2560</f>
        <v/>
      </c>
      <c r="P2560" s="521">
        <f>AND(MONTH(F2560)=MONTH(S2560), YEAR(F2560)=YEAR(S2560))</f>
        <v/>
      </c>
      <c r="Q2560" s="521">
        <f>U2560="L001-901905215"</f>
        <v/>
      </c>
      <c r="R2560" s="556">
        <f>G2560-W2560</f>
        <v/>
      </c>
      <c r="S2560" s="523" t="n">
        <v>44715</v>
      </c>
      <c r="T2560" s="522" t="inlineStr">
        <is>
          <t>PNHIR00137276</t>
        </is>
      </c>
      <c r="U2560" s="522" t="inlineStr">
        <is>
          <t>L001-901905215</t>
        </is>
      </c>
      <c r="V2560" s="522" t="inlineStr">
        <is>
          <t>វីអ៊ីស៊ិន (ខេមបូឌា) អ៊ិនដាសស្ទ្រី ឯ.ក</t>
        </is>
      </c>
      <c r="W2560" s="556" t="n">
        <v>1639</v>
      </c>
    </row>
    <row r="2561">
      <c r="A2561" s="521" t="n">
        <v>2553</v>
      </c>
      <c r="B2561" s="522" t="inlineStr">
        <is>
          <t>External Audit Service fee for the y ear ended 2021 (First payment 50% of total $5500)</t>
        </is>
      </c>
      <c r="C2561" s="522" t="inlineStr">
        <is>
          <t>អឹផឡូ អ៊ិនវេសម៉ិន &amp; ខនសាល់ធីង ឯ.ក</t>
        </is>
      </c>
      <c r="D2561" s="522" t="inlineStr">
        <is>
          <t>K002-901902174</t>
        </is>
      </c>
      <c r="E2561" s="521" t="inlineStr">
        <is>
          <t>AL22216</t>
        </is>
      </c>
      <c r="F2561" s="523" t="n">
        <v>44727</v>
      </c>
      <c r="G2561" s="556" t="n">
        <v>1126400</v>
      </c>
      <c r="I2561" s="521">
        <f>G2561</f>
        <v/>
      </c>
      <c r="K2561" s="521">
        <f>I2561-G2561</f>
        <v/>
      </c>
      <c r="M2561" s="522" t="inlineStr">
        <is>
          <t>AL22216</t>
        </is>
      </c>
      <c r="N2561" s="522" t="inlineStr">
        <is>
          <t>AL22216</t>
        </is>
      </c>
      <c r="O2561" s="521">
        <f>M2561=N2561</f>
        <v/>
      </c>
      <c r="P2561" s="521">
        <f>AND(MONTH(F2561)=MONTH(S2561), YEAR(F2561)=YEAR(S2561))</f>
        <v/>
      </c>
      <c r="Q2561" s="521">
        <f>U2561="L001-901905215"</f>
        <v/>
      </c>
      <c r="R2561" s="556">
        <f>G2561-W2561</f>
        <v/>
      </c>
      <c r="S2561" s="523" t="n">
        <v>44727</v>
      </c>
      <c r="T2561" s="522" t="inlineStr">
        <is>
          <t>AL22216</t>
        </is>
      </c>
      <c r="U2561" s="522" t="inlineStr">
        <is>
          <t>L001-901905215</t>
        </is>
      </c>
      <c r="V2561" s="522" t="inlineStr">
        <is>
          <t>វីអ៊ីស៊ិន (ខេមបូឌា) អ៊ិនដាសស្ទ្រី ឯ.ក</t>
        </is>
      </c>
      <c r="W2561" s="556" t="n">
        <v>1126400</v>
      </c>
    </row>
    <row r="2562">
      <c r="A2562" s="521" t="n">
        <v>2554</v>
      </c>
      <c r="B2562" s="522" t="inlineStr">
        <is>
          <t>Infrasture Maintenance Fee for June 2022</t>
        </is>
      </c>
      <c r="C2562" s="522" t="inlineStr">
        <is>
          <t>ភ្នំពេញ អេសអ៊ីហ្សិត ភីអិលស៊ី</t>
        </is>
      </c>
      <c r="D2562" s="522" t="inlineStr">
        <is>
          <t>L001-100046592</t>
        </is>
      </c>
      <c r="E2562" s="521" t="inlineStr">
        <is>
          <t>2022-02894</t>
        </is>
      </c>
      <c r="F2562" s="523" t="n">
        <v>44729</v>
      </c>
      <c r="G2562" s="556" t="n">
        <v>201967</v>
      </c>
      <c r="I2562" s="521">
        <f>G2562</f>
        <v/>
      </c>
      <c r="K2562" s="521">
        <f>I2562-G2562</f>
        <v/>
      </c>
      <c r="M2562" s="522" t="inlineStr">
        <is>
          <t>202202894</t>
        </is>
      </c>
      <c r="N2562" s="522" t="inlineStr">
        <is>
          <t>202202894</t>
        </is>
      </c>
      <c r="O2562" s="521">
        <f>M2562=N2562</f>
        <v/>
      </c>
      <c r="P2562" s="521">
        <f>AND(MONTH(F2562)=MONTH(S2562), YEAR(F2562)=YEAR(S2562))</f>
        <v/>
      </c>
      <c r="Q2562" s="521">
        <f>U2562="L001-901905215"</f>
        <v/>
      </c>
      <c r="R2562" s="556">
        <f>G2562-W2562</f>
        <v/>
      </c>
      <c r="S2562" s="523" t="n">
        <v>44729</v>
      </c>
      <c r="T2562" s="522" t="inlineStr">
        <is>
          <t>2022-02894</t>
        </is>
      </c>
      <c r="U2562" s="522" t="inlineStr">
        <is>
          <t>L001-901905215</t>
        </is>
      </c>
      <c r="V2562" s="522" t="inlineStr">
        <is>
          <t>វីអ៊ីស៊ិន (ខេមបូឌា) អ៊ិនដាសស្ទ្រី ឯ.ក</t>
        </is>
      </c>
      <c r="W2562" s="556" t="n">
        <v>201967</v>
      </c>
    </row>
    <row r="2563">
      <c r="A2563" s="521" t="n">
        <v>2555</v>
      </c>
      <c r="B2563" s="522" t="inlineStr">
        <is>
          <t>Infrasture Maintenance Fee for June 2022</t>
        </is>
      </c>
      <c r="C2563" s="522" t="inlineStr">
        <is>
          <t>ភ្នំពេញ អេសអ៊ីហ្សិត ភីអិលស៊ី</t>
        </is>
      </c>
      <c r="D2563" s="522" t="inlineStr">
        <is>
          <t>L001-100046592</t>
        </is>
      </c>
      <c r="E2563" s="521" t="inlineStr">
        <is>
          <t>2022-02903</t>
        </is>
      </c>
      <c r="F2563" s="523" t="n">
        <v>44729</v>
      </c>
      <c r="G2563" s="556" t="n">
        <v>165880</v>
      </c>
      <c r="I2563" s="521">
        <f>G2563</f>
        <v/>
      </c>
      <c r="K2563" s="521">
        <f>I2563-G2563</f>
        <v/>
      </c>
      <c r="M2563" s="522" t="inlineStr">
        <is>
          <t>202202903</t>
        </is>
      </c>
      <c r="N2563" s="522" t="inlineStr">
        <is>
          <t>202202903</t>
        </is>
      </c>
      <c r="O2563" s="521">
        <f>M2563=N2563</f>
        <v/>
      </c>
      <c r="P2563" s="521">
        <f>AND(MONTH(F2563)=MONTH(S2563), YEAR(F2563)=YEAR(S2563))</f>
        <v/>
      </c>
      <c r="Q2563" s="521">
        <f>U2563="L001-901905215"</f>
        <v/>
      </c>
      <c r="R2563" s="556">
        <f>G2563-W2563</f>
        <v/>
      </c>
      <c r="S2563" s="523" t="n">
        <v>44729</v>
      </c>
      <c r="T2563" s="522" t="inlineStr">
        <is>
          <t>2022-02903</t>
        </is>
      </c>
      <c r="U2563" s="522" t="inlineStr">
        <is>
          <t>L001-901905215</t>
        </is>
      </c>
      <c r="V2563" s="522" t="inlineStr">
        <is>
          <t>វីអ៊ីស៊ិន (ខេមបូឌា) អ៊ិនដាសស្ទ្រី ឯ.ក</t>
        </is>
      </c>
      <c r="W2563" s="556" t="n">
        <v>165880</v>
      </c>
    </row>
    <row r="2564">
      <c r="A2564" s="521" t="n">
        <v>2556</v>
      </c>
      <c r="B2564" s="522" t="inlineStr">
        <is>
          <t>Inspection Service Fee</t>
        </is>
      </c>
      <c r="C2564" s="522" t="inlineStr">
        <is>
          <t>ប្យួរ៉ូ វេរីតាស (ខេមបូឌា) លីមីធីត</t>
        </is>
      </c>
      <c r="D2564" s="522" t="inlineStr">
        <is>
          <t>L001-107024462</t>
        </is>
      </c>
      <c r="E2564" s="521" t="inlineStr">
        <is>
          <t>59012759</t>
        </is>
      </c>
      <c r="F2564" s="523" t="n">
        <v>44742</v>
      </c>
      <c r="G2564" s="556" t="n">
        <v>55523</v>
      </c>
      <c r="I2564" s="521">
        <f>G2564</f>
        <v/>
      </c>
      <c r="K2564" s="521">
        <f>I2564-G2564</f>
        <v/>
      </c>
      <c r="M2564" s="522" t="inlineStr">
        <is>
          <t>59012759</t>
        </is>
      </c>
      <c r="N2564" s="522" t="inlineStr">
        <is>
          <t>59012759</t>
        </is>
      </c>
      <c r="O2564" s="521">
        <f>M2564=N2564</f>
        <v/>
      </c>
      <c r="P2564" s="521">
        <f>AND(MONTH(F2564)=MONTH(S2564), YEAR(F2564)=YEAR(S2564))</f>
        <v/>
      </c>
      <c r="Q2564" s="521">
        <f>U2564="L001-901905215"</f>
        <v/>
      </c>
      <c r="R2564" s="556">
        <f>G2564-W2564</f>
        <v/>
      </c>
      <c r="S2564" s="523" t="n">
        <v>44742</v>
      </c>
      <c r="T2564" s="522" t="inlineStr">
        <is>
          <t>59012759</t>
        </is>
      </c>
      <c r="U2564" s="522" t="inlineStr">
        <is>
          <t>L001-901905215</t>
        </is>
      </c>
      <c r="V2564" s="522" t="inlineStr">
        <is>
          <t>វីអ៊ីស៊ិន (ខេមបូឌា) អ៊ិនដាសស្ទ្រី ឯ.ក</t>
        </is>
      </c>
      <c r="W2564" s="556" t="n">
        <v>55523</v>
      </c>
    </row>
    <row r="2565">
      <c r="A2565" s="521" t="n">
        <v>2557</v>
      </c>
      <c r="B2565" s="522" t="inlineStr">
        <is>
          <t>Inspection Service Fee</t>
        </is>
      </c>
      <c r="C2565" s="522" t="inlineStr">
        <is>
          <t>ប្យួរ៉ូ វេរីតាស (ខេមបូឌា) លីមីធីត</t>
        </is>
      </c>
      <c r="D2565" s="522" t="inlineStr">
        <is>
          <t>L001-107024462</t>
        </is>
      </c>
      <c r="E2565" s="521" t="inlineStr">
        <is>
          <t>59012700</t>
        </is>
      </c>
      <c r="F2565" s="523" t="n">
        <v>44737</v>
      </c>
      <c r="G2565" s="556" t="n">
        <v>235930</v>
      </c>
      <c r="I2565" s="521">
        <f>G2565</f>
        <v/>
      </c>
      <c r="K2565" s="521">
        <f>I2565-G2565</f>
        <v/>
      </c>
      <c r="M2565" s="522" t="inlineStr">
        <is>
          <t>59012700</t>
        </is>
      </c>
      <c r="N2565" s="522" t="inlineStr">
        <is>
          <t>59012700</t>
        </is>
      </c>
      <c r="O2565" s="521">
        <f>M2565=N2565</f>
        <v/>
      </c>
      <c r="P2565" s="521">
        <f>AND(MONTH(F2565)=MONTH(S2565), YEAR(F2565)=YEAR(S2565))</f>
        <v/>
      </c>
      <c r="Q2565" s="521">
        <f>U2565="L001-901905215"</f>
        <v/>
      </c>
      <c r="R2565" s="556">
        <f>G2565-W2565</f>
        <v/>
      </c>
      <c r="S2565" s="523" t="n">
        <v>44737</v>
      </c>
      <c r="T2565" s="522" t="inlineStr">
        <is>
          <t>59012700</t>
        </is>
      </c>
      <c r="U2565" s="522" t="inlineStr">
        <is>
          <t>L001-901905215</t>
        </is>
      </c>
      <c r="V2565" s="522" t="inlineStr">
        <is>
          <t>វីអ៊ីស៊ិន (ខេមបូឌា) អ៊ិនដាសស្ទ្រី ឯ.ក</t>
        </is>
      </c>
      <c r="W2565" s="556" t="n">
        <v>235930</v>
      </c>
    </row>
    <row r="2566">
      <c r="A2566" s="521" t="n">
        <v>2558</v>
      </c>
      <c r="B2566" s="522" t="inlineStr">
        <is>
          <t>Inspection Service Fee</t>
        </is>
      </c>
      <c r="C2566" s="522" t="inlineStr">
        <is>
          <t>ប្យួរ៉ូ វេរីតាស (ខេមបូឌា) លីមីធីត</t>
        </is>
      </c>
      <c r="D2566" s="522" t="inlineStr">
        <is>
          <t>L001-107024462</t>
        </is>
      </c>
      <c r="E2566" s="521" t="inlineStr">
        <is>
          <t>59012692</t>
        </is>
      </c>
      <c r="F2566" s="523" t="n">
        <v>44736</v>
      </c>
      <c r="G2566" s="556" t="n">
        <v>235930</v>
      </c>
      <c r="I2566" s="521">
        <f>G2566</f>
        <v/>
      </c>
      <c r="K2566" s="521">
        <f>I2566-G2566</f>
        <v/>
      </c>
      <c r="M2566" s="522" t="inlineStr">
        <is>
          <t>59012692</t>
        </is>
      </c>
      <c r="N2566" s="522" t="inlineStr">
        <is>
          <t>59012692</t>
        </is>
      </c>
      <c r="O2566" s="521">
        <f>M2566=N2566</f>
        <v/>
      </c>
      <c r="P2566" s="521">
        <f>AND(MONTH(F2566)=MONTH(S2566), YEAR(F2566)=YEAR(S2566))</f>
        <v/>
      </c>
      <c r="Q2566" s="521">
        <f>U2566="L001-901905215"</f>
        <v/>
      </c>
      <c r="R2566" s="556">
        <f>G2566-W2566</f>
        <v/>
      </c>
      <c r="S2566" s="523" t="n">
        <v>44736</v>
      </c>
      <c r="T2566" s="522" t="inlineStr">
        <is>
          <t>59012692</t>
        </is>
      </c>
      <c r="U2566" s="522" t="inlineStr">
        <is>
          <t>L001-901905215</t>
        </is>
      </c>
      <c r="V2566" s="522" t="inlineStr">
        <is>
          <t>វីអ៊ីស៊ិន (ខេមបូឌា) អ៊ិនដាសស្ទ្រី ឯ.ក</t>
        </is>
      </c>
      <c r="W2566" s="556" t="n">
        <v>235930</v>
      </c>
    </row>
    <row r="2567">
      <c r="A2567" s="521" t="n">
        <v>2559</v>
      </c>
      <c r="B2567" s="522" t="inlineStr">
        <is>
          <t>Inspection Service Fee</t>
        </is>
      </c>
      <c r="C2567" s="522" t="inlineStr">
        <is>
          <t>ប្យួរ៉ូ វេរីតាស (ខេមបូឌា) លីមីធីត</t>
        </is>
      </c>
      <c r="D2567" s="522" t="inlineStr">
        <is>
          <t>L001-107024462</t>
        </is>
      </c>
      <c r="E2567" s="521" t="inlineStr">
        <is>
          <t>59016291</t>
        </is>
      </c>
      <c r="F2567" s="523" t="n">
        <v>44736</v>
      </c>
      <c r="G2567" s="556" t="n">
        <v>55482</v>
      </c>
      <c r="I2567" s="521">
        <f>G2567</f>
        <v/>
      </c>
      <c r="K2567" s="521">
        <f>I2567-G2567</f>
        <v/>
      </c>
      <c r="M2567" s="522" t="inlineStr">
        <is>
          <t>59016291</t>
        </is>
      </c>
      <c r="N2567" s="522" t="inlineStr"/>
      <c r="O2567" s="521">
        <f>M2567=N2567</f>
        <v/>
      </c>
      <c r="P2567" s="521">
        <f>AND(MONTH(F2567)=MONTH(S2567), YEAR(F2567)=YEAR(S2567))</f>
        <v/>
      </c>
      <c r="Q2567" s="521">
        <f>U2567="L001-901905215"</f>
        <v/>
      </c>
      <c r="R2567" s="556">
        <f>G2567-W2567</f>
        <v/>
      </c>
      <c r="S2567" s="521" t="n"/>
      <c r="T2567" s="522" t="n"/>
      <c r="U2567" s="522" t="n"/>
      <c r="V2567" s="522" t="n"/>
      <c r="W2567" s="521" t="n"/>
    </row>
    <row r="2568">
      <c r="A2568" s="521" t="n">
        <v>2560</v>
      </c>
      <c r="B2568" s="522" t="inlineStr">
        <is>
          <t>Inspection Service Fee</t>
        </is>
      </c>
      <c r="C2568" s="522" t="inlineStr">
        <is>
          <t>ប្យួរ៉ូ វេរីតាស (ខេមបូឌា) លីមីធីត</t>
        </is>
      </c>
      <c r="D2568" s="522" t="inlineStr">
        <is>
          <t>L001-107024462</t>
        </is>
      </c>
      <c r="E2568" s="521" t="inlineStr">
        <is>
          <t>59012686</t>
        </is>
      </c>
      <c r="F2568" s="523" t="n">
        <v>44736</v>
      </c>
      <c r="G2568" s="556" t="n">
        <v>55482</v>
      </c>
      <c r="I2568" s="521">
        <f>G2568</f>
        <v/>
      </c>
      <c r="K2568" s="521">
        <f>I2568-G2568</f>
        <v/>
      </c>
      <c r="M2568" s="522" t="inlineStr">
        <is>
          <t>59012686</t>
        </is>
      </c>
      <c r="N2568" s="522" t="inlineStr">
        <is>
          <t>59012686</t>
        </is>
      </c>
      <c r="O2568" s="521">
        <f>M2568=N2568</f>
        <v/>
      </c>
      <c r="P2568" s="521">
        <f>AND(MONTH(F2568)=MONTH(S2568), YEAR(F2568)=YEAR(S2568))</f>
        <v/>
      </c>
      <c r="Q2568" s="521">
        <f>U2568="L001-901905215"</f>
        <v/>
      </c>
      <c r="R2568" s="556">
        <f>G2568-W2568</f>
        <v/>
      </c>
      <c r="S2568" s="523" t="n">
        <v>44736</v>
      </c>
      <c r="T2568" s="522" t="inlineStr">
        <is>
          <t>59012686</t>
        </is>
      </c>
      <c r="U2568" s="522" t="inlineStr">
        <is>
          <t>L001-901905215</t>
        </is>
      </c>
      <c r="V2568" s="522" t="inlineStr">
        <is>
          <t>វីអ៊ីស៊ិន (ខេមបូឌា) អ៊ិនដាសស្ទ្រី ឯ.ក</t>
        </is>
      </c>
      <c r="W2568" s="556" t="n">
        <v>55482</v>
      </c>
    </row>
    <row r="2569">
      <c r="A2569" s="521" t="n">
        <v>2561</v>
      </c>
      <c r="B2569" s="522" t="inlineStr">
        <is>
          <t>Inspection Service Fee</t>
        </is>
      </c>
      <c r="C2569" s="522" t="inlineStr">
        <is>
          <t>ប្យួរ៉ូ វេរីតាស (ខេមបូឌា) លីមីធីត</t>
        </is>
      </c>
      <c r="D2569" s="522" t="inlineStr">
        <is>
          <t>L001-107024462</t>
        </is>
      </c>
      <c r="E2569" s="521" t="inlineStr">
        <is>
          <t>59012670</t>
        </is>
      </c>
      <c r="F2569" s="523" t="n">
        <v>44734</v>
      </c>
      <c r="G2569" s="556" t="n">
        <v>707962</v>
      </c>
      <c r="I2569" s="521">
        <f>G2569</f>
        <v/>
      </c>
      <c r="K2569" s="521">
        <f>I2569-G2569</f>
        <v/>
      </c>
      <c r="M2569" s="522" t="inlineStr">
        <is>
          <t>59012670</t>
        </is>
      </c>
      <c r="N2569" s="522" t="inlineStr">
        <is>
          <t>59012670</t>
        </is>
      </c>
      <c r="O2569" s="521">
        <f>M2569=N2569</f>
        <v/>
      </c>
      <c r="P2569" s="521">
        <f>AND(MONTH(F2569)=MONTH(S2569), YEAR(F2569)=YEAR(S2569))</f>
        <v/>
      </c>
      <c r="Q2569" s="521">
        <f>U2569="L001-901905215"</f>
        <v/>
      </c>
      <c r="R2569" s="556">
        <f>G2569-W2569</f>
        <v/>
      </c>
      <c r="S2569" s="523" t="n">
        <v>44734</v>
      </c>
      <c r="T2569" s="522" t="inlineStr">
        <is>
          <t>59012670</t>
        </is>
      </c>
      <c r="U2569" s="522" t="inlineStr">
        <is>
          <t>L001-901905215</t>
        </is>
      </c>
      <c r="V2569" s="522" t="inlineStr">
        <is>
          <t>វីអ៊ីស៊ិន (ខេមបូឌា) អ៊ិនដាសស្ទ្រី ឯ.ក</t>
        </is>
      </c>
      <c r="W2569" s="556" t="n">
        <v>707962</v>
      </c>
    </row>
    <row r="2570">
      <c r="A2570" s="521" t="n">
        <v>2562</v>
      </c>
      <c r="B2570" s="522" t="inlineStr">
        <is>
          <t>Inspection Service Fee</t>
        </is>
      </c>
      <c r="C2570" s="522" t="inlineStr">
        <is>
          <t>ប្យួរ៉ូ វេរីតាស (ខេមបូឌា) លីមីធីត</t>
        </is>
      </c>
      <c r="D2570" s="522" t="inlineStr">
        <is>
          <t>L001-107024462</t>
        </is>
      </c>
      <c r="E2570" s="521" t="inlineStr">
        <is>
          <t>59012595</t>
        </is>
      </c>
      <c r="F2570" s="523" t="n">
        <v>44727</v>
      </c>
      <c r="G2570" s="556" t="n">
        <v>110961</v>
      </c>
      <c r="I2570" s="521">
        <f>G2570</f>
        <v/>
      </c>
      <c r="K2570" s="521">
        <f>I2570-G2570</f>
        <v/>
      </c>
      <c r="M2570" s="522" t="inlineStr">
        <is>
          <t>59012595</t>
        </is>
      </c>
      <c r="N2570" s="522" t="inlineStr">
        <is>
          <t>59012595</t>
        </is>
      </c>
      <c r="O2570" s="521">
        <f>M2570=N2570</f>
        <v/>
      </c>
      <c r="P2570" s="521">
        <f>AND(MONTH(F2570)=MONTH(S2570), YEAR(F2570)=YEAR(S2570))</f>
        <v/>
      </c>
      <c r="Q2570" s="521">
        <f>U2570="L001-901905215"</f>
        <v/>
      </c>
      <c r="R2570" s="556">
        <f>G2570-W2570</f>
        <v/>
      </c>
      <c r="S2570" s="523" t="n">
        <v>44727</v>
      </c>
      <c r="T2570" s="522" t="inlineStr">
        <is>
          <t>59012595</t>
        </is>
      </c>
      <c r="U2570" s="522" t="inlineStr">
        <is>
          <t>L001-901905215</t>
        </is>
      </c>
      <c r="V2570" s="522" t="inlineStr">
        <is>
          <t>វីអ៊ីស៊ិន (ខេមបូឌា) អ៊ិនដាសស្ទ្រី ឯ.ក</t>
        </is>
      </c>
      <c r="W2570" s="556" t="n">
        <v>110961</v>
      </c>
    </row>
    <row r="2571">
      <c r="A2571" s="521" t="n">
        <v>2563</v>
      </c>
      <c r="B2571" s="522" t="inlineStr">
        <is>
          <t>Inspection Service Fee</t>
        </is>
      </c>
      <c r="C2571" s="522" t="inlineStr">
        <is>
          <t>ប្យួរ៉ូ វេរីតាស (ខេមបូឌា) លីមីធីត</t>
        </is>
      </c>
      <c r="D2571" s="522" t="inlineStr">
        <is>
          <t>L001-107024462</t>
        </is>
      </c>
      <c r="E2571" s="521" t="inlineStr">
        <is>
          <t>59012578</t>
        </is>
      </c>
      <c r="F2571" s="523" t="n">
        <v>44725</v>
      </c>
      <c r="G2571" s="556" t="n">
        <v>471974</v>
      </c>
      <c r="I2571" s="521">
        <f>G2571</f>
        <v/>
      </c>
      <c r="K2571" s="521">
        <f>I2571-G2571</f>
        <v/>
      </c>
      <c r="M2571" s="522" t="inlineStr">
        <is>
          <t>59012578</t>
        </is>
      </c>
      <c r="N2571" s="522" t="inlineStr">
        <is>
          <t>59012578</t>
        </is>
      </c>
      <c r="O2571" s="521">
        <f>M2571=N2571</f>
        <v/>
      </c>
      <c r="P2571" s="521">
        <f>AND(MONTH(F2571)=MONTH(S2571), YEAR(F2571)=YEAR(S2571))</f>
        <v/>
      </c>
      <c r="Q2571" s="521">
        <f>U2571="L001-901905215"</f>
        <v/>
      </c>
      <c r="R2571" s="556">
        <f>G2571-W2571</f>
        <v/>
      </c>
      <c r="S2571" s="523" t="n">
        <v>44725</v>
      </c>
      <c r="T2571" s="522" t="inlineStr">
        <is>
          <t>59012578</t>
        </is>
      </c>
      <c r="U2571" s="522" t="inlineStr">
        <is>
          <t>L001-901905215</t>
        </is>
      </c>
      <c r="V2571" s="522" t="inlineStr">
        <is>
          <t>វីអ៊ីស៊ិន (ខេមបូឌា) អ៊ិនដាសស្ទ្រី ឯ.ក</t>
        </is>
      </c>
      <c r="W2571" s="556" t="n">
        <v>471974</v>
      </c>
    </row>
    <row r="2572">
      <c r="A2572" s="521" t="n">
        <v>2564</v>
      </c>
      <c r="B2572" s="522" t="inlineStr">
        <is>
          <t>Inspection Service Fee</t>
        </is>
      </c>
      <c r="C2572" s="522" t="inlineStr">
        <is>
          <t>ប្យួរ៉ូ វេរីតាស (ខេមបូឌា) លីមីធីត</t>
        </is>
      </c>
      <c r="D2572" s="522" t="inlineStr">
        <is>
          <t>L001-107024462</t>
        </is>
      </c>
      <c r="E2572" s="521" t="inlineStr">
        <is>
          <t>59012564</t>
        </is>
      </c>
      <c r="F2572" s="523" t="n">
        <v>44722</v>
      </c>
      <c r="G2572" s="556" t="n">
        <v>55482</v>
      </c>
      <c r="I2572" s="521">
        <f>G2572</f>
        <v/>
      </c>
      <c r="K2572" s="521">
        <f>I2572-G2572</f>
        <v/>
      </c>
      <c r="M2572" s="522" t="inlineStr">
        <is>
          <t>59012564</t>
        </is>
      </c>
      <c r="N2572" s="522" t="inlineStr">
        <is>
          <t>59012564</t>
        </is>
      </c>
      <c r="O2572" s="521">
        <f>M2572=N2572</f>
        <v/>
      </c>
      <c r="P2572" s="521">
        <f>AND(MONTH(F2572)=MONTH(S2572), YEAR(F2572)=YEAR(S2572))</f>
        <v/>
      </c>
      <c r="Q2572" s="521">
        <f>U2572="L001-901905215"</f>
        <v/>
      </c>
      <c r="R2572" s="556">
        <f>G2572-W2572</f>
        <v/>
      </c>
      <c r="S2572" s="523" t="n">
        <v>44722</v>
      </c>
      <c r="T2572" s="522" t="inlineStr">
        <is>
          <t>59012564</t>
        </is>
      </c>
      <c r="U2572" s="522" t="inlineStr">
        <is>
          <t>L001-901905215</t>
        </is>
      </c>
      <c r="V2572" s="522" t="inlineStr">
        <is>
          <t>វីអ៊ីស៊ិន (ខេមបូឌា) អ៊ិនដាសស្ទ្រី ឯ.ក</t>
        </is>
      </c>
      <c r="W2572" s="556" t="n">
        <v>55482</v>
      </c>
    </row>
    <row r="2573">
      <c r="A2573" s="521" t="n">
        <v>2565</v>
      </c>
      <c r="B2573" s="522" t="inlineStr">
        <is>
          <t>Inspection Service Fee</t>
        </is>
      </c>
      <c r="C2573" s="522" t="inlineStr">
        <is>
          <t>ប្យួរ៉ូ វេរីតាស (ខេមបូឌា) លីមីធីត</t>
        </is>
      </c>
      <c r="D2573" s="522" t="inlineStr">
        <is>
          <t>L001-107024462</t>
        </is>
      </c>
      <c r="E2573" s="521" t="inlineStr">
        <is>
          <t>59012558</t>
        </is>
      </c>
      <c r="F2573" s="523" t="n">
        <v>44721</v>
      </c>
      <c r="G2573" s="556" t="n">
        <v>55482</v>
      </c>
      <c r="I2573" s="521">
        <f>G2573</f>
        <v/>
      </c>
      <c r="K2573" s="521">
        <f>I2573-G2573</f>
        <v/>
      </c>
      <c r="M2573" s="522" t="inlineStr">
        <is>
          <t>59012558</t>
        </is>
      </c>
      <c r="N2573" s="522" t="inlineStr">
        <is>
          <t>59012558</t>
        </is>
      </c>
      <c r="O2573" s="521">
        <f>M2573=N2573</f>
        <v/>
      </c>
      <c r="P2573" s="521">
        <f>AND(MONTH(F2573)=MONTH(S2573), YEAR(F2573)=YEAR(S2573))</f>
        <v/>
      </c>
      <c r="Q2573" s="521">
        <f>U2573="L001-901905215"</f>
        <v/>
      </c>
      <c r="R2573" s="556">
        <f>G2573-W2573</f>
        <v/>
      </c>
      <c r="S2573" s="523" t="n">
        <v>44721</v>
      </c>
      <c r="T2573" s="522" t="inlineStr">
        <is>
          <t>59012558</t>
        </is>
      </c>
      <c r="U2573" s="522" t="inlineStr">
        <is>
          <t>L001-901905215</t>
        </is>
      </c>
      <c r="V2573" s="522" t="inlineStr">
        <is>
          <t>វីអ៊ីស៊ិន (ខេមបូឌា) អ៊ិនដាសស្ទ្រី ឯ.ក</t>
        </is>
      </c>
      <c r="W2573" s="556" t="n">
        <v>55482</v>
      </c>
    </row>
    <row r="2574">
      <c r="A2574" s="521" t="n">
        <v>2566</v>
      </c>
      <c r="B2574" s="522" t="inlineStr">
        <is>
          <t>Inspection Service Fee</t>
        </is>
      </c>
      <c r="C2574" s="522" t="inlineStr">
        <is>
          <t>ប្យួរ៉ូ វេរីតាស (ខេមបូឌា) លីមីធីត</t>
        </is>
      </c>
      <c r="D2574" s="522" t="inlineStr">
        <is>
          <t>L001-107024462</t>
        </is>
      </c>
      <c r="E2574" s="521" t="inlineStr">
        <is>
          <t>59012530</t>
        </is>
      </c>
      <c r="F2574" s="523" t="n">
        <v>44718</v>
      </c>
      <c r="G2574" s="556" t="n">
        <v>55482</v>
      </c>
      <c r="I2574" s="521">
        <f>G2574</f>
        <v/>
      </c>
      <c r="K2574" s="521">
        <f>I2574-G2574</f>
        <v/>
      </c>
      <c r="M2574" s="522" t="inlineStr">
        <is>
          <t>59012530</t>
        </is>
      </c>
      <c r="N2574" s="522" t="inlineStr">
        <is>
          <t>59012530</t>
        </is>
      </c>
      <c r="O2574" s="521">
        <f>M2574=N2574</f>
        <v/>
      </c>
      <c r="P2574" s="521">
        <f>AND(MONTH(F2574)=MONTH(S2574), YEAR(F2574)=YEAR(S2574))</f>
        <v/>
      </c>
      <c r="Q2574" s="521">
        <f>U2574="L001-901905215"</f>
        <v/>
      </c>
      <c r="R2574" s="556">
        <f>G2574-W2574</f>
        <v/>
      </c>
      <c r="S2574" s="523" t="n">
        <v>44718</v>
      </c>
      <c r="T2574" s="522" t="inlineStr">
        <is>
          <t>59012530</t>
        </is>
      </c>
      <c r="U2574" s="522" t="inlineStr">
        <is>
          <t>L001-901905215</t>
        </is>
      </c>
      <c r="V2574" s="522" t="inlineStr">
        <is>
          <t>វីអ៊ីស៊ិន (ខេមបូឌា) អ៊ិនដាសស្ទ្រី ឯ.ក</t>
        </is>
      </c>
      <c r="W2574" s="556" t="n">
        <v>55482</v>
      </c>
    </row>
    <row r="2575">
      <c r="A2575" s="521" t="n">
        <v>2567</v>
      </c>
      <c r="B2575" s="522" t="inlineStr">
        <is>
          <t>Carton Paper</t>
        </is>
      </c>
      <c r="C2575" s="522" t="inlineStr">
        <is>
          <t>យី មីង ភែកឃីជីង ឯ.ក</t>
        </is>
      </c>
      <c r="D2575" s="522" t="inlineStr">
        <is>
          <t>B108-902101335</t>
        </is>
      </c>
      <c r="E2575" s="521" t="inlineStr">
        <is>
          <t>YM-0022</t>
        </is>
      </c>
      <c r="F2575" s="523" t="n">
        <v>44742</v>
      </c>
      <c r="G2575" s="556" t="n">
        <v>2525372</v>
      </c>
      <c r="I2575" s="521">
        <f>G2575</f>
        <v/>
      </c>
      <c r="K2575" s="521">
        <f>I2575-G2575</f>
        <v/>
      </c>
      <c r="M2575" s="522" t="inlineStr">
        <is>
          <t>YM0022</t>
        </is>
      </c>
      <c r="N2575" s="522" t="inlineStr"/>
      <c r="O2575" s="521">
        <f>M2575=N2575</f>
        <v/>
      </c>
      <c r="P2575" s="521">
        <f>AND(MONTH(F2575)=MONTH(S2575), YEAR(F2575)=YEAR(S2575))</f>
        <v/>
      </c>
      <c r="Q2575" s="521">
        <f>U2575="L001-901905215"</f>
        <v/>
      </c>
      <c r="R2575" s="556">
        <f>G2575-W2575</f>
        <v/>
      </c>
      <c r="S2575" s="521" t="n"/>
      <c r="T2575" s="522" t="n"/>
      <c r="U2575" s="522" t="n"/>
      <c r="V2575" s="522" t="n"/>
      <c r="W2575" s="521" t="n"/>
    </row>
    <row r="2576">
      <c r="A2576" s="521" t="n">
        <v>2568</v>
      </c>
      <c r="B2576" s="522" t="inlineStr">
        <is>
          <t>Color Box and PDQ</t>
        </is>
      </c>
      <c r="C2576" s="522" t="inlineStr">
        <is>
          <t>វីង ចេង ភែកឃីជីង ឯ.ក</t>
        </is>
      </c>
      <c r="D2576" s="522" t="inlineStr">
        <is>
          <t>L001-902102915</t>
        </is>
      </c>
      <c r="E2576" s="521" t="inlineStr">
        <is>
          <t>TI0286</t>
        </is>
      </c>
      <c r="F2576" s="523" t="n">
        <v>44742</v>
      </c>
      <c r="G2576" s="556" t="n">
        <v>556796</v>
      </c>
      <c r="I2576" s="521">
        <f>G2576</f>
        <v/>
      </c>
      <c r="K2576" s="521">
        <f>I2576-G2576</f>
        <v/>
      </c>
      <c r="M2576" s="522" t="inlineStr">
        <is>
          <t>TI0286</t>
        </is>
      </c>
      <c r="N2576" s="522" t="inlineStr">
        <is>
          <t>TI0286</t>
        </is>
      </c>
      <c r="O2576" s="521">
        <f>M2576=N2576</f>
        <v/>
      </c>
      <c r="P2576" s="521">
        <f>AND(MONTH(F2576)=MONTH(S2576), YEAR(F2576)=YEAR(S2576))</f>
        <v/>
      </c>
      <c r="Q2576" s="521">
        <f>U2576="L001-901905215"</f>
        <v/>
      </c>
      <c r="R2576" s="556">
        <f>G2576-W2576</f>
        <v/>
      </c>
      <c r="S2576" s="523" t="n">
        <v>44742</v>
      </c>
      <c r="T2576" s="522" t="inlineStr">
        <is>
          <t>TI0286</t>
        </is>
      </c>
      <c r="U2576" s="522" t="inlineStr">
        <is>
          <t>L001-901905215</t>
        </is>
      </c>
      <c r="V2576" s="522" t="inlineStr">
        <is>
          <t>វីអ៊ីស៊ិន (ខេមបូឌា) អ៊ិនដាសស្ទ្រី ឯ.ក</t>
        </is>
      </c>
      <c r="W2576" s="556" t="n">
        <v>556797</v>
      </c>
    </row>
    <row r="2577">
      <c r="A2577" s="521" t="n">
        <v>2569</v>
      </c>
      <c r="B2577" s="522" t="inlineStr">
        <is>
          <t>Plastic Box</t>
        </is>
      </c>
      <c r="C2577" s="522" t="inlineStr">
        <is>
          <t>ដុងគ័ន ស៊ីធី ហ្វាញស្តារ ព្រីនធីង (ខេមបូឌា)</t>
        </is>
      </c>
      <c r="D2577" s="522" t="inlineStr">
        <is>
          <t>L001-100193021</t>
        </is>
      </c>
      <c r="E2577" s="521" t="inlineStr">
        <is>
          <t>00194</t>
        </is>
      </c>
      <c r="F2577" s="523" t="n">
        <v>44734</v>
      </c>
      <c r="G2577" s="556" t="n">
        <v>1665903</v>
      </c>
      <c r="I2577" s="521">
        <f>G2577</f>
        <v/>
      </c>
      <c r="K2577" s="521">
        <f>I2577-G2577</f>
        <v/>
      </c>
      <c r="M2577" s="522" t="inlineStr">
        <is>
          <t>00194</t>
        </is>
      </c>
      <c r="N2577" s="522" t="inlineStr"/>
      <c r="O2577" s="521">
        <f>M2577=N2577</f>
        <v/>
      </c>
      <c r="P2577" s="521">
        <f>AND(MONTH(F2577)=MONTH(S2577), YEAR(F2577)=YEAR(S2577))</f>
        <v/>
      </c>
      <c r="Q2577" s="521">
        <f>U2577="L001-901905215"</f>
        <v/>
      </c>
      <c r="R2577" s="556">
        <f>G2577-W2577</f>
        <v/>
      </c>
      <c r="S2577" s="521" t="n"/>
      <c r="T2577" s="522" t="n"/>
      <c r="U2577" s="522" t="n"/>
      <c r="V2577" s="522" t="n"/>
      <c r="W2577" s="521" t="n"/>
    </row>
    <row r="2578">
      <c r="A2578" s="521" t="n">
        <v>2570</v>
      </c>
      <c r="B2578" s="522" t="inlineStr">
        <is>
          <t>Lift off charge and Gate Fee charge</t>
        </is>
      </c>
      <c r="C2578" s="522" t="inlineStr">
        <is>
          <t>កំពង់ផែស្វយ័តភ្នំពេញ "ក.ស.ភ"</t>
        </is>
      </c>
      <c r="D2578" s="522" t="inlineStr">
        <is>
          <t>L001-100044999</t>
        </is>
      </c>
      <c r="E2578" s="521" t="inlineStr">
        <is>
          <t>INV20220640778</t>
        </is>
      </c>
      <c r="F2578" s="523" t="n">
        <v>44713</v>
      </c>
      <c r="G2578" s="556" t="n">
        <v>29513</v>
      </c>
      <c r="I2578" s="521">
        <f>G2578</f>
        <v/>
      </c>
      <c r="K2578" s="521">
        <f>I2578-G2578</f>
        <v/>
      </c>
      <c r="M2578" s="522" t="inlineStr">
        <is>
          <t>INV20220640778</t>
        </is>
      </c>
      <c r="N2578" s="522" t="inlineStr"/>
      <c r="O2578" s="521">
        <f>M2578=N2578</f>
        <v/>
      </c>
      <c r="P2578" s="521">
        <f>AND(MONTH(F2578)=MONTH(S2578), YEAR(F2578)=YEAR(S2578))</f>
        <v/>
      </c>
      <c r="Q2578" s="521">
        <f>U2578="L001-901905215"</f>
        <v/>
      </c>
      <c r="R2578" s="556">
        <f>G2578-W2578</f>
        <v/>
      </c>
      <c r="S2578" s="521" t="n"/>
      <c r="T2578" s="522" t="n"/>
      <c r="U2578" s="522" t="n"/>
      <c r="V2578" s="522" t="n"/>
      <c r="W2578" s="521" t="n"/>
    </row>
    <row r="2579">
      <c r="A2579" s="521" t="n">
        <v>2571</v>
      </c>
      <c r="B2579" s="522" t="inlineStr">
        <is>
          <t>Lift off charge and Gate Fee charge</t>
        </is>
      </c>
      <c r="C2579" s="522" t="inlineStr">
        <is>
          <t>កំពង់ផែស្វយ័តភ្នំពេញ "ក.ស.ភ"</t>
        </is>
      </c>
      <c r="D2579" s="522" t="inlineStr">
        <is>
          <t>L001-100044999</t>
        </is>
      </c>
      <c r="E2579" s="521" t="inlineStr">
        <is>
          <t>INV20220640777</t>
        </is>
      </c>
      <c r="F2579" s="523" t="n">
        <v>44713</v>
      </c>
      <c r="G2579" s="556" t="n">
        <v>19675</v>
      </c>
      <c r="I2579" s="521">
        <f>G2579</f>
        <v/>
      </c>
      <c r="K2579" s="521">
        <f>I2579-G2579</f>
        <v/>
      </c>
      <c r="M2579" s="522" t="inlineStr">
        <is>
          <t>INV20220640777</t>
        </is>
      </c>
      <c r="N2579" s="522" t="inlineStr"/>
      <c r="O2579" s="521">
        <f>M2579=N2579</f>
        <v/>
      </c>
      <c r="P2579" s="521">
        <f>AND(MONTH(F2579)=MONTH(S2579), YEAR(F2579)=YEAR(S2579))</f>
        <v/>
      </c>
      <c r="Q2579" s="521">
        <f>U2579="L001-901905215"</f>
        <v/>
      </c>
      <c r="R2579" s="556">
        <f>G2579-W2579</f>
        <v/>
      </c>
      <c r="S2579" s="521" t="n"/>
      <c r="T2579" s="522" t="n"/>
      <c r="U2579" s="522" t="n"/>
      <c r="V2579" s="522" t="n"/>
      <c r="W2579" s="521" t="n"/>
    </row>
    <row r="2580">
      <c r="A2580" s="521" t="n">
        <v>2572</v>
      </c>
      <c r="B2580" s="522" t="inlineStr">
        <is>
          <t>Monthly Tax Declcaration for May 2022</t>
        </is>
      </c>
      <c r="C2580" s="522" t="inlineStr">
        <is>
          <t>យីងកឺ ខេម ថេក អ៊ែតវ៉ាយហ្សឺរី ឯ.ក</t>
        </is>
      </c>
      <c r="D2580" s="522" t="inlineStr">
        <is>
          <t>K003-902005313</t>
        </is>
      </c>
      <c r="E2580" s="521" t="inlineStr">
        <is>
          <t>YKT22-127</t>
        </is>
      </c>
      <c r="F2580" s="523" t="n">
        <v>44713</v>
      </c>
      <c r="G2580" s="556" t="n">
        <v>573860</v>
      </c>
      <c r="I2580" s="521">
        <f>G2580</f>
        <v/>
      </c>
      <c r="K2580" s="521">
        <f>I2580-G2580</f>
        <v/>
      </c>
      <c r="M2580" s="522" t="inlineStr">
        <is>
          <t>YKT22127</t>
        </is>
      </c>
      <c r="N2580" s="522" t="inlineStr">
        <is>
          <t>YKT22127</t>
        </is>
      </c>
      <c r="O2580" s="521">
        <f>M2580=N2580</f>
        <v/>
      </c>
      <c r="P2580" s="521">
        <f>AND(MONTH(F2580)=MONTH(S2580), YEAR(F2580)=YEAR(S2580))</f>
        <v/>
      </c>
      <c r="Q2580" s="521">
        <f>U2580="L001-901905215"</f>
        <v/>
      </c>
      <c r="R2580" s="556">
        <f>G2580-W2580</f>
        <v/>
      </c>
      <c r="S2580" s="523" t="n">
        <v>44713</v>
      </c>
      <c r="T2580" s="522" t="inlineStr">
        <is>
          <t>YKT22-127</t>
        </is>
      </c>
      <c r="U2580" s="522" t="inlineStr">
        <is>
          <t>L001-901905215</t>
        </is>
      </c>
      <c r="V2580" s="522" t="inlineStr">
        <is>
          <t>វីអ៊ីស៊ិន (ខេមបូឌា) អ៊ិនដាសស្ទ្រី ឯ.ក</t>
        </is>
      </c>
      <c r="W2580" s="556" t="n">
        <v>573860</v>
      </c>
    </row>
    <row r="2581">
      <c r="A2581" s="521" t="n">
        <v>2573</v>
      </c>
      <c r="B2581" s="522" t="n"/>
      <c r="C2581" s="522" t="inlineStr">
        <is>
          <t>យីងកឺ ខេម ឯ.ក</t>
        </is>
      </c>
      <c r="D2581" s="522" t="inlineStr">
        <is>
          <t>K003-901900367</t>
        </is>
      </c>
      <c r="E2581" s="521" t="inlineStr">
        <is>
          <t>YK20053</t>
        </is>
      </c>
      <c r="F2581" s="523" t="n">
        <v>44018</v>
      </c>
      <c r="G2581" s="556" t="n">
        <v>241800</v>
      </c>
      <c r="I2581" s="521">
        <f>G2581</f>
        <v/>
      </c>
      <c r="K2581" s="521">
        <f>I2581-G2581</f>
        <v/>
      </c>
      <c r="M2581" s="522" t="inlineStr">
        <is>
          <t>YK20053</t>
        </is>
      </c>
      <c r="N2581" s="522" t="inlineStr">
        <is>
          <t>YK20053</t>
        </is>
      </c>
      <c r="O2581" s="521">
        <f>M2581=N2581</f>
        <v/>
      </c>
      <c r="P2581" s="521">
        <f>AND(MONTH(F2581)=MONTH(S2581), YEAR(F2581)=YEAR(S2581))</f>
        <v/>
      </c>
      <c r="Q2581" s="521">
        <f>U2581="L001-901905215"</f>
        <v/>
      </c>
      <c r="R2581" s="556">
        <f>G2581-W2581</f>
        <v/>
      </c>
      <c r="S2581" s="523" t="n">
        <v>44018</v>
      </c>
      <c r="T2581" s="522" t="inlineStr">
        <is>
          <t>YK20053</t>
        </is>
      </c>
      <c r="U2581" s="522" t="inlineStr">
        <is>
          <t>L001-901905215</t>
        </is>
      </c>
      <c r="V2581" s="522" t="inlineStr">
        <is>
          <t>វីអ៊ីស៊ិន (ខេមបូឌា) អ៊ិនដាសស្ទ្រី ឯ.ក</t>
        </is>
      </c>
      <c r="W2581" s="556" t="n">
        <v>241800</v>
      </c>
    </row>
    <row r="2582">
      <c r="A2582" s="521" t="n">
        <v>2574</v>
      </c>
      <c r="B2582" s="522" t="n"/>
      <c r="C2582" s="522" t="inlineStr">
        <is>
          <t>ហ្គោមី រីសាយឃល110</t>
        </is>
      </c>
      <c r="D2582" s="522" t="inlineStr">
        <is>
          <t>K010-901503890</t>
        </is>
      </c>
      <c r="E2582" s="521" t="inlineStr">
        <is>
          <t>GRIN2020274</t>
        </is>
      </c>
      <c r="F2582" s="523" t="n">
        <v>44040</v>
      </c>
      <c r="G2582" s="556" t="n">
        <v>32760</v>
      </c>
      <c r="I2582" s="521">
        <f>G2582</f>
        <v/>
      </c>
      <c r="K2582" s="521">
        <f>I2582-G2582</f>
        <v/>
      </c>
      <c r="M2582" s="522" t="inlineStr">
        <is>
          <t>GRIN2020274</t>
        </is>
      </c>
      <c r="N2582" s="522" t="inlineStr"/>
      <c r="O2582" s="521">
        <f>M2582=N2582</f>
        <v/>
      </c>
      <c r="P2582" s="521">
        <f>AND(MONTH(F2582)=MONTH(S2582), YEAR(F2582)=YEAR(S2582))</f>
        <v/>
      </c>
      <c r="Q2582" s="521">
        <f>U2582="L001-901905215"</f>
        <v/>
      </c>
      <c r="R2582" s="556">
        <f>G2582-W2582</f>
        <v/>
      </c>
      <c r="S2582" s="521" t="n"/>
      <c r="T2582" s="522" t="n"/>
      <c r="U2582" s="522" t="n"/>
      <c r="V2582" s="522" t="n"/>
      <c r="W2582" s="521" t="n"/>
    </row>
    <row r="2583">
      <c r="A2583" s="521" t="n">
        <v>2575</v>
      </c>
      <c r="B2583" s="522" t="n"/>
      <c r="C2583" s="522" t="inlineStr">
        <is>
          <t>ភីស៊ីអាយ សឺវីស</t>
        </is>
      </c>
      <c r="D2583" s="522" t="inlineStr">
        <is>
          <t>K010-901639639</t>
        </is>
      </c>
      <c r="E2583" s="521" t="inlineStr">
        <is>
          <t>201901126</t>
        </is>
      </c>
      <c r="F2583" s="523" t="n">
        <v>44037</v>
      </c>
      <c r="G2583" s="556" t="n">
        <v>81880</v>
      </c>
      <c r="I2583" s="521">
        <f>G2583</f>
        <v/>
      </c>
      <c r="K2583" s="521">
        <f>I2583-G2583</f>
        <v/>
      </c>
      <c r="M2583" s="522" t="inlineStr">
        <is>
          <t>201901126</t>
        </is>
      </c>
      <c r="N2583" s="522" t="inlineStr"/>
      <c r="O2583" s="521">
        <f>M2583=N2583</f>
        <v/>
      </c>
      <c r="P2583" s="521">
        <f>AND(MONTH(F2583)=MONTH(S2583), YEAR(F2583)=YEAR(S2583))</f>
        <v/>
      </c>
      <c r="Q2583" s="521">
        <f>U2583="L001-901905215"</f>
        <v/>
      </c>
      <c r="R2583" s="556">
        <f>G2583-W2583</f>
        <v/>
      </c>
      <c r="S2583" s="521" t="n"/>
      <c r="T2583" s="522" t="n"/>
      <c r="U2583" s="522" t="n"/>
      <c r="V2583" s="522" t="n"/>
      <c r="W2583" s="521" t="n"/>
    </row>
    <row r="2584">
      <c r="A2584" s="521" t="n">
        <v>2576</v>
      </c>
      <c r="B2584" s="522" t="n"/>
      <c r="C2584" s="522" t="inlineStr">
        <is>
          <t>ខេមវីល គ្លូប៊ល ឯ.ក</t>
        </is>
      </c>
      <c r="D2584" s="522" t="inlineStr">
        <is>
          <t>L001-901637190</t>
        </is>
      </c>
      <c r="E2584" s="521" t="inlineStr">
        <is>
          <t>INV200812</t>
        </is>
      </c>
      <c r="F2584" s="523" t="n">
        <v>44043</v>
      </c>
      <c r="G2584" s="556" t="n">
        <v>233643</v>
      </c>
      <c r="I2584" s="521">
        <f>G2584</f>
        <v/>
      </c>
      <c r="K2584" s="521">
        <f>I2584-G2584</f>
        <v/>
      </c>
      <c r="M2584" s="522" t="inlineStr">
        <is>
          <t>INV200812</t>
        </is>
      </c>
      <c r="N2584" s="522" t="inlineStr">
        <is>
          <t>INV200812</t>
        </is>
      </c>
      <c r="O2584" s="521">
        <f>M2584=N2584</f>
        <v/>
      </c>
      <c r="P2584" s="521">
        <f>AND(MONTH(F2584)=MONTH(S2584), YEAR(F2584)=YEAR(S2584))</f>
        <v/>
      </c>
      <c r="Q2584" s="521">
        <f>U2584="L001-901905215"</f>
        <v/>
      </c>
      <c r="R2584" s="556">
        <f>G2584-W2584</f>
        <v/>
      </c>
      <c r="S2584" s="523" t="n">
        <v>44035</v>
      </c>
      <c r="T2584" s="522" t="inlineStr">
        <is>
          <t>INV200812</t>
        </is>
      </c>
      <c r="U2584" s="522" t="inlineStr">
        <is>
          <t>L001-901905215</t>
        </is>
      </c>
      <c r="V2584" s="522" t="inlineStr">
        <is>
          <t>វីអ៊ីស៊ិន (ខេមបូឌា) អ៊ិនដាសស្ទ្រី ឯ.ក</t>
        </is>
      </c>
      <c r="W2584" s="556" t="n">
        <v>233643</v>
      </c>
    </row>
    <row r="2585">
      <c r="A2585" s="521" t="n">
        <v>2577</v>
      </c>
      <c r="B2585" s="522" t="n"/>
      <c r="C2585" s="522" t="inlineStr">
        <is>
          <t>កំពង់ផែស្វយ័តភ្នំពេញ "ក.ស.ភ"</t>
        </is>
      </c>
      <c r="D2585" s="522" t="inlineStr">
        <is>
          <t>L001-100044999</t>
        </is>
      </c>
      <c r="E2585" s="521" t="inlineStr">
        <is>
          <t>INV20200732313</t>
        </is>
      </c>
      <c r="F2585" s="523" t="n">
        <v>44023</v>
      </c>
      <c r="G2585" s="556" t="n">
        <v>29226</v>
      </c>
      <c r="I2585" s="521">
        <f>G2585</f>
        <v/>
      </c>
      <c r="K2585" s="521">
        <f>I2585-G2585</f>
        <v/>
      </c>
      <c r="M2585" s="522" t="inlineStr">
        <is>
          <t>INV20200732313</t>
        </is>
      </c>
      <c r="N2585" s="522" t="inlineStr"/>
      <c r="O2585" s="521">
        <f>M2585=N2585</f>
        <v/>
      </c>
      <c r="P2585" s="521">
        <f>AND(MONTH(F2585)=MONTH(S2585), YEAR(F2585)=YEAR(S2585))</f>
        <v/>
      </c>
      <c r="Q2585" s="521">
        <f>U2585="L001-901905215"</f>
        <v/>
      </c>
      <c r="R2585" s="556">
        <f>G2585-W2585</f>
        <v/>
      </c>
      <c r="S2585" s="521" t="n"/>
      <c r="T2585" s="522" t="n"/>
      <c r="U2585" s="522" t="n"/>
      <c r="V2585" s="522" t="n"/>
      <c r="W2585" s="521" t="n"/>
    </row>
    <row r="2586">
      <c r="A2586" s="521" t="n">
        <v>2578</v>
      </c>
      <c r="B2586" s="522" t="n"/>
      <c r="C2586" s="522" t="inlineStr">
        <is>
          <t>ខេមវីល គ្លូប៊ល ឯ.ក</t>
        </is>
      </c>
      <c r="D2586" s="522" t="inlineStr">
        <is>
          <t>L001-901637190</t>
        </is>
      </c>
      <c r="E2586" s="521" t="inlineStr">
        <is>
          <t>INV200775</t>
        </is>
      </c>
      <c r="F2586" s="523" t="n">
        <v>44029</v>
      </c>
      <c r="G2586" s="556" t="n">
        <v>184050</v>
      </c>
      <c r="I2586" s="521">
        <f>G2586</f>
        <v/>
      </c>
      <c r="K2586" s="521">
        <f>I2586-G2586</f>
        <v/>
      </c>
      <c r="M2586" s="522" t="inlineStr">
        <is>
          <t>INV200775</t>
        </is>
      </c>
      <c r="N2586" s="522" t="inlineStr">
        <is>
          <t>INV200775</t>
        </is>
      </c>
      <c r="O2586" s="521">
        <f>M2586=N2586</f>
        <v/>
      </c>
      <c r="P2586" s="521">
        <f>AND(MONTH(F2586)=MONTH(S2586), YEAR(F2586)=YEAR(S2586))</f>
        <v/>
      </c>
      <c r="Q2586" s="521">
        <f>U2586="L001-901905215"</f>
        <v/>
      </c>
      <c r="R2586" s="556">
        <f>G2586-W2586</f>
        <v/>
      </c>
      <c r="S2586" s="523" t="n">
        <v>44029</v>
      </c>
      <c r="T2586" s="522" t="inlineStr">
        <is>
          <t>INV200775</t>
        </is>
      </c>
      <c r="U2586" s="522" t="inlineStr">
        <is>
          <t>L001-901905215</t>
        </is>
      </c>
      <c r="V2586" s="522" t="inlineStr">
        <is>
          <t>វីអ៊ីស៊ិន (ខេមបូឌា) អ៊ិនដាសស្ទ្រី ឯ.ក</t>
        </is>
      </c>
      <c r="W2586" s="556" t="n">
        <v>184050</v>
      </c>
    </row>
    <row r="2587">
      <c r="A2587" s="521" t="n">
        <v>2579</v>
      </c>
      <c r="B2587" s="522" t="n"/>
      <c r="C2587" s="522" t="inlineStr">
        <is>
          <t>វ៉ាយ.ស៊ី ផេកខេជីង ឯ.ក</t>
        </is>
      </c>
      <c r="D2587" s="522" t="inlineStr">
        <is>
          <t>L001-901700417</t>
        </is>
      </c>
      <c r="E2587" s="521" t="inlineStr">
        <is>
          <t>TI0111</t>
        </is>
      </c>
      <c r="F2587" s="523" t="n">
        <v>44034</v>
      </c>
      <c r="G2587" s="556" t="n">
        <v>2233336</v>
      </c>
      <c r="I2587" s="521">
        <f>G2587</f>
        <v/>
      </c>
      <c r="K2587" s="521">
        <f>I2587-G2587</f>
        <v/>
      </c>
      <c r="M2587" s="522" t="inlineStr">
        <is>
          <t>TI0111</t>
        </is>
      </c>
      <c r="N2587" s="522" t="inlineStr">
        <is>
          <t>TI0111</t>
        </is>
      </c>
      <c r="O2587" s="521">
        <f>M2587=N2587</f>
        <v/>
      </c>
      <c r="P2587" s="521">
        <f>AND(MONTH(F2587)=MONTH(S2587), YEAR(F2587)=YEAR(S2587))</f>
        <v/>
      </c>
      <c r="Q2587" s="521">
        <f>U2587="L001-901905215"</f>
        <v/>
      </c>
      <c r="R2587" s="556">
        <f>G2587-W2587</f>
        <v/>
      </c>
      <c r="S2587" s="523" t="n">
        <v>44034</v>
      </c>
      <c r="T2587" s="522" t="inlineStr">
        <is>
          <t>TI0111</t>
        </is>
      </c>
      <c r="U2587" s="522" t="inlineStr">
        <is>
          <t>L001-901905215</t>
        </is>
      </c>
      <c r="V2587" s="522" t="inlineStr">
        <is>
          <t>វីអ៊ីស៊ិន (ខេមបូឌា) អ៊ិនដាសស្ទ្រី ឯ.ក</t>
        </is>
      </c>
      <c r="W2587" s="556" t="n">
        <v>2239345</v>
      </c>
    </row>
    <row r="2588">
      <c r="A2588" s="521" t="n">
        <v>2580</v>
      </c>
      <c r="B2588" s="522" t="n"/>
      <c r="C2588" s="522" t="inlineStr">
        <is>
          <t>អ៊ិចស្ពែឌីធ័រ ខេមបូឌា អិលធីឌី</t>
        </is>
      </c>
      <c r="D2588" s="522" t="inlineStr">
        <is>
          <t>L001-100045898</t>
        </is>
      </c>
      <c r="E2588" s="521" t="inlineStr">
        <is>
          <t>TI0180011</t>
        </is>
      </c>
      <c r="F2588" s="523" t="n">
        <v>44027</v>
      </c>
      <c r="G2588" s="556" t="n">
        <v>265820</v>
      </c>
      <c r="I2588" s="521">
        <f>G2588</f>
        <v/>
      </c>
      <c r="K2588" s="521">
        <f>I2588-G2588</f>
        <v/>
      </c>
      <c r="M2588" s="522" t="inlineStr">
        <is>
          <t>TI0180011</t>
        </is>
      </c>
      <c r="N2588" s="522" t="inlineStr">
        <is>
          <t>TI0180011</t>
        </is>
      </c>
      <c r="O2588" s="521">
        <f>M2588=N2588</f>
        <v/>
      </c>
      <c r="P2588" s="521">
        <f>AND(MONTH(F2588)=MONTH(S2588), YEAR(F2588)=YEAR(S2588))</f>
        <v/>
      </c>
      <c r="Q2588" s="521">
        <f>U2588="L001-901905215"</f>
        <v/>
      </c>
      <c r="R2588" s="556">
        <f>G2588-W2588</f>
        <v/>
      </c>
      <c r="S2588" s="523" t="n">
        <v>44027</v>
      </c>
      <c r="T2588" s="522" t="inlineStr">
        <is>
          <t>TI-0180011</t>
        </is>
      </c>
      <c r="U2588" s="522" t="inlineStr">
        <is>
          <t>L001-901905215</t>
        </is>
      </c>
      <c r="V2588" s="522" t="inlineStr">
        <is>
          <t>វីអ៊ីស៊ិន (ខេមបូឌា) អ៊ិនដាសស្ទ្រី ឯ.ក</t>
        </is>
      </c>
      <c r="W2588" s="556" t="n">
        <v>265809</v>
      </c>
    </row>
    <row r="2589">
      <c r="A2589" s="521" t="n">
        <v>2581</v>
      </c>
      <c r="B2589" s="522" t="n"/>
      <c r="C2589" s="522" t="inlineStr">
        <is>
          <t>អ៊ិចស្ពែឌីធ័រ ខេមបូឌា អិលធីឌី</t>
        </is>
      </c>
      <c r="D2589" s="522" t="inlineStr">
        <is>
          <t>L001-100045898</t>
        </is>
      </c>
      <c r="E2589" s="521" t="inlineStr">
        <is>
          <t>TI0180054</t>
        </is>
      </c>
      <c r="F2589" s="523" t="n">
        <v>44027</v>
      </c>
      <c r="G2589" s="556" t="n">
        <v>287642</v>
      </c>
      <c r="I2589" s="521">
        <f>G2589</f>
        <v/>
      </c>
      <c r="K2589" s="521">
        <f>I2589-G2589</f>
        <v/>
      </c>
      <c r="M2589" s="522" t="inlineStr">
        <is>
          <t>TI0180054</t>
        </is>
      </c>
      <c r="N2589" s="522" t="inlineStr">
        <is>
          <t>TI0180054</t>
        </is>
      </c>
      <c r="O2589" s="521">
        <f>M2589=N2589</f>
        <v/>
      </c>
      <c r="P2589" s="521">
        <f>AND(MONTH(F2589)=MONTH(S2589), YEAR(F2589)=YEAR(S2589))</f>
        <v/>
      </c>
      <c r="Q2589" s="521">
        <f>U2589="L001-901905215"</f>
        <v/>
      </c>
      <c r="R2589" s="556">
        <f>G2589-W2589</f>
        <v/>
      </c>
      <c r="S2589" s="523" t="n">
        <v>44027</v>
      </c>
      <c r="T2589" s="522" t="inlineStr">
        <is>
          <t>TI-0180054</t>
        </is>
      </c>
      <c r="U2589" s="522" t="inlineStr">
        <is>
          <t>L001-901905215</t>
        </is>
      </c>
      <c r="V2589" s="522" t="inlineStr">
        <is>
          <t>វីអ៊ីស៊ិន (ខេមបូឌា) អ៊ិនដាសស្ទ្រី ឯ.ក</t>
        </is>
      </c>
      <c r="W2589" s="556" t="n">
        <v>287650</v>
      </c>
    </row>
    <row r="2590">
      <c r="A2590" s="521" t="n">
        <v>2582</v>
      </c>
      <c r="B2590" s="522" t="n"/>
      <c r="C2590" s="522" t="inlineStr">
        <is>
          <t>អ៊ិចស្ពែឌីធ័រ ខេមបូឌា អិលធីឌី</t>
        </is>
      </c>
      <c r="D2590" s="522" t="inlineStr">
        <is>
          <t>L001-100045898</t>
        </is>
      </c>
      <c r="E2590" s="521" t="inlineStr">
        <is>
          <t>TI0180014</t>
        </is>
      </c>
      <c r="F2590" s="523" t="n">
        <v>44027</v>
      </c>
      <c r="G2590" s="556" t="n">
        <v>146831</v>
      </c>
      <c r="I2590" s="521">
        <f>G2590</f>
        <v/>
      </c>
      <c r="K2590" s="521">
        <f>I2590-G2590</f>
        <v/>
      </c>
      <c r="M2590" s="522" t="inlineStr">
        <is>
          <t>TI0180014</t>
        </is>
      </c>
      <c r="N2590" s="522" t="inlineStr">
        <is>
          <t>TI0180014</t>
        </is>
      </c>
      <c r="O2590" s="521">
        <f>M2590=N2590</f>
        <v/>
      </c>
      <c r="P2590" s="521">
        <f>AND(MONTH(F2590)=MONTH(S2590), YEAR(F2590)=YEAR(S2590))</f>
        <v/>
      </c>
      <c r="Q2590" s="521">
        <f>U2590="L001-901905215"</f>
        <v/>
      </c>
      <c r="R2590" s="556">
        <f>G2590-W2590</f>
        <v/>
      </c>
      <c r="S2590" s="523" t="n">
        <v>44027</v>
      </c>
      <c r="T2590" s="522" t="inlineStr">
        <is>
          <t>TI-0180014</t>
        </is>
      </c>
      <c r="U2590" s="522" t="inlineStr">
        <is>
          <t>L001-901905215</t>
        </is>
      </c>
      <c r="V2590" s="522" t="inlineStr">
        <is>
          <t>វីអ៊ីស៊ិន (ខេមបូឌា) អ៊ិនដាសស្ទ្រី ឯ.ក</t>
        </is>
      </c>
      <c r="W2590" s="556" t="n">
        <v>146831</v>
      </c>
    </row>
    <row r="2591">
      <c r="A2591" s="521" t="n">
        <v>2583</v>
      </c>
      <c r="B2591" s="522" t="n"/>
      <c r="C2591" s="522" t="inlineStr">
        <is>
          <t>អ៊ិចស្ពែឌីធ័រ ខេមបូឌា អិលធីឌី</t>
        </is>
      </c>
      <c r="D2591" s="522" t="inlineStr">
        <is>
          <t>L001-100045898</t>
        </is>
      </c>
      <c r="E2591" s="521" t="inlineStr">
        <is>
          <t>TI0179628</t>
        </is>
      </c>
      <c r="F2591" s="523" t="n">
        <v>44021</v>
      </c>
      <c r="G2591" s="556" t="n">
        <v>146759</v>
      </c>
      <c r="I2591" s="521">
        <f>G2591</f>
        <v/>
      </c>
      <c r="K2591" s="521">
        <f>I2591-G2591</f>
        <v/>
      </c>
      <c r="M2591" s="522" t="inlineStr">
        <is>
          <t>TI0179628</t>
        </is>
      </c>
      <c r="N2591" s="522" t="inlineStr">
        <is>
          <t>TI0179628</t>
        </is>
      </c>
      <c r="O2591" s="521">
        <f>M2591=N2591</f>
        <v/>
      </c>
      <c r="P2591" s="521">
        <f>AND(MONTH(F2591)=MONTH(S2591), YEAR(F2591)=YEAR(S2591))</f>
        <v/>
      </c>
      <c r="Q2591" s="521">
        <f>U2591="L001-901905215"</f>
        <v/>
      </c>
      <c r="R2591" s="556">
        <f>G2591-W2591</f>
        <v/>
      </c>
      <c r="S2591" s="523" t="n">
        <v>44021</v>
      </c>
      <c r="T2591" s="522" t="inlineStr">
        <is>
          <t>TI-0179628</t>
        </is>
      </c>
      <c r="U2591" s="522" t="inlineStr">
        <is>
          <t>L001-901905215</t>
        </is>
      </c>
      <c r="V2591" s="522" t="inlineStr">
        <is>
          <t>វីអ៊ីស៊ិន (ខេមបូឌា) អ៊ិនដាសស្ទ្រី ឯ.ក</t>
        </is>
      </c>
      <c r="W2591" s="556" t="n">
        <v>146759</v>
      </c>
    </row>
    <row r="2592">
      <c r="A2592" s="521" t="n">
        <v>2584</v>
      </c>
      <c r="B2592" s="522" t="n"/>
      <c r="C2592" s="522" t="inlineStr">
        <is>
          <t>អ៊ិចស្ពែឌីធ័រ ខេមបូឌា អិលធីឌី</t>
        </is>
      </c>
      <c r="D2592" s="522" t="inlineStr">
        <is>
          <t>L001-100045898</t>
        </is>
      </c>
      <c r="E2592" s="521" t="inlineStr">
        <is>
          <t>TI0179652</t>
        </is>
      </c>
      <c r="F2592" s="523" t="n">
        <v>44021</v>
      </c>
      <c r="G2592" s="556" t="n">
        <v>134495</v>
      </c>
      <c r="I2592" s="521">
        <f>G2592</f>
        <v/>
      </c>
      <c r="K2592" s="521">
        <f>I2592-G2592</f>
        <v/>
      </c>
      <c r="M2592" s="522" t="inlineStr">
        <is>
          <t>TI0179652</t>
        </is>
      </c>
      <c r="N2592" s="522" t="inlineStr">
        <is>
          <t>TI0179652</t>
        </is>
      </c>
      <c r="O2592" s="521">
        <f>M2592=N2592</f>
        <v/>
      </c>
      <c r="P2592" s="521">
        <f>AND(MONTH(F2592)=MONTH(S2592), YEAR(F2592)=YEAR(S2592))</f>
        <v/>
      </c>
      <c r="Q2592" s="521">
        <f>U2592="L001-901905215"</f>
        <v/>
      </c>
      <c r="R2592" s="556">
        <f>G2592-W2592</f>
        <v/>
      </c>
      <c r="S2592" s="523" t="n">
        <v>44021</v>
      </c>
      <c r="T2592" s="522" t="inlineStr">
        <is>
          <t>TI-0179652</t>
        </is>
      </c>
      <c r="U2592" s="522" t="inlineStr">
        <is>
          <t>L001-901905215</t>
        </is>
      </c>
      <c r="V2592" s="522" t="inlineStr">
        <is>
          <t>វីអ៊ីស៊ិន (ខេមបូឌា) អ៊ិនដាសស្ទ្រី ឯ.ក</t>
        </is>
      </c>
      <c r="W2592" s="556" t="n">
        <v>134495</v>
      </c>
    </row>
    <row r="2593">
      <c r="A2593" s="521" t="n">
        <v>2585</v>
      </c>
      <c r="B2593" s="522" t="n"/>
      <c r="C2593" s="522" t="inlineStr">
        <is>
          <t>អ៊ិចស្ពែឌីធ័រ ខេមបូឌា អិលធីឌី</t>
        </is>
      </c>
      <c r="D2593" s="522" t="inlineStr">
        <is>
          <t>L001-100045898</t>
        </is>
      </c>
      <c r="E2593" s="521" t="inlineStr">
        <is>
          <t>TI0179644</t>
        </is>
      </c>
      <c r="F2593" s="523" t="n">
        <v>44021</v>
      </c>
      <c r="G2593" s="556" t="n">
        <v>116668</v>
      </c>
      <c r="I2593" s="521">
        <f>G2593</f>
        <v/>
      </c>
      <c r="K2593" s="521">
        <f>I2593-G2593</f>
        <v/>
      </c>
      <c r="M2593" s="522" t="inlineStr">
        <is>
          <t>TI0179644</t>
        </is>
      </c>
      <c r="N2593" s="522" t="inlineStr">
        <is>
          <t>TI0179644</t>
        </is>
      </c>
      <c r="O2593" s="521">
        <f>M2593=N2593</f>
        <v/>
      </c>
      <c r="P2593" s="521">
        <f>AND(MONTH(F2593)=MONTH(S2593), YEAR(F2593)=YEAR(S2593))</f>
        <v/>
      </c>
      <c r="Q2593" s="521">
        <f>U2593="L001-901905215"</f>
        <v/>
      </c>
      <c r="R2593" s="556">
        <f>G2593-W2593</f>
        <v/>
      </c>
      <c r="S2593" s="523" t="n">
        <v>44021</v>
      </c>
      <c r="T2593" s="522" t="inlineStr">
        <is>
          <t>TI-0179644</t>
        </is>
      </c>
      <c r="U2593" s="522" t="inlineStr">
        <is>
          <t>L001-901905215</t>
        </is>
      </c>
      <c r="V2593" s="522" t="inlineStr">
        <is>
          <t>វីអ៊ីស៊ិន (ខេមបូឌា) អ៊ិនដាសស្ទ្រី ឯ.ក</t>
        </is>
      </c>
      <c r="W2593" s="556" t="n">
        <v>116672</v>
      </c>
    </row>
    <row r="2594">
      <c r="A2594" s="521" t="n">
        <v>2586</v>
      </c>
      <c r="B2594" s="522" t="n"/>
      <c r="C2594" s="522" t="inlineStr">
        <is>
          <t>ខេមវីល គ្លូប៊ល ឯ.ក</t>
        </is>
      </c>
      <c r="D2594" s="522" t="inlineStr">
        <is>
          <t>L001-901637190</t>
        </is>
      </c>
      <c r="E2594" s="521" t="inlineStr">
        <is>
          <t>INV200735</t>
        </is>
      </c>
      <c r="F2594" s="523" t="n">
        <v>44019</v>
      </c>
      <c r="G2594" s="556" t="n">
        <v>225060</v>
      </c>
      <c r="I2594" s="521">
        <f>G2594</f>
        <v/>
      </c>
      <c r="K2594" s="521">
        <f>I2594-G2594</f>
        <v/>
      </c>
      <c r="M2594" s="522" t="inlineStr">
        <is>
          <t>INV200735</t>
        </is>
      </c>
      <c r="N2594" s="522" t="inlineStr">
        <is>
          <t>INV200735</t>
        </is>
      </c>
      <c r="O2594" s="521">
        <f>M2594=N2594</f>
        <v/>
      </c>
      <c r="P2594" s="521">
        <f>AND(MONTH(F2594)=MONTH(S2594), YEAR(F2594)=YEAR(S2594))</f>
        <v/>
      </c>
      <c r="Q2594" s="521">
        <f>U2594="L001-901905215"</f>
        <v/>
      </c>
      <c r="R2594" s="556">
        <f>G2594-W2594</f>
        <v/>
      </c>
      <c r="S2594" s="523" t="n">
        <v>44019</v>
      </c>
      <c r="T2594" s="522" t="inlineStr">
        <is>
          <t>INV200735</t>
        </is>
      </c>
      <c r="U2594" s="522" t="inlineStr">
        <is>
          <t>L001-901905215</t>
        </is>
      </c>
      <c r="V2594" s="522" t="inlineStr">
        <is>
          <t>វីអ៊ីស៊ិន (ខេមបូឌា) អ៊ិនដាសស្ទ្រី ឯ.ក</t>
        </is>
      </c>
      <c r="W2594" s="556" t="n">
        <v>225060</v>
      </c>
    </row>
    <row r="2595">
      <c r="A2595" s="521" t="n">
        <v>2587</v>
      </c>
      <c r="B2595" s="522" t="n"/>
      <c r="C2595" s="522" t="inlineStr">
        <is>
          <t>ខេមវីល គ្លូប៊ល ឯ.ក</t>
        </is>
      </c>
      <c r="D2595" s="522" t="inlineStr">
        <is>
          <t>L001-901637190</t>
        </is>
      </c>
      <c r="E2595" s="521" t="inlineStr">
        <is>
          <t>INV200734</t>
        </is>
      </c>
      <c r="F2595" s="523" t="n">
        <v>44019</v>
      </c>
      <c r="G2595" s="556" t="n">
        <v>184140</v>
      </c>
      <c r="I2595" s="521">
        <f>G2595</f>
        <v/>
      </c>
      <c r="K2595" s="521">
        <f>I2595-G2595</f>
        <v/>
      </c>
      <c r="M2595" s="522" t="inlineStr">
        <is>
          <t>INV200734</t>
        </is>
      </c>
      <c r="N2595" s="522" t="inlineStr">
        <is>
          <t>INV200734</t>
        </is>
      </c>
      <c r="O2595" s="521">
        <f>M2595=N2595</f>
        <v/>
      </c>
      <c r="P2595" s="521">
        <f>AND(MONTH(F2595)=MONTH(S2595), YEAR(F2595)=YEAR(S2595))</f>
        <v/>
      </c>
      <c r="Q2595" s="521">
        <f>U2595="L001-901905215"</f>
        <v/>
      </c>
      <c r="R2595" s="556">
        <f>G2595-W2595</f>
        <v/>
      </c>
      <c r="S2595" s="523" t="n">
        <v>44019</v>
      </c>
      <c r="T2595" s="522" t="inlineStr">
        <is>
          <t>INV200734</t>
        </is>
      </c>
      <c r="U2595" s="522" t="inlineStr">
        <is>
          <t>L001-901905215</t>
        </is>
      </c>
      <c r="V2595" s="522" t="inlineStr">
        <is>
          <t>វីអ៊ីស៊ិន (ខេមបូឌា) អ៊ិនដាសស្ទ្រី ឯ.ក</t>
        </is>
      </c>
      <c r="W2595" s="556" t="n">
        <v>184140</v>
      </c>
    </row>
    <row r="2596">
      <c r="A2596" s="521" t="n">
        <v>2588</v>
      </c>
      <c r="B2596" s="522" t="n"/>
      <c r="C2596" s="522" t="inlineStr">
        <is>
          <t>អ៊ិចស្ពែឌីធ័រ ខេមបូឌា អិលធីឌី</t>
        </is>
      </c>
      <c r="D2596" s="522" t="inlineStr">
        <is>
          <t>L001-100045898</t>
        </is>
      </c>
      <c r="E2596" s="521" t="inlineStr">
        <is>
          <t>TI0181035</t>
        </is>
      </c>
      <c r="F2596" s="523" t="n">
        <v>44041</v>
      </c>
      <c r="G2596" s="556" t="n">
        <v>175761</v>
      </c>
      <c r="I2596" s="521">
        <f>G2596</f>
        <v/>
      </c>
      <c r="K2596" s="521">
        <f>I2596-G2596</f>
        <v/>
      </c>
      <c r="M2596" s="522" t="inlineStr">
        <is>
          <t>TI0181035</t>
        </is>
      </c>
      <c r="N2596" s="522" t="inlineStr">
        <is>
          <t>TI0181035</t>
        </is>
      </c>
      <c r="O2596" s="521">
        <f>M2596=N2596</f>
        <v/>
      </c>
      <c r="P2596" s="521">
        <f>AND(MONTH(F2596)=MONTH(S2596), YEAR(F2596)=YEAR(S2596))</f>
        <v/>
      </c>
      <c r="Q2596" s="521">
        <f>U2596="L001-901905215"</f>
        <v/>
      </c>
      <c r="R2596" s="556">
        <f>G2596-W2596</f>
        <v/>
      </c>
      <c r="S2596" s="523" t="n">
        <v>44041</v>
      </c>
      <c r="T2596" s="522" t="inlineStr">
        <is>
          <t>TI-0181035</t>
        </is>
      </c>
      <c r="U2596" s="522" t="inlineStr">
        <is>
          <t>L001-901905215</t>
        </is>
      </c>
      <c r="V2596" s="522" t="inlineStr">
        <is>
          <t>វីអ៊ីស៊ិន (ខេមបូឌា) អ៊ិនដាសស្ទ្រី ឯ.ក</t>
        </is>
      </c>
      <c r="W2596" s="556" t="n">
        <v>175761</v>
      </c>
    </row>
    <row r="2597">
      <c r="A2597" s="521" t="n">
        <v>2589</v>
      </c>
      <c r="B2597" s="522" t="n"/>
      <c r="C2597" s="522" t="inlineStr">
        <is>
          <t>ប្យួរ៉ូ វេរីតាស (ខេមបូឌា) លីមីធីត</t>
        </is>
      </c>
      <c r="D2597" s="522" t="inlineStr">
        <is>
          <t>L001-107024462</t>
        </is>
      </c>
      <c r="E2597" s="521" t="inlineStr">
        <is>
          <t>59007976</t>
        </is>
      </c>
      <c r="F2597" s="523" t="n">
        <v>44021</v>
      </c>
      <c r="G2597" s="556" t="n">
        <v>61320</v>
      </c>
      <c r="I2597" s="521">
        <f>G2597</f>
        <v/>
      </c>
      <c r="K2597" s="521">
        <f>I2597-G2597</f>
        <v/>
      </c>
      <c r="M2597" s="522" t="inlineStr">
        <is>
          <t>59007976</t>
        </is>
      </c>
      <c r="N2597" s="522" t="inlineStr">
        <is>
          <t>59007976</t>
        </is>
      </c>
      <c r="O2597" s="521">
        <f>M2597=N2597</f>
        <v/>
      </c>
      <c r="P2597" s="521">
        <f>AND(MONTH(F2597)=MONTH(S2597), YEAR(F2597)=YEAR(S2597))</f>
        <v/>
      </c>
      <c r="Q2597" s="521">
        <f>U2597="L001-901905215"</f>
        <v/>
      </c>
      <c r="R2597" s="556">
        <f>G2597-W2597</f>
        <v/>
      </c>
      <c r="S2597" s="523" t="n">
        <v>44021</v>
      </c>
      <c r="T2597" s="522" t="inlineStr">
        <is>
          <t>59007976</t>
        </is>
      </c>
      <c r="U2597" s="522" t="inlineStr">
        <is>
          <t>L001-901905215</t>
        </is>
      </c>
      <c r="V2597" s="522" t="inlineStr">
        <is>
          <t>វីអ៊ីស៊ិន (ខេមបូឌា) អ៊ិនដាសស្ទ្រី ឯ.ក</t>
        </is>
      </c>
      <c r="W2597" s="556" t="n">
        <v>61320</v>
      </c>
    </row>
    <row r="2598">
      <c r="A2598" s="521" t="n">
        <v>2590</v>
      </c>
      <c r="B2598" s="522" t="n"/>
      <c r="C2598" s="522" t="inlineStr">
        <is>
          <t>ប្យួរ៉ូ វេរីតាស (ខេមបូឌា) លីមីធីត</t>
        </is>
      </c>
      <c r="D2598" s="522" t="inlineStr">
        <is>
          <t>L001-107024462</t>
        </is>
      </c>
      <c r="E2598" s="521" t="inlineStr">
        <is>
          <t>59007928</t>
        </is>
      </c>
      <c r="F2598" s="523" t="n">
        <v>44018</v>
      </c>
      <c r="G2598" s="556" t="n">
        <v>61380</v>
      </c>
      <c r="I2598" s="521">
        <f>G2598</f>
        <v/>
      </c>
      <c r="K2598" s="521">
        <f>I2598-G2598</f>
        <v/>
      </c>
      <c r="M2598" s="522" t="inlineStr">
        <is>
          <t>59007928</t>
        </is>
      </c>
      <c r="N2598" s="522" t="inlineStr">
        <is>
          <t>59007928</t>
        </is>
      </c>
      <c r="O2598" s="521">
        <f>M2598=N2598</f>
        <v/>
      </c>
      <c r="P2598" s="521">
        <f>AND(MONTH(F2598)=MONTH(S2598), YEAR(F2598)=YEAR(S2598))</f>
        <v/>
      </c>
      <c r="Q2598" s="521">
        <f>U2598="L001-901905215"</f>
        <v/>
      </c>
      <c r="R2598" s="556">
        <f>G2598-W2598</f>
        <v/>
      </c>
      <c r="S2598" s="523" t="n">
        <v>44018</v>
      </c>
      <c r="T2598" s="522" t="inlineStr">
        <is>
          <t>59007928</t>
        </is>
      </c>
      <c r="U2598" s="522" t="inlineStr">
        <is>
          <t>L001-901905215</t>
        </is>
      </c>
      <c r="V2598" s="522" t="inlineStr">
        <is>
          <t>វីអ៊ីស៊ិន (ខេមបូឌា) អ៊ិនដាសស្ទ្រី ឯ.ក</t>
        </is>
      </c>
      <c r="W2598" s="556" t="n">
        <v>61380</v>
      </c>
    </row>
    <row r="2599">
      <c r="A2599" s="521" t="n">
        <v>2591</v>
      </c>
      <c r="B2599" s="522" t="n"/>
      <c r="C2599" s="522" t="inlineStr">
        <is>
          <t>ខេមវីល គ្លូប៊ល ឯ.ក</t>
        </is>
      </c>
      <c r="D2599" s="522" t="inlineStr">
        <is>
          <t>L001-901637190</t>
        </is>
      </c>
      <c r="E2599" s="521" t="inlineStr">
        <is>
          <t>INV200776</t>
        </is>
      </c>
      <c r="F2599" s="523" t="n">
        <v>44029</v>
      </c>
      <c r="G2599" s="556" t="n">
        <v>85890</v>
      </c>
      <c r="I2599" s="521">
        <f>G2599</f>
        <v/>
      </c>
      <c r="K2599" s="521">
        <f>I2599-G2599</f>
        <v/>
      </c>
      <c r="M2599" s="522" t="inlineStr">
        <is>
          <t>INV200776</t>
        </is>
      </c>
      <c r="N2599" s="522" t="inlineStr">
        <is>
          <t>INV200776</t>
        </is>
      </c>
      <c r="O2599" s="521">
        <f>M2599=N2599</f>
        <v/>
      </c>
      <c r="P2599" s="521">
        <f>AND(MONTH(F2599)=MONTH(S2599), YEAR(F2599)=YEAR(S2599))</f>
        <v/>
      </c>
      <c r="Q2599" s="521">
        <f>U2599="L001-901905215"</f>
        <v/>
      </c>
      <c r="R2599" s="556">
        <f>G2599-W2599</f>
        <v/>
      </c>
      <c r="S2599" s="523" t="n">
        <v>44029</v>
      </c>
      <c r="T2599" s="522" t="inlineStr">
        <is>
          <t>INV200776</t>
        </is>
      </c>
      <c r="U2599" s="522" t="inlineStr">
        <is>
          <t>L001-901905215</t>
        </is>
      </c>
      <c r="V2599" s="522" t="inlineStr">
        <is>
          <t>វីអ៊ីស៊ិន (ខេមបូឌា) អ៊ិនដាសស្ទ្រី ឯ.ក</t>
        </is>
      </c>
      <c r="W2599" s="556" t="n">
        <v>85890</v>
      </c>
    </row>
    <row r="2600">
      <c r="A2600" s="521" t="n">
        <v>2592</v>
      </c>
      <c r="B2600" s="522" t="n"/>
      <c r="C2600" s="522" t="inlineStr">
        <is>
          <t>កំពង់ផែស្វយ័តភ្នំពេញ "ក.ស.ភ"</t>
        </is>
      </c>
      <c r="D2600" s="522" t="inlineStr">
        <is>
          <t>L001-100044999</t>
        </is>
      </c>
      <c r="E2600" s="521" t="inlineStr">
        <is>
          <t>INV20200730824</t>
        </is>
      </c>
      <c r="F2600" s="523" t="n">
        <v>44014</v>
      </c>
      <c r="G2600" s="556" t="n">
        <v>29298</v>
      </c>
      <c r="I2600" s="521">
        <f>G2600</f>
        <v/>
      </c>
      <c r="K2600" s="521">
        <f>I2600-G2600</f>
        <v/>
      </c>
      <c r="M2600" s="522" t="inlineStr">
        <is>
          <t>INV20200730824</t>
        </is>
      </c>
      <c r="N2600" s="522" t="inlineStr"/>
      <c r="O2600" s="521">
        <f>M2600=N2600</f>
        <v/>
      </c>
      <c r="P2600" s="521">
        <f>AND(MONTH(F2600)=MONTH(S2600), YEAR(F2600)=YEAR(S2600))</f>
        <v/>
      </c>
      <c r="Q2600" s="521">
        <f>U2600="L001-901905215"</f>
        <v/>
      </c>
      <c r="R2600" s="556">
        <f>G2600-W2600</f>
        <v/>
      </c>
      <c r="S2600" s="521" t="n"/>
      <c r="T2600" s="522" t="n"/>
      <c r="U2600" s="522" t="n"/>
      <c r="V2600" s="522" t="n"/>
      <c r="W2600" s="521" t="n"/>
    </row>
    <row r="2601">
      <c r="A2601" s="521" t="n">
        <v>2593</v>
      </c>
      <c r="B2601" s="522" t="n"/>
      <c r="C2601" s="522" t="inlineStr">
        <is>
          <t>ខេមវីល គ្លូប៊ល ឯ.ក</t>
        </is>
      </c>
      <c r="D2601" s="522" t="inlineStr">
        <is>
          <t>L001-901637190</t>
        </is>
      </c>
      <c r="E2601" s="521" t="inlineStr">
        <is>
          <t>INV200751</t>
        </is>
      </c>
      <c r="F2601" s="523" t="n">
        <v>44022</v>
      </c>
      <c r="G2601" s="556" t="n">
        <v>183825</v>
      </c>
      <c r="I2601" s="521">
        <f>G2601</f>
        <v/>
      </c>
      <c r="K2601" s="521">
        <f>I2601-G2601</f>
        <v/>
      </c>
      <c r="M2601" s="522" t="inlineStr">
        <is>
          <t>INV200751</t>
        </is>
      </c>
      <c r="N2601" s="522" t="inlineStr">
        <is>
          <t>INV200751</t>
        </is>
      </c>
      <c r="O2601" s="521">
        <f>M2601=N2601</f>
        <v/>
      </c>
      <c r="P2601" s="521">
        <f>AND(MONTH(F2601)=MONTH(S2601), YEAR(F2601)=YEAR(S2601))</f>
        <v/>
      </c>
      <c r="Q2601" s="521">
        <f>U2601="L001-901905215"</f>
        <v/>
      </c>
      <c r="R2601" s="556">
        <f>G2601-W2601</f>
        <v/>
      </c>
      <c r="S2601" s="523" t="n">
        <v>44022</v>
      </c>
      <c r="T2601" s="522" t="inlineStr">
        <is>
          <t>INV200751</t>
        </is>
      </c>
      <c r="U2601" s="522" t="inlineStr">
        <is>
          <t>L001-901905215</t>
        </is>
      </c>
      <c r="V2601" s="522" t="inlineStr">
        <is>
          <t>វីអ៊ីស៊ិន (ខេមបូឌា) អ៊ិនដាសស្ទ្រី ឯ.ក</t>
        </is>
      </c>
      <c r="W2601" s="556" t="n">
        <v>183825</v>
      </c>
    </row>
    <row r="2602">
      <c r="A2602" s="521" t="n">
        <v>2594</v>
      </c>
      <c r="B2602" s="522" t="n"/>
      <c r="C2602" s="522" t="inlineStr">
        <is>
          <t>ឆាយ ដា ឡូយីស្ទីក</t>
        </is>
      </c>
      <c r="D2602" s="522" t="inlineStr">
        <is>
          <t>L001-100063098</t>
        </is>
      </c>
      <c r="E2602" s="521" t="inlineStr">
        <is>
          <t>207006503</t>
        </is>
      </c>
      <c r="F2602" s="523" t="n">
        <v>44039</v>
      </c>
      <c r="G2602" s="556" t="n">
        <v>89681</v>
      </c>
      <c r="I2602" s="521">
        <f>G2602</f>
        <v/>
      </c>
      <c r="K2602" s="521">
        <f>I2602-G2602</f>
        <v/>
      </c>
      <c r="M2602" s="522" t="inlineStr">
        <is>
          <t>207006503</t>
        </is>
      </c>
      <c r="N2602" s="522" t="inlineStr"/>
      <c r="O2602" s="521">
        <f>M2602=N2602</f>
        <v/>
      </c>
      <c r="P2602" s="521">
        <f>AND(MONTH(F2602)=MONTH(S2602), YEAR(F2602)=YEAR(S2602))</f>
        <v/>
      </c>
      <c r="Q2602" s="521">
        <f>U2602="L001-901905215"</f>
        <v/>
      </c>
      <c r="R2602" s="556">
        <f>G2602-W2602</f>
        <v/>
      </c>
      <c r="S2602" s="521" t="n"/>
      <c r="T2602" s="522" t="n"/>
      <c r="U2602" s="522" t="n"/>
      <c r="V2602" s="522" t="n"/>
      <c r="W2602" s="521" t="n"/>
    </row>
    <row r="2603">
      <c r="A2603" s="521" t="n">
        <v>2595</v>
      </c>
      <c r="B2603" s="522" t="n"/>
      <c r="C2603" s="522" t="inlineStr">
        <is>
          <t>ឆាយ ដា ឡូយីស្ទីក</t>
        </is>
      </c>
      <c r="D2603" s="522" t="inlineStr">
        <is>
          <t>L001-100063098</t>
        </is>
      </c>
      <c r="E2603" s="521" t="inlineStr">
        <is>
          <t>207006313</t>
        </is>
      </c>
      <c r="F2603" s="523" t="n">
        <v>44034</v>
      </c>
      <c r="G2603" s="556" t="n">
        <v>89527</v>
      </c>
      <c r="I2603" s="521">
        <f>G2603</f>
        <v/>
      </c>
      <c r="K2603" s="521">
        <f>I2603-G2603</f>
        <v/>
      </c>
      <c r="M2603" s="522" t="inlineStr">
        <is>
          <t>207006313</t>
        </is>
      </c>
      <c r="N2603" s="522" t="inlineStr"/>
      <c r="O2603" s="521">
        <f>M2603=N2603</f>
        <v/>
      </c>
      <c r="P2603" s="521">
        <f>AND(MONTH(F2603)=MONTH(S2603), YEAR(F2603)=YEAR(S2603))</f>
        <v/>
      </c>
      <c r="Q2603" s="521">
        <f>U2603="L001-901905215"</f>
        <v/>
      </c>
      <c r="R2603" s="556">
        <f>G2603-W2603</f>
        <v/>
      </c>
      <c r="S2603" s="521" t="n"/>
      <c r="T2603" s="522" t="n"/>
      <c r="U2603" s="522" t="n"/>
      <c r="V2603" s="522" t="n"/>
      <c r="W2603" s="521" t="n"/>
    </row>
    <row r="2604">
      <c r="A2604" s="521" t="n">
        <v>2596</v>
      </c>
      <c r="B2604" s="522" t="n"/>
      <c r="C2604" s="522" t="inlineStr">
        <is>
          <t>ឆាយ ដា ឡូយីស្ទីក</t>
        </is>
      </c>
      <c r="D2604" s="522" t="inlineStr">
        <is>
          <t>L001-100063098</t>
        </is>
      </c>
      <c r="E2604" s="521" t="inlineStr">
        <is>
          <t>207006312</t>
        </is>
      </c>
      <c r="F2604" s="523" t="n">
        <v>44034</v>
      </c>
      <c r="G2604" s="556" t="n">
        <v>193771</v>
      </c>
      <c r="I2604" s="521">
        <f>G2604</f>
        <v/>
      </c>
      <c r="K2604" s="521">
        <f>I2604-G2604</f>
        <v/>
      </c>
      <c r="M2604" s="522" t="inlineStr">
        <is>
          <t>207006312</t>
        </is>
      </c>
      <c r="N2604" s="522" t="inlineStr"/>
      <c r="O2604" s="521">
        <f>M2604=N2604</f>
        <v/>
      </c>
      <c r="P2604" s="521">
        <f>AND(MONTH(F2604)=MONTH(S2604), YEAR(F2604)=YEAR(S2604))</f>
        <v/>
      </c>
      <c r="Q2604" s="521">
        <f>U2604="L001-901905215"</f>
        <v/>
      </c>
      <c r="R2604" s="556">
        <f>G2604-W2604</f>
        <v/>
      </c>
      <c r="S2604" s="521" t="n"/>
      <c r="T2604" s="522" t="n"/>
      <c r="U2604" s="522" t="n"/>
      <c r="V2604" s="522" t="n"/>
      <c r="W2604" s="521" t="n"/>
    </row>
    <row r="2605">
      <c r="A2605" s="521" t="n">
        <v>2597</v>
      </c>
      <c r="B2605" s="522" t="inlineStr">
        <is>
          <t>LIFT ON EMPITY FEE</t>
        </is>
      </c>
      <c r="C2605" s="522" t="inlineStr">
        <is>
          <t>ហុង ឡេង ហួរ</t>
        </is>
      </c>
      <c r="D2605" s="522" t="inlineStr">
        <is>
          <t>L001-100068901</t>
        </is>
      </c>
      <c r="E2605" s="521" t="inlineStr">
        <is>
          <t>166281</t>
        </is>
      </c>
      <c r="F2605" s="523" t="n">
        <v>44392</v>
      </c>
      <c r="G2605" s="556" t="n">
        <v>5551</v>
      </c>
      <c r="I2605" s="521">
        <f>G2605</f>
        <v/>
      </c>
      <c r="K2605" s="521">
        <f>I2605-G2605</f>
        <v/>
      </c>
      <c r="M2605" s="522" t="inlineStr">
        <is>
          <t>166281</t>
        </is>
      </c>
      <c r="N2605" s="522" t="inlineStr"/>
      <c r="O2605" s="521">
        <f>M2605=N2605</f>
        <v/>
      </c>
      <c r="P2605" s="521">
        <f>AND(MONTH(F2605)=MONTH(S2605), YEAR(F2605)=YEAR(S2605))</f>
        <v/>
      </c>
      <c r="Q2605" s="521">
        <f>U2605="L001-901905215"</f>
        <v/>
      </c>
      <c r="R2605" s="556">
        <f>G2605-W2605</f>
        <v/>
      </c>
      <c r="S2605" s="521" t="n"/>
      <c r="T2605" s="522" t="n"/>
      <c r="U2605" s="522" t="n"/>
      <c r="V2605" s="522" t="n"/>
      <c r="W2605" s="521" t="n"/>
    </row>
    <row r="2606">
      <c r="A2606" s="521" t="n">
        <v>2598</v>
      </c>
      <c r="B2606" s="522" t="inlineStr">
        <is>
          <t>Express fee</t>
        </is>
      </c>
      <c r="C2606" s="522" t="inlineStr">
        <is>
          <t>ឌី អេច អិល អិចប្រេស (ខេមបូឌា)</t>
        </is>
      </c>
      <c r="D2606" s="522" t="inlineStr">
        <is>
          <t>L001-100045197</t>
        </is>
      </c>
      <c r="E2606" s="521" t="inlineStr">
        <is>
          <t>PNHR000388115</t>
        </is>
      </c>
      <c r="F2606" s="523" t="n">
        <v>44399</v>
      </c>
      <c r="G2606" s="556" t="n">
        <v>3053</v>
      </c>
      <c r="I2606" s="521">
        <f>G2606</f>
        <v/>
      </c>
      <c r="K2606" s="521">
        <f>I2606-G2606</f>
        <v/>
      </c>
      <c r="M2606" s="522" t="inlineStr">
        <is>
          <t>PNHR000388115</t>
        </is>
      </c>
      <c r="N2606" s="522" t="inlineStr"/>
      <c r="O2606" s="521">
        <f>M2606=N2606</f>
        <v/>
      </c>
      <c r="P2606" s="521">
        <f>AND(MONTH(F2606)=MONTH(S2606), YEAR(F2606)=YEAR(S2606))</f>
        <v/>
      </c>
      <c r="Q2606" s="521">
        <f>U2606="L001-901905215"</f>
        <v/>
      </c>
      <c r="R2606" s="556">
        <f>G2606-W2606</f>
        <v/>
      </c>
      <c r="S2606" s="521" t="n"/>
      <c r="T2606" s="522" t="n"/>
      <c r="U2606" s="522" t="n"/>
      <c r="V2606" s="522" t="n"/>
      <c r="W2606" s="521" t="n"/>
    </row>
    <row r="2607">
      <c r="A2607" s="521" t="n">
        <v>2599</v>
      </c>
      <c r="B2607" s="522" t="inlineStr">
        <is>
          <t>Custom Clearance and Trucking fee</t>
        </is>
      </c>
      <c r="C2607" s="522" t="inlineStr">
        <is>
          <t>56ប៊ី-លីង សឹបផ្លាយ ឆេន មេនេចម៉ិន ឯ.ក</t>
        </is>
      </c>
      <c r="D2607" s="522" t="inlineStr">
        <is>
          <t>K004-902004795</t>
        </is>
      </c>
      <c r="E2607" s="521" t="inlineStr">
        <is>
          <t>IN202107-0369</t>
        </is>
      </c>
      <c r="F2607" s="523" t="n">
        <v>44399</v>
      </c>
      <c r="G2607" s="556" t="n">
        <v>166911</v>
      </c>
      <c r="I2607" s="521">
        <f>G2607</f>
        <v/>
      </c>
      <c r="K2607" s="521">
        <f>I2607-G2607</f>
        <v/>
      </c>
      <c r="M2607" s="522" t="inlineStr">
        <is>
          <t>IN2021070369</t>
        </is>
      </c>
      <c r="N2607" s="522" t="inlineStr">
        <is>
          <t>IN2021070369</t>
        </is>
      </c>
      <c r="O2607" s="521">
        <f>M2607=N2607</f>
        <v/>
      </c>
      <c r="P2607" s="521">
        <f>AND(MONTH(F2607)=MONTH(S2607), YEAR(F2607)=YEAR(S2607))</f>
        <v/>
      </c>
      <c r="Q2607" s="521">
        <f>U2607="L001-901905215"</f>
        <v/>
      </c>
      <c r="R2607" s="556">
        <f>G2607-W2607</f>
        <v/>
      </c>
      <c r="S2607" s="523" t="n">
        <v>44399</v>
      </c>
      <c r="T2607" s="522" t="inlineStr">
        <is>
          <t>IN202107-0369</t>
        </is>
      </c>
      <c r="U2607" s="522" t="inlineStr">
        <is>
          <t>L001-901905215</t>
        </is>
      </c>
      <c r="V2607" s="522" t="inlineStr">
        <is>
          <t>វីអ៊ីស៊ិន (ខេមបូឌា) អ៊ិនដាសស្ទ្រី ឯ.ក</t>
        </is>
      </c>
      <c r="W2607" s="556" t="n">
        <v>166911</v>
      </c>
    </row>
    <row r="2608">
      <c r="A2608" s="521" t="n">
        <v>2600</v>
      </c>
      <c r="B2608" s="522" t="inlineStr">
        <is>
          <t>Custom Clearance and Trucking fee</t>
        </is>
      </c>
      <c r="C2608" s="522" t="inlineStr">
        <is>
          <t>56ប៊ី-លីង សឹបផ្លាយ ឆេន មេនេចម៉ិន ឯ.ក</t>
        </is>
      </c>
      <c r="D2608" s="522" t="inlineStr">
        <is>
          <t>K004-902004795</t>
        </is>
      </c>
      <c r="E2608" s="521" t="inlineStr">
        <is>
          <t>IN202107-0370</t>
        </is>
      </c>
      <c r="F2608" s="523" t="n">
        <v>44399</v>
      </c>
      <c r="G2608" s="556" t="n">
        <v>293112</v>
      </c>
      <c r="I2608" s="521">
        <f>G2608</f>
        <v/>
      </c>
      <c r="K2608" s="521">
        <f>I2608-G2608</f>
        <v/>
      </c>
      <c r="M2608" s="522" t="inlineStr">
        <is>
          <t>IN2021070370</t>
        </is>
      </c>
      <c r="N2608" s="522" t="inlineStr">
        <is>
          <t>IN2021070370</t>
        </is>
      </c>
      <c r="O2608" s="521">
        <f>M2608=N2608</f>
        <v/>
      </c>
      <c r="P2608" s="521">
        <f>AND(MONTH(F2608)=MONTH(S2608), YEAR(F2608)=YEAR(S2608))</f>
        <v/>
      </c>
      <c r="Q2608" s="521">
        <f>U2608="L001-901905215"</f>
        <v/>
      </c>
      <c r="R2608" s="556">
        <f>G2608-W2608</f>
        <v/>
      </c>
      <c r="S2608" s="523" t="n">
        <v>44399</v>
      </c>
      <c r="T2608" s="522" t="inlineStr">
        <is>
          <t>IN202107-0370</t>
        </is>
      </c>
      <c r="U2608" s="522" t="inlineStr">
        <is>
          <t>L001-901905215</t>
        </is>
      </c>
      <c r="V2608" s="522" t="inlineStr">
        <is>
          <t>វីអ៊ីស៊ិន (ខេមបូឌា) អ៊ិនដាសស្ទ្រី ឯ.ក</t>
        </is>
      </c>
      <c r="W2608" s="556" t="n">
        <v>293112</v>
      </c>
    </row>
    <row r="2609">
      <c r="A2609" s="521" t="n">
        <v>2601</v>
      </c>
      <c r="B2609" s="522" t="inlineStr">
        <is>
          <t>Custom Clearance and Trucking fee</t>
        </is>
      </c>
      <c r="C2609" s="522" t="inlineStr">
        <is>
          <t>56ប៊ី-លីង សឹបផ្លាយ ឆេន មេនេចម៉ិន ឯ.ក</t>
        </is>
      </c>
      <c r="D2609" s="522" t="inlineStr">
        <is>
          <t>K004-902004795</t>
        </is>
      </c>
      <c r="E2609" s="521" t="inlineStr">
        <is>
          <t>IN202107-0371</t>
        </is>
      </c>
      <c r="F2609" s="523" t="n">
        <v>44399</v>
      </c>
      <c r="G2609" s="556" t="n">
        <v>549585</v>
      </c>
      <c r="I2609" s="521">
        <f>G2609</f>
        <v/>
      </c>
      <c r="K2609" s="521">
        <f>I2609-G2609</f>
        <v/>
      </c>
      <c r="M2609" s="522" t="inlineStr">
        <is>
          <t>IN2021070371</t>
        </is>
      </c>
      <c r="N2609" s="522" t="inlineStr">
        <is>
          <t>IN2021070371</t>
        </is>
      </c>
      <c r="O2609" s="521">
        <f>M2609=N2609</f>
        <v/>
      </c>
      <c r="P2609" s="521">
        <f>AND(MONTH(F2609)=MONTH(S2609), YEAR(F2609)=YEAR(S2609))</f>
        <v/>
      </c>
      <c r="Q2609" s="521">
        <f>U2609="L001-901905215"</f>
        <v/>
      </c>
      <c r="R2609" s="556">
        <f>G2609-W2609</f>
        <v/>
      </c>
      <c r="S2609" s="523" t="n">
        <v>44399</v>
      </c>
      <c r="T2609" s="522" t="inlineStr">
        <is>
          <t>IN202107-0371</t>
        </is>
      </c>
      <c r="U2609" s="522" t="inlineStr">
        <is>
          <t>L001-901905215</t>
        </is>
      </c>
      <c r="V2609" s="522" t="inlineStr">
        <is>
          <t>វីអ៊ីស៊ិន (ខេមបូឌា) អ៊ិនដាសស្ទ្រី ឯ.ក</t>
        </is>
      </c>
      <c r="W2609" s="556" t="n">
        <v>549585</v>
      </c>
    </row>
    <row r="2610">
      <c r="A2610" s="521" t="n">
        <v>2602</v>
      </c>
      <c r="B2610" s="522" t="inlineStr">
        <is>
          <t>Custom Clearance and Trucking fee</t>
        </is>
      </c>
      <c r="C2610" s="522" t="inlineStr">
        <is>
          <t>56ប៊ី-លីង សឹបផ្លាយ ឆេន មេនេចម៉ិន ឯ.ក</t>
        </is>
      </c>
      <c r="D2610" s="522" t="inlineStr">
        <is>
          <t>K004-902004795</t>
        </is>
      </c>
      <c r="E2610" s="521" t="inlineStr">
        <is>
          <t>IN202107-0372</t>
        </is>
      </c>
      <c r="F2610" s="523" t="n">
        <v>44399</v>
      </c>
      <c r="G2610" s="556" t="n">
        <v>313467</v>
      </c>
      <c r="I2610" s="521">
        <f>G2610</f>
        <v/>
      </c>
      <c r="K2610" s="521">
        <f>I2610-G2610</f>
        <v/>
      </c>
      <c r="M2610" s="522" t="inlineStr">
        <is>
          <t>IN2021070372</t>
        </is>
      </c>
      <c r="N2610" s="522" t="inlineStr">
        <is>
          <t>IN2021070372</t>
        </is>
      </c>
      <c r="O2610" s="521">
        <f>M2610=N2610</f>
        <v/>
      </c>
      <c r="P2610" s="521">
        <f>AND(MONTH(F2610)=MONTH(S2610), YEAR(F2610)=YEAR(S2610))</f>
        <v/>
      </c>
      <c r="Q2610" s="521">
        <f>U2610="L001-901905215"</f>
        <v/>
      </c>
      <c r="R2610" s="556">
        <f>G2610-W2610</f>
        <v/>
      </c>
      <c r="S2610" s="523" t="n">
        <v>44399</v>
      </c>
      <c r="T2610" s="522" t="inlineStr">
        <is>
          <t>IN202107-0372</t>
        </is>
      </c>
      <c r="U2610" s="522" t="inlineStr">
        <is>
          <t>L001-901905215</t>
        </is>
      </c>
      <c r="V2610" s="522" t="inlineStr">
        <is>
          <t>វីអ៊ីស៊ិន (ខេមបូឌា) អ៊ិនដាសស្ទ្រី ឯ.ក</t>
        </is>
      </c>
      <c r="W2610" s="556" t="n">
        <v>313467</v>
      </c>
    </row>
    <row r="2611">
      <c r="A2611" s="521" t="n">
        <v>2603</v>
      </c>
      <c r="B2611" s="522" t="inlineStr">
        <is>
          <t>Custom Clearance and Trucking fee</t>
        </is>
      </c>
      <c r="C2611" s="522" t="inlineStr">
        <is>
          <t>56ប៊ី-លីង សឹបផ្លាយ ឆេន មេនេចម៉ិន ឯ.ក</t>
        </is>
      </c>
      <c r="D2611" s="522" t="inlineStr">
        <is>
          <t>K004-902004795</t>
        </is>
      </c>
      <c r="E2611" s="521" t="inlineStr">
        <is>
          <t>IN202107-0384</t>
        </is>
      </c>
      <c r="F2611" s="523" t="n">
        <v>44407</v>
      </c>
      <c r="G2611" s="556" t="n">
        <v>295220</v>
      </c>
      <c r="I2611" s="521">
        <f>G2611</f>
        <v/>
      </c>
      <c r="K2611" s="521">
        <f>I2611-G2611</f>
        <v/>
      </c>
      <c r="M2611" s="522" t="inlineStr">
        <is>
          <t>IN2021070384</t>
        </is>
      </c>
      <c r="N2611" s="522" t="inlineStr">
        <is>
          <t>IN2021070384</t>
        </is>
      </c>
      <c r="O2611" s="521">
        <f>M2611=N2611</f>
        <v/>
      </c>
      <c r="P2611" s="521">
        <f>AND(MONTH(F2611)=MONTH(S2611), YEAR(F2611)=YEAR(S2611))</f>
        <v/>
      </c>
      <c r="Q2611" s="521">
        <f>U2611="L001-901905215"</f>
        <v/>
      </c>
      <c r="R2611" s="556">
        <f>G2611-W2611</f>
        <v/>
      </c>
      <c r="S2611" s="523" t="n">
        <v>44407</v>
      </c>
      <c r="T2611" s="522" t="inlineStr">
        <is>
          <t>IN202107-0384</t>
        </is>
      </c>
      <c r="U2611" s="522" t="inlineStr">
        <is>
          <t>L001-901905215</t>
        </is>
      </c>
      <c r="V2611" s="522" t="inlineStr">
        <is>
          <t>វីអ៊ីស៊ិន (ខេមបូឌា) អ៊ិនដាសស្ទ្រី ឯ.ក</t>
        </is>
      </c>
      <c r="W2611" s="556" t="n">
        <v>295220</v>
      </c>
    </row>
    <row r="2612">
      <c r="A2612" s="521" t="n">
        <v>2604</v>
      </c>
      <c r="B2612" s="522" t="inlineStr">
        <is>
          <t>Custom Clearance and Trucking fee</t>
        </is>
      </c>
      <c r="C2612" s="522" t="inlineStr">
        <is>
          <t>56ប៊ី-លីង សឹបផ្លាយ ឆេន មេនេចម៉ិន ឯ.ក</t>
        </is>
      </c>
      <c r="D2612" s="522" t="inlineStr">
        <is>
          <t>K004-902004795</t>
        </is>
      </c>
      <c r="E2612" s="521" t="inlineStr">
        <is>
          <t>IN202107-0385</t>
        </is>
      </c>
      <c r="F2612" s="523" t="n">
        <v>44407</v>
      </c>
      <c r="G2612" s="556" t="n">
        <v>490676</v>
      </c>
      <c r="I2612" s="521">
        <f>G2612</f>
        <v/>
      </c>
      <c r="K2612" s="521">
        <f>I2612-G2612</f>
        <v/>
      </c>
      <c r="M2612" s="522" t="inlineStr">
        <is>
          <t>IN2021070385</t>
        </is>
      </c>
      <c r="N2612" s="522" t="inlineStr">
        <is>
          <t>IN2021070385</t>
        </is>
      </c>
      <c r="O2612" s="521">
        <f>M2612=N2612</f>
        <v/>
      </c>
      <c r="P2612" s="521">
        <f>AND(MONTH(F2612)=MONTH(S2612), YEAR(F2612)=YEAR(S2612))</f>
        <v/>
      </c>
      <c r="Q2612" s="521">
        <f>U2612="L001-901905215"</f>
        <v/>
      </c>
      <c r="R2612" s="556">
        <f>G2612-W2612</f>
        <v/>
      </c>
      <c r="S2612" s="523" t="n">
        <v>44407</v>
      </c>
      <c r="T2612" s="522" t="inlineStr">
        <is>
          <t>IN202107-0385</t>
        </is>
      </c>
      <c r="U2612" s="522" t="inlineStr">
        <is>
          <t>L001-901905215</t>
        </is>
      </c>
      <c r="V2612" s="522" t="inlineStr">
        <is>
          <t>វីអ៊ីស៊ិន (ខេមបូឌា) អ៊ិនដាសស្ទ្រី ឯ.ក</t>
        </is>
      </c>
      <c r="W2612" s="556" t="n">
        <v>490676</v>
      </c>
    </row>
    <row r="2613">
      <c r="A2613" s="521" t="n">
        <v>2605</v>
      </c>
      <c r="B2613" s="522" t="inlineStr">
        <is>
          <t>Custom Clearance and Trucking fee</t>
        </is>
      </c>
      <c r="C2613" s="522" t="inlineStr">
        <is>
          <t>56ប៊ី-លីង សឹបផ្លាយ ឆេន មេនេចម៉ិន ឯ.ក</t>
        </is>
      </c>
      <c r="D2613" s="522" t="inlineStr">
        <is>
          <t>K004-902004795</t>
        </is>
      </c>
      <c r="E2613" s="521" t="inlineStr">
        <is>
          <t>IN202107-0386</t>
        </is>
      </c>
      <c r="F2613" s="523" t="n">
        <v>44407</v>
      </c>
      <c r="G2613" s="556" t="n">
        <v>484568</v>
      </c>
      <c r="I2613" s="521">
        <f>G2613</f>
        <v/>
      </c>
      <c r="K2613" s="521">
        <f>I2613-G2613</f>
        <v/>
      </c>
      <c r="M2613" s="522" t="inlineStr">
        <is>
          <t>IN2021070386</t>
        </is>
      </c>
      <c r="N2613" s="522" t="inlineStr">
        <is>
          <t>IN2021070386</t>
        </is>
      </c>
      <c r="O2613" s="521">
        <f>M2613=N2613</f>
        <v/>
      </c>
      <c r="P2613" s="521">
        <f>AND(MONTH(F2613)=MONTH(S2613), YEAR(F2613)=YEAR(S2613))</f>
        <v/>
      </c>
      <c r="Q2613" s="521">
        <f>U2613="L001-901905215"</f>
        <v/>
      </c>
      <c r="R2613" s="556">
        <f>G2613-W2613</f>
        <v/>
      </c>
      <c r="S2613" s="523" t="n">
        <v>44407</v>
      </c>
      <c r="T2613" s="522" t="inlineStr">
        <is>
          <t>IN202107-0386</t>
        </is>
      </c>
      <c r="U2613" s="522" t="inlineStr">
        <is>
          <t>L001-901905215</t>
        </is>
      </c>
      <c r="V2613" s="522" t="inlineStr">
        <is>
          <t>វីអ៊ីស៊ិន (ខេមបូឌា) អ៊ិនដាសស្ទ្រី ឯ.ក</t>
        </is>
      </c>
      <c r="W2613" s="556" t="n">
        <v>484568</v>
      </c>
    </row>
    <row r="2614">
      <c r="A2614" s="521" t="n">
        <v>2606</v>
      </c>
      <c r="B2614" s="522" t="inlineStr">
        <is>
          <t>Custom Clearance and Trucking fee</t>
        </is>
      </c>
      <c r="C2614" s="522" t="inlineStr">
        <is>
          <t>56ប៊ី-លីង សឹបផ្លាយ ឆេន មេនេចម៉ិន ឯ.ក</t>
        </is>
      </c>
      <c r="D2614" s="522" t="inlineStr">
        <is>
          <t>K004-902004795</t>
        </is>
      </c>
      <c r="E2614" s="521" t="inlineStr">
        <is>
          <t>IN202107-0387</t>
        </is>
      </c>
      <c r="F2614" s="523" t="n">
        <v>44407</v>
      </c>
      <c r="G2614" s="556" t="n">
        <v>734996</v>
      </c>
      <c r="I2614" s="521">
        <f>G2614</f>
        <v/>
      </c>
      <c r="K2614" s="521">
        <f>I2614-G2614</f>
        <v/>
      </c>
      <c r="M2614" s="522" t="inlineStr">
        <is>
          <t>IN2021070387</t>
        </is>
      </c>
      <c r="N2614" s="522" t="inlineStr">
        <is>
          <t>IN2021070387</t>
        </is>
      </c>
      <c r="O2614" s="521">
        <f>M2614=N2614</f>
        <v/>
      </c>
      <c r="P2614" s="521">
        <f>AND(MONTH(F2614)=MONTH(S2614), YEAR(F2614)=YEAR(S2614))</f>
        <v/>
      </c>
      <c r="Q2614" s="521">
        <f>U2614="L001-901905215"</f>
        <v/>
      </c>
      <c r="R2614" s="556">
        <f>G2614-W2614</f>
        <v/>
      </c>
      <c r="S2614" s="523" t="n">
        <v>44407</v>
      </c>
      <c r="T2614" s="522" t="inlineStr">
        <is>
          <t>IN202107-0387</t>
        </is>
      </c>
      <c r="U2614" s="522" t="inlineStr">
        <is>
          <t>L001-901905215</t>
        </is>
      </c>
      <c r="V2614" s="522" t="inlineStr">
        <is>
          <t>វីអ៊ីស៊ិន (ខេមបូឌា) អ៊ិនដាសស្ទ្រី ឯ.ក</t>
        </is>
      </c>
      <c r="W2614" s="556" t="n">
        <v>734996</v>
      </c>
    </row>
    <row r="2615">
      <c r="A2615" s="521" t="n">
        <v>2607</v>
      </c>
      <c r="B2615" s="522" t="inlineStr">
        <is>
          <t>Custom Clearance and Trucking fee</t>
        </is>
      </c>
      <c r="C2615" s="522" t="inlineStr">
        <is>
          <t>56ប៊ី-លីង សឹបផ្លាយ ឆេន មេនេចម៉ិន ឯ.ក</t>
        </is>
      </c>
      <c r="D2615" s="522" t="inlineStr">
        <is>
          <t>K004-902004795</t>
        </is>
      </c>
      <c r="E2615" s="521" t="inlineStr">
        <is>
          <t>IN202107-0388</t>
        </is>
      </c>
      <c r="F2615" s="523" t="n">
        <v>44407</v>
      </c>
      <c r="G2615" s="556" t="n">
        <v>258572</v>
      </c>
      <c r="I2615" s="521">
        <f>G2615</f>
        <v/>
      </c>
      <c r="K2615" s="521">
        <f>I2615-G2615</f>
        <v/>
      </c>
      <c r="M2615" s="522" t="inlineStr">
        <is>
          <t>IN2021070388</t>
        </is>
      </c>
      <c r="N2615" s="522" t="inlineStr">
        <is>
          <t>IN2021070388</t>
        </is>
      </c>
      <c r="O2615" s="521">
        <f>M2615=N2615</f>
        <v/>
      </c>
      <c r="P2615" s="521">
        <f>AND(MONTH(F2615)=MONTH(S2615), YEAR(F2615)=YEAR(S2615))</f>
        <v/>
      </c>
      <c r="Q2615" s="521">
        <f>U2615="L001-901905215"</f>
        <v/>
      </c>
      <c r="R2615" s="556">
        <f>G2615-W2615</f>
        <v/>
      </c>
      <c r="S2615" s="523" t="n">
        <v>44407</v>
      </c>
      <c r="T2615" s="522" t="inlineStr">
        <is>
          <t>IN202107-0388</t>
        </is>
      </c>
      <c r="U2615" s="522" t="inlineStr">
        <is>
          <t>L001-901905215</t>
        </is>
      </c>
      <c r="V2615" s="522" t="inlineStr">
        <is>
          <t>វីអ៊ីស៊ិន (ខេមបូឌា) អ៊ិនដាសស្ទ្រី ឯ.ក</t>
        </is>
      </c>
      <c r="W2615" s="556" t="n">
        <v>258572</v>
      </c>
    </row>
    <row r="2616">
      <c r="A2616" s="521" t="n">
        <v>2608</v>
      </c>
      <c r="B2616" s="522" t="inlineStr">
        <is>
          <t>Custom Clearance and Trucking fee</t>
        </is>
      </c>
      <c r="C2616" s="522" t="inlineStr">
        <is>
          <t>56ប៊ី-លីង សឹបផ្លាយ ឆេន មេនេចម៉ិន ឯ.ក</t>
        </is>
      </c>
      <c r="D2616" s="522" t="inlineStr">
        <is>
          <t>K004-902004795</t>
        </is>
      </c>
      <c r="E2616" s="521" t="inlineStr">
        <is>
          <t>IN202107-0389</t>
        </is>
      </c>
      <c r="F2616" s="523" t="n">
        <v>44407</v>
      </c>
      <c r="G2616" s="556" t="n">
        <v>270788</v>
      </c>
      <c r="I2616" s="521">
        <f>G2616</f>
        <v/>
      </c>
      <c r="K2616" s="521">
        <f>I2616-G2616</f>
        <v/>
      </c>
      <c r="M2616" s="522" t="inlineStr">
        <is>
          <t>IN2021070389</t>
        </is>
      </c>
      <c r="N2616" s="522" t="inlineStr">
        <is>
          <t>IN2021070389</t>
        </is>
      </c>
      <c r="O2616" s="521">
        <f>M2616=N2616</f>
        <v/>
      </c>
      <c r="P2616" s="521">
        <f>AND(MONTH(F2616)=MONTH(S2616), YEAR(F2616)=YEAR(S2616))</f>
        <v/>
      </c>
      <c r="Q2616" s="521">
        <f>U2616="L001-901905215"</f>
        <v/>
      </c>
      <c r="R2616" s="556">
        <f>G2616-W2616</f>
        <v/>
      </c>
      <c r="S2616" s="523" t="n">
        <v>44407</v>
      </c>
      <c r="T2616" s="522" t="inlineStr">
        <is>
          <t>IN202107-0389</t>
        </is>
      </c>
      <c r="U2616" s="522" t="inlineStr">
        <is>
          <t>L001-901905215</t>
        </is>
      </c>
      <c r="V2616" s="522" t="inlineStr">
        <is>
          <t>វីអ៊ីស៊ិន (ខេមបូឌា) អ៊ិនដាសស្ទ្រី ឯ.ក</t>
        </is>
      </c>
      <c r="W2616" s="556" t="n">
        <v>270788</v>
      </c>
    </row>
    <row r="2617">
      <c r="A2617" s="521" t="n">
        <v>2609</v>
      </c>
      <c r="B2617" s="522" t="inlineStr">
        <is>
          <t>Custom Clearance and Trucking fee</t>
        </is>
      </c>
      <c r="C2617" s="522" t="inlineStr">
        <is>
          <t>56ប៊ី-លីង សឹបផ្លាយ ឆេន មេនេចម៉ិន ឯ.ក</t>
        </is>
      </c>
      <c r="D2617" s="522" t="inlineStr">
        <is>
          <t>K004-902004795</t>
        </is>
      </c>
      <c r="E2617" s="521" t="inlineStr">
        <is>
          <t>IN202107-0390</t>
        </is>
      </c>
      <c r="F2617" s="523" t="n">
        <v>44407</v>
      </c>
      <c r="G2617" s="556" t="n">
        <v>1026144</v>
      </c>
      <c r="I2617" s="521">
        <f>G2617</f>
        <v/>
      </c>
      <c r="K2617" s="521">
        <f>I2617-G2617</f>
        <v/>
      </c>
      <c r="M2617" s="522" t="inlineStr">
        <is>
          <t>IN2021070390</t>
        </is>
      </c>
      <c r="N2617" s="522" t="inlineStr">
        <is>
          <t>IN2021070390</t>
        </is>
      </c>
      <c r="O2617" s="521">
        <f>M2617=N2617</f>
        <v/>
      </c>
      <c r="P2617" s="521">
        <f>AND(MONTH(F2617)=MONTH(S2617), YEAR(F2617)=YEAR(S2617))</f>
        <v/>
      </c>
      <c r="Q2617" s="521">
        <f>U2617="L001-901905215"</f>
        <v/>
      </c>
      <c r="R2617" s="556">
        <f>G2617-W2617</f>
        <v/>
      </c>
      <c r="S2617" s="523" t="n">
        <v>44407</v>
      </c>
      <c r="T2617" s="522" t="inlineStr">
        <is>
          <t>IN202107-0390</t>
        </is>
      </c>
      <c r="U2617" s="522" t="inlineStr">
        <is>
          <t>L001-901905215</t>
        </is>
      </c>
      <c r="V2617" s="522" t="inlineStr">
        <is>
          <t>វីអ៊ីស៊ិន (ខេមបូឌា) អ៊ិនដាសស្ទ្រី ឯ.ក</t>
        </is>
      </c>
      <c r="W2617" s="556" t="n">
        <v>1026144</v>
      </c>
    </row>
    <row r="2618">
      <c r="A2618" s="521" t="n">
        <v>2610</v>
      </c>
      <c r="B2618" s="522" t="inlineStr">
        <is>
          <t>Custom Clearance and Trucking fee</t>
        </is>
      </c>
      <c r="C2618" s="522" t="inlineStr">
        <is>
          <t>56ប៊ី-លីង សឹបផ្លាយ ឆេន មេនេចម៉ិន ឯ.ក</t>
        </is>
      </c>
      <c r="D2618" s="522" t="inlineStr">
        <is>
          <t>K004-902004795</t>
        </is>
      </c>
      <c r="E2618" s="521" t="inlineStr">
        <is>
          <t>IN202107-0391</t>
        </is>
      </c>
      <c r="F2618" s="523" t="n">
        <v>44407</v>
      </c>
      <c r="G2618" s="556" t="n">
        <v>270788</v>
      </c>
      <c r="I2618" s="521">
        <f>G2618</f>
        <v/>
      </c>
      <c r="K2618" s="521">
        <f>I2618-G2618</f>
        <v/>
      </c>
      <c r="M2618" s="522" t="inlineStr">
        <is>
          <t>IN2021070391</t>
        </is>
      </c>
      <c r="N2618" s="522" t="inlineStr">
        <is>
          <t>IN2021070391</t>
        </is>
      </c>
      <c r="O2618" s="521">
        <f>M2618=N2618</f>
        <v/>
      </c>
      <c r="P2618" s="521">
        <f>AND(MONTH(F2618)=MONTH(S2618), YEAR(F2618)=YEAR(S2618))</f>
        <v/>
      </c>
      <c r="Q2618" s="521">
        <f>U2618="L001-901905215"</f>
        <v/>
      </c>
      <c r="R2618" s="556">
        <f>G2618-W2618</f>
        <v/>
      </c>
      <c r="S2618" s="523" t="n">
        <v>44407</v>
      </c>
      <c r="T2618" s="522" t="inlineStr">
        <is>
          <t>IN202107-0391</t>
        </is>
      </c>
      <c r="U2618" s="522" t="inlineStr">
        <is>
          <t>L001-901905215</t>
        </is>
      </c>
      <c r="V2618" s="522" t="inlineStr">
        <is>
          <t>វីអ៊ីស៊ិន (ខេមបូឌា) អ៊ិនដាសស្ទ្រី ឯ.ក</t>
        </is>
      </c>
      <c r="W2618" s="556" t="n">
        <v>270788</v>
      </c>
    </row>
    <row r="2619">
      <c r="A2619" s="521" t="n">
        <v>2611</v>
      </c>
      <c r="B2619" s="522" t="inlineStr">
        <is>
          <t>Custom Clearance and Trucking fee</t>
        </is>
      </c>
      <c r="C2619" s="522" t="inlineStr">
        <is>
          <t>56ប៊ី-លីង សឹបផ្លាយ ឆេន មេនេចម៉ិន ឯ.ក</t>
        </is>
      </c>
      <c r="D2619" s="522" t="inlineStr">
        <is>
          <t>K004-902004795</t>
        </is>
      </c>
      <c r="E2619" s="521" t="inlineStr">
        <is>
          <t>IN202107-0392</t>
        </is>
      </c>
      <c r="F2619" s="523" t="n">
        <v>44407</v>
      </c>
      <c r="G2619" s="556" t="n">
        <v>293184</v>
      </c>
      <c r="I2619" s="521">
        <f>G2619</f>
        <v/>
      </c>
      <c r="K2619" s="521">
        <f>I2619-G2619</f>
        <v/>
      </c>
      <c r="M2619" s="522" t="inlineStr">
        <is>
          <t>IN2021070392</t>
        </is>
      </c>
      <c r="N2619" s="522" t="inlineStr">
        <is>
          <t>IN2021070392</t>
        </is>
      </c>
      <c r="O2619" s="521">
        <f>M2619=N2619</f>
        <v/>
      </c>
      <c r="P2619" s="521">
        <f>AND(MONTH(F2619)=MONTH(S2619), YEAR(F2619)=YEAR(S2619))</f>
        <v/>
      </c>
      <c r="Q2619" s="521">
        <f>U2619="L001-901905215"</f>
        <v/>
      </c>
      <c r="R2619" s="556">
        <f>G2619-W2619</f>
        <v/>
      </c>
      <c r="S2619" s="523" t="n">
        <v>44407</v>
      </c>
      <c r="T2619" s="522" t="inlineStr">
        <is>
          <t>IN202107-0392</t>
        </is>
      </c>
      <c r="U2619" s="522" t="inlineStr">
        <is>
          <t>L001-901905215</t>
        </is>
      </c>
      <c r="V2619" s="522" t="inlineStr">
        <is>
          <t>វីអ៊ីស៊ិន (ខេមបូឌា) អ៊ិនដាសស្ទ្រី ឯ.ក</t>
        </is>
      </c>
      <c r="W2619" s="556" t="n">
        <v>293184</v>
      </c>
    </row>
    <row r="2620">
      <c r="A2620" s="521" t="n">
        <v>2612</v>
      </c>
      <c r="B2620" s="522" t="inlineStr">
        <is>
          <t>Custom Clearance and Trucking fee</t>
        </is>
      </c>
      <c r="C2620" s="522" t="inlineStr">
        <is>
          <t>56ប៊ី-លីង សឹបផ្លាយ ឆេន មេនេចម៉ិន ឯ.ក</t>
        </is>
      </c>
      <c r="D2620" s="522" t="inlineStr">
        <is>
          <t>K004-902004795</t>
        </is>
      </c>
      <c r="E2620" s="521" t="inlineStr">
        <is>
          <t>IN202107-0393</t>
        </is>
      </c>
      <c r="F2620" s="523" t="n">
        <v>44407</v>
      </c>
      <c r="G2620" s="556" t="n">
        <v>293184</v>
      </c>
      <c r="I2620" s="521">
        <f>G2620</f>
        <v/>
      </c>
      <c r="K2620" s="521">
        <f>I2620-G2620</f>
        <v/>
      </c>
      <c r="M2620" s="522" t="inlineStr">
        <is>
          <t>IN2021070393</t>
        </is>
      </c>
      <c r="N2620" s="522" t="inlineStr">
        <is>
          <t>IN2021070393</t>
        </is>
      </c>
      <c r="O2620" s="521">
        <f>M2620=N2620</f>
        <v/>
      </c>
      <c r="P2620" s="521">
        <f>AND(MONTH(F2620)=MONTH(S2620), YEAR(F2620)=YEAR(S2620))</f>
        <v/>
      </c>
      <c r="Q2620" s="521">
        <f>U2620="L001-901905215"</f>
        <v/>
      </c>
      <c r="R2620" s="556">
        <f>G2620-W2620</f>
        <v/>
      </c>
      <c r="S2620" s="523" t="n">
        <v>44378</v>
      </c>
      <c r="T2620" s="522" t="inlineStr">
        <is>
          <t>IN202107-0393</t>
        </is>
      </c>
      <c r="U2620" s="522" t="inlineStr">
        <is>
          <t>L001-901905215</t>
        </is>
      </c>
      <c r="V2620" s="522" t="inlineStr">
        <is>
          <t>វីអ៊ីស៊ិន (ខេមបូឌា) អ៊ិនដាសស្ទ្រី ឯ.ក</t>
        </is>
      </c>
      <c r="W2620" s="556" t="n">
        <v>293184</v>
      </c>
    </row>
    <row r="2621">
      <c r="A2621" s="521" t="n">
        <v>2613</v>
      </c>
      <c r="B2621" s="522" t="inlineStr">
        <is>
          <t>Custom Clearance and Trucking fee</t>
        </is>
      </c>
      <c r="C2621" s="522" t="inlineStr">
        <is>
          <t>56ប៊ី-លីង សឹបផ្លាយ ឆេន មេនេចម៉ិន ឯ.ក</t>
        </is>
      </c>
      <c r="D2621" s="522" t="inlineStr">
        <is>
          <t>K004-902004795</t>
        </is>
      </c>
      <c r="E2621" s="521" t="inlineStr">
        <is>
          <t>IN202107-0394</t>
        </is>
      </c>
      <c r="F2621" s="523" t="n">
        <v>44407</v>
      </c>
      <c r="G2621" s="556" t="n">
        <v>519180</v>
      </c>
      <c r="I2621" s="521">
        <f>G2621</f>
        <v/>
      </c>
      <c r="K2621" s="521">
        <f>I2621-G2621</f>
        <v/>
      </c>
      <c r="M2621" s="522" t="inlineStr">
        <is>
          <t>IN2021070394</t>
        </is>
      </c>
      <c r="N2621" s="522" t="inlineStr">
        <is>
          <t>IN2021070394</t>
        </is>
      </c>
      <c r="O2621" s="521">
        <f>M2621=N2621</f>
        <v/>
      </c>
      <c r="P2621" s="521">
        <f>AND(MONTH(F2621)=MONTH(S2621), YEAR(F2621)=YEAR(S2621))</f>
        <v/>
      </c>
      <c r="Q2621" s="521">
        <f>U2621="L001-901905215"</f>
        <v/>
      </c>
      <c r="R2621" s="556">
        <f>G2621-W2621</f>
        <v/>
      </c>
      <c r="S2621" s="523" t="n">
        <v>44407</v>
      </c>
      <c r="T2621" s="522" t="inlineStr">
        <is>
          <t>IN202107-0394</t>
        </is>
      </c>
      <c r="U2621" s="522" t="inlineStr">
        <is>
          <t>L001-901905215</t>
        </is>
      </c>
      <c r="V2621" s="522" t="inlineStr">
        <is>
          <t>វីអ៊ីស៊ិន (ខេមបូឌា) អ៊ិនដាសស្ទ្រី ឯ.ក</t>
        </is>
      </c>
      <c r="W2621" s="556" t="n">
        <v>519180</v>
      </c>
    </row>
    <row r="2622">
      <c r="A2622" s="521" t="n">
        <v>2614</v>
      </c>
      <c r="B2622" s="522" t="inlineStr">
        <is>
          <t>Custom Clearance and Trucking fee</t>
        </is>
      </c>
      <c r="C2622" s="522" t="inlineStr">
        <is>
          <t>56ប៊ី-លីង សឹបផ្លាយ ឆេន មេនេចម៉ិន ឯ.ក</t>
        </is>
      </c>
      <c r="D2622" s="522" t="inlineStr">
        <is>
          <t>K004-902004795</t>
        </is>
      </c>
      <c r="E2622" s="521" t="inlineStr">
        <is>
          <t>IN202107-0395</t>
        </is>
      </c>
      <c r="F2622" s="523" t="n">
        <v>44407</v>
      </c>
      <c r="G2622" s="556" t="n">
        <v>484568</v>
      </c>
      <c r="I2622" s="521">
        <f>G2622</f>
        <v/>
      </c>
      <c r="K2622" s="521">
        <f>I2622-G2622</f>
        <v/>
      </c>
      <c r="M2622" s="522" t="inlineStr">
        <is>
          <t>IN2021070395</t>
        </is>
      </c>
      <c r="N2622" s="522" t="inlineStr">
        <is>
          <t>IN2021070395</t>
        </is>
      </c>
      <c r="O2622" s="521">
        <f>M2622=N2622</f>
        <v/>
      </c>
      <c r="P2622" s="521">
        <f>AND(MONTH(F2622)=MONTH(S2622), YEAR(F2622)=YEAR(S2622))</f>
        <v/>
      </c>
      <c r="Q2622" s="521">
        <f>U2622="L001-901905215"</f>
        <v/>
      </c>
      <c r="R2622" s="556">
        <f>G2622-W2622</f>
        <v/>
      </c>
      <c r="S2622" s="523" t="n">
        <v>44407</v>
      </c>
      <c r="T2622" s="522" t="inlineStr">
        <is>
          <t>IN202107-0395</t>
        </is>
      </c>
      <c r="U2622" s="522" t="inlineStr">
        <is>
          <t>L001-901905215</t>
        </is>
      </c>
      <c r="V2622" s="522" t="inlineStr">
        <is>
          <t>វីអ៊ីស៊ិន (ខេមបូឌា) អ៊ិនដាសស្ទ្រី ឯ.ក</t>
        </is>
      </c>
      <c r="W2622" s="556" t="n">
        <v>484568</v>
      </c>
    </row>
    <row r="2623">
      <c r="A2623" s="521" t="n">
        <v>2615</v>
      </c>
      <c r="B2623" s="522" t="inlineStr">
        <is>
          <t>Custom Clearance and Trucking fee</t>
        </is>
      </c>
      <c r="C2623" s="522" t="inlineStr">
        <is>
          <t>56ប៊ី-លីង សឹបផ្លាយ ឆេន មេនេចម៉ិន ឯ.ក</t>
        </is>
      </c>
      <c r="D2623" s="522" t="inlineStr">
        <is>
          <t>K004-902004795</t>
        </is>
      </c>
      <c r="E2623" s="521" t="inlineStr">
        <is>
          <t>IN202107-0396</t>
        </is>
      </c>
      <c r="F2623" s="523" t="n">
        <v>44407</v>
      </c>
      <c r="G2623" s="556" t="n">
        <v>460136</v>
      </c>
      <c r="I2623" s="521">
        <f>G2623</f>
        <v/>
      </c>
      <c r="K2623" s="521">
        <f>I2623-G2623</f>
        <v/>
      </c>
      <c r="M2623" s="522" t="inlineStr">
        <is>
          <t>IN2021070396</t>
        </is>
      </c>
      <c r="N2623" s="522" t="inlineStr">
        <is>
          <t>IN2021070396</t>
        </is>
      </c>
      <c r="O2623" s="521">
        <f>M2623=N2623</f>
        <v/>
      </c>
      <c r="P2623" s="521">
        <f>AND(MONTH(F2623)=MONTH(S2623), YEAR(F2623)=YEAR(S2623))</f>
        <v/>
      </c>
      <c r="Q2623" s="521">
        <f>U2623="L001-901905215"</f>
        <v/>
      </c>
      <c r="R2623" s="556">
        <f>G2623-W2623</f>
        <v/>
      </c>
      <c r="S2623" s="523" t="n">
        <v>44407</v>
      </c>
      <c r="T2623" s="522" t="inlineStr">
        <is>
          <t>IN202107-0396</t>
        </is>
      </c>
      <c r="U2623" s="522" t="inlineStr">
        <is>
          <t>L001-901905215</t>
        </is>
      </c>
      <c r="V2623" s="522" t="inlineStr">
        <is>
          <t>វីអ៊ីស៊ិន (ខេមបូឌា) អ៊ិនដាសស្ទ្រី ឯ.ក</t>
        </is>
      </c>
      <c r="W2623" s="556" t="n">
        <v>460136</v>
      </c>
    </row>
    <row r="2624">
      <c r="A2624" s="521" t="n">
        <v>2616</v>
      </c>
      <c r="B2624" s="522" t="inlineStr">
        <is>
          <t>Custom Clearance and Trucking fee</t>
        </is>
      </c>
      <c r="C2624" s="522" t="inlineStr">
        <is>
          <t>56ប៊ី-លីង សឹបផ្លាយ ឆេន មេនេចម៉ិន ឯ.ក</t>
        </is>
      </c>
      <c r="D2624" s="522" t="inlineStr">
        <is>
          <t>K004-902004795</t>
        </is>
      </c>
      <c r="E2624" s="521" t="inlineStr">
        <is>
          <t>IN202107-0397</t>
        </is>
      </c>
      <c r="F2624" s="523" t="n">
        <v>44407</v>
      </c>
      <c r="G2624" s="556" t="n">
        <v>299292</v>
      </c>
      <c r="I2624" s="521">
        <f>G2624</f>
        <v/>
      </c>
      <c r="K2624" s="521">
        <f>I2624-G2624</f>
        <v/>
      </c>
      <c r="M2624" s="522" t="inlineStr">
        <is>
          <t>IN2021070397</t>
        </is>
      </c>
      <c r="N2624" s="522" t="inlineStr">
        <is>
          <t>IN2021070397</t>
        </is>
      </c>
      <c r="O2624" s="521">
        <f>M2624=N2624</f>
        <v/>
      </c>
      <c r="P2624" s="521">
        <f>AND(MONTH(F2624)=MONTH(S2624), YEAR(F2624)=YEAR(S2624))</f>
        <v/>
      </c>
      <c r="Q2624" s="521">
        <f>U2624="L001-901905215"</f>
        <v/>
      </c>
      <c r="R2624" s="556">
        <f>G2624-W2624</f>
        <v/>
      </c>
      <c r="S2624" s="523" t="n">
        <v>44407</v>
      </c>
      <c r="T2624" s="522" t="inlineStr">
        <is>
          <t>IN202107-0397</t>
        </is>
      </c>
      <c r="U2624" s="522" t="inlineStr">
        <is>
          <t>L001-901905215</t>
        </is>
      </c>
      <c r="V2624" s="522" t="inlineStr">
        <is>
          <t>វីអ៊ីស៊ិន (ខេមបូឌា) អ៊ិនដាសស្ទ្រី ឯ.ក</t>
        </is>
      </c>
      <c r="W2624" s="556" t="n">
        <v>299292</v>
      </c>
    </row>
    <row r="2625">
      <c r="A2625" s="521" t="n">
        <v>2617</v>
      </c>
      <c r="B2625" s="522" t="inlineStr">
        <is>
          <t>Custom Clearance and Trucking fee</t>
        </is>
      </c>
      <c r="C2625" s="522" t="inlineStr">
        <is>
          <t>56ប៊ី-លីង សឹបផ្លាយ ឆេន មេនេចម៉ិន ឯ.ក</t>
        </is>
      </c>
      <c r="D2625" s="522" t="inlineStr">
        <is>
          <t>K004-902004795</t>
        </is>
      </c>
      <c r="E2625" s="521" t="inlineStr">
        <is>
          <t>IN202107-0398</t>
        </is>
      </c>
      <c r="F2625" s="523" t="n">
        <v>44408</v>
      </c>
      <c r="G2625" s="556" t="n">
        <v>783860</v>
      </c>
      <c r="I2625" s="521">
        <f>G2625</f>
        <v/>
      </c>
      <c r="K2625" s="521">
        <f>I2625-G2625</f>
        <v/>
      </c>
      <c r="M2625" s="522" t="inlineStr">
        <is>
          <t>IN2021070398</t>
        </is>
      </c>
      <c r="N2625" s="522" t="inlineStr">
        <is>
          <t>IN2021070398</t>
        </is>
      </c>
      <c r="O2625" s="521">
        <f>M2625=N2625</f>
        <v/>
      </c>
      <c r="P2625" s="521">
        <f>AND(MONTH(F2625)=MONTH(S2625), YEAR(F2625)=YEAR(S2625))</f>
        <v/>
      </c>
      <c r="Q2625" s="521">
        <f>U2625="L001-901905215"</f>
        <v/>
      </c>
      <c r="R2625" s="556">
        <f>G2625-W2625</f>
        <v/>
      </c>
      <c r="S2625" s="523" t="n">
        <v>44407</v>
      </c>
      <c r="T2625" s="522" t="inlineStr">
        <is>
          <t>IN202107-0398</t>
        </is>
      </c>
      <c r="U2625" s="522" t="inlineStr">
        <is>
          <t>L001-901905215</t>
        </is>
      </c>
      <c r="V2625" s="522" t="inlineStr">
        <is>
          <t>វីអ៊ីស៊ិន (ខេមបូឌា) អ៊ិនដាសស្ទ្រី ឯ.ក</t>
        </is>
      </c>
      <c r="W2625" s="556" t="n">
        <v>783860</v>
      </c>
    </row>
    <row r="2626">
      <c r="A2626" s="521" t="n">
        <v>2618</v>
      </c>
      <c r="B2626" s="522" t="inlineStr">
        <is>
          <t>Custom Clearance and Trucking fee</t>
        </is>
      </c>
      <c r="C2626" s="522" t="inlineStr">
        <is>
          <t>56ប៊ី-លីង សឹបផ្លាយ ឆេន មេនេចម៉ិន ឯ.ក</t>
        </is>
      </c>
      <c r="D2626" s="522" t="inlineStr">
        <is>
          <t>K004-902004795</t>
        </is>
      </c>
      <c r="E2626" s="521" t="inlineStr">
        <is>
          <t>IN202107-0399</t>
        </is>
      </c>
      <c r="F2626" s="523" t="n">
        <v>44408</v>
      </c>
      <c r="G2626" s="556" t="n">
        <v>185276</v>
      </c>
      <c r="I2626" s="521">
        <f>G2626</f>
        <v/>
      </c>
      <c r="K2626" s="521">
        <f>I2626-G2626</f>
        <v/>
      </c>
      <c r="M2626" s="522" t="inlineStr">
        <is>
          <t>IN2021070399</t>
        </is>
      </c>
      <c r="N2626" s="522" t="inlineStr">
        <is>
          <t>IN2021070399</t>
        </is>
      </c>
      <c r="O2626" s="521">
        <f>M2626=N2626</f>
        <v/>
      </c>
      <c r="P2626" s="521">
        <f>AND(MONTH(F2626)=MONTH(S2626), YEAR(F2626)=YEAR(S2626))</f>
        <v/>
      </c>
      <c r="Q2626" s="521">
        <f>U2626="L001-901905215"</f>
        <v/>
      </c>
      <c r="R2626" s="556">
        <f>G2626-W2626</f>
        <v/>
      </c>
      <c r="S2626" s="523" t="n">
        <v>44407</v>
      </c>
      <c r="T2626" s="522" t="inlineStr">
        <is>
          <t>IN202107-0399</t>
        </is>
      </c>
      <c r="U2626" s="522" t="inlineStr">
        <is>
          <t>L001-901905215</t>
        </is>
      </c>
      <c r="V2626" s="522" t="inlineStr">
        <is>
          <t>វីអ៊ីស៊ិន (ខេមបូឌា) អ៊ិនដាសស្ទ្រី ឯ.ក</t>
        </is>
      </c>
      <c r="W2626" s="556" t="n">
        <v>185276</v>
      </c>
    </row>
    <row r="2627">
      <c r="A2627" s="521" t="n">
        <v>2619</v>
      </c>
      <c r="B2627" s="522" t="inlineStr">
        <is>
          <t>Lift-On&amp; Lift-Off</t>
        </is>
      </c>
      <c r="C2627" s="522" t="inlineStr">
        <is>
          <t>កំពង់ផែស្វយ័តក្រុងព្រះសីហនុ</t>
        </is>
      </c>
      <c r="D2627" s="522" t="inlineStr">
        <is>
          <t>L001-100044638</t>
        </is>
      </c>
      <c r="E2627" s="521" t="inlineStr">
        <is>
          <t>125286</t>
        </is>
      </c>
      <c r="F2627" s="523" t="n">
        <v>44407</v>
      </c>
      <c r="G2627" s="556" t="n">
        <v>58637</v>
      </c>
      <c r="I2627" s="521">
        <f>G2627</f>
        <v/>
      </c>
      <c r="K2627" s="521">
        <f>I2627-G2627</f>
        <v/>
      </c>
      <c r="M2627" s="522" t="inlineStr">
        <is>
          <t>125286</t>
        </is>
      </c>
      <c r="N2627" s="522" t="inlineStr"/>
      <c r="O2627" s="521">
        <f>M2627=N2627</f>
        <v/>
      </c>
      <c r="P2627" s="521">
        <f>AND(MONTH(F2627)=MONTH(S2627), YEAR(F2627)=YEAR(S2627))</f>
        <v/>
      </c>
      <c r="Q2627" s="521">
        <f>U2627="L001-901905215"</f>
        <v/>
      </c>
      <c r="R2627" s="556">
        <f>G2627-W2627</f>
        <v/>
      </c>
      <c r="S2627" s="521" t="n"/>
      <c r="T2627" s="522" t="n"/>
      <c r="U2627" s="522" t="n"/>
      <c r="V2627" s="522" t="n"/>
      <c r="W2627" s="521" t="n"/>
    </row>
    <row r="2628">
      <c r="A2628" s="521" t="n">
        <v>2620</v>
      </c>
      <c r="B2628" s="522" t="inlineStr">
        <is>
          <t>ថ្នាំលាបឈើ</t>
        </is>
      </c>
      <c r="C2628" s="522" t="inlineStr">
        <is>
          <t>គ្លូប៊ល ហៅស៍ (ខេមបូឌា) ឯ.ក</t>
        </is>
      </c>
      <c r="D2628" s="522" t="inlineStr">
        <is>
          <t>L001-901802873</t>
        </is>
      </c>
      <c r="E2628" s="521" t="inlineStr">
        <is>
          <t>PN1CAD13CA-210704-0006</t>
        </is>
      </c>
      <c r="F2628" s="523" t="n">
        <v>44381</v>
      </c>
      <c r="G2628" s="556" t="n">
        <v>31429</v>
      </c>
      <c r="I2628" s="521">
        <f>G2628</f>
        <v/>
      </c>
      <c r="K2628" s="521">
        <f>I2628-G2628</f>
        <v/>
      </c>
      <c r="M2628" s="522" t="inlineStr">
        <is>
          <t>PN1CAD13CA2107040006</t>
        </is>
      </c>
      <c r="N2628" s="522" t="inlineStr"/>
      <c r="O2628" s="521">
        <f>M2628=N2628</f>
        <v/>
      </c>
      <c r="P2628" s="521">
        <f>AND(MONTH(F2628)=MONTH(S2628), YEAR(F2628)=YEAR(S2628))</f>
        <v/>
      </c>
      <c r="Q2628" s="521">
        <f>U2628="L001-901905215"</f>
        <v/>
      </c>
      <c r="R2628" s="556">
        <f>G2628-W2628</f>
        <v/>
      </c>
      <c r="S2628" s="521" t="n"/>
      <c r="T2628" s="522" t="n"/>
      <c r="U2628" s="522" t="n"/>
      <c r="V2628" s="522" t="n"/>
      <c r="W2628" s="521" t="n"/>
    </row>
    <row r="2629">
      <c r="A2629" s="521" t="n">
        <v>2621</v>
      </c>
      <c r="B2629" s="522" t="inlineStr">
        <is>
          <t>MIG Weding machine</t>
        </is>
      </c>
      <c r="C2629" s="522" t="inlineStr">
        <is>
          <t>ហូលី ហ្គោលដេន (ខេមបូឌា) ត្រេឌីង ឯ.ក</t>
        </is>
      </c>
      <c r="D2629" s="522" t="inlineStr">
        <is>
          <t>K005-901909270</t>
        </is>
      </c>
      <c r="E2629" s="521" t="inlineStr">
        <is>
          <t>00431</t>
        </is>
      </c>
      <c r="F2629" s="523" t="n">
        <v>44403</v>
      </c>
      <c r="G2629" s="556" t="n">
        <v>2239050</v>
      </c>
      <c r="I2629" s="521">
        <f>G2629</f>
        <v/>
      </c>
      <c r="K2629" s="521">
        <f>I2629-G2629</f>
        <v/>
      </c>
      <c r="M2629" s="522" t="inlineStr">
        <is>
          <t>00431</t>
        </is>
      </c>
      <c r="N2629" s="522" t="inlineStr"/>
      <c r="O2629" s="521">
        <f>M2629=N2629</f>
        <v/>
      </c>
      <c r="P2629" s="521">
        <f>AND(MONTH(F2629)=MONTH(S2629), YEAR(F2629)=YEAR(S2629))</f>
        <v/>
      </c>
      <c r="Q2629" s="521">
        <f>U2629="L001-901905215"</f>
        <v/>
      </c>
      <c r="R2629" s="556">
        <f>G2629-W2629</f>
        <v/>
      </c>
      <c r="S2629" s="521" t="n"/>
      <c r="T2629" s="522" t="n"/>
      <c r="U2629" s="522" t="n"/>
      <c r="V2629" s="522" t="n"/>
      <c r="W2629" s="521" t="n"/>
    </row>
    <row r="2630">
      <c r="A2630" s="521" t="n">
        <v>2622</v>
      </c>
      <c r="B2630" s="522" t="inlineStr">
        <is>
          <t>General pest control service on July 2021</t>
        </is>
      </c>
      <c r="C2630" s="522" t="inlineStr">
        <is>
          <t>ភីស៊ីអាយ សឺវីស</t>
        </is>
      </c>
      <c r="D2630" s="522" t="inlineStr">
        <is>
          <t>K010-901639639</t>
        </is>
      </c>
      <c r="E2630" s="521" t="inlineStr">
        <is>
          <t>2021-0150</t>
        </is>
      </c>
      <c r="F2630" s="523" t="n">
        <v>44397</v>
      </c>
      <c r="G2630" s="556" t="n">
        <v>80960</v>
      </c>
      <c r="I2630" s="521">
        <f>G2630</f>
        <v/>
      </c>
      <c r="K2630" s="521">
        <f>I2630-G2630</f>
        <v/>
      </c>
      <c r="M2630" s="522" t="inlineStr">
        <is>
          <t>20210150</t>
        </is>
      </c>
      <c r="N2630" s="522" t="inlineStr"/>
      <c r="O2630" s="521">
        <f>M2630=N2630</f>
        <v/>
      </c>
      <c r="P2630" s="521">
        <f>AND(MONTH(F2630)=MONTH(S2630), YEAR(F2630)=YEAR(S2630))</f>
        <v/>
      </c>
      <c r="Q2630" s="521">
        <f>U2630="L001-901905215"</f>
        <v/>
      </c>
      <c r="R2630" s="556">
        <f>G2630-W2630</f>
        <v/>
      </c>
      <c r="S2630" s="521" t="n"/>
      <c r="T2630" s="522" t="n"/>
      <c r="U2630" s="522" t="n"/>
      <c r="V2630" s="522" t="n"/>
      <c r="W2630" s="521" t="n"/>
    </row>
    <row r="2631">
      <c r="A2631" s="521" t="n">
        <v>2623</v>
      </c>
      <c r="B2631" s="522" t="inlineStr">
        <is>
          <t>Waste collection service for July 2021</t>
        </is>
      </c>
      <c r="C2631" s="522" t="inlineStr">
        <is>
          <t>ហ្គោមី រីសាយឃល110</t>
        </is>
      </c>
      <c r="D2631" s="522" t="inlineStr">
        <is>
          <t>K010-901503890</t>
        </is>
      </c>
      <c r="E2631" s="521" t="inlineStr">
        <is>
          <t>GR-TIN21/07-004</t>
        </is>
      </c>
      <c r="F2631" s="523" t="n">
        <v>44403</v>
      </c>
      <c r="G2631" s="556" t="n">
        <v>16284</v>
      </c>
      <c r="I2631" s="521">
        <f>G2631</f>
        <v/>
      </c>
      <c r="K2631" s="521">
        <f>I2631-G2631</f>
        <v/>
      </c>
      <c r="M2631" s="522" t="inlineStr">
        <is>
          <t>GRTIN2107004</t>
        </is>
      </c>
      <c r="N2631" s="522" t="inlineStr">
        <is>
          <t>GRTIN2107004</t>
        </is>
      </c>
      <c r="O2631" s="521">
        <f>M2631=N2631</f>
        <v/>
      </c>
      <c r="P2631" s="521">
        <f>AND(MONTH(F2631)=MONTH(S2631), YEAR(F2631)=YEAR(S2631))</f>
        <v/>
      </c>
      <c r="Q2631" s="521">
        <f>U2631="L001-901905215"</f>
        <v/>
      </c>
      <c r="R2631" s="556">
        <f>G2631-W2631</f>
        <v/>
      </c>
      <c r="S2631" s="523" t="n">
        <v>44403</v>
      </c>
      <c r="T2631" s="522" t="inlineStr">
        <is>
          <t>GR-TIN21/07-004</t>
        </is>
      </c>
      <c r="U2631" s="522" t="inlineStr">
        <is>
          <t>L001-901905215</t>
        </is>
      </c>
      <c r="V2631" s="522" t="inlineStr">
        <is>
          <t>វីអ៊ីស៊ិន (ខេមបូឌា) អ៊ិនដាសស្ទ្រី ឯ.ក</t>
        </is>
      </c>
      <c r="W2631" s="556" t="n">
        <v>16284</v>
      </c>
    </row>
    <row r="2632">
      <c r="A2632" s="521" t="n">
        <v>2624</v>
      </c>
      <c r="B2632" s="522" t="inlineStr">
        <is>
          <t>Infrastructure Maintenance fee for July 2021</t>
        </is>
      </c>
      <c r="C2632" s="522" t="inlineStr">
        <is>
          <t>ភ្នំពេញ អេសអ៊ីហ្សិត ភីអិលស៊ី</t>
        </is>
      </c>
      <c r="D2632" s="522" t="inlineStr">
        <is>
          <t>L001-100046592</t>
        </is>
      </c>
      <c r="E2632" s="521" t="inlineStr">
        <is>
          <t>2021-03285</t>
        </is>
      </c>
      <c r="F2632" s="523" t="n">
        <v>44395</v>
      </c>
      <c r="G2632" s="556" t="n">
        <v>164868</v>
      </c>
      <c r="I2632" s="521">
        <f>G2632</f>
        <v/>
      </c>
      <c r="K2632" s="521">
        <f>I2632-G2632</f>
        <v/>
      </c>
      <c r="M2632" s="522" t="inlineStr">
        <is>
          <t>202103285</t>
        </is>
      </c>
      <c r="N2632" s="522" t="inlineStr">
        <is>
          <t>202103285</t>
        </is>
      </c>
      <c r="O2632" s="521">
        <f>M2632=N2632</f>
        <v/>
      </c>
      <c r="P2632" s="521">
        <f>AND(MONTH(F2632)=MONTH(S2632), YEAR(F2632)=YEAR(S2632))</f>
        <v/>
      </c>
      <c r="Q2632" s="521">
        <f>U2632="L001-901905215"</f>
        <v/>
      </c>
      <c r="R2632" s="556">
        <f>G2632-W2632</f>
        <v/>
      </c>
      <c r="S2632" s="523" t="n">
        <v>44393</v>
      </c>
      <c r="T2632" s="522" t="inlineStr">
        <is>
          <t>2021-03285</t>
        </is>
      </c>
      <c r="U2632" s="522" t="inlineStr">
        <is>
          <t>L001-901905215</t>
        </is>
      </c>
      <c r="V2632" s="522" t="inlineStr">
        <is>
          <t>វីអ៊ីស៊ិន (ខេមបូឌា) អ៊ិនដាសស្ទ្រី ឯ.ក</t>
        </is>
      </c>
      <c r="W2632" s="556" t="n">
        <v>164867</v>
      </c>
    </row>
    <row r="2633">
      <c r="A2633" s="521" t="n">
        <v>2625</v>
      </c>
      <c r="B2633" s="522" t="inlineStr">
        <is>
          <t>Infrastructure Maintenance fee for July 2021</t>
        </is>
      </c>
      <c r="C2633" s="522" t="inlineStr">
        <is>
          <t>ភ្នំពេញ អេសអ៊ីហ្សិត ភីអិលស៊ី</t>
        </is>
      </c>
      <c r="D2633" s="522" t="inlineStr">
        <is>
          <t>L001-100046592</t>
        </is>
      </c>
      <c r="E2633" s="521" t="inlineStr">
        <is>
          <t>2021-03276</t>
        </is>
      </c>
      <c r="F2633" s="523" t="n">
        <v>44393</v>
      </c>
      <c r="G2633" s="556" t="n">
        <v>200735</v>
      </c>
      <c r="I2633" s="521">
        <f>G2633</f>
        <v/>
      </c>
      <c r="K2633" s="521">
        <f>I2633-G2633</f>
        <v/>
      </c>
      <c r="M2633" s="522" t="inlineStr">
        <is>
          <t>202103276</t>
        </is>
      </c>
      <c r="N2633" s="522" t="inlineStr">
        <is>
          <t>202103276</t>
        </is>
      </c>
      <c r="O2633" s="521">
        <f>M2633=N2633</f>
        <v/>
      </c>
      <c r="P2633" s="521">
        <f>AND(MONTH(F2633)=MONTH(S2633), YEAR(F2633)=YEAR(S2633))</f>
        <v/>
      </c>
      <c r="Q2633" s="521">
        <f>U2633="L001-901905215"</f>
        <v/>
      </c>
      <c r="R2633" s="556">
        <f>G2633-W2633</f>
        <v/>
      </c>
      <c r="S2633" s="523" t="n">
        <v>44393</v>
      </c>
      <c r="T2633" s="522" t="inlineStr">
        <is>
          <t>2021-03276</t>
        </is>
      </c>
      <c r="U2633" s="522" t="inlineStr">
        <is>
          <t>L001-901905215</t>
        </is>
      </c>
      <c r="V2633" s="522" t="inlineStr">
        <is>
          <t>វីអ៊ីស៊ិន (ខេមបូឌា) អ៊ិនដាសស្ទ្រី ឯ.ក</t>
        </is>
      </c>
      <c r="W2633" s="556" t="n">
        <v>200733</v>
      </c>
    </row>
    <row r="2634">
      <c r="A2634" s="521" t="n">
        <v>2626</v>
      </c>
      <c r="B2634" s="522" t="inlineStr">
        <is>
          <t>Security guard fee</t>
        </is>
      </c>
      <c r="C2634" s="522" t="inlineStr">
        <is>
          <t>សហ័ស សិឃ្យូរិធី ឯ.ក</t>
        </is>
      </c>
      <c r="D2634" s="522" t="inlineStr">
        <is>
          <t>K010-107032600</t>
        </is>
      </c>
      <c r="E2634" s="521" t="inlineStr">
        <is>
          <t>SHTI210295</t>
        </is>
      </c>
      <c r="F2634" s="523" t="n">
        <v>44400</v>
      </c>
      <c r="G2634" s="556" t="n">
        <v>227976</v>
      </c>
      <c r="I2634" s="521">
        <f>G2634</f>
        <v/>
      </c>
      <c r="K2634" s="521">
        <f>I2634-G2634</f>
        <v/>
      </c>
      <c r="M2634" s="522" t="inlineStr">
        <is>
          <t>SHTI210295</t>
        </is>
      </c>
      <c r="N2634" s="522" t="inlineStr">
        <is>
          <t>SHTI210295</t>
        </is>
      </c>
      <c r="O2634" s="521">
        <f>M2634=N2634</f>
        <v/>
      </c>
      <c r="P2634" s="521">
        <f>AND(MONTH(F2634)=MONTH(S2634), YEAR(F2634)=YEAR(S2634))</f>
        <v/>
      </c>
      <c r="Q2634" s="521">
        <f>U2634="L001-901905215"</f>
        <v/>
      </c>
      <c r="R2634" s="556">
        <f>G2634-W2634</f>
        <v/>
      </c>
      <c r="S2634" s="523" t="n">
        <v>44400</v>
      </c>
      <c r="T2634" s="522" t="inlineStr">
        <is>
          <t>SHTI210295</t>
        </is>
      </c>
      <c r="U2634" s="522" t="inlineStr">
        <is>
          <t>L001-901905215</t>
        </is>
      </c>
      <c r="V2634" s="522" t="inlineStr">
        <is>
          <t>វីអ៊ីស៊ិន (ខេមបូឌា) អ៊ិនដាសស្ទ្រី ឯ.ក</t>
        </is>
      </c>
      <c r="W2634" s="556" t="n">
        <v>227976</v>
      </c>
    </row>
    <row r="2635">
      <c r="A2635" s="521" t="n">
        <v>2627</v>
      </c>
      <c r="B2635" s="522" t="inlineStr">
        <is>
          <t>Lift Off Charges</t>
        </is>
      </c>
      <c r="C2635" s="522" t="inlineStr">
        <is>
          <t>កំពង់ផែស្វយ័តភ្នំពេញ "ក.ស.ភ"</t>
        </is>
      </c>
      <c r="D2635" s="522" t="inlineStr">
        <is>
          <t>L001-100044999</t>
        </is>
      </c>
      <c r="E2635" s="521" t="inlineStr">
        <is>
          <t>INV20210740326</t>
        </is>
      </c>
      <c r="F2635" s="523" t="n">
        <v>44401</v>
      </c>
      <c r="G2635" s="556" t="n">
        <v>39082</v>
      </c>
      <c r="I2635" s="521">
        <f>G2635</f>
        <v/>
      </c>
      <c r="K2635" s="521">
        <f>I2635-G2635</f>
        <v/>
      </c>
      <c r="M2635" s="522" t="inlineStr">
        <is>
          <t>INV20210740326</t>
        </is>
      </c>
      <c r="N2635" s="522" t="inlineStr"/>
      <c r="O2635" s="521">
        <f>M2635=N2635</f>
        <v/>
      </c>
      <c r="P2635" s="521">
        <f>AND(MONTH(F2635)=MONTH(S2635), YEAR(F2635)=YEAR(S2635))</f>
        <v/>
      </c>
      <c r="Q2635" s="521">
        <f>U2635="L001-901905215"</f>
        <v/>
      </c>
      <c r="R2635" s="556">
        <f>G2635-W2635</f>
        <v/>
      </c>
      <c r="S2635" s="521" t="n"/>
      <c r="T2635" s="522" t="n"/>
      <c r="U2635" s="522" t="n"/>
      <c r="V2635" s="522" t="n"/>
      <c r="W2635" s="521" t="n"/>
    </row>
    <row r="2636">
      <c r="A2636" s="521" t="n">
        <v>2628</v>
      </c>
      <c r="B2636" s="522" t="inlineStr">
        <is>
          <t>Export Administration Fee</t>
        </is>
      </c>
      <c r="C2636" s="522" t="inlineStr">
        <is>
          <t>ឆាយ ដា ឡូយីស្ទីក</t>
        </is>
      </c>
      <c r="D2636" s="522" t="inlineStr">
        <is>
          <t>L001-100063098</t>
        </is>
      </c>
      <c r="E2636" s="521" t="inlineStr">
        <is>
          <t>2107006824</t>
        </is>
      </c>
      <c r="F2636" s="523" t="n">
        <v>44382</v>
      </c>
      <c r="G2636" s="556" t="n">
        <v>193108</v>
      </c>
      <c r="I2636" s="521">
        <f>G2636</f>
        <v/>
      </c>
      <c r="K2636" s="521">
        <f>I2636-G2636</f>
        <v/>
      </c>
      <c r="M2636" s="522" t="inlineStr">
        <is>
          <t>2107006824</t>
        </is>
      </c>
      <c r="N2636" s="522" t="inlineStr">
        <is>
          <t>2107006824</t>
        </is>
      </c>
      <c r="O2636" s="521">
        <f>M2636=N2636</f>
        <v/>
      </c>
      <c r="P2636" s="521">
        <f>AND(MONTH(F2636)=MONTH(S2636), YEAR(F2636)=YEAR(S2636))</f>
        <v/>
      </c>
      <c r="Q2636" s="521">
        <f>U2636="L001-901905215"</f>
        <v/>
      </c>
      <c r="R2636" s="556">
        <f>G2636-W2636</f>
        <v/>
      </c>
      <c r="S2636" s="523" t="n">
        <v>44382</v>
      </c>
      <c r="T2636" s="522" t="inlineStr">
        <is>
          <t>2107006824</t>
        </is>
      </c>
      <c r="U2636" s="522" t="inlineStr">
        <is>
          <t>L001-901905215</t>
        </is>
      </c>
      <c r="V2636" s="522" t="inlineStr">
        <is>
          <t>វីអ៊ីស៊ិន (ខេមបូឌា) អ៊ិនដាសស្ទ្រី ឯ.ក</t>
        </is>
      </c>
      <c r="W2636" s="556" t="n">
        <v>193108</v>
      </c>
    </row>
    <row r="2637">
      <c r="A2637" s="521" t="n">
        <v>2629</v>
      </c>
      <c r="B2637" s="522" t="inlineStr">
        <is>
          <t>THC CHARGES</t>
        </is>
      </c>
      <c r="C2637" s="522" t="inlineStr">
        <is>
          <t>អ៊ិចស្ពែឌីធ័រ ខេមបូឌា អិលធីឌី</t>
        </is>
      </c>
      <c r="D2637" s="522" t="inlineStr">
        <is>
          <t>L001-100045898</t>
        </is>
      </c>
      <c r="E2637" s="521" t="inlineStr">
        <is>
          <t>TI-0202901</t>
        </is>
      </c>
      <c r="F2637" s="523" t="n">
        <v>44384</v>
      </c>
      <c r="G2637" s="556" t="n">
        <v>202885</v>
      </c>
      <c r="I2637" s="521">
        <f>G2637</f>
        <v/>
      </c>
      <c r="K2637" s="521">
        <f>I2637-G2637</f>
        <v/>
      </c>
      <c r="M2637" s="522" t="inlineStr">
        <is>
          <t>TI0202901</t>
        </is>
      </c>
      <c r="N2637" s="522" t="inlineStr">
        <is>
          <t>TI0202901</t>
        </is>
      </c>
      <c r="O2637" s="521">
        <f>M2637=N2637</f>
        <v/>
      </c>
      <c r="P2637" s="521">
        <f>AND(MONTH(F2637)=MONTH(S2637), YEAR(F2637)=YEAR(S2637))</f>
        <v/>
      </c>
      <c r="Q2637" s="521">
        <f>U2637="L001-901905215"</f>
        <v/>
      </c>
      <c r="R2637" s="556">
        <f>G2637-W2637</f>
        <v/>
      </c>
      <c r="S2637" s="523" t="n">
        <v>44384</v>
      </c>
      <c r="T2637" s="522" t="inlineStr">
        <is>
          <t>TI-0202901</t>
        </is>
      </c>
      <c r="U2637" s="522" t="inlineStr">
        <is>
          <t>L001-901905215</t>
        </is>
      </c>
      <c r="V2637" s="522" t="inlineStr">
        <is>
          <t>វីអ៊ីស៊ិន (ខេមបូឌា) អ៊ិនដាសស្ទ្រី ឯ.ក</t>
        </is>
      </c>
      <c r="W2637" s="556" t="n">
        <v>202885</v>
      </c>
    </row>
    <row r="2638">
      <c r="A2638" s="521" t="n">
        <v>2630</v>
      </c>
      <c r="B2638" s="522" t="inlineStr">
        <is>
          <t>THC CHARGES</t>
        </is>
      </c>
      <c r="C2638" s="522" t="inlineStr">
        <is>
          <t>អ៊ិចស្ពែឌីធ័រ ខេមបូឌា អិលធីឌី</t>
        </is>
      </c>
      <c r="D2638" s="522" t="inlineStr">
        <is>
          <t>L001-100045898</t>
        </is>
      </c>
      <c r="E2638" s="521" t="inlineStr">
        <is>
          <t>TI-0202902</t>
        </is>
      </c>
      <c r="F2638" s="523" t="n">
        <v>44384</v>
      </c>
      <c r="G2638" s="556" t="n">
        <v>660803</v>
      </c>
      <c r="I2638" s="521">
        <f>G2638</f>
        <v/>
      </c>
      <c r="K2638" s="521">
        <f>I2638-G2638</f>
        <v/>
      </c>
      <c r="M2638" s="522" t="inlineStr">
        <is>
          <t>TI0202902</t>
        </is>
      </c>
      <c r="N2638" s="522" t="inlineStr">
        <is>
          <t>TI0202902</t>
        </is>
      </c>
      <c r="O2638" s="521">
        <f>M2638=N2638</f>
        <v/>
      </c>
      <c r="P2638" s="521">
        <f>AND(MONTH(F2638)=MONTH(S2638), YEAR(F2638)=YEAR(S2638))</f>
        <v/>
      </c>
      <c r="Q2638" s="521">
        <f>U2638="L001-901905215"</f>
        <v/>
      </c>
      <c r="R2638" s="556">
        <f>G2638-W2638</f>
        <v/>
      </c>
      <c r="S2638" s="523" t="n">
        <v>44384</v>
      </c>
      <c r="T2638" s="522" t="inlineStr">
        <is>
          <t>TI-0202902</t>
        </is>
      </c>
      <c r="U2638" s="522" t="inlineStr">
        <is>
          <t>L001-901905215</t>
        </is>
      </c>
      <c r="V2638" s="522" t="inlineStr">
        <is>
          <t>វីអ៊ីស៊ិន (ខេមបូឌា) អ៊ិនដាសស្ទ្រី ឯ.ក</t>
        </is>
      </c>
      <c r="W2638" s="556" t="n">
        <v>660803</v>
      </c>
    </row>
    <row r="2639">
      <c r="A2639" s="521" t="n">
        <v>2631</v>
      </c>
      <c r="B2639" s="522" t="inlineStr">
        <is>
          <t>THC CHARGES</t>
        </is>
      </c>
      <c r="C2639" s="522" t="inlineStr">
        <is>
          <t>អ៊ិចស្ពែឌីធ័រ ខេមបូឌា អិលធីឌី</t>
        </is>
      </c>
      <c r="D2639" s="522" t="inlineStr">
        <is>
          <t>L001-100045898</t>
        </is>
      </c>
      <c r="E2639" s="521" t="inlineStr">
        <is>
          <t>TI-0202907</t>
        </is>
      </c>
      <c r="F2639" s="523" t="n">
        <v>44384</v>
      </c>
      <c r="G2639" s="556" t="n">
        <v>480958</v>
      </c>
      <c r="I2639" s="521">
        <f>G2639</f>
        <v/>
      </c>
      <c r="K2639" s="521">
        <f>I2639-G2639</f>
        <v/>
      </c>
      <c r="M2639" s="522" t="inlineStr">
        <is>
          <t>TI0202907</t>
        </is>
      </c>
      <c r="N2639" s="522" t="inlineStr">
        <is>
          <t>TI0202907</t>
        </is>
      </c>
      <c r="O2639" s="521">
        <f>M2639=N2639</f>
        <v/>
      </c>
      <c r="P2639" s="521">
        <f>AND(MONTH(F2639)=MONTH(S2639), YEAR(F2639)=YEAR(S2639))</f>
        <v/>
      </c>
      <c r="Q2639" s="521">
        <f>U2639="L001-901905215"</f>
        <v/>
      </c>
      <c r="R2639" s="556">
        <f>G2639-W2639</f>
        <v/>
      </c>
      <c r="S2639" s="523" t="n">
        <v>44384</v>
      </c>
      <c r="T2639" s="522" t="inlineStr">
        <is>
          <t>TI-0202907</t>
        </is>
      </c>
      <c r="U2639" s="522" t="inlineStr">
        <is>
          <t>L001-901905215</t>
        </is>
      </c>
      <c r="V2639" s="522" t="inlineStr">
        <is>
          <t>វីអ៊ីស៊ិន (ខេមបូឌា) អ៊ិនដាសស្ទ្រី ឯ.ក</t>
        </is>
      </c>
      <c r="W2639" s="556" t="n">
        <v>480976</v>
      </c>
    </row>
    <row r="2640">
      <c r="A2640" s="521" t="n">
        <v>2632</v>
      </c>
      <c r="B2640" s="522" t="inlineStr">
        <is>
          <t>THC CHARGES</t>
        </is>
      </c>
      <c r="C2640" s="522" t="inlineStr">
        <is>
          <t>អ៊ិចស្ពែឌីធ័រ ខេមបូឌា អិលធីឌី</t>
        </is>
      </c>
      <c r="D2640" s="522" t="inlineStr">
        <is>
          <t>L001-100045898</t>
        </is>
      </c>
      <c r="E2640" s="521" t="inlineStr">
        <is>
          <t>TI-0203727</t>
        </is>
      </c>
      <c r="F2640" s="523" t="n">
        <v>44392</v>
      </c>
      <c r="G2640" s="556" t="n">
        <v>326087</v>
      </c>
      <c r="I2640" s="521">
        <f>G2640</f>
        <v/>
      </c>
      <c r="K2640" s="521">
        <f>I2640-G2640</f>
        <v/>
      </c>
      <c r="M2640" s="522" t="inlineStr">
        <is>
          <t>TI0203727</t>
        </is>
      </c>
      <c r="N2640" s="522" t="inlineStr">
        <is>
          <t>TI0203727</t>
        </is>
      </c>
      <c r="O2640" s="521">
        <f>M2640=N2640</f>
        <v/>
      </c>
      <c r="P2640" s="521">
        <f>AND(MONTH(F2640)=MONTH(S2640), YEAR(F2640)=YEAR(S2640))</f>
        <v/>
      </c>
      <c r="Q2640" s="521">
        <f>U2640="L001-901905215"</f>
        <v/>
      </c>
      <c r="R2640" s="556">
        <f>G2640-W2640</f>
        <v/>
      </c>
      <c r="S2640" s="523" t="n">
        <v>44392</v>
      </c>
      <c r="T2640" s="522" t="inlineStr">
        <is>
          <t>TI-0203727</t>
        </is>
      </c>
      <c r="U2640" s="522" t="inlineStr">
        <is>
          <t>L001-901905215</t>
        </is>
      </c>
      <c r="V2640" s="522" t="inlineStr">
        <is>
          <t>វីអ៊ីស៊ិន (ខេមបូឌា) អ៊ិនដាសស្ទ្រី ឯ.ក</t>
        </is>
      </c>
      <c r="W2640" s="556" t="n">
        <v>326167</v>
      </c>
    </row>
    <row r="2641">
      <c r="A2641" s="521" t="n">
        <v>2633</v>
      </c>
      <c r="B2641" s="522" t="inlineStr">
        <is>
          <t>THC CHARGES</t>
        </is>
      </c>
      <c r="C2641" s="522" t="inlineStr">
        <is>
          <t>អ៊ិចស្ពែឌីធ័រ ខេមបូឌា អិលធីឌី</t>
        </is>
      </c>
      <c r="D2641" s="522" t="inlineStr">
        <is>
          <t>L001-100045898</t>
        </is>
      </c>
      <c r="E2641" s="521" t="inlineStr">
        <is>
          <t>TI-0203728</t>
        </is>
      </c>
      <c r="F2641" s="523" t="n">
        <v>44392</v>
      </c>
      <c r="G2641" s="556" t="n">
        <v>283749</v>
      </c>
      <c r="I2641" s="521">
        <f>G2641</f>
        <v/>
      </c>
      <c r="K2641" s="521">
        <f>I2641-G2641</f>
        <v/>
      </c>
      <c r="M2641" s="522" t="inlineStr">
        <is>
          <t>TI0203728</t>
        </is>
      </c>
      <c r="N2641" s="522" t="inlineStr">
        <is>
          <t>TI0203728</t>
        </is>
      </c>
      <c r="O2641" s="521">
        <f>M2641=N2641</f>
        <v/>
      </c>
      <c r="P2641" s="521">
        <f>AND(MONTH(F2641)=MONTH(S2641), YEAR(F2641)=YEAR(S2641))</f>
        <v/>
      </c>
      <c r="Q2641" s="521">
        <f>U2641="L001-901905215"</f>
        <v/>
      </c>
      <c r="R2641" s="556">
        <f>G2641-W2641</f>
        <v/>
      </c>
      <c r="S2641" s="523" t="n">
        <v>44392</v>
      </c>
      <c r="T2641" s="522" t="inlineStr">
        <is>
          <t>TI-0203728</t>
        </is>
      </c>
      <c r="U2641" s="522" t="inlineStr">
        <is>
          <t>L001-901905215</t>
        </is>
      </c>
      <c r="V2641" s="522" t="inlineStr">
        <is>
          <t>វីអ៊ីស៊ិន (ខេមបូឌា) អ៊ិនដាសស្ទ្រី ឯ.ក</t>
        </is>
      </c>
      <c r="W2641" s="556" t="n">
        <v>283818</v>
      </c>
    </row>
    <row r="2642">
      <c r="A2642" s="521" t="n">
        <v>2634</v>
      </c>
      <c r="B2642" s="522" t="inlineStr">
        <is>
          <t>THC CHARGES</t>
        </is>
      </c>
      <c r="C2642" s="522" t="inlineStr">
        <is>
          <t>អ៊ិចស្ពែឌីធ័រ ខេមបូឌា អិលធីឌី</t>
        </is>
      </c>
      <c r="D2642" s="522" t="inlineStr">
        <is>
          <t>L001-100045898</t>
        </is>
      </c>
      <c r="E2642" s="521" t="inlineStr">
        <is>
          <t>TI-0203729</t>
        </is>
      </c>
      <c r="F2642" s="523" t="n">
        <v>44392</v>
      </c>
      <c r="G2642" s="556" t="n">
        <v>1061310</v>
      </c>
      <c r="I2642" s="521">
        <f>G2642</f>
        <v/>
      </c>
      <c r="K2642" s="521">
        <f>I2642-G2642</f>
        <v/>
      </c>
      <c r="M2642" s="522" t="inlineStr">
        <is>
          <t>TI0203729</t>
        </is>
      </c>
      <c r="N2642" s="522" t="inlineStr">
        <is>
          <t>TI0203729</t>
        </is>
      </c>
      <c r="O2642" s="521">
        <f>M2642=N2642</f>
        <v/>
      </c>
      <c r="P2642" s="521">
        <f>AND(MONTH(F2642)=MONTH(S2642), YEAR(F2642)=YEAR(S2642))</f>
        <v/>
      </c>
      <c r="Q2642" s="521">
        <f>U2642="L001-901905215"</f>
        <v/>
      </c>
      <c r="R2642" s="556">
        <f>G2642-W2642</f>
        <v/>
      </c>
      <c r="S2642" s="523" t="n">
        <v>44392</v>
      </c>
      <c r="T2642" s="522" t="inlineStr">
        <is>
          <t>TI-0203729</t>
        </is>
      </c>
      <c r="U2642" s="522" t="inlineStr">
        <is>
          <t>L001-901905215</t>
        </is>
      </c>
      <c r="V2642" s="522" t="inlineStr">
        <is>
          <t>វីអ៊ីស៊ិន (ខេមបូឌា) អ៊ិនដាសស្ទ្រី ឯ.ក</t>
        </is>
      </c>
      <c r="W2642" s="556" t="n">
        <v>1061570</v>
      </c>
    </row>
    <row r="2643">
      <c r="A2643" s="521" t="n">
        <v>2635</v>
      </c>
      <c r="B2643" s="522" t="inlineStr">
        <is>
          <t>THC CHARGES</t>
        </is>
      </c>
      <c r="C2643" s="522" t="inlineStr">
        <is>
          <t>អ៊ិចស្ពែឌីធ័រ ខេមបូឌា អិលធីឌី</t>
        </is>
      </c>
      <c r="D2643" s="522" t="inlineStr">
        <is>
          <t>L001-100045898</t>
        </is>
      </c>
      <c r="E2643" s="521" t="inlineStr">
        <is>
          <t>TI-0203730</t>
        </is>
      </c>
      <c r="F2643" s="523" t="n">
        <v>44392</v>
      </c>
      <c r="G2643" s="556" t="n">
        <v>729523</v>
      </c>
      <c r="I2643" s="521">
        <f>G2643</f>
        <v/>
      </c>
      <c r="K2643" s="521">
        <f>I2643-G2643</f>
        <v/>
      </c>
      <c r="M2643" s="522" t="inlineStr">
        <is>
          <t>TI0203730</t>
        </is>
      </c>
      <c r="N2643" s="522" t="inlineStr">
        <is>
          <t>TI0203730</t>
        </is>
      </c>
      <c r="O2643" s="521">
        <f>M2643=N2643</f>
        <v/>
      </c>
      <c r="P2643" s="521">
        <f>AND(MONTH(F2643)=MONTH(S2643), YEAR(F2643)=YEAR(S2643))</f>
        <v/>
      </c>
      <c r="Q2643" s="521">
        <f>U2643="L001-901905215"</f>
        <v/>
      </c>
      <c r="R2643" s="556">
        <f>G2643-W2643</f>
        <v/>
      </c>
      <c r="S2643" s="523" t="n">
        <v>44392</v>
      </c>
      <c r="T2643" s="522" t="inlineStr">
        <is>
          <t>TI-0203730</t>
        </is>
      </c>
      <c r="U2643" s="522" t="inlineStr">
        <is>
          <t>L001-901905215</t>
        </is>
      </c>
      <c r="V2643" s="522" t="inlineStr">
        <is>
          <t>វីអ៊ីស៊ិន (ខេមបូឌា) អ៊ិនដាសស្ទ្រី ឯ.ក</t>
        </is>
      </c>
      <c r="W2643" s="556" t="n">
        <v>729702</v>
      </c>
    </row>
    <row r="2644">
      <c r="A2644" s="521" t="n">
        <v>2636</v>
      </c>
      <c r="B2644" s="522" t="inlineStr">
        <is>
          <t>THC CHARGES</t>
        </is>
      </c>
      <c r="C2644" s="522" t="inlineStr">
        <is>
          <t>អ៊ិចស្ពែឌីធ័រ ខេមបូឌា អិលធីឌី</t>
        </is>
      </c>
      <c r="D2644" s="522" t="inlineStr">
        <is>
          <t>L001-100045898</t>
        </is>
      </c>
      <c r="E2644" s="521" t="inlineStr">
        <is>
          <t>TI-0204379</t>
        </is>
      </c>
      <c r="F2644" s="523" t="n">
        <v>44398</v>
      </c>
      <c r="G2644" s="556" t="n">
        <v>147814</v>
      </c>
      <c r="I2644" s="521">
        <f>G2644</f>
        <v/>
      </c>
      <c r="K2644" s="521">
        <f>I2644-G2644</f>
        <v/>
      </c>
      <c r="M2644" s="522" t="inlineStr">
        <is>
          <t>TI0204379</t>
        </is>
      </c>
      <c r="N2644" s="522" t="inlineStr">
        <is>
          <t>TI0204379</t>
        </is>
      </c>
      <c r="O2644" s="521">
        <f>M2644=N2644</f>
        <v/>
      </c>
      <c r="P2644" s="521">
        <f>AND(MONTH(F2644)=MONTH(S2644), YEAR(F2644)=YEAR(S2644))</f>
        <v/>
      </c>
      <c r="Q2644" s="521">
        <f>U2644="L001-901905215"</f>
        <v/>
      </c>
      <c r="R2644" s="556">
        <f>G2644-W2644</f>
        <v/>
      </c>
      <c r="S2644" s="523" t="n">
        <v>44398</v>
      </c>
      <c r="T2644" s="522" t="inlineStr">
        <is>
          <t>TI-0204379</t>
        </is>
      </c>
      <c r="U2644" s="522" t="inlineStr">
        <is>
          <t>L001-901905215</t>
        </is>
      </c>
      <c r="V2644" s="522" t="inlineStr">
        <is>
          <t>វីអ៊ីស៊ិន (ខេមបូឌា) អ៊ិនដាសស្ទ្រី ឯ.ក</t>
        </is>
      </c>
      <c r="W2644" s="556" t="n">
        <v>147814</v>
      </c>
    </row>
    <row r="2645">
      <c r="A2645" s="521" t="n">
        <v>2637</v>
      </c>
      <c r="B2645" s="522" t="inlineStr">
        <is>
          <t>THC CHARGES</t>
        </is>
      </c>
      <c r="C2645" s="522" t="inlineStr">
        <is>
          <t>អ៊ិចស្ពែឌីធ័រ ខេមបូឌា អិលធីឌី</t>
        </is>
      </c>
      <c r="D2645" s="522" t="inlineStr">
        <is>
          <t>L001-100045898</t>
        </is>
      </c>
      <c r="E2645" s="521" t="inlineStr">
        <is>
          <t>TI-0205063</t>
        </is>
      </c>
      <c r="F2645" s="523" t="n">
        <v>44404</v>
      </c>
      <c r="G2645" s="556" t="n">
        <v>451992</v>
      </c>
      <c r="I2645" s="521">
        <f>G2645</f>
        <v/>
      </c>
      <c r="K2645" s="521">
        <f>I2645-G2645</f>
        <v/>
      </c>
      <c r="M2645" s="522" t="inlineStr">
        <is>
          <t>TI0205063</t>
        </is>
      </c>
      <c r="N2645" s="522" t="inlineStr">
        <is>
          <t>TI0205063</t>
        </is>
      </c>
      <c r="O2645" s="521">
        <f>M2645=N2645</f>
        <v/>
      </c>
      <c r="P2645" s="521">
        <f>AND(MONTH(F2645)=MONTH(S2645), YEAR(F2645)=YEAR(S2645))</f>
        <v/>
      </c>
      <c r="Q2645" s="521">
        <f>U2645="L001-901905215"</f>
        <v/>
      </c>
      <c r="R2645" s="556">
        <f>G2645-W2645</f>
        <v/>
      </c>
      <c r="S2645" s="523" t="n">
        <v>44404</v>
      </c>
      <c r="T2645" s="522" t="inlineStr">
        <is>
          <t>TI-0205063</t>
        </is>
      </c>
      <c r="U2645" s="522" t="inlineStr">
        <is>
          <t>L001-901905215</t>
        </is>
      </c>
      <c r="V2645" s="522" t="inlineStr">
        <is>
          <t>វីអ៊ីស៊ិន (ខេមបូឌា) អ៊ិនដាសស្ទ្រី ឯ.ក</t>
        </is>
      </c>
      <c r="W2645" s="556" t="n">
        <v>451992</v>
      </c>
    </row>
    <row r="2646">
      <c r="A2646" s="521" t="n">
        <v>2638</v>
      </c>
      <c r="B2646" s="522" t="inlineStr">
        <is>
          <t>THC CHARGES</t>
        </is>
      </c>
      <c r="C2646" s="522" t="inlineStr">
        <is>
          <t>អ៊ិចស្ពែឌីធ័រ ខេមបូឌា អិលធីឌី</t>
        </is>
      </c>
      <c r="D2646" s="522" t="inlineStr">
        <is>
          <t>L001-100045898</t>
        </is>
      </c>
      <c r="E2646" s="521" t="inlineStr">
        <is>
          <t>TI-0205064</t>
        </is>
      </c>
      <c r="F2646" s="523" t="n">
        <v>44404</v>
      </c>
      <c r="G2646" s="556" t="n">
        <v>311915</v>
      </c>
      <c r="I2646" s="521">
        <f>G2646</f>
        <v/>
      </c>
      <c r="K2646" s="521">
        <f>I2646-G2646</f>
        <v/>
      </c>
      <c r="M2646" s="522" t="inlineStr">
        <is>
          <t>TI0205064</t>
        </is>
      </c>
      <c r="N2646" s="522" t="inlineStr">
        <is>
          <t>TI0205064</t>
        </is>
      </c>
      <c r="O2646" s="521">
        <f>M2646=N2646</f>
        <v/>
      </c>
      <c r="P2646" s="521">
        <f>AND(MONTH(F2646)=MONTH(S2646), YEAR(F2646)=YEAR(S2646))</f>
        <v/>
      </c>
      <c r="Q2646" s="521">
        <f>U2646="L001-901905215"</f>
        <v/>
      </c>
      <c r="R2646" s="556">
        <f>G2646-W2646</f>
        <v/>
      </c>
      <c r="S2646" s="523" t="n">
        <v>44404</v>
      </c>
      <c r="T2646" s="522" t="inlineStr">
        <is>
          <t>TI-0205064</t>
        </is>
      </c>
      <c r="U2646" s="522" t="inlineStr">
        <is>
          <t>L001-901905215</t>
        </is>
      </c>
      <c r="V2646" s="522" t="inlineStr">
        <is>
          <t>វីអ៊ីស៊ិន (ខេមបូឌា) អ៊ិនដាសស្ទ្រី ឯ.ក</t>
        </is>
      </c>
      <c r="W2646" s="556" t="n">
        <v>311915</v>
      </c>
    </row>
    <row r="2647">
      <c r="A2647" s="521" t="n">
        <v>2639</v>
      </c>
      <c r="B2647" s="522" t="inlineStr">
        <is>
          <t>ផ្លាកក្រដាសនិងក្រដាស</t>
        </is>
      </c>
      <c r="C2647" s="522" t="inlineStr">
        <is>
          <t>ដុងគ័ន ស៊ីធី ហ្វាញស្តារ ព្រីនធីង (ខេមបូឌា)</t>
        </is>
      </c>
      <c r="D2647" s="522" t="inlineStr">
        <is>
          <t>L001-100193021</t>
        </is>
      </c>
      <c r="E2647" s="521" t="inlineStr">
        <is>
          <t>000355</t>
        </is>
      </c>
      <c r="F2647" s="523" t="n">
        <v>44404</v>
      </c>
      <c r="G2647" s="556" t="n">
        <v>5481350</v>
      </c>
      <c r="I2647" s="521">
        <f>G2647</f>
        <v/>
      </c>
      <c r="K2647" s="521">
        <f>I2647-G2647</f>
        <v/>
      </c>
      <c r="M2647" s="522" t="inlineStr">
        <is>
          <t>000355</t>
        </is>
      </c>
      <c r="N2647" s="522" t="inlineStr">
        <is>
          <t>000355</t>
        </is>
      </c>
      <c r="O2647" s="521">
        <f>M2647=N2647</f>
        <v/>
      </c>
      <c r="P2647" s="521">
        <f>AND(MONTH(F2647)=MONTH(S2647), YEAR(F2647)=YEAR(S2647))</f>
        <v/>
      </c>
      <c r="Q2647" s="521">
        <f>U2647="L001-901905215"</f>
        <v/>
      </c>
      <c r="R2647" s="556">
        <f>G2647-W2647</f>
        <v/>
      </c>
      <c r="S2647" s="523" t="n">
        <v>44404</v>
      </c>
      <c r="T2647" s="522" t="inlineStr">
        <is>
          <t>000355</t>
        </is>
      </c>
      <c r="U2647" s="522" t="inlineStr">
        <is>
          <t>L001-901905215</t>
        </is>
      </c>
      <c r="V2647" s="522" t="inlineStr">
        <is>
          <t>វីអ៊ីស៊ិន (ខេមបូឌា) អ៊ិនដាសស្ទ្រី ឯ.ក</t>
        </is>
      </c>
      <c r="W2647" s="556" t="n">
        <v>5481350</v>
      </c>
    </row>
    <row r="2648">
      <c r="A2648" s="521" t="n">
        <v>2640</v>
      </c>
      <c r="B2648" s="522" t="inlineStr">
        <is>
          <t>Color box,paper card,PDQ</t>
        </is>
      </c>
      <c r="C2648" s="522" t="inlineStr">
        <is>
          <t>ហឺ ចេង ស៊ីង ភែកឃីជីង (ខេមបូឌា) ឯ.ក</t>
        </is>
      </c>
      <c r="D2648" s="522" t="inlineStr">
        <is>
          <t>L001-902004143</t>
        </is>
      </c>
      <c r="E2648" s="521" t="inlineStr">
        <is>
          <t>00246</t>
        </is>
      </c>
      <c r="F2648" s="523" t="n">
        <v>44408</v>
      </c>
      <c r="G2648" s="556" t="n">
        <v>7946489</v>
      </c>
      <c r="I2648" s="521">
        <f>G2648</f>
        <v/>
      </c>
      <c r="K2648" s="521">
        <f>I2648-G2648</f>
        <v/>
      </c>
      <c r="M2648" s="522" t="inlineStr">
        <is>
          <t>00246</t>
        </is>
      </c>
      <c r="N2648" s="522" t="inlineStr">
        <is>
          <t>00246</t>
        </is>
      </c>
      <c r="O2648" s="521">
        <f>M2648=N2648</f>
        <v/>
      </c>
      <c r="P2648" s="521">
        <f>AND(MONTH(F2648)=MONTH(S2648), YEAR(F2648)=YEAR(S2648))</f>
        <v/>
      </c>
      <c r="Q2648" s="521">
        <f>U2648="L001-901905215"</f>
        <v/>
      </c>
      <c r="R2648" s="556">
        <f>G2648-W2648</f>
        <v/>
      </c>
      <c r="S2648" s="523" t="n">
        <v>44408</v>
      </c>
      <c r="T2648" s="522" t="inlineStr">
        <is>
          <t>00246</t>
        </is>
      </c>
      <c r="U2648" s="522" t="inlineStr">
        <is>
          <t>L001-901905215</t>
        </is>
      </c>
      <c r="V2648" s="522" t="inlineStr">
        <is>
          <t>វីអ៊ីស៊ិន (ខេមបូឌា) អ៊ិនដាសស្ទ្រី ឯ.ក</t>
        </is>
      </c>
      <c r="W2648" s="556" t="n">
        <v>7946488</v>
      </c>
    </row>
    <row r="2649">
      <c r="A2649" s="521" t="n">
        <v>2641</v>
      </c>
      <c r="B2649" s="522" t="inlineStr">
        <is>
          <t>កេសតាតុង</t>
        </is>
      </c>
      <c r="C2649" s="522" t="inlineStr">
        <is>
          <t>ស៊ីងហ្គាពួរ កាតុង (ខេមបូឌា)</t>
        </is>
      </c>
      <c r="D2649" s="522" t="inlineStr">
        <is>
          <t>L001-100121322</t>
        </is>
      </c>
      <c r="E2649" s="521" t="inlineStr">
        <is>
          <t>V0016898</t>
        </is>
      </c>
      <c r="F2649" s="523" t="n">
        <v>44407</v>
      </c>
      <c r="G2649" s="556" t="n">
        <v>11174</v>
      </c>
      <c r="I2649" s="521">
        <f>G2649</f>
        <v/>
      </c>
      <c r="K2649" s="521">
        <f>I2649-G2649</f>
        <v/>
      </c>
      <c r="M2649" s="522" t="inlineStr">
        <is>
          <t>V0016898</t>
        </is>
      </c>
      <c r="N2649" s="522" t="inlineStr">
        <is>
          <t>V0016898</t>
        </is>
      </c>
      <c r="O2649" s="521">
        <f>M2649=N2649</f>
        <v/>
      </c>
      <c r="P2649" s="521">
        <f>AND(MONTH(F2649)=MONTH(S2649), YEAR(F2649)=YEAR(S2649))</f>
        <v/>
      </c>
      <c r="Q2649" s="521">
        <f>U2649="L001-901905215"</f>
        <v/>
      </c>
      <c r="R2649" s="556">
        <f>G2649-W2649</f>
        <v/>
      </c>
      <c r="S2649" s="523" t="n">
        <v>44407</v>
      </c>
      <c r="T2649" s="522" t="inlineStr">
        <is>
          <t>V0016898</t>
        </is>
      </c>
      <c r="U2649" s="522" t="inlineStr">
        <is>
          <t>L001-901905215</t>
        </is>
      </c>
      <c r="V2649" s="522" t="inlineStr">
        <is>
          <t>វីអ៊ីស៊ិន (ខេមបូឌា) អ៊ិនដាសស្ទ្រី ឯ.ក</t>
        </is>
      </c>
      <c r="W2649" s="556" t="n">
        <v>11172</v>
      </c>
    </row>
    <row r="2650">
      <c r="A2650" s="521" t="n">
        <v>2642</v>
      </c>
      <c r="B2650" s="522" t="inlineStr">
        <is>
          <t>កេសតាតុង</t>
        </is>
      </c>
      <c r="C2650" s="522" t="inlineStr">
        <is>
          <t>ស៊ីងហ្គាពួរ កាតុង (ខេមបូឌា)</t>
        </is>
      </c>
      <c r="D2650" s="522" t="inlineStr">
        <is>
          <t>L001-100121322</t>
        </is>
      </c>
      <c r="E2650" s="521" t="inlineStr">
        <is>
          <t>V0016828</t>
        </is>
      </c>
      <c r="F2650" s="523" t="n">
        <v>44394</v>
      </c>
      <c r="G2650" s="556" t="n">
        <v>5497</v>
      </c>
      <c r="I2650" s="521">
        <f>G2650</f>
        <v/>
      </c>
      <c r="K2650" s="521">
        <f>I2650-G2650</f>
        <v/>
      </c>
      <c r="M2650" s="522" t="inlineStr">
        <is>
          <t>V0016828</t>
        </is>
      </c>
      <c r="N2650" s="522" t="inlineStr">
        <is>
          <t>V0016828</t>
        </is>
      </c>
      <c r="O2650" s="521">
        <f>M2650=N2650</f>
        <v/>
      </c>
      <c r="P2650" s="521">
        <f>AND(MONTH(F2650)=MONTH(S2650), YEAR(F2650)=YEAR(S2650))</f>
        <v/>
      </c>
      <c r="Q2650" s="521">
        <f>U2650="L001-901905215"</f>
        <v/>
      </c>
      <c r="R2650" s="556">
        <f>G2650-W2650</f>
        <v/>
      </c>
      <c r="S2650" s="523" t="n">
        <v>44394</v>
      </c>
      <c r="T2650" s="522" t="inlineStr">
        <is>
          <t>V0016828</t>
        </is>
      </c>
      <c r="U2650" s="522" t="inlineStr">
        <is>
          <t>L001-901905215</t>
        </is>
      </c>
      <c r="V2650" s="522" t="inlineStr">
        <is>
          <t>វីអ៊ីស៊ិន (ខេមបូឌា) អ៊ិនដាសស្ទ្រី ឯ.ក</t>
        </is>
      </c>
      <c r="W2650" s="556" t="n">
        <v>5497</v>
      </c>
    </row>
    <row r="2651">
      <c r="A2651" s="521" t="n">
        <v>2643</v>
      </c>
      <c r="B2651" s="522" t="inlineStr">
        <is>
          <t>កេសតាតុង</t>
        </is>
      </c>
      <c r="C2651" s="522" t="inlineStr">
        <is>
          <t>ស៊ីងហ្គាពួរ កាតុង (ខេមបូឌា)</t>
        </is>
      </c>
      <c r="D2651" s="522" t="inlineStr">
        <is>
          <t>L001-100121322</t>
        </is>
      </c>
      <c r="E2651" s="521" t="inlineStr">
        <is>
          <t>V0016801</t>
        </is>
      </c>
      <c r="F2651" s="523" t="n">
        <v>44393</v>
      </c>
      <c r="G2651" s="556" t="n">
        <v>41730</v>
      </c>
      <c r="I2651" s="521">
        <f>G2651</f>
        <v/>
      </c>
      <c r="K2651" s="521">
        <f>I2651-G2651</f>
        <v/>
      </c>
      <c r="M2651" s="522" t="inlineStr">
        <is>
          <t>V0016801</t>
        </is>
      </c>
      <c r="N2651" s="522" t="inlineStr">
        <is>
          <t>V0016801</t>
        </is>
      </c>
      <c r="O2651" s="521">
        <f>M2651=N2651</f>
        <v/>
      </c>
      <c r="P2651" s="521">
        <f>AND(MONTH(F2651)=MONTH(S2651), YEAR(F2651)=YEAR(S2651))</f>
        <v/>
      </c>
      <c r="Q2651" s="521">
        <f>U2651="L001-901905215"</f>
        <v/>
      </c>
      <c r="R2651" s="556">
        <f>G2651-W2651</f>
        <v/>
      </c>
      <c r="S2651" s="523" t="n">
        <v>44393</v>
      </c>
      <c r="T2651" s="522" t="inlineStr">
        <is>
          <t>V0016801</t>
        </is>
      </c>
      <c r="U2651" s="522" t="inlineStr">
        <is>
          <t>L001-901905215</t>
        </is>
      </c>
      <c r="V2651" s="522" t="inlineStr">
        <is>
          <t>វីអ៊ីស៊ិន (ខេមបូឌា) អ៊ិនដាសស្ទ្រី ឯ.ក</t>
        </is>
      </c>
      <c r="W2651" s="556" t="n">
        <v>41731</v>
      </c>
    </row>
    <row r="2652">
      <c r="A2652" s="521" t="n">
        <v>2644</v>
      </c>
      <c r="B2652" s="522" t="inlineStr">
        <is>
          <t>កេសតាតុង</t>
        </is>
      </c>
      <c r="C2652" s="522" t="inlineStr">
        <is>
          <t>ស៊ីងហ្គាពួរ កាតុង (ខេមបូឌា)</t>
        </is>
      </c>
      <c r="D2652" s="522" t="inlineStr">
        <is>
          <t>L001-100121322</t>
        </is>
      </c>
      <c r="E2652" s="521" t="inlineStr">
        <is>
          <t>V0016800</t>
        </is>
      </c>
      <c r="F2652" s="523" t="n">
        <v>44393</v>
      </c>
      <c r="G2652" s="556" t="n">
        <v>35573</v>
      </c>
      <c r="I2652" s="521">
        <f>G2652</f>
        <v/>
      </c>
      <c r="K2652" s="521">
        <f>I2652-G2652</f>
        <v/>
      </c>
      <c r="M2652" s="522" t="inlineStr">
        <is>
          <t>V0016800</t>
        </is>
      </c>
      <c r="N2652" s="522" t="inlineStr">
        <is>
          <t>V0016800</t>
        </is>
      </c>
      <c r="O2652" s="521">
        <f>M2652=N2652</f>
        <v/>
      </c>
      <c r="P2652" s="521">
        <f>AND(MONTH(F2652)=MONTH(S2652), YEAR(F2652)=YEAR(S2652))</f>
        <v/>
      </c>
      <c r="Q2652" s="521">
        <f>U2652="L001-901905215"</f>
        <v/>
      </c>
      <c r="R2652" s="556">
        <f>G2652-W2652</f>
        <v/>
      </c>
      <c r="S2652" s="523" t="n">
        <v>44393</v>
      </c>
      <c r="T2652" s="522" t="inlineStr">
        <is>
          <t>V0016800</t>
        </is>
      </c>
      <c r="U2652" s="522" t="inlineStr">
        <is>
          <t>L001-901905215</t>
        </is>
      </c>
      <c r="V2652" s="522" t="inlineStr">
        <is>
          <t>វីអ៊ីស៊ិន (ខេមបូឌា) អ៊ិនដាសស្ទ្រី ឯ.ក</t>
        </is>
      </c>
      <c r="W2652" s="556" t="n">
        <v>35574</v>
      </c>
    </row>
    <row r="2653">
      <c r="A2653" s="521" t="n">
        <v>2645</v>
      </c>
      <c r="B2653" s="522" t="inlineStr">
        <is>
          <t>កេសតាតុង</t>
        </is>
      </c>
      <c r="C2653" s="522" t="inlineStr">
        <is>
          <t>ស៊ីងហ្គាពួរ កាតុង (ខេមបូឌា)</t>
        </is>
      </c>
      <c r="D2653" s="522" t="inlineStr">
        <is>
          <t>L001-100121322</t>
        </is>
      </c>
      <c r="E2653" s="521" t="inlineStr">
        <is>
          <t>V0016799</t>
        </is>
      </c>
      <c r="F2653" s="523" t="n">
        <v>44393</v>
      </c>
      <c r="G2653" s="556" t="n">
        <v>37430</v>
      </c>
      <c r="I2653" s="521">
        <f>G2653</f>
        <v/>
      </c>
      <c r="K2653" s="521">
        <f>I2653-G2653</f>
        <v/>
      </c>
      <c r="M2653" s="522" t="inlineStr">
        <is>
          <t>V0016799</t>
        </is>
      </c>
      <c r="N2653" s="522" t="inlineStr">
        <is>
          <t>V0016799</t>
        </is>
      </c>
      <c r="O2653" s="521">
        <f>M2653=N2653</f>
        <v/>
      </c>
      <c r="P2653" s="521">
        <f>AND(MONTH(F2653)=MONTH(S2653), YEAR(F2653)=YEAR(S2653))</f>
        <v/>
      </c>
      <c r="Q2653" s="521">
        <f>U2653="L001-901905215"</f>
        <v/>
      </c>
      <c r="R2653" s="556">
        <f>G2653-W2653</f>
        <v/>
      </c>
      <c r="S2653" s="523" t="n">
        <v>44393</v>
      </c>
      <c r="T2653" s="522" t="inlineStr">
        <is>
          <t>V0016799</t>
        </is>
      </c>
      <c r="U2653" s="522" t="inlineStr">
        <is>
          <t>L001-901905215</t>
        </is>
      </c>
      <c r="V2653" s="522" t="inlineStr">
        <is>
          <t>វីអ៊ីស៊ិន (ខេមបូឌា) អ៊ិនដាសស្ទ្រី ឯ.ក</t>
        </is>
      </c>
      <c r="W2653" s="556" t="n">
        <v>37429</v>
      </c>
    </row>
    <row r="2654">
      <c r="A2654" s="521" t="n">
        <v>2646</v>
      </c>
      <c r="B2654" s="522" t="inlineStr">
        <is>
          <t>ទ្រនាប់កេស</t>
        </is>
      </c>
      <c r="C2654" s="522" t="inlineStr">
        <is>
          <t>ស៊ីងហ្គាពួរ កាតុង (ខេមបូឌា)</t>
        </is>
      </c>
      <c r="D2654" s="522" t="inlineStr">
        <is>
          <t>L001-100121322</t>
        </is>
      </c>
      <c r="E2654" s="521" t="inlineStr">
        <is>
          <t>V0016711</t>
        </is>
      </c>
      <c r="F2654" s="523" t="n">
        <v>44385</v>
      </c>
      <c r="G2654" s="556" t="n">
        <v>1988</v>
      </c>
      <c r="I2654" s="521">
        <f>G2654</f>
        <v/>
      </c>
      <c r="K2654" s="521">
        <f>I2654-G2654</f>
        <v/>
      </c>
      <c r="M2654" s="522" t="inlineStr">
        <is>
          <t>V0016711</t>
        </is>
      </c>
      <c r="N2654" s="522" t="inlineStr">
        <is>
          <t>V0016711</t>
        </is>
      </c>
      <c r="O2654" s="521">
        <f>M2654=N2654</f>
        <v/>
      </c>
      <c r="P2654" s="521">
        <f>AND(MONTH(F2654)=MONTH(S2654), YEAR(F2654)=YEAR(S2654))</f>
        <v/>
      </c>
      <c r="Q2654" s="521">
        <f>U2654="L001-901905215"</f>
        <v/>
      </c>
      <c r="R2654" s="556">
        <f>G2654-W2654</f>
        <v/>
      </c>
      <c r="S2654" s="523" t="n">
        <v>44385</v>
      </c>
      <c r="T2654" s="522" t="inlineStr">
        <is>
          <t>V0016711</t>
        </is>
      </c>
      <c r="U2654" s="522" t="inlineStr">
        <is>
          <t>L001-901905215</t>
        </is>
      </c>
      <c r="V2654" s="522" t="inlineStr">
        <is>
          <t>វីអ៊ីស៊ិន (ខេមបូឌា) អ៊ិនដាសស្ទ្រី ឯ.ក</t>
        </is>
      </c>
      <c r="W2654" s="556" t="n">
        <v>1988</v>
      </c>
    </row>
    <row r="2655">
      <c r="A2655" s="521" t="n">
        <v>2647</v>
      </c>
      <c r="B2655" s="522" t="inlineStr">
        <is>
          <t>ទ្រនាប់កេស</t>
        </is>
      </c>
      <c r="C2655" s="522" t="inlineStr">
        <is>
          <t>ស៊ីងហ្គាពួរ កាតុង (ខេមបូឌា)</t>
        </is>
      </c>
      <c r="D2655" s="522" t="inlineStr">
        <is>
          <t>L001-100121322</t>
        </is>
      </c>
      <c r="E2655" s="521" t="inlineStr">
        <is>
          <t>V0016710</t>
        </is>
      </c>
      <c r="F2655" s="523" t="n">
        <v>44385</v>
      </c>
      <c r="G2655" s="556" t="n">
        <v>1694</v>
      </c>
      <c r="I2655" s="521">
        <f>G2655</f>
        <v/>
      </c>
      <c r="K2655" s="521">
        <f>I2655-G2655</f>
        <v/>
      </c>
      <c r="M2655" s="522" t="inlineStr">
        <is>
          <t>V0016710</t>
        </is>
      </c>
      <c r="N2655" s="522" t="inlineStr">
        <is>
          <t>V0016710</t>
        </is>
      </c>
      <c r="O2655" s="521">
        <f>M2655=N2655</f>
        <v/>
      </c>
      <c r="P2655" s="521">
        <f>AND(MONTH(F2655)=MONTH(S2655), YEAR(F2655)=YEAR(S2655))</f>
        <v/>
      </c>
      <c r="Q2655" s="521">
        <f>U2655="L001-901905215"</f>
        <v/>
      </c>
      <c r="R2655" s="556">
        <f>G2655-W2655</f>
        <v/>
      </c>
      <c r="S2655" s="523" t="n">
        <v>44385</v>
      </c>
      <c r="T2655" s="522" t="inlineStr">
        <is>
          <t>V0016710</t>
        </is>
      </c>
      <c r="U2655" s="522" t="inlineStr">
        <is>
          <t>L001-901905215</t>
        </is>
      </c>
      <c r="V2655" s="522" t="inlineStr">
        <is>
          <t>វីអ៊ីស៊ិន (ខេមបូឌា) អ៊ិនដាសស្ទ្រី ឯ.ក</t>
        </is>
      </c>
      <c r="W2655" s="556" t="n">
        <v>1695</v>
      </c>
    </row>
    <row r="2656">
      <c r="A2656" s="521" t="n">
        <v>2648</v>
      </c>
      <c r="B2656" s="522" t="inlineStr">
        <is>
          <t>កេសតាតុង</t>
        </is>
      </c>
      <c r="C2656" s="522" t="inlineStr">
        <is>
          <t>ស៊ីងហ្គាពួរ កាតុង (ខេមបូឌា)</t>
        </is>
      </c>
      <c r="D2656" s="522" t="inlineStr">
        <is>
          <t>L001-100121322</t>
        </is>
      </c>
      <c r="E2656" s="521" t="inlineStr">
        <is>
          <t>V0016709</t>
        </is>
      </c>
      <c r="F2656" s="523" t="n">
        <v>44385</v>
      </c>
      <c r="G2656" s="556" t="n">
        <v>299976</v>
      </c>
      <c r="I2656" s="521">
        <f>G2656</f>
        <v/>
      </c>
      <c r="K2656" s="521">
        <f>I2656-G2656</f>
        <v/>
      </c>
      <c r="M2656" s="522" t="inlineStr">
        <is>
          <t>V0016709</t>
        </is>
      </c>
      <c r="N2656" s="522" t="inlineStr">
        <is>
          <t>V0016709</t>
        </is>
      </c>
      <c r="O2656" s="521">
        <f>M2656=N2656</f>
        <v/>
      </c>
      <c r="P2656" s="521">
        <f>AND(MONTH(F2656)=MONTH(S2656), YEAR(F2656)=YEAR(S2656))</f>
        <v/>
      </c>
      <c r="Q2656" s="521">
        <f>U2656="L001-901905215"</f>
        <v/>
      </c>
      <c r="R2656" s="556">
        <f>G2656-W2656</f>
        <v/>
      </c>
      <c r="S2656" s="523" t="n">
        <v>44385</v>
      </c>
      <c r="T2656" s="522" t="inlineStr">
        <is>
          <t>V0016709</t>
        </is>
      </c>
      <c r="U2656" s="522" t="inlineStr">
        <is>
          <t>L001-901905215</t>
        </is>
      </c>
      <c r="V2656" s="522" t="inlineStr">
        <is>
          <t>វីអ៊ីស៊ិន (ខេមបូឌា) អ៊ិនដាសស្ទ្រី ឯ.ក</t>
        </is>
      </c>
      <c r="W2656" s="556" t="n">
        <v>299903</v>
      </c>
    </row>
    <row r="2657">
      <c r="A2657" s="521" t="n">
        <v>2649</v>
      </c>
      <c r="B2657" s="522" t="inlineStr">
        <is>
          <t>ទ្រនាប់កេស</t>
        </is>
      </c>
      <c r="C2657" s="522" t="inlineStr">
        <is>
          <t>ស៊ីងហ្គាពួរ កាតុង (ខេមបូឌា)</t>
        </is>
      </c>
      <c r="D2657" s="522" t="inlineStr">
        <is>
          <t>L001-100121322</t>
        </is>
      </c>
      <c r="E2657" s="521" t="inlineStr">
        <is>
          <t>V0016708</t>
        </is>
      </c>
      <c r="F2657" s="523" t="n">
        <v>44385</v>
      </c>
      <c r="G2657" s="556" t="n">
        <v>2248</v>
      </c>
      <c r="I2657" s="521">
        <f>G2657</f>
        <v/>
      </c>
      <c r="K2657" s="521">
        <f>I2657-G2657</f>
        <v/>
      </c>
      <c r="M2657" s="522" t="inlineStr">
        <is>
          <t>V0016708</t>
        </is>
      </c>
      <c r="N2657" s="522" t="inlineStr">
        <is>
          <t>V0016708</t>
        </is>
      </c>
      <c r="O2657" s="521">
        <f>M2657=N2657</f>
        <v/>
      </c>
      <c r="P2657" s="521">
        <f>AND(MONTH(F2657)=MONTH(S2657), YEAR(F2657)=YEAR(S2657))</f>
        <v/>
      </c>
      <c r="Q2657" s="521">
        <f>U2657="L001-901905215"</f>
        <v/>
      </c>
      <c r="R2657" s="556">
        <f>G2657-W2657</f>
        <v/>
      </c>
      <c r="S2657" s="523" t="n">
        <v>44385</v>
      </c>
      <c r="T2657" s="522" t="inlineStr">
        <is>
          <t>V0016708</t>
        </is>
      </c>
      <c r="U2657" s="522" t="inlineStr">
        <is>
          <t>L001-901905215</t>
        </is>
      </c>
      <c r="V2657" s="522" t="inlineStr">
        <is>
          <t>វីអ៊ីស៊ិន (ខេមបូឌា) អ៊ិនដាសស្ទ្រី ឯ.ក</t>
        </is>
      </c>
      <c r="W2657" s="556" t="n">
        <v>2247</v>
      </c>
    </row>
    <row r="2658">
      <c r="A2658" s="521" t="n">
        <v>2650</v>
      </c>
      <c r="B2658" s="522" t="inlineStr">
        <is>
          <t>កេសតាតុង</t>
        </is>
      </c>
      <c r="C2658" s="522" t="inlineStr">
        <is>
          <t>ស៊ីងហ្គាពួរ កាតុង (ខេមបូឌា)</t>
        </is>
      </c>
      <c r="D2658" s="522" t="inlineStr">
        <is>
          <t>L001-100121322</t>
        </is>
      </c>
      <c r="E2658" s="521" t="inlineStr">
        <is>
          <t>V0016749</t>
        </is>
      </c>
      <c r="F2658" s="523" t="n">
        <v>44388</v>
      </c>
      <c r="G2658" s="556" t="n">
        <v>565902</v>
      </c>
      <c r="I2658" s="521">
        <f>G2658</f>
        <v/>
      </c>
      <c r="K2658" s="521">
        <f>I2658-G2658</f>
        <v/>
      </c>
      <c r="M2658" s="522" t="inlineStr">
        <is>
          <t>V0016749</t>
        </is>
      </c>
      <c r="N2658" s="522" t="inlineStr">
        <is>
          <t>V0016749</t>
        </is>
      </c>
      <c r="O2658" s="521">
        <f>M2658=N2658</f>
        <v/>
      </c>
      <c r="P2658" s="521">
        <f>AND(MONTH(F2658)=MONTH(S2658), YEAR(F2658)=YEAR(S2658))</f>
        <v/>
      </c>
      <c r="Q2658" s="521">
        <f>U2658="L001-901905215"</f>
        <v/>
      </c>
      <c r="R2658" s="556">
        <f>G2658-W2658</f>
        <v/>
      </c>
      <c r="S2658" s="523" t="n">
        <v>44388</v>
      </c>
      <c r="T2658" s="522" t="inlineStr">
        <is>
          <t>V0016749</t>
        </is>
      </c>
      <c r="U2658" s="522" t="inlineStr">
        <is>
          <t>L001-901905215</t>
        </is>
      </c>
      <c r="V2658" s="522" t="inlineStr">
        <is>
          <t>វីអ៊ីស៊ិន (ខេមបូឌា) អ៊ិនដាសស្ទ្រី ឯ.ក</t>
        </is>
      </c>
      <c r="W2658" s="556" t="n">
        <v>566041</v>
      </c>
    </row>
    <row r="2659">
      <c r="A2659" s="521" t="n">
        <v>2651</v>
      </c>
      <c r="B2659" s="522" t="inlineStr">
        <is>
          <t>ផ្លាក​ PAPER LABEL</t>
        </is>
      </c>
      <c r="C2659" s="522" t="inlineStr">
        <is>
          <t>ស៊ីន ហ្វី យ៉ាង ព្រីនធីង &amp; អិកសេសសឺរី ឯ.ក</t>
        </is>
      </c>
      <c r="D2659" s="522" t="inlineStr">
        <is>
          <t>K010-901906822</t>
        </is>
      </c>
      <c r="E2659" s="521" t="inlineStr">
        <is>
          <t>XFY-YD20210105</t>
        </is>
      </c>
      <c r="F2659" s="523" t="n">
        <v>44408</v>
      </c>
      <c r="G2659" s="556" t="n">
        <v>1148630</v>
      </c>
      <c r="I2659" s="521">
        <f>G2659</f>
        <v/>
      </c>
      <c r="K2659" s="521">
        <f>I2659-G2659</f>
        <v/>
      </c>
      <c r="M2659" s="522" t="inlineStr">
        <is>
          <t>XFYYD20210105</t>
        </is>
      </c>
      <c r="N2659" s="522" t="inlineStr"/>
      <c r="O2659" s="521">
        <f>M2659=N2659</f>
        <v/>
      </c>
      <c r="P2659" s="521">
        <f>AND(MONTH(F2659)=MONTH(S2659), YEAR(F2659)=YEAR(S2659))</f>
        <v/>
      </c>
      <c r="Q2659" s="521">
        <f>U2659="L001-901905215"</f>
        <v/>
      </c>
      <c r="R2659" s="556">
        <f>G2659-W2659</f>
        <v/>
      </c>
      <c r="S2659" s="521" t="n"/>
      <c r="T2659" s="522" t="n"/>
      <c r="U2659" s="522" t="n"/>
      <c r="V2659" s="522" t="n"/>
      <c r="W2659" s="521" t="n"/>
    </row>
    <row r="2660">
      <c r="A2660" s="521" t="n">
        <v>2652</v>
      </c>
      <c r="B2660" s="522" t="inlineStr">
        <is>
          <t>ក្រដាសកាតុងធ្វើកេស</t>
        </is>
      </c>
      <c r="C2660" s="522" t="inlineStr">
        <is>
          <t>យី មីង ភែកឃីជីង ឯ.ក</t>
        </is>
      </c>
      <c r="D2660" s="522" t="inlineStr">
        <is>
          <t>B108-902101335</t>
        </is>
      </c>
      <c r="E2660" s="521" t="inlineStr">
        <is>
          <t>YM-0001</t>
        </is>
      </c>
      <c r="F2660" s="523" t="n">
        <v>44408</v>
      </c>
      <c r="G2660" s="556" t="n">
        <v>1745659</v>
      </c>
      <c r="I2660" s="521">
        <f>G2660</f>
        <v/>
      </c>
      <c r="K2660" s="521">
        <f>I2660-G2660</f>
        <v/>
      </c>
      <c r="M2660" s="522" t="inlineStr">
        <is>
          <t>YM0001</t>
        </is>
      </c>
      <c r="N2660" s="522" t="inlineStr">
        <is>
          <t>YM0001</t>
        </is>
      </c>
      <c r="O2660" s="521">
        <f>M2660=N2660</f>
        <v/>
      </c>
      <c r="P2660" s="521">
        <f>AND(MONTH(F2660)=MONTH(S2660), YEAR(F2660)=YEAR(S2660))</f>
        <v/>
      </c>
      <c r="Q2660" s="521">
        <f>U2660="L001-901905215"</f>
        <v/>
      </c>
      <c r="R2660" s="556">
        <f>G2660-W2660</f>
        <v/>
      </c>
      <c r="S2660" s="523" t="n">
        <v>44408</v>
      </c>
      <c r="T2660" s="522" t="inlineStr">
        <is>
          <t>YM-0001</t>
        </is>
      </c>
      <c r="U2660" s="522" t="inlineStr">
        <is>
          <t>L001-901905215</t>
        </is>
      </c>
      <c r="V2660" s="522" t="inlineStr">
        <is>
          <t>វីអ៊ីស៊ិន (ខេមបូឌា) អ៊ិនដាសស្ទ្រី ឯ.ក</t>
        </is>
      </c>
      <c r="W2660" s="556" t="n">
        <v>1745659</v>
      </c>
    </row>
    <row r="2661">
      <c r="A2661" s="521" t="n">
        <v>2653</v>
      </c>
      <c r="B2661" s="522" t="inlineStr">
        <is>
          <t>Service fee</t>
        </is>
      </c>
      <c r="C2661" s="522" t="inlineStr">
        <is>
          <t>ប្យួរ៉ូ វេរីតាស (ខេមបូឌា) លីមីធីត</t>
        </is>
      </c>
      <c r="D2661" s="522" t="inlineStr">
        <is>
          <t>L001-107024462</t>
        </is>
      </c>
      <c r="E2661" s="521" t="inlineStr">
        <is>
          <t>59010661</t>
        </is>
      </c>
      <c r="F2661" s="523" t="n">
        <v>44408</v>
      </c>
      <c r="G2661" s="556" t="n">
        <v>55157</v>
      </c>
      <c r="I2661" s="521">
        <f>G2661</f>
        <v/>
      </c>
      <c r="K2661" s="521">
        <f>I2661-G2661</f>
        <v/>
      </c>
      <c r="M2661" s="522" t="inlineStr">
        <is>
          <t>59010661</t>
        </is>
      </c>
      <c r="N2661" s="522" t="inlineStr"/>
      <c r="O2661" s="521">
        <f>M2661=N2661</f>
        <v/>
      </c>
      <c r="P2661" s="521">
        <f>AND(MONTH(F2661)=MONTH(S2661), YEAR(F2661)=YEAR(S2661))</f>
        <v/>
      </c>
      <c r="Q2661" s="521">
        <f>U2661="L001-901905215"</f>
        <v/>
      </c>
      <c r="R2661" s="556">
        <f>G2661-W2661</f>
        <v/>
      </c>
      <c r="S2661" s="521" t="n"/>
      <c r="T2661" s="522" t="n"/>
      <c r="U2661" s="522" t="n"/>
      <c r="V2661" s="522" t="n"/>
      <c r="W2661" s="521" t="n"/>
    </row>
    <row r="2662">
      <c r="A2662" s="521" t="n">
        <v>2654</v>
      </c>
      <c r="B2662" s="522" t="inlineStr">
        <is>
          <t>Service fee</t>
        </is>
      </c>
      <c r="C2662" s="522" t="inlineStr">
        <is>
          <t>ប្យួរ៉ូ វេរីតាស (ខេមបូឌា) លីមីធីត</t>
        </is>
      </c>
      <c r="D2662" s="522" t="inlineStr">
        <is>
          <t>L001-107024462</t>
        </is>
      </c>
      <c r="E2662" s="521" t="inlineStr">
        <is>
          <t>59010645</t>
        </is>
      </c>
      <c r="F2662" s="523" t="n">
        <v>44407</v>
      </c>
      <c r="G2662" s="556" t="n">
        <v>110310</v>
      </c>
      <c r="I2662" s="521">
        <f>G2662</f>
        <v/>
      </c>
      <c r="K2662" s="521">
        <f>I2662-G2662</f>
        <v/>
      </c>
      <c r="M2662" s="522" t="inlineStr">
        <is>
          <t>59010645</t>
        </is>
      </c>
      <c r="N2662" s="522" t="inlineStr">
        <is>
          <t>59010645</t>
        </is>
      </c>
      <c r="O2662" s="521">
        <f>M2662=N2662</f>
        <v/>
      </c>
      <c r="P2662" s="521">
        <f>AND(MONTH(F2662)=MONTH(S2662), YEAR(F2662)=YEAR(S2662))</f>
        <v/>
      </c>
      <c r="Q2662" s="521">
        <f>U2662="L001-901905215"</f>
        <v/>
      </c>
      <c r="R2662" s="556">
        <f>G2662-W2662</f>
        <v/>
      </c>
      <c r="S2662" s="523" t="n">
        <v>44407</v>
      </c>
      <c r="T2662" s="522" t="inlineStr">
        <is>
          <t>59010645</t>
        </is>
      </c>
      <c r="U2662" s="522" t="inlineStr">
        <is>
          <t>L001-901905215</t>
        </is>
      </c>
      <c r="V2662" s="522" t="inlineStr">
        <is>
          <t>វីអ៊ីស៊ិន (ខេមបូឌា) អ៊ិនដាសស្ទ្រី ឯ.ក</t>
        </is>
      </c>
      <c r="W2662" s="556" t="n">
        <v>110311</v>
      </c>
    </row>
    <row r="2663">
      <c r="A2663" s="521" t="n">
        <v>2655</v>
      </c>
      <c r="B2663" s="522" t="inlineStr">
        <is>
          <t>Service fee</t>
        </is>
      </c>
      <c r="C2663" s="522" t="inlineStr">
        <is>
          <t>ប្យួរ៉ូ វេរីតាស (ខេមបូឌា) លីមីធីត</t>
        </is>
      </c>
      <c r="D2663" s="522" t="inlineStr">
        <is>
          <t>L001-107024462</t>
        </is>
      </c>
      <c r="E2663" s="521" t="inlineStr">
        <is>
          <t>59010585</t>
        </is>
      </c>
      <c r="F2663" s="523" t="n">
        <v>44400</v>
      </c>
      <c r="G2663" s="556" t="n">
        <v>110283</v>
      </c>
      <c r="I2663" s="521">
        <f>G2663</f>
        <v/>
      </c>
      <c r="K2663" s="521">
        <f>I2663-G2663</f>
        <v/>
      </c>
      <c r="M2663" s="522" t="inlineStr">
        <is>
          <t>59010585</t>
        </is>
      </c>
      <c r="N2663" s="522" t="inlineStr">
        <is>
          <t>59010585</t>
        </is>
      </c>
      <c r="O2663" s="521">
        <f>M2663=N2663</f>
        <v/>
      </c>
      <c r="P2663" s="521">
        <f>AND(MONTH(F2663)=MONTH(S2663), YEAR(F2663)=YEAR(S2663))</f>
        <v/>
      </c>
      <c r="Q2663" s="521">
        <f>U2663="L001-901905215"</f>
        <v/>
      </c>
      <c r="R2663" s="556">
        <f>G2663-W2663</f>
        <v/>
      </c>
      <c r="S2663" s="523" t="n">
        <v>44400</v>
      </c>
      <c r="T2663" s="522" t="inlineStr">
        <is>
          <t>59010585</t>
        </is>
      </c>
      <c r="U2663" s="522" t="inlineStr">
        <is>
          <t>L001-901905215</t>
        </is>
      </c>
      <c r="V2663" s="522" t="inlineStr">
        <is>
          <t>វីអ៊ីស៊ិន (ខេមបូឌា) អ៊ិនដាសស្ទ្រី ឯ.ក</t>
        </is>
      </c>
      <c r="W2663" s="556" t="n">
        <v>110283</v>
      </c>
    </row>
    <row r="2664">
      <c r="A2664" s="521" t="n">
        <v>2656</v>
      </c>
      <c r="B2664" s="522" t="inlineStr">
        <is>
          <t>Service fee</t>
        </is>
      </c>
      <c r="C2664" s="522" t="inlineStr">
        <is>
          <t>ប្យួរ៉ូ វេរីតាស (ខេមបូឌា) លីមីធីត</t>
        </is>
      </c>
      <c r="D2664" s="522" t="inlineStr">
        <is>
          <t>L001-107024462</t>
        </is>
      </c>
      <c r="E2664" s="521" t="inlineStr">
        <is>
          <t>59010532</t>
        </is>
      </c>
      <c r="F2664" s="523" t="n">
        <v>44393</v>
      </c>
      <c r="G2664" s="556" t="n">
        <v>165468</v>
      </c>
      <c r="I2664" s="521">
        <f>G2664</f>
        <v/>
      </c>
      <c r="K2664" s="521">
        <f>I2664-G2664</f>
        <v/>
      </c>
      <c r="M2664" s="522" t="inlineStr">
        <is>
          <t>59010532</t>
        </is>
      </c>
      <c r="N2664" s="522" t="inlineStr">
        <is>
          <t>59010532</t>
        </is>
      </c>
      <c r="O2664" s="521">
        <f>M2664=N2664</f>
        <v/>
      </c>
      <c r="P2664" s="521">
        <f>AND(MONTH(F2664)=MONTH(S2664), YEAR(F2664)=YEAR(S2664))</f>
        <v/>
      </c>
      <c r="Q2664" s="521">
        <f>U2664="L001-901905215"</f>
        <v/>
      </c>
      <c r="R2664" s="556">
        <f>G2664-W2664</f>
        <v/>
      </c>
      <c r="S2664" s="523" t="n">
        <v>44393</v>
      </c>
      <c r="T2664" s="522" t="inlineStr">
        <is>
          <t>59010532</t>
        </is>
      </c>
      <c r="U2664" s="522" t="inlineStr">
        <is>
          <t>L001-901905215</t>
        </is>
      </c>
      <c r="V2664" s="522" t="inlineStr">
        <is>
          <t>វីអ៊ីស៊ិន (ខេមបូឌា) អ៊ិនដាសស្ទ្រី ឯ.ក</t>
        </is>
      </c>
      <c r="W2664" s="556" t="n">
        <v>165468</v>
      </c>
    </row>
    <row r="2665">
      <c r="A2665" s="521" t="n">
        <v>2657</v>
      </c>
      <c r="B2665" s="522" t="inlineStr">
        <is>
          <t>Service fee</t>
        </is>
      </c>
      <c r="C2665" s="522" t="inlineStr">
        <is>
          <t>ប្យួរ៉ូ វេរីតាស (ខេមបូឌា) លីមីធីត</t>
        </is>
      </c>
      <c r="D2665" s="522" t="inlineStr">
        <is>
          <t>L001-107024462</t>
        </is>
      </c>
      <c r="E2665" s="521" t="inlineStr">
        <is>
          <t>59010512</t>
        </is>
      </c>
      <c r="F2665" s="523" t="n">
        <v>44389</v>
      </c>
      <c r="G2665" s="556" t="n">
        <v>135749</v>
      </c>
      <c r="I2665" s="521">
        <f>G2665</f>
        <v/>
      </c>
      <c r="K2665" s="521">
        <f>I2665-G2665</f>
        <v/>
      </c>
      <c r="M2665" s="522" t="inlineStr">
        <is>
          <t>59010512</t>
        </is>
      </c>
      <c r="N2665" s="522" t="inlineStr">
        <is>
          <t>59010512</t>
        </is>
      </c>
      <c r="O2665" s="521">
        <f>M2665=N2665</f>
        <v/>
      </c>
      <c r="P2665" s="521">
        <f>AND(MONTH(F2665)=MONTH(S2665), YEAR(F2665)=YEAR(S2665))</f>
        <v/>
      </c>
      <c r="Q2665" s="521">
        <f>U2665="L001-901905215"</f>
        <v/>
      </c>
      <c r="R2665" s="556">
        <f>G2665-W2665</f>
        <v/>
      </c>
      <c r="S2665" s="523" t="n">
        <v>44389</v>
      </c>
      <c r="T2665" s="522" t="inlineStr">
        <is>
          <t>59010512</t>
        </is>
      </c>
      <c r="U2665" s="522" t="inlineStr">
        <is>
          <t>L001-901905215</t>
        </is>
      </c>
      <c r="V2665" s="522" t="inlineStr">
        <is>
          <t>វីអ៊ីស៊ិន (ខេមបូឌា) អ៊ិនដាសស្ទ្រី ឯ.ក</t>
        </is>
      </c>
      <c r="W2665" s="556" t="n">
        <v>135749</v>
      </c>
    </row>
    <row r="2666">
      <c r="A2666" s="521" t="n">
        <v>2658</v>
      </c>
      <c r="B2666" s="522" t="inlineStr">
        <is>
          <t>Service fee</t>
        </is>
      </c>
      <c r="C2666" s="522" t="inlineStr">
        <is>
          <t>ប្យួរ៉ូ វេរីតាស (ខេមបូឌា) លីមីធីត</t>
        </is>
      </c>
      <c r="D2666" s="522" t="inlineStr">
        <is>
          <t>L001-107024462</t>
        </is>
      </c>
      <c r="E2666" s="521" t="inlineStr">
        <is>
          <t>59010492</t>
        </is>
      </c>
      <c r="F2666" s="523" t="n">
        <v>44386</v>
      </c>
      <c r="G2666" s="556" t="n">
        <v>110283</v>
      </c>
      <c r="I2666" s="521">
        <f>G2666</f>
        <v/>
      </c>
      <c r="K2666" s="521">
        <f>I2666-G2666</f>
        <v/>
      </c>
      <c r="M2666" s="522" t="inlineStr">
        <is>
          <t>59010492</t>
        </is>
      </c>
      <c r="N2666" s="522" t="inlineStr">
        <is>
          <t>59010492</t>
        </is>
      </c>
      <c r="O2666" s="521">
        <f>M2666=N2666</f>
        <v/>
      </c>
      <c r="P2666" s="521">
        <f>AND(MONTH(F2666)=MONTH(S2666), YEAR(F2666)=YEAR(S2666))</f>
        <v/>
      </c>
      <c r="Q2666" s="521">
        <f>U2666="L001-901905215"</f>
        <v/>
      </c>
      <c r="R2666" s="556">
        <f>G2666-W2666</f>
        <v/>
      </c>
      <c r="S2666" s="523" t="n">
        <v>44386</v>
      </c>
      <c r="T2666" s="522" t="inlineStr">
        <is>
          <t>59010492</t>
        </is>
      </c>
      <c r="U2666" s="522" t="inlineStr">
        <is>
          <t>L001-901905215</t>
        </is>
      </c>
      <c r="V2666" s="522" t="inlineStr">
        <is>
          <t>វីអ៊ីស៊ិន (ខេមបូឌា) អ៊ិនដាសស្ទ្រី ឯ.ក</t>
        </is>
      </c>
      <c r="W2666" s="556" t="n">
        <v>110283</v>
      </c>
    </row>
    <row r="2667">
      <c r="A2667" s="521" t="n">
        <v>2659</v>
      </c>
      <c r="B2667" s="522" t="inlineStr">
        <is>
          <t>Service fee</t>
        </is>
      </c>
      <c r="C2667" s="522" t="inlineStr">
        <is>
          <t>ប្យួរ៉ូ វេរីតាស (ខេមបូឌា) លីមីធីត</t>
        </is>
      </c>
      <c r="D2667" s="522" t="inlineStr">
        <is>
          <t>L001-107024462</t>
        </is>
      </c>
      <c r="E2667" s="521" t="inlineStr">
        <is>
          <t>59010456</t>
        </is>
      </c>
      <c r="F2667" s="523" t="n">
        <v>44383</v>
      </c>
      <c r="G2667" s="556" t="n">
        <v>165549</v>
      </c>
      <c r="I2667" s="521">
        <f>G2667</f>
        <v/>
      </c>
      <c r="K2667" s="521">
        <f>I2667-G2667</f>
        <v/>
      </c>
      <c r="M2667" s="522" t="inlineStr">
        <is>
          <t>59010456</t>
        </is>
      </c>
      <c r="N2667" s="522" t="inlineStr">
        <is>
          <t>59010456</t>
        </is>
      </c>
      <c r="O2667" s="521">
        <f>M2667=N2667</f>
        <v/>
      </c>
      <c r="P2667" s="521">
        <f>AND(MONTH(F2667)=MONTH(S2667), YEAR(F2667)=YEAR(S2667))</f>
        <v/>
      </c>
      <c r="Q2667" s="521">
        <f>U2667="L001-901905215"</f>
        <v/>
      </c>
      <c r="R2667" s="556">
        <f>G2667-W2667</f>
        <v/>
      </c>
      <c r="S2667" s="523" t="n">
        <v>44383</v>
      </c>
      <c r="T2667" s="522" t="inlineStr">
        <is>
          <t>59010456</t>
        </is>
      </c>
      <c r="U2667" s="522" t="inlineStr">
        <is>
          <t>L001-901905215</t>
        </is>
      </c>
      <c r="V2667" s="522" t="inlineStr">
        <is>
          <t>វីអ៊ីស៊ិន (ខេមបូឌា) អ៊ិនដាសស្ទ្រី ឯ.ក</t>
        </is>
      </c>
      <c r="W2667" s="556" t="n">
        <v>165549</v>
      </c>
    </row>
    <row r="2668">
      <c r="A2668" s="521" t="n">
        <v>2660</v>
      </c>
      <c r="B2668" s="522" t="inlineStr">
        <is>
          <t>Lift-On&amp; Lift-Off</t>
        </is>
      </c>
      <c r="C2668" s="522" t="inlineStr">
        <is>
          <t>កំពង់ផែស្វយ័តក្រុងព្រះសីហនុ</t>
        </is>
      </c>
      <c r="D2668" s="522" t="inlineStr">
        <is>
          <t>L001-100044638</t>
        </is>
      </c>
      <c r="E2668" s="521" t="inlineStr">
        <is>
          <t>107688</t>
        </is>
      </c>
      <c r="F2668" s="523" t="n">
        <v>44379</v>
      </c>
      <c r="G2668" s="556" t="n">
        <v>35435</v>
      </c>
      <c r="I2668" s="521">
        <f>G2668</f>
        <v/>
      </c>
      <c r="K2668" s="521">
        <f>I2668-G2668</f>
        <v/>
      </c>
      <c r="M2668" s="522" t="inlineStr">
        <is>
          <t>107688</t>
        </is>
      </c>
      <c r="N2668" s="522" t="inlineStr"/>
      <c r="O2668" s="521">
        <f>M2668=N2668</f>
        <v/>
      </c>
      <c r="P2668" s="521">
        <f>AND(MONTH(F2668)=MONTH(S2668), YEAR(F2668)=YEAR(S2668))</f>
        <v/>
      </c>
      <c r="Q2668" s="521">
        <f>U2668="L001-901905215"</f>
        <v/>
      </c>
      <c r="R2668" s="556">
        <f>G2668-W2668</f>
        <v/>
      </c>
      <c r="S2668" s="521" t="n"/>
      <c r="T2668" s="522" t="n"/>
      <c r="U2668" s="522" t="n"/>
      <c r="V2668" s="522" t="n"/>
      <c r="W2668" s="521" t="n"/>
    </row>
    <row r="2669">
      <c r="A2669" s="521" t="n">
        <v>2661</v>
      </c>
      <c r="B2669" s="522" t="inlineStr">
        <is>
          <t>THC</t>
        </is>
      </c>
      <c r="C2669" s="522" t="inlineStr">
        <is>
          <t>ខូស្កូ ស៊ីបភីង ឡាញ (ខេមបូឌា) ឯ.ក</t>
        </is>
      </c>
      <c r="D2669" s="522" t="inlineStr">
        <is>
          <t>L001-100103383</t>
        </is>
      </c>
      <c r="E2669" s="521" t="inlineStr">
        <is>
          <t>COS2107-08410</t>
        </is>
      </c>
      <c r="F2669" s="523" t="n">
        <v>44379</v>
      </c>
      <c r="G2669" s="556" t="n">
        <v>213833</v>
      </c>
      <c r="I2669" s="521">
        <f>G2669</f>
        <v/>
      </c>
      <c r="K2669" s="521">
        <f>I2669-G2669</f>
        <v/>
      </c>
      <c r="M2669" s="522" t="inlineStr">
        <is>
          <t>COS210708410</t>
        </is>
      </c>
      <c r="N2669" s="522" t="inlineStr">
        <is>
          <t>COS210708410</t>
        </is>
      </c>
      <c r="O2669" s="521">
        <f>M2669=N2669</f>
        <v/>
      </c>
      <c r="P2669" s="521">
        <f>AND(MONTH(F2669)=MONTH(S2669), YEAR(F2669)=YEAR(S2669))</f>
        <v/>
      </c>
      <c r="Q2669" s="521">
        <f>U2669="L001-901905215"</f>
        <v/>
      </c>
      <c r="R2669" s="556">
        <f>G2669-W2669</f>
        <v/>
      </c>
      <c r="S2669" s="523" t="n">
        <v>44378</v>
      </c>
      <c r="T2669" s="522" t="inlineStr">
        <is>
          <t>COS2107-08410</t>
        </is>
      </c>
      <c r="U2669" s="522" t="inlineStr">
        <is>
          <t>L001-901905215</t>
        </is>
      </c>
      <c r="V2669" s="522" t="inlineStr">
        <is>
          <t>វីអ៊ីស៊ិន (ខេមបូឌា) អ៊ិនដាសស្ទ្រី ឯ.ក</t>
        </is>
      </c>
      <c r="W2669" s="556" t="n">
        <v>213833</v>
      </c>
    </row>
    <row r="2670">
      <c r="A2670" s="521" t="n">
        <v>2662</v>
      </c>
      <c r="B2670" s="522" t="inlineStr">
        <is>
          <t>Lift-On&amp; Lift-Off</t>
        </is>
      </c>
      <c r="C2670" s="522" t="inlineStr">
        <is>
          <t>កំពង់ផែស្វយ័តក្រុងព្រះសីហនុ</t>
        </is>
      </c>
      <c r="D2670" s="522" t="inlineStr">
        <is>
          <t>L001-100044638</t>
        </is>
      </c>
      <c r="E2670" s="521" t="inlineStr">
        <is>
          <t>112257</t>
        </is>
      </c>
      <c r="F2670" s="523" t="n">
        <v>44386</v>
      </c>
      <c r="G2670" s="556" t="n">
        <v>35418</v>
      </c>
      <c r="I2670" s="521">
        <f>G2670</f>
        <v/>
      </c>
      <c r="K2670" s="521">
        <f>I2670-G2670</f>
        <v/>
      </c>
      <c r="M2670" s="522" t="inlineStr">
        <is>
          <t>112257</t>
        </is>
      </c>
      <c r="N2670" s="522" t="inlineStr"/>
      <c r="O2670" s="521">
        <f>M2670=N2670</f>
        <v/>
      </c>
      <c r="P2670" s="521">
        <f>AND(MONTH(F2670)=MONTH(S2670), YEAR(F2670)=YEAR(S2670))</f>
        <v/>
      </c>
      <c r="Q2670" s="521">
        <f>U2670="L001-901905215"</f>
        <v/>
      </c>
      <c r="R2670" s="556">
        <f>G2670-W2670</f>
        <v/>
      </c>
      <c r="S2670" s="521" t="n"/>
      <c r="T2670" s="522" t="n"/>
      <c r="U2670" s="522" t="n"/>
      <c r="V2670" s="522" t="n"/>
      <c r="W2670" s="521" t="n"/>
    </row>
    <row r="2671">
      <c r="A2671" s="521" t="n">
        <v>2663</v>
      </c>
      <c r="B2671" s="522" t="inlineStr">
        <is>
          <t>KHCIC</t>
        </is>
      </c>
      <c r="C2671" s="522" t="inlineStr">
        <is>
          <t>អេសអាយធីស៊ី ខិនថេនើរ ឡាញ (ខេមបូឌា)</t>
        </is>
      </c>
      <c r="D2671" s="522" t="inlineStr">
        <is>
          <t>L001-107035863</t>
        </is>
      </c>
      <c r="E2671" s="521" t="inlineStr">
        <is>
          <t>2111497</t>
        </is>
      </c>
      <c r="F2671" s="523" t="n">
        <v>44378</v>
      </c>
      <c r="G2671" s="556" t="n">
        <v>201614</v>
      </c>
      <c r="I2671" s="521">
        <f>G2671</f>
        <v/>
      </c>
      <c r="K2671" s="521">
        <f>I2671-G2671</f>
        <v/>
      </c>
      <c r="M2671" s="522" t="inlineStr">
        <is>
          <t>2111497</t>
        </is>
      </c>
      <c r="N2671" s="522" t="inlineStr"/>
      <c r="O2671" s="521">
        <f>M2671=N2671</f>
        <v/>
      </c>
      <c r="P2671" s="521">
        <f>AND(MONTH(F2671)=MONTH(S2671), YEAR(F2671)=YEAR(S2671))</f>
        <v/>
      </c>
      <c r="Q2671" s="521">
        <f>U2671="L001-901905215"</f>
        <v/>
      </c>
      <c r="R2671" s="556">
        <f>G2671-W2671</f>
        <v/>
      </c>
      <c r="S2671" s="521" t="n"/>
      <c r="T2671" s="522" t="n"/>
      <c r="U2671" s="522" t="n"/>
      <c r="V2671" s="522" t="n"/>
      <c r="W2671" s="521" t="n"/>
    </row>
    <row r="2672">
      <c r="A2672" s="521" t="n">
        <v>2664</v>
      </c>
      <c r="B2672" s="522" t="inlineStr">
        <is>
          <t>Lift-On&amp; Lift-Off</t>
        </is>
      </c>
      <c r="C2672" s="522" t="inlineStr">
        <is>
          <t>កំពង់ផែស្វយ័តក្រុងព្រះសីហនុ</t>
        </is>
      </c>
      <c r="D2672" s="522" t="inlineStr">
        <is>
          <t>L001-100044638</t>
        </is>
      </c>
      <c r="E2672" s="521" t="inlineStr">
        <is>
          <t>111009</t>
        </is>
      </c>
      <c r="F2672" s="523" t="n">
        <v>44385</v>
      </c>
      <c r="G2672" s="556" t="n">
        <v>70870</v>
      </c>
      <c r="I2672" s="521">
        <f>G2672</f>
        <v/>
      </c>
      <c r="K2672" s="521">
        <f>I2672-G2672</f>
        <v/>
      </c>
      <c r="M2672" s="522" t="inlineStr">
        <is>
          <t>111009</t>
        </is>
      </c>
      <c r="N2672" s="522" t="inlineStr"/>
      <c r="O2672" s="521">
        <f>M2672=N2672</f>
        <v/>
      </c>
      <c r="P2672" s="521">
        <f>AND(MONTH(F2672)=MONTH(S2672), YEAR(F2672)=YEAR(S2672))</f>
        <v/>
      </c>
      <c r="Q2672" s="521">
        <f>U2672="L001-901905215"</f>
        <v/>
      </c>
      <c r="R2672" s="556">
        <f>G2672-W2672</f>
        <v/>
      </c>
      <c r="S2672" s="521" t="n"/>
      <c r="T2672" s="522" t="n"/>
      <c r="U2672" s="522" t="n"/>
      <c r="V2672" s="522" t="n"/>
      <c r="W2672" s="521" t="n"/>
    </row>
    <row r="2673">
      <c r="A2673" s="521" t="n">
        <v>2665</v>
      </c>
      <c r="B2673" s="522" t="inlineStr">
        <is>
          <t>KHCIC</t>
        </is>
      </c>
      <c r="C2673" s="522" t="inlineStr">
        <is>
          <t>អេសអាយធីស៊ី ខិនថេនើរ ឡាញ (ខេមបូឌា)</t>
        </is>
      </c>
      <c r="D2673" s="522" t="inlineStr">
        <is>
          <t>L001-107035863</t>
        </is>
      </c>
      <c r="E2673" s="521" t="inlineStr">
        <is>
          <t>SITC2021-012470</t>
        </is>
      </c>
      <c r="F2673" s="523" t="n">
        <v>44397</v>
      </c>
      <c r="G2673" s="556" t="n">
        <v>225996</v>
      </c>
      <c r="I2673" s="521">
        <f>G2673</f>
        <v/>
      </c>
      <c r="K2673" s="521">
        <f>I2673-G2673</f>
        <v/>
      </c>
      <c r="M2673" s="522" t="inlineStr">
        <is>
          <t>SITC2021012470</t>
        </is>
      </c>
      <c r="N2673" s="522" t="inlineStr"/>
      <c r="O2673" s="521">
        <f>M2673=N2673</f>
        <v/>
      </c>
      <c r="P2673" s="521">
        <f>AND(MONTH(F2673)=MONTH(S2673), YEAR(F2673)=YEAR(S2673))</f>
        <v/>
      </c>
      <c r="Q2673" s="521">
        <f>U2673="L001-901905215"</f>
        <v/>
      </c>
      <c r="R2673" s="556">
        <f>G2673-W2673</f>
        <v/>
      </c>
      <c r="S2673" s="521" t="n"/>
      <c r="T2673" s="522" t="n"/>
      <c r="U2673" s="522" t="n"/>
      <c r="V2673" s="522" t="n"/>
      <c r="W2673" s="521" t="n"/>
    </row>
    <row r="2674">
      <c r="A2674" s="521" t="n">
        <v>2666</v>
      </c>
      <c r="B2674" s="522" t="inlineStr">
        <is>
          <t>Lift-On&amp; Lift-Off</t>
        </is>
      </c>
      <c r="C2674" s="522" t="inlineStr">
        <is>
          <t>កំពង់ផែស្វយ័តក្រុងព្រះសីហនុ</t>
        </is>
      </c>
      <c r="D2674" s="522" t="inlineStr">
        <is>
          <t>L001-100044638</t>
        </is>
      </c>
      <c r="E2674" s="521" t="inlineStr">
        <is>
          <t>121061</t>
        </is>
      </c>
      <c r="F2674" s="523" t="n">
        <v>44400</v>
      </c>
      <c r="G2674" s="556" t="n">
        <v>35418</v>
      </c>
      <c r="I2674" s="521">
        <f>G2674</f>
        <v/>
      </c>
      <c r="K2674" s="521">
        <f>I2674-G2674</f>
        <v/>
      </c>
      <c r="M2674" s="522" t="inlineStr">
        <is>
          <t>121061</t>
        </is>
      </c>
      <c r="N2674" s="522" t="inlineStr"/>
      <c r="O2674" s="521">
        <f>M2674=N2674</f>
        <v/>
      </c>
      <c r="P2674" s="521">
        <f>AND(MONTH(F2674)=MONTH(S2674), YEAR(F2674)=YEAR(S2674))</f>
        <v/>
      </c>
      <c r="Q2674" s="521">
        <f>U2674="L001-901905215"</f>
        <v/>
      </c>
      <c r="R2674" s="556">
        <f>G2674-W2674</f>
        <v/>
      </c>
      <c r="S2674" s="521" t="n"/>
      <c r="T2674" s="522" t="n"/>
      <c r="U2674" s="522" t="n"/>
      <c r="V2674" s="522" t="n"/>
      <c r="W2674" s="521" t="n"/>
    </row>
    <row r="2675">
      <c r="A2675" s="521" t="n">
        <v>2667</v>
      </c>
      <c r="B2675" s="522" t="inlineStr">
        <is>
          <t>KHCIC</t>
        </is>
      </c>
      <c r="C2675" s="522" t="inlineStr">
        <is>
          <t>អេសអាយធីស៊ី ខិនថេនើរ ឡាញ (ខេមបូឌា)</t>
        </is>
      </c>
      <c r="D2675" s="522" t="inlineStr">
        <is>
          <t>L001-107035863</t>
        </is>
      </c>
      <c r="E2675" s="521" t="inlineStr">
        <is>
          <t>2112096</t>
        </is>
      </c>
      <c r="F2675" s="523" t="n">
        <v>44385</v>
      </c>
      <c r="G2675" s="556" t="n">
        <v>112008</v>
      </c>
      <c r="I2675" s="521">
        <f>G2675</f>
        <v/>
      </c>
      <c r="K2675" s="521">
        <f>I2675-G2675</f>
        <v/>
      </c>
      <c r="M2675" s="522" t="inlineStr">
        <is>
          <t>2112096</t>
        </is>
      </c>
      <c r="N2675" s="522" t="inlineStr"/>
      <c r="O2675" s="521">
        <f>M2675=N2675</f>
        <v/>
      </c>
      <c r="P2675" s="521">
        <f>AND(MONTH(F2675)=MONTH(S2675), YEAR(F2675)=YEAR(S2675))</f>
        <v/>
      </c>
      <c r="Q2675" s="521">
        <f>U2675="L001-901905215"</f>
        <v/>
      </c>
      <c r="R2675" s="556">
        <f>G2675-W2675</f>
        <v/>
      </c>
      <c r="S2675" s="521" t="n"/>
      <c r="T2675" s="522" t="n"/>
      <c r="U2675" s="522" t="n"/>
      <c r="V2675" s="522" t="n"/>
      <c r="W2675" s="521" t="n"/>
    </row>
    <row r="2676">
      <c r="A2676" s="521" t="n">
        <v>2668</v>
      </c>
      <c r="B2676" s="522" t="inlineStr">
        <is>
          <t>Lift-On&amp; Lift-Off</t>
        </is>
      </c>
      <c r="C2676" s="522" t="inlineStr">
        <is>
          <t>កំពង់ផែស្វយ័តក្រុងព្រះសីហនុ</t>
        </is>
      </c>
      <c r="D2676" s="522" t="inlineStr">
        <is>
          <t>L001-100044638</t>
        </is>
      </c>
      <c r="E2676" s="521" t="inlineStr">
        <is>
          <t>115335</t>
        </is>
      </c>
      <c r="F2676" s="523" t="n">
        <v>44392</v>
      </c>
      <c r="G2676" s="556" t="n">
        <v>35426</v>
      </c>
      <c r="I2676" s="521">
        <f>G2676</f>
        <v/>
      </c>
      <c r="K2676" s="521">
        <f>I2676-G2676</f>
        <v/>
      </c>
      <c r="M2676" s="522" t="inlineStr">
        <is>
          <t>115335</t>
        </is>
      </c>
      <c r="N2676" s="522" t="inlineStr"/>
      <c r="O2676" s="521">
        <f>M2676=N2676</f>
        <v/>
      </c>
      <c r="P2676" s="521">
        <f>AND(MONTH(F2676)=MONTH(S2676), YEAR(F2676)=YEAR(S2676))</f>
        <v/>
      </c>
      <c r="Q2676" s="521">
        <f>U2676="L001-901905215"</f>
        <v/>
      </c>
      <c r="R2676" s="556">
        <f>G2676-W2676</f>
        <v/>
      </c>
      <c r="S2676" s="521" t="n"/>
      <c r="T2676" s="522" t="n"/>
      <c r="U2676" s="522" t="n"/>
      <c r="V2676" s="522" t="n"/>
      <c r="W2676" s="521" t="n"/>
    </row>
    <row r="2677">
      <c r="A2677" s="521" t="n">
        <v>2669</v>
      </c>
      <c r="B2677" s="522" t="inlineStr">
        <is>
          <t>KHCIC</t>
        </is>
      </c>
      <c r="C2677" s="522" t="inlineStr">
        <is>
          <t>អេសអាយធីស៊ី ខិនថេនើរ ឡាញ (ខេមបូឌា)</t>
        </is>
      </c>
      <c r="D2677" s="522" t="inlineStr">
        <is>
          <t>L001-107035863</t>
        </is>
      </c>
      <c r="E2677" s="521" t="inlineStr">
        <is>
          <t>SITC2021-013089</t>
        </is>
      </c>
      <c r="F2677" s="523" t="n">
        <v>44403</v>
      </c>
      <c r="G2677" s="556" t="n">
        <v>343999</v>
      </c>
      <c r="I2677" s="521">
        <f>G2677</f>
        <v/>
      </c>
      <c r="K2677" s="521">
        <f>I2677-G2677</f>
        <v/>
      </c>
      <c r="M2677" s="522" t="inlineStr">
        <is>
          <t>SITC2021013089</t>
        </is>
      </c>
      <c r="N2677" s="522" t="inlineStr"/>
      <c r="O2677" s="521">
        <f>M2677=N2677</f>
        <v/>
      </c>
      <c r="P2677" s="521">
        <f>AND(MONTH(F2677)=MONTH(S2677), YEAR(F2677)=YEAR(S2677))</f>
        <v/>
      </c>
      <c r="Q2677" s="521">
        <f>U2677="L001-901905215"</f>
        <v/>
      </c>
      <c r="R2677" s="556">
        <f>G2677-W2677</f>
        <v/>
      </c>
      <c r="S2677" s="521" t="n"/>
      <c r="T2677" s="522" t="n"/>
      <c r="U2677" s="522" t="n"/>
      <c r="V2677" s="522" t="n"/>
      <c r="W2677" s="521" t="n"/>
    </row>
    <row r="2678">
      <c r="A2678" s="521" t="n">
        <v>2670</v>
      </c>
      <c r="B2678" s="522" t="inlineStr">
        <is>
          <t>Lift-On&amp; Lift-Off</t>
        </is>
      </c>
      <c r="C2678" s="522" t="inlineStr">
        <is>
          <t>កំពង់ផែស្វយ័តក្រុងព្រះសីហនុ</t>
        </is>
      </c>
      <c r="D2678" s="522" t="inlineStr">
        <is>
          <t>L001-100044638</t>
        </is>
      </c>
      <c r="E2678" s="521" t="inlineStr">
        <is>
          <t>125266</t>
        </is>
      </c>
      <c r="F2678" s="523" t="n">
        <v>44407</v>
      </c>
      <c r="G2678" s="556" t="n">
        <v>58637</v>
      </c>
      <c r="I2678" s="521">
        <f>G2678</f>
        <v/>
      </c>
      <c r="K2678" s="521">
        <f>I2678-G2678</f>
        <v/>
      </c>
      <c r="M2678" s="522" t="inlineStr">
        <is>
          <t>125266</t>
        </is>
      </c>
      <c r="N2678" s="522" t="inlineStr"/>
      <c r="O2678" s="521">
        <f>M2678=N2678</f>
        <v/>
      </c>
      <c r="P2678" s="521">
        <f>AND(MONTH(F2678)=MONTH(S2678), YEAR(F2678)=YEAR(S2678))</f>
        <v/>
      </c>
      <c r="Q2678" s="521">
        <f>U2678="L001-901905215"</f>
        <v/>
      </c>
      <c r="R2678" s="556">
        <f>G2678-W2678</f>
        <v/>
      </c>
      <c r="S2678" s="521" t="n"/>
      <c r="T2678" s="522" t="n"/>
      <c r="U2678" s="522" t="n"/>
      <c r="V2678" s="522" t="n"/>
      <c r="W2678" s="521" t="n"/>
    </row>
    <row r="2679">
      <c r="A2679" s="521" t="n">
        <v>2671</v>
      </c>
      <c r="B2679" s="522" t="inlineStr">
        <is>
          <t>THC and DOC fee</t>
        </is>
      </c>
      <c r="C2679" s="522" t="inlineStr">
        <is>
          <t>ស្ត្រេតស៍ អ៊ិនធើណេសិនណល ភីធីអ៊ី អិលធីឌី</t>
        </is>
      </c>
      <c r="D2679" s="522" t="inlineStr">
        <is>
          <t>L001-100045162</t>
        </is>
      </c>
      <c r="E2679" s="521" t="inlineStr">
        <is>
          <t>2112615</t>
        </is>
      </c>
      <c r="F2679" s="523" t="n">
        <v>44392</v>
      </c>
      <c r="G2679" s="556" t="n">
        <v>111980</v>
      </c>
      <c r="I2679" s="521">
        <f>G2679</f>
        <v/>
      </c>
      <c r="K2679" s="521">
        <f>I2679-G2679</f>
        <v/>
      </c>
      <c r="M2679" s="522" t="inlineStr">
        <is>
          <t>2112615</t>
        </is>
      </c>
      <c r="N2679" s="522" t="inlineStr">
        <is>
          <t>2112615</t>
        </is>
      </c>
      <c r="O2679" s="521">
        <f>M2679=N2679</f>
        <v/>
      </c>
      <c r="P2679" s="521">
        <f>AND(MONTH(F2679)=MONTH(S2679), YEAR(F2679)=YEAR(S2679))</f>
        <v/>
      </c>
      <c r="Q2679" s="521">
        <f>U2679="L001-901905215"</f>
        <v/>
      </c>
      <c r="R2679" s="556">
        <f>G2679-W2679</f>
        <v/>
      </c>
      <c r="S2679" s="523" t="n">
        <v>44392</v>
      </c>
      <c r="T2679" s="522" t="inlineStr">
        <is>
          <t>2112615</t>
        </is>
      </c>
      <c r="U2679" s="522" t="inlineStr">
        <is>
          <t>L001-901905215</t>
        </is>
      </c>
      <c r="V2679" s="522" t="inlineStr">
        <is>
          <t>វីអ៊ីស៊ិន (ខេមបូឌា) អ៊ិនដាសស្ទ្រី ឯ.ក</t>
        </is>
      </c>
      <c r="W2679" s="556" t="n">
        <v>111980</v>
      </c>
    </row>
    <row r="2680">
      <c r="A2680" s="521" t="n">
        <v>2672</v>
      </c>
      <c r="B2680" s="522" t="inlineStr">
        <is>
          <t>Lift-On&amp; Lift-Off</t>
        </is>
      </c>
      <c r="C2680" s="522" t="inlineStr">
        <is>
          <t>កំពង់ផែស្វយ័តក្រុងព្រះសីហនុ</t>
        </is>
      </c>
      <c r="D2680" s="522" t="inlineStr">
        <is>
          <t>L001-100044638</t>
        </is>
      </c>
      <c r="E2680" s="521" t="inlineStr">
        <is>
          <t>119246</t>
        </is>
      </c>
      <c r="F2680" s="523" t="n">
        <v>44398</v>
      </c>
      <c r="G2680" s="556" t="n">
        <v>35426</v>
      </c>
      <c r="I2680" s="521">
        <f>G2680</f>
        <v/>
      </c>
      <c r="K2680" s="521">
        <f>I2680-G2680</f>
        <v/>
      </c>
      <c r="M2680" s="522" t="inlineStr">
        <is>
          <t>119246</t>
        </is>
      </c>
      <c r="N2680" s="522" t="inlineStr"/>
      <c r="O2680" s="521">
        <f>M2680=N2680</f>
        <v/>
      </c>
      <c r="P2680" s="521">
        <f>AND(MONTH(F2680)=MONTH(S2680), YEAR(F2680)=YEAR(S2680))</f>
        <v/>
      </c>
      <c r="Q2680" s="521">
        <f>U2680="L001-901905215"</f>
        <v/>
      </c>
      <c r="R2680" s="556">
        <f>G2680-W2680</f>
        <v/>
      </c>
      <c r="S2680" s="521" t="n"/>
      <c r="T2680" s="522" t="n"/>
      <c r="U2680" s="522" t="n"/>
      <c r="V2680" s="522" t="n"/>
      <c r="W2680" s="521" t="n"/>
    </row>
    <row r="2681">
      <c r="A2681" s="521" t="n">
        <v>2673</v>
      </c>
      <c r="B2681" s="522" t="inlineStr">
        <is>
          <t>Lift-On&amp; Lift-Off</t>
        </is>
      </c>
      <c r="C2681" s="522" t="inlineStr">
        <is>
          <t>កំពង់ផែស្វយ័តក្រុងព្រះសីហនុ</t>
        </is>
      </c>
      <c r="D2681" s="522" t="inlineStr">
        <is>
          <t>L001-100044638</t>
        </is>
      </c>
      <c r="E2681" s="521" t="inlineStr">
        <is>
          <t>111258</t>
        </is>
      </c>
      <c r="F2681" s="523" t="n">
        <v>44385</v>
      </c>
      <c r="G2681" s="556" t="n">
        <v>27696</v>
      </c>
      <c r="I2681" s="521">
        <f>G2681</f>
        <v/>
      </c>
      <c r="K2681" s="521">
        <f>I2681-G2681</f>
        <v/>
      </c>
      <c r="M2681" s="522" t="inlineStr">
        <is>
          <t>111258</t>
        </is>
      </c>
      <c r="N2681" s="522" t="inlineStr"/>
      <c r="O2681" s="521">
        <f>M2681=N2681</f>
        <v/>
      </c>
      <c r="P2681" s="521">
        <f>AND(MONTH(F2681)=MONTH(S2681), YEAR(F2681)=YEAR(S2681))</f>
        <v/>
      </c>
      <c r="Q2681" s="521">
        <f>U2681="L001-901905215"</f>
        <v/>
      </c>
      <c r="R2681" s="556">
        <f>G2681-W2681</f>
        <v/>
      </c>
      <c r="S2681" s="521" t="n"/>
      <c r="T2681" s="522" t="n"/>
      <c r="U2681" s="522" t="n"/>
      <c r="V2681" s="522" t="n"/>
      <c r="W2681" s="521" t="n"/>
    </row>
    <row r="2682">
      <c r="A2682" s="521" t="n">
        <v>2674</v>
      </c>
      <c r="B2682" s="522" t="inlineStr">
        <is>
          <t>Lift Off Charges</t>
        </is>
      </c>
      <c r="C2682" s="522" t="inlineStr">
        <is>
          <t>កំពង់ផែស្វយ័តភ្នំពេញ "ក.ស.ភ"</t>
        </is>
      </c>
      <c r="D2682" s="522" t="inlineStr">
        <is>
          <t>L001-100044999</t>
        </is>
      </c>
      <c r="E2682" s="521" t="inlineStr">
        <is>
          <t>INV20210739639</t>
        </is>
      </c>
      <c r="F2682" s="523" t="n">
        <v>44398</v>
      </c>
      <c r="G2682" s="556" t="n">
        <v>4886</v>
      </c>
      <c r="I2682" s="521">
        <f>G2682</f>
        <v/>
      </c>
      <c r="K2682" s="521">
        <f>I2682-G2682</f>
        <v/>
      </c>
      <c r="M2682" s="522" t="inlineStr">
        <is>
          <t>INV20210739639</t>
        </is>
      </c>
      <c r="N2682" s="522" t="inlineStr"/>
      <c r="O2682" s="521">
        <f>M2682=N2682</f>
        <v/>
      </c>
      <c r="P2682" s="521">
        <f>AND(MONTH(F2682)=MONTH(S2682), YEAR(F2682)=YEAR(S2682))</f>
        <v/>
      </c>
      <c r="Q2682" s="521">
        <f>U2682="L001-901905215"</f>
        <v/>
      </c>
      <c r="R2682" s="556">
        <f>G2682-W2682</f>
        <v/>
      </c>
      <c r="S2682" s="521" t="n"/>
      <c r="T2682" s="522" t="n"/>
      <c r="U2682" s="522" t="n"/>
      <c r="V2682" s="522" t="n"/>
      <c r="W2682" s="521" t="n"/>
    </row>
    <row r="2683">
      <c r="A2683" s="521" t="n">
        <v>2675</v>
      </c>
      <c r="B2683" s="522" t="inlineStr">
        <is>
          <t>Lift Off Charges</t>
        </is>
      </c>
      <c r="C2683" s="522" t="inlineStr">
        <is>
          <t>កំពង់ផែស្វយ័តភ្នំពេញ "ក.ស.ភ"</t>
        </is>
      </c>
      <c r="D2683" s="522" t="inlineStr">
        <is>
          <t>L001-100044999</t>
        </is>
      </c>
      <c r="E2683" s="521" t="inlineStr">
        <is>
          <t>INV20210736831</t>
        </is>
      </c>
      <c r="F2683" s="523" t="n">
        <v>44387</v>
      </c>
      <c r="G2683" s="556" t="n">
        <v>29311</v>
      </c>
      <c r="I2683" s="521">
        <f>G2683</f>
        <v/>
      </c>
      <c r="K2683" s="521">
        <f>I2683-G2683</f>
        <v/>
      </c>
      <c r="M2683" s="522" t="inlineStr">
        <is>
          <t>INV20210736831</t>
        </is>
      </c>
      <c r="N2683" s="522" t="inlineStr"/>
      <c r="O2683" s="521">
        <f>M2683=N2683</f>
        <v/>
      </c>
      <c r="P2683" s="521">
        <f>AND(MONTH(F2683)=MONTH(S2683), YEAR(F2683)=YEAR(S2683))</f>
        <v/>
      </c>
      <c r="Q2683" s="521">
        <f>U2683="L001-901905215"</f>
        <v/>
      </c>
      <c r="R2683" s="556">
        <f>G2683-W2683</f>
        <v/>
      </c>
      <c r="S2683" s="521" t="n"/>
      <c r="T2683" s="522" t="n"/>
      <c r="U2683" s="522" t="n"/>
      <c r="V2683" s="522" t="n"/>
      <c r="W2683" s="521" t="n"/>
    </row>
    <row r="2684">
      <c r="A2684" s="521" t="n">
        <v>2676</v>
      </c>
      <c r="B2684" s="522" t="inlineStr">
        <is>
          <t>Lift Off Charges</t>
        </is>
      </c>
      <c r="C2684" s="522" t="inlineStr">
        <is>
          <t>កំពង់ផែស្វយ័តភ្នំពេញ "ក.ស.ភ"</t>
        </is>
      </c>
      <c r="D2684" s="522" t="inlineStr">
        <is>
          <t>L001-100044999</t>
        </is>
      </c>
      <c r="E2684" s="521" t="inlineStr">
        <is>
          <t>INV20210735109</t>
        </is>
      </c>
      <c r="F2684" s="523" t="n">
        <v>44380</v>
      </c>
      <c r="G2684" s="556" t="n">
        <v>58651</v>
      </c>
      <c r="I2684" s="521">
        <f>G2684</f>
        <v/>
      </c>
      <c r="K2684" s="521">
        <f>I2684-G2684</f>
        <v/>
      </c>
      <c r="M2684" s="522" t="inlineStr">
        <is>
          <t>INV20210735109</t>
        </is>
      </c>
      <c r="N2684" s="522" t="inlineStr"/>
      <c r="O2684" s="521">
        <f>M2684=N2684</f>
        <v/>
      </c>
      <c r="P2684" s="521">
        <f>AND(MONTH(F2684)=MONTH(S2684), YEAR(F2684)=YEAR(S2684))</f>
        <v/>
      </c>
      <c r="Q2684" s="521">
        <f>U2684="L001-901905215"</f>
        <v/>
      </c>
      <c r="R2684" s="556">
        <f>G2684-W2684</f>
        <v/>
      </c>
      <c r="S2684" s="521" t="n"/>
      <c r="T2684" s="522" t="n"/>
      <c r="U2684" s="522" t="n"/>
      <c r="V2684" s="522" t="n"/>
      <c r="W2684" s="521" t="n"/>
    </row>
    <row r="2685">
      <c r="A2685" s="521" t="n">
        <v>2677</v>
      </c>
      <c r="B2685" s="522" t="inlineStr">
        <is>
          <t>Lift-On&amp; Lift-Off</t>
        </is>
      </c>
      <c r="C2685" s="522" t="inlineStr">
        <is>
          <t>កំពង់ផែស្វយ័តក្រុងព្រះសីហនុ</t>
        </is>
      </c>
      <c r="D2685" s="522" t="inlineStr">
        <is>
          <t>L001-100044638</t>
        </is>
      </c>
      <c r="E2685" s="521" t="inlineStr">
        <is>
          <t>107994</t>
        </is>
      </c>
      <c r="F2685" s="523" t="n">
        <v>44380</v>
      </c>
      <c r="G2685" s="556" t="n">
        <v>6109</v>
      </c>
      <c r="I2685" s="521">
        <f>G2685</f>
        <v/>
      </c>
      <c r="K2685" s="521">
        <f>I2685-G2685</f>
        <v/>
      </c>
      <c r="M2685" s="522" t="inlineStr">
        <is>
          <t>107994</t>
        </is>
      </c>
      <c r="N2685" s="522" t="inlineStr"/>
      <c r="O2685" s="521">
        <f>M2685=N2685</f>
        <v/>
      </c>
      <c r="P2685" s="521">
        <f>AND(MONTH(F2685)=MONTH(S2685), YEAR(F2685)=YEAR(S2685))</f>
        <v/>
      </c>
      <c r="Q2685" s="521">
        <f>U2685="L001-901905215"</f>
        <v/>
      </c>
      <c r="R2685" s="556">
        <f>G2685-W2685</f>
        <v/>
      </c>
      <c r="S2685" s="521" t="n"/>
      <c r="T2685" s="522" t="n"/>
      <c r="U2685" s="522" t="n"/>
      <c r="V2685" s="522" t="n"/>
      <c r="W2685" s="521" t="n"/>
    </row>
    <row r="2686">
      <c r="A2686" s="521" t="n">
        <v>2678</v>
      </c>
      <c r="B2686" s="522" t="inlineStr">
        <is>
          <t>Lift Off Charges</t>
        </is>
      </c>
      <c r="C2686" s="522" t="inlineStr">
        <is>
          <t>កំពង់ផែស្វយ័តភ្នំពេញ "ក.ស.ភ"</t>
        </is>
      </c>
      <c r="D2686" s="522" t="inlineStr">
        <is>
          <t>L001-100044999</t>
        </is>
      </c>
      <c r="E2686" s="521" t="inlineStr">
        <is>
          <t>INV20210739641</t>
        </is>
      </c>
      <c r="F2686" s="523" t="n">
        <v>44398</v>
      </c>
      <c r="G2686" s="556" t="n">
        <v>4886</v>
      </c>
      <c r="I2686" s="521">
        <f>G2686</f>
        <v/>
      </c>
      <c r="K2686" s="521">
        <f>I2686-G2686</f>
        <v/>
      </c>
      <c r="M2686" s="522" t="inlineStr">
        <is>
          <t>INV20210739641</t>
        </is>
      </c>
      <c r="N2686" s="522" t="inlineStr"/>
      <c r="O2686" s="521">
        <f>M2686=N2686</f>
        <v/>
      </c>
      <c r="P2686" s="521">
        <f>AND(MONTH(F2686)=MONTH(S2686), YEAR(F2686)=YEAR(S2686))</f>
        <v/>
      </c>
      <c r="Q2686" s="521">
        <f>U2686="L001-901905215"</f>
        <v/>
      </c>
      <c r="R2686" s="556">
        <f>G2686-W2686</f>
        <v/>
      </c>
      <c r="S2686" s="521" t="n"/>
      <c r="T2686" s="522" t="n"/>
      <c r="U2686" s="522" t="n"/>
      <c r="V2686" s="522" t="n"/>
      <c r="W2686" s="521" t="n"/>
    </row>
    <row r="2687">
      <c r="A2687" s="521" t="n">
        <v>2679</v>
      </c>
      <c r="B2687" s="522" t="inlineStr">
        <is>
          <t>Lift Off Charges</t>
        </is>
      </c>
      <c r="C2687" s="522" t="inlineStr">
        <is>
          <t>កំពង់ផែស្វយ័តភ្នំពេញ "ក.ស.ភ"</t>
        </is>
      </c>
      <c r="D2687" s="522" t="inlineStr">
        <is>
          <t>L001-100044999</t>
        </is>
      </c>
      <c r="E2687" s="521" t="inlineStr">
        <is>
          <t>INV20210736832</t>
        </is>
      </c>
      <c r="F2687" s="523" t="n">
        <v>44387</v>
      </c>
      <c r="G2687" s="556" t="n">
        <v>29311</v>
      </c>
      <c r="I2687" s="521">
        <f>G2687</f>
        <v/>
      </c>
      <c r="K2687" s="521">
        <f>I2687-G2687</f>
        <v/>
      </c>
      <c r="M2687" s="522" t="inlineStr">
        <is>
          <t>INV20210736832</t>
        </is>
      </c>
      <c r="N2687" s="522" t="inlineStr"/>
      <c r="O2687" s="521">
        <f>M2687=N2687</f>
        <v/>
      </c>
      <c r="P2687" s="521">
        <f>AND(MONTH(F2687)=MONTH(S2687), YEAR(F2687)=YEAR(S2687))</f>
        <v/>
      </c>
      <c r="Q2687" s="521">
        <f>U2687="L001-901905215"</f>
        <v/>
      </c>
      <c r="R2687" s="556">
        <f>G2687-W2687</f>
        <v/>
      </c>
      <c r="S2687" s="521" t="n"/>
      <c r="T2687" s="522" t="n"/>
      <c r="U2687" s="522" t="n"/>
      <c r="V2687" s="522" t="n"/>
      <c r="W2687" s="521" t="n"/>
    </row>
    <row r="2688">
      <c r="A2688" s="521" t="n">
        <v>2680</v>
      </c>
      <c r="B2688" s="522" t="inlineStr">
        <is>
          <t>Lift Off Charges</t>
        </is>
      </c>
      <c r="C2688" s="522" t="inlineStr">
        <is>
          <t>កំពង់ផែស្វយ័តភ្នំពេញ "ក.ស.ភ"</t>
        </is>
      </c>
      <c r="D2688" s="522" t="inlineStr">
        <is>
          <t>L001-100044999</t>
        </is>
      </c>
      <c r="E2688" s="521" t="inlineStr">
        <is>
          <t>INV20210737432</t>
        </is>
      </c>
      <c r="F2688" s="523" t="n">
        <v>44389</v>
      </c>
      <c r="G2688" s="556" t="n">
        <v>29311</v>
      </c>
      <c r="I2688" s="521">
        <f>G2688</f>
        <v/>
      </c>
      <c r="K2688" s="521">
        <f>I2688-G2688</f>
        <v/>
      </c>
      <c r="M2688" s="522" t="inlineStr">
        <is>
          <t>INV20210737432</t>
        </is>
      </c>
      <c r="N2688" s="522" t="inlineStr"/>
      <c r="O2688" s="521">
        <f>M2688=N2688</f>
        <v/>
      </c>
      <c r="P2688" s="521">
        <f>AND(MONTH(F2688)=MONTH(S2688), YEAR(F2688)=YEAR(S2688))</f>
        <v/>
      </c>
      <c r="Q2688" s="521">
        <f>U2688="L001-901905215"</f>
        <v/>
      </c>
      <c r="R2688" s="556">
        <f>G2688-W2688</f>
        <v/>
      </c>
      <c r="S2688" s="521" t="n"/>
      <c r="T2688" s="522" t="n"/>
      <c r="U2688" s="522" t="n"/>
      <c r="V2688" s="522" t="n"/>
      <c r="W2688" s="521" t="n"/>
    </row>
    <row r="2689">
      <c r="A2689" s="521" t="n">
        <v>2681</v>
      </c>
      <c r="B2689" s="522" t="inlineStr">
        <is>
          <t>Lift Off Charges</t>
        </is>
      </c>
      <c r="C2689" s="522" t="inlineStr">
        <is>
          <t>កំពង់ផែស្វយ័តភ្នំពេញ "ក.ស.ភ"</t>
        </is>
      </c>
      <c r="D2689" s="522" t="inlineStr">
        <is>
          <t>L001-100044999</t>
        </is>
      </c>
      <c r="E2689" s="521" t="inlineStr">
        <is>
          <t>INV20210739644</t>
        </is>
      </c>
      <c r="F2689" s="523" t="n">
        <v>44398</v>
      </c>
      <c r="G2689" s="556" t="n">
        <v>2443</v>
      </c>
      <c r="I2689" s="521">
        <f>G2689</f>
        <v/>
      </c>
      <c r="K2689" s="521">
        <f>I2689-G2689</f>
        <v/>
      </c>
      <c r="M2689" s="522" t="inlineStr">
        <is>
          <t>INV20210739644</t>
        </is>
      </c>
      <c r="N2689" s="522" t="inlineStr"/>
      <c r="O2689" s="521">
        <f>M2689=N2689</f>
        <v/>
      </c>
      <c r="P2689" s="521">
        <f>AND(MONTH(F2689)=MONTH(S2689), YEAR(F2689)=YEAR(S2689))</f>
        <v/>
      </c>
      <c r="Q2689" s="521">
        <f>U2689="L001-901905215"</f>
        <v/>
      </c>
      <c r="R2689" s="556">
        <f>G2689-W2689</f>
        <v/>
      </c>
      <c r="S2689" s="521" t="n"/>
      <c r="T2689" s="522" t="n"/>
      <c r="U2689" s="522" t="n"/>
      <c r="V2689" s="522" t="n"/>
      <c r="W2689" s="521" t="n"/>
    </row>
    <row r="2690">
      <c r="A2690" s="521" t="n">
        <v>2682</v>
      </c>
      <c r="B2690" s="522" t="inlineStr">
        <is>
          <t>Lift Off Charges</t>
        </is>
      </c>
      <c r="C2690" s="522" t="inlineStr">
        <is>
          <t>កំពង់ផែស្វយ័តភ្នំពេញ "ក.ស.ភ"</t>
        </is>
      </c>
      <c r="D2690" s="522" t="inlineStr">
        <is>
          <t>L001-100044999</t>
        </is>
      </c>
      <c r="E2690" s="521" t="inlineStr">
        <is>
          <t>INV20210737429</t>
        </is>
      </c>
      <c r="F2690" s="523" t="n">
        <v>44389</v>
      </c>
      <c r="G2690" s="556" t="n">
        <v>29311</v>
      </c>
      <c r="I2690" s="521">
        <f>G2690</f>
        <v/>
      </c>
      <c r="K2690" s="521">
        <f>I2690-G2690</f>
        <v/>
      </c>
      <c r="M2690" s="522" t="inlineStr">
        <is>
          <t>INV20210737429</t>
        </is>
      </c>
      <c r="N2690" s="522" t="inlineStr"/>
      <c r="O2690" s="521">
        <f>M2690=N2690</f>
        <v/>
      </c>
      <c r="P2690" s="521">
        <f>AND(MONTH(F2690)=MONTH(S2690), YEAR(F2690)=YEAR(S2690))</f>
        <v/>
      </c>
      <c r="Q2690" s="521">
        <f>U2690="L001-901905215"</f>
        <v/>
      </c>
      <c r="R2690" s="556">
        <f>G2690-W2690</f>
        <v/>
      </c>
      <c r="S2690" s="521" t="n"/>
      <c r="T2690" s="522" t="n"/>
      <c r="U2690" s="522" t="n"/>
      <c r="V2690" s="522" t="n"/>
      <c r="W2690" s="521" t="n"/>
    </row>
    <row r="2691">
      <c r="A2691" s="521" t="n">
        <v>2683</v>
      </c>
      <c r="B2691" s="522" t="inlineStr">
        <is>
          <t>Lift Off Charges</t>
        </is>
      </c>
      <c r="C2691" s="522" t="inlineStr">
        <is>
          <t>កំពង់ផែស្វយ័តភ្នំពេញ "ក.ស.ភ"</t>
        </is>
      </c>
      <c r="D2691" s="522" t="inlineStr">
        <is>
          <t>L001-100044999</t>
        </is>
      </c>
      <c r="E2691" s="521" t="inlineStr">
        <is>
          <t>INV20210737430</t>
        </is>
      </c>
      <c r="F2691" s="523" t="n">
        <v>44389</v>
      </c>
      <c r="G2691" s="556" t="n">
        <v>29311</v>
      </c>
      <c r="I2691" s="521">
        <f>G2691</f>
        <v/>
      </c>
      <c r="K2691" s="521">
        <f>I2691-G2691</f>
        <v/>
      </c>
      <c r="M2691" s="522" t="inlineStr">
        <is>
          <t>INV20210737430</t>
        </is>
      </c>
      <c r="N2691" s="522" t="inlineStr"/>
      <c r="O2691" s="521">
        <f>M2691=N2691</f>
        <v/>
      </c>
      <c r="P2691" s="521">
        <f>AND(MONTH(F2691)=MONTH(S2691), YEAR(F2691)=YEAR(S2691))</f>
        <v/>
      </c>
      <c r="Q2691" s="521">
        <f>U2691="L001-901905215"</f>
        <v/>
      </c>
      <c r="R2691" s="556">
        <f>G2691-W2691</f>
        <v/>
      </c>
      <c r="S2691" s="521" t="n"/>
      <c r="T2691" s="522" t="n"/>
      <c r="U2691" s="522" t="n"/>
      <c r="V2691" s="522" t="n"/>
      <c r="W2691" s="521" t="n"/>
    </row>
    <row r="2692">
      <c r="A2692" s="521" t="n">
        <v>2684</v>
      </c>
      <c r="B2692" s="522" t="inlineStr">
        <is>
          <t>Lift Off Charges</t>
        </is>
      </c>
      <c r="C2692" s="522" t="inlineStr">
        <is>
          <t>កំពង់ផែស្វយ័តភ្នំពេញ "ក.ស.ភ"</t>
        </is>
      </c>
      <c r="D2692" s="522" t="inlineStr">
        <is>
          <t>L001-100044999</t>
        </is>
      </c>
      <c r="E2692" s="521" t="inlineStr">
        <is>
          <t>INV20210738558</t>
        </is>
      </c>
      <c r="F2692" s="523" t="n">
        <v>44394</v>
      </c>
      <c r="G2692" s="556" t="n">
        <v>19546</v>
      </c>
      <c r="I2692" s="521">
        <f>G2692</f>
        <v/>
      </c>
      <c r="K2692" s="521">
        <f>I2692-G2692</f>
        <v/>
      </c>
      <c r="M2692" s="522" t="inlineStr">
        <is>
          <t>INV20210738558</t>
        </is>
      </c>
      <c r="N2692" s="522" t="inlineStr"/>
      <c r="O2692" s="521">
        <f>M2692=N2692</f>
        <v/>
      </c>
      <c r="P2692" s="521">
        <f>AND(MONTH(F2692)=MONTH(S2692), YEAR(F2692)=YEAR(S2692))</f>
        <v/>
      </c>
      <c r="Q2692" s="521">
        <f>U2692="L001-901905215"</f>
        <v/>
      </c>
      <c r="R2692" s="556">
        <f>G2692-W2692</f>
        <v/>
      </c>
      <c r="S2692" s="521" t="n"/>
      <c r="T2692" s="522" t="n"/>
      <c r="U2692" s="522" t="n"/>
      <c r="V2692" s="522" t="n"/>
      <c r="W2692" s="521" t="n"/>
    </row>
    <row r="2693">
      <c r="A2693" s="521" t="n">
        <v>2685</v>
      </c>
      <c r="B2693" s="522" t="inlineStr">
        <is>
          <t>Lift Off Charges</t>
        </is>
      </c>
      <c r="C2693" s="522" t="inlineStr">
        <is>
          <t>កំពង់ផែស្វយ័តភ្នំពេញ "ក.ស.ភ"</t>
        </is>
      </c>
      <c r="D2693" s="522" t="inlineStr">
        <is>
          <t>L001-100044999</t>
        </is>
      </c>
      <c r="E2693" s="521" t="inlineStr">
        <is>
          <t>INV20210740325</t>
        </is>
      </c>
      <c r="F2693" s="523" t="n">
        <v>44401</v>
      </c>
      <c r="G2693" s="556" t="n">
        <v>58622</v>
      </c>
      <c r="I2693" s="521">
        <f>G2693</f>
        <v/>
      </c>
      <c r="K2693" s="521">
        <f>I2693-G2693</f>
        <v/>
      </c>
      <c r="M2693" s="522" t="inlineStr">
        <is>
          <t>INV20210740325</t>
        </is>
      </c>
      <c r="N2693" s="522" t="inlineStr"/>
      <c r="O2693" s="521">
        <f>M2693=N2693</f>
        <v/>
      </c>
      <c r="P2693" s="521">
        <f>AND(MONTH(F2693)=MONTH(S2693), YEAR(F2693)=YEAR(S2693))</f>
        <v/>
      </c>
      <c r="Q2693" s="521">
        <f>U2693="L001-901905215"</f>
        <v/>
      </c>
      <c r="R2693" s="556">
        <f>G2693-W2693</f>
        <v/>
      </c>
      <c r="S2693" s="521" t="n"/>
      <c r="T2693" s="522" t="n"/>
      <c r="U2693" s="522" t="n"/>
      <c r="V2693" s="522" t="n"/>
      <c r="W2693" s="521" t="n"/>
    </row>
    <row r="2694">
      <c r="A2694" s="521" t="n">
        <v>2686</v>
      </c>
      <c r="B2694" s="522" t="inlineStr">
        <is>
          <t>Lift-On&amp; Lift-Off</t>
        </is>
      </c>
      <c r="C2694" s="522" t="inlineStr">
        <is>
          <t>កំពង់ផែស្វយ័តក្រុងព្រះសីហនុ</t>
        </is>
      </c>
      <c r="D2694" s="522" t="inlineStr">
        <is>
          <t>L001-100044638</t>
        </is>
      </c>
      <c r="E2694" s="521" t="inlineStr">
        <is>
          <t>121949</t>
        </is>
      </c>
      <c r="F2694" s="523" t="n">
        <v>44403</v>
      </c>
      <c r="G2694" s="556" t="n">
        <v>20762</v>
      </c>
      <c r="I2694" s="521">
        <f>G2694</f>
        <v/>
      </c>
      <c r="K2694" s="521">
        <f>I2694-G2694</f>
        <v/>
      </c>
      <c r="M2694" s="522" t="inlineStr">
        <is>
          <t>121949</t>
        </is>
      </c>
      <c r="N2694" s="522" t="inlineStr"/>
      <c r="O2694" s="521">
        <f>M2694=N2694</f>
        <v/>
      </c>
      <c r="P2694" s="521">
        <f>AND(MONTH(F2694)=MONTH(S2694), YEAR(F2694)=YEAR(S2694))</f>
        <v/>
      </c>
      <c r="Q2694" s="521">
        <f>U2694="L001-901905215"</f>
        <v/>
      </c>
      <c r="R2694" s="556">
        <f>G2694-W2694</f>
        <v/>
      </c>
      <c r="S2694" s="521" t="n"/>
      <c r="T2694" s="522" t="n"/>
      <c r="U2694" s="522" t="n"/>
      <c r="V2694" s="522" t="n"/>
      <c r="W2694" s="521" t="n"/>
    </row>
    <row r="2695">
      <c r="A2695" s="521" t="n">
        <v>2687</v>
      </c>
      <c r="B2695" s="522" t="inlineStr">
        <is>
          <t>Rental Machine</t>
        </is>
      </c>
      <c r="C2695" s="522" t="inlineStr">
        <is>
          <t xml:space="preserve">អិនធីអិល តិចណូឡូជី </t>
        </is>
      </c>
      <c r="D2695" s="522" t="inlineStr">
        <is>
          <t>K005-901900283</t>
        </is>
      </c>
      <c r="E2695" s="521" t="inlineStr">
        <is>
          <t>22-002081</t>
        </is>
      </c>
      <c r="F2695" s="523" t="n">
        <v>44758</v>
      </c>
      <c r="G2695" s="556" t="n">
        <v>20480</v>
      </c>
      <c r="I2695" s="521">
        <f>G2695</f>
        <v/>
      </c>
      <c r="K2695" s="521">
        <f>I2695-G2695</f>
        <v/>
      </c>
      <c r="M2695" s="522" t="inlineStr">
        <is>
          <t>22002081</t>
        </is>
      </c>
      <c r="N2695" s="522" t="inlineStr"/>
      <c r="O2695" s="521">
        <f>M2695=N2695</f>
        <v/>
      </c>
      <c r="P2695" s="521">
        <f>AND(MONTH(F2695)=MONTH(S2695), YEAR(F2695)=YEAR(S2695))</f>
        <v/>
      </c>
      <c r="Q2695" s="521">
        <f>U2695="L001-901905215"</f>
        <v/>
      </c>
      <c r="R2695" s="556">
        <f>G2695-W2695</f>
        <v/>
      </c>
      <c r="S2695" s="521" t="n"/>
      <c r="T2695" s="522" t="n"/>
      <c r="U2695" s="522" t="n"/>
      <c r="V2695" s="522" t="n"/>
      <c r="W2695" s="521" t="n"/>
    </row>
    <row r="2696">
      <c r="A2696" s="521" t="n">
        <v>2688</v>
      </c>
      <c r="B2696" s="522" t="inlineStr">
        <is>
          <t>Monthly Tax declaration for Jul 2022 service</t>
        </is>
      </c>
      <c r="C2696" s="522" t="inlineStr">
        <is>
          <t>យីងកឺ ខេម ថេក អ៊ែតវ៉ាយហ្សឺរី ឯ.ក</t>
        </is>
      </c>
      <c r="D2696" s="522" t="inlineStr">
        <is>
          <t>K003-902005313</t>
        </is>
      </c>
      <c r="E2696" s="521" t="inlineStr">
        <is>
          <t>YKT22-146</t>
        </is>
      </c>
      <c r="F2696" s="523" t="n">
        <v>44743</v>
      </c>
      <c r="G2696" s="556" t="n">
        <v>574140</v>
      </c>
      <c r="I2696" s="521">
        <f>G2696</f>
        <v/>
      </c>
      <c r="K2696" s="521">
        <f>I2696-G2696</f>
        <v/>
      </c>
      <c r="M2696" s="522" t="inlineStr">
        <is>
          <t>YKT22146</t>
        </is>
      </c>
      <c r="N2696" s="522" t="inlineStr">
        <is>
          <t>YKT22146</t>
        </is>
      </c>
      <c r="O2696" s="521">
        <f>M2696=N2696</f>
        <v/>
      </c>
      <c r="P2696" s="521">
        <f>AND(MONTH(F2696)=MONTH(S2696), YEAR(F2696)=YEAR(S2696))</f>
        <v/>
      </c>
      <c r="Q2696" s="521">
        <f>U2696="L001-901905215"</f>
        <v/>
      </c>
      <c r="R2696" s="556">
        <f>G2696-W2696</f>
        <v/>
      </c>
      <c r="S2696" s="523" t="n">
        <v>44743</v>
      </c>
      <c r="T2696" s="522" t="inlineStr">
        <is>
          <t>YKT22-146</t>
        </is>
      </c>
      <c r="U2696" s="522" t="inlineStr">
        <is>
          <t>L001-901905215</t>
        </is>
      </c>
      <c r="V2696" s="522" t="inlineStr">
        <is>
          <t>វីអ៊ីស៊ិន (ខេមបូឌា) អ៊ិនដាសស្ទ្រី ឯ.ក</t>
        </is>
      </c>
      <c r="W2696" s="556" t="n">
        <v>574140</v>
      </c>
    </row>
    <row r="2697">
      <c r="A2697" s="521" t="n">
        <v>2689</v>
      </c>
      <c r="B2697" s="522" t="inlineStr">
        <is>
          <t>Express fee</t>
        </is>
      </c>
      <c r="C2697" s="522" t="inlineStr">
        <is>
          <t>ឌី អេច អិល អិចប្រេស (ខេមបូឌា)</t>
        </is>
      </c>
      <c r="D2697" s="522" t="inlineStr">
        <is>
          <t>L001-100045197</t>
        </is>
      </c>
      <c r="E2697" s="521" t="inlineStr">
        <is>
          <t>PNHR000427910</t>
        </is>
      </c>
      <c r="F2697" s="523" t="n">
        <v>44749</v>
      </c>
      <c r="G2697" s="556" t="n">
        <v>3723</v>
      </c>
      <c r="I2697" s="521">
        <f>G2697</f>
        <v/>
      </c>
      <c r="K2697" s="521">
        <f>I2697-G2697</f>
        <v/>
      </c>
      <c r="M2697" s="522" t="inlineStr">
        <is>
          <t>PNHR000427910</t>
        </is>
      </c>
      <c r="N2697" s="522" t="inlineStr">
        <is>
          <t>PNHR000427910</t>
        </is>
      </c>
      <c r="O2697" s="521">
        <f>M2697=N2697</f>
        <v/>
      </c>
      <c r="P2697" s="521">
        <f>AND(MONTH(F2697)=MONTH(S2697), YEAR(F2697)=YEAR(S2697))</f>
        <v/>
      </c>
      <c r="Q2697" s="521">
        <f>U2697="L001-901905215"</f>
        <v/>
      </c>
      <c r="R2697" s="556">
        <f>G2697-W2697</f>
        <v/>
      </c>
      <c r="S2697" s="523" t="n">
        <v>44749</v>
      </c>
      <c r="T2697" s="522" t="inlineStr">
        <is>
          <t>PNHR000427910</t>
        </is>
      </c>
      <c r="U2697" s="522" t="inlineStr">
        <is>
          <t>L001-901905215</t>
        </is>
      </c>
      <c r="V2697" s="522" t="inlineStr">
        <is>
          <t>វីអ៊ីស៊ិន (ខេមបូឌា) អ៊ិនដាសស្ទ្រី ឯ.ក</t>
        </is>
      </c>
      <c r="W2697" s="556" t="n">
        <v>3724</v>
      </c>
    </row>
    <row r="2698">
      <c r="A2698" s="521" t="n">
        <v>2690</v>
      </c>
      <c r="B2698" s="522" t="inlineStr">
        <is>
          <t>Express fee</t>
        </is>
      </c>
      <c r="C2698" s="522" t="inlineStr">
        <is>
          <t>ឌី អេច អិល អិចប្រេស (ខេមបូឌា)</t>
        </is>
      </c>
      <c r="D2698" s="522" t="inlineStr">
        <is>
          <t>L001-100045197</t>
        </is>
      </c>
      <c r="E2698" s="521" t="inlineStr">
        <is>
          <t>PNHR000427092</t>
        </is>
      </c>
      <c r="F2698" s="523" t="n">
        <v>44743</v>
      </c>
      <c r="G2698" s="556" t="n">
        <v>32649</v>
      </c>
      <c r="I2698" s="521">
        <f>G2698</f>
        <v/>
      </c>
      <c r="K2698" s="521">
        <f>I2698-G2698</f>
        <v/>
      </c>
      <c r="M2698" s="522" t="inlineStr">
        <is>
          <t>PNHR000427092</t>
        </is>
      </c>
      <c r="N2698" s="522" t="inlineStr"/>
      <c r="O2698" s="521">
        <f>M2698=N2698</f>
        <v/>
      </c>
      <c r="P2698" s="521">
        <f>AND(MONTH(F2698)=MONTH(S2698), YEAR(F2698)=YEAR(S2698))</f>
        <v/>
      </c>
      <c r="Q2698" s="521">
        <f>U2698="L001-901905215"</f>
        <v/>
      </c>
      <c r="R2698" s="556">
        <f>G2698-W2698</f>
        <v/>
      </c>
      <c r="S2698" s="521" t="n"/>
      <c r="T2698" s="522" t="n"/>
      <c r="U2698" s="522" t="n"/>
      <c r="V2698" s="522" t="n"/>
      <c r="W2698" s="521" t="n"/>
    </row>
    <row r="2699">
      <c r="A2699" s="521" t="n">
        <v>2691</v>
      </c>
      <c r="B2699" s="522" t="inlineStr">
        <is>
          <t>Express fee</t>
        </is>
      </c>
      <c r="C2699" s="522" t="inlineStr">
        <is>
          <t>ឌី អេច អិល អិចប្រេស (ខេមបូឌា)</t>
        </is>
      </c>
      <c r="D2699" s="522" t="inlineStr">
        <is>
          <t>L001-100045197</t>
        </is>
      </c>
      <c r="E2699" s="521" t="inlineStr">
        <is>
          <t>PNHR000425483</t>
        </is>
      </c>
      <c r="F2699" s="523" t="n">
        <v>44743</v>
      </c>
      <c r="G2699" s="556" t="n">
        <v>12227</v>
      </c>
      <c r="I2699" s="521">
        <f>G2699</f>
        <v/>
      </c>
      <c r="K2699" s="521">
        <f>I2699-G2699</f>
        <v/>
      </c>
      <c r="M2699" s="522" t="inlineStr">
        <is>
          <t>PNHR000425483</t>
        </is>
      </c>
      <c r="N2699" s="522" t="inlineStr"/>
      <c r="O2699" s="521">
        <f>M2699=N2699</f>
        <v/>
      </c>
      <c r="P2699" s="521">
        <f>AND(MONTH(F2699)=MONTH(S2699), YEAR(F2699)=YEAR(S2699))</f>
        <v/>
      </c>
      <c r="Q2699" s="521">
        <f>U2699="L001-901905215"</f>
        <v/>
      </c>
      <c r="R2699" s="556">
        <f>G2699-W2699</f>
        <v/>
      </c>
      <c r="S2699" s="521" t="n"/>
      <c r="T2699" s="522" t="n"/>
      <c r="U2699" s="522" t="n"/>
      <c r="V2699" s="522" t="n"/>
      <c r="W2699" s="521" t="n"/>
    </row>
    <row r="2700">
      <c r="A2700" s="521" t="n">
        <v>2692</v>
      </c>
      <c r="B2700" s="522" t="inlineStr">
        <is>
          <t>Security Guard for Jul 2022</t>
        </is>
      </c>
      <c r="C2700" s="522" t="inlineStr">
        <is>
          <t>ជីអេសអេស គ្លូប៊ល ស៊ីឃ្យួរឹធី សឹលូសិន</t>
        </is>
      </c>
      <c r="D2700" s="522" t="inlineStr">
        <is>
          <t>L001-105008486</t>
        </is>
      </c>
      <c r="E2700" s="521" t="inlineStr">
        <is>
          <t>20221218</t>
        </is>
      </c>
      <c r="F2700" s="523" t="n">
        <v>44762</v>
      </c>
      <c r="G2700" s="556" t="n">
        <v>229824</v>
      </c>
      <c r="I2700" s="521">
        <f>G2700</f>
        <v/>
      </c>
      <c r="K2700" s="521">
        <f>I2700-G2700</f>
        <v/>
      </c>
      <c r="M2700" s="522" t="inlineStr">
        <is>
          <t>20221218</t>
        </is>
      </c>
      <c r="N2700" s="522" t="inlineStr">
        <is>
          <t>20221218</t>
        </is>
      </c>
      <c r="O2700" s="521">
        <f>M2700=N2700</f>
        <v/>
      </c>
      <c r="P2700" s="521">
        <f>AND(MONTH(F2700)=MONTH(S2700), YEAR(F2700)=YEAR(S2700))</f>
        <v/>
      </c>
      <c r="Q2700" s="521">
        <f>U2700="L001-901905215"</f>
        <v/>
      </c>
      <c r="R2700" s="556">
        <f>G2700-W2700</f>
        <v/>
      </c>
      <c r="S2700" s="523" t="n">
        <v>44762</v>
      </c>
      <c r="T2700" s="522" t="inlineStr">
        <is>
          <t>20221218</t>
        </is>
      </c>
      <c r="U2700" s="522" t="inlineStr">
        <is>
          <t>L001-901905215</t>
        </is>
      </c>
      <c r="V2700" s="522" t="inlineStr">
        <is>
          <t>វីអ៊ីស៊ិន (ខេមបូឌា) អ៊ិនដាសស្ទ្រី ឯ.ក</t>
        </is>
      </c>
      <c r="W2700" s="556" t="n">
        <v>229824</v>
      </c>
    </row>
    <row r="2701">
      <c r="A2701" s="521" t="n">
        <v>2693</v>
      </c>
      <c r="B2701" s="522" t="inlineStr">
        <is>
          <t>Infrastructure Maintenance fee for Jul 2022</t>
        </is>
      </c>
      <c r="C2701" s="522" t="inlineStr">
        <is>
          <t>ភ្នំពេញ អេសអ៊ីហ្សិត ភីអិលស៊ី</t>
        </is>
      </c>
      <c r="D2701" s="522" t="inlineStr">
        <is>
          <t>L001-100046592</t>
        </is>
      </c>
      <c r="E2701" s="521" t="inlineStr">
        <is>
          <t>2022-03452</t>
        </is>
      </c>
      <c r="F2701" s="523" t="n">
        <v>44760</v>
      </c>
      <c r="G2701" s="556" t="n">
        <v>202263</v>
      </c>
      <c r="I2701" s="521">
        <f>G2701</f>
        <v/>
      </c>
      <c r="K2701" s="521">
        <f>I2701-G2701</f>
        <v/>
      </c>
      <c r="M2701" s="522" t="inlineStr">
        <is>
          <t>202203452</t>
        </is>
      </c>
      <c r="N2701" s="522" t="inlineStr">
        <is>
          <t>202203452</t>
        </is>
      </c>
      <c r="O2701" s="521">
        <f>M2701=N2701</f>
        <v/>
      </c>
      <c r="P2701" s="521">
        <f>AND(MONTH(F2701)=MONTH(S2701), YEAR(F2701)=YEAR(S2701))</f>
        <v/>
      </c>
      <c r="Q2701" s="521">
        <f>U2701="L001-901905215"</f>
        <v/>
      </c>
      <c r="R2701" s="556">
        <f>G2701-W2701</f>
        <v/>
      </c>
      <c r="S2701" s="523" t="n">
        <v>44760</v>
      </c>
      <c r="T2701" s="522" t="inlineStr">
        <is>
          <t>2022-03452</t>
        </is>
      </c>
      <c r="U2701" s="522" t="inlineStr">
        <is>
          <t>L001-901905215</t>
        </is>
      </c>
      <c r="V2701" s="522" t="inlineStr">
        <is>
          <t>វីអ៊ីស៊ិន (ខេមបូឌា) អ៊ិនដាសស្ទ្រី ឯ.ក</t>
        </is>
      </c>
      <c r="W2701" s="556" t="n">
        <v>202263</v>
      </c>
    </row>
    <row r="2702">
      <c r="A2702" s="521" t="n">
        <v>2694</v>
      </c>
      <c r="B2702" s="522" t="inlineStr">
        <is>
          <t>Infrastructure Maintenance fee for Jul 2022</t>
        </is>
      </c>
      <c r="C2702" s="522" t="inlineStr">
        <is>
          <t>ភ្នំពេញ អេសអ៊ីហ្សិត ភីអិលស៊ី</t>
        </is>
      </c>
      <c r="D2702" s="522" t="inlineStr">
        <is>
          <t>L001-100046592</t>
        </is>
      </c>
      <c r="E2702" s="521" t="inlineStr">
        <is>
          <t>2022-03461</t>
        </is>
      </c>
      <c r="F2702" s="523" t="n">
        <v>44760</v>
      </c>
      <c r="G2702" s="556" t="n">
        <v>166123</v>
      </c>
      <c r="I2702" s="521">
        <f>G2702</f>
        <v/>
      </c>
      <c r="K2702" s="521">
        <f>I2702-G2702</f>
        <v/>
      </c>
      <c r="M2702" s="522" t="inlineStr">
        <is>
          <t>202203461</t>
        </is>
      </c>
      <c r="N2702" s="522" t="inlineStr">
        <is>
          <t>202203461</t>
        </is>
      </c>
      <c r="O2702" s="521">
        <f>M2702=N2702</f>
        <v/>
      </c>
      <c r="P2702" s="521">
        <f>AND(MONTH(F2702)=MONTH(S2702), YEAR(F2702)=YEAR(S2702))</f>
        <v/>
      </c>
      <c r="Q2702" s="521">
        <f>U2702="L001-901905215"</f>
        <v/>
      </c>
      <c r="R2702" s="556">
        <f>G2702-W2702</f>
        <v/>
      </c>
      <c r="S2702" s="523" t="n">
        <v>44760</v>
      </c>
      <c r="T2702" s="522" t="inlineStr">
        <is>
          <t>2022-03461</t>
        </is>
      </c>
      <c r="U2702" s="522" t="inlineStr">
        <is>
          <t>L001-901905215</t>
        </is>
      </c>
      <c r="V2702" s="522" t="inlineStr">
        <is>
          <t>វីអ៊ីស៊ិន (ខេមបូឌា) អ៊ិនដាសស្ទ្រី ឯ.ក</t>
        </is>
      </c>
      <c r="W2702" s="556" t="n">
        <v>166123</v>
      </c>
    </row>
    <row r="2703">
      <c r="A2703" s="521" t="n">
        <v>2695</v>
      </c>
      <c r="B2703" s="522" t="inlineStr">
        <is>
          <t>Paper Label</t>
        </is>
      </c>
      <c r="C2703" s="522" t="inlineStr">
        <is>
          <t>ស៊ីន ហ្វី យ៉ាង ព្រីនធីង &amp; អិកសេសសឺរី ឯ.ក</t>
        </is>
      </c>
      <c r="D2703" s="522" t="inlineStr">
        <is>
          <t>K010-901906822</t>
        </is>
      </c>
      <c r="E2703" s="521" t="inlineStr">
        <is>
          <t>XFY-YD20220116</t>
        </is>
      </c>
      <c r="F2703" s="523" t="n">
        <v>44770</v>
      </c>
      <c r="G2703" s="556" t="n">
        <v>157020</v>
      </c>
      <c r="I2703" s="521">
        <f>G2703</f>
        <v/>
      </c>
      <c r="K2703" s="521">
        <f>I2703-G2703</f>
        <v/>
      </c>
      <c r="M2703" s="522" t="inlineStr">
        <is>
          <t>XFYYD20220116</t>
        </is>
      </c>
      <c r="N2703" s="522" t="inlineStr">
        <is>
          <t>XFYYD20220116</t>
        </is>
      </c>
      <c r="O2703" s="521">
        <f>M2703=N2703</f>
        <v/>
      </c>
      <c r="P2703" s="521">
        <f>AND(MONTH(F2703)=MONTH(S2703), YEAR(F2703)=YEAR(S2703))</f>
        <v/>
      </c>
      <c r="Q2703" s="521">
        <f>U2703="L001-901905215"</f>
        <v/>
      </c>
      <c r="R2703" s="556">
        <f>G2703-W2703</f>
        <v/>
      </c>
      <c r="S2703" s="523" t="n">
        <v>44770</v>
      </c>
      <c r="T2703" s="522" t="inlineStr">
        <is>
          <t>XFY-YD20220116</t>
        </is>
      </c>
      <c r="U2703" s="522" t="inlineStr">
        <is>
          <t>L001-901905215</t>
        </is>
      </c>
      <c r="V2703" s="522" t="inlineStr">
        <is>
          <t>វីអ៊ីស៊ិន (ខេមបូឌា) អ៊ិនដាសស្ទ្រី ឯ.ក</t>
        </is>
      </c>
      <c r="W2703" s="556" t="n">
        <v>157020</v>
      </c>
    </row>
    <row r="2704">
      <c r="A2704" s="521" t="n">
        <v>2696</v>
      </c>
      <c r="B2704" s="522" t="inlineStr">
        <is>
          <t>Storage 45 Feet Container Full-Export</t>
        </is>
      </c>
      <c r="C2704" s="522" t="inlineStr">
        <is>
          <t>កំពង់ផែស្វយ័តភ្នំពេញ "ក.ស.ភ"</t>
        </is>
      </c>
      <c r="D2704" s="522" t="inlineStr">
        <is>
          <t>L001-100044999</t>
        </is>
      </c>
      <c r="E2704" s="521" t="inlineStr">
        <is>
          <t>INV20220751185</t>
        </is>
      </c>
      <c r="F2704" s="523" t="n">
        <v>44748</v>
      </c>
      <c r="G2704" s="556" t="n">
        <v>4926</v>
      </c>
      <c r="I2704" s="521">
        <f>G2704</f>
        <v/>
      </c>
      <c r="K2704" s="521">
        <f>I2704-G2704</f>
        <v/>
      </c>
      <c r="M2704" s="522" t="inlineStr">
        <is>
          <t>INV20220751185</t>
        </is>
      </c>
      <c r="N2704" s="522" t="inlineStr"/>
      <c r="O2704" s="521">
        <f>M2704=N2704</f>
        <v/>
      </c>
      <c r="P2704" s="521">
        <f>AND(MONTH(F2704)=MONTH(S2704), YEAR(F2704)=YEAR(S2704))</f>
        <v/>
      </c>
      <c r="Q2704" s="521">
        <f>U2704="L001-901905215"</f>
        <v/>
      </c>
      <c r="R2704" s="556">
        <f>G2704-W2704</f>
        <v/>
      </c>
      <c r="S2704" s="521" t="n"/>
      <c r="T2704" s="522" t="n"/>
      <c r="U2704" s="522" t="n"/>
      <c r="V2704" s="522" t="n"/>
      <c r="W2704" s="521" t="n"/>
    </row>
    <row r="2705">
      <c r="A2705" s="521" t="n">
        <v>2697</v>
      </c>
      <c r="B2705" s="522" t="inlineStr">
        <is>
          <t>Building Rental charge for Jul 2022</t>
        </is>
      </c>
      <c r="C2705" s="522" t="inlineStr">
        <is>
          <t>មេហ្គា លេបឹល &amp; ស្ទីកឃើរ (ខេមបូឌា)</t>
        </is>
      </c>
      <c r="D2705" s="522" t="inlineStr">
        <is>
          <t>L001-100185983</t>
        </is>
      </c>
      <c r="E2705" s="521" t="inlineStr">
        <is>
          <t>01-Jul-22</t>
        </is>
      </c>
      <c r="F2705" s="523" t="n">
        <v>44743</v>
      </c>
      <c r="G2705" s="556" t="n">
        <v>1410375</v>
      </c>
      <c r="I2705" s="521">
        <f>G2705</f>
        <v/>
      </c>
      <c r="K2705" s="521">
        <f>I2705-G2705</f>
        <v/>
      </c>
      <c r="M2705" s="522" t="inlineStr">
        <is>
          <t>01Jul22</t>
        </is>
      </c>
      <c r="N2705" s="522" t="inlineStr"/>
      <c r="O2705" s="521">
        <f>M2705=N2705</f>
        <v/>
      </c>
      <c r="P2705" s="521">
        <f>AND(MONTH(F2705)=MONTH(S2705), YEAR(F2705)=YEAR(S2705))</f>
        <v/>
      </c>
      <c r="Q2705" s="521">
        <f>U2705="L001-901905215"</f>
        <v/>
      </c>
      <c r="R2705" s="556">
        <f>G2705-W2705</f>
        <v/>
      </c>
      <c r="S2705" s="521" t="n"/>
      <c r="T2705" s="522" t="n"/>
      <c r="U2705" s="522" t="n"/>
      <c r="V2705" s="522" t="n"/>
      <c r="W2705" s="521" t="n"/>
    </row>
    <row r="2706">
      <c r="A2706" s="521" t="n">
        <v>2698</v>
      </c>
      <c r="B2706" s="522" t="inlineStr">
        <is>
          <t>Building Rental charge for Jun 2022</t>
        </is>
      </c>
      <c r="C2706" s="522" t="inlineStr">
        <is>
          <t>មេហ្គា លេបឹល &amp; ស្ទីកឃើរ (ខេមបូឌា)</t>
        </is>
      </c>
      <c r="D2706" s="522" t="inlineStr">
        <is>
          <t>L001-100185983</t>
        </is>
      </c>
      <c r="E2706" s="521" t="inlineStr">
        <is>
          <t>INV20220602</t>
        </is>
      </c>
      <c r="F2706" s="523" t="n">
        <v>44743</v>
      </c>
      <c r="G2706" s="556" t="n">
        <v>1508809</v>
      </c>
      <c r="I2706" s="521">
        <f>G2706</f>
        <v/>
      </c>
      <c r="K2706" s="521">
        <f>I2706-G2706</f>
        <v/>
      </c>
      <c r="M2706" s="522" t="inlineStr">
        <is>
          <t>INV20220602</t>
        </is>
      </c>
      <c r="N2706" s="522" t="inlineStr"/>
      <c r="O2706" s="521">
        <f>M2706=N2706</f>
        <v/>
      </c>
      <c r="P2706" s="521">
        <f>AND(MONTH(F2706)=MONTH(S2706), YEAR(F2706)=YEAR(S2706))</f>
        <v/>
      </c>
      <c r="Q2706" s="521">
        <f>U2706="L001-901905215"</f>
        <v/>
      </c>
      <c r="R2706" s="556">
        <f>G2706-W2706</f>
        <v/>
      </c>
      <c r="S2706" s="521" t="n"/>
      <c r="T2706" s="522" t="n"/>
      <c r="U2706" s="522" t="n"/>
      <c r="V2706" s="522" t="n"/>
      <c r="W2706" s="521" t="n"/>
    </row>
    <row r="2707">
      <c r="A2707" s="521" t="n">
        <v>2699</v>
      </c>
      <c r="B2707" s="522" t="inlineStr">
        <is>
          <t>Carton</t>
        </is>
      </c>
      <c r="C2707" s="522" t="inlineStr">
        <is>
          <t>យី មីង ភែកឃីជីង ឯ.ក</t>
        </is>
      </c>
      <c r="D2707" s="522" t="inlineStr">
        <is>
          <t>B108-902101335</t>
        </is>
      </c>
      <c r="E2707" s="521" t="inlineStr">
        <is>
          <t>YM-0026</t>
        </is>
      </c>
      <c r="F2707" s="523" t="n">
        <v>44772</v>
      </c>
      <c r="G2707" s="556" t="n">
        <v>202373</v>
      </c>
      <c r="I2707" s="521">
        <f>G2707</f>
        <v/>
      </c>
      <c r="K2707" s="521">
        <f>I2707-G2707</f>
        <v/>
      </c>
      <c r="M2707" s="522" t="inlineStr">
        <is>
          <t>YM0026</t>
        </is>
      </c>
      <c r="N2707" s="522" t="inlineStr">
        <is>
          <t>YM0026</t>
        </is>
      </c>
      <c r="O2707" s="521">
        <f>M2707=N2707</f>
        <v/>
      </c>
      <c r="P2707" s="521">
        <f>AND(MONTH(F2707)=MONTH(S2707), YEAR(F2707)=YEAR(S2707))</f>
        <v/>
      </c>
      <c r="Q2707" s="521">
        <f>U2707="L001-901905215"</f>
        <v/>
      </c>
      <c r="R2707" s="556">
        <f>G2707-W2707</f>
        <v/>
      </c>
      <c r="S2707" s="523" t="n">
        <v>44772</v>
      </c>
      <c r="T2707" s="522" t="inlineStr">
        <is>
          <t>YM-0026</t>
        </is>
      </c>
      <c r="U2707" s="522" t="inlineStr">
        <is>
          <t>L001-901905215</t>
        </is>
      </c>
      <c r="V2707" s="522" t="inlineStr">
        <is>
          <t>វីអ៊ីស៊ិន (ខេមបូឌា) អ៊ិនដាសស្ទ្រី ឯ.ក</t>
        </is>
      </c>
      <c r="W2707" s="556" t="n">
        <v>202373</v>
      </c>
    </row>
    <row r="2708">
      <c r="A2708" s="521" t="n">
        <v>2700</v>
      </c>
      <c r="B2708" s="522" t="inlineStr">
        <is>
          <t>Color Box,Paper card,PDQ</t>
        </is>
      </c>
      <c r="C2708" s="522" t="inlineStr">
        <is>
          <t>វីង ចេង ភែកឃីជីង ឯ.ក</t>
        </is>
      </c>
      <c r="D2708" s="522" t="inlineStr">
        <is>
          <t>L001-902102915</t>
        </is>
      </c>
      <c r="E2708" s="521" t="inlineStr">
        <is>
          <t>TI0340</t>
        </is>
      </c>
      <c r="F2708" s="523" t="n">
        <v>44773</v>
      </c>
      <c r="G2708" s="556" t="n">
        <v>245799</v>
      </c>
      <c r="I2708" s="521">
        <f>G2708</f>
        <v/>
      </c>
      <c r="K2708" s="521">
        <f>I2708-G2708</f>
        <v/>
      </c>
      <c r="M2708" s="522" t="inlineStr">
        <is>
          <t>TI0340</t>
        </is>
      </c>
      <c r="N2708" s="522" t="inlineStr">
        <is>
          <t>TI0340</t>
        </is>
      </c>
      <c r="O2708" s="521">
        <f>M2708=N2708</f>
        <v/>
      </c>
      <c r="P2708" s="521">
        <f>AND(MONTH(F2708)=MONTH(S2708), YEAR(F2708)=YEAR(S2708))</f>
        <v/>
      </c>
      <c r="Q2708" s="521">
        <f>U2708="L001-901905215"</f>
        <v/>
      </c>
      <c r="R2708" s="556">
        <f>G2708-W2708</f>
        <v/>
      </c>
      <c r="S2708" s="523" t="n">
        <v>44773</v>
      </c>
      <c r="T2708" s="522" t="inlineStr">
        <is>
          <t>TI0340</t>
        </is>
      </c>
      <c r="U2708" s="522" t="inlineStr">
        <is>
          <t>L001-901905215</t>
        </is>
      </c>
      <c r="V2708" s="522" t="inlineStr">
        <is>
          <t>វីអ៊ីស៊ិន (ខេមបូឌា) អ៊ិនដាសស្ទ្រី ឯ.ក</t>
        </is>
      </c>
      <c r="W2708" s="556" t="n">
        <v>245800</v>
      </c>
    </row>
    <row r="2709">
      <c r="A2709" s="521" t="n">
        <v>2701</v>
      </c>
      <c r="B2709" s="522" t="inlineStr">
        <is>
          <t>Service fee</t>
        </is>
      </c>
      <c r="C2709" s="522" t="inlineStr">
        <is>
          <t>ប្យួរ៉ូ វេរីតាស (ខេមបូឌា) លីមីធីត</t>
        </is>
      </c>
      <c r="D2709" s="522" t="inlineStr">
        <is>
          <t>L001-107024462</t>
        </is>
      </c>
      <c r="E2709" s="521" t="inlineStr">
        <is>
          <t>59012885</t>
        </is>
      </c>
      <c r="F2709" s="523" t="n">
        <v>44758</v>
      </c>
      <c r="G2709" s="556" t="n">
        <v>55563</v>
      </c>
      <c r="I2709" s="521">
        <f>G2709</f>
        <v/>
      </c>
      <c r="K2709" s="521">
        <f>I2709-G2709</f>
        <v/>
      </c>
      <c r="M2709" s="522" t="inlineStr">
        <is>
          <t>59012885</t>
        </is>
      </c>
      <c r="N2709" s="522" t="inlineStr">
        <is>
          <t>59012885</t>
        </is>
      </c>
      <c r="O2709" s="521">
        <f>M2709=N2709</f>
        <v/>
      </c>
      <c r="P2709" s="521">
        <f>AND(MONTH(F2709)=MONTH(S2709), YEAR(F2709)=YEAR(S2709))</f>
        <v/>
      </c>
      <c r="Q2709" s="521">
        <f>U2709="L001-901905215"</f>
        <v/>
      </c>
      <c r="R2709" s="556">
        <f>G2709-W2709</f>
        <v/>
      </c>
      <c r="S2709" s="523" t="n">
        <v>44758</v>
      </c>
      <c r="T2709" s="522" t="inlineStr">
        <is>
          <t>59012885</t>
        </is>
      </c>
      <c r="U2709" s="522" t="inlineStr">
        <is>
          <t>L001-901905215</t>
        </is>
      </c>
      <c r="V2709" s="522" t="inlineStr">
        <is>
          <t>វីអ៊ីស៊ិន (ខេមបូឌា) អ៊ិនដាសស្ទ្រី ឯ.ក</t>
        </is>
      </c>
      <c r="W2709" s="556" t="n">
        <v>55564</v>
      </c>
    </row>
    <row r="2710">
      <c r="A2710" s="521" t="n">
        <v>2702</v>
      </c>
      <c r="B2710" s="522" t="inlineStr">
        <is>
          <t>Clearance &amp; Trucking fee</t>
        </is>
      </c>
      <c r="C2710" s="522" t="inlineStr">
        <is>
          <t>ហាវតាយ អ៊ិនធើណេសិនណល ឡូជីស្ទីក ឯ.ក</t>
        </is>
      </c>
      <c r="D2710" s="522" t="inlineStr">
        <is>
          <t>K007-902202863</t>
        </is>
      </c>
      <c r="E2710" s="521" t="inlineStr">
        <is>
          <t>HT220013</t>
        </is>
      </c>
      <c r="F2710" s="523" t="n">
        <v>44771</v>
      </c>
      <c r="G2710" s="556" t="n">
        <v>141623</v>
      </c>
      <c r="I2710" s="521">
        <f>G2710</f>
        <v/>
      </c>
      <c r="K2710" s="521">
        <f>I2710-G2710</f>
        <v/>
      </c>
      <c r="M2710" s="522" t="inlineStr">
        <is>
          <t>HT220013</t>
        </is>
      </c>
      <c r="N2710" s="522" t="inlineStr">
        <is>
          <t>HT220013</t>
        </is>
      </c>
      <c r="O2710" s="521">
        <f>M2710=N2710</f>
        <v/>
      </c>
      <c r="P2710" s="521">
        <f>AND(MONTH(F2710)=MONTH(S2710), YEAR(F2710)=YEAR(S2710))</f>
        <v/>
      </c>
      <c r="Q2710" s="521">
        <f>U2710="L001-901905215"</f>
        <v/>
      </c>
      <c r="R2710" s="556">
        <f>G2710-W2710</f>
        <v/>
      </c>
      <c r="S2710" s="523" t="n">
        <v>44771</v>
      </c>
      <c r="T2710" s="522" t="inlineStr">
        <is>
          <t>HT220013</t>
        </is>
      </c>
      <c r="U2710" s="522" t="inlineStr">
        <is>
          <t>L001-901905215</t>
        </is>
      </c>
      <c r="V2710" s="522" t="inlineStr">
        <is>
          <t>វីអ៊ីស៊ិន (ខេមបូឌា) អ៊ិនដាសស្ទ្រី ឯ.ក</t>
        </is>
      </c>
      <c r="W2710" s="556" t="n">
        <v>141623</v>
      </c>
    </row>
    <row r="2711">
      <c r="A2711" s="521" t="n">
        <v>2703</v>
      </c>
      <c r="B2711" s="522" t="inlineStr">
        <is>
          <t>DOC and Terminal charge</t>
        </is>
      </c>
      <c r="C2711" s="522" t="inlineStr">
        <is>
          <t>អូ អូ ស៊ី អិល (ខេមបូឌា) លីមីធីត</t>
        </is>
      </c>
      <c r="D2711" s="522" t="inlineStr">
        <is>
          <t>L001-100136036</t>
        </is>
      </c>
      <c r="E2711" s="521" t="inlineStr">
        <is>
          <t>431-2208156</t>
        </is>
      </c>
      <c r="F2711" s="523" t="n">
        <v>44743</v>
      </c>
      <c r="G2711" s="556" t="n">
        <v>215040</v>
      </c>
      <c r="I2711" s="521">
        <f>G2711</f>
        <v/>
      </c>
      <c r="K2711" s="521">
        <f>I2711-G2711</f>
        <v/>
      </c>
      <c r="M2711" s="522" t="inlineStr">
        <is>
          <t>4312208156</t>
        </is>
      </c>
      <c r="N2711" s="522" t="inlineStr">
        <is>
          <t>4312208156</t>
        </is>
      </c>
      <c r="O2711" s="521">
        <f>M2711=N2711</f>
        <v/>
      </c>
      <c r="P2711" s="521">
        <f>AND(MONTH(F2711)=MONTH(S2711), YEAR(F2711)=YEAR(S2711))</f>
        <v/>
      </c>
      <c r="Q2711" s="521">
        <f>U2711="L001-901905215"</f>
        <v/>
      </c>
      <c r="R2711" s="556">
        <f>G2711-W2711</f>
        <v/>
      </c>
      <c r="S2711" s="523" t="n">
        <v>44743</v>
      </c>
      <c r="T2711" s="522" t="inlineStr">
        <is>
          <t>4312208156</t>
        </is>
      </c>
      <c r="U2711" s="522" t="inlineStr">
        <is>
          <t>L001-901905215</t>
        </is>
      </c>
      <c r="V2711" s="522" t="inlineStr">
        <is>
          <t>វីអ៊ីស៊ិន (ខេមបូឌា) អ៊ិនដាសស្ទ្រី ឯ.ក</t>
        </is>
      </c>
      <c r="W2711" s="556" t="n">
        <v>215040</v>
      </c>
    </row>
    <row r="2712">
      <c r="A2712" s="521" t="n">
        <v>2704</v>
      </c>
      <c r="B2712" s="522" t="inlineStr">
        <is>
          <t>Lift-On &amp; Lift-Off</t>
        </is>
      </c>
      <c r="C2712" s="522" t="inlineStr">
        <is>
          <t>កំពង់ផែស្វយ័តក្រុងព្រះសីហនុ</t>
        </is>
      </c>
      <c r="D2712" s="522" t="inlineStr">
        <is>
          <t>L001-100044638</t>
        </is>
      </c>
      <c r="E2712" s="521" t="inlineStr">
        <is>
          <t>118810</t>
        </is>
      </c>
      <c r="F2712" s="523" t="n">
        <v>44743</v>
      </c>
      <c r="G2712" s="556" t="n">
        <v>35644</v>
      </c>
      <c r="I2712" s="521">
        <f>G2712</f>
        <v/>
      </c>
      <c r="K2712" s="521">
        <f>I2712-G2712</f>
        <v/>
      </c>
      <c r="M2712" s="522" t="inlineStr">
        <is>
          <t>118810</t>
        </is>
      </c>
      <c r="N2712" s="522" t="inlineStr"/>
      <c r="O2712" s="521">
        <f>M2712=N2712</f>
        <v/>
      </c>
      <c r="P2712" s="521">
        <f>AND(MONTH(F2712)=MONTH(S2712), YEAR(F2712)=YEAR(S2712))</f>
        <v/>
      </c>
      <c r="Q2712" s="521">
        <f>U2712="L001-901905215"</f>
        <v/>
      </c>
      <c r="R2712" s="556">
        <f>G2712-W2712</f>
        <v/>
      </c>
      <c r="S2712" s="521" t="n"/>
      <c r="T2712" s="522" t="n"/>
      <c r="U2712" s="522" t="n"/>
      <c r="V2712" s="522" t="n"/>
      <c r="W2712" s="521" t="n"/>
    </row>
    <row r="2713">
      <c r="A2713" s="521" t="n">
        <v>2705</v>
      </c>
      <c r="B2713" s="522" t="inlineStr">
        <is>
          <t>Handing and Trucking fee</t>
        </is>
      </c>
      <c r="C2713" s="522" t="inlineStr">
        <is>
          <t>ហាវតាយ អ៊ិនធើណេសិនណល ឡូជីស្ទីក ឯ.ក</t>
        </is>
      </c>
      <c r="D2713" s="522" t="inlineStr">
        <is>
          <t>K007-902202863</t>
        </is>
      </c>
      <c r="E2713" s="521" t="inlineStr">
        <is>
          <t>HT220011</t>
        </is>
      </c>
      <c r="F2713" s="523" t="n">
        <v>44764</v>
      </c>
      <c r="G2713" s="556" t="n">
        <v>216638</v>
      </c>
      <c r="I2713" s="521">
        <f>G2713</f>
        <v/>
      </c>
      <c r="K2713" s="521">
        <f>I2713-G2713</f>
        <v/>
      </c>
      <c r="M2713" s="522" t="inlineStr">
        <is>
          <t>HT220011</t>
        </is>
      </c>
      <c r="N2713" s="522" t="inlineStr">
        <is>
          <t>HT220011</t>
        </is>
      </c>
      <c r="O2713" s="521">
        <f>M2713=N2713</f>
        <v/>
      </c>
      <c r="P2713" s="521">
        <f>AND(MONTH(F2713)=MONTH(S2713), YEAR(F2713)=YEAR(S2713))</f>
        <v/>
      </c>
      <c r="Q2713" s="521">
        <f>U2713="L001-901905215"</f>
        <v/>
      </c>
      <c r="R2713" s="556">
        <f>G2713-W2713</f>
        <v/>
      </c>
      <c r="S2713" s="523" t="n">
        <v>44764</v>
      </c>
      <c r="T2713" s="522" t="inlineStr">
        <is>
          <t>HT220011</t>
        </is>
      </c>
      <c r="U2713" s="522" t="inlineStr">
        <is>
          <t>L001-901905215</t>
        </is>
      </c>
      <c r="V2713" s="522" t="inlineStr">
        <is>
          <t>វីអ៊ីស៊ិន (ខេមបូឌា) អ៊ិនដាសស្ទ្រី ឯ.ក</t>
        </is>
      </c>
      <c r="W2713" s="556" t="n">
        <v>216638</v>
      </c>
    </row>
    <row r="2714">
      <c r="A2714" s="521" t="n">
        <v>2706</v>
      </c>
      <c r="B2714" s="522" t="inlineStr">
        <is>
          <t>Terminal Handling and Document Fee</t>
        </is>
      </c>
      <c r="C2714" s="522" t="inlineStr">
        <is>
          <t>ត្រេនម៉ារីន ឡូជីស្ទីក (ខេមបូឌា)</t>
        </is>
      </c>
      <c r="D2714" s="522" t="inlineStr">
        <is>
          <t>L001-106004107</t>
        </is>
      </c>
      <c r="E2714" s="521" t="inlineStr">
        <is>
          <t>9963006902</t>
        </is>
      </c>
      <c r="F2714" s="523" t="n">
        <v>44744</v>
      </c>
      <c r="G2714" s="556" t="n">
        <v>100475</v>
      </c>
      <c r="I2714" s="521">
        <f>G2714</f>
        <v/>
      </c>
      <c r="K2714" s="521">
        <f>I2714-G2714</f>
        <v/>
      </c>
      <c r="M2714" s="522" t="inlineStr">
        <is>
          <t>9963006902</t>
        </is>
      </c>
      <c r="N2714" s="522" t="inlineStr">
        <is>
          <t>9963006902</t>
        </is>
      </c>
      <c r="O2714" s="521">
        <f>M2714=N2714</f>
        <v/>
      </c>
      <c r="P2714" s="521">
        <f>AND(MONTH(F2714)=MONTH(S2714), YEAR(F2714)=YEAR(S2714))</f>
        <v/>
      </c>
      <c r="Q2714" s="521">
        <f>U2714="L001-901905215"</f>
        <v/>
      </c>
      <c r="R2714" s="556">
        <f>G2714-W2714</f>
        <v/>
      </c>
      <c r="S2714" s="523" t="n">
        <v>44744</v>
      </c>
      <c r="T2714" s="522" t="inlineStr">
        <is>
          <t>9963006902</t>
        </is>
      </c>
      <c r="U2714" s="522" t="inlineStr">
        <is>
          <t>L001-901905215</t>
        </is>
      </c>
      <c r="V2714" s="522" t="inlineStr">
        <is>
          <t>វីអ៊ីស៊ិន (ខេមបូឌា) អ៊ិនដាសស្ទ្រី ឯ.ក</t>
        </is>
      </c>
      <c r="W2714" s="556" t="n">
        <v>100475</v>
      </c>
    </row>
    <row r="2715">
      <c r="A2715" s="521" t="n">
        <v>2707</v>
      </c>
      <c r="B2715" s="522" t="inlineStr">
        <is>
          <t>Lift on and Gate fee charge</t>
        </is>
      </c>
      <c r="C2715" s="522" t="inlineStr">
        <is>
          <t>កំពង់ផែស្វយ័តភ្នំពេញ "ក.ស.ភ"</t>
        </is>
      </c>
      <c r="D2715" s="522" t="inlineStr">
        <is>
          <t>L001-100044999</t>
        </is>
      </c>
      <c r="E2715" s="521" t="inlineStr">
        <is>
          <t>INV20220750959</t>
        </is>
      </c>
      <c r="F2715" s="523" t="n">
        <v>44748</v>
      </c>
      <c r="G2715" s="556" t="n">
        <v>29556</v>
      </c>
      <c r="I2715" s="521">
        <f>G2715</f>
        <v/>
      </c>
      <c r="K2715" s="521">
        <f>I2715-G2715</f>
        <v/>
      </c>
      <c r="M2715" s="522" t="inlineStr">
        <is>
          <t>INV20220750959</t>
        </is>
      </c>
      <c r="N2715" s="522" t="inlineStr"/>
      <c r="O2715" s="521">
        <f>M2715=N2715</f>
        <v/>
      </c>
      <c r="P2715" s="521">
        <f>AND(MONTH(F2715)=MONTH(S2715), YEAR(F2715)=YEAR(S2715))</f>
        <v/>
      </c>
      <c r="Q2715" s="521">
        <f>U2715="L001-901905215"</f>
        <v/>
      </c>
      <c r="R2715" s="556">
        <f>G2715-W2715</f>
        <v/>
      </c>
      <c r="S2715" s="521" t="n"/>
      <c r="T2715" s="522" t="n"/>
      <c r="U2715" s="522" t="n"/>
      <c r="V2715" s="522" t="n"/>
      <c r="W2715" s="521" t="n"/>
    </row>
    <row r="2716">
      <c r="A2716" s="521" t="n">
        <v>2708</v>
      </c>
      <c r="B2716" s="522" t="inlineStr">
        <is>
          <t>Handing and Trucking fee</t>
        </is>
      </c>
      <c r="C2716" s="522" t="inlineStr">
        <is>
          <t>ហាវតាយ អ៊ិនធើណេសិនណល ឡូជីស្ទីក ឯ.ក</t>
        </is>
      </c>
      <c r="D2716" s="522" t="inlineStr">
        <is>
          <t>K007-902202863</t>
        </is>
      </c>
      <c r="E2716" s="521" t="inlineStr">
        <is>
          <t>HT220010</t>
        </is>
      </c>
      <c r="F2716" s="523" t="n">
        <v>44764</v>
      </c>
      <c r="G2716" s="556" t="n">
        <v>216638</v>
      </c>
      <c r="I2716" s="521">
        <f>G2716</f>
        <v/>
      </c>
      <c r="K2716" s="521">
        <f>I2716-G2716</f>
        <v/>
      </c>
      <c r="M2716" s="522" t="inlineStr">
        <is>
          <t>HT220010</t>
        </is>
      </c>
      <c r="N2716" s="522" t="inlineStr">
        <is>
          <t>HT220010</t>
        </is>
      </c>
      <c r="O2716" s="521">
        <f>M2716=N2716</f>
        <v/>
      </c>
      <c r="P2716" s="521">
        <f>AND(MONTH(F2716)=MONTH(S2716), YEAR(F2716)=YEAR(S2716))</f>
        <v/>
      </c>
      <c r="Q2716" s="521">
        <f>U2716="L001-901905215"</f>
        <v/>
      </c>
      <c r="R2716" s="556">
        <f>G2716-W2716</f>
        <v/>
      </c>
      <c r="S2716" s="523" t="n">
        <v>44764</v>
      </c>
      <c r="T2716" s="522" t="inlineStr">
        <is>
          <t>HT220010</t>
        </is>
      </c>
      <c r="U2716" s="522" t="inlineStr">
        <is>
          <t>L001-901905215</t>
        </is>
      </c>
      <c r="V2716" s="522" t="inlineStr">
        <is>
          <t>វីអ៊ីស៊ិន (ខេមបូឌា) អ៊ិនដាសស្ទ្រី ឯ.ក</t>
        </is>
      </c>
      <c r="W2716" s="556" t="n">
        <v>216638</v>
      </c>
    </row>
    <row r="2717">
      <c r="A2717" s="521" t="n">
        <v>2709</v>
      </c>
      <c r="B2717" s="522" t="inlineStr">
        <is>
          <t>Cy Management Fee, Thc Charges, Bl Fee,FCR Fee, VGM Processing Fee</t>
        </is>
      </c>
      <c r="C2717" s="522" t="inlineStr">
        <is>
          <t>អ៊ិចស្ពែឌីធ័រ ខេមបូឌា អិលធីឌី</t>
        </is>
      </c>
      <c r="D2717" s="522" t="inlineStr">
        <is>
          <t>L001-100045898</t>
        </is>
      </c>
      <c r="E2717" s="521" t="inlineStr">
        <is>
          <t>TI-0233095</t>
        </is>
      </c>
      <c r="F2717" s="523" t="n">
        <v>44768</v>
      </c>
      <c r="G2717" s="556" t="n">
        <v>53934</v>
      </c>
      <c r="I2717" s="521">
        <f>G2717</f>
        <v/>
      </c>
      <c r="K2717" s="521">
        <f>I2717-G2717</f>
        <v/>
      </c>
      <c r="M2717" s="522" t="inlineStr">
        <is>
          <t>TI0233095</t>
        </is>
      </c>
      <c r="N2717" s="522" t="inlineStr">
        <is>
          <t>TI0233095</t>
        </is>
      </c>
      <c r="O2717" s="521">
        <f>M2717=N2717</f>
        <v/>
      </c>
      <c r="P2717" s="521">
        <f>AND(MONTH(F2717)=MONTH(S2717), YEAR(F2717)=YEAR(S2717))</f>
        <v/>
      </c>
      <c r="Q2717" s="521">
        <f>U2717="L001-901905215"</f>
        <v/>
      </c>
      <c r="R2717" s="556">
        <f>G2717-W2717</f>
        <v/>
      </c>
      <c r="S2717" s="523" t="n">
        <v>44768</v>
      </c>
      <c r="T2717" s="522" t="inlineStr">
        <is>
          <t>TI-0233095</t>
        </is>
      </c>
      <c r="U2717" s="522" t="inlineStr">
        <is>
          <t>L001-901905215</t>
        </is>
      </c>
      <c r="V2717" s="522" t="inlineStr">
        <is>
          <t>វីអ៊ីស៊ិន (ខេមបូឌា) អ៊ិនដាសស្ទ្រី ឯ.ក</t>
        </is>
      </c>
      <c r="W2717" s="556" t="n">
        <v>53927</v>
      </c>
    </row>
    <row r="2718">
      <c r="A2718" s="521" t="n">
        <v>2710</v>
      </c>
      <c r="B2718" s="522" t="inlineStr">
        <is>
          <t>Cy Management Fee, Thc Charges, Bl Fee,FCR Fee, VGM Processing Fee</t>
        </is>
      </c>
      <c r="C2718" s="522" t="inlineStr">
        <is>
          <t>អ៊ិចស្ពែឌីធ័រ ខេមបូឌា អិលធីឌី</t>
        </is>
      </c>
      <c r="D2718" s="522" t="inlineStr">
        <is>
          <t>L001-100045898</t>
        </is>
      </c>
      <c r="E2718" s="521" t="inlineStr">
        <is>
          <t>TI-0232626</t>
        </is>
      </c>
      <c r="F2718" s="523" t="n">
        <v>44762</v>
      </c>
      <c r="G2718" s="556" t="n">
        <v>426271</v>
      </c>
      <c r="I2718" s="521">
        <f>G2718</f>
        <v/>
      </c>
      <c r="K2718" s="521">
        <f>I2718-G2718</f>
        <v/>
      </c>
      <c r="M2718" s="522" t="inlineStr">
        <is>
          <t>TI0232626</t>
        </is>
      </c>
      <c r="N2718" s="522" t="inlineStr">
        <is>
          <t>TI0232626</t>
        </is>
      </c>
      <c r="O2718" s="521">
        <f>M2718=N2718</f>
        <v/>
      </c>
      <c r="P2718" s="521">
        <f>AND(MONTH(F2718)=MONTH(S2718), YEAR(F2718)=YEAR(S2718))</f>
        <v/>
      </c>
      <c r="Q2718" s="521">
        <f>U2718="L001-901905215"</f>
        <v/>
      </c>
      <c r="R2718" s="556">
        <f>G2718-W2718</f>
        <v/>
      </c>
      <c r="S2718" s="523" t="n">
        <v>44762</v>
      </c>
      <c r="T2718" s="522" t="inlineStr">
        <is>
          <t>TI-0232626</t>
        </is>
      </c>
      <c r="U2718" s="522" t="inlineStr">
        <is>
          <t>L001-901905215</t>
        </is>
      </c>
      <c r="V2718" s="522" t="inlineStr">
        <is>
          <t>វីអ៊ីស៊ិន (ខេមបូឌា) អ៊ិនដាសស្ទ្រី ឯ.ក</t>
        </is>
      </c>
      <c r="W2718" s="556" t="n">
        <v>426282</v>
      </c>
    </row>
    <row r="2719">
      <c r="A2719" s="521" t="n">
        <v>2711</v>
      </c>
      <c r="B2719" s="522" t="inlineStr">
        <is>
          <t>Cy Management Fee, Thc Charges, Bl Fee,FCR Fee, VGM Processing Fee</t>
        </is>
      </c>
      <c r="C2719" s="522" t="inlineStr">
        <is>
          <t>អ៊ិចស្ពែឌីធ័រ ខេមបូឌា អិលធីឌី</t>
        </is>
      </c>
      <c r="D2719" s="522" t="inlineStr">
        <is>
          <t>L001-100045898</t>
        </is>
      </c>
      <c r="E2719" s="521" t="inlineStr">
        <is>
          <t>TI-0232090</t>
        </is>
      </c>
      <c r="F2719" s="523" t="n">
        <v>44755</v>
      </c>
      <c r="G2719" s="556" t="n">
        <v>53876</v>
      </c>
      <c r="I2719" s="521">
        <f>G2719</f>
        <v/>
      </c>
      <c r="K2719" s="521">
        <f>I2719-G2719</f>
        <v/>
      </c>
      <c r="M2719" s="522" t="inlineStr">
        <is>
          <t>TI0232090</t>
        </is>
      </c>
      <c r="N2719" s="522" t="inlineStr">
        <is>
          <t>TI0232090</t>
        </is>
      </c>
      <c r="O2719" s="521">
        <f>M2719=N2719</f>
        <v/>
      </c>
      <c r="P2719" s="521">
        <f>AND(MONTH(F2719)=MONTH(S2719), YEAR(F2719)=YEAR(S2719))</f>
        <v/>
      </c>
      <c r="Q2719" s="521">
        <f>U2719="L001-901905215"</f>
        <v/>
      </c>
      <c r="R2719" s="556">
        <f>G2719-W2719</f>
        <v/>
      </c>
      <c r="S2719" s="523" t="n">
        <v>44755</v>
      </c>
      <c r="T2719" s="522" t="inlineStr">
        <is>
          <t>TI-0232090</t>
        </is>
      </c>
      <c r="U2719" s="522" t="inlineStr">
        <is>
          <t>L001-901905215</t>
        </is>
      </c>
      <c r="V2719" s="522" t="inlineStr">
        <is>
          <t>វីអ៊ីស៊ិន (ខេមបូឌា) អ៊ិនដាសស្ទ្រី ឯ.ក</t>
        </is>
      </c>
      <c r="W2719" s="556" t="n">
        <v>53887</v>
      </c>
    </row>
    <row r="2720">
      <c r="A2720" s="521" t="n">
        <v>2712</v>
      </c>
      <c r="B2720" s="522" t="inlineStr">
        <is>
          <t>Cy Management Fee, Thc Charges, Bl Fee,FCR Fee, VGM Processing Fee</t>
        </is>
      </c>
      <c r="C2720" s="522" t="inlineStr">
        <is>
          <t>អ៊ិចស្ពែឌីធ័រ ខេមបូឌា អិលធីឌី</t>
        </is>
      </c>
      <c r="D2720" s="522" t="inlineStr">
        <is>
          <t>L001-100045898</t>
        </is>
      </c>
      <c r="E2720" s="521" t="inlineStr">
        <is>
          <t>TI-0232079</t>
        </is>
      </c>
      <c r="F2720" s="523" t="n">
        <v>44755</v>
      </c>
      <c r="G2720" s="556" t="n">
        <v>134144</v>
      </c>
      <c r="I2720" s="521">
        <f>G2720</f>
        <v/>
      </c>
      <c r="K2720" s="521">
        <f>I2720-G2720</f>
        <v/>
      </c>
      <c r="M2720" s="522" t="inlineStr">
        <is>
          <t>TI0232079</t>
        </is>
      </c>
      <c r="N2720" s="522" t="inlineStr">
        <is>
          <t>TI0232079</t>
        </is>
      </c>
      <c r="O2720" s="521">
        <f>M2720=N2720</f>
        <v/>
      </c>
      <c r="P2720" s="521">
        <f>AND(MONTH(F2720)=MONTH(S2720), YEAR(F2720)=YEAR(S2720))</f>
        <v/>
      </c>
      <c r="Q2720" s="521">
        <f>U2720="L001-901905215"</f>
        <v/>
      </c>
      <c r="R2720" s="556">
        <f>G2720-W2720</f>
        <v/>
      </c>
      <c r="S2720" s="523" t="n">
        <v>44755</v>
      </c>
      <c r="T2720" s="522" t="inlineStr">
        <is>
          <t>TI-0232079</t>
        </is>
      </c>
      <c r="U2720" s="522" t="inlineStr">
        <is>
          <t>L001-901905215</t>
        </is>
      </c>
      <c r="V2720" s="522" t="inlineStr">
        <is>
          <t>វីអ៊ីស៊ិន (ខេមបូឌា) អ៊ិនដាសស្ទ្រី ឯ.ក</t>
        </is>
      </c>
      <c r="W2720" s="556" t="n">
        <v>134144</v>
      </c>
    </row>
    <row r="2721">
      <c r="A2721" s="521" t="n">
        <v>2713</v>
      </c>
      <c r="B2721" s="522" t="inlineStr">
        <is>
          <t>Cy Management Fee, Thc Charges, Bl Fee,FCR Fee, VGM Processing Fee</t>
        </is>
      </c>
      <c r="C2721" s="522" t="inlineStr">
        <is>
          <t>អ៊ិចស្ពែឌីធ័រ ខេមបូឌា អិលធីឌី</t>
        </is>
      </c>
      <c r="D2721" s="522" t="inlineStr">
        <is>
          <t>L001-100045898</t>
        </is>
      </c>
      <c r="E2721" s="521" t="inlineStr">
        <is>
          <t>TI-0232067</t>
        </is>
      </c>
      <c r="F2721" s="523" t="n">
        <v>44755</v>
      </c>
      <c r="G2721" s="556" t="n">
        <v>57526</v>
      </c>
      <c r="I2721" s="521">
        <f>G2721</f>
        <v/>
      </c>
      <c r="K2721" s="521">
        <f>I2721-G2721</f>
        <v/>
      </c>
      <c r="M2721" s="522" t="inlineStr">
        <is>
          <t>TI0232067</t>
        </is>
      </c>
      <c r="N2721" s="522" t="inlineStr">
        <is>
          <t>TI0232067</t>
        </is>
      </c>
      <c r="O2721" s="521">
        <f>M2721=N2721</f>
        <v/>
      </c>
      <c r="P2721" s="521">
        <f>AND(MONTH(F2721)=MONTH(S2721), YEAR(F2721)=YEAR(S2721))</f>
        <v/>
      </c>
      <c r="Q2721" s="521">
        <f>U2721="L001-901905215"</f>
        <v/>
      </c>
      <c r="R2721" s="556">
        <f>G2721-W2721</f>
        <v/>
      </c>
      <c r="S2721" s="523" t="n">
        <v>44755</v>
      </c>
      <c r="T2721" s="522" t="inlineStr">
        <is>
          <t>TI-0232067</t>
        </is>
      </c>
      <c r="U2721" s="522" t="inlineStr">
        <is>
          <t>L001-901905215</t>
        </is>
      </c>
      <c r="V2721" s="522" t="inlineStr">
        <is>
          <t>វីអ៊ីស៊ិន (ខេមបូឌា) អ៊ិនដាសស្ទ្រី ឯ.ក</t>
        </is>
      </c>
      <c r="W2721" s="556" t="n">
        <v>57537</v>
      </c>
    </row>
    <row r="2722">
      <c r="A2722" s="521" t="n">
        <v>2714</v>
      </c>
      <c r="B2722" s="522" t="inlineStr">
        <is>
          <t>Cy Management Fee, Thc Charges, Bl Fee,FCR Fee, VGM Processing Fee</t>
        </is>
      </c>
      <c r="C2722" s="522" t="inlineStr">
        <is>
          <t>អ៊ិចស្ពែឌីធ័រ ខេមបូឌា អិលធីឌី</t>
        </is>
      </c>
      <c r="D2722" s="522" t="inlineStr">
        <is>
          <t>L001-100045898</t>
        </is>
      </c>
      <c r="E2722" s="521" t="inlineStr">
        <is>
          <t>TI-0231532</t>
        </is>
      </c>
      <c r="F2722" s="523" t="n">
        <v>44748</v>
      </c>
      <c r="G2722" s="556" t="n">
        <v>24630</v>
      </c>
      <c r="I2722" s="521">
        <f>G2722</f>
        <v/>
      </c>
      <c r="K2722" s="521">
        <f>I2722-G2722</f>
        <v/>
      </c>
      <c r="M2722" s="522" t="inlineStr">
        <is>
          <t>TI0231532</t>
        </is>
      </c>
      <c r="N2722" s="522" t="inlineStr">
        <is>
          <t>TI0231532</t>
        </is>
      </c>
      <c r="O2722" s="521">
        <f>M2722=N2722</f>
        <v/>
      </c>
      <c r="P2722" s="521">
        <f>AND(MONTH(F2722)=MONTH(S2722), YEAR(F2722)=YEAR(S2722))</f>
        <v/>
      </c>
      <c r="Q2722" s="521">
        <f>U2722="L001-901905215"</f>
        <v/>
      </c>
      <c r="R2722" s="556">
        <f>G2722-W2722</f>
        <v/>
      </c>
      <c r="S2722" s="523" t="n">
        <v>44748</v>
      </c>
      <c r="T2722" s="522" t="inlineStr">
        <is>
          <t>TI-0231532</t>
        </is>
      </c>
      <c r="U2722" s="522" t="inlineStr">
        <is>
          <t>L001-901905215</t>
        </is>
      </c>
      <c r="V2722" s="522" t="inlineStr">
        <is>
          <t>វីអ៊ីស៊ិន (ខេមបូឌា) អ៊ិនដាសស្ទ្រី ឯ.ក</t>
        </is>
      </c>
      <c r="W2722" s="556" t="n">
        <v>24630</v>
      </c>
    </row>
    <row r="2723">
      <c r="A2723" s="521" t="n">
        <v>2715</v>
      </c>
      <c r="B2723" s="522" t="inlineStr">
        <is>
          <t>Export Administration fee</t>
        </is>
      </c>
      <c r="C2723" s="522" t="inlineStr">
        <is>
          <t>ឆាយ ដា ឡូយីស្ទីក</t>
        </is>
      </c>
      <c r="D2723" s="522" t="inlineStr">
        <is>
          <t>L001-100063098</t>
        </is>
      </c>
      <c r="E2723" s="521" t="inlineStr">
        <is>
          <t>2207008513</t>
        </is>
      </c>
      <c r="F2723" s="523" t="n">
        <v>44767</v>
      </c>
      <c r="G2723" s="556" t="n">
        <v>89856</v>
      </c>
      <c r="I2723" s="521">
        <f>G2723</f>
        <v/>
      </c>
      <c r="K2723" s="521">
        <f>I2723-G2723</f>
        <v/>
      </c>
      <c r="M2723" s="522" t="inlineStr">
        <is>
          <t>2207008513</t>
        </is>
      </c>
      <c r="N2723" s="522" t="inlineStr">
        <is>
          <t>2207008513</t>
        </is>
      </c>
      <c r="O2723" s="521">
        <f>M2723=N2723</f>
        <v/>
      </c>
      <c r="P2723" s="521">
        <f>AND(MONTH(F2723)=MONTH(S2723), YEAR(F2723)=YEAR(S2723))</f>
        <v/>
      </c>
      <c r="Q2723" s="521">
        <f>U2723="L001-901905215"</f>
        <v/>
      </c>
      <c r="R2723" s="556">
        <f>G2723-W2723</f>
        <v/>
      </c>
      <c r="S2723" s="523" t="n">
        <v>44767</v>
      </c>
      <c r="T2723" s="522" t="inlineStr">
        <is>
          <t>2207008513</t>
        </is>
      </c>
      <c r="U2723" s="522" t="inlineStr">
        <is>
          <t>L001-901905215</t>
        </is>
      </c>
      <c r="V2723" s="522" t="inlineStr">
        <is>
          <t>វីអ៊ីស៊ិន (ខេមបូឌា) អ៊ិនដាសស្ទ្រី ឯ.ក</t>
        </is>
      </c>
      <c r="W2723" s="556" t="n">
        <v>89856</v>
      </c>
    </row>
    <row r="2724">
      <c r="A2724" s="521" t="n">
        <v>2716</v>
      </c>
      <c r="B2724" s="522" t="inlineStr">
        <is>
          <t>Export Administration fee</t>
        </is>
      </c>
      <c r="C2724" s="522" t="inlineStr">
        <is>
          <t>ឆាយ ដា ឡូយីស្ទីក</t>
        </is>
      </c>
      <c r="D2724" s="522" t="inlineStr">
        <is>
          <t>L001-100063098</t>
        </is>
      </c>
      <c r="E2724" s="521" t="inlineStr">
        <is>
          <t>2207008218</t>
        </is>
      </c>
      <c r="F2724" s="523" t="n">
        <v>44760</v>
      </c>
      <c r="G2724" s="556" t="n">
        <v>89856</v>
      </c>
      <c r="I2724" s="521">
        <f>G2724</f>
        <v/>
      </c>
      <c r="K2724" s="521">
        <f>I2724-G2724</f>
        <v/>
      </c>
      <c r="M2724" s="522" t="inlineStr">
        <is>
          <t>2207008218</t>
        </is>
      </c>
      <c r="N2724" s="522" t="inlineStr">
        <is>
          <t>2207008218</t>
        </is>
      </c>
      <c r="O2724" s="521">
        <f>M2724=N2724</f>
        <v/>
      </c>
      <c r="P2724" s="521">
        <f>AND(MONTH(F2724)=MONTH(S2724), YEAR(F2724)=YEAR(S2724))</f>
        <v/>
      </c>
      <c r="Q2724" s="521">
        <f>U2724="L001-901905215"</f>
        <v/>
      </c>
      <c r="R2724" s="556">
        <f>G2724-W2724</f>
        <v/>
      </c>
      <c r="S2724" s="523" t="n">
        <v>44760</v>
      </c>
      <c r="T2724" s="522" t="inlineStr">
        <is>
          <t>2207008218</t>
        </is>
      </c>
      <c r="U2724" s="522" t="inlineStr">
        <is>
          <t>L001-901905215</t>
        </is>
      </c>
      <c r="V2724" s="522" t="inlineStr">
        <is>
          <t>វីអ៊ីស៊ិន (ខេមបូឌា) អ៊ិនដាសស្ទ្រី ឯ.ក</t>
        </is>
      </c>
      <c r="W2724" s="556" t="n">
        <v>89856</v>
      </c>
    </row>
    <row r="2725">
      <c r="A2725" s="521" t="n">
        <v>2717</v>
      </c>
      <c r="B2725" s="522" t="inlineStr">
        <is>
          <t>Export Administration fee</t>
        </is>
      </c>
      <c r="C2725" s="522" t="inlineStr">
        <is>
          <t>ឆាយ ដា ឡូយីស្ទីក</t>
        </is>
      </c>
      <c r="D2725" s="522" t="inlineStr">
        <is>
          <t>L001-100063098</t>
        </is>
      </c>
      <c r="E2725" s="521" t="inlineStr">
        <is>
          <t>2207007908</t>
        </is>
      </c>
      <c r="F2725" s="523" t="n">
        <v>44753</v>
      </c>
      <c r="G2725" s="556" t="n">
        <v>89834</v>
      </c>
      <c r="I2725" s="521">
        <f>G2725</f>
        <v/>
      </c>
      <c r="K2725" s="521">
        <f>I2725-G2725</f>
        <v/>
      </c>
      <c r="M2725" s="522" t="inlineStr">
        <is>
          <t>2207007908</t>
        </is>
      </c>
      <c r="N2725" s="522" t="inlineStr">
        <is>
          <t>2207007908</t>
        </is>
      </c>
      <c r="O2725" s="521">
        <f>M2725=N2725</f>
        <v/>
      </c>
      <c r="P2725" s="521">
        <f>AND(MONTH(F2725)=MONTH(S2725), YEAR(F2725)=YEAR(S2725))</f>
        <v/>
      </c>
      <c r="Q2725" s="521">
        <f>U2725="L001-901905215"</f>
        <v/>
      </c>
      <c r="R2725" s="556">
        <f>G2725-W2725</f>
        <v/>
      </c>
      <c r="S2725" s="523" t="n">
        <v>44753</v>
      </c>
      <c r="T2725" s="522" t="inlineStr">
        <is>
          <t>2207007908</t>
        </is>
      </c>
      <c r="U2725" s="522" t="inlineStr">
        <is>
          <t>L001-901905215</t>
        </is>
      </c>
      <c r="V2725" s="522" t="inlineStr">
        <is>
          <t>វីអ៊ីស៊ិន (ខេមបូឌា) អ៊ិនដាសស្ទ្រី ឯ.ក</t>
        </is>
      </c>
      <c r="W2725" s="556" t="n">
        <v>89834</v>
      </c>
    </row>
    <row r="2726">
      <c r="A2726" s="521" t="n">
        <v>2718</v>
      </c>
      <c r="B2726" s="522" t="inlineStr">
        <is>
          <t>Export Administration fee</t>
        </is>
      </c>
      <c r="C2726" s="522" t="inlineStr">
        <is>
          <t>ឆាយ ដា ឡូយីស្ទីក</t>
        </is>
      </c>
      <c r="D2726" s="522" t="inlineStr">
        <is>
          <t>L001-100063098</t>
        </is>
      </c>
      <c r="E2726" s="521" t="inlineStr">
        <is>
          <t>2207007904</t>
        </is>
      </c>
      <c r="F2726" s="523" t="n">
        <v>44753</v>
      </c>
      <c r="G2726" s="556" t="n">
        <v>89834</v>
      </c>
      <c r="I2726" s="521">
        <f>G2726</f>
        <v/>
      </c>
      <c r="K2726" s="521">
        <f>I2726-G2726</f>
        <v/>
      </c>
      <c r="M2726" s="522" t="inlineStr">
        <is>
          <t>2207007904</t>
        </is>
      </c>
      <c r="N2726" s="522" t="inlineStr">
        <is>
          <t>2207007904</t>
        </is>
      </c>
      <c r="O2726" s="521">
        <f>M2726=N2726</f>
        <v/>
      </c>
      <c r="P2726" s="521">
        <f>AND(MONTH(F2726)=MONTH(S2726), YEAR(F2726)=YEAR(S2726))</f>
        <v/>
      </c>
      <c r="Q2726" s="521">
        <f>U2726="L001-901905215"</f>
        <v/>
      </c>
      <c r="R2726" s="556">
        <f>G2726-W2726</f>
        <v/>
      </c>
      <c r="S2726" s="523" t="n">
        <v>44753</v>
      </c>
      <c r="T2726" s="522" t="inlineStr">
        <is>
          <t>2207007904</t>
        </is>
      </c>
      <c r="U2726" s="522" t="inlineStr">
        <is>
          <t>L001-901905215</t>
        </is>
      </c>
      <c r="V2726" s="522" t="inlineStr">
        <is>
          <t>វីអ៊ីស៊ិន (ខេមបូឌា) អ៊ិនដាសស្ទ្រី ឯ.ក</t>
        </is>
      </c>
      <c r="W2726" s="556" t="n">
        <v>89834</v>
      </c>
    </row>
    <row r="2727">
      <c r="A2727" s="521" t="n">
        <v>2719</v>
      </c>
      <c r="B2727" s="522" t="inlineStr">
        <is>
          <t>Export Administration fee</t>
        </is>
      </c>
      <c r="C2727" s="522" t="inlineStr">
        <is>
          <t>ឆាយ ដា ឡូយីស្ទីក</t>
        </is>
      </c>
      <c r="D2727" s="522" t="inlineStr">
        <is>
          <t>L001-100063098</t>
        </is>
      </c>
      <c r="E2727" s="521" t="inlineStr">
        <is>
          <t>2207007895</t>
        </is>
      </c>
      <c r="F2727" s="523" t="n">
        <v>44753</v>
      </c>
      <c r="G2727" s="556" t="n">
        <v>89834</v>
      </c>
      <c r="I2727" s="521">
        <f>G2727</f>
        <v/>
      </c>
      <c r="K2727" s="521">
        <f>I2727-G2727</f>
        <v/>
      </c>
      <c r="M2727" s="522" t="inlineStr">
        <is>
          <t>2207007895</t>
        </is>
      </c>
      <c r="N2727" s="522" t="inlineStr">
        <is>
          <t>2207007895</t>
        </is>
      </c>
      <c r="O2727" s="521">
        <f>M2727=N2727</f>
        <v/>
      </c>
      <c r="P2727" s="521">
        <f>AND(MONTH(F2727)=MONTH(S2727), YEAR(F2727)=YEAR(S2727))</f>
        <v/>
      </c>
      <c r="Q2727" s="521">
        <f>U2727="L001-901905215"</f>
        <v/>
      </c>
      <c r="R2727" s="556">
        <f>G2727-W2727</f>
        <v/>
      </c>
      <c r="S2727" s="523" t="n">
        <v>44753</v>
      </c>
      <c r="T2727" s="522" t="inlineStr">
        <is>
          <t>2207007895</t>
        </is>
      </c>
      <c r="U2727" s="522" t="inlineStr">
        <is>
          <t>L001-901905215</t>
        </is>
      </c>
      <c r="V2727" s="522" t="inlineStr">
        <is>
          <t>វីអ៊ីស៊ិន (ខេមបូឌា) អ៊ិនដាសស្ទ្រី ឯ.ក</t>
        </is>
      </c>
      <c r="W2727" s="556" t="n">
        <v>89834</v>
      </c>
    </row>
    <row r="2728">
      <c r="A2728" s="521" t="n">
        <v>2720</v>
      </c>
      <c r="B2728" s="522" t="inlineStr">
        <is>
          <t>Clearance &amp; Trucking fee</t>
        </is>
      </c>
      <c r="C2728" s="522" t="inlineStr">
        <is>
          <t>56ប៊ី-លីង សឹបផ្លាយ ឆេន មេនេចម៉ិន ឯ.ក</t>
        </is>
      </c>
      <c r="D2728" s="522" t="inlineStr">
        <is>
          <t>K004-902004795</t>
        </is>
      </c>
      <c r="E2728" s="521" t="inlineStr">
        <is>
          <t>TI2022-0599</t>
        </is>
      </c>
      <c r="F2728" s="523" t="n">
        <v>44771</v>
      </c>
      <c r="G2728" s="556" t="n">
        <v>186778</v>
      </c>
      <c r="I2728" s="521">
        <f>G2728</f>
        <v/>
      </c>
      <c r="K2728" s="521">
        <f>I2728-G2728</f>
        <v/>
      </c>
      <c r="M2728" s="522" t="inlineStr">
        <is>
          <t>TI20220599</t>
        </is>
      </c>
      <c r="N2728" s="522" t="inlineStr">
        <is>
          <t>TI20220599</t>
        </is>
      </c>
      <c r="O2728" s="521">
        <f>M2728=N2728</f>
        <v/>
      </c>
      <c r="P2728" s="521">
        <f>AND(MONTH(F2728)=MONTH(S2728), YEAR(F2728)=YEAR(S2728))</f>
        <v/>
      </c>
      <c r="Q2728" s="521">
        <f>U2728="L001-901905215"</f>
        <v/>
      </c>
      <c r="R2728" s="556">
        <f>G2728-W2728</f>
        <v/>
      </c>
      <c r="S2728" s="523" t="n">
        <v>44771</v>
      </c>
      <c r="T2728" s="522" t="inlineStr">
        <is>
          <t>TI2022-0599</t>
        </is>
      </c>
      <c r="U2728" s="522" t="inlineStr">
        <is>
          <t>L001-901905215</t>
        </is>
      </c>
      <c r="V2728" s="522" t="inlineStr">
        <is>
          <t>វីអ៊ីស៊ិន (ខេមបូឌា) អ៊ិនដាសស្ទ្រី ឯ.ក</t>
        </is>
      </c>
      <c r="W2728" s="556" t="n">
        <v>186778</v>
      </c>
    </row>
    <row r="2729">
      <c r="A2729" s="521" t="n">
        <v>2721</v>
      </c>
      <c r="B2729" s="522" t="inlineStr">
        <is>
          <t>Clearance &amp; Trucking fee</t>
        </is>
      </c>
      <c r="C2729" s="522" t="inlineStr">
        <is>
          <t>56ប៊ី-លីង សឹបផ្លាយ ឆេន មេនេចម៉ិន ឯ.ក</t>
        </is>
      </c>
      <c r="D2729" s="522" t="inlineStr">
        <is>
          <t>K004-902004795</t>
        </is>
      </c>
      <c r="E2729" s="521" t="inlineStr">
        <is>
          <t>TI2022-0598</t>
        </is>
      </c>
      <c r="F2729" s="523" t="n">
        <v>44771</v>
      </c>
      <c r="G2729" s="556" t="n">
        <v>186778</v>
      </c>
      <c r="I2729" s="521">
        <f>G2729</f>
        <v/>
      </c>
      <c r="K2729" s="521">
        <f>I2729-G2729</f>
        <v/>
      </c>
      <c r="M2729" s="522" t="inlineStr">
        <is>
          <t>TI20220598</t>
        </is>
      </c>
      <c r="N2729" s="522" t="inlineStr">
        <is>
          <t>TI20220598</t>
        </is>
      </c>
      <c r="O2729" s="521">
        <f>M2729=N2729</f>
        <v/>
      </c>
      <c r="P2729" s="521">
        <f>AND(MONTH(F2729)=MONTH(S2729), YEAR(F2729)=YEAR(S2729))</f>
        <v/>
      </c>
      <c r="Q2729" s="521">
        <f>U2729="L001-901905215"</f>
        <v/>
      </c>
      <c r="R2729" s="556">
        <f>G2729-W2729</f>
        <v/>
      </c>
      <c r="S2729" s="523" t="n">
        <v>44771</v>
      </c>
      <c r="T2729" s="522" t="inlineStr">
        <is>
          <t>TI2022-0598</t>
        </is>
      </c>
      <c r="U2729" s="522" t="inlineStr">
        <is>
          <t>L001-901905215</t>
        </is>
      </c>
      <c r="V2729" s="522" t="inlineStr">
        <is>
          <t>វីអ៊ីស៊ិន (ខេមបូឌា) អ៊ិនដាសស្ទ្រី ឯ.ក</t>
        </is>
      </c>
      <c r="W2729" s="556" t="n">
        <v>186778</v>
      </c>
    </row>
    <row r="2730">
      <c r="A2730" s="521" t="n">
        <v>2722</v>
      </c>
      <c r="B2730" s="522" t="inlineStr">
        <is>
          <t>Clearance &amp; Trucking fee</t>
        </is>
      </c>
      <c r="C2730" s="522" t="inlineStr">
        <is>
          <t>56ប៊ី-លីង សឹបផ្លាយ ឆេន មេនេចម៉ិន ឯ.ក</t>
        </is>
      </c>
      <c r="D2730" s="522" t="inlineStr">
        <is>
          <t>K004-902004795</t>
        </is>
      </c>
      <c r="E2730" s="521" t="inlineStr">
        <is>
          <t>TI2022-0597</t>
        </is>
      </c>
      <c r="F2730" s="523" t="n">
        <v>44771</v>
      </c>
      <c r="G2730" s="556" t="n">
        <v>186778</v>
      </c>
      <c r="I2730" s="521">
        <f>G2730</f>
        <v/>
      </c>
      <c r="K2730" s="521">
        <f>I2730-G2730</f>
        <v/>
      </c>
      <c r="M2730" s="522" t="inlineStr">
        <is>
          <t>TI20220597</t>
        </is>
      </c>
      <c r="N2730" s="522" t="inlineStr">
        <is>
          <t>TI20220597</t>
        </is>
      </c>
      <c r="O2730" s="521">
        <f>M2730=N2730</f>
        <v/>
      </c>
      <c r="P2730" s="521">
        <f>AND(MONTH(F2730)=MONTH(S2730), YEAR(F2730)=YEAR(S2730))</f>
        <v/>
      </c>
      <c r="Q2730" s="521">
        <f>U2730="L001-901905215"</f>
        <v/>
      </c>
      <c r="R2730" s="556">
        <f>G2730-W2730</f>
        <v/>
      </c>
      <c r="S2730" s="523" t="n">
        <v>44771</v>
      </c>
      <c r="T2730" s="522" t="inlineStr">
        <is>
          <t>TI2022-0597</t>
        </is>
      </c>
      <c r="U2730" s="522" t="inlineStr">
        <is>
          <t>L001-901905215</t>
        </is>
      </c>
      <c r="V2730" s="522" t="inlineStr">
        <is>
          <t>វីអ៊ីស៊ិន (ខេមបូឌា) អ៊ិនដាសស្ទ្រី ឯ.ក</t>
        </is>
      </c>
      <c r="W2730" s="556" t="n">
        <v>186778</v>
      </c>
    </row>
    <row r="2731">
      <c r="A2731" s="521" t="n">
        <v>2723</v>
      </c>
      <c r="B2731" s="522" t="inlineStr">
        <is>
          <t>Clearance &amp; Trucking fee</t>
        </is>
      </c>
      <c r="C2731" s="522" t="inlineStr">
        <is>
          <t>56ប៊ី-លីង សឹបផ្លាយ ឆេន មេនេចម៉ិន ឯ.ក</t>
        </is>
      </c>
      <c r="D2731" s="522" t="inlineStr">
        <is>
          <t>K004-902004795</t>
        </is>
      </c>
      <c r="E2731" s="521" t="inlineStr">
        <is>
          <t>TI2022-0596</t>
        </is>
      </c>
      <c r="F2731" s="523" t="n">
        <v>44771</v>
      </c>
      <c r="G2731" s="556" t="n">
        <v>186778</v>
      </c>
      <c r="I2731" s="521">
        <f>G2731</f>
        <v/>
      </c>
      <c r="K2731" s="521">
        <f>I2731-G2731</f>
        <v/>
      </c>
      <c r="M2731" s="522" t="inlineStr">
        <is>
          <t>TI20220596</t>
        </is>
      </c>
      <c r="N2731" s="522" t="inlineStr">
        <is>
          <t>TI20220596</t>
        </is>
      </c>
      <c r="O2731" s="521">
        <f>M2731=N2731</f>
        <v/>
      </c>
      <c r="P2731" s="521">
        <f>AND(MONTH(F2731)=MONTH(S2731), YEAR(F2731)=YEAR(S2731))</f>
        <v/>
      </c>
      <c r="Q2731" s="521">
        <f>U2731="L001-901905215"</f>
        <v/>
      </c>
      <c r="R2731" s="556">
        <f>G2731-W2731</f>
        <v/>
      </c>
      <c r="S2731" s="523" t="n">
        <v>44771</v>
      </c>
      <c r="T2731" s="522" t="inlineStr">
        <is>
          <t>TI2022-0596</t>
        </is>
      </c>
      <c r="U2731" s="522" t="inlineStr">
        <is>
          <t>L001-901905215</t>
        </is>
      </c>
      <c r="V2731" s="522" t="inlineStr">
        <is>
          <t>វីអ៊ីស៊ិន (ខេមបូឌា) អ៊ិនដាសស្ទ្រី ឯ.ក</t>
        </is>
      </c>
      <c r="W2731" s="556" t="n">
        <v>186778</v>
      </c>
    </row>
    <row r="2732">
      <c r="A2732" s="521" t="n">
        <v>2724</v>
      </c>
      <c r="B2732" s="522" t="inlineStr">
        <is>
          <t>Clearance &amp; Trucking fee</t>
        </is>
      </c>
      <c r="C2732" s="522" t="inlineStr">
        <is>
          <t>56ប៊ី-លីង សឹបផ្លាយ ឆេន មេនេចម៉ិន ឯ.ក</t>
        </is>
      </c>
      <c r="D2732" s="522" t="inlineStr">
        <is>
          <t>K004-902004795</t>
        </is>
      </c>
      <c r="E2732" s="521" t="inlineStr">
        <is>
          <t>TI2022-0595</t>
        </is>
      </c>
      <c r="F2732" s="523" t="n">
        <v>44771</v>
      </c>
      <c r="G2732" s="556" t="n">
        <v>186778</v>
      </c>
      <c r="I2732" s="521">
        <f>G2732</f>
        <v/>
      </c>
      <c r="K2732" s="521">
        <f>I2732-G2732</f>
        <v/>
      </c>
      <c r="M2732" s="522" t="inlineStr">
        <is>
          <t>TI20220595</t>
        </is>
      </c>
      <c r="N2732" s="522" t="inlineStr">
        <is>
          <t>TI20220595</t>
        </is>
      </c>
      <c r="O2732" s="521">
        <f>M2732=N2732</f>
        <v/>
      </c>
      <c r="P2732" s="521">
        <f>AND(MONTH(F2732)=MONTH(S2732), YEAR(F2732)=YEAR(S2732))</f>
        <v/>
      </c>
      <c r="Q2732" s="521">
        <f>U2732="L001-901905215"</f>
        <v/>
      </c>
      <c r="R2732" s="556">
        <f>G2732-W2732</f>
        <v/>
      </c>
      <c r="S2732" s="523" t="n">
        <v>44771</v>
      </c>
      <c r="T2732" s="522" t="inlineStr">
        <is>
          <t>TI2022-0595</t>
        </is>
      </c>
      <c r="U2732" s="522" t="inlineStr">
        <is>
          <t>L001-901905215</t>
        </is>
      </c>
      <c r="V2732" s="522" t="inlineStr">
        <is>
          <t>វីអ៊ីស៊ិន (ខេមបូឌា) អ៊ិនដាសស្ទ្រី ឯ.ក</t>
        </is>
      </c>
      <c r="W2732" s="556" t="n">
        <v>186778</v>
      </c>
    </row>
    <row r="2733">
      <c r="A2733" s="521" t="n">
        <v>2725</v>
      </c>
      <c r="B2733" s="522" t="inlineStr">
        <is>
          <t>Clearance &amp; Trucking fee</t>
        </is>
      </c>
      <c r="C2733" s="522" t="inlineStr">
        <is>
          <t>56ប៊ី-លីង សឹបផ្លាយ ឆេន មេនេចម៉ិន ឯ.ក</t>
        </is>
      </c>
      <c r="D2733" s="522" t="inlineStr">
        <is>
          <t>K004-902004795</t>
        </is>
      </c>
      <c r="E2733" s="521" t="inlineStr">
        <is>
          <t>TI2022-0587</t>
        </is>
      </c>
      <c r="F2733" s="523" t="n">
        <v>44769</v>
      </c>
      <c r="G2733" s="556" t="n">
        <v>186778</v>
      </c>
      <c r="I2733" s="521">
        <f>G2733</f>
        <v/>
      </c>
      <c r="K2733" s="521">
        <f>I2733-G2733</f>
        <v/>
      </c>
      <c r="M2733" s="522" t="inlineStr">
        <is>
          <t>TI20220587</t>
        </is>
      </c>
      <c r="N2733" s="522" t="inlineStr">
        <is>
          <t>TI20220587</t>
        </is>
      </c>
      <c r="O2733" s="521">
        <f>M2733=N2733</f>
        <v/>
      </c>
      <c r="P2733" s="521">
        <f>AND(MONTH(F2733)=MONTH(S2733), YEAR(F2733)=YEAR(S2733))</f>
        <v/>
      </c>
      <c r="Q2733" s="521">
        <f>U2733="L001-901905215"</f>
        <v/>
      </c>
      <c r="R2733" s="556">
        <f>G2733-W2733</f>
        <v/>
      </c>
      <c r="S2733" s="523" t="n">
        <v>44769</v>
      </c>
      <c r="T2733" s="522" t="inlineStr">
        <is>
          <t>TI2022-0587</t>
        </is>
      </c>
      <c r="U2733" s="522" t="inlineStr">
        <is>
          <t>L001-901905215</t>
        </is>
      </c>
      <c r="V2733" s="522" t="inlineStr">
        <is>
          <t>វីអ៊ីស៊ិន (ខេមបូឌា) អ៊ិនដាសស្ទ្រី ឯ.ក</t>
        </is>
      </c>
      <c r="W2733" s="556" t="n">
        <v>186778</v>
      </c>
    </row>
    <row r="2734">
      <c r="A2734" s="521" t="n">
        <v>2726</v>
      </c>
      <c r="B2734" s="522" t="inlineStr">
        <is>
          <t>Clearance &amp; Trucking fee</t>
        </is>
      </c>
      <c r="C2734" s="522" t="inlineStr">
        <is>
          <t>56ប៊ី-លីង សឹបផ្លាយ ឆេន មេនេចម៉ិន ឯ.ក</t>
        </is>
      </c>
      <c r="D2734" s="522" t="inlineStr">
        <is>
          <t>K004-902004795</t>
        </is>
      </c>
      <c r="E2734" s="521" t="inlineStr">
        <is>
          <t>TI2022-0581</t>
        </is>
      </c>
      <c r="F2734" s="523" t="n">
        <v>44764</v>
      </c>
      <c r="G2734" s="556" t="n">
        <v>340549</v>
      </c>
      <c r="I2734" s="521">
        <f>G2734</f>
        <v/>
      </c>
      <c r="K2734" s="521">
        <f>I2734-G2734</f>
        <v/>
      </c>
      <c r="M2734" s="522" t="inlineStr">
        <is>
          <t>TI20220581</t>
        </is>
      </c>
      <c r="N2734" s="522" t="inlineStr">
        <is>
          <t>TI20220581</t>
        </is>
      </c>
      <c r="O2734" s="521">
        <f>M2734=N2734</f>
        <v/>
      </c>
      <c r="P2734" s="521">
        <f>AND(MONTH(F2734)=MONTH(S2734), YEAR(F2734)=YEAR(S2734))</f>
        <v/>
      </c>
      <c r="Q2734" s="521">
        <f>U2734="L001-901905215"</f>
        <v/>
      </c>
      <c r="R2734" s="556">
        <f>G2734-W2734</f>
        <v/>
      </c>
      <c r="S2734" s="523" t="n">
        <v>44764</v>
      </c>
      <c r="T2734" s="522" t="inlineStr">
        <is>
          <t>TI2022-0581</t>
        </is>
      </c>
      <c r="U2734" s="522" t="inlineStr">
        <is>
          <t>L001-901905215</t>
        </is>
      </c>
      <c r="V2734" s="522" t="inlineStr">
        <is>
          <t>វីអ៊ីស៊ិន (ខេមបូឌា) អ៊ិនដាសស្ទ្រី ឯ.ក</t>
        </is>
      </c>
      <c r="W2734" s="556" t="n">
        <v>340549</v>
      </c>
    </row>
    <row r="2735">
      <c r="A2735" s="521" t="n">
        <v>2727</v>
      </c>
      <c r="B2735" s="522" t="inlineStr">
        <is>
          <t>Clearance &amp; Trucking fee</t>
        </is>
      </c>
      <c r="C2735" s="522" t="inlineStr">
        <is>
          <t>56ប៊ី-លីង សឹបផ្លាយ ឆេន មេនេចម៉ិន ឯ.ក</t>
        </is>
      </c>
      <c r="D2735" s="522" t="inlineStr">
        <is>
          <t>K004-902004795</t>
        </is>
      </c>
      <c r="E2735" s="521" t="inlineStr">
        <is>
          <t>TI2022-0548</t>
        </is>
      </c>
      <c r="F2735" s="523" t="n">
        <v>44753</v>
      </c>
      <c r="G2735" s="556" t="n">
        <v>194845</v>
      </c>
      <c r="I2735" s="521">
        <f>G2735</f>
        <v/>
      </c>
      <c r="K2735" s="521">
        <f>I2735-G2735</f>
        <v/>
      </c>
      <c r="M2735" s="522" t="inlineStr">
        <is>
          <t>TI20220548</t>
        </is>
      </c>
      <c r="N2735" s="522" t="inlineStr">
        <is>
          <t>TI20220548</t>
        </is>
      </c>
      <c r="O2735" s="521">
        <f>M2735=N2735</f>
        <v/>
      </c>
      <c r="P2735" s="521">
        <f>AND(MONTH(F2735)=MONTH(S2735), YEAR(F2735)=YEAR(S2735))</f>
        <v/>
      </c>
      <c r="Q2735" s="521">
        <f>U2735="L001-901905215"</f>
        <v/>
      </c>
      <c r="R2735" s="556">
        <f>G2735-W2735</f>
        <v/>
      </c>
      <c r="S2735" s="523" t="n">
        <v>44753</v>
      </c>
      <c r="T2735" s="522" t="inlineStr">
        <is>
          <t>TI2022-0548</t>
        </is>
      </c>
      <c r="U2735" s="522" t="inlineStr">
        <is>
          <t>L001-901905215</t>
        </is>
      </c>
      <c r="V2735" s="522" t="inlineStr">
        <is>
          <t>វីអ៊ីស៊ិន (ខេមបូឌា) អ៊ិនដាសស្ទ្រី ឯ.ក</t>
        </is>
      </c>
      <c r="W2735" s="556" t="n">
        <v>194845</v>
      </c>
    </row>
    <row r="2736">
      <c r="A2736" s="521" t="n">
        <v>2728</v>
      </c>
      <c r="B2736" s="522" t="inlineStr">
        <is>
          <t>Clearance &amp; Trucking fee</t>
        </is>
      </c>
      <c r="C2736" s="522" t="inlineStr">
        <is>
          <t>56ប៊ី-លីង សឹបផ្លាយ ឆេន មេនេចម៉ិន ឯ.ក</t>
        </is>
      </c>
      <c r="D2736" s="522" t="inlineStr">
        <is>
          <t>K004-902004795</t>
        </is>
      </c>
      <c r="E2736" s="521" t="inlineStr">
        <is>
          <t>TI2022-0547</t>
        </is>
      </c>
      <c r="F2736" s="523" t="n">
        <v>44753</v>
      </c>
      <c r="G2736" s="556" t="n">
        <v>186641</v>
      </c>
      <c r="I2736" s="521">
        <f>G2736</f>
        <v/>
      </c>
      <c r="K2736" s="521">
        <f>I2736-G2736</f>
        <v/>
      </c>
      <c r="M2736" s="522" t="inlineStr">
        <is>
          <t>TI20220547</t>
        </is>
      </c>
      <c r="N2736" s="522" t="inlineStr">
        <is>
          <t>TI20220547</t>
        </is>
      </c>
      <c r="O2736" s="521">
        <f>M2736=N2736</f>
        <v/>
      </c>
      <c r="P2736" s="521">
        <f>AND(MONTH(F2736)=MONTH(S2736), YEAR(F2736)=YEAR(S2736))</f>
        <v/>
      </c>
      <c r="Q2736" s="521">
        <f>U2736="L001-901905215"</f>
        <v/>
      </c>
      <c r="R2736" s="556">
        <f>G2736-W2736</f>
        <v/>
      </c>
      <c r="S2736" s="523" t="n">
        <v>44753</v>
      </c>
      <c r="T2736" s="522" t="inlineStr">
        <is>
          <t>TI2022-0547</t>
        </is>
      </c>
      <c r="U2736" s="522" t="inlineStr">
        <is>
          <t>L001-901905215</t>
        </is>
      </c>
      <c r="V2736" s="522" t="inlineStr">
        <is>
          <t>វីអ៊ីស៊ិន (ខេមបូឌា) អ៊ិនដាសស្ទ្រី ឯ.ក</t>
        </is>
      </c>
      <c r="W2736" s="556" t="n">
        <v>186641</v>
      </c>
    </row>
    <row r="2737">
      <c r="A2737" s="521" t="n">
        <v>2729</v>
      </c>
      <c r="B2737" s="522" t="inlineStr">
        <is>
          <t>Clearance &amp; Trucking fee</t>
        </is>
      </c>
      <c r="C2737" s="522" t="inlineStr">
        <is>
          <t>56ប៊ី-លីង សឹបផ្លាយ ឆេន មេនេចម៉ិន ឯ.ក</t>
        </is>
      </c>
      <c r="D2737" s="522" t="inlineStr">
        <is>
          <t>K004-902004795</t>
        </is>
      </c>
      <c r="E2737" s="521" t="inlineStr">
        <is>
          <t>TI2022-0546</t>
        </is>
      </c>
      <c r="F2737" s="523" t="n">
        <v>44753</v>
      </c>
      <c r="G2737" s="556" t="n">
        <v>211253</v>
      </c>
      <c r="I2737" s="521">
        <f>G2737</f>
        <v/>
      </c>
      <c r="K2737" s="521">
        <f>I2737-G2737</f>
        <v/>
      </c>
      <c r="M2737" s="522" t="inlineStr">
        <is>
          <t>TI20220546</t>
        </is>
      </c>
      <c r="N2737" s="522" t="inlineStr">
        <is>
          <t>TI20220546</t>
        </is>
      </c>
      <c r="O2737" s="521">
        <f>M2737=N2737</f>
        <v/>
      </c>
      <c r="P2737" s="521">
        <f>AND(MONTH(F2737)=MONTH(S2737), YEAR(F2737)=YEAR(S2737))</f>
        <v/>
      </c>
      <c r="Q2737" s="521">
        <f>U2737="L001-901905215"</f>
        <v/>
      </c>
      <c r="R2737" s="556">
        <f>G2737-W2737</f>
        <v/>
      </c>
      <c r="S2737" s="523" t="n">
        <v>44753</v>
      </c>
      <c r="T2737" s="522" t="inlineStr">
        <is>
          <t>TI2022-0546</t>
        </is>
      </c>
      <c r="U2737" s="522" t="inlineStr">
        <is>
          <t>L001-901905215</t>
        </is>
      </c>
      <c r="V2737" s="522" t="inlineStr">
        <is>
          <t>វីអ៊ីស៊ិន (ខេមបូឌា) អ៊ិនដាសស្ទ្រី ឯ.ក</t>
        </is>
      </c>
      <c r="W2737" s="556" t="n">
        <v>211253</v>
      </c>
    </row>
    <row r="2738">
      <c r="A2738" s="521" t="n">
        <v>2730</v>
      </c>
      <c r="B2738" s="522" t="inlineStr">
        <is>
          <t>Storage 40 Feet Container Full-Export</t>
        </is>
      </c>
      <c r="C2738" s="522" t="inlineStr">
        <is>
          <t>កំពង់ផែស្វយ័តភ្នំពេញ "ក.ស.ភ"</t>
        </is>
      </c>
      <c r="D2738" s="522" t="inlineStr">
        <is>
          <t>L001-100044999</t>
        </is>
      </c>
      <c r="E2738" s="521" t="inlineStr">
        <is>
          <t>INV20220753380</t>
        </is>
      </c>
      <c r="F2738" s="523" t="n">
        <v>44756</v>
      </c>
      <c r="G2738" s="556" t="n">
        <v>2461</v>
      </c>
      <c r="I2738" s="521">
        <f>G2738</f>
        <v/>
      </c>
      <c r="K2738" s="521">
        <f>I2738-G2738</f>
        <v/>
      </c>
      <c r="M2738" s="522" t="inlineStr">
        <is>
          <t>INV20220753380</t>
        </is>
      </c>
      <c r="N2738" s="522" t="inlineStr"/>
      <c r="O2738" s="521">
        <f>M2738=N2738</f>
        <v/>
      </c>
      <c r="P2738" s="521">
        <f>AND(MONTH(F2738)=MONTH(S2738), YEAR(F2738)=YEAR(S2738))</f>
        <v/>
      </c>
      <c r="Q2738" s="521">
        <f>U2738="L001-901905215"</f>
        <v/>
      </c>
      <c r="R2738" s="556">
        <f>G2738-W2738</f>
        <v/>
      </c>
      <c r="S2738" s="521" t="n"/>
      <c r="T2738" s="522" t="n"/>
      <c r="U2738" s="522" t="n"/>
      <c r="V2738" s="522" t="n"/>
      <c r="W2738" s="521" t="n"/>
    </row>
    <row r="2739">
      <c r="A2739" s="521" t="n">
        <v>2731</v>
      </c>
      <c r="B2739" s="522" t="n"/>
      <c r="C2739" s="522" t="inlineStr">
        <is>
          <t>ភីស៊ីអាយ សឺវីស</t>
        </is>
      </c>
      <c r="D2739" s="522" t="inlineStr">
        <is>
          <t>K010-901639639</t>
        </is>
      </c>
      <c r="E2739" s="521" t="inlineStr">
        <is>
          <t>201901136</t>
        </is>
      </c>
      <c r="F2739" s="523" t="n">
        <v>44059</v>
      </c>
      <c r="G2739" s="556" t="n">
        <v>81900</v>
      </c>
      <c r="I2739" s="521">
        <f>G2739</f>
        <v/>
      </c>
      <c r="K2739" s="521">
        <f>I2739-G2739</f>
        <v/>
      </c>
      <c r="M2739" s="522" t="inlineStr">
        <is>
          <t>201901136</t>
        </is>
      </c>
      <c r="N2739" s="522" t="inlineStr"/>
      <c r="O2739" s="521">
        <f>M2739=N2739</f>
        <v/>
      </c>
      <c r="P2739" s="521">
        <f>AND(MONTH(F2739)=MONTH(S2739), YEAR(F2739)=YEAR(S2739))</f>
        <v/>
      </c>
      <c r="Q2739" s="521">
        <f>U2739="L001-901905215"</f>
        <v/>
      </c>
      <c r="R2739" s="556">
        <f>G2739-W2739</f>
        <v/>
      </c>
      <c r="S2739" s="521" t="n"/>
      <c r="T2739" s="522" t="n"/>
      <c r="U2739" s="522" t="n"/>
      <c r="V2739" s="522" t="n"/>
      <c r="W2739" s="521" t="n"/>
    </row>
    <row r="2740">
      <c r="A2740" s="521" t="n">
        <v>2732</v>
      </c>
      <c r="B2740" s="522" t="n"/>
      <c r="C2740" s="522" t="inlineStr">
        <is>
          <t>អ៊ិចស្ពែឌីធ័រ ខេមបូឌា អិលធីឌី</t>
        </is>
      </c>
      <c r="D2740" s="522" t="inlineStr">
        <is>
          <t>L001-100045898</t>
        </is>
      </c>
      <c r="E2740" s="521" t="inlineStr">
        <is>
          <t>TI0182509</t>
        </is>
      </c>
      <c r="F2740" s="523" t="n">
        <v>44069</v>
      </c>
      <c r="G2740" s="556" t="n">
        <v>120347</v>
      </c>
      <c r="I2740" s="521">
        <f>G2740</f>
        <v/>
      </c>
      <c r="K2740" s="521">
        <f>I2740-G2740</f>
        <v/>
      </c>
      <c r="M2740" s="522" t="inlineStr">
        <is>
          <t>TI0182509</t>
        </is>
      </c>
      <c r="N2740" s="522" t="inlineStr">
        <is>
          <t>TI0182509</t>
        </is>
      </c>
      <c r="O2740" s="521">
        <f>M2740=N2740</f>
        <v/>
      </c>
      <c r="P2740" s="521">
        <f>AND(MONTH(F2740)=MONTH(S2740), YEAR(F2740)=YEAR(S2740))</f>
        <v/>
      </c>
      <c r="Q2740" s="521">
        <f>U2740="L001-901905215"</f>
        <v/>
      </c>
      <c r="R2740" s="556">
        <f>G2740-W2740</f>
        <v/>
      </c>
      <c r="S2740" s="523" t="n">
        <v>44069</v>
      </c>
      <c r="T2740" s="522" t="inlineStr">
        <is>
          <t>TI-0182509</t>
        </is>
      </c>
      <c r="U2740" s="522" t="inlineStr">
        <is>
          <t>L001-901905215</t>
        </is>
      </c>
      <c r="V2740" s="522" t="inlineStr">
        <is>
          <t>វីអ៊ីស៊ិន (ខេមបូឌា) អ៊ិនដាសស្ទ្រី ឯ.ក</t>
        </is>
      </c>
      <c r="W2740" s="556" t="n">
        <v>120347</v>
      </c>
    </row>
    <row r="2741">
      <c r="A2741" s="521" t="n">
        <v>2733</v>
      </c>
      <c r="B2741" s="522" t="n"/>
      <c r="C2741" s="522" t="inlineStr">
        <is>
          <t>វ៉ាយ.ស៊ី ផេកខេជីង ឯ.ក</t>
        </is>
      </c>
      <c r="D2741" s="522" t="inlineStr">
        <is>
          <t>L001-901700417</t>
        </is>
      </c>
      <c r="E2741" s="521" t="inlineStr">
        <is>
          <t>TI0133</t>
        </is>
      </c>
      <c r="F2741" s="523" t="n">
        <v>44074</v>
      </c>
      <c r="G2741" s="556" t="n">
        <v>1086282</v>
      </c>
      <c r="I2741" s="521">
        <f>G2741</f>
        <v/>
      </c>
      <c r="K2741" s="521">
        <f>I2741-G2741</f>
        <v/>
      </c>
      <c r="M2741" s="522" t="inlineStr">
        <is>
          <t>TI0133</t>
        </is>
      </c>
      <c r="N2741" s="522" t="inlineStr">
        <is>
          <t>TI0133</t>
        </is>
      </c>
      <c r="O2741" s="521">
        <f>M2741=N2741</f>
        <v/>
      </c>
      <c r="P2741" s="521">
        <f>AND(MONTH(F2741)=MONTH(S2741), YEAR(F2741)=YEAR(S2741))</f>
        <v/>
      </c>
      <c r="Q2741" s="521">
        <f>U2741="L001-901905215"</f>
        <v/>
      </c>
      <c r="R2741" s="556">
        <f>G2741-W2741</f>
        <v/>
      </c>
      <c r="S2741" s="523" t="n">
        <v>44074</v>
      </c>
      <c r="T2741" s="522" t="inlineStr">
        <is>
          <t>TI0133</t>
        </is>
      </c>
      <c r="U2741" s="522" t="inlineStr">
        <is>
          <t>L001-901905215</t>
        </is>
      </c>
      <c r="V2741" s="522" t="inlineStr">
        <is>
          <t>វីអ៊ីស៊ិន (ខេមបូឌា) អ៊ិនដាសស្ទ្រី ឯ.ក</t>
        </is>
      </c>
      <c r="W2741" s="556" t="n">
        <v>1086282</v>
      </c>
    </row>
    <row r="2742">
      <c r="A2742" s="521" t="n">
        <v>2734</v>
      </c>
      <c r="B2742" s="522" t="n"/>
      <c r="C2742" s="522" t="inlineStr">
        <is>
          <t>វ៉ាយ.ស៊ី ផេកខេជីង ឯ.ក</t>
        </is>
      </c>
      <c r="D2742" s="522" t="inlineStr">
        <is>
          <t>L001-901700417</t>
        </is>
      </c>
      <c r="E2742" s="521" t="inlineStr">
        <is>
          <t>TI0127</t>
        </is>
      </c>
      <c r="F2742" s="523" t="n">
        <v>44069</v>
      </c>
      <c r="G2742" s="556" t="n">
        <v>616002</v>
      </c>
      <c r="I2742" s="521">
        <f>G2742</f>
        <v/>
      </c>
      <c r="K2742" s="521">
        <f>I2742-G2742</f>
        <v/>
      </c>
      <c r="M2742" s="522" t="inlineStr">
        <is>
          <t>TI0127</t>
        </is>
      </c>
      <c r="N2742" s="522" t="inlineStr">
        <is>
          <t>TI0127</t>
        </is>
      </c>
      <c r="O2742" s="521">
        <f>M2742=N2742</f>
        <v/>
      </c>
      <c r="P2742" s="521">
        <f>AND(MONTH(F2742)=MONTH(S2742), YEAR(F2742)=YEAR(S2742))</f>
        <v/>
      </c>
      <c r="Q2742" s="521">
        <f>U2742="L001-901905215"</f>
        <v/>
      </c>
      <c r="R2742" s="556">
        <f>G2742-W2742</f>
        <v/>
      </c>
      <c r="S2742" s="523" t="n">
        <v>44069</v>
      </c>
      <c r="T2742" s="522" t="inlineStr">
        <is>
          <t>TI0127</t>
        </is>
      </c>
      <c r="U2742" s="522" t="inlineStr">
        <is>
          <t>L001-901905215</t>
        </is>
      </c>
      <c r="V2742" s="522" t="inlineStr">
        <is>
          <t>វីអ៊ីស៊ិន (ខេមបូឌា) អ៊ិនដាសស្ទ្រី ឯ.ក</t>
        </is>
      </c>
      <c r="W2742" s="556" t="n">
        <v>616904</v>
      </c>
    </row>
    <row r="2743">
      <c r="A2743" s="521" t="n">
        <v>2735</v>
      </c>
      <c r="B2743" s="522" t="n"/>
      <c r="C2743" s="522" t="inlineStr">
        <is>
          <t>ប្យួរ៉ូ វេរីតាស (ខេមបូឌា) លីមីធីត</t>
        </is>
      </c>
      <c r="D2743" s="522" t="inlineStr">
        <is>
          <t>L001-107024462</t>
        </is>
      </c>
      <c r="E2743" s="521" t="inlineStr">
        <is>
          <t>59008238</t>
        </is>
      </c>
      <c r="F2743" s="523" t="n">
        <v>44048</v>
      </c>
      <c r="G2743" s="556" t="n">
        <v>61395</v>
      </c>
      <c r="I2743" s="521">
        <f>G2743</f>
        <v/>
      </c>
      <c r="K2743" s="521">
        <f>I2743-G2743</f>
        <v/>
      </c>
      <c r="M2743" s="522" t="inlineStr">
        <is>
          <t>59008238</t>
        </is>
      </c>
      <c r="N2743" s="522" t="inlineStr">
        <is>
          <t>59008238</t>
        </is>
      </c>
      <c r="O2743" s="521">
        <f>M2743=N2743</f>
        <v/>
      </c>
      <c r="P2743" s="521">
        <f>AND(MONTH(F2743)=MONTH(S2743), YEAR(F2743)=YEAR(S2743))</f>
        <v/>
      </c>
      <c r="Q2743" s="521">
        <f>U2743="L001-901905215"</f>
        <v/>
      </c>
      <c r="R2743" s="556">
        <f>G2743-W2743</f>
        <v/>
      </c>
      <c r="S2743" s="523" t="n">
        <v>44048</v>
      </c>
      <c r="T2743" s="522" t="inlineStr">
        <is>
          <t>59008238</t>
        </is>
      </c>
      <c r="U2743" s="522" t="inlineStr">
        <is>
          <t>L001-901905215</t>
        </is>
      </c>
      <c r="V2743" s="522" t="inlineStr">
        <is>
          <t>វីអ៊ីស៊ិន (ខេមបូឌា) អ៊ិនដាសស្ទ្រី ឯ.ក</t>
        </is>
      </c>
      <c r="W2743" s="556" t="n">
        <v>61395</v>
      </c>
    </row>
    <row r="2744">
      <c r="A2744" s="521" t="n">
        <v>2736</v>
      </c>
      <c r="B2744" s="522" t="n"/>
      <c r="C2744" s="522" t="inlineStr">
        <is>
          <t>ប្យួរ៉ូ វេរីតាស (ខេមបូឌា) លីមីធីត</t>
        </is>
      </c>
      <c r="D2744" s="522" t="inlineStr">
        <is>
          <t>L001-107024462</t>
        </is>
      </c>
      <c r="E2744" s="521" t="inlineStr">
        <is>
          <t>59008414</t>
        </is>
      </c>
      <c r="F2744" s="523" t="n">
        <v>44069</v>
      </c>
      <c r="G2744" s="556" t="n">
        <v>61485</v>
      </c>
      <c r="I2744" s="521">
        <f>G2744</f>
        <v/>
      </c>
      <c r="K2744" s="521">
        <f>I2744-G2744</f>
        <v/>
      </c>
      <c r="M2744" s="522" t="inlineStr">
        <is>
          <t>59008414</t>
        </is>
      </c>
      <c r="N2744" s="522" t="inlineStr">
        <is>
          <t>59008414</t>
        </is>
      </c>
      <c r="O2744" s="521">
        <f>M2744=N2744</f>
        <v/>
      </c>
      <c r="P2744" s="521">
        <f>AND(MONTH(F2744)=MONTH(S2744), YEAR(F2744)=YEAR(S2744))</f>
        <v/>
      </c>
      <c r="Q2744" s="521">
        <f>U2744="L001-901905215"</f>
        <v/>
      </c>
      <c r="R2744" s="556">
        <f>G2744-W2744</f>
        <v/>
      </c>
      <c r="S2744" s="523" t="n">
        <v>44069</v>
      </c>
      <c r="T2744" s="522" t="inlineStr">
        <is>
          <t>59008414</t>
        </is>
      </c>
      <c r="U2744" s="522" t="inlineStr">
        <is>
          <t>L001-901905215</t>
        </is>
      </c>
      <c r="V2744" s="522" t="inlineStr">
        <is>
          <t>វីអ៊ីស៊ិន (ខេមបូឌា) អ៊ិនដាសស្ទ្រី ឯ.ក</t>
        </is>
      </c>
      <c r="W2744" s="556" t="n">
        <v>61485</v>
      </c>
    </row>
    <row r="2745">
      <c r="A2745" s="521" t="n">
        <v>2737</v>
      </c>
      <c r="B2745" s="522" t="n"/>
      <c r="C2745" s="522" t="inlineStr">
        <is>
          <t>ប្យួរ៉ូ វេរីតាស (ខេមបូឌា) លីមីធីត</t>
        </is>
      </c>
      <c r="D2745" s="522" t="inlineStr">
        <is>
          <t>L001-107024462</t>
        </is>
      </c>
      <c r="E2745" s="521" t="inlineStr">
        <is>
          <t>59008323</t>
        </is>
      </c>
      <c r="F2745" s="523" t="n">
        <v>44056</v>
      </c>
      <c r="G2745" s="556" t="n">
        <v>61455</v>
      </c>
      <c r="I2745" s="521">
        <f>G2745</f>
        <v/>
      </c>
      <c r="K2745" s="521">
        <f>I2745-G2745</f>
        <v/>
      </c>
      <c r="M2745" s="522" t="inlineStr">
        <is>
          <t>59008323</t>
        </is>
      </c>
      <c r="N2745" s="522" t="inlineStr">
        <is>
          <t>59008323</t>
        </is>
      </c>
      <c r="O2745" s="521">
        <f>M2745=N2745</f>
        <v/>
      </c>
      <c r="P2745" s="521">
        <f>AND(MONTH(F2745)=MONTH(S2745), YEAR(F2745)=YEAR(S2745))</f>
        <v/>
      </c>
      <c r="Q2745" s="521">
        <f>U2745="L001-901905215"</f>
        <v/>
      </c>
      <c r="R2745" s="556">
        <f>G2745-W2745</f>
        <v/>
      </c>
      <c r="S2745" s="523" t="n">
        <v>44056</v>
      </c>
      <c r="T2745" s="522" t="inlineStr">
        <is>
          <t>59008323</t>
        </is>
      </c>
      <c r="U2745" s="522" t="inlineStr">
        <is>
          <t>L001-901905215</t>
        </is>
      </c>
      <c r="V2745" s="522" t="inlineStr">
        <is>
          <t>វីអ៊ីស៊ិន (ខេមបូឌា) អ៊ិនដាសស្ទ្រី ឯ.ក</t>
        </is>
      </c>
      <c r="W2745" s="556" t="n">
        <v>61455</v>
      </c>
    </row>
    <row r="2746">
      <c r="A2746" s="521" t="n">
        <v>2738</v>
      </c>
      <c r="B2746" s="522" t="n"/>
      <c r="C2746" s="522" t="inlineStr">
        <is>
          <t>ប្យួរ៉ូ វេរីតាស (ខេមបូឌា) លីមីធីត</t>
        </is>
      </c>
      <c r="D2746" s="522" t="inlineStr">
        <is>
          <t>L001-107024462</t>
        </is>
      </c>
      <c r="E2746" s="521" t="inlineStr">
        <is>
          <t>59008292</t>
        </is>
      </c>
      <c r="F2746" s="523" t="n">
        <v>44053</v>
      </c>
      <c r="G2746" s="556" t="n">
        <v>61455</v>
      </c>
      <c r="I2746" s="521">
        <f>G2746</f>
        <v/>
      </c>
      <c r="K2746" s="521">
        <f>I2746-G2746</f>
        <v/>
      </c>
      <c r="M2746" s="522" t="inlineStr">
        <is>
          <t>59008292</t>
        </is>
      </c>
      <c r="N2746" s="522" t="inlineStr">
        <is>
          <t>59008292</t>
        </is>
      </c>
      <c r="O2746" s="521">
        <f>M2746=N2746</f>
        <v/>
      </c>
      <c r="P2746" s="521">
        <f>AND(MONTH(F2746)=MONTH(S2746), YEAR(F2746)=YEAR(S2746))</f>
        <v/>
      </c>
      <c r="Q2746" s="521">
        <f>U2746="L001-901905215"</f>
        <v/>
      </c>
      <c r="R2746" s="556">
        <f>G2746-W2746</f>
        <v/>
      </c>
      <c r="S2746" s="523" t="n">
        <v>44053</v>
      </c>
      <c r="T2746" s="522" t="inlineStr">
        <is>
          <t>59008292</t>
        </is>
      </c>
      <c r="U2746" s="522" t="inlineStr">
        <is>
          <t>L001-901905215</t>
        </is>
      </c>
      <c r="V2746" s="522" t="inlineStr">
        <is>
          <t>វីអ៊ីស៊ិន (ខេមបូឌា) អ៊ិនដាសស្ទ្រី ឯ.ក</t>
        </is>
      </c>
      <c r="W2746" s="556" t="n">
        <v>61455</v>
      </c>
    </row>
    <row r="2747">
      <c r="A2747" s="521" t="n">
        <v>2739</v>
      </c>
      <c r="B2747" s="522" t="n"/>
      <c r="C2747" s="522" t="inlineStr">
        <is>
          <t>ប្យួរ៉ូ វេរីតាស (ខេមបូឌា) លីមីធីត</t>
        </is>
      </c>
      <c r="D2747" s="522" t="inlineStr">
        <is>
          <t>L001-107024462</t>
        </is>
      </c>
      <c r="E2747" s="521" t="inlineStr">
        <is>
          <t>59008254</t>
        </is>
      </c>
      <c r="F2747" s="523" t="n">
        <v>44048</v>
      </c>
      <c r="G2747" s="556" t="n">
        <v>61395</v>
      </c>
      <c r="I2747" s="521">
        <f>G2747</f>
        <v/>
      </c>
      <c r="K2747" s="521">
        <f>I2747-G2747</f>
        <v/>
      </c>
      <c r="M2747" s="522" t="inlineStr">
        <is>
          <t>59008254</t>
        </is>
      </c>
      <c r="N2747" s="522" t="inlineStr">
        <is>
          <t>59008254</t>
        </is>
      </c>
      <c r="O2747" s="521">
        <f>M2747=N2747</f>
        <v/>
      </c>
      <c r="P2747" s="521">
        <f>AND(MONTH(F2747)=MONTH(S2747), YEAR(F2747)=YEAR(S2747))</f>
        <v/>
      </c>
      <c r="Q2747" s="521">
        <f>U2747="L001-901905215"</f>
        <v/>
      </c>
      <c r="R2747" s="556">
        <f>G2747-W2747</f>
        <v/>
      </c>
      <c r="S2747" s="523" t="n">
        <v>44048</v>
      </c>
      <c r="T2747" s="522" t="inlineStr">
        <is>
          <t>59008254</t>
        </is>
      </c>
      <c r="U2747" s="522" t="inlineStr">
        <is>
          <t>L001-901905215</t>
        </is>
      </c>
      <c r="V2747" s="522" t="inlineStr">
        <is>
          <t>វីអ៊ីស៊ិន (ខេមបូឌា) អ៊ិនដាសស្ទ្រី ឯ.ក</t>
        </is>
      </c>
      <c r="W2747" s="556" t="n">
        <v>61395</v>
      </c>
    </row>
    <row r="2748">
      <c r="A2748" s="521" t="n">
        <v>2740</v>
      </c>
      <c r="B2748" s="522" t="n"/>
      <c r="C2748" s="522" t="inlineStr">
        <is>
          <t>កំពង់ផែស្វយ័តក្រុងព្រះសីហនុ</t>
        </is>
      </c>
      <c r="D2748" s="522" t="inlineStr">
        <is>
          <t>L001-100044638</t>
        </is>
      </c>
      <c r="E2748" s="521" t="inlineStr">
        <is>
          <t>123522</t>
        </is>
      </c>
      <c r="F2748" s="523" t="n">
        <v>44069</v>
      </c>
      <c r="G2748" s="556" t="n">
        <v>35661</v>
      </c>
      <c r="I2748" s="521">
        <f>G2748</f>
        <v/>
      </c>
      <c r="K2748" s="521">
        <f>I2748-G2748</f>
        <v/>
      </c>
      <c r="M2748" s="522" t="inlineStr">
        <is>
          <t>123522</t>
        </is>
      </c>
      <c r="N2748" s="522" t="inlineStr"/>
      <c r="O2748" s="521">
        <f>M2748=N2748</f>
        <v/>
      </c>
      <c r="P2748" s="521">
        <f>AND(MONTH(F2748)=MONTH(S2748), YEAR(F2748)=YEAR(S2748))</f>
        <v/>
      </c>
      <c r="Q2748" s="521">
        <f>U2748="L001-901905215"</f>
        <v/>
      </c>
      <c r="R2748" s="556">
        <f>G2748-W2748</f>
        <v/>
      </c>
      <c r="S2748" s="521" t="n"/>
      <c r="T2748" s="522" t="n"/>
      <c r="U2748" s="522" t="n"/>
      <c r="V2748" s="522" t="n"/>
      <c r="W2748" s="521" t="n"/>
    </row>
    <row r="2749">
      <c r="A2749" s="521" t="n">
        <v>2741</v>
      </c>
      <c r="B2749" s="522" t="n"/>
      <c r="C2749" s="522" t="inlineStr">
        <is>
          <t>កំពង់ផែស្វយ័តភ្នំពេញ "ក.ស.ភ"</t>
        </is>
      </c>
      <c r="D2749" s="522" t="inlineStr">
        <is>
          <t>L001-100044999</t>
        </is>
      </c>
      <c r="E2749" s="521" t="inlineStr">
        <is>
          <t>INV20200839441</t>
        </is>
      </c>
      <c r="F2749" s="523" t="n">
        <v>44065</v>
      </c>
      <c r="G2749" s="556" t="n">
        <v>19544</v>
      </c>
      <c r="I2749" s="521">
        <f>G2749</f>
        <v/>
      </c>
      <c r="K2749" s="521">
        <f>I2749-G2749</f>
        <v/>
      </c>
      <c r="M2749" s="522" t="inlineStr">
        <is>
          <t>INV20200839441</t>
        </is>
      </c>
      <c r="N2749" s="522" t="inlineStr"/>
      <c r="O2749" s="521">
        <f>M2749=N2749</f>
        <v/>
      </c>
      <c r="P2749" s="521">
        <f>AND(MONTH(F2749)=MONTH(S2749), YEAR(F2749)=YEAR(S2749))</f>
        <v/>
      </c>
      <c r="Q2749" s="521">
        <f>U2749="L001-901905215"</f>
        <v/>
      </c>
      <c r="R2749" s="556">
        <f>G2749-W2749</f>
        <v/>
      </c>
      <c r="S2749" s="521" t="n"/>
      <c r="T2749" s="522" t="n"/>
      <c r="U2749" s="522" t="n"/>
      <c r="V2749" s="522" t="n"/>
      <c r="W2749" s="521" t="n"/>
    </row>
    <row r="2750">
      <c r="A2750" s="521" t="n">
        <v>2742</v>
      </c>
      <c r="B2750" s="522" t="n"/>
      <c r="C2750" s="522" t="inlineStr">
        <is>
          <t>កំពង់ផែស្វយ័តក្រុងព្រះសីហនុ</t>
        </is>
      </c>
      <c r="D2750" s="522" t="inlineStr">
        <is>
          <t>L001-100044638</t>
        </is>
      </c>
      <c r="E2750" s="521" t="inlineStr">
        <is>
          <t>119119</t>
        </is>
      </c>
      <c r="F2750" s="523" t="n">
        <v>44056</v>
      </c>
      <c r="G2750" s="556" t="n">
        <v>15569</v>
      </c>
      <c r="I2750" s="521">
        <f>G2750</f>
        <v/>
      </c>
      <c r="K2750" s="521">
        <f>I2750-G2750</f>
        <v/>
      </c>
      <c r="M2750" s="522" t="inlineStr">
        <is>
          <t>119119</t>
        </is>
      </c>
      <c r="N2750" s="522" t="inlineStr"/>
      <c r="O2750" s="521">
        <f>M2750=N2750</f>
        <v/>
      </c>
      <c r="P2750" s="521">
        <f>AND(MONTH(F2750)=MONTH(S2750), YEAR(F2750)=YEAR(S2750))</f>
        <v/>
      </c>
      <c r="Q2750" s="521">
        <f>U2750="L001-901905215"</f>
        <v/>
      </c>
      <c r="R2750" s="556">
        <f>G2750-W2750</f>
        <v/>
      </c>
      <c r="S2750" s="521" t="n"/>
      <c r="T2750" s="522" t="n"/>
      <c r="U2750" s="522" t="n"/>
      <c r="V2750" s="522" t="n"/>
      <c r="W2750" s="521" t="n"/>
    </row>
    <row r="2751">
      <c r="A2751" s="521" t="n">
        <v>2743</v>
      </c>
      <c r="B2751" s="522" t="n"/>
      <c r="C2751" s="522" t="inlineStr">
        <is>
          <t>កំពង់ផែស្វយ័តភ្នំពេញ "ក.ស.ភ"</t>
        </is>
      </c>
      <c r="D2751" s="522" t="inlineStr">
        <is>
          <t>L001-100044999</t>
        </is>
      </c>
      <c r="E2751" s="521" t="inlineStr">
        <is>
          <t>INV20200839439</t>
        </is>
      </c>
      <c r="F2751" s="523" t="n">
        <v>44065</v>
      </c>
      <c r="G2751" s="556" t="n">
        <v>39089</v>
      </c>
      <c r="I2751" s="521">
        <f>G2751</f>
        <v/>
      </c>
      <c r="K2751" s="521">
        <f>I2751-G2751</f>
        <v/>
      </c>
      <c r="M2751" s="522" t="inlineStr">
        <is>
          <t>INV20200839439</t>
        </is>
      </c>
      <c r="N2751" s="522" t="inlineStr"/>
      <c r="O2751" s="521">
        <f>M2751=N2751</f>
        <v/>
      </c>
      <c r="P2751" s="521">
        <f>AND(MONTH(F2751)=MONTH(S2751), YEAR(F2751)=YEAR(S2751))</f>
        <v/>
      </c>
      <c r="Q2751" s="521">
        <f>U2751="L001-901905215"</f>
        <v/>
      </c>
      <c r="R2751" s="556">
        <f>G2751-W2751</f>
        <v/>
      </c>
      <c r="S2751" s="521" t="n"/>
      <c r="T2751" s="522" t="n"/>
      <c r="U2751" s="522" t="n"/>
      <c r="V2751" s="522" t="n"/>
      <c r="W2751" s="521" t="n"/>
    </row>
    <row r="2752">
      <c r="A2752" s="521" t="n">
        <v>2744</v>
      </c>
      <c r="B2752" s="522" t="n"/>
      <c r="C2752" s="522" t="inlineStr">
        <is>
          <t>កំពង់ផែស្វយ័តក្រុងព្រះសីហនុ</t>
        </is>
      </c>
      <c r="D2752" s="522" t="inlineStr">
        <is>
          <t>L001-100044638</t>
        </is>
      </c>
      <c r="E2752" s="521" t="inlineStr">
        <is>
          <t>119117</t>
        </is>
      </c>
      <c r="F2752" s="523" t="n">
        <v>44056</v>
      </c>
      <c r="G2752" s="556" t="n">
        <v>15569</v>
      </c>
      <c r="I2752" s="521">
        <f>G2752</f>
        <v/>
      </c>
      <c r="K2752" s="521">
        <f>I2752-G2752</f>
        <v/>
      </c>
      <c r="M2752" s="522" t="inlineStr">
        <is>
          <t>119117</t>
        </is>
      </c>
      <c r="N2752" s="522" t="inlineStr"/>
      <c r="O2752" s="521">
        <f>M2752=N2752</f>
        <v/>
      </c>
      <c r="P2752" s="521">
        <f>AND(MONTH(F2752)=MONTH(S2752), YEAR(F2752)=YEAR(S2752))</f>
        <v/>
      </c>
      <c r="Q2752" s="521">
        <f>U2752="L001-901905215"</f>
        <v/>
      </c>
      <c r="R2752" s="556">
        <f>G2752-W2752</f>
        <v/>
      </c>
      <c r="S2752" s="521" t="n"/>
      <c r="T2752" s="522" t="n"/>
      <c r="U2752" s="522" t="n"/>
      <c r="V2752" s="522" t="n"/>
      <c r="W2752" s="521" t="n"/>
    </row>
    <row r="2753">
      <c r="A2753" s="521" t="n">
        <v>2745</v>
      </c>
      <c r="B2753" s="522" t="n"/>
      <c r="C2753" s="522" t="inlineStr">
        <is>
          <t>កំពង់ផែស្វយ័តក្រុងព្រះសីហនុ</t>
        </is>
      </c>
      <c r="D2753" s="522" t="inlineStr">
        <is>
          <t>L001-100044638</t>
        </is>
      </c>
      <c r="E2753" s="521" t="inlineStr">
        <is>
          <t>120772</t>
        </is>
      </c>
      <c r="F2753" s="523" t="n">
        <v>44058</v>
      </c>
      <c r="G2753" s="556" t="n">
        <v>4095</v>
      </c>
      <c r="I2753" s="521">
        <f>G2753</f>
        <v/>
      </c>
      <c r="K2753" s="521">
        <f>I2753-G2753</f>
        <v/>
      </c>
      <c r="M2753" s="522" t="inlineStr">
        <is>
          <t>120772</t>
        </is>
      </c>
      <c r="N2753" s="522" t="inlineStr"/>
      <c r="O2753" s="521">
        <f>M2753=N2753</f>
        <v/>
      </c>
      <c r="P2753" s="521">
        <f>AND(MONTH(F2753)=MONTH(S2753), YEAR(F2753)=YEAR(S2753))</f>
        <v/>
      </c>
      <c r="Q2753" s="521">
        <f>U2753="L001-901905215"</f>
        <v/>
      </c>
      <c r="R2753" s="556">
        <f>G2753-W2753</f>
        <v/>
      </c>
      <c r="S2753" s="521" t="n"/>
      <c r="T2753" s="522" t="n"/>
      <c r="U2753" s="522" t="n"/>
      <c r="V2753" s="522" t="n"/>
      <c r="W2753" s="521" t="n"/>
    </row>
    <row r="2754">
      <c r="A2754" s="521" t="n">
        <v>2746</v>
      </c>
      <c r="B2754" s="522" t="n"/>
      <c r="C2754" s="522" t="inlineStr">
        <is>
          <t>អ៊ីជីអេហ្វ ឡូជីស្ទីក ខូ អិលធីឌី</t>
        </is>
      </c>
      <c r="D2754" s="522" t="inlineStr">
        <is>
          <t>L001-901501877</t>
        </is>
      </c>
      <c r="E2754" s="521" t="inlineStr">
        <is>
          <t>2005747</t>
        </is>
      </c>
      <c r="F2754" s="523" t="n">
        <v>44066</v>
      </c>
      <c r="G2754" s="556" t="n">
        <v>135135</v>
      </c>
      <c r="I2754" s="521">
        <f>G2754</f>
        <v/>
      </c>
      <c r="K2754" s="521">
        <f>I2754-G2754</f>
        <v/>
      </c>
      <c r="M2754" s="522" t="inlineStr">
        <is>
          <t>2005747</t>
        </is>
      </c>
      <c r="N2754" s="522" t="inlineStr"/>
      <c r="O2754" s="521">
        <f>M2754=N2754</f>
        <v/>
      </c>
      <c r="P2754" s="521">
        <f>AND(MONTH(F2754)=MONTH(S2754), YEAR(F2754)=YEAR(S2754))</f>
        <v/>
      </c>
      <c r="Q2754" s="521">
        <f>U2754="L001-901905215"</f>
        <v/>
      </c>
      <c r="R2754" s="556">
        <f>G2754-W2754</f>
        <v/>
      </c>
      <c r="S2754" s="521" t="n"/>
      <c r="T2754" s="522" t="n"/>
      <c r="U2754" s="522" t="n"/>
      <c r="V2754" s="522" t="n"/>
      <c r="W2754" s="521" t="n"/>
    </row>
    <row r="2755">
      <c r="A2755" s="521" t="n">
        <v>2747</v>
      </c>
      <c r="B2755" s="522" t="n"/>
      <c r="C2755" s="522" t="inlineStr">
        <is>
          <t>អ៊ីជីអេហ្វ ឡូជីស្ទីក ខូ អិលធីឌី</t>
        </is>
      </c>
      <c r="D2755" s="522" t="inlineStr">
        <is>
          <t>L001-901501877</t>
        </is>
      </c>
      <c r="E2755" s="521" t="inlineStr">
        <is>
          <t>2005668</t>
        </is>
      </c>
      <c r="F2755" s="523" t="n">
        <v>44062</v>
      </c>
      <c r="G2755" s="556" t="n">
        <v>94185</v>
      </c>
      <c r="I2755" s="521">
        <f>G2755</f>
        <v/>
      </c>
      <c r="K2755" s="521">
        <f>I2755-G2755</f>
        <v/>
      </c>
      <c r="M2755" s="522" t="inlineStr">
        <is>
          <t>2005668</t>
        </is>
      </c>
      <c r="N2755" s="522" t="inlineStr"/>
      <c r="O2755" s="521">
        <f>M2755=N2755</f>
        <v/>
      </c>
      <c r="P2755" s="521">
        <f>AND(MONTH(F2755)=MONTH(S2755), YEAR(F2755)=YEAR(S2755))</f>
        <v/>
      </c>
      <c r="Q2755" s="521">
        <f>U2755="L001-901905215"</f>
        <v/>
      </c>
      <c r="R2755" s="556">
        <f>G2755-W2755</f>
        <v/>
      </c>
      <c r="S2755" s="521" t="n"/>
      <c r="T2755" s="522" t="n"/>
      <c r="U2755" s="522" t="n"/>
      <c r="V2755" s="522" t="n"/>
      <c r="W2755" s="521" t="n"/>
    </row>
    <row r="2756">
      <c r="A2756" s="521" t="n">
        <v>2748</v>
      </c>
      <c r="B2756" s="522" t="n"/>
      <c r="C2756" s="522" t="inlineStr">
        <is>
          <t>អ៊ីជីអេហ្វ ឡូជីស្ទីក ខូ អិលធីឌី</t>
        </is>
      </c>
      <c r="D2756" s="522" t="inlineStr">
        <is>
          <t>L001-901501877</t>
        </is>
      </c>
      <c r="E2756" s="521" t="inlineStr">
        <is>
          <t>2005667</t>
        </is>
      </c>
      <c r="F2756" s="523" t="n">
        <v>44062</v>
      </c>
      <c r="G2756" s="556" t="n">
        <v>90090</v>
      </c>
      <c r="I2756" s="521">
        <f>G2756</f>
        <v/>
      </c>
      <c r="K2756" s="521">
        <f>I2756-G2756</f>
        <v/>
      </c>
      <c r="M2756" s="522" t="inlineStr">
        <is>
          <t>2005667</t>
        </is>
      </c>
      <c r="N2756" s="522" t="inlineStr"/>
      <c r="O2756" s="521">
        <f>M2756=N2756</f>
        <v/>
      </c>
      <c r="P2756" s="521">
        <f>AND(MONTH(F2756)=MONTH(S2756), YEAR(F2756)=YEAR(S2756))</f>
        <v/>
      </c>
      <c r="Q2756" s="521">
        <f>U2756="L001-901905215"</f>
        <v/>
      </c>
      <c r="R2756" s="556">
        <f>G2756-W2756</f>
        <v/>
      </c>
      <c r="S2756" s="521" t="n"/>
      <c r="T2756" s="522" t="n"/>
      <c r="U2756" s="522" t="n"/>
      <c r="V2756" s="522" t="n"/>
      <c r="W2756" s="521" t="n"/>
    </row>
    <row r="2757">
      <c r="A2757" s="521" t="n">
        <v>2749</v>
      </c>
      <c r="B2757" s="522" t="n"/>
      <c r="C2757" s="522" t="inlineStr">
        <is>
          <t>អ៊ីជីអេហ្វ ឡូជីស្ទីក ខូ អិលធីឌី</t>
        </is>
      </c>
      <c r="D2757" s="522" t="inlineStr">
        <is>
          <t>L001-901501877</t>
        </is>
      </c>
      <c r="E2757" s="521" t="inlineStr">
        <is>
          <t>2005666</t>
        </is>
      </c>
      <c r="F2757" s="523" t="n">
        <v>44062</v>
      </c>
      <c r="G2757" s="556" t="n">
        <v>90090</v>
      </c>
      <c r="I2757" s="521">
        <f>G2757</f>
        <v/>
      </c>
      <c r="K2757" s="521">
        <f>I2757-G2757</f>
        <v/>
      </c>
      <c r="M2757" s="522" t="inlineStr">
        <is>
          <t>2005666</t>
        </is>
      </c>
      <c r="N2757" s="522" t="inlineStr"/>
      <c r="O2757" s="521">
        <f>M2757=N2757</f>
        <v/>
      </c>
      <c r="P2757" s="521">
        <f>AND(MONTH(F2757)=MONTH(S2757), YEAR(F2757)=YEAR(S2757))</f>
        <v/>
      </c>
      <c r="Q2757" s="521">
        <f>U2757="L001-901905215"</f>
        <v/>
      </c>
      <c r="R2757" s="556">
        <f>G2757-W2757</f>
        <v/>
      </c>
      <c r="S2757" s="521" t="n"/>
      <c r="T2757" s="522" t="n"/>
      <c r="U2757" s="522" t="n"/>
      <c r="V2757" s="522" t="n"/>
      <c r="W2757" s="521" t="n"/>
    </row>
    <row r="2758">
      <c r="A2758" s="521" t="n">
        <v>2750</v>
      </c>
      <c r="B2758" s="522" t="n"/>
      <c r="C2758" s="522" t="inlineStr">
        <is>
          <t>អ៊ីជីអេហ្វ ឡូជីស្ទីក ខូ អិលធីឌី</t>
        </is>
      </c>
      <c r="D2758" s="522" t="inlineStr">
        <is>
          <t>L001-901501877</t>
        </is>
      </c>
      <c r="E2758" s="521" t="inlineStr">
        <is>
          <t>2005665</t>
        </is>
      </c>
      <c r="F2758" s="523" t="n">
        <v>44062</v>
      </c>
      <c r="G2758" s="556" t="n">
        <v>90090</v>
      </c>
      <c r="I2758" s="521">
        <f>G2758</f>
        <v/>
      </c>
      <c r="K2758" s="521">
        <f>I2758-G2758</f>
        <v/>
      </c>
      <c r="M2758" s="522" t="inlineStr">
        <is>
          <t>2005665</t>
        </is>
      </c>
      <c r="N2758" s="522" t="inlineStr"/>
      <c r="O2758" s="521">
        <f>M2758=N2758</f>
        <v/>
      </c>
      <c r="P2758" s="521">
        <f>AND(MONTH(F2758)=MONTH(S2758), YEAR(F2758)=YEAR(S2758))</f>
        <v/>
      </c>
      <c r="Q2758" s="521">
        <f>U2758="L001-901905215"</f>
        <v/>
      </c>
      <c r="R2758" s="556">
        <f>G2758-W2758</f>
        <v/>
      </c>
      <c r="S2758" s="521" t="n"/>
      <c r="T2758" s="522" t="n"/>
      <c r="U2758" s="522" t="n"/>
      <c r="V2758" s="522" t="n"/>
      <c r="W2758" s="521" t="n"/>
    </row>
    <row r="2759">
      <c r="A2759" s="521" t="n">
        <v>2751</v>
      </c>
      <c r="B2759" s="522" t="n"/>
      <c r="C2759" s="522" t="inlineStr">
        <is>
          <t>អ៊ីជីអេហ្វ ឡូជីស្ទីក ខូ អិលធីឌី</t>
        </is>
      </c>
      <c r="D2759" s="522" t="inlineStr">
        <is>
          <t>L001-901501877</t>
        </is>
      </c>
      <c r="E2759" s="521" t="inlineStr">
        <is>
          <t>2005664</t>
        </is>
      </c>
      <c r="F2759" s="523" t="n">
        <v>44062</v>
      </c>
      <c r="G2759" s="556" t="n">
        <v>94185</v>
      </c>
      <c r="I2759" s="521">
        <f>G2759</f>
        <v/>
      </c>
      <c r="K2759" s="521">
        <f>I2759-G2759</f>
        <v/>
      </c>
      <c r="M2759" s="522" t="inlineStr">
        <is>
          <t>2005664</t>
        </is>
      </c>
      <c r="N2759" s="522" t="inlineStr"/>
      <c r="O2759" s="521">
        <f>M2759=N2759</f>
        <v/>
      </c>
      <c r="P2759" s="521">
        <f>AND(MONTH(F2759)=MONTH(S2759), YEAR(F2759)=YEAR(S2759))</f>
        <v/>
      </c>
      <c r="Q2759" s="521">
        <f>U2759="L001-901905215"</f>
        <v/>
      </c>
      <c r="R2759" s="556">
        <f>G2759-W2759</f>
        <v/>
      </c>
      <c r="S2759" s="521" t="n"/>
      <c r="T2759" s="522" t="n"/>
      <c r="U2759" s="522" t="n"/>
      <c r="V2759" s="522" t="n"/>
      <c r="W2759" s="521" t="n"/>
    </row>
    <row r="2760">
      <c r="A2760" s="521" t="n">
        <v>2752</v>
      </c>
      <c r="B2760" s="522" t="n"/>
      <c r="C2760" s="522" t="inlineStr">
        <is>
          <t>កំពង់ផែស្វយ័តក្រុងព្រះសីហនុ</t>
        </is>
      </c>
      <c r="D2760" s="522" t="inlineStr">
        <is>
          <t>L001-100044638</t>
        </is>
      </c>
      <c r="E2760" s="521" t="inlineStr">
        <is>
          <t>112462</t>
        </is>
      </c>
      <c r="F2760" s="523" t="n">
        <v>44047</v>
      </c>
      <c r="G2760" s="556" t="n">
        <v>35627</v>
      </c>
      <c r="I2760" s="521">
        <f>G2760</f>
        <v/>
      </c>
      <c r="K2760" s="521">
        <f>I2760-G2760</f>
        <v/>
      </c>
      <c r="M2760" s="522" t="inlineStr">
        <is>
          <t>112462</t>
        </is>
      </c>
      <c r="N2760" s="522" t="inlineStr"/>
      <c r="O2760" s="521">
        <f>M2760=N2760</f>
        <v/>
      </c>
      <c r="P2760" s="521">
        <f>AND(MONTH(F2760)=MONTH(S2760), YEAR(F2760)=YEAR(S2760))</f>
        <v/>
      </c>
      <c r="Q2760" s="521">
        <f>U2760="L001-901905215"</f>
        <v/>
      </c>
      <c r="R2760" s="556">
        <f>G2760-W2760</f>
        <v/>
      </c>
      <c r="S2760" s="521" t="n"/>
      <c r="T2760" s="522" t="n"/>
      <c r="U2760" s="522" t="n"/>
      <c r="V2760" s="522" t="n"/>
      <c r="W2760" s="521" t="n"/>
    </row>
    <row r="2761">
      <c r="A2761" s="521" t="n">
        <v>2753</v>
      </c>
      <c r="B2761" s="522" t="n"/>
      <c r="C2761" s="522" t="inlineStr">
        <is>
          <t>ខេមវីល គ្លូប៊ល ឯ.ក</t>
        </is>
      </c>
      <c r="D2761" s="522" t="inlineStr">
        <is>
          <t>L001-901637190</t>
        </is>
      </c>
      <c r="E2761" s="521" t="inlineStr">
        <is>
          <t>INV200868</t>
        </is>
      </c>
      <c r="F2761" s="523" t="n">
        <v>44070</v>
      </c>
      <c r="G2761" s="556" t="n">
        <v>233529</v>
      </c>
      <c r="I2761" s="521">
        <f>G2761</f>
        <v/>
      </c>
      <c r="K2761" s="521">
        <f>I2761-G2761</f>
        <v/>
      </c>
      <c r="M2761" s="522" t="inlineStr">
        <is>
          <t>INV200868</t>
        </is>
      </c>
      <c r="N2761" s="522" t="inlineStr">
        <is>
          <t>INV200868</t>
        </is>
      </c>
      <c r="O2761" s="521">
        <f>M2761=N2761</f>
        <v/>
      </c>
      <c r="P2761" s="521">
        <f>AND(MONTH(F2761)=MONTH(S2761), YEAR(F2761)=YEAR(S2761))</f>
        <v/>
      </c>
      <c r="Q2761" s="521">
        <f>U2761="L001-901905215"</f>
        <v/>
      </c>
      <c r="R2761" s="556">
        <f>G2761-W2761</f>
        <v/>
      </c>
      <c r="S2761" s="523" t="n">
        <v>44056</v>
      </c>
      <c r="T2761" s="522" t="inlineStr">
        <is>
          <t>INV200868</t>
        </is>
      </c>
      <c r="U2761" s="522" t="inlineStr">
        <is>
          <t>L001-901905215</t>
        </is>
      </c>
      <c r="V2761" s="522" t="inlineStr">
        <is>
          <t>វីអ៊ីស៊ិន (ខេមបូឌា) អ៊ិនដាសស្ទ្រី ឯ.ក</t>
        </is>
      </c>
      <c r="W2761" s="556" t="n">
        <v>233529</v>
      </c>
    </row>
    <row r="2762">
      <c r="A2762" s="521" t="n">
        <v>2754</v>
      </c>
      <c r="B2762" s="522" t="n"/>
      <c r="C2762" s="522" t="inlineStr">
        <is>
          <t>ខេមវីល គ្លូប៊ល ឯ.ក</t>
        </is>
      </c>
      <c r="D2762" s="522" t="inlineStr">
        <is>
          <t>L001-901637190</t>
        </is>
      </c>
      <c r="E2762" s="521" t="inlineStr">
        <is>
          <t>INV200866</t>
        </is>
      </c>
      <c r="F2762" s="523" t="n">
        <v>44070</v>
      </c>
      <c r="G2762" s="556" t="n">
        <v>86037</v>
      </c>
      <c r="I2762" s="521">
        <f>G2762</f>
        <v/>
      </c>
      <c r="K2762" s="521">
        <f>I2762-G2762</f>
        <v/>
      </c>
      <c r="M2762" s="522" t="inlineStr">
        <is>
          <t>INV200866</t>
        </is>
      </c>
      <c r="N2762" s="522" t="inlineStr">
        <is>
          <t>INV200866</t>
        </is>
      </c>
      <c r="O2762" s="521">
        <f>M2762=N2762</f>
        <v/>
      </c>
      <c r="P2762" s="521">
        <f>AND(MONTH(F2762)=MONTH(S2762), YEAR(F2762)=YEAR(S2762))</f>
        <v/>
      </c>
      <c r="Q2762" s="521">
        <f>U2762="L001-901905215"</f>
        <v/>
      </c>
      <c r="R2762" s="556">
        <f>G2762-W2762</f>
        <v/>
      </c>
      <c r="S2762" s="523" t="n">
        <v>44056</v>
      </c>
      <c r="T2762" s="522" t="inlineStr">
        <is>
          <t>INV200866</t>
        </is>
      </c>
      <c r="U2762" s="522" t="inlineStr">
        <is>
          <t>L001-901905215</t>
        </is>
      </c>
      <c r="V2762" s="522" t="inlineStr">
        <is>
          <t>វីអ៊ីស៊ិន (ខេមបូឌា) អ៊ិនដាសស្ទ្រី ឯ.ក</t>
        </is>
      </c>
      <c r="W2762" s="556" t="n">
        <v>86037</v>
      </c>
    </row>
    <row r="2763">
      <c r="A2763" s="521" t="n">
        <v>2755</v>
      </c>
      <c r="B2763" s="522" t="n"/>
      <c r="C2763" s="522" t="inlineStr">
        <is>
          <t>ខេមវីល គ្លូប៊ល ឯ.ក</t>
        </is>
      </c>
      <c r="D2763" s="522" t="inlineStr">
        <is>
          <t>L001-901637190</t>
        </is>
      </c>
      <c r="E2763" s="521" t="inlineStr">
        <is>
          <t>INV200867</t>
        </is>
      </c>
      <c r="F2763" s="523" t="n">
        <v>44056</v>
      </c>
      <c r="G2763" s="556" t="n">
        <v>86037</v>
      </c>
      <c r="I2763" s="521">
        <f>G2763</f>
        <v/>
      </c>
      <c r="K2763" s="521">
        <f>I2763-G2763</f>
        <v/>
      </c>
      <c r="M2763" s="522" t="inlineStr">
        <is>
          <t>INV200867</t>
        </is>
      </c>
      <c r="N2763" s="522" t="inlineStr">
        <is>
          <t>INV200867</t>
        </is>
      </c>
      <c r="O2763" s="521">
        <f>M2763=N2763</f>
        <v/>
      </c>
      <c r="P2763" s="521">
        <f>AND(MONTH(F2763)=MONTH(S2763), YEAR(F2763)=YEAR(S2763))</f>
        <v/>
      </c>
      <c r="Q2763" s="521">
        <f>U2763="L001-901905215"</f>
        <v/>
      </c>
      <c r="R2763" s="556">
        <f>G2763-W2763</f>
        <v/>
      </c>
      <c r="S2763" s="523" t="n">
        <v>44056</v>
      </c>
      <c r="T2763" s="522" t="inlineStr">
        <is>
          <t>INV200867</t>
        </is>
      </c>
      <c r="U2763" s="522" t="inlineStr">
        <is>
          <t>L001-901905215</t>
        </is>
      </c>
      <c r="V2763" s="522" t="inlineStr">
        <is>
          <t>វីអ៊ីស៊ិន (ខេមបូឌា) អ៊ិនដាសស្ទ្រី ឯ.ក</t>
        </is>
      </c>
      <c r="W2763" s="556" t="n">
        <v>86037</v>
      </c>
    </row>
    <row r="2764">
      <c r="A2764" s="521" t="n">
        <v>2756</v>
      </c>
      <c r="B2764" s="522" t="n"/>
      <c r="C2764" s="522" t="inlineStr">
        <is>
          <t>ស៊ីន ហ្វី យ៉ាង ព្រីនធីង &amp; អិកសេសសឺរី ឯ.ក</t>
        </is>
      </c>
      <c r="D2764" s="522" t="inlineStr">
        <is>
          <t>K010-901906822</t>
        </is>
      </c>
      <c r="E2764" s="521" t="inlineStr">
        <is>
          <t>XFYYD2020044</t>
        </is>
      </c>
      <c r="F2764" s="523" t="n">
        <v>44074</v>
      </c>
      <c r="G2764" s="556" t="n">
        <v>1708608</v>
      </c>
      <c r="I2764" s="521">
        <f>G2764</f>
        <v/>
      </c>
      <c r="K2764" s="521">
        <f>I2764-G2764</f>
        <v/>
      </c>
      <c r="M2764" s="522" t="inlineStr">
        <is>
          <t>XFYYD2020044</t>
        </is>
      </c>
      <c r="N2764" s="522" t="inlineStr">
        <is>
          <t>XFYYD2020044</t>
        </is>
      </c>
      <c r="O2764" s="521">
        <f>M2764=N2764</f>
        <v/>
      </c>
      <c r="P2764" s="521">
        <f>AND(MONTH(F2764)=MONTH(S2764), YEAR(F2764)=YEAR(S2764))</f>
        <v/>
      </c>
      <c r="Q2764" s="521">
        <f>U2764="L001-901905215"</f>
        <v/>
      </c>
      <c r="R2764" s="556">
        <f>G2764-W2764</f>
        <v/>
      </c>
      <c r="S2764" s="523" t="n">
        <v>44074</v>
      </c>
      <c r="T2764" s="522" t="inlineStr">
        <is>
          <t>XFY-YD2020044</t>
        </is>
      </c>
      <c r="U2764" s="522" t="inlineStr">
        <is>
          <t>L001-901905215</t>
        </is>
      </c>
      <c r="V2764" s="522" t="inlineStr">
        <is>
          <t>វីអ៊ីស៊ិន (ខេមបូឌា) អ៊ិនដាសស្ទ្រី ឯ.ក</t>
        </is>
      </c>
      <c r="W2764" s="556" t="n">
        <v>1708608</v>
      </c>
    </row>
    <row r="2765">
      <c r="A2765" s="521" t="n">
        <v>2757</v>
      </c>
      <c r="B2765" s="522" t="n"/>
      <c r="C2765" s="522" t="inlineStr">
        <is>
          <t>អ៊ិចស្ពែឌីធ័រ ខេមបូឌា អិលធីឌី</t>
        </is>
      </c>
      <c r="D2765" s="522" t="inlineStr">
        <is>
          <t>L001-100045898</t>
        </is>
      </c>
      <c r="E2765" s="521" t="inlineStr">
        <is>
          <t>TI0181698</t>
        </is>
      </c>
      <c r="F2765" s="523" t="n">
        <v>44054</v>
      </c>
      <c r="G2765" s="556" t="n">
        <v>185116</v>
      </c>
      <c r="I2765" s="521">
        <f>G2765</f>
        <v/>
      </c>
      <c r="K2765" s="521">
        <f>I2765-G2765</f>
        <v/>
      </c>
      <c r="M2765" s="522" t="inlineStr">
        <is>
          <t>TI0181698</t>
        </is>
      </c>
      <c r="N2765" s="522" t="inlineStr">
        <is>
          <t>TI0181698</t>
        </is>
      </c>
      <c r="O2765" s="521">
        <f>M2765=N2765</f>
        <v/>
      </c>
      <c r="P2765" s="521">
        <f>AND(MONTH(F2765)=MONTH(S2765), YEAR(F2765)=YEAR(S2765))</f>
        <v/>
      </c>
      <c r="Q2765" s="521">
        <f>U2765="L001-901905215"</f>
        <v/>
      </c>
      <c r="R2765" s="556">
        <f>G2765-W2765</f>
        <v/>
      </c>
      <c r="S2765" s="523" t="n">
        <v>44054</v>
      </c>
      <c r="T2765" s="522" t="inlineStr">
        <is>
          <t>TI-0181698</t>
        </is>
      </c>
      <c r="U2765" s="522" t="inlineStr">
        <is>
          <t>L001-901905215</t>
        </is>
      </c>
      <c r="V2765" s="522" t="inlineStr">
        <is>
          <t>វីអ៊ីស៊ិន (ខេមបូឌា) អ៊ិនដាសស្ទ្រី ឯ.ក</t>
        </is>
      </c>
      <c r="W2765" s="556" t="n">
        <v>185135</v>
      </c>
    </row>
    <row r="2766">
      <c r="A2766" s="521" t="n">
        <v>2758</v>
      </c>
      <c r="B2766" s="522" t="n"/>
      <c r="C2766" s="522" t="inlineStr">
        <is>
          <t>អ៊ិចស្ពែឌីធ័រ ខេមបូឌា អិលធីឌី</t>
        </is>
      </c>
      <c r="D2766" s="522" t="inlineStr">
        <is>
          <t>L001-100045898</t>
        </is>
      </c>
      <c r="E2766" s="521" t="inlineStr">
        <is>
          <t>TI0181691</t>
        </is>
      </c>
      <c r="F2766" s="523" t="n">
        <v>44054</v>
      </c>
      <c r="G2766" s="556" t="n">
        <v>249497</v>
      </c>
      <c r="I2766" s="521">
        <f>G2766</f>
        <v/>
      </c>
      <c r="K2766" s="521">
        <f>I2766-G2766</f>
        <v/>
      </c>
      <c r="M2766" s="522" t="inlineStr">
        <is>
          <t>TI0181691</t>
        </is>
      </c>
      <c r="N2766" s="522" t="inlineStr">
        <is>
          <t>TI0181691</t>
        </is>
      </c>
      <c r="O2766" s="521">
        <f>M2766=N2766</f>
        <v/>
      </c>
      <c r="P2766" s="521">
        <f>AND(MONTH(F2766)=MONTH(S2766), YEAR(F2766)=YEAR(S2766))</f>
        <v/>
      </c>
      <c r="Q2766" s="521">
        <f>U2766="L001-901905215"</f>
        <v/>
      </c>
      <c r="R2766" s="556">
        <f>G2766-W2766</f>
        <v/>
      </c>
      <c r="S2766" s="523" t="n">
        <v>44054</v>
      </c>
      <c r="T2766" s="522" t="inlineStr">
        <is>
          <t>TI-0181691</t>
        </is>
      </c>
      <c r="U2766" s="522" t="inlineStr">
        <is>
          <t>L001-901905215</t>
        </is>
      </c>
      <c r="V2766" s="522" t="inlineStr">
        <is>
          <t>វីអ៊ីស៊ិន (ខេមបូឌា) អ៊ិនដាសស្ទ្រី ឯ.ក</t>
        </is>
      </c>
      <c r="W2766" s="556" t="n">
        <v>249508</v>
      </c>
    </row>
    <row r="2767">
      <c r="A2767" s="521" t="n">
        <v>2759</v>
      </c>
      <c r="B2767" s="522" t="n"/>
      <c r="C2767" s="522" t="inlineStr">
        <is>
          <t>អ៊ិចស្ពែឌីធ័រ ខេមបូឌា អិលធីឌី</t>
        </is>
      </c>
      <c r="D2767" s="522" t="inlineStr">
        <is>
          <t>L001-100045898</t>
        </is>
      </c>
      <c r="E2767" s="521" t="inlineStr">
        <is>
          <t>TI0181446</t>
        </is>
      </c>
      <c r="F2767" s="523" t="n">
        <v>44048</v>
      </c>
      <c r="G2767" s="556" t="n">
        <v>154459</v>
      </c>
      <c r="I2767" s="521">
        <f>G2767</f>
        <v/>
      </c>
      <c r="K2767" s="521">
        <f>I2767-G2767</f>
        <v/>
      </c>
      <c r="M2767" s="522" t="inlineStr">
        <is>
          <t>TI0181446</t>
        </is>
      </c>
      <c r="N2767" s="522" t="inlineStr">
        <is>
          <t>TI0181446</t>
        </is>
      </c>
      <c r="O2767" s="521">
        <f>M2767=N2767</f>
        <v/>
      </c>
      <c r="P2767" s="521">
        <f>AND(MONTH(F2767)=MONTH(S2767), YEAR(F2767)=YEAR(S2767))</f>
        <v/>
      </c>
      <c r="Q2767" s="521">
        <f>U2767="L001-901905215"</f>
        <v/>
      </c>
      <c r="R2767" s="556">
        <f>G2767-W2767</f>
        <v/>
      </c>
      <c r="S2767" s="523" t="n">
        <v>44048</v>
      </c>
      <c r="T2767" s="522" t="inlineStr">
        <is>
          <t>TI-0181446</t>
        </is>
      </c>
      <c r="U2767" s="522" t="inlineStr">
        <is>
          <t>L001-901905215</t>
        </is>
      </c>
      <c r="V2767" s="522" t="inlineStr">
        <is>
          <t>វីអ៊ីស៊ិន (ខេមបូឌា) អ៊ិនដាសស្ទ្រី ឯ.ក</t>
        </is>
      </c>
      <c r="W2767" s="556" t="n">
        <v>154470</v>
      </c>
    </row>
    <row r="2768">
      <c r="A2768" s="521" t="n">
        <v>2760</v>
      </c>
      <c r="B2768" s="522" t="n"/>
      <c r="C2768" s="522" t="inlineStr">
        <is>
          <t>ហ្គោមី រីសាយឃល110</t>
        </is>
      </c>
      <c r="D2768" s="522" t="inlineStr">
        <is>
          <t>K010-901503890</t>
        </is>
      </c>
      <c r="E2768" s="521" t="inlineStr">
        <is>
          <t>GRIN2020313</t>
        </is>
      </c>
      <c r="F2768" s="523" t="n">
        <v>44071</v>
      </c>
      <c r="G2768" s="556" t="n">
        <v>16408</v>
      </c>
      <c r="I2768" s="521">
        <f>G2768</f>
        <v/>
      </c>
      <c r="K2768" s="521">
        <f>I2768-G2768</f>
        <v/>
      </c>
      <c r="M2768" s="522" t="inlineStr">
        <is>
          <t>GRIN2020313</t>
        </is>
      </c>
      <c r="N2768" s="522" t="inlineStr">
        <is>
          <t>GRIN2020313</t>
        </is>
      </c>
      <c r="O2768" s="521">
        <f>M2768=N2768</f>
        <v/>
      </c>
      <c r="P2768" s="521">
        <f>AND(MONTH(F2768)=MONTH(S2768), YEAR(F2768)=YEAR(S2768))</f>
        <v/>
      </c>
      <c r="Q2768" s="521">
        <f>U2768="L001-901905215"</f>
        <v/>
      </c>
      <c r="R2768" s="556">
        <f>G2768-W2768</f>
        <v/>
      </c>
      <c r="S2768" s="523" t="n">
        <v>44071</v>
      </c>
      <c r="T2768" s="522" t="inlineStr">
        <is>
          <t>GR-IN2020313</t>
        </is>
      </c>
      <c r="U2768" s="522" t="inlineStr">
        <is>
          <t>L001-901905215</t>
        </is>
      </c>
      <c r="V2768" s="522" t="inlineStr">
        <is>
          <t>វីអ៊ីស៊ិន (ខេមបូឌា) អ៊ិនដាសស្ទ្រី ឯ.ក</t>
        </is>
      </c>
      <c r="W2768" s="556" t="n">
        <v>16408</v>
      </c>
    </row>
    <row r="2769">
      <c r="A2769" s="521" t="n">
        <v>2761</v>
      </c>
      <c r="B2769" s="522" t="n"/>
      <c r="C2769" s="522" t="inlineStr">
        <is>
          <t>ខេមវីល គ្លូប៊ល ឯ.ក</t>
        </is>
      </c>
      <c r="D2769" s="522" t="inlineStr">
        <is>
          <t>L001-901637190</t>
        </is>
      </c>
      <c r="E2769" s="521" t="inlineStr">
        <is>
          <t>INV200886</t>
        </is>
      </c>
      <c r="F2769" s="523" t="n">
        <v>44068</v>
      </c>
      <c r="G2769" s="556" t="n">
        <v>233586</v>
      </c>
      <c r="I2769" s="521">
        <f>G2769</f>
        <v/>
      </c>
      <c r="K2769" s="521">
        <f>I2769-G2769</f>
        <v/>
      </c>
      <c r="M2769" s="522" t="inlineStr">
        <is>
          <t>INV200886</t>
        </is>
      </c>
      <c r="N2769" s="522" t="inlineStr">
        <is>
          <t>INV200886</t>
        </is>
      </c>
      <c r="O2769" s="521">
        <f>M2769=N2769</f>
        <v/>
      </c>
      <c r="P2769" s="521">
        <f>AND(MONTH(F2769)=MONTH(S2769), YEAR(F2769)=YEAR(S2769))</f>
        <v/>
      </c>
      <c r="Q2769" s="521">
        <f>U2769="L001-901905215"</f>
        <v/>
      </c>
      <c r="R2769" s="556">
        <f>G2769-W2769</f>
        <v/>
      </c>
      <c r="S2769" s="523" t="n">
        <v>44068</v>
      </c>
      <c r="T2769" s="522" t="inlineStr">
        <is>
          <t>INV200886</t>
        </is>
      </c>
      <c r="U2769" s="522" t="inlineStr">
        <is>
          <t>L001-901905215</t>
        </is>
      </c>
      <c r="V2769" s="522" t="inlineStr">
        <is>
          <t>វីអ៊ីស៊ិន (ខេមបូឌា) អ៊ិនដាសស្ទ្រី ឯ.ក</t>
        </is>
      </c>
      <c r="W2769" s="556" t="n">
        <v>233586</v>
      </c>
    </row>
    <row r="2770">
      <c r="A2770" s="521" t="n">
        <v>2762</v>
      </c>
      <c r="B2770" s="522" t="n"/>
      <c r="C2770" s="522" t="inlineStr">
        <is>
          <t>ខេមវីល គ្លូប៊ល ឯ.ក</t>
        </is>
      </c>
      <c r="D2770" s="522" t="inlineStr">
        <is>
          <t>L001-901637190</t>
        </is>
      </c>
      <c r="E2770" s="521" t="inlineStr">
        <is>
          <t>INV200933</t>
        </is>
      </c>
      <c r="F2770" s="523" t="n">
        <v>44074</v>
      </c>
      <c r="G2770" s="556" t="n">
        <v>238090</v>
      </c>
      <c r="I2770" s="521">
        <f>G2770</f>
        <v/>
      </c>
      <c r="K2770" s="521">
        <f>I2770-G2770</f>
        <v/>
      </c>
      <c r="M2770" s="522" t="inlineStr">
        <is>
          <t>INV200933</t>
        </is>
      </c>
      <c r="N2770" s="522" t="inlineStr">
        <is>
          <t>INV200933</t>
        </is>
      </c>
      <c r="O2770" s="521">
        <f>M2770=N2770</f>
        <v/>
      </c>
      <c r="P2770" s="521">
        <f>AND(MONTH(F2770)=MONTH(S2770), YEAR(F2770)=YEAR(S2770))</f>
        <v/>
      </c>
      <c r="Q2770" s="521">
        <f>U2770="L001-901905215"</f>
        <v/>
      </c>
      <c r="R2770" s="556">
        <f>G2770-W2770</f>
        <v/>
      </c>
      <c r="S2770" s="523" t="n">
        <v>44074</v>
      </c>
      <c r="T2770" s="522" t="inlineStr">
        <is>
          <t>INV200933</t>
        </is>
      </c>
      <c r="U2770" s="522" t="inlineStr">
        <is>
          <t>L001-901905215</t>
        </is>
      </c>
      <c r="V2770" s="522" t="inlineStr">
        <is>
          <t>វីអ៊ីស៊ិន (ខេមបូឌា) អ៊ិនដាសស្ទ្រី ឯ.ក</t>
        </is>
      </c>
      <c r="W2770" s="556" t="n">
        <v>238090</v>
      </c>
    </row>
    <row r="2771">
      <c r="A2771" s="521" t="n">
        <v>2763</v>
      </c>
      <c r="B2771" s="522" t="n"/>
      <c r="C2771" s="522" t="inlineStr">
        <is>
          <t>សូស៊ីយេតេ កុងសេស្យូនែរ ដឺ ឡាអេរ៉ូព័រ</t>
        </is>
      </c>
      <c r="D2771" s="522" t="inlineStr">
        <is>
          <t>L001-100047300</t>
        </is>
      </c>
      <c r="E2771" s="521" t="inlineStr">
        <is>
          <t>2000039122</t>
        </is>
      </c>
      <c r="F2771" s="523" t="n">
        <v>44051</v>
      </c>
      <c r="G2771" s="556" t="n">
        <v>24079</v>
      </c>
      <c r="I2771" s="521">
        <f>G2771</f>
        <v/>
      </c>
      <c r="K2771" s="521">
        <f>I2771-G2771</f>
        <v/>
      </c>
      <c r="M2771" s="522" t="inlineStr">
        <is>
          <t>2000039122</t>
        </is>
      </c>
      <c r="N2771" s="522" t="inlineStr"/>
      <c r="O2771" s="521">
        <f>M2771=N2771</f>
        <v/>
      </c>
      <c r="P2771" s="521">
        <f>AND(MONTH(F2771)=MONTH(S2771), YEAR(F2771)=YEAR(S2771))</f>
        <v/>
      </c>
      <c r="Q2771" s="521">
        <f>U2771="L001-901905215"</f>
        <v/>
      </c>
      <c r="R2771" s="556">
        <f>G2771-W2771</f>
        <v/>
      </c>
      <c r="S2771" s="521" t="n"/>
      <c r="T2771" s="522" t="n"/>
      <c r="U2771" s="522" t="n"/>
      <c r="V2771" s="522" t="n"/>
      <c r="W2771" s="521" t="n"/>
    </row>
    <row r="2772">
      <c r="A2772" s="521" t="n">
        <v>2764</v>
      </c>
      <c r="B2772" s="522" t="n"/>
      <c r="C2772" s="522" t="inlineStr">
        <is>
          <t>ខេមវីល គ្លូប៊ល ឯ.ក</t>
        </is>
      </c>
      <c r="D2772" s="522" t="inlineStr">
        <is>
          <t>L001-901637190</t>
        </is>
      </c>
      <c r="E2772" s="521" t="inlineStr">
        <is>
          <t>INV200905</t>
        </is>
      </c>
      <c r="F2772" s="523" t="n">
        <v>44071</v>
      </c>
      <c r="G2772" s="556" t="n">
        <v>118958</v>
      </c>
      <c r="I2772" s="521">
        <f>G2772</f>
        <v/>
      </c>
      <c r="K2772" s="521">
        <f>I2772-G2772</f>
        <v/>
      </c>
      <c r="M2772" s="522" t="inlineStr">
        <is>
          <t>INV200905</t>
        </is>
      </c>
      <c r="N2772" s="522" t="inlineStr">
        <is>
          <t>INV200905</t>
        </is>
      </c>
      <c r="O2772" s="521">
        <f>M2772=N2772</f>
        <v/>
      </c>
      <c r="P2772" s="521">
        <f>AND(MONTH(F2772)=MONTH(S2772), YEAR(F2772)=YEAR(S2772))</f>
        <v/>
      </c>
      <c r="Q2772" s="521">
        <f>U2772="L001-901905215"</f>
        <v/>
      </c>
      <c r="R2772" s="556">
        <f>G2772-W2772</f>
        <v/>
      </c>
      <c r="S2772" s="523" t="n">
        <v>44071</v>
      </c>
      <c r="T2772" s="522" t="inlineStr">
        <is>
          <t>INV200905</t>
        </is>
      </c>
      <c r="U2772" s="522" t="inlineStr">
        <is>
          <t>L001-901905215</t>
        </is>
      </c>
      <c r="V2772" s="522" t="inlineStr">
        <is>
          <t>វីអ៊ីស៊ិន (ខេមបូឌា) អ៊ិនដាសស្ទ្រី ឯ.ក</t>
        </is>
      </c>
      <c r="W2772" s="556" t="n">
        <v>118958</v>
      </c>
    </row>
    <row r="2773">
      <c r="A2773" s="521" t="n">
        <v>2765</v>
      </c>
      <c r="B2773" s="522" t="n"/>
      <c r="C2773" s="522" t="inlineStr">
        <is>
          <t>ខេមវីល គ្លូប៊ល ឯ.ក</t>
        </is>
      </c>
      <c r="D2773" s="522" t="inlineStr">
        <is>
          <t>L001-901637190</t>
        </is>
      </c>
      <c r="E2773" s="521" t="inlineStr">
        <is>
          <t>INV200885</t>
        </is>
      </c>
      <c r="F2773" s="523" t="n">
        <v>44068</v>
      </c>
      <c r="G2773" s="556" t="n">
        <v>233586</v>
      </c>
      <c r="I2773" s="521">
        <f>G2773</f>
        <v/>
      </c>
      <c r="K2773" s="521">
        <f>I2773-G2773</f>
        <v/>
      </c>
      <c r="M2773" s="522" t="inlineStr">
        <is>
          <t>INV200885</t>
        </is>
      </c>
      <c r="N2773" s="522" t="inlineStr">
        <is>
          <t>INV200885</t>
        </is>
      </c>
      <c r="O2773" s="521">
        <f>M2773=N2773</f>
        <v/>
      </c>
      <c r="P2773" s="521">
        <f>AND(MONTH(F2773)=MONTH(S2773), YEAR(F2773)=YEAR(S2773))</f>
        <v/>
      </c>
      <c r="Q2773" s="521">
        <f>U2773="L001-901905215"</f>
        <v/>
      </c>
      <c r="R2773" s="556">
        <f>G2773-W2773</f>
        <v/>
      </c>
      <c r="S2773" s="523" t="n">
        <v>44068</v>
      </c>
      <c r="T2773" s="522" t="inlineStr">
        <is>
          <t>INV200885</t>
        </is>
      </c>
      <c r="U2773" s="522" t="inlineStr">
        <is>
          <t>L001-901905215</t>
        </is>
      </c>
      <c r="V2773" s="522" t="inlineStr">
        <is>
          <t>វីអ៊ីស៊ិន (ខេមបូឌា) អ៊ិនដាសស្ទ្រី ឯ.ក</t>
        </is>
      </c>
      <c r="W2773" s="556" t="n">
        <v>233586</v>
      </c>
    </row>
    <row r="2774">
      <c r="A2774" s="521" t="n">
        <v>2766</v>
      </c>
      <c r="B2774" s="522" t="n"/>
      <c r="C2774" s="522" t="inlineStr">
        <is>
          <t>ខេមវីល គ្លូប៊ល ឯ.ក</t>
        </is>
      </c>
      <c r="D2774" s="522" t="inlineStr">
        <is>
          <t>L001-901637190</t>
        </is>
      </c>
      <c r="E2774" s="521" t="inlineStr">
        <is>
          <t>INV200902</t>
        </is>
      </c>
      <c r="F2774" s="523" t="n">
        <v>44069</v>
      </c>
      <c r="G2774" s="556" t="n">
        <v>225445</v>
      </c>
      <c r="I2774" s="521">
        <f>G2774</f>
        <v/>
      </c>
      <c r="K2774" s="521">
        <f>I2774-G2774</f>
        <v/>
      </c>
      <c r="M2774" s="522" t="inlineStr">
        <is>
          <t>INV200902</t>
        </is>
      </c>
      <c r="N2774" s="522" t="inlineStr">
        <is>
          <t>INV200902</t>
        </is>
      </c>
      <c r="O2774" s="521">
        <f>M2774=N2774</f>
        <v/>
      </c>
      <c r="P2774" s="521">
        <f>AND(MONTH(F2774)=MONTH(S2774), YEAR(F2774)=YEAR(S2774))</f>
        <v/>
      </c>
      <c r="Q2774" s="521">
        <f>U2774="L001-901905215"</f>
        <v/>
      </c>
      <c r="R2774" s="556">
        <f>G2774-W2774</f>
        <v/>
      </c>
      <c r="S2774" s="523" t="n">
        <v>44069</v>
      </c>
      <c r="T2774" s="522" t="inlineStr">
        <is>
          <t>INV200902</t>
        </is>
      </c>
      <c r="U2774" s="522" t="inlineStr">
        <is>
          <t>L001-901905215</t>
        </is>
      </c>
      <c r="V2774" s="522" t="inlineStr">
        <is>
          <t>វីអ៊ីស៊ិន (ខេមបូឌា) អ៊ិនដាសស្ទ្រី ឯ.ក</t>
        </is>
      </c>
      <c r="W2774" s="556" t="n">
        <v>225445</v>
      </c>
    </row>
    <row r="2775">
      <c r="A2775" s="521" t="n">
        <v>2767</v>
      </c>
      <c r="B2775" s="522" t="n"/>
      <c r="C2775" s="522" t="inlineStr">
        <is>
          <t>អ៊ិចស្ពែឌីធ័រ ខេមបូឌា អិលធីឌី</t>
        </is>
      </c>
      <c r="D2775" s="522" t="inlineStr">
        <is>
          <t>L001-100045898</t>
        </is>
      </c>
      <c r="E2775" s="521" t="inlineStr">
        <is>
          <t>TI0182525</t>
        </is>
      </c>
      <c r="F2775" s="523" t="n">
        <v>44070</v>
      </c>
      <c r="G2775" s="556" t="n">
        <v>138136</v>
      </c>
      <c r="I2775" s="521">
        <f>G2775</f>
        <v/>
      </c>
      <c r="K2775" s="521">
        <f>I2775-G2775</f>
        <v/>
      </c>
      <c r="M2775" s="522" t="inlineStr">
        <is>
          <t>TI0182525</t>
        </is>
      </c>
      <c r="N2775" s="522" t="inlineStr">
        <is>
          <t>TI0182525</t>
        </is>
      </c>
      <c r="O2775" s="521">
        <f>M2775=N2775</f>
        <v/>
      </c>
      <c r="P2775" s="521">
        <f>AND(MONTH(F2775)=MONTH(S2775), YEAR(F2775)=YEAR(S2775))</f>
        <v/>
      </c>
      <c r="Q2775" s="521">
        <f>U2775="L001-901905215"</f>
        <v/>
      </c>
      <c r="R2775" s="556">
        <f>G2775-W2775</f>
        <v/>
      </c>
      <c r="S2775" s="523" t="n">
        <v>44070</v>
      </c>
      <c r="T2775" s="522" t="inlineStr">
        <is>
          <t>TI-0182525</t>
        </is>
      </c>
      <c r="U2775" s="522" t="inlineStr">
        <is>
          <t>L001-901905215</t>
        </is>
      </c>
      <c r="V2775" s="522" t="inlineStr">
        <is>
          <t>វីអ៊ីស៊ិន (ខេមបូឌា) អ៊ិនដាសស្ទ្រី ឯ.ក</t>
        </is>
      </c>
      <c r="W2775" s="556" t="n">
        <v>138136</v>
      </c>
    </row>
    <row r="2776">
      <c r="A2776" s="521" t="n">
        <v>2768</v>
      </c>
      <c r="B2776" s="522" t="n"/>
      <c r="C2776" s="522" t="inlineStr">
        <is>
          <t>អ៊ិចស្ពែឌីធ័រ ខេមបូឌា អិលធីឌី</t>
        </is>
      </c>
      <c r="D2776" s="522" t="inlineStr">
        <is>
          <t>L001-100045898</t>
        </is>
      </c>
      <c r="E2776" s="521" t="inlineStr">
        <is>
          <t>TI0182492</t>
        </is>
      </c>
      <c r="F2776" s="523" t="n">
        <v>44069</v>
      </c>
      <c r="G2776" s="556" t="n">
        <v>120805</v>
      </c>
      <c r="I2776" s="521">
        <f>G2776</f>
        <v/>
      </c>
      <c r="K2776" s="521">
        <f>I2776-G2776</f>
        <v/>
      </c>
      <c r="M2776" s="522" t="inlineStr">
        <is>
          <t>TI0182492</t>
        </is>
      </c>
      <c r="N2776" s="522" t="inlineStr">
        <is>
          <t>TI0182492</t>
        </is>
      </c>
      <c r="O2776" s="521">
        <f>M2776=N2776</f>
        <v/>
      </c>
      <c r="P2776" s="521">
        <f>AND(MONTH(F2776)=MONTH(S2776), YEAR(F2776)=YEAR(S2776))</f>
        <v/>
      </c>
      <c r="Q2776" s="521">
        <f>U2776="L001-901905215"</f>
        <v/>
      </c>
      <c r="R2776" s="556">
        <f>G2776-W2776</f>
        <v/>
      </c>
      <c r="S2776" s="523" t="n">
        <v>44069</v>
      </c>
      <c r="T2776" s="522" t="inlineStr">
        <is>
          <t>TI-0182492</t>
        </is>
      </c>
      <c r="U2776" s="522" t="inlineStr">
        <is>
          <t>L001-901905215</t>
        </is>
      </c>
      <c r="V2776" s="522" t="inlineStr">
        <is>
          <t>វីអ៊ីស៊ិន (ខេមបូឌា) អ៊ិនដាសស្ទ្រី ឯ.ក</t>
        </is>
      </c>
      <c r="W2776" s="556" t="n">
        <v>120798</v>
      </c>
    </row>
    <row r="2777">
      <c r="A2777" s="521" t="n">
        <v>2769</v>
      </c>
      <c r="B2777" s="522" t="n"/>
      <c r="C2777" s="522" t="inlineStr">
        <is>
          <t>អ៊ិចស្ពែឌីធ័រ ខេមបូឌា អិលធីឌី</t>
        </is>
      </c>
      <c r="D2777" s="522" t="inlineStr">
        <is>
          <t>L001-100045898</t>
        </is>
      </c>
      <c r="E2777" s="521" t="inlineStr">
        <is>
          <t>TI0182485</t>
        </is>
      </c>
      <c r="F2777" s="523" t="n">
        <v>44069</v>
      </c>
      <c r="G2777" s="556" t="n">
        <v>158039</v>
      </c>
      <c r="I2777" s="521">
        <f>G2777</f>
        <v/>
      </c>
      <c r="K2777" s="521">
        <f>I2777-G2777</f>
        <v/>
      </c>
      <c r="M2777" s="522" t="inlineStr">
        <is>
          <t>TI0182485</t>
        </is>
      </c>
      <c r="N2777" s="522" t="inlineStr">
        <is>
          <t>TI0182485</t>
        </is>
      </c>
      <c r="O2777" s="521">
        <f>M2777=N2777</f>
        <v/>
      </c>
      <c r="P2777" s="521">
        <f>AND(MONTH(F2777)=MONTH(S2777), YEAR(F2777)=YEAR(S2777))</f>
        <v/>
      </c>
      <c r="Q2777" s="521">
        <f>U2777="L001-901905215"</f>
        <v/>
      </c>
      <c r="R2777" s="556">
        <f>G2777-W2777</f>
        <v/>
      </c>
      <c r="S2777" s="523" t="n">
        <v>44069</v>
      </c>
      <c r="T2777" s="522" t="inlineStr">
        <is>
          <t>TI-0182485</t>
        </is>
      </c>
      <c r="U2777" s="522" t="inlineStr">
        <is>
          <t>L001-901905215</t>
        </is>
      </c>
      <c r="V2777" s="522" t="inlineStr">
        <is>
          <t>វីអ៊ីស៊ិន (ខេមបូឌា) អ៊ិនដាសស្ទ្រី ឯ.ក</t>
        </is>
      </c>
      <c r="W2777" s="556" t="n">
        <v>158057</v>
      </c>
    </row>
    <row r="2778">
      <c r="A2778" s="521" t="n">
        <v>2770</v>
      </c>
      <c r="B2778" s="522" t="n"/>
      <c r="C2778" s="522" t="inlineStr">
        <is>
          <t>អ៊ិចស្ពែឌីធ័រ ខេមបូឌា អិលធីឌី</t>
        </is>
      </c>
      <c r="D2778" s="522" t="inlineStr">
        <is>
          <t>L001-100045898</t>
        </is>
      </c>
      <c r="E2778" s="521" t="inlineStr">
        <is>
          <t>TI0182464</t>
        </is>
      </c>
      <c r="F2778" s="523" t="n">
        <v>44069</v>
      </c>
      <c r="G2778" s="556" t="n">
        <v>175221</v>
      </c>
      <c r="I2778" s="521">
        <f>G2778</f>
        <v/>
      </c>
      <c r="K2778" s="521">
        <f>I2778-G2778</f>
        <v/>
      </c>
      <c r="M2778" s="522" t="inlineStr">
        <is>
          <t>TI0182464</t>
        </is>
      </c>
      <c r="N2778" s="522" t="inlineStr">
        <is>
          <t>TI0182464</t>
        </is>
      </c>
      <c r="O2778" s="521">
        <f>M2778=N2778</f>
        <v/>
      </c>
      <c r="P2778" s="521">
        <f>AND(MONTH(F2778)=MONTH(S2778), YEAR(F2778)=YEAR(S2778))</f>
        <v/>
      </c>
      <c r="Q2778" s="521">
        <f>U2778="L001-901905215"</f>
        <v/>
      </c>
      <c r="R2778" s="556">
        <f>G2778-W2778</f>
        <v/>
      </c>
      <c r="S2778" s="523" t="n">
        <v>44069</v>
      </c>
      <c r="T2778" s="522" t="inlineStr">
        <is>
          <t>TI-0182464</t>
        </is>
      </c>
      <c r="U2778" s="522" t="inlineStr">
        <is>
          <t>L001-901905215</t>
        </is>
      </c>
      <c r="V2778" s="522" t="inlineStr">
        <is>
          <t>វីអ៊ីស៊ិន (ខេមបូឌា) អ៊ិនដាសស្ទ្រី ឯ.ក</t>
        </is>
      </c>
      <c r="W2778" s="556" t="n">
        <v>175232</v>
      </c>
    </row>
    <row r="2779">
      <c r="A2779" s="521" t="n">
        <v>2771</v>
      </c>
      <c r="B2779" s="522" t="n"/>
      <c r="C2779" s="522" t="inlineStr">
        <is>
          <t>អ៊ិចស្ពែឌីធ័រ ខេមបូឌា អិលធីឌី</t>
        </is>
      </c>
      <c r="D2779" s="522" t="inlineStr">
        <is>
          <t>L001-100045898</t>
        </is>
      </c>
      <c r="E2779" s="521" t="inlineStr">
        <is>
          <t>TI0182403</t>
        </is>
      </c>
      <c r="F2779" s="523" t="n">
        <v>44068</v>
      </c>
      <c r="G2779" s="556" t="n">
        <v>87734</v>
      </c>
      <c r="I2779" s="521">
        <f>G2779</f>
        <v/>
      </c>
      <c r="K2779" s="521">
        <f>I2779-G2779</f>
        <v/>
      </c>
      <c r="M2779" s="522" t="inlineStr">
        <is>
          <t>TI0182403</t>
        </is>
      </c>
      <c r="N2779" s="522" t="inlineStr">
        <is>
          <t>TI0182403</t>
        </is>
      </c>
      <c r="O2779" s="521">
        <f>M2779=N2779</f>
        <v/>
      </c>
      <c r="P2779" s="521">
        <f>AND(MONTH(F2779)=MONTH(S2779), YEAR(F2779)=YEAR(S2779))</f>
        <v/>
      </c>
      <c r="Q2779" s="521">
        <f>U2779="L001-901905215"</f>
        <v/>
      </c>
      <c r="R2779" s="556">
        <f>G2779-W2779</f>
        <v/>
      </c>
      <c r="S2779" s="523" t="n">
        <v>44068</v>
      </c>
      <c r="T2779" s="522" t="inlineStr">
        <is>
          <t>TI-0182403</t>
        </is>
      </c>
      <c r="U2779" s="522" t="inlineStr">
        <is>
          <t>L001-901905215</t>
        </is>
      </c>
      <c r="V2779" s="522" t="inlineStr">
        <is>
          <t>វីអ៊ីស៊ិន (ខេមបូឌា) អ៊ិនដាសស្ទ្រី ឯ.ក</t>
        </is>
      </c>
      <c r="W2779" s="556" t="n">
        <v>87738</v>
      </c>
    </row>
    <row r="2780">
      <c r="A2780" s="521" t="n">
        <v>2772</v>
      </c>
      <c r="B2780" s="522" t="n"/>
      <c r="C2780" s="522" t="inlineStr">
        <is>
          <t>ឆាយ ដា ឡូយីស្ទីក</t>
        </is>
      </c>
      <c r="D2780" s="522" t="inlineStr">
        <is>
          <t>L001-100063098</t>
        </is>
      </c>
      <c r="E2780" s="521" t="inlineStr">
        <is>
          <t>2008007666</t>
        </is>
      </c>
      <c r="F2780" s="523" t="n">
        <v>44072</v>
      </c>
      <c r="G2780" s="556" t="n">
        <v>86142</v>
      </c>
      <c r="I2780" s="521">
        <f>G2780</f>
        <v/>
      </c>
      <c r="K2780" s="521">
        <f>I2780-G2780</f>
        <v/>
      </c>
      <c r="M2780" s="522" t="inlineStr">
        <is>
          <t>2008007666</t>
        </is>
      </c>
      <c r="N2780" s="522" t="inlineStr">
        <is>
          <t>2008007666</t>
        </is>
      </c>
      <c r="O2780" s="521">
        <f>M2780=N2780</f>
        <v/>
      </c>
      <c r="P2780" s="521">
        <f>AND(MONTH(F2780)=MONTH(S2780), YEAR(F2780)=YEAR(S2780))</f>
        <v/>
      </c>
      <c r="Q2780" s="521">
        <f>U2780="L001-901905215"</f>
        <v/>
      </c>
      <c r="R2780" s="556">
        <f>G2780-W2780</f>
        <v/>
      </c>
      <c r="S2780" s="523" t="n">
        <v>44072</v>
      </c>
      <c r="T2780" s="522" t="inlineStr">
        <is>
          <t>2008007666</t>
        </is>
      </c>
      <c r="U2780" s="522" t="inlineStr">
        <is>
          <t>L001-901905215</t>
        </is>
      </c>
      <c r="V2780" s="522" t="inlineStr">
        <is>
          <t>វីអ៊ីស៊ិន (ខេមបូឌា) អ៊ិនដាសស្ទ្រី ឯ.ក</t>
        </is>
      </c>
      <c r="W2780" s="556" t="n">
        <v>86142</v>
      </c>
    </row>
    <row r="2781">
      <c r="A2781" s="521" t="n">
        <v>2773</v>
      </c>
      <c r="B2781" s="522" t="n"/>
      <c r="C2781" s="522" t="inlineStr">
        <is>
          <t>ឆាយ ដា ឡូយីស្ទីក</t>
        </is>
      </c>
      <c r="D2781" s="522" t="inlineStr">
        <is>
          <t>L001-100063098</t>
        </is>
      </c>
      <c r="E2781" s="521" t="inlineStr">
        <is>
          <t>2008007665</t>
        </is>
      </c>
      <c r="F2781" s="523" t="n">
        <v>44072</v>
      </c>
      <c r="G2781" s="556" t="n">
        <v>77528</v>
      </c>
      <c r="I2781" s="521">
        <f>G2781</f>
        <v/>
      </c>
      <c r="K2781" s="521">
        <f>I2781-G2781</f>
        <v/>
      </c>
      <c r="M2781" s="522" t="inlineStr">
        <is>
          <t>2008007665</t>
        </is>
      </c>
      <c r="N2781" s="522" t="inlineStr">
        <is>
          <t>2008007665</t>
        </is>
      </c>
      <c r="O2781" s="521">
        <f>M2781=N2781</f>
        <v/>
      </c>
      <c r="P2781" s="521">
        <f>AND(MONTH(F2781)=MONTH(S2781), YEAR(F2781)=YEAR(S2781))</f>
        <v/>
      </c>
      <c r="Q2781" s="521">
        <f>U2781="L001-901905215"</f>
        <v/>
      </c>
      <c r="R2781" s="556">
        <f>G2781-W2781</f>
        <v/>
      </c>
      <c r="S2781" s="523" t="n">
        <v>44072</v>
      </c>
      <c r="T2781" s="522" t="inlineStr">
        <is>
          <t>2008007665</t>
        </is>
      </c>
      <c r="U2781" s="522" t="inlineStr">
        <is>
          <t>L001-901905215</t>
        </is>
      </c>
      <c r="V2781" s="522" t="inlineStr">
        <is>
          <t>វីអ៊ីស៊ិន (ខេមបូឌា) អ៊ិនដាសស្ទ្រី ឯ.ក</t>
        </is>
      </c>
      <c r="W2781" s="556" t="n">
        <v>77528</v>
      </c>
    </row>
    <row r="2782">
      <c r="A2782" s="521" t="n">
        <v>2774</v>
      </c>
      <c r="B2782" s="522" t="n"/>
      <c r="C2782" s="522" t="inlineStr">
        <is>
          <t>ឆាយ ដា ឡូយីស្ទីក</t>
        </is>
      </c>
      <c r="D2782" s="522" t="inlineStr">
        <is>
          <t>L001-100063098</t>
        </is>
      </c>
      <c r="E2782" s="521" t="inlineStr">
        <is>
          <t>2008007657</t>
        </is>
      </c>
      <c r="F2782" s="523" t="n">
        <v>44072</v>
      </c>
      <c r="G2782" s="556" t="n">
        <v>77528</v>
      </c>
      <c r="I2782" s="521">
        <f>G2782</f>
        <v/>
      </c>
      <c r="K2782" s="521">
        <f>I2782-G2782</f>
        <v/>
      </c>
      <c r="M2782" s="522" t="inlineStr">
        <is>
          <t>2008007657</t>
        </is>
      </c>
      <c r="N2782" s="522" t="inlineStr">
        <is>
          <t>2008007657</t>
        </is>
      </c>
      <c r="O2782" s="521">
        <f>M2782=N2782</f>
        <v/>
      </c>
      <c r="P2782" s="521">
        <f>AND(MONTH(F2782)=MONTH(S2782), YEAR(F2782)=YEAR(S2782))</f>
        <v/>
      </c>
      <c r="Q2782" s="521">
        <f>U2782="L001-901905215"</f>
        <v/>
      </c>
      <c r="R2782" s="556">
        <f>G2782-W2782</f>
        <v/>
      </c>
      <c r="S2782" s="523" t="n">
        <v>44072</v>
      </c>
      <c r="T2782" s="522" t="inlineStr">
        <is>
          <t>2008007657</t>
        </is>
      </c>
      <c r="U2782" s="522" t="inlineStr">
        <is>
          <t>L001-901905215</t>
        </is>
      </c>
      <c r="V2782" s="522" t="inlineStr">
        <is>
          <t>វីអ៊ីស៊ិន (ខេមបូឌា) អ៊ិនដាសស្ទ្រី ឯ.ក</t>
        </is>
      </c>
      <c r="W2782" s="556" t="n">
        <v>77528</v>
      </c>
    </row>
    <row r="2783">
      <c r="A2783" s="521" t="n">
        <v>2775</v>
      </c>
      <c r="B2783" s="522" t="n"/>
      <c r="C2783" s="522" t="inlineStr">
        <is>
          <t>ឆាយ ដា ឡូយីស្ទីក</t>
        </is>
      </c>
      <c r="D2783" s="522" t="inlineStr">
        <is>
          <t>L001-100063098</t>
        </is>
      </c>
      <c r="E2783" s="521" t="inlineStr">
        <is>
          <t>2008007643</t>
        </is>
      </c>
      <c r="F2783" s="523" t="n">
        <v>44072</v>
      </c>
      <c r="G2783" s="556" t="n">
        <v>89834</v>
      </c>
      <c r="I2783" s="521">
        <f>G2783</f>
        <v/>
      </c>
      <c r="K2783" s="521">
        <f>I2783-G2783</f>
        <v/>
      </c>
      <c r="M2783" s="522" t="inlineStr">
        <is>
          <t>2008007643</t>
        </is>
      </c>
      <c r="N2783" s="522" t="inlineStr">
        <is>
          <t>2008007643</t>
        </is>
      </c>
      <c r="O2783" s="521">
        <f>M2783=N2783</f>
        <v/>
      </c>
      <c r="P2783" s="521">
        <f>AND(MONTH(F2783)=MONTH(S2783), YEAR(F2783)=YEAR(S2783))</f>
        <v/>
      </c>
      <c r="Q2783" s="521">
        <f>U2783="L001-901905215"</f>
        <v/>
      </c>
      <c r="R2783" s="556">
        <f>G2783-W2783</f>
        <v/>
      </c>
      <c r="S2783" s="523" t="n">
        <v>44072</v>
      </c>
      <c r="T2783" s="522" t="inlineStr">
        <is>
          <t>2008007643</t>
        </is>
      </c>
      <c r="U2783" s="522" t="inlineStr">
        <is>
          <t>L001-901905215</t>
        </is>
      </c>
      <c r="V2783" s="522" t="inlineStr">
        <is>
          <t>វីអ៊ីស៊ិន (ខេមបូឌា) អ៊ិនដាសស្ទ្រី ឯ.ក</t>
        </is>
      </c>
      <c r="W2783" s="556" t="n">
        <v>89834</v>
      </c>
    </row>
    <row r="2784">
      <c r="A2784" s="521" t="n">
        <v>2776</v>
      </c>
      <c r="B2784" s="522" t="n"/>
      <c r="C2784" s="522" t="inlineStr">
        <is>
          <t>ឆាយ ដា ឡូយីស្ទីក</t>
        </is>
      </c>
      <c r="D2784" s="522" t="inlineStr">
        <is>
          <t>L001-100063098</t>
        </is>
      </c>
      <c r="E2784" s="521" t="inlineStr">
        <is>
          <t>2008007286</t>
        </is>
      </c>
      <c r="F2784" s="523" t="n">
        <v>44065</v>
      </c>
      <c r="G2784" s="556" t="n">
        <v>89681</v>
      </c>
      <c r="I2784" s="521">
        <f>G2784</f>
        <v/>
      </c>
      <c r="K2784" s="521">
        <f>I2784-G2784</f>
        <v/>
      </c>
      <c r="M2784" s="522" t="inlineStr">
        <is>
          <t>2008007286</t>
        </is>
      </c>
      <c r="N2784" s="522" t="inlineStr">
        <is>
          <t>2008007286</t>
        </is>
      </c>
      <c r="O2784" s="521">
        <f>M2784=N2784</f>
        <v/>
      </c>
      <c r="P2784" s="521">
        <f>AND(MONTH(F2784)=MONTH(S2784), YEAR(F2784)=YEAR(S2784))</f>
        <v/>
      </c>
      <c r="Q2784" s="521">
        <f>U2784="L001-901905215"</f>
        <v/>
      </c>
      <c r="R2784" s="556">
        <f>G2784-W2784</f>
        <v/>
      </c>
      <c r="S2784" s="523" t="n">
        <v>44065</v>
      </c>
      <c r="T2784" s="522" t="inlineStr">
        <is>
          <t>2008007286</t>
        </is>
      </c>
      <c r="U2784" s="522" t="inlineStr">
        <is>
          <t>L001-901905215</t>
        </is>
      </c>
      <c r="V2784" s="522" t="inlineStr">
        <is>
          <t>វីអ៊ីស៊ិន (ខេមបូឌា) អ៊ិនដាសស្ទ្រី ឯ.ក</t>
        </is>
      </c>
      <c r="W2784" s="556" t="n">
        <v>89681</v>
      </c>
    </row>
    <row r="2785">
      <c r="A2785" s="521" t="n">
        <v>2777</v>
      </c>
      <c r="B2785" s="522" t="n"/>
      <c r="C2785" s="522" t="inlineStr">
        <is>
          <t>ឆាយ ដា ឡូយីស្ទីក</t>
        </is>
      </c>
      <c r="D2785" s="522" t="inlineStr">
        <is>
          <t>L001-100063098</t>
        </is>
      </c>
      <c r="E2785" s="521" t="inlineStr">
        <is>
          <t>2008007285</t>
        </is>
      </c>
      <c r="F2785" s="523" t="n">
        <v>44065</v>
      </c>
      <c r="G2785" s="556" t="n">
        <v>77396</v>
      </c>
      <c r="I2785" s="521">
        <f>G2785</f>
        <v/>
      </c>
      <c r="K2785" s="521">
        <f>I2785-G2785</f>
        <v/>
      </c>
      <c r="M2785" s="522" t="inlineStr">
        <is>
          <t>2008007285</t>
        </is>
      </c>
      <c r="N2785" s="522" t="inlineStr">
        <is>
          <t>2008007285</t>
        </is>
      </c>
      <c r="O2785" s="521">
        <f>M2785=N2785</f>
        <v/>
      </c>
      <c r="P2785" s="521">
        <f>AND(MONTH(F2785)=MONTH(S2785), YEAR(F2785)=YEAR(S2785))</f>
        <v/>
      </c>
      <c r="Q2785" s="521">
        <f>U2785="L001-901905215"</f>
        <v/>
      </c>
      <c r="R2785" s="556">
        <f>G2785-W2785</f>
        <v/>
      </c>
      <c r="S2785" s="523" t="n">
        <v>44065</v>
      </c>
      <c r="T2785" s="522" t="inlineStr">
        <is>
          <t>2008007285</t>
        </is>
      </c>
      <c r="U2785" s="522" t="inlineStr">
        <is>
          <t>L001-901905215</t>
        </is>
      </c>
      <c r="V2785" s="522" t="inlineStr">
        <is>
          <t>វីអ៊ីស៊ិន (ខេមបូឌា) អ៊ិនដាសស្ទ្រី ឯ.ក</t>
        </is>
      </c>
      <c r="W2785" s="556" t="n">
        <v>77395</v>
      </c>
    </row>
    <row r="2786">
      <c r="A2786" s="521" t="n">
        <v>2778</v>
      </c>
      <c r="B2786" s="522" t="n"/>
      <c r="C2786" s="522" t="inlineStr">
        <is>
          <t>ឆាយ ដា ឡូយីស្ទីក</t>
        </is>
      </c>
      <c r="D2786" s="522" t="inlineStr">
        <is>
          <t>L001-100063098</t>
        </is>
      </c>
      <c r="E2786" s="521" t="inlineStr">
        <is>
          <t>2008007282</t>
        </is>
      </c>
      <c r="F2786" s="523" t="n">
        <v>44065</v>
      </c>
      <c r="G2786" s="556" t="n">
        <v>194103</v>
      </c>
      <c r="I2786" s="521">
        <f>G2786</f>
        <v/>
      </c>
      <c r="K2786" s="521">
        <f>I2786-G2786</f>
        <v/>
      </c>
      <c r="M2786" s="522" t="inlineStr">
        <is>
          <t>2008007282</t>
        </is>
      </c>
      <c r="N2786" s="522" t="inlineStr">
        <is>
          <t>2008007282</t>
        </is>
      </c>
      <c r="O2786" s="521">
        <f>M2786=N2786</f>
        <v/>
      </c>
      <c r="P2786" s="521">
        <f>AND(MONTH(F2786)=MONTH(S2786), YEAR(F2786)=YEAR(S2786))</f>
        <v/>
      </c>
      <c r="Q2786" s="521">
        <f>U2786="L001-901905215"</f>
        <v/>
      </c>
      <c r="R2786" s="556">
        <f>G2786-W2786</f>
        <v/>
      </c>
      <c r="S2786" s="523" t="n">
        <v>44065</v>
      </c>
      <c r="T2786" s="522" t="inlineStr">
        <is>
          <t>2008007282</t>
        </is>
      </c>
      <c r="U2786" s="522" t="inlineStr">
        <is>
          <t>L001-901905215</t>
        </is>
      </c>
      <c r="V2786" s="522" t="inlineStr">
        <is>
          <t>វីអ៊ីស៊ិន (ខេមបូឌា) អ៊ិនដាសស្ទ្រី ឯ.ក</t>
        </is>
      </c>
      <c r="W2786" s="556" t="n">
        <v>194103</v>
      </c>
    </row>
    <row r="2787">
      <c r="A2787" s="521" t="n">
        <v>2779</v>
      </c>
      <c r="B2787" s="522" t="n"/>
      <c r="C2787" s="522" t="inlineStr">
        <is>
          <t>ឆាយ ដា ឡូយីស្ទីក</t>
        </is>
      </c>
      <c r="D2787" s="522" t="inlineStr">
        <is>
          <t>L001-100063098</t>
        </is>
      </c>
      <c r="E2787" s="521" t="inlineStr">
        <is>
          <t>2008007281</t>
        </is>
      </c>
      <c r="F2787" s="523" t="n">
        <v>44065</v>
      </c>
      <c r="G2787" s="556" t="n">
        <v>89681</v>
      </c>
      <c r="I2787" s="521">
        <f>G2787</f>
        <v/>
      </c>
      <c r="K2787" s="521">
        <f>I2787-G2787</f>
        <v/>
      </c>
      <c r="M2787" s="522" t="inlineStr">
        <is>
          <t>2008007281</t>
        </is>
      </c>
      <c r="N2787" s="522" t="inlineStr">
        <is>
          <t>2008007281</t>
        </is>
      </c>
      <c r="O2787" s="521">
        <f>M2787=N2787</f>
        <v/>
      </c>
      <c r="P2787" s="521">
        <f>AND(MONTH(F2787)=MONTH(S2787), YEAR(F2787)=YEAR(S2787))</f>
        <v/>
      </c>
      <c r="Q2787" s="521">
        <f>U2787="L001-901905215"</f>
        <v/>
      </c>
      <c r="R2787" s="556">
        <f>G2787-W2787</f>
        <v/>
      </c>
      <c r="S2787" s="523" t="n">
        <v>44065</v>
      </c>
      <c r="T2787" s="522" t="inlineStr">
        <is>
          <t>2008007281</t>
        </is>
      </c>
      <c r="U2787" s="522" t="inlineStr">
        <is>
          <t>L001-901905215</t>
        </is>
      </c>
      <c r="V2787" s="522" t="inlineStr">
        <is>
          <t>វីអ៊ីស៊ិន (ខេមបូឌា) អ៊ិនដាសស្ទ្រី ឯ.ក</t>
        </is>
      </c>
      <c r="W2787" s="556" t="n">
        <v>89681</v>
      </c>
    </row>
    <row r="2788">
      <c r="A2788" s="521" t="n">
        <v>2780</v>
      </c>
      <c r="B2788" s="522" t="n"/>
      <c r="C2788" s="522" t="inlineStr">
        <is>
          <t>ឆាយ ដា ឡូយីស្ទីក</t>
        </is>
      </c>
      <c r="D2788" s="522" t="inlineStr">
        <is>
          <t>L001-100063098</t>
        </is>
      </c>
      <c r="E2788" s="521" t="inlineStr">
        <is>
          <t>2008007273</t>
        </is>
      </c>
      <c r="F2788" s="523" t="n">
        <v>44065</v>
      </c>
      <c r="G2788" s="556" t="n">
        <v>89681</v>
      </c>
      <c r="I2788" s="521">
        <f>G2788</f>
        <v/>
      </c>
      <c r="K2788" s="521">
        <f>I2788-G2788</f>
        <v/>
      </c>
      <c r="M2788" s="522" t="inlineStr">
        <is>
          <t>2008007273</t>
        </is>
      </c>
      <c r="N2788" s="522" t="inlineStr">
        <is>
          <t>2008007273</t>
        </is>
      </c>
      <c r="O2788" s="521">
        <f>M2788=N2788</f>
        <v/>
      </c>
      <c r="P2788" s="521">
        <f>AND(MONTH(F2788)=MONTH(S2788), YEAR(F2788)=YEAR(S2788))</f>
        <v/>
      </c>
      <c r="Q2788" s="521">
        <f>U2788="L001-901905215"</f>
        <v/>
      </c>
      <c r="R2788" s="556">
        <f>G2788-W2788</f>
        <v/>
      </c>
      <c r="S2788" s="523" t="n">
        <v>44065</v>
      </c>
      <c r="T2788" s="522" t="inlineStr">
        <is>
          <t>2008007273</t>
        </is>
      </c>
      <c r="U2788" s="522" t="inlineStr">
        <is>
          <t>L001-901905215</t>
        </is>
      </c>
      <c r="V2788" s="522" t="inlineStr">
        <is>
          <t>វីអ៊ីស៊ិន (ខេមបូឌា) អ៊ិនដាសស្ទ្រី ឯ.ក</t>
        </is>
      </c>
      <c r="W2788" s="556" t="n">
        <v>89681</v>
      </c>
    </row>
    <row r="2789">
      <c r="A2789" s="521" t="n">
        <v>2781</v>
      </c>
      <c r="B2789" s="522" t="n"/>
      <c r="C2789" s="522" t="inlineStr">
        <is>
          <t>ឆាយ ដា ឡូយីស្ទីក</t>
        </is>
      </c>
      <c r="D2789" s="522" t="inlineStr">
        <is>
          <t>L001-100063098</t>
        </is>
      </c>
      <c r="E2789" s="521" t="inlineStr">
        <is>
          <t>2008007021</t>
        </is>
      </c>
      <c r="F2789" s="523" t="n">
        <v>44053</v>
      </c>
      <c r="G2789" s="556" t="n">
        <v>89724</v>
      </c>
      <c r="I2789" s="521">
        <f>G2789</f>
        <v/>
      </c>
      <c r="K2789" s="521">
        <f>I2789-G2789</f>
        <v/>
      </c>
      <c r="M2789" s="522" t="inlineStr">
        <is>
          <t>2008007021</t>
        </is>
      </c>
      <c r="N2789" s="522" t="inlineStr">
        <is>
          <t>2008007021</t>
        </is>
      </c>
      <c r="O2789" s="521">
        <f>M2789=N2789</f>
        <v/>
      </c>
      <c r="P2789" s="521">
        <f>AND(MONTH(F2789)=MONTH(S2789), YEAR(F2789)=YEAR(S2789))</f>
        <v/>
      </c>
      <c r="Q2789" s="521">
        <f>U2789="L001-901905215"</f>
        <v/>
      </c>
      <c r="R2789" s="556">
        <f>G2789-W2789</f>
        <v/>
      </c>
      <c r="S2789" s="523" t="n">
        <v>44053</v>
      </c>
      <c r="T2789" s="522" t="inlineStr">
        <is>
          <t>2008007021</t>
        </is>
      </c>
      <c r="U2789" s="522" t="inlineStr">
        <is>
          <t>L001-901905215</t>
        </is>
      </c>
      <c r="V2789" s="522" t="inlineStr">
        <is>
          <t>វីអ៊ីស៊ិន (ខេមបូឌា) អ៊ិនដាសស្ទ្រី ឯ.ក</t>
        </is>
      </c>
      <c r="W2789" s="556" t="n">
        <v>89724</v>
      </c>
    </row>
    <row r="2790">
      <c r="A2790" s="521" t="n">
        <v>2782</v>
      </c>
      <c r="B2790" s="522" t="n"/>
      <c r="C2790" s="522" t="inlineStr">
        <is>
          <t>ឆាយ ដា ឡូយីស្ទីក</t>
        </is>
      </c>
      <c r="D2790" s="522" t="inlineStr">
        <is>
          <t>L001-100063098</t>
        </is>
      </c>
      <c r="E2790" s="521" t="inlineStr">
        <is>
          <t>2008007017</t>
        </is>
      </c>
      <c r="F2790" s="523" t="n">
        <v>44053</v>
      </c>
      <c r="G2790" s="556" t="n">
        <v>89724</v>
      </c>
      <c r="I2790" s="521">
        <f>G2790</f>
        <v/>
      </c>
      <c r="K2790" s="521">
        <f>I2790-G2790</f>
        <v/>
      </c>
      <c r="M2790" s="522" t="inlineStr">
        <is>
          <t>2008007017</t>
        </is>
      </c>
      <c r="N2790" s="522" t="inlineStr">
        <is>
          <t>2008007017</t>
        </is>
      </c>
      <c r="O2790" s="521">
        <f>M2790=N2790</f>
        <v/>
      </c>
      <c r="P2790" s="521">
        <f>AND(MONTH(F2790)=MONTH(S2790), YEAR(F2790)=YEAR(S2790))</f>
        <v/>
      </c>
      <c r="Q2790" s="521">
        <f>U2790="L001-901905215"</f>
        <v/>
      </c>
      <c r="R2790" s="556">
        <f>G2790-W2790</f>
        <v/>
      </c>
      <c r="S2790" s="523" t="n">
        <v>44053</v>
      </c>
      <c r="T2790" s="522" t="inlineStr">
        <is>
          <t>2008007017</t>
        </is>
      </c>
      <c r="U2790" s="522" t="inlineStr">
        <is>
          <t>L001-901905215</t>
        </is>
      </c>
      <c r="V2790" s="522" t="inlineStr">
        <is>
          <t>វីអ៊ីស៊ិន (ខេមបូឌា) អ៊ិនដាសស្ទ្រី ឯ.ក</t>
        </is>
      </c>
      <c r="W2790" s="556" t="n">
        <v>89724</v>
      </c>
    </row>
    <row r="2791">
      <c r="A2791" s="521" t="n">
        <v>2783</v>
      </c>
      <c r="B2791" s="522" t="n"/>
      <c r="C2791" s="522" t="inlineStr">
        <is>
          <t>ឆាយ ដា ឡូយីស្ទីក</t>
        </is>
      </c>
      <c r="D2791" s="522" t="inlineStr">
        <is>
          <t>L001-100063098</t>
        </is>
      </c>
      <c r="E2791" s="521" t="inlineStr">
        <is>
          <t>2008006873</t>
        </is>
      </c>
      <c r="F2791" s="523" t="n">
        <v>44046</v>
      </c>
      <c r="G2791" s="556" t="n">
        <v>194103</v>
      </c>
      <c r="I2791" s="521">
        <f>G2791</f>
        <v/>
      </c>
      <c r="K2791" s="521">
        <f>I2791-G2791</f>
        <v/>
      </c>
      <c r="M2791" s="522" t="inlineStr">
        <is>
          <t>2008006873</t>
        </is>
      </c>
      <c r="N2791" s="522" t="inlineStr">
        <is>
          <t>2008006873</t>
        </is>
      </c>
      <c r="O2791" s="521">
        <f>M2791=N2791</f>
        <v/>
      </c>
      <c r="P2791" s="521">
        <f>AND(MONTH(F2791)=MONTH(S2791), YEAR(F2791)=YEAR(S2791))</f>
        <v/>
      </c>
      <c r="Q2791" s="521">
        <f>U2791="L001-901905215"</f>
        <v/>
      </c>
      <c r="R2791" s="556">
        <f>G2791-W2791</f>
        <v/>
      </c>
      <c r="S2791" s="523" t="n">
        <v>44046</v>
      </c>
      <c r="T2791" s="522" t="inlineStr">
        <is>
          <t>2008006873</t>
        </is>
      </c>
      <c r="U2791" s="522" t="inlineStr">
        <is>
          <t>L001-901905215</t>
        </is>
      </c>
      <c r="V2791" s="522" t="inlineStr">
        <is>
          <t>វីអ៊ីស៊ិន (ខេមបូឌា) អ៊ិនដាសស្ទ្រី ឯ.ក</t>
        </is>
      </c>
      <c r="W2791" s="556" t="n">
        <v>194103</v>
      </c>
    </row>
    <row r="2792">
      <c r="A2792" s="521" t="n">
        <v>2784</v>
      </c>
      <c r="B2792" s="522" t="n"/>
      <c r="C2792" s="522" t="inlineStr">
        <is>
          <t>យីងកឺ ខេម ឯ.ក</t>
        </is>
      </c>
      <c r="D2792" s="522" t="inlineStr">
        <is>
          <t>K003-901900367</t>
        </is>
      </c>
      <c r="E2792" s="521" t="inlineStr">
        <is>
          <t>YK20061</t>
        </is>
      </c>
      <c r="F2792" s="523" t="n">
        <v>44048</v>
      </c>
      <c r="G2792" s="556" t="n">
        <v>241859</v>
      </c>
      <c r="I2792" s="521">
        <f>G2792</f>
        <v/>
      </c>
      <c r="K2792" s="521">
        <f>I2792-G2792</f>
        <v/>
      </c>
      <c r="M2792" s="522" t="inlineStr">
        <is>
          <t>YK20061</t>
        </is>
      </c>
      <c r="N2792" s="522" t="inlineStr">
        <is>
          <t>YK20061</t>
        </is>
      </c>
      <c r="O2792" s="521">
        <f>M2792=N2792</f>
        <v/>
      </c>
      <c r="P2792" s="521">
        <f>AND(MONTH(F2792)=MONTH(S2792), YEAR(F2792)=YEAR(S2792))</f>
        <v/>
      </c>
      <c r="Q2792" s="521">
        <f>U2792="L001-901905215"</f>
        <v/>
      </c>
      <c r="R2792" s="556">
        <f>G2792-W2792</f>
        <v/>
      </c>
      <c r="S2792" s="523" t="n">
        <v>44048</v>
      </c>
      <c r="T2792" s="522" t="inlineStr">
        <is>
          <t>YK20-061</t>
        </is>
      </c>
      <c r="U2792" s="522" t="inlineStr">
        <is>
          <t>L001-901905215</t>
        </is>
      </c>
      <c r="V2792" s="522" t="inlineStr">
        <is>
          <t>វីអ៊ីស៊ិន (ខេមបូឌា) អ៊ិនដាសស្ទ្រី ឯ.ក</t>
        </is>
      </c>
      <c r="W2792" s="556" t="n">
        <v>241859</v>
      </c>
    </row>
    <row r="2793">
      <c r="A2793" s="521" t="n">
        <v>2785</v>
      </c>
      <c r="B2793" s="522" t="inlineStr">
        <is>
          <t>Monthly tax declaration for Jun-2021 service</t>
        </is>
      </c>
      <c r="C2793" s="522" t="inlineStr">
        <is>
          <t>យីងកឺ ខេម ថេក អ៊ែតវ៉ាយហ្សឺរី ឯ.ក</t>
        </is>
      </c>
      <c r="D2793" s="522" t="inlineStr">
        <is>
          <t>K003-902005313</t>
        </is>
      </c>
      <c r="E2793" s="521" t="inlineStr">
        <is>
          <t>YKT21-109</t>
        </is>
      </c>
      <c r="F2793" s="523" t="n">
        <v>44413</v>
      </c>
      <c r="G2793" s="556" t="n">
        <v>240736</v>
      </c>
      <c r="I2793" s="521">
        <f>G2793</f>
        <v/>
      </c>
      <c r="K2793" s="521">
        <f>I2793-G2793</f>
        <v/>
      </c>
      <c r="M2793" s="522" t="inlineStr">
        <is>
          <t>YKT21109</t>
        </is>
      </c>
      <c r="N2793" s="522" t="inlineStr"/>
      <c r="O2793" s="521">
        <f>M2793=N2793</f>
        <v/>
      </c>
      <c r="P2793" s="521">
        <f>AND(MONTH(F2793)=MONTH(S2793), YEAR(F2793)=YEAR(S2793))</f>
        <v/>
      </c>
      <c r="Q2793" s="521">
        <f>U2793="L001-901905215"</f>
        <v/>
      </c>
      <c r="R2793" s="556">
        <f>G2793-W2793</f>
        <v/>
      </c>
      <c r="S2793" s="521" t="n"/>
      <c r="T2793" s="522" t="n"/>
      <c r="U2793" s="522" t="n"/>
      <c r="V2793" s="522" t="n"/>
      <c r="W2793" s="521" t="n"/>
    </row>
    <row r="2794">
      <c r="A2794" s="521" t="n">
        <v>2786</v>
      </c>
      <c r="B2794" s="522" t="inlineStr">
        <is>
          <t>Express fee</t>
        </is>
      </c>
      <c r="C2794" s="522" t="inlineStr">
        <is>
          <t>ឌី អេច អិល អិចប្រេស (ខេមបូឌា)</t>
        </is>
      </c>
      <c r="D2794" s="522" t="inlineStr">
        <is>
          <t>L001-100045197</t>
        </is>
      </c>
      <c r="E2794" s="521" t="inlineStr">
        <is>
          <t>PHNR000393019</t>
        </is>
      </c>
      <c r="F2794" s="523" t="n">
        <v>44439</v>
      </c>
      <c r="G2794" s="556" t="n">
        <v>5067</v>
      </c>
      <c r="I2794" s="521">
        <f>G2794</f>
        <v/>
      </c>
      <c r="K2794" s="521">
        <f>I2794-G2794</f>
        <v/>
      </c>
      <c r="M2794" s="522" t="inlineStr">
        <is>
          <t>PHNR000393019</t>
        </is>
      </c>
      <c r="N2794" s="522" t="inlineStr"/>
      <c r="O2794" s="521">
        <f>M2794=N2794</f>
        <v/>
      </c>
      <c r="P2794" s="521">
        <f>AND(MONTH(F2794)=MONTH(S2794), YEAR(F2794)=YEAR(S2794))</f>
        <v/>
      </c>
      <c r="Q2794" s="521">
        <f>U2794="L001-901905215"</f>
        <v/>
      </c>
      <c r="R2794" s="556">
        <f>G2794-W2794</f>
        <v/>
      </c>
      <c r="S2794" s="521" t="n"/>
      <c r="T2794" s="522" t="n"/>
      <c r="U2794" s="522" t="n"/>
      <c r="V2794" s="522" t="n"/>
      <c r="W2794" s="521" t="n"/>
    </row>
    <row r="2795">
      <c r="A2795" s="521" t="n">
        <v>2787</v>
      </c>
      <c r="B2795" s="522" t="inlineStr">
        <is>
          <t>Express fee</t>
        </is>
      </c>
      <c r="C2795" s="522" t="inlineStr">
        <is>
          <t>ឌី អេច អិល អិចប្រេស (ខេមបូឌា)</t>
        </is>
      </c>
      <c r="D2795" s="522" t="inlineStr">
        <is>
          <t>L001-100045197</t>
        </is>
      </c>
      <c r="E2795" s="521" t="inlineStr">
        <is>
          <t>PHNR000391523</t>
        </is>
      </c>
      <c r="F2795" s="523" t="n">
        <v>44427</v>
      </c>
      <c r="G2795" s="556" t="n">
        <v>21126</v>
      </c>
      <c r="I2795" s="521">
        <f>G2795</f>
        <v/>
      </c>
      <c r="K2795" s="521">
        <f>I2795-G2795</f>
        <v/>
      </c>
      <c r="M2795" s="522" t="inlineStr">
        <is>
          <t>PHNR000391523</t>
        </is>
      </c>
      <c r="N2795" s="522" t="inlineStr"/>
      <c r="O2795" s="521">
        <f>M2795=N2795</f>
        <v/>
      </c>
      <c r="P2795" s="521">
        <f>AND(MONTH(F2795)=MONTH(S2795), YEAR(F2795)=YEAR(S2795))</f>
        <v/>
      </c>
      <c r="Q2795" s="521">
        <f>U2795="L001-901905215"</f>
        <v/>
      </c>
      <c r="R2795" s="556">
        <f>G2795-W2795</f>
        <v/>
      </c>
      <c r="S2795" s="521" t="n"/>
      <c r="T2795" s="522" t="n"/>
      <c r="U2795" s="522" t="n"/>
      <c r="V2795" s="522" t="n"/>
      <c r="W2795" s="521" t="n"/>
    </row>
    <row r="2796">
      <c r="A2796" s="521" t="n">
        <v>2788</v>
      </c>
      <c r="B2796" s="522" t="inlineStr">
        <is>
          <t>Clearance and Trucking fee</t>
        </is>
      </c>
      <c r="C2796" s="522" t="inlineStr">
        <is>
          <t>56ប៊ី-លីង សឹបផ្លាយ ឆេន មេនេចម៉ិន ឯ.ក</t>
        </is>
      </c>
      <c r="D2796" s="522" t="inlineStr">
        <is>
          <t>K004-902004795</t>
        </is>
      </c>
      <c r="E2796" s="521" t="inlineStr">
        <is>
          <t>IN202108-0444</t>
        </is>
      </c>
      <c r="F2796" s="523" t="n">
        <v>44439</v>
      </c>
      <c r="G2796" s="556" t="n">
        <v>591600</v>
      </c>
      <c r="I2796" s="521">
        <f>G2796</f>
        <v/>
      </c>
      <c r="K2796" s="521">
        <f>I2796-G2796</f>
        <v/>
      </c>
      <c r="M2796" s="522" t="inlineStr">
        <is>
          <t>IN2021080444</t>
        </is>
      </c>
      <c r="N2796" s="522" t="inlineStr">
        <is>
          <t>IN2021080444</t>
        </is>
      </c>
      <c r="O2796" s="521">
        <f>M2796=N2796</f>
        <v/>
      </c>
      <c r="P2796" s="521">
        <f>AND(MONTH(F2796)=MONTH(S2796), YEAR(F2796)=YEAR(S2796))</f>
        <v/>
      </c>
      <c r="Q2796" s="521">
        <f>U2796="L001-901905215"</f>
        <v/>
      </c>
      <c r="R2796" s="556">
        <f>G2796-W2796</f>
        <v/>
      </c>
      <c r="S2796" s="523" t="n">
        <v>44439</v>
      </c>
      <c r="T2796" s="522" t="inlineStr">
        <is>
          <t>IN202108-0444</t>
        </is>
      </c>
      <c r="U2796" s="522" t="inlineStr">
        <is>
          <t>L001-901905215</t>
        </is>
      </c>
      <c r="V2796" s="522" t="inlineStr">
        <is>
          <t>វីអ៊ីស៊ិន (ខេមបូឌា) អ៊ិនដាសស្ទ្រី ឯ.ក</t>
        </is>
      </c>
      <c r="W2796" s="556" t="n">
        <v>591600</v>
      </c>
    </row>
    <row r="2797">
      <c r="A2797" s="521" t="n">
        <v>2789</v>
      </c>
      <c r="B2797" s="522" t="inlineStr">
        <is>
          <t>Clearance and Trucking fee</t>
        </is>
      </c>
      <c r="C2797" s="522" t="inlineStr">
        <is>
          <t>56ប៊ី-លីង សឹបផ្លាយ ឆេន មេនេចម៉ិន ឯ.ក</t>
        </is>
      </c>
      <c r="D2797" s="522" t="inlineStr">
        <is>
          <t>K004-902004795</t>
        </is>
      </c>
      <c r="E2797" s="521" t="inlineStr">
        <is>
          <t>IN202108-0432</t>
        </is>
      </c>
      <c r="F2797" s="523" t="n">
        <v>44439</v>
      </c>
      <c r="G2797" s="556" t="n">
        <v>550800</v>
      </c>
      <c r="I2797" s="521">
        <f>G2797</f>
        <v/>
      </c>
      <c r="K2797" s="521">
        <f>I2797-G2797</f>
        <v/>
      </c>
      <c r="M2797" s="522" t="inlineStr">
        <is>
          <t>IN2021080432</t>
        </is>
      </c>
      <c r="N2797" s="522" t="inlineStr">
        <is>
          <t>IN2021080432</t>
        </is>
      </c>
      <c r="O2797" s="521">
        <f>M2797=N2797</f>
        <v/>
      </c>
      <c r="P2797" s="521">
        <f>AND(MONTH(F2797)=MONTH(S2797), YEAR(F2797)=YEAR(S2797))</f>
        <v/>
      </c>
      <c r="Q2797" s="521">
        <f>U2797="L001-901905215"</f>
        <v/>
      </c>
      <c r="R2797" s="556">
        <f>G2797-W2797</f>
        <v/>
      </c>
      <c r="S2797" s="523" t="n">
        <v>44439</v>
      </c>
      <c r="T2797" s="522" t="inlineStr">
        <is>
          <t>IN202108-0432</t>
        </is>
      </c>
      <c r="U2797" s="522" t="inlineStr">
        <is>
          <t>L001-901905215</t>
        </is>
      </c>
      <c r="V2797" s="522" t="inlineStr">
        <is>
          <t>វីអ៊ីស៊ិន (ខេមបូឌា) អ៊ិនដាសស្ទ្រី ឯ.ក</t>
        </is>
      </c>
      <c r="W2797" s="556" t="n">
        <v>550800</v>
      </c>
    </row>
    <row r="2798">
      <c r="A2798" s="521" t="n">
        <v>2790</v>
      </c>
      <c r="B2798" s="522" t="inlineStr">
        <is>
          <t>Clearance and Trucking fee</t>
        </is>
      </c>
      <c r="C2798" s="522" t="inlineStr">
        <is>
          <t>56ប៊ី-លីង សឹបផ្លាយ ឆេន មេនេចម៉ិន ឯ.ក</t>
        </is>
      </c>
      <c r="D2798" s="522" t="inlineStr">
        <is>
          <t>K004-902004795</t>
        </is>
      </c>
      <c r="E2798" s="521" t="inlineStr">
        <is>
          <t>IN202108-0425</t>
        </is>
      </c>
      <c r="F2798" s="523" t="n">
        <v>44434</v>
      </c>
      <c r="G2798" s="556" t="n">
        <v>868614</v>
      </c>
      <c r="I2798" s="521">
        <f>G2798</f>
        <v/>
      </c>
      <c r="K2798" s="521">
        <f>I2798-G2798</f>
        <v/>
      </c>
      <c r="M2798" s="522" t="inlineStr">
        <is>
          <t>IN2021080425</t>
        </is>
      </c>
      <c r="N2798" s="522" t="inlineStr">
        <is>
          <t>IN2021080425</t>
        </is>
      </c>
      <c r="O2798" s="521">
        <f>M2798=N2798</f>
        <v/>
      </c>
      <c r="P2798" s="521">
        <f>AND(MONTH(F2798)=MONTH(S2798), YEAR(F2798)=YEAR(S2798))</f>
        <v/>
      </c>
      <c r="Q2798" s="521">
        <f>U2798="L001-901905215"</f>
        <v/>
      </c>
      <c r="R2798" s="556">
        <f>G2798-W2798</f>
        <v/>
      </c>
      <c r="S2798" s="523" t="n">
        <v>44434</v>
      </c>
      <c r="T2798" s="522" t="inlineStr">
        <is>
          <t>IN202108-0425</t>
        </is>
      </c>
      <c r="U2798" s="522" t="inlineStr">
        <is>
          <t>L001-901905215</t>
        </is>
      </c>
      <c r="V2798" s="522" t="inlineStr">
        <is>
          <t>វីអ៊ីស៊ិន (ខេមបូឌា) អ៊ិនដាសស្ទ្រី ឯ.ក</t>
        </is>
      </c>
      <c r="W2798" s="556" t="n">
        <v>868614</v>
      </c>
    </row>
    <row r="2799">
      <c r="A2799" s="521" t="n">
        <v>2791</v>
      </c>
      <c r="B2799" s="522" t="inlineStr">
        <is>
          <t>Clearance and Trucking fee</t>
        </is>
      </c>
      <c r="C2799" s="522" t="inlineStr">
        <is>
          <t>56ប៊ី-លីង សឹបផ្លាយ ឆេន មេនេចម៉ិន ឯ.ក</t>
        </is>
      </c>
      <c r="D2799" s="522" t="inlineStr">
        <is>
          <t>K004-902004795</t>
        </is>
      </c>
      <c r="E2799" s="521" t="inlineStr">
        <is>
          <t>IN202108-0424</t>
        </is>
      </c>
      <c r="F2799" s="523" t="n">
        <v>44434</v>
      </c>
      <c r="G2799" s="556" t="n">
        <v>258953</v>
      </c>
      <c r="I2799" s="521">
        <f>G2799</f>
        <v/>
      </c>
      <c r="K2799" s="521">
        <f>I2799-G2799</f>
        <v/>
      </c>
      <c r="M2799" s="522" t="inlineStr">
        <is>
          <t>IN2021080424</t>
        </is>
      </c>
      <c r="N2799" s="522" t="inlineStr">
        <is>
          <t>IN2021080424</t>
        </is>
      </c>
      <c r="O2799" s="521">
        <f>M2799=N2799</f>
        <v/>
      </c>
      <c r="P2799" s="521">
        <f>AND(MONTH(F2799)=MONTH(S2799), YEAR(F2799)=YEAR(S2799))</f>
        <v/>
      </c>
      <c r="Q2799" s="521">
        <f>U2799="L001-901905215"</f>
        <v/>
      </c>
      <c r="R2799" s="556">
        <f>G2799-W2799</f>
        <v/>
      </c>
      <c r="S2799" s="523" t="n">
        <v>44434</v>
      </c>
      <c r="T2799" s="522" t="inlineStr">
        <is>
          <t>IN202108-0424</t>
        </is>
      </c>
      <c r="U2799" s="522" t="inlineStr">
        <is>
          <t>L001-901905215</t>
        </is>
      </c>
      <c r="V2799" s="522" t="inlineStr">
        <is>
          <t>វីអ៊ីស៊ិន (ខេមបូឌា) អ៊ិនដាសស្ទ្រី ឯ.ក</t>
        </is>
      </c>
      <c r="W2799" s="556" t="n">
        <v>258953</v>
      </c>
    </row>
    <row r="2800">
      <c r="A2800" s="521" t="n">
        <v>2792</v>
      </c>
      <c r="B2800" s="522" t="inlineStr">
        <is>
          <t>Clearance and Trucking fee</t>
        </is>
      </c>
      <c r="C2800" s="522" t="inlineStr">
        <is>
          <t>56ប៊ី-លីង សឹបផ្លាយ ឆេន មេនេចម៉ិន ឯ.ក</t>
        </is>
      </c>
      <c r="D2800" s="522" t="inlineStr">
        <is>
          <t>K004-902004795</t>
        </is>
      </c>
      <c r="E2800" s="521" t="inlineStr">
        <is>
          <t>IN202108-0423</t>
        </is>
      </c>
      <c r="F2800" s="523" t="n">
        <v>44432</v>
      </c>
      <c r="G2800" s="556" t="n">
        <v>259016</v>
      </c>
      <c r="I2800" s="521">
        <f>G2800</f>
        <v/>
      </c>
      <c r="K2800" s="521">
        <f>I2800-G2800</f>
        <v/>
      </c>
      <c r="M2800" s="522" t="inlineStr">
        <is>
          <t>IN2021080423</t>
        </is>
      </c>
      <c r="N2800" s="522" t="inlineStr">
        <is>
          <t>IN2021080423</t>
        </is>
      </c>
      <c r="O2800" s="521">
        <f>M2800=N2800</f>
        <v/>
      </c>
      <c r="P2800" s="521">
        <f>AND(MONTH(F2800)=MONTH(S2800), YEAR(F2800)=YEAR(S2800))</f>
        <v/>
      </c>
      <c r="Q2800" s="521">
        <f>U2800="L001-901905215"</f>
        <v/>
      </c>
      <c r="R2800" s="556">
        <f>G2800-W2800</f>
        <v/>
      </c>
      <c r="S2800" s="523" t="n">
        <v>44432</v>
      </c>
      <c r="T2800" s="522" t="inlineStr">
        <is>
          <t>IN202108-0423</t>
        </is>
      </c>
      <c r="U2800" s="522" t="inlineStr">
        <is>
          <t>L001-901905215</t>
        </is>
      </c>
      <c r="V2800" s="522" t="inlineStr">
        <is>
          <t>វីអ៊ីស៊ិន (ខេមបូឌា) អ៊ិនដាសស្ទ្រី ឯ.ក</t>
        </is>
      </c>
      <c r="W2800" s="556" t="n">
        <v>259016</v>
      </c>
    </row>
    <row r="2801">
      <c r="A2801" s="521" t="n">
        <v>2793</v>
      </c>
      <c r="B2801" s="522" t="inlineStr">
        <is>
          <t>Clearance and Trucking fee</t>
        </is>
      </c>
      <c r="C2801" s="522" t="inlineStr">
        <is>
          <t>56ប៊ី-លីង សឹបផ្លាយ ឆេន មេនេចម៉ិន ឯ.ក</t>
        </is>
      </c>
      <c r="D2801" s="522" t="inlineStr">
        <is>
          <t>K004-902004795</t>
        </is>
      </c>
      <c r="E2801" s="521" t="inlineStr">
        <is>
          <t>IN202108-0422</t>
        </is>
      </c>
      <c r="F2801" s="523" t="n">
        <v>44432</v>
      </c>
      <c r="G2801" s="556" t="n">
        <v>485401</v>
      </c>
      <c r="I2801" s="521">
        <f>G2801</f>
        <v/>
      </c>
      <c r="K2801" s="521">
        <f>I2801-G2801</f>
        <v/>
      </c>
      <c r="M2801" s="522" t="inlineStr">
        <is>
          <t>IN2021080422</t>
        </is>
      </c>
      <c r="N2801" s="522" t="inlineStr">
        <is>
          <t>IN2021080422</t>
        </is>
      </c>
      <c r="O2801" s="521">
        <f>M2801=N2801</f>
        <v/>
      </c>
      <c r="P2801" s="521">
        <f>AND(MONTH(F2801)=MONTH(S2801), YEAR(F2801)=YEAR(S2801))</f>
        <v/>
      </c>
      <c r="Q2801" s="521">
        <f>U2801="L001-901905215"</f>
        <v/>
      </c>
      <c r="R2801" s="556">
        <f>G2801-W2801</f>
        <v/>
      </c>
      <c r="S2801" s="523" t="n">
        <v>44432</v>
      </c>
      <c r="T2801" s="522" t="inlineStr">
        <is>
          <t>IN202108-0422</t>
        </is>
      </c>
      <c r="U2801" s="522" t="inlineStr">
        <is>
          <t>L001-901905215</t>
        </is>
      </c>
      <c r="V2801" s="522" t="inlineStr">
        <is>
          <t>វីអ៊ីស៊ិន (ខេមបូឌា) អ៊ិនដាសស្ទ្រី ឯ.ក</t>
        </is>
      </c>
      <c r="W2801" s="556" t="n">
        <v>485401</v>
      </c>
    </row>
    <row r="2802">
      <c r="A2802" s="521" t="n">
        <v>2794</v>
      </c>
      <c r="B2802" s="522" t="inlineStr">
        <is>
          <t>Clearance and Trucking fee</t>
        </is>
      </c>
      <c r="C2802" s="522" t="inlineStr">
        <is>
          <t>56ប៊ី-លីង សឹបផ្លាយ ឆេន មេនេចម៉ិន ឯ.ក</t>
        </is>
      </c>
      <c r="D2802" s="522" t="inlineStr">
        <is>
          <t>K004-902004795</t>
        </is>
      </c>
      <c r="E2802" s="521" t="inlineStr">
        <is>
          <t>IN202108-0421</t>
        </is>
      </c>
      <c r="F2802" s="523" t="n">
        <v>44432</v>
      </c>
      <c r="G2802" s="556" t="n">
        <v>295727</v>
      </c>
      <c r="I2802" s="521">
        <f>G2802</f>
        <v/>
      </c>
      <c r="K2802" s="521">
        <f>I2802-G2802</f>
        <v/>
      </c>
      <c r="M2802" s="522" t="inlineStr">
        <is>
          <t>IN2021080421</t>
        </is>
      </c>
      <c r="N2802" s="522" t="inlineStr">
        <is>
          <t>IN2021080421</t>
        </is>
      </c>
      <c r="O2802" s="521">
        <f>M2802=N2802</f>
        <v/>
      </c>
      <c r="P2802" s="521">
        <f>AND(MONTH(F2802)=MONTH(S2802), YEAR(F2802)=YEAR(S2802))</f>
        <v/>
      </c>
      <c r="Q2802" s="521">
        <f>U2802="L001-901905215"</f>
        <v/>
      </c>
      <c r="R2802" s="556">
        <f>G2802-W2802</f>
        <v/>
      </c>
      <c r="S2802" s="523" t="n">
        <v>44432</v>
      </c>
      <c r="T2802" s="522" t="inlineStr">
        <is>
          <t>IN202108-0421</t>
        </is>
      </c>
      <c r="U2802" s="522" t="inlineStr">
        <is>
          <t>L001-901905215</t>
        </is>
      </c>
      <c r="V2802" s="522" t="inlineStr">
        <is>
          <t>វីអ៊ីស៊ិន (ខេមបូឌា) អ៊ិនដាសស្ទ្រី ឯ.ក</t>
        </is>
      </c>
      <c r="W2802" s="556" t="n">
        <v>295727</v>
      </c>
    </row>
    <row r="2803">
      <c r="A2803" s="521" t="n">
        <v>2795</v>
      </c>
      <c r="B2803" s="522" t="inlineStr">
        <is>
          <t>Clearance and Trucking fee</t>
        </is>
      </c>
      <c r="C2803" s="522" t="inlineStr">
        <is>
          <t>56ប៊ី-លីង សឹបផ្លាយ ឆេន មេនេចម៉ិន ឯ.ក</t>
        </is>
      </c>
      <c r="D2803" s="522" t="inlineStr">
        <is>
          <t>K004-902004795</t>
        </is>
      </c>
      <c r="E2803" s="521" t="inlineStr">
        <is>
          <t>IN202108-0420</t>
        </is>
      </c>
      <c r="F2803" s="523" t="n">
        <v>44432</v>
      </c>
      <c r="G2803" s="556" t="n">
        <v>550665</v>
      </c>
      <c r="I2803" s="521">
        <f>G2803</f>
        <v/>
      </c>
      <c r="K2803" s="521">
        <f>I2803-G2803</f>
        <v/>
      </c>
      <c r="M2803" s="522" t="inlineStr">
        <is>
          <t>IN2021080420</t>
        </is>
      </c>
      <c r="N2803" s="522" t="inlineStr">
        <is>
          <t>IN2021080420</t>
        </is>
      </c>
      <c r="O2803" s="521">
        <f>M2803=N2803</f>
        <v/>
      </c>
      <c r="P2803" s="521">
        <f>AND(MONTH(F2803)=MONTH(S2803), YEAR(F2803)=YEAR(S2803))</f>
        <v/>
      </c>
      <c r="Q2803" s="521">
        <f>U2803="L001-901905215"</f>
        <v/>
      </c>
      <c r="R2803" s="556">
        <f>G2803-W2803</f>
        <v/>
      </c>
      <c r="S2803" s="523" t="n">
        <v>44432</v>
      </c>
      <c r="T2803" s="522" t="inlineStr">
        <is>
          <t>IN202108-0420</t>
        </is>
      </c>
      <c r="U2803" s="522" t="inlineStr">
        <is>
          <t>L001-901905215</t>
        </is>
      </c>
      <c r="V2803" s="522" t="inlineStr">
        <is>
          <t>វីអ៊ីស៊ិន (ខេមបូឌា) អ៊ិនដាសស្ទ្រី ឯ.ក</t>
        </is>
      </c>
      <c r="W2803" s="556" t="n">
        <v>550665</v>
      </c>
    </row>
    <row r="2804">
      <c r="A2804" s="521" t="n">
        <v>2796</v>
      </c>
      <c r="B2804" s="522" t="inlineStr">
        <is>
          <t>Clearance and Trucking fee</t>
        </is>
      </c>
      <c r="C2804" s="522" t="inlineStr">
        <is>
          <t>56ប៊ី-លីង សឹបផ្លាយ ឆេន មេនេចម៉ិន ឯ.ក</t>
        </is>
      </c>
      <c r="D2804" s="522" t="inlineStr">
        <is>
          <t>K004-902004795</t>
        </is>
      </c>
      <c r="E2804" s="521" t="inlineStr">
        <is>
          <t>IN202108-0419</t>
        </is>
      </c>
      <c r="F2804" s="523" t="n">
        <v>44432</v>
      </c>
      <c r="G2804" s="556" t="n">
        <v>748496</v>
      </c>
      <c r="I2804" s="521">
        <f>G2804</f>
        <v/>
      </c>
      <c r="K2804" s="521">
        <f>I2804-G2804</f>
        <v/>
      </c>
      <c r="M2804" s="522" t="inlineStr">
        <is>
          <t>IN2021080419</t>
        </is>
      </c>
      <c r="N2804" s="522" t="inlineStr">
        <is>
          <t>IN2021080419</t>
        </is>
      </c>
      <c r="O2804" s="521">
        <f>M2804=N2804</f>
        <v/>
      </c>
      <c r="P2804" s="521">
        <f>AND(MONTH(F2804)=MONTH(S2804), YEAR(F2804)=YEAR(S2804))</f>
        <v/>
      </c>
      <c r="Q2804" s="521">
        <f>U2804="L001-901905215"</f>
        <v/>
      </c>
      <c r="R2804" s="556">
        <f>G2804-W2804</f>
        <v/>
      </c>
      <c r="S2804" s="523" t="n">
        <v>44432</v>
      </c>
      <c r="T2804" s="522" t="inlineStr">
        <is>
          <t>IN202108-0419</t>
        </is>
      </c>
      <c r="U2804" s="522" t="inlineStr">
        <is>
          <t>L001-901905215</t>
        </is>
      </c>
      <c r="V2804" s="522" t="inlineStr">
        <is>
          <t>វីអ៊ីស៊ិន (ខេមបូឌា) អ៊ិនដាសស្ទ្រី ឯ.ក</t>
        </is>
      </c>
      <c r="W2804" s="556" t="n">
        <v>748496</v>
      </c>
    </row>
    <row r="2805">
      <c r="A2805" s="521" t="n">
        <v>2797</v>
      </c>
      <c r="B2805" s="522" t="inlineStr">
        <is>
          <t>Clearance and Trucking fee</t>
        </is>
      </c>
      <c r="C2805" s="522" t="inlineStr">
        <is>
          <t>56ប៊ី-លីង សឹបផ្លាយ ឆេន មេនេចម៉ិន ឯ.ក</t>
        </is>
      </c>
      <c r="D2805" s="522" t="inlineStr">
        <is>
          <t>K004-902004795</t>
        </is>
      </c>
      <c r="E2805" s="521" t="inlineStr">
        <is>
          <t>IN202108-0418</t>
        </is>
      </c>
      <c r="F2805" s="523" t="n">
        <v>44432</v>
      </c>
      <c r="G2805" s="556" t="n">
        <v>789286</v>
      </c>
      <c r="I2805" s="521">
        <f>G2805</f>
        <v/>
      </c>
      <c r="K2805" s="521">
        <f>I2805-G2805</f>
        <v/>
      </c>
      <c r="M2805" s="522" t="inlineStr">
        <is>
          <t>IN2021080418</t>
        </is>
      </c>
      <c r="N2805" s="522" t="inlineStr">
        <is>
          <t>IN2021080418</t>
        </is>
      </c>
      <c r="O2805" s="521">
        <f>M2805=N2805</f>
        <v/>
      </c>
      <c r="P2805" s="521">
        <f>AND(MONTH(F2805)=MONTH(S2805), YEAR(F2805)=YEAR(S2805))</f>
        <v/>
      </c>
      <c r="Q2805" s="521">
        <f>U2805="L001-901905215"</f>
        <v/>
      </c>
      <c r="R2805" s="556">
        <f>G2805-W2805</f>
        <v/>
      </c>
      <c r="S2805" s="523" t="n">
        <v>44432</v>
      </c>
      <c r="T2805" s="522" t="inlineStr">
        <is>
          <t>IN202108-0418</t>
        </is>
      </c>
      <c r="U2805" s="522" t="inlineStr">
        <is>
          <t>L001-901905215</t>
        </is>
      </c>
      <c r="V2805" s="522" t="inlineStr">
        <is>
          <t>វីអ៊ីស៊ិន (ខេមបូឌា) អ៊ិនដាសស្ទ្រី ឯ.ក</t>
        </is>
      </c>
      <c r="W2805" s="556" t="n">
        <v>789286</v>
      </c>
    </row>
    <row r="2806">
      <c r="A2806" s="521" t="n">
        <v>2798</v>
      </c>
      <c r="B2806" s="522" t="inlineStr">
        <is>
          <t>Import documentation fee</t>
        </is>
      </c>
      <c r="C2806" s="522" t="inlineStr">
        <is>
          <t>ស៊ីអិមអេ ស៊ីជីអិម (ខេមបូឌា) ខូ អិលធីឌី</t>
        </is>
      </c>
      <c r="D2806" s="522" t="inlineStr">
        <is>
          <t>L001-105016225</t>
        </is>
      </c>
      <c r="E2806" s="521" t="inlineStr">
        <is>
          <t>KHA00017540</t>
        </is>
      </c>
      <c r="F2806" s="523" t="n">
        <v>44421</v>
      </c>
      <c r="G2806" s="556" t="n">
        <v>387505</v>
      </c>
      <c r="I2806" s="521">
        <f>G2806</f>
        <v/>
      </c>
      <c r="K2806" s="521">
        <f>I2806-G2806</f>
        <v/>
      </c>
      <c r="M2806" s="522" t="inlineStr">
        <is>
          <t>KHA00017540</t>
        </is>
      </c>
      <c r="N2806" s="522" t="inlineStr"/>
      <c r="O2806" s="521">
        <f>M2806=N2806</f>
        <v/>
      </c>
      <c r="P2806" s="521">
        <f>AND(MONTH(F2806)=MONTH(S2806), YEAR(F2806)=YEAR(S2806))</f>
        <v/>
      </c>
      <c r="Q2806" s="521">
        <f>U2806="L001-901905215"</f>
        <v/>
      </c>
      <c r="R2806" s="556">
        <f>G2806-W2806</f>
        <v/>
      </c>
      <c r="S2806" s="521" t="n"/>
      <c r="T2806" s="522" t="n"/>
      <c r="U2806" s="522" t="n"/>
      <c r="V2806" s="522" t="n"/>
      <c r="W2806" s="521" t="n"/>
    </row>
    <row r="2807">
      <c r="A2807" s="521" t="n">
        <v>2799</v>
      </c>
      <c r="B2807" s="522" t="inlineStr">
        <is>
          <t>Lift on/ Lift off</t>
        </is>
      </c>
      <c r="C2807" s="522" t="inlineStr">
        <is>
          <t>កំពង់ផែស្វយ័តភ្នំពេញ "ក.ស.ភ"</t>
        </is>
      </c>
      <c r="D2807" s="522" t="inlineStr">
        <is>
          <t>L001-100044999</t>
        </is>
      </c>
      <c r="E2807" s="521" t="inlineStr">
        <is>
          <t>INV20210843355</t>
        </is>
      </c>
      <c r="F2807" s="523" t="n">
        <v>44412</v>
      </c>
      <c r="G2807" s="556" t="n">
        <v>29333</v>
      </c>
      <c r="I2807" s="521">
        <f>G2807</f>
        <v/>
      </c>
      <c r="K2807" s="521">
        <f>I2807-G2807</f>
        <v/>
      </c>
      <c r="M2807" s="522" t="inlineStr">
        <is>
          <t>INV20210843355</t>
        </is>
      </c>
      <c r="N2807" s="522" t="inlineStr"/>
      <c r="O2807" s="521">
        <f>M2807=N2807</f>
        <v/>
      </c>
      <c r="P2807" s="521">
        <f>AND(MONTH(F2807)=MONTH(S2807), YEAR(F2807)=YEAR(S2807))</f>
        <v/>
      </c>
      <c r="Q2807" s="521">
        <f>U2807="L001-901905215"</f>
        <v/>
      </c>
      <c r="R2807" s="556">
        <f>G2807-W2807</f>
        <v/>
      </c>
      <c r="S2807" s="521" t="n"/>
      <c r="T2807" s="522" t="n"/>
      <c r="U2807" s="522" t="n"/>
      <c r="V2807" s="522" t="n"/>
      <c r="W2807" s="521" t="n"/>
    </row>
    <row r="2808">
      <c r="A2808" s="521" t="n">
        <v>2800</v>
      </c>
      <c r="B2808" s="522" t="inlineStr">
        <is>
          <t>Lift on/ Lift off</t>
        </is>
      </c>
      <c r="C2808" s="522" t="inlineStr">
        <is>
          <t>កំពង់ផែស្វយ័តភ្នំពេញ "ក.ស.ភ"</t>
        </is>
      </c>
      <c r="D2808" s="522" t="inlineStr">
        <is>
          <t>L001-100044999</t>
        </is>
      </c>
      <c r="E2808" s="521" t="inlineStr">
        <is>
          <t>INV20210843353</t>
        </is>
      </c>
      <c r="F2808" s="523" t="n">
        <v>44412</v>
      </c>
      <c r="G2808" s="556" t="n">
        <v>19555</v>
      </c>
      <c r="I2808" s="521">
        <f>G2808</f>
        <v/>
      </c>
      <c r="K2808" s="521">
        <f>I2808-G2808</f>
        <v/>
      </c>
      <c r="M2808" s="522" t="inlineStr">
        <is>
          <t>INV20210843353</t>
        </is>
      </c>
      <c r="N2808" s="522" t="inlineStr"/>
      <c r="O2808" s="521">
        <f>M2808=N2808</f>
        <v/>
      </c>
      <c r="P2808" s="521">
        <f>AND(MONTH(F2808)=MONTH(S2808), YEAR(F2808)=YEAR(S2808))</f>
        <v/>
      </c>
      <c r="Q2808" s="521">
        <f>U2808="L001-901905215"</f>
        <v/>
      </c>
      <c r="R2808" s="556">
        <f>G2808-W2808</f>
        <v/>
      </c>
      <c r="S2808" s="521" t="n"/>
      <c r="T2808" s="522" t="n"/>
      <c r="U2808" s="522" t="n"/>
      <c r="V2808" s="522" t="n"/>
      <c r="W2808" s="521" t="n"/>
    </row>
    <row r="2809">
      <c r="A2809" s="521" t="n">
        <v>2801</v>
      </c>
      <c r="B2809" s="522" t="inlineStr">
        <is>
          <t>Lift on/ Lift off</t>
        </is>
      </c>
      <c r="C2809" s="522" t="inlineStr">
        <is>
          <t>កំពង់ផែស្វយ័តភ្នំពេញ "ក.ស.ភ"</t>
        </is>
      </c>
      <c r="D2809" s="522" t="inlineStr">
        <is>
          <t>L001-100044999</t>
        </is>
      </c>
      <c r="E2809" s="521" t="inlineStr">
        <is>
          <t>INV20210843350</t>
        </is>
      </c>
      <c r="F2809" s="523" t="n">
        <v>44412</v>
      </c>
      <c r="G2809" s="556" t="n">
        <v>58666</v>
      </c>
      <c r="I2809" s="521">
        <f>G2809</f>
        <v/>
      </c>
      <c r="K2809" s="521">
        <f>I2809-G2809</f>
        <v/>
      </c>
      <c r="M2809" s="522" t="inlineStr">
        <is>
          <t>INV20210843350</t>
        </is>
      </c>
      <c r="N2809" s="522" t="inlineStr"/>
      <c r="O2809" s="521">
        <f>M2809=N2809</f>
        <v/>
      </c>
      <c r="P2809" s="521">
        <f>AND(MONTH(F2809)=MONTH(S2809), YEAR(F2809)=YEAR(S2809))</f>
        <v/>
      </c>
      <c r="Q2809" s="521">
        <f>U2809="L001-901905215"</f>
        <v/>
      </c>
      <c r="R2809" s="556">
        <f>G2809-W2809</f>
        <v/>
      </c>
      <c r="S2809" s="521" t="n"/>
      <c r="T2809" s="522" t="n"/>
      <c r="U2809" s="522" t="n"/>
      <c r="V2809" s="522" t="n"/>
      <c r="W2809" s="521" t="n"/>
    </row>
    <row r="2810">
      <c r="A2810" s="521" t="n">
        <v>2802</v>
      </c>
      <c r="B2810" s="522" t="inlineStr">
        <is>
          <t>KHCIC</t>
        </is>
      </c>
      <c r="C2810" s="522" t="inlineStr">
        <is>
          <t>អេសអាយធីស៊ី ខិនថេនើរ ឡាញ (ខេមបូឌា)</t>
        </is>
      </c>
      <c r="D2810" s="522" t="inlineStr">
        <is>
          <t>L001-107035863</t>
        </is>
      </c>
      <c r="E2810" s="521" t="inlineStr">
        <is>
          <t>SITC2021-015824</t>
        </is>
      </c>
      <c r="F2810" s="523" t="n">
        <v>44437</v>
      </c>
      <c r="G2810" s="556" t="n">
        <v>634129</v>
      </c>
      <c r="I2810" s="521">
        <f>G2810</f>
        <v/>
      </c>
      <c r="K2810" s="521">
        <f>I2810-G2810</f>
        <v/>
      </c>
      <c r="M2810" s="522" t="inlineStr">
        <is>
          <t>SITC2021015824</t>
        </is>
      </c>
      <c r="N2810" s="522" t="inlineStr"/>
      <c r="O2810" s="521">
        <f>M2810=N2810</f>
        <v/>
      </c>
      <c r="P2810" s="521">
        <f>AND(MONTH(F2810)=MONTH(S2810), YEAR(F2810)=YEAR(S2810))</f>
        <v/>
      </c>
      <c r="Q2810" s="521">
        <f>U2810="L001-901905215"</f>
        <v/>
      </c>
      <c r="R2810" s="556">
        <f>G2810-W2810</f>
        <v/>
      </c>
      <c r="S2810" s="521" t="n"/>
      <c r="T2810" s="522" t="n"/>
      <c r="U2810" s="522" t="n"/>
      <c r="V2810" s="522" t="n"/>
      <c r="W2810" s="521" t="n"/>
    </row>
    <row r="2811">
      <c r="A2811" s="521" t="n">
        <v>2803</v>
      </c>
      <c r="B2811" s="522" t="inlineStr">
        <is>
          <t>KHCIC</t>
        </is>
      </c>
      <c r="C2811" s="522" t="inlineStr">
        <is>
          <t>អេសអាយធីស៊ី ខិនថេនើរ ឡាញ (ខេមបូឌា)</t>
        </is>
      </c>
      <c r="D2811" s="522" t="inlineStr">
        <is>
          <t>L001-107035863</t>
        </is>
      </c>
      <c r="E2811" s="521" t="inlineStr">
        <is>
          <t>SITC2021-015347</t>
        </is>
      </c>
      <c r="F2811" s="523" t="n">
        <v>44434</v>
      </c>
      <c r="G2811" s="556" t="n">
        <v>634129</v>
      </c>
      <c r="I2811" s="521">
        <f>G2811</f>
        <v/>
      </c>
      <c r="K2811" s="521">
        <f>I2811-G2811</f>
        <v/>
      </c>
      <c r="M2811" s="522" t="inlineStr">
        <is>
          <t>SITC2021015347</t>
        </is>
      </c>
      <c r="N2811" s="522" t="inlineStr"/>
      <c r="O2811" s="521">
        <f>M2811=N2811</f>
        <v/>
      </c>
      <c r="P2811" s="521">
        <f>AND(MONTH(F2811)=MONTH(S2811), YEAR(F2811)=YEAR(S2811))</f>
        <v/>
      </c>
      <c r="Q2811" s="521">
        <f>U2811="L001-901905215"</f>
        <v/>
      </c>
      <c r="R2811" s="556">
        <f>G2811-W2811</f>
        <v/>
      </c>
      <c r="S2811" s="521" t="n"/>
      <c r="T2811" s="522" t="n"/>
      <c r="U2811" s="522" t="n"/>
      <c r="V2811" s="522" t="n"/>
      <c r="W2811" s="521" t="n"/>
    </row>
    <row r="2812">
      <c r="A2812" s="521" t="n">
        <v>2804</v>
      </c>
      <c r="B2812" s="522" t="inlineStr">
        <is>
          <t>Trucking fee</t>
        </is>
      </c>
      <c r="C2812" s="522" t="inlineStr">
        <is>
          <t>អ៊ែរ៉ូ ស៊ីបភីង អេជេនស៊ី</t>
        </is>
      </c>
      <c r="D2812" s="522" t="inlineStr">
        <is>
          <t>K004-901635903</t>
        </is>
      </c>
      <c r="E2812" s="521" t="inlineStr">
        <is>
          <t>IKPSA2021526626</t>
        </is>
      </c>
      <c r="F2812" s="523" t="n">
        <v>44431</v>
      </c>
      <c r="G2812" s="556" t="n">
        <v>293760</v>
      </c>
      <c r="I2812" s="521">
        <f>G2812</f>
        <v/>
      </c>
      <c r="K2812" s="521">
        <f>I2812-G2812</f>
        <v/>
      </c>
      <c r="M2812" s="522" t="inlineStr">
        <is>
          <t>IKPSA2021526626</t>
        </is>
      </c>
      <c r="N2812" s="522" t="inlineStr">
        <is>
          <t>IKPSA2021526626</t>
        </is>
      </c>
      <c r="O2812" s="521">
        <f>M2812=N2812</f>
        <v/>
      </c>
      <c r="P2812" s="521">
        <f>AND(MONTH(F2812)=MONTH(S2812), YEAR(F2812)=YEAR(S2812))</f>
        <v/>
      </c>
      <c r="Q2812" s="521">
        <f>U2812="L001-901905215"</f>
        <v/>
      </c>
      <c r="R2812" s="556">
        <f>G2812-W2812</f>
        <v/>
      </c>
      <c r="S2812" s="523" t="n">
        <v>44431</v>
      </c>
      <c r="T2812" s="522" t="inlineStr">
        <is>
          <t>IKPSA2021526626</t>
        </is>
      </c>
      <c r="U2812" s="522" t="inlineStr">
        <is>
          <t>L001-901905215</t>
        </is>
      </c>
      <c r="V2812" s="522" t="inlineStr">
        <is>
          <t>វីអ៊ីស៊ិន (ខេមបូឌា) អ៊ិនដាសស្ទ្រី ឯ.ក</t>
        </is>
      </c>
      <c r="W2812" s="556" t="n">
        <v>293760</v>
      </c>
    </row>
    <row r="2813">
      <c r="A2813" s="521" t="n">
        <v>2805</v>
      </c>
      <c r="B2813" s="522" t="inlineStr">
        <is>
          <t>Trucking fee</t>
        </is>
      </c>
      <c r="C2813" s="522" t="inlineStr">
        <is>
          <t>អ៊ែរ៉ូ ស៊ីបភីង អេជេនស៊ី</t>
        </is>
      </c>
      <c r="D2813" s="522" t="inlineStr">
        <is>
          <t>K004-901635903</t>
        </is>
      </c>
      <c r="E2813" s="521" t="inlineStr">
        <is>
          <t>IKPSA2021526625</t>
        </is>
      </c>
      <c r="F2813" s="523" t="n">
        <v>44434</v>
      </c>
      <c r="G2813" s="556" t="n">
        <v>293760</v>
      </c>
      <c r="I2813" s="521">
        <f>G2813</f>
        <v/>
      </c>
      <c r="K2813" s="521">
        <f>I2813-G2813</f>
        <v/>
      </c>
      <c r="M2813" s="522" t="inlineStr">
        <is>
          <t>IKPSA2021526625</t>
        </is>
      </c>
      <c r="N2813" s="522" t="inlineStr">
        <is>
          <t>IKPSA2021526625</t>
        </is>
      </c>
      <c r="O2813" s="521">
        <f>M2813=N2813</f>
        <v/>
      </c>
      <c r="P2813" s="521">
        <f>AND(MONTH(F2813)=MONTH(S2813), YEAR(F2813)=YEAR(S2813))</f>
        <v/>
      </c>
      <c r="Q2813" s="521">
        <f>U2813="L001-901905215"</f>
        <v/>
      </c>
      <c r="R2813" s="556">
        <f>G2813-W2813</f>
        <v/>
      </c>
      <c r="S2813" s="523" t="n">
        <v>44431</v>
      </c>
      <c r="T2813" s="522" t="inlineStr">
        <is>
          <t>IKPSA2021526625</t>
        </is>
      </c>
      <c r="U2813" s="522" t="inlineStr">
        <is>
          <t>L001-901905215</t>
        </is>
      </c>
      <c r="V2813" s="522" t="inlineStr">
        <is>
          <t>វីអ៊ីស៊ិន (ខេមបូឌា) អ៊ិនដាសស្ទ្រី ឯ.ក</t>
        </is>
      </c>
      <c r="W2813" s="556" t="n">
        <v>293760</v>
      </c>
    </row>
    <row r="2814">
      <c r="A2814" s="521" t="n">
        <v>2806</v>
      </c>
      <c r="B2814" s="522" t="inlineStr">
        <is>
          <t>Trucking fee</t>
        </is>
      </c>
      <c r="C2814" s="522" t="inlineStr">
        <is>
          <t>អ៊ែរ៉ូ ស៊ីបភីង អេជេនស៊ី</t>
        </is>
      </c>
      <c r="D2814" s="522" t="inlineStr">
        <is>
          <t>K004-901635903</t>
        </is>
      </c>
      <c r="E2814" s="521" t="inlineStr">
        <is>
          <t>IKPSA2021526624</t>
        </is>
      </c>
      <c r="F2814" s="523" t="n">
        <v>44434</v>
      </c>
      <c r="G2814" s="556" t="n">
        <v>5564</v>
      </c>
      <c r="I2814" s="521">
        <f>G2814</f>
        <v/>
      </c>
      <c r="K2814" s="521">
        <f>I2814-G2814</f>
        <v/>
      </c>
      <c r="M2814" s="522" t="inlineStr">
        <is>
          <t>IKPSA2021526624</t>
        </is>
      </c>
      <c r="N2814" s="522" t="inlineStr">
        <is>
          <t>IKPSA2021526624</t>
        </is>
      </c>
      <c r="O2814" s="521">
        <f>M2814=N2814</f>
        <v/>
      </c>
      <c r="P2814" s="521">
        <f>AND(MONTH(F2814)=MONTH(S2814), YEAR(F2814)=YEAR(S2814))</f>
        <v/>
      </c>
      <c r="Q2814" s="521">
        <f>U2814="L001-901905215"</f>
        <v/>
      </c>
      <c r="R2814" s="556">
        <f>G2814-W2814</f>
        <v/>
      </c>
      <c r="S2814" s="523" t="n">
        <v>44431</v>
      </c>
      <c r="T2814" s="522" t="inlineStr">
        <is>
          <t>IKPSA2021526624</t>
        </is>
      </c>
      <c r="U2814" s="522" t="inlineStr">
        <is>
          <t>L001-901905215</t>
        </is>
      </c>
      <c r="V2814" s="522" t="inlineStr">
        <is>
          <t>វីអ៊ីស៊ិន (ខេមបូឌា) អ៊ិនដាសស្ទ្រី ឯ.ក</t>
        </is>
      </c>
      <c r="W2814" s="556" t="n">
        <v>5564</v>
      </c>
    </row>
    <row r="2815">
      <c r="A2815" s="521" t="n">
        <v>2807</v>
      </c>
      <c r="B2815" s="522" t="inlineStr">
        <is>
          <t>KHCIC</t>
        </is>
      </c>
      <c r="C2815" s="522" t="inlineStr">
        <is>
          <t>អេសអាយធីស៊ី ខិនថេនើរ ឡាញ (ខេមបូឌា)</t>
        </is>
      </c>
      <c r="D2815" s="522" t="inlineStr">
        <is>
          <t>L001-107035863</t>
        </is>
      </c>
      <c r="E2815" s="521" t="inlineStr">
        <is>
          <t>SITC2021-015079</t>
        </is>
      </c>
      <c r="F2815" s="523" t="n">
        <v>44432</v>
      </c>
      <c r="G2815" s="556" t="n">
        <v>634285</v>
      </c>
      <c r="I2815" s="521">
        <f>G2815</f>
        <v/>
      </c>
      <c r="K2815" s="521">
        <f>I2815-G2815</f>
        <v/>
      </c>
      <c r="M2815" s="522" t="inlineStr">
        <is>
          <t>SITC2021015079</t>
        </is>
      </c>
      <c r="N2815" s="522" t="inlineStr"/>
      <c r="O2815" s="521">
        <f>M2815=N2815</f>
        <v/>
      </c>
      <c r="P2815" s="521">
        <f>AND(MONTH(F2815)=MONTH(S2815), YEAR(F2815)=YEAR(S2815))</f>
        <v/>
      </c>
      <c r="Q2815" s="521">
        <f>U2815="L001-901905215"</f>
        <v/>
      </c>
      <c r="R2815" s="556">
        <f>G2815-W2815</f>
        <v/>
      </c>
      <c r="S2815" s="521" t="n"/>
      <c r="T2815" s="522" t="n"/>
      <c r="U2815" s="522" t="n"/>
      <c r="V2815" s="522" t="n"/>
      <c r="W2815" s="521" t="n"/>
    </row>
    <row r="2816">
      <c r="A2816" s="521" t="n">
        <v>2808</v>
      </c>
      <c r="B2816" s="522" t="inlineStr">
        <is>
          <t>Lift on/ Lift off</t>
        </is>
      </c>
      <c r="C2816" s="522" t="inlineStr">
        <is>
          <t>កំពង់ផែស្វយ័តក្រុងព្រះសីហនុ</t>
        </is>
      </c>
      <c r="D2816" s="522" t="inlineStr">
        <is>
          <t>L001-100044638</t>
        </is>
      </c>
      <c r="E2816" s="521" t="inlineStr">
        <is>
          <t>143971</t>
        </is>
      </c>
      <c r="F2816" s="523" t="n">
        <v>44439</v>
      </c>
      <c r="G2816" s="556" t="n">
        <v>106488</v>
      </c>
      <c r="I2816" s="521">
        <f>G2816</f>
        <v/>
      </c>
      <c r="K2816" s="521">
        <f>I2816-G2816</f>
        <v/>
      </c>
      <c r="M2816" s="522" t="inlineStr">
        <is>
          <t>143971</t>
        </is>
      </c>
      <c r="N2816" s="522" t="inlineStr"/>
      <c r="O2816" s="521">
        <f>M2816=N2816</f>
        <v/>
      </c>
      <c r="P2816" s="521">
        <f>AND(MONTH(F2816)=MONTH(S2816), YEAR(F2816)=YEAR(S2816))</f>
        <v/>
      </c>
      <c r="Q2816" s="521">
        <f>U2816="L001-901905215"</f>
        <v/>
      </c>
      <c r="R2816" s="556">
        <f>G2816-W2816</f>
        <v/>
      </c>
      <c r="S2816" s="521" t="n"/>
      <c r="T2816" s="522" t="n"/>
      <c r="U2816" s="522" t="n"/>
      <c r="V2816" s="522" t="n"/>
      <c r="W2816" s="521" t="n"/>
    </row>
    <row r="2817">
      <c r="A2817" s="521" t="n">
        <v>2809</v>
      </c>
      <c r="B2817" s="522" t="inlineStr">
        <is>
          <t>Trucking fee</t>
        </is>
      </c>
      <c r="C2817" s="522" t="inlineStr">
        <is>
          <t>អ៊ែរ៉ូ ស៊ីបភីង អេជេនស៊ី</t>
        </is>
      </c>
      <c r="D2817" s="522" t="inlineStr">
        <is>
          <t>K004-901635903</t>
        </is>
      </c>
      <c r="E2817" s="521" t="inlineStr">
        <is>
          <t>IKPSA2021525493</t>
        </is>
      </c>
      <c r="F2817" s="523" t="n">
        <v>44427</v>
      </c>
      <c r="G2817" s="556" t="n">
        <v>293616</v>
      </c>
      <c r="I2817" s="521">
        <f>G2817</f>
        <v/>
      </c>
      <c r="K2817" s="521">
        <f>I2817-G2817</f>
        <v/>
      </c>
      <c r="M2817" s="522" t="inlineStr">
        <is>
          <t>IKPSA2021525493</t>
        </is>
      </c>
      <c r="N2817" s="522" t="inlineStr">
        <is>
          <t>IKPSA2021525493</t>
        </is>
      </c>
      <c r="O2817" s="521">
        <f>M2817=N2817</f>
        <v/>
      </c>
      <c r="P2817" s="521">
        <f>AND(MONTH(F2817)=MONTH(S2817), YEAR(F2817)=YEAR(S2817))</f>
        <v/>
      </c>
      <c r="Q2817" s="521">
        <f>U2817="L001-901905215"</f>
        <v/>
      </c>
      <c r="R2817" s="556">
        <f>G2817-W2817</f>
        <v/>
      </c>
      <c r="S2817" s="523" t="n">
        <v>44424</v>
      </c>
      <c r="T2817" s="522" t="inlineStr">
        <is>
          <t>IKPSA2021525493</t>
        </is>
      </c>
      <c r="U2817" s="522" t="inlineStr">
        <is>
          <t>L001-901905215</t>
        </is>
      </c>
      <c r="V2817" s="522" t="inlineStr">
        <is>
          <t>វីអ៊ីស៊ិន (ខេមបូឌា) អ៊ិនដាសស្ទ្រី ឯ.ក</t>
        </is>
      </c>
      <c r="W2817" s="556" t="n">
        <v>293760</v>
      </c>
    </row>
    <row r="2818">
      <c r="A2818" s="521" t="n">
        <v>2810</v>
      </c>
      <c r="B2818" s="522" t="inlineStr">
        <is>
          <t>Trucking fee</t>
        </is>
      </c>
      <c r="C2818" s="522" t="inlineStr">
        <is>
          <t>អ៊ែរ៉ូ ស៊ីបភីង អេជេនស៊ី</t>
        </is>
      </c>
      <c r="D2818" s="522" t="inlineStr">
        <is>
          <t>K004-901635903</t>
        </is>
      </c>
      <c r="E2818" s="521" t="inlineStr">
        <is>
          <t>IKPSA2021525491</t>
        </is>
      </c>
      <c r="F2818" s="523" t="n">
        <v>44427</v>
      </c>
      <c r="G2818" s="556" t="n">
        <v>5561</v>
      </c>
      <c r="I2818" s="521">
        <f>G2818</f>
        <v/>
      </c>
      <c r="K2818" s="521">
        <f>I2818-G2818</f>
        <v/>
      </c>
      <c r="M2818" s="522" t="inlineStr">
        <is>
          <t>IKPSA2021525491</t>
        </is>
      </c>
      <c r="N2818" s="522" t="inlineStr">
        <is>
          <t>IKPSA2021525491</t>
        </is>
      </c>
      <c r="O2818" s="521">
        <f>M2818=N2818</f>
        <v/>
      </c>
      <c r="P2818" s="521">
        <f>AND(MONTH(F2818)=MONTH(S2818), YEAR(F2818)=YEAR(S2818))</f>
        <v/>
      </c>
      <c r="Q2818" s="521">
        <f>U2818="L001-901905215"</f>
        <v/>
      </c>
      <c r="R2818" s="556">
        <f>G2818-W2818</f>
        <v/>
      </c>
      <c r="S2818" s="523" t="n">
        <v>44424</v>
      </c>
      <c r="T2818" s="522" t="inlineStr">
        <is>
          <t>IKPSA2021525491</t>
        </is>
      </c>
      <c r="U2818" s="522" t="inlineStr">
        <is>
          <t>L001-901905215</t>
        </is>
      </c>
      <c r="V2818" s="522" t="inlineStr">
        <is>
          <t>វីអ៊ីស៊ិន (ខេមបូឌា) អ៊ិនដាសស្ទ្រី ឯ.ក</t>
        </is>
      </c>
      <c r="W2818" s="556" t="n">
        <v>5564</v>
      </c>
    </row>
    <row r="2819">
      <c r="A2819" s="521" t="n">
        <v>2811</v>
      </c>
      <c r="B2819" s="522" t="inlineStr">
        <is>
          <t>Trucking fee</t>
        </is>
      </c>
      <c r="C2819" s="522" t="inlineStr">
        <is>
          <t>អ៊ែរ៉ូ ស៊ីបភីង អេជេនស៊ី</t>
        </is>
      </c>
      <c r="D2819" s="522" t="inlineStr">
        <is>
          <t>K004-901635903</t>
        </is>
      </c>
      <c r="E2819" s="521" t="inlineStr">
        <is>
          <t>IKPSA2021525492</t>
        </is>
      </c>
      <c r="F2819" s="523" t="n">
        <v>44427</v>
      </c>
      <c r="G2819" s="556" t="n">
        <v>293616</v>
      </c>
      <c r="I2819" s="521">
        <f>G2819</f>
        <v/>
      </c>
      <c r="K2819" s="521">
        <f>I2819-G2819</f>
        <v/>
      </c>
      <c r="M2819" s="522" t="inlineStr">
        <is>
          <t>IKPSA2021525492</t>
        </is>
      </c>
      <c r="N2819" s="522" t="inlineStr">
        <is>
          <t>IKPSA2021525492</t>
        </is>
      </c>
      <c r="O2819" s="521">
        <f>M2819=N2819</f>
        <v/>
      </c>
      <c r="P2819" s="521">
        <f>AND(MONTH(F2819)=MONTH(S2819), YEAR(F2819)=YEAR(S2819))</f>
        <v/>
      </c>
      <c r="Q2819" s="521">
        <f>U2819="L001-901905215"</f>
        <v/>
      </c>
      <c r="R2819" s="556">
        <f>G2819-W2819</f>
        <v/>
      </c>
      <c r="S2819" s="523" t="n">
        <v>44424</v>
      </c>
      <c r="T2819" s="522" t="inlineStr">
        <is>
          <t>IKPSA2021525492</t>
        </is>
      </c>
      <c r="U2819" s="522" t="inlineStr">
        <is>
          <t>L001-901905215</t>
        </is>
      </c>
      <c r="V2819" s="522" t="inlineStr">
        <is>
          <t>វីអ៊ីស៊ិន (ខេមបូឌា) អ៊ិនដាសស្ទ្រី ឯ.ក</t>
        </is>
      </c>
      <c r="W2819" s="556" t="n">
        <v>293760</v>
      </c>
    </row>
    <row r="2820">
      <c r="A2820" s="521" t="n">
        <v>2812</v>
      </c>
      <c r="B2820" s="522" t="inlineStr">
        <is>
          <t>Storage charge</t>
        </is>
      </c>
      <c r="C2820" s="522" t="inlineStr">
        <is>
          <t>កំពង់ផែស្វយ័តក្រុងព្រះសីហនុ</t>
        </is>
      </c>
      <c r="D2820" s="522" t="inlineStr">
        <is>
          <t>L001-100044638</t>
        </is>
      </c>
      <c r="E2820" s="521" t="inlineStr">
        <is>
          <t>143031</t>
        </is>
      </c>
      <c r="F2820" s="523" t="n">
        <v>44436</v>
      </c>
      <c r="G2820" s="556" t="n">
        <v>7340</v>
      </c>
      <c r="I2820" s="521">
        <f>G2820</f>
        <v/>
      </c>
      <c r="K2820" s="521">
        <f>I2820-G2820</f>
        <v/>
      </c>
      <c r="M2820" s="522" t="inlineStr">
        <is>
          <t>143031</t>
        </is>
      </c>
      <c r="N2820" s="522" t="inlineStr"/>
      <c r="O2820" s="521">
        <f>M2820=N2820</f>
        <v/>
      </c>
      <c r="P2820" s="521">
        <f>AND(MONTH(F2820)=MONTH(S2820), YEAR(F2820)=YEAR(S2820))</f>
        <v/>
      </c>
      <c r="Q2820" s="521">
        <f>U2820="L001-901905215"</f>
        <v/>
      </c>
      <c r="R2820" s="556">
        <f>G2820-W2820</f>
        <v/>
      </c>
      <c r="S2820" s="521" t="n"/>
      <c r="T2820" s="522" t="n"/>
      <c r="U2820" s="522" t="n"/>
      <c r="V2820" s="522" t="n"/>
      <c r="W2820" s="521" t="n"/>
    </row>
    <row r="2821">
      <c r="A2821" s="521" t="n">
        <v>2813</v>
      </c>
      <c r="B2821" s="522" t="inlineStr">
        <is>
          <t>Storage charge</t>
        </is>
      </c>
      <c r="C2821" s="522" t="inlineStr">
        <is>
          <t>កំពង់ផែស្វយ័តក្រុងព្រះសីហនុ</t>
        </is>
      </c>
      <c r="D2821" s="522" t="inlineStr">
        <is>
          <t>L001-100044638</t>
        </is>
      </c>
      <c r="E2821" s="521" t="inlineStr">
        <is>
          <t>142384</t>
        </is>
      </c>
      <c r="F2821" s="523" t="n">
        <v>44435</v>
      </c>
      <c r="G2821" s="556" t="n">
        <v>157819</v>
      </c>
      <c r="I2821" s="521">
        <f>G2821</f>
        <v/>
      </c>
      <c r="K2821" s="521">
        <f>I2821-G2821</f>
        <v/>
      </c>
      <c r="M2821" s="522" t="inlineStr">
        <is>
          <t>142384</t>
        </is>
      </c>
      <c r="N2821" s="522" t="inlineStr"/>
      <c r="O2821" s="521">
        <f>M2821=N2821</f>
        <v/>
      </c>
      <c r="P2821" s="521">
        <f>AND(MONTH(F2821)=MONTH(S2821), YEAR(F2821)=YEAR(S2821))</f>
        <v/>
      </c>
      <c r="Q2821" s="521">
        <f>U2821="L001-901905215"</f>
        <v/>
      </c>
      <c r="R2821" s="556">
        <f>G2821-W2821</f>
        <v/>
      </c>
      <c r="S2821" s="521" t="n"/>
      <c r="T2821" s="522" t="n"/>
      <c r="U2821" s="522" t="n"/>
      <c r="V2821" s="522" t="n"/>
      <c r="W2821" s="521" t="n"/>
    </row>
    <row r="2822">
      <c r="A2822" s="521" t="n">
        <v>2814</v>
      </c>
      <c r="B2822" s="522" t="inlineStr">
        <is>
          <t>THC CHARGES</t>
        </is>
      </c>
      <c r="C2822" s="522" t="inlineStr">
        <is>
          <t>អ៊ិចស្ពែឌីធ័រ ខេមបូឌា អិលធីឌី</t>
        </is>
      </c>
      <c r="D2822" s="522" t="inlineStr">
        <is>
          <t>L001-100045898</t>
        </is>
      </c>
      <c r="E2822" s="521" t="inlineStr">
        <is>
          <t>TI-0207586</t>
        </is>
      </c>
      <c r="F2822" s="523" t="n">
        <v>44432</v>
      </c>
      <c r="G2822" s="556" t="n">
        <v>212516</v>
      </c>
      <c r="I2822" s="521">
        <f>G2822</f>
        <v/>
      </c>
      <c r="K2822" s="521">
        <f>I2822-G2822</f>
        <v/>
      </c>
      <c r="M2822" s="522" t="inlineStr">
        <is>
          <t>TI0207586</t>
        </is>
      </c>
      <c r="N2822" s="522" t="inlineStr">
        <is>
          <t>TI0207586</t>
        </is>
      </c>
      <c r="O2822" s="521">
        <f>M2822=N2822</f>
        <v/>
      </c>
      <c r="P2822" s="521">
        <f>AND(MONTH(F2822)=MONTH(S2822), YEAR(F2822)=YEAR(S2822))</f>
        <v/>
      </c>
      <c r="Q2822" s="521">
        <f>U2822="L001-901905215"</f>
        <v/>
      </c>
      <c r="R2822" s="556">
        <f>G2822-W2822</f>
        <v/>
      </c>
      <c r="S2822" s="523" t="n">
        <v>44432</v>
      </c>
      <c r="T2822" s="522" t="inlineStr">
        <is>
          <t>TI-0207586</t>
        </is>
      </c>
      <c r="U2822" s="522" t="inlineStr">
        <is>
          <t>L001-901905215</t>
        </is>
      </c>
      <c r="V2822" s="522" t="inlineStr">
        <is>
          <t>វីអ៊ីស៊ិន (ខេមបូឌា) អ៊ិនដាសស្ទ្រី ឯ.ក</t>
        </is>
      </c>
      <c r="W2822" s="556" t="n">
        <v>212516</v>
      </c>
    </row>
    <row r="2823">
      <c r="A2823" s="521" t="n">
        <v>2815</v>
      </c>
      <c r="B2823" s="522" t="inlineStr">
        <is>
          <t>THC CHARGES</t>
        </is>
      </c>
      <c r="C2823" s="522" t="inlineStr">
        <is>
          <t>អ៊ិចស្ពែឌីធ័រ ខេមបូឌា អិលធីឌី</t>
        </is>
      </c>
      <c r="D2823" s="522" t="inlineStr">
        <is>
          <t>L001-100045898</t>
        </is>
      </c>
      <c r="E2823" s="521" t="inlineStr">
        <is>
          <t>TI-0207565</t>
        </is>
      </c>
      <c r="F2823" s="523" t="n">
        <v>44432</v>
      </c>
      <c r="G2823" s="556" t="n">
        <v>421769</v>
      </c>
      <c r="I2823" s="521">
        <f>G2823</f>
        <v/>
      </c>
      <c r="K2823" s="521">
        <f>I2823-G2823</f>
        <v/>
      </c>
      <c r="M2823" s="522" t="inlineStr">
        <is>
          <t>TI0207565</t>
        </is>
      </c>
      <c r="N2823" s="522" t="inlineStr">
        <is>
          <t>TI0207565</t>
        </is>
      </c>
      <c r="O2823" s="521">
        <f>M2823=N2823</f>
        <v/>
      </c>
      <c r="P2823" s="521">
        <f>AND(MONTH(F2823)=MONTH(S2823), YEAR(F2823)=YEAR(S2823))</f>
        <v/>
      </c>
      <c r="Q2823" s="521">
        <f>U2823="L001-901905215"</f>
        <v/>
      </c>
      <c r="R2823" s="556">
        <f>G2823-W2823</f>
        <v/>
      </c>
      <c r="S2823" s="523" t="n">
        <v>44432</v>
      </c>
      <c r="T2823" s="522" t="inlineStr">
        <is>
          <t>TI-0207565</t>
        </is>
      </c>
      <c r="U2823" s="522" t="inlineStr">
        <is>
          <t>L001-901905215</t>
        </is>
      </c>
      <c r="V2823" s="522" t="inlineStr">
        <is>
          <t>វីអ៊ីស៊ិន (ខេមបូឌា) អ៊ិនដាសស្ទ្រី ឯ.ក</t>
        </is>
      </c>
      <c r="W2823" s="556" t="n">
        <v>421769</v>
      </c>
    </row>
    <row r="2824">
      <c r="A2824" s="521" t="n">
        <v>2816</v>
      </c>
      <c r="B2824" s="522" t="inlineStr">
        <is>
          <t>THC CHARGES</t>
        </is>
      </c>
      <c r="C2824" s="522" t="inlineStr">
        <is>
          <t>អ៊ិចស្ពែឌីធ័រ ខេមបូឌា អិលធីឌី</t>
        </is>
      </c>
      <c r="D2824" s="522" t="inlineStr">
        <is>
          <t>L001-100045898</t>
        </is>
      </c>
      <c r="E2824" s="521" t="inlineStr">
        <is>
          <t>TI-0207178</t>
        </is>
      </c>
      <c r="F2824" s="523" t="n">
        <v>44427</v>
      </c>
      <c r="G2824" s="556" t="n">
        <v>268806</v>
      </c>
      <c r="I2824" s="521">
        <f>G2824</f>
        <v/>
      </c>
      <c r="K2824" s="521">
        <f>I2824-G2824</f>
        <v/>
      </c>
      <c r="M2824" s="522" t="inlineStr">
        <is>
          <t>TI0207178</t>
        </is>
      </c>
      <c r="N2824" s="522" t="inlineStr">
        <is>
          <t>TI0207178</t>
        </is>
      </c>
      <c r="O2824" s="521">
        <f>M2824=N2824</f>
        <v/>
      </c>
      <c r="P2824" s="521">
        <f>AND(MONTH(F2824)=MONTH(S2824), YEAR(F2824)=YEAR(S2824))</f>
        <v/>
      </c>
      <c r="Q2824" s="521">
        <f>U2824="L001-901905215"</f>
        <v/>
      </c>
      <c r="R2824" s="556">
        <f>G2824-W2824</f>
        <v/>
      </c>
      <c r="S2824" s="523" t="n">
        <v>44427</v>
      </c>
      <c r="T2824" s="522" t="inlineStr">
        <is>
          <t>TI-0207178</t>
        </is>
      </c>
      <c r="U2824" s="522" t="inlineStr">
        <is>
          <t>L001-901905215</t>
        </is>
      </c>
      <c r="V2824" s="522" t="inlineStr">
        <is>
          <t>វីអ៊ីស៊ិន (ខេមបូឌា) អ៊ិនដាសស្ទ្រី ឯ.ក</t>
        </is>
      </c>
      <c r="W2824" s="556" t="n">
        <v>268872</v>
      </c>
    </row>
    <row r="2825">
      <c r="A2825" s="521" t="n">
        <v>2817</v>
      </c>
      <c r="B2825" s="522" t="inlineStr">
        <is>
          <t>THC CHARGES</t>
        </is>
      </c>
      <c r="C2825" s="522" t="inlineStr">
        <is>
          <t>អ៊ិចស្ពែឌីធ័រ ខេមបូឌា អិលធីឌី</t>
        </is>
      </c>
      <c r="D2825" s="522" t="inlineStr">
        <is>
          <t>L001-100045898</t>
        </is>
      </c>
      <c r="E2825" s="521" t="inlineStr">
        <is>
          <t>TI-0207177</t>
        </is>
      </c>
      <c r="F2825" s="523" t="n">
        <v>44427</v>
      </c>
      <c r="G2825" s="556" t="n">
        <v>156226</v>
      </c>
      <c r="I2825" s="521">
        <f>G2825</f>
        <v/>
      </c>
      <c r="K2825" s="521">
        <f>I2825-G2825</f>
        <v/>
      </c>
      <c r="M2825" s="522" t="inlineStr">
        <is>
          <t>TI0207177</t>
        </is>
      </c>
      <c r="N2825" s="522" t="inlineStr">
        <is>
          <t>TI0207177</t>
        </is>
      </c>
      <c r="O2825" s="521">
        <f>M2825=N2825</f>
        <v/>
      </c>
      <c r="P2825" s="521">
        <f>AND(MONTH(F2825)=MONTH(S2825), YEAR(F2825)=YEAR(S2825))</f>
        <v/>
      </c>
      <c r="Q2825" s="521">
        <f>U2825="L001-901905215"</f>
        <v/>
      </c>
      <c r="R2825" s="556">
        <f>G2825-W2825</f>
        <v/>
      </c>
      <c r="S2825" s="523" t="n">
        <v>44427</v>
      </c>
      <c r="T2825" s="522" t="inlineStr">
        <is>
          <t>TI-0207177</t>
        </is>
      </c>
      <c r="U2825" s="522" t="inlineStr">
        <is>
          <t>L001-901905215</t>
        </is>
      </c>
      <c r="V2825" s="522" t="inlineStr">
        <is>
          <t>វីអ៊ីស៊ិន (ខេមបូឌា) អ៊ិនដាសស្ទ្រី ឯ.ក</t>
        </is>
      </c>
      <c r="W2825" s="556" t="n">
        <v>156264</v>
      </c>
    </row>
    <row r="2826">
      <c r="A2826" s="521" t="n">
        <v>2818</v>
      </c>
      <c r="B2826" s="522" t="inlineStr">
        <is>
          <t>THC CHARGES</t>
        </is>
      </c>
      <c r="C2826" s="522" t="inlineStr">
        <is>
          <t>អ៊ិចស្ពែឌីធ័រ ខេមបូឌា អិលធីឌី</t>
        </is>
      </c>
      <c r="D2826" s="522" t="inlineStr">
        <is>
          <t>L001-100045898</t>
        </is>
      </c>
      <c r="E2826" s="521" t="inlineStr">
        <is>
          <t>TI-0205919</t>
        </is>
      </c>
      <c r="F2826" s="523" t="n">
        <v>44413</v>
      </c>
      <c r="G2826" s="556" t="n">
        <v>52869</v>
      </c>
      <c r="I2826" s="521">
        <f>G2826</f>
        <v/>
      </c>
      <c r="K2826" s="521">
        <f>I2826-G2826</f>
        <v/>
      </c>
      <c r="M2826" s="522" t="inlineStr">
        <is>
          <t>TI0205919</t>
        </is>
      </c>
      <c r="N2826" s="522" t="inlineStr">
        <is>
          <t>TI0205919</t>
        </is>
      </c>
      <c r="O2826" s="521">
        <f>M2826=N2826</f>
        <v/>
      </c>
      <c r="P2826" s="521">
        <f>AND(MONTH(F2826)=MONTH(S2826), YEAR(F2826)=YEAR(S2826))</f>
        <v/>
      </c>
      <c r="Q2826" s="521">
        <f>U2826="L001-901905215"</f>
        <v/>
      </c>
      <c r="R2826" s="556">
        <f>G2826-W2826</f>
        <v/>
      </c>
      <c r="S2826" s="523" t="n">
        <v>44413</v>
      </c>
      <c r="T2826" s="522" t="inlineStr">
        <is>
          <t>TI-0205919</t>
        </is>
      </c>
      <c r="U2826" s="522" t="inlineStr">
        <is>
          <t>L001-901905215</t>
        </is>
      </c>
      <c r="V2826" s="522" t="inlineStr">
        <is>
          <t>វីអ៊ីស៊ិន (ខេមបូឌា) អ៊ិនដាសស្ទ្រី ឯ.ក</t>
        </is>
      </c>
      <c r="W2826" s="556" t="n">
        <v>52840</v>
      </c>
    </row>
    <row r="2827">
      <c r="A2827" s="521" t="n">
        <v>2819</v>
      </c>
      <c r="B2827" s="522" t="inlineStr">
        <is>
          <t>THC CHARGES</t>
        </is>
      </c>
      <c r="C2827" s="522" t="inlineStr">
        <is>
          <t>អ៊ិចស្ពែឌីធ័រ ខេមបូឌា អិលធីឌី</t>
        </is>
      </c>
      <c r="D2827" s="522" t="inlineStr">
        <is>
          <t>L001-100045898</t>
        </is>
      </c>
      <c r="E2827" s="521" t="inlineStr">
        <is>
          <t>TI-0205633</t>
        </is>
      </c>
      <c r="F2827" s="523" t="n">
        <v>44410</v>
      </c>
      <c r="G2827" s="556" t="n">
        <v>32584</v>
      </c>
      <c r="I2827" s="521">
        <f>G2827</f>
        <v/>
      </c>
      <c r="K2827" s="521">
        <f>I2827-G2827</f>
        <v/>
      </c>
      <c r="M2827" s="522" t="inlineStr">
        <is>
          <t>TI0205633</t>
        </is>
      </c>
      <c r="N2827" s="522" t="inlineStr">
        <is>
          <t>TI0205633</t>
        </is>
      </c>
      <c r="O2827" s="521">
        <f>M2827=N2827</f>
        <v/>
      </c>
      <c r="P2827" s="521">
        <f>AND(MONTH(F2827)=MONTH(S2827), YEAR(F2827)=YEAR(S2827))</f>
        <v/>
      </c>
      <c r="Q2827" s="521">
        <f>U2827="L001-901905215"</f>
        <v/>
      </c>
      <c r="R2827" s="556">
        <f>G2827-W2827</f>
        <v/>
      </c>
      <c r="S2827" s="523" t="n">
        <v>44410</v>
      </c>
      <c r="T2827" s="522" t="inlineStr">
        <is>
          <t>TI-0205633</t>
        </is>
      </c>
      <c r="U2827" s="522" t="inlineStr">
        <is>
          <t>L001-901905215</t>
        </is>
      </c>
      <c r="V2827" s="522" t="inlineStr">
        <is>
          <t>វីអ៊ីស៊ិន (ខេមបូឌា) អ៊ិនដាសស្ទ្រី ឯ.ក</t>
        </is>
      </c>
      <c r="W2827" s="556" t="n">
        <v>32584</v>
      </c>
    </row>
    <row r="2828">
      <c r="A2828" s="521" t="n">
        <v>2820</v>
      </c>
      <c r="B2828" s="522" t="inlineStr">
        <is>
          <t>AMA fee</t>
        </is>
      </c>
      <c r="C2828" s="522" t="inlineStr">
        <is>
          <t>ខូស្កូ ស៊ីបភីង ឡាញ (ខេមបូឌា) ឯ.ក</t>
        </is>
      </c>
      <c r="D2828" s="522" t="inlineStr">
        <is>
          <t>L001-100103383</t>
        </is>
      </c>
      <c r="E2828" s="521" t="inlineStr">
        <is>
          <t>COS2108-10205</t>
        </is>
      </c>
      <c r="F2828" s="523" t="n">
        <v>44418</v>
      </c>
      <c r="G2828" s="556" t="n">
        <v>24462</v>
      </c>
      <c r="I2828" s="521">
        <f>G2828</f>
        <v/>
      </c>
      <c r="K2828" s="521">
        <f>I2828-G2828</f>
        <v/>
      </c>
      <c r="M2828" s="522" t="inlineStr">
        <is>
          <t>COS210810205</t>
        </is>
      </c>
      <c r="N2828" s="522" t="inlineStr">
        <is>
          <t>COS210810205</t>
        </is>
      </c>
      <c r="O2828" s="521">
        <f>M2828=N2828</f>
        <v/>
      </c>
      <c r="P2828" s="521">
        <f>AND(MONTH(F2828)=MONTH(S2828), YEAR(F2828)=YEAR(S2828))</f>
        <v/>
      </c>
      <c r="Q2828" s="521">
        <f>U2828="L001-901905215"</f>
        <v/>
      </c>
      <c r="R2828" s="556">
        <f>G2828-W2828</f>
        <v/>
      </c>
      <c r="S2828" s="523" t="n">
        <v>44418</v>
      </c>
      <c r="T2828" s="522" t="inlineStr">
        <is>
          <t>COS2108-10205</t>
        </is>
      </c>
      <c r="U2828" s="522" t="inlineStr">
        <is>
          <t>L001-901905215</t>
        </is>
      </c>
      <c r="V2828" s="522" t="inlineStr">
        <is>
          <t>វីអ៊ីស៊ិន (ខេមបូឌា) អ៊ិនដាសស្ទ្រី ឯ.ក</t>
        </is>
      </c>
      <c r="W2828" s="556" t="n">
        <v>24462</v>
      </c>
    </row>
    <row r="2829">
      <c r="A2829" s="521" t="n">
        <v>2821</v>
      </c>
      <c r="B2829" s="522" t="inlineStr">
        <is>
          <t>SUB and DOC fee</t>
        </is>
      </c>
      <c r="C2829" s="522" t="inlineStr">
        <is>
          <t>ខូស្កូ ស៊ីបភីង ឡាញ (ខេមបូឌា) ឯ.ក</t>
        </is>
      </c>
      <c r="D2829" s="522" t="inlineStr">
        <is>
          <t>L001-100103383</t>
        </is>
      </c>
      <c r="E2829" s="521" t="inlineStr">
        <is>
          <t>COS2108-09659</t>
        </is>
      </c>
      <c r="F2829" s="523" t="n">
        <v>44410</v>
      </c>
      <c r="G2829" s="556" t="n">
        <v>98567</v>
      </c>
      <c r="I2829" s="521">
        <f>G2829</f>
        <v/>
      </c>
      <c r="K2829" s="521">
        <f>I2829-G2829</f>
        <v/>
      </c>
      <c r="M2829" s="522" t="inlineStr">
        <is>
          <t>COS210809659</t>
        </is>
      </c>
      <c r="N2829" s="522" t="inlineStr">
        <is>
          <t>COS210809659</t>
        </is>
      </c>
      <c r="O2829" s="521">
        <f>M2829=N2829</f>
        <v/>
      </c>
      <c r="P2829" s="521">
        <f>AND(MONTH(F2829)=MONTH(S2829), YEAR(F2829)=YEAR(S2829))</f>
        <v/>
      </c>
      <c r="Q2829" s="521">
        <f>U2829="L001-901905215"</f>
        <v/>
      </c>
      <c r="R2829" s="556">
        <f>G2829-W2829</f>
        <v/>
      </c>
      <c r="S2829" s="523" t="n">
        <v>44410</v>
      </c>
      <c r="T2829" s="522" t="inlineStr">
        <is>
          <t>COS2108-09659</t>
        </is>
      </c>
      <c r="U2829" s="522" t="inlineStr">
        <is>
          <t>L001-901905215</t>
        </is>
      </c>
      <c r="V2829" s="522" t="inlineStr">
        <is>
          <t>វីអ៊ីស៊ិន (ខេមបូឌា) អ៊ិនដាសស្ទ្រី ឯ.ក</t>
        </is>
      </c>
      <c r="W2829" s="556" t="n">
        <v>98567</v>
      </c>
    </row>
    <row r="2830">
      <c r="A2830" s="521" t="n">
        <v>2822</v>
      </c>
      <c r="B2830" s="522" t="inlineStr">
        <is>
          <t>Expot administration fee</t>
        </is>
      </c>
      <c r="C2830" s="522" t="inlineStr">
        <is>
          <t>ឆាយ ដា ឡូយីស្ទីក</t>
        </is>
      </c>
      <c r="D2830" s="522" t="inlineStr">
        <is>
          <t>L001-100063098</t>
        </is>
      </c>
      <c r="E2830" s="521" t="inlineStr">
        <is>
          <t>2108008077</t>
        </is>
      </c>
      <c r="F2830" s="523" t="n">
        <v>44410</v>
      </c>
      <c r="G2830" s="556" t="n">
        <v>89199</v>
      </c>
      <c r="I2830" s="521">
        <f>G2830</f>
        <v/>
      </c>
      <c r="K2830" s="521">
        <f>I2830-G2830</f>
        <v/>
      </c>
      <c r="M2830" s="522" t="inlineStr">
        <is>
          <t>2108008077</t>
        </is>
      </c>
      <c r="N2830" s="522" t="inlineStr">
        <is>
          <t>2108008077</t>
        </is>
      </c>
      <c r="O2830" s="521">
        <f>M2830=N2830</f>
        <v/>
      </c>
      <c r="P2830" s="521">
        <f>AND(MONTH(F2830)=MONTH(S2830), YEAR(F2830)=YEAR(S2830))</f>
        <v/>
      </c>
      <c r="Q2830" s="521">
        <f>U2830="L001-901905215"</f>
        <v/>
      </c>
      <c r="R2830" s="556">
        <f>G2830-W2830</f>
        <v/>
      </c>
      <c r="S2830" s="523" t="n">
        <v>44410</v>
      </c>
      <c r="T2830" s="522" t="inlineStr">
        <is>
          <t>2108008077</t>
        </is>
      </c>
      <c r="U2830" s="522" t="inlineStr">
        <is>
          <t>L001-901905215</t>
        </is>
      </c>
      <c r="V2830" s="522" t="inlineStr">
        <is>
          <t>វីអ៊ីស៊ិន (ខេមបូឌា) អ៊ិនដាសស្ទ្រី ឯ.ក</t>
        </is>
      </c>
      <c r="W2830" s="556" t="n">
        <v>89199</v>
      </c>
    </row>
    <row r="2831">
      <c r="A2831" s="521" t="n">
        <v>2823</v>
      </c>
      <c r="B2831" s="522" t="inlineStr">
        <is>
          <t>Storage charge</t>
        </is>
      </c>
      <c r="C2831" s="522" t="inlineStr">
        <is>
          <t>កំពង់ផែស្វយ័តក្រុងព្រះសីហនុ</t>
        </is>
      </c>
      <c r="D2831" s="522" t="inlineStr">
        <is>
          <t>L001-100044638</t>
        </is>
      </c>
      <c r="E2831" s="521" t="inlineStr">
        <is>
          <t>142383</t>
        </is>
      </c>
      <c r="F2831" s="523" t="n">
        <v>44435</v>
      </c>
      <c r="G2831" s="556" t="n">
        <v>4894</v>
      </c>
      <c r="I2831" s="521">
        <f>G2831</f>
        <v/>
      </c>
      <c r="K2831" s="521">
        <f>I2831-G2831</f>
        <v/>
      </c>
      <c r="M2831" s="522" t="inlineStr">
        <is>
          <t>142383</t>
        </is>
      </c>
      <c r="N2831" s="522" t="inlineStr"/>
      <c r="O2831" s="521">
        <f>M2831=N2831</f>
        <v/>
      </c>
      <c r="P2831" s="521">
        <f>AND(MONTH(F2831)=MONTH(S2831), YEAR(F2831)=YEAR(S2831))</f>
        <v/>
      </c>
      <c r="Q2831" s="521">
        <f>U2831="L001-901905215"</f>
        <v/>
      </c>
      <c r="R2831" s="556">
        <f>G2831-W2831</f>
        <v/>
      </c>
      <c r="S2831" s="521" t="n"/>
      <c r="T2831" s="522" t="n"/>
      <c r="U2831" s="522" t="n"/>
      <c r="V2831" s="522" t="n"/>
      <c r="W2831" s="521" t="n"/>
    </row>
    <row r="2832">
      <c r="A2832" s="521" t="n">
        <v>2824</v>
      </c>
      <c r="B2832" s="522" t="inlineStr">
        <is>
          <t>Lift on/ Lift off</t>
        </is>
      </c>
      <c r="C2832" s="522" t="inlineStr">
        <is>
          <t>កំពង់ផែស្វយ័តក្រុងព្រះសីហនុ</t>
        </is>
      </c>
      <c r="D2832" s="522" t="inlineStr">
        <is>
          <t>L001-100044638</t>
        </is>
      </c>
      <c r="E2832" s="521" t="inlineStr">
        <is>
          <t>140962</t>
        </is>
      </c>
      <c r="F2832" s="523" t="n">
        <v>44434</v>
      </c>
      <c r="G2832" s="556" t="n">
        <v>124787</v>
      </c>
      <c r="I2832" s="521">
        <f>G2832</f>
        <v/>
      </c>
      <c r="K2832" s="521">
        <f>I2832-G2832</f>
        <v/>
      </c>
      <c r="M2832" s="522" t="inlineStr">
        <is>
          <t>140962</t>
        </is>
      </c>
      <c r="N2832" s="522" t="inlineStr"/>
      <c r="O2832" s="521">
        <f>M2832=N2832</f>
        <v/>
      </c>
      <c r="P2832" s="521">
        <f>AND(MONTH(F2832)=MONTH(S2832), YEAR(F2832)=YEAR(S2832))</f>
        <v/>
      </c>
      <c r="Q2832" s="521">
        <f>U2832="L001-901905215"</f>
        <v/>
      </c>
      <c r="R2832" s="556">
        <f>G2832-W2832</f>
        <v/>
      </c>
      <c r="S2832" s="521" t="n"/>
      <c r="T2832" s="522" t="n"/>
      <c r="U2832" s="522" t="n"/>
      <c r="V2832" s="522" t="n"/>
      <c r="W2832" s="521" t="n"/>
    </row>
    <row r="2833">
      <c r="A2833" s="521" t="n">
        <v>2825</v>
      </c>
      <c r="B2833" s="522" t="inlineStr">
        <is>
          <t>KHCIC</t>
        </is>
      </c>
      <c r="C2833" s="522" t="inlineStr">
        <is>
          <t>អេសអាយធីស៊ី ខិនថេនើរ ឡាញ (ខេមបូឌា)</t>
        </is>
      </c>
      <c r="D2833" s="522" t="inlineStr">
        <is>
          <t>L001-107035863</t>
        </is>
      </c>
      <c r="E2833" s="521" t="inlineStr">
        <is>
          <t>SITC2021-013520</t>
        </is>
      </c>
      <c r="F2833" s="523" t="n">
        <v>44409</v>
      </c>
      <c r="G2833" s="556" t="n">
        <v>429596</v>
      </c>
      <c r="I2833" s="521">
        <f>G2833</f>
        <v/>
      </c>
      <c r="K2833" s="521">
        <f>I2833-G2833</f>
        <v/>
      </c>
      <c r="M2833" s="522" t="inlineStr">
        <is>
          <t>SITC2021013520</t>
        </is>
      </c>
      <c r="N2833" s="522" t="inlineStr"/>
      <c r="O2833" s="521">
        <f>M2833=N2833</f>
        <v/>
      </c>
      <c r="P2833" s="521">
        <f>AND(MONTH(F2833)=MONTH(S2833), YEAR(F2833)=YEAR(S2833))</f>
        <v/>
      </c>
      <c r="Q2833" s="521">
        <f>U2833="L001-901905215"</f>
        <v/>
      </c>
      <c r="R2833" s="556">
        <f>G2833-W2833</f>
        <v/>
      </c>
      <c r="S2833" s="521" t="n"/>
      <c r="T2833" s="522" t="n"/>
      <c r="U2833" s="522" t="n"/>
      <c r="V2833" s="522" t="n"/>
      <c r="W2833" s="521" t="n"/>
    </row>
    <row r="2834">
      <c r="A2834" s="521" t="n">
        <v>2826</v>
      </c>
      <c r="B2834" s="522" t="inlineStr">
        <is>
          <t>127880</t>
        </is>
      </c>
      <c r="C2834" s="522" t="inlineStr">
        <is>
          <t>កំពង់ផែស្វយ័តក្រុងព្រះសីហនុ</t>
        </is>
      </c>
      <c r="D2834" s="522" t="inlineStr">
        <is>
          <t>L001-100044638</t>
        </is>
      </c>
      <c r="E2834" s="521" t="inlineStr">
        <is>
          <t>127880</t>
        </is>
      </c>
      <c r="F2834" s="523" t="n">
        <v>44412</v>
      </c>
      <c r="G2834" s="556" t="n">
        <v>70888</v>
      </c>
      <c r="I2834" s="521">
        <f>G2834</f>
        <v/>
      </c>
      <c r="K2834" s="521">
        <f>I2834-G2834</f>
        <v/>
      </c>
      <c r="M2834" s="522" t="inlineStr">
        <is>
          <t>127880</t>
        </is>
      </c>
      <c r="N2834" s="522" t="inlineStr"/>
      <c r="O2834" s="521">
        <f>M2834=N2834</f>
        <v/>
      </c>
      <c r="P2834" s="521">
        <f>AND(MONTH(F2834)=MONTH(S2834), YEAR(F2834)=YEAR(S2834))</f>
        <v/>
      </c>
      <c r="Q2834" s="521">
        <f>U2834="L001-901905215"</f>
        <v/>
      </c>
      <c r="R2834" s="556">
        <f>G2834-W2834</f>
        <v/>
      </c>
      <c r="S2834" s="521" t="n"/>
      <c r="T2834" s="522" t="n"/>
      <c r="U2834" s="522" t="n"/>
      <c r="V2834" s="522" t="n"/>
      <c r="W2834" s="521" t="n"/>
    </row>
    <row r="2835">
      <c r="A2835" s="521" t="n">
        <v>2827</v>
      </c>
      <c r="B2835" s="522" t="inlineStr">
        <is>
          <t>Documentation and Terminal handing service</t>
        </is>
      </c>
      <c r="C2835" s="522" t="inlineStr">
        <is>
          <t>មើស្គ (ខេមបូឌា)</t>
        </is>
      </c>
      <c r="D2835" s="522" t="inlineStr">
        <is>
          <t>L001-100045200</t>
        </is>
      </c>
      <c r="E2835" s="521" t="inlineStr">
        <is>
          <t>5995878014</t>
        </is>
      </c>
      <c r="F2835" s="523" t="n">
        <v>44409</v>
      </c>
      <c r="G2835" s="556" t="n">
        <v>218259</v>
      </c>
      <c r="I2835" s="521">
        <f>G2835</f>
        <v/>
      </c>
      <c r="K2835" s="521">
        <f>I2835-G2835</f>
        <v/>
      </c>
      <c r="M2835" s="522" t="inlineStr">
        <is>
          <t>5995878014</t>
        </is>
      </c>
      <c r="N2835" s="522" t="inlineStr"/>
      <c r="O2835" s="521">
        <f>M2835=N2835</f>
        <v/>
      </c>
      <c r="P2835" s="521">
        <f>AND(MONTH(F2835)=MONTH(S2835), YEAR(F2835)=YEAR(S2835))</f>
        <v/>
      </c>
      <c r="Q2835" s="521">
        <f>U2835="L001-901905215"</f>
        <v/>
      </c>
      <c r="R2835" s="556">
        <f>G2835-W2835</f>
        <v/>
      </c>
      <c r="S2835" s="521" t="n"/>
      <c r="T2835" s="522" t="n"/>
      <c r="U2835" s="522" t="n"/>
      <c r="V2835" s="522" t="n"/>
      <c r="W2835" s="521" t="n"/>
    </row>
    <row r="2836">
      <c r="A2836" s="521" t="n">
        <v>2828</v>
      </c>
      <c r="B2836" s="522" t="inlineStr">
        <is>
          <t>Lift on/ Lift off</t>
        </is>
      </c>
      <c r="C2836" s="522" t="inlineStr">
        <is>
          <t>កំពង់ផែស្វយ័តក្រុងព្រះសីហនុ</t>
        </is>
      </c>
      <c r="D2836" s="522" t="inlineStr">
        <is>
          <t>L001-100044638</t>
        </is>
      </c>
      <c r="E2836" s="521" t="inlineStr">
        <is>
          <t>130310</t>
        </is>
      </c>
      <c r="F2836" s="523" t="n">
        <v>44417</v>
      </c>
      <c r="G2836" s="556" t="n">
        <v>70940</v>
      </c>
      <c r="I2836" s="521">
        <f>G2836</f>
        <v/>
      </c>
      <c r="K2836" s="521">
        <f>I2836-G2836</f>
        <v/>
      </c>
      <c r="M2836" s="522" t="inlineStr">
        <is>
          <t>130310</t>
        </is>
      </c>
      <c r="N2836" s="522" t="inlineStr"/>
      <c r="O2836" s="521">
        <f>M2836=N2836</f>
        <v/>
      </c>
      <c r="P2836" s="521">
        <f>AND(MONTH(F2836)=MONTH(S2836), YEAR(F2836)=YEAR(S2836))</f>
        <v/>
      </c>
      <c r="Q2836" s="521">
        <f>U2836="L001-901905215"</f>
        <v/>
      </c>
      <c r="R2836" s="556">
        <f>G2836-W2836</f>
        <v/>
      </c>
      <c r="S2836" s="521" t="n"/>
      <c r="T2836" s="522" t="n"/>
      <c r="U2836" s="522" t="n"/>
      <c r="V2836" s="522" t="n"/>
      <c r="W2836" s="521" t="n"/>
    </row>
    <row r="2837">
      <c r="A2837" s="521" t="n">
        <v>2829</v>
      </c>
      <c r="B2837" s="522" t="inlineStr">
        <is>
          <t>THC and DOC fee</t>
        </is>
      </c>
      <c r="C2837" s="522" t="inlineStr">
        <is>
          <t>ស្ត្រេតស៍ អ៊ិនធើណេសិនណល ភីធីអ៊ី អិលធីឌី</t>
        </is>
      </c>
      <c r="D2837" s="522" t="inlineStr">
        <is>
          <t>L001-100045162</t>
        </is>
      </c>
      <c r="E2837" s="521" t="inlineStr">
        <is>
          <t>2114101</t>
        </is>
      </c>
      <c r="F2837" s="523" t="n">
        <v>44419</v>
      </c>
      <c r="G2837" s="556" t="n">
        <v>201762</v>
      </c>
      <c r="I2837" s="521">
        <f>G2837</f>
        <v/>
      </c>
      <c r="K2837" s="521">
        <f>I2837-G2837</f>
        <v/>
      </c>
      <c r="M2837" s="522" t="inlineStr">
        <is>
          <t>2114101</t>
        </is>
      </c>
      <c r="N2837" s="522" t="inlineStr">
        <is>
          <t>2114101</t>
        </is>
      </c>
      <c r="O2837" s="521">
        <f>M2837=N2837</f>
        <v/>
      </c>
      <c r="P2837" s="521">
        <f>AND(MONTH(F2837)=MONTH(S2837), YEAR(F2837)=YEAR(S2837))</f>
        <v/>
      </c>
      <c r="Q2837" s="521">
        <f>U2837="L001-901905215"</f>
        <v/>
      </c>
      <c r="R2837" s="556">
        <f>G2837-W2837</f>
        <v/>
      </c>
      <c r="S2837" s="523" t="n">
        <v>44413</v>
      </c>
      <c r="T2837" s="522" t="inlineStr">
        <is>
          <t>2114101</t>
        </is>
      </c>
      <c r="U2837" s="522" t="inlineStr">
        <is>
          <t>L001-901905215</t>
        </is>
      </c>
      <c r="V2837" s="522" t="inlineStr">
        <is>
          <t>វីអ៊ីស៊ិន (ខេមបូឌា) អ៊ិនដាសស្ទ្រី ឯ.ក</t>
        </is>
      </c>
      <c r="W2837" s="556" t="n">
        <v>201762</v>
      </c>
    </row>
    <row r="2838">
      <c r="A2838" s="521" t="n">
        <v>2830</v>
      </c>
      <c r="B2838" s="522" t="inlineStr">
        <is>
          <t>Lift on/ Lift off</t>
        </is>
      </c>
      <c r="C2838" s="522" t="inlineStr">
        <is>
          <t>កំពង់ផែស្វយ័តក្រុងព្រះសីហនុ</t>
        </is>
      </c>
      <c r="D2838" s="522" t="inlineStr">
        <is>
          <t>L001-100044638</t>
        </is>
      </c>
      <c r="E2838" s="521" t="inlineStr">
        <is>
          <t>133318</t>
        </is>
      </c>
      <c r="F2838" s="523" t="n">
        <v>44421</v>
      </c>
      <c r="G2838" s="556" t="n">
        <v>70975</v>
      </c>
      <c r="I2838" s="521">
        <f>G2838</f>
        <v/>
      </c>
      <c r="K2838" s="521">
        <f>I2838-G2838</f>
        <v/>
      </c>
      <c r="M2838" s="522" t="inlineStr">
        <is>
          <t>133318</t>
        </is>
      </c>
      <c r="N2838" s="522" t="inlineStr"/>
      <c r="O2838" s="521">
        <f>M2838=N2838</f>
        <v/>
      </c>
      <c r="P2838" s="521">
        <f>AND(MONTH(F2838)=MONTH(S2838), YEAR(F2838)=YEAR(S2838))</f>
        <v/>
      </c>
      <c r="Q2838" s="521">
        <f>U2838="L001-901905215"</f>
        <v/>
      </c>
      <c r="R2838" s="556">
        <f>G2838-W2838</f>
        <v/>
      </c>
      <c r="S2838" s="521" t="n"/>
      <c r="T2838" s="522" t="n"/>
      <c r="U2838" s="522" t="n"/>
      <c r="V2838" s="522" t="n"/>
      <c r="W2838" s="521" t="n"/>
    </row>
    <row r="2839">
      <c r="A2839" s="521" t="n">
        <v>2831</v>
      </c>
      <c r="B2839" s="522" t="inlineStr">
        <is>
          <t>Trucking fee</t>
        </is>
      </c>
      <c r="C2839" s="522" t="inlineStr">
        <is>
          <t>អ៊ែរ៉ូ ស៊ីបភីង អេជេនស៊ី</t>
        </is>
      </c>
      <c r="D2839" s="522" t="inlineStr">
        <is>
          <t>K004-901635903</t>
        </is>
      </c>
      <c r="E2839" s="521" t="inlineStr">
        <is>
          <t>IKPSA2021524239</t>
        </is>
      </c>
      <c r="F2839" s="523" t="n">
        <v>44420</v>
      </c>
      <c r="G2839" s="556" t="n">
        <v>293544</v>
      </c>
      <c r="I2839" s="521">
        <f>G2839</f>
        <v/>
      </c>
      <c r="K2839" s="521">
        <f>I2839-G2839</f>
        <v/>
      </c>
      <c r="M2839" s="522" t="inlineStr">
        <is>
          <t>IKPSA2021524239</t>
        </is>
      </c>
      <c r="N2839" s="522" t="inlineStr">
        <is>
          <t>IKPSA2021524239</t>
        </is>
      </c>
      <c r="O2839" s="521">
        <f>M2839=N2839</f>
        <v/>
      </c>
      <c r="P2839" s="521">
        <f>AND(MONTH(F2839)=MONTH(S2839), YEAR(F2839)=YEAR(S2839))</f>
        <v/>
      </c>
      <c r="Q2839" s="521">
        <f>U2839="L001-901905215"</f>
        <v/>
      </c>
      <c r="R2839" s="556">
        <f>G2839-W2839</f>
        <v/>
      </c>
      <c r="S2839" s="523" t="n">
        <v>44418</v>
      </c>
      <c r="T2839" s="522" t="inlineStr">
        <is>
          <t>IKPSA2021524239</t>
        </is>
      </c>
      <c r="U2839" s="522" t="inlineStr">
        <is>
          <t>L001-901905215</t>
        </is>
      </c>
      <c r="V2839" s="522" t="inlineStr">
        <is>
          <t>វីអ៊ីស៊ិន (ខេមបូឌា) អ៊ិនដាសស្ទ្រី ឯ.ក</t>
        </is>
      </c>
      <c r="W2839" s="556" t="n">
        <v>293760</v>
      </c>
    </row>
    <row r="2840">
      <c r="A2840" s="521" t="n">
        <v>2832</v>
      </c>
      <c r="B2840" s="522" t="inlineStr">
        <is>
          <t>Trucking fee</t>
        </is>
      </c>
      <c r="C2840" s="522" t="inlineStr">
        <is>
          <t>អ៊ែរ៉ូ ស៊ីបភីង អេជេនស៊ី</t>
        </is>
      </c>
      <c r="D2840" s="522" t="inlineStr">
        <is>
          <t>K004-901635903</t>
        </is>
      </c>
      <c r="E2840" s="521" t="inlineStr">
        <is>
          <t>IKPSA2021524238</t>
        </is>
      </c>
      <c r="F2840" s="523" t="n">
        <v>44420</v>
      </c>
      <c r="G2840" s="556" t="n">
        <v>293544</v>
      </c>
      <c r="I2840" s="521">
        <f>G2840</f>
        <v/>
      </c>
      <c r="K2840" s="521">
        <f>I2840-G2840</f>
        <v/>
      </c>
      <c r="M2840" s="522" t="inlineStr">
        <is>
          <t>IKPSA2021524238</t>
        </is>
      </c>
      <c r="N2840" s="522" t="inlineStr">
        <is>
          <t>IKPSA2021524238</t>
        </is>
      </c>
      <c r="O2840" s="521">
        <f>M2840=N2840</f>
        <v/>
      </c>
      <c r="P2840" s="521">
        <f>AND(MONTH(F2840)=MONTH(S2840), YEAR(F2840)=YEAR(S2840))</f>
        <v/>
      </c>
      <c r="Q2840" s="521">
        <f>U2840="L001-901905215"</f>
        <v/>
      </c>
      <c r="R2840" s="556">
        <f>G2840-W2840</f>
        <v/>
      </c>
      <c r="S2840" s="523" t="n">
        <v>44418</v>
      </c>
      <c r="T2840" s="522" t="inlineStr">
        <is>
          <t>IKPSA2021524238</t>
        </is>
      </c>
      <c r="U2840" s="522" t="inlineStr">
        <is>
          <t>L001-901905215</t>
        </is>
      </c>
      <c r="V2840" s="522" t="inlineStr">
        <is>
          <t>វីអ៊ីស៊ិន (ខេមបូឌា) អ៊ិនដាសស្ទ្រី ឯ.ក</t>
        </is>
      </c>
      <c r="W2840" s="556" t="n">
        <v>293760</v>
      </c>
    </row>
    <row r="2841">
      <c r="A2841" s="521" t="n">
        <v>2833</v>
      </c>
      <c r="B2841" s="522" t="inlineStr">
        <is>
          <t>Trucking fee</t>
        </is>
      </c>
      <c r="C2841" s="522" t="inlineStr">
        <is>
          <t>អ៊ែរ៉ូ ស៊ីបភីង អេជេនស៊ី</t>
        </is>
      </c>
      <c r="D2841" s="522" t="inlineStr">
        <is>
          <t>K004-901635903</t>
        </is>
      </c>
      <c r="E2841" s="521" t="inlineStr">
        <is>
          <t>IKPSA2021524237</t>
        </is>
      </c>
      <c r="F2841" s="523" t="n">
        <v>44420</v>
      </c>
      <c r="G2841" s="556" t="n">
        <v>5560</v>
      </c>
      <c r="I2841" s="521">
        <f>G2841</f>
        <v/>
      </c>
      <c r="K2841" s="521">
        <f>I2841-G2841</f>
        <v/>
      </c>
      <c r="M2841" s="522" t="inlineStr">
        <is>
          <t>IKPSA2021524237</t>
        </is>
      </c>
      <c r="N2841" s="522" t="inlineStr">
        <is>
          <t>IKPSA2021524237</t>
        </is>
      </c>
      <c r="O2841" s="521">
        <f>M2841=N2841</f>
        <v/>
      </c>
      <c r="P2841" s="521">
        <f>AND(MONTH(F2841)=MONTH(S2841), YEAR(F2841)=YEAR(S2841))</f>
        <v/>
      </c>
      <c r="Q2841" s="521">
        <f>U2841="L001-901905215"</f>
        <v/>
      </c>
      <c r="R2841" s="556">
        <f>G2841-W2841</f>
        <v/>
      </c>
      <c r="S2841" s="523" t="n">
        <v>44418</v>
      </c>
      <c r="T2841" s="522" t="inlineStr">
        <is>
          <t>IKPSA2021524237</t>
        </is>
      </c>
      <c r="U2841" s="522" t="inlineStr">
        <is>
          <t>L001-901905215</t>
        </is>
      </c>
      <c r="V2841" s="522" t="inlineStr">
        <is>
          <t>វីអ៊ីស៊ិន (ខេមបូឌា) អ៊ិនដាសស្ទ្រី ឯ.ក</t>
        </is>
      </c>
      <c r="W2841" s="556" t="n">
        <v>5564</v>
      </c>
    </row>
    <row r="2842">
      <c r="A2842" s="521" t="n">
        <v>2834</v>
      </c>
      <c r="B2842" s="522" t="inlineStr">
        <is>
          <t>Lift on/ Lift off</t>
        </is>
      </c>
      <c r="C2842" s="522" t="inlineStr">
        <is>
          <t>កំពង់ផែស្វយ័តក្រុងព្រះសីហនុ</t>
        </is>
      </c>
      <c r="D2842" s="522" t="inlineStr">
        <is>
          <t>L001-100044638</t>
        </is>
      </c>
      <c r="E2842" s="521" t="inlineStr">
        <is>
          <t>134082</t>
        </is>
      </c>
      <c r="F2842" s="523" t="n">
        <v>44424</v>
      </c>
      <c r="G2842" s="556" t="n">
        <v>106436</v>
      </c>
      <c r="I2842" s="521">
        <f>G2842</f>
        <v/>
      </c>
      <c r="K2842" s="521">
        <f>I2842-G2842</f>
        <v/>
      </c>
      <c r="M2842" s="522" t="inlineStr">
        <is>
          <t>134082</t>
        </is>
      </c>
      <c r="N2842" s="522" t="inlineStr"/>
      <c r="O2842" s="521">
        <f>M2842=N2842</f>
        <v/>
      </c>
      <c r="P2842" s="521">
        <f>AND(MONTH(F2842)=MONTH(S2842), YEAR(F2842)=YEAR(S2842))</f>
        <v/>
      </c>
      <c r="Q2842" s="521">
        <f>U2842="L001-901905215"</f>
        <v/>
      </c>
      <c r="R2842" s="556">
        <f>G2842-W2842</f>
        <v/>
      </c>
      <c r="S2842" s="521" t="n"/>
      <c r="T2842" s="522" t="n"/>
      <c r="U2842" s="522" t="n"/>
      <c r="V2842" s="522" t="n"/>
      <c r="W2842" s="521" t="n"/>
    </row>
    <row r="2843">
      <c r="A2843" s="521" t="n">
        <v>2835</v>
      </c>
      <c r="B2843" s="522" t="inlineStr">
        <is>
          <t>THC and DOC fee</t>
        </is>
      </c>
      <c r="C2843" s="522" t="inlineStr">
        <is>
          <t>ស្ត្រេតស៍ អ៊ិនធើណេសិនណល ភីធីអ៊ី អិលធីឌី</t>
        </is>
      </c>
      <c r="D2843" s="522" t="inlineStr">
        <is>
          <t>L001-100045162</t>
        </is>
      </c>
      <c r="E2843" s="521" t="inlineStr">
        <is>
          <t>2114131</t>
        </is>
      </c>
      <c r="F2843" s="523" t="n">
        <v>44413</v>
      </c>
      <c r="G2843" s="556" t="n">
        <v>201762</v>
      </c>
      <c r="I2843" s="521">
        <f>G2843</f>
        <v/>
      </c>
      <c r="K2843" s="521">
        <f>I2843-G2843</f>
        <v/>
      </c>
      <c r="M2843" s="522" t="inlineStr">
        <is>
          <t>2114131</t>
        </is>
      </c>
      <c r="N2843" s="522" t="inlineStr">
        <is>
          <t>2114131</t>
        </is>
      </c>
      <c r="O2843" s="521">
        <f>M2843=N2843</f>
        <v/>
      </c>
      <c r="P2843" s="521">
        <f>AND(MONTH(F2843)=MONTH(S2843), YEAR(F2843)=YEAR(S2843))</f>
        <v/>
      </c>
      <c r="Q2843" s="521">
        <f>U2843="L001-901905215"</f>
        <v/>
      </c>
      <c r="R2843" s="556">
        <f>G2843-W2843</f>
        <v/>
      </c>
      <c r="S2843" s="523" t="n">
        <v>44413</v>
      </c>
      <c r="T2843" s="522" t="inlineStr">
        <is>
          <t>2114131</t>
        </is>
      </c>
      <c r="U2843" s="522" t="inlineStr">
        <is>
          <t>L001-901905215</t>
        </is>
      </c>
      <c r="V2843" s="522" t="inlineStr">
        <is>
          <t>វីអ៊ីស៊ិន (ខេមបូឌា) អ៊ិនដាសស្ទ្រី ឯ.ក</t>
        </is>
      </c>
      <c r="W2843" s="556" t="n">
        <v>201762</v>
      </c>
    </row>
    <row r="2844">
      <c r="A2844" s="521" t="n">
        <v>2836</v>
      </c>
      <c r="B2844" s="522" t="inlineStr">
        <is>
          <t>Lift on/ Lift off</t>
        </is>
      </c>
      <c r="C2844" s="522" t="inlineStr">
        <is>
          <t>កំពង់ផែស្វយ័តក្រុងព្រះសីហនុ</t>
        </is>
      </c>
      <c r="D2844" s="522" t="inlineStr">
        <is>
          <t>L001-100044638</t>
        </is>
      </c>
      <c r="E2844" s="521" t="inlineStr">
        <is>
          <t>140960</t>
        </is>
      </c>
      <c r="F2844" s="523" t="n">
        <v>44434</v>
      </c>
      <c r="G2844" s="556" t="n">
        <v>139468</v>
      </c>
      <c r="I2844" s="521">
        <f>G2844</f>
        <v/>
      </c>
      <c r="K2844" s="521">
        <f>I2844-G2844</f>
        <v/>
      </c>
      <c r="M2844" s="522" t="inlineStr">
        <is>
          <t>140960</t>
        </is>
      </c>
      <c r="N2844" s="522" t="inlineStr"/>
      <c r="O2844" s="521">
        <f>M2844=N2844</f>
        <v/>
      </c>
      <c r="P2844" s="521">
        <f>AND(MONTH(F2844)=MONTH(S2844), YEAR(F2844)=YEAR(S2844))</f>
        <v/>
      </c>
      <c r="Q2844" s="521">
        <f>U2844="L001-901905215"</f>
        <v/>
      </c>
      <c r="R2844" s="556">
        <f>G2844-W2844</f>
        <v/>
      </c>
      <c r="S2844" s="521" t="n"/>
      <c r="T2844" s="522" t="n"/>
      <c r="U2844" s="522" t="n"/>
      <c r="V2844" s="522" t="n"/>
      <c r="W2844" s="521" t="n"/>
    </row>
    <row r="2845">
      <c r="A2845" s="521" t="n">
        <v>2837</v>
      </c>
      <c r="B2845" s="522" t="inlineStr">
        <is>
          <t>Lift on/ Lift off</t>
        </is>
      </c>
      <c r="C2845" s="522" t="inlineStr">
        <is>
          <t>កំពង់ផែស្វយ័តភ្នំពេញ "ក.ស.ភ"</t>
        </is>
      </c>
      <c r="D2845" s="522" t="inlineStr">
        <is>
          <t>L001-100044999</t>
        </is>
      </c>
      <c r="E2845" s="521" t="inlineStr">
        <is>
          <t>INV20210847129</t>
        </is>
      </c>
      <c r="F2845" s="523" t="n">
        <v>44427</v>
      </c>
      <c r="G2845" s="556" t="n">
        <v>19584</v>
      </c>
      <c r="I2845" s="521">
        <f>G2845</f>
        <v/>
      </c>
      <c r="K2845" s="521">
        <f>I2845-G2845</f>
        <v/>
      </c>
      <c r="M2845" s="522" t="inlineStr">
        <is>
          <t>INV20210847129</t>
        </is>
      </c>
      <c r="N2845" s="522" t="inlineStr"/>
      <c r="O2845" s="521">
        <f>M2845=N2845</f>
        <v/>
      </c>
      <c r="P2845" s="521">
        <f>AND(MONTH(F2845)=MONTH(S2845), YEAR(F2845)=YEAR(S2845))</f>
        <v/>
      </c>
      <c r="Q2845" s="521">
        <f>U2845="L001-901905215"</f>
        <v/>
      </c>
      <c r="R2845" s="556">
        <f>G2845-W2845</f>
        <v/>
      </c>
      <c r="S2845" s="521" t="n"/>
      <c r="T2845" s="522" t="n"/>
      <c r="U2845" s="522" t="n"/>
      <c r="V2845" s="522" t="n"/>
      <c r="W2845" s="521" t="n"/>
    </row>
    <row r="2846">
      <c r="A2846" s="521" t="n">
        <v>2838</v>
      </c>
      <c r="B2846" s="522" t="inlineStr">
        <is>
          <t>Lift on/ Lift off</t>
        </is>
      </c>
      <c r="C2846" s="522" t="inlineStr">
        <is>
          <t>កំពង់ផែស្វយ័តភ្នំពេញ "ក.ស.ភ"</t>
        </is>
      </c>
      <c r="D2846" s="522" t="inlineStr">
        <is>
          <t>L001-100044999</t>
        </is>
      </c>
      <c r="E2846" s="521" t="inlineStr">
        <is>
          <t>INV20210847130</t>
        </is>
      </c>
      <c r="F2846" s="523" t="n">
        <v>44427</v>
      </c>
      <c r="G2846" s="556" t="n">
        <v>58752</v>
      </c>
      <c r="I2846" s="521">
        <f>G2846</f>
        <v/>
      </c>
      <c r="K2846" s="521">
        <f>I2846-G2846</f>
        <v/>
      </c>
      <c r="M2846" s="522" t="inlineStr">
        <is>
          <t>INV20210847130</t>
        </is>
      </c>
      <c r="N2846" s="522" t="inlineStr"/>
      <c r="O2846" s="521">
        <f>M2846=N2846</f>
        <v/>
      </c>
      <c r="P2846" s="521">
        <f>AND(MONTH(F2846)=MONTH(S2846), YEAR(F2846)=YEAR(S2846))</f>
        <v/>
      </c>
      <c r="Q2846" s="521">
        <f>U2846="L001-901905215"</f>
        <v/>
      </c>
      <c r="R2846" s="556">
        <f>G2846-W2846</f>
        <v/>
      </c>
      <c r="S2846" s="521" t="n"/>
      <c r="T2846" s="522" t="n"/>
      <c r="U2846" s="522" t="n"/>
      <c r="V2846" s="522" t="n"/>
      <c r="W2846" s="521" t="n"/>
    </row>
    <row r="2847">
      <c r="A2847" s="521" t="n">
        <v>2839</v>
      </c>
      <c r="B2847" s="522" t="inlineStr">
        <is>
          <t>Lift on/ Lift off</t>
        </is>
      </c>
      <c r="C2847" s="522" t="inlineStr">
        <is>
          <t>កំពង់ផែស្វយ័តភ្នំពេញ "ក.ស.ភ"</t>
        </is>
      </c>
      <c r="D2847" s="522" t="inlineStr">
        <is>
          <t>L001-100044999</t>
        </is>
      </c>
      <c r="E2847" s="521" t="inlineStr">
        <is>
          <t>INV20210848531</t>
        </is>
      </c>
      <c r="F2847" s="523" t="n">
        <v>44432</v>
      </c>
      <c r="G2847" s="556" t="n">
        <v>1224</v>
      </c>
      <c r="I2847" s="521">
        <f>G2847</f>
        <v/>
      </c>
      <c r="K2847" s="521">
        <f>I2847-G2847</f>
        <v/>
      </c>
      <c r="M2847" s="522" t="inlineStr">
        <is>
          <t>INV20210848531</t>
        </is>
      </c>
      <c r="N2847" s="522" t="inlineStr"/>
      <c r="O2847" s="521">
        <f>M2847=N2847</f>
        <v/>
      </c>
      <c r="P2847" s="521">
        <f>AND(MONTH(F2847)=MONTH(S2847), YEAR(F2847)=YEAR(S2847))</f>
        <v/>
      </c>
      <c r="Q2847" s="521">
        <f>U2847="L001-901905215"</f>
        <v/>
      </c>
      <c r="R2847" s="556">
        <f>G2847-W2847</f>
        <v/>
      </c>
      <c r="S2847" s="521" t="n"/>
      <c r="T2847" s="522" t="n"/>
      <c r="U2847" s="522" t="n"/>
      <c r="V2847" s="522" t="n"/>
      <c r="W2847" s="521" t="n"/>
    </row>
    <row r="2848">
      <c r="A2848" s="521" t="n">
        <v>2840</v>
      </c>
      <c r="B2848" s="522" t="inlineStr">
        <is>
          <t>Lift on/ Lift off</t>
        </is>
      </c>
      <c r="C2848" s="522" t="inlineStr">
        <is>
          <t>កំពង់ផែស្វយ័តភ្នំពេញ "ក.ស.ភ"</t>
        </is>
      </c>
      <c r="D2848" s="522" t="inlineStr">
        <is>
          <t>L001-100044999</t>
        </is>
      </c>
      <c r="E2848" s="521" t="inlineStr">
        <is>
          <t>INV20210845698</t>
        </is>
      </c>
      <c r="F2848" s="523" t="n">
        <v>44422</v>
      </c>
      <c r="G2848" s="556" t="n">
        <v>19579</v>
      </c>
      <c r="I2848" s="521">
        <f>G2848</f>
        <v/>
      </c>
      <c r="K2848" s="521">
        <f>I2848-G2848</f>
        <v/>
      </c>
      <c r="M2848" s="522" t="inlineStr">
        <is>
          <t>INV20210845698</t>
        </is>
      </c>
      <c r="N2848" s="522" t="inlineStr"/>
      <c r="O2848" s="521">
        <f>M2848=N2848</f>
        <v/>
      </c>
      <c r="P2848" s="521">
        <f>AND(MONTH(F2848)=MONTH(S2848), YEAR(F2848)=YEAR(S2848))</f>
        <v/>
      </c>
      <c r="Q2848" s="521">
        <f>U2848="L001-901905215"</f>
        <v/>
      </c>
      <c r="R2848" s="556">
        <f>G2848-W2848</f>
        <v/>
      </c>
      <c r="S2848" s="521" t="n"/>
      <c r="T2848" s="522" t="n"/>
      <c r="U2848" s="522" t="n"/>
      <c r="V2848" s="522" t="n"/>
      <c r="W2848" s="521" t="n"/>
    </row>
    <row r="2849">
      <c r="A2849" s="521" t="n">
        <v>2841</v>
      </c>
      <c r="B2849" s="522" t="inlineStr">
        <is>
          <t>Lift on/ Lift off</t>
        </is>
      </c>
      <c r="C2849" s="522" t="inlineStr">
        <is>
          <t>កំពង់ផែស្វយ័តក្រុងព្រះសីហនុ</t>
        </is>
      </c>
      <c r="D2849" s="522" t="inlineStr">
        <is>
          <t>L001-100044638</t>
        </is>
      </c>
      <c r="E2849" s="521" t="inlineStr">
        <is>
          <t>132293</t>
        </is>
      </c>
      <c r="F2849" s="523" t="n">
        <v>44420</v>
      </c>
      <c r="G2849" s="556" t="n">
        <v>15496</v>
      </c>
      <c r="I2849" s="521">
        <f>G2849</f>
        <v/>
      </c>
      <c r="K2849" s="521">
        <f>I2849-G2849</f>
        <v/>
      </c>
      <c r="M2849" s="522" t="inlineStr">
        <is>
          <t>132293</t>
        </is>
      </c>
      <c r="N2849" s="522" t="inlineStr"/>
      <c r="O2849" s="521">
        <f>M2849=N2849</f>
        <v/>
      </c>
      <c r="P2849" s="521">
        <f>AND(MONTH(F2849)=MONTH(S2849), YEAR(F2849)=YEAR(S2849))</f>
        <v/>
      </c>
      <c r="Q2849" s="521">
        <f>U2849="L001-901905215"</f>
        <v/>
      </c>
      <c r="R2849" s="556">
        <f>G2849-W2849</f>
        <v/>
      </c>
      <c r="S2849" s="521" t="n"/>
      <c r="T2849" s="522" t="n"/>
      <c r="U2849" s="522" t="n"/>
      <c r="V2849" s="522" t="n"/>
      <c r="W2849" s="521" t="n"/>
    </row>
    <row r="2850">
      <c r="A2850" s="521" t="n">
        <v>2842</v>
      </c>
      <c r="B2850" s="522" t="inlineStr">
        <is>
          <t>G40 PET Blister Cover</t>
        </is>
      </c>
      <c r="C2850" s="522" t="inlineStr">
        <is>
          <t>ខេមបូឌាន វ៉ាយភីស៊ី ត្រេឌីង ឯ.ក</t>
        </is>
      </c>
      <c r="D2850" s="522" t="inlineStr">
        <is>
          <t>B108-901904896</t>
        </is>
      </c>
      <c r="E2850" s="521" t="inlineStr">
        <is>
          <t>YPC2021/08-0011</t>
        </is>
      </c>
      <c r="F2850" s="523" t="n">
        <v>44438</v>
      </c>
      <c r="G2850" s="556" t="n">
        <v>5302700</v>
      </c>
      <c r="I2850" s="521">
        <f>G2850</f>
        <v/>
      </c>
      <c r="K2850" s="521">
        <f>I2850-G2850</f>
        <v/>
      </c>
      <c r="M2850" s="522" t="inlineStr">
        <is>
          <t>YPC2021080011</t>
        </is>
      </c>
      <c r="N2850" s="522" t="inlineStr"/>
      <c r="O2850" s="521">
        <f>M2850=N2850</f>
        <v/>
      </c>
      <c r="P2850" s="521">
        <f>AND(MONTH(F2850)=MONTH(S2850), YEAR(F2850)=YEAR(S2850))</f>
        <v/>
      </c>
      <c r="Q2850" s="521">
        <f>U2850="L001-901905215"</f>
        <v/>
      </c>
      <c r="R2850" s="556">
        <f>G2850-W2850</f>
        <v/>
      </c>
      <c r="S2850" s="521" t="n"/>
      <c r="T2850" s="522" t="n"/>
      <c r="U2850" s="522" t="n"/>
      <c r="V2850" s="522" t="n"/>
      <c r="W2850" s="521" t="n"/>
    </row>
    <row r="2851">
      <c r="A2851" s="521" t="n">
        <v>2843</v>
      </c>
      <c r="B2851" s="522" t="inlineStr">
        <is>
          <t>ក្រដាសកាតុងធ្វើកេស</t>
        </is>
      </c>
      <c r="C2851" s="522" t="inlineStr">
        <is>
          <t>យី មីង ភែកឃីជីង ឯ.ក</t>
        </is>
      </c>
      <c r="D2851" s="522" t="inlineStr">
        <is>
          <t>B108-902101335</t>
        </is>
      </c>
      <c r="E2851" s="521" t="inlineStr">
        <is>
          <t>YM-0002</t>
        </is>
      </c>
      <c r="F2851" s="523" t="n">
        <v>44439</v>
      </c>
      <c r="G2851" s="556" t="n">
        <v>5531723</v>
      </c>
      <c r="I2851" s="521">
        <f>G2851</f>
        <v/>
      </c>
      <c r="K2851" s="521">
        <f>I2851-G2851</f>
        <v/>
      </c>
      <c r="M2851" s="522" t="inlineStr">
        <is>
          <t>YM0002</t>
        </is>
      </c>
      <c r="N2851" s="522" t="inlineStr">
        <is>
          <t>YM0002</t>
        </is>
      </c>
      <c r="O2851" s="521">
        <f>M2851=N2851</f>
        <v/>
      </c>
      <c r="P2851" s="521">
        <f>AND(MONTH(F2851)=MONTH(S2851), YEAR(F2851)=YEAR(S2851))</f>
        <v/>
      </c>
      <c r="Q2851" s="521">
        <f>U2851="L001-901905215"</f>
        <v/>
      </c>
      <c r="R2851" s="556">
        <f>G2851-W2851</f>
        <v/>
      </c>
      <c r="S2851" s="523" t="n">
        <v>44439</v>
      </c>
      <c r="T2851" s="522" t="inlineStr">
        <is>
          <t>YM-0002</t>
        </is>
      </c>
      <c r="U2851" s="522" t="inlineStr">
        <is>
          <t>L001-901905215</t>
        </is>
      </c>
      <c r="V2851" s="522" t="inlineStr">
        <is>
          <t>វីអ៊ីស៊ិន (ខេមបូឌា) អ៊ិនដាសស្ទ្រី ឯ.ក</t>
        </is>
      </c>
      <c r="W2851" s="556" t="n">
        <v>5531723</v>
      </c>
    </row>
    <row r="2852">
      <c r="A2852" s="521" t="n">
        <v>2844</v>
      </c>
      <c r="B2852" s="522" t="inlineStr">
        <is>
          <t>Paper label</t>
        </is>
      </c>
      <c r="C2852" s="522" t="inlineStr">
        <is>
          <t>ស៊ីន ហ្វី យ៉ាង ព្រីនធីង &amp; អិកសេសសឺរី ឯ.ក</t>
        </is>
      </c>
      <c r="D2852" s="522" t="inlineStr">
        <is>
          <t>K010-901906822</t>
        </is>
      </c>
      <c r="E2852" s="521" t="inlineStr">
        <is>
          <t>XFY-YD2021123</t>
        </is>
      </c>
      <c r="F2852" s="523" t="n">
        <v>44439</v>
      </c>
      <c r="G2852" s="556" t="n">
        <v>3472035</v>
      </c>
      <c r="I2852" s="521">
        <f>G2852</f>
        <v/>
      </c>
      <c r="K2852" s="521">
        <f>I2852-G2852</f>
        <v/>
      </c>
      <c r="M2852" s="522" t="inlineStr">
        <is>
          <t>XFYYD2021123</t>
        </is>
      </c>
      <c r="N2852" s="522" t="inlineStr"/>
      <c r="O2852" s="521">
        <f>M2852=N2852</f>
        <v/>
      </c>
      <c r="P2852" s="521">
        <f>AND(MONTH(F2852)=MONTH(S2852), YEAR(F2852)=YEAR(S2852))</f>
        <v/>
      </c>
      <c r="Q2852" s="521">
        <f>U2852="L001-901905215"</f>
        <v/>
      </c>
      <c r="R2852" s="556">
        <f>G2852-W2852</f>
        <v/>
      </c>
      <c r="S2852" s="521" t="n"/>
      <c r="T2852" s="522" t="n"/>
      <c r="U2852" s="522" t="n"/>
      <c r="V2852" s="522" t="n"/>
      <c r="W2852" s="521" t="n"/>
    </row>
    <row r="2853">
      <c r="A2853" s="521" t="n">
        <v>2845</v>
      </c>
      <c r="B2853" s="522" t="inlineStr">
        <is>
          <t>ស្គុតថ្លា</t>
        </is>
      </c>
      <c r="C2853" s="522" t="inlineStr">
        <is>
          <t>ស៊ីន ឌីងយ័ន ស៊ូ មេធៀរៀល ឯ.ក</t>
        </is>
      </c>
      <c r="D2853" s="522" t="inlineStr">
        <is>
          <t>K010-902100418</t>
        </is>
      </c>
      <c r="E2853" s="521" t="inlineStr">
        <is>
          <t>0000055</t>
        </is>
      </c>
      <c r="F2853" s="523" t="n">
        <v>44417</v>
      </c>
      <c r="G2853" s="556" t="n">
        <v>1060020</v>
      </c>
      <c r="I2853" s="521">
        <f>G2853</f>
        <v/>
      </c>
      <c r="K2853" s="521">
        <f>I2853-G2853</f>
        <v/>
      </c>
      <c r="M2853" s="522" t="inlineStr">
        <is>
          <t>0000055</t>
        </is>
      </c>
      <c r="N2853" s="522" t="inlineStr">
        <is>
          <t>0000055</t>
        </is>
      </c>
      <c r="O2853" s="521">
        <f>M2853=N2853</f>
        <v/>
      </c>
      <c r="P2853" s="521">
        <f>AND(MONTH(F2853)=MONTH(S2853), YEAR(F2853)=YEAR(S2853))</f>
        <v/>
      </c>
      <c r="Q2853" s="521">
        <f>U2853="L001-901905215"</f>
        <v/>
      </c>
      <c r="R2853" s="556">
        <f>G2853-W2853</f>
        <v/>
      </c>
      <c r="S2853" s="523" t="n">
        <v>44417</v>
      </c>
      <c r="T2853" s="522" t="inlineStr">
        <is>
          <t>0000055</t>
        </is>
      </c>
      <c r="U2853" s="522" t="inlineStr">
        <is>
          <t>L001-901905215</t>
        </is>
      </c>
      <c r="V2853" s="522" t="inlineStr">
        <is>
          <t>វីអ៊ីស៊ិន (ខេមបូឌា) អ៊ិនដាសស្ទ្រី ឯ.ក</t>
        </is>
      </c>
      <c r="W2853" s="556" t="n">
        <v>1060020</v>
      </c>
    </row>
    <row r="2854">
      <c r="A2854" s="521" t="n">
        <v>2846</v>
      </c>
      <c r="B2854" s="522" t="inlineStr">
        <is>
          <t>18 FT rope light</t>
        </is>
      </c>
      <c r="C2854" s="522" t="inlineStr">
        <is>
          <t>ម៉ីង យ៉ុង ហ៊ុង អេនធើប្រាយ (ខេមបូឌា) ឯ.ក</t>
        </is>
      </c>
      <c r="D2854" s="522" t="inlineStr">
        <is>
          <t>L001-902005871</t>
        </is>
      </c>
      <c r="E2854" s="521" t="inlineStr">
        <is>
          <t>MYH00001</t>
        </is>
      </c>
      <c r="F2854" s="523" t="n">
        <v>44439</v>
      </c>
      <c r="G2854" s="556" t="n">
        <v>86472377</v>
      </c>
      <c r="I2854" s="521">
        <f>G2854</f>
        <v/>
      </c>
      <c r="K2854" s="521">
        <f>I2854-G2854</f>
        <v/>
      </c>
      <c r="M2854" s="522" t="inlineStr">
        <is>
          <t>MYH00001</t>
        </is>
      </c>
      <c r="N2854" s="522" t="inlineStr">
        <is>
          <t>MYH00001</t>
        </is>
      </c>
      <c r="O2854" s="521">
        <f>M2854=N2854</f>
        <v/>
      </c>
      <c r="P2854" s="521">
        <f>AND(MONTH(F2854)=MONTH(S2854), YEAR(F2854)=YEAR(S2854))</f>
        <v/>
      </c>
      <c r="Q2854" s="521">
        <f>U2854="L001-901905215"</f>
        <v/>
      </c>
      <c r="R2854" s="556">
        <f>G2854-W2854</f>
        <v/>
      </c>
      <c r="S2854" s="523" t="n">
        <v>44439</v>
      </c>
      <c r="T2854" s="522" t="inlineStr">
        <is>
          <t>MYH00001</t>
        </is>
      </c>
      <c r="U2854" s="522" t="inlineStr">
        <is>
          <t>L001-901905215</t>
        </is>
      </c>
      <c r="V2854" s="522" t="inlineStr">
        <is>
          <t>វីអ៊ីស៊ិន (ខេមបូឌា) អ៊ិនដាសស្ទ្រី ឯ.ក</t>
        </is>
      </c>
      <c r="W2854" s="556" t="n">
        <v>86472377</v>
      </c>
    </row>
    <row r="2855">
      <c r="A2855" s="521" t="n">
        <v>2847</v>
      </c>
      <c r="B2855" s="522" t="inlineStr">
        <is>
          <t>Color box ,paper card,PDQ</t>
        </is>
      </c>
      <c r="C2855" s="522" t="inlineStr">
        <is>
          <t>ហឺ ចេង ស៊ីង ភែកឃីជីង (ខេមបូឌា) ឯ.ក</t>
        </is>
      </c>
      <c r="D2855" s="522" t="inlineStr">
        <is>
          <t>L001-902004143</t>
        </is>
      </c>
      <c r="E2855" s="521" t="inlineStr">
        <is>
          <t>000286</t>
        </is>
      </c>
      <c r="F2855" s="523" t="n">
        <v>44439</v>
      </c>
      <c r="G2855" s="556" t="n">
        <v>34693030</v>
      </c>
      <c r="I2855" s="521">
        <f>G2855</f>
        <v/>
      </c>
      <c r="K2855" s="521">
        <f>I2855-G2855</f>
        <v/>
      </c>
      <c r="M2855" s="522" t="inlineStr">
        <is>
          <t>000286</t>
        </is>
      </c>
      <c r="N2855" s="522" t="inlineStr"/>
      <c r="O2855" s="521">
        <f>M2855=N2855</f>
        <v/>
      </c>
      <c r="P2855" s="521">
        <f>AND(MONTH(F2855)=MONTH(S2855), YEAR(F2855)=YEAR(S2855))</f>
        <v/>
      </c>
      <c r="Q2855" s="521">
        <f>U2855="L001-901905215"</f>
        <v/>
      </c>
      <c r="R2855" s="556">
        <f>G2855-W2855</f>
        <v/>
      </c>
      <c r="S2855" s="521" t="n"/>
      <c r="T2855" s="522" t="n"/>
      <c r="U2855" s="522" t="n"/>
      <c r="V2855" s="522" t="n"/>
      <c r="W2855" s="521" t="n"/>
    </row>
    <row r="2856">
      <c r="A2856" s="521" t="n">
        <v>2848</v>
      </c>
      <c r="B2856" s="522" t="inlineStr">
        <is>
          <t>ផ្លាកក្រដាសនិងក្រដាស</t>
        </is>
      </c>
      <c r="C2856" s="522" t="inlineStr">
        <is>
          <t>វីអ៊ីស៊ិន (ខេមបូឌា) អ៊ិនដាសស្ទ្រី ឯ.ក</t>
        </is>
      </c>
      <c r="D2856" s="522" t="inlineStr">
        <is>
          <t>L001-901905215</t>
        </is>
      </c>
      <c r="E2856" s="521" t="inlineStr">
        <is>
          <t>000395</t>
        </is>
      </c>
      <c r="F2856" s="523" t="n">
        <v>44435</v>
      </c>
      <c r="G2856" s="556" t="n">
        <v>27946</v>
      </c>
      <c r="I2856" s="521">
        <f>G2856</f>
        <v/>
      </c>
      <c r="K2856" s="521">
        <f>I2856-G2856</f>
        <v/>
      </c>
      <c r="M2856" s="522" t="inlineStr">
        <is>
          <t>000395</t>
        </is>
      </c>
      <c r="N2856" s="522" t="inlineStr"/>
      <c r="O2856" s="521">
        <f>M2856=N2856</f>
        <v/>
      </c>
      <c r="P2856" s="521">
        <f>AND(MONTH(F2856)=MONTH(S2856), YEAR(F2856)=YEAR(S2856))</f>
        <v/>
      </c>
      <c r="Q2856" s="521">
        <f>U2856="L001-901905215"</f>
        <v/>
      </c>
      <c r="R2856" s="556">
        <f>G2856-W2856</f>
        <v/>
      </c>
      <c r="S2856" s="521" t="n"/>
      <c r="T2856" s="522" t="n"/>
      <c r="U2856" s="522" t="n"/>
      <c r="V2856" s="522" t="n"/>
      <c r="W2856" s="521" t="n"/>
    </row>
    <row r="2857">
      <c r="A2857" s="521" t="n">
        <v>2849</v>
      </c>
      <c r="B2857" s="522" t="inlineStr">
        <is>
          <t>General pest control service for Aug 2021</t>
        </is>
      </c>
      <c r="C2857" s="522" t="inlineStr">
        <is>
          <t>ភីស៊ីអាយ សឺវីស</t>
        </is>
      </c>
      <c r="D2857" s="522" t="inlineStr">
        <is>
          <t>K010-901639639</t>
        </is>
      </c>
      <c r="E2857" s="521" t="inlineStr">
        <is>
          <t>2021-0159</t>
        </is>
      </c>
      <c r="F2857" s="523" t="n">
        <v>44409</v>
      </c>
      <c r="G2857" s="556" t="n">
        <v>80960</v>
      </c>
      <c r="I2857" s="521">
        <f>G2857</f>
        <v/>
      </c>
      <c r="K2857" s="521">
        <f>I2857-G2857</f>
        <v/>
      </c>
      <c r="M2857" s="522" t="inlineStr">
        <is>
          <t>20210159</t>
        </is>
      </c>
      <c r="N2857" s="522" t="inlineStr"/>
      <c r="O2857" s="521">
        <f>M2857=N2857</f>
        <v/>
      </c>
      <c r="P2857" s="521">
        <f>AND(MONTH(F2857)=MONTH(S2857), YEAR(F2857)=YEAR(S2857))</f>
        <v/>
      </c>
      <c r="Q2857" s="521">
        <f>U2857="L001-901905215"</f>
        <v/>
      </c>
      <c r="R2857" s="556">
        <f>G2857-W2857</f>
        <v/>
      </c>
      <c r="S2857" s="521" t="n"/>
      <c r="T2857" s="522" t="n"/>
      <c r="U2857" s="522" t="n"/>
      <c r="V2857" s="522" t="n"/>
      <c r="W2857" s="521" t="n"/>
    </row>
    <row r="2858">
      <c r="A2858" s="521" t="n">
        <v>2850</v>
      </c>
      <c r="B2858" s="522" t="inlineStr">
        <is>
          <t>Security guard fee for Aug 2021</t>
        </is>
      </c>
      <c r="C2858" s="522" t="inlineStr">
        <is>
          <t>សហ័ស សិឃ្យូរិធី ឯ.ក</t>
        </is>
      </c>
      <c r="D2858" s="522" t="inlineStr">
        <is>
          <t>K010-107032600</t>
        </is>
      </c>
      <c r="E2858" s="521" t="inlineStr">
        <is>
          <t>SHT210362</t>
        </is>
      </c>
      <c r="F2858" s="523" t="n">
        <v>44431</v>
      </c>
      <c r="G2858" s="556" t="n">
        <v>228480</v>
      </c>
      <c r="I2858" s="521">
        <f>G2858</f>
        <v/>
      </c>
      <c r="K2858" s="521">
        <f>I2858-G2858</f>
        <v/>
      </c>
      <c r="M2858" s="522" t="inlineStr">
        <is>
          <t>SHT210362</t>
        </is>
      </c>
      <c r="N2858" s="522" t="inlineStr"/>
      <c r="O2858" s="521">
        <f>M2858=N2858</f>
        <v/>
      </c>
      <c r="P2858" s="521">
        <f>AND(MONTH(F2858)=MONTH(S2858), YEAR(F2858)=YEAR(S2858))</f>
        <v/>
      </c>
      <c r="Q2858" s="521">
        <f>U2858="L001-901905215"</f>
        <v/>
      </c>
      <c r="R2858" s="556">
        <f>G2858-W2858</f>
        <v/>
      </c>
      <c r="S2858" s="521" t="n"/>
      <c r="T2858" s="522" t="n"/>
      <c r="U2858" s="522" t="n"/>
      <c r="V2858" s="522" t="n"/>
      <c r="W2858" s="521" t="n"/>
    </row>
    <row r="2859">
      <c r="A2859" s="521" t="n">
        <v>2851</v>
      </c>
      <c r="B2859" s="522" t="inlineStr">
        <is>
          <t>Waste collection service for Aug 2021</t>
        </is>
      </c>
      <c r="C2859" s="522" t="inlineStr">
        <is>
          <t>ហ្គោមី រីសាយឃល110</t>
        </is>
      </c>
      <c r="D2859" s="522" t="inlineStr">
        <is>
          <t>K010-901503890</t>
        </is>
      </c>
      <c r="E2859" s="521" t="inlineStr">
        <is>
          <t>GR-TIN21/08-004</t>
        </is>
      </c>
      <c r="F2859" s="523" t="n">
        <v>44434</v>
      </c>
      <c r="G2859" s="556" t="n">
        <v>16312</v>
      </c>
      <c r="I2859" s="521">
        <f>G2859</f>
        <v/>
      </c>
      <c r="K2859" s="521">
        <f>I2859-G2859</f>
        <v/>
      </c>
      <c r="M2859" s="522" t="inlineStr">
        <is>
          <t>GRTIN2108004</t>
        </is>
      </c>
      <c r="N2859" s="522" t="inlineStr">
        <is>
          <t>GRTIN2108004</t>
        </is>
      </c>
      <c r="O2859" s="521">
        <f>M2859=N2859</f>
        <v/>
      </c>
      <c r="P2859" s="521">
        <f>AND(MONTH(F2859)=MONTH(S2859), YEAR(F2859)=YEAR(S2859))</f>
        <v/>
      </c>
      <c r="Q2859" s="521">
        <f>U2859="L001-901905215"</f>
        <v/>
      </c>
      <c r="R2859" s="556">
        <f>G2859-W2859</f>
        <v/>
      </c>
      <c r="S2859" s="523" t="n">
        <v>44434</v>
      </c>
      <c r="T2859" s="522" t="inlineStr">
        <is>
          <t>GR-TIN21/08-004</t>
        </is>
      </c>
      <c r="U2859" s="522" t="inlineStr">
        <is>
          <t>L001-901905215</t>
        </is>
      </c>
      <c r="V2859" s="522" t="inlineStr">
        <is>
          <t>វីអ៊ីស៊ិន (ខេមបូឌា) អ៊ិនដាសស្ទ្រី ឯ.ក</t>
        </is>
      </c>
      <c r="W2859" s="556" t="n">
        <v>16312</v>
      </c>
    </row>
    <row r="2860">
      <c r="A2860" s="521" t="n">
        <v>2852</v>
      </c>
      <c r="B2860" s="522" t="inlineStr">
        <is>
          <t>Rental machine canon IR-2525</t>
        </is>
      </c>
      <c r="C2860" s="522" t="inlineStr">
        <is>
          <t xml:space="preserve">អិនធីអិល តិចណូឡូជី </t>
        </is>
      </c>
      <c r="D2860" s="522" t="inlineStr">
        <is>
          <t>K005-901900283</t>
        </is>
      </c>
      <c r="E2860" s="521" t="inlineStr">
        <is>
          <t>21-001946</t>
        </is>
      </c>
      <c r="F2860" s="523" t="n">
        <v>44426</v>
      </c>
      <c r="G2860" s="556" t="n">
        <v>26462</v>
      </c>
      <c r="I2860" s="521">
        <f>G2860</f>
        <v/>
      </c>
      <c r="K2860" s="521">
        <f>I2860-G2860</f>
        <v/>
      </c>
      <c r="M2860" s="522" t="inlineStr">
        <is>
          <t>21001946</t>
        </is>
      </c>
      <c r="N2860" s="522" t="inlineStr">
        <is>
          <t>21001946</t>
        </is>
      </c>
      <c r="O2860" s="521">
        <f>M2860=N2860</f>
        <v/>
      </c>
      <c r="P2860" s="521">
        <f>AND(MONTH(F2860)=MONTH(S2860), YEAR(F2860)=YEAR(S2860))</f>
        <v/>
      </c>
      <c r="Q2860" s="521">
        <f>U2860="L001-901905215"</f>
        <v/>
      </c>
      <c r="R2860" s="556">
        <f>G2860-W2860</f>
        <v/>
      </c>
      <c r="S2860" s="523" t="n">
        <v>44426</v>
      </c>
      <c r="T2860" s="522" t="inlineStr">
        <is>
          <t>21-001946</t>
        </is>
      </c>
      <c r="U2860" s="522" t="inlineStr">
        <is>
          <t>L001-901905215</t>
        </is>
      </c>
      <c r="V2860" s="522" t="inlineStr">
        <is>
          <t>វីអ៊ីស៊ិន (ខេមបូឌា) អ៊ិនដាសស្ទ្រី ឯ.ក</t>
        </is>
      </c>
      <c r="W2860" s="556" t="n">
        <v>26462</v>
      </c>
    </row>
    <row r="2861">
      <c r="A2861" s="521" t="n">
        <v>2853</v>
      </c>
      <c r="B2861" s="522" t="inlineStr">
        <is>
          <t>Rental machine canon IR-2525</t>
        </is>
      </c>
      <c r="C2861" s="522" t="inlineStr">
        <is>
          <t xml:space="preserve">អិនធីអិល តិចណូឡូជី </t>
        </is>
      </c>
      <c r="D2861" s="522" t="inlineStr">
        <is>
          <t>K005-901900283</t>
        </is>
      </c>
      <c r="E2861" s="521" t="inlineStr">
        <is>
          <t>21-001611</t>
        </is>
      </c>
      <c r="F2861" s="523" t="n">
        <v>44409</v>
      </c>
      <c r="G2861" s="556" t="n">
        <v>33165</v>
      </c>
      <c r="I2861" s="521">
        <f>G2861</f>
        <v/>
      </c>
      <c r="K2861" s="521">
        <f>I2861-G2861</f>
        <v/>
      </c>
      <c r="M2861" s="522" t="inlineStr">
        <is>
          <t>21001611</t>
        </is>
      </c>
      <c r="N2861" s="522" t="inlineStr"/>
      <c r="O2861" s="521">
        <f>M2861=N2861</f>
        <v/>
      </c>
      <c r="P2861" s="521">
        <f>AND(MONTH(F2861)=MONTH(S2861), YEAR(F2861)=YEAR(S2861))</f>
        <v/>
      </c>
      <c r="Q2861" s="521">
        <f>U2861="L001-901905215"</f>
        <v/>
      </c>
      <c r="R2861" s="556">
        <f>G2861-W2861</f>
        <v/>
      </c>
      <c r="S2861" s="521" t="n"/>
      <c r="T2861" s="522" t="n"/>
      <c r="U2861" s="522" t="n"/>
      <c r="V2861" s="522" t="n"/>
      <c r="W2861" s="521" t="n"/>
    </row>
    <row r="2862">
      <c r="A2862" s="521" t="n">
        <v>2854</v>
      </c>
      <c r="B2862" s="522" t="inlineStr">
        <is>
          <t>Monthly tax declaration for Jul-2021 service</t>
        </is>
      </c>
      <c r="C2862" s="522" t="inlineStr">
        <is>
          <t>យីងកឺ ខេម ថេក អ៊ែតវ៉ាយហ្សឺរី ឯ.ក</t>
        </is>
      </c>
      <c r="D2862" s="522" t="inlineStr">
        <is>
          <t>K003-902005313</t>
        </is>
      </c>
      <c r="E2862" s="521" t="inlineStr">
        <is>
          <t>YKT21-126</t>
        </is>
      </c>
      <c r="F2862" s="523" t="n">
        <v>44412</v>
      </c>
      <c r="G2862" s="556" t="n">
        <v>240737</v>
      </c>
      <c r="I2862" s="521">
        <f>G2862</f>
        <v/>
      </c>
      <c r="K2862" s="521">
        <f>I2862-G2862</f>
        <v/>
      </c>
      <c r="M2862" s="522" t="inlineStr">
        <is>
          <t>YKT21126</t>
        </is>
      </c>
      <c r="N2862" s="522" t="inlineStr">
        <is>
          <t>YKT21126</t>
        </is>
      </c>
      <c r="O2862" s="521">
        <f>M2862=N2862</f>
        <v/>
      </c>
      <c r="P2862" s="521">
        <f>AND(MONTH(F2862)=MONTH(S2862), YEAR(F2862)=YEAR(S2862))</f>
        <v/>
      </c>
      <c r="Q2862" s="521">
        <f>U2862="L001-901905215"</f>
        <v/>
      </c>
      <c r="R2862" s="556">
        <f>G2862-W2862</f>
        <v/>
      </c>
      <c r="S2862" s="523" t="n">
        <v>44412</v>
      </c>
      <c r="T2862" s="522" t="inlineStr">
        <is>
          <t>YKT21-126</t>
        </is>
      </c>
      <c r="U2862" s="522" t="inlineStr">
        <is>
          <t>L001-901905215</t>
        </is>
      </c>
      <c r="V2862" s="522" t="inlineStr">
        <is>
          <t>វីអ៊ីស៊ិន (ខេមបូឌា) អ៊ិនដាសស្ទ្រី ឯ.ក</t>
        </is>
      </c>
      <c r="W2862" s="556" t="n">
        <v>240737</v>
      </c>
    </row>
    <row r="2863">
      <c r="A2863" s="521" t="n">
        <v>2855</v>
      </c>
      <c r="B2863" s="522" t="inlineStr">
        <is>
          <t>MIG weding machine</t>
        </is>
      </c>
      <c r="C2863" s="522" t="inlineStr">
        <is>
          <t>មេជេស្ទីក ឡុង ម៉ាស៊ីនើរី អេឃ្វីបម៉ិន ឯ.ក</t>
        </is>
      </c>
      <c r="D2863" s="522" t="inlineStr">
        <is>
          <t>K009-902101873</t>
        </is>
      </c>
      <c r="E2863" s="521" t="inlineStr">
        <is>
          <t>TI036</t>
        </is>
      </c>
      <c r="F2863" s="523" t="n">
        <v>44421</v>
      </c>
      <c r="G2863" s="556" t="n">
        <v>2019105</v>
      </c>
      <c r="I2863" s="521">
        <f>G2863</f>
        <v/>
      </c>
      <c r="K2863" s="521">
        <f>I2863-G2863</f>
        <v/>
      </c>
      <c r="M2863" s="522" t="inlineStr">
        <is>
          <t>TI036</t>
        </is>
      </c>
      <c r="N2863" s="522" t="inlineStr">
        <is>
          <t>TI036</t>
        </is>
      </c>
      <c r="O2863" s="521">
        <f>M2863=N2863</f>
        <v/>
      </c>
      <c r="P2863" s="521">
        <f>AND(MONTH(F2863)=MONTH(S2863), YEAR(F2863)=YEAR(S2863))</f>
        <v/>
      </c>
      <c r="Q2863" s="521">
        <f>U2863="L001-901905215"</f>
        <v/>
      </c>
      <c r="R2863" s="556">
        <f>G2863-W2863</f>
        <v/>
      </c>
      <c r="S2863" s="523" t="n">
        <v>44421</v>
      </c>
      <c r="T2863" s="522" t="inlineStr">
        <is>
          <t>TI036</t>
        </is>
      </c>
      <c r="U2863" s="522" t="inlineStr">
        <is>
          <t>L001-901905215</t>
        </is>
      </c>
      <c r="V2863" s="522" t="inlineStr">
        <is>
          <t>វីអ៊ីស៊ិន (ខេមបូឌា) អ៊ិនដាសស្ទ្រី ឯ.ក</t>
        </is>
      </c>
      <c r="W2863" s="556" t="n">
        <v>2019105</v>
      </c>
    </row>
    <row r="2864">
      <c r="A2864" s="521" t="n">
        <v>2856</v>
      </c>
      <c r="B2864" s="522" t="inlineStr">
        <is>
          <t>Express fee</t>
        </is>
      </c>
      <c r="C2864" s="522" t="inlineStr">
        <is>
          <t>ឌី អេច អិល អិចប្រេស (ខេមបូឌា)</t>
        </is>
      </c>
      <c r="D2864" s="522" t="inlineStr">
        <is>
          <t>L001-100045197</t>
        </is>
      </c>
      <c r="E2864" s="521" t="inlineStr">
        <is>
          <t>PNHR000390717</t>
        </is>
      </c>
      <c r="F2864" s="523" t="n">
        <v>44420</v>
      </c>
      <c r="G2864" s="556" t="n">
        <v>18392</v>
      </c>
      <c r="I2864" s="521">
        <f>G2864</f>
        <v/>
      </c>
      <c r="K2864" s="521">
        <f>I2864-G2864</f>
        <v/>
      </c>
      <c r="M2864" s="522" t="inlineStr">
        <is>
          <t>PNHR000390717</t>
        </is>
      </c>
      <c r="N2864" s="522" t="inlineStr"/>
      <c r="O2864" s="521">
        <f>M2864=N2864</f>
        <v/>
      </c>
      <c r="P2864" s="521">
        <f>AND(MONTH(F2864)=MONTH(S2864), YEAR(F2864)=YEAR(S2864))</f>
        <v/>
      </c>
      <c r="Q2864" s="521">
        <f>U2864="L001-901905215"</f>
        <v/>
      </c>
      <c r="R2864" s="556">
        <f>G2864-W2864</f>
        <v/>
      </c>
      <c r="S2864" s="521" t="n"/>
      <c r="T2864" s="522" t="n"/>
      <c r="U2864" s="522" t="n"/>
      <c r="V2864" s="522" t="n"/>
      <c r="W2864" s="521" t="n"/>
    </row>
    <row r="2865">
      <c r="A2865" s="521" t="n">
        <v>2857</v>
      </c>
      <c r="B2865" s="522" t="inlineStr">
        <is>
          <t>Infrastructure maintenance fee for Aug 2021</t>
        </is>
      </c>
      <c r="C2865" s="522" t="inlineStr">
        <is>
          <t>ភ្នំពេញ អេសអ៊ីហ្សិត ភីអិលស៊ី</t>
        </is>
      </c>
      <c r="D2865" s="522" t="inlineStr">
        <is>
          <t>L001-100046592</t>
        </is>
      </c>
      <c r="E2865" s="521" t="inlineStr">
        <is>
          <t>2021-03808</t>
        </is>
      </c>
      <c r="F2865" s="523" t="n">
        <v>44424</v>
      </c>
      <c r="G2865" s="556" t="n">
        <v>165111</v>
      </c>
      <c r="I2865" s="521">
        <f>G2865</f>
        <v/>
      </c>
      <c r="K2865" s="521">
        <f>I2865-G2865</f>
        <v/>
      </c>
      <c r="M2865" s="522" t="inlineStr">
        <is>
          <t>202103808</t>
        </is>
      </c>
      <c r="N2865" s="522" t="inlineStr">
        <is>
          <t>202103808</t>
        </is>
      </c>
      <c r="O2865" s="521">
        <f>M2865=N2865</f>
        <v/>
      </c>
      <c r="P2865" s="521">
        <f>AND(MONTH(F2865)=MONTH(S2865), YEAR(F2865)=YEAR(S2865))</f>
        <v/>
      </c>
      <c r="Q2865" s="521">
        <f>U2865="L001-901905215"</f>
        <v/>
      </c>
      <c r="R2865" s="556">
        <f>G2865-W2865</f>
        <v/>
      </c>
      <c r="S2865" s="523" t="n">
        <v>44424</v>
      </c>
      <c r="T2865" s="522" t="inlineStr">
        <is>
          <t>2021-03808</t>
        </is>
      </c>
      <c r="U2865" s="522" t="inlineStr">
        <is>
          <t>L001-901905215</t>
        </is>
      </c>
      <c r="V2865" s="522" t="inlineStr">
        <is>
          <t>វីអ៊ីស៊ិន (ខេមបូឌា) អ៊ិនដាសស្ទ្រី ឯ.ក</t>
        </is>
      </c>
      <c r="W2865" s="556" t="n">
        <v>165110</v>
      </c>
    </row>
    <row r="2866">
      <c r="A2866" s="521" t="n">
        <v>2858</v>
      </c>
      <c r="B2866" s="522" t="inlineStr">
        <is>
          <t>Infrastructure maintenance fee for Aug 2021</t>
        </is>
      </c>
      <c r="C2866" s="522" t="inlineStr">
        <is>
          <t>ភ្នំពេញ អេសអ៊ីហ្សិត ភីអិលស៊ី</t>
        </is>
      </c>
      <c r="D2866" s="522" t="inlineStr">
        <is>
          <t>L001-100046592</t>
        </is>
      </c>
      <c r="E2866" s="521" t="inlineStr">
        <is>
          <t>2021-03799</t>
        </is>
      </c>
      <c r="F2866" s="523" t="n">
        <v>44424</v>
      </c>
      <c r="G2866" s="556" t="n">
        <v>201031</v>
      </c>
      <c r="I2866" s="521">
        <f>G2866</f>
        <v/>
      </c>
      <c r="K2866" s="521">
        <f>I2866-G2866</f>
        <v/>
      </c>
      <c r="M2866" s="522" t="inlineStr">
        <is>
          <t>202103799</t>
        </is>
      </c>
      <c r="N2866" s="522" t="inlineStr">
        <is>
          <t>202103799</t>
        </is>
      </c>
      <c r="O2866" s="521">
        <f>M2866=N2866</f>
        <v/>
      </c>
      <c r="P2866" s="521">
        <f>AND(MONTH(F2866)=MONTH(S2866), YEAR(F2866)=YEAR(S2866))</f>
        <v/>
      </c>
      <c r="Q2866" s="521">
        <f>U2866="L001-901905215"</f>
        <v/>
      </c>
      <c r="R2866" s="556">
        <f>G2866-W2866</f>
        <v/>
      </c>
      <c r="S2866" s="523" t="n">
        <v>44424</v>
      </c>
      <c r="T2866" s="522" t="inlineStr">
        <is>
          <t>2021-03799</t>
        </is>
      </c>
      <c r="U2866" s="522" t="inlineStr">
        <is>
          <t>L001-901905215</t>
        </is>
      </c>
      <c r="V2866" s="522" t="inlineStr">
        <is>
          <t>វីអ៊ីស៊ិន (ខេមបូឌា) អ៊ិនដាសស្ទ្រី ឯ.ក</t>
        </is>
      </c>
      <c r="W2866" s="556" t="n">
        <v>201029</v>
      </c>
    </row>
    <row r="2867">
      <c r="A2867" s="521" t="n">
        <v>2859</v>
      </c>
      <c r="B2867" s="522" t="inlineStr">
        <is>
          <t>Service fee</t>
        </is>
      </c>
      <c r="C2867" s="522" t="inlineStr">
        <is>
          <t>ប្យួរ៉ូ វេរីតាស (ខេមបូឌា) លីមីធីត</t>
        </is>
      </c>
      <c r="D2867" s="522" t="inlineStr">
        <is>
          <t>L001-107024462</t>
        </is>
      </c>
      <c r="E2867" s="521" t="inlineStr">
        <is>
          <t>59010868</t>
        </is>
      </c>
      <c r="F2867" s="523" t="n">
        <v>44438</v>
      </c>
      <c r="G2867" s="556" t="n">
        <v>55252</v>
      </c>
      <c r="I2867" s="521">
        <f>G2867</f>
        <v/>
      </c>
      <c r="K2867" s="521">
        <f>I2867-G2867</f>
        <v/>
      </c>
      <c r="M2867" s="522" t="inlineStr">
        <is>
          <t>59010868</t>
        </is>
      </c>
      <c r="N2867" s="522" t="inlineStr">
        <is>
          <t>59010868</t>
        </is>
      </c>
      <c r="O2867" s="521">
        <f>M2867=N2867</f>
        <v/>
      </c>
      <c r="P2867" s="521">
        <f>AND(MONTH(F2867)=MONTH(S2867), YEAR(F2867)=YEAR(S2867))</f>
        <v/>
      </c>
      <c r="Q2867" s="521">
        <f>U2867="L001-901905215"</f>
        <v/>
      </c>
      <c r="R2867" s="556">
        <f>G2867-W2867</f>
        <v/>
      </c>
      <c r="S2867" s="523" t="n">
        <v>44438</v>
      </c>
      <c r="T2867" s="522" t="inlineStr">
        <is>
          <t>59010868</t>
        </is>
      </c>
      <c r="U2867" s="522" t="inlineStr">
        <is>
          <t>L001-901905215</t>
        </is>
      </c>
      <c r="V2867" s="522" t="inlineStr">
        <is>
          <t>វីអ៊ីស៊ិន (ខេមបូឌា) អ៊ិនដាសស្ទ្រី ឯ.ក</t>
        </is>
      </c>
      <c r="W2867" s="556" t="n">
        <v>55252</v>
      </c>
    </row>
    <row r="2868">
      <c r="A2868" s="521" t="n">
        <v>2860</v>
      </c>
      <c r="B2868" s="522" t="inlineStr">
        <is>
          <t>Service fee</t>
        </is>
      </c>
      <c r="C2868" s="522" t="inlineStr">
        <is>
          <t>ប្យួរ៉ូ វេរីតាស (ខេមបូឌា) លីមីធីត</t>
        </is>
      </c>
      <c r="D2868" s="522" t="inlineStr">
        <is>
          <t>L001-107024462</t>
        </is>
      </c>
      <c r="E2868" s="521" t="inlineStr">
        <is>
          <t>59010863</t>
        </is>
      </c>
      <c r="F2868" s="523" t="n">
        <v>44436</v>
      </c>
      <c r="G2868" s="556" t="n">
        <v>55238</v>
      </c>
      <c r="I2868" s="521">
        <f>G2868</f>
        <v/>
      </c>
      <c r="K2868" s="521">
        <f>I2868-G2868</f>
        <v/>
      </c>
      <c r="M2868" s="522" t="inlineStr">
        <is>
          <t>59010863</t>
        </is>
      </c>
      <c r="N2868" s="522" t="inlineStr">
        <is>
          <t>59010863</t>
        </is>
      </c>
      <c r="O2868" s="521">
        <f>M2868=N2868</f>
        <v/>
      </c>
      <c r="P2868" s="521">
        <f>AND(MONTH(F2868)=MONTH(S2868), YEAR(F2868)=YEAR(S2868))</f>
        <v/>
      </c>
      <c r="Q2868" s="521">
        <f>U2868="L001-901905215"</f>
        <v/>
      </c>
      <c r="R2868" s="556">
        <f>G2868-W2868</f>
        <v/>
      </c>
      <c r="S2868" s="523" t="n">
        <v>44436</v>
      </c>
      <c r="T2868" s="522" t="inlineStr">
        <is>
          <t>59010863</t>
        </is>
      </c>
      <c r="U2868" s="522" t="inlineStr">
        <is>
          <t>L001-901905215</t>
        </is>
      </c>
      <c r="V2868" s="522" t="inlineStr">
        <is>
          <t>វីអ៊ីស៊ិន (ខេមបូឌា) អ៊ិនដាសស្ទ្រី ឯ.ក</t>
        </is>
      </c>
      <c r="W2868" s="556" t="n">
        <v>55238</v>
      </c>
    </row>
    <row r="2869">
      <c r="A2869" s="521" t="n">
        <v>2861</v>
      </c>
      <c r="B2869" s="522" t="inlineStr">
        <is>
          <t>Service fee</t>
        </is>
      </c>
      <c r="C2869" s="522" t="inlineStr">
        <is>
          <t>ប្យួរ៉ូ វេរីតាស (ខេមបូឌា) លីមីធីត</t>
        </is>
      </c>
      <c r="D2869" s="522" t="inlineStr">
        <is>
          <t>L001-107024462</t>
        </is>
      </c>
      <c r="E2869" s="521" t="inlineStr">
        <is>
          <t>59010826</t>
        </is>
      </c>
      <c r="F2869" s="523" t="n">
        <v>44432</v>
      </c>
      <c r="G2869" s="556" t="n">
        <v>110500</v>
      </c>
      <c r="I2869" s="521">
        <f>G2869</f>
        <v/>
      </c>
      <c r="K2869" s="521">
        <f>I2869-G2869</f>
        <v/>
      </c>
      <c r="M2869" s="522" t="inlineStr">
        <is>
          <t>59010826</t>
        </is>
      </c>
      <c r="N2869" s="522" t="inlineStr">
        <is>
          <t>59010826</t>
        </is>
      </c>
      <c r="O2869" s="521">
        <f>M2869=N2869</f>
        <v/>
      </c>
      <c r="P2869" s="521">
        <f>AND(MONTH(F2869)=MONTH(S2869), YEAR(F2869)=YEAR(S2869))</f>
        <v/>
      </c>
      <c r="Q2869" s="521">
        <f>U2869="L001-901905215"</f>
        <v/>
      </c>
      <c r="R2869" s="556">
        <f>G2869-W2869</f>
        <v/>
      </c>
      <c r="S2869" s="523" t="n">
        <v>44432</v>
      </c>
      <c r="T2869" s="522" t="inlineStr">
        <is>
          <t>59010826</t>
        </is>
      </c>
      <c r="U2869" s="522" t="inlineStr">
        <is>
          <t>L001-901905215</t>
        </is>
      </c>
      <c r="V2869" s="522" t="inlineStr">
        <is>
          <t>វីអ៊ីស៊ិន (ខេមបូឌា) អ៊ិនដាសស្ទ្រី ឯ.ក</t>
        </is>
      </c>
      <c r="W2869" s="556" t="n">
        <v>110500</v>
      </c>
    </row>
    <row r="2870">
      <c r="A2870" s="521" t="n">
        <v>2862</v>
      </c>
      <c r="B2870" s="522" t="inlineStr">
        <is>
          <t>Service fee</t>
        </is>
      </c>
      <c r="C2870" s="522" t="inlineStr">
        <is>
          <t>ប្យួរ៉ូ វេរីតាស (ខេមបូឌា) លីមីធីត</t>
        </is>
      </c>
      <c r="D2870" s="522" t="inlineStr">
        <is>
          <t>L001-107024462</t>
        </is>
      </c>
      <c r="E2870" s="521" t="inlineStr">
        <is>
          <t>59010823</t>
        </is>
      </c>
      <c r="F2870" s="523" t="n">
        <v>44432</v>
      </c>
      <c r="G2870" s="556" t="n">
        <v>55252</v>
      </c>
      <c r="I2870" s="521">
        <f>G2870</f>
        <v/>
      </c>
      <c r="K2870" s="521">
        <f>I2870-G2870</f>
        <v/>
      </c>
      <c r="M2870" s="522" t="inlineStr">
        <is>
          <t>59010823</t>
        </is>
      </c>
      <c r="N2870" s="522" t="inlineStr">
        <is>
          <t>59010823</t>
        </is>
      </c>
      <c r="O2870" s="521">
        <f>M2870=N2870</f>
        <v/>
      </c>
      <c r="P2870" s="521">
        <f>AND(MONTH(F2870)=MONTH(S2870), YEAR(F2870)=YEAR(S2870))</f>
        <v/>
      </c>
      <c r="Q2870" s="521">
        <f>U2870="L001-901905215"</f>
        <v/>
      </c>
      <c r="R2870" s="556">
        <f>G2870-W2870</f>
        <v/>
      </c>
      <c r="S2870" s="523" t="n">
        <v>44432</v>
      </c>
      <c r="T2870" s="522" t="inlineStr">
        <is>
          <t>59010823</t>
        </is>
      </c>
      <c r="U2870" s="522" t="inlineStr">
        <is>
          <t>L001-901905215</t>
        </is>
      </c>
      <c r="V2870" s="522" t="inlineStr">
        <is>
          <t>វីអ៊ីស៊ិន (ខេមបូឌា) អ៊ិនដាសស្ទ្រី ឯ.ក</t>
        </is>
      </c>
      <c r="W2870" s="556" t="n">
        <v>55252</v>
      </c>
    </row>
    <row r="2871">
      <c r="A2871" s="521" t="n">
        <v>2863</v>
      </c>
      <c r="B2871" s="522" t="inlineStr">
        <is>
          <t>Service fee</t>
        </is>
      </c>
      <c r="C2871" s="522" t="inlineStr">
        <is>
          <t>ប្យួរ៉ូ វេរីតាស (ខេមបូឌា) លីមីធីត</t>
        </is>
      </c>
      <c r="D2871" s="522" t="inlineStr">
        <is>
          <t>L001-107024462</t>
        </is>
      </c>
      <c r="E2871" s="521" t="inlineStr">
        <is>
          <t>59010781</t>
        </is>
      </c>
      <c r="F2871" s="523" t="n">
        <v>44425</v>
      </c>
      <c r="G2871" s="556" t="n">
        <v>55252</v>
      </c>
      <c r="I2871" s="521">
        <f>G2871</f>
        <v/>
      </c>
      <c r="K2871" s="521">
        <f>I2871-G2871</f>
        <v/>
      </c>
      <c r="M2871" s="522" t="inlineStr">
        <is>
          <t>59010781</t>
        </is>
      </c>
      <c r="N2871" s="522" t="inlineStr">
        <is>
          <t>59010781</t>
        </is>
      </c>
      <c r="O2871" s="521">
        <f>M2871=N2871</f>
        <v/>
      </c>
      <c r="P2871" s="521">
        <f>AND(MONTH(F2871)=MONTH(S2871), YEAR(F2871)=YEAR(S2871))</f>
        <v/>
      </c>
      <c r="Q2871" s="521">
        <f>U2871="L001-901905215"</f>
        <v/>
      </c>
      <c r="R2871" s="556">
        <f>G2871-W2871</f>
        <v/>
      </c>
      <c r="S2871" s="523" t="n">
        <v>44425</v>
      </c>
      <c r="T2871" s="522" t="inlineStr">
        <is>
          <t>59010781</t>
        </is>
      </c>
      <c r="U2871" s="522" t="inlineStr">
        <is>
          <t>L001-901905215</t>
        </is>
      </c>
      <c r="V2871" s="522" t="inlineStr">
        <is>
          <t>វីអ៊ីស៊ិន (ខេមបូឌា) អ៊ិនដាសស្ទ្រី ឯ.ក</t>
        </is>
      </c>
      <c r="W2871" s="556" t="n">
        <v>55252</v>
      </c>
    </row>
    <row r="2872">
      <c r="A2872" s="521" t="n">
        <v>2864</v>
      </c>
      <c r="B2872" s="522" t="inlineStr">
        <is>
          <t>Service fee</t>
        </is>
      </c>
      <c r="C2872" s="522" t="inlineStr">
        <is>
          <t>ប្យួរ៉ូ វេរីតាស (ខេមបូឌា) លីមីធីត</t>
        </is>
      </c>
      <c r="D2872" s="522" t="inlineStr">
        <is>
          <t>L001-107024462</t>
        </is>
      </c>
      <c r="E2872" s="521" t="inlineStr">
        <is>
          <t>59010720</t>
        </is>
      </c>
      <c r="F2872" s="523" t="n">
        <v>44417</v>
      </c>
      <c r="G2872" s="556" t="n">
        <v>110446</v>
      </c>
      <c r="I2872" s="521">
        <f>G2872</f>
        <v/>
      </c>
      <c r="K2872" s="521">
        <f>I2872-G2872</f>
        <v/>
      </c>
      <c r="M2872" s="522" t="inlineStr">
        <is>
          <t>59010720</t>
        </is>
      </c>
      <c r="N2872" s="522" t="inlineStr">
        <is>
          <t>59010720</t>
        </is>
      </c>
      <c r="O2872" s="521">
        <f>M2872=N2872</f>
        <v/>
      </c>
      <c r="P2872" s="521">
        <f>AND(MONTH(F2872)=MONTH(S2872), YEAR(F2872)=YEAR(S2872))</f>
        <v/>
      </c>
      <c r="Q2872" s="521">
        <f>U2872="L001-901905215"</f>
        <v/>
      </c>
      <c r="R2872" s="556">
        <f>G2872-W2872</f>
        <v/>
      </c>
      <c r="S2872" s="523" t="n">
        <v>44417</v>
      </c>
      <c r="T2872" s="522" t="inlineStr">
        <is>
          <t>59010720</t>
        </is>
      </c>
      <c r="U2872" s="522" t="inlineStr">
        <is>
          <t>L001-901905215</t>
        </is>
      </c>
      <c r="V2872" s="522" t="inlineStr">
        <is>
          <t>វីអ៊ីស៊ិន (ខេមបូឌា) អ៊ិនដាសស្ទ្រី ឯ.ក</t>
        </is>
      </c>
      <c r="W2872" s="556" t="n">
        <v>110446</v>
      </c>
    </row>
    <row r="2873">
      <c r="A2873" s="521" t="n">
        <v>2865</v>
      </c>
      <c r="B2873" s="522" t="inlineStr">
        <is>
          <t>ផ្លាកក្រដាស​ និង ក្រដាស</t>
        </is>
      </c>
      <c r="C2873" s="522" t="inlineStr">
        <is>
          <t>ដុងគ័ន ស៊ីធី ហ្វាញស្តារ ព្រីនធីង (ខេមបូឌា)</t>
        </is>
      </c>
      <c r="D2873" s="522" t="inlineStr">
        <is>
          <t>L001-100193021</t>
        </is>
      </c>
      <c r="E2873" s="521" t="inlineStr">
        <is>
          <t>00248</t>
        </is>
      </c>
      <c r="F2873" s="523" t="n">
        <v>44799</v>
      </c>
      <c r="G2873" s="556" t="n">
        <v>759672</v>
      </c>
      <c r="I2873" s="521">
        <f>G2873</f>
        <v/>
      </c>
      <c r="K2873" s="521">
        <f>I2873-G2873</f>
        <v/>
      </c>
      <c r="M2873" s="522" t="inlineStr">
        <is>
          <t>00248</t>
        </is>
      </c>
      <c r="N2873" s="522" t="inlineStr">
        <is>
          <t>00248</t>
        </is>
      </c>
      <c r="O2873" s="521">
        <f>M2873=N2873</f>
        <v/>
      </c>
      <c r="P2873" s="521">
        <f>AND(MONTH(F2873)=MONTH(S2873), YEAR(F2873)=YEAR(S2873))</f>
        <v/>
      </c>
      <c r="Q2873" s="521">
        <f>U2873="L001-901905215"</f>
        <v/>
      </c>
      <c r="R2873" s="556">
        <f>G2873-W2873</f>
        <v/>
      </c>
      <c r="S2873" s="523" t="n">
        <v>44799</v>
      </c>
      <c r="T2873" s="522" t="inlineStr">
        <is>
          <t>00248</t>
        </is>
      </c>
      <c r="U2873" s="522" t="inlineStr">
        <is>
          <t>L001-901905215</t>
        </is>
      </c>
      <c r="V2873" s="522" t="inlineStr">
        <is>
          <t>វីអ៊ីស៊ិន (ខេមបូឌា) អ៊ិនដាសស្ទ្រី ឯ.ក</t>
        </is>
      </c>
      <c r="W2873" s="556" t="n">
        <v>759672</v>
      </c>
    </row>
    <row r="2874">
      <c r="A2874" s="521" t="n">
        <v>2866</v>
      </c>
      <c r="B2874" s="522" t="inlineStr">
        <is>
          <t>Plastic</t>
        </is>
      </c>
      <c r="C2874" s="522" t="inlineStr">
        <is>
          <t>ឌើ សឹង ហ្វា ភែកឃីជីង អ៊ិនដាសស្រ្ទៀល ឯ.ក</t>
        </is>
      </c>
      <c r="D2874" s="522" t="inlineStr">
        <is>
          <t>L001-901638065</t>
        </is>
      </c>
      <c r="E2874" s="521" t="inlineStr">
        <is>
          <t>DSF20220287</t>
        </is>
      </c>
      <c r="F2874" s="523" t="n">
        <v>44798</v>
      </c>
      <c r="G2874" s="556" t="n">
        <v>1696610</v>
      </c>
      <c r="I2874" s="521">
        <f>G2874</f>
        <v/>
      </c>
      <c r="K2874" s="521">
        <f>I2874-G2874</f>
        <v/>
      </c>
      <c r="M2874" s="522" t="inlineStr">
        <is>
          <t>DSF20220287</t>
        </is>
      </c>
      <c r="N2874" s="522" t="inlineStr"/>
      <c r="O2874" s="521">
        <f>M2874=N2874</f>
        <v/>
      </c>
      <c r="P2874" s="521">
        <f>AND(MONTH(F2874)=MONTH(S2874), YEAR(F2874)=YEAR(S2874))</f>
        <v/>
      </c>
      <c r="Q2874" s="521">
        <f>U2874="L001-901905215"</f>
        <v/>
      </c>
      <c r="R2874" s="556">
        <f>G2874-W2874</f>
        <v/>
      </c>
      <c r="S2874" s="521" t="n"/>
      <c r="T2874" s="522" t="n"/>
      <c r="U2874" s="522" t="n"/>
      <c r="V2874" s="522" t="n"/>
      <c r="W2874" s="521" t="n"/>
    </row>
    <row r="2875">
      <c r="A2875" s="521" t="n">
        <v>2867</v>
      </c>
      <c r="B2875" s="522" t="inlineStr">
        <is>
          <t>Payment for next period from:22/02/2023</t>
        </is>
      </c>
      <c r="C2875" s="522" t="inlineStr">
        <is>
          <t>វៀតធេល (ខេមបូឌា)</t>
        </is>
      </c>
      <c r="D2875" s="522" t="inlineStr">
        <is>
          <t>L001-100121845</t>
        </is>
      </c>
      <c r="E2875" s="521" t="inlineStr">
        <is>
          <t>MC/2022-0330605</t>
        </is>
      </c>
      <c r="F2875" s="523" t="n">
        <v>44795</v>
      </c>
      <c r="G2875" s="556" t="n">
        <v>2239</v>
      </c>
      <c r="I2875" s="521">
        <f>G2875</f>
        <v/>
      </c>
      <c r="K2875" s="521">
        <f>I2875-G2875</f>
        <v/>
      </c>
      <c r="M2875" s="522" t="inlineStr">
        <is>
          <t>MC20220330605</t>
        </is>
      </c>
      <c r="N2875" s="522" t="inlineStr"/>
      <c r="O2875" s="521">
        <f>M2875=N2875</f>
        <v/>
      </c>
      <c r="P2875" s="521">
        <f>AND(MONTH(F2875)=MONTH(S2875), YEAR(F2875)=YEAR(S2875))</f>
        <v/>
      </c>
      <c r="Q2875" s="521">
        <f>U2875="L001-901905215"</f>
        <v/>
      </c>
      <c r="R2875" s="556">
        <f>G2875-W2875</f>
        <v/>
      </c>
      <c r="S2875" s="521" t="n"/>
      <c r="T2875" s="522" t="n"/>
      <c r="U2875" s="522" t="n"/>
      <c r="V2875" s="522" t="n"/>
      <c r="W2875" s="521" t="n"/>
    </row>
    <row r="2876">
      <c r="A2876" s="521" t="n">
        <v>2868</v>
      </c>
      <c r="B2876" s="522" t="inlineStr">
        <is>
          <t>Payment for next period from:22/02/2023</t>
        </is>
      </c>
      <c r="C2876" s="522" t="inlineStr">
        <is>
          <t>វៀតធេល (ខេមបូឌា)</t>
        </is>
      </c>
      <c r="D2876" s="522" t="inlineStr">
        <is>
          <t>L001-100121845</t>
        </is>
      </c>
      <c r="E2876" s="521" t="inlineStr">
        <is>
          <t>MC/2022-0330600</t>
        </is>
      </c>
      <c r="F2876" s="523" t="n">
        <v>44795</v>
      </c>
      <c r="G2876" s="556" t="n">
        <v>102700</v>
      </c>
      <c r="I2876" s="521">
        <f>G2876</f>
        <v/>
      </c>
      <c r="K2876" s="521">
        <f>I2876-G2876</f>
        <v/>
      </c>
      <c r="M2876" s="522" t="inlineStr">
        <is>
          <t>MC20220330600</t>
        </is>
      </c>
      <c r="N2876" s="522" t="inlineStr"/>
      <c r="O2876" s="521">
        <f>M2876=N2876</f>
        <v/>
      </c>
      <c r="P2876" s="521">
        <f>AND(MONTH(F2876)=MONTH(S2876), YEAR(F2876)=YEAR(S2876))</f>
        <v/>
      </c>
      <c r="Q2876" s="521">
        <f>U2876="L001-901905215"</f>
        <v/>
      </c>
      <c r="R2876" s="556">
        <f>G2876-W2876</f>
        <v/>
      </c>
      <c r="S2876" s="521" t="n"/>
      <c r="T2876" s="522" t="n"/>
      <c r="U2876" s="522" t="n"/>
      <c r="V2876" s="522" t="n"/>
      <c r="W2876" s="521" t="n"/>
    </row>
    <row r="2877">
      <c r="A2877" s="521" t="n">
        <v>2869</v>
      </c>
      <c r="B2877" s="522" t="inlineStr">
        <is>
          <t>Express Fee</t>
        </is>
      </c>
      <c r="C2877" s="522" t="inlineStr">
        <is>
          <t>ឌី អេច អិល អិចប្រេស (ខេមបូឌា)</t>
        </is>
      </c>
      <c r="D2877" s="522" t="inlineStr">
        <is>
          <t>L001-100045197</t>
        </is>
      </c>
      <c r="E2877" s="521" t="inlineStr">
        <is>
          <t>PNHR000434107</t>
        </is>
      </c>
      <c r="F2877" s="523" t="n">
        <v>44804</v>
      </c>
      <c r="G2877" s="556" t="n">
        <v>30773</v>
      </c>
      <c r="I2877" s="521">
        <f>G2877</f>
        <v/>
      </c>
      <c r="K2877" s="521">
        <f>I2877-G2877</f>
        <v/>
      </c>
      <c r="M2877" s="522" t="inlineStr">
        <is>
          <t>PNHR000434107</t>
        </is>
      </c>
      <c r="N2877" s="522" t="inlineStr">
        <is>
          <t>PNHR000434107</t>
        </is>
      </c>
      <c r="O2877" s="521">
        <f>M2877=N2877</f>
        <v/>
      </c>
      <c r="P2877" s="521">
        <f>AND(MONTH(F2877)=MONTH(S2877), YEAR(F2877)=YEAR(S2877))</f>
        <v/>
      </c>
      <c r="Q2877" s="521">
        <f>U2877="L001-901905215"</f>
        <v/>
      </c>
      <c r="R2877" s="556">
        <f>G2877-W2877</f>
        <v/>
      </c>
      <c r="S2877" s="523" t="n">
        <v>44804</v>
      </c>
      <c r="T2877" s="522" t="inlineStr">
        <is>
          <t>PNHR000434107.</t>
        </is>
      </c>
      <c r="U2877" s="522" t="inlineStr">
        <is>
          <t>L001-901905215</t>
        </is>
      </c>
      <c r="V2877" s="522" t="inlineStr">
        <is>
          <t>វីអ៊ីស៊ិន (ខេមបូឌា) អ៊ិនដាសស្ទ្រី ឯ.ក</t>
        </is>
      </c>
      <c r="W2877" s="556" t="n">
        <v>0</v>
      </c>
    </row>
    <row r="2878">
      <c r="A2878" s="521" t="n">
        <v>2870</v>
      </c>
      <c r="B2878" s="522" t="inlineStr">
        <is>
          <t>Express Fee</t>
        </is>
      </c>
      <c r="C2878" s="522" t="inlineStr">
        <is>
          <t>ឌី អេច អិល អិចប្រេស (ខេមបូឌា)</t>
        </is>
      </c>
      <c r="D2878" s="522" t="inlineStr">
        <is>
          <t>L001-100045197</t>
        </is>
      </c>
      <c r="E2878" s="521" t="inlineStr">
        <is>
          <t>PNHIR00143167</t>
        </is>
      </c>
      <c r="F2878" s="523" t="n">
        <v>44802</v>
      </c>
      <c r="G2878" s="556" t="n">
        <v>3290</v>
      </c>
      <c r="I2878" s="521">
        <f>G2878</f>
        <v/>
      </c>
      <c r="K2878" s="521">
        <f>I2878-G2878</f>
        <v/>
      </c>
      <c r="M2878" s="522" t="inlineStr">
        <is>
          <t>PNHIR00143167</t>
        </is>
      </c>
      <c r="N2878" s="522" t="inlineStr">
        <is>
          <t>PNHIR00143167</t>
        </is>
      </c>
      <c r="O2878" s="521">
        <f>M2878=N2878</f>
        <v/>
      </c>
      <c r="P2878" s="521">
        <f>AND(MONTH(F2878)=MONTH(S2878), YEAR(F2878)=YEAR(S2878))</f>
        <v/>
      </c>
      <c r="Q2878" s="521">
        <f>U2878="L001-901905215"</f>
        <v/>
      </c>
      <c r="R2878" s="556">
        <f>G2878-W2878</f>
        <v/>
      </c>
      <c r="S2878" s="523" t="n">
        <v>44802</v>
      </c>
      <c r="T2878" s="522" t="inlineStr">
        <is>
          <t>PNHIR00143167</t>
        </is>
      </c>
      <c r="U2878" s="522" t="inlineStr">
        <is>
          <t>L001-901905215</t>
        </is>
      </c>
      <c r="V2878" s="522" t="inlineStr">
        <is>
          <t>វីអ៊ីស៊ិន (ខេមបូឌា) អ៊ិនដាសស្ទ្រី ឯ.ក</t>
        </is>
      </c>
      <c r="W2878" s="556" t="n">
        <v>3290</v>
      </c>
    </row>
    <row r="2879">
      <c r="A2879" s="521" t="n">
        <v>2871</v>
      </c>
      <c r="B2879" s="522" t="inlineStr">
        <is>
          <t>Internet fee Montlhy fee(18/08/2023-18/02/2023)</t>
        </is>
      </c>
      <c r="C2879" s="522" t="inlineStr">
        <is>
          <t>ខេម ជ្ជីអេសអេម ម.ក</t>
        </is>
      </c>
      <c r="D2879" s="522" t="inlineStr">
        <is>
          <t>L001-100045065</t>
        </is>
      </c>
      <c r="E2879" s="521" t="inlineStr">
        <is>
          <t>400119311</t>
        </is>
      </c>
      <c r="F2879" s="523" t="n">
        <v>44792</v>
      </c>
      <c r="G2879" s="556" t="n">
        <v>277155</v>
      </c>
      <c r="I2879" s="521">
        <f>G2879</f>
        <v/>
      </c>
      <c r="K2879" s="521">
        <f>I2879-G2879</f>
        <v/>
      </c>
      <c r="M2879" s="522" t="inlineStr">
        <is>
          <t>400119311</t>
        </is>
      </c>
      <c r="N2879" s="522" t="inlineStr"/>
      <c r="O2879" s="521">
        <f>M2879=N2879</f>
        <v/>
      </c>
      <c r="P2879" s="521">
        <f>AND(MONTH(F2879)=MONTH(S2879), YEAR(F2879)=YEAR(S2879))</f>
        <v/>
      </c>
      <c r="Q2879" s="521">
        <f>U2879="L001-901905215"</f>
        <v/>
      </c>
      <c r="R2879" s="556">
        <f>G2879-W2879</f>
        <v/>
      </c>
      <c r="S2879" s="521" t="n"/>
      <c r="T2879" s="522" t="n"/>
      <c r="U2879" s="522" t="n"/>
      <c r="V2879" s="522" t="n"/>
      <c r="W2879" s="521" t="n"/>
    </row>
    <row r="2880">
      <c r="A2880" s="521" t="n">
        <v>2872</v>
      </c>
      <c r="B2880" s="522" t="inlineStr">
        <is>
          <t>Rental Machine Canon IR-2525</t>
        </is>
      </c>
      <c r="C2880" s="522" t="inlineStr">
        <is>
          <t xml:space="preserve">អិនធីអិល តិចណូឡូជី </t>
        </is>
      </c>
      <c r="D2880" s="522" t="inlineStr">
        <is>
          <t>K005-901900283</t>
        </is>
      </c>
      <c r="E2880" s="521" t="inlineStr">
        <is>
          <t>22-002535</t>
        </is>
      </c>
      <c r="F2880" s="523" t="n">
        <v>44774</v>
      </c>
      <c r="G2880" s="556" t="n">
        <v>22708</v>
      </c>
      <c r="I2880" s="521">
        <f>G2880</f>
        <v/>
      </c>
      <c r="K2880" s="521">
        <f>I2880-G2880</f>
        <v/>
      </c>
      <c r="M2880" s="522" t="inlineStr">
        <is>
          <t>22002535</t>
        </is>
      </c>
      <c r="N2880" s="522" t="inlineStr"/>
      <c r="O2880" s="521">
        <f>M2880=N2880</f>
        <v/>
      </c>
      <c r="P2880" s="521">
        <f>AND(MONTH(F2880)=MONTH(S2880), YEAR(F2880)=YEAR(S2880))</f>
        <v/>
      </c>
      <c r="Q2880" s="521">
        <f>U2880="L001-901905215"</f>
        <v/>
      </c>
      <c r="R2880" s="556">
        <f>G2880-W2880</f>
        <v/>
      </c>
      <c r="S2880" s="521" t="n"/>
      <c r="T2880" s="522" t="n"/>
      <c r="U2880" s="522" t="n"/>
      <c r="V2880" s="522" t="n"/>
      <c r="W2880" s="521" t="n"/>
    </row>
    <row r="2881">
      <c r="A2881" s="521" t="n">
        <v>2873</v>
      </c>
      <c r="B2881" s="522" t="inlineStr">
        <is>
          <t>Rental Machine Canon IR-2525</t>
        </is>
      </c>
      <c r="C2881" s="522" t="inlineStr">
        <is>
          <t xml:space="preserve">អិនធីអិល តិចណូឡូជី </t>
        </is>
      </c>
      <c r="D2881" s="522" t="inlineStr">
        <is>
          <t>K005-901900283</t>
        </is>
      </c>
      <c r="E2881" s="521" t="inlineStr">
        <is>
          <t>22-002908</t>
        </is>
      </c>
      <c r="F2881" s="523" t="n">
        <v>44791</v>
      </c>
      <c r="G2881" s="556" t="n">
        <v>20535</v>
      </c>
      <c r="I2881" s="521">
        <f>G2881</f>
        <v/>
      </c>
      <c r="K2881" s="521">
        <f>I2881-G2881</f>
        <v/>
      </c>
      <c r="M2881" s="522" t="inlineStr">
        <is>
          <t>22002908</t>
        </is>
      </c>
      <c r="N2881" s="522" t="inlineStr">
        <is>
          <t>22002908</t>
        </is>
      </c>
      <c r="O2881" s="521">
        <f>M2881=N2881</f>
        <v/>
      </c>
      <c r="P2881" s="521">
        <f>AND(MONTH(F2881)=MONTH(S2881), YEAR(F2881)=YEAR(S2881))</f>
        <v/>
      </c>
      <c r="Q2881" s="521">
        <f>U2881="L001-901905215"</f>
        <v/>
      </c>
      <c r="R2881" s="556">
        <f>G2881-W2881</f>
        <v/>
      </c>
      <c r="S2881" s="523" t="n">
        <v>44791</v>
      </c>
      <c r="T2881" s="522" t="inlineStr">
        <is>
          <t>22-002908</t>
        </is>
      </c>
      <c r="U2881" s="522" t="inlineStr">
        <is>
          <t>L001-901905215</t>
        </is>
      </c>
      <c r="V2881" s="522" t="inlineStr">
        <is>
          <t>វីអ៊ីស៊ិន (ខេមបូឌា) អ៊ិនដាសស្ទ្រី ឯ.ក</t>
        </is>
      </c>
      <c r="W2881" s="556" t="n">
        <v>20535</v>
      </c>
    </row>
    <row r="2882">
      <c r="A2882" s="521" t="n">
        <v>2874</v>
      </c>
      <c r="B2882" s="522" t="inlineStr">
        <is>
          <t>Monthly Tax Declaration for Aug 2022 service</t>
        </is>
      </c>
      <c r="C2882" s="522" t="inlineStr">
        <is>
          <t>យីងកឺ ខេម ថេក អ៊ែតវ៉ាយហ្សឺរី ឯ.ក</t>
        </is>
      </c>
      <c r="D2882" s="522" t="inlineStr">
        <is>
          <t>K003-902005313</t>
        </is>
      </c>
      <c r="E2882" s="521" t="inlineStr">
        <is>
          <t>YKT22-176</t>
        </is>
      </c>
      <c r="F2882" s="523" t="n">
        <v>44774</v>
      </c>
      <c r="G2882" s="556" t="n">
        <v>574840</v>
      </c>
      <c r="I2882" s="521">
        <f>G2882</f>
        <v/>
      </c>
      <c r="K2882" s="521">
        <f>I2882-G2882</f>
        <v/>
      </c>
      <c r="M2882" s="522" t="inlineStr">
        <is>
          <t>YKT22176</t>
        </is>
      </c>
      <c r="N2882" s="522" t="inlineStr">
        <is>
          <t>YKT22176</t>
        </is>
      </c>
      <c r="O2882" s="521">
        <f>M2882=N2882</f>
        <v/>
      </c>
      <c r="P2882" s="521">
        <f>AND(MONTH(F2882)=MONTH(S2882), YEAR(F2882)=YEAR(S2882))</f>
        <v/>
      </c>
      <c r="Q2882" s="521">
        <f>U2882="L001-901905215"</f>
        <v/>
      </c>
      <c r="R2882" s="556">
        <f>G2882-W2882</f>
        <v/>
      </c>
      <c r="S2882" s="523" t="n">
        <v>44774</v>
      </c>
      <c r="T2882" s="522" t="inlineStr">
        <is>
          <t>YKT22-176</t>
        </is>
      </c>
      <c r="U2882" s="522" t="inlineStr">
        <is>
          <t>L001-901905215</t>
        </is>
      </c>
      <c r="V2882" s="522" t="inlineStr">
        <is>
          <t>វីអ៊ីស៊ិន (ខេមបូឌា) អ៊ិនដាសស្ទ្រី ឯ.ក</t>
        </is>
      </c>
      <c r="W2882" s="556" t="n">
        <v>574840</v>
      </c>
    </row>
    <row r="2883">
      <c r="A2883" s="521" t="n">
        <v>2875</v>
      </c>
      <c r="B2883" s="522" t="inlineStr">
        <is>
          <t>External Audit Service Fee</t>
        </is>
      </c>
      <c r="C2883" s="522" t="inlineStr">
        <is>
          <t>យីងកឺ ខេម ថេក អ៊ែតវ៉ាយហ្សឺរី ឯ.ក</t>
        </is>
      </c>
      <c r="D2883" s="522" t="inlineStr">
        <is>
          <t>K003-902005313</t>
        </is>
      </c>
      <c r="E2883" s="521" t="inlineStr">
        <is>
          <t>YKT22-174</t>
        </is>
      </c>
      <c r="F2883" s="523" t="n">
        <v>44774</v>
      </c>
      <c r="G2883" s="556" t="n">
        <v>1026500</v>
      </c>
      <c r="I2883" s="521">
        <f>G2883</f>
        <v/>
      </c>
      <c r="K2883" s="521">
        <f>I2883-G2883</f>
        <v/>
      </c>
      <c r="M2883" s="522" t="inlineStr">
        <is>
          <t>YKT22174</t>
        </is>
      </c>
      <c r="N2883" s="522" t="inlineStr">
        <is>
          <t>YKT22174</t>
        </is>
      </c>
      <c r="O2883" s="521">
        <f>M2883=N2883</f>
        <v/>
      </c>
      <c r="P2883" s="521">
        <f>AND(MONTH(F2883)=MONTH(S2883), YEAR(F2883)=YEAR(S2883))</f>
        <v/>
      </c>
      <c r="Q2883" s="521">
        <f>U2883="L001-901905215"</f>
        <v/>
      </c>
      <c r="R2883" s="556">
        <f>G2883-W2883</f>
        <v/>
      </c>
      <c r="S2883" s="523" t="n">
        <v>44774</v>
      </c>
      <c r="T2883" s="522" t="inlineStr">
        <is>
          <t>YKT22-174</t>
        </is>
      </c>
      <c r="U2883" s="522" t="inlineStr">
        <is>
          <t>L001-901905215</t>
        </is>
      </c>
      <c r="V2883" s="522" t="inlineStr">
        <is>
          <t>វីអ៊ីស៊ិន (ខេមបូឌា) អ៊ិនដាសស្ទ្រី ឯ.ក</t>
        </is>
      </c>
      <c r="W2883" s="556" t="n">
        <v>1026500</v>
      </c>
    </row>
    <row r="2884">
      <c r="A2884" s="521" t="n">
        <v>2876</v>
      </c>
      <c r="B2884" s="522" t="inlineStr">
        <is>
          <t>Installation Fee</t>
        </is>
      </c>
      <c r="C2884" s="522" t="inlineStr">
        <is>
          <t>ស៊ីនកឺ ថេកណឡជី ឯ.ក</t>
        </is>
      </c>
      <c r="D2884" s="522" t="inlineStr">
        <is>
          <t>K009-902203141</t>
        </is>
      </c>
      <c r="E2884" s="521" t="inlineStr">
        <is>
          <t>202200003</t>
        </is>
      </c>
      <c r="F2884" s="523" t="n">
        <v>44778</v>
      </c>
      <c r="G2884" s="556" t="n">
        <v>944840</v>
      </c>
      <c r="I2884" s="521">
        <f>G2884</f>
        <v/>
      </c>
      <c r="K2884" s="521">
        <f>I2884-G2884</f>
        <v/>
      </c>
      <c r="M2884" s="522" t="inlineStr">
        <is>
          <t>202200003</t>
        </is>
      </c>
      <c r="N2884" s="522" t="inlineStr">
        <is>
          <t>202200003</t>
        </is>
      </c>
      <c r="O2884" s="521">
        <f>M2884=N2884</f>
        <v/>
      </c>
      <c r="P2884" s="521">
        <f>AND(MONTH(F2884)=MONTH(S2884), YEAR(F2884)=YEAR(S2884))</f>
        <v/>
      </c>
      <c r="Q2884" s="521">
        <f>U2884="L001-901905215"</f>
        <v/>
      </c>
      <c r="R2884" s="556">
        <f>G2884-W2884</f>
        <v/>
      </c>
      <c r="S2884" s="523" t="n">
        <v>44778</v>
      </c>
      <c r="T2884" s="522" t="inlineStr">
        <is>
          <t>202200003</t>
        </is>
      </c>
      <c r="U2884" s="522" t="inlineStr">
        <is>
          <t>L001-901905215</t>
        </is>
      </c>
      <c r="V2884" s="522" t="inlineStr">
        <is>
          <t>វីអ៊ីស៊ិន (ខេមបូឌា) អ៊ិនដាសស្ទ្រី ឯ.ក</t>
        </is>
      </c>
      <c r="W2884" s="556" t="n">
        <v>944840</v>
      </c>
    </row>
    <row r="2885">
      <c r="A2885" s="521" t="n">
        <v>2877</v>
      </c>
      <c r="B2885" s="522" t="inlineStr">
        <is>
          <t>Express Fee</t>
        </is>
      </c>
      <c r="C2885" s="522" t="inlineStr">
        <is>
          <t>ឌី អេច អិល អិចប្រេស (ខេមបូឌា)</t>
        </is>
      </c>
      <c r="D2885" s="522" t="inlineStr">
        <is>
          <t>L001-100045197</t>
        </is>
      </c>
      <c r="E2885" s="521" t="inlineStr">
        <is>
          <t>PNHR000431231</t>
        </is>
      </c>
      <c r="F2885" s="523" t="n">
        <v>44777</v>
      </c>
      <c r="G2885" s="556" t="n">
        <v>4457</v>
      </c>
      <c r="I2885" s="521">
        <f>G2885</f>
        <v/>
      </c>
      <c r="K2885" s="521">
        <f>I2885-G2885</f>
        <v/>
      </c>
      <c r="M2885" s="522" t="inlineStr">
        <is>
          <t>PNHR000431231</t>
        </is>
      </c>
      <c r="N2885" s="522" t="inlineStr">
        <is>
          <t>PNHR000431231</t>
        </is>
      </c>
      <c r="O2885" s="521">
        <f>M2885=N2885</f>
        <v/>
      </c>
      <c r="P2885" s="521">
        <f>AND(MONTH(F2885)=MONTH(S2885), YEAR(F2885)=YEAR(S2885))</f>
        <v/>
      </c>
      <c r="Q2885" s="521">
        <f>U2885="L001-901905215"</f>
        <v/>
      </c>
      <c r="R2885" s="556">
        <f>G2885-W2885</f>
        <v/>
      </c>
      <c r="S2885" s="523" t="n">
        <v>44777</v>
      </c>
      <c r="T2885" s="522" t="inlineStr">
        <is>
          <t>PNHR000431231</t>
        </is>
      </c>
      <c r="U2885" s="522" t="inlineStr">
        <is>
          <t>L001-901905215</t>
        </is>
      </c>
      <c r="V2885" s="522" t="inlineStr">
        <is>
          <t>វីអ៊ីស៊ិន (ខេមបូឌា) អ៊ិនដាសស្ទ្រី ឯ.ក</t>
        </is>
      </c>
      <c r="W2885" s="556" t="n">
        <v>4459</v>
      </c>
    </row>
    <row r="2886">
      <c r="A2886" s="521" t="n">
        <v>2878</v>
      </c>
      <c r="B2886" s="522" t="inlineStr">
        <is>
          <t>Express Fee</t>
        </is>
      </c>
      <c r="C2886" s="522" t="inlineStr">
        <is>
          <t>ឌី អេច អិល អិចប្រេស (ខេមបូឌា)</t>
        </is>
      </c>
      <c r="D2886" s="522" t="inlineStr">
        <is>
          <t>L001-100045197</t>
        </is>
      </c>
      <c r="E2886" s="521" t="inlineStr">
        <is>
          <t>PNHR000430194</t>
        </is>
      </c>
      <c r="F2886" s="523" t="n">
        <v>44774</v>
      </c>
      <c r="G2886" s="556" t="n">
        <v>38850</v>
      </c>
      <c r="I2886" s="521">
        <f>G2886</f>
        <v/>
      </c>
      <c r="K2886" s="521">
        <f>I2886-G2886</f>
        <v/>
      </c>
      <c r="M2886" s="522" t="inlineStr">
        <is>
          <t>PNHR000430194</t>
        </is>
      </c>
      <c r="N2886" s="522" t="inlineStr"/>
      <c r="O2886" s="521">
        <f>M2886=N2886</f>
        <v/>
      </c>
      <c r="P2886" s="521">
        <f>AND(MONTH(F2886)=MONTH(S2886), YEAR(F2886)=YEAR(S2886))</f>
        <v/>
      </c>
      <c r="Q2886" s="521">
        <f>U2886="L001-901905215"</f>
        <v/>
      </c>
      <c r="R2886" s="556">
        <f>G2886-W2886</f>
        <v/>
      </c>
      <c r="S2886" s="521" t="n"/>
      <c r="T2886" s="522" t="n"/>
      <c r="U2886" s="522" t="n"/>
      <c r="V2886" s="522" t="n"/>
      <c r="W2886" s="521" t="n"/>
    </row>
    <row r="2887">
      <c r="A2887" s="521" t="n">
        <v>2879</v>
      </c>
      <c r="B2887" s="522" t="inlineStr">
        <is>
          <t>Express Fee</t>
        </is>
      </c>
      <c r="C2887" s="522" t="inlineStr">
        <is>
          <t>ឌី អេច អិល អិចប្រេស (ខេមបូឌា)</t>
        </is>
      </c>
      <c r="D2887" s="522" t="inlineStr">
        <is>
          <t>L001-100045197</t>
        </is>
      </c>
      <c r="E2887" s="521" t="inlineStr">
        <is>
          <t>PNHR000429449</t>
        </is>
      </c>
      <c r="F2887" s="523" t="n">
        <v>44774</v>
      </c>
      <c r="G2887" s="556" t="n">
        <v>5428</v>
      </c>
      <c r="I2887" s="521">
        <f>G2887</f>
        <v/>
      </c>
      <c r="K2887" s="521">
        <f>I2887-G2887</f>
        <v/>
      </c>
      <c r="M2887" s="522" t="inlineStr">
        <is>
          <t>PNHR000429449</t>
        </is>
      </c>
      <c r="N2887" s="522" t="inlineStr"/>
      <c r="O2887" s="521">
        <f>M2887=N2887</f>
        <v/>
      </c>
      <c r="P2887" s="521">
        <f>AND(MONTH(F2887)=MONTH(S2887), YEAR(F2887)=YEAR(S2887))</f>
        <v/>
      </c>
      <c r="Q2887" s="521">
        <f>U2887="L001-901905215"</f>
        <v/>
      </c>
      <c r="R2887" s="556">
        <f>G2887-W2887</f>
        <v/>
      </c>
      <c r="S2887" s="521" t="n"/>
      <c r="T2887" s="522" t="n"/>
      <c r="U2887" s="522" t="n"/>
      <c r="V2887" s="522" t="n"/>
      <c r="W2887" s="521" t="n"/>
    </row>
    <row r="2888">
      <c r="A2888" s="521" t="n">
        <v>2880</v>
      </c>
      <c r="B2888" s="522" t="inlineStr">
        <is>
          <t>Express Fee</t>
        </is>
      </c>
      <c r="C2888" s="522" t="inlineStr">
        <is>
          <t>ឌី អេច អិល អិចប្រេស (ខេមបូឌា)</t>
        </is>
      </c>
      <c r="D2888" s="522" t="inlineStr">
        <is>
          <t>L001-100045197</t>
        </is>
      </c>
      <c r="E2888" s="521" t="inlineStr">
        <is>
          <t>PNHIR00141123</t>
        </is>
      </c>
      <c r="F2888" s="523" t="n">
        <v>44774</v>
      </c>
      <c r="G2888" s="556" t="n">
        <v>1642</v>
      </c>
      <c r="I2888" s="521">
        <f>G2888</f>
        <v/>
      </c>
      <c r="K2888" s="521">
        <f>I2888-G2888</f>
        <v/>
      </c>
      <c r="M2888" s="522" t="inlineStr">
        <is>
          <t>PNHIR00141123</t>
        </is>
      </c>
      <c r="N2888" s="522" t="inlineStr"/>
      <c r="O2888" s="521">
        <f>M2888=N2888</f>
        <v/>
      </c>
      <c r="P2888" s="521">
        <f>AND(MONTH(F2888)=MONTH(S2888), YEAR(F2888)=YEAR(S2888))</f>
        <v/>
      </c>
      <c r="Q2888" s="521">
        <f>U2888="L001-901905215"</f>
        <v/>
      </c>
      <c r="R2888" s="556">
        <f>G2888-W2888</f>
        <v/>
      </c>
      <c r="S2888" s="521" t="n"/>
      <c r="T2888" s="522" t="n"/>
      <c r="U2888" s="522" t="n"/>
      <c r="V2888" s="522" t="n"/>
      <c r="W2888" s="521" t="n"/>
    </row>
    <row r="2889">
      <c r="A2889" s="521" t="n">
        <v>2881</v>
      </c>
      <c r="B2889" s="522" t="inlineStr">
        <is>
          <t>Building Rental Charge for Aug 2022</t>
        </is>
      </c>
      <c r="C2889" s="522" t="inlineStr">
        <is>
          <t>មេហ្គា លេបឹល &amp; ស្ទីកឃើរ (ខេមបូឌា)</t>
        </is>
      </c>
      <c r="D2889" s="522" t="inlineStr">
        <is>
          <t>L001-100185983</t>
        </is>
      </c>
      <c r="E2889" s="521" t="inlineStr">
        <is>
          <t>INV20220801</t>
        </is>
      </c>
      <c r="F2889" s="523" t="n">
        <v>44774</v>
      </c>
      <c r="G2889" s="556" t="n">
        <v>1412094</v>
      </c>
      <c r="I2889" s="521">
        <f>G2889</f>
        <v/>
      </c>
      <c r="K2889" s="521">
        <f>I2889-G2889</f>
        <v/>
      </c>
      <c r="M2889" s="522" t="inlineStr">
        <is>
          <t>INV20220801</t>
        </is>
      </c>
      <c r="N2889" s="522" t="inlineStr"/>
      <c r="O2889" s="521">
        <f>M2889=N2889</f>
        <v/>
      </c>
      <c r="P2889" s="521">
        <f>AND(MONTH(F2889)=MONTH(S2889), YEAR(F2889)=YEAR(S2889))</f>
        <v/>
      </c>
      <c r="Q2889" s="521">
        <f>U2889="L001-901905215"</f>
        <v/>
      </c>
      <c r="R2889" s="556">
        <f>G2889-W2889</f>
        <v/>
      </c>
      <c r="S2889" s="521" t="n"/>
      <c r="T2889" s="522" t="n"/>
      <c r="U2889" s="522" t="n"/>
      <c r="V2889" s="522" t="n"/>
      <c r="W2889" s="521" t="n"/>
    </row>
    <row r="2890">
      <c r="A2890" s="521" t="n">
        <v>2882</v>
      </c>
      <c r="B2890" s="522" t="inlineStr">
        <is>
          <t>Security Guard</t>
        </is>
      </c>
      <c r="C2890" s="522" t="inlineStr">
        <is>
          <t>អេសអេហ្វអាយ​ ស៊ីឃ្យួរឹធី ហ្វសស៍ អ៊ិនធើណេសិនណល ឯ.ក</t>
        </is>
      </c>
      <c r="D2890" s="522" t="inlineStr">
        <is>
          <t>K010-901908100</t>
        </is>
      </c>
      <c r="E2890" s="521" t="inlineStr">
        <is>
          <t>SFI2022/276</t>
        </is>
      </c>
      <c r="F2890" s="523" t="n">
        <v>44798</v>
      </c>
      <c r="G2890" s="556" t="n">
        <v>230216</v>
      </c>
      <c r="I2890" s="521">
        <f>G2890</f>
        <v/>
      </c>
      <c r="K2890" s="521">
        <f>I2890-G2890</f>
        <v/>
      </c>
      <c r="M2890" s="522" t="inlineStr">
        <is>
          <t>SFI2022276</t>
        </is>
      </c>
      <c r="N2890" s="522" t="inlineStr">
        <is>
          <t>SFI2022276</t>
        </is>
      </c>
      <c r="O2890" s="521">
        <f>M2890=N2890</f>
        <v/>
      </c>
      <c r="P2890" s="521">
        <f>AND(MONTH(F2890)=MONTH(S2890), YEAR(F2890)=YEAR(S2890))</f>
        <v/>
      </c>
      <c r="Q2890" s="521">
        <f>U2890="L001-901905215"</f>
        <v/>
      </c>
      <c r="R2890" s="556">
        <f>G2890-W2890</f>
        <v/>
      </c>
      <c r="S2890" s="523" t="n">
        <v>44798</v>
      </c>
      <c r="T2890" s="522" t="inlineStr">
        <is>
          <t>SFI2022/276</t>
        </is>
      </c>
      <c r="U2890" s="522" t="inlineStr">
        <is>
          <t>L001-901905215</t>
        </is>
      </c>
      <c r="V2890" s="522" t="inlineStr">
        <is>
          <t>វីអ៊ីស៊ិន (ខេមបូឌា) អ៊ិនដាសស្ទ្រី ឯ.ក</t>
        </is>
      </c>
      <c r="W2890" s="556" t="n">
        <v>230384</v>
      </c>
    </row>
    <row r="2891">
      <c r="A2891" s="521" t="n">
        <v>2883</v>
      </c>
      <c r="B2891" s="522" t="inlineStr">
        <is>
          <t>Infrastructure Maintenance fee for Aug 2022</t>
        </is>
      </c>
      <c r="C2891" s="522" t="inlineStr">
        <is>
          <t>ភ្នំពេញ អេសអ៊ីហ្សិត ភីអិលស៊ី</t>
        </is>
      </c>
      <c r="D2891" s="522" t="inlineStr">
        <is>
          <t>L001-100046592</t>
        </is>
      </c>
      <c r="E2891" s="521" t="inlineStr">
        <is>
          <t>2022-04027</t>
        </is>
      </c>
      <c r="F2891" s="523" t="n">
        <v>44791</v>
      </c>
      <c r="G2891" s="556" t="n">
        <v>166285</v>
      </c>
      <c r="I2891" s="521">
        <f>G2891</f>
        <v/>
      </c>
      <c r="K2891" s="521">
        <f>I2891-G2891</f>
        <v/>
      </c>
      <c r="M2891" s="522" t="inlineStr">
        <is>
          <t>202204027</t>
        </is>
      </c>
      <c r="N2891" s="522" t="inlineStr">
        <is>
          <t>202204027</t>
        </is>
      </c>
      <c r="O2891" s="521">
        <f>M2891=N2891</f>
        <v/>
      </c>
      <c r="P2891" s="521">
        <f>AND(MONTH(F2891)=MONTH(S2891), YEAR(F2891)=YEAR(S2891))</f>
        <v/>
      </c>
      <c r="Q2891" s="521">
        <f>U2891="L001-901905215"</f>
        <v/>
      </c>
      <c r="R2891" s="556">
        <f>G2891-W2891</f>
        <v/>
      </c>
      <c r="S2891" s="523" t="n">
        <v>44791</v>
      </c>
      <c r="T2891" s="522" t="inlineStr">
        <is>
          <t>2022-04027</t>
        </is>
      </c>
      <c r="U2891" s="522" t="inlineStr">
        <is>
          <t>L001-901905215</t>
        </is>
      </c>
      <c r="V2891" s="522" t="inlineStr">
        <is>
          <t>វីអ៊ីស៊ិន (ខេមបូឌា) អ៊ិនដាសស្ទ្រី ឯ.ក</t>
        </is>
      </c>
      <c r="W2891" s="556" t="n">
        <v>166285</v>
      </c>
    </row>
    <row r="2892">
      <c r="A2892" s="521" t="n">
        <v>2884</v>
      </c>
      <c r="B2892" s="522" t="inlineStr">
        <is>
          <t>Infrastructure Maintenance fee for Aug 2022</t>
        </is>
      </c>
      <c r="C2892" s="522" t="inlineStr">
        <is>
          <t>ភ្នំពេញ អេសអ៊ីហ្សិត ភីអិលស៊ី</t>
        </is>
      </c>
      <c r="D2892" s="522" t="inlineStr">
        <is>
          <t>L001-100046592</t>
        </is>
      </c>
      <c r="E2892" s="521" t="inlineStr">
        <is>
          <t>2022-04108</t>
        </is>
      </c>
      <c r="F2892" s="523" t="n">
        <v>44791</v>
      </c>
      <c r="G2892" s="556" t="n">
        <v>202460</v>
      </c>
      <c r="I2892" s="521">
        <f>G2892</f>
        <v/>
      </c>
      <c r="K2892" s="521">
        <f>I2892-G2892</f>
        <v/>
      </c>
      <c r="M2892" s="522" t="inlineStr">
        <is>
          <t>202204108</t>
        </is>
      </c>
      <c r="N2892" s="522" t="inlineStr"/>
      <c r="O2892" s="521">
        <f>M2892=N2892</f>
        <v/>
      </c>
      <c r="P2892" s="521">
        <f>AND(MONTH(F2892)=MONTH(S2892), YEAR(F2892)=YEAR(S2892))</f>
        <v/>
      </c>
      <c r="Q2892" s="521">
        <f>U2892="L001-901905215"</f>
        <v/>
      </c>
      <c r="R2892" s="556">
        <f>G2892-W2892</f>
        <v/>
      </c>
      <c r="S2892" s="521" t="n"/>
      <c r="T2892" s="522" t="n"/>
      <c r="U2892" s="522" t="n"/>
      <c r="V2892" s="522" t="n"/>
      <c r="W2892" s="521" t="n"/>
    </row>
    <row r="2893">
      <c r="A2893" s="521" t="n">
        <v>2885</v>
      </c>
      <c r="B2893" s="522" t="inlineStr">
        <is>
          <t>Handing and Doc Fee</t>
        </is>
      </c>
      <c r="C2893" s="522" t="inlineStr">
        <is>
          <t>ត្រង់ស្ពីដ កាហ្កូ (កម្ពុជា)</t>
        </is>
      </c>
      <c r="D2893" s="522" t="inlineStr">
        <is>
          <t>L001-100045782</t>
        </is>
      </c>
      <c r="E2893" s="521" t="inlineStr">
        <is>
          <t>22-005881</t>
        </is>
      </c>
      <c r="F2893" s="523" t="n">
        <v>44798</v>
      </c>
      <c r="G2893" s="556" t="n">
        <v>384184</v>
      </c>
      <c r="I2893" s="521">
        <f>G2893</f>
        <v/>
      </c>
      <c r="K2893" s="521">
        <f>I2893-G2893</f>
        <v/>
      </c>
      <c r="M2893" s="522" t="inlineStr">
        <is>
          <t>22005881</t>
        </is>
      </c>
      <c r="N2893" s="522" t="inlineStr">
        <is>
          <t>22005881</t>
        </is>
      </c>
      <c r="O2893" s="521">
        <f>M2893=N2893</f>
        <v/>
      </c>
      <c r="P2893" s="521">
        <f>AND(MONTH(F2893)=MONTH(S2893), YEAR(F2893)=YEAR(S2893))</f>
        <v/>
      </c>
      <c r="Q2893" s="521">
        <f>U2893="L001-901905215"</f>
        <v/>
      </c>
      <c r="R2893" s="556">
        <f>G2893-W2893</f>
        <v/>
      </c>
      <c r="S2893" s="523" t="n">
        <v>44798</v>
      </c>
      <c r="T2893" s="522" t="inlineStr">
        <is>
          <t>22-005881</t>
        </is>
      </c>
      <c r="U2893" s="522" t="inlineStr">
        <is>
          <t>L001-901905215</t>
        </is>
      </c>
      <c r="V2893" s="522" t="inlineStr">
        <is>
          <t>វីអ៊ីស៊ិន (ខេមបូឌា) អ៊ិនដាសស្ទ្រី ឯ.ក</t>
        </is>
      </c>
      <c r="W2893" s="556" t="n">
        <v>384185</v>
      </c>
    </row>
    <row r="2894">
      <c r="A2894" s="521" t="n">
        <v>2886</v>
      </c>
      <c r="B2894" s="522" t="inlineStr">
        <is>
          <t>KHCIC</t>
        </is>
      </c>
      <c r="C2894" s="522" t="inlineStr">
        <is>
          <t>អេសអាយធីស៊ី ខិនថេនើរ ឡាញ (ខេមបូឌា)</t>
        </is>
      </c>
      <c r="D2894" s="522" t="inlineStr">
        <is>
          <t>L001-107035863</t>
        </is>
      </c>
      <c r="E2894" s="521" t="inlineStr">
        <is>
          <t>SITC2022-018262</t>
        </is>
      </c>
      <c r="F2894" s="523" t="n">
        <v>44795</v>
      </c>
      <c r="G2894" s="556" t="n">
        <v>141726</v>
      </c>
      <c r="I2894" s="521">
        <f>G2894</f>
        <v/>
      </c>
      <c r="K2894" s="521">
        <f>I2894-G2894</f>
        <v/>
      </c>
      <c r="M2894" s="522" t="inlineStr">
        <is>
          <t>SITC2022018262</t>
        </is>
      </c>
      <c r="N2894" s="522" t="inlineStr">
        <is>
          <t>SITC2022018262</t>
        </is>
      </c>
      <c r="O2894" s="521">
        <f>M2894=N2894</f>
        <v/>
      </c>
      <c r="P2894" s="521">
        <f>AND(MONTH(F2894)=MONTH(S2894), YEAR(F2894)=YEAR(S2894))</f>
        <v/>
      </c>
      <c r="Q2894" s="521">
        <f>U2894="L001-901905215"</f>
        <v/>
      </c>
      <c r="R2894" s="556">
        <f>G2894-W2894</f>
        <v/>
      </c>
      <c r="S2894" s="523" t="n">
        <v>44795</v>
      </c>
      <c r="T2894" s="522" t="inlineStr">
        <is>
          <t>SITC2022-018262</t>
        </is>
      </c>
      <c r="U2894" s="522" t="inlineStr">
        <is>
          <t>L001-901905215</t>
        </is>
      </c>
      <c r="V2894" s="522" t="inlineStr">
        <is>
          <t>វីអ៊ីស៊ិន (ខេមបូឌា) អ៊ិនដាសស្ទ្រី ឯ.ក</t>
        </is>
      </c>
      <c r="W2894" s="556" t="n">
        <v>141726</v>
      </c>
    </row>
    <row r="2895">
      <c r="A2895" s="521" t="n">
        <v>2887</v>
      </c>
      <c r="B2895" s="522" t="inlineStr">
        <is>
          <t>Lift-On &amp; Lift-Off</t>
        </is>
      </c>
      <c r="C2895" s="522" t="inlineStr">
        <is>
          <t>កំពង់ផែស្វយ័តក្រុងព្រះសីហនុ</t>
        </is>
      </c>
      <c r="D2895" s="522" t="inlineStr">
        <is>
          <t>L001-100044638</t>
        </is>
      </c>
      <c r="E2895" s="521" t="inlineStr">
        <is>
          <t>154807</t>
        </is>
      </c>
      <c r="F2895" s="523" t="n">
        <v>44798</v>
      </c>
      <c r="G2895" s="556" t="n">
        <v>23433</v>
      </c>
      <c r="I2895" s="521">
        <f>G2895</f>
        <v/>
      </c>
      <c r="K2895" s="521">
        <f>I2895-G2895</f>
        <v/>
      </c>
      <c r="M2895" s="522" t="inlineStr">
        <is>
          <t>154807</t>
        </is>
      </c>
      <c r="N2895" s="522" t="inlineStr"/>
      <c r="O2895" s="521">
        <f>M2895=N2895</f>
        <v/>
      </c>
      <c r="P2895" s="521">
        <f>AND(MONTH(F2895)=MONTH(S2895), YEAR(F2895)=YEAR(S2895))</f>
        <v/>
      </c>
      <c r="Q2895" s="521">
        <f>U2895="L001-901905215"</f>
        <v/>
      </c>
      <c r="R2895" s="556">
        <f>G2895-W2895</f>
        <v/>
      </c>
      <c r="S2895" s="521" t="n"/>
      <c r="T2895" s="522" t="n"/>
      <c r="U2895" s="522" t="n"/>
      <c r="V2895" s="522" t="n"/>
      <c r="W2895" s="521" t="n"/>
    </row>
    <row r="2896">
      <c r="A2896" s="521" t="n">
        <v>2888</v>
      </c>
      <c r="B2896" s="522" t="inlineStr">
        <is>
          <t>Clearance &amp; Trucking Fee</t>
        </is>
      </c>
      <c r="C2896" s="522" t="inlineStr">
        <is>
          <t>ហាវតាយ អ៊ិនធើណេសិនណល ឡូជីស្ទីក ឯ.ក</t>
        </is>
      </c>
      <c r="D2896" s="522" t="inlineStr">
        <is>
          <t>K007-902202863</t>
        </is>
      </c>
      <c r="E2896" s="521" t="inlineStr">
        <is>
          <t>HT220025</t>
        </is>
      </c>
      <c r="F2896" s="523" t="n">
        <v>44804</v>
      </c>
      <c r="G2896" s="556" t="n">
        <v>242726</v>
      </c>
      <c r="I2896" s="521">
        <f>G2896</f>
        <v/>
      </c>
      <c r="K2896" s="521">
        <f>I2896-G2896</f>
        <v/>
      </c>
      <c r="M2896" s="522" t="inlineStr">
        <is>
          <t>HT220025</t>
        </is>
      </c>
      <c r="N2896" s="522" t="inlineStr">
        <is>
          <t>HT220025</t>
        </is>
      </c>
      <c r="O2896" s="521">
        <f>M2896=N2896</f>
        <v/>
      </c>
      <c r="P2896" s="521">
        <f>AND(MONTH(F2896)=MONTH(S2896), YEAR(F2896)=YEAR(S2896))</f>
        <v/>
      </c>
      <c r="Q2896" s="521">
        <f>U2896="L001-901905215"</f>
        <v/>
      </c>
      <c r="R2896" s="556">
        <f>G2896-W2896</f>
        <v/>
      </c>
      <c r="S2896" s="523" t="n">
        <v>44804</v>
      </c>
      <c r="T2896" s="522" t="inlineStr">
        <is>
          <t>HT220025</t>
        </is>
      </c>
      <c r="U2896" s="522" t="inlineStr">
        <is>
          <t>L001-901905215</t>
        </is>
      </c>
      <c r="V2896" s="522" t="inlineStr">
        <is>
          <t>វីអ៊ីស៊ិន (ខេមបូឌា) អ៊ិនដាសស្ទ្រី ឯ.ក</t>
        </is>
      </c>
      <c r="W2896" s="556" t="n">
        <v>242726</v>
      </c>
    </row>
    <row r="2897">
      <c r="A2897" s="521" t="n">
        <v>2889</v>
      </c>
      <c r="B2897" s="522" t="inlineStr">
        <is>
          <t>KHCIC</t>
        </is>
      </c>
      <c r="C2897" s="522" t="inlineStr">
        <is>
          <t>អេសអាយធីស៊ី ខិនថេនើរ ឡាញ (ខេមបូឌា)</t>
        </is>
      </c>
      <c r="D2897" s="522" t="inlineStr">
        <is>
          <t>L001-107035863</t>
        </is>
      </c>
      <c r="E2897" s="521" t="inlineStr">
        <is>
          <t>SITC2022-018104</t>
        </is>
      </c>
      <c r="F2897" s="523" t="n">
        <v>44791</v>
      </c>
      <c r="G2897" s="556" t="n">
        <v>227939</v>
      </c>
      <c r="I2897" s="521">
        <f>G2897</f>
        <v/>
      </c>
      <c r="K2897" s="521">
        <f>I2897-G2897</f>
        <v/>
      </c>
      <c r="M2897" s="522" t="inlineStr">
        <is>
          <t>SITC2022018104</t>
        </is>
      </c>
      <c r="N2897" s="522" t="inlineStr">
        <is>
          <t>SITC2022018104</t>
        </is>
      </c>
      <c r="O2897" s="521">
        <f>M2897=N2897</f>
        <v/>
      </c>
      <c r="P2897" s="521">
        <f>AND(MONTH(F2897)=MONTH(S2897), YEAR(F2897)=YEAR(S2897))</f>
        <v/>
      </c>
      <c r="Q2897" s="521">
        <f>U2897="L001-901905215"</f>
        <v/>
      </c>
      <c r="R2897" s="556">
        <f>G2897-W2897</f>
        <v/>
      </c>
      <c r="S2897" s="523" t="n">
        <v>44791</v>
      </c>
      <c r="T2897" s="522" t="inlineStr">
        <is>
          <t>SITC2022-018104</t>
        </is>
      </c>
      <c r="U2897" s="522" t="inlineStr">
        <is>
          <t>L001-901905215</t>
        </is>
      </c>
      <c r="V2897" s="522" t="inlineStr">
        <is>
          <t>វីអ៊ីស៊ិន (ខេមបូឌា) អ៊ិនដាសស្ទ្រី ឯ.ក</t>
        </is>
      </c>
      <c r="W2897" s="556" t="n">
        <v>227939</v>
      </c>
    </row>
    <row r="2898">
      <c r="A2898" s="521" t="n">
        <v>2890</v>
      </c>
      <c r="B2898" s="522" t="inlineStr">
        <is>
          <t>Lift-On &amp; Lift-Off</t>
        </is>
      </c>
      <c r="C2898" s="522" t="inlineStr">
        <is>
          <t>កំពង់ផែស្វយ័តក្រុងព្រះសីហនុ</t>
        </is>
      </c>
      <c r="D2898" s="522" t="inlineStr">
        <is>
          <t>L001-100044638</t>
        </is>
      </c>
      <c r="E2898" s="521" t="inlineStr">
        <is>
          <t>153586</t>
        </is>
      </c>
      <c r="F2898" s="523" t="n">
        <v>44797</v>
      </c>
      <c r="G2898" s="556" t="n">
        <v>35748</v>
      </c>
      <c r="I2898" s="521">
        <f>G2898</f>
        <v/>
      </c>
      <c r="K2898" s="521">
        <f>I2898-G2898</f>
        <v/>
      </c>
      <c r="M2898" s="522" t="inlineStr">
        <is>
          <t>153586</t>
        </is>
      </c>
      <c r="N2898" s="522" t="inlineStr"/>
      <c r="O2898" s="521">
        <f>M2898=N2898</f>
        <v/>
      </c>
      <c r="P2898" s="521">
        <f>AND(MONTH(F2898)=MONTH(S2898), YEAR(F2898)=YEAR(S2898))</f>
        <v/>
      </c>
      <c r="Q2898" s="521">
        <f>U2898="L001-901905215"</f>
        <v/>
      </c>
      <c r="R2898" s="556">
        <f>G2898-W2898</f>
        <v/>
      </c>
      <c r="S2898" s="521" t="n"/>
      <c r="T2898" s="522" t="n"/>
      <c r="U2898" s="522" t="n"/>
      <c r="V2898" s="522" t="n"/>
      <c r="W2898" s="521" t="n"/>
    </row>
    <row r="2899">
      <c r="A2899" s="521" t="n">
        <v>2891</v>
      </c>
      <c r="B2899" s="522" t="inlineStr">
        <is>
          <t>Clearance &amp; Trucking Fee</t>
        </is>
      </c>
      <c r="C2899" s="522" t="inlineStr">
        <is>
          <t>ហាវតាយ អ៊ិនធើណេសិនណល ឡូជីស្ទីក ឯ.ក</t>
        </is>
      </c>
      <c r="D2899" s="522" t="inlineStr">
        <is>
          <t>K007-902202863</t>
        </is>
      </c>
      <c r="E2899" s="521" t="inlineStr">
        <is>
          <t>HT220024</t>
        </is>
      </c>
      <c r="F2899" s="523" t="n">
        <v>44804</v>
      </c>
      <c r="G2899" s="556" t="n">
        <v>250954</v>
      </c>
      <c r="I2899" s="521">
        <f>G2899</f>
        <v/>
      </c>
      <c r="K2899" s="521">
        <f>I2899-G2899</f>
        <v/>
      </c>
      <c r="M2899" s="522" t="inlineStr">
        <is>
          <t>HT220024</t>
        </is>
      </c>
      <c r="N2899" s="522" t="inlineStr">
        <is>
          <t>HT220024</t>
        </is>
      </c>
      <c r="O2899" s="521">
        <f>M2899=N2899</f>
        <v/>
      </c>
      <c r="P2899" s="521">
        <f>AND(MONTH(F2899)=MONTH(S2899), YEAR(F2899)=YEAR(S2899))</f>
        <v/>
      </c>
      <c r="Q2899" s="521">
        <f>U2899="L001-901905215"</f>
        <v/>
      </c>
      <c r="R2899" s="556">
        <f>G2899-W2899</f>
        <v/>
      </c>
      <c r="S2899" s="523" t="n">
        <v>44804</v>
      </c>
      <c r="T2899" s="522" t="inlineStr">
        <is>
          <t>HT220024</t>
        </is>
      </c>
      <c r="U2899" s="522" t="inlineStr">
        <is>
          <t>L001-901905215</t>
        </is>
      </c>
      <c r="V2899" s="522" t="inlineStr">
        <is>
          <t>វីអ៊ីស៊ិន (ខេមបូឌា) អ៊ិនដាសស្ទ្រី ឯ.ក</t>
        </is>
      </c>
      <c r="W2899" s="556" t="n">
        <v>250954</v>
      </c>
    </row>
    <row r="2900">
      <c r="A2900" s="521" t="n">
        <v>2892</v>
      </c>
      <c r="B2900" s="522" t="inlineStr">
        <is>
          <t>KHCIC</t>
        </is>
      </c>
      <c r="C2900" s="522" t="inlineStr">
        <is>
          <t>អេសអាយធីស៊ី ខិនថេនើរ ឡាញ (ខេមបូឌា)</t>
        </is>
      </c>
      <c r="D2900" s="522" t="inlineStr">
        <is>
          <t>L001-107035863</t>
        </is>
      </c>
      <c r="E2900" s="521" t="inlineStr">
        <is>
          <t>SITC2022-016634</t>
        </is>
      </c>
      <c r="F2900" s="523" t="n">
        <v>44774</v>
      </c>
      <c r="G2900" s="556" t="n">
        <v>141623</v>
      </c>
      <c r="I2900" s="521">
        <f>G2900</f>
        <v/>
      </c>
      <c r="K2900" s="521">
        <f>I2900-G2900</f>
        <v/>
      </c>
      <c r="M2900" s="522" t="inlineStr">
        <is>
          <t>SITC2022016634</t>
        </is>
      </c>
      <c r="N2900" s="522" t="inlineStr"/>
      <c r="O2900" s="521">
        <f>M2900=N2900</f>
        <v/>
      </c>
      <c r="P2900" s="521">
        <f>AND(MONTH(F2900)=MONTH(S2900), YEAR(F2900)=YEAR(S2900))</f>
        <v/>
      </c>
      <c r="Q2900" s="521">
        <f>U2900="L001-901905215"</f>
        <v/>
      </c>
      <c r="R2900" s="556">
        <f>G2900-W2900</f>
        <v/>
      </c>
      <c r="S2900" s="521" t="n"/>
      <c r="T2900" s="522" t="n"/>
      <c r="U2900" s="522" t="n"/>
      <c r="V2900" s="522" t="n"/>
      <c r="W2900" s="521" t="n"/>
    </row>
    <row r="2901">
      <c r="A2901" s="521" t="n">
        <v>2893</v>
      </c>
      <c r="B2901" s="522" t="inlineStr">
        <is>
          <t>Lift-On &amp; Lift-Off</t>
        </is>
      </c>
      <c r="C2901" s="522" t="inlineStr">
        <is>
          <t>កំពង់ផែស្វយ័តក្រុងព្រះសីហនុ</t>
        </is>
      </c>
      <c r="D2901" s="522" t="inlineStr">
        <is>
          <t>L001-100044638</t>
        </is>
      </c>
      <c r="E2901" s="521" t="inlineStr">
        <is>
          <t>141263</t>
        </is>
      </c>
      <c r="F2901" s="523" t="n">
        <v>44776</v>
      </c>
      <c r="G2901" s="556" t="n">
        <v>23410</v>
      </c>
      <c r="I2901" s="521">
        <f>G2901</f>
        <v/>
      </c>
      <c r="K2901" s="521">
        <f>I2901-G2901</f>
        <v/>
      </c>
      <c r="M2901" s="522" t="inlineStr">
        <is>
          <t>141263</t>
        </is>
      </c>
      <c r="N2901" s="522" t="inlineStr"/>
      <c r="O2901" s="521">
        <f>M2901=N2901</f>
        <v/>
      </c>
      <c r="P2901" s="521">
        <f>AND(MONTH(F2901)=MONTH(S2901), YEAR(F2901)=YEAR(S2901))</f>
        <v/>
      </c>
      <c r="Q2901" s="521">
        <f>U2901="L001-901905215"</f>
        <v/>
      </c>
      <c r="R2901" s="556">
        <f>G2901-W2901</f>
        <v/>
      </c>
      <c r="S2901" s="521" t="n"/>
      <c r="T2901" s="522" t="n"/>
      <c r="U2901" s="522" t="n"/>
      <c r="V2901" s="522" t="n"/>
      <c r="W2901" s="521" t="n"/>
    </row>
    <row r="2902">
      <c r="A2902" s="521" t="n">
        <v>2894</v>
      </c>
      <c r="B2902" s="522" t="inlineStr">
        <is>
          <t>Clearance &amp; Trucking Fee</t>
        </is>
      </c>
      <c r="C2902" s="522" t="inlineStr">
        <is>
          <t>ហាវតាយ អ៊ិនធើណេសិនណល ឡូជីស្ទីក ឯ.ក</t>
        </is>
      </c>
      <c r="D2902" s="522" t="inlineStr">
        <is>
          <t>K007-902202863</t>
        </is>
      </c>
      <c r="E2902" s="521" t="inlineStr">
        <is>
          <t>HT220023</t>
        </is>
      </c>
      <c r="F2902" s="523" t="n">
        <v>44804</v>
      </c>
      <c r="G2902" s="556" t="n">
        <v>242726</v>
      </c>
      <c r="I2902" s="521">
        <f>G2902</f>
        <v/>
      </c>
      <c r="K2902" s="521">
        <f>I2902-G2902</f>
        <v/>
      </c>
      <c r="M2902" s="522" t="inlineStr">
        <is>
          <t>HT220023</t>
        </is>
      </c>
      <c r="N2902" s="522" t="inlineStr">
        <is>
          <t>HT220023</t>
        </is>
      </c>
      <c r="O2902" s="521">
        <f>M2902=N2902</f>
        <v/>
      </c>
      <c r="P2902" s="521">
        <f>AND(MONTH(F2902)=MONTH(S2902), YEAR(F2902)=YEAR(S2902))</f>
        <v/>
      </c>
      <c r="Q2902" s="521">
        <f>U2902="L001-901905215"</f>
        <v/>
      </c>
      <c r="R2902" s="556">
        <f>G2902-W2902</f>
        <v/>
      </c>
      <c r="S2902" s="523" t="n">
        <v>44804</v>
      </c>
      <c r="T2902" s="522" t="inlineStr">
        <is>
          <t>HT220023</t>
        </is>
      </c>
      <c r="U2902" s="522" t="inlineStr">
        <is>
          <t>L001-901905215</t>
        </is>
      </c>
      <c r="V2902" s="522" t="inlineStr">
        <is>
          <t>វីអ៊ីស៊ិន (ខេមបូឌា) អ៊ិនដាសស្ទ្រី ឯ.ក</t>
        </is>
      </c>
      <c r="W2902" s="556" t="n">
        <v>242726</v>
      </c>
    </row>
    <row r="2903">
      <c r="A2903" s="521" t="n">
        <v>2895</v>
      </c>
      <c r="B2903" s="522" t="inlineStr">
        <is>
          <t>Transportation fee</t>
        </is>
      </c>
      <c r="C2903" s="522" t="inlineStr">
        <is>
          <t>មើស្គ (ខេមបូឌា)</t>
        </is>
      </c>
      <c r="D2903" s="522" t="inlineStr">
        <is>
          <t>L001-100045200</t>
        </is>
      </c>
      <c r="E2903" s="521" t="inlineStr">
        <is>
          <t>5995899444</t>
        </is>
      </c>
      <c r="F2903" s="523" t="n">
        <v>44774</v>
      </c>
      <c r="G2903" s="556" t="n">
        <v>91131</v>
      </c>
      <c r="I2903" s="521">
        <f>G2903</f>
        <v/>
      </c>
      <c r="K2903" s="521">
        <f>I2903-G2903</f>
        <v/>
      </c>
      <c r="M2903" s="522" t="inlineStr">
        <is>
          <t>5995899444</t>
        </is>
      </c>
      <c r="N2903" s="522" t="inlineStr"/>
      <c r="O2903" s="521">
        <f>M2903=N2903</f>
        <v/>
      </c>
      <c r="P2903" s="521">
        <f>AND(MONTH(F2903)=MONTH(S2903), YEAR(F2903)=YEAR(S2903))</f>
        <v/>
      </c>
      <c r="Q2903" s="521">
        <f>U2903="L001-901905215"</f>
        <v/>
      </c>
      <c r="R2903" s="556">
        <f>G2903-W2903</f>
        <v/>
      </c>
      <c r="S2903" s="521" t="n"/>
      <c r="T2903" s="522" t="n"/>
      <c r="U2903" s="522" t="n"/>
      <c r="V2903" s="522" t="n"/>
      <c r="W2903" s="521" t="n"/>
    </row>
    <row r="2904">
      <c r="A2904" s="521" t="n">
        <v>2896</v>
      </c>
      <c r="B2904" s="522" t="inlineStr">
        <is>
          <t>Lift-On &amp; Lift-Off</t>
        </is>
      </c>
      <c r="C2904" s="522" t="inlineStr">
        <is>
          <t>កំពង់ផែស្វយ័តក្រុងព្រះសីហនុ</t>
        </is>
      </c>
      <c r="D2904" s="522" t="inlineStr">
        <is>
          <t>L001-100044638</t>
        </is>
      </c>
      <c r="E2904" s="521" t="inlineStr">
        <is>
          <t>142460</t>
        </is>
      </c>
      <c r="F2904" s="523" t="n">
        <v>44777</v>
      </c>
      <c r="G2904" s="556" t="n">
        <v>23416</v>
      </c>
      <c r="I2904" s="521">
        <f>G2904</f>
        <v/>
      </c>
      <c r="K2904" s="521">
        <f>I2904-G2904</f>
        <v/>
      </c>
      <c r="M2904" s="522" t="inlineStr">
        <is>
          <t>142460</t>
        </is>
      </c>
      <c r="N2904" s="522" t="inlineStr"/>
      <c r="O2904" s="521">
        <f>M2904=N2904</f>
        <v/>
      </c>
      <c r="P2904" s="521">
        <f>AND(MONTH(F2904)=MONTH(S2904), YEAR(F2904)=YEAR(S2904))</f>
        <v/>
      </c>
      <c r="Q2904" s="521">
        <f>U2904="L001-901905215"</f>
        <v/>
      </c>
      <c r="R2904" s="556">
        <f>G2904-W2904</f>
        <v/>
      </c>
      <c r="S2904" s="521" t="n"/>
      <c r="T2904" s="522" t="n"/>
      <c r="U2904" s="522" t="n"/>
      <c r="V2904" s="522" t="n"/>
      <c r="W2904" s="521" t="n"/>
    </row>
    <row r="2905">
      <c r="A2905" s="521" t="n">
        <v>2897</v>
      </c>
      <c r="B2905" s="522" t="inlineStr">
        <is>
          <t>Clearance &amp; Trucking Fee</t>
        </is>
      </c>
      <c r="C2905" s="522" t="inlineStr">
        <is>
          <t>ហាវតាយ អ៊ិនធើណេសិនណល ឡូជីស្ទីក ឯ.ក</t>
        </is>
      </c>
      <c r="D2905" s="522" t="inlineStr">
        <is>
          <t>K007-902202863</t>
        </is>
      </c>
      <c r="E2905" s="521" t="inlineStr">
        <is>
          <t>HT220022</t>
        </is>
      </c>
      <c r="F2905" s="523" t="n">
        <v>44804</v>
      </c>
      <c r="G2905" s="556" t="n">
        <v>242726</v>
      </c>
      <c r="I2905" s="521">
        <f>G2905</f>
        <v/>
      </c>
      <c r="K2905" s="521">
        <f>I2905-G2905</f>
        <v/>
      </c>
      <c r="M2905" s="522" t="inlineStr">
        <is>
          <t>HT220022</t>
        </is>
      </c>
      <c r="N2905" s="522" t="inlineStr">
        <is>
          <t>HT220022</t>
        </is>
      </c>
      <c r="O2905" s="521">
        <f>M2905=N2905</f>
        <v/>
      </c>
      <c r="P2905" s="521">
        <f>AND(MONTH(F2905)=MONTH(S2905), YEAR(F2905)=YEAR(S2905))</f>
        <v/>
      </c>
      <c r="Q2905" s="521">
        <f>U2905="L001-901905215"</f>
        <v/>
      </c>
      <c r="R2905" s="556">
        <f>G2905-W2905</f>
        <v/>
      </c>
      <c r="S2905" s="523" t="n">
        <v>44804</v>
      </c>
      <c r="T2905" s="522" t="inlineStr">
        <is>
          <t>HT220022</t>
        </is>
      </c>
      <c r="U2905" s="522" t="inlineStr">
        <is>
          <t>L001-901905215</t>
        </is>
      </c>
      <c r="V2905" s="522" t="inlineStr">
        <is>
          <t>វីអ៊ីស៊ិន (ខេមបូឌា) អ៊ិនដាសស្ទ្រី ឯ.ក</t>
        </is>
      </c>
      <c r="W2905" s="556" t="n">
        <v>242726</v>
      </c>
    </row>
    <row r="2906">
      <c r="A2906" s="521" t="n">
        <v>2898</v>
      </c>
      <c r="B2906" s="522" t="inlineStr">
        <is>
          <t>KHCIC</t>
        </is>
      </c>
      <c r="C2906" s="522" t="inlineStr">
        <is>
          <t>អេសអាយធីស៊ី ខិនថេនើរ ឡាញ (ខេមបូឌា)</t>
        </is>
      </c>
      <c r="D2906" s="522" t="inlineStr">
        <is>
          <t>L001-107035863</t>
        </is>
      </c>
      <c r="E2906" s="521" t="inlineStr">
        <is>
          <t>SITC2022-015392</t>
        </is>
      </c>
      <c r="F2906" s="523" t="n">
        <v>44774</v>
      </c>
      <c r="G2906" s="556" t="n">
        <v>227605</v>
      </c>
      <c r="I2906" s="521">
        <f>G2906</f>
        <v/>
      </c>
      <c r="K2906" s="521">
        <f>I2906-G2906</f>
        <v/>
      </c>
      <c r="M2906" s="522" t="inlineStr">
        <is>
          <t>SITC2022015392</t>
        </is>
      </c>
      <c r="N2906" s="522" t="inlineStr"/>
      <c r="O2906" s="521">
        <f>M2906=N2906</f>
        <v/>
      </c>
      <c r="P2906" s="521">
        <f>AND(MONTH(F2906)=MONTH(S2906), YEAR(F2906)=YEAR(S2906))</f>
        <v/>
      </c>
      <c r="Q2906" s="521">
        <f>U2906="L001-901905215"</f>
        <v/>
      </c>
      <c r="R2906" s="556">
        <f>G2906-W2906</f>
        <v/>
      </c>
      <c r="S2906" s="521" t="n"/>
      <c r="T2906" s="522" t="n"/>
      <c r="U2906" s="522" t="n"/>
      <c r="V2906" s="522" t="n"/>
      <c r="W2906" s="521" t="n"/>
    </row>
    <row r="2907">
      <c r="A2907" s="521" t="n">
        <v>2899</v>
      </c>
      <c r="B2907" s="522" t="inlineStr">
        <is>
          <t>Lift-On &amp; Lift-Off</t>
        </is>
      </c>
      <c r="C2907" s="522" t="inlineStr">
        <is>
          <t>កំពង់ផែស្វយ័តក្រុងព្រះសីហនុ</t>
        </is>
      </c>
      <c r="D2907" s="522" t="inlineStr">
        <is>
          <t>L001-100044638</t>
        </is>
      </c>
      <c r="E2907" s="521" t="inlineStr">
        <is>
          <t>130709</t>
        </is>
      </c>
      <c r="F2907" s="523" t="n">
        <v>44789</v>
      </c>
      <c r="G2907" s="556" t="n">
        <v>35687</v>
      </c>
      <c r="I2907" s="521">
        <f>G2907</f>
        <v/>
      </c>
      <c r="K2907" s="521">
        <f>I2907-G2907</f>
        <v/>
      </c>
      <c r="M2907" s="522" t="inlineStr">
        <is>
          <t>130709</t>
        </is>
      </c>
      <c r="N2907" s="522" t="inlineStr"/>
      <c r="O2907" s="521">
        <f>M2907=N2907</f>
        <v/>
      </c>
      <c r="P2907" s="521">
        <f>AND(MONTH(F2907)=MONTH(S2907), YEAR(F2907)=YEAR(S2907))</f>
        <v/>
      </c>
      <c r="Q2907" s="521">
        <f>U2907="L001-901905215"</f>
        <v/>
      </c>
      <c r="R2907" s="556">
        <f>G2907-W2907</f>
        <v/>
      </c>
      <c r="S2907" s="521" t="n"/>
      <c r="T2907" s="522" t="n"/>
      <c r="U2907" s="522" t="n"/>
      <c r="V2907" s="522" t="n"/>
      <c r="W2907" s="521" t="n"/>
    </row>
    <row r="2908">
      <c r="A2908" s="521" t="n">
        <v>2900</v>
      </c>
      <c r="B2908" s="522" t="inlineStr">
        <is>
          <t>Clearance &amp; Trucking Fee</t>
        </is>
      </c>
      <c r="C2908" s="522" t="inlineStr">
        <is>
          <t>ហាវតាយ អ៊ិនធើណេសិនណល ឡូជីស្ទីក ឯ.ក</t>
        </is>
      </c>
      <c r="D2908" s="522" t="inlineStr">
        <is>
          <t>K007-902202863</t>
        </is>
      </c>
      <c r="E2908" s="521" t="inlineStr">
        <is>
          <t>HT220018</t>
        </is>
      </c>
      <c r="F2908" s="523" t="n">
        <v>44789</v>
      </c>
      <c r="G2908" s="556" t="n">
        <v>250527</v>
      </c>
      <c r="I2908" s="521">
        <f>G2908</f>
        <v/>
      </c>
      <c r="K2908" s="521">
        <f>I2908-G2908</f>
        <v/>
      </c>
      <c r="M2908" s="522" t="inlineStr">
        <is>
          <t>HT220018</t>
        </is>
      </c>
      <c r="N2908" s="522" t="inlineStr">
        <is>
          <t>HT220018</t>
        </is>
      </c>
      <c r="O2908" s="521">
        <f>M2908=N2908</f>
        <v/>
      </c>
      <c r="P2908" s="521">
        <f>AND(MONTH(F2908)=MONTH(S2908), YEAR(F2908)=YEAR(S2908))</f>
        <v/>
      </c>
      <c r="Q2908" s="521">
        <f>U2908="L001-901905215"</f>
        <v/>
      </c>
      <c r="R2908" s="556">
        <f>G2908-W2908</f>
        <v/>
      </c>
      <c r="S2908" s="523" t="n">
        <v>44789</v>
      </c>
      <c r="T2908" s="522" t="inlineStr">
        <is>
          <t>HT220018</t>
        </is>
      </c>
      <c r="U2908" s="522" t="inlineStr">
        <is>
          <t>L001-901905215</t>
        </is>
      </c>
      <c r="V2908" s="522" t="inlineStr">
        <is>
          <t>វីអ៊ីស៊ិន (ខេមបូឌា) អ៊ិនដាសស្ទ្រី ឯ.ក</t>
        </is>
      </c>
      <c r="W2908" s="556" t="n">
        <v>250527</v>
      </c>
    </row>
    <row r="2909">
      <c r="A2909" s="521" t="n">
        <v>2901</v>
      </c>
      <c r="B2909" s="522" t="inlineStr">
        <is>
          <t>THC CHARGES</t>
        </is>
      </c>
      <c r="C2909" s="522" t="inlineStr">
        <is>
          <t>អ៊ិចស្ពែឌីធ័រ ខេមបូឌា អិលធីឌី</t>
        </is>
      </c>
      <c r="D2909" s="522" t="inlineStr">
        <is>
          <t>L001-100045898</t>
        </is>
      </c>
      <c r="E2909" s="521" t="inlineStr">
        <is>
          <t>TI-0235711</t>
        </is>
      </c>
      <c r="F2909" s="523" t="n">
        <v>44803</v>
      </c>
      <c r="G2909" s="556" t="n">
        <v>54097</v>
      </c>
      <c r="I2909" s="521">
        <f>G2909</f>
        <v/>
      </c>
      <c r="K2909" s="521">
        <f>I2909-G2909</f>
        <v/>
      </c>
      <c r="M2909" s="522" t="inlineStr">
        <is>
          <t>TI0235711</t>
        </is>
      </c>
      <c r="N2909" s="522" t="inlineStr">
        <is>
          <t>TI0235711</t>
        </is>
      </c>
      <c r="O2909" s="521">
        <f>M2909=N2909</f>
        <v/>
      </c>
      <c r="P2909" s="521">
        <f>AND(MONTH(F2909)=MONTH(S2909), YEAR(F2909)=YEAR(S2909))</f>
        <v/>
      </c>
      <c r="Q2909" s="521">
        <f>U2909="L001-901905215"</f>
        <v/>
      </c>
      <c r="R2909" s="556">
        <f>G2909-W2909</f>
        <v/>
      </c>
      <c r="S2909" s="523" t="n">
        <v>44803</v>
      </c>
      <c r="T2909" s="522" t="inlineStr">
        <is>
          <t>TI-0235711</t>
        </is>
      </c>
      <c r="U2909" s="522" t="inlineStr">
        <is>
          <t>L001-901905215</t>
        </is>
      </c>
      <c r="V2909" s="522" t="inlineStr">
        <is>
          <t>វីអ៊ីស៊ិន (ខេមបូឌា) អ៊ិនដាសស្ទ្រី ឯ.ក</t>
        </is>
      </c>
      <c r="W2909" s="556" t="n">
        <v>54086</v>
      </c>
    </row>
    <row r="2910">
      <c r="A2910" s="521" t="n">
        <v>2902</v>
      </c>
      <c r="B2910" s="522" t="inlineStr">
        <is>
          <t>THC CHARGES</t>
        </is>
      </c>
      <c r="C2910" s="522" t="inlineStr">
        <is>
          <t>អ៊ិចស្ពែឌីធ័រ ខេមបូឌា អិលធីឌី</t>
        </is>
      </c>
      <c r="D2910" s="522" t="inlineStr">
        <is>
          <t>L001-100045898</t>
        </is>
      </c>
      <c r="E2910" s="521" t="inlineStr">
        <is>
          <t>TI-0235696</t>
        </is>
      </c>
      <c r="F2910" s="523" t="n">
        <v>44803</v>
      </c>
      <c r="G2910" s="556" t="n">
        <v>54322</v>
      </c>
      <c r="I2910" s="521">
        <f>G2910</f>
        <v/>
      </c>
      <c r="K2910" s="521">
        <f>I2910-G2910</f>
        <v/>
      </c>
      <c r="M2910" s="522" t="inlineStr">
        <is>
          <t>TI0235696</t>
        </is>
      </c>
      <c r="N2910" s="522" t="inlineStr">
        <is>
          <t>TI0235696</t>
        </is>
      </c>
      <c r="O2910" s="521">
        <f>M2910=N2910</f>
        <v/>
      </c>
      <c r="P2910" s="521">
        <f>AND(MONTH(F2910)=MONTH(S2910), YEAR(F2910)=YEAR(S2910))</f>
        <v/>
      </c>
      <c r="Q2910" s="521">
        <f>U2910="L001-901905215"</f>
        <v/>
      </c>
      <c r="R2910" s="556">
        <f>G2910-W2910</f>
        <v/>
      </c>
      <c r="S2910" s="523" t="n">
        <v>44803</v>
      </c>
      <c r="T2910" s="522" t="inlineStr">
        <is>
          <t>TI-0235696</t>
        </is>
      </c>
      <c r="U2910" s="522" t="inlineStr">
        <is>
          <t>L001-901905215</t>
        </is>
      </c>
      <c r="V2910" s="522" t="inlineStr">
        <is>
          <t>វីអ៊ីស៊ិន (ខេមបូឌា) អ៊ិនដាសស្ទ្រី ឯ.ក</t>
        </is>
      </c>
      <c r="W2910" s="556" t="n">
        <v>54333</v>
      </c>
    </row>
    <row r="2911">
      <c r="A2911" s="521" t="n">
        <v>2903</v>
      </c>
      <c r="B2911" s="522" t="inlineStr">
        <is>
          <t>THC CHARGES</t>
        </is>
      </c>
      <c r="C2911" s="522" t="inlineStr">
        <is>
          <t>អ៊ិចស្ពែឌីធ័រ ខេមបូឌា អិលធីឌី</t>
        </is>
      </c>
      <c r="D2911" s="522" t="inlineStr">
        <is>
          <t>L001-100045898</t>
        </is>
      </c>
      <c r="E2911" s="521" t="inlineStr">
        <is>
          <t>TI-0235694</t>
        </is>
      </c>
      <c r="F2911" s="523" t="n">
        <v>44803</v>
      </c>
      <c r="G2911" s="556" t="n">
        <v>55264</v>
      </c>
      <c r="I2911" s="521">
        <f>G2911</f>
        <v/>
      </c>
      <c r="K2911" s="521">
        <f>I2911-G2911</f>
        <v/>
      </c>
      <c r="M2911" s="522" t="inlineStr">
        <is>
          <t>TI0235694</t>
        </is>
      </c>
      <c r="N2911" s="522" t="inlineStr">
        <is>
          <t>TI0235694</t>
        </is>
      </c>
      <c r="O2911" s="521">
        <f>M2911=N2911</f>
        <v/>
      </c>
      <c r="P2911" s="521">
        <f>AND(MONTH(F2911)=MONTH(S2911), YEAR(F2911)=YEAR(S2911))</f>
        <v/>
      </c>
      <c r="Q2911" s="521">
        <f>U2911="L001-901905215"</f>
        <v/>
      </c>
      <c r="R2911" s="556">
        <f>G2911-W2911</f>
        <v/>
      </c>
      <c r="S2911" s="523" t="n">
        <v>44803</v>
      </c>
      <c r="T2911" s="522" t="inlineStr">
        <is>
          <t>TI-0235694</t>
        </is>
      </c>
      <c r="U2911" s="522" t="inlineStr">
        <is>
          <t>L001-901905215</t>
        </is>
      </c>
      <c r="V2911" s="522" t="inlineStr">
        <is>
          <t>វីអ៊ីស៊ិន (ខេមបូឌា) អ៊ិនដាសស្ទ្រី ឯ.ក</t>
        </is>
      </c>
      <c r="W2911" s="556" t="n">
        <v>55279</v>
      </c>
    </row>
    <row r="2912">
      <c r="A2912" s="521" t="n">
        <v>2904</v>
      </c>
      <c r="B2912" s="522" t="inlineStr">
        <is>
          <t>THC CHARGES</t>
        </is>
      </c>
      <c r="C2912" s="522" t="inlineStr">
        <is>
          <t>អ៊ិចស្ពែឌីធ័រ ខេមបូឌា អិលធីឌី</t>
        </is>
      </c>
      <c r="D2912" s="522" t="inlineStr">
        <is>
          <t>L001-100045898</t>
        </is>
      </c>
      <c r="E2912" s="521" t="inlineStr">
        <is>
          <t>TI-0235278</t>
        </is>
      </c>
      <c r="F2912" s="523" t="n">
        <v>44796</v>
      </c>
      <c r="G2912" s="556" t="n">
        <v>193747</v>
      </c>
      <c r="I2912" s="521">
        <f>G2912</f>
        <v/>
      </c>
      <c r="K2912" s="521">
        <f>I2912-G2912</f>
        <v/>
      </c>
      <c r="M2912" s="522" t="inlineStr">
        <is>
          <t>TI0235278</t>
        </is>
      </c>
      <c r="N2912" s="522" t="inlineStr">
        <is>
          <t>TI0235278</t>
        </is>
      </c>
      <c r="O2912" s="521">
        <f>M2912=N2912</f>
        <v/>
      </c>
      <c r="P2912" s="521">
        <f>AND(MONTH(F2912)=MONTH(S2912), YEAR(F2912)=YEAR(S2912))</f>
        <v/>
      </c>
      <c r="Q2912" s="521">
        <f>U2912="L001-901905215"</f>
        <v/>
      </c>
      <c r="R2912" s="556">
        <f>G2912-W2912</f>
        <v/>
      </c>
      <c r="S2912" s="523" t="n">
        <v>44796</v>
      </c>
      <c r="T2912" s="522" t="inlineStr">
        <is>
          <t>TI-0235278</t>
        </is>
      </c>
      <c r="U2912" s="522" t="inlineStr">
        <is>
          <t>L001-901905215</t>
        </is>
      </c>
      <c r="V2912" s="522" t="inlineStr">
        <is>
          <t>វីអ៊ីស៊ិន (ខេមបូឌា) អ៊ិនដាសស្ទ្រី ឯ.ក</t>
        </is>
      </c>
      <c r="W2912" s="556" t="n">
        <v>193739</v>
      </c>
    </row>
    <row r="2913">
      <c r="A2913" s="521" t="n">
        <v>2905</v>
      </c>
      <c r="B2913" s="522" t="inlineStr">
        <is>
          <t>THC CHARGES</t>
        </is>
      </c>
      <c r="C2913" s="522" t="inlineStr">
        <is>
          <t>អ៊ិចស្ពែឌីធ័រ ខេមបូឌា អិលធីឌី</t>
        </is>
      </c>
      <c r="D2913" s="522" t="inlineStr">
        <is>
          <t>L001-100045898</t>
        </is>
      </c>
      <c r="E2913" s="521" t="inlineStr">
        <is>
          <t>TI-0235267</t>
        </is>
      </c>
      <c r="F2913" s="523" t="n">
        <v>44796</v>
      </c>
      <c r="G2913" s="556" t="n">
        <v>109464</v>
      </c>
      <c r="I2913" s="521">
        <f>G2913</f>
        <v/>
      </c>
      <c r="K2913" s="521">
        <f>I2913-G2913</f>
        <v/>
      </c>
      <c r="M2913" s="522" t="inlineStr">
        <is>
          <t>TI0235267</t>
        </is>
      </c>
      <c r="N2913" s="522" t="inlineStr">
        <is>
          <t>TI0235267</t>
        </is>
      </c>
      <c r="O2913" s="521">
        <f>M2913=N2913</f>
        <v/>
      </c>
      <c r="P2913" s="521">
        <f>AND(MONTH(F2913)=MONTH(S2913), YEAR(F2913)=YEAR(S2913))</f>
        <v/>
      </c>
      <c r="Q2913" s="521">
        <f>U2913="L001-901905215"</f>
        <v/>
      </c>
      <c r="R2913" s="556">
        <f>G2913-W2913</f>
        <v/>
      </c>
      <c r="S2913" s="523" t="n">
        <v>44796</v>
      </c>
      <c r="T2913" s="522" t="inlineStr">
        <is>
          <t>TI-0235267</t>
        </is>
      </c>
      <c r="U2913" s="522" t="inlineStr">
        <is>
          <t>L001-901905215</t>
        </is>
      </c>
      <c r="V2913" s="522" t="inlineStr">
        <is>
          <t>វីអ៊ីស៊ិន (ខេមបូឌា) អ៊ិនដាសស្ទ្រី ឯ.ក</t>
        </is>
      </c>
      <c r="W2913" s="556" t="n">
        <v>109464</v>
      </c>
    </row>
    <row r="2914">
      <c r="A2914" s="521" t="n">
        <v>2906</v>
      </c>
      <c r="B2914" s="522" t="inlineStr">
        <is>
          <t>THC CHARGES</t>
        </is>
      </c>
      <c r="C2914" s="522" t="inlineStr">
        <is>
          <t>អ៊ិចស្ពែឌីធ័រ ខេមបូឌា អិលធីឌី</t>
        </is>
      </c>
      <c r="D2914" s="522" t="inlineStr">
        <is>
          <t>L001-100045898</t>
        </is>
      </c>
      <c r="E2914" s="521" t="inlineStr">
        <is>
          <t>TI-0234945</t>
        </is>
      </c>
      <c r="F2914" s="523" t="n">
        <v>44790</v>
      </c>
      <c r="G2914" s="556" t="n">
        <v>54080</v>
      </c>
      <c r="I2914" s="521">
        <f>G2914</f>
        <v/>
      </c>
      <c r="K2914" s="521">
        <f>I2914-G2914</f>
        <v/>
      </c>
      <c r="M2914" s="522" t="inlineStr">
        <is>
          <t>TI0234945</t>
        </is>
      </c>
      <c r="N2914" s="522" t="inlineStr">
        <is>
          <t>TI0234945</t>
        </is>
      </c>
      <c r="O2914" s="521">
        <f>M2914=N2914</f>
        <v/>
      </c>
      <c r="P2914" s="521">
        <f>AND(MONTH(F2914)=MONTH(S2914), YEAR(F2914)=YEAR(S2914))</f>
        <v/>
      </c>
      <c r="Q2914" s="521">
        <f>U2914="L001-901905215"</f>
        <v/>
      </c>
      <c r="R2914" s="556">
        <f>G2914-W2914</f>
        <v/>
      </c>
      <c r="S2914" s="523" t="n">
        <v>44790</v>
      </c>
      <c r="T2914" s="522" t="inlineStr">
        <is>
          <t>TI-0234945</t>
        </is>
      </c>
      <c r="U2914" s="522" t="inlineStr">
        <is>
          <t>L001-901905215</t>
        </is>
      </c>
      <c r="V2914" s="522" t="inlineStr">
        <is>
          <t>វីអ៊ីស៊ិន (ខេមបូឌា) អ៊ិនដាសស្ទ្រី ឯ.ក</t>
        </is>
      </c>
      <c r="W2914" s="556" t="n">
        <v>54076</v>
      </c>
    </row>
    <row r="2915">
      <c r="A2915" s="521" t="n">
        <v>2907</v>
      </c>
      <c r="B2915" s="522" t="inlineStr">
        <is>
          <t>THC CHARGES</t>
        </is>
      </c>
      <c r="C2915" s="522" t="inlineStr">
        <is>
          <t>អ៊ិចស្ពែឌីធ័រ ខេមបូឌា អិលធីឌី</t>
        </is>
      </c>
      <c r="D2915" s="522" t="inlineStr">
        <is>
          <t>L001-100045898</t>
        </is>
      </c>
      <c r="E2915" s="521" t="inlineStr">
        <is>
          <t>TI-0234941</t>
        </is>
      </c>
      <c r="F2915" s="523" t="n">
        <v>44790</v>
      </c>
      <c r="G2915" s="556" t="n">
        <v>54162</v>
      </c>
      <c r="I2915" s="521">
        <f>G2915</f>
        <v/>
      </c>
      <c r="K2915" s="521">
        <f>I2915-G2915</f>
        <v/>
      </c>
      <c r="M2915" s="522" t="inlineStr">
        <is>
          <t>TI0234941</t>
        </is>
      </c>
      <c r="N2915" s="522" t="inlineStr">
        <is>
          <t>TI0234941</t>
        </is>
      </c>
      <c r="O2915" s="521">
        <f>M2915=N2915</f>
        <v/>
      </c>
      <c r="P2915" s="521">
        <f>AND(MONTH(F2915)=MONTH(S2915), YEAR(F2915)=YEAR(S2915))</f>
        <v/>
      </c>
      <c r="Q2915" s="521">
        <f>U2915="L001-901905215"</f>
        <v/>
      </c>
      <c r="R2915" s="556">
        <f>G2915-W2915</f>
        <v/>
      </c>
      <c r="S2915" s="523" t="n">
        <v>44790</v>
      </c>
      <c r="T2915" s="522" t="inlineStr">
        <is>
          <t>TI-0234941</t>
        </is>
      </c>
      <c r="U2915" s="522" t="inlineStr">
        <is>
          <t>L001-901905215</t>
        </is>
      </c>
      <c r="V2915" s="522" t="inlineStr">
        <is>
          <t>វីអ៊ីស៊ិន (ខេមបូឌា) អ៊ិនដាសស្ទ្រី ឯ.ក</t>
        </is>
      </c>
      <c r="W2915" s="556" t="n">
        <v>54158</v>
      </c>
    </row>
    <row r="2916">
      <c r="A2916" s="521" t="n">
        <v>2908</v>
      </c>
      <c r="B2916" s="522" t="inlineStr">
        <is>
          <t>THC CHARGES</t>
        </is>
      </c>
      <c r="C2916" s="522" t="inlineStr">
        <is>
          <t>អ៊ិចស្ពែឌីធ័រ ខេមបូឌា អិលធីឌី</t>
        </is>
      </c>
      <c r="D2916" s="522" t="inlineStr">
        <is>
          <t>L001-100045898</t>
        </is>
      </c>
      <c r="E2916" s="521" t="inlineStr">
        <is>
          <t>TI-0234934</t>
        </is>
      </c>
      <c r="F2916" s="523" t="n">
        <v>44790</v>
      </c>
      <c r="G2916" s="556" t="n">
        <v>53796</v>
      </c>
      <c r="I2916" s="521">
        <f>G2916</f>
        <v/>
      </c>
      <c r="K2916" s="521">
        <f>I2916-G2916</f>
        <v/>
      </c>
      <c r="M2916" s="522" t="inlineStr">
        <is>
          <t>TI0234934</t>
        </is>
      </c>
      <c r="N2916" s="522" t="inlineStr">
        <is>
          <t>TI0234934</t>
        </is>
      </c>
      <c r="O2916" s="521">
        <f>M2916=N2916</f>
        <v/>
      </c>
      <c r="P2916" s="521">
        <f>AND(MONTH(F2916)=MONTH(S2916), YEAR(F2916)=YEAR(S2916))</f>
        <v/>
      </c>
      <c r="Q2916" s="521">
        <f>U2916="L001-901905215"</f>
        <v/>
      </c>
      <c r="R2916" s="556">
        <f>G2916-W2916</f>
        <v/>
      </c>
      <c r="S2916" s="523" t="n">
        <v>44790</v>
      </c>
      <c r="T2916" s="522" t="inlineStr">
        <is>
          <t>TI-0234934</t>
        </is>
      </c>
      <c r="U2916" s="522" t="inlineStr">
        <is>
          <t>L001-901905215</t>
        </is>
      </c>
      <c r="V2916" s="522" t="inlineStr">
        <is>
          <t>វីអ៊ីស៊ិន (ខេមបូឌា) អ៊ិនដាសស្ទ្រី ឯ.ក</t>
        </is>
      </c>
      <c r="W2916" s="556" t="n">
        <v>53789</v>
      </c>
    </row>
    <row r="2917">
      <c r="A2917" s="521" t="n">
        <v>2909</v>
      </c>
      <c r="B2917" s="522" t="inlineStr">
        <is>
          <t>THC CHARGES</t>
        </is>
      </c>
      <c r="C2917" s="522" t="inlineStr">
        <is>
          <t>អ៊ិចស្ពែឌីធ័រ ខេមបូឌា អិលធីឌី</t>
        </is>
      </c>
      <c r="D2917" s="522" t="inlineStr">
        <is>
          <t>L001-100045898</t>
        </is>
      </c>
      <c r="E2917" s="521" t="inlineStr">
        <is>
          <t>TI-0234927</t>
        </is>
      </c>
      <c r="F2917" s="523" t="n">
        <v>44790</v>
      </c>
      <c r="G2917" s="556" t="n">
        <v>54371</v>
      </c>
      <c r="I2917" s="521">
        <f>G2917</f>
        <v/>
      </c>
      <c r="K2917" s="521">
        <f>I2917-G2917</f>
        <v/>
      </c>
      <c r="M2917" s="522" t="inlineStr">
        <is>
          <t>TI0234927</t>
        </is>
      </c>
      <c r="N2917" s="522" t="inlineStr">
        <is>
          <t>TI0234927</t>
        </is>
      </c>
      <c r="O2917" s="521">
        <f>M2917=N2917</f>
        <v/>
      </c>
      <c r="P2917" s="521">
        <f>AND(MONTH(F2917)=MONTH(S2917), YEAR(F2917)=YEAR(S2917))</f>
        <v/>
      </c>
      <c r="Q2917" s="521">
        <f>U2917="L001-901905215"</f>
        <v/>
      </c>
      <c r="R2917" s="556">
        <f>G2917-W2917</f>
        <v/>
      </c>
      <c r="S2917" s="523" t="n">
        <v>44790</v>
      </c>
      <c r="T2917" s="522" t="inlineStr">
        <is>
          <t>TI-0234927</t>
        </is>
      </c>
      <c r="U2917" s="522" t="inlineStr">
        <is>
          <t>L001-901905215</t>
        </is>
      </c>
      <c r="V2917" s="522" t="inlineStr">
        <is>
          <t>វីអ៊ីស៊ិន (ខេមបូឌា) អ៊ិនដាសស្ទ្រី ឯ.ក</t>
        </is>
      </c>
      <c r="W2917" s="556" t="n">
        <v>54363</v>
      </c>
    </row>
    <row r="2918">
      <c r="A2918" s="521" t="n">
        <v>2910</v>
      </c>
      <c r="B2918" s="522" t="inlineStr">
        <is>
          <t>THC CHARGES</t>
        </is>
      </c>
      <c r="C2918" s="522" t="inlineStr">
        <is>
          <t>អ៊ិចស្ពែឌីធ័រ ខេមបូឌា អិលធីឌី</t>
        </is>
      </c>
      <c r="D2918" s="522" t="inlineStr">
        <is>
          <t>L001-100045898</t>
        </is>
      </c>
      <c r="E2918" s="521" t="inlineStr">
        <is>
          <t>TI-0234363</t>
        </is>
      </c>
      <c r="F2918" s="523" t="n">
        <v>44782</v>
      </c>
      <c r="G2918" s="556" t="n">
        <v>117888</v>
      </c>
      <c r="I2918" s="521">
        <f>G2918</f>
        <v/>
      </c>
      <c r="K2918" s="521">
        <f>I2918-G2918</f>
        <v/>
      </c>
      <c r="M2918" s="522" t="inlineStr">
        <is>
          <t>TI0234363</t>
        </is>
      </c>
      <c r="N2918" s="522" t="inlineStr">
        <is>
          <t>TI0234363</t>
        </is>
      </c>
      <c r="O2918" s="521">
        <f>M2918=N2918</f>
        <v/>
      </c>
      <c r="P2918" s="521">
        <f>AND(MONTH(F2918)=MONTH(S2918), YEAR(F2918)=YEAR(S2918))</f>
        <v/>
      </c>
      <c r="Q2918" s="521">
        <f>U2918="L001-901905215"</f>
        <v/>
      </c>
      <c r="R2918" s="556">
        <f>G2918-W2918</f>
        <v/>
      </c>
      <c r="S2918" s="523" t="n">
        <v>44782</v>
      </c>
      <c r="T2918" s="522" t="inlineStr">
        <is>
          <t>TI-0234363</t>
        </is>
      </c>
      <c r="U2918" s="522" t="inlineStr">
        <is>
          <t>L001-901905215</t>
        </is>
      </c>
      <c r="V2918" s="522" t="inlineStr">
        <is>
          <t>វីអ៊ីស៊ិន (ខេមបូឌា) អ៊ិនដាសស្ទ្រី ឯ.ក</t>
        </is>
      </c>
      <c r="W2918" s="556" t="n">
        <v>117900</v>
      </c>
    </row>
    <row r="2919">
      <c r="A2919" s="521" t="n">
        <v>2911</v>
      </c>
      <c r="B2919" s="522" t="inlineStr">
        <is>
          <t>THC CHARGES</t>
        </is>
      </c>
      <c r="C2919" s="522" t="inlineStr">
        <is>
          <t>អ៊ិចស្ពែឌីធ័រ ខេមបូឌា អិលធីឌី</t>
        </is>
      </c>
      <c r="D2919" s="522" t="inlineStr">
        <is>
          <t>L001-100045898</t>
        </is>
      </c>
      <c r="E2919" s="521" t="inlineStr">
        <is>
          <t>TI-0233778</t>
        </is>
      </c>
      <c r="F2919" s="523" t="n">
        <v>44775</v>
      </c>
      <c r="G2919" s="556" t="n">
        <v>54134</v>
      </c>
      <c r="I2919" s="521">
        <f>G2919</f>
        <v/>
      </c>
      <c r="K2919" s="521">
        <f>I2919-G2919</f>
        <v/>
      </c>
      <c r="M2919" s="522" t="inlineStr">
        <is>
          <t>TI0233778</t>
        </is>
      </c>
      <c r="N2919" s="522" t="inlineStr">
        <is>
          <t>TI0233778</t>
        </is>
      </c>
      <c r="O2919" s="521">
        <f>M2919=N2919</f>
        <v/>
      </c>
      <c r="P2919" s="521">
        <f>AND(MONTH(F2919)=MONTH(S2919), YEAR(F2919)=YEAR(S2919))</f>
        <v/>
      </c>
      <c r="Q2919" s="521">
        <f>U2919="L001-901905215"</f>
        <v/>
      </c>
      <c r="R2919" s="556">
        <f>G2919-W2919</f>
        <v/>
      </c>
      <c r="S2919" s="523" t="n">
        <v>44775</v>
      </c>
      <c r="T2919" s="522" t="inlineStr">
        <is>
          <t>TI-0233778</t>
        </is>
      </c>
      <c r="U2919" s="522" t="inlineStr">
        <is>
          <t>L001-901905215</t>
        </is>
      </c>
      <c r="V2919" s="522" t="inlineStr">
        <is>
          <t>វីអ៊ីស៊ិន (ខេមបូឌា) អ៊ិនដាសស្ទ្រី ឯ.ក</t>
        </is>
      </c>
      <c r="W2919" s="556" t="n">
        <v>54130</v>
      </c>
    </row>
    <row r="2920">
      <c r="A2920" s="521" t="n">
        <v>2912</v>
      </c>
      <c r="B2920" s="522" t="inlineStr">
        <is>
          <t>THC CHARGES</t>
        </is>
      </c>
      <c r="C2920" s="522" t="inlineStr">
        <is>
          <t>អ៊ិចស្ពែឌីធ័រ ខេមបូឌា អិលធីឌី</t>
        </is>
      </c>
      <c r="D2920" s="522" t="inlineStr">
        <is>
          <t>L001-100045898</t>
        </is>
      </c>
      <c r="E2920" s="521" t="inlineStr">
        <is>
          <t>TI-0233768</t>
        </is>
      </c>
      <c r="F2920" s="523" t="n">
        <v>44775</v>
      </c>
      <c r="G2920" s="556" t="n">
        <v>209267</v>
      </c>
      <c r="I2920" s="521">
        <f>G2920</f>
        <v/>
      </c>
      <c r="K2920" s="521">
        <f>I2920-G2920</f>
        <v/>
      </c>
      <c r="M2920" s="522" t="inlineStr">
        <is>
          <t>TI0233768</t>
        </is>
      </c>
      <c r="N2920" s="522" t="inlineStr">
        <is>
          <t>TI0233768</t>
        </is>
      </c>
      <c r="O2920" s="521">
        <f>M2920=N2920</f>
        <v/>
      </c>
      <c r="P2920" s="521">
        <f>AND(MONTH(F2920)=MONTH(S2920), YEAR(F2920)=YEAR(S2920))</f>
        <v/>
      </c>
      <c r="Q2920" s="521">
        <f>U2920="L001-901905215"</f>
        <v/>
      </c>
      <c r="R2920" s="556">
        <f>G2920-W2920</f>
        <v/>
      </c>
      <c r="S2920" s="523" t="n">
        <v>44775</v>
      </c>
      <c r="T2920" s="522" t="inlineStr">
        <is>
          <t>TI-0233768</t>
        </is>
      </c>
      <c r="U2920" s="522" t="inlineStr">
        <is>
          <t>L001-901905215</t>
        </is>
      </c>
      <c r="V2920" s="522" t="inlineStr">
        <is>
          <t>វីអ៊ីស៊ិន (ខេមបូឌា) អ៊ិនដាសស្ទ្រី ឯ.ក</t>
        </is>
      </c>
      <c r="W2920" s="556" t="n">
        <v>209252</v>
      </c>
    </row>
    <row r="2921">
      <c r="A2921" s="521" t="n">
        <v>2913</v>
      </c>
      <c r="B2921" s="522" t="inlineStr">
        <is>
          <t>THC CHARGES</t>
        </is>
      </c>
      <c r="C2921" s="522" t="inlineStr">
        <is>
          <t>អ៊ិចស្ពែឌីធ័រ ខេមបូឌា អិលធីឌី</t>
        </is>
      </c>
      <c r="D2921" s="522" t="inlineStr">
        <is>
          <t>L001-100045898</t>
        </is>
      </c>
      <c r="E2921" s="521" t="inlineStr">
        <is>
          <t>TI-0233753</t>
        </is>
      </c>
      <c r="F2921" s="523" t="n">
        <v>44775</v>
      </c>
      <c r="G2921" s="556" t="n">
        <v>158493</v>
      </c>
      <c r="I2921" s="521">
        <f>G2921</f>
        <v/>
      </c>
      <c r="K2921" s="521">
        <f>I2921-G2921</f>
        <v/>
      </c>
      <c r="M2921" s="522" t="inlineStr">
        <is>
          <t>TI0233753</t>
        </is>
      </c>
      <c r="N2921" s="522" t="inlineStr">
        <is>
          <t>TI0233753</t>
        </is>
      </c>
      <c r="O2921" s="521">
        <f>M2921=N2921</f>
        <v/>
      </c>
      <c r="P2921" s="521">
        <f>AND(MONTH(F2921)=MONTH(S2921), YEAR(F2921)=YEAR(S2921))</f>
        <v/>
      </c>
      <c r="Q2921" s="521">
        <f>U2921="L001-901905215"</f>
        <v/>
      </c>
      <c r="R2921" s="556">
        <f>G2921-W2921</f>
        <v/>
      </c>
      <c r="S2921" s="523" t="n">
        <v>44775</v>
      </c>
      <c r="T2921" s="522" t="inlineStr">
        <is>
          <t>TI-0233753</t>
        </is>
      </c>
      <c r="U2921" s="522" t="inlineStr">
        <is>
          <t>L001-901905215</t>
        </is>
      </c>
      <c r="V2921" s="522" t="inlineStr">
        <is>
          <t>វីអ៊ីស៊ិន (ខេមបូឌា) អ៊ិនដាសស្ទ្រី ឯ.ក</t>
        </is>
      </c>
      <c r="W2921" s="556" t="n">
        <v>158489</v>
      </c>
    </row>
    <row r="2922">
      <c r="A2922" s="521" t="n">
        <v>2914</v>
      </c>
      <c r="B2922" s="522" t="inlineStr">
        <is>
          <t>THC CHARGES</t>
        </is>
      </c>
      <c r="C2922" s="522" t="inlineStr">
        <is>
          <t>អ៊ិចស្ពែឌីធ័រ ខេមបូឌា អិលធីឌី</t>
        </is>
      </c>
      <c r="D2922" s="522" t="inlineStr">
        <is>
          <t>L001-100045898</t>
        </is>
      </c>
      <c r="E2922" s="521" t="inlineStr">
        <is>
          <t>TI-0233734</t>
        </is>
      </c>
      <c r="F2922" s="523" t="n">
        <v>44775</v>
      </c>
      <c r="G2922" s="556" t="n">
        <v>55082</v>
      </c>
      <c r="I2922" s="521">
        <f>G2922</f>
        <v/>
      </c>
      <c r="K2922" s="521">
        <f>I2922-G2922</f>
        <v/>
      </c>
      <c r="M2922" s="522" t="inlineStr">
        <is>
          <t>TI0233734</t>
        </is>
      </c>
      <c r="N2922" s="522" t="inlineStr">
        <is>
          <t>TI0233734</t>
        </is>
      </c>
      <c r="O2922" s="521">
        <f>M2922=N2922</f>
        <v/>
      </c>
      <c r="P2922" s="521">
        <f>AND(MONTH(F2922)=MONTH(S2922), YEAR(F2922)=YEAR(S2922))</f>
        <v/>
      </c>
      <c r="Q2922" s="521">
        <f>U2922="L001-901905215"</f>
        <v/>
      </c>
      <c r="R2922" s="556">
        <f>G2922-W2922</f>
        <v/>
      </c>
      <c r="S2922" s="523" t="n">
        <v>44775</v>
      </c>
      <c r="T2922" s="522" t="inlineStr">
        <is>
          <t>TI-0233734</t>
        </is>
      </c>
      <c r="U2922" s="522" t="inlineStr">
        <is>
          <t>L001-901905215</t>
        </is>
      </c>
      <c r="V2922" s="522" t="inlineStr">
        <is>
          <t>វីអ៊ីស៊ិន (ខេមបូឌា) អ៊ិនដាសស្ទ្រី ឯ.ក</t>
        </is>
      </c>
      <c r="W2922" s="556" t="n">
        <v>55075</v>
      </c>
    </row>
    <row r="2923">
      <c r="A2923" s="521" t="n">
        <v>2915</v>
      </c>
      <c r="B2923" s="522" t="inlineStr">
        <is>
          <t>THC CHARGES</t>
        </is>
      </c>
      <c r="C2923" s="522" t="inlineStr">
        <is>
          <t>អ៊ិចស្ពែឌីធ័រ ខេមបូឌា អិលធីឌី</t>
        </is>
      </c>
      <c r="D2923" s="522" t="inlineStr">
        <is>
          <t>L001-100045898</t>
        </is>
      </c>
      <c r="E2923" s="521" t="inlineStr">
        <is>
          <t>TI-0233730</t>
        </is>
      </c>
      <c r="F2923" s="523" t="n">
        <v>44775</v>
      </c>
      <c r="G2923" s="556" t="n">
        <v>57711</v>
      </c>
      <c r="I2923" s="521">
        <f>G2923</f>
        <v/>
      </c>
      <c r="K2923" s="521">
        <f>I2923-G2923</f>
        <v/>
      </c>
      <c r="M2923" s="522" t="inlineStr">
        <is>
          <t>TI0233730</t>
        </is>
      </c>
      <c r="N2923" s="522" t="inlineStr">
        <is>
          <t>TI0233730</t>
        </is>
      </c>
      <c r="O2923" s="521">
        <f>M2923=N2923</f>
        <v/>
      </c>
      <c r="P2923" s="521">
        <f>AND(MONTH(F2923)=MONTH(S2923), YEAR(F2923)=YEAR(S2923))</f>
        <v/>
      </c>
      <c r="Q2923" s="521">
        <f>U2923="L001-901905215"</f>
        <v/>
      </c>
      <c r="R2923" s="556">
        <f>G2923-W2923</f>
        <v/>
      </c>
      <c r="S2923" s="523" t="n">
        <v>44775</v>
      </c>
      <c r="T2923" s="522" t="inlineStr">
        <is>
          <t>TI-0233730</t>
        </is>
      </c>
      <c r="U2923" s="522" t="inlineStr">
        <is>
          <t>L001-901905215</t>
        </is>
      </c>
      <c r="V2923" s="522" t="inlineStr">
        <is>
          <t>វីអ៊ីស៊ិន (ខេមបូឌា) អ៊ិនដាសស្ទ្រី ឯ.ក</t>
        </is>
      </c>
      <c r="W2923" s="556" t="n">
        <v>57703</v>
      </c>
    </row>
    <row r="2924">
      <c r="A2924" s="521" t="n">
        <v>2916</v>
      </c>
      <c r="B2924" s="522" t="inlineStr">
        <is>
          <t>Export Administration fee</t>
        </is>
      </c>
      <c r="C2924" s="522" t="inlineStr">
        <is>
          <t>ឆាយ ដា ឡូយីស្ទីក</t>
        </is>
      </c>
      <c r="D2924" s="522" t="inlineStr">
        <is>
          <t>L001-100063098</t>
        </is>
      </c>
      <c r="E2924" s="521" t="inlineStr">
        <is>
          <t>2208010244</t>
        </is>
      </c>
      <c r="F2924" s="523" t="n">
        <v>44802</v>
      </c>
      <c r="G2924" s="556" t="n">
        <v>90053</v>
      </c>
      <c r="I2924" s="521">
        <f>G2924</f>
        <v/>
      </c>
      <c r="K2924" s="521">
        <f>I2924-G2924</f>
        <v/>
      </c>
      <c r="M2924" s="522" t="inlineStr">
        <is>
          <t>2208010244</t>
        </is>
      </c>
      <c r="N2924" s="522" t="inlineStr">
        <is>
          <t>2208010244</t>
        </is>
      </c>
      <c r="O2924" s="521">
        <f>M2924=N2924</f>
        <v/>
      </c>
      <c r="P2924" s="521">
        <f>AND(MONTH(F2924)=MONTH(S2924), YEAR(F2924)=YEAR(S2924))</f>
        <v/>
      </c>
      <c r="Q2924" s="521">
        <f>U2924="L001-901905215"</f>
        <v/>
      </c>
      <c r="R2924" s="556">
        <f>G2924-W2924</f>
        <v/>
      </c>
      <c r="S2924" s="523" t="n">
        <v>44802</v>
      </c>
      <c r="T2924" s="522" t="inlineStr">
        <is>
          <t>2208010244</t>
        </is>
      </c>
      <c r="U2924" s="522" t="inlineStr">
        <is>
          <t>L001-901905215</t>
        </is>
      </c>
      <c r="V2924" s="522" t="inlineStr">
        <is>
          <t>វីអ៊ីស៊ិន (ខេមបូឌា) អ៊ិនដាសស្ទ្រី ឯ.ក</t>
        </is>
      </c>
      <c r="W2924" s="556" t="n">
        <v>90053</v>
      </c>
    </row>
    <row r="2925">
      <c r="A2925" s="521" t="n">
        <v>2917</v>
      </c>
      <c r="B2925" s="522" t="inlineStr">
        <is>
          <t>Export Administration fee</t>
        </is>
      </c>
      <c r="C2925" s="522" t="inlineStr">
        <is>
          <t>ឆាយ ដា ឡូយីស្ទីក</t>
        </is>
      </c>
      <c r="D2925" s="522" t="inlineStr">
        <is>
          <t>L001-100063098</t>
        </is>
      </c>
      <c r="E2925" s="521" t="inlineStr">
        <is>
          <t>2208010228</t>
        </is>
      </c>
      <c r="F2925" s="523" t="n">
        <v>44802</v>
      </c>
      <c r="G2925" s="556" t="n">
        <v>90053</v>
      </c>
      <c r="I2925" s="521">
        <f>G2925</f>
        <v/>
      </c>
      <c r="K2925" s="521">
        <f>I2925-G2925</f>
        <v/>
      </c>
      <c r="M2925" s="522" t="inlineStr">
        <is>
          <t>2208010228</t>
        </is>
      </c>
      <c r="N2925" s="522" t="inlineStr">
        <is>
          <t>2208010228</t>
        </is>
      </c>
      <c r="O2925" s="521">
        <f>M2925=N2925</f>
        <v/>
      </c>
      <c r="P2925" s="521">
        <f>AND(MONTH(F2925)=MONTH(S2925), YEAR(F2925)=YEAR(S2925))</f>
        <v/>
      </c>
      <c r="Q2925" s="521">
        <f>U2925="L001-901905215"</f>
        <v/>
      </c>
      <c r="R2925" s="556">
        <f>G2925-W2925</f>
        <v/>
      </c>
      <c r="S2925" s="523" t="n">
        <v>44802</v>
      </c>
      <c r="T2925" s="522" t="inlineStr">
        <is>
          <t>2208010228</t>
        </is>
      </c>
      <c r="U2925" s="522" t="inlineStr">
        <is>
          <t>L001-901905215</t>
        </is>
      </c>
      <c r="V2925" s="522" t="inlineStr">
        <is>
          <t>វីអ៊ីស៊ិន (ខេមបូឌា) អ៊ិនដាសស្ទ្រី ឯ.ក</t>
        </is>
      </c>
      <c r="W2925" s="556" t="n">
        <v>90053</v>
      </c>
    </row>
    <row r="2926">
      <c r="A2926" s="521" t="n">
        <v>2918</v>
      </c>
      <c r="B2926" s="522" t="inlineStr">
        <is>
          <t>Export Administration fee</t>
        </is>
      </c>
      <c r="C2926" s="522" t="inlineStr">
        <is>
          <t>ឆាយ ដា ឡូយីស្ទីក</t>
        </is>
      </c>
      <c r="D2926" s="522" t="inlineStr">
        <is>
          <t>L001-100063098</t>
        </is>
      </c>
      <c r="E2926" s="521" t="inlineStr">
        <is>
          <t>2208010212</t>
        </is>
      </c>
      <c r="F2926" s="523" t="n">
        <v>44802</v>
      </c>
      <c r="G2926" s="556" t="n">
        <v>90053</v>
      </c>
      <c r="I2926" s="521">
        <f>G2926</f>
        <v/>
      </c>
      <c r="K2926" s="521">
        <f>I2926-G2926</f>
        <v/>
      </c>
      <c r="M2926" s="522" t="inlineStr">
        <is>
          <t>2208010212</t>
        </is>
      </c>
      <c r="N2926" s="522" t="inlineStr">
        <is>
          <t>2208010212</t>
        </is>
      </c>
      <c r="O2926" s="521">
        <f>M2926=N2926</f>
        <v/>
      </c>
      <c r="P2926" s="521">
        <f>AND(MONTH(F2926)=MONTH(S2926), YEAR(F2926)=YEAR(S2926))</f>
        <v/>
      </c>
      <c r="Q2926" s="521">
        <f>U2926="L001-901905215"</f>
        <v/>
      </c>
      <c r="R2926" s="556">
        <f>G2926-W2926</f>
        <v/>
      </c>
      <c r="S2926" s="523" t="n">
        <v>44802</v>
      </c>
      <c r="T2926" s="522" t="inlineStr">
        <is>
          <t>2208010212</t>
        </is>
      </c>
      <c r="U2926" s="522" t="inlineStr">
        <is>
          <t>L001-901905215</t>
        </is>
      </c>
      <c r="V2926" s="522" t="inlineStr">
        <is>
          <t>វីអ៊ីស៊ិន (ខេមបូឌា) អ៊ិនដាសស្ទ្រី ឯ.ក</t>
        </is>
      </c>
      <c r="W2926" s="556" t="n">
        <v>90053</v>
      </c>
    </row>
    <row r="2927">
      <c r="A2927" s="521" t="n">
        <v>2919</v>
      </c>
      <c r="B2927" s="522" t="inlineStr">
        <is>
          <t>Export Administration fee</t>
        </is>
      </c>
      <c r="C2927" s="522" t="inlineStr">
        <is>
          <t>ឆាយ ដា ឡូយីស្ទីក</t>
        </is>
      </c>
      <c r="D2927" s="522" t="inlineStr">
        <is>
          <t>L001-100063098</t>
        </is>
      </c>
      <c r="E2927" s="521" t="inlineStr">
        <is>
          <t>2208009902</t>
        </is>
      </c>
      <c r="F2927" s="523" t="n">
        <v>44795</v>
      </c>
      <c r="G2927" s="556" t="n">
        <v>89965</v>
      </c>
      <c r="I2927" s="521">
        <f>G2927</f>
        <v/>
      </c>
      <c r="K2927" s="521">
        <f>I2927-G2927</f>
        <v/>
      </c>
      <c r="M2927" s="522" t="inlineStr">
        <is>
          <t>2208009902</t>
        </is>
      </c>
      <c r="N2927" s="522" t="inlineStr">
        <is>
          <t>2208009902</t>
        </is>
      </c>
      <c r="O2927" s="521">
        <f>M2927=N2927</f>
        <v/>
      </c>
      <c r="P2927" s="521">
        <f>AND(MONTH(F2927)=MONTH(S2927), YEAR(F2927)=YEAR(S2927))</f>
        <v/>
      </c>
      <c r="Q2927" s="521">
        <f>U2927="L001-901905215"</f>
        <v/>
      </c>
      <c r="R2927" s="556">
        <f>G2927-W2927</f>
        <v/>
      </c>
      <c r="S2927" s="523" t="n">
        <v>44795</v>
      </c>
      <c r="T2927" s="522" t="inlineStr">
        <is>
          <t>2208009902</t>
        </is>
      </c>
      <c r="U2927" s="522" t="inlineStr">
        <is>
          <t>L001-901905215</t>
        </is>
      </c>
      <c r="V2927" s="522" t="inlineStr">
        <is>
          <t>វីអ៊ីស៊ិន (ខេមបូឌា) អ៊ិនដាសស្ទ្រី ឯ.ក</t>
        </is>
      </c>
      <c r="W2927" s="556" t="n">
        <v>89965</v>
      </c>
    </row>
    <row r="2928">
      <c r="A2928" s="521" t="n">
        <v>2920</v>
      </c>
      <c r="B2928" s="522" t="inlineStr">
        <is>
          <t>Export Administration fee</t>
        </is>
      </c>
      <c r="C2928" s="522" t="inlineStr">
        <is>
          <t>ឆាយ ដា ឡូយីស្ទីក</t>
        </is>
      </c>
      <c r="D2928" s="522" t="inlineStr">
        <is>
          <t>L001-100063098</t>
        </is>
      </c>
      <c r="E2928" s="521" t="inlineStr">
        <is>
          <t>2208009872</t>
        </is>
      </c>
      <c r="F2928" s="523" t="n">
        <v>44795</v>
      </c>
      <c r="G2928" s="556" t="n">
        <v>89965</v>
      </c>
      <c r="I2928" s="521">
        <f>G2928</f>
        <v/>
      </c>
      <c r="K2928" s="521">
        <f>I2928-G2928</f>
        <v/>
      </c>
      <c r="M2928" s="522" t="inlineStr">
        <is>
          <t>2208009872</t>
        </is>
      </c>
      <c r="N2928" s="522" t="inlineStr">
        <is>
          <t>2208009872</t>
        </is>
      </c>
      <c r="O2928" s="521">
        <f>M2928=N2928</f>
        <v/>
      </c>
      <c r="P2928" s="521">
        <f>AND(MONTH(F2928)=MONTH(S2928), YEAR(F2928)=YEAR(S2928))</f>
        <v/>
      </c>
      <c r="Q2928" s="521">
        <f>U2928="L001-901905215"</f>
        <v/>
      </c>
      <c r="R2928" s="556">
        <f>G2928-W2928</f>
        <v/>
      </c>
      <c r="S2928" s="523" t="n">
        <v>44795</v>
      </c>
      <c r="T2928" s="522" t="inlineStr">
        <is>
          <t>2208009872</t>
        </is>
      </c>
      <c r="U2928" s="522" t="inlineStr">
        <is>
          <t>L001-901905215</t>
        </is>
      </c>
      <c r="V2928" s="522" t="inlineStr">
        <is>
          <t>វីអ៊ីស៊ិន (ខេមបូឌា) អ៊ិនដាសស្ទ្រី ឯ.ក</t>
        </is>
      </c>
      <c r="W2928" s="556" t="n">
        <v>89965</v>
      </c>
    </row>
    <row r="2929">
      <c r="A2929" s="521" t="n">
        <v>2921</v>
      </c>
      <c r="B2929" s="522" t="inlineStr">
        <is>
          <t>Export Administration fee</t>
        </is>
      </c>
      <c r="C2929" s="522" t="inlineStr">
        <is>
          <t>ឆាយ ដា ឡូយីស្ទីក</t>
        </is>
      </c>
      <c r="D2929" s="522" t="inlineStr">
        <is>
          <t>L001-100063098</t>
        </is>
      </c>
      <c r="E2929" s="521" t="inlineStr">
        <is>
          <t>2208009594</t>
        </is>
      </c>
      <c r="F2929" s="523" t="n">
        <v>44788</v>
      </c>
      <c r="G2929" s="556" t="n">
        <v>89921</v>
      </c>
      <c r="I2929" s="521">
        <f>G2929</f>
        <v/>
      </c>
      <c r="K2929" s="521">
        <f>I2929-G2929</f>
        <v/>
      </c>
      <c r="M2929" s="522" t="inlineStr">
        <is>
          <t>2208009594</t>
        </is>
      </c>
      <c r="N2929" s="522" t="inlineStr">
        <is>
          <t>2208009594</t>
        </is>
      </c>
      <c r="O2929" s="521">
        <f>M2929=N2929</f>
        <v/>
      </c>
      <c r="P2929" s="521">
        <f>AND(MONTH(F2929)=MONTH(S2929), YEAR(F2929)=YEAR(S2929))</f>
        <v/>
      </c>
      <c r="Q2929" s="521">
        <f>U2929="L001-901905215"</f>
        <v/>
      </c>
      <c r="R2929" s="556">
        <f>G2929-W2929</f>
        <v/>
      </c>
      <c r="S2929" s="523" t="n">
        <v>44788</v>
      </c>
      <c r="T2929" s="522" t="inlineStr">
        <is>
          <t>2208009594</t>
        </is>
      </c>
      <c r="U2929" s="522" t="inlineStr">
        <is>
          <t>L001-901905215</t>
        </is>
      </c>
      <c r="V2929" s="522" t="inlineStr">
        <is>
          <t>វីអ៊ីស៊ិន (ខេមបូឌា) អ៊ិនដាសស្ទ្រី ឯ.ក</t>
        </is>
      </c>
      <c r="W2929" s="556" t="n">
        <v>89921</v>
      </c>
    </row>
    <row r="2930">
      <c r="A2930" s="521" t="n">
        <v>2922</v>
      </c>
      <c r="B2930" s="522" t="inlineStr">
        <is>
          <t>Export Administration fee</t>
        </is>
      </c>
      <c r="C2930" s="522" t="inlineStr">
        <is>
          <t>ឆាយ ដា ឡូយីស្ទីក</t>
        </is>
      </c>
      <c r="D2930" s="522" t="inlineStr">
        <is>
          <t>L001-100063098</t>
        </is>
      </c>
      <c r="E2930" s="521" t="inlineStr">
        <is>
          <t>2208009592</t>
        </is>
      </c>
      <c r="F2930" s="523" t="n">
        <v>44788</v>
      </c>
      <c r="G2930" s="556" t="n">
        <v>89921</v>
      </c>
      <c r="I2930" s="521">
        <f>G2930</f>
        <v/>
      </c>
      <c r="K2930" s="521">
        <f>I2930-G2930</f>
        <v/>
      </c>
      <c r="M2930" s="522" t="inlineStr">
        <is>
          <t>2208009592</t>
        </is>
      </c>
      <c r="N2930" s="522" t="inlineStr">
        <is>
          <t>2208009592</t>
        </is>
      </c>
      <c r="O2930" s="521">
        <f>M2930=N2930</f>
        <v/>
      </c>
      <c r="P2930" s="521">
        <f>AND(MONTH(F2930)=MONTH(S2930), YEAR(F2930)=YEAR(S2930))</f>
        <v/>
      </c>
      <c r="Q2930" s="521">
        <f>U2930="L001-901905215"</f>
        <v/>
      </c>
      <c r="R2930" s="556">
        <f>G2930-W2930</f>
        <v/>
      </c>
      <c r="S2930" s="523" t="n">
        <v>44788</v>
      </c>
      <c r="T2930" s="522" t="inlineStr">
        <is>
          <t>2208009592</t>
        </is>
      </c>
      <c r="U2930" s="522" t="inlineStr">
        <is>
          <t>L001-901905215</t>
        </is>
      </c>
      <c r="V2930" s="522" t="inlineStr">
        <is>
          <t>វីអ៊ីស៊ិន (ខេមបូឌា) អ៊ិនដាសស្ទ្រី ឯ.ក</t>
        </is>
      </c>
      <c r="W2930" s="556" t="n">
        <v>89921</v>
      </c>
    </row>
    <row r="2931">
      <c r="A2931" s="521" t="n">
        <v>2923</v>
      </c>
      <c r="B2931" s="522" t="inlineStr">
        <is>
          <t>Export Administration fee</t>
        </is>
      </c>
      <c r="C2931" s="522" t="inlineStr">
        <is>
          <t>ឆាយ ដា ឡូយីស្ទីក</t>
        </is>
      </c>
      <c r="D2931" s="522" t="inlineStr">
        <is>
          <t>L001-100063098</t>
        </is>
      </c>
      <c r="E2931" s="521" t="inlineStr">
        <is>
          <t>2208009583</t>
        </is>
      </c>
      <c r="F2931" s="523" t="n">
        <v>44788</v>
      </c>
      <c r="G2931" s="556" t="n">
        <v>89921</v>
      </c>
      <c r="I2931" s="521">
        <f>G2931</f>
        <v/>
      </c>
      <c r="K2931" s="521">
        <f>I2931-G2931</f>
        <v/>
      </c>
      <c r="M2931" s="522" t="inlineStr">
        <is>
          <t>2208009583</t>
        </is>
      </c>
      <c r="N2931" s="522" t="inlineStr">
        <is>
          <t>2208009583</t>
        </is>
      </c>
      <c r="O2931" s="521">
        <f>M2931=N2931</f>
        <v/>
      </c>
      <c r="P2931" s="521">
        <f>AND(MONTH(F2931)=MONTH(S2931), YEAR(F2931)=YEAR(S2931))</f>
        <v/>
      </c>
      <c r="Q2931" s="521">
        <f>U2931="L001-901905215"</f>
        <v/>
      </c>
      <c r="R2931" s="556">
        <f>G2931-W2931</f>
        <v/>
      </c>
      <c r="S2931" s="523" t="n">
        <v>44788</v>
      </c>
      <c r="T2931" s="522" t="inlineStr">
        <is>
          <t>2208009583</t>
        </is>
      </c>
      <c r="U2931" s="522" t="inlineStr">
        <is>
          <t>L001-901905215</t>
        </is>
      </c>
      <c r="V2931" s="522" t="inlineStr">
        <is>
          <t>វីអ៊ីស៊ិន (ខេមបូឌា) អ៊ិនដាសស្ទ្រី ឯ.ក</t>
        </is>
      </c>
      <c r="W2931" s="556" t="n">
        <v>89921</v>
      </c>
    </row>
    <row r="2932">
      <c r="A2932" s="521" t="n">
        <v>2924</v>
      </c>
      <c r="B2932" s="522" t="inlineStr">
        <is>
          <t>Export Administration fee</t>
        </is>
      </c>
      <c r="C2932" s="522" t="inlineStr">
        <is>
          <t>ឆាយ ដា ឡូយីស្ទីក</t>
        </is>
      </c>
      <c r="D2932" s="522" t="inlineStr">
        <is>
          <t>L001-100063098</t>
        </is>
      </c>
      <c r="E2932" s="521" t="inlineStr">
        <is>
          <t>2208009573</t>
        </is>
      </c>
      <c r="F2932" s="523" t="n">
        <v>44788</v>
      </c>
      <c r="G2932" s="556" t="n">
        <v>89921</v>
      </c>
      <c r="I2932" s="521">
        <f>G2932</f>
        <v/>
      </c>
      <c r="K2932" s="521">
        <f>I2932-G2932</f>
        <v/>
      </c>
      <c r="M2932" s="522" t="inlineStr">
        <is>
          <t>2208009573</t>
        </is>
      </c>
      <c r="N2932" s="522" t="inlineStr">
        <is>
          <t>2208009573</t>
        </is>
      </c>
      <c r="O2932" s="521">
        <f>M2932=N2932</f>
        <v/>
      </c>
      <c r="P2932" s="521">
        <f>AND(MONTH(F2932)=MONTH(S2932), YEAR(F2932)=YEAR(S2932))</f>
        <v/>
      </c>
      <c r="Q2932" s="521">
        <f>U2932="L001-901905215"</f>
        <v/>
      </c>
      <c r="R2932" s="556">
        <f>G2932-W2932</f>
        <v/>
      </c>
      <c r="S2932" s="523" t="n">
        <v>44788</v>
      </c>
      <c r="T2932" s="522" t="inlineStr">
        <is>
          <t>2208009573</t>
        </is>
      </c>
      <c r="U2932" s="522" t="inlineStr">
        <is>
          <t>L001-901905215</t>
        </is>
      </c>
      <c r="V2932" s="522" t="inlineStr">
        <is>
          <t>វីអ៊ីស៊ិន (ខេមបូឌា) អ៊ិនដាសស្ទ្រី ឯ.ក</t>
        </is>
      </c>
      <c r="W2932" s="556" t="n">
        <v>89921</v>
      </c>
    </row>
    <row r="2933">
      <c r="A2933" s="521" t="n">
        <v>2925</v>
      </c>
      <c r="B2933" s="522" t="inlineStr">
        <is>
          <t>Export Administration fee</t>
        </is>
      </c>
      <c r="C2933" s="522" t="inlineStr">
        <is>
          <t>ឆាយ ដា ឡូយីស្ទីក</t>
        </is>
      </c>
      <c r="D2933" s="522" t="inlineStr">
        <is>
          <t>L001-100063098</t>
        </is>
      </c>
      <c r="E2933" s="521" t="inlineStr">
        <is>
          <t>2208009247</t>
        </is>
      </c>
      <c r="F2933" s="523" t="n">
        <v>44781</v>
      </c>
      <c r="G2933" s="556" t="n">
        <v>89965</v>
      </c>
      <c r="I2933" s="521">
        <f>G2933</f>
        <v/>
      </c>
      <c r="K2933" s="521">
        <f>I2933-G2933</f>
        <v/>
      </c>
      <c r="M2933" s="522" t="inlineStr">
        <is>
          <t>2208009247</t>
        </is>
      </c>
      <c r="N2933" s="522" t="inlineStr">
        <is>
          <t>2208009247</t>
        </is>
      </c>
      <c r="O2933" s="521">
        <f>M2933=N2933</f>
        <v/>
      </c>
      <c r="P2933" s="521">
        <f>AND(MONTH(F2933)=MONTH(S2933), YEAR(F2933)=YEAR(S2933))</f>
        <v/>
      </c>
      <c r="Q2933" s="521">
        <f>U2933="L001-901905215"</f>
        <v/>
      </c>
      <c r="R2933" s="556">
        <f>G2933-W2933</f>
        <v/>
      </c>
      <c r="S2933" s="523" t="n">
        <v>44781</v>
      </c>
      <c r="T2933" s="522" t="inlineStr">
        <is>
          <t>2208009247</t>
        </is>
      </c>
      <c r="U2933" s="522" t="inlineStr">
        <is>
          <t>L001-901905215</t>
        </is>
      </c>
      <c r="V2933" s="522" t="inlineStr">
        <is>
          <t>វីអ៊ីស៊ិន (ខេមបូឌា) អ៊ិនដាសស្ទ្រី ឯ.ក</t>
        </is>
      </c>
      <c r="W2933" s="556" t="n">
        <v>89965</v>
      </c>
    </row>
    <row r="2934">
      <c r="A2934" s="521" t="n">
        <v>2926</v>
      </c>
      <c r="B2934" s="522" t="inlineStr">
        <is>
          <t>Export Administration fee</t>
        </is>
      </c>
      <c r="C2934" s="522" t="inlineStr">
        <is>
          <t>ឆាយ ដា ឡូយីស្ទីក</t>
        </is>
      </c>
      <c r="D2934" s="522" t="inlineStr">
        <is>
          <t>L001-100063098</t>
        </is>
      </c>
      <c r="E2934" s="521" t="inlineStr">
        <is>
          <t>2208009037</t>
        </is>
      </c>
      <c r="F2934" s="523" t="n">
        <v>44774</v>
      </c>
      <c r="G2934" s="556" t="n">
        <v>89921</v>
      </c>
      <c r="I2934" s="521">
        <f>G2934</f>
        <v/>
      </c>
      <c r="K2934" s="521">
        <f>I2934-G2934</f>
        <v/>
      </c>
      <c r="M2934" s="522" t="inlineStr">
        <is>
          <t>2208009037</t>
        </is>
      </c>
      <c r="N2934" s="522" t="inlineStr">
        <is>
          <t>2208009037</t>
        </is>
      </c>
      <c r="O2934" s="521">
        <f>M2934=N2934</f>
        <v/>
      </c>
      <c r="P2934" s="521">
        <f>AND(MONTH(F2934)=MONTH(S2934), YEAR(F2934)=YEAR(S2934))</f>
        <v/>
      </c>
      <c r="Q2934" s="521">
        <f>U2934="L001-901905215"</f>
        <v/>
      </c>
      <c r="R2934" s="556">
        <f>G2934-W2934</f>
        <v/>
      </c>
      <c r="S2934" s="523" t="n">
        <v>44774</v>
      </c>
      <c r="T2934" s="522" t="inlineStr">
        <is>
          <t>2208009037</t>
        </is>
      </c>
      <c r="U2934" s="522" t="inlineStr">
        <is>
          <t>L001-901905215</t>
        </is>
      </c>
      <c r="V2934" s="522" t="inlineStr">
        <is>
          <t>វីអ៊ីស៊ិន (ខេមបូឌា) អ៊ិនដាសស្ទ្រី ឯ.ក</t>
        </is>
      </c>
      <c r="W2934" s="556" t="n">
        <v>89921</v>
      </c>
    </row>
    <row r="2935">
      <c r="A2935" s="521" t="n">
        <v>2927</v>
      </c>
      <c r="B2935" s="522" t="inlineStr">
        <is>
          <t>Export Administration fee</t>
        </is>
      </c>
      <c r="C2935" s="522" t="inlineStr">
        <is>
          <t>ឆាយ ដា ឡូយីស្ទីក</t>
        </is>
      </c>
      <c r="D2935" s="522" t="inlineStr">
        <is>
          <t>L001-100063098</t>
        </is>
      </c>
      <c r="E2935" s="521" t="inlineStr">
        <is>
          <t>2208009030</t>
        </is>
      </c>
      <c r="F2935" s="523" t="n">
        <v>44774</v>
      </c>
      <c r="G2935" s="556" t="n">
        <v>89921</v>
      </c>
      <c r="I2935" s="521">
        <f>G2935</f>
        <v/>
      </c>
      <c r="K2935" s="521">
        <f>I2935-G2935</f>
        <v/>
      </c>
      <c r="M2935" s="522" t="inlineStr">
        <is>
          <t>2208009030</t>
        </is>
      </c>
      <c r="N2935" s="522" t="inlineStr">
        <is>
          <t>2208009030</t>
        </is>
      </c>
      <c r="O2935" s="521">
        <f>M2935=N2935</f>
        <v/>
      </c>
      <c r="P2935" s="521">
        <f>AND(MONTH(F2935)=MONTH(S2935), YEAR(F2935)=YEAR(S2935))</f>
        <v/>
      </c>
      <c r="Q2935" s="521">
        <f>U2935="L001-901905215"</f>
        <v/>
      </c>
      <c r="R2935" s="556">
        <f>G2935-W2935</f>
        <v/>
      </c>
      <c r="S2935" s="523" t="n">
        <v>44774</v>
      </c>
      <c r="T2935" s="522" t="inlineStr">
        <is>
          <t>2208009030</t>
        </is>
      </c>
      <c r="U2935" s="522" t="inlineStr">
        <is>
          <t>L001-901905215</t>
        </is>
      </c>
      <c r="V2935" s="522" t="inlineStr">
        <is>
          <t>វីអ៊ីស៊ិន (ខេមបូឌា) អ៊ិនដាសស្ទ្រី ឯ.ក</t>
        </is>
      </c>
      <c r="W2935" s="556" t="n">
        <v>89921</v>
      </c>
    </row>
    <row r="2936">
      <c r="A2936" s="521" t="n">
        <v>2928</v>
      </c>
      <c r="B2936" s="522" t="inlineStr">
        <is>
          <t>Export Administration fee</t>
        </is>
      </c>
      <c r="C2936" s="522" t="inlineStr">
        <is>
          <t>ឆាយ ដា ឡូយីស្ទីក</t>
        </is>
      </c>
      <c r="D2936" s="522" t="inlineStr">
        <is>
          <t>L001-100063098</t>
        </is>
      </c>
      <c r="E2936" s="521" t="inlineStr">
        <is>
          <t>2208009028</t>
        </is>
      </c>
      <c r="F2936" s="523" t="n">
        <v>44774</v>
      </c>
      <c r="G2936" s="556" t="n">
        <v>89921</v>
      </c>
      <c r="I2936" s="521">
        <f>G2936</f>
        <v/>
      </c>
      <c r="K2936" s="521">
        <f>I2936-G2936</f>
        <v/>
      </c>
      <c r="M2936" s="522" t="inlineStr">
        <is>
          <t>2208009028</t>
        </is>
      </c>
      <c r="N2936" s="522" t="inlineStr">
        <is>
          <t>2208009028</t>
        </is>
      </c>
      <c r="O2936" s="521">
        <f>M2936=N2936</f>
        <v/>
      </c>
      <c r="P2936" s="521">
        <f>AND(MONTH(F2936)=MONTH(S2936), YEAR(F2936)=YEAR(S2936))</f>
        <v/>
      </c>
      <c r="Q2936" s="521">
        <f>U2936="L001-901905215"</f>
        <v/>
      </c>
      <c r="R2936" s="556">
        <f>G2936-W2936</f>
        <v/>
      </c>
      <c r="S2936" s="523" t="n">
        <v>44774</v>
      </c>
      <c r="T2936" s="522" t="inlineStr">
        <is>
          <t>2208009028</t>
        </is>
      </c>
      <c r="U2936" s="522" t="inlineStr">
        <is>
          <t>L001-901905215</t>
        </is>
      </c>
      <c r="V2936" s="522" t="inlineStr">
        <is>
          <t>វីអ៊ីស៊ិន (ខេមបូឌា) អ៊ិនដាសស្ទ្រី ឯ.ក</t>
        </is>
      </c>
      <c r="W2936" s="556" t="n">
        <v>89921</v>
      </c>
    </row>
    <row r="2937">
      <c r="A2937" s="521" t="n">
        <v>2929</v>
      </c>
      <c r="B2937" s="522" t="inlineStr">
        <is>
          <t>Export Administration fee</t>
        </is>
      </c>
      <c r="C2937" s="522" t="inlineStr">
        <is>
          <t>ឆាយ ដា ឡូយីស្ទីក</t>
        </is>
      </c>
      <c r="D2937" s="522" t="inlineStr">
        <is>
          <t>L001-100063098</t>
        </is>
      </c>
      <c r="E2937" s="521" t="inlineStr">
        <is>
          <t>2208009019</t>
        </is>
      </c>
      <c r="F2937" s="523" t="n">
        <v>44774</v>
      </c>
      <c r="G2937" s="556" t="n">
        <v>89921</v>
      </c>
      <c r="I2937" s="521">
        <f>G2937</f>
        <v/>
      </c>
      <c r="K2937" s="521">
        <f>I2937-G2937</f>
        <v/>
      </c>
      <c r="M2937" s="522" t="inlineStr">
        <is>
          <t>2208009019</t>
        </is>
      </c>
      <c r="N2937" s="522" t="inlineStr">
        <is>
          <t>2208009019</t>
        </is>
      </c>
      <c r="O2937" s="521">
        <f>M2937=N2937</f>
        <v/>
      </c>
      <c r="P2937" s="521">
        <f>AND(MONTH(F2937)=MONTH(S2937), YEAR(F2937)=YEAR(S2937))</f>
        <v/>
      </c>
      <c r="Q2937" s="521">
        <f>U2937="L001-901905215"</f>
        <v/>
      </c>
      <c r="R2937" s="556">
        <f>G2937-W2937</f>
        <v/>
      </c>
      <c r="S2937" s="523" t="n">
        <v>44774</v>
      </c>
      <c r="T2937" s="522" t="inlineStr">
        <is>
          <t>2208009019</t>
        </is>
      </c>
      <c r="U2937" s="522" t="inlineStr">
        <is>
          <t>L001-901905215</t>
        </is>
      </c>
      <c r="V2937" s="522" t="inlineStr">
        <is>
          <t>វីអ៊ីស៊ិន (ខេមបូឌា) អ៊ិនដាសស្ទ្រី ឯ.ក</t>
        </is>
      </c>
      <c r="W2937" s="556" t="n">
        <v>89921</v>
      </c>
    </row>
    <row r="2938">
      <c r="A2938" s="521" t="n">
        <v>2930</v>
      </c>
      <c r="B2938" s="522" t="inlineStr">
        <is>
          <t>Export Administration fee</t>
        </is>
      </c>
      <c r="C2938" s="522" t="inlineStr">
        <is>
          <t>ឆាយ ដា ឡូយីស្ទីក</t>
        </is>
      </c>
      <c r="D2938" s="522" t="inlineStr">
        <is>
          <t>L001-100063098</t>
        </is>
      </c>
      <c r="E2938" s="521" t="inlineStr">
        <is>
          <t>2208009016</t>
        </is>
      </c>
      <c r="F2938" s="523" t="n">
        <v>44774</v>
      </c>
      <c r="G2938" s="556" t="n">
        <v>89921</v>
      </c>
      <c r="I2938" s="521">
        <f>G2938</f>
        <v/>
      </c>
      <c r="K2938" s="521">
        <f>I2938-G2938</f>
        <v/>
      </c>
      <c r="M2938" s="522" t="inlineStr">
        <is>
          <t>2208009016</t>
        </is>
      </c>
      <c r="N2938" s="522" t="inlineStr">
        <is>
          <t>2208009016</t>
        </is>
      </c>
      <c r="O2938" s="521">
        <f>M2938=N2938</f>
        <v/>
      </c>
      <c r="P2938" s="521">
        <f>AND(MONTH(F2938)=MONTH(S2938), YEAR(F2938)=YEAR(S2938))</f>
        <v/>
      </c>
      <c r="Q2938" s="521">
        <f>U2938="L001-901905215"</f>
        <v/>
      </c>
      <c r="R2938" s="556">
        <f>G2938-W2938</f>
        <v/>
      </c>
      <c r="S2938" s="523" t="n">
        <v>44774</v>
      </c>
      <c r="T2938" s="522" t="inlineStr">
        <is>
          <t>2208009016</t>
        </is>
      </c>
      <c r="U2938" s="522" t="inlineStr">
        <is>
          <t>L001-901905215</t>
        </is>
      </c>
      <c r="V2938" s="522" t="inlineStr">
        <is>
          <t>វីអ៊ីស៊ិន (ខេមបូឌា) អ៊ិនដាសស្ទ្រី ឯ.ក</t>
        </is>
      </c>
      <c r="W2938" s="556" t="n">
        <v>89921</v>
      </c>
    </row>
    <row r="2939">
      <c r="A2939" s="521" t="n">
        <v>2931</v>
      </c>
      <c r="B2939" s="522" t="inlineStr">
        <is>
          <t>Clearance &amp; Trucking Fee</t>
        </is>
      </c>
      <c r="C2939" s="522" t="inlineStr">
        <is>
          <t>56ប៊ី-លីង សឹបផ្លាយ ឆេន មេនេចម៉ិន ឯ.ក</t>
        </is>
      </c>
      <c r="D2939" s="522" t="inlineStr">
        <is>
          <t>K004-902004795</t>
        </is>
      </c>
      <c r="E2939" s="521" t="inlineStr">
        <is>
          <t>TI2022-0678</t>
        </is>
      </c>
      <c r="F2939" s="523" t="n">
        <v>44799</v>
      </c>
      <c r="G2939" s="556" t="n">
        <v>187051</v>
      </c>
      <c r="I2939" s="521">
        <f>G2939</f>
        <v/>
      </c>
      <c r="K2939" s="521">
        <f>I2939-G2939</f>
        <v/>
      </c>
      <c r="M2939" s="522" t="inlineStr">
        <is>
          <t>TI20220678</t>
        </is>
      </c>
      <c r="N2939" s="522" t="inlineStr">
        <is>
          <t>TI20220678</t>
        </is>
      </c>
      <c r="O2939" s="521">
        <f>M2939=N2939</f>
        <v/>
      </c>
      <c r="P2939" s="521">
        <f>AND(MONTH(F2939)=MONTH(S2939), YEAR(F2939)=YEAR(S2939))</f>
        <v/>
      </c>
      <c r="Q2939" s="521">
        <f>U2939="L001-901905215"</f>
        <v/>
      </c>
      <c r="R2939" s="556">
        <f>G2939-W2939</f>
        <v/>
      </c>
      <c r="S2939" s="523" t="n">
        <v>44799</v>
      </c>
      <c r="T2939" s="522" t="inlineStr">
        <is>
          <t>TI2022-0678</t>
        </is>
      </c>
      <c r="U2939" s="522" t="inlineStr">
        <is>
          <t>L001-901905215</t>
        </is>
      </c>
      <c r="V2939" s="522" t="inlineStr">
        <is>
          <t>វីអ៊ីស៊ិន (ខេមបូឌា) អ៊ិនដាសស្ទ្រី ឯ.ក</t>
        </is>
      </c>
      <c r="W2939" s="556" t="n">
        <v>187051</v>
      </c>
    </row>
    <row r="2940">
      <c r="A2940" s="521" t="n">
        <v>2932</v>
      </c>
      <c r="B2940" s="522" t="inlineStr">
        <is>
          <t>Clearance &amp; Trucking Fee</t>
        </is>
      </c>
      <c r="C2940" s="522" t="inlineStr">
        <is>
          <t>56ប៊ី-លីង សឹបផ្លាយ ឆេន មេនេចម៉ិន ឯ.ក</t>
        </is>
      </c>
      <c r="D2940" s="522" t="inlineStr">
        <is>
          <t>K004-902004795</t>
        </is>
      </c>
      <c r="E2940" s="521" t="inlineStr">
        <is>
          <t>TI2022-0677</t>
        </is>
      </c>
      <c r="F2940" s="523" t="n">
        <v>44799</v>
      </c>
      <c r="G2940" s="556" t="n">
        <v>187051</v>
      </c>
      <c r="I2940" s="521">
        <f>G2940</f>
        <v/>
      </c>
      <c r="K2940" s="521">
        <f>I2940-G2940</f>
        <v/>
      </c>
      <c r="M2940" s="522" t="inlineStr">
        <is>
          <t>TI20220677</t>
        </is>
      </c>
      <c r="N2940" s="522" t="inlineStr">
        <is>
          <t>TI20220677</t>
        </is>
      </c>
      <c r="O2940" s="521">
        <f>M2940=N2940</f>
        <v/>
      </c>
      <c r="P2940" s="521">
        <f>AND(MONTH(F2940)=MONTH(S2940), YEAR(F2940)=YEAR(S2940))</f>
        <v/>
      </c>
      <c r="Q2940" s="521">
        <f>U2940="L001-901905215"</f>
        <v/>
      </c>
      <c r="R2940" s="556">
        <f>G2940-W2940</f>
        <v/>
      </c>
      <c r="S2940" s="523" t="n">
        <v>44799</v>
      </c>
      <c r="T2940" s="522" t="inlineStr">
        <is>
          <t>TI2022-0677</t>
        </is>
      </c>
      <c r="U2940" s="522" t="inlineStr">
        <is>
          <t>L001-901905215</t>
        </is>
      </c>
      <c r="V2940" s="522" t="inlineStr">
        <is>
          <t>វីអ៊ីស៊ិន (ខេមបូឌា) អ៊ិនដាសស្ទ្រី ឯ.ក</t>
        </is>
      </c>
      <c r="W2940" s="556" t="n">
        <v>187051</v>
      </c>
    </row>
    <row r="2941">
      <c r="A2941" s="521" t="n">
        <v>2933</v>
      </c>
      <c r="B2941" s="522" t="inlineStr">
        <is>
          <t>Clearance &amp; Trucking Fee</t>
        </is>
      </c>
      <c r="C2941" s="522" t="inlineStr">
        <is>
          <t>56ប៊ី-លីង សឹបផ្លាយ ឆេន មេនេចម៉ិន ឯ.ក</t>
        </is>
      </c>
      <c r="D2941" s="522" t="inlineStr">
        <is>
          <t>K004-902004795</t>
        </is>
      </c>
      <c r="E2941" s="521" t="inlineStr">
        <is>
          <t>TI2022-0676</t>
        </is>
      </c>
      <c r="F2941" s="523" t="n">
        <v>44799</v>
      </c>
      <c r="G2941" s="556" t="n">
        <v>187051</v>
      </c>
      <c r="I2941" s="521">
        <f>G2941</f>
        <v/>
      </c>
      <c r="K2941" s="521">
        <f>I2941-G2941</f>
        <v/>
      </c>
      <c r="M2941" s="522" t="inlineStr">
        <is>
          <t>TI20220676</t>
        </is>
      </c>
      <c r="N2941" s="522" t="inlineStr">
        <is>
          <t>TI20220676</t>
        </is>
      </c>
      <c r="O2941" s="521">
        <f>M2941=N2941</f>
        <v/>
      </c>
      <c r="P2941" s="521">
        <f>AND(MONTH(F2941)=MONTH(S2941), YEAR(F2941)=YEAR(S2941))</f>
        <v/>
      </c>
      <c r="Q2941" s="521">
        <f>U2941="L001-901905215"</f>
        <v/>
      </c>
      <c r="R2941" s="556">
        <f>G2941-W2941</f>
        <v/>
      </c>
      <c r="S2941" s="523" t="n">
        <v>44799</v>
      </c>
      <c r="T2941" s="522" t="inlineStr">
        <is>
          <t>TI2022-0676</t>
        </is>
      </c>
      <c r="U2941" s="522" t="inlineStr">
        <is>
          <t>L001-901905215</t>
        </is>
      </c>
      <c r="V2941" s="522" t="inlineStr">
        <is>
          <t>វីអ៊ីស៊ិន (ខេមបូឌា) អ៊ិនដាសស្ទ្រី ឯ.ក</t>
        </is>
      </c>
      <c r="W2941" s="556" t="n">
        <v>187051</v>
      </c>
    </row>
    <row r="2942">
      <c r="A2942" s="521" t="n">
        <v>2934</v>
      </c>
      <c r="B2942" s="522" t="inlineStr">
        <is>
          <t>Clearance &amp; Trucking Fee</t>
        </is>
      </c>
      <c r="C2942" s="522" t="inlineStr">
        <is>
          <t>56ប៊ី-លីង សឹបផ្លាយ ឆេន មេនេចម៉ិន ឯ.ក</t>
        </is>
      </c>
      <c r="D2942" s="522" t="inlineStr">
        <is>
          <t>K004-902004795</t>
        </is>
      </c>
      <c r="E2942" s="521" t="inlineStr">
        <is>
          <t>TI2022-0667</t>
        </is>
      </c>
      <c r="F2942" s="523" t="n">
        <v>44795</v>
      </c>
      <c r="G2942" s="556" t="n">
        <v>195130</v>
      </c>
      <c r="I2942" s="521">
        <f>G2942</f>
        <v/>
      </c>
      <c r="K2942" s="521">
        <f>I2942-G2942</f>
        <v/>
      </c>
      <c r="M2942" s="522" t="inlineStr">
        <is>
          <t>TI20220667</t>
        </is>
      </c>
      <c r="N2942" s="522" t="inlineStr">
        <is>
          <t>TI20220667</t>
        </is>
      </c>
      <c r="O2942" s="521">
        <f>M2942=N2942</f>
        <v/>
      </c>
      <c r="P2942" s="521">
        <f>AND(MONTH(F2942)=MONTH(S2942), YEAR(F2942)=YEAR(S2942))</f>
        <v/>
      </c>
      <c r="Q2942" s="521">
        <f>U2942="L001-901905215"</f>
        <v/>
      </c>
      <c r="R2942" s="556">
        <f>G2942-W2942</f>
        <v/>
      </c>
      <c r="S2942" s="523" t="n">
        <v>44795</v>
      </c>
      <c r="T2942" s="522" t="inlineStr">
        <is>
          <t>TI2022-0667</t>
        </is>
      </c>
      <c r="U2942" s="522" t="inlineStr">
        <is>
          <t>L001-901905215</t>
        </is>
      </c>
      <c r="V2942" s="522" t="inlineStr">
        <is>
          <t>វីអ៊ីស៊ិន (ខេមបូឌា) អ៊ិនដាសស្ទ្រី ឯ.ក</t>
        </is>
      </c>
      <c r="W2942" s="556" t="n">
        <v>195130</v>
      </c>
    </row>
    <row r="2943">
      <c r="A2943" s="521" t="n">
        <v>2935</v>
      </c>
      <c r="B2943" s="522" t="inlineStr">
        <is>
          <t>Clearance &amp; Trucking Fee</t>
        </is>
      </c>
      <c r="C2943" s="522" t="inlineStr">
        <is>
          <t>56ប៊ី-លីង សឹបផ្លាយ ឆេន មេនេចម៉ិន ឯ.ក</t>
        </is>
      </c>
      <c r="D2943" s="522" t="inlineStr">
        <is>
          <t>K004-902004795</t>
        </is>
      </c>
      <c r="E2943" s="521" t="inlineStr">
        <is>
          <t>TI2022-0665</t>
        </is>
      </c>
      <c r="F2943" s="523" t="n">
        <v>44792</v>
      </c>
      <c r="G2943" s="556" t="n">
        <v>186869</v>
      </c>
      <c r="I2943" s="521">
        <f>G2943</f>
        <v/>
      </c>
      <c r="K2943" s="521">
        <f>I2943-G2943</f>
        <v/>
      </c>
      <c r="M2943" s="522" t="inlineStr">
        <is>
          <t>TI20220665</t>
        </is>
      </c>
      <c r="N2943" s="522" t="inlineStr">
        <is>
          <t>TI20220665</t>
        </is>
      </c>
      <c r="O2943" s="521">
        <f>M2943=N2943</f>
        <v/>
      </c>
      <c r="P2943" s="521">
        <f>AND(MONTH(F2943)=MONTH(S2943), YEAR(F2943)=YEAR(S2943))</f>
        <v/>
      </c>
      <c r="Q2943" s="521">
        <f>U2943="L001-901905215"</f>
        <v/>
      </c>
      <c r="R2943" s="556">
        <f>G2943-W2943</f>
        <v/>
      </c>
      <c r="S2943" s="523" t="n">
        <v>44792</v>
      </c>
      <c r="T2943" s="522" t="inlineStr">
        <is>
          <t>TI2022-0665</t>
        </is>
      </c>
      <c r="U2943" s="522" t="inlineStr">
        <is>
          <t>L001-901905215</t>
        </is>
      </c>
      <c r="V2943" s="522" t="inlineStr">
        <is>
          <t>វីអ៊ីស៊ិន (ខេមបូឌា) អ៊ិនដាសស្ទ្រី ឯ.ក</t>
        </is>
      </c>
      <c r="W2943" s="556" t="n">
        <v>186869</v>
      </c>
    </row>
    <row r="2944">
      <c r="A2944" s="521" t="n">
        <v>2936</v>
      </c>
      <c r="B2944" s="522" t="inlineStr">
        <is>
          <t>Clearance &amp; Trucking Fee</t>
        </is>
      </c>
      <c r="C2944" s="522" t="inlineStr">
        <is>
          <t>56ប៊ី-លីង សឹបផ្លាយ ឆេន មេនេចម៉ិន ឯ.ក</t>
        </is>
      </c>
      <c r="D2944" s="522" t="inlineStr">
        <is>
          <t>K004-902004795</t>
        </is>
      </c>
      <c r="E2944" s="521" t="inlineStr">
        <is>
          <t>TI2022-0664</t>
        </is>
      </c>
      <c r="F2944" s="523" t="n">
        <v>44792</v>
      </c>
      <c r="G2944" s="556" t="n">
        <v>195083</v>
      </c>
      <c r="I2944" s="521">
        <f>G2944</f>
        <v/>
      </c>
      <c r="K2944" s="521">
        <f>I2944-G2944</f>
        <v/>
      </c>
      <c r="M2944" s="522" t="inlineStr">
        <is>
          <t>TI20220664</t>
        </is>
      </c>
      <c r="N2944" s="522" t="inlineStr">
        <is>
          <t>TI20220664</t>
        </is>
      </c>
      <c r="O2944" s="521">
        <f>M2944=N2944</f>
        <v/>
      </c>
      <c r="P2944" s="521">
        <f>AND(MONTH(F2944)=MONTH(S2944), YEAR(F2944)=YEAR(S2944))</f>
        <v/>
      </c>
      <c r="Q2944" s="521">
        <f>U2944="L001-901905215"</f>
        <v/>
      </c>
      <c r="R2944" s="556">
        <f>G2944-W2944</f>
        <v/>
      </c>
      <c r="S2944" s="523" t="n">
        <v>44792</v>
      </c>
      <c r="T2944" s="522" t="inlineStr">
        <is>
          <t>TI2022-0664</t>
        </is>
      </c>
      <c r="U2944" s="522" t="inlineStr">
        <is>
          <t>L001-901905215</t>
        </is>
      </c>
      <c r="V2944" s="522" t="inlineStr">
        <is>
          <t>វីអ៊ីស៊ិន (ខេមបូឌា) អ៊ិនដាសស្ទ្រី ឯ.ក</t>
        </is>
      </c>
      <c r="W2944" s="556" t="n">
        <v>195083</v>
      </c>
    </row>
    <row r="2945">
      <c r="A2945" s="521" t="n">
        <v>2937</v>
      </c>
      <c r="B2945" s="522" t="inlineStr">
        <is>
          <t>Clearance &amp; Trucking Fee</t>
        </is>
      </c>
      <c r="C2945" s="522" t="inlineStr">
        <is>
          <t>56ប៊ី-លីង សឹបផ្លាយ ឆេន មេនេចម៉ិន ឯ.ក</t>
        </is>
      </c>
      <c r="D2945" s="522" t="inlineStr">
        <is>
          <t>K004-902004795</t>
        </is>
      </c>
      <c r="E2945" s="521" t="inlineStr">
        <is>
          <t>TI2022-0663</t>
        </is>
      </c>
      <c r="F2945" s="523" t="n">
        <v>44792</v>
      </c>
      <c r="G2945" s="556" t="n">
        <v>186869</v>
      </c>
      <c r="I2945" s="521">
        <f>G2945</f>
        <v/>
      </c>
      <c r="K2945" s="521">
        <f>I2945-G2945</f>
        <v/>
      </c>
      <c r="M2945" s="522" t="inlineStr">
        <is>
          <t>TI20220663</t>
        </is>
      </c>
      <c r="N2945" s="522" t="inlineStr">
        <is>
          <t>TI20220663</t>
        </is>
      </c>
      <c r="O2945" s="521">
        <f>M2945=N2945</f>
        <v/>
      </c>
      <c r="P2945" s="521">
        <f>AND(MONTH(F2945)=MONTH(S2945), YEAR(F2945)=YEAR(S2945))</f>
        <v/>
      </c>
      <c r="Q2945" s="521">
        <f>U2945="L001-901905215"</f>
        <v/>
      </c>
      <c r="R2945" s="556">
        <f>G2945-W2945</f>
        <v/>
      </c>
      <c r="S2945" s="523" t="n">
        <v>44792</v>
      </c>
      <c r="T2945" s="522" t="inlineStr">
        <is>
          <t>TI2022-0663</t>
        </is>
      </c>
      <c r="U2945" s="522" t="inlineStr">
        <is>
          <t>L001-901905215</t>
        </is>
      </c>
      <c r="V2945" s="522" t="inlineStr">
        <is>
          <t>វីអ៊ីស៊ិន (ខេមបូឌា) អ៊ិនដាសស្ទ្រី ឯ.ក</t>
        </is>
      </c>
      <c r="W2945" s="556" t="n">
        <v>186869</v>
      </c>
    </row>
    <row r="2946">
      <c r="A2946" s="521" t="n">
        <v>2938</v>
      </c>
      <c r="B2946" s="522" t="inlineStr">
        <is>
          <t>Clearance &amp; Trucking Fee</t>
        </is>
      </c>
      <c r="C2946" s="522" t="inlineStr">
        <is>
          <t>56ប៊ី-លីង សឹបផ្លាយ ឆេន មេនេចម៉ិន ឯ.ក</t>
        </is>
      </c>
      <c r="D2946" s="522" t="inlineStr">
        <is>
          <t>K004-902004795</t>
        </is>
      </c>
      <c r="E2946" s="521" t="inlineStr">
        <is>
          <t>TI2022-0662</t>
        </is>
      </c>
      <c r="F2946" s="523" t="n">
        <v>44792</v>
      </c>
      <c r="G2946" s="556" t="n">
        <v>195083</v>
      </c>
      <c r="I2946" s="521">
        <f>G2946</f>
        <v/>
      </c>
      <c r="K2946" s="521">
        <f>I2946-G2946</f>
        <v/>
      </c>
      <c r="M2946" s="522" t="inlineStr">
        <is>
          <t>TI20220662</t>
        </is>
      </c>
      <c r="N2946" s="522" t="inlineStr">
        <is>
          <t>TI20220662</t>
        </is>
      </c>
      <c r="O2946" s="521">
        <f>M2946=N2946</f>
        <v/>
      </c>
      <c r="P2946" s="521">
        <f>AND(MONTH(F2946)=MONTH(S2946), YEAR(F2946)=YEAR(S2946))</f>
        <v/>
      </c>
      <c r="Q2946" s="521">
        <f>U2946="L001-901905215"</f>
        <v/>
      </c>
      <c r="R2946" s="556">
        <f>G2946-W2946</f>
        <v/>
      </c>
      <c r="S2946" s="523" t="n">
        <v>44792</v>
      </c>
      <c r="T2946" s="522" t="inlineStr">
        <is>
          <t>TI2022-0662</t>
        </is>
      </c>
      <c r="U2946" s="522" t="inlineStr">
        <is>
          <t>L001-901905215</t>
        </is>
      </c>
      <c r="V2946" s="522" t="inlineStr">
        <is>
          <t>វីអ៊ីស៊ិន (ខេមបូឌា) អ៊ិនដាសស្ទ្រី ឯ.ក</t>
        </is>
      </c>
      <c r="W2946" s="556" t="n">
        <v>195083</v>
      </c>
    </row>
    <row r="2947">
      <c r="A2947" s="521" t="n">
        <v>2939</v>
      </c>
      <c r="B2947" s="522" t="inlineStr">
        <is>
          <t>Clearance &amp; Trucking Fee</t>
        </is>
      </c>
      <c r="C2947" s="522" t="inlineStr">
        <is>
          <t>56ប៊ី-លីង សឹបផ្លាយ ឆេន មេនេចម៉ិន ឯ.ក</t>
        </is>
      </c>
      <c r="D2947" s="522" t="inlineStr">
        <is>
          <t>K004-902004795</t>
        </is>
      </c>
      <c r="E2947" s="521" t="inlineStr">
        <is>
          <t>TI2022-0657</t>
        </is>
      </c>
      <c r="F2947" s="523" t="n">
        <v>44789</v>
      </c>
      <c r="G2947" s="556" t="n">
        <v>186869</v>
      </c>
      <c r="I2947" s="521">
        <f>G2947</f>
        <v/>
      </c>
      <c r="K2947" s="521">
        <f>I2947-G2947</f>
        <v/>
      </c>
      <c r="M2947" s="522" t="inlineStr">
        <is>
          <t>TI20220657</t>
        </is>
      </c>
      <c r="N2947" s="522" t="inlineStr">
        <is>
          <t>TI20220657</t>
        </is>
      </c>
      <c r="O2947" s="521">
        <f>M2947=N2947</f>
        <v/>
      </c>
      <c r="P2947" s="521">
        <f>AND(MONTH(F2947)=MONTH(S2947), YEAR(F2947)=YEAR(S2947))</f>
        <v/>
      </c>
      <c r="Q2947" s="521">
        <f>U2947="L001-901905215"</f>
        <v/>
      </c>
      <c r="R2947" s="556">
        <f>G2947-W2947</f>
        <v/>
      </c>
      <c r="S2947" s="523" t="n">
        <v>44789</v>
      </c>
      <c r="T2947" s="522" t="inlineStr">
        <is>
          <t>TI2022-0657</t>
        </is>
      </c>
      <c r="U2947" s="522" t="inlineStr">
        <is>
          <t>L001-901905215</t>
        </is>
      </c>
      <c r="V2947" s="522" t="inlineStr">
        <is>
          <t>វីអ៊ីស៊ិន (ខេមបូឌា) អ៊ិនដាសស្ទ្រី ឯ.ក</t>
        </is>
      </c>
      <c r="W2947" s="556" t="n">
        <v>186869</v>
      </c>
    </row>
    <row r="2948">
      <c r="A2948" s="521" t="n">
        <v>2940</v>
      </c>
      <c r="B2948" s="522" t="inlineStr">
        <is>
          <t>Clearance &amp; Trucking Fee</t>
        </is>
      </c>
      <c r="C2948" s="522" t="inlineStr">
        <is>
          <t>56ប៊ី-លីង សឹបផ្លាយ ឆេន មេនេចម៉ិន ឯ.ក</t>
        </is>
      </c>
      <c r="D2948" s="522" t="inlineStr">
        <is>
          <t>K004-902004795</t>
        </is>
      </c>
      <c r="E2948" s="521" t="inlineStr">
        <is>
          <t>TI2022-0656</t>
        </is>
      </c>
      <c r="F2948" s="523" t="n">
        <v>44789</v>
      </c>
      <c r="G2948" s="556" t="n">
        <v>186869</v>
      </c>
      <c r="I2948" s="521">
        <f>G2948</f>
        <v/>
      </c>
      <c r="K2948" s="521">
        <f>I2948-G2948</f>
        <v/>
      </c>
      <c r="M2948" s="522" t="inlineStr">
        <is>
          <t>TI20220656</t>
        </is>
      </c>
      <c r="N2948" s="522" t="inlineStr">
        <is>
          <t>TI20220656</t>
        </is>
      </c>
      <c r="O2948" s="521">
        <f>M2948=N2948</f>
        <v/>
      </c>
      <c r="P2948" s="521">
        <f>AND(MONTH(F2948)=MONTH(S2948), YEAR(F2948)=YEAR(S2948))</f>
        <v/>
      </c>
      <c r="Q2948" s="521">
        <f>U2948="L001-901905215"</f>
        <v/>
      </c>
      <c r="R2948" s="556">
        <f>G2948-W2948</f>
        <v/>
      </c>
      <c r="S2948" s="523" t="n">
        <v>44789</v>
      </c>
      <c r="T2948" s="522" t="inlineStr">
        <is>
          <t>TI2022-0656</t>
        </is>
      </c>
      <c r="U2948" s="522" t="inlineStr">
        <is>
          <t>L001-901905215</t>
        </is>
      </c>
      <c r="V2948" s="522" t="inlineStr">
        <is>
          <t>វីអ៊ីស៊ិន (ខេមបូឌា) អ៊ិនដាសស្ទ្រី ឯ.ក</t>
        </is>
      </c>
      <c r="W2948" s="556" t="n">
        <v>186869</v>
      </c>
    </row>
    <row r="2949">
      <c r="A2949" s="521" t="n">
        <v>2941</v>
      </c>
      <c r="B2949" s="522" t="inlineStr">
        <is>
          <t>Clearance &amp; Trucking Fee</t>
        </is>
      </c>
      <c r="C2949" s="522" t="inlineStr">
        <is>
          <t>56ប៊ី-លីង សឹបផ្លាយ ឆេន មេនេចម៉ិន ឯ.ក</t>
        </is>
      </c>
      <c r="D2949" s="522" t="inlineStr">
        <is>
          <t>K004-902004795</t>
        </is>
      </c>
      <c r="E2949" s="521" t="inlineStr">
        <is>
          <t>TI2022-0655</t>
        </is>
      </c>
      <c r="F2949" s="523" t="n">
        <v>44789</v>
      </c>
      <c r="G2949" s="556" t="n">
        <v>186869</v>
      </c>
      <c r="I2949" s="521">
        <f>G2949</f>
        <v/>
      </c>
      <c r="K2949" s="521">
        <f>I2949-G2949</f>
        <v/>
      </c>
      <c r="M2949" s="522" t="inlineStr">
        <is>
          <t>TI20220655</t>
        </is>
      </c>
      <c r="N2949" s="522" t="inlineStr">
        <is>
          <t>TI20220655</t>
        </is>
      </c>
      <c r="O2949" s="521">
        <f>M2949=N2949</f>
        <v/>
      </c>
      <c r="P2949" s="521">
        <f>AND(MONTH(F2949)=MONTH(S2949), YEAR(F2949)=YEAR(S2949))</f>
        <v/>
      </c>
      <c r="Q2949" s="521">
        <f>U2949="L001-901905215"</f>
        <v/>
      </c>
      <c r="R2949" s="556">
        <f>G2949-W2949</f>
        <v/>
      </c>
      <c r="S2949" s="523" t="n">
        <v>44789</v>
      </c>
      <c r="T2949" s="522" t="inlineStr">
        <is>
          <t>TI2022-0655</t>
        </is>
      </c>
      <c r="U2949" s="522" t="inlineStr">
        <is>
          <t>L001-901905215</t>
        </is>
      </c>
      <c r="V2949" s="522" t="inlineStr">
        <is>
          <t>វីអ៊ីស៊ិន (ខេមបូឌា) អ៊ិនដាសស្ទ្រី ឯ.ក</t>
        </is>
      </c>
      <c r="W2949" s="556" t="n">
        <v>186869</v>
      </c>
    </row>
    <row r="2950">
      <c r="A2950" s="521" t="n">
        <v>2942</v>
      </c>
      <c r="B2950" s="522" t="inlineStr">
        <is>
          <t>Clearance &amp; Trucking Fee</t>
        </is>
      </c>
      <c r="C2950" s="522" t="inlineStr">
        <is>
          <t>56ប៊ី-លីង សឹបផ្លាយ ឆេន មេនេចម៉ិន ឯ.ក</t>
        </is>
      </c>
      <c r="D2950" s="522" t="inlineStr">
        <is>
          <t>K004-902004795</t>
        </is>
      </c>
      <c r="E2950" s="521" t="inlineStr">
        <is>
          <t>TI2022-0654</t>
        </is>
      </c>
      <c r="F2950" s="523" t="n">
        <v>44789</v>
      </c>
      <c r="G2950" s="556" t="n">
        <v>186869</v>
      </c>
      <c r="I2950" s="521">
        <f>G2950</f>
        <v/>
      </c>
      <c r="K2950" s="521">
        <f>I2950-G2950</f>
        <v/>
      </c>
      <c r="M2950" s="522" t="inlineStr">
        <is>
          <t>TI20220654</t>
        </is>
      </c>
      <c r="N2950" s="522" t="inlineStr">
        <is>
          <t>TI20220654</t>
        </is>
      </c>
      <c r="O2950" s="521">
        <f>M2950=N2950</f>
        <v/>
      </c>
      <c r="P2950" s="521">
        <f>AND(MONTH(F2950)=MONTH(S2950), YEAR(F2950)=YEAR(S2950))</f>
        <v/>
      </c>
      <c r="Q2950" s="521">
        <f>U2950="L001-901905215"</f>
        <v/>
      </c>
      <c r="R2950" s="556">
        <f>G2950-W2950</f>
        <v/>
      </c>
      <c r="S2950" s="523" t="n">
        <v>44789</v>
      </c>
      <c r="T2950" s="522" t="inlineStr">
        <is>
          <t>TI2022-0654</t>
        </is>
      </c>
      <c r="U2950" s="522" t="inlineStr">
        <is>
          <t>L001-901905215</t>
        </is>
      </c>
      <c r="V2950" s="522" t="inlineStr">
        <is>
          <t>វីអ៊ីស៊ិន (ខេមបូឌា) អ៊ិនដាសស្ទ្រី ឯ.ក</t>
        </is>
      </c>
      <c r="W2950" s="556" t="n">
        <v>186869</v>
      </c>
    </row>
    <row r="2951">
      <c r="A2951" s="521" t="n">
        <v>2943</v>
      </c>
      <c r="B2951" s="522" t="inlineStr">
        <is>
          <t>Clearance &amp; Trucking Fee</t>
        </is>
      </c>
      <c r="C2951" s="522" t="inlineStr">
        <is>
          <t>56ប៊ី-លីង សឹបផ្លាយ ឆេន មេនេចម៉ិន ឯ.ក</t>
        </is>
      </c>
      <c r="D2951" s="522" t="inlineStr">
        <is>
          <t>K004-902004795</t>
        </is>
      </c>
      <c r="E2951" s="521" t="inlineStr">
        <is>
          <t>TI2022-0646</t>
        </is>
      </c>
      <c r="F2951" s="523" t="n">
        <v>44784</v>
      </c>
      <c r="G2951" s="556" t="n">
        <v>195130</v>
      </c>
      <c r="I2951" s="521">
        <f>G2951</f>
        <v/>
      </c>
      <c r="K2951" s="521">
        <f>I2951-G2951</f>
        <v/>
      </c>
      <c r="M2951" s="522" t="inlineStr">
        <is>
          <t>TI20220646</t>
        </is>
      </c>
      <c r="N2951" s="522" t="inlineStr">
        <is>
          <t>TI20220646</t>
        </is>
      </c>
      <c r="O2951" s="521">
        <f>M2951=N2951</f>
        <v/>
      </c>
      <c r="P2951" s="521">
        <f>AND(MONTH(F2951)=MONTH(S2951), YEAR(F2951)=YEAR(S2951))</f>
        <v/>
      </c>
      <c r="Q2951" s="521">
        <f>U2951="L001-901905215"</f>
        <v/>
      </c>
      <c r="R2951" s="556">
        <f>G2951-W2951</f>
        <v/>
      </c>
      <c r="S2951" s="523" t="n">
        <v>44784</v>
      </c>
      <c r="T2951" s="522" t="inlineStr">
        <is>
          <t>TI2022-0646</t>
        </is>
      </c>
      <c r="U2951" s="522" t="inlineStr">
        <is>
          <t>L001-901905215</t>
        </is>
      </c>
      <c r="V2951" s="522" t="inlineStr">
        <is>
          <t>វីអ៊ីស៊ិន (ខេមបូឌា) អ៊ិនដាសស្ទ្រី ឯ.ក</t>
        </is>
      </c>
      <c r="W2951" s="556" t="n">
        <v>195130</v>
      </c>
    </row>
    <row r="2952">
      <c r="A2952" s="521" t="n">
        <v>2944</v>
      </c>
      <c r="B2952" s="522" t="inlineStr">
        <is>
          <t>Cartons</t>
        </is>
      </c>
      <c r="C2952" s="522" t="inlineStr">
        <is>
          <t>យី មីង ភែកឃីជីង ឯ.ក</t>
        </is>
      </c>
      <c r="D2952" s="522" t="inlineStr">
        <is>
          <t>B108-902101335</t>
        </is>
      </c>
      <c r="E2952" s="521" t="inlineStr">
        <is>
          <t>YM-0030</t>
        </is>
      </c>
      <c r="F2952" s="523" t="n">
        <v>44804</v>
      </c>
      <c r="G2952" s="556" t="n">
        <v>1742477</v>
      </c>
      <c r="I2952" s="521">
        <f>G2952</f>
        <v/>
      </c>
      <c r="K2952" s="521">
        <f>I2952-G2952</f>
        <v/>
      </c>
      <c r="M2952" s="522" t="inlineStr">
        <is>
          <t>YM0030</t>
        </is>
      </c>
      <c r="N2952" s="522" t="inlineStr">
        <is>
          <t>YM0030</t>
        </is>
      </c>
      <c r="O2952" s="521">
        <f>M2952=N2952</f>
        <v/>
      </c>
      <c r="P2952" s="521">
        <f>AND(MONTH(F2952)=MONTH(S2952), YEAR(F2952)=YEAR(S2952))</f>
        <v/>
      </c>
      <c r="Q2952" s="521">
        <f>U2952="L001-901905215"</f>
        <v/>
      </c>
      <c r="R2952" s="556">
        <f>G2952-W2952</f>
        <v/>
      </c>
      <c r="S2952" s="523" t="n">
        <v>44804</v>
      </c>
      <c r="T2952" s="522" t="inlineStr">
        <is>
          <t>YM-0030</t>
        </is>
      </c>
      <c r="U2952" s="522" t="inlineStr">
        <is>
          <t>L001-901905215</t>
        </is>
      </c>
      <c r="V2952" s="522" t="inlineStr">
        <is>
          <t>វីអ៊ីស៊ិន (ខេមបូឌា) អ៊ិនដាសស្ទ្រី ឯ.ក</t>
        </is>
      </c>
      <c r="W2952" s="556" t="n">
        <v>1742477</v>
      </c>
    </row>
    <row r="2953">
      <c r="A2953" s="521" t="n">
        <v>2945</v>
      </c>
      <c r="B2953" s="522" t="inlineStr">
        <is>
          <t>Paper Label</t>
        </is>
      </c>
      <c r="C2953" s="522" t="inlineStr">
        <is>
          <t>ស៊ីន ហ្វី យ៉ាង ព្រីនធីង &amp; អិកសេសសឺរី ឯ.ក</t>
        </is>
      </c>
      <c r="D2953" s="522" t="inlineStr">
        <is>
          <t>K010-901906822</t>
        </is>
      </c>
      <c r="E2953" s="521" t="inlineStr">
        <is>
          <t>XFY-YD20220131</t>
        </is>
      </c>
      <c r="F2953" s="523" t="n">
        <v>44803</v>
      </c>
      <c r="G2953" s="556" t="n">
        <v>610164</v>
      </c>
      <c r="I2953" s="521">
        <f>G2953</f>
        <v/>
      </c>
      <c r="K2953" s="521">
        <f>I2953-G2953</f>
        <v/>
      </c>
      <c r="M2953" s="522" t="inlineStr">
        <is>
          <t>XFYYD20220131</t>
        </is>
      </c>
      <c r="N2953" s="522" t="inlineStr">
        <is>
          <t>XFYYD20220131</t>
        </is>
      </c>
      <c r="O2953" s="521">
        <f>M2953=N2953</f>
        <v/>
      </c>
      <c r="P2953" s="521">
        <f>AND(MONTH(F2953)=MONTH(S2953), YEAR(F2953)=YEAR(S2953))</f>
        <v/>
      </c>
      <c r="Q2953" s="521">
        <f>U2953="L001-901905215"</f>
        <v/>
      </c>
      <c r="R2953" s="556">
        <f>G2953-W2953</f>
        <v/>
      </c>
      <c r="S2953" s="523" t="n">
        <v>44803</v>
      </c>
      <c r="T2953" s="522" t="inlineStr">
        <is>
          <t>XFY-YD20220131</t>
        </is>
      </c>
      <c r="U2953" s="522" t="inlineStr">
        <is>
          <t>L001-901905215</t>
        </is>
      </c>
      <c r="V2953" s="522" t="inlineStr">
        <is>
          <t>វីអ៊ីស៊ិន (ខេមបូឌា) អ៊ិនដាសស្ទ្រី ឯ.ក</t>
        </is>
      </c>
      <c r="W2953" s="556" t="n">
        <v>610164</v>
      </c>
    </row>
    <row r="2954">
      <c r="A2954" s="521" t="n">
        <v>2946</v>
      </c>
      <c r="B2954" s="522" t="inlineStr">
        <is>
          <t>Color Box</t>
        </is>
      </c>
      <c r="C2954" s="522" t="inlineStr">
        <is>
          <t>វីង ចេង ភែកឃីជីង ឯ.ក</t>
        </is>
      </c>
      <c r="D2954" s="522" t="inlineStr">
        <is>
          <t>L001-902102915</t>
        </is>
      </c>
      <c r="E2954" s="521" t="inlineStr">
        <is>
          <t>TI0396</t>
        </is>
      </c>
      <c r="F2954" s="523" t="n">
        <v>44804</v>
      </c>
      <c r="G2954" s="556" t="n">
        <v>7994557</v>
      </c>
      <c r="I2954" s="521">
        <f>G2954</f>
        <v/>
      </c>
      <c r="K2954" s="521">
        <f>I2954-G2954</f>
        <v/>
      </c>
      <c r="M2954" s="522" t="inlineStr">
        <is>
          <t>TI0396</t>
        </is>
      </c>
      <c r="N2954" s="522" t="inlineStr">
        <is>
          <t>TI0396</t>
        </is>
      </c>
      <c r="O2954" s="521">
        <f>M2954=N2954</f>
        <v/>
      </c>
      <c r="P2954" s="521">
        <f>AND(MONTH(F2954)=MONTH(S2954), YEAR(F2954)=YEAR(S2954))</f>
        <v/>
      </c>
      <c r="Q2954" s="521">
        <f>U2954="L001-901905215"</f>
        <v/>
      </c>
      <c r="R2954" s="556">
        <f>G2954-W2954</f>
        <v/>
      </c>
      <c r="S2954" s="523" t="n">
        <v>44804</v>
      </c>
      <c r="T2954" s="522" t="inlineStr">
        <is>
          <t>TI0396</t>
        </is>
      </c>
      <c r="U2954" s="522" t="inlineStr">
        <is>
          <t>L001-901905215</t>
        </is>
      </c>
      <c r="V2954" s="522" t="inlineStr">
        <is>
          <t>វីអ៊ីស៊ិន (ខេមបូឌា) អ៊ិនដាសស្ទ្រី ឯ.ក</t>
        </is>
      </c>
      <c r="W2954" s="556" t="n">
        <v>7994557</v>
      </c>
    </row>
    <row r="2955">
      <c r="A2955" s="521" t="n">
        <v>2947</v>
      </c>
      <c r="B2955" s="522" t="inlineStr">
        <is>
          <t>Cartons</t>
        </is>
      </c>
      <c r="C2955" s="522" t="inlineStr">
        <is>
          <t>ស៊ីងហ្គាពួរ កាតុង (ខេមបូឌា)</t>
        </is>
      </c>
      <c r="D2955" s="522" t="inlineStr">
        <is>
          <t>L001-100121322</t>
        </is>
      </c>
      <c r="E2955" s="521" t="inlineStr">
        <is>
          <t>V0019746</t>
        </is>
      </c>
      <c r="F2955" s="523" t="n">
        <v>44798</v>
      </c>
      <c r="G2955" s="556" t="n">
        <v>664317</v>
      </c>
      <c r="I2955" s="521">
        <f>G2955</f>
        <v/>
      </c>
      <c r="K2955" s="521">
        <f>I2955-G2955</f>
        <v/>
      </c>
      <c r="M2955" s="522" t="inlineStr">
        <is>
          <t>V0019746</t>
        </is>
      </c>
      <c r="N2955" s="522" t="inlineStr">
        <is>
          <t>V0019746</t>
        </is>
      </c>
      <c r="O2955" s="521">
        <f>M2955=N2955</f>
        <v/>
      </c>
      <c r="P2955" s="521">
        <f>AND(MONTH(F2955)=MONTH(S2955), YEAR(F2955)=YEAR(S2955))</f>
        <v/>
      </c>
      <c r="Q2955" s="521">
        <f>U2955="L001-901905215"</f>
        <v/>
      </c>
      <c r="R2955" s="556">
        <f>G2955-W2955</f>
        <v/>
      </c>
      <c r="S2955" s="523" t="n">
        <v>44798</v>
      </c>
      <c r="T2955" s="522" t="inlineStr">
        <is>
          <t>V0019746</t>
        </is>
      </c>
      <c r="U2955" s="522" t="inlineStr">
        <is>
          <t>L001-901905215</t>
        </is>
      </c>
      <c r="V2955" s="522" t="inlineStr">
        <is>
          <t>វីអ៊ីស៊ិន (ខេមបូឌា) អ៊ិនដាសស្ទ្រី ឯ.ក</t>
        </is>
      </c>
      <c r="W2955" s="556" t="n">
        <v>664804</v>
      </c>
    </row>
    <row r="2956">
      <c r="A2956" s="521" t="n">
        <v>2948</v>
      </c>
      <c r="B2956" s="522" t="inlineStr">
        <is>
          <t>Cartons</t>
        </is>
      </c>
      <c r="C2956" s="522" t="inlineStr">
        <is>
          <t>ស៊ីងហ្គាពួរ កាតុង (ខេមបូឌា)</t>
        </is>
      </c>
      <c r="D2956" s="522" t="inlineStr">
        <is>
          <t>L001-100121322</t>
        </is>
      </c>
      <c r="E2956" s="521" t="inlineStr">
        <is>
          <t>V0019742</t>
        </is>
      </c>
      <c r="F2956" s="523" t="n">
        <v>44797</v>
      </c>
      <c r="G2956" s="556" t="n">
        <v>667485</v>
      </c>
      <c r="I2956" s="521">
        <f>G2956</f>
        <v/>
      </c>
      <c r="K2956" s="521">
        <f>I2956-G2956</f>
        <v/>
      </c>
      <c r="M2956" s="522" t="inlineStr">
        <is>
          <t>V0019742</t>
        </is>
      </c>
      <c r="N2956" s="522" t="inlineStr">
        <is>
          <t>V0019742</t>
        </is>
      </c>
      <c r="O2956" s="521">
        <f>M2956=N2956</f>
        <v/>
      </c>
      <c r="P2956" s="521">
        <f>AND(MONTH(F2956)=MONTH(S2956), YEAR(F2956)=YEAR(S2956))</f>
        <v/>
      </c>
      <c r="Q2956" s="521">
        <f>U2956="L001-901905215"</f>
        <v/>
      </c>
      <c r="R2956" s="556">
        <f>G2956-W2956</f>
        <v/>
      </c>
      <c r="S2956" s="523" t="n">
        <v>44797</v>
      </c>
      <c r="T2956" s="522" t="inlineStr">
        <is>
          <t>V0019742</t>
        </is>
      </c>
      <c r="U2956" s="522" t="inlineStr">
        <is>
          <t>L001-901905215</t>
        </is>
      </c>
      <c r="V2956" s="522" t="inlineStr">
        <is>
          <t>វីអ៊ីស៊ិន (ខេមបូឌា) អ៊ិនដាសស្ទ្រី ឯ.ក</t>
        </is>
      </c>
      <c r="W2956" s="556" t="n">
        <v>668136</v>
      </c>
    </row>
    <row r="2957">
      <c r="A2957" s="521" t="n">
        <v>2949</v>
      </c>
      <c r="B2957" s="522" t="inlineStr">
        <is>
          <t>Cartons</t>
        </is>
      </c>
      <c r="C2957" s="522" t="inlineStr">
        <is>
          <t>ស៊ីងហ្គាពួរ កាតុង (ខេមបូឌា)</t>
        </is>
      </c>
      <c r="D2957" s="522" t="inlineStr">
        <is>
          <t>L001-100121322</t>
        </is>
      </c>
      <c r="E2957" s="521" t="inlineStr">
        <is>
          <t>V0019747</t>
        </is>
      </c>
      <c r="F2957" s="523" t="n">
        <v>44798</v>
      </c>
      <c r="G2957" s="556" t="n">
        <v>137719</v>
      </c>
      <c r="I2957" s="521">
        <f>G2957</f>
        <v/>
      </c>
      <c r="K2957" s="521">
        <f>I2957-G2957</f>
        <v/>
      </c>
      <c r="M2957" s="522" t="inlineStr">
        <is>
          <t>V0019747</t>
        </is>
      </c>
      <c r="N2957" s="522" t="inlineStr">
        <is>
          <t>V0019747</t>
        </is>
      </c>
      <c r="O2957" s="521">
        <f>M2957=N2957</f>
        <v/>
      </c>
      <c r="P2957" s="521">
        <f>AND(MONTH(F2957)=MONTH(S2957), YEAR(F2957)=YEAR(S2957))</f>
        <v/>
      </c>
      <c r="Q2957" s="521">
        <f>U2957="L001-901905215"</f>
        <v/>
      </c>
      <c r="R2957" s="556">
        <f>G2957-W2957</f>
        <v/>
      </c>
      <c r="S2957" s="523" t="n">
        <v>44798</v>
      </c>
      <c r="T2957" s="522" t="inlineStr">
        <is>
          <t>V0019747</t>
        </is>
      </c>
      <c r="U2957" s="522" t="inlineStr">
        <is>
          <t>L001-901905215</t>
        </is>
      </c>
      <c r="V2957" s="522" t="inlineStr">
        <is>
          <t>វីអ៊ីស៊ិន (ខេមបូឌា) អ៊ិនដាសស្ទ្រី ឯ.ក</t>
        </is>
      </c>
      <c r="W2957" s="556" t="n">
        <v>137819</v>
      </c>
    </row>
    <row r="2958">
      <c r="A2958" s="521" t="n">
        <v>2950</v>
      </c>
      <c r="B2958" s="522" t="inlineStr">
        <is>
          <t>Cartons</t>
        </is>
      </c>
      <c r="C2958" s="522" t="inlineStr">
        <is>
          <t>ស៊ីងហ្គាពួរ កាតុង (ខេមបូឌា)</t>
        </is>
      </c>
      <c r="D2958" s="522" t="inlineStr">
        <is>
          <t>L001-100121322</t>
        </is>
      </c>
      <c r="E2958" s="521" t="inlineStr">
        <is>
          <t>V0019732</t>
        </is>
      </c>
      <c r="F2958" s="523" t="n">
        <v>44796</v>
      </c>
      <c r="G2958" s="556" t="n">
        <v>688258</v>
      </c>
      <c r="I2958" s="521">
        <f>G2958</f>
        <v/>
      </c>
      <c r="K2958" s="521">
        <f>I2958-G2958</f>
        <v/>
      </c>
      <c r="M2958" s="522" t="inlineStr">
        <is>
          <t>V0019732</t>
        </is>
      </c>
      <c r="N2958" s="522" t="inlineStr">
        <is>
          <t>V0019732</t>
        </is>
      </c>
      <c r="O2958" s="521">
        <f>M2958=N2958</f>
        <v/>
      </c>
      <c r="P2958" s="521">
        <f>AND(MONTH(F2958)=MONTH(S2958), YEAR(F2958)=YEAR(S2958))</f>
        <v/>
      </c>
      <c r="Q2958" s="521">
        <f>U2958="L001-901905215"</f>
        <v/>
      </c>
      <c r="R2958" s="556">
        <f>G2958-W2958</f>
        <v/>
      </c>
      <c r="S2958" s="523" t="n">
        <v>44796</v>
      </c>
      <c r="T2958" s="522" t="inlineStr">
        <is>
          <t>V0019732</t>
        </is>
      </c>
      <c r="U2958" s="522" t="inlineStr">
        <is>
          <t>L001-901905215</t>
        </is>
      </c>
      <c r="V2958" s="522" t="inlineStr">
        <is>
          <t>វីអ៊ីស៊ិន (ខេមបូឌា) អ៊ិនដាសស្ទ្រី ឯ.ក</t>
        </is>
      </c>
      <c r="W2958" s="556" t="n">
        <v>689095</v>
      </c>
    </row>
    <row r="2959">
      <c r="A2959" s="521" t="n">
        <v>2951</v>
      </c>
      <c r="B2959" s="522" t="inlineStr">
        <is>
          <t>Cartons</t>
        </is>
      </c>
      <c r="C2959" s="522" t="inlineStr">
        <is>
          <t>ស៊ីងហ្គាពួរ កាតុង (ខេមបូឌា)</t>
        </is>
      </c>
      <c r="D2959" s="522" t="inlineStr">
        <is>
          <t>L001-100121322</t>
        </is>
      </c>
      <c r="E2959" s="521" t="inlineStr">
        <is>
          <t>V0019719</t>
        </is>
      </c>
      <c r="F2959" s="523" t="n">
        <v>44796</v>
      </c>
      <c r="G2959" s="556" t="n">
        <v>499244</v>
      </c>
      <c r="I2959" s="521">
        <f>G2959</f>
        <v/>
      </c>
      <c r="K2959" s="521">
        <f>I2959-G2959</f>
        <v/>
      </c>
      <c r="M2959" s="522" t="inlineStr">
        <is>
          <t>V0019719</t>
        </is>
      </c>
      <c r="N2959" s="522" t="inlineStr">
        <is>
          <t>V0019719</t>
        </is>
      </c>
      <c r="O2959" s="521">
        <f>M2959=N2959</f>
        <v/>
      </c>
      <c r="P2959" s="521">
        <f>AND(MONTH(F2959)=MONTH(S2959), YEAR(F2959)=YEAR(S2959))</f>
        <v/>
      </c>
      <c r="Q2959" s="521">
        <f>U2959="L001-901905215"</f>
        <v/>
      </c>
      <c r="R2959" s="556">
        <f>G2959-W2959</f>
        <v/>
      </c>
      <c r="S2959" s="523" t="n">
        <v>44796</v>
      </c>
      <c r="T2959" s="522" t="inlineStr">
        <is>
          <t>V0019719</t>
        </is>
      </c>
      <c r="U2959" s="522" t="inlineStr">
        <is>
          <t>L001-901905215</t>
        </is>
      </c>
      <c r="V2959" s="522" t="inlineStr">
        <is>
          <t>វីអ៊ីស៊ិន (ខេមបូឌា) អ៊ិនដាសស្ទ្រី ឯ.ក</t>
        </is>
      </c>
      <c r="W2959" s="556" t="n">
        <v>499851</v>
      </c>
    </row>
    <row r="2960">
      <c r="A2960" s="521" t="n">
        <v>2952</v>
      </c>
      <c r="B2960" s="522" t="inlineStr">
        <is>
          <t>Cartons</t>
        </is>
      </c>
      <c r="C2960" s="522" t="inlineStr">
        <is>
          <t>ស៊ីងហ្គាពួរ កាតុង (ខេមបូឌា)</t>
        </is>
      </c>
      <c r="D2960" s="522" t="inlineStr">
        <is>
          <t>L001-100121322</t>
        </is>
      </c>
      <c r="E2960" s="521" t="inlineStr">
        <is>
          <t>V0019718</t>
        </is>
      </c>
      <c r="F2960" s="523" t="n">
        <v>44795</v>
      </c>
      <c r="G2960" s="556" t="n">
        <v>166374</v>
      </c>
      <c r="I2960" s="521">
        <f>G2960</f>
        <v/>
      </c>
      <c r="K2960" s="521">
        <f>I2960-G2960</f>
        <v/>
      </c>
      <c r="M2960" s="522" t="inlineStr">
        <is>
          <t>V0019718</t>
        </is>
      </c>
      <c r="N2960" s="522" t="inlineStr">
        <is>
          <t>V0019718</t>
        </is>
      </c>
      <c r="O2960" s="521">
        <f>M2960=N2960</f>
        <v/>
      </c>
      <c r="P2960" s="521">
        <f>AND(MONTH(F2960)=MONTH(S2960), YEAR(F2960)=YEAR(S2960))</f>
        <v/>
      </c>
      <c r="Q2960" s="521">
        <f>U2960="L001-901905215"</f>
        <v/>
      </c>
      <c r="R2960" s="556">
        <f>G2960-W2960</f>
        <v/>
      </c>
      <c r="S2960" s="523" t="n">
        <v>44795</v>
      </c>
      <c r="T2960" s="522" t="inlineStr">
        <is>
          <t>V0019718</t>
        </is>
      </c>
      <c r="U2960" s="522" t="inlineStr">
        <is>
          <t>L001-901905215</t>
        </is>
      </c>
      <c r="V2960" s="522" t="inlineStr">
        <is>
          <t>វីអ៊ីស៊ិន (ខេមបូឌា) អ៊ិនដាសស្ទ្រី ឯ.ក</t>
        </is>
      </c>
      <c r="W2960" s="556" t="n">
        <v>166617</v>
      </c>
    </row>
    <row r="2961">
      <c r="A2961" s="521" t="n">
        <v>2953</v>
      </c>
      <c r="B2961" s="522" t="inlineStr">
        <is>
          <t>Service Fee</t>
        </is>
      </c>
      <c r="C2961" s="522" t="inlineStr">
        <is>
          <t>ប្យួរ៉ូ វេរីតាស (ខេមបូឌា) លីមីធីត</t>
        </is>
      </c>
      <c r="D2961" s="522" t="inlineStr">
        <is>
          <t>L001-107024462</t>
        </is>
      </c>
      <c r="E2961" s="521" t="inlineStr">
        <is>
          <t>59013048</t>
        </is>
      </c>
      <c r="F2961" s="523" t="n">
        <v>44781</v>
      </c>
      <c r="G2961" s="556" t="n">
        <v>55643</v>
      </c>
      <c r="I2961" s="521">
        <f>G2961</f>
        <v/>
      </c>
      <c r="K2961" s="521">
        <f>I2961-G2961</f>
        <v/>
      </c>
      <c r="M2961" s="522" t="inlineStr">
        <is>
          <t>59013048</t>
        </is>
      </c>
      <c r="N2961" s="522" t="inlineStr">
        <is>
          <t>59013048</t>
        </is>
      </c>
      <c r="O2961" s="521">
        <f>M2961=N2961</f>
        <v/>
      </c>
      <c r="P2961" s="521">
        <f>AND(MONTH(F2961)=MONTH(S2961), YEAR(F2961)=YEAR(S2961))</f>
        <v/>
      </c>
      <c r="Q2961" s="521">
        <f>U2961="L001-901905215"</f>
        <v/>
      </c>
      <c r="R2961" s="556">
        <f>G2961-W2961</f>
        <v/>
      </c>
      <c r="S2961" s="523" t="n">
        <v>44781</v>
      </c>
      <c r="T2961" s="522" t="inlineStr">
        <is>
          <t>59013048</t>
        </is>
      </c>
      <c r="U2961" s="522" t="inlineStr">
        <is>
          <t>L001-901905215</t>
        </is>
      </c>
      <c r="V2961" s="522" t="inlineStr">
        <is>
          <t>វីអ៊ីស៊ិន (ខេមបូឌា) អ៊ិនដាសស្ទ្រី ឯ.ក</t>
        </is>
      </c>
      <c r="W2961" s="556" t="n">
        <v>55645</v>
      </c>
    </row>
    <row r="2962">
      <c r="A2962" s="521" t="n">
        <v>2954</v>
      </c>
      <c r="B2962" s="522" t="n"/>
      <c r="C2962" s="522" t="inlineStr">
        <is>
          <t>ស្ត្រេតស៍ អ៊ិនធើណេសិនណល ភីធីអ៊ី អិលធីឌី</t>
        </is>
      </c>
      <c r="D2962" s="522" t="inlineStr">
        <is>
          <t>L001-100045162</t>
        </is>
      </c>
      <c r="E2962" s="521" t="inlineStr">
        <is>
          <t>1918302</t>
        </is>
      </c>
      <c r="F2962" s="523" t="n">
        <v>43734</v>
      </c>
      <c r="G2962" s="556" t="n">
        <v>202208</v>
      </c>
      <c r="I2962" s="521">
        <f>G2962</f>
        <v/>
      </c>
      <c r="K2962" s="521">
        <f>I2962-G2962</f>
        <v/>
      </c>
      <c r="M2962" s="522" t="inlineStr">
        <is>
          <t>1918302</t>
        </is>
      </c>
      <c r="N2962" s="522" t="inlineStr">
        <is>
          <t>1918302</t>
        </is>
      </c>
      <c r="O2962" s="521">
        <f>M2962=N2962</f>
        <v/>
      </c>
      <c r="P2962" s="521">
        <f>AND(MONTH(F2962)=MONTH(S2962), YEAR(F2962)=YEAR(S2962))</f>
        <v/>
      </c>
      <c r="Q2962" s="521">
        <f>U2962="L001-901905215"</f>
        <v/>
      </c>
      <c r="R2962" s="556">
        <f>G2962-W2962</f>
        <v/>
      </c>
      <c r="S2962" s="523" t="n">
        <v>43734</v>
      </c>
      <c r="T2962" s="522" t="inlineStr">
        <is>
          <t>1918302</t>
        </is>
      </c>
      <c r="U2962" s="522" t="inlineStr">
        <is>
          <t>L001-901905215</t>
        </is>
      </c>
      <c r="V2962" s="522" t="inlineStr">
        <is>
          <t>វីអ៊ីស៊ិន (ខេមបូឌា) អ៊ិនដាសស្ទ្រី ឯ.ក</t>
        </is>
      </c>
      <c r="W2962" s="556" t="n">
        <v>202207.5</v>
      </c>
    </row>
    <row r="2963">
      <c r="A2963" s="521" t="n">
        <v>2955</v>
      </c>
      <c r="B2963" s="522" t="n"/>
      <c r="C2963" s="522" t="inlineStr">
        <is>
          <t>ថេកអេស៊ីស៊ី ផេភើរ សឺវីស ខនសាល់ធេន ឯ.ក</t>
        </is>
      </c>
      <c r="D2963" s="522" t="inlineStr">
        <is>
          <t>K004-901801112</t>
        </is>
      </c>
      <c r="E2963" s="521" t="inlineStr">
        <is>
          <t>102</t>
        </is>
      </c>
      <c r="F2963" s="523" t="n">
        <v>43722</v>
      </c>
      <c r="G2963" s="556" t="n">
        <v>163400</v>
      </c>
      <c r="I2963" s="521">
        <f>G2963</f>
        <v/>
      </c>
      <c r="K2963" s="521">
        <f>I2963-G2963</f>
        <v/>
      </c>
      <c r="M2963" s="522" t="inlineStr">
        <is>
          <t>102</t>
        </is>
      </c>
      <c r="N2963" s="522" t="inlineStr"/>
      <c r="O2963" s="521">
        <f>M2963=N2963</f>
        <v/>
      </c>
      <c r="P2963" s="521">
        <f>AND(MONTH(F2963)=MONTH(S2963), YEAR(F2963)=YEAR(S2963))</f>
        <v/>
      </c>
      <c r="Q2963" s="521">
        <f>U2963="L001-901905215"</f>
        <v/>
      </c>
      <c r="R2963" s="556">
        <f>G2963-W2963</f>
        <v/>
      </c>
      <c r="S2963" s="521" t="n"/>
      <c r="T2963" s="522" t="n"/>
      <c r="U2963" s="522" t="n"/>
      <c r="V2963" s="522" t="n"/>
      <c r="W2963" s="521" t="n"/>
    </row>
    <row r="2964">
      <c r="A2964" s="521" t="n">
        <v>2956</v>
      </c>
      <c r="B2964" s="522" t="n"/>
      <c r="C2964" s="522" t="inlineStr">
        <is>
          <t>ឃែរី ឡូជីស្ទីក (ខេមបូឌា) ភីធីអ៊ី អិលធីឌី</t>
        </is>
      </c>
      <c r="D2964" s="522" t="inlineStr">
        <is>
          <t>L001-100074669</t>
        </is>
      </c>
      <c r="E2964" s="521" t="inlineStr">
        <is>
          <t>INVK085627</t>
        </is>
      </c>
      <c r="F2964" s="523" t="n">
        <v>44075</v>
      </c>
      <c r="G2964" s="556" t="n">
        <v>367129</v>
      </c>
      <c r="I2964" s="521">
        <f>G2964</f>
        <v/>
      </c>
      <c r="K2964" s="521">
        <f>I2964-G2964</f>
        <v/>
      </c>
      <c r="M2964" s="522" t="inlineStr">
        <is>
          <t>INVK085627</t>
        </is>
      </c>
      <c r="N2964" s="522" t="inlineStr"/>
      <c r="O2964" s="521">
        <f>M2964=N2964</f>
        <v/>
      </c>
      <c r="P2964" s="521">
        <f>AND(MONTH(F2964)=MONTH(S2964), YEAR(F2964)=YEAR(S2964))</f>
        <v/>
      </c>
      <c r="Q2964" s="521">
        <f>U2964="L001-901905215"</f>
        <v/>
      </c>
      <c r="R2964" s="556">
        <f>G2964-W2964</f>
        <v/>
      </c>
      <c r="S2964" s="521" t="n"/>
      <c r="T2964" s="522" t="n"/>
      <c r="U2964" s="522" t="n"/>
      <c r="V2964" s="522" t="n"/>
      <c r="W2964" s="521" t="n"/>
    </row>
    <row r="2965">
      <c r="A2965" s="521" t="n">
        <v>2957</v>
      </c>
      <c r="B2965" s="522" t="n"/>
      <c r="C2965" s="522" t="inlineStr">
        <is>
          <t>សេង វ៉ាង​ ខល័រ ព្រីនធីង ឯ.ក</t>
        </is>
      </c>
      <c r="D2965" s="522" t="inlineStr">
        <is>
          <t>L001-901638765</t>
        </is>
      </c>
      <c r="E2965" s="521" t="inlineStr">
        <is>
          <t>0001</t>
        </is>
      </c>
      <c r="F2965" s="523" t="n">
        <v>44104</v>
      </c>
      <c r="G2965" s="556" t="n">
        <v>2235290</v>
      </c>
      <c r="I2965" s="521">
        <f>G2965</f>
        <v/>
      </c>
      <c r="K2965" s="521">
        <f>I2965-G2965</f>
        <v/>
      </c>
      <c r="M2965" s="522" t="inlineStr">
        <is>
          <t>0001</t>
        </is>
      </c>
      <c r="N2965" s="522" t="inlineStr"/>
      <c r="O2965" s="521">
        <f>M2965=N2965</f>
        <v/>
      </c>
      <c r="P2965" s="521">
        <f>AND(MONTH(F2965)=MONTH(S2965), YEAR(F2965)=YEAR(S2965))</f>
        <v/>
      </c>
      <c r="Q2965" s="521">
        <f>U2965="L001-901905215"</f>
        <v/>
      </c>
      <c r="R2965" s="556">
        <f>G2965-W2965</f>
        <v/>
      </c>
      <c r="S2965" s="521" t="n"/>
      <c r="T2965" s="522" t="n"/>
      <c r="U2965" s="522" t="n"/>
      <c r="V2965" s="522" t="n"/>
      <c r="W2965" s="521" t="n"/>
    </row>
    <row r="2966">
      <c r="A2966" s="521" t="n">
        <v>2958</v>
      </c>
      <c r="B2966" s="522" t="n"/>
      <c r="C2966" s="522" t="inlineStr">
        <is>
          <t>អ៊ីជីអេហ្វ ឡូជីស្ទីក ខូ អិលធីឌី</t>
        </is>
      </c>
      <c r="D2966" s="522" t="inlineStr">
        <is>
          <t>L001-901501877</t>
        </is>
      </c>
      <c r="E2966" s="521" t="inlineStr">
        <is>
          <t>2006635</t>
        </is>
      </c>
      <c r="F2966" s="523" t="n">
        <v>44104</v>
      </c>
      <c r="G2966" s="556" t="n">
        <v>94300</v>
      </c>
      <c r="I2966" s="521">
        <f>G2966</f>
        <v/>
      </c>
      <c r="K2966" s="521">
        <f>I2966-G2966</f>
        <v/>
      </c>
      <c r="M2966" s="522" t="inlineStr">
        <is>
          <t>2006635</t>
        </is>
      </c>
      <c r="N2966" s="522" t="inlineStr"/>
      <c r="O2966" s="521">
        <f>M2966=N2966</f>
        <v/>
      </c>
      <c r="P2966" s="521">
        <f>AND(MONTH(F2966)=MONTH(S2966), YEAR(F2966)=YEAR(S2966))</f>
        <v/>
      </c>
      <c r="Q2966" s="521">
        <f>U2966="L001-901905215"</f>
        <v/>
      </c>
      <c r="R2966" s="556">
        <f>G2966-W2966</f>
        <v/>
      </c>
      <c r="S2966" s="521" t="n"/>
      <c r="T2966" s="522" t="n"/>
      <c r="U2966" s="522" t="n"/>
      <c r="V2966" s="522" t="n"/>
      <c r="W2966" s="521" t="n"/>
    </row>
    <row r="2967">
      <c r="A2967" s="521" t="n">
        <v>2959</v>
      </c>
      <c r="B2967" s="522" t="n"/>
      <c r="C2967" s="522" t="inlineStr">
        <is>
          <t>អ៊ីជីអេហ្វ ឡូជីស្ទីក ខូ អិលធីឌី</t>
        </is>
      </c>
      <c r="D2967" s="522" t="inlineStr">
        <is>
          <t>L001-901501877</t>
        </is>
      </c>
      <c r="E2967" s="521" t="inlineStr">
        <is>
          <t>2006609</t>
        </is>
      </c>
      <c r="F2967" s="523" t="n">
        <v>44104</v>
      </c>
      <c r="G2967" s="556" t="n">
        <v>90200</v>
      </c>
      <c r="I2967" s="521">
        <f>G2967</f>
        <v/>
      </c>
      <c r="K2967" s="521">
        <f>I2967-G2967</f>
        <v/>
      </c>
      <c r="M2967" s="522" t="inlineStr">
        <is>
          <t>2006609</t>
        </is>
      </c>
      <c r="N2967" s="522" t="inlineStr">
        <is>
          <t>2006609</t>
        </is>
      </c>
      <c r="O2967" s="521">
        <f>M2967=N2967</f>
        <v/>
      </c>
      <c r="P2967" s="521">
        <f>AND(MONTH(F2967)=MONTH(S2967), YEAR(F2967)=YEAR(S2967))</f>
        <v/>
      </c>
      <c r="Q2967" s="521">
        <f>U2967="L001-901905215"</f>
        <v/>
      </c>
      <c r="R2967" s="556">
        <f>G2967-W2967</f>
        <v/>
      </c>
      <c r="S2967" s="523" t="n">
        <v>44104</v>
      </c>
      <c r="T2967" s="522" t="inlineStr">
        <is>
          <t>2006609</t>
        </is>
      </c>
      <c r="U2967" s="522" t="inlineStr">
        <is>
          <t>L001-901905215</t>
        </is>
      </c>
      <c r="V2967" s="522" t="inlineStr">
        <is>
          <t>វីអ៊ីស៊ិន (ខេមបូឌា) អ៊ិនដាសស្ទ្រី ឯ.ក</t>
        </is>
      </c>
      <c r="W2967" s="556" t="n">
        <v>90200</v>
      </c>
    </row>
    <row r="2968">
      <c r="A2968" s="521" t="n">
        <v>2960</v>
      </c>
      <c r="B2968" s="522" t="n"/>
      <c r="C2968" s="522" t="inlineStr">
        <is>
          <t>អ៊ិនធើថេក ថេសធីង សឺវីស (ខេមបូឌា) ខមភេនី លីមីធីត</t>
        </is>
      </c>
      <c r="D2968" s="522" t="inlineStr">
        <is>
          <t>L001-100045707</t>
        </is>
      </c>
      <c r="E2968" s="521" t="inlineStr">
        <is>
          <t>KHM20200010425</t>
        </is>
      </c>
      <c r="F2968" s="523" t="n">
        <v>44104</v>
      </c>
      <c r="G2968" s="556" t="n">
        <v>57959</v>
      </c>
      <c r="I2968" s="521">
        <f>G2968</f>
        <v/>
      </c>
      <c r="K2968" s="521">
        <f>I2968-G2968</f>
        <v/>
      </c>
      <c r="M2968" s="522" t="inlineStr">
        <is>
          <t>KHM20200010425</t>
        </is>
      </c>
      <c r="N2968" s="522" t="inlineStr"/>
      <c r="O2968" s="521">
        <f>M2968=N2968</f>
        <v/>
      </c>
      <c r="P2968" s="521">
        <f>AND(MONTH(F2968)=MONTH(S2968), YEAR(F2968)=YEAR(S2968))</f>
        <v/>
      </c>
      <c r="Q2968" s="521">
        <f>U2968="L001-901905215"</f>
        <v/>
      </c>
      <c r="R2968" s="556">
        <f>G2968-W2968</f>
        <v/>
      </c>
      <c r="S2968" s="521" t="n"/>
      <c r="T2968" s="522" t="n"/>
      <c r="U2968" s="522" t="n"/>
      <c r="V2968" s="522" t="n"/>
      <c r="W2968" s="521" t="n"/>
    </row>
    <row r="2969">
      <c r="A2969" s="521" t="n">
        <v>2961</v>
      </c>
      <c r="B2969" s="522" t="n"/>
      <c r="C2969" s="522" t="inlineStr">
        <is>
          <t>វ៉ាយ.ស៊ី ផេកខេជីង ឯ.ក</t>
        </is>
      </c>
      <c r="D2969" s="522" t="inlineStr">
        <is>
          <t>L001-901700417</t>
        </is>
      </c>
      <c r="E2969" s="521" t="inlineStr">
        <is>
          <t>TI0162</t>
        </is>
      </c>
      <c r="F2969" s="523" t="n">
        <v>44104</v>
      </c>
      <c r="G2969" s="556" t="n">
        <v>5555928</v>
      </c>
      <c r="I2969" s="521">
        <f>G2969</f>
        <v/>
      </c>
      <c r="K2969" s="521">
        <f>I2969-G2969</f>
        <v/>
      </c>
      <c r="M2969" s="522" t="inlineStr">
        <is>
          <t>TI0162</t>
        </is>
      </c>
      <c r="N2969" s="522" t="inlineStr">
        <is>
          <t>TI0162</t>
        </is>
      </c>
      <c r="O2969" s="521">
        <f>M2969=N2969</f>
        <v/>
      </c>
      <c r="P2969" s="521">
        <f>AND(MONTH(F2969)=MONTH(S2969), YEAR(F2969)=YEAR(S2969))</f>
        <v/>
      </c>
      <c r="Q2969" s="521">
        <f>U2969="L001-901905215"</f>
        <v/>
      </c>
      <c r="R2969" s="556">
        <f>G2969-W2969</f>
        <v/>
      </c>
      <c r="S2969" s="523" t="n">
        <v>44104</v>
      </c>
      <c r="T2969" s="522" t="inlineStr">
        <is>
          <t>TI0162</t>
        </is>
      </c>
      <c r="U2969" s="522" t="inlineStr">
        <is>
          <t>L001-901905215</t>
        </is>
      </c>
      <c r="V2969" s="522" t="inlineStr">
        <is>
          <t>វីអ៊ីស៊ិន (ខេមបូឌា) អ៊ិនដាសស្ទ្រី ឯ.ក</t>
        </is>
      </c>
      <c r="W2969" s="556" t="n">
        <v>5555926</v>
      </c>
    </row>
    <row r="2970">
      <c r="A2970" s="521" t="n">
        <v>2962</v>
      </c>
      <c r="B2970" s="522" t="n"/>
      <c r="C2970" s="522" t="inlineStr">
        <is>
          <t>វ៉ាយ.ស៊ី ផេកខេជីង ឯ.ក</t>
        </is>
      </c>
      <c r="D2970" s="522" t="inlineStr">
        <is>
          <t>L001-901700417</t>
        </is>
      </c>
      <c r="E2970" s="521" t="inlineStr">
        <is>
          <t>TI0165</t>
        </is>
      </c>
      <c r="F2970" s="523" t="n">
        <v>44104</v>
      </c>
      <c r="G2970" s="556" t="n">
        <v>2368299</v>
      </c>
      <c r="I2970" s="521">
        <f>G2970</f>
        <v/>
      </c>
      <c r="K2970" s="521">
        <f>I2970-G2970</f>
        <v/>
      </c>
      <c r="M2970" s="522" t="inlineStr">
        <is>
          <t>TI0165</t>
        </is>
      </c>
      <c r="N2970" s="522" t="inlineStr">
        <is>
          <t>TI0165</t>
        </is>
      </c>
      <c r="O2970" s="521">
        <f>M2970=N2970</f>
        <v/>
      </c>
      <c r="P2970" s="521">
        <f>AND(MONTH(F2970)=MONTH(S2970), YEAR(F2970)=YEAR(S2970))</f>
        <v/>
      </c>
      <c r="Q2970" s="521">
        <f>U2970="L001-901905215"</f>
        <v/>
      </c>
      <c r="R2970" s="556">
        <f>G2970-W2970</f>
        <v/>
      </c>
      <c r="S2970" s="523" t="n">
        <v>44104</v>
      </c>
      <c r="T2970" s="522" t="inlineStr">
        <is>
          <t>TI0165</t>
        </is>
      </c>
      <c r="U2970" s="522" t="inlineStr">
        <is>
          <t>L001-901905215</t>
        </is>
      </c>
      <c r="V2970" s="522" t="inlineStr">
        <is>
          <t>វីអ៊ីស៊ិន (ខេមបូឌា) អ៊ិនដាសស្ទ្រី ឯ.ក</t>
        </is>
      </c>
      <c r="W2970" s="556" t="n">
        <v>2368299</v>
      </c>
    </row>
    <row r="2971">
      <c r="A2971" s="521" t="n">
        <v>2963</v>
      </c>
      <c r="B2971" s="522" t="n"/>
      <c r="C2971" s="522" t="inlineStr">
        <is>
          <t>ស៊ីងហ្គាពួរ កាតុង (ខេមបូឌា)</t>
        </is>
      </c>
      <c r="D2971" s="522" t="inlineStr">
        <is>
          <t>L001-100121322</t>
        </is>
      </c>
      <c r="E2971" s="521" t="inlineStr">
        <is>
          <t>V0014415</t>
        </is>
      </c>
      <c r="F2971" s="523" t="n">
        <v>44104</v>
      </c>
      <c r="G2971" s="556" t="n">
        <v>166193</v>
      </c>
      <c r="I2971" s="521">
        <f>G2971</f>
        <v/>
      </c>
      <c r="K2971" s="521">
        <f>I2971-G2971</f>
        <v/>
      </c>
      <c r="M2971" s="522" t="inlineStr">
        <is>
          <t>V0014415</t>
        </is>
      </c>
      <c r="N2971" s="522" t="inlineStr">
        <is>
          <t>V0014415</t>
        </is>
      </c>
      <c r="O2971" s="521">
        <f>M2971=N2971</f>
        <v/>
      </c>
      <c r="P2971" s="521">
        <f>AND(MONTH(F2971)=MONTH(S2971), YEAR(F2971)=YEAR(S2971))</f>
        <v/>
      </c>
      <c r="Q2971" s="521">
        <f>U2971="L001-901905215"</f>
        <v/>
      </c>
      <c r="R2971" s="556">
        <f>G2971-W2971</f>
        <v/>
      </c>
      <c r="S2971" s="523" t="n">
        <v>44104</v>
      </c>
      <c r="T2971" s="522" t="inlineStr">
        <is>
          <t>V0014415</t>
        </is>
      </c>
      <c r="U2971" s="522" t="inlineStr">
        <is>
          <t>L001-901905215</t>
        </is>
      </c>
      <c r="V2971" s="522" t="inlineStr">
        <is>
          <t>វីអ៊ីស៊ិន (ខេមបូឌា) អ៊ិនដាសស្ទ្រី ឯ.ក</t>
        </is>
      </c>
      <c r="W2971" s="556" t="n">
        <v>166195</v>
      </c>
    </row>
    <row r="2972">
      <c r="A2972" s="521" t="n">
        <v>2964</v>
      </c>
      <c r="B2972" s="522" t="n"/>
      <c r="C2972" s="522" t="inlineStr">
        <is>
          <t>ស៊ីងហ្គាពួរ កាតុង (ខេមបូឌា)</t>
        </is>
      </c>
      <c r="D2972" s="522" t="inlineStr">
        <is>
          <t>L001-100121322</t>
        </is>
      </c>
      <c r="E2972" s="521" t="inlineStr">
        <is>
          <t>V0014414</t>
        </is>
      </c>
      <c r="F2972" s="523" t="n">
        <v>44104</v>
      </c>
      <c r="G2972" s="556" t="n">
        <v>37704</v>
      </c>
      <c r="I2972" s="521">
        <f>G2972</f>
        <v/>
      </c>
      <c r="K2972" s="521">
        <f>I2972-G2972</f>
        <v/>
      </c>
      <c r="M2972" s="522" t="inlineStr">
        <is>
          <t>V0014414</t>
        </is>
      </c>
      <c r="N2972" s="522" t="inlineStr">
        <is>
          <t>V0014414</t>
        </is>
      </c>
      <c r="O2972" s="521">
        <f>M2972=N2972</f>
        <v/>
      </c>
      <c r="P2972" s="521">
        <f>AND(MONTH(F2972)=MONTH(S2972), YEAR(F2972)=YEAR(S2972))</f>
        <v/>
      </c>
      <c r="Q2972" s="521">
        <f>U2972="L001-901905215"</f>
        <v/>
      </c>
      <c r="R2972" s="556">
        <f>G2972-W2972</f>
        <v/>
      </c>
      <c r="S2972" s="523" t="n">
        <v>44104</v>
      </c>
      <c r="T2972" s="522" t="inlineStr">
        <is>
          <t>V0014414</t>
        </is>
      </c>
      <c r="U2972" s="522" t="inlineStr">
        <is>
          <t>L001-901905215</t>
        </is>
      </c>
      <c r="V2972" s="522" t="inlineStr">
        <is>
          <t>វីអ៊ីស៊ិន (ខេមបូឌា) អ៊ិនដាសស្ទ្រី ឯ.ក</t>
        </is>
      </c>
      <c r="W2972" s="556" t="n">
        <v>37705</v>
      </c>
    </row>
    <row r="2973">
      <c r="A2973" s="521" t="n">
        <v>2965</v>
      </c>
      <c r="B2973" s="522" t="n"/>
      <c r="C2973" s="522" t="inlineStr">
        <is>
          <t>ស៊ីងហ្គាពួរ កាតុង (ខេមបូឌា)</t>
        </is>
      </c>
      <c r="D2973" s="522" t="inlineStr">
        <is>
          <t>L001-100121322</t>
        </is>
      </c>
      <c r="E2973" s="521" t="inlineStr">
        <is>
          <t>V0014413</t>
        </is>
      </c>
      <c r="F2973" s="523" t="n">
        <v>44104</v>
      </c>
      <c r="G2973" s="556" t="n">
        <v>209088</v>
      </c>
      <c r="I2973" s="521">
        <f>G2973</f>
        <v/>
      </c>
      <c r="K2973" s="521">
        <f>I2973-G2973</f>
        <v/>
      </c>
      <c r="M2973" s="522" t="inlineStr">
        <is>
          <t>V0014413</t>
        </is>
      </c>
      <c r="N2973" s="522" t="inlineStr">
        <is>
          <t>V0014413</t>
        </is>
      </c>
      <c r="O2973" s="521">
        <f>M2973=N2973</f>
        <v/>
      </c>
      <c r="P2973" s="521">
        <f>AND(MONTH(F2973)=MONTH(S2973), YEAR(F2973)=YEAR(S2973))</f>
        <v/>
      </c>
      <c r="Q2973" s="521">
        <f>U2973="L001-901905215"</f>
        <v/>
      </c>
      <c r="R2973" s="556">
        <f>G2973-W2973</f>
        <v/>
      </c>
      <c r="S2973" s="523" t="n">
        <v>44104</v>
      </c>
      <c r="T2973" s="522" t="inlineStr">
        <is>
          <t>V0014413</t>
        </is>
      </c>
      <c r="U2973" s="522" t="inlineStr">
        <is>
          <t>L001-901905215</t>
        </is>
      </c>
      <c r="V2973" s="522" t="inlineStr">
        <is>
          <t>វីអ៊ីស៊ិន (ខេមបូឌា) អ៊ិនដាសស្ទ្រី ឯ.ក</t>
        </is>
      </c>
      <c r="W2973" s="556" t="n">
        <v>209089</v>
      </c>
    </row>
    <row r="2974">
      <c r="A2974" s="521" t="n">
        <v>2966</v>
      </c>
      <c r="B2974" s="522" t="n"/>
      <c r="C2974" s="522" t="inlineStr">
        <is>
          <t>អ៊ិចស្ពែឌីធ័រ ខេមបូឌា អិលធីឌី</t>
        </is>
      </c>
      <c r="D2974" s="522" t="inlineStr">
        <is>
          <t>L001-100045898</t>
        </is>
      </c>
      <c r="E2974" s="521" t="inlineStr">
        <is>
          <t>TI0184247</t>
        </is>
      </c>
      <c r="F2974" s="523" t="n">
        <v>44103</v>
      </c>
      <c r="G2974" s="556" t="n">
        <v>90198</v>
      </c>
      <c r="I2974" s="521">
        <f>G2974</f>
        <v/>
      </c>
      <c r="K2974" s="521">
        <f>I2974-G2974</f>
        <v/>
      </c>
      <c r="M2974" s="522" t="inlineStr">
        <is>
          <t>TI0184247</t>
        </is>
      </c>
      <c r="N2974" s="522" t="inlineStr">
        <is>
          <t>TI0184247</t>
        </is>
      </c>
      <c r="O2974" s="521">
        <f>M2974=N2974</f>
        <v/>
      </c>
      <c r="P2974" s="521">
        <f>AND(MONTH(F2974)=MONTH(S2974), YEAR(F2974)=YEAR(S2974))</f>
        <v/>
      </c>
      <c r="Q2974" s="521">
        <f>U2974="L001-901905215"</f>
        <v/>
      </c>
      <c r="R2974" s="556">
        <f>G2974-W2974</f>
        <v/>
      </c>
      <c r="S2974" s="523" t="n">
        <v>44103</v>
      </c>
      <c r="T2974" s="522" t="inlineStr">
        <is>
          <t>TI-0184247</t>
        </is>
      </c>
      <c r="U2974" s="522" t="inlineStr">
        <is>
          <t>L001-901905215</t>
        </is>
      </c>
      <c r="V2974" s="522" t="inlineStr">
        <is>
          <t>វីអ៊ីស៊ិន (ខេមបូឌា) អ៊ិនដាសស្ទ្រី ឯ.ក</t>
        </is>
      </c>
      <c r="W2974" s="556" t="n">
        <v>90213</v>
      </c>
    </row>
    <row r="2975">
      <c r="A2975" s="521" t="n">
        <v>2967</v>
      </c>
      <c r="B2975" s="522" t="n"/>
      <c r="C2975" s="522" t="inlineStr">
        <is>
          <t>អ៊ិចស្ពែឌីធ័រ ខេមបូឌា អិលធីឌី</t>
        </is>
      </c>
      <c r="D2975" s="522" t="inlineStr">
        <is>
          <t>L001-100045898</t>
        </is>
      </c>
      <c r="E2975" s="521" t="inlineStr">
        <is>
          <t>TI0184245</t>
        </is>
      </c>
      <c r="F2975" s="523" t="n">
        <v>44103</v>
      </c>
      <c r="G2975" s="556" t="n">
        <v>126829</v>
      </c>
      <c r="I2975" s="521">
        <f>G2975</f>
        <v/>
      </c>
      <c r="K2975" s="521">
        <f>I2975-G2975</f>
        <v/>
      </c>
      <c r="M2975" s="522" t="inlineStr">
        <is>
          <t>TI0184245</t>
        </is>
      </c>
      <c r="N2975" s="522" t="inlineStr">
        <is>
          <t>TI0184245</t>
        </is>
      </c>
      <c r="O2975" s="521">
        <f>M2975=N2975</f>
        <v/>
      </c>
      <c r="P2975" s="521">
        <f>AND(MONTH(F2975)=MONTH(S2975), YEAR(F2975)=YEAR(S2975))</f>
        <v/>
      </c>
      <c r="Q2975" s="521">
        <f>U2975="L001-901905215"</f>
        <v/>
      </c>
      <c r="R2975" s="556">
        <f>G2975-W2975</f>
        <v/>
      </c>
      <c r="S2975" s="523" t="n">
        <v>44103</v>
      </c>
      <c r="T2975" s="522" t="inlineStr">
        <is>
          <t>TI-0184245</t>
        </is>
      </c>
      <c r="U2975" s="522" t="inlineStr">
        <is>
          <t>L001-901905215</t>
        </is>
      </c>
      <c r="V2975" s="522" t="inlineStr">
        <is>
          <t>វីអ៊ីស៊ិន (ខេមបូឌា) អ៊ិនដាសស្ទ្រី ឯ.ក</t>
        </is>
      </c>
      <c r="W2975" s="556" t="n">
        <v>126822</v>
      </c>
    </row>
    <row r="2976">
      <c r="A2976" s="521" t="n">
        <v>2968</v>
      </c>
      <c r="B2976" s="522" t="n"/>
      <c r="C2976" s="522" t="inlineStr">
        <is>
          <t>អ៊ិចស្ពែឌីធ័រ ខេមបូឌា អិលធីឌី</t>
        </is>
      </c>
      <c r="D2976" s="522" t="inlineStr">
        <is>
          <t>L001-100045898</t>
        </is>
      </c>
      <c r="E2976" s="521" t="inlineStr">
        <is>
          <t>TI0184230</t>
        </is>
      </c>
      <c r="F2976" s="523" t="n">
        <v>44103</v>
      </c>
      <c r="G2976" s="556" t="n">
        <v>201667</v>
      </c>
      <c r="I2976" s="521">
        <f>G2976</f>
        <v/>
      </c>
      <c r="K2976" s="521">
        <f>I2976-G2976</f>
        <v/>
      </c>
      <c r="M2976" s="522" t="inlineStr">
        <is>
          <t>TI0184230</t>
        </is>
      </c>
      <c r="N2976" s="522" t="inlineStr">
        <is>
          <t>TI0184230</t>
        </is>
      </c>
      <c r="O2976" s="521">
        <f>M2976=N2976</f>
        <v/>
      </c>
      <c r="P2976" s="521">
        <f>AND(MONTH(F2976)=MONTH(S2976), YEAR(F2976)=YEAR(S2976))</f>
        <v/>
      </c>
      <c r="Q2976" s="521">
        <f>U2976="L001-901905215"</f>
        <v/>
      </c>
      <c r="R2976" s="556">
        <f>G2976-W2976</f>
        <v/>
      </c>
      <c r="S2976" s="523" t="n">
        <v>44103</v>
      </c>
      <c r="T2976" s="522" t="inlineStr">
        <is>
          <t>TI-0184230</t>
        </is>
      </c>
      <c r="U2976" s="522" t="inlineStr">
        <is>
          <t>L001-901905215</t>
        </is>
      </c>
      <c r="V2976" s="522" t="inlineStr">
        <is>
          <t>វីអ៊ីស៊ិន (ខេមបូឌា) អ៊ិនដាសស្ទ្រី ឯ.ក</t>
        </is>
      </c>
      <c r="W2976" s="556" t="n">
        <v>201679</v>
      </c>
    </row>
    <row r="2977">
      <c r="A2977" s="521" t="n">
        <v>2969</v>
      </c>
      <c r="B2977" s="522" t="n"/>
      <c r="C2977" s="522" t="inlineStr">
        <is>
          <t>អ៊ិចស្ពែឌីធ័រ ខេមបូឌា អិលធីឌី</t>
        </is>
      </c>
      <c r="D2977" s="522" t="inlineStr">
        <is>
          <t>L001-100045898</t>
        </is>
      </c>
      <c r="E2977" s="521" t="inlineStr">
        <is>
          <t>TI0184227</t>
        </is>
      </c>
      <c r="F2977" s="523" t="n">
        <v>44103</v>
      </c>
      <c r="G2977" s="556" t="n">
        <v>131989</v>
      </c>
      <c r="I2977" s="521">
        <f>G2977</f>
        <v/>
      </c>
      <c r="K2977" s="521">
        <f>I2977-G2977</f>
        <v/>
      </c>
      <c r="M2977" s="522" t="inlineStr">
        <is>
          <t>TI0184227</t>
        </is>
      </c>
      <c r="N2977" s="522" t="inlineStr">
        <is>
          <t>TI0184227</t>
        </is>
      </c>
      <c r="O2977" s="521">
        <f>M2977=N2977</f>
        <v/>
      </c>
      <c r="P2977" s="521">
        <f>AND(MONTH(F2977)=MONTH(S2977), YEAR(F2977)=YEAR(S2977))</f>
        <v/>
      </c>
      <c r="Q2977" s="521">
        <f>U2977="L001-901905215"</f>
        <v/>
      </c>
      <c r="R2977" s="556">
        <f>G2977-W2977</f>
        <v/>
      </c>
      <c r="S2977" s="523" t="n">
        <v>44103</v>
      </c>
      <c r="T2977" s="522" t="inlineStr">
        <is>
          <t>TI-0184227</t>
        </is>
      </c>
      <c r="U2977" s="522" t="inlineStr">
        <is>
          <t>L001-901905215</t>
        </is>
      </c>
      <c r="V2977" s="522" t="inlineStr">
        <is>
          <t>វីអ៊ីស៊ិន (ខេមបូឌា) អ៊ិនដាសស្ទ្រី ឯ.ក</t>
        </is>
      </c>
      <c r="W2977" s="556" t="n">
        <v>131982</v>
      </c>
    </row>
    <row r="2978">
      <c r="A2978" s="521" t="n">
        <v>2970</v>
      </c>
      <c r="B2978" s="522" t="n"/>
      <c r="C2978" s="522" t="inlineStr">
        <is>
          <t>អ៊ិចស្ពែឌីធ័រ ខេមបូឌា អិលធីឌី</t>
        </is>
      </c>
      <c r="D2978" s="522" t="inlineStr">
        <is>
          <t>L001-100045898</t>
        </is>
      </c>
      <c r="E2978" s="521" t="inlineStr">
        <is>
          <t>TI0184211</t>
        </is>
      </c>
      <c r="F2978" s="523" t="n">
        <v>44103</v>
      </c>
      <c r="G2978" s="556" t="n">
        <v>81491</v>
      </c>
      <c r="I2978" s="521">
        <f>G2978</f>
        <v/>
      </c>
      <c r="K2978" s="521">
        <f>I2978-G2978</f>
        <v/>
      </c>
      <c r="M2978" s="522" t="inlineStr">
        <is>
          <t>TI0184211</t>
        </is>
      </c>
      <c r="N2978" s="522" t="inlineStr">
        <is>
          <t>TI0184211</t>
        </is>
      </c>
      <c r="O2978" s="521">
        <f>M2978=N2978</f>
        <v/>
      </c>
      <c r="P2978" s="521">
        <f>AND(MONTH(F2978)=MONTH(S2978), YEAR(F2978)=YEAR(S2978))</f>
        <v/>
      </c>
      <c r="Q2978" s="521">
        <f>U2978="L001-901905215"</f>
        <v/>
      </c>
      <c r="R2978" s="556">
        <f>G2978-W2978</f>
        <v/>
      </c>
      <c r="S2978" s="523" t="n">
        <v>44103</v>
      </c>
      <c r="T2978" s="522" t="inlineStr">
        <is>
          <t>TI-0184211</t>
        </is>
      </c>
      <c r="U2978" s="522" t="inlineStr">
        <is>
          <t>L001-901905215</t>
        </is>
      </c>
      <c r="V2978" s="522" t="inlineStr">
        <is>
          <t>វីអ៊ីស៊ិន (ខេមបូឌា) អ៊ិនដាសស្ទ្រី ឯ.ក</t>
        </is>
      </c>
      <c r="W2978" s="556" t="n">
        <v>81491</v>
      </c>
    </row>
    <row r="2979">
      <c r="A2979" s="521" t="n">
        <v>2971</v>
      </c>
      <c r="B2979" s="522" t="n"/>
      <c r="C2979" s="522" t="inlineStr">
        <is>
          <t>ហ្គោមី រីសាយឃល110</t>
        </is>
      </c>
      <c r="D2979" s="522" t="inlineStr">
        <is>
          <t>K010-901503890</t>
        </is>
      </c>
      <c r="E2979" s="521" t="inlineStr">
        <is>
          <t>GRIN2020348</t>
        </is>
      </c>
      <c r="F2979" s="523" t="n">
        <v>44103</v>
      </c>
      <c r="G2979" s="556" t="n">
        <v>16380</v>
      </c>
      <c r="I2979" s="521">
        <f>G2979</f>
        <v/>
      </c>
      <c r="K2979" s="521">
        <f>I2979-G2979</f>
        <v/>
      </c>
      <c r="M2979" s="522" t="inlineStr">
        <is>
          <t>GRIN2020348</t>
        </is>
      </c>
      <c r="N2979" s="522" t="inlineStr">
        <is>
          <t>GRIN2020348</t>
        </is>
      </c>
      <c r="O2979" s="521">
        <f>M2979=N2979</f>
        <v/>
      </c>
      <c r="P2979" s="521">
        <f>AND(MONTH(F2979)=MONTH(S2979), YEAR(F2979)=YEAR(S2979))</f>
        <v/>
      </c>
      <c r="Q2979" s="521">
        <f>U2979="L001-901905215"</f>
        <v/>
      </c>
      <c r="R2979" s="556">
        <f>G2979-W2979</f>
        <v/>
      </c>
      <c r="S2979" s="523" t="n">
        <v>44103</v>
      </c>
      <c r="T2979" s="522" t="inlineStr">
        <is>
          <t>GR-IN2020348</t>
        </is>
      </c>
      <c r="U2979" s="522" t="inlineStr">
        <is>
          <t>L001-901905215</t>
        </is>
      </c>
      <c r="V2979" s="522" t="inlineStr">
        <is>
          <t>វីអ៊ីស៊ិន (ខេមបូឌា) អ៊ិនដាសស្ទ្រី ឯ.ក</t>
        </is>
      </c>
      <c r="W2979" s="556" t="n">
        <v>16380</v>
      </c>
    </row>
    <row r="2980">
      <c r="A2980" s="521" t="n">
        <v>2972</v>
      </c>
      <c r="B2980" s="522" t="n"/>
      <c r="C2980" s="522" t="inlineStr">
        <is>
          <t>ខេមវីល គ្លូប៊ល ឯ.ក</t>
        </is>
      </c>
      <c r="D2980" s="522" t="inlineStr">
        <is>
          <t>L001-901637190</t>
        </is>
      </c>
      <c r="E2980" s="521" t="inlineStr">
        <is>
          <t>INV202001</t>
        </is>
      </c>
      <c r="F2980" s="523" t="n">
        <v>44102</v>
      </c>
      <c r="G2980" s="556" t="n">
        <v>224840</v>
      </c>
      <c r="I2980" s="521">
        <f>G2980</f>
        <v/>
      </c>
      <c r="K2980" s="521">
        <f>I2980-G2980</f>
        <v/>
      </c>
      <c r="M2980" s="522" t="inlineStr">
        <is>
          <t>INV202001</t>
        </is>
      </c>
      <c r="N2980" s="522" t="inlineStr"/>
      <c r="O2980" s="521">
        <f>M2980=N2980</f>
        <v/>
      </c>
      <c r="P2980" s="521">
        <f>AND(MONTH(F2980)=MONTH(S2980), YEAR(F2980)=YEAR(S2980))</f>
        <v/>
      </c>
      <c r="Q2980" s="521">
        <f>U2980="L001-901905215"</f>
        <v/>
      </c>
      <c r="R2980" s="556">
        <f>G2980-W2980</f>
        <v/>
      </c>
      <c r="S2980" s="521" t="n"/>
      <c r="T2980" s="522" t="n"/>
      <c r="U2980" s="522" t="n"/>
      <c r="V2980" s="522" t="n"/>
      <c r="W2980" s="521" t="n"/>
    </row>
    <row r="2981">
      <c r="A2981" s="521" t="n">
        <v>2973</v>
      </c>
      <c r="B2981" s="522" t="n"/>
      <c r="C2981" s="522" t="inlineStr">
        <is>
          <t>អ៊ីជីអេហ្វ ឡូជីស្ទីក ខូ អិលធីឌី</t>
        </is>
      </c>
      <c r="D2981" s="522" t="inlineStr">
        <is>
          <t>L001-901501877</t>
        </is>
      </c>
      <c r="E2981" s="521" t="inlineStr">
        <is>
          <t>2006469</t>
        </is>
      </c>
      <c r="F2981" s="523" t="n">
        <v>44101</v>
      </c>
      <c r="G2981" s="556" t="n">
        <v>134739</v>
      </c>
      <c r="I2981" s="521">
        <f>G2981</f>
        <v/>
      </c>
      <c r="K2981" s="521">
        <f>I2981-G2981</f>
        <v/>
      </c>
      <c r="M2981" s="522" t="inlineStr">
        <is>
          <t>2006469</t>
        </is>
      </c>
      <c r="N2981" s="522" t="inlineStr">
        <is>
          <t>2006469</t>
        </is>
      </c>
      <c r="O2981" s="521">
        <f>M2981=N2981</f>
        <v/>
      </c>
      <c r="P2981" s="521">
        <f>AND(MONTH(F2981)=MONTH(S2981), YEAR(F2981)=YEAR(S2981))</f>
        <v/>
      </c>
      <c r="Q2981" s="521">
        <f>U2981="L001-901905215"</f>
        <v/>
      </c>
      <c r="R2981" s="556">
        <f>G2981-W2981</f>
        <v/>
      </c>
      <c r="S2981" s="523" t="n">
        <v>44101</v>
      </c>
      <c r="T2981" s="522" t="inlineStr">
        <is>
          <t>2006469</t>
        </is>
      </c>
      <c r="U2981" s="522" t="inlineStr">
        <is>
          <t>L001-901905215</t>
        </is>
      </c>
      <c r="V2981" s="522" t="inlineStr">
        <is>
          <t>វីអ៊ីស៊ិន (ខេមបូឌា) អ៊ិនដាសស្ទ្រី ឯ.ក</t>
        </is>
      </c>
      <c r="W2981" s="556" t="n">
        <v>134739</v>
      </c>
    </row>
    <row r="2982">
      <c r="A2982" s="521" t="n">
        <v>2974</v>
      </c>
      <c r="B2982" s="522" t="n"/>
      <c r="C2982" s="522" t="inlineStr">
        <is>
          <t>កំពង់ផែស្វយ័តក្រុងព្រះសីហនុ</t>
        </is>
      </c>
      <c r="D2982" s="522" t="inlineStr">
        <is>
          <t>L001-100044638</t>
        </is>
      </c>
      <c r="E2982" s="521" t="inlineStr">
        <is>
          <t>142454</t>
        </is>
      </c>
      <c r="F2982" s="523" t="n">
        <v>44100</v>
      </c>
      <c r="G2982" s="556" t="n">
        <v>35522</v>
      </c>
      <c r="I2982" s="521">
        <f>G2982</f>
        <v/>
      </c>
      <c r="K2982" s="521">
        <f>I2982-G2982</f>
        <v/>
      </c>
      <c r="M2982" s="522" t="inlineStr">
        <is>
          <t>142454</t>
        </is>
      </c>
      <c r="N2982" s="522" t="inlineStr"/>
      <c r="O2982" s="521">
        <f>M2982=N2982</f>
        <v/>
      </c>
      <c r="P2982" s="521">
        <f>AND(MONTH(F2982)=MONTH(S2982), YEAR(F2982)=YEAR(S2982))</f>
        <v/>
      </c>
      <c r="Q2982" s="521">
        <f>U2982="L001-901905215"</f>
        <v/>
      </c>
      <c r="R2982" s="556">
        <f>G2982-W2982</f>
        <v/>
      </c>
      <c r="S2982" s="521" t="n"/>
      <c r="T2982" s="522" t="n"/>
      <c r="U2982" s="522" t="n"/>
      <c r="V2982" s="522" t="n"/>
      <c r="W2982" s="521" t="n"/>
    </row>
    <row r="2983">
      <c r="A2983" s="521" t="n">
        <v>2975</v>
      </c>
      <c r="B2983" s="522" t="n"/>
      <c r="C2983" s="522" t="inlineStr">
        <is>
          <t>ឆាយ ដា ឡូយីស្ទីក</t>
        </is>
      </c>
      <c r="D2983" s="522" t="inlineStr">
        <is>
          <t>L001-100063098</t>
        </is>
      </c>
      <c r="E2983" s="521" t="inlineStr">
        <is>
          <t>2009008539</t>
        </is>
      </c>
      <c r="F2983" s="523" t="n">
        <v>44100</v>
      </c>
      <c r="G2983" s="556" t="n">
        <v>89418</v>
      </c>
      <c r="I2983" s="521">
        <f>G2983</f>
        <v/>
      </c>
      <c r="K2983" s="521">
        <f>I2983-G2983</f>
        <v/>
      </c>
      <c r="M2983" s="522" t="inlineStr">
        <is>
          <t>2009008539</t>
        </is>
      </c>
      <c r="N2983" s="522" t="inlineStr">
        <is>
          <t>2009008539</t>
        </is>
      </c>
      <c r="O2983" s="521">
        <f>M2983=N2983</f>
        <v/>
      </c>
      <c r="P2983" s="521">
        <f>AND(MONTH(F2983)=MONTH(S2983), YEAR(F2983)=YEAR(S2983))</f>
        <v/>
      </c>
      <c r="Q2983" s="521">
        <f>U2983="L001-901905215"</f>
        <v/>
      </c>
      <c r="R2983" s="556">
        <f>G2983-W2983</f>
        <v/>
      </c>
      <c r="S2983" s="523" t="n">
        <v>44100</v>
      </c>
      <c r="T2983" s="522" t="inlineStr">
        <is>
          <t>2009008539</t>
        </is>
      </c>
      <c r="U2983" s="522" t="inlineStr">
        <is>
          <t>L001-901905215</t>
        </is>
      </c>
      <c r="V2983" s="522" t="inlineStr">
        <is>
          <t>វីអ៊ីស៊ិន (ខេមបូឌា) អ៊ិនដាសស្ទ្រី ឯ.ក</t>
        </is>
      </c>
      <c r="W2983" s="556" t="n">
        <v>89418</v>
      </c>
    </row>
    <row r="2984">
      <c r="A2984" s="521" t="n">
        <v>2976</v>
      </c>
      <c r="B2984" s="522" t="n"/>
      <c r="C2984" s="522" t="inlineStr">
        <is>
          <t>ឆាយ ដា ឡូយីស្ទីក</t>
        </is>
      </c>
      <c r="D2984" s="522" t="inlineStr">
        <is>
          <t>L001-100063098</t>
        </is>
      </c>
      <c r="E2984" s="521" t="inlineStr">
        <is>
          <t>2009008535</t>
        </is>
      </c>
      <c r="F2984" s="523" t="n">
        <v>44100</v>
      </c>
      <c r="G2984" s="556" t="n">
        <v>89418</v>
      </c>
      <c r="I2984" s="521">
        <f>G2984</f>
        <v/>
      </c>
      <c r="K2984" s="521">
        <f>I2984-G2984</f>
        <v/>
      </c>
      <c r="M2984" s="522" t="inlineStr">
        <is>
          <t>2009008535</t>
        </is>
      </c>
      <c r="N2984" s="522" t="inlineStr">
        <is>
          <t>2009008535</t>
        </is>
      </c>
      <c r="O2984" s="521">
        <f>M2984=N2984</f>
        <v/>
      </c>
      <c r="P2984" s="521">
        <f>AND(MONTH(F2984)=MONTH(S2984), YEAR(F2984)=YEAR(S2984))</f>
        <v/>
      </c>
      <c r="Q2984" s="521">
        <f>U2984="L001-901905215"</f>
        <v/>
      </c>
      <c r="R2984" s="556">
        <f>G2984-W2984</f>
        <v/>
      </c>
      <c r="S2984" s="523" t="n">
        <v>44100</v>
      </c>
      <c r="T2984" s="522" t="inlineStr">
        <is>
          <t>2009008535</t>
        </is>
      </c>
      <c r="U2984" s="522" t="inlineStr">
        <is>
          <t>L001-901905215</t>
        </is>
      </c>
      <c r="V2984" s="522" t="inlineStr">
        <is>
          <t>វីអ៊ីស៊ិន (ខេមបូឌា) អ៊ិនដាសស្ទ្រី ឯ.ក</t>
        </is>
      </c>
      <c r="W2984" s="556" t="n">
        <v>89418</v>
      </c>
    </row>
    <row r="2985">
      <c r="A2985" s="521" t="n">
        <v>2977</v>
      </c>
      <c r="B2985" s="522" t="n"/>
      <c r="C2985" s="522" t="inlineStr">
        <is>
          <t>ឆាយ ដា ឡូយីស្ទីក</t>
        </is>
      </c>
      <c r="D2985" s="522" t="inlineStr">
        <is>
          <t>L001-100063098</t>
        </is>
      </c>
      <c r="E2985" s="521" t="inlineStr">
        <is>
          <t>2009008518</t>
        </is>
      </c>
      <c r="F2985" s="523" t="n">
        <v>44100</v>
      </c>
      <c r="G2985" s="556" t="n">
        <v>89418</v>
      </c>
      <c r="I2985" s="521">
        <f>G2985</f>
        <v/>
      </c>
      <c r="K2985" s="521">
        <f>I2985-G2985</f>
        <v/>
      </c>
      <c r="M2985" s="522" t="inlineStr">
        <is>
          <t>2009008518</t>
        </is>
      </c>
      <c r="N2985" s="522" t="inlineStr">
        <is>
          <t>2009008518</t>
        </is>
      </c>
      <c r="O2985" s="521">
        <f>M2985=N2985</f>
        <v/>
      </c>
      <c r="P2985" s="521">
        <f>AND(MONTH(F2985)=MONTH(S2985), YEAR(F2985)=YEAR(S2985))</f>
        <v/>
      </c>
      <c r="Q2985" s="521">
        <f>U2985="L001-901905215"</f>
        <v/>
      </c>
      <c r="R2985" s="556">
        <f>G2985-W2985</f>
        <v/>
      </c>
      <c r="S2985" s="523" t="n">
        <v>44100</v>
      </c>
      <c r="T2985" s="522" t="inlineStr">
        <is>
          <t>2009008518</t>
        </is>
      </c>
      <c r="U2985" s="522" t="inlineStr">
        <is>
          <t>L001-901905215</t>
        </is>
      </c>
      <c r="V2985" s="522" t="inlineStr">
        <is>
          <t>វីអ៊ីស៊ិន (ខេមបូឌា) អ៊ិនដាសស្ទ្រី ឯ.ក</t>
        </is>
      </c>
      <c r="W2985" s="556" t="n">
        <v>89418</v>
      </c>
    </row>
    <row r="2986">
      <c r="A2986" s="521" t="n">
        <v>2978</v>
      </c>
      <c r="B2986" s="522" t="n"/>
      <c r="C2986" s="522" t="inlineStr">
        <is>
          <t>ឆាយ ដា ឡូយីស្ទីក</t>
        </is>
      </c>
      <c r="D2986" s="522" t="inlineStr">
        <is>
          <t>L001-100063098</t>
        </is>
      </c>
      <c r="E2986" s="521" t="inlineStr">
        <is>
          <t>2009008516</t>
        </is>
      </c>
      <c r="F2986" s="523" t="n">
        <v>44100</v>
      </c>
      <c r="G2986" s="556" t="n">
        <v>77169</v>
      </c>
      <c r="I2986" s="521">
        <f>G2986</f>
        <v/>
      </c>
      <c r="K2986" s="521">
        <f>I2986-G2986</f>
        <v/>
      </c>
      <c r="M2986" s="522" t="inlineStr">
        <is>
          <t>2009008516</t>
        </is>
      </c>
      <c r="N2986" s="522" t="inlineStr">
        <is>
          <t>2009008516</t>
        </is>
      </c>
      <c r="O2986" s="521">
        <f>M2986=N2986</f>
        <v/>
      </c>
      <c r="P2986" s="521">
        <f>AND(MONTH(F2986)=MONTH(S2986), YEAR(F2986)=YEAR(S2986))</f>
        <v/>
      </c>
      <c r="Q2986" s="521">
        <f>U2986="L001-901905215"</f>
        <v/>
      </c>
      <c r="R2986" s="556">
        <f>G2986-W2986</f>
        <v/>
      </c>
      <c r="S2986" s="523" t="n">
        <v>44100</v>
      </c>
      <c r="T2986" s="522" t="inlineStr">
        <is>
          <t>2009008516</t>
        </is>
      </c>
      <c r="U2986" s="522" t="inlineStr">
        <is>
          <t>L001-901905215</t>
        </is>
      </c>
      <c r="V2986" s="522" t="inlineStr">
        <is>
          <t>វីអ៊ីស៊ិន (ខេមបូឌា) អ៊ិនដាសស្ទ្រី ឯ.ក</t>
        </is>
      </c>
      <c r="W2986" s="556" t="n">
        <v>77169</v>
      </c>
    </row>
    <row r="2987">
      <c r="A2987" s="521" t="n">
        <v>2979</v>
      </c>
      <c r="B2987" s="522" t="n"/>
      <c r="C2987" s="522" t="inlineStr">
        <is>
          <t>ឆាយ ដា ឡូយីស្ទីក</t>
        </is>
      </c>
      <c r="D2987" s="522" t="inlineStr">
        <is>
          <t>L001-100063098</t>
        </is>
      </c>
      <c r="E2987" s="521" t="inlineStr">
        <is>
          <t>2009008525</t>
        </is>
      </c>
      <c r="F2987" s="523" t="n">
        <v>44099</v>
      </c>
      <c r="G2987" s="556" t="n">
        <v>89418</v>
      </c>
      <c r="I2987" s="521">
        <f>G2987</f>
        <v/>
      </c>
      <c r="K2987" s="521">
        <f>I2987-G2987</f>
        <v/>
      </c>
      <c r="M2987" s="522" t="inlineStr">
        <is>
          <t>2009008525</t>
        </is>
      </c>
      <c r="N2987" s="522" t="inlineStr">
        <is>
          <t>2009008525</t>
        </is>
      </c>
      <c r="O2987" s="521">
        <f>M2987=N2987</f>
        <v/>
      </c>
      <c r="P2987" s="521">
        <f>AND(MONTH(F2987)=MONTH(S2987), YEAR(F2987)=YEAR(S2987))</f>
        <v/>
      </c>
      <c r="Q2987" s="521">
        <f>U2987="L001-901905215"</f>
        <v/>
      </c>
      <c r="R2987" s="556">
        <f>G2987-W2987</f>
        <v/>
      </c>
      <c r="S2987" s="523" t="n">
        <v>44100</v>
      </c>
      <c r="T2987" s="522" t="inlineStr">
        <is>
          <t>2009008525</t>
        </is>
      </c>
      <c r="U2987" s="522" t="inlineStr">
        <is>
          <t>L001-901905215</t>
        </is>
      </c>
      <c r="V2987" s="522" t="inlineStr">
        <is>
          <t>វីអ៊ីស៊ិន (ខេមបូឌា) អ៊ិនដាសស្ទ្រី ឯ.ក</t>
        </is>
      </c>
      <c r="W2987" s="556" t="n">
        <v>89418</v>
      </c>
    </row>
    <row r="2988">
      <c r="A2988" s="521" t="n">
        <v>2980</v>
      </c>
      <c r="B2988" s="522" t="n"/>
      <c r="C2988" s="522" t="inlineStr">
        <is>
          <t>អ៊ីជីអេហ្វ ឡូជីស្ទីក ខូ អិលធីឌី</t>
        </is>
      </c>
      <c r="D2988" s="522" t="inlineStr">
        <is>
          <t>L001-901501877</t>
        </is>
      </c>
      <c r="E2988" s="521" t="inlineStr">
        <is>
          <t>2006385</t>
        </is>
      </c>
      <c r="F2988" s="523" t="n">
        <v>44098</v>
      </c>
      <c r="G2988" s="556" t="n">
        <v>102125</v>
      </c>
      <c r="I2988" s="521">
        <f>G2988</f>
        <v/>
      </c>
      <c r="K2988" s="521">
        <f>I2988-G2988</f>
        <v/>
      </c>
      <c r="M2988" s="522" t="inlineStr">
        <is>
          <t>2006385</t>
        </is>
      </c>
      <c r="N2988" s="522" t="inlineStr">
        <is>
          <t>2006385</t>
        </is>
      </c>
      <c r="O2988" s="521">
        <f>M2988=N2988</f>
        <v/>
      </c>
      <c r="P2988" s="521">
        <f>AND(MONTH(F2988)=MONTH(S2988), YEAR(F2988)=YEAR(S2988))</f>
        <v/>
      </c>
      <c r="Q2988" s="521">
        <f>U2988="L001-901905215"</f>
        <v/>
      </c>
      <c r="R2988" s="556">
        <f>G2988-W2988</f>
        <v/>
      </c>
      <c r="S2988" s="523" t="n">
        <v>44098</v>
      </c>
      <c r="T2988" s="522" t="inlineStr">
        <is>
          <t>2006385</t>
        </is>
      </c>
      <c r="U2988" s="522" t="inlineStr">
        <is>
          <t>L001-901905215</t>
        </is>
      </c>
      <c r="V2988" s="522" t="inlineStr">
        <is>
          <t>វីអ៊ីស៊ិន (ខេមបូឌា) អ៊ិនដាសស្ទ្រី ឯ.ក</t>
        </is>
      </c>
      <c r="W2988" s="556" t="n">
        <v>102125</v>
      </c>
    </row>
    <row r="2989">
      <c r="A2989" s="521" t="n">
        <v>2981</v>
      </c>
      <c r="B2989" s="522" t="n"/>
      <c r="C2989" s="522" t="inlineStr">
        <is>
          <t>ឌី អេច អិល អិចប្រេស (ខេមបូឌា)</t>
        </is>
      </c>
      <c r="D2989" s="522" t="inlineStr">
        <is>
          <t>L001-100045197</t>
        </is>
      </c>
      <c r="E2989" s="521" t="inlineStr">
        <is>
          <t>PNHR000352471</t>
        </is>
      </c>
      <c r="F2989" s="523" t="n">
        <v>44098</v>
      </c>
      <c r="G2989" s="556" t="n">
        <v>46324</v>
      </c>
      <c r="I2989" s="521">
        <f>G2989</f>
        <v/>
      </c>
      <c r="K2989" s="521">
        <f>I2989-G2989</f>
        <v/>
      </c>
      <c r="M2989" s="522" t="inlineStr">
        <is>
          <t>PNHR000352471</t>
        </is>
      </c>
      <c r="N2989" s="522" t="inlineStr">
        <is>
          <t>PNHR000352471</t>
        </is>
      </c>
      <c r="O2989" s="521">
        <f>M2989=N2989</f>
        <v/>
      </c>
      <c r="P2989" s="521">
        <f>AND(MONTH(F2989)=MONTH(S2989), YEAR(F2989)=YEAR(S2989))</f>
        <v/>
      </c>
      <c r="Q2989" s="521">
        <f>U2989="L001-901905215"</f>
        <v/>
      </c>
      <c r="R2989" s="556">
        <f>G2989-W2989</f>
        <v/>
      </c>
      <c r="S2989" s="523" t="n">
        <v>44098</v>
      </c>
      <c r="T2989" s="522" t="inlineStr">
        <is>
          <t>PNHR000352471</t>
        </is>
      </c>
      <c r="U2989" s="522" t="inlineStr">
        <is>
          <t>L001-901905215</t>
        </is>
      </c>
      <c r="V2989" s="522" t="inlineStr">
        <is>
          <t>វីអ៊ីស៊ិន (ខេមបូឌា) អ៊ិនដាសស្ទ្រី ឯ.ក</t>
        </is>
      </c>
      <c r="W2989" s="556" t="n">
        <v>46324</v>
      </c>
    </row>
    <row r="2990">
      <c r="A2990" s="521" t="n">
        <v>2982</v>
      </c>
      <c r="B2990" s="522" t="n"/>
      <c r="C2990" s="522" t="inlineStr">
        <is>
          <t>ប្យួរ៉ូ វេរីតាស (ខេមបូឌា) លីមីធីត</t>
        </is>
      </c>
      <c r="D2990" s="522" t="inlineStr">
        <is>
          <t>L001-107024462</t>
        </is>
      </c>
      <c r="E2990" s="521" t="inlineStr">
        <is>
          <t>59008649</t>
        </is>
      </c>
      <c r="F2990" s="523" t="n">
        <v>44098</v>
      </c>
      <c r="G2990" s="556" t="n">
        <v>95366</v>
      </c>
      <c r="I2990" s="521">
        <f>G2990</f>
        <v/>
      </c>
      <c r="K2990" s="521">
        <f>I2990-G2990</f>
        <v/>
      </c>
      <c r="M2990" s="522" t="inlineStr">
        <is>
          <t>59008649</t>
        </is>
      </c>
      <c r="N2990" s="522" t="inlineStr">
        <is>
          <t>59008649</t>
        </is>
      </c>
      <c r="O2990" s="521">
        <f>M2990=N2990</f>
        <v/>
      </c>
      <c r="P2990" s="521">
        <f>AND(MONTH(F2990)=MONTH(S2990), YEAR(F2990)=YEAR(S2990))</f>
        <v/>
      </c>
      <c r="Q2990" s="521">
        <f>U2990="L001-901905215"</f>
        <v/>
      </c>
      <c r="R2990" s="556">
        <f>G2990-W2990</f>
        <v/>
      </c>
      <c r="S2990" s="523" t="n">
        <v>44098</v>
      </c>
      <c r="T2990" s="522" t="inlineStr">
        <is>
          <t>59008649</t>
        </is>
      </c>
      <c r="U2990" s="522" t="inlineStr">
        <is>
          <t>L001-901905215</t>
        </is>
      </c>
      <c r="V2990" s="522" t="inlineStr">
        <is>
          <t>វីអ៊ីស៊ិន (ខេមបូឌា) អ៊ិនដាសស្ទ្រី ឯ.ក</t>
        </is>
      </c>
      <c r="W2990" s="556" t="n">
        <v>95366</v>
      </c>
    </row>
    <row r="2991">
      <c r="A2991" s="521" t="n">
        <v>2983</v>
      </c>
      <c r="B2991" s="522" t="n"/>
      <c r="C2991" s="522" t="inlineStr">
        <is>
          <t>អ៊ិចស្ពែឌីធ័រ ខេមបូឌា អិលធីឌី</t>
        </is>
      </c>
      <c r="D2991" s="522" t="inlineStr">
        <is>
          <t>L001-100045898</t>
        </is>
      </c>
      <c r="E2991" s="521" t="inlineStr">
        <is>
          <t>TI0183889</t>
        </is>
      </c>
      <c r="F2991" s="523" t="n">
        <v>44096</v>
      </c>
      <c r="G2991" s="556" t="n">
        <v>512140</v>
      </c>
      <c r="I2991" s="521">
        <f>G2991</f>
        <v/>
      </c>
      <c r="K2991" s="521">
        <f>I2991-G2991</f>
        <v/>
      </c>
      <c r="M2991" s="522" t="inlineStr">
        <is>
          <t>TI0183889</t>
        </is>
      </c>
      <c r="N2991" s="522" t="inlineStr">
        <is>
          <t>TI0183889</t>
        </is>
      </c>
      <c r="O2991" s="521">
        <f>M2991=N2991</f>
        <v/>
      </c>
      <c r="P2991" s="521">
        <f>AND(MONTH(F2991)=MONTH(S2991), YEAR(F2991)=YEAR(S2991))</f>
        <v/>
      </c>
      <c r="Q2991" s="521">
        <f>U2991="L001-901905215"</f>
        <v/>
      </c>
      <c r="R2991" s="556">
        <f>G2991-W2991</f>
        <v/>
      </c>
      <c r="S2991" s="523" t="n">
        <v>44096</v>
      </c>
      <c r="T2991" s="522" t="inlineStr">
        <is>
          <t>TI-0183889</t>
        </is>
      </c>
      <c r="U2991" s="522" t="inlineStr">
        <is>
          <t>L001-901905215</t>
        </is>
      </c>
      <c r="V2991" s="522" t="inlineStr">
        <is>
          <t>វីអ៊ីស៊ិន (ខេមបូឌា) អ៊ិនដាសស្ទ្រី ឯ.ក</t>
        </is>
      </c>
      <c r="W2991" s="556" t="n">
        <v>512136</v>
      </c>
    </row>
    <row r="2992">
      <c r="A2992" s="521" t="n">
        <v>2984</v>
      </c>
      <c r="B2992" s="522" t="n"/>
      <c r="C2992" s="522" t="inlineStr">
        <is>
          <t>អ៊ិចស្ពែឌីធ័រ ខេមបូឌា អិលធីឌី</t>
        </is>
      </c>
      <c r="D2992" s="522" t="inlineStr">
        <is>
          <t>L001-100045898</t>
        </is>
      </c>
      <c r="E2992" s="521" t="inlineStr">
        <is>
          <t>TI0183886</t>
        </is>
      </c>
      <c r="F2992" s="523" t="n">
        <v>44095</v>
      </c>
      <c r="G2992" s="556" t="n">
        <v>171002</v>
      </c>
      <c r="I2992" s="521">
        <f>G2992</f>
        <v/>
      </c>
      <c r="K2992" s="521">
        <f>I2992-G2992</f>
        <v/>
      </c>
      <c r="M2992" s="522" t="inlineStr">
        <is>
          <t>TI0183886</t>
        </is>
      </c>
      <c r="N2992" s="522" t="inlineStr">
        <is>
          <t>TI0183886</t>
        </is>
      </c>
      <c r="O2992" s="521">
        <f>M2992=N2992</f>
        <v/>
      </c>
      <c r="P2992" s="521">
        <f>AND(MONTH(F2992)=MONTH(S2992), YEAR(F2992)=YEAR(S2992))</f>
        <v/>
      </c>
      <c r="Q2992" s="521">
        <f>U2992="L001-901905215"</f>
        <v/>
      </c>
      <c r="R2992" s="556">
        <f>G2992-W2992</f>
        <v/>
      </c>
      <c r="S2992" s="523" t="n">
        <v>44096</v>
      </c>
      <c r="T2992" s="522" t="inlineStr">
        <is>
          <t>TI-0183886</t>
        </is>
      </c>
      <c r="U2992" s="522" t="inlineStr">
        <is>
          <t>L001-901905215</t>
        </is>
      </c>
      <c r="V2992" s="522" t="inlineStr">
        <is>
          <t>វីអ៊ីស៊ិន (ខេមបូឌា) អ៊ិនដាសស្ទ្រី ឯ.ក</t>
        </is>
      </c>
      <c r="W2992" s="556" t="n">
        <v>170998</v>
      </c>
    </row>
    <row r="2993">
      <c r="A2993" s="521" t="n">
        <v>2985</v>
      </c>
      <c r="B2993" s="522" t="n"/>
      <c r="C2993" s="522" t="inlineStr">
        <is>
          <t>ឆាយ ដា ឡូយីស្ទីក</t>
        </is>
      </c>
      <c r="D2993" s="522" t="inlineStr">
        <is>
          <t>L001-100063098</t>
        </is>
      </c>
      <c r="E2993" s="521" t="inlineStr">
        <is>
          <t>2009008269</t>
        </is>
      </c>
      <c r="F2993" s="523" t="n">
        <v>44095</v>
      </c>
      <c r="G2993" s="556" t="n">
        <v>89527</v>
      </c>
      <c r="I2993" s="521">
        <f>G2993</f>
        <v/>
      </c>
      <c r="K2993" s="521">
        <f>I2993-G2993</f>
        <v/>
      </c>
      <c r="M2993" s="522" t="inlineStr">
        <is>
          <t>2009008269</t>
        </is>
      </c>
      <c r="N2993" s="522" t="inlineStr">
        <is>
          <t>2009008269</t>
        </is>
      </c>
      <c r="O2993" s="521">
        <f>M2993=N2993</f>
        <v/>
      </c>
      <c r="P2993" s="521">
        <f>AND(MONTH(F2993)=MONTH(S2993), YEAR(F2993)=YEAR(S2993))</f>
        <v/>
      </c>
      <c r="Q2993" s="521">
        <f>U2993="L001-901905215"</f>
        <v/>
      </c>
      <c r="R2993" s="556">
        <f>G2993-W2993</f>
        <v/>
      </c>
      <c r="S2993" s="523" t="n">
        <v>44095</v>
      </c>
      <c r="T2993" s="522" t="inlineStr">
        <is>
          <t>2009008269</t>
        </is>
      </c>
      <c r="U2993" s="522" t="inlineStr">
        <is>
          <t>L001-901905215</t>
        </is>
      </c>
      <c r="V2993" s="522" t="inlineStr">
        <is>
          <t>វីអ៊ីស៊ិន (ខេមបូឌា) អ៊ិនដាសស្ទ្រី ឯ.ក</t>
        </is>
      </c>
      <c r="W2993" s="556" t="n">
        <v>89527</v>
      </c>
    </row>
    <row r="2994">
      <c r="A2994" s="521" t="n">
        <v>2986</v>
      </c>
      <c r="B2994" s="522" t="n"/>
      <c r="C2994" s="522" t="inlineStr">
        <is>
          <t>អេវើរហ្គ្រីន ស៊ីបភីង សឺវីស (ខេមបូឌា) ឯ.ក</t>
        </is>
      </c>
      <c r="D2994" s="522" t="inlineStr">
        <is>
          <t>L001-901705421</t>
        </is>
      </c>
      <c r="E2994" s="521" t="inlineStr">
        <is>
          <t>IY20006709</t>
        </is>
      </c>
      <c r="F2994" s="523" t="n">
        <v>44093</v>
      </c>
      <c r="G2994" s="556" t="n">
        <v>120655</v>
      </c>
      <c r="I2994" s="521">
        <f>G2994</f>
        <v/>
      </c>
      <c r="K2994" s="521">
        <f>I2994-G2994</f>
        <v/>
      </c>
      <c r="M2994" s="522" t="inlineStr">
        <is>
          <t>IY20006709</t>
        </is>
      </c>
      <c r="N2994" s="522" t="inlineStr">
        <is>
          <t>IY20006709</t>
        </is>
      </c>
      <c r="O2994" s="521">
        <f>M2994=N2994</f>
        <v/>
      </c>
      <c r="P2994" s="521">
        <f>AND(MONTH(F2994)=MONTH(S2994), YEAR(F2994)=YEAR(S2994))</f>
        <v/>
      </c>
      <c r="Q2994" s="521">
        <f>U2994="L001-901905215"</f>
        <v/>
      </c>
      <c r="R2994" s="556">
        <f>G2994-W2994</f>
        <v/>
      </c>
      <c r="S2994" s="523" t="n">
        <v>44093</v>
      </c>
      <c r="T2994" s="522" t="inlineStr">
        <is>
          <t>IY20006709</t>
        </is>
      </c>
      <c r="U2994" s="522" t="inlineStr">
        <is>
          <t>L001-901905215</t>
        </is>
      </c>
      <c r="V2994" s="522" t="inlineStr">
        <is>
          <t>វីអ៊ីស៊ិន (ខេមបូឌា) អ៊ិនដាសស្ទ្រី ឯ.ក</t>
        </is>
      </c>
      <c r="W2994" s="556" t="n">
        <v>120655</v>
      </c>
    </row>
    <row r="2995">
      <c r="A2995" s="521" t="n">
        <v>2987</v>
      </c>
      <c r="B2995" s="522" t="n"/>
      <c r="C2995" s="522" t="inlineStr">
        <is>
          <t>កំពង់ផែស្វយ័តក្រុងព្រះសីហនុ</t>
        </is>
      </c>
      <c r="D2995" s="522" t="inlineStr">
        <is>
          <t>L001-100044638</t>
        </is>
      </c>
      <c r="E2995" s="521" t="inlineStr">
        <is>
          <t>137379</t>
        </is>
      </c>
      <c r="F2995" s="523" t="n">
        <v>44093</v>
      </c>
      <c r="G2995" s="556" t="n">
        <v>23313</v>
      </c>
      <c r="I2995" s="521">
        <f>G2995</f>
        <v/>
      </c>
      <c r="K2995" s="521">
        <f>I2995-G2995</f>
        <v/>
      </c>
      <c r="M2995" s="522" t="inlineStr">
        <is>
          <t>137379</t>
        </is>
      </c>
      <c r="N2995" s="522" t="inlineStr"/>
      <c r="O2995" s="521">
        <f>M2995=N2995</f>
        <v/>
      </c>
      <c r="P2995" s="521">
        <f>AND(MONTH(F2995)=MONTH(S2995), YEAR(F2995)=YEAR(S2995))</f>
        <v/>
      </c>
      <c r="Q2995" s="521">
        <f>U2995="L001-901905215"</f>
        <v/>
      </c>
      <c r="R2995" s="556">
        <f>G2995-W2995</f>
        <v/>
      </c>
      <c r="S2995" s="521" t="n"/>
      <c r="T2995" s="522" t="n"/>
      <c r="U2995" s="522" t="n"/>
      <c r="V2995" s="522" t="n"/>
      <c r="W2995" s="521" t="n"/>
    </row>
    <row r="2996">
      <c r="A2996" s="521" t="n">
        <v>2988</v>
      </c>
      <c r="B2996" s="522" t="n"/>
      <c r="C2996" s="522" t="inlineStr">
        <is>
          <t>ឌី អេច អិល អិចប្រេស (ខេមបូឌា)</t>
        </is>
      </c>
      <c r="D2996" s="522" t="inlineStr">
        <is>
          <t>L001-100045197</t>
        </is>
      </c>
      <c r="E2996" s="521" t="inlineStr">
        <is>
          <t>PNHR000351684</t>
        </is>
      </c>
      <c r="F2996" s="523" t="n">
        <v>44091</v>
      </c>
      <c r="G2996" s="556" t="n">
        <v>82328</v>
      </c>
      <c r="I2996" s="521">
        <f>G2996</f>
        <v/>
      </c>
      <c r="K2996" s="521">
        <f>I2996-G2996</f>
        <v/>
      </c>
      <c r="M2996" s="522" t="inlineStr">
        <is>
          <t>PNHR000351684</t>
        </is>
      </c>
      <c r="N2996" s="522" t="inlineStr">
        <is>
          <t>PNHR000351684</t>
        </is>
      </c>
      <c r="O2996" s="521">
        <f>M2996=N2996</f>
        <v/>
      </c>
      <c r="P2996" s="521">
        <f>AND(MONTH(F2996)=MONTH(S2996), YEAR(F2996)=YEAR(S2996))</f>
        <v/>
      </c>
      <c r="Q2996" s="521">
        <f>U2996="L001-901905215"</f>
        <v/>
      </c>
      <c r="R2996" s="556">
        <f>G2996-W2996</f>
        <v/>
      </c>
      <c r="S2996" s="523" t="n">
        <v>44091</v>
      </c>
      <c r="T2996" s="522" t="inlineStr">
        <is>
          <t>PNHR000351684</t>
        </is>
      </c>
      <c r="U2996" s="522" t="inlineStr">
        <is>
          <t>L001-901905215</t>
        </is>
      </c>
      <c r="V2996" s="522" t="inlineStr">
        <is>
          <t>វីអ៊ីស៊ិន (ខេមបូឌា) អ៊ិនដាសស្ទ្រី ឯ.ក</t>
        </is>
      </c>
      <c r="W2996" s="556" t="n">
        <v>82328</v>
      </c>
    </row>
    <row r="2997">
      <c r="A2997" s="521" t="n">
        <v>2989</v>
      </c>
      <c r="B2997" s="522" t="n"/>
      <c r="C2997" s="522" t="inlineStr">
        <is>
          <t>ភីស៊ីអាយ សឺវីស</t>
        </is>
      </c>
      <c r="D2997" s="522" t="inlineStr">
        <is>
          <t>K010-901639639</t>
        </is>
      </c>
      <c r="E2997" s="521" t="inlineStr">
        <is>
          <t>202001146</t>
        </is>
      </c>
      <c r="F2997" s="523" t="n">
        <v>44090</v>
      </c>
      <c r="G2997" s="556" t="n">
        <v>82000</v>
      </c>
      <c r="I2997" s="521">
        <f>G2997</f>
        <v/>
      </c>
      <c r="K2997" s="521">
        <f>I2997-G2997</f>
        <v/>
      </c>
      <c r="M2997" s="522" t="inlineStr">
        <is>
          <t>202001146</t>
        </is>
      </c>
      <c r="N2997" s="522" t="inlineStr"/>
      <c r="O2997" s="521">
        <f>M2997=N2997</f>
        <v/>
      </c>
      <c r="P2997" s="521">
        <f>AND(MONTH(F2997)=MONTH(S2997), YEAR(F2997)=YEAR(S2997))</f>
        <v/>
      </c>
      <c r="Q2997" s="521">
        <f>U2997="L001-901905215"</f>
        <v/>
      </c>
      <c r="R2997" s="556">
        <f>G2997-W2997</f>
        <v/>
      </c>
      <c r="S2997" s="521" t="n"/>
      <c r="T2997" s="522" t="n"/>
      <c r="U2997" s="522" t="n"/>
      <c r="V2997" s="522" t="n"/>
      <c r="W2997" s="521" t="n"/>
    </row>
    <row r="2998">
      <c r="A2998" s="521" t="n">
        <v>2990</v>
      </c>
      <c r="B2998" s="522" t="n"/>
      <c r="C2998" s="522" t="inlineStr">
        <is>
          <t>កំពង់ផែស្វយ័តភ្នំពេញ "ក.ស.ភ"</t>
        </is>
      </c>
      <c r="D2998" s="522" t="inlineStr">
        <is>
          <t>L001-100044999</t>
        </is>
      </c>
      <c r="E2998" s="521" t="inlineStr">
        <is>
          <t>INV20200944118</t>
        </is>
      </c>
      <c r="F2998" s="523" t="n">
        <v>44089</v>
      </c>
      <c r="G2998" s="556" t="n">
        <v>19520</v>
      </c>
      <c r="I2998" s="521">
        <f>G2998</f>
        <v/>
      </c>
      <c r="K2998" s="521">
        <f>I2998-G2998</f>
        <v/>
      </c>
      <c r="M2998" s="522" t="inlineStr">
        <is>
          <t>INV20200944118</t>
        </is>
      </c>
      <c r="N2998" s="522" t="inlineStr"/>
      <c r="O2998" s="521">
        <f>M2998=N2998</f>
        <v/>
      </c>
      <c r="P2998" s="521">
        <f>AND(MONTH(F2998)=MONTH(S2998), YEAR(F2998)=YEAR(S2998))</f>
        <v/>
      </c>
      <c r="Q2998" s="521">
        <f>U2998="L001-901905215"</f>
        <v/>
      </c>
      <c r="R2998" s="556">
        <f>G2998-W2998</f>
        <v/>
      </c>
      <c r="S2998" s="521" t="n"/>
      <c r="T2998" s="522" t="n"/>
      <c r="U2998" s="522" t="n"/>
      <c r="V2998" s="522" t="n"/>
      <c r="W2998" s="521" t="n"/>
    </row>
    <row r="2999">
      <c r="A2999" s="521" t="n">
        <v>2991</v>
      </c>
      <c r="B2999" s="522" t="n"/>
      <c r="C2999" s="522" t="inlineStr">
        <is>
          <t>ស៊ីងហ្គាពួរ កាតុង (ខេមបូឌា)</t>
        </is>
      </c>
      <c r="D2999" s="522" t="inlineStr">
        <is>
          <t>L001-100121322</t>
        </is>
      </c>
      <c r="E2999" s="521" t="inlineStr">
        <is>
          <t>V0014343</t>
        </is>
      </c>
      <c r="F2999" s="523" t="n">
        <v>44093</v>
      </c>
      <c r="G2999" s="556" t="n">
        <v>24416</v>
      </c>
      <c r="I2999" s="521">
        <f>G2999</f>
        <v/>
      </c>
      <c r="K2999" s="521">
        <f>I2999-G2999</f>
        <v/>
      </c>
      <c r="M2999" s="522" t="inlineStr">
        <is>
          <t>V0014343</t>
        </is>
      </c>
      <c r="N2999" s="522" t="inlineStr">
        <is>
          <t>V0014343</t>
        </is>
      </c>
      <c r="O2999" s="521">
        <f>M2999=N2999</f>
        <v/>
      </c>
      <c r="P2999" s="521">
        <f>AND(MONTH(F2999)=MONTH(S2999), YEAR(F2999)=YEAR(S2999))</f>
        <v/>
      </c>
      <c r="Q2999" s="521">
        <f>U2999="L001-901905215"</f>
        <v/>
      </c>
      <c r="R2999" s="556">
        <f>G2999-W2999</f>
        <v/>
      </c>
      <c r="S2999" s="523" t="n">
        <v>44089</v>
      </c>
      <c r="T2999" s="522" t="inlineStr">
        <is>
          <t>V0014343</t>
        </is>
      </c>
      <c r="U2999" s="522" t="inlineStr">
        <is>
          <t>L001-901905215</t>
        </is>
      </c>
      <c r="V2999" s="522" t="inlineStr">
        <is>
          <t>វីអ៊ីស៊ិន (ខេមបូឌា) អ៊ិនដាសស្ទ្រី ឯ.ក</t>
        </is>
      </c>
      <c r="W2999" s="556" t="n">
        <v>24477</v>
      </c>
    </row>
    <row r="3000">
      <c r="A3000" s="521" t="n">
        <v>2992</v>
      </c>
      <c r="B3000" s="522" t="n"/>
      <c r="C3000" s="522" t="inlineStr">
        <is>
          <t>អ៊ិចស្ពែឌីធ័រ ខេមបូឌា អិលធីឌី</t>
        </is>
      </c>
      <c r="D3000" s="522" t="inlineStr">
        <is>
          <t>L001-100045898</t>
        </is>
      </c>
      <c r="E3000" s="521" t="inlineStr">
        <is>
          <t>TI0183541</t>
        </is>
      </c>
      <c r="F3000" s="523" t="n">
        <v>44088</v>
      </c>
      <c r="G3000" s="556" t="n">
        <v>124488</v>
      </c>
      <c r="I3000" s="521">
        <f>G3000</f>
        <v/>
      </c>
      <c r="K3000" s="521">
        <f>I3000-G3000</f>
        <v/>
      </c>
      <c r="M3000" s="522" t="inlineStr">
        <is>
          <t>TI0183541</t>
        </is>
      </c>
      <c r="N3000" s="522" t="inlineStr">
        <is>
          <t>TI0183541</t>
        </is>
      </c>
      <c r="O3000" s="521">
        <f>M3000=N3000</f>
        <v/>
      </c>
      <c r="P3000" s="521">
        <f>AND(MONTH(F3000)=MONTH(S3000), YEAR(F3000)=YEAR(S3000))</f>
        <v/>
      </c>
      <c r="Q3000" s="521">
        <f>U3000="L001-901905215"</f>
        <v/>
      </c>
      <c r="R3000" s="556">
        <f>G3000-W3000</f>
        <v/>
      </c>
      <c r="S3000" s="523" t="n">
        <v>44088</v>
      </c>
      <c r="T3000" s="522" t="inlineStr">
        <is>
          <t>TI-0183541</t>
        </is>
      </c>
      <c r="U3000" s="522" t="inlineStr">
        <is>
          <t>L001-901905215</t>
        </is>
      </c>
      <c r="V3000" s="522" t="inlineStr">
        <is>
          <t>វីអ៊ីស៊ិន (ខេមបូឌា) អ៊ិនដាសស្ទ្រី ឯ.ក</t>
        </is>
      </c>
      <c r="W3000" s="556" t="n">
        <v>124488</v>
      </c>
    </row>
    <row r="3001">
      <c r="A3001" s="521" t="n">
        <v>2993</v>
      </c>
      <c r="B3001" s="522" t="n"/>
      <c r="C3001" s="522" t="inlineStr">
        <is>
          <t>អ៊ិចស្ពែឌីធ័រ ខេមបូឌា អិលធីឌី</t>
        </is>
      </c>
      <c r="D3001" s="522" t="inlineStr">
        <is>
          <t>L001-100045898</t>
        </is>
      </c>
      <c r="E3001" s="521" t="inlineStr">
        <is>
          <t>TI0183484</t>
        </is>
      </c>
      <c r="F3001" s="523" t="n">
        <v>44088</v>
      </c>
      <c r="G3001" s="556" t="n">
        <v>124961</v>
      </c>
      <c r="I3001" s="521">
        <f>G3001</f>
        <v/>
      </c>
      <c r="K3001" s="521">
        <f>I3001-G3001</f>
        <v/>
      </c>
      <c r="M3001" s="522" t="inlineStr">
        <is>
          <t>TI0183484</t>
        </is>
      </c>
      <c r="N3001" s="522" t="inlineStr">
        <is>
          <t>TI0183484</t>
        </is>
      </c>
      <c r="O3001" s="521">
        <f>M3001=N3001</f>
        <v/>
      </c>
      <c r="P3001" s="521">
        <f>AND(MONTH(F3001)=MONTH(S3001), YEAR(F3001)=YEAR(S3001))</f>
        <v/>
      </c>
      <c r="Q3001" s="521">
        <f>U3001="L001-901905215"</f>
        <v/>
      </c>
      <c r="R3001" s="556">
        <f>G3001-W3001</f>
        <v/>
      </c>
      <c r="S3001" s="523" t="n">
        <v>44088</v>
      </c>
      <c r="T3001" s="522" t="inlineStr">
        <is>
          <t>TI-0183484</t>
        </is>
      </c>
      <c r="U3001" s="522" t="inlineStr">
        <is>
          <t>L001-901905215</t>
        </is>
      </c>
      <c r="V3001" s="522" t="inlineStr">
        <is>
          <t>វីអ៊ីស៊ិន (ខេមបូឌា) អ៊ិនដាសស្ទ្រី ឯ.ក</t>
        </is>
      </c>
      <c r="W3001" s="556" t="n">
        <v>124979</v>
      </c>
    </row>
    <row r="3002">
      <c r="A3002" s="521" t="n">
        <v>2994</v>
      </c>
      <c r="B3002" s="522" t="n"/>
      <c r="C3002" s="522" t="inlineStr">
        <is>
          <t>អ៊ិចស្ពែឌីធ័រ ខេមបូឌា អិលធីឌី</t>
        </is>
      </c>
      <c r="D3002" s="522" t="inlineStr">
        <is>
          <t>L001-100045898</t>
        </is>
      </c>
      <c r="E3002" s="521" t="inlineStr">
        <is>
          <t>TI0183481</t>
        </is>
      </c>
      <c r="F3002" s="523" t="n">
        <v>44088</v>
      </c>
      <c r="G3002" s="556" t="n">
        <v>166793</v>
      </c>
      <c r="I3002" s="521">
        <f>G3002</f>
        <v/>
      </c>
      <c r="K3002" s="521">
        <f>I3002-G3002</f>
        <v/>
      </c>
      <c r="M3002" s="522" t="inlineStr">
        <is>
          <t>TI0183481</t>
        </is>
      </c>
      <c r="N3002" s="522" t="inlineStr">
        <is>
          <t>TI0183481</t>
        </is>
      </c>
      <c r="O3002" s="521">
        <f>M3002=N3002</f>
        <v/>
      </c>
      <c r="P3002" s="521">
        <f>AND(MONTH(F3002)=MONTH(S3002), YEAR(F3002)=YEAR(S3002))</f>
        <v/>
      </c>
      <c r="Q3002" s="521">
        <f>U3002="L001-901905215"</f>
        <v/>
      </c>
      <c r="R3002" s="556">
        <f>G3002-W3002</f>
        <v/>
      </c>
      <c r="S3002" s="523" t="n">
        <v>44088</v>
      </c>
      <c r="T3002" s="522" t="inlineStr">
        <is>
          <t>TI-0183481</t>
        </is>
      </c>
      <c r="U3002" s="522" t="inlineStr">
        <is>
          <t>L001-901905215</t>
        </is>
      </c>
      <c r="V3002" s="522" t="inlineStr">
        <is>
          <t>វីអ៊ីស៊ិន (ខេមបូឌា) អ៊ិនដាសស្ទ្រី ឯ.ក</t>
        </is>
      </c>
      <c r="W3002" s="556" t="n">
        <v>166789</v>
      </c>
    </row>
    <row r="3003">
      <c r="A3003" s="521" t="n">
        <v>2995</v>
      </c>
      <c r="B3003" s="522" t="n"/>
      <c r="C3003" s="522" t="inlineStr">
        <is>
          <t>អ៊ិចស្ពែឌីធ័រ ខេមបូឌា អិលធីឌី</t>
        </is>
      </c>
      <c r="D3003" s="522" t="inlineStr">
        <is>
          <t>L001-100045898</t>
        </is>
      </c>
      <c r="E3003" s="521" t="inlineStr">
        <is>
          <t>TI0183476</t>
        </is>
      </c>
      <c r="F3003" s="523" t="n">
        <v>44088</v>
      </c>
      <c r="G3003" s="556" t="n">
        <v>157773</v>
      </c>
      <c r="I3003" s="521">
        <f>G3003</f>
        <v/>
      </c>
      <c r="K3003" s="521">
        <f>I3003-G3003</f>
        <v/>
      </c>
      <c r="M3003" s="522" t="inlineStr">
        <is>
          <t>TI0183476</t>
        </is>
      </c>
      <c r="N3003" s="522" t="inlineStr">
        <is>
          <t>TI0183476</t>
        </is>
      </c>
      <c r="O3003" s="521">
        <f>M3003=N3003</f>
        <v/>
      </c>
      <c r="P3003" s="521">
        <f>AND(MONTH(F3003)=MONTH(S3003), YEAR(F3003)=YEAR(S3003))</f>
        <v/>
      </c>
      <c r="Q3003" s="521">
        <f>U3003="L001-901905215"</f>
        <v/>
      </c>
      <c r="R3003" s="556">
        <f>G3003-W3003</f>
        <v/>
      </c>
      <c r="S3003" s="523" t="n">
        <v>44088</v>
      </c>
      <c r="T3003" s="522" t="inlineStr">
        <is>
          <t>TI-0183476</t>
        </is>
      </c>
      <c r="U3003" s="522" t="inlineStr">
        <is>
          <t>L001-901905215</t>
        </is>
      </c>
      <c r="V3003" s="522" t="inlineStr">
        <is>
          <t>វីអ៊ីស៊ិន (ខេមបូឌា) អ៊ិនដាសស្ទ្រី ឯ.ក</t>
        </is>
      </c>
      <c r="W3003" s="556" t="n">
        <v>157780</v>
      </c>
    </row>
    <row r="3004">
      <c r="A3004" s="521" t="n">
        <v>2996</v>
      </c>
      <c r="B3004" s="522" t="n"/>
      <c r="C3004" s="522" t="inlineStr">
        <is>
          <t>ស៊ីងហ្គាពួរ កាតុង (ខេមបូឌា)</t>
        </is>
      </c>
      <c r="D3004" s="522" t="inlineStr">
        <is>
          <t>L001-100121322</t>
        </is>
      </c>
      <c r="E3004" s="521" t="inlineStr">
        <is>
          <t>V0014337</t>
        </is>
      </c>
      <c r="F3004" s="523" t="n">
        <v>44088</v>
      </c>
      <c r="G3004" s="556" t="n">
        <v>502585</v>
      </c>
      <c r="I3004" s="521">
        <f>G3004</f>
        <v/>
      </c>
      <c r="K3004" s="521">
        <f>I3004-G3004</f>
        <v/>
      </c>
      <c r="M3004" s="522" t="inlineStr">
        <is>
          <t>V0014337</t>
        </is>
      </c>
      <c r="N3004" s="522" t="inlineStr">
        <is>
          <t>V0014337</t>
        </is>
      </c>
      <c r="O3004" s="521">
        <f>M3004=N3004</f>
        <v/>
      </c>
      <c r="P3004" s="521">
        <f>AND(MONTH(F3004)=MONTH(S3004), YEAR(F3004)=YEAR(S3004))</f>
        <v/>
      </c>
      <c r="Q3004" s="521">
        <f>U3004="L001-901905215"</f>
        <v/>
      </c>
      <c r="R3004" s="556">
        <f>G3004-W3004</f>
        <v/>
      </c>
      <c r="S3004" s="523" t="n">
        <v>44088</v>
      </c>
      <c r="T3004" s="522" t="inlineStr">
        <is>
          <t>V0014337</t>
        </is>
      </c>
      <c r="U3004" s="522" t="inlineStr">
        <is>
          <t>L001-901905215</t>
        </is>
      </c>
      <c r="V3004" s="522" t="inlineStr">
        <is>
          <t>វីអ៊ីស៊ិន (ខេមបូឌា) អ៊ិនដាសស្ទ្រី ឯ.ក</t>
        </is>
      </c>
      <c r="W3004" s="556" t="n">
        <v>503200</v>
      </c>
    </row>
    <row r="3005">
      <c r="A3005" s="521" t="n">
        <v>2997</v>
      </c>
      <c r="B3005" s="522" t="n"/>
      <c r="C3005" s="522" t="inlineStr">
        <is>
          <t>អ៊ីជីអេហ្វ ឡូជីស្ទីក ខូ អិលធីឌី</t>
        </is>
      </c>
      <c r="D3005" s="522" t="inlineStr">
        <is>
          <t>L001-901501877</t>
        </is>
      </c>
      <c r="E3005" s="521" t="inlineStr">
        <is>
          <t>2006160</t>
        </is>
      </c>
      <c r="F3005" s="523" t="n">
        <v>44086</v>
      </c>
      <c r="G3005" s="556" t="n">
        <v>615000</v>
      </c>
      <c r="I3005" s="521">
        <f>G3005</f>
        <v/>
      </c>
      <c r="K3005" s="521">
        <f>I3005-G3005</f>
        <v/>
      </c>
      <c r="M3005" s="522" t="inlineStr">
        <is>
          <t>2006160</t>
        </is>
      </c>
      <c r="N3005" s="522" t="inlineStr">
        <is>
          <t>2006160</t>
        </is>
      </c>
      <c r="O3005" s="521">
        <f>M3005=N3005</f>
        <v/>
      </c>
      <c r="P3005" s="521">
        <f>AND(MONTH(F3005)=MONTH(S3005), YEAR(F3005)=YEAR(S3005))</f>
        <v/>
      </c>
      <c r="Q3005" s="521">
        <f>U3005="L001-901905215"</f>
        <v/>
      </c>
      <c r="R3005" s="556">
        <f>G3005-W3005</f>
        <v/>
      </c>
      <c r="S3005" s="523" t="n">
        <v>44086</v>
      </c>
      <c r="T3005" s="522" t="inlineStr">
        <is>
          <t>2006160</t>
        </is>
      </c>
      <c r="U3005" s="522" t="inlineStr">
        <is>
          <t>L001-901905215</t>
        </is>
      </c>
      <c r="V3005" s="522" t="inlineStr">
        <is>
          <t>វីអ៊ីស៊ិន (ខេមបូឌា) អ៊ិនដាសស្ទ្រី ឯ.ក</t>
        </is>
      </c>
      <c r="W3005" s="556" t="n">
        <v>615000</v>
      </c>
    </row>
    <row r="3006">
      <c r="A3006" s="521" t="n">
        <v>2998</v>
      </c>
      <c r="B3006" s="522" t="n"/>
      <c r="C3006" s="522" t="inlineStr">
        <is>
          <t>អេវើរហ្គ្រីន ស៊ីបភីង សឺវីស (ខេមបូឌា) ឯ.ក</t>
        </is>
      </c>
      <c r="D3006" s="522" t="inlineStr">
        <is>
          <t>L001-901705421</t>
        </is>
      </c>
      <c r="E3006" s="521" t="inlineStr">
        <is>
          <t>44086</t>
        </is>
      </c>
      <c r="F3006" s="523" t="n">
        <v>44086</v>
      </c>
      <c r="G3006" s="556" t="n">
        <v>92250</v>
      </c>
      <c r="I3006" s="521">
        <f>G3006</f>
        <v/>
      </c>
      <c r="K3006" s="521">
        <f>I3006-G3006</f>
        <v/>
      </c>
      <c r="M3006" s="522" t="inlineStr">
        <is>
          <t>44086</t>
        </is>
      </c>
      <c r="N3006" s="522" t="inlineStr"/>
      <c r="O3006" s="521">
        <f>M3006=N3006</f>
        <v/>
      </c>
      <c r="P3006" s="521">
        <f>AND(MONTH(F3006)=MONTH(S3006), YEAR(F3006)=YEAR(S3006))</f>
        <v/>
      </c>
      <c r="Q3006" s="521">
        <f>U3006="L001-901905215"</f>
        <v/>
      </c>
      <c r="R3006" s="556">
        <f>G3006-W3006</f>
        <v/>
      </c>
      <c r="S3006" s="521" t="n"/>
      <c r="T3006" s="522" t="n"/>
      <c r="U3006" s="522" t="n"/>
      <c r="V3006" s="522" t="n"/>
      <c r="W3006" s="521" t="n"/>
    </row>
    <row r="3007">
      <c r="A3007" s="521" t="n">
        <v>2999</v>
      </c>
      <c r="B3007" s="522" t="n"/>
      <c r="C3007" s="522" t="inlineStr">
        <is>
          <t>ឆាយ ដា ឡូយីស្ទីក</t>
        </is>
      </c>
      <c r="D3007" s="522" t="inlineStr">
        <is>
          <t>L001-100063098</t>
        </is>
      </c>
      <c r="E3007" s="521" t="inlineStr">
        <is>
          <t>2009008152</t>
        </is>
      </c>
      <c r="F3007" s="523" t="n">
        <v>44086</v>
      </c>
      <c r="G3007" s="556" t="n">
        <v>89790</v>
      </c>
      <c r="I3007" s="521">
        <f>G3007</f>
        <v/>
      </c>
      <c r="K3007" s="521">
        <f>I3007-G3007</f>
        <v/>
      </c>
      <c r="M3007" s="522" t="inlineStr">
        <is>
          <t>2009008152</t>
        </is>
      </c>
      <c r="N3007" s="522" t="inlineStr">
        <is>
          <t>2009008152</t>
        </is>
      </c>
      <c r="O3007" s="521">
        <f>M3007=N3007</f>
        <v/>
      </c>
      <c r="P3007" s="521">
        <f>AND(MONTH(F3007)=MONTH(S3007), YEAR(F3007)=YEAR(S3007))</f>
        <v/>
      </c>
      <c r="Q3007" s="521">
        <f>U3007="L001-901905215"</f>
        <v/>
      </c>
      <c r="R3007" s="556">
        <f>G3007-W3007</f>
        <v/>
      </c>
      <c r="S3007" s="523" t="n">
        <v>44086</v>
      </c>
      <c r="T3007" s="522" t="inlineStr">
        <is>
          <t>2009008152</t>
        </is>
      </c>
      <c r="U3007" s="522" t="inlineStr">
        <is>
          <t>L001-901905215</t>
        </is>
      </c>
      <c r="V3007" s="522" t="inlineStr">
        <is>
          <t>វីអ៊ីស៊ិន (ខេមបូឌា) អ៊ិនដាសស្ទ្រី ឯ.ក</t>
        </is>
      </c>
      <c r="W3007" s="556" t="n">
        <v>89790</v>
      </c>
    </row>
    <row r="3008">
      <c r="A3008" s="521" t="n">
        <v>3000</v>
      </c>
      <c r="B3008" s="522" t="n"/>
      <c r="C3008" s="522" t="inlineStr">
        <is>
          <t>ឆាយ ដា ឡូយីស្ទីក</t>
        </is>
      </c>
      <c r="D3008" s="522" t="inlineStr">
        <is>
          <t>L001-100063098</t>
        </is>
      </c>
      <c r="E3008" s="521" t="inlineStr">
        <is>
          <t>2009008151</t>
        </is>
      </c>
      <c r="F3008" s="523" t="n">
        <v>44086</v>
      </c>
      <c r="G3008" s="556" t="n">
        <v>89790</v>
      </c>
      <c r="I3008" s="521">
        <f>G3008</f>
        <v/>
      </c>
      <c r="K3008" s="521">
        <f>I3008-G3008</f>
        <v/>
      </c>
      <c r="M3008" s="522" t="inlineStr">
        <is>
          <t>2009008151</t>
        </is>
      </c>
      <c r="N3008" s="522" t="inlineStr">
        <is>
          <t>2009008151</t>
        </is>
      </c>
      <c r="O3008" s="521">
        <f>M3008=N3008</f>
        <v/>
      </c>
      <c r="P3008" s="521">
        <f>AND(MONTH(F3008)=MONTH(S3008), YEAR(F3008)=YEAR(S3008))</f>
        <v/>
      </c>
      <c r="Q3008" s="521">
        <f>U3008="L001-901905215"</f>
        <v/>
      </c>
      <c r="R3008" s="556">
        <f>G3008-W3008</f>
        <v/>
      </c>
      <c r="S3008" s="523" t="n">
        <v>44086</v>
      </c>
      <c r="T3008" s="522" t="inlineStr">
        <is>
          <t>2009008151</t>
        </is>
      </c>
      <c r="U3008" s="522" t="inlineStr">
        <is>
          <t>L001-901905215</t>
        </is>
      </c>
      <c r="V3008" s="522" t="inlineStr">
        <is>
          <t>វីអ៊ីស៊ិន (ខេមបូឌា) អ៊ិនដាសស្ទ្រី ឯ.ក</t>
        </is>
      </c>
      <c r="W3008" s="556" t="n">
        <v>89790</v>
      </c>
    </row>
    <row r="3009">
      <c r="A3009" s="521" t="n">
        <v>3001</v>
      </c>
      <c r="B3009" s="522" t="n"/>
      <c r="C3009" s="522" t="inlineStr">
        <is>
          <t>ស៊ីងហ្គាពួរ កាតុង (ខេមបូឌា)</t>
        </is>
      </c>
      <c r="D3009" s="522" t="inlineStr">
        <is>
          <t>L001-100121322</t>
        </is>
      </c>
      <c r="E3009" s="521" t="inlineStr">
        <is>
          <t>V0014332</t>
        </is>
      </c>
      <c r="F3009" s="523" t="n">
        <v>44086</v>
      </c>
      <c r="G3009" s="556" t="n">
        <v>713142</v>
      </c>
      <c r="I3009" s="521">
        <f>G3009</f>
        <v/>
      </c>
      <c r="K3009" s="521">
        <f>I3009-G3009</f>
        <v/>
      </c>
      <c r="M3009" s="522" t="inlineStr">
        <is>
          <t>V0014332</t>
        </is>
      </c>
      <c r="N3009" s="522" t="inlineStr">
        <is>
          <t>V0014332</t>
        </is>
      </c>
      <c r="O3009" s="521">
        <f>M3009=N3009</f>
        <v/>
      </c>
      <c r="P3009" s="521">
        <f>AND(MONTH(F3009)=MONTH(S3009), YEAR(F3009)=YEAR(S3009))</f>
        <v/>
      </c>
      <c r="Q3009" s="521">
        <f>U3009="L001-901905215"</f>
        <v/>
      </c>
      <c r="R3009" s="556">
        <f>G3009-W3009</f>
        <v/>
      </c>
      <c r="S3009" s="523" t="n">
        <v>44086</v>
      </c>
      <c r="T3009" s="522" t="inlineStr">
        <is>
          <t>V0014332</t>
        </is>
      </c>
      <c r="U3009" s="522" t="inlineStr">
        <is>
          <t>L001-901905215</t>
        </is>
      </c>
      <c r="V3009" s="522" t="inlineStr">
        <is>
          <t>វីអ៊ីស៊ិន (ខេមបូឌា) អ៊ិនដាសស្ទ្រី ឯ.ក</t>
        </is>
      </c>
      <c r="W3009" s="556" t="n">
        <v>713143</v>
      </c>
    </row>
    <row r="3010">
      <c r="A3010" s="521" t="n">
        <v>3002</v>
      </c>
      <c r="B3010" s="522" t="n"/>
      <c r="C3010" s="522" t="inlineStr">
        <is>
          <t>កំពង់ផែស្វយ័តក្រុងព្រះសីហនុ</t>
        </is>
      </c>
      <c r="D3010" s="522" t="inlineStr">
        <is>
          <t>L001-100044638</t>
        </is>
      </c>
      <c r="E3010" s="521" t="inlineStr">
        <is>
          <t>134539</t>
        </is>
      </c>
      <c r="F3010" s="523" t="n">
        <v>44085</v>
      </c>
      <c r="G3010" s="556" t="n">
        <v>59040</v>
      </c>
      <c r="I3010" s="521">
        <f>G3010</f>
        <v/>
      </c>
      <c r="K3010" s="521">
        <f>I3010-G3010</f>
        <v/>
      </c>
      <c r="M3010" s="522" t="inlineStr">
        <is>
          <t>134539</t>
        </is>
      </c>
      <c r="N3010" s="522" t="inlineStr"/>
      <c r="O3010" s="521">
        <f>M3010=N3010</f>
        <v/>
      </c>
      <c r="P3010" s="521">
        <f>AND(MONTH(F3010)=MONTH(S3010), YEAR(F3010)=YEAR(S3010))</f>
        <v/>
      </c>
      <c r="Q3010" s="521">
        <f>U3010="L001-901905215"</f>
        <v/>
      </c>
      <c r="R3010" s="556">
        <f>G3010-W3010</f>
        <v/>
      </c>
      <c r="S3010" s="521" t="n"/>
      <c r="T3010" s="522" t="n"/>
      <c r="U3010" s="522" t="n"/>
      <c r="V3010" s="522" t="n"/>
      <c r="W3010" s="521" t="n"/>
    </row>
    <row r="3011">
      <c r="A3011" s="521" t="n">
        <v>3003</v>
      </c>
      <c r="B3011" s="522" t="n"/>
      <c r="C3011" s="522" t="inlineStr">
        <is>
          <t>អ៊ិនធើថេក ថេសធីង សឺវីស (ខេមបូឌា) ខមភេនី លីមីធីត</t>
        </is>
      </c>
      <c r="D3011" s="522" t="inlineStr">
        <is>
          <t>L001-100045707</t>
        </is>
      </c>
      <c r="E3011" s="521" t="inlineStr">
        <is>
          <t>KHM20200009757</t>
        </is>
      </c>
      <c r="F3011" s="523" t="n">
        <v>44085</v>
      </c>
      <c r="G3011" s="556" t="n">
        <v>694950</v>
      </c>
      <c r="I3011" s="521">
        <f>G3011</f>
        <v/>
      </c>
      <c r="K3011" s="521">
        <f>I3011-G3011</f>
        <v/>
      </c>
      <c r="M3011" s="522" t="inlineStr">
        <is>
          <t>KHM20200009757</t>
        </is>
      </c>
      <c r="N3011" s="522" t="inlineStr"/>
      <c r="O3011" s="521">
        <f>M3011=N3011</f>
        <v/>
      </c>
      <c r="P3011" s="521">
        <f>AND(MONTH(F3011)=MONTH(S3011), YEAR(F3011)=YEAR(S3011))</f>
        <v/>
      </c>
      <c r="Q3011" s="521">
        <f>U3011="L001-901905215"</f>
        <v/>
      </c>
      <c r="R3011" s="556">
        <f>G3011-W3011</f>
        <v/>
      </c>
      <c r="S3011" s="521" t="n"/>
      <c r="T3011" s="522" t="n"/>
      <c r="U3011" s="522" t="n"/>
      <c r="V3011" s="522" t="n"/>
      <c r="W3011" s="521" t="n"/>
    </row>
    <row r="3012">
      <c r="A3012" s="521" t="n">
        <v>3004</v>
      </c>
      <c r="B3012" s="522" t="n"/>
      <c r="C3012" s="522" t="inlineStr">
        <is>
          <t>អេវើរហ្គ្រីន ស៊ីបភីង សឺវីស (ខេមបូឌា) ឯ.ក</t>
        </is>
      </c>
      <c r="D3012" s="522" t="inlineStr">
        <is>
          <t>L001-901705421</t>
        </is>
      </c>
      <c r="E3012" s="521" t="inlineStr">
        <is>
          <t>IY20006482</t>
        </is>
      </c>
      <c r="F3012" s="523" t="n">
        <v>44084</v>
      </c>
      <c r="G3012" s="556" t="n">
        <v>182450</v>
      </c>
      <c r="I3012" s="521">
        <f>G3012</f>
        <v/>
      </c>
      <c r="K3012" s="521">
        <f>I3012-G3012</f>
        <v/>
      </c>
      <c r="M3012" s="522" t="inlineStr">
        <is>
          <t>IY20006482</t>
        </is>
      </c>
      <c r="N3012" s="522" t="inlineStr">
        <is>
          <t>IY20006482</t>
        </is>
      </c>
      <c r="O3012" s="521">
        <f>M3012=N3012</f>
        <v/>
      </c>
      <c r="P3012" s="521">
        <f>AND(MONTH(F3012)=MONTH(S3012), YEAR(F3012)=YEAR(S3012))</f>
        <v/>
      </c>
      <c r="Q3012" s="521">
        <f>U3012="L001-901905215"</f>
        <v/>
      </c>
      <c r="R3012" s="556">
        <f>G3012-W3012</f>
        <v/>
      </c>
      <c r="S3012" s="523" t="n">
        <v>44084</v>
      </c>
      <c r="T3012" s="522" t="inlineStr">
        <is>
          <t>IY20006482</t>
        </is>
      </c>
      <c r="U3012" s="522" t="inlineStr">
        <is>
          <t>L001-901905215</t>
        </is>
      </c>
      <c r="V3012" s="522" t="inlineStr">
        <is>
          <t>វីអ៊ីស៊ិន (ខេមបូឌា) អ៊ិនដាសស្ទ្រី ឯ.ក</t>
        </is>
      </c>
      <c r="W3012" s="556" t="n">
        <v>182450</v>
      </c>
    </row>
    <row r="3013">
      <c r="A3013" s="521" t="n">
        <v>3005</v>
      </c>
      <c r="B3013" s="522" t="n"/>
      <c r="C3013" s="522" t="inlineStr">
        <is>
          <t>ប្យួរ៉ូ វេរីតាស (ខេមបូឌា) លីមីធីត</t>
        </is>
      </c>
      <c r="D3013" s="522" t="inlineStr">
        <is>
          <t>L001-107024462</t>
        </is>
      </c>
      <c r="E3013" s="521" t="inlineStr">
        <is>
          <t>59008550</t>
        </is>
      </c>
      <c r="F3013" s="523" t="n">
        <v>44084</v>
      </c>
      <c r="G3013" s="556" t="n">
        <v>61500</v>
      </c>
      <c r="I3013" s="521">
        <f>G3013</f>
        <v/>
      </c>
      <c r="K3013" s="521">
        <f>I3013-G3013</f>
        <v/>
      </c>
      <c r="M3013" s="522" t="inlineStr">
        <is>
          <t>59008550</t>
        </is>
      </c>
      <c r="N3013" s="522" t="inlineStr">
        <is>
          <t>59008550</t>
        </is>
      </c>
      <c r="O3013" s="521">
        <f>M3013=N3013</f>
        <v/>
      </c>
      <c r="P3013" s="521">
        <f>AND(MONTH(F3013)=MONTH(S3013), YEAR(F3013)=YEAR(S3013))</f>
        <v/>
      </c>
      <c r="Q3013" s="521">
        <f>U3013="L001-901905215"</f>
        <v/>
      </c>
      <c r="R3013" s="556">
        <f>G3013-W3013</f>
        <v/>
      </c>
      <c r="S3013" s="523" t="n">
        <v>44084</v>
      </c>
      <c r="T3013" s="522" t="inlineStr">
        <is>
          <t>59008550</t>
        </is>
      </c>
      <c r="U3013" s="522" t="inlineStr">
        <is>
          <t>L001-901905215</t>
        </is>
      </c>
      <c r="V3013" s="522" t="inlineStr">
        <is>
          <t>វីអ៊ីស៊ិន (ខេមបូឌា) អ៊ិនដាសស្ទ្រី ឯ.ក</t>
        </is>
      </c>
      <c r="W3013" s="556" t="n">
        <v>61500</v>
      </c>
    </row>
    <row r="3014">
      <c r="A3014" s="521" t="n">
        <v>3006</v>
      </c>
      <c r="B3014" s="522" t="n"/>
      <c r="C3014" s="522" t="inlineStr">
        <is>
          <t>អ៊ីជីអេហ្វ ឡូជីស្ទីក ខូ អិលធីឌី</t>
        </is>
      </c>
      <c r="D3014" s="522" t="inlineStr">
        <is>
          <t>L001-901501877</t>
        </is>
      </c>
      <c r="E3014" s="521" t="inlineStr">
        <is>
          <t>2006099</t>
        </is>
      </c>
      <c r="F3014" s="523" t="n">
        <v>44083</v>
      </c>
      <c r="G3014" s="556" t="n">
        <v>135366</v>
      </c>
      <c r="I3014" s="521">
        <f>G3014</f>
        <v/>
      </c>
      <c r="K3014" s="521">
        <f>I3014-G3014</f>
        <v/>
      </c>
      <c r="M3014" s="522" t="inlineStr">
        <is>
          <t>2006099</t>
        </is>
      </c>
      <c r="N3014" s="522" t="inlineStr">
        <is>
          <t>2006099</t>
        </is>
      </c>
      <c r="O3014" s="521">
        <f>M3014=N3014</f>
        <v/>
      </c>
      <c r="P3014" s="521">
        <f>AND(MONTH(F3014)=MONTH(S3014), YEAR(F3014)=YEAR(S3014))</f>
        <v/>
      </c>
      <c r="Q3014" s="521">
        <f>U3014="L001-901905215"</f>
        <v/>
      </c>
      <c r="R3014" s="556">
        <f>G3014-W3014</f>
        <v/>
      </c>
      <c r="S3014" s="523" t="n">
        <v>44083</v>
      </c>
      <c r="T3014" s="522" t="inlineStr">
        <is>
          <t>2006099</t>
        </is>
      </c>
      <c r="U3014" s="522" t="inlineStr">
        <is>
          <t>L001-901905215</t>
        </is>
      </c>
      <c r="V3014" s="522" t="inlineStr">
        <is>
          <t>វីអ៊ីស៊ិន (ខេមបូឌា) អ៊ិនដាសស្ទ្រី ឯ.ក</t>
        </is>
      </c>
      <c r="W3014" s="556" t="n">
        <v>135366</v>
      </c>
    </row>
    <row r="3015">
      <c r="A3015" s="521" t="n">
        <v>3007</v>
      </c>
      <c r="B3015" s="522" t="n"/>
      <c r="C3015" s="522" t="inlineStr">
        <is>
          <t>អ៊ីជីអេហ្វ ឡូជីស្ទីក ខូ អិលធីឌី</t>
        </is>
      </c>
      <c r="D3015" s="522" t="inlineStr">
        <is>
          <t>L001-901501877</t>
        </is>
      </c>
      <c r="E3015" s="521" t="inlineStr">
        <is>
          <t>2006088</t>
        </is>
      </c>
      <c r="F3015" s="523" t="n">
        <v>44083</v>
      </c>
      <c r="G3015" s="556" t="n">
        <v>270732</v>
      </c>
      <c r="I3015" s="521">
        <f>G3015</f>
        <v/>
      </c>
      <c r="K3015" s="521">
        <f>I3015-G3015</f>
        <v/>
      </c>
      <c r="M3015" s="522" t="inlineStr">
        <is>
          <t>2006088</t>
        </is>
      </c>
      <c r="N3015" s="522" t="inlineStr">
        <is>
          <t>2006088</t>
        </is>
      </c>
      <c r="O3015" s="521">
        <f>M3015=N3015</f>
        <v/>
      </c>
      <c r="P3015" s="521">
        <f>AND(MONTH(F3015)=MONTH(S3015), YEAR(F3015)=YEAR(S3015))</f>
        <v/>
      </c>
      <c r="Q3015" s="521">
        <f>U3015="L001-901905215"</f>
        <v/>
      </c>
      <c r="R3015" s="556">
        <f>G3015-W3015</f>
        <v/>
      </c>
      <c r="S3015" s="523" t="n">
        <v>44083</v>
      </c>
      <c r="T3015" s="522" t="inlineStr">
        <is>
          <t>2006088</t>
        </is>
      </c>
      <c r="U3015" s="522" t="inlineStr">
        <is>
          <t>L001-901905215</t>
        </is>
      </c>
      <c r="V3015" s="522" t="inlineStr">
        <is>
          <t>វីអ៊ីស៊ិន (ខេមបូឌា) អ៊ិនដាសស្ទ្រី ឯ.ក</t>
        </is>
      </c>
      <c r="W3015" s="556" t="n">
        <v>270732</v>
      </c>
    </row>
    <row r="3016">
      <c r="A3016" s="521" t="n">
        <v>3008</v>
      </c>
      <c r="B3016" s="522" t="n"/>
      <c r="C3016" s="522" t="inlineStr">
        <is>
          <t>ប្យួរ៉ូ វេរីតាស (ខេមបូឌា) លីមីធីត</t>
        </is>
      </c>
      <c r="D3016" s="522" t="inlineStr">
        <is>
          <t>L001-107024462</t>
        </is>
      </c>
      <c r="E3016" s="521" t="inlineStr">
        <is>
          <t>59008524</t>
        </is>
      </c>
      <c r="F3016" s="523" t="n">
        <v>44082</v>
      </c>
      <c r="G3016" s="556" t="n">
        <v>61530</v>
      </c>
      <c r="I3016" s="521">
        <f>G3016</f>
        <v/>
      </c>
      <c r="K3016" s="521">
        <f>I3016-G3016</f>
        <v/>
      </c>
      <c r="M3016" s="522" t="inlineStr">
        <is>
          <t>59008524</t>
        </is>
      </c>
      <c r="N3016" s="522" t="inlineStr">
        <is>
          <t>59008524</t>
        </is>
      </c>
      <c r="O3016" s="521">
        <f>M3016=N3016</f>
        <v/>
      </c>
      <c r="P3016" s="521">
        <f>AND(MONTH(F3016)=MONTH(S3016), YEAR(F3016)=YEAR(S3016))</f>
        <v/>
      </c>
      <c r="Q3016" s="521">
        <f>U3016="L001-901905215"</f>
        <v/>
      </c>
      <c r="R3016" s="556">
        <f>G3016-W3016</f>
        <v/>
      </c>
      <c r="S3016" s="523" t="n">
        <v>44082</v>
      </c>
      <c r="T3016" s="522" t="inlineStr">
        <is>
          <t>59008524</t>
        </is>
      </c>
      <c r="U3016" s="522" t="inlineStr">
        <is>
          <t>L001-901905215</t>
        </is>
      </c>
      <c r="V3016" s="522" t="inlineStr">
        <is>
          <t>វីអ៊ីស៊ិន (ខេមបូឌា) អ៊ិនដាសស្ទ្រី ឯ.ក</t>
        </is>
      </c>
      <c r="W3016" s="556" t="n">
        <v>61530</v>
      </c>
    </row>
    <row r="3017">
      <c r="A3017" s="521" t="n">
        <v>3009</v>
      </c>
      <c r="B3017" s="522" t="n"/>
      <c r="C3017" s="522" t="inlineStr">
        <is>
          <t>អ៊ិចស្ពែឌីធ័រ ខេមបូឌា អិលធីឌី</t>
        </is>
      </c>
      <c r="D3017" s="522" t="inlineStr">
        <is>
          <t>L001-100045898</t>
        </is>
      </c>
      <c r="E3017" s="521" t="inlineStr">
        <is>
          <t>TI0183136</t>
        </is>
      </c>
      <c r="F3017" s="523" t="n">
        <v>44081</v>
      </c>
      <c r="G3017" s="556" t="n">
        <v>205667</v>
      </c>
      <c r="I3017" s="521">
        <f>G3017</f>
        <v/>
      </c>
      <c r="K3017" s="521">
        <f>I3017-G3017</f>
        <v/>
      </c>
      <c r="M3017" s="522" t="inlineStr">
        <is>
          <t>TI0183136</t>
        </is>
      </c>
      <c r="N3017" s="522" t="inlineStr">
        <is>
          <t>TI0183136</t>
        </is>
      </c>
      <c r="O3017" s="521">
        <f>M3017=N3017</f>
        <v/>
      </c>
      <c r="P3017" s="521">
        <f>AND(MONTH(F3017)=MONTH(S3017), YEAR(F3017)=YEAR(S3017))</f>
        <v/>
      </c>
      <c r="Q3017" s="521">
        <f>U3017="L001-901905215"</f>
        <v/>
      </c>
      <c r="R3017" s="556">
        <f>G3017-W3017</f>
        <v/>
      </c>
      <c r="S3017" s="523" t="n">
        <v>44081</v>
      </c>
      <c r="T3017" s="522" t="inlineStr">
        <is>
          <t>TI-0183136</t>
        </is>
      </c>
      <c r="U3017" s="522" t="inlineStr">
        <is>
          <t>L001-901905215</t>
        </is>
      </c>
      <c r="V3017" s="522" t="inlineStr">
        <is>
          <t>វីអ៊ីស៊ិន (ខេមបូឌា) អ៊ិនដាសស្ទ្រី ឯ.ក</t>
        </is>
      </c>
      <c r="W3017" s="556" t="n">
        <v>205674</v>
      </c>
    </row>
    <row r="3018">
      <c r="A3018" s="521" t="n">
        <v>3010</v>
      </c>
      <c r="B3018" s="522" t="n"/>
      <c r="C3018" s="522" t="inlineStr">
        <is>
          <t>យីងកឺ ខេម ឯ.ក</t>
        </is>
      </c>
      <c r="D3018" s="522" t="inlineStr">
        <is>
          <t>K003-901900367</t>
        </is>
      </c>
      <c r="E3018" s="521" t="inlineStr">
        <is>
          <t>YK20072</t>
        </is>
      </c>
      <c r="F3018" s="523" t="n">
        <v>44083</v>
      </c>
      <c r="G3018" s="556" t="n">
        <v>242391</v>
      </c>
      <c r="I3018" s="521">
        <f>G3018</f>
        <v/>
      </c>
      <c r="K3018" s="521">
        <f>I3018-G3018</f>
        <v/>
      </c>
      <c r="M3018" s="522" t="inlineStr">
        <is>
          <t>YK20072</t>
        </is>
      </c>
      <c r="N3018" s="522" t="inlineStr">
        <is>
          <t>YK20072</t>
        </is>
      </c>
      <c r="O3018" s="521">
        <f>M3018=N3018</f>
        <v/>
      </c>
      <c r="P3018" s="521">
        <f>AND(MONTH(F3018)=MONTH(S3018), YEAR(F3018)=YEAR(S3018))</f>
        <v/>
      </c>
      <c r="Q3018" s="521">
        <f>U3018="L001-901905215"</f>
        <v/>
      </c>
      <c r="R3018" s="556">
        <f>G3018-W3018</f>
        <v/>
      </c>
      <c r="S3018" s="523" t="n">
        <v>44081</v>
      </c>
      <c r="T3018" s="522" t="inlineStr">
        <is>
          <t>YK20-072</t>
        </is>
      </c>
      <c r="U3018" s="522" t="inlineStr">
        <is>
          <t>L001-901905215</t>
        </is>
      </c>
      <c r="V3018" s="522" t="inlineStr">
        <is>
          <t>វីអ៊ីស៊ិន (ខេមបូឌា) អ៊ិនដាសស្ទ្រី ឯ.ក</t>
        </is>
      </c>
      <c r="W3018" s="556" t="n">
        <v>242391</v>
      </c>
    </row>
    <row r="3019">
      <c r="A3019" s="521" t="n">
        <v>3011</v>
      </c>
      <c r="B3019" s="522" t="n"/>
      <c r="C3019" s="522" t="inlineStr">
        <is>
          <t>ឆាយ ដា ឡូយីស្ទីក</t>
        </is>
      </c>
      <c r="D3019" s="522" t="inlineStr">
        <is>
          <t>L001-100063098</t>
        </is>
      </c>
      <c r="E3019" s="521" t="inlineStr">
        <is>
          <t>2009007921</t>
        </is>
      </c>
      <c r="F3019" s="523" t="n">
        <v>44081</v>
      </c>
      <c r="G3019" s="556" t="n">
        <v>102140</v>
      </c>
      <c r="I3019" s="521">
        <f>G3019</f>
        <v/>
      </c>
      <c r="K3019" s="521">
        <f>I3019-G3019</f>
        <v/>
      </c>
      <c r="M3019" s="522" t="inlineStr">
        <is>
          <t>2009007921</t>
        </is>
      </c>
      <c r="N3019" s="522" t="inlineStr">
        <is>
          <t>2009007921</t>
        </is>
      </c>
      <c r="O3019" s="521">
        <f>M3019=N3019</f>
        <v/>
      </c>
      <c r="P3019" s="521">
        <f>AND(MONTH(F3019)=MONTH(S3019), YEAR(F3019)=YEAR(S3019))</f>
        <v/>
      </c>
      <c r="Q3019" s="521">
        <f>U3019="L001-901905215"</f>
        <v/>
      </c>
      <c r="R3019" s="556">
        <f>G3019-W3019</f>
        <v/>
      </c>
      <c r="S3019" s="523" t="n">
        <v>44081</v>
      </c>
      <c r="T3019" s="522" t="inlineStr">
        <is>
          <t>2009007921</t>
        </is>
      </c>
      <c r="U3019" s="522" t="inlineStr">
        <is>
          <t>L001-901905215</t>
        </is>
      </c>
      <c r="V3019" s="522" t="inlineStr">
        <is>
          <t>វីអ៊ីស៊ិន (ខេមបូឌា) អ៊ិនដាសស្ទ្រី ឯ.ក</t>
        </is>
      </c>
      <c r="W3019" s="556" t="n">
        <v>102140</v>
      </c>
    </row>
    <row r="3020">
      <c r="A3020" s="521" t="n">
        <v>3012</v>
      </c>
      <c r="B3020" s="522" t="n"/>
      <c r="C3020" s="522" t="inlineStr">
        <is>
          <t>ឆាយ ដា ឡូយីស្ទីក</t>
        </is>
      </c>
      <c r="D3020" s="522" t="inlineStr">
        <is>
          <t>L001-100063098</t>
        </is>
      </c>
      <c r="E3020" s="521" t="inlineStr">
        <is>
          <t>2009007907</t>
        </is>
      </c>
      <c r="F3020" s="523" t="n">
        <v>44081</v>
      </c>
      <c r="G3020" s="556" t="n">
        <v>77528</v>
      </c>
      <c r="I3020" s="521">
        <f>G3020</f>
        <v/>
      </c>
      <c r="K3020" s="521">
        <f>I3020-G3020</f>
        <v/>
      </c>
      <c r="M3020" s="522" t="inlineStr">
        <is>
          <t>2009007907</t>
        </is>
      </c>
      <c r="N3020" s="522" t="inlineStr">
        <is>
          <t>2009007907</t>
        </is>
      </c>
      <c r="O3020" s="521">
        <f>M3020=N3020</f>
        <v/>
      </c>
      <c r="P3020" s="521">
        <f>AND(MONTH(F3020)=MONTH(S3020), YEAR(F3020)=YEAR(S3020))</f>
        <v/>
      </c>
      <c r="Q3020" s="521">
        <f>U3020="L001-901905215"</f>
        <v/>
      </c>
      <c r="R3020" s="556">
        <f>G3020-W3020</f>
        <v/>
      </c>
      <c r="S3020" s="523" t="n">
        <v>44081</v>
      </c>
      <c r="T3020" s="522" t="inlineStr">
        <is>
          <t>2009007907</t>
        </is>
      </c>
      <c r="U3020" s="522" t="inlineStr">
        <is>
          <t>L001-901905215</t>
        </is>
      </c>
      <c r="V3020" s="522" t="inlineStr">
        <is>
          <t>វីអ៊ីស៊ិន (ខេមបូឌា) អ៊ិនដាសស្ទ្រី ឯ.ក</t>
        </is>
      </c>
      <c r="W3020" s="556" t="n">
        <v>77528</v>
      </c>
    </row>
    <row r="3021">
      <c r="A3021" s="521" t="n">
        <v>3013</v>
      </c>
      <c r="B3021" s="522" t="n"/>
      <c r="C3021" s="522" t="inlineStr">
        <is>
          <t>ប្យួរ៉ូ វេរីតាស (ខេមបូឌា) លីមីធីត</t>
        </is>
      </c>
      <c r="D3021" s="522" t="inlineStr">
        <is>
          <t>L001-107024462</t>
        </is>
      </c>
      <c r="E3021" s="521" t="inlineStr">
        <is>
          <t>59008479</t>
        </is>
      </c>
      <c r="F3021" s="523" t="n">
        <v>44079</v>
      </c>
      <c r="G3021" s="556" t="n">
        <v>61575</v>
      </c>
      <c r="I3021" s="521">
        <f>G3021</f>
        <v/>
      </c>
      <c r="K3021" s="521">
        <f>I3021-G3021</f>
        <v/>
      </c>
      <c r="M3021" s="522" t="inlineStr">
        <is>
          <t>59008479</t>
        </is>
      </c>
      <c r="N3021" s="522" t="inlineStr">
        <is>
          <t>59008479</t>
        </is>
      </c>
      <c r="O3021" s="521">
        <f>M3021=N3021</f>
        <v/>
      </c>
      <c r="P3021" s="521">
        <f>AND(MONTH(F3021)=MONTH(S3021), YEAR(F3021)=YEAR(S3021))</f>
        <v/>
      </c>
      <c r="Q3021" s="521">
        <f>U3021="L001-901905215"</f>
        <v/>
      </c>
      <c r="R3021" s="556">
        <f>G3021-W3021</f>
        <v/>
      </c>
      <c r="S3021" s="523" t="n">
        <v>44079</v>
      </c>
      <c r="T3021" s="522" t="inlineStr">
        <is>
          <t>59008479</t>
        </is>
      </c>
      <c r="U3021" s="522" t="inlineStr">
        <is>
          <t>L001-901905215</t>
        </is>
      </c>
      <c r="V3021" s="522" t="inlineStr">
        <is>
          <t>វីអ៊ីស៊ិន (ខេមបូឌា) អ៊ិនដាសស្ទ្រី ឯ.ក</t>
        </is>
      </c>
      <c r="W3021" s="556" t="n">
        <v>61575</v>
      </c>
    </row>
    <row r="3022">
      <c r="A3022" s="521" t="n">
        <v>3014</v>
      </c>
      <c r="B3022" s="522" t="n"/>
      <c r="C3022" s="522" t="inlineStr">
        <is>
          <t>កំពង់ផែស្វយ័តក្រុងព្រះសីហនុ</t>
        </is>
      </c>
      <c r="D3022" s="522" t="inlineStr">
        <is>
          <t>L001-100044638</t>
        </is>
      </c>
      <c r="E3022" s="521" t="inlineStr">
        <is>
          <t>130592</t>
        </is>
      </c>
      <c r="F3022" s="523" t="n">
        <v>44078</v>
      </c>
      <c r="G3022" s="556" t="n">
        <v>35713</v>
      </c>
      <c r="I3022" s="521">
        <f>G3022</f>
        <v/>
      </c>
      <c r="K3022" s="521">
        <f>I3022-G3022</f>
        <v/>
      </c>
      <c r="M3022" s="522" t="inlineStr">
        <is>
          <t>130592</t>
        </is>
      </c>
      <c r="N3022" s="522" t="inlineStr"/>
      <c r="O3022" s="521">
        <f>M3022=N3022</f>
        <v/>
      </c>
      <c r="P3022" s="521">
        <f>AND(MONTH(F3022)=MONTH(S3022), YEAR(F3022)=YEAR(S3022))</f>
        <v/>
      </c>
      <c r="Q3022" s="521">
        <f>U3022="L001-901905215"</f>
        <v/>
      </c>
      <c r="R3022" s="556">
        <f>G3022-W3022</f>
        <v/>
      </c>
      <c r="S3022" s="521" t="n"/>
      <c r="T3022" s="522" t="n"/>
      <c r="U3022" s="522" t="n"/>
      <c r="V3022" s="522" t="n"/>
      <c r="W3022" s="521" t="n"/>
    </row>
    <row r="3023">
      <c r="A3023" s="521" t="n">
        <v>3015</v>
      </c>
      <c r="B3023" s="522" t="n"/>
      <c r="C3023" s="522" t="inlineStr">
        <is>
          <t>កំពង់ផែស្វយ័តក្រុងព្រះសីហនុ</t>
        </is>
      </c>
      <c r="D3023" s="522" t="inlineStr">
        <is>
          <t>L001-100044638</t>
        </is>
      </c>
      <c r="E3023" s="521" t="inlineStr">
        <is>
          <t>128791</t>
        </is>
      </c>
      <c r="F3023" s="523" t="n">
        <v>44076</v>
      </c>
      <c r="G3023" s="556" t="n">
        <v>71462</v>
      </c>
      <c r="I3023" s="521">
        <f>G3023</f>
        <v/>
      </c>
      <c r="K3023" s="521">
        <f>I3023-G3023</f>
        <v/>
      </c>
      <c r="M3023" s="522" t="inlineStr">
        <is>
          <t>128791</t>
        </is>
      </c>
      <c r="N3023" s="522" t="inlineStr"/>
      <c r="O3023" s="521">
        <f>M3023=N3023</f>
        <v/>
      </c>
      <c r="P3023" s="521">
        <f>AND(MONTH(F3023)=MONTH(S3023), YEAR(F3023)=YEAR(S3023))</f>
        <v/>
      </c>
      <c r="Q3023" s="521">
        <f>U3023="L001-901905215"</f>
        <v/>
      </c>
      <c r="R3023" s="556">
        <f>G3023-W3023</f>
        <v/>
      </c>
      <c r="S3023" s="521" t="n"/>
      <c r="T3023" s="522" t="n"/>
      <c r="U3023" s="522" t="n"/>
      <c r="V3023" s="522" t="n"/>
      <c r="W3023" s="521" t="n"/>
    </row>
    <row r="3024">
      <c r="A3024" s="521" t="n">
        <v>3016</v>
      </c>
      <c r="B3024" s="522" t="n"/>
      <c r="C3024" s="522" t="inlineStr">
        <is>
          <t>ស្ត្រេតស៍ អ៊ិនធើណេសិនណល ភីធីអ៊ី អិលធីឌី</t>
        </is>
      </c>
      <c r="D3024" s="522" t="inlineStr">
        <is>
          <t>L001-100045162</t>
        </is>
      </c>
      <c r="E3024" s="521" t="inlineStr">
        <is>
          <t>2016469</t>
        </is>
      </c>
      <c r="F3024" s="523" t="n">
        <v>44075</v>
      </c>
      <c r="G3024" s="556" t="n">
        <v>112888</v>
      </c>
      <c r="I3024" s="521">
        <f>G3024</f>
        <v/>
      </c>
      <c r="K3024" s="521">
        <f>I3024-G3024</f>
        <v/>
      </c>
      <c r="M3024" s="522" t="inlineStr">
        <is>
          <t>2016469</t>
        </is>
      </c>
      <c r="N3024" s="522" t="inlineStr">
        <is>
          <t>2016469</t>
        </is>
      </c>
      <c r="O3024" s="521">
        <f>M3024=N3024</f>
        <v/>
      </c>
      <c r="P3024" s="521">
        <f>AND(MONTH(F3024)=MONTH(S3024), YEAR(F3024)=YEAR(S3024))</f>
        <v/>
      </c>
      <c r="Q3024" s="521">
        <f>U3024="L001-901905215"</f>
        <v/>
      </c>
      <c r="R3024" s="556">
        <f>G3024-W3024</f>
        <v/>
      </c>
      <c r="S3024" s="523" t="n">
        <v>44075</v>
      </c>
      <c r="T3024" s="522" t="inlineStr">
        <is>
          <t>2016469</t>
        </is>
      </c>
      <c r="U3024" s="522" t="inlineStr">
        <is>
          <t>L001-901905215</t>
        </is>
      </c>
      <c r="V3024" s="522" t="inlineStr">
        <is>
          <t>វីអ៊ីស៊ិន (ខេមបូឌា) អ៊ិនដាសស្ទ្រី ឯ.ក</t>
        </is>
      </c>
      <c r="W3024" s="556" t="n">
        <v>112888</v>
      </c>
    </row>
    <row r="3025">
      <c r="A3025" s="521" t="n">
        <v>3017</v>
      </c>
      <c r="B3025" s="522" t="n"/>
      <c r="C3025" s="522" t="inlineStr">
        <is>
          <t>សហ័ស សិឃ្យូរិធី ឯ.ក</t>
        </is>
      </c>
      <c r="D3025" s="522" t="inlineStr">
        <is>
          <t>K010-107032600</t>
        </is>
      </c>
      <c r="E3025" s="521" t="inlineStr">
        <is>
          <t>202000369</t>
        </is>
      </c>
      <c r="F3025" s="523" t="n">
        <v>44075</v>
      </c>
      <c r="G3025" s="556" t="n">
        <v>229488</v>
      </c>
      <c r="I3025" s="521">
        <f>G3025</f>
        <v/>
      </c>
      <c r="K3025" s="521">
        <f>I3025-G3025</f>
        <v/>
      </c>
      <c r="M3025" s="522" t="inlineStr">
        <is>
          <t>202000369</t>
        </is>
      </c>
      <c r="N3025" s="522" t="inlineStr"/>
      <c r="O3025" s="521">
        <f>M3025=N3025</f>
        <v/>
      </c>
      <c r="P3025" s="521">
        <f>AND(MONTH(F3025)=MONTH(S3025), YEAR(F3025)=YEAR(S3025))</f>
        <v/>
      </c>
      <c r="Q3025" s="521">
        <f>U3025="L001-901905215"</f>
        <v/>
      </c>
      <c r="R3025" s="556">
        <f>G3025-W3025</f>
        <v/>
      </c>
      <c r="S3025" s="521" t="n"/>
      <c r="T3025" s="522" t="n"/>
      <c r="U3025" s="522" t="n"/>
      <c r="V3025" s="522" t="n"/>
      <c r="W3025" s="521" t="n"/>
    </row>
    <row r="3026">
      <c r="A3026" s="521" t="n">
        <v>3018</v>
      </c>
      <c r="B3026" s="522" t="n"/>
      <c r="C3026" s="522" t="inlineStr">
        <is>
          <t>ភ្នំពេញ អេសអ៊ីហ្សិត ភីអិលស៊ី</t>
        </is>
      </c>
      <c r="D3026" s="522" t="inlineStr">
        <is>
          <t>L001-100046592</t>
        </is>
      </c>
      <c r="E3026" s="521" t="inlineStr">
        <is>
          <t>202003749</t>
        </is>
      </c>
      <c r="F3026" s="523" t="n">
        <v>44075</v>
      </c>
      <c r="G3026" s="556" t="n">
        <v>201869</v>
      </c>
      <c r="I3026" s="521">
        <f>G3026</f>
        <v/>
      </c>
      <c r="K3026" s="521">
        <f>I3026-G3026</f>
        <v/>
      </c>
      <c r="M3026" s="522" t="inlineStr">
        <is>
          <t>202003749</t>
        </is>
      </c>
      <c r="N3026" s="522" t="inlineStr"/>
      <c r="O3026" s="521">
        <f>M3026=N3026</f>
        <v/>
      </c>
      <c r="P3026" s="521">
        <f>AND(MONTH(F3026)=MONTH(S3026), YEAR(F3026)=YEAR(S3026))</f>
        <v/>
      </c>
      <c r="Q3026" s="521">
        <f>U3026="L001-901905215"</f>
        <v/>
      </c>
      <c r="R3026" s="556">
        <f>G3026-W3026</f>
        <v/>
      </c>
      <c r="S3026" s="521" t="n"/>
      <c r="T3026" s="522" t="n"/>
      <c r="U3026" s="522" t="n"/>
      <c r="V3026" s="522" t="n"/>
      <c r="W3026" s="521" t="n"/>
    </row>
    <row r="3027">
      <c r="A3027" s="521" t="n">
        <v>3019</v>
      </c>
      <c r="B3027" s="522" t="inlineStr">
        <is>
          <t>Monthly tax declaration for Aug -2021 service</t>
        </is>
      </c>
      <c r="C3027" s="522" t="inlineStr">
        <is>
          <t>យីងកឺ ខេម ថេក អ៊ែតវ៉ាយហ្សឺរី ឯ.ក</t>
        </is>
      </c>
      <c r="D3027" s="522" t="inlineStr">
        <is>
          <t>K003-902005313</t>
        </is>
      </c>
      <c r="E3027" s="521" t="inlineStr">
        <is>
          <t>YKT21-142</t>
        </is>
      </c>
      <c r="F3027" s="523" t="n">
        <v>44440</v>
      </c>
      <c r="G3027" s="556" t="n">
        <v>241150</v>
      </c>
      <c r="I3027" s="521">
        <f>G3027</f>
        <v/>
      </c>
      <c r="K3027" s="521">
        <f>I3027-G3027</f>
        <v/>
      </c>
      <c r="M3027" s="522" t="inlineStr">
        <is>
          <t>YKT21142</t>
        </is>
      </c>
      <c r="N3027" s="522" t="inlineStr">
        <is>
          <t>YKT21142</t>
        </is>
      </c>
      <c r="O3027" s="521">
        <f>M3027=N3027</f>
        <v/>
      </c>
      <c r="P3027" s="521">
        <f>AND(MONTH(F3027)=MONTH(S3027), YEAR(F3027)=YEAR(S3027))</f>
        <v/>
      </c>
      <c r="Q3027" s="521">
        <f>U3027="L001-901905215"</f>
        <v/>
      </c>
      <c r="R3027" s="556">
        <f>G3027-W3027</f>
        <v/>
      </c>
      <c r="S3027" s="523" t="n">
        <v>44440</v>
      </c>
      <c r="T3027" s="522" t="inlineStr">
        <is>
          <t>YKT21-142</t>
        </is>
      </c>
      <c r="U3027" s="522" t="inlineStr">
        <is>
          <t>L001-901905215</t>
        </is>
      </c>
      <c r="V3027" s="522" t="inlineStr">
        <is>
          <t>វីអ៊ីស៊ិន (ខេមបូឌា) អ៊ិនដាសស្ទ្រី ឯ.ក</t>
        </is>
      </c>
      <c r="W3027" s="556" t="n">
        <v>241150</v>
      </c>
    </row>
    <row r="3028">
      <c r="A3028" s="521" t="n">
        <v>3020</v>
      </c>
      <c r="B3028" s="522" t="inlineStr">
        <is>
          <t>Sampling and travel fee</t>
        </is>
      </c>
      <c r="C3028" s="522" t="inlineStr">
        <is>
          <t>អេសជីអេស (ខេមបូឌា) លីមីធីត</t>
        </is>
      </c>
      <c r="D3028" s="522" t="inlineStr">
        <is>
          <t>L001-107030519</t>
        </is>
      </c>
      <c r="E3028" s="521" t="inlineStr">
        <is>
          <t>10014040</t>
        </is>
      </c>
      <c r="F3028" s="523" t="n">
        <v>44449</v>
      </c>
      <c r="G3028" s="556" t="n">
        <v>106462</v>
      </c>
      <c r="I3028" s="521">
        <f>G3028</f>
        <v/>
      </c>
      <c r="K3028" s="521">
        <f>I3028-G3028</f>
        <v/>
      </c>
      <c r="M3028" s="522" t="inlineStr">
        <is>
          <t>10014040</t>
        </is>
      </c>
      <c r="N3028" s="522" t="inlineStr">
        <is>
          <t>10014040</t>
        </is>
      </c>
      <c r="O3028" s="521">
        <f>M3028=N3028</f>
        <v/>
      </c>
      <c r="P3028" s="521">
        <f>AND(MONTH(F3028)=MONTH(S3028), YEAR(F3028)=YEAR(S3028))</f>
        <v/>
      </c>
      <c r="Q3028" s="521">
        <f>U3028="L001-901905215"</f>
        <v/>
      </c>
      <c r="R3028" s="556">
        <f>G3028-W3028</f>
        <v/>
      </c>
      <c r="S3028" s="523" t="n">
        <v>44449</v>
      </c>
      <c r="T3028" s="522" t="inlineStr">
        <is>
          <t>10014040</t>
        </is>
      </c>
      <c r="U3028" s="522" t="inlineStr">
        <is>
          <t>L001-901905215</t>
        </is>
      </c>
      <c r="V3028" s="522" t="inlineStr">
        <is>
          <t>វីអ៊ីស៊ិន (ខេមបូឌា) អ៊ិនដាសស្ទ្រី ឯ.ក</t>
        </is>
      </c>
      <c r="W3028" s="556" t="n">
        <v>106462</v>
      </c>
    </row>
    <row r="3029">
      <c r="A3029" s="521" t="n">
        <v>3021</v>
      </c>
      <c r="B3029" s="522" t="inlineStr">
        <is>
          <t>Sampling and travel fee</t>
        </is>
      </c>
      <c r="C3029" s="522" t="inlineStr">
        <is>
          <t>អេសជីអេស (ខេមបូឌា) លីមីធីត</t>
        </is>
      </c>
      <c r="D3029" s="522" t="inlineStr">
        <is>
          <t>L001-107030519</t>
        </is>
      </c>
      <c r="E3029" s="521" t="inlineStr">
        <is>
          <t>10014113</t>
        </is>
      </c>
      <c r="F3029" s="523" t="n">
        <v>44454</v>
      </c>
      <c r="G3029" s="556" t="n">
        <v>106462</v>
      </c>
      <c r="I3029" s="521">
        <f>G3029</f>
        <v/>
      </c>
      <c r="K3029" s="521">
        <f>I3029-G3029</f>
        <v/>
      </c>
      <c r="M3029" s="522" t="inlineStr">
        <is>
          <t>10014113</t>
        </is>
      </c>
      <c r="N3029" s="522" t="inlineStr">
        <is>
          <t>10014113</t>
        </is>
      </c>
      <c r="O3029" s="521">
        <f>M3029=N3029</f>
        <v/>
      </c>
      <c r="P3029" s="521">
        <f>AND(MONTH(F3029)=MONTH(S3029), YEAR(F3029)=YEAR(S3029))</f>
        <v/>
      </c>
      <c r="Q3029" s="521">
        <f>U3029="L001-901905215"</f>
        <v/>
      </c>
      <c r="R3029" s="556">
        <f>G3029-W3029</f>
        <v/>
      </c>
      <c r="S3029" s="523" t="n">
        <v>44454</v>
      </c>
      <c r="T3029" s="522" t="inlineStr">
        <is>
          <t>10014113</t>
        </is>
      </c>
      <c r="U3029" s="522" t="inlineStr">
        <is>
          <t>L001-901905215</t>
        </is>
      </c>
      <c r="V3029" s="522" t="inlineStr">
        <is>
          <t>វីអ៊ីស៊ិន (ខេមបូឌា) អ៊ិនដាសស្ទ្រី ឯ.ក</t>
        </is>
      </c>
      <c r="W3029" s="556" t="n">
        <v>106462</v>
      </c>
    </row>
    <row r="3030">
      <c r="A3030" s="521" t="n">
        <v>3022</v>
      </c>
      <c r="B3030" s="522" t="inlineStr">
        <is>
          <t>Building rental charge</t>
        </is>
      </c>
      <c r="C3030" s="522" t="inlineStr">
        <is>
          <t>មេហ្គា លេបឹល &amp; ស្ទីកឃើរ (ខេមបូឌា)</t>
        </is>
      </c>
      <c r="D3030" s="522" t="inlineStr">
        <is>
          <t>L001-100185983</t>
        </is>
      </c>
      <c r="E3030" s="521" t="inlineStr">
        <is>
          <t>INV20210908</t>
        </is>
      </c>
      <c r="F3030" s="523" t="n">
        <v>44447</v>
      </c>
      <c r="G3030" s="556" t="n">
        <v>4478742</v>
      </c>
      <c r="I3030" s="521">
        <f>G3030</f>
        <v/>
      </c>
      <c r="K3030" s="521">
        <f>I3030-G3030</f>
        <v/>
      </c>
      <c r="M3030" s="522" t="inlineStr">
        <is>
          <t>INV20210908</t>
        </is>
      </c>
      <c r="N3030" s="522" t="inlineStr">
        <is>
          <t>INV20210908</t>
        </is>
      </c>
      <c r="O3030" s="521">
        <f>M3030=N3030</f>
        <v/>
      </c>
      <c r="P3030" s="521">
        <f>AND(MONTH(F3030)=MONTH(S3030), YEAR(F3030)=YEAR(S3030))</f>
        <v/>
      </c>
      <c r="Q3030" s="521">
        <f>U3030="L001-901905215"</f>
        <v/>
      </c>
      <c r="R3030" s="556">
        <f>G3030-W3030</f>
        <v/>
      </c>
      <c r="S3030" s="523" t="n">
        <v>44447</v>
      </c>
      <c r="T3030" s="522" t="inlineStr">
        <is>
          <t>INV20210908</t>
        </is>
      </c>
      <c r="U3030" s="522" t="inlineStr">
        <is>
          <t>L001-901905215</t>
        </is>
      </c>
      <c r="V3030" s="522" t="inlineStr">
        <is>
          <t>វីអ៊ីស៊ិន (ខេមបូឌា) អ៊ិនដាសស្ទ្រី ឯ.ក</t>
        </is>
      </c>
      <c r="W3030" s="556" t="n">
        <v>4478742</v>
      </c>
    </row>
    <row r="3031">
      <c r="A3031" s="521" t="n">
        <v>3023</v>
      </c>
      <c r="B3031" s="522" t="inlineStr">
        <is>
          <t>Plastic material(ABS Black color)</t>
        </is>
      </c>
      <c r="C3031" s="522" t="inlineStr">
        <is>
          <t>ស៊ីអិន ប៉ាវ តាវ ហ្រ្គីន ខនស្ត្រាក់សិន មេធៀរៀល ឯ.ក</t>
        </is>
      </c>
      <c r="D3031" s="522" t="inlineStr">
        <is>
          <t>K007-902101486</t>
        </is>
      </c>
      <c r="E3031" s="521" t="inlineStr">
        <is>
          <t>0247</t>
        </is>
      </c>
      <c r="F3031" s="523" t="n">
        <v>44447</v>
      </c>
      <c r="G3031" s="556" t="n">
        <v>15059668</v>
      </c>
      <c r="I3031" s="521">
        <f>G3031</f>
        <v/>
      </c>
      <c r="K3031" s="521">
        <f>I3031-G3031</f>
        <v/>
      </c>
      <c r="M3031" s="522" t="inlineStr">
        <is>
          <t>0247</t>
        </is>
      </c>
      <c r="N3031" s="522" t="inlineStr">
        <is>
          <t>0247</t>
        </is>
      </c>
      <c r="O3031" s="521">
        <f>M3031=N3031</f>
        <v/>
      </c>
      <c r="P3031" s="521">
        <f>AND(MONTH(F3031)=MONTH(S3031), YEAR(F3031)=YEAR(S3031))</f>
        <v/>
      </c>
      <c r="Q3031" s="521">
        <f>U3031="L001-901905215"</f>
        <v/>
      </c>
      <c r="R3031" s="556">
        <f>G3031-W3031</f>
        <v/>
      </c>
      <c r="S3031" s="523" t="n">
        <v>44447</v>
      </c>
      <c r="T3031" s="522" t="inlineStr">
        <is>
          <t>0247</t>
        </is>
      </c>
      <c r="U3031" s="522" t="inlineStr">
        <is>
          <t>L001-901905215</t>
        </is>
      </c>
      <c r="V3031" s="522" t="inlineStr">
        <is>
          <t>វីអ៊ីស៊ិន (ខេមបូឌា) អ៊ិនដាសស្ទ្រី ឯ.ក</t>
        </is>
      </c>
      <c r="W3031" s="556" t="n">
        <v>15059668</v>
      </c>
    </row>
    <row r="3032">
      <c r="A3032" s="521" t="n">
        <v>3024</v>
      </c>
      <c r="B3032" s="522" t="inlineStr">
        <is>
          <t>វសវាកមមក្តួតេិនិតយ</t>
        </is>
      </c>
      <c r="C3032" s="522" t="inlineStr">
        <is>
          <t>ប្យួរ៉ូ វេរីតាស (ខេមបូឌា) លីមីធីត</t>
        </is>
      </c>
      <c r="D3032" s="522" t="inlineStr">
        <is>
          <t>L001-107024462</t>
        </is>
      </c>
      <c r="E3032" s="521" t="inlineStr">
        <is>
          <t>59010903</t>
        </is>
      </c>
      <c r="F3032" s="523" t="n">
        <v>44445</v>
      </c>
      <c r="G3032" s="556" t="n">
        <v>55279</v>
      </c>
      <c r="I3032" s="521">
        <f>G3032</f>
        <v/>
      </c>
      <c r="K3032" s="521">
        <f>I3032-G3032</f>
        <v/>
      </c>
      <c r="M3032" s="522" t="inlineStr">
        <is>
          <t>59010903</t>
        </is>
      </c>
      <c r="N3032" s="522" t="inlineStr">
        <is>
          <t>59010903</t>
        </is>
      </c>
      <c r="O3032" s="521">
        <f>M3032=N3032</f>
        <v/>
      </c>
      <c r="P3032" s="521">
        <f>AND(MONTH(F3032)=MONTH(S3032), YEAR(F3032)=YEAR(S3032))</f>
        <v/>
      </c>
      <c r="Q3032" s="521">
        <f>U3032="L001-901905215"</f>
        <v/>
      </c>
      <c r="R3032" s="556">
        <f>G3032-W3032</f>
        <v/>
      </c>
      <c r="S3032" s="523" t="n">
        <v>44445</v>
      </c>
      <c r="T3032" s="522" t="inlineStr">
        <is>
          <t>59010903</t>
        </is>
      </c>
      <c r="U3032" s="522" t="inlineStr">
        <is>
          <t>L001-901905215</t>
        </is>
      </c>
      <c r="V3032" s="522" t="inlineStr">
        <is>
          <t>វីអ៊ីស៊ិន (ខេមបូឌា) អ៊ិនដាសស្ទ្រី ឯ.ក</t>
        </is>
      </c>
      <c r="W3032" s="556" t="n">
        <v>55279</v>
      </c>
    </row>
    <row r="3033">
      <c r="A3033" s="521" t="n">
        <v>3025</v>
      </c>
      <c r="B3033" s="522" t="inlineStr">
        <is>
          <t>Documentation and Terminal handing service</t>
        </is>
      </c>
      <c r="C3033" s="522" t="inlineStr">
        <is>
          <t>មើស្គ (ខេមបូឌា)</t>
        </is>
      </c>
      <c r="D3033" s="522" t="inlineStr">
        <is>
          <t>L001-100045200</t>
        </is>
      </c>
      <c r="E3033" s="521" t="inlineStr">
        <is>
          <t>5995880493</t>
        </is>
      </c>
      <c r="F3033" s="523" t="n">
        <v>44462</v>
      </c>
      <c r="G3033" s="556" t="n">
        <v>412592</v>
      </c>
      <c r="I3033" s="521">
        <f>G3033</f>
        <v/>
      </c>
      <c r="K3033" s="521">
        <f>I3033-G3033</f>
        <v/>
      </c>
      <c r="M3033" s="522" t="inlineStr">
        <is>
          <t>5995880493</t>
        </is>
      </c>
      <c r="N3033" s="522" t="inlineStr">
        <is>
          <t>5995880493</t>
        </is>
      </c>
      <c r="O3033" s="521">
        <f>M3033=N3033</f>
        <v/>
      </c>
      <c r="P3033" s="521">
        <f>AND(MONTH(F3033)=MONTH(S3033), YEAR(F3033)=YEAR(S3033))</f>
        <v/>
      </c>
      <c r="Q3033" s="521">
        <f>U3033="L001-901905215"</f>
        <v/>
      </c>
      <c r="R3033" s="556">
        <f>G3033-W3033</f>
        <v/>
      </c>
      <c r="S3033" s="523" t="n">
        <v>44462</v>
      </c>
      <c r="T3033" s="522" t="inlineStr">
        <is>
          <t>5995880493</t>
        </is>
      </c>
      <c r="U3033" s="522" t="inlineStr">
        <is>
          <t>L001-901905215</t>
        </is>
      </c>
      <c r="V3033" s="522" t="inlineStr">
        <is>
          <t>វីអ៊ីស៊ិន (ខេមបូឌា) អ៊ិនដាសស្ទ្រី ឯ.ក</t>
        </is>
      </c>
      <c r="W3033" s="556" t="n">
        <v>412592</v>
      </c>
    </row>
    <row r="3034">
      <c r="A3034" s="521" t="n">
        <v>3026</v>
      </c>
      <c r="B3034" s="522" t="inlineStr">
        <is>
          <t>KHCIC</t>
        </is>
      </c>
      <c r="C3034" s="522" t="inlineStr">
        <is>
          <t>អេសអាយធីស៊ី ខិនថេនើរ ឡាញ (ខេមបូឌា)</t>
        </is>
      </c>
      <c r="D3034" s="522" t="inlineStr">
        <is>
          <t>L001-107035863</t>
        </is>
      </c>
      <c r="E3034" s="521" t="inlineStr">
        <is>
          <t>SITC2021-017417</t>
        </is>
      </c>
      <c r="F3034" s="523" t="n">
        <v>44457</v>
      </c>
      <c r="G3034" s="556" t="n">
        <v>430334</v>
      </c>
      <c r="I3034" s="521">
        <f>G3034</f>
        <v/>
      </c>
      <c r="K3034" s="521">
        <f>I3034-G3034</f>
        <v/>
      </c>
      <c r="M3034" s="522" t="inlineStr">
        <is>
          <t>SITC2021017417</t>
        </is>
      </c>
      <c r="N3034" s="522" t="inlineStr">
        <is>
          <t>SITC2021017417</t>
        </is>
      </c>
      <c r="O3034" s="521">
        <f>M3034=N3034</f>
        <v/>
      </c>
      <c r="P3034" s="521">
        <f>AND(MONTH(F3034)=MONTH(S3034), YEAR(F3034)=YEAR(S3034))</f>
        <v/>
      </c>
      <c r="Q3034" s="521">
        <f>U3034="L001-901905215"</f>
        <v/>
      </c>
      <c r="R3034" s="556">
        <f>G3034-W3034</f>
        <v/>
      </c>
      <c r="S3034" s="523" t="n">
        <v>44457</v>
      </c>
      <c r="T3034" s="522" t="inlineStr">
        <is>
          <t>SITC2021-017417</t>
        </is>
      </c>
      <c r="U3034" s="522" t="inlineStr">
        <is>
          <t>L001-901905215</t>
        </is>
      </c>
      <c r="V3034" s="522" t="inlineStr">
        <is>
          <t>វីអ៊ីស៊ិន (ខេមបូឌា) អ៊ិនដាសស្ទ្រី ឯ.ក</t>
        </is>
      </c>
      <c r="W3034" s="556" t="n">
        <v>430335</v>
      </c>
    </row>
    <row r="3035">
      <c r="A3035" s="521" t="n">
        <v>3027</v>
      </c>
      <c r="B3035" s="522" t="inlineStr">
        <is>
          <t>Trucking fee</t>
        </is>
      </c>
      <c r="C3035" s="522" t="inlineStr">
        <is>
          <t>អ៊ែរ៉ូ ស៊ីបភីង អេជេនស៊ី</t>
        </is>
      </c>
      <c r="D3035" s="522" t="inlineStr">
        <is>
          <t>K004-901635903</t>
        </is>
      </c>
      <c r="E3035" s="521" t="inlineStr">
        <is>
          <t>IKPSA2021530117</t>
        </is>
      </c>
      <c r="F3035" s="523" t="n">
        <v>44462</v>
      </c>
      <c r="G3035" s="556" t="n">
        <v>114156</v>
      </c>
      <c r="I3035" s="521">
        <f>G3035</f>
        <v/>
      </c>
      <c r="K3035" s="521">
        <f>I3035-G3035</f>
        <v/>
      </c>
      <c r="M3035" s="522" t="inlineStr">
        <is>
          <t>IKPSA2021530117</t>
        </is>
      </c>
      <c r="N3035" s="522" t="inlineStr">
        <is>
          <t>IKPSA2021530117</t>
        </is>
      </c>
      <c r="O3035" s="521">
        <f>M3035=N3035</f>
        <v/>
      </c>
      <c r="P3035" s="521">
        <f>AND(MONTH(F3035)=MONTH(S3035), YEAR(F3035)=YEAR(S3035))</f>
        <v/>
      </c>
      <c r="Q3035" s="521">
        <f>U3035="L001-901905215"</f>
        <v/>
      </c>
      <c r="R3035" s="556">
        <f>G3035-W3035</f>
        <v/>
      </c>
      <c r="S3035" s="523" t="n">
        <v>44460</v>
      </c>
      <c r="T3035" s="522" t="inlineStr">
        <is>
          <t>IKPSA2021530117</t>
        </is>
      </c>
      <c r="U3035" s="522" t="inlineStr">
        <is>
          <t>L001-901905215</t>
        </is>
      </c>
      <c r="V3035" s="522" t="inlineStr">
        <is>
          <t>វីអ៊ីស៊ិន (ខេមបូឌា) អ៊ិនដាសស្ទ្រី ឯ.ក</t>
        </is>
      </c>
      <c r="W3035" s="556" t="n">
        <v>114212</v>
      </c>
    </row>
    <row r="3036">
      <c r="A3036" s="521" t="n">
        <v>3028</v>
      </c>
      <c r="B3036" s="522" t="inlineStr">
        <is>
          <t>Container imbalance Charge</t>
        </is>
      </c>
      <c r="C3036" s="522" t="inlineStr">
        <is>
          <t>អ៊ែរ៉ូ ស៊ីបភីង អេជេនស៊ី</t>
        </is>
      </c>
      <c r="D3036" s="522" t="inlineStr">
        <is>
          <t>K004-901635903</t>
        </is>
      </c>
      <c r="E3036" s="521" t="inlineStr">
        <is>
          <t>IKPSA2021530116</t>
        </is>
      </c>
      <c r="F3036" s="523" t="n">
        <v>44462</v>
      </c>
      <c r="G3036" s="556" t="n">
        <v>97848</v>
      </c>
      <c r="I3036" s="521">
        <f>G3036</f>
        <v/>
      </c>
      <c r="K3036" s="521">
        <f>I3036-G3036</f>
        <v/>
      </c>
      <c r="M3036" s="522" t="inlineStr">
        <is>
          <t>IKPSA2021530116</t>
        </is>
      </c>
      <c r="N3036" s="522" t="inlineStr">
        <is>
          <t>IKPSA2021530116</t>
        </is>
      </c>
      <c r="O3036" s="521">
        <f>M3036=N3036</f>
        <v/>
      </c>
      <c r="P3036" s="521">
        <f>AND(MONTH(F3036)=MONTH(S3036), YEAR(F3036)=YEAR(S3036))</f>
        <v/>
      </c>
      <c r="Q3036" s="521">
        <f>U3036="L001-901905215"</f>
        <v/>
      </c>
      <c r="R3036" s="556">
        <f>G3036-W3036</f>
        <v/>
      </c>
      <c r="S3036" s="523" t="n">
        <v>44460</v>
      </c>
      <c r="T3036" s="522" t="inlineStr">
        <is>
          <t>IKPSA2021530116</t>
        </is>
      </c>
      <c r="U3036" s="522" t="inlineStr">
        <is>
          <t>L001-901905215</t>
        </is>
      </c>
      <c r="V3036" s="522" t="inlineStr">
        <is>
          <t>វីអ៊ីស៊ិន (ខេមបូឌា) អ៊ិនដាសស្ទ្រី ឯ.ក</t>
        </is>
      </c>
      <c r="W3036" s="556" t="n">
        <v>97896</v>
      </c>
    </row>
    <row r="3037">
      <c r="A3037" s="521" t="n">
        <v>3029</v>
      </c>
      <c r="B3037" s="522" t="inlineStr">
        <is>
          <t>Trucking fee</t>
        </is>
      </c>
      <c r="C3037" s="522" t="inlineStr">
        <is>
          <t>អ៊ែរ៉ូ ស៊ីបភីង អេជេនស៊ី</t>
        </is>
      </c>
      <c r="D3037" s="522" t="inlineStr">
        <is>
          <t>K004-901635903</t>
        </is>
      </c>
      <c r="E3037" s="521" t="inlineStr">
        <is>
          <t>IKPSA2021530115</t>
        </is>
      </c>
      <c r="F3037" s="523" t="n">
        <v>44462</v>
      </c>
      <c r="G3037" s="556" t="n">
        <v>1853</v>
      </c>
      <c r="I3037" s="521">
        <f>G3037</f>
        <v/>
      </c>
      <c r="K3037" s="521">
        <f>I3037-G3037</f>
        <v/>
      </c>
      <c r="M3037" s="522" t="inlineStr">
        <is>
          <t>IKPSA2021530115</t>
        </is>
      </c>
      <c r="N3037" s="522" t="inlineStr">
        <is>
          <t>IKPSA2021530115</t>
        </is>
      </c>
      <c r="O3037" s="521">
        <f>M3037=N3037</f>
        <v/>
      </c>
      <c r="P3037" s="521">
        <f>AND(MONTH(F3037)=MONTH(S3037), YEAR(F3037)=YEAR(S3037))</f>
        <v/>
      </c>
      <c r="Q3037" s="521">
        <f>U3037="L001-901905215"</f>
        <v/>
      </c>
      <c r="R3037" s="556">
        <f>G3037-W3037</f>
        <v/>
      </c>
      <c r="S3037" s="523" t="n">
        <v>44460</v>
      </c>
      <c r="T3037" s="522" t="inlineStr">
        <is>
          <t>IKPSA2021530115</t>
        </is>
      </c>
      <c r="U3037" s="522" t="inlineStr">
        <is>
          <t>L001-901905215</t>
        </is>
      </c>
      <c r="V3037" s="522" t="inlineStr">
        <is>
          <t>វីអ៊ីស៊ិន (ខេមបូឌា) អ៊ិនដាសស្ទ្រី ឯ.ក</t>
        </is>
      </c>
      <c r="W3037" s="556" t="n">
        <v>1856</v>
      </c>
    </row>
    <row r="3038">
      <c r="A3038" s="521" t="n">
        <v>3030</v>
      </c>
      <c r="B3038" s="522" t="inlineStr">
        <is>
          <t>Infrastructure Maintenance fee for Sep 2021</t>
        </is>
      </c>
      <c r="C3038" s="522" t="inlineStr">
        <is>
          <t>ភ្នំពេញ អេសអ៊ីហ្សិត ភីអិលស៊ី</t>
        </is>
      </c>
      <c r="D3038" s="522" t="inlineStr">
        <is>
          <t>L001-100046592</t>
        </is>
      </c>
      <c r="E3038" s="521" t="inlineStr">
        <is>
          <t>2021-04337</t>
        </is>
      </c>
      <c r="F3038" s="523" t="n">
        <v>44455</v>
      </c>
      <c r="G3038" s="556" t="n">
        <v>165151</v>
      </c>
      <c r="I3038" s="521">
        <f>G3038</f>
        <v/>
      </c>
      <c r="K3038" s="521">
        <f>I3038-G3038</f>
        <v/>
      </c>
      <c r="M3038" s="522" t="inlineStr">
        <is>
          <t>202104337</t>
        </is>
      </c>
      <c r="N3038" s="522" t="inlineStr">
        <is>
          <t>202104337</t>
        </is>
      </c>
      <c r="O3038" s="521">
        <f>M3038=N3038</f>
        <v/>
      </c>
      <c r="P3038" s="521">
        <f>AND(MONTH(F3038)=MONTH(S3038), YEAR(F3038)=YEAR(S3038))</f>
        <v/>
      </c>
      <c r="Q3038" s="521">
        <f>U3038="L001-901905215"</f>
        <v/>
      </c>
      <c r="R3038" s="556">
        <f>G3038-W3038</f>
        <v/>
      </c>
      <c r="S3038" s="523" t="n">
        <v>44455</v>
      </c>
      <c r="T3038" s="522" t="inlineStr">
        <is>
          <t>2021-04337</t>
        </is>
      </c>
      <c r="U3038" s="522" t="inlineStr">
        <is>
          <t>L001-901905215</t>
        </is>
      </c>
      <c r="V3038" s="522" t="inlineStr">
        <is>
          <t>វីអ៊ីស៊ិន (ខេមបូឌា) អ៊ិនដាសស្ទ្រី ឯ.ក</t>
        </is>
      </c>
      <c r="W3038" s="556" t="n">
        <v>165151</v>
      </c>
    </row>
    <row r="3039">
      <c r="A3039" s="521" t="n">
        <v>3031</v>
      </c>
      <c r="B3039" s="522" t="inlineStr">
        <is>
          <t>Infrastructure Maintenance fee for Sep 2021</t>
        </is>
      </c>
      <c r="C3039" s="522" t="inlineStr">
        <is>
          <t>ភ្នំពេញ អេសអ៊ីហ្សិត ភីអិលស៊ី</t>
        </is>
      </c>
      <c r="D3039" s="522" t="inlineStr">
        <is>
          <t>L001-100046592</t>
        </is>
      </c>
      <c r="E3039" s="521" t="inlineStr">
        <is>
          <t>2021-04328</t>
        </is>
      </c>
      <c r="F3039" s="523" t="n">
        <v>44455</v>
      </c>
      <c r="G3039" s="556" t="n">
        <v>201080</v>
      </c>
      <c r="I3039" s="521">
        <f>G3039</f>
        <v/>
      </c>
      <c r="K3039" s="521">
        <f>I3039-G3039</f>
        <v/>
      </c>
      <c r="M3039" s="522" t="inlineStr">
        <is>
          <t>202104328</t>
        </is>
      </c>
      <c r="N3039" s="522" t="inlineStr">
        <is>
          <t>202104328</t>
        </is>
      </c>
      <c r="O3039" s="521">
        <f>M3039=N3039</f>
        <v/>
      </c>
      <c r="P3039" s="521">
        <f>AND(MONTH(F3039)=MONTH(S3039), YEAR(F3039)=YEAR(S3039))</f>
        <v/>
      </c>
      <c r="Q3039" s="521">
        <f>U3039="L001-901905215"</f>
        <v/>
      </c>
      <c r="R3039" s="556">
        <f>G3039-W3039</f>
        <v/>
      </c>
      <c r="S3039" s="523" t="n">
        <v>44455</v>
      </c>
      <c r="T3039" s="522" t="inlineStr">
        <is>
          <t>2021-04328</t>
        </is>
      </c>
      <c r="U3039" s="522" t="inlineStr">
        <is>
          <t>L001-901905215</t>
        </is>
      </c>
      <c r="V3039" s="522" t="inlineStr">
        <is>
          <t>វីអ៊ីស៊ិន (ខេមបូឌា) អ៊ិនដាសស្ទ្រី ឯ.ក</t>
        </is>
      </c>
      <c r="W3039" s="556" t="n">
        <v>201078</v>
      </c>
    </row>
    <row r="3040">
      <c r="A3040" s="521" t="n">
        <v>3032</v>
      </c>
      <c r="B3040" s="522" t="inlineStr">
        <is>
          <t>ក្រដាសកាតុងធ្វើកេស</t>
        </is>
      </c>
      <c r="C3040" s="522" t="inlineStr">
        <is>
          <t>យី មីង ភែកឃីជីង ឯ.ក</t>
        </is>
      </c>
      <c r="D3040" s="522" t="inlineStr">
        <is>
          <t>B108-902101335</t>
        </is>
      </c>
      <c r="E3040" s="521" t="inlineStr">
        <is>
          <t>YM-0003</t>
        </is>
      </c>
      <c r="F3040" s="523" t="n">
        <v>44469</v>
      </c>
      <c r="G3040" s="556" t="n">
        <v>17092656</v>
      </c>
      <c r="I3040" s="521">
        <f>G3040</f>
        <v/>
      </c>
      <c r="K3040" s="521">
        <f>I3040-G3040</f>
        <v/>
      </c>
      <c r="M3040" s="522" t="inlineStr">
        <is>
          <t>YM0003</t>
        </is>
      </c>
      <c r="N3040" s="522" t="inlineStr">
        <is>
          <t>YM0003</t>
        </is>
      </c>
      <c r="O3040" s="521">
        <f>M3040=N3040</f>
        <v/>
      </c>
      <c r="P3040" s="521">
        <f>AND(MONTH(F3040)=MONTH(S3040), YEAR(F3040)=YEAR(S3040))</f>
        <v/>
      </c>
      <c r="Q3040" s="521">
        <f>U3040="L001-901905215"</f>
        <v/>
      </c>
      <c r="R3040" s="556">
        <f>G3040-W3040</f>
        <v/>
      </c>
      <c r="S3040" s="523" t="n">
        <v>44469</v>
      </c>
      <c r="T3040" s="522" t="inlineStr">
        <is>
          <t>YM-0003</t>
        </is>
      </c>
      <c r="U3040" s="522" t="inlineStr">
        <is>
          <t>L001-901905215</t>
        </is>
      </c>
      <c r="V3040" s="522" t="inlineStr">
        <is>
          <t>វីអ៊ីស៊ិន (ខេមបូឌា) អ៊ិនដាសស្ទ្រី ឯ.ក</t>
        </is>
      </c>
      <c r="W3040" s="556" t="n">
        <v>17092656</v>
      </c>
    </row>
    <row r="3041">
      <c r="A3041" s="521" t="n">
        <v>3033</v>
      </c>
      <c r="B3041" s="522" t="inlineStr">
        <is>
          <t>Paper Label</t>
        </is>
      </c>
      <c r="C3041" s="522" t="inlineStr">
        <is>
          <t>ស៊ីន ហ្វី យ៉ាង ព្រីនធីង &amp; អិកសេសសឺរី ឯ.ក</t>
        </is>
      </c>
      <c r="D3041" s="522" t="inlineStr">
        <is>
          <t>K010-901906822</t>
        </is>
      </c>
      <c r="E3041" s="521" t="inlineStr">
        <is>
          <t>XFY-YD2021135</t>
        </is>
      </c>
      <c r="F3041" s="523" t="n">
        <v>44467</v>
      </c>
      <c r="G3041" s="556" t="n">
        <v>15337336</v>
      </c>
      <c r="I3041" s="521">
        <f>G3041</f>
        <v/>
      </c>
      <c r="K3041" s="521">
        <f>I3041-G3041</f>
        <v/>
      </c>
      <c r="M3041" s="522" t="inlineStr">
        <is>
          <t>XFYYD2021135</t>
        </is>
      </c>
      <c r="N3041" s="522" t="inlineStr">
        <is>
          <t>XFYYD2021135</t>
        </is>
      </c>
      <c r="O3041" s="521">
        <f>M3041=N3041</f>
        <v/>
      </c>
      <c r="P3041" s="521">
        <f>AND(MONTH(F3041)=MONTH(S3041), YEAR(F3041)=YEAR(S3041))</f>
        <v/>
      </c>
      <c r="Q3041" s="521">
        <f>U3041="L001-901905215"</f>
        <v/>
      </c>
      <c r="R3041" s="556">
        <f>G3041-W3041</f>
        <v/>
      </c>
      <c r="S3041" s="523" t="n">
        <v>44467</v>
      </c>
      <c r="T3041" s="522" t="inlineStr">
        <is>
          <t>XFY-YD2021135</t>
        </is>
      </c>
      <c r="U3041" s="522" t="inlineStr">
        <is>
          <t>L001-901905215</t>
        </is>
      </c>
      <c r="V3041" s="522" t="inlineStr">
        <is>
          <t>វីអ៊ីស៊ិន (ខេមបូឌា) អ៊ិនដាសស្ទ្រី ឯ.ក</t>
        </is>
      </c>
      <c r="W3041" s="556" t="n">
        <v>15337336</v>
      </c>
    </row>
    <row r="3042">
      <c r="A3042" s="521" t="n">
        <v>3034</v>
      </c>
      <c r="B3042" s="522" t="inlineStr">
        <is>
          <t>ស្កុតថ្លា</t>
        </is>
      </c>
      <c r="C3042" s="522" t="inlineStr">
        <is>
          <t>ស៊ីន ឌីងយ័ន ស៊ូ មេធៀរៀល ឯ.ក</t>
        </is>
      </c>
      <c r="D3042" s="522" t="inlineStr">
        <is>
          <t>K010-902100418</t>
        </is>
      </c>
      <c r="E3042" s="521" t="inlineStr">
        <is>
          <t>0000067</t>
        </is>
      </c>
      <c r="F3042" s="523" t="n">
        <v>44449</v>
      </c>
      <c r="G3042" s="556" t="n">
        <v>1325675</v>
      </c>
      <c r="I3042" s="521">
        <f>G3042</f>
        <v/>
      </c>
      <c r="K3042" s="521">
        <f>I3042-G3042</f>
        <v/>
      </c>
      <c r="M3042" s="522" t="inlineStr">
        <is>
          <t>0000067</t>
        </is>
      </c>
      <c r="N3042" s="522" t="inlineStr">
        <is>
          <t>0000067</t>
        </is>
      </c>
      <c r="O3042" s="521">
        <f>M3042=N3042</f>
        <v/>
      </c>
      <c r="P3042" s="521">
        <f>AND(MONTH(F3042)=MONTH(S3042), YEAR(F3042)=YEAR(S3042))</f>
        <v/>
      </c>
      <c r="Q3042" s="521">
        <f>U3042="L001-901905215"</f>
        <v/>
      </c>
      <c r="R3042" s="556">
        <f>G3042-W3042</f>
        <v/>
      </c>
      <c r="S3042" s="523" t="n">
        <v>44449</v>
      </c>
      <c r="T3042" s="522" t="inlineStr">
        <is>
          <t>0000067</t>
        </is>
      </c>
      <c r="U3042" s="522" t="inlineStr">
        <is>
          <t>L001-901905215</t>
        </is>
      </c>
      <c r="V3042" s="522" t="inlineStr">
        <is>
          <t>វីអ៊ីស៊ិន (ខេមបូឌា) អ៊ិនដាសស្ទ្រី ឯ.ក</t>
        </is>
      </c>
      <c r="W3042" s="556" t="n">
        <v>1325675</v>
      </c>
    </row>
    <row r="3043">
      <c r="A3043" s="521" t="n">
        <v>3035</v>
      </c>
      <c r="B3043" s="522" t="inlineStr">
        <is>
          <t xml:space="preserve">Color Box </t>
        </is>
      </c>
      <c r="C3043" s="522" t="inlineStr">
        <is>
          <t>វីង ចេង ភែកឃីជីង ឯ.ក</t>
        </is>
      </c>
      <c r="D3043" s="522" t="inlineStr">
        <is>
          <t>L001-902102915</t>
        </is>
      </c>
      <c r="E3043" s="521" t="inlineStr">
        <is>
          <t>TI0039</t>
        </is>
      </c>
      <c r="F3043" s="523" t="n">
        <v>44469</v>
      </c>
      <c r="G3043" s="556" t="n">
        <v>55826365</v>
      </c>
      <c r="I3043" s="521">
        <f>G3043</f>
        <v/>
      </c>
      <c r="K3043" s="521">
        <f>I3043-G3043</f>
        <v/>
      </c>
      <c r="M3043" s="522" t="inlineStr">
        <is>
          <t>TI0039</t>
        </is>
      </c>
      <c r="N3043" s="522" t="inlineStr">
        <is>
          <t>TI0039</t>
        </is>
      </c>
      <c r="O3043" s="521">
        <f>M3043=N3043</f>
        <v/>
      </c>
      <c r="P3043" s="521">
        <f>AND(MONTH(F3043)=MONTH(S3043), YEAR(F3043)=YEAR(S3043))</f>
        <v/>
      </c>
      <c r="Q3043" s="521">
        <f>U3043="L001-901905215"</f>
        <v/>
      </c>
      <c r="R3043" s="556">
        <f>G3043-W3043</f>
        <v/>
      </c>
      <c r="S3043" s="523" t="n">
        <v>44469</v>
      </c>
      <c r="T3043" s="522" t="inlineStr">
        <is>
          <t>TI0039</t>
        </is>
      </c>
      <c r="U3043" s="522" t="inlineStr">
        <is>
          <t>L001-901905215</t>
        </is>
      </c>
      <c r="V3043" s="522" t="inlineStr">
        <is>
          <t>វីអ៊ីស៊ិន (ខេមបូឌា) អ៊ិនដាសស្ទ្រី ឯ.ក</t>
        </is>
      </c>
      <c r="W3043" s="556" t="n">
        <v>55826365</v>
      </c>
    </row>
    <row r="3044">
      <c r="A3044" s="521" t="n">
        <v>3036</v>
      </c>
      <c r="B3044" s="522" t="inlineStr">
        <is>
          <t>កេសកាតុង</t>
        </is>
      </c>
      <c r="C3044" s="522" t="inlineStr">
        <is>
          <t>ស៊ីងហ្គាពួរ កាតុង (ខេមបូឌា)</t>
        </is>
      </c>
      <c r="D3044" s="522" t="inlineStr">
        <is>
          <t>L001-100121322</t>
        </is>
      </c>
      <c r="E3044" s="521" t="inlineStr">
        <is>
          <t>V0017205</t>
        </is>
      </c>
      <c r="F3044" s="523" t="n">
        <v>44452</v>
      </c>
      <c r="G3044" s="556" t="n">
        <v>18840</v>
      </c>
      <c r="I3044" s="521">
        <f>G3044</f>
        <v/>
      </c>
      <c r="K3044" s="521">
        <f>I3044-G3044</f>
        <v/>
      </c>
      <c r="M3044" s="522" t="inlineStr">
        <is>
          <t>V0017205</t>
        </is>
      </c>
      <c r="N3044" s="522" t="inlineStr">
        <is>
          <t>V0017205</t>
        </is>
      </c>
      <c r="O3044" s="521">
        <f>M3044=N3044</f>
        <v/>
      </c>
      <c r="P3044" s="521">
        <f>AND(MONTH(F3044)=MONTH(S3044), YEAR(F3044)=YEAR(S3044))</f>
        <v/>
      </c>
      <c r="Q3044" s="521">
        <f>U3044="L001-901905215"</f>
        <v/>
      </c>
      <c r="R3044" s="556">
        <f>G3044-W3044</f>
        <v/>
      </c>
      <c r="S3044" s="523" t="n">
        <v>44452</v>
      </c>
      <c r="T3044" s="522" t="inlineStr">
        <is>
          <t>V0017205</t>
        </is>
      </c>
      <c r="U3044" s="522" t="inlineStr">
        <is>
          <t>L001-901905215</t>
        </is>
      </c>
      <c r="V3044" s="522" t="inlineStr">
        <is>
          <t>វីអ៊ីស៊ិន (ខេមបូឌា) អ៊ិនដាសស្ទ្រី ឯ.ក</t>
        </is>
      </c>
      <c r="W3044" s="556" t="n">
        <v>17132</v>
      </c>
    </row>
    <row r="3045">
      <c r="A3045" s="521" t="n">
        <v>3037</v>
      </c>
      <c r="B3045" s="522" t="inlineStr">
        <is>
          <t>កេសកាតុង</t>
        </is>
      </c>
      <c r="C3045" s="522" t="inlineStr">
        <is>
          <t>ស៊ីងហ្គាពួរ កាតុង (ខេមបូឌា)</t>
        </is>
      </c>
      <c r="D3045" s="522" t="inlineStr">
        <is>
          <t>L001-100121322</t>
        </is>
      </c>
      <c r="E3045" s="521" t="inlineStr">
        <is>
          <t>V0017207</t>
        </is>
      </c>
      <c r="F3045" s="523" t="n">
        <v>44452</v>
      </c>
      <c r="G3045" s="556" t="n">
        <v>120097</v>
      </c>
      <c r="I3045" s="521">
        <f>G3045</f>
        <v/>
      </c>
      <c r="K3045" s="521">
        <f>I3045-G3045</f>
        <v/>
      </c>
      <c r="M3045" s="522" t="inlineStr">
        <is>
          <t>V0017207</t>
        </is>
      </c>
      <c r="N3045" s="522" t="inlineStr">
        <is>
          <t>V0017207</t>
        </is>
      </c>
      <c r="O3045" s="521">
        <f>M3045=N3045</f>
        <v/>
      </c>
      <c r="P3045" s="521">
        <f>AND(MONTH(F3045)=MONTH(S3045), YEAR(F3045)=YEAR(S3045))</f>
        <v/>
      </c>
      <c r="Q3045" s="521">
        <f>U3045="L001-901905215"</f>
        <v/>
      </c>
      <c r="R3045" s="556">
        <f>G3045-W3045</f>
        <v/>
      </c>
      <c r="S3045" s="523" t="n">
        <v>44452</v>
      </c>
      <c r="T3045" s="522" t="inlineStr">
        <is>
          <t>V0017207</t>
        </is>
      </c>
      <c r="U3045" s="522" t="inlineStr">
        <is>
          <t>L001-901905215</t>
        </is>
      </c>
      <c r="V3045" s="522" t="inlineStr">
        <is>
          <t>វីអ៊ីស៊ិន (ខេមបូឌា) អ៊ិនដាសស្ទ្រី ឯ.ក</t>
        </is>
      </c>
      <c r="W3045" s="556" t="n">
        <v>109206</v>
      </c>
    </row>
    <row r="3046">
      <c r="A3046" s="521" t="n">
        <v>3038</v>
      </c>
      <c r="B3046" s="522" t="inlineStr">
        <is>
          <t>កេសកាតុង</t>
        </is>
      </c>
      <c r="C3046" s="522" t="inlineStr">
        <is>
          <t>ស៊ីងហ្គាពួរ កាតុង (ខេមបូឌា)</t>
        </is>
      </c>
      <c r="D3046" s="522" t="inlineStr">
        <is>
          <t>L001-100121322</t>
        </is>
      </c>
      <c r="E3046" s="521" t="inlineStr">
        <is>
          <t>V0017208</t>
        </is>
      </c>
      <c r="F3046" s="523" t="n">
        <v>44453</v>
      </c>
      <c r="G3046" s="556" t="n">
        <v>104013</v>
      </c>
      <c r="I3046" s="521">
        <f>G3046</f>
        <v/>
      </c>
      <c r="K3046" s="521">
        <f>I3046-G3046</f>
        <v/>
      </c>
      <c r="M3046" s="522" t="inlineStr">
        <is>
          <t>V0017208</t>
        </is>
      </c>
      <c r="N3046" s="522" t="inlineStr">
        <is>
          <t>V0017208</t>
        </is>
      </c>
      <c r="O3046" s="521">
        <f>M3046=N3046</f>
        <v/>
      </c>
      <c r="P3046" s="521">
        <f>AND(MONTH(F3046)=MONTH(S3046), YEAR(F3046)=YEAR(S3046))</f>
        <v/>
      </c>
      <c r="Q3046" s="521">
        <f>U3046="L001-901905215"</f>
        <v/>
      </c>
      <c r="R3046" s="556">
        <f>G3046-W3046</f>
        <v/>
      </c>
      <c r="S3046" s="523" t="n">
        <v>44453</v>
      </c>
      <c r="T3046" s="522" t="inlineStr">
        <is>
          <t>V0017208</t>
        </is>
      </c>
      <c r="U3046" s="522" t="inlineStr">
        <is>
          <t>L001-901905215</t>
        </is>
      </c>
      <c r="V3046" s="522" t="inlineStr">
        <is>
          <t>វីអ៊ីស៊ិន (ខេមបូឌា) អ៊ិនដាសស្ទ្រី ឯ.ក</t>
        </is>
      </c>
      <c r="W3046" s="556" t="n">
        <v>94581</v>
      </c>
    </row>
    <row r="3047">
      <c r="A3047" s="521" t="n">
        <v>3039</v>
      </c>
      <c r="B3047" s="522" t="inlineStr">
        <is>
          <t>កេសកាតុង</t>
        </is>
      </c>
      <c r="C3047" s="522" t="inlineStr">
        <is>
          <t>ស៊ីងហ្គាពួរ កាតុង (ខេមបូឌា)</t>
        </is>
      </c>
      <c r="D3047" s="522" t="inlineStr">
        <is>
          <t>L001-100121322</t>
        </is>
      </c>
      <c r="E3047" s="521" t="inlineStr">
        <is>
          <t>V0017245</t>
        </is>
      </c>
      <c r="F3047" s="523" t="n">
        <v>44456</v>
      </c>
      <c r="G3047" s="556" t="n">
        <v>627349</v>
      </c>
      <c r="I3047" s="521">
        <f>G3047</f>
        <v/>
      </c>
      <c r="K3047" s="521">
        <f>I3047-G3047</f>
        <v/>
      </c>
      <c r="M3047" s="522" t="inlineStr">
        <is>
          <t>V0017245</t>
        </is>
      </c>
      <c r="N3047" s="522" t="inlineStr">
        <is>
          <t>V0017245</t>
        </is>
      </c>
      <c r="O3047" s="521">
        <f>M3047=N3047</f>
        <v/>
      </c>
      <c r="P3047" s="521">
        <f>AND(MONTH(F3047)=MONTH(S3047), YEAR(F3047)=YEAR(S3047))</f>
        <v/>
      </c>
      <c r="Q3047" s="521">
        <f>U3047="L001-901905215"</f>
        <v/>
      </c>
      <c r="R3047" s="556">
        <f>G3047-W3047</f>
        <v/>
      </c>
      <c r="S3047" s="523" t="n">
        <v>44456</v>
      </c>
      <c r="T3047" s="522" t="inlineStr">
        <is>
          <t>V0017245</t>
        </is>
      </c>
      <c r="U3047" s="522" t="inlineStr">
        <is>
          <t>L001-901905215</t>
        </is>
      </c>
      <c r="V3047" s="522" t="inlineStr">
        <is>
          <t>វីអ៊ីស៊ិន (ខេមបូឌា) អ៊ិនដាសស្ទ្រី ឯ.ក</t>
        </is>
      </c>
      <c r="W3047" s="556" t="n">
        <v>570318</v>
      </c>
    </row>
    <row r="3048">
      <c r="A3048" s="521" t="n">
        <v>3040</v>
      </c>
      <c r="B3048" s="522" t="inlineStr">
        <is>
          <t>កេសកាតុង</t>
        </is>
      </c>
      <c r="C3048" s="522" t="inlineStr">
        <is>
          <t>ស៊ីងហ្គាពួរ កាតុង (ខេមបូឌា)</t>
        </is>
      </c>
      <c r="D3048" s="522" t="inlineStr">
        <is>
          <t>L001-100121322</t>
        </is>
      </c>
      <c r="E3048" s="521" t="inlineStr">
        <is>
          <t>V0017313</t>
        </is>
      </c>
      <c r="F3048" s="523" t="n">
        <v>44462</v>
      </c>
      <c r="G3048" s="556" t="n">
        <v>654714</v>
      </c>
      <c r="I3048" s="521">
        <f>G3048</f>
        <v/>
      </c>
      <c r="K3048" s="521">
        <f>I3048-G3048</f>
        <v/>
      </c>
      <c r="M3048" s="522" t="inlineStr">
        <is>
          <t>V0017313</t>
        </is>
      </c>
      <c r="N3048" s="522" t="inlineStr">
        <is>
          <t>V0017313</t>
        </is>
      </c>
      <c r="O3048" s="521">
        <f>M3048=N3048</f>
        <v/>
      </c>
      <c r="P3048" s="521">
        <f>AND(MONTH(F3048)=MONTH(S3048), YEAR(F3048)=YEAR(S3048))</f>
        <v/>
      </c>
      <c r="Q3048" s="521">
        <f>U3048="L001-901905215"</f>
        <v/>
      </c>
      <c r="R3048" s="556">
        <f>G3048-W3048</f>
        <v/>
      </c>
      <c r="S3048" s="523" t="n">
        <v>44462</v>
      </c>
      <c r="T3048" s="522" t="inlineStr">
        <is>
          <t>V0017313</t>
        </is>
      </c>
      <c r="U3048" s="522" t="inlineStr">
        <is>
          <t>L001-901905215</t>
        </is>
      </c>
      <c r="V3048" s="522" t="inlineStr">
        <is>
          <t>វីអ៊ីស៊ិន (ខេមបូឌា) អ៊ិនដាសស្ទ្រី ឯ.ក</t>
        </is>
      </c>
      <c r="W3048" s="556" t="n">
        <v>595486</v>
      </c>
    </row>
    <row r="3049">
      <c r="A3049" s="521" t="n">
        <v>3041</v>
      </c>
      <c r="B3049" s="522" t="inlineStr">
        <is>
          <t>កេសកាតុង</t>
        </is>
      </c>
      <c r="C3049" s="522" t="inlineStr">
        <is>
          <t>ស៊ីងហ្គាពួរ កាតុង (ខេមបូឌា)</t>
        </is>
      </c>
      <c r="D3049" s="522" t="inlineStr">
        <is>
          <t>L001-100121322</t>
        </is>
      </c>
      <c r="E3049" s="521" t="inlineStr">
        <is>
          <t>V0017354</t>
        </is>
      </c>
      <c r="F3049" s="523" t="n">
        <v>44467</v>
      </c>
      <c r="G3049" s="556" t="n">
        <v>734859</v>
      </c>
      <c r="I3049" s="521">
        <f>G3049</f>
        <v/>
      </c>
      <c r="K3049" s="521">
        <f>I3049-G3049</f>
        <v/>
      </c>
      <c r="M3049" s="522" t="inlineStr">
        <is>
          <t>V0017354</t>
        </is>
      </c>
      <c r="N3049" s="522" t="inlineStr">
        <is>
          <t>V0017354</t>
        </is>
      </c>
      <c r="O3049" s="521">
        <f>M3049=N3049</f>
        <v/>
      </c>
      <c r="P3049" s="521">
        <f>AND(MONTH(F3049)=MONTH(S3049), YEAR(F3049)=YEAR(S3049))</f>
        <v/>
      </c>
      <c r="Q3049" s="521">
        <f>U3049="L001-901905215"</f>
        <v/>
      </c>
      <c r="R3049" s="556">
        <f>G3049-W3049</f>
        <v/>
      </c>
      <c r="S3049" s="523" t="n">
        <v>44467</v>
      </c>
      <c r="T3049" s="522" t="inlineStr">
        <is>
          <t>V0017354</t>
        </is>
      </c>
      <c r="U3049" s="522" t="inlineStr">
        <is>
          <t>L001-901905215</t>
        </is>
      </c>
      <c r="V3049" s="522" t="inlineStr">
        <is>
          <t>វីអ៊ីស៊ិន (ខេមបូឌា) អ៊ិនដាសស្ទ្រី ឯ.ក</t>
        </is>
      </c>
      <c r="W3049" s="556" t="n">
        <v>668381</v>
      </c>
    </row>
    <row r="3050">
      <c r="A3050" s="521" t="n">
        <v>3042</v>
      </c>
      <c r="B3050" s="522" t="inlineStr">
        <is>
          <t>កេសកាតុង</t>
        </is>
      </c>
      <c r="C3050" s="522" t="inlineStr">
        <is>
          <t>ស៊ីងហ្គាពួរ កាតុង (ខេមបូឌា)</t>
        </is>
      </c>
      <c r="D3050" s="522" t="inlineStr">
        <is>
          <t>L001-100121322</t>
        </is>
      </c>
      <c r="E3050" s="521" t="inlineStr">
        <is>
          <t>V0017355</t>
        </is>
      </c>
      <c r="F3050" s="523" t="n">
        <v>44467</v>
      </c>
      <c r="G3050" s="556" t="n">
        <v>843939</v>
      </c>
      <c r="I3050" s="521">
        <f>G3050</f>
        <v/>
      </c>
      <c r="K3050" s="521">
        <f>I3050-G3050</f>
        <v/>
      </c>
      <c r="M3050" s="522" t="inlineStr">
        <is>
          <t>V0017355</t>
        </is>
      </c>
      <c r="N3050" s="522" t="inlineStr">
        <is>
          <t>V0017355</t>
        </is>
      </c>
      <c r="O3050" s="521">
        <f>M3050=N3050</f>
        <v/>
      </c>
      <c r="P3050" s="521">
        <f>AND(MONTH(F3050)=MONTH(S3050), YEAR(F3050)=YEAR(S3050))</f>
        <v/>
      </c>
      <c r="Q3050" s="521">
        <f>U3050="L001-901905215"</f>
        <v/>
      </c>
      <c r="R3050" s="556">
        <f>G3050-W3050</f>
        <v/>
      </c>
      <c r="S3050" s="523" t="n">
        <v>44467</v>
      </c>
      <c r="T3050" s="522" t="inlineStr">
        <is>
          <t>V0017355</t>
        </is>
      </c>
      <c r="U3050" s="522" t="inlineStr">
        <is>
          <t>L001-901905215</t>
        </is>
      </c>
      <c r="V3050" s="522" t="inlineStr">
        <is>
          <t>វីអ៊ីស៊ិន (ខេមបូឌា) អ៊ិនដាសស្ទ្រី ឯ.ក</t>
        </is>
      </c>
      <c r="W3050" s="556" t="n">
        <v>767594</v>
      </c>
    </row>
    <row r="3051">
      <c r="A3051" s="521" t="n">
        <v>3043</v>
      </c>
      <c r="B3051" s="522" t="inlineStr">
        <is>
          <t>កេសកាតុង</t>
        </is>
      </c>
      <c r="C3051" s="522" t="inlineStr">
        <is>
          <t>ស៊ីងហ្គាពួរ កាតុង (ខេមបូឌា)</t>
        </is>
      </c>
      <c r="D3051" s="522" t="inlineStr">
        <is>
          <t>L001-100121322</t>
        </is>
      </c>
      <c r="E3051" s="521" t="inlineStr">
        <is>
          <t>V0017366</t>
        </is>
      </c>
      <c r="F3051" s="523" t="n">
        <v>44468</v>
      </c>
      <c r="G3051" s="556" t="n">
        <v>318798</v>
      </c>
      <c r="I3051" s="521">
        <f>G3051</f>
        <v/>
      </c>
      <c r="K3051" s="521">
        <f>I3051-G3051</f>
        <v/>
      </c>
      <c r="M3051" s="522" t="inlineStr">
        <is>
          <t>V0017366</t>
        </is>
      </c>
      <c r="N3051" s="522" t="inlineStr">
        <is>
          <t>V0017366</t>
        </is>
      </c>
      <c r="O3051" s="521">
        <f>M3051=N3051</f>
        <v/>
      </c>
      <c r="P3051" s="521">
        <f>AND(MONTH(F3051)=MONTH(S3051), YEAR(F3051)=YEAR(S3051))</f>
        <v/>
      </c>
      <c r="Q3051" s="521">
        <f>U3051="L001-901905215"</f>
        <v/>
      </c>
      <c r="R3051" s="556">
        <f>G3051-W3051</f>
        <v/>
      </c>
      <c r="S3051" s="523" t="n">
        <v>44468</v>
      </c>
      <c r="T3051" s="522" t="inlineStr">
        <is>
          <t>V0017366</t>
        </is>
      </c>
      <c r="U3051" s="522" t="inlineStr">
        <is>
          <t>L001-901905215</t>
        </is>
      </c>
      <c r="V3051" s="522" t="inlineStr">
        <is>
          <t>វីអ៊ីស៊ិន (ខេមបូឌា) អ៊ិនដាសស្ទ្រី ឯ.ក</t>
        </is>
      </c>
      <c r="W3051" s="556" t="n">
        <v>289887</v>
      </c>
    </row>
    <row r="3052">
      <c r="A3052" s="521" t="n">
        <v>3044</v>
      </c>
      <c r="B3052" s="522" t="inlineStr">
        <is>
          <t>កេសកាតុង</t>
        </is>
      </c>
      <c r="C3052" s="522" t="inlineStr">
        <is>
          <t>ស៊ីងហ្គាពួរ កាតុង (ខេមបូឌា)</t>
        </is>
      </c>
      <c r="D3052" s="522" t="inlineStr">
        <is>
          <t>L001-100121322</t>
        </is>
      </c>
      <c r="E3052" s="521" t="inlineStr">
        <is>
          <t>V0017365</t>
        </is>
      </c>
      <c r="F3052" s="523" t="n">
        <v>44468</v>
      </c>
      <c r="G3052" s="556" t="n">
        <v>389547</v>
      </c>
      <c r="I3052" s="521">
        <f>G3052</f>
        <v/>
      </c>
      <c r="K3052" s="521">
        <f>I3052-G3052</f>
        <v/>
      </c>
      <c r="M3052" s="522" t="inlineStr">
        <is>
          <t>V0017365</t>
        </is>
      </c>
      <c r="N3052" s="522" t="inlineStr">
        <is>
          <t>V0017365</t>
        </is>
      </c>
      <c r="O3052" s="521">
        <f>M3052=N3052</f>
        <v/>
      </c>
      <c r="P3052" s="521">
        <f>AND(MONTH(F3052)=MONTH(S3052), YEAR(F3052)=YEAR(S3052))</f>
        <v/>
      </c>
      <c r="Q3052" s="521">
        <f>U3052="L001-901905215"</f>
        <v/>
      </c>
      <c r="R3052" s="556">
        <f>G3052-W3052</f>
        <v/>
      </c>
      <c r="S3052" s="523" t="n">
        <v>44468</v>
      </c>
      <c r="T3052" s="522" t="inlineStr">
        <is>
          <t>V0017365</t>
        </is>
      </c>
      <c r="U3052" s="522" t="inlineStr">
        <is>
          <t>L001-901905215</t>
        </is>
      </c>
      <c r="V3052" s="522" t="inlineStr">
        <is>
          <t>វីអ៊ីស៊ិន (ខេមបូឌា) អ៊ិនដាសស្ទ្រី ឯ.ក</t>
        </is>
      </c>
      <c r="W3052" s="556" t="n">
        <v>354220</v>
      </c>
    </row>
    <row r="3053">
      <c r="A3053" s="521" t="n">
        <v>3045</v>
      </c>
      <c r="B3053" s="522" t="inlineStr">
        <is>
          <t>សំភារះសំណង</t>
        </is>
      </c>
      <c r="C3053" s="522" t="inlineStr">
        <is>
          <t>ឈាន យូ គ័រ ជី ឯ.ក</t>
        </is>
      </c>
      <c r="D3053" s="522" t="inlineStr">
        <is>
          <t>K010-901900368</t>
        </is>
      </c>
      <c r="E3053" s="521" t="inlineStr">
        <is>
          <t>QYTI-21-00011</t>
        </is>
      </c>
      <c r="F3053" s="523" t="n">
        <v>44446</v>
      </c>
      <c r="G3053" s="556" t="n">
        <v>1451479</v>
      </c>
      <c r="I3053" s="521">
        <f>G3053</f>
        <v/>
      </c>
      <c r="K3053" s="521">
        <f>I3053-G3053</f>
        <v/>
      </c>
      <c r="M3053" s="522" t="inlineStr">
        <is>
          <t>QYTI2100011</t>
        </is>
      </c>
      <c r="N3053" s="522" t="inlineStr">
        <is>
          <t>QYTI2100011</t>
        </is>
      </c>
      <c r="O3053" s="521">
        <f>M3053=N3053</f>
        <v/>
      </c>
      <c r="P3053" s="521">
        <f>AND(MONTH(F3053)=MONTH(S3053), YEAR(F3053)=YEAR(S3053))</f>
        <v/>
      </c>
      <c r="Q3053" s="521">
        <f>U3053="L001-901905215"</f>
        <v/>
      </c>
      <c r="R3053" s="556">
        <f>G3053-W3053</f>
        <v/>
      </c>
      <c r="S3053" s="523" t="n">
        <v>44446</v>
      </c>
      <c r="T3053" s="522" t="inlineStr">
        <is>
          <t>QYTI-21-00011</t>
        </is>
      </c>
      <c r="U3053" s="522" t="inlineStr">
        <is>
          <t>L001-901905215</t>
        </is>
      </c>
      <c r="V3053" s="522" t="inlineStr">
        <is>
          <t>វីអ៊ីស៊ិន (ខេមបូឌា) អ៊ិនដាសស្ទ្រី ឯ.ក</t>
        </is>
      </c>
      <c r="W3053" s="556" t="n">
        <v>1451479</v>
      </c>
    </row>
    <row r="3054">
      <c r="A3054" s="521" t="n">
        <v>3046</v>
      </c>
      <c r="B3054" s="522" t="inlineStr">
        <is>
          <t>ផ្លាកក្រដាសនិងក្រដាស</t>
        </is>
      </c>
      <c r="C3054" s="522" t="inlineStr">
        <is>
          <t>ដុងគ័ន ស៊ីធី ហ្វាញស្តារ ព្រីនធីង (ខេមបូឌា)</t>
        </is>
      </c>
      <c r="D3054" s="522" t="inlineStr">
        <is>
          <t>L001-100193021</t>
        </is>
      </c>
      <c r="E3054" s="521" t="inlineStr">
        <is>
          <t>000455</t>
        </is>
      </c>
      <c r="F3054" s="523" t="n">
        <v>44469</v>
      </c>
      <c r="G3054" s="556" t="n">
        <v>52007956</v>
      </c>
      <c r="I3054" s="521">
        <f>G3054</f>
        <v/>
      </c>
      <c r="K3054" s="521">
        <f>I3054-G3054</f>
        <v/>
      </c>
      <c r="M3054" s="522" t="inlineStr">
        <is>
          <t>000455</t>
        </is>
      </c>
      <c r="N3054" s="522" t="inlineStr">
        <is>
          <t>000455</t>
        </is>
      </c>
      <c r="O3054" s="521">
        <f>M3054=N3054</f>
        <v/>
      </c>
      <c r="P3054" s="521">
        <f>AND(MONTH(F3054)=MONTH(S3054), YEAR(F3054)=YEAR(S3054))</f>
        <v/>
      </c>
      <c r="Q3054" s="521">
        <f>U3054="L001-901905215"</f>
        <v/>
      </c>
      <c r="R3054" s="556">
        <f>G3054-W3054</f>
        <v/>
      </c>
      <c r="S3054" s="523" t="n">
        <v>44469</v>
      </c>
      <c r="T3054" s="522" t="inlineStr">
        <is>
          <t>000455</t>
        </is>
      </c>
      <c r="U3054" s="522" t="inlineStr">
        <is>
          <t>L001-901905215</t>
        </is>
      </c>
      <c r="V3054" s="522" t="inlineStr">
        <is>
          <t>វីអ៊ីស៊ិន (ខេមបូឌា) អ៊ិនដាសស្ទ្រី ឯ.ក</t>
        </is>
      </c>
      <c r="W3054" s="556" t="n">
        <v>55361527</v>
      </c>
    </row>
    <row r="3055">
      <c r="A3055" s="521" t="n">
        <v>3047</v>
      </c>
      <c r="B3055" s="522" t="inlineStr">
        <is>
          <t>Factory Expense</t>
        </is>
      </c>
      <c r="C3055" s="522" t="inlineStr">
        <is>
          <t>អ៊ីធើណល យូនៀន អ៊ិនដាសស្ទ្រី (ខេមបូឌា) ឯ.ក</t>
        </is>
      </c>
      <c r="D3055" s="522" t="inlineStr">
        <is>
          <t>L001-901904100</t>
        </is>
      </c>
      <c r="E3055" s="521" t="inlineStr">
        <is>
          <t>20210105</t>
        </is>
      </c>
      <c r="F3055" s="523" t="n">
        <v>44440</v>
      </c>
      <c r="G3055" s="556" t="n">
        <v>2599375</v>
      </c>
      <c r="I3055" s="521">
        <f>G3055</f>
        <v/>
      </c>
      <c r="K3055" s="521">
        <f>I3055-G3055</f>
        <v/>
      </c>
      <c r="M3055" s="522" t="inlineStr">
        <is>
          <t>20210105</t>
        </is>
      </c>
      <c r="N3055" s="522" t="inlineStr"/>
      <c r="O3055" s="521">
        <f>M3055=N3055</f>
        <v/>
      </c>
      <c r="P3055" s="521">
        <f>AND(MONTH(F3055)=MONTH(S3055), YEAR(F3055)=YEAR(S3055))</f>
        <v/>
      </c>
      <c r="Q3055" s="521">
        <f>U3055="L001-901905215"</f>
        <v/>
      </c>
      <c r="R3055" s="556">
        <f>G3055-W3055</f>
        <v/>
      </c>
      <c r="S3055" s="521" t="n"/>
      <c r="T3055" s="522" t="n"/>
      <c r="U3055" s="522" t="n"/>
      <c r="V3055" s="522" t="n"/>
      <c r="W3055" s="521" t="n"/>
    </row>
    <row r="3056">
      <c r="A3056" s="521" t="n">
        <v>3048</v>
      </c>
      <c r="B3056" s="522" t="inlineStr">
        <is>
          <t>Plastic Glue</t>
        </is>
      </c>
      <c r="C3056" s="522" t="inlineStr">
        <is>
          <t>ឌើ សឹង ហ្វា ភែកឃីជីង អ៊ិនដាសស្រ្ទៀល ឯ.ក</t>
        </is>
      </c>
      <c r="D3056" s="522" t="inlineStr">
        <is>
          <t>L001-901638065</t>
        </is>
      </c>
      <c r="E3056" s="521" t="inlineStr">
        <is>
          <t>DSF202100441</t>
        </is>
      </c>
      <c r="F3056" s="523" t="n">
        <v>44449</v>
      </c>
      <c r="G3056" s="556" t="n">
        <v>3313203</v>
      </c>
      <c r="I3056" s="521">
        <f>G3056</f>
        <v/>
      </c>
      <c r="K3056" s="521">
        <f>I3056-G3056</f>
        <v/>
      </c>
      <c r="M3056" s="522" t="inlineStr">
        <is>
          <t>DSF202100441</t>
        </is>
      </c>
      <c r="N3056" s="522" t="inlineStr">
        <is>
          <t>DSF202100441</t>
        </is>
      </c>
      <c r="O3056" s="521">
        <f>M3056=N3056</f>
        <v/>
      </c>
      <c r="P3056" s="521">
        <f>AND(MONTH(F3056)=MONTH(S3056), YEAR(F3056)=YEAR(S3056))</f>
        <v/>
      </c>
      <c r="Q3056" s="521">
        <f>U3056="L001-901905215"</f>
        <v/>
      </c>
      <c r="R3056" s="556">
        <f>G3056-W3056</f>
        <v/>
      </c>
      <c r="S3056" s="523" t="n">
        <v>44449</v>
      </c>
      <c r="T3056" s="522" t="inlineStr">
        <is>
          <t>DSF202100441</t>
        </is>
      </c>
      <c r="U3056" s="522" t="inlineStr">
        <is>
          <t>L001-901905215</t>
        </is>
      </c>
      <c r="V3056" s="522" t="inlineStr">
        <is>
          <t>វីអ៊ីស៊ិន (ខេមបូឌា) អ៊ិនដាសស្ទ្រី ឯ.ក</t>
        </is>
      </c>
      <c r="W3056" s="556" t="n">
        <v>3313203</v>
      </c>
    </row>
    <row r="3057">
      <c r="A3057" s="521" t="n">
        <v>3049</v>
      </c>
      <c r="B3057" s="522" t="inlineStr">
        <is>
          <t>Plastic Glue</t>
        </is>
      </c>
      <c r="C3057" s="522" t="inlineStr">
        <is>
          <t>ឌើ សឹង ហ្វា ភែកឃីជីង អ៊ិនដាសស្រ្ទៀល ឯ.ក</t>
        </is>
      </c>
      <c r="D3057" s="522" t="inlineStr">
        <is>
          <t>L001-901638065</t>
        </is>
      </c>
      <c r="E3057" s="521" t="inlineStr">
        <is>
          <t>DSF202100440</t>
        </is>
      </c>
      <c r="F3057" s="523" t="n">
        <v>44449</v>
      </c>
      <c r="G3057" s="556" t="n">
        <v>1548410</v>
      </c>
      <c r="I3057" s="521">
        <f>G3057</f>
        <v/>
      </c>
      <c r="K3057" s="521">
        <f>I3057-G3057</f>
        <v/>
      </c>
      <c r="M3057" s="522" t="inlineStr">
        <is>
          <t>DSF202100440</t>
        </is>
      </c>
      <c r="N3057" s="522" t="inlineStr">
        <is>
          <t>DSF202100440</t>
        </is>
      </c>
      <c r="O3057" s="521">
        <f>M3057=N3057</f>
        <v/>
      </c>
      <c r="P3057" s="521">
        <f>AND(MONTH(F3057)=MONTH(S3057), YEAR(F3057)=YEAR(S3057))</f>
        <v/>
      </c>
      <c r="Q3057" s="521">
        <f>U3057="L001-901905215"</f>
        <v/>
      </c>
      <c r="R3057" s="556">
        <f>G3057-W3057</f>
        <v/>
      </c>
      <c r="S3057" s="523" t="n">
        <v>44449</v>
      </c>
      <c r="T3057" s="522" t="inlineStr">
        <is>
          <t>DSF202100440</t>
        </is>
      </c>
      <c r="U3057" s="522" t="inlineStr">
        <is>
          <t>L001-901905215</t>
        </is>
      </c>
      <c r="V3057" s="522" t="inlineStr">
        <is>
          <t>វីអ៊ីស៊ិន (ខេមបូឌា) អ៊ិនដាសស្ទ្រី ឯ.ក</t>
        </is>
      </c>
      <c r="W3057" s="556" t="n">
        <v>1548410</v>
      </c>
    </row>
    <row r="3058">
      <c r="A3058" s="521" t="n">
        <v>3050</v>
      </c>
      <c r="B3058" s="522" t="inlineStr">
        <is>
          <t xml:space="preserve">Seal Tape </t>
        </is>
      </c>
      <c r="C3058" s="522" t="inlineStr">
        <is>
          <t>អាន យី​​ ដា (ខេមបូឌា) លេឌើរ ម៉ាស៊ីនើរី ឯ.ក</t>
        </is>
      </c>
      <c r="D3058" s="522" t="inlineStr">
        <is>
          <t>K010-901800961</t>
        </is>
      </c>
      <c r="E3058" s="521" t="inlineStr">
        <is>
          <t>20210035</t>
        </is>
      </c>
      <c r="F3058" s="523" t="n">
        <v>44462</v>
      </c>
      <c r="G3058" s="556" t="n">
        <v>511464</v>
      </c>
      <c r="I3058" s="521">
        <f>G3058</f>
        <v/>
      </c>
      <c r="K3058" s="521">
        <f>I3058-G3058</f>
        <v/>
      </c>
      <c r="M3058" s="522" t="inlineStr">
        <is>
          <t>20210035</t>
        </is>
      </c>
      <c r="N3058" s="522" t="inlineStr"/>
      <c r="O3058" s="521">
        <f>M3058=N3058</f>
        <v/>
      </c>
      <c r="P3058" s="521">
        <f>AND(MONTH(F3058)=MONTH(S3058), YEAR(F3058)=YEAR(S3058))</f>
        <v/>
      </c>
      <c r="Q3058" s="521">
        <f>U3058="L001-901905215"</f>
        <v/>
      </c>
      <c r="R3058" s="556">
        <f>G3058-W3058</f>
        <v/>
      </c>
      <c r="S3058" s="521" t="n"/>
      <c r="T3058" s="522" t="n"/>
      <c r="U3058" s="522" t="n"/>
      <c r="V3058" s="522" t="n"/>
      <c r="W3058" s="521" t="n"/>
    </row>
    <row r="3059">
      <c r="A3059" s="521" t="n">
        <v>3051</v>
      </c>
      <c r="B3059" s="522" t="inlineStr">
        <is>
          <t>ថ្នាំលាប</t>
        </is>
      </c>
      <c r="C3059" s="522" t="inlineStr">
        <is>
          <t>គ្លូប៊ល ហៅស៍ (ខេមបូឌា) ឯ.ក</t>
        </is>
      </c>
      <c r="D3059" s="522" t="inlineStr">
        <is>
          <t>L001-901802873</t>
        </is>
      </c>
      <c r="E3059" s="521" t="inlineStr">
        <is>
          <t>PN1CA013CA-210925-0012</t>
        </is>
      </c>
      <c r="F3059" s="523" t="n">
        <v>44464</v>
      </c>
      <c r="G3059" s="556" t="n">
        <v>36520</v>
      </c>
      <c r="I3059" s="521">
        <f>G3059</f>
        <v/>
      </c>
      <c r="K3059" s="521">
        <f>I3059-G3059</f>
        <v/>
      </c>
      <c r="M3059" s="522" t="inlineStr">
        <is>
          <t>PN1CA013CA2109250012</t>
        </is>
      </c>
      <c r="N3059" s="522" t="inlineStr"/>
      <c r="O3059" s="521">
        <f>M3059=N3059</f>
        <v/>
      </c>
      <c r="P3059" s="521">
        <f>AND(MONTH(F3059)=MONTH(S3059), YEAR(F3059)=YEAR(S3059))</f>
        <v/>
      </c>
      <c r="Q3059" s="521">
        <f>U3059="L001-901905215"</f>
        <v/>
      </c>
      <c r="R3059" s="556">
        <f>G3059-W3059</f>
        <v/>
      </c>
      <c r="S3059" s="521" t="n"/>
      <c r="T3059" s="522" t="n"/>
      <c r="U3059" s="522" t="n"/>
      <c r="V3059" s="522" t="n"/>
      <c r="W3059" s="521" t="n"/>
    </row>
    <row r="3060">
      <c r="A3060" s="521" t="n">
        <v>3052</v>
      </c>
      <c r="B3060" s="522" t="inlineStr">
        <is>
          <t>Monthly Security Service</t>
        </is>
      </c>
      <c r="C3060" s="522" t="inlineStr">
        <is>
          <t>ភី.អិល (ខេមបូឌា) ស៊ីឃ្យួរឹធី</t>
        </is>
      </c>
      <c r="D3060" s="522" t="inlineStr">
        <is>
          <t>K010-901502809</t>
        </is>
      </c>
      <c r="E3060" s="521" t="inlineStr">
        <is>
          <t>PL000770</t>
        </is>
      </c>
      <c r="F3060" s="523" t="n">
        <v>44440</v>
      </c>
      <c r="G3060" s="556" t="n">
        <v>230260</v>
      </c>
      <c r="I3060" s="521">
        <f>G3060</f>
        <v/>
      </c>
      <c r="K3060" s="521">
        <f>I3060-G3060</f>
        <v/>
      </c>
      <c r="M3060" s="522" t="inlineStr">
        <is>
          <t>PL000770</t>
        </is>
      </c>
      <c r="N3060" s="522" t="inlineStr"/>
      <c r="O3060" s="521">
        <f>M3060=N3060</f>
        <v/>
      </c>
      <c r="P3060" s="521">
        <f>AND(MONTH(F3060)=MONTH(S3060), YEAR(F3060)=YEAR(S3060))</f>
        <v/>
      </c>
      <c r="Q3060" s="521">
        <f>U3060="L001-901905215"</f>
        <v/>
      </c>
      <c r="R3060" s="556">
        <f>G3060-W3060</f>
        <v/>
      </c>
      <c r="S3060" s="521" t="n"/>
      <c r="T3060" s="522" t="n"/>
      <c r="U3060" s="522" t="n"/>
      <c r="V3060" s="522" t="n"/>
      <c r="W3060" s="521" t="n"/>
    </row>
    <row r="3061">
      <c r="A3061" s="521" t="n">
        <v>3053</v>
      </c>
      <c r="B3061" s="522" t="inlineStr">
        <is>
          <t>General Pest Control Service on Sep 2021</t>
        </is>
      </c>
      <c r="C3061" s="522" t="inlineStr">
        <is>
          <t>ភីស៊ីអាយ សឺវីស</t>
        </is>
      </c>
      <c r="D3061" s="522" t="inlineStr">
        <is>
          <t>K010-901639639</t>
        </is>
      </c>
      <c r="E3061" s="521" t="inlineStr">
        <is>
          <t>2021-0180</t>
        </is>
      </c>
      <c r="F3061" s="523" t="n">
        <v>44460</v>
      </c>
      <c r="G3061" s="556" t="n">
        <v>80960</v>
      </c>
      <c r="I3061" s="521">
        <f>G3061</f>
        <v/>
      </c>
      <c r="K3061" s="521">
        <f>I3061-G3061</f>
        <v/>
      </c>
      <c r="M3061" s="522" t="inlineStr">
        <is>
          <t>20210180</t>
        </is>
      </c>
      <c r="N3061" s="522" t="inlineStr"/>
      <c r="O3061" s="521">
        <f>M3061=N3061</f>
        <v/>
      </c>
      <c r="P3061" s="521">
        <f>AND(MONTH(F3061)=MONTH(S3061), YEAR(F3061)=YEAR(S3061))</f>
        <v/>
      </c>
      <c r="Q3061" s="521">
        <f>U3061="L001-901905215"</f>
        <v/>
      </c>
      <c r="R3061" s="556">
        <f>G3061-W3061</f>
        <v/>
      </c>
      <c r="S3061" s="521" t="n"/>
      <c r="T3061" s="522" t="n"/>
      <c r="U3061" s="522" t="n"/>
      <c r="V3061" s="522" t="n"/>
      <c r="W3061" s="521" t="n"/>
    </row>
    <row r="3062">
      <c r="A3062" s="521" t="n">
        <v>3054</v>
      </c>
      <c r="B3062" s="522" t="inlineStr">
        <is>
          <t>Waste collection service for Sep  2021</t>
        </is>
      </c>
      <c r="C3062" s="522" t="inlineStr">
        <is>
          <t>ហ្គោមី រីសាយឃល110</t>
        </is>
      </c>
      <c r="D3062" s="522" t="inlineStr">
        <is>
          <t>K010-901503890</t>
        </is>
      </c>
      <c r="E3062" s="521" t="inlineStr">
        <is>
          <t>GR-TIN21/09-004</t>
        </is>
      </c>
      <c r="F3062" s="523" t="n">
        <v>44466</v>
      </c>
      <c r="G3062" s="556" t="n">
        <v>16308</v>
      </c>
      <c r="I3062" s="521">
        <f>G3062</f>
        <v/>
      </c>
      <c r="K3062" s="521">
        <f>I3062-G3062</f>
        <v/>
      </c>
      <c r="M3062" s="522" t="inlineStr">
        <is>
          <t>GRTIN2109004</t>
        </is>
      </c>
      <c r="N3062" s="522" t="inlineStr">
        <is>
          <t>GRTIN2109004</t>
        </is>
      </c>
      <c r="O3062" s="521">
        <f>M3062=N3062</f>
        <v/>
      </c>
      <c r="P3062" s="521">
        <f>AND(MONTH(F3062)=MONTH(S3062), YEAR(F3062)=YEAR(S3062))</f>
        <v/>
      </c>
      <c r="Q3062" s="521">
        <f>U3062="L001-901905215"</f>
        <v/>
      </c>
      <c r="R3062" s="556">
        <f>G3062-W3062</f>
        <v/>
      </c>
      <c r="S3062" s="523" t="n">
        <v>44466</v>
      </c>
      <c r="T3062" s="522" t="inlineStr">
        <is>
          <t>GR-TIN21/09-004</t>
        </is>
      </c>
      <c r="U3062" s="522" t="inlineStr">
        <is>
          <t>L001-901905215</t>
        </is>
      </c>
      <c r="V3062" s="522" t="inlineStr">
        <is>
          <t>វីអ៊ីស៊ិន (ខេមបូឌា) អ៊ិនដាសស្ទ្រី ឯ.ក</t>
        </is>
      </c>
      <c r="W3062" s="556" t="n">
        <v>16308</v>
      </c>
    </row>
    <row r="3063">
      <c r="A3063" s="521" t="n">
        <v>3055</v>
      </c>
      <c r="B3063" s="522" t="inlineStr">
        <is>
          <t>Security guard fee for Sep 2021</t>
        </is>
      </c>
      <c r="C3063" s="522" t="inlineStr">
        <is>
          <t>សហ័ស សិឃ្យូរិធី ឯ.ក</t>
        </is>
      </c>
      <c r="D3063" s="522" t="inlineStr">
        <is>
          <t>K010-107032600</t>
        </is>
      </c>
      <c r="E3063" s="521" t="inlineStr">
        <is>
          <t>SHTI210418</t>
        </is>
      </c>
      <c r="F3063" s="523" t="n">
        <v>44462</v>
      </c>
      <c r="G3063" s="556" t="n">
        <v>228312</v>
      </c>
      <c r="I3063" s="521">
        <f>G3063</f>
        <v/>
      </c>
      <c r="K3063" s="521">
        <f>I3063-G3063</f>
        <v/>
      </c>
      <c r="M3063" s="522" t="inlineStr">
        <is>
          <t>SHTI210418</t>
        </is>
      </c>
      <c r="N3063" s="522" t="inlineStr">
        <is>
          <t>SHTI210418</t>
        </is>
      </c>
      <c r="O3063" s="521">
        <f>M3063=N3063</f>
        <v/>
      </c>
      <c r="P3063" s="521">
        <f>AND(MONTH(F3063)=MONTH(S3063), YEAR(F3063)=YEAR(S3063))</f>
        <v/>
      </c>
      <c r="Q3063" s="521">
        <f>U3063="L001-901905215"</f>
        <v/>
      </c>
      <c r="R3063" s="556">
        <f>G3063-W3063</f>
        <v/>
      </c>
      <c r="S3063" s="523" t="n">
        <v>44462</v>
      </c>
      <c r="T3063" s="522" t="inlineStr">
        <is>
          <t>SHTI210418</t>
        </is>
      </c>
      <c r="U3063" s="522" t="inlineStr">
        <is>
          <t>L001-901905215</t>
        </is>
      </c>
      <c r="V3063" s="522" t="inlineStr">
        <is>
          <t>វីអ៊ីស៊ិន (ខេមបូឌា) អ៊ិនដាសស្ទ្រី ឯ.ក</t>
        </is>
      </c>
      <c r="W3063" s="556" t="n">
        <v>228312</v>
      </c>
    </row>
    <row r="3064">
      <c r="A3064" s="521" t="n">
        <v>3056</v>
      </c>
      <c r="B3064" s="522" t="inlineStr">
        <is>
          <t>MIG Weding Machine</t>
        </is>
      </c>
      <c r="C3064" s="522" t="inlineStr">
        <is>
          <t>មេជេស្ទីក ឡុង ម៉ាស៊ីនើរី អេឃ្វីបម៉ិន ឯ.ក</t>
        </is>
      </c>
      <c r="D3064" s="522" t="inlineStr">
        <is>
          <t>K009-902101873</t>
        </is>
      </c>
      <c r="E3064" s="521" t="inlineStr">
        <is>
          <t>TI064</t>
        </is>
      </c>
      <c r="F3064" s="523" t="n">
        <v>44449</v>
      </c>
      <c r="G3064" s="556" t="n">
        <v>3365175</v>
      </c>
      <c r="I3064" s="521">
        <f>G3064</f>
        <v/>
      </c>
      <c r="K3064" s="521">
        <f>I3064-G3064</f>
        <v/>
      </c>
      <c r="M3064" s="522" t="inlineStr">
        <is>
          <t>TI064</t>
        </is>
      </c>
      <c r="N3064" s="522" t="inlineStr">
        <is>
          <t>TI064</t>
        </is>
      </c>
      <c r="O3064" s="521">
        <f>M3064=N3064</f>
        <v/>
      </c>
      <c r="P3064" s="521">
        <f>AND(MONTH(F3064)=MONTH(S3064), YEAR(F3064)=YEAR(S3064))</f>
        <v/>
      </c>
      <c r="Q3064" s="521">
        <f>U3064="L001-901905215"</f>
        <v/>
      </c>
      <c r="R3064" s="556">
        <f>G3064-W3064</f>
        <v/>
      </c>
      <c r="S3064" s="523" t="n">
        <v>44449</v>
      </c>
      <c r="T3064" s="522" t="inlineStr">
        <is>
          <t>TI064</t>
        </is>
      </c>
      <c r="U3064" s="522" t="inlineStr">
        <is>
          <t>L001-901905215</t>
        </is>
      </c>
      <c r="V3064" s="522" t="inlineStr">
        <is>
          <t>វីអ៊ីស៊ិន (ខេមបូឌា) អ៊ិនដាសស្ទ្រី ឯ.ក</t>
        </is>
      </c>
      <c r="W3064" s="556" t="n">
        <v>3365175</v>
      </c>
    </row>
    <row r="3065">
      <c r="A3065" s="521" t="n">
        <v>3057</v>
      </c>
      <c r="B3065" s="522" t="inlineStr">
        <is>
          <t>Express fee</t>
        </is>
      </c>
      <c r="C3065" s="522" t="inlineStr">
        <is>
          <t>ឌី អេច អិល អិចប្រេស (ខេមបូឌា)</t>
        </is>
      </c>
      <c r="D3065" s="522" t="inlineStr">
        <is>
          <t>L001-100045197</t>
        </is>
      </c>
      <c r="E3065" s="521" t="inlineStr">
        <is>
          <t>PNHR000393917</t>
        </is>
      </c>
      <c r="F3065" s="523" t="n">
        <v>44448</v>
      </c>
      <c r="G3065" s="556" t="n">
        <v>7199</v>
      </c>
      <c r="I3065" s="521">
        <f>G3065</f>
        <v/>
      </c>
      <c r="K3065" s="521">
        <f>I3065-G3065</f>
        <v/>
      </c>
      <c r="M3065" s="522" t="inlineStr">
        <is>
          <t>PNHR000393917</t>
        </is>
      </c>
      <c r="N3065" s="522" t="inlineStr"/>
      <c r="O3065" s="521">
        <f>M3065=N3065</f>
        <v/>
      </c>
      <c r="P3065" s="521">
        <f>AND(MONTH(F3065)=MONTH(S3065), YEAR(F3065)=YEAR(S3065))</f>
        <v/>
      </c>
      <c r="Q3065" s="521">
        <f>U3065="L001-901905215"</f>
        <v/>
      </c>
      <c r="R3065" s="556">
        <f>G3065-W3065</f>
        <v/>
      </c>
      <c r="S3065" s="521" t="n"/>
      <c r="T3065" s="522" t="n"/>
      <c r="U3065" s="522" t="n"/>
      <c r="V3065" s="522" t="n"/>
      <c r="W3065" s="521" t="n"/>
    </row>
    <row r="3066">
      <c r="A3066" s="521" t="n">
        <v>3058</v>
      </c>
      <c r="B3066" s="522" t="inlineStr">
        <is>
          <t>Lift on/ Lift off</t>
        </is>
      </c>
      <c r="C3066" s="522" t="inlineStr">
        <is>
          <t>កំពង់ផែស្វយ័តក្រុងព្រះសីហនុ</t>
        </is>
      </c>
      <c r="D3066" s="522" t="inlineStr">
        <is>
          <t>L001-100044638</t>
        </is>
      </c>
      <c r="E3066" s="521" t="inlineStr">
        <is>
          <t>150384</t>
        </is>
      </c>
      <c r="F3066" s="523" t="n">
        <v>44449</v>
      </c>
      <c r="G3066" s="556" t="n">
        <v>20803</v>
      </c>
      <c r="I3066" s="521">
        <f>G3066</f>
        <v/>
      </c>
      <c r="K3066" s="521">
        <f>I3066-G3066</f>
        <v/>
      </c>
      <c r="M3066" s="522" t="inlineStr">
        <is>
          <t>150384</t>
        </is>
      </c>
      <c r="N3066" s="522" t="inlineStr"/>
      <c r="O3066" s="521">
        <f>M3066=N3066</f>
        <v/>
      </c>
      <c r="P3066" s="521">
        <f>AND(MONTH(F3066)=MONTH(S3066), YEAR(F3066)=YEAR(S3066))</f>
        <v/>
      </c>
      <c r="Q3066" s="521">
        <f>U3066="L001-901905215"</f>
        <v/>
      </c>
      <c r="R3066" s="556">
        <f>G3066-W3066</f>
        <v/>
      </c>
      <c r="S3066" s="521" t="n"/>
      <c r="T3066" s="522" t="n"/>
      <c r="U3066" s="522" t="n"/>
      <c r="V3066" s="522" t="n"/>
      <c r="W3066" s="521" t="n"/>
    </row>
    <row r="3067">
      <c r="A3067" s="521" t="n">
        <v>3059</v>
      </c>
      <c r="B3067" s="522" t="inlineStr">
        <is>
          <t>Lift on/ Lift off</t>
        </is>
      </c>
      <c r="C3067" s="522" t="inlineStr">
        <is>
          <t>កំពង់ផែស្វយ័តភ្នំពេញ "ក.ស.ភ"</t>
        </is>
      </c>
      <c r="D3067" s="522" t="inlineStr">
        <is>
          <t>L001-100044999</t>
        </is>
      </c>
      <c r="E3067" s="521" t="inlineStr">
        <is>
          <t>INV20210954080</t>
        </is>
      </c>
      <c r="F3067" s="523" t="n">
        <v>44454</v>
      </c>
      <c r="G3067" s="556" t="n">
        <v>19579</v>
      </c>
      <c r="I3067" s="521">
        <f>G3067</f>
        <v/>
      </c>
      <c r="K3067" s="521">
        <f>I3067-G3067</f>
        <v/>
      </c>
      <c r="M3067" s="522" t="inlineStr">
        <is>
          <t>INV20210954080</t>
        </is>
      </c>
      <c r="N3067" s="522" t="inlineStr"/>
      <c r="O3067" s="521">
        <f>M3067=N3067</f>
        <v/>
      </c>
      <c r="P3067" s="521">
        <f>AND(MONTH(F3067)=MONTH(S3067), YEAR(F3067)=YEAR(S3067))</f>
        <v/>
      </c>
      <c r="Q3067" s="521">
        <f>U3067="L001-901905215"</f>
        <v/>
      </c>
      <c r="R3067" s="556">
        <f>G3067-W3067</f>
        <v/>
      </c>
      <c r="S3067" s="521" t="n"/>
      <c r="T3067" s="522" t="n"/>
      <c r="U3067" s="522" t="n"/>
      <c r="V3067" s="522" t="n"/>
      <c r="W3067" s="521" t="n"/>
    </row>
    <row r="3068">
      <c r="A3068" s="521" t="n">
        <v>3060</v>
      </c>
      <c r="B3068" s="522" t="inlineStr">
        <is>
          <t>Trucking fee</t>
        </is>
      </c>
      <c r="C3068" s="522" t="inlineStr">
        <is>
          <t>សូស៊ីយេតេ កុងសេស្យូនែរ ដឺ ឡាអេរ៉ូព័រ</t>
        </is>
      </c>
      <c r="D3068" s="522" t="inlineStr">
        <is>
          <t>L001-100047300</t>
        </is>
      </c>
      <c r="E3068" s="521" t="inlineStr">
        <is>
          <t>2100-052967</t>
        </is>
      </c>
      <c r="F3068" s="523" t="n">
        <v>44450</v>
      </c>
      <c r="G3068" s="556" t="n">
        <v>2937</v>
      </c>
      <c r="I3068" s="521">
        <f>G3068</f>
        <v/>
      </c>
      <c r="K3068" s="521">
        <f>I3068-G3068</f>
        <v/>
      </c>
      <c r="M3068" s="522" t="inlineStr">
        <is>
          <t>2100052967</t>
        </is>
      </c>
      <c r="N3068" s="522" t="inlineStr"/>
      <c r="O3068" s="521">
        <f>M3068=N3068</f>
        <v/>
      </c>
      <c r="P3068" s="521">
        <f>AND(MONTH(F3068)=MONTH(S3068), YEAR(F3068)=YEAR(S3068))</f>
        <v/>
      </c>
      <c r="Q3068" s="521">
        <f>U3068="L001-901905215"</f>
        <v/>
      </c>
      <c r="R3068" s="556">
        <f>G3068-W3068</f>
        <v/>
      </c>
      <c r="S3068" s="521" t="n"/>
      <c r="T3068" s="522" t="n"/>
      <c r="U3068" s="522" t="n"/>
      <c r="V3068" s="522" t="n"/>
      <c r="W3068" s="521" t="n"/>
    </row>
    <row r="3069">
      <c r="A3069" s="521" t="n">
        <v>3061</v>
      </c>
      <c r="B3069" s="522" t="inlineStr">
        <is>
          <t>Lift on/ Lift off</t>
        </is>
      </c>
      <c r="C3069" s="522" t="inlineStr">
        <is>
          <t>កំពង់ផែស្វយ័តភ្នំពេញ "ក.ស.ភ"</t>
        </is>
      </c>
      <c r="D3069" s="522" t="inlineStr">
        <is>
          <t>L001-100044999</t>
        </is>
      </c>
      <c r="E3069" s="521" t="inlineStr">
        <is>
          <t>INV20210954751</t>
        </is>
      </c>
      <c r="F3069" s="523" t="n">
        <v>44457</v>
      </c>
      <c r="G3069" s="556" t="n">
        <v>29369</v>
      </c>
      <c r="I3069" s="521">
        <f>G3069</f>
        <v/>
      </c>
      <c r="K3069" s="521">
        <f>I3069-G3069</f>
        <v/>
      </c>
      <c r="M3069" s="522" t="inlineStr">
        <is>
          <t>INV20210954751</t>
        </is>
      </c>
      <c r="N3069" s="522" t="inlineStr"/>
      <c r="O3069" s="521">
        <f>M3069=N3069</f>
        <v/>
      </c>
      <c r="P3069" s="521">
        <f>AND(MONTH(F3069)=MONTH(S3069), YEAR(F3069)=YEAR(S3069))</f>
        <v/>
      </c>
      <c r="Q3069" s="521">
        <f>U3069="L001-901905215"</f>
        <v/>
      </c>
      <c r="R3069" s="556">
        <f>G3069-W3069</f>
        <v/>
      </c>
      <c r="S3069" s="521" t="n"/>
      <c r="T3069" s="522" t="n"/>
      <c r="U3069" s="522" t="n"/>
      <c r="V3069" s="522" t="n"/>
      <c r="W3069" s="521" t="n"/>
    </row>
    <row r="3070">
      <c r="A3070" s="521" t="n">
        <v>3062</v>
      </c>
      <c r="B3070" s="522" t="inlineStr">
        <is>
          <t>Lift on/ Lift off</t>
        </is>
      </c>
      <c r="C3070" s="522" t="inlineStr">
        <is>
          <t>កំពង់ផែស្វយ័តភ្នំពេញ "ក.ស.ភ"</t>
        </is>
      </c>
      <c r="D3070" s="522" t="inlineStr">
        <is>
          <t>L001-100044999</t>
        </is>
      </c>
      <c r="E3070" s="521" t="inlineStr">
        <is>
          <t>INV20210956479</t>
        </is>
      </c>
      <c r="F3070" s="523" t="n">
        <v>44463</v>
      </c>
      <c r="G3070" s="556" t="n">
        <v>39139</v>
      </c>
      <c r="I3070" s="521">
        <f>G3070</f>
        <v/>
      </c>
      <c r="K3070" s="521">
        <f>I3070-G3070</f>
        <v/>
      </c>
      <c r="M3070" s="522" t="inlineStr">
        <is>
          <t>INV20210956479</t>
        </is>
      </c>
      <c r="N3070" s="522" t="inlineStr"/>
      <c r="O3070" s="521">
        <f>M3070=N3070</f>
        <v/>
      </c>
      <c r="P3070" s="521">
        <f>AND(MONTH(F3070)=MONTH(S3070), YEAR(F3070)=YEAR(S3070))</f>
        <v/>
      </c>
      <c r="Q3070" s="521">
        <f>U3070="L001-901905215"</f>
        <v/>
      </c>
      <c r="R3070" s="556">
        <f>G3070-W3070</f>
        <v/>
      </c>
      <c r="S3070" s="521" t="n"/>
      <c r="T3070" s="522" t="n"/>
      <c r="U3070" s="522" t="n"/>
      <c r="V3070" s="522" t="n"/>
      <c r="W3070" s="521" t="n"/>
    </row>
    <row r="3071">
      <c r="A3071" s="521" t="n">
        <v>3063</v>
      </c>
      <c r="B3071" s="522" t="inlineStr">
        <is>
          <t>KHCIC</t>
        </is>
      </c>
      <c r="C3071" s="522" t="inlineStr">
        <is>
          <t>អេសអាយធីស៊ី ខិនថេនើរ ឡាញ (ខេមបូឌា)</t>
        </is>
      </c>
      <c r="D3071" s="522" t="inlineStr">
        <is>
          <t>L001-107035863</t>
        </is>
      </c>
      <c r="E3071" s="521" t="inlineStr">
        <is>
          <t>SITC2021-016565</t>
        </is>
      </c>
      <c r="F3071" s="523" t="n">
        <v>44451</v>
      </c>
      <c r="G3071" s="556" t="n">
        <v>430335</v>
      </c>
      <c r="I3071" s="521">
        <f>G3071</f>
        <v/>
      </c>
      <c r="K3071" s="521">
        <f>I3071-G3071</f>
        <v/>
      </c>
      <c r="M3071" s="522" t="inlineStr">
        <is>
          <t>SITC2021016565</t>
        </is>
      </c>
      <c r="N3071" s="522" t="inlineStr">
        <is>
          <t>SITC2021016565</t>
        </is>
      </c>
      <c r="O3071" s="521">
        <f>M3071=N3071</f>
        <v/>
      </c>
      <c r="P3071" s="521">
        <f>AND(MONTH(F3071)=MONTH(S3071), YEAR(F3071)=YEAR(S3071))</f>
        <v/>
      </c>
      <c r="Q3071" s="521">
        <f>U3071="L001-901905215"</f>
        <v/>
      </c>
      <c r="R3071" s="556">
        <f>G3071-W3071</f>
        <v/>
      </c>
      <c r="S3071" s="523" t="n">
        <v>44451</v>
      </c>
      <c r="T3071" s="522" t="inlineStr">
        <is>
          <t>SITC2021-016565</t>
        </is>
      </c>
      <c r="U3071" s="522" t="inlineStr">
        <is>
          <t>L001-901905215</t>
        </is>
      </c>
      <c r="V3071" s="522" t="inlineStr">
        <is>
          <t>វីអ៊ីស៊ិន (ខេមបូឌា) អ៊ិនដាសស្ទ្រី ឯ.ក</t>
        </is>
      </c>
      <c r="W3071" s="556" t="n">
        <v>430335</v>
      </c>
    </row>
    <row r="3072">
      <c r="A3072" s="521" t="n">
        <v>3064</v>
      </c>
      <c r="B3072" s="522" t="inlineStr">
        <is>
          <t>Lift on/ Lift off</t>
        </is>
      </c>
      <c r="C3072" s="522" t="inlineStr">
        <is>
          <t>កំពង់ផែស្វយ័តក្រុងព្រះសីហនុ</t>
        </is>
      </c>
      <c r="D3072" s="522" t="inlineStr">
        <is>
          <t>L001-100044638</t>
        </is>
      </c>
      <c r="E3072" s="521" t="inlineStr">
        <is>
          <t>157525</t>
        </is>
      </c>
      <c r="F3072" s="523" t="n">
        <v>44461</v>
      </c>
      <c r="G3072" s="556" t="n">
        <v>105187</v>
      </c>
      <c r="I3072" s="521">
        <f>G3072</f>
        <v/>
      </c>
      <c r="K3072" s="521">
        <f>I3072-G3072</f>
        <v/>
      </c>
      <c r="M3072" s="522" t="inlineStr">
        <is>
          <t>157525</t>
        </is>
      </c>
      <c r="N3072" s="522" t="inlineStr"/>
      <c r="O3072" s="521">
        <f>M3072=N3072</f>
        <v/>
      </c>
      <c r="P3072" s="521">
        <f>AND(MONTH(F3072)=MONTH(S3072), YEAR(F3072)=YEAR(S3072))</f>
        <v/>
      </c>
      <c r="Q3072" s="521">
        <f>U3072="L001-901905215"</f>
        <v/>
      </c>
      <c r="R3072" s="556">
        <f>G3072-W3072</f>
        <v/>
      </c>
      <c r="S3072" s="521" t="n"/>
      <c r="T3072" s="522" t="n"/>
      <c r="U3072" s="522" t="n"/>
      <c r="V3072" s="522" t="n"/>
      <c r="W3072" s="521" t="n"/>
    </row>
    <row r="3073">
      <c r="A3073" s="521" t="n">
        <v>3065</v>
      </c>
      <c r="B3073" s="522" t="inlineStr">
        <is>
          <t>Trucking fee</t>
        </is>
      </c>
      <c r="C3073" s="522" t="inlineStr">
        <is>
          <t>អ៊ែរ៉ូ ស៊ីបភីង អេជេនស៊ី</t>
        </is>
      </c>
      <c r="D3073" s="522" t="inlineStr">
        <is>
          <t>K004-901635903</t>
        </is>
      </c>
      <c r="E3073" s="521" t="inlineStr">
        <is>
          <t>IKPSA2021529510</t>
        </is>
      </c>
      <c r="F3073" s="523" t="n">
        <v>44455</v>
      </c>
      <c r="G3073" s="556" t="n">
        <v>391488</v>
      </c>
      <c r="I3073" s="521">
        <f>G3073</f>
        <v/>
      </c>
      <c r="K3073" s="521">
        <f>I3073-G3073</f>
        <v/>
      </c>
      <c r="M3073" s="522" t="inlineStr">
        <is>
          <t>IKPSA2021529510</t>
        </is>
      </c>
      <c r="N3073" s="522" t="inlineStr">
        <is>
          <t>IKPSA2021529510</t>
        </is>
      </c>
      <c r="O3073" s="521">
        <f>M3073=N3073</f>
        <v/>
      </c>
      <c r="P3073" s="521">
        <f>AND(MONTH(F3073)=MONTH(S3073), YEAR(F3073)=YEAR(S3073))</f>
        <v/>
      </c>
      <c r="Q3073" s="521">
        <f>U3073="L001-901905215"</f>
        <v/>
      </c>
      <c r="R3073" s="556">
        <f>G3073-W3073</f>
        <v/>
      </c>
      <c r="S3073" s="523" t="n">
        <v>44453</v>
      </c>
      <c r="T3073" s="522" t="inlineStr">
        <is>
          <t>IKPSA2021529510</t>
        </is>
      </c>
      <c r="U3073" s="522" t="inlineStr">
        <is>
          <t>L001-901905215</t>
        </is>
      </c>
      <c r="V3073" s="522" t="inlineStr">
        <is>
          <t>វីអ៊ីស៊ិន (ខេមបូឌា) អ៊ិនដាសស្ទ្រី ឯ.ក</t>
        </is>
      </c>
      <c r="W3073" s="556" t="n">
        <v>391584</v>
      </c>
    </row>
    <row r="3074">
      <c r="A3074" s="521" t="n">
        <v>3066</v>
      </c>
      <c r="B3074" s="522" t="inlineStr">
        <is>
          <t>Trucking fee</t>
        </is>
      </c>
      <c r="C3074" s="522" t="inlineStr">
        <is>
          <t>អ៊ែរ៉ូ ស៊ីបភីង អេជេនស៊ី</t>
        </is>
      </c>
      <c r="D3074" s="522" t="inlineStr">
        <is>
          <t>K004-901635903</t>
        </is>
      </c>
      <c r="E3074" s="521" t="inlineStr">
        <is>
          <t>IKPSA2021529509</t>
        </is>
      </c>
      <c r="F3074" s="523" t="n">
        <v>44455</v>
      </c>
      <c r="G3074" s="556" t="n">
        <v>7415</v>
      </c>
      <c r="I3074" s="521">
        <f>G3074</f>
        <v/>
      </c>
      <c r="K3074" s="521">
        <f>I3074-G3074</f>
        <v/>
      </c>
      <c r="M3074" s="522" t="inlineStr">
        <is>
          <t>IKPSA2021529509</t>
        </is>
      </c>
      <c r="N3074" s="522" t="inlineStr">
        <is>
          <t>IKPSA2021529509</t>
        </is>
      </c>
      <c r="O3074" s="521">
        <f>M3074=N3074</f>
        <v/>
      </c>
      <c r="P3074" s="521">
        <f>AND(MONTH(F3074)=MONTH(S3074), YEAR(F3074)=YEAR(S3074))</f>
        <v/>
      </c>
      <c r="Q3074" s="521">
        <f>U3074="L001-901905215"</f>
        <v/>
      </c>
      <c r="R3074" s="556">
        <f>G3074-W3074</f>
        <v/>
      </c>
      <c r="S3074" s="523" t="n">
        <v>44453</v>
      </c>
      <c r="T3074" s="522" t="inlineStr">
        <is>
          <t>IKPSA2021529509</t>
        </is>
      </c>
      <c r="U3074" s="522" t="inlineStr">
        <is>
          <t>L001-901905215</t>
        </is>
      </c>
      <c r="V3074" s="522" t="inlineStr">
        <is>
          <t>វីអ៊ីស៊ិន (ខេមបូឌា) អ៊ិនដាសស្ទ្រី ឯ.ក</t>
        </is>
      </c>
      <c r="W3074" s="556" t="n">
        <v>7416</v>
      </c>
    </row>
    <row r="3075">
      <c r="A3075" s="521" t="n">
        <v>3067</v>
      </c>
      <c r="B3075" s="522" t="inlineStr">
        <is>
          <t>Trucking fee</t>
        </is>
      </c>
      <c r="C3075" s="522" t="inlineStr">
        <is>
          <t>អ៊ែរ៉ូ ស៊ីបភីង អេជេនស៊ី</t>
        </is>
      </c>
      <c r="D3075" s="522" t="inlineStr">
        <is>
          <t>K004-901635903</t>
        </is>
      </c>
      <c r="E3075" s="521" t="inlineStr">
        <is>
          <t>IKPSA2021529511</t>
        </is>
      </c>
      <c r="F3075" s="523" t="n">
        <v>44455</v>
      </c>
      <c r="G3075" s="556" t="n">
        <v>383332</v>
      </c>
      <c r="I3075" s="521">
        <f>G3075</f>
        <v/>
      </c>
      <c r="K3075" s="521">
        <f>I3075-G3075</f>
        <v/>
      </c>
      <c r="M3075" s="522" t="inlineStr">
        <is>
          <t>IKPSA2021529511</t>
        </is>
      </c>
      <c r="N3075" s="522" t="inlineStr">
        <is>
          <t>IKPSA2021529511</t>
        </is>
      </c>
      <c r="O3075" s="521">
        <f>M3075=N3075</f>
        <v/>
      </c>
      <c r="P3075" s="521">
        <f>AND(MONTH(F3075)=MONTH(S3075), YEAR(F3075)=YEAR(S3075))</f>
        <v/>
      </c>
      <c r="Q3075" s="521">
        <f>U3075="L001-901905215"</f>
        <v/>
      </c>
      <c r="R3075" s="556">
        <f>G3075-W3075</f>
        <v/>
      </c>
      <c r="S3075" s="523" t="n">
        <v>44453</v>
      </c>
      <c r="T3075" s="522" t="inlineStr">
        <is>
          <t>IKPSA2021529511</t>
        </is>
      </c>
      <c r="U3075" s="522" t="inlineStr">
        <is>
          <t>L001-901905215</t>
        </is>
      </c>
      <c r="V3075" s="522" t="inlineStr">
        <is>
          <t>វីអ៊ីស៊ិន (ខេមបូឌា) អ៊ិនដាសស្ទ្រី ឯ.ក</t>
        </is>
      </c>
      <c r="W3075" s="556" t="n">
        <v>383426</v>
      </c>
    </row>
    <row r="3076">
      <c r="A3076" s="521" t="n">
        <v>3068</v>
      </c>
      <c r="B3076" s="522" t="inlineStr">
        <is>
          <t>Lift on/ Lift off</t>
        </is>
      </c>
      <c r="C3076" s="522" t="inlineStr">
        <is>
          <t>កំពង់ផែស្វយ័តក្រុងព្រះសីហនុ</t>
        </is>
      </c>
      <c r="D3076" s="522" t="inlineStr">
        <is>
          <t>L001-100044638</t>
        </is>
      </c>
      <c r="E3076" s="521" t="inlineStr">
        <is>
          <t>158681</t>
        </is>
      </c>
      <c r="F3076" s="523" t="n">
        <v>44462</v>
      </c>
      <c r="G3076" s="556" t="n">
        <v>200588</v>
      </c>
      <c r="I3076" s="521">
        <f>G3076</f>
        <v/>
      </c>
      <c r="K3076" s="521">
        <f>I3076-G3076</f>
        <v/>
      </c>
      <c r="M3076" s="522" t="inlineStr">
        <is>
          <t>158681</t>
        </is>
      </c>
      <c r="N3076" s="522" t="inlineStr"/>
      <c r="O3076" s="521">
        <f>M3076=N3076</f>
        <v/>
      </c>
      <c r="P3076" s="521">
        <f>AND(MONTH(F3076)=MONTH(S3076), YEAR(F3076)=YEAR(S3076))</f>
        <v/>
      </c>
      <c r="Q3076" s="521">
        <f>U3076="L001-901905215"</f>
        <v/>
      </c>
      <c r="R3076" s="556">
        <f>G3076-W3076</f>
        <v/>
      </c>
      <c r="S3076" s="521" t="n"/>
      <c r="T3076" s="522" t="n"/>
      <c r="U3076" s="522" t="n"/>
      <c r="V3076" s="522" t="n"/>
      <c r="W3076" s="521" t="n"/>
    </row>
    <row r="3077">
      <c r="A3077" s="521" t="n">
        <v>3069</v>
      </c>
      <c r="B3077" s="522" t="inlineStr">
        <is>
          <t>Lift on/ Lift off</t>
        </is>
      </c>
      <c r="C3077" s="522" t="inlineStr">
        <is>
          <t>កំពង់ផែស្វយ័តភ្នំពេញ "ក.ស.ភ"</t>
        </is>
      </c>
      <c r="D3077" s="522" t="inlineStr">
        <is>
          <t>L001-100044999</t>
        </is>
      </c>
      <c r="E3077" s="521" t="inlineStr">
        <is>
          <t>INV20210952932</t>
        </is>
      </c>
      <c r="F3077" s="523" t="n">
        <v>44450</v>
      </c>
      <c r="G3077" s="556" t="n">
        <v>29369</v>
      </c>
      <c r="I3077" s="521">
        <f>G3077</f>
        <v/>
      </c>
      <c r="K3077" s="521">
        <f>I3077-G3077</f>
        <v/>
      </c>
      <c r="M3077" s="522" t="inlineStr">
        <is>
          <t>INV20210952932</t>
        </is>
      </c>
      <c r="N3077" s="522" t="inlineStr"/>
      <c r="O3077" s="521">
        <f>M3077=N3077</f>
        <v/>
      </c>
      <c r="P3077" s="521">
        <f>AND(MONTH(F3077)=MONTH(S3077), YEAR(F3077)=YEAR(S3077))</f>
        <v/>
      </c>
      <c r="Q3077" s="521">
        <f>U3077="L001-901905215"</f>
        <v/>
      </c>
      <c r="R3077" s="556">
        <f>G3077-W3077</f>
        <v/>
      </c>
      <c r="S3077" s="521" t="n"/>
      <c r="T3077" s="522" t="n"/>
      <c r="U3077" s="522" t="n"/>
      <c r="V3077" s="522" t="n"/>
      <c r="W3077" s="521" t="n"/>
    </row>
    <row r="3078">
      <c r="A3078" s="521" t="n">
        <v>3070</v>
      </c>
      <c r="B3078" s="522" t="inlineStr">
        <is>
          <t>Lift on/ Lift off</t>
        </is>
      </c>
      <c r="C3078" s="522" t="inlineStr">
        <is>
          <t>កំពង់ផែស្វយ័តភ្នំពេញ "ក.ស.ភ"</t>
        </is>
      </c>
      <c r="D3078" s="522" t="inlineStr">
        <is>
          <t>L001-100044999</t>
        </is>
      </c>
      <c r="E3078" s="521" t="inlineStr">
        <is>
          <t>INV20210951180</t>
        </is>
      </c>
      <c r="F3078" s="523" t="n">
        <v>44443</v>
      </c>
      <c r="G3078" s="556" t="n">
        <v>29390</v>
      </c>
      <c r="I3078" s="521">
        <f>G3078</f>
        <v/>
      </c>
      <c r="K3078" s="521">
        <f>I3078-G3078</f>
        <v/>
      </c>
      <c r="M3078" s="522" t="inlineStr">
        <is>
          <t>INV20210951180</t>
        </is>
      </c>
      <c r="N3078" s="522" t="inlineStr"/>
      <c r="O3078" s="521">
        <f>M3078=N3078</f>
        <v/>
      </c>
      <c r="P3078" s="521">
        <f>AND(MONTH(F3078)=MONTH(S3078), YEAR(F3078)=YEAR(S3078))</f>
        <v/>
      </c>
      <c r="Q3078" s="521">
        <f>U3078="L001-901905215"</f>
        <v/>
      </c>
      <c r="R3078" s="556">
        <f>G3078-W3078</f>
        <v/>
      </c>
      <c r="S3078" s="521" t="n"/>
      <c r="T3078" s="522" t="n"/>
      <c r="U3078" s="522" t="n"/>
      <c r="V3078" s="522" t="n"/>
      <c r="W3078" s="521" t="n"/>
    </row>
    <row r="3079">
      <c r="A3079" s="521" t="n">
        <v>3071</v>
      </c>
      <c r="B3079" s="522" t="inlineStr">
        <is>
          <t>Custom clearance and Trucking fee</t>
        </is>
      </c>
      <c r="C3079" s="522" t="inlineStr">
        <is>
          <t>56ប៊ី-លីង សឹបផ្លាយ ឆេន មេនេចម៉ិន ឯ.ក</t>
        </is>
      </c>
      <c r="D3079" s="522" t="inlineStr">
        <is>
          <t>K004-902004795</t>
        </is>
      </c>
      <c r="E3079" s="521" t="inlineStr">
        <is>
          <t>IN202109-0512</t>
        </is>
      </c>
      <c r="F3079" s="523" t="n">
        <v>44459</v>
      </c>
      <c r="G3079" s="556" t="n">
        <v>165200</v>
      </c>
      <c r="I3079" s="521">
        <f>G3079</f>
        <v/>
      </c>
      <c r="K3079" s="521">
        <f>I3079-G3079</f>
        <v/>
      </c>
      <c r="M3079" s="522" t="inlineStr">
        <is>
          <t>IN2021090512</t>
        </is>
      </c>
      <c r="N3079" s="522" t="inlineStr">
        <is>
          <t>IN2021090512</t>
        </is>
      </c>
      <c r="O3079" s="521">
        <f>M3079=N3079</f>
        <v/>
      </c>
      <c r="P3079" s="521">
        <f>AND(MONTH(F3079)=MONTH(S3079), YEAR(F3079)=YEAR(S3079))</f>
        <v/>
      </c>
      <c r="Q3079" s="521">
        <f>U3079="L001-901905215"</f>
        <v/>
      </c>
      <c r="R3079" s="556">
        <f>G3079-W3079</f>
        <v/>
      </c>
      <c r="S3079" s="523" t="n">
        <v>44459</v>
      </c>
      <c r="T3079" s="522" t="inlineStr">
        <is>
          <t>IN202109-0512</t>
        </is>
      </c>
      <c r="U3079" s="522" t="inlineStr">
        <is>
          <t>L001-901905215</t>
        </is>
      </c>
      <c r="V3079" s="522" t="inlineStr">
        <is>
          <t>វីអ៊ីស៊ិន (ខេមបូឌា) អ៊ិនដាសស្ទ្រី ឯ.ក</t>
        </is>
      </c>
      <c r="W3079" s="556" t="n">
        <v>165200</v>
      </c>
    </row>
    <row r="3080">
      <c r="A3080" s="521" t="n">
        <v>3072</v>
      </c>
      <c r="B3080" s="522" t="inlineStr">
        <is>
          <t>Custom clearance and Trucking fee</t>
        </is>
      </c>
      <c r="C3080" s="522" t="inlineStr">
        <is>
          <t>56ប៊ី-លីង សឹបផ្លាយ ឆេន មេនេចម៉ិន ឯ.ក</t>
        </is>
      </c>
      <c r="D3080" s="522" t="inlineStr">
        <is>
          <t>K004-902004795</t>
        </is>
      </c>
      <c r="E3080" s="521" t="inlineStr">
        <is>
          <t>IN202109-0511</t>
        </is>
      </c>
      <c r="F3080" s="523" t="n">
        <v>44459</v>
      </c>
      <c r="G3080" s="556" t="n">
        <v>591455</v>
      </c>
      <c r="I3080" s="521">
        <f>G3080</f>
        <v/>
      </c>
      <c r="K3080" s="521">
        <f>I3080-G3080</f>
        <v/>
      </c>
      <c r="M3080" s="522" t="inlineStr">
        <is>
          <t>IN2021090511</t>
        </is>
      </c>
      <c r="N3080" s="522" t="inlineStr">
        <is>
          <t>IN2021090511</t>
        </is>
      </c>
      <c r="O3080" s="521">
        <f>M3080=N3080</f>
        <v/>
      </c>
      <c r="P3080" s="521">
        <f>AND(MONTH(F3080)=MONTH(S3080), YEAR(F3080)=YEAR(S3080))</f>
        <v/>
      </c>
      <c r="Q3080" s="521">
        <f>U3080="L001-901905215"</f>
        <v/>
      </c>
      <c r="R3080" s="556">
        <f>G3080-W3080</f>
        <v/>
      </c>
      <c r="S3080" s="523" t="n">
        <v>44459</v>
      </c>
      <c r="T3080" s="522" t="inlineStr">
        <is>
          <t>IN202109-0511</t>
        </is>
      </c>
      <c r="U3080" s="522" t="inlineStr">
        <is>
          <t>L001-901905215</t>
        </is>
      </c>
      <c r="V3080" s="522" t="inlineStr">
        <is>
          <t>វីអ៊ីស៊ិន (ខេមបូឌា) អ៊ិនដាសស្ទ្រី ឯ.ក</t>
        </is>
      </c>
      <c r="W3080" s="556" t="n">
        <v>591455</v>
      </c>
    </row>
    <row r="3081">
      <c r="A3081" s="521" t="n">
        <v>3073</v>
      </c>
      <c r="B3081" s="522" t="inlineStr">
        <is>
          <t>Custom clearance and Trucking fee</t>
        </is>
      </c>
      <c r="C3081" s="522" t="inlineStr">
        <is>
          <t>56ប៊ី-លីង សឹបផ្លាយ ឆេន មេនេចម៉ិន ឯ.ក</t>
        </is>
      </c>
      <c r="D3081" s="522" t="inlineStr">
        <is>
          <t>K004-902004795</t>
        </is>
      </c>
      <c r="E3081" s="521" t="inlineStr">
        <is>
          <t>IN202109-0535</t>
        </is>
      </c>
      <c r="F3081" s="523" t="n">
        <v>44469</v>
      </c>
      <c r="G3081" s="556" t="n">
        <v>1146200</v>
      </c>
      <c r="I3081" s="521">
        <f>G3081</f>
        <v/>
      </c>
      <c r="K3081" s="521">
        <f>I3081-G3081</f>
        <v/>
      </c>
      <c r="M3081" s="522" t="inlineStr">
        <is>
          <t>IN2021090535</t>
        </is>
      </c>
      <c r="N3081" s="522" t="inlineStr">
        <is>
          <t>IN2021090535</t>
        </is>
      </c>
      <c r="O3081" s="521">
        <f>M3081=N3081</f>
        <v/>
      </c>
      <c r="P3081" s="521">
        <f>AND(MONTH(F3081)=MONTH(S3081), YEAR(F3081)=YEAR(S3081))</f>
        <v/>
      </c>
      <c r="Q3081" s="521">
        <f>U3081="L001-901905215"</f>
        <v/>
      </c>
      <c r="R3081" s="556">
        <f>G3081-W3081</f>
        <v/>
      </c>
      <c r="S3081" s="523" t="n">
        <v>44469</v>
      </c>
      <c r="T3081" s="522" t="inlineStr">
        <is>
          <t>IN202109-0535</t>
        </is>
      </c>
      <c r="U3081" s="522" t="inlineStr">
        <is>
          <t>L001-901905215</t>
        </is>
      </c>
      <c r="V3081" s="522" t="inlineStr">
        <is>
          <t>វីអ៊ីស៊ិន (ខេមបូឌា) អ៊ិនដាសស្ទ្រី ឯ.ក</t>
        </is>
      </c>
      <c r="W3081" s="556" t="n">
        <v>1146200</v>
      </c>
    </row>
    <row r="3082">
      <c r="A3082" s="521" t="n">
        <v>3074</v>
      </c>
      <c r="B3082" s="522" t="inlineStr">
        <is>
          <t>Custom clearance and Trucking fee</t>
        </is>
      </c>
      <c r="C3082" s="522" t="inlineStr">
        <is>
          <t>56ប៊ី-លីង សឹបផ្លាយ ឆេន មេនេចម៉ិន ឯ.ក</t>
        </is>
      </c>
      <c r="D3082" s="522" t="inlineStr">
        <is>
          <t>K004-902004795</t>
        </is>
      </c>
      <c r="E3082" s="521" t="inlineStr">
        <is>
          <t>IN202109-0534</t>
        </is>
      </c>
      <c r="F3082" s="523" t="n">
        <v>44469</v>
      </c>
      <c r="G3082" s="556" t="n">
        <v>591455</v>
      </c>
      <c r="I3082" s="521">
        <f>G3082</f>
        <v/>
      </c>
      <c r="K3082" s="521">
        <f>I3082-G3082</f>
        <v/>
      </c>
      <c r="M3082" s="522" t="inlineStr">
        <is>
          <t>IN2021090534</t>
        </is>
      </c>
      <c r="N3082" s="522" t="inlineStr">
        <is>
          <t>IN2021090534</t>
        </is>
      </c>
      <c r="O3082" s="521">
        <f>M3082=N3082</f>
        <v/>
      </c>
      <c r="P3082" s="521">
        <f>AND(MONTH(F3082)=MONTH(S3082), YEAR(F3082)=YEAR(S3082))</f>
        <v/>
      </c>
      <c r="Q3082" s="521">
        <f>U3082="L001-901905215"</f>
        <v/>
      </c>
      <c r="R3082" s="556">
        <f>G3082-W3082</f>
        <v/>
      </c>
      <c r="S3082" s="523" t="n">
        <v>44469</v>
      </c>
      <c r="T3082" s="522" t="inlineStr">
        <is>
          <t>IN202109-0534</t>
        </is>
      </c>
      <c r="U3082" s="522" t="inlineStr">
        <is>
          <t>L001-901905215</t>
        </is>
      </c>
      <c r="V3082" s="522" t="inlineStr">
        <is>
          <t>វីអ៊ីស៊ិន (ខេមបូឌា) អ៊ិនដាសស្ទ្រី ឯ.ក</t>
        </is>
      </c>
      <c r="W3082" s="556" t="n">
        <v>591455</v>
      </c>
    </row>
    <row r="3083">
      <c r="A3083" s="521" t="n">
        <v>3075</v>
      </c>
      <c r="B3083" s="522" t="inlineStr">
        <is>
          <t>Custom clearance and Trucking fee</t>
        </is>
      </c>
      <c r="C3083" s="522" t="inlineStr">
        <is>
          <t>56ប៊ី-លីង សឹបផ្លាយ ឆេន មេនេចម៉ិន ឯ.ក</t>
        </is>
      </c>
      <c r="D3083" s="522" t="inlineStr">
        <is>
          <t>K004-902004795</t>
        </is>
      </c>
      <c r="E3083" s="521" t="inlineStr">
        <is>
          <t>IN202109-0533</t>
        </is>
      </c>
      <c r="F3083" s="523" t="n">
        <v>44469</v>
      </c>
      <c r="G3083" s="556" t="n">
        <v>460927</v>
      </c>
      <c r="I3083" s="521">
        <f>G3083</f>
        <v/>
      </c>
      <c r="K3083" s="521">
        <f>I3083-G3083</f>
        <v/>
      </c>
      <c r="M3083" s="522" t="inlineStr">
        <is>
          <t>IN2021090533</t>
        </is>
      </c>
      <c r="N3083" s="522" t="inlineStr">
        <is>
          <t>IN2021090533</t>
        </is>
      </c>
      <c r="O3083" s="521">
        <f>M3083=N3083</f>
        <v/>
      </c>
      <c r="P3083" s="521">
        <f>AND(MONTH(F3083)=MONTH(S3083), YEAR(F3083)=YEAR(S3083))</f>
        <v/>
      </c>
      <c r="Q3083" s="521">
        <f>U3083="L001-901905215"</f>
        <v/>
      </c>
      <c r="R3083" s="556">
        <f>G3083-W3083</f>
        <v/>
      </c>
      <c r="S3083" s="523" t="n">
        <v>44469</v>
      </c>
      <c r="T3083" s="522" t="inlineStr">
        <is>
          <t>IN202109-0533</t>
        </is>
      </c>
      <c r="U3083" s="522" t="inlineStr">
        <is>
          <t>L001-901905215</t>
        </is>
      </c>
      <c r="V3083" s="522" t="inlineStr">
        <is>
          <t>វីអ៊ីស៊ិន (ខេមបូឌា) អ៊ិនដាសស្ទ្រី ឯ.ក</t>
        </is>
      </c>
      <c r="W3083" s="556" t="n">
        <v>460927</v>
      </c>
    </row>
    <row r="3084">
      <c r="A3084" s="521" t="n">
        <v>3076</v>
      </c>
      <c r="B3084" s="522" t="inlineStr">
        <is>
          <t>Custom clearance and Trucking fee</t>
        </is>
      </c>
      <c r="C3084" s="522" t="inlineStr">
        <is>
          <t>56ប៊ី-លីង សឹបផ្លាយ ឆេន មេនេចម៉ិន ឯ.ក</t>
        </is>
      </c>
      <c r="D3084" s="522" t="inlineStr">
        <is>
          <t>K004-902004795</t>
        </is>
      </c>
      <c r="E3084" s="521" t="inlineStr">
        <is>
          <t>IN202109-0532</t>
        </is>
      </c>
      <c r="F3084" s="523" t="n">
        <v>44469</v>
      </c>
      <c r="G3084" s="556" t="n">
        <v>271255</v>
      </c>
      <c r="I3084" s="521">
        <f>G3084</f>
        <v/>
      </c>
      <c r="K3084" s="521">
        <f>I3084-G3084</f>
        <v/>
      </c>
      <c r="M3084" s="522" t="inlineStr">
        <is>
          <t>IN2021090532</t>
        </is>
      </c>
      <c r="N3084" s="522" t="inlineStr">
        <is>
          <t>IN2021090532</t>
        </is>
      </c>
      <c r="O3084" s="521">
        <f>M3084=N3084</f>
        <v/>
      </c>
      <c r="P3084" s="521">
        <f>AND(MONTH(F3084)=MONTH(S3084), YEAR(F3084)=YEAR(S3084))</f>
        <v/>
      </c>
      <c r="Q3084" s="521">
        <f>U3084="L001-901905215"</f>
        <v/>
      </c>
      <c r="R3084" s="556">
        <f>G3084-W3084</f>
        <v/>
      </c>
      <c r="S3084" s="523" t="n">
        <v>44469</v>
      </c>
      <c r="T3084" s="522" t="inlineStr">
        <is>
          <t>IN202109-0532</t>
        </is>
      </c>
      <c r="U3084" s="522" t="inlineStr">
        <is>
          <t>L001-901905215</t>
        </is>
      </c>
      <c r="V3084" s="522" t="inlineStr">
        <is>
          <t>វីអ៊ីស៊ិន (ខេមបូឌា) អ៊ិនដាសស្ទ្រី ឯ.ក</t>
        </is>
      </c>
      <c r="W3084" s="556" t="n">
        <v>271255</v>
      </c>
    </row>
    <row r="3085">
      <c r="A3085" s="521" t="n">
        <v>3077</v>
      </c>
      <c r="B3085" s="522" t="inlineStr">
        <is>
          <t>Custom clearance and Trucking fee</t>
        </is>
      </c>
      <c r="C3085" s="522" t="inlineStr">
        <is>
          <t>56ប៊ី-លីង សឹបផ្លាយ ឆេន មេនេចម៉ិន ឯ.ក</t>
        </is>
      </c>
      <c r="D3085" s="522" t="inlineStr">
        <is>
          <t>K004-902004795</t>
        </is>
      </c>
      <c r="E3085" s="521" t="inlineStr">
        <is>
          <t>IN202109-0510</t>
        </is>
      </c>
      <c r="F3085" s="523" t="n">
        <v>44459</v>
      </c>
      <c r="G3085" s="556" t="n">
        <v>868827</v>
      </c>
      <c r="I3085" s="521">
        <f>G3085</f>
        <v/>
      </c>
      <c r="K3085" s="521">
        <f>I3085-G3085</f>
        <v/>
      </c>
      <c r="M3085" s="522" t="inlineStr">
        <is>
          <t>IN2021090510</t>
        </is>
      </c>
      <c r="N3085" s="522" t="inlineStr">
        <is>
          <t>IN2021090510</t>
        </is>
      </c>
      <c r="O3085" s="521">
        <f>M3085=N3085</f>
        <v/>
      </c>
      <c r="P3085" s="521">
        <f>AND(MONTH(F3085)=MONTH(S3085), YEAR(F3085)=YEAR(S3085))</f>
        <v/>
      </c>
      <c r="Q3085" s="521">
        <f>U3085="L001-901905215"</f>
        <v/>
      </c>
      <c r="R3085" s="556">
        <f>G3085-W3085</f>
        <v/>
      </c>
      <c r="S3085" s="523" t="n">
        <v>44459</v>
      </c>
      <c r="T3085" s="522" t="inlineStr">
        <is>
          <t>IN202109-0510</t>
        </is>
      </c>
      <c r="U3085" s="522" t="inlineStr">
        <is>
          <t>L001-901905215</t>
        </is>
      </c>
      <c r="V3085" s="522" t="inlineStr">
        <is>
          <t>វីអ៊ីស៊ិន (ខេមបូឌា) អ៊ិនដាសស្ទ្រី ឯ.ក</t>
        </is>
      </c>
      <c r="W3085" s="556" t="n">
        <v>868827</v>
      </c>
    </row>
    <row r="3086">
      <c r="A3086" s="521" t="n">
        <v>3078</v>
      </c>
      <c r="B3086" s="522" t="inlineStr">
        <is>
          <t>Custom clearance and Trucking fee</t>
        </is>
      </c>
      <c r="C3086" s="522" t="inlineStr">
        <is>
          <t>56ប៊ី-លីង សឹបផ្លាយ ឆេន មេនេចម៉ិន ឯ.ក</t>
        </is>
      </c>
      <c r="D3086" s="522" t="inlineStr">
        <is>
          <t>K004-902004795</t>
        </is>
      </c>
      <c r="E3086" s="521" t="inlineStr">
        <is>
          <t>IN202109-0508</t>
        </is>
      </c>
      <c r="F3086" s="523" t="n">
        <v>44459</v>
      </c>
      <c r="G3086" s="556" t="n">
        <v>976918</v>
      </c>
      <c r="I3086" s="521">
        <f>G3086</f>
        <v/>
      </c>
      <c r="K3086" s="521">
        <f>I3086-G3086</f>
        <v/>
      </c>
      <c r="M3086" s="522" t="inlineStr">
        <is>
          <t>IN2021090508</t>
        </is>
      </c>
      <c r="N3086" s="522" t="inlineStr">
        <is>
          <t>IN2021090508</t>
        </is>
      </c>
      <c r="O3086" s="521">
        <f>M3086=N3086</f>
        <v/>
      </c>
      <c r="P3086" s="521">
        <f>AND(MONTH(F3086)=MONTH(S3086), YEAR(F3086)=YEAR(S3086))</f>
        <v/>
      </c>
      <c r="Q3086" s="521">
        <f>U3086="L001-901905215"</f>
        <v/>
      </c>
      <c r="R3086" s="556">
        <f>G3086-W3086</f>
        <v/>
      </c>
      <c r="S3086" s="523" t="n">
        <v>44459</v>
      </c>
      <c r="T3086" s="522" t="inlineStr">
        <is>
          <t>IN202109-0508</t>
        </is>
      </c>
      <c r="U3086" s="522" t="inlineStr">
        <is>
          <t>L001-901905215</t>
        </is>
      </c>
      <c r="V3086" s="522" t="inlineStr">
        <is>
          <t>វីអ៊ីស៊ិន (ខេមបូឌា) អ៊ិនដាសស្ទ្រី ឯ.ក</t>
        </is>
      </c>
      <c r="W3086" s="556" t="n">
        <v>976918</v>
      </c>
    </row>
    <row r="3087">
      <c r="A3087" s="521" t="n">
        <v>3079</v>
      </c>
      <c r="B3087" s="522" t="inlineStr">
        <is>
          <t>Custom clearance and Trucking fee</t>
        </is>
      </c>
      <c r="C3087" s="522" t="inlineStr">
        <is>
          <t>56ប៊ី-លីង សឹបផ្លាយ ឆេន មេនេចម៉ិន ឯ.ក</t>
        </is>
      </c>
      <c r="D3087" s="522" t="inlineStr">
        <is>
          <t>K004-902004795</t>
        </is>
      </c>
      <c r="E3087" s="521" t="inlineStr">
        <is>
          <t>IN202109-0509</t>
        </is>
      </c>
      <c r="F3087" s="523" t="n">
        <v>44459</v>
      </c>
      <c r="G3087" s="556" t="n">
        <v>868827</v>
      </c>
      <c r="I3087" s="521">
        <f>G3087</f>
        <v/>
      </c>
      <c r="K3087" s="521">
        <f>I3087-G3087</f>
        <v/>
      </c>
      <c r="M3087" s="522" t="inlineStr">
        <is>
          <t>IN2021090509</t>
        </is>
      </c>
      <c r="N3087" s="522" t="inlineStr">
        <is>
          <t>IN2021090509</t>
        </is>
      </c>
      <c r="O3087" s="521">
        <f>M3087=N3087</f>
        <v/>
      </c>
      <c r="P3087" s="521">
        <f>AND(MONTH(F3087)=MONTH(S3087), YEAR(F3087)=YEAR(S3087))</f>
        <v/>
      </c>
      <c r="Q3087" s="521">
        <f>U3087="L001-901905215"</f>
        <v/>
      </c>
      <c r="R3087" s="556">
        <f>G3087-W3087</f>
        <v/>
      </c>
      <c r="S3087" s="523" t="n">
        <v>44459</v>
      </c>
      <c r="T3087" s="522" t="inlineStr">
        <is>
          <t>IN202109-0509</t>
        </is>
      </c>
      <c r="U3087" s="522" t="inlineStr">
        <is>
          <t>L001-901905215</t>
        </is>
      </c>
      <c r="V3087" s="522" t="inlineStr">
        <is>
          <t>វីអ៊ីស៊ិន (ខេមបូឌា) អ៊ិនដាសស្ទ្រី ឯ.ក</t>
        </is>
      </c>
      <c r="W3087" s="556" t="n">
        <v>868827</v>
      </c>
    </row>
    <row r="3088">
      <c r="A3088" s="521" t="n">
        <v>3080</v>
      </c>
      <c r="B3088" s="522" t="inlineStr">
        <is>
          <t>Custom clearance and Trucking fee</t>
        </is>
      </c>
      <c r="C3088" s="522" t="inlineStr">
        <is>
          <t>56ប៊ី-លីង សឹបផ្លាយ ឆេន មេនេចម៉ិន ឯ.ក</t>
        </is>
      </c>
      <c r="D3088" s="522" t="inlineStr">
        <is>
          <t>K004-902004795</t>
        </is>
      </c>
      <c r="E3088" s="521" t="inlineStr">
        <is>
          <t>IN202109-0507</t>
        </is>
      </c>
      <c r="F3088" s="523" t="n">
        <v>44459</v>
      </c>
      <c r="G3088" s="556" t="n">
        <v>271255</v>
      </c>
      <c r="I3088" s="521">
        <f>G3088</f>
        <v/>
      </c>
      <c r="K3088" s="521">
        <f>I3088-G3088</f>
        <v/>
      </c>
      <c r="M3088" s="522" t="inlineStr">
        <is>
          <t>IN2021090507</t>
        </is>
      </c>
      <c r="N3088" s="522" t="inlineStr">
        <is>
          <t>IN2021090507</t>
        </is>
      </c>
      <c r="O3088" s="521">
        <f>M3088=N3088</f>
        <v/>
      </c>
      <c r="P3088" s="521">
        <f>AND(MONTH(F3088)=MONTH(S3088), YEAR(F3088)=YEAR(S3088))</f>
        <v/>
      </c>
      <c r="Q3088" s="521">
        <f>U3088="L001-901905215"</f>
        <v/>
      </c>
      <c r="R3088" s="556">
        <f>G3088-W3088</f>
        <v/>
      </c>
      <c r="S3088" s="523" t="n">
        <v>44459</v>
      </c>
      <c r="T3088" s="522" t="inlineStr">
        <is>
          <t>IN202109-0507</t>
        </is>
      </c>
      <c r="U3088" s="522" t="inlineStr">
        <is>
          <t>L001-901905215</t>
        </is>
      </c>
      <c r="V3088" s="522" t="inlineStr">
        <is>
          <t>វីអ៊ីស៊ិន (ខេមបូឌា) អ៊ិនដាសស្ទ្រី ឯ.ក</t>
        </is>
      </c>
      <c r="W3088" s="556" t="n">
        <v>271255</v>
      </c>
    </row>
    <row r="3089">
      <c r="A3089" s="521" t="n">
        <v>3081</v>
      </c>
      <c r="B3089" s="522" t="inlineStr">
        <is>
          <t>Custom clearance and Trucking fee</t>
        </is>
      </c>
      <c r="C3089" s="522" t="inlineStr">
        <is>
          <t>56ប៊ី-លីង សឹបផ្លាយ ឆេន មេនេចម៉ិន ឯ.ក</t>
        </is>
      </c>
      <c r="D3089" s="522" t="inlineStr">
        <is>
          <t>K004-902004795</t>
        </is>
      </c>
      <c r="E3089" s="521" t="inlineStr">
        <is>
          <t>IN202109-0506</t>
        </is>
      </c>
      <c r="F3089" s="523" t="n">
        <v>44459</v>
      </c>
      <c r="G3089" s="556" t="n">
        <v>259018</v>
      </c>
      <c r="I3089" s="521">
        <f>G3089</f>
        <v/>
      </c>
      <c r="K3089" s="521">
        <f>I3089-G3089</f>
        <v/>
      </c>
      <c r="M3089" s="522" t="inlineStr">
        <is>
          <t>IN2021090506</t>
        </is>
      </c>
      <c r="N3089" s="522" t="inlineStr">
        <is>
          <t>IN2021090506</t>
        </is>
      </c>
      <c r="O3089" s="521">
        <f>M3089=N3089</f>
        <v/>
      </c>
      <c r="P3089" s="521">
        <f>AND(MONTH(F3089)=MONTH(S3089), YEAR(F3089)=YEAR(S3089))</f>
        <v/>
      </c>
      <c r="Q3089" s="521">
        <f>U3089="L001-901905215"</f>
        <v/>
      </c>
      <c r="R3089" s="556">
        <f>G3089-W3089</f>
        <v/>
      </c>
      <c r="S3089" s="523" t="n">
        <v>44459</v>
      </c>
      <c r="T3089" s="522" t="inlineStr">
        <is>
          <t>IN202109-0506</t>
        </is>
      </c>
      <c r="U3089" s="522" t="inlineStr">
        <is>
          <t>L001-901905215</t>
        </is>
      </c>
      <c r="V3089" s="522" t="inlineStr">
        <is>
          <t>វីអ៊ីស៊ិន (ខេមបូឌា) អ៊ិនដាសស្ទ្រី ឯ.ក</t>
        </is>
      </c>
      <c r="W3089" s="556" t="n">
        <v>259018</v>
      </c>
    </row>
    <row r="3090">
      <c r="A3090" s="521" t="n">
        <v>3082</v>
      </c>
      <c r="B3090" s="522" t="inlineStr">
        <is>
          <t>Custom clearance and Trucking fee</t>
        </is>
      </c>
      <c r="C3090" s="522" t="inlineStr">
        <is>
          <t>56ប៊ី-លីង សឹបផ្លាយ ឆេន មេនេចម៉ិន ឯ.ក</t>
        </is>
      </c>
      <c r="D3090" s="522" t="inlineStr">
        <is>
          <t>K004-902004795</t>
        </is>
      </c>
      <c r="E3090" s="521" t="inlineStr">
        <is>
          <t>IN202109-0505</t>
        </is>
      </c>
      <c r="F3090" s="523" t="n">
        <v>44459</v>
      </c>
      <c r="G3090" s="556" t="n">
        <v>299809</v>
      </c>
      <c r="I3090" s="521">
        <f>G3090</f>
        <v/>
      </c>
      <c r="K3090" s="521">
        <f>I3090-G3090</f>
        <v/>
      </c>
      <c r="M3090" s="522" t="inlineStr">
        <is>
          <t>IN2021090505</t>
        </is>
      </c>
      <c r="N3090" s="522" t="inlineStr">
        <is>
          <t>IN2021090505</t>
        </is>
      </c>
      <c r="O3090" s="521">
        <f>M3090=N3090</f>
        <v/>
      </c>
      <c r="P3090" s="521">
        <f>AND(MONTH(F3090)=MONTH(S3090), YEAR(F3090)=YEAR(S3090))</f>
        <v/>
      </c>
      <c r="Q3090" s="521">
        <f>U3090="L001-901905215"</f>
        <v/>
      </c>
      <c r="R3090" s="556">
        <f>G3090-W3090</f>
        <v/>
      </c>
      <c r="S3090" s="523" t="n">
        <v>44459</v>
      </c>
      <c r="T3090" s="522" t="inlineStr">
        <is>
          <t>IN202109-0505</t>
        </is>
      </c>
      <c r="U3090" s="522" t="inlineStr">
        <is>
          <t>L001-901905215</t>
        </is>
      </c>
      <c r="V3090" s="522" t="inlineStr">
        <is>
          <t>វីអ៊ីស៊ិន (ខេមបូឌា) អ៊ិនដាសស្ទ្រី ឯ.ក</t>
        </is>
      </c>
      <c r="W3090" s="556" t="n">
        <v>299809</v>
      </c>
    </row>
    <row r="3091">
      <c r="A3091" s="521" t="n">
        <v>3083</v>
      </c>
      <c r="B3091" s="522" t="inlineStr">
        <is>
          <t>Custom clearance and Trucking fee</t>
        </is>
      </c>
      <c r="C3091" s="522" t="inlineStr">
        <is>
          <t>56ប៊ី-លីង សឹបផ្លាយ ឆេន មេនេចម៉ិន ឯ.ក</t>
        </is>
      </c>
      <c r="D3091" s="522" t="inlineStr">
        <is>
          <t>K004-902004795</t>
        </is>
      </c>
      <c r="E3091" s="521" t="inlineStr">
        <is>
          <t>IN202109-0504</t>
        </is>
      </c>
      <c r="F3091" s="523" t="n">
        <v>44459</v>
      </c>
      <c r="G3091" s="556" t="n">
        <v>868827</v>
      </c>
      <c r="I3091" s="521">
        <f>G3091</f>
        <v/>
      </c>
      <c r="K3091" s="521">
        <f>I3091-G3091</f>
        <v/>
      </c>
      <c r="M3091" s="522" t="inlineStr">
        <is>
          <t>IN2021090504</t>
        </is>
      </c>
      <c r="N3091" s="522" t="inlineStr">
        <is>
          <t>IN2021090504</t>
        </is>
      </c>
      <c r="O3091" s="521">
        <f>M3091=N3091</f>
        <v/>
      </c>
      <c r="P3091" s="521">
        <f>AND(MONTH(F3091)=MONTH(S3091), YEAR(F3091)=YEAR(S3091))</f>
        <v/>
      </c>
      <c r="Q3091" s="521">
        <f>U3091="L001-901905215"</f>
        <v/>
      </c>
      <c r="R3091" s="556">
        <f>G3091-W3091</f>
        <v/>
      </c>
      <c r="S3091" s="523" t="n">
        <v>44459</v>
      </c>
      <c r="T3091" s="522" t="inlineStr">
        <is>
          <t>IN202109-0504</t>
        </is>
      </c>
      <c r="U3091" s="522" t="inlineStr">
        <is>
          <t>L001-901905215</t>
        </is>
      </c>
      <c r="V3091" s="522" t="inlineStr">
        <is>
          <t>វីអ៊ីស៊ិន (ខេមបូឌា) អ៊ិនដាសស្ទ្រី ឯ.ក</t>
        </is>
      </c>
      <c r="W3091" s="556" t="n">
        <v>868827</v>
      </c>
    </row>
    <row r="3092">
      <c r="A3092" s="521" t="n">
        <v>3084</v>
      </c>
      <c r="B3092" s="522" t="inlineStr">
        <is>
          <t>Custom clearance and Trucking fee</t>
        </is>
      </c>
      <c r="C3092" s="522" t="inlineStr">
        <is>
          <t>56ប៊ី-លីង សឹបផ្លាយ ឆេន មេនេចម៉ិន ឯ.ក</t>
        </is>
      </c>
      <c r="D3092" s="522" t="inlineStr">
        <is>
          <t>K004-902004795</t>
        </is>
      </c>
      <c r="E3092" s="521" t="inlineStr">
        <is>
          <t>IN202109-0503</t>
        </is>
      </c>
      <c r="F3092" s="523" t="n">
        <v>44459</v>
      </c>
      <c r="G3092" s="556" t="n">
        <v>868827</v>
      </c>
      <c r="I3092" s="521">
        <f>G3092</f>
        <v/>
      </c>
      <c r="K3092" s="521">
        <f>I3092-G3092</f>
        <v/>
      </c>
      <c r="M3092" s="522" t="inlineStr">
        <is>
          <t>IN2021090503</t>
        </is>
      </c>
      <c r="N3092" s="522" t="inlineStr">
        <is>
          <t>IN2021090503</t>
        </is>
      </c>
      <c r="O3092" s="521">
        <f>M3092=N3092</f>
        <v/>
      </c>
      <c r="P3092" s="521">
        <f>AND(MONTH(F3092)=MONTH(S3092), YEAR(F3092)=YEAR(S3092))</f>
        <v/>
      </c>
      <c r="Q3092" s="521">
        <f>U3092="L001-901905215"</f>
        <v/>
      </c>
      <c r="R3092" s="556">
        <f>G3092-W3092</f>
        <v/>
      </c>
      <c r="S3092" s="523" t="n">
        <v>44459</v>
      </c>
      <c r="T3092" s="522" t="inlineStr">
        <is>
          <t>IN202109-0503</t>
        </is>
      </c>
      <c r="U3092" s="522" t="inlineStr">
        <is>
          <t>L001-901905215</t>
        </is>
      </c>
      <c r="V3092" s="522" t="inlineStr">
        <is>
          <t>វីអ៊ីស៊ិន (ខេមបូឌា) អ៊ិនដាសស្ទ្រី ឯ.ក</t>
        </is>
      </c>
      <c r="W3092" s="556" t="n">
        <v>868827</v>
      </c>
    </row>
    <row r="3093">
      <c r="A3093" s="521" t="n">
        <v>3085</v>
      </c>
      <c r="B3093" s="522" t="inlineStr">
        <is>
          <t>Custom clearance and Trucking fee</t>
        </is>
      </c>
      <c r="C3093" s="522" t="inlineStr">
        <is>
          <t>56ប៊ី-លីង សឹបផ្លាយ ឆេន មេនេចម៉ិន ឯ.ក</t>
        </is>
      </c>
      <c r="D3093" s="522" t="inlineStr">
        <is>
          <t>K004-902004795</t>
        </is>
      </c>
      <c r="E3093" s="521" t="inlineStr">
        <is>
          <t>IN202109-0501</t>
        </is>
      </c>
      <c r="F3093" s="523" t="n">
        <v>44459</v>
      </c>
      <c r="G3093" s="556" t="n">
        <v>1344027</v>
      </c>
      <c r="I3093" s="521">
        <f>G3093</f>
        <v/>
      </c>
      <c r="K3093" s="521">
        <f>I3093-G3093</f>
        <v/>
      </c>
      <c r="M3093" s="522" t="inlineStr">
        <is>
          <t>IN2021090501</t>
        </is>
      </c>
      <c r="N3093" s="522" t="inlineStr">
        <is>
          <t>IN2021090501</t>
        </is>
      </c>
      <c r="O3093" s="521">
        <f>M3093=N3093</f>
        <v/>
      </c>
      <c r="P3093" s="521">
        <f>AND(MONTH(F3093)=MONTH(S3093), YEAR(F3093)=YEAR(S3093))</f>
        <v/>
      </c>
      <c r="Q3093" s="521">
        <f>U3093="L001-901905215"</f>
        <v/>
      </c>
      <c r="R3093" s="556">
        <f>G3093-W3093</f>
        <v/>
      </c>
      <c r="S3093" s="523" t="n">
        <v>44459</v>
      </c>
      <c r="T3093" s="522" t="inlineStr">
        <is>
          <t>IN202109-0501</t>
        </is>
      </c>
      <c r="U3093" s="522" t="inlineStr">
        <is>
          <t>L001-901905215</t>
        </is>
      </c>
      <c r="V3093" s="522" t="inlineStr">
        <is>
          <t>វីអ៊ីស៊ិន (ខេមបូឌា) អ៊ិនដាសស្ទ្រី ឯ.ក</t>
        </is>
      </c>
      <c r="W3093" s="556" t="n">
        <v>1344027</v>
      </c>
    </row>
    <row r="3094">
      <c r="A3094" s="521" t="n">
        <v>3086</v>
      </c>
      <c r="B3094" s="522" t="inlineStr">
        <is>
          <t>Custom clearance and Trucking fee</t>
        </is>
      </c>
      <c r="C3094" s="522" t="inlineStr">
        <is>
          <t>56ប៊ី-លីង សឹបផ្លាយ ឆេន មេនេចម៉ិន ឯ.ក</t>
        </is>
      </c>
      <c r="D3094" s="522" t="inlineStr">
        <is>
          <t>K004-902004795</t>
        </is>
      </c>
      <c r="E3094" s="521" t="inlineStr">
        <is>
          <t>IN202109-0498</t>
        </is>
      </c>
      <c r="F3094" s="523" t="n">
        <v>44456</v>
      </c>
      <c r="G3094" s="556" t="n">
        <v>271255</v>
      </c>
      <c r="I3094" s="521">
        <f>G3094</f>
        <v/>
      </c>
      <c r="K3094" s="521">
        <f>I3094-G3094</f>
        <v/>
      </c>
      <c r="M3094" s="522" t="inlineStr">
        <is>
          <t>IN2021090498</t>
        </is>
      </c>
      <c r="N3094" s="522" t="inlineStr">
        <is>
          <t>IN2021090498</t>
        </is>
      </c>
      <c r="O3094" s="521">
        <f>M3094=N3094</f>
        <v/>
      </c>
      <c r="P3094" s="521">
        <f>AND(MONTH(F3094)=MONTH(S3094), YEAR(F3094)=YEAR(S3094))</f>
        <v/>
      </c>
      <c r="Q3094" s="521">
        <f>U3094="L001-901905215"</f>
        <v/>
      </c>
      <c r="R3094" s="556">
        <f>G3094-W3094</f>
        <v/>
      </c>
      <c r="S3094" s="523" t="n">
        <v>44456</v>
      </c>
      <c r="T3094" s="522" t="inlineStr">
        <is>
          <t>IN202109-0498</t>
        </is>
      </c>
      <c r="U3094" s="522" t="inlineStr">
        <is>
          <t>L001-901905215</t>
        </is>
      </c>
      <c r="V3094" s="522" t="inlineStr">
        <is>
          <t>វីអ៊ីស៊ិន (ខេមបូឌា) អ៊ិនដាសស្ទ្រី ឯ.ក</t>
        </is>
      </c>
      <c r="W3094" s="556" t="n">
        <v>271255</v>
      </c>
    </row>
    <row r="3095">
      <c r="A3095" s="521" t="n">
        <v>3087</v>
      </c>
      <c r="B3095" s="522" t="inlineStr">
        <is>
          <t>Custom clearance and Trucking fee</t>
        </is>
      </c>
      <c r="C3095" s="522" t="inlineStr">
        <is>
          <t>56ប៊ី-លីង សឹបផ្លាយ ឆេន មេនេចម៉ិន ឯ.ក</t>
        </is>
      </c>
      <c r="D3095" s="522" t="inlineStr">
        <is>
          <t>K004-902004795</t>
        </is>
      </c>
      <c r="E3095" s="521" t="inlineStr">
        <is>
          <t>IN202109-0497</t>
        </is>
      </c>
      <c r="F3095" s="523" t="n">
        <v>44456</v>
      </c>
      <c r="G3095" s="556" t="n">
        <v>185591</v>
      </c>
      <c r="I3095" s="521">
        <f>G3095</f>
        <v/>
      </c>
      <c r="K3095" s="521">
        <f>I3095-G3095</f>
        <v/>
      </c>
      <c r="M3095" s="522" t="inlineStr">
        <is>
          <t>IN2021090497</t>
        </is>
      </c>
      <c r="N3095" s="522" t="inlineStr">
        <is>
          <t>IN2021090497</t>
        </is>
      </c>
      <c r="O3095" s="521">
        <f>M3095=N3095</f>
        <v/>
      </c>
      <c r="P3095" s="521">
        <f>AND(MONTH(F3095)=MONTH(S3095), YEAR(F3095)=YEAR(S3095))</f>
        <v/>
      </c>
      <c r="Q3095" s="521">
        <f>U3095="L001-901905215"</f>
        <v/>
      </c>
      <c r="R3095" s="556">
        <f>G3095-W3095</f>
        <v/>
      </c>
      <c r="S3095" s="523" t="n">
        <v>44456</v>
      </c>
      <c r="T3095" s="522" t="inlineStr">
        <is>
          <t>IN202109-0497</t>
        </is>
      </c>
      <c r="U3095" s="522" t="inlineStr">
        <is>
          <t>L001-901905215</t>
        </is>
      </c>
      <c r="V3095" s="522" t="inlineStr">
        <is>
          <t>វីអ៊ីស៊ិន (ខេមបូឌា) អ៊ិនដាសស្ទ្រី ឯ.ក</t>
        </is>
      </c>
      <c r="W3095" s="556" t="n">
        <v>185591</v>
      </c>
    </row>
    <row r="3096">
      <c r="A3096" s="521" t="n">
        <v>3088</v>
      </c>
      <c r="B3096" s="522" t="inlineStr">
        <is>
          <t>Custom clearance and Trucking fee</t>
        </is>
      </c>
      <c r="C3096" s="522" t="inlineStr">
        <is>
          <t>56ប៊ី-លីង សឹបផ្លាយ ឆេន មេនេចម៉ិន ឯ.ក</t>
        </is>
      </c>
      <c r="D3096" s="522" t="inlineStr">
        <is>
          <t>K004-902004795</t>
        </is>
      </c>
      <c r="E3096" s="521" t="inlineStr">
        <is>
          <t>IN202109-0496</t>
        </is>
      </c>
      <c r="F3096" s="523" t="n">
        <v>44456</v>
      </c>
      <c r="G3096" s="556" t="n">
        <v>185591</v>
      </c>
      <c r="I3096" s="521">
        <f>G3096</f>
        <v/>
      </c>
      <c r="K3096" s="521">
        <f>I3096-G3096</f>
        <v/>
      </c>
      <c r="M3096" s="522" t="inlineStr">
        <is>
          <t>IN2021090496</t>
        </is>
      </c>
      <c r="N3096" s="522" t="inlineStr">
        <is>
          <t>IN2021090496</t>
        </is>
      </c>
      <c r="O3096" s="521">
        <f>M3096=N3096</f>
        <v/>
      </c>
      <c r="P3096" s="521">
        <f>AND(MONTH(F3096)=MONTH(S3096), YEAR(F3096)=YEAR(S3096))</f>
        <v/>
      </c>
      <c r="Q3096" s="521">
        <f>U3096="L001-901905215"</f>
        <v/>
      </c>
      <c r="R3096" s="556">
        <f>G3096-W3096</f>
        <v/>
      </c>
      <c r="S3096" s="523" t="n">
        <v>44456</v>
      </c>
      <c r="T3096" s="522" t="inlineStr">
        <is>
          <t>IN202109-0496</t>
        </is>
      </c>
      <c r="U3096" s="522" t="inlineStr">
        <is>
          <t>L001-901905215</t>
        </is>
      </c>
      <c r="V3096" s="522" t="inlineStr">
        <is>
          <t>វីអ៊ីស៊ិន (ខេមបូឌា) អ៊ិនដាសស្ទ្រី ឯ.ក</t>
        </is>
      </c>
      <c r="W3096" s="556" t="n">
        <v>185591</v>
      </c>
    </row>
    <row r="3097">
      <c r="A3097" s="521" t="n">
        <v>3089</v>
      </c>
      <c r="B3097" s="522" t="inlineStr">
        <is>
          <t>Custom clearance and Trucking fee</t>
        </is>
      </c>
      <c r="C3097" s="522" t="inlineStr">
        <is>
          <t>56ប៊ី-លីង សឹបផ្លាយ ឆេន មេនេចម៉ិន ឯ.ក</t>
        </is>
      </c>
      <c r="D3097" s="522" t="inlineStr">
        <is>
          <t>K004-902004795</t>
        </is>
      </c>
      <c r="E3097" s="521" t="inlineStr">
        <is>
          <t>IN202109-0495</t>
        </is>
      </c>
      <c r="F3097" s="523" t="n">
        <v>44456</v>
      </c>
      <c r="G3097" s="556" t="n">
        <v>210073</v>
      </c>
      <c r="I3097" s="521">
        <f>G3097</f>
        <v/>
      </c>
      <c r="K3097" s="521">
        <f>I3097-G3097</f>
        <v/>
      </c>
      <c r="M3097" s="522" t="inlineStr">
        <is>
          <t>IN2021090495</t>
        </is>
      </c>
      <c r="N3097" s="522" t="inlineStr">
        <is>
          <t>IN2021090495</t>
        </is>
      </c>
      <c r="O3097" s="521">
        <f>M3097=N3097</f>
        <v/>
      </c>
      <c r="P3097" s="521">
        <f>AND(MONTH(F3097)=MONTH(S3097), YEAR(F3097)=YEAR(S3097))</f>
        <v/>
      </c>
      <c r="Q3097" s="521">
        <f>U3097="L001-901905215"</f>
        <v/>
      </c>
      <c r="R3097" s="556">
        <f>G3097-W3097</f>
        <v/>
      </c>
      <c r="S3097" s="523" t="n">
        <v>44456</v>
      </c>
      <c r="T3097" s="522" t="inlineStr">
        <is>
          <t>IN202109-0495</t>
        </is>
      </c>
      <c r="U3097" s="522" t="inlineStr">
        <is>
          <t>L001-901905215</t>
        </is>
      </c>
      <c r="V3097" s="522" t="inlineStr">
        <is>
          <t>វីអ៊ីស៊ិន (ខេមបូឌា) អ៊ិនដាសស្ទ្រី ឯ.ក</t>
        </is>
      </c>
      <c r="W3097" s="556" t="n">
        <v>210073</v>
      </c>
    </row>
    <row r="3098">
      <c r="A3098" s="521" t="n">
        <v>3090</v>
      </c>
      <c r="B3098" s="522" t="inlineStr">
        <is>
          <t>Custom clearance and Trucking fee</t>
        </is>
      </c>
      <c r="C3098" s="522" t="inlineStr">
        <is>
          <t>56ប៊ី-លីង សឹបផ្លាយ ឆេន មេនេចម៉ិន ឯ.ក</t>
        </is>
      </c>
      <c r="D3098" s="522" t="inlineStr">
        <is>
          <t>K004-902004795</t>
        </is>
      </c>
      <c r="E3098" s="521" t="inlineStr">
        <is>
          <t>IN202109-0494</t>
        </is>
      </c>
      <c r="F3098" s="523" t="n">
        <v>44456</v>
      </c>
      <c r="G3098" s="556" t="n">
        <v>185591</v>
      </c>
      <c r="I3098" s="521">
        <f>G3098</f>
        <v/>
      </c>
      <c r="K3098" s="521">
        <f>I3098-G3098</f>
        <v/>
      </c>
      <c r="M3098" s="522" t="inlineStr">
        <is>
          <t>IN2021090494</t>
        </is>
      </c>
      <c r="N3098" s="522" t="inlineStr">
        <is>
          <t>IN2021090494</t>
        </is>
      </c>
      <c r="O3098" s="521">
        <f>M3098=N3098</f>
        <v/>
      </c>
      <c r="P3098" s="521">
        <f>AND(MONTH(F3098)=MONTH(S3098), YEAR(F3098)=YEAR(S3098))</f>
        <v/>
      </c>
      <c r="Q3098" s="521">
        <f>U3098="L001-901905215"</f>
        <v/>
      </c>
      <c r="R3098" s="556">
        <f>G3098-W3098</f>
        <v/>
      </c>
      <c r="S3098" s="523" t="n">
        <v>44456</v>
      </c>
      <c r="T3098" s="522" t="inlineStr">
        <is>
          <t>IN202109-0494</t>
        </is>
      </c>
      <c r="U3098" s="522" t="inlineStr">
        <is>
          <t>L001-901905215</t>
        </is>
      </c>
      <c r="V3098" s="522" t="inlineStr">
        <is>
          <t>វីអ៊ីស៊ិន (ខេមបូឌា) អ៊ិនដាសស្ទ្រី ឯ.ក</t>
        </is>
      </c>
      <c r="W3098" s="556" t="n">
        <v>185591</v>
      </c>
    </row>
    <row r="3099">
      <c r="A3099" s="521" t="n">
        <v>3091</v>
      </c>
      <c r="B3099" s="522" t="inlineStr">
        <is>
          <t>Handling Charge</t>
        </is>
      </c>
      <c r="C3099" s="522" t="inlineStr">
        <is>
          <t>យូសេន ឡូជីស្ទីក (ខេមបូឌា) ខូ អិលធីឌី</t>
        </is>
      </c>
      <c r="D3099" s="522" t="inlineStr">
        <is>
          <t>L001-104015799</t>
        </is>
      </c>
      <c r="E3099" s="521" t="inlineStr">
        <is>
          <t>PNHTI0026501</t>
        </is>
      </c>
      <c r="F3099" s="523" t="n">
        <v>44461</v>
      </c>
      <c r="G3099" s="556" t="n">
        <v>218227</v>
      </c>
      <c r="I3099" s="521">
        <f>G3099</f>
        <v/>
      </c>
      <c r="K3099" s="521">
        <f>I3099-G3099</f>
        <v/>
      </c>
      <c r="M3099" s="522" t="inlineStr">
        <is>
          <t>PNHTI0026501</t>
        </is>
      </c>
      <c r="N3099" s="522" t="inlineStr">
        <is>
          <t>PNHTI0026501</t>
        </is>
      </c>
      <c r="O3099" s="521">
        <f>M3099=N3099</f>
        <v/>
      </c>
      <c r="P3099" s="521">
        <f>AND(MONTH(F3099)=MONTH(S3099), YEAR(F3099)=YEAR(S3099))</f>
        <v/>
      </c>
      <c r="Q3099" s="521">
        <f>U3099="L001-901905215"</f>
        <v/>
      </c>
      <c r="R3099" s="556">
        <f>G3099-W3099</f>
        <v/>
      </c>
      <c r="S3099" s="523" t="n">
        <v>44469</v>
      </c>
      <c r="T3099" s="522" t="inlineStr">
        <is>
          <t>PNHTI0026501</t>
        </is>
      </c>
      <c r="U3099" s="522" t="inlineStr">
        <is>
          <t>L001-901905215</t>
        </is>
      </c>
      <c r="V3099" s="522" t="inlineStr">
        <is>
          <t>វីអ៊ីស៊ិន (ខេមបូឌា) អ៊ិនដាសស្ទ្រី ឯ.ក</t>
        </is>
      </c>
      <c r="W3099" s="556" t="n">
        <v>218227</v>
      </c>
    </row>
    <row r="3100">
      <c r="A3100" s="521" t="n">
        <v>3092</v>
      </c>
      <c r="B3100" s="522" t="inlineStr">
        <is>
          <t>Handling Charge</t>
        </is>
      </c>
      <c r="C3100" s="522" t="inlineStr">
        <is>
          <t>យូសេន ឡូជីស្ទីក (ខេមបូឌា) ខូ អិលធីឌី</t>
        </is>
      </c>
      <c r="D3100" s="522" t="inlineStr">
        <is>
          <t>L001-104015799</t>
        </is>
      </c>
      <c r="E3100" s="521" t="inlineStr">
        <is>
          <t>PNHTI0026344</t>
        </is>
      </c>
      <c r="F3100" s="523" t="n">
        <v>44461</v>
      </c>
      <c r="G3100" s="556" t="n">
        <v>146772</v>
      </c>
      <c r="I3100" s="521">
        <f>G3100</f>
        <v/>
      </c>
      <c r="K3100" s="521">
        <f>I3100-G3100</f>
        <v/>
      </c>
      <c r="M3100" s="522" t="inlineStr">
        <is>
          <t>PNHTI0026344</t>
        </is>
      </c>
      <c r="N3100" s="522" t="inlineStr">
        <is>
          <t>PNHTI0026344</t>
        </is>
      </c>
      <c r="O3100" s="521">
        <f>M3100=N3100</f>
        <v/>
      </c>
      <c r="P3100" s="521">
        <f>AND(MONTH(F3100)=MONTH(S3100), YEAR(F3100)=YEAR(S3100))</f>
        <v/>
      </c>
      <c r="Q3100" s="521">
        <f>U3100="L001-901905215"</f>
        <v/>
      </c>
      <c r="R3100" s="556">
        <f>G3100-W3100</f>
        <v/>
      </c>
      <c r="S3100" s="523" t="n">
        <v>44466</v>
      </c>
      <c r="T3100" s="522" t="inlineStr">
        <is>
          <t>PNHTI0026344</t>
        </is>
      </c>
      <c r="U3100" s="522" t="inlineStr">
        <is>
          <t>L001-901905215</t>
        </is>
      </c>
      <c r="V3100" s="522" t="inlineStr">
        <is>
          <t>វីអ៊ីស៊ិន (ខេមបូឌា) អ៊ិនដាសស្ទ្រី ឯ.ក</t>
        </is>
      </c>
      <c r="W3100" s="556" t="n">
        <v>146772</v>
      </c>
    </row>
    <row r="3101">
      <c r="A3101" s="521" t="n">
        <v>3093</v>
      </c>
      <c r="B3101" s="522" t="inlineStr">
        <is>
          <t>Export Administration Fee</t>
        </is>
      </c>
      <c r="C3101" s="522" t="inlineStr">
        <is>
          <t>ឆាយ ដា ឡូយីស្ទីក</t>
        </is>
      </c>
      <c r="D3101" s="522" t="inlineStr">
        <is>
          <t>L001-100063098</t>
        </is>
      </c>
      <c r="E3101" s="521" t="inlineStr">
        <is>
          <t>2109009718</t>
        </is>
      </c>
      <c r="F3101" s="523" t="n">
        <v>44452</v>
      </c>
      <c r="G3101" s="556" t="n">
        <v>89308</v>
      </c>
      <c r="I3101" s="521">
        <f>G3101</f>
        <v/>
      </c>
      <c r="K3101" s="521">
        <f>I3101-G3101</f>
        <v/>
      </c>
      <c r="M3101" s="522" t="inlineStr">
        <is>
          <t>2109009718</t>
        </is>
      </c>
      <c r="N3101" s="522" t="inlineStr">
        <is>
          <t>2109009718</t>
        </is>
      </c>
      <c r="O3101" s="521">
        <f>M3101=N3101</f>
        <v/>
      </c>
      <c r="P3101" s="521">
        <f>AND(MONTH(F3101)=MONTH(S3101), YEAR(F3101)=YEAR(S3101))</f>
        <v/>
      </c>
      <c r="Q3101" s="521">
        <f>U3101="L001-901905215"</f>
        <v/>
      </c>
      <c r="R3101" s="556">
        <f>G3101-W3101</f>
        <v/>
      </c>
      <c r="S3101" s="523" t="n">
        <v>44452</v>
      </c>
      <c r="T3101" s="522" t="inlineStr">
        <is>
          <t>2109009718</t>
        </is>
      </c>
      <c r="U3101" s="522" t="inlineStr">
        <is>
          <t>L001-901905215</t>
        </is>
      </c>
      <c r="V3101" s="522" t="inlineStr">
        <is>
          <t>វីអ៊ីស៊ិន (ខេមបូឌា) អ៊ិនដាសស្ទ្រី ឯ.ក</t>
        </is>
      </c>
      <c r="W3101" s="556" t="n">
        <v>89308</v>
      </c>
    </row>
    <row r="3102">
      <c r="A3102" s="521" t="n">
        <v>3094</v>
      </c>
      <c r="B3102" s="522" t="inlineStr">
        <is>
          <t>Export Administration Fee</t>
        </is>
      </c>
      <c r="C3102" s="522" t="inlineStr">
        <is>
          <t>ឆាយ ដា ឡូយីស្ទីក</t>
        </is>
      </c>
      <c r="D3102" s="522" t="inlineStr">
        <is>
          <t>L001-100063098</t>
        </is>
      </c>
      <c r="E3102" s="521" t="inlineStr">
        <is>
          <t>2109009477</t>
        </is>
      </c>
      <c r="F3102" s="523" t="n">
        <v>44445</v>
      </c>
      <c r="G3102" s="556" t="n">
        <v>89374</v>
      </c>
      <c r="I3102" s="521">
        <f>G3102</f>
        <v/>
      </c>
      <c r="K3102" s="521">
        <f>I3102-G3102</f>
        <v/>
      </c>
      <c r="M3102" s="522" t="inlineStr">
        <is>
          <t>2109009477</t>
        </is>
      </c>
      <c r="N3102" s="522" t="inlineStr">
        <is>
          <t>2109009477</t>
        </is>
      </c>
      <c r="O3102" s="521">
        <f>M3102=N3102</f>
        <v/>
      </c>
      <c r="P3102" s="521">
        <f>AND(MONTH(F3102)=MONTH(S3102), YEAR(F3102)=YEAR(S3102))</f>
        <v/>
      </c>
      <c r="Q3102" s="521">
        <f>U3102="L001-901905215"</f>
        <v/>
      </c>
      <c r="R3102" s="556">
        <f>G3102-W3102</f>
        <v/>
      </c>
      <c r="S3102" s="523" t="n">
        <v>44445</v>
      </c>
      <c r="T3102" s="522" t="inlineStr">
        <is>
          <t>2109009477</t>
        </is>
      </c>
      <c r="U3102" s="522" t="inlineStr">
        <is>
          <t>L001-901905215</t>
        </is>
      </c>
      <c r="V3102" s="522" t="inlineStr">
        <is>
          <t>វីអ៊ីស៊ិន (ខេមបូឌា) អ៊ិនដាសស្ទ្រី ឯ.ក</t>
        </is>
      </c>
      <c r="W3102" s="556" t="n">
        <v>89374</v>
      </c>
    </row>
    <row r="3103">
      <c r="A3103" s="521" t="n">
        <v>3095</v>
      </c>
      <c r="B3103" s="522" t="inlineStr">
        <is>
          <t>Export Administration Fee</t>
        </is>
      </c>
      <c r="C3103" s="522" t="inlineStr">
        <is>
          <t>ឆាយ ដា ឡូយីស្ទីក</t>
        </is>
      </c>
      <c r="D3103" s="522" t="inlineStr">
        <is>
          <t>L001-100063098</t>
        </is>
      </c>
      <c r="E3103" s="521" t="inlineStr">
        <is>
          <t>2109009476</t>
        </is>
      </c>
      <c r="F3103" s="523" t="n">
        <v>44445</v>
      </c>
      <c r="G3103" s="556" t="n">
        <v>89374</v>
      </c>
      <c r="I3103" s="521">
        <f>G3103</f>
        <v/>
      </c>
      <c r="K3103" s="521">
        <f>I3103-G3103</f>
        <v/>
      </c>
      <c r="M3103" s="522" t="inlineStr">
        <is>
          <t>2109009476</t>
        </is>
      </c>
      <c r="N3103" s="522" t="inlineStr">
        <is>
          <t>2109009476</t>
        </is>
      </c>
      <c r="O3103" s="521">
        <f>M3103=N3103</f>
        <v/>
      </c>
      <c r="P3103" s="521">
        <f>AND(MONTH(F3103)=MONTH(S3103), YEAR(F3103)=YEAR(S3103))</f>
        <v/>
      </c>
      <c r="Q3103" s="521">
        <f>U3103="L001-901905215"</f>
        <v/>
      </c>
      <c r="R3103" s="556">
        <f>G3103-W3103</f>
        <v/>
      </c>
      <c r="S3103" s="523" t="n">
        <v>44445</v>
      </c>
      <c r="T3103" s="522" t="inlineStr">
        <is>
          <t>2109009476</t>
        </is>
      </c>
      <c r="U3103" s="522" t="inlineStr">
        <is>
          <t>L001-901905215</t>
        </is>
      </c>
      <c r="V3103" s="522" t="inlineStr">
        <is>
          <t>វីអ៊ីស៊ិន (ខេមបូឌា) អ៊ិនដាសស្ទ្រី ឯ.ក</t>
        </is>
      </c>
      <c r="W3103" s="556" t="n">
        <v>89374</v>
      </c>
    </row>
    <row r="3104">
      <c r="A3104" s="521" t="n">
        <v>3096</v>
      </c>
      <c r="B3104" s="522" t="inlineStr">
        <is>
          <t>Export Administration Fee</t>
        </is>
      </c>
      <c r="C3104" s="522" t="inlineStr">
        <is>
          <t>ឆាយ ដា ឡូយីស្ទីក</t>
        </is>
      </c>
      <c r="D3104" s="522" t="inlineStr">
        <is>
          <t>L001-100063098</t>
        </is>
      </c>
      <c r="E3104" s="521" t="inlineStr">
        <is>
          <t>2109009471</t>
        </is>
      </c>
      <c r="F3104" s="523" t="n">
        <v>44445</v>
      </c>
      <c r="G3104" s="556" t="n">
        <v>89374</v>
      </c>
      <c r="I3104" s="521">
        <f>G3104</f>
        <v/>
      </c>
      <c r="K3104" s="521">
        <f>I3104-G3104</f>
        <v/>
      </c>
      <c r="M3104" s="522" t="inlineStr">
        <is>
          <t>2109009471</t>
        </is>
      </c>
      <c r="N3104" s="522" t="inlineStr">
        <is>
          <t>2109009471</t>
        </is>
      </c>
      <c r="O3104" s="521">
        <f>M3104=N3104</f>
        <v/>
      </c>
      <c r="P3104" s="521">
        <f>AND(MONTH(F3104)=MONTH(S3104), YEAR(F3104)=YEAR(S3104))</f>
        <v/>
      </c>
      <c r="Q3104" s="521">
        <f>U3104="L001-901905215"</f>
        <v/>
      </c>
      <c r="R3104" s="556">
        <f>G3104-W3104</f>
        <v/>
      </c>
      <c r="S3104" s="523" t="n">
        <v>44445</v>
      </c>
      <c r="T3104" s="522" t="inlineStr">
        <is>
          <t>2109009471</t>
        </is>
      </c>
      <c r="U3104" s="522" t="inlineStr">
        <is>
          <t>L001-901905215</t>
        </is>
      </c>
      <c r="V3104" s="522" t="inlineStr">
        <is>
          <t>វីអ៊ីស៊ិន (ខេមបូឌា) អ៊ិនដាសស្ទ្រី ឯ.ក</t>
        </is>
      </c>
      <c r="W3104" s="556" t="n">
        <v>89374</v>
      </c>
    </row>
    <row r="3105">
      <c r="A3105" s="521" t="n">
        <v>3097</v>
      </c>
      <c r="B3105" s="522" t="inlineStr">
        <is>
          <t>THC CHARGES</t>
        </is>
      </c>
      <c r="C3105" s="522" t="inlineStr">
        <is>
          <t>អ៊ិចស្ពែឌីធ័រ ខេមបូឌា អិលធីឌី</t>
        </is>
      </c>
      <c r="D3105" s="522" t="inlineStr">
        <is>
          <t>L001-100045898</t>
        </is>
      </c>
      <c r="E3105" s="521" t="inlineStr">
        <is>
          <t>TI-0210746</t>
        </is>
      </c>
      <c r="F3105" s="523" t="n">
        <v>44466</v>
      </c>
      <c r="G3105" s="556" t="n">
        <v>197734</v>
      </c>
      <c r="I3105" s="521">
        <f>G3105</f>
        <v/>
      </c>
      <c r="K3105" s="521">
        <f>I3105-G3105</f>
        <v/>
      </c>
      <c r="M3105" s="522" t="inlineStr">
        <is>
          <t>TI0210746</t>
        </is>
      </c>
      <c r="N3105" s="522" t="inlineStr">
        <is>
          <t>TI0210746</t>
        </is>
      </c>
      <c r="O3105" s="521">
        <f>M3105=N3105</f>
        <v/>
      </c>
      <c r="P3105" s="521">
        <f>AND(MONTH(F3105)=MONTH(S3105), YEAR(F3105)=YEAR(S3105))</f>
        <v/>
      </c>
      <c r="Q3105" s="521">
        <f>U3105="L001-901905215"</f>
        <v/>
      </c>
      <c r="R3105" s="556">
        <f>G3105-W3105</f>
        <v/>
      </c>
      <c r="S3105" s="523" t="n">
        <v>44466</v>
      </c>
      <c r="T3105" s="522" t="inlineStr">
        <is>
          <t>TI-0210746</t>
        </is>
      </c>
      <c r="U3105" s="522" t="inlineStr">
        <is>
          <t>L001-901905215</t>
        </is>
      </c>
      <c r="V3105" s="522" t="inlineStr">
        <is>
          <t>វីអ៊ីស៊ិន (ខេមបូឌា) អ៊ិនដាសស្ទ្រី ឯ.ក</t>
        </is>
      </c>
      <c r="W3105" s="556" t="n">
        <v>197735</v>
      </c>
    </row>
    <row r="3106">
      <c r="A3106" s="521" t="n">
        <v>3098</v>
      </c>
      <c r="B3106" s="522" t="inlineStr">
        <is>
          <t>THC CHARGES</t>
        </is>
      </c>
      <c r="C3106" s="522" t="inlineStr">
        <is>
          <t>អ៊ិចស្ពែឌីធ័រ ខេមបូឌា អិលធីឌី</t>
        </is>
      </c>
      <c r="D3106" s="522" t="inlineStr">
        <is>
          <t>L001-100045898</t>
        </is>
      </c>
      <c r="E3106" s="521" t="inlineStr">
        <is>
          <t>TI-0209831</t>
        </is>
      </c>
      <c r="F3106" s="523" t="n">
        <v>44454</v>
      </c>
      <c r="G3106" s="556" t="n">
        <v>286754</v>
      </c>
      <c r="I3106" s="521">
        <f>G3106</f>
        <v/>
      </c>
      <c r="K3106" s="521">
        <f>I3106-G3106</f>
        <v/>
      </c>
      <c r="M3106" s="522" t="inlineStr">
        <is>
          <t>TI0209831</t>
        </is>
      </c>
      <c r="N3106" s="522" t="inlineStr">
        <is>
          <t>TI0209831</t>
        </is>
      </c>
      <c r="O3106" s="521">
        <f>M3106=N3106</f>
        <v/>
      </c>
      <c r="P3106" s="521">
        <f>AND(MONTH(F3106)=MONTH(S3106), YEAR(F3106)=YEAR(S3106))</f>
        <v/>
      </c>
      <c r="Q3106" s="521">
        <f>U3106="L001-901905215"</f>
        <v/>
      </c>
      <c r="R3106" s="556">
        <f>G3106-W3106</f>
        <v/>
      </c>
      <c r="S3106" s="523" t="n">
        <v>44454</v>
      </c>
      <c r="T3106" s="522" t="inlineStr">
        <is>
          <t>TI-0209831</t>
        </is>
      </c>
      <c r="U3106" s="522" t="inlineStr">
        <is>
          <t>L001-901905215</t>
        </is>
      </c>
      <c r="V3106" s="522" t="inlineStr">
        <is>
          <t>វីអ៊ីស៊ិន (ខេមបូឌា) អ៊ិនដាសស្ទ្រី ឯ.ក</t>
        </is>
      </c>
      <c r="W3106" s="556" t="n">
        <v>286754</v>
      </c>
    </row>
    <row r="3107">
      <c r="A3107" s="521" t="n">
        <v>3099</v>
      </c>
      <c r="B3107" s="522" t="inlineStr">
        <is>
          <t>THC CHARGES</t>
        </is>
      </c>
      <c r="C3107" s="522" t="inlineStr">
        <is>
          <t>អ៊ិចស្ពែឌីធ័រ ខេមបូឌា អិលធីឌី</t>
        </is>
      </c>
      <c r="D3107" s="522" t="inlineStr">
        <is>
          <t>L001-100045898</t>
        </is>
      </c>
      <c r="E3107" s="521" t="inlineStr">
        <is>
          <t>TI-0209819</t>
        </is>
      </c>
      <c r="F3107" s="523" t="n">
        <v>44454</v>
      </c>
      <c r="G3107" s="556" t="n">
        <v>341412</v>
      </c>
      <c r="I3107" s="521">
        <f>G3107</f>
        <v/>
      </c>
      <c r="K3107" s="521">
        <f>I3107-G3107</f>
        <v/>
      </c>
      <c r="M3107" s="522" t="inlineStr">
        <is>
          <t>TI0209819</t>
        </is>
      </c>
      <c r="N3107" s="522" t="inlineStr">
        <is>
          <t>TI0209819</t>
        </is>
      </c>
      <c r="O3107" s="521">
        <f>M3107=N3107</f>
        <v/>
      </c>
      <c r="P3107" s="521">
        <f>AND(MONTH(F3107)=MONTH(S3107), YEAR(F3107)=YEAR(S3107))</f>
        <v/>
      </c>
      <c r="Q3107" s="521">
        <f>U3107="L001-901905215"</f>
        <v/>
      </c>
      <c r="R3107" s="556">
        <f>G3107-W3107</f>
        <v/>
      </c>
      <c r="S3107" s="523" t="n">
        <v>44454</v>
      </c>
      <c r="T3107" s="522" t="inlineStr">
        <is>
          <t>TI-0209819</t>
        </is>
      </c>
      <c r="U3107" s="522" t="inlineStr">
        <is>
          <t>L001-901905215</t>
        </is>
      </c>
      <c r="V3107" s="522" t="inlineStr">
        <is>
          <t>វីអ៊ីស៊ិន (ខេមបូឌា) អ៊ិនដាសស្ទ្រី ឯ.ក</t>
        </is>
      </c>
      <c r="W3107" s="556" t="n">
        <v>341412</v>
      </c>
    </row>
    <row r="3108">
      <c r="A3108" s="521" t="n">
        <v>3100</v>
      </c>
      <c r="B3108" s="522" t="inlineStr">
        <is>
          <t>THC CHARGES</t>
        </is>
      </c>
      <c r="C3108" s="522" t="inlineStr">
        <is>
          <t>អ៊ិចស្ពែឌីធ័រ ខេមបូឌា អិលធីឌី</t>
        </is>
      </c>
      <c r="D3108" s="522" t="inlineStr">
        <is>
          <t>L001-100045898</t>
        </is>
      </c>
      <c r="E3108" s="521" t="inlineStr">
        <is>
          <t>TI-0209811</t>
        </is>
      </c>
      <c r="F3108" s="523" t="n">
        <v>44454</v>
      </c>
      <c r="G3108" s="556" t="n">
        <v>77267</v>
      </c>
      <c r="I3108" s="521">
        <f>G3108</f>
        <v/>
      </c>
      <c r="K3108" s="521">
        <f>I3108-G3108</f>
        <v/>
      </c>
      <c r="M3108" s="522" t="inlineStr">
        <is>
          <t>TI0209811</t>
        </is>
      </c>
      <c r="N3108" s="522" t="inlineStr">
        <is>
          <t>TI0209811</t>
        </is>
      </c>
      <c r="O3108" s="521">
        <f>M3108=N3108</f>
        <v/>
      </c>
      <c r="P3108" s="521">
        <f>AND(MONTH(F3108)=MONTH(S3108), YEAR(F3108)=YEAR(S3108))</f>
        <v/>
      </c>
      <c r="Q3108" s="521">
        <f>U3108="L001-901905215"</f>
        <v/>
      </c>
      <c r="R3108" s="556">
        <f>G3108-W3108</f>
        <v/>
      </c>
      <c r="S3108" s="523" t="n">
        <v>44454</v>
      </c>
      <c r="T3108" s="522" t="inlineStr">
        <is>
          <t>TI-0209811</t>
        </is>
      </c>
      <c r="U3108" s="522" t="inlineStr">
        <is>
          <t>L001-901905215</t>
        </is>
      </c>
      <c r="V3108" s="522" t="inlineStr">
        <is>
          <t>វីអ៊ីស៊ិន (ខេមបូឌា) អ៊ិនដាសស្ទ្រី ឯ.ក</t>
        </is>
      </c>
      <c r="W3108" s="556" t="n">
        <v>77256</v>
      </c>
    </row>
    <row r="3109">
      <c r="A3109" s="521" t="n">
        <v>3101</v>
      </c>
      <c r="B3109" s="522" t="inlineStr">
        <is>
          <t>THC CHARGES</t>
        </is>
      </c>
      <c r="C3109" s="522" t="inlineStr">
        <is>
          <t>អ៊ិចស្ពែឌីធ័រ ខេមបូឌា អិលធីឌី</t>
        </is>
      </c>
      <c r="D3109" s="522" t="inlineStr">
        <is>
          <t>L001-100045898</t>
        </is>
      </c>
      <c r="E3109" s="521" t="inlineStr">
        <is>
          <t>TI-0209421</t>
        </is>
      </c>
      <c r="F3109" s="523" t="n">
        <v>44449</v>
      </c>
      <c r="G3109" s="556" t="n">
        <v>126241</v>
      </c>
      <c r="I3109" s="521">
        <f>G3109</f>
        <v/>
      </c>
      <c r="K3109" s="521">
        <f>I3109-G3109</f>
        <v/>
      </c>
      <c r="M3109" s="522" t="inlineStr">
        <is>
          <t>TI0209421</t>
        </is>
      </c>
      <c r="N3109" s="522" t="inlineStr">
        <is>
          <t>TI0209421</t>
        </is>
      </c>
      <c r="O3109" s="521">
        <f>M3109=N3109</f>
        <v/>
      </c>
      <c r="P3109" s="521">
        <f>AND(MONTH(F3109)=MONTH(S3109), YEAR(F3109)=YEAR(S3109))</f>
        <v/>
      </c>
      <c r="Q3109" s="521">
        <f>U3109="L001-901905215"</f>
        <v/>
      </c>
      <c r="R3109" s="556">
        <f>G3109-W3109</f>
        <v/>
      </c>
      <c r="S3109" s="523" t="n">
        <v>44449</v>
      </c>
      <c r="T3109" s="522" t="inlineStr">
        <is>
          <t>TI-0209421</t>
        </is>
      </c>
      <c r="U3109" s="522" t="inlineStr">
        <is>
          <t>L001-901905215</t>
        </is>
      </c>
      <c r="V3109" s="522" t="inlineStr">
        <is>
          <t>វីអ៊ីស៊ិន (ខេមបូឌា) អ៊ិនដាសស្ទ្រី ឯ.ក</t>
        </is>
      </c>
      <c r="W3109" s="556" t="n">
        <v>126245</v>
      </c>
    </row>
    <row r="3110">
      <c r="A3110" s="521" t="n">
        <v>3102</v>
      </c>
      <c r="B3110" s="522" t="inlineStr">
        <is>
          <t>THC CHARGES</t>
        </is>
      </c>
      <c r="C3110" s="522" t="inlineStr">
        <is>
          <t>អ៊ិចស្ពែឌីធ័រ ខេមបូឌា អិលធីឌី</t>
        </is>
      </c>
      <c r="D3110" s="522" t="inlineStr">
        <is>
          <t>L001-100045898</t>
        </is>
      </c>
      <c r="E3110" s="521" t="inlineStr">
        <is>
          <t>TI-0209391</t>
        </is>
      </c>
      <c r="F3110" s="523" t="n">
        <v>44448</v>
      </c>
      <c r="G3110" s="556" t="n">
        <v>89245</v>
      </c>
      <c r="I3110" s="521">
        <f>G3110</f>
        <v/>
      </c>
      <c r="K3110" s="521">
        <f>I3110-G3110</f>
        <v/>
      </c>
      <c r="M3110" s="522" t="inlineStr">
        <is>
          <t>TI0209391</t>
        </is>
      </c>
      <c r="N3110" s="522" t="inlineStr">
        <is>
          <t>TI0209391</t>
        </is>
      </c>
      <c r="O3110" s="521">
        <f>M3110=N3110</f>
        <v/>
      </c>
      <c r="P3110" s="521">
        <f>AND(MONTH(F3110)=MONTH(S3110), YEAR(F3110)=YEAR(S3110))</f>
        <v/>
      </c>
      <c r="Q3110" s="521">
        <f>U3110="L001-901905215"</f>
        <v/>
      </c>
      <c r="R3110" s="556">
        <f>G3110-W3110</f>
        <v/>
      </c>
      <c r="S3110" s="523" t="n">
        <v>44448</v>
      </c>
      <c r="T3110" s="522" t="inlineStr">
        <is>
          <t>TI-0209391</t>
        </is>
      </c>
      <c r="U3110" s="522" t="inlineStr">
        <is>
          <t>L001-901905215</t>
        </is>
      </c>
      <c r="V3110" s="522" t="inlineStr">
        <is>
          <t>វីអ៊ីស៊ិន (ខេមបូឌា) អ៊ិនដាសស្ទ្រី ឯ.ក</t>
        </is>
      </c>
      <c r="W3110" s="556" t="n">
        <v>89249</v>
      </c>
    </row>
    <row r="3111">
      <c r="A3111" s="521" t="n">
        <v>3103</v>
      </c>
      <c r="B3111" s="522" t="inlineStr">
        <is>
          <t>THC CHARGES</t>
        </is>
      </c>
      <c r="C3111" s="522" t="inlineStr">
        <is>
          <t>អ៊ិចស្ពែឌីធ័រ ខេមបូឌា អិលធីឌី</t>
        </is>
      </c>
      <c r="D3111" s="522" t="inlineStr">
        <is>
          <t>L001-100045898</t>
        </is>
      </c>
      <c r="E3111" s="521" t="inlineStr">
        <is>
          <t>TI-0209183</t>
        </is>
      </c>
      <c r="F3111" s="523" t="n">
        <v>44447</v>
      </c>
      <c r="G3111" s="556" t="n">
        <v>397897</v>
      </c>
      <c r="I3111" s="521">
        <f>G3111</f>
        <v/>
      </c>
      <c r="K3111" s="521">
        <f>I3111-G3111</f>
        <v/>
      </c>
      <c r="M3111" s="522" t="inlineStr">
        <is>
          <t>TI0209183</t>
        </is>
      </c>
      <c r="N3111" s="522" t="inlineStr">
        <is>
          <t>TI0209183</t>
        </is>
      </c>
      <c r="O3111" s="521">
        <f>M3111=N3111</f>
        <v/>
      </c>
      <c r="P3111" s="521">
        <f>AND(MONTH(F3111)=MONTH(S3111), YEAR(F3111)=YEAR(S3111))</f>
        <v/>
      </c>
      <c r="Q3111" s="521">
        <f>U3111="L001-901905215"</f>
        <v/>
      </c>
      <c r="R3111" s="556">
        <f>G3111-W3111</f>
        <v/>
      </c>
      <c r="S3111" s="523" t="n">
        <v>44447</v>
      </c>
      <c r="T3111" s="522" t="inlineStr">
        <is>
          <t>TI-0209183</t>
        </is>
      </c>
      <c r="U3111" s="522" t="inlineStr">
        <is>
          <t>L001-901905215</t>
        </is>
      </c>
      <c r="V3111" s="522" t="inlineStr">
        <is>
          <t>វីអ៊ីស៊ិន (ខេមបូឌា) អ៊ិនដាសស្ទ្រី ឯ.ក</t>
        </is>
      </c>
      <c r="W3111" s="556" t="n">
        <v>397703</v>
      </c>
    </row>
    <row r="3112">
      <c r="A3112" s="521" t="n">
        <v>3104</v>
      </c>
      <c r="B3112" s="522" t="inlineStr">
        <is>
          <t>THC CHARGES</t>
        </is>
      </c>
      <c r="C3112" s="522" t="inlineStr">
        <is>
          <t>អ៊ិចស្ពែឌីធ័រ ខេមបូឌា អិលធីឌី</t>
        </is>
      </c>
      <c r="D3112" s="522" t="inlineStr">
        <is>
          <t>L001-100045898</t>
        </is>
      </c>
      <c r="E3112" s="521" t="inlineStr">
        <is>
          <t>TI-0209179</t>
        </is>
      </c>
      <c r="F3112" s="523" t="n">
        <v>44447</v>
      </c>
      <c r="G3112" s="556" t="n">
        <v>89422</v>
      </c>
      <c r="I3112" s="521">
        <f>G3112</f>
        <v/>
      </c>
      <c r="K3112" s="521">
        <f>I3112-G3112</f>
        <v/>
      </c>
      <c r="M3112" s="522" t="inlineStr">
        <is>
          <t>TI0209179</t>
        </is>
      </c>
      <c r="N3112" s="522" t="inlineStr">
        <is>
          <t>TI0209179</t>
        </is>
      </c>
      <c r="O3112" s="521">
        <f>M3112=N3112</f>
        <v/>
      </c>
      <c r="P3112" s="521">
        <f>AND(MONTH(F3112)=MONTH(S3112), YEAR(F3112)=YEAR(S3112))</f>
        <v/>
      </c>
      <c r="Q3112" s="521">
        <f>U3112="L001-901905215"</f>
        <v/>
      </c>
      <c r="R3112" s="556">
        <f>G3112-W3112</f>
        <v/>
      </c>
      <c r="S3112" s="523" t="n">
        <v>44447</v>
      </c>
      <c r="T3112" s="522" t="inlineStr">
        <is>
          <t>TI-0209179</t>
        </is>
      </c>
      <c r="U3112" s="522" t="inlineStr">
        <is>
          <t>L001-901905215</t>
        </is>
      </c>
      <c r="V3112" s="522" t="inlineStr">
        <is>
          <t>វីអ៊ីស៊ិន (ខេមបូឌា) អ៊ិនដាសស្ទ្រី ឯ.ក</t>
        </is>
      </c>
      <c r="W3112" s="556" t="n">
        <v>89371</v>
      </c>
    </row>
    <row r="3113">
      <c r="A3113" s="521" t="n">
        <v>3105</v>
      </c>
      <c r="B3113" s="522" t="inlineStr">
        <is>
          <t>Import Documentation Fee</t>
        </is>
      </c>
      <c r="C3113" s="522" t="inlineStr">
        <is>
          <t>ស៊ីអិមអេ ស៊ីជីអិម (ខេមបូឌា) ខូ អិលធីឌី</t>
        </is>
      </c>
      <c r="D3113" s="522" t="inlineStr">
        <is>
          <t>L001-105016225</t>
        </is>
      </c>
      <c r="E3113" s="521" t="inlineStr">
        <is>
          <t>KHA00017725</t>
        </is>
      </c>
      <c r="F3113" s="523" t="n">
        <v>44440</v>
      </c>
      <c r="G3113" s="556" t="n">
        <v>81600</v>
      </c>
      <c r="I3113" s="521">
        <f>G3113</f>
        <v/>
      </c>
      <c r="K3113" s="521">
        <f>I3113-G3113</f>
        <v/>
      </c>
      <c r="M3113" s="522" t="inlineStr">
        <is>
          <t>KHA00017725</t>
        </is>
      </c>
      <c r="N3113" s="522" t="inlineStr"/>
      <c r="O3113" s="521">
        <f>M3113=N3113</f>
        <v/>
      </c>
      <c r="P3113" s="521">
        <f>AND(MONTH(F3113)=MONTH(S3113), YEAR(F3113)=YEAR(S3113))</f>
        <v/>
      </c>
      <c r="Q3113" s="521">
        <f>U3113="L001-901905215"</f>
        <v/>
      </c>
      <c r="R3113" s="556">
        <f>G3113-W3113</f>
        <v/>
      </c>
      <c r="S3113" s="521" t="n"/>
      <c r="T3113" s="522" t="n"/>
      <c r="U3113" s="522" t="n"/>
      <c r="V3113" s="522" t="n"/>
      <c r="W3113" s="521" t="n"/>
    </row>
    <row r="3114">
      <c r="A3114" s="521" t="n">
        <v>3106</v>
      </c>
      <c r="B3114" s="522" t="inlineStr">
        <is>
          <t>Lift on/ Lift off</t>
        </is>
      </c>
      <c r="C3114" s="522" t="inlineStr">
        <is>
          <t>កំពង់ផែស្វយ័តក្រុងព្រះសីហនុ</t>
        </is>
      </c>
      <c r="D3114" s="522" t="inlineStr">
        <is>
          <t>L001-100044638</t>
        </is>
      </c>
      <c r="E3114" s="521" t="inlineStr">
        <is>
          <t>152467</t>
        </is>
      </c>
      <c r="F3114" s="523" t="n">
        <v>44453</v>
      </c>
      <c r="G3114" s="556" t="n">
        <v>141914</v>
      </c>
      <c r="I3114" s="521">
        <f>G3114</f>
        <v/>
      </c>
      <c r="K3114" s="521">
        <f>I3114-G3114</f>
        <v/>
      </c>
      <c r="M3114" s="522" t="inlineStr">
        <is>
          <t>152467</t>
        </is>
      </c>
      <c r="N3114" s="522" t="inlineStr"/>
      <c r="O3114" s="521">
        <f>M3114=N3114</f>
        <v/>
      </c>
      <c r="P3114" s="521">
        <f>AND(MONTH(F3114)=MONTH(S3114), YEAR(F3114)=YEAR(S3114))</f>
        <v/>
      </c>
      <c r="Q3114" s="521">
        <f>U3114="L001-901905215"</f>
        <v/>
      </c>
      <c r="R3114" s="556">
        <f>G3114-W3114</f>
        <v/>
      </c>
      <c r="S3114" s="521" t="n"/>
      <c r="T3114" s="522" t="n"/>
      <c r="U3114" s="522" t="n"/>
      <c r="V3114" s="522" t="n"/>
      <c r="W3114" s="521" t="n"/>
    </row>
    <row r="3115">
      <c r="A3115" s="521" t="n">
        <v>3107</v>
      </c>
      <c r="B3115" s="522" t="inlineStr">
        <is>
          <t>Trucking fee</t>
        </is>
      </c>
      <c r="C3115" s="522" t="inlineStr">
        <is>
          <t>អ៊ែរ៉ូ ស៊ីបភីង អេជេនស៊ី</t>
        </is>
      </c>
      <c r="D3115" s="522" t="inlineStr">
        <is>
          <t>K004-901635903</t>
        </is>
      </c>
      <c r="E3115" s="521" t="inlineStr">
        <is>
          <t>IKPSA2021528293</t>
        </is>
      </c>
      <c r="F3115" s="523" t="n">
        <v>44446</v>
      </c>
      <c r="G3115" s="556" t="n">
        <v>383520</v>
      </c>
      <c r="I3115" s="521">
        <f>G3115</f>
        <v/>
      </c>
      <c r="K3115" s="521">
        <f>I3115-G3115</f>
        <v/>
      </c>
      <c r="M3115" s="522" t="inlineStr">
        <is>
          <t>IKPSA2021528293</t>
        </is>
      </c>
      <c r="N3115" s="522" t="inlineStr">
        <is>
          <t>IKPSA2021528293</t>
        </is>
      </c>
      <c r="O3115" s="521">
        <f>M3115=N3115</f>
        <v/>
      </c>
      <c r="P3115" s="521">
        <f>AND(MONTH(F3115)=MONTH(S3115), YEAR(F3115)=YEAR(S3115))</f>
        <v/>
      </c>
      <c r="Q3115" s="521">
        <f>U3115="L001-901905215"</f>
        <v/>
      </c>
      <c r="R3115" s="556">
        <f>G3115-W3115</f>
        <v/>
      </c>
      <c r="S3115" s="523" t="n">
        <v>44446</v>
      </c>
      <c r="T3115" s="522" t="inlineStr">
        <is>
          <t>IKPSA2021528293</t>
        </is>
      </c>
      <c r="U3115" s="522" t="inlineStr">
        <is>
          <t>L001-901905215</t>
        </is>
      </c>
      <c r="V3115" s="522" t="inlineStr">
        <is>
          <t>វីអ៊ីស៊ិន (ខេមបូឌា) អ៊ិនដាសស្ទ្រី ឯ.ក</t>
        </is>
      </c>
      <c r="W3115" s="556" t="n">
        <v>383426</v>
      </c>
    </row>
    <row r="3116">
      <c r="A3116" s="521" t="n">
        <v>3108</v>
      </c>
      <c r="B3116" s="522" t="inlineStr">
        <is>
          <t>Trucking fee</t>
        </is>
      </c>
      <c r="C3116" s="522" t="inlineStr">
        <is>
          <t>អ៊ែរ៉ូ ស៊ីបភីង អេជេនស៊ី</t>
        </is>
      </c>
      <c r="D3116" s="522" t="inlineStr">
        <is>
          <t>K004-901635903</t>
        </is>
      </c>
      <c r="E3116" s="521" t="inlineStr">
        <is>
          <t>IKPSA2021528292</t>
        </is>
      </c>
      <c r="F3116" s="523" t="n">
        <v>44446</v>
      </c>
      <c r="G3116" s="556" t="n">
        <v>391680</v>
      </c>
      <c r="I3116" s="521">
        <f>G3116</f>
        <v/>
      </c>
      <c r="K3116" s="521">
        <f>I3116-G3116</f>
        <v/>
      </c>
      <c r="M3116" s="522" t="inlineStr">
        <is>
          <t>IKPSA2021528292</t>
        </is>
      </c>
      <c r="N3116" s="522" t="inlineStr">
        <is>
          <t>IKPSA2021528292</t>
        </is>
      </c>
      <c r="O3116" s="521">
        <f>M3116=N3116</f>
        <v/>
      </c>
      <c r="P3116" s="521">
        <f>AND(MONTH(F3116)=MONTH(S3116), YEAR(F3116)=YEAR(S3116))</f>
        <v/>
      </c>
      <c r="Q3116" s="521">
        <f>U3116="L001-901905215"</f>
        <v/>
      </c>
      <c r="R3116" s="556">
        <f>G3116-W3116</f>
        <v/>
      </c>
      <c r="S3116" s="523" t="n">
        <v>44446</v>
      </c>
      <c r="T3116" s="522" t="inlineStr">
        <is>
          <t>IKPSA2021528292</t>
        </is>
      </c>
      <c r="U3116" s="522" t="inlineStr">
        <is>
          <t>L001-901905215</t>
        </is>
      </c>
      <c r="V3116" s="522" t="inlineStr">
        <is>
          <t>វីអ៊ីស៊ិន (ខេមបូឌា) អ៊ិនដាសស្ទ្រី ឯ.ក</t>
        </is>
      </c>
      <c r="W3116" s="556" t="n">
        <v>391584</v>
      </c>
    </row>
    <row r="3117">
      <c r="A3117" s="521" t="n">
        <v>3109</v>
      </c>
      <c r="B3117" s="522" t="inlineStr">
        <is>
          <t>Trucking fee</t>
        </is>
      </c>
      <c r="C3117" s="522" t="inlineStr">
        <is>
          <t>អ៊ែរ៉ូ ស៊ីបភីង អេជេនស៊ី</t>
        </is>
      </c>
      <c r="D3117" s="522" t="inlineStr">
        <is>
          <t>K004-901635903</t>
        </is>
      </c>
      <c r="E3117" s="521" t="inlineStr">
        <is>
          <t>IKPSA2021528291</t>
        </is>
      </c>
      <c r="F3117" s="523" t="n">
        <v>44446</v>
      </c>
      <c r="G3117" s="556" t="n">
        <v>7418</v>
      </c>
      <c r="I3117" s="521">
        <f>G3117</f>
        <v/>
      </c>
      <c r="K3117" s="521">
        <f>I3117-G3117</f>
        <v/>
      </c>
      <c r="M3117" s="522" t="inlineStr">
        <is>
          <t>IKPSA2021528291</t>
        </is>
      </c>
      <c r="N3117" s="522" t="inlineStr">
        <is>
          <t>IKPSA2021528291</t>
        </is>
      </c>
      <c r="O3117" s="521">
        <f>M3117=N3117</f>
        <v/>
      </c>
      <c r="P3117" s="521">
        <f>AND(MONTH(F3117)=MONTH(S3117), YEAR(F3117)=YEAR(S3117))</f>
        <v/>
      </c>
      <c r="Q3117" s="521">
        <f>U3117="L001-901905215"</f>
        <v/>
      </c>
      <c r="R3117" s="556">
        <f>G3117-W3117</f>
        <v/>
      </c>
      <c r="S3117" s="523" t="n">
        <v>44446</v>
      </c>
      <c r="T3117" s="522" t="inlineStr">
        <is>
          <t>IKPSA2021528291</t>
        </is>
      </c>
      <c r="U3117" s="522" t="inlineStr">
        <is>
          <t>L001-901905215</t>
        </is>
      </c>
      <c r="V3117" s="522" t="inlineStr">
        <is>
          <t>វីអ៊ីស៊ិន (ខេមបូឌា) អ៊ិនដាសស្ទ្រី ឯ.ក</t>
        </is>
      </c>
      <c r="W3117" s="556" t="n">
        <v>7416</v>
      </c>
    </row>
    <row r="3118">
      <c r="A3118" s="521" t="n">
        <v>3110</v>
      </c>
      <c r="B3118" s="522" t="inlineStr">
        <is>
          <t>KHCIC</t>
        </is>
      </c>
      <c r="C3118" s="522" t="inlineStr">
        <is>
          <t>អេសអាយធីស៊ី ខិនថេនើរ ឡាញ (ខេមបូឌា)</t>
        </is>
      </c>
      <c r="D3118" s="522" t="inlineStr">
        <is>
          <t>L001-107035863</t>
        </is>
      </c>
      <c r="E3118" s="521" t="inlineStr">
        <is>
          <t>SITC2021-016253</t>
        </is>
      </c>
      <c r="F3118" s="523" t="n">
        <v>44442</v>
      </c>
      <c r="G3118" s="556" t="n">
        <v>430651</v>
      </c>
      <c r="I3118" s="521">
        <f>G3118</f>
        <v/>
      </c>
      <c r="K3118" s="521">
        <f>I3118-G3118</f>
        <v/>
      </c>
      <c r="M3118" s="522" t="inlineStr">
        <is>
          <t>SITC2021016253</t>
        </is>
      </c>
      <c r="N3118" s="522" t="inlineStr">
        <is>
          <t>SITC2021016253</t>
        </is>
      </c>
      <c r="O3118" s="521">
        <f>M3118=N3118</f>
        <v/>
      </c>
      <c r="P3118" s="521">
        <f>AND(MONTH(F3118)=MONTH(S3118), YEAR(F3118)=YEAR(S3118))</f>
        <v/>
      </c>
      <c r="Q3118" s="521">
        <f>U3118="L001-901905215"</f>
        <v/>
      </c>
      <c r="R3118" s="556">
        <f>G3118-W3118</f>
        <v/>
      </c>
      <c r="S3118" s="523" t="n">
        <v>44442</v>
      </c>
      <c r="T3118" s="522" t="inlineStr">
        <is>
          <t>SITC2021-016253</t>
        </is>
      </c>
      <c r="U3118" s="522" t="inlineStr">
        <is>
          <t>L001-901905215</t>
        </is>
      </c>
      <c r="V3118" s="522" t="inlineStr">
        <is>
          <t>វីអ៊ីស៊ិន (ខេមបូឌា) អ៊ិនដាសស្ទ្រី ឯ.ក</t>
        </is>
      </c>
      <c r="W3118" s="556" t="n">
        <v>430651</v>
      </c>
    </row>
    <row r="3119">
      <c r="A3119" s="521" t="n">
        <v>3111</v>
      </c>
      <c r="B3119" s="522" t="inlineStr">
        <is>
          <t>Lift on/ Lift off</t>
        </is>
      </c>
      <c r="C3119" s="522" t="inlineStr">
        <is>
          <t>កំពង់ផែស្វយ័តក្រុងព្រះសីហនុ</t>
        </is>
      </c>
      <c r="D3119" s="522" t="inlineStr">
        <is>
          <t>L001-100044638</t>
        </is>
      </c>
      <c r="E3119" s="521" t="inlineStr">
        <is>
          <t>151941</t>
        </is>
      </c>
      <c r="F3119" s="523" t="n">
        <v>44452</v>
      </c>
      <c r="G3119" s="556" t="n">
        <v>100319</v>
      </c>
      <c r="I3119" s="521">
        <f>G3119</f>
        <v/>
      </c>
      <c r="K3119" s="521">
        <f>I3119-G3119</f>
        <v/>
      </c>
      <c r="M3119" s="522" t="inlineStr">
        <is>
          <t>151941</t>
        </is>
      </c>
      <c r="N3119" s="522" t="inlineStr"/>
      <c r="O3119" s="521">
        <f>M3119=N3119</f>
        <v/>
      </c>
      <c r="P3119" s="521">
        <f>AND(MONTH(F3119)=MONTH(S3119), YEAR(F3119)=YEAR(S3119))</f>
        <v/>
      </c>
      <c r="Q3119" s="521">
        <f>U3119="L001-901905215"</f>
        <v/>
      </c>
      <c r="R3119" s="556">
        <f>G3119-W3119</f>
        <v/>
      </c>
      <c r="S3119" s="521" t="n"/>
      <c r="T3119" s="522" t="n"/>
      <c r="U3119" s="522" t="n"/>
      <c r="V3119" s="522" t="n"/>
      <c r="W3119" s="521" t="n"/>
    </row>
    <row r="3120">
      <c r="A3120" s="521" t="n">
        <v>3112</v>
      </c>
      <c r="B3120" s="522" t="inlineStr">
        <is>
          <t>Lift on/ Lift off</t>
        </is>
      </c>
      <c r="C3120" s="522" t="inlineStr">
        <is>
          <t>កំពង់ផែស្វយ័តក្រុងព្រះសីហនុ</t>
        </is>
      </c>
      <c r="D3120" s="522" t="inlineStr">
        <is>
          <t>L001-100044638</t>
        </is>
      </c>
      <c r="E3120" s="521" t="inlineStr">
        <is>
          <t>149845</t>
        </is>
      </c>
      <c r="F3120" s="523" t="n">
        <v>44448</v>
      </c>
      <c r="G3120" s="556" t="n">
        <v>165199</v>
      </c>
      <c r="I3120" s="521">
        <f>G3120</f>
        <v/>
      </c>
      <c r="K3120" s="521">
        <f>I3120-G3120</f>
        <v/>
      </c>
      <c r="M3120" s="522" t="inlineStr">
        <is>
          <t>149845</t>
        </is>
      </c>
      <c r="N3120" s="522" t="inlineStr"/>
      <c r="O3120" s="521">
        <f>M3120=N3120</f>
        <v/>
      </c>
      <c r="P3120" s="521">
        <f>AND(MONTH(F3120)=MONTH(S3120), YEAR(F3120)=YEAR(S3120))</f>
        <v/>
      </c>
      <c r="Q3120" s="521">
        <f>U3120="L001-901905215"</f>
        <v/>
      </c>
      <c r="R3120" s="556">
        <f>G3120-W3120</f>
        <v/>
      </c>
      <c r="S3120" s="521" t="n"/>
      <c r="T3120" s="522" t="n"/>
      <c r="U3120" s="522" t="n"/>
      <c r="V3120" s="522" t="n"/>
      <c r="W3120" s="521" t="n"/>
    </row>
    <row r="3121">
      <c r="A3121" s="521" t="n">
        <v>3113</v>
      </c>
      <c r="B3121" s="522" t="inlineStr">
        <is>
          <t>Storage Charge</t>
        </is>
      </c>
      <c r="C3121" s="522" t="inlineStr">
        <is>
          <t>កំពង់ផែស្វយ័តក្រុងព្រះសីហនុ</t>
        </is>
      </c>
      <c r="D3121" s="522" t="inlineStr">
        <is>
          <t>L001-100044638</t>
        </is>
      </c>
      <c r="E3121" s="521" t="inlineStr">
        <is>
          <t>149060</t>
        </is>
      </c>
      <c r="F3121" s="523" t="n">
        <v>44447</v>
      </c>
      <c r="G3121" s="556" t="n">
        <v>7342</v>
      </c>
      <c r="I3121" s="521">
        <f>G3121</f>
        <v/>
      </c>
      <c r="K3121" s="521">
        <f>I3121-G3121</f>
        <v/>
      </c>
      <c r="M3121" s="522" t="inlineStr">
        <is>
          <t>149060</t>
        </is>
      </c>
      <c r="N3121" s="522" t="inlineStr"/>
      <c r="O3121" s="521">
        <f>M3121=N3121</f>
        <v/>
      </c>
      <c r="P3121" s="521">
        <f>AND(MONTH(F3121)=MONTH(S3121), YEAR(F3121)=YEAR(S3121))</f>
        <v/>
      </c>
      <c r="Q3121" s="521">
        <f>U3121="L001-901905215"</f>
        <v/>
      </c>
      <c r="R3121" s="556">
        <f>G3121-W3121</f>
        <v/>
      </c>
      <c r="S3121" s="521" t="n"/>
      <c r="T3121" s="522" t="n"/>
      <c r="U3121" s="522" t="n"/>
      <c r="V3121" s="522" t="n"/>
      <c r="W3121" s="521" t="n"/>
    </row>
    <row r="3122">
      <c r="A3122" s="521" t="n">
        <v>3114</v>
      </c>
      <c r="B3122" s="522" t="inlineStr">
        <is>
          <t>Lift on/ Lift off</t>
        </is>
      </c>
      <c r="C3122" s="522" t="inlineStr">
        <is>
          <t>កំពង់ផែស្វយ័តក្រុងព្រះសីហនុ</t>
        </is>
      </c>
      <c r="D3122" s="522" t="inlineStr">
        <is>
          <t>L001-100044638</t>
        </is>
      </c>
      <c r="E3122" s="521" t="inlineStr">
        <is>
          <t>148166</t>
        </is>
      </c>
      <c r="F3122" s="523" t="n">
        <v>44446</v>
      </c>
      <c r="G3122" s="556" t="n">
        <v>172584</v>
      </c>
      <c r="I3122" s="521">
        <f>G3122</f>
        <v/>
      </c>
      <c r="K3122" s="521">
        <f>I3122-G3122</f>
        <v/>
      </c>
      <c r="M3122" s="522" t="inlineStr">
        <is>
          <t>148166</t>
        </is>
      </c>
      <c r="N3122" s="522" t="inlineStr"/>
      <c r="O3122" s="521">
        <f>M3122=N3122</f>
        <v/>
      </c>
      <c r="P3122" s="521">
        <f>AND(MONTH(F3122)=MONTH(S3122), YEAR(F3122)=YEAR(S3122))</f>
        <v/>
      </c>
      <c r="Q3122" s="521">
        <f>U3122="L001-901905215"</f>
        <v/>
      </c>
      <c r="R3122" s="556">
        <f>G3122-W3122</f>
        <v/>
      </c>
      <c r="S3122" s="521" t="n"/>
      <c r="T3122" s="522" t="n"/>
      <c r="U3122" s="522" t="n"/>
      <c r="V3122" s="522" t="n"/>
      <c r="W3122" s="521" t="n"/>
    </row>
    <row r="3123">
      <c r="A3123" s="521" t="n">
        <v>3115</v>
      </c>
      <c r="B3123" s="522" t="inlineStr">
        <is>
          <t>Lift on/ Lift off</t>
        </is>
      </c>
      <c r="C3123" s="522" t="inlineStr">
        <is>
          <t>កំពង់ផែស្វយ័តក្រុងព្រះសីហនុ</t>
        </is>
      </c>
      <c r="D3123" s="522" t="inlineStr">
        <is>
          <t>L001-100044638</t>
        </is>
      </c>
      <c r="E3123" s="521" t="inlineStr">
        <is>
          <t>144451</t>
        </is>
      </c>
      <c r="F3123" s="523" t="n">
        <v>44440</v>
      </c>
      <c r="G3123" s="556" t="n">
        <v>106514</v>
      </c>
      <c r="I3123" s="521">
        <f>G3123</f>
        <v/>
      </c>
      <c r="K3123" s="521">
        <f>I3123-G3123</f>
        <v/>
      </c>
      <c r="M3123" s="522" t="inlineStr">
        <is>
          <t>144451</t>
        </is>
      </c>
      <c r="N3123" s="522" t="inlineStr"/>
      <c r="O3123" s="521">
        <f>M3123=N3123</f>
        <v/>
      </c>
      <c r="P3123" s="521">
        <f>AND(MONTH(F3123)=MONTH(S3123), YEAR(F3123)=YEAR(S3123))</f>
        <v/>
      </c>
      <c r="Q3123" s="521">
        <f>U3123="L001-901905215"</f>
        <v/>
      </c>
      <c r="R3123" s="556">
        <f>G3123-W3123</f>
        <v/>
      </c>
      <c r="S3123" s="521" t="n"/>
      <c r="T3123" s="522" t="n"/>
      <c r="U3123" s="522" t="n"/>
      <c r="V3123" s="522" t="n"/>
      <c r="W3123" s="521" t="n"/>
    </row>
    <row r="3124">
      <c r="A3124" s="521" t="n">
        <v>3116</v>
      </c>
      <c r="B3124" s="522" t="inlineStr">
        <is>
          <t>Cartons</t>
        </is>
      </c>
      <c r="C3124" s="522" t="inlineStr">
        <is>
          <t>យី មីង ភែកឃីជីង ឯ.ក</t>
        </is>
      </c>
      <c r="D3124" s="522" t="inlineStr">
        <is>
          <t>B108-902101335</t>
        </is>
      </c>
      <c r="E3124" s="521" t="inlineStr">
        <is>
          <t>YM-0034</t>
        </is>
      </c>
      <c r="F3124" s="523" t="n">
        <v>44834</v>
      </c>
      <c r="G3124" s="556" t="n">
        <v>6226465</v>
      </c>
      <c r="I3124" s="521">
        <f>G3124</f>
        <v/>
      </c>
      <c r="K3124" s="521">
        <f>I3124-G3124</f>
        <v/>
      </c>
      <c r="M3124" s="522" t="inlineStr">
        <is>
          <t>YM0034</t>
        </is>
      </c>
      <c r="N3124" s="522" t="inlineStr">
        <is>
          <t>YM0034</t>
        </is>
      </c>
      <c r="O3124" s="521">
        <f>M3124=N3124</f>
        <v/>
      </c>
      <c r="P3124" s="521">
        <f>AND(MONTH(F3124)=MONTH(S3124), YEAR(F3124)=YEAR(S3124))</f>
        <v/>
      </c>
      <c r="Q3124" s="521">
        <f>U3124="L001-901905215"</f>
        <v/>
      </c>
      <c r="R3124" s="556">
        <f>G3124-W3124</f>
        <v/>
      </c>
      <c r="S3124" s="523" t="n">
        <v>44834</v>
      </c>
      <c r="T3124" s="522" t="inlineStr">
        <is>
          <t>YM-0034</t>
        </is>
      </c>
      <c r="U3124" s="522" t="inlineStr">
        <is>
          <t>L001-901905215</t>
        </is>
      </c>
      <c r="V3124" s="522" t="inlineStr">
        <is>
          <t>វីអ៊ីស៊ិន (ខេមបូឌា) អ៊ិនដាសស្ទ្រី ឯ.ក</t>
        </is>
      </c>
      <c r="W3124" s="556" t="n">
        <v>6226465</v>
      </c>
    </row>
    <row r="3125">
      <c r="A3125" s="521" t="n">
        <v>3117</v>
      </c>
      <c r="B3125" s="522" t="inlineStr">
        <is>
          <t>Paper Label</t>
        </is>
      </c>
      <c r="C3125" s="522" t="inlineStr">
        <is>
          <t>ស៊ីន ហ្វី យ៉ាង ព្រីនធីង &amp; អិកសេសសឺរី ឯ.ក</t>
        </is>
      </c>
      <c r="D3125" s="522" t="inlineStr">
        <is>
          <t>K010-901906822</t>
        </is>
      </c>
      <c r="E3125" s="521" t="inlineStr">
        <is>
          <t>XFY-YD20220147</t>
        </is>
      </c>
      <c r="F3125" s="523" t="n">
        <v>44834</v>
      </c>
      <c r="G3125" s="556" t="n">
        <v>2606891</v>
      </c>
      <c r="I3125" s="521">
        <f>G3125</f>
        <v/>
      </c>
      <c r="K3125" s="521">
        <f>I3125-G3125</f>
        <v/>
      </c>
      <c r="M3125" s="522" t="inlineStr">
        <is>
          <t>XFYYD20220147</t>
        </is>
      </c>
      <c r="N3125" s="522" t="inlineStr">
        <is>
          <t>XFYYD20220147</t>
        </is>
      </c>
      <c r="O3125" s="521">
        <f>M3125=N3125</f>
        <v/>
      </c>
      <c r="P3125" s="521">
        <f>AND(MONTH(F3125)=MONTH(S3125), YEAR(F3125)=YEAR(S3125))</f>
        <v/>
      </c>
      <c r="Q3125" s="521">
        <f>U3125="L001-901905215"</f>
        <v/>
      </c>
      <c r="R3125" s="556">
        <f>G3125-W3125</f>
        <v/>
      </c>
      <c r="S3125" s="523" t="n">
        <v>44834</v>
      </c>
      <c r="T3125" s="522" t="inlineStr">
        <is>
          <t>XFY-YD20220147</t>
        </is>
      </c>
      <c r="U3125" s="522" t="inlineStr">
        <is>
          <t>L001-901905215</t>
        </is>
      </c>
      <c r="V3125" s="522" t="inlineStr">
        <is>
          <t>វីអ៊ីស៊ិន (ខេមបូឌា) អ៊ិនដាសស្ទ្រី ឯ.ក</t>
        </is>
      </c>
      <c r="W3125" s="556" t="n">
        <v>2606891</v>
      </c>
    </row>
    <row r="3126">
      <c r="A3126" s="521" t="n">
        <v>3118</v>
      </c>
      <c r="B3126" s="522" t="inlineStr">
        <is>
          <t>Color Box,Paper Card ,PDQ</t>
        </is>
      </c>
      <c r="C3126" s="522" t="inlineStr">
        <is>
          <t>វីង ចេង ភែកឃីជីង ឯ.ក</t>
        </is>
      </c>
      <c r="D3126" s="522" t="inlineStr">
        <is>
          <t>L001-902102915</t>
        </is>
      </c>
      <c r="E3126" s="521" t="inlineStr">
        <is>
          <t>TI0466</t>
        </is>
      </c>
      <c r="F3126" s="523" t="n">
        <v>44834</v>
      </c>
      <c r="G3126" s="556" t="n">
        <v>20992313</v>
      </c>
      <c r="I3126" s="521">
        <f>G3126</f>
        <v/>
      </c>
      <c r="K3126" s="521">
        <f>I3126-G3126</f>
        <v/>
      </c>
      <c r="M3126" s="522" t="inlineStr">
        <is>
          <t>TI0466</t>
        </is>
      </c>
      <c r="N3126" s="522" t="inlineStr">
        <is>
          <t>TI0466</t>
        </is>
      </c>
      <c r="O3126" s="521">
        <f>M3126=N3126</f>
        <v/>
      </c>
      <c r="P3126" s="521">
        <f>AND(MONTH(F3126)=MONTH(S3126), YEAR(F3126)=YEAR(S3126))</f>
        <v/>
      </c>
      <c r="Q3126" s="521">
        <f>U3126="L001-901905215"</f>
        <v/>
      </c>
      <c r="R3126" s="556">
        <f>G3126-W3126</f>
        <v/>
      </c>
      <c r="S3126" s="523" t="n">
        <v>44834</v>
      </c>
      <c r="T3126" s="522" t="inlineStr">
        <is>
          <t>TI0466</t>
        </is>
      </c>
      <c r="U3126" s="522" t="inlineStr">
        <is>
          <t>L001-901905215</t>
        </is>
      </c>
      <c r="V3126" s="522" t="inlineStr">
        <is>
          <t>វីអ៊ីស៊ិន (ខេមបូឌា) អ៊ិនដាសស្ទ្រី ឯ.ក</t>
        </is>
      </c>
      <c r="W3126" s="556" t="n">
        <v>20992312</v>
      </c>
    </row>
    <row r="3127">
      <c r="A3127" s="521" t="n">
        <v>3119</v>
      </c>
      <c r="B3127" s="522" t="inlineStr">
        <is>
          <t>Cartons</t>
        </is>
      </c>
      <c r="C3127" s="522" t="inlineStr">
        <is>
          <t>ស៊ីងហ្គាពួរ កាតុង (ខេមបូឌា)</t>
        </is>
      </c>
      <c r="D3127" s="522" t="inlineStr">
        <is>
          <t>L001-100121322</t>
        </is>
      </c>
      <c r="E3127" s="521" t="inlineStr">
        <is>
          <t>V0019969</t>
        </is>
      </c>
      <c r="F3127" s="523" t="n">
        <v>44834</v>
      </c>
      <c r="G3127" s="556" t="n">
        <v>511748</v>
      </c>
      <c r="I3127" s="521">
        <f>G3127</f>
        <v/>
      </c>
      <c r="K3127" s="521">
        <f>I3127-G3127</f>
        <v/>
      </c>
      <c r="M3127" s="522" t="inlineStr">
        <is>
          <t>V0019969</t>
        </is>
      </c>
      <c r="N3127" s="522" t="inlineStr">
        <is>
          <t>V0019969</t>
        </is>
      </c>
      <c r="O3127" s="521">
        <f>M3127=N3127</f>
        <v/>
      </c>
      <c r="P3127" s="521">
        <f>AND(MONTH(F3127)=MONTH(S3127), YEAR(F3127)=YEAR(S3127))</f>
        <v/>
      </c>
      <c r="Q3127" s="521">
        <f>U3127="L001-901905215"</f>
        <v/>
      </c>
      <c r="R3127" s="556">
        <f>G3127-W3127</f>
        <v/>
      </c>
      <c r="S3127" s="523" t="n">
        <v>44834</v>
      </c>
      <c r="T3127" s="522" t="inlineStr">
        <is>
          <t>V0019969</t>
        </is>
      </c>
      <c r="U3127" s="522" t="inlineStr">
        <is>
          <t>L001-901905215</t>
        </is>
      </c>
      <c r="V3127" s="522" t="inlineStr">
        <is>
          <t>វីអ៊ីស៊ិន (ខេមបូឌា) អ៊ិនដាសស្ទ្រី ឯ.ក</t>
        </is>
      </c>
      <c r="W3127" s="556" t="n">
        <v>511748</v>
      </c>
    </row>
    <row r="3128">
      <c r="A3128" s="521" t="n">
        <v>3120</v>
      </c>
      <c r="B3128" s="522" t="inlineStr">
        <is>
          <t>Cartons</t>
        </is>
      </c>
      <c r="C3128" s="522" t="inlineStr">
        <is>
          <t>ស៊ីងហ្គាពួរ កាតុង (ខេមបូឌា)</t>
        </is>
      </c>
      <c r="D3128" s="522" t="inlineStr">
        <is>
          <t>L001-100121322</t>
        </is>
      </c>
      <c r="E3128" s="521" t="inlineStr">
        <is>
          <t>V0019967</t>
        </is>
      </c>
      <c r="F3128" s="523" t="n">
        <v>44834</v>
      </c>
      <c r="G3128" s="556" t="n">
        <v>610796</v>
      </c>
      <c r="I3128" s="521">
        <f>G3128</f>
        <v/>
      </c>
      <c r="K3128" s="521">
        <f>I3128-G3128</f>
        <v/>
      </c>
      <c r="M3128" s="522" t="inlineStr">
        <is>
          <t>V0019967</t>
        </is>
      </c>
      <c r="N3128" s="522" t="inlineStr">
        <is>
          <t>V0019967</t>
        </is>
      </c>
      <c r="O3128" s="521">
        <f>M3128=N3128</f>
        <v/>
      </c>
      <c r="P3128" s="521">
        <f>AND(MONTH(F3128)=MONTH(S3128), YEAR(F3128)=YEAR(S3128))</f>
        <v/>
      </c>
      <c r="Q3128" s="521">
        <f>U3128="L001-901905215"</f>
        <v/>
      </c>
      <c r="R3128" s="556">
        <f>G3128-W3128</f>
        <v/>
      </c>
      <c r="S3128" s="523" t="n">
        <v>44834</v>
      </c>
      <c r="T3128" s="522" t="inlineStr">
        <is>
          <t>V0019967</t>
        </is>
      </c>
      <c r="U3128" s="522" t="inlineStr">
        <is>
          <t>L001-901905215</t>
        </is>
      </c>
      <c r="V3128" s="522" t="inlineStr">
        <is>
          <t>វីអ៊ីស៊ិន (ខេមបូឌា) អ៊ិនដាសស្ទ្រី ឯ.ក</t>
        </is>
      </c>
      <c r="W3128" s="556" t="n">
        <v>610796</v>
      </c>
    </row>
    <row r="3129">
      <c r="A3129" s="521" t="n">
        <v>3121</v>
      </c>
      <c r="B3129" s="522" t="inlineStr">
        <is>
          <t>Cartons</t>
        </is>
      </c>
      <c r="C3129" s="522" t="inlineStr">
        <is>
          <t>ស៊ីងហ្គាពួរ កាតុង (ខេមបូឌា)</t>
        </is>
      </c>
      <c r="D3129" s="522" t="inlineStr">
        <is>
          <t>L001-100121322</t>
        </is>
      </c>
      <c r="E3129" s="521" t="inlineStr">
        <is>
          <t>V0019966</t>
        </is>
      </c>
      <c r="F3129" s="523" t="n">
        <v>44834</v>
      </c>
      <c r="G3129" s="556" t="n">
        <v>772574</v>
      </c>
      <c r="I3129" s="521">
        <f>G3129</f>
        <v/>
      </c>
      <c r="K3129" s="521">
        <f>I3129-G3129</f>
        <v/>
      </c>
      <c r="M3129" s="522" t="inlineStr">
        <is>
          <t>V0019966</t>
        </is>
      </c>
      <c r="N3129" s="522" t="inlineStr">
        <is>
          <t>V0019966</t>
        </is>
      </c>
      <c r="O3129" s="521">
        <f>M3129=N3129</f>
        <v/>
      </c>
      <c r="P3129" s="521">
        <f>AND(MONTH(F3129)=MONTH(S3129), YEAR(F3129)=YEAR(S3129))</f>
        <v/>
      </c>
      <c r="Q3129" s="521">
        <f>U3129="L001-901905215"</f>
        <v/>
      </c>
      <c r="R3129" s="556">
        <f>G3129-W3129</f>
        <v/>
      </c>
      <c r="S3129" s="523" t="n">
        <v>44834</v>
      </c>
      <c r="T3129" s="522" t="inlineStr">
        <is>
          <t>V0019966</t>
        </is>
      </c>
      <c r="U3129" s="522" t="inlineStr">
        <is>
          <t>L001-901905215</t>
        </is>
      </c>
      <c r="V3129" s="522" t="inlineStr">
        <is>
          <t>វីអ៊ីស៊ិន (ខេមបូឌា) អ៊ិនដាសស្ទ្រី ឯ.ក</t>
        </is>
      </c>
      <c r="W3129" s="556" t="n">
        <v>772574</v>
      </c>
    </row>
    <row r="3130">
      <c r="A3130" s="521" t="n">
        <v>3122</v>
      </c>
      <c r="B3130" s="522" t="inlineStr">
        <is>
          <t>Cartons</t>
        </is>
      </c>
      <c r="C3130" s="522" t="inlineStr">
        <is>
          <t>ស៊ីងហ្គាពួរ កាតុង (ខេមបូឌា)</t>
        </is>
      </c>
      <c r="D3130" s="522" t="inlineStr">
        <is>
          <t>L001-100121322</t>
        </is>
      </c>
      <c r="E3130" s="521" t="inlineStr">
        <is>
          <t>V0019965</t>
        </is>
      </c>
      <c r="F3130" s="523" t="n">
        <v>44833</v>
      </c>
      <c r="G3130" s="556" t="n">
        <v>814993</v>
      </c>
      <c r="I3130" s="521">
        <f>G3130</f>
        <v/>
      </c>
      <c r="K3130" s="521">
        <f>I3130-G3130</f>
        <v/>
      </c>
      <c r="M3130" s="522" t="inlineStr">
        <is>
          <t>V0019965</t>
        </is>
      </c>
      <c r="N3130" s="522" t="inlineStr">
        <is>
          <t>V0019965</t>
        </is>
      </c>
      <c r="O3130" s="521">
        <f>M3130=N3130</f>
        <v/>
      </c>
      <c r="P3130" s="521">
        <f>AND(MONTH(F3130)=MONTH(S3130), YEAR(F3130)=YEAR(S3130))</f>
        <v/>
      </c>
      <c r="Q3130" s="521">
        <f>U3130="L001-901905215"</f>
        <v/>
      </c>
      <c r="R3130" s="556">
        <f>G3130-W3130</f>
        <v/>
      </c>
      <c r="S3130" s="523" t="n">
        <v>44833</v>
      </c>
      <c r="T3130" s="522" t="inlineStr">
        <is>
          <t>V0019965</t>
        </is>
      </c>
      <c r="U3130" s="522" t="inlineStr">
        <is>
          <t>L001-901905215</t>
        </is>
      </c>
      <c r="V3130" s="522" t="inlineStr">
        <is>
          <t>វីអ៊ីស៊ិន (ខេមបូឌា) អ៊ិនដាសស្ទ្រី ឯ.ក</t>
        </is>
      </c>
      <c r="W3130" s="556" t="n">
        <v>815386</v>
      </c>
    </row>
    <row r="3131">
      <c r="A3131" s="521" t="n">
        <v>3123</v>
      </c>
      <c r="B3131" s="522" t="inlineStr">
        <is>
          <t>Cartons</t>
        </is>
      </c>
      <c r="C3131" s="522" t="inlineStr">
        <is>
          <t>ស៊ីងហ្គាពួរ កាតុង (ខេមបូឌា)</t>
        </is>
      </c>
      <c r="D3131" s="522" t="inlineStr">
        <is>
          <t>L001-100121322</t>
        </is>
      </c>
      <c r="E3131" s="521" t="inlineStr">
        <is>
          <t>V0019962</t>
        </is>
      </c>
      <c r="F3131" s="523" t="n">
        <v>44833</v>
      </c>
      <c r="G3131" s="556" t="n">
        <v>643500</v>
      </c>
      <c r="I3131" s="521">
        <f>G3131</f>
        <v/>
      </c>
      <c r="K3131" s="521">
        <f>I3131-G3131</f>
        <v/>
      </c>
      <c r="M3131" s="522" t="inlineStr">
        <is>
          <t>V0019962</t>
        </is>
      </c>
      <c r="N3131" s="522" t="inlineStr">
        <is>
          <t>V0019962</t>
        </is>
      </c>
      <c r="O3131" s="521">
        <f>M3131=N3131</f>
        <v/>
      </c>
      <c r="P3131" s="521">
        <f>AND(MONTH(F3131)=MONTH(S3131), YEAR(F3131)=YEAR(S3131))</f>
        <v/>
      </c>
      <c r="Q3131" s="521">
        <f>U3131="L001-901905215"</f>
        <v/>
      </c>
      <c r="R3131" s="556">
        <f>G3131-W3131</f>
        <v/>
      </c>
      <c r="S3131" s="523" t="n">
        <v>44833</v>
      </c>
      <c r="T3131" s="522" t="inlineStr">
        <is>
          <t>V0019962</t>
        </is>
      </c>
      <c r="U3131" s="522" t="inlineStr">
        <is>
          <t>L001-901905215</t>
        </is>
      </c>
      <c r="V3131" s="522" t="inlineStr">
        <is>
          <t>វីអ៊ីស៊ិន (ខេមបូឌា) អ៊ិនដាសស្ទ្រី ឯ.ក</t>
        </is>
      </c>
      <c r="W3131" s="556" t="n">
        <v>643812</v>
      </c>
    </row>
    <row r="3132">
      <c r="A3132" s="521" t="n">
        <v>3124</v>
      </c>
      <c r="B3132" s="522" t="inlineStr">
        <is>
          <t>Cartons</t>
        </is>
      </c>
      <c r="C3132" s="522" t="inlineStr">
        <is>
          <t>ស៊ីងហ្គាពួរ កាតុង (ខេមបូឌា)</t>
        </is>
      </c>
      <c r="D3132" s="522" t="inlineStr">
        <is>
          <t>L001-100121322</t>
        </is>
      </c>
      <c r="E3132" s="521" t="inlineStr">
        <is>
          <t>V0019963</t>
        </is>
      </c>
      <c r="F3132" s="523" t="n">
        <v>44833</v>
      </c>
      <c r="G3132" s="556" t="n">
        <v>62370</v>
      </c>
      <c r="I3132" s="521">
        <f>G3132</f>
        <v/>
      </c>
      <c r="K3132" s="521">
        <f>I3132-G3132</f>
        <v/>
      </c>
      <c r="M3132" s="522" t="inlineStr">
        <is>
          <t>V0019963</t>
        </is>
      </c>
      <c r="N3132" s="522" t="inlineStr">
        <is>
          <t>V0019963</t>
        </is>
      </c>
      <c r="O3132" s="521">
        <f>M3132=N3132</f>
        <v/>
      </c>
      <c r="P3132" s="521">
        <f>AND(MONTH(F3132)=MONTH(S3132), YEAR(F3132)=YEAR(S3132))</f>
        <v/>
      </c>
      <c r="Q3132" s="521">
        <f>U3132="L001-901905215"</f>
        <v/>
      </c>
      <c r="R3132" s="556">
        <f>G3132-W3132</f>
        <v/>
      </c>
      <c r="S3132" s="523" t="n">
        <v>44833</v>
      </c>
      <c r="T3132" s="522" t="inlineStr">
        <is>
          <t>V0019963</t>
        </is>
      </c>
      <c r="U3132" s="522" t="inlineStr">
        <is>
          <t>L001-901905215</t>
        </is>
      </c>
      <c r="V3132" s="522" t="inlineStr">
        <is>
          <t>វីអ៊ីស៊ិន (ខេមបូឌា) អ៊ិនដាសស្ទ្រី ឯ.ក</t>
        </is>
      </c>
      <c r="W3132" s="556" t="n">
        <v>62400</v>
      </c>
    </row>
    <row r="3133">
      <c r="A3133" s="521" t="n">
        <v>3125</v>
      </c>
      <c r="B3133" s="522" t="inlineStr">
        <is>
          <t>Cartons</t>
        </is>
      </c>
      <c r="C3133" s="522" t="inlineStr">
        <is>
          <t>ស៊ីងហ្គាពួរ កាតុង (ខេមបូឌា)</t>
        </is>
      </c>
      <c r="D3133" s="522" t="inlineStr">
        <is>
          <t>L001-100121322</t>
        </is>
      </c>
      <c r="E3133" s="521" t="inlineStr">
        <is>
          <t>V0019950</t>
        </is>
      </c>
      <c r="F3133" s="523" t="n">
        <v>44832</v>
      </c>
      <c r="G3133" s="556" t="n">
        <v>5567</v>
      </c>
      <c r="I3133" s="521">
        <f>G3133</f>
        <v/>
      </c>
      <c r="K3133" s="521">
        <f>I3133-G3133</f>
        <v/>
      </c>
      <c r="M3133" s="522" t="inlineStr">
        <is>
          <t>V0019950</t>
        </is>
      </c>
      <c r="N3133" s="522" t="inlineStr">
        <is>
          <t>V0019950</t>
        </is>
      </c>
      <c r="O3133" s="521">
        <f>M3133=N3133</f>
        <v/>
      </c>
      <c r="P3133" s="521">
        <f>AND(MONTH(F3133)=MONTH(S3133), YEAR(F3133)=YEAR(S3133))</f>
        <v/>
      </c>
      <c r="Q3133" s="521">
        <f>U3133="L001-901905215"</f>
        <v/>
      </c>
      <c r="R3133" s="556">
        <f>G3133-W3133</f>
        <v/>
      </c>
      <c r="S3133" s="523" t="n">
        <v>44832</v>
      </c>
      <c r="T3133" s="522" t="inlineStr">
        <is>
          <t>V0019950</t>
        </is>
      </c>
      <c r="U3133" s="522" t="inlineStr">
        <is>
          <t>L001-901905215</t>
        </is>
      </c>
      <c r="V3133" s="522" t="inlineStr">
        <is>
          <t>វីអ៊ីស៊ិន (ខេមបូឌា) អ៊ិនដាសស្ទ្រី ឯ.ក</t>
        </is>
      </c>
      <c r="W3133" s="556" t="n">
        <v>5571</v>
      </c>
    </row>
    <row r="3134">
      <c r="A3134" s="521" t="n">
        <v>3126</v>
      </c>
      <c r="B3134" s="522" t="inlineStr">
        <is>
          <t>Cartons</t>
        </is>
      </c>
      <c r="C3134" s="522" t="inlineStr">
        <is>
          <t>ស៊ីងហ្គាពួរ កាតុង (ខេមបូឌា)</t>
        </is>
      </c>
      <c r="D3134" s="522" t="inlineStr">
        <is>
          <t>L001-100121322</t>
        </is>
      </c>
      <c r="E3134" s="521" t="inlineStr">
        <is>
          <t>V0019949</t>
        </is>
      </c>
      <c r="F3134" s="523" t="n">
        <v>44831</v>
      </c>
      <c r="G3134" s="556" t="n">
        <v>6681</v>
      </c>
      <c r="I3134" s="521">
        <f>G3134</f>
        <v/>
      </c>
      <c r="K3134" s="521">
        <f>I3134-G3134</f>
        <v/>
      </c>
      <c r="M3134" s="522" t="inlineStr">
        <is>
          <t>V0019949</t>
        </is>
      </c>
      <c r="N3134" s="522" t="inlineStr">
        <is>
          <t>V0019949</t>
        </is>
      </c>
      <c r="O3134" s="521">
        <f>M3134=N3134</f>
        <v/>
      </c>
      <c r="P3134" s="521">
        <f>AND(MONTH(F3134)=MONTH(S3134), YEAR(F3134)=YEAR(S3134))</f>
        <v/>
      </c>
      <c r="Q3134" s="521">
        <f>U3134="L001-901905215"</f>
        <v/>
      </c>
      <c r="R3134" s="556">
        <f>G3134-W3134</f>
        <v/>
      </c>
      <c r="S3134" s="523" t="n">
        <v>44831</v>
      </c>
      <c r="T3134" s="522" t="inlineStr">
        <is>
          <t>V0019949</t>
        </is>
      </c>
      <c r="U3134" s="522" t="inlineStr">
        <is>
          <t>L001-901905215</t>
        </is>
      </c>
      <c r="V3134" s="522" t="inlineStr">
        <is>
          <t>វីអ៊ីស៊ិន (ខេមបូឌា) អ៊ិនដាសស្ទ្រី ឯ.ក</t>
        </is>
      </c>
      <c r="W3134" s="556" t="n">
        <v>6686</v>
      </c>
    </row>
    <row r="3135">
      <c r="A3135" s="521" t="n">
        <v>3127</v>
      </c>
      <c r="B3135" s="522" t="inlineStr">
        <is>
          <t>Cartons</t>
        </is>
      </c>
      <c r="C3135" s="522" t="inlineStr">
        <is>
          <t>ស៊ីងហ្គាពួរ កាតុង (ខេមបូឌា)</t>
        </is>
      </c>
      <c r="D3135" s="522" t="inlineStr">
        <is>
          <t>L001-100121322</t>
        </is>
      </c>
      <c r="E3135" s="521" t="inlineStr">
        <is>
          <t>V0019945</t>
        </is>
      </c>
      <c r="F3135" s="523" t="n">
        <v>44826</v>
      </c>
      <c r="G3135" s="556" t="n">
        <v>61076</v>
      </c>
      <c r="I3135" s="521">
        <f>G3135</f>
        <v/>
      </c>
      <c r="K3135" s="521">
        <f>I3135-G3135</f>
        <v/>
      </c>
      <c r="M3135" s="522" t="inlineStr">
        <is>
          <t>V0019945</t>
        </is>
      </c>
      <c r="N3135" s="522" t="inlineStr">
        <is>
          <t>V0019945</t>
        </is>
      </c>
      <c r="O3135" s="521">
        <f>M3135=N3135</f>
        <v/>
      </c>
      <c r="P3135" s="521">
        <f>AND(MONTH(F3135)=MONTH(S3135), YEAR(F3135)=YEAR(S3135))</f>
        <v/>
      </c>
      <c r="Q3135" s="521">
        <f>U3135="L001-901905215"</f>
        <v/>
      </c>
      <c r="R3135" s="556">
        <f>G3135-W3135</f>
        <v/>
      </c>
      <c r="S3135" s="523" t="n">
        <v>44826</v>
      </c>
      <c r="T3135" s="522" t="inlineStr">
        <is>
          <t>V0019945</t>
        </is>
      </c>
      <c r="U3135" s="522" t="inlineStr">
        <is>
          <t>L001-901905215</t>
        </is>
      </c>
      <c r="V3135" s="522" t="inlineStr">
        <is>
          <t>វីអ៊ីស៊ិន (ខេមបូឌា) អ៊ិនដាសស្ទ្រី ឯ.ក</t>
        </is>
      </c>
      <c r="W3135" s="556" t="n">
        <v>61121</v>
      </c>
    </row>
    <row r="3136">
      <c r="A3136" s="521" t="n">
        <v>3128</v>
      </c>
      <c r="B3136" s="522" t="inlineStr">
        <is>
          <t>Cartons</t>
        </is>
      </c>
      <c r="C3136" s="522" t="inlineStr">
        <is>
          <t>ស៊ីងហ្គាពួរ កាតុង (ខេមបូឌា)</t>
        </is>
      </c>
      <c r="D3136" s="522" t="inlineStr">
        <is>
          <t>L001-100121322</t>
        </is>
      </c>
      <c r="E3136" s="521" t="inlineStr">
        <is>
          <t>V0019934</t>
        </is>
      </c>
      <c r="F3136" s="523" t="n">
        <v>44824</v>
      </c>
      <c r="G3136" s="556" t="n">
        <v>313148</v>
      </c>
      <c r="I3136" s="521">
        <f>G3136</f>
        <v/>
      </c>
      <c r="K3136" s="521">
        <f>I3136-G3136</f>
        <v/>
      </c>
      <c r="M3136" s="522" t="inlineStr">
        <is>
          <t>V0019934</t>
        </is>
      </c>
      <c r="N3136" s="522" t="inlineStr">
        <is>
          <t>V0019934</t>
        </is>
      </c>
      <c r="O3136" s="521">
        <f>M3136=N3136</f>
        <v/>
      </c>
      <c r="P3136" s="521">
        <f>AND(MONTH(F3136)=MONTH(S3136), YEAR(F3136)=YEAR(S3136))</f>
        <v/>
      </c>
      <c r="Q3136" s="521">
        <f>U3136="L001-901905215"</f>
        <v/>
      </c>
      <c r="R3136" s="556">
        <f>G3136-W3136</f>
        <v/>
      </c>
      <c r="S3136" s="523" t="n">
        <v>44824</v>
      </c>
      <c r="T3136" s="522" t="inlineStr">
        <is>
          <t>V0019934</t>
        </is>
      </c>
      <c r="U3136" s="522" t="inlineStr">
        <is>
          <t>L001-901905215</t>
        </is>
      </c>
      <c r="V3136" s="522" t="inlineStr">
        <is>
          <t>វីអ៊ីស៊ិន (ខេមបូឌា) អ៊ិនដាសស្ទ្រី ឯ.ក</t>
        </is>
      </c>
      <c r="W3136" s="556" t="n">
        <v>313374</v>
      </c>
    </row>
    <row r="3137">
      <c r="A3137" s="521" t="n">
        <v>3129</v>
      </c>
      <c r="B3137" s="522" t="inlineStr">
        <is>
          <t>Cartons</t>
        </is>
      </c>
      <c r="C3137" s="522" t="inlineStr">
        <is>
          <t>ស៊ីងហ្គាពួរ កាតុង (ខេមបូឌា)</t>
        </is>
      </c>
      <c r="D3137" s="522" t="inlineStr">
        <is>
          <t>L001-100121322</t>
        </is>
      </c>
      <c r="E3137" s="521" t="inlineStr">
        <is>
          <t>V0019931</t>
        </is>
      </c>
      <c r="F3137" s="523" t="n">
        <v>44824</v>
      </c>
      <c r="G3137" s="556" t="n">
        <v>639220</v>
      </c>
      <c r="I3137" s="521">
        <f>G3137</f>
        <v/>
      </c>
      <c r="K3137" s="521">
        <f>I3137-G3137</f>
        <v/>
      </c>
      <c r="M3137" s="522" t="inlineStr">
        <is>
          <t>V0019931</t>
        </is>
      </c>
      <c r="N3137" s="522" t="inlineStr">
        <is>
          <t>V0019931</t>
        </is>
      </c>
      <c r="O3137" s="521">
        <f>M3137=N3137</f>
        <v/>
      </c>
      <c r="P3137" s="521">
        <f>AND(MONTH(F3137)=MONTH(S3137), YEAR(F3137)=YEAR(S3137))</f>
        <v/>
      </c>
      <c r="Q3137" s="521">
        <f>U3137="L001-901905215"</f>
        <v/>
      </c>
      <c r="R3137" s="556">
        <f>G3137-W3137</f>
        <v/>
      </c>
      <c r="S3137" s="523" t="n">
        <v>44824</v>
      </c>
      <c r="T3137" s="522" t="inlineStr">
        <is>
          <t>V0019931</t>
        </is>
      </c>
      <c r="U3137" s="522" t="inlineStr">
        <is>
          <t>L001-901905215</t>
        </is>
      </c>
      <c r="V3137" s="522" t="inlineStr">
        <is>
          <t>វីអ៊ីស៊ិន (ខេមបូឌា) អ៊ិនដាសស្ទ្រី ឯ.ក</t>
        </is>
      </c>
      <c r="W3137" s="556" t="n">
        <v>639685</v>
      </c>
    </row>
    <row r="3138">
      <c r="A3138" s="521" t="n">
        <v>3130</v>
      </c>
      <c r="B3138" s="522" t="inlineStr">
        <is>
          <t>Cartons</t>
        </is>
      </c>
      <c r="C3138" s="522" t="inlineStr">
        <is>
          <t>ស៊ីងហ្គាពួរ កាតុង (ខេមបូឌា)</t>
        </is>
      </c>
      <c r="D3138" s="522" t="inlineStr">
        <is>
          <t>L001-100121322</t>
        </is>
      </c>
      <c r="E3138" s="521" t="inlineStr">
        <is>
          <t>V0019919</t>
        </is>
      </c>
      <c r="F3138" s="523" t="n">
        <v>44823</v>
      </c>
      <c r="G3138" s="556" t="n">
        <v>643344</v>
      </c>
      <c r="I3138" s="521">
        <f>G3138</f>
        <v/>
      </c>
      <c r="K3138" s="521">
        <f>I3138-G3138</f>
        <v/>
      </c>
      <c r="M3138" s="522" t="inlineStr">
        <is>
          <t>V0019919</t>
        </is>
      </c>
      <c r="N3138" s="522" t="inlineStr">
        <is>
          <t>V0019919</t>
        </is>
      </c>
      <c r="O3138" s="521">
        <f>M3138=N3138</f>
        <v/>
      </c>
      <c r="P3138" s="521">
        <f>AND(MONTH(F3138)=MONTH(S3138), YEAR(F3138)=YEAR(S3138))</f>
        <v/>
      </c>
      <c r="Q3138" s="521">
        <f>U3138="L001-901905215"</f>
        <v/>
      </c>
      <c r="R3138" s="556">
        <f>G3138-W3138</f>
        <v/>
      </c>
      <c r="S3138" s="523" t="n">
        <v>44823</v>
      </c>
      <c r="T3138" s="522" t="inlineStr">
        <is>
          <t>V0019919</t>
        </is>
      </c>
      <c r="U3138" s="522" t="inlineStr">
        <is>
          <t>L001-901905215</t>
        </is>
      </c>
      <c r="V3138" s="522" t="inlineStr">
        <is>
          <t>វីអ៊ីស៊ិន (ខេមបូឌា) អ៊ិនដាសស្ទ្រី ឯ.ក</t>
        </is>
      </c>
      <c r="W3138" s="556" t="n">
        <v>643812</v>
      </c>
    </row>
    <row r="3139">
      <c r="A3139" s="521" t="n">
        <v>3131</v>
      </c>
      <c r="B3139" s="522" t="inlineStr">
        <is>
          <t>Cartons</t>
        </is>
      </c>
      <c r="C3139" s="522" t="inlineStr">
        <is>
          <t>ស៊ីងហ្គាពួរ កាតុង (ខេមបូឌា)</t>
        </is>
      </c>
      <c r="D3139" s="522" t="inlineStr">
        <is>
          <t>L001-100121322</t>
        </is>
      </c>
      <c r="E3139" s="521" t="inlineStr">
        <is>
          <t>V0019903</t>
        </is>
      </c>
      <c r="F3139" s="523" t="n">
        <v>44818</v>
      </c>
      <c r="G3139" s="556" t="n">
        <v>642252</v>
      </c>
      <c r="I3139" s="521">
        <f>G3139</f>
        <v/>
      </c>
      <c r="K3139" s="521">
        <f>I3139-G3139</f>
        <v/>
      </c>
      <c r="M3139" s="522" t="inlineStr">
        <is>
          <t>V0019903</t>
        </is>
      </c>
      <c r="N3139" s="522" t="inlineStr">
        <is>
          <t>V0019903</t>
        </is>
      </c>
      <c r="O3139" s="521">
        <f>M3139=N3139</f>
        <v/>
      </c>
      <c r="P3139" s="521">
        <f>AND(MONTH(F3139)=MONTH(S3139), YEAR(F3139)=YEAR(S3139))</f>
        <v/>
      </c>
      <c r="Q3139" s="521">
        <f>U3139="L001-901905215"</f>
        <v/>
      </c>
      <c r="R3139" s="556">
        <f>G3139-W3139</f>
        <v/>
      </c>
      <c r="S3139" s="523" t="n">
        <v>44818</v>
      </c>
      <c r="T3139" s="522" t="inlineStr">
        <is>
          <t>V0019903</t>
        </is>
      </c>
      <c r="U3139" s="522" t="inlineStr">
        <is>
          <t>L001-901905215</t>
        </is>
      </c>
      <c r="V3139" s="522" t="inlineStr">
        <is>
          <t>វីអ៊ីស៊ិន (ខេមបូឌា) អ៊ិនដាសស្ទ្រី ឯ.ក</t>
        </is>
      </c>
      <c r="W3139" s="556" t="n">
        <v>643812</v>
      </c>
    </row>
    <row r="3140">
      <c r="A3140" s="521" t="n">
        <v>3132</v>
      </c>
      <c r="B3140" s="522" t="inlineStr">
        <is>
          <t>Cartons</t>
        </is>
      </c>
      <c r="C3140" s="522" t="inlineStr">
        <is>
          <t>ស៊ីងហ្គាពួរ កាតុង (ខេមបូឌា)</t>
        </is>
      </c>
      <c r="D3140" s="522" t="inlineStr">
        <is>
          <t>L001-100121322</t>
        </is>
      </c>
      <c r="E3140" s="521" t="inlineStr">
        <is>
          <t>V0019898</t>
        </is>
      </c>
      <c r="F3140" s="523" t="n">
        <v>44817</v>
      </c>
      <c r="G3140" s="556" t="n">
        <v>637825</v>
      </c>
      <c r="I3140" s="521">
        <f>G3140</f>
        <v/>
      </c>
      <c r="K3140" s="521">
        <f>I3140-G3140</f>
        <v/>
      </c>
      <c r="M3140" s="522" t="inlineStr">
        <is>
          <t>V0019898</t>
        </is>
      </c>
      <c r="N3140" s="522" t="inlineStr">
        <is>
          <t>V0019898</t>
        </is>
      </c>
      <c r="O3140" s="521">
        <f>M3140=N3140</f>
        <v/>
      </c>
      <c r="P3140" s="521">
        <f>AND(MONTH(F3140)=MONTH(S3140), YEAR(F3140)=YEAR(S3140))</f>
        <v/>
      </c>
      <c r="Q3140" s="521">
        <f>U3140="L001-901905215"</f>
        <v/>
      </c>
      <c r="R3140" s="556">
        <f>G3140-W3140</f>
        <v/>
      </c>
      <c r="S3140" s="523" t="n">
        <v>44817</v>
      </c>
      <c r="T3140" s="522" t="inlineStr">
        <is>
          <t>V0019898</t>
        </is>
      </c>
      <c r="U3140" s="522" t="inlineStr">
        <is>
          <t>L001-901905215</t>
        </is>
      </c>
      <c r="V3140" s="522" t="inlineStr">
        <is>
          <t>វីអ៊ីស៊ិន (ខេមបូឌា) អ៊ិនដាសស្ទ្រី ឯ.ក</t>
        </is>
      </c>
      <c r="W3140" s="556" t="n">
        <v>639685</v>
      </c>
    </row>
    <row r="3141">
      <c r="A3141" s="521" t="n">
        <v>3133</v>
      </c>
      <c r="B3141" s="522" t="inlineStr">
        <is>
          <t>Cartons</t>
        </is>
      </c>
      <c r="C3141" s="522" t="inlineStr">
        <is>
          <t>ស៊ីងហ្គាពួរ កាតុង (ខេមបូឌា)</t>
        </is>
      </c>
      <c r="D3141" s="522" t="inlineStr">
        <is>
          <t>L001-100121322</t>
        </is>
      </c>
      <c r="E3141" s="521" t="inlineStr">
        <is>
          <t>V0019895</t>
        </is>
      </c>
      <c r="F3141" s="523" t="n">
        <v>44816</v>
      </c>
      <c r="G3141" s="556" t="n">
        <v>29628</v>
      </c>
      <c r="I3141" s="521">
        <f>G3141</f>
        <v/>
      </c>
      <c r="K3141" s="521">
        <f>I3141-G3141</f>
        <v/>
      </c>
      <c r="M3141" s="522" t="inlineStr">
        <is>
          <t>V0019895</t>
        </is>
      </c>
      <c r="N3141" s="522" t="inlineStr">
        <is>
          <t>V0019895</t>
        </is>
      </c>
      <c r="O3141" s="521">
        <f>M3141=N3141</f>
        <v/>
      </c>
      <c r="P3141" s="521">
        <f>AND(MONTH(F3141)=MONTH(S3141), YEAR(F3141)=YEAR(S3141))</f>
        <v/>
      </c>
      <c r="Q3141" s="521">
        <f>U3141="L001-901905215"</f>
        <v/>
      </c>
      <c r="R3141" s="556">
        <f>G3141-W3141</f>
        <v/>
      </c>
      <c r="S3141" s="523" t="n">
        <v>44816</v>
      </c>
      <c r="T3141" s="522" t="inlineStr">
        <is>
          <t>V0019895</t>
        </is>
      </c>
      <c r="U3141" s="522" t="inlineStr">
        <is>
          <t>L001-901905215</t>
        </is>
      </c>
      <c r="V3141" s="522" t="inlineStr">
        <is>
          <t>វីអ៊ីស៊ិន (ខេមបូឌា) អ៊ិនដាសស្ទ្រី ឯ.ក</t>
        </is>
      </c>
      <c r="W3141" s="556" t="n">
        <v>29714</v>
      </c>
    </row>
    <row r="3142">
      <c r="A3142" s="521" t="n">
        <v>3134</v>
      </c>
      <c r="B3142" s="522" t="inlineStr">
        <is>
          <t>Cartons</t>
        </is>
      </c>
      <c r="C3142" s="522" t="inlineStr">
        <is>
          <t>ស៊ីងហ្គាពួរ កាតុង (ខេមបូឌា)</t>
        </is>
      </c>
      <c r="D3142" s="522" t="inlineStr">
        <is>
          <t>L001-100121322</t>
        </is>
      </c>
      <c r="E3142" s="521" t="inlineStr">
        <is>
          <t>V0019877</t>
        </is>
      </c>
      <c r="F3142" s="523" t="n">
        <v>44813</v>
      </c>
      <c r="G3142" s="556" t="n">
        <v>151731</v>
      </c>
      <c r="I3142" s="521">
        <f>G3142</f>
        <v/>
      </c>
      <c r="K3142" s="521">
        <f>I3142-G3142</f>
        <v/>
      </c>
      <c r="M3142" s="522" t="inlineStr">
        <is>
          <t>V0019877</t>
        </is>
      </c>
      <c r="N3142" s="522" t="inlineStr">
        <is>
          <t>V0019877</t>
        </is>
      </c>
      <c r="O3142" s="521">
        <f>M3142=N3142</f>
        <v/>
      </c>
      <c r="P3142" s="521">
        <f>AND(MONTH(F3142)=MONTH(S3142), YEAR(F3142)=YEAR(S3142))</f>
        <v/>
      </c>
      <c r="Q3142" s="521">
        <f>U3142="L001-901905215"</f>
        <v/>
      </c>
      <c r="R3142" s="556">
        <f>G3142-W3142</f>
        <v/>
      </c>
      <c r="S3142" s="523" t="n">
        <v>44812</v>
      </c>
      <c r="T3142" s="522" t="inlineStr">
        <is>
          <t>V0019877</t>
        </is>
      </c>
      <c r="U3142" s="522" t="inlineStr">
        <is>
          <t>L001-901905215</t>
        </is>
      </c>
      <c r="V3142" s="522" t="inlineStr">
        <is>
          <t>វីអ៊ីស៊ិន (ខេមបូឌា) អ៊ិនដាសស្ទ្រី ឯ.ក</t>
        </is>
      </c>
      <c r="W3142" s="556" t="n">
        <v>151990</v>
      </c>
    </row>
    <row r="3143">
      <c r="A3143" s="521" t="n">
        <v>3135</v>
      </c>
      <c r="B3143" s="522" t="inlineStr">
        <is>
          <t>Cartons</t>
        </is>
      </c>
      <c r="C3143" s="522" t="inlineStr">
        <is>
          <t>ស៊ីងហ្គាពួរ កាតុង (ខេមបូឌា)</t>
        </is>
      </c>
      <c r="D3143" s="522" t="inlineStr">
        <is>
          <t>L001-100121322</t>
        </is>
      </c>
      <c r="E3143" s="521" t="inlineStr">
        <is>
          <t>V0019873</t>
        </is>
      </c>
      <c r="F3143" s="523" t="n">
        <v>44812</v>
      </c>
      <c r="G3143" s="556" t="n">
        <v>357616</v>
      </c>
      <c r="I3143" s="521">
        <f>G3143</f>
        <v/>
      </c>
      <c r="K3143" s="521">
        <f>I3143-G3143</f>
        <v/>
      </c>
      <c r="M3143" s="522" t="inlineStr">
        <is>
          <t>V0019873</t>
        </is>
      </c>
      <c r="N3143" s="522" t="inlineStr">
        <is>
          <t>V0019873</t>
        </is>
      </c>
      <c r="O3143" s="521">
        <f>M3143=N3143</f>
        <v/>
      </c>
      <c r="P3143" s="521">
        <f>AND(MONTH(F3143)=MONTH(S3143), YEAR(F3143)=YEAR(S3143))</f>
        <v/>
      </c>
      <c r="Q3143" s="521">
        <f>U3143="L001-901905215"</f>
        <v/>
      </c>
      <c r="R3143" s="556">
        <f>G3143-W3143</f>
        <v/>
      </c>
      <c r="S3143" s="523" t="n">
        <v>44812</v>
      </c>
      <c r="T3143" s="522" t="inlineStr">
        <is>
          <t>V0019873</t>
        </is>
      </c>
      <c r="U3143" s="522" t="inlineStr">
        <is>
          <t>L001-901905215</t>
        </is>
      </c>
      <c r="V3143" s="522" t="inlineStr">
        <is>
          <t>វីអ៊ីស៊ិន (ខេមបូឌា) អ៊ិនដាសស្ទ្រី ឯ.ក</t>
        </is>
      </c>
      <c r="W3143" s="556" t="n">
        <v>358224</v>
      </c>
    </row>
    <row r="3144">
      <c r="A3144" s="521" t="n">
        <v>3136</v>
      </c>
      <c r="B3144" s="522" t="inlineStr">
        <is>
          <t>Cartons</t>
        </is>
      </c>
      <c r="C3144" s="522" t="inlineStr">
        <is>
          <t>ស៊ីងហ្គាពួរ កាតុង (ខេមបូឌា)</t>
        </is>
      </c>
      <c r="D3144" s="522" t="inlineStr">
        <is>
          <t>L001-100121322</t>
        </is>
      </c>
      <c r="E3144" s="521" t="inlineStr">
        <is>
          <t>V0019857</t>
        </is>
      </c>
      <c r="F3144" s="523" t="n">
        <v>44811</v>
      </c>
      <c r="G3144" s="556" t="n">
        <v>643032</v>
      </c>
      <c r="I3144" s="521">
        <f>G3144</f>
        <v/>
      </c>
      <c r="K3144" s="521">
        <f>I3144-G3144</f>
        <v/>
      </c>
      <c r="M3144" s="522" t="inlineStr">
        <is>
          <t>V0019857</t>
        </is>
      </c>
      <c r="N3144" s="522" t="inlineStr">
        <is>
          <t>V0019857</t>
        </is>
      </c>
      <c r="O3144" s="521">
        <f>M3144=N3144</f>
        <v/>
      </c>
      <c r="P3144" s="521">
        <f>AND(MONTH(F3144)=MONTH(S3144), YEAR(F3144)=YEAR(S3144))</f>
        <v/>
      </c>
      <c r="Q3144" s="521">
        <f>U3144="L001-901905215"</f>
        <v/>
      </c>
      <c r="R3144" s="556">
        <f>G3144-W3144</f>
        <v/>
      </c>
      <c r="S3144" s="523" t="n">
        <v>44811</v>
      </c>
      <c r="T3144" s="522" t="inlineStr">
        <is>
          <t>V0019857</t>
        </is>
      </c>
      <c r="U3144" s="522" t="inlineStr">
        <is>
          <t>L001-901905215</t>
        </is>
      </c>
      <c r="V3144" s="522" t="inlineStr">
        <is>
          <t>វីអ៊ីស៊ិន (ខេមបូឌា) អ៊ិនដាសស្ទ្រី ឯ.ក</t>
        </is>
      </c>
      <c r="W3144" s="556" t="n">
        <v>643812</v>
      </c>
    </row>
    <row r="3145">
      <c r="A3145" s="521" t="n">
        <v>3137</v>
      </c>
      <c r="B3145" s="522" t="inlineStr">
        <is>
          <t>ផ្លាកក្រដាស​ និង ក្រដាស</t>
        </is>
      </c>
      <c r="C3145" s="522" t="inlineStr">
        <is>
          <t>ដុងគ័ន ស៊ីធី ហ្វាញស្តារ ព្រីនធីង (ខេមបូឌា)</t>
        </is>
      </c>
      <c r="D3145" s="522" t="inlineStr">
        <is>
          <t>L001-100193021</t>
        </is>
      </c>
      <c r="E3145" s="521" t="inlineStr">
        <is>
          <t>00265</t>
        </is>
      </c>
      <c r="F3145" s="523" t="n">
        <v>44823</v>
      </c>
      <c r="G3145" s="556" t="n">
        <v>4018361</v>
      </c>
      <c r="I3145" s="521">
        <f>G3145</f>
        <v/>
      </c>
      <c r="K3145" s="521">
        <f>I3145-G3145</f>
        <v/>
      </c>
      <c r="M3145" s="522" t="inlineStr">
        <is>
          <t>00265</t>
        </is>
      </c>
      <c r="N3145" s="522" t="inlineStr">
        <is>
          <t>00265</t>
        </is>
      </c>
      <c r="O3145" s="521">
        <f>M3145=N3145</f>
        <v/>
      </c>
      <c r="P3145" s="521">
        <f>AND(MONTH(F3145)=MONTH(S3145), YEAR(F3145)=YEAR(S3145))</f>
        <v/>
      </c>
      <c r="Q3145" s="521">
        <f>U3145="L001-901905215"</f>
        <v/>
      </c>
      <c r="R3145" s="556">
        <f>G3145-W3145</f>
        <v/>
      </c>
      <c r="S3145" s="523" t="n">
        <v>44823</v>
      </c>
      <c r="T3145" s="522" t="inlineStr">
        <is>
          <t>00265</t>
        </is>
      </c>
      <c r="U3145" s="522" t="inlineStr">
        <is>
          <t>L001-901905215</t>
        </is>
      </c>
      <c r="V3145" s="522" t="inlineStr">
        <is>
          <t>វីអ៊ីស៊ិន (ខេមបូឌា) អ៊ិនដាសស្ទ្រី ឯ.ក</t>
        </is>
      </c>
      <c r="W3145" s="556" t="n">
        <v>4018361</v>
      </c>
    </row>
    <row r="3146">
      <c r="A3146" s="521" t="n">
        <v>3138</v>
      </c>
      <c r="B3146" s="522" t="inlineStr">
        <is>
          <t>Monthly Tax declaration for Sep 2022 service</t>
        </is>
      </c>
      <c r="C3146" s="522" t="inlineStr">
        <is>
          <t>យីងកឺ ខេម ថេក អ៊ែតវ៉ាយហ្សឺរី ឯ.ក</t>
        </is>
      </c>
      <c r="D3146" s="522" t="inlineStr">
        <is>
          <t>K003-902005313</t>
        </is>
      </c>
      <c r="E3146" s="521" t="inlineStr">
        <is>
          <t>YKT22-204</t>
        </is>
      </c>
      <c r="F3146" s="523" t="n">
        <v>44805</v>
      </c>
      <c r="G3146" s="556" t="n">
        <v>576240</v>
      </c>
      <c r="I3146" s="521">
        <f>G3146</f>
        <v/>
      </c>
      <c r="K3146" s="521">
        <f>I3146-G3146</f>
        <v/>
      </c>
      <c r="M3146" s="522" t="inlineStr">
        <is>
          <t>YKT22204</t>
        </is>
      </c>
      <c r="N3146" s="522" t="inlineStr">
        <is>
          <t>YKT22204</t>
        </is>
      </c>
      <c r="O3146" s="521">
        <f>M3146=N3146</f>
        <v/>
      </c>
      <c r="P3146" s="521">
        <f>AND(MONTH(F3146)=MONTH(S3146), YEAR(F3146)=YEAR(S3146))</f>
        <v/>
      </c>
      <c r="Q3146" s="521">
        <f>U3146="L001-901905215"</f>
        <v/>
      </c>
      <c r="R3146" s="556">
        <f>G3146-W3146</f>
        <v/>
      </c>
      <c r="S3146" s="523" t="n">
        <v>44805</v>
      </c>
      <c r="T3146" s="522" t="inlineStr">
        <is>
          <t>YKT22-204</t>
        </is>
      </c>
      <c r="U3146" s="522" t="inlineStr">
        <is>
          <t>L001-901905215</t>
        </is>
      </c>
      <c r="V3146" s="522" t="inlineStr">
        <is>
          <t>វីអ៊ីស៊ិន (ខេមបូឌា) អ៊ិនដាសស្ទ្រី ឯ.ក</t>
        </is>
      </c>
      <c r="W3146" s="556" t="n">
        <v>576240</v>
      </c>
    </row>
    <row r="3147">
      <c r="A3147" s="521" t="n">
        <v>3139</v>
      </c>
      <c r="B3147" s="522" t="inlineStr">
        <is>
          <t>Sealing sample fee and Travelling Fee</t>
        </is>
      </c>
      <c r="C3147" s="522" t="inlineStr">
        <is>
          <t>អ៊ិនធើថេក ថេសធីង សឺវីស (ខេមបូឌា) ខមភេនី លីមីធីត</t>
        </is>
      </c>
      <c r="D3147" s="522" t="inlineStr">
        <is>
          <t>L001-100045707</t>
        </is>
      </c>
      <c r="E3147" s="521" t="inlineStr">
        <is>
          <t>KHM20220012521</t>
        </is>
      </c>
      <c r="F3147" s="523" t="n">
        <v>44820</v>
      </c>
      <c r="G3147" s="556" t="n">
        <v>65920</v>
      </c>
      <c r="I3147" s="521">
        <f>G3147</f>
        <v/>
      </c>
      <c r="K3147" s="521">
        <f>I3147-G3147</f>
        <v/>
      </c>
      <c r="M3147" s="522" t="inlineStr">
        <is>
          <t>KHM20220012521</t>
        </is>
      </c>
      <c r="N3147" s="522" t="inlineStr">
        <is>
          <t>KHM20220012521</t>
        </is>
      </c>
      <c r="O3147" s="521">
        <f>M3147=N3147</f>
        <v/>
      </c>
      <c r="P3147" s="521">
        <f>AND(MONTH(F3147)=MONTH(S3147), YEAR(F3147)=YEAR(S3147))</f>
        <v/>
      </c>
      <c r="Q3147" s="521">
        <f>U3147="L001-901905215"</f>
        <v/>
      </c>
      <c r="R3147" s="556">
        <f>G3147-W3147</f>
        <v/>
      </c>
      <c r="S3147" s="523" t="n">
        <v>44820</v>
      </c>
      <c r="T3147" s="522" t="inlineStr">
        <is>
          <t>KHM20220012521</t>
        </is>
      </c>
      <c r="U3147" s="522" t="inlineStr">
        <is>
          <t>L001-901905215</t>
        </is>
      </c>
      <c r="V3147" s="522" t="inlineStr">
        <is>
          <t>វីអ៊ីស៊ិន (ខេមបូឌា) អ៊ិនដាសស្ទ្រី ឯ.ក</t>
        </is>
      </c>
      <c r="W3147" s="556" t="n">
        <v>65920</v>
      </c>
    </row>
    <row r="3148">
      <c r="A3148" s="521" t="n">
        <v>3140</v>
      </c>
      <c r="B3148" s="522" t="inlineStr">
        <is>
          <t>Terminal Handing charge</t>
        </is>
      </c>
      <c r="C3148" s="522" t="inlineStr">
        <is>
          <t>យូសេន ឡូជីស្ទីក (ខេមបូឌា) ខូ អិលធីឌី</t>
        </is>
      </c>
      <c r="D3148" s="522" t="inlineStr">
        <is>
          <t>L001-104015799</t>
        </is>
      </c>
      <c r="E3148" s="521" t="inlineStr">
        <is>
          <t>PNHTI0040707</t>
        </is>
      </c>
      <c r="F3148" s="523" t="n">
        <v>44832</v>
      </c>
      <c r="G3148" s="556" t="n">
        <v>243316</v>
      </c>
      <c r="I3148" s="521">
        <f>G3148</f>
        <v/>
      </c>
      <c r="K3148" s="521">
        <f>I3148-G3148</f>
        <v/>
      </c>
      <c r="M3148" s="522" t="inlineStr">
        <is>
          <t>PNHTI0040707</t>
        </is>
      </c>
      <c r="N3148" s="522" t="inlineStr">
        <is>
          <t>PNHTI0040707</t>
        </is>
      </c>
      <c r="O3148" s="521">
        <f>M3148=N3148</f>
        <v/>
      </c>
      <c r="P3148" s="521">
        <f>AND(MONTH(F3148)=MONTH(S3148), YEAR(F3148)=YEAR(S3148))</f>
        <v/>
      </c>
      <c r="Q3148" s="521">
        <f>U3148="L001-901905215"</f>
        <v/>
      </c>
      <c r="R3148" s="556">
        <f>G3148-W3148</f>
        <v/>
      </c>
      <c r="S3148" s="523" t="n">
        <v>44832</v>
      </c>
      <c r="T3148" s="522" t="inlineStr">
        <is>
          <t>PNHTI0040707</t>
        </is>
      </c>
      <c r="U3148" s="522" t="inlineStr">
        <is>
          <t>L001-901905215</t>
        </is>
      </c>
      <c r="V3148" s="522" t="inlineStr">
        <is>
          <t>វីអ៊ីស៊ិន (ខេមបូឌា) អ៊ិនដាសស្ទ្រី ឯ.ក</t>
        </is>
      </c>
      <c r="W3148" s="556" t="n">
        <v>243316</v>
      </c>
    </row>
    <row r="3149">
      <c r="A3149" s="521" t="n">
        <v>3141</v>
      </c>
      <c r="B3149" s="522" t="inlineStr">
        <is>
          <t>Terminal Handing charge</t>
        </is>
      </c>
      <c r="C3149" s="522" t="inlineStr">
        <is>
          <t>យូសេន ឡូជីស្ទីក (ខេមបូឌា) ខូ អិលធីឌី</t>
        </is>
      </c>
      <c r="D3149" s="522" t="inlineStr">
        <is>
          <t>L001-104015799</t>
        </is>
      </c>
      <c r="E3149" s="521" t="inlineStr">
        <is>
          <t>PNHTI0040188</t>
        </is>
      </c>
      <c r="F3149" s="523" t="n">
        <v>44817</v>
      </c>
      <c r="G3149" s="556" t="n">
        <v>372408</v>
      </c>
      <c r="I3149" s="521">
        <f>G3149</f>
        <v/>
      </c>
      <c r="K3149" s="521">
        <f>I3149-G3149</f>
        <v/>
      </c>
      <c r="M3149" s="522" t="inlineStr">
        <is>
          <t>PNHTI0040188</t>
        </is>
      </c>
      <c r="N3149" s="522" t="inlineStr">
        <is>
          <t>PNHTI0040188</t>
        </is>
      </c>
      <c r="O3149" s="521">
        <f>M3149=N3149</f>
        <v/>
      </c>
      <c r="P3149" s="521">
        <f>AND(MONTH(F3149)=MONTH(S3149), YEAR(F3149)=YEAR(S3149))</f>
        <v/>
      </c>
      <c r="Q3149" s="521">
        <f>U3149="L001-901905215"</f>
        <v/>
      </c>
      <c r="R3149" s="556">
        <f>G3149-W3149</f>
        <v/>
      </c>
      <c r="S3149" s="523" t="n">
        <v>44817</v>
      </c>
      <c r="T3149" s="522" t="inlineStr">
        <is>
          <t>PNHTI0040188</t>
        </is>
      </c>
      <c r="U3149" s="522" t="inlineStr">
        <is>
          <t>L001-901905215</t>
        </is>
      </c>
      <c r="V3149" s="522" t="inlineStr">
        <is>
          <t>វីអ៊ីស៊ិន (ខេមបូឌា) អ៊ិនដាសស្ទ្រី ឯ.ក</t>
        </is>
      </c>
      <c r="W3149" s="556" t="n">
        <v>372408</v>
      </c>
    </row>
    <row r="3150">
      <c r="A3150" s="521" t="n">
        <v>3142</v>
      </c>
      <c r="B3150" s="522" t="inlineStr">
        <is>
          <t>Lift-On &amp; Lift-Off and Storage charges</t>
        </is>
      </c>
      <c r="C3150" s="522" t="inlineStr">
        <is>
          <t>កំពង់ផែស្វយ័តក្រុងព្រះសីហនុ</t>
        </is>
      </c>
      <c r="D3150" s="522" t="inlineStr">
        <is>
          <t>L001-100044638</t>
        </is>
      </c>
      <c r="E3150" s="521" t="inlineStr">
        <is>
          <t>160355</t>
        </is>
      </c>
      <c r="F3150" s="523" t="n">
        <v>44807</v>
      </c>
      <c r="G3150" s="556" t="n">
        <v>81556</v>
      </c>
      <c r="I3150" s="521">
        <f>G3150</f>
        <v/>
      </c>
      <c r="K3150" s="521">
        <f>I3150-G3150</f>
        <v/>
      </c>
      <c r="M3150" s="522" t="inlineStr">
        <is>
          <t>160355</t>
        </is>
      </c>
      <c r="N3150" s="522" t="inlineStr"/>
      <c r="O3150" s="521">
        <f>M3150=N3150</f>
        <v/>
      </c>
      <c r="P3150" s="521">
        <f>AND(MONTH(F3150)=MONTH(S3150), YEAR(F3150)=YEAR(S3150))</f>
        <v/>
      </c>
      <c r="Q3150" s="521">
        <f>U3150="L001-901905215"</f>
        <v/>
      </c>
      <c r="R3150" s="556">
        <f>G3150-W3150</f>
        <v/>
      </c>
      <c r="S3150" s="521" t="n"/>
      <c r="T3150" s="522" t="n"/>
      <c r="U3150" s="522" t="n"/>
      <c r="V3150" s="522" t="n"/>
      <c r="W3150" s="521" t="n"/>
    </row>
    <row r="3151">
      <c r="A3151" s="521" t="n">
        <v>3143</v>
      </c>
      <c r="B3151" s="522" t="inlineStr">
        <is>
          <t>KHCIC</t>
        </is>
      </c>
      <c r="C3151" s="522" t="inlineStr">
        <is>
          <t>អេសអាយធីស៊ី ខិនថេនើរ ឡាញ (ខេមបូឌា)</t>
        </is>
      </c>
      <c r="D3151" s="522" t="inlineStr">
        <is>
          <t>L001-107035863</t>
        </is>
      </c>
      <c r="E3151" s="521" t="inlineStr">
        <is>
          <t>SITC2022-018732</t>
        </is>
      </c>
      <c r="F3151" s="523" t="n">
        <v>44805</v>
      </c>
      <c r="G3151" s="556" t="n">
        <v>347379</v>
      </c>
      <c r="I3151" s="521">
        <f>G3151</f>
        <v/>
      </c>
      <c r="K3151" s="521">
        <f>I3151-G3151</f>
        <v/>
      </c>
      <c r="M3151" s="522" t="inlineStr">
        <is>
          <t>SITC2022018732</t>
        </is>
      </c>
      <c r="N3151" s="522" t="inlineStr"/>
      <c r="O3151" s="521">
        <f>M3151=N3151</f>
        <v/>
      </c>
      <c r="P3151" s="521">
        <f>AND(MONTH(F3151)=MONTH(S3151), YEAR(F3151)=YEAR(S3151))</f>
        <v/>
      </c>
      <c r="Q3151" s="521">
        <f>U3151="L001-901905215"</f>
        <v/>
      </c>
      <c r="R3151" s="556">
        <f>G3151-W3151</f>
        <v/>
      </c>
      <c r="S3151" s="521" t="n"/>
      <c r="T3151" s="522" t="n"/>
      <c r="U3151" s="522" t="n"/>
      <c r="V3151" s="522" t="n"/>
      <c r="W3151" s="521" t="n"/>
    </row>
    <row r="3152">
      <c r="A3152" s="521" t="n">
        <v>3144</v>
      </c>
      <c r="B3152" s="522" t="inlineStr">
        <is>
          <t>Clearance &amp; Trucking Fee</t>
        </is>
      </c>
      <c r="C3152" s="522" t="inlineStr">
        <is>
          <t>ហាវតាយ អ៊ិនធើណេសិនណល ឡូជីស្ទីក ឯ.ក</t>
        </is>
      </c>
      <c r="D3152" s="522" t="inlineStr">
        <is>
          <t>K007-902202863</t>
        </is>
      </c>
      <c r="E3152" s="521" t="inlineStr">
        <is>
          <t>HT220034</t>
        </is>
      </c>
      <c r="F3152" s="523" t="n">
        <v>44834</v>
      </c>
      <c r="G3152" s="556" t="n">
        <v>495240</v>
      </c>
      <c r="I3152" s="521">
        <f>G3152</f>
        <v/>
      </c>
      <c r="K3152" s="521">
        <f>I3152-G3152</f>
        <v/>
      </c>
      <c r="M3152" s="522" t="inlineStr">
        <is>
          <t>HT220034</t>
        </is>
      </c>
      <c r="N3152" s="522" t="inlineStr">
        <is>
          <t>HT220034</t>
        </is>
      </c>
      <c r="O3152" s="521">
        <f>M3152=N3152</f>
        <v/>
      </c>
      <c r="P3152" s="521">
        <f>AND(MONTH(F3152)=MONTH(S3152), YEAR(F3152)=YEAR(S3152))</f>
        <v/>
      </c>
      <c r="Q3152" s="521">
        <f>U3152="L001-901905215"</f>
        <v/>
      </c>
      <c r="R3152" s="556">
        <f>G3152-W3152</f>
        <v/>
      </c>
      <c r="S3152" s="523" t="n">
        <v>44834</v>
      </c>
      <c r="T3152" s="522" t="inlineStr">
        <is>
          <t>HT220034</t>
        </is>
      </c>
      <c r="U3152" s="522" t="inlineStr">
        <is>
          <t>L001-901905215</t>
        </is>
      </c>
      <c r="V3152" s="522" t="inlineStr">
        <is>
          <t>វីអ៊ីស៊ិន (ខេមបូឌា) អ៊ិនដាសស្ទ្រី ឯ.ក</t>
        </is>
      </c>
      <c r="W3152" s="556" t="n">
        <v>495240</v>
      </c>
    </row>
    <row r="3153">
      <c r="A3153" s="521" t="n">
        <v>3145</v>
      </c>
      <c r="B3153" s="522" t="inlineStr">
        <is>
          <t>Lift-On &amp; Lift-Off</t>
        </is>
      </c>
      <c r="C3153" s="522" t="inlineStr">
        <is>
          <t>កំពង់ផែស្វយ័តក្រុងព្រះសីហនុ</t>
        </is>
      </c>
      <c r="D3153" s="522" t="inlineStr">
        <is>
          <t>L001-100044638</t>
        </is>
      </c>
      <c r="E3153" s="521" t="inlineStr">
        <is>
          <t>161862</t>
        </is>
      </c>
      <c r="F3153" s="523" t="n">
        <v>44811</v>
      </c>
      <c r="G3153" s="556" t="n">
        <v>71723</v>
      </c>
      <c r="I3153" s="521">
        <f>G3153</f>
        <v/>
      </c>
      <c r="K3153" s="521">
        <f>I3153-G3153</f>
        <v/>
      </c>
      <c r="M3153" s="522" t="inlineStr">
        <is>
          <t>161862</t>
        </is>
      </c>
      <c r="N3153" s="522" t="inlineStr"/>
      <c r="O3153" s="521">
        <f>M3153=N3153</f>
        <v/>
      </c>
      <c r="P3153" s="521">
        <f>AND(MONTH(F3153)=MONTH(S3153), YEAR(F3153)=YEAR(S3153))</f>
        <v/>
      </c>
      <c r="Q3153" s="521">
        <f>U3153="L001-901905215"</f>
        <v/>
      </c>
      <c r="R3153" s="556">
        <f>G3153-W3153</f>
        <v/>
      </c>
      <c r="S3153" s="521" t="n"/>
      <c r="T3153" s="522" t="n"/>
      <c r="U3153" s="522" t="n"/>
      <c r="V3153" s="522" t="n"/>
      <c r="W3153" s="521" t="n"/>
    </row>
    <row r="3154">
      <c r="A3154" s="521" t="n">
        <v>3146</v>
      </c>
      <c r="B3154" s="522" t="inlineStr">
        <is>
          <t>KHCIC</t>
        </is>
      </c>
      <c r="C3154" s="522" t="inlineStr">
        <is>
          <t>អេសអាយធីស៊ី ខិនថេនើរ ឡាញ (ខេមបូឌា)</t>
        </is>
      </c>
      <c r="D3154" s="522" t="inlineStr">
        <is>
          <t>L001-107035863</t>
        </is>
      </c>
      <c r="E3154" s="521" t="inlineStr">
        <is>
          <t>SITC2022-019004</t>
        </is>
      </c>
      <c r="F3154" s="523" t="n">
        <v>44805</v>
      </c>
      <c r="G3154" s="556" t="n">
        <v>434238</v>
      </c>
      <c r="I3154" s="521">
        <f>G3154</f>
        <v/>
      </c>
      <c r="K3154" s="521">
        <f>I3154-G3154</f>
        <v/>
      </c>
      <c r="M3154" s="522" t="inlineStr">
        <is>
          <t>SITC2022019004</t>
        </is>
      </c>
      <c r="N3154" s="522" t="inlineStr">
        <is>
          <t>SITC2022019004</t>
        </is>
      </c>
      <c r="O3154" s="521">
        <f>M3154=N3154</f>
        <v/>
      </c>
      <c r="P3154" s="521">
        <f>AND(MONTH(F3154)=MONTH(S3154), YEAR(F3154)=YEAR(S3154))</f>
        <v/>
      </c>
      <c r="Q3154" s="521">
        <f>U3154="L001-901905215"</f>
        <v/>
      </c>
      <c r="R3154" s="556">
        <f>G3154-W3154</f>
        <v/>
      </c>
      <c r="S3154" s="523" t="n">
        <v>44805</v>
      </c>
      <c r="T3154" s="522" t="inlineStr">
        <is>
          <t>SITC2022-019004</t>
        </is>
      </c>
      <c r="U3154" s="522" t="inlineStr">
        <is>
          <t>L001-901905215</t>
        </is>
      </c>
      <c r="V3154" s="522" t="inlineStr">
        <is>
          <t>វីអ៊ីស៊ិន (ខេមបូឌា) អ៊ិនដាសស្ទ្រី ឯ.ក</t>
        </is>
      </c>
      <c r="W3154" s="556" t="n">
        <v>434238</v>
      </c>
    </row>
    <row r="3155">
      <c r="A3155" s="521" t="n">
        <v>3147</v>
      </c>
      <c r="B3155" s="522" t="inlineStr">
        <is>
          <t>Clearance &amp; Trucking Fee</t>
        </is>
      </c>
      <c r="C3155" s="522" t="inlineStr">
        <is>
          <t>ហាវតាយ អ៊ិនធើណេសិនណល ឡូជីស្ទីក ឯ.ក</t>
        </is>
      </c>
      <c r="D3155" s="522" t="inlineStr">
        <is>
          <t>K007-902202863</t>
        </is>
      </c>
      <c r="E3155" s="521" t="inlineStr">
        <is>
          <t>HT220033</t>
        </is>
      </c>
      <c r="F3155" s="523" t="n">
        <v>44834</v>
      </c>
      <c r="G3155" s="556" t="n">
        <v>503494</v>
      </c>
      <c r="I3155" s="521">
        <f>G3155</f>
        <v/>
      </c>
      <c r="K3155" s="521">
        <f>I3155-G3155</f>
        <v/>
      </c>
      <c r="M3155" s="522" t="inlineStr">
        <is>
          <t>HT220033</t>
        </is>
      </c>
      <c r="N3155" s="522" t="inlineStr">
        <is>
          <t>HT220033</t>
        </is>
      </c>
      <c r="O3155" s="521">
        <f>M3155=N3155</f>
        <v/>
      </c>
      <c r="P3155" s="521">
        <f>AND(MONTH(F3155)=MONTH(S3155), YEAR(F3155)=YEAR(S3155))</f>
        <v/>
      </c>
      <c r="Q3155" s="521">
        <f>U3155="L001-901905215"</f>
        <v/>
      </c>
      <c r="R3155" s="556">
        <f>G3155-W3155</f>
        <v/>
      </c>
      <c r="S3155" s="523" t="n">
        <v>44834</v>
      </c>
      <c r="T3155" s="522" t="inlineStr">
        <is>
          <t>HT220033</t>
        </is>
      </c>
      <c r="U3155" s="522" t="inlineStr">
        <is>
          <t>L001-901905215</t>
        </is>
      </c>
      <c r="V3155" s="522" t="inlineStr">
        <is>
          <t>វីអ៊ីស៊ិន (ខេមបូឌា) អ៊ិនដាសស្ទ្រី ឯ.ក</t>
        </is>
      </c>
      <c r="W3155" s="556" t="n">
        <v>503494</v>
      </c>
    </row>
    <row r="3156">
      <c r="A3156" s="521" t="n">
        <v>3148</v>
      </c>
      <c r="B3156" s="522" t="inlineStr">
        <is>
          <t>Lift-On &amp; Lift-Off and Storage charges</t>
        </is>
      </c>
      <c r="C3156" s="522" t="inlineStr">
        <is>
          <t>កំពង់ផែស្វយ័តក្រុងព្រះសីហនុ</t>
        </is>
      </c>
      <c r="D3156" s="522" t="inlineStr">
        <is>
          <t>L001-100044638</t>
        </is>
      </c>
      <c r="E3156" s="521" t="inlineStr">
        <is>
          <t>160356</t>
        </is>
      </c>
      <c r="F3156" s="523" t="n">
        <v>44807</v>
      </c>
      <c r="G3156" s="556" t="n">
        <v>50664</v>
      </c>
      <c r="I3156" s="521">
        <f>G3156</f>
        <v/>
      </c>
      <c r="K3156" s="521">
        <f>I3156-G3156</f>
        <v/>
      </c>
      <c r="M3156" s="522" t="inlineStr">
        <is>
          <t>160356</t>
        </is>
      </c>
      <c r="N3156" s="522" t="inlineStr"/>
      <c r="O3156" s="521">
        <f>M3156=N3156</f>
        <v/>
      </c>
      <c r="P3156" s="521">
        <f>AND(MONTH(F3156)=MONTH(S3156), YEAR(F3156)=YEAR(S3156))</f>
        <v/>
      </c>
      <c r="Q3156" s="521">
        <f>U3156="L001-901905215"</f>
        <v/>
      </c>
      <c r="R3156" s="556">
        <f>G3156-W3156</f>
        <v/>
      </c>
      <c r="S3156" s="521" t="n"/>
      <c r="T3156" s="522" t="n"/>
      <c r="U3156" s="522" t="n"/>
      <c r="V3156" s="522" t="n"/>
      <c r="W3156" s="521" t="n"/>
    </row>
    <row r="3157">
      <c r="A3157" s="521" t="n">
        <v>3149</v>
      </c>
      <c r="B3157" s="522" t="inlineStr">
        <is>
          <t>KHCIC</t>
        </is>
      </c>
      <c r="C3157" s="522" t="inlineStr">
        <is>
          <t>អេសអាយធីស៊ី ខិនថេនើរ ឡាញ (ខេមបូឌា)</t>
        </is>
      </c>
      <c r="D3157" s="522" t="inlineStr">
        <is>
          <t>L001-107035863</t>
        </is>
      </c>
      <c r="E3157" s="521" t="inlineStr">
        <is>
          <t>SITC2022-018748</t>
        </is>
      </c>
      <c r="F3157" s="523" t="n">
        <v>44830</v>
      </c>
      <c r="G3157" s="556" t="n">
        <v>228161</v>
      </c>
      <c r="I3157" s="521">
        <f>G3157</f>
        <v/>
      </c>
      <c r="K3157" s="521">
        <f>I3157-G3157</f>
        <v/>
      </c>
      <c r="M3157" s="522" t="inlineStr">
        <is>
          <t>SITC2022018748</t>
        </is>
      </c>
      <c r="N3157" s="522" t="inlineStr"/>
      <c r="O3157" s="521">
        <f>M3157=N3157</f>
        <v/>
      </c>
      <c r="P3157" s="521">
        <f>AND(MONTH(F3157)=MONTH(S3157), YEAR(F3157)=YEAR(S3157))</f>
        <v/>
      </c>
      <c r="Q3157" s="521">
        <f>U3157="L001-901905215"</f>
        <v/>
      </c>
      <c r="R3157" s="556">
        <f>G3157-W3157</f>
        <v/>
      </c>
      <c r="S3157" s="521" t="n"/>
      <c r="T3157" s="522" t="n"/>
      <c r="U3157" s="522" t="n"/>
      <c r="V3157" s="522" t="n"/>
      <c r="W3157" s="521" t="n"/>
    </row>
    <row r="3158">
      <c r="A3158" s="521" t="n">
        <v>3150</v>
      </c>
      <c r="B3158" s="522" t="inlineStr">
        <is>
          <t>Clearance &amp; Trucking Fee</t>
        </is>
      </c>
      <c r="C3158" s="522" t="inlineStr">
        <is>
          <t>ហាវតាយ អ៊ិនធើណេសិនណល ឡូជីស្ទីក ឯ.ក</t>
        </is>
      </c>
      <c r="D3158" s="522" t="inlineStr">
        <is>
          <t>K007-902202863</t>
        </is>
      </c>
      <c r="E3158" s="521" t="inlineStr">
        <is>
          <t>HT220032</t>
        </is>
      </c>
      <c r="F3158" s="523" t="n">
        <v>44834</v>
      </c>
      <c r="G3158" s="556" t="n">
        <v>251747</v>
      </c>
      <c r="I3158" s="521">
        <f>G3158</f>
        <v/>
      </c>
      <c r="K3158" s="521">
        <f>I3158-G3158</f>
        <v/>
      </c>
      <c r="M3158" s="522" t="inlineStr">
        <is>
          <t>HT220032</t>
        </is>
      </c>
      <c r="N3158" s="522" t="inlineStr">
        <is>
          <t>HT220032</t>
        </is>
      </c>
      <c r="O3158" s="521">
        <f>M3158=N3158</f>
        <v/>
      </c>
      <c r="P3158" s="521">
        <f>AND(MONTH(F3158)=MONTH(S3158), YEAR(F3158)=YEAR(S3158))</f>
        <v/>
      </c>
      <c r="Q3158" s="521">
        <f>U3158="L001-901905215"</f>
        <v/>
      </c>
      <c r="R3158" s="556">
        <f>G3158-W3158</f>
        <v/>
      </c>
      <c r="S3158" s="523" t="n">
        <v>44834</v>
      </c>
      <c r="T3158" s="522" t="inlineStr">
        <is>
          <t>HT220032</t>
        </is>
      </c>
      <c r="U3158" s="522" t="inlineStr">
        <is>
          <t>L001-901905215</t>
        </is>
      </c>
      <c r="V3158" s="522" t="inlineStr">
        <is>
          <t>វីអ៊ីស៊ិន (ខេមបូឌា) អ៊ិនដាសស្ទ្រី ឯ.ក</t>
        </is>
      </c>
      <c r="W3158" s="556" t="n">
        <v>251747</v>
      </c>
    </row>
    <row r="3159">
      <c r="A3159" s="521" t="n">
        <v>3151</v>
      </c>
      <c r="B3159" s="522" t="inlineStr">
        <is>
          <t>Lift-On &amp; Lift-Off and Storage charges</t>
        </is>
      </c>
      <c r="C3159" s="522" t="inlineStr">
        <is>
          <t>កំពង់ផែស្វយ័តក្រុងព្រះសីហនុ</t>
        </is>
      </c>
      <c r="D3159" s="522" t="inlineStr">
        <is>
          <t>L001-100044638</t>
        </is>
      </c>
      <c r="E3159" s="521" t="inlineStr">
        <is>
          <t>164422</t>
        </is>
      </c>
      <c r="F3159" s="523" t="n">
        <v>44817</v>
      </c>
      <c r="G3159" s="556" t="n">
        <v>101229</v>
      </c>
      <c r="I3159" s="521">
        <f>G3159</f>
        <v/>
      </c>
      <c r="K3159" s="521">
        <f>I3159-G3159</f>
        <v/>
      </c>
      <c r="M3159" s="522" t="inlineStr">
        <is>
          <t>164422</t>
        </is>
      </c>
      <c r="N3159" s="522" t="inlineStr"/>
      <c r="O3159" s="521">
        <f>M3159=N3159</f>
        <v/>
      </c>
      <c r="P3159" s="521">
        <f>AND(MONTH(F3159)=MONTH(S3159), YEAR(F3159)=YEAR(S3159))</f>
        <v/>
      </c>
      <c r="Q3159" s="521">
        <f>U3159="L001-901905215"</f>
        <v/>
      </c>
      <c r="R3159" s="556">
        <f>G3159-W3159</f>
        <v/>
      </c>
      <c r="S3159" s="521" t="n"/>
      <c r="T3159" s="522" t="n"/>
      <c r="U3159" s="522" t="n"/>
      <c r="V3159" s="522" t="n"/>
      <c r="W3159" s="521" t="n"/>
    </row>
    <row r="3160">
      <c r="A3160" s="521" t="n">
        <v>3152</v>
      </c>
      <c r="B3160" s="522" t="inlineStr">
        <is>
          <t>KHCIC</t>
        </is>
      </c>
      <c r="C3160" s="522" t="inlineStr">
        <is>
          <t>អេសអាយធីស៊ី ខិនថេនើរ ឡាញ (ខេមបូឌា)</t>
        </is>
      </c>
      <c r="D3160" s="522" t="inlineStr">
        <is>
          <t>L001-107035863</t>
        </is>
      </c>
      <c r="E3160" s="521" t="inlineStr">
        <is>
          <t>SITC2022-019282</t>
        </is>
      </c>
      <c r="F3160" s="523" t="n">
        <v>44809</v>
      </c>
      <c r="G3160" s="556" t="n">
        <v>434977</v>
      </c>
      <c r="I3160" s="521">
        <f>G3160</f>
        <v/>
      </c>
      <c r="K3160" s="521">
        <f>I3160-G3160</f>
        <v/>
      </c>
      <c r="M3160" s="522" t="inlineStr">
        <is>
          <t>SITC2022019282</t>
        </is>
      </c>
      <c r="N3160" s="522" t="inlineStr">
        <is>
          <t>SITC2022019282</t>
        </is>
      </c>
      <c r="O3160" s="521">
        <f>M3160=N3160</f>
        <v/>
      </c>
      <c r="P3160" s="521">
        <f>AND(MONTH(F3160)=MONTH(S3160), YEAR(F3160)=YEAR(S3160))</f>
        <v/>
      </c>
      <c r="Q3160" s="521">
        <f>U3160="L001-901905215"</f>
        <v/>
      </c>
      <c r="R3160" s="556">
        <f>G3160-W3160</f>
        <v/>
      </c>
      <c r="S3160" s="523" t="n">
        <v>44809</v>
      </c>
      <c r="T3160" s="522" t="inlineStr">
        <is>
          <t>SITC2022-019282</t>
        </is>
      </c>
      <c r="U3160" s="522" t="inlineStr">
        <is>
          <t>L001-901905215</t>
        </is>
      </c>
      <c r="V3160" s="522" t="inlineStr">
        <is>
          <t>វីអ៊ីស៊ិន (ខេមបូឌា) អ៊ិនដាសស្ទ្រី ឯ.ក</t>
        </is>
      </c>
      <c r="W3160" s="556" t="n">
        <v>434977</v>
      </c>
    </row>
    <row r="3161">
      <c r="A3161" s="521" t="n">
        <v>3153</v>
      </c>
      <c r="B3161" s="522" t="inlineStr">
        <is>
          <t>Clearance &amp; Trucking Fee</t>
        </is>
      </c>
      <c r="C3161" s="522" t="inlineStr">
        <is>
          <t>ហាវតាយ អ៊ិនធើណេសិនណល ឡូជីស្ទីក ឯ.ក</t>
        </is>
      </c>
      <c r="D3161" s="522" t="inlineStr">
        <is>
          <t>K007-902202863</t>
        </is>
      </c>
      <c r="E3161" s="521" t="inlineStr">
        <is>
          <t>HT220031</t>
        </is>
      </c>
      <c r="F3161" s="523" t="n">
        <v>44834</v>
      </c>
      <c r="G3161" s="556" t="n">
        <v>503494</v>
      </c>
      <c r="I3161" s="521">
        <f>G3161</f>
        <v/>
      </c>
      <c r="K3161" s="521">
        <f>I3161-G3161</f>
        <v/>
      </c>
      <c r="M3161" s="522" t="inlineStr">
        <is>
          <t>HT220031</t>
        </is>
      </c>
      <c r="N3161" s="522" t="inlineStr">
        <is>
          <t>HT220031</t>
        </is>
      </c>
      <c r="O3161" s="521">
        <f>M3161=N3161</f>
        <v/>
      </c>
      <c r="P3161" s="521">
        <f>AND(MONTH(F3161)=MONTH(S3161), YEAR(F3161)=YEAR(S3161))</f>
        <v/>
      </c>
      <c r="Q3161" s="521">
        <f>U3161="L001-901905215"</f>
        <v/>
      </c>
      <c r="R3161" s="556">
        <f>G3161-W3161</f>
        <v/>
      </c>
      <c r="S3161" s="523" t="n">
        <v>44834</v>
      </c>
      <c r="T3161" s="522" t="inlineStr">
        <is>
          <t>HT220031</t>
        </is>
      </c>
      <c r="U3161" s="522" t="inlineStr">
        <is>
          <t>L001-901905215</t>
        </is>
      </c>
      <c r="V3161" s="522" t="inlineStr">
        <is>
          <t>វីអ៊ីស៊ិន (ខេមបូឌា) អ៊ិនដាសស្ទ្រី ឯ.ក</t>
        </is>
      </c>
      <c r="W3161" s="556" t="n">
        <v>503494</v>
      </c>
    </row>
    <row r="3162">
      <c r="A3162" s="521" t="n">
        <v>3154</v>
      </c>
      <c r="B3162" s="522" t="inlineStr">
        <is>
          <t>TRUCKING CHARGE</t>
        </is>
      </c>
      <c r="C3162" s="522" t="inlineStr">
        <is>
          <t>អ៊ិចស្ពែឌីធ័រ ខេមបូឌា អិលធីឌី</t>
        </is>
      </c>
      <c r="D3162" s="522" t="inlineStr">
        <is>
          <t>L001-100045898</t>
        </is>
      </c>
      <c r="E3162" s="521" t="inlineStr">
        <is>
          <t>TI-0237206</t>
        </is>
      </c>
      <c r="F3162" s="523" t="n">
        <v>44832</v>
      </c>
      <c r="G3162" s="556" t="n">
        <v>57016</v>
      </c>
      <c r="I3162" s="521">
        <f>G3162</f>
        <v/>
      </c>
      <c r="K3162" s="521">
        <f>I3162-G3162</f>
        <v/>
      </c>
      <c r="M3162" s="522" t="inlineStr">
        <is>
          <t>TI0237206</t>
        </is>
      </c>
      <c r="N3162" s="522" t="inlineStr">
        <is>
          <t>TI0237206</t>
        </is>
      </c>
      <c r="O3162" s="521">
        <f>M3162=N3162</f>
        <v/>
      </c>
      <c r="P3162" s="521">
        <f>AND(MONTH(F3162)=MONTH(S3162), YEAR(F3162)=YEAR(S3162))</f>
        <v/>
      </c>
      <c r="Q3162" s="521">
        <f>U3162="L001-901905215"</f>
        <v/>
      </c>
      <c r="R3162" s="556">
        <f>G3162-W3162</f>
        <v/>
      </c>
      <c r="S3162" s="523" t="n">
        <v>44832</v>
      </c>
      <c r="T3162" s="522" t="inlineStr">
        <is>
          <t>TI-0237206</t>
        </is>
      </c>
      <c r="U3162" s="522" t="inlineStr">
        <is>
          <t>L001-901905215</t>
        </is>
      </c>
      <c r="V3162" s="522" t="inlineStr">
        <is>
          <t>វីអ៊ីស៊ិន (ខេមបូឌា) អ៊ិនដាសស្ទ្រី ឯ.ក</t>
        </is>
      </c>
      <c r="W3162" s="556" t="n">
        <v>57035</v>
      </c>
    </row>
    <row r="3163">
      <c r="A3163" s="521" t="n">
        <v>3155</v>
      </c>
      <c r="B3163" s="522" t="inlineStr">
        <is>
          <t>TRUCKING CHARGE</t>
        </is>
      </c>
      <c r="C3163" s="522" t="inlineStr">
        <is>
          <t>អ៊ិចស្ពែឌីធ័រ ខេមបូឌា អិលធីឌី</t>
        </is>
      </c>
      <c r="D3163" s="522" t="inlineStr">
        <is>
          <t>L001-100045898</t>
        </is>
      </c>
      <c r="E3163" s="521" t="inlineStr">
        <is>
          <t>TI-0237199</t>
        </is>
      </c>
      <c r="F3163" s="523" t="n">
        <v>44832</v>
      </c>
      <c r="G3163" s="556" t="n">
        <v>59243</v>
      </c>
      <c r="I3163" s="521">
        <f>G3163</f>
        <v/>
      </c>
      <c r="K3163" s="521">
        <f>I3163-G3163</f>
        <v/>
      </c>
      <c r="M3163" s="522" t="inlineStr">
        <is>
          <t>TI0237199</t>
        </is>
      </c>
      <c r="N3163" s="522" t="inlineStr">
        <is>
          <t>TI0237199</t>
        </is>
      </c>
      <c r="O3163" s="521">
        <f>M3163=N3163</f>
        <v/>
      </c>
      <c r="P3163" s="521">
        <f>AND(MONTH(F3163)=MONTH(S3163), YEAR(F3163)=YEAR(S3163))</f>
        <v/>
      </c>
      <c r="Q3163" s="521">
        <f>U3163="L001-901905215"</f>
        <v/>
      </c>
      <c r="R3163" s="556">
        <f>G3163-W3163</f>
        <v/>
      </c>
      <c r="S3163" s="523" t="n">
        <v>44832</v>
      </c>
      <c r="T3163" s="522" t="inlineStr">
        <is>
          <t>TI-0237199</t>
        </is>
      </c>
      <c r="U3163" s="522" t="inlineStr">
        <is>
          <t>L001-901905215</t>
        </is>
      </c>
      <c r="V3163" s="522" t="inlineStr">
        <is>
          <t>វីអ៊ីស៊ិន (ខេមបូឌា) អ៊ិនដាសស្ទ្រី ឯ.ក</t>
        </is>
      </c>
      <c r="W3163" s="556" t="n">
        <v>59262</v>
      </c>
    </row>
    <row r="3164">
      <c r="A3164" s="521" t="n">
        <v>3156</v>
      </c>
      <c r="B3164" s="522" t="inlineStr">
        <is>
          <t>TRUCKING CHARGE</t>
        </is>
      </c>
      <c r="C3164" s="522" t="inlineStr">
        <is>
          <t>អ៊ិចស្ពែឌីធ័រ ខេមបូឌា អិលធីឌី</t>
        </is>
      </c>
      <c r="D3164" s="522" t="inlineStr">
        <is>
          <t>L001-100045898</t>
        </is>
      </c>
      <c r="E3164" s="521" t="inlineStr">
        <is>
          <t>TI-0237196</t>
        </is>
      </c>
      <c r="F3164" s="523" t="n">
        <v>44832</v>
      </c>
      <c r="G3164" s="556" t="n">
        <v>59183</v>
      </c>
      <c r="I3164" s="521">
        <f>G3164</f>
        <v/>
      </c>
      <c r="K3164" s="521">
        <f>I3164-G3164</f>
        <v/>
      </c>
      <c r="M3164" s="522" t="inlineStr">
        <is>
          <t>TI0237196</t>
        </is>
      </c>
      <c r="N3164" s="522" t="inlineStr">
        <is>
          <t>TI0237196</t>
        </is>
      </c>
      <c r="O3164" s="521">
        <f>M3164=N3164</f>
        <v/>
      </c>
      <c r="P3164" s="521">
        <f>AND(MONTH(F3164)=MONTH(S3164), YEAR(F3164)=YEAR(S3164))</f>
        <v/>
      </c>
      <c r="Q3164" s="521">
        <f>U3164="L001-901905215"</f>
        <v/>
      </c>
      <c r="R3164" s="556">
        <f>G3164-W3164</f>
        <v/>
      </c>
      <c r="S3164" s="523" t="n">
        <v>44832</v>
      </c>
      <c r="T3164" s="522" t="inlineStr">
        <is>
          <t>TI-0237196</t>
        </is>
      </c>
      <c r="U3164" s="522" t="inlineStr">
        <is>
          <t>L001-901905215</t>
        </is>
      </c>
      <c r="V3164" s="522" t="inlineStr">
        <is>
          <t>វីអ៊ីស៊ិន (ខេមបូឌា) អ៊ិនដាសស្ទ្រី ឯ.ក</t>
        </is>
      </c>
      <c r="W3164" s="556" t="n">
        <v>59179</v>
      </c>
    </row>
    <row r="3165">
      <c r="A3165" s="521" t="n">
        <v>3157</v>
      </c>
      <c r="B3165" s="522" t="inlineStr">
        <is>
          <t>TRUCKING CHARGE</t>
        </is>
      </c>
      <c r="C3165" s="522" t="inlineStr">
        <is>
          <t>អ៊ិចស្ពែឌីធ័រ ខេមបូឌា អិលធីឌី</t>
        </is>
      </c>
      <c r="D3165" s="522" t="inlineStr">
        <is>
          <t>L001-100045898</t>
        </is>
      </c>
      <c r="E3165" s="521" t="inlineStr">
        <is>
          <t>TI-0237189</t>
        </is>
      </c>
      <c r="F3165" s="523" t="n">
        <v>44832</v>
      </c>
      <c r="G3165" s="556" t="n">
        <v>119529</v>
      </c>
      <c r="I3165" s="521">
        <f>G3165</f>
        <v/>
      </c>
      <c r="K3165" s="521">
        <f>I3165-G3165</f>
        <v/>
      </c>
      <c r="M3165" s="522" t="inlineStr">
        <is>
          <t>TI0237189</t>
        </is>
      </c>
      <c r="N3165" s="522" t="inlineStr">
        <is>
          <t>TI0237189</t>
        </is>
      </c>
      <c r="O3165" s="521">
        <f>M3165=N3165</f>
        <v/>
      </c>
      <c r="P3165" s="521">
        <f>AND(MONTH(F3165)=MONTH(S3165), YEAR(F3165)=YEAR(S3165))</f>
        <v/>
      </c>
      <c r="Q3165" s="521">
        <f>U3165="L001-901905215"</f>
        <v/>
      </c>
      <c r="R3165" s="556">
        <f>G3165-W3165</f>
        <v/>
      </c>
      <c r="S3165" s="523" t="n">
        <v>44832</v>
      </c>
      <c r="T3165" s="522" t="inlineStr">
        <is>
          <t>TI-0237189</t>
        </is>
      </c>
      <c r="U3165" s="522" t="inlineStr">
        <is>
          <t>L001-901905215</t>
        </is>
      </c>
      <c r="V3165" s="522" t="inlineStr">
        <is>
          <t>វីអ៊ីស៊ិន (ខេមបូឌា) អ៊ិនដាសស្ទ្រី ឯ.ក</t>
        </is>
      </c>
      <c r="W3165" s="556" t="n">
        <v>119514</v>
      </c>
    </row>
    <row r="3166">
      <c r="A3166" s="521" t="n">
        <v>3158</v>
      </c>
      <c r="B3166" s="522" t="inlineStr">
        <is>
          <t>TRUCKING CHARGE</t>
        </is>
      </c>
      <c r="C3166" s="522" t="inlineStr">
        <is>
          <t>អ៊ិចស្ពែឌីធ័រ ខេមបូឌា អិលធីឌី</t>
        </is>
      </c>
      <c r="D3166" s="522" t="inlineStr">
        <is>
          <t>L001-100045898</t>
        </is>
      </c>
      <c r="E3166" s="521" t="inlineStr">
        <is>
          <t>TI-0237181</t>
        </is>
      </c>
      <c r="F3166" s="523" t="n">
        <v>44832</v>
      </c>
      <c r="G3166" s="556" t="n">
        <v>97997</v>
      </c>
      <c r="I3166" s="521">
        <f>G3166</f>
        <v/>
      </c>
      <c r="K3166" s="521">
        <f>I3166-G3166</f>
        <v/>
      </c>
      <c r="M3166" s="522" t="inlineStr">
        <is>
          <t>TI0237181</t>
        </is>
      </c>
      <c r="N3166" s="522" t="inlineStr">
        <is>
          <t>TI0237181</t>
        </is>
      </c>
      <c r="O3166" s="521">
        <f>M3166=N3166</f>
        <v/>
      </c>
      <c r="P3166" s="521">
        <f>AND(MONTH(F3166)=MONTH(S3166), YEAR(F3166)=YEAR(S3166))</f>
        <v/>
      </c>
      <c r="Q3166" s="521">
        <f>U3166="L001-901905215"</f>
        <v/>
      </c>
      <c r="R3166" s="556">
        <f>G3166-W3166</f>
        <v/>
      </c>
      <c r="S3166" s="523" t="n">
        <v>44832</v>
      </c>
      <c r="T3166" s="522" t="inlineStr">
        <is>
          <t>TI-0237181</t>
        </is>
      </c>
      <c r="U3166" s="522" t="inlineStr">
        <is>
          <t>L001-901905215</t>
        </is>
      </c>
      <c r="V3166" s="522" t="inlineStr">
        <is>
          <t>វីអ៊ីស៊ិន (ខេមបូឌា) អ៊ិនដាសស្ទ្រី ឯ.ក</t>
        </is>
      </c>
      <c r="W3166" s="556" t="n">
        <v>97986</v>
      </c>
    </row>
    <row r="3167">
      <c r="A3167" s="521" t="n">
        <v>3159</v>
      </c>
      <c r="B3167" s="522" t="inlineStr">
        <is>
          <t>TRUCKING CHARGE</t>
        </is>
      </c>
      <c r="C3167" s="522" t="inlineStr">
        <is>
          <t>អ៊ិចស្ពែឌីធ័រ ខេមបូឌា អិលធីឌី</t>
        </is>
      </c>
      <c r="D3167" s="522" t="inlineStr">
        <is>
          <t>L001-100045898</t>
        </is>
      </c>
      <c r="E3167" s="521" t="inlineStr">
        <is>
          <t>TI-0236779</t>
        </is>
      </c>
      <c r="F3167" s="523" t="n">
        <v>44823</v>
      </c>
      <c r="G3167" s="556" t="n">
        <v>91084</v>
      </c>
      <c r="I3167" s="521">
        <f>G3167</f>
        <v/>
      </c>
      <c r="K3167" s="521">
        <f>I3167-G3167</f>
        <v/>
      </c>
      <c r="M3167" s="522" t="inlineStr">
        <is>
          <t>TI0236779</t>
        </is>
      </c>
      <c r="N3167" s="522" t="inlineStr">
        <is>
          <t>TI0236779</t>
        </is>
      </c>
      <c r="O3167" s="521">
        <f>M3167=N3167</f>
        <v/>
      </c>
      <c r="P3167" s="521">
        <f>AND(MONTH(F3167)=MONTH(S3167), YEAR(F3167)=YEAR(S3167))</f>
        <v/>
      </c>
      <c r="Q3167" s="521">
        <f>U3167="L001-901905215"</f>
        <v/>
      </c>
      <c r="R3167" s="556">
        <f>G3167-W3167</f>
        <v/>
      </c>
      <c r="S3167" s="523" t="n">
        <v>44823</v>
      </c>
      <c r="T3167" s="522" t="inlineStr">
        <is>
          <t>TI-0236779</t>
        </is>
      </c>
      <c r="U3167" s="522" t="inlineStr">
        <is>
          <t>L001-901905215</t>
        </is>
      </c>
      <c r="V3167" s="522" t="inlineStr">
        <is>
          <t>វីអ៊ីស៊ិន (ខេមបូឌា) អ៊ិនដាសស្ទ្រី ឯ.ក</t>
        </is>
      </c>
      <c r="W3167" s="556" t="n">
        <v>91099</v>
      </c>
    </row>
    <row r="3168">
      <c r="A3168" s="521" t="n">
        <v>3160</v>
      </c>
      <c r="B3168" s="522" t="inlineStr">
        <is>
          <t>TRUCKING CHARGE</t>
        </is>
      </c>
      <c r="C3168" s="522" t="inlineStr">
        <is>
          <t>អ៊ិចស្ពែឌីធ័រ ខេមបូឌា អិលធីឌី</t>
        </is>
      </c>
      <c r="D3168" s="522" t="inlineStr">
        <is>
          <t>L001-100045898</t>
        </is>
      </c>
      <c r="E3168" s="521" t="inlineStr">
        <is>
          <t>TI-0236466</t>
        </is>
      </c>
      <c r="F3168" s="523" t="n">
        <v>44816</v>
      </c>
      <c r="G3168" s="556" t="n">
        <v>97511</v>
      </c>
      <c r="I3168" s="521">
        <f>G3168</f>
        <v/>
      </c>
      <c r="K3168" s="521">
        <f>I3168-G3168</f>
        <v/>
      </c>
      <c r="M3168" s="522" t="inlineStr">
        <is>
          <t>TI0236466</t>
        </is>
      </c>
      <c r="N3168" s="522" t="inlineStr">
        <is>
          <t>TI0236466</t>
        </is>
      </c>
      <c r="O3168" s="521">
        <f>M3168=N3168</f>
        <v/>
      </c>
      <c r="P3168" s="521">
        <f>AND(MONTH(F3168)=MONTH(S3168), YEAR(F3168)=YEAR(S3168))</f>
        <v/>
      </c>
      <c r="Q3168" s="521">
        <f>U3168="L001-901905215"</f>
        <v/>
      </c>
      <c r="R3168" s="556">
        <f>G3168-W3168</f>
        <v/>
      </c>
      <c r="S3168" s="523" t="n">
        <v>44816</v>
      </c>
      <c r="T3168" s="522" t="inlineStr">
        <is>
          <t>TI-0236466</t>
        </is>
      </c>
      <c r="U3168" s="522" t="inlineStr">
        <is>
          <t>L001-901905215</t>
        </is>
      </c>
      <c r="V3168" s="522" t="inlineStr">
        <is>
          <t>វីអ៊ីស៊ិន (ខេមបូឌា) អ៊ិនដាសស្ទ្រី ឯ.ក</t>
        </is>
      </c>
      <c r="W3168" s="556" t="n">
        <v>97526</v>
      </c>
    </row>
    <row r="3169">
      <c r="A3169" s="521" t="n">
        <v>3161</v>
      </c>
      <c r="B3169" s="522" t="inlineStr">
        <is>
          <t>TRUCKING CHARGE</t>
        </is>
      </c>
      <c r="C3169" s="522" t="inlineStr">
        <is>
          <t>អ៊ិចស្ពែឌីធ័រ ខេមបូឌា អិលធីឌី</t>
        </is>
      </c>
      <c r="D3169" s="522" t="inlineStr">
        <is>
          <t>L001-100045898</t>
        </is>
      </c>
      <c r="E3169" s="521" t="inlineStr">
        <is>
          <t>TI-0236462</t>
        </is>
      </c>
      <c r="F3169" s="523" t="n">
        <v>44816</v>
      </c>
      <c r="G3169" s="556" t="n">
        <v>109336</v>
      </c>
      <c r="I3169" s="521">
        <f>G3169</f>
        <v/>
      </c>
      <c r="K3169" s="521">
        <f>I3169-G3169</f>
        <v/>
      </c>
      <c r="M3169" s="522" t="inlineStr">
        <is>
          <t>TI0236462</t>
        </is>
      </c>
      <c r="N3169" s="522" t="inlineStr">
        <is>
          <t>TI0236462</t>
        </is>
      </c>
      <c r="O3169" s="521">
        <f>M3169=N3169</f>
        <v/>
      </c>
      <c r="P3169" s="521">
        <f>AND(MONTH(F3169)=MONTH(S3169), YEAR(F3169)=YEAR(S3169))</f>
        <v/>
      </c>
      <c r="Q3169" s="521">
        <f>U3169="L001-901905215"</f>
        <v/>
      </c>
      <c r="R3169" s="556">
        <f>G3169-W3169</f>
        <v/>
      </c>
      <c r="S3169" s="523" t="n">
        <v>44816</v>
      </c>
      <c r="T3169" s="522" t="inlineStr">
        <is>
          <t>TI-0236462</t>
        </is>
      </c>
      <c r="U3169" s="522" t="inlineStr">
        <is>
          <t>L001-901905215</t>
        </is>
      </c>
      <c r="V3169" s="522" t="inlineStr">
        <is>
          <t>វីអ៊ីស៊ិន (ខេមបូឌា) អ៊ិនដាសស្ទ្រី ឯ.ក</t>
        </is>
      </c>
      <c r="W3169" s="556" t="n">
        <v>109336</v>
      </c>
    </row>
    <row r="3170">
      <c r="A3170" s="521" t="n">
        <v>3162</v>
      </c>
      <c r="B3170" s="522" t="inlineStr">
        <is>
          <t>TRUCKING CHARGE</t>
        </is>
      </c>
      <c r="C3170" s="522" t="inlineStr">
        <is>
          <t>អ៊ិចស្ពែឌីធ័រ ខេមបូឌា អិលធីឌី</t>
        </is>
      </c>
      <c r="D3170" s="522" t="inlineStr">
        <is>
          <t>L001-100045898</t>
        </is>
      </c>
      <c r="E3170" s="521" t="inlineStr">
        <is>
          <t>TI-0236201</t>
        </is>
      </c>
      <c r="F3170" s="523" t="n">
        <v>44810</v>
      </c>
      <c r="G3170" s="556" t="n">
        <v>86092</v>
      </c>
      <c r="I3170" s="521">
        <f>G3170</f>
        <v/>
      </c>
      <c r="K3170" s="521">
        <f>I3170-G3170</f>
        <v/>
      </c>
      <c r="M3170" s="522" t="inlineStr">
        <is>
          <t>TI0236201</t>
        </is>
      </c>
      <c r="N3170" s="522" t="inlineStr">
        <is>
          <t>TI0236201</t>
        </is>
      </c>
      <c r="O3170" s="521">
        <f>M3170=N3170</f>
        <v/>
      </c>
      <c r="P3170" s="521">
        <f>AND(MONTH(F3170)=MONTH(S3170), YEAR(F3170)=YEAR(S3170))</f>
        <v/>
      </c>
      <c r="Q3170" s="521">
        <f>U3170="L001-901905215"</f>
        <v/>
      </c>
      <c r="R3170" s="556">
        <f>G3170-W3170</f>
        <v/>
      </c>
      <c r="S3170" s="523" t="n">
        <v>44810</v>
      </c>
      <c r="T3170" s="522" t="inlineStr">
        <is>
          <t>TI-0236201</t>
        </is>
      </c>
      <c r="U3170" s="522" t="inlineStr">
        <is>
          <t>L001-901905215</t>
        </is>
      </c>
      <c r="V3170" s="522" t="inlineStr">
        <is>
          <t>វីអ៊ីស៊ិន (ខេមបូឌា) អ៊ិនដាសស្ទ្រី ឯ.ក</t>
        </is>
      </c>
      <c r="W3170" s="556" t="n">
        <v>86088</v>
      </c>
    </row>
    <row r="3171">
      <c r="A3171" s="521" t="n">
        <v>3163</v>
      </c>
      <c r="B3171" s="522" t="inlineStr">
        <is>
          <t>TRUCKING CHARGE</t>
        </is>
      </c>
      <c r="C3171" s="522" t="inlineStr">
        <is>
          <t>អ៊ិចស្ពែឌីធ័រ ខេមបូឌា អិលធីឌី</t>
        </is>
      </c>
      <c r="D3171" s="522" t="inlineStr">
        <is>
          <t>L001-100045898</t>
        </is>
      </c>
      <c r="E3171" s="521" t="inlineStr">
        <is>
          <t>TI-0236195</t>
        </is>
      </c>
      <c r="F3171" s="523" t="n">
        <v>44810</v>
      </c>
      <c r="G3171" s="556" t="n">
        <v>55619</v>
      </c>
      <c r="I3171" s="521">
        <f>G3171</f>
        <v/>
      </c>
      <c r="K3171" s="521">
        <f>I3171-G3171</f>
        <v/>
      </c>
      <c r="M3171" s="522" t="inlineStr">
        <is>
          <t>TI0236195</t>
        </is>
      </c>
      <c r="N3171" s="522" t="inlineStr">
        <is>
          <t>TI0236195</t>
        </is>
      </c>
      <c r="O3171" s="521">
        <f>M3171=N3171</f>
        <v/>
      </c>
      <c r="P3171" s="521">
        <f>AND(MONTH(F3171)=MONTH(S3171), YEAR(F3171)=YEAR(S3171))</f>
        <v/>
      </c>
      <c r="Q3171" s="521">
        <f>U3171="L001-901905215"</f>
        <v/>
      </c>
      <c r="R3171" s="556">
        <f>G3171-W3171</f>
        <v/>
      </c>
      <c r="S3171" s="523" t="n">
        <v>44810</v>
      </c>
      <c r="T3171" s="522" t="inlineStr">
        <is>
          <t>TI-0236195</t>
        </is>
      </c>
      <c r="U3171" s="522" t="inlineStr">
        <is>
          <t>L001-901905215</t>
        </is>
      </c>
      <c r="V3171" s="522" t="inlineStr">
        <is>
          <t>វីអ៊ីស៊ិន (ខេមបូឌា) អ៊ិនដាសស្ទ្រី ឯ.ក</t>
        </is>
      </c>
      <c r="W3171" s="556" t="n">
        <v>55619</v>
      </c>
    </row>
    <row r="3172">
      <c r="A3172" s="521" t="n">
        <v>3164</v>
      </c>
      <c r="B3172" s="522" t="inlineStr">
        <is>
          <t>Export Administration fee</t>
        </is>
      </c>
      <c r="C3172" s="522" t="inlineStr">
        <is>
          <t>ឆាយ ដា ឡូយីស្ទីក</t>
        </is>
      </c>
      <c r="D3172" s="522" t="inlineStr">
        <is>
          <t>L001-100063098</t>
        </is>
      </c>
      <c r="E3172" s="521" t="inlineStr">
        <is>
          <t>2209011442</t>
        </is>
      </c>
      <c r="F3172" s="523" t="n">
        <v>44832</v>
      </c>
      <c r="G3172" s="556" t="n">
        <v>11547</v>
      </c>
      <c r="I3172" s="521">
        <f>G3172</f>
        <v/>
      </c>
      <c r="K3172" s="521">
        <f>I3172-G3172</f>
        <v/>
      </c>
      <c r="M3172" s="522" t="inlineStr">
        <is>
          <t>2209011442</t>
        </is>
      </c>
      <c r="N3172" s="522" t="inlineStr">
        <is>
          <t>2209011442</t>
        </is>
      </c>
      <c r="O3172" s="521">
        <f>M3172=N3172</f>
        <v/>
      </c>
      <c r="P3172" s="521">
        <f>AND(MONTH(F3172)=MONTH(S3172), YEAR(F3172)=YEAR(S3172))</f>
        <v/>
      </c>
      <c r="Q3172" s="521">
        <f>U3172="L001-901905215"</f>
        <v/>
      </c>
      <c r="R3172" s="556">
        <f>G3172-W3172</f>
        <v/>
      </c>
      <c r="S3172" s="523" t="n">
        <v>44832</v>
      </c>
      <c r="T3172" s="522" t="inlineStr">
        <is>
          <t>2209011442</t>
        </is>
      </c>
      <c r="U3172" s="522" t="inlineStr">
        <is>
          <t>L001-901905215</t>
        </is>
      </c>
      <c r="V3172" s="522" t="inlineStr">
        <is>
          <t>វីអ៊ីស៊ិន (ខេមបូឌា) អ៊ិនដាសស្ទ្រី ឯ.ក</t>
        </is>
      </c>
      <c r="W3172" s="556" t="n">
        <v>11547</v>
      </c>
    </row>
    <row r="3173">
      <c r="A3173" s="521" t="n">
        <v>3165</v>
      </c>
      <c r="B3173" s="522" t="inlineStr">
        <is>
          <t>Export Administration fee</t>
        </is>
      </c>
      <c r="C3173" s="522" t="inlineStr">
        <is>
          <t>ឆាយ ដា ឡូយីស្ទីក</t>
        </is>
      </c>
      <c r="D3173" s="522" t="inlineStr">
        <is>
          <t>L001-100063098</t>
        </is>
      </c>
      <c r="E3173" s="521" t="inlineStr">
        <is>
          <t>2209011400</t>
        </is>
      </c>
      <c r="F3173" s="523" t="n">
        <v>44831</v>
      </c>
      <c r="G3173" s="556" t="n">
        <v>90316</v>
      </c>
      <c r="I3173" s="521">
        <f>G3173</f>
        <v/>
      </c>
      <c r="K3173" s="521">
        <f>I3173-G3173</f>
        <v/>
      </c>
      <c r="M3173" s="522" t="inlineStr">
        <is>
          <t>2209011400</t>
        </is>
      </c>
      <c r="N3173" s="522" t="inlineStr">
        <is>
          <t>2209011400</t>
        </is>
      </c>
      <c r="O3173" s="521">
        <f>M3173=N3173</f>
        <v/>
      </c>
      <c r="P3173" s="521">
        <f>AND(MONTH(F3173)=MONTH(S3173), YEAR(F3173)=YEAR(S3173))</f>
        <v/>
      </c>
      <c r="Q3173" s="521">
        <f>U3173="L001-901905215"</f>
        <v/>
      </c>
      <c r="R3173" s="556">
        <f>G3173-W3173</f>
        <v/>
      </c>
      <c r="S3173" s="523" t="n">
        <v>44831</v>
      </c>
      <c r="T3173" s="522" t="inlineStr">
        <is>
          <t>2209011400</t>
        </is>
      </c>
      <c r="U3173" s="522" t="inlineStr">
        <is>
          <t>L001-901905215</t>
        </is>
      </c>
      <c r="V3173" s="522" t="inlineStr">
        <is>
          <t>វីអ៊ីស៊ិន (ខេមបូឌា) អ៊ិនដាសស្ទ្រី ឯ.ក</t>
        </is>
      </c>
      <c r="W3173" s="556" t="n">
        <v>90316</v>
      </c>
    </row>
    <row r="3174">
      <c r="A3174" s="521" t="n">
        <v>3166</v>
      </c>
      <c r="B3174" s="522" t="inlineStr">
        <is>
          <t>Export Administration fee</t>
        </is>
      </c>
      <c r="C3174" s="522" t="inlineStr">
        <is>
          <t>ឆាយ ដា ឡូយីស្ទីក</t>
        </is>
      </c>
      <c r="D3174" s="522" t="inlineStr">
        <is>
          <t>L001-100063098</t>
        </is>
      </c>
      <c r="E3174" s="521" t="inlineStr">
        <is>
          <t>2209011397</t>
        </is>
      </c>
      <c r="F3174" s="523" t="n">
        <v>44831</v>
      </c>
      <c r="G3174" s="556" t="n">
        <v>90316</v>
      </c>
      <c r="I3174" s="521">
        <f>G3174</f>
        <v/>
      </c>
      <c r="K3174" s="521">
        <f>I3174-G3174</f>
        <v/>
      </c>
      <c r="M3174" s="522" t="inlineStr">
        <is>
          <t>2209011397</t>
        </is>
      </c>
      <c r="N3174" s="522" t="inlineStr">
        <is>
          <t>2209011397</t>
        </is>
      </c>
      <c r="O3174" s="521">
        <f>M3174=N3174</f>
        <v/>
      </c>
      <c r="P3174" s="521">
        <f>AND(MONTH(F3174)=MONTH(S3174), YEAR(F3174)=YEAR(S3174))</f>
        <v/>
      </c>
      <c r="Q3174" s="521">
        <f>U3174="L001-901905215"</f>
        <v/>
      </c>
      <c r="R3174" s="556">
        <f>G3174-W3174</f>
        <v/>
      </c>
      <c r="S3174" s="523" t="n">
        <v>44831</v>
      </c>
      <c r="T3174" s="522" t="inlineStr">
        <is>
          <t>2209011397</t>
        </is>
      </c>
      <c r="U3174" s="522" t="inlineStr">
        <is>
          <t>L001-901905215</t>
        </is>
      </c>
      <c r="V3174" s="522" t="inlineStr">
        <is>
          <t>វីអ៊ីស៊ិន (ខេមបូឌា) អ៊ិនដាសស្ទ្រី ឯ.ក</t>
        </is>
      </c>
      <c r="W3174" s="556" t="n">
        <v>90316</v>
      </c>
    </row>
    <row r="3175">
      <c r="A3175" s="521" t="n">
        <v>3167</v>
      </c>
      <c r="B3175" s="522" t="inlineStr">
        <is>
          <t>Export Administration fee</t>
        </is>
      </c>
      <c r="C3175" s="522" t="inlineStr">
        <is>
          <t>ឆាយ ដា ឡូយីស្ទីក</t>
        </is>
      </c>
      <c r="D3175" s="522" t="inlineStr">
        <is>
          <t>L001-100063098</t>
        </is>
      </c>
      <c r="E3175" s="521" t="inlineStr">
        <is>
          <t>2209011396</t>
        </is>
      </c>
      <c r="F3175" s="523" t="n">
        <v>44831</v>
      </c>
      <c r="G3175" s="556" t="n">
        <v>90316</v>
      </c>
      <c r="I3175" s="521">
        <f>G3175</f>
        <v/>
      </c>
      <c r="K3175" s="521">
        <f>I3175-G3175</f>
        <v/>
      </c>
      <c r="M3175" s="522" t="inlineStr">
        <is>
          <t>2209011396</t>
        </is>
      </c>
      <c r="N3175" s="522" t="inlineStr">
        <is>
          <t>2209011396</t>
        </is>
      </c>
      <c r="O3175" s="521">
        <f>M3175=N3175</f>
        <v/>
      </c>
      <c r="P3175" s="521">
        <f>AND(MONTH(F3175)=MONTH(S3175), YEAR(F3175)=YEAR(S3175))</f>
        <v/>
      </c>
      <c r="Q3175" s="521">
        <f>U3175="L001-901905215"</f>
        <v/>
      </c>
      <c r="R3175" s="556">
        <f>G3175-W3175</f>
        <v/>
      </c>
      <c r="S3175" s="523" t="n">
        <v>44831</v>
      </c>
      <c r="T3175" s="522" t="inlineStr">
        <is>
          <t>2209011396</t>
        </is>
      </c>
      <c r="U3175" s="522" t="inlineStr">
        <is>
          <t>L001-901905215</t>
        </is>
      </c>
      <c r="V3175" s="522" t="inlineStr">
        <is>
          <t>វីអ៊ីស៊ិន (ខេមបូឌា) អ៊ិនដាសស្ទ្រី ឯ.ក</t>
        </is>
      </c>
      <c r="W3175" s="556" t="n">
        <v>90316</v>
      </c>
    </row>
    <row r="3176">
      <c r="A3176" s="521" t="n">
        <v>3168</v>
      </c>
      <c r="B3176" s="522" t="inlineStr">
        <is>
          <t>Export Administration fee</t>
        </is>
      </c>
      <c r="C3176" s="522" t="inlineStr">
        <is>
          <t>ឆាយ ដា ឡូយីស្ទីក</t>
        </is>
      </c>
      <c r="D3176" s="522" t="inlineStr">
        <is>
          <t>L001-100063098</t>
        </is>
      </c>
      <c r="E3176" s="521" t="inlineStr">
        <is>
          <t>2209011389</t>
        </is>
      </c>
      <c r="F3176" s="523" t="n">
        <v>44831</v>
      </c>
      <c r="G3176" s="556" t="n">
        <v>90316</v>
      </c>
      <c r="I3176" s="521">
        <f>G3176</f>
        <v/>
      </c>
      <c r="K3176" s="521">
        <f>I3176-G3176</f>
        <v/>
      </c>
      <c r="M3176" s="522" t="inlineStr">
        <is>
          <t>2209011389</t>
        </is>
      </c>
      <c r="N3176" s="522" t="inlineStr">
        <is>
          <t>2209011389</t>
        </is>
      </c>
      <c r="O3176" s="521">
        <f>M3176=N3176</f>
        <v/>
      </c>
      <c r="P3176" s="521">
        <f>AND(MONTH(F3176)=MONTH(S3176), YEAR(F3176)=YEAR(S3176))</f>
        <v/>
      </c>
      <c r="Q3176" s="521">
        <f>U3176="L001-901905215"</f>
        <v/>
      </c>
      <c r="R3176" s="556">
        <f>G3176-W3176</f>
        <v/>
      </c>
      <c r="S3176" s="523" t="n">
        <v>44831</v>
      </c>
      <c r="T3176" s="522" t="inlineStr">
        <is>
          <t>2209011389</t>
        </is>
      </c>
      <c r="U3176" s="522" t="inlineStr">
        <is>
          <t>L001-901905215</t>
        </is>
      </c>
      <c r="V3176" s="522" t="inlineStr">
        <is>
          <t>វីអ៊ីស៊ិន (ខេមបូឌា) អ៊ិនដាសស្ទ្រី ឯ.ក</t>
        </is>
      </c>
      <c r="W3176" s="556" t="n">
        <v>90316</v>
      </c>
    </row>
    <row r="3177">
      <c r="A3177" s="521" t="n">
        <v>3169</v>
      </c>
      <c r="B3177" s="522" t="inlineStr">
        <is>
          <t>Export Administration fee</t>
        </is>
      </c>
      <c r="C3177" s="522" t="inlineStr">
        <is>
          <t>ឆាយ ដា ឡូយីស្ទីក</t>
        </is>
      </c>
      <c r="D3177" s="522" t="inlineStr">
        <is>
          <t>L001-100063098</t>
        </is>
      </c>
      <c r="E3177" s="521" t="inlineStr">
        <is>
          <t>2209011387</t>
        </is>
      </c>
      <c r="F3177" s="523" t="n">
        <v>44831</v>
      </c>
      <c r="G3177" s="556" t="n">
        <v>90316</v>
      </c>
      <c r="I3177" s="521">
        <f>G3177</f>
        <v/>
      </c>
      <c r="K3177" s="521">
        <f>I3177-G3177</f>
        <v/>
      </c>
      <c r="M3177" s="522" t="inlineStr">
        <is>
          <t>2209011387</t>
        </is>
      </c>
      <c r="N3177" s="522" t="inlineStr">
        <is>
          <t>2209011387</t>
        </is>
      </c>
      <c r="O3177" s="521">
        <f>M3177=N3177</f>
        <v/>
      </c>
      <c r="P3177" s="521">
        <f>AND(MONTH(F3177)=MONTH(S3177), YEAR(F3177)=YEAR(S3177))</f>
        <v/>
      </c>
      <c r="Q3177" s="521">
        <f>U3177="L001-901905215"</f>
        <v/>
      </c>
      <c r="R3177" s="556">
        <f>G3177-W3177</f>
        <v/>
      </c>
      <c r="S3177" s="523" t="n">
        <v>44831</v>
      </c>
      <c r="T3177" s="522" t="inlineStr">
        <is>
          <t>2209011387</t>
        </is>
      </c>
      <c r="U3177" s="522" t="inlineStr">
        <is>
          <t>L001-901905215</t>
        </is>
      </c>
      <c r="V3177" s="522" t="inlineStr">
        <is>
          <t>វីអ៊ីស៊ិន (ខេមបូឌា) អ៊ិនដាសស្ទ្រី ឯ.ក</t>
        </is>
      </c>
      <c r="W3177" s="556" t="n">
        <v>90316</v>
      </c>
    </row>
    <row r="3178">
      <c r="A3178" s="521" t="n">
        <v>3170</v>
      </c>
      <c r="B3178" s="522" t="inlineStr">
        <is>
          <t>Export Administration fee</t>
        </is>
      </c>
      <c r="C3178" s="522" t="inlineStr">
        <is>
          <t>ឆាយ ដា ឡូយីស្ទីក</t>
        </is>
      </c>
      <c r="D3178" s="522" t="inlineStr">
        <is>
          <t>L001-100063098</t>
        </is>
      </c>
      <c r="E3178" s="521" t="inlineStr">
        <is>
          <t>2209011093</t>
        </is>
      </c>
      <c r="F3178" s="523" t="n">
        <v>44823</v>
      </c>
      <c r="G3178" s="556" t="n">
        <v>90316</v>
      </c>
      <c r="I3178" s="521">
        <f>G3178</f>
        <v/>
      </c>
      <c r="K3178" s="521">
        <f>I3178-G3178</f>
        <v/>
      </c>
      <c r="M3178" s="522" t="inlineStr">
        <is>
          <t>2209011093</t>
        </is>
      </c>
      <c r="N3178" s="522" t="inlineStr">
        <is>
          <t>2209011093</t>
        </is>
      </c>
      <c r="O3178" s="521">
        <f>M3178=N3178</f>
        <v/>
      </c>
      <c r="P3178" s="521">
        <f>AND(MONTH(F3178)=MONTH(S3178), YEAR(F3178)=YEAR(S3178))</f>
        <v/>
      </c>
      <c r="Q3178" s="521">
        <f>U3178="L001-901905215"</f>
        <v/>
      </c>
      <c r="R3178" s="556">
        <f>G3178-W3178</f>
        <v/>
      </c>
      <c r="S3178" s="523" t="n">
        <v>44823</v>
      </c>
      <c r="T3178" s="522" t="inlineStr">
        <is>
          <t>2209011093</t>
        </is>
      </c>
      <c r="U3178" s="522" t="inlineStr">
        <is>
          <t>L001-901905215</t>
        </is>
      </c>
      <c r="V3178" s="522" t="inlineStr">
        <is>
          <t>វីអ៊ីស៊ិន (ខេមបូឌា) អ៊ិនដាសស្ទ្រី ឯ.ក</t>
        </is>
      </c>
      <c r="W3178" s="556" t="n">
        <v>90316</v>
      </c>
    </row>
    <row r="3179">
      <c r="A3179" s="521" t="n">
        <v>3171</v>
      </c>
      <c r="B3179" s="522" t="inlineStr">
        <is>
          <t>Export Administration fee</t>
        </is>
      </c>
      <c r="C3179" s="522" t="inlineStr">
        <is>
          <t>ឆាយ ដា ឡូយីស្ទីក</t>
        </is>
      </c>
      <c r="D3179" s="522" t="inlineStr">
        <is>
          <t>L001-100063098</t>
        </is>
      </c>
      <c r="E3179" s="521" t="inlineStr">
        <is>
          <t>2209010860</t>
        </is>
      </c>
      <c r="F3179" s="523" t="n">
        <v>44816</v>
      </c>
      <c r="G3179" s="556" t="n">
        <v>90119</v>
      </c>
      <c r="I3179" s="521">
        <f>G3179</f>
        <v/>
      </c>
      <c r="K3179" s="521">
        <f>I3179-G3179</f>
        <v/>
      </c>
      <c r="M3179" s="522" t="inlineStr">
        <is>
          <t>2209010860</t>
        </is>
      </c>
      <c r="N3179" s="522" t="inlineStr">
        <is>
          <t>2209010860</t>
        </is>
      </c>
      <c r="O3179" s="521">
        <f>M3179=N3179</f>
        <v/>
      </c>
      <c r="P3179" s="521">
        <f>AND(MONTH(F3179)=MONTH(S3179), YEAR(F3179)=YEAR(S3179))</f>
        <v/>
      </c>
      <c r="Q3179" s="521">
        <f>U3179="L001-901905215"</f>
        <v/>
      </c>
      <c r="R3179" s="556">
        <f>G3179-W3179</f>
        <v/>
      </c>
      <c r="S3179" s="523" t="n">
        <v>44816</v>
      </c>
      <c r="T3179" s="522" t="inlineStr">
        <is>
          <t>2209010860</t>
        </is>
      </c>
      <c r="U3179" s="522" t="inlineStr">
        <is>
          <t>L001-901905215</t>
        </is>
      </c>
      <c r="V3179" s="522" t="inlineStr">
        <is>
          <t>វីអ៊ីស៊ិន (ខេមបូឌា) អ៊ិនដាសស្ទ្រី ឯ.ក</t>
        </is>
      </c>
      <c r="W3179" s="556" t="n">
        <v>90119</v>
      </c>
    </row>
    <row r="3180">
      <c r="A3180" s="521" t="n">
        <v>3172</v>
      </c>
      <c r="B3180" s="522" t="inlineStr">
        <is>
          <t>Export Administration fee</t>
        </is>
      </c>
      <c r="C3180" s="522" t="inlineStr">
        <is>
          <t>ឆាយ ដា ឡូយីស្ទីក</t>
        </is>
      </c>
      <c r="D3180" s="522" t="inlineStr">
        <is>
          <t>L001-100063098</t>
        </is>
      </c>
      <c r="E3180" s="521" t="inlineStr">
        <is>
          <t>2209010855</t>
        </is>
      </c>
      <c r="F3180" s="523" t="n">
        <v>44816</v>
      </c>
      <c r="G3180" s="556" t="n">
        <v>90119</v>
      </c>
      <c r="I3180" s="521">
        <f>G3180</f>
        <v/>
      </c>
      <c r="K3180" s="521">
        <f>I3180-G3180</f>
        <v/>
      </c>
      <c r="M3180" s="522" t="inlineStr">
        <is>
          <t>2209010855</t>
        </is>
      </c>
      <c r="N3180" s="522" t="inlineStr">
        <is>
          <t>2209010855</t>
        </is>
      </c>
      <c r="O3180" s="521">
        <f>M3180=N3180</f>
        <v/>
      </c>
      <c r="P3180" s="521">
        <f>AND(MONTH(F3180)=MONTH(S3180), YEAR(F3180)=YEAR(S3180))</f>
        <v/>
      </c>
      <c r="Q3180" s="521">
        <f>U3180="L001-901905215"</f>
        <v/>
      </c>
      <c r="R3180" s="556">
        <f>G3180-W3180</f>
        <v/>
      </c>
      <c r="S3180" s="523" t="n">
        <v>44816</v>
      </c>
      <c r="T3180" s="522" t="inlineStr">
        <is>
          <t>2209010855</t>
        </is>
      </c>
      <c r="U3180" s="522" t="inlineStr">
        <is>
          <t>L001-901905215</t>
        </is>
      </c>
      <c r="V3180" s="522" t="inlineStr">
        <is>
          <t>វីអ៊ីស៊ិន (ខេមបូឌា) អ៊ិនដាសស្ទ្រី ឯ.ក</t>
        </is>
      </c>
      <c r="W3180" s="556" t="n">
        <v>90119</v>
      </c>
    </row>
    <row r="3181">
      <c r="A3181" s="521" t="n">
        <v>3173</v>
      </c>
      <c r="B3181" s="522" t="inlineStr">
        <is>
          <t>Export Administration fee</t>
        </is>
      </c>
      <c r="C3181" s="522" t="inlineStr">
        <is>
          <t>ឆាយ ដា ឡូយីស្ទីក</t>
        </is>
      </c>
      <c r="D3181" s="522" t="inlineStr">
        <is>
          <t>L001-100063098</t>
        </is>
      </c>
      <c r="E3181" s="521" t="inlineStr">
        <is>
          <t>2209010594</t>
        </is>
      </c>
      <c r="F3181" s="523" t="n">
        <v>44809</v>
      </c>
      <c r="G3181" s="556" t="n">
        <v>90294</v>
      </c>
      <c r="I3181" s="521">
        <f>G3181</f>
        <v/>
      </c>
      <c r="K3181" s="521">
        <f>I3181-G3181</f>
        <v/>
      </c>
      <c r="M3181" s="522" t="inlineStr">
        <is>
          <t>2209010594</t>
        </is>
      </c>
      <c r="N3181" s="522" t="inlineStr">
        <is>
          <t>2209010594</t>
        </is>
      </c>
      <c r="O3181" s="521">
        <f>M3181=N3181</f>
        <v/>
      </c>
      <c r="P3181" s="521">
        <f>AND(MONTH(F3181)=MONTH(S3181), YEAR(F3181)=YEAR(S3181))</f>
        <v/>
      </c>
      <c r="Q3181" s="521">
        <f>U3181="L001-901905215"</f>
        <v/>
      </c>
      <c r="R3181" s="556">
        <f>G3181-W3181</f>
        <v/>
      </c>
      <c r="S3181" s="523" t="n">
        <v>44809</v>
      </c>
      <c r="T3181" s="522" t="inlineStr">
        <is>
          <t>2209010594</t>
        </is>
      </c>
      <c r="U3181" s="522" t="inlineStr">
        <is>
          <t>L001-901905215</t>
        </is>
      </c>
      <c r="V3181" s="522" t="inlineStr">
        <is>
          <t>វីអ៊ីស៊ិន (ខេមបូឌា) អ៊ិនដាសស្ទ្រី ឯ.ក</t>
        </is>
      </c>
      <c r="W3181" s="556" t="n">
        <v>90294</v>
      </c>
    </row>
    <row r="3182">
      <c r="A3182" s="521" t="n">
        <v>3174</v>
      </c>
      <c r="B3182" s="522" t="inlineStr">
        <is>
          <t>Export Administration fee</t>
        </is>
      </c>
      <c r="C3182" s="522" t="inlineStr">
        <is>
          <t>ឆាយ ដា ឡូយីស្ទីក</t>
        </is>
      </c>
      <c r="D3182" s="522" t="inlineStr">
        <is>
          <t>L001-100063098</t>
        </is>
      </c>
      <c r="E3182" s="521" t="inlineStr">
        <is>
          <t>2209010581</t>
        </is>
      </c>
      <c r="F3182" s="523" t="n">
        <v>44809</v>
      </c>
      <c r="G3182" s="556" t="n">
        <v>90294</v>
      </c>
      <c r="I3182" s="521">
        <f>G3182</f>
        <v/>
      </c>
      <c r="K3182" s="521">
        <f>I3182-G3182</f>
        <v/>
      </c>
      <c r="M3182" s="522" t="inlineStr">
        <is>
          <t>2209010581</t>
        </is>
      </c>
      <c r="N3182" s="522" t="inlineStr">
        <is>
          <t>2209010581</t>
        </is>
      </c>
      <c r="O3182" s="521">
        <f>M3182=N3182</f>
        <v/>
      </c>
      <c r="P3182" s="521">
        <f>AND(MONTH(F3182)=MONTH(S3182), YEAR(F3182)=YEAR(S3182))</f>
        <v/>
      </c>
      <c r="Q3182" s="521">
        <f>U3182="L001-901905215"</f>
        <v/>
      </c>
      <c r="R3182" s="556">
        <f>G3182-W3182</f>
        <v/>
      </c>
      <c r="S3182" s="523" t="n">
        <v>44809</v>
      </c>
      <c r="T3182" s="522" t="inlineStr">
        <is>
          <t>2209010581</t>
        </is>
      </c>
      <c r="U3182" s="522" t="inlineStr">
        <is>
          <t>L001-901905215</t>
        </is>
      </c>
      <c r="V3182" s="522" t="inlineStr">
        <is>
          <t>វីអ៊ីស៊ិន (ខេមបូឌា) អ៊ិនដាសស្ទ្រី ឯ.ក</t>
        </is>
      </c>
      <c r="W3182" s="556" t="n">
        <v>90294</v>
      </c>
    </row>
    <row r="3183">
      <c r="A3183" s="521" t="n">
        <v>3175</v>
      </c>
      <c r="B3183" s="522" t="inlineStr">
        <is>
          <t>Clearance &amp; Trucking Fee</t>
        </is>
      </c>
      <c r="C3183" s="522" t="inlineStr">
        <is>
          <t>56ប៊ី-លីង សឹបផ្លាយ ឆេន មេនេចម៉ិន ឯ.ក</t>
        </is>
      </c>
      <c r="D3183" s="522" t="inlineStr">
        <is>
          <t>K004-902004795</t>
        </is>
      </c>
      <c r="E3183" s="521" t="inlineStr">
        <is>
          <t>TI2022-0731</t>
        </is>
      </c>
      <c r="F3183" s="523" t="n">
        <v>44826</v>
      </c>
      <c r="G3183" s="556" t="n">
        <v>187642</v>
      </c>
      <c r="I3183" s="521">
        <f>G3183</f>
        <v/>
      </c>
      <c r="K3183" s="521">
        <f>I3183-G3183</f>
        <v/>
      </c>
      <c r="M3183" s="522" t="inlineStr">
        <is>
          <t>TI20220731</t>
        </is>
      </c>
      <c r="N3183" s="522" t="inlineStr">
        <is>
          <t>TI20220731</t>
        </is>
      </c>
      <c r="O3183" s="521">
        <f>M3183=N3183</f>
        <v/>
      </c>
      <c r="P3183" s="521">
        <f>AND(MONTH(F3183)=MONTH(S3183), YEAR(F3183)=YEAR(S3183))</f>
        <v/>
      </c>
      <c r="Q3183" s="521">
        <f>U3183="L001-901905215"</f>
        <v/>
      </c>
      <c r="R3183" s="556">
        <f>G3183-W3183</f>
        <v/>
      </c>
      <c r="S3183" s="523" t="n">
        <v>44826</v>
      </c>
      <c r="T3183" s="522" t="inlineStr">
        <is>
          <t>TI2022-0731</t>
        </is>
      </c>
      <c r="U3183" s="522" t="inlineStr">
        <is>
          <t>L001-901905215</t>
        </is>
      </c>
      <c r="V3183" s="522" t="inlineStr">
        <is>
          <t>វីអ៊ីស៊ិន (ខេមបូឌា) អ៊ិនដាសស្ទ្រី ឯ.ក</t>
        </is>
      </c>
      <c r="W3183" s="556" t="n">
        <v>187642</v>
      </c>
    </row>
    <row r="3184">
      <c r="A3184" s="521" t="n">
        <v>3176</v>
      </c>
      <c r="B3184" s="522" t="inlineStr">
        <is>
          <t>Clearance &amp; Trucking Fee</t>
        </is>
      </c>
      <c r="C3184" s="522" t="inlineStr">
        <is>
          <t>56ប៊ី-លីង សឹបផ្លាយ ឆេន មេនេចម៉ិន ឯ.ក</t>
        </is>
      </c>
      <c r="D3184" s="522" t="inlineStr">
        <is>
          <t>K004-902004795</t>
        </is>
      </c>
      <c r="E3184" s="521" t="inlineStr">
        <is>
          <t>TI2022-0730</t>
        </is>
      </c>
      <c r="F3184" s="523" t="n">
        <v>44826</v>
      </c>
      <c r="G3184" s="556" t="n">
        <v>187642</v>
      </c>
      <c r="I3184" s="521">
        <f>G3184</f>
        <v/>
      </c>
      <c r="K3184" s="521">
        <f>I3184-G3184</f>
        <v/>
      </c>
      <c r="M3184" s="522" t="inlineStr">
        <is>
          <t>TI20220730</t>
        </is>
      </c>
      <c r="N3184" s="522" t="inlineStr">
        <is>
          <t>TI20220730</t>
        </is>
      </c>
      <c r="O3184" s="521">
        <f>M3184=N3184</f>
        <v/>
      </c>
      <c r="P3184" s="521">
        <f>AND(MONTH(F3184)=MONTH(S3184), YEAR(F3184)=YEAR(S3184))</f>
        <v/>
      </c>
      <c r="Q3184" s="521">
        <f>U3184="L001-901905215"</f>
        <v/>
      </c>
      <c r="R3184" s="556">
        <f>G3184-W3184</f>
        <v/>
      </c>
      <c r="S3184" s="523" t="n">
        <v>44826</v>
      </c>
      <c r="T3184" s="522" t="inlineStr">
        <is>
          <t>TI2022-0730</t>
        </is>
      </c>
      <c r="U3184" s="522" t="inlineStr">
        <is>
          <t>L001-901905215</t>
        </is>
      </c>
      <c r="V3184" s="522" t="inlineStr">
        <is>
          <t>វីអ៊ីស៊ិន (ខេមបូឌា) អ៊ិនដាសស្ទ្រី ឯ.ក</t>
        </is>
      </c>
      <c r="W3184" s="556" t="n">
        <v>187642</v>
      </c>
    </row>
    <row r="3185">
      <c r="A3185" s="521" t="n">
        <v>3177</v>
      </c>
      <c r="B3185" s="522" t="inlineStr">
        <is>
          <t>Clearance &amp; Trucking Fee</t>
        </is>
      </c>
      <c r="C3185" s="522" t="inlineStr">
        <is>
          <t>56ប៊ី-លីង សឹបផ្លាយ ឆេន មេនេចម៉ិន ឯ.ក</t>
        </is>
      </c>
      <c r="D3185" s="522" t="inlineStr">
        <is>
          <t>K004-902004795</t>
        </is>
      </c>
      <c r="E3185" s="521" t="inlineStr">
        <is>
          <t>TI2022-0729</t>
        </is>
      </c>
      <c r="F3185" s="523" t="n">
        <v>44826</v>
      </c>
      <c r="G3185" s="556" t="n">
        <v>187642</v>
      </c>
      <c r="I3185" s="521">
        <f>G3185</f>
        <v/>
      </c>
      <c r="K3185" s="521">
        <f>I3185-G3185</f>
        <v/>
      </c>
      <c r="M3185" s="522" t="inlineStr">
        <is>
          <t>TI20220729</t>
        </is>
      </c>
      <c r="N3185" s="522" t="inlineStr">
        <is>
          <t>TI20220729</t>
        </is>
      </c>
      <c r="O3185" s="521">
        <f>M3185=N3185</f>
        <v/>
      </c>
      <c r="P3185" s="521">
        <f>AND(MONTH(F3185)=MONTH(S3185), YEAR(F3185)=YEAR(S3185))</f>
        <v/>
      </c>
      <c r="Q3185" s="521">
        <f>U3185="L001-901905215"</f>
        <v/>
      </c>
      <c r="R3185" s="556">
        <f>G3185-W3185</f>
        <v/>
      </c>
      <c r="S3185" s="523" t="n">
        <v>44826</v>
      </c>
      <c r="T3185" s="522" t="inlineStr">
        <is>
          <t>TI2022-0729</t>
        </is>
      </c>
      <c r="U3185" s="522" t="inlineStr">
        <is>
          <t>L001-901905215</t>
        </is>
      </c>
      <c r="V3185" s="522" t="inlineStr">
        <is>
          <t>វីអ៊ីស៊ិន (ខេមបូឌា) អ៊ិនដាសស្ទ្រី ឯ.ក</t>
        </is>
      </c>
      <c r="W3185" s="556" t="n">
        <v>187642</v>
      </c>
    </row>
    <row r="3186">
      <c r="A3186" s="521" t="n">
        <v>3178</v>
      </c>
      <c r="B3186" s="522" t="inlineStr">
        <is>
          <t>Lift on &amp; Lift off and Gate Fee charge</t>
        </is>
      </c>
      <c r="C3186" s="522" t="inlineStr">
        <is>
          <t>កំពង់ផែស្វយ័តភ្នំពេញ "ក.ស.ភ"</t>
        </is>
      </c>
      <c r="D3186" s="522" t="inlineStr">
        <is>
          <t>L001-100044999</t>
        </is>
      </c>
      <c r="E3186" s="521" t="inlineStr">
        <is>
          <t>INV20220973790</t>
        </is>
      </c>
      <c r="F3186" s="523" t="n">
        <v>44832</v>
      </c>
      <c r="G3186" s="556" t="n">
        <v>29693</v>
      </c>
      <c r="I3186" s="521">
        <f>G3186</f>
        <v/>
      </c>
      <c r="K3186" s="521">
        <f>I3186-G3186</f>
        <v/>
      </c>
      <c r="M3186" s="522" t="inlineStr">
        <is>
          <t>INV20220973790</t>
        </is>
      </c>
      <c r="N3186" s="522" t="inlineStr"/>
      <c r="O3186" s="521">
        <f>M3186=N3186</f>
        <v/>
      </c>
      <c r="P3186" s="521">
        <f>AND(MONTH(F3186)=MONTH(S3186), YEAR(F3186)=YEAR(S3186))</f>
        <v/>
      </c>
      <c r="Q3186" s="521">
        <f>U3186="L001-901905215"</f>
        <v/>
      </c>
      <c r="R3186" s="556">
        <f>G3186-W3186</f>
        <v/>
      </c>
      <c r="S3186" s="521" t="n"/>
      <c r="T3186" s="522" t="n"/>
      <c r="U3186" s="522" t="n"/>
      <c r="V3186" s="522" t="n"/>
      <c r="W3186" s="521" t="n"/>
    </row>
    <row r="3187">
      <c r="A3187" s="521" t="n">
        <v>3179</v>
      </c>
      <c r="B3187" s="522" t="inlineStr">
        <is>
          <t>Clearance &amp; Trucking Fee</t>
        </is>
      </c>
      <c r="C3187" s="522" t="inlineStr">
        <is>
          <t>56ប៊ី-លីង សឹបផ្លាយ ឆេន មេនេចម៉ិន ឯ.ក</t>
        </is>
      </c>
      <c r="D3187" s="522" t="inlineStr">
        <is>
          <t>K004-902004795</t>
        </is>
      </c>
      <c r="E3187" s="521" t="inlineStr">
        <is>
          <t>TI2022-0728</t>
        </is>
      </c>
      <c r="F3187" s="523" t="n">
        <v>44826</v>
      </c>
      <c r="G3187" s="556" t="n">
        <v>274246</v>
      </c>
      <c r="I3187" s="521">
        <f>G3187</f>
        <v/>
      </c>
      <c r="K3187" s="521">
        <f>I3187-G3187</f>
        <v/>
      </c>
      <c r="M3187" s="522" t="inlineStr">
        <is>
          <t>TI20220728</t>
        </is>
      </c>
      <c r="N3187" s="522" t="inlineStr">
        <is>
          <t>TI20220728</t>
        </is>
      </c>
      <c r="O3187" s="521">
        <f>M3187=N3187</f>
        <v/>
      </c>
      <c r="P3187" s="521">
        <f>AND(MONTH(F3187)=MONTH(S3187), YEAR(F3187)=YEAR(S3187))</f>
        <v/>
      </c>
      <c r="Q3187" s="521">
        <f>U3187="L001-901905215"</f>
        <v/>
      </c>
      <c r="R3187" s="556">
        <f>G3187-W3187</f>
        <v/>
      </c>
      <c r="S3187" s="523" t="n">
        <v>44826</v>
      </c>
      <c r="T3187" s="522" t="inlineStr">
        <is>
          <t>TI2022-0728</t>
        </is>
      </c>
      <c r="U3187" s="522" t="inlineStr">
        <is>
          <t>L001-901905215</t>
        </is>
      </c>
      <c r="V3187" s="522" t="inlineStr">
        <is>
          <t>វីអ៊ីស៊ិន (ខេមបូឌា) អ៊ិនដាសស្ទ្រី ឯ.ក</t>
        </is>
      </c>
      <c r="W3187" s="556" t="n">
        <v>274246</v>
      </c>
    </row>
    <row r="3188">
      <c r="A3188" s="521" t="n">
        <v>3180</v>
      </c>
      <c r="B3188" s="522" t="inlineStr">
        <is>
          <t>Clearance &amp; Trucking Fee</t>
        </is>
      </c>
      <c r="C3188" s="522" t="inlineStr">
        <is>
          <t>56ប៊ី-លីង សឹបផ្លាយ ឆេន មេនេចម៉ិន ឯ.ក</t>
        </is>
      </c>
      <c r="D3188" s="522" t="inlineStr">
        <is>
          <t>K004-902004795</t>
        </is>
      </c>
      <c r="E3188" s="521" t="inlineStr">
        <is>
          <t>TI2022-0727</t>
        </is>
      </c>
      <c r="F3188" s="523" t="n">
        <v>44826</v>
      </c>
      <c r="G3188" s="556" t="n">
        <v>187642</v>
      </c>
      <c r="I3188" s="521">
        <f>G3188</f>
        <v/>
      </c>
      <c r="K3188" s="521">
        <f>I3188-G3188</f>
        <v/>
      </c>
      <c r="M3188" s="522" t="inlineStr">
        <is>
          <t>TI20220727</t>
        </is>
      </c>
      <c r="N3188" s="522" t="inlineStr">
        <is>
          <t>TI20220727</t>
        </is>
      </c>
      <c r="O3188" s="521">
        <f>M3188=N3188</f>
        <v/>
      </c>
      <c r="P3188" s="521">
        <f>AND(MONTH(F3188)=MONTH(S3188), YEAR(F3188)=YEAR(S3188))</f>
        <v/>
      </c>
      <c r="Q3188" s="521">
        <f>U3188="L001-901905215"</f>
        <v/>
      </c>
      <c r="R3188" s="556">
        <f>G3188-W3188</f>
        <v/>
      </c>
      <c r="S3188" s="523" t="n">
        <v>44826</v>
      </c>
      <c r="T3188" s="522" t="inlineStr">
        <is>
          <t>TI2022-0727</t>
        </is>
      </c>
      <c r="U3188" s="522" t="inlineStr">
        <is>
          <t>L001-901905215</t>
        </is>
      </c>
      <c r="V3188" s="522" t="inlineStr">
        <is>
          <t>វីអ៊ីស៊ិន (ខេមបូឌា) អ៊ិនដាសស្ទ្រី ឯ.ក</t>
        </is>
      </c>
      <c r="W3188" s="556" t="n">
        <v>187642</v>
      </c>
    </row>
    <row r="3189">
      <c r="A3189" s="521" t="n">
        <v>3181</v>
      </c>
      <c r="B3189" s="522" t="inlineStr">
        <is>
          <t>Clearance &amp; Trucking Fee</t>
        </is>
      </c>
      <c r="C3189" s="522" t="inlineStr">
        <is>
          <t>56ប៊ី-លីង សឹបផ្លាយ ឆេន មេនេចម៉ិន ឯ.ក</t>
        </is>
      </c>
      <c r="D3189" s="522" t="inlineStr">
        <is>
          <t>K004-902004795</t>
        </is>
      </c>
      <c r="E3189" s="521" t="inlineStr">
        <is>
          <t>TI2022-0726</t>
        </is>
      </c>
      <c r="F3189" s="523" t="n">
        <v>44826</v>
      </c>
      <c r="G3189" s="556" t="n">
        <v>195890</v>
      </c>
      <c r="I3189" s="521">
        <f>G3189</f>
        <v/>
      </c>
      <c r="K3189" s="521">
        <f>I3189-G3189</f>
        <v/>
      </c>
      <c r="M3189" s="522" t="inlineStr">
        <is>
          <t>TI20220726</t>
        </is>
      </c>
      <c r="N3189" s="522" t="inlineStr">
        <is>
          <t>TI20220726</t>
        </is>
      </c>
      <c r="O3189" s="521">
        <f>M3189=N3189</f>
        <v/>
      </c>
      <c r="P3189" s="521">
        <f>AND(MONTH(F3189)=MONTH(S3189), YEAR(F3189)=YEAR(S3189))</f>
        <v/>
      </c>
      <c r="Q3189" s="521">
        <f>U3189="L001-901905215"</f>
        <v/>
      </c>
      <c r="R3189" s="556">
        <f>G3189-W3189</f>
        <v/>
      </c>
      <c r="S3189" s="523" t="n">
        <v>44826</v>
      </c>
      <c r="T3189" s="522" t="inlineStr">
        <is>
          <t>TI2022-0726</t>
        </is>
      </c>
      <c r="U3189" s="522" t="inlineStr">
        <is>
          <t>L001-901905215</t>
        </is>
      </c>
      <c r="V3189" s="522" t="inlineStr">
        <is>
          <t>វីអ៊ីស៊ិន (ខេមបូឌា) អ៊ិនដាសស្ទ្រី ឯ.ក</t>
        </is>
      </c>
      <c r="W3189" s="556" t="n">
        <v>195890</v>
      </c>
    </row>
    <row r="3190">
      <c r="A3190" s="521" t="n">
        <v>3182</v>
      </c>
      <c r="B3190" s="522" t="inlineStr">
        <is>
          <t>Clearance &amp; Trucking Fee</t>
        </is>
      </c>
      <c r="C3190" s="522" t="inlineStr">
        <is>
          <t>56ប៊ី-លីង សឹបផ្លាយ ឆេន មេនេចម៉ិន ឯ.ក</t>
        </is>
      </c>
      <c r="D3190" s="522" t="inlineStr">
        <is>
          <t>K004-902004795</t>
        </is>
      </c>
      <c r="E3190" s="521" t="inlineStr">
        <is>
          <t>TI2022-0719</t>
        </is>
      </c>
      <c r="F3190" s="523" t="n">
        <v>44820</v>
      </c>
      <c r="G3190" s="556" t="n">
        <v>187460</v>
      </c>
      <c r="I3190" s="521">
        <f>G3190</f>
        <v/>
      </c>
      <c r="K3190" s="521">
        <f>I3190-G3190</f>
        <v/>
      </c>
      <c r="M3190" s="522" t="inlineStr">
        <is>
          <t>TI20220719</t>
        </is>
      </c>
      <c r="N3190" s="522" t="inlineStr">
        <is>
          <t>TI20220719</t>
        </is>
      </c>
      <c r="O3190" s="521">
        <f>M3190=N3190</f>
        <v/>
      </c>
      <c r="P3190" s="521">
        <f>AND(MONTH(F3190)=MONTH(S3190), YEAR(F3190)=YEAR(S3190))</f>
        <v/>
      </c>
      <c r="Q3190" s="521">
        <f>U3190="L001-901905215"</f>
        <v/>
      </c>
      <c r="R3190" s="556">
        <f>G3190-W3190</f>
        <v/>
      </c>
      <c r="S3190" s="523" t="n">
        <v>44820</v>
      </c>
      <c r="T3190" s="522" t="inlineStr">
        <is>
          <t>TI2022-0719</t>
        </is>
      </c>
      <c r="U3190" s="522" t="inlineStr">
        <is>
          <t>L001-901905215</t>
        </is>
      </c>
      <c r="V3190" s="522" t="inlineStr">
        <is>
          <t>វីអ៊ីស៊ិន (ខេមបូឌា) អ៊ិនដាសស្ទ្រី ឯ.ក</t>
        </is>
      </c>
      <c r="W3190" s="556" t="n">
        <v>187460</v>
      </c>
    </row>
    <row r="3191">
      <c r="A3191" s="521" t="n">
        <v>3183</v>
      </c>
      <c r="B3191" s="522" t="inlineStr">
        <is>
          <t>Lift on &amp; Lift off and Gate Fee charge</t>
        </is>
      </c>
      <c r="C3191" s="522" t="inlineStr">
        <is>
          <t>កំពង់ផែស្វយ័តភ្នំពេញ "ក.ស.ភ"</t>
        </is>
      </c>
      <c r="D3191" s="522" t="inlineStr">
        <is>
          <t>L001-100044999</t>
        </is>
      </c>
      <c r="E3191" s="521" t="inlineStr">
        <is>
          <t>INV202209070849</t>
        </is>
      </c>
      <c r="F3191" s="523" t="n">
        <v>44817</v>
      </c>
      <c r="G3191" s="556" t="n">
        <v>59256</v>
      </c>
      <c r="I3191" s="521">
        <f>G3191</f>
        <v/>
      </c>
      <c r="K3191" s="521">
        <f>I3191-G3191</f>
        <v/>
      </c>
      <c r="M3191" s="522" t="inlineStr">
        <is>
          <t>INV202209070849</t>
        </is>
      </c>
      <c r="N3191" s="522" t="inlineStr"/>
      <c r="O3191" s="521">
        <f>M3191=N3191</f>
        <v/>
      </c>
      <c r="P3191" s="521">
        <f>AND(MONTH(F3191)=MONTH(S3191), YEAR(F3191)=YEAR(S3191))</f>
        <v/>
      </c>
      <c r="Q3191" s="521">
        <f>U3191="L001-901905215"</f>
        <v/>
      </c>
      <c r="R3191" s="556">
        <f>G3191-W3191</f>
        <v/>
      </c>
      <c r="S3191" s="521" t="n"/>
      <c r="T3191" s="522" t="n"/>
      <c r="U3191" s="522" t="n"/>
      <c r="V3191" s="522" t="n"/>
      <c r="W3191" s="521" t="n"/>
    </row>
    <row r="3192">
      <c r="A3192" s="521" t="n">
        <v>3184</v>
      </c>
      <c r="B3192" s="522" t="inlineStr">
        <is>
          <t>Clearance &amp; Trucking Fee</t>
        </is>
      </c>
      <c r="C3192" s="522" t="inlineStr">
        <is>
          <t>56ប៊ី-លីង សឹបផ្លាយ ឆេន មេនេចម៉ិន ឯ.ក</t>
        </is>
      </c>
      <c r="D3192" s="522" t="inlineStr">
        <is>
          <t>K004-902004795</t>
        </is>
      </c>
      <c r="E3192" s="521" t="inlineStr">
        <is>
          <t>TI022-0698</t>
        </is>
      </c>
      <c r="F3192" s="523" t="n">
        <v>44813</v>
      </c>
      <c r="G3192" s="556" t="n">
        <v>490280</v>
      </c>
      <c r="I3192" s="521">
        <f>G3192</f>
        <v/>
      </c>
      <c r="K3192" s="521">
        <f>I3192-G3192</f>
        <v/>
      </c>
      <c r="M3192" s="522" t="inlineStr">
        <is>
          <t>TI0220698</t>
        </is>
      </c>
      <c r="N3192" s="522" t="inlineStr"/>
      <c r="O3192" s="521">
        <f>M3192=N3192</f>
        <v/>
      </c>
      <c r="P3192" s="521">
        <f>AND(MONTH(F3192)=MONTH(S3192), YEAR(F3192)=YEAR(S3192))</f>
        <v/>
      </c>
      <c r="Q3192" s="521">
        <f>U3192="L001-901905215"</f>
        <v/>
      </c>
      <c r="R3192" s="556">
        <f>G3192-W3192</f>
        <v/>
      </c>
      <c r="S3192" s="521" t="n"/>
      <c r="T3192" s="522" t="n"/>
      <c r="U3192" s="522" t="n"/>
      <c r="V3192" s="522" t="n"/>
      <c r="W3192" s="521" t="n"/>
    </row>
    <row r="3193">
      <c r="A3193" s="521" t="n">
        <v>3185</v>
      </c>
      <c r="B3193" s="522" t="inlineStr">
        <is>
          <t>Clearance &amp; Trucking Fee</t>
        </is>
      </c>
      <c r="C3193" s="522" t="inlineStr">
        <is>
          <t>56ប៊ី-លីង សឹបផ្លាយ ឆេន មេនេចម៉ិន ឯ.ក</t>
        </is>
      </c>
      <c r="D3193" s="522" t="inlineStr">
        <is>
          <t>K004-902004795</t>
        </is>
      </c>
      <c r="E3193" s="521" t="inlineStr">
        <is>
          <t>TI2022-0697</t>
        </is>
      </c>
      <c r="F3193" s="523" t="n">
        <v>44813</v>
      </c>
      <c r="G3193" s="556" t="n">
        <v>187460</v>
      </c>
      <c r="I3193" s="521">
        <f>G3193</f>
        <v/>
      </c>
      <c r="K3193" s="521">
        <f>I3193-G3193</f>
        <v/>
      </c>
      <c r="M3193" s="522" t="inlineStr">
        <is>
          <t>TI20220697</t>
        </is>
      </c>
      <c r="N3193" s="522" t="inlineStr">
        <is>
          <t>TI20220697</t>
        </is>
      </c>
      <c r="O3193" s="521">
        <f>M3193=N3193</f>
        <v/>
      </c>
      <c r="P3193" s="521">
        <f>AND(MONTH(F3193)=MONTH(S3193), YEAR(F3193)=YEAR(S3193))</f>
        <v/>
      </c>
      <c r="Q3193" s="521">
        <f>U3193="L001-901905215"</f>
        <v/>
      </c>
      <c r="R3193" s="556">
        <f>G3193-W3193</f>
        <v/>
      </c>
      <c r="S3193" s="523" t="n">
        <v>44813</v>
      </c>
      <c r="T3193" s="522" t="inlineStr">
        <is>
          <t>TI2022-0697</t>
        </is>
      </c>
      <c r="U3193" s="522" t="inlineStr">
        <is>
          <t>L001-901905215</t>
        </is>
      </c>
      <c r="V3193" s="522" t="inlineStr">
        <is>
          <t>វីអ៊ីស៊ិន (ខេមបូឌា) អ៊ិនដាសស្ទ្រី ឯ.ក</t>
        </is>
      </c>
      <c r="W3193" s="556" t="n">
        <v>187460</v>
      </c>
    </row>
    <row r="3194">
      <c r="A3194" s="521" t="n">
        <v>3186</v>
      </c>
      <c r="B3194" s="522" t="inlineStr">
        <is>
          <t>Clearance &amp; Trucking Fee</t>
        </is>
      </c>
      <c r="C3194" s="522" t="inlineStr">
        <is>
          <t>56ប៊ី-លីង សឹបផ្លាយ ឆេន មេនេចម៉ិន ឯ.ក</t>
        </is>
      </c>
      <c r="D3194" s="522" t="inlineStr">
        <is>
          <t>K004-902004795</t>
        </is>
      </c>
      <c r="E3194" s="521" t="inlineStr">
        <is>
          <t>TI2022-0696</t>
        </is>
      </c>
      <c r="F3194" s="523" t="n">
        <v>44813</v>
      </c>
      <c r="G3194" s="556" t="n">
        <v>187460</v>
      </c>
      <c r="I3194" s="521">
        <f>G3194</f>
        <v/>
      </c>
      <c r="K3194" s="521">
        <f>I3194-G3194</f>
        <v/>
      </c>
      <c r="M3194" s="522" t="inlineStr">
        <is>
          <t>TI20220696</t>
        </is>
      </c>
      <c r="N3194" s="522" t="inlineStr">
        <is>
          <t>TI20220696</t>
        </is>
      </c>
      <c r="O3194" s="521">
        <f>M3194=N3194</f>
        <v/>
      </c>
      <c r="P3194" s="521">
        <f>AND(MONTH(F3194)=MONTH(S3194), YEAR(F3194)=YEAR(S3194))</f>
        <v/>
      </c>
      <c r="Q3194" s="521">
        <f>U3194="L001-901905215"</f>
        <v/>
      </c>
      <c r="R3194" s="556">
        <f>G3194-W3194</f>
        <v/>
      </c>
      <c r="S3194" s="523" t="n">
        <v>44813</v>
      </c>
      <c r="T3194" s="522" t="inlineStr">
        <is>
          <t>TI2022-0696</t>
        </is>
      </c>
      <c r="U3194" s="522" t="inlineStr">
        <is>
          <t>L001-901905215</t>
        </is>
      </c>
      <c r="V3194" s="522" t="inlineStr">
        <is>
          <t>វីអ៊ីស៊ិន (ខេមបូឌា) អ៊ិនដាសស្ទ្រី ឯ.ក</t>
        </is>
      </c>
      <c r="W3194" s="556" t="n">
        <v>187460</v>
      </c>
    </row>
    <row r="3195">
      <c r="A3195" s="521" t="n">
        <v>3187</v>
      </c>
      <c r="B3195" s="522" t="inlineStr">
        <is>
          <t>Clearance &amp; Trucking Fee</t>
        </is>
      </c>
      <c r="C3195" s="522" t="inlineStr">
        <is>
          <t>56ប៊ី-លីង សឹបផ្លាយ ឆេន មេនេចម៉ិន ឯ.ក</t>
        </is>
      </c>
      <c r="D3195" s="522" t="inlineStr">
        <is>
          <t>K004-902004795</t>
        </is>
      </c>
      <c r="E3195" s="521" t="inlineStr">
        <is>
          <t>TI2022-0688</t>
        </is>
      </c>
      <c r="F3195" s="523" t="n">
        <v>44806</v>
      </c>
      <c r="G3195" s="556" t="n">
        <v>195653</v>
      </c>
      <c r="I3195" s="521">
        <f>G3195</f>
        <v/>
      </c>
      <c r="K3195" s="521">
        <f>I3195-G3195</f>
        <v/>
      </c>
      <c r="M3195" s="522" t="inlineStr">
        <is>
          <t>TI20220688</t>
        </is>
      </c>
      <c r="N3195" s="522" t="inlineStr">
        <is>
          <t>TI20220688</t>
        </is>
      </c>
      <c r="O3195" s="521">
        <f>M3195=N3195</f>
        <v/>
      </c>
      <c r="P3195" s="521">
        <f>AND(MONTH(F3195)=MONTH(S3195), YEAR(F3195)=YEAR(S3195))</f>
        <v/>
      </c>
      <c r="Q3195" s="521">
        <f>U3195="L001-901905215"</f>
        <v/>
      </c>
      <c r="R3195" s="556">
        <f>G3195-W3195</f>
        <v/>
      </c>
      <c r="S3195" s="523" t="n">
        <v>44806</v>
      </c>
      <c r="T3195" s="522" t="inlineStr">
        <is>
          <t>TI2022-0688</t>
        </is>
      </c>
      <c r="U3195" s="522" t="inlineStr">
        <is>
          <t>L001-901905215</t>
        </is>
      </c>
      <c r="V3195" s="522" t="inlineStr">
        <is>
          <t>វីអ៊ីស៊ិន (ខេមបូឌា) អ៊ិនដាសស្ទ្រី ឯ.ក</t>
        </is>
      </c>
      <c r="W3195" s="556" t="n">
        <v>195653</v>
      </c>
    </row>
    <row r="3196">
      <c r="A3196" s="521" t="n">
        <v>3188</v>
      </c>
      <c r="B3196" s="522" t="inlineStr">
        <is>
          <t>Clearance &amp; Trucking Fee</t>
        </is>
      </c>
      <c r="C3196" s="522" t="inlineStr">
        <is>
          <t>56ប៊ី-លីង សឹបផ្លាយ ឆេន មេនេចម៉ិន ឯ.ក</t>
        </is>
      </c>
      <c r="D3196" s="522" t="inlineStr">
        <is>
          <t>K004-902004795</t>
        </is>
      </c>
      <c r="E3196" s="521" t="inlineStr">
        <is>
          <t>TI2022-0687</t>
        </is>
      </c>
      <c r="F3196" s="523" t="n">
        <v>44806</v>
      </c>
      <c r="G3196" s="556" t="n">
        <v>187415</v>
      </c>
      <c r="I3196" s="521">
        <f>G3196</f>
        <v/>
      </c>
      <c r="K3196" s="521">
        <f>I3196-G3196</f>
        <v/>
      </c>
      <c r="M3196" s="522" t="inlineStr">
        <is>
          <t>TI20220687</t>
        </is>
      </c>
      <c r="N3196" s="522" t="inlineStr">
        <is>
          <t>TI20220687</t>
        </is>
      </c>
      <c r="O3196" s="521">
        <f>M3196=N3196</f>
        <v/>
      </c>
      <c r="P3196" s="521">
        <f>AND(MONTH(F3196)=MONTH(S3196), YEAR(F3196)=YEAR(S3196))</f>
        <v/>
      </c>
      <c r="Q3196" s="521">
        <f>U3196="L001-901905215"</f>
        <v/>
      </c>
      <c r="R3196" s="556">
        <f>G3196-W3196</f>
        <v/>
      </c>
      <c r="S3196" s="523" t="n">
        <v>44806</v>
      </c>
      <c r="T3196" s="522" t="inlineStr">
        <is>
          <t>TI2022-0687</t>
        </is>
      </c>
      <c r="U3196" s="522" t="inlineStr">
        <is>
          <t>L001-901905215</t>
        </is>
      </c>
      <c r="V3196" s="522" t="inlineStr">
        <is>
          <t>វីអ៊ីស៊ិន (ខេមបូឌា) អ៊ិនដាសស្ទ្រី ឯ.ក</t>
        </is>
      </c>
      <c r="W3196" s="556" t="n">
        <v>187415</v>
      </c>
    </row>
    <row r="3197">
      <c r="A3197" s="521" t="n">
        <v>3189</v>
      </c>
      <c r="B3197" s="522" t="inlineStr">
        <is>
          <t>Clearance &amp; Trucking Fee</t>
        </is>
      </c>
      <c r="C3197" s="522" t="inlineStr">
        <is>
          <t>56ប៊ី-លីង សឹបផ្លាយ ឆេន មេនេចម៉ិន ឯ.ក</t>
        </is>
      </c>
      <c r="D3197" s="522" t="inlineStr">
        <is>
          <t>K004-902004795</t>
        </is>
      </c>
      <c r="E3197" s="521" t="inlineStr">
        <is>
          <t>TI2022-0686</t>
        </is>
      </c>
      <c r="F3197" s="523" t="n">
        <v>44806</v>
      </c>
      <c r="G3197" s="556" t="n">
        <v>187415</v>
      </c>
      <c r="I3197" s="521">
        <f>G3197</f>
        <v/>
      </c>
      <c r="K3197" s="521">
        <f>I3197-G3197</f>
        <v/>
      </c>
      <c r="M3197" s="522" t="inlineStr">
        <is>
          <t>TI20220686</t>
        </is>
      </c>
      <c r="N3197" s="522" t="inlineStr">
        <is>
          <t>TI20220686</t>
        </is>
      </c>
      <c r="O3197" s="521">
        <f>M3197=N3197</f>
        <v/>
      </c>
      <c r="P3197" s="521">
        <f>AND(MONTH(F3197)=MONTH(S3197), YEAR(F3197)=YEAR(S3197))</f>
        <v/>
      </c>
      <c r="Q3197" s="521">
        <f>U3197="L001-901905215"</f>
        <v/>
      </c>
      <c r="R3197" s="556">
        <f>G3197-W3197</f>
        <v/>
      </c>
      <c r="S3197" s="523" t="n">
        <v>44806</v>
      </c>
      <c r="T3197" s="522" t="inlineStr">
        <is>
          <t>TI2022-0686</t>
        </is>
      </c>
      <c r="U3197" s="522" t="inlineStr">
        <is>
          <t>L001-901905215</t>
        </is>
      </c>
      <c r="V3197" s="522" t="inlineStr">
        <is>
          <t>វីអ៊ីស៊ិន (ខេមបូឌា) អ៊ិនដាសស្ទ្រី ឯ.ក</t>
        </is>
      </c>
      <c r="W3197" s="556" t="n">
        <v>187415</v>
      </c>
    </row>
    <row r="3198">
      <c r="A3198" s="521" t="n">
        <v>3190</v>
      </c>
      <c r="B3198" s="522" t="inlineStr">
        <is>
          <t>Food Fee</t>
        </is>
      </c>
      <c r="C3198" s="522" t="inlineStr">
        <is>
          <t>ខ្មែរ អ៊ិននើវេធីវ សឺវីស ឯ.ក</t>
        </is>
      </c>
      <c r="D3198" s="522" t="inlineStr">
        <is>
          <t>L001-100185800</t>
        </is>
      </c>
      <c r="E3198" s="521" t="inlineStr">
        <is>
          <t>2022-13911</t>
        </is>
      </c>
      <c r="F3198" s="523" t="n">
        <v>44816</v>
      </c>
      <c r="G3198" s="556" t="n">
        <v>27800</v>
      </c>
      <c r="I3198" s="521">
        <f>G3198</f>
        <v/>
      </c>
      <c r="K3198" s="521">
        <f>I3198-G3198</f>
        <v/>
      </c>
      <c r="M3198" s="522" t="inlineStr">
        <is>
          <t>202213911</t>
        </is>
      </c>
      <c r="N3198" s="522" t="inlineStr"/>
      <c r="O3198" s="521">
        <f>M3198=N3198</f>
        <v/>
      </c>
      <c r="P3198" s="521">
        <f>AND(MONTH(F3198)=MONTH(S3198), YEAR(F3198)=YEAR(S3198))</f>
        <v/>
      </c>
      <c r="Q3198" s="521">
        <f>U3198="L001-901905215"</f>
        <v/>
      </c>
      <c r="R3198" s="556">
        <f>G3198-W3198</f>
        <v/>
      </c>
      <c r="S3198" s="521" t="n"/>
      <c r="T3198" s="522" t="n"/>
      <c r="U3198" s="522" t="n"/>
      <c r="V3198" s="522" t="n"/>
      <c r="W3198" s="521" t="n"/>
    </row>
    <row r="3199">
      <c r="A3199" s="521" t="n">
        <v>3191</v>
      </c>
      <c r="B3199" s="522" t="inlineStr">
        <is>
          <t>Food Fee</t>
        </is>
      </c>
      <c r="C3199" s="522" t="inlineStr">
        <is>
          <t>ខ្មែរ អ៊ិននើវេធីវ សឺវីស ឯ.ក</t>
        </is>
      </c>
      <c r="D3199" s="522" t="inlineStr">
        <is>
          <t>L001-100185800</t>
        </is>
      </c>
      <c r="E3199" s="521" t="inlineStr">
        <is>
          <t>2022-13857</t>
        </is>
      </c>
      <c r="F3199" s="523" t="n">
        <v>44814</v>
      </c>
      <c r="G3199" s="556" t="n">
        <v>6200</v>
      </c>
      <c r="I3199" s="521">
        <f>G3199</f>
        <v/>
      </c>
      <c r="K3199" s="521">
        <f>I3199-G3199</f>
        <v/>
      </c>
      <c r="M3199" s="522" t="inlineStr">
        <is>
          <t>202213857</t>
        </is>
      </c>
      <c r="N3199" s="522" t="inlineStr"/>
      <c r="O3199" s="521">
        <f>M3199=N3199</f>
        <v/>
      </c>
      <c r="P3199" s="521">
        <f>AND(MONTH(F3199)=MONTH(S3199), YEAR(F3199)=YEAR(S3199))</f>
        <v/>
      </c>
      <c r="Q3199" s="521">
        <f>U3199="L001-901905215"</f>
        <v/>
      </c>
      <c r="R3199" s="556">
        <f>G3199-W3199</f>
        <v/>
      </c>
      <c r="S3199" s="521" t="n"/>
      <c r="T3199" s="522" t="n"/>
      <c r="U3199" s="522" t="n"/>
      <c r="V3199" s="522" t="n"/>
      <c r="W3199" s="521" t="n"/>
    </row>
    <row r="3200">
      <c r="A3200" s="521" t="n">
        <v>3192</v>
      </c>
      <c r="B3200" s="522" t="inlineStr">
        <is>
          <t>Food Fee</t>
        </is>
      </c>
      <c r="C3200" s="522" t="inlineStr">
        <is>
          <t>ខ្មែរ អ៊ិននើវេធីវ សឺវីស ឯ.ក</t>
        </is>
      </c>
      <c r="D3200" s="522" t="inlineStr">
        <is>
          <t>L001-100185800</t>
        </is>
      </c>
      <c r="E3200" s="521" t="inlineStr">
        <is>
          <t>2022-13619</t>
        </is>
      </c>
      <c r="F3200" s="523" t="n">
        <v>44811</v>
      </c>
      <c r="G3200" s="556" t="n">
        <v>25902</v>
      </c>
      <c r="I3200" s="521">
        <f>G3200</f>
        <v/>
      </c>
      <c r="K3200" s="521">
        <f>I3200-G3200</f>
        <v/>
      </c>
      <c r="M3200" s="522" t="inlineStr">
        <is>
          <t>202213619</t>
        </is>
      </c>
      <c r="N3200" s="522" t="inlineStr"/>
      <c r="O3200" s="521">
        <f>M3200=N3200</f>
        <v/>
      </c>
      <c r="P3200" s="521">
        <f>AND(MONTH(F3200)=MONTH(S3200), YEAR(F3200)=YEAR(S3200))</f>
        <v/>
      </c>
      <c r="Q3200" s="521">
        <f>U3200="L001-901905215"</f>
        <v/>
      </c>
      <c r="R3200" s="556">
        <f>G3200-W3200</f>
        <v/>
      </c>
      <c r="S3200" s="521" t="n"/>
      <c r="T3200" s="522" t="n"/>
      <c r="U3200" s="522" t="n"/>
      <c r="V3200" s="522" t="n"/>
      <c r="W3200" s="521" t="n"/>
    </row>
    <row r="3201">
      <c r="A3201" s="521" t="n">
        <v>3193</v>
      </c>
      <c r="B3201" s="522" t="inlineStr">
        <is>
          <t>Food Fee</t>
        </is>
      </c>
      <c r="C3201" s="522" t="inlineStr">
        <is>
          <t>ខ្មែរ អ៊ិននើវេធីវ សឺវីស ឯ.ក</t>
        </is>
      </c>
      <c r="D3201" s="522" t="inlineStr">
        <is>
          <t>L001-100185800</t>
        </is>
      </c>
      <c r="E3201" s="521" t="inlineStr">
        <is>
          <t>2022-14241</t>
        </is>
      </c>
      <c r="F3201" s="523" t="n">
        <v>44820</v>
      </c>
      <c r="G3201" s="556" t="n">
        <v>12200</v>
      </c>
      <c r="I3201" s="521">
        <f>G3201</f>
        <v/>
      </c>
      <c r="K3201" s="521">
        <f>I3201-G3201</f>
        <v/>
      </c>
      <c r="M3201" s="522" t="inlineStr">
        <is>
          <t>202214241</t>
        </is>
      </c>
      <c r="N3201" s="522" t="inlineStr"/>
      <c r="O3201" s="521">
        <f>M3201=N3201</f>
        <v/>
      </c>
      <c r="P3201" s="521">
        <f>AND(MONTH(F3201)=MONTH(S3201), YEAR(F3201)=YEAR(S3201))</f>
        <v/>
      </c>
      <c r="Q3201" s="521">
        <f>U3201="L001-901905215"</f>
        <v/>
      </c>
      <c r="R3201" s="556">
        <f>G3201-W3201</f>
        <v/>
      </c>
      <c r="S3201" s="521" t="n"/>
      <c r="T3201" s="522" t="n"/>
      <c r="U3201" s="522" t="n"/>
      <c r="V3201" s="522" t="n"/>
      <c r="W3201" s="521" t="n"/>
    </row>
    <row r="3202">
      <c r="A3202" s="521" t="n">
        <v>3194</v>
      </c>
      <c r="B3202" s="522" t="inlineStr">
        <is>
          <t>Food Fee</t>
        </is>
      </c>
      <c r="C3202" s="522" t="inlineStr">
        <is>
          <t>ខ្មែរ អ៊ិននើវេធីវ សឺវីស ឯ.ក</t>
        </is>
      </c>
      <c r="D3202" s="522" t="inlineStr">
        <is>
          <t>L001-100185800</t>
        </is>
      </c>
      <c r="E3202" s="521" t="inlineStr">
        <is>
          <t>2022-14730</t>
        </is>
      </c>
      <c r="F3202" s="523" t="n">
        <v>44832</v>
      </c>
      <c r="G3202" s="556" t="n">
        <v>5000</v>
      </c>
      <c r="I3202" s="521">
        <f>G3202</f>
        <v/>
      </c>
      <c r="K3202" s="521">
        <f>I3202-G3202</f>
        <v/>
      </c>
      <c r="M3202" s="522" t="inlineStr">
        <is>
          <t>202214730</t>
        </is>
      </c>
      <c r="N3202" s="522" t="inlineStr"/>
      <c r="O3202" s="521">
        <f>M3202=N3202</f>
        <v/>
      </c>
      <c r="P3202" s="521">
        <f>AND(MONTH(F3202)=MONTH(S3202), YEAR(F3202)=YEAR(S3202))</f>
        <v/>
      </c>
      <c r="Q3202" s="521">
        <f>U3202="L001-901905215"</f>
        <v/>
      </c>
      <c r="R3202" s="556">
        <f>G3202-W3202</f>
        <v/>
      </c>
      <c r="S3202" s="521" t="n"/>
      <c r="T3202" s="522" t="n"/>
      <c r="U3202" s="522" t="n"/>
      <c r="V3202" s="522" t="n"/>
      <c r="W3202" s="521" t="n"/>
    </row>
    <row r="3203">
      <c r="A3203" s="521" t="n">
        <v>3195</v>
      </c>
      <c r="B3203" s="522" t="inlineStr">
        <is>
          <t>Rental Machine Canon IR-2525</t>
        </is>
      </c>
      <c r="C3203" s="522" t="inlineStr">
        <is>
          <t xml:space="preserve">អិនធីអិល តិចណូឡូជី </t>
        </is>
      </c>
      <c r="D3203" s="522" t="inlineStr">
        <is>
          <t>K005-901900283</t>
        </is>
      </c>
      <c r="E3203" s="521" t="inlineStr">
        <is>
          <t>22-003311</t>
        </is>
      </c>
      <c r="F3203" s="523" t="n">
        <v>44823</v>
      </c>
      <c r="G3203" s="556" t="n">
        <v>27410</v>
      </c>
      <c r="I3203" s="521">
        <f>G3203</f>
        <v/>
      </c>
      <c r="K3203" s="521">
        <f>I3203-G3203</f>
        <v/>
      </c>
      <c r="M3203" s="522" t="inlineStr">
        <is>
          <t>22003311</t>
        </is>
      </c>
      <c r="N3203" s="522" t="inlineStr">
        <is>
          <t>22003311</t>
        </is>
      </c>
      <c r="O3203" s="521">
        <f>M3203=N3203</f>
        <v/>
      </c>
      <c r="P3203" s="521">
        <f>AND(MONTH(F3203)=MONTH(S3203), YEAR(F3203)=YEAR(S3203))</f>
        <v/>
      </c>
      <c r="Q3203" s="521">
        <f>U3203="L001-901905215"</f>
        <v/>
      </c>
      <c r="R3203" s="556">
        <f>G3203-W3203</f>
        <v/>
      </c>
      <c r="S3203" s="523" t="n">
        <v>44823</v>
      </c>
      <c r="T3203" s="522" t="inlineStr">
        <is>
          <t>22-003311</t>
        </is>
      </c>
      <c r="U3203" s="522" t="inlineStr">
        <is>
          <t>L001-901905215</t>
        </is>
      </c>
      <c r="V3203" s="522" t="inlineStr">
        <is>
          <t>វីអ៊ីស៊ិន (ខេមបូឌា) អ៊ិនដាសស្ទ្រី ឯ.ក</t>
        </is>
      </c>
      <c r="W3203" s="556" t="n">
        <v>27410</v>
      </c>
    </row>
    <row r="3204">
      <c r="A3204" s="521" t="n">
        <v>3196</v>
      </c>
      <c r="B3204" s="522" t="inlineStr">
        <is>
          <t>Express Fee</t>
        </is>
      </c>
      <c r="C3204" s="522" t="inlineStr">
        <is>
          <t>ឌី អេច អិល អិចប្រេស (ខេមបូឌា)</t>
        </is>
      </c>
      <c r="D3204" s="522" t="inlineStr">
        <is>
          <t>L001-100045197</t>
        </is>
      </c>
      <c r="E3204" s="521" t="inlineStr">
        <is>
          <t>PHNR000437153</t>
        </is>
      </c>
      <c r="F3204" s="523" t="n">
        <v>44834</v>
      </c>
      <c r="G3204" s="556" t="n">
        <v>106918</v>
      </c>
      <c r="I3204" s="521">
        <f>G3204</f>
        <v/>
      </c>
      <c r="K3204" s="521">
        <f>I3204-G3204</f>
        <v/>
      </c>
      <c r="M3204" s="522" t="inlineStr">
        <is>
          <t>PHNR000437153</t>
        </is>
      </c>
      <c r="N3204" s="522" t="inlineStr"/>
      <c r="O3204" s="521">
        <f>M3204=N3204</f>
        <v/>
      </c>
      <c r="P3204" s="521">
        <f>AND(MONTH(F3204)=MONTH(S3204), YEAR(F3204)=YEAR(S3204))</f>
        <v/>
      </c>
      <c r="Q3204" s="521">
        <f>U3204="L001-901905215"</f>
        <v/>
      </c>
      <c r="R3204" s="556">
        <f>G3204-W3204</f>
        <v/>
      </c>
      <c r="S3204" s="521" t="n"/>
      <c r="T3204" s="522" t="n"/>
      <c r="U3204" s="522" t="n"/>
      <c r="V3204" s="522" t="n"/>
      <c r="W3204" s="521" t="n"/>
    </row>
    <row r="3205">
      <c r="A3205" s="521" t="n">
        <v>3197</v>
      </c>
      <c r="B3205" s="522" t="inlineStr">
        <is>
          <t>Express Fee</t>
        </is>
      </c>
      <c r="C3205" s="522" t="inlineStr">
        <is>
          <t>ឌី អេច អិល អិចប្រេស (ខេមបូឌា)</t>
        </is>
      </c>
      <c r="D3205" s="522" t="inlineStr">
        <is>
          <t>L001-100045197</t>
        </is>
      </c>
      <c r="E3205" s="521" t="inlineStr">
        <is>
          <t>PHNR000436419</t>
        </is>
      </c>
      <c r="F3205" s="523" t="n">
        <v>44826</v>
      </c>
      <c r="G3205" s="556" t="n">
        <v>205062</v>
      </c>
      <c r="I3205" s="521">
        <f>G3205</f>
        <v/>
      </c>
      <c r="K3205" s="521">
        <f>I3205-G3205</f>
        <v/>
      </c>
      <c r="M3205" s="522" t="inlineStr">
        <is>
          <t>PHNR000436419</t>
        </is>
      </c>
      <c r="N3205" s="522" t="inlineStr"/>
      <c r="O3205" s="521">
        <f>M3205=N3205</f>
        <v/>
      </c>
      <c r="P3205" s="521">
        <f>AND(MONTH(F3205)=MONTH(S3205), YEAR(F3205)=YEAR(S3205))</f>
        <v/>
      </c>
      <c r="Q3205" s="521">
        <f>U3205="L001-901905215"</f>
        <v/>
      </c>
      <c r="R3205" s="556">
        <f>G3205-W3205</f>
        <v/>
      </c>
      <c r="S3205" s="521" t="n"/>
      <c r="T3205" s="522" t="n"/>
      <c r="U3205" s="522" t="n"/>
      <c r="V3205" s="522" t="n"/>
      <c r="W3205" s="521" t="n"/>
    </row>
    <row r="3206">
      <c r="A3206" s="521" t="n">
        <v>3198</v>
      </c>
      <c r="B3206" s="522" t="inlineStr">
        <is>
          <t>Express Fee</t>
        </is>
      </c>
      <c r="C3206" s="522" t="inlineStr">
        <is>
          <t>ឌី អេច អិល អិចប្រេស (ខេមបូឌា)</t>
        </is>
      </c>
      <c r="D3206" s="522" t="inlineStr">
        <is>
          <t>L001-100045197</t>
        </is>
      </c>
      <c r="E3206" s="521" t="inlineStr">
        <is>
          <t>PHNR000435682</t>
        </is>
      </c>
      <c r="F3206" s="523" t="n">
        <v>44819</v>
      </c>
      <c r="G3206" s="556" t="n">
        <v>40370</v>
      </c>
      <c r="I3206" s="521">
        <f>G3206</f>
        <v/>
      </c>
      <c r="K3206" s="521">
        <f>I3206-G3206</f>
        <v/>
      </c>
      <c r="M3206" s="522" t="inlineStr">
        <is>
          <t>PHNR000435682</t>
        </is>
      </c>
      <c r="N3206" s="522" t="inlineStr"/>
      <c r="O3206" s="521">
        <f>M3206=N3206</f>
        <v/>
      </c>
      <c r="P3206" s="521">
        <f>AND(MONTH(F3206)=MONTH(S3206), YEAR(F3206)=YEAR(S3206))</f>
        <v/>
      </c>
      <c r="Q3206" s="521">
        <f>U3206="L001-901905215"</f>
        <v/>
      </c>
      <c r="R3206" s="556">
        <f>G3206-W3206</f>
        <v/>
      </c>
      <c r="S3206" s="521" t="n"/>
      <c r="T3206" s="522" t="n"/>
      <c r="U3206" s="522" t="n"/>
      <c r="V3206" s="522" t="n"/>
      <c r="W3206" s="521" t="n"/>
    </row>
    <row r="3207">
      <c r="A3207" s="521" t="n">
        <v>3199</v>
      </c>
      <c r="B3207" s="522" t="inlineStr">
        <is>
          <t>Express Fee</t>
        </is>
      </c>
      <c r="C3207" s="522" t="inlineStr">
        <is>
          <t>ឌី អេច អិល អិចប្រេស (ខេមបូឌា)</t>
        </is>
      </c>
      <c r="D3207" s="522" t="inlineStr">
        <is>
          <t>L001-100045197</t>
        </is>
      </c>
      <c r="E3207" s="521" t="inlineStr">
        <is>
          <t>PNHR000434868</t>
        </is>
      </c>
      <c r="F3207" s="523" t="n">
        <v>44812</v>
      </c>
      <c r="G3207" s="556" t="n">
        <v>10329</v>
      </c>
      <c r="I3207" s="521">
        <f>G3207</f>
        <v/>
      </c>
      <c r="K3207" s="521">
        <f>I3207-G3207</f>
        <v/>
      </c>
      <c r="M3207" s="522" t="inlineStr">
        <is>
          <t>PNHR000434868</t>
        </is>
      </c>
      <c r="N3207" s="522" t="inlineStr">
        <is>
          <t>PNHR000434868</t>
        </is>
      </c>
      <c r="O3207" s="521">
        <f>M3207=N3207</f>
        <v/>
      </c>
      <c r="P3207" s="521">
        <f>AND(MONTH(F3207)=MONTH(S3207), YEAR(F3207)=YEAR(S3207))</f>
        <v/>
      </c>
      <c r="Q3207" s="521">
        <f>U3207="L001-901905215"</f>
        <v/>
      </c>
      <c r="R3207" s="556">
        <f>G3207-W3207</f>
        <v/>
      </c>
      <c r="S3207" s="523" t="n">
        <v>44812</v>
      </c>
      <c r="T3207" s="522" t="inlineStr">
        <is>
          <t>PNHR000434868.</t>
        </is>
      </c>
      <c r="U3207" s="522" t="inlineStr">
        <is>
          <t>L001-901905215</t>
        </is>
      </c>
      <c r="V3207" s="522" t="inlineStr">
        <is>
          <t>វីអ៊ីស៊ិន (ខេមបូឌា) អ៊ិនដាសស្ទ្រី ឯ.ក</t>
        </is>
      </c>
      <c r="W3207" s="556" t="n">
        <v>0</v>
      </c>
    </row>
    <row r="3208">
      <c r="A3208" s="521" t="n">
        <v>3200</v>
      </c>
      <c r="B3208" s="522" t="inlineStr">
        <is>
          <t>Express Fee</t>
        </is>
      </c>
      <c r="C3208" s="522" t="inlineStr">
        <is>
          <t>ឌី អេច អិល អិចប្រេស (ខេមបូឌា)</t>
        </is>
      </c>
      <c r="D3208" s="522" t="inlineStr">
        <is>
          <t>L001-100045197</t>
        </is>
      </c>
      <c r="E3208" s="521" t="inlineStr">
        <is>
          <t>PNHIR00145355</t>
        </is>
      </c>
      <c r="F3208" s="523" t="n">
        <v>44834</v>
      </c>
      <c r="G3208" s="556" t="n">
        <v>3302</v>
      </c>
      <c r="I3208" s="521">
        <f>G3208</f>
        <v/>
      </c>
      <c r="K3208" s="521">
        <f>I3208-G3208</f>
        <v/>
      </c>
      <c r="M3208" s="522" t="inlineStr">
        <is>
          <t>PNHIR00145355</t>
        </is>
      </c>
      <c r="N3208" s="522" t="inlineStr">
        <is>
          <t>PNHIR00145355</t>
        </is>
      </c>
      <c r="O3208" s="521">
        <f>M3208=N3208</f>
        <v/>
      </c>
      <c r="P3208" s="521">
        <f>AND(MONTH(F3208)=MONTH(S3208), YEAR(F3208)=YEAR(S3208))</f>
        <v/>
      </c>
      <c r="Q3208" s="521">
        <f>U3208="L001-901905215"</f>
        <v/>
      </c>
      <c r="R3208" s="556">
        <f>G3208-W3208</f>
        <v/>
      </c>
      <c r="S3208" s="523" t="n">
        <v>44834</v>
      </c>
      <c r="T3208" s="522" t="inlineStr">
        <is>
          <t>PNHIR00145355.</t>
        </is>
      </c>
      <c r="U3208" s="522" t="inlineStr">
        <is>
          <t>L001-901905215</t>
        </is>
      </c>
      <c r="V3208" s="522" t="inlineStr">
        <is>
          <t>វីអ៊ីស៊ិន (ខេមបូឌា) អ៊ិនដាសស្ទ្រី ឯ.ក</t>
        </is>
      </c>
      <c r="W3208" s="556" t="n">
        <v>0</v>
      </c>
    </row>
    <row r="3209">
      <c r="A3209" s="521" t="n">
        <v>3201</v>
      </c>
      <c r="B3209" s="522" t="inlineStr">
        <is>
          <t>Express Fee</t>
        </is>
      </c>
      <c r="C3209" s="522" t="inlineStr">
        <is>
          <t>ឌី អេច អិល អិចប្រេស (ខេមបូឌា)</t>
        </is>
      </c>
      <c r="D3209" s="522" t="inlineStr">
        <is>
          <t>L001-100045197</t>
        </is>
      </c>
      <c r="E3209" s="521" t="inlineStr">
        <is>
          <t>PNHIR00145005</t>
        </is>
      </c>
      <c r="F3209" s="523" t="n">
        <v>44830</v>
      </c>
      <c r="G3209" s="556" t="n">
        <v>4949</v>
      </c>
      <c r="I3209" s="521">
        <f>G3209</f>
        <v/>
      </c>
      <c r="K3209" s="521">
        <f>I3209-G3209</f>
        <v/>
      </c>
      <c r="M3209" s="522" t="inlineStr">
        <is>
          <t>PNHIR00145005</t>
        </is>
      </c>
      <c r="N3209" s="522" t="inlineStr">
        <is>
          <t>PNHIR00145005</t>
        </is>
      </c>
      <c r="O3209" s="521">
        <f>M3209=N3209</f>
        <v/>
      </c>
      <c r="P3209" s="521">
        <f>AND(MONTH(F3209)=MONTH(S3209), YEAR(F3209)=YEAR(S3209))</f>
        <v/>
      </c>
      <c r="Q3209" s="521">
        <f>U3209="L001-901905215"</f>
        <v/>
      </c>
      <c r="R3209" s="556">
        <f>G3209-W3209</f>
        <v/>
      </c>
      <c r="S3209" s="523" t="n">
        <v>44830</v>
      </c>
      <c r="T3209" s="522" t="inlineStr">
        <is>
          <t>PNHIR00145005</t>
        </is>
      </c>
      <c r="U3209" s="522" t="inlineStr">
        <is>
          <t>L001-901905215</t>
        </is>
      </c>
      <c r="V3209" s="522" t="inlineStr">
        <is>
          <t>វីអ៊ីស៊ិន (ខេមបូឌា) អ៊ិនដាសស្ទ្រី ឯ.ក</t>
        </is>
      </c>
      <c r="W3209" s="556" t="n">
        <v>4949</v>
      </c>
    </row>
    <row r="3210">
      <c r="A3210" s="521" t="n">
        <v>3202</v>
      </c>
      <c r="B3210" s="522" t="inlineStr">
        <is>
          <t>Express Fee</t>
        </is>
      </c>
      <c r="C3210" s="522" t="inlineStr">
        <is>
          <t>ឌី អេច អិល អិចប្រេស (ខេមបូឌា)</t>
        </is>
      </c>
      <c r="D3210" s="522" t="inlineStr">
        <is>
          <t>L001-100045197</t>
        </is>
      </c>
      <c r="E3210" s="521" t="inlineStr">
        <is>
          <t>PNHIR00144709</t>
        </is>
      </c>
      <c r="F3210" s="523" t="n">
        <v>44826</v>
      </c>
      <c r="G3210" s="556" t="n">
        <v>1650</v>
      </c>
      <c r="I3210" s="521">
        <f>G3210</f>
        <v/>
      </c>
      <c r="K3210" s="521">
        <f>I3210-G3210</f>
        <v/>
      </c>
      <c r="M3210" s="522" t="inlineStr">
        <is>
          <t>PNHIR00144709</t>
        </is>
      </c>
      <c r="N3210" s="522" t="inlineStr">
        <is>
          <t>PNHIR00144709</t>
        </is>
      </c>
      <c r="O3210" s="521">
        <f>M3210=N3210</f>
        <v/>
      </c>
      <c r="P3210" s="521">
        <f>AND(MONTH(F3210)=MONTH(S3210), YEAR(F3210)=YEAR(S3210))</f>
        <v/>
      </c>
      <c r="Q3210" s="521">
        <f>U3210="L001-901905215"</f>
        <v/>
      </c>
      <c r="R3210" s="556">
        <f>G3210-W3210</f>
        <v/>
      </c>
      <c r="S3210" s="523" t="n">
        <v>44826</v>
      </c>
      <c r="T3210" s="522" t="inlineStr">
        <is>
          <t>PNHIR00144709.</t>
        </is>
      </c>
      <c r="U3210" s="522" t="inlineStr">
        <is>
          <t>L001-901905215</t>
        </is>
      </c>
      <c r="V3210" s="522" t="inlineStr">
        <is>
          <t>វីអ៊ីស៊ិន (ខេមបូឌា) អ៊ិនដាសស្ទ្រី ឯ.ក</t>
        </is>
      </c>
      <c r="W3210" s="556" t="n">
        <v>0</v>
      </c>
    </row>
    <row r="3211">
      <c r="A3211" s="521" t="n">
        <v>3203</v>
      </c>
      <c r="B3211" s="522" t="inlineStr">
        <is>
          <t>Express Fee</t>
        </is>
      </c>
      <c r="C3211" s="522" t="inlineStr">
        <is>
          <t>ឌី អេច អិល អិចប្រេស (ខេមបូឌា)</t>
        </is>
      </c>
      <c r="D3211" s="522" t="inlineStr">
        <is>
          <t>L001-100045197</t>
        </is>
      </c>
      <c r="E3211" s="521" t="inlineStr">
        <is>
          <t>PNHIR00144568</t>
        </is>
      </c>
      <c r="F3211" s="523" t="n">
        <v>44823</v>
      </c>
      <c r="G3211" s="556" t="n">
        <v>1559</v>
      </c>
      <c r="I3211" s="521">
        <f>G3211</f>
        <v/>
      </c>
      <c r="K3211" s="521">
        <f>I3211-G3211</f>
        <v/>
      </c>
      <c r="M3211" s="522" t="inlineStr">
        <is>
          <t>PNHIR00144568</t>
        </is>
      </c>
      <c r="N3211" s="522" t="inlineStr">
        <is>
          <t>PNHIR00144568</t>
        </is>
      </c>
      <c r="O3211" s="521">
        <f>M3211=N3211</f>
        <v/>
      </c>
      <c r="P3211" s="521">
        <f>AND(MONTH(F3211)=MONTH(S3211), YEAR(F3211)=YEAR(S3211))</f>
        <v/>
      </c>
      <c r="Q3211" s="521">
        <f>U3211="L001-901905215"</f>
        <v/>
      </c>
      <c r="R3211" s="556">
        <f>G3211-W3211</f>
        <v/>
      </c>
      <c r="S3211" s="523" t="n">
        <v>44823</v>
      </c>
      <c r="T3211" s="522" t="inlineStr">
        <is>
          <t>PNHIR00144568</t>
        </is>
      </c>
      <c r="U3211" s="522" t="inlineStr">
        <is>
          <t>L001-901905215</t>
        </is>
      </c>
      <c r="V3211" s="522" t="inlineStr">
        <is>
          <t>វីអ៊ីស៊ិន (ខេមបូឌា) អ៊ិនដាសស្ទ្រី ឯ.ក</t>
        </is>
      </c>
      <c r="W3211" s="556" t="n">
        <v>1650</v>
      </c>
    </row>
    <row r="3212">
      <c r="A3212" s="521" t="n">
        <v>3204</v>
      </c>
      <c r="B3212" s="522" t="inlineStr">
        <is>
          <t>Express Fee</t>
        </is>
      </c>
      <c r="C3212" s="522" t="inlineStr">
        <is>
          <t>ឌី អេច អិល អិចប្រេស (ខេមបូឌា)</t>
        </is>
      </c>
      <c r="D3212" s="522" t="inlineStr">
        <is>
          <t>L001-100045197</t>
        </is>
      </c>
      <c r="E3212" s="521" t="inlineStr">
        <is>
          <t>PNHIR00144543</t>
        </is>
      </c>
      <c r="F3212" s="523" t="n">
        <v>44820</v>
      </c>
      <c r="G3212" s="556" t="n">
        <v>1648</v>
      </c>
      <c r="I3212" s="521">
        <f>G3212</f>
        <v/>
      </c>
      <c r="K3212" s="521">
        <f>I3212-G3212</f>
        <v/>
      </c>
      <c r="M3212" s="522" t="inlineStr">
        <is>
          <t>PNHIR00144543</t>
        </is>
      </c>
      <c r="N3212" s="522" t="inlineStr">
        <is>
          <t>PNHIR00144543</t>
        </is>
      </c>
      <c r="O3212" s="521">
        <f>M3212=N3212</f>
        <v/>
      </c>
      <c r="P3212" s="521">
        <f>AND(MONTH(F3212)=MONTH(S3212), YEAR(F3212)=YEAR(S3212))</f>
        <v/>
      </c>
      <c r="Q3212" s="521">
        <f>U3212="L001-901905215"</f>
        <v/>
      </c>
      <c r="R3212" s="556">
        <f>G3212-W3212</f>
        <v/>
      </c>
      <c r="S3212" s="523" t="n">
        <v>44820</v>
      </c>
      <c r="T3212" s="522" t="inlineStr">
        <is>
          <t>PNHIR00144543.</t>
        </is>
      </c>
      <c r="U3212" s="522" t="inlineStr">
        <is>
          <t>L001-901905215</t>
        </is>
      </c>
      <c r="V3212" s="522" t="inlineStr">
        <is>
          <t>វីអ៊ីស៊ិន (ខេមបូឌា) អ៊ិនដាសស្ទ្រី ឯ.ក</t>
        </is>
      </c>
      <c r="W3212" s="556" t="n">
        <v>0</v>
      </c>
    </row>
    <row r="3213">
      <c r="A3213" s="521" t="n">
        <v>3205</v>
      </c>
      <c r="B3213" s="522" t="inlineStr">
        <is>
          <t>Building Rental charge for Sep 2022</t>
        </is>
      </c>
      <c r="C3213" s="522" t="inlineStr">
        <is>
          <t>មេហ្គា លេបឹល &amp; ស្ទីកឃើរ (ខេមបូឌា)</t>
        </is>
      </c>
      <c r="D3213" s="522" t="inlineStr">
        <is>
          <t>L001-100185983</t>
        </is>
      </c>
      <c r="E3213" s="521" t="inlineStr">
        <is>
          <t>INV20220901</t>
        </is>
      </c>
      <c r="F3213" s="523" t="n">
        <v>44805</v>
      </c>
      <c r="G3213" s="556" t="n">
        <v>1415534</v>
      </c>
      <c r="I3213" s="521">
        <f>G3213</f>
        <v/>
      </c>
      <c r="K3213" s="521">
        <f>I3213-G3213</f>
        <v/>
      </c>
      <c r="M3213" s="522" t="inlineStr">
        <is>
          <t>INV20220901</t>
        </is>
      </c>
      <c r="N3213" s="522" t="inlineStr"/>
      <c r="O3213" s="521">
        <f>M3213=N3213</f>
        <v/>
      </c>
      <c r="P3213" s="521">
        <f>AND(MONTH(F3213)=MONTH(S3213), YEAR(F3213)=YEAR(S3213))</f>
        <v/>
      </c>
      <c r="Q3213" s="521">
        <f>U3213="L001-901905215"</f>
        <v/>
      </c>
      <c r="R3213" s="556">
        <f>G3213-W3213</f>
        <v/>
      </c>
      <c r="S3213" s="521" t="n"/>
      <c r="T3213" s="522" t="n"/>
      <c r="U3213" s="522" t="n"/>
      <c r="V3213" s="522" t="n"/>
      <c r="W3213" s="521" t="n"/>
    </row>
    <row r="3214">
      <c r="A3214" s="521" t="n">
        <v>3206</v>
      </c>
      <c r="B3214" s="522" t="inlineStr">
        <is>
          <t>Security Guard</t>
        </is>
      </c>
      <c r="C3214" s="522" t="inlineStr">
        <is>
          <t>អេសអេហ្វអាយ​ ស៊ីឃ្យួរឹធី ហ្វសស៍ អ៊ិនធើណេសិនណល ឯ.ក</t>
        </is>
      </c>
      <c r="D3214" s="522" t="inlineStr">
        <is>
          <t>K010-901908100</t>
        </is>
      </c>
      <c r="E3214" s="521" t="inlineStr">
        <is>
          <t>SFI2022/329</t>
        </is>
      </c>
      <c r="F3214" s="523" t="n">
        <v>44832</v>
      </c>
      <c r="G3214" s="556" t="n">
        <v>230944</v>
      </c>
      <c r="I3214" s="521">
        <f>G3214</f>
        <v/>
      </c>
      <c r="K3214" s="521">
        <f>I3214-G3214</f>
        <v/>
      </c>
      <c r="M3214" s="522" t="inlineStr">
        <is>
          <t>SFI2022329</t>
        </is>
      </c>
      <c r="N3214" s="522" t="inlineStr">
        <is>
          <t>SFI2022329</t>
        </is>
      </c>
      <c r="O3214" s="521">
        <f>M3214=N3214</f>
        <v/>
      </c>
      <c r="P3214" s="521">
        <f>AND(MONTH(F3214)=MONTH(S3214), YEAR(F3214)=YEAR(S3214))</f>
        <v/>
      </c>
      <c r="Q3214" s="521">
        <f>U3214="L001-901905215"</f>
        <v/>
      </c>
      <c r="R3214" s="556">
        <f>G3214-W3214</f>
        <v/>
      </c>
      <c r="S3214" s="523" t="n">
        <v>44832</v>
      </c>
      <c r="T3214" s="522" t="inlineStr">
        <is>
          <t>SFI2022/329</t>
        </is>
      </c>
      <c r="U3214" s="522" t="inlineStr">
        <is>
          <t>L001-901905215</t>
        </is>
      </c>
      <c r="V3214" s="522" t="inlineStr">
        <is>
          <t>វីអ៊ីស៊ិន (ខេមបូឌា) អ៊ិនដាសស្ទ្រី ឯ.ក</t>
        </is>
      </c>
      <c r="W3214" s="556" t="n">
        <v>231112</v>
      </c>
    </row>
    <row r="3215">
      <c r="A3215" s="521" t="n">
        <v>3207</v>
      </c>
      <c r="B3215" s="522" t="inlineStr">
        <is>
          <t>Infrastructure Maintenance fee for Sep 2022</t>
        </is>
      </c>
      <c r="C3215" s="522" t="inlineStr">
        <is>
          <t>ភ្នំពេញ អេសអ៊ីហ្សិត ភីអិលស៊ី</t>
        </is>
      </c>
      <c r="D3215" s="522" t="inlineStr">
        <is>
          <t>L001-100046592</t>
        </is>
      </c>
      <c r="E3215" s="521" t="inlineStr">
        <is>
          <t>2022-04589</t>
        </is>
      </c>
      <c r="F3215" s="523" t="n">
        <v>44821</v>
      </c>
      <c r="G3215" s="556" t="n">
        <v>166811</v>
      </c>
      <c r="I3215" s="521">
        <f>G3215</f>
        <v/>
      </c>
      <c r="K3215" s="521">
        <f>I3215-G3215</f>
        <v/>
      </c>
      <c r="M3215" s="522" t="inlineStr">
        <is>
          <t>202204589</t>
        </is>
      </c>
      <c r="N3215" s="522" t="inlineStr">
        <is>
          <t>202204589</t>
        </is>
      </c>
      <c r="O3215" s="521">
        <f>M3215=N3215</f>
        <v/>
      </c>
      <c r="P3215" s="521">
        <f>AND(MONTH(F3215)=MONTH(S3215), YEAR(F3215)=YEAR(S3215))</f>
        <v/>
      </c>
      <c r="Q3215" s="521">
        <f>U3215="L001-901905215"</f>
        <v/>
      </c>
      <c r="R3215" s="556">
        <f>G3215-W3215</f>
        <v/>
      </c>
      <c r="S3215" s="523" t="n">
        <v>44821</v>
      </c>
      <c r="T3215" s="522" t="inlineStr">
        <is>
          <t>2022-04589</t>
        </is>
      </c>
      <c r="U3215" s="522" t="inlineStr">
        <is>
          <t>L001-901905215</t>
        </is>
      </c>
      <c r="V3215" s="522" t="inlineStr">
        <is>
          <t>វីអ៊ីស៊ិន (ខេមបូឌា) អ៊ិនដាសស្ទ្រី ឯ.ក</t>
        </is>
      </c>
      <c r="W3215" s="556" t="n">
        <v>166811</v>
      </c>
    </row>
    <row r="3216">
      <c r="A3216" s="521" t="n">
        <v>3208</v>
      </c>
      <c r="B3216" s="522" t="inlineStr">
        <is>
          <t>Infrastructure Maintenance fee for Sep 2022</t>
        </is>
      </c>
      <c r="C3216" s="522" t="inlineStr">
        <is>
          <t>ភ្នំពេញ អេសអ៊ីហ្សិត ភីអិលស៊ី</t>
        </is>
      </c>
      <c r="D3216" s="522" t="inlineStr">
        <is>
          <t>L001-100046592</t>
        </is>
      </c>
      <c r="E3216" s="521" t="inlineStr">
        <is>
          <t>2022-04580</t>
        </is>
      </c>
      <c r="F3216" s="523" t="n">
        <v>44821</v>
      </c>
      <c r="G3216" s="556" t="n">
        <v>203101</v>
      </c>
      <c r="I3216" s="521">
        <f>G3216</f>
        <v/>
      </c>
      <c r="K3216" s="521">
        <f>I3216-G3216</f>
        <v/>
      </c>
      <c r="M3216" s="522" t="inlineStr">
        <is>
          <t>202204580</t>
        </is>
      </c>
      <c r="N3216" s="522" t="inlineStr">
        <is>
          <t>202204580</t>
        </is>
      </c>
      <c r="O3216" s="521">
        <f>M3216=N3216</f>
        <v/>
      </c>
      <c r="P3216" s="521">
        <f>AND(MONTH(F3216)=MONTH(S3216), YEAR(F3216)=YEAR(S3216))</f>
        <v/>
      </c>
      <c r="Q3216" s="521">
        <f>U3216="L001-901905215"</f>
        <v/>
      </c>
      <c r="R3216" s="556">
        <f>G3216-W3216</f>
        <v/>
      </c>
      <c r="S3216" s="523" t="n">
        <v>44821</v>
      </c>
      <c r="T3216" s="522" t="inlineStr">
        <is>
          <t>2022-04580</t>
        </is>
      </c>
      <c r="U3216" s="522" t="inlineStr">
        <is>
          <t>L001-901905215</t>
        </is>
      </c>
      <c r="V3216" s="522" t="inlineStr">
        <is>
          <t>វីអ៊ីស៊ិន (ខេមបូឌា) អ៊ិនដាសស្ទ្រី ឯ.ក</t>
        </is>
      </c>
      <c r="W3216" s="556" t="n">
        <v>203101</v>
      </c>
    </row>
    <row r="3217">
      <c r="A3217" s="521" t="n">
        <v>3209</v>
      </c>
      <c r="B3217" s="522" t="inlineStr">
        <is>
          <t>Sampling and Travel Fee</t>
        </is>
      </c>
      <c r="C3217" s="522" t="inlineStr">
        <is>
          <t>អេសជីអេស (ខេមបូឌា) លីមីធីត</t>
        </is>
      </c>
      <c r="D3217" s="522" t="inlineStr">
        <is>
          <t>L001-107030519</t>
        </is>
      </c>
      <c r="E3217" s="521" t="inlineStr">
        <is>
          <t>10021858</t>
        </is>
      </c>
      <c r="F3217" s="523" t="n">
        <v>44832</v>
      </c>
      <c r="G3217" s="556" t="n">
        <v>107636</v>
      </c>
      <c r="I3217" s="521">
        <f>G3217</f>
        <v/>
      </c>
      <c r="K3217" s="521">
        <f>I3217-G3217</f>
        <v/>
      </c>
      <c r="M3217" s="522" t="inlineStr">
        <is>
          <t>10021858</t>
        </is>
      </c>
      <c r="N3217" s="522" t="inlineStr">
        <is>
          <t>10021858</t>
        </is>
      </c>
      <c r="O3217" s="521">
        <f>M3217=N3217</f>
        <v/>
      </c>
      <c r="P3217" s="521">
        <f>AND(MONTH(F3217)=MONTH(S3217), YEAR(F3217)=YEAR(S3217))</f>
        <v/>
      </c>
      <c r="Q3217" s="521">
        <f>U3217="L001-901905215"</f>
        <v/>
      </c>
      <c r="R3217" s="556">
        <f>G3217-W3217</f>
        <v/>
      </c>
      <c r="S3217" s="523" t="n">
        <v>44832</v>
      </c>
      <c r="T3217" s="522" t="inlineStr">
        <is>
          <t>10021858</t>
        </is>
      </c>
      <c r="U3217" s="522" t="inlineStr">
        <is>
          <t>L001-901905215</t>
        </is>
      </c>
      <c r="V3217" s="522" t="inlineStr">
        <is>
          <t>វីអ៊ីស៊ិន (ខេមបូឌា) អ៊ិនដាសស្ទ្រី ឯ.ក</t>
        </is>
      </c>
      <c r="W3217" s="556" t="n">
        <v>107636</v>
      </c>
    </row>
    <row r="3218">
      <c r="A3218" s="521" t="n">
        <v>3210</v>
      </c>
      <c r="B3218" s="522" t="inlineStr">
        <is>
          <t>Sampling and Travel Fee</t>
        </is>
      </c>
      <c r="C3218" s="522" t="inlineStr">
        <is>
          <t>អេសជីអេស (ខេមបូឌា) លីមីធីត</t>
        </is>
      </c>
      <c r="D3218" s="522" t="inlineStr">
        <is>
          <t>L001-107030519</t>
        </is>
      </c>
      <c r="E3218" s="521" t="inlineStr">
        <is>
          <t>10021803</t>
        </is>
      </c>
      <c r="F3218" s="523" t="n">
        <v>44826</v>
      </c>
      <c r="G3218" s="556" t="n">
        <v>107636</v>
      </c>
      <c r="I3218" s="521">
        <f>G3218</f>
        <v/>
      </c>
      <c r="K3218" s="521">
        <f>I3218-G3218</f>
        <v/>
      </c>
      <c r="M3218" s="522" t="inlineStr">
        <is>
          <t>10021803</t>
        </is>
      </c>
      <c r="N3218" s="522" t="inlineStr">
        <is>
          <t>10021803</t>
        </is>
      </c>
      <c r="O3218" s="521">
        <f>M3218=N3218</f>
        <v/>
      </c>
      <c r="P3218" s="521">
        <f>AND(MONTH(F3218)=MONTH(S3218), YEAR(F3218)=YEAR(S3218))</f>
        <v/>
      </c>
      <c r="Q3218" s="521">
        <f>U3218="L001-901905215"</f>
        <v/>
      </c>
      <c r="R3218" s="556">
        <f>G3218-W3218</f>
        <v/>
      </c>
      <c r="S3218" s="523" t="n">
        <v>44826</v>
      </c>
      <c r="T3218" s="522" t="inlineStr">
        <is>
          <t>10021803</t>
        </is>
      </c>
      <c r="U3218" s="522" t="inlineStr">
        <is>
          <t>L001-901905215</t>
        </is>
      </c>
      <c r="V3218" s="522" t="inlineStr">
        <is>
          <t>វីអ៊ីស៊ិន (ខេមបូឌា) អ៊ិនដាសស្ទ្រី ឯ.ក</t>
        </is>
      </c>
      <c r="W3218" s="556" t="n">
        <v>107636</v>
      </c>
    </row>
    <row r="3219">
      <c r="A3219" s="521" t="n">
        <v>3211</v>
      </c>
      <c r="B3219" s="522" t="inlineStr">
        <is>
          <t>Sampling and Travel Fee</t>
        </is>
      </c>
      <c r="C3219" s="522" t="inlineStr">
        <is>
          <t>អេសជីអេស (ខេមបូឌា) លីមីធីត</t>
        </is>
      </c>
      <c r="D3219" s="522" t="inlineStr">
        <is>
          <t>L001-107030519</t>
        </is>
      </c>
      <c r="E3219" s="521" t="inlineStr">
        <is>
          <t>10021802</t>
        </is>
      </c>
      <c r="F3219" s="523" t="n">
        <v>44826</v>
      </c>
      <c r="G3219" s="556" t="n">
        <v>107636</v>
      </c>
      <c r="I3219" s="521">
        <f>G3219</f>
        <v/>
      </c>
      <c r="K3219" s="521">
        <f>I3219-G3219</f>
        <v/>
      </c>
      <c r="M3219" s="522" t="inlineStr">
        <is>
          <t>10021802</t>
        </is>
      </c>
      <c r="N3219" s="522" t="inlineStr">
        <is>
          <t>10021802</t>
        </is>
      </c>
      <c r="O3219" s="521">
        <f>M3219=N3219</f>
        <v/>
      </c>
      <c r="P3219" s="521">
        <f>AND(MONTH(F3219)=MONTH(S3219), YEAR(F3219)=YEAR(S3219))</f>
        <v/>
      </c>
      <c r="Q3219" s="521">
        <f>U3219="L001-901905215"</f>
        <v/>
      </c>
      <c r="R3219" s="556">
        <f>G3219-W3219</f>
        <v/>
      </c>
      <c r="S3219" s="523" t="n">
        <v>44826</v>
      </c>
      <c r="T3219" s="522" t="inlineStr">
        <is>
          <t>10021802</t>
        </is>
      </c>
      <c r="U3219" s="522" t="inlineStr">
        <is>
          <t>L001-901905215</t>
        </is>
      </c>
      <c r="V3219" s="522" t="inlineStr">
        <is>
          <t>វីអ៊ីស៊ិន (ខេមបូឌា) អ៊ិនដាសស្ទ្រី ឯ.ក</t>
        </is>
      </c>
      <c r="W3219" s="556" t="n">
        <v>107636</v>
      </c>
    </row>
    <row r="3220">
      <c r="A3220" s="521" t="n">
        <v>3212</v>
      </c>
      <c r="B3220" s="522" t="inlineStr">
        <is>
          <t>Sampling and Travel Fee</t>
        </is>
      </c>
      <c r="C3220" s="522" t="inlineStr">
        <is>
          <t>អេសជីអេស (ខេមបូឌា) លីមីធីត</t>
        </is>
      </c>
      <c r="D3220" s="522" t="inlineStr">
        <is>
          <t>L001-107030519</t>
        </is>
      </c>
      <c r="E3220" s="521" t="inlineStr">
        <is>
          <t>10021733</t>
        </is>
      </c>
      <c r="F3220" s="523" t="n">
        <v>44825</v>
      </c>
      <c r="G3220" s="556" t="n">
        <v>107636</v>
      </c>
      <c r="I3220" s="521">
        <f>G3220</f>
        <v/>
      </c>
      <c r="K3220" s="521">
        <f>I3220-G3220</f>
        <v/>
      </c>
      <c r="M3220" s="522" t="inlineStr">
        <is>
          <t>10021733</t>
        </is>
      </c>
      <c r="N3220" s="522" t="inlineStr">
        <is>
          <t>10021733</t>
        </is>
      </c>
      <c r="O3220" s="521">
        <f>M3220=N3220</f>
        <v/>
      </c>
      <c r="P3220" s="521">
        <f>AND(MONTH(F3220)=MONTH(S3220), YEAR(F3220)=YEAR(S3220))</f>
        <v/>
      </c>
      <c r="Q3220" s="521">
        <f>U3220="L001-901905215"</f>
        <v/>
      </c>
      <c r="R3220" s="556">
        <f>G3220-W3220</f>
        <v/>
      </c>
      <c r="S3220" s="523" t="n">
        <v>44825</v>
      </c>
      <c r="T3220" s="522" t="inlineStr">
        <is>
          <t>10021733</t>
        </is>
      </c>
      <c r="U3220" s="522" t="inlineStr">
        <is>
          <t>L001-901905215</t>
        </is>
      </c>
      <c r="V3220" s="522" t="inlineStr">
        <is>
          <t>វីអ៊ីស៊ិន (ខេមបូឌា) អ៊ិនដាសស្ទ្រី ឯ.ក</t>
        </is>
      </c>
      <c r="W3220" s="556" t="n">
        <v>107636</v>
      </c>
    </row>
    <row r="3221">
      <c r="A3221" s="521" t="n">
        <v>3213</v>
      </c>
      <c r="B3221" s="522" t="inlineStr">
        <is>
          <t>Service Fee</t>
        </is>
      </c>
      <c r="C3221" s="522" t="inlineStr">
        <is>
          <t>ប្យួរ៉ូ វេរីតាស (ខេមបូឌា) លីមីធីត</t>
        </is>
      </c>
      <c r="D3221" s="522" t="inlineStr">
        <is>
          <t>L001-107024462</t>
        </is>
      </c>
      <c r="E3221" s="521" t="inlineStr">
        <is>
          <t>59013389</t>
        </is>
      </c>
      <c r="F3221" s="523" t="n">
        <v>44823</v>
      </c>
      <c r="G3221" s="556" t="n">
        <v>216510</v>
      </c>
      <c r="I3221" s="521">
        <f>G3221</f>
        <v/>
      </c>
      <c r="K3221" s="521">
        <f>I3221-G3221</f>
        <v/>
      </c>
      <c r="M3221" s="522" t="inlineStr">
        <is>
          <t>59013389</t>
        </is>
      </c>
      <c r="N3221" s="522" t="inlineStr">
        <is>
          <t>59013389</t>
        </is>
      </c>
      <c r="O3221" s="521">
        <f>M3221=N3221</f>
        <v/>
      </c>
      <c r="P3221" s="521">
        <f>AND(MONTH(F3221)=MONTH(S3221), YEAR(F3221)=YEAR(S3221))</f>
        <v/>
      </c>
      <c r="Q3221" s="521">
        <f>U3221="L001-901905215"</f>
        <v/>
      </c>
      <c r="R3221" s="556">
        <f>G3221-W3221</f>
        <v/>
      </c>
      <c r="S3221" s="523" t="n">
        <v>44823</v>
      </c>
      <c r="T3221" s="522" t="inlineStr">
        <is>
          <t>59013389</t>
        </is>
      </c>
      <c r="U3221" s="522" t="inlineStr">
        <is>
          <t>L001-901905215</t>
        </is>
      </c>
      <c r="V3221" s="522" t="inlineStr">
        <is>
          <t>វីអ៊ីស៊ិន (ខេមបូឌា) អ៊ិនដាសស្ទ្រី ឯ.ក</t>
        </is>
      </c>
      <c r="W3221" s="556" t="n">
        <v>216510</v>
      </c>
    </row>
    <row r="3222">
      <c r="A3222" s="521" t="n">
        <v>3214</v>
      </c>
      <c r="B3222" s="522" t="inlineStr">
        <is>
          <t>Service Fee</t>
        </is>
      </c>
      <c r="C3222" s="522" t="inlineStr">
        <is>
          <t>ប្យួរ៉ូ វេរីតាស (ខេមបូឌា) លីមីធីត</t>
        </is>
      </c>
      <c r="D3222" s="522" t="inlineStr">
        <is>
          <t>L001-107024462</t>
        </is>
      </c>
      <c r="E3222" s="521" t="inlineStr">
        <is>
          <t>59013466</t>
        </is>
      </c>
      <c r="F3222" s="523" t="n">
        <v>44834</v>
      </c>
      <c r="G3222" s="556" t="n">
        <v>55902</v>
      </c>
      <c r="I3222" s="521">
        <f>G3222</f>
        <v/>
      </c>
      <c r="K3222" s="521">
        <f>I3222-G3222</f>
        <v/>
      </c>
      <c r="M3222" s="522" t="inlineStr">
        <is>
          <t>59013466</t>
        </is>
      </c>
      <c r="N3222" s="522" t="inlineStr">
        <is>
          <t>59013466</t>
        </is>
      </c>
      <c r="O3222" s="521">
        <f>M3222=N3222</f>
        <v/>
      </c>
      <c r="P3222" s="521">
        <f>AND(MONTH(F3222)=MONTH(S3222), YEAR(F3222)=YEAR(S3222))</f>
        <v/>
      </c>
      <c r="Q3222" s="521">
        <f>U3222="L001-901905215"</f>
        <v/>
      </c>
      <c r="R3222" s="556">
        <f>G3222-W3222</f>
        <v/>
      </c>
      <c r="S3222" s="523" t="n">
        <v>44834</v>
      </c>
      <c r="T3222" s="522" t="inlineStr">
        <is>
          <t>59013466</t>
        </is>
      </c>
      <c r="U3222" s="522" t="inlineStr">
        <is>
          <t>L001-901905215</t>
        </is>
      </c>
      <c r="V3222" s="522" t="inlineStr">
        <is>
          <t>វីអ៊ីស៊ិន (ខេមបូឌា) អ៊ិនដាសស្ទ្រី ឯ.ក</t>
        </is>
      </c>
      <c r="W3222" s="556" t="n">
        <v>55902</v>
      </c>
    </row>
    <row r="3223">
      <c r="A3223" s="521" t="n">
        <v>3215</v>
      </c>
      <c r="B3223" s="522" t="inlineStr">
        <is>
          <t>Service Fee</t>
        </is>
      </c>
      <c r="C3223" s="522" t="inlineStr">
        <is>
          <t>ប្យួរ៉ូ វេរីតាស (ខេមបូឌា) លីមីធីត</t>
        </is>
      </c>
      <c r="D3223" s="522" t="inlineStr">
        <is>
          <t>L001-107024462</t>
        </is>
      </c>
      <c r="E3223" s="521" t="inlineStr">
        <is>
          <t>59013452</t>
        </is>
      </c>
      <c r="F3223" s="523" t="n">
        <v>44833</v>
      </c>
      <c r="G3223" s="556" t="n">
        <v>55875</v>
      </c>
      <c r="I3223" s="521">
        <f>G3223</f>
        <v/>
      </c>
      <c r="K3223" s="521">
        <f>I3223-G3223</f>
        <v/>
      </c>
      <c r="M3223" s="522" t="inlineStr">
        <is>
          <t>59013452</t>
        </is>
      </c>
      <c r="N3223" s="522" t="inlineStr">
        <is>
          <t>59013452</t>
        </is>
      </c>
      <c r="O3223" s="521">
        <f>M3223=N3223</f>
        <v/>
      </c>
      <c r="P3223" s="521">
        <f>AND(MONTH(F3223)=MONTH(S3223), YEAR(F3223)=YEAR(S3223))</f>
        <v/>
      </c>
      <c r="Q3223" s="521">
        <f>U3223="L001-901905215"</f>
        <v/>
      </c>
      <c r="R3223" s="556">
        <f>G3223-W3223</f>
        <v/>
      </c>
      <c r="S3223" s="523" t="n">
        <v>44833</v>
      </c>
      <c r="T3223" s="522" t="inlineStr">
        <is>
          <t>59013452</t>
        </is>
      </c>
      <c r="U3223" s="522" t="inlineStr">
        <is>
          <t>L001-901905215</t>
        </is>
      </c>
      <c r="V3223" s="522" t="inlineStr">
        <is>
          <t>វីអ៊ីស៊ិន (ខេមបូឌា) អ៊ិនដាសស្ទ្រី ឯ.ក</t>
        </is>
      </c>
      <c r="W3223" s="556" t="n">
        <v>55875</v>
      </c>
    </row>
    <row r="3224">
      <c r="A3224" s="521" t="n">
        <v>3216</v>
      </c>
      <c r="B3224" s="522" t="inlineStr">
        <is>
          <t>Service Fee</t>
        </is>
      </c>
      <c r="C3224" s="522" t="inlineStr">
        <is>
          <t>ប្យួរ៉ូ វេរីតាស (ខេមបូឌា) លីមីធីត</t>
        </is>
      </c>
      <c r="D3224" s="522" t="inlineStr">
        <is>
          <t>L001-107024462</t>
        </is>
      </c>
      <c r="E3224" s="521" t="inlineStr">
        <is>
          <t>59013374</t>
        </is>
      </c>
      <c r="F3224" s="523" t="n">
        <v>44821</v>
      </c>
      <c r="G3224" s="556" t="n">
        <v>55807</v>
      </c>
      <c r="I3224" s="521">
        <f>G3224</f>
        <v/>
      </c>
      <c r="K3224" s="521">
        <f>I3224-G3224</f>
        <v/>
      </c>
      <c r="M3224" s="522" t="inlineStr">
        <is>
          <t>59013374</t>
        </is>
      </c>
      <c r="N3224" s="522" t="inlineStr">
        <is>
          <t>59013374</t>
        </is>
      </c>
      <c r="O3224" s="521">
        <f>M3224=N3224</f>
        <v/>
      </c>
      <c r="P3224" s="521">
        <f>AND(MONTH(F3224)=MONTH(S3224), YEAR(F3224)=YEAR(S3224))</f>
        <v/>
      </c>
      <c r="Q3224" s="521">
        <f>U3224="L001-901905215"</f>
        <v/>
      </c>
      <c r="R3224" s="556">
        <f>G3224-W3224</f>
        <v/>
      </c>
      <c r="S3224" s="523" t="n">
        <v>44821</v>
      </c>
      <c r="T3224" s="522" t="inlineStr">
        <is>
          <t>59013374</t>
        </is>
      </c>
      <c r="U3224" s="522" t="inlineStr">
        <is>
          <t>L001-901905215</t>
        </is>
      </c>
      <c r="V3224" s="522" t="inlineStr">
        <is>
          <t>វីអ៊ីស៊ិន (ខេមបូឌា) អ៊ិនដាសស្ទ្រី ឯ.ក</t>
        </is>
      </c>
      <c r="W3224" s="556" t="n">
        <v>55807</v>
      </c>
    </row>
    <row r="3225">
      <c r="A3225" s="521" t="n">
        <v>3217</v>
      </c>
      <c r="B3225" s="522" t="inlineStr">
        <is>
          <t>Service Fee</t>
        </is>
      </c>
      <c r="C3225" s="522" t="inlineStr">
        <is>
          <t>ប្យួរ៉ូ វេរីតាស (ខេមបូឌា) លីមីធីត</t>
        </is>
      </c>
      <c r="D3225" s="522" t="inlineStr">
        <is>
          <t>L001-107024462</t>
        </is>
      </c>
      <c r="E3225" s="521" t="inlineStr">
        <is>
          <t>59013267</t>
        </is>
      </c>
      <c r="F3225" s="523" t="n">
        <v>44809</v>
      </c>
      <c r="G3225" s="556" t="n">
        <v>55848</v>
      </c>
      <c r="I3225" s="521">
        <f>G3225</f>
        <v/>
      </c>
      <c r="K3225" s="521">
        <f>I3225-G3225</f>
        <v/>
      </c>
      <c r="M3225" s="522" t="inlineStr">
        <is>
          <t>59013267</t>
        </is>
      </c>
      <c r="N3225" s="522" t="inlineStr">
        <is>
          <t>59013267</t>
        </is>
      </c>
      <c r="O3225" s="521">
        <f>M3225=N3225</f>
        <v/>
      </c>
      <c r="P3225" s="521">
        <f>AND(MONTH(F3225)=MONTH(S3225), YEAR(F3225)=YEAR(S3225))</f>
        <v/>
      </c>
      <c r="Q3225" s="521">
        <f>U3225="L001-901905215"</f>
        <v/>
      </c>
      <c r="R3225" s="556">
        <f>G3225-W3225</f>
        <v/>
      </c>
      <c r="S3225" s="523" t="n">
        <v>44809</v>
      </c>
      <c r="T3225" s="522" t="inlineStr">
        <is>
          <t>59013267</t>
        </is>
      </c>
      <c r="U3225" s="522" t="inlineStr">
        <is>
          <t>L001-901905215</t>
        </is>
      </c>
      <c r="V3225" s="522" t="inlineStr">
        <is>
          <t>វីអ៊ីស៊ិន (ខេមបូឌា) អ៊ិនដាសស្ទ្រី ឯ.ក</t>
        </is>
      </c>
      <c r="W3225" s="556" t="n">
        <v>55848</v>
      </c>
    </row>
    <row r="3226">
      <c r="A3226" s="521" t="n">
        <v>3218</v>
      </c>
      <c r="B3226" s="522" t="n"/>
      <c r="C3226" s="522" t="inlineStr">
        <is>
          <t>សហ័ស សិឃ្យូរិធី ឯ.ក</t>
        </is>
      </c>
      <c r="D3226" s="522" t="inlineStr">
        <is>
          <t>K010-107032600</t>
        </is>
      </c>
      <c r="E3226" s="521" t="inlineStr">
        <is>
          <t>20190984</t>
        </is>
      </c>
      <c r="F3226" s="523" t="n">
        <v>43760</v>
      </c>
      <c r="G3226" s="556" t="n">
        <v>294363</v>
      </c>
      <c r="I3226" s="521">
        <f>G3226</f>
        <v/>
      </c>
      <c r="K3226" s="521">
        <f>I3226-G3226</f>
        <v/>
      </c>
      <c r="M3226" s="522" t="inlineStr">
        <is>
          <t>20190984</t>
        </is>
      </c>
      <c r="N3226" s="522" t="inlineStr">
        <is>
          <t>20190984</t>
        </is>
      </c>
      <c r="O3226" s="521">
        <f>M3226=N3226</f>
        <v/>
      </c>
      <c r="P3226" s="521">
        <f>AND(MONTH(F3226)=MONTH(S3226), YEAR(F3226)=YEAR(S3226))</f>
        <v/>
      </c>
      <c r="Q3226" s="521">
        <f>U3226="L001-901905215"</f>
        <v/>
      </c>
      <c r="R3226" s="556">
        <f>G3226-W3226</f>
        <v/>
      </c>
      <c r="S3226" s="523" t="n">
        <v>43760</v>
      </c>
      <c r="T3226" s="522" t="inlineStr">
        <is>
          <t>20190984</t>
        </is>
      </c>
      <c r="U3226" s="522" t="inlineStr">
        <is>
          <t>L001-901905215</t>
        </is>
      </c>
      <c r="V3226" s="522" t="inlineStr">
        <is>
          <t>វីអ៊ីស៊ិន (ខេមបូឌា) អ៊ិនដាសស្ទ្រី ឯ.ក</t>
        </is>
      </c>
      <c r="W3226" s="556" t="n">
        <v>292281</v>
      </c>
    </row>
    <row r="3227">
      <c r="A3227" s="521" t="n">
        <v>3219</v>
      </c>
      <c r="B3227" s="522" t="n"/>
      <c r="C3227" s="522" t="inlineStr">
        <is>
          <t>ថេកអេស៊ីស៊ី ផេភើរ សឺវីស ខនសាល់ធេន ឯ.ក</t>
        </is>
      </c>
      <c r="D3227" s="522" t="inlineStr">
        <is>
          <t>K004-901801112</t>
        </is>
      </c>
      <c r="E3227" s="521" t="inlineStr">
        <is>
          <t>000102</t>
        </is>
      </c>
      <c r="F3227" s="523" t="n">
        <v>43752</v>
      </c>
      <c r="G3227" s="556" t="n">
        <v>162680</v>
      </c>
      <c r="I3227" s="521">
        <f>G3227</f>
        <v/>
      </c>
      <c r="K3227" s="521">
        <f>I3227-G3227</f>
        <v/>
      </c>
      <c r="M3227" s="522" t="inlineStr">
        <is>
          <t>000102</t>
        </is>
      </c>
      <c r="N3227" s="522" t="inlineStr"/>
      <c r="O3227" s="521">
        <f>M3227=N3227</f>
        <v/>
      </c>
      <c r="P3227" s="521">
        <f>AND(MONTH(F3227)=MONTH(S3227), YEAR(F3227)=YEAR(S3227))</f>
        <v/>
      </c>
      <c r="Q3227" s="521">
        <f>U3227="L001-901905215"</f>
        <v/>
      </c>
      <c r="R3227" s="556">
        <f>G3227-W3227</f>
        <v/>
      </c>
      <c r="S3227" s="521" t="n"/>
      <c r="T3227" s="522" t="n"/>
      <c r="U3227" s="522" t="n"/>
      <c r="V3227" s="522" t="n"/>
      <c r="W3227" s="521" t="n"/>
    </row>
    <row r="3228">
      <c r="A3228" s="521" t="n">
        <v>3220</v>
      </c>
      <c r="B3228" s="522" t="n"/>
      <c r="C3228" s="522" t="inlineStr">
        <is>
          <t>កំពង់ផែស្វយ័តក្រុងព្រះសីហនុ</t>
        </is>
      </c>
      <c r="D3228" s="522" t="inlineStr">
        <is>
          <t>L001-100044638</t>
        </is>
      </c>
      <c r="E3228" s="521" t="inlineStr">
        <is>
          <t>192192</t>
        </is>
      </c>
      <c r="F3228" s="523" t="n">
        <v>43757</v>
      </c>
      <c r="G3228" s="556" t="n">
        <v>57345</v>
      </c>
      <c r="I3228" s="521">
        <f>G3228</f>
        <v/>
      </c>
      <c r="K3228" s="521">
        <f>I3228-G3228</f>
        <v/>
      </c>
      <c r="M3228" s="522" t="inlineStr">
        <is>
          <t>192192</t>
        </is>
      </c>
      <c r="N3228" s="522" t="inlineStr"/>
      <c r="O3228" s="521">
        <f>M3228=N3228</f>
        <v/>
      </c>
      <c r="P3228" s="521">
        <f>AND(MONTH(F3228)=MONTH(S3228), YEAR(F3228)=YEAR(S3228))</f>
        <v/>
      </c>
      <c r="Q3228" s="521">
        <f>U3228="L001-901905215"</f>
        <v/>
      </c>
      <c r="R3228" s="556">
        <f>G3228-W3228</f>
        <v/>
      </c>
      <c r="S3228" s="521" t="n"/>
      <c r="T3228" s="522" t="n"/>
      <c r="U3228" s="522" t="n"/>
      <c r="V3228" s="522" t="n"/>
      <c r="W3228" s="521" t="n"/>
    </row>
    <row r="3229">
      <c r="A3229" s="521" t="n">
        <v>3221</v>
      </c>
      <c r="B3229" s="522" t="n"/>
      <c r="C3229" s="522" t="inlineStr">
        <is>
          <t>កំពង់ផែស្វយ័តក្រុងព្រះសីហនុ</t>
        </is>
      </c>
      <c r="D3229" s="522" t="inlineStr">
        <is>
          <t>L001-100044638</t>
        </is>
      </c>
      <c r="E3229" s="521" t="inlineStr">
        <is>
          <t>192189</t>
        </is>
      </c>
      <c r="F3229" s="523" t="n">
        <v>43757</v>
      </c>
      <c r="G3229" s="556" t="n">
        <v>54905</v>
      </c>
      <c r="I3229" s="521">
        <f>G3229</f>
        <v/>
      </c>
      <c r="K3229" s="521">
        <f>I3229-G3229</f>
        <v/>
      </c>
      <c r="M3229" s="522" t="inlineStr">
        <is>
          <t>192189</t>
        </is>
      </c>
      <c r="N3229" s="522" t="inlineStr"/>
      <c r="O3229" s="521">
        <f>M3229=N3229</f>
        <v/>
      </c>
      <c r="P3229" s="521">
        <f>AND(MONTH(F3229)=MONTH(S3229), YEAR(F3229)=YEAR(S3229))</f>
        <v/>
      </c>
      <c r="Q3229" s="521">
        <f>U3229="L001-901905215"</f>
        <v/>
      </c>
      <c r="R3229" s="556">
        <f>G3229-W3229</f>
        <v/>
      </c>
      <c r="S3229" s="521" t="n"/>
      <c r="T3229" s="522" t="n"/>
      <c r="U3229" s="522" t="n"/>
      <c r="V3229" s="522" t="n"/>
      <c r="W3229" s="521" t="n"/>
    </row>
    <row r="3230">
      <c r="A3230" s="521" t="n">
        <v>3222</v>
      </c>
      <c r="B3230" s="522" t="n"/>
      <c r="C3230" s="522" t="inlineStr">
        <is>
          <t>កំពង់ផែស្វយ័តក្រុងព្រះសីហនុ</t>
        </is>
      </c>
      <c r="D3230" s="522" t="inlineStr">
        <is>
          <t>L001-100044638</t>
        </is>
      </c>
      <c r="E3230" s="521" t="inlineStr">
        <is>
          <t>189159</t>
        </is>
      </c>
      <c r="F3230" s="523" t="n">
        <v>43754</v>
      </c>
      <c r="G3230" s="556" t="n">
        <v>4880</v>
      </c>
      <c r="I3230" s="521">
        <f>G3230</f>
        <v/>
      </c>
      <c r="K3230" s="521">
        <f>I3230-G3230</f>
        <v/>
      </c>
      <c r="M3230" s="522" t="inlineStr">
        <is>
          <t>189159</t>
        </is>
      </c>
      <c r="N3230" s="522" t="inlineStr"/>
      <c r="O3230" s="521">
        <f>M3230=N3230</f>
        <v/>
      </c>
      <c r="P3230" s="521">
        <f>AND(MONTH(F3230)=MONTH(S3230), YEAR(F3230)=YEAR(S3230))</f>
        <v/>
      </c>
      <c r="Q3230" s="521">
        <f>U3230="L001-901905215"</f>
        <v/>
      </c>
      <c r="R3230" s="556">
        <f>G3230-W3230</f>
        <v/>
      </c>
      <c r="S3230" s="521" t="n"/>
      <c r="T3230" s="522" t="n"/>
      <c r="U3230" s="522" t="n"/>
      <c r="V3230" s="522" t="n"/>
      <c r="W3230" s="521" t="n"/>
    </row>
    <row r="3231">
      <c r="A3231" s="521" t="n">
        <v>3223</v>
      </c>
      <c r="B3231" s="522" t="n"/>
      <c r="C3231" s="522" t="inlineStr">
        <is>
          <t>កំពង់ផែស្វយ័តក្រុងព្រះសីហនុ</t>
        </is>
      </c>
      <c r="D3231" s="522" t="inlineStr">
        <is>
          <t>L001-100044638</t>
        </is>
      </c>
      <c r="E3231" s="521" t="inlineStr">
        <is>
          <t>189157</t>
        </is>
      </c>
      <c r="F3231" s="523" t="n">
        <v>43754</v>
      </c>
      <c r="G3231" s="556" t="n">
        <v>2440</v>
      </c>
      <c r="I3231" s="521">
        <f>G3231</f>
        <v/>
      </c>
      <c r="K3231" s="521">
        <f>I3231-G3231</f>
        <v/>
      </c>
      <c r="M3231" s="522" t="inlineStr">
        <is>
          <t>189157</t>
        </is>
      </c>
      <c r="N3231" s="522" t="inlineStr"/>
      <c r="O3231" s="521">
        <f>M3231=N3231</f>
        <v/>
      </c>
      <c r="P3231" s="521">
        <f>AND(MONTH(F3231)=MONTH(S3231), YEAR(F3231)=YEAR(S3231))</f>
        <v/>
      </c>
      <c r="Q3231" s="521">
        <f>U3231="L001-901905215"</f>
        <v/>
      </c>
      <c r="R3231" s="556">
        <f>G3231-W3231</f>
        <v/>
      </c>
      <c r="S3231" s="521" t="n"/>
      <c r="T3231" s="522" t="n"/>
      <c r="U3231" s="522" t="n"/>
      <c r="V3231" s="522" t="n"/>
      <c r="W3231" s="521" t="n"/>
    </row>
    <row r="3232">
      <c r="A3232" s="521" t="n">
        <v>3224</v>
      </c>
      <c r="B3232" s="522" t="n"/>
      <c r="C3232" s="522" t="inlineStr">
        <is>
          <t>កំពង់ផែស្វយ័តក្រុងព្រះសីហនុ</t>
        </is>
      </c>
      <c r="D3232" s="522" t="inlineStr">
        <is>
          <t>L001-100044638</t>
        </is>
      </c>
      <c r="E3232" s="521" t="inlineStr">
        <is>
          <t>189156</t>
        </is>
      </c>
      <c r="F3232" s="523" t="n">
        <v>43754</v>
      </c>
      <c r="G3232" s="556" t="n">
        <v>2440</v>
      </c>
      <c r="I3232" s="521">
        <f>G3232</f>
        <v/>
      </c>
      <c r="K3232" s="521">
        <f>I3232-G3232</f>
        <v/>
      </c>
      <c r="M3232" s="522" t="inlineStr">
        <is>
          <t>189156</t>
        </is>
      </c>
      <c r="N3232" s="522" t="inlineStr"/>
      <c r="O3232" s="521">
        <f>M3232=N3232</f>
        <v/>
      </c>
      <c r="P3232" s="521">
        <f>AND(MONTH(F3232)=MONTH(S3232), YEAR(F3232)=YEAR(S3232))</f>
        <v/>
      </c>
      <c r="Q3232" s="521">
        <f>U3232="L001-901905215"</f>
        <v/>
      </c>
      <c r="R3232" s="556">
        <f>G3232-W3232</f>
        <v/>
      </c>
      <c r="S3232" s="521" t="n"/>
      <c r="T3232" s="522" t="n"/>
      <c r="U3232" s="522" t="n"/>
      <c r="V3232" s="522" t="n"/>
      <c r="W3232" s="521" t="n"/>
    </row>
    <row r="3233">
      <c r="A3233" s="521" t="n">
        <v>3225</v>
      </c>
      <c r="B3233" s="522" t="n"/>
      <c r="C3233" s="522" t="inlineStr">
        <is>
          <t>កំពង់ផែស្វយ័តក្រុងព្រះសីហនុ</t>
        </is>
      </c>
      <c r="D3233" s="522" t="inlineStr">
        <is>
          <t>L001-100044638</t>
        </is>
      </c>
      <c r="E3233" s="521" t="inlineStr">
        <is>
          <t>188355</t>
        </is>
      </c>
      <c r="F3233" s="523" t="n">
        <v>43753</v>
      </c>
      <c r="G3233" s="556" t="n">
        <v>2440</v>
      </c>
      <c r="I3233" s="521">
        <f>G3233</f>
        <v/>
      </c>
      <c r="K3233" s="521">
        <f>I3233-G3233</f>
        <v/>
      </c>
      <c r="M3233" s="522" t="inlineStr">
        <is>
          <t>188355</t>
        </is>
      </c>
      <c r="N3233" s="522" t="inlineStr"/>
      <c r="O3233" s="521">
        <f>M3233=N3233</f>
        <v/>
      </c>
      <c r="P3233" s="521">
        <f>AND(MONTH(F3233)=MONTH(S3233), YEAR(F3233)=YEAR(S3233))</f>
        <v/>
      </c>
      <c r="Q3233" s="521">
        <f>U3233="L001-901905215"</f>
        <v/>
      </c>
      <c r="R3233" s="556">
        <f>G3233-W3233</f>
        <v/>
      </c>
      <c r="S3233" s="521" t="n"/>
      <c r="T3233" s="522" t="n"/>
      <c r="U3233" s="522" t="n"/>
      <c r="V3233" s="522" t="n"/>
      <c r="W3233" s="521" t="n"/>
    </row>
    <row r="3234">
      <c r="A3234" s="521" t="n">
        <v>3226</v>
      </c>
      <c r="B3234" s="522" t="n"/>
      <c r="C3234" s="522" t="inlineStr">
        <is>
          <t>កំពង់ផែស្វយ័តក្រុងព្រះសីហនុ</t>
        </is>
      </c>
      <c r="D3234" s="522" t="inlineStr">
        <is>
          <t>L001-100044638</t>
        </is>
      </c>
      <c r="E3234" s="521" t="inlineStr">
        <is>
          <t>188354</t>
        </is>
      </c>
      <c r="F3234" s="523" t="n">
        <v>43753</v>
      </c>
      <c r="G3234" s="556" t="n">
        <v>2440</v>
      </c>
      <c r="I3234" s="521">
        <f>G3234</f>
        <v/>
      </c>
      <c r="K3234" s="521">
        <f>I3234-G3234</f>
        <v/>
      </c>
      <c r="M3234" s="522" t="inlineStr">
        <is>
          <t>188354</t>
        </is>
      </c>
      <c r="N3234" s="522" t="inlineStr"/>
      <c r="O3234" s="521">
        <f>M3234=N3234</f>
        <v/>
      </c>
      <c r="P3234" s="521">
        <f>AND(MONTH(F3234)=MONTH(S3234), YEAR(F3234)=YEAR(S3234))</f>
        <v/>
      </c>
      <c r="Q3234" s="521">
        <f>U3234="L001-901905215"</f>
        <v/>
      </c>
      <c r="R3234" s="556">
        <f>G3234-W3234</f>
        <v/>
      </c>
      <c r="S3234" s="521" t="n"/>
      <c r="T3234" s="522" t="n"/>
      <c r="U3234" s="522" t="n"/>
      <c r="V3234" s="522" t="n"/>
      <c r="W3234" s="521" t="n"/>
    </row>
    <row r="3235">
      <c r="A3235" s="521" t="n">
        <v>3227</v>
      </c>
      <c r="B3235" s="522" t="n"/>
      <c r="C3235" s="522" t="inlineStr">
        <is>
          <t>កំពង់ផែស្វយ័តក្រុងព្រះសីហនុ</t>
        </is>
      </c>
      <c r="D3235" s="522" t="inlineStr">
        <is>
          <t>L001-100044638</t>
        </is>
      </c>
      <c r="E3235" s="521" t="inlineStr">
        <is>
          <t>188353</t>
        </is>
      </c>
      <c r="F3235" s="523" t="n">
        <v>43753</v>
      </c>
      <c r="G3235" s="556" t="n">
        <v>4880</v>
      </c>
      <c r="I3235" s="521">
        <f>G3235</f>
        <v/>
      </c>
      <c r="K3235" s="521">
        <f>I3235-G3235</f>
        <v/>
      </c>
      <c r="M3235" s="522" t="inlineStr">
        <is>
          <t>188353</t>
        </is>
      </c>
      <c r="N3235" s="522" t="inlineStr"/>
      <c r="O3235" s="521">
        <f>M3235=N3235</f>
        <v/>
      </c>
      <c r="P3235" s="521">
        <f>AND(MONTH(F3235)=MONTH(S3235), YEAR(F3235)=YEAR(S3235))</f>
        <v/>
      </c>
      <c r="Q3235" s="521">
        <f>U3235="L001-901905215"</f>
        <v/>
      </c>
      <c r="R3235" s="556">
        <f>G3235-W3235</f>
        <v/>
      </c>
      <c r="S3235" s="521" t="n"/>
      <c r="T3235" s="522" t="n"/>
      <c r="U3235" s="522" t="n"/>
      <c r="V3235" s="522" t="n"/>
      <c r="W3235" s="521" t="n"/>
    </row>
    <row r="3236">
      <c r="A3236" s="521" t="n">
        <v>3228</v>
      </c>
      <c r="B3236" s="522" t="n"/>
      <c r="C3236" s="522" t="inlineStr">
        <is>
          <t>កំពង់ផែស្វយ័តក្រុងព្រះសីហនុ</t>
        </is>
      </c>
      <c r="D3236" s="522" t="inlineStr">
        <is>
          <t>L001-100044638</t>
        </is>
      </c>
      <c r="E3236" s="521" t="inlineStr">
        <is>
          <t>187651</t>
        </is>
      </c>
      <c r="F3236" s="523" t="n">
        <v>43752</v>
      </c>
      <c r="G3236" s="556" t="n">
        <v>4880</v>
      </c>
      <c r="I3236" s="521">
        <f>G3236</f>
        <v/>
      </c>
      <c r="K3236" s="521">
        <f>I3236-G3236</f>
        <v/>
      </c>
      <c r="M3236" s="522" t="inlineStr">
        <is>
          <t>187651</t>
        </is>
      </c>
      <c r="N3236" s="522" t="inlineStr"/>
      <c r="O3236" s="521">
        <f>M3236=N3236</f>
        <v/>
      </c>
      <c r="P3236" s="521">
        <f>AND(MONTH(F3236)=MONTH(S3236), YEAR(F3236)=YEAR(S3236))</f>
        <v/>
      </c>
      <c r="Q3236" s="521">
        <f>U3236="L001-901905215"</f>
        <v/>
      </c>
      <c r="R3236" s="556">
        <f>G3236-W3236</f>
        <v/>
      </c>
      <c r="S3236" s="521" t="n"/>
      <c r="T3236" s="522" t="n"/>
      <c r="U3236" s="522" t="n"/>
      <c r="V3236" s="522" t="n"/>
      <c r="W3236" s="521" t="n"/>
    </row>
    <row r="3237">
      <c r="A3237" s="521" t="n">
        <v>3229</v>
      </c>
      <c r="B3237" s="522" t="n"/>
      <c r="C3237" s="522" t="inlineStr">
        <is>
          <t>កំពង់ផែស្វយ័តក្រុងព្រះសីហនុ</t>
        </is>
      </c>
      <c r="D3237" s="522" t="inlineStr">
        <is>
          <t>L001-100044638</t>
        </is>
      </c>
      <c r="E3237" s="521" t="inlineStr">
        <is>
          <t>187648</t>
        </is>
      </c>
      <c r="F3237" s="523" t="n">
        <v>43752</v>
      </c>
      <c r="G3237" s="556" t="n">
        <v>9761</v>
      </c>
      <c r="I3237" s="521">
        <f>G3237</f>
        <v/>
      </c>
      <c r="K3237" s="521">
        <f>I3237-G3237</f>
        <v/>
      </c>
      <c r="M3237" s="522" t="inlineStr">
        <is>
          <t>187648</t>
        </is>
      </c>
      <c r="N3237" s="522" t="inlineStr"/>
      <c r="O3237" s="521">
        <f>M3237=N3237</f>
        <v/>
      </c>
      <c r="P3237" s="521">
        <f>AND(MONTH(F3237)=MONTH(S3237), YEAR(F3237)=YEAR(S3237))</f>
        <v/>
      </c>
      <c r="Q3237" s="521">
        <f>U3237="L001-901905215"</f>
        <v/>
      </c>
      <c r="R3237" s="556">
        <f>G3237-W3237</f>
        <v/>
      </c>
      <c r="S3237" s="521" t="n"/>
      <c r="T3237" s="522" t="n"/>
      <c r="U3237" s="522" t="n"/>
      <c r="V3237" s="522" t="n"/>
      <c r="W3237" s="521" t="n"/>
    </row>
    <row r="3238">
      <c r="A3238" s="521" t="n">
        <v>3230</v>
      </c>
      <c r="B3238" s="522" t="n"/>
      <c r="C3238" s="522" t="inlineStr">
        <is>
          <t>កំពង់ផែស្វយ័តក្រុងព្រះសីហនុ</t>
        </is>
      </c>
      <c r="D3238" s="522" t="inlineStr">
        <is>
          <t>L001-100044638</t>
        </is>
      </c>
      <c r="E3238" s="521" t="inlineStr">
        <is>
          <t>187646</t>
        </is>
      </c>
      <c r="F3238" s="523" t="n">
        <v>43752</v>
      </c>
      <c r="G3238" s="556" t="n">
        <v>4880</v>
      </c>
      <c r="I3238" s="521">
        <f>G3238</f>
        <v/>
      </c>
      <c r="K3238" s="521">
        <f>I3238-G3238</f>
        <v/>
      </c>
      <c r="M3238" s="522" t="inlineStr">
        <is>
          <t>187646</t>
        </is>
      </c>
      <c r="N3238" s="522" t="inlineStr"/>
      <c r="O3238" s="521">
        <f>M3238=N3238</f>
        <v/>
      </c>
      <c r="P3238" s="521">
        <f>AND(MONTH(F3238)=MONTH(S3238), YEAR(F3238)=YEAR(S3238))</f>
        <v/>
      </c>
      <c r="Q3238" s="521">
        <f>U3238="L001-901905215"</f>
        <v/>
      </c>
      <c r="R3238" s="556">
        <f>G3238-W3238</f>
        <v/>
      </c>
      <c r="S3238" s="521" t="n"/>
      <c r="T3238" s="522" t="n"/>
      <c r="U3238" s="522" t="n"/>
      <c r="V3238" s="522" t="n"/>
      <c r="W3238" s="521" t="n"/>
    </row>
    <row r="3239">
      <c r="A3239" s="521" t="n">
        <v>3231</v>
      </c>
      <c r="B3239" s="522" t="n"/>
      <c r="C3239" s="522" t="inlineStr">
        <is>
          <t>កំពង់ផែស្វយ័តក្រុងព្រះសីហនុ</t>
        </is>
      </c>
      <c r="D3239" s="522" t="inlineStr">
        <is>
          <t>L001-100044638</t>
        </is>
      </c>
      <c r="E3239" s="521" t="inlineStr">
        <is>
          <t>186975</t>
        </is>
      </c>
      <c r="F3239" s="523" t="n">
        <v>43750</v>
      </c>
      <c r="G3239" s="556" t="n">
        <v>153733</v>
      </c>
      <c r="I3239" s="521">
        <f>G3239</f>
        <v/>
      </c>
      <c r="K3239" s="521">
        <f>I3239-G3239</f>
        <v/>
      </c>
      <c r="M3239" s="522" t="inlineStr">
        <is>
          <t>186975</t>
        </is>
      </c>
      <c r="N3239" s="522" t="inlineStr"/>
      <c r="O3239" s="521">
        <f>M3239=N3239</f>
        <v/>
      </c>
      <c r="P3239" s="521">
        <f>AND(MONTH(F3239)=MONTH(S3239), YEAR(F3239)=YEAR(S3239))</f>
        <v/>
      </c>
      <c r="Q3239" s="521">
        <f>U3239="L001-901905215"</f>
        <v/>
      </c>
      <c r="R3239" s="556">
        <f>G3239-W3239</f>
        <v/>
      </c>
      <c r="S3239" s="521" t="n"/>
      <c r="T3239" s="522" t="n"/>
      <c r="U3239" s="522" t="n"/>
      <c r="V3239" s="522" t="n"/>
      <c r="W3239" s="521" t="n"/>
    </row>
    <row r="3240">
      <c r="A3240" s="521" t="n">
        <v>3232</v>
      </c>
      <c r="B3240" s="522" t="n"/>
      <c r="C3240" s="522" t="inlineStr">
        <is>
          <t>កំពង់ផែស្វយ័តក្រុងព្រះសីហនុ</t>
        </is>
      </c>
      <c r="D3240" s="522" t="inlineStr">
        <is>
          <t>L001-100044638</t>
        </is>
      </c>
      <c r="E3240" s="521" t="inlineStr">
        <is>
          <t>186974</t>
        </is>
      </c>
      <c r="F3240" s="523" t="n">
        <v>43750</v>
      </c>
      <c r="G3240" s="556" t="n">
        <v>62225</v>
      </c>
      <c r="I3240" s="521">
        <f>G3240</f>
        <v/>
      </c>
      <c r="K3240" s="521">
        <f>I3240-G3240</f>
        <v/>
      </c>
      <c r="M3240" s="522" t="inlineStr">
        <is>
          <t>186974</t>
        </is>
      </c>
      <c r="N3240" s="522" t="inlineStr"/>
      <c r="O3240" s="521">
        <f>M3240=N3240</f>
        <v/>
      </c>
      <c r="P3240" s="521">
        <f>AND(MONTH(F3240)=MONTH(S3240), YEAR(F3240)=YEAR(S3240))</f>
        <v/>
      </c>
      <c r="Q3240" s="521">
        <f>U3240="L001-901905215"</f>
        <v/>
      </c>
      <c r="R3240" s="556">
        <f>G3240-W3240</f>
        <v/>
      </c>
      <c r="S3240" s="521" t="n"/>
      <c r="T3240" s="522" t="n"/>
      <c r="U3240" s="522" t="n"/>
      <c r="V3240" s="522" t="n"/>
      <c r="W3240" s="521" t="n"/>
    </row>
    <row r="3241">
      <c r="A3241" s="521" t="n">
        <v>3233</v>
      </c>
      <c r="B3241" s="522" t="n"/>
      <c r="C3241" s="522" t="inlineStr">
        <is>
          <t>កំពង់ផែស្វយ័តក្រុងព្រះសីហនុ</t>
        </is>
      </c>
      <c r="D3241" s="522" t="inlineStr">
        <is>
          <t>L001-100044638</t>
        </is>
      </c>
      <c r="E3241" s="521" t="inlineStr">
        <is>
          <t>186905</t>
        </is>
      </c>
      <c r="F3241" s="523" t="n">
        <v>43750</v>
      </c>
      <c r="G3241" s="556" t="n">
        <v>59785</v>
      </c>
      <c r="I3241" s="521">
        <f>G3241</f>
        <v/>
      </c>
      <c r="K3241" s="521">
        <f>I3241-G3241</f>
        <v/>
      </c>
      <c r="M3241" s="522" t="inlineStr">
        <is>
          <t>186905</t>
        </is>
      </c>
      <c r="N3241" s="522" t="inlineStr"/>
      <c r="O3241" s="521">
        <f>M3241=N3241</f>
        <v/>
      </c>
      <c r="P3241" s="521">
        <f>AND(MONTH(F3241)=MONTH(S3241), YEAR(F3241)=YEAR(S3241))</f>
        <v/>
      </c>
      <c r="Q3241" s="521">
        <f>U3241="L001-901905215"</f>
        <v/>
      </c>
      <c r="R3241" s="556">
        <f>G3241-W3241</f>
        <v/>
      </c>
      <c r="S3241" s="521" t="n"/>
      <c r="T3241" s="522" t="n"/>
      <c r="U3241" s="522" t="n"/>
      <c r="V3241" s="522" t="n"/>
      <c r="W3241" s="521" t="n"/>
    </row>
    <row r="3242">
      <c r="A3242" s="521" t="n">
        <v>3234</v>
      </c>
      <c r="B3242" s="522" t="n"/>
      <c r="C3242" s="522" t="inlineStr">
        <is>
          <t>ខូស្កូ ស៊ីបភីង ឡាញ (ខេមបូឌា) ឯ.ក</t>
        </is>
      </c>
      <c r="D3242" s="522" t="inlineStr">
        <is>
          <t>L001-100103383</t>
        </is>
      </c>
      <c r="E3242" s="521" t="inlineStr">
        <is>
          <t>COS191009562</t>
        </is>
      </c>
      <c r="F3242" s="523" t="n">
        <v>43749</v>
      </c>
      <c r="G3242" s="556" t="n">
        <v>215040</v>
      </c>
      <c r="I3242" s="521">
        <f>G3242</f>
        <v/>
      </c>
      <c r="K3242" s="521">
        <f>I3242-G3242</f>
        <v/>
      </c>
      <c r="M3242" s="522" t="inlineStr">
        <is>
          <t>COS191009562</t>
        </is>
      </c>
      <c r="N3242" s="522" t="inlineStr">
        <is>
          <t>COS191009562</t>
        </is>
      </c>
      <c r="O3242" s="521">
        <f>M3242=N3242</f>
        <v/>
      </c>
      <c r="P3242" s="521">
        <f>AND(MONTH(F3242)=MONTH(S3242), YEAR(F3242)=YEAR(S3242))</f>
        <v/>
      </c>
      <c r="Q3242" s="521">
        <f>U3242="L001-901905215"</f>
        <v/>
      </c>
      <c r="R3242" s="556">
        <f>G3242-W3242</f>
        <v/>
      </c>
      <c r="S3242" s="523" t="n">
        <v>43747</v>
      </c>
      <c r="T3242" s="522" t="inlineStr">
        <is>
          <t>COS191009562</t>
        </is>
      </c>
      <c r="U3242" s="522" t="inlineStr">
        <is>
          <t>L001-901905215</t>
        </is>
      </c>
      <c r="V3242" s="522" t="inlineStr">
        <is>
          <t>វីអ៊ីស៊ិន (ខេមបូឌា) អ៊ិនដាសស្ទ្រី ឯ.ក</t>
        </is>
      </c>
      <c r="W3242" s="556" t="n">
        <v>215040</v>
      </c>
    </row>
    <row r="3243">
      <c r="A3243" s="521" t="n">
        <v>3235</v>
      </c>
      <c r="B3243" s="522" t="n"/>
      <c r="C3243" s="522" t="inlineStr">
        <is>
          <t>អេសអាយធីស៊ី ខិនថេនើរ ឡាញ (ខេមបូឌា)</t>
        </is>
      </c>
      <c r="D3243" s="522" t="inlineStr">
        <is>
          <t>L001-107035863</t>
        </is>
      </c>
      <c r="E3243" s="521" t="inlineStr">
        <is>
          <t>015657</t>
        </is>
      </c>
      <c r="F3243" s="523" t="n">
        <v>43746</v>
      </c>
      <c r="G3243" s="556" t="n">
        <v>227328</v>
      </c>
      <c r="I3243" s="521">
        <f>G3243</f>
        <v/>
      </c>
      <c r="K3243" s="521">
        <f>I3243-G3243</f>
        <v/>
      </c>
      <c r="M3243" s="522" t="inlineStr">
        <is>
          <t>015657</t>
        </is>
      </c>
      <c r="N3243" s="522" t="inlineStr"/>
      <c r="O3243" s="521">
        <f>M3243=N3243</f>
        <v/>
      </c>
      <c r="P3243" s="521">
        <f>AND(MONTH(F3243)=MONTH(S3243), YEAR(F3243)=YEAR(S3243))</f>
        <v/>
      </c>
      <c r="Q3243" s="521">
        <f>U3243="L001-901905215"</f>
        <v/>
      </c>
      <c r="R3243" s="556">
        <f>G3243-W3243</f>
        <v/>
      </c>
      <c r="S3243" s="521" t="n"/>
      <c r="T3243" s="522" t="n"/>
      <c r="U3243" s="522" t="n"/>
      <c r="V3243" s="522" t="n"/>
      <c r="W3243" s="521" t="n"/>
    </row>
    <row r="3244">
      <c r="A3244" s="521" t="n">
        <v>3236</v>
      </c>
      <c r="B3244" s="522" t="n"/>
      <c r="C3244" s="522" t="inlineStr">
        <is>
          <t xml:space="preserve">អិនធីអិល តិចណូឡូជី </t>
        </is>
      </c>
      <c r="D3244" s="522" t="inlineStr">
        <is>
          <t>K005-901900283</t>
        </is>
      </c>
      <c r="E3244" s="521" t="inlineStr">
        <is>
          <t>19001227</t>
        </is>
      </c>
      <c r="F3244" s="523" t="n">
        <v>43746</v>
      </c>
      <c r="G3244" s="556" t="n">
        <v>524288</v>
      </c>
      <c r="I3244" s="521">
        <f>G3244</f>
        <v/>
      </c>
      <c r="K3244" s="521">
        <f>I3244-G3244</f>
        <v/>
      </c>
      <c r="M3244" s="522" t="inlineStr">
        <is>
          <t>19001227</t>
        </is>
      </c>
      <c r="N3244" s="522" t="inlineStr">
        <is>
          <t>19001227</t>
        </is>
      </c>
      <c r="O3244" s="521">
        <f>M3244=N3244</f>
        <v/>
      </c>
      <c r="P3244" s="521">
        <f>AND(MONTH(F3244)=MONTH(S3244), YEAR(F3244)=YEAR(S3244))</f>
        <v/>
      </c>
      <c r="Q3244" s="521">
        <f>U3244="L001-901905215"</f>
        <v/>
      </c>
      <c r="R3244" s="556">
        <f>G3244-W3244</f>
        <v/>
      </c>
      <c r="S3244" s="523" t="n">
        <v>43746</v>
      </c>
      <c r="T3244" s="522" t="inlineStr">
        <is>
          <t>19001227</t>
        </is>
      </c>
      <c r="U3244" s="522" t="inlineStr">
        <is>
          <t>L001-901905215</t>
        </is>
      </c>
      <c r="V3244" s="522" t="inlineStr">
        <is>
          <t>វីអ៊ីស៊ិន (ខេមបូឌា) អ៊ិនដាសស្ទ្រី ឯ.ក</t>
        </is>
      </c>
      <c r="W3244" s="556" t="n">
        <v>524288</v>
      </c>
    </row>
    <row r="3245">
      <c r="A3245" s="521" t="n">
        <v>3237</v>
      </c>
      <c r="B3245" s="522" t="n"/>
      <c r="C3245" s="522" t="inlineStr">
        <is>
          <t>ធី-ខម ថេកណឡជី</t>
        </is>
      </c>
      <c r="D3245" s="522" t="inlineStr">
        <is>
          <t>K008-901604814</t>
        </is>
      </c>
      <c r="E3245" s="521" t="inlineStr">
        <is>
          <t>000067</t>
        </is>
      </c>
      <c r="F3245" s="523" t="n">
        <v>43745</v>
      </c>
      <c r="G3245" s="556" t="n">
        <v>473545</v>
      </c>
      <c r="I3245" s="521">
        <f>G3245</f>
        <v/>
      </c>
      <c r="K3245" s="521">
        <f>I3245-G3245</f>
        <v/>
      </c>
      <c r="M3245" s="522" t="inlineStr">
        <is>
          <t>000067</t>
        </is>
      </c>
      <c r="N3245" s="522" t="inlineStr"/>
      <c r="O3245" s="521">
        <f>M3245=N3245</f>
        <v/>
      </c>
      <c r="P3245" s="521">
        <f>AND(MONTH(F3245)=MONTH(S3245), YEAR(F3245)=YEAR(S3245))</f>
        <v/>
      </c>
      <c r="Q3245" s="521">
        <f>U3245="L001-901905215"</f>
        <v/>
      </c>
      <c r="R3245" s="556">
        <f>G3245-W3245</f>
        <v/>
      </c>
      <c r="S3245" s="521" t="n"/>
      <c r="T3245" s="522" t="n"/>
      <c r="U3245" s="522" t="n"/>
      <c r="V3245" s="522" t="n"/>
      <c r="W3245" s="521" t="n"/>
    </row>
    <row r="3246">
      <c r="A3246" s="521" t="n">
        <v>3238</v>
      </c>
      <c r="B3246" s="522" t="n"/>
      <c r="C3246" s="522" t="inlineStr">
        <is>
          <t>អេសអាយធីស៊ី ខិនថេនើរ ឡាញ (ខេមបូឌា)</t>
        </is>
      </c>
      <c r="D3246" s="522" t="inlineStr">
        <is>
          <t>L001-107035863</t>
        </is>
      </c>
      <c r="E3246" s="521" t="inlineStr">
        <is>
          <t>015363</t>
        </is>
      </c>
      <c r="F3246" s="523" t="n">
        <v>43739</v>
      </c>
      <c r="G3246" s="556" t="n">
        <v>239616</v>
      </c>
      <c r="I3246" s="521">
        <f>G3246</f>
        <v/>
      </c>
      <c r="K3246" s="521">
        <f>I3246-G3246</f>
        <v/>
      </c>
      <c r="M3246" s="522" t="inlineStr">
        <is>
          <t>015363</t>
        </is>
      </c>
      <c r="N3246" s="522" t="inlineStr"/>
      <c r="O3246" s="521">
        <f>M3246=N3246</f>
        <v/>
      </c>
      <c r="P3246" s="521">
        <f>AND(MONTH(F3246)=MONTH(S3246), YEAR(F3246)=YEAR(S3246))</f>
        <v/>
      </c>
      <c r="Q3246" s="521">
        <f>U3246="L001-901905215"</f>
        <v/>
      </c>
      <c r="R3246" s="556">
        <f>G3246-W3246</f>
        <v/>
      </c>
      <c r="S3246" s="521" t="n"/>
      <c r="T3246" s="522" t="n"/>
      <c r="U3246" s="522" t="n"/>
      <c r="V3246" s="522" t="n"/>
      <c r="W3246" s="521" t="n"/>
    </row>
    <row r="3247">
      <c r="A3247" s="521" t="n">
        <v>3239</v>
      </c>
      <c r="B3247" s="522" t="n"/>
      <c r="C3247" s="522" t="inlineStr">
        <is>
          <t>អេសអាយធីស៊ី ខិនថេនើរ ឡាញ (ខេមបូឌា)</t>
        </is>
      </c>
      <c r="D3247" s="522" t="inlineStr">
        <is>
          <t>L001-107035863</t>
        </is>
      </c>
      <c r="E3247" s="521" t="inlineStr">
        <is>
          <t>015245</t>
        </is>
      </c>
      <c r="F3247" s="523" t="n">
        <v>43739</v>
      </c>
      <c r="G3247" s="556" t="n">
        <v>227328</v>
      </c>
      <c r="I3247" s="521">
        <f>G3247</f>
        <v/>
      </c>
      <c r="K3247" s="521">
        <f>I3247-G3247</f>
        <v/>
      </c>
      <c r="M3247" s="522" t="inlineStr">
        <is>
          <t>015245</t>
        </is>
      </c>
      <c r="N3247" s="522" t="inlineStr"/>
      <c r="O3247" s="521">
        <f>M3247=N3247</f>
        <v/>
      </c>
      <c r="P3247" s="521">
        <f>AND(MONTH(F3247)=MONTH(S3247), YEAR(F3247)=YEAR(S3247))</f>
        <v/>
      </c>
      <c r="Q3247" s="521">
        <f>U3247="L001-901905215"</f>
        <v/>
      </c>
      <c r="R3247" s="556">
        <f>G3247-W3247</f>
        <v/>
      </c>
      <c r="S3247" s="521" t="n"/>
      <c r="T3247" s="522" t="n"/>
      <c r="U3247" s="522" t="n"/>
      <c r="V3247" s="522" t="n"/>
      <c r="W3247" s="521" t="n"/>
    </row>
    <row r="3248">
      <c r="A3248" s="521" t="n">
        <v>3240</v>
      </c>
      <c r="B3248" s="522" t="n"/>
      <c r="C3248" s="522" t="inlineStr">
        <is>
          <t>អេវើរហ្គ្រីន ស៊ីបភីង សឺវីស (ខេមបូឌា) ឯ.ក</t>
        </is>
      </c>
      <c r="D3248" s="522" t="inlineStr">
        <is>
          <t>L001-901705421</t>
        </is>
      </c>
      <c r="E3248" s="521" t="inlineStr">
        <is>
          <t>IY20006722</t>
        </is>
      </c>
      <c r="F3248" s="523" t="n">
        <v>44105</v>
      </c>
      <c r="G3248" s="556" t="n">
        <v>120596</v>
      </c>
      <c r="I3248" s="521">
        <f>G3248</f>
        <v/>
      </c>
      <c r="K3248" s="521">
        <f>I3248-G3248</f>
        <v/>
      </c>
      <c r="M3248" s="522" t="inlineStr">
        <is>
          <t>IY20006722</t>
        </is>
      </c>
      <c r="N3248" s="522" t="inlineStr"/>
      <c r="O3248" s="521">
        <f>M3248=N3248</f>
        <v/>
      </c>
      <c r="P3248" s="521">
        <f>AND(MONTH(F3248)=MONTH(S3248), YEAR(F3248)=YEAR(S3248))</f>
        <v/>
      </c>
      <c r="Q3248" s="521">
        <f>U3248="L001-901905215"</f>
        <v/>
      </c>
      <c r="R3248" s="556">
        <f>G3248-W3248</f>
        <v/>
      </c>
      <c r="S3248" s="521" t="n"/>
      <c r="T3248" s="522" t="n"/>
      <c r="U3248" s="522" t="n"/>
      <c r="V3248" s="522" t="n"/>
      <c r="W3248" s="521" t="n"/>
    </row>
    <row r="3249">
      <c r="A3249" s="521" t="n">
        <v>3241</v>
      </c>
      <c r="B3249" s="522" t="n"/>
      <c r="C3249" s="522" t="inlineStr">
        <is>
          <t>ស្ត្រេតស៍ អ៊ិនធើណេសិនណល ភីធីអ៊ី អិលធីឌី</t>
        </is>
      </c>
      <c r="D3249" s="522" t="inlineStr">
        <is>
          <t>L001-100045162</t>
        </is>
      </c>
      <c r="E3249" s="521" t="inlineStr">
        <is>
          <t>2017625</t>
        </is>
      </c>
      <c r="F3249" s="523" t="n">
        <v>44105</v>
      </c>
      <c r="G3249" s="556" t="n">
        <v>202455</v>
      </c>
      <c r="I3249" s="521">
        <f>G3249</f>
        <v/>
      </c>
      <c r="K3249" s="521">
        <f>I3249-G3249</f>
        <v/>
      </c>
      <c r="M3249" s="522" t="inlineStr">
        <is>
          <t>2017625</t>
        </is>
      </c>
      <c r="N3249" s="522" t="inlineStr"/>
      <c r="O3249" s="521">
        <f>M3249=N3249</f>
        <v/>
      </c>
      <c r="P3249" s="521">
        <f>AND(MONTH(F3249)=MONTH(S3249), YEAR(F3249)=YEAR(S3249))</f>
        <v/>
      </c>
      <c r="Q3249" s="521">
        <f>U3249="L001-901905215"</f>
        <v/>
      </c>
      <c r="R3249" s="556">
        <f>G3249-W3249</f>
        <v/>
      </c>
      <c r="S3249" s="521" t="n"/>
      <c r="T3249" s="522" t="n"/>
      <c r="U3249" s="522" t="n"/>
      <c r="V3249" s="522" t="n"/>
      <c r="W3249" s="521" t="n"/>
    </row>
    <row r="3250">
      <c r="A3250" s="521" t="n">
        <v>3242</v>
      </c>
      <c r="B3250" s="522" t="n"/>
      <c r="C3250" s="522" t="inlineStr">
        <is>
          <t>កំពង់ផែស្វយ័តក្រុងព្រះសីហនុ</t>
        </is>
      </c>
      <c r="D3250" s="522" t="inlineStr">
        <is>
          <t>L001-100044638</t>
        </is>
      </c>
      <c r="E3250" s="521" t="inlineStr">
        <is>
          <t>145943</t>
        </is>
      </c>
      <c r="F3250" s="523" t="n">
        <v>44106</v>
      </c>
      <c r="G3250" s="556" t="n">
        <v>57924</v>
      </c>
      <c r="I3250" s="521">
        <f>G3250</f>
        <v/>
      </c>
      <c r="K3250" s="521">
        <f>I3250-G3250</f>
        <v/>
      </c>
      <c r="M3250" s="522" t="inlineStr">
        <is>
          <t>145943</t>
        </is>
      </c>
      <c r="N3250" s="522" t="inlineStr"/>
      <c r="O3250" s="521">
        <f>M3250=N3250</f>
        <v/>
      </c>
      <c r="P3250" s="521">
        <f>AND(MONTH(F3250)=MONTH(S3250), YEAR(F3250)=YEAR(S3250))</f>
        <v/>
      </c>
      <c r="Q3250" s="521">
        <f>U3250="L001-901905215"</f>
        <v/>
      </c>
      <c r="R3250" s="556">
        <f>G3250-W3250</f>
        <v/>
      </c>
      <c r="S3250" s="521" t="n"/>
      <c r="T3250" s="522" t="n"/>
      <c r="U3250" s="522" t="n"/>
      <c r="V3250" s="522" t="n"/>
      <c r="W3250" s="521" t="n"/>
    </row>
    <row r="3251">
      <c r="A3251" s="521" t="n">
        <v>3243</v>
      </c>
      <c r="B3251" s="522" t="n"/>
      <c r="C3251" s="522" t="inlineStr">
        <is>
          <t>កំពង់ផែស្វយ័តក្រុងព្រះសីហនុ</t>
        </is>
      </c>
      <c r="D3251" s="522" t="inlineStr">
        <is>
          <t>L001-100044638</t>
        </is>
      </c>
      <c r="E3251" s="521" t="inlineStr">
        <is>
          <t>145940</t>
        </is>
      </c>
      <c r="F3251" s="523" t="n">
        <v>44106</v>
      </c>
      <c r="G3251" s="556" t="n">
        <v>135564</v>
      </c>
      <c r="I3251" s="521">
        <f>G3251</f>
        <v/>
      </c>
      <c r="K3251" s="521">
        <f>I3251-G3251</f>
        <v/>
      </c>
      <c r="M3251" s="522" t="inlineStr">
        <is>
          <t>145940</t>
        </is>
      </c>
      <c r="N3251" s="522" t="inlineStr"/>
      <c r="O3251" s="521">
        <f>M3251=N3251</f>
        <v/>
      </c>
      <c r="P3251" s="521">
        <f>AND(MONTH(F3251)=MONTH(S3251), YEAR(F3251)=YEAR(S3251))</f>
        <v/>
      </c>
      <c r="Q3251" s="521">
        <f>U3251="L001-901905215"</f>
        <v/>
      </c>
      <c r="R3251" s="556">
        <f>G3251-W3251</f>
        <v/>
      </c>
      <c r="S3251" s="521" t="n"/>
      <c r="T3251" s="522" t="n"/>
      <c r="U3251" s="522" t="n"/>
      <c r="V3251" s="522" t="n"/>
      <c r="W3251" s="521" t="n"/>
    </row>
    <row r="3252">
      <c r="A3252" s="521" t="n">
        <v>3244</v>
      </c>
      <c r="B3252" s="522" t="n"/>
      <c r="C3252" s="522" t="inlineStr">
        <is>
          <t>វ៉ាយ.ស៊ី ផេកខេជីង ឯ.ក</t>
        </is>
      </c>
      <c r="D3252" s="522" t="inlineStr">
        <is>
          <t>L001-901700417</t>
        </is>
      </c>
      <c r="E3252" s="521" t="inlineStr">
        <is>
          <t>TI0175</t>
        </is>
      </c>
      <c r="F3252" s="523" t="n">
        <v>44135</v>
      </c>
      <c r="G3252" s="556" t="n">
        <v>27048362</v>
      </c>
      <c r="I3252" s="521">
        <f>G3252</f>
        <v/>
      </c>
      <c r="K3252" s="521">
        <f>I3252-G3252</f>
        <v/>
      </c>
      <c r="M3252" s="522" t="inlineStr">
        <is>
          <t>TI0175</t>
        </is>
      </c>
      <c r="N3252" s="522" t="inlineStr">
        <is>
          <t>TI0175</t>
        </is>
      </c>
      <c r="O3252" s="521">
        <f>M3252=N3252</f>
        <v/>
      </c>
      <c r="P3252" s="521">
        <f>AND(MONTH(F3252)=MONTH(S3252), YEAR(F3252)=YEAR(S3252))</f>
        <v/>
      </c>
      <c r="Q3252" s="521">
        <f>U3252="L001-901905215"</f>
        <v/>
      </c>
      <c r="R3252" s="556">
        <f>G3252-W3252</f>
        <v/>
      </c>
      <c r="S3252" s="523" t="n">
        <v>44135</v>
      </c>
      <c r="T3252" s="522" t="inlineStr">
        <is>
          <t>TI0175</t>
        </is>
      </c>
      <c r="U3252" s="522" t="inlineStr">
        <is>
          <t>L001-901905215</t>
        </is>
      </c>
      <c r="V3252" s="522" t="inlineStr">
        <is>
          <t>វីអ៊ីស៊ិន (ខេមបូឌា) អ៊ិនដាសស្ទ្រី ឯ.ក</t>
        </is>
      </c>
      <c r="W3252" s="556" t="n">
        <v>27048361</v>
      </c>
    </row>
    <row r="3253">
      <c r="A3253" s="521" t="n">
        <v>3245</v>
      </c>
      <c r="B3253" s="522" t="n"/>
      <c r="C3253" s="522" t="inlineStr">
        <is>
          <t>សេង វ៉ាង​ ខល័រ ព្រីនធីង ឯ.ក</t>
        </is>
      </c>
      <c r="D3253" s="522" t="inlineStr">
        <is>
          <t>L001-901638765</t>
        </is>
      </c>
      <c r="E3253" s="521" t="inlineStr">
        <is>
          <t>000002</t>
        </is>
      </c>
      <c r="F3253" s="523" t="n">
        <v>44135</v>
      </c>
      <c r="G3253" s="556" t="n">
        <v>1128078</v>
      </c>
      <c r="I3253" s="521">
        <f>G3253</f>
        <v/>
      </c>
      <c r="K3253" s="521">
        <f>I3253-G3253</f>
        <v/>
      </c>
      <c r="M3253" s="522" t="inlineStr">
        <is>
          <t>000002</t>
        </is>
      </c>
      <c r="N3253" s="522" t="inlineStr"/>
      <c r="O3253" s="521">
        <f>M3253=N3253</f>
        <v/>
      </c>
      <c r="P3253" s="521">
        <f>AND(MONTH(F3253)=MONTH(S3253), YEAR(F3253)=YEAR(S3253))</f>
        <v/>
      </c>
      <c r="Q3253" s="521">
        <f>U3253="L001-901905215"</f>
        <v/>
      </c>
      <c r="R3253" s="556">
        <f>G3253-W3253</f>
        <v/>
      </c>
      <c r="S3253" s="521" t="n"/>
      <c r="T3253" s="522" t="n"/>
      <c r="U3253" s="522" t="n"/>
      <c r="V3253" s="522" t="n"/>
      <c r="W3253" s="521" t="n"/>
    </row>
    <row r="3254">
      <c r="A3254" s="521" t="n">
        <v>3246</v>
      </c>
      <c r="B3254" s="522" t="n"/>
      <c r="C3254" s="522" t="inlineStr">
        <is>
          <t>ភីស៊ីអាយ សឺវីស</t>
        </is>
      </c>
      <c r="D3254" s="522" t="inlineStr">
        <is>
          <t>K010-901639639</t>
        </is>
      </c>
      <c r="E3254" s="521" t="inlineStr">
        <is>
          <t>2020/01199</t>
        </is>
      </c>
      <c r="F3254" s="523" t="n">
        <v>44131</v>
      </c>
      <c r="G3254" s="556" t="n">
        <v>81200</v>
      </c>
      <c r="I3254" s="521">
        <f>G3254</f>
        <v/>
      </c>
      <c r="K3254" s="521">
        <f>I3254-G3254</f>
        <v/>
      </c>
      <c r="M3254" s="522" t="inlineStr">
        <is>
          <t>202001199</t>
        </is>
      </c>
      <c r="N3254" s="522" t="inlineStr"/>
      <c r="O3254" s="521">
        <f>M3254=N3254</f>
        <v/>
      </c>
      <c r="P3254" s="521">
        <f>AND(MONTH(F3254)=MONTH(S3254), YEAR(F3254)=YEAR(S3254))</f>
        <v/>
      </c>
      <c r="Q3254" s="521">
        <f>U3254="L001-901905215"</f>
        <v/>
      </c>
      <c r="R3254" s="556">
        <f>G3254-W3254</f>
        <v/>
      </c>
      <c r="S3254" s="521" t="n"/>
      <c r="T3254" s="522" t="n"/>
      <c r="U3254" s="522" t="n"/>
      <c r="V3254" s="522" t="n"/>
      <c r="W3254" s="521" t="n"/>
    </row>
    <row r="3255">
      <c r="A3255" s="521" t="n">
        <v>3247</v>
      </c>
      <c r="B3255" s="522" t="n"/>
      <c r="C3255" s="522" t="inlineStr">
        <is>
          <t>ហ្គោមី រីសាយឃល110</t>
        </is>
      </c>
      <c r="D3255" s="522" t="inlineStr">
        <is>
          <t>K010-901503890</t>
        </is>
      </c>
      <c r="E3255" s="521" t="inlineStr">
        <is>
          <t>GR-IN2020394</t>
        </is>
      </c>
      <c r="F3255" s="523" t="n">
        <v>44131</v>
      </c>
      <c r="G3255" s="556" t="n">
        <v>16240</v>
      </c>
      <c r="I3255" s="521">
        <f>G3255</f>
        <v/>
      </c>
      <c r="K3255" s="521">
        <f>I3255-G3255</f>
        <v/>
      </c>
      <c r="M3255" s="522" t="inlineStr">
        <is>
          <t>GRIN2020394</t>
        </is>
      </c>
      <c r="N3255" s="522" t="inlineStr">
        <is>
          <t>GRIN2020394</t>
        </is>
      </c>
      <c r="O3255" s="521">
        <f>M3255=N3255</f>
        <v/>
      </c>
      <c r="P3255" s="521">
        <f>AND(MONTH(F3255)=MONTH(S3255), YEAR(F3255)=YEAR(S3255))</f>
        <v/>
      </c>
      <c r="Q3255" s="521">
        <f>U3255="L001-901905215"</f>
        <v/>
      </c>
      <c r="R3255" s="556">
        <f>G3255-W3255</f>
        <v/>
      </c>
      <c r="S3255" s="523" t="n">
        <v>44131</v>
      </c>
      <c r="T3255" s="522" t="inlineStr">
        <is>
          <t>GR-IN2020394</t>
        </is>
      </c>
      <c r="U3255" s="522" t="inlineStr">
        <is>
          <t>L001-901905215</t>
        </is>
      </c>
      <c r="V3255" s="522" t="inlineStr">
        <is>
          <t>វីអ៊ីស៊ិន (ខេមបូឌា) អ៊ិនដាសស្ទ្រី ឯ.ក</t>
        </is>
      </c>
      <c r="W3255" s="556" t="n">
        <v>16240</v>
      </c>
    </row>
    <row r="3256">
      <c r="A3256" s="521" t="n">
        <v>3248</v>
      </c>
      <c r="B3256" s="522" t="n"/>
      <c r="C3256" s="522" t="inlineStr">
        <is>
          <t>ប្យួរ៉ូ វេរីតាស (ខេមបូឌា) លីមីធីត</t>
        </is>
      </c>
      <c r="D3256" s="522" t="inlineStr">
        <is>
          <t>L001-107024462</t>
        </is>
      </c>
      <c r="E3256" s="521" t="inlineStr">
        <is>
          <t>59008911</t>
        </is>
      </c>
      <c r="F3256" s="523" t="n">
        <v>44131</v>
      </c>
      <c r="G3256" s="556" t="n">
        <v>60900</v>
      </c>
      <c r="I3256" s="521">
        <f>G3256</f>
        <v/>
      </c>
      <c r="K3256" s="521">
        <f>I3256-G3256</f>
        <v/>
      </c>
      <c r="M3256" s="522" t="inlineStr">
        <is>
          <t>59008911</t>
        </is>
      </c>
      <c r="N3256" s="522" t="inlineStr"/>
      <c r="O3256" s="521">
        <f>M3256=N3256</f>
        <v/>
      </c>
      <c r="P3256" s="521">
        <f>AND(MONTH(F3256)=MONTH(S3256), YEAR(F3256)=YEAR(S3256))</f>
        <v/>
      </c>
      <c r="Q3256" s="521">
        <f>U3256="L001-901905215"</f>
        <v/>
      </c>
      <c r="R3256" s="556">
        <f>G3256-W3256</f>
        <v/>
      </c>
      <c r="S3256" s="521" t="n"/>
      <c r="T3256" s="522" t="n"/>
      <c r="U3256" s="522" t="n"/>
      <c r="V3256" s="522" t="n"/>
      <c r="W3256" s="521" t="n"/>
    </row>
    <row r="3257">
      <c r="A3257" s="521" t="n">
        <v>3249</v>
      </c>
      <c r="B3257" s="522" t="n"/>
      <c r="C3257" s="522" t="inlineStr">
        <is>
          <t>ប្យួរ៉ូ វេរីតាស (ខេមបូឌា) លីមីធីត</t>
        </is>
      </c>
      <c r="D3257" s="522" t="inlineStr">
        <is>
          <t>L001-107024462</t>
        </is>
      </c>
      <c r="E3257" s="521" t="inlineStr">
        <is>
          <t>59008910</t>
        </is>
      </c>
      <c r="F3257" s="523" t="n">
        <v>44131</v>
      </c>
      <c r="G3257" s="556" t="n">
        <v>60900</v>
      </c>
      <c r="I3257" s="521">
        <f>G3257</f>
        <v/>
      </c>
      <c r="K3257" s="521">
        <f>I3257-G3257</f>
        <v/>
      </c>
      <c r="M3257" s="522" t="inlineStr">
        <is>
          <t>59008910</t>
        </is>
      </c>
      <c r="N3257" s="522" t="inlineStr"/>
      <c r="O3257" s="521">
        <f>M3257=N3257</f>
        <v/>
      </c>
      <c r="P3257" s="521">
        <f>AND(MONTH(F3257)=MONTH(S3257), YEAR(F3257)=YEAR(S3257))</f>
        <v/>
      </c>
      <c r="Q3257" s="521">
        <f>U3257="L001-901905215"</f>
        <v/>
      </c>
      <c r="R3257" s="556">
        <f>G3257-W3257</f>
        <v/>
      </c>
      <c r="S3257" s="521" t="n"/>
      <c r="T3257" s="522" t="n"/>
      <c r="U3257" s="522" t="n"/>
      <c r="V3257" s="522" t="n"/>
      <c r="W3257" s="521" t="n"/>
    </row>
    <row r="3258">
      <c r="A3258" s="521" t="n">
        <v>3250</v>
      </c>
      <c r="B3258" s="522" t="n"/>
      <c r="C3258" s="522" t="inlineStr">
        <is>
          <t>ស៊ីងហ្គាពួរ កាតុង (ខេមបូឌា)</t>
        </is>
      </c>
      <c r="D3258" s="522" t="inlineStr">
        <is>
          <t>L001-100121322</t>
        </is>
      </c>
      <c r="E3258" s="521" t="inlineStr">
        <is>
          <t>V0014698</t>
        </is>
      </c>
      <c r="F3258" s="523" t="n">
        <v>44105</v>
      </c>
      <c r="G3258" s="556" t="n">
        <v>668305</v>
      </c>
      <c r="I3258" s="521">
        <f>G3258</f>
        <v/>
      </c>
      <c r="K3258" s="521">
        <f>I3258-G3258</f>
        <v/>
      </c>
      <c r="M3258" s="522" t="inlineStr">
        <is>
          <t>V0014698</t>
        </is>
      </c>
      <c r="N3258" s="522" t="inlineStr">
        <is>
          <t>V0014698</t>
        </is>
      </c>
      <c r="O3258" s="521">
        <f>M3258=N3258</f>
        <v/>
      </c>
      <c r="P3258" s="521">
        <f>AND(MONTH(F3258)=MONTH(S3258), YEAR(F3258)=YEAR(S3258))</f>
        <v/>
      </c>
      <c r="Q3258" s="521">
        <f>U3258="L001-901905215"</f>
        <v/>
      </c>
      <c r="R3258" s="556">
        <f>G3258-W3258</f>
        <v/>
      </c>
      <c r="S3258" s="523" t="n">
        <v>44131</v>
      </c>
      <c r="T3258" s="522" t="inlineStr">
        <is>
          <t>V0014698</t>
        </is>
      </c>
      <c r="U3258" s="522" t="inlineStr">
        <is>
          <t>L001-901905215</t>
        </is>
      </c>
      <c r="V3258" s="522" t="inlineStr">
        <is>
          <t>វីអ៊ីស៊ិន (ខេមបូឌា) អ៊ិនដាសស្ទ្រី ឯ.ក</t>
        </is>
      </c>
      <c r="W3258" s="556" t="n">
        <v>668306</v>
      </c>
    </row>
    <row r="3259">
      <c r="A3259" s="521" t="n">
        <v>3251</v>
      </c>
      <c r="B3259" s="522" t="n"/>
      <c r="C3259" s="522" t="inlineStr">
        <is>
          <t>កំពង់ផែស្វយ័តភ្នំពេញ "ក.ស.ភ"</t>
        </is>
      </c>
      <c r="D3259" s="522" t="inlineStr">
        <is>
          <t>L001-100044999</t>
        </is>
      </c>
      <c r="E3259" s="521" t="inlineStr">
        <is>
          <t>INV20201050617</t>
        </is>
      </c>
      <c r="F3259" s="523" t="n">
        <v>44130</v>
      </c>
      <c r="G3259" s="556" t="n">
        <v>87464</v>
      </c>
      <c r="I3259" s="521">
        <f>G3259</f>
        <v/>
      </c>
      <c r="K3259" s="521">
        <f>I3259-G3259</f>
        <v/>
      </c>
      <c r="M3259" s="522" t="inlineStr">
        <is>
          <t>INV20201050617</t>
        </is>
      </c>
      <c r="N3259" s="522" t="inlineStr"/>
      <c r="O3259" s="521">
        <f>M3259=N3259</f>
        <v/>
      </c>
      <c r="P3259" s="521">
        <f>AND(MONTH(F3259)=MONTH(S3259), YEAR(F3259)=YEAR(S3259))</f>
        <v/>
      </c>
      <c r="Q3259" s="521">
        <f>U3259="L001-901905215"</f>
        <v/>
      </c>
      <c r="R3259" s="556">
        <f>G3259-W3259</f>
        <v/>
      </c>
      <c r="S3259" s="521" t="n"/>
      <c r="T3259" s="522" t="n"/>
      <c r="U3259" s="522" t="n"/>
      <c r="V3259" s="522" t="n"/>
      <c r="W3259" s="521" t="n"/>
    </row>
    <row r="3260">
      <c r="A3260" s="521" t="n">
        <v>3252</v>
      </c>
      <c r="B3260" s="522" t="n"/>
      <c r="C3260" s="522" t="inlineStr">
        <is>
          <t>កំពង់ផែស្វយ័តភ្នំពេញ "ក.ស.ភ"</t>
        </is>
      </c>
      <c r="D3260" s="522" t="inlineStr">
        <is>
          <t>L001-100044999</t>
        </is>
      </c>
      <c r="E3260" s="521" t="inlineStr">
        <is>
          <t>INV20201050615</t>
        </is>
      </c>
      <c r="F3260" s="523" t="n">
        <v>44130</v>
      </c>
      <c r="G3260" s="556" t="n">
        <v>87464</v>
      </c>
      <c r="I3260" s="521">
        <f>G3260</f>
        <v/>
      </c>
      <c r="K3260" s="521">
        <f>I3260-G3260</f>
        <v/>
      </c>
      <c r="M3260" s="522" t="inlineStr">
        <is>
          <t>INV20201050615</t>
        </is>
      </c>
      <c r="N3260" s="522" t="inlineStr"/>
      <c r="O3260" s="521">
        <f>M3260=N3260</f>
        <v/>
      </c>
      <c r="P3260" s="521">
        <f>AND(MONTH(F3260)=MONTH(S3260), YEAR(F3260)=YEAR(S3260))</f>
        <v/>
      </c>
      <c r="Q3260" s="521">
        <f>U3260="L001-901905215"</f>
        <v/>
      </c>
      <c r="R3260" s="556">
        <f>G3260-W3260</f>
        <v/>
      </c>
      <c r="S3260" s="521" t="n"/>
      <c r="T3260" s="522" t="n"/>
      <c r="U3260" s="522" t="n"/>
      <c r="V3260" s="522" t="n"/>
      <c r="W3260" s="521" t="n"/>
    </row>
    <row r="3261">
      <c r="A3261" s="521" t="n">
        <v>3253</v>
      </c>
      <c r="B3261" s="522" t="n"/>
      <c r="C3261" s="522" t="inlineStr">
        <is>
          <t>ជា យូ អាង ផេកខេកជីង មេធៀរៀល (ខេមបូឌា) ឯ.ក</t>
        </is>
      </c>
      <c r="D3261" s="522" t="inlineStr">
        <is>
          <t>L001-901903560</t>
        </is>
      </c>
      <c r="E3261" s="521" t="inlineStr">
        <is>
          <t>JYA202000134</t>
        </is>
      </c>
      <c r="F3261" s="523" t="n">
        <v>44130</v>
      </c>
      <c r="G3261" s="556" t="n">
        <v>8021090</v>
      </c>
      <c r="I3261" s="521">
        <f>G3261</f>
        <v/>
      </c>
      <c r="K3261" s="521">
        <f>I3261-G3261</f>
        <v/>
      </c>
      <c r="M3261" s="522" t="inlineStr">
        <is>
          <t>JYA202000134</t>
        </is>
      </c>
      <c r="N3261" s="522" t="inlineStr">
        <is>
          <t>JYA202000134</t>
        </is>
      </c>
      <c r="O3261" s="521">
        <f>M3261=N3261</f>
        <v/>
      </c>
      <c r="P3261" s="521">
        <f>AND(MONTH(F3261)=MONTH(S3261), YEAR(F3261)=YEAR(S3261))</f>
        <v/>
      </c>
      <c r="Q3261" s="521">
        <f>U3261="L001-901905215"</f>
        <v/>
      </c>
      <c r="R3261" s="556">
        <f>G3261-W3261</f>
        <v/>
      </c>
      <c r="S3261" s="523" t="n">
        <v>44130</v>
      </c>
      <c r="T3261" s="522" t="inlineStr">
        <is>
          <t>JYA202000134</t>
        </is>
      </c>
      <c r="U3261" s="522" t="inlineStr">
        <is>
          <t>L001-901905215</t>
        </is>
      </c>
      <c r="V3261" s="522" t="inlineStr">
        <is>
          <t>វីអ៊ីស៊ិន (ខេមបូឌា) អ៊ិនដាសស្ទ្រី ឯ.ក</t>
        </is>
      </c>
      <c r="W3261" s="556" t="n">
        <v>8021090</v>
      </c>
    </row>
    <row r="3262">
      <c r="A3262" s="521" t="n">
        <v>3254</v>
      </c>
      <c r="B3262" s="522" t="n"/>
      <c r="C3262" s="522" t="inlineStr">
        <is>
          <t>ស៊ីងហ្គាពួរ កាតុង (ខេមបូឌា)</t>
        </is>
      </c>
      <c r="D3262" s="522" t="inlineStr">
        <is>
          <t>L001-100121322</t>
        </is>
      </c>
      <c r="E3262" s="521" t="inlineStr">
        <is>
          <t>V0014684</t>
        </is>
      </c>
      <c r="F3262" s="523" t="n">
        <v>44130</v>
      </c>
      <c r="G3262" s="556" t="n">
        <v>262186</v>
      </c>
      <c r="I3262" s="521">
        <f>G3262</f>
        <v/>
      </c>
      <c r="K3262" s="521">
        <f>I3262-G3262</f>
        <v/>
      </c>
      <c r="M3262" s="522" t="inlineStr">
        <is>
          <t>V0014684</t>
        </is>
      </c>
      <c r="N3262" s="522" t="inlineStr">
        <is>
          <t>V0014684</t>
        </is>
      </c>
      <c r="O3262" s="521">
        <f>M3262=N3262</f>
        <v/>
      </c>
      <c r="P3262" s="521">
        <f>AND(MONTH(F3262)=MONTH(S3262), YEAR(F3262)=YEAR(S3262))</f>
        <v/>
      </c>
      <c r="Q3262" s="521">
        <f>U3262="L001-901905215"</f>
        <v/>
      </c>
      <c r="R3262" s="556">
        <f>G3262-W3262</f>
        <v/>
      </c>
      <c r="S3262" s="523" t="n">
        <v>44130</v>
      </c>
      <c r="T3262" s="522" t="inlineStr">
        <is>
          <t>V0014684</t>
        </is>
      </c>
      <c r="U3262" s="522" t="inlineStr">
        <is>
          <t>L001-901905215</t>
        </is>
      </c>
      <c r="V3262" s="522" t="inlineStr">
        <is>
          <t>វីអ៊ីស៊ិន (ខេមបូឌា) អ៊ិនដាសស្ទ្រី ឯ.ក</t>
        </is>
      </c>
      <c r="W3262" s="556" t="n">
        <v>261220</v>
      </c>
    </row>
    <row r="3263">
      <c r="A3263" s="521" t="n">
        <v>3255</v>
      </c>
      <c r="B3263" s="522" t="n"/>
      <c r="C3263" s="522" t="inlineStr">
        <is>
          <t>ស៊ីងហ្គាពួរ កាតុង (ខេមបូឌា)</t>
        </is>
      </c>
      <c r="D3263" s="522" t="inlineStr">
        <is>
          <t>L001-100121322</t>
        </is>
      </c>
      <c r="E3263" s="521" t="inlineStr">
        <is>
          <t>V0014683</t>
        </is>
      </c>
      <c r="F3263" s="523" t="n">
        <v>44130</v>
      </c>
      <c r="G3263" s="556" t="n">
        <v>55027</v>
      </c>
      <c r="I3263" s="521">
        <f>G3263</f>
        <v/>
      </c>
      <c r="K3263" s="521">
        <f>I3263-G3263</f>
        <v/>
      </c>
      <c r="M3263" s="522" t="inlineStr">
        <is>
          <t>V0014683</t>
        </is>
      </c>
      <c r="N3263" s="522" t="inlineStr">
        <is>
          <t>V0014683</t>
        </is>
      </c>
      <c r="O3263" s="521">
        <f>M3263=N3263</f>
        <v/>
      </c>
      <c r="P3263" s="521">
        <f>AND(MONTH(F3263)=MONTH(S3263), YEAR(F3263)=YEAR(S3263))</f>
        <v/>
      </c>
      <c r="Q3263" s="521">
        <f>U3263="L001-901905215"</f>
        <v/>
      </c>
      <c r="R3263" s="556">
        <f>G3263-W3263</f>
        <v/>
      </c>
      <c r="S3263" s="523" t="n">
        <v>44130</v>
      </c>
      <c r="T3263" s="522" t="inlineStr">
        <is>
          <t>V0014683</t>
        </is>
      </c>
      <c r="U3263" s="522" t="inlineStr">
        <is>
          <t>L001-901905215</t>
        </is>
      </c>
      <c r="V3263" s="522" t="inlineStr">
        <is>
          <t>វីអ៊ីស៊ិន (ខេមបូឌា) អ៊ិនដាសស្ទ្រី ឯ.ក</t>
        </is>
      </c>
      <c r="W3263" s="556" t="n">
        <v>54825</v>
      </c>
    </row>
    <row r="3264">
      <c r="A3264" s="521" t="n">
        <v>3256</v>
      </c>
      <c r="B3264" s="522" t="n"/>
      <c r="C3264" s="522" t="inlineStr">
        <is>
          <t>ស៊ីងហ្គាពួរ កាតុង (ខេមបូឌា)</t>
        </is>
      </c>
      <c r="D3264" s="522" t="inlineStr">
        <is>
          <t>L001-100121322</t>
        </is>
      </c>
      <c r="E3264" s="521" t="inlineStr">
        <is>
          <t>V0014682</t>
        </is>
      </c>
      <c r="F3264" s="523" t="n">
        <v>44130</v>
      </c>
      <c r="G3264" s="556" t="n">
        <v>334386</v>
      </c>
      <c r="I3264" s="521">
        <f>G3264</f>
        <v/>
      </c>
      <c r="K3264" s="521">
        <f>I3264-G3264</f>
        <v/>
      </c>
      <c r="M3264" s="522" t="inlineStr">
        <is>
          <t>V0014682</t>
        </is>
      </c>
      <c r="N3264" s="522" t="inlineStr">
        <is>
          <t>V0014682</t>
        </is>
      </c>
      <c r="O3264" s="521">
        <f>M3264=N3264</f>
        <v/>
      </c>
      <c r="P3264" s="521">
        <f>AND(MONTH(F3264)=MONTH(S3264), YEAR(F3264)=YEAR(S3264))</f>
        <v/>
      </c>
      <c r="Q3264" s="521">
        <f>U3264="L001-901905215"</f>
        <v/>
      </c>
      <c r="R3264" s="556">
        <f>G3264-W3264</f>
        <v/>
      </c>
      <c r="S3264" s="523" t="n">
        <v>44130</v>
      </c>
      <c r="T3264" s="522" t="inlineStr">
        <is>
          <t>V0014682</t>
        </is>
      </c>
      <c r="U3264" s="522" t="inlineStr">
        <is>
          <t>L001-901905215</t>
        </is>
      </c>
      <c r="V3264" s="522" t="inlineStr">
        <is>
          <t>វីអ៊ីស៊ិន (ខេមបូឌា) អ៊ិនដាសស្ទ្រី ឯ.ក</t>
        </is>
      </c>
      <c r="W3264" s="556" t="n">
        <v>333156</v>
      </c>
    </row>
    <row r="3265">
      <c r="A3265" s="521" t="n">
        <v>3257</v>
      </c>
      <c r="B3265" s="522" t="n"/>
      <c r="C3265" s="522" t="inlineStr">
        <is>
          <t>ស៊ីងហ្គាពួរ កាតុង (ខេមបូឌា)</t>
        </is>
      </c>
      <c r="D3265" s="522" t="inlineStr">
        <is>
          <t>L001-100121322</t>
        </is>
      </c>
      <c r="E3265" s="521" t="inlineStr">
        <is>
          <t>V0014681</t>
        </is>
      </c>
      <c r="F3265" s="523" t="n">
        <v>44130</v>
      </c>
      <c r="G3265" s="556" t="n">
        <v>119887</v>
      </c>
      <c r="I3265" s="521">
        <f>G3265</f>
        <v/>
      </c>
      <c r="K3265" s="521">
        <f>I3265-G3265</f>
        <v/>
      </c>
      <c r="M3265" s="522" t="inlineStr">
        <is>
          <t>V0014681</t>
        </is>
      </c>
      <c r="N3265" s="522" t="inlineStr">
        <is>
          <t>V0014681</t>
        </is>
      </c>
      <c r="O3265" s="521">
        <f>M3265=N3265</f>
        <v/>
      </c>
      <c r="P3265" s="521">
        <f>AND(MONTH(F3265)=MONTH(S3265), YEAR(F3265)=YEAR(S3265))</f>
        <v/>
      </c>
      <c r="Q3265" s="521">
        <f>U3265="L001-901905215"</f>
        <v/>
      </c>
      <c r="R3265" s="556">
        <f>G3265-W3265</f>
        <v/>
      </c>
      <c r="S3265" s="523" t="n">
        <v>44130</v>
      </c>
      <c r="T3265" s="522" t="inlineStr">
        <is>
          <t>V0014681</t>
        </is>
      </c>
      <c r="U3265" s="522" t="inlineStr">
        <is>
          <t>L001-901905215</t>
        </is>
      </c>
      <c r="V3265" s="522" t="inlineStr">
        <is>
          <t>វីអ៊ីស៊ិន (ខេមបូឌា) អ៊ិនដាសស្ទ្រី ឯ.ក</t>
        </is>
      </c>
      <c r="W3265" s="556" t="n">
        <v>119445</v>
      </c>
    </row>
    <row r="3266">
      <c r="A3266" s="521" t="n">
        <v>3258</v>
      </c>
      <c r="B3266" s="522" t="n"/>
      <c r="C3266" s="522" t="inlineStr">
        <is>
          <t>អ៊ីជីអេហ្វ ឡូជីស្ទីក ខូ អិលធីឌី</t>
        </is>
      </c>
      <c r="D3266" s="522" t="inlineStr">
        <is>
          <t>L001-901501877</t>
        </is>
      </c>
      <c r="E3266" s="521" t="inlineStr">
        <is>
          <t>2007137</t>
        </is>
      </c>
      <c r="F3266" s="523" t="n">
        <v>44129</v>
      </c>
      <c r="G3266" s="556" t="n">
        <v>281520</v>
      </c>
      <c r="I3266" s="521">
        <f>G3266</f>
        <v/>
      </c>
      <c r="K3266" s="521">
        <f>I3266-G3266</f>
        <v/>
      </c>
      <c r="M3266" s="522" t="inlineStr">
        <is>
          <t>2007137</t>
        </is>
      </c>
      <c r="N3266" s="522" t="inlineStr">
        <is>
          <t>2007137</t>
        </is>
      </c>
      <c r="O3266" s="521">
        <f>M3266=N3266</f>
        <v/>
      </c>
      <c r="P3266" s="521">
        <f>AND(MONTH(F3266)=MONTH(S3266), YEAR(F3266)=YEAR(S3266))</f>
        <v/>
      </c>
      <c r="Q3266" s="521">
        <f>U3266="L001-901905215"</f>
        <v/>
      </c>
      <c r="R3266" s="556">
        <f>G3266-W3266</f>
        <v/>
      </c>
      <c r="S3266" s="523" t="n">
        <v>44129</v>
      </c>
      <c r="T3266" s="522" t="inlineStr">
        <is>
          <t>20-07137</t>
        </is>
      </c>
      <c r="U3266" s="522" t="inlineStr">
        <is>
          <t>L001-901905215</t>
        </is>
      </c>
      <c r="V3266" s="522" t="inlineStr">
        <is>
          <t>វីអ៊ីស៊ិន (ខេមបូឌា) អ៊ិនដាសស្ទ្រី ឯ.ក</t>
        </is>
      </c>
      <c r="W3266" s="556" t="n">
        <v>281520</v>
      </c>
    </row>
    <row r="3267">
      <c r="A3267" s="521" t="n">
        <v>3259</v>
      </c>
      <c r="B3267" s="522" t="n"/>
      <c r="C3267" s="522" t="inlineStr">
        <is>
          <t>អ៊ីជីអេហ្វ ឡូជីស្ទីក ខូ អិលធីឌី</t>
        </is>
      </c>
      <c r="D3267" s="522" t="inlineStr">
        <is>
          <t>L001-901501877</t>
        </is>
      </c>
      <c r="E3267" s="521" t="inlineStr">
        <is>
          <t>2007136</t>
        </is>
      </c>
      <c r="F3267" s="523" t="n">
        <v>44129</v>
      </c>
      <c r="G3267" s="556" t="n">
        <v>89760</v>
      </c>
      <c r="I3267" s="521">
        <f>G3267</f>
        <v/>
      </c>
      <c r="K3267" s="521">
        <f>I3267-G3267</f>
        <v/>
      </c>
      <c r="M3267" s="522" t="inlineStr">
        <is>
          <t>2007136</t>
        </is>
      </c>
      <c r="N3267" s="522" t="inlineStr">
        <is>
          <t>2007136</t>
        </is>
      </c>
      <c r="O3267" s="521">
        <f>M3267=N3267</f>
        <v/>
      </c>
      <c r="P3267" s="521">
        <f>AND(MONTH(F3267)=MONTH(S3267), YEAR(F3267)=YEAR(S3267))</f>
        <v/>
      </c>
      <c r="Q3267" s="521">
        <f>U3267="L001-901905215"</f>
        <v/>
      </c>
      <c r="R3267" s="556">
        <f>G3267-W3267</f>
        <v/>
      </c>
      <c r="S3267" s="523" t="n">
        <v>44129</v>
      </c>
      <c r="T3267" s="522" t="inlineStr">
        <is>
          <t>20-07136</t>
        </is>
      </c>
      <c r="U3267" s="522" t="inlineStr">
        <is>
          <t>L001-901905215</t>
        </is>
      </c>
      <c r="V3267" s="522" t="inlineStr">
        <is>
          <t>វីអ៊ីស៊ិន (ខេមបូឌា) អ៊ិនដាសស្ទ្រី ឯ.ក</t>
        </is>
      </c>
      <c r="W3267" s="556" t="n">
        <v>89760</v>
      </c>
    </row>
    <row r="3268">
      <c r="A3268" s="521" t="n">
        <v>3260</v>
      </c>
      <c r="B3268" s="522" t="n"/>
      <c r="C3268" s="522" t="inlineStr">
        <is>
          <t>អ៊ីជីអេហ្វ ឡូជីស្ទីក ខូ អិលធីឌី</t>
        </is>
      </c>
      <c r="D3268" s="522" t="inlineStr">
        <is>
          <t>L001-901501877</t>
        </is>
      </c>
      <c r="E3268" s="521" t="inlineStr">
        <is>
          <t>2007135</t>
        </is>
      </c>
      <c r="F3268" s="523" t="n">
        <v>44129</v>
      </c>
      <c r="G3268" s="556" t="n">
        <v>281520</v>
      </c>
      <c r="I3268" s="521">
        <f>G3268</f>
        <v/>
      </c>
      <c r="K3268" s="521">
        <f>I3268-G3268</f>
        <v/>
      </c>
      <c r="M3268" s="522" t="inlineStr">
        <is>
          <t>2007135</t>
        </is>
      </c>
      <c r="N3268" s="522" t="inlineStr">
        <is>
          <t>2007135</t>
        </is>
      </c>
      <c r="O3268" s="521">
        <f>M3268=N3268</f>
        <v/>
      </c>
      <c r="P3268" s="521">
        <f>AND(MONTH(F3268)=MONTH(S3268), YEAR(F3268)=YEAR(S3268))</f>
        <v/>
      </c>
      <c r="Q3268" s="521">
        <f>U3268="L001-901905215"</f>
        <v/>
      </c>
      <c r="R3268" s="556">
        <f>G3268-W3268</f>
        <v/>
      </c>
      <c r="S3268" s="523" t="n">
        <v>44129</v>
      </c>
      <c r="T3268" s="522" t="inlineStr">
        <is>
          <t>20-07135</t>
        </is>
      </c>
      <c r="U3268" s="522" t="inlineStr">
        <is>
          <t>L001-901905215</t>
        </is>
      </c>
      <c r="V3268" s="522" t="inlineStr">
        <is>
          <t>វីអ៊ីស៊ិន (ខេមបូឌា) អ៊ិនដាសស្ទ្រី ឯ.ក</t>
        </is>
      </c>
      <c r="W3268" s="556" t="n">
        <v>281520</v>
      </c>
    </row>
    <row r="3269">
      <c r="A3269" s="521" t="n">
        <v>3261</v>
      </c>
      <c r="B3269" s="522" t="n"/>
      <c r="C3269" s="522" t="inlineStr">
        <is>
          <t>ប្យួរ៉ូ វេរីតាស (ខេមបូឌា) លីមីធីត</t>
        </is>
      </c>
      <c r="D3269" s="522" t="inlineStr">
        <is>
          <t>L001-107024462</t>
        </is>
      </c>
      <c r="E3269" s="521" t="inlineStr">
        <is>
          <t>59008884</t>
        </is>
      </c>
      <c r="F3269" s="523" t="n">
        <v>44128</v>
      </c>
      <c r="G3269" s="556" t="n">
        <v>95249</v>
      </c>
      <c r="I3269" s="521">
        <f>G3269</f>
        <v/>
      </c>
      <c r="K3269" s="521">
        <f>I3269-G3269</f>
        <v/>
      </c>
      <c r="M3269" s="522" t="inlineStr">
        <is>
          <t>59008884</t>
        </is>
      </c>
      <c r="N3269" s="522" t="inlineStr"/>
      <c r="O3269" s="521">
        <f>M3269=N3269</f>
        <v/>
      </c>
      <c r="P3269" s="521">
        <f>AND(MONTH(F3269)=MONTH(S3269), YEAR(F3269)=YEAR(S3269))</f>
        <v/>
      </c>
      <c r="Q3269" s="521">
        <f>U3269="L001-901905215"</f>
        <v/>
      </c>
      <c r="R3269" s="556">
        <f>G3269-W3269</f>
        <v/>
      </c>
      <c r="S3269" s="521" t="n"/>
      <c r="T3269" s="522" t="n"/>
      <c r="U3269" s="522" t="n"/>
      <c r="V3269" s="522" t="n"/>
      <c r="W3269" s="521" t="n"/>
    </row>
    <row r="3270">
      <c r="A3270" s="521" t="n">
        <v>3262</v>
      </c>
      <c r="B3270" s="522" t="n"/>
      <c r="C3270" s="522" t="inlineStr">
        <is>
          <t>អ៊ិនធើថេក ថេសធីង សឺវីស (ខេមបូឌា) ខមភេនី លីមីធីត</t>
        </is>
      </c>
      <c r="D3270" s="522" t="inlineStr">
        <is>
          <t>L001-100045707</t>
        </is>
      </c>
      <c r="E3270" s="521" t="inlineStr">
        <is>
          <t>KHM20200011313</t>
        </is>
      </c>
      <c r="F3270" s="523" t="n">
        <v>44128</v>
      </c>
      <c r="G3270" s="556" t="n">
        <v>57676</v>
      </c>
      <c r="I3270" s="521">
        <f>G3270</f>
        <v/>
      </c>
      <c r="K3270" s="521">
        <f>I3270-G3270</f>
        <v/>
      </c>
      <c r="M3270" s="522" t="inlineStr">
        <is>
          <t>KHM20200011313</t>
        </is>
      </c>
      <c r="N3270" s="522" t="inlineStr"/>
      <c r="O3270" s="521">
        <f>M3270=N3270</f>
        <v/>
      </c>
      <c r="P3270" s="521">
        <f>AND(MONTH(F3270)=MONTH(S3270), YEAR(F3270)=YEAR(S3270))</f>
        <v/>
      </c>
      <c r="Q3270" s="521">
        <f>U3270="L001-901905215"</f>
        <v/>
      </c>
      <c r="R3270" s="556">
        <f>G3270-W3270</f>
        <v/>
      </c>
      <c r="S3270" s="521" t="n"/>
      <c r="T3270" s="522" t="n"/>
      <c r="U3270" s="522" t="n"/>
      <c r="V3270" s="522" t="n"/>
      <c r="W3270" s="521" t="n"/>
    </row>
    <row r="3271">
      <c r="A3271" s="521" t="n">
        <v>3263</v>
      </c>
      <c r="B3271" s="522" t="n"/>
      <c r="C3271" s="522" t="inlineStr">
        <is>
          <t>ភ្នំពេញ អេសអ៊ីហ្សិត ភីអិលស៊ី</t>
        </is>
      </c>
      <c r="D3271" s="522" t="inlineStr">
        <is>
          <t>L001-100046592</t>
        </is>
      </c>
      <c r="E3271" s="521" t="inlineStr">
        <is>
          <t>2020-00468</t>
        </is>
      </c>
      <c r="F3271" s="523" t="n">
        <v>44126</v>
      </c>
      <c r="G3271" s="556" t="n">
        <v>228480</v>
      </c>
      <c r="I3271" s="521">
        <f>G3271</f>
        <v/>
      </c>
      <c r="K3271" s="521">
        <f>I3271-G3271</f>
        <v/>
      </c>
      <c r="M3271" s="522" t="inlineStr">
        <is>
          <t>202000468</t>
        </is>
      </c>
      <c r="N3271" s="522" t="inlineStr"/>
      <c r="O3271" s="521">
        <f>M3271=N3271</f>
        <v/>
      </c>
      <c r="P3271" s="521">
        <f>AND(MONTH(F3271)=MONTH(S3271), YEAR(F3271)=YEAR(S3271))</f>
        <v/>
      </c>
      <c r="Q3271" s="521">
        <f>U3271="L001-901905215"</f>
        <v/>
      </c>
      <c r="R3271" s="556">
        <f>G3271-W3271</f>
        <v/>
      </c>
      <c r="S3271" s="521" t="n"/>
      <c r="T3271" s="522" t="n"/>
      <c r="U3271" s="522" t="n"/>
      <c r="V3271" s="522" t="n"/>
      <c r="W3271" s="521" t="n"/>
    </row>
    <row r="3272">
      <c r="A3272" s="521" t="n">
        <v>3264</v>
      </c>
      <c r="B3272" s="522" t="n"/>
      <c r="C3272" s="522" t="inlineStr">
        <is>
          <t>ខេមវីល គ្លូប៊ល ឯ.ក</t>
        </is>
      </c>
      <c r="D3272" s="522" t="inlineStr">
        <is>
          <t>L001-901637190</t>
        </is>
      </c>
      <c r="E3272" s="521" t="inlineStr">
        <is>
          <t>INV201085</t>
        </is>
      </c>
      <c r="F3272" s="523" t="n">
        <v>44126</v>
      </c>
      <c r="G3272" s="556" t="n">
        <v>224400</v>
      </c>
      <c r="I3272" s="521">
        <f>G3272</f>
        <v/>
      </c>
      <c r="K3272" s="521">
        <f>I3272-G3272</f>
        <v/>
      </c>
      <c r="M3272" s="522" t="inlineStr">
        <is>
          <t>INV201085</t>
        </is>
      </c>
      <c r="N3272" s="522" t="inlineStr">
        <is>
          <t>INV201085</t>
        </is>
      </c>
      <c r="O3272" s="521">
        <f>M3272=N3272</f>
        <v/>
      </c>
      <c r="P3272" s="521">
        <f>AND(MONTH(F3272)=MONTH(S3272), YEAR(F3272)=YEAR(S3272))</f>
        <v/>
      </c>
      <c r="Q3272" s="521">
        <f>U3272="L001-901905215"</f>
        <v/>
      </c>
      <c r="R3272" s="556">
        <f>G3272-W3272</f>
        <v/>
      </c>
      <c r="S3272" s="523" t="n">
        <v>44126</v>
      </c>
      <c r="T3272" s="522" t="inlineStr">
        <is>
          <t>INV201085</t>
        </is>
      </c>
      <c r="U3272" s="522" t="inlineStr">
        <is>
          <t>L001-901905215</t>
        </is>
      </c>
      <c r="V3272" s="522" t="inlineStr">
        <is>
          <t>វីអ៊ីស៊ិន (ខេមបូឌា) អ៊ិនដាសស្ទ្រី ឯ.ក</t>
        </is>
      </c>
      <c r="W3272" s="556" t="n">
        <v>224400</v>
      </c>
    </row>
    <row r="3273">
      <c r="A3273" s="521" t="n">
        <v>3265</v>
      </c>
      <c r="B3273" s="522" t="n"/>
      <c r="C3273" s="522" t="inlineStr">
        <is>
          <t>ខេមវីល គ្លូប៊ល ឯ.ក</t>
        </is>
      </c>
      <c r="D3273" s="522" t="inlineStr">
        <is>
          <t>L001-901637190</t>
        </is>
      </c>
      <c r="E3273" s="521" t="inlineStr">
        <is>
          <t>INV201084</t>
        </is>
      </c>
      <c r="F3273" s="523" t="n">
        <v>44126</v>
      </c>
      <c r="G3273" s="556" t="n">
        <v>224400</v>
      </c>
      <c r="I3273" s="521">
        <f>G3273</f>
        <v/>
      </c>
      <c r="K3273" s="521">
        <f>I3273-G3273</f>
        <v/>
      </c>
      <c r="M3273" s="522" t="inlineStr">
        <is>
          <t>INV201084</t>
        </is>
      </c>
      <c r="N3273" s="522" t="inlineStr">
        <is>
          <t>INV201084</t>
        </is>
      </c>
      <c r="O3273" s="521">
        <f>M3273=N3273</f>
        <v/>
      </c>
      <c r="P3273" s="521">
        <f>AND(MONTH(F3273)=MONTH(S3273), YEAR(F3273)=YEAR(S3273))</f>
        <v/>
      </c>
      <c r="Q3273" s="521">
        <f>U3273="L001-901905215"</f>
        <v/>
      </c>
      <c r="R3273" s="556">
        <f>G3273-W3273</f>
        <v/>
      </c>
      <c r="S3273" s="523" t="n">
        <v>44126</v>
      </c>
      <c r="T3273" s="522" t="inlineStr">
        <is>
          <t>INV201084</t>
        </is>
      </c>
      <c r="U3273" s="522" t="inlineStr">
        <is>
          <t>L001-901905215</t>
        </is>
      </c>
      <c r="V3273" s="522" t="inlineStr">
        <is>
          <t>វីអ៊ីស៊ិន (ខេមបូឌា) អ៊ិនដាសស្ទ្រី ឯ.ក</t>
        </is>
      </c>
      <c r="W3273" s="556" t="n">
        <v>224400</v>
      </c>
    </row>
    <row r="3274">
      <c r="A3274" s="521" t="n">
        <v>3266</v>
      </c>
      <c r="B3274" s="522" t="n"/>
      <c r="C3274" s="522" t="inlineStr">
        <is>
          <t>អ៊ិចស្ពែឌីធ័រ ខេមបូឌា អិលធីឌី</t>
        </is>
      </c>
      <c r="D3274" s="522" t="inlineStr">
        <is>
          <t>L001-100045898</t>
        </is>
      </c>
      <c r="E3274" s="521" t="inlineStr">
        <is>
          <t>TI0185622</t>
        </is>
      </c>
      <c r="F3274" s="523" t="n">
        <v>44125</v>
      </c>
      <c r="G3274" s="556" t="n">
        <v>118476</v>
      </c>
      <c r="I3274" s="521">
        <f>G3274</f>
        <v/>
      </c>
      <c r="K3274" s="521">
        <f>I3274-G3274</f>
        <v/>
      </c>
      <c r="M3274" s="522" t="inlineStr">
        <is>
          <t>TI0185622</t>
        </is>
      </c>
      <c r="N3274" s="522" t="inlineStr"/>
      <c r="O3274" s="521">
        <f>M3274=N3274</f>
        <v/>
      </c>
      <c r="P3274" s="521">
        <f>AND(MONTH(F3274)=MONTH(S3274), YEAR(F3274)=YEAR(S3274))</f>
        <v/>
      </c>
      <c r="Q3274" s="521">
        <f>U3274="L001-901905215"</f>
        <v/>
      </c>
      <c r="R3274" s="556">
        <f>G3274-W3274</f>
        <v/>
      </c>
      <c r="S3274" s="521" t="n"/>
      <c r="T3274" s="522" t="n"/>
      <c r="U3274" s="522" t="n"/>
      <c r="V3274" s="522" t="n"/>
      <c r="W3274" s="521" t="n"/>
    </row>
    <row r="3275">
      <c r="A3275" s="521" t="n">
        <v>3267</v>
      </c>
      <c r="B3275" s="522" t="n"/>
      <c r="C3275" s="522" t="inlineStr">
        <is>
          <t>អ៊ីជីអេហ្វ ឡូជីស្ទីក ខូ អិលធីឌី</t>
        </is>
      </c>
      <c r="D3275" s="522" t="inlineStr">
        <is>
          <t>L001-901501877</t>
        </is>
      </c>
      <c r="E3275" s="521" t="inlineStr">
        <is>
          <t>2007043</t>
        </is>
      </c>
      <c r="F3275" s="523" t="n">
        <v>44125</v>
      </c>
      <c r="G3275" s="556" t="n">
        <v>94185</v>
      </c>
      <c r="I3275" s="521">
        <f>G3275</f>
        <v/>
      </c>
      <c r="K3275" s="521">
        <f>I3275-G3275</f>
        <v/>
      </c>
      <c r="M3275" s="522" t="inlineStr">
        <is>
          <t>2007043</t>
        </is>
      </c>
      <c r="N3275" s="522" t="inlineStr">
        <is>
          <t>2007043</t>
        </is>
      </c>
      <c r="O3275" s="521">
        <f>M3275=N3275</f>
        <v/>
      </c>
      <c r="P3275" s="521">
        <f>AND(MONTH(F3275)=MONTH(S3275), YEAR(F3275)=YEAR(S3275))</f>
        <v/>
      </c>
      <c r="Q3275" s="521">
        <f>U3275="L001-901905215"</f>
        <v/>
      </c>
      <c r="R3275" s="556">
        <f>G3275-W3275</f>
        <v/>
      </c>
      <c r="S3275" s="523" t="n">
        <v>44125</v>
      </c>
      <c r="T3275" s="522" t="inlineStr">
        <is>
          <t>20-07043</t>
        </is>
      </c>
      <c r="U3275" s="522" t="inlineStr">
        <is>
          <t>L001-901905215</t>
        </is>
      </c>
      <c r="V3275" s="522" t="inlineStr">
        <is>
          <t>វីអ៊ីស៊ិន (ខេមបូឌា) អ៊ិនដាសស្ទ្រី ឯ.ក</t>
        </is>
      </c>
      <c r="W3275" s="556" t="n">
        <v>94185</v>
      </c>
    </row>
    <row r="3276">
      <c r="A3276" s="521" t="n">
        <v>3268</v>
      </c>
      <c r="B3276" s="522" t="n"/>
      <c r="C3276" s="522" t="inlineStr">
        <is>
          <t>អ៊ីជីអេហ្វ ឡូជីស្ទីក ខូ អិលធីឌី</t>
        </is>
      </c>
      <c r="D3276" s="522" t="inlineStr">
        <is>
          <t>L001-901501877</t>
        </is>
      </c>
      <c r="E3276" s="521" t="inlineStr">
        <is>
          <t>2007046</t>
        </is>
      </c>
      <c r="F3276" s="523" t="n">
        <v>44125</v>
      </c>
      <c r="G3276" s="556" t="n">
        <v>94185</v>
      </c>
      <c r="I3276" s="521">
        <f>G3276</f>
        <v/>
      </c>
      <c r="K3276" s="521">
        <f>I3276-G3276</f>
        <v/>
      </c>
      <c r="M3276" s="522" t="inlineStr">
        <is>
          <t>2007046</t>
        </is>
      </c>
      <c r="N3276" s="522" t="inlineStr">
        <is>
          <t>2007046</t>
        </is>
      </c>
      <c r="O3276" s="521">
        <f>M3276=N3276</f>
        <v/>
      </c>
      <c r="P3276" s="521">
        <f>AND(MONTH(F3276)=MONTH(S3276), YEAR(F3276)=YEAR(S3276))</f>
        <v/>
      </c>
      <c r="Q3276" s="521">
        <f>U3276="L001-901905215"</f>
        <v/>
      </c>
      <c r="R3276" s="556">
        <f>G3276-W3276</f>
        <v/>
      </c>
      <c r="S3276" s="523" t="n">
        <v>44125</v>
      </c>
      <c r="T3276" s="522" t="inlineStr">
        <is>
          <t>20-07046</t>
        </is>
      </c>
      <c r="U3276" s="522" t="inlineStr">
        <is>
          <t>L001-901905215</t>
        </is>
      </c>
      <c r="V3276" s="522" t="inlineStr">
        <is>
          <t>វីអ៊ីស៊ិន (ខេមបូឌា) អ៊ិនដាសស្ទ្រី ឯ.ក</t>
        </is>
      </c>
      <c r="W3276" s="556" t="n">
        <v>94185</v>
      </c>
    </row>
    <row r="3277">
      <c r="A3277" s="521" t="n">
        <v>3269</v>
      </c>
      <c r="B3277" s="522" t="n"/>
      <c r="C3277" s="522" t="inlineStr">
        <is>
          <t>អ៊ីជីអេហ្វ ឡូជីស្ទីក ខូ អិលធីឌី</t>
        </is>
      </c>
      <c r="D3277" s="522" t="inlineStr">
        <is>
          <t>L001-901501877</t>
        </is>
      </c>
      <c r="E3277" s="521" t="inlineStr">
        <is>
          <t>2007044</t>
        </is>
      </c>
      <c r="F3277" s="523" t="n">
        <v>44125</v>
      </c>
      <c r="G3277" s="556" t="n">
        <v>94185</v>
      </c>
      <c r="I3277" s="521">
        <f>G3277</f>
        <v/>
      </c>
      <c r="K3277" s="521">
        <f>I3277-G3277</f>
        <v/>
      </c>
      <c r="M3277" s="522" t="inlineStr">
        <is>
          <t>2007044</t>
        </is>
      </c>
      <c r="N3277" s="522" t="inlineStr">
        <is>
          <t>2007044</t>
        </is>
      </c>
      <c r="O3277" s="521">
        <f>M3277=N3277</f>
        <v/>
      </c>
      <c r="P3277" s="521">
        <f>AND(MONTH(F3277)=MONTH(S3277), YEAR(F3277)=YEAR(S3277))</f>
        <v/>
      </c>
      <c r="Q3277" s="521">
        <f>U3277="L001-901905215"</f>
        <v/>
      </c>
      <c r="R3277" s="556">
        <f>G3277-W3277</f>
        <v/>
      </c>
      <c r="S3277" s="523" t="n">
        <v>44125</v>
      </c>
      <c r="T3277" s="522" t="inlineStr">
        <is>
          <t>20-07044</t>
        </is>
      </c>
      <c r="U3277" s="522" t="inlineStr">
        <is>
          <t>L001-901905215</t>
        </is>
      </c>
      <c r="V3277" s="522" t="inlineStr">
        <is>
          <t>វីអ៊ីស៊ិន (ខេមបូឌា) អ៊ិនដាសស្ទ្រី ឯ.ក</t>
        </is>
      </c>
      <c r="W3277" s="556" t="n">
        <v>94185</v>
      </c>
    </row>
    <row r="3278">
      <c r="A3278" s="521" t="n">
        <v>3270</v>
      </c>
      <c r="B3278" s="522" t="n"/>
      <c r="C3278" s="522" t="inlineStr">
        <is>
          <t>អ៊ីជីអេហ្វ ឡូជីស្ទីក ខូ អិលធីឌី</t>
        </is>
      </c>
      <c r="D3278" s="522" t="inlineStr">
        <is>
          <t>L001-901501877</t>
        </is>
      </c>
      <c r="E3278" s="521" t="inlineStr">
        <is>
          <t>2007045</t>
        </is>
      </c>
      <c r="F3278" s="523" t="n">
        <v>44125</v>
      </c>
      <c r="G3278" s="556" t="n">
        <v>94185</v>
      </c>
      <c r="I3278" s="521">
        <f>G3278</f>
        <v/>
      </c>
      <c r="K3278" s="521">
        <f>I3278-G3278</f>
        <v/>
      </c>
      <c r="M3278" s="522" t="inlineStr">
        <is>
          <t>2007045</t>
        </is>
      </c>
      <c r="N3278" s="522" t="inlineStr">
        <is>
          <t>2007045</t>
        </is>
      </c>
      <c r="O3278" s="521">
        <f>M3278=N3278</f>
        <v/>
      </c>
      <c r="P3278" s="521">
        <f>AND(MONTH(F3278)=MONTH(S3278), YEAR(F3278)=YEAR(S3278))</f>
        <v/>
      </c>
      <c r="Q3278" s="521">
        <f>U3278="L001-901905215"</f>
        <v/>
      </c>
      <c r="R3278" s="556">
        <f>G3278-W3278</f>
        <v/>
      </c>
      <c r="S3278" s="523" t="n">
        <v>44125</v>
      </c>
      <c r="T3278" s="522" t="inlineStr">
        <is>
          <t>20-07045</t>
        </is>
      </c>
      <c r="U3278" s="522" t="inlineStr">
        <is>
          <t>L001-901905215</t>
        </is>
      </c>
      <c r="V3278" s="522" t="inlineStr">
        <is>
          <t>វីអ៊ីស៊ិន (ខេមបូឌា) អ៊ិនដាសស្ទ្រី ឯ.ក</t>
        </is>
      </c>
      <c r="W3278" s="556" t="n">
        <v>94185</v>
      </c>
    </row>
    <row r="3279">
      <c r="A3279" s="521" t="n">
        <v>3271</v>
      </c>
      <c r="B3279" s="522" t="n"/>
      <c r="C3279" s="522" t="inlineStr">
        <is>
          <t>អ៊ីជីអេហ្វ ឡូជីស្ទីក ខូ អិលធីឌី</t>
        </is>
      </c>
      <c r="D3279" s="522" t="inlineStr">
        <is>
          <t>L001-901501877</t>
        </is>
      </c>
      <c r="E3279" s="521" t="inlineStr">
        <is>
          <t>2007042</t>
        </is>
      </c>
      <c r="F3279" s="523" t="n">
        <v>44125</v>
      </c>
      <c r="G3279" s="556" t="n">
        <v>94185</v>
      </c>
      <c r="I3279" s="521">
        <f>G3279</f>
        <v/>
      </c>
      <c r="K3279" s="521">
        <f>I3279-G3279</f>
        <v/>
      </c>
      <c r="M3279" s="522" t="inlineStr">
        <is>
          <t>2007042</t>
        </is>
      </c>
      <c r="N3279" s="522" t="inlineStr">
        <is>
          <t>2007042</t>
        </is>
      </c>
      <c r="O3279" s="521">
        <f>M3279=N3279</f>
        <v/>
      </c>
      <c r="P3279" s="521">
        <f>AND(MONTH(F3279)=MONTH(S3279), YEAR(F3279)=YEAR(S3279))</f>
        <v/>
      </c>
      <c r="Q3279" s="521">
        <f>U3279="L001-901905215"</f>
        <v/>
      </c>
      <c r="R3279" s="556">
        <f>G3279-W3279</f>
        <v/>
      </c>
      <c r="S3279" s="523" t="n">
        <v>44125</v>
      </c>
      <c r="T3279" s="522" t="inlineStr">
        <is>
          <t>20-07042</t>
        </is>
      </c>
      <c r="U3279" s="522" t="inlineStr">
        <is>
          <t>L001-901905215</t>
        </is>
      </c>
      <c r="V3279" s="522" t="inlineStr">
        <is>
          <t>វីអ៊ីស៊ិន (ខេមបូឌា) អ៊ិនដាសស្ទ្រី ឯ.ក</t>
        </is>
      </c>
      <c r="W3279" s="556" t="n">
        <v>94185</v>
      </c>
    </row>
    <row r="3280">
      <c r="A3280" s="521" t="n">
        <v>3272</v>
      </c>
      <c r="B3280" s="522" t="n"/>
      <c r="C3280" s="522" t="inlineStr">
        <is>
          <t>ឆាយ ដា ឡូយីស្ទីក</t>
        </is>
      </c>
      <c r="D3280" s="522" t="inlineStr">
        <is>
          <t>L001-100063098</t>
        </is>
      </c>
      <c r="E3280" s="521" t="inlineStr">
        <is>
          <t>2010009278</t>
        </is>
      </c>
      <c r="F3280" s="523" t="n">
        <v>44123</v>
      </c>
      <c r="G3280" s="556" t="n">
        <v>89834</v>
      </c>
      <c r="I3280" s="521">
        <f>G3280</f>
        <v/>
      </c>
      <c r="K3280" s="521">
        <f>I3280-G3280</f>
        <v/>
      </c>
      <c r="M3280" s="522" t="inlineStr">
        <is>
          <t>2010009278</t>
        </is>
      </c>
      <c r="N3280" s="522" t="inlineStr">
        <is>
          <t>2010009278</t>
        </is>
      </c>
      <c r="O3280" s="521">
        <f>M3280=N3280</f>
        <v/>
      </c>
      <c r="P3280" s="521">
        <f>AND(MONTH(F3280)=MONTH(S3280), YEAR(F3280)=YEAR(S3280))</f>
        <v/>
      </c>
      <c r="Q3280" s="521">
        <f>U3280="L001-901905215"</f>
        <v/>
      </c>
      <c r="R3280" s="556">
        <f>G3280-W3280</f>
        <v/>
      </c>
      <c r="S3280" s="523" t="n">
        <v>44123</v>
      </c>
      <c r="T3280" s="522" t="inlineStr">
        <is>
          <t>2010009278</t>
        </is>
      </c>
      <c r="U3280" s="522" t="inlineStr">
        <is>
          <t>L001-901905215</t>
        </is>
      </c>
      <c r="V3280" s="522" t="inlineStr">
        <is>
          <t>វីអ៊ីស៊ិន (ខេមបូឌា) អ៊ិនដាសស្ទ្រី ឯ.ក</t>
        </is>
      </c>
      <c r="W3280" s="556" t="n">
        <v>89834</v>
      </c>
    </row>
    <row r="3281">
      <c r="A3281" s="521" t="n">
        <v>3273</v>
      </c>
      <c r="B3281" s="522" t="n"/>
      <c r="C3281" s="522" t="inlineStr">
        <is>
          <t>អ៊ីជីអេហ្វ ឡូជីស្ទីក ខូ អិលធីឌី</t>
        </is>
      </c>
      <c r="D3281" s="522" t="inlineStr">
        <is>
          <t>L001-901501877</t>
        </is>
      </c>
      <c r="E3281" s="521" t="inlineStr">
        <is>
          <t>2006975</t>
        </is>
      </c>
      <c r="F3281" s="523" t="n">
        <v>44121</v>
      </c>
      <c r="G3281" s="556" t="n">
        <v>102500</v>
      </c>
      <c r="I3281" s="521">
        <f>G3281</f>
        <v/>
      </c>
      <c r="K3281" s="521">
        <f>I3281-G3281</f>
        <v/>
      </c>
      <c r="M3281" s="522" t="inlineStr">
        <is>
          <t>2006975</t>
        </is>
      </c>
      <c r="N3281" s="522" t="inlineStr">
        <is>
          <t>2006975</t>
        </is>
      </c>
      <c r="O3281" s="521">
        <f>M3281=N3281</f>
        <v/>
      </c>
      <c r="P3281" s="521">
        <f>AND(MONTH(F3281)=MONTH(S3281), YEAR(F3281)=YEAR(S3281))</f>
        <v/>
      </c>
      <c r="Q3281" s="521">
        <f>U3281="L001-901905215"</f>
        <v/>
      </c>
      <c r="R3281" s="556">
        <f>G3281-W3281</f>
        <v/>
      </c>
      <c r="S3281" s="523" t="n">
        <v>44121</v>
      </c>
      <c r="T3281" s="522" t="inlineStr">
        <is>
          <t>20-06975</t>
        </is>
      </c>
      <c r="U3281" s="522" t="inlineStr">
        <is>
          <t>L001-901905215</t>
        </is>
      </c>
      <c r="V3281" s="522" t="inlineStr">
        <is>
          <t>វីអ៊ីស៊ិន (ខេមបូឌា) អ៊ិនដាសស្ទ្រី ឯ.ក</t>
        </is>
      </c>
      <c r="W3281" s="556" t="n">
        <v>102500</v>
      </c>
    </row>
    <row r="3282">
      <c r="A3282" s="521" t="n">
        <v>3274</v>
      </c>
      <c r="B3282" s="522" t="n"/>
      <c r="C3282" s="522" t="inlineStr">
        <is>
          <t>ភ្នំពេញ អេសអ៊ីហ្សិត ភីអិលស៊ី</t>
        </is>
      </c>
      <c r="D3282" s="522" t="inlineStr">
        <is>
          <t>L001-100046592</t>
        </is>
      </c>
      <c r="E3282" s="521" t="inlineStr">
        <is>
          <t>2020-04778</t>
        </is>
      </c>
      <c r="F3282" s="523" t="n">
        <v>44120</v>
      </c>
      <c r="G3282" s="556" t="n">
        <v>202115</v>
      </c>
      <c r="I3282" s="521">
        <f>G3282</f>
        <v/>
      </c>
      <c r="K3282" s="521">
        <f>I3282-G3282</f>
        <v/>
      </c>
      <c r="M3282" s="522" t="inlineStr">
        <is>
          <t>202004778</t>
        </is>
      </c>
      <c r="N3282" s="522" t="inlineStr"/>
      <c r="O3282" s="521">
        <f>M3282=N3282</f>
        <v/>
      </c>
      <c r="P3282" s="521">
        <f>AND(MONTH(F3282)=MONTH(S3282), YEAR(F3282)=YEAR(S3282))</f>
        <v/>
      </c>
      <c r="Q3282" s="521">
        <f>U3282="L001-901905215"</f>
        <v/>
      </c>
      <c r="R3282" s="556">
        <f>G3282-W3282</f>
        <v/>
      </c>
      <c r="S3282" s="521" t="n"/>
      <c r="T3282" s="522" t="n"/>
      <c r="U3282" s="522" t="n"/>
      <c r="V3282" s="522" t="n"/>
      <c r="W3282" s="521" t="n"/>
    </row>
    <row r="3283">
      <c r="A3283" s="521" t="n">
        <v>3275</v>
      </c>
      <c r="B3283" s="522" t="n"/>
      <c r="C3283" s="522" t="inlineStr">
        <is>
          <t>យូសេន ឡូជីស្ទីក (ខេមបូឌា) ខូ អិលធីឌី</t>
        </is>
      </c>
      <c r="D3283" s="522" t="inlineStr">
        <is>
          <t>L001-104015799</t>
        </is>
      </c>
      <c r="E3283" s="521" t="inlineStr">
        <is>
          <t>PNHTI0012760</t>
        </is>
      </c>
      <c r="F3283" s="523" t="n">
        <v>44118</v>
      </c>
      <c r="G3283" s="556" t="n">
        <v>141588</v>
      </c>
      <c r="I3283" s="521">
        <f>G3283</f>
        <v/>
      </c>
      <c r="K3283" s="521">
        <f>I3283-G3283</f>
        <v/>
      </c>
      <c r="M3283" s="522" t="inlineStr">
        <is>
          <t>PNHTI0012760</t>
        </is>
      </c>
      <c r="N3283" s="522" t="inlineStr"/>
      <c r="O3283" s="521">
        <f>M3283=N3283</f>
        <v/>
      </c>
      <c r="P3283" s="521">
        <f>AND(MONTH(F3283)=MONTH(S3283), YEAR(F3283)=YEAR(S3283))</f>
        <v/>
      </c>
      <c r="Q3283" s="521">
        <f>U3283="L001-901905215"</f>
        <v/>
      </c>
      <c r="R3283" s="556">
        <f>G3283-W3283</f>
        <v/>
      </c>
      <c r="S3283" s="521" t="n"/>
      <c r="T3283" s="522" t="n"/>
      <c r="U3283" s="522" t="n"/>
      <c r="V3283" s="522" t="n"/>
      <c r="W3283" s="521" t="n"/>
    </row>
    <row r="3284">
      <c r="A3284" s="521" t="n">
        <v>3276</v>
      </c>
      <c r="B3284" s="522" t="n"/>
      <c r="C3284" s="522" t="inlineStr">
        <is>
          <t>យូសេន ឡូជីស្ទីក (ខេមបូឌា) ខូ អិលធីឌី</t>
        </is>
      </c>
      <c r="D3284" s="522" t="inlineStr">
        <is>
          <t>L001-104015799</t>
        </is>
      </c>
      <c r="E3284" s="521" t="inlineStr">
        <is>
          <t>PNHTI0012763</t>
        </is>
      </c>
      <c r="F3284" s="523" t="n">
        <v>44118</v>
      </c>
      <c r="G3284" s="556" t="n">
        <v>162929</v>
      </c>
      <c r="I3284" s="521">
        <f>G3284</f>
        <v/>
      </c>
      <c r="K3284" s="521">
        <f>I3284-G3284</f>
        <v/>
      </c>
      <c r="M3284" s="522" t="inlineStr">
        <is>
          <t>PNHTI0012763</t>
        </is>
      </c>
      <c r="N3284" s="522" t="inlineStr"/>
      <c r="O3284" s="521">
        <f>M3284=N3284</f>
        <v/>
      </c>
      <c r="P3284" s="521">
        <f>AND(MONTH(F3284)=MONTH(S3284), YEAR(F3284)=YEAR(S3284))</f>
        <v/>
      </c>
      <c r="Q3284" s="521">
        <f>U3284="L001-901905215"</f>
        <v/>
      </c>
      <c r="R3284" s="556">
        <f>G3284-W3284</f>
        <v/>
      </c>
      <c r="S3284" s="521" t="n"/>
      <c r="T3284" s="522" t="n"/>
      <c r="U3284" s="522" t="n"/>
      <c r="V3284" s="522" t="n"/>
      <c r="W3284" s="521" t="n"/>
    </row>
    <row r="3285">
      <c r="A3285" s="521" t="n">
        <v>3277</v>
      </c>
      <c r="B3285" s="522" t="n"/>
      <c r="C3285" s="522" t="inlineStr">
        <is>
          <t>យូសេន ឡូជីស្ទីក (ខេមបូឌា) ខូ អិលធីឌី</t>
        </is>
      </c>
      <c r="D3285" s="522" t="inlineStr">
        <is>
          <t>L001-104015799</t>
        </is>
      </c>
      <c r="E3285" s="521" t="inlineStr">
        <is>
          <t>PNHTI0012764</t>
        </is>
      </c>
      <c r="F3285" s="523" t="n">
        <v>44118</v>
      </c>
      <c r="G3285" s="556" t="n">
        <v>162929</v>
      </c>
      <c r="I3285" s="521">
        <f>G3285</f>
        <v/>
      </c>
      <c r="K3285" s="521">
        <f>I3285-G3285</f>
        <v/>
      </c>
      <c r="M3285" s="522" t="inlineStr">
        <is>
          <t>PNHTI0012764</t>
        </is>
      </c>
      <c r="N3285" s="522" t="inlineStr"/>
      <c r="O3285" s="521">
        <f>M3285=N3285</f>
        <v/>
      </c>
      <c r="P3285" s="521">
        <f>AND(MONTH(F3285)=MONTH(S3285), YEAR(F3285)=YEAR(S3285))</f>
        <v/>
      </c>
      <c r="Q3285" s="521">
        <f>U3285="L001-901905215"</f>
        <v/>
      </c>
      <c r="R3285" s="556">
        <f>G3285-W3285</f>
        <v/>
      </c>
      <c r="S3285" s="521" t="n"/>
      <c r="T3285" s="522" t="n"/>
      <c r="U3285" s="522" t="n"/>
      <c r="V3285" s="522" t="n"/>
      <c r="W3285" s="521" t="n"/>
    </row>
    <row r="3286">
      <c r="A3286" s="521" t="n">
        <v>3278</v>
      </c>
      <c r="B3286" s="522" t="n"/>
      <c r="C3286" s="522" t="inlineStr">
        <is>
          <t>យូសេន ឡូជីស្ទីក (ខេមបូឌា) ខូ អិលធីឌី</t>
        </is>
      </c>
      <c r="D3286" s="522" t="inlineStr">
        <is>
          <t>L001-104015799</t>
        </is>
      </c>
      <c r="E3286" s="521" t="inlineStr">
        <is>
          <t>PNHTI0012780</t>
        </is>
      </c>
      <c r="F3286" s="523" t="n">
        <v>44118</v>
      </c>
      <c r="G3286" s="556" t="n">
        <v>238032</v>
      </c>
      <c r="I3286" s="521">
        <f>G3286</f>
        <v/>
      </c>
      <c r="K3286" s="521">
        <f>I3286-G3286</f>
        <v/>
      </c>
      <c r="M3286" s="522" t="inlineStr">
        <is>
          <t>PNHTI0012780</t>
        </is>
      </c>
      <c r="N3286" s="522" t="inlineStr"/>
      <c r="O3286" s="521">
        <f>M3286=N3286</f>
        <v/>
      </c>
      <c r="P3286" s="521">
        <f>AND(MONTH(F3286)=MONTH(S3286), YEAR(F3286)=YEAR(S3286))</f>
        <v/>
      </c>
      <c r="Q3286" s="521">
        <f>U3286="L001-901905215"</f>
        <v/>
      </c>
      <c r="R3286" s="556">
        <f>G3286-W3286</f>
        <v/>
      </c>
      <c r="S3286" s="521" t="n"/>
      <c r="T3286" s="522" t="n"/>
      <c r="U3286" s="522" t="n"/>
      <c r="V3286" s="522" t="n"/>
      <c r="W3286" s="521" t="n"/>
    </row>
    <row r="3287">
      <c r="A3287" s="521" t="n">
        <v>3279</v>
      </c>
      <c r="B3287" s="522" t="n"/>
      <c r="C3287" s="522" t="inlineStr">
        <is>
          <t>យូសេន ឡូជីស្ទីក (ខេមបូឌា) ខូ អិលធីឌី</t>
        </is>
      </c>
      <c r="D3287" s="522" t="inlineStr">
        <is>
          <t>L001-104015799</t>
        </is>
      </c>
      <c r="E3287" s="521" t="inlineStr">
        <is>
          <t>PNHTI0012761</t>
        </is>
      </c>
      <c r="F3287" s="523" t="n">
        <v>44118</v>
      </c>
      <c r="G3287" s="556" t="n">
        <v>181807</v>
      </c>
      <c r="I3287" s="521">
        <f>G3287</f>
        <v/>
      </c>
      <c r="K3287" s="521">
        <f>I3287-G3287</f>
        <v/>
      </c>
      <c r="M3287" s="522" t="inlineStr">
        <is>
          <t>PNHTI0012761</t>
        </is>
      </c>
      <c r="N3287" s="522" t="inlineStr"/>
      <c r="O3287" s="521">
        <f>M3287=N3287</f>
        <v/>
      </c>
      <c r="P3287" s="521">
        <f>AND(MONTH(F3287)=MONTH(S3287), YEAR(F3287)=YEAR(S3287))</f>
        <v/>
      </c>
      <c r="Q3287" s="521">
        <f>U3287="L001-901905215"</f>
        <v/>
      </c>
      <c r="R3287" s="556">
        <f>G3287-W3287</f>
        <v/>
      </c>
      <c r="S3287" s="521" t="n"/>
      <c r="T3287" s="522" t="n"/>
      <c r="U3287" s="522" t="n"/>
      <c r="V3287" s="522" t="n"/>
      <c r="W3287" s="521" t="n"/>
    </row>
    <row r="3288">
      <c r="A3288" s="521" t="n">
        <v>3280</v>
      </c>
      <c r="B3288" s="522" t="n"/>
      <c r="C3288" s="522" t="inlineStr">
        <is>
          <t>កំពង់ផែស្វយ័តក្រុងព្រះសីហនុ</t>
        </is>
      </c>
      <c r="D3288" s="522" t="inlineStr">
        <is>
          <t>L001-100044638</t>
        </is>
      </c>
      <c r="E3288" s="521" t="inlineStr">
        <is>
          <t>152407</t>
        </is>
      </c>
      <c r="F3288" s="523" t="n">
        <v>44118</v>
      </c>
      <c r="G3288" s="556" t="n">
        <v>4925</v>
      </c>
      <c r="I3288" s="521">
        <f>G3288</f>
        <v/>
      </c>
      <c r="K3288" s="521">
        <f>I3288-G3288</f>
        <v/>
      </c>
      <c r="M3288" s="522" t="inlineStr">
        <is>
          <t>152407</t>
        </is>
      </c>
      <c r="N3288" s="522" t="inlineStr"/>
      <c r="O3288" s="521">
        <f>M3288=N3288</f>
        <v/>
      </c>
      <c r="P3288" s="521">
        <f>AND(MONTH(F3288)=MONTH(S3288), YEAR(F3288)=YEAR(S3288))</f>
        <v/>
      </c>
      <c r="Q3288" s="521">
        <f>U3288="L001-901905215"</f>
        <v/>
      </c>
      <c r="R3288" s="556">
        <f>G3288-W3288</f>
        <v/>
      </c>
      <c r="S3288" s="521" t="n"/>
      <c r="T3288" s="522" t="n"/>
      <c r="U3288" s="522" t="n"/>
      <c r="V3288" s="522" t="n"/>
      <c r="W3288" s="521" t="n"/>
    </row>
    <row r="3289">
      <c r="A3289" s="521" t="n">
        <v>3281</v>
      </c>
      <c r="B3289" s="522" t="n"/>
      <c r="C3289" s="522" t="inlineStr">
        <is>
          <t>អ៊ិចស្ពែឌីធ័រ ខេមបូឌា អិលធីឌី</t>
        </is>
      </c>
      <c r="D3289" s="522" t="inlineStr">
        <is>
          <t>L001-100045898</t>
        </is>
      </c>
      <c r="E3289" s="521" t="inlineStr">
        <is>
          <t>TI0185150</t>
        </is>
      </c>
      <c r="F3289" s="523" t="n">
        <v>44117</v>
      </c>
      <c r="G3289" s="556" t="n">
        <v>69003</v>
      </c>
      <c r="I3289" s="521">
        <f>G3289</f>
        <v/>
      </c>
      <c r="K3289" s="521">
        <f>I3289-G3289</f>
        <v/>
      </c>
      <c r="M3289" s="522" t="inlineStr">
        <is>
          <t>TI0185150</t>
        </is>
      </c>
      <c r="N3289" s="522" t="inlineStr"/>
      <c r="O3289" s="521">
        <f>M3289=N3289</f>
        <v/>
      </c>
      <c r="P3289" s="521">
        <f>AND(MONTH(F3289)=MONTH(S3289), YEAR(F3289)=YEAR(S3289))</f>
        <v/>
      </c>
      <c r="Q3289" s="521">
        <f>U3289="L001-901905215"</f>
        <v/>
      </c>
      <c r="R3289" s="556">
        <f>G3289-W3289</f>
        <v/>
      </c>
      <c r="S3289" s="521" t="n"/>
      <c r="T3289" s="522" t="n"/>
      <c r="U3289" s="522" t="n"/>
      <c r="V3289" s="522" t="n"/>
      <c r="W3289" s="521" t="n"/>
    </row>
    <row r="3290">
      <c r="A3290" s="521" t="n">
        <v>3282</v>
      </c>
      <c r="B3290" s="522" t="n"/>
      <c r="C3290" s="522" t="inlineStr">
        <is>
          <t>អ៊ិចស្ពែឌីធ័រ ខេមបូឌា អិលធីឌី</t>
        </is>
      </c>
      <c r="D3290" s="522" t="inlineStr">
        <is>
          <t>L001-100045898</t>
        </is>
      </c>
      <c r="E3290" s="521" t="inlineStr">
        <is>
          <t>TI0185081</t>
        </is>
      </c>
      <c r="F3290" s="523" t="n">
        <v>44117</v>
      </c>
      <c r="G3290" s="556" t="n">
        <v>83333</v>
      </c>
      <c r="I3290" s="521">
        <f>G3290</f>
        <v/>
      </c>
      <c r="K3290" s="521">
        <f>I3290-G3290</f>
        <v/>
      </c>
      <c r="M3290" s="522" t="inlineStr">
        <is>
          <t>TI0185081</t>
        </is>
      </c>
      <c r="N3290" s="522" t="inlineStr"/>
      <c r="O3290" s="521">
        <f>M3290=N3290</f>
        <v/>
      </c>
      <c r="P3290" s="521">
        <f>AND(MONTH(F3290)=MONTH(S3290), YEAR(F3290)=YEAR(S3290))</f>
        <v/>
      </c>
      <c r="Q3290" s="521">
        <f>U3290="L001-901905215"</f>
        <v/>
      </c>
      <c r="R3290" s="556">
        <f>G3290-W3290</f>
        <v/>
      </c>
      <c r="S3290" s="521" t="n"/>
      <c r="T3290" s="522" t="n"/>
      <c r="U3290" s="522" t="n"/>
      <c r="V3290" s="522" t="n"/>
      <c r="W3290" s="521" t="n"/>
    </row>
    <row r="3291">
      <c r="A3291" s="521" t="n">
        <v>3283</v>
      </c>
      <c r="B3291" s="522" t="n"/>
      <c r="C3291" s="522" t="inlineStr">
        <is>
          <t>អ៊ិនធើថេក ថេសធីង សឺវីស (ខេមបូឌា) ខមភេនី លីមីធីត</t>
        </is>
      </c>
      <c r="D3291" s="522" t="inlineStr">
        <is>
          <t>L001-100045707</t>
        </is>
      </c>
      <c r="E3291" s="521" t="inlineStr">
        <is>
          <t>KHM20200010816</t>
        </is>
      </c>
      <c r="F3291" s="523" t="n">
        <v>44117</v>
      </c>
      <c r="G3291" s="556" t="n">
        <v>58044</v>
      </c>
      <c r="I3291" s="521">
        <f>G3291</f>
        <v/>
      </c>
      <c r="K3291" s="521">
        <f>I3291-G3291</f>
        <v/>
      </c>
      <c r="M3291" s="522" t="inlineStr">
        <is>
          <t>KHM20200010816</t>
        </is>
      </c>
      <c r="N3291" s="522" t="inlineStr"/>
      <c r="O3291" s="521">
        <f>M3291=N3291</f>
        <v/>
      </c>
      <c r="P3291" s="521">
        <f>AND(MONTH(F3291)=MONTH(S3291), YEAR(F3291)=YEAR(S3291))</f>
        <v/>
      </c>
      <c r="Q3291" s="521">
        <f>U3291="L001-901905215"</f>
        <v/>
      </c>
      <c r="R3291" s="556">
        <f>G3291-W3291</f>
        <v/>
      </c>
      <c r="S3291" s="521" t="n"/>
      <c r="T3291" s="522" t="n"/>
      <c r="U3291" s="522" t="n"/>
      <c r="V3291" s="522" t="n"/>
      <c r="W3291" s="521" t="n"/>
    </row>
    <row r="3292">
      <c r="A3292" s="521" t="n">
        <v>3284</v>
      </c>
      <c r="B3292" s="522" t="n"/>
      <c r="C3292" s="522" t="inlineStr">
        <is>
          <t>ប្យួរ៉ូ វេរីតាស (ខេមបូឌា) លីមីធីត</t>
        </is>
      </c>
      <c r="D3292" s="522" t="inlineStr">
        <is>
          <t>L001-107024462</t>
        </is>
      </c>
      <c r="E3292" s="521" t="inlineStr">
        <is>
          <t>59008781</t>
        </is>
      </c>
      <c r="F3292" s="523" t="n">
        <v>44117</v>
      </c>
      <c r="G3292" s="556" t="n">
        <v>61590</v>
      </c>
      <c r="I3292" s="521">
        <f>G3292</f>
        <v/>
      </c>
      <c r="K3292" s="521">
        <f>I3292-G3292</f>
        <v/>
      </c>
      <c r="M3292" s="522" t="inlineStr">
        <is>
          <t>59008781</t>
        </is>
      </c>
      <c r="N3292" s="522" t="inlineStr"/>
      <c r="O3292" s="521">
        <f>M3292=N3292</f>
        <v/>
      </c>
      <c r="P3292" s="521">
        <f>AND(MONTH(F3292)=MONTH(S3292), YEAR(F3292)=YEAR(S3292))</f>
        <v/>
      </c>
      <c r="Q3292" s="521">
        <f>U3292="L001-901905215"</f>
        <v/>
      </c>
      <c r="R3292" s="556">
        <f>G3292-W3292</f>
        <v/>
      </c>
      <c r="S3292" s="521" t="n"/>
      <c r="T3292" s="522" t="n"/>
      <c r="U3292" s="522" t="n"/>
      <c r="V3292" s="522" t="n"/>
      <c r="W3292" s="521" t="n"/>
    </row>
    <row r="3293">
      <c r="A3293" s="521" t="n">
        <v>3285</v>
      </c>
      <c r="B3293" s="522" t="n"/>
      <c r="C3293" s="522" t="inlineStr">
        <is>
          <t>កំពង់ផែស្វយ័តក្រុងព្រះសីហនុ</t>
        </is>
      </c>
      <c r="D3293" s="522" t="inlineStr">
        <is>
          <t>L001-100044638</t>
        </is>
      </c>
      <c r="E3293" s="521" t="inlineStr">
        <is>
          <t>151950</t>
        </is>
      </c>
      <c r="F3293" s="523" t="n">
        <v>44117</v>
      </c>
      <c r="G3293" s="556" t="n">
        <v>130571</v>
      </c>
      <c r="I3293" s="521">
        <f>G3293</f>
        <v/>
      </c>
      <c r="K3293" s="521">
        <f>I3293-G3293</f>
        <v/>
      </c>
      <c r="M3293" s="522" t="inlineStr">
        <is>
          <t>151950</t>
        </is>
      </c>
      <c r="N3293" s="522" t="inlineStr"/>
      <c r="O3293" s="521">
        <f>M3293=N3293</f>
        <v/>
      </c>
      <c r="P3293" s="521">
        <f>AND(MONTH(F3293)=MONTH(S3293), YEAR(F3293)=YEAR(S3293))</f>
        <v/>
      </c>
      <c r="Q3293" s="521">
        <f>U3293="L001-901905215"</f>
        <v/>
      </c>
      <c r="R3293" s="556">
        <f>G3293-W3293</f>
        <v/>
      </c>
      <c r="S3293" s="521" t="n"/>
      <c r="T3293" s="522" t="n"/>
      <c r="U3293" s="522" t="n"/>
      <c r="V3293" s="522" t="n"/>
      <c r="W3293" s="521" t="n"/>
    </row>
    <row r="3294">
      <c r="A3294" s="521" t="n">
        <v>3286</v>
      </c>
      <c r="B3294" s="522" t="n"/>
      <c r="C3294" s="522" t="inlineStr">
        <is>
          <t>អ៊ិចស្ពែឌីធ័រ ខេមបូឌា អិលធីឌី</t>
        </is>
      </c>
      <c r="D3294" s="522" t="inlineStr">
        <is>
          <t>L001-100045898</t>
        </is>
      </c>
      <c r="E3294" s="521" t="inlineStr">
        <is>
          <t>TI0184966</t>
        </is>
      </c>
      <c r="F3294" s="523" t="n">
        <v>44116</v>
      </c>
      <c r="G3294" s="556" t="n">
        <v>108062</v>
      </c>
      <c r="I3294" s="521">
        <f>G3294</f>
        <v/>
      </c>
      <c r="K3294" s="521">
        <f>I3294-G3294</f>
        <v/>
      </c>
      <c r="M3294" s="522" t="inlineStr">
        <is>
          <t>TI0184966</t>
        </is>
      </c>
      <c r="N3294" s="522" t="inlineStr"/>
      <c r="O3294" s="521">
        <f>M3294=N3294</f>
        <v/>
      </c>
      <c r="P3294" s="521">
        <f>AND(MONTH(F3294)=MONTH(S3294), YEAR(F3294)=YEAR(S3294))</f>
        <v/>
      </c>
      <c r="Q3294" s="521">
        <f>U3294="L001-901905215"</f>
        <v/>
      </c>
      <c r="R3294" s="556">
        <f>G3294-W3294</f>
        <v/>
      </c>
      <c r="S3294" s="521" t="n"/>
      <c r="T3294" s="522" t="n"/>
      <c r="U3294" s="522" t="n"/>
      <c r="V3294" s="522" t="n"/>
      <c r="W3294" s="521" t="n"/>
    </row>
    <row r="3295">
      <c r="A3295" s="521" t="n">
        <v>3287</v>
      </c>
      <c r="B3295" s="522" t="n"/>
      <c r="C3295" s="522" t="inlineStr">
        <is>
          <t>កំពង់ផែស្វយ័តភ្នំពេញ "ក.ស.ភ"</t>
        </is>
      </c>
      <c r="D3295" s="522" t="inlineStr">
        <is>
          <t>L001-100044999</t>
        </is>
      </c>
      <c r="E3295" s="521" t="inlineStr">
        <is>
          <t>INV20201048415</t>
        </is>
      </c>
      <c r="F3295" s="523" t="n">
        <v>44105</v>
      </c>
      <c r="G3295" s="556" t="n">
        <v>29377</v>
      </c>
      <c r="I3295" s="521">
        <f>G3295</f>
        <v/>
      </c>
      <c r="K3295" s="521">
        <f>I3295-G3295</f>
        <v/>
      </c>
      <c r="M3295" s="522" t="inlineStr">
        <is>
          <t>INV20201048415</t>
        </is>
      </c>
      <c r="N3295" s="522" t="inlineStr"/>
      <c r="O3295" s="521">
        <f>M3295=N3295</f>
        <v/>
      </c>
      <c r="P3295" s="521">
        <f>AND(MONTH(F3295)=MONTH(S3295), YEAR(F3295)=YEAR(S3295))</f>
        <v/>
      </c>
      <c r="Q3295" s="521">
        <f>U3295="L001-901905215"</f>
        <v/>
      </c>
      <c r="R3295" s="556">
        <f>G3295-W3295</f>
        <v/>
      </c>
      <c r="S3295" s="521" t="n"/>
      <c r="T3295" s="522" t="n"/>
      <c r="U3295" s="522" t="n"/>
      <c r="V3295" s="522" t="n"/>
      <c r="W3295" s="521" t="n"/>
    </row>
    <row r="3296">
      <c r="A3296" s="521" t="n">
        <v>3288</v>
      </c>
      <c r="B3296" s="522" t="n"/>
      <c r="C3296" s="522" t="inlineStr">
        <is>
          <t>កំពង់ផែស្វយ័តភ្នំពេញ "ក.ស.ភ"</t>
        </is>
      </c>
      <c r="D3296" s="522" t="inlineStr">
        <is>
          <t>L001-100044999</t>
        </is>
      </c>
      <c r="E3296" s="521" t="inlineStr">
        <is>
          <t>INV20201048414</t>
        </is>
      </c>
      <c r="F3296" s="523" t="n">
        <v>44116</v>
      </c>
      <c r="G3296" s="556" t="n">
        <v>29377</v>
      </c>
      <c r="I3296" s="521">
        <f>G3296</f>
        <v/>
      </c>
      <c r="K3296" s="521">
        <f>I3296-G3296</f>
        <v/>
      </c>
      <c r="M3296" s="522" t="inlineStr">
        <is>
          <t>INV20201048414</t>
        </is>
      </c>
      <c r="N3296" s="522" t="inlineStr"/>
      <c r="O3296" s="521">
        <f>M3296=N3296</f>
        <v/>
      </c>
      <c r="P3296" s="521">
        <f>AND(MONTH(F3296)=MONTH(S3296), YEAR(F3296)=YEAR(S3296))</f>
        <v/>
      </c>
      <c r="Q3296" s="521">
        <f>U3296="L001-901905215"</f>
        <v/>
      </c>
      <c r="R3296" s="556">
        <f>G3296-W3296</f>
        <v/>
      </c>
      <c r="S3296" s="521" t="n"/>
      <c r="T3296" s="522" t="n"/>
      <c r="U3296" s="522" t="n"/>
      <c r="V3296" s="522" t="n"/>
      <c r="W3296" s="521" t="n"/>
    </row>
    <row r="3297">
      <c r="A3297" s="521" t="n">
        <v>3289</v>
      </c>
      <c r="B3297" s="522" t="n"/>
      <c r="C3297" s="522" t="inlineStr">
        <is>
          <t>កំពង់ផែស្វយ័តភ្នំពេញ "ក.ស.ភ"</t>
        </is>
      </c>
      <c r="D3297" s="522" t="inlineStr">
        <is>
          <t>L001-100044999</t>
        </is>
      </c>
      <c r="E3297" s="521" t="inlineStr">
        <is>
          <t>INV20201048412</t>
        </is>
      </c>
      <c r="F3297" s="523" t="n">
        <v>44116</v>
      </c>
      <c r="G3297" s="556" t="n">
        <v>29377</v>
      </c>
      <c r="I3297" s="521">
        <f>G3297</f>
        <v/>
      </c>
      <c r="K3297" s="521">
        <f>I3297-G3297</f>
        <v/>
      </c>
      <c r="M3297" s="522" t="inlineStr">
        <is>
          <t>INV20201048412</t>
        </is>
      </c>
      <c r="N3297" s="522" t="inlineStr"/>
      <c r="O3297" s="521">
        <f>M3297=N3297</f>
        <v/>
      </c>
      <c r="P3297" s="521">
        <f>AND(MONTH(F3297)=MONTH(S3297), YEAR(F3297)=YEAR(S3297))</f>
        <v/>
      </c>
      <c r="Q3297" s="521">
        <f>U3297="L001-901905215"</f>
        <v/>
      </c>
      <c r="R3297" s="556">
        <f>G3297-W3297</f>
        <v/>
      </c>
      <c r="S3297" s="521" t="n"/>
      <c r="T3297" s="522" t="n"/>
      <c r="U3297" s="522" t="n"/>
      <c r="V3297" s="522" t="n"/>
      <c r="W3297" s="521" t="n"/>
    </row>
    <row r="3298">
      <c r="A3298" s="521" t="n">
        <v>3290</v>
      </c>
      <c r="B3298" s="522" t="n"/>
      <c r="C3298" s="522" t="inlineStr">
        <is>
          <t>កំពង់ផែស្វយ័តភ្នំពេញ "ក.ស.ភ"</t>
        </is>
      </c>
      <c r="D3298" s="522" t="inlineStr">
        <is>
          <t>L001-100044999</t>
        </is>
      </c>
      <c r="E3298" s="521" t="inlineStr">
        <is>
          <t>INV20201048413</t>
        </is>
      </c>
      <c r="F3298" s="523" t="n">
        <v>44116</v>
      </c>
      <c r="G3298" s="556" t="n">
        <v>58753</v>
      </c>
      <c r="I3298" s="521">
        <f>G3298</f>
        <v/>
      </c>
      <c r="K3298" s="521">
        <f>I3298-G3298</f>
        <v/>
      </c>
      <c r="M3298" s="522" t="inlineStr">
        <is>
          <t>INV20201048413</t>
        </is>
      </c>
      <c r="N3298" s="522" t="inlineStr"/>
      <c r="O3298" s="521">
        <f>M3298=N3298</f>
        <v/>
      </c>
      <c r="P3298" s="521">
        <f>AND(MONTH(F3298)=MONTH(S3298), YEAR(F3298)=YEAR(S3298))</f>
        <v/>
      </c>
      <c r="Q3298" s="521">
        <f>U3298="L001-901905215"</f>
        <v/>
      </c>
      <c r="R3298" s="556">
        <f>G3298-W3298</f>
        <v/>
      </c>
      <c r="S3298" s="521" t="n"/>
      <c r="T3298" s="522" t="n"/>
      <c r="U3298" s="522" t="n"/>
      <c r="V3298" s="522" t="n"/>
      <c r="W3298" s="521" t="n"/>
    </row>
    <row r="3299">
      <c r="A3299" s="521" t="n">
        <v>3291</v>
      </c>
      <c r="B3299" s="522" t="n"/>
      <c r="C3299" s="522" t="inlineStr">
        <is>
          <t>អ៊ីជីអេហ្វ ឡូជីស្ទីក ខូ អិលធីឌី</t>
        </is>
      </c>
      <c r="D3299" s="522" t="inlineStr">
        <is>
          <t>L001-901501877</t>
        </is>
      </c>
      <c r="E3299" s="521" t="inlineStr">
        <is>
          <t>2006857</t>
        </is>
      </c>
      <c r="F3299" s="523" t="n">
        <v>44115</v>
      </c>
      <c r="G3299" s="556" t="n">
        <v>270930</v>
      </c>
      <c r="I3299" s="521">
        <f>G3299</f>
        <v/>
      </c>
      <c r="K3299" s="521">
        <f>I3299-G3299</f>
        <v/>
      </c>
      <c r="M3299" s="522" t="inlineStr">
        <is>
          <t>2006857</t>
        </is>
      </c>
      <c r="N3299" s="522" t="inlineStr">
        <is>
          <t>2006857</t>
        </is>
      </c>
      <c r="O3299" s="521">
        <f>M3299=N3299</f>
        <v/>
      </c>
      <c r="P3299" s="521">
        <f>AND(MONTH(F3299)=MONTH(S3299), YEAR(F3299)=YEAR(S3299))</f>
        <v/>
      </c>
      <c r="Q3299" s="521">
        <f>U3299="L001-901905215"</f>
        <v/>
      </c>
      <c r="R3299" s="556">
        <f>G3299-W3299</f>
        <v/>
      </c>
      <c r="S3299" s="523" t="n">
        <v>44115</v>
      </c>
      <c r="T3299" s="522" t="inlineStr">
        <is>
          <t>20-06857</t>
        </is>
      </c>
      <c r="U3299" s="522" t="inlineStr">
        <is>
          <t>L001-901905215</t>
        </is>
      </c>
      <c r="V3299" s="522" t="inlineStr">
        <is>
          <t>វីអ៊ីស៊ិន (ខេមបូឌា) អ៊ិនដាសស្ទ្រី ឯ.ក</t>
        </is>
      </c>
      <c r="W3299" s="556" t="n">
        <v>270930</v>
      </c>
    </row>
    <row r="3300">
      <c r="A3300" s="521" t="n">
        <v>3292</v>
      </c>
      <c r="B3300" s="522" t="n"/>
      <c r="C3300" s="522" t="inlineStr">
        <is>
          <t>ឆាយ ដា ឡូយីស្ទីក</t>
        </is>
      </c>
      <c r="D3300" s="522" t="inlineStr">
        <is>
          <t>L001-100063098</t>
        </is>
      </c>
      <c r="E3300" s="521" t="inlineStr">
        <is>
          <t>2010009088</t>
        </is>
      </c>
      <c r="F3300" s="523" t="n">
        <v>44114</v>
      </c>
      <c r="G3300" s="556" t="n">
        <v>77585</v>
      </c>
      <c r="I3300" s="521">
        <f>G3300</f>
        <v/>
      </c>
      <c r="K3300" s="521">
        <f>I3300-G3300</f>
        <v/>
      </c>
      <c r="M3300" s="522" t="inlineStr">
        <is>
          <t>2010009088</t>
        </is>
      </c>
      <c r="N3300" s="522" t="inlineStr">
        <is>
          <t>2010009088</t>
        </is>
      </c>
      <c r="O3300" s="521">
        <f>M3300=N3300</f>
        <v/>
      </c>
      <c r="P3300" s="521">
        <f>AND(MONTH(F3300)=MONTH(S3300), YEAR(F3300)=YEAR(S3300))</f>
        <v/>
      </c>
      <c r="Q3300" s="521">
        <f>U3300="L001-901905215"</f>
        <v/>
      </c>
      <c r="R3300" s="556">
        <f>G3300-W3300</f>
        <v/>
      </c>
      <c r="S3300" s="523" t="n">
        <v>44114</v>
      </c>
      <c r="T3300" s="522" t="inlineStr">
        <is>
          <t>2010009088</t>
        </is>
      </c>
      <c r="U3300" s="522" t="inlineStr">
        <is>
          <t>L001-901905215</t>
        </is>
      </c>
      <c r="V3300" s="522" t="inlineStr">
        <is>
          <t>វីអ៊ីស៊ិន (ខេមបូឌា) អ៊ិនដាសស្ទ្រី ឯ.ក</t>
        </is>
      </c>
      <c r="W3300" s="556" t="n">
        <v>77585</v>
      </c>
    </row>
    <row r="3301">
      <c r="A3301" s="521" t="n">
        <v>3293</v>
      </c>
      <c r="B3301" s="522" t="n"/>
      <c r="C3301" s="522" t="inlineStr">
        <is>
          <t>ឆាយ ដា ឡូយីស្ទីក</t>
        </is>
      </c>
      <c r="D3301" s="522" t="inlineStr">
        <is>
          <t>L001-100063098</t>
        </is>
      </c>
      <c r="E3301" s="521" t="inlineStr">
        <is>
          <t>2010009084</t>
        </is>
      </c>
      <c r="F3301" s="523" t="n">
        <v>44114</v>
      </c>
      <c r="G3301" s="556" t="n">
        <v>77585</v>
      </c>
      <c r="I3301" s="521">
        <f>G3301</f>
        <v/>
      </c>
      <c r="K3301" s="521">
        <f>I3301-G3301</f>
        <v/>
      </c>
      <c r="M3301" s="522" t="inlineStr">
        <is>
          <t>2010009084</t>
        </is>
      </c>
      <c r="N3301" s="522" t="inlineStr">
        <is>
          <t>2010009084</t>
        </is>
      </c>
      <c r="O3301" s="521">
        <f>M3301=N3301</f>
        <v/>
      </c>
      <c r="P3301" s="521">
        <f>AND(MONTH(F3301)=MONTH(S3301), YEAR(F3301)=YEAR(S3301))</f>
        <v/>
      </c>
      <c r="Q3301" s="521">
        <f>U3301="L001-901905215"</f>
        <v/>
      </c>
      <c r="R3301" s="556">
        <f>G3301-W3301</f>
        <v/>
      </c>
      <c r="S3301" s="523" t="n">
        <v>44114</v>
      </c>
      <c r="T3301" s="522" t="inlineStr">
        <is>
          <t>2010009084</t>
        </is>
      </c>
      <c r="U3301" s="522" t="inlineStr">
        <is>
          <t>L001-901905215</t>
        </is>
      </c>
      <c r="V3301" s="522" t="inlineStr">
        <is>
          <t>វីអ៊ីស៊ិន (ខេមបូឌា) អ៊ិនដាសស្ទ្រី ឯ.ក</t>
        </is>
      </c>
      <c r="W3301" s="556" t="n">
        <v>77585</v>
      </c>
    </row>
    <row r="3302">
      <c r="A3302" s="521" t="n">
        <v>3294</v>
      </c>
      <c r="B3302" s="522" t="n"/>
      <c r="C3302" s="522" t="inlineStr">
        <is>
          <t>ឆាយ ដា ឡូយីស្ទីក</t>
        </is>
      </c>
      <c r="D3302" s="522" t="inlineStr">
        <is>
          <t>L001-100063098</t>
        </is>
      </c>
      <c r="E3302" s="521" t="inlineStr">
        <is>
          <t>2010008889</t>
        </is>
      </c>
      <c r="F3302" s="523" t="n">
        <v>44114</v>
      </c>
      <c r="G3302" s="556" t="n">
        <v>89965</v>
      </c>
      <c r="I3302" s="521">
        <f>G3302</f>
        <v/>
      </c>
      <c r="K3302" s="521">
        <f>I3302-G3302</f>
        <v/>
      </c>
      <c r="M3302" s="522" t="inlineStr">
        <is>
          <t>2010008889</t>
        </is>
      </c>
      <c r="N3302" s="522" t="inlineStr">
        <is>
          <t>2010008889</t>
        </is>
      </c>
      <c r="O3302" s="521">
        <f>M3302=N3302</f>
        <v/>
      </c>
      <c r="P3302" s="521">
        <f>AND(MONTH(F3302)=MONTH(S3302), YEAR(F3302)=YEAR(S3302))</f>
        <v/>
      </c>
      <c r="Q3302" s="521">
        <f>U3302="L001-901905215"</f>
        <v/>
      </c>
      <c r="R3302" s="556">
        <f>G3302-W3302</f>
        <v/>
      </c>
      <c r="S3302" s="523" t="n">
        <v>44107</v>
      </c>
      <c r="T3302" s="522" t="inlineStr">
        <is>
          <t>2010008889</t>
        </is>
      </c>
      <c r="U3302" s="522" t="inlineStr">
        <is>
          <t>L001-901905215</t>
        </is>
      </c>
      <c r="V3302" s="522" t="inlineStr">
        <is>
          <t>វីអ៊ីស៊ិន (ខេមបូឌា) អ៊ិនដាសស្ទ្រី ឯ.ក</t>
        </is>
      </c>
      <c r="W3302" s="556" t="n">
        <v>89965</v>
      </c>
    </row>
    <row r="3303">
      <c r="A3303" s="521" t="n">
        <v>3295</v>
      </c>
      <c r="B3303" s="522" t="n"/>
      <c r="C3303" s="522" t="inlineStr">
        <is>
          <t>ឆាយ ដា ឡូយីស្ទីក</t>
        </is>
      </c>
      <c r="D3303" s="522" t="inlineStr">
        <is>
          <t>L001-100063098</t>
        </is>
      </c>
      <c r="E3303" s="521" t="inlineStr">
        <is>
          <t>2010009086</t>
        </is>
      </c>
      <c r="F3303" s="523" t="n">
        <v>44114</v>
      </c>
      <c r="G3303" s="556" t="n">
        <v>77585</v>
      </c>
      <c r="I3303" s="521">
        <f>G3303</f>
        <v/>
      </c>
      <c r="K3303" s="521">
        <f>I3303-G3303</f>
        <v/>
      </c>
      <c r="M3303" s="522" t="inlineStr">
        <is>
          <t>2010009086</t>
        </is>
      </c>
      <c r="N3303" s="522" t="inlineStr">
        <is>
          <t>2010009086</t>
        </is>
      </c>
      <c r="O3303" s="521">
        <f>M3303=N3303</f>
        <v/>
      </c>
      <c r="P3303" s="521">
        <f>AND(MONTH(F3303)=MONTH(S3303), YEAR(F3303)=YEAR(S3303))</f>
        <v/>
      </c>
      <c r="Q3303" s="521">
        <f>U3303="L001-901905215"</f>
        <v/>
      </c>
      <c r="R3303" s="556">
        <f>G3303-W3303</f>
        <v/>
      </c>
      <c r="S3303" s="523" t="n">
        <v>44114</v>
      </c>
      <c r="T3303" s="522" t="inlineStr">
        <is>
          <t>2010009086</t>
        </is>
      </c>
      <c r="U3303" s="522" t="inlineStr">
        <is>
          <t>L001-901905215</t>
        </is>
      </c>
      <c r="V3303" s="522" t="inlineStr">
        <is>
          <t>វីអ៊ីស៊ិន (ខេមបូឌា) អ៊ិនដាសស្ទ្រី ឯ.ក</t>
        </is>
      </c>
      <c r="W3303" s="556" t="n">
        <v>77585</v>
      </c>
    </row>
    <row r="3304">
      <c r="A3304" s="521" t="n">
        <v>3296</v>
      </c>
      <c r="B3304" s="522" t="n"/>
      <c r="C3304" s="522" t="inlineStr">
        <is>
          <t>ឆាយ ដា ឡូយីស្ទីក</t>
        </is>
      </c>
      <c r="D3304" s="522" t="inlineStr">
        <is>
          <t>L001-100063098</t>
        </is>
      </c>
      <c r="E3304" s="521" t="inlineStr">
        <is>
          <t>2010009087</t>
        </is>
      </c>
      <c r="F3304" s="523" t="n">
        <v>44114</v>
      </c>
      <c r="G3304" s="556" t="n">
        <v>89899</v>
      </c>
      <c r="I3304" s="521">
        <f>G3304</f>
        <v/>
      </c>
      <c r="K3304" s="521">
        <f>I3304-G3304</f>
        <v/>
      </c>
      <c r="M3304" s="522" t="inlineStr">
        <is>
          <t>2010009087</t>
        </is>
      </c>
      <c r="N3304" s="522" t="inlineStr">
        <is>
          <t>2010009087</t>
        </is>
      </c>
      <c r="O3304" s="521">
        <f>M3304=N3304</f>
        <v/>
      </c>
      <c r="P3304" s="521">
        <f>AND(MONTH(F3304)=MONTH(S3304), YEAR(F3304)=YEAR(S3304))</f>
        <v/>
      </c>
      <c r="Q3304" s="521">
        <f>U3304="L001-901905215"</f>
        <v/>
      </c>
      <c r="R3304" s="556">
        <f>G3304-W3304</f>
        <v/>
      </c>
      <c r="S3304" s="523" t="n">
        <v>44114</v>
      </c>
      <c r="T3304" s="522" t="inlineStr">
        <is>
          <t>2010009087</t>
        </is>
      </c>
      <c r="U3304" s="522" t="inlineStr">
        <is>
          <t>L001-901905215</t>
        </is>
      </c>
      <c r="V3304" s="522" t="inlineStr">
        <is>
          <t>វីអ៊ីស៊ិន (ខេមបូឌា) អ៊ិនដាសស្ទ្រី ឯ.ក</t>
        </is>
      </c>
      <c r="W3304" s="556" t="n">
        <v>89899</v>
      </c>
    </row>
    <row r="3305">
      <c r="A3305" s="521" t="n">
        <v>3297</v>
      </c>
      <c r="B3305" s="522" t="n"/>
      <c r="C3305" s="522" t="inlineStr">
        <is>
          <t>អ៊ិនធើថេក ថេសធីង សឺវីស (ខេមបូឌា) ខមភេនី លីមីធីត</t>
        </is>
      </c>
      <c r="D3305" s="522" t="inlineStr">
        <is>
          <t>L001-100045707</t>
        </is>
      </c>
      <c r="E3305" s="521" t="inlineStr">
        <is>
          <t>KHM20200010751</t>
        </is>
      </c>
      <c r="F3305" s="523" t="n">
        <v>44114</v>
      </c>
      <c r="G3305" s="556" t="n">
        <v>58030</v>
      </c>
      <c r="I3305" s="521">
        <f>G3305</f>
        <v/>
      </c>
      <c r="K3305" s="521">
        <f>I3305-G3305</f>
        <v/>
      </c>
      <c r="M3305" s="522" t="inlineStr">
        <is>
          <t>KHM20200010751</t>
        </is>
      </c>
      <c r="N3305" s="522" t="inlineStr"/>
      <c r="O3305" s="521">
        <f>M3305=N3305</f>
        <v/>
      </c>
      <c r="P3305" s="521">
        <f>AND(MONTH(F3305)=MONTH(S3305), YEAR(F3305)=YEAR(S3305))</f>
        <v/>
      </c>
      <c r="Q3305" s="521">
        <f>U3305="L001-901905215"</f>
        <v/>
      </c>
      <c r="R3305" s="556">
        <f>G3305-W3305</f>
        <v/>
      </c>
      <c r="S3305" s="521" t="n"/>
      <c r="T3305" s="522" t="n"/>
      <c r="U3305" s="522" t="n"/>
      <c r="V3305" s="522" t="n"/>
      <c r="W3305" s="521" t="n"/>
    </row>
    <row r="3306">
      <c r="A3306" s="521" t="n">
        <v>3298</v>
      </c>
      <c r="B3306" s="522" t="n"/>
      <c r="C3306" s="522" t="inlineStr">
        <is>
          <t>កំពង់ផែស្វយ័តក្រុងព្រះសីហនុ</t>
        </is>
      </c>
      <c r="D3306" s="522" t="inlineStr">
        <is>
          <t>L001-100044638</t>
        </is>
      </c>
      <c r="E3306" s="521" t="inlineStr">
        <is>
          <t>150791</t>
        </is>
      </c>
      <c r="F3306" s="523" t="n">
        <v>44114</v>
      </c>
      <c r="G3306" s="556" t="n">
        <v>35713</v>
      </c>
      <c r="I3306" s="521">
        <f>G3306</f>
        <v/>
      </c>
      <c r="K3306" s="521">
        <f>I3306-G3306</f>
        <v/>
      </c>
      <c r="M3306" s="522" t="inlineStr">
        <is>
          <t>150791</t>
        </is>
      </c>
      <c r="N3306" s="522" t="inlineStr"/>
      <c r="O3306" s="521">
        <f>M3306=N3306</f>
        <v/>
      </c>
      <c r="P3306" s="521">
        <f>AND(MONTH(F3306)=MONTH(S3306), YEAR(F3306)=YEAR(S3306))</f>
        <v/>
      </c>
      <c r="Q3306" s="521">
        <f>U3306="L001-901905215"</f>
        <v/>
      </c>
      <c r="R3306" s="556">
        <f>G3306-W3306</f>
        <v/>
      </c>
      <c r="S3306" s="521" t="n"/>
      <c r="T3306" s="522" t="n"/>
      <c r="U3306" s="522" t="n"/>
      <c r="V3306" s="522" t="n"/>
      <c r="W3306" s="521" t="n"/>
    </row>
    <row r="3307">
      <c r="A3307" s="521" t="n">
        <v>3299</v>
      </c>
      <c r="B3307" s="522" t="n"/>
      <c r="C3307" s="522" t="inlineStr">
        <is>
          <t>អ៊ីជីអេហ្វ ឡូជីស្ទីក ខូ អិលធីឌី</t>
        </is>
      </c>
      <c r="D3307" s="522" t="inlineStr">
        <is>
          <t>L001-901501877</t>
        </is>
      </c>
      <c r="E3307" s="521" t="inlineStr">
        <is>
          <t>2006802</t>
        </is>
      </c>
      <c r="F3307" s="523" t="n">
        <v>44113</v>
      </c>
      <c r="G3307" s="556" t="n">
        <v>135465</v>
      </c>
      <c r="I3307" s="521">
        <f>G3307</f>
        <v/>
      </c>
      <c r="K3307" s="521">
        <f>I3307-G3307</f>
        <v/>
      </c>
      <c r="M3307" s="522" t="inlineStr">
        <is>
          <t>2006802</t>
        </is>
      </c>
      <c r="N3307" s="522" t="inlineStr">
        <is>
          <t>2006802</t>
        </is>
      </c>
      <c r="O3307" s="521">
        <f>M3307=N3307</f>
        <v/>
      </c>
      <c r="P3307" s="521">
        <f>AND(MONTH(F3307)=MONTH(S3307), YEAR(F3307)=YEAR(S3307))</f>
        <v/>
      </c>
      <c r="Q3307" s="521">
        <f>U3307="L001-901905215"</f>
        <v/>
      </c>
      <c r="R3307" s="556">
        <f>G3307-W3307</f>
        <v/>
      </c>
      <c r="S3307" s="523" t="n">
        <v>44113</v>
      </c>
      <c r="T3307" s="522" t="inlineStr">
        <is>
          <t>20-06802</t>
        </is>
      </c>
      <c r="U3307" s="522" t="inlineStr">
        <is>
          <t>L001-901905215</t>
        </is>
      </c>
      <c r="V3307" s="522" t="inlineStr">
        <is>
          <t>វីអ៊ីស៊ិន (ខេមបូឌា) អ៊ិនដាសស្ទ្រី ឯ.ក</t>
        </is>
      </c>
      <c r="W3307" s="556" t="n">
        <v>135465</v>
      </c>
    </row>
    <row r="3308">
      <c r="A3308" s="521" t="n">
        <v>3300</v>
      </c>
      <c r="B3308" s="522" t="n"/>
      <c r="C3308" s="522" t="inlineStr">
        <is>
          <t>កំពង់ផែស្វយ័តក្រុងព្រះសីហនុ</t>
        </is>
      </c>
      <c r="D3308" s="522" t="inlineStr">
        <is>
          <t>L001-100044638</t>
        </is>
      </c>
      <c r="E3308" s="521" t="inlineStr">
        <is>
          <t>149341</t>
        </is>
      </c>
      <c r="F3308" s="523" t="n">
        <v>44112</v>
      </c>
      <c r="G3308" s="556" t="n">
        <v>33259</v>
      </c>
      <c r="I3308" s="521">
        <f>G3308</f>
        <v/>
      </c>
      <c r="K3308" s="521">
        <f>I3308-G3308</f>
        <v/>
      </c>
      <c r="M3308" s="522" t="inlineStr">
        <is>
          <t>149341</t>
        </is>
      </c>
      <c r="N3308" s="522" t="inlineStr"/>
      <c r="O3308" s="521">
        <f>M3308=N3308</f>
        <v/>
      </c>
      <c r="P3308" s="521">
        <f>AND(MONTH(F3308)=MONTH(S3308), YEAR(F3308)=YEAR(S3308))</f>
        <v/>
      </c>
      <c r="Q3308" s="521">
        <f>U3308="L001-901905215"</f>
        <v/>
      </c>
      <c r="R3308" s="556">
        <f>G3308-W3308</f>
        <v/>
      </c>
      <c r="S3308" s="521" t="n"/>
      <c r="T3308" s="522" t="n"/>
      <c r="U3308" s="522" t="n"/>
      <c r="V3308" s="522" t="n"/>
      <c r="W3308" s="521" t="n"/>
    </row>
    <row r="3309">
      <c r="A3309" s="521" t="n">
        <v>3301</v>
      </c>
      <c r="B3309" s="522" t="n"/>
      <c r="C3309" s="522" t="inlineStr">
        <is>
          <t>យីងកឺ ខេម ឯ.ក</t>
        </is>
      </c>
      <c r="D3309" s="522" t="inlineStr">
        <is>
          <t>K003-901900367</t>
        </is>
      </c>
      <c r="E3309" s="521" t="inlineStr">
        <is>
          <t>YK20083</t>
        </is>
      </c>
      <c r="F3309" s="523" t="n">
        <v>44111</v>
      </c>
      <c r="G3309" s="556" t="n">
        <v>242627</v>
      </c>
      <c r="I3309" s="521">
        <f>G3309</f>
        <v/>
      </c>
      <c r="K3309" s="521">
        <f>I3309-G3309</f>
        <v/>
      </c>
      <c r="M3309" s="522" t="inlineStr">
        <is>
          <t>YK20083</t>
        </is>
      </c>
      <c r="N3309" s="522" t="inlineStr">
        <is>
          <t>YK20083</t>
        </is>
      </c>
      <c r="O3309" s="521">
        <f>M3309=N3309</f>
        <v/>
      </c>
      <c r="P3309" s="521">
        <f>AND(MONTH(F3309)=MONTH(S3309), YEAR(F3309)=YEAR(S3309))</f>
        <v/>
      </c>
      <c r="Q3309" s="521">
        <f>U3309="L001-901905215"</f>
        <v/>
      </c>
      <c r="R3309" s="556">
        <f>G3309-W3309</f>
        <v/>
      </c>
      <c r="S3309" s="523" t="n">
        <v>44111</v>
      </c>
      <c r="T3309" s="522" t="inlineStr">
        <is>
          <t>YK20-083</t>
        </is>
      </c>
      <c r="U3309" s="522" t="inlineStr">
        <is>
          <t>L001-901905215</t>
        </is>
      </c>
      <c r="V3309" s="522" t="inlineStr">
        <is>
          <t>វីអ៊ីស៊ិន (ខេមបូឌា) អ៊ិនដាសស្ទ្រី ឯ.ក</t>
        </is>
      </c>
      <c r="W3309" s="556" t="n">
        <v>242627</v>
      </c>
    </row>
    <row r="3310">
      <c r="A3310" s="521" t="n">
        <v>3302</v>
      </c>
      <c r="B3310" s="522" t="n"/>
      <c r="C3310" s="522" t="inlineStr">
        <is>
          <t>ខេមបូឌាន វ៉ាយភីស៊ី ត្រេឌីង ឯ.ក</t>
        </is>
      </c>
      <c r="D3310" s="522" t="inlineStr">
        <is>
          <t>B108-901904896</t>
        </is>
      </c>
      <c r="E3310" s="521" t="inlineStr">
        <is>
          <t>2020-0075</t>
        </is>
      </c>
      <c r="F3310" s="523" t="n">
        <v>44111</v>
      </c>
      <c r="G3310" s="556" t="n">
        <v>2909101</v>
      </c>
      <c r="I3310" s="521">
        <f>G3310</f>
        <v/>
      </c>
      <c r="K3310" s="521">
        <f>I3310-G3310</f>
        <v/>
      </c>
      <c r="M3310" s="522" t="inlineStr">
        <is>
          <t>20200075</t>
        </is>
      </c>
      <c r="N3310" s="522" t="inlineStr"/>
      <c r="O3310" s="521">
        <f>M3310=N3310</f>
        <v/>
      </c>
      <c r="P3310" s="521">
        <f>AND(MONTH(F3310)=MONTH(S3310), YEAR(F3310)=YEAR(S3310))</f>
        <v/>
      </c>
      <c r="Q3310" s="521">
        <f>U3310="L001-901905215"</f>
        <v/>
      </c>
      <c r="R3310" s="556">
        <f>G3310-W3310</f>
        <v/>
      </c>
      <c r="S3310" s="521" t="n"/>
      <c r="T3310" s="522" t="n"/>
      <c r="U3310" s="522" t="n"/>
      <c r="V3310" s="522" t="n"/>
      <c r="W3310" s="521" t="n"/>
    </row>
    <row r="3311">
      <c r="A3311" s="521" t="n">
        <v>3303</v>
      </c>
      <c r="B3311" s="522" t="n"/>
      <c r="C3311" s="522" t="inlineStr">
        <is>
          <t>អ៊ិនធើថេក ថេសធីង សឺវីស (ខេមបូឌា) ខមភេនី លីមីធីត</t>
        </is>
      </c>
      <c r="D3311" s="522" t="inlineStr">
        <is>
          <t>L001-100045707</t>
        </is>
      </c>
      <c r="E3311" s="521" t="inlineStr">
        <is>
          <t>KHM20200010626</t>
        </is>
      </c>
      <c r="F3311" s="523" t="n">
        <v>44111</v>
      </c>
      <c r="G3311" s="556" t="n">
        <v>65696</v>
      </c>
      <c r="I3311" s="521">
        <f>G3311</f>
        <v/>
      </c>
      <c r="K3311" s="521">
        <f>I3311-G3311</f>
        <v/>
      </c>
      <c r="M3311" s="522" t="inlineStr">
        <is>
          <t>KHM20200010626</t>
        </is>
      </c>
      <c r="N3311" s="522" t="inlineStr"/>
      <c r="O3311" s="521">
        <f>M3311=N3311</f>
        <v/>
      </c>
      <c r="P3311" s="521">
        <f>AND(MONTH(F3311)=MONTH(S3311), YEAR(F3311)=YEAR(S3311))</f>
        <v/>
      </c>
      <c r="Q3311" s="521">
        <f>U3311="L001-901905215"</f>
        <v/>
      </c>
      <c r="R3311" s="556">
        <f>G3311-W3311</f>
        <v/>
      </c>
      <c r="S3311" s="521" t="n"/>
      <c r="T3311" s="522" t="n"/>
      <c r="U3311" s="522" t="n"/>
      <c r="V3311" s="522" t="n"/>
      <c r="W3311" s="521" t="n"/>
    </row>
    <row r="3312">
      <c r="A3312" s="521" t="n">
        <v>3304</v>
      </c>
      <c r="B3312" s="522" t="n"/>
      <c r="C3312" s="522" t="inlineStr">
        <is>
          <t>អ៊ិចស្ពែឌីធ័រ ខេមបូឌា អិលធីឌី</t>
        </is>
      </c>
      <c r="D3312" s="522" t="inlineStr">
        <is>
          <t>L001-100045898</t>
        </is>
      </c>
      <c r="E3312" s="521" t="inlineStr">
        <is>
          <t>TI0184645</t>
        </is>
      </c>
      <c r="F3312" s="523" t="n">
        <v>44110</v>
      </c>
      <c r="G3312" s="556" t="n">
        <v>143299</v>
      </c>
      <c r="I3312" s="521">
        <f>G3312</f>
        <v/>
      </c>
      <c r="K3312" s="521">
        <f>I3312-G3312</f>
        <v/>
      </c>
      <c r="M3312" s="522" t="inlineStr">
        <is>
          <t>TI0184645</t>
        </is>
      </c>
      <c r="N3312" s="522" t="inlineStr"/>
      <c r="O3312" s="521">
        <f>M3312=N3312</f>
        <v/>
      </c>
      <c r="P3312" s="521">
        <f>AND(MONTH(F3312)=MONTH(S3312), YEAR(F3312)=YEAR(S3312))</f>
        <v/>
      </c>
      <c r="Q3312" s="521">
        <f>U3312="L001-901905215"</f>
        <v/>
      </c>
      <c r="R3312" s="556">
        <f>G3312-W3312</f>
        <v/>
      </c>
      <c r="S3312" s="521" t="n"/>
      <c r="T3312" s="522" t="n"/>
      <c r="U3312" s="522" t="n"/>
      <c r="V3312" s="522" t="n"/>
      <c r="W3312" s="521" t="n"/>
    </row>
    <row r="3313">
      <c r="A3313" s="521" t="n">
        <v>3305</v>
      </c>
      <c r="B3313" s="522" t="n"/>
      <c r="C3313" s="522" t="inlineStr">
        <is>
          <t>អ៊ិចស្ពែឌីធ័រ ខេមបូឌា អិលធីឌី</t>
        </is>
      </c>
      <c r="D3313" s="522" t="inlineStr">
        <is>
          <t>L001-100045898</t>
        </is>
      </c>
      <c r="E3313" s="521" t="inlineStr">
        <is>
          <t>TI0184638</t>
        </is>
      </c>
      <c r="F3313" s="523" t="n">
        <v>44110</v>
      </c>
      <c r="G3313" s="556" t="n">
        <v>132321</v>
      </c>
      <c r="I3313" s="521">
        <f>G3313</f>
        <v/>
      </c>
      <c r="K3313" s="521">
        <f>I3313-G3313</f>
        <v/>
      </c>
      <c r="M3313" s="522" t="inlineStr">
        <is>
          <t>TI0184638</t>
        </is>
      </c>
      <c r="N3313" s="522" t="inlineStr"/>
      <c r="O3313" s="521">
        <f>M3313=N3313</f>
        <v/>
      </c>
      <c r="P3313" s="521">
        <f>AND(MONTH(F3313)=MONTH(S3313), YEAR(F3313)=YEAR(S3313))</f>
        <v/>
      </c>
      <c r="Q3313" s="521">
        <f>U3313="L001-901905215"</f>
        <v/>
      </c>
      <c r="R3313" s="556">
        <f>G3313-W3313</f>
        <v/>
      </c>
      <c r="S3313" s="521" t="n"/>
      <c r="T3313" s="522" t="n"/>
      <c r="U3313" s="522" t="n"/>
      <c r="V3313" s="522" t="n"/>
      <c r="W3313" s="521" t="n"/>
    </row>
    <row r="3314">
      <c r="A3314" s="521" t="n">
        <v>3306</v>
      </c>
      <c r="B3314" s="522" t="n"/>
      <c r="C3314" s="522" t="inlineStr">
        <is>
          <t>អ៊ិចស្ពែឌីធ័រ ខេមបូឌា អិលធីឌី</t>
        </is>
      </c>
      <c r="D3314" s="522" t="inlineStr">
        <is>
          <t>L001-100045898</t>
        </is>
      </c>
      <c r="E3314" s="521" t="inlineStr">
        <is>
          <t>TI0184625</t>
        </is>
      </c>
      <c r="F3314" s="523" t="n">
        <v>44110</v>
      </c>
      <c r="G3314" s="556" t="n">
        <v>21080</v>
      </c>
      <c r="I3314" s="521">
        <f>G3314</f>
        <v/>
      </c>
      <c r="K3314" s="521">
        <f>I3314-G3314</f>
        <v/>
      </c>
      <c r="M3314" s="522" t="inlineStr">
        <is>
          <t>TI0184625</t>
        </is>
      </c>
      <c r="N3314" s="522" t="inlineStr"/>
      <c r="O3314" s="521">
        <f>M3314=N3314</f>
        <v/>
      </c>
      <c r="P3314" s="521">
        <f>AND(MONTH(F3314)=MONTH(S3314), YEAR(F3314)=YEAR(S3314))</f>
        <v/>
      </c>
      <c r="Q3314" s="521">
        <f>U3314="L001-901905215"</f>
        <v/>
      </c>
      <c r="R3314" s="556">
        <f>G3314-W3314</f>
        <v/>
      </c>
      <c r="S3314" s="521" t="n"/>
      <c r="T3314" s="522" t="n"/>
      <c r="U3314" s="522" t="n"/>
      <c r="V3314" s="522" t="n"/>
      <c r="W3314" s="521" t="n"/>
    </row>
    <row r="3315">
      <c r="A3315" s="521" t="n">
        <v>3307</v>
      </c>
      <c r="B3315" s="522" t="n"/>
      <c r="C3315" s="522" t="inlineStr">
        <is>
          <t>កំពង់ផែស្វយ័តភ្នំពេញ "ក.ស.ភ"</t>
        </is>
      </c>
      <c r="D3315" s="522" t="inlineStr">
        <is>
          <t>L001-100044999</t>
        </is>
      </c>
      <c r="E3315" s="521" t="inlineStr">
        <is>
          <t>INV20201047422</t>
        </is>
      </c>
      <c r="F3315" s="523" t="n">
        <v>44109</v>
      </c>
      <c r="G3315" s="556" t="n">
        <v>19597</v>
      </c>
      <c r="I3315" s="521">
        <f>G3315</f>
        <v/>
      </c>
      <c r="K3315" s="521">
        <f>I3315-G3315</f>
        <v/>
      </c>
      <c r="M3315" s="522" t="inlineStr">
        <is>
          <t>INV20201047422</t>
        </is>
      </c>
      <c r="N3315" s="522" t="inlineStr"/>
      <c r="O3315" s="521">
        <f>M3315=N3315</f>
        <v/>
      </c>
      <c r="P3315" s="521">
        <f>AND(MONTH(F3315)=MONTH(S3315), YEAR(F3315)=YEAR(S3315))</f>
        <v/>
      </c>
      <c r="Q3315" s="521">
        <f>U3315="L001-901905215"</f>
        <v/>
      </c>
      <c r="R3315" s="556">
        <f>G3315-W3315</f>
        <v/>
      </c>
      <c r="S3315" s="521" t="n"/>
      <c r="T3315" s="522" t="n"/>
      <c r="U3315" s="522" t="n"/>
      <c r="V3315" s="522" t="n"/>
      <c r="W3315" s="521" t="n"/>
    </row>
    <row r="3316">
      <c r="A3316" s="521" t="n">
        <v>3308</v>
      </c>
      <c r="B3316" s="522" t="n"/>
      <c r="C3316" s="522" t="inlineStr">
        <is>
          <t>អ៊ីជីអេហ្វ ឡូជីស្ទីក ខូ អិលធីឌី</t>
        </is>
      </c>
      <c r="D3316" s="522" t="inlineStr">
        <is>
          <t>L001-901501877</t>
        </is>
      </c>
      <c r="E3316" s="521" t="inlineStr">
        <is>
          <t>2006694</t>
        </is>
      </c>
      <c r="F3316" s="523" t="n">
        <v>44107</v>
      </c>
      <c r="G3316" s="556" t="n">
        <v>271128</v>
      </c>
      <c r="I3316" s="521">
        <f>G3316</f>
        <v/>
      </c>
      <c r="K3316" s="521">
        <f>I3316-G3316</f>
        <v/>
      </c>
      <c r="M3316" s="522" t="inlineStr">
        <is>
          <t>2006694</t>
        </is>
      </c>
      <c r="N3316" s="522" t="inlineStr">
        <is>
          <t>2006694</t>
        </is>
      </c>
      <c r="O3316" s="521">
        <f>M3316=N3316</f>
        <v/>
      </c>
      <c r="P3316" s="521">
        <f>AND(MONTH(F3316)=MONTH(S3316), YEAR(F3316)=YEAR(S3316))</f>
        <v/>
      </c>
      <c r="Q3316" s="521">
        <f>U3316="L001-901905215"</f>
        <v/>
      </c>
      <c r="R3316" s="556">
        <f>G3316-W3316</f>
        <v/>
      </c>
      <c r="S3316" s="523" t="n">
        <v>44107</v>
      </c>
      <c r="T3316" s="522" t="inlineStr">
        <is>
          <t>20-06694</t>
        </is>
      </c>
      <c r="U3316" s="522" t="inlineStr">
        <is>
          <t>L001-901905215</t>
        </is>
      </c>
      <c r="V3316" s="522" t="inlineStr">
        <is>
          <t>វីអ៊ីស៊ិន (ខេមបូឌា) អ៊ិនដាសស្ទ្រី ឯ.ក</t>
        </is>
      </c>
      <c r="W3316" s="556" t="n">
        <v>271128</v>
      </c>
    </row>
    <row r="3317">
      <c r="A3317" s="521" t="n">
        <v>3309</v>
      </c>
      <c r="B3317" s="522" t="n"/>
      <c r="C3317" s="522" t="inlineStr">
        <is>
          <t>អ៊ីជីអេហ្វ ឡូជីស្ទីក ខូ អិលធីឌី</t>
        </is>
      </c>
      <c r="D3317" s="522" t="inlineStr">
        <is>
          <t>L001-901501877</t>
        </is>
      </c>
      <c r="E3317" s="521" t="inlineStr">
        <is>
          <t>2006693</t>
        </is>
      </c>
      <c r="F3317" s="523" t="n">
        <v>44107</v>
      </c>
      <c r="G3317" s="556" t="n">
        <v>135564</v>
      </c>
      <c r="I3317" s="521">
        <f>G3317</f>
        <v/>
      </c>
      <c r="K3317" s="521">
        <f>I3317-G3317</f>
        <v/>
      </c>
      <c r="M3317" s="522" t="inlineStr">
        <is>
          <t>2006693</t>
        </is>
      </c>
      <c r="N3317" s="522" t="inlineStr">
        <is>
          <t>2006693</t>
        </is>
      </c>
      <c r="O3317" s="521">
        <f>M3317=N3317</f>
        <v/>
      </c>
      <c r="P3317" s="521">
        <f>AND(MONTH(F3317)=MONTH(S3317), YEAR(F3317)=YEAR(S3317))</f>
        <v/>
      </c>
      <c r="Q3317" s="521">
        <f>U3317="L001-901905215"</f>
        <v/>
      </c>
      <c r="R3317" s="556">
        <f>G3317-W3317</f>
        <v/>
      </c>
      <c r="S3317" s="523" t="n">
        <v>44107</v>
      </c>
      <c r="T3317" s="522" t="inlineStr">
        <is>
          <t>20-06693</t>
        </is>
      </c>
      <c r="U3317" s="522" t="inlineStr">
        <is>
          <t>L001-901905215</t>
        </is>
      </c>
      <c r="V3317" s="522" t="inlineStr">
        <is>
          <t>វីអ៊ីស៊ិន (ខេមបូឌា) អ៊ិនដាសស្ទ្រី ឯ.ក</t>
        </is>
      </c>
      <c r="W3317" s="556" t="n">
        <v>135564</v>
      </c>
    </row>
    <row r="3318">
      <c r="A3318" s="521" t="n">
        <v>3310</v>
      </c>
      <c r="B3318" s="522" t="n"/>
      <c r="C3318" s="522" t="inlineStr">
        <is>
          <t>ឆាយ ដា ឡូយីស្ទីក</t>
        </is>
      </c>
      <c r="D3318" s="522" t="inlineStr">
        <is>
          <t>L001-100063098</t>
        </is>
      </c>
      <c r="E3318" s="521" t="inlineStr">
        <is>
          <t>2010008887</t>
        </is>
      </c>
      <c r="F3318" s="523" t="n">
        <v>44107</v>
      </c>
      <c r="G3318" s="556" t="n">
        <v>89965</v>
      </c>
      <c r="I3318" s="521">
        <f>G3318</f>
        <v/>
      </c>
      <c r="K3318" s="521">
        <f>I3318-G3318</f>
        <v/>
      </c>
      <c r="M3318" s="522" t="inlineStr">
        <is>
          <t>2010008887</t>
        </is>
      </c>
      <c r="N3318" s="522" t="inlineStr">
        <is>
          <t>2010008887</t>
        </is>
      </c>
      <c r="O3318" s="521">
        <f>M3318=N3318</f>
        <v/>
      </c>
      <c r="P3318" s="521">
        <f>AND(MONTH(F3318)=MONTH(S3318), YEAR(F3318)=YEAR(S3318))</f>
        <v/>
      </c>
      <c r="Q3318" s="521">
        <f>U3318="L001-901905215"</f>
        <v/>
      </c>
      <c r="R3318" s="556">
        <f>G3318-W3318</f>
        <v/>
      </c>
      <c r="S3318" s="523" t="n">
        <v>44107</v>
      </c>
      <c r="T3318" s="522" t="inlineStr">
        <is>
          <t>2010008887</t>
        </is>
      </c>
      <c r="U3318" s="522" t="inlineStr">
        <is>
          <t>L001-901905215</t>
        </is>
      </c>
      <c r="V3318" s="522" t="inlineStr">
        <is>
          <t>វីអ៊ីស៊ិន (ខេមបូឌា) អ៊ិនដាសស្ទ្រី ឯ.ក</t>
        </is>
      </c>
      <c r="W3318" s="556" t="n">
        <v>89965</v>
      </c>
    </row>
    <row r="3319">
      <c r="A3319" s="521" t="n">
        <v>3311</v>
      </c>
      <c r="B3319" s="522" t="n"/>
      <c r="C3319" s="522" t="inlineStr">
        <is>
          <t>ស៊ីងហ្គាពួរ កាតុង (ខេមបូឌា)</t>
        </is>
      </c>
      <c r="D3319" s="522" t="inlineStr">
        <is>
          <t>L001-100121322</t>
        </is>
      </c>
      <c r="E3319" s="521" t="inlineStr">
        <is>
          <t>V0014428</t>
        </is>
      </c>
      <c r="F3319" s="523" t="n">
        <v>44106</v>
      </c>
      <c r="G3319" s="556" t="n">
        <v>11505</v>
      </c>
      <c r="I3319" s="521">
        <f>G3319</f>
        <v/>
      </c>
      <c r="K3319" s="521">
        <f>I3319-G3319</f>
        <v/>
      </c>
      <c r="M3319" s="522" t="inlineStr">
        <is>
          <t>V0014428</t>
        </is>
      </c>
      <c r="N3319" s="522" t="inlineStr">
        <is>
          <t>V0014428</t>
        </is>
      </c>
      <c r="O3319" s="521">
        <f>M3319=N3319</f>
        <v/>
      </c>
      <c r="P3319" s="521">
        <f>AND(MONTH(F3319)=MONTH(S3319), YEAR(F3319)=YEAR(S3319))</f>
        <v/>
      </c>
      <c r="Q3319" s="521">
        <f>U3319="L001-901905215"</f>
        <v/>
      </c>
      <c r="R3319" s="556">
        <f>G3319-W3319</f>
        <v/>
      </c>
      <c r="S3319" s="523" t="n">
        <v>44106</v>
      </c>
      <c r="T3319" s="522" t="inlineStr">
        <is>
          <t>V0014428</t>
        </is>
      </c>
      <c r="U3319" s="522" t="inlineStr">
        <is>
          <t>L001-901905215</t>
        </is>
      </c>
      <c r="V3319" s="522" t="inlineStr">
        <is>
          <t>វីអ៊ីស៊ិន (ខេមបូឌា) អ៊ិនដាសស្ទ្រី ឯ.ក</t>
        </is>
      </c>
      <c r="W3319" s="556" t="n">
        <v>11372</v>
      </c>
    </row>
    <row r="3320">
      <c r="A3320" s="521" t="n">
        <v>3312</v>
      </c>
      <c r="B3320" s="522" t="n"/>
      <c r="C3320" s="522" t="inlineStr">
        <is>
          <t>ស៊ីងហ្គាពួរ កាតុង (ខេមបូឌា)</t>
        </is>
      </c>
      <c r="D3320" s="522" t="inlineStr">
        <is>
          <t>L001-100121322</t>
        </is>
      </c>
      <c r="E3320" s="521" t="inlineStr">
        <is>
          <t>V0014427</t>
        </is>
      </c>
      <c r="F3320" s="523" t="n">
        <v>44106</v>
      </c>
      <c r="G3320" s="556" t="n">
        <v>2585</v>
      </c>
      <c r="I3320" s="521">
        <f>G3320</f>
        <v/>
      </c>
      <c r="K3320" s="521">
        <f>I3320-G3320</f>
        <v/>
      </c>
      <c r="M3320" s="522" t="inlineStr">
        <is>
          <t>V0014427</t>
        </is>
      </c>
      <c r="N3320" s="522" t="inlineStr">
        <is>
          <t>V0014427</t>
        </is>
      </c>
      <c r="O3320" s="521">
        <f>M3320=N3320</f>
        <v/>
      </c>
      <c r="P3320" s="521">
        <f>AND(MONTH(F3320)=MONTH(S3320), YEAR(F3320)=YEAR(S3320))</f>
        <v/>
      </c>
      <c r="Q3320" s="521">
        <f>U3320="L001-901905215"</f>
        <v/>
      </c>
      <c r="R3320" s="556">
        <f>G3320-W3320</f>
        <v/>
      </c>
      <c r="S3320" s="523" t="n">
        <v>44106</v>
      </c>
      <c r="T3320" s="522" t="inlineStr">
        <is>
          <t>V0014427</t>
        </is>
      </c>
      <c r="U3320" s="522" t="inlineStr">
        <is>
          <t>L001-901905215</t>
        </is>
      </c>
      <c r="V3320" s="522" t="inlineStr">
        <is>
          <t>វីអ៊ីស៊ិន (ខេមបូឌា) អ៊ិនដាសស្ទ្រី ឯ.ក</t>
        </is>
      </c>
      <c r="W3320" s="556" t="n">
        <v>2554</v>
      </c>
    </row>
    <row r="3321">
      <c r="A3321" s="521" t="n">
        <v>3313</v>
      </c>
      <c r="B3321" s="522" t="n"/>
      <c r="C3321" s="522" t="inlineStr">
        <is>
          <t>ស៊ីងហ្គាពួរ កាតុង (ខេមបូឌា)</t>
        </is>
      </c>
      <c r="D3321" s="522" t="inlineStr">
        <is>
          <t>L001-100121322</t>
        </is>
      </c>
      <c r="E3321" s="521" t="inlineStr">
        <is>
          <t>V0014426</t>
        </is>
      </c>
      <c r="F3321" s="523" t="n">
        <v>44106</v>
      </c>
      <c r="G3321" s="556" t="n">
        <v>15356</v>
      </c>
      <c r="I3321" s="521">
        <f>G3321</f>
        <v/>
      </c>
      <c r="K3321" s="521">
        <f>I3321-G3321</f>
        <v/>
      </c>
      <c r="M3321" s="522" t="inlineStr">
        <is>
          <t>V0014426</t>
        </is>
      </c>
      <c r="N3321" s="522" t="inlineStr">
        <is>
          <t>V0014426</t>
        </is>
      </c>
      <c r="O3321" s="521">
        <f>M3321=N3321</f>
        <v/>
      </c>
      <c r="P3321" s="521">
        <f>AND(MONTH(F3321)=MONTH(S3321), YEAR(F3321)=YEAR(S3321))</f>
        <v/>
      </c>
      <c r="Q3321" s="521">
        <f>U3321="L001-901905215"</f>
        <v/>
      </c>
      <c r="R3321" s="556">
        <f>G3321-W3321</f>
        <v/>
      </c>
      <c r="S3321" s="523" t="n">
        <v>44106</v>
      </c>
      <c r="T3321" s="522" t="inlineStr">
        <is>
          <t>V0014426</t>
        </is>
      </c>
      <c r="U3321" s="522" t="inlineStr">
        <is>
          <t>L001-901905215</t>
        </is>
      </c>
      <c r="V3321" s="522" t="inlineStr">
        <is>
          <t>វីអ៊ីស៊ិន (ខេមបូឌា) អ៊ិនដាសស្ទ្រី ឯ.ក</t>
        </is>
      </c>
      <c r="W3321" s="556" t="n">
        <v>15177</v>
      </c>
    </row>
    <row r="3322">
      <c r="A3322" s="521" t="n">
        <v>3314</v>
      </c>
      <c r="B3322" s="522" t="n"/>
      <c r="C3322" s="522" t="inlineStr">
        <is>
          <t>អេវើរហ្គ្រីន ស៊ីបភីង សឺវីស (ខេមបូឌា) ឯ.ក</t>
        </is>
      </c>
      <c r="D3322" s="522" t="inlineStr">
        <is>
          <t>L001-901705421</t>
        </is>
      </c>
      <c r="E3322" s="521" t="inlineStr">
        <is>
          <t>IY20007300</t>
        </is>
      </c>
      <c r="F3322" s="523" t="n">
        <v>44106</v>
      </c>
      <c r="G3322" s="556" t="n">
        <v>121186</v>
      </c>
      <c r="I3322" s="521">
        <f>G3322</f>
        <v/>
      </c>
      <c r="K3322" s="521">
        <f>I3322-G3322</f>
        <v/>
      </c>
      <c r="M3322" s="522" t="inlineStr">
        <is>
          <t>IY20007300</t>
        </is>
      </c>
      <c r="N3322" s="522" t="inlineStr"/>
      <c r="O3322" s="521">
        <f>M3322=N3322</f>
        <v/>
      </c>
      <c r="P3322" s="521">
        <f>AND(MONTH(F3322)=MONTH(S3322), YEAR(F3322)=YEAR(S3322))</f>
        <v/>
      </c>
      <c r="Q3322" s="521">
        <f>U3322="L001-901905215"</f>
        <v/>
      </c>
      <c r="R3322" s="556">
        <f>G3322-W3322</f>
        <v/>
      </c>
      <c r="S3322" s="521" t="n"/>
      <c r="T3322" s="522" t="n"/>
      <c r="U3322" s="522" t="n"/>
      <c r="V3322" s="522" t="n"/>
      <c r="W3322" s="521" t="n"/>
    </row>
    <row r="3323">
      <c r="A3323" s="521" t="n">
        <v>3315</v>
      </c>
      <c r="B3323" s="522" t="n"/>
      <c r="C3323" s="522" t="inlineStr">
        <is>
          <t>ស្ត្រេតស៍ អ៊ិនធើណេសិនណល ភីធីអ៊ី អិលធីឌី</t>
        </is>
      </c>
      <c r="D3323" s="522" t="inlineStr">
        <is>
          <t>L001-100045162</t>
        </is>
      </c>
      <c r="E3323" s="521" t="inlineStr">
        <is>
          <t>2018471</t>
        </is>
      </c>
      <c r="F3323" s="523" t="n">
        <v>44105</v>
      </c>
      <c r="G3323" s="556" t="n">
        <v>203346</v>
      </c>
      <c r="I3323" s="521">
        <f>G3323</f>
        <v/>
      </c>
      <c r="K3323" s="521">
        <f>I3323-G3323</f>
        <v/>
      </c>
      <c r="M3323" s="522" t="inlineStr">
        <is>
          <t>2018471</t>
        </is>
      </c>
      <c r="N3323" s="522" t="inlineStr">
        <is>
          <t>2018471</t>
        </is>
      </c>
      <c r="O3323" s="521">
        <f>M3323=N3323</f>
        <v/>
      </c>
      <c r="P3323" s="521">
        <f>AND(MONTH(F3323)=MONTH(S3323), YEAR(F3323)=YEAR(S3323))</f>
        <v/>
      </c>
      <c r="Q3323" s="521">
        <f>U3323="L001-901905215"</f>
        <v/>
      </c>
      <c r="R3323" s="556">
        <f>G3323-W3323</f>
        <v/>
      </c>
      <c r="S3323" s="523" t="n">
        <v>44105</v>
      </c>
      <c r="T3323" s="522" t="inlineStr">
        <is>
          <t>2018471</t>
        </is>
      </c>
      <c r="U3323" s="522" t="inlineStr">
        <is>
          <t>L001-901905215</t>
        </is>
      </c>
      <c r="V3323" s="522" t="inlineStr">
        <is>
          <t>វីអ៊ីស៊ិន (ខេមបូឌា) អ៊ិនដាសស្ទ្រី ឯ.ក</t>
        </is>
      </c>
      <c r="W3323" s="556" t="n">
        <v>203346</v>
      </c>
    </row>
    <row r="3324">
      <c r="A3324" s="521" t="n">
        <v>3316</v>
      </c>
      <c r="B3324" s="522" t="n"/>
      <c r="C3324" s="522" t="inlineStr">
        <is>
          <t>សេង ម៉ុយ ជុង លី (ខេមបូឌា) អាហ្រ្គោ - ខេមីខល</t>
        </is>
      </c>
      <c r="D3324" s="522" t="inlineStr">
        <is>
          <t>L001-100084087</t>
        </is>
      </c>
      <c r="E3324" s="521" t="inlineStr">
        <is>
          <t>SM20000011</t>
        </is>
      </c>
      <c r="F3324" s="523" t="n">
        <v>44105</v>
      </c>
      <c r="G3324" s="556" t="n">
        <v>3043823</v>
      </c>
      <c r="I3324" s="521">
        <f>G3324</f>
        <v/>
      </c>
      <c r="K3324" s="521">
        <f>I3324-G3324</f>
        <v/>
      </c>
      <c r="M3324" s="522" t="inlineStr">
        <is>
          <t>SM20000011</t>
        </is>
      </c>
      <c r="N3324" s="522" t="inlineStr">
        <is>
          <t>SM20000011</t>
        </is>
      </c>
      <c r="O3324" s="521">
        <f>M3324=N3324</f>
        <v/>
      </c>
      <c r="P3324" s="521">
        <f>AND(MONTH(F3324)=MONTH(S3324), YEAR(F3324)=YEAR(S3324))</f>
        <v/>
      </c>
      <c r="Q3324" s="521">
        <f>U3324="L001-901905215"</f>
        <v/>
      </c>
      <c r="R3324" s="556">
        <f>G3324-W3324</f>
        <v/>
      </c>
      <c r="S3324" s="523" t="n">
        <v>44105</v>
      </c>
      <c r="T3324" s="522" t="inlineStr">
        <is>
          <t>SM20000011</t>
        </is>
      </c>
      <c r="U3324" s="522" t="inlineStr">
        <is>
          <t>L001-901905215</t>
        </is>
      </c>
      <c r="V3324" s="522" t="inlineStr">
        <is>
          <t>វីអ៊ីស៊ិន (ខេមបូឌា) អ៊ិនដាសស្ទ្រី ឯ.ក</t>
        </is>
      </c>
      <c r="W3324" s="556" t="n">
        <v>3043823</v>
      </c>
    </row>
    <row r="3325">
      <c r="A3325" s="521" t="n">
        <v>3317</v>
      </c>
      <c r="B3325" s="522" t="n"/>
      <c r="C3325" s="522" t="inlineStr">
        <is>
          <t>ភ្នំពេញ អេសអ៊ីហ្សិត ភីអិលស៊ី</t>
        </is>
      </c>
      <c r="D3325" s="522" t="inlineStr">
        <is>
          <t>L001-100046592</t>
        </is>
      </c>
      <c r="E3325" s="521" t="inlineStr">
        <is>
          <t>2020-04261</t>
        </is>
      </c>
      <c r="F3325" s="523" t="n">
        <v>44105</v>
      </c>
      <c r="G3325" s="556" t="n">
        <v>201869</v>
      </c>
      <c r="I3325" s="521">
        <f>G3325</f>
        <v/>
      </c>
      <c r="K3325" s="521">
        <f>I3325-G3325</f>
        <v/>
      </c>
      <c r="M3325" s="522" t="inlineStr">
        <is>
          <t>202004261</t>
        </is>
      </c>
      <c r="N3325" s="522" t="inlineStr"/>
      <c r="O3325" s="521">
        <f>M3325=N3325</f>
        <v/>
      </c>
      <c r="P3325" s="521">
        <f>AND(MONTH(F3325)=MONTH(S3325), YEAR(F3325)=YEAR(S3325))</f>
        <v/>
      </c>
      <c r="Q3325" s="521">
        <f>U3325="L001-901905215"</f>
        <v/>
      </c>
      <c r="R3325" s="556">
        <f>G3325-W3325</f>
        <v/>
      </c>
      <c r="S3325" s="521" t="n"/>
      <c r="T3325" s="522" t="n"/>
      <c r="U3325" s="522" t="n"/>
      <c r="V3325" s="522" t="n"/>
      <c r="W3325" s="521" t="n"/>
    </row>
    <row r="3326">
      <c r="A3326" s="521" t="n">
        <v>3318</v>
      </c>
      <c r="B3326" s="522" t="n"/>
      <c r="C3326" s="522" t="inlineStr">
        <is>
          <t>អេវើរហ្គ្រីន ស៊ីបភីង សឺវីស (ខេមបូឌា) ឯ.ក</t>
        </is>
      </c>
      <c r="D3326" s="522" t="inlineStr">
        <is>
          <t>L001-901705421</t>
        </is>
      </c>
      <c r="E3326" s="521" t="inlineStr">
        <is>
          <t>IY20007000</t>
        </is>
      </c>
      <c r="F3326" s="523" t="n">
        <v>44105</v>
      </c>
      <c r="G3326" s="556" t="n">
        <v>91868</v>
      </c>
      <c r="I3326" s="521">
        <f>G3326</f>
        <v/>
      </c>
      <c r="K3326" s="521">
        <f>I3326-G3326</f>
        <v/>
      </c>
      <c r="M3326" s="522" t="inlineStr">
        <is>
          <t>IY20007000</t>
        </is>
      </c>
      <c r="N3326" s="522" t="inlineStr"/>
      <c r="O3326" s="521">
        <f>M3326=N3326</f>
        <v/>
      </c>
      <c r="P3326" s="521">
        <f>AND(MONTH(F3326)=MONTH(S3326), YEAR(F3326)=YEAR(S3326))</f>
        <v/>
      </c>
      <c r="Q3326" s="521">
        <f>U3326="L001-901905215"</f>
        <v/>
      </c>
      <c r="R3326" s="556">
        <f>G3326-W3326</f>
        <v/>
      </c>
      <c r="S3326" s="521" t="n"/>
      <c r="T3326" s="522" t="n"/>
      <c r="U3326" s="522" t="n"/>
      <c r="V3326" s="522" t="n"/>
      <c r="W3326" s="521" t="n"/>
    </row>
    <row r="3327">
      <c r="A3327" s="521" t="n">
        <v>3319</v>
      </c>
      <c r="B3327" s="522" t="inlineStr">
        <is>
          <t>Clearance Trucking Fee</t>
        </is>
      </c>
      <c r="C3327" s="522" t="inlineStr">
        <is>
          <t>56ប៊ី-លីង សឹបផ្លាយ ឆេន មេនេចម៉ិន ឯ.ក</t>
        </is>
      </c>
      <c r="D3327" s="522" t="inlineStr">
        <is>
          <t>K004-902004795</t>
        </is>
      </c>
      <c r="E3327" s="521" t="inlineStr">
        <is>
          <t>IN202110-0600</t>
        </is>
      </c>
      <c r="F3327" s="523" t="n">
        <v>44497</v>
      </c>
      <c r="G3327" s="556" t="n">
        <v>1061226</v>
      </c>
      <c r="I3327" s="521">
        <f>G3327</f>
        <v/>
      </c>
      <c r="K3327" s="521">
        <f>I3327-G3327</f>
        <v/>
      </c>
      <c r="M3327" s="522" t="inlineStr">
        <is>
          <t>IN2021100600</t>
        </is>
      </c>
      <c r="N3327" s="522" t="inlineStr">
        <is>
          <t>IN2021100600</t>
        </is>
      </c>
      <c r="O3327" s="521">
        <f>M3327=N3327</f>
        <v/>
      </c>
      <c r="P3327" s="521">
        <f>AND(MONTH(F3327)=MONTH(S3327), YEAR(F3327)=YEAR(S3327))</f>
        <v/>
      </c>
      <c r="Q3327" s="521">
        <f>U3327="L001-901905215"</f>
        <v/>
      </c>
      <c r="R3327" s="556">
        <f>G3327-W3327</f>
        <v/>
      </c>
      <c r="S3327" s="523" t="n">
        <v>44497</v>
      </c>
      <c r="T3327" s="522" t="inlineStr">
        <is>
          <t>IN202110-0600</t>
        </is>
      </c>
      <c r="U3327" s="522" t="inlineStr">
        <is>
          <t>L001-901905215</t>
        </is>
      </c>
      <c r="V3327" s="522" t="inlineStr">
        <is>
          <t>វីអ៊ីស៊ិន (ខេមបូឌា) អ៊ិនដាសស្ទ្រី ឯ.ក</t>
        </is>
      </c>
      <c r="W3327" s="556" t="n">
        <v>1061226</v>
      </c>
    </row>
    <row r="3328">
      <c r="A3328" s="521" t="n">
        <v>3320</v>
      </c>
      <c r="B3328" s="522" t="inlineStr">
        <is>
          <t>Clearance Trucking Fee</t>
        </is>
      </c>
      <c r="C3328" s="522" t="inlineStr">
        <is>
          <t>56ប៊ី-លីង សឹបផ្លាយ ឆេន មេនេចម៉ិន ឯ.ក</t>
        </is>
      </c>
      <c r="D3328" s="522" t="inlineStr">
        <is>
          <t>K004-902004795</t>
        </is>
      </c>
      <c r="E3328" s="521" t="inlineStr">
        <is>
          <t>IN202110-0574</t>
        </is>
      </c>
      <c r="F3328" s="523" t="n">
        <v>44483</v>
      </c>
      <c r="G3328" s="556" t="n">
        <v>270855</v>
      </c>
      <c r="I3328" s="521">
        <f>G3328</f>
        <v/>
      </c>
      <c r="K3328" s="521">
        <f>I3328-G3328</f>
        <v/>
      </c>
      <c r="M3328" s="522" t="inlineStr">
        <is>
          <t>IN2021100574</t>
        </is>
      </c>
      <c r="N3328" s="522" t="inlineStr">
        <is>
          <t>IN2021100574</t>
        </is>
      </c>
      <c r="O3328" s="521">
        <f>M3328=N3328</f>
        <v/>
      </c>
      <c r="P3328" s="521">
        <f>AND(MONTH(F3328)=MONTH(S3328), YEAR(F3328)=YEAR(S3328))</f>
        <v/>
      </c>
      <c r="Q3328" s="521">
        <f>U3328="L001-901905215"</f>
        <v/>
      </c>
      <c r="R3328" s="556">
        <f>G3328-W3328</f>
        <v/>
      </c>
      <c r="S3328" s="523" t="n">
        <v>44483</v>
      </c>
      <c r="T3328" s="522" t="inlineStr">
        <is>
          <t>IN202110-0574</t>
        </is>
      </c>
      <c r="U3328" s="522" t="inlineStr">
        <is>
          <t>L001-901905215</t>
        </is>
      </c>
      <c r="V3328" s="522" t="inlineStr">
        <is>
          <t>វីអ៊ីស៊ិន (ខេមបូឌា) អ៊ិនដាសស្ទ្រី ឯ.ក</t>
        </is>
      </c>
      <c r="W3328" s="556" t="n">
        <v>270855</v>
      </c>
    </row>
    <row r="3329">
      <c r="A3329" s="521" t="n">
        <v>3321</v>
      </c>
      <c r="B3329" s="522" t="inlineStr">
        <is>
          <t>Clearance Trucking Fee</t>
        </is>
      </c>
      <c r="C3329" s="522" t="inlineStr">
        <is>
          <t>56ប៊ី-លីង សឹបផ្លាយ ឆេន មេនេចម៉ិន ឯ.ក</t>
        </is>
      </c>
      <c r="D3329" s="522" t="inlineStr">
        <is>
          <t>K004-902004795</t>
        </is>
      </c>
      <c r="E3329" s="521" t="inlineStr">
        <is>
          <t>IN202110-0573</t>
        </is>
      </c>
      <c r="F3329" s="523" t="n">
        <v>44483</v>
      </c>
      <c r="G3329" s="556" t="n">
        <v>270855</v>
      </c>
      <c r="I3329" s="521">
        <f>G3329</f>
        <v/>
      </c>
      <c r="K3329" s="521">
        <f>I3329-G3329</f>
        <v/>
      </c>
      <c r="M3329" s="522" t="inlineStr">
        <is>
          <t>IN2021100573</t>
        </is>
      </c>
      <c r="N3329" s="522" t="inlineStr">
        <is>
          <t>IN2021100573</t>
        </is>
      </c>
      <c r="O3329" s="521">
        <f>M3329=N3329</f>
        <v/>
      </c>
      <c r="P3329" s="521">
        <f>AND(MONTH(F3329)=MONTH(S3329), YEAR(F3329)=YEAR(S3329))</f>
        <v/>
      </c>
      <c r="Q3329" s="521">
        <f>U3329="L001-901905215"</f>
        <v/>
      </c>
      <c r="R3329" s="556">
        <f>G3329-W3329</f>
        <v/>
      </c>
      <c r="S3329" s="523" t="n">
        <v>44483</v>
      </c>
      <c r="T3329" s="522" t="inlineStr">
        <is>
          <t>IN202110-0573</t>
        </is>
      </c>
      <c r="U3329" s="522" t="inlineStr">
        <is>
          <t>L001-901905215</t>
        </is>
      </c>
      <c r="V3329" s="522" t="inlineStr">
        <is>
          <t>វីអ៊ីស៊ិន (ខេមបូឌា) អ៊ិនដាសស្ទ្រី ឯ.ក</t>
        </is>
      </c>
      <c r="W3329" s="556" t="n">
        <v>270855</v>
      </c>
    </row>
    <row r="3330">
      <c r="A3330" s="521" t="n">
        <v>3322</v>
      </c>
      <c r="B3330" s="522" t="inlineStr">
        <is>
          <t>Clearance Trucking Fee</t>
        </is>
      </c>
      <c r="C3330" s="522" t="inlineStr">
        <is>
          <t>56ប៊ី-លីង សឹបផ្លាយ ឆេន មេនេចម៉ិន ឯ.ក</t>
        </is>
      </c>
      <c r="D3330" s="522" t="inlineStr">
        <is>
          <t>K004-902004795</t>
        </is>
      </c>
      <c r="E3330" s="521" t="inlineStr">
        <is>
          <t>IN202110-0570</t>
        </is>
      </c>
      <c r="F3330" s="523" t="n">
        <v>44497</v>
      </c>
      <c r="G3330" s="556" t="n">
        <v>472468</v>
      </c>
      <c r="I3330" s="521">
        <f>G3330</f>
        <v/>
      </c>
      <c r="K3330" s="521">
        <f>I3330-G3330</f>
        <v/>
      </c>
      <c r="M3330" s="522" t="inlineStr">
        <is>
          <t>IN2021100570</t>
        </is>
      </c>
      <c r="N3330" s="522" t="inlineStr">
        <is>
          <t>IN2021100570</t>
        </is>
      </c>
      <c r="O3330" s="521">
        <f>M3330=N3330</f>
        <v/>
      </c>
      <c r="P3330" s="521">
        <f>AND(MONTH(F3330)=MONTH(S3330), YEAR(F3330)=YEAR(S3330))</f>
        <v/>
      </c>
      <c r="Q3330" s="521">
        <f>U3330="L001-901905215"</f>
        <v/>
      </c>
      <c r="R3330" s="556">
        <f>G3330-W3330</f>
        <v/>
      </c>
      <c r="S3330" s="523" t="n">
        <v>44483</v>
      </c>
      <c r="T3330" s="522" t="inlineStr">
        <is>
          <t>IN202110-0570</t>
        </is>
      </c>
      <c r="U3330" s="522" t="inlineStr">
        <is>
          <t>L001-901905215</t>
        </is>
      </c>
      <c r="V3330" s="522" t="inlineStr">
        <is>
          <t>វីអ៊ីស៊ិន (ខេមបូឌា) អ៊ិនដាសស្ទ្រី ឯ.ក</t>
        </is>
      </c>
      <c r="W3330" s="556" t="n">
        <v>472468</v>
      </c>
    </row>
    <row r="3331">
      <c r="A3331" s="521" t="n">
        <v>3323</v>
      </c>
      <c r="B3331" s="522" t="inlineStr">
        <is>
          <t>Clearance Trucking Fee</t>
        </is>
      </c>
      <c r="C3331" s="522" t="inlineStr">
        <is>
          <t>56ប៊ី-លីង សឹបផ្លាយ ឆេន មេនេចម៉ិន ឯ.ក</t>
        </is>
      </c>
      <c r="D3331" s="522" t="inlineStr">
        <is>
          <t>K004-902004795</t>
        </is>
      </c>
      <c r="E3331" s="521" t="inlineStr">
        <is>
          <t>IN202110-0608</t>
        </is>
      </c>
      <c r="F3331" s="523" t="n">
        <v>44497</v>
      </c>
      <c r="G3331" s="556" t="n">
        <v>2179376</v>
      </c>
      <c r="I3331" s="521">
        <f>G3331</f>
        <v/>
      </c>
      <c r="K3331" s="521">
        <f>I3331-G3331</f>
        <v/>
      </c>
      <c r="M3331" s="522" t="inlineStr">
        <is>
          <t>IN2021100608</t>
        </is>
      </c>
      <c r="N3331" s="522" t="inlineStr">
        <is>
          <t>IN2021100608</t>
        </is>
      </c>
      <c r="O3331" s="521">
        <f>M3331=N3331</f>
        <v/>
      </c>
      <c r="P3331" s="521">
        <f>AND(MONTH(F3331)=MONTH(S3331), YEAR(F3331)=YEAR(S3331))</f>
        <v/>
      </c>
      <c r="Q3331" s="521">
        <f>U3331="L001-901905215"</f>
        <v/>
      </c>
      <c r="R3331" s="556">
        <f>G3331-W3331</f>
        <v/>
      </c>
      <c r="S3331" s="523" t="n">
        <v>44497</v>
      </c>
      <c r="T3331" s="522" t="inlineStr">
        <is>
          <t>IN202110-0608</t>
        </is>
      </c>
      <c r="U3331" s="522" t="inlineStr">
        <is>
          <t>L001-901905215</t>
        </is>
      </c>
      <c r="V3331" s="522" t="inlineStr">
        <is>
          <t>វីអ៊ីស៊ិន (ខេមបូឌា) អ៊ិនដាសស្ទ្រី ឯ.ក</t>
        </is>
      </c>
      <c r="W3331" s="556" t="n">
        <v>2179376</v>
      </c>
    </row>
    <row r="3332">
      <c r="A3332" s="521" t="n">
        <v>3324</v>
      </c>
      <c r="B3332" s="522" t="inlineStr">
        <is>
          <t>Clearance Trucking Fee</t>
        </is>
      </c>
      <c r="C3332" s="522" t="inlineStr">
        <is>
          <t>56ប៊ី-លីង សឹបផ្លាយ ឆេន មេនេចម៉ិន ឯ.ក</t>
        </is>
      </c>
      <c r="D3332" s="522" t="inlineStr">
        <is>
          <t>K004-902004795</t>
        </is>
      </c>
      <c r="E3332" s="521" t="inlineStr">
        <is>
          <t>IN202110-0607</t>
        </is>
      </c>
      <c r="F3332" s="523" t="n">
        <v>44497</v>
      </c>
      <c r="G3332" s="556" t="n">
        <v>258191</v>
      </c>
      <c r="I3332" s="521">
        <f>G3332</f>
        <v/>
      </c>
      <c r="K3332" s="521">
        <f>I3332-G3332</f>
        <v/>
      </c>
      <c r="M3332" s="522" t="inlineStr">
        <is>
          <t>IN2021100607</t>
        </is>
      </c>
      <c r="N3332" s="522" t="inlineStr">
        <is>
          <t>IN2021100607</t>
        </is>
      </c>
      <c r="O3332" s="521">
        <f>M3332=N3332</f>
        <v/>
      </c>
      <c r="P3332" s="521">
        <f>AND(MONTH(F3332)=MONTH(S3332), YEAR(F3332)=YEAR(S3332))</f>
        <v/>
      </c>
      <c r="Q3332" s="521">
        <f>U3332="L001-901905215"</f>
        <v/>
      </c>
      <c r="R3332" s="556">
        <f>G3332-W3332</f>
        <v/>
      </c>
      <c r="S3332" s="523" t="n">
        <v>44497</v>
      </c>
      <c r="T3332" s="522" t="inlineStr">
        <is>
          <t>IN202110-0607</t>
        </is>
      </c>
      <c r="U3332" s="522" t="inlineStr">
        <is>
          <t>L001-901905215</t>
        </is>
      </c>
      <c r="V3332" s="522" t="inlineStr">
        <is>
          <t>វីអ៊ីស៊ិន (ខេមបូឌា) អ៊ិនដាសស្ទ្រី ឯ.ក</t>
        </is>
      </c>
      <c r="W3332" s="556" t="n">
        <v>258191</v>
      </c>
    </row>
    <row r="3333">
      <c r="A3333" s="521" t="n">
        <v>3325</v>
      </c>
      <c r="B3333" s="522" t="inlineStr">
        <is>
          <t>Clearance Trucking Fee</t>
        </is>
      </c>
      <c r="C3333" s="522" t="inlineStr">
        <is>
          <t>56ប៊ី-លីង សឹបផ្លាយ ឆេន មេនេចម៉ិន ឯ.ក</t>
        </is>
      </c>
      <c r="D3333" s="522" t="inlineStr">
        <is>
          <t>K004-902004795</t>
        </is>
      </c>
      <c r="E3333" s="521" t="inlineStr">
        <is>
          <t>IN202110-0606</t>
        </is>
      </c>
      <c r="F3333" s="523" t="n">
        <v>44497</v>
      </c>
      <c r="G3333" s="556" t="n">
        <v>258191</v>
      </c>
      <c r="I3333" s="521">
        <f>G3333</f>
        <v/>
      </c>
      <c r="K3333" s="521">
        <f>I3333-G3333</f>
        <v/>
      </c>
      <c r="M3333" s="522" t="inlineStr">
        <is>
          <t>IN2021100606</t>
        </is>
      </c>
      <c r="N3333" s="522" t="inlineStr">
        <is>
          <t>IN2021100606</t>
        </is>
      </c>
      <c r="O3333" s="521">
        <f>M3333=N3333</f>
        <v/>
      </c>
      <c r="P3333" s="521">
        <f>AND(MONTH(F3333)=MONTH(S3333), YEAR(F3333)=YEAR(S3333))</f>
        <v/>
      </c>
      <c r="Q3333" s="521">
        <f>U3333="L001-901905215"</f>
        <v/>
      </c>
      <c r="R3333" s="556">
        <f>G3333-W3333</f>
        <v/>
      </c>
      <c r="S3333" s="523" t="n">
        <v>44497</v>
      </c>
      <c r="T3333" s="522" t="inlineStr">
        <is>
          <t>IN202110-0606</t>
        </is>
      </c>
      <c r="U3333" s="522" t="inlineStr">
        <is>
          <t>L001-901905215</t>
        </is>
      </c>
      <c r="V3333" s="522" t="inlineStr">
        <is>
          <t>វីអ៊ីស៊ិន (ខេមបូឌា) អ៊ិនដាសស្ទ្រី ឯ.ក</t>
        </is>
      </c>
      <c r="W3333" s="556" t="n">
        <v>258191</v>
      </c>
    </row>
    <row r="3334">
      <c r="A3334" s="521" t="n">
        <v>3326</v>
      </c>
      <c r="B3334" s="522" t="inlineStr">
        <is>
          <t>Clearance Trucking Fee</t>
        </is>
      </c>
      <c r="C3334" s="522" t="inlineStr">
        <is>
          <t>56ប៊ី-លីង សឹបផ្លាយ ឆេន មេនេចម៉ិន ឯ.ក</t>
        </is>
      </c>
      <c r="D3334" s="522" t="inlineStr">
        <is>
          <t>K004-902004795</t>
        </is>
      </c>
      <c r="E3334" s="521" t="inlineStr">
        <is>
          <t>IN202110-0605</t>
        </is>
      </c>
      <c r="F3334" s="523" t="n">
        <v>44497</v>
      </c>
      <c r="G3334" s="556" t="n">
        <v>270389</v>
      </c>
      <c r="I3334" s="521">
        <f>G3334</f>
        <v/>
      </c>
      <c r="K3334" s="521">
        <f>I3334-G3334</f>
        <v/>
      </c>
      <c r="M3334" s="522" t="inlineStr">
        <is>
          <t>IN2021100605</t>
        </is>
      </c>
      <c r="N3334" s="522" t="inlineStr">
        <is>
          <t>IN2021100605</t>
        </is>
      </c>
      <c r="O3334" s="521">
        <f>M3334=N3334</f>
        <v/>
      </c>
      <c r="P3334" s="521">
        <f>AND(MONTH(F3334)=MONTH(S3334), YEAR(F3334)=YEAR(S3334))</f>
        <v/>
      </c>
      <c r="Q3334" s="521">
        <f>U3334="L001-901905215"</f>
        <v/>
      </c>
      <c r="R3334" s="556">
        <f>G3334-W3334</f>
        <v/>
      </c>
      <c r="S3334" s="523" t="n">
        <v>44497</v>
      </c>
      <c r="T3334" s="522" t="inlineStr">
        <is>
          <t>IN202110-0605</t>
        </is>
      </c>
      <c r="U3334" s="522" t="inlineStr">
        <is>
          <t>L001-901905215</t>
        </is>
      </c>
      <c r="V3334" s="522" t="inlineStr">
        <is>
          <t>វីអ៊ីស៊ិន (ខេមបូឌា) អ៊ិនដាសស្ទ្រី ឯ.ក</t>
        </is>
      </c>
      <c r="W3334" s="556" t="n">
        <v>270389</v>
      </c>
    </row>
    <row r="3335">
      <c r="A3335" s="521" t="n">
        <v>3327</v>
      </c>
      <c r="B3335" s="522" t="inlineStr">
        <is>
          <t>Clearance Trucking Fee</t>
        </is>
      </c>
      <c r="C3335" s="522" t="inlineStr">
        <is>
          <t>56ប៊ី-លីង សឹបផ្លាយ ឆេន មេនេចម៉ិន ឯ.ក</t>
        </is>
      </c>
      <c r="D3335" s="522" t="inlineStr">
        <is>
          <t>K004-902004795</t>
        </is>
      </c>
      <c r="E3335" s="521" t="inlineStr">
        <is>
          <t>IN202110-0604</t>
        </is>
      </c>
      <c r="F3335" s="523" t="n">
        <v>44497</v>
      </c>
      <c r="G3335" s="556" t="n">
        <v>258191</v>
      </c>
      <c r="I3335" s="521">
        <f>G3335</f>
        <v/>
      </c>
      <c r="K3335" s="521">
        <f>I3335-G3335</f>
        <v/>
      </c>
      <c r="M3335" s="522" t="inlineStr">
        <is>
          <t>IN2021100604</t>
        </is>
      </c>
      <c r="N3335" s="522" t="inlineStr">
        <is>
          <t>IN2021100604</t>
        </is>
      </c>
      <c r="O3335" s="521">
        <f>M3335=N3335</f>
        <v/>
      </c>
      <c r="P3335" s="521">
        <f>AND(MONTH(F3335)=MONTH(S3335), YEAR(F3335)=YEAR(S3335))</f>
        <v/>
      </c>
      <c r="Q3335" s="521">
        <f>U3335="L001-901905215"</f>
        <v/>
      </c>
      <c r="R3335" s="556">
        <f>G3335-W3335</f>
        <v/>
      </c>
      <c r="S3335" s="523" t="n">
        <v>44497</v>
      </c>
      <c r="T3335" s="522" t="inlineStr">
        <is>
          <t>IN202110-0604</t>
        </is>
      </c>
      <c r="U3335" s="522" t="inlineStr">
        <is>
          <t>L001-901905215</t>
        </is>
      </c>
      <c r="V3335" s="522" t="inlineStr">
        <is>
          <t>វីអ៊ីស៊ិន (ខេមបូឌា) អ៊ិនដាសស្ទ្រី ឯ.ក</t>
        </is>
      </c>
      <c r="W3335" s="556" t="n">
        <v>258191</v>
      </c>
    </row>
    <row r="3336">
      <c r="A3336" s="521" t="n">
        <v>3328</v>
      </c>
      <c r="B3336" s="522" t="inlineStr">
        <is>
          <t>Clearance Trucking Fee</t>
        </is>
      </c>
      <c r="C3336" s="522" t="inlineStr">
        <is>
          <t>56ប៊ី-លីង សឹបផ្លាយ ឆេន មេនេចម៉ិន ឯ.ក</t>
        </is>
      </c>
      <c r="D3336" s="522" t="inlineStr">
        <is>
          <t>K004-902004795</t>
        </is>
      </c>
      <c r="E3336" s="521" t="inlineStr">
        <is>
          <t>IN202110-0603</t>
        </is>
      </c>
      <c r="F3336" s="523" t="n">
        <v>44497</v>
      </c>
      <c r="G3336" s="556" t="n">
        <v>270389</v>
      </c>
      <c r="I3336" s="521">
        <f>G3336</f>
        <v/>
      </c>
      <c r="K3336" s="521">
        <f>I3336-G3336</f>
        <v/>
      </c>
      <c r="M3336" s="522" t="inlineStr">
        <is>
          <t>IN2021100603</t>
        </is>
      </c>
      <c r="N3336" s="522" t="inlineStr">
        <is>
          <t>IN2021100603</t>
        </is>
      </c>
      <c r="O3336" s="521">
        <f>M3336=N3336</f>
        <v/>
      </c>
      <c r="P3336" s="521">
        <f>AND(MONTH(F3336)=MONTH(S3336), YEAR(F3336)=YEAR(S3336))</f>
        <v/>
      </c>
      <c r="Q3336" s="521">
        <f>U3336="L001-901905215"</f>
        <v/>
      </c>
      <c r="R3336" s="556">
        <f>G3336-W3336</f>
        <v/>
      </c>
      <c r="S3336" s="523" t="n">
        <v>44497</v>
      </c>
      <c r="T3336" s="522" t="inlineStr">
        <is>
          <t>IN202110-0603</t>
        </is>
      </c>
      <c r="U3336" s="522" t="inlineStr">
        <is>
          <t>L001-901905215</t>
        </is>
      </c>
      <c r="V3336" s="522" t="inlineStr">
        <is>
          <t>វីអ៊ីស៊ិន (ខេមបូឌា) អ៊ិនដាសស្ទ្រី ឯ.ក</t>
        </is>
      </c>
      <c r="W3336" s="556" t="n">
        <v>270389</v>
      </c>
    </row>
    <row r="3337">
      <c r="A3337" s="521" t="n">
        <v>3329</v>
      </c>
      <c r="B3337" s="522" t="inlineStr">
        <is>
          <t>Clearance Trucking Fee</t>
        </is>
      </c>
      <c r="C3337" s="522" t="inlineStr">
        <is>
          <t>56ប៊ី-លីង សឹបផ្លាយ ឆេន មេនេចម៉ិន ឯ.ក</t>
        </is>
      </c>
      <c r="D3337" s="522" t="inlineStr">
        <is>
          <t>K004-902004795</t>
        </is>
      </c>
      <c r="E3337" s="521" t="inlineStr">
        <is>
          <t>IN202110-0602</t>
        </is>
      </c>
      <c r="F3337" s="523" t="n">
        <v>44497</v>
      </c>
      <c r="G3337" s="556" t="n">
        <v>193135</v>
      </c>
      <c r="I3337" s="521">
        <f>G3337</f>
        <v/>
      </c>
      <c r="K3337" s="521">
        <f>I3337-G3337</f>
        <v/>
      </c>
      <c r="M3337" s="522" t="inlineStr">
        <is>
          <t>IN2021100602</t>
        </is>
      </c>
      <c r="N3337" s="522" t="inlineStr">
        <is>
          <t>IN2021100602</t>
        </is>
      </c>
      <c r="O3337" s="521">
        <f>M3337=N3337</f>
        <v/>
      </c>
      <c r="P3337" s="521">
        <f>AND(MONTH(F3337)=MONTH(S3337), YEAR(F3337)=YEAR(S3337))</f>
        <v/>
      </c>
      <c r="Q3337" s="521">
        <f>U3337="L001-901905215"</f>
        <v/>
      </c>
      <c r="R3337" s="556">
        <f>G3337-W3337</f>
        <v/>
      </c>
      <c r="S3337" s="523" t="n">
        <v>44497</v>
      </c>
      <c r="T3337" s="522" t="inlineStr">
        <is>
          <t>IN202110-0602</t>
        </is>
      </c>
      <c r="U3337" s="522" t="inlineStr">
        <is>
          <t>L001-901905215</t>
        </is>
      </c>
      <c r="V3337" s="522" t="inlineStr">
        <is>
          <t>វីអ៊ីស៊ិន (ខេមបូឌា) អ៊ិនដាសស្ទ្រី ឯ.ក</t>
        </is>
      </c>
      <c r="W3337" s="556" t="n">
        <v>193135</v>
      </c>
    </row>
    <row r="3338">
      <c r="A3338" s="521" t="n">
        <v>3330</v>
      </c>
      <c r="B3338" s="522" t="inlineStr">
        <is>
          <t>Clearance Trucking Fee</t>
        </is>
      </c>
      <c r="C3338" s="522" t="inlineStr">
        <is>
          <t>56ប៊ី-លីង សឹបផ្លាយ ឆេន មេនេចម៉ិន ឯ.ក</t>
        </is>
      </c>
      <c r="D3338" s="522" t="inlineStr">
        <is>
          <t>K004-902004795</t>
        </is>
      </c>
      <c r="E3338" s="521" t="inlineStr">
        <is>
          <t>IN202110-0591</t>
        </is>
      </c>
      <c r="F3338" s="523" t="n">
        <v>44496</v>
      </c>
      <c r="G3338" s="556" t="n">
        <v>697662</v>
      </c>
      <c r="I3338" s="521">
        <f>G3338</f>
        <v/>
      </c>
      <c r="K3338" s="521">
        <f>I3338-G3338</f>
        <v/>
      </c>
      <c r="M3338" s="522" t="inlineStr">
        <is>
          <t>IN2021100591</t>
        </is>
      </c>
      <c r="N3338" s="522" t="inlineStr">
        <is>
          <t>IN2021100591</t>
        </is>
      </c>
      <c r="O3338" s="521">
        <f>M3338=N3338</f>
        <v/>
      </c>
      <c r="P3338" s="521">
        <f>AND(MONTH(F3338)=MONTH(S3338), YEAR(F3338)=YEAR(S3338))</f>
        <v/>
      </c>
      <c r="Q3338" s="521">
        <f>U3338="L001-901905215"</f>
        <v/>
      </c>
      <c r="R3338" s="556">
        <f>G3338-W3338</f>
        <v/>
      </c>
      <c r="S3338" s="523" t="n">
        <v>44496</v>
      </c>
      <c r="T3338" s="522" t="inlineStr">
        <is>
          <t>IN202110-0591</t>
        </is>
      </c>
      <c r="U3338" s="522" t="inlineStr">
        <is>
          <t>L001-901905215</t>
        </is>
      </c>
      <c r="V3338" s="522" t="inlineStr">
        <is>
          <t>វីអ៊ីស៊ិន (ខេមបូឌា) អ៊ិនដាសស្ទ្រី ឯ.ក</t>
        </is>
      </c>
      <c r="W3338" s="556" t="n">
        <v>697662</v>
      </c>
    </row>
    <row r="3339">
      <c r="A3339" s="521" t="n">
        <v>3331</v>
      </c>
      <c r="B3339" s="522" t="inlineStr">
        <is>
          <t>Monthly Tax declaration for Sep 2021 service</t>
        </is>
      </c>
      <c r="C3339" s="522" t="inlineStr">
        <is>
          <t>យីងកឺ ខេម ថេក អ៊ែតវ៉ាយហ្សឺរី ឯ.ក</t>
        </is>
      </c>
      <c r="D3339" s="522" t="inlineStr">
        <is>
          <t>K003-902005313</t>
        </is>
      </c>
      <c r="E3339" s="521" t="inlineStr">
        <is>
          <t>YKT21-155</t>
        </is>
      </c>
      <c r="F3339" s="523" t="n">
        <v>44470</v>
      </c>
      <c r="G3339" s="556" t="n">
        <v>241209</v>
      </c>
      <c r="I3339" s="521">
        <f>G3339</f>
        <v/>
      </c>
      <c r="K3339" s="521">
        <f>I3339-G3339</f>
        <v/>
      </c>
      <c r="M3339" s="522" t="inlineStr">
        <is>
          <t>YKT21155</t>
        </is>
      </c>
      <c r="N3339" s="522" t="inlineStr">
        <is>
          <t>YKT21155</t>
        </is>
      </c>
      <c r="O3339" s="521">
        <f>M3339=N3339</f>
        <v/>
      </c>
      <c r="P3339" s="521">
        <f>AND(MONTH(F3339)=MONTH(S3339), YEAR(F3339)=YEAR(S3339))</f>
        <v/>
      </c>
      <c r="Q3339" s="521">
        <f>U3339="L001-901905215"</f>
        <v/>
      </c>
      <c r="R3339" s="556">
        <f>G3339-W3339</f>
        <v/>
      </c>
      <c r="S3339" s="523" t="n">
        <v>44470</v>
      </c>
      <c r="T3339" s="522" t="inlineStr">
        <is>
          <t>YKT21-155</t>
        </is>
      </c>
      <c r="U3339" s="522" t="inlineStr">
        <is>
          <t>L001-901905215</t>
        </is>
      </c>
      <c r="V3339" s="522" t="inlineStr">
        <is>
          <t>វីអ៊ីស៊ិន (ខេមបូឌា) អ៊ិនដាសស្ទ្រី ឯ.ក</t>
        </is>
      </c>
      <c r="W3339" s="556" t="n">
        <v>241209</v>
      </c>
    </row>
    <row r="3340">
      <c r="A3340" s="521" t="n">
        <v>3332</v>
      </c>
      <c r="B3340" s="522" t="inlineStr">
        <is>
          <t>សេវាកម្មត្រួតពិនិត្យ</t>
        </is>
      </c>
      <c r="C3340" s="522" t="inlineStr">
        <is>
          <t>ប្យួរ៉ូ វេរីតាស (ខេមបូឌា) លីមីធីត</t>
        </is>
      </c>
      <c r="D3340" s="522" t="inlineStr">
        <is>
          <t>L001-107024462</t>
        </is>
      </c>
      <c r="E3340" s="521" t="inlineStr">
        <is>
          <t>59011196</t>
        </is>
      </c>
      <c r="F3340" s="523" t="n">
        <v>44498</v>
      </c>
      <c r="G3340" s="556" t="n">
        <v>110148</v>
      </c>
      <c r="I3340" s="521">
        <f>G3340</f>
        <v/>
      </c>
      <c r="K3340" s="521">
        <f>I3340-G3340</f>
        <v/>
      </c>
      <c r="M3340" s="522" t="inlineStr">
        <is>
          <t>59011196</t>
        </is>
      </c>
      <c r="N3340" s="522" t="inlineStr">
        <is>
          <t>59011196</t>
        </is>
      </c>
      <c r="O3340" s="521">
        <f>M3340=N3340</f>
        <v/>
      </c>
      <c r="P3340" s="521">
        <f>AND(MONTH(F3340)=MONTH(S3340), YEAR(F3340)=YEAR(S3340))</f>
        <v/>
      </c>
      <c r="Q3340" s="521">
        <f>U3340="L001-901905215"</f>
        <v/>
      </c>
      <c r="R3340" s="556">
        <f>G3340-W3340</f>
        <v/>
      </c>
      <c r="S3340" s="523" t="n">
        <v>44498</v>
      </c>
      <c r="T3340" s="522" t="inlineStr">
        <is>
          <t>59011196</t>
        </is>
      </c>
      <c r="U3340" s="522" t="inlineStr">
        <is>
          <t>L001-901905215</t>
        </is>
      </c>
      <c r="V3340" s="522" t="inlineStr">
        <is>
          <t>វីអ៊ីស៊ិន (ខេមបូឌា) អ៊ិនដាសស្ទ្រី ឯ.ក</t>
        </is>
      </c>
      <c r="W3340" s="556" t="n">
        <v>110148</v>
      </c>
    </row>
    <row r="3341">
      <c r="A3341" s="521" t="n">
        <v>3333</v>
      </c>
      <c r="B3341" s="522" t="inlineStr">
        <is>
          <t>សេវាកម្មត្រួតពិនិត្យ</t>
        </is>
      </c>
      <c r="C3341" s="522" t="inlineStr">
        <is>
          <t>ប្យួរ៉ូ វេរីតាស (ខេមបូឌា) លីមីធីត</t>
        </is>
      </c>
      <c r="D3341" s="522" t="inlineStr">
        <is>
          <t>L001-107024462</t>
        </is>
      </c>
      <c r="E3341" s="521" t="inlineStr">
        <is>
          <t>59011167</t>
        </is>
      </c>
      <c r="F3341" s="523" t="n">
        <v>44492</v>
      </c>
      <c r="G3341" s="556" t="n">
        <v>110310</v>
      </c>
      <c r="I3341" s="521">
        <f>G3341</f>
        <v/>
      </c>
      <c r="K3341" s="521">
        <f>I3341-G3341</f>
        <v/>
      </c>
      <c r="M3341" s="522" t="inlineStr">
        <is>
          <t>59011167</t>
        </is>
      </c>
      <c r="N3341" s="522" t="inlineStr">
        <is>
          <t>59011167</t>
        </is>
      </c>
      <c r="O3341" s="521">
        <f>M3341=N3341</f>
        <v/>
      </c>
      <c r="P3341" s="521">
        <f>AND(MONTH(F3341)=MONTH(S3341), YEAR(F3341)=YEAR(S3341))</f>
        <v/>
      </c>
      <c r="Q3341" s="521">
        <f>U3341="L001-901905215"</f>
        <v/>
      </c>
      <c r="R3341" s="556">
        <f>G3341-W3341</f>
        <v/>
      </c>
      <c r="S3341" s="523" t="n">
        <v>44494</v>
      </c>
      <c r="T3341" s="522" t="inlineStr">
        <is>
          <t>59011167</t>
        </is>
      </c>
      <c r="U3341" s="522" t="inlineStr">
        <is>
          <t>L001-901905215</t>
        </is>
      </c>
      <c r="V3341" s="522" t="inlineStr">
        <is>
          <t>វីអ៊ីស៊ិន (ខេមបូឌា) អ៊ិនដាសស្ទ្រី ឯ.ក</t>
        </is>
      </c>
      <c r="W3341" s="556" t="n">
        <v>110311</v>
      </c>
    </row>
    <row r="3342">
      <c r="A3342" s="521" t="n">
        <v>3334</v>
      </c>
      <c r="B3342" s="522" t="inlineStr">
        <is>
          <t>សេវាកម្មត្រួតពិនិត្យ</t>
        </is>
      </c>
      <c r="C3342" s="522" t="inlineStr">
        <is>
          <t>ប្យួរ៉ូ វេរីតាស (ខេមបូឌា) លីមីធីត</t>
        </is>
      </c>
      <c r="D3342" s="522" t="inlineStr">
        <is>
          <t>L001-107024462</t>
        </is>
      </c>
      <c r="E3342" s="521" t="inlineStr">
        <is>
          <t>59011163</t>
        </is>
      </c>
      <c r="F3342" s="523" t="n">
        <v>44492</v>
      </c>
      <c r="G3342" s="556" t="n">
        <v>55171</v>
      </c>
      <c r="I3342" s="521">
        <f>G3342</f>
        <v/>
      </c>
      <c r="K3342" s="521">
        <f>I3342-G3342</f>
        <v/>
      </c>
      <c r="M3342" s="522" t="inlineStr">
        <is>
          <t>59011163</t>
        </is>
      </c>
      <c r="N3342" s="522" t="inlineStr">
        <is>
          <t>59011163</t>
        </is>
      </c>
      <c r="O3342" s="521">
        <f>M3342=N3342</f>
        <v/>
      </c>
      <c r="P3342" s="521">
        <f>AND(MONTH(F3342)=MONTH(S3342), YEAR(F3342)=YEAR(S3342))</f>
        <v/>
      </c>
      <c r="Q3342" s="521">
        <f>U3342="L001-901905215"</f>
        <v/>
      </c>
      <c r="R3342" s="556">
        <f>G3342-W3342</f>
        <v/>
      </c>
      <c r="S3342" s="523" t="n">
        <v>44492</v>
      </c>
      <c r="T3342" s="522" t="inlineStr">
        <is>
          <t>59011163</t>
        </is>
      </c>
      <c r="U3342" s="522" t="inlineStr">
        <is>
          <t>L001-901905215</t>
        </is>
      </c>
      <c r="V3342" s="522" t="inlineStr">
        <is>
          <t>វីអ៊ីស៊ិន (ខេមបូឌា) អ៊ិនដាសស្ទ្រី ឯ.ក</t>
        </is>
      </c>
      <c r="W3342" s="556" t="n">
        <v>55171</v>
      </c>
    </row>
    <row r="3343">
      <c r="A3343" s="521" t="n">
        <v>3335</v>
      </c>
      <c r="B3343" s="522" t="inlineStr">
        <is>
          <t>សេវាកម្មត្រួតពិនិត្យ</t>
        </is>
      </c>
      <c r="C3343" s="522" t="inlineStr">
        <is>
          <t>ប្យួរ៉ូ វេរីតាស (ខេមបូឌា) លីមីធីត</t>
        </is>
      </c>
      <c r="D3343" s="522" t="inlineStr">
        <is>
          <t>L001-107024462</t>
        </is>
      </c>
      <c r="E3343" s="521" t="inlineStr">
        <is>
          <t>59011159</t>
        </is>
      </c>
      <c r="F3343" s="523" t="n">
        <v>44491</v>
      </c>
      <c r="G3343" s="556" t="n">
        <v>165508</v>
      </c>
      <c r="I3343" s="521">
        <f>G3343</f>
        <v/>
      </c>
      <c r="K3343" s="521">
        <f>I3343-G3343</f>
        <v/>
      </c>
      <c r="M3343" s="522" t="inlineStr">
        <is>
          <t>59011159</t>
        </is>
      </c>
      <c r="N3343" s="522" t="inlineStr">
        <is>
          <t>59011159</t>
        </is>
      </c>
      <c r="O3343" s="521">
        <f>M3343=N3343</f>
        <v/>
      </c>
      <c r="P3343" s="521">
        <f>AND(MONTH(F3343)=MONTH(S3343), YEAR(F3343)=YEAR(S3343))</f>
        <v/>
      </c>
      <c r="Q3343" s="521">
        <f>U3343="L001-901905215"</f>
        <v/>
      </c>
      <c r="R3343" s="556">
        <f>G3343-W3343</f>
        <v/>
      </c>
      <c r="S3343" s="523" t="n">
        <v>44491</v>
      </c>
      <c r="T3343" s="522" t="inlineStr">
        <is>
          <t>59011159</t>
        </is>
      </c>
      <c r="U3343" s="522" t="inlineStr">
        <is>
          <t>L001-901905215</t>
        </is>
      </c>
      <c r="V3343" s="522" t="inlineStr">
        <is>
          <t>វីអ៊ីស៊ិន (ខេមបូឌា) អ៊ិនដាសស្ទ្រី ឯ.ក</t>
        </is>
      </c>
      <c r="W3343" s="556" t="n">
        <v>165508</v>
      </c>
    </row>
    <row r="3344">
      <c r="A3344" s="521" t="n">
        <v>3336</v>
      </c>
      <c r="B3344" s="522" t="inlineStr">
        <is>
          <t>សេវាកម្មត្រួតពិនិត្យ</t>
        </is>
      </c>
      <c r="C3344" s="522" t="inlineStr">
        <is>
          <t>ប្យួរ៉ូ វេរីតាស (ខេមបូឌា) លីមីធីត</t>
        </is>
      </c>
      <c r="D3344" s="522" t="inlineStr">
        <is>
          <t>L001-107024462</t>
        </is>
      </c>
      <c r="E3344" s="521" t="inlineStr">
        <is>
          <t>59011116</t>
        </is>
      </c>
      <c r="F3344" s="523" t="n">
        <v>44484</v>
      </c>
      <c r="G3344" s="556" t="n">
        <v>110338</v>
      </c>
      <c r="I3344" s="521">
        <f>G3344</f>
        <v/>
      </c>
      <c r="K3344" s="521">
        <f>I3344-G3344</f>
        <v/>
      </c>
      <c r="M3344" s="522" t="inlineStr">
        <is>
          <t>59011116</t>
        </is>
      </c>
      <c r="N3344" s="522" t="inlineStr">
        <is>
          <t>59011116</t>
        </is>
      </c>
      <c r="O3344" s="521">
        <f>M3344=N3344</f>
        <v/>
      </c>
      <c r="P3344" s="521">
        <f>AND(MONTH(F3344)=MONTH(S3344), YEAR(F3344)=YEAR(S3344))</f>
        <v/>
      </c>
      <c r="Q3344" s="521">
        <f>U3344="L001-901905215"</f>
        <v/>
      </c>
      <c r="R3344" s="556">
        <f>G3344-W3344</f>
        <v/>
      </c>
      <c r="S3344" s="523" t="n">
        <v>44484</v>
      </c>
      <c r="T3344" s="522" t="inlineStr">
        <is>
          <t>59011116</t>
        </is>
      </c>
      <c r="U3344" s="522" t="inlineStr">
        <is>
          <t>L001-901905215</t>
        </is>
      </c>
      <c r="V3344" s="522" t="inlineStr">
        <is>
          <t>វីអ៊ីស៊ិន (ខេមបូឌា) អ៊ិនដាសស្ទ្រី ឯ.ក</t>
        </is>
      </c>
      <c r="W3344" s="556" t="n">
        <v>110338</v>
      </c>
    </row>
    <row r="3345">
      <c r="A3345" s="521" t="n">
        <v>3337</v>
      </c>
      <c r="B3345" s="522" t="inlineStr">
        <is>
          <t>សេវាកម្មត្រួតពិនិត្យ</t>
        </is>
      </c>
      <c r="C3345" s="522" t="inlineStr">
        <is>
          <t>ប្យួរ៉ូ វេរីតាស (ខេមបូឌា) លីមីធីត</t>
        </is>
      </c>
      <c r="D3345" s="522" t="inlineStr">
        <is>
          <t>L001-107024462</t>
        </is>
      </c>
      <c r="E3345" s="521" t="inlineStr">
        <is>
          <t>59011095</t>
        </is>
      </c>
      <c r="F3345" s="523" t="n">
        <v>44481</v>
      </c>
      <c r="G3345" s="556" t="n">
        <v>55198</v>
      </c>
      <c r="I3345" s="521">
        <f>G3345</f>
        <v/>
      </c>
      <c r="K3345" s="521">
        <f>I3345-G3345</f>
        <v/>
      </c>
      <c r="M3345" s="522" t="inlineStr">
        <is>
          <t>59011095</t>
        </is>
      </c>
      <c r="N3345" s="522" t="inlineStr">
        <is>
          <t>59011095</t>
        </is>
      </c>
      <c r="O3345" s="521">
        <f>M3345=N3345</f>
        <v/>
      </c>
      <c r="P3345" s="521">
        <f>AND(MONTH(F3345)=MONTH(S3345), YEAR(F3345)=YEAR(S3345))</f>
        <v/>
      </c>
      <c r="Q3345" s="521">
        <f>U3345="L001-901905215"</f>
        <v/>
      </c>
      <c r="R3345" s="556">
        <f>G3345-W3345</f>
        <v/>
      </c>
      <c r="S3345" s="523" t="n">
        <v>44481</v>
      </c>
      <c r="T3345" s="522" t="inlineStr">
        <is>
          <t>59011095</t>
        </is>
      </c>
      <c r="U3345" s="522" t="inlineStr">
        <is>
          <t>L001-901905215</t>
        </is>
      </c>
      <c r="V3345" s="522" t="inlineStr">
        <is>
          <t>វីអ៊ីស៊ិន (ខេមបូឌា) អ៊ិនដាសស្ទ្រី ឯ.ក</t>
        </is>
      </c>
      <c r="W3345" s="556" t="n">
        <v>55198</v>
      </c>
    </row>
    <row r="3346">
      <c r="A3346" s="521" t="n">
        <v>3338</v>
      </c>
      <c r="B3346" s="522" t="inlineStr">
        <is>
          <t>សេវាកម្មត្រួតពិនិត្យ</t>
        </is>
      </c>
      <c r="C3346" s="522" t="inlineStr">
        <is>
          <t>ប្យួរ៉ូ វេរីតាស (ខេមបូឌា) លីមីធីត</t>
        </is>
      </c>
      <c r="D3346" s="522" t="inlineStr">
        <is>
          <t>L001-107024462</t>
        </is>
      </c>
      <c r="E3346" s="521" t="inlineStr">
        <is>
          <t>59011057</t>
        </is>
      </c>
      <c r="F3346" s="523" t="n">
        <v>44471</v>
      </c>
      <c r="G3346" s="556" t="n">
        <v>165874</v>
      </c>
      <c r="I3346" s="521">
        <f>G3346</f>
        <v/>
      </c>
      <c r="K3346" s="521">
        <f>I3346-G3346</f>
        <v/>
      </c>
      <c r="M3346" s="522" t="inlineStr">
        <is>
          <t>59011057</t>
        </is>
      </c>
      <c r="N3346" s="522" t="inlineStr">
        <is>
          <t>59011057</t>
        </is>
      </c>
      <c r="O3346" s="521">
        <f>M3346=N3346</f>
        <v/>
      </c>
      <c r="P3346" s="521">
        <f>AND(MONTH(F3346)=MONTH(S3346), YEAR(F3346)=YEAR(S3346))</f>
        <v/>
      </c>
      <c r="Q3346" s="521">
        <f>U3346="L001-901905215"</f>
        <v/>
      </c>
      <c r="R3346" s="556">
        <f>G3346-W3346</f>
        <v/>
      </c>
      <c r="S3346" s="523" t="n">
        <v>44471</v>
      </c>
      <c r="T3346" s="522" t="inlineStr">
        <is>
          <t>59011057</t>
        </is>
      </c>
      <c r="U3346" s="522" t="inlineStr">
        <is>
          <t>L001-901905215</t>
        </is>
      </c>
      <c r="V3346" s="522" t="inlineStr">
        <is>
          <t>វីអ៊ីស៊ិន (ខេមបូឌា) អ៊ិនដាសស្ទ្រី ឯ.ក</t>
        </is>
      </c>
      <c r="W3346" s="556" t="n">
        <v>165874</v>
      </c>
    </row>
    <row r="3347">
      <c r="A3347" s="521" t="n">
        <v>3339</v>
      </c>
      <c r="B3347" s="522" t="inlineStr">
        <is>
          <t>Handling Charge</t>
        </is>
      </c>
      <c r="C3347" s="522" t="inlineStr">
        <is>
          <t>យូសេន ឡូជីស្ទីក (ខេមបូឌា) ខូ អិលធីឌី</t>
        </is>
      </c>
      <c r="D3347" s="522" t="inlineStr">
        <is>
          <t>L001-104015799</t>
        </is>
      </c>
      <c r="E3347" s="521" t="inlineStr">
        <is>
          <t>PNHTI0027478</t>
        </is>
      </c>
      <c r="F3347" s="523" t="n">
        <v>44497</v>
      </c>
      <c r="G3347" s="556" t="n">
        <v>161420</v>
      </c>
      <c r="I3347" s="521">
        <f>G3347</f>
        <v/>
      </c>
      <c r="K3347" s="521">
        <f>I3347-G3347</f>
        <v/>
      </c>
      <c r="M3347" s="522" t="inlineStr">
        <is>
          <t>PNHTI0027478</t>
        </is>
      </c>
      <c r="N3347" s="522" t="inlineStr">
        <is>
          <t>PNHTI0027478</t>
        </is>
      </c>
      <c r="O3347" s="521">
        <f>M3347=N3347</f>
        <v/>
      </c>
      <c r="P3347" s="521">
        <f>AND(MONTH(F3347)=MONTH(S3347), YEAR(F3347)=YEAR(S3347))</f>
        <v/>
      </c>
      <c r="Q3347" s="521">
        <f>U3347="L001-901905215"</f>
        <v/>
      </c>
      <c r="R3347" s="556">
        <f>G3347-W3347</f>
        <v/>
      </c>
      <c r="S3347" s="523" t="n">
        <v>44497</v>
      </c>
      <c r="T3347" s="522" t="inlineStr">
        <is>
          <t>PNHTI0027478</t>
        </is>
      </c>
      <c r="U3347" s="522" t="inlineStr">
        <is>
          <t>L001-901905215</t>
        </is>
      </c>
      <c r="V3347" s="522" t="inlineStr">
        <is>
          <t>វីអ៊ីស៊ិន (ខេមបូឌា) អ៊ិនដាសស្ទ្រី ឯ.ក</t>
        </is>
      </c>
      <c r="W3347" s="556" t="n">
        <v>161420</v>
      </c>
    </row>
    <row r="3348">
      <c r="A3348" s="521" t="n">
        <v>3340</v>
      </c>
      <c r="B3348" s="522" t="inlineStr">
        <is>
          <t>Handling Charge</t>
        </is>
      </c>
      <c r="C3348" s="522" t="inlineStr">
        <is>
          <t>យូសេន ឡូជីស្ទីក (ខេមបូឌា) ខូ អិលធីឌី</t>
        </is>
      </c>
      <c r="D3348" s="522" t="inlineStr">
        <is>
          <t>L001-104015799</t>
        </is>
      </c>
      <c r="E3348" s="521" t="inlineStr">
        <is>
          <t>PNHTI0027204</t>
        </is>
      </c>
      <c r="F3348" s="523" t="n">
        <v>44490</v>
      </c>
      <c r="G3348" s="556" t="n">
        <v>180390</v>
      </c>
      <c r="I3348" s="521">
        <f>G3348</f>
        <v/>
      </c>
      <c r="K3348" s="521">
        <f>I3348-G3348</f>
        <v/>
      </c>
      <c r="M3348" s="522" t="inlineStr">
        <is>
          <t>PNHTI0027204</t>
        </is>
      </c>
      <c r="N3348" s="522" t="inlineStr">
        <is>
          <t>PNHTI0027204</t>
        </is>
      </c>
      <c r="O3348" s="521">
        <f>M3348=N3348</f>
        <v/>
      </c>
      <c r="P3348" s="521">
        <f>AND(MONTH(F3348)=MONTH(S3348), YEAR(F3348)=YEAR(S3348))</f>
        <v/>
      </c>
      <c r="Q3348" s="521">
        <f>U3348="L001-901905215"</f>
        <v/>
      </c>
      <c r="R3348" s="556">
        <f>G3348-W3348</f>
        <v/>
      </c>
      <c r="S3348" s="523" t="n">
        <v>44490</v>
      </c>
      <c r="T3348" s="522" t="inlineStr">
        <is>
          <t>PNHTI0027204</t>
        </is>
      </c>
      <c r="U3348" s="522" t="inlineStr">
        <is>
          <t>L001-901905215</t>
        </is>
      </c>
      <c r="V3348" s="522" t="inlineStr">
        <is>
          <t>វីអ៊ីស៊ិន (ខេមបូឌា) អ៊ិនដាសស្ទ្រី ឯ.ក</t>
        </is>
      </c>
      <c r="W3348" s="556" t="n">
        <v>180390</v>
      </c>
    </row>
    <row r="3349">
      <c r="A3349" s="521" t="n">
        <v>3341</v>
      </c>
      <c r="B3349" s="522" t="inlineStr">
        <is>
          <t>Handling Charge</t>
        </is>
      </c>
      <c r="C3349" s="522" t="inlineStr">
        <is>
          <t>យូសេន ឡូជីស្ទីក (ខេមបូឌា) ខូ អិលធីឌី</t>
        </is>
      </c>
      <c r="D3349" s="522" t="inlineStr">
        <is>
          <t>L001-104015799</t>
        </is>
      </c>
      <c r="E3349" s="521" t="inlineStr">
        <is>
          <t>PNHTI0026791</t>
        </is>
      </c>
      <c r="F3349" s="523" t="n">
        <v>44480</v>
      </c>
      <c r="G3349" s="556" t="n">
        <v>180567</v>
      </c>
      <c r="I3349" s="521">
        <f>G3349</f>
        <v/>
      </c>
      <c r="K3349" s="521">
        <f>I3349-G3349</f>
        <v/>
      </c>
      <c r="M3349" s="522" t="inlineStr">
        <is>
          <t>PNHTI0026791</t>
        </is>
      </c>
      <c r="N3349" s="522" t="inlineStr">
        <is>
          <t>PNHTI0026791</t>
        </is>
      </c>
      <c r="O3349" s="521">
        <f>M3349=N3349</f>
        <v/>
      </c>
      <c r="P3349" s="521">
        <f>AND(MONTH(F3349)=MONTH(S3349), YEAR(F3349)=YEAR(S3349))</f>
        <v/>
      </c>
      <c r="Q3349" s="521">
        <f>U3349="L001-901905215"</f>
        <v/>
      </c>
      <c r="R3349" s="556">
        <f>G3349-W3349</f>
        <v/>
      </c>
      <c r="S3349" s="523" t="n">
        <v>44480</v>
      </c>
      <c r="T3349" s="522" t="inlineStr">
        <is>
          <t>PNHTI0026791</t>
        </is>
      </c>
      <c r="U3349" s="522" t="inlineStr">
        <is>
          <t>L001-901905215</t>
        </is>
      </c>
      <c r="V3349" s="522" t="inlineStr">
        <is>
          <t>វីអ៊ីស៊ិន (ខេមបូឌា) អ៊ិនដាសស្ទ្រី ឯ.ក</t>
        </is>
      </c>
      <c r="W3349" s="556" t="n">
        <v>180567</v>
      </c>
    </row>
    <row r="3350">
      <c r="A3350" s="521" t="n">
        <v>3342</v>
      </c>
      <c r="B3350" s="522" t="inlineStr">
        <is>
          <t>THC CHARGES</t>
        </is>
      </c>
      <c r="C3350" s="522" t="inlineStr">
        <is>
          <t>អ៊ិចស្ពែឌីធ័រ ខេមបូឌា អិលធីឌី</t>
        </is>
      </c>
      <c r="D3350" s="522" t="inlineStr">
        <is>
          <t>L001-100045898</t>
        </is>
      </c>
      <c r="E3350" s="521" t="inlineStr">
        <is>
          <t>TI-0213135</t>
        </is>
      </c>
      <c r="F3350" s="523" t="n">
        <v>44495</v>
      </c>
      <c r="G3350" s="556" t="n">
        <v>1593812</v>
      </c>
      <c r="I3350" s="521">
        <f>G3350</f>
        <v/>
      </c>
      <c r="K3350" s="521">
        <f>I3350-G3350</f>
        <v/>
      </c>
      <c r="M3350" s="522" t="inlineStr">
        <is>
          <t>TI0213135</t>
        </is>
      </c>
      <c r="N3350" s="522" t="inlineStr">
        <is>
          <t>TI0213135</t>
        </is>
      </c>
      <c r="O3350" s="521">
        <f>M3350=N3350</f>
        <v/>
      </c>
      <c r="P3350" s="521">
        <f>AND(MONTH(F3350)=MONTH(S3350), YEAR(F3350)=YEAR(S3350))</f>
        <v/>
      </c>
      <c r="Q3350" s="521">
        <f>U3350="L001-901905215"</f>
        <v/>
      </c>
      <c r="R3350" s="556">
        <f>G3350-W3350</f>
        <v/>
      </c>
      <c r="S3350" s="523" t="n">
        <v>44495</v>
      </c>
      <c r="T3350" s="522" t="inlineStr">
        <is>
          <t>TI-0213135</t>
        </is>
      </c>
      <c r="U3350" s="522" t="inlineStr">
        <is>
          <t>L001-901905215</t>
        </is>
      </c>
      <c r="V3350" s="522" t="inlineStr">
        <is>
          <t>វីអ៊ីស៊ិន (ខេមបូឌា) អ៊ិនដាសស្ទ្រី ឯ.ក</t>
        </is>
      </c>
      <c r="W3350" s="556" t="n">
        <v>1593812</v>
      </c>
    </row>
    <row r="3351">
      <c r="A3351" s="521" t="n">
        <v>3343</v>
      </c>
      <c r="B3351" s="522" t="inlineStr">
        <is>
          <t>THC CHARGES</t>
        </is>
      </c>
      <c r="C3351" s="522" t="inlineStr">
        <is>
          <t>អ៊ិចស្ពែឌីធ័រ ខេមបូឌា អិលធីឌី</t>
        </is>
      </c>
      <c r="D3351" s="522" t="inlineStr">
        <is>
          <t>L001-100045898</t>
        </is>
      </c>
      <c r="E3351" s="521" t="inlineStr">
        <is>
          <t>TI-0213107</t>
        </is>
      </c>
      <c r="F3351" s="523" t="n">
        <v>44495</v>
      </c>
      <c r="G3351" s="556" t="n">
        <v>496947</v>
      </c>
      <c r="I3351" s="521">
        <f>G3351</f>
        <v/>
      </c>
      <c r="K3351" s="521">
        <f>I3351-G3351</f>
        <v/>
      </c>
      <c r="M3351" s="522" t="inlineStr">
        <is>
          <t>TI0213107</t>
        </is>
      </c>
      <c r="N3351" s="522" t="inlineStr">
        <is>
          <t>TI0213107</t>
        </is>
      </c>
      <c r="O3351" s="521">
        <f>M3351=N3351</f>
        <v/>
      </c>
      <c r="P3351" s="521">
        <f>AND(MONTH(F3351)=MONTH(S3351), YEAR(F3351)=YEAR(S3351))</f>
        <v/>
      </c>
      <c r="Q3351" s="521">
        <f>U3351="L001-901905215"</f>
        <v/>
      </c>
      <c r="R3351" s="556">
        <f>G3351-W3351</f>
        <v/>
      </c>
      <c r="S3351" s="523" t="n">
        <v>44495</v>
      </c>
      <c r="T3351" s="522" t="inlineStr">
        <is>
          <t>TI-0213107</t>
        </is>
      </c>
      <c r="U3351" s="522" t="inlineStr">
        <is>
          <t>L001-901905215</t>
        </is>
      </c>
      <c r="V3351" s="522" t="inlineStr">
        <is>
          <t>វីអ៊ីស៊ិន (ខេមបូឌា) អ៊ិនដាសស្ទ្រី ឯ.ក</t>
        </is>
      </c>
      <c r="W3351" s="556" t="n">
        <v>496947</v>
      </c>
    </row>
    <row r="3352">
      <c r="A3352" s="521" t="n">
        <v>3344</v>
      </c>
      <c r="B3352" s="522" t="inlineStr">
        <is>
          <t>THC CHARGES</t>
        </is>
      </c>
      <c r="C3352" s="522" t="inlineStr">
        <is>
          <t>អ៊ិចស្ពែឌីធ័រ ខេមបូឌា អិលធីឌី</t>
        </is>
      </c>
      <c r="D3352" s="522" t="inlineStr">
        <is>
          <t>L001-100045898</t>
        </is>
      </c>
      <c r="E3352" s="521" t="inlineStr">
        <is>
          <t>TI-0213085</t>
        </is>
      </c>
      <c r="F3352" s="523" t="n">
        <v>44495</v>
      </c>
      <c r="G3352" s="556" t="n">
        <v>167277</v>
      </c>
      <c r="I3352" s="521">
        <f>G3352</f>
        <v/>
      </c>
      <c r="K3352" s="521">
        <f>I3352-G3352</f>
        <v/>
      </c>
      <c r="M3352" s="522" t="inlineStr">
        <is>
          <t>TI0213085</t>
        </is>
      </c>
      <c r="N3352" s="522" t="inlineStr">
        <is>
          <t>TI0213085</t>
        </is>
      </c>
      <c r="O3352" s="521">
        <f>M3352=N3352</f>
        <v/>
      </c>
      <c r="P3352" s="521">
        <f>AND(MONTH(F3352)=MONTH(S3352), YEAR(F3352)=YEAR(S3352))</f>
        <v/>
      </c>
      <c r="Q3352" s="521">
        <f>U3352="L001-901905215"</f>
        <v/>
      </c>
      <c r="R3352" s="556">
        <f>G3352-W3352</f>
        <v/>
      </c>
      <c r="S3352" s="523" t="n">
        <v>44495</v>
      </c>
      <c r="T3352" s="522" t="inlineStr">
        <is>
          <t>TI-0213085</t>
        </is>
      </c>
      <c r="U3352" s="522" t="inlineStr">
        <is>
          <t>L001-901905215</t>
        </is>
      </c>
      <c r="V3352" s="522" t="inlineStr">
        <is>
          <t>វីអ៊ីស៊ិន (ខេមបូឌា) អ៊ិនដាសស្ទ្រី ឯ.ក</t>
        </is>
      </c>
      <c r="W3352" s="556" t="n">
        <v>167277</v>
      </c>
    </row>
    <row r="3353">
      <c r="A3353" s="521" t="n">
        <v>3345</v>
      </c>
      <c r="B3353" s="522" t="inlineStr">
        <is>
          <t>THC CHARGES</t>
        </is>
      </c>
      <c r="C3353" s="522" t="inlineStr">
        <is>
          <t>អ៊ិចស្ពែឌីធ័រ ខេមបូឌា អិលធីឌី</t>
        </is>
      </c>
      <c r="D3353" s="522" t="inlineStr">
        <is>
          <t>L001-100045898</t>
        </is>
      </c>
      <c r="E3353" s="521" t="inlineStr">
        <is>
          <t>TI-0213081</t>
        </is>
      </c>
      <c r="F3353" s="523" t="n">
        <v>44495</v>
      </c>
      <c r="G3353" s="556" t="n">
        <v>179894</v>
      </c>
      <c r="I3353" s="521">
        <f>G3353</f>
        <v/>
      </c>
      <c r="K3353" s="521">
        <f>I3353-G3353</f>
        <v/>
      </c>
      <c r="M3353" s="522" t="inlineStr">
        <is>
          <t>TI0213081</t>
        </is>
      </c>
      <c r="N3353" s="522" t="inlineStr">
        <is>
          <t>TI0213081</t>
        </is>
      </c>
      <c r="O3353" s="521">
        <f>M3353=N3353</f>
        <v/>
      </c>
      <c r="P3353" s="521">
        <f>AND(MONTH(F3353)=MONTH(S3353), YEAR(F3353)=YEAR(S3353))</f>
        <v/>
      </c>
      <c r="Q3353" s="521">
        <f>U3353="L001-901905215"</f>
        <v/>
      </c>
      <c r="R3353" s="556">
        <f>G3353-W3353</f>
        <v/>
      </c>
      <c r="S3353" s="523" t="n">
        <v>44495</v>
      </c>
      <c r="T3353" s="522" t="inlineStr">
        <is>
          <t>TI-0213081</t>
        </is>
      </c>
      <c r="U3353" s="522" t="inlineStr">
        <is>
          <t>L001-901905215</t>
        </is>
      </c>
      <c r="V3353" s="522" t="inlineStr">
        <is>
          <t>វីអ៊ីស៊ិន (ខេមបូឌា) អ៊ិនដាសស្ទ្រី ឯ.ក</t>
        </is>
      </c>
      <c r="W3353" s="556" t="n">
        <v>179894</v>
      </c>
    </row>
    <row r="3354">
      <c r="A3354" s="521" t="n">
        <v>3346</v>
      </c>
      <c r="B3354" s="522" t="inlineStr">
        <is>
          <t>THC CHARGES</t>
        </is>
      </c>
      <c r="C3354" s="522" t="inlineStr">
        <is>
          <t>អ៊ិចស្ពែឌីធ័រ ខេមបូឌា អិលធីឌី</t>
        </is>
      </c>
      <c r="D3354" s="522" t="inlineStr">
        <is>
          <t>L001-100045898</t>
        </is>
      </c>
      <c r="E3354" s="521" t="inlineStr">
        <is>
          <t>TI-0212901</t>
        </is>
      </c>
      <c r="F3354" s="523" t="n">
        <v>44491</v>
      </c>
      <c r="G3354" s="556" t="n">
        <v>113089</v>
      </c>
      <c r="I3354" s="521">
        <f>G3354</f>
        <v/>
      </c>
      <c r="K3354" s="521">
        <f>I3354-G3354</f>
        <v/>
      </c>
      <c r="M3354" s="522" t="inlineStr">
        <is>
          <t>TI0212901</t>
        </is>
      </c>
      <c r="N3354" s="522" t="inlineStr">
        <is>
          <t>TI0212901</t>
        </is>
      </c>
      <c r="O3354" s="521">
        <f>M3354=N3354</f>
        <v/>
      </c>
      <c r="P3354" s="521">
        <f>AND(MONTH(F3354)=MONTH(S3354), YEAR(F3354)=YEAR(S3354))</f>
        <v/>
      </c>
      <c r="Q3354" s="521">
        <f>U3354="L001-901905215"</f>
        <v/>
      </c>
      <c r="R3354" s="556">
        <f>G3354-W3354</f>
        <v/>
      </c>
      <c r="S3354" s="523" t="n">
        <v>44491</v>
      </c>
      <c r="T3354" s="522" t="inlineStr">
        <is>
          <t>TI-0212901</t>
        </is>
      </c>
      <c r="U3354" s="522" t="inlineStr">
        <is>
          <t>L001-901905215</t>
        </is>
      </c>
      <c r="V3354" s="522" t="inlineStr">
        <is>
          <t>វីអ៊ីស៊ិន (ខេមបូឌា) អ៊ិនដាសស្ទ្រី ឯ.ក</t>
        </is>
      </c>
      <c r="W3354" s="556" t="n">
        <v>113107</v>
      </c>
    </row>
    <row r="3355">
      <c r="A3355" s="521" t="n">
        <v>3347</v>
      </c>
      <c r="B3355" s="522" t="inlineStr">
        <is>
          <t>THC CHARGES</t>
        </is>
      </c>
      <c r="C3355" s="522" t="inlineStr">
        <is>
          <t>អ៊ិចស្ពែឌីធ័រ ខេមបូឌា អិលធីឌី</t>
        </is>
      </c>
      <c r="D3355" s="522" t="inlineStr">
        <is>
          <t>L001-100045898</t>
        </is>
      </c>
      <c r="E3355" s="521" t="inlineStr">
        <is>
          <t>TI-0212896</t>
        </is>
      </c>
      <c r="F3355" s="523" t="n">
        <v>44491</v>
      </c>
      <c r="G3355" s="556" t="n">
        <v>167400</v>
      </c>
      <c r="I3355" s="521">
        <f>G3355</f>
        <v/>
      </c>
      <c r="K3355" s="521">
        <f>I3355-G3355</f>
        <v/>
      </c>
      <c r="M3355" s="522" t="inlineStr">
        <is>
          <t>TI0212896</t>
        </is>
      </c>
      <c r="N3355" s="522" t="inlineStr">
        <is>
          <t>TI0212896</t>
        </is>
      </c>
      <c r="O3355" s="521">
        <f>M3355=N3355</f>
        <v/>
      </c>
      <c r="P3355" s="521">
        <f>AND(MONTH(F3355)=MONTH(S3355), YEAR(F3355)=YEAR(S3355))</f>
        <v/>
      </c>
      <c r="Q3355" s="521">
        <f>U3355="L001-901905215"</f>
        <v/>
      </c>
      <c r="R3355" s="556">
        <f>G3355-W3355</f>
        <v/>
      </c>
      <c r="S3355" s="523" t="n">
        <v>44491</v>
      </c>
      <c r="T3355" s="522" t="inlineStr">
        <is>
          <t>TI-0212896</t>
        </is>
      </c>
      <c r="U3355" s="522" t="inlineStr">
        <is>
          <t>L001-901905215</t>
        </is>
      </c>
      <c r="V3355" s="522" t="inlineStr">
        <is>
          <t>វីអ៊ីស៊ិន (ខេមបូឌា) អ៊ិនដាសស្ទ្រី ឯ.ក</t>
        </is>
      </c>
      <c r="W3355" s="556" t="n">
        <v>167400</v>
      </c>
    </row>
    <row r="3356">
      <c r="A3356" s="521" t="n">
        <v>3348</v>
      </c>
      <c r="B3356" s="522" t="inlineStr">
        <is>
          <t>THC CHARGES</t>
        </is>
      </c>
      <c r="C3356" s="522" t="inlineStr">
        <is>
          <t>អ៊ិចស្ពែឌីធ័រ ខេមបូឌា អិលធីឌី</t>
        </is>
      </c>
      <c r="D3356" s="522" t="inlineStr">
        <is>
          <t>L001-100045898</t>
        </is>
      </c>
      <c r="E3356" s="521" t="inlineStr">
        <is>
          <t>TI-0211400</t>
        </is>
      </c>
      <c r="F3356" s="523" t="n">
        <v>44473</v>
      </c>
      <c r="G3356" s="556" t="n">
        <v>285192</v>
      </c>
      <c r="I3356" s="521">
        <f>G3356</f>
        <v/>
      </c>
      <c r="K3356" s="521">
        <f>I3356-G3356</f>
        <v/>
      </c>
      <c r="M3356" s="522" t="inlineStr">
        <is>
          <t>TI0211400</t>
        </is>
      </c>
      <c r="N3356" s="522" t="inlineStr">
        <is>
          <t>TI0211400</t>
        </is>
      </c>
      <c r="O3356" s="521">
        <f>M3356=N3356</f>
        <v/>
      </c>
      <c r="P3356" s="521">
        <f>AND(MONTH(F3356)=MONTH(S3356), YEAR(F3356)=YEAR(S3356))</f>
        <v/>
      </c>
      <c r="Q3356" s="521">
        <f>U3356="L001-901905215"</f>
        <v/>
      </c>
      <c r="R3356" s="556">
        <f>G3356-W3356</f>
        <v/>
      </c>
      <c r="S3356" s="523" t="n">
        <v>44473</v>
      </c>
      <c r="T3356" s="522" t="inlineStr">
        <is>
          <t>TI-0211400</t>
        </is>
      </c>
      <c r="U3356" s="522" t="inlineStr">
        <is>
          <t>L001-901905215</t>
        </is>
      </c>
      <c r="V3356" s="522" t="inlineStr">
        <is>
          <t>វីអ៊ីស៊ិន (ខេមបូឌា) អ៊ិនដាសស្ទ្រី ឯ.ក</t>
        </is>
      </c>
      <c r="W3356" s="556" t="n">
        <v>285192</v>
      </c>
    </row>
    <row r="3357">
      <c r="A3357" s="521" t="n">
        <v>3349</v>
      </c>
      <c r="B3357" s="522" t="inlineStr">
        <is>
          <t>THC CHARGES</t>
        </is>
      </c>
      <c r="C3357" s="522" t="inlineStr">
        <is>
          <t>អ៊ិចស្ពែឌីធ័រ ខេមបូឌា អិលធីឌី</t>
        </is>
      </c>
      <c r="D3357" s="522" t="inlineStr">
        <is>
          <t>L001-100045898</t>
        </is>
      </c>
      <c r="E3357" s="521" t="inlineStr">
        <is>
          <t>TI-0211399</t>
        </is>
      </c>
      <c r="F3357" s="523" t="n">
        <v>44473</v>
      </c>
      <c r="G3357" s="556" t="n">
        <v>305811</v>
      </c>
      <c r="I3357" s="521">
        <f>G3357</f>
        <v/>
      </c>
      <c r="K3357" s="521">
        <f>I3357-G3357</f>
        <v/>
      </c>
      <c r="M3357" s="522" t="inlineStr">
        <is>
          <t>TI0211399</t>
        </is>
      </c>
      <c r="N3357" s="522" t="inlineStr">
        <is>
          <t>TI0211399</t>
        </is>
      </c>
      <c r="O3357" s="521">
        <f>M3357=N3357</f>
        <v/>
      </c>
      <c r="P3357" s="521">
        <f>AND(MONTH(F3357)=MONTH(S3357), YEAR(F3357)=YEAR(S3357))</f>
        <v/>
      </c>
      <c r="Q3357" s="521">
        <f>U3357="L001-901905215"</f>
        <v/>
      </c>
      <c r="R3357" s="556">
        <f>G3357-W3357</f>
        <v/>
      </c>
      <c r="S3357" s="523" t="n">
        <v>44473</v>
      </c>
      <c r="T3357" s="522" t="inlineStr">
        <is>
          <t>TI-0211399</t>
        </is>
      </c>
      <c r="U3357" s="522" t="inlineStr">
        <is>
          <t>L001-901905215</t>
        </is>
      </c>
      <c r="V3357" s="522" t="inlineStr">
        <is>
          <t>វីអ៊ីស៊ិន (ខេមបូឌា) អ៊ិនដាសស្ទ្រី ឯ.ក</t>
        </is>
      </c>
      <c r="W3357" s="556" t="n">
        <v>305796</v>
      </c>
    </row>
    <row r="3358">
      <c r="A3358" s="521" t="n">
        <v>3350</v>
      </c>
      <c r="B3358" s="522" t="inlineStr">
        <is>
          <t>THC CHARGES</t>
        </is>
      </c>
      <c r="C3358" s="522" t="inlineStr">
        <is>
          <t>អ៊ិចស្ពែឌីធ័រ ខេមបូឌា អិលធីឌី</t>
        </is>
      </c>
      <c r="D3358" s="522" t="inlineStr">
        <is>
          <t>L001-100045898</t>
        </is>
      </c>
      <c r="E3358" s="521" t="inlineStr">
        <is>
          <t>TI-0211388</t>
        </is>
      </c>
      <c r="F3358" s="523" t="n">
        <v>44473</v>
      </c>
      <c r="G3358" s="556" t="n">
        <v>409224</v>
      </c>
      <c r="I3358" s="521">
        <f>G3358</f>
        <v/>
      </c>
      <c r="K3358" s="521">
        <f>I3358-G3358</f>
        <v/>
      </c>
      <c r="M3358" s="522" t="inlineStr">
        <is>
          <t>TI0211388</t>
        </is>
      </c>
      <c r="N3358" s="522" t="inlineStr">
        <is>
          <t>TI0211388</t>
        </is>
      </c>
      <c r="O3358" s="521">
        <f>M3358=N3358</f>
        <v/>
      </c>
      <c r="P3358" s="521">
        <f>AND(MONTH(F3358)=MONTH(S3358), YEAR(F3358)=YEAR(S3358))</f>
        <v/>
      </c>
      <c r="Q3358" s="521">
        <f>U3358="L001-901905215"</f>
        <v/>
      </c>
      <c r="R3358" s="556">
        <f>G3358-W3358</f>
        <v/>
      </c>
      <c r="S3358" s="523" t="n">
        <v>44473</v>
      </c>
      <c r="T3358" s="522" t="inlineStr">
        <is>
          <t>TI-0211388</t>
        </is>
      </c>
      <c r="U3358" s="522" t="inlineStr">
        <is>
          <t>L001-901905215</t>
        </is>
      </c>
      <c r="V3358" s="522" t="inlineStr">
        <is>
          <t>វីអ៊ីស៊ិន (ខេមបូឌា) អ៊ិនដាសស្ទ្រី ឯ.ក</t>
        </is>
      </c>
      <c r="W3358" s="556" t="n">
        <v>409224</v>
      </c>
    </row>
    <row r="3359">
      <c r="A3359" s="521" t="n">
        <v>3351</v>
      </c>
      <c r="B3359" s="522" t="inlineStr">
        <is>
          <t>Export Administration Fee</t>
        </is>
      </c>
      <c r="C3359" s="522" t="inlineStr">
        <is>
          <t>ឆាយ ដា ឡូយីស្ទីក</t>
        </is>
      </c>
      <c r="D3359" s="522" t="inlineStr">
        <is>
          <t>L001-100063098</t>
        </is>
      </c>
      <c r="E3359" s="521" t="inlineStr">
        <is>
          <t>2110010963</t>
        </is>
      </c>
      <c r="F3359" s="523" t="n">
        <v>44477</v>
      </c>
      <c r="G3359" s="556" t="n">
        <v>89199</v>
      </c>
      <c r="I3359" s="521">
        <f>G3359</f>
        <v/>
      </c>
      <c r="K3359" s="521">
        <f>I3359-G3359</f>
        <v/>
      </c>
      <c r="M3359" s="522" t="inlineStr">
        <is>
          <t>2110010963</t>
        </is>
      </c>
      <c r="N3359" s="522" t="inlineStr">
        <is>
          <t>2110010963</t>
        </is>
      </c>
      <c r="O3359" s="521">
        <f>M3359=N3359</f>
        <v/>
      </c>
      <c r="P3359" s="521">
        <f>AND(MONTH(F3359)=MONTH(S3359), YEAR(F3359)=YEAR(S3359))</f>
        <v/>
      </c>
      <c r="Q3359" s="521">
        <f>U3359="L001-901905215"</f>
        <v/>
      </c>
      <c r="R3359" s="556">
        <f>G3359-W3359</f>
        <v/>
      </c>
      <c r="S3359" s="523" t="n">
        <v>44487</v>
      </c>
      <c r="T3359" s="522" t="inlineStr">
        <is>
          <t>2110010963</t>
        </is>
      </c>
      <c r="U3359" s="522" t="inlineStr">
        <is>
          <t>L001-901905215</t>
        </is>
      </c>
      <c r="V3359" s="522" t="inlineStr">
        <is>
          <t>វីអ៊ីស៊ិន (ខេមបូឌា) អ៊ិនដាសស្ទ្រី ឯ.ក</t>
        </is>
      </c>
      <c r="W3359" s="556" t="n">
        <v>89199</v>
      </c>
    </row>
    <row r="3360">
      <c r="A3360" s="521" t="n">
        <v>3352</v>
      </c>
      <c r="B3360" s="522" t="inlineStr">
        <is>
          <t>Export Administration Fee</t>
        </is>
      </c>
      <c r="C3360" s="522" t="inlineStr">
        <is>
          <t>ឆាយ ដា ឡូយីស្ទីក</t>
        </is>
      </c>
      <c r="D3360" s="522" t="inlineStr">
        <is>
          <t>L001-100063098</t>
        </is>
      </c>
      <c r="E3360" s="521" t="inlineStr">
        <is>
          <t>2110010574</t>
        </is>
      </c>
      <c r="F3360" s="523" t="n">
        <v>44473</v>
      </c>
      <c r="G3360" s="556" t="n">
        <v>89352</v>
      </c>
      <c r="I3360" s="521">
        <f>G3360</f>
        <v/>
      </c>
      <c r="K3360" s="521">
        <f>I3360-G3360</f>
        <v/>
      </c>
      <c r="M3360" s="522" t="inlineStr">
        <is>
          <t>2110010574</t>
        </is>
      </c>
      <c r="N3360" s="522" t="inlineStr">
        <is>
          <t>2110010574</t>
        </is>
      </c>
      <c r="O3360" s="521">
        <f>M3360=N3360</f>
        <v/>
      </c>
      <c r="P3360" s="521">
        <f>AND(MONTH(F3360)=MONTH(S3360), YEAR(F3360)=YEAR(S3360))</f>
        <v/>
      </c>
      <c r="Q3360" s="521">
        <f>U3360="L001-901905215"</f>
        <v/>
      </c>
      <c r="R3360" s="556">
        <f>G3360-W3360</f>
        <v/>
      </c>
      <c r="S3360" s="523" t="n">
        <v>44473</v>
      </c>
      <c r="T3360" s="522" t="inlineStr">
        <is>
          <t>2110010574</t>
        </is>
      </c>
      <c r="U3360" s="522" t="inlineStr">
        <is>
          <t>L001-901905215</t>
        </is>
      </c>
      <c r="V3360" s="522" t="inlineStr">
        <is>
          <t>វីអ៊ីស៊ិន (ខេមបូឌា) អ៊ិនដាសស្ទ្រី ឯ.ក</t>
        </is>
      </c>
      <c r="W3360" s="556" t="n">
        <v>89352</v>
      </c>
    </row>
    <row r="3361">
      <c r="A3361" s="521" t="n">
        <v>3353</v>
      </c>
      <c r="B3361" s="522" t="inlineStr">
        <is>
          <t>Terminal Handling</t>
        </is>
      </c>
      <c r="C3361" s="522" t="inlineStr">
        <is>
          <t>អេវើរហ្គ្រីន ស៊ីបភីង សឺវីស (ខេមបូឌា) ឯ.ក</t>
        </is>
      </c>
      <c r="D3361" s="522" t="inlineStr">
        <is>
          <t>L001-901705421</t>
        </is>
      </c>
      <c r="E3361" s="521" t="inlineStr">
        <is>
          <t>IY21008722</t>
        </is>
      </c>
      <c r="F3361" s="523" t="n">
        <v>44480</v>
      </c>
      <c r="G3361" s="556" t="n">
        <v>120242</v>
      </c>
      <c r="I3361" s="521">
        <f>G3361</f>
        <v/>
      </c>
      <c r="K3361" s="521">
        <f>I3361-G3361</f>
        <v/>
      </c>
      <c r="M3361" s="522" t="inlineStr">
        <is>
          <t>IY21008722</t>
        </is>
      </c>
      <c r="N3361" s="522" t="inlineStr">
        <is>
          <t>IY21008722</t>
        </is>
      </c>
      <c r="O3361" s="521">
        <f>M3361=N3361</f>
        <v/>
      </c>
      <c r="P3361" s="521">
        <f>AND(MONTH(F3361)=MONTH(S3361), YEAR(F3361)=YEAR(S3361))</f>
        <v/>
      </c>
      <c r="Q3361" s="521">
        <f>U3361="L001-901905215"</f>
        <v/>
      </c>
      <c r="R3361" s="556">
        <f>G3361-W3361</f>
        <v/>
      </c>
      <c r="S3361" s="523" t="n">
        <v>44480</v>
      </c>
      <c r="T3361" s="522" t="inlineStr">
        <is>
          <t>IY21008722</t>
        </is>
      </c>
      <c r="U3361" s="522" t="inlineStr">
        <is>
          <t>L001-901905215</t>
        </is>
      </c>
      <c r="V3361" s="522" t="inlineStr">
        <is>
          <t>វីអ៊ីស៊ិន (ខេមបូឌា) អ៊ិនដាសស្ទ្រី ឯ.ក</t>
        </is>
      </c>
      <c r="W3361" s="556" t="n">
        <v>120242</v>
      </c>
    </row>
    <row r="3362">
      <c r="A3362" s="521" t="n">
        <v>3354</v>
      </c>
      <c r="B3362" s="522" t="inlineStr">
        <is>
          <t>Clearance Trucking Fee</t>
        </is>
      </c>
      <c r="C3362" s="522" t="inlineStr">
        <is>
          <t>56ប៊ី-លីង សឹបផ្លាយ ឆេន មេនេចម៉ិន ឯ.ក</t>
        </is>
      </c>
      <c r="D3362" s="522" t="inlineStr">
        <is>
          <t>K004-902004795</t>
        </is>
      </c>
      <c r="E3362" s="521" t="inlineStr">
        <is>
          <t>IN202110-0581</t>
        </is>
      </c>
      <c r="F3362" s="523" t="n">
        <v>44491</v>
      </c>
      <c r="G3362" s="556" t="n">
        <v>14256</v>
      </c>
      <c r="I3362" s="521">
        <f>G3362</f>
        <v/>
      </c>
      <c r="K3362" s="521">
        <f>I3362-G3362</f>
        <v/>
      </c>
      <c r="M3362" s="522" t="inlineStr">
        <is>
          <t>IN2021100581</t>
        </is>
      </c>
      <c r="N3362" s="522" t="inlineStr">
        <is>
          <t>IN2021100581</t>
        </is>
      </c>
      <c r="O3362" s="521">
        <f>M3362=N3362</f>
        <v/>
      </c>
      <c r="P3362" s="521">
        <f>AND(MONTH(F3362)=MONTH(S3362), YEAR(F3362)=YEAR(S3362))</f>
        <v/>
      </c>
      <c r="Q3362" s="521">
        <f>U3362="L001-901905215"</f>
        <v/>
      </c>
      <c r="R3362" s="556">
        <f>G3362-W3362</f>
        <v/>
      </c>
      <c r="S3362" s="523" t="n">
        <v>44491</v>
      </c>
      <c r="T3362" s="522" t="inlineStr">
        <is>
          <t>IN202110-0581</t>
        </is>
      </c>
      <c r="U3362" s="522" t="inlineStr">
        <is>
          <t>L001-901905215</t>
        </is>
      </c>
      <c r="V3362" s="522" t="inlineStr">
        <is>
          <t>វីអ៊ីស៊ិន (ខេមបូឌា) អ៊ិនដាសស្ទ្រី ឯ.ក</t>
        </is>
      </c>
      <c r="W3362" s="556" t="n">
        <v>14256</v>
      </c>
    </row>
    <row r="3363">
      <c r="A3363" s="521" t="n">
        <v>3355</v>
      </c>
      <c r="B3363" s="522" t="inlineStr">
        <is>
          <t>Documentation and Terminal handing service</t>
        </is>
      </c>
      <c r="C3363" s="522" t="inlineStr">
        <is>
          <t>មើស្គ (ខេមបូឌា)</t>
        </is>
      </c>
      <c r="D3363" s="522" t="inlineStr">
        <is>
          <t>L001-100045200</t>
        </is>
      </c>
      <c r="E3363" s="521" t="inlineStr">
        <is>
          <t>5995880891</t>
        </is>
      </c>
      <c r="F3363" s="523" t="n">
        <v>44470</v>
      </c>
      <c r="G3363" s="556" t="n">
        <v>412795</v>
      </c>
      <c r="I3363" s="521">
        <f>G3363</f>
        <v/>
      </c>
      <c r="K3363" s="521">
        <f>I3363-G3363</f>
        <v/>
      </c>
      <c r="M3363" s="522" t="inlineStr">
        <is>
          <t>5995880891</t>
        </is>
      </c>
      <c r="N3363" s="522" t="inlineStr"/>
      <c r="O3363" s="521">
        <f>M3363=N3363</f>
        <v/>
      </c>
      <c r="P3363" s="521">
        <f>AND(MONTH(F3363)=MONTH(S3363), YEAR(F3363)=YEAR(S3363))</f>
        <v/>
      </c>
      <c r="Q3363" s="521">
        <f>U3363="L001-901905215"</f>
        <v/>
      </c>
      <c r="R3363" s="556">
        <f>G3363-W3363</f>
        <v/>
      </c>
      <c r="S3363" s="521" t="n"/>
      <c r="T3363" s="522" t="n"/>
      <c r="U3363" s="522" t="n"/>
      <c r="V3363" s="522" t="n"/>
      <c r="W3363" s="521" t="n"/>
    </row>
    <row r="3364">
      <c r="A3364" s="521" t="n">
        <v>3356</v>
      </c>
      <c r="B3364" s="522" t="inlineStr">
        <is>
          <t>Clearance Trucking Fee</t>
        </is>
      </c>
      <c r="C3364" s="522" t="inlineStr">
        <is>
          <t>56ប៊ី-លីង សឹបផ្លាយ ឆេន មេនេចម៉ិន ឯ.ក</t>
        </is>
      </c>
      <c r="D3364" s="522" t="inlineStr">
        <is>
          <t>K004-902004795</t>
        </is>
      </c>
      <c r="E3364" s="521" t="inlineStr">
        <is>
          <t>IN202110-0580</t>
        </is>
      </c>
      <c r="F3364" s="523" t="n">
        <v>44491</v>
      </c>
      <c r="G3364" s="556" t="n">
        <v>57022</v>
      </c>
      <c r="I3364" s="521">
        <f>G3364</f>
        <v/>
      </c>
      <c r="K3364" s="521">
        <f>I3364-G3364</f>
        <v/>
      </c>
      <c r="M3364" s="522" t="inlineStr">
        <is>
          <t>IN2021100580</t>
        </is>
      </c>
      <c r="N3364" s="522" t="inlineStr">
        <is>
          <t>IN2021100580</t>
        </is>
      </c>
      <c r="O3364" s="521">
        <f>M3364=N3364</f>
        <v/>
      </c>
      <c r="P3364" s="521">
        <f>AND(MONTH(F3364)=MONTH(S3364), YEAR(F3364)=YEAR(S3364))</f>
        <v/>
      </c>
      <c r="Q3364" s="521">
        <f>U3364="L001-901905215"</f>
        <v/>
      </c>
      <c r="R3364" s="556">
        <f>G3364-W3364</f>
        <v/>
      </c>
      <c r="S3364" s="523" t="n">
        <v>44491</v>
      </c>
      <c r="T3364" s="522" t="inlineStr">
        <is>
          <t>IN202110-0580</t>
        </is>
      </c>
      <c r="U3364" s="522" t="inlineStr">
        <is>
          <t>L001-901905215</t>
        </is>
      </c>
      <c r="V3364" s="522" t="inlineStr">
        <is>
          <t>វីអ៊ីស៊ិន (ខេមបូឌា) អ៊ិនដាសស្ទ្រី ឯ.ក</t>
        </is>
      </c>
      <c r="W3364" s="556" t="n">
        <v>57022</v>
      </c>
    </row>
    <row r="3365">
      <c r="A3365" s="521" t="n">
        <v>3357</v>
      </c>
      <c r="B3365" s="522" t="inlineStr">
        <is>
          <t>EIB, EMF</t>
        </is>
      </c>
      <c r="C3365" s="522" t="inlineStr">
        <is>
          <t>អេសអាយធីស៊ី ខិនថេនើរ ឡាញ (ខេមបូឌា)</t>
        </is>
      </c>
      <c r="D3365" s="522" t="inlineStr">
        <is>
          <t>L001-107035863</t>
        </is>
      </c>
      <c r="E3365" s="521" t="inlineStr">
        <is>
          <t>SITC2021-018545</t>
        </is>
      </c>
      <c r="F3365" s="523" t="n">
        <v>44473</v>
      </c>
      <c r="G3365" s="556" t="n">
        <v>430440</v>
      </c>
      <c r="I3365" s="521">
        <f>G3365</f>
        <v/>
      </c>
      <c r="K3365" s="521">
        <f>I3365-G3365</f>
        <v/>
      </c>
      <c r="M3365" s="522" t="inlineStr">
        <is>
          <t>SITC2021018545</t>
        </is>
      </c>
      <c r="N3365" s="522" t="inlineStr">
        <is>
          <t>SITC2021018545</t>
        </is>
      </c>
      <c r="O3365" s="521">
        <f>M3365=N3365</f>
        <v/>
      </c>
      <c r="P3365" s="521">
        <f>AND(MONTH(F3365)=MONTH(S3365), YEAR(F3365)=YEAR(S3365))</f>
        <v/>
      </c>
      <c r="Q3365" s="521">
        <f>U3365="L001-901905215"</f>
        <v/>
      </c>
      <c r="R3365" s="556">
        <f>G3365-W3365</f>
        <v/>
      </c>
      <c r="S3365" s="523" t="n">
        <v>44473</v>
      </c>
      <c r="T3365" s="522" t="inlineStr">
        <is>
          <t>SITC2021-018545</t>
        </is>
      </c>
      <c r="U3365" s="522" t="inlineStr">
        <is>
          <t>L001-901905215</t>
        </is>
      </c>
      <c r="V3365" s="522" t="inlineStr">
        <is>
          <t>វីអ៊ីស៊ិន (ខេមបូឌា) អ៊ិនដាសស្ទ្រី ឯ.ក</t>
        </is>
      </c>
      <c r="W3365" s="556" t="n">
        <v>430440</v>
      </c>
    </row>
    <row r="3366">
      <c r="A3366" s="521" t="n">
        <v>3358</v>
      </c>
      <c r="B3366" s="522" t="inlineStr">
        <is>
          <t>Clearance Trucking Fee</t>
        </is>
      </c>
      <c r="C3366" s="522" t="inlineStr">
        <is>
          <t>56ប៊ី-លីង សឹបផ្លាយ ឆេន មេនេចម៉ិន ឯ.ក</t>
        </is>
      </c>
      <c r="D3366" s="522" t="inlineStr">
        <is>
          <t>K004-902004795</t>
        </is>
      </c>
      <c r="E3366" s="521" t="inlineStr">
        <is>
          <t>IN202110-0579</t>
        </is>
      </c>
      <c r="F3366" s="523" t="n">
        <v>44491</v>
      </c>
      <c r="G3366" s="556" t="n">
        <v>28511</v>
      </c>
      <c r="I3366" s="521">
        <f>G3366</f>
        <v/>
      </c>
      <c r="K3366" s="521">
        <f>I3366-G3366</f>
        <v/>
      </c>
      <c r="M3366" s="522" t="inlineStr">
        <is>
          <t>IN2021100579</t>
        </is>
      </c>
      <c r="N3366" s="522" t="inlineStr">
        <is>
          <t>IN2021100579</t>
        </is>
      </c>
      <c r="O3366" s="521">
        <f>M3366=N3366</f>
        <v/>
      </c>
      <c r="P3366" s="521">
        <f>AND(MONTH(F3366)=MONTH(S3366), YEAR(F3366)=YEAR(S3366))</f>
        <v/>
      </c>
      <c r="Q3366" s="521">
        <f>U3366="L001-901905215"</f>
        <v/>
      </c>
      <c r="R3366" s="556">
        <f>G3366-W3366</f>
        <v/>
      </c>
      <c r="S3366" s="523" t="n">
        <v>44491</v>
      </c>
      <c r="T3366" s="522" t="inlineStr">
        <is>
          <t>IN202110-0579</t>
        </is>
      </c>
      <c r="U3366" s="522" t="inlineStr">
        <is>
          <t>L001-901905215</t>
        </is>
      </c>
      <c r="V3366" s="522" t="inlineStr">
        <is>
          <t>វីអ៊ីស៊ិន (ខេមបូឌា) អ៊ិនដាសស្ទ្រី ឯ.ក</t>
        </is>
      </c>
      <c r="W3366" s="556" t="n">
        <v>28511</v>
      </c>
    </row>
    <row r="3367">
      <c r="A3367" s="521" t="n">
        <v>3359</v>
      </c>
      <c r="B3367" s="522" t="inlineStr">
        <is>
          <t>Clearance Trucking Fee</t>
        </is>
      </c>
      <c r="C3367" s="522" t="inlineStr">
        <is>
          <t>56ប៊ី-លីង សឹបផ្លាយ ឆេន មេនេចម៉ិន ឯ.ក</t>
        </is>
      </c>
      <c r="D3367" s="522" t="inlineStr">
        <is>
          <t>K004-902004795</t>
        </is>
      </c>
      <c r="E3367" s="521" t="inlineStr">
        <is>
          <t>IN202110-0578</t>
        </is>
      </c>
      <c r="F3367" s="523" t="n">
        <v>44491</v>
      </c>
      <c r="G3367" s="556" t="n">
        <v>1063053</v>
      </c>
      <c r="I3367" s="521">
        <f>G3367</f>
        <v/>
      </c>
      <c r="K3367" s="521">
        <f>I3367-G3367</f>
        <v/>
      </c>
      <c r="M3367" s="522" t="inlineStr">
        <is>
          <t>IN2021100578</t>
        </is>
      </c>
      <c r="N3367" s="522" t="inlineStr">
        <is>
          <t>IN2021100578</t>
        </is>
      </c>
      <c r="O3367" s="521">
        <f>M3367=N3367</f>
        <v/>
      </c>
      <c r="P3367" s="521">
        <f>AND(MONTH(F3367)=MONTH(S3367), YEAR(F3367)=YEAR(S3367))</f>
        <v/>
      </c>
      <c r="Q3367" s="521">
        <f>U3367="L001-901905215"</f>
        <v/>
      </c>
      <c r="R3367" s="556">
        <f>G3367-W3367</f>
        <v/>
      </c>
      <c r="S3367" s="523" t="n">
        <v>44491</v>
      </c>
      <c r="T3367" s="522" t="inlineStr">
        <is>
          <t>IN202110-0578</t>
        </is>
      </c>
      <c r="U3367" s="522" t="inlineStr">
        <is>
          <t>L001-901905215</t>
        </is>
      </c>
      <c r="V3367" s="522" t="inlineStr">
        <is>
          <t>វីអ៊ីស៊ិន (ខេមបូឌា) អ៊ិនដាសស្ទ្រី ឯ.ក</t>
        </is>
      </c>
      <c r="W3367" s="556" t="n">
        <v>1063053</v>
      </c>
    </row>
    <row r="3368">
      <c r="A3368" s="521" t="n">
        <v>3360</v>
      </c>
      <c r="B3368" s="522" t="inlineStr">
        <is>
          <t>Clearance Trucking Fee</t>
        </is>
      </c>
      <c r="C3368" s="522" t="inlineStr">
        <is>
          <t>56ប៊ី-លីង សឹបផ្លាយ ឆេន មេនេចម៉ិន ឯ.ក</t>
        </is>
      </c>
      <c r="D3368" s="522" t="inlineStr">
        <is>
          <t>K004-902004795</t>
        </is>
      </c>
      <c r="E3368" s="521" t="inlineStr">
        <is>
          <t>IN202110-0569</t>
        </is>
      </c>
      <c r="F3368" s="523" t="n">
        <v>44483</v>
      </c>
      <c r="G3368" s="556" t="n">
        <v>338059</v>
      </c>
      <c r="I3368" s="521">
        <f>G3368</f>
        <v/>
      </c>
      <c r="K3368" s="521">
        <f>I3368-G3368</f>
        <v/>
      </c>
      <c r="M3368" s="522" t="inlineStr">
        <is>
          <t>IN2021100569</t>
        </is>
      </c>
      <c r="N3368" s="522" t="inlineStr">
        <is>
          <t>IN2021100569</t>
        </is>
      </c>
      <c r="O3368" s="521">
        <f>M3368=N3368</f>
        <v/>
      </c>
      <c r="P3368" s="521">
        <f>AND(MONTH(F3368)=MONTH(S3368), YEAR(F3368)=YEAR(S3368))</f>
        <v/>
      </c>
      <c r="Q3368" s="521">
        <f>U3368="L001-901905215"</f>
        <v/>
      </c>
      <c r="R3368" s="556">
        <f>G3368-W3368</f>
        <v/>
      </c>
      <c r="S3368" s="523" t="n">
        <v>44483</v>
      </c>
      <c r="T3368" s="522" t="inlineStr">
        <is>
          <t>IN202110-0569</t>
        </is>
      </c>
      <c r="U3368" s="522" t="inlineStr">
        <is>
          <t>L001-901905215</t>
        </is>
      </c>
      <c r="V3368" s="522" t="inlineStr">
        <is>
          <t>វីអ៊ីស៊ិន (ខេមបូឌា) អ៊ិនដាសស្ទ្រី ឯ.ក</t>
        </is>
      </c>
      <c r="W3368" s="556" t="n">
        <v>338059</v>
      </c>
    </row>
    <row r="3369">
      <c r="A3369" s="521" t="n">
        <v>3361</v>
      </c>
      <c r="B3369" s="522" t="inlineStr">
        <is>
          <t>Clearance Trucking Fee</t>
        </is>
      </c>
      <c r="C3369" s="522" t="inlineStr">
        <is>
          <t>56ប៊ី-លីង សឹបផ្លាយ ឆេន មេនេចម៉ិន ឯ.ក</t>
        </is>
      </c>
      <c r="D3369" s="522" t="inlineStr">
        <is>
          <t>K004-902004795</t>
        </is>
      </c>
      <c r="E3369" s="521" t="inlineStr">
        <is>
          <t>IN202110-0568</t>
        </is>
      </c>
      <c r="F3369" s="523" t="n">
        <v>44483</v>
      </c>
      <c r="G3369" s="556" t="n">
        <v>590585</v>
      </c>
      <c r="I3369" s="521">
        <f>G3369</f>
        <v/>
      </c>
      <c r="K3369" s="521">
        <f>I3369-G3369</f>
        <v/>
      </c>
      <c r="M3369" s="522" t="inlineStr">
        <is>
          <t>IN2021100568</t>
        </is>
      </c>
      <c r="N3369" s="522" t="inlineStr">
        <is>
          <t>IN2021100568</t>
        </is>
      </c>
      <c r="O3369" s="521">
        <f>M3369=N3369</f>
        <v/>
      </c>
      <c r="P3369" s="521">
        <f>AND(MONTH(F3369)=MONTH(S3369), YEAR(F3369)=YEAR(S3369))</f>
        <v/>
      </c>
      <c r="Q3369" s="521">
        <f>U3369="L001-901905215"</f>
        <v/>
      </c>
      <c r="R3369" s="556">
        <f>G3369-W3369</f>
        <v/>
      </c>
      <c r="S3369" s="523" t="n">
        <v>44483</v>
      </c>
      <c r="T3369" s="522" t="inlineStr">
        <is>
          <t>IN202110-0568</t>
        </is>
      </c>
      <c r="U3369" s="522" t="inlineStr">
        <is>
          <t>L001-901905215</t>
        </is>
      </c>
      <c r="V3369" s="522" t="inlineStr">
        <is>
          <t>វីអ៊ីស៊ិន (ខេមបូឌា) អ៊ិនដាសស្ទ្រី ឯ.ក</t>
        </is>
      </c>
      <c r="W3369" s="556" t="n">
        <v>590585</v>
      </c>
    </row>
    <row r="3370">
      <c r="A3370" s="521" t="n">
        <v>3362</v>
      </c>
      <c r="B3370" s="522" t="inlineStr">
        <is>
          <t>Clearance Trucking Fee</t>
        </is>
      </c>
      <c r="C3370" s="522" t="inlineStr">
        <is>
          <t>56ប៊ី-លីង សឹបផ្លាយ ឆេន មេនេចម៉ិន ឯ.ក</t>
        </is>
      </c>
      <c r="D3370" s="522" t="inlineStr">
        <is>
          <t>K004-902004795</t>
        </is>
      </c>
      <c r="E3370" s="521" t="inlineStr">
        <is>
          <t>IN202110-0567</t>
        </is>
      </c>
      <c r="F3370" s="523" t="n">
        <v>44483</v>
      </c>
      <c r="G3370" s="556" t="n">
        <v>313621</v>
      </c>
      <c r="I3370" s="521">
        <f>G3370</f>
        <v/>
      </c>
      <c r="K3370" s="521">
        <f>I3370-G3370</f>
        <v/>
      </c>
      <c r="M3370" s="522" t="inlineStr">
        <is>
          <t>IN2021100567</t>
        </is>
      </c>
      <c r="N3370" s="522" t="inlineStr">
        <is>
          <t>IN2021100567</t>
        </is>
      </c>
      <c r="O3370" s="521">
        <f>M3370=N3370</f>
        <v/>
      </c>
      <c r="P3370" s="521">
        <f>AND(MONTH(F3370)=MONTH(S3370), YEAR(F3370)=YEAR(S3370))</f>
        <v/>
      </c>
      <c r="Q3370" s="521">
        <f>U3370="L001-901905215"</f>
        <v/>
      </c>
      <c r="R3370" s="556">
        <f>G3370-W3370</f>
        <v/>
      </c>
      <c r="S3370" s="523" t="n">
        <v>44483</v>
      </c>
      <c r="T3370" s="522" t="inlineStr">
        <is>
          <t>IN202110-0567</t>
        </is>
      </c>
      <c r="U3370" s="522" t="inlineStr">
        <is>
          <t>L001-901905215</t>
        </is>
      </c>
      <c r="V3370" s="522" t="inlineStr">
        <is>
          <t>វីអ៊ីស៊ិន (ខេមបូឌា) អ៊ិនដាសស្ទ្រី ឯ.ក</t>
        </is>
      </c>
      <c r="W3370" s="556" t="n">
        <v>313621</v>
      </c>
    </row>
    <row r="3371">
      <c r="A3371" s="521" t="n">
        <v>3363</v>
      </c>
      <c r="B3371" s="522" t="inlineStr">
        <is>
          <t>Anmei HM-68 anti wear hydraulic oil 200L</t>
        </is>
      </c>
      <c r="C3371" s="522" t="inlineStr">
        <is>
          <t>ហ្សុង ខឺ ស៊ីន (ខេមបូឌា) ញូ អេនើជី ឯ.ក</t>
        </is>
      </c>
      <c r="D3371" s="522" t="inlineStr">
        <is>
          <t>K010-902003674</t>
        </is>
      </c>
      <c r="E3371" s="521" t="inlineStr">
        <is>
          <t>00018</t>
        </is>
      </c>
      <c r="F3371" s="523" t="n">
        <v>44489</v>
      </c>
      <c r="G3371" s="556" t="n">
        <v>2619045</v>
      </c>
      <c r="I3371" s="521">
        <f>G3371</f>
        <v/>
      </c>
      <c r="K3371" s="521">
        <f>I3371-G3371</f>
        <v/>
      </c>
      <c r="M3371" s="522" t="inlineStr">
        <is>
          <t>00018</t>
        </is>
      </c>
      <c r="N3371" s="522" t="inlineStr">
        <is>
          <t>00018</t>
        </is>
      </c>
      <c r="O3371" s="521">
        <f>M3371=N3371</f>
        <v/>
      </c>
      <c r="P3371" s="521">
        <f>AND(MONTH(F3371)=MONTH(S3371), YEAR(F3371)=YEAR(S3371))</f>
        <v/>
      </c>
      <c r="Q3371" s="521">
        <f>U3371="L001-901905215"</f>
        <v/>
      </c>
      <c r="R3371" s="556">
        <f>G3371-W3371</f>
        <v/>
      </c>
      <c r="S3371" s="523" t="n">
        <v>44587</v>
      </c>
      <c r="T3371" s="522" t="inlineStr">
        <is>
          <t>00018</t>
        </is>
      </c>
      <c r="U3371" s="522" t="inlineStr">
        <is>
          <t>L001-901905215</t>
        </is>
      </c>
      <c r="V3371" s="522" t="inlineStr">
        <is>
          <t>វីអ៊ីស៊ិន (ខេមបូឌា) អ៊ិនដាសស្ទ្រី ឯ.ក</t>
        </is>
      </c>
      <c r="W3371" s="556" t="n">
        <v>1769730</v>
      </c>
    </row>
    <row r="3372">
      <c r="A3372" s="521" t="n">
        <v>3364</v>
      </c>
      <c r="B3372" s="522" t="inlineStr">
        <is>
          <t>G40 PET BLISTER COVER (26*17*2.3CM)</t>
        </is>
      </c>
      <c r="C3372" s="522" t="inlineStr">
        <is>
          <t>ខេមបូឌាន វ៉ាយភីស៊ី ត្រេឌីង ឯ.ក</t>
        </is>
      </c>
      <c r="D3372" s="522" t="inlineStr">
        <is>
          <t>B108-901904896</t>
        </is>
      </c>
      <c r="E3372" s="521" t="inlineStr">
        <is>
          <t>YPC2021/10-0012</t>
        </is>
      </c>
      <c r="F3372" s="523" t="n">
        <v>44489</v>
      </c>
      <c r="G3372" s="556" t="n">
        <v>5351830</v>
      </c>
      <c r="I3372" s="521">
        <f>G3372</f>
        <v/>
      </c>
      <c r="K3372" s="521">
        <f>I3372-G3372</f>
        <v/>
      </c>
      <c r="M3372" s="522" t="inlineStr">
        <is>
          <t>YPC2021100012</t>
        </is>
      </c>
      <c r="N3372" s="522" t="inlineStr"/>
      <c r="O3372" s="521">
        <f>M3372=N3372</f>
        <v/>
      </c>
      <c r="P3372" s="521">
        <f>AND(MONTH(F3372)=MONTH(S3372), YEAR(F3372)=YEAR(S3372))</f>
        <v/>
      </c>
      <c r="Q3372" s="521">
        <f>U3372="L001-901905215"</f>
        <v/>
      </c>
      <c r="R3372" s="556">
        <f>G3372-W3372</f>
        <v/>
      </c>
      <c r="S3372" s="521" t="n"/>
      <c r="T3372" s="522" t="n"/>
      <c r="U3372" s="522" t="n"/>
      <c r="V3372" s="522" t="n"/>
      <c r="W3372" s="521" t="n"/>
    </row>
    <row r="3373">
      <c r="A3373" s="521" t="n">
        <v>3365</v>
      </c>
      <c r="B3373" s="522" t="inlineStr">
        <is>
          <t>ក្រដាសកាតុង</t>
        </is>
      </c>
      <c r="C3373" s="522" t="inlineStr">
        <is>
          <t>យី មីង ភែកឃីជីង ឯ.ក</t>
        </is>
      </c>
      <c r="D3373" s="522" t="inlineStr">
        <is>
          <t>B108-902101335</t>
        </is>
      </c>
      <c r="E3373" s="521" t="inlineStr">
        <is>
          <t>YM-0004</t>
        </is>
      </c>
      <c r="F3373" s="523" t="n">
        <v>44500</v>
      </c>
      <c r="G3373" s="556" t="n">
        <v>9854672</v>
      </c>
      <c r="I3373" s="521">
        <f>G3373</f>
        <v/>
      </c>
      <c r="K3373" s="521">
        <f>I3373-G3373</f>
        <v/>
      </c>
      <c r="M3373" s="522" t="inlineStr">
        <is>
          <t>YM0004</t>
        </is>
      </c>
      <c r="N3373" s="522" t="inlineStr">
        <is>
          <t>YM0004</t>
        </is>
      </c>
      <c r="O3373" s="521">
        <f>M3373=N3373</f>
        <v/>
      </c>
      <c r="P3373" s="521">
        <f>AND(MONTH(F3373)=MONTH(S3373), YEAR(F3373)=YEAR(S3373))</f>
        <v/>
      </c>
      <c r="Q3373" s="521">
        <f>U3373="L001-901905215"</f>
        <v/>
      </c>
      <c r="R3373" s="556">
        <f>G3373-W3373</f>
        <v/>
      </c>
      <c r="S3373" s="523" t="n">
        <v>44500</v>
      </c>
      <c r="T3373" s="522" t="inlineStr">
        <is>
          <t>YM-0004</t>
        </is>
      </c>
      <c r="U3373" s="522" t="inlineStr">
        <is>
          <t>L001-901905215</t>
        </is>
      </c>
      <c r="V3373" s="522" t="inlineStr">
        <is>
          <t>វីអ៊ីស៊ិន (ខេមបូឌា) អ៊ិនដាសស្ទ្រី ឯ.ក</t>
        </is>
      </c>
      <c r="W3373" s="556" t="n">
        <v>9854672</v>
      </c>
    </row>
    <row r="3374">
      <c r="A3374" s="521" t="n">
        <v>3366</v>
      </c>
      <c r="B3374" s="522" t="inlineStr">
        <is>
          <t>Paper Label</t>
        </is>
      </c>
      <c r="C3374" s="522" t="inlineStr">
        <is>
          <t>ស៊ីន ហ្វី យ៉ាង ព្រីនធីង &amp; អិកសេសសឺរី ឯ.ក</t>
        </is>
      </c>
      <c r="D3374" s="522" t="inlineStr">
        <is>
          <t>K010-901906822</t>
        </is>
      </c>
      <c r="E3374" s="521" t="inlineStr">
        <is>
          <t>XFY-YD2021157</t>
        </is>
      </c>
      <c r="F3374" s="523" t="n">
        <v>44499</v>
      </c>
      <c r="G3374" s="556" t="n">
        <v>742248</v>
      </c>
      <c r="I3374" s="521">
        <f>G3374</f>
        <v/>
      </c>
      <c r="K3374" s="521">
        <f>I3374-G3374</f>
        <v/>
      </c>
      <c r="M3374" s="522" t="inlineStr">
        <is>
          <t>XFYYD2021157</t>
        </is>
      </c>
      <c r="N3374" s="522" t="inlineStr"/>
      <c r="O3374" s="521">
        <f>M3374=N3374</f>
        <v/>
      </c>
      <c r="P3374" s="521">
        <f>AND(MONTH(F3374)=MONTH(S3374), YEAR(F3374)=YEAR(S3374))</f>
        <v/>
      </c>
      <c r="Q3374" s="521">
        <f>U3374="L001-901905215"</f>
        <v/>
      </c>
      <c r="R3374" s="556">
        <f>G3374-W3374</f>
        <v/>
      </c>
      <c r="S3374" s="521" t="n"/>
      <c r="T3374" s="522" t="n"/>
      <c r="U3374" s="522" t="n"/>
      <c r="V3374" s="522" t="n"/>
      <c r="W3374" s="521" t="n"/>
    </row>
    <row r="3375">
      <c r="A3375" s="521" t="n">
        <v>3367</v>
      </c>
      <c r="B3375" s="522" t="inlineStr">
        <is>
          <t>STRECH FILM</t>
        </is>
      </c>
      <c r="C3375" s="522" t="inlineStr">
        <is>
          <t>ស៊ីន ឌីងយ័ន ស៊ូ មេធៀរៀល ឯ.ក</t>
        </is>
      </c>
      <c r="D3375" s="522" t="inlineStr">
        <is>
          <t>K010-902100418</t>
        </is>
      </c>
      <c r="E3375" s="521" t="inlineStr">
        <is>
          <t>0000085</t>
        </is>
      </c>
      <c r="F3375" s="523" t="n">
        <v>44497</v>
      </c>
      <c r="G3375" s="556" t="n">
        <v>1471160</v>
      </c>
      <c r="I3375" s="521">
        <f>G3375</f>
        <v/>
      </c>
      <c r="K3375" s="521">
        <f>I3375-G3375</f>
        <v/>
      </c>
      <c r="M3375" s="522" t="inlineStr">
        <is>
          <t>0000085</t>
        </is>
      </c>
      <c r="N3375" s="522" t="inlineStr">
        <is>
          <t>0000085</t>
        </is>
      </c>
      <c r="O3375" s="521">
        <f>M3375=N3375</f>
        <v/>
      </c>
      <c r="P3375" s="521">
        <f>AND(MONTH(F3375)=MONTH(S3375), YEAR(F3375)=YEAR(S3375))</f>
        <v/>
      </c>
      <c r="Q3375" s="521">
        <f>U3375="L001-901905215"</f>
        <v/>
      </c>
      <c r="R3375" s="556">
        <f>G3375-W3375</f>
        <v/>
      </c>
      <c r="S3375" s="523" t="n">
        <v>44497</v>
      </c>
      <c r="T3375" s="522" t="inlineStr">
        <is>
          <t>0000085</t>
        </is>
      </c>
      <c r="U3375" s="522" t="inlineStr">
        <is>
          <t>L001-901905215</t>
        </is>
      </c>
      <c r="V3375" s="522" t="inlineStr">
        <is>
          <t>វីអ៊ីស៊ិន (ខេមបូឌា) អ៊ិនដាសស្ទ្រី ឯ.ក</t>
        </is>
      </c>
      <c r="W3375" s="556" t="n">
        <v>1471160</v>
      </c>
    </row>
    <row r="3376">
      <c r="A3376" s="521" t="n">
        <v>3368</v>
      </c>
      <c r="B3376" s="522" t="inlineStr">
        <is>
          <t>Color Box, Paper Box</t>
        </is>
      </c>
      <c r="C3376" s="522" t="inlineStr">
        <is>
          <t>វីង ចេង ភែកឃីជីង ឯ.ក</t>
        </is>
      </c>
      <c r="D3376" s="522" t="inlineStr">
        <is>
          <t>L001-902102915</t>
        </is>
      </c>
      <c r="E3376" s="521" t="inlineStr">
        <is>
          <t>TI0069</t>
        </is>
      </c>
      <c r="F3376" s="523" t="n">
        <v>44500</v>
      </c>
      <c r="G3376" s="556" t="n">
        <v>24508748</v>
      </c>
      <c r="I3376" s="521">
        <f>G3376</f>
        <v/>
      </c>
      <c r="K3376" s="521">
        <f>I3376-G3376</f>
        <v/>
      </c>
      <c r="M3376" s="522" t="inlineStr">
        <is>
          <t>TI0069</t>
        </is>
      </c>
      <c r="N3376" s="522" t="inlineStr">
        <is>
          <t>TI0069</t>
        </is>
      </c>
      <c r="O3376" s="521">
        <f>M3376=N3376</f>
        <v/>
      </c>
      <c r="P3376" s="521">
        <f>AND(MONTH(F3376)=MONTH(S3376), YEAR(F3376)=YEAR(S3376))</f>
        <v/>
      </c>
      <c r="Q3376" s="521">
        <f>U3376="L001-901905215"</f>
        <v/>
      </c>
      <c r="R3376" s="556">
        <f>G3376-W3376</f>
        <v/>
      </c>
      <c r="S3376" s="523" t="n">
        <v>44500</v>
      </c>
      <c r="T3376" s="522" t="inlineStr">
        <is>
          <t>TI0069</t>
        </is>
      </c>
      <c r="U3376" s="522" t="inlineStr">
        <is>
          <t>L001-901905215</t>
        </is>
      </c>
      <c r="V3376" s="522" t="inlineStr">
        <is>
          <t>វីអ៊ីស៊ិន (ខេមបូឌា) អ៊ិនដាសស្ទ្រី ឯ.ក</t>
        </is>
      </c>
      <c r="W3376" s="556" t="n">
        <v>24508746</v>
      </c>
    </row>
    <row r="3377">
      <c r="A3377" s="521" t="n">
        <v>3369</v>
      </c>
      <c r="B3377" s="522" t="inlineStr">
        <is>
          <t>កេសកាតុង​</t>
        </is>
      </c>
      <c r="C3377" s="522" t="inlineStr">
        <is>
          <t>ស៊ីងហ្គាពួរ កាតុង (ខេមបូឌា)</t>
        </is>
      </c>
      <c r="D3377" s="522" t="inlineStr">
        <is>
          <t>L001-100121322</t>
        </is>
      </c>
      <c r="E3377" s="521" t="inlineStr">
        <is>
          <t>V0017381</t>
        </is>
      </c>
      <c r="F3377" s="523" t="n">
        <v>44470</v>
      </c>
      <c r="G3377" s="556" t="n">
        <v>629566</v>
      </c>
      <c r="I3377" s="521">
        <f>G3377</f>
        <v/>
      </c>
      <c r="K3377" s="521">
        <f>I3377-G3377</f>
        <v/>
      </c>
      <c r="M3377" s="522" t="inlineStr">
        <is>
          <t>V0017381</t>
        </is>
      </c>
      <c r="N3377" s="522" t="inlineStr">
        <is>
          <t>V0017381</t>
        </is>
      </c>
      <c r="O3377" s="521">
        <f>M3377=N3377</f>
        <v/>
      </c>
      <c r="P3377" s="521">
        <f>AND(MONTH(F3377)=MONTH(S3377), YEAR(F3377)=YEAR(S3377))</f>
        <v/>
      </c>
      <c r="Q3377" s="521">
        <f>U3377="L001-901905215"</f>
        <v/>
      </c>
      <c r="R3377" s="556">
        <f>G3377-W3377</f>
        <v/>
      </c>
      <c r="S3377" s="523" t="n">
        <v>44470</v>
      </c>
      <c r="T3377" s="522" t="inlineStr">
        <is>
          <t>V0017381</t>
        </is>
      </c>
      <c r="U3377" s="522" t="inlineStr">
        <is>
          <t>L001-901905215</t>
        </is>
      </c>
      <c r="V3377" s="522" t="inlineStr">
        <is>
          <t>វីអ៊ីស៊ិន (ខេមបូឌា) អ៊ិនដាសស្ទ្រី ឯ.ក</t>
        </is>
      </c>
      <c r="W3377" s="556" t="n">
        <v>627099</v>
      </c>
    </row>
    <row r="3378">
      <c r="A3378" s="521" t="n">
        <v>3370</v>
      </c>
      <c r="B3378" s="522" t="inlineStr">
        <is>
          <t>កេសកាតុង​</t>
        </is>
      </c>
      <c r="C3378" s="522" t="inlineStr">
        <is>
          <t>ស៊ីងហ្គាពួរ កាតុង (ខេមបូឌា)</t>
        </is>
      </c>
      <c r="D3378" s="522" t="inlineStr">
        <is>
          <t>L001-100121322</t>
        </is>
      </c>
      <c r="E3378" s="521" t="inlineStr">
        <is>
          <t>V0017404</t>
        </is>
      </c>
      <c r="F3378" s="523" t="n">
        <v>44478</v>
      </c>
      <c r="G3378" s="556" t="n">
        <v>818621</v>
      </c>
      <c r="I3378" s="521">
        <f>G3378</f>
        <v/>
      </c>
      <c r="K3378" s="521">
        <f>I3378-G3378</f>
        <v/>
      </c>
      <c r="M3378" s="522" t="inlineStr">
        <is>
          <t>V0017404</t>
        </is>
      </c>
      <c r="N3378" s="522" t="inlineStr">
        <is>
          <t>V0017404</t>
        </is>
      </c>
      <c r="O3378" s="521">
        <f>M3378=N3378</f>
        <v/>
      </c>
      <c r="P3378" s="521">
        <f>AND(MONTH(F3378)=MONTH(S3378), YEAR(F3378)=YEAR(S3378))</f>
        <v/>
      </c>
      <c r="Q3378" s="521">
        <f>U3378="L001-901905215"</f>
        <v/>
      </c>
      <c r="R3378" s="556">
        <f>G3378-W3378</f>
        <v/>
      </c>
      <c r="S3378" s="523" t="n">
        <v>44478</v>
      </c>
      <c r="T3378" s="522" t="inlineStr">
        <is>
          <t>V0017404</t>
        </is>
      </c>
      <c r="U3378" s="522" t="inlineStr">
        <is>
          <t>L001-901905215</t>
        </is>
      </c>
      <c r="V3378" s="522" t="inlineStr">
        <is>
          <t>វីអ៊ីស៊ិន (ខេមបូឌា) អ៊ិនដាសស្ទ្រី ឯ.ក</t>
        </is>
      </c>
      <c r="W3378" s="556" t="n">
        <v>816412</v>
      </c>
    </row>
    <row r="3379">
      <c r="A3379" s="521" t="n">
        <v>3371</v>
      </c>
      <c r="B3379" s="522" t="inlineStr">
        <is>
          <t>កេសកាតុង​</t>
        </is>
      </c>
      <c r="C3379" s="522" t="inlineStr">
        <is>
          <t>ស៊ីងហ្គាពួរ កាតុង (ខេមបូឌា)</t>
        </is>
      </c>
      <c r="D3379" s="522" t="inlineStr">
        <is>
          <t>L001-100121322</t>
        </is>
      </c>
      <c r="E3379" s="521" t="inlineStr">
        <is>
          <t>V0017426</t>
        </is>
      </c>
      <c r="F3379" s="523" t="n">
        <v>44480</v>
      </c>
      <c r="G3379" s="556" t="n">
        <v>760948</v>
      </c>
      <c r="I3379" s="521">
        <f>G3379</f>
        <v/>
      </c>
      <c r="K3379" s="521">
        <f>I3379-G3379</f>
        <v/>
      </c>
      <c r="M3379" s="522" t="inlineStr">
        <is>
          <t>V0017426</t>
        </is>
      </c>
      <c r="N3379" s="522" t="inlineStr">
        <is>
          <t>V0017426</t>
        </is>
      </c>
      <c r="O3379" s="521">
        <f>M3379=N3379</f>
        <v/>
      </c>
      <c r="P3379" s="521">
        <f>AND(MONTH(F3379)=MONTH(S3379), YEAR(F3379)=YEAR(S3379))</f>
        <v/>
      </c>
      <c r="Q3379" s="521">
        <f>U3379="L001-901905215"</f>
        <v/>
      </c>
      <c r="R3379" s="556">
        <f>G3379-W3379</f>
        <v/>
      </c>
      <c r="S3379" s="523" t="n">
        <v>44480</v>
      </c>
      <c r="T3379" s="522" t="inlineStr">
        <is>
          <t>V0017426</t>
        </is>
      </c>
      <c r="U3379" s="522" t="inlineStr">
        <is>
          <t>L001-901905215</t>
        </is>
      </c>
      <c r="V3379" s="522" t="inlineStr">
        <is>
          <t>វីអ៊ីស៊ិន (ខេមបូឌា) អ៊ិនដាសស្ទ្រី ឯ.ក</t>
        </is>
      </c>
      <c r="W3379" s="556" t="n">
        <v>759082</v>
      </c>
    </row>
    <row r="3380">
      <c r="A3380" s="521" t="n">
        <v>3372</v>
      </c>
      <c r="B3380" s="522" t="inlineStr">
        <is>
          <t>កេសកាតុង​</t>
        </is>
      </c>
      <c r="C3380" s="522" t="inlineStr">
        <is>
          <t>ស៊ីងហ្គាពួរ កាតុង (ខេមបូឌា)</t>
        </is>
      </c>
      <c r="D3380" s="522" t="inlineStr">
        <is>
          <t>L001-100121322</t>
        </is>
      </c>
      <c r="E3380" s="521" t="inlineStr">
        <is>
          <t>V0017437</t>
        </is>
      </c>
      <c r="F3380" s="523" t="n">
        <v>44482</v>
      </c>
      <c r="G3380" s="556" t="n">
        <v>704802</v>
      </c>
      <c r="I3380" s="521">
        <f>G3380</f>
        <v/>
      </c>
      <c r="K3380" s="521">
        <f>I3380-G3380</f>
        <v/>
      </c>
      <c r="M3380" s="522" t="inlineStr">
        <is>
          <t>V0017437</t>
        </is>
      </c>
      <c r="N3380" s="522" t="inlineStr">
        <is>
          <t>V0017437</t>
        </is>
      </c>
      <c r="O3380" s="521">
        <f>M3380=N3380</f>
        <v/>
      </c>
      <c r="P3380" s="521">
        <f>AND(MONTH(F3380)=MONTH(S3380), YEAR(F3380)=YEAR(S3380))</f>
        <v/>
      </c>
      <c r="Q3380" s="521">
        <f>U3380="L001-901905215"</f>
        <v/>
      </c>
      <c r="R3380" s="556">
        <f>G3380-W3380</f>
        <v/>
      </c>
      <c r="S3380" s="523" t="n">
        <v>44482</v>
      </c>
      <c r="T3380" s="522" t="inlineStr">
        <is>
          <t>V0017437</t>
        </is>
      </c>
      <c r="U3380" s="522" t="inlineStr">
        <is>
          <t>L001-901905215</t>
        </is>
      </c>
      <c r="V3380" s="522" t="inlineStr">
        <is>
          <t>វីអ៊ីស៊ិន (ខេមបូឌា) អ៊ិនដាសស្ទ្រី ឯ.ក</t>
        </is>
      </c>
      <c r="W3380" s="556" t="n">
        <v>703418</v>
      </c>
    </row>
    <row r="3381">
      <c r="A3381" s="521" t="n">
        <v>3373</v>
      </c>
      <c r="B3381" s="522" t="inlineStr">
        <is>
          <t>កេសកាតុង​</t>
        </is>
      </c>
      <c r="C3381" s="522" t="inlineStr">
        <is>
          <t>ស៊ីងហ្គាពួរ កាតុង (ខេមបូឌា)</t>
        </is>
      </c>
      <c r="D3381" s="522" t="inlineStr">
        <is>
          <t>L001-100121322</t>
        </is>
      </c>
      <c r="E3381" s="521" t="inlineStr">
        <is>
          <t>V0017438</t>
        </is>
      </c>
      <c r="F3381" s="523" t="n">
        <v>44482</v>
      </c>
      <c r="G3381" s="556" t="n">
        <v>123763</v>
      </c>
      <c r="I3381" s="521">
        <f>G3381</f>
        <v/>
      </c>
      <c r="K3381" s="521">
        <f>I3381-G3381</f>
        <v/>
      </c>
      <c r="M3381" s="522" t="inlineStr">
        <is>
          <t>V0017438</t>
        </is>
      </c>
      <c r="N3381" s="522" t="inlineStr">
        <is>
          <t>V0017438</t>
        </is>
      </c>
      <c r="O3381" s="521">
        <f>M3381=N3381</f>
        <v/>
      </c>
      <c r="P3381" s="521">
        <f>AND(MONTH(F3381)=MONTH(S3381), YEAR(F3381)=YEAR(S3381))</f>
        <v/>
      </c>
      <c r="Q3381" s="521">
        <f>U3381="L001-901905215"</f>
        <v/>
      </c>
      <c r="R3381" s="556">
        <f>G3381-W3381</f>
        <v/>
      </c>
      <c r="S3381" s="523" t="n">
        <v>44482</v>
      </c>
      <c r="T3381" s="522" t="inlineStr">
        <is>
          <t>V0017438</t>
        </is>
      </c>
      <c r="U3381" s="522" t="inlineStr">
        <is>
          <t>L001-901905215</t>
        </is>
      </c>
      <c r="V3381" s="522" t="inlineStr">
        <is>
          <t>វីអ៊ីស៊ិន (ខេមបូឌា) អ៊ិនដាសស្ទ្រី ឯ.ក</t>
        </is>
      </c>
      <c r="W3381" s="556" t="n">
        <v>123521</v>
      </c>
    </row>
    <row r="3382">
      <c r="A3382" s="521" t="n">
        <v>3374</v>
      </c>
      <c r="B3382" s="522" t="inlineStr">
        <is>
          <t>កេសកាតុង​</t>
        </is>
      </c>
      <c r="C3382" s="522" t="inlineStr">
        <is>
          <t>ស៊ីងហ្គាពួរ កាតុង (ខេមបូឌា)</t>
        </is>
      </c>
      <c r="D3382" s="522" t="inlineStr">
        <is>
          <t>L001-100121322</t>
        </is>
      </c>
      <c r="E3382" s="521" t="inlineStr">
        <is>
          <t>V0017439</t>
        </is>
      </c>
      <c r="F3382" s="523" t="n">
        <v>44482</v>
      </c>
      <c r="G3382" s="556" t="n">
        <v>132405</v>
      </c>
      <c r="I3382" s="521">
        <f>G3382</f>
        <v/>
      </c>
      <c r="K3382" s="521">
        <f>I3382-G3382</f>
        <v/>
      </c>
      <c r="M3382" s="522" t="inlineStr">
        <is>
          <t>V0017439</t>
        </is>
      </c>
      <c r="N3382" s="522" t="inlineStr">
        <is>
          <t>V0017439</t>
        </is>
      </c>
      <c r="O3382" s="521">
        <f>M3382=N3382</f>
        <v/>
      </c>
      <c r="P3382" s="521">
        <f>AND(MONTH(F3382)=MONTH(S3382), YEAR(F3382)=YEAR(S3382))</f>
        <v/>
      </c>
      <c r="Q3382" s="521">
        <f>U3382="L001-901905215"</f>
        <v/>
      </c>
      <c r="R3382" s="556">
        <f>G3382-W3382</f>
        <v/>
      </c>
      <c r="S3382" s="523" t="n">
        <v>44482</v>
      </c>
      <c r="T3382" s="522" t="inlineStr">
        <is>
          <t>V0017439</t>
        </is>
      </c>
      <c r="U3382" s="522" t="inlineStr">
        <is>
          <t>L001-901905215</t>
        </is>
      </c>
      <c r="V3382" s="522" t="inlineStr">
        <is>
          <t>វីអ៊ីស៊ិន (ខេមបូឌា) អ៊ិនដាសស្ទ្រី ឯ.ក</t>
        </is>
      </c>
      <c r="W3382" s="556" t="n">
        <v>132145</v>
      </c>
    </row>
    <row r="3383">
      <c r="A3383" s="521" t="n">
        <v>3375</v>
      </c>
      <c r="B3383" s="522" t="inlineStr">
        <is>
          <t>កេសកាតុង​</t>
        </is>
      </c>
      <c r="C3383" s="522" t="inlineStr">
        <is>
          <t>ស៊ីងហ្គាពួរ កាតុង (ខេមបូឌា)</t>
        </is>
      </c>
      <c r="D3383" s="522" t="inlineStr">
        <is>
          <t>L001-100121322</t>
        </is>
      </c>
      <c r="E3383" s="521" t="inlineStr">
        <is>
          <t>V0017450</t>
        </is>
      </c>
      <c r="F3383" s="523" t="n">
        <v>44483</v>
      </c>
      <c r="G3383" s="556" t="n">
        <v>686292</v>
      </c>
      <c r="I3383" s="521">
        <f>G3383</f>
        <v/>
      </c>
      <c r="K3383" s="521">
        <f>I3383-G3383</f>
        <v/>
      </c>
      <c r="M3383" s="522" t="inlineStr">
        <is>
          <t>V0017450</t>
        </is>
      </c>
      <c r="N3383" s="522" t="inlineStr">
        <is>
          <t>V0017450</t>
        </is>
      </c>
      <c r="O3383" s="521">
        <f>M3383=N3383</f>
        <v/>
      </c>
      <c r="P3383" s="521">
        <f>AND(MONTH(F3383)=MONTH(S3383), YEAR(F3383)=YEAR(S3383))</f>
        <v/>
      </c>
      <c r="Q3383" s="521">
        <f>U3383="L001-901905215"</f>
        <v/>
      </c>
      <c r="R3383" s="556">
        <f>G3383-W3383</f>
        <v/>
      </c>
      <c r="S3383" s="523" t="n">
        <v>44483</v>
      </c>
      <c r="T3383" s="522" t="inlineStr">
        <is>
          <t>V0017450</t>
        </is>
      </c>
      <c r="U3383" s="522" t="inlineStr">
        <is>
          <t>L001-901905215</t>
        </is>
      </c>
      <c r="V3383" s="522" t="inlineStr">
        <is>
          <t>វីអ៊ីស៊ិន (ខេមបូឌា) អ៊ិនដាសស្ទ្រី ឯ.ក</t>
        </is>
      </c>
      <c r="W3383" s="556" t="n">
        <v>685114</v>
      </c>
    </row>
    <row r="3384">
      <c r="A3384" s="521" t="n">
        <v>3376</v>
      </c>
      <c r="B3384" s="522" t="inlineStr">
        <is>
          <t>កេសកាតុង​</t>
        </is>
      </c>
      <c r="C3384" s="522" t="inlineStr">
        <is>
          <t>ស៊ីងហ្គាពួរ កាតុង (ខេមបូឌា)</t>
        </is>
      </c>
      <c r="D3384" s="522" t="inlineStr">
        <is>
          <t>L001-100121322</t>
        </is>
      </c>
      <c r="E3384" s="521" t="inlineStr">
        <is>
          <t>V0017541</t>
        </is>
      </c>
      <c r="F3384" s="523" t="n">
        <v>44492</v>
      </c>
      <c r="G3384" s="556" t="n">
        <v>45821</v>
      </c>
      <c r="I3384" s="521">
        <f>G3384</f>
        <v/>
      </c>
      <c r="K3384" s="521">
        <f>I3384-G3384</f>
        <v/>
      </c>
      <c r="M3384" s="522" t="inlineStr">
        <is>
          <t>V0017541</t>
        </is>
      </c>
      <c r="N3384" s="522" t="inlineStr">
        <is>
          <t>V0017541</t>
        </is>
      </c>
      <c r="O3384" s="521">
        <f>M3384=N3384</f>
        <v/>
      </c>
      <c r="P3384" s="521">
        <f>AND(MONTH(F3384)=MONTH(S3384), YEAR(F3384)=YEAR(S3384))</f>
        <v/>
      </c>
      <c r="Q3384" s="521">
        <f>U3384="L001-901905215"</f>
        <v/>
      </c>
      <c r="R3384" s="556">
        <f>G3384-W3384</f>
        <v/>
      </c>
      <c r="S3384" s="523" t="n">
        <v>44492</v>
      </c>
      <c r="T3384" s="522" t="inlineStr">
        <is>
          <t>V0017541</t>
        </is>
      </c>
      <c r="U3384" s="522" t="inlineStr">
        <is>
          <t>L001-901905215</t>
        </is>
      </c>
      <c r="V3384" s="522" t="inlineStr">
        <is>
          <t>វីអ៊ីស៊ិន (ខេមបូឌា) អ៊ិនដាសស្ទ្រី ឯ.ក</t>
        </is>
      </c>
      <c r="W3384" s="556" t="n">
        <v>45743</v>
      </c>
    </row>
    <row r="3385">
      <c r="A3385" s="521" t="n">
        <v>3377</v>
      </c>
      <c r="B3385" s="522" t="inlineStr">
        <is>
          <t>កេសកាតុង​</t>
        </is>
      </c>
      <c r="C3385" s="522" t="inlineStr">
        <is>
          <t>ស៊ីងហ្គាពួរ កាតុង (ខេមបូឌា)</t>
        </is>
      </c>
      <c r="D3385" s="522" t="inlineStr">
        <is>
          <t>L001-100121322</t>
        </is>
      </c>
      <c r="E3385" s="521" t="inlineStr">
        <is>
          <t>V0017542</t>
        </is>
      </c>
      <c r="F3385" s="523" t="n">
        <v>44493</v>
      </c>
      <c r="G3385" s="556" t="n">
        <v>137464</v>
      </c>
      <c r="I3385" s="521">
        <f>G3385</f>
        <v/>
      </c>
      <c r="K3385" s="521">
        <f>I3385-G3385</f>
        <v/>
      </c>
      <c r="M3385" s="522" t="inlineStr">
        <is>
          <t>V0017542</t>
        </is>
      </c>
      <c r="N3385" s="522" t="inlineStr">
        <is>
          <t>V0017542</t>
        </is>
      </c>
      <c r="O3385" s="521">
        <f>M3385=N3385</f>
        <v/>
      </c>
      <c r="P3385" s="521">
        <f>AND(MONTH(F3385)=MONTH(S3385), YEAR(F3385)=YEAR(S3385))</f>
        <v/>
      </c>
      <c r="Q3385" s="521">
        <f>U3385="L001-901905215"</f>
        <v/>
      </c>
      <c r="R3385" s="556">
        <f>G3385-W3385</f>
        <v/>
      </c>
      <c r="S3385" s="523" t="n">
        <v>44493</v>
      </c>
      <c r="T3385" s="522" t="inlineStr">
        <is>
          <t>V0017542</t>
        </is>
      </c>
      <c r="U3385" s="522" t="inlineStr">
        <is>
          <t>L001-901905215</t>
        </is>
      </c>
      <c r="V3385" s="522" t="inlineStr">
        <is>
          <t>វីអ៊ីស៊ិន (ខេមបូឌា) អ៊ិនដាសស្ទ្រី ឯ.ក</t>
        </is>
      </c>
      <c r="W3385" s="556" t="n">
        <v>137228</v>
      </c>
    </row>
    <row r="3386">
      <c r="A3386" s="521" t="n">
        <v>3378</v>
      </c>
      <c r="B3386" s="522" t="inlineStr">
        <is>
          <t>កេសកាតុង​</t>
        </is>
      </c>
      <c r="C3386" s="522" t="inlineStr">
        <is>
          <t>ស៊ីងហ្គាពួរ កាតុង (ខេមបូឌា)</t>
        </is>
      </c>
      <c r="D3386" s="522" t="inlineStr">
        <is>
          <t>L001-100121322</t>
        </is>
      </c>
      <c r="E3386" s="521" t="inlineStr">
        <is>
          <t>V0017566</t>
        </is>
      </c>
      <c r="F3386" s="523" t="n">
        <v>44496</v>
      </c>
      <c r="G3386" s="556" t="n">
        <v>183060</v>
      </c>
      <c r="I3386" s="521">
        <f>G3386</f>
        <v/>
      </c>
      <c r="K3386" s="521">
        <f>I3386-G3386</f>
        <v/>
      </c>
      <c r="M3386" s="522" t="inlineStr">
        <is>
          <t>V0017566</t>
        </is>
      </c>
      <c r="N3386" s="522" t="inlineStr">
        <is>
          <t>V0017566</t>
        </is>
      </c>
      <c r="O3386" s="521">
        <f>M3386=N3386</f>
        <v/>
      </c>
      <c r="P3386" s="521">
        <f>AND(MONTH(F3386)=MONTH(S3386), YEAR(F3386)=YEAR(S3386))</f>
        <v/>
      </c>
      <c r="Q3386" s="521">
        <f>U3386="L001-901905215"</f>
        <v/>
      </c>
      <c r="R3386" s="556">
        <f>G3386-W3386</f>
        <v/>
      </c>
      <c r="S3386" s="523" t="n">
        <v>44496</v>
      </c>
      <c r="T3386" s="522" t="inlineStr">
        <is>
          <t>V0017566</t>
        </is>
      </c>
      <c r="U3386" s="522" t="inlineStr">
        <is>
          <t>L001-901905215</t>
        </is>
      </c>
      <c r="V3386" s="522" t="inlineStr">
        <is>
          <t>វីអ៊ីស៊ិន (ខេមបូឌា) អ៊ិនដាសស្ទ្រី ឯ.ក</t>
        </is>
      </c>
      <c r="W3386" s="556" t="n">
        <v>182970</v>
      </c>
    </row>
    <row r="3387">
      <c r="A3387" s="521" t="n">
        <v>3379</v>
      </c>
      <c r="B3387" s="522" t="inlineStr">
        <is>
          <t>កេសកាតុង​</t>
        </is>
      </c>
      <c r="C3387" s="522" t="inlineStr">
        <is>
          <t>ស៊ីងហ្គាពួរ កាតុង (ខេមបូឌា)</t>
        </is>
      </c>
      <c r="D3387" s="522" t="inlineStr">
        <is>
          <t>L001-100121322</t>
        </is>
      </c>
      <c r="E3387" s="521" t="inlineStr">
        <is>
          <t>V0017600</t>
        </is>
      </c>
      <c r="F3387" s="523" t="n">
        <v>44499</v>
      </c>
      <c r="G3387" s="556" t="n">
        <v>381954</v>
      </c>
      <c r="I3387" s="521">
        <f>G3387</f>
        <v/>
      </c>
      <c r="K3387" s="521">
        <f>I3387-G3387</f>
        <v/>
      </c>
      <c r="M3387" s="522" t="inlineStr">
        <is>
          <t>V0017600</t>
        </is>
      </c>
      <c r="N3387" s="522" t="inlineStr">
        <is>
          <t>V0017600</t>
        </is>
      </c>
      <c r="O3387" s="521">
        <f>M3387=N3387</f>
        <v/>
      </c>
      <c r="P3387" s="521">
        <f>AND(MONTH(F3387)=MONTH(S3387), YEAR(F3387)=YEAR(S3387))</f>
        <v/>
      </c>
      <c r="Q3387" s="521">
        <f>U3387="L001-901905215"</f>
        <v/>
      </c>
      <c r="R3387" s="556">
        <f>G3387-W3387</f>
        <v/>
      </c>
      <c r="S3387" s="523" t="n">
        <v>44499</v>
      </c>
      <c r="T3387" s="522" t="inlineStr">
        <is>
          <t>V0017600</t>
        </is>
      </c>
      <c r="U3387" s="522" t="inlineStr">
        <is>
          <t>L001-901905215</t>
        </is>
      </c>
      <c r="V3387" s="522" t="inlineStr">
        <is>
          <t>វីអ៊ីស៊ិន (ខេមបូឌា) អ៊ិនដាសស្ទ្រី ឯ.ក</t>
        </is>
      </c>
      <c r="W3387" s="556" t="n">
        <v>381953</v>
      </c>
    </row>
    <row r="3388">
      <c r="A3388" s="521" t="n">
        <v>3380</v>
      </c>
      <c r="B3388" s="522" t="inlineStr">
        <is>
          <t>ផ្លាកក្រដាសនិងក្រដាស</t>
        </is>
      </c>
      <c r="C3388" s="522" t="inlineStr">
        <is>
          <t>ដុងគ័ន ស៊ីធី ហ្វាញស្តារ ព្រីនធីង (ខេមបូឌា)</t>
        </is>
      </c>
      <c r="D3388" s="522" t="inlineStr">
        <is>
          <t>L001-100193021</t>
        </is>
      </c>
      <c r="E3388" s="521" t="inlineStr">
        <is>
          <t>000477</t>
        </is>
      </c>
      <c r="F3388" s="523" t="n">
        <v>44495</v>
      </c>
      <c r="G3388" s="556" t="n">
        <v>8675030</v>
      </c>
      <c r="I3388" s="521">
        <f>G3388</f>
        <v/>
      </c>
      <c r="K3388" s="521">
        <f>I3388-G3388</f>
        <v/>
      </c>
      <c r="M3388" s="522" t="inlineStr">
        <is>
          <t>000477</t>
        </is>
      </c>
      <c r="N3388" s="522" t="inlineStr">
        <is>
          <t>000477</t>
        </is>
      </c>
      <c r="O3388" s="521">
        <f>M3388=N3388</f>
        <v/>
      </c>
      <c r="P3388" s="521">
        <f>AND(MONTH(F3388)=MONTH(S3388), YEAR(F3388)=YEAR(S3388))</f>
        <v/>
      </c>
      <c r="Q3388" s="521">
        <f>U3388="L001-901905215"</f>
        <v/>
      </c>
      <c r="R3388" s="556">
        <f>G3388-W3388</f>
        <v/>
      </c>
      <c r="S3388" s="523" t="n">
        <v>44495</v>
      </c>
      <c r="T3388" s="522" t="inlineStr">
        <is>
          <t>000477</t>
        </is>
      </c>
      <c r="U3388" s="522" t="inlineStr">
        <is>
          <t>L001-901905215</t>
        </is>
      </c>
      <c r="V3388" s="522" t="inlineStr">
        <is>
          <t>វីអ៊ីស៊ិន (ខេមបូឌា) អ៊ិនដាសស្ទ្រី ឯ.ក</t>
        </is>
      </c>
      <c r="W3388" s="556" t="n">
        <v>8675030</v>
      </c>
    </row>
    <row r="3389">
      <c r="A3389" s="521" t="n">
        <v>3381</v>
      </c>
      <c r="B3389" s="522" t="inlineStr">
        <is>
          <t>LIFT Off and Gate Fee</t>
        </is>
      </c>
      <c r="C3389" s="522" t="inlineStr">
        <is>
          <t>កំពង់ផែស្វយ័តភ្នំពេញ "ក.ស.ភ"</t>
        </is>
      </c>
      <c r="D3389" s="522" t="inlineStr">
        <is>
          <t>L001-100044999</t>
        </is>
      </c>
      <c r="E3389" s="521" t="inlineStr">
        <is>
          <t>INV20211063342</t>
        </is>
      </c>
      <c r="F3389" s="523" t="n">
        <v>44492</v>
      </c>
      <c r="G3389" s="556" t="n">
        <v>87977</v>
      </c>
      <c r="I3389" s="521">
        <f>G3389</f>
        <v/>
      </c>
      <c r="K3389" s="521">
        <f>I3389-G3389</f>
        <v/>
      </c>
      <c r="M3389" s="522" t="inlineStr">
        <is>
          <t>INV20211063342</t>
        </is>
      </c>
      <c r="N3389" s="522" t="inlineStr"/>
      <c r="O3389" s="521">
        <f>M3389=N3389</f>
        <v/>
      </c>
      <c r="P3389" s="521">
        <f>AND(MONTH(F3389)=MONTH(S3389), YEAR(F3389)=YEAR(S3389))</f>
        <v/>
      </c>
      <c r="Q3389" s="521">
        <f>U3389="L001-901905215"</f>
        <v/>
      </c>
      <c r="R3389" s="556">
        <f>G3389-W3389</f>
        <v/>
      </c>
      <c r="S3389" s="521" t="n"/>
      <c r="T3389" s="522" t="n"/>
      <c r="U3389" s="522" t="n"/>
      <c r="V3389" s="522" t="n"/>
      <c r="W3389" s="521" t="n"/>
    </row>
    <row r="3390">
      <c r="A3390" s="521" t="n">
        <v>3382</v>
      </c>
      <c r="B3390" s="522" t="inlineStr">
        <is>
          <t>LIFT Off and Gate Fee</t>
        </is>
      </c>
      <c r="C3390" s="522" t="inlineStr">
        <is>
          <t>កំពង់ផែស្វយ័តភ្នំពេញ "ក.ស.ភ"</t>
        </is>
      </c>
      <c r="D3390" s="522" t="inlineStr">
        <is>
          <t>L001-100044999</t>
        </is>
      </c>
      <c r="E3390" s="521" t="inlineStr">
        <is>
          <t>INV20211063340</t>
        </is>
      </c>
      <c r="F3390" s="523" t="n">
        <v>44492</v>
      </c>
      <c r="G3390" s="556" t="n">
        <v>283481</v>
      </c>
      <c r="I3390" s="521">
        <f>G3390</f>
        <v/>
      </c>
      <c r="K3390" s="521">
        <f>I3390-G3390</f>
        <v/>
      </c>
      <c r="M3390" s="522" t="inlineStr">
        <is>
          <t>INV20211063340</t>
        </is>
      </c>
      <c r="N3390" s="522" t="inlineStr"/>
      <c r="O3390" s="521">
        <f>M3390=N3390</f>
        <v/>
      </c>
      <c r="P3390" s="521">
        <f>AND(MONTH(F3390)=MONTH(S3390), YEAR(F3390)=YEAR(S3390))</f>
        <v/>
      </c>
      <c r="Q3390" s="521">
        <f>U3390="L001-901905215"</f>
        <v/>
      </c>
      <c r="R3390" s="556">
        <f>G3390-W3390</f>
        <v/>
      </c>
      <c r="S3390" s="521" t="n"/>
      <c r="T3390" s="522" t="n"/>
      <c r="U3390" s="522" t="n"/>
      <c r="V3390" s="522" t="n"/>
      <c r="W3390" s="521" t="n"/>
    </row>
    <row r="3391">
      <c r="A3391" s="521" t="n">
        <v>3383</v>
      </c>
      <c r="B3391" s="522" t="inlineStr">
        <is>
          <t>LIFT Off and Gate Fee</t>
        </is>
      </c>
      <c r="C3391" s="522" t="inlineStr">
        <is>
          <t>កំពង់ផែស្វយ័តភ្នំពេញ "ក.ស.ភ"</t>
        </is>
      </c>
      <c r="D3391" s="522" t="inlineStr">
        <is>
          <t>L001-100044999</t>
        </is>
      </c>
      <c r="E3391" s="521" t="inlineStr">
        <is>
          <t>INV20211063338</t>
        </is>
      </c>
      <c r="F3391" s="523" t="n">
        <v>44492</v>
      </c>
      <c r="G3391" s="556" t="n">
        <v>19550</v>
      </c>
      <c r="I3391" s="521">
        <f>G3391</f>
        <v/>
      </c>
      <c r="K3391" s="521">
        <f>I3391-G3391</f>
        <v/>
      </c>
      <c r="M3391" s="522" t="inlineStr">
        <is>
          <t>INV20211063338</t>
        </is>
      </c>
      <c r="N3391" s="522" t="inlineStr"/>
      <c r="O3391" s="521">
        <f>M3391=N3391</f>
        <v/>
      </c>
      <c r="P3391" s="521">
        <f>AND(MONTH(F3391)=MONTH(S3391), YEAR(F3391)=YEAR(S3391))</f>
        <v/>
      </c>
      <c r="Q3391" s="521">
        <f>U3391="L001-901905215"</f>
        <v/>
      </c>
      <c r="R3391" s="556">
        <f>G3391-W3391</f>
        <v/>
      </c>
      <c r="S3391" s="521" t="n"/>
      <c r="T3391" s="522" t="n"/>
      <c r="U3391" s="522" t="n"/>
      <c r="V3391" s="522" t="n"/>
      <c r="W3391" s="521" t="n"/>
    </row>
    <row r="3392">
      <c r="A3392" s="521" t="n">
        <v>3384</v>
      </c>
      <c r="B3392" s="522" t="inlineStr">
        <is>
          <t>LIFT Off and Gate Fee</t>
        </is>
      </c>
      <c r="C3392" s="522" t="inlineStr">
        <is>
          <t>កំពង់ផែស្វយ័តភ្នំពេញ "ក.ស.ភ"</t>
        </is>
      </c>
      <c r="D3392" s="522" t="inlineStr">
        <is>
          <t>L001-100044999</t>
        </is>
      </c>
      <c r="E3392" s="521" t="inlineStr">
        <is>
          <t>INV20211063343</t>
        </is>
      </c>
      <c r="F3392" s="523" t="n">
        <v>44492</v>
      </c>
      <c r="G3392" s="556" t="n">
        <v>19550</v>
      </c>
      <c r="I3392" s="521">
        <f>G3392</f>
        <v/>
      </c>
      <c r="K3392" s="521">
        <f>I3392-G3392</f>
        <v/>
      </c>
      <c r="M3392" s="522" t="inlineStr">
        <is>
          <t>INV20211063343</t>
        </is>
      </c>
      <c r="N3392" s="522" t="inlineStr"/>
      <c r="O3392" s="521">
        <f>M3392=N3392</f>
        <v/>
      </c>
      <c r="P3392" s="521">
        <f>AND(MONTH(F3392)=MONTH(S3392), YEAR(F3392)=YEAR(S3392))</f>
        <v/>
      </c>
      <c r="Q3392" s="521">
        <f>U3392="L001-901905215"</f>
        <v/>
      </c>
      <c r="R3392" s="556">
        <f>G3392-W3392</f>
        <v/>
      </c>
      <c r="S3392" s="521" t="n"/>
      <c r="T3392" s="522" t="n"/>
      <c r="U3392" s="522" t="n"/>
      <c r="V3392" s="522" t="n"/>
      <c r="W3392" s="521" t="n"/>
    </row>
    <row r="3393">
      <c r="A3393" s="521" t="n">
        <v>3385</v>
      </c>
      <c r="B3393" s="522" t="inlineStr">
        <is>
          <t>LIFT Off and Gate Fee</t>
        </is>
      </c>
      <c r="C3393" s="522" t="inlineStr">
        <is>
          <t>កំពង់ផែស្វយ័តភ្នំពេញ "ក.ស.ភ"</t>
        </is>
      </c>
      <c r="D3393" s="522" t="inlineStr">
        <is>
          <t>L001-100044999</t>
        </is>
      </c>
      <c r="E3393" s="521" t="inlineStr">
        <is>
          <t>INV20211063100</t>
        </is>
      </c>
      <c r="F3393" s="523" t="n">
        <v>44491</v>
      </c>
      <c r="G3393" s="556" t="n">
        <v>29326</v>
      </c>
      <c r="I3393" s="521">
        <f>G3393</f>
        <v/>
      </c>
      <c r="K3393" s="521">
        <f>I3393-G3393</f>
        <v/>
      </c>
      <c r="M3393" s="522" t="inlineStr">
        <is>
          <t>INV20211063100</t>
        </is>
      </c>
      <c r="N3393" s="522" t="inlineStr"/>
      <c r="O3393" s="521">
        <f>M3393=N3393</f>
        <v/>
      </c>
      <c r="P3393" s="521">
        <f>AND(MONTH(F3393)=MONTH(S3393), YEAR(F3393)=YEAR(S3393))</f>
        <v/>
      </c>
      <c r="Q3393" s="521">
        <f>U3393="L001-901905215"</f>
        <v/>
      </c>
      <c r="R3393" s="556">
        <f>G3393-W3393</f>
        <v/>
      </c>
      <c r="S3393" s="521" t="n"/>
      <c r="T3393" s="522" t="n"/>
      <c r="U3393" s="522" t="n"/>
      <c r="V3393" s="522" t="n"/>
      <c r="W3393" s="521" t="n"/>
    </row>
    <row r="3394">
      <c r="A3394" s="521" t="n">
        <v>3386</v>
      </c>
      <c r="B3394" s="522" t="inlineStr">
        <is>
          <t>LIFT Off and Gate Fee</t>
        </is>
      </c>
      <c r="C3394" s="522" t="inlineStr">
        <is>
          <t>កំពង់ផែស្វយ័តភ្នំពេញ "ក.ស.ភ"</t>
        </is>
      </c>
      <c r="D3394" s="522" t="inlineStr">
        <is>
          <t>L001-100044999</t>
        </is>
      </c>
      <c r="E3394" s="521" t="inlineStr">
        <is>
          <t>INV20211061401</t>
        </is>
      </c>
      <c r="F3394" s="523" t="n">
        <v>44484</v>
      </c>
      <c r="G3394" s="556" t="n">
        <v>19550</v>
      </c>
      <c r="I3394" s="521">
        <f>G3394</f>
        <v/>
      </c>
      <c r="K3394" s="521">
        <f>I3394-G3394</f>
        <v/>
      </c>
      <c r="M3394" s="522" t="inlineStr">
        <is>
          <t>INV20211061401</t>
        </is>
      </c>
      <c r="N3394" s="522" t="inlineStr"/>
      <c r="O3394" s="521">
        <f>M3394=N3394</f>
        <v/>
      </c>
      <c r="P3394" s="521">
        <f>AND(MONTH(F3394)=MONTH(S3394), YEAR(F3394)=YEAR(S3394))</f>
        <v/>
      </c>
      <c r="Q3394" s="521">
        <f>U3394="L001-901905215"</f>
        <v/>
      </c>
      <c r="R3394" s="556">
        <f>G3394-W3394</f>
        <v/>
      </c>
      <c r="S3394" s="521" t="n"/>
      <c r="T3394" s="522" t="n"/>
      <c r="U3394" s="522" t="n"/>
      <c r="V3394" s="522" t="n"/>
      <c r="W3394" s="521" t="n"/>
    </row>
    <row r="3395">
      <c r="A3395" s="521" t="n">
        <v>3387</v>
      </c>
      <c r="B3395" s="522" t="inlineStr">
        <is>
          <t>LIFT Off and Gate Fee</t>
        </is>
      </c>
      <c r="C3395" s="522" t="inlineStr">
        <is>
          <t>កំពង់ផែស្វយ័តភ្នំពេញ "ក.ស.ភ"</t>
        </is>
      </c>
      <c r="D3395" s="522" t="inlineStr">
        <is>
          <t>L001-100044999</t>
        </is>
      </c>
      <c r="E3395" s="521" t="inlineStr">
        <is>
          <t>INV20211061400</t>
        </is>
      </c>
      <c r="F3395" s="523" t="n">
        <v>44484</v>
      </c>
      <c r="G3395" s="556" t="n">
        <v>29326</v>
      </c>
      <c r="I3395" s="521">
        <f>G3395</f>
        <v/>
      </c>
      <c r="K3395" s="521">
        <f>I3395-G3395</f>
        <v/>
      </c>
      <c r="M3395" s="522" t="inlineStr">
        <is>
          <t>INV20211061400</t>
        </is>
      </c>
      <c r="N3395" s="522" t="inlineStr"/>
      <c r="O3395" s="521">
        <f>M3395=N3395</f>
        <v/>
      </c>
      <c r="P3395" s="521">
        <f>AND(MONTH(F3395)=MONTH(S3395), YEAR(F3395)=YEAR(S3395))</f>
        <v/>
      </c>
      <c r="Q3395" s="521">
        <f>U3395="L001-901905215"</f>
        <v/>
      </c>
      <c r="R3395" s="556">
        <f>G3395-W3395</f>
        <v/>
      </c>
      <c r="S3395" s="521" t="n"/>
      <c r="T3395" s="522" t="n"/>
      <c r="U3395" s="522" t="n"/>
      <c r="V3395" s="522" t="n"/>
      <c r="W3395" s="521" t="n"/>
    </row>
    <row r="3396">
      <c r="A3396" s="521" t="n">
        <v>3388</v>
      </c>
      <c r="B3396" s="522" t="inlineStr">
        <is>
          <t>LIFT Off and Gate Fee</t>
        </is>
      </c>
      <c r="C3396" s="522" t="inlineStr">
        <is>
          <t>កំពង់ផែស្វយ័តភ្នំពេញ "ក.ស.ភ"</t>
        </is>
      </c>
      <c r="D3396" s="522" t="inlineStr">
        <is>
          <t>L001-100044999</t>
        </is>
      </c>
      <c r="E3396" s="521" t="inlineStr">
        <is>
          <t>INV20211058205</t>
        </is>
      </c>
      <c r="F3396" s="523" t="n">
        <v>44470</v>
      </c>
      <c r="G3396" s="556" t="n">
        <v>48984</v>
      </c>
      <c r="I3396" s="521">
        <f>G3396</f>
        <v/>
      </c>
      <c r="K3396" s="521">
        <f>I3396-G3396</f>
        <v/>
      </c>
      <c r="M3396" s="522" t="inlineStr">
        <is>
          <t>INV20211058205</t>
        </is>
      </c>
      <c r="N3396" s="522" t="inlineStr"/>
      <c r="O3396" s="521">
        <f>M3396=N3396</f>
        <v/>
      </c>
      <c r="P3396" s="521">
        <f>AND(MONTH(F3396)=MONTH(S3396), YEAR(F3396)=YEAR(S3396))</f>
        <v/>
      </c>
      <c r="Q3396" s="521">
        <f>U3396="L001-901905215"</f>
        <v/>
      </c>
      <c r="R3396" s="556">
        <f>G3396-W3396</f>
        <v/>
      </c>
      <c r="S3396" s="521" t="n"/>
      <c r="T3396" s="522" t="n"/>
      <c r="U3396" s="522" t="n"/>
      <c r="V3396" s="522" t="n"/>
      <c r="W3396" s="521" t="n"/>
    </row>
    <row r="3397">
      <c r="A3397" s="521" t="n">
        <v>3389</v>
      </c>
      <c r="B3397" s="522" t="inlineStr">
        <is>
          <t>LIFT Off and Gate Fee</t>
        </is>
      </c>
      <c r="C3397" s="522" t="inlineStr">
        <is>
          <t>កំពង់ផែស្វយ័តភ្នំពេញ "ក.ស.ភ"</t>
        </is>
      </c>
      <c r="D3397" s="522" t="inlineStr">
        <is>
          <t>L001-100044999</t>
        </is>
      </c>
      <c r="E3397" s="521" t="inlineStr">
        <is>
          <t>INV20211058206</t>
        </is>
      </c>
      <c r="F3397" s="523" t="n">
        <v>44470</v>
      </c>
      <c r="G3397" s="556" t="n">
        <v>29390</v>
      </c>
      <c r="I3397" s="521">
        <f>G3397</f>
        <v/>
      </c>
      <c r="K3397" s="521">
        <f>I3397-G3397</f>
        <v/>
      </c>
      <c r="M3397" s="522" t="inlineStr">
        <is>
          <t>INV20211058206</t>
        </is>
      </c>
      <c r="N3397" s="522" t="inlineStr"/>
      <c r="O3397" s="521">
        <f>M3397=N3397</f>
        <v/>
      </c>
      <c r="P3397" s="521">
        <f>AND(MONTH(F3397)=MONTH(S3397), YEAR(F3397)=YEAR(S3397))</f>
        <v/>
      </c>
      <c r="Q3397" s="521">
        <f>U3397="L001-901905215"</f>
        <v/>
      </c>
      <c r="R3397" s="556">
        <f>G3397-W3397</f>
        <v/>
      </c>
      <c r="S3397" s="521" t="n"/>
      <c r="T3397" s="522" t="n"/>
      <c r="U3397" s="522" t="n"/>
      <c r="V3397" s="522" t="n"/>
      <c r="W3397" s="521" t="n"/>
    </row>
    <row r="3398">
      <c r="A3398" s="521" t="n">
        <v>3390</v>
      </c>
      <c r="B3398" s="522" t="inlineStr">
        <is>
          <t>Lift on/ Lift off</t>
        </is>
      </c>
      <c r="C3398" s="522" t="inlineStr">
        <is>
          <t>កំពង់ផែស្វយ័តក្រុងព្រះសីហនុ</t>
        </is>
      </c>
      <c r="D3398" s="522" t="inlineStr">
        <is>
          <t>L001-100044638</t>
        </is>
      </c>
      <c r="E3398" s="521" t="inlineStr">
        <is>
          <t>168107</t>
        </is>
      </c>
      <c r="F3398" s="523" t="n">
        <v>44481</v>
      </c>
      <c r="G3398" s="556" t="n">
        <v>141845</v>
      </c>
      <c r="I3398" s="521">
        <f>G3398</f>
        <v/>
      </c>
      <c r="K3398" s="521">
        <f>I3398-G3398</f>
        <v/>
      </c>
      <c r="M3398" s="522" t="inlineStr">
        <is>
          <t>168107</t>
        </is>
      </c>
      <c r="N3398" s="522" t="inlineStr"/>
      <c r="O3398" s="521">
        <f>M3398=N3398</f>
        <v/>
      </c>
      <c r="P3398" s="521">
        <f>AND(MONTH(F3398)=MONTH(S3398), YEAR(F3398)=YEAR(S3398))</f>
        <v/>
      </c>
      <c r="Q3398" s="521">
        <f>U3398="L001-901905215"</f>
        <v/>
      </c>
      <c r="R3398" s="556">
        <f>G3398-W3398</f>
        <v/>
      </c>
      <c r="S3398" s="521" t="n"/>
      <c r="T3398" s="522" t="n"/>
      <c r="U3398" s="522" t="n"/>
      <c r="V3398" s="522" t="n"/>
      <c r="W3398" s="521" t="n"/>
    </row>
    <row r="3399">
      <c r="A3399" s="521" t="n">
        <v>3391</v>
      </c>
      <c r="B3399" s="522" t="inlineStr">
        <is>
          <t>LIFT Off and Gate Fee</t>
        </is>
      </c>
      <c r="C3399" s="522" t="inlineStr">
        <is>
          <t>កំពង់ផែស្វយ័តភ្នំពេញ "ក.ស.ភ"</t>
        </is>
      </c>
      <c r="D3399" s="522" t="inlineStr">
        <is>
          <t>L001-100044999</t>
        </is>
      </c>
      <c r="E3399" s="521" t="inlineStr">
        <is>
          <t>INV20211058446</t>
        </is>
      </c>
      <c r="F3399" s="523" t="n">
        <v>44471</v>
      </c>
      <c r="G3399" s="556" t="n">
        <v>29390</v>
      </c>
      <c r="I3399" s="521">
        <f>G3399</f>
        <v/>
      </c>
      <c r="K3399" s="521">
        <f>I3399-G3399</f>
        <v/>
      </c>
      <c r="M3399" s="522" t="inlineStr">
        <is>
          <t>INV20211058446</t>
        </is>
      </c>
      <c r="N3399" s="522" t="inlineStr"/>
      <c r="O3399" s="521">
        <f>M3399=N3399</f>
        <v/>
      </c>
      <c r="P3399" s="521">
        <f>AND(MONTH(F3399)=MONTH(S3399), YEAR(F3399)=YEAR(S3399))</f>
        <v/>
      </c>
      <c r="Q3399" s="521">
        <f>U3399="L001-901905215"</f>
        <v/>
      </c>
      <c r="R3399" s="556">
        <f>G3399-W3399</f>
        <v/>
      </c>
      <c r="S3399" s="521" t="n"/>
      <c r="T3399" s="522" t="n"/>
      <c r="U3399" s="522" t="n"/>
      <c r="V3399" s="522" t="n"/>
      <c r="W3399" s="521" t="n"/>
    </row>
    <row r="3400">
      <c r="A3400" s="521" t="n">
        <v>3392</v>
      </c>
      <c r="B3400" s="522" t="inlineStr">
        <is>
          <t>Lift on/ Lift off</t>
        </is>
      </c>
      <c r="C3400" s="522" t="inlineStr">
        <is>
          <t>កំពង់ផែស្វយ័តក្រុងព្រះសីហនុ</t>
        </is>
      </c>
      <c r="D3400" s="522" t="inlineStr">
        <is>
          <t>L001-100044638</t>
        </is>
      </c>
      <c r="E3400" s="521" t="inlineStr">
        <is>
          <t>163346</t>
        </is>
      </c>
      <c r="F3400" s="523" t="n">
        <v>44470</v>
      </c>
      <c r="G3400" s="556" t="n">
        <v>141949</v>
      </c>
      <c r="I3400" s="521">
        <f>G3400</f>
        <v/>
      </c>
      <c r="K3400" s="521">
        <f>I3400-G3400</f>
        <v/>
      </c>
      <c r="M3400" s="522" t="inlineStr">
        <is>
          <t>163346</t>
        </is>
      </c>
      <c r="N3400" s="522" t="inlineStr"/>
      <c r="O3400" s="521">
        <f>M3400=N3400</f>
        <v/>
      </c>
      <c r="P3400" s="521">
        <f>AND(MONTH(F3400)=MONTH(S3400), YEAR(F3400)=YEAR(S3400))</f>
        <v/>
      </c>
      <c r="Q3400" s="521">
        <f>U3400="L001-901905215"</f>
        <v/>
      </c>
      <c r="R3400" s="556">
        <f>G3400-W3400</f>
        <v/>
      </c>
      <c r="S3400" s="521" t="n"/>
      <c r="T3400" s="522" t="n"/>
      <c r="U3400" s="522" t="n"/>
      <c r="V3400" s="522" t="n"/>
      <c r="W3400" s="521" t="n"/>
    </row>
    <row r="3401">
      <c r="A3401" s="521" t="n">
        <v>3393</v>
      </c>
      <c r="B3401" s="522" t="inlineStr">
        <is>
          <t>Lift on/ Lift off</t>
        </is>
      </c>
      <c r="C3401" s="522" t="inlineStr">
        <is>
          <t>កំពង់ផែស្វយ័តក្រុងព្រះសីហនុ</t>
        </is>
      </c>
      <c r="D3401" s="522" t="inlineStr">
        <is>
          <t>L001-100044638</t>
        </is>
      </c>
      <c r="E3401" s="521" t="inlineStr">
        <is>
          <t>160687</t>
        </is>
      </c>
      <c r="F3401" s="523" t="n">
        <v>44470</v>
      </c>
      <c r="G3401" s="556" t="n">
        <v>35470</v>
      </c>
      <c r="I3401" s="521">
        <f>G3401</f>
        <v/>
      </c>
      <c r="K3401" s="521">
        <f>I3401-G3401</f>
        <v/>
      </c>
      <c r="M3401" s="522" t="inlineStr">
        <is>
          <t>160687</t>
        </is>
      </c>
      <c r="N3401" s="522" t="inlineStr"/>
      <c r="O3401" s="521">
        <f>M3401=N3401</f>
        <v/>
      </c>
      <c r="P3401" s="521">
        <f>AND(MONTH(F3401)=MONTH(S3401), YEAR(F3401)=YEAR(S3401))</f>
        <v/>
      </c>
      <c r="Q3401" s="521">
        <f>U3401="L001-901905215"</f>
        <v/>
      </c>
      <c r="R3401" s="556">
        <f>G3401-W3401</f>
        <v/>
      </c>
      <c r="S3401" s="521" t="n"/>
      <c r="T3401" s="522" t="n"/>
      <c r="U3401" s="522" t="n"/>
      <c r="V3401" s="522" t="n"/>
      <c r="W3401" s="521" t="n"/>
    </row>
    <row r="3402">
      <c r="A3402" s="521" t="n">
        <v>3394</v>
      </c>
      <c r="B3402" s="522" t="inlineStr">
        <is>
          <t>Lift on/ Lift off</t>
        </is>
      </c>
      <c r="C3402" s="522" t="inlineStr">
        <is>
          <t>កំពង់ផែស្វយ័តក្រុងព្រះសីហនុ</t>
        </is>
      </c>
      <c r="D3402" s="522" t="inlineStr">
        <is>
          <t>L001-100044638</t>
        </is>
      </c>
      <c r="E3402" s="521" t="inlineStr">
        <is>
          <t>160077</t>
        </is>
      </c>
      <c r="F3402" s="523" t="n">
        <v>44470</v>
      </c>
      <c r="G3402" s="556" t="n">
        <v>100294</v>
      </c>
      <c r="I3402" s="521">
        <f>G3402</f>
        <v/>
      </c>
      <c r="K3402" s="521">
        <f>I3402-G3402</f>
        <v/>
      </c>
      <c r="M3402" s="522" t="inlineStr">
        <is>
          <t>160077</t>
        </is>
      </c>
      <c r="N3402" s="522" t="inlineStr"/>
      <c r="O3402" s="521">
        <f>M3402=N3402</f>
        <v/>
      </c>
      <c r="P3402" s="521">
        <f>AND(MONTH(F3402)=MONTH(S3402), YEAR(F3402)=YEAR(S3402))</f>
        <v/>
      </c>
      <c r="Q3402" s="521">
        <f>U3402="L001-901905215"</f>
        <v/>
      </c>
      <c r="R3402" s="556">
        <f>G3402-W3402</f>
        <v/>
      </c>
      <c r="S3402" s="521" t="n"/>
      <c r="T3402" s="522" t="n"/>
      <c r="U3402" s="522" t="n"/>
      <c r="V3402" s="522" t="n"/>
      <c r="W3402" s="521" t="n"/>
    </row>
    <row r="3403">
      <c r="A3403" s="521" t="n">
        <v>3395</v>
      </c>
      <c r="B3403" s="522" t="inlineStr">
        <is>
          <t>THC CIC &amp; DOC FEE</t>
        </is>
      </c>
      <c r="C3403" s="522" t="inlineStr">
        <is>
          <t>ខូស្កូ ស៊ីបភីង ឡាញ (ខេមបូឌា) ឯ.ក</t>
        </is>
      </c>
      <c r="D3403" s="522" t="inlineStr">
        <is>
          <t>L001-100103383</t>
        </is>
      </c>
      <c r="E3403" s="521" t="inlineStr">
        <is>
          <t>COS2110-12438</t>
        </is>
      </c>
      <c r="F3403" s="523" t="n">
        <v>44470</v>
      </c>
      <c r="G3403" s="556" t="n">
        <v>789867</v>
      </c>
      <c r="I3403" s="521">
        <f>G3403</f>
        <v/>
      </c>
      <c r="K3403" s="521">
        <f>I3403-G3403</f>
        <v/>
      </c>
      <c r="M3403" s="522" t="inlineStr">
        <is>
          <t>COS211012438</t>
        </is>
      </c>
      <c r="N3403" s="522" t="inlineStr">
        <is>
          <t>COS211012438</t>
        </is>
      </c>
      <c r="O3403" s="521">
        <f>M3403=N3403</f>
        <v/>
      </c>
      <c r="P3403" s="521">
        <f>AND(MONTH(F3403)=MONTH(S3403), YEAR(F3403)=YEAR(S3403))</f>
        <v/>
      </c>
      <c r="Q3403" s="521">
        <f>U3403="L001-901905215"</f>
        <v/>
      </c>
      <c r="R3403" s="556">
        <f>G3403-W3403</f>
        <v/>
      </c>
      <c r="S3403" s="523" t="n">
        <v>44470</v>
      </c>
      <c r="T3403" s="522" t="inlineStr">
        <is>
          <t>COS2110-12438</t>
        </is>
      </c>
      <c r="U3403" s="522" t="inlineStr">
        <is>
          <t>L001-901905215</t>
        </is>
      </c>
      <c r="V3403" s="522" t="inlineStr">
        <is>
          <t>វីអ៊ីស៊ិន (ខេមបូឌា) អ៊ិនដាសស្ទ្រី ឯ.ក</t>
        </is>
      </c>
      <c r="W3403" s="556" t="n">
        <v>789867</v>
      </c>
    </row>
    <row r="3404">
      <c r="A3404" s="521" t="n">
        <v>3396</v>
      </c>
      <c r="B3404" s="522" t="inlineStr">
        <is>
          <t>Express fee</t>
        </is>
      </c>
      <c r="C3404" s="522" t="inlineStr">
        <is>
          <t>សូស៊ីយេតេ កុងសេស្យូនែរ ដឺ ឡាអេរ៉ូព័រ</t>
        </is>
      </c>
      <c r="D3404" s="522" t="inlineStr">
        <is>
          <t>L001-100047300</t>
        </is>
      </c>
      <c r="E3404" s="521" t="inlineStr">
        <is>
          <t>2100-063203</t>
        </is>
      </c>
      <c r="F3404" s="523" t="n">
        <v>44495</v>
      </c>
      <c r="G3404" s="556" t="n">
        <v>3289</v>
      </c>
      <c r="I3404" s="521">
        <f>G3404</f>
        <v/>
      </c>
      <c r="K3404" s="521">
        <f>I3404-G3404</f>
        <v/>
      </c>
      <c r="M3404" s="522" t="inlineStr">
        <is>
          <t>2100063203</t>
        </is>
      </c>
      <c r="N3404" s="522" t="inlineStr"/>
      <c r="O3404" s="521">
        <f>M3404=N3404</f>
        <v/>
      </c>
      <c r="P3404" s="521">
        <f>AND(MONTH(F3404)=MONTH(S3404), YEAR(F3404)=YEAR(S3404))</f>
        <v/>
      </c>
      <c r="Q3404" s="521">
        <f>U3404="L001-901905215"</f>
        <v/>
      </c>
      <c r="R3404" s="556">
        <f>G3404-W3404</f>
        <v/>
      </c>
      <c r="S3404" s="521" t="n"/>
      <c r="T3404" s="522" t="n"/>
      <c r="U3404" s="522" t="n"/>
      <c r="V3404" s="522" t="n"/>
      <c r="W3404" s="521" t="n"/>
    </row>
    <row r="3405">
      <c r="A3405" s="521" t="n">
        <v>3397</v>
      </c>
      <c r="B3405" s="522" t="inlineStr">
        <is>
          <t>Storage charge</t>
        </is>
      </c>
      <c r="C3405" s="522" t="inlineStr">
        <is>
          <t>កំពង់ផែស្វយ័តក្រុងព្រះសីហនុ</t>
        </is>
      </c>
      <c r="D3405" s="522" t="inlineStr">
        <is>
          <t>L001-100044638</t>
        </is>
      </c>
      <c r="E3405" s="521" t="inlineStr">
        <is>
          <t>172404</t>
        </is>
      </c>
      <c r="F3405" s="523" t="n">
        <v>44487</v>
      </c>
      <c r="G3405" s="556" t="n">
        <v>43988</v>
      </c>
      <c r="I3405" s="521">
        <f>G3405</f>
        <v/>
      </c>
      <c r="K3405" s="521">
        <f>I3405-G3405</f>
        <v/>
      </c>
      <c r="M3405" s="522" t="inlineStr">
        <is>
          <t>172404</t>
        </is>
      </c>
      <c r="N3405" s="522" t="inlineStr"/>
      <c r="O3405" s="521">
        <f>M3405=N3405</f>
        <v/>
      </c>
      <c r="P3405" s="521">
        <f>AND(MONTH(F3405)=MONTH(S3405), YEAR(F3405)=YEAR(S3405))</f>
        <v/>
      </c>
      <c r="Q3405" s="521">
        <f>U3405="L001-901905215"</f>
        <v/>
      </c>
      <c r="R3405" s="556">
        <f>G3405-W3405</f>
        <v/>
      </c>
      <c r="S3405" s="521" t="n"/>
      <c r="T3405" s="522" t="n"/>
      <c r="U3405" s="522" t="n"/>
      <c r="V3405" s="522" t="n"/>
      <c r="W3405" s="521" t="n"/>
    </row>
    <row r="3406">
      <c r="A3406" s="521" t="n">
        <v>3398</v>
      </c>
      <c r="B3406" s="522" t="inlineStr">
        <is>
          <t>Storage charge</t>
        </is>
      </c>
      <c r="C3406" s="522" t="inlineStr">
        <is>
          <t>កំពង់ផែស្វយ័តក្រុងព្រះសីហនុ</t>
        </is>
      </c>
      <c r="D3406" s="522" t="inlineStr">
        <is>
          <t>L001-100044638</t>
        </is>
      </c>
      <c r="E3406" s="521" t="inlineStr">
        <is>
          <t>172620</t>
        </is>
      </c>
      <c r="F3406" s="523" t="n">
        <v>44488</v>
      </c>
      <c r="G3406" s="556" t="n">
        <v>4888</v>
      </c>
      <c r="I3406" s="521">
        <f>G3406</f>
        <v/>
      </c>
      <c r="K3406" s="521">
        <f>I3406-G3406</f>
        <v/>
      </c>
      <c r="M3406" s="522" t="inlineStr">
        <is>
          <t>172620</t>
        </is>
      </c>
      <c r="N3406" s="522" t="inlineStr"/>
      <c r="O3406" s="521">
        <f>M3406=N3406</f>
        <v/>
      </c>
      <c r="P3406" s="521">
        <f>AND(MONTH(F3406)=MONTH(S3406), YEAR(F3406)=YEAR(S3406))</f>
        <v/>
      </c>
      <c r="Q3406" s="521">
        <f>U3406="L001-901905215"</f>
        <v/>
      </c>
      <c r="R3406" s="556">
        <f>G3406-W3406</f>
        <v/>
      </c>
      <c r="S3406" s="521" t="n"/>
      <c r="T3406" s="522" t="n"/>
      <c r="U3406" s="522" t="n"/>
      <c r="V3406" s="522" t="n"/>
      <c r="W3406" s="521" t="n"/>
    </row>
    <row r="3407">
      <c r="A3407" s="521" t="n">
        <v>3399</v>
      </c>
      <c r="B3407" s="522" t="inlineStr">
        <is>
          <t>Lift on/Lift off</t>
        </is>
      </c>
      <c r="C3407" s="522" t="inlineStr">
        <is>
          <t>កំពង់ផែស្វយ័តក្រុងព្រះសីហនុ</t>
        </is>
      </c>
      <c r="D3407" s="522" t="inlineStr">
        <is>
          <t>L001-100044638</t>
        </is>
      </c>
      <c r="E3407" s="521" t="inlineStr">
        <is>
          <t>171516</t>
        </is>
      </c>
      <c r="F3407" s="523" t="n">
        <v>44484</v>
      </c>
      <c r="G3407" s="556" t="n">
        <v>106305</v>
      </c>
      <c r="I3407" s="521">
        <f>G3407</f>
        <v/>
      </c>
      <c r="K3407" s="521">
        <f>I3407-G3407</f>
        <v/>
      </c>
      <c r="M3407" s="522" t="inlineStr">
        <is>
          <t>171516</t>
        </is>
      </c>
      <c r="N3407" s="522" t="inlineStr"/>
      <c r="O3407" s="521">
        <f>M3407=N3407</f>
        <v/>
      </c>
      <c r="P3407" s="521">
        <f>AND(MONTH(F3407)=MONTH(S3407), YEAR(F3407)=YEAR(S3407))</f>
        <v/>
      </c>
      <c r="Q3407" s="521">
        <f>U3407="L001-901905215"</f>
        <v/>
      </c>
      <c r="R3407" s="556">
        <f>G3407-W3407</f>
        <v/>
      </c>
      <c r="S3407" s="521" t="n"/>
      <c r="T3407" s="522" t="n"/>
      <c r="U3407" s="522" t="n"/>
      <c r="V3407" s="522" t="n"/>
      <c r="W3407" s="521" t="n"/>
    </row>
    <row r="3408">
      <c r="A3408" s="521" t="n">
        <v>3400</v>
      </c>
      <c r="B3408" s="522" t="inlineStr">
        <is>
          <t>Storage charge</t>
        </is>
      </c>
      <c r="C3408" s="522" t="inlineStr">
        <is>
          <t>កំពង់ផែស្វយ័តក្រុងព្រះសីហនុ</t>
        </is>
      </c>
      <c r="D3408" s="522" t="inlineStr">
        <is>
          <t>L001-100044638</t>
        </is>
      </c>
      <c r="E3408" s="521" t="inlineStr">
        <is>
          <t>171988</t>
        </is>
      </c>
      <c r="F3408" s="523" t="n">
        <v>44485</v>
      </c>
      <c r="G3408" s="556" t="n">
        <v>14663</v>
      </c>
      <c r="I3408" s="521">
        <f>G3408</f>
        <v/>
      </c>
      <c r="K3408" s="521">
        <f>I3408-G3408</f>
        <v/>
      </c>
      <c r="M3408" s="522" t="inlineStr">
        <is>
          <t>171988</t>
        </is>
      </c>
      <c r="N3408" s="522" t="inlineStr"/>
      <c r="O3408" s="521">
        <f>M3408=N3408</f>
        <v/>
      </c>
      <c r="P3408" s="521">
        <f>AND(MONTH(F3408)=MONTH(S3408), YEAR(F3408)=YEAR(S3408))</f>
        <v/>
      </c>
      <c r="Q3408" s="521">
        <f>U3408="L001-901905215"</f>
        <v/>
      </c>
      <c r="R3408" s="556">
        <f>G3408-W3408</f>
        <v/>
      </c>
      <c r="S3408" s="521" t="n"/>
      <c r="T3408" s="522" t="n"/>
      <c r="U3408" s="522" t="n"/>
      <c r="V3408" s="522" t="n"/>
      <c r="W3408" s="521" t="n"/>
    </row>
    <row r="3409">
      <c r="A3409" s="521" t="n">
        <v>3401</v>
      </c>
      <c r="B3409" s="522" t="inlineStr">
        <is>
          <t>Lift on/Lift off</t>
        </is>
      </c>
      <c r="C3409" s="522" t="inlineStr">
        <is>
          <t>កំពង់ផែស្វយ័តក្រុងព្រះសីហនុ</t>
        </is>
      </c>
      <c r="D3409" s="522" t="inlineStr">
        <is>
          <t>L001-100044638</t>
        </is>
      </c>
      <c r="E3409" s="521" t="inlineStr">
        <is>
          <t>171520</t>
        </is>
      </c>
      <c r="F3409" s="523" t="n">
        <v>44484</v>
      </c>
      <c r="G3409" s="556" t="n">
        <v>35435</v>
      </c>
      <c r="I3409" s="521">
        <f>G3409</f>
        <v/>
      </c>
      <c r="K3409" s="521">
        <f>I3409-G3409</f>
        <v/>
      </c>
      <c r="M3409" s="522" t="inlineStr">
        <is>
          <t>171520</t>
        </is>
      </c>
      <c r="N3409" s="522" t="inlineStr"/>
      <c r="O3409" s="521">
        <f>M3409=N3409</f>
        <v/>
      </c>
      <c r="P3409" s="521">
        <f>AND(MONTH(F3409)=MONTH(S3409), YEAR(F3409)=YEAR(S3409))</f>
        <v/>
      </c>
      <c r="Q3409" s="521">
        <f>U3409="L001-901905215"</f>
        <v/>
      </c>
      <c r="R3409" s="556">
        <f>G3409-W3409</f>
        <v/>
      </c>
      <c r="S3409" s="521" t="n"/>
      <c r="T3409" s="522" t="n"/>
      <c r="U3409" s="522" t="n"/>
      <c r="V3409" s="522" t="n"/>
      <c r="W3409" s="521" t="n"/>
    </row>
    <row r="3410">
      <c r="A3410" s="521" t="n">
        <v>3402</v>
      </c>
      <c r="B3410" s="522" t="inlineStr">
        <is>
          <t>Storage charge</t>
        </is>
      </c>
      <c r="C3410" s="522" t="inlineStr">
        <is>
          <t>កំពង់ផែស្វយ័តក្រុងព្រះសីហនុ</t>
        </is>
      </c>
      <c r="D3410" s="522" t="inlineStr">
        <is>
          <t>L001-100044638</t>
        </is>
      </c>
      <c r="E3410" s="521" t="inlineStr">
        <is>
          <t>171514</t>
        </is>
      </c>
      <c r="F3410" s="523" t="n">
        <v>44484</v>
      </c>
      <c r="G3410" s="556" t="n">
        <v>54985</v>
      </c>
      <c r="I3410" s="521">
        <f>G3410</f>
        <v/>
      </c>
      <c r="K3410" s="521">
        <f>I3410-G3410</f>
        <v/>
      </c>
      <c r="M3410" s="522" t="inlineStr">
        <is>
          <t>171514</t>
        </is>
      </c>
      <c r="N3410" s="522" t="inlineStr"/>
      <c r="O3410" s="521">
        <f>M3410=N3410</f>
        <v/>
      </c>
      <c r="P3410" s="521">
        <f>AND(MONTH(F3410)=MONTH(S3410), YEAR(F3410)=YEAR(S3410))</f>
        <v/>
      </c>
      <c r="Q3410" s="521">
        <f>U3410="L001-901905215"</f>
        <v/>
      </c>
      <c r="R3410" s="556">
        <f>G3410-W3410</f>
        <v/>
      </c>
      <c r="S3410" s="521" t="n"/>
      <c r="T3410" s="522" t="n"/>
      <c r="U3410" s="522" t="n"/>
      <c r="V3410" s="522" t="n"/>
      <c r="W3410" s="521" t="n"/>
    </row>
    <row r="3411">
      <c r="A3411" s="521" t="n">
        <v>3403</v>
      </c>
      <c r="B3411" s="522" t="inlineStr">
        <is>
          <t>Storage charge</t>
        </is>
      </c>
      <c r="C3411" s="522" t="inlineStr">
        <is>
          <t>កំពង់ផែស្វយ័តក្រុងព្រះសីហនុ</t>
        </is>
      </c>
      <c r="D3411" s="522" t="inlineStr">
        <is>
          <t>L001-100044638</t>
        </is>
      </c>
      <c r="E3411" s="521" t="inlineStr">
        <is>
          <t>171989</t>
        </is>
      </c>
      <c r="F3411" s="523" t="n">
        <v>44485</v>
      </c>
      <c r="G3411" s="556" t="n">
        <v>2444</v>
      </c>
      <c r="I3411" s="521">
        <f>G3411</f>
        <v/>
      </c>
      <c r="K3411" s="521">
        <f>I3411-G3411</f>
        <v/>
      </c>
      <c r="M3411" s="522" t="inlineStr">
        <is>
          <t>171989</t>
        </is>
      </c>
      <c r="N3411" s="522" t="inlineStr"/>
      <c r="O3411" s="521">
        <f>M3411=N3411</f>
        <v/>
      </c>
      <c r="P3411" s="521">
        <f>AND(MONTH(F3411)=MONTH(S3411), YEAR(F3411)=YEAR(S3411))</f>
        <v/>
      </c>
      <c r="Q3411" s="521">
        <f>U3411="L001-901905215"</f>
        <v/>
      </c>
      <c r="R3411" s="556">
        <f>G3411-W3411</f>
        <v/>
      </c>
      <c r="S3411" s="521" t="n"/>
      <c r="T3411" s="522" t="n"/>
      <c r="U3411" s="522" t="n"/>
      <c r="V3411" s="522" t="n"/>
      <c r="W3411" s="521" t="n"/>
    </row>
    <row r="3412">
      <c r="A3412" s="521" t="n">
        <v>3404</v>
      </c>
      <c r="B3412" s="522" t="inlineStr">
        <is>
          <t>Storage charge</t>
        </is>
      </c>
      <c r="C3412" s="522" t="inlineStr">
        <is>
          <t>កំពង់ផែស្វយ័តក្រុងព្រះសីហនុ</t>
        </is>
      </c>
      <c r="D3412" s="522" t="inlineStr">
        <is>
          <t>L001-100044638</t>
        </is>
      </c>
      <c r="E3412" s="521" t="inlineStr">
        <is>
          <t>172028</t>
        </is>
      </c>
      <c r="F3412" s="523" t="n">
        <v>44486</v>
      </c>
      <c r="G3412" s="556" t="n">
        <v>9775</v>
      </c>
      <c r="I3412" s="521">
        <f>G3412</f>
        <v/>
      </c>
      <c r="K3412" s="521">
        <f>I3412-G3412</f>
        <v/>
      </c>
      <c r="M3412" s="522" t="inlineStr">
        <is>
          <t>172028</t>
        </is>
      </c>
      <c r="N3412" s="522" t="inlineStr"/>
      <c r="O3412" s="521">
        <f>M3412=N3412</f>
        <v/>
      </c>
      <c r="P3412" s="521">
        <f>AND(MONTH(F3412)=MONTH(S3412), YEAR(F3412)=YEAR(S3412))</f>
        <v/>
      </c>
      <c r="Q3412" s="521">
        <f>U3412="L001-901905215"</f>
        <v/>
      </c>
      <c r="R3412" s="556">
        <f>G3412-W3412</f>
        <v/>
      </c>
      <c r="S3412" s="521" t="n"/>
      <c r="T3412" s="522" t="n"/>
      <c r="U3412" s="522" t="n"/>
      <c r="V3412" s="522" t="n"/>
      <c r="W3412" s="521" t="n"/>
    </row>
    <row r="3413">
      <c r="A3413" s="521" t="n">
        <v>3405</v>
      </c>
      <c r="B3413" s="522" t="inlineStr">
        <is>
          <t>Storage charge</t>
        </is>
      </c>
      <c r="C3413" s="522" t="inlineStr">
        <is>
          <t>កំពង់ផែស្វយ័តក្រុងព្រះសីហនុ</t>
        </is>
      </c>
      <c r="D3413" s="522" t="inlineStr">
        <is>
          <t>L001-100044638</t>
        </is>
      </c>
      <c r="E3413" s="521" t="inlineStr">
        <is>
          <t>172408</t>
        </is>
      </c>
      <c r="F3413" s="523" t="n">
        <v>44487</v>
      </c>
      <c r="G3413" s="556" t="n">
        <v>9775</v>
      </c>
      <c r="I3413" s="521">
        <f>G3413</f>
        <v/>
      </c>
      <c r="K3413" s="521">
        <f>I3413-G3413</f>
        <v/>
      </c>
      <c r="M3413" s="522" t="inlineStr">
        <is>
          <t>172408</t>
        </is>
      </c>
      <c r="N3413" s="522" t="inlineStr"/>
      <c r="O3413" s="521">
        <f>M3413=N3413</f>
        <v/>
      </c>
      <c r="P3413" s="521">
        <f>AND(MONTH(F3413)=MONTH(S3413), YEAR(F3413)=YEAR(S3413))</f>
        <v/>
      </c>
      <c r="Q3413" s="521">
        <f>U3413="L001-901905215"</f>
        <v/>
      </c>
      <c r="R3413" s="556">
        <f>G3413-W3413</f>
        <v/>
      </c>
      <c r="S3413" s="521" t="n"/>
      <c r="T3413" s="522" t="n"/>
      <c r="U3413" s="522" t="n"/>
      <c r="V3413" s="522" t="n"/>
      <c r="W3413" s="521" t="n"/>
    </row>
    <row r="3414">
      <c r="A3414" s="521" t="n">
        <v>3406</v>
      </c>
      <c r="B3414" s="522" t="inlineStr">
        <is>
          <t>Storage charge</t>
        </is>
      </c>
      <c r="C3414" s="522" t="inlineStr">
        <is>
          <t>កំពង់ផែស្វយ័តក្រុងព្រះសីហនុ</t>
        </is>
      </c>
      <c r="D3414" s="522" t="inlineStr">
        <is>
          <t>L001-100044638</t>
        </is>
      </c>
      <c r="E3414" s="521" t="inlineStr">
        <is>
          <t>172623</t>
        </is>
      </c>
      <c r="F3414" s="523" t="n">
        <v>44488</v>
      </c>
      <c r="G3414" s="556" t="n">
        <v>2444</v>
      </c>
      <c r="I3414" s="521">
        <f>G3414</f>
        <v/>
      </c>
      <c r="K3414" s="521">
        <f>I3414-G3414</f>
        <v/>
      </c>
      <c r="M3414" s="522" t="inlineStr">
        <is>
          <t>172623</t>
        </is>
      </c>
      <c r="N3414" s="522" t="inlineStr"/>
      <c r="O3414" s="521">
        <f>M3414=N3414</f>
        <v/>
      </c>
      <c r="P3414" s="521">
        <f>AND(MONTH(F3414)=MONTH(S3414), YEAR(F3414)=YEAR(S3414))</f>
        <v/>
      </c>
      <c r="Q3414" s="521">
        <f>U3414="L001-901905215"</f>
        <v/>
      </c>
      <c r="R3414" s="556">
        <f>G3414-W3414</f>
        <v/>
      </c>
      <c r="S3414" s="521" t="n"/>
      <c r="T3414" s="522" t="n"/>
      <c r="U3414" s="522" t="n"/>
      <c r="V3414" s="522" t="n"/>
      <c r="W3414" s="521" t="n"/>
    </row>
    <row r="3415">
      <c r="A3415" s="521" t="n">
        <v>3407</v>
      </c>
      <c r="B3415" s="522" t="inlineStr">
        <is>
          <t>Storage charge</t>
        </is>
      </c>
      <c r="C3415" s="522" t="inlineStr">
        <is>
          <t>កំពង់ផែស្វយ័តក្រុងព្រះសីហនុ</t>
        </is>
      </c>
      <c r="D3415" s="522" t="inlineStr">
        <is>
          <t>L001-100044638</t>
        </is>
      </c>
      <c r="E3415" s="521" t="inlineStr">
        <is>
          <t>171991</t>
        </is>
      </c>
      <c r="F3415" s="523" t="n">
        <v>44485</v>
      </c>
      <c r="G3415" s="556" t="n">
        <v>9775</v>
      </c>
      <c r="I3415" s="521">
        <f>G3415</f>
        <v/>
      </c>
      <c r="K3415" s="521">
        <f>I3415-G3415</f>
        <v/>
      </c>
      <c r="M3415" s="522" t="inlineStr">
        <is>
          <t>171991</t>
        </is>
      </c>
      <c r="N3415" s="522" t="inlineStr"/>
      <c r="O3415" s="521">
        <f>M3415=N3415</f>
        <v/>
      </c>
      <c r="P3415" s="521">
        <f>AND(MONTH(F3415)=MONTH(S3415), YEAR(F3415)=YEAR(S3415))</f>
        <v/>
      </c>
      <c r="Q3415" s="521">
        <f>U3415="L001-901905215"</f>
        <v/>
      </c>
      <c r="R3415" s="556">
        <f>G3415-W3415</f>
        <v/>
      </c>
      <c r="S3415" s="521" t="n"/>
      <c r="T3415" s="522" t="n"/>
      <c r="U3415" s="522" t="n"/>
      <c r="V3415" s="522" t="n"/>
      <c r="W3415" s="521" t="n"/>
    </row>
    <row r="3416">
      <c r="A3416" s="521" t="n">
        <v>3408</v>
      </c>
      <c r="B3416" s="522" t="inlineStr">
        <is>
          <t>Storage charge</t>
        </is>
      </c>
      <c r="C3416" s="522" t="inlineStr">
        <is>
          <t>កំពង់ផែស្វយ័តក្រុងព្រះសីហនុ</t>
        </is>
      </c>
      <c r="D3416" s="522" t="inlineStr">
        <is>
          <t>L001-100044638</t>
        </is>
      </c>
      <c r="E3416" s="521" t="inlineStr">
        <is>
          <t>171517</t>
        </is>
      </c>
      <c r="F3416" s="523" t="n">
        <v>44484</v>
      </c>
      <c r="G3416" s="556" t="n">
        <v>229717</v>
      </c>
      <c r="I3416" s="521">
        <f>G3416</f>
        <v/>
      </c>
      <c r="K3416" s="521">
        <f>I3416-G3416</f>
        <v/>
      </c>
      <c r="M3416" s="522" t="inlineStr">
        <is>
          <t>171517</t>
        </is>
      </c>
      <c r="N3416" s="522" t="inlineStr"/>
      <c r="O3416" s="521">
        <f>M3416=N3416</f>
        <v/>
      </c>
      <c r="P3416" s="521">
        <f>AND(MONTH(F3416)=MONTH(S3416), YEAR(F3416)=YEAR(S3416))</f>
        <v/>
      </c>
      <c r="Q3416" s="521">
        <f>U3416="L001-901905215"</f>
        <v/>
      </c>
      <c r="R3416" s="556">
        <f>G3416-W3416</f>
        <v/>
      </c>
      <c r="S3416" s="521" t="n"/>
      <c r="T3416" s="522" t="n"/>
      <c r="U3416" s="522" t="n"/>
      <c r="V3416" s="522" t="n"/>
      <c r="W3416" s="521" t="n"/>
    </row>
    <row r="3417">
      <c r="A3417" s="521" t="n">
        <v>3409</v>
      </c>
      <c r="B3417" s="522" t="inlineStr">
        <is>
          <t>Storage charge</t>
        </is>
      </c>
      <c r="C3417" s="522" t="inlineStr">
        <is>
          <t>កំពង់ផែស្វយ័តក្រុងព្រះសីហនុ</t>
        </is>
      </c>
      <c r="D3417" s="522" t="inlineStr">
        <is>
          <t>L001-100044638</t>
        </is>
      </c>
      <c r="E3417" s="521" t="inlineStr">
        <is>
          <t>171523</t>
        </is>
      </c>
      <c r="F3417" s="523" t="n">
        <v>44484</v>
      </c>
      <c r="G3417" s="556" t="n">
        <v>114859</v>
      </c>
      <c r="I3417" s="521">
        <f>G3417</f>
        <v/>
      </c>
      <c r="K3417" s="521">
        <f>I3417-G3417</f>
        <v/>
      </c>
      <c r="M3417" s="522" t="inlineStr">
        <is>
          <t>171523</t>
        </is>
      </c>
      <c r="N3417" s="522" t="inlineStr"/>
      <c r="O3417" s="521">
        <f>M3417=N3417</f>
        <v/>
      </c>
      <c r="P3417" s="521">
        <f>AND(MONTH(F3417)=MONTH(S3417), YEAR(F3417)=YEAR(S3417))</f>
        <v/>
      </c>
      <c r="Q3417" s="521">
        <f>U3417="L001-901905215"</f>
        <v/>
      </c>
      <c r="R3417" s="556">
        <f>G3417-W3417</f>
        <v/>
      </c>
      <c r="S3417" s="521" t="n"/>
      <c r="T3417" s="522" t="n"/>
      <c r="U3417" s="522" t="n"/>
      <c r="V3417" s="522" t="n"/>
      <c r="W3417" s="521" t="n"/>
    </row>
    <row r="3418">
      <c r="A3418" s="521" t="n">
        <v>3410</v>
      </c>
      <c r="B3418" s="522" t="inlineStr">
        <is>
          <t>Storage charge</t>
        </is>
      </c>
      <c r="C3418" s="522" t="inlineStr">
        <is>
          <t>កំពង់ផែស្វយ័តក្រុងព្រះសីហនុ</t>
        </is>
      </c>
      <c r="D3418" s="522" t="inlineStr">
        <is>
          <t>L001-100044638</t>
        </is>
      </c>
      <c r="E3418" s="521" t="inlineStr">
        <is>
          <t>171987</t>
        </is>
      </c>
      <c r="F3418" s="523" t="n">
        <v>44485</v>
      </c>
      <c r="G3418" s="556" t="n">
        <v>4888</v>
      </c>
      <c r="I3418" s="521">
        <f>G3418</f>
        <v/>
      </c>
      <c r="K3418" s="521">
        <f>I3418-G3418</f>
        <v/>
      </c>
      <c r="M3418" s="522" t="inlineStr">
        <is>
          <t>171987</t>
        </is>
      </c>
      <c r="N3418" s="522" t="inlineStr"/>
      <c r="O3418" s="521">
        <f>M3418=N3418</f>
        <v/>
      </c>
      <c r="P3418" s="521">
        <f>AND(MONTH(F3418)=MONTH(S3418), YEAR(F3418)=YEAR(S3418))</f>
        <v/>
      </c>
      <c r="Q3418" s="521">
        <f>U3418="L001-901905215"</f>
        <v/>
      </c>
      <c r="R3418" s="556">
        <f>G3418-W3418</f>
        <v/>
      </c>
      <c r="S3418" s="521" t="n"/>
      <c r="T3418" s="522" t="n"/>
      <c r="U3418" s="522" t="n"/>
      <c r="V3418" s="522" t="n"/>
      <c r="W3418" s="521" t="n"/>
    </row>
    <row r="3419">
      <c r="A3419" s="521" t="n">
        <v>3411</v>
      </c>
      <c r="B3419" s="522" t="inlineStr">
        <is>
          <t>Lift on/Lift off</t>
        </is>
      </c>
      <c r="C3419" s="522" t="inlineStr">
        <is>
          <t>កំពង់ផែស្វយ័តក្រុងព្រះសីហនុ</t>
        </is>
      </c>
      <c r="D3419" s="522" t="inlineStr">
        <is>
          <t>L001-100044638</t>
        </is>
      </c>
      <c r="E3419" s="521" t="inlineStr">
        <is>
          <t>171984</t>
        </is>
      </c>
      <c r="F3419" s="523" t="n">
        <v>44485</v>
      </c>
      <c r="G3419" s="556" t="n">
        <v>153959</v>
      </c>
      <c r="I3419" s="521">
        <f>G3419</f>
        <v/>
      </c>
      <c r="K3419" s="521">
        <f>I3419-G3419</f>
        <v/>
      </c>
      <c r="M3419" s="522" t="inlineStr">
        <is>
          <t>171984</t>
        </is>
      </c>
      <c r="N3419" s="522" t="inlineStr"/>
      <c r="O3419" s="521">
        <f>M3419=N3419</f>
        <v/>
      </c>
      <c r="P3419" s="521">
        <f>AND(MONTH(F3419)=MONTH(S3419), YEAR(F3419)=YEAR(S3419))</f>
        <v/>
      </c>
      <c r="Q3419" s="521">
        <f>U3419="L001-901905215"</f>
        <v/>
      </c>
      <c r="R3419" s="556">
        <f>G3419-W3419</f>
        <v/>
      </c>
      <c r="S3419" s="521" t="n"/>
      <c r="T3419" s="522" t="n"/>
      <c r="U3419" s="522" t="n"/>
      <c r="V3419" s="522" t="n"/>
      <c r="W3419" s="521" t="n"/>
    </row>
    <row r="3420">
      <c r="A3420" s="521" t="n">
        <v>3412</v>
      </c>
      <c r="B3420" s="522" t="inlineStr">
        <is>
          <t>Monthly Security service</t>
        </is>
      </c>
      <c r="C3420" s="522" t="inlineStr">
        <is>
          <t>ភី.អិល (ខេមបូឌា) ស៊ីឃ្យួរឹធី</t>
        </is>
      </c>
      <c r="D3420" s="522" t="inlineStr">
        <is>
          <t>K010-901502809</t>
        </is>
      </c>
      <c r="E3420" s="521" t="inlineStr">
        <is>
          <t>PL000826</t>
        </is>
      </c>
      <c r="F3420" s="523" t="n">
        <v>44499</v>
      </c>
      <c r="G3420" s="556" t="n">
        <v>125909</v>
      </c>
      <c r="I3420" s="521">
        <f>G3420</f>
        <v/>
      </c>
      <c r="K3420" s="521">
        <f>I3420-G3420</f>
        <v/>
      </c>
      <c r="M3420" s="522" t="inlineStr">
        <is>
          <t>PL000826</t>
        </is>
      </c>
      <c r="N3420" s="522" t="inlineStr"/>
      <c r="O3420" s="521">
        <f>M3420=N3420</f>
        <v/>
      </c>
      <c r="P3420" s="521">
        <f>AND(MONTH(F3420)=MONTH(S3420), YEAR(F3420)=YEAR(S3420))</f>
        <v/>
      </c>
      <c r="Q3420" s="521">
        <f>U3420="L001-901905215"</f>
        <v/>
      </c>
      <c r="R3420" s="556">
        <f>G3420-W3420</f>
        <v/>
      </c>
      <c r="S3420" s="521" t="n"/>
      <c r="T3420" s="522" t="n"/>
      <c r="U3420" s="522" t="n"/>
      <c r="V3420" s="522" t="n"/>
      <c r="W3420" s="521" t="n"/>
    </row>
    <row r="3421">
      <c r="A3421" s="521" t="n">
        <v>3413</v>
      </c>
      <c r="B3421" s="522" t="inlineStr">
        <is>
          <t>Building rental charge and Management fee for Oct 2021</t>
        </is>
      </c>
      <c r="C3421" s="522" t="inlineStr">
        <is>
          <t>មេហ្គា លេបឹល &amp; ស្ទីកឃើរ (ខេមបូឌា)</t>
        </is>
      </c>
      <c r="D3421" s="522" t="inlineStr">
        <is>
          <t>L001-100185983</t>
        </is>
      </c>
      <c r="E3421" s="521" t="inlineStr">
        <is>
          <t>INV202110001</t>
        </is>
      </c>
      <c r="F3421" s="523" t="n">
        <v>44470</v>
      </c>
      <c r="G3421" s="556" t="n">
        <v>4556254</v>
      </c>
      <c r="I3421" s="521">
        <f>G3421</f>
        <v/>
      </c>
      <c r="K3421" s="521">
        <f>I3421-G3421</f>
        <v/>
      </c>
      <c r="M3421" s="522" t="inlineStr">
        <is>
          <t>INV202110001</t>
        </is>
      </c>
      <c r="N3421" s="522" t="inlineStr"/>
      <c r="O3421" s="521">
        <f>M3421=N3421</f>
        <v/>
      </c>
      <c r="P3421" s="521">
        <f>AND(MONTH(F3421)=MONTH(S3421), YEAR(F3421)=YEAR(S3421))</f>
        <v/>
      </c>
      <c r="Q3421" s="521">
        <f>U3421="L001-901905215"</f>
        <v/>
      </c>
      <c r="R3421" s="556">
        <f>G3421-W3421</f>
        <v/>
      </c>
      <c r="S3421" s="521" t="n"/>
      <c r="T3421" s="522" t="n"/>
      <c r="U3421" s="522" t="n"/>
      <c r="V3421" s="522" t="n"/>
      <c r="W3421" s="521" t="n"/>
    </row>
    <row r="3422">
      <c r="A3422" s="521" t="n">
        <v>3414</v>
      </c>
      <c r="B3422" s="522" t="inlineStr">
        <is>
          <t>Rental Machine for Sep-2021</t>
        </is>
      </c>
      <c r="C3422" s="522" t="inlineStr">
        <is>
          <t xml:space="preserve">អិនធីអិល តិចណូឡូជី </t>
        </is>
      </c>
      <c r="D3422" s="522" t="inlineStr">
        <is>
          <t>K005-901900283</t>
        </is>
      </c>
      <c r="E3422" s="521" t="inlineStr">
        <is>
          <t>21-002308</t>
        </is>
      </c>
      <c r="F3422" s="523" t="n">
        <v>44487</v>
      </c>
      <c r="G3422" s="556" t="n">
        <v>23558</v>
      </c>
      <c r="I3422" s="521">
        <f>G3422</f>
        <v/>
      </c>
      <c r="K3422" s="521">
        <f>I3422-G3422</f>
        <v/>
      </c>
      <c r="M3422" s="522" t="inlineStr">
        <is>
          <t>21002308</t>
        </is>
      </c>
      <c r="N3422" s="522" t="inlineStr"/>
      <c r="O3422" s="521">
        <f>M3422=N3422</f>
        <v/>
      </c>
      <c r="P3422" s="521">
        <f>AND(MONTH(F3422)=MONTH(S3422), YEAR(F3422)=YEAR(S3422))</f>
        <v/>
      </c>
      <c r="Q3422" s="521">
        <f>U3422="L001-901905215"</f>
        <v/>
      </c>
      <c r="R3422" s="556">
        <f>G3422-W3422</f>
        <v/>
      </c>
      <c r="S3422" s="521" t="n"/>
      <c r="T3422" s="522" t="n"/>
      <c r="U3422" s="522" t="n"/>
      <c r="V3422" s="522" t="n"/>
      <c r="W3422" s="521" t="n"/>
    </row>
    <row r="3423">
      <c r="A3423" s="521" t="n">
        <v>3415</v>
      </c>
      <c r="B3423" s="522" t="inlineStr">
        <is>
          <t>Rental Machine for Oct-2021</t>
        </is>
      </c>
      <c r="C3423" s="522" t="inlineStr">
        <is>
          <t xml:space="preserve">អិនធីអិល តិចណូឡូជី </t>
        </is>
      </c>
      <c r="D3423" s="522" t="inlineStr">
        <is>
          <t>K005-901900283</t>
        </is>
      </c>
      <c r="E3423" s="521" t="inlineStr">
        <is>
          <t>21-002616</t>
        </is>
      </c>
      <c r="F3423" s="523" t="n">
        <v>44489</v>
      </c>
      <c r="G3423" s="556" t="n">
        <v>21356</v>
      </c>
      <c r="I3423" s="521">
        <f>G3423</f>
        <v/>
      </c>
      <c r="K3423" s="521">
        <f>I3423-G3423</f>
        <v/>
      </c>
      <c r="M3423" s="522" t="inlineStr">
        <is>
          <t>21002616</t>
        </is>
      </c>
      <c r="N3423" s="522" t="inlineStr">
        <is>
          <t>21002616</t>
        </is>
      </c>
      <c r="O3423" s="521">
        <f>M3423=N3423</f>
        <v/>
      </c>
      <c r="P3423" s="521">
        <f>AND(MONTH(F3423)=MONTH(S3423), YEAR(F3423)=YEAR(S3423))</f>
        <v/>
      </c>
      <c r="Q3423" s="521">
        <f>U3423="L001-901905215"</f>
        <v/>
      </c>
      <c r="R3423" s="556">
        <f>G3423-W3423</f>
        <v/>
      </c>
      <c r="S3423" s="523" t="n">
        <v>44489</v>
      </c>
      <c r="T3423" s="522" t="inlineStr">
        <is>
          <t>21-002616</t>
        </is>
      </c>
      <c r="U3423" s="522" t="inlineStr">
        <is>
          <t>L001-901905215</t>
        </is>
      </c>
      <c r="V3423" s="522" t="inlineStr">
        <is>
          <t>វីអ៊ីស៊ិន (ខេមបូឌា) អ៊ិនដាសស្ទ្រី ឯ.ក</t>
        </is>
      </c>
      <c r="W3423" s="556" t="n">
        <v>21356</v>
      </c>
    </row>
    <row r="3424">
      <c r="A3424" s="521" t="n">
        <v>3416</v>
      </c>
      <c r="B3424" s="522" t="inlineStr">
        <is>
          <t>Waste collection service for Oct 2021</t>
        </is>
      </c>
      <c r="C3424" s="522" t="inlineStr">
        <is>
          <t>ហ្គោមី រីសាយឃល110</t>
        </is>
      </c>
      <c r="D3424" s="522" t="inlineStr">
        <is>
          <t>K010-901503890</t>
        </is>
      </c>
      <c r="E3424" s="521" t="inlineStr">
        <is>
          <t>GR-TIN21/10-016</t>
        </is>
      </c>
      <c r="F3424" s="523" t="n">
        <v>44498</v>
      </c>
      <c r="G3424" s="556" t="n">
        <v>16264</v>
      </c>
      <c r="I3424" s="521">
        <f>G3424</f>
        <v/>
      </c>
      <c r="K3424" s="521">
        <f>I3424-G3424</f>
        <v/>
      </c>
      <c r="M3424" s="522" t="inlineStr">
        <is>
          <t>GRTIN2110016</t>
        </is>
      </c>
      <c r="N3424" s="522" t="inlineStr">
        <is>
          <t>GRTIN2110016</t>
        </is>
      </c>
      <c r="O3424" s="521">
        <f>M3424=N3424</f>
        <v/>
      </c>
      <c r="P3424" s="521">
        <f>AND(MONTH(F3424)=MONTH(S3424), YEAR(F3424)=YEAR(S3424))</f>
        <v/>
      </c>
      <c r="Q3424" s="521">
        <f>U3424="L001-901905215"</f>
        <v/>
      </c>
      <c r="R3424" s="556">
        <f>G3424-W3424</f>
        <v/>
      </c>
      <c r="S3424" s="523" t="n">
        <v>44498</v>
      </c>
      <c r="T3424" s="522" t="inlineStr">
        <is>
          <t>GR-TIN21/10-016</t>
        </is>
      </c>
      <c r="U3424" s="522" t="inlineStr">
        <is>
          <t>L001-901905215</t>
        </is>
      </c>
      <c r="V3424" s="522" t="inlineStr">
        <is>
          <t>វីអ៊ីស៊ិន (ខេមបូឌា) អ៊ិនដាសស្ទ្រី ឯ.ក</t>
        </is>
      </c>
      <c r="W3424" s="556" t="n">
        <v>16264</v>
      </c>
    </row>
    <row r="3425">
      <c r="A3425" s="521" t="n">
        <v>3417</v>
      </c>
      <c r="B3425" s="522" t="inlineStr">
        <is>
          <t>Mothly Security service</t>
        </is>
      </c>
      <c r="C3425" s="522" t="inlineStr">
        <is>
          <t>ភី.អិល (ខេមបូឌា) ស៊ីឃ្យួរឹធី</t>
        </is>
      </c>
      <c r="D3425" s="522" t="inlineStr">
        <is>
          <t>K010-901502809</t>
        </is>
      </c>
      <c r="E3425" s="521" t="inlineStr">
        <is>
          <t>PL000795</t>
        </is>
      </c>
      <c r="F3425" s="523" t="n">
        <v>44470</v>
      </c>
      <c r="G3425" s="556" t="n">
        <v>203300</v>
      </c>
      <c r="I3425" s="521">
        <f>G3425</f>
        <v/>
      </c>
      <c r="K3425" s="521">
        <f>I3425-G3425</f>
        <v/>
      </c>
      <c r="M3425" s="522" t="inlineStr">
        <is>
          <t>PL000795</t>
        </is>
      </c>
      <c r="N3425" s="522" t="inlineStr"/>
      <c r="O3425" s="521">
        <f>M3425=N3425</f>
        <v/>
      </c>
      <c r="P3425" s="521">
        <f>AND(MONTH(F3425)=MONTH(S3425), YEAR(F3425)=YEAR(S3425))</f>
        <v/>
      </c>
      <c r="Q3425" s="521">
        <f>U3425="L001-901905215"</f>
        <v/>
      </c>
      <c r="R3425" s="556">
        <f>G3425-W3425</f>
        <v/>
      </c>
      <c r="S3425" s="521" t="n"/>
      <c r="T3425" s="522" t="n"/>
      <c r="U3425" s="522" t="n"/>
      <c r="V3425" s="522" t="n"/>
      <c r="W3425" s="521" t="n"/>
    </row>
    <row r="3426">
      <c r="A3426" s="521" t="n">
        <v>3418</v>
      </c>
      <c r="B3426" s="522" t="inlineStr">
        <is>
          <t>General pest control service on oct 2021</t>
        </is>
      </c>
      <c r="C3426" s="522" t="inlineStr">
        <is>
          <t>ភីស៊ីអាយ សឺវីស</t>
        </is>
      </c>
      <c r="D3426" s="522" t="inlineStr">
        <is>
          <t>K010-901639639</t>
        </is>
      </c>
      <c r="E3426" s="521" t="inlineStr">
        <is>
          <t>2021-0189</t>
        </is>
      </c>
      <c r="F3426" s="523" t="n">
        <v>44487</v>
      </c>
      <c r="G3426" s="556" t="n">
        <v>80960</v>
      </c>
      <c r="I3426" s="521">
        <f>G3426</f>
        <v/>
      </c>
      <c r="K3426" s="521">
        <f>I3426-G3426</f>
        <v/>
      </c>
      <c r="M3426" s="522" t="inlineStr">
        <is>
          <t>20210189</t>
        </is>
      </c>
      <c r="N3426" s="522" t="inlineStr"/>
      <c r="O3426" s="521">
        <f>M3426=N3426</f>
        <v/>
      </c>
      <c r="P3426" s="521">
        <f>AND(MONTH(F3426)=MONTH(S3426), YEAR(F3426)=YEAR(S3426))</f>
        <v/>
      </c>
      <c r="Q3426" s="521">
        <f>U3426="L001-901905215"</f>
        <v/>
      </c>
      <c r="R3426" s="556">
        <f>G3426-W3426</f>
        <v/>
      </c>
      <c r="S3426" s="521" t="n"/>
      <c r="T3426" s="522" t="n"/>
      <c r="U3426" s="522" t="n"/>
      <c r="V3426" s="522" t="n"/>
      <c r="W3426" s="521" t="n"/>
    </row>
    <row r="3427">
      <c r="A3427" s="521" t="n">
        <v>3419</v>
      </c>
      <c r="B3427" s="522" t="inlineStr">
        <is>
          <t>Sticker</t>
        </is>
      </c>
      <c r="C3427" s="522" t="inlineStr">
        <is>
          <t>ហេង កៃ (ខេមបូឌា) ព្រីនធីង</t>
        </is>
      </c>
      <c r="D3427" s="522" t="inlineStr">
        <is>
          <t>K010-901504622</t>
        </is>
      </c>
      <c r="E3427" s="521" t="inlineStr">
        <is>
          <t>2100133</t>
        </is>
      </c>
      <c r="F3427" s="523" t="n">
        <v>44499</v>
      </c>
      <c r="G3427" s="556" t="n">
        <v>2241030</v>
      </c>
      <c r="I3427" s="521">
        <f>G3427</f>
        <v/>
      </c>
      <c r="K3427" s="521">
        <f>I3427-G3427</f>
        <v/>
      </c>
      <c r="M3427" s="522" t="inlineStr">
        <is>
          <t>2100133</t>
        </is>
      </c>
      <c r="N3427" s="522" t="inlineStr">
        <is>
          <t>2100133</t>
        </is>
      </c>
      <c r="O3427" s="521">
        <f>M3427=N3427</f>
        <v/>
      </c>
      <c r="P3427" s="521">
        <f>AND(MONTH(F3427)=MONTH(S3427), YEAR(F3427)=YEAR(S3427))</f>
        <v/>
      </c>
      <c r="Q3427" s="521">
        <f>U3427="L001-901905215"</f>
        <v/>
      </c>
      <c r="R3427" s="556">
        <f>G3427-W3427</f>
        <v/>
      </c>
      <c r="S3427" s="523" t="n">
        <v>44499</v>
      </c>
      <c r="T3427" s="522" t="inlineStr">
        <is>
          <t>2100133</t>
        </is>
      </c>
      <c r="U3427" s="522" t="inlineStr">
        <is>
          <t>L001-901905215</t>
        </is>
      </c>
      <c r="V3427" s="522" t="inlineStr">
        <is>
          <t>វីអ៊ីស៊ិន (ខេមបូឌា) អ៊ិនដាសស្ទ្រី ឯ.ក</t>
        </is>
      </c>
      <c r="W3427" s="556" t="n">
        <v>2241030</v>
      </c>
    </row>
    <row r="3428">
      <c r="A3428" s="521" t="n">
        <v>3420</v>
      </c>
      <c r="B3428" s="522" t="inlineStr">
        <is>
          <t>Express fee</t>
        </is>
      </c>
      <c r="C3428" s="522" t="inlineStr">
        <is>
          <t>ឌី អេច អិល អិចប្រេស (ខេមបូឌា)</t>
        </is>
      </c>
      <c r="D3428" s="522" t="inlineStr">
        <is>
          <t>L001-100045197</t>
        </is>
      </c>
      <c r="E3428" s="521" t="inlineStr">
        <is>
          <t>PNHR000398504</t>
        </is>
      </c>
      <c r="F3428" s="523" t="n">
        <v>44490</v>
      </c>
      <c r="G3428" s="556" t="n">
        <v>86005</v>
      </c>
      <c r="I3428" s="521">
        <f>G3428</f>
        <v/>
      </c>
      <c r="K3428" s="521">
        <f>I3428-G3428</f>
        <v/>
      </c>
      <c r="M3428" s="522" t="inlineStr">
        <is>
          <t>PNHR000398504</t>
        </is>
      </c>
      <c r="N3428" s="522" t="inlineStr"/>
      <c r="O3428" s="521">
        <f>M3428=N3428</f>
        <v/>
      </c>
      <c r="P3428" s="521">
        <f>AND(MONTH(F3428)=MONTH(S3428), YEAR(F3428)=YEAR(S3428))</f>
        <v/>
      </c>
      <c r="Q3428" s="521">
        <f>U3428="L001-901905215"</f>
        <v/>
      </c>
      <c r="R3428" s="556">
        <f>G3428-W3428</f>
        <v/>
      </c>
      <c r="S3428" s="521" t="n"/>
      <c r="T3428" s="522" t="n"/>
      <c r="U3428" s="522" t="n"/>
      <c r="V3428" s="522" t="n"/>
      <c r="W3428" s="521" t="n"/>
    </row>
    <row r="3429">
      <c r="A3429" s="521" t="n">
        <v>3421</v>
      </c>
      <c r="B3429" s="522" t="inlineStr">
        <is>
          <t>Express fee</t>
        </is>
      </c>
      <c r="C3429" s="522" t="inlineStr">
        <is>
          <t>ឌី អេច អិល អិចប្រេស (ខេមបូឌា)</t>
        </is>
      </c>
      <c r="D3429" s="522" t="inlineStr">
        <is>
          <t>L001-100045197</t>
        </is>
      </c>
      <c r="E3429" s="521" t="inlineStr">
        <is>
          <t>PNHR000397797</t>
        </is>
      </c>
      <c r="F3429" s="523" t="n">
        <v>44483</v>
      </c>
      <c r="G3429" s="556" t="n">
        <v>36759</v>
      </c>
      <c r="I3429" s="521">
        <f>G3429</f>
        <v/>
      </c>
      <c r="K3429" s="521">
        <f>I3429-G3429</f>
        <v/>
      </c>
      <c r="M3429" s="522" t="inlineStr">
        <is>
          <t>PNHR000397797</t>
        </is>
      </c>
      <c r="N3429" s="522" t="inlineStr"/>
      <c r="O3429" s="521">
        <f>M3429=N3429</f>
        <v/>
      </c>
      <c r="P3429" s="521">
        <f>AND(MONTH(F3429)=MONTH(S3429), YEAR(F3429)=YEAR(S3429))</f>
        <v/>
      </c>
      <c r="Q3429" s="521">
        <f>U3429="L001-901905215"</f>
        <v/>
      </c>
      <c r="R3429" s="556">
        <f>G3429-W3429</f>
        <v/>
      </c>
      <c r="S3429" s="521" t="n"/>
      <c r="T3429" s="522" t="n"/>
      <c r="U3429" s="522" t="n"/>
      <c r="V3429" s="522" t="n"/>
      <c r="W3429" s="521" t="n"/>
    </row>
    <row r="3430">
      <c r="A3430" s="521" t="n">
        <v>3422</v>
      </c>
      <c r="B3430" s="522" t="inlineStr">
        <is>
          <t>Express fee</t>
        </is>
      </c>
      <c r="C3430" s="522" t="inlineStr">
        <is>
          <t>ឌី អេច អិល អិចប្រេស (ខេមបូឌា)</t>
        </is>
      </c>
      <c r="D3430" s="522" t="inlineStr">
        <is>
          <t>L001-100045197</t>
        </is>
      </c>
      <c r="E3430" s="521" t="inlineStr">
        <is>
          <t>PNHR000397110</t>
        </is>
      </c>
      <c r="F3430" s="523" t="n">
        <v>44476</v>
      </c>
      <c r="G3430" s="556" t="n">
        <v>44778</v>
      </c>
      <c r="I3430" s="521">
        <f>G3430</f>
        <v/>
      </c>
      <c r="K3430" s="521">
        <f>I3430-G3430</f>
        <v/>
      </c>
      <c r="M3430" s="522" t="inlineStr">
        <is>
          <t>PNHR000397110</t>
        </is>
      </c>
      <c r="N3430" s="522" t="inlineStr"/>
      <c r="O3430" s="521">
        <f>M3430=N3430</f>
        <v/>
      </c>
      <c r="P3430" s="521">
        <f>AND(MONTH(F3430)=MONTH(S3430), YEAR(F3430)=YEAR(S3430))</f>
        <v/>
      </c>
      <c r="Q3430" s="521">
        <f>U3430="L001-901905215"</f>
        <v/>
      </c>
      <c r="R3430" s="556">
        <f>G3430-W3430</f>
        <v/>
      </c>
      <c r="S3430" s="521" t="n"/>
      <c r="T3430" s="522" t="n"/>
      <c r="U3430" s="522" t="n"/>
      <c r="V3430" s="522" t="n"/>
      <c r="W3430" s="521" t="n"/>
    </row>
    <row r="3431">
      <c r="A3431" s="521" t="n">
        <v>3423</v>
      </c>
      <c r="B3431" s="522" t="inlineStr">
        <is>
          <t>Express fee</t>
        </is>
      </c>
      <c r="C3431" s="522" t="inlineStr">
        <is>
          <t>ឌី អេច អិល អិចប្រេស (ខេមបូឌា)</t>
        </is>
      </c>
      <c r="D3431" s="522" t="inlineStr">
        <is>
          <t>L001-100045197</t>
        </is>
      </c>
      <c r="E3431" s="521" t="inlineStr">
        <is>
          <t>PNHR000395535</t>
        </is>
      </c>
      <c r="F3431" s="523" t="n">
        <v>44470</v>
      </c>
      <c r="G3431" s="556" t="n">
        <v>8708</v>
      </c>
      <c r="I3431" s="521">
        <f>G3431</f>
        <v/>
      </c>
      <c r="K3431" s="521">
        <f>I3431-G3431</f>
        <v/>
      </c>
      <c r="M3431" s="522" t="inlineStr">
        <is>
          <t>PNHR000395535</t>
        </is>
      </c>
      <c r="N3431" s="522" t="inlineStr"/>
      <c r="O3431" s="521">
        <f>M3431=N3431</f>
        <v/>
      </c>
      <c r="P3431" s="521">
        <f>AND(MONTH(F3431)=MONTH(S3431), YEAR(F3431)=YEAR(S3431))</f>
        <v/>
      </c>
      <c r="Q3431" s="521">
        <f>U3431="L001-901905215"</f>
        <v/>
      </c>
      <c r="R3431" s="556">
        <f>G3431-W3431</f>
        <v/>
      </c>
      <c r="S3431" s="521" t="n"/>
      <c r="T3431" s="522" t="n"/>
      <c r="U3431" s="522" t="n"/>
      <c r="V3431" s="522" t="n"/>
      <c r="W3431" s="521" t="n"/>
    </row>
    <row r="3432">
      <c r="A3432" s="521" t="n">
        <v>3424</v>
      </c>
      <c r="B3432" s="522" t="inlineStr">
        <is>
          <t>Express fee</t>
        </is>
      </c>
      <c r="C3432" s="522" t="inlineStr">
        <is>
          <t>ឌី អេច អិល អិចប្រេស (ខេមបូឌា)</t>
        </is>
      </c>
      <c r="D3432" s="522" t="inlineStr">
        <is>
          <t>L001-100045197</t>
        </is>
      </c>
      <c r="E3432" s="521" t="inlineStr">
        <is>
          <t>PNHR000394678</t>
        </is>
      </c>
      <c r="F3432" s="523" t="n">
        <v>44470</v>
      </c>
      <c r="G3432" s="556" t="n">
        <v>15928</v>
      </c>
      <c r="I3432" s="521">
        <f>G3432</f>
        <v/>
      </c>
      <c r="K3432" s="521">
        <f>I3432-G3432</f>
        <v/>
      </c>
      <c r="M3432" s="522" t="inlineStr">
        <is>
          <t>PNHR000394678</t>
        </is>
      </c>
      <c r="N3432" s="522" t="inlineStr"/>
      <c r="O3432" s="521">
        <f>M3432=N3432</f>
        <v/>
      </c>
      <c r="P3432" s="521">
        <f>AND(MONTH(F3432)=MONTH(S3432), YEAR(F3432)=YEAR(S3432))</f>
        <v/>
      </c>
      <c r="Q3432" s="521">
        <f>U3432="L001-901905215"</f>
        <v/>
      </c>
      <c r="R3432" s="556">
        <f>G3432-W3432</f>
        <v/>
      </c>
      <c r="S3432" s="521" t="n"/>
      <c r="T3432" s="522" t="n"/>
      <c r="U3432" s="522" t="n"/>
      <c r="V3432" s="522" t="n"/>
      <c r="W3432" s="521" t="n"/>
    </row>
    <row r="3433">
      <c r="A3433" s="521" t="n">
        <v>3425</v>
      </c>
      <c r="B3433" s="522" t="inlineStr">
        <is>
          <t>Express Fee</t>
        </is>
      </c>
      <c r="C3433" s="522" t="inlineStr">
        <is>
          <t>ឌី អេច អិល អិចប្រេស (ខេមបូឌា)</t>
        </is>
      </c>
      <c r="D3433" s="522" t="inlineStr">
        <is>
          <t>L001-100045197</t>
        </is>
      </c>
      <c r="E3433" s="521" t="inlineStr">
        <is>
          <t>PNHR000437770</t>
        </is>
      </c>
      <c r="F3433" s="523" t="n">
        <v>44840</v>
      </c>
      <c r="G3433" s="556" t="n">
        <v>5522</v>
      </c>
      <c r="I3433" s="521">
        <f>G3433</f>
        <v/>
      </c>
      <c r="K3433" s="521">
        <f>I3433-G3433</f>
        <v/>
      </c>
      <c r="M3433" s="522" t="inlineStr">
        <is>
          <t>PNHR000437770</t>
        </is>
      </c>
      <c r="N3433" s="522" t="inlineStr">
        <is>
          <t>PNHR000437770</t>
        </is>
      </c>
      <c r="O3433" s="521">
        <f>M3433=N3433</f>
        <v/>
      </c>
      <c r="P3433" s="521">
        <f>AND(MONTH(F3433)=MONTH(S3433), YEAR(F3433)=YEAR(S3433))</f>
        <v/>
      </c>
      <c r="Q3433" s="521">
        <f>U3433="L001-901905215"</f>
        <v/>
      </c>
      <c r="R3433" s="556">
        <f>G3433-W3433</f>
        <v/>
      </c>
      <c r="S3433" s="523" t="n">
        <v>44840</v>
      </c>
      <c r="T3433" s="522" t="inlineStr">
        <is>
          <t>PNHR000437770.</t>
        </is>
      </c>
      <c r="U3433" s="522" t="inlineStr">
        <is>
          <t>L001-901905215</t>
        </is>
      </c>
      <c r="V3433" s="522" t="inlineStr">
        <is>
          <t>វីអ៊ីស៊ិន (ខេមបូឌា) អ៊ិនដាសស្ទ្រី ឯ.ក</t>
        </is>
      </c>
      <c r="W3433" s="556" t="n">
        <v>0</v>
      </c>
    </row>
    <row r="3434">
      <c r="A3434" s="521" t="n">
        <v>3426</v>
      </c>
      <c r="B3434" s="522" t="inlineStr">
        <is>
          <t>Clearance &amp; Trucking Fee</t>
        </is>
      </c>
      <c r="C3434" s="522" t="inlineStr">
        <is>
          <t>ឃីតរ៉ាវ៉ាន (ខេមបូឌា)​ឡូជីស្ទីក​ ឯ.ក</t>
        </is>
      </c>
      <c r="D3434" s="522" t="inlineStr">
        <is>
          <t>K002-901638806</t>
        </is>
      </c>
      <c r="E3434" s="521" t="inlineStr">
        <is>
          <t>KW2210/0046</t>
        </is>
      </c>
      <c r="F3434" s="523" t="n">
        <v>44858</v>
      </c>
      <c r="G3434" s="556" t="n">
        <v>236265</v>
      </c>
      <c r="I3434" s="521">
        <f>G3434</f>
        <v/>
      </c>
      <c r="K3434" s="521">
        <f>I3434-G3434</f>
        <v/>
      </c>
      <c r="M3434" s="522" t="inlineStr">
        <is>
          <t>KW22100046</t>
        </is>
      </c>
      <c r="N3434" s="522" t="inlineStr">
        <is>
          <t>KW22100046</t>
        </is>
      </c>
      <c r="O3434" s="521">
        <f>M3434=N3434</f>
        <v/>
      </c>
      <c r="P3434" s="521">
        <f>AND(MONTH(F3434)=MONTH(S3434), YEAR(F3434)=YEAR(S3434))</f>
        <v/>
      </c>
      <c r="Q3434" s="521">
        <f>U3434="L001-901905215"</f>
        <v/>
      </c>
      <c r="R3434" s="556">
        <f>G3434-W3434</f>
        <v/>
      </c>
      <c r="S3434" s="523" t="n">
        <v>44858</v>
      </c>
      <c r="T3434" s="522" t="inlineStr">
        <is>
          <t>KW2210/0046</t>
        </is>
      </c>
      <c r="U3434" s="522" t="inlineStr">
        <is>
          <t>L001-901905215</t>
        </is>
      </c>
      <c r="V3434" s="522" t="inlineStr">
        <is>
          <t>វីអ៊ីស៊ិន (ខេមបូឌា) អ៊ិនដាសស្ទ្រី ឯ.ក</t>
        </is>
      </c>
      <c r="W3434" s="556" t="n">
        <v>236265</v>
      </c>
    </row>
    <row r="3435">
      <c r="A3435" s="521" t="n">
        <v>3427</v>
      </c>
      <c r="B3435" s="522" t="inlineStr">
        <is>
          <t>Clearance &amp; Trucking Fee</t>
        </is>
      </c>
      <c r="C3435" s="522" t="inlineStr">
        <is>
          <t>ឃីតរ៉ាវ៉ាន (ខេមបូឌា)​ឡូជីស្ទីក​ ឯ.ក</t>
        </is>
      </c>
      <c r="D3435" s="522" t="inlineStr">
        <is>
          <t>K002-901638806</t>
        </is>
      </c>
      <c r="E3435" s="521" t="inlineStr">
        <is>
          <t>KW2210/0045</t>
        </is>
      </c>
      <c r="F3435" s="523" t="n">
        <v>44858</v>
      </c>
      <c r="G3435" s="556" t="n">
        <v>472530</v>
      </c>
      <c r="I3435" s="521">
        <f>G3435</f>
        <v/>
      </c>
      <c r="K3435" s="521">
        <f>I3435-G3435</f>
        <v/>
      </c>
      <c r="M3435" s="522" t="inlineStr">
        <is>
          <t>KW22100045</t>
        </is>
      </c>
      <c r="N3435" s="522" t="inlineStr">
        <is>
          <t>KW22100045</t>
        </is>
      </c>
      <c r="O3435" s="521">
        <f>M3435=N3435</f>
        <v/>
      </c>
      <c r="P3435" s="521">
        <f>AND(MONTH(F3435)=MONTH(S3435), YEAR(F3435)=YEAR(S3435))</f>
        <v/>
      </c>
      <c r="Q3435" s="521">
        <f>U3435="L001-901905215"</f>
        <v/>
      </c>
      <c r="R3435" s="556">
        <f>G3435-W3435</f>
        <v/>
      </c>
      <c r="S3435" s="523" t="n">
        <v>44858</v>
      </c>
      <c r="T3435" s="522" t="inlineStr">
        <is>
          <t>KW2210/0045</t>
        </is>
      </c>
      <c r="U3435" s="522" t="inlineStr">
        <is>
          <t>L001-901905215</t>
        </is>
      </c>
      <c r="V3435" s="522" t="inlineStr">
        <is>
          <t>វីអ៊ីស៊ិន (ខេមបូឌា) អ៊ិនដាសស្ទ្រី ឯ.ក</t>
        </is>
      </c>
      <c r="W3435" s="556" t="n">
        <v>472530</v>
      </c>
    </row>
    <row r="3436">
      <c r="A3436" s="521" t="n">
        <v>3428</v>
      </c>
      <c r="B3436" s="522" t="inlineStr">
        <is>
          <t>Clearance &amp; Trucking Fee</t>
        </is>
      </c>
      <c r="C3436" s="522" t="inlineStr">
        <is>
          <t>ឃីតរ៉ាវ៉ាន (ខេមបូឌា)​ឡូជីស្ទីក​ ឯ.ក</t>
        </is>
      </c>
      <c r="D3436" s="522" t="inlineStr">
        <is>
          <t>K002-901638806</t>
        </is>
      </c>
      <c r="E3436" s="521" t="inlineStr">
        <is>
          <t>KW2210/0044</t>
        </is>
      </c>
      <c r="F3436" s="523" t="n">
        <v>44858</v>
      </c>
      <c r="G3436" s="556" t="n">
        <v>236265</v>
      </c>
      <c r="I3436" s="521">
        <f>G3436</f>
        <v/>
      </c>
      <c r="K3436" s="521">
        <f>I3436-G3436</f>
        <v/>
      </c>
      <c r="M3436" s="522" t="inlineStr">
        <is>
          <t>KW22100044</t>
        </is>
      </c>
      <c r="N3436" s="522" t="inlineStr">
        <is>
          <t>KW22100044</t>
        </is>
      </c>
      <c r="O3436" s="521">
        <f>M3436=N3436</f>
        <v/>
      </c>
      <c r="P3436" s="521">
        <f>AND(MONTH(F3436)=MONTH(S3436), YEAR(F3436)=YEAR(S3436))</f>
        <v/>
      </c>
      <c r="Q3436" s="521">
        <f>U3436="L001-901905215"</f>
        <v/>
      </c>
      <c r="R3436" s="556">
        <f>G3436-W3436</f>
        <v/>
      </c>
      <c r="S3436" s="523" t="n">
        <v>44858</v>
      </c>
      <c r="T3436" s="522" t="inlineStr">
        <is>
          <t>KW2210/0044</t>
        </is>
      </c>
      <c r="U3436" s="522" t="inlineStr">
        <is>
          <t>L001-901905215</t>
        </is>
      </c>
      <c r="V3436" s="522" t="inlineStr">
        <is>
          <t>វីអ៊ីស៊ិន (ខេមបូឌា) អ៊ិនដាសស្ទ្រី ឯ.ក</t>
        </is>
      </c>
      <c r="W3436" s="556" t="n">
        <v>236265</v>
      </c>
    </row>
    <row r="3437">
      <c r="A3437" s="521" t="n">
        <v>3429</v>
      </c>
      <c r="B3437" s="522" t="inlineStr">
        <is>
          <t>Clearance &amp; Trucking Fee</t>
        </is>
      </c>
      <c r="C3437" s="522" t="inlineStr">
        <is>
          <t>ឃីតរ៉ាវ៉ាន (ខេមបូឌា)​ឡូជីស្ទីក​ ឯ.ក</t>
        </is>
      </c>
      <c r="D3437" s="522" t="inlineStr">
        <is>
          <t>K002-901638806</t>
        </is>
      </c>
      <c r="E3437" s="521" t="inlineStr">
        <is>
          <t>KW2210/0043</t>
        </is>
      </c>
      <c r="F3437" s="523" t="n">
        <v>44858</v>
      </c>
      <c r="G3437" s="556" t="n">
        <v>236265</v>
      </c>
      <c r="I3437" s="521">
        <f>G3437</f>
        <v/>
      </c>
      <c r="K3437" s="521">
        <f>I3437-G3437</f>
        <v/>
      </c>
      <c r="M3437" s="522" t="inlineStr">
        <is>
          <t>KW22100043</t>
        </is>
      </c>
      <c r="N3437" s="522" t="inlineStr">
        <is>
          <t>KW22100043</t>
        </is>
      </c>
      <c r="O3437" s="521">
        <f>M3437=N3437</f>
        <v/>
      </c>
      <c r="P3437" s="521">
        <f>AND(MONTH(F3437)=MONTH(S3437), YEAR(F3437)=YEAR(S3437))</f>
        <v/>
      </c>
      <c r="Q3437" s="521">
        <f>U3437="L001-901905215"</f>
        <v/>
      </c>
      <c r="R3437" s="556">
        <f>G3437-W3437</f>
        <v/>
      </c>
      <c r="S3437" s="523" t="n">
        <v>44858</v>
      </c>
      <c r="T3437" s="522" t="inlineStr">
        <is>
          <t>KW2210/0043</t>
        </is>
      </c>
      <c r="U3437" s="522" t="inlineStr">
        <is>
          <t>L001-901905215</t>
        </is>
      </c>
      <c r="V3437" s="522" t="inlineStr">
        <is>
          <t>វីអ៊ីស៊ិន (ខេមបូឌា) អ៊ិនដាសស្ទ្រី ឯ.ក</t>
        </is>
      </c>
      <c r="W3437" s="556" t="n">
        <v>236265</v>
      </c>
    </row>
    <row r="3438">
      <c r="A3438" s="521" t="n">
        <v>3430</v>
      </c>
      <c r="B3438" s="522" t="inlineStr">
        <is>
          <t>Paper Label</t>
        </is>
      </c>
      <c r="C3438" s="522" t="inlineStr">
        <is>
          <t>ស៊ីន ហ្វី យ៉ាង ព្រីនធីង &amp; អិកសេសសឺរី ឯ.ក</t>
        </is>
      </c>
      <c r="D3438" s="522" t="inlineStr">
        <is>
          <t>K010-901906822</t>
        </is>
      </c>
      <c r="E3438" s="521" t="inlineStr">
        <is>
          <t>XYF-YD20220163</t>
        </is>
      </c>
      <c r="F3438" s="523" t="n">
        <v>44865</v>
      </c>
      <c r="G3438" s="556" t="n">
        <v>3257411</v>
      </c>
      <c r="I3438" s="521">
        <f>G3438</f>
        <v/>
      </c>
      <c r="K3438" s="521">
        <f>I3438-G3438</f>
        <v/>
      </c>
      <c r="M3438" s="522" t="inlineStr">
        <is>
          <t>XYFYD20220163</t>
        </is>
      </c>
      <c r="N3438" s="522" t="inlineStr"/>
      <c r="O3438" s="521">
        <f>M3438=N3438</f>
        <v/>
      </c>
      <c r="P3438" s="521">
        <f>AND(MONTH(F3438)=MONTH(S3438), YEAR(F3438)=YEAR(S3438))</f>
        <v/>
      </c>
      <c r="Q3438" s="521">
        <f>U3438="L001-901905215"</f>
        <v/>
      </c>
      <c r="R3438" s="556">
        <f>G3438-W3438</f>
        <v/>
      </c>
      <c r="S3438" s="521" t="n"/>
      <c r="T3438" s="522" t="n"/>
      <c r="U3438" s="522" t="n"/>
      <c r="V3438" s="522" t="n"/>
      <c r="W3438" s="521" t="n"/>
    </row>
    <row r="3439">
      <c r="A3439" s="521" t="n">
        <v>3431</v>
      </c>
      <c r="B3439" s="522" t="inlineStr">
        <is>
          <t>EIB</t>
        </is>
      </c>
      <c r="C3439" s="522" t="inlineStr">
        <is>
          <t>អេសអាយធីស៊ី ខិនថេនើរ ឡាញ (ខេមបូឌា)</t>
        </is>
      </c>
      <c r="D3439" s="522" t="inlineStr">
        <is>
          <t>L001-107035863</t>
        </is>
      </c>
      <c r="E3439" s="521" t="inlineStr">
        <is>
          <t>SITC2022-019506</t>
        </is>
      </c>
      <c r="F3439" s="523" t="n">
        <v>44835</v>
      </c>
      <c r="G3439" s="556" t="n">
        <v>434343</v>
      </c>
      <c r="I3439" s="521">
        <f>G3439</f>
        <v/>
      </c>
      <c r="K3439" s="521">
        <f>I3439-G3439</f>
        <v/>
      </c>
      <c r="M3439" s="522" t="inlineStr">
        <is>
          <t>SITC2022019506</t>
        </is>
      </c>
      <c r="N3439" s="522" t="inlineStr"/>
      <c r="O3439" s="521">
        <f>M3439=N3439</f>
        <v/>
      </c>
      <c r="P3439" s="521">
        <f>AND(MONTH(F3439)=MONTH(S3439), YEAR(F3439)=YEAR(S3439))</f>
        <v/>
      </c>
      <c r="Q3439" s="521">
        <f>U3439="L001-901905215"</f>
        <v/>
      </c>
      <c r="R3439" s="556">
        <f>G3439-W3439</f>
        <v/>
      </c>
      <c r="S3439" s="521" t="n"/>
      <c r="T3439" s="522" t="n"/>
      <c r="U3439" s="522" t="n"/>
      <c r="V3439" s="522" t="n"/>
      <c r="W3439" s="521" t="n"/>
    </row>
    <row r="3440">
      <c r="A3440" s="521" t="n">
        <v>3432</v>
      </c>
      <c r="B3440" s="522" t="inlineStr">
        <is>
          <t>Lift-On &amp; Lift-Off</t>
        </is>
      </c>
      <c r="C3440" s="522" t="inlineStr">
        <is>
          <t>កំពង់ផែស្វយ័តក្រុងព្រះសីហនុ</t>
        </is>
      </c>
      <c r="D3440" s="522" t="inlineStr">
        <is>
          <t>L001-100044638</t>
        </is>
      </c>
      <c r="E3440" s="521" t="inlineStr">
        <is>
          <t>168659</t>
        </is>
      </c>
      <c r="F3440" s="523" t="n">
        <v>44835</v>
      </c>
      <c r="G3440" s="556" t="n">
        <v>71758</v>
      </c>
      <c r="I3440" s="521">
        <f>G3440</f>
        <v/>
      </c>
      <c r="K3440" s="521">
        <f>I3440-G3440</f>
        <v/>
      </c>
      <c r="M3440" s="522" t="inlineStr">
        <is>
          <t>168659</t>
        </is>
      </c>
      <c r="N3440" s="522" t="inlineStr"/>
      <c r="O3440" s="521">
        <f>M3440=N3440</f>
        <v/>
      </c>
      <c r="P3440" s="521">
        <f>AND(MONTH(F3440)=MONTH(S3440), YEAR(F3440)=YEAR(S3440))</f>
        <v/>
      </c>
      <c r="Q3440" s="521">
        <f>U3440="L001-901905215"</f>
        <v/>
      </c>
      <c r="R3440" s="556">
        <f>G3440-W3440</f>
        <v/>
      </c>
      <c r="S3440" s="521" t="n"/>
      <c r="T3440" s="522" t="n"/>
      <c r="U3440" s="522" t="n"/>
      <c r="V3440" s="522" t="n"/>
      <c r="W3440" s="521" t="n"/>
    </row>
    <row r="3441">
      <c r="A3441" s="521" t="n">
        <v>3433</v>
      </c>
      <c r="B3441" s="522" t="inlineStr">
        <is>
          <t>Trucking Fee</t>
        </is>
      </c>
      <c r="C3441" s="522" t="inlineStr">
        <is>
          <t>ហាវតាយ អ៊ិនធើណេសិនណល ឡូជីស្ទីក ឯ.ក</t>
        </is>
      </c>
      <c r="D3441" s="522" t="inlineStr">
        <is>
          <t>K007-902202863</t>
        </is>
      </c>
      <c r="E3441" s="521" t="inlineStr">
        <is>
          <t>HT220055</t>
        </is>
      </c>
      <c r="F3441" s="523" t="n">
        <v>44865</v>
      </c>
      <c r="G3441" s="556" t="n">
        <v>505202</v>
      </c>
      <c r="I3441" s="521">
        <f>G3441</f>
        <v/>
      </c>
      <c r="K3441" s="521">
        <f>I3441-G3441</f>
        <v/>
      </c>
      <c r="M3441" s="522" t="inlineStr">
        <is>
          <t>HT220055</t>
        </is>
      </c>
      <c r="N3441" s="522" t="inlineStr"/>
      <c r="O3441" s="521">
        <f>M3441=N3441</f>
        <v/>
      </c>
      <c r="P3441" s="521">
        <f>AND(MONTH(F3441)=MONTH(S3441), YEAR(F3441)=YEAR(S3441))</f>
        <v/>
      </c>
      <c r="Q3441" s="521">
        <f>U3441="L001-901905215"</f>
        <v/>
      </c>
      <c r="R3441" s="556">
        <f>G3441-W3441</f>
        <v/>
      </c>
      <c r="S3441" s="521" t="n"/>
      <c r="T3441" s="522" t="n"/>
      <c r="U3441" s="522" t="n"/>
      <c r="V3441" s="522" t="n"/>
      <c r="W3441" s="521" t="n"/>
    </row>
    <row r="3442">
      <c r="A3442" s="521" t="n">
        <v>3434</v>
      </c>
      <c r="B3442" s="522" t="inlineStr">
        <is>
          <t>EIB</t>
        </is>
      </c>
      <c r="C3442" s="522" t="inlineStr">
        <is>
          <t>អេសអាយធីស៊ី ខិនថេនើរ ឡាញ (ខេមបូឌា)</t>
        </is>
      </c>
      <c r="D3442" s="522" t="inlineStr">
        <is>
          <t>L001-107035863</t>
        </is>
      </c>
      <c r="E3442" s="521" t="inlineStr">
        <is>
          <t>SITC2022-020641</t>
        </is>
      </c>
      <c r="F3442" s="523" t="n">
        <v>44835</v>
      </c>
      <c r="G3442" s="556" t="n">
        <v>229045</v>
      </c>
      <c r="I3442" s="521">
        <f>G3442</f>
        <v/>
      </c>
      <c r="K3442" s="521">
        <f>I3442-G3442</f>
        <v/>
      </c>
      <c r="M3442" s="522" t="inlineStr">
        <is>
          <t>SITC2022020641</t>
        </is>
      </c>
      <c r="N3442" s="522" t="inlineStr">
        <is>
          <t>SITC2022020641</t>
        </is>
      </c>
      <c r="O3442" s="521">
        <f>M3442=N3442</f>
        <v/>
      </c>
      <c r="P3442" s="521">
        <f>AND(MONTH(F3442)=MONTH(S3442), YEAR(F3442)=YEAR(S3442))</f>
        <v/>
      </c>
      <c r="Q3442" s="521">
        <f>U3442="L001-901905215"</f>
        <v/>
      </c>
      <c r="R3442" s="556">
        <f>G3442-W3442</f>
        <v/>
      </c>
      <c r="S3442" s="523" t="n">
        <v>44835</v>
      </c>
      <c r="T3442" s="522" t="inlineStr">
        <is>
          <t>SITC2022-020641</t>
        </is>
      </c>
      <c r="U3442" s="522" t="inlineStr">
        <is>
          <t>L001-901905215</t>
        </is>
      </c>
      <c r="V3442" s="522" t="inlineStr">
        <is>
          <t>វីអ៊ីស៊ិន (ខេមបូឌា) អ៊ិនដាសស្ទ្រី ឯ.ក</t>
        </is>
      </c>
      <c r="W3442" s="556" t="n">
        <v>229049</v>
      </c>
    </row>
    <row r="3443">
      <c r="A3443" s="521" t="n">
        <v>3435</v>
      </c>
      <c r="B3443" s="522" t="inlineStr">
        <is>
          <t>Lift-On &amp; Lift-Off</t>
        </is>
      </c>
      <c r="C3443" s="522" t="inlineStr">
        <is>
          <t>កំពង់ផែស្វយ័តក្រុងព្រះសីហនុ</t>
        </is>
      </c>
      <c r="D3443" s="522" t="inlineStr">
        <is>
          <t>L001-100044638</t>
        </is>
      </c>
      <c r="E3443" s="521" t="inlineStr">
        <is>
          <t>175651</t>
        </is>
      </c>
      <c r="F3443" s="523" t="n">
        <v>44838</v>
      </c>
      <c r="G3443" s="556" t="n">
        <v>35940</v>
      </c>
      <c r="I3443" s="521">
        <f>G3443</f>
        <v/>
      </c>
      <c r="K3443" s="521">
        <f>I3443-G3443</f>
        <v/>
      </c>
      <c r="M3443" s="522" t="inlineStr">
        <is>
          <t>175651</t>
        </is>
      </c>
      <c r="N3443" s="522" t="inlineStr"/>
      <c r="O3443" s="521">
        <f>M3443=N3443</f>
        <v/>
      </c>
      <c r="P3443" s="521">
        <f>AND(MONTH(F3443)=MONTH(S3443), YEAR(F3443)=YEAR(S3443))</f>
        <v/>
      </c>
      <c r="Q3443" s="521">
        <f>U3443="L001-901905215"</f>
        <v/>
      </c>
      <c r="R3443" s="556">
        <f>G3443-W3443</f>
        <v/>
      </c>
      <c r="S3443" s="521" t="n"/>
      <c r="T3443" s="522" t="n"/>
      <c r="U3443" s="522" t="n"/>
      <c r="V3443" s="522" t="n"/>
      <c r="W3443" s="521" t="n"/>
    </row>
    <row r="3444">
      <c r="A3444" s="521" t="n">
        <v>3436</v>
      </c>
      <c r="B3444" s="522" t="inlineStr">
        <is>
          <t>Trucking Fee</t>
        </is>
      </c>
      <c r="C3444" s="522" t="inlineStr">
        <is>
          <t>ហាវតាយ អ៊ិនធើណេសិនណល ឡូជីស្ទីក ឯ.ក</t>
        </is>
      </c>
      <c r="D3444" s="522" t="inlineStr">
        <is>
          <t>K007-902202863</t>
        </is>
      </c>
      <c r="E3444" s="521" t="inlineStr">
        <is>
          <t>HT220054</t>
        </is>
      </c>
      <c r="F3444" s="523" t="n">
        <v>44865</v>
      </c>
      <c r="G3444" s="556" t="n">
        <v>252601</v>
      </c>
      <c r="I3444" s="521">
        <f>G3444</f>
        <v/>
      </c>
      <c r="K3444" s="521">
        <f>I3444-G3444</f>
        <v/>
      </c>
      <c r="M3444" s="522" t="inlineStr">
        <is>
          <t>HT220054</t>
        </is>
      </c>
      <c r="N3444" s="522" t="inlineStr">
        <is>
          <t>HT220054</t>
        </is>
      </c>
      <c r="O3444" s="521">
        <f>M3444=N3444</f>
        <v/>
      </c>
      <c r="P3444" s="521">
        <f>AND(MONTH(F3444)=MONTH(S3444), YEAR(F3444)=YEAR(S3444))</f>
        <v/>
      </c>
      <c r="Q3444" s="521">
        <f>U3444="L001-901905215"</f>
        <v/>
      </c>
      <c r="R3444" s="556">
        <f>G3444-W3444</f>
        <v/>
      </c>
      <c r="S3444" s="523" t="n">
        <v>44865</v>
      </c>
      <c r="T3444" s="522" t="inlineStr">
        <is>
          <t>HT220054</t>
        </is>
      </c>
      <c r="U3444" s="522" t="inlineStr">
        <is>
          <t>L001-901905215</t>
        </is>
      </c>
      <c r="V3444" s="522" t="inlineStr">
        <is>
          <t>វីអ៊ីស៊ិន (ខេមបូឌា) អ៊ិនដាសស្ទ្រី ឯ.ក</t>
        </is>
      </c>
      <c r="W3444" s="556" t="n">
        <v>252601</v>
      </c>
    </row>
    <row r="3445">
      <c r="A3445" s="521" t="n">
        <v>3437</v>
      </c>
      <c r="B3445" s="522" t="inlineStr">
        <is>
          <t>EIB</t>
        </is>
      </c>
      <c r="C3445" s="522" t="inlineStr">
        <is>
          <t>អេសអាយធីស៊ី ខិនថេនើរ ឡាញ (ខេមបូឌា)</t>
        </is>
      </c>
      <c r="D3445" s="522" t="inlineStr">
        <is>
          <t>L001-107035863</t>
        </is>
      </c>
      <c r="E3445" s="521" t="inlineStr">
        <is>
          <t>SITC2022-021201</t>
        </is>
      </c>
      <c r="F3445" s="523" t="n">
        <v>44842</v>
      </c>
      <c r="G3445" s="556" t="n">
        <v>142589</v>
      </c>
      <c r="I3445" s="521">
        <f>G3445</f>
        <v/>
      </c>
      <c r="K3445" s="521">
        <f>I3445-G3445</f>
        <v/>
      </c>
      <c r="M3445" s="522" t="inlineStr">
        <is>
          <t>SITC2022021201</t>
        </is>
      </c>
      <c r="N3445" s="522" t="inlineStr">
        <is>
          <t>SITC2022021201</t>
        </is>
      </c>
      <c r="O3445" s="521">
        <f>M3445=N3445</f>
        <v/>
      </c>
      <c r="P3445" s="521">
        <f>AND(MONTH(F3445)=MONTH(S3445), YEAR(F3445)=YEAR(S3445))</f>
        <v/>
      </c>
      <c r="Q3445" s="521">
        <f>U3445="L001-901905215"</f>
        <v/>
      </c>
      <c r="R3445" s="556">
        <f>G3445-W3445</f>
        <v/>
      </c>
      <c r="S3445" s="523" t="n">
        <v>44842</v>
      </c>
      <c r="T3445" s="522" t="inlineStr">
        <is>
          <t>SITC2022-021201</t>
        </is>
      </c>
      <c r="U3445" s="522" t="inlineStr">
        <is>
          <t>L001-901905215</t>
        </is>
      </c>
      <c r="V3445" s="522" t="inlineStr">
        <is>
          <t>វីអ៊ីស៊ិន (ខេមបូឌា) អ៊ិនដាសស្ទ្រី ឯ.ក</t>
        </is>
      </c>
      <c r="W3445" s="556" t="n">
        <v>142589</v>
      </c>
    </row>
    <row r="3446">
      <c r="A3446" s="521" t="n">
        <v>3438</v>
      </c>
      <c r="B3446" s="522" t="inlineStr">
        <is>
          <t>Lift-On &amp; Lift-Off</t>
        </is>
      </c>
      <c r="C3446" s="522" t="inlineStr">
        <is>
          <t>កំពង់ផែស្វយ័តក្រុងព្រះសីហនុ</t>
        </is>
      </c>
      <c r="D3446" s="522" t="inlineStr">
        <is>
          <t>L001-100044638</t>
        </is>
      </c>
      <c r="E3446" s="521" t="inlineStr">
        <is>
          <t>180294</t>
        </is>
      </c>
      <c r="F3446" s="523" t="n">
        <v>44846</v>
      </c>
      <c r="G3446" s="556" t="n">
        <v>23581</v>
      </c>
      <c r="I3446" s="521">
        <f>G3446</f>
        <v/>
      </c>
      <c r="K3446" s="521">
        <f>I3446-G3446</f>
        <v/>
      </c>
      <c r="M3446" s="522" t="inlineStr">
        <is>
          <t>180294</t>
        </is>
      </c>
      <c r="N3446" s="522" t="inlineStr"/>
      <c r="O3446" s="521">
        <f>M3446=N3446</f>
        <v/>
      </c>
      <c r="P3446" s="521">
        <f>AND(MONTH(F3446)=MONTH(S3446), YEAR(F3446)=YEAR(S3446))</f>
        <v/>
      </c>
      <c r="Q3446" s="521">
        <f>U3446="L001-901905215"</f>
        <v/>
      </c>
      <c r="R3446" s="556">
        <f>G3446-W3446</f>
        <v/>
      </c>
      <c r="S3446" s="521" t="n"/>
      <c r="T3446" s="522" t="n"/>
      <c r="U3446" s="522" t="n"/>
      <c r="V3446" s="522" t="n"/>
      <c r="W3446" s="521" t="n"/>
    </row>
    <row r="3447">
      <c r="A3447" s="521" t="n">
        <v>3439</v>
      </c>
      <c r="B3447" s="522" t="inlineStr">
        <is>
          <t>Trucking Fee</t>
        </is>
      </c>
      <c r="C3447" s="522" t="inlineStr">
        <is>
          <t>ហាវតាយ អ៊ិនធើណេសិនណល ឡូជីស្ទីក ឯ.ក</t>
        </is>
      </c>
      <c r="D3447" s="522" t="inlineStr">
        <is>
          <t>K007-902202863</t>
        </is>
      </c>
      <c r="E3447" s="521" t="inlineStr">
        <is>
          <t>HT220053</t>
        </is>
      </c>
      <c r="F3447" s="523" t="n">
        <v>44865</v>
      </c>
      <c r="G3447" s="556" t="n">
        <v>244319</v>
      </c>
      <c r="I3447" s="521">
        <f>G3447</f>
        <v/>
      </c>
      <c r="K3447" s="521">
        <f>I3447-G3447</f>
        <v/>
      </c>
      <c r="M3447" s="522" t="inlineStr">
        <is>
          <t>HT220053</t>
        </is>
      </c>
      <c r="N3447" s="522" t="inlineStr">
        <is>
          <t>HT220053</t>
        </is>
      </c>
      <c r="O3447" s="521">
        <f>M3447=N3447</f>
        <v/>
      </c>
      <c r="P3447" s="521">
        <f>AND(MONTH(F3447)=MONTH(S3447), YEAR(F3447)=YEAR(S3447))</f>
        <v/>
      </c>
      <c r="Q3447" s="521">
        <f>U3447="L001-901905215"</f>
        <v/>
      </c>
      <c r="R3447" s="556">
        <f>G3447-W3447</f>
        <v/>
      </c>
      <c r="S3447" s="523" t="n">
        <v>44865</v>
      </c>
      <c r="T3447" s="522" t="inlineStr">
        <is>
          <t>HT220053</t>
        </is>
      </c>
      <c r="U3447" s="522" t="inlineStr">
        <is>
          <t>L001-901905215</t>
        </is>
      </c>
      <c r="V3447" s="522" t="inlineStr">
        <is>
          <t>វីអ៊ីស៊ិន (ខេមបូឌា) អ៊ិនដាសស្ទ្រី ឯ.ក</t>
        </is>
      </c>
      <c r="W3447" s="556" t="n">
        <v>244319</v>
      </c>
    </row>
    <row r="3448">
      <c r="A3448" s="521" t="n">
        <v>3440</v>
      </c>
      <c r="B3448" s="522" t="inlineStr">
        <is>
          <t>Foreign Sale</t>
        </is>
      </c>
      <c r="C3448" s="522" t="inlineStr">
        <is>
          <t>មើស្គ (ខេមបូឌា)</t>
        </is>
      </c>
      <c r="D3448" s="522" t="inlineStr">
        <is>
          <t>L001-100045200</t>
        </is>
      </c>
      <c r="E3448" s="521" t="inlineStr">
        <is>
          <t>5995901965</t>
        </is>
      </c>
      <c r="F3448" s="523" t="n">
        <v>44835</v>
      </c>
      <c r="G3448" s="556" t="n">
        <v>125721</v>
      </c>
      <c r="I3448" s="521">
        <f>G3448</f>
        <v/>
      </c>
      <c r="K3448" s="521">
        <f>I3448-G3448</f>
        <v/>
      </c>
      <c r="M3448" s="522" t="inlineStr">
        <is>
          <t>5995901965</t>
        </is>
      </c>
      <c r="N3448" s="522" t="inlineStr"/>
      <c r="O3448" s="521">
        <f>M3448=N3448</f>
        <v/>
      </c>
      <c r="P3448" s="521">
        <f>AND(MONTH(F3448)=MONTH(S3448), YEAR(F3448)=YEAR(S3448))</f>
        <v/>
      </c>
      <c r="Q3448" s="521">
        <f>U3448="L001-901905215"</f>
        <v/>
      </c>
      <c r="R3448" s="556">
        <f>G3448-W3448</f>
        <v/>
      </c>
      <c r="S3448" s="521" t="n"/>
      <c r="T3448" s="522" t="n"/>
      <c r="U3448" s="522" t="n"/>
      <c r="V3448" s="522" t="n"/>
      <c r="W3448" s="521" t="n"/>
    </row>
    <row r="3449">
      <c r="A3449" s="521" t="n">
        <v>3441</v>
      </c>
      <c r="B3449" s="522" t="inlineStr">
        <is>
          <t>Lift-On &amp; Lift-Off</t>
        </is>
      </c>
      <c r="C3449" s="522" t="inlineStr">
        <is>
          <t>កំពង់ផែស្វយ័តក្រុងព្រះសីហនុ</t>
        </is>
      </c>
      <c r="D3449" s="522" t="inlineStr">
        <is>
          <t>L001-100044638</t>
        </is>
      </c>
      <c r="E3449" s="521" t="inlineStr">
        <is>
          <t>167298</t>
        </is>
      </c>
      <c r="F3449" s="523" t="n">
        <v>44835</v>
      </c>
      <c r="G3449" s="556" t="n">
        <v>35844</v>
      </c>
      <c r="I3449" s="521">
        <f>G3449</f>
        <v/>
      </c>
      <c r="K3449" s="521">
        <f>I3449-G3449</f>
        <v/>
      </c>
      <c r="M3449" s="522" t="inlineStr">
        <is>
          <t>167298</t>
        </is>
      </c>
      <c r="N3449" s="522" t="inlineStr"/>
      <c r="O3449" s="521">
        <f>M3449=N3449</f>
        <v/>
      </c>
      <c r="P3449" s="521">
        <f>AND(MONTH(F3449)=MONTH(S3449), YEAR(F3449)=YEAR(S3449))</f>
        <v/>
      </c>
      <c r="Q3449" s="521">
        <f>U3449="L001-901905215"</f>
        <v/>
      </c>
      <c r="R3449" s="556">
        <f>G3449-W3449</f>
        <v/>
      </c>
      <c r="S3449" s="521" t="n"/>
      <c r="T3449" s="522" t="n"/>
      <c r="U3449" s="522" t="n"/>
      <c r="V3449" s="522" t="n"/>
      <c r="W3449" s="521" t="n"/>
    </row>
    <row r="3450">
      <c r="A3450" s="521" t="n">
        <v>3442</v>
      </c>
      <c r="B3450" s="522" t="inlineStr">
        <is>
          <t>Trucking Fee</t>
        </is>
      </c>
      <c r="C3450" s="522" t="inlineStr">
        <is>
          <t>ហាវតាយ អ៊ិនធើណេសិនណល ឡូជីស្ទីក ឯ.ក</t>
        </is>
      </c>
      <c r="D3450" s="522" t="inlineStr">
        <is>
          <t>K007-902202863</t>
        </is>
      </c>
      <c r="E3450" s="521" t="inlineStr">
        <is>
          <t>HT220052</t>
        </is>
      </c>
      <c r="F3450" s="523" t="n">
        <v>44865</v>
      </c>
      <c r="G3450" s="556" t="n">
        <v>252601</v>
      </c>
      <c r="I3450" s="521">
        <f>G3450</f>
        <v/>
      </c>
      <c r="K3450" s="521">
        <f>I3450-G3450</f>
        <v/>
      </c>
      <c r="M3450" s="522" t="inlineStr">
        <is>
          <t>HT220052</t>
        </is>
      </c>
      <c r="N3450" s="522" t="inlineStr">
        <is>
          <t>HT220052</t>
        </is>
      </c>
      <c r="O3450" s="521">
        <f>M3450=N3450</f>
        <v/>
      </c>
      <c r="P3450" s="521">
        <f>AND(MONTH(F3450)=MONTH(S3450), YEAR(F3450)=YEAR(S3450))</f>
        <v/>
      </c>
      <c r="Q3450" s="521">
        <f>U3450="L001-901905215"</f>
        <v/>
      </c>
      <c r="R3450" s="556">
        <f>G3450-W3450</f>
        <v/>
      </c>
      <c r="S3450" s="523" t="n">
        <v>44865</v>
      </c>
      <c r="T3450" s="522" t="inlineStr">
        <is>
          <t>HT220052</t>
        </is>
      </c>
      <c r="U3450" s="522" t="inlineStr">
        <is>
          <t>L001-901905215</t>
        </is>
      </c>
      <c r="V3450" s="522" t="inlineStr">
        <is>
          <t>វីអ៊ីស៊ិន (ខេមបូឌា) អ៊ិនដាសស្ទ្រី ឯ.ក</t>
        </is>
      </c>
      <c r="W3450" s="556" t="n">
        <v>252601</v>
      </c>
    </row>
    <row r="3451">
      <c r="A3451" s="521" t="n">
        <v>3443</v>
      </c>
      <c r="B3451" s="522" t="inlineStr">
        <is>
          <t>Trucking Fee</t>
        </is>
      </c>
      <c r="C3451" s="522" t="inlineStr">
        <is>
          <t>ស្ត្រេតស៍ អ៊ិនធើណេសិនណល ភីធីអ៊ី អិលធីឌី</t>
        </is>
      </c>
      <c r="D3451" s="522" t="inlineStr">
        <is>
          <t>L001-100045162</t>
        </is>
      </c>
      <c r="E3451" s="521" t="inlineStr">
        <is>
          <t>2219816</t>
        </is>
      </c>
      <c r="F3451" s="523" t="n">
        <v>44843</v>
      </c>
      <c r="G3451" s="556" t="n">
        <v>114015</v>
      </c>
      <c r="I3451" s="521">
        <f>G3451</f>
        <v/>
      </c>
      <c r="K3451" s="521">
        <f>I3451-G3451</f>
        <v/>
      </c>
      <c r="M3451" s="522" t="inlineStr">
        <is>
          <t>2219816</t>
        </is>
      </c>
      <c r="N3451" s="522" t="inlineStr">
        <is>
          <t>2219816</t>
        </is>
      </c>
      <c r="O3451" s="521">
        <f>M3451=N3451</f>
        <v/>
      </c>
      <c r="P3451" s="521">
        <f>AND(MONTH(F3451)=MONTH(S3451), YEAR(F3451)=YEAR(S3451))</f>
        <v/>
      </c>
      <c r="Q3451" s="521">
        <f>U3451="L001-901905215"</f>
        <v/>
      </c>
      <c r="R3451" s="556">
        <f>G3451-W3451</f>
        <v/>
      </c>
      <c r="S3451" s="523" t="n">
        <v>44853</v>
      </c>
      <c r="T3451" s="522" t="inlineStr">
        <is>
          <t>2219816</t>
        </is>
      </c>
      <c r="U3451" s="522" t="inlineStr">
        <is>
          <t>L001-901905215</t>
        </is>
      </c>
      <c r="V3451" s="522" t="inlineStr">
        <is>
          <t>វីអ៊ីស៊ិន (ខេមបូឌា) អ៊ិនដាសស្ទ្រី ឯ.ក</t>
        </is>
      </c>
      <c r="W3451" s="556" t="n">
        <v>114015</v>
      </c>
    </row>
    <row r="3452">
      <c r="A3452" s="521" t="n">
        <v>3444</v>
      </c>
      <c r="B3452" s="522" t="inlineStr">
        <is>
          <t>Lift-On &amp; Lift-Off</t>
        </is>
      </c>
      <c r="C3452" s="522" t="inlineStr">
        <is>
          <t>កំពង់ផែស្វយ័តក្រុងព្រះសីហនុ</t>
        </is>
      </c>
      <c r="D3452" s="522" t="inlineStr">
        <is>
          <t>L001-100044638</t>
        </is>
      </c>
      <c r="E3452" s="521" t="inlineStr">
        <is>
          <t>186275</t>
        </is>
      </c>
      <c r="F3452" s="523" t="n">
        <v>44859</v>
      </c>
      <c r="G3452" s="556" t="n">
        <v>36062</v>
      </c>
      <c r="I3452" s="521">
        <f>G3452</f>
        <v/>
      </c>
      <c r="K3452" s="521">
        <f>I3452-G3452</f>
        <v/>
      </c>
      <c r="M3452" s="522" t="inlineStr">
        <is>
          <t>186275</t>
        </is>
      </c>
      <c r="N3452" s="522" t="inlineStr"/>
      <c r="O3452" s="521">
        <f>M3452=N3452</f>
        <v/>
      </c>
      <c r="P3452" s="521">
        <f>AND(MONTH(F3452)=MONTH(S3452), YEAR(F3452)=YEAR(S3452))</f>
        <v/>
      </c>
      <c r="Q3452" s="521">
        <f>U3452="L001-901905215"</f>
        <v/>
      </c>
      <c r="R3452" s="556">
        <f>G3452-W3452</f>
        <v/>
      </c>
      <c r="S3452" s="521" t="n"/>
      <c r="T3452" s="522" t="n"/>
      <c r="U3452" s="522" t="n"/>
      <c r="V3452" s="522" t="n"/>
      <c r="W3452" s="521" t="n"/>
    </row>
    <row r="3453">
      <c r="A3453" s="521" t="n">
        <v>3445</v>
      </c>
      <c r="B3453" s="522" t="inlineStr">
        <is>
          <t>Trucking Fee</t>
        </is>
      </c>
      <c r="C3453" s="522" t="inlineStr">
        <is>
          <t>ហាវតាយ អ៊ិនធើណេសិនណល ឡូជីស្ទីក ឯ.ក</t>
        </is>
      </c>
      <c r="D3453" s="522" t="inlineStr">
        <is>
          <t>K007-902202863</t>
        </is>
      </c>
      <c r="E3453" s="521" t="inlineStr">
        <is>
          <t>HT220051</t>
        </is>
      </c>
      <c r="F3453" s="523" t="n">
        <v>44865</v>
      </c>
      <c r="G3453" s="556" t="n">
        <v>252601</v>
      </c>
      <c r="I3453" s="521">
        <f>G3453</f>
        <v/>
      </c>
      <c r="K3453" s="521">
        <f>I3453-G3453</f>
        <v/>
      </c>
      <c r="M3453" s="522" t="inlineStr">
        <is>
          <t>HT220051</t>
        </is>
      </c>
      <c r="N3453" s="522" t="inlineStr">
        <is>
          <t>HT220051</t>
        </is>
      </c>
      <c r="O3453" s="521">
        <f>M3453=N3453</f>
        <v/>
      </c>
      <c r="P3453" s="521">
        <f>AND(MONTH(F3453)=MONTH(S3453), YEAR(F3453)=YEAR(S3453))</f>
        <v/>
      </c>
      <c r="Q3453" s="521">
        <f>U3453="L001-901905215"</f>
        <v/>
      </c>
      <c r="R3453" s="556">
        <f>G3453-W3453</f>
        <v/>
      </c>
      <c r="S3453" s="523" t="n">
        <v>44865</v>
      </c>
      <c r="T3453" s="522" t="inlineStr">
        <is>
          <t>HT220051</t>
        </is>
      </c>
      <c r="U3453" s="522" t="inlineStr">
        <is>
          <t>L001-901905215</t>
        </is>
      </c>
      <c r="V3453" s="522" t="inlineStr">
        <is>
          <t>វីអ៊ីស៊ិន (ខេមបូឌា) អ៊ិនដាសស្ទ្រី ឯ.ក</t>
        </is>
      </c>
      <c r="W3453" s="556" t="n">
        <v>252601</v>
      </c>
    </row>
    <row r="3454">
      <c r="A3454" s="521" t="n">
        <v>3446</v>
      </c>
      <c r="B3454" s="522" t="inlineStr">
        <is>
          <t>EIB</t>
        </is>
      </c>
      <c r="C3454" s="522" t="inlineStr">
        <is>
          <t>អេសអាយធីស៊ី ខិនថេនើរ ឡាញ (ខេមបូឌា)</t>
        </is>
      </c>
      <c r="D3454" s="522" t="inlineStr">
        <is>
          <t>L001-107035863</t>
        </is>
      </c>
      <c r="E3454" s="521" t="inlineStr">
        <is>
          <t>SITC2022-017948</t>
        </is>
      </c>
      <c r="F3454" s="523" t="n">
        <v>44835</v>
      </c>
      <c r="G3454" s="556" t="n">
        <v>227939</v>
      </c>
      <c r="I3454" s="521">
        <f>G3454</f>
        <v/>
      </c>
      <c r="K3454" s="521">
        <f>I3454-G3454</f>
        <v/>
      </c>
      <c r="M3454" s="522" t="inlineStr">
        <is>
          <t>SITC2022017948</t>
        </is>
      </c>
      <c r="N3454" s="522" t="inlineStr"/>
      <c r="O3454" s="521">
        <f>M3454=N3454</f>
        <v/>
      </c>
      <c r="P3454" s="521">
        <f>AND(MONTH(F3454)=MONTH(S3454), YEAR(F3454)=YEAR(S3454))</f>
        <v/>
      </c>
      <c r="Q3454" s="521">
        <f>U3454="L001-901905215"</f>
        <v/>
      </c>
      <c r="R3454" s="556">
        <f>G3454-W3454</f>
        <v/>
      </c>
      <c r="S3454" s="521" t="n"/>
      <c r="T3454" s="522" t="n"/>
      <c r="U3454" s="522" t="n"/>
      <c r="V3454" s="522" t="n"/>
      <c r="W3454" s="521" t="n"/>
    </row>
    <row r="3455">
      <c r="A3455" s="521" t="n">
        <v>3447</v>
      </c>
      <c r="B3455" s="522" t="inlineStr">
        <is>
          <t>Lift-On &amp; Lift-Off</t>
        </is>
      </c>
      <c r="C3455" s="522" t="inlineStr">
        <is>
          <t>កំពង់ផែស្វយ័តក្រុងព្រះសីហនុ</t>
        </is>
      </c>
      <c r="D3455" s="522" t="inlineStr">
        <is>
          <t>L001-100044638</t>
        </is>
      </c>
      <c r="E3455" s="521" t="inlineStr">
        <is>
          <t>155824</t>
        </is>
      </c>
      <c r="F3455" s="523" t="n">
        <v>44835</v>
      </c>
      <c r="G3455" s="556" t="n">
        <v>53032</v>
      </c>
      <c r="I3455" s="521">
        <f>G3455</f>
        <v/>
      </c>
      <c r="K3455" s="521">
        <f>I3455-G3455</f>
        <v/>
      </c>
      <c r="M3455" s="522" t="inlineStr">
        <is>
          <t>155824</t>
        </is>
      </c>
      <c r="N3455" s="522" t="inlineStr"/>
      <c r="O3455" s="521">
        <f>M3455=N3455</f>
        <v/>
      </c>
      <c r="P3455" s="521">
        <f>AND(MONTH(F3455)=MONTH(S3455), YEAR(F3455)=YEAR(S3455))</f>
        <v/>
      </c>
      <c r="Q3455" s="521">
        <f>U3455="L001-901905215"</f>
        <v/>
      </c>
      <c r="R3455" s="556">
        <f>G3455-W3455</f>
        <v/>
      </c>
      <c r="S3455" s="521" t="n"/>
      <c r="T3455" s="522" t="n"/>
      <c r="U3455" s="522" t="n"/>
      <c r="V3455" s="522" t="n"/>
      <c r="W3455" s="521" t="n"/>
    </row>
    <row r="3456">
      <c r="A3456" s="521" t="n">
        <v>3448</v>
      </c>
      <c r="B3456" s="522" t="inlineStr">
        <is>
          <t>Trucking Fee</t>
        </is>
      </c>
      <c r="C3456" s="522" t="inlineStr">
        <is>
          <t>ហាវតាយ អ៊ិនធើណេសិនណល ឡូជីស្ទីក ឯ.ក</t>
        </is>
      </c>
      <c r="D3456" s="522" t="inlineStr">
        <is>
          <t>K007-902202863</t>
        </is>
      </c>
      <c r="E3456" s="521" t="inlineStr">
        <is>
          <t>HT220050</t>
        </is>
      </c>
      <c r="F3456" s="523" t="n">
        <v>44865</v>
      </c>
      <c r="G3456" s="556" t="n">
        <v>252601</v>
      </c>
      <c r="I3456" s="521">
        <f>G3456</f>
        <v/>
      </c>
      <c r="K3456" s="521">
        <f>I3456-G3456</f>
        <v/>
      </c>
      <c r="M3456" s="522" t="inlineStr">
        <is>
          <t>HT220050</t>
        </is>
      </c>
      <c r="N3456" s="522" t="inlineStr">
        <is>
          <t>HT220050</t>
        </is>
      </c>
      <c r="O3456" s="521">
        <f>M3456=N3456</f>
        <v/>
      </c>
      <c r="P3456" s="521">
        <f>AND(MONTH(F3456)=MONTH(S3456), YEAR(F3456)=YEAR(S3456))</f>
        <v/>
      </c>
      <c r="Q3456" s="521">
        <f>U3456="L001-901905215"</f>
        <v/>
      </c>
      <c r="R3456" s="556">
        <f>G3456-W3456</f>
        <v/>
      </c>
      <c r="S3456" s="523" t="n">
        <v>44865</v>
      </c>
      <c r="T3456" s="522" t="inlineStr">
        <is>
          <t>HT220050</t>
        </is>
      </c>
      <c r="U3456" s="522" t="inlineStr">
        <is>
          <t>L001-901905215</t>
        </is>
      </c>
      <c r="V3456" s="522" t="inlineStr">
        <is>
          <t>វីអ៊ីស៊ិន (ខេមបូឌា) អ៊ិនដាសស្ទ្រី ឯ.ក</t>
        </is>
      </c>
      <c r="W3456" s="556" t="n">
        <v>252601</v>
      </c>
    </row>
    <row r="3457">
      <c r="A3457" s="521" t="n">
        <v>3449</v>
      </c>
      <c r="B3457" s="522" t="inlineStr">
        <is>
          <t>EIB</t>
        </is>
      </c>
      <c r="C3457" s="522" t="inlineStr">
        <is>
          <t>អេសអាយធីស៊ី ខិនថេនើរ ឡាញ (ខេមបូឌា)</t>
        </is>
      </c>
      <c r="D3457" s="522" t="inlineStr">
        <is>
          <t>L001-107035863</t>
        </is>
      </c>
      <c r="E3457" s="521" t="inlineStr">
        <is>
          <t>SITC2022-020388</t>
        </is>
      </c>
      <c r="F3457" s="523" t="n">
        <v>44835</v>
      </c>
      <c r="G3457" s="556" t="n">
        <v>641282</v>
      </c>
      <c r="I3457" s="521">
        <f>G3457</f>
        <v/>
      </c>
      <c r="K3457" s="521">
        <f>I3457-G3457</f>
        <v/>
      </c>
      <c r="M3457" s="522" t="inlineStr">
        <is>
          <t>SITC2022020388</t>
        </is>
      </c>
      <c r="N3457" s="522" t="inlineStr"/>
      <c r="O3457" s="521">
        <f>M3457=N3457</f>
        <v/>
      </c>
      <c r="P3457" s="521">
        <f>AND(MONTH(F3457)=MONTH(S3457), YEAR(F3457)=YEAR(S3457))</f>
        <v/>
      </c>
      <c r="Q3457" s="521">
        <f>U3457="L001-901905215"</f>
        <v/>
      </c>
      <c r="R3457" s="556">
        <f>G3457-W3457</f>
        <v/>
      </c>
      <c r="S3457" s="521" t="n"/>
      <c r="T3457" s="522" t="n"/>
      <c r="U3457" s="522" t="n"/>
      <c r="V3457" s="522" t="n"/>
      <c r="W3457" s="521" t="n"/>
    </row>
    <row r="3458">
      <c r="A3458" s="521" t="n">
        <v>3450</v>
      </c>
      <c r="B3458" s="522" t="inlineStr">
        <is>
          <t>EIB</t>
        </is>
      </c>
      <c r="C3458" s="522" t="inlineStr">
        <is>
          <t>អេសអាយធីស៊ី ខិនថេនើរ ឡាញ (ខេមបូឌា)</t>
        </is>
      </c>
      <c r="D3458" s="522" t="inlineStr">
        <is>
          <t>L001-107035863</t>
        </is>
      </c>
      <c r="E3458" s="521" t="inlineStr">
        <is>
          <t>SITC2022-020650</t>
        </is>
      </c>
      <c r="F3458" s="523" t="n">
        <v>44835</v>
      </c>
      <c r="G3458" s="556" t="n">
        <v>262065</v>
      </c>
      <c r="I3458" s="521">
        <f>G3458</f>
        <v/>
      </c>
      <c r="K3458" s="521">
        <f>I3458-G3458</f>
        <v/>
      </c>
      <c r="M3458" s="522" t="inlineStr">
        <is>
          <t>SITC2022020650</t>
        </is>
      </c>
      <c r="N3458" s="522" t="inlineStr">
        <is>
          <t>SITC2022020650</t>
        </is>
      </c>
      <c r="O3458" s="521">
        <f>M3458=N3458</f>
        <v/>
      </c>
      <c r="P3458" s="521">
        <f>AND(MONTH(F3458)=MONTH(S3458), YEAR(F3458)=YEAR(S3458))</f>
        <v/>
      </c>
      <c r="Q3458" s="521">
        <f>U3458="L001-901905215"</f>
        <v/>
      </c>
      <c r="R3458" s="556">
        <f>G3458-W3458</f>
        <v/>
      </c>
      <c r="S3458" s="523" t="n">
        <v>44835</v>
      </c>
      <c r="T3458" s="522" t="inlineStr">
        <is>
          <t>SITC2022-020650</t>
        </is>
      </c>
      <c r="U3458" s="522" t="inlineStr">
        <is>
          <t>L001-901905215</t>
        </is>
      </c>
      <c r="V3458" s="522" t="inlineStr">
        <is>
          <t>វីអ៊ីស៊ិន (ខេមបូឌា) អ៊ិនដាសស្ទ្រី ឯ.ក</t>
        </is>
      </c>
      <c r="W3458" s="556" t="n">
        <v>262065</v>
      </c>
    </row>
    <row r="3459">
      <c r="A3459" s="521" t="n">
        <v>3451</v>
      </c>
      <c r="B3459" s="522" t="inlineStr">
        <is>
          <t>Lift-On &amp; Lift-Off</t>
        </is>
      </c>
      <c r="C3459" s="522" t="inlineStr">
        <is>
          <t>កំពង់ផែស្វយ័តក្រុងព្រះសីហនុ</t>
        </is>
      </c>
      <c r="D3459" s="522" t="inlineStr">
        <is>
          <t>L001-100044638</t>
        </is>
      </c>
      <c r="E3459" s="521" t="inlineStr">
        <is>
          <t>175652</t>
        </is>
      </c>
      <c r="F3459" s="523" t="n">
        <v>44838</v>
      </c>
      <c r="G3459" s="556" t="n">
        <v>47093</v>
      </c>
      <c r="I3459" s="521">
        <f>G3459</f>
        <v/>
      </c>
      <c r="K3459" s="521">
        <f>I3459-G3459</f>
        <v/>
      </c>
      <c r="M3459" s="522" t="inlineStr">
        <is>
          <t>175652</t>
        </is>
      </c>
      <c r="N3459" s="522" t="inlineStr"/>
      <c r="O3459" s="521">
        <f>M3459=N3459</f>
        <v/>
      </c>
      <c r="P3459" s="521">
        <f>AND(MONTH(F3459)=MONTH(S3459), YEAR(F3459)=YEAR(S3459))</f>
        <v/>
      </c>
      <c r="Q3459" s="521">
        <f>U3459="L001-901905215"</f>
        <v/>
      </c>
      <c r="R3459" s="556">
        <f>G3459-W3459</f>
        <v/>
      </c>
      <c r="S3459" s="521" t="n"/>
      <c r="T3459" s="522" t="n"/>
      <c r="U3459" s="522" t="n"/>
      <c r="V3459" s="522" t="n"/>
      <c r="W3459" s="521" t="n"/>
    </row>
    <row r="3460">
      <c r="A3460" s="521" t="n">
        <v>3452</v>
      </c>
      <c r="B3460" s="522" t="inlineStr">
        <is>
          <t>Trucking Fee</t>
        </is>
      </c>
      <c r="C3460" s="522" t="inlineStr">
        <is>
          <t>ហាវតាយ អ៊ិនធើណេសិនណល ឡូជីស្ទីក ឯ.ក</t>
        </is>
      </c>
      <c r="D3460" s="522" t="inlineStr">
        <is>
          <t>K007-902202863</t>
        </is>
      </c>
      <c r="E3460" s="521" t="inlineStr">
        <is>
          <t>HT220049</t>
        </is>
      </c>
      <c r="F3460" s="523" t="n">
        <v>44865</v>
      </c>
      <c r="G3460" s="556" t="n">
        <v>488638</v>
      </c>
      <c r="I3460" s="521">
        <f>G3460</f>
        <v/>
      </c>
      <c r="K3460" s="521">
        <f>I3460-G3460</f>
        <v/>
      </c>
      <c r="M3460" s="522" t="inlineStr">
        <is>
          <t>HT220049</t>
        </is>
      </c>
      <c r="N3460" s="522" t="inlineStr">
        <is>
          <t>HT220049</t>
        </is>
      </c>
      <c r="O3460" s="521">
        <f>M3460=N3460</f>
        <v/>
      </c>
      <c r="P3460" s="521">
        <f>AND(MONTH(F3460)=MONTH(S3460), YEAR(F3460)=YEAR(S3460))</f>
        <v/>
      </c>
      <c r="Q3460" s="521">
        <f>U3460="L001-901905215"</f>
        <v/>
      </c>
      <c r="R3460" s="556">
        <f>G3460-W3460</f>
        <v/>
      </c>
      <c r="S3460" s="523" t="n">
        <v>44865</v>
      </c>
      <c r="T3460" s="522" t="inlineStr">
        <is>
          <t>HT220049</t>
        </is>
      </c>
      <c r="U3460" s="522" t="inlineStr">
        <is>
          <t>L001-901905215</t>
        </is>
      </c>
      <c r="V3460" s="522" t="inlineStr">
        <is>
          <t>វីអ៊ីស៊ិន (ខេមបូឌា) អ៊ិនដាសស្ទ្រី ឯ.ក</t>
        </is>
      </c>
      <c r="W3460" s="556" t="n">
        <v>488638</v>
      </c>
    </row>
    <row r="3461">
      <c r="A3461" s="521" t="n">
        <v>3453</v>
      </c>
      <c r="B3461" s="522" t="inlineStr">
        <is>
          <t>Lift-On &amp; Lift-Off</t>
        </is>
      </c>
      <c r="C3461" s="522" t="inlineStr">
        <is>
          <t>កំពង់ផែស្វយ័តក្រុងព្រះសីហនុ</t>
        </is>
      </c>
      <c r="D3461" s="522" t="inlineStr">
        <is>
          <t>L001-100044638</t>
        </is>
      </c>
      <c r="E3461" s="521" t="inlineStr">
        <is>
          <t>172908</t>
        </is>
      </c>
      <c r="F3461" s="523" t="n">
        <v>44835</v>
      </c>
      <c r="G3461" s="556" t="n">
        <v>107663</v>
      </c>
      <c r="I3461" s="521">
        <f>G3461</f>
        <v/>
      </c>
      <c r="K3461" s="521">
        <f>I3461-G3461</f>
        <v/>
      </c>
      <c r="M3461" s="522" t="inlineStr">
        <is>
          <t>172908</t>
        </is>
      </c>
      <c r="N3461" s="522" t="inlineStr"/>
      <c r="O3461" s="521">
        <f>M3461=N3461</f>
        <v/>
      </c>
      <c r="P3461" s="521">
        <f>AND(MONTH(F3461)=MONTH(S3461), YEAR(F3461)=YEAR(S3461))</f>
        <v/>
      </c>
      <c r="Q3461" s="521">
        <f>U3461="L001-901905215"</f>
        <v/>
      </c>
      <c r="R3461" s="556">
        <f>G3461-W3461</f>
        <v/>
      </c>
      <c r="S3461" s="521" t="n"/>
      <c r="T3461" s="522" t="n"/>
      <c r="U3461" s="522" t="n"/>
      <c r="V3461" s="522" t="n"/>
      <c r="W3461" s="521" t="n"/>
    </row>
    <row r="3462">
      <c r="A3462" s="521" t="n">
        <v>3454</v>
      </c>
      <c r="B3462" s="522" t="inlineStr">
        <is>
          <t>Trucking Fee</t>
        </is>
      </c>
      <c r="C3462" s="522" t="inlineStr">
        <is>
          <t>ហាវតាយ អ៊ិនធើណេសិនណល ឡូជីស្ទីក ឯ.ក</t>
        </is>
      </c>
      <c r="D3462" s="522" t="inlineStr">
        <is>
          <t>K007-902202863</t>
        </is>
      </c>
      <c r="E3462" s="521" t="inlineStr">
        <is>
          <t>HT220048</t>
        </is>
      </c>
      <c r="F3462" s="523" t="n">
        <v>44865</v>
      </c>
      <c r="G3462" s="556" t="n">
        <v>757803</v>
      </c>
      <c r="I3462" s="521">
        <f>G3462</f>
        <v/>
      </c>
      <c r="K3462" s="521">
        <f>I3462-G3462</f>
        <v/>
      </c>
      <c r="M3462" s="522" t="inlineStr">
        <is>
          <t>HT220048</t>
        </is>
      </c>
      <c r="N3462" s="522" t="inlineStr">
        <is>
          <t>HT220048</t>
        </is>
      </c>
      <c r="O3462" s="521">
        <f>M3462=N3462</f>
        <v/>
      </c>
      <c r="P3462" s="521">
        <f>AND(MONTH(F3462)=MONTH(S3462), YEAR(F3462)=YEAR(S3462))</f>
        <v/>
      </c>
      <c r="Q3462" s="521">
        <f>U3462="L001-901905215"</f>
        <v/>
      </c>
      <c r="R3462" s="556">
        <f>G3462-W3462</f>
        <v/>
      </c>
      <c r="S3462" s="523" t="n">
        <v>44865</v>
      </c>
      <c r="T3462" s="522" t="inlineStr">
        <is>
          <t>HT220048</t>
        </is>
      </c>
      <c r="U3462" s="522" t="inlineStr">
        <is>
          <t>L001-901905215</t>
        </is>
      </c>
      <c r="V3462" s="522" t="inlineStr">
        <is>
          <t>វីអ៊ីស៊ិន (ខេមបូឌា) អ៊ិនដាសស្ទ្រី ឯ.ក</t>
        </is>
      </c>
      <c r="W3462" s="556" t="n">
        <v>757803</v>
      </c>
    </row>
    <row r="3463">
      <c r="A3463" s="521" t="n">
        <v>3455</v>
      </c>
      <c r="B3463" s="522" t="inlineStr">
        <is>
          <t>EIB</t>
        </is>
      </c>
      <c r="C3463" s="522" t="inlineStr">
        <is>
          <t>អេសអាយធីស៊ី ខិនថេនើរ ឡាញ (ខេមបូឌា)</t>
        </is>
      </c>
      <c r="D3463" s="522" t="inlineStr">
        <is>
          <t>L001-107035863</t>
        </is>
      </c>
      <c r="E3463" s="521" t="inlineStr">
        <is>
          <t>SITC2022-019284</t>
        </is>
      </c>
      <c r="F3463" s="523" t="n">
        <v>44835</v>
      </c>
      <c r="G3463" s="556" t="n">
        <v>434977</v>
      </c>
      <c r="I3463" s="521">
        <f>G3463</f>
        <v/>
      </c>
      <c r="K3463" s="521">
        <f>I3463-G3463</f>
        <v/>
      </c>
      <c r="M3463" s="522" t="inlineStr">
        <is>
          <t>SITC2022019284</t>
        </is>
      </c>
      <c r="N3463" s="522" t="inlineStr"/>
      <c r="O3463" s="521">
        <f>M3463=N3463</f>
        <v/>
      </c>
      <c r="P3463" s="521">
        <f>AND(MONTH(F3463)=MONTH(S3463), YEAR(F3463)=YEAR(S3463))</f>
        <v/>
      </c>
      <c r="Q3463" s="521">
        <f>U3463="L001-901905215"</f>
        <v/>
      </c>
      <c r="R3463" s="556">
        <f>G3463-W3463</f>
        <v/>
      </c>
      <c r="S3463" s="521" t="n"/>
      <c r="T3463" s="522" t="n"/>
      <c r="U3463" s="522" t="n"/>
      <c r="V3463" s="522" t="n"/>
      <c r="W3463" s="521" t="n"/>
    </row>
    <row r="3464">
      <c r="A3464" s="521" t="n">
        <v>3456</v>
      </c>
      <c r="B3464" s="522" t="inlineStr">
        <is>
          <t>Lift-On &amp; Lift-Off</t>
        </is>
      </c>
      <c r="C3464" s="522" t="inlineStr">
        <is>
          <t>កំពង់ផែស្វយ័តក្រុងព្រះសីហនុ</t>
        </is>
      </c>
      <c r="D3464" s="522" t="inlineStr">
        <is>
          <t>L001-100044638</t>
        </is>
      </c>
      <c r="E3464" s="521" t="inlineStr">
        <is>
          <t>165180</t>
        </is>
      </c>
      <c r="F3464" s="523" t="n">
        <v>44835</v>
      </c>
      <c r="G3464" s="556" t="n">
        <v>106167</v>
      </c>
      <c r="I3464" s="521">
        <f>G3464</f>
        <v/>
      </c>
      <c r="K3464" s="521">
        <f>I3464-G3464</f>
        <v/>
      </c>
      <c r="M3464" s="522" t="inlineStr">
        <is>
          <t>165180</t>
        </is>
      </c>
      <c r="N3464" s="522" t="inlineStr"/>
      <c r="O3464" s="521">
        <f>M3464=N3464</f>
        <v/>
      </c>
      <c r="P3464" s="521">
        <f>AND(MONTH(F3464)=MONTH(S3464), YEAR(F3464)=YEAR(S3464))</f>
        <v/>
      </c>
      <c r="Q3464" s="521">
        <f>U3464="L001-901905215"</f>
        <v/>
      </c>
      <c r="R3464" s="556">
        <f>G3464-W3464</f>
        <v/>
      </c>
      <c r="S3464" s="521" t="n"/>
      <c r="T3464" s="522" t="n"/>
      <c r="U3464" s="522" t="n"/>
      <c r="V3464" s="522" t="n"/>
      <c r="W3464" s="521" t="n"/>
    </row>
    <row r="3465">
      <c r="A3465" s="521" t="n">
        <v>3457</v>
      </c>
      <c r="B3465" s="522" t="inlineStr">
        <is>
          <t>Trucking Fee</t>
        </is>
      </c>
      <c r="C3465" s="522" t="inlineStr">
        <is>
          <t>ហាវតាយ អ៊ិនធើណេសិនណល ឡូជីស្ទីក ឯ.ក</t>
        </is>
      </c>
      <c r="D3465" s="522" t="inlineStr">
        <is>
          <t>K007-902202863</t>
        </is>
      </c>
      <c r="E3465" s="521" t="inlineStr">
        <is>
          <t>HT220047</t>
        </is>
      </c>
      <c r="F3465" s="523" t="n">
        <v>44865</v>
      </c>
      <c r="G3465" s="556" t="n">
        <v>505202</v>
      </c>
      <c r="I3465" s="521">
        <f>G3465</f>
        <v/>
      </c>
      <c r="K3465" s="521">
        <f>I3465-G3465</f>
        <v/>
      </c>
      <c r="M3465" s="522" t="inlineStr">
        <is>
          <t>HT220047</t>
        </is>
      </c>
      <c r="N3465" s="522" t="inlineStr">
        <is>
          <t>HT220047</t>
        </is>
      </c>
      <c r="O3465" s="521">
        <f>M3465=N3465</f>
        <v/>
      </c>
      <c r="P3465" s="521">
        <f>AND(MONTH(F3465)=MONTH(S3465), YEAR(F3465)=YEAR(S3465))</f>
        <v/>
      </c>
      <c r="Q3465" s="521">
        <f>U3465="L001-901905215"</f>
        <v/>
      </c>
      <c r="R3465" s="556">
        <f>G3465-W3465</f>
        <v/>
      </c>
      <c r="S3465" s="523" t="n">
        <v>44865</v>
      </c>
      <c r="T3465" s="522" t="inlineStr">
        <is>
          <t>HT220047</t>
        </is>
      </c>
      <c r="U3465" s="522" t="inlineStr">
        <is>
          <t>L001-901905215</t>
        </is>
      </c>
      <c r="V3465" s="522" t="inlineStr">
        <is>
          <t>វីអ៊ីស៊ិន (ខេមបូឌា) អ៊ិនដាសស្ទ្រី ឯ.ក</t>
        </is>
      </c>
      <c r="W3465" s="556" t="n">
        <v>505202</v>
      </c>
    </row>
    <row r="3466">
      <c r="A3466" s="521" t="n">
        <v>3458</v>
      </c>
      <c r="B3466" s="522" t="inlineStr">
        <is>
          <t>EIB</t>
        </is>
      </c>
      <c r="C3466" s="522" t="inlineStr">
        <is>
          <t>អេសអាយធីស៊ី ខិនថេនើរ ឡាញ (ខេមបូឌា)</t>
        </is>
      </c>
      <c r="D3466" s="522" t="inlineStr">
        <is>
          <t>L001-107035863</t>
        </is>
      </c>
      <c r="E3466" s="521" t="inlineStr">
        <is>
          <t>SITC2022-021206</t>
        </is>
      </c>
      <c r="F3466" s="523" t="n">
        <v>44842</v>
      </c>
      <c r="G3466" s="556" t="n">
        <v>436031</v>
      </c>
      <c r="I3466" s="521">
        <f>G3466</f>
        <v/>
      </c>
      <c r="K3466" s="521">
        <f>I3466-G3466</f>
        <v/>
      </c>
      <c r="M3466" s="522" t="inlineStr">
        <is>
          <t>SITC2022021206</t>
        </is>
      </c>
      <c r="N3466" s="522" t="inlineStr">
        <is>
          <t>SITC2022021206</t>
        </is>
      </c>
      <c r="O3466" s="521">
        <f>M3466=N3466</f>
        <v/>
      </c>
      <c r="P3466" s="521">
        <f>AND(MONTH(F3466)=MONTH(S3466), YEAR(F3466)=YEAR(S3466))</f>
        <v/>
      </c>
      <c r="Q3466" s="521">
        <f>U3466="L001-901905215"</f>
        <v/>
      </c>
      <c r="R3466" s="556">
        <f>G3466-W3466</f>
        <v/>
      </c>
      <c r="S3466" s="523" t="n">
        <v>44842</v>
      </c>
      <c r="T3466" s="522" t="inlineStr">
        <is>
          <t>SITC2022-021206</t>
        </is>
      </c>
      <c r="U3466" s="522" t="inlineStr">
        <is>
          <t>L001-901905215</t>
        </is>
      </c>
      <c r="V3466" s="522" t="inlineStr">
        <is>
          <t>វីអ៊ីស៊ិន (ខេមបូឌា) អ៊ិនដាសស្ទ្រី ឯ.ក</t>
        </is>
      </c>
      <c r="W3466" s="556" t="n">
        <v>436032</v>
      </c>
    </row>
    <row r="3467">
      <c r="A3467" s="521" t="n">
        <v>3459</v>
      </c>
      <c r="B3467" s="522" t="inlineStr">
        <is>
          <t>Lift-On &amp; Lift-Off</t>
        </is>
      </c>
      <c r="C3467" s="522" t="inlineStr">
        <is>
          <t>កំពង់ផែស្វយ័តក្រុងព្រះសីហនុ</t>
        </is>
      </c>
      <c r="D3467" s="522" t="inlineStr">
        <is>
          <t>L001-100044638</t>
        </is>
      </c>
      <c r="E3467" s="521" t="inlineStr">
        <is>
          <t>180297</t>
        </is>
      </c>
      <c r="F3467" s="523" t="n">
        <v>44846</v>
      </c>
      <c r="G3467" s="556" t="n">
        <v>71984</v>
      </c>
      <c r="I3467" s="521">
        <f>G3467</f>
        <v/>
      </c>
      <c r="K3467" s="521">
        <f>I3467-G3467</f>
        <v/>
      </c>
      <c r="M3467" s="522" t="inlineStr">
        <is>
          <t>180297</t>
        </is>
      </c>
      <c r="N3467" s="522" t="inlineStr"/>
      <c r="O3467" s="521">
        <f>M3467=N3467</f>
        <v/>
      </c>
      <c r="P3467" s="521">
        <f>AND(MONTH(F3467)=MONTH(S3467), YEAR(F3467)=YEAR(S3467))</f>
        <v/>
      </c>
      <c r="Q3467" s="521">
        <f>U3467="L001-901905215"</f>
        <v/>
      </c>
      <c r="R3467" s="556">
        <f>G3467-W3467</f>
        <v/>
      </c>
      <c r="S3467" s="521" t="n"/>
      <c r="T3467" s="522" t="n"/>
      <c r="U3467" s="522" t="n"/>
      <c r="V3467" s="522" t="n"/>
      <c r="W3467" s="521" t="n"/>
    </row>
    <row r="3468">
      <c r="A3468" s="521" t="n">
        <v>3460</v>
      </c>
      <c r="B3468" s="522" t="inlineStr">
        <is>
          <t>Trucking Fee</t>
        </is>
      </c>
      <c r="C3468" s="522" t="inlineStr">
        <is>
          <t>ហាវតាយ អ៊ិនធើណេសិនណល ឡូជីស្ទីក ឯ.ក</t>
        </is>
      </c>
      <c r="D3468" s="522" t="inlineStr">
        <is>
          <t>K007-902202863</t>
        </is>
      </c>
      <c r="E3468" s="521" t="inlineStr">
        <is>
          <t>HT220044</t>
        </is>
      </c>
      <c r="F3468" s="523" t="n">
        <v>44865</v>
      </c>
      <c r="G3468" s="556" t="n">
        <v>505202</v>
      </c>
      <c r="I3468" s="521">
        <f>G3468</f>
        <v/>
      </c>
      <c r="K3468" s="521">
        <f>I3468-G3468</f>
        <v/>
      </c>
      <c r="M3468" s="522" t="inlineStr">
        <is>
          <t>HT220044</t>
        </is>
      </c>
      <c r="N3468" s="522" t="inlineStr">
        <is>
          <t>HT220044</t>
        </is>
      </c>
      <c r="O3468" s="521">
        <f>M3468=N3468</f>
        <v/>
      </c>
      <c r="P3468" s="521">
        <f>AND(MONTH(F3468)=MONTH(S3468), YEAR(F3468)=YEAR(S3468))</f>
        <v/>
      </c>
      <c r="Q3468" s="521">
        <f>U3468="L001-901905215"</f>
        <v/>
      </c>
      <c r="R3468" s="556">
        <f>G3468-W3468</f>
        <v/>
      </c>
      <c r="S3468" s="523" t="n">
        <v>44865</v>
      </c>
      <c r="T3468" s="522" t="inlineStr">
        <is>
          <t>HT220044</t>
        </is>
      </c>
      <c r="U3468" s="522" t="inlineStr">
        <is>
          <t>L001-901905215</t>
        </is>
      </c>
      <c r="V3468" s="522" t="inlineStr">
        <is>
          <t>វីអ៊ីស៊ិន (ខេមបូឌា) អ៊ិនដាសស្ទ្រី ឯ.ក</t>
        </is>
      </c>
      <c r="W3468" s="556" t="n">
        <v>505202</v>
      </c>
    </row>
    <row r="3469">
      <c r="A3469" s="521" t="n">
        <v>3461</v>
      </c>
      <c r="B3469" s="522" t="inlineStr">
        <is>
          <t>Transportation fee</t>
        </is>
      </c>
      <c r="C3469" s="522" t="inlineStr">
        <is>
          <t>សូស៊ីយេតេ កុងសេស្យូនែរ ដឺ ឡាអេរ៉ូព័រ</t>
        </is>
      </c>
      <c r="D3469" s="522" t="inlineStr">
        <is>
          <t>L001-100047300</t>
        </is>
      </c>
      <c r="E3469" s="521" t="inlineStr">
        <is>
          <t>2200058879</t>
        </is>
      </c>
      <c r="F3469" s="523" t="n">
        <v>44852</v>
      </c>
      <c r="G3469" s="556" t="n">
        <v>8552</v>
      </c>
      <c r="I3469" s="521">
        <f>G3469</f>
        <v/>
      </c>
      <c r="K3469" s="521">
        <f>I3469-G3469</f>
        <v/>
      </c>
      <c r="M3469" s="522" t="inlineStr">
        <is>
          <t>2200058879</t>
        </is>
      </c>
      <c r="N3469" s="522" t="inlineStr"/>
      <c r="O3469" s="521">
        <f>M3469=N3469</f>
        <v/>
      </c>
      <c r="P3469" s="521">
        <f>AND(MONTH(F3469)=MONTH(S3469), YEAR(F3469)=YEAR(S3469))</f>
        <v/>
      </c>
      <c r="Q3469" s="521">
        <f>U3469="L001-901905215"</f>
        <v/>
      </c>
      <c r="R3469" s="556">
        <f>G3469-W3469</f>
        <v/>
      </c>
      <c r="S3469" s="521" t="n"/>
      <c r="T3469" s="522" t="n"/>
      <c r="U3469" s="522" t="n"/>
      <c r="V3469" s="522" t="n"/>
      <c r="W3469" s="521" t="n"/>
    </row>
    <row r="3470">
      <c r="A3470" s="521" t="n">
        <v>3462</v>
      </c>
      <c r="B3470" s="522" t="inlineStr">
        <is>
          <t>Trucking Fee</t>
        </is>
      </c>
      <c r="C3470" s="522" t="inlineStr">
        <is>
          <t>ហាវតាយ អ៊ិនធើណេសិនណល ឡូជីស្ទីក ឯ.ក</t>
        </is>
      </c>
      <c r="D3470" s="522" t="inlineStr">
        <is>
          <t>K007-902202863</t>
        </is>
      </c>
      <c r="E3470" s="521" t="inlineStr">
        <is>
          <t>HT220043</t>
        </is>
      </c>
      <c r="F3470" s="523" t="n">
        <v>44865</v>
      </c>
      <c r="G3470" s="556" t="n">
        <v>140794</v>
      </c>
      <c r="I3470" s="521">
        <f>G3470</f>
        <v/>
      </c>
      <c r="K3470" s="521">
        <f>I3470-G3470</f>
        <v/>
      </c>
      <c r="M3470" s="522" t="inlineStr">
        <is>
          <t>HT220043</t>
        </is>
      </c>
      <c r="N3470" s="522" t="inlineStr">
        <is>
          <t>HT220043</t>
        </is>
      </c>
      <c r="O3470" s="521">
        <f>M3470=N3470</f>
        <v/>
      </c>
      <c r="P3470" s="521">
        <f>AND(MONTH(F3470)=MONTH(S3470), YEAR(F3470)=YEAR(S3470))</f>
        <v/>
      </c>
      <c r="Q3470" s="521">
        <f>U3470="L001-901905215"</f>
        <v/>
      </c>
      <c r="R3470" s="556">
        <f>G3470-W3470</f>
        <v/>
      </c>
      <c r="S3470" s="523" t="n">
        <v>44865</v>
      </c>
      <c r="T3470" s="522" t="inlineStr">
        <is>
          <t>HT220043</t>
        </is>
      </c>
      <c r="U3470" s="522" t="inlineStr">
        <is>
          <t>L001-901905215</t>
        </is>
      </c>
      <c r="V3470" s="522" t="inlineStr">
        <is>
          <t>វីអ៊ីស៊ិន (ខេមបូឌា) អ៊ិនដាសស្ទ្រី ឯ.ក</t>
        </is>
      </c>
      <c r="W3470" s="556" t="n">
        <v>140794</v>
      </c>
    </row>
    <row r="3471">
      <c r="A3471" s="521" t="n">
        <v>3463</v>
      </c>
      <c r="B3471" s="522" t="inlineStr">
        <is>
          <t>Foreign Sale</t>
        </is>
      </c>
      <c r="C3471" s="522" t="inlineStr">
        <is>
          <t>មើស្គ (ខេមបូឌា)</t>
        </is>
      </c>
      <c r="D3471" s="522" t="inlineStr">
        <is>
          <t>L001-100045200</t>
        </is>
      </c>
      <c r="E3471" s="521" t="inlineStr">
        <is>
          <t>5995903946</t>
        </is>
      </c>
      <c r="F3471" s="523" t="n">
        <v>44840</v>
      </c>
      <c r="G3471" s="556" t="n">
        <v>97126</v>
      </c>
      <c r="I3471" s="521">
        <f>G3471</f>
        <v/>
      </c>
      <c r="K3471" s="521">
        <f>I3471-G3471</f>
        <v/>
      </c>
      <c r="M3471" s="522" t="inlineStr">
        <is>
          <t>5995903946</t>
        </is>
      </c>
      <c r="N3471" s="522" t="inlineStr">
        <is>
          <t>5995903946</t>
        </is>
      </c>
      <c r="O3471" s="521">
        <f>M3471=N3471</f>
        <v/>
      </c>
      <c r="P3471" s="521">
        <f>AND(MONTH(F3471)=MONTH(S3471), YEAR(F3471)=YEAR(S3471))</f>
        <v/>
      </c>
      <c r="Q3471" s="521">
        <f>U3471="L001-901905215"</f>
        <v/>
      </c>
      <c r="R3471" s="556">
        <f>G3471-W3471</f>
        <v/>
      </c>
      <c r="S3471" s="523" t="n">
        <v>44840</v>
      </c>
      <c r="T3471" s="522" t="inlineStr">
        <is>
          <t>5995903946</t>
        </is>
      </c>
      <c r="U3471" s="522" t="inlineStr">
        <is>
          <t>L001-901905215</t>
        </is>
      </c>
      <c r="V3471" s="522" t="inlineStr">
        <is>
          <t>វីអ៊ីស៊ិន (ខេមបូឌា) អ៊ិនដាសស្ទ្រី ឯ.ក</t>
        </is>
      </c>
      <c r="W3471" s="556" t="n">
        <v>97126</v>
      </c>
    </row>
    <row r="3472">
      <c r="A3472" s="521" t="n">
        <v>3464</v>
      </c>
      <c r="B3472" s="522" t="inlineStr">
        <is>
          <t>Lift-On &amp; Lift-Off</t>
        </is>
      </c>
      <c r="C3472" s="522" t="inlineStr">
        <is>
          <t>កំពង់ផែស្វយ័តក្រុងព្រះសីហនុ</t>
        </is>
      </c>
      <c r="D3472" s="522" t="inlineStr">
        <is>
          <t>L001-100044638</t>
        </is>
      </c>
      <c r="E3472" s="521" t="inlineStr">
        <is>
          <t>180290</t>
        </is>
      </c>
      <c r="F3472" s="523" t="n">
        <v>44846</v>
      </c>
      <c r="G3472" s="556" t="n">
        <v>23581</v>
      </c>
      <c r="I3472" s="521">
        <f>G3472</f>
        <v/>
      </c>
      <c r="K3472" s="521">
        <f>I3472-G3472</f>
        <v/>
      </c>
      <c r="M3472" s="522" t="inlineStr">
        <is>
          <t>180290</t>
        </is>
      </c>
      <c r="N3472" s="522" t="inlineStr"/>
      <c r="O3472" s="521">
        <f>M3472=N3472</f>
        <v/>
      </c>
      <c r="P3472" s="521">
        <f>AND(MONTH(F3472)=MONTH(S3472), YEAR(F3472)=YEAR(S3472))</f>
        <v/>
      </c>
      <c r="Q3472" s="521">
        <f>U3472="L001-901905215"</f>
        <v/>
      </c>
      <c r="R3472" s="556">
        <f>G3472-W3472</f>
        <v/>
      </c>
      <c r="S3472" s="521" t="n"/>
      <c r="T3472" s="522" t="n"/>
      <c r="U3472" s="522" t="n"/>
      <c r="V3472" s="522" t="n"/>
      <c r="W3472" s="521" t="n"/>
    </row>
    <row r="3473">
      <c r="A3473" s="521" t="n">
        <v>3465</v>
      </c>
      <c r="B3473" s="522" t="inlineStr">
        <is>
          <t>Trucking Fee</t>
        </is>
      </c>
      <c r="C3473" s="522" t="inlineStr">
        <is>
          <t>ហាវតាយ អ៊ិនធើណេសិនណល ឡូជីស្ទីក ឯ.ក</t>
        </is>
      </c>
      <c r="D3473" s="522" t="inlineStr">
        <is>
          <t>K007-902202863</t>
        </is>
      </c>
      <c r="E3473" s="521" t="inlineStr">
        <is>
          <t>HT220042</t>
        </is>
      </c>
      <c r="F3473" s="523" t="n">
        <v>44865</v>
      </c>
      <c r="G3473" s="556" t="n">
        <v>244319</v>
      </c>
      <c r="I3473" s="521">
        <f>G3473</f>
        <v/>
      </c>
      <c r="K3473" s="521">
        <f>I3473-G3473</f>
        <v/>
      </c>
      <c r="M3473" s="522" t="inlineStr">
        <is>
          <t>HT220042</t>
        </is>
      </c>
      <c r="N3473" s="522" t="inlineStr">
        <is>
          <t>HT220042</t>
        </is>
      </c>
      <c r="O3473" s="521">
        <f>M3473=N3473</f>
        <v/>
      </c>
      <c r="P3473" s="521">
        <f>AND(MONTH(F3473)=MONTH(S3473), YEAR(F3473)=YEAR(S3473))</f>
        <v/>
      </c>
      <c r="Q3473" s="521">
        <f>U3473="L001-901905215"</f>
        <v/>
      </c>
      <c r="R3473" s="556">
        <f>G3473-W3473</f>
        <v/>
      </c>
      <c r="S3473" s="523" t="n">
        <v>44865</v>
      </c>
      <c r="T3473" s="522" t="inlineStr">
        <is>
          <t>HT220042</t>
        </is>
      </c>
      <c r="U3473" s="522" t="inlineStr">
        <is>
          <t>L001-901905215</t>
        </is>
      </c>
      <c r="V3473" s="522" t="inlineStr">
        <is>
          <t>វីអ៊ីស៊ិន (ខេមបូឌា) អ៊ិនដាសស្ទ្រី ឯ.ក</t>
        </is>
      </c>
      <c r="W3473" s="556" t="n">
        <v>244319</v>
      </c>
    </row>
    <row r="3474">
      <c r="A3474" s="521" t="n">
        <v>3466</v>
      </c>
      <c r="B3474" s="522" t="inlineStr">
        <is>
          <t>Transportation fee</t>
        </is>
      </c>
      <c r="C3474" s="522" t="inlineStr">
        <is>
          <t>មើស្គ (ខេមបូឌា)</t>
        </is>
      </c>
      <c r="D3474" s="522" t="inlineStr">
        <is>
          <t>L001-100045200</t>
        </is>
      </c>
      <c r="E3474" s="521" t="inlineStr">
        <is>
          <t>5995902483</t>
        </is>
      </c>
      <c r="F3474" s="523" t="n">
        <v>44835</v>
      </c>
      <c r="G3474" s="556" t="n">
        <v>125630</v>
      </c>
      <c r="I3474" s="521">
        <f>G3474</f>
        <v/>
      </c>
      <c r="K3474" s="521">
        <f>I3474-G3474</f>
        <v/>
      </c>
      <c r="M3474" s="522" t="inlineStr">
        <is>
          <t>5995902483</t>
        </is>
      </c>
      <c r="N3474" s="522" t="inlineStr"/>
      <c r="O3474" s="521">
        <f>M3474=N3474</f>
        <v/>
      </c>
      <c r="P3474" s="521">
        <f>AND(MONTH(F3474)=MONTH(S3474), YEAR(F3474)=YEAR(S3474))</f>
        <v/>
      </c>
      <c r="Q3474" s="521">
        <f>U3474="L001-901905215"</f>
        <v/>
      </c>
      <c r="R3474" s="556">
        <f>G3474-W3474</f>
        <v/>
      </c>
      <c r="S3474" s="521" t="n"/>
      <c r="T3474" s="522" t="n"/>
      <c r="U3474" s="522" t="n"/>
      <c r="V3474" s="522" t="n"/>
      <c r="W3474" s="521" t="n"/>
    </row>
    <row r="3475">
      <c r="A3475" s="521" t="n">
        <v>3467</v>
      </c>
      <c r="B3475" s="522" t="inlineStr">
        <is>
          <t>Lift-On &amp; Lift-Off</t>
        </is>
      </c>
      <c r="C3475" s="522" t="inlineStr">
        <is>
          <t>កំពង់ផែស្វយ័តក្រុងព្រះសីហនុ</t>
        </is>
      </c>
      <c r="D3475" s="522" t="inlineStr">
        <is>
          <t>L001-100044638</t>
        </is>
      </c>
      <c r="E3475" s="521" t="inlineStr">
        <is>
          <t>170420</t>
        </is>
      </c>
      <c r="F3475" s="523" t="n">
        <v>44835</v>
      </c>
      <c r="G3475" s="556" t="n">
        <v>35879</v>
      </c>
      <c r="I3475" s="521">
        <f>G3475</f>
        <v/>
      </c>
      <c r="K3475" s="521">
        <f>I3475-G3475</f>
        <v/>
      </c>
      <c r="M3475" s="522" t="inlineStr">
        <is>
          <t>170420</t>
        </is>
      </c>
      <c r="N3475" s="522" t="inlineStr"/>
      <c r="O3475" s="521">
        <f>M3475=N3475</f>
        <v/>
      </c>
      <c r="P3475" s="521">
        <f>AND(MONTH(F3475)=MONTH(S3475), YEAR(F3475)=YEAR(S3475))</f>
        <v/>
      </c>
      <c r="Q3475" s="521">
        <f>U3475="L001-901905215"</f>
        <v/>
      </c>
      <c r="R3475" s="556">
        <f>G3475-W3475</f>
        <v/>
      </c>
      <c r="S3475" s="521" t="n"/>
      <c r="T3475" s="522" t="n"/>
      <c r="U3475" s="522" t="n"/>
      <c r="V3475" s="522" t="n"/>
      <c r="W3475" s="521" t="n"/>
    </row>
    <row r="3476">
      <c r="A3476" s="521" t="n">
        <v>3468</v>
      </c>
      <c r="B3476" s="522" t="inlineStr">
        <is>
          <t>Trucking Fee</t>
        </is>
      </c>
      <c r="C3476" s="522" t="inlineStr">
        <is>
          <t>ហាវតាយ អ៊ិនធើណេសិនណល ឡូជីស្ទីក ឯ.ក</t>
        </is>
      </c>
      <c r="D3476" s="522" t="inlineStr">
        <is>
          <t>K007-902202863</t>
        </is>
      </c>
      <c r="E3476" s="521" t="inlineStr">
        <is>
          <t>HT220041</t>
        </is>
      </c>
      <c r="F3476" s="523" t="n">
        <v>44865</v>
      </c>
      <c r="G3476" s="556" t="n">
        <v>252845</v>
      </c>
      <c r="I3476" s="521">
        <f>G3476</f>
        <v/>
      </c>
      <c r="K3476" s="521">
        <f>I3476-G3476</f>
        <v/>
      </c>
      <c r="M3476" s="522" t="inlineStr">
        <is>
          <t>HT220041</t>
        </is>
      </c>
      <c r="N3476" s="522" t="inlineStr">
        <is>
          <t>HT220041</t>
        </is>
      </c>
      <c r="O3476" s="521">
        <f>M3476=N3476</f>
        <v/>
      </c>
      <c r="P3476" s="521">
        <f>AND(MONTH(F3476)=MONTH(S3476), YEAR(F3476)=YEAR(S3476))</f>
        <v/>
      </c>
      <c r="Q3476" s="521">
        <f>U3476="L001-901905215"</f>
        <v/>
      </c>
      <c r="R3476" s="556">
        <f>G3476-W3476</f>
        <v/>
      </c>
      <c r="S3476" s="523" t="n">
        <v>44858</v>
      </c>
      <c r="T3476" s="522" t="inlineStr">
        <is>
          <t>HT220041</t>
        </is>
      </c>
      <c r="U3476" s="522" t="inlineStr">
        <is>
          <t>L001-901905215</t>
        </is>
      </c>
      <c r="V3476" s="522" t="inlineStr">
        <is>
          <t>វីអ៊ីស៊ិន (ខេមបូឌា) អ៊ិនដាសស្ទ្រី ឯ.ក</t>
        </is>
      </c>
      <c r="W3476" s="556" t="n">
        <v>252845</v>
      </c>
    </row>
    <row r="3477">
      <c r="A3477" s="521" t="n">
        <v>3469</v>
      </c>
      <c r="B3477" s="522" t="inlineStr">
        <is>
          <t>EIB</t>
        </is>
      </c>
      <c r="C3477" s="522" t="inlineStr">
        <is>
          <t>អេសអាយធីស៊ី ខិនថេនើរ ឡាញ (ខេមបូឌា)</t>
        </is>
      </c>
      <c r="D3477" s="522" t="inlineStr">
        <is>
          <t>L001-107035863</t>
        </is>
      </c>
      <c r="E3477" s="521" t="inlineStr">
        <is>
          <t>STIC2022-019927</t>
        </is>
      </c>
      <c r="F3477" s="523" t="n">
        <v>44835</v>
      </c>
      <c r="G3477" s="556" t="n">
        <v>228882</v>
      </c>
      <c r="I3477" s="521">
        <f>G3477</f>
        <v/>
      </c>
      <c r="K3477" s="521">
        <f>I3477-G3477</f>
        <v/>
      </c>
      <c r="M3477" s="522" t="inlineStr">
        <is>
          <t>STIC2022019927</t>
        </is>
      </c>
      <c r="N3477" s="522" t="inlineStr"/>
      <c r="O3477" s="521">
        <f>M3477=N3477</f>
        <v/>
      </c>
      <c r="P3477" s="521">
        <f>AND(MONTH(F3477)=MONTH(S3477), YEAR(F3477)=YEAR(S3477))</f>
        <v/>
      </c>
      <c r="Q3477" s="521">
        <f>U3477="L001-901905215"</f>
        <v/>
      </c>
      <c r="R3477" s="556">
        <f>G3477-W3477</f>
        <v/>
      </c>
      <c r="S3477" s="521" t="n"/>
      <c r="T3477" s="522" t="n"/>
      <c r="U3477" s="522" t="n"/>
      <c r="V3477" s="522" t="n"/>
      <c r="W3477" s="521" t="n"/>
    </row>
    <row r="3478">
      <c r="A3478" s="521" t="n">
        <v>3470</v>
      </c>
      <c r="B3478" s="522" t="inlineStr">
        <is>
          <t>Lift-On &amp; Lift-Off</t>
        </is>
      </c>
      <c r="C3478" s="522" t="inlineStr">
        <is>
          <t>កំពង់ផែស្វយ័តក្រុងព្រះសីហនុ</t>
        </is>
      </c>
      <c r="D3478" s="522" t="inlineStr">
        <is>
          <t>L001-100044638</t>
        </is>
      </c>
      <c r="E3478" s="521" t="inlineStr">
        <is>
          <t>170904</t>
        </is>
      </c>
      <c r="F3478" s="523" t="n">
        <v>44835</v>
      </c>
      <c r="G3478" s="556" t="n">
        <v>35879</v>
      </c>
      <c r="I3478" s="521">
        <f>G3478</f>
        <v/>
      </c>
      <c r="K3478" s="521">
        <f>I3478-G3478</f>
        <v/>
      </c>
      <c r="M3478" s="522" t="inlineStr">
        <is>
          <t>170904</t>
        </is>
      </c>
      <c r="N3478" s="522" t="inlineStr"/>
      <c r="O3478" s="521">
        <f>M3478=N3478</f>
        <v/>
      </c>
      <c r="P3478" s="521">
        <f>AND(MONTH(F3478)=MONTH(S3478), YEAR(F3478)=YEAR(S3478))</f>
        <v/>
      </c>
      <c r="Q3478" s="521">
        <f>U3478="L001-901905215"</f>
        <v/>
      </c>
      <c r="R3478" s="556">
        <f>G3478-W3478</f>
        <v/>
      </c>
      <c r="S3478" s="521" t="n"/>
      <c r="T3478" s="522" t="n"/>
      <c r="U3478" s="522" t="n"/>
      <c r="V3478" s="522" t="n"/>
      <c r="W3478" s="521" t="n"/>
    </row>
    <row r="3479">
      <c r="A3479" s="521" t="n">
        <v>3471</v>
      </c>
      <c r="B3479" s="522" t="inlineStr">
        <is>
          <t>Trucking Fee</t>
        </is>
      </c>
      <c r="C3479" s="522" t="inlineStr">
        <is>
          <t>ហាវតាយ អ៊ិនធើណេសិនណល ឡូជីស្ទីក ឯ.ក</t>
        </is>
      </c>
      <c r="D3479" s="522" t="inlineStr">
        <is>
          <t>K007-902202863</t>
        </is>
      </c>
      <c r="E3479" s="521" t="inlineStr">
        <is>
          <t>HT220040</t>
        </is>
      </c>
      <c r="F3479" s="523" t="n">
        <v>44855</v>
      </c>
      <c r="G3479" s="556" t="n">
        <v>252906</v>
      </c>
      <c r="I3479" s="521">
        <f>G3479</f>
        <v/>
      </c>
      <c r="K3479" s="521">
        <f>I3479-G3479</f>
        <v/>
      </c>
      <c r="M3479" s="522" t="inlineStr">
        <is>
          <t>HT220040</t>
        </is>
      </c>
      <c r="N3479" s="522" t="inlineStr">
        <is>
          <t>HT220040</t>
        </is>
      </c>
      <c r="O3479" s="521">
        <f>M3479=N3479</f>
        <v/>
      </c>
      <c r="P3479" s="521">
        <f>AND(MONTH(F3479)=MONTH(S3479), YEAR(F3479)=YEAR(S3479))</f>
        <v/>
      </c>
      <c r="Q3479" s="521">
        <f>U3479="L001-901905215"</f>
        <v/>
      </c>
      <c r="R3479" s="556">
        <f>G3479-W3479</f>
        <v/>
      </c>
      <c r="S3479" s="523" t="n">
        <v>44855</v>
      </c>
      <c r="T3479" s="522" t="inlineStr">
        <is>
          <t>HT220040</t>
        </is>
      </c>
      <c r="U3479" s="522" t="inlineStr">
        <is>
          <t>L001-901905215</t>
        </is>
      </c>
      <c r="V3479" s="522" t="inlineStr">
        <is>
          <t>វីអ៊ីស៊ិន (ខេមបូឌា) អ៊ិនដាសស្ទ្រី ឯ.ក</t>
        </is>
      </c>
      <c r="W3479" s="556" t="n">
        <v>252906</v>
      </c>
    </row>
    <row r="3480">
      <c r="A3480" s="521" t="n">
        <v>3472</v>
      </c>
      <c r="B3480" s="522" t="inlineStr">
        <is>
          <t>EIB</t>
        </is>
      </c>
      <c r="C3480" s="522" t="inlineStr">
        <is>
          <t>អេសអាយធីស៊ី ខិនថេនើរ ឡាញ (ខេមបូឌា)</t>
        </is>
      </c>
      <c r="D3480" s="522" t="inlineStr">
        <is>
          <t>L001-107035863</t>
        </is>
      </c>
      <c r="E3480" s="521" t="inlineStr">
        <is>
          <t>SITC2022-019896</t>
        </is>
      </c>
      <c r="F3480" s="523" t="n">
        <v>44835</v>
      </c>
      <c r="G3480" s="556" t="n">
        <v>228660</v>
      </c>
      <c r="I3480" s="521">
        <f>G3480</f>
        <v/>
      </c>
      <c r="K3480" s="521">
        <f>I3480-G3480</f>
        <v/>
      </c>
      <c r="M3480" s="522" t="inlineStr">
        <is>
          <t>SITC2022019896</t>
        </is>
      </c>
      <c r="N3480" s="522" t="inlineStr"/>
      <c r="O3480" s="521">
        <f>M3480=N3480</f>
        <v/>
      </c>
      <c r="P3480" s="521">
        <f>AND(MONTH(F3480)=MONTH(S3480), YEAR(F3480)=YEAR(S3480))</f>
        <v/>
      </c>
      <c r="Q3480" s="521">
        <f>U3480="L001-901905215"</f>
        <v/>
      </c>
      <c r="R3480" s="556">
        <f>G3480-W3480</f>
        <v/>
      </c>
      <c r="S3480" s="521" t="n"/>
      <c r="T3480" s="522" t="n"/>
      <c r="U3480" s="522" t="n"/>
      <c r="V3480" s="522" t="n"/>
      <c r="W3480" s="521" t="n"/>
    </row>
    <row r="3481">
      <c r="A3481" s="521" t="n">
        <v>3473</v>
      </c>
      <c r="B3481" s="522" t="inlineStr">
        <is>
          <t>Lift-On &amp; Lift-Off</t>
        </is>
      </c>
      <c r="C3481" s="522" t="inlineStr">
        <is>
          <t>កំពង់ផែស្វយ័តក្រុងព្រះសីហនុ</t>
        </is>
      </c>
      <c r="D3481" s="522" t="inlineStr">
        <is>
          <t>L001-100044638</t>
        </is>
      </c>
      <c r="E3481" s="521" t="inlineStr">
        <is>
          <t>170419</t>
        </is>
      </c>
      <c r="F3481" s="523" t="n">
        <v>44835</v>
      </c>
      <c r="G3481" s="556" t="n">
        <v>35879</v>
      </c>
      <c r="I3481" s="521">
        <f>G3481</f>
        <v/>
      </c>
      <c r="K3481" s="521">
        <f>I3481-G3481</f>
        <v/>
      </c>
      <c r="M3481" s="522" t="inlineStr">
        <is>
          <t>170419</t>
        </is>
      </c>
      <c r="N3481" s="522" t="inlineStr"/>
      <c r="O3481" s="521">
        <f>M3481=N3481</f>
        <v/>
      </c>
      <c r="P3481" s="521">
        <f>AND(MONTH(F3481)=MONTH(S3481), YEAR(F3481)=YEAR(S3481))</f>
        <v/>
      </c>
      <c r="Q3481" s="521">
        <f>U3481="L001-901905215"</f>
        <v/>
      </c>
      <c r="R3481" s="556">
        <f>G3481-W3481</f>
        <v/>
      </c>
      <c r="S3481" s="521" t="n"/>
      <c r="T3481" s="522" t="n"/>
      <c r="U3481" s="522" t="n"/>
      <c r="V3481" s="522" t="n"/>
      <c r="W3481" s="521" t="n"/>
    </row>
    <row r="3482">
      <c r="A3482" s="521" t="n">
        <v>3474</v>
      </c>
      <c r="B3482" s="522" t="inlineStr">
        <is>
          <t>Trucking Fee</t>
        </is>
      </c>
      <c r="C3482" s="522" t="inlineStr">
        <is>
          <t>ហាវតាយ អ៊ិនធើណេសិនណល ឡូជីស្ទីក ឯ.ក</t>
        </is>
      </c>
      <c r="D3482" s="522" t="inlineStr">
        <is>
          <t>K007-902202863</t>
        </is>
      </c>
      <c r="E3482" s="521" t="inlineStr">
        <is>
          <t>HT220039</t>
        </is>
      </c>
      <c r="F3482" s="523" t="n">
        <v>44855</v>
      </c>
      <c r="G3482" s="556" t="n">
        <v>252906</v>
      </c>
      <c r="I3482" s="521">
        <f>G3482</f>
        <v/>
      </c>
      <c r="K3482" s="521">
        <f>I3482-G3482</f>
        <v/>
      </c>
      <c r="M3482" s="522" t="inlineStr">
        <is>
          <t>HT220039</t>
        </is>
      </c>
      <c r="N3482" s="522" t="inlineStr">
        <is>
          <t>HT220039</t>
        </is>
      </c>
      <c r="O3482" s="521">
        <f>M3482=N3482</f>
        <v/>
      </c>
      <c r="P3482" s="521">
        <f>AND(MONTH(F3482)=MONTH(S3482), YEAR(F3482)=YEAR(S3482))</f>
        <v/>
      </c>
      <c r="Q3482" s="521">
        <f>U3482="L001-901905215"</f>
        <v/>
      </c>
      <c r="R3482" s="556">
        <f>G3482-W3482</f>
        <v/>
      </c>
      <c r="S3482" s="523" t="n">
        <v>44855</v>
      </c>
      <c r="T3482" s="522" t="inlineStr">
        <is>
          <t>HT220039</t>
        </is>
      </c>
      <c r="U3482" s="522" t="inlineStr">
        <is>
          <t>L001-901905215</t>
        </is>
      </c>
      <c r="V3482" s="522" t="inlineStr">
        <is>
          <t>វីអ៊ីស៊ិន (ខេមបូឌា) អ៊ិនដាសស្ទ្រី ឯ.ក</t>
        </is>
      </c>
      <c r="W3482" s="556" t="n">
        <v>252906</v>
      </c>
    </row>
    <row r="3483">
      <c r="A3483" s="521" t="n">
        <v>3475</v>
      </c>
      <c r="B3483" s="522" t="inlineStr">
        <is>
          <t>EIB</t>
        </is>
      </c>
      <c r="C3483" s="522" t="inlineStr">
        <is>
          <t>អេសអាយធីស៊ី ខិនថេនើរ ឡាញ (ខេមបូឌា)</t>
        </is>
      </c>
      <c r="D3483" s="522" t="inlineStr">
        <is>
          <t>L001-107035863</t>
        </is>
      </c>
      <c r="E3483" s="521" t="inlineStr">
        <is>
          <t>SITC2022-020387</t>
        </is>
      </c>
      <c r="F3483" s="523" t="n">
        <v>44835</v>
      </c>
      <c r="G3483" s="556" t="n">
        <v>228882</v>
      </c>
      <c r="I3483" s="521">
        <f>G3483</f>
        <v/>
      </c>
      <c r="K3483" s="521">
        <f>I3483-G3483</f>
        <v/>
      </c>
      <c r="M3483" s="522" t="inlineStr">
        <is>
          <t>SITC2022020387</t>
        </is>
      </c>
      <c r="N3483" s="522" t="inlineStr"/>
      <c r="O3483" s="521">
        <f>M3483=N3483</f>
        <v/>
      </c>
      <c r="P3483" s="521">
        <f>AND(MONTH(F3483)=MONTH(S3483), YEAR(F3483)=YEAR(S3483))</f>
        <v/>
      </c>
      <c r="Q3483" s="521">
        <f>U3483="L001-901905215"</f>
        <v/>
      </c>
      <c r="R3483" s="556">
        <f>G3483-W3483</f>
        <v/>
      </c>
      <c r="S3483" s="521" t="n"/>
      <c r="T3483" s="522" t="n"/>
      <c r="U3483" s="522" t="n"/>
      <c r="V3483" s="522" t="n"/>
      <c r="W3483" s="521" t="n"/>
    </row>
    <row r="3484">
      <c r="A3484" s="521" t="n">
        <v>3476</v>
      </c>
      <c r="B3484" s="522" t="inlineStr">
        <is>
          <t>Lift-On &amp; Lift-Off</t>
        </is>
      </c>
      <c r="C3484" s="522" t="inlineStr">
        <is>
          <t>កំពង់ផែស្វយ័តក្រុងព្រះសីហនុ</t>
        </is>
      </c>
      <c r="D3484" s="522" t="inlineStr">
        <is>
          <t>L001-100044638</t>
        </is>
      </c>
      <c r="E3484" s="521" t="inlineStr">
        <is>
          <t>172911</t>
        </is>
      </c>
      <c r="F3484" s="523" t="n">
        <v>44835</v>
      </c>
      <c r="G3484" s="556" t="n">
        <v>35887</v>
      </c>
      <c r="I3484" s="521">
        <f>G3484</f>
        <v/>
      </c>
      <c r="K3484" s="521">
        <f>I3484-G3484</f>
        <v/>
      </c>
      <c r="M3484" s="522" t="inlineStr">
        <is>
          <t>172911</t>
        </is>
      </c>
      <c r="N3484" s="522" t="inlineStr"/>
      <c r="O3484" s="521">
        <f>M3484=N3484</f>
        <v/>
      </c>
      <c r="P3484" s="521">
        <f>AND(MONTH(F3484)=MONTH(S3484), YEAR(F3484)=YEAR(S3484))</f>
        <v/>
      </c>
      <c r="Q3484" s="521">
        <f>U3484="L001-901905215"</f>
        <v/>
      </c>
      <c r="R3484" s="556">
        <f>G3484-W3484</f>
        <v/>
      </c>
      <c r="S3484" s="521" t="n"/>
      <c r="T3484" s="522" t="n"/>
      <c r="U3484" s="522" t="n"/>
      <c r="V3484" s="522" t="n"/>
      <c r="W3484" s="521" t="n"/>
    </row>
    <row r="3485">
      <c r="A3485" s="521" t="n">
        <v>3477</v>
      </c>
      <c r="B3485" s="522" t="inlineStr">
        <is>
          <t>Trucking Fee</t>
        </is>
      </c>
      <c r="C3485" s="522" t="inlineStr">
        <is>
          <t>ហាវតាយ អ៊ិនធើណេសិនណល ឡូជីស្ទីក ឯ.ក</t>
        </is>
      </c>
      <c r="D3485" s="522" t="inlineStr">
        <is>
          <t>K007-902202863</t>
        </is>
      </c>
      <c r="E3485" s="521" t="inlineStr">
        <is>
          <t>HT220038</t>
        </is>
      </c>
      <c r="F3485" s="523" t="n">
        <v>44855</v>
      </c>
      <c r="G3485" s="556" t="n">
        <v>252906</v>
      </c>
      <c r="I3485" s="521">
        <f>G3485</f>
        <v/>
      </c>
      <c r="K3485" s="521">
        <f>I3485-G3485</f>
        <v/>
      </c>
      <c r="M3485" s="522" t="inlineStr">
        <is>
          <t>HT220038</t>
        </is>
      </c>
      <c r="N3485" s="522" t="inlineStr">
        <is>
          <t>HT220038</t>
        </is>
      </c>
      <c r="O3485" s="521">
        <f>M3485=N3485</f>
        <v/>
      </c>
      <c r="P3485" s="521">
        <f>AND(MONTH(F3485)=MONTH(S3485), YEAR(F3485)=YEAR(S3485))</f>
        <v/>
      </c>
      <c r="Q3485" s="521">
        <f>U3485="L001-901905215"</f>
        <v/>
      </c>
      <c r="R3485" s="556">
        <f>G3485-W3485</f>
        <v/>
      </c>
      <c r="S3485" s="523" t="n">
        <v>44855</v>
      </c>
      <c r="T3485" s="522" t="inlineStr">
        <is>
          <t>HT220038</t>
        </is>
      </c>
      <c r="U3485" s="522" t="inlineStr">
        <is>
          <t>L001-901905215</t>
        </is>
      </c>
      <c r="V3485" s="522" t="inlineStr">
        <is>
          <t>វីអ៊ីស៊ិន (ខេមបូឌា) អ៊ិនដាសស្ទ្រី ឯ.ក</t>
        </is>
      </c>
      <c r="W3485" s="556" t="n">
        <v>252906</v>
      </c>
    </row>
    <row r="3486">
      <c r="A3486" s="521" t="n">
        <v>3478</v>
      </c>
      <c r="B3486" s="522" t="inlineStr">
        <is>
          <t>Trucking Fee</t>
        </is>
      </c>
      <c r="C3486" s="522" t="inlineStr">
        <is>
          <t>អ៊ិចស្ពែឌីធ័រ ខេមបូឌា អិលធីឌី</t>
        </is>
      </c>
      <c r="D3486" s="522" t="inlineStr">
        <is>
          <t>L001-100045898</t>
        </is>
      </c>
      <c r="E3486" s="521" t="inlineStr">
        <is>
          <t>TI-0238617</t>
        </is>
      </c>
      <c r="F3486" s="523" t="n">
        <v>44865</v>
      </c>
      <c r="G3486" s="556" t="n">
        <v>189658</v>
      </c>
      <c r="I3486" s="521">
        <f>G3486</f>
        <v/>
      </c>
      <c r="K3486" s="521">
        <f>I3486-G3486</f>
        <v/>
      </c>
      <c r="M3486" s="522" t="inlineStr">
        <is>
          <t>TI0238617</t>
        </is>
      </c>
      <c r="N3486" s="522" t="inlineStr">
        <is>
          <t>TI0238617</t>
        </is>
      </c>
      <c r="O3486" s="521">
        <f>M3486=N3486</f>
        <v/>
      </c>
      <c r="P3486" s="521">
        <f>AND(MONTH(F3486)=MONTH(S3486), YEAR(F3486)=YEAR(S3486))</f>
        <v/>
      </c>
      <c r="Q3486" s="521">
        <f>U3486="L001-901905215"</f>
        <v/>
      </c>
      <c r="R3486" s="556">
        <f>G3486-W3486</f>
        <v/>
      </c>
      <c r="S3486" s="523" t="n">
        <v>44865</v>
      </c>
      <c r="T3486" s="522" t="inlineStr">
        <is>
          <t>TI-0238617</t>
        </is>
      </c>
      <c r="U3486" s="522" t="inlineStr">
        <is>
          <t>L001-901905215</t>
        </is>
      </c>
      <c r="V3486" s="522" t="inlineStr">
        <is>
          <t>វីអ៊ីស៊ិន (ខេមបូឌា) អ៊ិនដាសស្ទ្រី ឯ.ក</t>
        </is>
      </c>
      <c r="W3486" s="556" t="n">
        <v>189658</v>
      </c>
    </row>
    <row r="3487">
      <c r="A3487" s="521" t="n">
        <v>3479</v>
      </c>
      <c r="B3487" s="522" t="inlineStr">
        <is>
          <t>Trucking Fee</t>
        </is>
      </c>
      <c r="C3487" s="522" t="inlineStr">
        <is>
          <t>អ៊ិចស្ពែឌីធ័រ ខេមបូឌា អិលធីឌី</t>
        </is>
      </c>
      <c r="D3487" s="522" t="inlineStr">
        <is>
          <t>L001-100045898</t>
        </is>
      </c>
      <c r="E3487" s="521" t="inlineStr">
        <is>
          <t>TI-0238606</t>
        </is>
      </c>
      <c r="F3487" s="523" t="n">
        <v>44865</v>
      </c>
      <c r="G3487" s="556" t="n">
        <v>108705</v>
      </c>
      <c r="I3487" s="521">
        <f>G3487</f>
        <v/>
      </c>
      <c r="K3487" s="521">
        <f>I3487-G3487</f>
        <v/>
      </c>
      <c r="M3487" s="522" t="inlineStr">
        <is>
          <t>TI0238606</t>
        </is>
      </c>
      <c r="N3487" s="522" t="inlineStr">
        <is>
          <t>TI0238606</t>
        </is>
      </c>
      <c r="O3487" s="521">
        <f>M3487=N3487</f>
        <v/>
      </c>
      <c r="P3487" s="521">
        <f>AND(MONTH(F3487)=MONTH(S3487), YEAR(F3487)=YEAR(S3487))</f>
        <v/>
      </c>
      <c r="Q3487" s="521">
        <f>U3487="L001-901905215"</f>
        <v/>
      </c>
      <c r="R3487" s="556">
        <f>G3487-W3487</f>
        <v/>
      </c>
      <c r="S3487" s="523" t="n">
        <v>44865</v>
      </c>
      <c r="T3487" s="522" t="inlineStr">
        <is>
          <t>TI-0238606</t>
        </is>
      </c>
      <c r="U3487" s="522" t="inlineStr">
        <is>
          <t>L001-901905215</t>
        </is>
      </c>
      <c r="V3487" s="522" t="inlineStr">
        <is>
          <t>វីអ៊ីស៊ិន (ខេមបូឌា) អ៊ិនដាសស្ទ្រី ឯ.ក</t>
        </is>
      </c>
      <c r="W3487" s="556" t="n">
        <v>108701</v>
      </c>
    </row>
    <row r="3488">
      <c r="A3488" s="521" t="n">
        <v>3480</v>
      </c>
      <c r="B3488" s="522" t="inlineStr">
        <is>
          <t>Trucking Fee</t>
        </is>
      </c>
      <c r="C3488" s="522" t="inlineStr">
        <is>
          <t>អ៊ិចស្ពែឌីធ័រ ខេមបូឌា អិលធីឌី</t>
        </is>
      </c>
      <c r="D3488" s="522" t="inlineStr">
        <is>
          <t>L001-100045898</t>
        </is>
      </c>
      <c r="E3488" s="521" t="inlineStr">
        <is>
          <t>TI-0238605</t>
        </is>
      </c>
      <c r="F3488" s="523" t="n">
        <v>44865</v>
      </c>
      <c r="G3488" s="556" t="n">
        <v>131499</v>
      </c>
      <c r="I3488" s="521">
        <f>G3488</f>
        <v/>
      </c>
      <c r="K3488" s="521">
        <f>I3488-G3488</f>
        <v/>
      </c>
      <c r="M3488" s="522" t="inlineStr">
        <is>
          <t>TI0238605</t>
        </is>
      </c>
      <c r="N3488" s="522" t="inlineStr">
        <is>
          <t>TI0238605</t>
        </is>
      </c>
      <c r="O3488" s="521">
        <f>M3488=N3488</f>
        <v/>
      </c>
      <c r="P3488" s="521">
        <f>AND(MONTH(F3488)=MONTH(S3488), YEAR(F3488)=YEAR(S3488))</f>
        <v/>
      </c>
      <c r="Q3488" s="521">
        <f>U3488="L001-901905215"</f>
        <v/>
      </c>
      <c r="R3488" s="556">
        <f>G3488-W3488</f>
        <v/>
      </c>
      <c r="S3488" s="523" t="n">
        <v>44865</v>
      </c>
      <c r="T3488" s="522" t="inlineStr">
        <is>
          <t>TI-0238605</t>
        </is>
      </c>
      <c r="U3488" s="522" t="inlineStr">
        <is>
          <t>L001-901905215</t>
        </is>
      </c>
      <c r="V3488" s="522" t="inlineStr">
        <is>
          <t>វីអ៊ីស៊ិន (ខេមបូឌា) អ៊ិនដាសស្ទ្រី ឯ.ក</t>
        </is>
      </c>
      <c r="W3488" s="556" t="n">
        <v>131518</v>
      </c>
    </row>
    <row r="3489">
      <c r="A3489" s="521" t="n">
        <v>3481</v>
      </c>
      <c r="B3489" s="522" t="inlineStr">
        <is>
          <t>Trucking Fee</t>
        </is>
      </c>
      <c r="C3489" s="522" t="inlineStr">
        <is>
          <t>អ៊ិចស្ពែឌីធ័រ ខេមបូឌា អិលធីឌី</t>
        </is>
      </c>
      <c r="D3489" s="522" t="inlineStr">
        <is>
          <t>L001-100045898</t>
        </is>
      </c>
      <c r="E3489" s="521" t="inlineStr">
        <is>
          <t>TI-0238602</t>
        </is>
      </c>
      <c r="F3489" s="523" t="n">
        <v>44865</v>
      </c>
      <c r="G3489" s="556" t="n">
        <v>91373</v>
      </c>
      <c r="I3489" s="521">
        <f>G3489</f>
        <v/>
      </c>
      <c r="K3489" s="521">
        <f>I3489-G3489</f>
        <v/>
      </c>
      <c r="M3489" s="522" t="inlineStr">
        <is>
          <t>TI0238602</t>
        </is>
      </c>
      <c r="N3489" s="522" t="inlineStr">
        <is>
          <t>TI0238602</t>
        </is>
      </c>
      <c r="O3489" s="521">
        <f>M3489=N3489</f>
        <v/>
      </c>
      <c r="P3489" s="521">
        <f>AND(MONTH(F3489)=MONTH(S3489), YEAR(F3489)=YEAR(S3489))</f>
        <v/>
      </c>
      <c r="Q3489" s="521">
        <f>U3489="L001-901905215"</f>
        <v/>
      </c>
      <c r="R3489" s="556">
        <f>G3489-W3489</f>
        <v/>
      </c>
      <c r="S3489" s="523" t="n">
        <v>44865</v>
      </c>
      <c r="T3489" s="522" t="inlineStr">
        <is>
          <t>TI-0238602</t>
        </is>
      </c>
      <c r="U3489" s="522" t="inlineStr">
        <is>
          <t>L001-901905215</t>
        </is>
      </c>
      <c r="V3489" s="522" t="inlineStr">
        <is>
          <t>វីអ៊ីស៊ិន (ខេមបូឌា) អ៊ិនដាសស្ទ្រី ឯ.ក</t>
        </is>
      </c>
      <c r="W3489" s="556" t="n">
        <v>91392</v>
      </c>
    </row>
    <row r="3490">
      <c r="A3490" s="521" t="n">
        <v>3482</v>
      </c>
      <c r="B3490" s="522" t="inlineStr">
        <is>
          <t>Trucking Fee</t>
        </is>
      </c>
      <c r="C3490" s="522" t="inlineStr">
        <is>
          <t>អ៊ិចស្ពែឌីធ័រ ខេមបូឌា អិលធីឌី</t>
        </is>
      </c>
      <c r="D3490" s="522" t="inlineStr">
        <is>
          <t>L001-100045898</t>
        </is>
      </c>
      <c r="E3490" s="521" t="inlineStr">
        <is>
          <t>TI-0238596</t>
        </is>
      </c>
      <c r="F3490" s="523" t="n">
        <v>44865</v>
      </c>
      <c r="G3490" s="556" t="n">
        <v>134168</v>
      </c>
      <c r="I3490" s="521">
        <f>G3490</f>
        <v/>
      </c>
      <c r="K3490" s="521">
        <f>I3490-G3490</f>
        <v/>
      </c>
      <c r="M3490" s="522" t="inlineStr">
        <is>
          <t>TI0238596</t>
        </is>
      </c>
      <c r="N3490" s="522" t="inlineStr">
        <is>
          <t>TI0238596</t>
        </is>
      </c>
      <c r="O3490" s="521">
        <f>M3490=N3490</f>
        <v/>
      </c>
      <c r="P3490" s="521">
        <f>AND(MONTH(F3490)=MONTH(S3490), YEAR(F3490)=YEAR(S3490))</f>
        <v/>
      </c>
      <c r="Q3490" s="521">
        <f>U3490="L001-901905215"</f>
        <v/>
      </c>
      <c r="R3490" s="556">
        <f>G3490-W3490</f>
        <v/>
      </c>
      <c r="S3490" s="523" t="n">
        <v>44865</v>
      </c>
      <c r="T3490" s="522" t="inlineStr">
        <is>
          <t>TI-0238596</t>
        </is>
      </c>
      <c r="U3490" s="522" t="inlineStr">
        <is>
          <t>L001-901905215</t>
        </is>
      </c>
      <c r="V3490" s="522" t="inlineStr">
        <is>
          <t>វីអ៊ីស៊ិន (ខេមបូឌា) អ៊ិនដាសស្ទ្រី ឯ.ក</t>
        </is>
      </c>
      <c r="W3490" s="556" t="n">
        <v>134168</v>
      </c>
    </row>
    <row r="3491">
      <c r="A3491" s="521" t="n">
        <v>3483</v>
      </c>
      <c r="B3491" s="522" t="inlineStr">
        <is>
          <t>Trucking Fee</t>
        </is>
      </c>
      <c r="C3491" s="522" t="inlineStr">
        <is>
          <t>អ៊ិចស្ពែឌីធ័រ ខេមបូឌា អិលធីឌី</t>
        </is>
      </c>
      <c r="D3491" s="522" t="inlineStr">
        <is>
          <t>L001-100045898</t>
        </is>
      </c>
      <c r="E3491" s="521" t="inlineStr">
        <is>
          <t>TI-0238595</t>
        </is>
      </c>
      <c r="F3491" s="523" t="n">
        <v>44865</v>
      </c>
      <c r="G3491" s="556" t="n">
        <v>255086</v>
      </c>
      <c r="I3491" s="521">
        <f>G3491</f>
        <v/>
      </c>
      <c r="K3491" s="521">
        <f>I3491-G3491</f>
        <v/>
      </c>
      <c r="M3491" s="522" t="inlineStr">
        <is>
          <t>TI0238595</t>
        </is>
      </c>
      <c r="N3491" s="522" t="inlineStr">
        <is>
          <t>TI0238595</t>
        </is>
      </c>
      <c r="O3491" s="521">
        <f>M3491=N3491</f>
        <v/>
      </c>
      <c r="P3491" s="521">
        <f>AND(MONTH(F3491)=MONTH(S3491), YEAR(F3491)=YEAR(S3491))</f>
        <v/>
      </c>
      <c r="Q3491" s="521">
        <f>U3491="L001-901905215"</f>
        <v/>
      </c>
      <c r="R3491" s="556">
        <f>G3491-W3491</f>
        <v/>
      </c>
      <c r="S3491" s="523" t="n">
        <v>44865</v>
      </c>
      <c r="T3491" s="522" t="inlineStr">
        <is>
          <t>TI-0238595</t>
        </is>
      </c>
      <c r="U3491" s="522" t="inlineStr">
        <is>
          <t>L001-901905215</t>
        </is>
      </c>
      <c r="V3491" s="522" t="inlineStr">
        <is>
          <t>វីអ៊ីស៊ិន (ខេមបូឌា) អ៊ិនដាសស្ទ្រី ឯ.ក</t>
        </is>
      </c>
      <c r="W3491" s="556" t="n">
        <v>255086</v>
      </c>
    </row>
    <row r="3492">
      <c r="A3492" s="521" t="n">
        <v>3484</v>
      </c>
      <c r="B3492" s="522" t="inlineStr">
        <is>
          <t>Trucking Fee</t>
        </is>
      </c>
      <c r="C3492" s="522" t="inlineStr">
        <is>
          <t>អ៊ិចស្ពែឌីធ័រ ខេមបូឌា អិលធីឌី</t>
        </is>
      </c>
      <c r="D3492" s="522" t="inlineStr">
        <is>
          <t>L001-100045898</t>
        </is>
      </c>
      <c r="E3492" s="521" t="inlineStr">
        <is>
          <t>TI-0238593</t>
        </is>
      </c>
      <c r="F3492" s="523" t="n">
        <v>44865</v>
      </c>
      <c r="G3492" s="556" t="n">
        <v>55282</v>
      </c>
      <c r="I3492" s="521">
        <f>G3492</f>
        <v/>
      </c>
      <c r="K3492" s="521">
        <f>I3492-G3492</f>
        <v/>
      </c>
      <c r="M3492" s="522" t="inlineStr">
        <is>
          <t>TI0238593</t>
        </is>
      </c>
      <c r="N3492" s="522" t="inlineStr">
        <is>
          <t>TI0238593</t>
        </is>
      </c>
      <c r="O3492" s="521">
        <f>M3492=N3492</f>
        <v/>
      </c>
      <c r="P3492" s="521">
        <f>AND(MONTH(F3492)=MONTH(S3492), YEAR(F3492)=YEAR(S3492))</f>
        <v/>
      </c>
      <c r="Q3492" s="521">
        <f>U3492="L001-901905215"</f>
        <v/>
      </c>
      <c r="R3492" s="556">
        <f>G3492-W3492</f>
        <v/>
      </c>
      <c r="S3492" s="523" t="n">
        <v>44865</v>
      </c>
      <c r="T3492" s="522" t="inlineStr">
        <is>
          <t>TI-0238593</t>
        </is>
      </c>
      <c r="U3492" s="522" t="inlineStr">
        <is>
          <t>L001-901905215</t>
        </is>
      </c>
      <c r="V3492" s="522" t="inlineStr">
        <is>
          <t>វីអ៊ីស៊ិន (ខេមបូឌា) អ៊ិនដាសស្ទ្រី ឯ.ក</t>
        </is>
      </c>
      <c r="W3492" s="556" t="n">
        <v>55282</v>
      </c>
    </row>
    <row r="3493">
      <c r="A3493" s="521" t="n">
        <v>3485</v>
      </c>
      <c r="B3493" s="522" t="inlineStr">
        <is>
          <t>Trucking Fee</t>
        </is>
      </c>
      <c r="C3493" s="522" t="inlineStr">
        <is>
          <t>អ៊ិចស្ពែឌីធ័រ ខេមបូឌា អិលធីឌី</t>
        </is>
      </c>
      <c r="D3493" s="522" t="inlineStr">
        <is>
          <t>L001-100045898</t>
        </is>
      </c>
      <c r="E3493" s="521" t="inlineStr">
        <is>
          <t>TI-0238589</t>
        </is>
      </c>
      <c r="F3493" s="523" t="n">
        <v>44865</v>
      </c>
      <c r="G3493" s="556" t="n">
        <v>636058</v>
      </c>
      <c r="I3493" s="521">
        <f>G3493</f>
        <v/>
      </c>
      <c r="K3493" s="521">
        <f>I3493-G3493</f>
        <v/>
      </c>
      <c r="M3493" s="522" t="inlineStr">
        <is>
          <t>TI0238589</t>
        </is>
      </c>
      <c r="N3493" s="522" t="inlineStr">
        <is>
          <t>TI0238589</t>
        </is>
      </c>
      <c r="O3493" s="521">
        <f>M3493=N3493</f>
        <v/>
      </c>
      <c r="P3493" s="521">
        <f>AND(MONTH(F3493)=MONTH(S3493), YEAR(F3493)=YEAR(S3493))</f>
        <v/>
      </c>
      <c r="Q3493" s="521">
        <f>U3493="L001-901905215"</f>
        <v/>
      </c>
      <c r="R3493" s="556">
        <f>G3493-W3493</f>
        <v/>
      </c>
      <c r="S3493" s="523" t="n">
        <v>44865</v>
      </c>
      <c r="T3493" s="522" t="inlineStr">
        <is>
          <t>TI-0238589</t>
        </is>
      </c>
      <c r="U3493" s="522" t="inlineStr">
        <is>
          <t>L001-901905215</t>
        </is>
      </c>
      <c r="V3493" s="522" t="inlineStr">
        <is>
          <t>វីអ៊ីស៊ិន (ខេមបូឌា) អ៊ិនដាសស្ទ្រី ឯ.ក</t>
        </is>
      </c>
      <c r="W3493" s="556" t="n">
        <v>636058</v>
      </c>
    </row>
    <row r="3494">
      <c r="A3494" s="521" t="n">
        <v>3486</v>
      </c>
      <c r="B3494" s="522" t="inlineStr">
        <is>
          <t>Trucking Fee</t>
        </is>
      </c>
      <c r="C3494" s="522" t="inlineStr">
        <is>
          <t>អ៊ិចស្ពែឌីធ័រ ខេមបូឌា អិលធីឌី</t>
        </is>
      </c>
      <c r="D3494" s="522" t="inlineStr">
        <is>
          <t>L001-100045898</t>
        </is>
      </c>
      <c r="E3494" s="521" t="inlineStr">
        <is>
          <t>TI-0238356</t>
        </is>
      </c>
      <c r="F3494" s="523" t="n">
        <v>44859</v>
      </c>
      <c r="G3494" s="556" t="n">
        <v>544653</v>
      </c>
      <c r="I3494" s="521">
        <f>G3494</f>
        <v/>
      </c>
      <c r="K3494" s="521">
        <f>I3494-G3494</f>
        <v/>
      </c>
      <c r="M3494" s="522" t="inlineStr">
        <is>
          <t>TI0238356</t>
        </is>
      </c>
      <c r="N3494" s="522" t="inlineStr">
        <is>
          <t>TI0238356</t>
        </is>
      </c>
      <c r="O3494" s="521">
        <f>M3494=N3494</f>
        <v/>
      </c>
      <c r="P3494" s="521">
        <f>AND(MONTH(F3494)=MONTH(S3494), YEAR(F3494)=YEAR(S3494))</f>
        <v/>
      </c>
      <c r="Q3494" s="521">
        <f>U3494="L001-901905215"</f>
        <v/>
      </c>
      <c r="R3494" s="556">
        <f>G3494-W3494</f>
        <v/>
      </c>
      <c r="S3494" s="523" t="n">
        <v>44859</v>
      </c>
      <c r="T3494" s="522" t="inlineStr">
        <is>
          <t>TI-0238356</t>
        </is>
      </c>
      <c r="U3494" s="522" t="inlineStr">
        <is>
          <t>L001-901905215</t>
        </is>
      </c>
      <c r="V3494" s="522" t="inlineStr">
        <is>
          <t>វីអ៊ីស៊ិន (ខេមបូឌា) អ៊ិនដាសស្ទ្រី ឯ.ក</t>
        </is>
      </c>
      <c r="W3494" s="556" t="n">
        <v>544653</v>
      </c>
    </row>
    <row r="3495">
      <c r="A3495" s="521" t="n">
        <v>3487</v>
      </c>
      <c r="B3495" s="522" t="inlineStr">
        <is>
          <t>Trucking Fee</t>
        </is>
      </c>
      <c r="C3495" s="522" t="inlineStr">
        <is>
          <t>អ៊ិចស្ពែឌីធ័រ ខេមបូឌា អិលធីឌី</t>
        </is>
      </c>
      <c r="D3495" s="522" t="inlineStr">
        <is>
          <t>L001-100045898</t>
        </is>
      </c>
      <c r="E3495" s="521" t="inlineStr">
        <is>
          <t>TI-0238355</t>
        </is>
      </c>
      <c r="F3495" s="523" t="n">
        <v>44859</v>
      </c>
      <c r="G3495" s="556" t="n">
        <v>349009</v>
      </c>
      <c r="I3495" s="521">
        <f>G3495</f>
        <v/>
      </c>
      <c r="K3495" s="521">
        <f>I3495-G3495</f>
        <v/>
      </c>
      <c r="M3495" s="522" t="inlineStr">
        <is>
          <t>TI0238355</t>
        </is>
      </c>
      <c r="N3495" s="522" t="inlineStr">
        <is>
          <t>TI0238355</t>
        </is>
      </c>
      <c r="O3495" s="521">
        <f>M3495=N3495</f>
        <v/>
      </c>
      <c r="P3495" s="521">
        <f>AND(MONTH(F3495)=MONTH(S3495), YEAR(F3495)=YEAR(S3495))</f>
        <v/>
      </c>
      <c r="Q3495" s="521">
        <f>U3495="L001-901905215"</f>
        <v/>
      </c>
      <c r="R3495" s="556">
        <f>G3495-W3495</f>
        <v/>
      </c>
      <c r="S3495" s="523" t="n">
        <v>44859</v>
      </c>
      <c r="T3495" s="522" t="inlineStr">
        <is>
          <t>TI-0238355</t>
        </is>
      </c>
      <c r="U3495" s="522" t="inlineStr">
        <is>
          <t>L001-901905215</t>
        </is>
      </c>
      <c r="V3495" s="522" t="inlineStr">
        <is>
          <t>វីអ៊ីស៊ិន (ខេមបូឌា) អ៊ិនដាសស្ទ្រី ឯ.ក</t>
        </is>
      </c>
      <c r="W3495" s="556" t="n">
        <v>349009</v>
      </c>
    </row>
    <row r="3496">
      <c r="A3496" s="521" t="n">
        <v>3488</v>
      </c>
      <c r="B3496" s="522" t="inlineStr">
        <is>
          <t>Trucking Fee</t>
        </is>
      </c>
      <c r="C3496" s="522" t="inlineStr">
        <is>
          <t>អ៊ិចស្ពែឌីធ័រ ខេមបូឌា អិលធីឌី</t>
        </is>
      </c>
      <c r="D3496" s="522" t="inlineStr">
        <is>
          <t>L001-100045898</t>
        </is>
      </c>
      <c r="E3496" s="521" t="inlineStr">
        <is>
          <t>TI-0238350</t>
        </is>
      </c>
      <c r="F3496" s="523" t="n">
        <v>44851</v>
      </c>
      <c r="G3496" s="556" t="n">
        <v>949205</v>
      </c>
      <c r="I3496" s="521">
        <f>G3496</f>
        <v/>
      </c>
      <c r="K3496" s="521">
        <f>I3496-G3496</f>
        <v/>
      </c>
      <c r="M3496" s="522" t="inlineStr">
        <is>
          <t>TI0238350</t>
        </is>
      </c>
      <c r="N3496" s="522" t="inlineStr">
        <is>
          <t>TI0238350</t>
        </is>
      </c>
      <c r="O3496" s="521">
        <f>M3496=N3496</f>
        <v/>
      </c>
      <c r="P3496" s="521">
        <f>AND(MONTH(F3496)=MONTH(S3496), YEAR(F3496)=YEAR(S3496))</f>
        <v/>
      </c>
      <c r="Q3496" s="521">
        <f>U3496="L001-901905215"</f>
        <v/>
      </c>
      <c r="R3496" s="556">
        <f>G3496-W3496</f>
        <v/>
      </c>
      <c r="S3496" s="523" t="n">
        <v>44859</v>
      </c>
      <c r="T3496" s="522" t="inlineStr">
        <is>
          <t>TI-0238350</t>
        </is>
      </c>
      <c r="U3496" s="522" t="inlineStr">
        <is>
          <t>L001-901905215</t>
        </is>
      </c>
      <c r="V3496" s="522" t="inlineStr">
        <is>
          <t>វីអ៊ីស៊ិន (ខេមបូឌា) អ៊ិនដាសស្ទ្រី ឯ.ក</t>
        </is>
      </c>
      <c r="W3496" s="556" t="n">
        <v>949205</v>
      </c>
    </row>
    <row r="3497">
      <c r="A3497" s="521" t="n">
        <v>3489</v>
      </c>
      <c r="B3497" s="522" t="inlineStr">
        <is>
          <t>Trucking Fee</t>
        </is>
      </c>
      <c r="C3497" s="522" t="inlineStr">
        <is>
          <t>អ៊ិចស្ពែឌីធ័រ ខេមបូឌា អិលធីឌី</t>
        </is>
      </c>
      <c r="D3497" s="522" t="inlineStr">
        <is>
          <t>L001-100045898</t>
        </is>
      </c>
      <c r="E3497" s="521" t="inlineStr">
        <is>
          <t>TI-0237959</t>
        </is>
      </c>
      <c r="F3497" s="523" t="n">
        <v>44851</v>
      </c>
      <c r="G3497" s="556" t="n">
        <v>96860</v>
      </c>
      <c r="I3497" s="521">
        <f>G3497</f>
        <v/>
      </c>
      <c r="K3497" s="521">
        <f>I3497-G3497</f>
        <v/>
      </c>
      <c r="M3497" s="522" t="inlineStr">
        <is>
          <t>TI0237959</t>
        </is>
      </c>
      <c r="N3497" s="522" t="inlineStr">
        <is>
          <t>TI0237959</t>
        </is>
      </c>
      <c r="O3497" s="521">
        <f>M3497=N3497</f>
        <v/>
      </c>
      <c r="P3497" s="521">
        <f>AND(MONTH(F3497)=MONTH(S3497), YEAR(F3497)=YEAR(S3497))</f>
        <v/>
      </c>
      <c r="Q3497" s="521">
        <f>U3497="L001-901905215"</f>
        <v/>
      </c>
      <c r="R3497" s="556">
        <f>G3497-W3497</f>
        <v/>
      </c>
      <c r="S3497" s="523" t="n">
        <v>44851</v>
      </c>
      <c r="T3497" s="522" t="inlineStr">
        <is>
          <t>TI-0237959</t>
        </is>
      </c>
      <c r="U3497" s="522" t="inlineStr">
        <is>
          <t>L001-901905215</t>
        </is>
      </c>
      <c r="V3497" s="522" t="inlineStr">
        <is>
          <t>វីអ៊ីស៊ិន (ខេមបូឌា) អ៊ិនដាសស្ទ្រី ឯ.ក</t>
        </is>
      </c>
      <c r="W3497" s="556" t="n">
        <v>96845</v>
      </c>
    </row>
    <row r="3498">
      <c r="A3498" s="521" t="n">
        <v>3490</v>
      </c>
      <c r="B3498" s="522" t="inlineStr">
        <is>
          <t>Trucking Fee</t>
        </is>
      </c>
      <c r="C3498" s="522" t="inlineStr">
        <is>
          <t>អ៊ិចស្ពែឌីធ័រ ខេមបូឌា អិលធីឌី</t>
        </is>
      </c>
      <c r="D3498" s="522" t="inlineStr">
        <is>
          <t>L001-100045898</t>
        </is>
      </c>
      <c r="E3498" s="521" t="inlineStr">
        <is>
          <t>TI-0237958</t>
        </is>
      </c>
      <c r="F3498" s="523" t="n">
        <v>44851</v>
      </c>
      <c r="G3498" s="556" t="n">
        <v>459155</v>
      </c>
      <c r="I3498" s="521">
        <f>G3498</f>
        <v/>
      </c>
      <c r="K3498" s="521">
        <f>I3498-G3498</f>
        <v/>
      </c>
      <c r="M3498" s="522" t="inlineStr">
        <is>
          <t>TI0237958</t>
        </is>
      </c>
      <c r="N3498" s="522" t="inlineStr">
        <is>
          <t>TI0237958</t>
        </is>
      </c>
      <c r="O3498" s="521">
        <f>M3498=N3498</f>
        <v/>
      </c>
      <c r="P3498" s="521">
        <f>AND(MONTH(F3498)=MONTH(S3498), YEAR(F3498)=YEAR(S3498))</f>
        <v/>
      </c>
      <c r="Q3498" s="521">
        <f>U3498="L001-901905215"</f>
        <v/>
      </c>
      <c r="R3498" s="556">
        <f>G3498-W3498</f>
        <v/>
      </c>
      <c r="S3498" s="523" t="n">
        <v>44851</v>
      </c>
      <c r="T3498" s="522" t="inlineStr">
        <is>
          <t>TI-0237958</t>
        </is>
      </c>
      <c r="U3498" s="522" t="inlineStr">
        <is>
          <t>L001-901905215</t>
        </is>
      </c>
      <c r="V3498" s="522" t="inlineStr">
        <is>
          <t>វីអ៊ីស៊ិន (ខេមបូឌា) អ៊ិនដាសស្ទ្រី ឯ.ក</t>
        </is>
      </c>
      <c r="W3498" s="556" t="n">
        <v>459155</v>
      </c>
    </row>
    <row r="3499">
      <c r="A3499" s="521" t="n">
        <v>3491</v>
      </c>
      <c r="B3499" s="522" t="inlineStr">
        <is>
          <t>Trucking Fee</t>
        </is>
      </c>
      <c r="C3499" s="522" t="inlineStr">
        <is>
          <t>អ៊ិចស្ពែឌីធ័រ ខេមបូឌា អិលធីឌី</t>
        </is>
      </c>
      <c r="D3499" s="522" t="inlineStr">
        <is>
          <t>L001-100045898</t>
        </is>
      </c>
      <c r="E3499" s="521" t="inlineStr">
        <is>
          <t>TI-0237957</t>
        </is>
      </c>
      <c r="F3499" s="523" t="n">
        <v>44851</v>
      </c>
      <c r="G3499" s="556" t="n">
        <v>428490</v>
      </c>
      <c r="I3499" s="521">
        <f>G3499</f>
        <v/>
      </c>
      <c r="K3499" s="521">
        <f>I3499-G3499</f>
        <v/>
      </c>
      <c r="M3499" s="522" t="inlineStr">
        <is>
          <t>TI0237957</t>
        </is>
      </c>
      <c r="N3499" s="522" t="inlineStr">
        <is>
          <t>TI0237957</t>
        </is>
      </c>
      <c r="O3499" s="521">
        <f>M3499=N3499</f>
        <v/>
      </c>
      <c r="P3499" s="521">
        <f>AND(MONTH(F3499)=MONTH(S3499), YEAR(F3499)=YEAR(S3499))</f>
        <v/>
      </c>
      <c r="Q3499" s="521">
        <f>U3499="L001-901905215"</f>
        <v/>
      </c>
      <c r="R3499" s="556">
        <f>G3499-W3499</f>
        <v/>
      </c>
      <c r="S3499" s="523" t="n">
        <v>44851</v>
      </c>
      <c r="T3499" s="522" t="inlineStr">
        <is>
          <t>TI-0237957</t>
        </is>
      </c>
      <c r="U3499" s="522" t="inlineStr">
        <is>
          <t>L001-901905215</t>
        </is>
      </c>
      <c r="V3499" s="522" t="inlineStr">
        <is>
          <t>វីអ៊ីស៊ិន (ខេមបូឌា) អ៊ិនដាសស្ទ្រី ឯ.ក</t>
        </is>
      </c>
      <c r="W3499" s="556" t="n">
        <v>428490</v>
      </c>
    </row>
    <row r="3500">
      <c r="A3500" s="521" t="n">
        <v>3492</v>
      </c>
      <c r="B3500" s="522" t="inlineStr">
        <is>
          <t>Trucking Fee</t>
        </is>
      </c>
      <c r="C3500" s="522" t="inlineStr">
        <is>
          <t>អ៊ិចស្ពែឌីធ័រ ខេមបូឌា អិលធីឌី</t>
        </is>
      </c>
      <c r="D3500" s="522" t="inlineStr">
        <is>
          <t>L001-100045898</t>
        </is>
      </c>
      <c r="E3500" s="521" t="inlineStr">
        <is>
          <t>TI-0237955</t>
        </is>
      </c>
      <c r="F3500" s="523" t="n">
        <v>44851</v>
      </c>
      <c r="G3500" s="556" t="n">
        <v>181477</v>
      </c>
      <c r="I3500" s="521">
        <f>G3500</f>
        <v/>
      </c>
      <c r="K3500" s="521">
        <f>I3500-G3500</f>
        <v/>
      </c>
      <c r="M3500" s="522" t="inlineStr">
        <is>
          <t>TI0237955</t>
        </is>
      </c>
      <c r="N3500" s="522" t="inlineStr">
        <is>
          <t>TI0237955</t>
        </is>
      </c>
      <c r="O3500" s="521">
        <f>M3500=N3500</f>
        <v/>
      </c>
      <c r="P3500" s="521">
        <f>AND(MONTH(F3500)=MONTH(S3500), YEAR(F3500)=YEAR(S3500))</f>
        <v/>
      </c>
      <c r="Q3500" s="521">
        <f>U3500="L001-901905215"</f>
        <v/>
      </c>
      <c r="R3500" s="556">
        <f>G3500-W3500</f>
        <v/>
      </c>
      <c r="S3500" s="523" t="n">
        <v>44851</v>
      </c>
      <c r="T3500" s="522" t="inlineStr">
        <is>
          <t>TI-0237955</t>
        </is>
      </c>
      <c r="U3500" s="522" t="inlineStr">
        <is>
          <t>L001-901905215</t>
        </is>
      </c>
      <c r="V3500" s="522" t="inlineStr">
        <is>
          <t>វីអ៊ីស៊ិន (ខេមបូឌា) អ៊ិនដាសស្ទ្រី ឯ.ក</t>
        </is>
      </c>
      <c r="W3500" s="556" t="n">
        <v>181466</v>
      </c>
    </row>
    <row r="3501">
      <c r="A3501" s="521" t="n">
        <v>3493</v>
      </c>
      <c r="B3501" s="522" t="inlineStr">
        <is>
          <t>Trucking Fee</t>
        </is>
      </c>
      <c r="C3501" s="522" t="inlineStr">
        <is>
          <t>អ៊ិចស្ពែឌីធ័រ ខេមបូឌា អិលធីឌី</t>
        </is>
      </c>
      <c r="D3501" s="522" t="inlineStr">
        <is>
          <t>L001-100045898</t>
        </is>
      </c>
      <c r="E3501" s="521" t="inlineStr">
        <is>
          <t>TI-0237950</t>
        </is>
      </c>
      <c r="F3501" s="523" t="n">
        <v>44851</v>
      </c>
      <c r="G3501" s="556" t="n">
        <v>318259</v>
      </c>
      <c r="I3501" s="521">
        <f>G3501</f>
        <v/>
      </c>
      <c r="K3501" s="521">
        <f>I3501-G3501</f>
        <v/>
      </c>
      <c r="M3501" s="522" t="inlineStr">
        <is>
          <t>TI0237950</t>
        </is>
      </c>
      <c r="N3501" s="522" t="inlineStr">
        <is>
          <t>TI0237950</t>
        </is>
      </c>
      <c r="O3501" s="521">
        <f>M3501=N3501</f>
        <v/>
      </c>
      <c r="P3501" s="521">
        <f>AND(MONTH(F3501)=MONTH(S3501), YEAR(F3501)=YEAR(S3501))</f>
        <v/>
      </c>
      <c r="Q3501" s="521">
        <f>U3501="L001-901905215"</f>
        <v/>
      </c>
      <c r="R3501" s="556">
        <f>G3501-W3501</f>
        <v/>
      </c>
      <c r="S3501" s="523" t="n">
        <v>44851</v>
      </c>
      <c r="T3501" s="522" t="inlineStr">
        <is>
          <t>TI-0237950</t>
        </is>
      </c>
      <c r="U3501" s="522" t="inlineStr">
        <is>
          <t>L001-901905215</t>
        </is>
      </c>
      <c r="V3501" s="522" t="inlineStr">
        <is>
          <t>វីអ៊ីស៊ិន (ខេមបូឌា) អ៊ិនដាសស្ទ្រី ឯ.ក</t>
        </is>
      </c>
      <c r="W3501" s="556" t="n">
        <v>318259</v>
      </c>
    </row>
    <row r="3502">
      <c r="A3502" s="521" t="n">
        <v>3494</v>
      </c>
      <c r="B3502" s="522" t="inlineStr">
        <is>
          <t>Trucking Fee</t>
        </is>
      </c>
      <c r="C3502" s="522" t="inlineStr">
        <is>
          <t>អ៊ិចស្ពែឌីធ័រ ខេមបូឌា អិលធីឌី</t>
        </is>
      </c>
      <c r="D3502" s="522" t="inlineStr">
        <is>
          <t>L001-100045898</t>
        </is>
      </c>
      <c r="E3502" s="521" t="inlineStr">
        <is>
          <t>TI-0237949</t>
        </is>
      </c>
      <c r="F3502" s="523" t="n">
        <v>44851</v>
      </c>
      <c r="G3502" s="556" t="n">
        <v>287594</v>
      </c>
      <c r="I3502" s="521">
        <f>G3502</f>
        <v/>
      </c>
      <c r="K3502" s="521">
        <f>I3502-G3502</f>
        <v/>
      </c>
      <c r="M3502" s="522" t="inlineStr">
        <is>
          <t>TI0237949</t>
        </is>
      </c>
      <c r="N3502" s="522" t="inlineStr">
        <is>
          <t>TI0237949</t>
        </is>
      </c>
      <c r="O3502" s="521">
        <f>M3502=N3502</f>
        <v/>
      </c>
      <c r="P3502" s="521">
        <f>AND(MONTH(F3502)=MONTH(S3502), YEAR(F3502)=YEAR(S3502))</f>
        <v/>
      </c>
      <c r="Q3502" s="521">
        <f>U3502="L001-901905215"</f>
        <v/>
      </c>
      <c r="R3502" s="556">
        <f>G3502-W3502</f>
        <v/>
      </c>
      <c r="S3502" s="523" t="n">
        <v>44851</v>
      </c>
      <c r="T3502" s="522" t="inlineStr">
        <is>
          <t>TI-0237949</t>
        </is>
      </c>
      <c r="U3502" s="522" t="inlineStr">
        <is>
          <t>L001-901905215</t>
        </is>
      </c>
      <c r="V3502" s="522" t="inlineStr">
        <is>
          <t>វីអ៊ីស៊ិន (ខេមបូឌា) អ៊ិនដាសស្ទ្រី ឯ.ក</t>
        </is>
      </c>
      <c r="W3502" s="556" t="n">
        <v>287594</v>
      </c>
    </row>
    <row r="3503">
      <c r="A3503" s="521" t="n">
        <v>3495</v>
      </c>
      <c r="B3503" s="522" t="inlineStr">
        <is>
          <t>Trucking Fee</t>
        </is>
      </c>
      <c r="C3503" s="522" t="inlineStr">
        <is>
          <t>អ៊ិចស្ពែឌីធ័រ ខេមបូឌា អិលធីឌី</t>
        </is>
      </c>
      <c r="D3503" s="522" t="inlineStr">
        <is>
          <t>L001-100045898</t>
        </is>
      </c>
      <c r="E3503" s="521" t="inlineStr">
        <is>
          <t>TI-0237947</t>
        </is>
      </c>
      <c r="F3503" s="523" t="n">
        <v>44851</v>
      </c>
      <c r="G3503" s="556" t="n">
        <v>298093</v>
      </c>
      <c r="I3503" s="521">
        <f>G3503</f>
        <v/>
      </c>
      <c r="K3503" s="521">
        <f>I3503-G3503</f>
        <v/>
      </c>
      <c r="M3503" s="522" t="inlineStr">
        <is>
          <t>TI0237947</t>
        </is>
      </c>
      <c r="N3503" s="522" t="inlineStr">
        <is>
          <t>TI0237947</t>
        </is>
      </c>
      <c r="O3503" s="521">
        <f>M3503=N3503</f>
        <v/>
      </c>
      <c r="P3503" s="521">
        <f>AND(MONTH(F3503)=MONTH(S3503), YEAR(F3503)=YEAR(S3503))</f>
        <v/>
      </c>
      <c r="Q3503" s="521">
        <f>U3503="L001-901905215"</f>
        <v/>
      </c>
      <c r="R3503" s="556">
        <f>G3503-W3503</f>
        <v/>
      </c>
      <c r="S3503" s="523" t="n">
        <v>44851</v>
      </c>
      <c r="T3503" s="522" t="inlineStr">
        <is>
          <t>TI-0237947</t>
        </is>
      </c>
      <c r="U3503" s="522" t="inlineStr">
        <is>
          <t>L001-901905215</t>
        </is>
      </c>
      <c r="V3503" s="522" t="inlineStr">
        <is>
          <t>វីអ៊ីស៊ិន (ខេមបូឌា) អ៊ិនដាសស្ទ្រី ឯ.ក</t>
        </is>
      </c>
      <c r="W3503" s="556" t="n">
        <v>298078</v>
      </c>
    </row>
    <row r="3504">
      <c r="A3504" s="521" t="n">
        <v>3496</v>
      </c>
      <c r="B3504" s="522" t="inlineStr">
        <is>
          <t>Trucking Fee</t>
        </is>
      </c>
      <c r="C3504" s="522" t="inlineStr">
        <is>
          <t>អ៊ិចស្ពែឌីធ័រ ខេមបូឌា អិលធីឌី</t>
        </is>
      </c>
      <c r="D3504" s="522" t="inlineStr">
        <is>
          <t>L001-100045898</t>
        </is>
      </c>
      <c r="E3504" s="521" t="inlineStr">
        <is>
          <t>TI-0237945</t>
        </is>
      </c>
      <c r="F3504" s="523" t="n">
        <v>44845</v>
      </c>
      <c r="G3504" s="556" t="n">
        <v>318259</v>
      </c>
      <c r="I3504" s="521">
        <f>G3504</f>
        <v/>
      </c>
      <c r="K3504" s="521">
        <f>I3504-G3504</f>
        <v/>
      </c>
      <c r="M3504" s="522" t="inlineStr">
        <is>
          <t>TI0237945</t>
        </is>
      </c>
      <c r="N3504" s="522" t="inlineStr">
        <is>
          <t>TI0237945</t>
        </is>
      </c>
      <c r="O3504" s="521">
        <f>M3504=N3504</f>
        <v/>
      </c>
      <c r="P3504" s="521">
        <f>AND(MONTH(F3504)=MONTH(S3504), YEAR(F3504)=YEAR(S3504))</f>
        <v/>
      </c>
      <c r="Q3504" s="521">
        <f>U3504="L001-901905215"</f>
        <v/>
      </c>
      <c r="R3504" s="556">
        <f>G3504-W3504</f>
        <v/>
      </c>
      <c r="S3504" s="523" t="n">
        <v>44851</v>
      </c>
      <c r="T3504" s="522" t="inlineStr">
        <is>
          <t>TI-0237945</t>
        </is>
      </c>
      <c r="U3504" s="522" t="inlineStr">
        <is>
          <t>L001-901905215</t>
        </is>
      </c>
      <c r="V3504" s="522" t="inlineStr">
        <is>
          <t>វីអ៊ីស៊ិន (ខេមបូឌា) អ៊ិនដាសស្ទ្រី ឯ.ក</t>
        </is>
      </c>
      <c r="W3504" s="556" t="n">
        <v>318259</v>
      </c>
    </row>
    <row r="3505">
      <c r="A3505" s="521" t="n">
        <v>3497</v>
      </c>
      <c r="B3505" s="522" t="inlineStr">
        <is>
          <t>Trucking Fee</t>
        </is>
      </c>
      <c r="C3505" s="522" t="inlineStr">
        <is>
          <t>អ៊ិចស្ពែឌីធ័រ ខេមបូឌា អិលធីឌី</t>
        </is>
      </c>
      <c r="D3505" s="522" t="inlineStr">
        <is>
          <t>L001-100045898</t>
        </is>
      </c>
      <c r="E3505" s="521" t="inlineStr">
        <is>
          <t>TI-0237749</t>
        </is>
      </c>
      <c r="F3505" s="523" t="n">
        <v>44845</v>
      </c>
      <c r="G3505" s="556" t="n">
        <v>308058</v>
      </c>
      <c r="I3505" s="521">
        <f>G3505</f>
        <v/>
      </c>
      <c r="K3505" s="521">
        <f>I3505-G3505</f>
        <v/>
      </c>
      <c r="M3505" s="522" t="inlineStr">
        <is>
          <t>TI0237749</t>
        </is>
      </c>
      <c r="N3505" s="522" t="inlineStr">
        <is>
          <t>TI0237749</t>
        </is>
      </c>
      <c r="O3505" s="521">
        <f>M3505=N3505</f>
        <v/>
      </c>
      <c r="P3505" s="521">
        <f>AND(MONTH(F3505)=MONTH(S3505), YEAR(F3505)=YEAR(S3505))</f>
        <v/>
      </c>
      <c r="Q3505" s="521">
        <f>U3505="L001-901905215"</f>
        <v/>
      </c>
      <c r="R3505" s="556">
        <f>G3505-W3505</f>
        <v/>
      </c>
      <c r="S3505" s="523" t="n">
        <v>44845</v>
      </c>
      <c r="T3505" s="522" t="inlineStr">
        <is>
          <t>TI-0237749</t>
        </is>
      </c>
      <c r="U3505" s="522" t="inlineStr">
        <is>
          <t>L001-901905215</t>
        </is>
      </c>
      <c r="V3505" s="522" t="inlineStr">
        <is>
          <t>វីអ៊ីស៊ិន (ខេមបូឌា) អ៊ិនដាសស្ទ្រី ឯ.ក</t>
        </is>
      </c>
      <c r="W3505" s="556" t="n">
        <v>308058</v>
      </c>
    </row>
    <row r="3506">
      <c r="A3506" s="521" t="n">
        <v>3498</v>
      </c>
      <c r="B3506" s="522" t="inlineStr">
        <is>
          <t>Trucking Fee</t>
        </is>
      </c>
      <c r="C3506" s="522" t="inlineStr">
        <is>
          <t>អ៊ិចស្ពែឌីធ័រ ខេមបូឌា អិលធីឌី</t>
        </is>
      </c>
      <c r="D3506" s="522" t="inlineStr">
        <is>
          <t>L001-100045898</t>
        </is>
      </c>
      <c r="E3506" s="521" t="inlineStr">
        <is>
          <t>TI-0237748</t>
        </is>
      </c>
      <c r="F3506" s="523" t="n">
        <v>44845</v>
      </c>
      <c r="G3506" s="556" t="n">
        <v>336589</v>
      </c>
      <c r="I3506" s="521">
        <f>G3506</f>
        <v/>
      </c>
      <c r="K3506" s="521">
        <f>I3506-G3506</f>
        <v/>
      </c>
      <c r="M3506" s="522" t="inlineStr">
        <is>
          <t>TI0237748</t>
        </is>
      </c>
      <c r="N3506" s="522" t="inlineStr">
        <is>
          <t>TI0237748</t>
        </is>
      </c>
      <c r="O3506" s="521">
        <f>M3506=N3506</f>
        <v/>
      </c>
      <c r="P3506" s="521">
        <f>AND(MONTH(F3506)=MONTH(S3506), YEAR(F3506)=YEAR(S3506))</f>
        <v/>
      </c>
      <c r="Q3506" s="521">
        <f>U3506="L001-901905215"</f>
        <v/>
      </c>
      <c r="R3506" s="556">
        <f>G3506-W3506</f>
        <v/>
      </c>
      <c r="S3506" s="523" t="n">
        <v>44845</v>
      </c>
      <c r="T3506" s="522" t="inlineStr">
        <is>
          <t>TI-0237748</t>
        </is>
      </c>
      <c r="U3506" s="522" t="inlineStr">
        <is>
          <t>L001-901905215</t>
        </is>
      </c>
      <c r="V3506" s="522" t="inlineStr">
        <is>
          <t>វីអ៊ីស៊ិន (ខេមបូឌា) អ៊ិនដាសស្ទ្រី ឯ.ក</t>
        </is>
      </c>
      <c r="W3506" s="556" t="n">
        <v>336589</v>
      </c>
    </row>
    <row r="3507">
      <c r="A3507" s="521" t="n">
        <v>3499</v>
      </c>
      <c r="B3507" s="522" t="inlineStr">
        <is>
          <t>Trucking Fee</t>
        </is>
      </c>
      <c r="C3507" s="522" t="inlineStr">
        <is>
          <t>អ៊ិចស្ពែឌីធ័រ ខេមបូឌា អិលធីឌី</t>
        </is>
      </c>
      <c r="D3507" s="522" t="inlineStr">
        <is>
          <t>L001-100045898</t>
        </is>
      </c>
      <c r="E3507" s="521" t="inlineStr">
        <is>
          <t>TI-0237746</t>
        </is>
      </c>
      <c r="F3507" s="523" t="n">
        <v>44845</v>
      </c>
      <c r="G3507" s="556" t="n">
        <v>162039</v>
      </c>
      <c r="I3507" s="521">
        <f>G3507</f>
        <v/>
      </c>
      <c r="K3507" s="521">
        <f>I3507-G3507</f>
        <v/>
      </c>
      <c r="M3507" s="522" t="inlineStr">
        <is>
          <t>TI0237746</t>
        </is>
      </c>
      <c r="N3507" s="522" t="inlineStr">
        <is>
          <t>TI0237746</t>
        </is>
      </c>
      <c r="O3507" s="521">
        <f>M3507=N3507</f>
        <v/>
      </c>
      <c r="P3507" s="521">
        <f>AND(MONTH(F3507)=MONTH(S3507), YEAR(F3507)=YEAR(S3507))</f>
        <v/>
      </c>
      <c r="Q3507" s="521">
        <f>U3507="L001-901905215"</f>
        <v/>
      </c>
      <c r="R3507" s="556">
        <f>G3507-W3507</f>
        <v/>
      </c>
      <c r="S3507" s="523" t="n">
        <v>44845</v>
      </c>
      <c r="T3507" s="522" t="inlineStr">
        <is>
          <t>TI-0237746</t>
        </is>
      </c>
      <c r="U3507" s="522" t="inlineStr">
        <is>
          <t>L001-901905215</t>
        </is>
      </c>
      <c r="V3507" s="522" t="inlineStr">
        <is>
          <t>វីអ៊ីស៊ិន (ខេមបូឌា) អ៊ិនដាសស្ទ្រី ឯ.ក</t>
        </is>
      </c>
      <c r="W3507" s="556" t="n">
        <v>162051</v>
      </c>
    </row>
    <row r="3508">
      <c r="A3508" s="521" t="n">
        <v>3500</v>
      </c>
      <c r="B3508" s="522" t="inlineStr">
        <is>
          <t>Trucking Fee</t>
        </is>
      </c>
      <c r="C3508" s="522" t="inlineStr">
        <is>
          <t>អ៊ិចស្ពែឌីធ័រ ខេមបូឌា អិលធីឌី</t>
        </is>
      </c>
      <c r="D3508" s="522" t="inlineStr">
        <is>
          <t>L001-100045898</t>
        </is>
      </c>
      <c r="E3508" s="521" t="inlineStr">
        <is>
          <t>TI-0237741</t>
        </is>
      </c>
      <c r="F3508" s="523" t="n">
        <v>44845</v>
      </c>
      <c r="G3508" s="556" t="n">
        <v>717009</v>
      </c>
      <c r="I3508" s="521">
        <f>G3508</f>
        <v/>
      </c>
      <c r="K3508" s="521">
        <f>I3508-G3508</f>
        <v/>
      </c>
      <c r="M3508" s="522" t="inlineStr">
        <is>
          <t>TI0237741</t>
        </is>
      </c>
      <c r="N3508" s="522" t="inlineStr">
        <is>
          <t>TI0237741</t>
        </is>
      </c>
      <c r="O3508" s="521">
        <f>M3508=N3508</f>
        <v/>
      </c>
      <c r="P3508" s="521">
        <f>AND(MONTH(F3508)=MONTH(S3508), YEAR(F3508)=YEAR(S3508))</f>
        <v/>
      </c>
      <c r="Q3508" s="521">
        <f>U3508="L001-901905215"</f>
        <v/>
      </c>
      <c r="R3508" s="556">
        <f>G3508-W3508</f>
        <v/>
      </c>
      <c r="S3508" s="523" t="n">
        <v>44845</v>
      </c>
      <c r="T3508" s="522" t="inlineStr">
        <is>
          <t>TI-0237741</t>
        </is>
      </c>
      <c r="U3508" s="522" t="inlineStr">
        <is>
          <t>L001-901905215</t>
        </is>
      </c>
      <c r="V3508" s="522" t="inlineStr">
        <is>
          <t>វីអ៊ីស៊ិន (ខេមបូឌា) អ៊ិនដាសស្ទ្រី ឯ.ក</t>
        </is>
      </c>
      <c r="W3508" s="556" t="n">
        <v>717009</v>
      </c>
    </row>
    <row r="3509">
      <c r="A3509" s="521" t="n">
        <v>3501</v>
      </c>
      <c r="B3509" s="522" t="inlineStr">
        <is>
          <t>Trucking Fee</t>
        </is>
      </c>
      <c r="C3509" s="522" t="inlineStr">
        <is>
          <t>អ៊ិចស្ពែឌីធ័រ ខេមបូឌា អិលធីឌី</t>
        </is>
      </c>
      <c r="D3509" s="522" t="inlineStr">
        <is>
          <t>L001-100045898</t>
        </is>
      </c>
      <c r="E3509" s="521" t="inlineStr">
        <is>
          <t>TI-0237736</t>
        </is>
      </c>
      <c r="F3509" s="523" t="n">
        <v>44845</v>
      </c>
      <c r="G3509" s="556" t="n">
        <v>325838</v>
      </c>
      <c r="I3509" s="521">
        <f>G3509</f>
        <v/>
      </c>
      <c r="K3509" s="521">
        <f>I3509-G3509</f>
        <v/>
      </c>
      <c r="M3509" s="522" t="inlineStr">
        <is>
          <t>TI0237736</t>
        </is>
      </c>
      <c r="N3509" s="522" t="inlineStr">
        <is>
          <t>TI0237736</t>
        </is>
      </c>
      <c r="O3509" s="521">
        <f>M3509=N3509</f>
        <v/>
      </c>
      <c r="P3509" s="521">
        <f>AND(MONTH(F3509)=MONTH(S3509), YEAR(F3509)=YEAR(S3509))</f>
        <v/>
      </c>
      <c r="Q3509" s="521">
        <f>U3509="L001-901905215"</f>
        <v/>
      </c>
      <c r="R3509" s="556">
        <f>G3509-W3509</f>
        <v/>
      </c>
      <c r="S3509" s="523" t="n">
        <v>44845</v>
      </c>
      <c r="T3509" s="522" t="inlineStr">
        <is>
          <t>TI-0237736</t>
        </is>
      </c>
      <c r="U3509" s="522" t="inlineStr">
        <is>
          <t>L001-901905215</t>
        </is>
      </c>
      <c r="V3509" s="522" t="inlineStr">
        <is>
          <t>វីអ៊ីស៊ិន (ខេមបូឌា) អ៊ិនដាសស្ទ្រី ឯ.ក</t>
        </is>
      </c>
      <c r="W3509" s="556" t="n">
        <v>325838</v>
      </c>
    </row>
    <row r="3510">
      <c r="A3510" s="521" t="n">
        <v>3502</v>
      </c>
      <c r="B3510" s="522" t="inlineStr">
        <is>
          <t>Trucking Fee</t>
        </is>
      </c>
      <c r="C3510" s="522" t="inlineStr">
        <is>
          <t>អ៊ិចស្ពែឌីធ័រ ខេមបូឌា អិលធីឌី</t>
        </is>
      </c>
      <c r="D3510" s="522" t="inlineStr">
        <is>
          <t>L001-100045898</t>
        </is>
      </c>
      <c r="E3510" s="521" t="inlineStr">
        <is>
          <t>TI-0237735</t>
        </is>
      </c>
      <c r="F3510" s="523" t="n">
        <v>44845</v>
      </c>
      <c r="G3510" s="556" t="n">
        <v>406884</v>
      </c>
      <c r="I3510" s="521">
        <f>G3510</f>
        <v/>
      </c>
      <c r="K3510" s="521">
        <f>I3510-G3510</f>
        <v/>
      </c>
      <c r="M3510" s="522" t="inlineStr">
        <is>
          <t>TI0237735</t>
        </is>
      </c>
      <c r="N3510" s="522" t="inlineStr">
        <is>
          <t>TI0237735</t>
        </is>
      </c>
      <c r="O3510" s="521">
        <f>M3510=N3510</f>
        <v/>
      </c>
      <c r="P3510" s="521">
        <f>AND(MONTH(F3510)=MONTH(S3510), YEAR(F3510)=YEAR(S3510))</f>
        <v/>
      </c>
      <c r="Q3510" s="521">
        <f>U3510="L001-901905215"</f>
        <v/>
      </c>
      <c r="R3510" s="556">
        <f>G3510-W3510</f>
        <v/>
      </c>
      <c r="S3510" s="523" t="n">
        <v>44845</v>
      </c>
      <c r="T3510" s="522" t="inlineStr">
        <is>
          <t>TI-0237735</t>
        </is>
      </c>
      <c r="U3510" s="522" t="inlineStr">
        <is>
          <t>L001-901905215</t>
        </is>
      </c>
      <c r="V3510" s="522" t="inlineStr">
        <is>
          <t>វីអ៊ីស៊ិន (ខេមបូឌា) អ៊ិនដាសស្ទ្រី ឯ.ក</t>
        </is>
      </c>
      <c r="W3510" s="556" t="n">
        <v>406884</v>
      </c>
    </row>
    <row r="3511">
      <c r="A3511" s="521" t="n">
        <v>3503</v>
      </c>
      <c r="B3511" s="522" t="inlineStr">
        <is>
          <t>Trucking Fee</t>
        </is>
      </c>
      <c r="C3511" s="522" t="inlineStr">
        <is>
          <t>អ៊ិចស្ពែឌីធ័រ ខេមបូឌា អិលធីឌី</t>
        </is>
      </c>
      <c r="D3511" s="522" t="inlineStr">
        <is>
          <t>L001-100045898</t>
        </is>
      </c>
      <c r="E3511" s="521" t="inlineStr">
        <is>
          <t>TI-0237733</t>
        </is>
      </c>
      <c r="F3511" s="523" t="n">
        <v>44845</v>
      </c>
      <c r="G3511" s="556" t="n">
        <v>266978</v>
      </c>
      <c r="I3511" s="521">
        <f>G3511</f>
        <v/>
      </c>
      <c r="K3511" s="521">
        <f>I3511-G3511</f>
        <v/>
      </c>
      <c r="M3511" s="522" t="inlineStr">
        <is>
          <t>TI0237733</t>
        </is>
      </c>
      <c r="N3511" s="522" t="inlineStr">
        <is>
          <t>TI0237733</t>
        </is>
      </c>
      <c r="O3511" s="521">
        <f>M3511=N3511</f>
        <v/>
      </c>
      <c r="P3511" s="521">
        <f>AND(MONTH(F3511)=MONTH(S3511), YEAR(F3511)=YEAR(S3511))</f>
        <v/>
      </c>
      <c r="Q3511" s="521">
        <f>U3511="L001-901905215"</f>
        <v/>
      </c>
      <c r="R3511" s="556">
        <f>G3511-W3511</f>
        <v/>
      </c>
      <c r="S3511" s="523" t="n">
        <v>44845</v>
      </c>
      <c r="T3511" s="522" t="inlineStr">
        <is>
          <t>TI-0237733</t>
        </is>
      </c>
      <c r="U3511" s="522" t="inlineStr">
        <is>
          <t>L001-901905215</t>
        </is>
      </c>
      <c r="V3511" s="522" t="inlineStr">
        <is>
          <t>វីអ៊ីស៊ិន (ខេមបូឌា) អ៊ិនដាសស្ទ្រី ឯ.ក</t>
        </is>
      </c>
      <c r="W3511" s="556" t="n">
        <v>266997</v>
      </c>
    </row>
    <row r="3512">
      <c r="A3512" s="521" t="n">
        <v>3504</v>
      </c>
      <c r="B3512" s="522" t="inlineStr">
        <is>
          <t>Trucking Fee</t>
        </is>
      </c>
      <c r="C3512" s="522" t="inlineStr">
        <is>
          <t>ឆាយ ដា ឡូយីស្ទីក</t>
        </is>
      </c>
      <c r="D3512" s="522" t="inlineStr">
        <is>
          <t>L001-100063098</t>
        </is>
      </c>
      <c r="E3512" s="521" t="inlineStr">
        <is>
          <t>2210012272</t>
        </is>
      </c>
      <c r="F3512" s="523" t="n">
        <v>44851</v>
      </c>
      <c r="G3512" s="556" t="n">
        <v>14504</v>
      </c>
      <c r="I3512" s="521">
        <f>G3512</f>
        <v/>
      </c>
      <c r="K3512" s="521">
        <f>I3512-G3512</f>
        <v/>
      </c>
      <c r="M3512" s="522" t="inlineStr">
        <is>
          <t>2210012272</t>
        </is>
      </c>
      <c r="N3512" s="522" t="inlineStr">
        <is>
          <t>2210012272</t>
        </is>
      </c>
      <c r="O3512" s="521">
        <f>M3512=N3512</f>
        <v/>
      </c>
      <c r="P3512" s="521">
        <f>AND(MONTH(F3512)=MONTH(S3512), YEAR(F3512)=YEAR(S3512))</f>
        <v/>
      </c>
      <c r="Q3512" s="521">
        <f>U3512="L001-901905215"</f>
        <v/>
      </c>
      <c r="R3512" s="556">
        <f>G3512-W3512</f>
        <v/>
      </c>
      <c r="S3512" s="523" t="n">
        <v>44851</v>
      </c>
      <c r="T3512" s="522" t="inlineStr">
        <is>
          <t>2210012272</t>
        </is>
      </c>
      <c r="U3512" s="522" t="inlineStr">
        <is>
          <t>L001-901905215</t>
        </is>
      </c>
      <c r="V3512" s="522" t="inlineStr">
        <is>
          <t>វីអ៊ីស៊ិន (ខេមបូឌា) អ៊ិនដាសស្ទ្រី ឯ.ក</t>
        </is>
      </c>
      <c r="W3512" s="556" t="n">
        <v>14504</v>
      </c>
    </row>
    <row r="3513">
      <c r="A3513" s="521" t="n">
        <v>3505</v>
      </c>
      <c r="B3513" s="522" t="inlineStr">
        <is>
          <t>Trucking Fee</t>
        </is>
      </c>
      <c r="C3513" s="522" t="inlineStr">
        <is>
          <t>ឆាយ ដា ឡូយីស្ទីក</t>
        </is>
      </c>
      <c r="D3513" s="522" t="inlineStr">
        <is>
          <t>L001-100063098</t>
        </is>
      </c>
      <c r="E3513" s="521" t="inlineStr">
        <is>
          <t>2210012250</t>
        </is>
      </c>
      <c r="F3513" s="523" t="n">
        <v>44851</v>
      </c>
      <c r="G3513" s="556" t="n">
        <v>90754</v>
      </c>
      <c r="I3513" s="521">
        <f>G3513</f>
        <v/>
      </c>
      <c r="K3513" s="521">
        <f>I3513-G3513</f>
        <v/>
      </c>
      <c r="M3513" s="522" t="inlineStr">
        <is>
          <t>2210012250</t>
        </is>
      </c>
      <c r="N3513" s="522" t="inlineStr">
        <is>
          <t>2210012250</t>
        </is>
      </c>
      <c r="O3513" s="521">
        <f>M3513=N3513</f>
        <v/>
      </c>
      <c r="P3513" s="521">
        <f>AND(MONTH(F3513)=MONTH(S3513), YEAR(F3513)=YEAR(S3513))</f>
        <v/>
      </c>
      <c r="Q3513" s="521">
        <f>U3513="L001-901905215"</f>
        <v/>
      </c>
      <c r="R3513" s="556">
        <f>G3513-W3513</f>
        <v/>
      </c>
      <c r="S3513" s="523" t="n">
        <v>44851</v>
      </c>
      <c r="T3513" s="522" t="inlineStr">
        <is>
          <t>2210012250</t>
        </is>
      </c>
      <c r="U3513" s="522" t="inlineStr">
        <is>
          <t>L001-901905215</t>
        </is>
      </c>
      <c r="V3513" s="522" t="inlineStr">
        <is>
          <t>វីអ៊ីស៊ិន (ខេមបូឌា) អ៊ិនដាសស្ទ្រី ឯ.ក</t>
        </is>
      </c>
      <c r="W3513" s="556" t="n">
        <v>90754</v>
      </c>
    </row>
    <row r="3514">
      <c r="A3514" s="521" t="n">
        <v>3506</v>
      </c>
      <c r="B3514" s="522" t="inlineStr">
        <is>
          <t>Trucking Fee</t>
        </is>
      </c>
      <c r="C3514" s="522" t="inlineStr">
        <is>
          <t>ឆាយ ដា ឡូយីស្ទីក</t>
        </is>
      </c>
      <c r="D3514" s="522" t="inlineStr">
        <is>
          <t>L001-100063098</t>
        </is>
      </c>
      <c r="E3514" s="521" t="inlineStr">
        <is>
          <t>2210012241</t>
        </is>
      </c>
      <c r="F3514" s="523" t="n">
        <v>44851</v>
      </c>
      <c r="G3514" s="556" t="n">
        <v>90754</v>
      </c>
      <c r="I3514" s="521">
        <f>G3514</f>
        <v/>
      </c>
      <c r="K3514" s="521">
        <f>I3514-G3514</f>
        <v/>
      </c>
      <c r="M3514" s="522" t="inlineStr">
        <is>
          <t>2210012241</t>
        </is>
      </c>
      <c r="N3514" s="522" t="inlineStr">
        <is>
          <t>2210012241</t>
        </is>
      </c>
      <c r="O3514" s="521">
        <f>M3514=N3514</f>
        <v/>
      </c>
      <c r="P3514" s="521">
        <f>AND(MONTH(F3514)=MONTH(S3514), YEAR(F3514)=YEAR(S3514))</f>
        <v/>
      </c>
      <c r="Q3514" s="521">
        <f>U3514="L001-901905215"</f>
        <v/>
      </c>
      <c r="R3514" s="556">
        <f>G3514-W3514</f>
        <v/>
      </c>
      <c r="S3514" s="523" t="n">
        <v>44851</v>
      </c>
      <c r="T3514" s="522" t="inlineStr">
        <is>
          <t>2210012241</t>
        </is>
      </c>
      <c r="U3514" s="522" t="inlineStr">
        <is>
          <t>L001-901905215</t>
        </is>
      </c>
      <c r="V3514" s="522" t="inlineStr">
        <is>
          <t>វីអ៊ីស៊ិន (ខេមបូឌា) អ៊ិនដាសស្ទ្រី ឯ.ក</t>
        </is>
      </c>
      <c r="W3514" s="556" t="n">
        <v>90754</v>
      </c>
    </row>
    <row r="3515">
      <c r="A3515" s="521" t="n">
        <v>3507</v>
      </c>
      <c r="B3515" s="522" t="inlineStr">
        <is>
          <t>Trucking Fee</t>
        </is>
      </c>
      <c r="C3515" s="522" t="inlineStr">
        <is>
          <t>ឆាយ ដា ឡូយីស្ទីក</t>
        </is>
      </c>
      <c r="D3515" s="522" t="inlineStr">
        <is>
          <t>L001-100063098</t>
        </is>
      </c>
      <c r="E3515" s="521" t="inlineStr">
        <is>
          <t>2210012238</t>
        </is>
      </c>
      <c r="F3515" s="523" t="n">
        <v>44851</v>
      </c>
      <c r="G3515" s="556" t="n">
        <v>90754</v>
      </c>
      <c r="I3515" s="521">
        <f>G3515</f>
        <v/>
      </c>
      <c r="K3515" s="521">
        <f>I3515-G3515</f>
        <v/>
      </c>
      <c r="M3515" s="522" t="inlineStr">
        <is>
          <t>2210012238</t>
        </is>
      </c>
      <c r="N3515" s="522" t="inlineStr">
        <is>
          <t>2210012238</t>
        </is>
      </c>
      <c r="O3515" s="521">
        <f>M3515=N3515</f>
        <v/>
      </c>
      <c r="P3515" s="521">
        <f>AND(MONTH(F3515)=MONTH(S3515), YEAR(F3515)=YEAR(S3515))</f>
        <v/>
      </c>
      <c r="Q3515" s="521">
        <f>U3515="L001-901905215"</f>
        <v/>
      </c>
      <c r="R3515" s="556">
        <f>G3515-W3515</f>
        <v/>
      </c>
      <c r="S3515" s="523" t="n">
        <v>44851</v>
      </c>
      <c r="T3515" s="522" t="inlineStr">
        <is>
          <t>2210012238</t>
        </is>
      </c>
      <c r="U3515" s="522" t="inlineStr">
        <is>
          <t>L001-901905215</t>
        </is>
      </c>
      <c r="V3515" s="522" t="inlineStr">
        <is>
          <t>វីអ៊ីស៊ិន (ខេមបូឌា) អ៊ិនដាសស្ទ្រី ឯ.ក</t>
        </is>
      </c>
      <c r="W3515" s="556" t="n">
        <v>90754</v>
      </c>
    </row>
    <row r="3516">
      <c r="A3516" s="521" t="n">
        <v>3508</v>
      </c>
      <c r="B3516" s="522" t="inlineStr">
        <is>
          <t>Trucking Fee</t>
        </is>
      </c>
      <c r="C3516" s="522" t="inlineStr">
        <is>
          <t>ឆាយ ដា ឡូយីស្ទីក</t>
        </is>
      </c>
      <c r="D3516" s="522" t="inlineStr">
        <is>
          <t>L001-100063098</t>
        </is>
      </c>
      <c r="E3516" s="521" t="inlineStr">
        <is>
          <t>2210012009</t>
        </is>
      </c>
      <c r="F3516" s="523" t="n">
        <v>44844</v>
      </c>
      <c r="G3516" s="556" t="n">
        <v>12405</v>
      </c>
      <c r="I3516" s="521">
        <f>G3516</f>
        <v/>
      </c>
      <c r="K3516" s="521">
        <f>I3516-G3516</f>
        <v/>
      </c>
      <c r="M3516" s="522" t="inlineStr">
        <is>
          <t>2210012009</t>
        </is>
      </c>
      <c r="N3516" s="522" t="inlineStr">
        <is>
          <t>2210012009</t>
        </is>
      </c>
      <c r="O3516" s="521">
        <f>M3516=N3516</f>
        <v/>
      </c>
      <c r="P3516" s="521">
        <f>AND(MONTH(F3516)=MONTH(S3516), YEAR(F3516)=YEAR(S3516))</f>
        <v/>
      </c>
      <c r="Q3516" s="521">
        <f>U3516="L001-901905215"</f>
        <v/>
      </c>
      <c r="R3516" s="556">
        <f>G3516-W3516</f>
        <v/>
      </c>
      <c r="S3516" s="523" t="n">
        <v>44844</v>
      </c>
      <c r="T3516" s="522" t="inlineStr">
        <is>
          <t>2210012009</t>
        </is>
      </c>
      <c r="U3516" s="522" t="inlineStr">
        <is>
          <t>L001-901905215</t>
        </is>
      </c>
      <c r="V3516" s="522" t="inlineStr">
        <is>
          <t>វីអ៊ីស៊ិន (ខេមបូឌា) អ៊ិនដាសស្ទ្រី ឯ.ក</t>
        </is>
      </c>
      <c r="W3516" s="556" t="n">
        <v>12405</v>
      </c>
    </row>
    <row r="3517">
      <c r="A3517" s="521" t="n">
        <v>3509</v>
      </c>
      <c r="B3517" s="522" t="inlineStr">
        <is>
          <t>Trucking Fee</t>
        </is>
      </c>
      <c r="C3517" s="522" t="inlineStr">
        <is>
          <t>ឆាយ ដា ឡូយីស្ទីក</t>
        </is>
      </c>
      <c r="D3517" s="522" t="inlineStr">
        <is>
          <t>L001-100063098</t>
        </is>
      </c>
      <c r="E3517" s="521" t="inlineStr">
        <is>
          <t>2210011976</t>
        </is>
      </c>
      <c r="F3517" s="523" t="n">
        <v>44844</v>
      </c>
      <c r="G3517" s="556" t="n">
        <v>90557</v>
      </c>
      <c r="I3517" s="521">
        <f>G3517</f>
        <v/>
      </c>
      <c r="K3517" s="521">
        <f>I3517-G3517</f>
        <v/>
      </c>
      <c r="M3517" s="522" t="inlineStr">
        <is>
          <t>2210011976</t>
        </is>
      </c>
      <c r="N3517" s="522" t="inlineStr">
        <is>
          <t>2210011976</t>
        </is>
      </c>
      <c r="O3517" s="521">
        <f>M3517=N3517</f>
        <v/>
      </c>
      <c r="P3517" s="521">
        <f>AND(MONTH(F3517)=MONTH(S3517), YEAR(F3517)=YEAR(S3517))</f>
        <v/>
      </c>
      <c r="Q3517" s="521">
        <f>U3517="L001-901905215"</f>
        <v/>
      </c>
      <c r="R3517" s="556">
        <f>G3517-W3517</f>
        <v/>
      </c>
      <c r="S3517" s="523" t="n">
        <v>44844</v>
      </c>
      <c r="T3517" s="522" t="inlineStr">
        <is>
          <t>2210011976</t>
        </is>
      </c>
      <c r="U3517" s="522" t="inlineStr">
        <is>
          <t>L001-901905215</t>
        </is>
      </c>
      <c r="V3517" s="522" t="inlineStr">
        <is>
          <t>វីអ៊ីស៊ិន (ខេមបូឌា) អ៊ិនដាសស្ទ្រី ឯ.ក</t>
        </is>
      </c>
      <c r="W3517" s="556" t="n">
        <v>90557</v>
      </c>
    </row>
    <row r="3518">
      <c r="A3518" s="521" t="n">
        <v>3510</v>
      </c>
      <c r="B3518" s="522" t="inlineStr">
        <is>
          <t>Trucking Fee</t>
        </is>
      </c>
      <c r="C3518" s="522" t="inlineStr">
        <is>
          <t>ឆាយ ដា ឡូយីស្ទីក</t>
        </is>
      </c>
      <c r="D3518" s="522" t="inlineStr">
        <is>
          <t>L001-100063098</t>
        </is>
      </c>
      <c r="E3518" s="521" t="inlineStr">
        <is>
          <t>2210011973</t>
        </is>
      </c>
      <c r="F3518" s="523" t="n">
        <v>44844</v>
      </c>
      <c r="G3518" s="556" t="n">
        <v>90557</v>
      </c>
      <c r="I3518" s="521">
        <f>G3518</f>
        <v/>
      </c>
      <c r="K3518" s="521">
        <f>I3518-G3518</f>
        <v/>
      </c>
      <c r="M3518" s="522" t="inlineStr">
        <is>
          <t>2210011973</t>
        </is>
      </c>
      <c r="N3518" s="522" t="inlineStr">
        <is>
          <t>2210011973</t>
        </is>
      </c>
      <c r="O3518" s="521">
        <f>M3518=N3518</f>
        <v/>
      </c>
      <c r="P3518" s="521">
        <f>AND(MONTH(F3518)=MONTH(S3518), YEAR(F3518)=YEAR(S3518))</f>
        <v/>
      </c>
      <c r="Q3518" s="521">
        <f>U3518="L001-901905215"</f>
        <v/>
      </c>
      <c r="R3518" s="556">
        <f>G3518-W3518</f>
        <v/>
      </c>
      <c r="S3518" s="523" t="n">
        <v>44844</v>
      </c>
      <c r="T3518" s="522" t="inlineStr">
        <is>
          <t>2210011973</t>
        </is>
      </c>
      <c r="U3518" s="522" t="inlineStr">
        <is>
          <t>L001-901905215</t>
        </is>
      </c>
      <c r="V3518" s="522" t="inlineStr">
        <is>
          <t>វីអ៊ីស៊ិន (ខេមបូឌា) អ៊ិនដាសស្ទ្រី ឯ.ក</t>
        </is>
      </c>
      <c r="W3518" s="556" t="n">
        <v>90557</v>
      </c>
    </row>
    <row r="3519">
      <c r="A3519" s="521" t="n">
        <v>3511</v>
      </c>
      <c r="B3519" s="522" t="inlineStr">
        <is>
          <t>Trucking Fee</t>
        </is>
      </c>
      <c r="C3519" s="522" t="inlineStr">
        <is>
          <t>ឆាយ ដា ឡូយីស្ទីក</t>
        </is>
      </c>
      <c r="D3519" s="522" t="inlineStr">
        <is>
          <t>L001-100063098</t>
        </is>
      </c>
      <c r="E3519" s="521" t="inlineStr">
        <is>
          <t>2210011969</t>
        </is>
      </c>
      <c r="F3519" s="523" t="n">
        <v>44844</v>
      </c>
      <c r="G3519" s="556" t="n">
        <v>90557</v>
      </c>
      <c r="I3519" s="521">
        <f>G3519</f>
        <v/>
      </c>
      <c r="K3519" s="521">
        <f>I3519-G3519</f>
        <v/>
      </c>
      <c r="M3519" s="522" t="inlineStr">
        <is>
          <t>2210011969</t>
        </is>
      </c>
      <c r="N3519" s="522" t="inlineStr">
        <is>
          <t>2210011969</t>
        </is>
      </c>
      <c r="O3519" s="521">
        <f>M3519=N3519</f>
        <v/>
      </c>
      <c r="P3519" s="521">
        <f>AND(MONTH(F3519)=MONTH(S3519), YEAR(F3519)=YEAR(S3519))</f>
        <v/>
      </c>
      <c r="Q3519" s="521">
        <f>U3519="L001-901905215"</f>
        <v/>
      </c>
      <c r="R3519" s="556">
        <f>G3519-W3519</f>
        <v/>
      </c>
      <c r="S3519" s="523" t="n">
        <v>44844</v>
      </c>
      <c r="T3519" s="522" t="inlineStr">
        <is>
          <t>2210011969</t>
        </is>
      </c>
      <c r="U3519" s="522" t="inlineStr">
        <is>
          <t>L001-901905215</t>
        </is>
      </c>
      <c r="V3519" s="522" t="inlineStr">
        <is>
          <t>វីអ៊ីស៊ិន (ខេមបូឌា) អ៊ិនដាសស្ទ្រី ឯ.ក</t>
        </is>
      </c>
      <c r="W3519" s="556" t="n">
        <v>90557</v>
      </c>
    </row>
    <row r="3520">
      <c r="A3520" s="521" t="n">
        <v>3512</v>
      </c>
      <c r="B3520" s="522" t="inlineStr">
        <is>
          <t>Clearance &amp; Trucking Fee</t>
        </is>
      </c>
      <c r="C3520" s="522" t="inlineStr">
        <is>
          <t>56ប៊ី-លីង សឹបផ្លាយ ឆេន មេនេចម៉ិន ឯ.ក</t>
        </is>
      </c>
      <c r="D3520" s="522" t="inlineStr">
        <is>
          <t>K004-902004795</t>
        </is>
      </c>
      <c r="E3520" s="521" t="inlineStr">
        <is>
          <t>TI2022-0806</t>
        </is>
      </c>
      <c r="F3520" s="523" t="n">
        <v>44861</v>
      </c>
      <c r="G3520" s="556" t="n">
        <v>188461</v>
      </c>
      <c r="I3520" s="521">
        <f>G3520</f>
        <v/>
      </c>
      <c r="K3520" s="521">
        <f>I3520-G3520</f>
        <v/>
      </c>
      <c r="M3520" s="522" t="inlineStr">
        <is>
          <t>TI20220806</t>
        </is>
      </c>
      <c r="N3520" s="522" t="inlineStr">
        <is>
          <t>TI20220806</t>
        </is>
      </c>
      <c r="O3520" s="521">
        <f>M3520=N3520</f>
        <v/>
      </c>
      <c r="P3520" s="521">
        <f>AND(MONTH(F3520)=MONTH(S3520), YEAR(F3520)=YEAR(S3520))</f>
        <v/>
      </c>
      <c r="Q3520" s="521">
        <f>U3520="L001-901905215"</f>
        <v/>
      </c>
      <c r="R3520" s="556">
        <f>G3520-W3520</f>
        <v/>
      </c>
      <c r="S3520" s="523" t="n">
        <v>44861</v>
      </c>
      <c r="T3520" s="522" t="inlineStr">
        <is>
          <t>TI2022-0806</t>
        </is>
      </c>
      <c r="U3520" s="522" t="inlineStr">
        <is>
          <t>L001-901905215</t>
        </is>
      </c>
      <c r="V3520" s="522" t="inlineStr">
        <is>
          <t>វីអ៊ីស៊ិន (ខេមបូឌា) អ៊ិនដាសស្ទ្រី ឯ.ក</t>
        </is>
      </c>
      <c r="W3520" s="556" t="n">
        <v>188461</v>
      </c>
    </row>
    <row r="3521">
      <c r="A3521" s="521" t="n">
        <v>3513</v>
      </c>
      <c r="B3521" s="522" t="inlineStr">
        <is>
          <t>LIFT-OFF Charges and Gate Fee Charge</t>
        </is>
      </c>
      <c r="C3521" s="522" t="inlineStr">
        <is>
          <t>កំពង់ផែស្វយ័តភ្នំពេញ "ក.ស.ភ"</t>
        </is>
      </c>
      <c r="D3521" s="522" t="inlineStr">
        <is>
          <t>L001-100044999</t>
        </is>
      </c>
      <c r="E3521" s="521" t="inlineStr">
        <is>
          <t>INV20221078796</t>
        </is>
      </c>
      <c r="F3521" s="523" t="n">
        <v>44859</v>
      </c>
      <c r="G3521" s="556" t="n">
        <v>119376</v>
      </c>
      <c r="I3521" s="521">
        <f>G3521</f>
        <v/>
      </c>
      <c r="K3521" s="521">
        <f>I3521-G3521</f>
        <v/>
      </c>
      <c r="M3521" s="522" t="inlineStr">
        <is>
          <t>INV20221078796</t>
        </is>
      </c>
      <c r="N3521" s="522" t="inlineStr"/>
      <c r="O3521" s="521">
        <f>M3521=N3521</f>
        <v/>
      </c>
      <c r="P3521" s="521">
        <f>AND(MONTH(F3521)=MONTH(S3521), YEAR(F3521)=YEAR(S3521))</f>
        <v/>
      </c>
      <c r="Q3521" s="521">
        <f>U3521="L001-901905215"</f>
        <v/>
      </c>
      <c r="R3521" s="556">
        <f>G3521-W3521</f>
        <v/>
      </c>
      <c r="S3521" s="521" t="n"/>
      <c r="T3521" s="522" t="n"/>
      <c r="U3521" s="522" t="n"/>
      <c r="V3521" s="522" t="n"/>
      <c r="W3521" s="521" t="n"/>
    </row>
    <row r="3522">
      <c r="A3522" s="521" t="n">
        <v>3514</v>
      </c>
      <c r="B3522" s="522" t="inlineStr">
        <is>
          <t>Clearance &amp; Trucking Fee</t>
        </is>
      </c>
      <c r="C3522" s="522" t="inlineStr">
        <is>
          <t>56ប៊ី-លីង សឹបផ្លាយ ឆេន មេនេចម៉ិន ឯ.ក</t>
        </is>
      </c>
      <c r="D3522" s="522" t="inlineStr">
        <is>
          <t>K004-902004795</t>
        </is>
      </c>
      <c r="E3522" s="521" t="inlineStr">
        <is>
          <t>TI2022-0828</t>
        </is>
      </c>
      <c r="F3522" s="523" t="n">
        <v>44865</v>
      </c>
      <c r="G3522" s="556" t="n">
        <v>927584</v>
      </c>
      <c r="I3522" s="521">
        <f>G3522</f>
        <v/>
      </c>
      <c r="K3522" s="521">
        <f>I3522-G3522</f>
        <v/>
      </c>
      <c r="M3522" s="522" t="inlineStr">
        <is>
          <t>TI20220828</t>
        </is>
      </c>
      <c r="N3522" s="522" t="inlineStr">
        <is>
          <t>TI20220828</t>
        </is>
      </c>
      <c r="O3522" s="521">
        <f>M3522=N3522</f>
        <v/>
      </c>
      <c r="P3522" s="521">
        <f>AND(MONTH(F3522)=MONTH(S3522), YEAR(F3522)=YEAR(S3522))</f>
        <v/>
      </c>
      <c r="Q3522" s="521">
        <f>U3522="L001-901905215"</f>
        <v/>
      </c>
      <c r="R3522" s="556">
        <f>G3522-W3522</f>
        <v/>
      </c>
      <c r="S3522" s="523" t="n">
        <v>44835</v>
      </c>
      <c r="T3522" s="522" t="inlineStr">
        <is>
          <t>TI2022-0828</t>
        </is>
      </c>
      <c r="U3522" s="522" t="inlineStr">
        <is>
          <t>L001-901905215</t>
        </is>
      </c>
      <c r="V3522" s="522" t="inlineStr">
        <is>
          <t>វីអ៊ីស៊ិន (ខេមបូឌា) អ៊ិនដាសស្ទ្រី ឯ.ក</t>
        </is>
      </c>
      <c r="W3522" s="556" t="n">
        <v>927584</v>
      </c>
    </row>
    <row r="3523">
      <c r="A3523" s="521" t="n">
        <v>3515</v>
      </c>
      <c r="B3523" s="522" t="inlineStr">
        <is>
          <t>Lift Off</t>
        </is>
      </c>
      <c r="C3523" s="522" t="inlineStr">
        <is>
          <t>កំពង់ផែស្វយ័តក្រុងព្រះសីហនុ</t>
        </is>
      </c>
      <c r="D3523" s="522" t="inlineStr">
        <is>
          <t>L001-100044638</t>
        </is>
      </c>
      <c r="E3523" s="521" t="inlineStr">
        <is>
          <t>187297</t>
        </is>
      </c>
      <c r="F3523" s="523" t="n">
        <v>44861</v>
      </c>
      <c r="G3523" s="556" t="n">
        <v>21124</v>
      </c>
      <c r="I3523" s="521">
        <f>G3523</f>
        <v/>
      </c>
      <c r="K3523" s="521">
        <f>I3523-G3523</f>
        <v/>
      </c>
      <c r="M3523" s="522" t="inlineStr">
        <is>
          <t>187297</t>
        </is>
      </c>
      <c r="N3523" s="522" t="inlineStr"/>
      <c r="O3523" s="521">
        <f>M3523=N3523</f>
        <v/>
      </c>
      <c r="P3523" s="521">
        <f>AND(MONTH(F3523)=MONTH(S3523), YEAR(F3523)=YEAR(S3523))</f>
        <v/>
      </c>
      <c r="Q3523" s="521">
        <f>U3523="L001-901905215"</f>
        <v/>
      </c>
      <c r="R3523" s="556">
        <f>G3523-W3523</f>
        <v/>
      </c>
      <c r="S3523" s="521" t="n"/>
      <c r="T3523" s="522" t="n"/>
      <c r="U3523" s="522" t="n"/>
      <c r="V3523" s="522" t="n"/>
      <c r="W3523" s="521" t="n"/>
    </row>
    <row r="3524">
      <c r="A3524" s="521" t="n">
        <v>3516</v>
      </c>
      <c r="B3524" s="522" t="inlineStr">
        <is>
          <t>Clearance &amp; Trucking Fee</t>
        </is>
      </c>
      <c r="C3524" s="522" t="inlineStr">
        <is>
          <t>56ប៊ី-លីង សឹបផ្លាយ ឆេន មេនេចម៉ិន ឯ.ក</t>
        </is>
      </c>
      <c r="D3524" s="522" t="inlineStr">
        <is>
          <t>K004-902004795</t>
        </is>
      </c>
      <c r="E3524" s="521" t="inlineStr">
        <is>
          <t>TI2022-0813</t>
        </is>
      </c>
      <c r="F3524" s="523" t="n">
        <v>44861</v>
      </c>
      <c r="G3524" s="556" t="n">
        <v>304437</v>
      </c>
      <c r="I3524" s="521">
        <f>G3524</f>
        <v/>
      </c>
      <c r="K3524" s="521">
        <f>I3524-G3524</f>
        <v/>
      </c>
      <c r="M3524" s="522" t="inlineStr">
        <is>
          <t>TI20220813</t>
        </is>
      </c>
      <c r="N3524" s="522" t="inlineStr">
        <is>
          <t>TI20220813</t>
        </is>
      </c>
      <c r="O3524" s="521">
        <f>M3524=N3524</f>
        <v/>
      </c>
      <c r="P3524" s="521">
        <f>AND(MONTH(F3524)=MONTH(S3524), YEAR(F3524)=YEAR(S3524))</f>
        <v/>
      </c>
      <c r="Q3524" s="521">
        <f>U3524="L001-901905215"</f>
        <v/>
      </c>
      <c r="R3524" s="556">
        <f>G3524-W3524</f>
        <v/>
      </c>
      <c r="S3524" s="523" t="n">
        <v>44861</v>
      </c>
      <c r="T3524" s="522" t="inlineStr">
        <is>
          <t>TI2022-0813</t>
        </is>
      </c>
      <c r="U3524" s="522" t="inlineStr">
        <is>
          <t>L001-901905215</t>
        </is>
      </c>
      <c r="V3524" s="522" t="inlineStr">
        <is>
          <t>វីអ៊ីស៊ិន (ខេមបូឌា) អ៊ិនដាសស្ទ្រី ឯ.ក</t>
        </is>
      </c>
      <c r="W3524" s="556" t="n">
        <v>304437</v>
      </c>
    </row>
    <row r="3525">
      <c r="A3525" s="521" t="n">
        <v>3517</v>
      </c>
      <c r="B3525" s="522" t="inlineStr">
        <is>
          <t>Clearance &amp; Trucking Fee</t>
        </is>
      </c>
      <c r="C3525" s="522" t="inlineStr">
        <is>
          <t>56ប៊ី-លីង សឹបផ្លាយ ឆេន មេនេចម៉ិន ឯ.ក</t>
        </is>
      </c>
      <c r="D3525" s="522" t="inlineStr">
        <is>
          <t>K004-902004795</t>
        </is>
      </c>
      <c r="E3525" s="521" t="inlineStr">
        <is>
          <t>TI2022-0812</t>
        </is>
      </c>
      <c r="F3525" s="523" t="n">
        <v>44861</v>
      </c>
      <c r="G3525" s="556" t="n">
        <v>927808</v>
      </c>
      <c r="I3525" s="521">
        <f>G3525</f>
        <v/>
      </c>
      <c r="K3525" s="521">
        <f>I3525-G3525</f>
        <v/>
      </c>
      <c r="M3525" s="522" t="inlineStr">
        <is>
          <t>TI20220812</t>
        </is>
      </c>
      <c r="N3525" s="522" t="inlineStr">
        <is>
          <t>TI20220812</t>
        </is>
      </c>
      <c r="O3525" s="521">
        <f>M3525=N3525</f>
        <v/>
      </c>
      <c r="P3525" s="521">
        <f>AND(MONTH(F3525)=MONTH(S3525), YEAR(F3525)=YEAR(S3525))</f>
        <v/>
      </c>
      <c r="Q3525" s="521">
        <f>U3525="L001-901905215"</f>
        <v/>
      </c>
      <c r="R3525" s="556">
        <f>G3525-W3525</f>
        <v/>
      </c>
      <c r="S3525" s="523" t="n">
        <v>44861</v>
      </c>
      <c r="T3525" s="522" t="inlineStr">
        <is>
          <t>TI2022-0812</t>
        </is>
      </c>
      <c r="U3525" s="522" t="inlineStr">
        <is>
          <t>L001-901905215</t>
        </is>
      </c>
      <c r="V3525" s="522" t="inlineStr">
        <is>
          <t>វីអ៊ីស៊ិន (ខេមបូឌា) អ៊ិនដាសស្ទ្រី ឯ.ក</t>
        </is>
      </c>
      <c r="W3525" s="556" t="n">
        <v>927808</v>
      </c>
    </row>
    <row r="3526">
      <c r="A3526" s="521" t="n">
        <v>3518</v>
      </c>
      <c r="B3526" s="522" t="inlineStr">
        <is>
          <t>Clearance &amp; Trucking Fee</t>
        </is>
      </c>
      <c r="C3526" s="522" t="inlineStr">
        <is>
          <t>56ប៊ី-លីង សឹបផ្លាយ ឆេន មេនេចម៉ិន ឯ.ក</t>
        </is>
      </c>
      <c r="D3526" s="522" t="inlineStr">
        <is>
          <t>K004-902004795</t>
        </is>
      </c>
      <c r="E3526" s="521" t="inlineStr">
        <is>
          <t>TI2022-0811</t>
        </is>
      </c>
      <c r="F3526" s="523" t="n">
        <v>44861</v>
      </c>
      <c r="G3526" s="556" t="n">
        <v>275443</v>
      </c>
      <c r="I3526" s="521">
        <f>G3526</f>
        <v/>
      </c>
      <c r="K3526" s="521">
        <f>I3526-G3526</f>
        <v/>
      </c>
      <c r="M3526" s="522" t="inlineStr">
        <is>
          <t>TI20220811</t>
        </is>
      </c>
      <c r="N3526" s="522" t="inlineStr">
        <is>
          <t>TI20220811</t>
        </is>
      </c>
      <c r="O3526" s="521">
        <f>M3526=N3526</f>
        <v/>
      </c>
      <c r="P3526" s="521">
        <f>AND(MONTH(F3526)=MONTH(S3526), YEAR(F3526)=YEAR(S3526))</f>
        <v/>
      </c>
      <c r="Q3526" s="521">
        <f>U3526="L001-901905215"</f>
        <v/>
      </c>
      <c r="R3526" s="556">
        <f>G3526-W3526</f>
        <v/>
      </c>
      <c r="S3526" s="523" t="n">
        <v>44861</v>
      </c>
      <c r="T3526" s="522" t="inlineStr">
        <is>
          <t>TI2022-0811</t>
        </is>
      </c>
      <c r="U3526" s="522" t="inlineStr">
        <is>
          <t>L001-901905215</t>
        </is>
      </c>
      <c r="V3526" s="522" t="inlineStr">
        <is>
          <t>វីអ៊ីស៊ិន (ខេមបូឌា) អ៊ិនដាសស្ទ្រី ឯ.ក</t>
        </is>
      </c>
      <c r="W3526" s="556" t="n">
        <v>275443</v>
      </c>
    </row>
    <row r="3527">
      <c r="A3527" s="521" t="n">
        <v>3519</v>
      </c>
      <c r="B3527" s="522" t="inlineStr">
        <is>
          <t>Clearance &amp; Trucking Fee</t>
        </is>
      </c>
      <c r="C3527" s="522" t="inlineStr">
        <is>
          <t>56ប៊ី-លីង សឹបផ្លាយ ឆេន មេនេចម៉ិន ឯ.ក</t>
        </is>
      </c>
      <c r="D3527" s="522" t="inlineStr">
        <is>
          <t>K004-902004795</t>
        </is>
      </c>
      <c r="E3527" s="521" t="inlineStr">
        <is>
          <t>TI2022-0810</t>
        </is>
      </c>
      <c r="F3527" s="523" t="n">
        <v>44861</v>
      </c>
      <c r="G3527" s="556" t="n">
        <v>263017</v>
      </c>
      <c r="I3527" s="521">
        <f>G3527</f>
        <v/>
      </c>
      <c r="K3527" s="521">
        <f>I3527-G3527</f>
        <v/>
      </c>
      <c r="M3527" s="522" t="inlineStr">
        <is>
          <t>TI20220810</t>
        </is>
      </c>
      <c r="N3527" s="522" t="inlineStr">
        <is>
          <t>TI20220810</t>
        </is>
      </c>
      <c r="O3527" s="521">
        <f>M3527=N3527</f>
        <v/>
      </c>
      <c r="P3527" s="521">
        <f>AND(MONTH(F3527)=MONTH(S3527), YEAR(F3527)=YEAR(S3527))</f>
        <v/>
      </c>
      <c r="Q3527" s="521">
        <f>U3527="L001-901905215"</f>
        <v/>
      </c>
      <c r="R3527" s="556">
        <f>G3527-W3527</f>
        <v/>
      </c>
      <c r="S3527" s="523" t="n">
        <v>44861</v>
      </c>
      <c r="T3527" s="522" t="inlineStr">
        <is>
          <t>TI2022-0810</t>
        </is>
      </c>
      <c r="U3527" s="522" t="inlineStr">
        <is>
          <t>L001-901905215</t>
        </is>
      </c>
      <c r="V3527" s="522" t="inlineStr">
        <is>
          <t>វីអ៊ីស៊ិន (ខេមបូឌា) អ៊ិនដាសស្ទ្រី ឯ.ក</t>
        </is>
      </c>
      <c r="W3527" s="556" t="n">
        <v>263017</v>
      </c>
    </row>
    <row r="3528">
      <c r="A3528" s="521" t="n">
        <v>3520</v>
      </c>
      <c r="B3528" s="522" t="inlineStr">
        <is>
          <t>Clearance &amp; Trucking Fee</t>
        </is>
      </c>
      <c r="C3528" s="522" t="inlineStr">
        <is>
          <t>56ប៊ី-លីង សឹបផ្លាយ ឆេន មេនេចម៉ិន ឯ.ក</t>
        </is>
      </c>
      <c r="D3528" s="522" t="inlineStr">
        <is>
          <t>K004-902004795</t>
        </is>
      </c>
      <c r="E3528" s="521" t="inlineStr">
        <is>
          <t>TI2022-0809</t>
        </is>
      </c>
      <c r="F3528" s="523" t="n">
        <v>44861</v>
      </c>
      <c r="G3528" s="556" t="n">
        <v>196745</v>
      </c>
      <c r="I3528" s="521">
        <f>G3528</f>
        <v/>
      </c>
      <c r="K3528" s="521">
        <f>I3528-G3528</f>
        <v/>
      </c>
      <c r="M3528" s="522" t="inlineStr">
        <is>
          <t>TI20220809</t>
        </is>
      </c>
      <c r="N3528" s="522" t="inlineStr">
        <is>
          <t>TI20220809</t>
        </is>
      </c>
      <c r="O3528" s="521">
        <f>M3528=N3528</f>
        <v/>
      </c>
      <c r="P3528" s="521">
        <f>AND(MONTH(F3528)=MONTH(S3528), YEAR(F3528)=YEAR(S3528))</f>
        <v/>
      </c>
      <c r="Q3528" s="521">
        <f>U3528="L001-901905215"</f>
        <v/>
      </c>
      <c r="R3528" s="556">
        <f>G3528-W3528</f>
        <v/>
      </c>
      <c r="S3528" s="523" t="n">
        <v>44861</v>
      </c>
      <c r="T3528" s="522" t="inlineStr">
        <is>
          <t>TI2022-0809</t>
        </is>
      </c>
      <c r="U3528" s="522" t="inlineStr">
        <is>
          <t>L001-901905215</t>
        </is>
      </c>
      <c r="V3528" s="522" t="inlineStr">
        <is>
          <t>វីអ៊ីស៊ិន (ខេមបូឌា) អ៊ិនដាសស្ទ្រី ឯ.ក</t>
        </is>
      </c>
      <c r="W3528" s="556" t="n">
        <v>196745</v>
      </c>
    </row>
    <row r="3529">
      <c r="A3529" s="521" t="n">
        <v>3521</v>
      </c>
      <c r="B3529" s="522" t="inlineStr">
        <is>
          <t>Clearance &amp; Trucking Fee</t>
        </is>
      </c>
      <c r="C3529" s="522" t="inlineStr">
        <is>
          <t>56ប៊ី-លីង សឹបផ្លាយ ឆេន មេនេចម៉ិន ឯ.ក</t>
        </is>
      </c>
      <c r="D3529" s="522" t="inlineStr">
        <is>
          <t>K004-902004795</t>
        </is>
      </c>
      <c r="E3529" s="521" t="inlineStr">
        <is>
          <t>TI2022-0808</t>
        </is>
      </c>
      <c r="F3529" s="523" t="n">
        <v>44861</v>
      </c>
      <c r="G3529" s="556" t="n">
        <v>188461</v>
      </c>
      <c r="I3529" s="521">
        <f>G3529</f>
        <v/>
      </c>
      <c r="K3529" s="521">
        <f>I3529-G3529</f>
        <v/>
      </c>
      <c r="M3529" s="522" t="inlineStr">
        <is>
          <t>TI20220808</t>
        </is>
      </c>
      <c r="N3529" s="522" t="inlineStr">
        <is>
          <t>TI20220808</t>
        </is>
      </c>
      <c r="O3529" s="521">
        <f>M3529=N3529</f>
        <v/>
      </c>
      <c r="P3529" s="521">
        <f>AND(MONTH(F3529)=MONTH(S3529), YEAR(F3529)=YEAR(S3529))</f>
        <v/>
      </c>
      <c r="Q3529" s="521">
        <f>U3529="L001-901905215"</f>
        <v/>
      </c>
      <c r="R3529" s="556">
        <f>G3529-W3529</f>
        <v/>
      </c>
      <c r="S3529" s="523" t="n">
        <v>44861</v>
      </c>
      <c r="T3529" s="522" t="inlineStr">
        <is>
          <t>TI2022-0808</t>
        </is>
      </c>
      <c r="U3529" s="522" t="inlineStr">
        <is>
          <t>L001-901905215</t>
        </is>
      </c>
      <c r="V3529" s="522" t="inlineStr">
        <is>
          <t>វីអ៊ីស៊ិន (ខេមបូឌា) អ៊ិនដាសស្ទ្រី ឯ.ក</t>
        </is>
      </c>
      <c r="W3529" s="556" t="n">
        <v>188461</v>
      </c>
    </row>
    <row r="3530">
      <c r="A3530" s="521" t="n">
        <v>3522</v>
      </c>
      <c r="B3530" s="522" t="inlineStr">
        <is>
          <t>Clearance &amp; Trucking Fee</t>
        </is>
      </c>
      <c r="C3530" s="522" t="inlineStr">
        <is>
          <t>56ប៊ី-លីង សឹបផ្លាយ ឆេន មេនេចម៉ិន ឯ.ក</t>
        </is>
      </c>
      <c r="D3530" s="522" t="inlineStr">
        <is>
          <t>K004-902004795</t>
        </is>
      </c>
      <c r="E3530" s="521" t="inlineStr">
        <is>
          <t>TI2022-0807</t>
        </is>
      </c>
      <c r="F3530" s="523" t="n">
        <v>44861</v>
      </c>
      <c r="G3530" s="556" t="n">
        <v>188461</v>
      </c>
      <c r="I3530" s="521">
        <f>G3530</f>
        <v/>
      </c>
      <c r="K3530" s="521">
        <f>I3530-G3530</f>
        <v/>
      </c>
      <c r="M3530" s="522" t="inlineStr">
        <is>
          <t>TI20220807</t>
        </is>
      </c>
      <c r="N3530" s="522" t="inlineStr">
        <is>
          <t>TI20220807</t>
        </is>
      </c>
      <c r="O3530" s="521">
        <f>M3530=N3530</f>
        <v/>
      </c>
      <c r="P3530" s="521">
        <f>AND(MONTH(F3530)=MONTH(S3530), YEAR(F3530)=YEAR(S3530))</f>
        <v/>
      </c>
      <c r="Q3530" s="521">
        <f>U3530="L001-901905215"</f>
        <v/>
      </c>
      <c r="R3530" s="556">
        <f>G3530-W3530</f>
        <v/>
      </c>
      <c r="S3530" s="523" t="n">
        <v>44861</v>
      </c>
      <c r="T3530" s="522" t="inlineStr">
        <is>
          <t>TI2022-0807</t>
        </is>
      </c>
      <c r="U3530" s="522" t="inlineStr">
        <is>
          <t>L001-901905215</t>
        </is>
      </c>
      <c r="V3530" s="522" t="inlineStr">
        <is>
          <t>វីអ៊ីស៊ិន (ខេមបូឌា) អ៊ិនដាសស្ទ្រី ឯ.ក</t>
        </is>
      </c>
      <c r="W3530" s="556" t="n">
        <v>188461</v>
      </c>
    </row>
    <row r="3531">
      <c r="A3531" s="521" t="n">
        <v>3523</v>
      </c>
      <c r="B3531" s="522" t="inlineStr">
        <is>
          <t>LIFT-OFF Charges and Gate Fee Charge</t>
        </is>
      </c>
      <c r="C3531" s="522" t="inlineStr">
        <is>
          <t>កំពង់ផែស្វយ័តភ្នំពេញ "ក.ស.ភ"</t>
        </is>
      </c>
      <c r="D3531" s="522" t="inlineStr">
        <is>
          <t>L001-100044999</t>
        </is>
      </c>
      <c r="E3531" s="521" t="inlineStr">
        <is>
          <t>INV20221078799</t>
        </is>
      </c>
      <c r="F3531" s="523" t="n">
        <v>44859</v>
      </c>
      <c r="G3531" s="556" t="n">
        <v>89532</v>
      </c>
      <c r="I3531" s="521">
        <f>G3531</f>
        <v/>
      </c>
      <c r="K3531" s="521">
        <f>I3531-G3531</f>
        <v/>
      </c>
      <c r="M3531" s="522" t="inlineStr">
        <is>
          <t>INV20221078799</t>
        </is>
      </c>
      <c r="N3531" s="522" t="inlineStr"/>
      <c r="O3531" s="521">
        <f>M3531=N3531</f>
        <v/>
      </c>
      <c r="P3531" s="521">
        <f>AND(MONTH(F3531)=MONTH(S3531), YEAR(F3531)=YEAR(S3531))</f>
        <v/>
      </c>
      <c r="Q3531" s="521">
        <f>U3531="L001-901905215"</f>
        <v/>
      </c>
      <c r="R3531" s="556">
        <f>G3531-W3531</f>
        <v/>
      </c>
      <c r="S3531" s="521" t="n"/>
      <c r="T3531" s="522" t="n"/>
      <c r="U3531" s="522" t="n"/>
      <c r="V3531" s="522" t="n"/>
      <c r="W3531" s="521" t="n"/>
    </row>
    <row r="3532">
      <c r="A3532" s="521" t="n">
        <v>3524</v>
      </c>
      <c r="B3532" s="522" t="inlineStr">
        <is>
          <t>Clearance &amp; Trucking Fee</t>
        </is>
      </c>
      <c r="C3532" s="522" t="inlineStr">
        <is>
          <t>56ប៊ី-លីង សឹបផ្លាយ ឆេន មេនេចម៉ិន ឯ.ក</t>
        </is>
      </c>
      <c r="D3532" s="522" t="inlineStr">
        <is>
          <t>K004-902004795</t>
        </is>
      </c>
      <c r="E3532" s="521" t="inlineStr">
        <is>
          <t>TI2022-0800</t>
        </is>
      </c>
      <c r="F3532" s="523" t="n">
        <v>44855</v>
      </c>
      <c r="G3532" s="556" t="n">
        <v>711039</v>
      </c>
      <c r="I3532" s="521">
        <f>G3532</f>
        <v/>
      </c>
      <c r="K3532" s="521">
        <f>I3532-G3532</f>
        <v/>
      </c>
      <c r="M3532" s="522" t="inlineStr">
        <is>
          <t>TI20220800</t>
        </is>
      </c>
      <c r="N3532" s="522" t="inlineStr">
        <is>
          <t>TI20220800</t>
        </is>
      </c>
      <c r="O3532" s="521">
        <f>M3532=N3532</f>
        <v/>
      </c>
      <c r="P3532" s="521">
        <f>AND(MONTH(F3532)=MONTH(S3532), YEAR(F3532)=YEAR(S3532))</f>
        <v/>
      </c>
      <c r="Q3532" s="521">
        <f>U3532="L001-901905215"</f>
        <v/>
      </c>
      <c r="R3532" s="556">
        <f>G3532-W3532</f>
        <v/>
      </c>
      <c r="S3532" s="523" t="n">
        <v>44855</v>
      </c>
      <c r="T3532" s="522" t="inlineStr">
        <is>
          <t>TI2022-0800</t>
        </is>
      </c>
      <c r="U3532" s="522" t="inlineStr">
        <is>
          <t>L001-901905215</t>
        </is>
      </c>
      <c r="V3532" s="522" t="inlineStr">
        <is>
          <t>វីអ៊ីស៊ិន (ខេមបូឌា) អ៊ិនដាសស្ទ្រី ឯ.ក</t>
        </is>
      </c>
      <c r="W3532" s="556" t="n">
        <v>711039</v>
      </c>
    </row>
    <row r="3533">
      <c r="A3533" s="521" t="n">
        <v>3525</v>
      </c>
      <c r="B3533" s="522" t="inlineStr">
        <is>
          <t>LIFT-OFF Charges and Gate Fee Charge</t>
        </is>
      </c>
      <c r="C3533" s="522" t="inlineStr">
        <is>
          <t>កំពង់ផែស្វយ័តភ្នំពេញ "ក.ស.ភ"</t>
        </is>
      </c>
      <c r="D3533" s="522" t="inlineStr">
        <is>
          <t>L001-100044999</t>
        </is>
      </c>
      <c r="E3533" s="521" t="inlineStr">
        <is>
          <t>INV20221078795</t>
        </is>
      </c>
      <c r="F3533" s="523" t="n">
        <v>44859</v>
      </c>
      <c r="G3533" s="556" t="n">
        <v>89532</v>
      </c>
      <c r="I3533" s="521">
        <f>G3533</f>
        <v/>
      </c>
      <c r="K3533" s="521">
        <f>I3533-G3533</f>
        <v/>
      </c>
      <c r="M3533" s="522" t="inlineStr">
        <is>
          <t>INV20221078795</t>
        </is>
      </c>
      <c r="N3533" s="522" t="inlineStr"/>
      <c r="O3533" s="521">
        <f>M3533=N3533</f>
        <v/>
      </c>
      <c r="P3533" s="521">
        <f>AND(MONTH(F3533)=MONTH(S3533), YEAR(F3533)=YEAR(S3533))</f>
        <v/>
      </c>
      <c r="Q3533" s="521">
        <f>U3533="L001-901905215"</f>
        <v/>
      </c>
      <c r="R3533" s="556">
        <f>G3533-W3533</f>
        <v/>
      </c>
      <c r="S3533" s="521" t="n"/>
      <c r="T3533" s="522" t="n"/>
      <c r="U3533" s="522" t="n"/>
      <c r="V3533" s="522" t="n"/>
      <c r="W3533" s="521" t="n"/>
    </row>
    <row r="3534">
      <c r="A3534" s="521" t="n">
        <v>3526</v>
      </c>
      <c r="B3534" s="522" t="inlineStr">
        <is>
          <t>Clearance &amp; Trucking Fee</t>
        </is>
      </c>
      <c r="C3534" s="522" t="inlineStr">
        <is>
          <t>56ប៊ី-លីង សឹបផ្លាយ ឆេន មេនេចម៉ិន ឯ.ក</t>
        </is>
      </c>
      <c r="D3534" s="522" t="inlineStr">
        <is>
          <t>K004-902004795</t>
        </is>
      </c>
      <c r="E3534" s="521" t="inlineStr">
        <is>
          <t>TI2022-0799</t>
        </is>
      </c>
      <c r="F3534" s="523" t="n">
        <v>44855</v>
      </c>
      <c r="G3534" s="556" t="n">
        <v>711039</v>
      </c>
      <c r="I3534" s="521">
        <f>G3534</f>
        <v/>
      </c>
      <c r="K3534" s="521">
        <f>I3534-G3534</f>
        <v/>
      </c>
      <c r="M3534" s="522" t="inlineStr">
        <is>
          <t>TI20220799</t>
        </is>
      </c>
      <c r="N3534" s="522" t="inlineStr">
        <is>
          <t>TI20220799</t>
        </is>
      </c>
      <c r="O3534" s="521">
        <f>M3534=N3534</f>
        <v/>
      </c>
      <c r="P3534" s="521">
        <f>AND(MONTH(F3534)=MONTH(S3534), YEAR(F3534)=YEAR(S3534))</f>
        <v/>
      </c>
      <c r="Q3534" s="521">
        <f>U3534="L001-901905215"</f>
        <v/>
      </c>
      <c r="R3534" s="556">
        <f>G3534-W3534</f>
        <v/>
      </c>
      <c r="S3534" s="523" t="n">
        <v>44855</v>
      </c>
      <c r="T3534" s="522" t="inlineStr">
        <is>
          <t>TI2022-0799</t>
        </is>
      </c>
      <c r="U3534" s="522" t="inlineStr">
        <is>
          <t>L001-901905215</t>
        </is>
      </c>
      <c r="V3534" s="522" t="inlineStr">
        <is>
          <t>វីអ៊ីស៊ិន (ខេមបូឌា) អ៊ិនដាសស្ទ្រី ឯ.ក</t>
        </is>
      </c>
      <c r="W3534" s="556" t="n">
        <v>711039</v>
      </c>
    </row>
    <row r="3535">
      <c r="A3535" s="521" t="n">
        <v>3527</v>
      </c>
      <c r="B3535" s="522" t="inlineStr">
        <is>
          <t>LIFT-OFF Charges and Gate Fee Charge</t>
        </is>
      </c>
      <c r="C3535" s="522" t="inlineStr">
        <is>
          <t>កំពង់ផែស្វយ័តភ្នំពេញ "ក.ស.ភ"</t>
        </is>
      </c>
      <c r="D3535" s="522" t="inlineStr">
        <is>
          <t>L001-100044999</t>
        </is>
      </c>
      <c r="E3535" s="521" t="inlineStr">
        <is>
          <t>INV20221078798</t>
        </is>
      </c>
      <c r="F3535" s="523" t="n">
        <v>44859</v>
      </c>
      <c r="G3535" s="556" t="n">
        <v>59688</v>
      </c>
      <c r="I3535" s="521">
        <f>G3535</f>
        <v/>
      </c>
      <c r="K3535" s="521">
        <f>I3535-G3535</f>
        <v/>
      </c>
      <c r="M3535" s="522" t="inlineStr">
        <is>
          <t>INV20221078798</t>
        </is>
      </c>
      <c r="N3535" s="522" t="inlineStr"/>
      <c r="O3535" s="521">
        <f>M3535=N3535</f>
        <v/>
      </c>
      <c r="P3535" s="521">
        <f>AND(MONTH(F3535)=MONTH(S3535), YEAR(F3535)=YEAR(S3535))</f>
        <v/>
      </c>
      <c r="Q3535" s="521">
        <f>U3535="L001-901905215"</f>
        <v/>
      </c>
      <c r="R3535" s="556">
        <f>G3535-W3535</f>
        <v/>
      </c>
      <c r="S3535" s="521" t="n"/>
      <c r="T3535" s="522" t="n"/>
      <c r="U3535" s="522" t="n"/>
      <c r="V3535" s="522" t="n"/>
      <c r="W3535" s="521" t="n"/>
    </row>
    <row r="3536">
      <c r="A3536" s="521" t="n">
        <v>3528</v>
      </c>
      <c r="B3536" s="522" t="inlineStr">
        <is>
          <t>Clearance &amp; Trucking Fee</t>
        </is>
      </c>
      <c r="C3536" s="522" t="inlineStr">
        <is>
          <t>56ប៊ី-លីង សឹបផ្លាយ ឆេន មេនេចម៉ិន ឯ.ក</t>
        </is>
      </c>
      <c r="D3536" s="522" t="inlineStr">
        <is>
          <t>K004-902004795</t>
        </is>
      </c>
      <c r="E3536" s="521" t="inlineStr">
        <is>
          <t>TI2022-0798</t>
        </is>
      </c>
      <c r="F3536" s="523" t="n">
        <v>44855</v>
      </c>
      <c r="G3536" s="556" t="n">
        <v>493374</v>
      </c>
      <c r="I3536" s="521">
        <f>G3536</f>
        <v/>
      </c>
      <c r="K3536" s="521">
        <f>I3536-G3536</f>
        <v/>
      </c>
      <c r="M3536" s="522" t="inlineStr">
        <is>
          <t>TI20220798</t>
        </is>
      </c>
      <c r="N3536" s="522" t="inlineStr">
        <is>
          <t>TI20220798</t>
        </is>
      </c>
      <c r="O3536" s="521">
        <f>M3536=N3536</f>
        <v/>
      </c>
      <c r="P3536" s="521">
        <f>AND(MONTH(F3536)=MONTH(S3536), YEAR(F3536)=YEAR(S3536))</f>
        <v/>
      </c>
      <c r="Q3536" s="521">
        <f>U3536="L001-901905215"</f>
        <v/>
      </c>
      <c r="R3536" s="556">
        <f>G3536-W3536</f>
        <v/>
      </c>
      <c r="S3536" s="523" t="n">
        <v>44855</v>
      </c>
      <c r="T3536" s="522" t="inlineStr">
        <is>
          <t>TI2022-0798</t>
        </is>
      </c>
      <c r="U3536" s="522" t="inlineStr">
        <is>
          <t>L001-901905215</t>
        </is>
      </c>
      <c r="V3536" s="522" t="inlineStr">
        <is>
          <t>វីអ៊ីស៊ិន (ខេមបូឌា) អ៊ិនដាសស្ទ្រី ឯ.ក</t>
        </is>
      </c>
      <c r="W3536" s="556" t="n">
        <v>493374</v>
      </c>
    </row>
    <row r="3537">
      <c r="A3537" s="521" t="n">
        <v>3529</v>
      </c>
      <c r="B3537" s="522" t="inlineStr">
        <is>
          <t>Clearance &amp; Trucking Fee</t>
        </is>
      </c>
      <c r="C3537" s="522" t="inlineStr">
        <is>
          <t>56ប៊ី-លីង សឹបផ្លាយ ឆេន មេនេចម៉ិន ឯ.ក</t>
        </is>
      </c>
      <c r="D3537" s="522" t="inlineStr">
        <is>
          <t>K004-902004795</t>
        </is>
      </c>
      <c r="E3537" s="521" t="inlineStr">
        <is>
          <t>TI2022-0789</t>
        </is>
      </c>
      <c r="F3537" s="523" t="n">
        <v>44847</v>
      </c>
      <c r="G3537" s="556" t="n">
        <v>238349</v>
      </c>
      <c r="I3537" s="521">
        <f>G3537</f>
        <v/>
      </c>
      <c r="K3537" s="521">
        <f>I3537-G3537</f>
        <v/>
      </c>
      <c r="M3537" s="522" t="inlineStr">
        <is>
          <t>TI20220789</t>
        </is>
      </c>
      <c r="N3537" s="522" t="inlineStr">
        <is>
          <t>TI20220789</t>
        </is>
      </c>
      <c r="O3537" s="521">
        <f>M3537=N3537</f>
        <v/>
      </c>
      <c r="P3537" s="521">
        <f>AND(MONTH(F3537)=MONTH(S3537), YEAR(F3537)=YEAR(S3537))</f>
        <v/>
      </c>
      <c r="Q3537" s="521">
        <f>U3537="L001-901905215"</f>
        <v/>
      </c>
      <c r="R3537" s="556">
        <f>G3537-W3537</f>
        <v/>
      </c>
      <c r="S3537" s="523" t="n">
        <v>44847</v>
      </c>
      <c r="T3537" s="522" t="inlineStr">
        <is>
          <t>TI2022-0789</t>
        </is>
      </c>
      <c r="U3537" s="522" t="inlineStr">
        <is>
          <t>L001-901905215</t>
        </is>
      </c>
      <c r="V3537" s="522" t="inlineStr">
        <is>
          <t>វីអ៊ីស៊ិន (ខេមបូឌា) អ៊ិនដាសស្ទ្រី ឯ.ក</t>
        </is>
      </c>
      <c r="W3537" s="556" t="n">
        <v>238349</v>
      </c>
    </row>
    <row r="3538">
      <c r="A3538" s="521" t="n">
        <v>3530</v>
      </c>
      <c r="B3538" s="522" t="inlineStr">
        <is>
          <t>LIFT-OFF Charges and Gate Fee Charge</t>
        </is>
      </c>
      <c r="C3538" s="522" t="inlineStr">
        <is>
          <t>កំពង់ផែស្វយ័តភ្នំពេញ "ក.ស.ភ"</t>
        </is>
      </c>
      <c r="D3538" s="522" t="inlineStr">
        <is>
          <t>L001-100044999</t>
        </is>
      </c>
      <c r="E3538" s="521" t="inlineStr">
        <is>
          <t>INV20221077847</t>
        </is>
      </c>
      <c r="F3538" s="523" t="n">
        <v>44853</v>
      </c>
      <c r="G3538" s="556" t="n">
        <v>89554</v>
      </c>
      <c r="I3538" s="521">
        <f>G3538</f>
        <v/>
      </c>
      <c r="K3538" s="521">
        <f>I3538-G3538</f>
        <v/>
      </c>
      <c r="M3538" s="522" t="inlineStr">
        <is>
          <t>INV20221077847</t>
        </is>
      </c>
      <c r="N3538" s="522" t="inlineStr"/>
      <c r="O3538" s="521">
        <f>M3538=N3538</f>
        <v/>
      </c>
      <c r="P3538" s="521">
        <f>AND(MONTH(F3538)=MONTH(S3538), YEAR(F3538)=YEAR(S3538))</f>
        <v/>
      </c>
      <c r="Q3538" s="521">
        <f>U3538="L001-901905215"</f>
        <v/>
      </c>
      <c r="R3538" s="556">
        <f>G3538-W3538</f>
        <v/>
      </c>
      <c r="S3538" s="521" t="n"/>
      <c r="T3538" s="522" t="n"/>
      <c r="U3538" s="522" t="n"/>
      <c r="V3538" s="522" t="n"/>
      <c r="W3538" s="521" t="n"/>
    </row>
    <row r="3539">
      <c r="A3539" s="521" t="n">
        <v>3531</v>
      </c>
      <c r="B3539" s="522" t="inlineStr">
        <is>
          <t>Clearance &amp; Trucking Fee</t>
        </is>
      </c>
      <c r="C3539" s="522" t="inlineStr">
        <is>
          <t>56ប៊ី-លីង សឹបផ្លាយ ឆេន មេនេចម៉ិន ឯ.ក</t>
        </is>
      </c>
      <c r="D3539" s="522" t="inlineStr">
        <is>
          <t>K004-902004795</t>
        </is>
      </c>
      <c r="E3539" s="521" t="inlineStr">
        <is>
          <t>TI2022-0788</t>
        </is>
      </c>
      <c r="F3539" s="523" t="n">
        <v>44847</v>
      </c>
      <c r="G3539" s="556" t="n">
        <v>709667</v>
      </c>
      <c r="I3539" s="521">
        <f>G3539</f>
        <v/>
      </c>
      <c r="K3539" s="521">
        <f>I3539-G3539</f>
        <v/>
      </c>
      <c r="M3539" s="522" t="inlineStr">
        <is>
          <t>TI20220788</t>
        </is>
      </c>
      <c r="N3539" s="522" t="inlineStr">
        <is>
          <t>TI20220788</t>
        </is>
      </c>
      <c r="O3539" s="521">
        <f>M3539=N3539</f>
        <v/>
      </c>
      <c r="P3539" s="521">
        <f>AND(MONTH(F3539)=MONTH(S3539), YEAR(F3539)=YEAR(S3539))</f>
        <v/>
      </c>
      <c r="Q3539" s="521">
        <f>U3539="L001-901905215"</f>
        <v/>
      </c>
      <c r="R3539" s="556">
        <f>G3539-W3539</f>
        <v/>
      </c>
      <c r="S3539" s="523" t="n">
        <v>44847</v>
      </c>
      <c r="T3539" s="522" t="inlineStr">
        <is>
          <t>TI2022-0788</t>
        </is>
      </c>
      <c r="U3539" s="522" t="inlineStr">
        <is>
          <t>L001-901905215</t>
        </is>
      </c>
      <c r="V3539" s="522" t="inlineStr">
        <is>
          <t>វីអ៊ីស៊ិន (ខេមបូឌា) អ៊ិនដាសស្ទ្រី ឯ.ក</t>
        </is>
      </c>
      <c r="W3539" s="556" t="n">
        <v>709667</v>
      </c>
    </row>
    <row r="3540">
      <c r="A3540" s="521" t="n">
        <v>3532</v>
      </c>
      <c r="B3540" s="522" t="inlineStr">
        <is>
          <t>LIFT-OFF Charges and Gate Fee Charge</t>
        </is>
      </c>
      <c r="C3540" s="522" t="inlineStr">
        <is>
          <t>កំពង់ផែស្វយ័តភ្នំពេញ "ក.ស.ភ"</t>
        </is>
      </c>
      <c r="D3540" s="522" t="inlineStr">
        <is>
          <t>L001-100044999</t>
        </is>
      </c>
      <c r="E3540" s="521" t="inlineStr">
        <is>
          <t>INV20221077794</t>
        </is>
      </c>
      <c r="F3540" s="523" t="n">
        <v>44853</v>
      </c>
      <c r="G3540" s="556" t="n">
        <v>59702</v>
      </c>
      <c r="I3540" s="521">
        <f>G3540</f>
        <v/>
      </c>
      <c r="K3540" s="521">
        <f>I3540-G3540</f>
        <v/>
      </c>
      <c r="M3540" s="522" t="inlineStr">
        <is>
          <t>INV20221077794</t>
        </is>
      </c>
      <c r="N3540" s="522" t="inlineStr"/>
      <c r="O3540" s="521">
        <f>M3540=N3540</f>
        <v/>
      </c>
      <c r="P3540" s="521">
        <f>AND(MONTH(F3540)=MONTH(S3540), YEAR(F3540)=YEAR(S3540))</f>
        <v/>
      </c>
      <c r="Q3540" s="521">
        <f>U3540="L001-901905215"</f>
        <v/>
      </c>
      <c r="R3540" s="556">
        <f>G3540-W3540</f>
        <v/>
      </c>
      <c r="S3540" s="521" t="n"/>
      <c r="T3540" s="522" t="n"/>
      <c r="U3540" s="522" t="n"/>
      <c r="V3540" s="522" t="n"/>
      <c r="W3540" s="521" t="n"/>
    </row>
    <row r="3541">
      <c r="A3541" s="521" t="n">
        <v>3533</v>
      </c>
      <c r="B3541" s="522" t="inlineStr">
        <is>
          <t>Clearance &amp; Trucking Fee</t>
        </is>
      </c>
      <c r="C3541" s="522" t="inlineStr">
        <is>
          <t>56ប៊ី-លីង សឹបផ្លាយ ឆេន មេនេចម៉ិន ឯ.ក</t>
        </is>
      </c>
      <c r="D3541" s="522" t="inlineStr">
        <is>
          <t>K004-902004795</t>
        </is>
      </c>
      <c r="E3541" s="521" t="inlineStr">
        <is>
          <t>TI2022-0787</t>
        </is>
      </c>
      <c r="F3541" s="523" t="n">
        <v>44847</v>
      </c>
      <c r="G3541" s="556" t="n">
        <v>492422</v>
      </c>
      <c r="I3541" s="521">
        <f>G3541</f>
        <v/>
      </c>
      <c r="K3541" s="521">
        <f>I3541-G3541</f>
        <v/>
      </c>
      <c r="M3541" s="522" t="inlineStr">
        <is>
          <t>TI20220787</t>
        </is>
      </c>
      <c r="N3541" s="522" t="inlineStr">
        <is>
          <t>TI20220787</t>
        </is>
      </c>
      <c r="O3541" s="521">
        <f>M3541=N3541</f>
        <v/>
      </c>
      <c r="P3541" s="521">
        <f>AND(MONTH(F3541)=MONTH(S3541), YEAR(F3541)=YEAR(S3541))</f>
        <v/>
      </c>
      <c r="Q3541" s="521">
        <f>U3541="L001-901905215"</f>
        <v/>
      </c>
      <c r="R3541" s="556">
        <f>G3541-W3541</f>
        <v/>
      </c>
      <c r="S3541" s="523" t="n">
        <v>44847</v>
      </c>
      <c r="T3541" s="522" t="inlineStr">
        <is>
          <t>TI2022-0787</t>
        </is>
      </c>
      <c r="U3541" s="522" t="inlineStr">
        <is>
          <t>L001-901905215</t>
        </is>
      </c>
      <c r="V3541" s="522" t="inlineStr">
        <is>
          <t>វីអ៊ីស៊ិន (ខេមបូឌា) អ៊ិនដាសស្ទ្រី ឯ.ក</t>
        </is>
      </c>
      <c r="W3541" s="556" t="n">
        <v>492422</v>
      </c>
    </row>
    <row r="3542">
      <c r="A3542" s="521" t="n">
        <v>3534</v>
      </c>
      <c r="B3542" s="522" t="inlineStr">
        <is>
          <t>LIFT-OFF Charges and Gate Fee Charge</t>
        </is>
      </c>
      <c r="C3542" s="522" t="inlineStr">
        <is>
          <t>កំពង់ផែស្វយ័តភ្នំពេញ "ក.ស.ភ"</t>
        </is>
      </c>
      <c r="D3542" s="522" t="inlineStr">
        <is>
          <t>L001-100044999</t>
        </is>
      </c>
      <c r="E3542" s="521" t="inlineStr">
        <is>
          <t>INV20221077792</t>
        </is>
      </c>
      <c r="F3542" s="523" t="n">
        <v>44853</v>
      </c>
      <c r="G3542" s="556" t="n">
        <v>59702</v>
      </c>
      <c r="I3542" s="521">
        <f>G3542</f>
        <v/>
      </c>
      <c r="K3542" s="521">
        <f>I3542-G3542</f>
        <v/>
      </c>
      <c r="M3542" s="522" t="inlineStr">
        <is>
          <t>INV20221077792</t>
        </is>
      </c>
      <c r="N3542" s="522" t="inlineStr"/>
      <c r="O3542" s="521">
        <f>M3542=N3542</f>
        <v/>
      </c>
      <c r="P3542" s="521">
        <f>AND(MONTH(F3542)=MONTH(S3542), YEAR(F3542)=YEAR(S3542))</f>
        <v/>
      </c>
      <c r="Q3542" s="521">
        <f>U3542="L001-901905215"</f>
        <v/>
      </c>
      <c r="R3542" s="556">
        <f>G3542-W3542</f>
        <v/>
      </c>
      <c r="S3542" s="521" t="n"/>
      <c r="T3542" s="522" t="n"/>
      <c r="U3542" s="522" t="n"/>
      <c r="V3542" s="522" t="n"/>
      <c r="W3542" s="521" t="n"/>
    </row>
    <row r="3543">
      <c r="A3543" s="521" t="n">
        <v>3535</v>
      </c>
      <c r="B3543" s="522" t="inlineStr">
        <is>
          <t>Clearance &amp; Trucking Fee</t>
        </is>
      </c>
      <c r="C3543" s="522" t="inlineStr">
        <is>
          <t>56ប៊ី-លីង សឹបផ្លាយ ឆេន មេនេចម៉ិន ឯ.ក</t>
        </is>
      </c>
      <c r="D3543" s="522" t="inlineStr">
        <is>
          <t>K004-902004795</t>
        </is>
      </c>
      <c r="E3543" s="521" t="inlineStr">
        <is>
          <t>TI2022-0786</t>
        </is>
      </c>
      <c r="F3543" s="523" t="n">
        <v>44847</v>
      </c>
      <c r="G3543" s="556" t="n">
        <v>492422</v>
      </c>
      <c r="I3543" s="521">
        <f>G3543</f>
        <v/>
      </c>
      <c r="K3543" s="521">
        <f>I3543-G3543</f>
        <v/>
      </c>
      <c r="M3543" s="522" t="inlineStr">
        <is>
          <t>TI20220786</t>
        </is>
      </c>
      <c r="N3543" s="522" t="inlineStr">
        <is>
          <t>TI20220786</t>
        </is>
      </c>
      <c r="O3543" s="521">
        <f>M3543=N3543</f>
        <v/>
      </c>
      <c r="P3543" s="521">
        <f>AND(MONTH(F3543)=MONTH(S3543), YEAR(F3543)=YEAR(S3543))</f>
        <v/>
      </c>
      <c r="Q3543" s="521">
        <f>U3543="L001-901905215"</f>
        <v/>
      </c>
      <c r="R3543" s="556">
        <f>G3543-W3543</f>
        <v/>
      </c>
      <c r="S3543" s="523" t="n">
        <v>44847</v>
      </c>
      <c r="T3543" s="522" t="inlineStr">
        <is>
          <t>TI2022-0786</t>
        </is>
      </c>
      <c r="U3543" s="522" t="inlineStr">
        <is>
          <t>L001-901905215</t>
        </is>
      </c>
      <c r="V3543" s="522" t="inlineStr">
        <is>
          <t>វីអ៊ីស៊ិន (ខេមបូឌា) អ៊ិនដាសស្ទ្រី ឯ.ក</t>
        </is>
      </c>
      <c r="W3543" s="556" t="n">
        <v>492422</v>
      </c>
    </row>
    <row r="3544">
      <c r="A3544" s="521" t="n">
        <v>3536</v>
      </c>
      <c r="B3544" s="522" t="inlineStr">
        <is>
          <t>LIFT-OFF Charges and Gate Fee Charge</t>
        </is>
      </c>
      <c r="C3544" s="522" t="inlineStr">
        <is>
          <t>កំពង់ផែស្វយ័តភ្នំពេញ "ក.ស.ភ"</t>
        </is>
      </c>
      <c r="D3544" s="522" t="inlineStr">
        <is>
          <t>L001-100044999</t>
        </is>
      </c>
      <c r="E3544" s="521" t="inlineStr">
        <is>
          <t>INV20221077795</t>
        </is>
      </c>
      <c r="F3544" s="523" t="n">
        <v>44853</v>
      </c>
      <c r="G3544" s="556" t="n">
        <v>59702</v>
      </c>
      <c r="I3544" s="521">
        <f>G3544</f>
        <v/>
      </c>
      <c r="K3544" s="521">
        <f>I3544-G3544</f>
        <v/>
      </c>
      <c r="M3544" s="522" t="inlineStr">
        <is>
          <t>INV20221077795</t>
        </is>
      </c>
      <c r="N3544" s="522" t="inlineStr"/>
      <c r="O3544" s="521">
        <f>M3544=N3544</f>
        <v/>
      </c>
      <c r="P3544" s="521">
        <f>AND(MONTH(F3544)=MONTH(S3544), YEAR(F3544)=YEAR(S3544))</f>
        <v/>
      </c>
      <c r="Q3544" s="521">
        <f>U3544="L001-901905215"</f>
        <v/>
      </c>
      <c r="R3544" s="556">
        <f>G3544-W3544</f>
        <v/>
      </c>
      <c r="S3544" s="521" t="n"/>
      <c r="T3544" s="522" t="n"/>
      <c r="U3544" s="522" t="n"/>
      <c r="V3544" s="522" t="n"/>
      <c r="W3544" s="521" t="n"/>
    </row>
    <row r="3545">
      <c r="A3545" s="521" t="n">
        <v>3537</v>
      </c>
      <c r="B3545" s="522" t="inlineStr">
        <is>
          <t>Clearance &amp; Trucking Fee</t>
        </is>
      </c>
      <c r="C3545" s="522" t="inlineStr">
        <is>
          <t>56ប៊ី-លីង សឹបផ្លាយ ឆេន មេនេចម៉ិន ឯ.ក</t>
        </is>
      </c>
      <c r="D3545" s="522" t="inlineStr">
        <is>
          <t>K004-902004795</t>
        </is>
      </c>
      <c r="E3545" s="521" t="inlineStr">
        <is>
          <t>TI2022-0785</t>
        </is>
      </c>
      <c r="F3545" s="523" t="n">
        <v>44847</v>
      </c>
      <c r="G3545" s="556" t="n">
        <v>492422</v>
      </c>
      <c r="I3545" s="521">
        <f>G3545</f>
        <v/>
      </c>
      <c r="K3545" s="521">
        <f>I3545-G3545</f>
        <v/>
      </c>
      <c r="M3545" s="522" t="inlineStr">
        <is>
          <t>TI20220785</t>
        </is>
      </c>
      <c r="N3545" s="522" t="inlineStr">
        <is>
          <t>TI20220785</t>
        </is>
      </c>
      <c r="O3545" s="521">
        <f>M3545=N3545</f>
        <v/>
      </c>
      <c r="P3545" s="521">
        <f>AND(MONTH(F3545)=MONTH(S3545), YEAR(F3545)=YEAR(S3545))</f>
        <v/>
      </c>
      <c r="Q3545" s="521">
        <f>U3545="L001-901905215"</f>
        <v/>
      </c>
      <c r="R3545" s="556">
        <f>G3545-W3545</f>
        <v/>
      </c>
      <c r="S3545" s="523" t="n">
        <v>44847</v>
      </c>
      <c r="T3545" s="522" t="inlineStr">
        <is>
          <t>TI2022-0785</t>
        </is>
      </c>
      <c r="U3545" s="522" t="inlineStr">
        <is>
          <t>L001-901905215</t>
        </is>
      </c>
      <c r="V3545" s="522" t="inlineStr">
        <is>
          <t>វីអ៊ីស៊ិន (ខេមបូឌា) អ៊ិនដាសស្ទ្រី ឯ.ក</t>
        </is>
      </c>
      <c r="W3545" s="556" t="n">
        <v>492422</v>
      </c>
    </row>
    <row r="3546">
      <c r="A3546" s="521" t="n">
        <v>3538</v>
      </c>
      <c r="B3546" s="522" t="inlineStr">
        <is>
          <t>LIFT-OFF Charges and Gate Fee Charge</t>
        </is>
      </c>
      <c r="C3546" s="522" t="inlineStr">
        <is>
          <t>កំពង់ផែស្វយ័តភ្នំពេញ "ក.ស.ភ"</t>
        </is>
      </c>
      <c r="D3546" s="522" t="inlineStr">
        <is>
          <t>L001-100044999</t>
        </is>
      </c>
      <c r="E3546" s="521" t="inlineStr">
        <is>
          <t>INV20221077796</t>
        </is>
      </c>
      <c r="F3546" s="523" t="n">
        <v>44853</v>
      </c>
      <c r="G3546" s="556" t="n">
        <v>89554</v>
      </c>
      <c r="I3546" s="521">
        <f>G3546</f>
        <v/>
      </c>
      <c r="K3546" s="521">
        <f>I3546-G3546</f>
        <v/>
      </c>
      <c r="M3546" s="522" t="inlineStr">
        <is>
          <t>INV20221077796</t>
        </is>
      </c>
      <c r="N3546" s="522" t="inlineStr"/>
      <c r="O3546" s="521">
        <f>M3546=N3546</f>
        <v/>
      </c>
      <c r="P3546" s="521">
        <f>AND(MONTH(F3546)=MONTH(S3546), YEAR(F3546)=YEAR(S3546))</f>
        <v/>
      </c>
      <c r="Q3546" s="521">
        <f>U3546="L001-901905215"</f>
        <v/>
      </c>
      <c r="R3546" s="556">
        <f>G3546-W3546</f>
        <v/>
      </c>
      <c r="S3546" s="521" t="n"/>
      <c r="T3546" s="522" t="n"/>
      <c r="U3546" s="522" t="n"/>
      <c r="V3546" s="522" t="n"/>
      <c r="W3546" s="521" t="n"/>
    </row>
    <row r="3547">
      <c r="A3547" s="521" t="n">
        <v>3539</v>
      </c>
      <c r="B3547" s="522" t="inlineStr">
        <is>
          <t>Clearance &amp; Trucking Fee</t>
        </is>
      </c>
      <c r="C3547" s="522" t="inlineStr">
        <is>
          <t>56ប៊ី-លីង សឹបផ្លាយ ឆេន មេនេចម៉ិន ឯ.ក</t>
        </is>
      </c>
      <c r="D3547" s="522" t="inlineStr">
        <is>
          <t>K004-902004795</t>
        </is>
      </c>
      <c r="E3547" s="521" t="inlineStr">
        <is>
          <t>TI2022-0784</t>
        </is>
      </c>
      <c r="F3547" s="523" t="n">
        <v>44847</v>
      </c>
      <c r="G3547" s="556" t="n">
        <v>709667</v>
      </c>
      <c r="I3547" s="521">
        <f>G3547</f>
        <v/>
      </c>
      <c r="K3547" s="521">
        <f>I3547-G3547</f>
        <v/>
      </c>
      <c r="M3547" s="522" t="inlineStr">
        <is>
          <t>TI20220784</t>
        </is>
      </c>
      <c r="N3547" s="522" t="inlineStr">
        <is>
          <t>TI20220784</t>
        </is>
      </c>
      <c r="O3547" s="521">
        <f>M3547=N3547</f>
        <v/>
      </c>
      <c r="P3547" s="521">
        <f>AND(MONTH(F3547)=MONTH(S3547), YEAR(F3547)=YEAR(S3547))</f>
        <v/>
      </c>
      <c r="Q3547" s="521">
        <f>U3547="L001-901905215"</f>
        <v/>
      </c>
      <c r="R3547" s="556">
        <f>G3547-W3547</f>
        <v/>
      </c>
      <c r="S3547" s="523" t="n">
        <v>44847</v>
      </c>
      <c r="T3547" s="522" t="inlineStr">
        <is>
          <t>TI2022-0784</t>
        </is>
      </c>
      <c r="U3547" s="522" t="inlineStr">
        <is>
          <t>L001-901905215</t>
        </is>
      </c>
      <c r="V3547" s="522" t="inlineStr">
        <is>
          <t>វីអ៊ីស៊ិន (ខេមបូឌា) អ៊ិនដាសស្ទ្រី ឯ.ក</t>
        </is>
      </c>
      <c r="W3547" s="556" t="n">
        <v>709667</v>
      </c>
    </row>
    <row r="3548">
      <c r="A3548" s="521" t="n">
        <v>3540</v>
      </c>
      <c r="B3548" s="522" t="inlineStr">
        <is>
          <t>Clearance &amp; Trucking Fee</t>
        </is>
      </c>
      <c r="C3548" s="522" t="inlineStr">
        <is>
          <t>56ប៊ី-លីង សឹបផ្លាយ ឆេន មេនេចម៉ិន ឯ.ក</t>
        </is>
      </c>
      <c r="D3548" s="522" t="inlineStr">
        <is>
          <t>K004-902004795</t>
        </is>
      </c>
      <c r="E3548" s="521" t="inlineStr">
        <is>
          <t>TI2022-0783</t>
        </is>
      </c>
      <c r="F3548" s="523" t="n">
        <v>44847</v>
      </c>
      <c r="G3548" s="556" t="n">
        <v>213107</v>
      </c>
      <c r="I3548" s="521">
        <f>G3548</f>
        <v/>
      </c>
      <c r="K3548" s="521">
        <f>I3548-G3548</f>
        <v/>
      </c>
      <c r="M3548" s="522" t="inlineStr">
        <is>
          <t>TI20220783</t>
        </is>
      </c>
      <c r="N3548" s="522" t="inlineStr">
        <is>
          <t>TI20220783</t>
        </is>
      </c>
      <c r="O3548" s="521">
        <f>M3548=N3548</f>
        <v/>
      </c>
      <c r="P3548" s="521">
        <f>AND(MONTH(F3548)=MONTH(S3548), YEAR(F3548)=YEAR(S3548))</f>
        <v/>
      </c>
      <c r="Q3548" s="521">
        <f>U3548="L001-901905215"</f>
        <v/>
      </c>
      <c r="R3548" s="556">
        <f>G3548-W3548</f>
        <v/>
      </c>
      <c r="S3548" s="523" t="n">
        <v>44847</v>
      </c>
      <c r="T3548" s="522" t="inlineStr">
        <is>
          <t>TI2022-0783</t>
        </is>
      </c>
      <c r="U3548" s="522" t="inlineStr">
        <is>
          <t>L001-901905215</t>
        </is>
      </c>
      <c r="V3548" s="522" t="inlineStr">
        <is>
          <t>វីអ៊ីស៊ិន (ខេមបូឌា) អ៊ិនដាសស្ទ្រី ឯ.ក</t>
        </is>
      </c>
      <c r="W3548" s="556" t="n">
        <v>213107</v>
      </c>
    </row>
    <row r="3549">
      <c r="A3549" s="521" t="n">
        <v>3541</v>
      </c>
      <c r="B3549" s="522" t="inlineStr">
        <is>
          <t>Clearance &amp; Trucking Fee</t>
        </is>
      </c>
      <c r="C3549" s="522" t="inlineStr">
        <is>
          <t>56ប៊ី-លីង សឹបផ្លាយ ឆេន មេនេចម៉ិន ឯ.ក</t>
        </is>
      </c>
      <c r="D3549" s="522" t="inlineStr">
        <is>
          <t>K004-902004795</t>
        </is>
      </c>
      <c r="E3549" s="521" t="inlineStr">
        <is>
          <t>TI2022-0782</t>
        </is>
      </c>
      <c r="F3549" s="523" t="n">
        <v>44847</v>
      </c>
      <c r="G3549" s="556" t="n">
        <v>213107</v>
      </c>
      <c r="I3549" s="521">
        <f>G3549</f>
        <v/>
      </c>
      <c r="K3549" s="521">
        <f>I3549-G3549</f>
        <v/>
      </c>
      <c r="M3549" s="522" t="inlineStr">
        <is>
          <t>TI20220782</t>
        </is>
      </c>
      <c r="N3549" s="522" t="inlineStr">
        <is>
          <t>TI20220782</t>
        </is>
      </c>
      <c r="O3549" s="521">
        <f>M3549=N3549</f>
        <v/>
      </c>
      <c r="P3549" s="521">
        <f>AND(MONTH(F3549)=MONTH(S3549), YEAR(F3549)=YEAR(S3549))</f>
        <v/>
      </c>
      <c r="Q3549" s="521">
        <f>U3549="L001-901905215"</f>
        <v/>
      </c>
      <c r="R3549" s="556">
        <f>G3549-W3549</f>
        <v/>
      </c>
      <c r="S3549" s="523" t="n">
        <v>44847</v>
      </c>
      <c r="T3549" s="522" t="inlineStr">
        <is>
          <t>TI2022-0782</t>
        </is>
      </c>
      <c r="U3549" s="522" t="inlineStr">
        <is>
          <t>L001-901905215</t>
        </is>
      </c>
      <c r="V3549" s="522" t="inlineStr">
        <is>
          <t>វីអ៊ីស៊ិន (ខេមបូឌា) អ៊ិនដាសស្ទ្រី ឯ.ក</t>
        </is>
      </c>
      <c r="W3549" s="556" t="n">
        <v>213107</v>
      </c>
    </row>
    <row r="3550">
      <c r="A3550" s="521" t="n">
        <v>3542</v>
      </c>
      <c r="B3550" s="522" t="inlineStr">
        <is>
          <t>Clearance &amp; Trucking Fee</t>
        </is>
      </c>
      <c r="C3550" s="522" t="inlineStr">
        <is>
          <t>56ប៊ី-លីង សឹបផ្លាយ ឆេន មេនេចម៉ិន ឯ.ក</t>
        </is>
      </c>
      <c r="D3550" s="522" t="inlineStr">
        <is>
          <t>K004-902004795</t>
        </is>
      </c>
      <c r="E3550" s="521" t="inlineStr">
        <is>
          <t>TI2022-0781</t>
        </is>
      </c>
      <c r="F3550" s="523" t="n">
        <v>44847</v>
      </c>
      <c r="G3550" s="556" t="n">
        <v>188279</v>
      </c>
      <c r="I3550" s="521">
        <f>G3550</f>
        <v/>
      </c>
      <c r="K3550" s="521">
        <f>I3550-G3550</f>
        <v/>
      </c>
      <c r="M3550" s="522" t="inlineStr">
        <is>
          <t>TI20220781</t>
        </is>
      </c>
      <c r="N3550" s="522" t="inlineStr">
        <is>
          <t>TI20220781</t>
        </is>
      </c>
      <c r="O3550" s="521">
        <f>M3550=N3550</f>
        <v/>
      </c>
      <c r="P3550" s="521">
        <f>AND(MONTH(F3550)=MONTH(S3550), YEAR(F3550)=YEAR(S3550))</f>
        <v/>
      </c>
      <c r="Q3550" s="521">
        <f>U3550="L001-901905215"</f>
        <v/>
      </c>
      <c r="R3550" s="556">
        <f>G3550-W3550</f>
        <v/>
      </c>
      <c r="S3550" s="523" t="n">
        <v>44847</v>
      </c>
      <c r="T3550" s="522" t="inlineStr">
        <is>
          <t>TI2022-0781</t>
        </is>
      </c>
      <c r="U3550" s="522" t="inlineStr">
        <is>
          <t>L001-901905215</t>
        </is>
      </c>
      <c r="V3550" s="522" t="inlineStr">
        <is>
          <t>វីអ៊ីស៊ិន (ខេមបូឌា) អ៊ិនដាសស្ទ្រី ឯ.ក</t>
        </is>
      </c>
      <c r="W3550" s="556" t="n">
        <v>188279</v>
      </c>
    </row>
    <row r="3551">
      <c r="A3551" s="521" t="n">
        <v>3543</v>
      </c>
      <c r="B3551" s="522" t="inlineStr">
        <is>
          <t>LIFT-OFF Charges and Gate Fee Charge</t>
        </is>
      </c>
      <c r="C3551" s="522" t="inlineStr">
        <is>
          <t>កំពង់ផែស្វយ័តភ្នំពេញ "ក.ស.ភ"</t>
        </is>
      </c>
      <c r="D3551" s="522" t="inlineStr">
        <is>
          <t>L001-100044999</t>
        </is>
      </c>
      <c r="E3551" s="521" t="inlineStr">
        <is>
          <t>INV20221076594</t>
        </is>
      </c>
      <c r="F3551" s="523" t="n">
        <v>44846</v>
      </c>
      <c r="G3551" s="556" t="n">
        <v>148932</v>
      </c>
      <c r="I3551" s="521">
        <f>G3551</f>
        <v/>
      </c>
      <c r="K3551" s="521">
        <f>I3551-G3551</f>
        <v/>
      </c>
      <c r="M3551" s="522" t="inlineStr">
        <is>
          <t>INV20221076594</t>
        </is>
      </c>
      <c r="N3551" s="522" t="inlineStr"/>
      <c r="O3551" s="521">
        <f>M3551=N3551</f>
        <v/>
      </c>
      <c r="P3551" s="521">
        <f>AND(MONTH(F3551)=MONTH(S3551), YEAR(F3551)=YEAR(S3551))</f>
        <v/>
      </c>
      <c r="Q3551" s="521">
        <f>U3551="L001-901905215"</f>
        <v/>
      </c>
      <c r="R3551" s="556">
        <f>G3551-W3551</f>
        <v/>
      </c>
      <c r="S3551" s="521" t="n"/>
      <c r="T3551" s="522" t="n"/>
      <c r="U3551" s="522" t="n"/>
      <c r="V3551" s="522" t="n"/>
      <c r="W3551" s="521" t="n"/>
    </row>
    <row r="3552">
      <c r="A3552" s="521" t="n">
        <v>3544</v>
      </c>
      <c r="B3552" s="522" t="inlineStr">
        <is>
          <t>Clearance &amp; Trucking Fee</t>
        </is>
      </c>
      <c r="C3552" s="522" t="inlineStr">
        <is>
          <t>56ប៊ី-លីង សឹបផ្លាយ ឆេន មេនេចម៉ិន ឯ.ក</t>
        </is>
      </c>
      <c r="D3552" s="522" t="inlineStr">
        <is>
          <t>K004-902004795</t>
        </is>
      </c>
      <c r="E3552" s="521" t="inlineStr">
        <is>
          <t>TI2022-0773</t>
        </is>
      </c>
      <c r="F3552" s="523" t="n">
        <v>44846</v>
      </c>
      <c r="G3552" s="556" t="n">
        <v>1143881</v>
      </c>
      <c r="I3552" s="521">
        <f>G3552</f>
        <v/>
      </c>
      <c r="K3552" s="521">
        <f>I3552-G3552</f>
        <v/>
      </c>
      <c r="M3552" s="522" t="inlineStr">
        <is>
          <t>TI20220773</t>
        </is>
      </c>
      <c r="N3552" s="522" t="inlineStr">
        <is>
          <t>TI20220773</t>
        </is>
      </c>
      <c r="O3552" s="521">
        <f>M3552=N3552</f>
        <v/>
      </c>
      <c r="P3552" s="521">
        <f>AND(MONTH(F3552)=MONTH(S3552), YEAR(F3552)=YEAR(S3552))</f>
        <v/>
      </c>
      <c r="Q3552" s="521">
        <f>U3552="L001-901905215"</f>
        <v/>
      </c>
      <c r="R3552" s="556">
        <f>G3552-W3552</f>
        <v/>
      </c>
      <c r="S3552" s="523" t="n">
        <v>44846</v>
      </c>
      <c r="T3552" s="522" t="inlineStr">
        <is>
          <t>TI2022-0773</t>
        </is>
      </c>
      <c r="U3552" s="522" t="inlineStr">
        <is>
          <t>L001-901905215</t>
        </is>
      </c>
      <c r="V3552" s="522" t="inlineStr">
        <is>
          <t>វីអ៊ីស៊ិន (ខេមបូឌា) អ៊ិនដាសស្ទ្រី ឯ.ក</t>
        </is>
      </c>
      <c r="W3552" s="556" t="n">
        <v>1143881</v>
      </c>
    </row>
    <row r="3553">
      <c r="A3553" s="521" t="n">
        <v>3545</v>
      </c>
      <c r="B3553" s="522" t="inlineStr">
        <is>
          <t>LIFT-OFF Charges and Gate Fee Charge</t>
        </is>
      </c>
      <c r="C3553" s="522" t="inlineStr">
        <is>
          <t>កំពង់ផែស្វយ័តភ្នំពេញ "ក.ស.ភ"</t>
        </is>
      </c>
      <c r="D3553" s="522" t="inlineStr">
        <is>
          <t>L001-100044999</t>
        </is>
      </c>
      <c r="E3553" s="521" t="inlineStr">
        <is>
          <t>INV20221076593</t>
        </is>
      </c>
      <c r="F3553" s="523" t="n">
        <v>44846</v>
      </c>
      <c r="G3553" s="556" t="n">
        <v>89359</v>
      </c>
      <c r="I3553" s="521">
        <f>G3553</f>
        <v/>
      </c>
      <c r="K3553" s="521">
        <f>I3553-G3553</f>
        <v/>
      </c>
      <c r="M3553" s="522" t="inlineStr">
        <is>
          <t>INV20221076593</t>
        </is>
      </c>
      <c r="N3553" s="522" t="inlineStr"/>
      <c r="O3553" s="521">
        <f>M3553=N3553</f>
        <v/>
      </c>
      <c r="P3553" s="521">
        <f>AND(MONTH(F3553)=MONTH(S3553), YEAR(F3553)=YEAR(S3553))</f>
        <v/>
      </c>
      <c r="Q3553" s="521">
        <f>U3553="L001-901905215"</f>
        <v/>
      </c>
      <c r="R3553" s="556">
        <f>G3553-W3553</f>
        <v/>
      </c>
      <c r="S3553" s="521" t="n"/>
      <c r="T3553" s="522" t="n"/>
      <c r="U3553" s="522" t="n"/>
      <c r="V3553" s="522" t="n"/>
      <c r="W3553" s="521" t="n"/>
    </row>
    <row r="3554">
      <c r="A3554" s="521" t="n">
        <v>3546</v>
      </c>
      <c r="B3554" s="522" t="inlineStr">
        <is>
          <t>Clearance &amp; Trucking Fee</t>
        </is>
      </c>
      <c r="C3554" s="522" t="inlineStr">
        <is>
          <t>56ប៊ី-លីង សឹបផ្លាយ ឆេន មេនេចម៉ិន ឯ.ក</t>
        </is>
      </c>
      <c r="D3554" s="522" t="inlineStr">
        <is>
          <t>K004-902004795</t>
        </is>
      </c>
      <c r="E3554" s="521" t="inlineStr">
        <is>
          <t>TI2022-0772</t>
        </is>
      </c>
      <c r="F3554" s="523" t="n">
        <v>44846</v>
      </c>
      <c r="G3554" s="556" t="n">
        <v>709496</v>
      </c>
      <c r="I3554" s="521">
        <f>G3554</f>
        <v/>
      </c>
      <c r="K3554" s="521">
        <f>I3554-G3554</f>
        <v/>
      </c>
      <c r="M3554" s="522" t="inlineStr">
        <is>
          <t>TI20220772</t>
        </is>
      </c>
      <c r="N3554" s="522" t="inlineStr">
        <is>
          <t>TI20220772</t>
        </is>
      </c>
      <c r="O3554" s="521">
        <f>M3554=N3554</f>
        <v/>
      </c>
      <c r="P3554" s="521">
        <f>AND(MONTH(F3554)=MONTH(S3554), YEAR(F3554)=YEAR(S3554))</f>
        <v/>
      </c>
      <c r="Q3554" s="521">
        <f>U3554="L001-901905215"</f>
        <v/>
      </c>
      <c r="R3554" s="556">
        <f>G3554-W3554</f>
        <v/>
      </c>
      <c r="S3554" s="523" t="n">
        <v>44846</v>
      </c>
      <c r="T3554" s="522" t="inlineStr">
        <is>
          <t>TI2022-0772</t>
        </is>
      </c>
      <c r="U3554" s="522" t="inlineStr">
        <is>
          <t>L001-901905215</t>
        </is>
      </c>
      <c r="V3554" s="522" t="inlineStr">
        <is>
          <t>វីអ៊ីស៊ិន (ខេមបូឌា) អ៊ិនដាសស្ទ្រី ឯ.ក</t>
        </is>
      </c>
      <c r="W3554" s="556" t="n">
        <v>709496</v>
      </c>
    </row>
    <row r="3555">
      <c r="A3555" s="521" t="n">
        <v>3547</v>
      </c>
      <c r="B3555" s="522" t="inlineStr">
        <is>
          <t>LIFT-OFF Charges and Gate Fee Charge</t>
        </is>
      </c>
      <c r="C3555" s="522" t="inlineStr">
        <is>
          <t>កំពង់ផែស្វយ័តភ្នំពេញ "ក.ស.ភ"</t>
        </is>
      </c>
      <c r="D3555" s="522" t="inlineStr">
        <is>
          <t>L001-100044999</t>
        </is>
      </c>
      <c r="E3555" s="521" t="inlineStr">
        <is>
          <t>INV20221076595</t>
        </is>
      </c>
      <c r="F3555" s="523" t="n">
        <v>44846</v>
      </c>
      <c r="G3555" s="556" t="n">
        <v>59573</v>
      </c>
      <c r="I3555" s="521">
        <f>G3555</f>
        <v/>
      </c>
      <c r="K3555" s="521">
        <f>I3555-G3555</f>
        <v/>
      </c>
      <c r="M3555" s="522" t="inlineStr">
        <is>
          <t>INV20221076595</t>
        </is>
      </c>
      <c r="N3555" s="522" t="inlineStr"/>
      <c r="O3555" s="521">
        <f>M3555=N3555</f>
        <v/>
      </c>
      <c r="P3555" s="521">
        <f>AND(MONTH(F3555)=MONTH(S3555), YEAR(F3555)=YEAR(S3555))</f>
        <v/>
      </c>
      <c r="Q3555" s="521">
        <f>U3555="L001-901905215"</f>
        <v/>
      </c>
      <c r="R3555" s="556">
        <f>G3555-W3555</f>
        <v/>
      </c>
      <c r="S3555" s="521" t="n"/>
      <c r="T3555" s="522" t="n"/>
      <c r="U3555" s="522" t="n"/>
      <c r="V3555" s="522" t="n"/>
      <c r="W3555" s="521" t="n"/>
    </row>
    <row r="3556">
      <c r="A3556" s="521" t="n">
        <v>3548</v>
      </c>
      <c r="B3556" s="522" t="inlineStr">
        <is>
          <t>Clearance &amp; Trucking Fee</t>
        </is>
      </c>
      <c r="C3556" s="522" t="inlineStr">
        <is>
          <t>56ប៊ី-លីង សឹបផ្លាយ ឆេន មេនេចម៉ិន ឯ.ក</t>
        </is>
      </c>
      <c r="D3556" s="522" t="inlineStr">
        <is>
          <t>K004-902004795</t>
        </is>
      </c>
      <c r="E3556" s="521" t="inlineStr">
        <is>
          <t>TI2022-0771</t>
        </is>
      </c>
      <c r="F3556" s="523" t="n">
        <v>44846</v>
      </c>
      <c r="G3556" s="556" t="n">
        <v>492303</v>
      </c>
      <c r="I3556" s="521">
        <f>G3556</f>
        <v/>
      </c>
      <c r="K3556" s="521">
        <f>I3556-G3556</f>
        <v/>
      </c>
      <c r="M3556" s="522" t="inlineStr">
        <is>
          <t>TI20220771</t>
        </is>
      </c>
      <c r="N3556" s="522" t="inlineStr">
        <is>
          <t>TI20220771</t>
        </is>
      </c>
      <c r="O3556" s="521">
        <f>M3556=N3556</f>
        <v/>
      </c>
      <c r="P3556" s="521">
        <f>AND(MONTH(F3556)=MONTH(S3556), YEAR(F3556)=YEAR(S3556))</f>
        <v/>
      </c>
      <c r="Q3556" s="521">
        <f>U3556="L001-901905215"</f>
        <v/>
      </c>
      <c r="R3556" s="556">
        <f>G3556-W3556</f>
        <v/>
      </c>
      <c r="S3556" s="523" t="n">
        <v>44846</v>
      </c>
      <c r="T3556" s="522" t="inlineStr">
        <is>
          <t>TI2022-0771</t>
        </is>
      </c>
      <c r="U3556" s="522" t="inlineStr">
        <is>
          <t>L001-901905215</t>
        </is>
      </c>
      <c r="V3556" s="522" t="inlineStr">
        <is>
          <t>វីអ៊ីស៊ិន (ខេមបូឌា) អ៊ិនដាសស្ទ្រី ឯ.ក</t>
        </is>
      </c>
      <c r="W3556" s="556" t="n">
        <v>492303</v>
      </c>
    </row>
    <row r="3557">
      <c r="A3557" s="521" t="n">
        <v>3549</v>
      </c>
      <c r="B3557" s="522" t="inlineStr">
        <is>
          <t>LIFT-OFF Charges and Gate Fee Charge</t>
        </is>
      </c>
      <c r="C3557" s="522" t="inlineStr">
        <is>
          <t>កំពង់ផែស្វយ័តភ្នំពេញ "ក.ស.ភ"</t>
        </is>
      </c>
      <c r="D3557" s="522" t="inlineStr">
        <is>
          <t>L001-100044999</t>
        </is>
      </c>
      <c r="E3557" s="521" t="inlineStr">
        <is>
          <t>INV20221076592</t>
        </is>
      </c>
      <c r="F3557" s="523" t="n">
        <v>44846</v>
      </c>
      <c r="G3557" s="556" t="n">
        <v>59573</v>
      </c>
      <c r="I3557" s="521">
        <f>G3557</f>
        <v/>
      </c>
      <c r="K3557" s="521">
        <f>I3557-G3557</f>
        <v/>
      </c>
      <c r="M3557" s="522" t="inlineStr">
        <is>
          <t>INV20221076592</t>
        </is>
      </c>
      <c r="N3557" s="522" t="inlineStr"/>
      <c r="O3557" s="521">
        <f>M3557=N3557</f>
        <v/>
      </c>
      <c r="P3557" s="521">
        <f>AND(MONTH(F3557)=MONTH(S3557), YEAR(F3557)=YEAR(S3557))</f>
        <v/>
      </c>
      <c r="Q3557" s="521">
        <f>U3557="L001-901905215"</f>
        <v/>
      </c>
      <c r="R3557" s="556">
        <f>G3557-W3557</f>
        <v/>
      </c>
      <c r="S3557" s="521" t="n"/>
      <c r="T3557" s="522" t="n"/>
      <c r="U3557" s="522" t="n"/>
      <c r="V3557" s="522" t="n"/>
      <c r="W3557" s="521" t="n"/>
    </row>
    <row r="3558">
      <c r="A3558" s="521" t="n">
        <v>3550</v>
      </c>
      <c r="B3558" s="522" t="inlineStr">
        <is>
          <t>Clearance &amp; Trucking Fee</t>
        </is>
      </c>
      <c r="C3558" s="522" t="inlineStr">
        <is>
          <t>56ប៊ី-លីង សឹបផ្លាយ ឆេន មេនេចម៉ិន ឯ.ក</t>
        </is>
      </c>
      <c r="D3558" s="522" t="inlineStr">
        <is>
          <t>K004-902004795</t>
        </is>
      </c>
      <c r="E3558" s="521" t="inlineStr">
        <is>
          <t>TI2022-0770</t>
        </is>
      </c>
      <c r="F3558" s="523" t="n">
        <v>44846</v>
      </c>
      <c r="G3558" s="556" t="n">
        <v>492303</v>
      </c>
      <c r="I3558" s="521">
        <f>G3558</f>
        <v/>
      </c>
      <c r="K3558" s="521">
        <f>I3558-G3558</f>
        <v/>
      </c>
      <c r="M3558" s="522" t="inlineStr">
        <is>
          <t>TI20220770</t>
        </is>
      </c>
      <c r="N3558" s="522" t="inlineStr">
        <is>
          <t>TI20220770</t>
        </is>
      </c>
      <c r="O3558" s="521">
        <f>M3558=N3558</f>
        <v/>
      </c>
      <c r="P3558" s="521">
        <f>AND(MONTH(F3558)=MONTH(S3558), YEAR(F3558)=YEAR(S3558))</f>
        <v/>
      </c>
      <c r="Q3558" s="521">
        <f>U3558="L001-901905215"</f>
        <v/>
      </c>
      <c r="R3558" s="556">
        <f>G3558-W3558</f>
        <v/>
      </c>
      <c r="S3558" s="523" t="n">
        <v>44846</v>
      </c>
      <c r="T3558" s="522" t="inlineStr">
        <is>
          <t>TI2022-0770</t>
        </is>
      </c>
      <c r="U3558" s="522" t="inlineStr">
        <is>
          <t>L001-901905215</t>
        </is>
      </c>
      <c r="V3558" s="522" t="inlineStr">
        <is>
          <t>វីអ៊ីស៊ិន (ខេមបូឌា) អ៊ិនដាសស្ទ្រី ឯ.ក</t>
        </is>
      </c>
      <c r="W3558" s="556" t="n">
        <v>492303</v>
      </c>
    </row>
    <row r="3559">
      <c r="A3559" s="521" t="n">
        <v>3551</v>
      </c>
      <c r="B3559" s="522" t="inlineStr">
        <is>
          <t>Clearance &amp; Trucking Fee</t>
        </is>
      </c>
      <c r="C3559" s="522" t="inlineStr">
        <is>
          <t>56ប៊ី-លីង សឹបផ្លាយ ឆេន មេនេចម៉ិន ឯ.ក</t>
        </is>
      </c>
      <c r="D3559" s="522" t="inlineStr">
        <is>
          <t>K004-902004795</t>
        </is>
      </c>
      <c r="E3559" s="521" t="inlineStr">
        <is>
          <t>TI2022-0769</t>
        </is>
      </c>
      <c r="F3559" s="523" t="n">
        <v>44845</v>
      </c>
      <c r="G3559" s="556" t="n">
        <v>213004</v>
      </c>
      <c r="I3559" s="521">
        <f>G3559</f>
        <v/>
      </c>
      <c r="K3559" s="521">
        <f>I3559-G3559</f>
        <v/>
      </c>
      <c r="M3559" s="522" t="inlineStr">
        <is>
          <t>TI20220769</t>
        </is>
      </c>
      <c r="N3559" s="522" t="inlineStr">
        <is>
          <t>TI20220769</t>
        </is>
      </c>
      <c r="O3559" s="521">
        <f>M3559=N3559</f>
        <v/>
      </c>
      <c r="P3559" s="521">
        <f>AND(MONTH(F3559)=MONTH(S3559), YEAR(F3559)=YEAR(S3559))</f>
        <v/>
      </c>
      <c r="Q3559" s="521">
        <f>U3559="L001-901905215"</f>
        <v/>
      </c>
      <c r="R3559" s="556">
        <f>G3559-W3559</f>
        <v/>
      </c>
      <c r="S3559" s="523" t="n">
        <v>44845</v>
      </c>
      <c r="T3559" s="522" t="inlineStr">
        <is>
          <t>TI2022-0769</t>
        </is>
      </c>
      <c r="U3559" s="522" t="inlineStr">
        <is>
          <t>L001-901905215</t>
        </is>
      </c>
      <c r="V3559" s="522" t="inlineStr">
        <is>
          <t>វីអ៊ីស៊ិន (ខេមបូឌា) អ៊ិនដាសស្ទ្រី ឯ.ក</t>
        </is>
      </c>
      <c r="W3559" s="556" t="n">
        <v>213004</v>
      </c>
    </row>
    <row r="3560">
      <c r="A3560" s="521" t="n">
        <v>3552</v>
      </c>
      <c r="B3560" s="522" t="inlineStr">
        <is>
          <t>Clearance &amp; Trucking Fee</t>
        </is>
      </c>
      <c r="C3560" s="522" t="inlineStr">
        <is>
          <t>56ប៊ី-លីង សឹបផ្លាយ ឆេន មេនេចម៉ិន ឯ.ក</t>
        </is>
      </c>
      <c r="D3560" s="522" t="inlineStr">
        <is>
          <t>K004-902004795</t>
        </is>
      </c>
      <c r="E3560" s="521" t="inlineStr">
        <is>
          <t>TI2022-0768</t>
        </is>
      </c>
      <c r="F3560" s="523" t="n">
        <v>44845</v>
      </c>
      <c r="G3560" s="556" t="n">
        <v>196460</v>
      </c>
      <c r="I3560" s="521">
        <f>G3560</f>
        <v/>
      </c>
      <c r="K3560" s="521">
        <f>I3560-G3560</f>
        <v/>
      </c>
      <c r="M3560" s="522" t="inlineStr">
        <is>
          <t>TI20220768</t>
        </is>
      </c>
      <c r="N3560" s="522" t="inlineStr">
        <is>
          <t>TI20220768</t>
        </is>
      </c>
      <c r="O3560" s="521">
        <f>M3560=N3560</f>
        <v/>
      </c>
      <c r="P3560" s="521">
        <f>AND(MONTH(F3560)=MONTH(S3560), YEAR(F3560)=YEAR(S3560))</f>
        <v/>
      </c>
      <c r="Q3560" s="521">
        <f>U3560="L001-901905215"</f>
        <v/>
      </c>
      <c r="R3560" s="556">
        <f>G3560-W3560</f>
        <v/>
      </c>
      <c r="S3560" s="523" t="n">
        <v>44845</v>
      </c>
      <c r="T3560" s="522" t="inlineStr">
        <is>
          <t>TI2022-0768</t>
        </is>
      </c>
      <c r="U3560" s="522" t="inlineStr">
        <is>
          <t>L001-901905215</t>
        </is>
      </c>
      <c r="V3560" s="522" t="inlineStr">
        <is>
          <t>វីអ៊ីស៊ិន (ខេមបូឌា) អ៊ិនដាសស្ទ្រី ឯ.ក</t>
        </is>
      </c>
      <c r="W3560" s="556" t="n">
        <v>196460</v>
      </c>
    </row>
    <row r="3561">
      <c r="A3561" s="521" t="n">
        <v>3553</v>
      </c>
      <c r="B3561" s="522" t="inlineStr">
        <is>
          <t>Clearance &amp; Trucking Fee</t>
        </is>
      </c>
      <c r="C3561" s="522" t="inlineStr">
        <is>
          <t>56ប៊ី-លីង សឹបផ្លាយ ឆេន មេនេចម៉ិន ឯ.ក</t>
        </is>
      </c>
      <c r="D3561" s="522" t="inlineStr">
        <is>
          <t>K004-902004795</t>
        </is>
      </c>
      <c r="E3561" s="521" t="inlineStr">
        <is>
          <t>TI2022-0766</t>
        </is>
      </c>
      <c r="F3561" s="523" t="n">
        <v>44845</v>
      </c>
      <c r="G3561" s="556" t="n">
        <v>213004</v>
      </c>
      <c r="I3561" s="521">
        <f>G3561</f>
        <v/>
      </c>
      <c r="K3561" s="521">
        <f>I3561-G3561</f>
        <v/>
      </c>
      <c r="M3561" s="522" t="inlineStr">
        <is>
          <t>TI20220766</t>
        </is>
      </c>
      <c r="N3561" s="522" t="inlineStr">
        <is>
          <t>TI20220766</t>
        </is>
      </c>
      <c r="O3561" s="521">
        <f>M3561=N3561</f>
        <v/>
      </c>
      <c r="P3561" s="521">
        <f>AND(MONTH(F3561)=MONTH(S3561), YEAR(F3561)=YEAR(S3561))</f>
        <v/>
      </c>
      <c r="Q3561" s="521">
        <f>U3561="L001-901905215"</f>
        <v/>
      </c>
      <c r="R3561" s="556">
        <f>G3561-W3561</f>
        <v/>
      </c>
      <c r="S3561" s="523" t="n">
        <v>44845</v>
      </c>
      <c r="T3561" s="522" t="inlineStr">
        <is>
          <t>TI2022-0766</t>
        </is>
      </c>
      <c r="U3561" s="522" t="inlineStr">
        <is>
          <t>L001-901905215</t>
        </is>
      </c>
      <c r="V3561" s="522" t="inlineStr">
        <is>
          <t>វីអ៊ីស៊ិន (ខេមបូឌា) អ៊ិនដាសស្ទ្រី ឯ.ក</t>
        </is>
      </c>
      <c r="W3561" s="556" t="n">
        <v>213004</v>
      </c>
    </row>
    <row r="3562">
      <c r="A3562" s="521" t="n">
        <v>3554</v>
      </c>
      <c r="B3562" s="522" t="inlineStr">
        <is>
          <t>Machine Rental fee</t>
        </is>
      </c>
      <c r="C3562" s="522" t="inlineStr">
        <is>
          <t xml:space="preserve">អិនធីអិល តិចណូឡូជី </t>
        </is>
      </c>
      <c r="D3562" s="522" t="inlineStr">
        <is>
          <t>K005-901900283</t>
        </is>
      </c>
      <c r="E3562" s="521" t="inlineStr">
        <is>
          <t>22-003743</t>
        </is>
      </c>
      <c r="F3562" s="523" t="n">
        <v>44854</v>
      </c>
      <c r="G3562" s="556" t="n">
        <v>24827</v>
      </c>
      <c r="I3562" s="521">
        <f>G3562</f>
        <v/>
      </c>
      <c r="K3562" s="521">
        <f>I3562-G3562</f>
        <v/>
      </c>
      <c r="M3562" s="522" t="inlineStr">
        <is>
          <t>22003743</t>
        </is>
      </c>
      <c r="N3562" s="522" t="inlineStr">
        <is>
          <t>22003743</t>
        </is>
      </c>
      <c r="O3562" s="521">
        <f>M3562=N3562</f>
        <v/>
      </c>
      <c r="P3562" s="521">
        <f>AND(MONTH(F3562)=MONTH(S3562), YEAR(F3562)=YEAR(S3562))</f>
        <v/>
      </c>
      <c r="Q3562" s="521">
        <f>U3562="L001-901905215"</f>
        <v/>
      </c>
      <c r="R3562" s="556">
        <f>G3562-W3562</f>
        <v/>
      </c>
      <c r="S3562" s="523" t="n">
        <v>44854</v>
      </c>
      <c r="T3562" s="522" t="inlineStr">
        <is>
          <t>22-003743</t>
        </is>
      </c>
      <c r="U3562" s="522" t="inlineStr">
        <is>
          <t>L001-901905215</t>
        </is>
      </c>
      <c r="V3562" s="522" t="inlineStr">
        <is>
          <t>វីអ៊ីស៊ិន (ខេមបូឌា) អ៊ិនដាសស្ទ្រី ឯ.ក</t>
        </is>
      </c>
      <c r="W3562" s="556" t="n">
        <v>24827</v>
      </c>
    </row>
    <row r="3563">
      <c r="A3563" s="521" t="n">
        <v>3555</v>
      </c>
      <c r="B3563" s="522" t="inlineStr">
        <is>
          <t>Other Expense USB</t>
        </is>
      </c>
      <c r="C3563" s="522" t="inlineStr">
        <is>
          <t>168 វីនសូ ឯ.ក</t>
        </is>
      </c>
      <c r="D3563" s="522" t="inlineStr">
        <is>
          <t>K010-902000959</t>
        </is>
      </c>
      <c r="E3563" s="521" t="inlineStr">
        <is>
          <t>HO202210003128</t>
        </is>
      </c>
      <c r="F3563" s="523" t="n">
        <v>44840</v>
      </c>
      <c r="G3563" s="556" t="n">
        <v>1826</v>
      </c>
      <c r="I3563" s="521">
        <f>G3563</f>
        <v/>
      </c>
      <c r="K3563" s="521">
        <f>I3563-G3563</f>
        <v/>
      </c>
      <c r="M3563" s="522" t="inlineStr">
        <is>
          <t>HO202210003128</t>
        </is>
      </c>
      <c r="N3563" s="522" t="inlineStr"/>
      <c r="O3563" s="521">
        <f>M3563=N3563</f>
        <v/>
      </c>
      <c r="P3563" s="521">
        <f>AND(MONTH(F3563)=MONTH(S3563), YEAR(F3563)=YEAR(S3563))</f>
        <v/>
      </c>
      <c r="Q3563" s="521">
        <f>U3563="L001-901905215"</f>
        <v/>
      </c>
      <c r="R3563" s="556">
        <f>G3563-W3563</f>
        <v/>
      </c>
      <c r="S3563" s="521" t="n"/>
      <c r="T3563" s="522" t="n"/>
      <c r="U3563" s="522" t="n"/>
      <c r="V3563" s="522" t="n"/>
      <c r="W3563" s="521" t="n"/>
    </row>
    <row r="3564">
      <c r="A3564" s="521" t="n">
        <v>3556</v>
      </c>
      <c r="B3564" s="522" t="inlineStr">
        <is>
          <t>Entertainment expense</t>
        </is>
      </c>
      <c r="C3564" s="522" t="inlineStr">
        <is>
          <t>ខ្មែរ អ៊ិននើវេធីវ សឺវីស ឯ.ក</t>
        </is>
      </c>
      <c r="D3564" s="522" t="inlineStr">
        <is>
          <t>L001-100185800</t>
        </is>
      </c>
      <c r="E3564" s="521" t="inlineStr">
        <is>
          <t>2022-15233</t>
        </is>
      </c>
      <c r="F3564" s="523" t="n">
        <v>44841</v>
      </c>
      <c r="G3564" s="556" t="n">
        <v>6600</v>
      </c>
      <c r="I3564" s="521">
        <f>G3564</f>
        <v/>
      </c>
      <c r="K3564" s="521">
        <f>I3564-G3564</f>
        <v/>
      </c>
      <c r="M3564" s="522" t="inlineStr">
        <is>
          <t>202215233</t>
        </is>
      </c>
      <c r="N3564" s="522" t="inlineStr"/>
      <c r="O3564" s="521">
        <f>M3564=N3564</f>
        <v/>
      </c>
      <c r="P3564" s="521">
        <f>AND(MONTH(F3564)=MONTH(S3564), YEAR(F3564)=YEAR(S3564))</f>
        <v/>
      </c>
      <c r="Q3564" s="521">
        <f>U3564="L001-901905215"</f>
        <v/>
      </c>
      <c r="R3564" s="556">
        <f>G3564-W3564</f>
        <v/>
      </c>
      <c r="S3564" s="521" t="n"/>
      <c r="T3564" s="522" t="n"/>
      <c r="U3564" s="522" t="n"/>
      <c r="V3564" s="522" t="n"/>
      <c r="W3564" s="521" t="n"/>
    </row>
    <row r="3565">
      <c r="A3565" s="521" t="n">
        <v>3557</v>
      </c>
      <c r="B3565" s="522" t="inlineStr">
        <is>
          <t>Entertainment expense</t>
        </is>
      </c>
      <c r="C3565" s="522" t="inlineStr">
        <is>
          <t>ខ្មែរ អ៊ិននើវេធីវ សឺវីស ឯ.ក</t>
        </is>
      </c>
      <c r="D3565" s="522" t="inlineStr">
        <is>
          <t>L001-100185800</t>
        </is>
      </c>
      <c r="E3565" s="521" t="inlineStr">
        <is>
          <t>2022-16005</t>
        </is>
      </c>
      <c r="F3565" s="523" t="n">
        <v>44855</v>
      </c>
      <c r="G3565" s="556" t="n">
        <v>8600</v>
      </c>
      <c r="I3565" s="521">
        <f>G3565</f>
        <v/>
      </c>
      <c r="K3565" s="521">
        <f>I3565-G3565</f>
        <v/>
      </c>
      <c r="M3565" s="522" t="inlineStr">
        <is>
          <t>202216005</t>
        </is>
      </c>
      <c r="N3565" s="522" t="inlineStr"/>
      <c r="O3565" s="521">
        <f>M3565=N3565</f>
        <v/>
      </c>
      <c r="P3565" s="521">
        <f>AND(MONTH(F3565)=MONTH(S3565), YEAR(F3565)=YEAR(S3565))</f>
        <v/>
      </c>
      <c r="Q3565" s="521">
        <f>U3565="L001-901905215"</f>
        <v/>
      </c>
      <c r="R3565" s="556">
        <f>G3565-W3565</f>
        <v/>
      </c>
      <c r="S3565" s="521" t="n"/>
      <c r="T3565" s="522" t="n"/>
      <c r="U3565" s="522" t="n"/>
      <c r="V3565" s="522" t="n"/>
      <c r="W3565" s="521" t="n"/>
    </row>
    <row r="3566">
      <c r="A3566" s="521" t="n">
        <v>3558</v>
      </c>
      <c r="B3566" s="522" t="inlineStr">
        <is>
          <t>Entertainment expense</t>
        </is>
      </c>
      <c r="C3566" s="522" t="inlineStr">
        <is>
          <t>ខ្មែរ អ៊ិននើវេធីវ សឺវីស ឯ.ក</t>
        </is>
      </c>
      <c r="D3566" s="522" t="inlineStr">
        <is>
          <t>L001-100185800</t>
        </is>
      </c>
      <c r="E3566" s="521" t="inlineStr">
        <is>
          <t>2022-16282</t>
        </is>
      </c>
      <c r="F3566" s="523" t="n">
        <v>44860</v>
      </c>
      <c r="G3566" s="556" t="n">
        <v>4302</v>
      </c>
      <c r="I3566" s="521">
        <f>G3566</f>
        <v/>
      </c>
      <c r="K3566" s="521">
        <f>I3566-G3566</f>
        <v/>
      </c>
      <c r="M3566" s="522" t="inlineStr">
        <is>
          <t>202216282</t>
        </is>
      </c>
      <c r="N3566" s="522" t="inlineStr"/>
      <c r="O3566" s="521">
        <f>M3566=N3566</f>
        <v/>
      </c>
      <c r="P3566" s="521">
        <f>AND(MONTH(F3566)=MONTH(S3566), YEAR(F3566)=YEAR(S3566))</f>
        <v/>
      </c>
      <c r="Q3566" s="521">
        <f>U3566="L001-901905215"</f>
        <v/>
      </c>
      <c r="R3566" s="556">
        <f>G3566-W3566</f>
        <v/>
      </c>
      <c r="S3566" s="521" t="n"/>
      <c r="T3566" s="522" t="n"/>
      <c r="U3566" s="522" t="n"/>
      <c r="V3566" s="522" t="n"/>
      <c r="W3566" s="521" t="n"/>
    </row>
    <row r="3567">
      <c r="A3567" s="521" t="n">
        <v>3559</v>
      </c>
      <c r="B3567" s="522" t="inlineStr">
        <is>
          <t>Entertainment expense</t>
        </is>
      </c>
      <c r="C3567" s="522" t="inlineStr">
        <is>
          <t>ខ្មែរ អ៊ិននើវេធីវ សឺវីស ឯ.ក</t>
        </is>
      </c>
      <c r="D3567" s="522" t="inlineStr">
        <is>
          <t>L001-100185800</t>
        </is>
      </c>
      <c r="E3567" s="521" t="inlineStr">
        <is>
          <t>2022-16368</t>
        </is>
      </c>
      <c r="F3567" s="523" t="n">
        <v>44861</v>
      </c>
      <c r="G3567" s="556" t="n">
        <v>8702</v>
      </c>
      <c r="I3567" s="521">
        <f>G3567</f>
        <v/>
      </c>
      <c r="K3567" s="521">
        <f>I3567-G3567</f>
        <v/>
      </c>
      <c r="M3567" s="522" t="inlineStr">
        <is>
          <t>202216368</t>
        </is>
      </c>
      <c r="N3567" s="522" t="inlineStr"/>
      <c r="O3567" s="521">
        <f>M3567=N3567</f>
        <v/>
      </c>
      <c r="P3567" s="521">
        <f>AND(MONTH(F3567)=MONTH(S3567), YEAR(F3567)=YEAR(S3567))</f>
        <v/>
      </c>
      <c r="Q3567" s="521">
        <f>U3567="L001-901905215"</f>
        <v/>
      </c>
      <c r="R3567" s="556">
        <f>G3567-W3567</f>
        <v/>
      </c>
      <c r="S3567" s="521" t="n"/>
      <c r="T3567" s="522" t="n"/>
      <c r="U3567" s="522" t="n"/>
      <c r="V3567" s="522" t="n"/>
      <c r="W3567" s="521" t="n"/>
    </row>
    <row r="3568">
      <c r="A3568" s="521" t="n">
        <v>3560</v>
      </c>
      <c r="B3568" s="522" t="inlineStr">
        <is>
          <t>Entertainment expense</t>
        </is>
      </c>
      <c r="C3568" s="522" t="inlineStr">
        <is>
          <t>ខ្មែរ អ៊ិននើវេធីវ សឺវីស ឯ.ក</t>
        </is>
      </c>
      <c r="D3568" s="522" t="inlineStr">
        <is>
          <t>L001-100185800</t>
        </is>
      </c>
      <c r="E3568" s="521" t="inlineStr">
        <is>
          <t>NA20221001</t>
        </is>
      </c>
      <c r="F3568" s="523" t="n">
        <v>44835</v>
      </c>
      <c r="G3568" s="556" t="n">
        <v>5502</v>
      </c>
      <c r="I3568" s="521">
        <f>G3568</f>
        <v/>
      </c>
      <c r="K3568" s="521">
        <f>I3568-G3568</f>
        <v/>
      </c>
      <c r="M3568" s="522" t="inlineStr">
        <is>
          <t>NA20221001</t>
        </is>
      </c>
      <c r="N3568" s="522" t="inlineStr"/>
      <c r="O3568" s="521">
        <f>M3568=N3568</f>
        <v/>
      </c>
      <c r="P3568" s="521">
        <f>AND(MONTH(F3568)=MONTH(S3568), YEAR(F3568)=YEAR(S3568))</f>
        <v/>
      </c>
      <c r="Q3568" s="521">
        <f>U3568="L001-901905215"</f>
        <v/>
      </c>
      <c r="R3568" s="556">
        <f>G3568-W3568</f>
        <v/>
      </c>
      <c r="S3568" s="521" t="n"/>
      <c r="T3568" s="522" t="n"/>
      <c r="U3568" s="522" t="n"/>
      <c r="V3568" s="522" t="n"/>
      <c r="W3568" s="521" t="n"/>
    </row>
    <row r="3569">
      <c r="A3569" s="521" t="n">
        <v>3561</v>
      </c>
      <c r="B3569" s="522" t="inlineStr">
        <is>
          <t>Entertainment expense</t>
        </is>
      </c>
      <c r="C3569" s="522" t="inlineStr">
        <is>
          <t>ឡោវទីហ្វាង</t>
        </is>
      </c>
      <c r="D3569" s="522" t="inlineStr">
        <is>
          <t>L001-107027453</t>
        </is>
      </c>
      <c r="E3569" s="521" t="inlineStr">
        <is>
          <t>221016-076</t>
        </is>
      </c>
      <c r="F3569" s="523" t="n">
        <v>44850</v>
      </c>
      <c r="G3569" s="556" t="n">
        <v>110764</v>
      </c>
      <c r="I3569" s="521">
        <f>G3569</f>
        <v/>
      </c>
      <c r="K3569" s="521">
        <f>I3569-G3569</f>
        <v/>
      </c>
      <c r="M3569" s="522" t="inlineStr">
        <is>
          <t>221016076</t>
        </is>
      </c>
      <c r="N3569" s="522" t="inlineStr"/>
      <c r="O3569" s="521">
        <f>M3569=N3569</f>
        <v/>
      </c>
      <c r="P3569" s="521">
        <f>AND(MONTH(F3569)=MONTH(S3569), YEAR(F3569)=YEAR(S3569))</f>
        <v/>
      </c>
      <c r="Q3569" s="521">
        <f>U3569="L001-901905215"</f>
        <v/>
      </c>
      <c r="R3569" s="556">
        <f>G3569-W3569</f>
        <v/>
      </c>
      <c r="S3569" s="521" t="n"/>
      <c r="T3569" s="522" t="n"/>
      <c r="U3569" s="522" t="n"/>
      <c r="V3569" s="522" t="n"/>
      <c r="W3569" s="521" t="n"/>
    </row>
    <row r="3570">
      <c r="A3570" s="521" t="n">
        <v>3562</v>
      </c>
      <c r="B3570" s="522" t="inlineStr">
        <is>
          <t>Entertainment expense</t>
        </is>
      </c>
      <c r="C3570" s="522" t="inlineStr">
        <is>
          <t>ខ្មែរ អ៊ិននើវេធីវ សឺវីស ឯ.ក</t>
        </is>
      </c>
      <c r="D3570" s="522" t="inlineStr">
        <is>
          <t>L001-100185800</t>
        </is>
      </c>
      <c r="E3570" s="521" t="inlineStr">
        <is>
          <t>15016</t>
        </is>
      </c>
      <c r="F3570" s="523" t="n">
        <v>44839</v>
      </c>
      <c r="G3570" s="556" t="n">
        <v>14800</v>
      </c>
      <c r="I3570" s="521">
        <f>G3570</f>
        <v/>
      </c>
      <c r="K3570" s="521">
        <f>I3570-G3570</f>
        <v/>
      </c>
      <c r="M3570" s="522" t="inlineStr">
        <is>
          <t>15016</t>
        </is>
      </c>
      <c r="N3570" s="522" t="inlineStr"/>
      <c r="O3570" s="521">
        <f>M3570=N3570</f>
        <v/>
      </c>
      <c r="P3570" s="521">
        <f>AND(MONTH(F3570)=MONTH(S3570), YEAR(F3570)=YEAR(S3570))</f>
        <v/>
      </c>
      <c r="Q3570" s="521">
        <f>U3570="L001-901905215"</f>
        <v/>
      </c>
      <c r="R3570" s="556">
        <f>G3570-W3570</f>
        <v/>
      </c>
      <c r="S3570" s="521" t="n"/>
      <c r="T3570" s="522" t="n"/>
      <c r="U3570" s="522" t="n"/>
      <c r="V3570" s="522" t="n"/>
      <c r="W3570" s="521" t="n"/>
    </row>
    <row r="3571">
      <c r="A3571" s="521" t="n">
        <v>3563</v>
      </c>
      <c r="B3571" s="522" t="inlineStr">
        <is>
          <t>Entertainment expense</t>
        </is>
      </c>
      <c r="C3571" s="522" t="inlineStr">
        <is>
          <t>ខ្មែរ អ៊ិននើវេធីវ សឺវីស ឯ.ក</t>
        </is>
      </c>
      <c r="D3571" s="522" t="inlineStr">
        <is>
          <t>L001-100185800</t>
        </is>
      </c>
      <c r="E3571" s="521" t="inlineStr">
        <is>
          <t>2022-15166</t>
        </is>
      </c>
      <c r="F3571" s="523" t="n">
        <v>44840</v>
      </c>
      <c r="G3571" s="556" t="n">
        <v>11400</v>
      </c>
      <c r="I3571" s="521">
        <f>G3571</f>
        <v/>
      </c>
      <c r="K3571" s="521">
        <f>I3571-G3571</f>
        <v/>
      </c>
      <c r="M3571" s="522" t="inlineStr">
        <is>
          <t>202215166</t>
        </is>
      </c>
      <c r="N3571" s="522" t="inlineStr"/>
      <c r="O3571" s="521">
        <f>M3571=N3571</f>
        <v/>
      </c>
      <c r="P3571" s="521">
        <f>AND(MONTH(F3571)=MONTH(S3571), YEAR(F3571)=YEAR(S3571))</f>
        <v/>
      </c>
      <c r="Q3571" s="521">
        <f>U3571="L001-901905215"</f>
        <v/>
      </c>
      <c r="R3571" s="556">
        <f>G3571-W3571</f>
        <v/>
      </c>
      <c r="S3571" s="521" t="n"/>
      <c r="T3571" s="522" t="n"/>
      <c r="U3571" s="522" t="n"/>
      <c r="V3571" s="522" t="n"/>
      <c r="W3571" s="521" t="n"/>
    </row>
    <row r="3572">
      <c r="A3572" s="521" t="n">
        <v>3564</v>
      </c>
      <c r="B3572" s="522" t="inlineStr">
        <is>
          <t>Entertainment expense</t>
        </is>
      </c>
      <c r="C3572" s="522" t="inlineStr">
        <is>
          <t>ស៊ាំង ស៊ាំង រេសថឹរេន</t>
        </is>
      </c>
      <c r="D3572" s="522" t="inlineStr">
        <is>
          <t>E010-2100000611</t>
        </is>
      </c>
      <c r="E3572" s="521" t="inlineStr">
        <is>
          <t>15116</t>
        </is>
      </c>
      <c r="F3572" s="523" t="n">
        <v>44844</v>
      </c>
      <c r="G3572" s="556" t="n">
        <v>8518</v>
      </c>
      <c r="I3572" s="521">
        <f>G3572</f>
        <v/>
      </c>
      <c r="K3572" s="521">
        <f>I3572-G3572</f>
        <v/>
      </c>
      <c r="M3572" s="522" t="inlineStr">
        <is>
          <t>15116</t>
        </is>
      </c>
      <c r="N3572" s="522" t="inlineStr"/>
      <c r="O3572" s="521">
        <f>M3572=N3572</f>
        <v/>
      </c>
      <c r="P3572" s="521">
        <f>AND(MONTH(F3572)=MONTH(S3572), YEAR(F3572)=YEAR(S3572))</f>
        <v/>
      </c>
      <c r="Q3572" s="521">
        <f>U3572="L001-901905215"</f>
        <v/>
      </c>
      <c r="R3572" s="556">
        <f>G3572-W3572</f>
        <v/>
      </c>
      <c r="S3572" s="521" t="n"/>
      <c r="T3572" s="522" t="n"/>
      <c r="U3572" s="522" t="n"/>
      <c r="V3572" s="522" t="n"/>
      <c r="W3572" s="521" t="n"/>
    </row>
    <row r="3573">
      <c r="A3573" s="521" t="n">
        <v>3565</v>
      </c>
      <c r="B3573" s="522" t="inlineStr">
        <is>
          <t>Entertainment expense</t>
        </is>
      </c>
      <c r="C3573" s="522" t="inlineStr">
        <is>
          <t>ខ្មែរ អ៊ិននើវេធីវ សឺវីស ឯ.ក</t>
        </is>
      </c>
      <c r="D3573" s="522" t="inlineStr">
        <is>
          <t>L001-100185800</t>
        </is>
      </c>
      <c r="E3573" s="521" t="inlineStr">
        <is>
          <t>2022-15467</t>
        </is>
      </c>
      <c r="F3573" s="523" t="n">
        <v>44846</v>
      </c>
      <c r="G3573" s="556" t="n">
        <v>8000</v>
      </c>
      <c r="I3573" s="521">
        <f>G3573</f>
        <v/>
      </c>
      <c r="K3573" s="521">
        <f>I3573-G3573</f>
        <v/>
      </c>
      <c r="M3573" s="522" t="inlineStr">
        <is>
          <t>202215467</t>
        </is>
      </c>
      <c r="N3573" s="522" t="inlineStr"/>
      <c r="O3573" s="521">
        <f>M3573=N3573</f>
        <v/>
      </c>
      <c r="P3573" s="521">
        <f>AND(MONTH(F3573)=MONTH(S3573), YEAR(F3573)=YEAR(S3573))</f>
        <v/>
      </c>
      <c r="Q3573" s="521">
        <f>U3573="L001-901905215"</f>
        <v/>
      </c>
      <c r="R3573" s="556">
        <f>G3573-W3573</f>
        <v/>
      </c>
      <c r="S3573" s="521" t="n"/>
      <c r="T3573" s="522" t="n"/>
      <c r="U3573" s="522" t="n"/>
      <c r="V3573" s="522" t="n"/>
      <c r="W3573" s="521" t="n"/>
    </row>
    <row r="3574">
      <c r="A3574" s="521" t="n">
        <v>3566</v>
      </c>
      <c r="B3574" s="522" t="inlineStr">
        <is>
          <t>Entertainment expense</t>
        </is>
      </c>
      <c r="C3574" s="522" t="inlineStr">
        <is>
          <t>ស៊ាំង ស៊ាំង រេសថឹរេន</t>
        </is>
      </c>
      <c r="D3574" s="522" t="inlineStr">
        <is>
          <t>E010-2100000611</t>
        </is>
      </c>
      <c r="E3574" s="521" t="inlineStr">
        <is>
          <t>15195</t>
        </is>
      </c>
      <c r="F3574" s="523" t="n">
        <v>44847</v>
      </c>
      <c r="G3574" s="556" t="n">
        <v>7904</v>
      </c>
      <c r="I3574" s="521">
        <f>G3574</f>
        <v/>
      </c>
      <c r="K3574" s="521">
        <f>I3574-G3574</f>
        <v/>
      </c>
      <c r="M3574" s="522" t="inlineStr">
        <is>
          <t>15195</t>
        </is>
      </c>
      <c r="N3574" s="522" t="inlineStr"/>
      <c r="O3574" s="521">
        <f>M3574=N3574</f>
        <v/>
      </c>
      <c r="P3574" s="521">
        <f>AND(MONTH(F3574)=MONTH(S3574), YEAR(F3574)=YEAR(S3574))</f>
        <v/>
      </c>
      <c r="Q3574" s="521">
        <f>U3574="L001-901905215"</f>
        <v/>
      </c>
      <c r="R3574" s="556">
        <f>G3574-W3574</f>
        <v/>
      </c>
      <c r="S3574" s="521" t="n"/>
      <c r="T3574" s="522" t="n"/>
      <c r="U3574" s="522" t="n"/>
      <c r="V3574" s="522" t="n"/>
      <c r="W3574" s="521" t="n"/>
    </row>
    <row r="3575">
      <c r="A3575" s="521" t="n">
        <v>3567</v>
      </c>
      <c r="B3575" s="522" t="inlineStr">
        <is>
          <t>Entertainment expense</t>
        </is>
      </c>
      <c r="C3575" s="522" t="inlineStr">
        <is>
          <t>ស៊ាំង ស៊ាំង រេសថឹរេន</t>
        </is>
      </c>
      <c r="D3575" s="522" t="inlineStr">
        <is>
          <t>E010-2100000611</t>
        </is>
      </c>
      <c r="E3575" s="521" t="inlineStr">
        <is>
          <t>15373</t>
        </is>
      </c>
      <c r="F3575" s="523" t="n">
        <v>44854</v>
      </c>
      <c r="G3575" s="556" t="n">
        <v>7380</v>
      </c>
      <c r="I3575" s="521">
        <f>G3575</f>
        <v/>
      </c>
      <c r="K3575" s="521">
        <f>I3575-G3575</f>
        <v/>
      </c>
      <c r="M3575" s="522" t="inlineStr">
        <is>
          <t>15373</t>
        </is>
      </c>
      <c r="N3575" s="522" t="inlineStr"/>
      <c r="O3575" s="521">
        <f>M3575=N3575</f>
        <v/>
      </c>
      <c r="P3575" s="521">
        <f>AND(MONTH(F3575)=MONTH(S3575), YEAR(F3575)=YEAR(S3575))</f>
        <v/>
      </c>
      <c r="Q3575" s="521">
        <f>U3575="L001-901905215"</f>
        <v/>
      </c>
      <c r="R3575" s="556">
        <f>G3575-W3575</f>
        <v/>
      </c>
      <c r="S3575" s="521" t="n"/>
      <c r="T3575" s="522" t="n"/>
      <c r="U3575" s="522" t="n"/>
      <c r="V3575" s="522" t="n"/>
      <c r="W3575" s="521" t="n"/>
    </row>
    <row r="3576">
      <c r="A3576" s="521" t="n">
        <v>3568</v>
      </c>
      <c r="B3576" s="522" t="inlineStr">
        <is>
          <t>Entertainment expense</t>
        </is>
      </c>
      <c r="C3576" s="522" t="inlineStr">
        <is>
          <t>ស៊ាំង ស៊ាំង រេសថឹរេន</t>
        </is>
      </c>
      <c r="D3576" s="522" t="inlineStr">
        <is>
          <t>E010-2100000611</t>
        </is>
      </c>
      <c r="E3576" s="521" t="inlineStr">
        <is>
          <t>15320</t>
        </is>
      </c>
      <c r="F3576" s="523" t="n">
        <v>44852</v>
      </c>
      <c r="G3576" s="556" t="n">
        <v>5223</v>
      </c>
      <c r="I3576" s="521">
        <f>G3576</f>
        <v/>
      </c>
      <c r="K3576" s="521">
        <f>I3576-G3576</f>
        <v/>
      </c>
      <c r="M3576" s="522" t="inlineStr">
        <is>
          <t>15320</t>
        </is>
      </c>
      <c r="N3576" s="522" t="inlineStr"/>
      <c r="O3576" s="521">
        <f>M3576=N3576</f>
        <v/>
      </c>
      <c r="P3576" s="521">
        <f>AND(MONTH(F3576)=MONTH(S3576), YEAR(F3576)=YEAR(S3576))</f>
        <v/>
      </c>
      <c r="Q3576" s="521">
        <f>U3576="L001-901905215"</f>
        <v/>
      </c>
      <c r="R3576" s="556">
        <f>G3576-W3576</f>
        <v/>
      </c>
      <c r="S3576" s="521" t="n"/>
      <c r="T3576" s="522" t="n"/>
      <c r="U3576" s="522" t="n"/>
      <c r="V3576" s="522" t="n"/>
      <c r="W3576" s="521" t="n"/>
    </row>
    <row r="3577">
      <c r="A3577" s="521" t="n">
        <v>3569</v>
      </c>
      <c r="B3577" s="522" t="inlineStr">
        <is>
          <t>Monthly Tax Declaration fee for Oct 2022 service</t>
        </is>
      </c>
      <c r="C3577" s="522" t="inlineStr">
        <is>
          <t>យីងកឺ ខេម ថេក អ៊ែតវ៉ាយហ្សឺរី ឯ.ក</t>
        </is>
      </c>
      <c r="D3577" s="522" t="inlineStr">
        <is>
          <t>K003-902005313</t>
        </is>
      </c>
      <c r="E3577" s="521" t="inlineStr">
        <is>
          <t>YKT22-226</t>
        </is>
      </c>
      <c r="F3577" s="523" t="n">
        <v>44835</v>
      </c>
      <c r="G3577" s="556" t="n">
        <v>577780</v>
      </c>
      <c r="I3577" s="521">
        <f>G3577</f>
        <v/>
      </c>
      <c r="K3577" s="521">
        <f>I3577-G3577</f>
        <v/>
      </c>
      <c r="M3577" s="522" t="inlineStr">
        <is>
          <t>YKT22226</t>
        </is>
      </c>
      <c r="N3577" s="522" t="inlineStr">
        <is>
          <t>YKT22226</t>
        </is>
      </c>
      <c r="O3577" s="521">
        <f>M3577=N3577</f>
        <v/>
      </c>
      <c r="P3577" s="521">
        <f>AND(MONTH(F3577)=MONTH(S3577), YEAR(F3577)=YEAR(S3577))</f>
        <v/>
      </c>
      <c r="Q3577" s="521">
        <f>U3577="L001-901905215"</f>
        <v/>
      </c>
      <c r="R3577" s="556">
        <f>G3577-W3577</f>
        <v/>
      </c>
      <c r="S3577" s="523" t="n">
        <v>44835</v>
      </c>
      <c r="T3577" s="522" t="inlineStr">
        <is>
          <t>YKT22-226</t>
        </is>
      </c>
      <c r="U3577" s="522" t="inlineStr">
        <is>
          <t>L001-901905215</t>
        </is>
      </c>
      <c r="V3577" s="522" t="inlineStr">
        <is>
          <t>វីអ៊ីស៊ិន (ខេមបូឌា) អ៊ិនដាសស្ទ្រី ឯ.ក</t>
        </is>
      </c>
      <c r="W3577" s="556" t="n">
        <v>577780</v>
      </c>
    </row>
    <row r="3578">
      <c r="A3578" s="521" t="n">
        <v>3570</v>
      </c>
      <c r="B3578" s="522" t="inlineStr">
        <is>
          <t>Building Rental fee for Oct 2022</t>
        </is>
      </c>
      <c r="C3578" s="522" t="inlineStr">
        <is>
          <t>មេហ្គា លេបឹល &amp; ស្ទីកឃើរ (ខេមបូឌា)</t>
        </is>
      </c>
      <c r="D3578" s="522" t="inlineStr">
        <is>
          <t>L001-100185983</t>
        </is>
      </c>
      <c r="E3578" s="521" t="inlineStr">
        <is>
          <t>INV20221003</t>
        </is>
      </c>
      <c r="F3578" s="523" t="n">
        <v>44837</v>
      </c>
      <c r="G3578" s="556" t="n">
        <v>1419693</v>
      </c>
      <c r="I3578" s="521">
        <f>G3578</f>
        <v/>
      </c>
      <c r="K3578" s="521">
        <f>I3578-G3578</f>
        <v/>
      </c>
      <c r="M3578" s="522" t="inlineStr">
        <is>
          <t>INV20221003</t>
        </is>
      </c>
      <c r="N3578" s="522" t="inlineStr">
        <is>
          <t>INV20221003</t>
        </is>
      </c>
      <c r="O3578" s="521">
        <f>M3578=N3578</f>
        <v/>
      </c>
      <c r="P3578" s="521">
        <f>AND(MONTH(F3578)=MONTH(S3578), YEAR(F3578)=YEAR(S3578))</f>
        <v/>
      </c>
      <c r="Q3578" s="521">
        <f>U3578="L001-901905215"</f>
        <v/>
      </c>
      <c r="R3578" s="556">
        <f>G3578-W3578</f>
        <v/>
      </c>
      <c r="S3578" s="523" t="n">
        <v>44837</v>
      </c>
      <c r="T3578" s="522" t="inlineStr">
        <is>
          <t>INV20221003</t>
        </is>
      </c>
      <c r="U3578" s="522" t="inlineStr">
        <is>
          <t>L001-901905215</t>
        </is>
      </c>
      <c r="V3578" s="522" t="inlineStr">
        <is>
          <t>វីអ៊ីស៊ិន (ខេមបូឌា) អ៊ិនដាសស្ទ្រី ឯ.ក</t>
        </is>
      </c>
      <c r="W3578" s="556" t="n">
        <v>1419660</v>
      </c>
    </row>
    <row r="3579">
      <c r="A3579" s="521" t="n">
        <v>3571</v>
      </c>
      <c r="B3579" s="522" t="inlineStr">
        <is>
          <t>Security Guard</t>
        </is>
      </c>
      <c r="C3579" s="522" t="inlineStr">
        <is>
          <t>អេសអេហ្វអាយ​ ស៊ីឃ្យួរឹធី ហ្វសស៍ អ៊ិនធើណេសិនណល ឯ.ក</t>
        </is>
      </c>
      <c r="D3579" s="522" t="inlineStr">
        <is>
          <t>K010-901908100</t>
        </is>
      </c>
      <c r="E3579" s="521" t="inlineStr">
        <is>
          <t>SFI2022/380</t>
        </is>
      </c>
      <c r="F3579" s="523" t="n">
        <v>44858</v>
      </c>
      <c r="G3579" s="556" t="n">
        <v>232120</v>
      </c>
      <c r="I3579" s="521">
        <f>G3579</f>
        <v/>
      </c>
      <c r="K3579" s="521">
        <f>I3579-G3579</f>
        <v/>
      </c>
      <c r="M3579" s="522" t="inlineStr">
        <is>
          <t>SFI2022380</t>
        </is>
      </c>
      <c r="N3579" s="522" t="inlineStr">
        <is>
          <t>SFI2022380</t>
        </is>
      </c>
      <c r="O3579" s="521">
        <f>M3579=N3579</f>
        <v/>
      </c>
      <c r="P3579" s="521">
        <f>AND(MONTH(F3579)=MONTH(S3579), YEAR(F3579)=YEAR(S3579))</f>
        <v/>
      </c>
      <c r="Q3579" s="521">
        <f>U3579="L001-901905215"</f>
        <v/>
      </c>
      <c r="R3579" s="556">
        <f>G3579-W3579</f>
        <v/>
      </c>
      <c r="S3579" s="523" t="n">
        <v>44858</v>
      </c>
      <c r="T3579" s="522" t="inlineStr">
        <is>
          <t>SFI2022/380</t>
        </is>
      </c>
      <c r="U3579" s="522" t="inlineStr">
        <is>
          <t>L001-901905215</t>
        </is>
      </c>
      <c r="V3579" s="522" t="inlineStr">
        <is>
          <t>វីអ៊ីស៊ិន (ខេមបូឌា) អ៊ិនដាសស្ទ្រី ឯ.ក</t>
        </is>
      </c>
      <c r="W3579" s="556" t="n">
        <v>231896</v>
      </c>
    </row>
    <row r="3580">
      <c r="A3580" s="521" t="n">
        <v>3572</v>
      </c>
      <c r="B3580" s="522" t="inlineStr">
        <is>
          <t>Infrastructure Maintenance fee for Oct 2022</t>
        </is>
      </c>
      <c r="C3580" s="522" t="inlineStr">
        <is>
          <t>ភ្នំពេញ អេសអ៊ីហ្សិត ភីអិលស៊ី</t>
        </is>
      </c>
      <c r="D3580" s="522" t="inlineStr">
        <is>
          <t>L001-100046592</t>
        </is>
      </c>
      <c r="E3580" s="521" t="inlineStr">
        <is>
          <t>2022-05153</t>
        </is>
      </c>
      <c r="F3580" s="523" t="n">
        <v>44852</v>
      </c>
      <c r="G3580" s="556" t="n">
        <v>204333</v>
      </c>
      <c r="I3580" s="521">
        <f>G3580</f>
        <v/>
      </c>
      <c r="K3580" s="521">
        <f>I3580-G3580</f>
        <v/>
      </c>
      <c r="M3580" s="522" t="inlineStr">
        <is>
          <t>202205153</t>
        </is>
      </c>
      <c r="N3580" s="522" t="inlineStr">
        <is>
          <t>202205153</t>
        </is>
      </c>
      <c r="O3580" s="521">
        <f>M3580=N3580</f>
        <v/>
      </c>
      <c r="P3580" s="521">
        <f>AND(MONTH(F3580)=MONTH(S3580), YEAR(F3580)=YEAR(S3580))</f>
        <v/>
      </c>
      <c r="Q3580" s="521">
        <f>U3580="L001-901905215"</f>
        <v/>
      </c>
      <c r="R3580" s="556">
        <f>G3580-W3580</f>
        <v/>
      </c>
      <c r="S3580" s="523" t="n">
        <v>44852</v>
      </c>
      <c r="T3580" s="522" t="inlineStr">
        <is>
          <t>2022-05153</t>
        </is>
      </c>
      <c r="U3580" s="522" t="inlineStr">
        <is>
          <t>L001-901905215</t>
        </is>
      </c>
      <c r="V3580" s="522" t="inlineStr">
        <is>
          <t>វីអ៊ីស៊ិន (ខេមបូឌា) អ៊ិនដាសស្ទ្រី ឯ.ក</t>
        </is>
      </c>
      <c r="W3580" s="556" t="n">
        <v>204333</v>
      </c>
    </row>
    <row r="3581">
      <c r="A3581" s="521" t="n">
        <v>3573</v>
      </c>
      <c r="B3581" s="522" t="inlineStr">
        <is>
          <t>Infrastructure Maintenance fee for Oct 2022</t>
        </is>
      </c>
      <c r="C3581" s="522" t="inlineStr">
        <is>
          <t>ភ្នំពេញ អេសអ៊ីហ្សិត ភីអិលស៊ី</t>
        </is>
      </c>
      <c r="D3581" s="522" t="inlineStr">
        <is>
          <t>L001-100046592</t>
        </is>
      </c>
      <c r="E3581" s="521" t="inlineStr">
        <is>
          <t>2022-05162</t>
        </is>
      </c>
      <c r="F3581" s="523" t="n">
        <v>44852</v>
      </c>
      <c r="G3581" s="556" t="n">
        <v>167824</v>
      </c>
      <c r="I3581" s="521">
        <f>G3581</f>
        <v/>
      </c>
      <c r="K3581" s="521">
        <f>I3581-G3581</f>
        <v/>
      </c>
      <c r="M3581" s="522" t="inlineStr">
        <is>
          <t>202205162</t>
        </is>
      </c>
      <c r="N3581" s="522" t="inlineStr">
        <is>
          <t>202205162</t>
        </is>
      </c>
      <c r="O3581" s="521">
        <f>M3581=N3581</f>
        <v/>
      </c>
      <c r="P3581" s="521">
        <f>AND(MONTH(F3581)=MONTH(S3581), YEAR(F3581)=YEAR(S3581))</f>
        <v/>
      </c>
      <c r="Q3581" s="521">
        <f>U3581="L001-901905215"</f>
        <v/>
      </c>
      <c r="R3581" s="556">
        <f>G3581-W3581</f>
        <v/>
      </c>
      <c r="S3581" s="523" t="n">
        <v>44852</v>
      </c>
      <c r="T3581" s="522" t="inlineStr">
        <is>
          <t>2022-05162</t>
        </is>
      </c>
      <c r="U3581" s="522" t="inlineStr">
        <is>
          <t>L001-901905215</t>
        </is>
      </c>
      <c r="V3581" s="522" t="inlineStr">
        <is>
          <t>វីអ៊ីស៊ិន (ខេមបូឌា) អ៊ិនដាសស្ទ្រី ឯ.ក</t>
        </is>
      </c>
      <c r="W3581" s="556" t="n">
        <v>167824</v>
      </c>
    </row>
    <row r="3582">
      <c r="A3582" s="521" t="n">
        <v>3574</v>
      </c>
      <c r="B3582" s="522" t="inlineStr">
        <is>
          <t>Colors Box and Paper Card</t>
        </is>
      </c>
      <c r="C3582" s="522" t="inlineStr">
        <is>
          <t>វីង ចេង ភែកឃីជីង ឯ.ក</t>
        </is>
      </c>
      <c r="D3582" s="522" t="inlineStr">
        <is>
          <t>L001-902102915</t>
        </is>
      </c>
      <c r="E3582" s="521" t="inlineStr">
        <is>
          <t>TI0533</t>
        </is>
      </c>
      <c r="F3582" s="523" t="n">
        <v>44865</v>
      </c>
      <c r="G3582" s="556" t="n">
        <v>5879086</v>
      </c>
      <c r="I3582" s="521">
        <f>G3582</f>
        <v/>
      </c>
      <c r="K3582" s="521">
        <f>I3582-G3582</f>
        <v/>
      </c>
      <c r="M3582" s="522" t="inlineStr">
        <is>
          <t>TI0533</t>
        </is>
      </c>
      <c r="N3582" s="522" t="inlineStr">
        <is>
          <t>TI0533</t>
        </is>
      </c>
      <c r="O3582" s="521">
        <f>M3582=N3582</f>
        <v/>
      </c>
      <c r="P3582" s="521">
        <f>AND(MONTH(F3582)=MONTH(S3582), YEAR(F3582)=YEAR(S3582))</f>
        <v/>
      </c>
      <c r="Q3582" s="521">
        <f>U3582="L001-901905215"</f>
        <v/>
      </c>
      <c r="R3582" s="556">
        <f>G3582-W3582</f>
        <v/>
      </c>
      <c r="S3582" s="523" t="n">
        <v>44865</v>
      </c>
      <c r="T3582" s="522" t="inlineStr">
        <is>
          <t>TI0533</t>
        </is>
      </c>
      <c r="U3582" s="522" t="inlineStr">
        <is>
          <t>L001-901905215</t>
        </is>
      </c>
      <c r="V3582" s="522" t="inlineStr">
        <is>
          <t>វីអ៊ីស៊ិន (ខេមបូឌា) អ៊ិនដាសស្ទ្រី ឯ.ក</t>
        </is>
      </c>
      <c r="W3582" s="556" t="n">
        <v>5879087</v>
      </c>
    </row>
    <row r="3583">
      <c r="A3583" s="521" t="n">
        <v>3575</v>
      </c>
      <c r="B3583" s="522" t="inlineStr">
        <is>
          <t>Cartons</t>
        </is>
      </c>
      <c r="C3583" s="522" t="inlineStr">
        <is>
          <t>ស៊ីងហ្គាពួរ កាតុង (ខេមបូឌា)</t>
        </is>
      </c>
      <c r="D3583" s="522" t="inlineStr">
        <is>
          <t>L001-100121322</t>
        </is>
      </c>
      <c r="E3583" s="521" t="inlineStr">
        <is>
          <t>V0019971</t>
        </is>
      </c>
      <c r="F3583" s="523" t="n">
        <v>44835</v>
      </c>
      <c r="G3583" s="556" t="n">
        <v>518912</v>
      </c>
      <c r="I3583" s="521">
        <f>G3583</f>
        <v/>
      </c>
      <c r="K3583" s="521">
        <f>I3583-G3583</f>
        <v/>
      </c>
      <c r="M3583" s="522" t="inlineStr">
        <is>
          <t>V0019971</t>
        </is>
      </c>
      <c r="N3583" s="522" t="inlineStr">
        <is>
          <t>V0019971</t>
        </is>
      </c>
      <c r="O3583" s="521">
        <f>M3583=N3583</f>
        <v/>
      </c>
      <c r="P3583" s="521">
        <f>AND(MONTH(F3583)=MONTH(S3583), YEAR(F3583)=YEAR(S3583))</f>
        <v/>
      </c>
      <c r="Q3583" s="521">
        <f>U3583="L001-901905215"</f>
        <v/>
      </c>
      <c r="R3583" s="556">
        <f>G3583-W3583</f>
        <v/>
      </c>
      <c r="S3583" s="523" t="n">
        <v>44835</v>
      </c>
      <c r="T3583" s="522" t="inlineStr">
        <is>
          <t>V0019971</t>
        </is>
      </c>
      <c r="U3583" s="522" t="inlineStr">
        <is>
          <t>L001-901905215</t>
        </is>
      </c>
      <c r="V3583" s="522" t="inlineStr">
        <is>
          <t>វីអ៊ីស៊ិន (ខេមបូឌា) អ៊ិនដាសស្ទ្រី ឯ.ក</t>
        </is>
      </c>
      <c r="W3583" s="556" t="n">
        <v>520674</v>
      </c>
    </row>
    <row r="3584">
      <c r="A3584" s="521" t="n">
        <v>3576</v>
      </c>
      <c r="B3584" s="522" t="inlineStr">
        <is>
          <t>Cartons</t>
        </is>
      </c>
      <c r="C3584" s="522" t="inlineStr">
        <is>
          <t>ស៊ីងហ្គាពួរ កាតុង (ខេមបូឌា)</t>
        </is>
      </c>
      <c r="D3584" s="522" t="inlineStr">
        <is>
          <t>L001-100121322</t>
        </is>
      </c>
      <c r="E3584" s="521" t="inlineStr">
        <is>
          <t>V0019981</t>
        </is>
      </c>
      <c r="F3584" s="523" t="n">
        <v>44838</v>
      </c>
      <c r="G3584" s="556" t="n">
        <v>72189</v>
      </c>
      <c r="I3584" s="521">
        <f>G3584</f>
        <v/>
      </c>
      <c r="K3584" s="521">
        <f>I3584-G3584</f>
        <v/>
      </c>
      <c r="M3584" s="522" t="inlineStr">
        <is>
          <t>V0019981</t>
        </is>
      </c>
      <c r="N3584" s="522" t="inlineStr">
        <is>
          <t>V0019981</t>
        </is>
      </c>
      <c r="O3584" s="521">
        <f>M3584=N3584</f>
        <v/>
      </c>
      <c r="P3584" s="521">
        <f>AND(MONTH(F3584)=MONTH(S3584), YEAR(F3584)=YEAR(S3584))</f>
        <v/>
      </c>
      <c r="Q3584" s="521">
        <f>U3584="L001-901905215"</f>
        <v/>
      </c>
      <c r="R3584" s="556">
        <f>G3584-W3584</f>
        <v/>
      </c>
      <c r="S3584" s="523" t="n">
        <v>44838</v>
      </c>
      <c r="T3584" s="522" t="inlineStr">
        <is>
          <t>V0019981</t>
        </is>
      </c>
      <c r="U3584" s="522" t="inlineStr">
        <is>
          <t>L001-901905215</t>
        </is>
      </c>
      <c r="V3584" s="522" t="inlineStr">
        <is>
          <t>វីអ៊ីស៊ិន (ខេមបូឌា) អ៊ិនដាសស្ទ្រី ឯ.ក</t>
        </is>
      </c>
      <c r="W3584" s="556" t="n">
        <v>72366</v>
      </c>
    </row>
    <row r="3585">
      <c r="A3585" s="521" t="n">
        <v>3577</v>
      </c>
      <c r="B3585" s="522" t="inlineStr">
        <is>
          <t>Cartons</t>
        </is>
      </c>
      <c r="C3585" s="522" t="inlineStr">
        <is>
          <t>ស៊ីងហ្គាពួរ កាតុង (ខេមបូឌា)</t>
        </is>
      </c>
      <c r="D3585" s="522" t="inlineStr">
        <is>
          <t>L001-100121322</t>
        </is>
      </c>
      <c r="E3585" s="521" t="inlineStr">
        <is>
          <t>V0020027</t>
        </is>
      </c>
      <c r="F3585" s="523" t="n">
        <v>44841</v>
      </c>
      <c r="G3585" s="556" t="n">
        <v>665529</v>
      </c>
      <c r="I3585" s="521">
        <f>G3585</f>
        <v/>
      </c>
      <c r="K3585" s="521">
        <f>I3585-G3585</f>
        <v/>
      </c>
      <c r="M3585" s="522" t="inlineStr">
        <is>
          <t>V0020027</t>
        </is>
      </c>
      <c r="N3585" s="522" t="inlineStr">
        <is>
          <t>V0020027</t>
        </is>
      </c>
      <c r="O3585" s="521">
        <f>M3585=N3585</f>
        <v/>
      </c>
      <c r="P3585" s="521">
        <f>AND(MONTH(F3585)=MONTH(S3585), YEAR(F3585)=YEAR(S3585))</f>
        <v/>
      </c>
      <c r="Q3585" s="521">
        <f>U3585="L001-901905215"</f>
        <v/>
      </c>
      <c r="R3585" s="556">
        <f>G3585-W3585</f>
        <v/>
      </c>
      <c r="S3585" s="523" t="n">
        <v>44841</v>
      </c>
      <c r="T3585" s="522" t="inlineStr">
        <is>
          <t>V0020027</t>
        </is>
      </c>
      <c r="U3585" s="522" t="inlineStr">
        <is>
          <t>L001-901905215</t>
        </is>
      </c>
      <c r="V3585" s="522" t="inlineStr">
        <is>
          <t>វីអ៊ីស៊ិន (ខេមបូឌា) អ៊ិនដាសស្ទ្រី ឯ.ក</t>
        </is>
      </c>
      <c r="W3585" s="556" t="n">
        <v>666818</v>
      </c>
    </row>
    <row r="3586">
      <c r="A3586" s="521" t="n">
        <v>3578</v>
      </c>
      <c r="B3586" s="522" t="inlineStr">
        <is>
          <t>Cartons</t>
        </is>
      </c>
      <c r="C3586" s="522" t="inlineStr">
        <is>
          <t>ស៊ីងហ្គាពួរ កាតុង (ខេមបូឌា)</t>
        </is>
      </c>
      <c r="D3586" s="522" t="inlineStr">
        <is>
          <t>L001-100121322</t>
        </is>
      </c>
      <c r="E3586" s="521" t="inlineStr">
        <is>
          <t>V0020044</t>
        </is>
      </c>
      <c r="F3586" s="523" t="n">
        <v>44844</v>
      </c>
      <c r="G3586" s="556" t="n">
        <v>274275</v>
      </c>
      <c r="I3586" s="521">
        <f>G3586</f>
        <v/>
      </c>
      <c r="K3586" s="521">
        <f>I3586-G3586</f>
        <v/>
      </c>
      <c r="M3586" s="522" t="inlineStr">
        <is>
          <t>V0020044</t>
        </is>
      </c>
      <c r="N3586" s="522" t="inlineStr">
        <is>
          <t>V0020044</t>
        </is>
      </c>
      <c r="O3586" s="521">
        <f>M3586=N3586</f>
        <v/>
      </c>
      <c r="P3586" s="521">
        <f>AND(MONTH(F3586)=MONTH(S3586), YEAR(F3586)=YEAR(S3586))</f>
        <v/>
      </c>
      <c r="Q3586" s="521">
        <f>U3586="L001-901905215"</f>
        <v/>
      </c>
      <c r="R3586" s="556">
        <f>G3586-W3586</f>
        <v/>
      </c>
      <c r="S3586" s="523" t="n">
        <v>44844</v>
      </c>
      <c r="T3586" s="522" t="inlineStr">
        <is>
          <t>V0020044</t>
        </is>
      </c>
      <c r="U3586" s="522" t="inlineStr">
        <is>
          <t>L001-901905215</t>
        </is>
      </c>
      <c r="V3586" s="522" t="inlineStr">
        <is>
          <t>វីអ៊ីស៊ិន (ខេមបូឌា) អ៊ិនដាសស្ទ្រី ឯ.ក</t>
        </is>
      </c>
      <c r="W3586" s="556" t="n">
        <v>274673</v>
      </c>
    </row>
    <row r="3587">
      <c r="A3587" s="521" t="n">
        <v>3579</v>
      </c>
      <c r="B3587" s="522" t="inlineStr">
        <is>
          <t>Cartons</t>
        </is>
      </c>
      <c r="C3587" s="522" t="inlineStr">
        <is>
          <t>ស៊ីងហ្គាពួរ កាតុង (ខេមបូឌា)</t>
        </is>
      </c>
      <c r="D3587" s="522" t="inlineStr">
        <is>
          <t>L001-100121322</t>
        </is>
      </c>
      <c r="E3587" s="521" t="inlineStr">
        <is>
          <t>V0020101</t>
        </is>
      </c>
      <c r="F3587" s="523" t="n">
        <v>44853</v>
      </c>
      <c r="G3587" s="556" t="n">
        <v>503739</v>
      </c>
      <c r="I3587" s="521">
        <f>G3587</f>
        <v/>
      </c>
      <c r="K3587" s="521">
        <f>I3587-G3587</f>
        <v/>
      </c>
      <c r="M3587" s="522" t="inlineStr">
        <is>
          <t>V0020101</t>
        </is>
      </c>
      <c r="N3587" s="522" t="inlineStr">
        <is>
          <t>V0020101</t>
        </is>
      </c>
      <c r="O3587" s="521">
        <f>M3587=N3587</f>
        <v/>
      </c>
      <c r="P3587" s="521">
        <f>AND(MONTH(F3587)=MONTH(S3587), YEAR(F3587)=YEAR(S3587))</f>
        <v/>
      </c>
      <c r="Q3587" s="521">
        <f>U3587="L001-901905215"</f>
        <v/>
      </c>
      <c r="R3587" s="556">
        <f>G3587-W3587</f>
        <v/>
      </c>
      <c r="S3587" s="523" t="n">
        <v>44853</v>
      </c>
      <c r="T3587" s="522" t="inlineStr">
        <is>
          <t>V0020101</t>
        </is>
      </c>
      <c r="U3587" s="522" t="inlineStr">
        <is>
          <t>L001-901905215</t>
        </is>
      </c>
      <c r="V3587" s="522" t="inlineStr">
        <is>
          <t>វីអ៊ីស៊ិន (ខេមបូឌា) អ៊ិនដាសស្ទ្រី ឯ.ក</t>
        </is>
      </c>
      <c r="W3587" s="556" t="n">
        <v>503132</v>
      </c>
    </row>
    <row r="3588">
      <c r="A3588" s="521" t="n">
        <v>3580</v>
      </c>
      <c r="B3588" s="522" t="inlineStr">
        <is>
          <t>Cartons</t>
        </is>
      </c>
      <c r="C3588" s="522" t="inlineStr">
        <is>
          <t>ស៊ីងហ្គាពួរ កាតុង (ខេមបូឌា)</t>
        </is>
      </c>
      <c r="D3588" s="522" t="inlineStr">
        <is>
          <t>L001-100121322</t>
        </is>
      </c>
      <c r="E3588" s="521" t="inlineStr">
        <is>
          <t>V0020102</t>
        </is>
      </c>
      <c r="F3588" s="523" t="n">
        <v>44853</v>
      </c>
      <c r="G3588" s="556" t="n">
        <v>503739</v>
      </c>
      <c r="I3588" s="521">
        <f>G3588</f>
        <v/>
      </c>
      <c r="K3588" s="521">
        <f>I3588-G3588</f>
        <v/>
      </c>
      <c r="M3588" s="522" t="inlineStr">
        <is>
          <t>V0020102</t>
        </is>
      </c>
      <c r="N3588" s="522" t="inlineStr">
        <is>
          <t>V0020102</t>
        </is>
      </c>
      <c r="O3588" s="521">
        <f>M3588=N3588</f>
        <v/>
      </c>
      <c r="P3588" s="521">
        <f>AND(MONTH(F3588)=MONTH(S3588), YEAR(F3588)=YEAR(S3588))</f>
        <v/>
      </c>
      <c r="Q3588" s="521">
        <f>U3588="L001-901905215"</f>
        <v/>
      </c>
      <c r="R3588" s="556">
        <f>G3588-W3588</f>
        <v/>
      </c>
      <c r="S3588" s="523" t="n">
        <v>44853</v>
      </c>
      <c r="T3588" s="522" t="inlineStr">
        <is>
          <t>V0020102</t>
        </is>
      </c>
      <c r="U3588" s="522" t="inlineStr">
        <is>
          <t>L001-901905215</t>
        </is>
      </c>
      <c r="V3588" s="522" t="inlineStr">
        <is>
          <t>វីអ៊ីស៊ិន (ខេមបូឌា) អ៊ិនដាសស្ទ្រី ឯ.ក</t>
        </is>
      </c>
      <c r="W3588" s="556" t="n">
        <v>503132</v>
      </c>
    </row>
    <row r="3589">
      <c r="A3589" s="521" t="n">
        <v>3581</v>
      </c>
      <c r="B3589" s="522" t="inlineStr">
        <is>
          <t>Cartons</t>
        </is>
      </c>
      <c r="C3589" s="522" t="inlineStr">
        <is>
          <t>ស៊ីងហ្គាពួរ កាតុង (ខេមបូឌា)</t>
        </is>
      </c>
      <c r="D3589" s="522" t="inlineStr">
        <is>
          <t>L001-100121322</t>
        </is>
      </c>
      <c r="E3589" s="521" t="inlineStr">
        <is>
          <t>V0020121</t>
        </is>
      </c>
      <c r="F3589" s="523" t="n">
        <v>44854</v>
      </c>
      <c r="G3589" s="556" t="n">
        <v>72037</v>
      </c>
      <c r="I3589" s="521">
        <f>G3589</f>
        <v/>
      </c>
      <c r="K3589" s="521">
        <f>I3589-G3589</f>
        <v/>
      </c>
      <c r="M3589" s="522" t="inlineStr">
        <is>
          <t>V0020121</t>
        </is>
      </c>
      <c r="N3589" s="522" t="inlineStr">
        <is>
          <t>V0020121</t>
        </is>
      </c>
      <c r="O3589" s="521">
        <f>M3589=N3589</f>
        <v/>
      </c>
      <c r="P3589" s="521">
        <f>AND(MONTH(F3589)=MONTH(S3589), YEAR(F3589)=YEAR(S3589))</f>
        <v/>
      </c>
      <c r="Q3589" s="521">
        <f>U3589="L001-901905215"</f>
        <v/>
      </c>
      <c r="R3589" s="556">
        <f>G3589-W3589</f>
        <v/>
      </c>
      <c r="S3589" s="523" t="n">
        <v>44854</v>
      </c>
      <c r="T3589" s="522" t="inlineStr">
        <is>
          <t>V0020121</t>
        </is>
      </c>
      <c r="U3589" s="522" t="inlineStr">
        <is>
          <t>L001-901905215</t>
        </is>
      </c>
      <c r="V3589" s="522" t="inlineStr">
        <is>
          <t>វីអ៊ីស៊ិន (ខេមបូឌា) អ៊ិនដាសស្ទ្រី ឯ.ក</t>
        </is>
      </c>
      <c r="W3589" s="556" t="n">
        <v>71952</v>
      </c>
    </row>
    <row r="3590">
      <c r="A3590" s="521" t="n">
        <v>3582</v>
      </c>
      <c r="B3590" s="522" t="inlineStr">
        <is>
          <t>Cartons</t>
        </is>
      </c>
      <c r="C3590" s="522" t="inlineStr">
        <is>
          <t>ស៊ីងហ្គាពួរ កាតុង (ខេមបូឌា)</t>
        </is>
      </c>
      <c r="D3590" s="522" t="inlineStr">
        <is>
          <t>L001-100121322</t>
        </is>
      </c>
      <c r="E3590" s="521" t="inlineStr">
        <is>
          <t>V0020122</t>
        </is>
      </c>
      <c r="F3590" s="523" t="n">
        <v>44854</v>
      </c>
      <c r="G3590" s="556" t="n">
        <v>29549</v>
      </c>
      <c r="I3590" s="521">
        <f>G3590</f>
        <v/>
      </c>
      <c r="K3590" s="521">
        <f>I3590-G3590</f>
        <v/>
      </c>
      <c r="M3590" s="522" t="inlineStr">
        <is>
          <t>V0020122</t>
        </is>
      </c>
      <c r="N3590" s="522" t="inlineStr">
        <is>
          <t>V0020122</t>
        </is>
      </c>
      <c r="O3590" s="521">
        <f>M3590=N3590</f>
        <v/>
      </c>
      <c r="P3590" s="521">
        <f>AND(MONTH(F3590)=MONTH(S3590), YEAR(F3590)=YEAR(S3590))</f>
        <v/>
      </c>
      <c r="Q3590" s="521">
        <f>U3590="L001-901905215"</f>
        <v/>
      </c>
      <c r="R3590" s="556">
        <f>G3590-W3590</f>
        <v/>
      </c>
      <c r="S3590" s="523" t="n">
        <v>44854</v>
      </c>
      <c r="T3590" s="522" t="inlineStr">
        <is>
          <t>V0020122</t>
        </is>
      </c>
      <c r="U3590" s="522" t="inlineStr">
        <is>
          <t>L001-901905215</t>
        </is>
      </c>
      <c r="V3590" s="522" t="inlineStr">
        <is>
          <t>វីអ៊ីស៊ិន (ខេមបូឌា) អ៊ិនដាសស្ទ្រី ឯ.ក</t>
        </is>
      </c>
      <c r="W3590" s="556" t="n">
        <v>29514</v>
      </c>
    </row>
    <row r="3591">
      <c r="A3591" s="521" t="n">
        <v>3583</v>
      </c>
      <c r="B3591" s="522" t="inlineStr">
        <is>
          <t>Cartons</t>
        </is>
      </c>
      <c r="C3591" s="522" t="inlineStr">
        <is>
          <t>យី មីង ភែកឃីជីង ឯ.ក</t>
        </is>
      </c>
      <c r="D3591" s="522" t="inlineStr">
        <is>
          <t>B108-902101335</t>
        </is>
      </c>
      <c r="E3591" s="521" t="inlineStr">
        <is>
          <t>YM-0038</t>
        </is>
      </c>
      <c r="F3591" s="523" t="n">
        <v>44865</v>
      </c>
      <c r="G3591" s="556" t="n">
        <v>11116466</v>
      </c>
      <c r="I3591" s="521">
        <f>G3591</f>
        <v/>
      </c>
      <c r="K3591" s="521">
        <f>I3591-G3591</f>
        <v/>
      </c>
      <c r="M3591" s="522" t="inlineStr">
        <is>
          <t>YM0038</t>
        </is>
      </c>
      <c r="N3591" s="522" t="inlineStr">
        <is>
          <t>YM0038</t>
        </is>
      </c>
      <c r="O3591" s="521">
        <f>M3591=N3591</f>
        <v/>
      </c>
      <c r="P3591" s="521">
        <f>AND(MONTH(F3591)=MONTH(S3591), YEAR(F3591)=YEAR(S3591))</f>
        <v/>
      </c>
      <c r="Q3591" s="521">
        <f>U3591="L001-901905215"</f>
        <v/>
      </c>
      <c r="R3591" s="556">
        <f>G3591-W3591</f>
        <v/>
      </c>
      <c r="S3591" s="523" t="n">
        <v>44865</v>
      </c>
      <c r="T3591" s="522" t="inlineStr">
        <is>
          <t>YM-0038</t>
        </is>
      </c>
      <c r="U3591" s="522" t="inlineStr">
        <is>
          <t>L001-901905215</t>
        </is>
      </c>
      <c r="V3591" s="522" t="inlineStr">
        <is>
          <t>វីអ៊ីស៊ិន (ខេមបូឌា) អ៊ិនដាសស្ទ្រី ឯ.ក</t>
        </is>
      </c>
      <c r="W3591" s="556" t="n">
        <v>11116466</v>
      </c>
    </row>
    <row r="3592">
      <c r="A3592" s="521" t="n">
        <v>3584</v>
      </c>
      <c r="B3592" s="522" t="inlineStr">
        <is>
          <t>Sampling and Travel Fee</t>
        </is>
      </c>
      <c r="C3592" s="522" t="inlineStr">
        <is>
          <t>អេសជីអេស (ខេមបូឌា) លីមីធីត</t>
        </is>
      </c>
      <c r="D3592" s="522" t="inlineStr">
        <is>
          <t>L001-107030519</t>
        </is>
      </c>
      <c r="E3592" s="521" t="inlineStr">
        <is>
          <t>10022277</t>
        </is>
      </c>
      <c r="F3592" s="523" t="n">
        <v>44851</v>
      </c>
      <c r="G3592" s="556" t="n">
        <v>108158</v>
      </c>
      <c r="I3592" s="521">
        <f>G3592</f>
        <v/>
      </c>
      <c r="K3592" s="521">
        <f>I3592-G3592</f>
        <v/>
      </c>
      <c r="M3592" s="522" t="inlineStr">
        <is>
          <t>10022277</t>
        </is>
      </c>
      <c r="N3592" s="522" t="inlineStr">
        <is>
          <t>10022277</t>
        </is>
      </c>
      <c r="O3592" s="521">
        <f>M3592=N3592</f>
        <v/>
      </c>
      <c r="P3592" s="521">
        <f>AND(MONTH(F3592)=MONTH(S3592), YEAR(F3592)=YEAR(S3592))</f>
        <v/>
      </c>
      <c r="Q3592" s="521">
        <f>U3592="L001-901905215"</f>
        <v/>
      </c>
      <c r="R3592" s="556">
        <f>G3592-W3592</f>
        <v/>
      </c>
      <c r="S3592" s="523" t="n">
        <v>44851</v>
      </c>
      <c r="T3592" s="522" t="inlineStr">
        <is>
          <t>10022277</t>
        </is>
      </c>
      <c r="U3592" s="522" t="inlineStr">
        <is>
          <t>L001-901905215</t>
        </is>
      </c>
      <c r="V3592" s="522" t="inlineStr">
        <is>
          <t>វីអ៊ីស៊ិន (ខេមបូឌា) អ៊ិនដាសស្ទ្រី ឯ.ក</t>
        </is>
      </c>
      <c r="W3592" s="556" t="n">
        <v>108158</v>
      </c>
    </row>
    <row r="3593">
      <c r="A3593" s="521" t="n">
        <v>3585</v>
      </c>
      <c r="B3593" s="522" t="inlineStr">
        <is>
          <t>Service charge</t>
        </is>
      </c>
      <c r="C3593" s="522" t="inlineStr">
        <is>
          <t>អ៊ិនធើថេក ថេសធីង សឺវីស (ខេមបូឌា) ខមភេនី លីមីធីត</t>
        </is>
      </c>
      <c r="D3593" s="522" t="inlineStr">
        <is>
          <t>L001-100045707</t>
        </is>
      </c>
      <c r="E3593" s="521" t="inlineStr">
        <is>
          <t>KHM20220014320</t>
        </is>
      </c>
      <c r="F3593" s="523" t="n">
        <v>44865</v>
      </c>
      <c r="G3593" s="556" t="n">
        <v>196697</v>
      </c>
      <c r="I3593" s="521">
        <f>G3593</f>
        <v/>
      </c>
      <c r="K3593" s="521">
        <f>I3593-G3593</f>
        <v/>
      </c>
      <c r="M3593" s="522" t="inlineStr">
        <is>
          <t>KHM20220014320</t>
        </is>
      </c>
      <c r="N3593" s="522" t="inlineStr">
        <is>
          <t>KHM20220014320</t>
        </is>
      </c>
      <c r="O3593" s="521">
        <f>M3593=N3593</f>
        <v/>
      </c>
      <c r="P3593" s="521">
        <f>AND(MONTH(F3593)=MONTH(S3593), YEAR(F3593)=YEAR(S3593))</f>
        <v/>
      </c>
      <c r="Q3593" s="521">
        <f>U3593="L001-901905215"</f>
        <v/>
      </c>
      <c r="R3593" s="556">
        <f>G3593-W3593</f>
        <v/>
      </c>
      <c r="S3593" s="523" t="n">
        <v>44865</v>
      </c>
      <c r="T3593" s="522" t="inlineStr">
        <is>
          <t>KHM20220014320</t>
        </is>
      </c>
      <c r="U3593" s="522" t="inlineStr">
        <is>
          <t>L001-901905215</t>
        </is>
      </c>
      <c r="V3593" s="522" t="inlineStr">
        <is>
          <t>វីអ៊ីស៊ិន (ខេមបូឌា) អ៊ិនដាសស្ទ្រី ឯ.ក</t>
        </is>
      </c>
      <c r="W3593" s="556" t="n">
        <v>196698</v>
      </c>
    </row>
    <row r="3594">
      <c r="A3594" s="521" t="n">
        <v>3586</v>
      </c>
      <c r="B3594" s="522" t="inlineStr">
        <is>
          <t>Service Fee</t>
        </is>
      </c>
      <c r="C3594" s="522" t="inlineStr">
        <is>
          <t>ប្យួរ៉ូ វេរីតាស (ខេមបូឌា) លីមីធីត</t>
        </is>
      </c>
      <c r="D3594" s="522" t="inlineStr">
        <is>
          <t>L001-107024462</t>
        </is>
      </c>
      <c r="E3594" s="521" t="inlineStr">
        <is>
          <t>59013671</t>
        </is>
      </c>
      <c r="F3594" s="523" t="n">
        <v>44865</v>
      </c>
      <c r="G3594" s="556" t="n">
        <v>56078</v>
      </c>
      <c r="I3594" s="521">
        <f>G3594</f>
        <v/>
      </c>
      <c r="K3594" s="521">
        <f>I3594-G3594</f>
        <v/>
      </c>
      <c r="M3594" s="522" t="inlineStr">
        <is>
          <t>59013671</t>
        </is>
      </c>
      <c r="N3594" s="522" t="inlineStr">
        <is>
          <t>59013671</t>
        </is>
      </c>
      <c r="O3594" s="521">
        <f>M3594=N3594</f>
        <v/>
      </c>
      <c r="P3594" s="521">
        <f>AND(MONTH(F3594)=MONTH(S3594), YEAR(F3594)=YEAR(S3594))</f>
        <v/>
      </c>
      <c r="Q3594" s="521">
        <f>U3594="L001-901905215"</f>
        <v/>
      </c>
      <c r="R3594" s="556">
        <f>G3594-W3594</f>
        <v/>
      </c>
      <c r="S3594" s="523" t="n">
        <v>44863</v>
      </c>
      <c r="T3594" s="522" t="inlineStr">
        <is>
          <t>59013671</t>
        </is>
      </c>
      <c r="U3594" s="522" t="inlineStr">
        <is>
          <t>L001-901905215</t>
        </is>
      </c>
      <c r="V3594" s="522" t="inlineStr">
        <is>
          <t>វីអ៊ីស៊ិន (ខេមបូឌា) អ៊ិនដាសស្ទ្រី ឯ.ក</t>
        </is>
      </c>
      <c r="W3594" s="556" t="n">
        <v>56078</v>
      </c>
    </row>
    <row r="3595">
      <c r="A3595" s="521" t="n">
        <v>3587</v>
      </c>
      <c r="B3595" s="522" t="inlineStr">
        <is>
          <t>Service Fee</t>
        </is>
      </c>
      <c r="C3595" s="522" t="inlineStr">
        <is>
          <t>ប្យួរ៉ូ វេរីតាស (ខេមបូឌា) លីមីធីត</t>
        </is>
      </c>
      <c r="D3595" s="522" t="inlineStr">
        <is>
          <t>L001-107024462</t>
        </is>
      </c>
      <c r="E3595" s="521" t="inlineStr">
        <is>
          <t>59013657</t>
        </is>
      </c>
      <c r="F3595" s="523" t="n">
        <v>44862</v>
      </c>
      <c r="G3595" s="556" t="n">
        <v>56078</v>
      </c>
      <c r="I3595" s="521">
        <f>G3595</f>
        <v/>
      </c>
      <c r="K3595" s="521">
        <f>I3595-G3595</f>
        <v/>
      </c>
      <c r="M3595" s="522" t="inlineStr">
        <is>
          <t>59013657</t>
        </is>
      </c>
      <c r="N3595" s="522" t="inlineStr">
        <is>
          <t>59013657</t>
        </is>
      </c>
      <c r="O3595" s="521">
        <f>M3595=N3595</f>
        <v/>
      </c>
      <c r="P3595" s="521">
        <f>AND(MONTH(F3595)=MONTH(S3595), YEAR(F3595)=YEAR(S3595))</f>
        <v/>
      </c>
      <c r="Q3595" s="521">
        <f>U3595="L001-901905215"</f>
        <v/>
      </c>
      <c r="R3595" s="556">
        <f>G3595-W3595</f>
        <v/>
      </c>
      <c r="S3595" s="523" t="n">
        <v>44862</v>
      </c>
      <c r="T3595" s="522" t="inlineStr">
        <is>
          <t>59013657</t>
        </is>
      </c>
      <c r="U3595" s="522" t="inlineStr">
        <is>
          <t>L001-901905215</t>
        </is>
      </c>
      <c r="V3595" s="522" t="inlineStr">
        <is>
          <t>វីអ៊ីស៊ិន (ខេមបូឌា) អ៊ិនដាសស្ទ្រី ឯ.ក</t>
        </is>
      </c>
      <c r="W3595" s="556" t="n">
        <v>56078</v>
      </c>
    </row>
    <row r="3596">
      <c r="A3596" s="521" t="n">
        <v>3588</v>
      </c>
      <c r="B3596" s="522" t="inlineStr">
        <is>
          <t>Service Fee</t>
        </is>
      </c>
      <c r="C3596" s="522" t="inlineStr">
        <is>
          <t>ប្យួរ៉ូ វេរីតាស (ខេមបូឌា) លីមីធីត</t>
        </is>
      </c>
      <c r="D3596" s="522" t="inlineStr">
        <is>
          <t>L001-107024462</t>
        </is>
      </c>
      <c r="E3596" s="521" t="inlineStr">
        <is>
          <t>59013619</t>
        </is>
      </c>
      <c r="F3596" s="523" t="n">
        <v>44859</v>
      </c>
      <c r="G3596" s="556" t="n">
        <v>56146</v>
      </c>
      <c r="I3596" s="521">
        <f>G3596</f>
        <v/>
      </c>
      <c r="K3596" s="521">
        <f>I3596-G3596</f>
        <v/>
      </c>
      <c r="M3596" s="522" t="inlineStr">
        <is>
          <t>59013619</t>
        </is>
      </c>
      <c r="N3596" s="522" t="inlineStr">
        <is>
          <t>59013619</t>
        </is>
      </c>
      <c r="O3596" s="521">
        <f>M3596=N3596</f>
        <v/>
      </c>
      <c r="P3596" s="521">
        <f>AND(MONTH(F3596)=MONTH(S3596), YEAR(F3596)=YEAR(S3596))</f>
        <v/>
      </c>
      <c r="Q3596" s="521">
        <f>U3596="L001-901905215"</f>
        <v/>
      </c>
      <c r="R3596" s="556">
        <f>G3596-W3596</f>
        <v/>
      </c>
      <c r="S3596" s="523" t="n">
        <v>44859</v>
      </c>
      <c r="T3596" s="522" t="inlineStr">
        <is>
          <t>59013619</t>
        </is>
      </c>
      <c r="U3596" s="522" t="inlineStr">
        <is>
          <t>L001-901905215</t>
        </is>
      </c>
      <c r="V3596" s="522" t="inlineStr">
        <is>
          <t>វីអ៊ីស៊ិន (ខេមបូឌា) អ៊ិនដាសស្ទ្រី ឯ.ក</t>
        </is>
      </c>
      <c r="W3596" s="556" t="n">
        <v>56146</v>
      </c>
    </row>
    <row r="3597">
      <c r="A3597" s="521" t="n">
        <v>3589</v>
      </c>
      <c r="B3597" s="522" t="inlineStr">
        <is>
          <t>Service Fee</t>
        </is>
      </c>
      <c r="C3597" s="522" t="inlineStr">
        <is>
          <t>ប្យួរ៉ូ វេរីតាស (ខេមបូឌា) លីមីធីត</t>
        </is>
      </c>
      <c r="D3597" s="522" t="inlineStr">
        <is>
          <t>L001-107024462</t>
        </is>
      </c>
      <c r="E3597" s="521" t="inlineStr">
        <is>
          <t>59013608</t>
        </is>
      </c>
      <c r="F3597" s="523" t="n">
        <v>44858</v>
      </c>
      <c r="G3597" s="556" t="n">
        <v>56146</v>
      </c>
      <c r="I3597" s="521">
        <f>G3597</f>
        <v/>
      </c>
      <c r="K3597" s="521">
        <f>I3597-G3597</f>
        <v/>
      </c>
      <c r="M3597" s="522" t="inlineStr">
        <is>
          <t>59013608</t>
        </is>
      </c>
      <c r="N3597" s="522" t="inlineStr">
        <is>
          <t>59013608</t>
        </is>
      </c>
      <c r="O3597" s="521">
        <f>M3597=N3597</f>
        <v/>
      </c>
      <c r="P3597" s="521">
        <f>AND(MONTH(F3597)=MONTH(S3597), YEAR(F3597)=YEAR(S3597))</f>
        <v/>
      </c>
      <c r="Q3597" s="521">
        <f>U3597="L001-901905215"</f>
        <v/>
      </c>
      <c r="R3597" s="556">
        <f>G3597-W3597</f>
        <v/>
      </c>
      <c r="S3597" s="523" t="n">
        <v>44858</v>
      </c>
      <c r="T3597" s="522" t="inlineStr">
        <is>
          <t>59013608</t>
        </is>
      </c>
      <c r="U3597" s="522" t="inlineStr">
        <is>
          <t>L001-901905215</t>
        </is>
      </c>
      <c r="V3597" s="522" t="inlineStr">
        <is>
          <t>វីអ៊ីស៊ិន (ខេមបូឌា) អ៊ិនដាសស្ទ្រី ឯ.ក</t>
        </is>
      </c>
      <c r="W3597" s="556" t="n">
        <v>56146</v>
      </c>
    </row>
    <row r="3598">
      <c r="A3598" s="521" t="n">
        <v>3590</v>
      </c>
      <c r="B3598" s="522" t="inlineStr">
        <is>
          <t>Service Fee</t>
        </is>
      </c>
      <c r="C3598" s="522" t="inlineStr">
        <is>
          <t>ប្យួរ៉ូ វេរីតាស (ខេមបូឌា) លីមីធីត</t>
        </is>
      </c>
      <c r="D3598" s="522" t="inlineStr">
        <is>
          <t>L001-107024462</t>
        </is>
      </c>
      <c r="E3598" s="521" t="inlineStr">
        <is>
          <t>59013603</t>
        </is>
      </c>
      <c r="F3598" s="523" t="n">
        <v>44835</v>
      </c>
      <c r="G3598" s="556" t="n">
        <v>56159</v>
      </c>
      <c r="I3598" s="521">
        <f>G3598</f>
        <v/>
      </c>
      <c r="K3598" s="521">
        <f>I3598-G3598</f>
        <v/>
      </c>
      <c r="M3598" s="522" t="inlineStr">
        <is>
          <t>59013603</t>
        </is>
      </c>
      <c r="N3598" s="522" t="inlineStr">
        <is>
          <t>59013603</t>
        </is>
      </c>
      <c r="O3598" s="521">
        <f>M3598=N3598</f>
        <v/>
      </c>
      <c r="P3598" s="521">
        <f>AND(MONTH(F3598)=MONTH(S3598), YEAR(F3598)=YEAR(S3598))</f>
        <v/>
      </c>
      <c r="Q3598" s="521">
        <f>U3598="L001-901905215"</f>
        <v/>
      </c>
      <c r="R3598" s="556">
        <f>G3598-W3598</f>
        <v/>
      </c>
      <c r="S3598" s="523" t="n">
        <v>44856</v>
      </c>
      <c r="T3598" s="522" t="inlineStr">
        <is>
          <t>59013603</t>
        </is>
      </c>
      <c r="U3598" s="522" t="inlineStr">
        <is>
          <t>L001-901905215</t>
        </is>
      </c>
      <c r="V3598" s="522" t="inlineStr">
        <is>
          <t>វីអ៊ីស៊ិន (ខេមបូឌា) អ៊ិនដាសស្ទ្រី ឯ.ក</t>
        </is>
      </c>
      <c r="W3598" s="556" t="n">
        <v>56160</v>
      </c>
    </row>
    <row r="3599">
      <c r="A3599" s="521" t="n">
        <v>3591</v>
      </c>
      <c r="B3599" s="522" t="inlineStr">
        <is>
          <t>Service Fee</t>
        </is>
      </c>
      <c r="C3599" s="522" t="inlineStr">
        <is>
          <t>ប្យួរ៉ូ វេរីតាស (ខេមបូឌា) លីមីធីត</t>
        </is>
      </c>
      <c r="D3599" s="522" t="inlineStr">
        <is>
          <t>L001-107024462</t>
        </is>
      </c>
      <c r="E3599" s="521" t="inlineStr">
        <is>
          <t>59013584</t>
        </is>
      </c>
      <c r="F3599" s="523" t="n">
        <v>44854</v>
      </c>
      <c r="G3599" s="556" t="n">
        <v>56159</v>
      </c>
      <c r="I3599" s="521">
        <f>G3599</f>
        <v/>
      </c>
      <c r="K3599" s="521">
        <f>I3599-G3599</f>
        <v/>
      </c>
      <c r="M3599" s="522" t="inlineStr">
        <is>
          <t>59013584</t>
        </is>
      </c>
      <c r="N3599" s="522" t="inlineStr">
        <is>
          <t>59013584</t>
        </is>
      </c>
      <c r="O3599" s="521">
        <f>M3599=N3599</f>
        <v/>
      </c>
      <c r="P3599" s="521">
        <f>AND(MONTH(F3599)=MONTH(S3599), YEAR(F3599)=YEAR(S3599))</f>
        <v/>
      </c>
      <c r="Q3599" s="521">
        <f>U3599="L001-901905215"</f>
        <v/>
      </c>
      <c r="R3599" s="556">
        <f>G3599-W3599</f>
        <v/>
      </c>
      <c r="S3599" s="523" t="n">
        <v>44854</v>
      </c>
      <c r="T3599" s="522" t="inlineStr">
        <is>
          <t>59013584</t>
        </is>
      </c>
      <c r="U3599" s="522" t="inlineStr">
        <is>
          <t>L001-901905215</t>
        </is>
      </c>
      <c r="V3599" s="522" t="inlineStr">
        <is>
          <t>វីអ៊ីស៊ិន (ខេមបូឌា) អ៊ិនដាសស្ទ្រី ឯ.ក</t>
        </is>
      </c>
      <c r="W3599" s="556" t="n">
        <v>56160</v>
      </c>
    </row>
    <row r="3600">
      <c r="A3600" s="521" t="n">
        <v>3592</v>
      </c>
      <c r="B3600" s="522" t="inlineStr">
        <is>
          <t>Service Fee</t>
        </is>
      </c>
      <c r="C3600" s="522" t="inlineStr">
        <is>
          <t>ប្យួរ៉ូ វេរីតាស (ខេមបូឌា) លីមីធីត</t>
        </is>
      </c>
      <c r="D3600" s="522" t="inlineStr">
        <is>
          <t>L001-107024462</t>
        </is>
      </c>
      <c r="E3600" s="521" t="inlineStr">
        <is>
          <t>59013559</t>
        </is>
      </c>
      <c r="F3600" s="523" t="n">
        <v>44852</v>
      </c>
      <c r="G3600" s="556" t="n">
        <v>56146</v>
      </c>
      <c r="I3600" s="521">
        <f>G3600</f>
        <v/>
      </c>
      <c r="K3600" s="521">
        <f>I3600-G3600</f>
        <v/>
      </c>
      <c r="M3600" s="522" t="inlineStr">
        <is>
          <t>59013559</t>
        </is>
      </c>
      <c r="N3600" s="522" t="inlineStr">
        <is>
          <t>59013559</t>
        </is>
      </c>
      <c r="O3600" s="521">
        <f>M3600=N3600</f>
        <v/>
      </c>
      <c r="P3600" s="521">
        <f>AND(MONTH(F3600)=MONTH(S3600), YEAR(F3600)=YEAR(S3600))</f>
        <v/>
      </c>
      <c r="Q3600" s="521">
        <f>U3600="L001-901905215"</f>
        <v/>
      </c>
      <c r="R3600" s="556">
        <f>G3600-W3600</f>
        <v/>
      </c>
      <c r="S3600" s="523" t="n">
        <v>44852</v>
      </c>
      <c r="T3600" s="522" t="inlineStr">
        <is>
          <t>59013559</t>
        </is>
      </c>
      <c r="U3600" s="522" t="inlineStr">
        <is>
          <t>L001-901905215</t>
        </is>
      </c>
      <c r="V3600" s="522" t="inlineStr">
        <is>
          <t>វីអ៊ីស៊ិន (ខេមបូឌា) អ៊ិនដាសស្ទ្រី ឯ.ក</t>
        </is>
      </c>
      <c r="W3600" s="556" t="n">
        <v>56146</v>
      </c>
    </row>
    <row r="3601">
      <c r="A3601" s="521" t="n">
        <v>3593</v>
      </c>
      <c r="B3601" s="522" t="inlineStr">
        <is>
          <t>Service Fee</t>
        </is>
      </c>
      <c r="C3601" s="522" t="inlineStr">
        <is>
          <t>ប្យួរ៉ូ វេរីតាស (ខេមបូឌា) លីមីធីត</t>
        </is>
      </c>
      <c r="D3601" s="522" t="inlineStr">
        <is>
          <t>L001-107024462</t>
        </is>
      </c>
      <c r="E3601" s="521" t="inlineStr">
        <is>
          <t>59013549</t>
        </is>
      </c>
      <c r="F3601" s="523" t="n">
        <v>44851</v>
      </c>
      <c r="G3601" s="556" t="n">
        <v>112261</v>
      </c>
      <c r="I3601" s="521">
        <f>G3601</f>
        <v/>
      </c>
      <c r="K3601" s="521">
        <f>I3601-G3601</f>
        <v/>
      </c>
      <c r="M3601" s="522" t="inlineStr">
        <is>
          <t>59013549</t>
        </is>
      </c>
      <c r="N3601" s="522" t="inlineStr">
        <is>
          <t>59013549</t>
        </is>
      </c>
      <c r="O3601" s="521">
        <f>M3601=N3601</f>
        <v/>
      </c>
      <c r="P3601" s="521">
        <f>AND(MONTH(F3601)=MONTH(S3601), YEAR(F3601)=YEAR(S3601))</f>
        <v/>
      </c>
      <c r="Q3601" s="521">
        <f>U3601="L001-901905215"</f>
        <v/>
      </c>
      <c r="R3601" s="556">
        <f>G3601-W3601</f>
        <v/>
      </c>
      <c r="S3601" s="523" t="n">
        <v>44851</v>
      </c>
      <c r="T3601" s="522" t="inlineStr">
        <is>
          <t>59013549</t>
        </is>
      </c>
      <c r="U3601" s="522" t="inlineStr">
        <is>
          <t>L001-901905215</t>
        </is>
      </c>
      <c r="V3601" s="522" t="inlineStr">
        <is>
          <t>វីអ៊ីស៊ិន (ខេមបូឌា) អ៊ិនដាសស្ទ្រី ឯ.ក</t>
        </is>
      </c>
      <c r="W3601" s="556" t="n">
        <v>112261</v>
      </c>
    </row>
    <row r="3602">
      <c r="A3602" s="521" t="n">
        <v>3594</v>
      </c>
      <c r="B3602" s="522" t="inlineStr">
        <is>
          <t>Service Fee</t>
        </is>
      </c>
      <c r="C3602" s="522" t="inlineStr">
        <is>
          <t>ប្យួរ៉ូ វេរីតាស (ខេមបូឌា) លីមីធីត</t>
        </is>
      </c>
      <c r="D3602" s="522" t="inlineStr">
        <is>
          <t>L001-107024462</t>
        </is>
      </c>
      <c r="E3602" s="521" t="inlineStr">
        <is>
          <t>59013520</t>
        </is>
      </c>
      <c r="F3602" s="523" t="n">
        <v>44846</v>
      </c>
      <c r="G3602" s="556" t="n">
        <v>56038</v>
      </c>
      <c r="I3602" s="521">
        <f>G3602</f>
        <v/>
      </c>
      <c r="K3602" s="521">
        <f>I3602-G3602</f>
        <v/>
      </c>
      <c r="M3602" s="522" t="inlineStr">
        <is>
          <t>59013520</t>
        </is>
      </c>
      <c r="N3602" s="522" t="inlineStr">
        <is>
          <t>59013520</t>
        </is>
      </c>
      <c r="O3602" s="521">
        <f>M3602=N3602</f>
        <v/>
      </c>
      <c r="P3602" s="521">
        <f>AND(MONTH(F3602)=MONTH(S3602), YEAR(F3602)=YEAR(S3602))</f>
        <v/>
      </c>
      <c r="Q3602" s="521">
        <f>U3602="L001-901905215"</f>
        <v/>
      </c>
      <c r="R3602" s="556">
        <f>G3602-W3602</f>
        <v/>
      </c>
      <c r="S3602" s="523" t="n">
        <v>44846</v>
      </c>
      <c r="T3602" s="522" t="inlineStr">
        <is>
          <t>59013520</t>
        </is>
      </c>
      <c r="U3602" s="522" t="inlineStr">
        <is>
          <t>L001-901905215</t>
        </is>
      </c>
      <c r="V3602" s="522" t="inlineStr">
        <is>
          <t>វីអ៊ីស៊ិន (ខេមបូឌា) អ៊ិនដាសស្ទ្រី ឯ.ក</t>
        </is>
      </c>
      <c r="W3602" s="556" t="n">
        <v>56038</v>
      </c>
    </row>
    <row r="3603">
      <c r="A3603" s="521" t="n">
        <v>3595</v>
      </c>
      <c r="B3603" s="522" t="inlineStr">
        <is>
          <t>Service Fee</t>
        </is>
      </c>
      <c r="C3603" s="522" t="inlineStr">
        <is>
          <t>ប្យួរ៉ូ វេរីតាស (ខេមបូឌា) លីមីធីត</t>
        </is>
      </c>
      <c r="D3603" s="522" t="inlineStr">
        <is>
          <t>L001-107024462</t>
        </is>
      </c>
      <c r="E3603" s="521" t="inlineStr">
        <is>
          <t>59013509</t>
        </is>
      </c>
      <c r="F3603" s="523" t="n">
        <v>44845</v>
      </c>
      <c r="G3603" s="556" t="n">
        <v>56024</v>
      </c>
      <c r="I3603" s="521">
        <f>G3603</f>
        <v/>
      </c>
      <c r="K3603" s="521">
        <f>I3603-G3603</f>
        <v/>
      </c>
      <c r="M3603" s="522" t="inlineStr">
        <is>
          <t>59013509</t>
        </is>
      </c>
      <c r="N3603" s="522" t="inlineStr">
        <is>
          <t>59013509</t>
        </is>
      </c>
      <c r="O3603" s="521">
        <f>M3603=N3603</f>
        <v/>
      </c>
      <c r="P3603" s="521">
        <f>AND(MONTH(F3603)=MONTH(S3603), YEAR(F3603)=YEAR(S3603))</f>
        <v/>
      </c>
      <c r="Q3603" s="521">
        <f>U3603="L001-901905215"</f>
        <v/>
      </c>
      <c r="R3603" s="556">
        <f>G3603-W3603</f>
        <v/>
      </c>
      <c r="S3603" s="523" t="n">
        <v>44845</v>
      </c>
      <c r="T3603" s="522" t="inlineStr">
        <is>
          <t>59013509</t>
        </is>
      </c>
      <c r="U3603" s="522" t="inlineStr">
        <is>
          <t>L001-901905215</t>
        </is>
      </c>
      <c r="V3603" s="522" t="inlineStr">
        <is>
          <t>វីអ៊ីស៊ិន (ខេមបូឌា) អ៊ិនដាសស្ទ្រី ឯ.ក</t>
        </is>
      </c>
      <c r="W3603" s="556" t="n">
        <v>56024</v>
      </c>
    </row>
    <row r="3604">
      <c r="A3604" s="521" t="n">
        <v>3596</v>
      </c>
      <c r="B3604" s="522" t="inlineStr">
        <is>
          <t>Service Fee</t>
        </is>
      </c>
      <c r="C3604" s="522" t="inlineStr">
        <is>
          <t>ប្យួរ៉ូ វេរីតាស (ខេមបូឌា) លីមីធីត</t>
        </is>
      </c>
      <c r="D3604" s="522" t="inlineStr">
        <is>
          <t>L001-107024462</t>
        </is>
      </c>
      <c r="E3604" s="521" t="inlineStr">
        <is>
          <t>59013499</t>
        </is>
      </c>
      <c r="F3604" s="523" t="n">
        <v>44842</v>
      </c>
      <c r="G3604" s="556" t="n">
        <v>55983</v>
      </c>
      <c r="I3604" s="521">
        <f>G3604</f>
        <v/>
      </c>
      <c r="K3604" s="521">
        <f>I3604-G3604</f>
        <v/>
      </c>
      <c r="M3604" s="522" t="inlineStr">
        <is>
          <t>59013499</t>
        </is>
      </c>
      <c r="N3604" s="522" t="inlineStr">
        <is>
          <t>59013499</t>
        </is>
      </c>
      <c r="O3604" s="521">
        <f>M3604=N3604</f>
        <v/>
      </c>
      <c r="P3604" s="521">
        <f>AND(MONTH(F3604)=MONTH(S3604), YEAR(F3604)=YEAR(S3604))</f>
        <v/>
      </c>
      <c r="Q3604" s="521">
        <f>U3604="L001-901905215"</f>
        <v/>
      </c>
      <c r="R3604" s="556">
        <f>G3604-W3604</f>
        <v/>
      </c>
      <c r="S3604" s="523" t="n">
        <v>44842</v>
      </c>
      <c r="T3604" s="522" t="inlineStr">
        <is>
          <t>59013499</t>
        </is>
      </c>
      <c r="U3604" s="522" t="inlineStr">
        <is>
          <t>L001-901905215</t>
        </is>
      </c>
      <c r="V3604" s="522" t="inlineStr">
        <is>
          <t>វីអ៊ីស៊ិន (ខេមបូឌា) អ៊ិនដាសស្ទ្រី ឯ.ក</t>
        </is>
      </c>
      <c r="W3604" s="556" t="n">
        <v>55983</v>
      </c>
    </row>
    <row r="3605">
      <c r="A3605" s="521" t="n">
        <v>3597</v>
      </c>
      <c r="B3605" s="522" t="inlineStr">
        <is>
          <t>Service Fee</t>
        </is>
      </c>
      <c r="C3605" s="522" t="inlineStr">
        <is>
          <t>ប្យួរ៉ូ វេរីតាស (ខេមបូឌា) លីមីធីត</t>
        </is>
      </c>
      <c r="D3605" s="522" t="inlineStr">
        <is>
          <t>L001-107024462</t>
        </is>
      </c>
      <c r="E3605" s="521" t="inlineStr">
        <is>
          <t>59013495</t>
        </is>
      </c>
      <c r="F3605" s="523" t="n">
        <v>44841</v>
      </c>
      <c r="G3605" s="556" t="n">
        <v>111963</v>
      </c>
      <c r="I3605" s="521">
        <f>G3605</f>
        <v/>
      </c>
      <c r="K3605" s="521">
        <f>I3605-G3605</f>
        <v/>
      </c>
      <c r="M3605" s="522" t="inlineStr">
        <is>
          <t>59013495</t>
        </is>
      </c>
      <c r="N3605" s="522" t="inlineStr">
        <is>
          <t>59013495</t>
        </is>
      </c>
      <c r="O3605" s="521">
        <f>M3605=N3605</f>
        <v/>
      </c>
      <c r="P3605" s="521">
        <f>AND(MONTH(F3605)=MONTH(S3605), YEAR(F3605)=YEAR(S3605))</f>
        <v/>
      </c>
      <c r="Q3605" s="521">
        <f>U3605="L001-901905215"</f>
        <v/>
      </c>
      <c r="R3605" s="556">
        <f>G3605-W3605</f>
        <v/>
      </c>
      <c r="S3605" s="523" t="n">
        <v>44841</v>
      </c>
      <c r="T3605" s="522" t="inlineStr">
        <is>
          <t>59013495</t>
        </is>
      </c>
      <c r="U3605" s="522" t="inlineStr">
        <is>
          <t>L001-901905215</t>
        </is>
      </c>
      <c r="V3605" s="522" t="inlineStr">
        <is>
          <t>វីអ៊ីស៊ិន (ខេមបូឌា) អ៊ិនដាសស្ទ្រី ឯ.ក</t>
        </is>
      </c>
      <c r="W3605" s="556" t="n">
        <v>111963</v>
      </c>
    </row>
    <row r="3606">
      <c r="A3606" s="521" t="n">
        <v>3598</v>
      </c>
      <c r="B3606" s="522" t="inlineStr">
        <is>
          <t>Service Fee</t>
        </is>
      </c>
      <c r="C3606" s="522" t="inlineStr">
        <is>
          <t>ប្យួរ៉ូ វេរីតាស (ខេមបូឌា) លីមីធីត</t>
        </is>
      </c>
      <c r="D3606" s="522" t="inlineStr">
        <is>
          <t>L001-107024462</t>
        </is>
      </c>
      <c r="E3606" s="521" t="inlineStr">
        <is>
          <t>59013494</t>
        </is>
      </c>
      <c r="F3606" s="523" t="n">
        <v>44841</v>
      </c>
      <c r="G3606" s="556" t="n">
        <v>55983</v>
      </c>
      <c r="I3606" s="521">
        <f>G3606</f>
        <v/>
      </c>
      <c r="K3606" s="521">
        <f>I3606-G3606</f>
        <v/>
      </c>
      <c r="M3606" s="522" t="inlineStr">
        <is>
          <t>59013494</t>
        </is>
      </c>
      <c r="N3606" s="522" t="inlineStr">
        <is>
          <t>59013494</t>
        </is>
      </c>
      <c r="O3606" s="521">
        <f>M3606=N3606</f>
        <v/>
      </c>
      <c r="P3606" s="521">
        <f>AND(MONTH(F3606)=MONTH(S3606), YEAR(F3606)=YEAR(S3606))</f>
        <v/>
      </c>
      <c r="Q3606" s="521">
        <f>U3606="L001-901905215"</f>
        <v/>
      </c>
      <c r="R3606" s="556">
        <f>G3606-W3606</f>
        <v/>
      </c>
      <c r="S3606" s="523" t="n">
        <v>44841</v>
      </c>
      <c r="T3606" s="522" t="inlineStr">
        <is>
          <t>59013494</t>
        </is>
      </c>
      <c r="U3606" s="522" t="inlineStr">
        <is>
          <t>L001-901905215</t>
        </is>
      </c>
      <c r="V3606" s="522" t="inlineStr">
        <is>
          <t>វីអ៊ីស៊ិន (ខេមបូឌា) អ៊ិនដាសស្ទ្រី ឯ.ក</t>
        </is>
      </c>
      <c r="W3606" s="556" t="n">
        <v>55983</v>
      </c>
    </row>
    <row r="3607">
      <c r="A3607" s="521" t="n">
        <v>3599</v>
      </c>
      <c r="B3607" s="522" t="n"/>
      <c r="C3607" s="522" t="inlineStr">
        <is>
          <t>កំពង់ផែស្វយ័តក្រុងព្រះសីហនុ</t>
        </is>
      </c>
      <c r="D3607" s="522" t="inlineStr">
        <is>
          <t>L001-100044638</t>
        </is>
      </c>
      <c r="E3607" s="521" t="inlineStr">
        <is>
          <t>215883</t>
        </is>
      </c>
      <c r="F3607" s="523" t="n">
        <v>43770</v>
      </c>
      <c r="G3607" s="556" t="n">
        <v>35383</v>
      </c>
      <c r="I3607" s="521">
        <f>G3607</f>
        <v/>
      </c>
      <c r="K3607" s="521">
        <f>I3607-G3607</f>
        <v/>
      </c>
      <c r="M3607" s="522" t="inlineStr">
        <is>
          <t>215883</t>
        </is>
      </c>
      <c r="N3607" s="522" t="inlineStr"/>
      <c r="O3607" s="521">
        <f>M3607=N3607</f>
        <v/>
      </c>
      <c r="P3607" s="521">
        <f>AND(MONTH(F3607)=MONTH(S3607), YEAR(F3607)=YEAR(S3607))</f>
        <v/>
      </c>
      <c r="Q3607" s="521">
        <f>U3607="L001-901905215"</f>
        <v/>
      </c>
      <c r="R3607" s="556">
        <f>G3607-W3607</f>
        <v/>
      </c>
      <c r="S3607" s="521" t="n"/>
      <c r="T3607" s="522" t="n"/>
      <c r="U3607" s="522" t="n"/>
      <c r="V3607" s="522" t="n"/>
      <c r="W3607" s="521" t="n"/>
    </row>
    <row r="3608">
      <c r="A3608" s="521" t="n">
        <v>3600</v>
      </c>
      <c r="B3608" s="522" t="n"/>
      <c r="C3608" s="522" t="inlineStr">
        <is>
          <t>អេវើរហ្គ្រីន ស៊ីបភីង សឺវីស (ខេមបូឌា) ឯ.ក</t>
        </is>
      </c>
      <c r="D3608" s="522" t="inlineStr">
        <is>
          <t>L001-901705421</t>
        </is>
      </c>
      <c r="E3608" s="521" t="inlineStr">
        <is>
          <t>IY19007884</t>
        </is>
      </c>
      <c r="F3608" s="523" t="n">
        <v>43788</v>
      </c>
      <c r="G3608" s="556" t="n">
        <v>119977</v>
      </c>
      <c r="I3608" s="521">
        <f>G3608</f>
        <v/>
      </c>
      <c r="K3608" s="521">
        <f>I3608-G3608</f>
        <v/>
      </c>
      <c r="M3608" s="522" t="inlineStr">
        <is>
          <t>IY19007884</t>
        </is>
      </c>
      <c r="N3608" s="522" t="inlineStr"/>
      <c r="O3608" s="521">
        <f>M3608=N3608</f>
        <v/>
      </c>
      <c r="P3608" s="521">
        <f>AND(MONTH(F3608)=MONTH(S3608), YEAR(F3608)=YEAR(S3608))</f>
        <v/>
      </c>
      <c r="Q3608" s="521">
        <f>U3608="L001-901905215"</f>
        <v/>
      </c>
      <c r="R3608" s="556">
        <f>G3608-W3608</f>
        <v/>
      </c>
      <c r="S3608" s="521" t="n"/>
      <c r="T3608" s="522" t="n"/>
      <c r="U3608" s="522" t="n"/>
      <c r="V3608" s="522" t="n"/>
      <c r="W3608" s="521" t="n"/>
    </row>
    <row r="3609">
      <c r="A3609" s="521" t="n">
        <v>3601</v>
      </c>
      <c r="B3609" s="522" t="n"/>
      <c r="C3609" s="522" t="inlineStr">
        <is>
          <t>ជីអេហ្វអិន អេឡិកទ្រីក ឯ.ក</t>
        </is>
      </c>
      <c r="D3609" s="522" t="inlineStr">
        <is>
          <t>K008-901702194</t>
        </is>
      </c>
      <c r="E3609" s="521" t="inlineStr">
        <is>
          <t>190016</t>
        </is>
      </c>
      <c r="F3609" s="523" t="n">
        <v>43772</v>
      </c>
      <c r="G3609" s="556" t="n">
        <v>16511281</v>
      </c>
      <c r="I3609" s="521">
        <f>G3609</f>
        <v/>
      </c>
      <c r="K3609" s="521">
        <f>I3609-G3609</f>
        <v/>
      </c>
      <c r="M3609" s="522" t="inlineStr">
        <is>
          <t>190016</t>
        </is>
      </c>
      <c r="N3609" s="522" t="inlineStr">
        <is>
          <t>190016</t>
        </is>
      </c>
      <c r="O3609" s="521">
        <f>M3609=N3609</f>
        <v/>
      </c>
      <c r="P3609" s="521">
        <f>AND(MONTH(F3609)=MONTH(S3609), YEAR(F3609)=YEAR(S3609))</f>
        <v/>
      </c>
      <c r="Q3609" s="521">
        <f>U3609="L001-901905215"</f>
        <v/>
      </c>
      <c r="R3609" s="556">
        <f>G3609-W3609</f>
        <v/>
      </c>
      <c r="S3609" s="523" t="n">
        <v>43772</v>
      </c>
      <c r="T3609" s="522" t="inlineStr">
        <is>
          <t>190016</t>
        </is>
      </c>
      <c r="U3609" s="522" t="inlineStr">
        <is>
          <t>L001-901905215</t>
        </is>
      </c>
      <c r="V3609" s="522" t="inlineStr">
        <is>
          <t>វីអ៊ីស៊ិន (ខេមបូឌា) អ៊ិនដាសស្ទ្រី ឯ.ក</t>
        </is>
      </c>
      <c r="W3609" s="556" t="n">
        <v>16474741</v>
      </c>
    </row>
    <row r="3610">
      <c r="A3610" s="521" t="n">
        <v>3602</v>
      </c>
      <c r="B3610" s="522" t="n"/>
      <c r="C3610" s="522" t="inlineStr">
        <is>
          <t>វី សូ ខូ អិលធីឌី</t>
        </is>
      </c>
      <c r="D3610" s="522" t="inlineStr">
        <is>
          <t>K006-901500578</t>
        </is>
      </c>
      <c r="E3610" s="521" t="inlineStr">
        <is>
          <t>TI000037</t>
        </is>
      </c>
      <c r="F3610" s="523" t="n">
        <v>43797</v>
      </c>
      <c r="G3610" s="556" t="n">
        <v>772730</v>
      </c>
      <c r="I3610" s="521">
        <f>G3610</f>
        <v/>
      </c>
      <c r="K3610" s="521">
        <f>I3610-G3610</f>
        <v/>
      </c>
      <c r="M3610" s="522" t="inlineStr">
        <is>
          <t>TI000037</t>
        </is>
      </c>
      <c r="N3610" s="522" t="inlineStr">
        <is>
          <t>TI000037</t>
        </is>
      </c>
      <c r="O3610" s="521">
        <f>M3610=N3610</f>
        <v/>
      </c>
      <c r="P3610" s="521">
        <f>AND(MONTH(F3610)=MONTH(S3610), YEAR(F3610)=YEAR(S3610))</f>
        <v/>
      </c>
      <c r="Q3610" s="521">
        <f>U3610="L001-901905215"</f>
        <v/>
      </c>
      <c r="R3610" s="556">
        <f>G3610-W3610</f>
        <v/>
      </c>
      <c r="S3610" s="523" t="n">
        <v>43797</v>
      </c>
      <c r="T3610" s="522" t="inlineStr">
        <is>
          <t>TI000037</t>
        </is>
      </c>
      <c r="U3610" s="522" t="inlineStr">
        <is>
          <t>L001-901905215</t>
        </is>
      </c>
      <c r="V3610" s="522" t="inlineStr">
        <is>
          <t>វីអ៊ីស៊ិន (ខេមបូឌា) អ៊ិនដាសស្ទ្រី ឯ.ក</t>
        </is>
      </c>
      <c r="W3610" s="556" t="n">
        <v>772730</v>
      </c>
    </row>
    <row r="3611">
      <c r="A3611" s="521" t="n">
        <v>3603</v>
      </c>
      <c r="B3611" s="522" t="n"/>
      <c r="C3611" s="522" t="inlineStr">
        <is>
          <t>វ៉ាយ.ស៊ី ផេកខេជីង ឯ.ក</t>
        </is>
      </c>
      <c r="D3611" s="522" t="inlineStr">
        <is>
          <t>L001-901700417</t>
        </is>
      </c>
      <c r="E3611" s="521" t="inlineStr">
        <is>
          <t>TI0096</t>
        </is>
      </c>
      <c r="F3611" s="523" t="n">
        <v>43799</v>
      </c>
      <c r="G3611" s="556" t="n">
        <v>7393806</v>
      </c>
      <c r="I3611" s="521">
        <f>G3611</f>
        <v/>
      </c>
      <c r="K3611" s="521">
        <f>I3611-G3611</f>
        <v/>
      </c>
      <c r="M3611" s="522" t="inlineStr">
        <is>
          <t>TI0096</t>
        </is>
      </c>
      <c r="N3611" s="522" t="inlineStr">
        <is>
          <t>TI0096</t>
        </is>
      </c>
      <c r="O3611" s="521">
        <f>M3611=N3611</f>
        <v/>
      </c>
      <c r="P3611" s="521">
        <f>AND(MONTH(F3611)=MONTH(S3611), YEAR(F3611)=YEAR(S3611))</f>
        <v/>
      </c>
      <c r="Q3611" s="521">
        <f>U3611="L001-901905215"</f>
        <v/>
      </c>
      <c r="R3611" s="556">
        <f>G3611-W3611</f>
        <v/>
      </c>
      <c r="S3611" s="523" t="n">
        <v>43799</v>
      </c>
      <c r="T3611" s="522" t="inlineStr">
        <is>
          <t>TI0096</t>
        </is>
      </c>
      <c r="U3611" s="522" t="inlineStr">
        <is>
          <t>L001-901905215</t>
        </is>
      </c>
      <c r="V3611" s="522" t="inlineStr">
        <is>
          <t>វីអ៊ីស៊ិន (ខេមបូឌា) អ៊ិនដាសស្ទ្រី ឯ.ក</t>
        </is>
      </c>
      <c r="W3611" s="556" t="n">
        <v>7377444</v>
      </c>
    </row>
    <row r="3612">
      <c r="A3612" s="521" t="n">
        <v>3604</v>
      </c>
      <c r="B3612" s="522" t="n"/>
      <c r="C3612" s="522" t="inlineStr">
        <is>
          <t>ភីស៊ីអាយ សឺវីស</t>
        </is>
      </c>
      <c r="D3612" s="522" t="inlineStr">
        <is>
          <t>K010-901639639</t>
        </is>
      </c>
      <c r="E3612" s="521" t="inlineStr">
        <is>
          <t>201900902</t>
        </is>
      </c>
      <c r="F3612" s="523" t="n">
        <v>43797</v>
      </c>
      <c r="G3612" s="556" t="n">
        <v>81160</v>
      </c>
      <c r="I3612" s="521">
        <f>G3612</f>
        <v/>
      </c>
      <c r="K3612" s="521">
        <f>I3612-G3612</f>
        <v/>
      </c>
      <c r="M3612" s="522" t="inlineStr">
        <is>
          <t>201900902</t>
        </is>
      </c>
      <c r="N3612" s="522" t="inlineStr"/>
      <c r="O3612" s="521">
        <f>M3612=N3612</f>
        <v/>
      </c>
      <c r="P3612" s="521">
        <f>AND(MONTH(F3612)=MONTH(S3612), YEAR(F3612)=YEAR(S3612))</f>
        <v/>
      </c>
      <c r="Q3612" s="521">
        <f>U3612="L001-901905215"</f>
        <v/>
      </c>
      <c r="R3612" s="556">
        <f>G3612-W3612</f>
        <v/>
      </c>
      <c r="S3612" s="521" t="n"/>
      <c r="T3612" s="522" t="n"/>
      <c r="U3612" s="522" t="n"/>
      <c r="V3612" s="522" t="n"/>
      <c r="W3612" s="521" t="n"/>
    </row>
    <row r="3613">
      <c r="A3613" s="521" t="n">
        <v>3605</v>
      </c>
      <c r="B3613" s="522" t="n"/>
      <c r="C3613" s="522" t="inlineStr">
        <is>
          <t>កំពង់ផែស្វយ័តក្រុងព្រះសីហនុ</t>
        </is>
      </c>
      <c r="D3613" s="522" t="inlineStr">
        <is>
          <t>L001-100044638</t>
        </is>
      </c>
      <c r="E3613" s="521" t="inlineStr">
        <is>
          <t>216915</t>
        </is>
      </c>
      <c r="F3613" s="523" t="n">
        <v>43795</v>
      </c>
      <c r="G3613" s="556" t="n">
        <v>101044</v>
      </c>
      <c r="I3613" s="521">
        <f>G3613</f>
        <v/>
      </c>
      <c r="K3613" s="521">
        <f>I3613-G3613</f>
        <v/>
      </c>
      <c r="M3613" s="522" t="inlineStr">
        <is>
          <t>216915</t>
        </is>
      </c>
      <c r="N3613" s="522" t="inlineStr"/>
      <c r="O3613" s="521">
        <f>M3613=N3613</f>
        <v/>
      </c>
      <c r="P3613" s="521">
        <f>AND(MONTH(F3613)=MONTH(S3613), YEAR(F3613)=YEAR(S3613))</f>
        <v/>
      </c>
      <c r="Q3613" s="521">
        <f>U3613="L001-901905215"</f>
        <v/>
      </c>
      <c r="R3613" s="556">
        <f>G3613-W3613</f>
        <v/>
      </c>
      <c r="S3613" s="521" t="n"/>
      <c r="T3613" s="522" t="n"/>
      <c r="U3613" s="522" t="n"/>
      <c r="V3613" s="522" t="n"/>
      <c r="W3613" s="521" t="n"/>
    </row>
    <row r="3614">
      <c r="A3614" s="521" t="n">
        <v>3606</v>
      </c>
      <c r="B3614" s="522" t="n"/>
      <c r="C3614" s="522" t="inlineStr">
        <is>
          <t>អ៊ិនធើថេក ថេសធីង សឺវីស (ខេមបូឌា) ខមភេនី លីមីធីត</t>
        </is>
      </c>
      <c r="D3614" s="522" t="inlineStr">
        <is>
          <t>L001-100045707</t>
        </is>
      </c>
      <c r="E3614" s="521" t="inlineStr">
        <is>
          <t>KHM20190012704</t>
        </is>
      </c>
      <c r="F3614" s="523" t="n">
        <v>43794</v>
      </c>
      <c r="G3614" s="556" t="n">
        <v>284690</v>
      </c>
      <c r="I3614" s="521">
        <f>G3614</f>
        <v/>
      </c>
      <c r="K3614" s="521">
        <f>I3614-G3614</f>
        <v/>
      </c>
      <c r="M3614" s="522" t="inlineStr">
        <is>
          <t>KHM20190012704</t>
        </is>
      </c>
      <c r="N3614" s="522" t="inlineStr"/>
      <c r="O3614" s="521">
        <f>M3614=N3614</f>
        <v/>
      </c>
      <c r="P3614" s="521">
        <f>AND(MONTH(F3614)=MONTH(S3614), YEAR(F3614)=YEAR(S3614))</f>
        <v/>
      </c>
      <c r="Q3614" s="521">
        <f>U3614="L001-901905215"</f>
        <v/>
      </c>
      <c r="R3614" s="556">
        <f>G3614-W3614</f>
        <v/>
      </c>
      <c r="S3614" s="521" t="n"/>
      <c r="T3614" s="522" t="n"/>
      <c r="U3614" s="522" t="n"/>
      <c r="V3614" s="522" t="n"/>
      <c r="W3614" s="521" t="n"/>
    </row>
    <row r="3615">
      <c r="A3615" s="521" t="n">
        <v>3607</v>
      </c>
      <c r="B3615" s="522" t="n"/>
      <c r="C3615" s="522" t="inlineStr">
        <is>
          <t>អ៊ិនធើថេក ថេសធីង សឺវីស (ខេមបូឌា) ខមភេនី លីមីធីត</t>
        </is>
      </c>
      <c r="D3615" s="522" t="inlineStr">
        <is>
          <t>L001-100045707</t>
        </is>
      </c>
      <c r="E3615" s="521" t="inlineStr">
        <is>
          <t>KMH20190012698</t>
        </is>
      </c>
      <c r="F3615" s="523" t="n">
        <v>43794</v>
      </c>
      <c r="G3615" s="556" t="n">
        <v>189116</v>
      </c>
      <c r="I3615" s="521">
        <f>G3615</f>
        <v/>
      </c>
      <c r="K3615" s="521">
        <f>I3615-G3615</f>
        <v/>
      </c>
      <c r="M3615" s="522" t="inlineStr">
        <is>
          <t>KMH20190012698</t>
        </is>
      </c>
      <c r="N3615" s="522" t="inlineStr"/>
      <c r="O3615" s="521">
        <f>M3615=N3615</f>
        <v/>
      </c>
      <c r="P3615" s="521">
        <f>AND(MONTH(F3615)=MONTH(S3615), YEAR(F3615)=YEAR(S3615))</f>
        <v/>
      </c>
      <c r="Q3615" s="521">
        <f>U3615="L001-901905215"</f>
        <v/>
      </c>
      <c r="R3615" s="556">
        <f>G3615-W3615</f>
        <v/>
      </c>
      <c r="S3615" s="521" t="n"/>
      <c r="T3615" s="522" t="n"/>
      <c r="U3615" s="522" t="n"/>
      <c r="V3615" s="522" t="n"/>
      <c r="W3615" s="521" t="n"/>
    </row>
    <row r="3616">
      <c r="A3616" s="521" t="n">
        <v>3608</v>
      </c>
      <c r="B3616" s="522" t="n"/>
      <c r="C3616" s="522" t="inlineStr">
        <is>
          <t>ហឺរ ឆឹង ផេភើរ អ៊ីនដាសស្រ្ទៀល ខូ អិលធីឌី</t>
        </is>
      </c>
      <c r="D3616" s="522" t="inlineStr">
        <is>
          <t>L001-100191983</t>
        </is>
      </c>
      <c r="E3616" s="521" t="inlineStr">
        <is>
          <t>0428</t>
        </is>
      </c>
      <c r="F3616" s="523" t="n">
        <v>43792</v>
      </c>
      <c r="G3616" s="556" t="n">
        <v>2098572</v>
      </c>
      <c r="I3616" s="521">
        <f>G3616</f>
        <v/>
      </c>
      <c r="K3616" s="521">
        <f>I3616-G3616</f>
        <v/>
      </c>
      <c r="M3616" s="522" t="inlineStr">
        <is>
          <t>0428</t>
        </is>
      </c>
      <c r="N3616" s="522" t="inlineStr">
        <is>
          <t>0428</t>
        </is>
      </c>
      <c r="O3616" s="521">
        <f>M3616=N3616</f>
        <v/>
      </c>
      <c r="P3616" s="521">
        <f>AND(MONTH(F3616)=MONTH(S3616), YEAR(F3616)=YEAR(S3616))</f>
        <v/>
      </c>
      <c r="Q3616" s="521">
        <f>U3616="L001-901905215"</f>
        <v/>
      </c>
      <c r="R3616" s="556">
        <f>G3616-W3616</f>
        <v/>
      </c>
      <c r="S3616" s="523" t="n">
        <v>43792</v>
      </c>
      <c r="T3616" s="522" t="inlineStr">
        <is>
          <t>0428</t>
        </is>
      </c>
      <c r="U3616" s="522" t="inlineStr">
        <is>
          <t>L001-901905215</t>
        </is>
      </c>
      <c r="V3616" s="522" t="inlineStr">
        <is>
          <t>វីអ៊ីស៊ិន (ខេមបូឌា) អ៊ិនដាសស្ទ្រី ឯ.ក</t>
        </is>
      </c>
      <c r="W3616" s="556" t="n">
        <v>2093928</v>
      </c>
    </row>
    <row r="3617">
      <c r="A3617" s="521" t="n">
        <v>3609</v>
      </c>
      <c r="B3617" s="522" t="n"/>
      <c r="C3617" s="522" t="inlineStr">
        <is>
          <t>ថេកអេស៊ីស៊ី ផេភើរ សឺវីស ខនសាល់ធេន ឯ.ក</t>
        </is>
      </c>
      <c r="D3617" s="522" t="inlineStr">
        <is>
          <t>K004-901801112</t>
        </is>
      </c>
      <c r="E3617" s="521" t="inlineStr">
        <is>
          <t>000132</t>
        </is>
      </c>
      <c r="F3617" s="523" t="n">
        <v>43783</v>
      </c>
      <c r="G3617" s="556" t="n">
        <v>162680</v>
      </c>
      <c r="I3617" s="521">
        <f>G3617</f>
        <v/>
      </c>
      <c r="K3617" s="521">
        <f>I3617-G3617</f>
        <v/>
      </c>
      <c r="M3617" s="522" t="inlineStr">
        <is>
          <t>000132</t>
        </is>
      </c>
      <c r="N3617" s="522" t="inlineStr">
        <is>
          <t>000132</t>
        </is>
      </c>
      <c r="O3617" s="521">
        <f>M3617=N3617</f>
        <v/>
      </c>
      <c r="P3617" s="521">
        <f>AND(MONTH(F3617)=MONTH(S3617), YEAR(F3617)=YEAR(S3617))</f>
        <v/>
      </c>
      <c r="Q3617" s="521">
        <f>U3617="L001-901905215"</f>
        <v/>
      </c>
      <c r="R3617" s="556">
        <f>G3617-W3617</f>
        <v/>
      </c>
      <c r="S3617" s="523" t="n">
        <v>43783</v>
      </c>
      <c r="T3617" s="522" t="inlineStr">
        <is>
          <t>000132</t>
        </is>
      </c>
      <c r="U3617" s="522" t="inlineStr">
        <is>
          <t>L001-901905215</t>
        </is>
      </c>
      <c r="V3617" s="522" t="inlineStr">
        <is>
          <t>វីអ៊ីស៊ិន (ខេមបូឌា) អ៊ិនដាសស្ទ្រី ឯ.ក</t>
        </is>
      </c>
      <c r="W3617" s="556" t="n">
        <v>162680</v>
      </c>
    </row>
    <row r="3618">
      <c r="A3618" s="521" t="n">
        <v>3610</v>
      </c>
      <c r="B3618" s="522" t="n"/>
      <c r="C3618" s="522" t="inlineStr">
        <is>
          <t>កំពង់ផែស្វយ័តក្រុងព្រះសីហនុ</t>
        </is>
      </c>
      <c r="D3618" s="522" t="inlineStr">
        <is>
          <t>L001-100044638</t>
        </is>
      </c>
      <c r="E3618" s="521" t="inlineStr">
        <is>
          <t>206070</t>
        </is>
      </c>
      <c r="F3618" s="523" t="n">
        <v>43777</v>
      </c>
      <c r="G3618" s="556" t="n">
        <v>2435</v>
      </c>
      <c r="I3618" s="521">
        <f>G3618</f>
        <v/>
      </c>
      <c r="K3618" s="521">
        <f>I3618-G3618</f>
        <v/>
      </c>
      <c r="M3618" s="522" t="inlineStr">
        <is>
          <t>206070</t>
        </is>
      </c>
      <c r="N3618" s="522" t="inlineStr"/>
      <c r="O3618" s="521">
        <f>M3618=N3618</f>
        <v/>
      </c>
      <c r="P3618" s="521">
        <f>AND(MONTH(F3618)=MONTH(S3618), YEAR(F3618)=YEAR(S3618))</f>
        <v/>
      </c>
      <c r="Q3618" s="521">
        <f>U3618="L001-901905215"</f>
        <v/>
      </c>
      <c r="R3618" s="556">
        <f>G3618-W3618</f>
        <v/>
      </c>
      <c r="S3618" s="521" t="n"/>
      <c r="T3618" s="522" t="n"/>
      <c r="U3618" s="522" t="n"/>
      <c r="V3618" s="522" t="n"/>
      <c r="W3618" s="521" t="n"/>
    </row>
    <row r="3619">
      <c r="A3619" s="521" t="n">
        <v>3611</v>
      </c>
      <c r="B3619" s="522" t="n"/>
      <c r="C3619" s="522" t="inlineStr">
        <is>
          <t>កំពង់ផែស្វយ័តក្រុងព្រះសីហនុ</t>
        </is>
      </c>
      <c r="D3619" s="522" t="inlineStr">
        <is>
          <t>L001-100044638</t>
        </is>
      </c>
      <c r="E3619" s="521" t="inlineStr">
        <is>
          <t>204772</t>
        </is>
      </c>
      <c r="F3619" s="523" t="n">
        <v>43776</v>
      </c>
      <c r="G3619" s="556" t="n">
        <v>49913</v>
      </c>
      <c r="I3619" s="521">
        <f>G3619</f>
        <v/>
      </c>
      <c r="K3619" s="521">
        <f>I3619-G3619</f>
        <v/>
      </c>
      <c r="M3619" s="522" t="inlineStr">
        <is>
          <t>204772</t>
        </is>
      </c>
      <c r="N3619" s="522" t="inlineStr"/>
      <c r="O3619" s="521">
        <f>M3619=N3619</f>
        <v/>
      </c>
      <c r="P3619" s="521">
        <f>AND(MONTH(F3619)=MONTH(S3619), YEAR(F3619)=YEAR(S3619))</f>
        <v/>
      </c>
      <c r="Q3619" s="521">
        <f>U3619="L001-901905215"</f>
        <v/>
      </c>
      <c r="R3619" s="556">
        <f>G3619-W3619</f>
        <v/>
      </c>
      <c r="S3619" s="521" t="n"/>
      <c r="T3619" s="522" t="n"/>
      <c r="U3619" s="522" t="n"/>
      <c r="V3619" s="522" t="n"/>
      <c r="W3619" s="521" t="n"/>
    </row>
    <row r="3620">
      <c r="A3620" s="521" t="n">
        <v>3612</v>
      </c>
      <c r="B3620" s="522" t="n"/>
      <c r="C3620" s="522" t="inlineStr">
        <is>
          <t>ឃីងថេល ខមម្ញូនីខេសិន លីមីធីត</t>
        </is>
      </c>
      <c r="D3620" s="522" t="inlineStr">
        <is>
          <t>L001-901503704</t>
        </is>
      </c>
      <c r="E3620" s="521" t="inlineStr">
        <is>
          <t>2018049122</t>
        </is>
      </c>
      <c r="F3620" s="523" t="n">
        <v>43774</v>
      </c>
      <c r="G3620" s="556" t="n">
        <v>439236</v>
      </c>
      <c r="I3620" s="521">
        <f>G3620</f>
        <v/>
      </c>
      <c r="K3620" s="521">
        <f>I3620-G3620</f>
        <v/>
      </c>
      <c r="M3620" s="522" t="inlineStr">
        <is>
          <t>2018049122</t>
        </is>
      </c>
      <c r="N3620" s="522" t="inlineStr">
        <is>
          <t>2018049122</t>
        </is>
      </c>
      <c r="O3620" s="521">
        <f>M3620=N3620</f>
        <v/>
      </c>
      <c r="P3620" s="521">
        <f>AND(MONTH(F3620)=MONTH(S3620), YEAR(F3620)=YEAR(S3620))</f>
        <v/>
      </c>
      <c r="Q3620" s="521">
        <f>U3620="L001-901905215"</f>
        <v/>
      </c>
      <c r="R3620" s="556">
        <f>G3620-W3620</f>
        <v/>
      </c>
      <c r="S3620" s="523" t="n">
        <v>43770</v>
      </c>
      <c r="T3620" s="522" t="inlineStr">
        <is>
          <t>2018049122</t>
        </is>
      </c>
      <c r="U3620" s="522" t="inlineStr">
        <is>
          <t>L001-901905215</t>
        </is>
      </c>
      <c r="V3620" s="522" t="inlineStr">
        <is>
          <t>វីអ៊ីស៊ិន (ខេមបូឌា) អ៊ិនដាសស្ទ្រី ឯ.ក</t>
        </is>
      </c>
      <c r="W3620" s="556" t="n">
        <v>438264</v>
      </c>
    </row>
    <row r="3621">
      <c r="A3621" s="521" t="n">
        <v>3613</v>
      </c>
      <c r="B3621" s="522" t="n"/>
      <c r="C3621" s="522" t="inlineStr">
        <is>
          <t>ខូស្កូ ស៊ីបភីង ឡាញ (ខេមបូឌា) ឯ.ក</t>
        </is>
      </c>
      <c r="D3621" s="522" t="inlineStr">
        <is>
          <t>L001-100103383</t>
        </is>
      </c>
      <c r="E3621" s="521" t="inlineStr">
        <is>
          <t>COS191110043</t>
        </is>
      </c>
      <c r="F3621" s="523" t="n">
        <v>43770</v>
      </c>
      <c r="G3621" s="556" t="n">
        <v>213518</v>
      </c>
      <c r="I3621" s="521">
        <f>G3621</f>
        <v/>
      </c>
      <c r="K3621" s="521">
        <f>I3621-G3621</f>
        <v/>
      </c>
      <c r="M3621" s="522" t="inlineStr">
        <is>
          <t>COS191110043</t>
        </is>
      </c>
      <c r="N3621" s="522" t="inlineStr"/>
      <c r="O3621" s="521">
        <f>M3621=N3621</f>
        <v/>
      </c>
      <c r="P3621" s="521">
        <f>AND(MONTH(F3621)=MONTH(S3621), YEAR(F3621)=YEAR(S3621))</f>
        <v/>
      </c>
      <c r="Q3621" s="521">
        <f>U3621="L001-901905215"</f>
        <v/>
      </c>
      <c r="R3621" s="556">
        <f>G3621-W3621</f>
        <v/>
      </c>
      <c r="S3621" s="521" t="n"/>
      <c r="T3621" s="522" t="n"/>
      <c r="U3621" s="522" t="n"/>
      <c r="V3621" s="522" t="n"/>
      <c r="W3621" s="521" t="n"/>
    </row>
    <row r="3622">
      <c r="A3622" s="521" t="n">
        <v>3614</v>
      </c>
      <c r="B3622" s="522" t="n"/>
      <c r="C3622" s="522" t="inlineStr">
        <is>
          <t>ស៊ីអិមអេ ស៊ីជីអិម (ខេមបូឌា) ខូ អិលធីឌី</t>
        </is>
      </c>
      <c r="D3622" s="522" t="inlineStr">
        <is>
          <t>L001-105016225</t>
        </is>
      </c>
      <c r="E3622" s="521" t="inlineStr">
        <is>
          <t>KHA00010669</t>
        </is>
      </c>
      <c r="F3622" s="523" t="n">
        <v>44154</v>
      </c>
      <c r="G3622" s="556" t="n">
        <v>372876</v>
      </c>
      <c r="I3622" s="521">
        <f>G3622</f>
        <v/>
      </c>
      <c r="K3622" s="521">
        <f>I3622-G3622</f>
        <v/>
      </c>
      <c r="M3622" s="522" t="inlineStr">
        <is>
          <t>KHA00010669</t>
        </is>
      </c>
      <c r="N3622" s="522" t="inlineStr"/>
      <c r="O3622" s="521">
        <f>M3622=N3622</f>
        <v/>
      </c>
      <c r="P3622" s="521">
        <f>AND(MONTH(F3622)=MONTH(S3622), YEAR(F3622)=YEAR(S3622))</f>
        <v/>
      </c>
      <c r="Q3622" s="521">
        <f>U3622="L001-901905215"</f>
        <v/>
      </c>
      <c r="R3622" s="556">
        <f>G3622-W3622</f>
        <v/>
      </c>
      <c r="S3622" s="521" t="n"/>
      <c r="T3622" s="522" t="n"/>
      <c r="U3622" s="522" t="n"/>
      <c r="V3622" s="522" t="n"/>
      <c r="W3622" s="521" t="n"/>
    </row>
    <row r="3623">
      <c r="A3623" s="521" t="n">
        <v>3615</v>
      </c>
      <c r="B3623" s="522" t="n"/>
      <c r="C3623" s="522" t="inlineStr">
        <is>
          <t>មេគង្គ រីជើណល ស៊ីបភីង អេជេនស៊ី</t>
        </is>
      </c>
      <c r="D3623" s="522" t="inlineStr">
        <is>
          <t>K003-104010819</t>
        </is>
      </c>
      <c r="E3623" s="521" t="inlineStr">
        <is>
          <t>3658</t>
        </is>
      </c>
      <c r="F3623" s="523" t="n">
        <v>44136</v>
      </c>
      <c r="G3623" s="556" t="n">
        <v>172410</v>
      </c>
      <c r="I3623" s="521">
        <f>G3623</f>
        <v/>
      </c>
      <c r="K3623" s="521">
        <f>I3623-G3623</f>
        <v/>
      </c>
      <c r="M3623" s="522" t="inlineStr">
        <is>
          <t>3658</t>
        </is>
      </c>
      <c r="N3623" s="522" t="inlineStr"/>
      <c r="O3623" s="521">
        <f>M3623=N3623</f>
        <v/>
      </c>
      <c r="P3623" s="521">
        <f>AND(MONTH(F3623)=MONTH(S3623), YEAR(F3623)=YEAR(S3623))</f>
        <v/>
      </c>
      <c r="Q3623" s="521">
        <f>U3623="L001-901905215"</f>
        <v/>
      </c>
      <c r="R3623" s="556">
        <f>G3623-W3623</f>
        <v/>
      </c>
      <c r="S3623" s="521" t="n"/>
      <c r="T3623" s="522" t="n"/>
      <c r="U3623" s="522" t="n"/>
      <c r="V3623" s="522" t="n"/>
      <c r="W3623" s="521" t="n"/>
    </row>
    <row r="3624">
      <c r="A3624" s="521" t="n">
        <v>3616</v>
      </c>
      <c r="B3624" s="522" t="n"/>
      <c r="C3624" s="522" t="inlineStr">
        <is>
          <t>ឌី អេច អិល អិចប្រេស (ខេមបូឌា)</t>
        </is>
      </c>
      <c r="D3624" s="522" t="inlineStr">
        <is>
          <t>L001-100045197</t>
        </is>
      </c>
      <c r="E3624" s="521" t="inlineStr">
        <is>
          <t>PNHIR000361019</t>
        </is>
      </c>
      <c r="F3624" s="523" t="n">
        <v>44161</v>
      </c>
      <c r="G3624" s="556" t="n">
        <v>31001</v>
      </c>
      <c r="I3624" s="521">
        <f>G3624</f>
        <v/>
      </c>
      <c r="K3624" s="521">
        <f>I3624-G3624</f>
        <v/>
      </c>
      <c r="M3624" s="522" t="inlineStr">
        <is>
          <t>PNHIR000361019</t>
        </is>
      </c>
      <c r="N3624" s="522" t="inlineStr"/>
      <c r="O3624" s="521">
        <f>M3624=N3624</f>
        <v/>
      </c>
      <c r="P3624" s="521">
        <f>AND(MONTH(F3624)=MONTH(S3624), YEAR(F3624)=YEAR(S3624))</f>
        <v/>
      </c>
      <c r="Q3624" s="521">
        <f>U3624="L001-901905215"</f>
        <v/>
      </c>
      <c r="R3624" s="556">
        <f>G3624-W3624</f>
        <v/>
      </c>
      <c r="S3624" s="521" t="n"/>
      <c r="T3624" s="522" t="n"/>
      <c r="U3624" s="522" t="n"/>
      <c r="V3624" s="522" t="n"/>
      <c r="W3624" s="521" t="n"/>
    </row>
    <row r="3625">
      <c r="A3625" s="521" t="n">
        <v>3617</v>
      </c>
      <c r="B3625" s="522" t="n"/>
      <c r="C3625" s="522" t="inlineStr">
        <is>
          <t>ឌី អេច អិល អិចប្រេស (ខេមបូឌា)</t>
        </is>
      </c>
      <c r="D3625" s="522" t="inlineStr">
        <is>
          <t>L001-100045197</t>
        </is>
      </c>
      <c r="E3625" s="521" t="inlineStr">
        <is>
          <t>PNHIR000360055</t>
        </is>
      </c>
      <c r="F3625" s="523" t="n">
        <v>44154</v>
      </c>
      <c r="G3625" s="556" t="n">
        <v>36789</v>
      </c>
      <c r="I3625" s="521">
        <f>G3625</f>
        <v/>
      </c>
      <c r="K3625" s="521">
        <f>I3625-G3625</f>
        <v/>
      </c>
      <c r="M3625" s="522" t="inlineStr">
        <is>
          <t>PNHIR000360055</t>
        </is>
      </c>
      <c r="N3625" s="522" t="inlineStr"/>
      <c r="O3625" s="521">
        <f>M3625=N3625</f>
        <v/>
      </c>
      <c r="P3625" s="521">
        <f>AND(MONTH(F3625)=MONTH(S3625), YEAR(F3625)=YEAR(S3625))</f>
        <v/>
      </c>
      <c r="Q3625" s="521">
        <f>U3625="L001-901905215"</f>
        <v/>
      </c>
      <c r="R3625" s="556">
        <f>G3625-W3625</f>
        <v/>
      </c>
      <c r="S3625" s="521" t="n"/>
      <c r="T3625" s="522" t="n"/>
      <c r="U3625" s="522" t="n"/>
      <c r="V3625" s="522" t="n"/>
      <c r="W3625" s="521" t="n"/>
    </row>
    <row r="3626">
      <c r="A3626" s="521" t="n">
        <v>3618</v>
      </c>
      <c r="B3626" s="522" t="n"/>
      <c r="C3626" s="522" t="inlineStr">
        <is>
          <t>ឌី អេច អិល អិចប្រេស (ខេមបូឌា)</t>
        </is>
      </c>
      <c r="D3626" s="522" t="inlineStr">
        <is>
          <t>L001-100045197</t>
        </is>
      </c>
      <c r="E3626" s="521" t="inlineStr">
        <is>
          <t>PNHR000355390</t>
        </is>
      </c>
      <c r="F3626" s="523" t="n">
        <v>44136</v>
      </c>
      <c r="G3626" s="556" t="n">
        <v>93518</v>
      </c>
      <c r="I3626" s="521">
        <f>G3626</f>
        <v/>
      </c>
      <c r="K3626" s="521">
        <f>I3626-G3626</f>
        <v/>
      </c>
      <c r="M3626" s="522" t="inlineStr">
        <is>
          <t>PNHR000355390</t>
        </is>
      </c>
      <c r="N3626" s="522" t="inlineStr"/>
      <c r="O3626" s="521">
        <f>M3626=N3626</f>
        <v/>
      </c>
      <c r="P3626" s="521">
        <f>AND(MONTH(F3626)=MONTH(S3626), YEAR(F3626)=YEAR(S3626))</f>
        <v/>
      </c>
      <c r="Q3626" s="521">
        <f>U3626="L001-901905215"</f>
        <v/>
      </c>
      <c r="R3626" s="556">
        <f>G3626-W3626</f>
        <v/>
      </c>
      <c r="S3626" s="521" t="n"/>
      <c r="T3626" s="522" t="n"/>
      <c r="U3626" s="522" t="n"/>
      <c r="V3626" s="522" t="n"/>
      <c r="W3626" s="521" t="n"/>
    </row>
    <row r="3627">
      <c r="A3627" s="521" t="n">
        <v>3619</v>
      </c>
      <c r="B3627" s="522" t="n"/>
      <c r="C3627" s="522" t="inlineStr">
        <is>
          <t>ឌី អេច អិល អិចប្រេស (ខេមបូឌា)</t>
        </is>
      </c>
      <c r="D3627" s="522" t="inlineStr">
        <is>
          <t>L001-100045197</t>
        </is>
      </c>
      <c r="E3627" s="521" t="inlineStr">
        <is>
          <t>PNHR000357254</t>
        </is>
      </c>
      <c r="F3627" s="523" t="n">
        <v>44136</v>
      </c>
      <c r="G3627" s="556" t="n">
        <v>43734</v>
      </c>
      <c r="I3627" s="521">
        <f>G3627</f>
        <v/>
      </c>
      <c r="K3627" s="521">
        <f>I3627-G3627</f>
        <v/>
      </c>
      <c r="M3627" s="522" t="inlineStr">
        <is>
          <t>PNHR000357254</t>
        </is>
      </c>
      <c r="N3627" s="522" t="inlineStr"/>
      <c r="O3627" s="521">
        <f>M3627=N3627</f>
        <v/>
      </c>
      <c r="P3627" s="521">
        <f>AND(MONTH(F3627)=MONTH(S3627), YEAR(F3627)=YEAR(S3627))</f>
        <v/>
      </c>
      <c r="Q3627" s="521">
        <f>U3627="L001-901905215"</f>
        <v/>
      </c>
      <c r="R3627" s="556">
        <f>G3627-W3627</f>
        <v/>
      </c>
      <c r="S3627" s="521" t="n"/>
      <c r="T3627" s="522" t="n"/>
      <c r="U3627" s="522" t="n"/>
      <c r="V3627" s="522" t="n"/>
      <c r="W3627" s="521" t="n"/>
    </row>
    <row r="3628">
      <c r="A3628" s="521" t="n">
        <v>3620</v>
      </c>
      <c r="B3628" s="522" t="n"/>
      <c r="C3628" s="522" t="inlineStr">
        <is>
          <t>ឌី អេច អិល អិចប្រេស (ខេមបូឌា)</t>
        </is>
      </c>
      <c r="D3628" s="522" t="inlineStr">
        <is>
          <t>L001-100045197</t>
        </is>
      </c>
      <c r="E3628" s="521" t="inlineStr">
        <is>
          <t>PNHR000356350</t>
        </is>
      </c>
      <c r="F3628" s="523" t="n">
        <v>44136</v>
      </c>
      <c r="G3628" s="556" t="n">
        <v>116806</v>
      </c>
      <c r="I3628" s="521">
        <f>G3628</f>
        <v/>
      </c>
      <c r="K3628" s="521">
        <f>I3628-G3628</f>
        <v/>
      </c>
      <c r="M3628" s="522" t="inlineStr">
        <is>
          <t>PNHR000356350</t>
        </is>
      </c>
      <c r="N3628" s="522" t="inlineStr"/>
      <c r="O3628" s="521">
        <f>M3628=N3628</f>
        <v/>
      </c>
      <c r="P3628" s="521">
        <f>AND(MONTH(F3628)=MONTH(S3628), YEAR(F3628)=YEAR(S3628))</f>
        <v/>
      </c>
      <c r="Q3628" s="521">
        <f>U3628="L001-901905215"</f>
        <v/>
      </c>
      <c r="R3628" s="556">
        <f>G3628-W3628</f>
        <v/>
      </c>
      <c r="S3628" s="521" t="n"/>
      <c r="T3628" s="522" t="n"/>
      <c r="U3628" s="522" t="n"/>
      <c r="V3628" s="522" t="n"/>
      <c r="W3628" s="521" t="n"/>
    </row>
    <row r="3629">
      <c r="A3629" s="521" t="n">
        <v>3621</v>
      </c>
      <c r="B3629" s="522" t="n"/>
      <c r="C3629" s="522" t="inlineStr">
        <is>
          <t>ឌី អេច អិល អិចប្រេស (ខេមបូឌា)</t>
        </is>
      </c>
      <c r="D3629" s="522" t="inlineStr">
        <is>
          <t>L001-100045197</t>
        </is>
      </c>
      <c r="E3629" s="521" t="inlineStr">
        <is>
          <t>PNHR000357856</t>
        </is>
      </c>
      <c r="F3629" s="523" t="n">
        <v>44136</v>
      </c>
      <c r="G3629" s="556" t="n">
        <v>33970</v>
      </c>
      <c r="I3629" s="521">
        <f>G3629</f>
        <v/>
      </c>
      <c r="K3629" s="521">
        <f>I3629-G3629</f>
        <v/>
      </c>
      <c r="M3629" s="522" t="inlineStr">
        <is>
          <t>PNHR000357856</t>
        </is>
      </c>
      <c r="N3629" s="522" t="inlineStr"/>
      <c r="O3629" s="521">
        <f>M3629=N3629</f>
        <v/>
      </c>
      <c r="P3629" s="521">
        <f>AND(MONTH(F3629)=MONTH(S3629), YEAR(F3629)=YEAR(S3629))</f>
        <v/>
      </c>
      <c r="Q3629" s="521">
        <f>U3629="L001-901905215"</f>
        <v/>
      </c>
      <c r="R3629" s="556">
        <f>G3629-W3629</f>
        <v/>
      </c>
      <c r="S3629" s="521" t="n"/>
      <c r="T3629" s="522" t="n"/>
      <c r="U3629" s="522" t="n"/>
      <c r="V3629" s="522" t="n"/>
      <c r="W3629" s="521" t="n"/>
    </row>
    <row r="3630">
      <c r="A3630" s="521" t="n">
        <v>3622</v>
      </c>
      <c r="B3630" s="522" t="n"/>
      <c r="C3630" s="522" t="inlineStr">
        <is>
          <t>សហ័ស សិឃ្យូរិធី ឯ.ក</t>
        </is>
      </c>
      <c r="D3630" s="522" t="inlineStr">
        <is>
          <t>K010-107032600</t>
        </is>
      </c>
      <c r="E3630" s="521" t="inlineStr">
        <is>
          <t>2020-00518</t>
        </is>
      </c>
      <c r="F3630" s="523" t="n">
        <v>44159</v>
      </c>
      <c r="G3630" s="556" t="n">
        <v>226800</v>
      </c>
      <c r="I3630" s="521">
        <f>G3630</f>
        <v/>
      </c>
      <c r="K3630" s="521">
        <f>I3630-G3630</f>
        <v/>
      </c>
      <c r="M3630" s="522" t="inlineStr">
        <is>
          <t>202000518</t>
        </is>
      </c>
      <c r="N3630" s="522" t="inlineStr">
        <is>
          <t>202000518</t>
        </is>
      </c>
      <c r="O3630" s="521">
        <f>M3630=N3630</f>
        <v/>
      </c>
      <c r="P3630" s="521">
        <f>AND(MONTH(F3630)=MONTH(S3630), YEAR(F3630)=YEAR(S3630))</f>
        <v/>
      </c>
      <c r="Q3630" s="521">
        <f>U3630="L001-901905215"</f>
        <v/>
      </c>
      <c r="R3630" s="556">
        <f>G3630-W3630</f>
        <v/>
      </c>
      <c r="S3630" s="523" t="n">
        <v>44159</v>
      </c>
      <c r="T3630" s="522" t="inlineStr">
        <is>
          <t>202000518</t>
        </is>
      </c>
      <c r="U3630" s="522" t="inlineStr">
        <is>
          <t>L001-901905215</t>
        </is>
      </c>
      <c r="V3630" s="522" t="inlineStr">
        <is>
          <t>វីអ៊ីស៊ិន (ខេមបូឌា) អ៊ិនដាសស្ទ្រី ឯ.ក</t>
        </is>
      </c>
      <c r="W3630" s="556" t="n">
        <v>226800</v>
      </c>
    </row>
    <row r="3631">
      <c r="A3631" s="521" t="n">
        <v>3623</v>
      </c>
      <c r="B3631" s="522" t="n"/>
      <c r="C3631" s="522" t="inlineStr">
        <is>
          <t>យូសេន ឡូជីស្ទីក (ខេមបូឌា) ខូ អិលធីឌី</t>
        </is>
      </c>
      <c r="D3631" s="522" t="inlineStr">
        <is>
          <t>L001-104015799</t>
        </is>
      </c>
      <c r="E3631" s="521" t="inlineStr">
        <is>
          <t>PNHTI0014146</t>
        </is>
      </c>
      <c r="F3631" s="523" t="n">
        <v>44159</v>
      </c>
      <c r="G3631" s="556" t="n">
        <v>157950</v>
      </c>
      <c r="I3631" s="521">
        <f>G3631</f>
        <v/>
      </c>
      <c r="K3631" s="521">
        <f>I3631-G3631</f>
        <v/>
      </c>
      <c r="M3631" s="522" t="inlineStr">
        <is>
          <t>PNHTI0014146</t>
        </is>
      </c>
      <c r="N3631" s="522" t="inlineStr"/>
      <c r="O3631" s="521">
        <f>M3631=N3631</f>
        <v/>
      </c>
      <c r="P3631" s="521">
        <f>AND(MONTH(F3631)=MONTH(S3631), YEAR(F3631)=YEAR(S3631))</f>
        <v/>
      </c>
      <c r="Q3631" s="521">
        <f>U3631="L001-901905215"</f>
        <v/>
      </c>
      <c r="R3631" s="556">
        <f>G3631-W3631</f>
        <v/>
      </c>
      <c r="S3631" s="521" t="n"/>
      <c r="T3631" s="522" t="n"/>
      <c r="U3631" s="522" t="n"/>
      <c r="V3631" s="522" t="n"/>
      <c r="W3631" s="521" t="n"/>
    </row>
    <row r="3632">
      <c r="A3632" s="521" t="n">
        <v>3624</v>
      </c>
      <c r="B3632" s="522" t="n"/>
      <c r="C3632" s="522" t="inlineStr">
        <is>
          <t>យូសេន ឡូជីស្ទីក (ខេមបូឌា) ខូ អិលធីឌី</t>
        </is>
      </c>
      <c r="D3632" s="522" t="inlineStr">
        <is>
          <t>L001-104015799</t>
        </is>
      </c>
      <c r="E3632" s="521" t="inlineStr">
        <is>
          <t>PNHTI0014145</t>
        </is>
      </c>
      <c r="F3632" s="523" t="n">
        <v>44159</v>
      </c>
      <c r="G3632" s="556" t="n">
        <v>157950</v>
      </c>
      <c r="I3632" s="521">
        <f>G3632</f>
        <v/>
      </c>
      <c r="K3632" s="521">
        <f>I3632-G3632</f>
        <v/>
      </c>
      <c r="M3632" s="522" t="inlineStr">
        <is>
          <t>PNHTI0014145</t>
        </is>
      </c>
      <c r="N3632" s="522" t="inlineStr"/>
      <c r="O3632" s="521">
        <f>M3632=N3632</f>
        <v/>
      </c>
      <c r="P3632" s="521">
        <f>AND(MONTH(F3632)=MONTH(S3632), YEAR(F3632)=YEAR(S3632))</f>
        <v/>
      </c>
      <c r="Q3632" s="521">
        <f>U3632="L001-901905215"</f>
        <v/>
      </c>
      <c r="R3632" s="556">
        <f>G3632-W3632</f>
        <v/>
      </c>
      <c r="S3632" s="521" t="n"/>
      <c r="T3632" s="522" t="n"/>
      <c r="U3632" s="522" t="n"/>
      <c r="V3632" s="522" t="n"/>
      <c r="W3632" s="521" t="n"/>
    </row>
    <row r="3633">
      <c r="A3633" s="521" t="n">
        <v>3625</v>
      </c>
      <c r="B3633" s="522" t="n"/>
      <c r="C3633" s="522" t="inlineStr">
        <is>
          <t>អ៊ីជីអេហ្វ ឡូជីស្ទីក ខូ អិលធីឌី</t>
        </is>
      </c>
      <c r="D3633" s="522" t="inlineStr">
        <is>
          <t>L001-901501877</t>
        </is>
      </c>
      <c r="E3633" s="521" t="inlineStr">
        <is>
          <t>2008184</t>
        </is>
      </c>
      <c r="F3633" s="523" t="n">
        <v>44165</v>
      </c>
      <c r="G3633" s="556" t="n">
        <v>93104</v>
      </c>
      <c r="I3633" s="521">
        <f>G3633</f>
        <v/>
      </c>
      <c r="K3633" s="521">
        <f>I3633-G3633</f>
        <v/>
      </c>
      <c r="M3633" s="522" t="inlineStr">
        <is>
          <t>2008184</t>
        </is>
      </c>
      <c r="N3633" s="522" t="inlineStr">
        <is>
          <t>2008184</t>
        </is>
      </c>
      <c r="O3633" s="521">
        <f>M3633=N3633</f>
        <v/>
      </c>
      <c r="P3633" s="521">
        <f>AND(MONTH(F3633)=MONTH(S3633), YEAR(F3633)=YEAR(S3633))</f>
        <v/>
      </c>
      <c r="Q3633" s="521">
        <f>U3633="L001-901905215"</f>
        <v/>
      </c>
      <c r="R3633" s="556">
        <f>G3633-W3633</f>
        <v/>
      </c>
      <c r="S3633" s="523" t="n">
        <v>44165</v>
      </c>
      <c r="T3633" s="522" t="inlineStr">
        <is>
          <t>20-08184</t>
        </is>
      </c>
      <c r="U3633" s="522" t="inlineStr">
        <is>
          <t>L001-901905215</t>
        </is>
      </c>
      <c r="V3633" s="522" t="inlineStr">
        <is>
          <t>វីអ៊ីស៊ិន (ខេមបូឌា) អ៊ិនដាសស្ទ្រី ឯ.ក</t>
        </is>
      </c>
      <c r="W3633" s="556" t="n">
        <v>93104</v>
      </c>
    </row>
    <row r="3634">
      <c r="A3634" s="521" t="n">
        <v>3626</v>
      </c>
      <c r="B3634" s="522" t="n"/>
      <c r="C3634" s="522" t="inlineStr">
        <is>
          <t>ឆាយ ដា ឡូយីស្ទីក</t>
        </is>
      </c>
      <c r="D3634" s="522" t="inlineStr">
        <is>
          <t>L001-100063098</t>
        </is>
      </c>
      <c r="E3634" s="521" t="inlineStr">
        <is>
          <t>2011010728</t>
        </is>
      </c>
      <c r="F3634" s="523" t="n">
        <v>44165</v>
      </c>
      <c r="G3634" s="556" t="n">
        <v>280931</v>
      </c>
      <c r="I3634" s="521">
        <f>G3634</f>
        <v/>
      </c>
      <c r="K3634" s="521">
        <f>I3634-G3634</f>
        <v/>
      </c>
      <c r="M3634" s="522" t="inlineStr">
        <is>
          <t>2011010728</t>
        </is>
      </c>
      <c r="N3634" s="522" t="inlineStr">
        <is>
          <t>2011010728</t>
        </is>
      </c>
      <c r="O3634" s="521">
        <f>M3634=N3634</f>
        <v/>
      </c>
      <c r="P3634" s="521">
        <f>AND(MONTH(F3634)=MONTH(S3634), YEAR(F3634)=YEAR(S3634))</f>
        <v/>
      </c>
      <c r="Q3634" s="521">
        <f>U3634="L001-901905215"</f>
        <v/>
      </c>
      <c r="R3634" s="556">
        <f>G3634-W3634</f>
        <v/>
      </c>
      <c r="S3634" s="523" t="n">
        <v>44165</v>
      </c>
      <c r="T3634" s="522" t="inlineStr">
        <is>
          <t>2011010728</t>
        </is>
      </c>
      <c r="U3634" s="522" t="inlineStr">
        <is>
          <t>L001-901905215</t>
        </is>
      </c>
      <c r="V3634" s="522" t="inlineStr">
        <is>
          <t>វីអ៊ីស៊ិន (ខេមបូឌា) អ៊ិនដាសស្ទ្រី ឯ.ក</t>
        </is>
      </c>
      <c r="W3634" s="556" t="n">
        <v>280931</v>
      </c>
    </row>
    <row r="3635">
      <c r="A3635" s="521" t="n">
        <v>3627</v>
      </c>
      <c r="B3635" s="522" t="n"/>
      <c r="C3635" s="522" t="inlineStr">
        <is>
          <t>ឆាយ ដា ឡូយីស្ទីក</t>
        </is>
      </c>
      <c r="D3635" s="522" t="inlineStr">
        <is>
          <t>L001-100063098</t>
        </is>
      </c>
      <c r="E3635" s="521" t="inlineStr">
        <is>
          <t>2011010725</t>
        </is>
      </c>
      <c r="F3635" s="523" t="n">
        <v>44165</v>
      </c>
      <c r="G3635" s="556" t="n">
        <v>325459</v>
      </c>
      <c r="I3635" s="521">
        <f>G3635</f>
        <v/>
      </c>
      <c r="K3635" s="521">
        <f>I3635-G3635</f>
        <v/>
      </c>
      <c r="M3635" s="522" t="inlineStr">
        <is>
          <t>2011010725</t>
        </is>
      </c>
      <c r="N3635" s="522" t="inlineStr">
        <is>
          <t>2011010725</t>
        </is>
      </c>
      <c r="O3635" s="521">
        <f>M3635=N3635</f>
        <v/>
      </c>
      <c r="P3635" s="521">
        <f>AND(MONTH(F3635)=MONTH(S3635), YEAR(F3635)=YEAR(S3635))</f>
        <v/>
      </c>
      <c r="Q3635" s="521">
        <f>U3635="L001-901905215"</f>
        <v/>
      </c>
      <c r="R3635" s="556">
        <f>G3635-W3635</f>
        <v/>
      </c>
      <c r="S3635" s="523" t="n">
        <v>44165</v>
      </c>
      <c r="T3635" s="522" t="inlineStr">
        <is>
          <t>2011010725</t>
        </is>
      </c>
      <c r="U3635" s="522" t="inlineStr">
        <is>
          <t>L001-901905215</t>
        </is>
      </c>
      <c r="V3635" s="522" t="inlineStr">
        <is>
          <t>វីអ៊ីស៊ិន (ខេមបូឌា) អ៊ិនដាសស្ទ្រី ឯ.ក</t>
        </is>
      </c>
      <c r="W3635" s="556" t="n">
        <v>325459</v>
      </c>
    </row>
    <row r="3636">
      <c r="A3636" s="521" t="n">
        <v>3628</v>
      </c>
      <c r="B3636" s="522" t="n"/>
      <c r="C3636" s="522" t="inlineStr">
        <is>
          <t>អ៊ិចស្ពែឌីធ័រ ខេមបូឌា អិលធីឌី</t>
        </is>
      </c>
      <c r="D3636" s="522" t="inlineStr">
        <is>
          <t>L001-100045898</t>
        </is>
      </c>
      <c r="E3636" s="521" t="inlineStr">
        <is>
          <t>TI-0187897</t>
        </is>
      </c>
      <c r="F3636" s="523" t="n">
        <v>44165</v>
      </c>
      <c r="G3636" s="556" t="n">
        <v>362701</v>
      </c>
      <c r="I3636" s="521">
        <f>G3636</f>
        <v/>
      </c>
      <c r="K3636" s="521">
        <f>I3636-G3636</f>
        <v/>
      </c>
      <c r="M3636" s="522" t="inlineStr">
        <is>
          <t>TI0187897</t>
        </is>
      </c>
      <c r="N3636" s="522" t="inlineStr"/>
      <c r="O3636" s="521">
        <f>M3636=N3636</f>
        <v/>
      </c>
      <c r="P3636" s="521">
        <f>AND(MONTH(F3636)=MONTH(S3636), YEAR(F3636)=YEAR(S3636))</f>
        <v/>
      </c>
      <c r="Q3636" s="521">
        <f>U3636="L001-901905215"</f>
        <v/>
      </c>
      <c r="R3636" s="556">
        <f>G3636-W3636</f>
        <v/>
      </c>
      <c r="S3636" s="521" t="n"/>
      <c r="T3636" s="522" t="n"/>
      <c r="U3636" s="522" t="n"/>
      <c r="V3636" s="522" t="n"/>
      <c r="W3636" s="521" t="n"/>
    </row>
    <row r="3637">
      <c r="A3637" s="521" t="n">
        <v>3629</v>
      </c>
      <c r="B3637" s="522" t="n"/>
      <c r="C3637" s="522" t="inlineStr">
        <is>
          <t>អ៊ិចស្ពែឌីធ័រ ខេមបូឌា អិលធីឌី</t>
        </is>
      </c>
      <c r="D3637" s="522" t="inlineStr">
        <is>
          <t>L001-100045898</t>
        </is>
      </c>
      <c r="E3637" s="521" t="inlineStr">
        <is>
          <t>TI-0187765</t>
        </is>
      </c>
      <c r="F3637" s="523" t="n">
        <v>44165</v>
      </c>
      <c r="G3637" s="556" t="n">
        <v>201590</v>
      </c>
      <c r="I3637" s="521">
        <f>G3637</f>
        <v/>
      </c>
      <c r="K3637" s="521">
        <f>I3637-G3637</f>
        <v/>
      </c>
      <c r="M3637" s="522" t="inlineStr">
        <is>
          <t>TI0187765</t>
        </is>
      </c>
      <c r="N3637" s="522" t="inlineStr"/>
      <c r="O3637" s="521">
        <f>M3637=N3637</f>
        <v/>
      </c>
      <c r="P3637" s="521">
        <f>AND(MONTH(F3637)=MONTH(S3637), YEAR(F3637)=YEAR(S3637))</f>
        <v/>
      </c>
      <c r="Q3637" s="521">
        <f>U3637="L001-901905215"</f>
        <v/>
      </c>
      <c r="R3637" s="556">
        <f>G3637-W3637</f>
        <v/>
      </c>
      <c r="S3637" s="521" t="n"/>
      <c r="T3637" s="522" t="n"/>
      <c r="U3637" s="522" t="n"/>
      <c r="V3637" s="522" t="n"/>
      <c r="W3637" s="521" t="n"/>
    </row>
    <row r="3638">
      <c r="A3638" s="521" t="n">
        <v>3630</v>
      </c>
      <c r="B3638" s="522" t="n"/>
      <c r="C3638" s="522" t="inlineStr">
        <is>
          <t>អ៊ិចស្ពែឌីធ័រ ខេមបូឌា អិលធីឌី</t>
        </is>
      </c>
      <c r="D3638" s="522" t="inlineStr">
        <is>
          <t>L001-100045898</t>
        </is>
      </c>
      <c r="E3638" s="521" t="inlineStr">
        <is>
          <t>TI-0187764</t>
        </is>
      </c>
      <c r="F3638" s="523" t="n">
        <v>44165</v>
      </c>
      <c r="G3638" s="556" t="n">
        <v>201590</v>
      </c>
      <c r="I3638" s="521">
        <f>G3638</f>
        <v/>
      </c>
      <c r="K3638" s="521">
        <f>I3638-G3638</f>
        <v/>
      </c>
      <c r="M3638" s="522" t="inlineStr">
        <is>
          <t>TI0187764</t>
        </is>
      </c>
      <c r="N3638" s="522" t="inlineStr"/>
      <c r="O3638" s="521">
        <f>M3638=N3638</f>
        <v/>
      </c>
      <c r="P3638" s="521">
        <f>AND(MONTH(F3638)=MONTH(S3638), YEAR(F3638)=YEAR(S3638))</f>
        <v/>
      </c>
      <c r="Q3638" s="521">
        <f>U3638="L001-901905215"</f>
        <v/>
      </c>
      <c r="R3638" s="556">
        <f>G3638-W3638</f>
        <v/>
      </c>
      <c r="S3638" s="521" t="n"/>
      <c r="T3638" s="522" t="n"/>
      <c r="U3638" s="522" t="n"/>
      <c r="V3638" s="522" t="n"/>
      <c r="W3638" s="521" t="n"/>
    </row>
    <row r="3639">
      <c r="A3639" s="521" t="n">
        <v>3631</v>
      </c>
      <c r="B3639" s="522" t="n"/>
      <c r="C3639" s="522" t="inlineStr">
        <is>
          <t>អ៊ិចស្ពែឌីធ័រ ខេមបូឌា អិលធីឌី</t>
        </is>
      </c>
      <c r="D3639" s="522" t="inlineStr">
        <is>
          <t>L001-100045898</t>
        </is>
      </c>
      <c r="E3639" s="521" t="inlineStr">
        <is>
          <t>TI-0187849</t>
        </is>
      </c>
      <c r="F3639" s="523" t="n">
        <v>44165</v>
      </c>
      <c r="G3639" s="556" t="n">
        <v>69221</v>
      </c>
      <c r="I3639" s="521">
        <f>G3639</f>
        <v/>
      </c>
      <c r="K3639" s="521">
        <f>I3639-G3639</f>
        <v/>
      </c>
      <c r="M3639" s="522" t="inlineStr">
        <is>
          <t>TI0187849</t>
        </is>
      </c>
      <c r="N3639" s="522" t="inlineStr"/>
      <c r="O3639" s="521">
        <f>M3639=N3639</f>
        <v/>
      </c>
      <c r="P3639" s="521">
        <f>AND(MONTH(F3639)=MONTH(S3639), YEAR(F3639)=YEAR(S3639))</f>
        <v/>
      </c>
      <c r="Q3639" s="521">
        <f>U3639="L001-901905215"</f>
        <v/>
      </c>
      <c r="R3639" s="556">
        <f>G3639-W3639</f>
        <v/>
      </c>
      <c r="S3639" s="521" t="n"/>
      <c r="T3639" s="522" t="n"/>
      <c r="U3639" s="522" t="n"/>
      <c r="V3639" s="522" t="n"/>
      <c r="W3639" s="521" t="n"/>
    </row>
    <row r="3640">
      <c r="A3640" s="521" t="n">
        <v>3632</v>
      </c>
      <c r="B3640" s="522" t="n"/>
      <c r="C3640" s="522" t="inlineStr">
        <is>
          <t>អ៊ិចស្ពែឌីធ័រ ខេមបូឌា អិលធីឌី</t>
        </is>
      </c>
      <c r="D3640" s="522" t="inlineStr">
        <is>
          <t>L001-100045898</t>
        </is>
      </c>
      <c r="E3640" s="521" t="inlineStr">
        <is>
          <t>TI-0187842</t>
        </is>
      </c>
      <c r="F3640" s="523" t="n">
        <v>44165</v>
      </c>
      <c r="G3640" s="556" t="n">
        <v>502651</v>
      </c>
      <c r="I3640" s="521">
        <f>G3640</f>
        <v/>
      </c>
      <c r="K3640" s="521">
        <f>I3640-G3640</f>
        <v/>
      </c>
      <c r="M3640" s="522" t="inlineStr">
        <is>
          <t>TI0187842</t>
        </is>
      </c>
      <c r="N3640" s="522" t="inlineStr"/>
      <c r="O3640" s="521">
        <f>M3640=N3640</f>
        <v/>
      </c>
      <c r="P3640" s="521">
        <f>AND(MONTH(F3640)=MONTH(S3640), YEAR(F3640)=YEAR(S3640))</f>
        <v/>
      </c>
      <c r="Q3640" s="521">
        <f>U3640="L001-901905215"</f>
        <v/>
      </c>
      <c r="R3640" s="556">
        <f>G3640-W3640</f>
        <v/>
      </c>
      <c r="S3640" s="521" t="n"/>
      <c r="T3640" s="522" t="n"/>
      <c r="U3640" s="522" t="n"/>
      <c r="V3640" s="522" t="n"/>
      <c r="W3640" s="521" t="n"/>
    </row>
    <row r="3641">
      <c r="A3641" s="521" t="n">
        <v>3633</v>
      </c>
      <c r="B3641" s="522" t="n"/>
      <c r="C3641" s="522" t="inlineStr">
        <is>
          <t>អ៊ិចស្ពែឌីធ័រ ខេមបូឌា អិលធីឌី</t>
        </is>
      </c>
      <c r="D3641" s="522" t="inlineStr">
        <is>
          <t>L001-100045898</t>
        </is>
      </c>
      <c r="E3641" s="521" t="inlineStr">
        <is>
          <t>TI-0187840</t>
        </is>
      </c>
      <c r="F3641" s="523" t="n">
        <v>44165</v>
      </c>
      <c r="G3641" s="556" t="n">
        <v>34610</v>
      </c>
      <c r="I3641" s="521">
        <f>G3641</f>
        <v/>
      </c>
      <c r="K3641" s="521">
        <f>I3641-G3641</f>
        <v/>
      </c>
      <c r="M3641" s="522" t="inlineStr">
        <is>
          <t>TI0187840</t>
        </is>
      </c>
      <c r="N3641" s="522" t="inlineStr"/>
      <c r="O3641" s="521">
        <f>M3641=N3641</f>
        <v/>
      </c>
      <c r="P3641" s="521">
        <f>AND(MONTH(F3641)=MONTH(S3641), YEAR(F3641)=YEAR(S3641))</f>
        <v/>
      </c>
      <c r="Q3641" s="521">
        <f>U3641="L001-901905215"</f>
        <v/>
      </c>
      <c r="R3641" s="556">
        <f>G3641-W3641</f>
        <v/>
      </c>
      <c r="S3641" s="521" t="n"/>
      <c r="T3641" s="522" t="n"/>
      <c r="U3641" s="522" t="n"/>
      <c r="V3641" s="522" t="n"/>
      <c r="W3641" s="521" t="n"/>
    </row>
    <row r="3642">
      <c r="A3642" s="521" t="n">
        <v>3634</v>
      </c>
      <c r="B3642" s="522" t="n"/>
      <c r="C3642" s="522" t="inlineStr">
        <is>
          <t>អ៊ិចស្ពែឌីធ័រ ខេមបូឌា អិលធីឌី</t>
        </is>
      </c>
      <c r="D3642" s="522" t="inlineStr">
        <is>
          <t>L001-100045898</t>
        </is>
      </c>
      <c r="E3642" s="521" t="inlineStr">
        <is>
          <t>TI-0187833</t>
        </is>
      </c>
      <c r="F3642" s="523" t="n">
        <v>44165</v>
      </c>
      <c r="G3642" s="556" t="n">
        <v>265144</v>
      </c>
      <c r="I3642" s="521">
        <f>G3642</f>
        <v/>
      </c>
      <c r="K3642" s="521">
        <f>I3642-G3642</f>
        <v/>
      </c>
      <c r="M3642" s="522" t="inlineStr">
        <is>
          <t>TI0187833</t>
        </is>
      </c>
      <c r="N3642" s="522" t="inlineStr"/>
      <c r="O3642" s="521">
        <f>M3642=N3642</f>
        <v/>
      </c>
      <c r="P3642" s="521">
        <f>AND(MONTH(F3642)=MONTH(S3642), YEAR(F3642)=YEAR(S3642))</f>
        <v/>
      </c>
      <c r="Q3642" s="521">
        <f>U3642="L001-901905215"</f>
        <v/>
      </c>
      <c r="R3642" s="556">
        <f>G3642-W3642</f>
        <v/>
      </c>
      <c r="S3642" s="521" t="n"/>
      <c r="T3642" s="522" t="n"/>
      <c r="U3642" s="522" t="n"/>
      <c r="V3642" s="522" t="n"/>
      <c r="W3642" s="521" t="n"/>
    </row>
    <row r="3643">
      <c r="A3643" s="521" t="n">
        <v>3635</v>
      </c>
      <c r="B3643" s="522" t="n"/>
      <c r="C3643" s="522" t="inlineStr">
        <is>
          <t>អ៊ិចស្ពែឌីធ័រ ខេមបូឌា អិលធីឌី</t>
        </is>
      </c>
      <c r="D3643" s="522" t="inlineStr">
        <is>
          <t>L001-100045898</t>
        </is>
      </c>
      <c r="E3643" s="521" t="inlineStr">
        <is>
          <t>TI-0187793</t>
        </is>
      </c>
      <c r="F3643" s="523" t="n">
        <v>44165</v>
      </c>
      <c r="G3643" s="556" t="n">
        <v>141275</v>
      </c>
      <c r="I3643" s="521">
        <f>G3643</f>
        <v/>
      </c>
      <c r="K3643" s="521">
        <f>I3643-G3643</f>
        <v/>
      </c>
      <c r="M3643" s="522" t="inlineStr">
        <is>
          <t>TI0187793</t>
        </is>
      </c>
      <c r="N3643" s="522" t="inlineStr"/>
      <c r="O3643" s="521">
        <f>M3643=N3643</f>
        <v/>
      </c>
      <c r="P3643" s="521">
        <f>AND(MONTH(F3643)=MONTH(S3643), YEAR(F3643)=YEAR(S3643))</f>
        <v/>
      </c>
      <c r="Q3643" s="521">
        <f>U3643="L001-901905215"</f>
        <v/>
      </c>
      <c r="R3643" s="556">
        <f>G3643-W3643</f>
        <v/>
      </c>
      <c r="S3643" s="521" t="n"/>
      <c r="T3643" s="522" t="n"/>
      <c r="U3643" s="522" t="n"/>
      <c r="V3643" s="522" t="n"/>
      <c r="W3643" s="521" t="n"/>
    </row>
    <row r="3644">
      <c r="A3644" s="521" t="n">
        <v>3636</v>
      </c>
      <c r="B3644" s="522" t="n"/>
      <c r="C3644" s="522" t="inlineStr">
        <is>
          <t>ប្យួរ៉ូ វេរីតាស (ខេមបូឌា) លីមីធីត</t>
        </is>
      </c>
      <c r="D3644" s="522" t="inlineStr">
        <is>
          <t>L001-107024462</t>
        </is>
      </c>
      <c r="E3644" s="521" t="inlineStr">
        <is>
          <t>59009137</t>
        </is>
      </c>
      <c r="F3644" s="523" t="n">
        <v>44165</v>
      </c>
      <c r="G3644" s="556" t="n">
        <v>60720</v>
      </c>
      <c r="I3644" s="521">
        <f>G3644</f>
        <v/>
      </c>
      <c r="K3644" s="521">
        <f>I3644-G3644</f>
        <v/>
      </c>
      <c r="M3644" s="522" t="inlineStr">
        <is>
          <t>59009137</t>
        </is>
      </c>
      <c r="N3644" s="522" t="inlineStr"/>
      <c r="O3644" s="521">
        <f>M3644=N3644</f>
        <v/>
      </c>
      <c r="P3644" s="521">
        <f>AND(MONTH(F3644)=MONTH(S3644), YEAR(F3644)=YEAR(S3644))</f>
        <v/>
      </c>
      <c r="Q3644" s="521">
        <f>U3644="L001-901905215"</f>
        <v/>
      </c>
      <c r="R3644" s="556">
        <f>G3644-W3644</f>
        <v/>
      </c>
      <c r="S3644" s="521" t="n"/>
      <c r="T3644" s="522" t="n"/>
      <c r="U3644" s="522" t="n"/>
      <c r="V3644" s="522" t="n"/>
      <c r="W3644" s="521" t="n"/>
    </row>
    <row r="3645">
      <c r="A3645" s="521" t="n">
        <v>3637</v>
      </c>
      <c r="B3645" s="522" t="n"/>
      <c r="C3645" s="522" t="inlineStr">
        <is>
          <t>ភីស៊ីអាយ សឺវីស</t>
        </is>
      </c>
      <c r="D3645" s="522" t="inlineStr">
        <is>
          <t>K010-901639639</t>
        </is>
      </c>
      <c r="E3645" s="521" t="inlineStr">
        <is>
          <t>2020/01222</t>
        </is>
      </c>
      <c r="F3645" s="523" t="n">
        <v>44165</v>
      </c>
      <c r="G3645" s="556" t="n">
        <v>80960</v>
      </c>
      <c r="I3645" s="521">
        <f>G3645</f>
        <v/>
      </c>
      <c r="K3645" s="521">
        <f>I3645-G3645</f>
        <v/>
      </c>
      <c r="M3645" s="522" t="inlineStr">
        <is>
          <t>202001222</t>
        </is>
      </c>
      <c r="N3645" s="522" t="inlineStr"/>
      <c r="O3645" s="521">
        <f>M3645=N3645</f>
        <v/>
      </c>
      <c r="P3645" s="521">
        <f>AND(MONTH(F3645)=MONTH(S3645), YEAR(F3645)=YEAR(S3645))</f>
        <v/>
      </c>
      <c r="Q3645" s="521">
        <f>U3645="L001-901905215"</f>
        <v/>
      </c>
      <c r="R3645" s="556">
        <f>G3645-W3645</f>
        <v/>
      </c>
      <c r="S3645" s="521" t="n"/>
      <c r="T3645" s="522" t="n"/>
      <c r="U3645" s="522" t="n"/>
      <c r="V3645" s="522" t="n"/>
      <c r="W3645" s="521" t="n"/>
    </row>
    <row r="3646">
      <c r="A3646" s="521" t="n">
        <v>3638</v>
      </c>
      <c r="B3646" s="522" t="n"/>
      <c r="C3646" s="522" t="inlineStr">
        <is>
          <t>ស៊ីងហ្គាពួរ កាតុង (ខេមបូឌា)</t>
        </is>
      </c>
      <c r="D3646" s="522" t="inlineStr">
        <is>
          <t>L001-100121322</t>
        </is>
      </c>
      <c r="E3646" s="521" t="inlineStr">
        <is>
          <t>V0014964</t>
        </is>
      </c>
      <c r="F3646" s="523" t="n">
        <v>44165</v>
      </c>
      <c r="G3646" s="556" t="n">
        <v>715577</v>
      </c>
      <c r="I3646" s="521">
        <f>G3646</f>
        <v/>
      </c>
      <c r="K3646" s="521">
        <f>I3646-G3646</f>
        <v/>
      </c>
      <c r="M3646" s="522" t="inlineStr">
        <is>
          <t>V0014964</t>
        </is>
      </c>
      <c r="N3646" s="522" t="inlineStr">
        <is>
          <t>V0014964</t>
        </is>
      </c>
      <c r="O3646" s="521">
        <f>M3646=N3646</f>
        <v/>
      </c>
      <c r="P3646" s="521">
        <f>AND(MONTH(F3646)=MONTH(S3646), YEAR(F3646)=YEAR(S3646))</f>
        <v/>
      </c>
      <c r="Q3646" s="521">
        <f>U3646="L001-901905215"</f>
        <v/>
      </c>
      <c r="R3646" s="556">
        <f>G3646-W3646</f>
        <v/>
      </c>
      <c r="S3646" s="523" t="n">
        <v>44165</v>
      </c>
      <c r="T3646" s="522" t="inlineStr">
        <is>
          <t>V0014964</t>
        </is>
      </c>
      <c r="U3646" s="522" t="inlineStr">
        <is>
          <t>L001-901905215</t>
        </is>
      </c>
      <c r="V3646" s="522" t="inlineStr">
        <is>
          <t>វីអ៊ីស៊ិន (ខេមបូឌា) អ៊ិនដាសស្ទ្រី ឯ.ក</t>
        </is>
      </c>
      <c r="W3646" s="556" t="n">
        <v>715576</v>
      </c>
    </row>
    <row r="3647">
      <c r="A3647" s="521" t="n">
        <v>3639</v>
      </c>
      <c r="B3647" s="522" t="n"/>
      <c r="C3647" s="522" t="inlineStr">
        <is>
          <t>វ៉ាយ.ស៊ី ផេកខេជីង ឯ.ក</t>
        </is>
      </c>
      <c r="D3647" s="522" t="inlineStr">
        <is>
          <t>L001-901700417</t>
        </is>
      </c>
      <c r="E3647" s="521" t="inlineStr">
        <is>
          <t>TI0200</t>
        </is>
      </c>
      <c r="F3647" s="523" t="n">
        <v>44165</v>
      </c>
      <c r="G3647" s="556" t="n">
        <v>31953707</v>
      </c>
      <c r="I3647" s="521">
        <f>G3647</f>
        <v/>
      </c>
      <c r="K3647" s="521">
        <f>I3647-G3647</f>
        <v/>
      </c>
      <c r="M3647" s="522" t="inlineStr">
        <is>
          <t>TI0200</t>
        </is>
      </c>
      <c r="N3647" s="522" t="inlineStr">
        <is>
          <t>TI0200</t>
        </is>
      </c>
      <c r="O3647" s="521">
        <f>M3647=N3647</f>
        <v/>
      </c>
      <c r="P3647" s="521">
        <f>AND(MONTH(F3647)=MONTH(S3647), YEAR(F3647)=YEAR(S3647))</f>
        <v/>
      </c>
      <c r="Q3647" s="521">
        <f>U3647="L001-901905215"</f>
        <v/>
      </c>
      <c r="R3647" s="556">
        <f>G3647-W3647</f>
        <v/>
      </c>
      <c r="S3647" s="523" t="n">
        <v>44165</v>
      </c>
      <c r="T3647" s="522" t="inlineStr">
        <is>
          <t>TI0200</t>
        </is>
      </c>
      <c r="U3647" s="522" t="inlineStr">
        <is>
          <t>L001-901905215</t>
        </is>
      </c>
      <c r="V3647" s="522" t="inlineStr">
        <is>
          <t>វីអ៊ីស៊ិន (ខេមបូឌា) អ៊ិនដាសស្ទ្រី ឯ.ក</t>
        </is>
      </c>
      <c r="W3647" s="556" t="n">
        <v>31953886</v>
      </c>
    </row>
    <row r="3648">
      <c r="A3648" s="521" t="n">
        <v>3640</v>
      </c>
      <c r="B3648" s="522" t="n"/>
      <c r="C3648" s="522" t="inlineStr">
        <is>
          <t>ប្យួរ៉ូ វេរីតាស (ខេមបូឌា) លីមីធីត</t>
        </is>
      </c>
      <c r="D3648" s="522" t="inlineStr">
        <is>
          <t>L001-107024462</t>
        </is>
      </c>
      <c r="E3648" s="521" t="inlineStr">
        <is>
          <t>59009132</t>
        </is>
      </c>
      <c r="F3648" s="523" t="n">
        <v>44163</v>
      </c>
      <c r="G3648" s="556" t="n">
        <v>60675</v>
      </c>
      <c r="I3648" s="521">
        <f>G3648</f>
        <v/>
      </c>
      <c r="K3648" s="521">
        <f>I3648-G3648</f>
        <v/>
      </c>
      <c r="M3648" s="522" t="inlineStr">
        <is>
          <t>59009132</t>
        </is>
      </c>
      <c r="N3648" s="522" t="inlineStr"/>
      <c r="O3648" s="521">
        <f>M3648=N3648</f>
        <v/>
      </c>
      <c r="P3648" s="521">
        <f>AND(MONTH(F3648)=MONTH(S3648), YEAR(F3648)=YEAR(S3648))</f>
        <v/>
      </c>
      <c r="Q3648" s="521">
        <f>U3648="L001-901905215"</f>
        <v/>
      </c>
      <c r="R3648" s="556">
        <f>G3648-W3648</f>
        <v/>
      </c>
      <c r="S3648" s="521" t="n"/>
      <c r="T3648" s="522" t="n"/>
      <c r="U3648" s="522" t="n"/>
      <c r="V3648" s="522" t="n"/>
      <c r="W3648" s="521" t="n"/>
    </row>
    <row r="3649">
      <c r="A3649" s="521" t="n">
        <v>3641</v>
      </c>
      <c r="B3649" s="522" t="n"/>
      <c r="C3649" s="522" t="inlineStr">
        <is>
          <t>ប្យួរ៉ូ វេរីតាស (ខេមបូឌា) លីមីធីត</t>
        </is>
      </c>
      <c r="D3649" s="522" t="inlineStr">
        <is>
          <t>L001-107024462</t>
        </is>
      </c>
      <c r="E3649" s="521" t="inlineStr">
        <is>
          <t>59009123</t>
        </is>
      </c>
      <c r="F3649" s="523" t="n">
        <v>44162</v>
      </c>
      <c r="G3649" s="556" t="n">
        <v>60675</v>
      </c>
      <c r="I3649" s="521">
        <f>G3649</f>
        <v/>
      </c>
      <c r="K3649" s="521">
        <f>I3649-G3649</f>
        <v/>
      </c>
      <c r="M3649" s="522" t="inlineStr">
        <is>
          <t>59009123</t>
        </is>
      </c>
      <c r="N3649" s="522" t="inlineStr"/>
      <c r="O3649" s="521">
        <f>M3649=N3649</f>
        <v/>
      </c>
      <c r="P3649" s="521">
        <f>AND(MONTH(F3649)=MONTH(S3649), YEAR(F3649)=YEAR(S3649))</f>
        <v/>
      </c>
      <c r="Q3649" s="521">
        <f>U3649="L001-901905215"</f>
        <v/>
      </c>
      <c r="R3649" s="556">
        <f>G3649-W3649</f>
        <v/>
      </c>
      <c r="S3649" s="521" t="n"/>
      <c r="T3649" s="522" t="n"/>
      <c r="U3649" s="522" t="n"/>
      <c r="V3649" s="522" t="n"/>
      <c r="W3649" s="521" t="n"/>
    </row>
    <row r="3650">
      <c r="A3650" s="521" t="n">
        <v>3642</v>
      </c>
      <c r="B3650" s="522" t="n"/>
      <c r="C3650" s="522" t="inlineStr">
        <is>
          <t>ហ្គោមី រីសាយឃល110</t>
        </is>
      </c>
      <c r="D3650" s="522" t="inlineStr">
        <is>
          <t>K010-901503890</t>
        </is>
      </c>
      <c r="E3650" s="521" t="inlineStr">
        <is>
          <t>GR-IN202011/019</t>
        </is>
      </c>
      <c r="F3650" s="523" t="n">
        <v>44162</v>
      </c>
      <c r="G3650" s="556" t="n">
        <v>16180</v>
      </c>
      <c r="I3650" s="521">
        <f>G3650</f>
        <v/>
      </c>
      <c r="K3650" s="521">
        <f>I3650-G3650</f>
        <v/>
      </c>
      <c r="M3650" s="522" t="inlineStr">
        <is>
          <t>GRIN202011019</t>
        </is>
      </c>
      <c r="N3650" s="522" t="inlineStr">
        <is>
          <t>GRIN202011019</t>
        </is>
      </c>
      <c r="O3650" s="521">
        <f>M3650=N3650</f>
        <v/>
      </c>
      <c r="P3650" s="521">
        <f>AND(MONTH(F3650)=MONTH(S3650), YEAR(F3650)=YEAR(S3650))</f>
        <v/>
      </c>
      <c r="Q3650" s="521">
        <f>U3650="L001-901905215"</f>
        <v/>
      </c>
      <c r="R3650" s="556">
        <f>G3650-W3650</f>
        <v/>
      </c>
      <c r="S3650" s="523" t="n">
        <v>44162</v>
      </c>
      <c r="T3650" s="522" t="inlineStr">
        <is>
          <t>GR-IN202011/019</t>
        </is>
      </c>
      <c r="U3650" s="522" t="inlineStr">
        <is>
          <t>L001-901905215</t>
        </is>
      </c>
      <c r="V3650" s="522" t="inlineStr">
        <is>
          <t>វីអ៊ីស៊ិន (ខេមបូឌា) អ៊ិនដាសស្ទ្រី ឯ.ក</t>
        </is>
      </c>
      <c r="W3650" s="556" t="n">
        <v>16192</v>
      </c>
    </row>
    <row r="3651">
      <c r="A3651" s="521" t="n">
        <v>3643</v>
      </c>
      <c r="B3651" s="522" t="n"/>
      <c r="C3651" s="522" t="inlineStr">
        <is>
          <t>អ៊ិចស្ពែឌីធ័រ ខេមបូឌា អិលធីឌី</t>
        </is>
      </c>
      <c r="D3651" s="522" t="inlineStr">
        <is>
          <t>L001-100045898</t>
        </is>
      </c>
      <c r="E3651" s="521" t="inlineStr">
        <is>
          <t>TI-0187683</t>
        </is>
      </c>
      <c r="F3651" s="523" t="n">
        <v>44162</v>
      </c>
      <c r="G3651" s="556" t="n">
        <v>320768</v>
      </c>
      <c r="I3651" s="521">
        <f>G3651</f>
        <v/>
      </c>
      <c r="K3651" s="521">
        <f>I3651-G3651</f>
        <v/>
      </c>
      <c r="M3651" s="522" t="inlineStr">
        <is>
          <t>TI0187683</t>
        </is>
      </c>
      <c r="N3651" s="522" t="inlineStr"/>
      <c r="O3651" s="521">
        <f>M3651=N3651</f>
        <v/>
      </c>
      <c r="P3651" s="521">
        <f>AND(MONTH(F3651)=MONTH(S3651), YEAR(F3651)=YEAR(S3651))</f>
        <v/>
      </c>
      <c r="Q3651" s="521">
        <f>U3651="L001-901905215"</f>
        <v/>
      </c>
      <c r="R3651" s="556">
        <f>G3651-W3651</f>
        <v/>
      </c>
      <c r="S3651" s="521" t="n"/>
      <c r="T3651" s="522" t="n"/>
      <c r="U3651" s="522" t="n"/>
      <c r="V3651" s="522" t="n"/>
      <c r="W3651" s="521" t="n"/>
    </row>
    <row r="3652">
      <c r="A3652" s="521" t="n">
        <v>3644</v>
      </c>
      <c r="B3652" s="522" t="n"/>
      <c r="C3652" s="522" t="inlineStr">
        <is>
          <t>អ៊ិចស្ពែឌីធ័រ ខេមបូឌា អិលធីឌី</t>
        </is>
      </c>
      <c r="D3652" s="522" t="inlineStr">
        <is>
          <t>L001-100045898</t>
        </is>
      </c>
      <c r="E3652" s="521" t="inlineStr">
        <is>
          <t>TI-0187684</t>
        </is>
      </c>
      <c r="F3652" s="523" t="n">
        <v>44162</v>
      </c>
      <c r="G3652" s="556" t="n">
        <v>377601</v>
      </c>
      <c r="I3652" s="521">
        <f>G3652</f>
        <v/>
      </c>
      <c r="K3652" s="521">
        <f>I3652-G3652</f>
        <v/>
      </c>
      <c r="M3652" s="522" t="inlineStr">
        <is>
          <t>TI0187684</t>
        </is>
      </c>
      <c r="N3652" s="522" t="inlineStr"/>
      <c r="O3652" s="521">
        <f>M3652=N3652</f>
        <v/>
      </c>
      <c r="P3652" s="521">
        <f>AND(MONTH(F3652)=MONTH(S3652), YEAR(F3652)=YEAR(S3652))</f>
        <v/>
      </c>
      <c r="Q3652" s="521">
        <f>U3652="L001-901905215"</f>
        <v/>
      </c>
      <c r="R3652" s="556">
        <f>G3652-W3652</f>
        <v/>
      </c>
      <c r="S3652" s="521" t="n"/>
      <c r="T3652" s="522" t="n"/>
      <c r="U3652" s="522" t="n"/>
      <c r="V3652" s="522" t="n"/>
      <c r="W3652" s="521" t="n"/>
    </row>
    <row r="3653">
      <c r="A3653" s="521" t="n">
        <v>3645</v>
      </c>
      <c r="B3653" s="522" t="n"/>
      <c r="C3653" s="522" t="inlineStr">
        <is>
          <t>អ៊ិចស្ពែឌីធ័រ ខេមបូឌា អិលធីឌី</t>
        </is>
      </c>
      <c r="D3653" s="522" t="inlineStr">
        <is>
          <t>L001-100045898</t>
        </is>
      </c>
      <c r="E3653" s="521" t="inlineStr">
        <is>
          <t>TI-0187685</t>
        </is>
      </c>
      <c r="F3653" s="523" t="n">
        <v>44162</v>
      </c>
      <c r="G3653" s="556" t="n">
        <v>124990</v>
      </c>
      <c r="I3653" s="521">
        <f>G3653</f>
        <v/>
      </c>
      <c r="K3653" s="521">
        <f>I3653-G3653</f>
        <v/>
      </c>
      <c r="M3653" s="522" t="inlineStr">
        <is>
          <t>TI0187685</t>
        </is>
      </c>
      <c r="N3653" s="522" t="inlineStr"/>
      <c r="O3653" s="521">
        <f>M3653=N3653</f>
        <v/>
      </c>
      <c r="P3653" s="521">
        <f>AND(MONTH(F3653)=MONTH(S3653), YEAR(F3653)=YEAR(S3653))</f>
        <v/>
      </c>
      <c r="Q3653" s="521">
        <f>U3653="L001-901905215"</f>
        <v/>
      </c>
      <c r="R3653" s="556">
        <f>G3653-W3653</f>
        <v/>
      </c>
      <c r="S3653" s="521" t="n"/>
      <c r="T3653" s="522" t="n"/>
      <c r="U3653" s="522" t="n"/>
      <c r="V3653" s="522" t="n"/>
      <c r="W3653" s="521" t="n"/>
    </row>
    <row r="3654">
      <c r="A3654" s="521" t="n">
        <v>3646</v>
      </c>
      <c r="B3654" s="522" t="n"/>
      <c r="C3654" s="522" t="inlineStr">
        <is>
          <t>កំពង់ផែស្វយ័តភ្នំពេញ "ក.ស.ភ"</t>
        </is>
      </c>
      <c r="D3654" s="522" t="inlineStr">
        <is>
          <t>L001-100044999</t>
        </is>
      </c>
      <c r="E3654" s="521" t="inlineStr">
        <is>
          <t>INV20201155961</t>
        </is>
      </c>
      <c r="F3654" s="523" t="n">
        <v>44165</v>
      </c>
      <c r="G3654" s="556" t="n">
        <v>28962</v>
      </c>
      <c r="I3654" s="521">
        <f>G3654</f>
        <v/>
      </c>
      <c r="K3654" s="521">
        <f>I3654-G3654</f>
        <v/>
      </c>
      <c r="M3654" s="522" t="inlineStr">
        <is>
          <t>INV20201155961</t>
        </is>
      </c>
      <c r="N3654" s="522" t="inlineStr"/>
      <c r="O3654" s="521">
        <f>M3654=N3654</f>
        <v/>
      </c>
      <c r="P3654" s="521">
        <f>AND(MONTH(F3654)=MONTH(S3654), YEAR(F3654)=YEAR(S3654))</f>
        <v/>
      </c>
      <c r="Q3654" s="521">
        <f>U3654="L001-901905215"</f>
        <v/>
      </c>
      <c r="R3654" s="556">
        <f>G3654-W3654</f>
        <v/>
      </c>
      <c r="S3654" s="521" t="n"/>
      <c r="T3654" s="522" t="n"/>
      <c r="U3654" s="522" t="n"/>
      <c r="V3654" s="522" t="n"/>
      <c r="W3654" s="521" t="n"/>
    </row>
    <row r="3655">
      <c r="A3655" s="521" t="n">
        <v>3647</v>
      </c>
      <c r="B3655" s="522" t="n"/>
      <c r="C3655" s="522" t="inlineStr">
        <is>
          <t>កំពង់ផែស្វយ័តភ្នំពេញ "ក.ស.ភ"</t>
        </is>
      </c>
      <c r="D3655" s="522" t="inlineStr">
        <is>
          <t>L001-100044999</t>
        </is>
      </c>
      <c r="E3655" s="521" t="inlineStr">
        <is>
          <t>INV20201155587</t>
        </is>
      </c>
      <c r="F3655" s="523" t="n">
        <v>44161</v>
      </c>
      <c r="G3655" s="556" t="n">
        <v>28940</v>
      </c>
      <c r="I3655" s="521">
        <f>G3655</f>
        <v/>
      </c>
      <c r="K3655" s="521">
        <f>I3655-G3655</f>
        <v/>
      </c>
      <c r="M3655" s="522" t="inlineStr">
        <is>
          <t>INV20201155587</t>
        </is>
      </c>
      <c r="N3655" s="522" t="inlineStr"/>
      <c r="O3655" s="521">
        <f>M3655=N3655</f>
        <v/>
      </c>
      <c r="P3655" s="521">
        <f>AND(MONTH(F3655)=MONTH(S3655), YEAR(F3655)=YEAR(S3655))</f>
        <v/>
      </c>
      <c r="Q3655" s="521">
        <f>U3655="L001-901905215"</f>
        <v/>
      </c>
      <c r="R3655" s="556">
        <f>G3655-W3655</f>
        <v/>
      </c>
      <c r="S3655" s="521" t="n"/>
      <c r="T3655" s="522" t="n"/>
      <c r="U3655" s="522" t="n"/>
      <c r="V3655" s="522" t="n"/>
      <c r="W3655" s="521" t="n"/>
    </row>
    <row r="3656">
      <c r="A3656" s="521" t="n">
        <v>3648</v>
      </c>
      <c r="B3656" s="522" t="n"/>
      <c r="C3656" s="522" t="inlineStr">
        <is>
          <t>កំពង់ផែស្វយ័តភ្នំពេញ "ក.ស.ភ"</t>
        </is>
      </c>
      <c r="D3656" s="522" t="inlineStr">
        <is>
          <t>L001-100044999</t>
        </is>
      </c>
      <c r="E3656" s="521" t="inlineStr">
        <is>
          <t>INV20201155213</t>
        </is>
      </c>
      <c r="F3656" s="523" t="n">
        <v>44161</v>
      </c>
      <c r="G3656" s="556" t="n">
        <v>19306</v>
      </c>
      <c r="I3656" s="521">
        <f>G3656</f>
        <v/>
      </c>
      <c r="K3656" s="521">
        <f>I3656-G3656</f>
        <v/>
      </c>
      <c r="M3656" s="522" t="inlineStr">
        <is>
          <t>INV20201155213</t>
        </is>
      </c>
      <c r="N3656" s="522" t="inlineStr"/>
      <c r="O3656" s="521">
        <f>M3656=N3656</f>
        <v/>
      </c>
      <c r="P3656" s="521">
        <f>AND(MONTH(F3656)=MONTH(S3656), YEAR(F3656)=YEAR(S3656))</f>
        <v/>
      </c>
      <c r="Q3656" s="521">
        <f>U3656="L001-901905215"</f>
        <v/>
      </c>
      <c r="R3656" s="556">
        <f>G3656-W3656</f>
        <v/>
      </c>
      <c r="S3656" s="521" t="n"/>
      <c r="T3656" s="522" t="n"/>
      <c r="U3656" s="522" t="n"/>
      <c r="V3656" s="522" t="n"/>
      <c r="W3656" s="521" t="n"/>
    </row>
    <row r="3657">
      <c r="A3657" s="521" t="n">
        <v>3649</v>
      </c>
      <c r="B3657" s="522" t="n"/>
      <c r="C3657" s="522" t="inlineStr">
        <is>
          <t>កំពង់ផែស្វយ័តភ្នំពេញ "ក.ស.ភ"</t>
        </is>
      </c>
      <c r="D3657" s="522" t="inlineStr">
        <is>
          <t>L001-100044999</t>
        </is>
      </c>
      <c r="E3657" s="521" t="inlineStr">
        <is>
          <t>INV20201155212</t>
        </is>
      </c>
      <c r="F3657" s="523" t="n">
        <v>44161</v>
      </c>
      <c r="G3657" s="556" t="n">
        <v>19306</v>
      </c>
      <c r="I3657" s="521">
        <f>G3657</f>
        <v/>
      </c>
      <c r="K3657" s="521">
        <f>I3657-G3657</f>
        <v/>
      </c>
      <c r="M3657" s="522" t="inlineStr">
        <is>
          <t>INV20201155212</t>
        </is>
      </c>
      <c r="N3657" s="522" t="inlineStr"/>
      <c r="O3657" s="521">
        <f>M3657=N3657</f>
        <v/>
      </c>
      <c r="P3657" s="521">
        <f>AND(MONTH(F3657)=MONTH(S3657), YEAR(F3657)=YEAR(S3657))</f>
        <v/>
      </c>
      <c r="Q3657" s="521">
        <f>U3657="L001-901905215"</f>
        <v/>
      </c>
      <c r="R3657" s="556">
        <f>G3657-W3657</f>
        <v/>
      </c>
      <c r="S3657" s="521" t="n"/>
      <c r="T3657" s="522" t="n"/>
      <c r="U3657" s="522" t="n"/>
      <c r="V3657" s="522" t="n"/>
      <c r="W3657" s="521" t="n"/>
    </row>
    <row r="3658">
      <c r="A3658" s="521" t="n">
        <v>3650</v>
      </c>
      <c r="B3658" s="522" t="n"/>
      <c r="C3658" s="522" t="inlineStr">
        <is>
          <t>កំពង់ផែស្វយ័តភ្នំពេញ "ក.ស.ភ"</t>
        </is>
      </c>
      <c r="D3658" s="522" t="inlineStr">
        <is>
          <t>L001-100044999</t>
        </is>
      </c>
      <c r="E3658" s="521" t="inlineStr">
        <is>
          <t>INV20201155209</t>
        </is>
      </c>
      <c r="F3658" s="523" t="n">
        <v>44161</v>
      </c>
      <c r="G3658" s="556" t="n">
        <v>19306</v>
      </c>
      <c r="I3658" s="521">
        <f>G3658</f>
        <v/>
      </c>
      <c r="K3658" s="521">
        <f>I3658-G3658</f>
        <v/>
      </c>
      <c r="M3658" s="522" t="inlineStr">
        <is>
          <t>INV20201155209</t>
        </is>
      </c>
      <c r="N3658" s="522" t="inlineStr"/>
      <c r="O3658" s="521">
        <f>M3658=N3658</f>
        <v/>
      </c>
      <c r="P3658" s="521">
        <f>AND(MONTH(F3658)=MONTH(S3658), YEAR(F3658)=YEAR(S3658))</f>
        <v/>
      </c>
      <c r="Q3658" s="521">
        <f>U3658="L001-901905215"</f>
        <v/>
      </c>
      <c r="R3658" s="556">
        <f>G3658-W3658</f>
        <v/>
      </c>
      <c r="S3658" s="521" t="n"/>
      <c r="T3658" s="522" t="n"/>
      <c r="U3658" s="522" t="n"/>
      <c r="V3658" s="522" t="n"/>
      <c r="W3658" s="521" t="n"/>
    </row>
    <row r="3659">
      <c r="A3659" s="521" t="n">
        <v>3651</v>
      </c>
      <c r="B3659" s="522" t="n"/>
      <c r="C3659" s="522" t="inlineStr">
        <is>
          <t>កំពង់ផែស្វយ័តក្រុងព្រះសីហនុ</t>
        </is>
      </c>
      <c r="D3659" s="522" t="inlineStr">
        <is>
          <t>L001-100044638</t>
        </is>
      </c>
      <c r="E3659" s="521" t="inlineStr">
        <is>
          <t>176819</t>
        </is>
      </c>
      <c r="F3659" s="523" t="n">
        <v>44161</v>
      </c>
      <c r="G3659" s="556" t="n">
        <v>70385</v>
      </c>
      <c r="I3659" s="521">
        <f>G3659</f>
        <v/>
      </c>
      <c r="K3659" s="521">
        <f>I3659-G3659</f>
        <v/>
      </c>
      <c r="M3659" s="522" t="inlineStr">
        <is>
          <t>176819</t>
        </is>
      </c>
      <c r="N3659" s="522" t="inlineStr"/>
      <c r="O3659" s="521">
        <f>M3659=N3659</f>
        <v/>
      </c>
      <c r="P3659" s="521">
        <f>AND(MONTH(F3659)=MONTH(S3659), YEAR(F3659)=YEAR(S3659))</f>
        <v/>
      </c>
      <c r="Q3659" s="521">
        <f>U3659="L001-901905215"</f>
        <v/>
      </c>
      <c r="R3659" s="556">
        <f>G3659-W3659</f>
        <v/>
      </c>
      <c r="S3659" s="521" t="n"/>
      <c r="T3659" s="522" t="n"/>
      <c r="U3659" s="522" t="n"/>
      <c r="V3659" s="522" t="n"/>
      <c r="W3659" s="521" t="n"/>
    </row>
    <row r="3660">
      <c r="A3660" s="521" t="n">
        <v>3652</v>
      </c>
      <c r="B3660" s="522" t="n"/>
      <c r="C3660" s="522" t="inlineStr">
        <is>
          <t>កំពង់ផែស្វយ័តភ្នំពេញ "ក.ស.ភ"</t>
        </is>
      </c>
      <c r="D3660" s="522" t="inlineStr">
        <is>
          <t>L001-100044999</t>
        </is>
      </c>
      <c r="E3660" s="521" t="inlineStr">
        <is>
          <t>INV20201155211</t>
        </is>
      </c>
      <c r="F3660" s="523" t="n">
        <v>44161</v>
      </c>
      <c r="G3660" s="556" t="n">
        <v>48246</v>
      </c>
      <c r="I3660" s="521">
        <f>G3660</f>
        <v/>
      </c>
      <c r="K3660" s="521">
        <f>I3660-G3660</f>
        <v/>
      </c>
      <c r="M3660" s="522" t="inlineStr">
        <is>
          <t>INV20201155211</t>
        </is>
      </c>
      <c r="N3660" s="522" t="inlineStr"/>
      <c r="O3660" s="521">
        <f>M3660=N3660</f>
        <v/>
      </c>
      <c r="P3660" s="521">
        <f>AND(MONTH(F3660)=MONTH(S3660), YEAR(F3660)=YEAR(S3660))</f>
        <v/>
      </c>
      <c r="Q3660" s="521">
        <f>U3660="L001-901905215"</f>
        <v/>
      </c>
      <c r="R3660" s="556">
        <f>G3660-W3660</f>
        <v/>
      </c>
      <c r="S3660" s="521" t="n"/>
      <c r="T3660" s="522" t="n"/>
      <c r="U3660" s="522" t="n"/>
      <c r="V3660" s="522" t="n"/>
      <c r="W3660" s="521" t="n"/>
    </row>
    <row r="3661">
      <c r="A3661" s="521" t="n">
        <v>3653</v>
      </c>
      <c r="B3661" s="522" t="n"/>
      <c r="C3661" s="522" t="inlineStr">
        <is>
          <t>កំពង់ផែស្វយ័តភ្នំពេញ "ក.ស.ភ"</t>
        </is>
      </c>
      <c r="D3661" s="522" t="inlineStr">
        <is>
          <t>L001-100044999</t>
        </is>
      </c>
      <c r="E3661" s="521" t="inlineStr">
        <is>
          <t>INV20201155210</t>
        </is>
      </c>
      <c r="F3661" s="523" t="n">
        <v>44161</v>
      </c>
      <c r="G3661" s="556" t="n">
        <v>57880</v>
      </c>
      <c r="I3661" s="521">
        <f>G3661</f>
        <v/>
      </c>
      <c r="K3661" s="521">
        <f>I3661-G3661</f>
        <v/>
      </c>
      <c r="M3661" s="522" t="inlineStr">
        <is>
          <t>INV20201155210</t>
        </is>
      </c>
      <c r="N3661" s="522" t="inlineStr"/>
      <c r="O3661" s="521">
        <f>M3661=N3661</f>
        <v/>
      </c>
      <c r="P3661" s="521">
        <f>AND(MONTH(F3661)=MONTH(S3661), YEAR(F3661)=YEAR(S3661))</f>
        <v/>
      </c>
      <c r="Q3661" s="521">
        <f>U3661="L001-901905215"</f>
        <v/>
      </c>
      <c r="R3661" s="556">
        <f>G3661-W3661</f>
        <v/>
      </c>
      <c r="S3661" s="521" t="n"/>
      <c r="T3661" s="522" t="n"/>
      <c r="U3661" s="522" t="n"/>
      <c r="V3661" s="522" t="n"/>
      <c r="W3661" s="521" t="n"/>
    </row>
    <row r="3662">
      <c r="A3662" s="521" t="n">
        <v>3654</v>
      </c>
      <c r="B3662" s="522" t="n"/>
      <c r="C3662" s="522" t="inlineStr">
        <is>
          <t>កំពង់ផែស្វយ័តភ្នំពេញ "ក.ស.ភ"</t>
        </is>
      </c>
      <c r="D3662" s="522" t="inlineStr">
        <is>
          <t>L001-100044999</t>
        </is>
      </c>
      <c r="E3662" s="521" t="inlineStr">
        <is>
          <t>INV20201155588</t>
        </is>
      </c>
      <c r="F3662" s="523" t="n">
        <v>44161</v>
      </c>
      <c r="G3662" s="556" t="n">
        <v>28940</v>
      </c>
      <c r="I3662" s="521">
        <f>G3662</f>
        <v/>
      </c>
      <c r="K3662" s="521">
        <f>I3662-G3662</f>
        <v/>
      </c>
      <c r="M3662" s="522" t="inlineStr">
        <is>
          <t>INV20201155588</t>
        </is>
      </c>
      <c r="N3662" s="522" t="inlineStr"/>
      <c r="O3662" s="521">
        <f>M3662=N3662</f>
        <v/>
      </c>
      <c r="P3662" s="521">
        <f>AND(MONTH(F3662)=MONTH(S3662), YEAR(F3662)=YEAR(S3662))</f>
        <v/>
      </c>
      <c r="Q3662" s="521">
        <f>U3662="L001-901905215"</f>
        <v/>
      </c>
      <c r="R3662" s="556">
        <f>G3662-W3662</f>
        <v/>
      </c>
      <c r="S3662" s="521" t="n"/>
      <c r="T3662" s="522" t="n"/>
      <c r="U3662" s="522" t="n"/>
      <c r="V3662" s="522" t="n"/>
      <c r="W3662" s="521" t="n"/>
    </row>
    <row r="3663">
      <c r="A3663" s="521" t="n">
        <v>3655</v>
      </c>
      <c r="B3663" s="522" t="n"/>
      <c r="C3663" s="522" t="inlineStr">
        <is>
          <t>សូស៊ីយេតេ កុងសេស្យូនែរ ដឺ ឡាអេរ៉ូព័រ</t>
        </is>
      </c>
      <c r="D3663" s="522" t="inlineStr">
        <is>
          <t>L001-100047300</t>
        </is>
      </c>
      <c r="E3663" s="521" t="inlineStr">
        <is>
          <t>2000-058503</t>
        </is>
      </c>
      <c r="F3663" s="523" t="n">
        <v>44161</v>
      </c>
      <c r="G3663" s="556" t="n">
        <v>61355</v>
      </c>
      <c r="I3663" s="521">
        <f>G3663</f>
        <v/>
      </c>
      <c r="K3663" s="521">
        <f>I3663-G3663</f>
        <v/>
      </c>
      <c r="M3663" s="522" t="inlineStr">
        <is>
          <t>2000058503</t>
        </is>
      </c>
      <c r="N3663" s="522" t="inlineStr"/>
      <c r="O3663" s="521">
        <f>M3663=N3663</f>
        <v/>
      </c>
      <c r="P3663" s="521">
        <f>AND(MONTH(F3663)=MONTH(S3663), YEAR(F3663)=YEAR(S3663))</f>
        <v/>
      </c>
      <c r="Q3663" s="521">
        <f>U3663="L001-901905215"</f>
        <v/>
      </c>
      <c r="R3663" s="556">
        <f>G3663-W3663</f>
        <v/>
      </c>
      <c r="S3663" s="521" t="n"/>
      <c r="T3663" s="522" t="n"/>
      <c r="U3663" s="522" t="n"/>
      <c r="V3663" s="522" t="n"/>
      <c r="W3663" s="521" t="n"/>
    </row>
    <row r="3664">
      <c r="A3664" s="521" t="n">
        <v>3656</v>
      </c>
      <c r="B3664" s="522" t="n"/>
      <c r="C3664" s="522" t="inlineStr">
        <is>
          <t>អ៊ិចស្ពែឌីធ័រ ខេមបូឌា អិលធីឌី</t>
        </is>
      </c>
      <c r="D3664" s="522" t="inlineStr">
        <is>
          <t>L001-100045898</t>
        </is>
      </c>
      <c r="E3664" s="521" t="inlineStr">
        <is>
          <t>TI-0187656</t>
        </is>
      </c>
      <c r="F3664" s="523" t="n">
        <v>44161</v>
      </c>
      <c r="G3664" s="556" t="n">
        <v>192825</v>
      </c>
      <c r="I3664" s="521">
        <f>G3664</f>
        <v/>
      </c>
      <c r="K3664" s="521">
        <f>I3664-G3664</f>
        <v/>
      </c>
      <c r="M3664" s="522" t="inlineStr">
        <is>
          <t>TI0187656</t>
        </is>
      </c>
      <c r="N3664" s="522" t="inlineStr"/>
      <c r="O3664" s="521">
        <f>M3664=N3664</f>
        <v/>
      </c>
      <c r="P3664" s="521">
        <f>AND(MONTH(F3664)=MONTH(S3664), YEAR(F3664)=YEAR(S3664))</f>
        <v/>
      </c>
      <c r="Q3664" s="521">
        <f>U3664="L001-901905215"</f>
        <v/>
      </c>
      <c r="R3664" s="556">
        <f>G3664-W3664</f>
        <v/>
      </c>
      <c r="S3664" s="521" t="n"/>
      <c r="T3664" s="522" t="n"/>
      <c r="U3664" s="522" t="n"/>
      <c r="V3664" s="522" t="n"/>
      <c r="W3664" s="521" t="n"/>
    </row>
    <row r="3665">
      <c r="A3665" s="521" t="n">
        <v>3657</v>
      </c>
      <c r="B3665" s="522" t="n"/>
      <c r="C3665" s="522" t="inlineStr">
        <is>
          <t>អ៊ិចស្ពែឌីធ័រ ខេមបូឌា អិលធីឌី</t>
        </is>
      </c>
      <c r="D3665" s="522" t="inlineStr">
        <is>
          <t>L001-100045898</t>
        </is>
      </c>
      <c r="E3665" s="521" t="inlineStr">
        <is>
          <t>TI-0187647</t>
        </is>
      </c>
      <c r="F3665" s="523" t="n">
        <v>44161</v>
      </c>
      <c r="G3665" s="556" t="n">
        <v>305162</v>
      </c>
      <c r="I3665" s="521">
        <f>G3665</f>
        <v/>
      </c>
      <c r="K3665" s="521">
        <f>I3665-G3665</f>
        <v/>
      </c>
      <c r="M3665" s="522" t="inlineStr">
        <is>
          <t>TI0187647</t>
        </is>
      </c>
      <c r="N3665" s="522" t="inlineStr"/>
      <c r="O3665" s="521">
        <f>M3665=N3665</f>
        <v/>
      </c>
      <c r="P3665" s="521">
        <f>AND(MONTH(F3665)=MONTH(S3665), YEAR(F3665)=YEAR(S3665))</f>
        <v/>
      </c>
      <c r="Q3665" s="521">
        <f>U3665="L001-901905215"</f>
        <v/>
      </c>
      <c r="R3665" s="556">
        <f>G3665-W3665</f>
        <v/>
      </c>
      <c r="S3665" s="521" t="n"/>
      <c r="T3665" s="522" t="n"/>
      <c r="U3665" s="522" t="n"/>
      <c r="V3665" s="522" t="n"/>
      <c r="W3665" s="521" t="n"/>
    </row>
    <row r="3666">
      <c r="A3666" s="521" t="n">
        <v>3658</v>
      </c>
      <c r="B3666" s="522" t="n"/>
      <c r="C3666" s="522" t="inlineStr">
        <is>
          <t>អ៊ិចស្ពែឌីធ័រ ខេមបូឌា អិលធីឌី</t>
        </is>
      </c>
      <c r="D3666" s="522" t="inlineStr">
        <is>
          <t>L001-100045898</t>
        </is>
      </c>
      <c r="E3666" s="521" t="inlineStr">
        <is>
          <t>TI-0187440</t>
        </is>
      </c>
      <c r="F3666" s="523" t="n">
        <v>44159</v>
      </c>
      <c r="G3666" s="556" t="n">
        <v>52632</v>
      </c>
      <c r="I3666" s="521">
        <f>G3666</f>
        <v/>
      </c>
      <c r="K3666" s="521">
        <f>I3666-G3666</f>
        <v/>
      </c>
      <c r="M3666" s="522" t="inlineStr">
        <is>
          <t>TI0187440</t>
        </is>
      </c>
      <c r="N3666" s="522" t="inlineStr"/>
      <c r="O3666" s="521">
        <f>M3666=N3666</f>
        <v/>
      </c>
      <c r="P3666" s="521">
        <f>AND(MONTH(F3666)=MONTH(S3666), YEAR(F3666)=YEAR(S3666))</f>
        <v/>
      </c>
      <c r="Q3666" s="521">
        <f>U3666="L001-901905215"</f>
        <v/>
      </c>
      <c r="R3666" s="556">
        <f>G3666-W3666</f>
        <v/>
      </c>
      <c r="S3666" s="521" t="n"/>
      <c r="T3666" s="522" t="n"/>
      <c r="U3666" s="522" t="n"/>
      <c r="V3666" s="522" t="n"/>
      <c r="W3666" s="521" t="n"/>
    </row>
    <row r="3667">
      <c r="A3667" s="521" t="n">
        <v>3659</v>
      </c>
      <c r="B3667" s="522" t="n"/>
      <c r="C3667" s="522" t="inlineStr">
        <is>
          <t>អ៊ីជីអេហ្វ ឡូជីស្ទីក ខូ អិលធីឌី</t>
        </is>
      </c>
      <c r="D3667" s="522" t="inlineStr">
        <is>
          <t>L001-901501877</t>
        </is>
      </c>
      <c r="E3667" s="521" t="inlineStr">
        <is>
          <t>2007873</t>
        </is>
      </c>
      <c r="F3667" s="523" t="n">
        <v>44159</v>
      </c>
      <c r="G3667" s="556" t="n">
        <v>93150</v>
      </c>
      <c r="I3667" s="521">
        <f>G3667</f>
        <v/>
      </c>
      <c r="K3667" s="521">
        <f>I3667-G3667</f>
        <v/>
      </c>
      <c r="M3667" s="522" t="inlineStr">
        <is>
          <t>2007873</t>
        </is>
      </c>
      <c r="N3667" s="522" t="inlineStr">
        <is>
          <t>2007873</t>
        </is>
      </c>
      <c r="O3667" s="521">
        <f>M3667=N3667</f>
        <v/>
      </c>
      <c r="P3667" s="521">
        <f>AND(MONTH(F3667)=MONTH(S3667), YEAR(F3667)=YEAR(S3667))</f>
        <v/>
      </c>
      <c r="Q3667" s="521">
        <f>U3667="L001-901905215"</f>
        <v/>
      </c>
      <c r="R3667" s="556">
        <f>G3667-W3667</f>
        <v/>
      </c>
      <c r="S3667" s="523" t="n">
        <v>44159</v>
      </c>
      <c r="T3667" s="522" t="inlineStr">
        <is>
          <t>20-07873</t>
        </is>
      </c>
      <c r="U3667" s="522" t="inlineStr">
        <is>
          <t>L001-901905215</t>
        </is>
      </c>
      <c r="V3667" s="522" t="inlineStr">
        <is>
          <t>វីអ៊ីស៊ិន (ខេមបូឌា) អ៊ិនដាសស្ទ្រី ឯ.ក</t>
        </is>
      </c>
      <c r="W3667" s="556" t="n">
        <v>93150</v>
      </c>
    </row>
    <row r="3668">
      <c r="A3668" s="521" t="n">
        <v>3660</v>
      </c>
      <c r="B3668" s="522" t="n"/>
      <c r="C3668" s="522" t="inlineStr">
        <is>
          <t>អ៊ីជីអេហ្វ ឡូជីស្ទីក ខូ អិលធីឌី</t>
        </is>
      </c>
      <c r="D3668" s="522" t="inlineStr">
        <is>
          <t>L001-901501877</t>
        </is>
      </c>
      <c r="E3668" s="521" t="inlineStr">
        <is>
          <t>2007874</t>
        </is>
      </c>
      <c r="F3668" s="523" t="n">
        <v>44159</v>
      </c>
      <c r="G3668" s="556" t="n">
        <v>93150</v>
      </c>
      <c r="I3668" s="521">
        <f>G3668</f>
        <v/>
      </c>
      <c r="K3668" s="521">
        <f>I3668-G3668</f>
        <v/>
      </c>
      <c r="M3668" s="522" t="inlineStr">
        <is>
          <t>2007874</t>
        </is>
      </c>
      <c r="N3668" s="522" t="inlineStr">
        <is>
          <t>2007874</t>
        </is>
      </c>
      <c r="O3668" s="521">
        <f>M3668=N3668</f>
        <v/>
      </c>
      <c r="P3668" s="521">
        <f>AND(MONTH(F3668)=MONTH(S3668), YEAR(F3668)=YEAR(S3668))</f>
        <v/>
      </c>
      <c r="Q3668" s="521">
        <f>U3668="L001-901905215"</f>
        <v/>
      </c>
      <c r="R3668" s="556">
        <f>G3668-W3668</f>
        <v/>
      </c>
      <c r="S3668" s="523" t="n">
        <v>44159</v>
      </c>
      <c r="T3668" s="522" t="inlineStr">
        <is>
          <t>20-07874</t>
        </is>
      </c>
      <c r="U3668" s="522" t="inlineStr">
        <is>
          <t>L001-901905215</t>
        </is>
      </c>
      <c r="V3668" s="522" t="inlineStr">
        <is>
          <t>វីអ៊ីស៊ិន (ខេមបូឌា) អ៊ិនដាសស្ទ្រី ឯ.ក</t>
        </is>
      </c>
      <c r="W3668" s="556" t="n">
        <v>93150</v>
      </c>
    </row>
    <row r="3669">
      <c r="A3669" s="521" t="n">
        <v>3661</v>
      </c>
      <c r="B3669" s="522" t="n"/>
      <c r="C3669" s="522" t="inlineStr">
        <is>
          <t>ប្យួរ៉ូ វេរីតាស (ខេមបូឌា) លីមីធីត</t>
        </is>
      </c>
      <c r="D3669" s="522" t="inlineStr">
        <is>
          <t>L001-107024462</t>
        </is>
      </c>
      <c r="E3669" s="521" t="inlineStr">
        <is>
          <t>59009105</t>
        </is>
      </c>
      <c r="F3669" s="523" t="n">
        <v>44159</v>
      </c>
      <c r="G3669" s="556" t="n">
        <v>94549</v>
      </c>
      <c r="I3669" s="521">
        <f>G3669</f>
        <v/>
      </c>
      <c r="K3669" s="521">
        <f>I3669-G3669</f>
        <v/>
      </c>
      <c r="M3669" s="522" t="inlineStr">
        <is>
          <t>59009105</t>
        </is>
      </c>
      <c r="N3669" s="522" t="inlineStr"/>
      <c r="O3669" s="521">
        <f>M3669=N3669</f>
        <v/>
      </c>
      <c r="P3669" s="521">
        <f>AND(MONTH(F3669)=MONTH(S3669), YEAR(F3669)=YEAR(S3669))</f>
        <v/>
      </c>
      <c r="Q3669" s="521">
        <f>U3669="L001-901905215"</f>
        <v/>
      </c>
      <c r="R3669" s="556">
        <f>G3669-W3669</f>
        <v/>
      </c>
      <c r="S3669" s="521" t="n"/>
      <c r="T3669" s="522" t="n"/>
      <c r="U3669" s="522" t="n"/>
      <c r="V3669" s="522" t="n"/>
      <c r="W3669" s="521" t="n"/>
    </row>
    <row r="3670">
      <c r="A3670" s="521" t="n">
        <v>3662</v>
      </c>
      <c r="B3670" s="522" t="n"/>
      <c r="C3670" s="522" t="inlineStr">
        <is>
          <t>ប្យួរ៉ូ វេរីតាស (ខេមបូឌា) លីមីធីត</t>
        </is>
      </c>
      <c r="D3670" s="522" t="inlineStr">
        <is>
          <t>L001-107024462</t>
        </is>
      </c>
      <c r="E3670" s="521" t="inlineStr">
        <is>
          <t>59009101</t>
        </is>
      </c>
      <c r="F3670" s="523" t="n">
        <v>44159</v>
      </c>
      <c r="G3670" s="556" t="n">
        <v>94549</v>
      </c>
      <c r="I3670" s="521">
        <f>G3670</f>
        <v/>
      </c>
      <c r="K3670" s="521">
        <f>I3670-G3670</f>
        <v/>
      </c>
      <c r="M3670" s="522" t="inlineStr">
        <is>
          <t>59009101</t>
        </is>
      </c>
      <c r="N3670" s="522" t="inlineStr"/>
      <c r="O3670" s="521">
        <f>M3670=N3670</f>
        <v/>
      </c>
      <c r="P3670" s="521">
        <f>AND(MONTH(F3670)=MONTH(S3670), YEAR(F3670)=YEAR(S3670))</f>
        <v/>
      </c>
      <c r="Q3670" s="521">
        <f>U3670="L001-901905215"</f>
        <v/>
      </c>
      <c r="R3670" s="556">
        <f>G3670-W3670</f>
        <v/>
      </c>
      <c r="S3670" s="521" t="n"/>
      <c r="T3670" s="522" t="n"/>
      <c r="U3670" s="522" t="n"/>
      <c r="V3670" s="522" t="n"/>
      <c r="W3670" s="521" t="n"/>
    </row>
    <row r="3671">
      <c r="A3671" s="521" t="n">
        <v>3663</v>
      </c>
      <c r="B3671" s="522" t="n"/>
      <c r="C3671" s="522" t="inlineStr">
        <is>
          <t>ប្យួរ៉ូ វេរីតាស (ខេមបូឌា) លីមីធីត</t>
        </is>
      </c>
      <c r="D3671" s="522" t="inlineStr">
        <is>
          <t>L001-107024462</t>
        </is>
      </c>
      <c r="E3671" s="521" t="inlineStr">
        <is>
          <t>59009098</t>
        </is>
      </c>
      <c r="F3671" s="523" t="n">
        <v>44159</v>
      </c>
      <c r="G3671" s="556" t="n">
        <v>60750</v>
      </c>
      <c r="I3671" s="521">
        <f>G3671</f>
        <v/>
      </c>
      <c r="K3671" s="521">
        <f>I3671-G3671</f>
        <v/>
      </c>
      <c r="M3671" s="522" t="inlineStr">
        <is>
          <t>59009098</t>
        </is>
      </c>
      <c r="N3671" s="522" t="inlineStr"/>
      <c r="O3671" s="521">
        <f>M3671=N3671</f>
        <v/>
      </c>
      <c r="P3671" s="521">
        <f>AND(MONTH(F3671)=MONTH(S3671), YEAR(F3671)=YEAR(S3671))</f>
        <v/>
      </c>
      <c r="Q3671" s="521">
        <f>U3671="L001-901905215"</f>
        <v/>
      </c>
      <c r="R3671" s="556">
        <f>G3671-W3671</f>
        <v/>
      </c>
      <c r="S3671" s="521" t="n"/>
      <c r="T3671" s="522" t="n"/>
      <c r="U3671" s="522" t="n"/>
      <c r="V3671" s="522" t="n"/>
      <c r="W3671" s="521" t="n"/>
    </row>
    <row r="3672">
      <c r="A3672" s="521" t="n">
        <v>3664</v>
      </c>
      <c r="B3672" s="522" t="n"/>
      <c r="C3672" s="522" t="inlineStr">
        <is>
          <t>កំពង់ផែស្វយ័តក្រុងព្រះសីហនុ</t>
        </is>
      </c>
      <c r="D3672" s="522" t="inlineStr">
        <is>
          <t>L001-100044638</t>
        </is>
      </c>
      <c r="E3672" s="521" t="inlineStr">
        <is>
          <t>0175200</t>
        </is>
      </c>
      <c r="F3672" s="523" t="n">
        <v>44159</v>
      </c>
      <c r="G3672" s="556" t="n">
        <v>70470</v>
      </c>
      <c r="I3672" s="521">
        <f>G3672</f>
        <v/>
      </c>
      <c r="K3672" s="521">
        <f>I3672-G3672</f>
        <v/>
      </c>
      <c r="M3672" s="522" t="inlineStr">
        <is>
          <t>0175200</t>
        </is>
      </c>
      <c r="N3672" s="522" t="inlineStr"/>
      <c r="O3672" s="521">
        <f>M3672=N3672</f>
        <v/>
      </c>
      <c r="P3672" s="521">
        <f>AND(MONTH(F3672)=MONTH(S3672), YEAR(F3672)=YEAR(S3672))</f>
        <v/>
      </c>
      <c r="Q3672" s="521">
        <f>U3672="L001-901905215"</f>
        <v/>
      </c>
      <c r="R3672" s="556">
        <f>G3672-W3672</f>
        <v/>
      </c>
      <c r="S3672" s="521" t="n"/>
      <c r="T3672" s="522" t="n"/>
      <c r="U3672" s="522" t="n"/>
      <c r="V3672" s="522" t="n"/>
      <c r="W3672" s="521" t="n"/>
    </row>
    <row r="3673">
      <c r="A3673" s="521" t="n">
        <v>3665</v>
      </c>
      <c r="B3673" s="522" t="n"/>
      <c r="C3673" s="522" t="inlineStr">
        <is>
          <t>ស្ត្រេតស៍ អ៊ិនធើណេសិនណល ភីធីអ៊ី អិលធីឌី</t>
        </is>
      </c>
      <c r="D3673" s="522" t="inlineStr">
        <is>
          <t>L001-100045162</t>
        </is>
      </c>
      <c r="E3673" s="521" t="inlineStr">
        <is>
          <t>2022169</t>
        </is>
      </c>
      <c r="F3673" s="523" t="n">
        <v>44159</v>
      </c>
      <c r="G3673" s="556" t="n">
        <v>200475</v>
      </c>
      <c r="I3673" s="521">
        <f>G3673</f>
        <v/>
      </c>
      <c r="K3673" s="521">
        <f>I3673-G3673</f>
        <v/>
      </c>
      <c r="M3673" s="522" t="inlineStr">
        <is>
          <t>2022169</t>
        </is>
      </c>
      <c r="N3673" s="522" t="inlineStr">
        <is>
          <t>2022169</t>
        </is>
      </c>
      <c r="O3673" s="521">
        <f>M3673=N3673</f>
        <v/>
      </c>
      <c r="P3673" s="521">
        <f>AND(MONTH(F3673)=MONTH(S3673), YEAR(F3673)=YEAR(S3673))</f>
        <v/>
      </c>
      <c r="Q3673" s="521">
        <f>U3673="L001-901905215"</f>
        <v/>
      </c>
      <c r="R3673" s="556">
        <f>G3673-W3673</f>
        <v/>
      </c>
      <c r="S3673" s="523" t="n">
        <v>44159</v>
      </c>
      <c r="T3673" s="522" t="inlineStr">
        <is>
          <t>2022169</t>
        </is>
      </c>
      <c r="U3673" s="522" t="inlineStr">
        <is>
          <t>L001-901905215</t>
        </is>
      </c>
      <c r="V3673" s="522" t="inlineStr">
        <is>
          <t>វីអ៊ីស៊ិន (ខេមបូឌា) អ៊ិនដាសស្ទ្រី ឯ.ក</t>
        </is>
      </c>
      <c r="W3673" s="556" t="n">
        <v>200475</v>
      </c>
    </row>
    <row r="3674">
      <c r="A3674" s="521" t="n">
        <v>3666</v>
      </c>
      <c r="B3674" s="522" t="n"/>
      <c r="C3674" s="522" t="inlineStr">
        <is>
          <t>ស៊ីងហ្គាពួរ កាតុង (ខេមបូឌា)</t>
        </is>
      </c>
      <c r="D3674" s="522" t="inlineStr">
        <is>
          <t>L001-100121322</t>
        </is>
      </c>
      <c r="E3674" s="521" t="inlineStr">
        <is>
          <t>V0014904</t>
        </is>
      </c>
      <c r="F3674" s="523" t="n">
        <v>44159</v>
      </c>
      <c r="G3674" s="556" t="n">
        <v>9541</v>
      </c>
      <c r="I3674" s="521">
        <f>G3674</f>
        <v/>
      </c>
      <c r="K3674" s="521">
        <f>I3674-G3674</f>
        <v/>
      </c>
      <c r="M3674" s="522" t="inlineStr">
        <is>
          <t>V0014904</t>
        </is>
      </c>
      <c r="N3674" s="522" t="inlineStr">
        <is>
          <t>V0014904</t>
        </is>
      </c>
      <c r="O3674" s="521">
        <f>M3674=N3674</f>
        <v/>
      </c>
      <c r="P3674" s="521">
        <f>AND(MONTH(F3674)=MONTH(S3674), YEAR(F3674)=YEAR(S3674))</f>
        <v/>
      </c>
      <c r="Q3674" s="521">
        <f>U3674="L001-901905215"</f>
        <v/>
      </c>
      <c r="R3674" s="556">
        <f>G3674-W3674</f>
        <v/>
      </c>
      <c r="S3674" s="523" t="n">
        <v>44159</v>
      </c>
      <c r="T3674" s="522" t="inlineStr">
        <is>
          <t>V0014904</t>
        </is>
      </c>
      <c r="U3674" s="522" t="inlineStr">
        <is>
          <t>L001-901905215</t>
        </is>
      </c>
      <c r="V3674" s="522" t="inlineStr">
        <is>
          <t>វីអ៊ីស៊ិន (ខេមបូឌា) អ៊ិនដាសស្ទ្រី ឯ.ក</t>
        </is>
      </c>
      <c r="W3674" s="556" t="n">
        <v>9535</v>
      </c>
    </row>
    <row r="3675">
      <c r="A3675" s="521" t="n">
        <v>3667</v>
      </c>
      <c r="B3675" s="522" t="n"/>
      <c r="C3675" s="522" t="inlineStr">
        <is>
          <t>កំពង់ផែស្វយ័តភ្នំពេញ "ក.ស.ភ"</t>
        </is>
      </c>
      <c r="D3675" s="522" t="inlineStr">
        <is>
          <t>L001-100044999</t>
        </is>
      </c>
      <c r="E3675" s="521" t="inlineStr">
        <is>
          <t>INV20201154798</t>
        </is>
      </c>
      <c r="F3675" s="523" t="n">
        <v>44158</v>
      </c>
      <c r="G3675" s="556" t="n">
        <v>57952</v>
      </c>
      <c r="I3675" s="521">
        <f>G3675</f>
        <v/>
      </c>
      <c r="K3675" s="521">
        <f>I3675-G3675</f>
        <v/>
      </c>
      <c r="M3675" s="522" t="inlineStr">
        <is>
          <t>INV20201154798</t>
        </is>
      </c>
      <c r="N3675" s="522" t="inlineStr"/>
      <c r="O3675" s="521">
        <f>M3675=N3675</f>
        <v/>
      </c>
      <c r="P3675" s="521">
        <f>AND(MONTH(F3675)=MONTH(S3675), YEAR(F3675)=YEAR(S3675))</f>
        <v/>
      </c>
      <c r="Q3675" s="521">
        <f>U3675="L001-901905215"</f>
        <v/>
      </c>
      <c r="R3675" s="556">
        <f>G3675-W3675</f>
        <v/>
      </c>
      <c r="S3675" s="521" t="n"/>
      <c r="T3675" s="522" t="n"/>
      <c r="U3675" s="522" t="n"/>
      <c r="V3675" s="522" t="n"/>
      <c r="W3675" s="521" t="n"/>
    </row>
    <row r="3676">
      <c r="A3676" s="521" t="n">
        <v>3668</v>
      </c>
      <c r="B3676" s="522" t="n"/>
      <c r="C3676" s="522" t="inlineStr">
        <is>
          <t>ឆាយ ដា ឡូយីស្ទីក</t>
        </is>
      </c>
      <c r="D3676" s="522" t="inlineStr">
        <is>
          <t>L001-100063098</t>
        </is>
      </c>
      <c r="E3676" s="521" t="inlineStr">
        <is>
          <t>2011010396</t>
        </is>
      </c>
      <c r="F3676" s="523" t="n">
        <v>44158</v>
      </c>
      <c r="G3676" s="556" t="n">
        <v>191970</v>
      </c>
      <c r="I3676" s="521">
        <f>G3676</f>
        <v/>
      </c>
      <c r="K3676" s="521">
        <f>I3676-G3676</f>
        <v/>
      </c>
      <c r="M3676" s="522" t="inlineStr">
        <is>
          <t>2011010396</t>
        </is>
      </c>
      <c r="N3676" s="522" t="inlineStr">
        <is>
          <t>2011010396</t>
        </is>
      </c>
      <c r="O3676" s="521">
        <f>M3676=N3676</f>
        <v/>
      </c>
      <c r="P3676" s="521">
        <f>AND(MONTH(F3676)=MONTH(S3676), YEAR(F3676)=YEAR(S3676))</f>
        <v/>
      </c>
      <c r="Q3676" s="521">
        <f>U3676="L001-901905215"</f>
        <v/>
      </c>
      <c r="R3676" s="556">
        <f>G3676-W3676</f>
        <v/>
      </c>
      <c r="S3676" s="523" t="n">
        <v>44158</v>
      </c>
      <c r="T3676" s="522" t="inlineStr">
        <is>
          <t>2011010396</t>
        </is>
      </c>
      <c r="U3676" s="522" t="inlineStr">
        <is>
          <t>L001-901905215</t>
        </is>
      </c>
      <c r="V3676" s="522" t="inlineStr">
        <is>
          <t>វីអ៊ីស៊ិន (ខេមបូឌា) អ៊ិនដាសស្ទ្រី ឯ.ក</t>
        </is>
      </c>
      <c r="W3676" s="556" t="n">
        <v>191970</v>
      </c>
    </row>
    <row r="3677">
      <c r="A3677" s="521" t="n">
        <v>3669</v>
      </c>
      <c r="B3677" s="522" t="n"/>
      <c r="C3677" s="522" t="inlineStr">
        <is>
          <t>ឆាយ ដា ឡូយីស្ទីក</t>
        </is>
      </c>
      <c r="D3677" s="522" t="inlineStr">
        <is>
          <t>L001-100063098</t>
        </is>
      </c>
      <c r="E3677" s="521" t="inlineStr">
        <is>
          <t>2011010403</t>
        </is>
      </c>
      <c r="F3677" s="523" t="n">
        <v>44158</v>
      </c>
      <c r="G3677" s="556" t="n">
        <v>305370</v>
      </c>
      <c r="I3677" s="521">
        <f>G3677</f>
        <v/>
      </c>
      <c r="K3677" s="521">
        <f>I3677-G3677</f>
        <v/>
      </c>
      <c r="M3677" s="522" t="inlineStr">
        <is>
          <t>2011010403</t>
        </is>
      </c>
      <c r="N3677" s="522" t="inlineStr">
        <is>
          <t>2011010403</t>
        </is>
      </c>
      <c r="O3677" s="521">
        <f>M3677=N3677</f>
        <v/>
      </c>
      <c r="P3677" s="521">
        <f>AND(MONTH(F3677)=MONTH(S3677), YEAR(F3677)=YEAR(S3677))</f>
        <v/>
      </c>
      <c r="Q3677" s="521">
        <f>U3677="L001-901905215"</f>
        <v/>
      </c>
      <c r="R3677" s="556">
        <f>G3677-W3677</f>
        <v/>
      </c>
      <c r="S3677" s="523" t="n">
        <v>44158</v>
      </c>
      <c r="T3677" s="522" t="inlineStr">
        <is>
          <t>2011010403</t>
        </is>
      </c>
      <c r="U3677" s="522" t="inlineStr">
        <is>
          <t>L001-901905215</t>
        </is>
      </c>
      <c r="V3677" s="522" t="inlineStr">
        <is>
          <t>វីអ៊ីស៊ិន (ខេមបូឌា) អ៊ិនដាសស្ទ្រី ឯ.ក</t>
        </is>
      </c>
      <c r="W3677" s="556" t="n">
        <v>305370</v>
      </c>
    </row>
    <row r="3678">
      <c r="A3678" s="521" t="n">
        <v>3670</v>
      </c>
      <c r="B3678" s="522" t="n"/>
      <c r="C3678" s="522" t="inlineStr">
        <is>
          <t>ឆាយ ដា ឡូយីស្ទីក</t>
        </is>
      </c>
      <c r="D3678" s="522" t="inlineStr">
        <is>
          <t>L001-100063098</t>
        </is>
      </c>
      <c r="E3678" s="521" t="inlineStr">
        <is>
          <t>2011010399</t>
        </is>
      </c>
      <c r="F3678" s="523" t="n">
        <v>44158</v>
      </c>
      <c r="G3678" s="556" t="n">
        <v>305370</v>
      </c>
      <c r="I3678" s="521">
        <f>G3678</f>
        <v/>
      </c>
      <c r="K3678" s="521">
        <f>I3678-G3678</f>
        <v/>
      </c>
      <c r="M3678" s="522" t="inlineStr">
        <is>
          <t>2011010399</t>
        </is>
      </c>
      <c r="N3678" s="522" t="inlineStr">
        <is>
          <t>2011010399</t>
        </is>
      </c>
      <c r="O3678" s="521">
        <f>M3678=N3678</f>
        <v/>
      </c>
      <c r="P3678" s="521">
        <f>AND(MONTH(F3678)=MONTH(S3678), YEAR(F3678)=YEAR(S3678))</f>
        <v/>
      </c>
      <c r="Q3678" s="521">
        <f>U3678="L001-901905215"</f>
        <v/>
      </c>
      <c r="R3678" s="556">
        <f>G3678-W3678</f>
        <v/>
      </c>
      <c r="S3678" s="523" t="n">
        <v>44158</v>
      </c>
      <c r="T3678" s="522" t="inlineStr">
        <is>
          <t>2011010399</t>
        </is>
      </c>
      <c r="U3678" s="522" t="inlineStr">
        <is>
          <t>L001-901905215</t>
        </is>
      </c>
      <c r="V3678" s="522" t="inlineStr">
        <is>
          <t>វីអ៊ីស៊ិន (ខេមបូឌា) អ៊ិនដាសស្ទ្រី ឯ.ក</t>
        </is>
      </c>
      <c r="W3678" s="556" t="n">
        <v>305370</v>
      </c>
    </row>
    <row r="3679">
      <c r="A3679" s="521" t="n">
        <v>3671</v>
      </c>
      <c r="B3679" s="522" t="n"/>
      <c r="C3679" s="522" t="inlineStr">
        <is>
          <t>ប្យួរ៉ូ វេរីតាស (ខេមបូឌា) លីមីធីត</t>
        </is>
      </c>
      <c r="D3679" s="522" t="inlineStr">
        <is>
          <t>L001-107024462</t>
        </is>
      </c>
      <c r="E3679" s="521" t="inlineStr">
        <is>
          <t>59009062</t>
        </is>
      </c>
      <c r="F3679" s="523" t="n">
        <v>44155</v>
      </c>
      <c r="G3679" s="556" t="n">
        <v>60780</v>
      </c>
      <c r="I3679" s="521">
        <f>G3679</f>
        <v/>
      </c>
      <c r="K3679" s="521">
        <f>I3679-G3679</f>
        <v/>
      </c>
      <c r="M3679" s="522" t="inlineStr">
        <is>
          <t>59009062</t>
        </is>
      </c>
      <c r="N3679" s="522" t="inlineStr"/>
      <c r="O3679" s="521">
        <f>M3679=N3679</f>
        <v/>
      </c>
      <c r="P3679" s="521">
        <f>AND(MONTH(F3679)=MONTH(S3679), YEAR(F3679)=YEAR(S3679))</f>
        <v/>
      </c>
      <c r="Q3679" s="521">
        <f>U3679="L001-901905215"</f>
        <v/>
      </c>
      <c r="R3679" s="556">
        <f>G3679-W3679</f>
        <v/>
      </c>
      <c r="S3679" s="521" t="n"/>
      <c r="T3679" s="522" t="n"/>
      <c r="U3679" s="522" t="n"/>
      <c r="V3679" s="522" t="n"/>
      <c r="W3679" s="521" t="n"/>
    </row>
    <row r="3680">
      <c r="A3680" s="521" t="n">
        <v>3672</v>
      </c>
      <c r="B3680" s="522" t="n"/>
      <c r="C3680" s="522" t="inlineStr">
        <is>
          <t>កំពង់ផែស្វយ័តភ្នំពេញ "ក.ស.ភ"</t>
        </is>
      </c>
      <c r="D3680" s="522" t="inlineStr">
        <is>
          <t>L001-100044999</t>
        </is>
      </c>
      <c r="E3680" s="521" t="inlineStr">
        <is>
          <t>INV20201154244</t>
        </is>
      </c>
      <c r="F3680" s="523" t="n">
        <v>44155</v>
      </c>
      <c r="G3680" s="556" t="n">
        <v>19339</v>
      </c>
      <c r="I3680" s="521">
        <f>G3680</f>
        <v/>
      </c>
      <c r="K3680" s="521">
        <f>I3680-G3680</f>
        <v/>
      </c>
      <c r="M3680" s="522" t="inlineStr">
        <is>
          <t>INV20201154244</t>
        </is>
      </c>
      <c r="N3680" s="522" t="inlineStr"/>
      <c r="O3680" s="521">
        <f>M3680=N3680</f>
        <v/>
      </c>
      <c r="P3680" s="521">
        <f>AND(MONTH(F3680)=MONTH(S3680), YEAR(F3680)=YEAR(S3680))</f>
        <v/>
      </c>
      <c r="Q3680" s="521">
        <f>U3680="L001-901905215"</f>
        <v/>
      </c>
      <c r="R3680" s="556">
        <f>G3680-W3680</f>
        <v/>
      </c>
      <c r="S3680" s="521" t="n"/>
      <c r="T3680" s="522" t="n"/>
      <c r="U3680" s="522" t="n"/>
      <c r="V3680" s="522" t="n"/>
      <c r="W3680" s="521" t="n"/>
    </row>
    <row r="3681">
      <c r="A3681" s="521" t="n">
        <v>3673</v>
      </c>
      <c r="B3681" s="522" t="n"/>
      <c r="C3681" s="522" t="inlineStr">
        <is>
          <t>អ៊ិចស្ពែឌីធ័រ ខេមបូឌា អិលធីឌី</t>
        </is>
      </c>
      <c r="D3681" s="522" t="inlineStr">
        <is>
          <t>L001-100045898</t>
        </is>
      </c>
      <c r="E3681" s="521" t="inlineStr">
        <is>
          <t>TI-0187245</t>
        </is>
      </c>
      <c r="F3681" s="523" t="n">
        <v>44154</v>
      </c>
      <c r="G3681" s="556" t="n">
        <v>181169</v>
      </c>
      <c r="I3681" s="521">
        <f>G3681</f>
        <v/>
      </c>
      <c r="K3681" s="521">
        <f>I3681-G3681</f>
        <v/>
      </c>
      <c r="M3681" s="522" t="inlineStr">
        <is>
          <t>TI0187245</t>
        </is>
      </c>
      <c r="N3681" s="522" t="inlineStr"/>
      <c r="O3681" s="521">
        <f>M3681=N3681</f>
        <v/>
      </c>
      <c r="P3681" s="521">
        <f>AND(MONTH(F3681)=MONTH(S3681), YEAR(F3681)=YEAR(S3681))</f>
        <v/>
      </c>
      <c r="Q3681" s="521">
        <f>U3681="L001-901905215"</f>
        <v/>
      </c>
      <c r="R3681" s="556">
        <f>G3681-W3681</f>
        <v/>
      </c>
      <c r="S3681" s="521" t="n"/>
      <c r="T3681" s="522" t="n"/>
      <c r="U3681" s="522" t="n"/>
      <c r="V3681" s="522" t="n"/>
      <c r="W3681" s="521" t="n"/>
    </row>
    <row r="3682">
      <c r="A3682" s="521" t="n">
        <v>3674</v>
      </c>
      <c r="B3682" s="522" t="n"/>
      <c r="C3682" s="522" t="inlineStr">
        <is>
          <t>អ៊ិចស្ពែឌីធ័រ ខេមបូឌា អិលធីឌី</t>
        </is>
      </c>
      <c r="D3682" s="522" t="inlineStr">
        <is>
          <t>L001-100045898</t>
        </is>
      </c>
      <c r="E3682" s="521" t="inlineStr">
        <is>
          <t>TI-0187244</t>
        </is>
      </c>
      <c r="F3682" s="523" t="n">
        <v>44154</v>
      </c>
      <c r="G3682" s="556" t="n">
        <v>372471</v>
      </c>
      <c r="I3682" s="521">
        <f>G3682</f>
        <v/>
      </c>
      <c r="K3682" s="521">
        <f>I3682-G3682</f>
        <v/>
      </c>
      <c r="M3682" s="522" t="inlineStr">
        <is>
          <t>TI0187244</t>
        </is>
      </c>
      <c r="N3682" s="522" t="inlineStr"/>
      <c r="O3682" s="521">
        <f>M3682=N3682</f>
        <v/>
      </c>
      <c r="P3682" s="521">
        <f>AND(MONTH(F3682)=MONTH(S3682), YEAR(F3682)=YEAR(S3682))</f>
        <v/>
      </c>
      <c r="Q3682" s="521">
        <f>U3682="L001-901905215"</f>
        <v/>
      </c>
      <c r="R3682" s="556">
        <f>G3682-W3682</f>
        <v/>
      </c>
      <c r="S3682" s="521" t="n"/>
      <c r="T3682" s="522" t="n"/>
      <c r="U3682" s="522" t="n"/>
      <c r="V3682" s="522" t="n"/>
      <c r="W3682" s="521" t="n"/>
    </row>
    <row r="3683">
      <c r="A3683" s="521" t="n">
        <v>3675</v>
      </c>
      <c r="B3683" s="522" t="n"/>
      <c r="C3683" s="522" t="inlineStr">
        <is>
          <t>ប្យួរ៉ូ វេរីតាស (ខេមបូឌា) លីមីធីត</t>
        </is>
      </c>
      <c r="D3683" s="522" t="inlineStr">
        <is>
          <t>L001-107024462</t>
        </is>
      </c>
      <c r="E3683" s="521" t="inlineStr">
        <is>
          <t>59009029</t>
        </is>
      </c>
      <c r="F3683" s="523" t="n">
        <v>44153</v>
      </c>
      <c r="G3683" s="556" t="n">
        <v>60795</v>
      </c>
      <c r="I3683" s="521">
        <f>G3683</f>
        <v/>
      </c>
      <c r="K3683" s="521">
        <f>I3683-G3683</f>
        <v/>
      </c>
      <c r="M3683" s="522" t="inlineStr">
        <is>
          <t>59009029</t>
        </is>
      </c>
      <c r="N3683" s="522" t="inlineStr"/>
      <c r="O3683" s="521">
        <f>M3683=N3683</f>
        <v/>
      </c>
      <c r="P3683" s="521">
        <f>AND(MONTH(F3683)=MONTH(S3683), YEAR(F3683)=YEAR(S3683))</f>
        <v/>
      </c>
      <c r="Q3683" s="521">
        <f>U3683="L001-901905215"</f>
        <v/>
      </c>
      <c r="R3683" s="556">
        <f>G3683-W3683</f>
        <v/>
      </c>
      <c r="S3683" s="521" t="n"/>
      <c r="T3683" s="522" t="n"/>
      <c r="U3683" s="522" t="n"/>
      <c r="V3683" s="522" t="n"/>
      <c r="W3683" s="521" t="n"/>
    </row>
    <row r="3684">
      <c r="A3684" s="521" t="n">
        <v>3676</v>
      </c>
      <c r="B3684" s="522" t="n"/>
      <c r="C3684" s="522" t="inlineStr">
        <is>
          <t>ស៊ីងហ្គាពួរ កាតុង (ខេមបូឌា)</t>
        </is>
      </c>
      <c r="D3684" s="522" t="inlineStr">
        <is>
          <t>L001-100121322</t>
        </is>
      </c>
      <c r="E3684" s="521" t="inlineStr">
        <is>
          <t>V0014848</t>
        </is>
      </c>
      <c r="F3684" s="523" t="n">
        <v>44153</v>
      </c>
      <c r="G3684" s="556" t="n">
        <v>581200</v>
      </c>
      <c r="I3684" s="521">
        <f>G3684</f>
        <v/>
      </c>
      <c r="K3684" s="521">
        <f>I3684-G3684</f>
        <v/>
      </c>
      <c r="M3684" s="522" t="inlineStr">
        <is>
          <t>V0014848</t>
        </is>
      </c>
      <c r="N3684" s="522" t="inlineStr">
        <is>
          <t>V0014848</t>
        </is>
      </c>
      <c r="O3684" s="521">
        <f>M3684=N3684</f>
        <v/>
      </c>
      <c r="P3684" s="521">
        <f>AND(MONTH(F3684)=MONTH(S3684), YEAR(F3684)=YEAR(S3684))</f>
        <v/>
      </c>
      <c r="Q3684" s="521">
        <f>U3684="L001-901905215"</f>
        <v/>
      </c>
      <c r="R3684" s="556">
        <f>G3684-W3684</f>
        <v/>
      </c>
      <c r="S3684" s="523" t="n">
        <v>44153</v>
      </c>
      <c r="T3684" s="522" t="inlineStr">
        <is>
          <t>V0014848</t>
        </is>
      </c>
      <c r="U3684" s="522" t="inlineStr">
        <is>
          <t>L001-901905215</t>
        </is>
      </c>
      <c r="V3684" s="522" t="inlineStr">
        <is>
          <t>វីអ៊ីស៊ិន (ខេមបូឌា) អ៊ិនដាសស្ទ្រី ឯ.ក</t>
        </is>
      </c>
      <c r="W3684" s="556" t="n">
        <v>580483</v>
      </c>
    </row>
    <row r="3685">
      <c r="A3685" s="521" t="n">
        <v>3677</v>
      </c>
      <c r="B3685" s="522" t="n"/>
      <c r="C3685" s="522" t="inlineStr">
        <is>
          <t>ស៊ីងហ្គាពួរ កាតុង (ខេមបូឌា)</t>
        </is>
      </c>
      <c r="D3685" s="522" t="inlineStr">
        <is>
          <t>L001-100121322</t>
        </is>
      </c>
      <c r="E3685" s="521" t="inlineStr">
        <is>
          <t>V0014847</t>
        </is>
      </c>
      <c r="F3685" s="523" t="n">
        <v>44136</v>
      </c>
      <c r="G3685" s="556" t="n">
        <v>571159</v>
      </c>
      <c r="I3685" s="521">
        <f>G3685</f>
        <v/>
      </c>
      <c r="K3685" s="521">
        <f>I3685-G3685</f>
        <v/>
      </c>
      <c r="M3685" s="522" t="inlineStr">
        <is>
          <t>V0014847</t>
        </is>
      </c>
      <c r="N3685" s="522" t="inlineStr">
        <is>
          <t>V0014847</t>
        </is>
      </c>
      <c r="O3685" s="521">
        <f>M3685=N3685</f>
        <v/>
      </c>
      <c r="P3685" s="521">
        <f>AND(MONTH(F3685)=MONTH(S3685), YEAR(F3685)=YEAR(S3685))</f>
        <v/>
      </c>
      <c r="Q3685" s="521">
        <f>U3685="L001-901905215"</f>
        <v/>
      </c>
      <c r="R3685" s="556">
        <f>G3685-W3685</f>
        <v/>
      </c>
      <c r="S3685" s="523" t="n">
        <v>44153</v>
      </c>
      <c r="T3685" s="522" t="inlineStr">
        <is>
          <t>V0014847</t>
        </is>
      </c>
      <c r="U3685" s="522" t="inlineStr">
        <is>
          <t>L001-901905215</t>
        </is>
      </c>
      <c r="V3685" s="522" t="inlineStr">
        <is>
          <t>វីអ៊ីស៊ិន (ខេមបូឌា) អ៊ិនដាសស្ទ្រី ឯ.ក</t>
        </is>
      </c>
      <c r="W3685" s="556" t="n">
        <v>570455</v>
      </c>
    </row>
    <row r="3686">
      <c r="A3686" s="521" t="n">
        <v>3678</v>
      </c>
      <c r="B3686" s="522" t="n"/>
      <c r="C3686" s="522" t="inlineStr">
        <is>
          <t>ប្យួរ៉ូ វេរីតាស (ខេមបូឌា) លីមីធីត</t>
        </is>
      </c>
      <c r="D3686" s="522" t="inlineStr">
        <is>
          <t>L001-107024462</t>
        </is>
      </c>
      <c r="E3686" s="521" t="inlineStr">
        <is>
          <t>59009015</t>
        </is>
      </c>
      <c r="F3686" s="523" t="n">
        <v>44152</v>
      </c>
      <c r="G3686" s="556" t="n">
        <v>60795</v>
      </c>
      <c r="I3686" s="521">
        <f>G3686</f>
        <v/>
      </c>
      <c r="K3686" s="521">
        <f>I3686-G3686</f>
        <v/>
      </c>
      <c r="M3686" s="522" t="inlineStr">
        <is>
          <t>59009015</t>
        </is>
      </c>
      <c r="N3686" s="522" t="inlineStr"/>
      <c r="O3686" s="521">
        <f>M3686=N3686</f>
        <v/>
      </c>
      <c r="P3686" s="521">
        <f>AND(MONTH(F3686)=MONTH(S3686), YEAR(F3686)=YEAR(S3686))</f>
        <v/>
      </c>
      <c r="Q3686" s="521">
        <f>U3686="L001-901905215"</f>
        <v/>
      </c>
      <c r="R3686" s="556">
        <f>G3686-W3686</f>
        <v/>
      </c>
      <c r="S3686" s="521" t="n"/>
      <c r="T3686" s="522" t="n"/>
      <c r="U3686" s="522" t="n"/>
      <c r="V3686" s="522" t="n"/>
      <c r="W3686" s="521" t="n"/>
    </row>
    <row r="3687">
      <c r="A3687" s="521" t="n">
        <v>3679</v>
      </c>
      <c r="B3687" s="522" t="n"/>
      <c r="C3687" s="522" t="inlineStr">
        <is>
          <t>ជា យូ អាង ផេកខេកជីង មេធៀរៀល (ខេមបូឌា) ឯ.ក</t>
        </is>
      </c>
      <c r="D3687" s="522" t="inlineStr">
        <is>
          <t>L001-901903560</t>
        </is>
      </c>
      <c r="E3687" s="521" t="inlineStr">
        <is>
          <t>JTA202000168</t>
        </is>
      </c>
      <c r="F3687" s="523" t="n">
        <v>44152</v>
      </c>
      <c r="G3687" s="556" t="n">
        <v>1905945</v>
      </c>
      <c r="I3687" s="521">
        <f>G3687</f>
        <v/>
      </c>
      <c r="K3687" s="521">
        <f>I3687-G3687</f>
        <v/>
      </c>
      <c r="M3687" s="522" t="inlineStr">
        <is>
          <t>JTA202000168</t>
        </is>
      </c>
      <c r="N3687" s="522" t="inlineStr"/>
      <c r="O3687" s="521">
        <f>M3687=N3687</f>
        <v/>
      </c>
      <c r="P3687" s="521">
        <f>AND(MONTH(F3687)=MONTH(S3687), YEAR(F3687)=YEAR(S3687))</f>
        <v/>
      </c>
      <c r="Q3687" s="521">
        <f>U3687="L001-901905215"</f>
        <v/>
      </c>
      <c r="R3687" s="556">
        <f>G3687-W3687</f>
        <v/>
      </c>
      <c r="S3687" s="521" t="n"/>
      <c r="T3687" s="522" t="n"/>
      <c r="U3687" s="522" t="n"/>
      <c r="V3687" s="522" t="n"/>
      <c r="W3687" s="521" t="n"/>
    </row>
    <row r="3688">
      <c r="A3688" s="521" t="n">
        <v>3680</v>
      </c>
      <c r="B3688" s="522" t="n"/>
      <c r="C3688" s="522" t="inlineStr">
        <is>
          <t>សូស៊ីយេតេ កុងសេស្យូនែរ ដឺ ឡាអេរ៉ូព័រ</t>
        </is>
      </c>
      <c r="D3688" s="522" t="inlineStr">
        <is>
          <t>L001-100047300</t>
        </is>
      </c>
      <c r="E3688" s="521" t="inlineStr">
        <is>
          <t>2000-056892</t>
        </is>
      </c>
      <c r="F3688" s="523" t="n">
        <v>44152</v>
      </c>
      <c r="G3688" s="556" t="n">
        <v>62674</v>
      </c>
      <c r="I3688" s="521">
        <f>G3688</f>
        <v/>
      </c>
      <c r="K3688" s="521">
        <f>I3688-G3688</f>
        <v/>
      </c>
      <c r="M3688" s="522" t="inlineStr">
        <is>
          <t>2000056892</t>
        </is>
      </c>
      <c r="N3688" s="522" t="inlineStr"/>
      <c r="O3688" s="521">
        <f>M3688=N3688</f>
        <v/>
      </c>
      <c r="P3688" s="521">
        <f>AND(MONTH(F3688)=MONTH(S3688), YEAR(F3688)=YEAR(S3688))</f>
        <v/>
      </c>
      <c r="Q3688" s="521">
        <f>U3688="L001-901905215"</f>
        <v/>
      </c>
      <c r="R3688" s="556">
        <f>G3688-W3688</f>
        <v/>
      </c>
      <c r="S3688" s="521" t="n"/>
      <c r="T3688" s="522" t="n"/>
      <c r="U3688" s="522" t="n"/>
      <c r="V3688" s="522" t="n"/>
      <c r="W3688" s="521" t="n"/>
    </row>
    <row r="3689">
      <c r="A3689" s="521" t="n">
        <v>3681</v>
      </c>
      <c r="B3689" s="522" t="n"/>
      <c r="C3689" s="522" t="inlineStr">
        <is>
          <t>អ៊ិចស្ពែឌីធ័រ ខេមបូឌា អិលធីឌី</t>
        </is>
      </c>
      <c r="D3689" s="522" t="inlineStr">
        <is>
          <t>L001-100045898</t>
        </is>
      </c>
      <c r="E3689" s="521" t="inlineStr">
        <is>
          <t>TI-0187057</t>
        </is>
      </c>
      <c r="F3689" s="523" t="n">
        <v>44152</v>
      </c>
      <c r="G3689" s="556" t="n">
        <v>189747</v>
      </c>
      <c r="I3689" s="521">
        <f>G3689</f>
        <v/>
      </c>
      <c r="K3689" s="521">
        <f>I3689-G3689</f>
        <v/>
      </c>
      <c r="M3689" s="522" t="inlineStr">
        <is>
          <t>TI0187057</t>
        </is>
      </c>
      <c r="N3689" s="522" t="inlineStr"/>
      <c r="O3689" s="521">
        <f>M3689=N3689</f>
        <v/>
      </c>
      <c r="P3689" s="521">
        <f>AND(MONTH(F3689)=MONTH(S3689), YEAR(F3689)=YEAR(S3689))</f>
        <v/>
      </c>
      <c r="Q3689" s="521">
        <f>U3689="L001-901905215"</f>
        <v/>
      </c>
      <c r="R3689" s="556">
        <f>G3689-W3689</f>
        <v/>
      </c>
      <c r="S3689" s="521" t="n"/>
      <c r="T3689" s="522" t="n"/>
      <c r="U3689" s="522" t="n"/>
      <c r="V3689" s="522" t="n"/>
      <c r="W3689" s="521" t="n"/>
    </row>
    <row r="3690">
      <c r="A3690" s="521" t="n">
        <v>3682</v>
      </c>
      <c r="B3690" s="522" t="n"/>
      <c r="C3690" s="522" t="inlineStr">
        <is>
          <t>ភ្នំពេញ អេសអ៊ីហ្សិត ភីអិលស៊ី</t>
        </is>
      </c>
      <c r="D3690" s="522" t="inlineStr">
        <is>
          <t>L001-100046592</t>
        </is>
      </c>
      <c r="E3690" s="521" t="inlineStr">
        <is>
          <t>2020-05284</t>
        </is>
      </c>
      <c r="F3690" s="523" t="n">
        <v>44151</v>
      </c>
      <c r="G3690" s="556" t="n">
        <v>200045</v>
      </c>
      <c r="I3690" s="521">
        <f>G3690</f>
        <v/>
      </c>
      <c r="K3690" s="521">
        <f>I3690-G3690</f>
        <v/>
      </c>
      <c r="M3690" s="522" t="inlineStr">
        <is>
          <t>202005284</t>
        </is>
      </c>
      <c r="N3690" s="522" t="inlineStr"/>
      <c r="O3690" s="521">
        <f>M3690=N3690</f>
        <v/>
      </c>
      <c r="P3690" s="521">
        <f>AND(MONTH(F3690)=MONTH(S3690), YEAR(F3690)=YEAR(S3690))</f>
        <v/>
      </c>
      <c r="Q3690" s="521">
        <f>U3690="L001-901905215"</f>
        <v/>
      </c>
      <c r="R3690" s="556">
        <f>G3690-W3690</f>
        <v/>
      </c>
      <c r="S3690" s="521" t="n"/>
      <c r="T3690" s="522" t="n"/>
      <c r="U3690" s="522" t="n"/>
      <c r="V3690" s="522" t="n"/>
      <c r="W3690" s="521" t="n"/>
    </row>
    <row r="3691">
      <c r="A3691" s="521" t="n">
        <v>3683</v>
      </c>
      <c r="B3691" s="522" t="n"/>
      <c r="C3691" s="522" t="inlineStr">
        <is>
          <t>ស៊ីងហ្គាពួរ កាតុង (ខេមបូឌា)</t>
        </is>
      </c>
      <c r="D3691" s="522" t="inlineStr">
        <is>
          <t>L001-100121322</t>
        </is>
      </c>
      <c r="E3691" s="521" t="inlineStr">
        <is>
          <t>V0014828</t>
        </is>
      </c>
      <c r="F3691" s="523" t="n">
        <v>44151</v>
      </c>
      <c r="G3691" s="556" t="n">
        <v>5344</v>
      </c>
      <c r="I3691" s="521">
        <f>G3691</f>
        <v/>
      </c>
      <c r="K3691" s="521">
        <f>I3691-G3691</f>
        <v/>
      </c>
      <c r="M3691" s="522" t="inlineStr">
        <is>
          <t>V0014828</t>
        </is>
      </c>
      <c r="N3691" s="522" t="inlineStr">
        <is>
          <t>V0014828</t>
        </is>
      </c>
      <c r="O3691" s="521">
        <f>M3691=N3691</f>
        <v/>
      </c>
      <c r="P3691" s="521">
        <f>AND(MONTH(F3691)=MONTH(S3691), YEAR(F3691)=YEAR(S3691))</f>
        <v/>
      </c>
      <c r="Q3691" s="521">
        <f>U3691="L001-901905215"</f>
        <v/>
      </c>
      <c r="R3691" s="556">
        <f>G3691-W3691</f>
        <v/>
      </c>
      <c r="S3691" s="523" t="n">
        <v>44151</v>
      </c>
      <c r="T3691" s="522" t="inlineStr">
        <is>
          <t>V0014828</t>
        </is>
      </c>
      <c r="U3691" s="522" t="inlineStr">
        <is>
          <t>L001-901905215</t>
        </is>
      </c>
      <c r="V3691" s="522" t="inlineStr">
        <is>
          <t>វីអ៊ីស៊ិន (ខេមបូឌា) អ៊ិនដាសស្ទ្រី ឯ.ក</t>
        </is>
      </c>
      <c r="W3691" s="556" t="n">
        <v>5332</v>
      </c>
    </row>
    <row r="3692">
      <c r="A3692" s="521" t="n">
        <v>3684</v>
      </c>
      <c r="B3692" s="522" t="n"/>
      <c r="C3692" s="522" t="inlineStr">
        <is>
          <t>កំពង់ផែស្វយ័តភ្នំពេញ "ក.ស.ភ"</t>
        </is>
      </c>
      <c r="D3692" s="522" t="inlineStr">
        <is>
          <t>L001-100044999</t>
        </is>
      </c>
      <c r="E3692" s="521" t="inlineStr">
        <is>
          <t>INV20201153275</t>
        </is>
      </c>
      <c r="F3692" s="523" t="n">
        <v>44149</v>
      </c>
      <c r="G3692" s="556" t="n">
        <v>87142</v>
      </c>
      <c r="I3692" s="521">
        <f>G3692</f>
        <v/>
      </c>
      <c r="K3692" s="521">
        <f>I3692-G3692</f>
        <v/>
      </c>
      <c r="M3692" s="522" t="inlineStr">
        <is>
          <t>INV20201153275</t>
        </is>
      </c>
      <c r="N3692" s="522" t="inlineStr"/>
      <c r="O3692" s="521">
        <f>M3692=N3692</f>
        <v/>
      </c>
      <c r="P3692" s="521">
        <f>AND(MONTH(F3692)=MONTH(S3692), YEAR(F3692)=YEAR(S3692))</f>
        <v/>
      </c>
      <c r="Q3692" s="521">
        <f>U3692="L001-901905215"</f>
        <v/>
      </c>
      <c r="R3692" s="556">
        <f>G3692-W3692</f>
        <v/>
      </c>
      <c r="S3692" s="521" t="n"/>
      <c r="T3692" s="522" t="n"/>
      <c r="U3692" s="522" t="n"/>
      <c r="V3692" s="522" t="n"/>
      <c r="W3692" s="521" t="n"/>
    </row>
    <row r="3693">
      <c r="A3693" s="521" t="n">
        <v>3685</v>
      </c>
      <c r="B3693" s="522" t="n"/>
      <c r="C3693" s="522" t="inlineStr">
        <is>
          <t>ឆាយ ដា ឡូយីស្ទីក</t>
        </is>
      </c>
      <c r="D3693" s="522" t="inlineStr">
        <is>
          <t>L001-100063098</t>
        </is>
      </c>
      <c r="E3693" s="521" t="inlineStr">
        <is>
          <t>2011010130</t>
        </is>
      </c>
      <c r="F3693" s="523" t="n">
        <v>44149</v>
      </c>
      <c r="G3693" s="556" t="n">
        <v>88914</v>
      </c>
      <c r="I3693" s="521">
        <f>G3693</f>
        <v/>
      </c>
      <c r="K3693" s="521">
        <f>I3693-G3693</f>
        <v/>
      </c>
      <c r="M3693" s="522" t="inlineStr">
        <is>
          <t>2011010130</t>
        </is>
      </c>
      <c r="N3693" s="522" t="inlineStr">
        <is>
          <t>2011010130</t>
        </is>
      </c>
      <c r="O3693" s="521">
        <f>M3693=N3693</f>
        <v/>
      </c>
      <c r="P3693" s="521">
        <f>AND(MONTH(F3693)=MONTH(S3693), YEAR(F3693)=YEAR(S3693))</f>
        <v/>
      </c>
      <c r="Q3693" s="521">
        <f>U3693="L001-901905215"</f>
        <v/>
      </c>
      <c r="R3693" s="556">
        <f>G3693-W3693</f>
        <v/>
      </c>
      <c r="S3693" s="523" t="n">
        <v>44149</v>
      </c>
      <c r="T3693" s="522" t="inlineStr">
        <is>
          <t>2011010130</t>
        </is>
      </c>
      <c r="U3693" s="522" t="inlineStr">
        <is>
          <t>L001-901905215</t>
        </is>
      </c>
      <c r="V3693" s="522" t="inlineStr">
        <is>
          <t>វីអ៊ីស៊ិន (ខេមបូឌា) អ៊ិនដាសស្ទ្រី ឯ.ក</t>
        </is>
      </c>
      <c r="W3693" s="556" t="n">
        <v>88914</v>
      </c>
    </row>
    <row r="3694">
      <c r="A3694" s="521" t="n">
        <v>3686</v>
      </c>
      <c r="B3694" s="522" t="n"/>
      <c r="C3694" s="522" t="inlineStr">
        <is>
          <t>ប្យួរ៉ូ វេរីតាស (ខេមបូឌា) លីមីធីត</t>
        </is>
      </c>
      <c r="D3694" s="522" t="inlineStr">
        <is>
          <t>L001-107024462</t>
        </is>
      </c>
      <c r="E3694" s="521" t="inlineStr">
        <is>
          <t>59008998</t>
        </is>
      </c>
      <c r="F3694" s="523" t="n">
        <v>44148</v>
      </c>
      <c r="G3694" s="556" t="n">
        <v>60900</v>
      </c>
      <c r="I3694" s="521">
        <f>G3694</f>
        <v/>
      </c>
      <c r="K3694" s="521">
        <f>I3694-G3694</f>
        <v/>
      </c>
      <c r="M3694" s="522" t="inlineStr">
        <is>
          <t>59008998</t>
        </is>
      </c>
      <c r="N3694" s="522" t="inlineStr"/>
      <c r="O3694" s="521">
        <f>M3694=N3694</f>
        <v/>
      </c>
      <c r="P3694" s="521">
        <f>AND(MONTH(F3694)=MONTH(S3694), YEAR(F3694)=YEAR(S3694))</f>
        <v/>
      </c>
      <c r="Q3694" s="521">
        <f>U3694="L001-901905215"</f>
        <v/>
      </c>
      <c r="R3694" s="556">
        <f>G3694-W3694</f>
        <v/>
      </c>
      <c r="S3694" s="521" t="n"/>
      <c r="T3694" s="522" t="n"/>
      <c r="U3694" s="522" t="n"/>
      <c r="V3694" s="522" t="n"/>
      <c r="W3694" s="521" t="n"/>
    </row>
    <row r="3695">
      <c r="A3695" s="521" t="n">
        <v>3687</v>
      </c>
      <c r="B3695" s="522" t="n"/>
      <c r="C3695" s="522" t="inlineStr">
        <is>
          <t>ប្យួរ៉ូ វេរីតាស (ខេមបូឌា) លីមីធីត</t>
        </is>
      </c>
      <c r="D3695" s="522" t="inlineStr">
        <is>
          <t>L001-107024462</t>
        </is>
      </c>
      <c r="E3695" s="521" t="inlineStr">
        <is>
          <t>59008997</t>
        </is>
      </c>
      <c r="F3695" s="523" t="n">
        <v>44148</v>
      </c>
      <c r="G3695" s="556" t="n">
        <v>60900</v>
      </c>
      <c r="I3695" s="521">
        <f>G3695</f>
        <v/>
      </c>
      <c r="K3695" s="521">
        <f>I3695-G3695</f>
        <v/>
      </c>
      <c r="M3695" s="522" t="inlineStr">
        <is>
          <t>59008997</t>
        </is>
      </c>
      <c r="N3695" s="522" t="inlineStr"/>
      <c r="O3695" s="521">
        <f>M3695=N3695</f>
        <v/>
      </c>
      <c r="P3695" s="521">
        <f>AND(MONTH(F3695)=MONTH(S3695), YEAR(F3695)=YEAR(S3695))</f>
        <v/>
      </c>
      <c r="Q3695" s="521">
        <f>U3695="L001-901905215"</f>
        <v/>
      </c>
      <c r="R3695" s="556">
        <f>G3695-W3695</f>
        <v/>
      </c>
      <c r="S3695" s="521" t="n"/>
      <c r="T3695" s="522" t="n"/>
      <c r="U3695" s="522" t="n"/>
      <c r="V3695" s="522" t="n"/>
      <c r="W3695" s="521" t="n"/>
    </row>
    <row r="3696">
      <c r="A3696" s="521" t="n">
        <v>3688</v>
      </c>
      <c r="B3696" s="522" t="n"/>
      <c r="C3696" s="522" t="inlineStr">
        <is>
          <t>អ៊ិនធើថេក ថេសធីង សឺវីស (ខេមបូឌា) ខមភេនី លីមីធីត</t>
        </is>
      </c>
      <c r="D3696" s="522" t="inlineStr">
        <is>
          <t>L001-100045707</t>
        </is>
      </c>
      <c r="E3696" s="521" t="inlineStr">
        <is>
          <t>KHM20200011885</t>
        </is>
      </c>
      <c r="F3696" s="523" t="n">
        <v>44148</v>
      </c>
      <c r="G3696" s="556" t="n">
        <v>192850</v>
      </c>
      <c r="I3696" s="521">
        <f>G3696</f>
        <v/>
      </c>
      <c r="K3696" s="521">
        <f>I3696-G3696</f>
        <v/>
      </c>
      <c r="M3696" s="522" t="inlineStr">
        <is>
          <t>KHM20200011885</t>
        </is>
      </c>
      <c r="N3696" s="522" t="inlineStr"/>
      <c r="O3696" s="521">
        <f>M3696=N3696</f>
        <v/>
      </c>
      <c r="P3696" s="521">
        <f>AND(MONTH(F3696)=MONTH(S3696), YEAR(F3696)=YEAR(S3696))</f>
        <v/>
      </c>
      <c r="Q3696" s="521">
        <f>U3696="L001-901905215"</f>
        <v/>
      </c>
      <c r="R3696" s="556">
        <f>G3696-W3696</f>
        <v/>
      </c>
      <c r="S3696" s="521" t="n"/>
      <c r="T3696" s="522" t="n"/>
      <c r="U3696" s="522" t="n"/>
      <c r="V3696" s="522" t="n"/>
      <c r="W3696" s="521" t="n"/>
    </row>
    <row r="3697">
      <c r="A3697" s="521" t="n">
        <v>3689</v>
      </c>
      <c r="B3697" s="522" t="n"/>
      <c r="C3697" s="522" t="inlineStr">
        <is>
          <t>ស៊ីងហ្គាពួរ កាតុង (ខេមបូឌា)</t>
        </is>
      </c>
      <c r="D3697" s="522" t="inlineStr">
        <is>
          <t>L001-100121322</t>
        </is>
      </c>
      <c r="E3697" s="521" t="inlineStr">
        <is>
          <t>V0014803</t>
        </is>
      </c>
      <c r="F3697" s="523" t="n">
        <v>44148</v>
      </c>
      <c r="G3697" s="556" t="n">
        <v>436653</v>
      </c>
      <c r="I3697" s="521">
        <f>G3697</f>
        <v/>
      </c>
      <c r="K3697" s="521">
        <f>I3697-G3697</f>
        <v/>
      </c>
      <c r="M3697" s="522" t="inlineStr">
        <is>
          <t>V0014803</t>
        </is>
      </c>
      <c r="N3697" s="522" t="inlineStr">
        <is>
          <t>V0014803</t>
        </is>
      </c>
      <c r="O3697" s="521">
        <f>M3697=N3697</f>
        <v/>
      </c>
      <c r="P3697" s="521">
        <f>AND(MONTH(F3697)=MONTH(S3697), YEAR(F3697)=YEAR(S3697))</f>
        <v/>
      </c>
      <c r="Q3697" s="521">
        <f>U3697="L001-901905215"</f>
        <v/>
      </c>
      <c r="R3697" s="556">
        <f>G3697-W3697</f>
        <v/>
      </c>
      <c r="S3697" s="523" t="n">
        <v>44148</v>
      </c>
      <c r="T3697" s="522" t="inlineStr">
        <is>
          <t>V0014803</t>
        </is>
      </c>
      <c r="U3697" s="522" t="inlineStr">
        <is>
          <t>L001-901905215</t>
        </is>
      </c>
      <c r="V3697" s="522" t="inlineStr">
        <is>
          <t>វីអ៊ីស៊ិន (ខេមបូឌា) អ៊ិនដាសស្ទ្រី ឯ.ក</t>
        </is>
      </c>
      <c r="W3697" s="556" t="n">
        <v>435362</v>
      </c>
    </row>
    <row r="3698">
      <c r="A3698" s="521" t="n">
        <v>3690</v>
      </c>
      <c r="B3698" s="522" t="n"/>
      <c r="C3698" s="522" t="inlineStr">
        <is>
          <t>ស៊ីងហ្គាពួរ កាតុង (ខេមបូឌា)</t>
        </is>
      </c>
      <c r="D3698" s="522" t="inlineStr">
        <is>
          <t>L001-100121322</t>
        </is>
      </c>
      <c r="E3698" s="521" t="inlineStr">
        <is>
          <t>V0014802</t>
        </is>
      </c>
      <c r="F3698" s="523" t="n">
        <v>44148</v>
      </c>
      <c r="G3698" s="556" t="n">
        <v>459186</v>
      </c>
      <c r="I3698" s="521">
        <f>G3698</f>
        <v/>
      </c>
      <c r="K3698" s="521">
        <f>I3698-G3698</f>
        <v/>
      </c>
      <c r="M3698" s="522" t="inlineStr">
        <is>
          <t>V0014802</t>
        </is>
      </c>
      <c r="N3698" s="522" t="inlineStr">
        <is>
          <t>V0014802</t>
        </is>
      </c>
      <c r="O3698" s="521">
        <f>M3698=N3698</f>
        <v/>
      </c>
      <c r="P3698" s="521">
        <f>AND(MONTH(F3698)=MONTH(S3698), YEAR(F3698)=YEAR(S3698))</f>
        <v/>
      </c>
      <c r="Q3698" s="521">
        <f>U3698="L001-901905215"</f>
        <v/>
      </c>
      <c r="R3698" s="556">
        <f>G3698-W3698</f>
        <v/>
      </c>
      <c r="S3698" s="523" t="n">
        <v>44148</v>
      </c>
      <c r="T3698" s="522" t="inlineStr">
        <is>
          <t>V0014802</t>
        </is>
      </c>
      <c r="U3698" s="522" t="inlineStr">
        <is>
          <t>L001-901905215</t>
        </is>
      </c>
      <c r="V3698" s="522" t="inlineStr">
        <is>
          <t>វីអ៊ីស៊ិន (ខេមបូឌា) អ៊ិនដាសស្ទ្រី ឯ.ក</t>
        </is>
      </c>
      <c r="W3698" s="556" t="n">
        <v>457829</v>
      </c>
    </row>
    <row r="3699">
      <c r="A3699" s="521" t="n">
        <v>3691</v>
      </c>
      <c r="B3699" s="522" t="n"/>
      <c r="C3699" s="522" t="inlineStr">
        <is>
          <t>ស្ត្រេតស៍ អ៊ិនធើណេសិនណល ភីធីអ៊ី អិលធីឌី</t>
        </is>
      </c>
      <c r="D3699" s="522" t="inlineStr">
        <is>
          <t>L001-100045162</t>
        </is>
      </c>
      <c r="E3699" s="521" t="inlineStr">
        <is>
          <t>2021335</t>
        </is>
      </c>
      <c r="F3699" s="523" t="n">
        <v>44147</v>
      </c>
      <c r="G3699" s="556" t="n">
        <v>200970</v>
      </c>
      <c r="I3699" s="521">
        <f>G3699</f>
        <v/>
      </c>
      <c r="K3699" s="521">
        <f>I3699-G3699</f>
        <v/>
      </c>
      <c r="M3699" s="522" t="inlineStr">
        <is>
          <t>2021335</t>
        </is>
      </c>
      <c r="N3699" s="522" t="inlineStr">
        <is>
          <t>2021335</t>
        </is>
      </c>
      <c r="O3699" s="521">
        <f>M3699=N3699</f>
        <v/>
      </c>
      <c r="P3699" s="521">
        <f>AND(MONTH(F3699)=MONTH(S3699), YEAR(F3699)=YEAR(S3699))</f>
        <v/>
      </c>
      <c r="Q3699" s="521">
        <f>U3699="L001-901905215"</f>
        <v/>
      </c>
      <c r="R3699" s="556">
        <f>G3699-W3699</f>
        <v/>
      </c>
      <c r="S3699" s="523" t="n">
        <v>44147</v>
      </c>
      <c r="T3699" s="522" t="inlineStr">
        <is>
          <t>2021335</t>
        </is>
      </c>
      <c r="U3699" s="522" t="inlineStr">
        <is>
          <t>L001-901905215</t>
        </is>
      </c>
      <c r="V3699" s="522" t="inlineStr">
        <is>
          <t>វីអ៊ីស៊ិន (ខេមបូឌា) អ៊ិនដាសស្ទ្រី ឯ.ក</t>
        </is>
      </c>
      <c r="W3699" s="556" t="n">
        <v>200970</v>
      </c>
    </row>
    <row r="3700">
      <c r="A3700" s="521" t="n">
        <v>3692</v>
      </c>
      <c r="B3700" s="522" t="n"/>
      <c r="C3700" s="522" t="inlineStr">
        <is>
          <t>សូស៊ីយេតេ កុងសេស្យូនែរ ដឺ ឡាអេរ៉ូព័រ</t>
        </is>
      </c>
      <c r="D3700" s="522" t="inlineStr">
        <is>
          <t>L001-100047300</t>
        </is>
      </c>
      <c r="E3700" s="521" t="inlineStr">
        <is>
          <t>2000-055358</t>
        </is>
      </c>
      <c r="F3700" s="523" t="n">
        <v>44145</v>
      </c>
      <c r="G3700" s="556" t="n">
        <v>31740</v>
      </c>
      <c r="I3700" s="521">
        <f>G3700</f>
        <v/>
      </c>
      <c r="K3700" s="521">
        <f>I3700-G3700</f>
        <v/>
      </c>
      <c r="M3700" s="522" t="inlineStr">
        <is>
          <t>2000055358</t>
        </is>
      </c>
      <c r="N3700" s="522" t="inlineStr"/>
      <c r="O3700" s="521">
        <f>M3700=N3700</f>
        <v/>
      </c>
      <c r="P3700" s="521">
        <f>AND(MONTH(F3700)=MONTH(S3700), YEAR(F3700)=YEAR(S3700))</f>
        <v/>
      </c>
      <c r="Q3700" s="521">
        <f>U3700="L001-901905215"</f>
        <v/>
      </c>
      <c r="R3700" s="556">
        <f>G3700-W3700</f>
        <v/>
      </c>
      <c r="S3700" s="521" t="n"/>
      <c r="T3700" s="522" t="n"/>
      <c r="U3700" s="522" t="n"/>
      <c r="V3700" s="522" t="n"/>
      <c r="W3700" s="521" t="n"/>
    </row>
    <row r="3701">
      <c r="A3701" s="521" t="n">
        <v>3693</v>
      </c>
      <c r="B3701" s="522" t="n"/>
      <c r="C3701" s="522" t="inlineStr">
        <is>
          <t>ប្យួរ៉ូ វេរីតាស (ខេមបូឌា) លីមីធីត</t>
        </is>
      </c>
      <c r="D3701" s="522" t="inlineStr">
        <is>
          <t>L001-107024462</t>
        </is>
      </c>
      <c r="E3701" s="521" t="inlineStr">
        <is>
          <t>59008981</t>
        </is>
      </c>
      <c r="F3701" s="523" t="n">
        <v>44144</v>
      </c>
      <c r="G3701" s="556" t="n">
        <v>61590</v>
      </c>
      <c r="I3701" s="521">
        <f>G3701</f>
        <v/>
      </c>
      <c r="K3701" s="521">
        <f>I3701-G3701</f>
        <v/>
      </c>
      <c r="M3701" s="522" t="inlineStr">
        <is>
          <t>59008981</t>
        </is>
      </c>
      <c r="N3701" s="522" t="inlineStr"/>
      <c r="O3701" s="521">
        <f>M3701=N3701</f>
        <v/>
      </c>
      <c r="P3701" s="521">
        <f>AND(MONTH(F3701)=MONTH(S3701), YEAR(F3701)=YEAR(S3701))</f>
        <v/>
      </c>
      <c r="Q3701" s="521">
        <f>U3701="L001-901905215"</f>
        <v/>
      </c>
      <c r="R3701" s="556">
        <f>G3701-W3701</f>
        <v/>
      </c>
      <c r="S3701" s="521" t="n"/>
      <c r="T3701" s="522" t="n"/>
      <c r="U3701" s="522" t="n"/>
      <c r="V3701" s="522" t="n"/>
      <c r="W3701" s="521" t="n"/>
    </row>
    <row r="3702">
      <c r="A3702" s="521" t="n">
        <v>3694</v>
      </c>
      <c r="B3702" s="522" t="n"/>
      <c r="C3702" s="522" t="inlineStr">
        <is>
          <t>ស៊ីងហ្គាពួរ កាតុង (ខេមបូឌា)</t>
        </is>
      </c>
      <c r="D3702" s="522" t="inlineStr">
        <is>
          <t>L001-100121322</t>
        </is>
      </c>
      <c r="E3702" s="521" t="inlineStr">
        <is>
          <t>V0014760</t>
        </is>
      </c>
      <c r="F3702" s="523" t="n">
        <v>44144</v>
      </c>
      <c r="G3702" s="556" t="n">
        <v>437191</v>
      </c>
      <c r="I3702" s="521">
        <f>G3702</f>
        <v/>
      </c>
      <c r="K3702" s="521">
        <f>I3702-G3702</f>
        <v/>
      </c>
      <c r="M3702" s="522" t="inlineStr">
        <is>
          <t>V0014760</t>
        </is>
      </c>
      <c r="N3702" s="522" t="inlineStr">
        <is>
          <t>V0014760</t>
        </is>
      </c>
      <c r="O3702" s="521">
        <f>M3702=N3702</f>
        <v/>
      </c>
      <c r="P3702" s="521">
        <f>AND(MONTH(F3702)=MONTH(S3702), YEAR(F3702)=YEAR(S3702))</f>
        <v/>
      </c>
      <c r="Q3702" s="521">
        <f>U3702="L001-901905215"</f>
        <v/>
      </c>
      <c r="R3702" s="556">
        <f>G3702-W3702</f>
        <v/>
      </c>
      <c r="S3702" s="523" t="n">
        <v>44144</v>
      </c>
      <c r="T3702" s="522" t="inlineStr">
        <is>
          <t>V0014760</t>
        </is>
      </c>
      <c r="U3702" s="522" t="inlineStr">
        <is>
          <t>L001-901905215</t>
        </is>
      </c>
      <c r="V3702" s="522" t="inlineStr">
        <is>
          <t>វីអ៊ីស៊ិន (ខេមបូឌា) អ៊ិនដាសស្ទ្រី ឯ.ក</t>
        </is>
      </c>
      <c r="W3702" s="556" t="n">
        <v>435362</v>
      </c>
    </row>
    <row r="3703">
      <c r="A3703" s="521" t="n">
        <v>3695</v>
      </c>
      <c r="B3703" s="522" t="n"/>
      <c r="C3703" s="522" t="inlineStr">
        <is>
          <t>ស៊ីងហ្គាពួរ កាតុង (ខេមបូឌា)</t>
        </is>
      </c>
      <c r="D3703" s="522" t="inlineStr">
        <is>
          <t>L001-100121322</t>
        </is>
      </c>
      <c r="E3703" s="521" t="inlineStr">
        <is>
          <t>V0014759</t>
        </is>
      </c>
      <c r="F3703" s="523" t="n">
        <v>44144</v>
      </c>
      <c r="G3703" s="556" t="n">
        <v>459752</v>
      </c>
      <c r="I3703" s="521">
        <f>G3703</f>
        <v/>
      </c>
      <c r="K3703" s="521">
        <f>I3703-G3703</f>
        <v/>
      </c>
      <c r="M3703" s="522" t="inlineStr">
        <is>
          <t>V0014759</t>
        </is>
      </c>
      <c r="N3703" s="522" t="inlineStr">
        <is>
          <t>V0014759</t>
        </is>
      </c>
      <c r="O3703" s="521">
        <f>M3703=N3703</f>
        <v/>
      </c>
      <c r="P3703" s="521">
        <f>AND(MONTH(F3703)=MONTH(S3703), YEAR(F3703)=YEAR(S3703))</f>
        <v/>
      </c>
      <c r="Q3703" s="521">
        <f>U3703="L001-901905215"</f>
        <v/>
      </c>
      <c r="R3703" s="556">
        <f>G3703-W3703</f>
        <v/>
      </c>
      <c r="S3703" s="523" t="n">
        <v>44144</v>
      </c>
      <c r="T3703" s="522" t="inlineStr">
        <is>
          <t>V0014759</t>
        </is>
      </c>
      <c r="U3703" s="522" t="inlineStr">
        <is>
          <t>L001-901905215</t>
        </is>
      </c>
      <c r="V3703" s="522" t="inlineStr">
        <is>
          <t>វីអ៊ីស៊ិន (ខេមបូឌា) អ៊ិនដាសស្ទ្រី ឯ.ក</t>
        </is>
      </c>
      <c r="W3703" s="556" t="n">
        <v>457829</v>
      </c>
    </row>
    <row r="3704">
      <c r="A3704" s="521" t="n">
        <v>3696</v>
      </c>
      <c r="B3704" s="522" t="n"/>
      <c r="C3704" s="522" t="inlineStr">
        <is>
          <t>ខូស្កូ ស៊ីបភីង ឡាញ (ខេមបូឌា) ឯ.ក</t>
        </is>
      </c>
      <c r="D3704" s="522" t="inlineStr">
        <is>
          <t>L001-100103383</t>
        </is>
      </c>
      <c r="E3704" s="521" t="inlineStr">
        <is>
          <t>COS2011-11476</t>
        </is>
      </c>
      <c r="F3704" s="523" t="n">
        <v>44141</v>
      </c>
      <c r="G3704" s="556" t="n">
        <v>213413</v>
      </c>
      <c r="I3704" s="521">
        <f>G3704</f>
        <v/>
      </c>
      <c r="K3704" s="521">
        <f>I3704-G3704</f>
        <v/>
      </c>
      <c r="M3704" s="522" t="inlineStr">
        <is>
          <t>COS201111476</t>
        </is>
      </c>
      <c r="N3704" s="522" t="inlineStr">
        <is>
          <t>COS201111476</t>
        </is>
      </c>
      <c r="O3704" s="521">
        <f>M3704=N3704</f>
        <v/>
      </c>
      <c r="P3704" s="521">
        <f>AND(MONTH(F3704)=MONTH(S3704), YEAR(F3704)=YEAR(S3704))</f>
        <v/>
      </c>
      <c r="Q3704" s="521">
        <f>U3704="L001-901905215"</f>
        <v/>
      </c>
      <c r="R3704" s="556">
        <f>G3704-W3704</f>
        <v/>
      </c>
      <c r="S3704" s="523" t="n">
        <v>44140</v>
      </c>
      <c r="T3704" s="522" t="inlineStr">
        <is>
          <t>COS201111476</t>
        </is>
      </c>
      <c r="U3704" s="522" t="inlineStr">
        <is>
          <t>L001-901905215</t>
        </is>
      </c>
      <c r="V3704" s="522" t="inlineStr">
        <is>
          <t>វីអ៊ីស៊ិន (ខេមបូឌា) អ៊ិនដាសស្ទ្រី ឯ.ក</t>
        </is>
      </c>
      <c r="W3704" s="556" t="n">
        <v>213413</v>
      </c>
    </row>
    <row r="3705">
      <c r="A3705" s="521" t="n">
        <v>3697</v>
      </c>
      <c r="B3705" s="522" t="n"/>
      <c r="C3705" s="522" t="inlineStr">
        <is>
          <t>អ៊ិចស្ពែឌីធ័រ ខេមបូឌា អិលធីឌី</t>
        </is>
      </c>
      <c r="D3705" s="522" t="inlineStr">
        <is>
          <t>L001-100045898</t>
        </is>
      </c>
      <c r="E3705" s="521" t="inlineStr">
        <is>
          <t>TI-0186375</t>
        </is>
      </c>
      <c r="F3705" s="523" t="n">
        <v>44140</v>
      </c>
      <c r="G3705" s="556" t="n">
        <v>436174</v>
      </c>
      <c r="I3705" s="521">
        <f>G3705</f>
        <v/>
      </c>
      <c r="K3705" s="521">
        <f>I3705-G3705</f>
        <v/>
      </c>
      <c r="M3705" s="522" t="inlineStr">
        <is>
          <t>TI0186375</t>
        </is>
      </c>
      <c r="N3705" s="522" t="inlineStr"/>
      <c r="O3705" s="521">
        <f>M3705=N3705</f>
        <v/>
      </c>
      <c r="P3705" s="521">
        <f>AND(MONTH(F3705)=MONTH(S3705), YEAR(F3705)=YEAR(S3705))</f>
        <v/>
      </c>
      <c r="Q3705" s="521">
        <f>U3705="L001-901905215"</f>
        <v/>
      </c>
      <c r="R3705" s="556">
        <f>G3705-W3705</f>
        <v/>
      </c>
      <c r="S3705" s="521" t="n"/>
      <c r="T3705" s="522" t="n"/>
      <c r="U3705" s="522" t="n"/>
      <c r="V3705" s="522" t="n"/>
      <c r="W3705" s="521" t="n"/>
    </row>
    <row r="3706">
      <c r="A3706" s="521" t="n">
        <v>3698</v>
      </c>
      <c r="B3706" s="522" t="n"/>
      <c r="C3706" s="522" t="inlineStr">
        <is>
          <t>អ៊ិចស្ពែឌីធ័រ ខេមបូឌា អិលធីឌី</t>
        </is>
      </c>
      <c r="D3706" s="522" t="inlineStr">
        <is>
          <t>L001-100045898</t>
        </is>
      </c>
      <c r="E3706" s="521" t="inlineStr">
        <is>
          <t>TI-0186374</t>
        </is>
      </c>
      <c r="F3706" s="523" t="n">
        <v>44140</v>
      </c>
      <c r="G3706" s="556" t="n">
        <v>399996</v>
      </c>
      <c r="I3706" s="521">
        <f>G3706</f>
        <v/>
      </c>
      <c r="K3706" s="521">
        <f>I3706-G3706</f>
        <v/>
      </c>
      <c r="M3706" s="522" t="inlineStr">
        <is>
          <t>TI0186374</t>
        </is>
      </c>
      <c r="N3706" s="522" t="inlineStr"/>
      <c r="O3706" s="521">
        <f>M3706=N3706</f>
        <v/>
      </c>
      <c r="P3706" s="521">
        <f>AND(MONTH(F3706)=MONTH(S3706), YEAR(F3706)=YEAR(S3706))</f>
        <v/>
      </c>
      <c r="Q3706" s="521">
        <f>U3706="L001-901905215"</f>
        <v/>
      </c>
      <c r="R3706" s="556">
        <f>G3706-W3706</f>
        <v/>
      </c>
      <c r="S3706" s="521" t="n"/>
      <c r="T3706" s="522" t="n"/>
      <c r="U3706" s="522" t="n"/>
      <c r="V3706" s="522" t="n"/>
      <c r="W3706" s="521" t="n"/>
    </row>
    <row r="3707">
      <c r="A3707" s="521" t="n">
        <v>3699</v>
      </c>
      <c r="B3707" s="522" t="n"/>
      <c r="C3707" s="522" t="inlineStr">
        <is>
          <t>អ៊ិចស្ពែឌីធ័រ ខេមបូឌា អិលធីឌី</t>
        </is>
      </c>
      <c r="D3707" s="522" t="inlineStr">
        <is>
          <t>L001-100045898</t>
        </is>
      </c>
      <c r="E3707" s="521" t="inlineStr">
        <is>
          <t>TI-0186317</t>
        </is>
      </c>
      <c r="F3707" s="523" t="n">
        <v>44140</v>
      </c>
      <c r="G3707" s="556" t="n">
        <v>133738</v>
      </c>
      <c r="I3707" s="521">
        <f>G3707</f>
        <v/>
      </c>
      <c r="K3707" s="521">
        <f>I3707-G3707</f>
        <v/>
      </c>
      <c r="M3707" s="522" t="inlineStr">
        <is>
          <t>TI0186317</t>
        </is>
      </c>
      <c r="N3707" s="522" t="inlineStr"/>
      <c r="O3707" s="521">
        <f>M3707=N3707</f>
        <v/>
      </c>
      <c r="P3707" s="521">
        <f>AND(MONTH(F3707)=MONTH(S3707), YEAR(F3707)=YEAR(S3707))</f>
        <v/>
      </c>
      <c r="Q3707" s="521">
        <f>U3707="L001-901905215"</f>
        <v/>
      </c>
      <c r="R3707" s="556">
        <f>G3707-W3707</f>
        <v/>
      </c>
      <c r="S3707" s="521" t="n"/>
      <c r="T3707" s="522" t="n"/>
      <c r="U3707" s="522" t="n"/>
      <c r="V3707" s="522" t="n"/>
      <c r="W3707" s="521" t="n"/>
    </row>
    <row r="3708">
      <c r="A3708" s="521" t="n">
        <v>3700</v>
      </c>
      <c r="B3708" s="522" t="n"/>
      <c r="C3708" s="522" t="inlineStr">
        <is>
          <t>អ៊ិចស្ពែឌីធ័រ ខេមបូឌា អិលធីឌី</t>
        </is>
      </c>
      <c r="D3708" s="522" t="inlineStr">
        <is>
          <t>L001-100045898</t>
        </is>
      </c>
      <c r="E3708" s="521" t="inlineStr">
        <is>
          <t>TI-0186278</t>
        </is>
      </c>
      <c r="F3708" s="523" t="n">
        <v>44139</v>
      </c>
      <c r="G3708" s="556" t="n">
        <v>469101</v>
      </c>
      <c r="I3708" s="521">
        <f>G3708</f>
        <v/>
      </c>
      <c r="K3708" s="521">
        <f>I3708-G3708</f>
        <v/>
      </c>
      <c r="M3708" s="522" t="inlineStr">
        <is>
          <t>TI0186278</t>
        </is>
      </c>
      <c r="N3708" s="522" t="inlineStr"/>
      <c r="O3708" s="521">
        <f>M3708=N3708</f>
        <v/>
      </c>
      <c r="P3708" s="521">
        <f>AND(MONTH(F3708)=MONTH(S3708), YEAR(F3708)=YEAR(S3708))</f>
        <v/>
      </c>
      <c r="Q3708" s="521">
        <f>U3708="L001-901905215"</f>
        <v/>
      </c>
      <c r="R3708" s="556">
        <f>G3708-W3708</f>
        <v/>
      </c>
      <c r="S3708" s="521" t="n"/>
      <c r="T3708" s="522" t="n"/>
      <c r="U3708" s="522" t="n"/>
      <c r="V3708" s="522" t="n"/>
      <c r="W3708" s="521" t="n"/>
    </row>
    <row r="3709">
      <c r="A3709" s="521" t="n">
        <v>3701</v>
      </c>
      <c r="B3709" s="522" t="n"/>
      <c r="C3709" s="522" t="inlineStr">
        <is>
          <t>ខេមបូឌាន វ៉ាយភីស៊ី ត្រេឌីង ឯ.ក</t>
        </is>
      </c>
      <c r="D3709" s="522" t="inlineStr">
        <is>
          <t>B108-901904896</t>
        </is>
      </c>
      <c r="E3709" s="521" t="inlineStr">
        <is>
          <t>2020-0091</t>
        </is>
      </c>
      <c r="F3709" s="523" t="n">
        <v>44139</v>
      </c>
      <c r="G3709" s="556" t="n">
        <v>7256781</v>
      </c>
      <c r="I3709" s="521">
        <f>G3709</f>
        <v/>
      </c>
      <c r="K3709" s="521">
        <f>I3709-G3709</f>
        <v/>
      </c>
      <c r="M3709" s="522" t="inlineStr">
        <is>
          <t>20200091</t>
        </is>
      </c>
      <c r="N3709" s="522" t="inlineStr"/>
      <c r="O3709" s="521">
        <f>M3709=N3709</f>
        <v/>
      </c>
      <c r="P3709" s="521">
        <f>AND(MONTH(F3709)=MONTH(S3709), YEAR(F3709)=YEAR(S3709))</f>
        <v/>
      </c>
      <c r="Q3709" s="521">
        <f>U3709="L001-901905215"</f>
        <v/>
      </c>
      <c r="R3709" s="556">
        <f>G3709-W3709</f>
        <v/>
      </c>
      <c r="S3709" s="521" t="n"/>
      <c r="T3709" s="522" t="n"/>
      <c r="U3709" s="522" t="n"/>
      <c r="V3709" s="522" t="n"/>
      <c r="W3709" s="521" t="n"/>
    </row>
    <row r="3710">
      <c r="A3710" s="521" t="n">
        <v>3702</v>
      </c>
      <c r="B3710" s="522" t="n"/>
      <c r="C3710" s="522" t="inlineStr">
        <is>
          <t>កំពង់ផែស្វយ័តក្រុងព្រះសីហនុ</t>
        </is>
      </c>
      <c r="D3710" s="522" t="inlineStr">
        <is>
          <t>L001-100044638</t>
        </is>
      </c>
      <c r="E3710" s="521" t="inlineStr">
        <is>
          <t>162719</t>
        </is>
      </c>
      <c r="F3710" s="523" t="n">
        <v>44139</v>
      </c>
      <c r="G3710" s="556" t="n">
        <v>104877</v>
      </c>
      <c r="I3710" s="521">
        <f>G3710</f>
        <v/>
      </c>
      <c r="K3710" s="521">
        <f>I3710-G3710</f>
        <v/>
      </c>
      <c r="M3710" s="522" t="inlineStr">
        <is>
          <t>162719</t>
        </is>
      </c>
      <c r="N3710" s="522" t="inlineStr"/>
      <c r="O3710" s="521">
        <f>M3710=N3710</f>
        <v/>
      </c>
      <c r="P3710" s="521">
        <f>AND(MONTH(F3710)=MONTH(S3710), YEAR(F3710)=YEAR(S3710))</f>
        <v/>
      </c>
      <c r="Q3710" s="521">
        <f>U3710="L001-901905215"</f>
        <v/>
      </c>
      <c r="R3710" s="556">
        <f>G3710-W3710</f>
        <v/>
      </c>
      <c r="S3710" s="521" t="n"/>
      <c r="T3710" s="522" t="n"/>
      <c r="U3710" s="522" t="n"/>
      <c r="V3710" s="522" t="n"/>
      <c r="W3710" s="521" t="n"/>
    </row>
    <row r="3711">
      <c r="A3711" s="521" t="n">
        <v>3703</v>
      </c>
      <c r="B3711" s="522" t="n"/>
      <c r="C3711" s="522" t="inlineStr">
        <is>
          <t>កំពង់ផែស្វយ័តក្រុងព្រះសីហនុ</t>
        </is>
      </c>
      <c r="D3711" s="522" t="inlineStr">
        <is>
          <t>L001-100044638</t>
        </is>
      </c>
      <c r="E3711" s="521" t="inlineStr">
        <is>
          <t>0162722</t>
        </is>
      </c>
      <c r="F3711" s="523" t="n">
        <v>44139</v>
      </c>
      <c r="G3711" s="556" t="n">
        <v>134145</v>
      </c>
      <c r="I3711" s="521">
        <f>G3711</f>
        <v/>
      </c>
      <c r="K3711" s="521">
        <f>I3711-G3711</f>
        <v/>
      </c>
      <c r="M3711" s="522" t="inlineStr">
        <is>
          <t>0162722</t>
        </is>
      </c>
      <c r="N3711" s="522" t="inlineStr"/>
      <c r="O3711" s="521">
        <f>M3711=N3711</f>
        <v/>
      </c>
      <c r="P3711" s="521">
        <f>AND(MONTH(F3711)=MONTH(S3711), YEAR(F3711)=YEAR(S3711))</f>
        <v/>
      </c>
      <c r="Q3711" s="521">
        <f>U3711="L001-901905215"</f>
        <v/>
      </c>
      <c r="R3711" s="556">
        <f>G3711-W3711</f>
        <v/>
      </c>
      <c r="S3711" s="521" t="n"/>
      <c r="T3711" s="522" t="n"/>
      <c r="U3711" s="522" t="n"/>
      <c r="V3711" s="522" t="n"/>
      <c r="W3711" s="521" t="n"/>
    </row>
    <row r="3712">
      <c r="A3712" s="521" t="n">
        <v>3704</v>
      </c>
      <c r="B3712" s="522" t="n"/>
      <c r="C3712" s="522" t="inlineStr">
        <is>
          <t>ស៊ីងហ្គាពួរ កាតុង (ខេមបូឌា)</t>
        </is>
      </c>
      <c r="D3712" s="522" t="inlineStr">
        <is>
          <t>L001-100121322</t>
        </is>
      </c>
      <c r="E3712" s="521" t="inlineStr">
        <is>
          <t>V0014709</t>
        </is>
      </c>
      <c r="F3712" s="523" t="n">
        <v>44138</v>
      </c>
      <c r="G3712" s="556" t="n">
        <v>473332</v>
      </c>
      <c r="I3712" s="521">
        <f>G3712</f>
        <v/>
      </c>
      <c r="K3712" s="521">
        <f>I3712-G3712</f>
        <v/>
      </c>
      <c r="M3712" s="522" t="inlineStr">
        <is>
          <t>V0014709</t>
        </is>
      </c>
      <c r="N3712" s="522" t="inlineStr">
        <is>
          <t>V0014709</t>
        </is>
      </c>
      <c r="O3712" s="521">
        <f>M3712=N3712</f>
        <v/>
      </c>
      <c r="P3712" s="521">
        <f>AND(MONTH(F3712)=MONTH(S3712), YEAR(F3712)=YEAR(S3712))</f>
        <v/>
      </c>
      <c r="Q3712" s="521">
        <f>U3712="L001-901905215"</f>
        <v/>
      </c>
      <c r="R3712" s="556">
        <f>G3712-W3712</f>
        <v/>
      </c>
      <c r="S3712" s="523" t="n">
        <v>44138</v>
      </c>
      <c r="T3712" s="522" t="inlineStr">
        <is>
          <t>V0014709</t>
        </is>
      </c>
      <c r="U3712" s="522" t="inlineStr">
        <is>
          <t>L001-901905215</t>
        </is>
      </c>
      <c r="V3712" s="522" t="inlineStr">
        <is>
          <t>វីអ៊ីស៊ិន (ខេមបូឌា) អ៊ិនដាសស្ទ្រី ឯ.ក</t>
        </is>
      </c>
      <c r="W3712" s="556" t="n">
        <v>471353</v>
      </c>
    </row>
    <row r="3713">
      <c r="A3713" s="521" t="n">
        <v>3705</v>
      </c>
      <c r="B3713" s="522" t="n"/>
      <c r="C3713" s="522" t="inlineStr">
        <is>
          <t>ស៊ីងហ្គាពួរ កាតុង (ខេមបូឌា)</t>
        </is>
      </c>
      <c r="D3713" s="522" t="inlineStr">
        <is>
          <t>L001-100121322</t>
        </is>
      </c>
      <c r="E3713" s="521" t="inlineStr">
        <is>
          <t>V0014707</t>
        </is>
      </c>
      <c r="F3713" s="523" t="n">
        <v>44137</v>
      </c>
      <c r="G3713" s="556" t="n">
        <v>371786</v>
      </c>
      <c r="I3713" s="521">
        <f>G3713</f>
        <v/>
      </c>
      <c r="K3713" s="521">
        <f>I3713-G3713</f>
        <v/>
      </c>
      <c r="M3713" s="522" t="inlineStr">
        <is>
          <t>V0014707</t>
        </is>
      </c>
      <c r="N3713" s="522" t="inlineStr">
        <is>
          <t>V0014707</t>
        </is>
      </c>
      <c r="O3713" s="521">
        <f>M3713=N3713</f>
        <v/>
      </c>
      <c r="P3713" s="521">
        <f>AND(MONTH(F3713)=MONTH(S3713), YEAR(F3713)=YEAR(S3713))</f>
        <v/>
      </c>
      <c r="Q3713" s="521">
        <f>U3713="L001-901905215"</f>
        <v/>
      </c>
      <c r="R3713" s="556">
        <f>G3713-W3713</f>
        <v/>
      </c>
      <c r="S3713" s="523" t="n">
        <v>44137</v>
      </c>
      <c r="T3713" s="522" t="inlineStr">
        <is>
          <t>V0014707</t>
        </is>
      </c>
      <c r="U3713" s="522" t="inlineStr">
        <is>
          <t>L001-901905215</t>
        </is>
      </c>
      <c r="V3713" s="522" t="inlineStr">
        <is>
          <t>វីអ៊ីស៊ិន (ខេមបូឌា) អ៊ិនដាសស្ទ្រី ឯ.ក</t>
        </is>
      </c>
      <c r="W3713" s="556" t="n">
        <v>370230</v>
      </c>
    </row>
    <row r="3714">
      <c r="A3714" s="521" t="n">
        <v>3706</v>
      </c>
      <c r="B3714" s="522" t="n"/>
      <c r="C3714" s="522" t="inlineStr">
        <is>
          <t>ស៊ីន ហ្វី យ៉ាង ព្រីនធីង &amp; អិកសេសសឺរី ឯ.ក</t>
        </is>
      </c>
      <c r="D3714" s="522" t="inlineStr">
        <is>
          <t>K010-901906822</t>
        </is>
      </c>
      <c r="E3714" s="521" t="inlineStr">
        <is>
          <t>XFY-YD2020051</t>
        </is>
      </c>
      <c r="F3714" s="523" t="n">
        <v>44136</v>
      </c>
      <c r="G3714" s="556" t="n">
        <v>4582514</v>
      </c>
      <c r="I3714" s="521">
        <f>G3714</f>
        <v/>
      </c>
      <c r="K3714" s="521">
        <f>I3714-G3714</f>
        <v/>
      </c>
      <c r="M3714" s="522" t="inlineStr">
        <is>
          <t>XFYYD2020051</t>
        </is>
      </c>
      <c r="N3714" s="522" t="inlineStr"/>
      <c r="O3714" s="521">
        <f>M3714=N3714</f>
        <v/>
      </c>
      <c r="P3714" s="521">
        <f>AND(MONTH(F3714)=MONTH(S3714), YEAR(F3714)=YEAR(S3714))</f>
        <v/>
      </c>
      <c r="Q3714" s="521">
        <f>U3714="L001-901905215"</f>
        <v/>
      </c>
      <c r="R3714" s="556">
        <f>G3714-W3714</f>
        <v/>
      </c>
      <c r="S3714" s="521" t="n"/>
      <c r="T3714" s="522" t="n"/>
      <c r="U3714" s="522" t="n"/>
      <c r="V3714" s="522" t="n"/>
      <c r="W3714" s="521" t="n"/>
    </row>
    <row r="3715">
      <c r="A3715" s="521" t="n">
        <v>3707</v>
      </c>
      <c r="B3715" s="522" t="n"/>
      <c r="C3715" s="522" t="inlineStr">
        <is>
          <t>ស្ត្រេតស៍ អ៊ិនធើណេសិនណល ភីធីអ៊ី អិលធីឌី</t>
        </is>
      </c>
      <c r="D3715" s="522" t="inlineStr">
        <is>
          <t>L001-100045162</t>
        </is>
      </c>
      <c r="E3715" s="521" t="inlineStr">
        <is>
          <t>2019710</t>
        </is>
      </c>
      <c r="F3715" s="523" t="n">
        <v>44136</v>
      </c>
      <c r="G3715" s="556" t="n">
        <v>203049</v>
      </c>
      <c r="I3715" s="521">
        <f>G3715</f>
        <v/>
      </c>
      <c r="K3715" s="521">
        <f>I3715-G3715</f>
        <v/>
      </c>
      <c r="M3715" s="522" t="inlineStr">
        <is>
          <t>2019710</t>
        </is>
      </c>
      <c r="N3715" s="522" t="inlineStr"/>
      <c r="O3715" s="521">
        <f>M3715=N3715</f>
        <v/>
      </c>
      <c r="P3715" s="521">
        <f>AND(MONTH(F3715)=MONTH(S3715), YEAR(F3715)=YEAR(S3715))</f>
        <v/>
      </c>
      <c r="Q3715" s="521">
        <f>U3715="L001-901905215"</f>
        <v/>
      </c>
      <c r="R3715" s="556">
        <f>G3715-W3715</f>
        <v/>
      </c>
      <c r="S3715" s="521" t="n"/>
      <c r="T3715" s="522" t="n"/>
      <c r="U3715" s="522" t="n"/>
      <c r="V3715" s="522" t="n"/>
      <c r="W3715" s="521" t="n"/>
    </row>
    <row r="3716">
      <c r="A3716" s="521" t="n">
        <v>3708</v>
      </c>
      <c r="B3716" s="522" t="n"/>
      <c r="C3716" s="522" t="inlineStr">
        <is>
          <t>មេគង្គ រីជើណល ស៊ីបភីង អេជេនស៊ី</t>
        </is>
      </c>
      <c r="D3716" s="522" t="inlineStr">
        <is>
          <t>K003-104010819</t>
        </is>
      </c>
      <c r="E3716" s="521" t="inlineStr">
        <is>
          <t>003658</t>
        </is>
      </c>
      <c r="F3716" s="523" t="n">
        <v>44136</v>
      </c>
      <c r="G3716" s="556" t="n">
        <v>20475</v>
      </c>
      <c r="I3716" s="521">
        <f>G3716</f>
        <v/>
      </c>
      <c r="K3716" s="521">
        <f>I3716-G3716</f>
        <v/>
      </c>
      <c r="M3716" s="522" t="inlineStr">
        <is>
          <t>003658</t>
        </is>
      </c>
      <c r="N3716" s="522" t="inlineStr"/>
      <c r="O3716" s="521">
        <f>M3716=N3716</f>
        <v/>
      </c>
      <c r="P3716" s="521">
        <f>AND(MONTH(F3716)=MONTH(S3716), YEAR(F3716)=YEAR(S3716))</f>
        <v/>
      </c>
      <c r="Q3716" s="521">
        <f>U3716="L001-901905215"</f>
        <v/>
      </c>
      <c r="R3716" s="556">
        <f>G3716-W3716</f>
        <v/>
      </c>
      <c r="S3716" s="521" t="n"/>
      <c r="T3716" s="522" t="n"/>
      <c r="U3716" s="522" t="n"/>
      <c r="V3716" s="522" t="n"/>
      <c r="W3716" s="521" t="n"/>
    </row>
    <row r="3717">
      <c r="A3717" s="521" t="n">
        <v>3709</v>
      </c>
      <c r="B3717" s="522" t="n"/>
      <c r="C3717" s="522" t="inlineStr">
        <is>
          <t>កំពង់ផែស្វយ័តភ្នំពេញ "ក.ស.ភ"</t>
        </is>
      </c>
      <c r="D3717" s="522" t="inlineStr">
        <is>
          <t>L001-100044999</t>
        </is>
      </c>
      <c r="E3717" s="521" t="inlineStr">
        <is>
          <t>INV20201051311</t>
        </is>
      </c>
      <c r="F3717" s="523" t="n">
        <v>44136</v>
      </c>
      <c r="G3717" s="556" t="n">
        <v>29047</v>
      </c>
      <c r="I3717" s="521">
        <f>G3717</f>
        <v/>
      </c>
      <c r="K3717" s="521">
        <f>I3717-G3717</f>
        <v/>
      </c>
      <c r="M3717" s="522" t="inlineStr">
        <is>
          <t>INV20201051311</t>
        </is>
      </c>
      <c r="N3717" s="522" t="inlineStr"/>
      <c r="O3717" s="521">
        <f>M3717=N3717</f>
        <v/>
      </c>
      <c r="P3717" s="521">
        <f>AND(MONTH(F3717)=MONTH(S3717), YEAR(F3717)=YEAR(S3717))</f>
        <v/>
      </c>
      <c r="Q3717" s="521">
        <f>U3717="L001-901905215"</f>
        <v/>
      </c>
      <c r="R3717" s="556">
        <f>G3717-W3717</f>
        <v/>
      </c>
      <c r="S3717" s="521" t="n"/>
      <c r="T3717" s="522" t="n"/>
      <c r="U3717" s="522" t="n"/>
      <c r="V3717" s="522" t="n"/>
      <c r="W3717" s="521" t="n"/>
    </row>
    <row r="3718">
      <c r="A3718" s="521" t="n">
        <v>3710</v>
      </c>
      <c r="B3718" s="522" t="n"/>
      <c r="C3718" s="522" t="inlineStr">
        <is>
          <t>កំពង់ផែស្វយ័តភ្នំពេញ "ក.ស.ភ"</t>
        </is>
      </c>
      <c r="D3718" s="522" t="inlineStr">
        <is>
          <t>L001-100044999</t>
        </is>
      </c>
      <c r="E3718" s="521" t="inlineStr">
        <is>
          <t>INV20201051310</t>
        </is>
      </c>
      <c r="F3718" s="523" t="n">
        <v>44136</v>
      </c>
      <c r="G3718" s="556" t="n">
        <v>116190</v>
      </c>
      <c r="I3718" s="521">
        <f>G3718</f>
        <v/>
      </c>
      <c r="K3718" s="521">
        <f>I3718-G3718</f>
        <v/>
      </c>
      <c r="M3718" s="522" t="inlineStr">
        <is>
          <t>INV20201051310</t>
        </is>
      </c>
      <c r="N3718" s="522" t="inlineStr"/>
      <c r="O3718" s="521">
        <f>M3718=N3718</f>
        <v/>
      </c>
      <c r="P3718" s="521">
        <f>AND(MONTH(F3718)=MONTH(S3718), YEAR(F3718)=YEAR(S3718))</f>
        <v/>
      </c>
      <c r="Q3718" s="521">
        <f>U3718="L001-901905215"</f>
        <v/>
      </c>
      <c r="R3718" s="556">
        <f>G3718-W3718</f>
        <v/>
      </c>
      <c r="S3718" s="521" t="n"/>
      <c r="T3718" s="522" t="n"/>
      <c r="U3718" s="522" t="n"/>
      <c r="V3718" s="522" t="n"/>
      <c r="W3718" s="521" t="n"/>
    </row>
    <row r="3719">
      <c r="A3719" s="521" t="n">
        <v>3711</v>
      </c>
      <c r="B3719" s="522" t="n"/>
      <c r="C3719" s="522" t="inlineStr">
        <is>
          <t>កំពង់ផែស្វយ័តក្រុងព្រះសីហនុ</t>
        </is>
      </c>
      <c r="D3719" s="522" t="inlineStr">
        <is>
          <t>L001-100044638</t>
        </is>
      </c>
      <c r="E3719" s="521" t="inlineStr">
        <is>
          <t>156603</t>
        </is>
      </c>
      <c r="F3719" s="523" t="n">
        <v>44136</v>
      </c>
      <c r="G3719" s="556" t="n">
        <v>88128</v>
      </c>
      <c r="I3719" s="521">
        <f>G3719</f>
        <v/>
      </c>
      <c r="K3719" s="521">
        <f>I3719-G3719</f>
        <v/>
      </c>
      <c r="M3719" s="522" t="inlineStr">
        <is>
          <t>156603</t>
        </is>
      </c>
      <c r="N3719" s="522" t="inlineStr"/>
      <c r="O3719" s="521">
        <f>M3719=N3719</f>
        <v/>
      </c>
      <c r="P3719" s="521">
        <f>AND(MONTH(F3719)=MONTH(S3719), YEAR(F3719)=YEAR(S3719))</f>
        <v/>
      </c>
      <c r="Q3719" s="521">
        <f>U3719="L001-901905215"</f>
        <v/>
      </c>
      <c r="R3719" s="556">
        <f>G3719-W3719</f>
        <v/>
      </c>
      <c r="S3719" s="521" t="n"/>
      <c r="T3719" s="522" t="n"/>
      <c r="U3719" s="522" t="n"/>
      <c r="V3719" s="522" t="n"/>
      <c r="W3719" s="521" t="n"/>
    </row>
    <row r="3720">
      <c r="A3720" s="521" t="n">
        <v>3712</v>
      </c>
      <c r="B3720" s="522" t="inlineStr">
        <is>
          <t>Documentation and Terminal handing service</t>
        </is>
      </c>
      <c r="C3720" s="522" t="inlineStr">
        <is>
          <t>មើស្គ (ខេមបូឌា)</t>
        </is>
      </c>
      <c r="D3720" s="522" t="inlineStr">
        <is>
          <t>L001-100045200</t>
        </is>
      </c>
      <c r="E3720" s="521" t="inlineStr">
        <is>
          <t>5995882686</t>
        </is>
      </c>
      <c r="F3720" s="523" t="n">
        <v>44512</v>
      </c>
      <c r="G3720" s="556" t="n">
        <v>218152</v>
      </c>
      <c r="I3720" s="521">
        <f>G3720</f>
        <v/>
      </c>
      <c r="K3720" s="521">
        <f>I3720-G3720</f>
        <v/>
      </c>
      <c r="M3720" s="522" t="inlineStr">
        <is>
          <t>5995882686</t>
        </is>
      </c>
      <c r="N3720" s="522" t="inlineStr">
        <is>
          <t>5995882686</t>
        </is>
      </c>
      <c r="O3720" s="521">
        <f>M3720=N3720</f>
        <v/>
      </c>
      <c r="P3720" s="521">
        <f>AND(MONTH(F3720)=MONTH(S3720), YEAR(F3720)=YEAR(S3720))</f>
        <v/>
      </c>
      <c r="Q3720" s="521">
        <f>U3720="L001-901905215"</f>
        <v/>
      </c>
      <c r="R3720" s="556">
        <f>G3720-W3720</f>
        <v/>
      </c>
      <c r="S3720" s="523" t="n">
        <v>44512</v>
      </c>
      <c r="T3720" s="522" t="inlineStr">
        <is>
          <t>5995882686</t>
        </is>
      </c>
      <c r="U3720" s="522" t="inlineStr">
        <is>
          <t>L001-901905215</t>
        </is>
      </c>
      <c r="V3720" s="522" t="inlineStr">
        <is>
          <t>វីអ៊ីស៊ិន (ខេមបូឌា) អ៊ិនដាសស្ទ្រី ឯ.ក</t>
        </is>
      </c>
      <c r="W3720" s="556" t="n">
        <v>218152</v>
      </c>
    </row>
    <row r="3721">
      <c r="A3721" s="521" t="n">
        <v>3713</v>
      </c>
      <c r="B3721" s="522" t="inlineStr">
        <is>
          <t>THC and DOC FEE</t>
        </is>
      </c>
      <c r="C3721" s="522" t="inlineStr">
        <is>
          <t>ស្ត្រេតស៍ អ៊ិនធើណេសិនណល ភីធីអ៊ី អិលធីឌី</t>
        </is>
      </c>
      <c r="D3721" s="522" t="inlineStr">
        <is>
          <t>L001-100045162</t>
        </is>
      </c>
      <c r="E3721" s="521" t="inlineStr">
        <is>
          <t>2121450</t>
        </is>
      </c>
      <c r="F3721" s="523" t="n">
        <v>44508</v>
      </c>
      <c r="G3721" s="556" t="n">
        <v>112035</v>
      </c>
      <c r="I3721" s="521">
        <f>G3721</f>
        <v/>
      </c>
      <c r="K3721" s="521">
        <f>I3721-G3721</f>
        <v/>
      </c>
      <c r="M3721" s="522" t="inlineStr">
        <is>
          <t>2121450</t>
        </is>
      </c>
      <c r="N3721" s="522" t="inlineStr">
        <is>
          <t>2121450</t>
        </is>
      </c>
      <c r="O3721" s="521">
        <f>M3721=N3721</f>
        <v/>
      </c>
      <c r="P3721" s="521">
        <f>AND(MONTH(F3721)=MONTH(S3721), YEAR(F3721)=YEAR(S3721))</f>
        <v/>
      </c>
      <c r="Q3721" s="521">
        <f>U3721="L001-901905215"</f>
        <v/>
      </c>
      <c r="R3721" s="556">
        <f>G3721-W3721</f>
        <v/>
      </c>
      <c r="S3721" s="523" t="n">
        <v>44508</v>
      </c>
      <c r="T3721" s="522" t="inlineStr">
        <is>
          <t>2121450</t>
        </is>
      </c>
      <c r="U3721" s="522" t="inlineStr">
        <is>
          <t>L001-901905215</t>
        </is>
      </c>
      <c r="V3721" s="522" t="inlineStr">
        <is>
          <t>វីអ៊ីស៊ិន (ខេមបូឌា) អ៊ិនដាសស្ទ្រី ឯ.ក</t>
        </is>
      </c>
      <c r="W3721" s="556" t="n">
        <v>112035</v>
      </c>
    </row>
    <row r="3722">
      <c r="A3722" s="521" t="n">
        <v>3714</v>
      </c>
      <c r="B3722" s="522" t="inlineStr">
        <is>
          <t>LIFT OFF</t>
        </is>
      </c>
      <c r="C3722" s="522" t="inlineStr">
        <is>
          <t>កំពង់ផែស្វយ័តក្រុងព្រះសីហនុ</t>
        </is>
      </c>
      <c r="D3722" s="522" t="inlineStr">
        <is>
          <t>L001-100044638</t>
        </is>
      </c>
      <c r="E3722" s="521" t="inlineStr">
        <is>
          <t>188195</t>
        </is>
      </c>
      <c r="F3722" s="523" t="n">
        <v>44515</v>
      </c>
      <c r="G3722" s="556" t="n">
        <v>35392</v>
      </c>
      <c r="I3722" s="521">
        <f>G3722</f>
        <v/>
      </c>
      <c r="K3722" s="521">
        <f>I3722-G3722</f>
        <v/>
      </c>
      <c r="M3722" s="522" t="inlineStr">
        <is>
          <t>188195</t>
        </is>
      </c>
      <c r="N3722" s="522" t="inlineStr"/>
      <c r="O3722" s="521">
        <f>M3722=N3722</f>
        <v/>
      </c>
      <c r="P3722" s="521">
        <f>AND(MONTH(F3722)=MONTH(S3722), YEAR(F3722)=YEAR(S3722))</f>
        <v/>
      </c>
      <c r="Q3722" s="521">
        <f>U3722="L001-901905215"</f>
        <v/>
      </c>
      <c r="R3722" s="556">
        <f>G3722-W3722</f>
        <v/>
      </c>
      <c r="S3722" s="521" t="n"/>
      <c r="T3722" s="522" t="n"/>
      <c r="U3722" s="522" t="n"/>
      <c r="V3722" s="522" t="n"/>
      <c r="W3722" s="521" t="n"/>
    </row>
    <row r="3723">
      <c r="A3723" s="521" t="n">
        <v>3715</v>
      </c>
      <c r="B3723" s="522" t="inlineStr">
        <is>
          <t>Documentation and Terminal handing service</t>
        </is>
      </c>
      <c r="C3723" s="522" t="inlineStr">
        <is>
          <t>មើស្គ (ខេមបូឌា)</t>
        </is>
      </c>
      <c r="D3723" s="522" t="inlineStr">
        <is>
          <t>L001-100045200</t>
        </is>
      </c>
      <c r="E3723" s="521" t="inlineStr">
        <is>
          <t>5995882162</t>
        </is>
      </c>
      <c r="F3723" s="523" t="n">
        <v>44502</v>
      </c>
      <c r="G3723" s="556" t="n">
        <v>314863</v>
      </c>
      <c r="I3723" s="521">
        <f>G3723</f>
        <v/>
      </c>
      <c r="K3723" s="521">
        <f>I3723-G3723</f>
        <v/>
      </c>
      <c r="M3723" s="522" t="inlineStr">
        <is>
          <t>5995882162</t>
        </is>
      </c>
      <c r="N3723" s="522" t="inlineStr">
        <is>
          <t>5995882162</t>
        </is>
      </c>
      <c r="O3723" s="521">
        <f>M3723=N3723</f>
        <v/>
      </c>
      <c r="P3723" s="521">
        <f>AND(MONTH(F3723)=MONTH(S3723), YEAR(F3723)=YEAR(S3723))</f>
        <v/>
      </c>
      <c r="Q3723" s="521">
        <f>U3723="L001-901905215"</f>
        <v/>
      </c>
      <c r="R3723" s="556">
        <f>G3723-W3723</f>
        <v/>
      </c>
      <c r="S3723" s="523" t="n">
        <v>44502</v>
      </c>
      <c r="T3723" s="522" t="inlineStr">
        <is>
          <t>5995882162</t>
        </is>
      </c>
      <c r="U3723" s="522" t="inlineStr">
        <is>
          <t>L001-901905215</t>
        </is>
      </c>
      <c r="V3723" s="522" t="inlineStr">
        <is>
          <t>វីអ៊ីស៊ិន (ខេមបូឌា) អ៊ិនដាសស្ទ្រី ឯ.ក</t>
        </is>
      </c>
      <c r="W3723" s="556" t="n">
        <v>314863</v>
      </c>
    </row>
    <row r="3724">
      <c r="A3724" s="521" t="n">
        <v>3716</v>
      </c>
      <c r="B3724" s="522" t="inlineStr">
        <is>
          <t>Documentation and Terminal handing service</t>
        </is>
      </c>
      <c r="C3724" s="522" t="inlineStr">
        <is>
          <t>មើស្គ (ខេមបូឌា)</t>
        </is>
      </c>
      <c r="D3724" s="522" t="inlineStr">
        <is>
          <t>L001-100045200</t>
        </is>
      </c>
      <c r="E3724" s="521" t="inlineStr">
        <is>
          <t>5995881941</t>
        </is>
      </c>
      <c r="F3724" s="523" t="n">
        <v>44501</v>
      </c>
      <c r="G3724" s="556" t="n">
        <v>412086</v>
      </c>
      <c r="I3724" s="521">
        <f>G3724</f>
        <v/>
      </c>
      <c r="K3724" s="521">
        <f>I3724-G3724</f>
        <v/>
      </c>
      <c r="M3724" s="522" t="inlineStr">
        <is>
          <t>5995881941</t>
        </is>
      </c>
      <c r="N3724" s="522" t="inlineStr"/>
      <c r="O3724" s="521">
        <f>M3724=N3724</f>
        <v/>
      </c>
      <c r="P3724" s="521">
        <f>AND(MONTH(F3724)=MONTH(S3724), YEAR(F3724)=YEAR(S3724))</f>
        <v/>
      </c>
      <c r="Q3724" s="521">
        <f>U3724="L001-901905215"</f>
        <v/>
      </c>
      <c r="R3724" s="556">
        <f>G3724-W3724</f>
        <v/>
      </c>
      <c r="S3724" s="521" t="n"/>
      <c r="T3724" s="522" t="n"/>
      <c r="U3724" s="522" t="n"/>
      <c r="V3724" s="522" t="n"/>
      <c r="W3724" s="521" t="n"/>
    </row>
    <row r="3725">
      <c r="A3725" s="521" t="n">
        <v>3717</v>
      </c>
      <c r="B3725" s="522" t="inlineStr">
        <is>
          <t>Documentation and Terminal handing service</t>
        </is>
      </c>
      <c r="C3725" s="522" t="inlineStr">
        <is>
          <t>មើស្គ (ខេមបូឌា)</t>
        </is>
      </c>
      <c r="D3725" s="522" t="inlineStr">
        <is>
          <t>L001-100045200</t>
        </is>
      </c>
      <c r="E3725" s="521" t="inlineStr">
        <is>
          <t>5995881505</t>
        </is>
      </c>
      <c r="F3725" s="523" t="n">
        <v>44501</v>
      </c>
      <c r="G3725" s="556" t="n">
        <v>121375</v>
      </c>
      <c r="I3725" s="521">
        <f>G3725</f>
        <v/>
      </c>
      <c r="K3725" s="521">
        <f>I3725-G3725</f>
        <v/>
      </c>
      <c r="M3725" s="522" t="inlineStr">
        <is>
          <t>5995881505</t>
        </is>
      </c>
      <c r="N3725" s="522" t="inlineStr"/>
      <c r="O3725" s="521">
        <f>M3725=N3725</f>
        <v/>
      </c>
      <c r="P3725" s="521">
        <f>AND(MONTH(F3725)=MONTH(S3725), YEAR(F3725)=YEAR(S3725))</f>
        <v/>
      </c>
      <c r="Q3725" s="521">
        <f>U3725="L001-901905215"</f>
        <v/>
      </c>
      <c r="R3725" s="556">
        <f>G3725-W3725</f>
        <v/>
      </c>
      <c r="S3725" s="521" t="n"/>
      <c r="T3725" s="522" t="n"/>
      <c r="U3725" s="522" t="n"/>
      <c r="V3725" s="522" t="n"/>
      <c r="W3725" s="521" t="n"/>
    </row>
    <row r="3726">
      <c r="A3726" s="521" t="n">
        <v>3718</v>
      </c>
      <c r="B3726" s="522" t="inlineStr">
        <is>
          <t>EIB, EMF</t>
        </is>
      </c>
      <c r="C3726" s="522" t="inlineStr">
        <is>
          <t>អេសអាយធីស៊ី ខិនថេនើរ ឡាញ (ខេមបូឌា)</t>
        </is>
      </c>
      <c r="D3726" s="522" t="inlineStr">
        <is>
          <t>L001-107035863</t>
        </is>
      </c>
      <c r="E3726" s="521" t="inlineStr">
        <is>
          <t>SITC2021-019853</t>
        </is>
      </c>
      <c r="F3726" s="523" t="n">
        <v>44501</v>
      </c>
      <c r="G3726" s="556" t="n">
        <v>429385</v>
      </c>
      <c r="I3726" s="521">
        <f>G3726</f>
        <v/>
      </c>
      <c r="K3726" s="521">
        <f>I3726-G3726</f>
        <v/>
      </c>
      <c r="M3726" s="522" t="inlineStr">
        <is>
          <t>SITC2021019853</t>
        </is>
      </c>
      <c r="N3726" s="522" t="inlineStr"/>
      <c r="O3726" s="521">
        <f>M3726=N3726</f>
        <v/>
      </c>
      <c r="P3726" s="521">
        <f>AND(MONTH(F3726)=MONTH(S3726), YEAR(F3726)=YEAR(S3726))</f>
        <v/>
      </c>
      <c r="Q3726" s="521">
        <f>U3726="L001-901905215"</f>
        <v/>
      </c>
      <c r="R3726" s="556">
        <f>G3726-W3726</f>
        <v/>
      </c>
      <c r="S3726" s="521" t="n"/>
      <c r="T3726" s="522" t="n"/>
      <c r="U3726" s="522" t="n"/>
      <c r="V3726" s="522" t="n"/>
      <c r="W3726" s="521" t="n"/>
    </row>
    <row r="3727">
      <c r="A3727" s="521" t="n">
        <v>3719</v>
      </c>
      <c r="B3727" s="522" t="inlineStr">
        <is>
          <t>Documentation and Terminal handing service</t>
        </is>
      </c>
      <c r="C3727" s="522" t="inlineStr">
        <is>
          <t>មើស្គ (ខេមបូឌា)</t>
        </is>
      </c>
      <c r="D3727" s="522" t="inlineStr">
        <is>
          <t>L001-100045200</t>
        </is>
      </c>
      <c r="E3727" s="521" t="inlineStr">
        <is>
          <t>5995881184</t>
        </is>
      </c>
      <c r="F3727" s="523" t="n">
        <v>44501</v>
      </c>
      <c r="G3727" s="556" t="n">
        <v>315792</v>
      </c>
      <c r="I3727" s="521">
        <f>G3727</f>
        <v/>
      </c>
      <c r="K3727" s="521">
        <f>I3727-G3727</f>
        <v/>
      </c>
      <c r="M3727" s="522" t="inlineStr">
        <is>
          <t>5995881184</t>
        </is>
      </c>
      <c r="N3727" s="522" t="inlineStr"/>
      <c r="O3727" s="521">
        <f>M3727=N3727</f>
        <v/>
      </c>
      <c r="P3727" s="521">
        <f>AND(MONTH(F3727)=MONTH(S3727), YEAR(F3727)=YEAR(S3727))</f>
        <v/>
      </c>
      <c r="Q3727" s="521">
        <f>U3727="L001-901905215"</f>
        <v/>
      </c>
      <c r="R3727" s="556">
        <f>G3727-W3727</f>
        <v/>
      </c>
      <c r="S3727" s="521" t="n"/>
      <c r="T3727" s="522" t="n"/>
      <c r="U3727" s="522" t="n"/>
      <c r="V3727" s="522" t="n"/>
      <c r="W3727" s="521" t="n"/>
    </row>
    <row r="3728">
      <c r="A3728" s="521" t="n">
        <v>3720</v>
      </c>
      <c r="B3728" s="522" t="inlineStr">
        <is>
          <t>ក្រដាសកាតុង​ធ្វើកេស</t>
        </is>
      </c>
      <c r="C3728" s="522" t="inlineStr">
        <is>
          <t>យី មីង ភែកឃីជីង ឯ.ក</t>
        </is>
      </c>
      <c r="D3728" s="522" t="inlineStr">
        <is>
          <t>B108-902101335</t>
        </is>
      </c>
      <c r="E3728" s="521" t="inlineStr">
        <is>
          <t>YM-0006</t>
        </is>
      </c>
      <c r="F3728" s="523" t="n">
        <v>44530</v>
      </c>
      <c r="G3728" s="556" t="n">
        <v>16970778</v>
      </c>
      <c r="I3728" s="521">
        <f>G3728</f>
        <v/>
      </c>
      <c r="K3728" s="521">
        <f>I3728-G3728</f>
        <v/>
      </c>
      <c r="M3728" s="522" t="inlineStr">
        <is>
          <t>YM0006</t>
        </is>
      </c>
      <c r="N3728" s="522" t="inlineStr">
        <is>
          <t>YM0006</t>
        </is>
      </c>
      <c r="O3728" s="521">
        <f>M3728=N3728</f>
        <v/>
      </c>
      <c r="P3728" s="521">
        <f>AND(MONTH(F3728)=MONTH(S3728), YEAR(F3728)=YEAR(S3728))</f>
        <v/>
      </c>
      <c r="Q3728" s="521">
        <f>U3728="L001-901905215"</f>
        <v/>
      </c>
      <c r="R3728" s="556">
        <f>G3728-W3728</f>
        <v/>
      </c>
      <c r="S3728" s="523" t="n">
        <v>44530</v>
      </c>
      <c r="T3728" s="522" t="inlineStr">
        <is>
          <t>YM-0006</t>
        </is>
      </c>
      <c r="U3728" s="522" t="inlineStr">
        <is>
          <t>L001-901905215</t>
        </is>
      </c>
      <c r="V3728" s="522" t="inlineStr">
        <is>
          <t>វីអ៊ីស៊ិន (ខេមបូឌា) អ៊ិនដាសស្ទ្រី ឯ.ក</t>
        </is>
      </c>
      <c r="W3728" s="556" t="n">
        <v>16970778</v>
      </c>
    </row>
    <row r="3729">
      <c r="A3729" s="521" t="n">
        <v>3721</v>
      </c>
      <c r="B3729" s="522" t="inlineStr">
        <is>
          <t>Paper Label</t>
        </is>
      </c>
      <c r="C3729" s="522" t="inlineStr">
        <is>
          <t>ស៊ីន ហ្វី យ៉ាង ព្រីនធីង &amp; អិកសេសសឺរី ឯ.ក</t>
        </is>
      </c>
      <c r="D3729" s="522" t="inlineStr">
        <is>
          <t>K010-901906822</t>
        </is>
      </c>
      <c r="E3729" s="521" t="inlineStr">
        <is>
          <t>XFY-YD2021174</t>
        </is>
      </c>
      <c r="F3729" s="523" t="n">
        <v>44530</v>
      </c>
      <c r="G3729" s="556" t="n">
        <v>3140780</v>
      </c>
      <c r="I3729" s="521">
        <f>G3729</f>
        <v/>
      </c>
      <c r="K3729" s="521">
        <f>I3729-G3729</f>
        <v/>
      </c>
      <c r="M3729" s="522" t="inlineStr">
        <is>
          <t>XFYYD2021174</t>
        </is>
      </c>
      <c r="N3729" s="522" t="inlineStr">
        <is>
          <t>XFYYD2021174</t>
        </is>
      </c>
      <c r="O3729" s="521">
        <f>M3729=N3729</f>
        <v/>
      </c>
      <c r="P3729" s="521">
        <f>AND(MONTH(F3729)=MONTH(S3729), YEAR(F3729)=YEAR(S3729))</f>
        <v/>
      </c>
      <c r="Q3729" s="521">
        <f>U3729="L001-901905215"</f>
        <v/>
      </c>
      <c r="R3729" s="556">
        <f>G3729-W3729</f>
        <v/>
      </c>
      <c r="S3729" s="523" t="n">
        <v>44530</v>
      </c>
      <c r="T3729" s="522" t="inlineStr">
        <is>
          <t>XFY-YD2021174</t>
        </is>
      </c>
      <c r="U3729" s="522" t="inlineStr">
        <is>
          <t>L001-901905215</t>
        </is>
      </c>
      <c r="V3729" s="522" t="inlineStr">
        <is>
          <t>វីអ៊ីស៊ិន (ខេមបូឌា) អ៊ិនដាសស្ទ្រី ឯ.ក</t>
        </is>
      </c>
      <c r="W3729" s="556" t="n">
        <v>3140780</v>
      </c>
    </row>
    <row r="3730">
      <c r="A3730" s="521" t="n">
        <v>3722</v>
      </c>
      <c r="B3730" s="522" t="inlineStr">
        <is>
          <t>Stretch Film</t>
        </is>
      </c>
      <c r="C3730" s="522" t="inlineStr">
        <is>
          <t>ស៊ីន ឌីងយ័ន ស៊ូ មេធៀរៀល ឯ.ក</t>
        </is>
      </c>
      <c r="D3730" s="522" t="inlineStr">
        <is>
          <t>K010-902100418</t>
        </is>
      </c>
      <c r="E3730" s="521" t="inlineStr">
        <is>
          <t>0000096</t>
        </is>
      </c>
      <c r="F3730" s="523" t="n">
        <v>44529</v>
      </c>
      <c r="G3730" s="556" t="n">
        <v>264485</v>
      </c>
      <c r="I3730" s="521">
        <f>G3730</f>
        <v/>
      </c>
      <c r="K3730" s="521">
        <f>I3730-G3730</f>
        <v/>
      </c>
      <c r="M3730" s="522" t="inlineStr">
        <is>
          <t>0000096</t>
        </is>
      </c>
      <c r="N3730" s="522" t="inlineStr">
        <is>
          <t>0000096</t>
        </is>
      </c>
      <c r="O3730" s="521">
        <f>M3730=N3730</f>
        <v/>
      </c>
      <c r="P3730" s="521">
        <f>AND(MONTH(F3730)=MONTH(S3730), YEAR(F3730)=YEAR(S3730))</f>
        <v/>
      </c>
      <c r="Q3730" s="521">
        <f>U3730="L001-901905215"</f>
        <v/>
      </c>
      <c r="R3730" s="556">
        <f>G3730-W3730</f>
        <v/>
      </c>
      <c r="S3730" s="523" t="n">
        <v>44529</v>
      </c>
      <c r="T3730" s="522" t="inlineStr">
        <is>
          <t>0000096</t>
        </is>
      </c>
      <c r="U3730" s="522" t="inlineStr">
        <is>
          <t>L001-901905215</t>
        </is>
      </c>
      <c r="V3730" s="522" t="inlineStr">
        <is>
          <t>វីអ៊ីស៊ិន (ខេមបូឌា) អ៊ិនដាសស្ទ្រី ឯ.ក</t>
        </is>
      </c>
      <c r="W3730" s="556" t="n">
        <v>264485</v>
      </c>
    </row>
    <row r="3731">
      <c r="A3731" s="521" t="n">
        <v>3723</v>
      </c>
      <c r="B3731" s="522" t="inlineStr">
        <is>
          <t>Color Box</t>
        </is>
      </c>
      <c r="C3731" s="522" t="inlineStr">
        <is>
          <t>វីង ចេង ភែកឃីជីង ឯ.ក</t>
        </is>
      </c>
      <c r="D3731" s="522" t="inlineStr">
        <is>
          <t>L001-902102915</t>
        </is>
      </c>
      <c r="E3731" s="521" t="inlineStr">
        <is>
          <t>TI0100</t>
        </is>
      </c>
      <c r="F3731" s="523" t="n">
        <v>44530</v>
      </c>
      <c r="G3731" s="556" t="n">
        <v>59187732</v>
      </c>
      <c r="I3731" s="521">
        <f>G3731</f>
        <v/>
      </c>
      <c r="K3731" s="521">
        <f>I3731-G3731</f>
        <v/>
      </c>
      <c r="M3731" s="522" t="inlineStr">
        <is>
          <t>TI0100</t>
        </is>
      </c>
      <c r="N3731" s="522" t="inlineStr">
        <is>
          <t>TI0100</t>
        </is>
      </c>
      <c r="O3731" s="521">
        <f>M3731=N3731</f>
        <v/>
      </c>
      <c r="P3731" s="521">
        <f>AND(MONTH(F3731)=MONTH(S3731), YEAR(F3731)=YEAR(S3731))</f>
        <v/>
      </c>
      <c r="Q3731" s="521">
        <f>U3731="L001-901905215"</f>
        <v/>
      </c>
      <c r="R3731" s="556">
        <f>G3731-W3731</f>
        <v/>
      </c>
      <c r="S3731" s="523" t="n">
        <v>44530</v>
      </c>
      <c r="T3731" s="522" t="inlineStr">
        <is>
          <t>TI0100</t>
        </is>
      </c>
      <c r="U3731" s="522" t="inlineStr">
        <is>
          <t>L001-901905215</t>
        </is>
      </c>
      <c r="V3731" s="522" t="inlineStr">
        <is>
          <t>វីអ៊ីស៊ិន (ខេមបូឌា) អ៊ិនដាសស្ទ្រី ឯ.ក</t>
        </is>
      </c>
      <c r="W3731" s="556" t="n">
        <v>59187731</v>
      </c>
    </row>
    <row r="3732">
      <c r="A3732" s="521" t="n">
        <v>3724</v>
      </c>
      <c r="B3732" s="522" t="inlineStr">
        <is>
          <t>កេសកាតុង</t>
        </is>
      </c>
      <c r="C3732" s="522" t="inlineStr">
        <is>
          <t>ស៊ីងហ្គាពួរ កាតុង (ខេមបូឌា)</t>
        </is>
      </c>
      <c r="D3732" s="522" t="inlineStr">
        <is>
          <t>L001-100121322</t>
        </is>
      </c>
      <c r="E3732" s="521" t="inlineStr">
        <is>
          <t>V0017887</t>
        </is>
      </c>
      <c r="F3732" s="523" t="n">
        <v>44527</v>
      </c>
      <c r="G3732" s="556" t="n">
        <v>1015793</v>
      </c>
      <c r="I3732" s="521">
        <f>G3732</f>
        <v/>
      </c>
      <c r="K3732" s="521">
        <f>I3732-G3732</f>
        <v/>
      </c>
      <c r="M3732" s="522" t="inlineStr">
        <is>
          <t>V0017887</t>
        </is>
      </c>
      <c r="N3732" s="522" t="inlineStr">
        <is>
          <t>V0017887</t>
        </is>
      </c>
      <c r="O3732" s="521">
        <f>M3732=N3732</f>
        <v/>
      </c>
      <c r="P3732" s="521">
        <f>AND(MONTH(F3732)=MONTH(S3732), YEAR(F3732)=YEAR(S3732))</f>
        <v/>
      </c>
      <c r="Q3732" s="521">
        <f>U3732="L001-901905215"</f>
        <v/>
      </c>
      <c r="R3732" s="556">
        <f>G3732-W3732</f>
        <v/>
      </c>
      <c r="S3732" s="523" t="n">
        <v>44525</v>
      </c>
      <c r="T3732" s="522" t="inlineStr">
        <is>
          <t>V0017887</t>
        </is>
      </c>
      <c r="U3732" s="522" t="inlineStr">
        <is>
          <t>L001-901905215</t>
        </is>
      </c>
      <c r="V3732" s="522" t="inlineStr">
        <is>
          <t>វីអ៊ីស៊ិន (ខេមបូឌា) អ៊ិនដាសស្ទ្រី ឯ.ក</t>
        </is>
      </c>
      <c r="W3732" s="556" t="n">
        <v>1015793</v>
      </c>
    </row>
    <row r="3733">
      <c r="A3733" s="521" t="n">
        <v>3725</v>
      </c>
      <c r="B3733" s="522" t="inlineStr">
        <is>
          <t>កេសកាតុង</t>
        </is>
      </c>
      <c r="C3733" s="522" t="inlineStr">
        <is>
          <t>ស៊ីងហ្គាពួរ កាតុង (ខេមបូឌា)</t>
        </is>
      </c>
      <c r="D3733" s="522" t="inlineStr">
        <is>
          <t>L001-100121322</t>
        </is>
      </c>
      <c r="E3733" s="521" t="inlineStr">
        <is>
          <t>V0017914</t>
        </is>
      </c>
      <c r="F3733" s="523" t="n">
        <v>44523</v>
      </c>
      <c r="G3733" s="556" t="n">
        <v>671369</v>
      </c>
      <c r="I3733" s="521">
        <f>G3733</f>
        <v/>
      </c>
      <c r="K3733" s="521">
        <f>I3733-G3733</f>
        <v/>
      </c>
      <c r="M3733" s="522" t="inlineStr">
        <is>
          <t>V0017914</t>
        </is>
      </c>
      <c r="N3733" s="522" t="inlineStr">
        <is>
          <t>V0017914</t>
        </is>
      </c>
      <c r="O3733" s="521">
        <f>M3733=N3733</f>
        <v/>
      </c>
      <c r="P3733" s="521">
        <f>AND(MONTH(F3733)=MONTH(S3733), YEAR(F3733)=YEAR(S3733))</f>
        <v/>
      </c>
      <c r="Q3733" s="521">
        <f>U3733="L001-901905215"</f>
        <v/>
      </c>
      <c r="R3733" s="556">
        <f>G3733-W3733</f>
        <v/>
      </c>
      <c r="S3733" s="523" t="n">
        <v>44527</v>
      </c>
      <c r="T3733" s="522" t="inlineStr">
        <is>
          <t>V0017914</t>
        </is>
      </c>
      <c r="U3733" s="522" t="inlineStr">
        <is>
          <t>L001-901905215</t>
        </is>
      </c>
      <c r="V3733" s="522" t="inlineStr">
        <is>
          <t>វីអ៊ីស៊ិន (ខេមបូឌា) អ៊ិនដាសស្ទ្រី ឯ.ក</t>
        </is>
      </c>
      <c r="W3733" s="556" t="n">
        <v>671370</v>
      </c>
    </row>
    <row r="3734">
      <c r="A3734" s="521" t="n">
        <v>3726</v>
      </c>
      <c r="B3734" s="522" t="inlineStr">
        <is>
          <t>កេសកាតុង</t>
        </is>
      </c>
      <c r="C3734" s="522" t="inlineStr">
        <is>
          <t>ស៊ីងហ្គាពួរ កាតុង (ខេមបូឌា)</t>
        </is>
      </c>
      <c r="D3734" s="522" t="inlineStr">
        <is>
          <t>L001-100121322</t>
        </is>
      </c>
      <c r="E3734" s="521" t="inlineStr">
        <is>
          <t>V0017645</t>
        </is>
      </c>
      <c r="F3734" s="523" t="n">
        <v>44503</v>
      </c>
      <c r="G3734" s="556" t="n">
        <v>619352</v>
      </c>
      <c r="I3734" s="521">
        <f>G3734</f>
        <v/>
      </c>
      <c r="K3734" s="521">
        <f>I3734-G3734</f>
        <v/>
      </c>
      <c r="M3734" s="522" t="inlineStr">
        <is>
          <t>V0017645</t>
        </is>
      </c>
      <c r="N3734" s="522" t="inlineStr">
        <is>
          <t>V0017645</t>
        </is>
      </c>
      <c r="O3734" s="521">
        <f>M3734=N3734</f>
        <v/>
      </c>
      <c r="P3734" s="521">
        <f>AND(MONTH(F3734)=MONTH(S3734), YEAR(F3734)=YEAR(S3734))</f>
        <v/>
      </c>
      <c r="Q3734" s="521">
        <f>U3734="L001-901905215"</f>
        <v/>
      </c>
      <c r="R3734" s="556">
        <f>G3734-W3734</f>
        <v/>
      </c>
      <c r="S3734" s="523" t="n">
        <v>44503</v>
      </c>
      <c r="T3734" s="522" t="inlineStr">
        <is>
          <t>V0017645</t>
        </is>
      </c>
      <c r="U3734" s="522" t="inlineStr">
        <is>
          <t>L001-901905215</t>
        </is>
      </c>
      <c r="V3734" s="522" t="inlineStr">
        <is>
          <t>វីអ៊ីស៊ិន (ខេមបូឌា) អ៊ិនដាសស្ទ្រី ឯ.ក</t>
        </is>
      </c>
      <c r="W3734" s="556" t="n">
        <v>619202</v>
      </c>
    </row>
    <row r="3735">
      <c r="A3735" s="521" t="n">
        <v>3727</v>
      </c>
      <c r="B3735" s="522" t="inlineStr">
        <is>
          <t>កេសកាតុង</t>
        </is>
      </c>
      <c r="C3735" s="522" t="inlineStr">
        <is>
          <t>ស៊ីងហ្គាពួរ កាតុង (ខេមបូឌា)</t>
        </is>
      </c>
      <c r="D3735" s="522" t="inlineStr">
        <is>
          <t>L001-100121322</t>
        </is>
      </c>
      <c r="E3735" s="521" t="inlineStr">
        <is>
          <t>V0017687</t>
        </is>
      </c>
      <c r="F3735" s="523" t="n">
        <v>44505</v>
      </c>
      <c r="G3735" s="556" t="n">
        <v>382605</v>
      </c>
      <c r="I3735" s="521">
        <f>G3735</f>
        <v/>
      </c>
      <c r="K3735" s="521">
        <f>I3735-G3735</f>
        <v/>
      </c>
      <c r="M3735" s="522" t="inlineStr">
        <is>
          <t>V0017687</t>
        </is>
      </c>
      <c r="N3735" s="522" t="inlineStr">
        <is>
          <t>V0017687</t>
        </is>
      </c>
      <c r="O3735" s="521">
        <f>M3735=N3735</f>
        <v/>
      </c>
      <c r="P3735" s="521">
        <f>AND(MONTH(F3735)=MONTH(S3735), YEAR(F3735)=YEAR(S3735))</f>
        <v/>
      </c>
      <c r="Q3735" s="521">
        <f>U3735="L001-901905215"</f>
        <v/>
      </c>
      <c r="R3735" s="556">
        <f>G3735-W3735</f>
        <v/>
      </c>
      <c r="S3735" s="523" t="n">
        <v>44505</v>
      </c>
      <c r="T3735" s="522" t="inlineStr">
        <is>
          <t>V0017687</t>
        </is>
      </c>
      <c r="U3735" s="522" t="inlineStr">
        <is>
          <t>L001-901905215</t>
        </is>
      </c>
      <c r="V3735" s="522" t="inlineStr">
        <is>
          <t>វីអ៊ីស៊ិន (ខេមបូឌា) អ៊ិនដាសស្ទ្រី ឯ.ក</t>
        </is>
      </c>
      <c r="W3735" s="556" t="n">
        <v>382323</v>
      </c>
    </row>
    <row r="3736">
      <c r="A3736" s="521" t="n">
        <v>3728</v>
      </c>
      <c r="B3736" s="522" t="inlineStr">
        <is>
          <t>កេសកាតុង</t>
        </is>
      </c>
      <c r="C3736" s="522" t="inlineStr">
        <is>
          <t>ស៊ីងហ្គាពួរ កាតុង (ខេមបូឌា)</t>
        </is>
      </c>
      <c r="D3736" s="522" t="inlineStr">
        <is>
          <t>L001-100121322</t>
        </is>
      </c>
      <c r="E3736" s="521" t="inlineStr">
        <is>
          <t>V0017712</t>
        </is>
      </c>
      <c r="F3736" s="523" t="n">
        <v>44508</v>
      </c>
      <c r="G3736" s="556" t="n">
        <v>680765</v>
      </c>
      <c r="I3736" s="521">
        <f>G3736</f>
        <v/>
      </c>
      <c r="K3736" s="521">
        <f>I3736-G3736</f>
        <v/>
      </c>
      <c r="M3736" s="522" t="inlineStr">
        <is>
          <t>V0017712</t>
        </is>
      </c>
      <c r="N3736" s="522" t="inlineStr">
        <is>
          <t>V0017712</t>
        </is>
      </c>
      <c r="O3736" s="521">
        <f>M3736=N3736</f>
        <v/>
      </c>
      <c r="P3736" s="521">
        <f>AND(MONTH(F3736)=MONTH(S3736), YEAR(F3736)=YEAR(S3736))</f>
        <v/>
      </c>
      <c r="Q3736" s="521">
        <f>U3736="L001-901905215"</f>
        <v/>
      </c>
      <c r="R3736" s="556">
        <f>G3736-W3736</f>
        <v/>
      </c>
      <c r="S3736" s="523" t="n">
        <v>44508</v>
      </c>
      <c r="T3736" s="522" t="inlineStr">
        <is>
          <t>V0017712</t>
        </is>
      </c>
      <c r="U3736" s="522" t="inlineStr">
        <is>
          <t>L001-901905215</t>
        </is>
      </c>
      <c r="V3736" s="522" t="inlineStr">
        <is>
          <t>វីអ៊ីស៊ិន (ខេមបូឌា) អ៊ិនដាសស្ទ្រី ឯ.ក</t>
        </is>
      </c>
      <c r="W3736" s="556" t="n">
        <v>679930</v>
      </c>
    </row>
    <row r="3737">
      <c r="A3737" s="521" t="n">
        <v>3729</v>
      </c>
      <c r="B3737" s="522" t="inlineStr">
        <is>
          <t>កេសកាតុង</t>
        </is>
      </c>
      <c r="C3737" s="522" t="inlineStr">
        <is>
          <t>ស៊ីងហ្គាពួរ កាតុង (ខេមបូឌា)</t>
        </is>
      </c>
      <c r="D3737" s="522" t="inlineStr">
        <is>
          <t>L001-100121322</t>
        </is>
      </c>
      <c r="E3737" s="521" t="inlineStr">
        <is>
          <t>V0017718</t>
        </is>
      </c>
      <c r="F3737" s="523" t="n">
        <v>44509</v>
      </c>
      <c r="G3737" s="556" t="n">
        <v>790458</v>
      </c>
      <c r="I3737" s="521">
        <f>G3737</f>
        <v/>
      </c>
      <c r="K3737" s="521">
        <f>I3737-G3737</f>
        <v/>
      </c>
      <c r="M3737" s="522" t="inlineStr">
        <is>
          <t>V0017718</t>
        </is>
      </c>
      <c r="N3737" s="522" t="inlineStr">
        <is>
          <t>V0017718</t>
        </is>
      </c>
      <c r="O3737" s="521">
        <f>M3737=N3737</f>
        <v/>
      </c>
      <c r="P3737" s="521">
        <f>AND(MONTH(F3737)=MONTH(S3737), YEAR(F3737)=YEAR(S3737))</f>
        <v/>
      </c>
      <c r="Q3737" s="521">
        <f>U3737="L001-901905215"</f>
        <v/>
      </c>
      <c r="R3737" s="556">
        <f>G3737-W3737</f>
        <v/>
      </c>
      <c r="S3737" s="523" t="n">
        <v>44509</v>
      </c>
      <c r="T3737" s="522" t="inlineStr">
        <is>
          <t>V0017718</t>
        </is>
      </c>
      <c r="U3737" s="522" t="inlineStr">
        <is>
          <t>L001-901905215</t>
        </is>
      </c>
      <c r="V3737" s="522" t="inlineStr">
        <is>
          <t>វីអ៊ីស៊ិន (ខេមបូឌា) អ៊ិនដាសស្ទ្រី ឯ.ក</t>
        </is>
      </c>
      <c r="W3737" s="556" t="n">
        <v>789490</v>
      </c>
    </row>
    <row r="3738">
      <c r="A3738" s="521" t="n">
        <v>3730</v>
      </c>
      <c r="B3738" s="522" t="inlineStr">
        <is>
          <t>កេសកាតុង</t>
        </is>
      </c>
      <c r="C3738" s="522" t="inlineStr">
        <is>
          <t>ស៊ីងហ្គាពួរ កាតុង (ខេមបូឌា)</t>
        </is>
      </c>
      <c r="D3738" s="522" t="inlineStr">
        <is>
          <t>L001-100121322</t>
        </is>
      </c>
      <c r="E3738" s="521" t="inlineStr">
        <is>
          <t>V0017719</t>
        </is>
      </c>
      <c r="F3738" s="523" t="n">
        <v>44509</v>
      </c>
      <c r="G3738" s="556" t="n">
        <v>632032</v>
      </c>
      <c r="I3738" s="521">
        <f>G3738</f>
        <v/>
      </c>
      <c r="K3738" s="521">
        <f>I3738-G3738</f>
        <v/>
      </c>
      <c r="M3738" s="522" t="inlineStr">
        <is>
          <t>V0017719</t>
        </is>
      </c>
      <c r="N3738" s="522" t="inlineStr">
        <is>
          <t>V0017719</t>
        </is>
      </c>
      <c r="O3738" s="521">
        <f>M3738=N3738</f>
        <v/>
      </c>
      <c r="P3738" s="521">
        <f>AND(MONTH(F3738)=MONTH(S3738), YEAR(F3738)=YEAR(S3738))</f>
        <v/>
      </c>
      <c r="Q3738" s="521">
        <f>U3738="L001-901905215"</f>
        <v/>
      </c>
      <c r="R3738" s="556">
        <f>G3738-W3738</f>
        <v/>
      </c>
      <c r="S3738" s="523" t="n">
        <v>44509</v>
      </c>
      <c r="T3738" s="522" t="inlineStr">
        <is>
          <t>V0017719</t>
        </is>
      </c>
      <c r="U3738" s="522" t="inlineStr">
        <is>
          <t>L001-901905215</t>
        </is>
      </c>
      <c r="V3738" s="522" t="inlineStr">
        <is>
          <t>វីអ៊ីស៊ិន (ខេមបូឌា) អ៊ិនដាសស្ទ្រី ឯ.ក</t>
        </is>
      </c>
      <c r="W3738" s="556" t="n">
        <v>631257</v>
      </c>
    </row>
    <row r="3739">
      <c r="A3739" s="521" t="n">
        <v>3731</v>
      </c>
      <c r="B3739" s="522" t="inlineStr">
        <is>
          <t>កេសកាតុង</t>
        </is>
      </c>
      <c r="C3739" s="522" t="inlineStr">
        <is>
          <t>ស៊ីងហ្គាពួរ កាតុង (ខេមបូឌា)</t>
        </is>
      </c>
      <c r="D3739" s="522" t="inlineStr">
        <is>
          <t>L001-100121322</t>
        </is>
      </c>
      <c r="E3739" s="521" t="inlineStr">
        <is>
          <t>V0017737</t>
        </is>
      </c>
      <c r="F3739" s="523" t="n">
        <v>44510</v>
      </c>
      <c r="G3739" s="556" t="n">
        <v>556683</v>
      </c>
      <c r="I3739" s="521">
        <f>G3739</f>
        <v/>
      </c>
      <c r="K3739" s="521">
        <f>I3739-G3739</f>
        <v/>
      </c>
      <c r="M3739" s="522" t="inlineStr">
        <is>
          <t>V0017737</t>
        </is>
      </c>
      <c r="N3739" s="522" t="inlineStr">
        <is>
          <t>V0017737</t>
        </is>
      </c>
      <c r="O3739" s="521">
        <f>M3739=N3739</f>
        <v/>
      </c>
      <c r="P3739" s="521">
        <f>AND(MONTH(F3739)=MONTH(S3739), YEAR(F3739)=YEAR(S3739))</f>
        <v/>
      </c>
      <c r="Q3739" s="521">
        <f>U3739="L001-901905215"</f>
        <v/>
      </c>
      <c r="R3739" s="556">
        <f>G3739-W3739</f>
        <v/>
      </c>
      <c r="S3739" s="523" t="n">
        <v>44510</v>
      </c>
      <c r="T3739" s="522" t="inlineStr">
        <is>
          <t>V0017737</t>
        </is>
      </c>
      <c r="U3739" s="522" t="inlineStr">
        <is>
          <t>L001-901905215</t>
        </is>
      </c>
      <c r="V3739" s="522" t="inlineStr">
        <is>
          <t>វីអ៊ីស៊ិន (ខេមបូឌា) អ៊ិនដាសស្ទ្រី ឯ.ក</t>
        </is>
      </c>
      <c r="W3739" s="556" t="n">
        <v>556273</v>
      </c>
    </row>
    <row r="3740">
      <c r="A3740" s="521" t="n">
        <v>3732</v>
      </c>
      <c r="B3740" s="522" t="inlineStr">
        <is>
          <t>កេសកាតុង</t>
        </is>
      </c>
      <c r="C3740" s="522" t="inlineStr">
        <is>
          <t>ស៊ីងហ្គាពួរ កាតុង (ខេមបូឌា)</t>
        </is>
      </c>
      <c r="D3740" s="522" t="inlineStr">
        <is>
          <t>L001-100121322</t>
        </is>
      </c>
      <c r="E3740" s="521" t="inlineStr">
        <is>
          <t>V0017739</t>
        </is>
      </c>
      <c r="F3740" s="523" t="n">
        <v>44510</v>
      </c>
      <c r="G3740" s="556" t="n">
        <v>790735</v>
      </c>
      <c r="I3740" s="521">
        <f>G3740</f>
        <v/>
      </c>
      <c r="K3740" s="521">
        <f>I3740-G3740</f>
        <v/>
      </c>
      <c r="M3740" s="522" t="inlineStr">
        <is>
          <t>V0017739</t>
        </is>
      </c>
      <c r="N3740" s="522" t="inlineStr">
        <is>
          <t>V0017739</t>
        </is>
      </c>
      <c r="O3740" s="521">
        <f>M3740=N3740</f>
        <v/>
      </c>
      <c r="P3740" s="521">
        <f>AND(MONTH(F3740)=MONTH(S3740), YEAR(F3740)=YEAR(S3740))</f>
        <v/>
      </c>
      <c r="Q3740" s="521">
        <f>U3740="L001-901905215"</f>
        <v/>
      </c>
      <c r="R3740" s="556">
        <f>G3740-W3740</f>
        <v/>
      </c>
      <c r="S3740" s="523" t="n">
        <v>44510</v>
      </c>
      <c r="T3740" s="522" t="inlineStr">
        <is>
          <t>V0017739</t>
        </is>
      </c>
      <c r="U3740" s="522" t="inlineStr">
        <is>
          <t>L001-901905215</t>
        </is>
      </c>
      <c r="V3740" s="522" t="inlineStr">
        <is>
          <t>វីអ៊ីស៊ិន (ខេមបូឌា) អ៊ិនដាសស្ទ្រី ឯ.ក</t>
        </is>
      </c>
      <c r="W3740" s="556" t="n">
        <v>790152</v>
      </c>
    </row>
    <row r="3741">
      <c r="A3741" s="521" t="n">
        <v>3733</v>
      </c>
      <c r="B3741" s="522" t="inlineStr">
        <is>
          <t>កេសកាតុង</t>
        </is>
      </c>
      <c r="C3741" s="522" t="inlineStr">
        <is>
          <t>ស៊ីងហ្គាពួរ កាតុង (ខេមបូឌា)</t>
        </is>
      </c>
      <c r="D3741" s="522" t="inlineStr">
        <is>
          <t>L001-100121322</t>
        </is>
      </c>
      <c r="E3741" s="521" t="inlineStr">
        <is>
          <t>V0017740</t>
        </is>
      </c>
      <c r="F3741" s="523" t="n">
        <v>44510</v>
      </c>
      <c r="G3741" s="556" t="n">
        <v>402197</v>
      </c>
      <c r="I3741" s="521">
        <f>G3741</f>
        <v/>
      </c>
      <c r="K3741" s="521">
        <f>I3741-G3741</f>
        <v/>
      </c>
      <c r="M3741" s="522" t="inlineStr">
        <is>
          <t>V0017740</t>
        </is>
      </c>
      <c r="N3741" s="522" t="inlineStr">
        <is>
          <t>V0017740</t>
        </is>
      </c>
      <c r="O3741" s="521">
        <f>M3741=N3741</f>
        <v/>
      </c>
      <c r="P3741" s="521">
        <f>AND(MONTH(F3741)=MONTH(S3741), YEAR(F3741)=YEAR(S3741))</f>
        <v/>
      </c>
      <c r="Q3741" s="521">
        <f>U3741="L001-901905215"</f>
        <v/>
      </c>
      <c r="R3741" s="556">
        <f>G3741-W3741</f>
        <v/>
      </c>
      <c r="S3741" s="523" t="n">
        <v>44510</v>
      </c>
      <c r="T3741" s="522" t="inlineStr">
        <is>
          <t>V0017740</t>
        </is>
      </c>
      <c r="U3741" s="522" t="inlineStr">
        <is>
          <t>L001-901905215</t>
        </is>
      </c>
      <c r="V3741" s="522" t="inlineStr">
        <is>
          <t>វីអ៊ីស៊ិន (ខេមបូឌា) អ៊ិនដាសស្ទ្រី ឯ.ក</t>
        </is>
      </c>
      <c r="W3741" s="556" t="n">
        <v>401903</v>
      </c>
    </row>
    <row r="3742">
      <c r="A3742" s="521" t="n">
        <v>3734</v>
      </c>
      <c r="B3742" s="522" t="inlineStr">
        <is>
          <t>កេសកាតុង</t>
        </is>
      </c>
      <c r="C3742" s="522" t="inlineStr">
        <is>
          <t>ស៊ីងហ្គាពួរ កាតុង (ខេមបូឌា)</t>
        </is>
      </c>
      <c r="D3742" s="522" t="inlineStr">
        <is>
          <t>L001-100121322</t>
        </is>
      </c>
      <c r="E3742" s="521" t="inlineStr">
        <is>
          <t>V0017751</t>
        </is>
      </c>
      <c r="F3742" s="523" t="n">
        <v>44511</v>
      </c>
      <c r="G3742" s="556" t="n">
        <v>842697</v>
      </c>
      <c r="I3742" s="521">
        <f>G3742</f>
        <v/>
      </c>
      <c r="K3742" s="521">
        <f>I3742-G3742</f>
        <v/>
      </c>
      <c r="M3742" s="522" t="inlineStr">
        <is>
          <t>V0017751</t>
        </is>
      </c>
      <c r="N3742" s="522" t="inlineStr">
        <is>
          <t>V0017751</t>
        </is>
      </c>
      <c r="O3742" s="521">
        <f>M3742=N3742</f>
        <v/>
      </c>
      <c r="P3742" s="521">
        <f>AND(MONTH(F3742)=MONTH(S3742), YEAR(F3742)=YEAR(S3742))</f>
        <v/>
      </c>
      <c r="Q3742" s="521">
        <f>U3742="L001-901905215"</f>
        <v/>
      </c>
      <c r="R3742" s="556">
        <f>G3742-W3742</f>
        <v/>
      </c>
      <c r="S3742" s="523" t="n">
        <v>44511</v>
      </c>
      <c r="T3742" s="522" t="inlineStr">
        <is>
          <t>V0017751</t>
        </is>
      </c>
      <c r="U3742" s="522" t="inlineStr">
        <is>
          <t>L001-901905215</t>
        </is>
      </c>
      <c r="V3742" s="522" t="inlineStr">
        <is>
          <t>វីអ៊ីស៊ិន (ខេមបូឌា) អ៊ិនដាសស្ទ្រី ឯ.ក</t>
        </is>
      </c>
      <c r="W3742" s="556" t="n">
        <v>842283</v>
      </c>
    </row>
    <row r="3743">
      <c r="A3743" s="521" t="n">
        <v>3735</v>
      </c>
      <c r="B3743" s="522" t="inlineStr">
        <is>
          <t>កេសកាតុង</t>
        </is>
      </c>
      <c r="C3743" s="522" t="inlineStr">
        <is>
          <t>ស៊ីងហ្គាពួរ កាតុង (ខេមបូឌា)</t>
        </is>
      </c>
      <c r="D3743" s="522" t="inlineStr">
        <is>
          <t>L001-100121322</t>
        </is>
      </c>
      <c r="E3743" s="521" t="inlineStr">
        <is>
          <t>V0017753</t>
        </is>
      </c>
      <c r="F3743" s="523" t="n">
        <v>44511</v>
      </c>
      <c r="G3743" s="556" t="n">
        <v>152697</v>
      </c>
      <c r="I3743" s="521">
        <f>G3743</f>
        <v/>
      </c>
      <c r="K3743" s="521">
        <f>I3743-G3743</f>
        <v/>
      </c>
      <c r="M3743" s="522" t="inlineStr">
        <is>
          <t>V0017753</t>
        </is>
      </c>
      <c r="N3743" s="522" t="inlineStr">
        <is>
          <t>V0017753</t>
        </is>
      </c>
      <c r="O3743" s="521">
        <f>M3743=N3743</f>
        <v/>
      </c>
      <c r="P3743" s="521">
        <f>AND(MONTH(F3743)=MONTH(S3743), YEAR(F3743)=YEAR(S3743))</f>
        <v/>
      </c>
      <c r="Q3743" s="521">
        <f>U3743="L001-901905215"</f>
        <v/>
      </c>
      <c r="R3743" s="556">
        <f>G3743-W3743</f>
        <v/>
      </c>
      <c r="S3743" s="523" t="n">
        <v>44511</v>
      </c>
      <c r="T3743" s="522" t="inlineStr">
        <is>
          <t>V0017753</t>
        </is>
      </c>
      <c r="U3743" s="522" t="inlineStr">
        <is>
          <t>L001-901905215</t>
        </is>
      </c>
      <c r="V3743" s="522" t="inlineStr">
        <is>
          <t>វីអ៊ីស៊ិន (ខេមបូឌា) អ៊ិនដាសស្ទ្រី ឯ.ក</t>
        </is>
      </c>
      <c r="W3743" s="556" t="n">
        <v>152621</v>
      </c>
    </row>
    <row r="3744">
      <c r="A3744" s="521" t="n">
        <v>3736</v>
      </c>
      <c r="B3744" s="522" t="inlineStr">
        <is>
          <t>កេសកាតុង</t>
        </is>
      </c>
      <c r="C3744" s="522" t="inlineStr">
        <is>
          <t>ស៊ីងហ្គាពួរ កាតុង (ខេមបូឌា)</t>
        </is>
      </c>
      <c r="D3744" s="522" t="inlineStr">
        <is>
          <t>L001-100121322</t>
        </is>
      </c>
      <c r="E3744" s="521" t="inlineStr">
        <is>
          <t>V0017756</t>
        </is>
      </c>
      <c r="F3744" s="523" t="n">
        <v>44512</v>
      </c>
      <c r="G3744" s="556" t="n">
        <v>499135</v>
      </c>
      <c r="I3744" s="521">
        <f>G3744</f>
        <v/>
      </c>
      <c r="K3744" s="521">
        <f>I3744-G3744</f>
        <v/>
      </c>
      <c r="M3744" s="522" t="inlineStr">
        <is>
          <t>V0017756</t>
        </is>
      </c>
      <c r="N3744" s="522" t="inlineStr">
        <is>
          <t>V0017756</t>
        </is>
      </c>
      <c r="O3744" s="521">
        <f>M3744=N3744</f>
        <v/>
      </c>
      <c r="P3744" s="521">
        <f>AND(MONTH(F3744)=MONTH(S3744), YEAR(F3744)=YEAR(S3744))</f>
        <v/>
      </c>
      <c r="Q3744" s="521">
        <f>U3744="L001-901905215"</f>
        <v/>
      </c>
      <c r="R3744" s="556">
        <f>G3744-W3744</f>
        <v/>
      </c>
      <c r="S3744" s="523" t="n">
        <v>44512</v>
      </c>
      <c r="T3744" s="522" t="inlineStr">
        <is>
          <t>V0017756</t>
        </is>
      </c>
      <c r="U3744" s="522" t="inlineStr">
        <is>
          <t>L001-901905215</t>
        </is>
      </c>
      <c r="V3744" s="522" t="inlineStr">
        <is>
          <t>វីអ៊ីស៊ិន (ខេមបូឌា) អ៊ិនដាសស្ទ្រី ឯ.ក</t>
        </is>
      </c>
      <c r="W3744" s="556" t="n">
        <v>499011</v>
      </c>
    </row>
    <row r="3745">
      <c r="A3745" s="521" t="n">
        <v>3737</v>
      </c>
      <c r="B3745" s="522" t="inlineStr">
        <is>
          <t>កេសកាតុង</t>
        </is>
      </c>
      <c r="C3745" s="522" t="inlineStr">
        <is>
          <t>ស៊ីងហ្គាពួរ កាតុង (ខេមបូឌា)</t>
        </is>
      </c>
      <c r="D3745" s="522" t="inlineStr">
        <is>
          <t>L001-100121322</t>
        </is>
      </c>
      <c r="E3745" s="521" t="inlineStr">
        <is>
          <t>V0017769</t>
        </is>
      </c>
      <c r="F3745" s="523" t="n">
        <v>44513</v>
      </c>
      <c r="G3745" s="556" t="n">
        <v>499135</v>
      </c>
      <c r="I3745" s="521">
        <f>G3745</f>
        <v/>
      </c>
      <c r="K3745" s="521">
        <f>I3745-G3745</f>
        <v/>
      </c>
      <c r="M3745" s="522" t="inlineStr">
        <is>
          <t>V0017769</t>
        </is>
      </c>
      <c r="N3745" s="522" t="inlineStr">
        <is>
          <t>V0017769</t>
        </is>
      </c>
      <c r="O3745" s="521">
        <f>M3745=N3745</f>
        <v/>
      </c>
      <c r="P3745" s="521">
        <f>AND(MONTH(F3745)=MONTH(S3745), YEAR(F3745)=YEAR(S3745))</f>
        <v/>
      </c>
      <c r="Q3745" s="521">
        <f>U3745="L001-901905215"</f>
        <v/>
      </c>
      <c r="R3745" s="556">
        <f>G3745-W3745</f>
        <v/>
      </c>
      <c r="S3745" s="523" t="n">
        <v>44513</v>
      </c>
      <c r="T3745" s="522" t="inlineStr">
        <is>
          <t>V0017769</t>
        </is>
      </c>
      <c r="U3745" s="522" t="inlineStr">
        <is>
          <t>L001-901905215</t>
        </is>
      </c>
      <c r="V3745" s="522" t="inlineStr">
        <is>
          <t>វីអ៊ីស៊ិន (ខេមបូឌា) អ៊ិនដាសស្ទ្រី ឯ.ក</t>
        </is>
      </c>
      <c r="W3745" s="556" t="n">
        <v>499011</v>
      </c>
    </row>
    <row r="3746">
      <c r="A3746" s="521" t="n">
        <v>3738</v>
      </c>
      <c r="B3746" s="522" t="inlineStr">
        <is>
          <t>កេសកាតុង</t>
        </is>
      </c>
      <c r="C3746" s="522" t="inlineStr">
        <is>
          <t>ស៊ីងហ្គាពួរ កាតុង (ខេមបូឌា)</t>
        </is>
      </c>
      <c r="D3746" s="522" t="inlineStr">
        <is>
          <t>L001-100121322</t>
        </is>
      </c>
      <c r="E3746" s="521" t="inlineStr">
        <is>
          <t>V0017792</t>
        </is>
      </c>
      <c r="F3746" s="523" t="n">
        <v>44514</v>
      </c>
      <c r="G3746" s="556" t="n">
        <v>373978</v>
      </c>
      <c r="I3746" s="521">
        <f>G3746</f>
        <v/>
      </c>
      <c r="K3746" s="521">
        <f>I3746-G3746</f>
        <v/>
      </c>
      <c r="M3746" s="522" t="inlineStr">
        <is>
          <t>V0017792</t>
        </is>
      </c>
      <c r="N3746" s="522" t="inlineStr">
        <is>
          <t>V0017792</t>
        </is>
      </c>
      <c r="O3746" s="521">
        <f>M3746=N3746</f>
        <v/>
      </c>
      <c r="P3746" s="521">
        <f>AND(MONTH(F3746)=MONTH(S3746), YEAR(F3746)=YEAR(S3746))</f>
        <v/>
      </c>
      <c r="Q3746" s="521">
        <f>U3746="L001-901905215"</f>
        <v/>
      </c>
      <c r="R3746" s="556">
        <f>G3746-W3746</f>
        <v/>
      </c>
      <c r="S3746" s="523" t="n">
        <v>44514</v>
      </c>
      <c r="T3746" s="522" t="inlineStr">
        <is>
          <t>V0017792</t>
        </is>
      </c>
      <c r="U3746" s="522" t="inlineStr">
        <is>
          <t>L001-901905215</t>
        </is>
      </c>
      <c r="V3746" s="522" t="inlineStr">
        <is>
          <t>វីអ៊ីស៊ិន (ខេមបូឌា) អ៊ិនដាសស្ទ្រី ឯ.ក</t>
        </is>
      </c>
      <c r="W3746" s="556" t="n">
        <v>373886</v>
      </c>
    </row>
    <row r="3747">
      <c r="A3747" s="521" t="n">
        <v>3739</v>
      </c>
      <c r="B3747" s="522" t="inlineStr">
        <is>
          <t>កេសកាតុង</t>
        </is>
      </c>
      <c r="C3747" s="522" t="inlineStr">
        <is>
          <t>ស៊ីងហ្គាពួរ កាតុង (ខេមបូឌា)</t>
        </is>
      </c>
      <c r="D3747" s="522" t="inlineStr">
        <is>
          <t>L001-100121322</t>
        </is>
      </c>
      <c r="E3747" s="521" t="inlineStr">
        <is>
          <t>V0017793</t>
        </is>
      </c>
      <c r="F3747" s="523" t="n">
        <v>44514</v>
      </c>
      <c r="G3747" s="556" t="n">
        <v>140807</v>
      </c>
      <c r="I3747" s="521">
        <f>G3747</f>
        <v/>
      </c>
      <c r="K3747" s="521">
        <f>I3747-G3747</f>
        <v/>
      </c>
      <c r="M3747" s="522" t="inlineStr">
        <is>
          <t>V0017793</t>
        </is>
      </c>
      <c r="N3747" s="522" t="inlineStr">
        <is>
          <t>V0017793</t>
        </is>
      </c>
      <c r="O3747" s="521">
        <f>M3747=N3747</f>
        <v/>
      </c>
      <c r="P3747" s="521">
        <f>AND(MONTH(F3747)=MONTH(S3747), YEAR(F3747)=YEAR(S3747))</f>
        <v/>
      </c>
      <c r="Q3747" s="521">
        <f>U3747="L001-901905215"</f>
        <v/>
      </c>
      <c r="R3747" s="556">
        <f>G3747-W3747</f>
        <v/>
      </c>
      <c r="S3747" s="523" t="n">
        <v>44514</v>
      </c>
      <c r="T3747" s="522" t="inlineStr">
        <is>
          <t>V0017793</t>
        </is>
      </c>
      <c r="U3747" s="522" t="inlineStr">
        <is>
          <t>L001-901905215</t>
        </is>
      </c>
      <c r="V3747" s="522" t="inlineStr">
        <is>
          <t>វីអ៊ីស៊ិន (ខេមបូឌា) អ៊ិនដាសស្ទ្រី ឯ.ក</t>
        </is>
      </c>
      <c r="W3747" s="556" t="n">
        <v>140773</v>
      </c>
    </row>
    <row r="3748">
      <c r="A3748" s="521" t="n">
        <v>3740</v>
      </c>
      <c r="B3748" s="522" t="inlineStr">
        <is>
          <t>កេសកាតុង</t>
        </is>
      </c>
      <c r="C3748" s="522" t="inlineStr">
        <is>
          <t>ស៊ីងហ្គាពួរ កាតុង (ខេមបូឌា)</t>
        </is>
      </c>
      <c r="D3748" s="522" t="inlineStr">
        <is>
          <t>L001-100121322</t>
        </is>
      </c>
      <c r="E3748" s="521" t="inlineStr">
        <is>
          <t>V0017794</t>
        </is>
      </c>
      <c r="F3748" s="523" t="n">
        <v>44514</v>
      </c>
      <c r="G3748" s="556" t="n">
        <v>176536</v>
      </c>
      <c r="I3748" s="521">
        <f>G3748</f>
        <v/>
      </c>
      <c r="K3748" s="521">
        <f>I3748-G3748</f>
        <v/>
      </c>
      <c r="M3748" s="522" t="inlineStr">
        <is>
          <t>V0017794</t>
        </is>
      </c>
      <c r="N3748" s="522" t="inlineStr">
        <is>
          <t>V0017794</t>
        </is>
      </c>
      <c r="O3748" s="521">
        <f>M3748=N3748</f>
        <v/>
      </c>
      <c r="P3748" s="521">
        <f>AND(MONTH(F3748)=MONTH(S3748), YEAR(F3748)=YEAR(S3748))</f>
        <v/>
      </c>
      <c r="Q3748" s="521">
        <f>U3748="L001-901905215"</f>
        <v/>
      </c>
      <c r="R3748" s="556">
        <f>G3748-W3748</f>
        <v/>
      </c>
      <c r="S3748" s="523" t="n">
        <v>44514</v>
      </c>
      <c r="T3748" s="522" t="inlineStr">
        <is>
          <t>V0017794</t>
        </is>
      </c>
      <c r="U3748" s="522" t="inlineStr">
        <is>
          <t>L001-901905215</t>
        </is>
      </c>
      <c r="V3748" s="522" t="inlineStr">
        <is>
          <t>វីអ៊ីស៊ិន (ខេមបូឌា) អ៊ិនដាសស្ទ្រី ឯ.ក</t>
        </is>
      </c>
      <c r="W3748" s="556" t="n">
        <v>176495</v>
      </c>
    </row>
    <row r="3749">
      <c r="A3749" s="521" t="n">
        <v>3741</v>
      </c>
      <c r="B3749" s="522" t="inlineStr">
        <is>
          <t>កេសកាតុង</t>
        </is>
      </c>
      <c r="C3749" s="522" t="inlineStr">
        <is>
          <t>ស៊ីងហ្គាពួរ កាតុង (ខេមបូឌា)</t>
        </is>
      </c>
      <c r="D3749" s="522" t="inlineStr">
        <is>
          <t>L001-100121322</t>
        </is>
      </c>
      <c r="E3749" s="521" t="inlineStr">
        <is>
          <t>V0017806</t>
        </is>
      </c>
      <c r="F3749" s="523" t="n">
        <v>44516</v>
      </c>
      <c r="G3749" s="556" t="n">
        <v>492548</v>
      </c>
      <c r="I3749" s="521">
        <f>G3749</f>
        <v/>
      </c>
      <c r="K3749" s="521">
        <f>I3749-G3749</f>
        <v/>
      </c>
      <c r="M3749" s="522" t="inlineStr">
        <is>
          <t>V0017806</t>
        </is>
      </c>
      <c r="N3749" s="522" t="inlineStr">
        <is>
          <t>V0017806</t>
        </is>
      </c>
      <c r="O3749" s="521">
        <f>M3749=N3749</f>
        <v/>
      </c>
      <c r="P3749" s="521">
        <f>AND(MONTH(F3749)=MONTH(S3749), YEAR(F3749)=YEAR(S3749))</f>
        <v/>
      </c>
      <c r="Q3749" s="521">
        <f>U3749="L001-901905215"</f>
        <v/>
      </c>
      <c r="R3749" s="556">
        <f>G3749-W3749</f>
        <v/>
      </c>
      <c r="S3749" s="523" t="n">
        <v>44516</v>
      </c>
      <c r="T3749" s="522" t="inlineStr">
        <is>
          <t>V0017806</t>
        </is>
      </c>
      <c r="U3749" s="522" t="inlineStr">
        <is>
          <t>L001-901905215</t>
        </is>
      </c>
      <c r="V3749" s="522" t="inlineStr">
        <is>
          <t>វីអ៊ីស៊ិន (ខេមបូឌា) អ៊ិនដាសស្ទ្រី ឯ.ក</t>
        </is>
      </c>
      <c r="W3749" s="556" t="n">
        <v>492671</v>
      </c>
    </row>
    <row r="3750">
      <c r="A3750" s="521" t="n">
        <v>3742</v>
      </c>
      <c r="B3750" s="522" t="inlineStr">
        <is>
          <t>កេសកាតុង</t>
        </is>
      </c>
      <c r="C3750" s="522" t="inlineStr">
        <is>
          <t>ស៊ីងហ្គាពួរ កាតុង (ខេមបូឌា)</t>
        </is>
      </c>
      <c r="D3750" s="522" t="inlineStr">
        <is>
          <t>L001-100121322</t>
        </is>
      </c>
      <c r="E3750" s="521" t="inlineStr">
        <is>
          <t>V0017808</t>
        </is>
      </c>
      <c r="F3750" s="523" t="n">
        <v>44516</v>
      </c>
      <c r="G3750" s="556" t="n">
        <v>771342</v>
      </c>
      <c r="I3750" s="521">
        <f>G3750</f>
        <v/>
      </c>
      <c r="K3750" s="521">
        <f>I3750-G3750</f>
        <v/>
      </c>
      <c r="M3750" s="522" t="inlineStr">
        <is>
          <t>V0017808</t>
        </is>
      </c>
      <c r="N3750" s="522" t="inlineStr">
        <is>
          <t>V0017808</t>
        </is>
      </c>
      <c r="O3750" s="521">
        <f>M3750=N3750</f>
        <v/>
      </c>
      <c r="P3750" s="521">
        <f>AND(MONTH(F3750)=MONTH(S3750), YEAR(F3750)=YEAR(S3750))</f>
        <v/>
      </c>
      <c r="Q3750" s="521">
        <f>U3750="L001-901905215"</f>
        <v/>
      </c>
      <c r="R3750" s="556">
        <f>G3750-W3750</f>
        <v/>
      </c>
      <c r="S3750" s="523" t="n">
        <v>44516</v>
      </c>
      <c r="T3750" s="522" t="inlineStr">
        <is>
          <t>V0017808</t>
        </is>
      </c>
      <c r="U3750" s="522" t="inlineStr">
        <is>
          <t>L001-901905215</t>
        </is>
      </c>
      <c r="V3750" s="522" t="inlineStr">
        <is>
          <t>វីអ៊ីស៊ិន (ខេមបូឌា) អ៊ិនដាសស្ទ្រី ឯ.ក</t>
        </is>
      </c>
      <c r="W3750" s="556" t="n">
        <v>771530</v>
      </c>
    </row>
    <row r="3751">
      <c r="A3751" s="521" t="n">
        <v>3743</v>
      </c>
      <c r="B3751" s="522" t="inlineStr">
        <is>
          <t>កេសកាតុង</t>
        </is>
      </c>
      <c r="C3751" s="522" t="inlineStr">
        <is>
          <t>ស៊ីងហ្គាពួរ កាតុង (ខេមបូឌា)</t>
        </is>
      </c>
      <c r="D3751" s="522" t="inlineStr">
        <is>
          <t>L001-100121322</t>
        </is>
      </c>
      <c r="E3751" s="521" t="inlineStr">
        <is>
          <t>V0017818</t>
        </is>
      </c>
      <c r="F3751" s="523" t="n">
        <v>44516</v>
      </c>
      <c r="G3751" s="556" t="n">
        <v>252623</v>
      </c>
      <c r="I3751" s="521">
        <f>G3751</f>
        <v/>
      </c>
      <c r="K3751" s="521">
        <f>I3751-G3751</f>
        <v/>
      </c>
      <c r="M3751" s="522" t="inlineStr">
        <is>
          <t>V0017818</t>
        </is>
      </c>
      <c r="N3751" s="522" t="inlineStr">
        <is>
          <t>V0017818</t>
        </is>
      </c>
      <c r="O3751" s="521">
        <f>M3751=N3751</f>
        <v/>
      </c>
      <c r="P3751" s="521">
        <f>AND(MONTH(F3751)=MONTH(S3751), YEAR(F3751)=YEAR(S3751))</f>
        <v/>
      </c>
      <c r="Q3751" s="521">
        <f>U3751="L001-901905215"</f>
        <v/>
      </c>
      <c r="R3751" s="556">
        <f>G3751-W3751</f>
        <v/>
      </c>
      <c r="S3751" s="523" t="n">
        <v>44516</v>
      </c>
      <c r="T3751" s="522" t="inlineStr">
        <is>
          <t>V0017818</t>
        </is>
      </c>
      <c r="U3751" s="522" t="inlineStr">
        <is>
          <t>L001-901905215</t>
        </is>
      </c>
      <c r="V3751" s="522" t="inlineStr">
        <is>
          <t>វីអ៊ីស៊ិន (ខេមបូឌា) អ៊ិនដាសស្ទ្រី ឯ.ក</t>
        </is>
      </c>
      <c r="W3751" s="556" t="n">
        <v>252685</v>
      </c>
    </row>
    <row r="3752">
      <c r="A3752" s="521" t="n">
        <v>3744</v>
      </c>
      <c r="B3752" s="522" t="inlineStr">
        <is>
          <t>កេសកាតុង</t>
        </is>
      </c>
      <c r="C3752" s="522" t="inlineStr">
        <is>
          <t>ស៊ីងហ្គាពួរ កាតុង (ខេមបូឌា)</t>
        </is>
      </c>
      <c r="D3752" s="522" t="inlineStr">
        <is>
          <t>L001-100121322</t>
        </is>
      </c>
      <c r="E3752" s="521" t="inlineStr">
        <is>
          <t>V0017867</t>
        </is>
      </c>
      <c r="F3752" s="523" t="n">
        <v>44524</v>
      </c>
      <c r="G3752" s="556" t="n">
        <v>591395</v>
      </c>
      <c r="I3752" s="521">
        <f>G3752</f>
        <v/>
      </c>
      <c r="K3752" s="521">
        <f>I3752-G3752</f>
        <v/>
      </c>
      <c r="M3752" s="522" t="inlineStr">
        <is>
          <t>V0017867</t>
        </is>
      </c>
      <c r="N3752" s="522" t="inlineStr">
        <is>
          <t>V0017867</t>
        </is>
      </c>
      <c r="O3752" s="521">
        <f>M3752=N3752</f>
        <v/>
      </c>
      <c r="P3752" s="521">
        <f>AND(MONTH(F3752)=MONTH(S3752), YEAR(F3752)=YEAR(S3752))</f>
        <v/>
      </c>
      <c r="Q3752" s="521">
        <f>U3752="L001-901905215"</f>
        <v/>
      </c>
      <c r="R3752" s="556">
        <f>G3752-W3752</f>
        <v/>
      </c>
      <c r="S3752" s="523" t="n">
        <v>44524</v>
      </c>
      <c r="T3752" s="522" t="inlineStr">
        <is>
          <t>V0017867</t>
        </is>
      </c>
      <c r="U3752" s="522" t="inlineStr">
        <is>
          <t>L001-901905215</t>
        </is>
      </c>
      <c r="V3752" s="522" t="inlineStr">
        <is>
          <t>វីអ៊ីស៊ិន (ខេមបូឌា) អ៊ិនដាសស្ទ្រី ឯ.ក</t>
        </is>
      </c>
      <c r="W3752" s="556" t="n">
        <v>591540</v>
      </c>
    </row>
    <row r="3753">
      <c r="A3753" s="521" t="n">
        <v>3745</v>
      </c>
      <c r="B3753" s="522" t="inlineStr">
        <is>
          <t>កេសកាតុង</t>
        </is>
      </c>
      <c r="C3753" s="522" t="inlineStr">
        <is>
          <t>ស៊ីងហ្គាពួរ កាតុង (ខេមបូឌា)</t>
        </is>
      </c>
      <c r="D3753" s="522" t="inlineStr">
        <is>
          <t>L001-100121322</t>
        </is>
      </c>
      <c r="E3753" s="521" t="inlineStr">
        <is>
          <t>V0017874</t>
        </is>
      </c>
      <c r="F3753" s="523" t="n">
        <v>44525</v>
      </c>
      <c r="G3753" s="556" t="n">
        <v>679247</v>
      </c>
      <c r="I3753" s="521">
        <f>G3753</f>
        <v/>
      </c>
      <c r="K3753" s="521">
        <f>I3753-G3753</f>
        <v/>
      </c>
      <c r="M3753" s="522" t="inlineStr">
        <is>
          <t>V0017874</t>
        </is>
      </c>
      <c r="N3753" s="522" t="inlineStr">
        <is>
          <t>V0017874</t>
        </is>
      </c>
      <c r="O3753" s="521">
        <f>M3753=N3753</f>
        <v/>
      </c>
      <c r="P3753" s="521">
        <f>AND(MONTH(F3753)=MONTH(S3753), YEAR(F3753)=YEAR(S3753))</f>
        <v/>
      </c>
      <c r="Q3753" s="521">
        <f>U3753="L001-901905215"</f>
        <v/>
      </c>
      <c r="R3753" s="556">
        <f>G3753-W3753</f>
        <v/>
      </c>
      <c r="S3753" s="523" t="n">
        <v>44525</v>
      </c>
      <c r="T3753" s="522" t="inlineStr">
        <is>
          <t>V0017874</t>
        </is>
      </c>
      <c r="U3753" s="522" t="inlineStr">
        <is>
          <t>L001-901905215</t>
        </is>
      </c>
      <c r="V3753" s="522" t="inlineStr">
        <is>
          <t>វីអ៊ីស៊ិន (ខេមបូឌា) អ៊ិនដាសស្ទ្រី ឯ.ក</t>
        </is>
      </c>
      <c r="W3753" s="556" t="n">
        <v>679249</v>
      </c>
    </row>
    <row r="3754">
      <c r="A3754" s="521" t="n">
        <v>3746</v>
      </c>
      <c r="B3754" s="522" t="inlineStr">
        <is>
          <t>កេសកាតុង</t>
        </is>
      </c>
      <c r="C3754" s="522" t="inlineStr">
        <is>
          <t>ស៊ីងហ្គាពួរ កាតុង (ខេមបូឌា)</t>
        </is>
      </c>
      <c r="D3754" s="522" t="inlineStr">
        <is>
          <t>L001-100121322</t>
        </is>
      </c>
      <c r="E3754" s="521" t="inlineStr">
        <is>
          <t>V0017875</t>
        </is>
      </c>
      <c r="F3754" s="523" t="n">
        <v>44525</v>
      </c>
      <c r="G3754" s="556" t="n">
        <v>9613</v>
      </c>
      <c r="I3754" s="521">
        <f>G3754</f>
        <v/>
      </c>
      <c r="K3754" s="521">
        <f>I3754-G3754</f>
        <v/>
      </c>
      <c r="M3754" s="522" t="inlineStr">
        <is>
          <t>V0017875</t>
        </is>
      </c>
      <c r="N3754" s="522" t="inlineStr">
        <is>
          <t>V0017875</t>
        </is>
      </c>
      <c r="O3754" s="521">
        <f>M3754=N3754</f>
        <v/>
      </c>
      <c r="P3754" s="521">
        <f>AND(MONTH(F3754)=MONTH(S3754), YEAR(F3754)=YEAR(S3754))</f>
        <v/>
      </c>
      <c r="Q3754" s="521">
        <f>U3754="L001-901905215"</f>
        <v/>
      </c>
      <c r="R3754" s="556">
        <f>G3754-W3754</f>
        <v/>
      </c>
      <c r="S3754" s="523" t="n">
        <v>44525</v>
      </c>
      <c r="T3754" s="522" t="inlineStr">
        <is>
          <t>V0017875</t>
        </is>
      </c>
      <c r="U3754" s="522" t="inlineStr">
        <is>
          <t>L001-901905215</t>
        </is>
      </c>
      <c r="V3754" s="522" t="inlineStr">
        <is>
          <t>វីអ៊ីស៊ិន (ខេមបូឌា) អ៊ិនដាសស្ទ្រី ឯ.ក</t>
        </is>
      </c>
      <c r="W3754" s="556" t="n">
        <v>9614</v>
      </c>
    </row>
    <row r="3755">
      <c r="A3755" s="521" t="n">
        <v>3747</v>
      </c>
      <c r="B3755" s="522" t="inlineStr">
        <is>
          <t>ផ្លាកក្រដាសនិងក្រដាស</t>
        </is>
      </c>
      <c r="C3755" s="522" t="inlineStr">
        <is>
          <t>ដុងគ័ន ស៊ីធី ហ្វាញស្តារ ព្រីនធីង (ខេមបូឌា)</t>
        </is>
      </c>
      <c r="D3755" s="522" t="inlineStr">
        <is>
          <t>L001-100193021</t>
        </is>
      </c>
      <c r="E3755" s="521" t="inlineStr">
        <is>
          <t>000523</t>
        </is>
      </c>
      <c r="F3755" s="523" t="n">
        <v>44529</v>
      </c>
      <c r="G3755" s="556" t="n">
        <v>28120343</v>
      </c>
      <c r="I3755" s="521">
        <f>G3755</f>
        <v/>
      </c>
      <c r="K3755" s="521">
        <f>I3755-G3755</f>
        <v/>
      </c>
      <c r="M3755" s="522" t="inlineStr">
        <is>
          <t>000523</t>
        </is>
      </c>
      <c r="N3755" s="522" t="inlineStr">
        <is>
          <t>000523</t>
        </is>
      </c>
      <c r="O3755" s="521">
        <f>M3755=N3755</f>
        <v/>
      </c>
      <c r="P3755" s="521">
        <f>AND(MONTH(F3755)=MONTH(S3755), YEAR(F3755)=YEAR(S3755))</f>
        <v/>
      </c>
      <c r="Q3755" s="521">
        <f>U3755="L001-901905215"</f>
        <v/>
      </c>
      <c r="R3755" s="556">
        <f>G3755-W3755</f>
        <v/>
      </c>
      <c r="S3755" s="523" t="n">
        <v>44529</v>
      </c>
      <c r="T3755" s="522" t="inlineStr">
        <is>
          <t>000523</t>
        </is>
      </c>
      <c r="U3755" s="522" t="inlineStr">
        <is>
          <t>L001-901905215</t>
        </is>
      </c>
      <c r="V3755" s="522" t="inlineStr">
        <is>
          <t>វីអ៊ីស៊ិន (ខេមបូឌា) អ៊ិនដាសស្ទ្រី ឯ.ក</t>
        </is>
      </c>
      <c r="W3755" s="556" t="n">
        <v>28120343</v>
      </c>
    </row>
    <row r="3756">
      <c r="A3756" s="521" t="n">
        <v>3748</v>
      </c>
      <c r="B3756" s="522" t="inlineStr">
        <is>
          <t>Plastic Open</t>
        </is>
      </c>
      <c r="C3756" s="522" t="inlineStr">
        <is>
          <t>ឌើ សឹង ហ្វា ភែកឃីជីង អ៊ិនដាសស្រ្ទៀល ឯ.ក</t>
        </is>
      </c>
      <c r="D3756" s="522" t="inlineStr">
        <is>
          <t>L001-901638065</t>
        </is>
      </c>
      <c r="E3756" s="521" t="inlineStr">
        <is>
          <t>DSF202100551</t>
        </is>
      </c>
      <c r="F3756" s="523" t="n">
        <v>44524</v>
      </c>
      <c r="G3756" s="556" t="n">
        <v>255613</v>
      </c>
      <c r="I3756" s="521">
        <f>G3756</f>
        <v/>
      </c>
      <c r="K3756" s="521">
        <f>I3756-G3756</f>
        <v/>
      </c>
      <c r="M3756" s="522" t="inlineStr">
        <is>
          <t>DSF202100551</t>
        </is>
      </c>
      <c r="N3756" s="522" t="inlineStr">
        <is>
          <t>DSF202100551</t>
        </is>
      </c>
      <c r="O3756" s="521">
        <f>M3756=N3756</f>
        <v/>
      </c>
      <c r="P3756" s="521">
        <f>AND(MONTH(F3756)=MONTH(S3756), YEAR(F3756)=YEAR(S3756))</f>
        <v/>
      </c>
      <c r="Q3756" s="521">
        <f>U3756="L001-901905215"</f>
        <v/>
      </c>
      <c r="R3756" s="556">
        <f>G3756-W3756</f>
        <v/>
      </c>
      <c r="S3756" s="523" t="n">
        <v>44524</v>
      </c>
      <c r="T3756" s="522" t="inlineStr">
        <is>
          <t>DSF202100551</t>
        </is>
      </c>
      <c r="U3756" s="522" t="inlineStr">
        <is>
          <t>L001-901905215</t>
        </is>
      </c>
      <c r="V3756" s="522" t="inlineStr">
        <is>
          <t>វីអ៊ីស៊ិន (ខេមបូឌា) អ៊ិនដាសស្ទ្រី ឯ.ក</t>
        </is>
      </c>
      <c r="W3756" s="556" t="n">
        <v>255613</v>
      </c>
    </row>
    <row r="3757">
      <c r="A3757" s="521" t="n">
        <v>3749</v>
      </c>
      <c r="B3757" s="522" t="inlineStr">
        <is>
          <t>Travel Fee</t>
        </is>
      </c>
      <c r="C3757" s="522" t="inlineStr">
        <is>
          <t>អេសជីអេស (ខេមបូឌា) លីមីធីត</t>
        </is>
      </c>
      <c r="D3757" s="522" t="inlineStr">
        <is>
          <t>L001-107030519</t>
        </is>
      </c>
      <c r="E3757" s="521" t="inlineStr">
        <is>
          <t>10015284</t>
        </is>
      </c>
      <c r="F3757" s="523" t="n">
        <v>44523</v>
      </c>
      <c r="G3757" s="556" t="n">
        <v>106201</v>
      </c>
      <c r="I3757" s="521">
        <f>G3757</f>
        <v/>
      </c>
      <c r="K3757" s="521">
        <f>I3757-G3757</f>
        <v/>
      </c>
      <c r="M3757" s="522" t="inlineStr">
        <is>
          <t>10015284</t>
        </is>
      </c>
      <c r="N3757" s="522" t="inlineStr">
        <is>
          <t>10015284</t>
        </is>
      </c>
      <c r="O3757" s="521">
        <f>M3757=N3757</f>
        <v/>
      </c>
      <c r="P3757" s="521">
        <f>AND(MONTH(F3757)=MONTH(S3757), YEAR(F3757)=YEAR(S3757))</f>
        <v/>
      </c>
      <c r="Q3757" s="521">
        <f>U3757="L001-901905215"</f>
        <v/>
      </c>
      <c r="R3757" s="556">
        <f>G3757-W3757</f>
        <v/>
      </c>
      <c r="S3757" s="523" t="n">
        <v>44523</v>
      </c>
      <c r="T3757" s="522" t="inlineStr">
        <is>
          <t>10015284</t>
        </is>
      </c>
      <c r="U3757" s="522" t="inlineStr">
        <is>
          <t>L001-901905215</t>
        </is>
      </c>
      <c r="V3757" s="522" t="inlineStr">
        <is>
          <t>វីអ៊ីស៊ិន (ខេមបូឌា) អ៊ិនដាសស្ទ្រី ឯ.ក</t>
        </is>
      </c>
      <c r="W3757" s="556" t="n">
        <v>106201</v>
      </c>
    </row>
    <row r="3758">
      <c r="A3758" s="521" t="n">
        <v>3750</v>
      </c>
      <c r="B3758" s="522" t="inlineStr">
        <is>
          <t>Sealing Sample Fee</t>
        </is>
      </c>
      <c r="C3758" s="522" t="inlineStr">
        <is>
          <t>អ៊ិនធើថេក ថេសធីង សឺវីស (ខេមបូឌា) ខមភេនី លីមីធីត</t>
        </is>
      </c>
      <c r="D3758" s="522" t="inlineStr">
        <is>
          <t>L001-100045707</t>
        </is>
      </c>
      <c r="E3758" s="521" t="inlineStr">
        <is>
          <t>KHM20210013260</t>
        </is>
      </c>
      <c r="F3758" s="523" t="n">
        <v>44523</v>
      </c>
      <c r="G3758" s="556" t="n">
        <v>65072</v>
      </c>
      <c r="I3758" s="521">
        <f>G3758</f>
        <v/>
      </c>
      <c r="K3758" s="521">
        <f>I3758-G3758</f>
        <v/>
      </c>
      <c r="M3758" s="522" t="inlineStr">
        <is>
          <t>KHM20210013260</t>
        </is>
      </c>
      <c r="N3758" s="522" t="inlineStr">
        <is>
          <t>KHM20210013260</t>
        </is>
      </c>
      <c r="O3758" s="521">
        <f>M3758=N3758</f>
        <v/>
      </c>
      <c r="P3758" s="521">
        <f>AND(MONTH(F3758)=MONTH(S3758), YEAR(F3758)=YEAR(S3758))</f>
        <v/>
      </c>
      <c r="Q3758" s="521">
        <f>U3758="L001-901905215"</f>
        <v/>
      </c>
      <c r="R3758" s="556">
        <f>G3758-W3758</f>
        <v/>
      </c>
      <c r="S3758" s="523" t="n">
        <v>44523</v>
      </c>
      <c r="T3758" s="522" t="inlineStr">
        <is>
          <t>KHM20210013260</t>
        </is>
      </c>
      <c r="U3758" s="522" t="inlineStr">
        <is>
          <t>L001-901905215</t>
        </is>
      </c>
      <c r="V3758" s="522" t="inlineStr">
        <is>
          <t>វីអ៊ីស៊ិន (ខេមបូឌា) អ៊ិនដាសស្ទ្រី ឯ.ក</t>
        </is>
      </c>
      <c r="W3758" s="556" t="n">
        <v>65072</v>
      </c>
    </row>
    <row r="3759">
      <c r="A3759" s="521" t="n">
        <v>3751</v>
      </c>
      <c r="B3759" s="522" t="inlineStr">
        <is>
          <t>Service Fee</t>
        </is>
      </c>
      <c r="C3759" s="522" t="inlineStr">
        <is>
          <t>ប្យួរ៉ូ វេរីតាស (ខេមបូឌា) លីមីធីត</t>
        </is>
      </c>
      <c r="D3759" s="522" t="inlineStr">
        <is>
          <t>L001-107024462</t>
        </is>
      </c>
      <c r="E3759" s="521" t="inlineStr">
        <is>
          <t>59011298</t>
        </is>
      </c>
      <c r="F3759" s="523" t="n">
        <v>44515</v>
      </c>
      <c r="G3759" s="556" t="n">
        <v>110202</v>
      </c>
      <c r="I3759" s="521">
        <f>G3759</f>
        <v/>
      </c>
      <c r="K3759" s="521">
        <f>I3759-G3759</f>
        <v/>
      </c>
      <c r="M3759" s="522" t="inlineStr">
        <is>
          <t>59011298</t>
        </is>
      </c>
      <c r="N3759" s="522" t="inlineStr">
        <is>
          <t>59011298</t>
        </is>
      </c>
      <c r="O3759" s="521">
        <f>M3759=N3759</f>
        <v/>
      </c>
      <c r="P3759" s="521">
        <f>AND(MONTH(F3759)=MONTH(S3759), YEAR(F3759)=YEAR(S3759))</f>
        <v/>
      </c>
      <c r="Q3759" s="521">
        <f>U3759="L001-901905215"</f>
        <v/>
      </c>
      <c r="R3759" s="556">
        <f>G3759-W3759</f>
        <v/>
      </c>
      <c r="S3759" s="523" t="n">
        <v>44515</v>
      </c>
      <c r="T3759" s="522" t="inlineStr">
        <is>
          <t>59011298</t>
        </is>
      </c>
      <c r="U3759" s="522" t="inlineStr">
        <is>
          <t>L001-901905215</t>
        </is>
      </c>
      <c r="V3759" s="522" t="inlineStr">
        <is>
          <t>វីអ៊ីស៊ិន (ខេមបូឌា) អ៊ិនដាសស្ទ្រី ឯ.ក</t>
        </is>
      </c>
      <c r="W3759" s="556" t="n">
        <v>110202</v>
      </c>
    </row>
    <row r="3760">
      <c r="A3760" s="521" t="n">
        <v>3752</v>
      </c>
      <c r="B3760" s="522" t="inlineStr">
        <is>
          <t>Service Fee</t>
        </is>
      </c>
      <c r="C3760" s="522" t="inlineStr">
        <is>
          <t>ប្យួរ៉ូ វេរីតាស (ខេមបូឌា) លីមីធីត</t>
        </is>
      </c>
      <c r="D3760" s="522" t="inlineStr">
        <is>
          <t>L001-107024462</t>
        </is>
      </c>
      <c r="E3760" s="521" t="inlineStr">
        <is>
          <t>59011302</t>
        </is>
      </c>
      <c r="F3760" s="523" t="n">
        <v>44515</v>
      </c>
      <c r="G3760" s="556" t="n">
        <v>55157</v>
      </c>
      <c r="I3760" s="521">
        <f>G3760</f>
        <v/>
      </c>
      <c r="K3760" s="521">
        <f>I3760-G3760</f>
        <v/>
      </c>
      <c r="M3760" s="522" t="inlineStr">
        <is>
          <t>59011302</t>
        </is>
      </c>
      <c r="N3760" s="522" t="inlineStr">
        <is>
          <t>59011302</t>
        </is>
      </c>
      <c r="O3760" s="521">
        <f>M3760=N3760</f>
        <v/>
      </c>
      <c r="P3760" s="521">
        <f>AND(MONTH(F3760)=MONTH(S3760), YEAR(F3760)=YEAR(S3760))</f>
        <v/>
      </c>
      <c r="Q3760" s="521">
        <f>U3760="L001-901905215"</f>
        <v/>
      </c>
      <c r="R3760" s="556">
        <f>G3760-W3760</f>
        <v/>
      </c>
      <c r="S3760" s="523" t="n">
        <v>44515</v>
      </c>
      <c r="T3760" s="522" t="inlineStr">
        <is>
          <t>59011302</t>
        </is>
      </c>
      <c r="U3760" s="522" t="inlineStr">
        <is>
          <t>L001-901905215</t>
        </is>
      </c>
      <c r="V3760" s="522" t="inlineStr">
        <is>
          <t>វីអ៊ីស៊ិន (ខេមបូឌា) អ៊ិនដាសស្ទ្រី ឯ.ក</t>
        </is>
      </c>
      <c r="W3760" s="556" t="n">
        <v>55103</v>
      </c>
    </row>
    <row r="3761">
      <c r="A3761" s="521" t="n">
        <v>3753</v>
      </c>
      <c r="B3761" s="522" t="inlineStr">
        <is>
          <t>Service Fee</t>
        </is>
      </c>
      <c r="C3761" s="522" t="inlineStr">
        <is>
          <t>ប្យួរ៉ូ វេរីតាស (ខេមបូឌា) លីមីធីត</t>
        </is>
      </c>
      <c r="D3761" s="522" t="inlineStr">
        <is>
          <t>L001-107024462</t>
        </is>
      </c>
      <c r="E3761" s="521" t="inlineStr">
        <is>
          <t>59011319</t>
        </is>
      </c>
      <c r="F3761" s="523" t="n">
        <v>44517</v>
      </c>
      <c r="G3761" s="556" t="n">
        <v>110202</v>
      </c>
      <c r="I3761" s="521">
        <f>G3761</f>
        <v/>
      </c>
      <c r="K3761" s="521">
        <f>I3761-G3761</f>
        <v/>
      </c>
      <c r="M3761" s="522" t="inlineStr">
        <is>
          <t>59011319</t>
        </is>
      </c>
      <c r="N3761" s="522" t="inlineStr">
        <is>
          <t>59011319</t>
        </is>
      </c>
      <c r="O3761" s="521">
        <f>M3761=N3761</f>
        <v/>
      </c>
      <c r="P3761" s="521">
        <f>AND(MONTH(F3761)=MONTH(S3761), YEAR(F3761)=YEAR(S3761))</f>
        <v/>
      </c>
      <c r="Q3761" s="521">
        <f>U3761="L001-901905215"</f>
        <v/>
      </c>
      <c r="R3761" s="556">
        <f>G3761-W3761</f>
        <v/>
      </c>
      <c r="S3761" s="523" t="n">
        <v>44517</v>
      </c>
      <c r="T3761" s="522" t="inlineStr">
        <is>
          <t>59011319</t>
        </is>
      </c>
      <c r="U3761" s="522" t="inlineStr">
        <is>
          <t>L001-901905215</t>
        </is>
      </c>
      <c r="V3761" s="522" t="inlineStr">
        <is>
          <t>វីអ៊ីស៊ិន (ខេមបូឌា) អ៊ិនដាសស្ទ្រី ឯ.ក</t>
        </is>
      </c>
      <c r="W3761" s="556" t="n">
        <v>110202</v>
      </c>
    </row>
    <row r="3762">
      <c r="A3762" s="521" t="n">
        <v>3754</v>
      </c>
      <c r="B3762" s="522" t="inlineStr">
        <is>
          <t>Service Fee</t>
        </is>
      </c>
      <c r="C3762" s="522" t="inlineStr">
        <is>
          <t>ប្យួរ៉ូ វេរីតាស (ខេមបូឌា) លីមីធីត</t>
        </is>
      </c>
      <c r="D3762" s="522" t="inlineStr">
        <is>
          <t>L001-107024462</t>
        </is>
      </c>
      <c r="E3762" s="521" t="inlineStr">
        <is>
          <t>59011324</t>
        </is>
      </c>
      <c r="F3762" s="523" t="n">
        <v>44518</v>
      </c>
      <c r="G3762" s="556" t="n">
        <v>55157</v>
      </c>
      <c r="I3762" s="521">
        <f>G3762</f>
        <v/>
      </c>
      <c r="K3762" s="521">
        <f>I3762-G3762</f>
        <v/>
      </c>
      <c r="M3762" s="522" t="inlineStr">
        <is>
          <t>59011324</t>
        </is>
      </c>
      <c r="N3762" s="522" t="inlineStr">
        <is>
          <t>59011324</t>
        </is>
      </c>
      <c r="O3762" s="521">
        <f>M3762=N3762</f>
        <v/>
      </c>
      <c r="P3762" s="521">
        <f>AND(MONTH(F3762)=MONTH(S3762), YEAR(F3762)=YEAR(S3762))</f>
        <v/>
      </c>
      <c r="Q3762" s="521">
        <f>U3762="L001-901905215"</f>
        <v/>
      </c>
      <c r="R3762" s="556">
        <f>G3762-W3762</f>
        <v/>
      </c>
      <c r="S3762" s="523" t="n">
        <v>44518</v>
      </c>
      <c r="T3762" s="522" t="inlineStr">
        <is>
          <t>59011324</t>
        </is>
      </c>
      <c r="U3762" s="522" t="inlineStr">
        <is>
          <t>L001-901905215</t>
        </is>
      </c>
      <c r="V3762" s="522" t="inlineStr">
        <is>
          <t>វីអ៊ីស៊ិន (ខេមបូឌា) អ៊ិនដាសស្ទ្រី ឯ.ក</t>
        </is>
      </c>
      <c r="W3762" s="556" t="n">
        <v>55103</v>
      </c>
    </row>
    <row r="3763">
      <c r="A3763" s="521" t="n">
        <v>3755</v>
      </c>
      <c r="B3763" s="522" t="inlineStr">
        <is>
          <t>Service Fee</t>
        </is>
      </c>
      <c r="C3763" s="522" t="inlineStr">
        <is>
          <t>ប្យួរ៉ូ វេរីតាស (ខេមបូឌា) លីមីធីត</t>
        </is>
      </c>
      <c r="D3763" s="522" t="inlineStr">
        <is>
          <t>L001-107024462</t>
        </is>
      </c>
      <c r="E3763" s="521" t="inlineStr">
        <is>
          <t>59011246</t>
        </is>
      </c>
      <c r="F3763" s="523" t="n">
        <v>44505</v>
      </c>
      <c r="G3763" s="556" t="n">
        <v>55157</v>
      </c>
      <c r="I3763" s="521">
        <f>G3763</f>
        <v/>
      </c>
      <c r="K3763" s="521">
        <f>I3763-G3763</f>
        <v/>
      </c>
      <c r="M3763" s="522" t="inlineStr">
        <is>
          <t>59011246</t>
        </is>
      </c>
      <c r="N3763" s="522" t="inlineStr">
        <is>
          <t>59011246</t>
        </is>
      </c>
      <c r="O3763" s="521">
        <f>M3763=N3763</f>
        <v/>
      </c>
      <c r="P3763" s="521">
        <f>AND(MONTH(F3763)=MONTH(S3763), YEAR(F3763)=YEAR(S3763))</f>
        <v/>
      </c>
      <c r="Q3763" s="521">
        <f>U3763="L001-901905215"</f>
        <v/>
      </c>
      <c r="R3763" s="556">
        <f>G3763-W3763</f>
        <v/>
      </c>
      <c r="S3763" s="523" t="n">
        <v>44505</v>
      </c>
      <c r="T3763" s="522" t="inlineStr">
        <is>
          <t>59011246</t>
        </is>
      </c>
      <c r="U3763" s="522" t="inlineStr">
        <is>
          <t>L001-901905215</t>
        </is>
      </c>
      <c r="V3763" s="522" t="inlineStr">
        <is>
          <t>វីអ៊ីស៊ិន (ខេមបូឌា) អ៊ិនដាសស្ទ្រី ឯ.ក</t>
        </is>
      </c>
      <c r="W3763" s="556" t="n">
        <v>55157</v>
      </c>
    </row>
    <row r="3764">
      <c r="A3764" s="521" t="n">
        <v>3756</v>
      </c>
      <c r="B3764" s="522" t="inlineStr">
        <is>
          <t>Service Fee</t>
        </is>
      </c>
      <c r="C3764" s="522" t="inlineStr">
        <is>
          <t>ប្យួរ៉ូ វេរីតាស (ខេមបូឌា) លីមីធីត</t>
        </is>
      </c>
      <c r="D3764" s="522" t="inlineStr">
        <is>
          <t>L001-107024462</t>
        </is>
      </c>
      <c r="E3764" s="521" t="inlineStr">
        <is>
          <t>59011256</t>
        </is>
      </c>
      <c r="F3764" s="523" t="n">
        <v>44506</v>
      </c>
      <c r="G3764" s="556" t="n">
        <v>165468</v>
      </c>
      <c r="I3764" s="521">
        <f>G3764</f>
        <v/>
      </c>
      <c r="K3764" s="521">
        <f>I3764-G3764</f>
        <v/>
      </c>
      <c r="M3764" s="522" t="inlineStr">
        <is>
          <t>59011256</t>
        </is>
      </c>
      <c r="N3764" s="522" t="inlineStr">
        <is>
          <t>59011256</t>
        </is>
      </c>
      <c r="O3764" s="521">
        <f>M3764=N3764</f>
        <v/>
      </c>
      <c r="P3764" s="521">
        <f>AND(MONTH(F3764)=MONTH(S3764), YEAR(F3764)=YEAR(S3764))</f>
        <v/>
      </c>
      <c r="Q3764" s="521">
        <f>U3764="L001-901905215"</f>
        <v/>
      </c>
      <c r="R3764" s="556">
        <f>G3764-W3764</f>
        <v/>
      </c>
      <c r="S3764" s="523" t="n">
        <v>44506</v>
      </c>
      <c r="T3764" s="522" t="inlineStr">
        <is>
          <t>59011256</t>
        </is>
      </c>
      <c r="U3764" s="522" t="inlineStr">
        <is>
          <t>L001-901905215</t>
        </is>
      </c>
      <c r="V3764" s="522" t="inlineStr">
        <is>
          <t>វីអ៊ីស៊ិន (ខេមបូឌា) អ៊ិនដាសស្ទ្រី ឯ.ក</t>
        </is>
      </c>
      <c r="W3764" s="556" t="n">
        <v>165468</v>
      </c>
    </row>
    <row r="3765">
      <c r="A3765" s="521" t="n">
        <v>3757</v>
      </c>
      <c r="B3765" s="522" t="inlineStr">
        <is>
          <t>Service Fee</t>
        </is>
      </c>
      <c r="C3765" s="522" t="inlineStr">
        <is>
          <t>ប្យួរ៉ូ វេរីតាស (ខេមបូឌា) លីមីធីត</t>
        </is>
      </c>
      <c r="D3765" s="522" t="inlineStr">
        <is>
          <t>L001-107024462</t>
        </is>
      </c>
      <c r="E3765" s="521" t="inlineStr">
        <is>
          <t>59011290</t>
        </is>
      </c>
      <c r="F3765" s="523" t="n">
        <v>44512</v>
      </c>
      <c r="G3765" s="556" t="n">
        <v>110256</v>
      </c>
      <c r="I3765" s="521">
        <f>G3765</f>
        <v/>
      </c>
      <c r="K3765" s="521">
        <f>I3765-G3765</f>
        <v/>
      </c>
      <c r="M3765" s="522" t="inlineStr">
        <is>
          <t>59011290</t>
        </is>
      </c>
      <c r="N3765" s="522" t="inlineStr">
        <is>
          <t>59011290</t>
        </is>
      </c>
      <c r="O3765" s="521">
        <f>M3765=N3765</f>
        <v/>
      </c>
      <c r="P3765" s="521">
        <f>AND(MONTH(F3765)=MONTH(S3765), YEAR(F3765)=YEAR(S3765))</f>
        <v/>
      </c>
      <c r="Q3765" s="521">
        <f>U3765="L001-901905215"</f>
        <v/>
      </c>
      <c r="R3765" s="556">
        <f>G3765-W3765</f>
        <v/>
      </c>
      <c r="S3765" s="523" t="n">
        <v>44512</v>
      </c>
      <c r="T3765" s="522" t="inlineStr">
        <is>
          <t>59011290</t>
        </is>
      </c>
      <c r="U3765" s="522" t="inlineStr">
        <is>
          <t>L001-901905215</t>
        </is>
      </c>
      <c r="V3765" s="522" t="inlineStr">
        <is>
          <t>វីអ៊ីស៊ិន (ខេមបូឌា) អ៊ិនដាសស្ទ្រី ឯ.ក</t>
        </is>
      </c>
      <c r="W3765" s="556" t="n">
        <v>110256</v>
      </c>
    </row>
    <row r="3766">
      <c r="A3766" s="521" t="n">
        <v>3758</v>
      </c>
      <c r="B3766" s="522" t="inlineStr">
        <is>
          <t>Service Fee</t>
        </is>
      </c>
      <c r="C3766" s="522" t="inlineStr">
        <is>
          <t>ប្យួរ៉ូ វេរីតាស (ខេមបូឌា) លីមីធីត</t>
        </is>
      </c>
      <c r="D3766" s="522" t="inlineStr">
        <is>
          <t>L001-107024462</t>
        </is>
      </c>
      <c r="E3766" s="521" t="inlineStr">
        <is>
          <t>59011225</t>
        </is>
      </c>
      <c r="F3766" s="523" t="n">
        <v>44502</v>
      </c>
      <c r="G3766" s="556" t="n">
        <v>55103</v>
      </c>
      <c r="I3766" s="521">
        <f>G3766</f>
        <v/>
      </c>
      <c r="K3766" s="521">
        <f>I3766-G3766</f>
        <v/>
      </c>
      <c r="M3766" s="522" t="inlineStr">
        <is>
          <t>59011225</t>
        </is>
      </c>
      <c r="N3766" s="522" t="inlineStr">
        <is>
          <t>59011225</t>
        </is>
      </c>
      <c r="O3766" s="521">
        <f>M3766=N3766</f>
        <v/>
      </c>
      <c r="P3766" s="521">
        <f>AND(MONTH(F3766)=MONTH(S3766), YEAR(F3766)=YEAR(S3766))</f>
        <v/>
      </c>
      <c r="Q3766" s="521">
        <f>U3766="L001-901905215"</f>
        <v/>
      </c>
      <c r="R3766" s="556">
        <f>G3766-W3766</f>
        <v/>
      </c>
      <c r="S3766" s="523" t="n">
        <v>44502</v>
      </c>
      <c r="T3766" s="522" t="inlineStr">
        <is>
          <t>59011225</t>
        </is>
      </c>
      <c r="U3766" s="522" t="inlineStr">
        <is>
          <t>L001-901905215</t>
        </is>
      </c>
      <c r="V3766" s="522" t="inlineStr">
        <is>
          <t>វីអ៊ីស៊ិន (ខេមបូឌា) អ៊ិនដាសស្ទ្រី ឯ.ក</t>
        </is>
      </c>
      <c r="W3766" s="556" t="n">
        <v>55103</v>
      </c>
    </row>
    <row r="3767">
      <c r="A3767" s="521" t="n">
        <v>3759</v>
      </c>
      <c r="B3767" s="522" t="inlineStr">
        <is>
          <t>KHCIC</t>
        </is>
      </c>
      <c r="C3767" s="522" t="inlineStr">
        <is>
          <t>អេសអាយធីស៊ី ខិនថេនើរ ឡាញ (ខេមបូឌា)</t>
        </is>
      </c>
      <c r="D3767" s="522" t="inlineStr">
        <is>
          <t>L001-107035863</t>
        </is>
      </c>
      <c r="E3767" s="521" t="inlineStr">
        <is>
          <t>SITC2021-018129</t>
        </is>
      </c>
      <c r="F3767" s="523" t="n">
        <v>44501</v>
      </c>
      <c r="G3767" s="556" t="n">
        <v>430123</v>
      </c>
      <c r="I3767" s="521">
        <f>G3767</f>
        <v/>
      </c>
      <c r="K3767" s="521">
        <f>I3767-G3767</f>
        <v/>
      </c>
      <c r="M3767" s="522" t="inlineStr">
        <is>
          <t>SITC2021018129</t>
        </is>
      </c>
      <c r="N3767" s="522" t="inlineStr"/>
      <c r="O3767" s="521">
        <f>M3767=N3767</f>
        <v/>
      </c>
      <c r="P3767" s="521">
        <f>AND(MONTH(F3767)=MONTH(S3767), YEAR(F3767)=YEAR(S3767))</f>
        <v/>
      </c>
      <c r="Q3767" s="521">
        <f>U3767="L001-901905215"</f>
        <v/>
      </c>
      <c r="R3767" s="556">
        <f>G3767-W3767</f>
        <v/>
      </c>
      <c r="S3767" s="521" t="n"/>
      <c r="T3767" s="522" t="n"/>
      <c r="U3767" s="522" t="n"/>
      <c r="V3767" s="522" t="n"/>
      <c r="W3767" s="521" t="n"/>
    </row>
    <row r="3768">
      <c r="A3768" s="521" t="n">
        <v>3760</v>
      </c>
      <c r="B3768" s="522" t="inlineStr">
        <is>
          <t>Trucking fee</t>
        </is>
      </c>
      <c r="C3768" s="522" t="inlineStr">
        <is>
          <t>អ៊ែរ៉ូ ស៊ីបភីង អេជេនស៊ី</t>
        </is>
      </c>
      <c r="D3768" s="522" t="inlineStr">
        <is>
          <t>K004-901635903</t>
        </is>
      </c>
      <c r="E3768" s="521" t="inlineStr">
        <is>
          <t>IKPSA2021531909</t>
        </is>
      </c>
      <c r="F3768" s="523" t="n">
        <v>44501</v>
      </c>
      <c r="G3768" s="556" t="n">
        <v>114240</v>
      </c>
      <c r="I3768" s="521">
        <f>G3768</f>
        <v/>
      </c>
      <c r="K3768" s="521">
        <f>I3768-G3768</f>
        <v/>
      </c>
      <c r="M3768" s="522" t="inlineStr">
        <is>
          <t>IKPSA2021531909</t>
        </is>
      </c>
      <c r="N3768" s="522" t="inlineStr"/>
      <c r="O3768" s="521">
        <f>M3768=N3768</f>
        <v/>
      </c>
      <c r="P3768" s="521">
        <f>AND(MONTH(F3768)=MONTH(S3768), YEAR(F3768)=YEAR(S3768))</f>
        <v/>
      </c>
      <c r="Q3768" s="521">
        <f>U3768="L001-901905215"</f>
        <v/>
      </c>
      <c r="R3768" s="556">
        <f>G3768-W3768</f>
        <v/>
      </c>
      <c r="S3768" s="521" t="n"/>
      <c r="T3768" s="522" t="n"/>
      <c r="U3768" s="522" t="n"/>
      <c r="V3768" s="522" t="n"/>
      <c r="W3768" s="521" t="n"/>
    </row>
    <row r="3769">
      <c r="A3769" s="521" t="n">
        <v>3761</v>
      </c>
      <c r="B3769" s="522" t="inlineStr">
        <is>
          <t>Trucking fee</t>
        </is>
      </c>
      <c r="C3769" s="522" t="inlineStr">
        <is>
          <t>អ៊ែរ៉ូ ស៊ីបភីង អេជេនស៊ី</t>
        </is>
      </c>
      <c r="D3769" s="522" t="inlineStr">
        <is>
          <t>K004-901635903</t>
        </is>
      </c>
      <c r="E3769" s="521" t="inlineStr">
        <is>
          <t>IKPSA2021531908</t>
        </is>
      </c>
      <c r="F3769" s="523" t="n">
        <v>44501</v>
      </c>
      <c r="G3769" s="556" t="n">
        <v>97920</v>
      </c>
      <c r="I3769" s="521">
        <f>G3769</f>
        <v/>
      </c>
      <c r="K3769" s="521">
        <f>I3769-G3769</f>
        <v/>
      </c>
      <c r="M3769" s="522" t="inlineStr">
        <is>
          <t>IKPSA2021531908</t>
        </is>
      </c>
      <c r="N3769" s="522" t="inlineStr"/>
      <c r="O3769" s="521">
        <f>M3769=N3769</f>
        <v/>
      </c>
      <c r="P3769" s="521">
        <f>AND(MONTH(F3769)=MONTH(S3769), YEAR(F3769)=YEAR(S3769))</f>
        <v/>
      </c>
      <c r="Q3769" s="521">
        <f>U3769="L001-901905215"</f>
        <v/>
      </c>
      <c r="R3769" s="556">
        <f>G3769-W3769</f>
        <v/>
      </c>
      <c r="S3769" s="521" t="n"/>
      <c r="T3769" s="522" t="n"/>
      <c r="U3769" s="522" t="n"/>
      <c r="V3769" s="522" t="n"/>
      <c r="W3769" s="521" t="n"/>
    </row>
    <row r="3770">
      <c r="A3770" s="521" t="n">
        <v>3762</v>
      </c>
      <c r="B3770" s="522" t="inlineStr">
        <is>
          <t>Trucking fee</t>
        </is>
      </c>
      <c r="C3770" s="522" t="inlineStr">
        <is>
          <t>អ៊ែរ៉ូ ស៊ីបភីង អេជេនស៊ី</t>
        </is>
      </c>
      <c r="D3770" s="522" t="inlineStr">
        <is>
          <t>K004-901635903</t>
        </is>
      </c>
      <c r="E3770" s="521" t="inlineStr">
        <is>
          <t>IKPSA2021531907</t>
        </is>
      </c>
      <c r="F3770" s="523" t="n">
        <v>44501</v>
      </c>
      <c r="G3770" s="556" t="n">
        <v>1855</v>
      </c>
      <c r="I3770" s="521">
        <f>G3770</f>
        <v/>
      </c>
      <c r="K3770" s="521">
        <f>I3770-G3770</f>
        <v/>
      </c>
      <c r="M3770" s="522" t="inlineStr">
        <is>
          <t>IKPSA2021531907</t>
        </is>
      </c>
      <c r="N3770" s="522" t="inlineStr"/>
      <c r="O3770" s="521">
        <f>M3770=N3770</f>
        <v/>
      </c>
      <c r="P3770" s="521">
        <f>AND(MONTH(F3770)=MONTH(S3770), YEAR(F3770)=YEAR(S3770))</f>
        <v/>
      </c>
      <c r="Q3770" s="521">
        <f>U3770="L001-901905215"</f>
        <v/>
      </c>
      <c r="R3770" s="556">
        <f>G3770-W3770</f>
        <v/>
      </c>
      <c r="S3770" s="521" t="n"/>
      <c r="T3770" s="522" t="n"/>
      <c r="U3770" s="522" t="n"/>
      <c r="V3770" s="522" t="n"/>
      <c r="W3770" s="521" t="n"/>
    </row>
    <row r="3771">
      <c r="A3771" s="521" t="n">
        <v>3763</v>
      </c>
      <c r="B3771" s="522" t="inlineStr">
        <is>
          <t>Trucking import and handling fee</t>
        </is>
      </c>
      <c r="C3771" s="522" t="inlineStr">
        <is>
          <t>ហុង តុង អ៊ិនធើណេសិនណល ឡូជីស្ទីក ឯ.ក</t>
        </is>
      </c>
      <c r="D3771" s="522" t="inlineStr">
        <is>
          <t>K003-902006166</t>
        </is>
      </c>
      <c r="E3771" s="521" t="inlineStr">
        <is>
          <t>HT20210133</t>
        </is>
      </c>
      <c r="F3771" s="523" t="n">
        <v>44530</v>
      </c>
      <c r="G3771" s="556" t="n">
        <v>260416</v>
      </c>
      <c r="I3771" s="521">
        <f>G3771</f>
        <v/>
      </c>
      <c r="K3771" s="521">
        <f>I3771-G3771</f>
        <v/>
      </c>
      <c r="M3771" s="522" t="inlineStr">
        <is>
          <t>HT20210133</t>
        </is>
      </c>
      <c r="N3771" s="522" t="inlineStr">
        <is>
          <t>HT20210133</t>
        </is>
      </c>
      <c r="O3771" s="521">
        <f>M3771=N3771</f>
        <v/>
      </c>
      <c r="P3771" s="521">
        <f>AND(MONTH(F3771)=MONTH(S3771), YEAR(F3771)=YEAR(S3771))</f>
        <v/>
      </c>
      <c r="Q3771" s="521">
        <f>U3771="L001-901905215"</f>
        <v/>
      </c>
      <c r="R3771" s="556">
        <f>G3771-W3771</f>
        <v/>
      </c>
      <c r="S3771" s="523" t="n">
        <v>44530</v>
      </c>
      <c r="T3771" s="522" t="inlineStr">
        <is>
          <t>HT20210133</t>
        </is>
      </c>
      <c r="U3771" s="522" t="inlineStr">
        <is>
          <t>L001-901905215</t>
        </is>
      </c>
      <c r="V3771" s="522" t="inlineStr">
        <is>
          <t>វីអ៊ីស៊ិន (ខេមបូឌា) អ៊ិនដាសស្ទ្រី ឯ.ក</t>
        </is>
      </c>
      <c r="W3771" s="556" t="n">
        <v>260416</v>
      </c>
    </row>
    <row r="3772">
      <c r="A3772" s="521" t="n">
        <v>3764</v>
      </c>
      <c r="B3772" s="522" t="inlineStr">
        <is>
          <t>Trucking import and handling fee</t>
        </is>
      </c>
      <c r="C3772" s="522" t="inlineStr">
        <is>
          <t>ហុង តុង អ៊ិនធើណេសិនណល ឡូជីស្ទីក ឯ.ក</t>
        </is>
      </c>
      <c r="D3772" s="522" t="inlineStr">
        <is>
          <t>K003-902006166</t>
        </is>
      </c>
      <c r="E3772" s="521" t="inlineStr">
        <is>
          <t>HT20210130</t>
        </is>
      </c>
      <c r="F3772" s="523" t="n">
        <v>44529</v>
      </c>
      <c r="G3772" s="556" t="n">
        <v>130208</v>
      </c>
      <c r="I3772" s="521">
        <f>G3772</f>
        <v/>
      </c>
      <c r="K3772" s="521">
        <f>I3772-G3772</f>
        <v/>
      </c>
      <c r="M3772" s="522" t="inlineStr">
        <is>
          <t>HT20210130</t>
        </is>
      </c>
      <c r="N3772" s="522" t="inlineStr">
        <is>
          <t>HT20210130</t>
        </is>
      </c>
      <c r="O3772" s="521">
        <f>M3772=N3772</f>
        <v/>
      </c>
      <c r="P3772" s="521">
        <f>AND(MONTH(F3772)=MONTH(S3772), YEAR(F3772)=YEAR(S3772))</f>
        <v/>
      </c>
      <c r="Q3772" s="521">
        <f>U3772="L001-901905215"</f>
        <v/>
      </c>
      <c r="R3772" s="556">
        <f>G3772-W3772</f>
        <v/>
      </c>
      <c r="S3772" s="523" t="n">
        <v>44529</v>
      </c>
      <c r="T3772" s="522" t="inlineStr">
        <is>
          <t>HT20210130</t>
        </is>
      </c>
      <c r="U3772" s="522" t="inlineStr">
        <is>
          <t>L001-901905215</t>
        </is>
      </c>
      <c r="V3772" s="522" t="inlineStr">
        <is>
          <t>វីអ៊ីស៊ិន (ខេមបូឌា) អ៊ិនដាសស្ទ្រី ឯ.ក</t>
        </is>
      </c>
      <c r="W3772" s="556" t="n">
        <v>130208</v>
      </c>
    </row>
    <row r="3773">
      <c r="A3773" s="521" t="n">
        <v>3765</v>
      </c>
      <c r="B3773" s="522" t="inlineStr">
        <is>
          <t>Trucking import and handling fee</t>
        </is>
      </c>
      <c r="C3773" s="522" t="inlineStr">
        <is>
          <t>ហុង តុង អ៊ិនធើណេសិនណល ឡូជីស្ទីក ឯ.ក</t>
        </is>
      </c>
      <c r="D3773" s="522" t="inlineStr">
        <is>
          <t>K003-902006166</t>
        </is>
      </c>
      <c r="E3773" s="521" t="inlineStr">
        <is>
          <t>HT20210129</t>
        </is>
      </c>
      <c r="F3773" s="523" t="n">
        <v>44529</v>
      </c>
      <c r="G3773" s="556" t="n">
        <v>28483</v>
      </c>
      <c r="I3773" s="521">
        <f>G3773</f>
        <v/>
      </c>
      <c r="K3773" s="521">
        <f>I3773-G3773</f>
        <v/>
      </c>
      <c r="M3773" s="522" t="inlineStr">
        <is>
          <t>HT20210129</t>
        </is>
      </c>
      <c r="N3773" s="522" t="inlineStr">
        <is>
          <t>HT20210129</t>
        </is>
      </c>
      <c r="O3773" s="521">
        <f>M3773=N3773</f>
        <v/>
      </c>
      <c r="P3773" s="521">
        <f>AND(MONTH(F3773)=MONTH(S3773), YEAR(F3773)=YEAR(S3773))</f>
        <v/>
      </c>
      <c r="Q3773" s="521">
        <f>U3773="L001-901905215"</f>
        <v/>
      </c>
      <c r="R3773" s="556">
        <f>G3773-W3773</f>
        <v/>
      </c>
      <c r="S3773" s="523" t="n">
        <v>44529</v>
      </c>
      <c r="T3773" s="522" t="inlineStr">
        <is>
          <t>HT20210129</t>
        </is>
      </c>
      <c r="U3773" s="522" t="inlineStr">
        <is>
          <t>L001-901905215</t>
        </is>
      </c>
      <c r="V3773" s="522" t="inlineStr">
        <is>
          <t>វីអ៊ីស៊ិន (ខេមបូឌា) អ៊ិនដាសស្ទ្រី ឯ.ក</t>
        </is>
      </c>
      <c r="W3773" s="556" t="n">
        <v>28483</v>
      </c>
    </row>
    <row r="3774">
      <c r="A3774" s="521" t="n">
        <v>3766</v>
      </c>
      <c r="B3774" s="522" t="inlineStr">
        <is>
          <t>Trucking import and handling fee</t>
        </is>
      </c>
      <c r="C3774" s="522" t="inlineStr">
        <is>
          <t>ហុង តុង អ៊ិនធើណេសិនណល ឡូជីស្ទីក ឯ.ក</t>
        </is>
      </c>
      <c r="D3774" s="522" t="inlineStr">
        <is>
          <t>K003-902006166</t>
        </is>
      </c>
      <c r="E3774" s="521" t="inlineStr">
        <is>
          <t>HT20210128</t>
        </is>
      </c>
      <c r="F3774" s="523" t="n">
        <v>44529</v>
      </c>
      <c r="G3774" s="556" t="n">
        <v>390624</v>
      </c>
      <c r="I3774" s="521">
        <f>G3774</f>
        <v/>
      </c>
      <c r="K3774" s="521">
        <f>I3774-G3774</f>
        <v/>
      </c>
      <c r="M3774" s="522" t="inlineStr">
        <is>
          <t>HT20210128</t>
        </is>
      </c>
      <c r="N3774" s="522" t="inlineStr">
        <is>
          <t>HT20210128</t>
        </is>
      </c>
      <c r="O3774" s="521">
        <f>M3774=N3774</f>
        <v/>
      </c>
      <c r="P3774" s="521">
        <f>AND(MONTH(F3774)=MONTH(S3774), YEAR(F3774)=YEAR(S3774))</f>
        <v/>
      </c>
      <c r="Q3774" s="521">
        <f>U3774="L001-901905215"</f>
        <v/>
      </c>
      <c r="R3774" s="556">
        <f>G3774-W3774</f>
        <v/>
      </c>
      <c r="S3774" s="523" t="n">
        <v>44529</v>
      </c>
      <c r="T3774" s="522" t="inlineStr">
        <is>
          <t>HT20210128</t>
        </is>
      </c>
      <c r="U3774" s="522" t="inlineStr">
        <is>
          <t>L001-901905215</t>
        </is>
      </c>
      <c r="V3774" s="522" t="inlineStr">
        <is>
          <t>វីអ៊ីស៊ិន (ខេមបូឌា) អ៊ិនដាសស្ទ្រី ឯ.ក</t>
        </is>
      </c>
      <c r="W3774" s="556" t="n">
        <v>390624</v>
      </c>
    </row>
    <row r="3775">
      <c r="A3775" s="521" t="n">
        <v>3767</v>
      </c>
      <c r="B3775" s="522" t="inlineStr">
        <is>
          <t>Trucking import and handling fee</t>
        </is>
      </c>
      <c r="C3775" s="522" t="inlineStr">
        <is>
          <t>ហុង តុង អ៊ិនធើណេសិនណល ឡូជីស្ទីក ឯ.ក</t>
        </is>
      </c>
      <c r="D3775" s="522" t="inlineStr">
        <is>
          <t>K003-902006166</t>
        </is>
      </c>
      <c r="E3775" s="521" t="inlineStr">
        <is>
          <t>HT20210124</t>
        </is>
      </c>
      <c r="F3775" s="523" t="n">
        <v>44525</v>
      </c>
      <c r="G3775" s="556" t="n">
        <v>520832</v>
      </c>
      <c r="I3775" s="521">
        <f>G3775</f>
        <v/>
      </c>
      <c r="K3775" s="521">
        <f>I3775-G3775</f>
        <v/>
      </c>
      <c r="M3775" s="522" t="inlineStr">
        <is>
          <t>HT20210124</t>
        </is>
      </c>
      <c r="N3775" s="522" t="inlineStr">
        <is>
          <t>HT20210124</t>
        </is>
      </c>
      <c r="O3775" s="521">
        <f>M3775=N3775</f>
        <v/>
      </c>
      <c r="P3775" s="521">
        <f>AND(MONTH(F3775)=MONTH(S3775), YEAR(F3775)=YEAR(S3775))</f>
        <v/>
      </c>
      <c r="Q3775" s="521">
        <f>U3775="L001-901905215"</f>
        <v/>
      </c>
      <c r="R3775" s="556">
        <f>G3775-W3775</f>
        <v/>
      </c>
      <c r="S3775" s="523" t="n">
        <v>44525</v>
      </c>
      <c r="T3775" s="522" t="inlineStr">
        <is>
          <t>HT20210124</t>
        </is>
      </c>
      <c r="U3775" s="522" t="inlineStr">
        <is>
          <t>L001-901905215</t>
        </is>
      </c>
      <c r="V3775" s="522" t="inlineStr">
        <is>
          <t>វីអ៊ីស៊ិន (ខេមបូឌា) អ៊ិនដាសស្ទ្រី ឯ.ក</t>
        </is>
      </c>
      <c r="W3775" s="556" t="n">
        <v>520832</v>
      </c>
    </row>
    <row r="3776">
      <c r="A3776" s="521" t="n">
        <v>3768</v>
      </c>
      <c r="B3776" s="522" t="inlineStr">
        <is>
          <t>Trucking import and handling fee</t>
        </is>
      </c>
      <c r="C3776" s="522" t="inlineStr">
        <is>
          <t>ហុង តុង អ៊ិនធើណេសិនណល ឡូជីស្ទីក ឯ.ក</t>
        </is>
      </c>
      <c r="D3776" s="522" t="inlineStr">
        <is>
          <t>K003-902006166</t>
        </is>
      </c>
      <c r="E3776" s="521" t="inlineStr">
        <is>
          <t>HT20210123</t>
        </is>
      </c>
      <c r="F3776" s="523" t="n">
        <v>44525</v>
      </c>
      <c r="G3776" s="556" t="n">
        <v>130208</v>
      </c>
      <c r="I3776" s="521">
        <f>G3776</f>
        <v/>
      </c>
      <c r="K3776" s="521">
        <f>I3776-G3776</f>
        <v/>
      </c>
      <c r="M3776" s="522" t="inlineStr">
        <is>
          <t>HT20210123</t>
        </is>
      </c>
      <c r="N3776" s="522" t="inlineStr">
        <is>
          <t>HT20210123</t>
        </is>
      </c>
      <c r="O3776" s="521">
        <f>M3776=N3776</f>
        <v/>
      </c>
      <c r="P3776" s="521">
        <f>AND(MONTH(F3776)=MONTH(S3776), YEAR(F3776)=YEAR(S3776))</f>
        <v/>
      </c>
      <c r="Q3776" s="521">
        <f>U3776="L001-901905215"</f>
        <v/>
      </c>
      <c r="R3776" s="556">
        <f>G3776-W3776</f>
        <v/>
      </c>
      <c r="S3776" s="523" t="n">
        <v>44525</v>
      </c>
      <c r="T3776" s="522" t="inlineStr">
        <is>
          <t>HT20210123</t>
        </is>
      </c>
      <c r="U3776" s="522" t="inlineStr">
        <is>
          <t>L001-901905215</t>
        </is>
      </c>
      <c r="V3776" s="522" t="inlineStr">
        <is>
          <t>វីអ៊ីស៊ិន (ខេមបូឌា) អ៊ិនដាសស្ទ្រី ឯ.ក</t>
        </is>
      </c>
      <c r="W3776" s="556" t="n">
        <v>130208</v>
      </c>
    </row>
    <row r="3777">
      <c r="A3777" s="521" t="n">
        <v>3769</v>
      </c>
      <c r="B3777" s="522" t="inlineStr">
        <is>
          <t>Trucking import and handling fee</t>
        </is>
      </c>
      <c r="C3777" s="522" t="inlineStr">
        <is>
          <t>ហុង តុង អ៊ិនធើណេសិនណល ឡូជីស្ទីក ឯ.ក</t>
        </is>
      </c>
      <c r="D3777" s="522" t="inlineStr">
        <is>
          <t>K003-902006166</t>
        </is>
      </c>
      <c r="E3777" s="521" t="inlineStr">
        <is>
          <t>HT20210121</t>
        </is>
      </c>
      <c r="F3777" s="523" t="n">
        <v>44517</v>
      </c>
      <c r="G3777" s="556" t="n">
        <v>28476</v>
      </c>
      <c r="I3777" s="521">
        <f>G3777</f>
        <v/>
      </c>
      <c r="K3777" s="521">
        <f>I3777-G3777</f>
        <v/>
      </c>
      <c r="M3777" s="522" t="inlineStr">
        <is>
          <t>HT20210121</t>
        </is>
      </c>
      <c r="N3777" s="522" t="inlineStr">
        <is>
          <t>HT20210121</t>
        </is>
      </c>
      <c r="O3777" s="521">
        <f>M3777=N3777</f>
        <v/>
      </c>
      <c r="P3777" s="521">
        <f>AND(MONTH(F3777)=MONTH(S3777), YEAR(F3777)=YEAR(S3777))</f>
        <v/>
      </c>
      <c r="Q3777" s="521">
        <f>U3777="L001-901905215"</f>
        <v/>
      </c>
      <c r="R3777" s="556">
        <f>G3777-W3777</f>
        <v/>
      </c>
      <c r="S3777" s="523" t="n">
        <v>44517</v>
      </c>
      <c r="T3777" s="522" t="inlineStr">
        <is>
          <t>HT20210121</t>
        </is>
      </c>
      <c r="U3777" s="522" t="inlineStr">
        <is>
          <t>L001-901905215</t>
        </is>
      </c>
      <c r="V3777" s="522" t="inlineStr">
        <is>
          <t>វីអ៊ីស៊ិន (ខេមបូឌា) អ៊ិនដាសស្ទ្រី ឯ.ក</t>
        </is>
      </c>
      <c r="W3777" s="556" t="n">
        <v>28476</v>
      </c>
    </row>
    <row r="3778">
      <c r="A3778" s="521" t="n">
        <v>3770</v>
      </c>
      <c r="B3778" s="522" t="inlineStr">
        <is>
          <t>Trucking import and handling fee</t>
        </is>
      </c>
      <c r="C3778" s="522" t="inlineStr">
        <is>
          <t>ហុង តុង អ៊ិនធើណេសិនណល ឡូជីស្ទីក ឯ.ក</t>
        </is>
      </c>
      <c r="D3778" s="522" t="inlineStr">
        <is>
          <t>K003-902006166</t>
        </is>
      </c>
      <c r="E3778" s="521" t="inlineStr">
        <is>
          <t>HT20210120</t>
        </is>
      </c>
      <c r="F3778" s="523" t="n">
        <v>44517</v>
      </c>
      <c r="G3778" s="556" t="n">
        <v>28476</v>
      </c>
      <c r="I3778" s="521">
        <f>G3778</f>
        <v/>
      </c>
      <c r="K3778" s="521">
        <f>I3778-G3778</f>
        <v/>
      </c>
      <c r="M3778" s="522" t="inlineStr">
        <is>
          <t>HT20210120</t>
        </is>
      </c>
      <c r="N3778" s="522" t="inlineStr">
        <is>
          <t>HT20210120</t>
        </is>
      </c>
      <c r="O3778" s="521">
        <f>M3778=N3778</f>
        <v/>
      </c>
      <c r="P3778" s="521">
        <f>AND(MONTH(F3778)=MONTH(S3778), YEAR(F3778)=YEAR(S3778))</f>
        <v/>
      </c>
      <c r="Q3778" s="521">
        <f>U3778="L001-901905215"</f>
        <v/>
      </c>
      <c r="R3778" s="556">
        <f>G3778-W3778</f>
        <v/>
      </c>
      <c r="S3778" s="523" t="n">
        <v>44517</v>
      </c>
      <c r="T3778" s="522" t="inlineStr">
        <is>
          <t>HT20210120</t>
        </is>
      </c>
      <c r="U3778" s="522" t="inlineStr">
        <is>
          <t>L001-901905215</t>
        </is>
      </c>
      <c r="V3778" s="522" t="inlineStr">
        <is>
          <t>វីអ៊ីស៊ិន (ខេមបូឌា) អ៊ិនដាសស្ទ្រី ឯ.ក</t>
        </is>
      </c>
      <c r="W3778" s="556" t="n">
        <v>28476</v>
      </c>
    </row>
    <row r="3779">
      <c r="A3779" s="521" t="n">
        <v>3771</v>
      </c>
      <c r="B3779" s="522" t="inlineStr">
        <is>
          <t>Trucking import and handling fee</t>
        </is>
      </c>
      <c r="C3779" s="522" t="inlineStr">
        <is>
          <t>ហុង តុង អ៊ិនធើណេសិនណល ឡូជីស្ទីក ឯ.ក</t>
        </is>
      </c>
      <c r="D3779" s="522" t="inlineStr">
        <is>
          <t>K003-902006166</t>
        </is>
      </c>
      <c r="E3779" s="521" t="inlineStr">
        <is>
          <t>HT20210119</t>
        </is>
      </c>
      <c r="F3779" s="523" t="n">
        <v>44517</v>
      </c>
      <c r="G3779" s="556" t="n">
        <v>28476</v>
      </c>
      <c r="I3779" s="521">
        <f>G3779</f>
        <v/>
      </c>
      <c r="K3779" s="521">
        <f>I3779-G3779</f>
        <v/>
      </c>
      <c r="M3779" s="522" t="inlineStr">
        <is>
          <t>HT20210119</t>
        </is>
      </c>
      <c r="N3779" s="522" t="inlineStr">
        <is>
          <t>HT20210119</t>
        </is>
      </c>
      <c r="O3779" s="521">
        <f>M3779=N3779</f>
        <v/>
      </c>
      <c r="P3779" s="521">
        <f>AND(MONTH(F3779)=MONTH(S3779), YEAR(F3779)=YEAR(S3779))</f>
        <v/>
      </c>
      <c r="Q3779" s="521">
        <f>U3779="L001-901905215"</f>
        <v/>
      </c>
      <c r="R3779" s="556">
        <f>G3779-W3779</f>
        <v/>
      </c>
      <c r="S3779" s="523" t="n">
        <v>44517</v>
      </c>
      <c r="T3779" s="522" t="inlineStr">
        <is>
          <t>HT20210119</t>
        </is>
      </c>
      <c r="U3779" s="522" t="inlineStr">
        <is>
          <t>L001-901905215</t>
        </is>
      </c>
      <c r="V3779" s="522" t="inlineStr">
        <is>
          <t>វីអ៊ីស៊ិន (ខេមបូឌា) អ៊ិនដាសស្ទ្រី ឯ.ក</t>
        </is>
      </c>
      <c r="W3779" s="556" t="n">
        <v>28476</v>
      </c>
    </row>
    <row r="3780">
      <c r="A3780" s="521" t="n">
        <v>3772</v>
      </c>
      <c r="B3780" s="522" t="inlineStr">
        <is>
          <t>Trucking import and handling fee</t>
        </is>
      </c>
      <c r="C3780" s="522" t="inlineStr">
        <is>
          <t>ហុង តុង អ៊ិនធើណេសិនណល ឡូជីស្ទីក ឯ.ក</t>
        </is>
      </c>
      <c r="D3780" s="522" t="inlineStr">
        <is>
          <t>K003-902006166</t>
        </is>
      </c>
      <c r="E3780" s="521" t="inlineStr">
        <is>
          <t>HT20210118</t>
        </is>
      </c>
      <c r="F3780" s="523" t="n">
        <v>44517</v>
      </c>
      <c r="G3780" s="556" t="n">
        <v>260352</v>
      </c>
      <c r="I3780" s="521">
        <f>G3780</f>
        <v/>
      </c>
      <c r="K3780" s="521">
        <f>I3780-G3780</f>
        <v/>
      </c>
      <c r="M3780" s="522" t="inlineStr">
        <is>
          <t>HT20210118</t>
        </is>
      </c>
      <c r="N3780" s="522" t="inlineStr">
        <is>
          <t>HT20210118</t>
        </is>
      </c>
      <c r="O3780" s="521">
        <f>M3780=N3780</f>
        <v/>
      </c>
      <c r="P3780" s="521">
        <f>AND(MONTH(F3780)=MONTH(S3780), YEAR(F3780)=YEAR(S3780))</f>
        <v/>
      </c>
      <c r="Q3780" s="521">
        <f>U3780="L001-901905215"</f>
        <v/>
      </c>
      <c r="R3780" s="556">
        <f>G3780-W3780</f>
        <v/>
      </c>
      <c r="S3780" s="523" t="n">
        <v>44517</v>
      </c>
      <c r="T3780" s="522" t="inlineStr">
        <is>
          <t>HT20210118</t>
        </is>
      </c>
      <c r="U3780" s="522" t="inlineStr">
        <is>
          <t>L001-901905215</t>
        </is>
      </c>
      <c r="V3780" s="522" t="inlineStr">
        <is>
          <t>វីអ៊ីស៊ិន (ខេមបូឌា) អ៊ិនដាសស្ទ្រី ឯ.ក</t>
        </is>
      </c>
      <c r="W3780" s="556" t="n">
        <v>260352</v>
      </c>
    </row>
    <row r="3781">
      <c r="A3781" s="521" t="n">
        <v>3773</v>
      </c>
      <c r="B3781" s="522" t="inlineStr">
        <is>
          <t>Trucking import and handling fee</t>
        </is>
      </c>
      <c r="C3781" s="522" t="inlineStr">
        <is>
          <t>ហុង តុង អ៊ិនធើណេសិនណល ឡូជីស្ទីក ឯ.ក</t>
        </is>
      </c>
      <c r="D3781" s="522" t="inlineStr">
        <is>
          <t>K003-902006166</t>
        </is>
      </c>
      <c r="E3781" s="521" t="inlineStr">
        <is>
          <t>HT20210117</t>
        </is>
      </c>
      <c r="F3781" s="523" t="n">
        <v>44517</v>
      </c>
      <c r="G3781" s="556" t="n">
        <v>390528</v>
      </c>
      <c r="I3781" s="521">
        <f>G3781</f>
        <v/>
      </c>
      <c r="K3781" s="521">
        <f>I3781-G3781</f>
        <v/>
      </c>
      <c r="M3781" s="522" t="inlineStr">
        <is>
          <t>HT20210117</t>
        </is>
      </c>
      <c r="N3781" s="522" t="inlineStr">
        <is>
          <t>HT20210117</t>
        </is>
      </c>
      <c r="O3781" s="521">
        <f>M3781=N3781</f>
        <v/>
      </c>
      <c r="P3781" s="521">
        <f>AND(MONTH(F3781)=MONTH(S3781), YEAR(F3781)=YEAR(S3781))</f>
        <v/>
      </c>
      <c r="Q3781" s="521">
        <f>U3781="L001-901905215"</f>
        <v/>
      </c>
      <c r="R3781" s="556">
        <f>G3781-W3781</f>
        <v/>
      </c>
      <c r="S3781" s="523" t="n">
        <v>44517</v>
      </c>
      <c r="T3781" s="522" t="inlineStr">
        <is>
          <t>HT20210117</t>
        </is>
      </c>
      <c r="U3781" s="522" t="inlineStr">
        <is>
          <t>L001-901905215</t>
        </is>
      </c>
      <c r="V3781" s="522" t="inlineStr">
        <is>
          <t>វីអ៊ីស៊ិន (ខេមបូឌា) អ៊ិនដាសស្ទ្រី ឯ.ក</t>
        </is>
      </c>
      <c r="W3781" s="556" t="n">
        <v>390528</v>
      </c>
    </row>
    <row r="3782">
      <c r="A3782" s="521" t="n">
        <v>3774</v>
      </c>
      <c r="B3782" s="522" t="inlineStr">
        <is>
          <t>Trucking import and handling fee</t>
        </is>
      </c>
      <c r="C3782" s="522" t="inlineStr">
        <is>
          <t>ហុង តុង អ៊ិនធើណេសិនណល ឡូជីស្ទីក ឯ.ក</t>
        </is>
      </c>
      <c r="D3782" s="522" t="inlineStr">
        <is>
          <t>K003-902006166</t>
        </is>
      </c>
      <c r="E3782" s="521" t="inlineStr">
        <is>
          <t>HT20210116</t>
        </is>
      </c>
      <c r="F3782" s="523" t="n">
        <v>44517</v>
      </c>
      <c r="G3782" s="556" t="n">
        <v>130176</v>
      </c>
      <c r="I3782" s="521">
        <f>G3782</f>
        <v/>
      </c>
      <c r="K3782" s="521">
        <f>I3782-G3782</f>
        <v/>
      </c>
      <c r="M3782" s="522" t="inlineStr">
        <is>
          <t>HT20210116</t>
        </is>
      </c>
      <c r="N3782" s="522" t="inlineStr">
        <is>
          <t>HT20210116</t>
        </is>
      </c>
      <c r="O3782" s="521">
        <f>M3782=N3782</f>
        <v/>
      </c>
      <c r="P3782" s="521">
        <f>AND(MONTH(F3782)=MONTH(S3782), YEAR(F3782)=YEAR(S3782))</f>
        <v/>
      </c>
      <c r="Q3782" s="521">
        <f>U3782="L001-901905215"</f>
        <v/>
      </c>
      <c r="R3782" s="556">
        <f>G3782-W3782</f>
        <v/>
      </c>
      <c r="S3782" s="523" t="n">
        <v>44517</v>
      </c>
      <c r="T3782" s="522" t="inlineStr">
        <is>
          <t>HT20210116</t>
        </is>
      </c>
      <c r="U3782" s="522" t="inlineStr">
        <is>
          <t>L001-901905215</t>
        </is>
      </c>
      <c r="V3782" s="522" t="inlineStr">
        <is>
          <t>វីអ៊ីស៊ិន (ខេមបូឌា) អ៊ិនដាសស្ទ្រី ឯ.ក</t>
        </is>
      </c>
      <c r="W3782" s="556" t="n">
        <v>130176</v>
      </c>
    </row>
    <row r="3783">
      <c r="A3783" s="521" t="n">
        <v>3775</v>
      </c>
      <c r="B3783" s="522" t="inlineStr">
        <is>
          <t>Trucking import and handling fee</t>
        </is>
      </c>
      <c r="C3783" s="522" t="inlineStr">
        <is>
          <t>ហុង តុង អ៊ិនធើណេសិនណល ឡូជីស្ទីក ឯ.ក</t>
        </is>
      </c>
      <c r="D3783" s="522" t="inlineStr">
        <is>
          <t>K003-902006166</t>
        </is>
      </c>
      <c r="E3783" s="521" t="inlineStr">
        <is>
          <t>HT20210115</t>
        </is>
      </c>
      <c r="F3783" s="523" t="n">
        <v>44517</v>
      </c>
      <c r="G3783" s="556" t="n">
        <v>520704</v>
      </c>
      <c r="I3783" s="521">
        <f>G3783</f>
        <v/>
      </c>
      <c r="K3783" s="521">
        <f>I3783-G3783</f>
        <v/>
      </c>
      <c r="M3783" s="522" t="inlineStr">
        <is>
          <t>HT20210115</t>
        </is>
      </c>
      <c r="N3783" s="522" t="inlineStr"/>
      <c r="O3783" s="521">
        <f>M3783=N3783</f>
        <v/>
      </c>
      <c r="P3783" s="521">
        <f>AND(MONTH(F3783)=MONTH(S3783), YEAR(F3783)=YEAR(S3783))</f>
        <v/>
      </c>
      <c r="Q3783" s="521">
        <f>U3783="L001-901905215"</f>
        <v/>
      </c>
      <c r="R3783" s="556">
        <f>G3783-W3783</f>
        <v/>
      </c>
      <c r="S3783" s="521" t="n"/>
      <c r="T3783" s="522" t="n"/>
      <c r="U3783" s="522" t="n"/>
      <c r="V3783" s="522" t="n"/>
      <c r="W3783" s="521" t="n"/>
    </row>
    <row r="3784">
      <c r="A3784" s="521" t="n">
        <v>3776</v>
      </c>
      <c r="B3784" s="522" t="inlineStr">
        <is>
          <t>Trucking import and handling fee</t>
        </is>
      </c>
      <c r="C3784" s="522" t="inlineStr">
        <is>
          <t>ហុង តុង អ៊ិនធើណេសិនណល ឡូជីស្ទីក ឯ.ក</t>
        </is>
      </c>
      <c r="D3784" s="522" t="inlineStr">
        <is>
          <t>K003-902006166</t>
        </is>
      </c>
      <c r="E3784" s="521" t="inlineStr">
        <is>
          <t>HT20210114</t>
        </is>
      </c>
      <c r="F3784" s="523" t="n">
        <v>44517</v>
      </c>
      <c r="G3784" s="556" t="n">
        <v>260352</v>
      </c>
      <c r="I3784" s="521">
        <f>G3784</f>
        <v/>
      </c>
      <c r="K3784" s="521">
        <f>I3784-G3784</f>
        <v/>
      </c>
      <c r="M3784" s="522" t="inlineStr">
        <is>
          <t>HT20210114</t>
        </is>
      </c>
      <c r="N3784" s="522" t="inlineStr"/>
      <c r="O3784" s="521">
        <f>M3784=N3784</f>
        <v/>
      </c>
      <c r="P3784" s="521">
        <f>AND(MONTH(F3784)=MONTH(S3784), YEAR(F3784)=YEAR(S3784))</f>
        <v/>
      </c>
      <c r="Q3784" s="521">
        <f>U3784="L001-901905215"</f>
        <v/>
      </c>
      <c r="R3784" s="556">
        <f>G3784-W3784</f>
        <v/>
      </c>
      <c r="S3784" s="521" t="n"/>
      <c r="T3784" s="522" t="n"/>
      <c r="U3784" s="522" t="n"/>
      <c r="V3784" s="522" t="n"/>
      <c r="W3784" s="521" t="n"/>
    </row>
    <row r="3785">
      <c r="A3785" s="521" t="n">
        <v>3777</v>
      </c>
      <c r="B3785" s="522" t="inlineStr">
        <is>
          <t>Trucking import and handling fee</t>
        </is>
      </c>
      <c r="C3785" s="522" t="inlineStr">
        <is>
          <t>ហុង តុង អ៊ិនធើណេសិនណល ឡូជីស្ទីក ឯ.ក</t>
        </is>
      </c>
      <c r="D3785" s="522" t="inlineStr">
        <is>
          <t>K003-902006166</t>
        </is>
      </c>
      <c r="E3785" s="521" t="inlineStr">
        <is>
          <t>HT20210113</t>
        </is>
      </c>
      <c r="F3785" s="523" t="n">
        <v>44517</v>
      </c>
      <c r="G3785" s="556" t="n">
        <v>260352</v>
      </c>
      <c r="I3785" s="521">
        <f>G3785</f>
        <v/>
      </c>
      <c r="K3785" s="521">
        <f>I3785-G3785</f>
        <v/>
      </c>
      <c r="M3785" s="522" t="inlineStr">
        <is>
          <t>HT20210113</t>
        </is>
      </c>
      <c r="N3785" s="522" t="inlineStr">
        <is>
          <t>HT20210113</t>
        </is>
      </c>
      <c r="O3785" s="521">
        <f>M3785=N3785</f>
        <v/>
      </c>
      <c r="P3785" s="521">
        <f>AND(MONTH(F3785)=MONTH(S3785), YEAR(F3785)=YEAR(S3785))</f>
        <v/>
      </c>
      <c r="Q3785" s="521">
        <f>U3785="L001-901905215"</f>
        <v/>
      </c>
      <c r="R3785" s="556">
        <f>G3785-W3785</f>
        <v/>
      </c>
      <c r="S3785" s="523" t="n">
        <v>44517</v>
      </c>
      <c r="T3785" s="522" t="inlineStr">
        <is>
          <t>HT20210113</t>
        </is>
      </c>
      <c r="U3785" s="522" t="inlineStr">
        <is>
          <t>L001-901905215</t>
        </is>
      </c>
      <c r="V3785" s="522" t="inlineStr">
        <is>
          <t>វីអ៊ីស៊ិន (ខេមបូឌា) អ៊ិនដាសស្ទ្រី ឯ.ក</t>
        </is>
      </c>
      <c r="W3785" s="556" t="n">
        <v>260352</v>
      </c>
    </row>
    <row r="3786">
      <c r="A3786" s="521" t="n">
        <v>3778</v>
      </c>
      <c r="B3786" s="522" t="inlineStr">
        <is>
          <t>Trucking import and handling fee</t>
        </is>
      </c>
      <c r="C3786" s="522" t="inlineStr">
        <is>
          <t>ហុង តុង អ៊ិនធើណេសិនណល ឡូជីស្ទីក ឯ.ក</t>
        </is>
      </c>
      <c r="D3786" s="522" t="inlineStr">
        <is>
          <t>K003-902006166</t>
        </is>
      </c>
      <c r="E3786" s="521" t="inlineStr">
        <is>
          <t>HT20210111</t>
        </is>
      </c>
      <c r="F3786" s="523" t="n">
        <v>44515</v>
      </c>
      <c r="G3786" s="556" t="n">
        <v>130176</v>
      </c>
      <c r="I3786" s="521">
        <f>G3786</f>
        <v/>
      </c>
      <c r="K3786" s="521">
        <f>I3786-G3786</f>
        <v/>
      </c>
      <c r="M3786" s="522" t="inlineStr">
        <is>
          <t>HT20210111</t>
        </is>
      </c>
      <c r="N3786" s="522" t="inlineStr">
        <is>
          <t>HT20210111</t>
        </is>
      </c>
      <c r="O3786" s="521">
        <f>M3786=N3786</f>
        <v/>
      </c>
      <c r="P3786" s="521">
        <f>AND(MONTH(F3786)=MONTH(S3786), YEAR(F3786)=YEAR(S3786))</f>
        <v/>
      </c>
      <c r="Q3786" s="521">
        <f>U3786="L001-901905215"</f>
        <v/>
      </c>
      <c r="R3786" s="556">
        <f>G3786-W3786</f>
        <v/>
      </c>
      <c r="S3786" s="523" t="n">
        <v>44515</v>
      </c>
      <c r="T3786" s="522" t="inlineStr">
        <is>
          <t>HT20210111</t>
        </is>
      </c>
      <c r="U3786" s="522" t="inlineStr">
        <is>
          <t>L001-901905215</t>
        </is>
      </c>
      <c r="V3786" s="522" t="inlineStr">
        <is>
          <t>វីអ៊ីស៊ិន (ខេមបូឌា) អ៊ិនដាសស្ទ្រី ឯ.ក</t>
        </is>
      </c>
      <c r="W3786" s="556" t="n">
        <v>130176</v>
      </c>
    </row>
    <row r="3787">
      <c r="A3787" s="521" t="n">
        <v>3779</v>
      </c>
      <c r="B3787" s="522" t="inlineStr">
        <is>
          <t>THC and management fee</t>
        </is>
      </c>
      <c r="C3787" s="522" t="inlineStr">
        <is>
          <t>អ៊ិចស្ពែឌីធ័រ ខេមបូឌា អិលធីឌី</t>
        </is>
      </c>
      <c r="D3787" s="522" t="inlineStr">
        <is>
          <t>L001-100045898</t>
        </is>
      </c>
      <c r="E3787" s="521" t="inlineStr">
        <is>
          <t>TI-0215777</t>
        </is>
      </c>
      <c r="F3787" s="523" t="n">
        <v>44530</v>
      </c>
      <c r="G3787" s="556" t="n">
        <v>356737</v>
      </c>
      <c r="I3787" s="521">
        <f>G3787</f>
        <v/>
      </c>
      <c r="K3787" s="521">
        <f>I3787-G3787</f>
        <v/>
      </c>
      <c r="M3787" s="522" t="inlineStr">
        <is>
          <t>TI0215777</t>
        </is>
      </c>
      <c r="N3787" s="522" t="inlineStr">
        <is>
          <t>TI0215777</t>
        </is>
      </c>
      <c r="O3787" s="521">
        <f>M3787=N3787</f>
        <v/>
      </c>
      <c r="P3787" s="521">
        <f>AND(MONTH(F3787)=MONTH(S3787), YEAR(F3787)=YEAR(S3787))</f>
        <v/>
      </c>
      <c r="Q3787" s="521">
        <f>U3787="L001-901905215"</f>
        <v/>
      </c>
      <c r="R3787" s="556">
        <f>G3787-W3787</f>
        <v/>
      </c>
      <c r="S3787" s="523" t="n">
        <v>44530</v>
      </c>
      <c r="T3787" s="522" t="inlineStr">
        <is>
          <t>TI-0215777</t>
        </is>
      </c>
      <c r="U3787" s="522" t="inlineStr">
        <is>
          <t>L001-901905215</t>
        </is>
      </c>
      <c r="V3787" s="522" t="inlineStr">
        <is>
          <t>វីអ៊ីស៊ិន (ខេមបូឌា) អ៊ិនដាសស្ទ្រី ឯ.ក</t>
        </is>
      </c>
      <c r="W3787" s="556" t="n">
        <v>356729</v>
      </c>
    </row>
    <row r="3788">
      <c r="A3788" s="521" t="n">
        <v>3780</v>
      </c>
      <c r="B3788" s="522" t="inlineStr">
        <is>
          <t>THC and management fee</t>
        </is>
      </c>
      <c r="C3788" s="522" t="inlineStr">
        <is>
          <t>អ៊ិចស្ពែឌីធ័រ ខេមបូឌា អិលធីឌី</t>
        </is>
      </c>
      <c r="D3788" s="522" t="inlineStr">
        <is>
          <t>L001-100045898</t>
        </is>
      </c>
      <c r="E3788" s="521" t="inlineStr">
        <is>
          <t>TI-0215750</t>
        </is>
      </c>
      <c r="F3788" s="523" t="n">
        <v>44530</v>
      </c>
      <c r="G3788" s="556" t="n">
        <v>618488</v>
      </c>
      <c r="I3788" s="521">
        <f>G3788</f>
        <v/>
      </c>
      <c r="K3788" s="521">
        <f>I3788-G3788</f>
        <v/>
      </c>
      <c r="M3788" s="522" t="inlineStr">
        <is>
          <t>TI0215750</t>
        </is>
      </c>
      <c r="N3788" s="522" t="inlineStr">
        <is>
          <t>TI0215750</t>
        </is>
      </c>
      <c r="O3788" s="521">
        <f>M3788=N3788</f>
        <v/>
      </c>
      <c r="P3788" s="521">
        <f>AND(MONTH(F3788)=MONTH(S3788), YEAR(F3788)=YEAR(S3788))</f>
        <v/>
      </c>
      <c r="Q3788" s="521">
        <f>U3788="L001-901905215"</f>
        <v/>
      </c>
      <c r="R3788" s="556">
        <f>G3788-W3788</f>
        <v/>
      </c>
      <c r="S3788" s="523" t="n">
        <v>44530</v>
      </c>
      <c r="T3788" s="522" t="inlineStr">
        <is>
          <t>TI-0215750</t>
        </is>
      </c>
      <c r="U3788" s="522" t="inlineStr">
        <is>
          <t>L001-901905215</t>
        </is>
      </c>
      <c r="V3788" s="522" t="inlineStr">
        <is>
          <t>វីអ៊ីស៊ិន (ខេមបូឌា) អ៊ិនដាសស្ទ្រី ឯ.ក</t>
        </is>
      </c>
      <c r="W3788" s="556" t="n">
        <v>618488</v>
      </c>
    </row>
    <row r="3789">
      <c r="A3789" s="521" t="n">
        <v>3781</v>
      </c>
      <c r="B3789" s="522" t="inlineStr">
        <is>
          <t>THC and management fee</t>
        </is>
      </c>
      <c r="C3789" s="522" t="inlineStr">
        <is>
          <t>អ៊ិចស្ពែឌីធ័រ ខេមបូឌា អិលធីឌី</t>
        </is>
      </c>
      <c r="D3789" s="522" t="inlineStr">
        <is>
          <t>L001-100045898</t>
        </is>
      </c>
      <c r="E3789" s="521" t="inlineStr">
        <is>
          <t>TI-0215741</t>
        </is>
      </c>
      <c r="F3789" s="523" t="n">
        <v>44530</v>
      </c>
      <c r="G3789" s="556" t="n">
        <v>856931</v>
      </c>
      <c r="I3789" s="521">
        <f>G3789</f>
        <v/>
      </c>
      <c r="K3789" s="521">
        <f>I3789-G3789</f>
        <v/>
      </c>
      <c r="M3789" s="522" t="inlineStr">
        <is>
          <t>TI0215741</t>
        </is>
      </c>
      <c r="N3789" s="522" t="inlineStr">
        <is>
          <t>TI0215741</t>
        </is>
      </c>
      <c r="O3789" s="521">
        <f>M3789=N3789</f>
        <v/>
      </c>
      <c r="P3789" s="521">
        <f>AND(MONTH(F3789)=MONTH(S3789), YEAR(F3789)=YEAR(S3789))</f>
        <v/>
      </c>
      <c r="Q3789" s="521">
        <f>U3789="L001-901905215"</f>
        <v/>
      </c>
      <c r="R3789" s="556">
        <f>G3789-W3789</f>
        <v/>
      </c>
      <c r="S3789" s="523" t="n">
        <v>44530</v>
      </c>
      <c r="T3789" s="522" t="inlineStr">
        <is>
          <t>TI-0215741</t>
        </is>
      </c>
      <c r="U3789" s="522" t="inlineStr">
        <is>
          <t>L001-901905215</t>
        </is>
      </c>
      <c r="V3789" s="522" t="inlineStr">
        <is>
          <t>វីអ៊ីស៊ិន (ខេមបូឌា) អ៊ិនដាសស្ទ្រី ឯ.ក</t>
        </is>
      </c>
      <c r="W3789" s="556" t="n">
        <v>856931</v>
      </c>
    </row>
    <row r="3790">
      <c r="A3790" s="521" t="n">
        <v>3782</v>
      </c>
      <c r="B3790" s="522" t="inlineStr">
        <is>
          <t>THC and management fee</t>
        </is>
      </c>
      <c r="C3790" s="522" t="inlineStr">
        <is>
          <t>អ៊ិចស្ពែឌីធ័រ ខេមបូឌា អិលធីឌី</t>
        </is>
      </c>
      <c r="D3790" s="522" t="inlineStr">
        <is>
          <t>L001-100045898</t>
        </is>
      </c>
      <c r="E3790" s="521" t="inlineStr">
        <is>
          <t>TI-0215740</t>
        </is>
      </c>
      <c r="F3790" s="523" t="n">
        <v>44530</v>
      </c>
      <c r="G3790" s="556" t="n">
        <v>924884</v>
      </c>
      <c r="I3790" s="521">
        <f>G3790</f>
        <v/>
      </c>
      <c r="K3790" s="521">
        <f>I3790-G3790</f>
        <v/>
      </c>
      <c r="M3790" s="522" t="inlineStr">
        <is>
          <t>TI0215740</t>
        </is>
      </c>
      <c r="N3790" s="522" t="inlineStr">
        <is>
          <t>TI0215740</t>
        </is>
      </c>
      <c r="O3790" s="521">
        <f>M3790=N3790</f>
        <v/>
      </c>
      <c r="P3790" s="521">
        <f>AND(MONTH(F3790)=MONTH(S3790), YEAR(F3790)=YEAR(S3790))</f>
        <v/>
      </c>
      <c r="Q3790" s="521">
        <f>U3790="L001-901905215"</f>
        <v/>
      </c>
      <c r="R3790" s="556">
        <f>G3790-W3790</f>
        <v/>
      </c>
      <c r="S3790" s="523" t="n">
        <v>44530</v>
      </c>
      <c r="T3790" s="522" t="inlineStr">
        <is>
          <t>TI-0215740</t>
        </is>
      </c>
      <c r="U3790" s="522" t="inlineStr">
        <is>
          <t>L001-901905215</t>
        </is>
      </c>
      <c r="V3790" s="522" t="inlineStr">
        <is>
          <t>វីអ៊ីស៊ិន (ខេមបូឌា) អ៊ិនដាសស្ទ្រី ឯ.ក</t>
        </is>
      </c>
      <c r="W3790" s="556" t="n">
        <v>924884</v>
      </c>
    </row>
    <row r="3791">
      <c r="A3791" s="521" t="n">
        <v>3783</v>
      </c>
      <c r="B3791" s="522" t="inlineStr">
        <is>
          <t>THC and management fee</t>
        </is>
      </c>
      <c r="C3791" s="522" t="inlineStr">
        <is>
          <t>អ៊ិចស្ពែឌីធ័រ ខេមបូឌា អិលធីឌី</t>
        </is>
      </c>
      <c r="D3791" s="522" t="inlineStr">
        <is>
          <t>L001-100045898</t>
        </is>
      </c>
      <c r="E3791" s="521" t="inlineStr">
        <is>
          <t>TI-0215474</t>
        </is>
      </c>
      <c r="F3791" s="523" t="n">
        <v>44525</v>
      </c>
      <c r="G3791" s="556" t="n">
        <v>466714</v>
      </c>
      <c r="I3791" s="521">
        <f>G3791</f>
        <v/>
      </c>
      <c r="K3791" s="521">
        <f>I3791-G3791</f>
        <v/>
      </c>
      <c r="M3791" s="522" t="inlineStr">
        <is>
          <t>TI0215474</t>
        </is>
      </c>
      <c r="N3791" s="522" t="inlineStr">
        <is>
          <t>TI0215474</t>
        </is>
      </c>
      <c r="O3791" s="521">
        <f>M3791=N3791</f>
        <v/>
      </c>
      <c r="P3791" s="521">
        <f>AND(MONTH(F3791)=MONTH(S3791), YEAR(F3791)=YEAR(S3791))</f>
        <v/>
      </c>
      <c r="Q3791" s="521">
        <f>U3791="L001-901905215"</f>
        <v/>
      </c>
      <c r="R3791" s="556">
        <f>G3791-W3791</f>
        <v/>
      </c>
      <c r="S3791" s="523" t="n">
        <v>44525</v>
      </c>
      <c r="T3791" s="522" t="inlineStr">
        <is>
          <t>TI-0215474</t>
        </is>
      </c>
      <c r="U3791" s="522" t="inlineStr">
        <is>
          <t>L001-901905215</t>
        </is>
      </c>
      <c r="V3791" s="522" t="inlineStr">
        <is>
          <t>វីអ៊ីស៊ិន (ខេមបូឌា) អ៊ិនដាសស្ទ្រី ឯ.ក</t>
        </is>
      </c>
      <c r="W3791" s="556" t="n">
        <v>466714</v>
      </c>
    </row>
    <row r="3792">
      <c r="A3792" s="521" t="n">
        <v>3784</v>
      </c>
      <c r="B3792" s="522" t="inlineStr">
        <is>
          <t>THC and management fee</t>
        </is>
      </c>
      <c r="C3792" s="522" t="inlineStr">
        <is>
          <t>អ៊ិចស្ពែឌីធ័រ ខេមបូឌា អិលធីឌី</t>
        </is>
      </c>
      <c r="D3792" s="522" t="inlineStr">
        <is>
          <t>L001-100045898</t>
        </is>
      </c>
      <c r="E3792" s="521" t="inlineStr">
        <is>
          <t>TI-0215236</t>
        </is>
      </c>
      <c r="F3792" s="523" t="n">
        <v>44522</v>
      </c>
      <c r="G3792" s="556" t="n">
        <v>210264</v>
      </c>
      <c r="I3792" s="521">
        <f>G3792</f>
        <v/>
      </c>
      <c r="K3792" s="521">
        <f>I3792-G3792</f>
        <v/>
      </c>
      <c r="M3792" s="522" t="inlineStr">
        <is>
          <t>TI0215236</t>
        </is>
      </c>
      <c r="N3792" s="522" t="inlineStr">
        <is>
          <t>TI0215236</t>
        </is>
      </c>
      <c r="O3792" s="521">
        <f>M3792=N3792</f>
        <v/>
      </c>
      <c r="P3792" s="521">
        <f>AND(MONTH(F3792)=MONTH(S3792), YEAR(F3792)=YEAR(S3792))</f>
        <v/>
      </c>
      <c r="Q3792" s="521">
        <f>U3792="L001-901905215"</f>
        <v/>
      </c>
      <c r="R3792" s="556">
        <f>G3792-W3792</f>
        <v/>
      </c>
      <c r="S3792" s="523" t="n">
        <v>44522</v>
      </c>
      <c r="T3792" s="522" t="inlineStr">
        <is>
          <t>TI-0215236</t>
        </is>
      </c>
      <c r="U3792" s="522" t="inlineStr">
        <is>
          <t>L001-901905215</t>
        </is>
      </c>
      <c r="V3792" s="522" t="inlineStr">
        <is>
          <t>វីអ៊ីស៊ិន (ខេមបូឌា) អ៊ិនដាសស្ទ្រី ឯ.ក</t>
        </is>
      </c>
      <c r="W3792" s="556" t="n">
        <v>210264</v>
      </c>
    </row>
    <row r="3793">
      <c r="A3793" s="521" t="n">
        <v>3785</v>
      </c>
      <c r="B3793" s="522" t="inlineStr">
        <is>
          <t>THC and management fee</t>
        </is>
      </c>
      <c r="C3793" s="522" t="inlineStr">
        <is>
          <t>អ៊ិចស្ពែឌីធ័រ ខេមបូឌា អិលធីឌី</t>
        </is>
      </c>
      <c r="D3793" s="522" t="inlineStr">
        <is>
          <t>L001-100045898</t>
        </is>
      </c>
      <c r="E3793" s="521" t="inlineStr">
        <is>
          <t>TI-0215235</t>
        </is>
      </c>
      <c r="F3793" s="523" t="n">
        <v>44522</v>
      </c>
      <c r="G3793" s="556" t="n">
        <v>456317</v>
      </c>
      <c r="I3793" s="521">
        <f>G3793</f>
        <v/>
      </c>
      <c r="K3793" s="521">
        <f>I3793-G3793</f>
        <v/>
      </c>
      <c r="M3793" s="522" t="inlineStr">
        <is>
          <t>TI0215235</t>
        </is>
      </c>
      <c r="N3793" s="522" t="inlineStr">
        <is>
          <t>TI0215235</t>
        </is>
      </c>
      <c r="O3793" s="521">
        <f>M3793=N3793</f>
        <v/>
      </c>
      <c r="P3793" s="521">
        <f>AND(MONTH(F3793)=MONTH(S3793), YEAR(F3793)=YEAR(S3793))</f>
        <v/>
      </c>
      <c r="Q3793" s="521">
        <f>U3793="L001-901905215"</f>
        <v/>
      </c>
      <c r="R3793" s="556">
        <f>G3793-W3793</f>
        <v/>
      </c>
      <c r="S3793" s="523" t="n">
        <v>44522</v>
      </c>
      <c r="T3793" s="522" t="inlineStr">
        <is>
          <t>TI-0215235</t>
        </is>
      </c>
      <c r="U3793" s="522" t="inlineStr">
        <is>
          <t>L001-901905215</t>
        </is>
      </c>
      <c r="V3793" s="522" t="inlineStr">
        <is>
          <t>វីអ៊ីស៊ិន (ខេមបូឌា) អ៊ិនដាសស្ទ្រី ឯ.ក</t>
        </is>
      </c>
      <c r="W3793" s="556" t="n">
        <v>456317</v>
      </c>
    </row>
    <row r="3794">
      <c r="A3794" s="521" t="n">
        <v>3786</v>
      </c>
      <c r="B3794" s="522" t="inlineStr">
        <is>
          <t>THC and management fee</t>
        </is>
      </c>
      <c r="C3794" s="522" t="inlineStr">
        <is>
          <t>អ៊ិចស្ពែឌីធ័រ ខេមបូឌា អិលធីឌី</t>
        </is>
      </c>
      <c r="D3794" s="522" t="inlineStr">
        <is>
          <t>L001-100045898</t>
        </is>
      </c>
      <c r="E3794" s="521" t="inlineStr">
        <is>
          <t>TI-0215203</t>
        </is>
      </c>
      <c r="F3794" s="523" t="n">
        <v>44522</v>
      </c>
      <c r="G3794" s="556" t="n">
        <v>518542</v>
      </c>
      <c r="I3794" s="521">
        <f>G3794</f>
        <v/>
      </c>
      <c r="K3794" s="521">
        <f>I3794-G3794</f>
        <v/>
      </c>
      <c r="M3794" s="522" t="inlineStr">
        <is>
          <t>TI0215203</t>
        </is>
      </c>
      <c r="N3794" s="522" t="inlineStr">
        <is>
          <t>TI0215203</t>
        </is>
      </c>
      <c r="O3794" s="521">
        <f>M3794=N3794</f>
        <v/>
      </c>
      <c r="P3794" s="521">
        <f>AND(MONTH(F3794)=MONTH(S3794), YEAR(F3794)=YEAR(S3794))</f>
        <v/>
      </c>
      <c r="Q3794" s="521">
        <f>U3794="L001-901905215"</f>
        <v/>
      </c>
      <c r="R3794" s="556">
        <f>G3794-W3794</f>
        <v/>
      </c>
      <c r="S3794" s="523" t="n">
        <v>44522</v>
      </c>
      <c r="T3794" s="522" t="inlineStr">
        <is>
          <t>TI-0215203</t>
        </is>
      </c>
      <c r="U3794" s="522" t="inlineStr">
        <is>
          <t>L001-901905215</t>
        </is>
      </c>
      <c r="V3794" s="522" t="inlineStr">
        <is>
          <t>វីអ៊ីស៊ិន (ខេមបូឌា) អ៊ិនដាសស្ទ្រី ឯ.ក</t>
        </is>
      </c>
      <c r="W3794" s="556" t="n">
        <v>518543</v>
      </c>
    </row>
    <row r="3795">
      <c r="A3795" s="521" t="n">
        <v>3787</v>
      </c>
      <c r="B3795" s="522" t="inlineStr">
        <is>
          <t>THC and management fee</t>
        </is>
      </c>
      <c r="C3795" s="522" t="inlineStr">
        <is>
          <t>អ៊ិចស្ពែឌីធ័រ ខេមបូឌា អិលធីឌី</t>
        </is>
      </c>
      <c r="D3795" s="522" t="inlineStr">
        <is>
          <t>L001-100045898</t>
        </is>
      </c>
      <c r="E3795" s="521" t="inlineStr">
        <is>
          <t>TI-0214937</t>
        </is>
      </c>
      <c r="F3795" s="523" t="n">
        <v>44517</v>
      </c>
      <c r="G3795" s="556" t="n">
        <v>405580</v>
      </c>
      <c r="I3795" s="521">
        <f>G3795</f>
        <v/>
      </c>
      <c r="K3795" s="521">
        <f>I3795-G3795</f>
        <v/>
      </c>
      <c r="M3795" s="522" t="inlineStr">
        <is>
          <t>TI0214937</t>
        </is>
      </c>
      <c r="N3795" s="522" t="inlineStr">
        <is>
          <t>TI0214937</t>
        </is>
      </c>
      <c r="O3795" s="521">
        <f>M3795=N3795</f>
        <v/>
      </c>
      <c r="P3795" s="521">
        <f>AND(MONTH(F3795)=MONTH(S3795), YEAR(F3795)=YEAR(S3795))</f>
        <v/>
      </c>
      <c r="Q3795" s="521">
        <f>U3795="L001-901905215"</f>
        <v/>
      </c>
      <c r="R3795" s="556">
        <f>G3795-W3795</f>
        <v/>
      </c>
      <c r="S3795" s="523" t="n">
        <v>44517</v>
      </c>
      <c r="T3795" s="522" t="inlineStr">
        <is>
          <t>TI-0214937</t>
        </is>
      </c>
      <c r="U3795" s="522" t="inlineStr">
        <is>
          <t>L001-901905215</t>
        </is>
      </c>
      <c r="V3795" s="522" t="inlineStr">
        <is>
          <t>វីអ៊ីស៊ិន (ខេមបូឌា) អ៊ិនដាសស្ទ្រី ឯ.ក</t>
        </is>
      </c>
      <c r="W3795" s="556" t="n">
        <v>405580</v>
      </c>
    </row>
    <row r="3796">
      <c r="A3796" s="521" t="n">
        <v>3788</v>
      </c>
      <c r="B3796" s="522" t="inlineStr">
        <is>
          <t>THC and management fee</t>
        </is>
      </c>
      <c r="C3796" s="522" t="inlineStr">
        <is>
          <t>អ៊ិចស្ពែឌីធ័រ ខេមបូឌា អិលធីឌី</t>
        </is>
      </c>
      <c r="D3796" s="522" t="inlineStr">
        <is>
          <t>L001-100045898</t>
        </is>
      </c>
      <c r="E3796" s="521" t="inlineStr">
        <is>
          <t>TI-0214926</t>
        </is>
      </c>
      <c r="F3796" s="523" t="n">
        <v>44517</v>
      </c>
      <c r="G3796" s="556" t="n">
        <v>155804</v>
      </c>
      <c r="I3796" s="521">
        <f>G3796</f>
        <v/>
      </c>
      <c r="K3796" s="521">
        <f>I3796-G3796</f>
        <v/>
      </c>
      <c r="M3796" s="522" t="inlineStr">
        <is>
          <t>TI0214926</t>
        </is>
      </c>
      <c r="N3796" s="522" t="inlineStr">
        <is>
          <t>TI0214926</t>
        </is>
      </c>
      <c r="O3796" s="521">
        <f>M3796=N3796</f>
        <v/>
      </c>
      <c r="P3796" s="521">
        <f>AND(MONTH(F3796)=MONTH(S3796), YEAR(F3796)=YEAR(S3796))</f>
        <v/>
      </c>
      <c r="Q3796" s="521">
        <f>U3796="L001-901905215"</f>
        <v/>
      </c>
      <c r="R3796" s="556">
        <f>G3796-W3796</f>
        <v/>
      </c>
      <c r="S3796" s="523" t="n">
        <v>44517</v>
      </c>
      <c r="T3796" s="522" t="inlineStr">
        <is>
          <t>TI-0214926</t>
        </is>
      </c>
      <c r="U3796" s="522" t="inlineStr">
        <is>
          <t>L001-901905215</t>
        </is>
      </c>
      <c r="V3796" s="522" t="inlineStr">
        <is>
          <t>វីអ៊ីស៊ិន (ខេមបូឌា) អ៊ិនដាសស្ទ្រី ឯ.ក</t>
        </is>
      </c>
      <c r="W3796" s="556" t="n">
        <v>155804</v>
      </c>
    </row>
    <row r="3797">
      <c r="A3797" s="521" t="n">
        <v>3789</v>
      </c>
      <c r="B3797" s="522" t="inlineStr">
        <is>
          <t>THC and management fee</t>
        </is>
      </c>
      <c r="C3797" s="522" t="inlineStr">
        <is>
          <t>អ៊ិចស្ពែឌីធ័រ ខេមបូឌា អិលធីឌី</t>
        </is>
      </c>
      <c r="D3797" s="522" t="inlineStr">
        <is>
          <t>L001-100045898</t>
        </is>
      </c>
      <c r="E3797" s="521" t="inlineStr">
        <is>
          <t>TI-0214925</t>
        </is>
      </c>
      <c r="F3797" s="523" t="n">
        <v>44517</v>
      </c>
      <c r="G3797" s="556" t="n">
        <v>281912</v>
      </c>
      <c r="I3797" s="521">
        <f>G3797</f>
        <v/>
      </c>
      <c r="K3797" s="521">
        <f>I3797-G3797</f>
        <v/>
      </c>
      <c r="M3797" s="522" t="inlineStr">
        <is>
          <t>TI0214925</t>
        </is>
      </c>
      <c r="N3797" s="522" t="inlineStr">
        <is>
          <t>TI0214925</t>
        </is>
      </c>
      <c r="O3797" s="521">
        <f>M3797=N3797</f>
        <v/>
      </c>
      <c r="P3797" s="521">
        <f>AND(MONTH(F3797)=MONTH(S3797), YEAR(F3797)=YEAR(S3797))</f>
        <v/>
      </c>
      <c r="Q3797" s="521">
        <f>U3797="L001-901905215"</f>
        <v/>
      </c>
      <c r="R3797" s="556">
        <f>G3797-W3797</f>
        <v/>
      </c>
      <c r="S3797" s="523" t="n">
        <v>44517</v>
      </c>
      <c r="T3797" s="522" t="inlineStr">
        <is>
          <t>TI-0214925</t>
        </is>
      </c>
      <c r="U3797" s="522" t="inlineStr">
        <is>
          <t>L001-901905215</t>
        </is>
      </c>
      <c r="V3797" s="522" t="inlineStr">
        <is>
          <t>វីអ៊ីស៊ិន (ខេមបូឌា) អ៊ិនដាសស្ទ្រី ឯ.ក</t>
        </is>
      </c>
      <c r="W3797" s="556" t="n">
        <v>281912</v>
      </c>
    </row>
    <row r="3798">
      <c r="A3798" s="521" t="n">
        <v>3790</v>
      </c>
      <c r="B3798" s="522" t="inlineStr">
        <is>
          <t>THC and management fee</t>
        </is>
      </c>
      <c r="C3798" s="522" t="inlineStr">
        <is>
          <t>អ៊ិចស្ពែឌីធ័រ ខេមបូឌា អិលធីឌី</t>
        </is>
      </c>
      <c r="D3798" s="522" t="inlineStr">
        <is>
          <t>L001-100045898</t>
        </is>
      </c>
      <c r="E3798" s="521" t="inlineStr">
        <is>
          <t>TI-0214924</t>
        </is>
      </c>
      <c r="F3798" s="523" t="n">
        <v>44517</v>
      </c>
      <c r="G3798" s="556" t="n">
        <v>714341</v>
      </c>
      <c r="I3798" s="521">
        <f>G3798</f>
        <v/>
      </c>
      <c r="K3798" s="521">
        <f>I3798-G3798</f>
        <v/>
      </c>
      <c r="M3798" s="522" t="inlineStr">
        <is>
          <t>TI0214924</t>
        </is>
      </c>
      <c r="N3798" s="522" t="inlineStr">
        <is>
          <t>TI0214924</t>
        </is>
      </c>
      <c r="O3798" s="521">
        <f>M3798=N3798</f>
        <v/>
      </c>
      <c r="P3798" s="521">
        <f>AND(MONTH(F3798)=MONTH(S3798), YEAR(F3798)=YEAR(S3798))</f>
        <v/>
      </c>
      <c r="Q3798" s="521">
        <f>U3798="L001-901905215"</f>
        <v/>
      </c>
      <c r="R3798" s="556">
        <f>G3798-W3798</f>
        <v/>
      </c>
      <c r="S3798" s="523" t="n">
        <v>44517</v>
      </c>
      <c r="T3798" s="522" t="inlineStr">
        <is>
          <t>TI-0214924</t>
        </is>
      </c>
      <c r="U3798" s="522" t="inlineStr">
        <is>
          <t>L001-901905215</t>
        </is>
      </c>
      <c r="V3798" s="522" t="inlineStr">
        <is>
          <t>វីអ៊ីស៊ិន (ខេមបូឌា) អ៊ិនដាសស្ទ្រី ឯ.ក</t>
        </is>
      </c>
      <c r="W3798" s="556" t="n">
        <v>714341</v>
      </c>
    </row>
    <row r="3799">
      <c r="A3799" s="521" t="n">
        <v>3791</v>
      </c>
      <c r="B3799" s="522" t="inlineStr">
        <is>
          <t>THC and management fee</t>
        </is>
      </c>
      <c r="C3799" s="522" t="inlineStr">
        <is>
          <t>អ៊ិចស្ពែឌីធ័រ ខេមបូឌា អិលធីឌី</t>
        </is>
      </c>
      <c r="D3799" s="522" t="inlineStr">
        <is>
          <t>L001-100045898</t>
        </is>
      </c>
      <c r="E3799" s="521" t="inlineStr">
        <is>
          <t>TI-0214417</t>
        </is>
      </c>
      <c r="F3799" s="523" t="n">
        <v>44512</v>
      </c>
      <c r="G3799" s="556" t="n">
        <v>238502</v>
      </c>
      <c r="I3799" s="521">
        <f>G3799</f>
        <v/>
      </c>
      <c r="K3799" s="521">
        <f>I3799-G3799</f>
        <v/>
      </c>
      <c r="M3799" s="522" t="inlineStr">
        <is>
          <t>TI0214417</t>
        </is>
      </c>
      <c r="N3799" s="522" t="inlineStr">
        <is>
          <t>TI0214417</t>
        </is>
      </c>
      <c r="O3799" s="521">
        <f>M3799=N3799</f>
        <v/>
      </c>
      <c r="P3799" s="521">
        <f>AND(MONTH(F3799)=MONTH(S3799), YEAR(F3799)=YEAR(S3799))</f>
        <v/>
      </c>
      <c r="Q3799" s="521">
        <f>U3799="L001-901905215"</f>
        <v/>
      </c>
      <c r="R3799" s="556">
        <f>G3799-W3799</f>
        <v/>
      </c>
      <c r="S3799" s="523" t="n">
        <v>44512</v>
      </c>
      <c r="T3799" s="522" t="inlineStr">
        <is>
          <t>TI-0214417</t>
        </is>
      </c>
      <c r="U3799" s="522" t="inlineStr">
        <is>
          <t>L001-901905215</t>
        </is>
      </c>
      <c r="V3799" s="522" t="inlineStr">
        <is>
          <t>វីអ៊ីស៊ិន (ខេមបូឌា) អ៊ិនដាសស្ទ្រី ឯ.ក</t>
        </is>
      </c>
      <c r="W3799" s="556" t="n">
        <v>238502</v>
      </c>
    </row>
    <row r="3800">
      <c r="A3800" s="521" t="n">
        <v>3792</v>
      </c>
      <c r="B3800" s="522" t="inlineStr">
        <is>
          <t>THC and management fee</t>
        </is>
      </c>
      <c r="C3800" s="522" t="inlineStr">
        <is>
          <t>អ៊ិចស្ពែឌីធ័រ ខេមបូឌា អិលធីឌី</t>
        </is>
      </c>
      <c r="D3800" s="522" t="inlineStr">
        <is>
          <t>L001-100045898</t>
        </is>
      </c>
      <c r="E3800" s="521" t="inlineStr">
        <is>
          <t>TI-0214412</t>
        </is>
      </c>
      <c r="F3800" s="523" t="n">
        <v>44512</v>
      </c>
      <c r="G3800" s="556" t="n">
        <v>830687</v>
      </c>
      <c r="I3800" s="521">
        <f>G3800</f>
        <v/>
      </c>
      <c r="K3800" s="521">
        <f>I3800-G3800</f>
        <v/>
      </c>
      <c r="M3800" s="522" t="inlineStr">
        <is>
          <t>TI0214412</t>
        </is>
      </c>
      <c r="N3800" s="522" t="inlineStr">
        <is>
          <t>TI0214412</t>
        </is>
      </c>
      <c r="O3800" s="521">
        <f>M3800=N3800</f>
        <v/>
      </c>
      <c r="P3800" s="521">
        <f>AND(MONTH(F3800)=MONTH(S3800), YEAR(F3800)=YEAR(S3800))</f>
        <v/>
      </c>
      <c r="Q3800" s="521">
        <f>U3800="L001-901905215"</f>
        <v/>
      </c>
      <c r="R3800" s="556">
        <f>G3800-W3800</f>
        <v/>
      </c>
      <c r="S3800" s="523" t="n">
        <v>44512</v>
      </c>
      <c r="T3800" s="522" t="inlineStr">
        <is>
          <t>TI-0214412</t>
        </is>
      </c>
      <c r="U3800" s="522" t="inlineStr">
        <is>
          <t>L001-901905215</t>
        </is>
      </c>
      <c r="V3800" s="522" t="inlineStr">
        <is>
          <t>វីអ៊ីស៊ិន (ខេមបូឌា) អ៊ិនដាសស្ទ្រី ឯ.ក</t>
        </is>
      </c>
      <c r="W3800" s="556" t="n">
        <v>830687</v>
      </c>
    </row>
    <row r="3801">
      <c r="A3801" s="521" t="n">
        <v>3793</v>
      </c>
      <c r="B3801" s="522" t="inlineStr">
        <is>
          <t>THC and management fee</t>
        </is>
      </c>
      <c r="C3801" s="522" t="inlineStr">
        <is>
          <t>អ៊ិចស្ពែឌីធ័រ ខេមបូឌា អិលធីឌី</t>
        </is>
      </c>
      <c r="D3801" s="522" t="inlineStr">
        <is>
          <t>L001-100045898</t>
        </is>
      </c>
      <c r="E3801" s="521" t="inlineStr">
        <is>
          <t>TI-0214337</t>
        </is>
      </c>
      <c r="F3801" s="523" t="n">
        <v>44511</v>
      </c>
      <c r="G3801" s="556" t="n">
        <v>1069714</v>
      </c>
      <c r="I3801" s="521">
        <f>G3801</f>
        <v/>
      </c>
      <c r="K3801" s="521">
        <f>I3801-G3801</f>
        <v/>
      </c>
      <c r="M3801" s="522" t="inlineStr">
        <is>
          <t>TI0214337</t>
        </is>
      </c>
      <c r="N3801" s="522" t="inlineStr">
        <is>
          <t>TI0214337</t>
        </is>
      </c>
      <c r="O3801" s="521">
        <f>M3801=N3801</f>
        <v/>
      </c>
      <c r="P3801" s="521">
        <f>AND(MONTH(F3801)=MONTH(S3801), YEAR(F3801)=YEAR(S3801))</f>
        <v/>
      </c>
      <c r="Q3801" s="521">
        <f>U3801="L001-901905215"</f>
        <v/>
      </c>
      <c r="R3801" s="556">
        <f>G3801-W3801</f>
        <v/>
      </c>
      <c r="S3801" s="523" t="n">
        <v>44511</v>
      </c>
      <c r="T3801" s="522" t="inlineStr">
        <is>
          <t>TI-0214337</t>
        </is>
      </c>
      <c r="U3801" s="522" t="inlineStr">
        <is>
          <t>L001-901905215</t>
        </is>
      </c>
      <c r="V3801" s="522" t="inlineStr">
        <is>
          <t>វីអ៊ីស៊ិន (ខេមបូឌា) អ៊ិនដាសស្ទ្រី ឯ.ក</t>
        </is>
      </c>
      <c r="W3801" s="556" t="n">
        <v>1069452</v>
      </c>
    </row>
    <row r="3802">
      <c r="A3802" s="521" t="n">
        <v>3794</v>
      </c>
      <c r="B3802" s="522" t="inlineStr">
        <is>
          <t>THC and management fee</t>
        </is>
      </c>
      <c r="C3802" s="522" t="inlineStr">
        <is>
          <t>អ៊ិចស្ពែឌីធ័រ ខេមបូឌា អិលធីឌី</t>
        </is>
      </c>
      <c r="D3802" s="522" t="inlineStr">
        <is>
          <t>L001-100045898</t>
        </is>
      </c>
      <c r="E3802" s="521" t="inlineStr">
        <is>
          <t>TI-0214336</t>
        </is>
      </c>
      <c r="F3802" s="523" t="n">
        <v>44511</v>
      </c>
      <c r="G3802" s="556" t="n">
        <v>828652</v>
      </c>
      <c r="I3802" s="521">
        <f>G3802</f>
        <v/>
      </c>
      <c r="K3802" s="521">
        <f>I3802-G3802</f>
        <v/>
      </c>
      <c r="M3802" s="522" t="inlineStr">
        <is>
          <t>TI0214336</t>
        </is>
      </c>
      <c r="N3802" s="522" t="inlineStr">
        <is>
          <t>TI0214336</t>
        </is>
      </c>
      <c r="O3802" s="521">
        <f>M3802=N3802</f>
        <v/>
      </c>
      <c r="P3802" s="521">
        <f>AND(MONTH(F3802)=MONTH(S3802), YEAR(F3802)=YEAR(S3802))</f>
        <v/>
      </c>
      <c r="Q3802" s="521">
        <f>U3802="L001-901905215"</f>
        <v/>
      </c>
      <c r="R3802" s="556">
        <f>G3802-W3802</f>
        <v/>
      </c>
      <c r="S3802" s="523" t="n">
        <v>44511</v>
      </c>
      <c r="T3802" s="522" t="inlineStr">
        <is>
          <t>TI-0214336</t>
        </is>
      </c>
      <c r="U3802" s="522" t="inlineStr">
        <is>
          <t>L001-901905215</t>
        </is>
      </c>
      <c r="V3802" s="522" t="inlineStr">
        <is>
          <t>វីអ៊ីស៊ិន (ខេមបូឌា) អ៊ិនដាសស្ទ្រី ឯ.ក</t>
        </is>
      </c>
      <c r="W3802" s="556" t="n">
        <v>828449</v>
      </c>
    </row>
    <row r="3803">
      <c r="A3803" s="521" t="n">
        <v>3795</v>
      </c>
      <c r="B3803" s="522" t="inlineStr">
        <is>
          <t>Detention fee</t>
        </is>
      </c>
      <c r="C3803" s="522" t="inlineStr">
        <is>
          <t>អ៊ិចស្ពែឌីធ័រ ខេមបូឌា អិលធីឌី</t>
        </is>
      </c>
      <c r="D3803" s="522" t="inlineStr">
        <is>
          <t>L001-100045898</t>
        </is>
      </c>
      <c r="E3803" s="521" t="inlineStr">
        <is>
          <t>TI-0214031</t>
        </is>
      </c>
      <c r="F3803" s="523" t="n">
        <v>44505</v>
      </c>
      <c r="G3803" s="556" t="n">
        <v>8144</v>
      </c>
      <c r="I3803" s="521">
        <f>G3803</f>
        <v/>
      </c>
      <c r="K3803" s="521">
        <f>I3803-G3803</f>
        <v/>
      </c>
      <c r="M3803" s="522" t="inlineStr">
        <is>
          <t>TI0214031</t>
        </is>
      </c>
      <c r="N3803" s="522" t="inlineStr">
        <is>
          <t>TI0214031</t>
        </is>
      </c>
      <c r="O3803" s="521">
        <f>M3803=N3803</f>
        <v/>
      </c>
      <c r="P3803" s="521">
        <f>AND(MONTH(F3803)=MONTH(S3803), YEAR(F3803)=YEAR(S3803))</f>
        <v/>
      </c>
      <c r="Q3803" s="521">
        <f>U3803="L001-901905215"</f>
        <v/>
      </c>
      <c r="R3803" s="556">
        <f>G3803-W3803</f>
        <v/>
      </c>
      <c r="S3803" s="523" t="n">
        <v>44505</v>
      </c>
      <c r="T3803" s="522" t="inlineStr">
        <is>
          <t>TI-0214031</t>
        </is>
      </c>
      <c r="U3803" s="522" t="inlineStr">
        <is>
          <t>L001-901905215</t>
        </is>
      </c>
      <c r="V3803" s="522" t="inlineStr">
        <is>
          <t>វីអ៊ីស៊ិន (ខេមបូឌា) អ៊ិនដាសស្ទ្រី ឯ.ក</t>
        </is>
      </c>
      <c r="W3803" s="556" t="n">
        <v>8144</v>
      </c>
    </row>
    <row r="3804">
      <c r="A3804" s="521" t="n">
        <v>3796</v>
      </c>
      <c r="B3804" s="522" t="inlineStr">
        <is>
          <t>THC and management fee</t>
        </is>
      </c>
      <c r="C3804" s="522" t="inlineStr">
        <is>
          <t>អ៊ិចស្ពែឌីធ័រ ខេមបូឌា អិលធីឌី</t>
        </is>
      </c>
      <c r="D3804" s="522" t="inlineStr">
        <is>
          <t>L001-100045898</t>
        </is>
      </c>
      <c r="E3804" s="521" t="inlineStr">
        <is>
          <t>TI-0213771</t>
        </is>
      </c>
      <c r="F3804" s="523" t="n">
        <v>44503</v>
      </c>
      <c r="G3804" s="556" t="n">
        <v>1481276</v>
      </c>
      <c r="I3804" s="521">
        <f>G3804</f>
        <v/>
      </c>
      <c r="K3804" s="521">
        <f>I3804-G3804</f>
        <v/>
      </c>
      <c r="M3804" s="522" t="inlineStr">
        <is>
          <t>TI0213771</t>
        </is>
      </c>
      <c r="N3804" s="522" t="inlineStr">
        <is>
          <t>TI0213771</t>
        </is>
      </c>
      <c r="O3804" s="521">
        <f>M3804=N3804</f>
        <v/>
      </c>
      <c r="P3804" s="521">
        <f>AND(MONTH(F3804)=MONTH(S3804), YEAR(F3804)=YEAR(S3804))</f>
        <v/>
      </c>
      <c r="Q3804" s="521">
        <f>U3804="L001-901905215"</f>
        <v/>
      </c>
      <c r="R3804" s="556">
        <f>G3804-W3804</f>
        <v/>
      </c>
      <c r="S3804" s="523" t="n">
        <v>44503</v>
      </c>
      <c r="T3804" s="522" t="inlineStr">
        <is>
          <t>TI-0213771</t>
        </is>
      </c>
      <c r="U3804" s="522" t="inlineStr">
        <is>
          <t>L001-901905215</t>
        </is>
      </c>
      <c r="V3804" s="522" t="inlineStr">
        <is>
          <t>វីអ៊ីស៊ិន (ខេមបូឌា) អ៊ិនដាសស្ទ្រី ឯ.ក</t>
        </is>
      </c>
      <c r="W3804" s="556" t="n">
        <v>1481277</v>
      </c>
    </row>
    <row r="3805">
      <c r="A3805" s="521" t="n">
        <v>3797</v>
      </c>
      <c r="B3805" s="522" t="inlineStr">
        <is>
          <t>THC and management fee</t>
        </is>
      </c>
      <c r="C3805" s="522" t="inlineStr">
        <is>
          <t>អ៊ិចស្ពែឌីធ័រ ខេមបូឌា អិលធីឌី</t>
        </is>
      </c>
      <c r="D3805" s="522" t="inlineStr">
        <is>
          <t>L001-100045898</t>
        </is>
      </c>
      <c r="E3805" s="521" t="inlineStr">
        <is>
          <t>TI-0213770</t>
        </is>
      </c>
      <c r="F3805" s="523" t="n">
        <v>44503</v>
      </c>
      <c r="G3805" s="556" t="n">
        <v>1860397</v>
      </c>
      <c r="I3805" s="521">
        <f>G3805</f>
        <v/>
      </c>
      <c r="K3805" s="521">
        <f>I3805-G3805</f>
        <v/>
      </c>
      <c r="M3805" s="522" t="inlineStr">
        <is>
          <t>TI0213770</t>
        </is>
      </c>
      <c r="N3805" s="522" t="inlineStr">
        <is>
          <t>TI0213770</t>
        </is>
      </c>
      <c r="O3805" s="521">
        <f>M3805=N3805</f>
        <v/>
      </c>
      <c r="P3805" s="521">
        <f>AND(MONTH(F3805)=MONTH(S3805), YEAR(F3805)=YEAR(S3805))</f>
        <v/>
      </c>
      <c r="Q3805" s="521">
        <f>U3805="L001-901905215"</f>
        <v/>
      </c>
      <c r="R3805" s="556">
        <f>G3805-W3805</f>
        <v/>
      </c>
      <c r="S3805" s="523" t="n">
        <v>44503</v>
      </c>
      <c r="T3805" s="522" t="inlineStr">
        <is>
          <t>TI-0213770</t>
        </is>
      </c>
      <c r="U3805" s="522" t="inlineStr">
        <is>
          <t>L001-901905215</t>
        </is>
      </c>
      <c r="V3805" s="522" t="inlineStr">
        <is>
          <t>វីអ៊ីស៊ិន (ខេមបូឌា) អ៊ិនដាសស្ទ្រី ឯ.ក</t>
        </is>
      </c>
      <c r="W3805" s="556" t="n">
        <v>1860397</v>
      </c>
    </row>
    <row r="3806">
      <c r="A3806" s="521" t="n">
        <v>3798</v>
      </c>
      <c r="B3806" s="522" t="inlineStr">
        <is>
          <t>Export administration fee</t>
        </is>
      </c>
      <c r="C3806" s="522" t="inlineStr">
        <is>
          <t>ឆាយ ដា ឡូយីស្ទីក</t>
        </is>
      </c>
      <c r="D3806" s="522" t="inlineStr">
        <is>
          <t>L001-100063098</t>
        </is>
      </c>
      <c r="E3806" s="521" t="inlineStr">
        <is>
          <t>2111012591</t>
        </is>
      </c>
      <c r="F3806" s="523" t="n">
        <v>44529</v>
      </c>
      <c r="G3806" s="556" t="n">
        <v>89111</v>
      </c>
      <c r="I3806" s="521">
        <f>G3806</f>
        <v/>
      </c>
      <c r="K3806" s="521">
        <f>I3806-G3806</f>
        <v/>
      </c>
      <c r="M3806" s="522" t="inlineStr">
        <is>
          <t>2111012591</t>
        </is>
      </c>
      <c r="N3806" s="522" t="inlineStr">
        <is>
          <t>2111012591</t>
        </is>
      </c>
      <c r="O3806" s="521">
        <f>M3806=N3806</f>
        <v/>
      </c>
      <c r="P3806" s="521">
        <f>AND(MONTH(F3806)=MONTH(S3806), YEAR(F3806)=YEAR(S3806))</f>
        <v/>
      </c>
      <c r="Q3806" s="521">
        <f>U3806="L001-901905215"</f>
        <v/>
      </c>
      <c r="R3806" s="556">
        <f>G3806-W3806</f>
        <v/>
      </c>
      <c r="S3806" s="523" t="n">
        <v>44529</v>
      </c>
      <c r="T3806" s="522" t="inlineStr">
        <is>
          <t>2111012591</t>
        </is>
      </c>
      <c r="U3806" s="522" t="inlineStr">
        <is>
          <t>L001-901905215</t>
        </is>
      </c>
      <c r="V3806" s="522" t="inlineStr">
        <is>
          <t>វីអ៊ីស៊ិន (ខេមបូឌា) អ៊ិនដាសស្ទ្រី ឯ.ក</t>
        </is>
      </c>
      <c r="W3806" s="556" t="n">
        <v>89111</v>
      </c>
    </row>
    <row r="3807">
      <c r="A3807" s="521" t="n">
        <v>3799</v>
      </c>
      <c r="B3807" s="522" t="inlineStr">
        <is>
          <t>Monthly tax declaration for Oct 2021</t>
        </is>
      </c>
      <c r="C3807" s="522" t="inlineStr">
        <is>
          <t>យីងកឺ ខេម ថេក អ៊ែតវ៉ាយហ្សឺរី ឯ.ក</t>
        </is>
      </c>
      <c r="D3807" s="522" t="inlineStr">
        <is>
          <t>K003-902005313</t>
        </is>
      </c>
      <c r="E3807" s="521" t="inlineStr">
        <is>
          <t>YKT21-172</t>
        </is>
      </c>
      <c r="F3807" s="523" t="n">
        <v>44504</v>
      </c>
      <c r="G3807" s="556" t="n">
        <v>569800</v>
      </c>
      <c r="I3807" s="521">
        <f>G3807</f>
        <v/>
      </c>
      <c r="K3807" s="521">
        <f>I3807-G3807</f>
        <v/>
      </c>
      <c r="M3807" s="522" t="inlineStr">
        <is>
          <t>YKT21172</t>
        </is>
      </c>
      <c r="N3807" s="522" t="inlineStr">
        <is>
          <t>YKT21172</t>
        </is>
      </c>
      <c r="O3807" s="521">
        <f>M3807=N3807</f>
        <v/>
      </c>
      <c r="P3807" s="521">
        <f>AND(MONTH(F3807)=MONTH(S3807), YEAR(F3807)=YEAR(S3807))</f>
        <v/>
      </c>
      <c r="Q3807" s="521">
        <f>U3807="L001-901905215"</f>
        <v/>
      </c>
      <c r="R3807" s="556">
        <f>G3807-W3807</f>
        <v/>
      </c>
      <c r="S3807" s="523" t="n">
        <v>44504</v>
      </c>
      <c r="T3807" s="522" t="inlineStr">
        <is>
          <t>YKT21-172</t>
        </is>
      </c>
      <c r="U3807" s="522" t="inlineStr">
        <is>
          <t>L001-901905215</t>
        </is>
      </c>
      <c r="V3807" s="522" t="inlineStr">
        <is>
          <t>វីអ៊ីស៊ិន (ខេមបូឌា) អ៊ិនដាសស្ទ្រី ឯ.ក</t>
        </is>
      </c>
      <c r="W3807" s="556" t="n">
        <v>569800</v>
      </c>
    </row>
    <row r="3808">
      <c r="A3808" s="521" t="n">
        <v>3800</v>
      </c>
      <c r="B3808" s="522" t="inlineStr">
        <is>
          <t>LIFT OFF</t>
        </is>
      </c>
      <c r="C3808" s="522" t="inlineStr">
        <is>
          <t>កំពង់ផែស្វយ័តភ្នំពេញ "ក.ស.ភ"</t>
        </is>
      </c>
      <c r="D3808" s="522" t="inlineStr">
        <is>
          <t>L001-100044999</t>
        </is>
      </c>
      <c r="E3808" s="521" t="inlineStr">
        <is>
          <t>INV20211167971</t>
        </is>
      </c>
      <c r="F3808" s="523" t="n">
        <v>44513</v>
      </c>
      <c r="G3808" s="556" t="n">
        <v>48840</v>
      </c>
      <c r="I3808" s="521">
        <f>G3808</f>
        <v/>
      </c>
      <c r="K3808" s="521">
        <f>I3808-G3808</f>
        <v/>
      </c>
      <c r="M3808" s="522" t="inlineStr">
        <is>
          <t>INV20211167971</t>
        </is>
      </c>
      <c r="N3808" s="522" t="inlineStr"/>
      <c r="O3808" s="521">
        <f>M3808=N3808</f>
        <v/>
      </c>
      <c r="P3808" s="521">
        <f>AND(MONTH(F3808)=MONTH(S3808), YEAR(F3808)=YEAR(S3808))</f>
        <v/>
      </c>
      <c r="Q3808" s="521">
        <f>U3808="L001-901905215"</f>
        <v/>
      </c>
      <c r="R3808" s="556">
        <f>G3808-W3808</f>
        <v/>
      </c>
      <c r="S3808" s="521" t="n"/>
      <c r="T3808" s="522" t="n"/>
      <c r="U3808" s="522" t="n"/>
      <c r="V3808" s="522" t="n"/>
      <c r="W3808" s="521" t="n"/>
    </row>
    <row r="3809">
      <c r="A3809" s="521" t="n">
        <v>3801</v>
      </c>
      <c r="B3809" s="522" t="inlineStr">
        <is>
          <t>LIFT OFF</t>
        </is>
      </c>
      <c r="C3809" s="522" t="inlineStr">
        <is>
          <t>កំពង់ផែស្វយ័តភ្នំពេញ "ក.ស.ភ"</t>
        </is>
      </c>
      <c r="D3809" s="522" t="inlineStr">
        <is>
          <t>L001-100044999</t>
        </is>
      </c>
      <c r="E3809" s="521" t="inlineStr">
        <is>
          <t>INV20211167682</t>
        </is>
      </c>
      <c r="F3809" s="523" t="n">
        <v>44512</v>
      </c>
      <c r="G3809" s="556" t="n">
        <v>19536</v>
      </c>
      <c r="I3809" s="521">
        <f>G3809</f>
        <v/>
      </c>
      <c r="K3809" s="521">
        <f>I3809-G3809</f>
        <v/>
      </c>
      <c r="M3809" s="522" t="inlineStr">
        <is>
          <t>INV20211167682</t>
        </is>
      </c>
      <c r="N3809" s="522" t="inlineStr"/>
      <c r="O3809" s="521">
        <f>M3809=N3809</f>
        <v/>
      </c>
      <c r="P3809" s="521">
        <f>AND(MONTH(F3809)=MONTH(S3809), YEAR(F3809)=YEAR(S3809))</f>
        <v/>
      </c>
      <c r="Q3809" s="521">
        <f>U3809="L001-901905215"</f>
        <v/>
      </c>
      <c r="R3809" s="556">
        <f>G3809-W3809</f>
        <v/>
      </c>
      <c r="S3809" s="521" t="n"/>
      <c r="T3809" s="522" t="n"/>
      <c r="U3809" s="522" t="n"/>
      <c r="V3809" s="522" t="n"/>
      <c r="W3809" s="521" t="n"/>
    </row>
    <row r="3810">
      <c r="A3810" s="521" t="n">
        <v>3802</v>
      </c>
      <c r="B3810" s="522" t="inlineStr">
        <is>
          <t>LIFT OFF</t>
        </is>
      </c>
      <c r="C3810" s="522" t="inlineStr">
        <is>
          <t>កំពង់ផែស្វយ័តភ្នំពេញ "ក.ស.ភ"</t>
        </is>
      </c>
      <c r="D3810" s="522" t="inlineStr">
        <is>
          <t>L001-100044999</t>
        </is>
      </c>
      <c r="E3810" s="521" t="inlineStr">
        <is>
          <t>INV20211166249</t>
        </is>
      </c>
      <c r="F3810" s="523" t="n">
        <v>44505</v>
      </c>
      <c r="G3810" s="556" t="n">
        <v>87955</v>
      </c>
      <c r="I3810" s="521">
        <f>G3810</f>
        <v/>
      </c>
      <c r="K3810" s="521">
        <f>I3810-G3810</f>
        <v/>
      </c>
      <c r="M3810" s="522" t="inlineStr">
        <is>
          <t>INV20211166249</t>
        </is>
      </c>
      <c r="N3810" s="522" t="inlineStr"/>
      <c r="O3810" s="521">
        <f>M3810=N3810</f>
        <v/>
      </c>
      <c r="P3810" s="521">
        <f>AND(MONTH(F3810)=MONTH(S3810), YEAR(F3810)=YEAR(S3810))</f>
        <v/>
      </c>
      <c r="Q3810" s="521">
        <f>U3810="L001-901905215"</f>
        <v/>
      </c>
      <c r="R3810" s="556">
        <f>G3810-W3810</f>
        <v/>
      </c>
      <c r="S3810" s="521" t="n"/>
      <c r="T3810" s="522" t="n"/>
      <c r="U3810" s="522" t="n"/>
      <c r="V3810" s="522" t="n"/>
      <c r="W3810" s="521" t="n"/>
    </row>
    <row r="3811">
      <c r="A3811" s="521" t="n">
        <v>3803</v>
      </c>
      <c r="B3811" s="522" t="inlineStr">
        <is>
          <t>LIFT OFF</t>
        </is>
      </c>
      <c r="C3811" s="522" t="inlineStr">
        <is>
          <t>កំពង់ផែស្វយ័តភ្នំពេញ "ក.ស.ភ"</t>
        </is>
      </c>
      <c r="D3811" s="522" t="inlineStr">
        <is>
          <t>L001-100044999</t>
        </is>
      </c>
      <c r="E3811" s="521" t="inlineStr">
        <is>
          <t>INV20211169150</t>
        </is>
      </c>
      <c r="F3811" s="523" t="n">
        <v>44517</v>
      </c>
      <c r="G3811" s="556" t="n">
        <v>24408</v>
      </c>
      <c r="I3811" s="521">
        <f>G3811</f>
        <v/>
      </c>
      <c r="K3811" s="521">
        <f>I3811-G3811</f>
        <v/>
      </c>
      <c r="M3811" s="522" t="inlineStr">
        <is>
          <t>INV20211169150</t>
        </is>
      </c>
      <c r="N3811" s="522" t="inlineStr"/>
      <c r="O3811" s="521">
        <f>M3811=N3811</f>
        <v/>
      </c>
      <c r="P3811" s="521">
        <f>AND(MONTH(F3811)=MONTH(S3811), YEAR(F3811)=YEAR(S3811))</f>
        <v/>
      </c>
      <c r="Q3811" s="521">
        <f>U3811="L001-901905215"</f>
        <v/>
      </c>
      <c r="R3811" s="556">
        <f>G3811-W3811</f>
        <v/>
      </c>
      <c r="S3811" s="521" t="n"/>
      <c r="T3811" s="522" t="n"/>
      <c r="U3811" s="522" t="n"/>
      <c r="V3811" s="522" t="n"/>
      <c r="W3811" s="521" t="n"/>
    </row>
    <row r="3812">
      <c r="A3812" s="521" t="n">
        <v>3804</v>
      </c>
      <c r="B3812" s="522" t="inlineStr">
        <is>
          <t>LIFT OFF</t>
        </is>
      </c>
      <c r="C3812" s="522" t="inlineStr">
        <is>
          <t>កំពង់ផែស្វយ័តភ្នំពេញ "ក.ស.ភ"</t>
        </is>
      </c>
      <c r="D3812" s="522" t="inlineStr">
        <is>
          <t>L001-100044999</t>
        </is>
      </c>
      <c r="E3812" s="521" t="inlineStr">
        <is>
          <t>INV20211166425</t>
        </is>
      </c>
      <c r="F3812" s="523" t="n">
        <v>44506</v>
      </c>
      <c r="G3812" s="556" t="n">
        <v>205229</v>
      </c>
      <c r="I3812" s="521">
        <f>G3812</f>
        <v/>
      </c>
      <c r="K3812" s="521">
        <f>I3812-G3812</f>
        <v/>
      </c>
      <c r="M3812" s="522" t="inlineStr">
        <is>
          <t>INV20211166425</t>
        </is>
      </c>
      <c r="N3812" s="522" t="inlineStr"/>
      <c r="O3812" s="521">
        <f>M3812=N3812</f>
        <v/>
      </c>
      <c r="P3812" s="521">
        <f>AND(MONTH(F3812)=MONTH(S3812), YEAR(F3812)=YEAR(S3812))</f>
        <v/>
      </c>
      <c r="Q3812" s="521">
        <f>U3812="L001-901905215"</f>
        <v/>
      </c>
      <c r="R3812" s="556">
        <f>G3812-W3812</f>
        <v/>
      </c>
      <c r="S3812" s="521" t="n"/>
      <c r="T3812" s="522" t="n"/>
      <c r="U3812" s="522" t="n"/>
      <c r="V3812" s="522" t="n"/>
      <c r="W3812" s="521" t="n"/>
    </row>
    <row r="3813">
      <c r="A3813" s="521" t="n">
        <v>3805</v>
      </c>
      <c r="B3813" s="522" t="inlineStr">
        <is>
          <t>LIFT OFF</t>
        </is>
      </c>
      <c r="C3813" s="522" t="inlineStr">
        <is>
          <t>កំពង់ផែស្វយ័តភ្នំពេញ "ក.ស.ភ"</t>
        </is>
      </c>
      <c r="D3813" s="522" t="inlineStr">
        <is>
          <t>L001-100044999</t>
        </is>
      </c>
      <c r="E3813" s="521" t="inlineStr">
        <is>
          <t>INV20211170632</t>
        </is>
      </c>
      <c r="F3813" s="523" t="n">
        <v>44527</v>
      </c>
      <c r="G3813" s="556" t="n">
        <v>29297</v>
      </c>
      <c r="I3813" s="521">
        <f>G3813</f>
        <v/>
      </c>
      <c r="K3813" s="521">
        <f>I3813-G3813</f>
        <v/>
      </c>
      <c r="M3813" s="522" t="inlineStr">
        <is>
          <t>INV20211170632</t>
        </is>
      </c>
      <c r="N3813" s="522" t="inlineStr"/>
      <c r="O3813" s="521">
        <f>M3813=N3813</f>
        <v/>
      </c>
      <c r="P3813" s="521">
        <f>AND(MONTH(F3813)=MONTH(S3813), YEAR(F3813)=YEAR(S3813))</f>
        <v/>
      </c>
      <c r="Q3813" s="521">
        <f>U3813="L001-901905215"</f>
        <v/>
      </c>
      <c r="R3813" s="556">
        <f>G3813-W3813</f>
        <v/>
      </c>
      <c r="S3813" s="521" t="n"/>
      <c r="T3813" s="522" t="n"/>
      <c r="U3813" s="522" t="n"/>
      <c r="V3813" s="522" t="n"/>
      <c r="W3813" s="521" t="n"/>
    </row>
    <row r="3814">
      <c r="A3814" s="521" t="n">
        <v>3806</v>
      </c>
      <c r="B3814" s="522" t="inlineStr">
        <is>
          <t>LIFT OFF</t>
        </is>
      </c>
      <c r="C3814" s="522" t="inlineStr">
        <is>
          <t>កំពង់ផែស្វយ័តក្រុងព្រះសីហនុ</t>
        </is>
      </c>
      <c r="D3814" s="522" t="inlineStr">
        <is>
          <t>L001-100044638</t>
        </is>
      </c>
      <c r="E3814" s="521" t="inlineStr">
        <is>
          <t>195658</t>
        </is>
      </c>
      <c r="F3814" s="523" t="n">
        <v>44526</v>
      </c>
      <c r="G3814" s="556" t="n">
        <v>20752</v>
      </c>
      <c r="I3814" s="521">
        <f>G3814</f>
        <v/>
      </c>
      <c r="K3814" s="521">
        <f>I3814-G3814</f>
        <v/>
      </c>
      <c r="M3814" s="522" t="inlineStr">
        <is>
          <t>195658</t>
        </is>
      </c>
      <c r="N3814" s="522" t="inlineStr"/>
      <c r="O3814" s="521">
        <f>M3814=N3814</f>
        <v/>
      </c>
      <c r="P3814" s="521">
        <f>AND(MONTH(F3814)=MONTH(S3814), YEAR(F3814)=YEAR(S3814))</f>
        <v/>
      </c>
      <c r="Q3814" s="521">
        <f>U3814="L001-901905215"</f>
        <v/>
      </c>
      <c r="R3814" s="556">
        <f>G3814-W3814</f>
        <v/>
      </c>
      <c r="S3814" s="521" t="n"/>
      <c r="T3814" s="522" t="n"/>
      <c r="U3814" s="522" t="n"/>
      <c r="V3814" s="522" t="n"/>
      <c r="W3814" s="521" t="n"/>
    </row>
    <row r="3815">
      <c r="A3815" s="521" t="n">
        <v>3807</v>
      </c>
      <c r="B3815" s="522" t="inlineStr">
        <is>
          <t>LIFT OFF</t>
        </is>
      </c>
      <c r="C3815" s="522" t="inlineStr">
        <is>
          <t>កំពង់ផែស្វយ័តក្រុងព្រះសីហនុ</t>
        </is>
      </c>
      <c r="D3815" s="522" t="inlineStr">
        <is>
          <t>L001-100044638</t>
        </is>
      </c>
      <c r="E3815" s="521" t="inlineStr">
        <is>
          <t>195661</t>
        </is>
      </c>
      <c r="F3815" s="523" t="n">
        <v>44526</v>
      </c>
      <c r="G3815" s="556" t="n">
        <v>20752</v>
      </c>
      <c r="I3815" s="521">
        <f>G3815</f>
        <v/>
      </c>
      <c r="K3815" s="521">
        <f>I3815-G3815</f>
        <v/>
      </c>
      <c r="M3815" s="522" t="inlineStr">
        <is>
          <t>195661</t>
        </is>
      </c>
      <c r="N3815" s="522" t="inlineStr"/>
      <c r="O3815" s="521">
        <f>M3815=N3815</f>
        <v/>
      </c>
      <c r="P3815" s="521">
        <f>AND(MONTH(F3815)=MONTH(S3815), YEAR(F3815)=YEAR(S3815))</f>
        <v/>
      </c>
      <c r="Q3815" s="521">
        <f>U3815="L001-901905215"</f>
        <v/>
      </c>
      <c r="R3815" s="556">
        <f>G3815-W3815</f>
        <v/>
      </c>
      <c r="S3815" s="521" t="n"/>
      <c r="T3815" s="522" t="n"/>
      <c r="U3815" s="522" t="n"/>
      <c r="V3815" s="522" t="n"/>
      <c r="W3815" s="521" t="n"/>
    </row>
    <row r="3816">
      <c r="A3816" s="521" t="n">
        <v>3808</v>
      </c>
      <c r="B3816" s="522" t="inlineStr">
        <is>
          <t>LIFT OFF</t>
        </is>
      </c>
      <c r="C3816" s="522" t="inlineStr">
        <is>
          <t>កំពង់ផែស្វយ័តក្រុងព្រះសីហនុ</t>
        </is>
      </c>
      <c r="D3816" s="522" t="inlineStr">
        <is>
          <t>L001-100044638</t>
        </is>
      </c>
      <c r="E3816" s="521" t="inlineStr">
        <is>
          <t>195663</t>
        </is>
      </c>
      <c r="F3816" s="523" t="n">
        <v>44526</v>
      </c>
      <c r="G3816" s="556" t="n">
        <v>20752</v>
      </c>
      <c r="I3816" s="521">
        <f>G3816</f>
        <v/>
      </c>
      <c r="K3816" s="521">
        <f>I3816-G3816</f>
        <v/>
      </c>
      <c r="M3816" s="522" t="inlineStr">
        <is>
          <t>195663</t>
        </is>
      </c>
      <c r="N3816" s="522" t="inlineStr"/>
      <c r="O3816" s="521">
        <f>M3816=N3816</f>
        <v/>
      </c>
      <c r="P3816" s="521">
        <f>AND(MONTH(F3816)=MONTH(S3816), YEAR(F3816)=YEAR(S3816))</f>
        <v/>
      </c>
      <c r="Q3816" s="521">
        <f>U3816="L001-901905215"</f>
        <v/>
      </c>
      <c r="R3816" s="556">
        <f>G3816-W3816</f>
        <v/>
      </c>
      <c r="S3816" s="521" t="n"/>
      <c r="T3816" s="522" t="n"/>
      <c r="U3816" s="522" t="n"/>
      <c r="V3816" s="522" t="n"/>
      <c r="W3816" s="521" t="n"/>
    </row>
    <row r="3817">
      <c r="A3817" s="521" t="n">
        <v>3809</v>
      </c>
      <c r="B3817" s="522" t="inlineStr">
        <is>
          <t>LIFT OFF</t>
        </is>
      </c>
      <c r="C3817" s="522" t="inlineStr">
        <is>
          <t>កំពង់ផែស្វយ័តក្រុងព្រះសីហនុ</t>
        </is>
      </c>
      <c r="D3817" s="522" t="inlineStr">
        <is>
          <t>L001-100044638</t>
        </is>
      </c>
      <c r="E3817" s="521" t="inlineStr">
        <is>
          <t>195586</t>
        </is>
      </c>
      <c r="F3817" s="523" t="n">
        <v>44526</v>
      </c>
      <c r="G3817" s="556" t="n">
        <v>20752</v>
      </c>
      <c r="I3817" s="521">
        <f>G3817</f>
        <v/>
      </c>
      <c r="K3817" s="521">
        <f>I3817-G3817</f>
        <v/>
      </c>
      <c r="M3817" s="522" t="inlineStr">
        <is>
          <t>195586</t>
        </is>
      </c>
      <c r="N3817" s="522" t="inlineStr"/>
      <c r="O3817" s="521">
        <f>M3817=N3817</f>
        <v/>
      </c>
      <c r="P3817" s="521">
        <f>AND(MONTH(F3817)=MONTH(S3817), YEAR(F3817)=YEAR(S3817))</f>
        <v/>
      </c>
      <c r="Q3817" s="521">
        <f>U3817="L001-901905215"</f>
        <v/>
      </c>
      <c r="R3817" s="556">
        <f>G3817-W3817</f>
        <v/>
      </c>
      <c r="S3817" s="521" t="n"/>
      <c r="T3817" s="522" t="n"/>
      <c r="U3817" s="522" t="n"/>
      <c r="V3817" s="522" t="n"/>
      <c r="W3817" s="521" t="n"/>
    </row>
    <row r="3818">
      <c r="A3818" s="521" t="n">
        <v>3810</v>
      </c>
      <c r="B3818" s="522" t="inlineStr">
        <is>
          <t>LIFT OFF</t>
        </is>
      </c>
      <c r="C3818" s="522" t="inlineStr">
        <is>
          <t>កំពង់ផែស្វយ័តក្រុងព្រះសីហនុ</t>
        </is>
      </c>
      <c r="D3818" s="522" t="inlineStr">
        <is>
          <t>L001-100044638</t>
        </is>
      </c>
      <c r="E3818" s="521" t="inlineStr">
        <is>
          <t>194573</t>
        </is>
      </c>
      <c r="F3818" s="523" t="n">
        <v>44525</v>
      </c>
      <c r="G3818" s="556" t="n">
        <v>20752</v>
      </c>
      <c r="I3818" s="521">
        <f>G3818</f>
        <v/>
      </c>
      <c r="K3818" s="521">
        <f>I3818-G3818</f>
        <v/>
      </c>
      <c r="M3818" s="522" t="inlineStr">
        <is>
          <t>194573</t>
        </is>
      </c>
      <c r="N3818" s="522" t="inlineStr"/>
      <c r="O3818" s="521">
        <f>M3818=N3818</f>
        <v/>
      </c>
      <c r="P3818" s="521">
        <f>AND(MONTH(F3818)=MONTH(S3818), YEAR(F3818)=YEAR(S3818))</f>
        <v/>
      </c>
      <c r="Q3818" s="521">
        <f>U3818="L001-901905215"</f>
        <v/>
      </c>
      <c r="R3818" s="556">
        <f>G3818-W3818</f>
        <v/>
      </c>
      <c r="S3818" s="521" t="n"/>
      <c r="T3818" s="522" t="n"/>
      <c r="U3818" s="522" t="n"/>
      <c r="V3818" s="522" t="n"/>
      <c r="W3818" s="521" t="n"/>
    </row>
    <row r="3819">
      <c r="A3819" s="521" t="n">
        <v>3811</v>
      </c>
      <c r="B3819" s="522" t="inlineStr">
        <is>
          <t>LIFT OFF</t>
        </is>
      </c>
      <c r="C3819" s="522" t="inlineStr">
        <is>
          <t>កំពង់ផែស្វយ័តក្រុងព្រះសីហនុ</t>
        </is>
      </c>
      <c r="D3819" s="522" t="inlineStr">
        <is>
          <t>L001-100044638</t>
        </is>
      </c>
      <c r="E3819" s="521" t="inlineStr">
        <is>
          <t>194575</t>
        </is>
      </c>
      <c r="F3819" s="523" t="n">
        <v>44525</v>
      </c>
      <c r="G3819" s="556" t="n">
        <v>20752</v>
      </c>
      <c r="I3819" s="521">
        <f>G3819</f>
        <v/>
      </c>
      <c r="K3819" s="521">
        <f>I3819-G3819</f>
        <v/>
      </c>
      <c r="M3819" s="522" t="inlineStr">
        <is>
          <t>194575</t>
        </is>
      </c>
      <c r="N3819" s="522" t="inlineStr"/>
      <c r="O3819" s="521">
        <f>M3819=N3819</f>
        <v/>
      </c>
      <c r="P3819" s="521">
        <f>AND(MONTH(F3819)=MONTH(S3819), YEAR(F3819)=YEAR(S3819))</f>
        <v/>
      </c>
      <c r="Q3819" s="521">
        <f>U3819="L001-901905215"</f>
        <v/>
      </c>
      <c r="R3819" s="556">
        <f>G3819-W3819</f>
        <v/>
      </c>
      <c r="S3819" s="521" t="n"/>
      <c r="T3819" s="522" t="n"/>
      <c r="U3819" s="522" t="n"/>
      <c r="V3819" s="522" t="n"/>
      <c r="W3819" s="521" t="n"/>
    </row>
    <row r="3820">
      <c r="A3820" s="521" t="n">
        <v>3812</v>
      </c>
      <c r="B3820" s="522" t="inlineStr">
        <is>
          <t>LIFT OFF</t>
        </is>
      </c>
      <c r="C3820" s="522" t="inlineStr">
        <is>
          <t>កំពង់ផែស្វយ័តភ្នំពេញ "ក.ស.ភ"</t>
        </is>
      </c>
      <c r="D3820" s="522" t="inlineStr">
        <is>
          <t>L001-100044999</t>
        </is>
      </c>
      <c r="E3820" s="521" t="inlineStr">
        <is>
          <t>INV20211170627</t>
        </is>
      </c>
      <c r="F3820" s="523" t="n">
        <v>44527</v>
      </c>
      <c r="G3820" s="556" t="n">
        <v>107422</v>
      </c>
      <c r="I3820" s="521">
        <f>G3820</f>
        <v/>
      </c>
      <c r="K3820" s="521">
        <f>I3820-G3820</f>
        <v/>
      </c>
      <c r="M3820" s="522" t="inlineStr">
        <is>
          <t>INV20211170627</t>
        </is>
      </c>
      <c r="N3820" s="522" t="inlineStr"/>
      <c r="O3820" s="521">
        <f>M3820=N3820</f>
        <v/>
      </c>
      <c r="P3820" s="521">
        <f>AND(MONTH(F3820)=MONTH(S3820), YEAR(F3820)=YEAR(S3820))</f>
        <v/>
      </c>
      <c r="Q3820" s="521">
        <f>U3820="L001-901905215"</f>
        <v/>
      </c>
      <c r="R3820" s="556">
        <f>G3820-W3820</f>
        <v/>
      </c>
      <c r="S3820" s="521" t="n"/>
      <c r="T3820" s="522" t="n"/>
      <c r="U3820" s="522" t="n"/>
      <c r="V3820" s="522" t="n"/>
      <c r="W3820" s="521" t="n"/>
    </row>
    <row r="3821">
      <c r="A3821" s="521" t="n">
        <v>3813</v>
      </c>
      <c r="B3821" s="522" t="inlineStr">
        <is>
          <t>LIFT OFF</t>
        </is>
      </c>
      <c r="C3821" s="522" t="inlineStr">
        <is>
          <t>កំពង់ផែស្វយ័តក្រុងព្រះសីហនុ</t>
        </is>
      </c>
      <c r="D3821" s="522" t="inlineStr">
        <is>
          <t>L001-100044638</t>
        </is>
      </c>
      <c r="E3821" s="521" t="inlineStr">
        <is>
          <t>195563</t>
        </is>
      </c>
      <c r="F3821" s="523" t="n">
        <v>44526</v>
      </c>
      <c r="G3821" s="556" t="n">
        <v>20752</v>
      </c>
      <c r="I3821" s="521">
        <f>G3821</f>
        <v/>
      </c>
      <c r="K3821" s="521">
        <f>I3821-G3821</f>
        <v/>
      </c>
      <c r="M3821" s="522" t="inlineStr">
        <is>
          <t>195563</t>
        </is>
      </c>
      <c r="N3821" s="522" t="inlineStr"/>
      <c r="O3821" s="521">
        <f>M3821=N3821</f>
        <v/>
      </c>
      <c r="P3821" s="521">
        <f>AND(MONTH(F3821)=MONTH(S3821), YEAR(F3821)=YEAR(S3821))</f>
        <v/>
      </c>
      <c r="Q3821" s="521">
        <f>U3821="L001-901905215"</f>
        <v/>
      </c>
      <c r="R3821" s="556">
        <f>G3821-W3821</f>
        <v/>
      </c>
      <c r="S3821" s="521" t="n"/>
      <c r="T3821" s="522" t="n"/>
      <c r="U3821" s="522" t="n"/>
      <c r="V3821" s="522" t="n"/>
      <c r="W3821" s="521" t="n"/>
    </row>
    <row r="3822">
      <c r="A3822" s="521" t="n">
        <v>3814</v>
      </c>
      <c r="B3822" s="522" t="inlineStr">
        <is>
          <t>LIFT OFF</t>
        </is>
      </c>
      <c r="C3822" s="522" t="inlineStr">
        <is>
          <t>កំពង់ផែស្វយ័តក្រុងព្រះសីហនុ</t>
        </is>
      </c>
      <c r="D3822" s="522" t="inlineStr">
        <is>
          <t>L001-100044638</t>
        </is>
      </c>
      <c r="E3822" s="521" t="inlineStr">
        <is>
          <t>195567</t>
        </is>
      </c>
      <c r="F3822" s="523" t="n">
        <v>44526</v>
      </c>
      <c r="G3822" s="556" t="n">
        <v>20752</v>
      </c>
      <c r="I3822" s="521">
        <f>G3822</f>
        <v/>
      </c>
      <c r="K3822" s="521">
        <f>I3822-G3822</f>
        <v/>
      </c>
      <c r="M3822" s="522" t="inlineStr">
        <is>
          <t>195567</t>
        </is>
      </c>
      <c r="N3822" s="522" t="inlineStr"/>
      <c r="O3822" s="521">
        <f>M3822=N3822</f>
        <v/>
      </c>
      <c r="P3822" s="521">
        <f>AND(MONTH(F3822)=MONTH(S3822), YEAR(F3822)=YEAR(S3822))</f>
        <v/>
      </c>
      <c r="Q3822" s="521">
        <f>U3822="L001-901905215"</f>
        <v/>
      </c>
      <c r="R3822" s="556">
        <f>G3822-W3822</f>
        <v/>
      </c>
      <c r="S3822" s="521" t="n"/>
      <c r="T3822" s="522" t="n"/>
      <c r="U3822" s="522" t="n"/>
      <c r="V3822" s="522" t="n"/>
      <c r="W3822" s="521" t="n"/>
    </row>
    <row r="3823">
      <c r="A3823" s="521" t="n">
        <v>3815</v>
      </c>
      <c r="B3823" s="522" t="inlineStr">
        <is>
          <t>LIFT OFF</t>
        </is>
      </c>
      <c r="C3823" s="522" t="inlineStr">
        <is>
          <t>កំពង់ផែស្វយ័តក្រុងព្រះសីហនុ</t>
        </is>
      </c>
      <c r="D3823" s="522" t="inlineStr">
        <is>
          <t>L001-100044638</t>
        </is>
      </c>
      <c r="E3823" s="521" t="inlineStr">
        <is>
          <t>195572</t>
        </is>
      </c>
      <c r="F3823" s="523" t="n">
        <v>44526</v>
      </c>
      <c r="G3823" s="556" t="n">
        <v>20752</v>
      </c>
      <c r="I3823" s="521">
        <f>G3823</f>
        <v/>
      </c>
      <c r="K3823" s="521">
        <f>I3823-G3823</f>
        <v/>
      </c>
      <c r="M3823" s="522" t="inlineStr">
        <is>
          <t>195572</t>
        </is>
      </c>
      <c r="N3823" s="522" t="inlineStr"/>
      <c r="O3823" s="521">
        <f>M3823=N3823</f>
        <v/>
      </c>
      <c r="P3823" s="521">
        <f>AND(MONTH(F3823)=MONTH(S3823), YEAR(F3823)=YEAR(S3823))</f>
        <v/>
      </c>
      <c r="Q3823" s="521">
        <f>U3823="L001-901905215"</f>
        <v/>
      </c>
      <c r="R3823" s="556">
        <f>G3823-W3823</f>
        <v/>
      </c>
      <c r="S3823" s="521" t="n"/>
      <c r="T3823" s="522" t="n"/>
      <c r="U3823" s="522" t="n"/>
      <c r="V3823" s="522" t="n"/>
      <c r="W3823" s="521" t="n"/>
    </row>
    <row r="3824">
      <c r="A3824" s="521" t="n">
        <v>3816</v>
      </c>
      <c r="B3824" s="522" t="inlineStr">
        <is>
          <t>LIFT OFF</t>
        </is>
      </c>
      <c r="C3824" s="522" t="inlineStr">
        <is>
          <t>កំពង់ផែស្វយ័តក្រុងព្រះសីហនុ</t>
        </is>
      </c>
      <c r="D3824" s="522" t="inlineStr">
        <is>
          <t>L001-100044638</t>
        </is>
      </c>
      <c r="E3824" s="521" t="inlineStr">
        <is>
          <t>195575</t>
        </is>
      </c>
      <c r="F3824" s="523" t="n">
        <v>44526</v>
      </c>
      <c r="G3824" s="556" t="n">
        <v>20752</v>
      </c>
      <c r="I3824" s="521">
        <f>G3824</f>
        <v/>
      </c>
      <c r="K3824" s="521">
        <f>I3824-G3824</f>
        <v/>
      </c>
      <c r="M3824" s="522" t="inlineStr">
        <is>
          <t>195575</t>
        </is>
      </c>
      <c r="N3824" s="522" t="inlineStr"/>
      <c r="O3824" s="521">
        <f>M3824=N3824</f>
        <v/>
      </c>
      <c r="P3824" s="521">
        <f>AND(MONTH(F3824)=MONTH(S3824), YEAR(F3824)=YEAR(S3824))</f>
        <v/>
      </c>
      <c r="Q3824" s="521">
        <f>U3824="L001-901905215"</f>
        <v/>
      </c>
      <c r="R3824" s="556">
        <f>G3824-W3824</f>
        <v/>
      </c>
      <c r="S3824" s="521" t="n"/>
      <c r="T3824" s="522" t="n"/>
      <c r="U3824" s="522" t="n"/>
      <c r="V3824" s="522" t="n"/>
      <c r="W3824" s="521" t="n"/>
    </row>
    <row r="3825">
      <c r="A3825" s="521" t="n">
        <v>3817</v>
      </c>
      <c r="B3825" s="522" t="inlineStr">
        <is>
          <t>LIFT OFF</t>
        </is>
      </c>
      <c r="C3825" s="522" t="inlineStr">
        <is>
          <t>កំពង់ផែស្វយ័តក្រុងព្រះសីហនុ</t>
        </is>
      </c>
      <c r="D3825" s="522" t="inlineStr">
        <is>
          <t>L001-100044638</t>
        </is>
      </c>
      <c r="E3825" s="521" t="inlineStr">
        <is>
          <t>195579</t>
        </is>
      </c>
      <c r="F3825" s="523" t="n">
        <v>44526</v>
      </c>
      <c r="G3825" s="556" t="n">
        <v>20752</v>
      </c>
      <c r="I3825" s="521">
        <f>G3825</f>
        <v/>
      </c>
      <c r="K3825" s="521">
        <f>I3825-G3825</f>
        <v/>
      </c>
      <c r="M3825" s="522" t="inlineStr">
        <is>
          <t>195579</t>
        </is>
      </c>
      <c r="N3825" s="522" t="inlineStr"/>
      <c r="O3825" s="521">
        <f>M3825=N3825</f>
        <v/>
      </c>
      <c r="P3825" s="521">
        <f>AND(MONTH(F3825)=MONTH(S3825), YEAR(F3825)=YEAR(S3825))</f>
        <v/>
      </c>
      <c r="Q3825" s="521">
        <f>U3825="L001-901905215"</f>
        <v/>
      </c>
      <c r="R3825" s="556">
        <f>G3825-W3825</f>
        <v/>
      </c>
      <c r="S3825" s="521" t="n"/>
      <c r="T3825" s="522" t="n"/>
      <c r="U3825" s="522" t="n"/>
      <c r="V3825" s="522" t="n"/>
      <c r="W3825" s="521" t="n"/>
    </row>
    <row r="3826">
      <c r="A3826" s="521" t="n">
        <v>3818</v>
      </c>
      <c r="B3826" s="522" t="inlineStr">
        <is>
          <t>LIFT OFF</t>
        </is>
      </c>
      <c r="C3826" s="522" t="inlineStr">
        <is>
          <t>កំពង់ផែស្វយ័តក្រុងព្រះសីហនុ</t>
        </is>
      </c>
      <c r="D3826" s="522" t="inlineStr">
        <is>
          <t>L001-100044638</t>
        </is>
      </c>
      <c r="E3826" s="521" t="inlineStr">
        <is>
          <t>195583</t>
        </is>
      </c>
      <c r="F3826" s="523" t="n">
        <v>44526</v>
      </c>
      <c r="G3826" s="556" t="n">
        <v>20752</v>
      </c>
      <c r="I3826" s="521">
        <f>G3826</f>
        <v/>
      </c>
      <c r="K3826" s="521">
        <f>I3826-G3826</f>
        <v/>
      </c>
      <c r="M3826" s="522" t="inlineStr">
        <is>
          <t>195583</t>
        </is>
      </c>
      <c r="N3826" s="522" t="inlineStr"/>
      <c r="O3826" s="521">
        <f>M3826=N3826</f>
        <v/>
      </c>
      <c r="P3826" s="521">
        <f>AND(MONTH(F3826)=MONTH(S3826), YEAR(F3826)=YEAR(S3826))</f>
        <v/>
      </c>
      <c r="Q3826" s="521">
        <f>U3826="L001-901905215"</f>
        <v/>
      </c>
      <c r="R3826" s="556">
        <f>G3826-W3826</f>
        <v/>
      </c>
      <c r="S3826" s="521" t="n"/>
      <c r="T3826" s="522" t="n"/>
      <c r="U3826" s="522" t="n"/>
      <c r="V3826" s="522" t="n"/>
      <c r="W3826" s="521" t="n"/>
    </row>
    <row r="3827">
      <c r="A3827" s="521" t="n">
        <v>3819</v>
      </c>
      <c r="B3827" s="522" t="inlineStr">
        <is>
          <t>LIFT OFF</t>
        </is>
      </c>
      <c r="C3827" s="522" t="inlineStr">
        <is>
          <t>កំពង់ផែស្វយ័តក្រុងព្រះសីហនុ</t>
        </is>
      </c>
      <c r="D3827" s="522" t="inlineStr">
        <is>
          <t>L001-100044638</t>
        </is>
      </c>
      <c r="E3827" s="521" t="inlineStr">
        <is>
          <t>195577</t>
        </is>
      </c>
      <c r="F3827" s="523" t="n">
        <v>44526</v>
      </c>
      <c r="G3827" s="556" t="n">
        <v>6917</v>
      </c>
      <c r="I3827" s="521">
        <f>G3827</f>
        <v/>
      </c>
      <c r="K3827" s="521">
        <f>I3827-G3827</f>
        <v/>
      </c>
      <c r="M3827" s="522" t="inlineStr">
        <is>
          <t>195577</t>
        </is>
      </c>
      <c r="N3827" s="522" t="inlineStr"/>
      <c r="O3827" s="521">
        <f>M3827=N3827</f>
        <v/>
      </c>
      <c r="P3827" s="521">
        <f>AND(MONTH(F3827)=MONTH(S3827), YEAR(F3827)=YEAR(S3827))</f>
        <v/>
      </c>
      <c r="Q3827" s="521">
        <f>U3827="L001-901905215"</f>
        <v/>
      </c>
      <c r="R3827" s="556">
        <f>G3827-W3827</f>
        <v/>
      </c>
      <c r="S3827" s="521" t="n"/>
      <c r="T3827" s="522" t="n"/>
      <c r="U3827" s="522" t="n"/>
      <c r="V3827" s="522" t="n"/>
      <c r="W3827" s="521" t="n"/>
    </row>
    <row r="3828">
      <c r="A3828" s="521" t="n">
        <v>3820</v>
      </c>
      <c r="B3828" s="522" t="inlineStr">
        <is>
          <t>LIFT OFF</t>
        </is>
      </c>
      <c r="C3828" s="522" t="inlineStr">
        <is>
          <t>កំពង់ផែស្វយ័តភ្នំពេញ "ក.ស.ភ"</t>
        </is>
      </c>
      <c r="D3828" s="522" t="inlineStr">
        <is>
          <t>L001-100044999</t>
        </is>
      </c>
      <c r="E3828" s="521" t="inlineStr">
        <is>
          <t>INV20211169115</t>
        </is>
      </c>
      <c r="F3828" s="523" t="n">
        <v>44517</v>
      </c>
      <c r="G3828" s="556" t="n">
        <v>29290</v>
      </c>
      <c r="I3828" s="521">
        <f>G3828</f>
        <v/>
      </c>
      <c r="K3828" s="521">
        <f>I3828-G3828</f>
        <v/>
      </c>
      <c r="M3828" s="522" t="inlineStr">
        <is>
          <t>INV20211169115</t>
        </is>
      </c>
      <c r="N3828" s="522" t="inlineStr"/>
      <c r="O3828" s="521">
        <f>M3828=N3828</f>
        <v/>
      </c>
      <c r="P3828" s="521">
        <f>AND(MONTH(F3828)=MONTH(S3828), YEAR(F3828)=YEAR(S3828))</f>
        <v/>
      </c>
      <c r="Q3828" s="521">
        <f>U3828="L001-901905215"</f>
        <v/>
      </c>
      <c r="R3828" s="556">
        <f>G3828-W3828</f>
        <v/>
      </c>
      <c r="S3828" s="521" t="n"/>
      <c r="T3828" s="522" t="n"/>
      <c r="U3828" s="522" t="n"/>
      <c r="V3828" s="522" t="n"/>
      <c r="W3828" s="521" t="n"/>
    </row>
    <row r="3829">
      <c r="A3829" s="521" t="n">
        <v>3821</v>
      </c>
      <c r="B3829" s="522" t="inlineStr">
        <is>
          <t>LIFT OFF</t>
        </is>
      </c>
      <c r="C3829" s="522" t="inlineStr">
        <is>
          <t>កំពង់ផែស្វយ័តក្រុងព្រះសីហនុ</t>
        </is>
      </c>
      <c r="D3829" s="522" t="inlineStr">
        <is>
          <t>L001-100044638</t>
        </is>
      </c>
      <c r="E3829" s="521" t="inlineStr">
        <is>
          <t>188852</t>
        </is>
      </c>
      <c r="F3829" s="523" t="n">
        <v>44515</v>
      </c>
      <c r="G3829" s="556" t="n">
        <v>20747</v>
      </c>
      <c r="I3829" s="521">
        <f>G3829</f>
        <v/>
      </c>
      <c r="K3829" s="521">
        <f>I3829-G3829</f>
        <v/>
      </c>
      <c r="M3829" s="522" t="inlineStr">
        <is>
          <t>188852</t>
        </is>
      </c>
      <c r="N3829" s="522" t="inlineStr"/>
      <c r="O3829" s="521">
        <f>M3829=N3829</f>
        <v/>
      </c>
      <c r="P3829" s="521">
        <f>AND(MONTH(F3829)=MONTH(S3829), YEAR(F3829)=YEAR(S3829))</f>
        <v/>
      </c>
      <c r="Q3829" s="521">
        <f>U3829="L001-901905215"</f>
        <v/>
      </c>
      <c r="R3829" s="556">
        <f>G3829-W3829</f>
        <v/>
      </c>
      <c r="S3829" s="521" t="n"/>
      <c r="T3829" s="522" t="n"/>
      <c r="U3829" s="522" t="n"/>
      <c r="V3829" s="522" t="n"/>
      <c r="W3829" s="521" t="n"/>
    </row>
    <row r="3830">
      <c r="A3830" s="521" t="n">
        <v>3822</v>
      </c>
      <c r="B3830" s="522" t="inlineStr">
        <is>
          <t>LIFT OFF</t>
        </is>
      </c>
      <c r="C3830" s="522" t="inlineStr">
        <is>
          <t>កំពង់ផែស្វយ័តក្រុងព្រះសីហនុ</t>
        </is>
      </c>
      <c r="D3830" s="522" t="inlineStr">
        <is>
          <t>L001-100044638</t>
        </is>
      </c>
      <c r="E3830" s="521" t="inlineStr">
        <is>
          <t>190572</t>
        </is>
      </c>
      <c r="F3830" s="523" t="n">
        <v>44517</v>
      </c>
      <c r="G3830" s="556" t="n">
        <v>41494</v>
      </c>
      <c r="I3830" s="521">
        <f>G3830</f>
        <v/>
      </c>
      <c r="K3830" s="521">
        <f>I3830-G3830</f>
        <v/>
      </c>
      <c r="M3830" s="522" t="inlineStr">
        <is>
          <t>190572</t>
        </is>
      </c>
      <c r="N3830" s="522" t="inlineStr"/>
      <c r="O3830" s="521">
        <f>M3830=N3830</f>
        <v/>
      </c>
      <c r="P3830" s="521">
        <f>AND(MONTH(F3830)=MONTH(S3830), YEAR(F3830)=YEAR(S3830))</f>
        <v/>
      </c>
      <c r="Q3830" s="521">
        <f>U3830="L001-901905215"</f>
        <v/>
      </c>
      <c r="R3830" s="556">
        <f>G3830-W3830</f>
        <v/>
      </c>
      <c r="S3830" s="521" t="n"/>
      <c r="T3830" s="522" t="n"/>
      <c r="U3830" s="522" t="n"/>
      <c r="V3830" s="522" t="n"/>
      <c r="W3830" s="521" t="n"/>
    </row>
    <row r="3831">
      <c r="A3831" s="521" t="n">
        <v>3823</v>
      </c>
      <c r="B3831" s="522" t="inlineStr">
        <is>
          <t>LIFT OFF</t>
        </is>
      </c>
      <c r="C3831" s="522" t="inlineStr">
        <is>
          <t>កំពង់ផែស្វយ័តភ្នំពេញ "ក.ស.ភ"</t>
        </is>
      </c>
      <c r="D3831" s="522" t="inlineStr">
        <is>
          <t>L001-100044999</t>
        </is>
      </c>
      <c r="E3831" s="521" t="inlineStr">
        <is>
          <t>INV20211169114</t>
        </is>
      </c>
      <c r="F3831" s="523" t="n">
        <v>44517</v>
      </c>
      <c r="G3831" s="556" t="n">
        <v>87869</v>
      </c>
      <c r="I3831" s="521">
        <f>G3831</f>
        <v/>
      </c>
      <c r="K3831" s="521">
        <f>I3831-G3831</f>
        <v/>
      </c>
      <c r="M3831" s="522" t="inlineStr">
        <is>
          <t>INV20211169114</t>
        </is>
      </c>
      <c r="N3831" s="522" t="inlineStr"/>
      <c r="O3831" s="521">
        <f>M3831=N3831</f>
        <v/>
      </c>
      <c r="P3831" s="521">
        <f>AND(MONTH(F3831)=MONTH(S3831), YEAR(F3831)=YEAR(S3831))</f>
        <v/>
      </c>
      <c r="Q3831" s="521">
        <f>U3831="L001-901905215"</f>
        <v/>
      </c>
      <c r="R3831" s="556">
        <f>G3831-W3831</f>
        <v/>
      </c>
      <c r="S3831" s="521" t="n"/>
      <c r="T3831" s="522" t="n"/>
      <c r="U3831" s="522" t="n"/>
      <c r="V3831" s="522" t="n"/>
      <c r="W3831" s="521" t="n"/>
    </row>
    <row r="3832">
      <c r="A3832" s="521" t="n">
        <v>3824</v>
      </c>
      <c r="B3832" s="522" t="inlineStr">
        <is>
          <t>LIFT OFF</t>
        </is>
      </c>
      <c r="C3832" s="522" t="inlineStr">
        <is>
          <t>កំពង់ផែស្វយ័តក្រុងព្រះសីហនុ</t>
        </is>
      </c>
      <c r="D3832" s="522" t="inlineStr">
        <is>
          <t>L001-100044638</t>
        </is>
      </c>
      <c r="E3832" s="521" t="inlineStr">
        <is>
          <t>187757</t>
        </is>
      </c>
      <c r="F3832" s="523" t="n">
        <v>44512</v>
      </c>
      <c r="G3832" s="556" t="n">
        <v>15466</v>
      </c>
      <c r="I3832" s="521">
        <f>G3832</f>
        <v/>
      </c>
      <c r="K3832" s="521">
        <f>I3832-G3832</f>
        <v/>
      </c>
      <c r="M3832" s="522" t="inlineStr">
        <is>
          <t>187757</t>
        </is>
      </c>
      <c r="N3832" s="522" t="inlineStr"/>
      <c r="O3832" s="521">
        <f>M3832=N3832</f>
        <v/>
      </c>
      <c r="P3832" s="521">
        <f>AND(MONTH(F3832)=MONTH(S3832), YEAR(F3832)=YEAR(S3832))</f>
        <v/>
      </c>
      <c r="Q3832" s="521">
        <f>U3832="L001-901905215"</f>
        <v/>
      </c>
      <c r="R3832" s="556">
        <f>G3832-W3832</f>
        <v/>
      </c>
      <c r="S3832" s="521" t="n"/>
      <c r="T3832" s="522" t="n"/>
      <c r="U3832" s="522" t="n"/>
      <c r="V3832" s="522" t="n"/>
      <c r="W3832" s="521" t="n"/>
    </row>
    <row r="3833">
      <c r="A3833" s="521" t="n">
        <v>3825</v>
      </c>
      <c r="B3833" s="522" t="inlineStr">
        <is>
          <t>LIFT OFF</t>
        </is>
      </c>
      <c r="C3833" s="522" t="inlineStr">
        <is>
          <t>កំពង់ផែស្វយ័តក្រុងព្រះសីហនុ</t>
        </is>
      </c>
      <c r="D3833" s="522" t="inlineStr">
        <is>
          <t>L001-100044638</t>
        </is>
      </c>
      <c r="E3833" s="521" t="inlineStr">
        <is>
          <t>187756</t>
        </is>
      </c>
      <c r="F3833" s="523" t="n">
        <v>44512</v>
      </c>
      <c r="G3833" s="556" t="n">
        <v>6919</v>
      </c>
      <c r="I3833" s="521">
        <f>G3833</f>
        <v/>
      </c>
      <c r="K3833" s="521">
        <f>I3833-G3833</f>
        <v/>
      </c>
      <c r="M3833" s="522" t="inlineStr">
        <is>
          <t>187756</t>
        </is>
      </c>
      <c r="N3833" s="522" t="inlineStr"/>
      <c r="O3833" s="521">
        <f>M3833=N3833</f>
        <v/>
      </c>
      <c r="P3833" s="521">
        <f>AND(MONTH(F3833)=MONTH(S3833), YEAR(F3833)=YEAR(S3833))</f>
        <v/>
      </c>
      <c r="Q3833" s="521">
        <f>U3833="L001-901905215"</f>
        <v/>
      </c>
      <c r="R3833" s="556">
        <f>G3833-W3833</f>
        <v/>
      </c>
      <c r="S3833" s="521" t="n"/>
      <c r="T3833" s="522" t="n"/>
      <c r="U3833" s="522" t="n"/>
      <c r="V3833" s="522" t="n"/>
      <c r="W3833" s="521" t="n"/>
    </row>
    <row r="3834">
      <c r="A3834" s="521" t="n">
        <v>3826</v>
      </c>
      <c r="B3834" s="522" t="inlineStr">
        <is>
          <t>LIFT OFF</t>
        </is>
      </c>
      <c r="C3834" s="522" t="inlineStr">
        <is>
          <t>កំពង់ផែស្វយ័តភ្នំពេញ "ក.ស.ភ"</t>
        </is>
      </c>
      <c r="D3834" s="522" t="inlineStr">
        <is>
          <t>L001-100044999</t>
        </is>
      </c>
      <c r="E3834" s="521" t="inlineStr">
        <is>
          <t>INV20211167970</t>
        </is>
      </c>
      <c r="F3834" s="523" t="n">
        <v>44513</v>
      </c>
      <c r="G3834" s="556" t="n">
        <v>117216</v>
      </c>
      <c r="I3834" s="521">
        <f>G3834</f>
        <v/>
      </c>
      <c r="K3834" s="521">
        <f>I3834-G3834</f>
        <v/>
      </c>
      <c r="M3834" s="522" t="inlineStr">
        <is>
          <t>INV20211167970</t>
        </is>
      </c>
      <c r="N3834" s="522" t="inlineStr"/>
      <c r="O3834" s="521">
        <f>M3834=N3834</f>
        <v/>
      </c>
      <c r="P3834" s="521">
        <f>AND(MONTH(F3834)=MONTH(S3834), YEAR(F3834)=YEAR(S3834))</f>
        <v/>
      </c>
      <c r="Q3834" s="521">
        <f>U3834="L001-901905215"</f>
        <v/>
      </c>
      <c r="R3834" s="556">
        <f>G3834-W3834</f>
        <v/>
      </c>
      <c r="S3834" s="521" t="n"/>
      <c r="T3834" s="522" t="n"/>
      <c r="U3834" s="522" t="n"/>
      <c r="V3834" s="522" t="n"/>
      <c r="W3834" s="521" t="n"/>
    </row>
    <row r="3835">
      <c r="A3835" s="521" t="n">
        <v>3827</v>
      </c>
      <c r="B3835" s="522" t="inlineStr">
        <is>
          <t>LIFT OFF</t>
        </is>
      </c>
      <c r="C3835" s="522" t="inlineStr">
        <is>
          <t>កំពង់ផែស្វយ័តភ្នំពេញ "ក.ស.ភ"</t>
        </is>
      </c>
      <c r="D3835" s="522" t="inlineStr">
        <is>
          <t>L001-100044999</t>
        </is>
      </c>
      <c r="E3835" s="521" t="inlineStr">
        <is>
          <t>INV20211064867</t>
        </is>
      </c>
      <c r="F3835" s="523" t="n">
        <v>44501</v>
      </c>
      <c r="G3835" s="556" t="n">
        <v>234202</v>
      </c>
      <c r="I3835" s="521">
        <f>G3835</f>
        <v/>
      </c>
      <c r="K3835" s="521">
        <f>I3835-G3835</f>
        <v/>
      </c>
      <c r="M3835" s="522" t="inlineStr">
        <is>
          <t>INV20211064867</t>
        </is>
      </c>
      <c r="N3835" s="522" t="inlineStr"/>
      <c r="O3835" s="521">
        <f>M3835=N3835</f>
        <v/>
      </c>
      <c r="P3835" s="521">
        <f>AND(MONTH(F3835)=MONTH(S3835), YEAR(F3835)=YEAR(S3835))</f>
        <v/>
      </c>
      <c r="Q3835" s="521">
        <f>U3835="L001-901905215"</f>
        <v/>
      </c>
      <c r="R3835" s="556">
        <f>G3835-W3835</f>
        <v/>
      </c>
      <c r="S3835" s="521" t="n"/>
      <c r="T3835" s="522" t="n"/>
      <c r="U3835" s="522" t="n"/>
      <c r="V3835" s="522" t="n"/>
      <c r="W3835" s="521" t="n"/>
    </row>
    <row r="3836">
      <c r="A3836" s="521" t="n">
        <v>3828</v>
      </c>
      <c r="B3836" s="522" t="inlineStr">
        <is>
          <t>LIFT OFF</t>
        </is>
      </c>
      <c r="C3836" s="522" t="inlineStr">
        <is>
          <t>កំពង់ផែស្វយ័តភ្នំពេញ "ក.ស.ភ"</t>
        </is>
      </c>
      <c r="D3836" s="522" t="inlineStr">
        <is>
          <t>L001-100044999</t>
        </is>
      </c>
      <c r="E3836" s="521" t="inlineStr">
        <is>
          <t>INV20211169151</t>
        </is>
      </c>
      <c r="F3836" s="523" t="n">
        <v>44517</v>
      </c>
      <c r="G3836" s="556" t="n">
        <v>34171</v>
      </c>
      <c r="I3836" s="521">
        <f>G3836</f>
        <v/>
      </c>
      <c r="K3836" s="521">
        <f>I3836-G3836</f>
        <v/>
      </c>
      <c r="M3836" s="522" t="inlineStr">
        <is>
          <t>INV20211169151</t>
        </is>
      </c>
      <c r="N3836" s="522" t="inlineStr"/>
      <c r="O3836" s="521">
        <f>M3836=N3836</f>
        <v/>
      </c>
      <c r="P3836" s="521">
        <f>AND(MONTH(F3836)=MONTH(S3836), YEAR(F3836)=YEAR(S3836))</f>
        <v/>
      </c>
      <c r="Q3836" s="521">
        <f>U3836="L001-901905215"</f>
        <v/>
      </c>
      <c r="R3836" s="556">
        <f>G3836-W3836</f>
        <v/>
      </c>
      <c r="S3836" s="521" t="n"/>
      <c r="T3836" s="522" t="n"/>
      <c r="U3836" s="522" t="n"/>
      <c r="V3836" s="522" t="n"/>
      <c r="W3836" s="521" t="n"/>
    </row>
    <row r="3837">
      <c r="A3837" s="521" t="n">
        <v>3829</v>
      </c>
      <c r="B3837" s="522" t="inlineStr">
        <is>
          <t>LIFT OFF</t>
        </is>
      </c>
      <c r="C3837" s="522" t="inlineStr">
        <is>
          <t>កំពង់ផែស្វយ័តភ្នំពេញ "ក.ស.ភ"</t>
        </is>
      </c>
      <c r="D3837" s="522" t="inlineStr">
        <is>
          <t>L001-100044999</t>
        </is>
      </c>
      <c r="E3837" s="521" t="inlineStr">
        <is>
          <t>INV20211166248</t>
        </is>
      </c>
      <c r="F3837" s="523" t="n">
        <v>44505</v>
      </c>
      <c r="G3837" s="556" t="n">
        <v>146592</v>
      </c>
      <c r="I3837" s="521">
        <f>G3837</f>
        <v/>
      </c>
      <c r="K3837" s="521">
        <f>I3837-G3837</f>
        <v/>
      </c>
      <c r="M3837" s="522" t="inlineStr">
        <is>
          <t>INV20211166248</t>
        </is>
      </c>
      <c r="N3837" s="522" t="inlineStr"/>
      <c r="O3837" s="521">
        <f>M3837=N3837</f>
        <v/>
      </c>
      <c r="P3837" s="521">
        <f>AND(MONTH(F3837)=MONTH(S3837), YEAR(F3837)=YEAR(S3837))</f>
        <v/>
      </c>
      <c r="Q3837" s="521">
        <f>U3837="L001-901905215"</f>
        <v/>
      </c>
      <c r="R3837" s="556">
        <f>G3837-W3837</f>
        <v/>
      </c>
      <c r="S3837" s="521" t="n"/>
      <c r="T3837" s="522" t="n"/>
      <c r="U3837" s="522" t="n"/>
      <c r="V3837" s="522" t="n"/>
      <c r="W3837" s="521" t="n"/>
    </row>
    <row r="3838">
      <c r="A3838" s="521" t="n">
        <v>3830</v>
      </c>
      <c r="B3838" s="522" t="inlineStr">
        <is>
          <t>LIFT OFF</t>
        </is>
      </c>
      <c r="C3838" s="522" t="inlineStr">
        <is>
          <t>កំពង់ផែស្វយ័តភ្នំពេញ "ក.ស.ភ"</t>
        </is>
      </c>
      <c r="D3838" s="522" t="inlineStr">
        <is>
          <t>L001-100044999</t>
        </is>
      </c>
      <c r="E3838" s="521" t="inlineStr">
        <is>
          <t>INV20211166127</t>
        </is>
      </c>
      <c r="F3838" s="523" t="n">
        <v>44504</v>
      </c>
      <c r="G3838" s="556" t="n">
        <v>146520</v>
      </c>
      <c r="I3838" s="521">
        <f>G3838</f>
        <v/>
      </c>
      <c r="K3838" s="521">
        <f>I3838-G3838</f>
        <v/>
      </c>
      <c r="M3838" s="522" t="inlineStr">
        <is>
          <t>INV20211166127</t>
        </is>
      </c>
      <c r="N3838" s="522" t="inlineStr"/>
      <c r="O3838" s="521">
        <f>M3838=N3838</f>
        <v/>
      </c>
      <c r="P3838" s="521">
        <f>AND(MONTH(F3838)=MONTH(S3838), YEAR(F3838)=YEAR(S3838))</f>
        <v/>
      </c>
      <c r="Q3838" s="521">
        <f>U3838="L001-901905215"</f>
        <v/>
      </c>
      <c r="R3838" s="556">
        <f>G3838-W3838</f>
        <v/>
      </c>
      <c r="S3838" s="521" t="n"/>
      <c r="T3838" s="522" t="n"/>
      <c r="U3838" s="522" t="n"/>
      <c r="V3838" s="522" t="n"/>
      <c r="W3838" s="521" t="n"/>
    </row>
    <row r="3839">
      <c r="A3839" s="521" t="n">
        <v>3831</v>
      </c>
      <c r="B3839" s="522" t="inlineStr">
        <is>
          <t>LIFT OFF</t>
        </is>
      </c>
      <c r="C3839" s="522" t="inlineStr">
        <is>
          <t>កំពង់ផែស្វយ័តភ្នំពេញ "ក.ស.ភ"</t>
        </is>
      </c>
      <c r="D3839" s="522" t="inlineStr">
        <is>
          <t>L001-100044999</t>
        </is>
      </c>
      <c r="E3839" s="521" t="inlineStr">
        <is>
          <t>INV20211166246</t>
        </is>
      </c>
      <c r="F3839" s="523" t="n">
        <v>44505</v>
      </c>
      <c r="G3839" s="556" t="n">
        <v>29318</v>
      </c>
      <c r="I3839" s="521">
        <f>G3839</f>
        <v/>
      </c>
      <c r="K3839" s="521">
        <f>I3839-G3839</f>
        <v/>
      </c>
      <c r="M3839" s="522" t="inlineStr">
        <is>
          <t>INV20211166246</t>
        </is>
      </c>
      <c r="N3839" s="522" t="inlineStr"/>
      <c r="O3839" s="521">
        <f>M3839=N3839</f>
        <v/>
      </c>
      <c r="P3839" s="521">
        <f>AND(MONTH(F3839)=MONTH(S3839), YEAR(F3839)=YEAR(S3839))</f>
        <v/>
      </c>
      <c r="Q3839" s="521">
        <f>U3839="L001-901905215"</f>
        <v/>
      </c>
      <c r="R3839" s="556">
        <f>G3839-W3839</f>
        <v/>
      </c>
      <c r="S3839" s="521" t="n"/>
      <c r="T3839" s="522" t="n"/>
      <c r="U3839" s="522" t="n"/>
      <c r="V3839" s="522" t="n"/>
      <c r="W3839" s="521" t="n"/>
    </row>
    <row r="3840">
      <c r="A3840" s="521" t="n">
        <v>3832</v>
      </c>
      <c r="B3840" s="522" t="inlineStr">
        <is>
          <t>LIFT OFF</t>
        </is>
      </c>
      <c r="C3840" s="522" t="inlineStr">
        <is>
          <t>កំពង់ផែស្វយ័តភ្នំពេញ "ក.ស.ភ"</t>
        </is>
      </c>
      <c r="D3840" s="522" t="inlineStr">
        <is>
          <t>L001-100044999</t>
        </is>
      </c>
      <c r="E3840" s="521" t="inlineStr">
        <is>
          <t>INV20211065006</t>
        </is>
      </c>
      <c r="F3840" s="523" t="n">
        <v>44501</v>
      </c>
      <c r="G3840" s="556" t="n">
        <v>322027</v>
      </c>
      <c r="I3840" s="521">
        <f>G3840</f>
        <v/>
      </c>
      <c r="K3840" s="521">
        <f>I3840-G3840</f>
        <v/>
      </c>
      <c r="M3840" s="522" t="inlineStr">
        <is>
          <t>INV20211065006</t>
        </is>
      </c>
      <c r="N3840" s="522" t="inlineStr"/>
      <c r="O3840" s="521">
        <f>M3840=N3840</f>
        <v/>
      </c>
      <c r="P3840" s="521">
        <f>AND(MONTH(F3840)=MONTH(S3840), YEAR(F3840)=YEAR(S3840))</f>
        <v/>
      </c>
      <c r="Q3840" s="521">
        <f>U3840="L001-901905215"</f>
        <v/>
      </c>
      <c r="R3840" s="556">
        <f>G3840-W3840</f>
        <v/>
      </c>
      <c r="S3840" s="521" t="n"/>
      <c r="T3840" s="522" t="n"/>
      <c r="U3840" s="522" t="n"/>
      <c r="V3840" s="522" t="n"/>
      <c r="W3840" s="521" t="n"/>
    </row>
    <row r="3841">
      <c r="A3841" s="521" t="n">
        <v>3833</v>
      </c>
      <c r="B3841" s="522" t="inlineStr">
        <is>
          <t>Custom clearance and Trucking fee</t>
        </is>
      </c>
      <c r="C3841" s="522" t="inlineStr">
        <is>
          <t>56ប៊ី-លីង សឹបផ្លាយ ឆេន មេនេចម៉ិន ឯ.ក</t>
        </is>
      </c>
      <c r="D3841" s="522" t="inlineStr">
        <is>
          <t>K004-902004795</t>
        </is>
      </c>
      <c r="E3841" s="521" t="inlineStr">
        <is>
          <t>IN202111-0702</t>
        </is>
      </c>
      <c r="F3841" s="523" t="n">
        <v>44530</v>
      </c>
      <c r="G3841" s="556" t="n">
        <v>270589</v>
      </c>
      <c r="I3841" s="521">
        <f>G3841</f>
        <v/>
      </c>
      <c r="K3841" s="521">
        <f>I3841-G3841</f>
        <v/>
      </c>
      <c r="M3841" s="522" t="inlineStr">
        <is>
          <t>IN2021110702</t>
        </is>
      </c>
      <c r="N3841" s="522" t="inlineStr">
        <is>
          <t>IN2021110702</t>
        </is>
      </c>
      <c r="O3841" s="521">
        <f>M3841=N3841</f>
        <v/>
      </c>
      <c r="P3841" s="521">
        <f>AND(MONTH(F3841)=MONTH(S3841), YEAR(F3841)=YEAR(S3841))</f>
        <v/>
      </c>
      <c r="Q3841" s="521">
        <f>U3841="L001-901905215"</f>
        <v/>
      </c>
      <c r="R3841" s="556">
        <f>G3841-W3841</f>
        <v/>
      </c>
      <c r="S3841" s="523" t="n">
        <v>44530</v>
      </c>
      <c r="T3841" s="522" t="inlineStr">
        <is>
          <t>IN202111-0702</t>
        </is>
      </c>
      <c r="U3841" s="522" t="inlineStr">
        <is>
          <t>L001-901905215</t>
        </is>
      </c>
      <c r="V3841" s="522" t="inlineStr">
        <is>
          <t>វីអ៊ីស៊ិន (ខេមបូឌា) អ៊ិនដាសស្ទ្រី ឯ.ក</t>
        </is>
      </c>
      <c r="W3841" s="556" t="n">
        <v>270589</v>
      </c>
    </row>
    <row r="3842">
      <c r="A3842" s="521" t="n">
        <v>3834</v>
      </c>
      <c r="B3842" s="522" t="inlineStr">
        <is>
          <t>Custom clearance and Trucking fee</t>
        </is>
      </c>
      <c r="C3842" s="522" t="inlineStr">
        <is>
          <t>56ប៊ី-លីង សឹបផ្លាយ ឆេន មេនេចម៉ិន ឯ.ក</t>
        </is>
      </c>
      <c r="D3842" s="522" t="inlineStr">
        <is>
          <t>K004-902004795</t>
        </is>
      </c>
      <c r="E3842" s="521" t="inlineStr">
        <is>
          <t>IN202111-0701</t>
        </is>
      </c>
      <c r="F3842" s="523" t="n">
        <v>44530</v>
      </c>
      <c r="G3842" s="556" t="n">
        <v>1509599</v>
      </c>
      <c r="I3842" s="521">
        <f>G3842</f>
        <v/>
      </c>
      <c r="K3842" s="521">
        <f>I3842-G3842</f>
        <v/>
      </c>
      <c r="M3842" s="522" t="inlineStr">
        <is>
          <t>IN2021110701</t>
        </is>
      </c>
      <c r="N3842" s="522" t="inlineStr">
        <is>
          <t>IN2021110701</t>
        </is>
      </c>
      <c r="O3842" s="521">
        <f>M3842=N3842</f>
        <v/>
      </c>
      <c r="P3842" s="521">
        <f>AND(MONTH(F3842)=MONTH(S3842), YEAR(F3842)=YEAR(S3842))</f>
        <v/>
      </c>
      <c r="Q3842" s="521">
        <f>U3842="L001-901905215"</f>
        <v/>
      </c>
      <c r="R3842" s="556">
        <f>G3842-W3842</f>
        <v/>
      </c>
      <c r="S3842" s="523" t="n">
        <v>44530</v>
      </c>
      <c r="T3842" s="522" t="inlineStr">
        <is>
          <t>IN202111-0701</t>
        </is>
      </c>
      <c r="U3842" s="522" t="inlineStr">
        <is>
          <t>L001-901905215</t>
        </is>
      </c>
      <c r="V3842" s="522" t="inlineStr">
        <is>
          <t>វីអ៊ីស៊ិន (ខេមបូឌា) អ៊ិនដាសស្ទ្រី ឯ.ក</t>
        </is>
      </c>
      <c r="W3842" s="556" t="n">
        <v>1509599</v>
      </c>
    </row>
    <row r="3843">
      <c r="A3843" s="521" t="n">
        <v>3835</v>
      </c>
      <c r="B3843" s="522" t="inlineStr">
        <is>
          <t>Custom clearance and Trucking fee</t>
        </is>
      </c>
      <c r="C3843" s="522" t="inlineStr">
        <is>
          <t>56ប៊ី-លីង សឹបផ្លាយ ឆេន មេនេចម៉ិន ឯ.ក</t>
        </is>
      </c>
      <c r="D3843" s="522" t="inlineStr">
        <is>
          <t>K004-902004795</t>
        </is>
      </c>
      <c r="E3843" s="521" t="inlineStr">
        <is>
          <t>IN202111-0700</t>
        </is>
      </c>
      <c r="F3843" s="523" t="n">
        <v>44530</v>
      </c>
      <c r="G3843" s="556" t="n">
        <v>899249</v>
      </c>
      <c r="I3843" s="521">
        <f>G3843</f>
        <v/>
      </c>
      <c r="K3843" s="521">
        <f>I3843-G3843</f>
        <v/>
      </c>
      <c r="M3843" s="522" t="inlineStr">
        <is>
          <t>IN2021110700</t>
        </is>
      </c>
      <c r="N3843" s="522" t="inlineStr">
        <is>
          <t>IN2021110700</t>
        </is>
      </c>
      <c r="O3843" s="521">
        <f>M3843=N3843</f>
        <v/>
      </c>
      <c r="P3843" s="521">
        <f>AND(MONTH(F3843)=MONTH(S3843), YEAR(F3843)=YEAR(S3843))</f>
        <v/>
      </c>
      <c r="Q3843" s="521">
        <f>U3843="L001-901905215"</f>
        <v/>
      </c>
      <c r="R3843" s="556">
        <f>G3843-W3843</f>
        <v/>
      </c>
      <c r="S3843" s="523" t="n">
        <v>44530</v>
      </c>
      <c r="T3843" s="522" t="inlineStr">
        <is>
          <t>IN202111-0700</t>
        </is>
      </c>
      <c r="U3843" s="522" t="inlineStr">
        <is>
          <t>L001-901905215</t>
        </is>
      </c>
      <c r="V3843" s="522" t="inlineStr">
        <is>
          <t>វីអ៊ីស៊ិន (ខេមបូឌា) អ៊ិនដាសស្ទ្រី ឯ.ក</t>
        </is>
      </c>
      <c r="W3843" s="556" t="n">
        <v>899249</v>
      </c>
    </row>
    <row r="3844">
      <c r="A3844" s="521" t="n">
        <v>3836</v>
      </c>
      <c r="B3844" s="522" t="inlineStr">
        <is>
          <t>Custom clearance and Trucking fee</t>
        </is>
      </c>
      <c r="C3844" s="522" t="inlineStr">
        <is>
          <t>56ប៊ី-លីង សឹបផ្លាយ ឆេន មេនេចម៉ិន ឯ.ក</t>
        </is>
      </c>
      <c r="D3844" s="522" t="inlineStr">
        <is>
          <t>K004-902004795</t>
        </is>
      </c>
      <c r="E3844" s="521" t="inlineStr">
        <is>
          <t>IN202111-0699</t>
        </is>
      </c>
      <c r="F3844" s="523" t="n">
        <v>44530</v>
      </c>
      <c r="G3844" s="556" t="n">
        <v>1751705</v>
      </c>
      <c r="I3844" s="521">
        <f>G3844</f>
        <v/>
      </c>
      <c r="K3844" s="521">
        <f>I3844-G3844</f>
        <v/>
      </c>
      <c r="M3844" s="522" t="inlineStr">
        <is>
          <t>IN2021110699</t>
        </is>
      </c>
      <c r="N3844" s="522" t="inlineStr">
        <is>
          <t>IN2021110699</t>
        </is>
      </c>
      <c r="O3844" s="521">
        <f>M3844=N3844</f>
        <v/>
      </c>
      <c r="P3844" s="521">
        <f>AND(MONTH(F3844)=MONTH(S3844), YEAR(F3844)=YEAR(S3844))</f>
        <v/>
      </c>
      <c r="Q3844" s="521">
        <f>U3844="L001-901905215"</f>
        <v/>
      </c>
      <c r="R3844" s="556">
        <f>G3844-W3844</f>
        <v/>
      </c>
      <c r="S3844" s="523" t="n">
        <v>44530</v>
      </c>
      <c r="T3844" s="522" t="inlineStr">
        <is>
          <t>IN202111-0699</t>
        </is>
      </c>
      <c r="U3844" s="522" t="inlineStr">
        <is>
          <t>L001-901905215</t>
        </is>
      </c>
      <c r="V3844" s="522" t="inlineStr">
        <is>
          <t>វីអ៊ីស៊ិន (ខេមបូឌា) អ៊ិនដាសស្ទ្រី ឯ.ក</t>
        </is>
      </c>
      <c r="W3844" s="556" t="n">
        <v>1751705</v>
      </c>
    </row>
    <row r="3845">
      <c r="A3845" s="521" t="n">
        <v>3837</v>
      </c>
      <c r="B3845" s="522" t="inlineStr">
        <is>
          <t>Custom clearance and Trucking fee</t>
        </is>
      </c>
      <c r="C3845" s="522" t="inlineStr">
        <is>
          <t>56ប៊ី-លីង សឹបផ្លាយ ឆេន មេនេចម៉ិន ឯ.ក</t>
        </is>
      </c>
      <c r="D3845" s="522" t="inlineStr">
        <is>
          <t>K004-902004795</t>
        </is>
      </c>
      <c r="E3845" s="521" t="inlineStr">
        <is>
          <t>IN202111-0698</t>
        </is>
      </c>
      <c r="F3845" s="523" t="n">
        <v>44530</v>
      </c>
      <c r="G3845" s="556" t="n">
        <v>270589</v>
      </c>
      <c r="I3845" s="521">
        <f>G3845</f>
        <v/>
      </c>
      <c r="K3845" s="521">
        <f>I3845-G3845</f>
        <v/>
      </c>
      <c r="M3845" s="522" t="inlineStr">
        <is>
          <t>IN2021110698</t>
        </is>
      </c>
      <c r="N3845" s="522" t="inlineStr">
        <is>
          <t>IN2021110698</t>
        </is>
      </c>
      <c r="O3845" s="521">
        <f>M3845=N3845</f>
        <v/>
      </c>
      <c r="P3845" s="521">
        <f>AND(MONTH(F3845)=MONTH(S3845), YEAR(F3845)=YEAR(S3845))</f>
        <v/>
      </c>
      <c r="Q3845" s="521">
        <f>U3845="L001-901905215"</f>
        <v/>
      </c>
      <c r="R3845" s="556">
        <f>G3845-W3845</f>
        <v/>
      </c>
      <c r="S3845" s="523" t="n">
        <v>44530</v>
      </c>
      <c r="T3845" s="522" t="inlineStr">
        <is>
          <t>IN202111-0698</t>
        </is>
      </c>
      <c r="U3845" s="522" t="inlineStr">
        <is>
          <t>L001-901905215</t>
        </is>
      </c>
      <c r="V3845" s="522" t="inlineStr">
        <is>
          <t>វីអ៊ីស៊ិន (ខេមបូឌា) អ៊ិនដាសស្ទ្រី ឯ.ក</t>
        </is>
      </c>
      <c r="W3845" s="556" t="n">
        <v>270589</v>
      </c>
    </row>
    <row r="3846">
      <c r="A3846" s="521" t="n">
        <v>3838</v>
      </c>
      <c r="B3846" s="522" t="inlineStr">
        <is>
          <t>Custom clearance and Trucking fee</t>
        </is>
      </c>
      <c r="C3846" s="522" t="inlineStr">
        <is>
          <t>56ប៊ី-លីង សឹបផ្លាយ ឆេន មេនេចម៉ិន ឯ.ក</t>
        </is>
      </c>
      <c r="D3846" s="522" t="inlineStr">
        <is>
          <t>K004-902004795</t>
        </is>
      </c>
      <c r="E3846" s="521" t="inlineStr">
        <is>
          <t>IN202111-0697</t>
        </is>
      </c>
      <c r="F3846" s="523" t="n">
        <v>44530</v>
      </c>
      <c r="G3846" s="556" t="n">
        <v>783283</v>
      </c>
      <c r="I3846" s="521">
        <f>G3846</f>
        <v/>
      </c>
      <c r="K3846" s="521">
        <f>I3846-G3846</f>
        <v/>
      </c>
      <c r="M3846" s="522" t="inlineStr">
        <is>
          <t>IN2021110697</t>
        </is>
      </c>
      <c r="N3846" s="522" t="inlineStr">
        <is>
          <t>IN2021110697</t>
        </is>
      </c>
      <c r="O3846" s="521">
        <f>M3846=N3846</f>
        <v/>
      </c>
      <c r="P3846" s="521">
        <f>AND(MONTH(F3846)=MONTH(S3846), YEAR(F3846)=YEAR(S3846))</f>
        <v/>
      </c>
      <c r="Q3846" s="521">
        <f>U3846="L001-901905215"</f>
        <v/>
      </c>
      <c r="R3846" s="556">
        <f>G3846-W3846</f>
        <v/>
      </c>
      <c r="S3846" s="523" t="n">
        <v>44530</v>
      </c>
      <c r="T3846" s="522" t="inlineStr">
        <is>
          <t>IN202111-0697</t>
        </is>
      </c>
      <c r="U3846" s="522" t="inlineStr">
        <is>
          <t>L001-901905215</t>
        </is>
      </c>
      <c r="V3846" s="522" t="inlineStr">
        <is>
          <t>វីអ៊ីស៊ិន (ខេមបូឌា) អ៊ិនដាសស្ទ្រី ឯ.ក</t>
        </is>
      </c>
      <c r="W3846" s="556" t="n">
        <v>783283</v>
      </c>
    </row>
    <row r="3847">
      <c r="A3847" s="521" t="n">
        <v>3839</v>
      </c>
      <c r="B3847" s="522" t="inlineStr">
        <is>
          <t>Custom clearance and Trucking fee</t>
        </is>
      </c>
      <c r="C3847" s="522" t="inlineStr">
        <is>
          <t>56ប៊ី-លីង សឹបផ្លាយ ឆេន មេនេចម៉ិន ឯ.ក</t>
        </is>
      </c>
      <c r="D3847" s="522" t="inlineStr">
        <is>
          <t>K004-902004795</t>
        </is>
      </c>
      <c r="E3847" s="521" t="inlineStr">
        <is>
          <t>IN202111-0696</t>
        </is>
      </c>
      <c r="F3847" s="523" t="n">
        <v>44530</v>
      </c>
      <c r="G3847" s="556" t="n">
        <v>345865</v>
      </c>
      <c r="I3847" s="521">
        <f>G3847</f>
        <v/>
      </c>
      <c r="K3847" s="521">
        <f>I3847-G3847</f>
        <v/>
      </c>
      <c r="M3847" s="522" t="inlineStr">
        <is>
          <t>IN2021110696</t>
        </is>
      </c>
      <c r="N3847" s="522" t="inlineStr">
        <is>
          <t>IN2021110696</t>
        </is>
      </c>
      <c r="O3847" s="521">
        <f>M3847=N3847</f>
        <v/>
      </c>
      <c r="P3847" s="521">
        <f>AND(MONTH(F3847)=MONTH(S3847), YEAR(F3847)=YEAR(S3847))</f>
        <v/>
      </c>
      <c r="Q3847" s="521">
        <f>U3847="L001-901905215"</f>
        <v/>
      </c>
      <c r="R3847" s="556">
        <f>G3847-W3847</f>
        <v/>
      </c>
      <c r="S3847" s="523" t="n">
        <v>44530</v>
      </c>
      <c r="T3847" s="522" t="inlineStr">
        <is>
          <t>IN202111-0696</t>
        </is>
      </c>
      <c r="U3847" s="522" t="inlineStr">
        <is>
          <t>L001-901905215</t>
        </is>
      </c>
      <c r="V3847" s="522" t="inlineStr">
        <is>
          <t>វីអ៊ីស៊ិន (ខេមបូឌា) អ៊ិនដាសស្ទ្រី ឯ.ក</t>
        </is>
      </c>
      <c r="W3847" s="556" t="n">
        <v>345865</v>
      </c>
    </row>
    <row r="3848">
      <c r="A3848" s="521" t="n">
        <v>3840</v>
      </c>
      <c r="B3848" s="522" t="inlineStr">
        <is>
          <t>Custom clearance and Trucking fee</t>
        </is>
      </c>
      <c r="C3848" s="522" t="inlineStr">
        <is>
          <t>56ប៊ី-លីង សឹបផ្លាយ ឆេន មេនេចម៉ិន ឯ.ក</t>
        </is>
      </c>
      <c r="D3848" s="522" t="inlineStr">
        <is>
          <t>K004-902004795</t>
        </is>
      </c>
      <c r="E3848" s="521" t="inlineStr">
        <is>
          <t>IN202111-0695</t>
        </is>
      </c>
      <c r="F3848" s="523" t="n">
        <v>44530</v>
      </c>
      <c r="G3848" s="556" t="n">
        <v>697834</v>
      </c>
      <c r="I3848" s="521">
        <f>G3848</f>
        <v/>
      </c>
      <c r="K3848" s="521">
        <f>I3848-G3848</f>
        <v/>
      </c>
      <c r="M3848" s="522" t="inlineStr">
        <is>
          <t>IN2021110695</t>
        </is>
      </c>
      <c r="N3848" s="522" t="inlineStr">
        <is>
          <t>IN2021110695</t>
        </is>
      </c>
      <c r="O3848" s="521">
        <f>M3848=N3848</f>
        <v/>
      </c>
      <c r="P3848" s="521">
        <f>AND(MONTH(F3848)=MONTH(S3848), YEAR(F3848)=YEAR(S3848))</f>
        <v/>
      </c>
      <c r="Q3848" s="521">
        <f>U3848="L001-901905215"</f>
        <v/>
      </c>
      <c r="R3848" s="556">
        <f>G3848-W3848</f>
        <v/>
      </c>
      <c r="S3848" s="523" t="n">
        <v>44530</v>
      </c>
      <c r="T3848" s="522" t="inlineStr">
        <is>
          <t>IN202111-0695</t>
        </is>
      </c>
      <c r="U3848" s="522" t="inlineStr">
        <is>
          <t>L001-901905215</t>
        </is>
      </c>
      <c r="V3848" s="522" t="inlineStr">
        <is>
          <t>វីអ៊ីស៊ិន (ខេមបូឌា) អ៊ិនដាសស្ទ្រី ឯ.ក</t>
        </is>
      </c>
      <c r="W3848" s="556" t="n">
        <v>697834</v>
      </c>
    </row>
    <row r="3849">
      <c r="A3849" s="521" t="n">
        <v>3841</v>
      </c>
      <c r="B3849" s="522" t="inlineStr">
        <is>
          <t>Custom clearance and Trucking fee</t>
        </is>
      </c>
      <c r="C3849" s="522" t="inlineStr">
        <is>
          <t>56ប៊ី-លីង សឹបផ្លាយ ឆេន មេនេចម៉ិន ឯ.ក</t>
        </is>
      </c>
      <c r="D3849" s="522" t="inlineStr">
        <is>
          <t>K004-902004795</t>
        </is>
      </c>
      <c r="E3849" s="521" t="inlineStr">
        <is>
          <t>IN202111-0694</t>
        </is>
      </c>
      <c r="F3849" s="523" t="n">
        <v>44530</v>
      </c>
      <c r="G3849" s="556" t="n">
        <v>537108</v>
      </c>
      <c r="I3849" s="521">
        <f>G3849</f>
        <v/>
      </c>
      <c r="K3849" s="521">
        <f>I3849-G3849</f>
        <v/>
      </c>
      <c r="M3849" s="522" t="inlineStr">
        <is>
          <t>IN2021110694</t>
        </is>
      </c>
      <c r="N3849" s="522" t="inlineStr">
        <is>
          <t>IN2021110694</t>
        </is>
      </c>
      <c r="O3849" s="521">
        <f>M3849=N3849</f>
        <v/>
      </c>
      <c r="P3849" s="521">
        <f>AND(MONTH(F3849)=MONTH(S3849), YEAR(F3849)=YEAR(S3849))</f>
        <v/>
      </c>
      <c r="Q3849" s="521">
        <f>U3849="L001-901905215"</f>
        <v/>
      </c>
      <c r="R3849" s="556">
        <f>G3849-W3849</f>
        <v/>
      </c>
      <c r="S3849" s="523" t="n">
        <v>44530</v>
      </c>
      <c r="T3849" s="522" t="inlineStr">
        <is>
          <t>IN202111-0694</t>
        </is>
      </c>
      <c r="U3849" s="522" t="inlineStr">
        <is>
          <t>L001-901905215</t>
        </is>
      </c>
      <c r="V3849" s="522" t="inlineStr">
        <is>
          <t>វីអ៊ីស៊ិន (ខេមបូឌា) អ៊ិនដាសស្ទ្រី ឯ.ក</t>
        </is>
      </c>
      <c r="W3849" s="556" t="n">
        <v>537108</v>
      </c>
    </row>
    <row r="3850">
      <c r="A3850" s="521" t="n">
        <v>3842</v>
      </c>
      <c r="B3850" s="522" t="inlineStr">
        <is>
          <t>Custom clearance and Trucking fee</t>
        </is>
      </c>
      <c r="C3850" s="522" t="inlineStr">
        <is>
          <t>56ប៊ី-លីង សឹបផ្លាយ ឆេន មេនេចម៉ិន ឯ.ក</t>
        </is>
      </c>
      <c r="D3850" s="522" t="inlineStr">
        <is>
          <t>K004-902004795</t>
        </is>
      </c>
      <c r="E3850" s="521" t="inlineStr">
        <is>
          <t>IN202111-0693</t>
        </is>
      </c>
      <c r="F3850" s="523" t="n">
        <v>44530</v>
      </c>
      <c r="G3850" s="556" t="n">
        <v>911456</v>
      </c>
      <c r="I3850" s="521">
        <f>G3850</f>
        <v/>
      </c>
      <c r="K3850" s="521">
        <f>I3850-G3850</f>
        <v/>
      </c>
      <c r="M3850" s="522" t="inlineStr">
        <is>
          <t>IN2021110693</t>
        </is>
      </c>
      <c r="N3850" s="522" t="inlineStr">
        <is>
          <t>IN2021110693</t>
        </is>
      </c>
      <c r="O3850" s="521">
        <f>M3850=N3850</f>
        <v/>
      </c>
      <c r="P3850" s="521">
        <f>AND(MONTH(F3850)=MONTH(S3850), YEAR(F3850)=YEAR(S3850))</f>
        <v/>
      </c>
      <c r="Q3850" s="521">
        <f>U3850="L001-901905215"</f>
        <v/>
      </c>
      <c r="R3850" s="556">
        <f>G3850-W3850</f>
        <v/>
      </c>
      <c r="S3850" s="523" t="n">
        <v>44530</v>
      </c>
      <c r="T3850" s="522" t="inlineStr">
        <is>
          <t>IN202111-0693</t>
        </is>
      </c>
      <c r="U3850" s="522" t="inlineStr">
        <is>
          <t>L001-901905215</t>
        </is>
      </c>
      <c r="V3850" s="522" t="inlineStr">
        <is>
          <t>វីអ៊ីស៊ិន (ខេមបូឌា) អ៊ិនដាសស្ទ្រី ឯ.ក</t>
        </is>
      </c>
      <c r="W3850" s="556" t="n">
        <v>911456</v>
      </c>
    </row>
    <row r="3851">
      <c r="A3851" s="521" t="n">
        <v>3843</v>
      </c>
      <c r="B3851" s="522" t="inlineStr">
        <is>
          <t>Custom clearance and Trucking fee</t>
        </is>
      </c>
      <c r="C3851" s="522" t="inlineStr">
        <is>
          <t>56ប៊ី-លីង សឹបផ្លាយ ឆេន មេនេចម៉ិន ឯ.ក</t>
        </is>
      </c>
      <c r="D3851" s="522" t="inlineStr">
        <is>
          <t>K004-902004795</t>
        </is>
      </c>
      <c r="E3851" s="521" t="inlineStr">
        <is>
          <t>IN202111-0692</t>
        </is>
      </c>
      <c r="F3851" s="523" t="n">
        <v>44530</v>
      </c>
      <c r="G3851" s="556" t="n">
        <v>472004</v>
      </c>
      <c r="I3851" s="521">
        <f>G3851</f>
        <v/>
      </c>
      <c r="K3851" s="521">
        <f>I3851-G3851</f>
        <v/>
      </c>
      <c r="M3851" s="522" t="inlineStr">
        <is>
          <t>IN2021110692</t>
        </is>
      </c>
      <c r="N3851" s="522" t="inlineStr">
        <is>
          <t>IN2021110692</t>
        </is>
      </c>
      <c r="O3851" s="521">
        <f>M3851=N3851</f>
        <v/>
      </c>
      <c r="P3851" s="521">
        <f>AND(MONTH(F3851)=MONTH(S3851), YEAR(F3851)=YEAR(S3851))</f>
        <v/>
      </c>
      <c r="Q3851" s="521">
        <f>U3851="L001-901905215"</f>
        <v/>
      </c>
      <c r="R3851" s="556">
        <f>G3851-W3851</f>
        <v/>
      </c>
      <c r="S3851" s="523" t="n">
        <v>44530</v>
      </c>
      <c r="T3851" s="522" t="inlineStr">
        <is>
          <t>IN202111-0692</t>
        </is>
      </c>
      <c r="U3851" s="522" t="inlineStr">
        <is>
          <t>L001-901905215</t>
        </is>
      </c>
      <c r="V3851" s="522" t="inlineStr">
        <is>
          <t>វីអ៊ីស៊ិន (ខេមបូឌា) អ៊ិនដាសស្ទ្រី ឯ.ក</t>
        </is>
      </c>
      <c r="W3851" s="556" t="n">
        <v>472004</v>
      </c>
    </row>
    <row r="3852">
      <c r="A3852" s="521" t="n">
        <v>3844</v>
      </c>
      <c r="B3852" s="522" t="inlineStr">
        <is>
          <t>Custom clearance and Trucking fee</t>
        </is>
      </c>
      <c r="C3852" s="522" t="inlineStr">
        <is>
          <t>56ប៊ី-លីង សឹបផ្លាយ ឆេន មេនេចម៉ិន ឯ.ក</t>
        </is>
      </c>
      <c r="D3852" s="522" t="inlineStr">
        <is>
          <t>K004-902004795</t>
        </is>
      </c>
      <c r="E3852" s="521" t="inlineStr">
        <is>
          <t>IN202111-0691</t>
        </is>
      </c>
      <c r="F3852" s="523" t="n">
        <v>44530</v>
      </c>
      <c r="G3852" s="556" t="n">
        <v>258382</v>
      </c>
      <c r="I3852" s="521">
        <f>G3852</f>
        <v/>
      </c>
      <c r="K3852" s="521">
        <f>I3852-G3852</f>
        <v/>
      </c>
      <c r="M3852" s="522" t="inlineStr">
        <is>
          <t>IN2021110691</t>
        </is>
      </c>
      <c r="N3852" s="522" t="inlineStr">
        <is>
          <t>IN2021110691</t>
        </is>
      </c>
      <c r="O3852" s="521">
        <f>M3852=N3852</f>
        <v/>
      </c>
      <c r="P3852" s="521">
        <f>AND(MONTH(F3852)=MONTH(S3852), YEAR(F3852)=YEAR(S3852))</f>
        <v/>
      </c>
      <c r="Q3852" s="521">
        <f>U3852="L001-901905215"</f>
        <v/>
      </c>
      <c r="R3852" s="556">
        <f>G3852-W3852</f>
        <v/>
      </c>
      <c r="S3852" s="523" t="n">
        <v>44530</v>
      </c>
      <c r="T3852" s="522" t="inlineStr">
        <is>
          <t>IN202111-0691</t>
        </is>
      </c>
      <c r="U3852" s="522" t="inlineStr">
        <is>
          <t>L001-901905215</t>
        </is>
      </c>
      <c r="V3852" s="522" t="inlineStr">
        <is>
          <t>វីអ៊ីស៊ិន (ខេមបូឌា) អ៊ិនដាសស្ទ្រី ឯ.ក</t>
        </is>
      </c>
      <c r="W3852" s="556" t="n">
        <v>258382</v>
      </c>
    </row>
    <row r="3853">
      <c r="A3853" s="521" t="n">
        <v>3845</v>
      </c>
      <c r="B3853" s="522" t="inlineStr">
        <is>
          <t>Custom clearance and Trucking fee</t>
        </is>
      </c>
      <c r="C3853" s="522" t="inlineStr">
        <is>
          <t>56ប៊ី-លីង សឹបផ្លាយ ឆេន មេនេចម៉ិន ឯ.ក</t>
        </is>
      </c>
      <c r="D3853" s="522" t="inlineStr">
        <is>
          <t>K004-902004795</t>
        </is>
      </c>
      <c r="E3853" s="521" t="inlineStr">
        <is>
          <t>IN202111-0653</t>
        </is>
      </c>
      <c r="F3853" s="523" t="n">
        <v>44511</v>
      </c>
      <c r="G3853" s="556" t="n">
        <v>1125632</v>
      </c>
      <c r="I3853" s="521">
        <f>G3853</f>
        <v/>
      </c>
      <c r="K3853" s="521">
        <f>I3853-G3853</f>
        <v/>
      </c>
      <c r="M3853" s="522" t="inlineStr">
        <is>
          <t>IN2021110653</t>
        </is>
      </c>
      <c r="N3853" s="522" t="inlineStr">
        <is>
          <t>IN2021110653</t>
        </is>
      </c>
      <c r="O3853" s="521">
        <f>M3853=N3853</f>
        <v/>
      </c>
      <c r="P3853" s="521">
        <f>AND(MONTH(F3853)=MONTH(S3853), YEAR(F3853)=YEAR(S3853))</f>
        <v/>
      </c>
      <c r="Q3853" s="521">
        <f>U3853="L001-901905215"</f>
        <v/>
      </c>
      <c r="R3853" s="556">
        <f>G3853-W3853</f>
        <v/>
      </c>
      <c r="S3853" s="523" t="n">
        <v>44511</v>
      </c>
      <c r="T3853" s="522" t="inlineStr">
        <is>
          <t>IN202111-0653</t>
        </is>
      </c>
      <c r="U3853" s="522" t="inlineStr">
        <is>
          <t>L001-901905215</t>
        </is>
      </c>
      <c r="V3853" s="522" t="inlineStr">
        <is>
          <t>វីអ៊ីស៊ិន (ខេមបូឌា) អ៊ិនដាសស្ទ្រី ឯ.ក</t>
        </is>
      </c>
      <c r="W3853" s="556" t="n">
        <v>1125632</v>
      </c>
    </row>
    <row r="3854">
      <c r="A3854" s="521" t="n">
        <v>3846</v>
      </c>
      <c r="B3854" s="522" t="inlineStr">
        <is>
          <t>Custom clearance and Trucking fee</t>
        </is>
      </c>
      <c r="C3854" s="522" t="inlineStr">
        <is>
          <t>56ប៊ី-លីង សឹបផ្លាយ ឆេន មេនេចម៉ិន ឯ.ក</t>
        </is>
      </c>
      <c r="D3854" s="522" t="inlineStr">
        <is>
          <t>K004-902004795</t>
        </is>
      </c>
      <c r="E3854" s="521" t="inlineStr">
        <is>
          <t>IN202111-0650</t>
        </is>
      </c>
      <c r="F3854" s="523" t="n">
        <v>44511</v>
      </c>
      <c r="G3854" s="556" t="n">
        <v>698177</v>
      </c>
      <c r="I3854" s="521">
        <f>G3854</f>
        <v/>
      </c>
      <c r="K3854" s="521">
        <f>I3854-G3854</f>
        <v/>
      </c>
      <c r="M3854" s="522" t="inlineStr">
        <is>
          <t>IN2021110650</t>
        </is>
      </c>
      <c r="N3854" s="522" t="inlineStr">
        <is>
          <t>IN2021110650</t>
        </is>
      </c>
      <c r="O3854" s="521">
        <f>M3854=N3854</f>
        <v/>
      </c>
      <c r="P3854" s="521">
        <f>AND(MONTH(F3854)=MONTH(S3854), YEAR(F3854)=YEAR(S3854))</f>
        <v/>
      </c>
      <c r="Q3854" s="521">
        <f>U3854="L001-901905215"</f>
        <v/>
      </c>
      <c r="R3854" s="556">
        <f>G3854-W3854</f>
        <v/>
      </c>
      <c r="S3854" s="523" t="n">
        <v>44511</v>
      </c>
      <c r="T3854" s="522" t="inlineStr">
        <is>
          <t>IN202111-0650</t>
        </is>
      </c>
      <c r="U3854" s="522" t="inlineStr">
        <is>
          <t>L001-901905215</t>
        </is>
      </c>
      <c r="V3854" s="522" t="inlineStr">
        <is>
          <t>វីអ៊ីស៊ិន (ខេមបូឌា) អ៊ិនដាសស្ទ្រី ឯ.ក</t>
        </is>
      </c>
      <c r="W3854" s="556" t="n">
        <v>698177</v>
      </c>
    </row>
    <row r="3855">
      <c r="A3855" s="521" t="n">
        <v>3847</v>
      </c>
      <c r="B3855" s="522" t="inlineStr">
        <is>
          <t>Custom clearance and Trucking fee</t>
        </is>
      </c>
      <c r="C3855" s="522" t="inlineStr">
        <is>
          <t>56ប៊ី-លីង សឹបផ្លាយ ឆេន មេនេចម៉ិន ឯ.ក</t>
        </is>
      </c>
      <c r="D3855" s="522" t="inlineStr">
        <is>
          <t>K004-902004795</t>
        </is>
      </c>
      <c r="E3855" s="521" t="inlineStr">
        <is>
          <t>IN202111-0649</t>
        </is>
      </c>
      <c r="F3855" s="523" t="n">
        <v>44511</v>
      </c>
      <c r="G3855" s="556" t="n">
        <v>1553087</v>
      </c>
      <c r="I3855" s="521">
        <f>G3855</f>
        <v/>
      </c>
      <c r="K3855" s="521">
        <f>I3855-G3855</f>
        <v/>
      </c>
      <c r="M3855" s="522" t="inlineStr">
        <is>
          <t>IN2021110649</t>
        </is>
      </c>
      <c r="N3855" s="522" t="inlineStr">
        <is>
          <t>IN2021110649</t>
        </is>
      </c>
      <c r="O3855" s="521">
        <f>M3855=N3855</f>
        <v/>
      </c>
      <c r="P3855" s="521">
        <f>AND(MONTH(F3855)=MONTH(S3855), YEAR(F3855)=YEAR(S3855))</f>
        <v/>
      </c>
      <c r="Q3855" s="521">
        <f>U3855="L001-901905215"</f>
        <v/>
      </c>
      <c r="R3855" s="556">
        <f>G3855-W3855</f>
        <v/>
      </c>
      <c r="S3855" s="523" t="n">
        <v>44511</v>
      </c>
      <c r="T3855" s="522" t="inlineStr">
        <is>
          <t>IN202111-0649</t>
        </is>
      </c>
      <c r="U3855" s="522" t="inlineStr">
        <is>
          <t>L001-901905215</t>
        </is>
      </c>
      <c r="V3855" s="522" t="inlineStr">
        <is>
          <t>វីអ៊ីស៊ិន (ខេមបូឌា) អ៊ិនដាសស្ទ្រី ឯ.ក</t>
        </is>
      </c>
      <c r="W3855" s="556" t="n">
        <v>1553087</v>
      </c>
    </row>
    <row r="3856">
      <c r="A3856" s="521" t="n">
        <v>3848</v>
      </c>
      <c r="B3856" s="522" t="inlineStr">
        <is>
          <t>Custom clearance and Trucking fee</t>
        </is>
      </c>
      <c r="C3856" s="522" t="inlineStr">
        <is>
          <t>56ប៊ី-លីង សឹបផ្លាយ ឆេន មេនេចម៉ិន ឯ.ក</t>
        </is>
      </c>
      <c r="D3856" s="522" t="inlineStr">
        <is>
          <t>K004-902004795</t>
        </is>
      </c>
      <c r="E3856" s="521" t="inlineStr">
        <is>
          <t>IN202111-0648</t>
        </is>
      </c>
      <c r="F3856" s="523" t="n">
        <v>44511</v>
      </c>
      <c r="G3856" s="556" t="n">
        <v>1125632</v>
      </c>
      <c r="I3856" s="521">
        <f>G3856</f>
        <v/>
      </c>
      <c r="K3856" s="521">
        <f>I3856-G3856</f>
        <v/>
      </c>
      <c r="M3856" s="522" t="inlineStr">
        <is>
          <t>IN2021110648</t>
        </is>
      </c>
      <c r="N3856" s="522" t="inlineStr">
        <is>
          <t>IN2021110648</t>
        </is>
      </c>
      <c r="O3856" s="521">
        <f>M3856=N3856</f>
        <v/>
      </c>
      <c r="P3856" s="521">
        <f>AND(MONTH(F3856)=MONTH(S3856), YEAR(F3856)=YEAR(S3856))</f>
        <v/>
      </c>
      <c r="Q3856" s="521">
        <f>U3856="L001-901905215"</f>
        <v/>
      </c>
      <c r="R3856" s="556">
        <f>G3856-W3856</f>
        <v/>
      </c>
      <c r="S3856" s="523" t="n">
        <v>44511</v>
      </c>
      <c r="T3856" s="522" t="inlineStr">
        <is>
          <t>IN202111-0648</t>
        </is>
      </c>
      <c r="U3856" s="522" t="inlineStr">
        <is>
          <t>L001-901905215</t>
        </is>
      </c>
      <c r="V3856" s="522" t="inlineStr">
        <is>
          <t>វីអ៊ីស៊ិន (ខេមបូឌា) អ៊ិនដាសស្ទ្រី ឯ.ក</t>
        </is>
      </c>
      <c r="W3856" s="556" t="n">
        <v>1125632</v>
      </c>
    </row>
    <row r="3857">
      <c r="A3857" s="521" t="n">
        <v>3849</v>
      </c>
      <c r="B3857" s="522" t="inlineStr">
        <is>
          <t>Custom clearance and Trucking fee</t>
        </is>
      </c>
      <c r="C3857" s="522" t="inlineStr">
        <is>
          <t>56ប៊ី-លីង សឹបផ្លាយ ឆេន មេនេចម៉ិន ឯ.ក</t>
        </is>
      </c>
      <c r="D3857" s="522" t="inlineStr">
        <is>
          <t>K004-902004795</t>
        </is>
      </c>
      <c r="E3857" s="521" t="inlineStr">
        <is>
          <t>IN202111-0641</t>
        </is>
      </c>
      <c r="F3857" s="523" t="n">
        <v>44508</v>
      </c>
      <c r="G3857" s="556" t="n">
        <v>270921</v>
      </c>
      <c r="I3857" s="521">
        <f>G3857</f>
        <v/>
      </c>
      <c r="K3857" s="521">
        <f>I3857-G3857</f>
        <v/>
      </c>
      <c r="M3857" s="522" t="inlineStr">
        <is>
          <t>IN2021110641</t>
        </is>
      </c>
      <c r="N3857" s="522" t="inlineStr">
        <is>
          <t>IN2021110641</t>
        </is>
      </c>
      <c r="O3857" s="521">
        <f>M3857=N3857</f>
        <v/>
      </c>
      <c r="P3857" s="521">
        <f>AND(MONTH(F3857)=MONTH(S3857), YEAR(F3857)=YEAR(S3857))</f>
        <v/>
      </c>
      <c r="Q3857" s="521">
        <f>U3857="L001-901905215"</f>
        <v/>
      </c>
      <c r="R3857" s="556">
        <f>G3857-W3857</f>
        <v/>
      </c>
      <c r="S3857" s="523" t="n">
        <v>44508</v>
      </c>
      <c r="T3857" s="522" t="inlineStr">
        <is>
          <t>IN202111-0641</t>
        </is>
      </c>
      <c r="U3857" s="522" t="inlineStr">
        <is>
          <t>L001-901905215</t>
        </is>
      </c>
      <c r="V3857" s="522" t="inlineStr">
        <is>
          <t>វីអ៊ីស៊ិន (ខេមបូឌា) អ៊ិនដាសស្ទ្រី ឯ.ក</t>
        </is>
      </c>
      <c r="W3857" s="556" t="n">
        <v>270921</v>
      </c>
    </row>
    <row r="3858">
      <c r="A3858" s="521" t="n">
        <v>3850</v>
      </c>
      <c r="B3858" s="522" t="inlineStr">
        <is>
          <t>Custom clearance and Trucking fee</t>
        </is>
      </c>
      <c r="C3858" s="522" t="inlineStr">
        <is>
          <t>56ប៊ី-លីង សឹបផ្លាយ ឆេន មេនេចម៉ិន ឯ.ក</t>
        </is>
      </c>
      <c r="D3858" s="522" t="inlineStr">
        <is>
          <t>K004-902004795</t>
        </is>
      </c>
      <c r="E3858" s="521" t="inlineStr">
        <is>
          <t>IN202111-0626</t>
        </is>
      </c>
      <c r="F3858" s="523" t="n">
        <v>44505</v>
      </c>
      <c r="G3858" s="556" t="n">
        <v>1767248</v>
      </c>
      <c r="I3858" s="521">
        <f>G3858</f>
        <v/>
      </c>
      <c r="K3858" s="521">
        <f>I3858-G3858</f>
        <v/>
      </c>
      <c r="M3858" s="522" t="inlineStr">
        <is>
          <t>IN2021110626</t>
        </is>
      </c>
      <c r="N3858" s="522" t="inlineStr">
        <is>
          <t>IN2021110626</t>
        </is>
      </c>
      <c r="O3858" s="521">
        <f>M3858=N3858</f>
        <v/>
      </c>
      <c r="P3858" s="521">
        <f>AND(MONTH(F3858)=MONTH(S3858), YEAR(F3858)=YEAR(S3858))</f>
        <v/>
      </c>
      <c r="Q3858" s="521">
        <f>U3858="L001-901905215"</f>
        <v/>
      </c>
      <c r="R3858" s="556">
        <f>G3858-W3858</f>
        <v/>
      </c>
      <c r="S3858" s="523" t="n">
        <v>44505</v>
      </c>
      <c r="T3858" s="522" t="inlineStr">
        <is>
          <t>IN202111-0626</t>
        </is>
      </c>
      <c r="U3858" s="522" t="inlineStr">
        <is>
          <t>L001-901905215</t>
        </is>
      </c>
      <c r="V3858" s="522" t="inlineStr">
        <is>
          <t>វីអ៊ីស៊ិន (ខេមបូឌា) អ៊ិនដាសស្ទ្រី ឯ.ក</t>
        </is>
      </c>
      <c r="W3858" s="556" t="n">
        <v>1767248</v>
      </c>
    </row>
    <row r="3859">
      <c r="A3859" s="521" t="n">
        <v>3851</v>
      </c>
      <c r="B3859" s="522" t="inlineStr">
        <is>
          <t>Custom clearance and Trucking fee</t>
        </is>
      </c>
      <c r="C3859" s="522" t="inlineStr">
        <is>
          <t>56ប៊ី-លីង សឹបផ្លាយ ឆេន មេនេចម៉ិន ឯ.ក</t>
        </is>
      </c>
      <c r="D3859" s="522" t="inlineStr">
        <is>
          <t>K004-902004795</t>
        </is>
      </c>
      <c r="E3859" s="521" t="inlineStr">
        <is>
          <t>IN202111-0625</t>
        </is>
      </c>
      <c r="F3859" s="523" t="n">
        <v>44504</v>
      </c>
      <c r="G3859" s="556" t="n">
        <v>2408588</v>
      </c>
      <c r="I3859" s="521">
        <f>G3859</f>
        <v/>
      </c>
      <c r="K3859" s="521">
        <f>I3859-G3859</f>
        <v/>
      </c>
      <c r="M3859" s="522" t="inlineStr">
        <is>
          <t>IN2021110625</t>
        </is>
      </c>
      <c r="N3859" s="522" t="inlineStr">
        <is>
          <t>IN2021110625</t>
        </is>
      </c>
      <c r="O3859" s="521">
        <f>M3859=N3859</f>
        <v/>
      </c>
      <c r="P3859" s="521">
        <f>AND(MONTH(F3859)=MONTH(S3859), YEAR(F3859)=YEAR(S3859))</f>
        <v/>
      </c>
      <c r="Q3859" s="521">
        <f>U3859="L001-901905215"</f>
        <v/>
      </c>
      <c r="R3859" s="556">
        <f>G3859-W3859</f>
        <v/>
      </c>
      <c r="S3859" s="523" t="n">
        <v>44505</v>
      </c>
      <c r="T3859" s="522" t="inlineStr">
        <is>
          <t>IN202111-0625</t>
        </is>
      </c>
      <c r="U3859" s="522" t="inlineStr">
        <is>
          <t>L001-901905215</t>
        </is>
      </c>
      <c r="V3859" s="522" t="inlineStr">
        <is>
          <t>វីអ៊ីស៊ិន (ខេមបូឌា) អ៊ិនដាសស្ទ្រី ឯ.ក</t>
        </is>
      </c>
      <c r="W3859" s="556" t="n">
        <v>2408588</v>
      </c>
    </row>
    <row r="3860">
      <c r="A3860" s="521" t="n">
        <v>3852</v>
      </c>
      <c r="B3860" s="522" t="inlineStr">
        <is>
          <t>Sticker</t>
        </is>
      </c>
      <c r="C3860" s="522" t="inlineStr">
        <is>
          <t>ហេង កៃ (ខេមបូឌា) ព្រីនធីង</t>
        </is>
      </c>
      <c r="D3860" s="522" t="inlineStr">
        <is>
          <t>K010-901504622</t>
        </is>
      </c>
      <c r="E3860" s="521" t="inlineStr">
        <is>
          <t>2100144</t>
        </is>
      </c>
      <c r="F3860" s="523" t="n">
        <v>44525</v>
      </c>
      <c r="G3860" s="556" t="n">
        <v>2661087</v>
      </c>
      <c r="I3860" s="521">
        <f>G3860</f>
        <v/>
      </c>
      <c r="K3860" s="521">
        <f>I3860-G3860</f>
        <v/>
      </c>
      <c r="M3860" s="522" t="inlineStr">
        <is>
          <t>2100144</t>
        </is>
      </c>
      <c r="N3860" s="522" t="inlineStr">
        <is>
          <t>2100144</t>
        </is>
      </c>
      <c r="O3860" s="521">
        <f>M3860=N3860</f>
        <v/>
      </c>
      <c r="P3860" s="521">
        <f>AND(MONTH(F3860)=MONTH(S3860), YEAR(F3860)=YEAR(S3860))</f>
        <v/>
      </c>
      <c r="Q3860" s="521">
        <f>U3860="L001-901905215"</f>
        <v/>
      </c>
      <c r="R3860" s="556">
        <f>G3860-W3860</f>
        <v/>
      </c>
      <c r="S3860" s="523" t="n">
        <v>44525</v>
      </c>
      <c r="T3860" s="522" t="inlineStr">
        <is>
          <t>2100144</t>
        </is>
      </c>
      <c r="U3860" s="522" t="inlineStr">
        <is>
          <t>L001-901905215</t>
        </is>
      </c>
      <c r="V3860" s="522" t="inlineStr">
        <is>
          <t>វីអ៊ីស៊ិន (ខេមបូឌា) អ៊ិនដាសស្ទ្រី ឯ.ក</t>
        </is>
      </c>
      <c r="W3860" s="556" t="n">
        <v>2661087</v>
      </c>
    </row>
    <row r="3861">
      <c r="A3861" s="521" t="n">
        <v>3853</v>
      </c>
      <c r="B3861" s="522" t="inlineStr">
        <is>
          <t>Monthly Security service</t>
        </is>
      </c>
      <c r="C3861" s="522" t="inlineStr">
        <is>
          <t>ភី.អិល (ខេមបូឌា) ស៊ីឃ្យួរឹធី</t>
        </is>
      </c>
      <c r="D3861" s="522" t="inlineStr">
        <is>
          <t>K010-901502809</t>
        </is>
      </c>
      <c r="E3861" s="521" t="inlineStr">
        <is>
          <t>PL000850</t>
        </is>
      </c>
      <c r="F3861" s="523" t="n">
        <v>44530</v>
      </c>
      <c r="G3861" s="556" t="n">
        <v>203450</v>
      </c>
      <c r="I3861" s="521">
        <f>G3861</f>
        <v/>
      </c>
      <c r="K3861" s="521">
        <f>I3861-G3861</f>
        <v/>
      </c>
      <c r="M3861" s="522" t="inlineStr">
        <is>
          <t>PL000850</t>
        </is>
      </c>
      <c r="N3861" s="522" t="inlineStr">
        <is>
          <t>PL000850</t>
        </is>
      </c>
      <c r="O3861" s="521">
        <f>M3861=N3861</f>
        <v/>
      </c>
      <c r="P3861" s="521">
        <f>AND(MONTH(F3861)=MONTH(S3861), YEAR(F3861)=YEAR(S3861))</f>
        <v/>
      </c>
      <c r="Q3861" s="521">
        <f>U3861="L001-901905215"</f>
        <v/>
      </c>
      <c r="R3861" s="556">
        <f>G3861-W3861</f>
        <v/>
      </c>
      <c r="S3861" s="523" t="n">
        <v>44530</v>
      </c>
      <c r="T3861" s="522" t="inlineStr">
        <is>
          <t>PL000850</t>
        </is>
      </c>
      <c r="U3861" s="522" t="inlineStr">
        <is>
          <t>L001-901905215</t>
        </is>
      </c>
      <c r="V3861" s="522" t="inlineStr">
        <is>
          <t>វីអ៊ីស៊ិន (ខេមបូឌា) អ៊ិនដាសស្ទ្រី ឯ.ក</t>
        </is>
      </c>
      <c r="W3861" s="556" t="n">
        <v>203450</v>
      </c>
    </row>
    <row r="3862">
      <c r="A3862" s="521" t="n">
        <v>3854</v>
      </c>
      <c r="B3862" s="522" t="inlineStr">
        <is>
          <t>Monthly Security service</t>
        </is>
      </c>
      <c r="C3862" s="522" t="inlineStr">
        <is>
          <t>ភី.អិល (ខេមបូឌា) ស៊ីឃ្យួរឹធី</t>
        </is>
      </c>
      <c r="D3862" s="522" t="inlineStr">
        <is>
          <t>K010-901502809</t>
        </is>
      </c>
      <c r="E3862" s="521" t="inlineStr">
        <is>
          <t>PL000854</t>
        </is>
      </c>
      <c r="F3862" s="523" t="n">
        <v>44530</v>
      </c>
      <c r="G3862" s="556" t="n">
        <v>195312</v>
      </c>
      <c r="I3862" s="521">
        <f>G3862</f>
        <v/>
      </c>
      <c r="K3862" s="521">
        <f>I3862-G3862</f>
        <v/>
      </c>
      <c r="M3862" s="522" t="inlineStr">
        <is>
          <t>PL000854</t>
        </is>
      </c>
      <c r="N3862" s="522" t="inlineStr"/>
      <c r="O3862" s="521">
        <f>M3862=N3862</f>
        <v/>
      </c>
      <c r="P3862" s="521">
        <f>AND(MONTH(F3862)=MONTH(S3862), YEAR(F3862)=YEAR(S3862))</f>
        <v/>
      </c>
      <c r="Q3862" s="521">
        <f>U3862="L001-901905215"</f>
        <v/>
      </c>
      <c r="R3862" s="556">
        <f>G3862-W3862</f>
        <v/>
      </c>
      <c r="S3862" s="521" t="n"/>
      <c r="T3862" s="522" t="n"/>
      <c r="U3862" s="522" t="n"/>
      <c r="V3862" s="522" t="n"/>
      <c r="W3862" s="521" t="n"/>
    </row>
    <row r="3863">
      <c r="A3863" s="521" t="n">
        <v>3855</v>
      </c>
      <c r="B3863" s="522" t="inlineStr">
        <is>
          <t>Building Rental and management fee for Nov 2021</t>
        </is>
      </c>
      <c r="C3863" s="522" t="inlineStr">
        <is>
          <t>មេហ្គា លេបឹល &amp; ស្ទីកឃើរ (ខេមបូឌា)</t>
        </is>
      </c>
      <c r="D3863" s="522" t="inlineStr">
        <is>
          <t>L001-100185983</t>
        </is>
      </c>
      <c r="E3863" s="521" t="inlineStr">
        <is>
          <t>INV20211101</t>
        </is>
      </c>
      <c r="F3863" s="523" t="n">
        <v>44501</v>
      </c>
      <c r="G3863" s="556" t="n">
        <v>4540628</v>
      </c>
      <c r="I3863" s="521">
        <f>G3863</f>
        <v/>
      </c>
      <c r="K3863" s="521">
        <f>I3863-G3863</f>
        <v/>
      </c>
      <c r="M3863" s="522" t="inlineStr">
        <is>
          <t>INV20211101</t>
        </is>
      </c>
      <c r="N3863" s="522" t="inlineStr"/>
      <c r="O3863" s="521">
        <f>M3863=N3863</f>
        <v/>
      </c>
      <c r="P3863" s="521">
        <f>AND(MONTH(F3863)=MONTH(S3863), YEAR(F3863)=YEAR(S3863))</f>
        <v/>
      </c>
      <c r="Q3863" s="521">
        <f>U3863="L001-901905215"</f>
        <v/>
      </c>
      <c r="R3863" s="556">
        <f>G3863-W3863</f>
        <v/>
      </c>
      <c r="S3863" s="521" t="n"/>
      <c r="T3863" s="522" t="n"/>
      <c r="U3863" s="522" t="n"/>
      <c r="V3863" s="522" t="n"/>
      <c r="W3863" s="521" t="n"/>
    </row>
    <row r="3864">
      <c r="A3864" s="521" t="n">
        <v>3856</v>
      </c>
      <c r="B3864" s="522" t="inlineStr">
        <is>
          <t>Infrastructure maintenance fee for Nov 2021</t>
        </is>
      </c>
      <c r="C3864" s="522" t="inlineStr">
        <is>
          <t>ភ្នំពេញ អេសអ៊ីហ្សិត ភីអិលស៊ី</t>
        </is>
      </c>
      <c r="D3864" s="522" t="inlineStr">
        <is>
          <t>L001-100046592</t>
        </is>
      </c>
      <c r="E3864" s="521" t="inlineStr">
        <is>
          <t>2021-05397</t>
        </is>
      </c>
      <c r="F3864" s="523" t="n">
        <v>44516</v>
      </c>
      <c r="G3864" s="556" t="n">
        <v>164706</v>
      </c>
      <c r="I3864" s="521">
        <f>G3864</f>
        <v/>
      </c>
      <c r="K3864" s="521">
        <f>I3864-G3864</f>
        <v/>
      </c>
      <c r="M3864" s="522" t="inlineStr">
        <is>
          <t>202105397</t>
        </is>
      </c>
      <c r="N3864" s="522" t="inlineStr">
        <is>
          <t>202105397</t>
        </is>
      </c>
      <c r="O3864" s="521">
        <f>M3864=N3864</f>
        <v/>
      </c>
      <c r="P3864" s="521">
        <f>AND(MONTH(F3864)=MONTH(S3864), YEAR(F3864)=YEAR(S3864))</f>
        <v/>
      </c>
      <c r="Q3864" s="521">
        <f>U3864="L001-901905215"</f>
        <v/>
      </c>
      <c r="R3864" s="556">
        <f>G3864-W3864</f>
        <v/>
      </c>
      <c r="S3864" s="523" t="n">
        <v>44516</v>
      </c>
      <c r="T3864" s="522" t="inlineStr">
        <is>
          <t>2021-05397</t>
        </is>
      </c>
      <c r="U3864" s="522" t="inlineStr">
        <is>
          <t>L001-901905215</t>
        </is>
      </c>
      <c r="V3864" s="522" t="inlineStr">
        <is>
          <t>វីអ៊ីស៊ិន (ខេមបូឌា) អ៊ិនដាសស្ទ្រី ឯ.ក</t>
        </is>
      </c>
      <c r="W3864" s="556" t="n">
        <v>164705</v>
      </c>
    </row>
    <row r="3865">
      <c r="A3865" s="521" t="n">
        <v>3857</v>
      </c>
      <c r="B3865" s="522" t="inlineStr">
        <is>
          <t>Infrastructure maintenance fee for Nov 2021</t>
        </is>
      </c>
      <c r="C3865" s="522" t="inlineStr">
        <is>
          <t>ភ្នំពេញ អេសអ៊ីហ្សិត ភីអិលស៊ី</t>
        </is>
      </c>
      <c r="D3865" s="522" t="inlineStr">
        <is>
          <t>L001-100046592</t>
        </is>
      </c>
      <c r="E3865" s="521" t="inlineStr">
        <is>
          <t>2021-05388</t>
        </is>
      </c>
      <c r="F3865" s="523" t="n">
        <v>44516</v>
      </c>
      <c r="G3865" s="556" t="n">
        <v>200538</v>
      </c>
      <c r="I3865" s="521">
        <f>G3865</f>
        <v/>
      </c>
      <c r="K3865" s="521">
        <f>I3865-G3865</f>
        <v/>
      </c>
      <c r="M3865" s="522" t="inlineStr">
        <is>
          <t>202105388</t>
        </is>
      </c>
      <c r="N3865" s="522" t="inlineStr">
        <is>
          <t>202105388</t>
        </is>
      </c>
      <c r="O3865" s="521">
        <f>M3865=N3865</f>
        <v/>
      </c>
      <c r="P3865" s="521">
        <f>AND(MONTH(F3865)=MONTH(S3865), YEAR(F3865)=YEAR(S3865))</f>
        <v/>
      </c>
      <c r="Q3865" s="521">
        <f>U3865="L001-901905215"</f>
        <v/>
      </c>
      <c r="R3865" s="556">
        <f>G3865-W3865</f>
        <v/>
      </c>
      <c r="S3865" s="523" t="n">
        <v>44516</v>
      </c>
      <c r="T3865" s="522" t="inlineStr">
        <is>
          <t>2021-05388</t>
        </is>
      </c>
      <c r="U3865" s="522" t="inlineStr">
        <is>
          <t>L001-901905215</t>
        </is>
      </c>
      <c r="V3865" s="522" t="inlineStr">
        <is>
          <t>វីអ៊ីស៊ិន (ខេមបូឌា) អ៊ិនដាសស្ទ្រី ឯ.ក</t>
        </is>
      </c>
      <c r="W3865" s="556" t="n">
        <v>200536</v>
      </c>
    </row>
    <row r="3866">
      <c r="A3866" s="521" t="n">
        <v>3858</v>
      </c>
      <c r="B3866" s="522" t="inlineStr">
        <is>
          <t>General pest control service for Nov 202</t>
        </is>
      </c>
      <c r="C3866" s="522" t="inlineStr">
        <is>
          <t>ភីស៊ីអាយ សឺវីស</t>
        </is>
      </c>
      <c r="D3866" s="522" t="inlineStr">
        <is>
          <t>K010-901639639</t>
        </is>
      </c>
      <c r="E3866" s="521" t="inlineStr">
        <is>
          <t>2021-0190</t>
        </is>
      </c>
      <c r="F3866" s="523" t="n">
        <v>44530</v>
      </c>
      <c r="G3866" s="556" t="n">
        <v>80960</v>
      </c>
      <c r="I3866" s="521">
        <f>G3866</f>
        <v/>
      </c>
      <c r="K3866" s="521">
        <f>I3866-G3866</f>
        <v/>
      </c>
      <c r="M3866" s="522" t="inlineStr">
        <is>
          <t>20210190</t>
        </is>
      </c>
      <c r="N3866" s="522" t="inlineStr"/>
      <c r="O3866" s="521">
        <f>M3866=N3866</f>
        <v/>
      </c>
      <c r="P3866" s="521">
        <f>AND(MONTH(F3866)=MONTH(S3866), YEAR(F3866)=YEAR(S3866))</f>
        <v/>
      </c>
      <c r="Q3866" s="521">
        <f>U3866="L001-901905215"</f>
        <v/>
      </c>
      <c r="R3866" s="556">
        <f>G3866-W3866</f>
        <v/>
      </c>
      <c r="S3866" s="521" t="n"/>
      <c r="T3866" s="522" t="n"/>
      <c r="U3866" s="522" t="n"/>
      <c r="V3866" s="522" t="n"/>
      <c r="W3866" s="521" t="n"/>
    </row>
    <row r="3867">
      <c r="A3867" s="521" t="n">
        <v>3859</v>
      </c>
      <c r="B3867" s="522" t="inlineStr">
        <is>
          <t>Security guard for Nov 2021</t>
        </is>
      </c>
      <c r="C3867" s="522" t="inlineStr">
        <is>
          <t>សហ័ស សិឃ្យូរិធី ឯ.ក</t>
        </is>
      </c>
      <c r="D3867" s="522" t="inlineStr">
        <is>
          <t>K010-107032600</t>
        </is>
      </c>
      <c r="E3867" s="521" t="inlineStr">
        <is>
          <t>SHTI210529</t>
        </is>
      </c>
      <c r="F3867" s="523" t="n">
        <v>44524</v>
      </c>
      <c r="G3867" s="556" t="n">
        <v>227808</v>
      </c>
      <c r="I3867" s="521">
        <f>G3867</f>
        <v/>
      </c>
      <c r="K3867" s="521">
        <f>I3867-G3867</f>
        <v/>
      </c>
      <c r="M3867" s="522" t="inlineStr">
        <is>
          <t>SHTI210529</t>
        </is>
      </c>
      <c r="N3867" s="522" t="inlineStr">
        <is>
          <t>SHTI210529</t>
        </is>
      </c>
      <c r="O3867" s="521">
        <f>M3867=N3867</f>
        <v/>
      </c>
      <c r="P3867" s="521">
        <f>AND(MONTH(F3867)=MONTH(S3867), YEAR(F3867)=YEAR(S3867))</f>
        <v/>
      </c>
      <c r="Q3867" s="521">
        <f>U3867="L001-901905215"</f>
        <v/>
      </c>
      <c r="R3867" s="556">
        <f>G3867-W3867</f>
        <v/>
      </c>
      <c r="S3867" s="523" t="n">
        <v>44524</v>
      </c>
      <c r="T3867" s="522" t="inlineStr">
        <is>
          <t>SHTI210529</t>
        </is>
      </c>
      <c r="U3867" s="522" t="inlineStr">
        <is>
          <t>L001-901905215</t>
        </is>
      </c>
      <c r="V3867" s="522" t="inlineStr">
        <is>
          <t>វីអ៊ីស៊ិន (ខេមបូឌា) អ៊ិនដាសស្ទ្រី ឯ.ក</t>
        </is>
      </c>
      <c r="W3867" s="556" t="n">
        <v>227808</v>
      </c>
    </row>
    <row r="3868">
      <c r="A3868" s="521" t="n">
        <v>3860</v>
      </c>
      <c r="B3868" s="522" t="inlineStr">
        <is>
          <t>Infrastructure maintenance fee for Oct 2021</t>
        </is>
      </c>
      <c r="C3868" s="522" t="inlineStr">
        <is>
          <t>ភ្នំពេញ អេសអ៊ីហ្សិត ភីអិលស៊ី</t>
        </is>
      </c>
      <c r="D3868" s="522" t="inlineStr">
        <is>
          <t>L001-100046592</t>
        </is>
      </c>
      <c r="E3868" s="521" t="inlineStr">
        <is>
          <t>2021-04861</t>
        </is>
      </c>
      <c r="F3868" s="523" t="n">
        <v>44501</v>
      </c>
      <c r="G3868" s="556" t="n">
        <v>164908</v>
      </c>
      <c r="I3868" s="521">
        <f>G3868</f>
        <v/>
      </c>
      <c r="K3868" s="521">
        <f>I3868-G3868</f>
        <v/>
      </c>
      <c r="M3868" s="522" t="inlineStr">
        <is>
          <t>202104861</t>
        </is>
      </c>
      <c r="N3868" s="522" t="inlineStr"/>
      <c r="O3868" s="521">
        <f>M3868=N3868</f>
        <v/>
      </c>
      <c r="P3868" s="521">
        <f>AND(MONTH(F3868)=MONTH(S3868), YEAR(F3868)=YEAR(S3868))</f>
        <v/>
      </c>
      <c r="Q3868" s="521">
        <f>U3868="L001-901905215"</f>
        <v/>
      </c>
      <c r="R3868" s="556">
        <f>G3868-W3868</f>
        <v/>
      </c>
      <c r="S3868" s="521" t="n"/>
      <c r="T3868" s="522" t="n"/>
      <c r="U3868" s="522" t="n"/>
      <c r="V3868" s="522" t="n"/>
      <c r="W3868" s="521" t="n"/>
    </row>
    <row r="3869">
      <c r="A3869" s="521" t="n">
        <v>3861</v>
      </c>
      <c r="B3869" s="522" t="inlineStr">
        <is>
          <t>Infrastructure maintenance fee for Oct 2021</t>
        </is>
      </c>
      <c r="C3869" s="522" t="inlineStr">
        <is>
          <t>ភ្នំពេញ អេសអ៊ីហ្សិត ភីអិលស៊ី</t>
        </is>
      </c>
      <c r="D3869" s="522" t="inlineStr">
        <is>
          <t>L001-100046592</t>
        </is>
      </c>
      <c r="E3869" s="521" t="inlineStr">
        <is>
          <t>2021-04852</t>
        </is>
      </c>
      <c r="F3869" s="523" t="n">
        <v>44501</v>
      </c>
      <c r="G3869" s="556" t="n">
        <v>200784</v>
      </c>
      <c r="I3869" s="521">
        <f>G3869</f>
        <v/>
      </c>
      <c r="K3869" s="521">
        <f>I3869-G3869</f>
        <v/>
      </c>
      <c r="M3869" s="522" t="inlineStr">
        <is>
          <t>202104852</t>
        </is>
      </c>
      <c r="N3869" s="522" t="inlineStr"/>
      <c r="O3869" s="521">
        <f>M3869=N3869</f>
        <v/>
      </c>
      <c r="P3869" s="521">
        <f>AND(MONTH(F3869)=MONTH(S3869), YEAR(F3869)=YEAR(S3869))</f>
        <v/>
      </c>
      <c r="Q3869" s="521">
        <f>U3869="L001-901905215"</f>
        <v/>
      </c>
      <c r="R3869" s="556">
        <f>G3869-W3869</f>
        <v/>
      </c>
      <c r="S3869" s="521" t="n"/>
      <c r="T3869" s="522" t="n"/>
      <c r="U3869" s="522" t="n"/>
      <c r="V3869" s="522" t="n"/>
      <c r="W3869" s="521" t="n"/>
    </row>
    <row r="3870">
      <c r="A3870" s="521" t="n">
        <v>3862</v>
      </c>
      <c r="B3870" s="522" t="inlineStr">
        <is>
          <t>Security guard for Oct 2021</t>
        </is>
      </c>
      <c r="C3870" s="522" t="inlineStr">
        <is>
          <t>សហ័ស សិឃ្យូរិធី ឯ.ក</t>
        </is>
      </c>
      <c r="D3870" s="522" t="inlineStr">
        <is>
          <t>K010-107032600</t>
        </is>
      </c>
      <c r="E3870" s="521" t="inlineStr">
        <is>
          <t>SHTI210474</t>
        </is>
      </c>
      <c r="F3870" s="523" t="n">
        <v>44501</v>
      </c>
      <c r="G3870" s="556" t="n">
        <v>228088</v>
      </c>
      <c r="I3870" s="521">
        <f>G3870</f>
        <v/>
      </c>
      <c r="K3870" s="521">
        <f>I3870-G3870</f>
        <v/>
      </c>
      <c r="M3870" s="522" t="inlineStr">
        <is>
          <t>SHTI210474</t>
        </is>
      </c>
      <c r="N3870" s="522" t="inlineStr"/>
      <c r="O3870" s="521">
        <f>M3870=N3870</f>
        <v/>
      </c>
      <c r="P3870" s="521">
        <f>AND(MONTH(F3870)=MONTH(S3870), YEAR(F3870)=YEAR(S3870))</f>
        <v/>
      </c>
      <c r="Q3870" s="521">
        <f>U3870="L001-901905215"</f>
        <v/>
      </c>
      <c r="R3870" s="556">
        <f>G3870-W3870</f>
        <v/>
      </c>
      <c r="S3870" s="521" t="n"/>
      <c r="T3870" s="522" t="n"/>
      <c r="U3870" s="522" t="n"/>
      <c r="V3870" s="522" t="n"/>
      <c r="W3870" s="521" t="n"/>
    </row>
    <row r="3871">
      <c r="A3871" s="521" t="n">
        <v>3863</v>
      </c>
      <c r="B3871" s="522" t="inlineStr">
        <is>
          <t>Monthly security service for oct 2021</t>
        </is>
      </c>
      <c r="C3871" s="522" t="inlineStr">
        <is>
          <t>ភី.អិល (ខេមបូឌា) ស៊ីឃ្យួរឹធី</t>
        </is>
      </c>
      <c r="D3871" s="522" t="inlineStr">
        <is>
          <t>K010-901502809</t>
        </is>
      </c>
      <c r="E3871" s="521" t="inlineStr">
        <is>
          <t>PL000821</t>
        </is>
      </c>
      <c r="F3871" s="523" t="n">
        <v>44501</v>
      </c>
      <c r="G3871" s="556" t="n">
        <v>203300</v>
      </c>
      <c r="I3871" s="521">
        <f>G3871</f>
        <v/>
      </c>
      <c r="K3871" s="521">
        <f>I3871-G3871</f>
        <v/>
      </c>
      <c r="M3871" s="522" t="inlineStr">
        <is>
          <t>PL000821</t>
        </is>
      </c>
      <c r="N3871" s="522" t="inlineStr"/>
      <c r="O3871" s="521">
        <f>M3871=N3871</f>
        <v/>
      </c>
      <c r="P3871" s="521">
        <f>AND(MONTH(F3871)=MONTH(S3871), YEAR(F3871)=YEAR(S3871))</f>
        <v/>
      </c>
      <c r="Q3871" s="521">
        <f>U3871="L001-901905215"</f>
        <v/>
      </c>
      <c r="R3871" s="556">
        <f>G3871-W3871</f>
        <v/>
      </c>
      <c r="S3871" s="521" t="n"/>
      <c r="T3871" s="522" t="n"/>
      <c r="U3871" s="522" t="n"/>
      <c r="V3871" s="522" t="n"/>
      <c r="W3871" s="521" t="n"/>
    </row>
    <row r="3872">
      <c r="A3872" s="521" t="n">
        <v>3864</v>
      </c>
      <c r="B3872" s="522" t="inlineStr">
        <is>
          <t>Waste collection service for Nov-2021</t>
        </is>
      </c>
      <c r="C3872" s="522" t="inlineStr">
        <is>
          <t>ហ្គោមី រីសាយឃល110</t>
        </is>
      </c>
      <c r="D3872" s="522" t="inlineStr">
        <is>
          <t>K010-901503890</t>
        </is>
      </c>
      <c r="E3872" s="521" t="inlineStr">
        <is>
          <t>GR-TIN21/11-014</t>
        </is>
      </c>
      <c r="F3872" s="523" t="n">
        <v>44526</v>
      </c>
      <c r="G3872" s="556" t="n">
        <v>16276</v>
      </c>
      <c r="I3872" s="521">
        <f>G3872</f>
        <v/>
      </c>
      <c r="K3872" s="521">
        <f>I3872-G3872</f>
        <v/>
      </c>
      <c r="M3872" s="522" t="inlineStr">
        <is>
          <t>GRTIN2111014</t>
        </is>
      </c>
      <c r="N3872" s="522" t="inlineStr">
        <is>
          <t>GRTIN2111014</t>
        </is>
      </c>
      <c r="O3872" s="521">
        <f>M3872=N3872</f>
        <v/>
      </c>
      <c r="P3872" s="521">
        <f>AND(MONTH(F3872)=MONTH(S3872), YEAR(F3872)=YEAR(S3872))</f>
        <v/>
      </c>
      <c r="Q3872" s="521">
        <f>U3872="L001-901905215"</f>
        <v/>
      </c>
      <c r="R3872" s="556">
        <f>G3872-W3872</f>
        <v/>
      </c>
      <c r="S3872" s="523" t="n">
        <v>44526</v>
      </c>
      <c r="T3872" s="522" t="inlineStr">
        <is>
          <t>GR-TIN21/11-014</t>
        </is>
      </c>
      <c r="U3872" s="522" t="inlineStr">
        <is>
          <t>L001-901905215</t>
        </is>
      </c>
      <c r="V3872" s="522" t="inlineStr">
        <is>
          <t>វីអ៊ីស៊ិន (ខេមបូឌា) អ៊ិនដាសស្ទ្រី ឯ.ក</t>
        </is>
      </c>
      <c r="W3872" s="556" t="n">
        <v>16276</v>
      </c>
    </row>
    <row r="3873">
      <c r="A3873" s="521" t="n">
        <v>3865</v>
      </c>
      <c r="B3873" s="522" t="inlineStr">
        <is>
          <t>Tax Aduit assisted service</t>
        </is>
      </c>
      <c r="C3873" s="522" t="inlineStr">
        <is>
          <t>យីងកឺ ខេម ថេក អ៊ែតវ៉ាយហ្សឺរី ឯ.ក</t>
        </is>
      </c>
      <c r="D3873" s="522" t="inlineStr">
        <is>
          <t>K003-902005313</t>
        </is>
      </c>
      <c r="E3873" s="521" t="inlineStr">
        <is>
          <t>YKT21-173</t>
        </is>
      </c>
      <c r="F3873" s="523" t="n">
        <v>44504</v>
      </c>
      <c r="G3873" s="556" t="n">
        <v>610500</v>
      </c>
      <c r="I3873" s="521">
        <f>G3873</f>
        <v/>
      </c>
      <c r="K3873" s="521">
        <f>I3873-G3873</f>
        <v/>
      </c>
      <c r="M3873" s="522" t="inlineStr">
        <is>
          <t>YKT21173</t>
        </is>
      </c>
      <c r="N3873" s="522" t="inlineStr">
        <is>
          <t>YKT21173</t>
        </is>
      </c>
      <c r="O3873" s="521">
        <f>M3873=N3873</f>
        <v/>
      </c>
      <c r="P3873" s="521">
        <f>AND(MONTH(F3873)=MONTH(S3873), YEAR(F3873)=YEAR(S3873))</f>
        <v/>
      </c>
      <c r="Q3873" s="521">
        <f>U3873="L001-901905215"</f>
        <v/>
      </c>
      <c r="R3873" s="556">
        <f>G3873-W3873</f>
        <v/>
      </c>
      <c r="S3873" s="523" t="n">
        <v>44504</v>
      </c>
      <c r="T3873" s="522" t="inlineStr">
        <is>
          <t>YKT21-173</t>
        </is>
      </c>
      <c r="U3873" s="522" t="inlineStr">
        <is>
          <t>L001-901905215</t>
        </is>
      </c>
      <c r="V3873" s="522" t="inlineStr">
        <is>
          <t>វីអ៊ីស៊ិន (ខេមបូឌា) អ៊ិនដាសស្ទ្រី ឯ.ក</t>
        </is>
      </c>
      <c r="W3873" s="556" t="n">
        <v>610500</v>
      </c>
    </row>
    <row r="3874">
      <c r="A3874" s="521" t="n">
        <v>3866</v>
      </c>
      <c r="B3874" s="522" t="inlineStr">
        <is>
          <t>Express fee</t>
        </is>
      </c>
      <c r="C3874" s="522" t="inlineStr">
        <is>
          <t>ឌី អេច អិល អិចប្រេស (ខេមបូឌា)</t>
        </is>
      </c>
      <c r="D3874" s="522" t="inlineStr">
        <is>
          <t>L001-100045197</t>
        </is>
      </c>
      <c r="E3874" s="521" t="inlineStr">
        <is>
          <t>PNHIR00123703</t>
        </is>
      </c>
      <c r="F3874" s="523" t="n">
        <v>44522</v>
      </c>
      <c r="G3874" s="556" t="n">
        <v>1903</v>
      </c>
      <c r="I3874" s="521">
        <f>G3874</f>
        <v/>
      </c>
      <c r="K3874" s="521">
        <f>I3874-G3874</f>
        <v/>
      </c>
      <c r="M3874" s="522" t="inlineStr">
        <is>
          <t>PNHIR00123703</t>
        </is>
      </c>
      <c r="N3874" s="522" t="inlineStr"/>
      <c r="O3874" s="521">
        <f>M3874=N3874</f>
        <v/>
      </c>
      <c r="P3874" s="521">
        <f>AND(MONTH(F3874)=MONTH(S3874), YEAR(F3874)=YEAR(S3874))</f>
        <v/>
      </c>
      <c r="Q3874" s="521">
        <f>U3874="L001-901905215"</f>
        <v/>
      </c>
      <c r="R3874" s="556">
        <f>G3874-W3874</f>
        <v/>
      </c>
      <c r="S3874" s="521" t="n"/>
      <c r="T3874" s="522" t="n"/>
      <c r="U3874" s="522" t="n"/>
      <c r="V3874" s="522" t="n"/>
      <c r="W3874" s="521" t="n"/>
    </row>
    <row r="3875">
      <c r="A3875" s="521" t="n">
        <v>3867</v>
      </c>
      <c r="B3875" s="522" t="inlineStr">
        <is>
          <t>Express fee</t>
        </is>
      </c>
      <c r="C3875" s="522" t="inlineStr">
        <is>
          <t>ឌី អេច អិល អិចប្រេស (ខេមបូឌា)</t>
        </is>
      </c>
      <c r="D3875" s="522" t="inlineStr">
        <is>
          <t>L001-100045197</t>
        </is>
      </c>
      <c r="E3875" s="521" t="inlineStr">
        <is>
          <t>PNHR000399392</t>
        </is>
      </c>
      <c r="F3875" s="523" t="n">
        <v>44501</v>
      </c>
      <c r="G3875" s="556" t="n">
        <v>46291</v>
      </c>
      <c r="I3875" s="521">
        <f>G3875</f>
        <v/>
      </c>
      <c r="K3875" s="521">
        <f>I3875-G3875</f>
        <v/>
      </c>
      <c r="M3875" s="522" t="inlineStr">
        <is>
          <t>PNHR000399392</t>
        </is>
      </c>
      <c r="N3875" s="522" t="inlineStr"/>
      <c r="O3875" s="521">
        <f>M3875=N3875</f>
        <v/>
      </c>
      <c r="P3875" s="521">
        <f>AND(MONTH(F3875)=MONTH(S3875), YEAR(F3875)=YEAR(S3875))</f>
        <v/>
      </c>
      <c r="Q3875" s="521">
        <f>U3875="L001-901905215"</f>
        <v/>
      </c>
      <c r="R3875" s="556">
        <f>G3875-W3875</f>
        <v/>
      </c>
      <c r="S3875" s="521" t="n"/>
      <c r="T3875" s="522" t="n"/>
      <c r="U3875" s="522" t="n"/>
      <c r="V3875" s="522" t="n"/>
      <c r="W3875" s="521" t="n"/>
    </row>
    <row r="3876">
      <c r="A3876" s="521" t="n">
        <v>3868</v>
      </c>
      <c r="B3876" s="522" t="inlineStr">
        <is>
          <t>Express fee</t>
        </is>
      </c>
      <c r="C3876" s="522" t="inlineStr">
        <is>
          <t>ឌី អេច អិល អិចប្រេស (ខេមបូឌា)</t>
        </is>
      </c>
      <c r="D3876" s="522" t="inlineStr">
        <is>
          <t>L001-100045197</t>
        </is>
      </c>
      <c r="E3876" s="521" t="inlineStr">
        <is>
          <t>PNHIR00121572</t>
        </is>
      </c>
      <c r="F3876" s="523" t="n">
        <v>44501</v>
      </c>
      <c r="G3876" s="556" t="n">
        <v>3168</v>
      </c>
      <c r="I3876" s="521">
        <f>G3876</f>
        <v/>
      </c>
      <c r="K3876" s="521">
        <f>I3876-G3876</f>
        <v/>
      </c>
      <c r="M3876" s="522" t="inlineStr">
        <is>
          <t>PNHIR00121572</t>
        </is>
      </c>
      <c r="N3876" s="522" t="inlineStr"/>
      <c r="O3876" s="521">
        <f>M3876=N3876</f>
        <v/>
      </c>
      <c r="P3876" s="521">
        <f>AND(MONTH(F3876)=MONTH(S3876), YEAR(F3876)=YEAR(S3876))</f>
        <v/>
      </c>
      <c r="Q3876" s="521">
        <f>U3876="L001-901905215"</f>
        <v/>
      </c>
      <c r="R3876" s="556">
        <f>G3876-W3876</f>
        <v/>
      </c>
      <c r="S3876" s="521" t="n"/>
      <c r="T3876" s="522" t="n"/>
      <c r="U3876" s="522" t="n"/>
      <c r="V3876" s="522" t="n"/>
      <c r="W3876" s="521" t="n"/>
    </row>
    <row r="3877">
      <c r="A3877" s="521" t="n">
        <v>3869</v>
      </c>
      <c r="B3877" s="522" t="inlineStr">
        <is>
          <t>Rental copy machine</t>
        </is>
      </c>
      <c r="C3877" s="522" t="inlineStr">
        <is>
          <t xml:space="preserve">អិនធីអិល តិចណូឡូជី </t>
        </is>
      </c>
      <c r="D3877" s="522" t="inlineStr">
        <is>
          <t>K005-901900283</t>
        </is>
      </c>
      <c r="E3877" s="521" t="inlineStr">
        <is>
          <t>21-003104</t>
        </is>
      </c>
      <c r="F3877" s="523" t="n">
        <v>44527</v>
      </c>
      <c r="G3877" s="556" t="n">
        <v>38622</v>
      </c>
      <c r="I3877" s="521">
        <f>G3877</f>
        <v/>
      </c>
      <c r="K3877" s="521">
        <f>I3877-G3877</f>
        <v/>
      </c>
      <c r="M3877" s="522" t="inlineStr">
        <is>
          <t>21003104</t>
        </is>
      </c>
      <c r="N3877" s="522" t="inlineStr">
        <is>
          <t>21003104</t>
        </is>
      </c>
      <c r="O3877" s="521">
        <f>M3877=N3877</f>
        <v/>
      </c>
      <c r="P3877" s="521">
        <f>AND(MONTH(F3877)=MONTH(S3877), YEAR(F3877)=YEAR(S3877))</f>
        <v/>
      </c>
      <c r="Q3877" s="521">
        <f>U3877="L001-901905215"</f>
        <v/>
      </c>
      <c r="R3877" s="556">
        <f>G3877-W3877</f>
        <v/>
      </c>
      <c r="S3877" s="523" t="n">
        <v>44527</v>
      </c>
      <c r="T3877" s="522" t="inlineStr">
        <is>
          <t>21-003104</t>
        </is>
      </c>
      <c r="U3877" s="522" t="inlineStr">
        <is>
          <t>L001-901905215</t>
        </is>
      </c>
      <c r="V3877" s="522" t="inlineStr">
        <is>
          <t>វីអ៊ីស៊ិន (ខេមបូឌា) អ៊ិនដាសស្ទ្រី ឯ.ក</t>
        </is>
      </c>
      <c r="W3877" s="556" t="n">
        <v>38622</v>
      </c>
    </row>
    <row r="3878">
      <c r="A3878" s="521" t="n">
        <v>3870</v>
      </c>
      <c r="B3878" s="522" t="inlineStr">
        <is>
          <t>Express fee</t>
        </is>
      </c>
      <c r="C3878" s="522" t="inlineStr">
        <is>
          <t>សូស៊ីយេតេ កុងសេស្យូនែរ ដឺ ឡាអេរ៉ូព័រ</t>
        </is>
      </c>
      <c r="D3878" s="522" t="inlineStr">
        <is>
          <t>L001-100047300</t>
        </is>
      </c>
      <c r="E3878" s="521" t="inlineStr">
        <is>
          <t>2100-068760</t>
        </is>
      </c>
      <c r="F3878" s="523" t="n">
        <v>44516</v>
      </c>
      <c r="G3878" s="556" t="n">
        <v>4231</v>
      </c>
      <c r="I3878" s="521">
        <f>G3878</f>
        <v/>
      </c>
      <c r="K3878" s="521">
        <f>I3878-G3878</f>
        <v/>
      </c>
      <c r="M3878" s="522" t="inlineStr">
        <is>
          <t>2100068760</t>
        </is>
      </c>
      <c r="N3878" s="522" t="inlineStr"/>
      <c r="O3878" s="521">
        <f>M3878=N3878</f>
        <v/>
      </c>
      <c r="P3878" s="521">
        <f>AND(MONTH(F3878)=MONTH(S3878), YEAR(F3878)=YEAR(S3878))</f>
        <v/>
      </c>
      <c r="Q3878" s="521">
        <f>U3878="L001-901905215"</f>
        <v/>
      </c>
      <c r="R3878" s="556">
        <f>G3878-W3878</f>
        <v/>
      </c>
      <c r="S3878" s="521" t="n"/>
      <c r="T3878" s="522" t="n"/>
      <c r="U3878" s="522" t="n"/>
      <c r="V3878" s="522" t="n"/>
      <c r="W3878" s="521" t="n"/>
    </row>
    <row r="3879">
      <c r="A3879" s="521" t="n">
        <v>3871</v>
      </c>
      <c r="B3879" s="522" t="inlineStr">
        <is>
          <t>Lift-On &amp; Lift-Off</t>
        </is>
      </c>
      <c r="C3879" s="522" t="inlineStr">
        <is>
          <t>កំពង់ផែស្វយ័តក្រុងព្រះសីហនុ</t>
        </is>
      </c>
      <c r="D3879" s="522" t="inlineStr">
        <is>
          <t>L001-100044638</t>
        </is>
      </c>
      <c r="E3879" s="521" t="inlineStr">
        <is>
          <t>191525</t>
        </is>
      </c>
      <c r="F3879" s="523" t="n">
        <v>44522</v>
      </c>
      <c r="G3879" s="556" t="n">
        <v>70766</v>
      </c>
      <c r="I3879" s="521">
        <f>G3879</f>
        <v/>
      </c>
      <c r="K3879" s="521">
        <f>I3879-G3879</f>
        <v/>
      </c>
      <c r="M3879" s="522" t="inlineStr">
        <is>
          <t>191525</t>
        </is>
      </c>
      <c r="N3879" s="522" t="inlineStr"/>
      <c r="O3879" s="521">
        <f>M3879=N3879</f>
        <v/>
      </c>
      <c r="P3879" s="521">
        <f>AND(MONTH(F3879)=MONTH(S3879), YEAR(F3879)=YEAR(S3879))</f>
        <v/>
      </c>
      <c r="Q3879" s="521">
        <f>U3879="L001-901905215"</f>
        <v/>
      </c>
      <c r="R3879" s="556">
        <f>G3879-W3879</f>
        <v/>
      </c>
      <c r="S3879" s="521" t="n"/>
      <c r="T3879" s="522" t="n"/>
      <c r="U3879" s="522" t="n"/>
      <c r="V3879" s="522" t="n"/>
      <c r="W3879" s="521" t="n"/>
    </row>
    <row r="3880">
      <c r="A3880" s="521" t="n">
        <v>3872</v>
      </c>
      <c r="B3880" s="522" t="inlineStr">
        <is>
          <t>Express fee</t>
        </is>
      </c>
      <c r="C3880" s="522" t="inlineStr">
        <is>
          <t>សូស៊ីយេតេ កុងសេស្យូនែរ ដឺ ឡាអេរ៉ូព័រ</t>
        </is>
      </c>
      <c r="D3880" s="522" t="inlineStr">
        <is>
          <t>L001-100047300</t>
        </is>
      </c>
      <c r="E3880" s="521" t="inlineStr">
        <is>
          <t>2100-065948</t>
        </is>
      </c>
      <c r="F3880" s="523" t="n">
        <v>44505</v>
      </c>
      <c r="G3880" s="556" t="n">
        <v>3420</v>
      </c>
      <c r="I3880" s="521">
        <f>G3880</f>
        <v/>
      </c>
      <c r="K3880" s="521">
        <f>I3880-G3880</f>
        <v/>
      </c>
      <c r="M3880" s="522" t="inlineStr">
        <is>
          <t>2100065948</t>
        </is>
      </c>
      <c r="N3880" s="522" t="inlineStr"/>
      <c r="O3880" s="521">
        <f>M3880=N3880</f>
        <v/>
      </c>
      <c r="P3880" s="521">
        <f>AND(MONTH(F3880)=MONTH(S3880), YEAR(F3880)=YEAR(S3880))</f>
        <v/>
      </c>
      <c r="Q3880" s="521">
        <f>U3880="L001-901905215"</f>
        <v/>
      </c>
      <c r="R3880" s="556">
        <f>G3880-W3880</f>
        <v/>
      </c>
      <c r="S3880" s="521" t="n"/>
      <c r="T3880" s="522" t="n"/>
      <c r="U3880" s="522" t="n"/>
      <c r="V3880" s="522" t="n"/>
      <c r="W3880" s="521" t="n"/>
    </row>
    <row r="3881">
      <c r="A3881" s="521" t="n">
        <v>3873</v>
      </c>
      <c r="B3881" s="522" t="inlineStr">
        <is>
          <t>Lift-On &amp; Lift-Off</t>
        </is>
      </c>
      <c r="C3881" s="522" t="inlineStr">
        <is>
          <t>កំពង់ផែស្វយ័តក្រុងព្រះសីហនុ</t>
        </is>
      </c>
      <c r="D3881" s="522" t="inlineStr">
        <is>
          <t>L001-100044638</t>
        </is>
      </c>
      <c r="E3881" s="521" t="inlineStr">
        <is>
          <t>188196</t>
        </is>
      </c>
      <c r="F3881" s="523" t="n">
        <v>44515</v>
      </c>
      <c r="G3881" s="556" t="n">
        <v>35392</v>
      </c>
      <c r="I3881" s="521">
        <f>G3881</f>
        <v/>
      </c>
      <c r="K3881" s="521">
        <f>I3881-G3881</f>
        <v/>
      </c>
      <c r="M3881" s="522" t="inlineStr">
        <is>
          <t>188196</t>
        </is>
      </c>
      <c r="N3881" s="522" t="inlineStr"/>
      <c r="O3881" s="521">
        <f>M3881=N3881</f>
        <v/>
      </c>
      <c r="P3881" s="521">
        <f>AND(MONTH(F3881)=MONTH(S3881), YEAR(F3881)=YEAR(S3881))</f>
        <v/>
      </c>
      <c r="Q3881" s="521">
        <f>U3881="L001-901905215"</f>
        <v/>
      </c>
      <c r="R3881" s="556">
        <f>G3881-W3881</f>
        <v/>
      </c>
      <c r="S3881" s="521" t="n"/>
      <c r="T3881" s="522" t="n"/>
      <c r="U3881" s="522" t="n"/>
      <c r="V3881" s="522" t="n"/>
      <c r="W3881" s="521" t="n"/>
    </row>
    <row r="3882">
      <c r="A3882" s="521" t="n">
        <v>3874</v>
      </c>
      <c r="B3882" s="522" t="inlineStr">
        <is>
          <t>Lift-On &amp; Lift-Off</t>
        </is>
      </c>
      <c r="C3882" s="522" t="inlineStr">
        <is>
          <t>កំពង់ផែស្វយ័តក្រុងព្រះសីហនុ</t>
        </is>
      </c>
      <c r="D3882" s="522" t="inlineStr">
        <is>
          <t>L001-100044638</t>
        </is>
      </c>
      <c r="E3882" s="521" t="inlineStr">
        <is>
          <t>183950</t>
        </is>
      </c>
      <c r="F3882" s="523" t="n">
        <v>44506</v>
      </c>
      <c r="G3882" s="556" t="n">
        <v>106279</v>
      </c>
      <c r="I3882" s="521">
        <f>G3882</f>
        <v/>
      </c>
      <c r="K3882" s="521">
        <f>I3882-G3882</f>
        <v/>
      </c>
      <c r="M3882" s="522" t="inlineStr">
        <is>
          <t>183950</t>
        </is>
      </c>
      <c r="N3882" s="522" t="inlineStr"/>
      <c r="O3882" s="521">
        <f>M3882=N3882</f>
        <v/>
      </c>
      <c r="P3882" s="521">
        <f>AND(MONTH(F3882)=MONTH(S3882), YEAR(F3882)=YEAR(S3882))</f>
        <v/>
      </c>
      <c r="Q3882" s="521">
        <f>U3882="L001-901905215"</f>
        <v/>
      </c>
      <c r="R3882" s="556">
        <f>G3882-W3882</f>
        <v/>
      </c>
      <c r="S3882" s="521" t="n"/>
      <c r="T3882" s="522" t="n"/>
      <c r="U3882" s="522" t="n"/>
      <c r="V3882" s="522" t="n"/>
      <c r="W3882" s="521" t="n"/>
    </row>
    <row r="3883">
      <c r="A3883" s="521" t="n">
        <v>3875</v>
      </c>
      <c r="B3883" s="522" t="inlineStr">
        <is>
          <t>Lift-On &amp; Lift-Off</t>
        </is>
      </c>
      <c r="C3883" s="522" t="inlineStr">
        <is>
          <t>កំពង់ផែស្វយ័តក្រុងព្រះសីហនុ</t>
        </is>
      </c>
      <c r="D3883" s="522" t="inlineStr">
        <is>
          <t>L001-100044638</t>
        </is>
      </c>
      <c r="E3883" s="521" t="inlineStr">
        <is>
          <t>180684</t>
        </is>
      </c>
      <c r="F3883" s="523" t="n">
        <v>44501</v>
      </c>
      <c r="G3883" s="556" t="n">
        <v>141566</v>
      </c>
      <c r="I3883" s="521">
        <f>G3883</f>
        <v/>
      </c>
      <c r="K3883" s="521">
        <f>I3883-G3883</f>
        <v/>
      </c>
      <c r="M3883" s="522" t="inlineStr">
        <is>
          <t>180684</t>
        </is>
      </c>
      <c r="N3883" s="522" t="inlineStr"/>
      <c r="O3883" s="521">
        <f>M3883=N3883</f>
        <v/>
      </c>
      <c r="P3883" s="521">
        <f>AND(MONTH(F3883)=MONTH(S3883), YEAR(F3883)=YEAR(S3883))</f>
        <v/>
      </c>
      <c r="Q3883" s="521">
        <f>U3883="L001-901905215"</f>
        <v/>
      </c>
      <c r="R3883" s="556">
        <f>G3883-W3883</f>
        <v/>
      </c>
      <c r="S3883" s="521" t="n"/>
      <c r="T3883" s="522" t="n"/>
      <c r="U3883" s="522" t="n"/>
      <c r="V3883" s="522" t="n"/>
      <c r="W3883" s="521" t="n"/>
    </row>
    <row r="3884">
      <c r="A3884" s="521" t="n">
        <v>3876</v>
      </c>
      <c r="B3884" s="522" t="inlineStr">
        <is>
          <t>Lift-On &amp; Lift-Off</t>
        </is>
      </c>
      <c r="C3884" s="522" t="inlineStr">
        <is>
          <t>កំពង់ផែស្វយ័តក្រុងព្រះសីហនុ</t>
        </is>
      </c>
      <c r="D3884" s="522" t="inlineStr">
        <is>
          <t>L001-100044638</t>
        </is>
      </c>
      <c r="E3884" s="521" t="inlineStr">
        <is>
          <t>180681</t>
        </is>
      </c>
      <c r="F3884" s="523" t="n">
        <v>44501</v>
      </c>
      <c r="G3884" s="556" t="n">
        <v>70783</v>
      </c>
      <c r="I3884" s="521">
        <f>G3884</f>
        <v/>
      </c>
      <c r="K3884" s="521">
        <f>I3884-G3884</f>
        <v/>
      </c>
      <c r="M3884" s="522" t="inlineStr">
        <is>
          <t>180681</t>
        </is>
      </c>
      <c r="N3884" s="522" t="inlineStr"/>
      <c r="O3884" s="521">
        <f>M3884=N3884</f>
        <v/>
      </c>
      <c r="P3884" s="521">
        <f>AND(MONTH(F3884)=MONTH(S3884), YEAR(F3884)=YEAR(S3884))</f>
        <v/>
      </c>
      <c r="Q3884" s="521">
        <f>U3884="L001-901905215"</f>
        <v/>
      </c>
      <c r="R3884" s="556">
        <f>G3884-W3884</f>
        <v/>
      </c>
      <c r="S3884" s="521" t="n"/>
      <c r="T3884" s="522" t="n"/>
      <c r="U3884" s="522" t="n"/>
      <c r="V3884" s="522" t="n"/>
      <c r="W3884" s="521" t="n"/>
    </row>
    <row r="3885">
      <c r="A3885" s="521" t="n">
        <v>3877</v>
      </c>
      <c r="B3885" s="522" t="inlineStr">
        <is>
          <t>Lift-On &amp; Lift-Off</t>
        </is>
      </c>
      <c r="C3885" s="522" t="inlineStr">
        <is>
          <t>កំពង់ផែស្វយ័តក្រុងព្រះសីហនុ</t>
        </is>
      </c>
      <c r="D3885" s="522" t="inlineStr">
        <is>
          <t>L001-100044638</t>
        </is>
      </c>
      <c r="E3885" s="521" t="inlineStr">
        <is>
          <t>175597</t>
        </is>
      </c>
      <c r="F3885" s="523" t="n">
        <v>44501</v>
      </c>
      <c r="G3885" s="556" t="n">
        <v>35435</v>
      </c>
      <c r="I3885" s="521">
        <f>G3885</f>
        <v/>
      </c>
      <c r="K3885" s="521">
        <f>I3885-G3885</f>
        <v/>
      </c>
      <c r="M3885" s="522" t="inlineStr">
        <is>
          <t>175597</t>
        </is>
      </c>
      <c r="N3885" s="522" t="inlineStr"/>
      <c r="O3885" s="521">
        <f>M3885=N3885</f>
        <v/>
      </c>
      <c r="P3885" s="521">
        <f>AND(MONTH(F3885)=MONTH(S3885), YEAR(F3885)=YEAR(S3885))</f>
        <v/>
      </c>
      <c r="Q3885" s="521">
        <f>U3885="L001-901905215"</f>
        <v/>
      </c>
      <c r="R3885" s="556">
        <f>G3885-W3885</f>
        <v/>
      </c>
      <c r="S3885" s="521" t="n"/>
      <c r="T3885" s="522" t="n"/>
      <c r="U3885" s="522" t="n"/>
      <c r="V3885" s="522" t="n"/>
      <c r="W3885" s="521" t="n"/>
    </row>
    <row r="3886">
      <c r="A3886" s="521" t="n">
        <v>3878</v>
      </c>
      <c r="B3886" s="522" t="inlineStr">
        <is>
          <t>Express fee</t>
        </is>
      </c>
      <c r="C3886" s="522" t="inlineStr">
        <is>
          <t>សូស៊ីយេតេ កុងសេស្យូនែរ ដឺ ឡាអេរ៉ូព័រ</t>
        </is>
      </c>
      <c r="D3886" s="522" t="inlineStr">
        <is>
          <t>L001-100047300</t>
        </is>
      </c>
      <c r="E3886" s="521" t="inlineStr">
        <is>
          <t>2100-065708</t>
        </is>
      </c>
      <c r="F3886" s="523" t="n">
        <v>44505</v>
      </c>
      <c r="G3886" s="556" t="n">
        <v>3907</v>
      </c>
      <c r="I3886" s="521">
        <f>G3886</f>
        <v/>
      </c>
      <c r="K3886" s="521">
        <f>I3886-G3886</f>
        <v/>
      </c>
      <c r="M3886" s="522" t="inlineStr">
        <is>
          <t>2100065708</t>
        </is>
      </c>
      <c r="N3886" s="522" t="inlineStr"/>
      <c r="O3886" s="521">
        <f>M3886=N3886</f>
        <v/>
      </c>
      <c r="P3886" s="521">
        <f>AND(MONTH(F3886)=MONTH(S3886), YEAR(F3886)=YEAR(S3886))</f>
        <v/>
      </c>
      <c r="Q3886" s="521">
        <f>U3886="L001-901905215"</f>
        <v/>
      </c>
      <c r="R3886" s="556">
        <f>G3886-W3886</f>
        <v/>
      </c>
      <c r="S3886" s="521" t="n"/>
      <c r="T3886" s="522" t="n"/>
      <c r="U3886" s="522" t="n"/>
      <c r="V3886" s="522" t="n"/>
      <c r="W3886" s="521" t="n"/>
    </row>
    <row r="3887">
      <c r="A3887" s="521" t="n">
        <v>3879</v>
      </c>
      <c r="B3887" s="522" t="inlineStr">
        <is>
          <t>Express Fee</t>
        </is>
      </c>
      <c r="C3887" s="522" t="inlineStr">
        <is>
          <t>ឌី អេច អិល អិចប្រេស (ខេមបូឌា)</t>
        </is>
      </c>
      <c r="D3887" s="522" t="inlineStr">
        <is>
          <t>L001-100045197</t>
        </is>
      </c>
      <c r="E3887" s="521" t="inlineStr">
        <is>
          <t>PNHR000442103</t>
        </is>
      </c>
      <c r="F3887" s="523" t="n">
        <v>44882</v>
      </c>
      <c r="G3887" s="556" t="n">
        <v>5717</v>
      </c>
      <c r="I3887" s="521">
        <f>G3887</f>
        <v/>
      </c>
      <c r="K3887" s="521">
        <f>I3887-G3887</f>
        <v/>
      </c>
      <c r="M3887" s="522" t="inlineStr">
        <is>
          <t>PNHR000442103</t>
        </is>
      </c>
      <c r="N3887" s="522" t="inlineStr">
        <is>
          <t>PNHR000442103</t>
        </is>
      </c>
      <c r="O3887" s="521">
        <f>M3887=N3887</f>
        <v/>
      </c>
      <c r="P3887" s="521">
        <f>AND(MONTH(F3887)=MONTH(S3887), YEAR(F3887)=YEAR(S3887))</f>
        <v/>
      </c>
      <c r="Q3887" s="521">
        <f>U3887="L001-901905215"</f>
        <v/>
      </c>
      <c r="R3887" s="556">
        <f>G3887-W3887</f>
        <v/>
      </c>
      <c r="S3887" s="523" t="n">
        <v>44882</v>
      </c>
      <c r="T3887" s="522" t="inlineStr">
        <is>
          <t>PNHR000442103.</t>
        </is>
      </c>
      <c r="U3887" s="522" t="inlineStr">
        <is>
          <t>L001-901905215</t>
        </is>
      </c>
      <c r="V3887" s="522" t="inlineStr">
        <is>
          <t>វីអ៊ីស៊ិន (ខេមបូឌា) អ៊ិនដាសស្ទ្រី ឯ.ក</t>
        </is>
      </c>
      <c r="W3887" s="556" t="n">
        <v>0</v>
      </c>
    </row>
    <row r="3888">
      <c r="A3888" s="521" t="n">
        <v>3880</v>
      </c>
      <c r="B3888" s="522" t="inlineStr">
        <is>
          <t>Express Fee</t>
        </is>
      </c>
      <c r="C3888" s="522" t="inlineStr">
        <is>
          <t>ឌី អេច អិល អិចប្រេស (ខេមបូឌា)</t>
        </is>
      </c>
      <c r="D3888" s="522" t="inlineStr">
        <is>
          <t>L001-100045197</t>
        </is>
      </c>
      <c r="E3888" s="521" t="inlineStr">
        <is>
          <t>PNHR000443433</t>
        </is>
      </c>
      <c r="F3888" s="523" t="n">
        <v>44895</v>
      </c>
      <c r="G3888" s="556" t="n">
        <v>77477</v>
      </c>
      <c r="I3888" s="521">
        <f>G3888</f>
        <v/>
      </c>
      <c r="K3888" s="521">
        <f>I3888-G3888</f>
        <v/>
      </c>
      <c r="M3888" s="522" t="inlineStr">
        <is>
          <t>PNHR000443433</t>
        </is>
      </c>
      <c r="N3888" s="522" t="inlineStr">
        <is>
          <t>PNHR000443433</t>
        </is>
      </c>
      <c r="O3888" s="521">
        <f>M3888=N3888</f>
        <v/>
      </c>
      <c r="P3888" s="521">
        <f>AND(MONTH(F3888)=MONTH(S3888), YEAR(F3888)=YEAR(S3888))</f>
        <v/>
      </c>
      <c r="Q3888" s="521">
        <f>U3888="L001-901905215"</f>
        <v/>
      </c>
      <c r="R3888" s="556">
        <f>G3888-W3888</f>
        <v/>
      </c>
      <c r="S3888" s="523" t="n">
        <v>44895</v>
      </c>
      <c r="T3888" s="522" t="inlineStr">
        <is>
          <t>PNHR000443433.</t>
        </is>
      </c>
      <c r="U3888" s="522" t="inlineStr">
        <is>
          <t>L001-901905215</t>
        </is>
      </c>
      <c r="V3888" s="522" t="inlineStr">
        <is>
          <t>វីអ៊ីស៊ិន (ខេមបូឌា) អ៊ិនដាសស្ទ្រី ឯ.ក</t>
        </is>
      </c>
      <c r="W3888" s="556" t="n">
        <v>0</v>
      </c>
    </row>
    <row r="3889">
      <c r="A3889" s="521" t="n">
        <v>3881</v>
      </c>
      <c r="B3889" s="522" t="inlineStr">
        <is>
          <t>Express Fee</t>
        </is>
      </c>
      <c r="C3889" s="522" t="inlineStr">
        <is>
          <t>ឌី អេច អិល អិចប្រេស (ខេមបូឌា)</t>
        </is>
      </c>
      <c r="D3889" s="522" t="inlineStr">
        <is>
          <t>L001-100045197</t>
        </is>
      </c>
      <c r="E3889" s="521" t="inlineStr">
        <is>
          <t>PNHIR000442769</t>
        </is>
      </c>
      <c r="F3889" s="523" t="n">
        <v>44889</v>
      </c>
      <c r="G3889" s="556" t="n">
        <v>22676</v>
      </c>
      <c r="I3889" s="521">
        <f>G3889</f>
        <v/>
      </c>
      <c r="K3889" s="521">
        <f>I3889-G3889</f>
        <v/>
      </c>
      <c r="M3889" s="522" t="inlineStr">
        <is>
          <t>PNHIR000442769</t>
        </is>
      </c>
      <c r="N3889" s="522" t="inlineStr"/>
      <c r="O3889" s="521">
        <f>M3889=N3889</f>
        <v/>
      </c>
      <c r="P3889" s="521">
        <f>AND(MONTH(F3889)=MONTH(S3889), YEAR(F3889)=YEAR(S3889))</f>
        <v/>
      </c>
      <c r="Q3889" s="521">
        <f>U3889="L001-901905215"</f>
        <v/>
      </c>
      <c r="R3889" s="556">
        <f>G3889-W3889</f>
        <v/>
      </c>
      <c r="S3889" s="521" t="n"/>
      <c r="T3889" s="522" t="n"/>
      <c r="U3889" s="522" t="n"/>
      <c r="V3889" s="522" t="n"/>
      <c r="W3889" s="521" t="n"/>
    </row>
    <row r="3890">
      <c r="A3890" s="521" t="n">
        <v>3882</v>
      </c>
      <c r="B3890" s="522" t="inlineStr">
        <is>
          <t>Express Fee</t>
        </is>
      </c>
      <c r="C3890" s="522" t="inlineStr">
        <is>
          <t>ឌី អេច អិល អិចប្រេស (ខេមបូឌា)</t>
        </is>
      </c>
      <c r="D3890" s="522" t="inlineStr">
        <is>
          <t>L001-100045197</t>
        </is>
      </c>
      <c r="E3890" s="521" t="inlineStr">
        <is>
          <t>PNHIR000441310</t>
        </is>
      </c>
      <c r="F3890" s="523" t="n">
        <v>44875</v>
      </c>
      <c r="G3890" s="556" t="n">
        <v>5234</v>
      </c>
      <c r="I3890" s="521">
        <f>G3890</f>
        <v/>
      </c>
      <c r="K3890" s="521">
        <f>I3890-G3890</f>
        <v/>
      </c>
      <c r="M3890" s="522" t="inlineStr">
        <is>
          <t>PNHIR000441310</t>
        </is>
      </c>
      <c r="N3890" s="522" t="inlineStr"/>
      <c r="O3890" s="521">
        <f>M3890=N3890</f>
        <v/>
      </c>
      <c r="P3890" s="521">
        <f>AND(MONTH(F3890)=MONTH(S3890), YEAR(F3890)=YEAR(S3890))</f>
        <v/>
      </c>
      <c r="Q3890" s="521">
        <f>U3890="L001-901905215"</f>
        <v/>
      </c>
      <c r="R3890" s="556">
        <f>G3890-W3890</f>
        <v/>
      </c>
      <c r="S3890" s="521" t="n"/>
      <c r="T3890" s="522" t="n"/>
      <c r="U3890" s="522" t="n"/>
      <c r="V3890" s="522" t="n"/>
      <c r="W3890" s="521" t="n"/>
    </row>
    <row r="3891">
      <c r="A3891" s="521" t="n">
        <v>3883</v>
      </c>
      <c r="B3891" s="522" t="inlineStr">
        <is>
          <t>Express Fee</t>
        </is>
      </c>
      <c r="C3891" s="522" t="inlineStr">
        <is>
          <t>ឌី អេច អិល អិចប្រេស (ខេមបូឌា)</t>
        </is>
      </c>
      <c r="D3891" s="522" t="inlineStr">
        <is>
          <t>L001-100045197</t>
        </is>
      </c>
      <c r="E3891" s="521" t="inlineStr">
        <is>
          <t>PNHIR00150082</t>
        </is>
      </c>
      <c r="F3891" s="523" t="n">
        <v>44895</v>
      </c>
      <c r="G3891" s="556" t="n">
        <v>1649</v>
      </c>
      <c r="I3891" s="521">
        <f>G3891</f>
        <v/>
      </c>
      <c r="K3891" s="521">
        <f>I3891-G3891</f>
        <v/>
      </c>
      <c r="M3891" s="522" t="inlineStr">
        <is>
          <t>PNHIR00150082</t>
        </is>
      </c>
      <c r="N3891" s="522" t="inlineStr">
        <is>
          <t>PNHIR00150082</t>
        </is>
      </c>
      <c r="O3891" s="521">
        <f>M3891=N3891</f>
        <v/>
      </c>
      <c r="P3891" s="521">
        <f>AND(MONTH(F3891)=MONTH(S3891), YEAR(F3891)=YEAR(S3891))</f>
        <v/>
      </c>
      <c r="Q3891" s="521">
        <f>U3891="L001-901905215"</f>
        <v/>
      </c>
      <c r="R3891" s="556">
        <f>G3891-W3891</f>
        <v/>
      </c>
      <c r="S3891" s="523" t="n">
        <v>44895</v>
      </c>
      <c r="T3891" s="522" t="inlineStr">
        <is>
          <t>PNHIR00150082.</t>
        </is>
      </c>
      <c r="U3891" s="522" t="inlineStr">
        <is>
          <t>L001-901905215</t>
        </is>
      </c>
      <c r="V3891" s="522" t="inlineStr">
        <is>
          <t>វីអ៊ីស៊ិន (ខេមបូឌា) អ៊ិនដាសស្ទ្រី ឯ.ក</t>
        </is>
      </c>
      <c r="W3891" s="556" t="n">
        <v>0</v>
      </c>
    </row>
    <row r="3892">
      <c r="A3892" s="521" t="n">
        <v>3884</v>
      </c>
      <c r="B3892" s="522" t="inlineStr">
        <is>
          <t>Cartons</t>
        </is>
      </c>
      <c r="C3892" s="522" t="inlineStr">
        <is>
          <t>យី មីង ភែកឃីជីង ឯ.ក</t>
        </is>
      </c>
      <c r="D3892" s="522" t="inlineStr">
        <is>
          <t>B108-902101335</t>
        </is>
      </c>
      <c r="E3892" s="521" t="inlineStr">
        <is>
          <t>YM-0039</t>
        </is>
      </c>
      <c r="F3892" s="523" t="n">
        <v>44895</v>
      </c>
      <c r="G3892" s="556" t="n">
        <v>2839994</v>
      </c>
      <c r="I3892" s="521">
        <f>G3892</f>
        <v/>
      </c>
      <c r="K3892" s="521">
        <f>I3892-G3892</f>
        <v/>
      </c>
      <c r="M3892" s="522" t="inlineStr">
        <is>
          <t>YM0039</t>
        </is>
      </c>
      <c r="N3892" s="522" t="inlineStr">
        <is>
          <t>YM0039</t>
        </is>
      </c>
      <c r="O3892" s="521">
        <f>M3892=N3892</f>
        <v/>
      </c>
      <c r="P3892" s="521">
        <f>AND(MONTH(F3892)=MONTH(S3892), YEAR(F3892)=YEAR(S3892))</f>
        <v/>
      </c>
      <c r="Q3892" s="521">
        <f>U3892="L001-901905215"</f>
        <v/>
      </c>
      <c r="R3892" s="556">
        <f>G3892-W3892</f>
        <v/>
      </c>
      <c r="S3892" s="523" t="n">
        <v>44895</v>
      </c>
      <c r="T3892" s="522" t="inlineStr">
        <is>
          <t>YM-0039</t>
        </is>
      </c>
      <c r="U3892" s="522" t="inlineStr">
        <is>
          <t>L001-901905215</t>
        </is>
      </c>
      <c r="V3892" s="522" t="inlineStr">
        <is>
          <t>វីអ៊ីស៊ិន (ខេមបូឌា) អ៊ិនដាសស្ទ្រី ឯ.ក</t>
        </is>
      </c>
      <c r="W3892" s="556" t="n">
        <v>2839994</v>
      </c>
    </row>
    <row r="3893">
      <c r="A3893" s="521" t="n">
        <v>3885</v>
      </c>
      <c r="B3893" s="522" t="inlineStr">
        <is>
          <t>Paper Label</t>
        </is>
      </c>
      <c r="C3893" s="522" t="inlineStr">
        <is>
          <t>ស៊ីន ហ្វី យ៉ាង ព្រីនធីង &amp; អិកសេសសឺរី ឯ.ក</t>
        </is>
      </c>
      <c r="D3893" s="522" t="inlineStr">
        <is>
          <t>K010-901906822</t>
        </is>
      </c>
      <c r="E3893" s="521" t="inlineStr">
        <is>
          <t>XFY-YD20220177</t>
        </is>
      </c>
      <c r="F3893" s="523" t="n">
        <v>44895</v>
      </c>
      <c r="G3893" s="556" t="n">
        <v>2177401</v>
      </c>
      <c r="I3893" s="521">
        <f>G3893</f>
        <v/>
      </c>
      <c r="K3893" s="521">
        <f>I3893-G3893</f>
        <v/>
      </c>
      <c r="M3893" s="522" t="inlineStr">
        <is>
          <t>XFYYD20220177</t>
        </is>
      </c>
      <c r="N3893" s="522" t="inlineStr">
        <is>
          <t>XFYYD20220177</t>
        </is>
      </c>
      <c r="O3893" s="521">
        <f>M3893=N3893</f>
        <v/>
      </c>
      <c r="P3893" s="521">
        <f>AND(MONTH(F3893)=MONTH(S3893), YEAR(F3893)=YEAR(S3893))</f>
        <v/>
      </c>
      <c r="Q3893" s="521">
        <f>U3893="L001-901905215"</f>
        <v/>
      </c>
      <c r="R3893" s="556">
        <f>G3893-W3893</f>
        <v/>
      </c>
      <c r="S3893" s="523" t="n">
        <v>44895</v>
      </c>
      <c r="T3893" s="522" t="inlineStr">
        <is>
          <t>XFY-YD20220177</t>
        </is>
      </c>
      <c r="U3893" s="522" t="inlineStr">
        <is>
          <t>L001-901905215</t>
        </is>
      </c>
      <c r="V3893" s="522" t="inlineStr">
        <is>
          <t>វីអ៊ីស៊ិន (ខេមបូឌា) អ៊ិនដាសស្ទ្រី ឯ.ក</t>
        </is>
      </c>
      <c r="W3893" s="556" t="n">
        <v>2177401</v>
      </c>
    </row>
    <row r="3894">
      <c r="A3894" s="521" t="n">
        <v>3886</v>
      </c>
      <c r="B3894" s="522" t="inlineStr">
        <is>
          <t>Colors Box and Paper Card</t>
        </is>
      </c>
      <c r="C3894" s="522" t="inlineStr">
        <is>
          <t>វីង ចេង ភែកឃីជីង ឯ.ក</t>
        </is>
      </c>
      <c r="D3894" s="522" t="inlineStr">
        <is>
          <t>L001-902102915</t>
        </is>
      </c>
      <c r="E3894" s="521" t="inlineStr">
        <is>
          <t>TI0618</t>
        </is>
      </c>
      <c r="F3894" s="523" t="n">
        <v>44895</v>
      </c>
      <c r="G3894" s="556" t="n">
        <v>1975557</v>
      </c>
      <c r="I3894" s="521">
        <f>G3894</f>
        <v/>
      </c>
      <c r="K3894" s="521">
        <f>I3894-G3894</f>
        <v/>
      </c>
      <c r="M3894" s="522" t="inlineStr">
        <is>
          <t>TI0618</t>
        </is>
      </c>
      <c r="N3894" s="522" t="inlineStr">
        <is>
          <t>TI0618</t>
        </is>
      </c>
      <c r="O3894" s="521">
        <f>M3894=N3894</f>
        <v/>
      </c>
      <c r="P3894" s="521">
        <f>AND(MONTH(F3894)=MONTH(S3894), YEAR(F3894)=YEAR(S3894))</f>
        <v/>
      </c>
      <c r="Q3894" s="521">
        <f>U3894="L001-901905215"</f>
        <v/>
      </c>
      <c r="R3894" s="556">
        <f>G3894-W3894</f>
        <v/>
      </c>
      <c r="S3894" s="523" t="n">
        <v>44895</v>
      </c>
      <c r="T3894" s="522" t="inlineStr">
        <is>
          <t>TI0618</t>
        </is>
      </c>
      <c r="U3894" s="522" t="inlineStr">
        <is>
          <t>L001-901905215</t>
        </is>
      </c>
      <c r="V3894" s="522" t="inlineStr">
        <is>
          <t>វីអ៊ីស៊ិន (ខេមបូឌា) អ៊ិនដាសស្ទ្រី ឯ.ក</t>
        </is>
      </c>
      <c r="W3894" s="556" t="n">
        <v>1975558</v>
      </c>
    </row>
    <row r="3895">
      <c r="A3895" s="521" t="n">
        <v>3887</v>
      </c>
      <c r="B3895" s="522" t="inlineStr">
        <is>
          <t>Security Guard</t>
        </is>
      </c>
      <c r="C3895" s="522" t="inlineStr">
        <is>
          <t>អេសអេហ្វអាយ​ ស៊ីឃ្យួរឹធី ហ្វសស៍ អ៊ិនធើណេសិនណល ឯ.ក</t>
        </is>
      </c>
      <c r="D3895" s="522" t="inlineStr">
        <is>
          <t>K010-901908100</t>
        </is>
      </c>
      <c r="E3895" s="521" t="inlineStr">
        <is>
          <t>SFI2022/434</t>
        </is>
      </c>
      <c r="F3895" s="523" t="n">
        <v>44889</v>
      </c>
      <c r="G3895" s="556" t="n">
        <v>231560</v>
      </c>
      <c r="I3895" s="521">
        <f>G3895</f>
        <v/>
      </c>
      <c r="K3895" s="521">
        <f>I3895-G3895</f>
        <v/>
      </c>
      <c r="M3895" s="522" t="inlineStr">
        <is>
          <t>SFI2022434</t>
        </is>
      </c>
      <c r="N3895" s="522" t="inlineStr">
        <is>
          <t>SFI2022434</t>
        </is>
      </c>
      <c r="O3895" s="521">
        <f>M3895=N3895</f>
        <v/>
      </c>
      <c r="P3895" s="521">
        <f>AND(MONTH(F3895)=MONTH(S3895), YEAR(F3895)=YEAR(S3895))</f>
        <v/>
      </c>
      <c r="Q3895" s="521">
        <f>U3895="L001-901905215"</f>
        <v/>
      </c>
      <c r="R3895" s="556">
        <f>G3895-W3895</f>
        <v/>
      </c>
      <c r="S3895" s="523" t="n">
        <v>44889</v>
      </c>
      <c r="T3895" s="522" t="inlineStr">
        <is>
          <t>SFI2022/434</t>
        </is>
      </c>
      <c r="U3895" s="522" t="inlineStr">
        <is>
          <t>L001-901905215</t>
        </is>
      </c>
      <c r="V3895" s="522" t="inlineStr">
        <is>
          <t>វីអ៊ីស៊ិន (ខេមបូឌា) អ៊ិនដាសស្ទ្រី ឯ.ក</t>
        </is>
      </c>
      <c r="W3895" s="556" t="n">
        <v>230832</v>
      </c>
    </row>
    <row r="3896">
      <c r="A3896" s="521" t="n">
        <v>3888</v>
      </c>
      <c r="B3896" s="522" t="inlineStr">
        <is>
          <t>PELLET EPE</t>
        </is>
      </c>
      <c r="C3896" s="522" t="inlineStr">
        <is>
          <t>យ័ន សីន តាយ ឯ.ក</t>
        </is>
      </c>
      <c r="D3896" s="522" t="inlineStr">
        <is>
          <t>L001-902104347</t>
        </is>
      </c>
      <c r="E3896" s="521" t="inlineStr">
        <is>
          <t>000240</t>
        </is>
      </c>
      <c r="F3896" s="523" t="n">
        <v>44889</v>
      </c>
      <c r="G3896" s="556" t="n">
        <v>206749</v>
      </c>
      <c r="I3896" s="521">
        <f>G3896</f>
        <v/>
      </c>
      <c r="K3896" s="521">
        <f>I3896-G3896</f>
        <v/>
      </c>
      <c r="M3896" s="522" t="inlineStr">
        <is>
          <t>000240</t>
        </is>
      </c>
      <c r="N3896" s="522" t="inlineStr">
        <is>
          <t>000240</t>
        </is>
      </c>
      <c r="O3896" s="521">
        <f>M3896=N3896</f>
        <v/>
      </c>
      <c r="P3896" s="521">
        <f>AND(MONTH(F3896)=MONTH(S3896), YEAR(F3896)=YEAR(S3896))</f>
        <v/>
      </c>
      <c r="Q3896" s="521">
        <f>U3896="L001-901905215"</f>
        <v/>
      </c>
      <c r="R3896" s="556">
        <f>G3896-W3896</f>
        <v/>
      </c>
      <c r="S3896" s="523" t="n">
        <v>44889</v>
      </c>
      <c r="T3896" s="522" t="inlineStr">
        <is>
          <t>000240</t>
        </is>
      </c>
      <c r="U3896" s="522" t="inlineStr">
        <is>
          <t>L001-901905215</t>
        </is>
      </c>
      <c r="V3896" s="522" t="inlineStr">
        <is>
          <t>វីអ៊ីស៊ិន (ខេមបូឌា) អ៊ិនដាសស្ទ្រី ឯ.ក</t>
        </is>
      </c>
      <c r="W3896" s="556" t="n">
        <v>206749</v>
      </c>
    </row>
    <row r="3897">
      <c r="A3897" s="521" t="n">
        <v>3889</v>
      </c>
      <c r="B3897" s="522" t="inlineStr">
        <is>
          <t>Infrastructure Maintenance fee for Nov 2022</t>
        </is>
      </c>
      <c r="C3897" s="522" t="inlineStr">
        <is>
          <t>ភ្នំពេញ អេសអ៊ីហ្សិត ភីអិលស៊ី</t>
        </is>
      </c>
      <c r="D3897" s="522" t="inlineStr">
        <is>
          <t>L001-100046592</t>
        </is>
      </c>
      <c r="E3897" s="521" t="inlineStr">
        <is>
          <t>202205747</t>
        </is>
      </c>
      <c r="F3897" s="523" t="n">
        <v>44883</v>
      </c>
      <c r="G3897" s="556" t="n">
        <v>167540</v>
      </c>
      <c r="I3897" s="521">
        <f>G3897</f>
        <v/>
      </c>
      <c r="K3897" s="521">
        <f>I3897-G3897</f>
        <v/>
      </c>
      <c r="M3897" s="522" t="inlineStr">
        <is>
          <t>202205747</t>
        </is>
      </c>
      <c r="N3897" s="522" t="inlineStr">
        <is>
          <t>202205747</t>
        </is>
      </c>
      <c r="O3897" s="521">
        <f>M3897=N3897</f>
        <v/>
      </c>
      <c r="P3897" s="521">
        <f>AND(MONTH(F3897)=MONTH(S3897), YEAR(F3897)=YEAR(S3897))</f>
        <v/>
      </c>
      <c r="Q3897" s="521">
        <f>U3897="L001-901905215"</f>
        <v/>
      </c>
      <c r="R3897" s="556">
        <f>G3897-W3897</f>
        <v/>
      </c>
      <c r="S3897" s="523" t="n">
        <v>44883</v>
      </c>
      <c r="T3897" s="522" t="inlineStr">
        <is>
          <t>2022-05747</t>
        </is>
      </c>
      <c r="U3897" s="522" t="inlineStr">
        <is>
          <t>L001-901905215</t>
        </is>
      </c>
      <c r="V3897" s="522" t="inlineStr">
        <is>
          <t>វីអ៊ីស៊ិន (ខេមបូឌា) អ៊ិនដាសស្ទ្រី ឯ.ក</t>
        </is>
      </c>
      <c r="W3897" s="556" t="n">
        <v>167540</v>
      </c>
    </row>
    <row r="3898">
      <c r="A3898" s="521" t="n">
        <v>3890</v>
      </c>
      <c r="B3898" s="522" t="inlineStr">
        <is>
          <t>Infrastructure Maintenance fee for Nov 2022</t>
        </is>
      </c>
      <c r="C3898" s="522" t="inlineStr">
        <is>
          <t>ភ្នំពេញ អេសអ៊ីហ្សិត ភីអិលស៊ី</t>
        </is>
      </c>
      <c r="D3898" s="522" t="inlineStr">
        <is>
          <t>L001-100046592</t>
        </is>
      </c>
      <c r="E3898" s="521" t="inlineStr">
        <is>
          <t>202205738</t>
        </is>
      </c>
      <c r="F3898" s="523" t="n">
        <v>44883</v>
      </c>
      <c r="G3898" s="556" t="n">
        <v>203988</v>
      </c>
      <c r="I3898" s="521">
        <f>G3898</f>
        <v/>
      </c>
      <c r="K3898" s="521">
        <f>I3898-G3898</f>
        <v/>
      </c>
      <c r="M3898" s="522" t="inlineStr">
        <is>
          <t>202205738</t>
        </is>
      </c>
      <c r="N3898" s="522" t="inlineStr">
        <is>
          <t>202205738</t>
        </is>
      </c>
      <c r="O3898" s="521">
        <f>M3898=N3898</f>
        <v/>
      </c>
      <c r="P3898" s="521">
        <f>AND(MONTH(F3898)=MONTH(S3898), YEAR(F3898)=YEAR(S3898))</f>
        <v/>
      </c>
      <c r="Q3898" s="521">
        <f>U3898="L001-901905215"</f>
        <v/>
      </c>
      <c r="R3898" s="556">
        <f>G3898-W3898</f>
        <v/>
      </c>
      <c r="S3898" s="523" t="n">
        <v>44883</v>
      </c>
      <c r="T3898" s="522" t="inlineStr">
        <is>
          <t>2022-05738</t>
        </is>
      </c>
      <c r="U3898" s="522" t="inlineStr">
        <is>
          <t>L001-901905215</t>
        </is>
      </c>
      <c r="V3898" s="522" t="inlineStr">
        <is>
          <t>វីអ៊ីស៊ិន (ខេមបូឌា) អ៊ិនដាសស្ទ្រី ឯ.ក</t>
        </is>
      </c>
      <c r="W3898" s="556" t="n">
        <v>203988</v>
      </c>
    </row>
    <row r="3899">
      <c r="A3899" s="521" t="n">
        <v>3891</v>
      </c>
      <c r="B3899" s="522" t="inlineStr">
        <is>
          <t>Service Fee</t>
        </is>
      </c>
      <c r="C3899" s="522" t="inlineStr">
        <is>
          <t>ប្យួរ៉ូ វេរីតាស (ខេមបូឌា) លីមីធីត</t>
        </is>
      </c>
      <c r="D3899" s="522" t="inlineStr">
        <is>
          <t>L001-107024462</t>
        </is>
      </c>
      <c r="E3899" s="521" t="inlineStr">
        <is>
          <t>59013815</t>
        </is>
      </c>
      <c r="F3899" s="523" t="n">
        <v>44889</v>
      </c>
      <c r="G3899" s="556" t="n">
        <v>112017</v>
      </c>
      <c r="I3899" s="521">
        <f>G3899</f>
        <v/>
      </c>
      <c r="K3899" s="521">
        <f>I3899-G3899</f>
        <v/>
      </c>
      <c r="M3899" s="522" t="inlineStr">
        <is>
          <t>59013815</t>
        </is>
      </c>
      <c r="N3899" s="522" t="inlineStr">
        <is>
          <t>59013815</t>
        </is>
      </c>
      <c r="O3899" s="521">
        <f>M3899=N3899</f>
        <v/>
      </c>
      <c r="P3899" s="521">
        <f>AND(MONTH(F3899)=MONTH(S3899), YEAR(F3899)=YEAR(S3899))</f>
        <v/>
      </c>
      <c r="Q3899" s="521">
        <f>U3899="L001-901905215"</f>
        <v/>
      </c>
      <c r="R3899" s="556">
        <f>G3899-W3899</f>
        <v/>
      </c>
      <c r="S3899" s="523" t="n">
        <v>44889</v>
      </c>
      <c r="T3899" s="522" t="inlineStr">
        <is>
          <t>59013815</t>
        </is>
      </c>
      <c r="U3899" s="522" t="inlineStr">
        <is>
          <t>L001-901905215</t>
        </is>
      </c>
      <c r="V3899" s="522" t="inlineStr">
        <is>
          <t>វីអ៊ីស៊ិន (ខេមបូឌា) អ៊ិនដាសស្ទ្រី ឯ.ក</t>
        </is>
      </c>
      <c r="W3899" s="556" t="n">
        <v>112017</v>
      </c>
    </row>
    <row r="3900">
      <c r="A3900" s="521" t="n">
        <v>3892</v>
      </c>
      <c r="B3900" s="522" t="inlineStr">
        <is>
          <t>Service Fee</t>
        </is>
      </c>
      <c r="C3900" s="522" t="inlineStr">
        <is>
          <t>ប្យួរ៉ូ វេរីតាស (ខេមបូឌា) លីមីធីត</t>
        </is>
      </c>
      <c r="D3900" s="522" t="inlineStr">
        <is>
          <t>L001-107024462</t>
        </is>
      </c>
      <c r="E3900" s="521" t="inlineStr">
        <is>
          <t>59013805</t>
        </is>
      </c>
      <c r="F3900" s="523" t="n">
        <v>44887</v>
      </c>
      <c r="G3900" s="556" t="n">
        <v>56024</v>
      </c>
      <c r="I3900" s="521">
        <f>G3900</f>
        <v/>
      </c>
      <c r="K3900" s="521">
        <f>I3900-G3900</f>
        <v/>
      </c>
      <c r="M3900" s="522" t="inlineStr">
        <is>
          <t>59013805</t>
        </is>
      </c>
      <c r="N3900" s="522" t="inlineStr">
        <is>
          <t>59013805</t>
        </is>
      </c>
      <c r="O3900" s="521">
        <f>M3900=N3900</f>
        <v/>
      </c>
      <c r="P3900" s="521">
        <f>AND(MONTH(F3900)=MONTH(S3900), YEAR(F3900)=YEAR(S3900))</f>
        <v/>
      </c>
      <c r="Q3900" s="521">
        <f>U3900="L001-901905215"</f>
        <v/>
      </c>
      <c r="R3900" s="556">
        <f>G3900-W3900</f>
        <v/>
      </c>
      <c r="S3900" s="523" t="n">
        <v>44887</v>
      </c>
      <c r="T3900" s="522" t="inlineStr">
        <is>
          <t>59013805</t>
        </is>
      </c>
      <c r="U3900" s="522" t="inlineStr">
        <is>
          <t>L001-901905215</t>
        </is>
      </c>
      <c r="V3900" s="522" t="inlineStr">
        <is>
          <t>វីអ៊ីស៊ិន (ខេមបូឌា) អ៊ិនដាសស្ទ្រី ឯ.ក</t>
        </is>
      </c>
      <c r="W3900" s="556" t="n">
        <v>56024</v>
      </c>
    </row>
    <row r="3901">
      <c r="A3901" s="521" t="n">
        <v>3893</v>
      </c>
      <c r="B3901" s="522" t="inlineStr">
        <is>
          <t>Service Fee</t>
        </is>
      </c>
      <c r="C3901" s="522" t="inlineStr">
        <is>
          <t>ប្យួរ៉ូ វេរីតាស (ខេមបូឌា) លីមីធីត</t>
        </is>
      </c>
      <c r="D3901" s="522" t="inlineStr">
        <is>
          <t>L001-107024462</t>
        </is>
      </c>
      <c r="E3901" s="521" t="inlineStr">
        <is>
          <t>59013785</t>
        </is>
      </c>
      <c r="F3901" s="523" t="n">
        <v>44882</v>
      </c>
      <c r="G3901" s="556" t="n">
        <v>56079</v>
      </c>
      <c r="I3901" s="521">
        <f>G3901</f>
        <v/>
      </c>
      <c r="K3901" s="521">
        <f>I3901-G3901</f>
        <v/>
      </c>
      <c r="M3901" s="522" t="inlineStr">
        <is>
          <t>59013785</t>
        </is>
      </c>
      <c r="N3901" s="522" t="inlineStr">
        <is>
          <t>59013785</t>
        </is>
      </c>
      <c r="O3901" s="521">
        <f>M3901=N3901</f>
        <v/>
      </c>
      <c r="P3901" s="521">
        <f>AND(MONTH(F3901)=MONTH(S3901), YEAR(F3901)=YEAR(S3901))</f>
        <v/>
      </c>
      <c r="Q3901" s="521">
        <f>U3901="L001-901905215"</f>
        <v/>
      </c>
      <c r="R3901" s="556">
        <f>G3901-W3901</f>
        <v/>
      </c>
      <c r="S3901" s="523" t="n">
        <v>44882</v>
      </c>
      <c r="T3901" s="522" t="inlineStr">
        <is>
          <t>59013785</t>
        </is>
      </c>
      <c r="U3901" s="522" t="inlineStr">
        <is>
          <t>L001-901905215</t>
        </is>
      </c>
      <c r="V3901" s="522" t="inlineStr">
        <is>
          <t>វីអ៊ីស៊ិន (ខេមបូឌា) អ៊ិនដាសស្ទ្រី ឯ.ក</t>
        </is>
      </c>
      <c r="W3901" s="556" t="n">
        <v>56079</v>
      </c>
    </row>
    <row r="3902">
      <c r="A3902" s="521" t="n">
        <v>3894</v>
      </c>
      <c r="B3902" s="522" t="inlineStr">
        <is>
          <t>Service Fee</t>
        </is>
      </c>
      <c r="C3902" s="522" t="inlineStr">
        <is>
          <t>ប្យួរ៉ូ វេរីតាស (ខេមបូឌា) លីមីធីត</t>
        </is>
      </c>
      <c r="D3902" s="522" t="inlineStr">
        <is>
          <t>L001-107024462</t>
        </is>
      </c>
      <c r="E3902" s="521" t="inlineStr">
        <is>
          <t>59013756</t>
        </is>
      </c>
      <c r="F3902" s="523" t="n">
        <v>44880</v>
      </c>
      <c r="G3902" s="556" t="n">
        <v>56132</v>
      </c>
      <c r="I3902" s="521">
        <f>G3902</f>
        <v/>
      </c>
      <c r="K3902" s="521">
        <f>I3902-G3902</f>
        <v/>
      </c>
      <c r="M3902" s="522" t="inlineStr">
        <is>
          <t>59013756</t>
        </is>
      </c>
      <c r="N3902" s="522" t="inlineStr">
        <is>
          <t>59013756</t>
        </is>
      </c>
      <c r="O3902" s="521">
        <f>M3902=N3902</f>
        <v/>
      </c>
      <c r="P3902" s="521">
        <f>AND(MONTH(F3902)=MONTH(S3902), YEAR(F3902)=YEAR(S3902))</f>
        <v/>
      </c>
      <c r="Q3902" s="521">
        <f>U3902="L001-901905215"</f>
        <v/>
      </c>
      <c r="R3902" s="556">
        <f>G3902-W3902</f>
        <v/>
      </c>
      <c r="S3902" s="523" t="n">
        <v>44880</v>
      </c>
      <c r="T3902" s="522" t="inlineStr">
        <is>
          <t>59013756</t>
        </is>
      </c>
      <c r="U3902" s="522" t="inlineStr">
        <is>
          <t>L001-901905215</t>
        </is>
      </c>
      <c r="V3902" s="522" t="inlineStr">
        <is>
          <t>វីអ៊ីស៊ិន (ខេមបូឌា) អ៊ិនដាសស្ទ្រី ឯ.ក</t>
        </is>
      </c>
      <c r="W3902" s="556" t="n">
        <v>56132</v>
      </c>
    </row>
    <row r="3903">
      <c r="A3903" s="521" t="n">
        <v>3895</v>
      </c>
      <c r="B3903" s="522" t="inlineStr">
        <is>
          <t>Trucking Fee</t>
        </is>
      </c>
      <c r="C3903" s="522" t="inlineStr">
        <is>
          <t>អ៊ិចស្ពែឌីធ័រ ខេមបូឌា អិលធីឌី</t>
        </is>
      </c>
      <c r="D3903" s="522" t="inlineStr">
        <is>
          <t>L001-100045898</t>
        </is>
      </c>
      <c r="E3903" s="521" t="inlineStr">
        <is>
          <t>TI-0239457</t>
        </is>
      </c>
      <c r="F3903" s="523" t="n">
        <v>44882</v>
      </c>
      <c r="G3903" s="556" t="n">
        <v>19872</v>
      </c>
      <c r="I3903" s="521">
        <f>G3903</f>
        <v/>
      </c>
      <c r="K3903" s="521">
        <f>I3903-G3903</f>
        <v/>
      </c>
      <c r="M3903" s="522" t="inlineStr">
        <is>
          <t>TI0239457</t>
        </is>
      </c>
      <c r="N3903" s="522" t="inlineStr">
        <is>
          <t>TI0239457</t>
        </is>
      </c>
      <c r="O3903" s="521">
        <f>M3903=N3903</f>
        <v/>
      </c>
      <c r="P3903" s="521">
        <f>AND(MONTH(F3903)=MONTH(S3903), YEAR(F3903)=YEAR(S3903))</f>
        <v/>
      </c>
      <c r="Q3903" s="521">
        <f>U3903="L001-901905215"</f>
        <v/>
      </c>
      <c r="R3903" s="556">
        <f>G3903-W3903</f>
        <v/>
      </c>
      <c r="S3903" s="523" t="n">
        <v>44882</v>
      </c>
      <c r="T3903" s="522" t="inlineStr">
        <is>
          <t>TI-0239457</t>
        </is>
      </c>
      <c r="U3903" s="522" t="inlineStr">
        <is>
          <t>L001-901905215</t>
        </is>
      </c>
      <c r="V3903" s="522" t="inlineStr">
        <is>
          <t>វីអ៊ីស៊ិន (ខេមបូឌា) អ៊ិនដាសស្ទ្រី ឯ.ក</t>
        </is>
      </c>
      <c r="W3903" s="556" t="n">
        <v>19872</v>
      </c>
    </row>
    <row r="3904">
      <c r="A3904" s="521" t="n">
        <v>3896</v>
      </c>
      <c r="B3904" s="522" t="inlineStr">
        <is>
          <t>Trucking Fee</t>
        </is>
      </c>
      <c r="C3904" s="522" t="inlineStr">
        <is>
          <t>អ៊ិចស្ពែឌីធ័រ ខេមបូឌា អិលធីឌី</t>
        </is>
      </c>
      <c r="D3904" s="522" t="inlineStr">
        <is>
          <t>L001-100045898</t>
        </is>
      </c>
      <c r="E3904" s="521" t="inlineStr">
        <is>
          <t>TI-0240225</t>
        </is>
      </c>
      <c r="F3904" s="523" t="n">
        <v>44895</v>
      </c>
      <c r="G3904" s="556" t="n">
        <v>249793</v>
      </c>
      <c r="I3904" s="521">
        <f>G3904</f>
        <v/>
      </c>
      <c r="K3904" s="521">
        <f>I3904-G3904</f>
        <v/>
      </c>
      <c r="M3904" s="522" t="inlineStr">
        <is>
          <t>TI0240225</t>
        </is>
      </c>
      <c r="N3904" s="522" t="inlineStr">
        <is>
          <t>TI0240225</t>
        </is>
      </c>
      <c r="O3904" s="521">
        <f>M3904=N3904</f>
        <v/>
      </c>
      <c r="P3904" s="521">
        <f>AND(MONTH(F3904)=MONTH(S3904), YEAR(F3904)=YEAR(S3904))</f>
        <v/>
      </c>
      <c r="Q3904" s="521">
        <f>U3904="L001-901905215"</f>
        <v/>
      </c>
      <c r="R3904" s="556">
        <f>G3904-W3904</f>
        <v/>
      </c>
      <c r="S3904" s="523" t="n">
        <v>44895</v>
      </c>
      <c r="T3904" s="522" t="inlineStr">
        <is>
          <t>TI-0240225</t>
        </is>
      </c>
      <c r="U3904" s="522" t="inlineStr">
        <is>
          <t>L001-901905215</t>
        </is>
      </c>
      <c r="V3904" s="522" t="inlineStr">
        <is>
          <t>វីអ៊ីស៊ិន (ខេមបូឌា) អ៊ិនដាសស្ទ្រី ឯ.ក</t>
        </is>
      </c>
      <c r="W3904" s="556" t="n">
        <v>249793</v>
      </c>
    </row>
    <row r="3905">
      <c r="A3905" s="521" t="n">
        <v>3897</v>
      </c>
      <c r="B3905" s="522" t="inlineStr">
        <is>
          <t>Trucking Fee</t>
        </is>
      </c>
      <c r="C3905" s="522" t="inlineStr">
        <is>
          <t>អ៊ិចស្ពែឌីធ័រ ខេមបូឌា អិលធីឌី</t>
        </is>
      </c>
      <c r="D3905" s="522" t="inlineStr">
        <is>
          <t>L001-100045898</t>
        </is>
      </c>
      <c r="E3905" s="521" t="inlineStr">
        <is>
          <t>TI-0240224</t>
        </is>
      </c>
      <c r="F3905" s="523" t="n">
        <v>44895</v>
      </c>
      <c r="G3905" s="556" t="n">
        <v>297526</v>
      </c>
      <c r="I3905" s="521">
        <f>G3905</f>
        <v/>
      </c>
      <c r="K3905" s="521">
        <f>I3905-G3905</f>
        <v/>
      </c>
      <c r="M3905" s="522" t="inlineStr">
        <is>
          <t>TI0240224</t>
        </is>
      </c>
      <c r="N3905" s="522" t="inlineStr">
        <is>
          <t>TI0240224</t>
        </is>
      </c>
      <c r="O3905" s="521">
        <f>M3905=N3905</f>
        <v/>
      </c>
      <c r="P3905" s="521">
        <f>AND(MONTH(F3905)=MONTH(S3905), YEAR(F3905)=YEAR(S3905))</f>
        <v/>
      </c>
      <c r="Q3905" s="521">
        <f>U3905="L001-901905215"</f>
        <v/>
      </c>
      <c r="R3905" s="556">
        <f>G3905-W3905</f>
        <v/>
      </c>
      <c r="S3905" s="523" t="n">
        <v>44895</v>
      </c>
      <c r="T3905" s="522" t="inlineStr">
        <is>
          <t>TI-0240224</t>
        </is>
      </c>
      <c r="U3905" s="522" t="inlineStr">
        <is>
          <t>L001-901905215</t>
        </is>
      </c>
      <c r="V3905" s="522" t="inlineStr">
        <is>
          <t>វីអ៊ីស៊ិន (ខេមបូឌា) អ៊ិនដាសស្ទ្រី ឯ.ក</t>
        </is>
      </c>
      <c r="W3905" s="556" t="n">
        <v>297526</v>
      </c>
    </row>
    <row r="3906">
      <c r="A3906" s="521" t="n">
        <v>3898</v>
      </c>
      <c r="B3906" s="522" t="inlineStr">
        <is>
          <t>Trucking Fee</t>
        </is>
      </c>
      <c r="C3906" s="522" t="inlineStr">
        <is>
          <t>អ៊ិចស្ពែឌីធ័រ ខេមបូឌា អិលធីឌី</t>
        </is>
      </c>
      <c r="D3906" s="522" t="inlineStr">
        <is>
          <t>L001-100045898</t>
        </is>
      </c>
      <c r="E3906" s="521" t="inlineStr">
        <is>
          <t>TI-0240209</t>
        </is>
      </c>
      <c r="F3906" s="523" t="n">
        <v>44895</v>
      </c>
      <c r="G3906" s="556" t="n">
        <v>71367</v>
      </c>
      <c r="I3906" s="521">
        <f>G3906</f>
        <v/>
      </c>
      <c r="K3906" s="521">
        <f>I3906-G3906</f>
        <v/>
      </c>
      <c r="M3906" s="522" t="inlineStr">
        <is>
          <t>TI0240209</t>
        </is>
      </c>
      <c r="N3906" s="522" t="inlineStr">
        <is>
          <t>TI0240209</t>
        </is>
      </c>
      <c r="O3906" s="521">
        <f>M3906=N3906</f>
        <v/>
      </c>
      <c r="P3906" s="521">
        <f>AND(MONTH(F3906)=MONTH(S3906), YEAR(F3906)=YEAR(S3906))</f>
        <v/>
      </c>
      <c r="Q3906" s="521">
        <f>U3906="L001-901905215"</f>
        <v/>
      </c>
      <c r="R3906" s="556">
        <f>G3906-W3906</f>
        <v/>
      </c>
      <c r="S3906" s="523" t="n">
        <v>44895</v>
      </c>
      <c r="T3906" s="522" t="inlineStr">
        <is>
          <t>TI-0240209</t>
        </is>
      </c>
      <c r="U3906" s="522" t="inlineStr">
        <is>
          <t>L001-901905215</t>
        </is>
      </c>
      <c r="V3906" s="522" t="inlineStr">
        <is>
          <t>វីអ៊ីស៊ិន (ខេមបូឌា) អ៊ិនដាសស្ទ្រី ឯ.ក</t>
        </is>
      </c>
      <c r="W3906" s="556" t="n">
        <v>71352</v>
      </c>
    </row>
    <row r="3907">
      <c r="A3907" s="521" t="n">
        <v>3899</v>
      </c>
      <c r="B3907" s="522" t="inlineStr">
        <is>
          <t>Trucking Fee</t>
        </is>
      </c>
      <c r="C3907" s="522" t="inlineStr">
        <is>
          <t>អ៊ិចស្ពែឌីធ័រ ខេមបូឌា អិលធីឌី</t>
        </is>
      </c>
      <c r="D3907" s="522" t="inlineStr">
        <is>
          <t>L001-100045898</t>
        </is>
      </c>
      <c r="E3907" s="521" t="inlineStr">
        <is>
          <t>TI-0240190</t>
        </is>
      </c>
      <c r="F3907" s="523" t="n">
        <v>44895</v>
      </c>
      <c r="G3907" s="556" t="n">
        <v>192910</v>
      </c>
      <c r="I3907" s="521">
        <f>G3907</f>
        <v/>
      </c>
      <c r="K3907" s="521">
        <f>I3907-G3907</f>
        <v/>
      </c>
      <c r="M3907" s="522" t="inlineStr">
        <is>
          <t>TI0240190</t>
        </is>
      </c>
      <c r="N3907" s="522" t="inlineStr">
        <is>
          <t>TI0240190</t>
        </is>
      </c>
      <c r="O3907" s="521">
        <f>M3907=N3907</f>
        <v/>
      </c>
      <c r="P3907" s="521">
        <f>AND(MONTH(F3907)=MONTH(S3907), YEAR(F3907)=YEAR(S3907))</f>
        <v/>
      </c>
      <c r="Q3907" s="521">
        <f>U3907="L001-901905215"</f>
        <v/>
      </c>
      <c r="R3907" s="556">
        <f>G3907-W3907</f>
        <v/>
      </c>
      <c r="S3907" s="523" t="n">
        <v>44895</v>
      </c>
      <c r="T3907" s="522" t="inlineStr">
        <is>
          <t>TI-0240190</t>
        </is>
      </c>
      <c r="U3907" s="522" t="inlineStr">
        <is>
          <t>L001-901905215</t>
        </is>
      </c>
      <c r="V3907" s="522" t="inlineStr">
        <is>
          <t>វីអ៊ីស៊ិន (ខេមបូឌា) អ៊ិនដាសស្ទ្រី ឯ.ក</t>
        </is>
      </c>
      <c r="W3907" s="556" t="n">
        <v>192910</v>
      </c>
    </row>
    <row r="3908">
      <c r="A3908" s="521" t="n">
        <v>3900</v>
      </c>
      <c r="B3908" s="522" t="inlineStr">
        <is>
          <t>Trucking Fee</t>
        </is>
      </c>
      <c r="C3908" s="522" t="inlineStr">
        <is>
          <t>អ៊ិចស្ពែឌីធ័រ ខេមបូឌា អិលធីឌី</t>
        </is>
      </c>
      <c r="D3908" s="522" t="inlineStr">
        <is>
          <t>L001-100045898</t>
        </is>
      </c>
      <c r="E3908" s="521" t="inlineStr">
        <is>
          <t>TI-0240187</t>
        </is>
      </c>
      <c r="F3908" s="523" t="n">
        <v>44895</v>
      </c>
      <c r="G3908" s="556" t="n">
        <v>117158</v>
      </c>
      <c r="I3908" s="521">
        <f>G3908</f>
        <v/>
      </c>
      <c r="K3908" s="521">
        <f>I3908-G3908</f>
        <v/>
      </c>
      <c r="M3908" s="522" t="inlineStr">
        <is>
          <t>TI0240187</t>
        </is>
      </c>
      <c r="N3908" s="522" t="inlineStr">
        <is>
          <t>TI0240187</t>
        </is>
      </c>
      <c r="O3908" s="521">
        <f>M3908=N3908</f>
        <v/>
      </c>
      <c r="P3908" s="521">
        <f>AND(MONTH(F3908)=MONTH(S3908), YEAR(F3908)=YEAR(S3908))</f>
        <v/>
      </c>
      <c r="Q3908" s="521">
        <f>U3908="L001-901905215"</f>
        <v/>
      </c>
      <c r="R3908" s="556">
        <f>G3908-W3908</f>
        <v/>
      </c>
      <c r="S3908" s="523" t="n">
        <v>44895</v>
      </c>
      <c r="T3908" s="522" t="inlineStr">
        <is>
          <t>TI-0240187</t>
        </is>
      </c>
      <c r="U3908" s="522" t="inlineStr">
        <is>
          <t>L001-901905215</t>
        </is>
      </c>
      <c r="V3908" s="522" t="inlineStr">
        <is>
          <t>វីអ៊ីស៊ិន (ខេមបូឌា) អ៊ិនដាសស្ទ្រី ឯ.ក</t>
        </is>
      </c>
      <c r="W3908" s="556" t="n">
        <v>117147</v>
      </c>
    </row>
    <row r="3909">
      <c r="A3909" s="521" t="n">
        <v>3901</v>
      </c>
      <c r="B3909" s="522" t="inlineStr">
        <is>
          <t>Trucking Fee</t>
        </is>
      </c>
      <c r="C3909" s="522" t="inlineStr">
        <is>
          <t>អ៊ិចស្ពែឌីធ័រ ខេមបូឌា អិលធីឌី</t>
        </is>
      </c>
      <c r="D3909" s="522" t="inlineStr">
        <is>
          <t>L001-100045898</t>
        </is>
      </c>
      <c r="E3909" s="521" t="inlineStr">
        <is>
          <t>TI-0240183</t>
        </is>
      </c>
      <c r="F3909" s="523" t="n">
        <v>44895</v>
      </c>
      <c r="G3909" s="556" t="n">
        <v>185423</v>
      </c>
      <c r="I3909" s="521">
        <f>G3909</f>
        <v/>
      </c>
      <c r="K3909" s="521">
        <f>I3909-G3909</f>
        <v/>
      </c>
      <c r="M3909" s="522" t="inlineStr">
        <is>
          <t>TI0240183</t>
        </is>
      </c>
      <c r="N3909" s="522" t="inlineStr">
        <is>
          <t>TI0240183</t>
        </is>
      </c>
      <c r="O3909" s="521">
        <f>M3909=N3909</f>
        <v/>
      </c>
      <c r="P3909" s="521">
        <f>AND(MONTH(F3909)=MONTH(S3909), YEAR(F3909)=YEAR(S3909))</f>
        <v/>
      </c>
      <c r="Q3909" s="521">
        <f>U3909="L001-901905215"</f>
        <v/>
      </c>
      <c r="R3909" s="556">
        <f>G3909-W3909</f>
        <v/>
      </c>
      <c r="S3909" s="523" t="n">
        <v>44895</v>
      </c>
      <c r="T3909" s="522" t="inlineStr">
        <is>
          <t>TI-0240183</t>
        </is>
      </c>
      <c r="U3909" s="522" t="inlineStr">
        <is>
          <t>L001-901905215</t>
        </is>
      </c>
      <c r="V3909" s="522" t="inlineStr">
        <is>
          <t>វីអ៊ីស៊ិន (ខេមបូឌា) អ៊ិនដាសស្ទ្រី ឯ.ក</t>
        </is>
      </c>
      <c r="W3909" s="556" t="n">
        <v>185408</v>
      </c>
    </row>
    <row r="3910">
      <c r="A3910" s="521" t="n">
        <v>3902</v>
      </c>
      <c r="B3910" s="522" t="inlineStr">
        <is>
          <t>Trucking Fee</t>
        </is>
      </c>
      <c r="C3910" s="522" t="inlineStr">
        <is>
          <t>អ៊ិចស្ពែឌីធ័រ ខេមបូឌា អិលធីឌី</t>
        </is>
      </c>
      <c r="D3910" s="522" t="inlineStr">
        <is>
          <t>L001-100045898</t>
        </is>
      </c>
      <c r="E3910" s="521" t="inlineStr">
        <is>
          <t>TI-0240178</t>
        </is>
      </c>
      <c r="F3910" s="523" t="n">
        <v>44888</v>
      </c>
      <c r="G3910" s="556" t="n">
        <v>507830</v>
      </c>
      <c r="I3910" s="521">
        <f>G3910</f>
        <v/>
      </c>
      <c r="K3910" s="521">
        <f>I3910-G3910</f>
        <v/>
      </c>
      <c r="M3910" s="522" t="inlineStr">
        <is>
          <t>TI0240178</t>
        </is>
      </c>
      <c r="N3910" s="522" t="inlineStr">
        <is>
          <t>TI0240178</t>
        </is>
      </c>
      <c r="O3910" s="521">
        <f>M3910=N3910</f>
        <v/>
      </c>
      <c r="P3910" s="521">
        <f>AND(MONTH(F3910)=MONTH(S3910), YEAR(F3910)=YEAR(S3910))</f>
        <v/>
      </c>
      <c r="Q3910" s="521">
        <f>U3910="L001-901905215"</f>
        <v/>
      </c>
      <c r="R3910" s="556">
        <f>G3910-W3910</f>
        <v/>
      </c>
      <c r="S3910" s="523" t="n">
        <v>44895</v>
      </c>
      <c r="T3910" s="522" t="inlineStr">
        <is>
          <t>TI-0240178</t>
        </is>
      </c>
      <c r="U3910" s="522" t="inlineStr">
        <is>
          <t>L001-901905215</t>
        </is>
      </c>
      <c r="V3910" s="522" t="inlineStr">
        <is>
          <t>វីអ៊ីស៊ិន (ខេមបូឌា) អ៊ិនដាសស្ទ្រី ឯ.ក</t>
        </is>
      </c>
      <c r="W3910" s="556" t="n">
        <v>507830</v>
      </c>
    </row>
    <row r="3911">
      <c r="A3911" s="521" t="n">
        <v>3903</v>
      </c>
      <c r="B3911" s="522" t="inlineStr">
        <is>
          <t>Trucking Fee</t>
        </is>
      </c>
      <c r="C3911" s="522" t="inlineStr">
        <is>
          <t>អ៊ិចស្ពែឌីធ័រ ខេមបូឌា អិលធីឌី</t>
        </is>
      </c>
      <c r="D3911" s="522" t="inlineStr">
        <is>
          <t>L001-100045898</t>
        </is>
      </c>
      <c r="E3911" s="521" t="inlineStr">
        <is>
          <t>TI-0239755</t>
        </is>
      </c>
      <c r="F3911" s="523" t="n">
        <v>44888</v>
      </c>
      <c r="G3911" s="556" t="n">
        <v>600774</v>
      </c>
      <c r="I3911" s="521">
        <f>G3911</f>
        <v/>
      </c>
      <c r="K3911" s="521">
        <f>I3911-G3911</f>
        <v/>
      </c>
      <c r="M3911" s="522" t="inlineStr">
        <is>
          <t>TI0239755</t>
        </is>
      </c>
      <c r="N3911" s="522" t="inlineStr">
        <is>
          <t>TI0239755</t>
        </is>
      </c>
      <c r="O3911" s="521">
        <f>M3911=N3911</f>
        <v/>
      </c>
      <c r="P3911" s="521">
        <f>AND(MONTH(F3911)=MONTH(S3911), YEAR(F3911)=YEAR(S3911))</f>
        <v/>
      </c>
      <c r="Q3911" s="521">
        <f>U3911="L001-901905215"</f>
        <v/>
      </c>
      <c r="R3911" s="556">
        <f>G3911-W3911</f>
        <v/>
      </c>
      <c r="S3911" s="523" t="n">
        <v>44888</v>
      </c>
      <c r="T3911" s="522" t="inlineStr">
        <is>
          <t>TI-0239755</t>
        </is>
      </c>
      <c r="U3911" s="522" t="inlineStr">
        <is>
          <t>L001-901905215</t>
        </is>
      </c>
      <c r="V3911" s="522" t="inlineStr">
        <is>
          <t>វីអ៊ីស៊ិន (ខេមបូឌា) អ៊ិនដាសស្ទ្រី ឯ.ក</t>
        </is>
      </c>
      <c r="W3911" s="556" t="n">
        <v>600774</v>
      </c>
    </row>
    <row r="3912">
      <c r="A3912" s="521" t="n">
        <v>3904</v>
      </c>
      <c r="B3912" s="522" t="inlineStr">
        <is>
          <t>Trucking Fee</t>
        </is>
      </c>
      <c r="C3912" s="522" t="inlineStr">
        <is>
          <t>អ៊ិចស្ពែឌីធ័រ ខេមបូឌា អិលធីឌី</t>
        </is>
      </c>
      <c r="D3912" s="522" t="inlineStr">
        <is>
          <t>L001-100045898</t>
        </is>
      </c>
      <c r="E3912" s="521" t="inlineStr">
        <is>
          <t>TI-0239746</t>
        </is>
      </c>
      <c r="F3912" s="523" t="n">
        <v>44888</v>
      </c>
      <c r="G3912" s="556" t="n">
        <v>279700</v>
      </c>
      <c r="I3912" s="521">
        <f>G3912</f>
        <v/>
      </c>
      <c r="K3912" s="521">
        <f>I3912-G3912</f>
        <v/>
      </c>
      <c r="M3912" s="522" t="inlineStr">
        <is>
          <t>TI0239746</t>
        </is>
      </c>
      <c r="N3912" s="522" t="inlineStr">
        <is>
          <t>TI0239746</t>
        </is>
      </c>
      <c r="O3912" s="521">
        <f>M3912=N3912</f>
        <v/>
      </c>
      <c r="P3912" s="521">
        <f>AND(MONTH(F3912)=MONTH(S3912), YEAR(F3912)=YEAR(S3912))</f>
        <v/>
      </c>
      <c r="Q3912" s="521">
        <f>U3912="L001-901905215"</f>
        <v/>
      </c>
      <c r="R3912" s="556">
        <f>G3912-W3912</f>
        <v/>
      </c>
      <c r="S3912" s="523" t="n">
        <v>44888</v>
      </c>
      <c r="T3912" s="522" t="inlineStr">
        <is>
          <t>TI-0239746</t>
        </is>
      </c>
      <c r="U3912" s="522" t="inlineStr">
        <is>
          <t>L001-901905215</t>
        </is>
      </c>
      <c r="V3912" s="522" t="inlineStr">
        <is>
          <t>វីអ៊ីស៊ិន (ខេមបូឌា) អ៊ិនដាសស្ទ្រី ឯ.ក</t>
        </is>
      </c>
      <c r="W3912" s="556" t="n">
        <v>279691</v>
      </c>
    </row>
    <row r="3913">
      <c r="A3913" s="521" t="n">
        <v>3905</v>
      </c>
      <c r="B3913" s="522" t="inlineStr">
        <is>
          <t>Trucking Fee</t>
        </is>
      </c>
      <c r="C3913" s="522" t="inlineStr">
        <is>
          <t>អ៊ិចស្ពែឌីធ័រ ខេមបូឌា អិលធីឌី</t>
        </is>
      </c>
      <c r="D3913" s="522" t="inlineStr">
        <is>
          <t>L001-100045898</t>
        </is>
      </c>
      <c r="E3913" s="521" t="inlineStr">
        <is>
          <t>TI-0239734</t>
        </is>
      </c>
      <c r="F3913" s="523" t="n">
        <v>44888</v>
      </c>
      <c r="G3913" s="556" t="n">
        <v>461759</v>
      </c>
      <c r="I3913" s="521">
        <f>G3913</f>
        <v/>
      </c>
      <c r="K3913" s="521">
        <f>I3913-G3913</f>
        <v/>
      </c>
      <c r="M3913" s="522" t="inlineStr">
        <is>
          <t>TI0239734</t>
        </is>
      </c>
      <c r="N3913" s="522" t="inlineStr">
        <is>
          <t>TI0239734</t>
        </is>
      </c>
      <c r="O3913" s="521">
        <f>M3913=N3913</f>
        <v/>
      </c>
      <c r="P3913" s="521">
        <f>AND(MONTH(F3913)=MONTH(S3913), YEAR(F3913)=YEAR(S3913))</f>
        <v/>
      </c>
      <c r="Q3913" s="521">
        <f>U3913="L001-901905215"</f>
        <v/>
      </c>
      <c r="R3913" s="556">
        <f>G3913-W3913</f>
        <v/>
      </c>
      <c r="S3913" s="523" t="n">
        <v>44888</v>
      </c>
      <c r="T3913" s="522" t="inlineStr">
        <is>
          <t>TI-0239734</t>
        </is>
      </c>
      <c r="U3913" s="522" t="inlineStr">
        <is>
          <t>L001-901905215</t>
        </is>
      </c>
      <c r="V3913" s="522" t="inlineStr">
        <is>
          <t>វីអ៊ីស៊ិន (ខេមបូឌា) អ៊ិនដាសស្ទ្រី ឯ.ក</t>
        </is>
      </c>
      <c r="W3913" s="556" t="n">
        <v>461755</v>
      </c>
    </row>
    <row r="3914">
      <c r="A3914" s="521" t="n">
        <v>3906</v>
      </c>
      <c r="B3914" s="522" t="inlineStr">
        <is>
          <t>Trucking Fee</t>
        </is>
      </c>
      <c r="C3914" s="522" t="inlineStr">
        <is>
          <t>អ៊ិចស្ពែឌីធ័រ ខេមបូឌា អិលធីឌី</t>
        </is>
      </c>
      <c r="D3914" s="522" t="inlineStr">
        <is>
          <t>L001-100045898</t>
        </is>
      </c>
      <c r="E3914" s="521" t="inlineStr">
        <is>
          <t>TI-0239729</t>
        </is>
      </c>
      <c r="F3914" s="523" t="n">
        <v>44888</v>
      </c>
      <c r="G3914" s="556" t="n">
        <v>326319</v>
      </c>
      <c r="I3914" s="521">
        <f>G3914</f>
        <v/>
      </c>
      <c r="K3914" s="521">
        <f>I3914-G3914</f>
        <v/>
      </c>
      <c r="M3914" s="522" t="inlineStr">
        <is>
          <t>TI0239729</t>
        </is>
      </c>
      <c r="N3914" s="522" t="inlineStr">
        <is>
          <t>TI0239729</t>
        </is>
      </c>
      <c r="O3914" s="521">
        <f>M3914=N3914</f>
        <v/>
      </c>
      <c r="P3914" s="521">
        <f>AND(MONTH(F3914)=MONTH(S3914), YEAR(F3914)=YEAR(S3914))</f>
        <v/>
      </c>
      <c r="Q3914" s="521">
        <f>U3914="L001-901905215"</f>
        <v/>
      </c>
      <c r="R3914" s="556">
        <f>G3914-W3914</f>
        <v/>
      </c>
      <c r="S3914" s="523" t="n">
        <v>44888</v>
      </c>
      <c r="T3914" s="522" t="inlineStr">
        <is>
          <t>TI-0239729</t>
        </is>
      </c>
      <c r="U3914" s="522" t="inlineStr">
        <is>
          <t>L001-901905215</t>
        </is>
      </c>
      <c r="V3914" s="522" t="inlineStr">
        <is>
          <t>វីអ៊ីស៊ិន (ខេមបូឌា) អ៊ិនដាសស្ទ្រី ឯ.ក</t>
        </is>
      </c>
      <c r="W3914" s="556" t="n">
        <v>326334</v>
      </c>
    </row>
    <row r="3915">
      <c r="A3915" s="521" t="n">
        <v>3907</v>
      </c>
      <c r="B3915" s="522" t="inlineStr">
        <is>
          <t>Trucking Fee</t>
        </is>
      </c>
      <c r="C3915" s="522" t="inlineStr">
        <is>
          <t>អ៊ិចស្ពែឌីធ័រ ខេមបូឌា អិលធីឌី</t>
        </is>
      </c>
      <c r="D3915" s="522" t="inlineStr">
        <is>
          <t>L001-100045898</t>
        </is>
      </c>
      <c r="E3915" s="521" t="inlineStr">
        <is>
          <t>TI-0239730</t>
        </is>
      </c>
      <c r="F3915" s="523" t="n">
        <v>44888</v>
      </c>
      <c r="G3915" s="556" t="n">
        <v>139537</v>
      </c>
      <c r="I3915" s="521">
        <f>G3915</f>
        <v/>
      </c>
      <c r="K3915" s="521">
        <f>I3915-G3915</f>
        <v/>
      </c>
      <c r="M3915" s="522" t="inlineStr">
        <is>
          <t>TI0239730</t>
        </is>
      </c>
      <c r="N3915" s="522" t="inlineStr">
        <is>
          <t>TI0239730</t>
        </is>
      </c>
      <c r="O3915" s="521">
        <f>M3915=N3915</f>
        <v/>
      </c>
      <c r="P3915" s="521">
        <f>AND(MONTH(F3915)=MONTH(S3915), YEAR(F3915)=YEAR(S3915))</f>
        <v/>
      </c>
      <c r="Q3915" s="521">
        <f>U3915="L001-901905215"</f>
        <v/>
      </c>
      <c r="R3915" s="556">
        <f>G3915-W3915</f>
        <v/>
      </c>
      <c r="S3915" s="523" t="n">
        <v>44888</v>
      </c>
      <c r="T3915" s="522" t="inlineStr">
        <is>
          <t>TI-0239730</t>
        </is>
      </c>
      <c r="U3915" s="522" t="inlineStr">
        <is>
          <t>L001-901905215</t>
        </is>
      </c>
      <c r="V3915" s="522" t="inlineStr">
        <is>
          <t>វីអ៊ីស៊ិន (ខេមបូឌា) អ៊ិនដាសស្ទ្រី ឯ.ក</t>
        </is>
      </c>
      <c r="W3915" s="556" t="n">
        <v>139556</v>
      </c>
    </row>
    <row r="3916">
      <c r="A3916" s="521" t="n">
        <v>3908</v>
      </c>
      <c r="B3916" s="522" t="inlineStr">
        <is>
          <t>Trucking Fee</t>
        </is>
      </c>
      <c r="C3916" s="522" t="inlineStr">
        <is>
          <t>អ៊ិចស្ពែឌីធ័រ ខេមបូឌា អិលធីឌី</t>
        </is>
      </c>
      <c r="D3916" s="522" t="inlineStr">
        <is>
          <t>L001-100045898</t>
        </is>
      </c>
      <c r="E3916" s="521" t="inlineStr">
        <is>
          <t>TI-0239724</t>
        </is>
      </c>
      <c r="F3916" s="523" t="n">
        <v>44888</v>
      </c>
      <c r="G3916" s="556" t="n">
        <v>252058</v>
      </c>
      <c r="I3916" s="521">
        <f>G3916</f>
        <v/>
      </c>
      <c r="K3916" s="521">
        <f>I3916-G3916</f>
        <v/>
      </c>
      <c r="M3916" s="522" t="inlineStr">
        <is>
          <t>TI0239724</t>
        </is>
      </c>
      <c r="N3916" s="522" t="inlineStr">
        <is>
          <t>TI0239724</t>
        </is>
      </c>
      <c r="O3916" s="521">
        <f>M3916=N3916</f>
        <v/>
      </c>
      <c r="P3916" s="521">
        <f>AND(MONTH(F3916)=MONTH(S3916), YEAR(F3916)=YEAR(S3916))</f>
        <v/>
      </c>
      <c r="Q3916" s="521">
        <f>U3916="L001-901905215"</f>
        <v/>
      </c>
      <c r="R3916" s="556">
        <f>G3916-W3916</f>
        <v/>
      </c>
      <c r="S3916" s="523" t="n">
        <v>44888</v>
      </c>
      <c r="T3916" s="522" t="inlineStr">
        <is>
          <t>TI-0239724</t>
        </is>
      </c>
      <c r="U3916" s="522" t="inlineStr">
        <is>
          <t>L001-901905215</t>
        </is>
      </c>
      <c r="V3916" s="522" t="inlineStr">
        <is>
          <t>វីអ៊ីស៊ិន (ខេមបូឌា) អ៊ិនដាសស្ទ្រី ឯ.ក</t>
        </is>
      </c>
      <c r="W3916" s="556" t="n">
        <v>252070</v>
      </c>
    </row>
    <row r="3917">
      <c r="A3917" s="521" t="n">
        <v>3909</v>
      </c>
      <c r="B3917" s="522" t="inlineStr">
        <is>
          <t>Trucking Fee</t>
        </is>
      </c>
      <c r="C3917" s="522" t="inlineStr">
        <is>
          <t>អ៊ិចស្ពែឌីធ័រ ខេមបូឌា អិលធីឌី</t>
        </is>
      </c>
      <c r="D3917" s="522" t="inlineStr">
        <is>
          <t>L001-100045898</t>
        </is>
      </c>
      <c r="E3917" s="521" t="inlineStr">
        <is>
          <t>TI-0239722</t>
        </is>
      </c>
      <c r="F3917" s="523" t="n">
        <v>44888</v>
      </c>
      <c r="G3917" s="556" t="n">
        <v>222331</v>
      </c>
      <c r="I3917" s="521">
        <f>G3917</f>
        <v/>
      </c>
      <c r="K3917" s="521">
        <f>I3917-G3917</f>
        <v/>
      </c>
      <c r="M3917" s="522" t="inlineStr">
        <is>
          <t>TI0239722</t>
        </is>
      </c>
      <c r="N3917" s="522" t="inlineStr">
        <is>
          <t>TI0239722</t>
        </is>
      </c>
      <c r="O3917" s="521">
        <f>M3917=N3917</f>
        <v/>
      </c>
      <c r="P3917" s="521">
        <f>AND(MONTH(F3917)=MONTH(S3917), YEAR(F3917)=YEAR(S3917))</f>
        <v/>
      </c>
      <c r="Q3917" s="521">
        <f>U3917="L001-901905215"</f>
        <v/>
      </c>
      <c r="R3917" s="556">
        <f>G3917-W3917</f>
        <v/>
      </c>
      <c r="S3917" s="523" t="n">
        <v>44888</v>
      </c>
      <c r="T3917" s="522" t="inlineStr">
        <is>
          <t>TI-0239722</t>
        </is>
      </c>
      <c r="U3917" s="522" t="inlineStr">
        <is>
          <t>L001-901905215</t>
        </is>
      </c>
      <c r="V3917" s="522" t="inlineStr">
        <is>
          <t>វីអ៊ីស៊ិន (ខេមបូឌា) អ៊ិនដាសស្ទ្រី ឯ.ក</t>
        </is>
      </c>
      <c r="W3917" s="556" t="n">
        <v>222339</v>
      </c>
    </row>
    <row r="3918">
      <c r="A3918" s="521" t="n">
        <v>3910</v>
      </c>
      <c r="B3918" s="522" t="inlineStr">
        <is>
          <t>Trucking Fee</t>
        </is>
      </c>
      <c r="C3918" s="522" t="inlineStr">
        <is>
          <t>អ៊ិចស្ពែឌីធ័រ ខេមបូឌា អិលធីឌី</t>
        </is>
      </c>
      <c r="D3918" s="522" t="inlineStr">
        <is>
          <t>L001-100045898</t>
        </is>
      </c>
      <c r="E3918" s="521" t="inlineStr">
        <is>
          <t>TI-0239716</t>
        </is>
      </c>
      <c r="F3918" s="523" t="n">
        <v>44888</v>
      </c>
      <c r="G3918" s="556" t="n">
        <v>443840</v>
      </c>
      <c r="I3918" s="521">
        <f>G3918</f>
        <v/>
      </c>
      <c r="K3918" s="521">
        <f>I3918-G3918</f>
        <v/>
      </c>
      <c r="M3918" s="522" t="inlineStr">
        <is>
          <t>TI0239716</t>
        </is>
      </c>
      <c r="N3918" s="522" t="inlineStr">
        <is>
          <t>TI0239716</t>
        </is>
      </c>
      <c r="O3918" s="521">
        <f>M3918=N3918</f>
        <v/>
      </c>
      <c r="P3918" s="521">
        <f>AND(MONTH(F3918)=MONTH(S3918), YEAR(F3918)=YEAR(S3918))</f>
        <v/>
      </c>
      <c r="Q3918" s="521">
        <f>U3918="L001-901905215"</f>
        <v/>
      </c>
      <c r="R3918" s="556">
        <f>G3918-W3918</f>
        <v/>
      </c>
      <c r="S3918" s="523" t="n">
        <v>44888</v>
      </c>
      <c r="T3918" s="522" t="inlineStr">
        <is>
          <t>TI-0239716</t>
        </is>
      </c>
      <c r="U3918" s="522" t="inlineStr">
        <is>
          <t>L001-901905215</t>
        </is>
      </c>
      <c r="V3918" s="522" t="inlineStr">
        <is>
          <t>វីអ៊ីស៊ិន (ខេមបូឌា) អ៊ិនដាសស្ទ្រី ឯ.ក</t>
        </is>
      </c>
      <c r="W3918" s="556" t="n">
        <v>443851</v>
      </c>
    </row>
    <row r="3919">
      <c r="A3919" s="521" t="n">
        <v>3911</v>
      </c>
      <c r="B3919" s="522" t="inlineStr">
        <is>
          <t>Trucking Fee</t>
        </is>
      </c>
      <c r="C3919" s="522" t="inlineStr">
        <is>
          <t>អ៊ិចស្ពែឌីធ័រ ខេមបូឌា អិលធីឌី</t>
        </is>
      </c>
      <c r="D3919" s="522" t="inlineStr">
        <is>
          <t>L001-100045898</t>
        </is>
      </c>
      <c r="E3919" s="521" t="inlineStr">
        <is>
          <t>TI-0239711</t>
        </is>
      </c>
      <c r="F3919" s="523" t="n">
        <v>44888</v>
      </c>
      <c r="G3919" s="556" t="n">
        <v>246457</v>
      </c>
      <c r="I3919" s="521">
        <f>G3919</f>
        <v/>
      </c>
      <c r="K3919" s="521">
        <f>I3919-G3919</f>
        <v/>
      </c>
      <c r="M3919" s="522" t="inlineStr">
        <is>
          <t>TI0239711</t>
        </is>
      </c>
      <c r="N3919" s="522" t="inlineStr">
        <is>
          <t>TI0239711</t>
        </is>
      </c>
      <c r="O3919" s="521">
        <f>M3919=N3919</f>
        <v/>
      </c>
      <c r="P3919" s="521">
        <f>AND(MONTH(F3919)=MONTH(S3919), YEAR(F3919)=YEAR(S3919))</f>
        <v/>
      </c>
      <c r="Q3919" s="521">
        <f>U3919="L001-901905215"</f>
        <v/>
      </c>
      <c r="R3919" s="556">
        <f>G3919-W3919</f>
        <v/>
      </c>
      <c r="S3919" s="523" t="n">
        <v>44888</v>
      </c>
      <c r="T3919" s="522" t="inlineStr">
        <is>
          <t>TI-0239711</t>
        </is>
      </c>
      <c r="U3919" s="522" t="inlineStr">
        <is>
          <t>L001-901905215</t>
        </is>
      </c>
      <c r="V3919" s="522" t="inlineStr">
        <is>
          <t>វីអ៊ីស៊ិន (ខេមបូឌា) អ៊ិនដាសស្ទ្រី ឯ.ក</t>
        </is>
      </c>
      <c r="W3919" s="556" t="n">
        <v>246446</v>
      </c>
    </row>
    <row r="3920">
      <c r="A3920" s="521" t="n">
        <v>3912</v>
      </c>
      <c r="B3920" s="522" t="inlineStr">
        <is>
          <t>Trucking Fee</t>
        </is>
      </c>
      <c r="C3920" s="522" t="inlineStr">
        <is>
          <t>អ៊ិចស្ពែឌីធ័រ ខេមបូឌា អិលធីឌី</t>
        </is>
      </c>
      <c r="D3920" s="522" t="inlineStr">
        <is>
          <t>L001-100045898</t>
        </is>
      </c>
      <c r="E3920" s="521" t="inlineStr">
        <is>
          <t>TI-023294</t>
        </is>
      </c>
      <c r="F3920" s="523" t="n">
        <v>44880</v>
      </c>
      <c r="G3920" s="556" t="n">
        <v>211453</v>
      </c>
      <c r="I3920" s="521">
        <f>G3920</f>
        <v/>
      </c>
      <c r="K3920" s="521">
        <f>I3920-G3920</f>
        <v/>
      </c>
      <c r="M3920" s="522" t="inlineStr">
        <is>
          <t>TI023294</t>
        </is>
      </c>
      <c r="N3920" s="522" t="inlineStr"/>
      <c r="O3920" s="521">
        <f>M3920=N3920</f>
        <v/>
      </c>
      <c r="P3920" s="521">
        <f>AND(MONTH(F3920)=MONTH(S3920), YEAR(F3920)=YEAR(S3920))</f>
        <v/>
      </c>
      <c r="Q3920" s="521">
        <f>U3920="L001-901905215"</f>
        <v/>
      </c>
      <c r="R3920" s="556">
        <f>G3920-W3920</f>
        <v/>
      </c>
      <c r="S3920" s="521" t="n"/>
      <c r="T3920" s="522" t="n"/>
      <c r="U3920" s="522" t="n"/>
      <c r="V3920" s="522" t="n"/>
      <c r="W3920" s="521" t="n"/>
    </row>
    <row r="3921">
      <c r="A3921" s="521" t="n">
        <v>3913</v>
      </c>
      <c r="B3921" s="522" t="inlineStr">
        <is>
          <t>Trucking Fee</t>
        </is>
      </c>
      <c r="C3921" s="522" t="inlineStr">
        <is>
          <t>អ៊ិចស្ពែឌីធ័រ ខេមបូឌា អិលធីឌី</t>
        </is>
      </c>
      <c r="D3921" s="522" t="inlineStr">
        <is>
          <t>L001-100045898</t>
        </is>
      </c>
      <c r="E3921" s="521" t="inlineStr">
        <is>
          <t>TI-0239282</t>
        </is>
      </c>
      <c r="F3921" s="523" t="n">
        <v>44880</v>
      </c>
      <c r="G3921" s="556" t="n">
        <v>533860</v>
      </c>
      <c r="I3921" s="521">
        <f>G3921</f>
        <v/>
      </c>
      <c r="K3921" s="521">
        <f>I3921-G3921</f>
        <v/>
      </c>
      <c r="M3921" s="522" t="inlineStr">
        <is>
          <t>TI0239282</t>
        </is>
      </c>
      <c r="N3921" s="522" t="inlineStr">
        <is>
          <t>TI0239282</t>
        </is>
      </c>
      <c r="O3921" s="521">
        <f>M3921=N3921</f>
        <v/>
      </c>
      <c r="P3921" s="521">
        <f>AND(MONTH(F3921)=MONTH(S3921), YEAR(F3921)=YEAR(S3921))</f>
        <v/>
      </c>
      <c r="Q3921" s="521">
        <f>U3921="L001-901905215"</f>
        <v/>
      </c>
      <c r="R3921" s="556">
        <f>G3921-W3921</f>
        <v/>
      </c>
      <c r="S3921" s="523" t="n">
        <v>44880</v>
      </c>
      <c r="T3921" s="522" t="inlineStr">
        <is>
          <t>TI-0239282</t>
        </is>
      </c>
      <c r="U3921" s="522" t="inlineStr">
        <is>
          <t>L001-901905215</t>
        </is>
      </c>
      <c r="V3921" s="522" t="inlineStr">
        <is>
          <t>វីអ៊ីស៊ិន (ខេមបូឌា) អ៊ិនដាសស្ទ្រី ឯ.ក</t>
        </is>
      </c>
      <c r="W3921" s="556" t="n">
        <v>533872</v>
      </c>
    </row>
    <row r="3922">
      <c r="A3922" s="521" t="n">
        <v>3914</v>
      </c>
      <c r="B3922" s="522" t="inlineStr">
        <is>
          <t>Trucking Fee</t>
        </is>
      </c>
      <c r="C3922" s="522" t="inlineStr">
        <is>
          <t>អ៊ិចស្ពែឌីធ័រ ខេមបូឌា អិលធីឌី</t>
        </is>
      </c>
      <c r="D3922" s="522" t="inlineStr">
        <is>
          <t>L001-100045898</t>
        </is>
      </c>
      <c r="E3922" s="521" t="inlineStr">
        <is>
          <t>TI-0239273</t>
        </is>
      </c>
      <c r="F3922" s="523" t="n">
        <v>44880</v>
      </c>
      <c r="G3922" s="556" t="n">
        <v>55993</v>
      </c>
      <c r="I3922" s="521">
        <f>G3922</f>
        <v/>
      </c>
      <c r="K3922" s="521">
        <f>I3922-G3922</f>
        <v/>
      </c>
      <c r="M3922" s="522" t="inlineStr">
        <is>
          <t>TI0239273</t>
        </is>
      </c>
      <c r="N3922" s="522" t="inlineStr">
        <is>
          <t>TI0239273</t>
        </is>
      </c>
      <c r="O3922" s="521">
        <f>M3922=N3922</f>
        <v/>
      </c>
      <c r="P3922" s="521">
        <f>AND(MONTH(F3922)=MONTH(S3922), YEAR(F3922)=YEAR(S3922))</f>
        <v/>
      </c>
      <c r="Q3922" s="521">
        <f>U3922="L001-901905215"</f>
        <v/>
      </c>
      <c r="R3922" s="556">
        <f>G3922-W3922</f>
        <v/>
      </c>
      <c r="S3922" s="523" t="n">
        <v>44880</v>
      </c>
      <c r="T3922" s="522" t="inlineStr">
        <is>
          <t>TI-0239273</t>
        </is>
      </c>
      <c r="U3922" s="522" t="inlineStr">
        <is>
          <t>L001-901905215</t>
        </is>
      </c>
      <c r="V3922" s="522" t="inlineStr">
        <is>
          <t>វីអ៊ីស៊ិន (ខេមបូឌា) អ៊ិនដាសស្ទ្រី ឯ.ក</t>
        </is>
      </c>
      <c r="W3922" s="556" t="n">
        <v>55985</v>
      </c>
    </row>
    <row r="3923">
      <c r="A3923" s="521" t="n">
        <v>3915</v>
      </c>
      <c r="B3923" s="522" t="inlineStr">
        <is>
          <t>Trucking Fee</t>
        </is>
      </c>
      <c r="C3923" s="522" t="inlineStr">
        <is>
          <t>អ៊ិចស្ពែឌីធ័រ ខេមបូឌា អិលធីឌី</t>
        </is>
      </c>
      <c r="D3923" s="522" t="inlineStr">
        <is>
          <t>L001-100045898</t>
        </is>
      </c>
      <c r="E3923" s="521" t="inlineStr">
        <is>
          <t>TI-0239272</t>
        </is>
      </c>
      <c r="F3923" s="523" t="n">
        <v>44880</v>
      </c>
      <c r="G3923" s="556" t="n">
        <v>307055</v>
      </c>
      <c r="I3923" s="521">
        <f>G3923</f>
        <v/>
      </c>
      <c r="K3923" s="521">
        <f>I3923-G3923</f>
        <v/>
      </c>
      <c r="M3923" s="522" t="inlineStr">
        <is>
          <t>TI0239272</t>
        </is>
      </c>
      <c r="N3923" s="522" t="inlineStr">
        <is>
          <t>TI0239272</t>
        </is>
      </c>
      <c r="O3923" s="521">
        <f>M3923=N3923</f>
        <v/>
      </c>
      <c r="P3923" s="521">
        <f>AND(MONTH(F3923)=MONTH(S3923), YEAR(F3923)=YEAR(S3923))</f>
        <v/>
      </c>
      <c r="Q3923" s="521">
        <f>U3923="L001-901905215"</f>
        <v/>
      </c>
      <c r="R3923" s="556">
        <f>G3923-W3923</f>
        <v/>
      </c>
      <c r="S3923" s="523" t="n">
        <v>44880</v>
      </c>
      <c r="T3923" s="522" t="inlineStr">
        <is>
          <t>TI-0239272</t>
        </is>
      </c>
      <c r="U3923" s="522" t="inlineStr">
        <is>
          <t>L001-901905215</t>
        </is>
      </c>
      <c r="V3923" s="522" t="inlineStr">
        <is>
          <t>វីអ៊ីស៊ិន (ខេមបូឌា) អ៊ិនដាសស្ទ្រី ឯ.ក</t>
        </is>
      </c>
      <c r="W3923" s="556" t="n">
        <v>307070</v>
      </c>
    </row>
    <row r="3924">
      <c r="A3924" s="521" t="n">
        <v>3916</v>
      </c>
      <c r="B3924" s="522" t="inlineStr">
        <is>
          <t>Trucking Fee</t>
        </is>
      </c>
      <c r="C3924" s="522" t="inlineStr">
        <is>
          <t>អ៊ិចស្ពែឌីធ័រ ខេមបូឌា អិលធីឌី</t>
        </is>
      </c>
      <c r="D3924" s="522" t="inlineStr">
        <is>
          <t>L001-100045898</t>
        </is>
      </c>
      <c r="E3924" s="521" t="inlineStr">
        <is>
          <t>TI-0239030</t>
        </is>
      </c>
      <c r="F3924" s="523" t="n">
        <v>44875</v>
      </c>
      <c r="G3924" s="556" t="n">
        <v>317174</v>
      </c>
      <c r="I3924" s="521">
        <f>G3924</f>
        <v/>
      </c>
      <c r="K3924" s="521">
        <f>I3924-G3924</f>
        <v/>
      </c>
      <c r="M3924" s="522" t="inlineStr">
        <is>
          <t>TI0239030</t>
        </is>
      </c>
      <c r="N3924" s="522" t="inlineStr">
        <is>
          <t>TI0239030</t>
        </is>
      </c>
      <c r="O3924" s="521">
        <f>M3924=N3924</f>
        <v/>
      </c>
      <c r="P3924" s="521">
        <f>AND(MONTH(F3924)=MONTH(S3924), YEAR(F3924)=YEAR(S3924))</f>
        <v/>
      </c>
      <c r="Q3924" s="521">
        <f>U3924="L001-901905215"</f>
        <v/>
      </c>
      <c r="R3924" s="556">
        <f>G3924-W3924</f>
        <v/>
      </c>
      <c r="S3924" s="523" t="n">
        <v>44875</v>
      </c>
      <c r="T3924" s="522" t="inlineStr">
        <is>
          <t>TI-0239030</t>
        </is>
      </c>
      <c r="U3924" s="522" t="inlineStr">
        <is>
          <t>L001-901905215</t>
        </is>
      </c>
      <c r="V3924" s="522" t="inlineStr">
        <is>
          <t>វីអ៊ីស៊ិន (ខេមបូឌា) អ៊ិនដាសស្ទ្រី ឯ.ក</t>
        </is>
      </c>
      <c r="W3924" s="556" t="n">
        <v>317182</v>
      </c>
    </row>
    <row r="3925">
      <c r="A3925" s="521" t="n">
        <v>3917</v>
      </c>
      <c r="B3925" s="522" t="inlineStr">
        <is>
          <t>Trucking Fee</t>
        </is>
      </c>
      <c r="C3925" s="522" t="inlineStr">
        <is>
          <t>អ៊ិចស្ពែឌីធ័រ ខេមបូឌា អិលធីឌី</t>
        </is>
      </c>
      <c r="D3925" s="522" t="inlineStr">
        <is>
          <t>L001-100045898</t>
        </is>
      </c>
      <c r="E3925" s="521" t="inlineStr">
        <is>
          <t>TI-0239026</t>
        </is>
      </c>
      <c r="F3925" s="523" t="n">
        <v>44875</v>
      </c>
      <c r="G3925" s="556" t="n">
        <v>141544</v>
      </c>
      <c r="I3925" s="521">
        <f>G3925</f>
        <v/>
      </c>
      <c r="K3925" s="521">
        <f>I3925-G3925</f>
        <v/>
      </c>
      <c r="M3925" s="522" t="inlineStr">
        <is>
          <t>TI0239026</t>
        </is>
      </c>
      <c r="N3925" s="522" t="inlineStr">
        <is>
          <t>TI0239026</t>
        </is>
      </c>
      <c r="O3925" s="521">
        <f>M3925=N3925</f>
        <v/>
      </c>
      <c r="P3925" s="521">
        <f>AND(MONTH(F3925)=MONTH(S3925), YEAR(F3925)=YEAR(S3925))</f>
        <v/>
      </c>
      <c r="Q3925" s="521">
        <f>U3925="L001-901905215"</f>
        <v/>
      </c>
      <c r="R3925" s="556">
        <f>G3925-W3925</f>
        <v/>
      </c>
      <c r="S3925" s="523" t="n">
        <v>44875</v>
      </c>
      <c r="T3925" s="522" t="inlineStr">
        <is>
          <t>TI-0239026</t>
        </is>
      </c>
      <c r="U3925" s="522" t="inlineStr">
        <is>
          <t>L001-901905215</t>
        </is>
      </c>
      <c r="V3925" s="522" t="inlineStr">
        <is>
          <t>វីអ៊ីស៊ិន (ខេមបូឌា) អ៊ិនដាសស្ទ្រី ឯ.ក</t>
        </is>
      </c>
      <c r="W3925" s="556" t="n">
        <v>141559</v>
      </c>
    </row>
    <row r="3926">
      <c r="A3926" s="521" t="n">
        <v>3918</v>
      </c>
      <c r="B3926" s="522" t="inlineStr">
        <is>
          <t>Trucking Fee</t>
        </is>
      </c>
      <c r="C3926" s="522" t="inlineStr">
        <is>
          <t>អ៊ិចស្ពែឌីធ័រ ខេមបូឌា អិលធីឌី</t>
        </is>
      </c>
      <c r="D3926" s="522" t="inlineStr">
        <is>
          <t>L001-100045898</t>
        </is>
      </c>
      <c r="E3926" s="521" t="inlineStr">
        <is>
          <t>TI-0239018</t>
        </is>
      </c>
      <c r="F3926" s="523" t="n">
        <v>44875</v>
      </c>
      <c r="G3926" s="556" t="n">
        <v>390391</v>
      </c>
      <c r="I3926" s="521">
        <f>G3926</f>
        <v/>
      </c>
      <c r="K3926" s="521">
        <f>I3926-G3926</f>
        <v/>
      </c>
      <c r="M3926" s="522" t="inlineStr">
        <is>
          <t>TI0239018</t>
        </is>
      </c>
      <c r="N3926" s="522" t="inlineStr">
        <is>
          <t>TI0239018</t>
        </is>
      </c>
      <c r="O3926" s="521">
        <f>M3926=N3926</f>
        <v/>
      </c>
      <c r="P3926" s="521">
        <f>AND(MONTH(F3926)=MONTH(S3926), YEAR(F3926)=YEAR(S3926))</f>
        <v/>
      </c>
      <c r="Q3926" s="521">
        <f>U3926="L001-901905215"</f>
        <v/>
      </c>
      <c r="R3926" s="556">
        <f>G3926-W3926</f>
        <v/>
      </c>
      <c r="S3926" s="523" t="n">
        <v>44875</v>
      </c>
      <c r="T3926" s="522" t="inlineStr">
        <is>
          <t>TI-0239018</t>
        </is>
      </c>
      <c r="U3926" s="522" t="inlineStr">
        <is>
          <t>L001-901905215</t>
        </is>
      </c>
      <c r="V3926" s="522" t="inlineStr">
        <is>
          <t>វីអ៊ីស៊ិន (ខេមបូឌា) អ៊ិនដាសស្ទ្រី ឯ.ក</t>
        </is>
      </c>
      <c r="W3926" s="556" t="n">
        <v>390406</v>
      </c>
    </row>
    <row r="3927">
      <c r="A3927" s="521" t="n">
        <v>3919</v>
      </c>
      <c r="B3927" s="522" t="inlineStr">
        <is>
          <t>Trucking Fee</t>
        </is>
      </c>
      <c r="C3927" s="522" t="inlineStr">
        <is>
          <t>អ៊ិចស្ពែឌីធ័រ ខេមបូឌា អិលធីឌី</t>
        </is>
      </c>
      <c r="D3927" s="522" t="inlineStr">
        <is>
          <t>L001-100045898</t>
        </is>
      </c>
      <c r="E3927" s="521" t="inlineStr">
        <is>
          <t>TI-0239015</t>
        </is>
      </c>
      <c r="F3927" s="523" t="n">
        <v>44875</v>
      </c>
      <c r="G3927" s="556" t="n">
        <v>183832</v>
      </c>
      <c r="I3927" s="521">
        <f>G3927</f>
        <v/>
      </c>
      <c r="K3927" s="521">
        <f>I3927-G3927</f>
        <v/>
      </c>
      <c r="M3927" s="522" t="inlineStr">
        <is>
          <t>TI0239015</t>
        </is>
      </c>
      <c r="N3927" s="522" t="inlineStr">
        <is>
          <t>TI0239015</t>
        </is>
      </c>
      <c r="O3927" s="521">
        <f>M3927=N3927</f>
        <v/>
      </c>
      <c r="P3927" s="521">
        <f>AND(MONTH(F3927)=MONTH(S3927), YEAR(F3927)=YEAR(S3927))</f>
        <v/>
      </c>
      <c r="Q3927" s="521">
        <f>U3927="L001-901905215"</f>
        <v/>
      </c>
      <c r="R3927" s="556">
        <f>G3927-W3927</f>
        <v/>
      </c>
      <c r="S3927" s="523" t="n">
        <v>44875</v>
      </c>
      <c r="T3927" s="522" t="inlineStr">
        <is>
          <t>TI-0239015</t>
        </is>
      </c>
      <c r="U3927" s="522" t="inlineStr">
        <is>
          <t>L001-901905215</t>
        </is>
      </c>
      <c r="V3927" s="522" t="inlineStr">
        <is>
          <t>វីអ៊ីស៊ិន (ខេមបូឌា) អ៊ិនដាសស្ទ្រី ឯ.ក</t>
        </is>
      </c>
      <c r="W3927" s="556" t="n">
        <v>183828</v>
      </c>
    </row>
    <row r="3928">
      <c r="A3928" s="521" t="n">
        <v>3920</v>
      </c>
      <c r="B3928" s="522" t="inlineStr">
        <is>
          <t>Trucking Fee</t>
        </is>
      </c>
      <c r="C3928" s="522" t="inlineStr">
        <is>
          <t>អ៊ិចស្ពែឌីធ័រ ខេមបូឌា អិលធីឌី</t>
        </is>
      </c>
      <c r="D3928" s="522" t="inlineStr">
        <is>
          <t>L001-100045898</t>
        </is>
      </c>
      <c r="E3928" s="521" t="inlineStr">
        <is>
          <t>TI-0239013</t>
        </is>
      </c>
      <c r="F3928" s="523" t="n">
        <v>44875</v>
      </c>
      <c r="G3928" s="556" t="n">
        <v>310209</v>
      </c>
      <c r="I3928" s="521">
        <f>G3928</f>
        <v/>
      </c>
      <c r="K3928" s="521">
        <f>I3928-G3928</f>
        <v/>
      </c>
      <c r="M3928" s="522" t="inlineStr">
        <is>
          <t>TI0239013</t>
        </is>
      </c>
      <c r="N3928" s="522" t="inlineStr">
        <is>
          <t>TI0239013</t>
        </is>
      </c>
      <c r="O3928" s="521">
        <f>M3928=N3928</f>
        <v/>
      </c>
      <c r="P3928" s="521">
        <f>AND(MONTH(F3928)=MONTH(S3928), YEAR(F3928)=YEAR(S3928))</f>
        <v/>
      </c>
      <c r="Q3928" s="521">
        <f>U3928="L001-901905215"</f>
        <v/>
      </c>
      <c r="R3928" s="556">
        <f>G3928-W3928</f>
        <v/>
      </c>
      <c r="S3928" s="523" t="n">
        <v>44875</v>
      </c>
      <c r="T3928" s="522" t="inlineStr">
        <is>
          <t>TI-0239013</t>
        </is>
      </c>
      <c r="U3928" s="522" t="inlineStr">
        <is>
          <t>L001-901905215</t>
        </is>
      </c>
      <c r="V3928" s="522" t="inlineStr">
        <is>
          <t>វីអ៊ីស៊ិន (ខេមបូឌា) អ៊ិនដាសស្ទ្រី ឯ.ក</t>
        </is>
      </c>
      <c r="W3928" s="556" t="n">
        <v>310220</v>
      </c>
    </row>
    <row r="3929">
      <c r="A3929" s="521" t="n">
        <v>3921</v>
      </c>
      <c r="B3929" s="522" t="inlineStr">
        <is>
          <t>Service Fee</t>
        </is>
      </c>
      <c r="C3929" s="522" t="inlineStr">
        <is>
          <t>ប្យួរ៉ូ វេរីតាស (ខេមបូឌា) លីមីធីត</t>
        </is>
      </c>
      <c r="D3929" s="522" t="inlineStr">
        <is>
          <t>L001-107024462</t>
        </is>
      </c>
      <c r="E3929" s="521" t="inlineStr">
        <is>
          <t>59013733</t>
        </is>
      </c>
      <c r="F3929" s="523" t="n">
        <v>44874</v>
      </c>
      <c r="G3929" s="556" t="n">
        <v>246509</v>
      </c>
      <c r="I3929" s="521">
        <f>G3929</f>
        <v/>
      </c>
      <c r="K3929" s="521">
        <f>I3929-G3929</f>
        <v/>
      </c>
      <c r="M3929" s="522" t="inlineStr">
        <is>
          <t>59013733</t>
        </is>
      </c>
      <c r="N3929" s="522" t="inlineStr">
        <is>
          <t>59013733</t>
        </is>
      </c>
      <c r="O3929" s="521">
        <f>M3929=N3929</f>
        <v/>
      </c>
      <c r="P3929" s="521">
        <f>AND(MONTH(F3929)=MONTH(S3929), YEAR(F3929)=YEAR(S3929))</f>
        <v/>
      </c>
      <c r="Q3929" s="521">
        <f>U3929="L001-901905215"</f>
        <v/>
      </c>
      <c r="R3929" s="556">
        <f>G3929-W3929</f>
        <v/>
      </c>
      <c r="S3929" s="523" t="n">
        <v>44874</v>
      </c>
      <c r="T3929" s="522" t="inlineStr">
        <is>
          <t>59013733</t>
        </is>
      </c>
      <c r="U3929" s="522" t="inlineStr">
        <is>
          <t>L001-901905215</t>
        </is>
      </c>
      <c r="V3929" s="522" t="inlineStr">
        <is>
          <t>វីអ៊ីស៊ិន (ខេមបូឌា) អ៊ិនដាសស្ទ្រី ឯ.ក</t>
        </is>
      </c>
      <c r="W3929" s="556" t="n">
        <v>246509</v>
      </c>
    </row>
    <row r="3930">
      <c r="A3930" s="521" t="n">
        <v>3922</v>
      </c>
      <c r="B3930" s="522" t="inlineStr">
        <is>
          <t>Service Fee</t>
        </is>
      </c>
      <c r="C3930" s="522" t="inlineStr">
        <is>
          <t>ប្យួរ៉ូ វេរីតាស (ខេមបូឌា) លីមីធីត</t>
        </is>
      </c>
      <c r="D3930" s="522" t="inlineStr">
        <is>
          <t>L001-107024462</t>
        </is>
      </c>
      <c r="E3930" s="521" t="inlineStr">
        <is>
          <t>59013736</t>
        </is>
      </c>
      <c r="F3930" s="523" t="n">
        <v>44874</v>
      </c>
      <c r="G3930" s="556" t="n">
        <v>56119</v>
      </c>
      <c r="I3930" s="521">
        <f>G3930</f>
        <v/>
      </c>
      <c r="K3930" s="521">
        <f>I3930-G3930</f>
        <v/>
      </c>
      <c r="M3930" s="522" t="inlineStr">
        <is>
          <t>59013736</t>
        </is>
      </c>
      <c r="N3930" s="522" t="inlineStr">
        <is>
          <t>59013736</t>
        </is>
      </c>
      <c r="O3930" s="521">
        <f>M3930=N3930</f>
        <v/>
      </c>
      <c r="P3930" s="521">
        <f>AND(MONTH(F3930)=MONTH(S3930), YEAR(F3930)=YEAR(S3930))</f>
        <v/>
      </c>
      <c r="Q3930" s="521">
        <f>U3930="L001-901905215"</f>
        <v/>
      </c>
      <c r="R3930" s="556">
        <f>G3930-W3930</f>
        <v/>
      </c>
      <c r="S3930" s="523" t="n">
        <v>44874</v>
      </c>
      <c r="T3930" s="522" t="inlineStr">
        <is>
          <t>59013736</t>
        </is>
      </c>
      <c r="U3930" s="522" t="inlineStr">
        <is>
          <t>L001-901905215</t>
        </is>
      </c>
      <c r="V3930" s="522" t="inlineStr">
        <is>
          <t>វីអ៊ីស៊ិន (ខេមបូឌា) អ៊ិនដាសស្ទ្រី ឯ.ក</t>
        </is>
      </c>
      <c r="W3930" s="556" t="n">
        <v>56119</v>
      </c>
    </row>
    <row r="3931">
      <c r="A3931" s="521" t="n">
        <v>3923</v>
      </c>
      <c r="B3931" s="522" t="inlineStr">
        <is>
          <t>Service Fee</t>
        </is>
      </c>
      <c r="C3931" s="522" t="inlineStr">
        <is>
          <t>ប្យួរ៉ូ វេរីតាស (ខេមបូឌា) លីមីធីត</t>
        </is>
      </c>
      <c r="D3931" s="522" t="inlineStr">
        <is>
          <t>L001-107024462</t>
        </is>
      </c>
      <c r="E3931" s="521" t="inlineStr">
        <is>
          <t>59013703</t>
        </is>
      </c>
      <c r="F3931" s="523" t="n">
        <v>44870</v>
      </c>
      <c r="G3931" s="556" t="n">
        <v>246509</v>
      </c>
      <c r="I3931" s="521">
        <f>G3931</f>
        <v/>
      </c>
      <c r="K3931" s="521">
        <f>I3931-G3931</f>
        <v/>
      </c>
      <c r="M3931" s="522" t="inlineStr">
        <is>
          <t>59013703</t>
        </is>
      </c>
      <c r="N3931" s="522" t="inlineStr">
        <is>
          <t>59013703</t>
        </is>
      </c>
      <c r="O3931" s="521">
        <f>M3931=N3931</f>
        <v/>
      </c>
      <c r="P3931" s="521">
        <f>AND(MONTH(F3931)=MONTH(S3931), YEAR(F3931)=YEAR(S3931))</f>
        <v/>
      </c>
      <c r="Q3931" s="521">
        <f>U3931="L001-901905215"</f>
        <v/>
      </c>
      <c r="R3931" s="556">
        <f>G3931-W3931</f>
        <v/>
      </c>
      <c r="S3931" s="523" t="n">
        <v>44870</v>
      </c>
      <c r="T3931" s="522" t="inlineStr">
        <is>
          <t>59013703</t>
        </is>
      </c>
      <c r="U3931" s="522" t="inlineStr">
        <is>
          <t>L001-901905215</t>
        </is>
      </c>
      <c r="V3931" s="522" t="inlineStr">
        <is>
          <t>វីអ៊ីស៊ិន (ខេមបូឌា) អ៊ិនដាសស្ទ្រី ឯ.ក</t>
        </is>
      </c>
      <c r="W3931" s="556" t="n">
        <v>246509</v>
      </c>
    </row>
    <row r="3932">
      <c r="A3932" s="521" t="n">
        <v>3924</v>
      </c>
      <c r="B3932" s="522" t="inlineStr">
        <is>
          <t>Service Fee</t>
        </is>
      </c>
      <c r="C3932" s="522" t="inlineStr">
        <is>
          <t>ប្យួរ៉ូ វេរីតាស (ខេមបូឌា) លីមីធីត</t>
        </is>
      </c>
      <c r="D3932" s="522" t="inlineStr">
        <is>
          <t>L001-107024462</t>
        </is>
      </c>
      <c r="E3932" s="521" t="inlineStr">
        <is>
          <t>59013715</t>
        </is>
      </c>
      <c r="F3932" s="523" t="n">
        <v>44870</v>
      </c>
      <c r="G3932" s="556" t="n">
        <v>56119</v>
      </c>
      <c r="I3932" s="521">
        <f>G3932</f>
        <v/>
      </c>
      <c r="K3932" s="521">
        <f>I3932-G3932</f>
        <v/>
      </c>
      <c r="M3932" s="522" t="inlineStr">
        <is>
          <t>59013715</t>
        </is>
      </c>
      <c r="N3932" s="522" t="inlineStr">
        <is>
          <t>59013715</t>
        </is>
      </c>
      <c r="O3932" s="521">
        <f>M3932=N3932</f>
        <v/>
      </c>
      <c r="P3932" s="521">
        <f>AND(MONTH(F3932)=MONTH(S3932), YEAR(F3932)=YEAR(S3932))</f>
        <v/>
      </c>
      <c r="Q3932" s="521">
        <f>U3932="L001-901905215"</f>
        <v/>
      </c>
      <c r="R3932" s="556">
        <f>G3932-W3932</f>
        <v/>
      </c>
      <c r="S3932" s="523" t="n">
        <v>44870</v>
      </c>
      <c r="T3932" s="522" t="inlineStr">
        <is>
          <t>59013715</t>
        </is>
      </c>
      <c r="U3932" s="522" t="inlineStr">
        <is>
          <t>L001-901905215</t>
        </is>
      </c>
      <c r="V3932" s="522" t="inlineStr">
        <is>
          <t>វីអ៊ីស៊ិន (ខេមបូឌា) អ៊ិនដាសស្ទ្រី ឯ.ក</t>
        </is>
      </c>
      <c r="W3932" s="556" t="n">
        <v>56119</v>
      </c>
    </row>
    <row r="3933">
      <c r="A3933" s="521" t="n">
        <v>3925</v>
      </c>
      <c r="B3933" s="522" t="inlineStr">
        <is>
          <t>Service Fee</t>
        </is>
      </c>
      <c r="C3933" s="522" t="inlineStr">
        <is>
          <t>ប្យួរ៉ូ វេរីតាស (ខេមបូឌា) លីមីធីត</t>
        </is>
      </c>
      <c r="D3933" s="522" t="inlineStr">
        <is>
          <t>L001-107024462</t>
        </is>
      </c>
      <c r="E3933" s="521" t="inlineStr">
        <is>
          <t>59013711</t>
        </is>
      </c>
      <c r="F3933" s="523" t="n">
        <v>44870</v>
      </c>
      <c r="G3933" s="556" t="n">
        <v>56119</v>
      </c>
      <c r="I3933" s="521">
        <f>G3933</f>
        <v/>
      </c>
      <c r="K3933" s="521">
        <f>I3933-G3933</f>
        <v/>
      </c>
      <c r="M3933" s="522" t="inlineStr">
        <is>
          <t>59013711</t>
        </is>
      </c>
      <c r="N3933" s="522" t="inlineStr">
        <is>
          <t>59013711</t>
        </is>
      </c>
      <c r="O3933" s="521">
        <f>M3933=N3933</f>
        <v/>
      </c>
      <c r="P3933" s="521">
        <f>AND(MONTH(F3933)=MONTH(S3933), YEAR(F3933)=YEAR(S3933))</f>
        <v/>
      </c>
      <c r="Q3933" s="521">
        <f>U3933="L001-901905215"</f>
        <v/>
      </c>
      <c r="R3933" s="556">
        <f>G3933-W3933</f>
        <v/>
      </c>
      <c r="S3933" s="523" t="n">
        <v>44870</v>
      </c>
      <c r="T3933" s="522" t="inlineStr">
        <is>
          <t>59013711</t>
        </is>
      </c>
      <c r="U3933" s="522" t="inlineStr">
        <is>
          <t>L001-901905215</t>
        </is>
      </c>
      <c r="V3933" s="522" t="inlineStr">
        <is>
          <t>វីអ៊ីស៊ិន (ខេមបូឌា) អ៊ិនដាសស្ទ្រី ឯ.ក</t>
        </is>
      </c>
      <c r="W3933" s="556" t="n">
        <v>56119</v>
      </c>
    </row>
    <row r="3934">
      <c r="A3934" s="521" t="n">
        <v>3926</v>
      </c>
      <c r="B3934" s="522" t="inlineStr">
        <is>
          <t>Foreign Sale</t>
        </is>
      </c>
      <c r="C3934" s="522" t="inlineStr">
        <is>
          <t>មើស្គ (ខេមបូឌា)</t>
        </is>
      </c>
      <c r="D3934" s="522" t="inlineStr">
        <is>
          <t>L001-100045200</t>
        </is>
      </c>
      <c r="E3934" s="521" t="inlineStr">
        <is>
          <t>5995905487</t>
        </is>
      </c>
      <c r="F3934" s="523" t="n">
        <v>44875</v>
      </c>
      <c r="G3934" s="556" t="n">
        <v>126392</v>
      </c>
      <c r="I3934" s="521">
        <f>G3934</f>
        <v/>
      </c>
      <c r="K3934" s="521">
        <f>I3934-G3934</f>
        <v/>
      </c>
      <c r="M3934" s="522" t="inlineStr">
        <is>
          <t>5995905487</t>
        </is>
      </c>
      <c r="N3934" s="522" t="inlineStr">
        <is>
          <t>5995905487</t>
        </is>
      </c>
      <c r="O3934" s="521">
        <f>M3934=N3934</f>
        <v/>
      </c>
      <c r="P3934" s="521">
        <f>AND(MONTH(F3934)=MONTH(S3934), YEAR(F3934)=YEAR(S3934))</f>
        <v/>
      </c>
      <c r="Q3934" s="521">
        <f>U3934="L001-901905215"</f>
        <v/>
      </c>
      <c r="R3934" s="556">
        <f>G3934-W3934</f>
        <v/>
      </c>
      <c r="S3934" s="523" t="n">
        <v>44875</v>
      </c>
      <c r="T3934" s="522" t="inlineStr">
        <is>
          <t>5995905487</t>
        </is>
      </c>
      <c r="U3934" s="522" t="inlineStr">
        <is>
          <t>L001-901905215</t>
        </is>
      </c>
      <c r="V3934" s="522" t="inlineStr">
        <is>
          <t>វីអ៊ីស៊ិន (ខេមបូឌា) អ៊ិនដាសស្ទ្រី ឯ.ក</t>
        </is>
      </c>
      <c r="W3934" s="556" t="n">
        <v>126392</v>
      </c>
    </row>
    <row r="3935">
      <c r="A3935" s="521" t="n">
        <v>3927</v>
      </c>
      <c r="B3935" s="522" t="inlineStr">
        <is>
          <t>Lift-On &amp; Lift-Off</t>
        </is>
      </c>
      <c r="C3935" s="522" t="inlineStr">
        <is>
          <t>កំពង់ផែស្វយ័តក្រុងព្រះសីហនុ</t>
        </is>
      </c>
      <c r="D3935" s="522" t="inlineStr">
        <is>
          <t>L001-100044638</t>
        </is>
      </c>
      <c r="E3935" s="521" t="inlineStr">
        <is>
          <t>196415</t>
        </is>
      </c>
      <c r="F3935" s="523" t="n">
        <v>44880</v>
      </c>
      <c r="G3935" s="556" t="n">
        <v>36053</v>
      </c>
      <c r="I3935" s="521">
        <f>G3935</f>
        <v/>
      </c>
      <c r="K3935" s="521">
        <f>I3935-G3935</f>
        <v/>
      </c>
      <c r="M3935" s="522" t="inlineStr">
        <is>
          <t>196415</t>
        </is>
      </c>
      <c r="N3935" s="522" t="inlineStr"/>
      <c r="O3935" s="521">
        <f>M3935=N3935</f>
        <v/>
      </c>
      <c r="P3935" s="521">
        <f>AND(MONTH(F3935)=MONTH(S3935), YEAR(F3935)=YEAR(S3935))</f>
        <v/>
      </c>
      <c r="Q3935" s="521">
        <f>U3935="L001-901905215"</f>
        <v/>
      </c>
      <c r="R3935" s="556">
        <f>G3935-W3935</f>
        <v/>
      </c>
      <c r="S3935" s="521" t="n"/>
      <c r="T3935" s="522" t="n"/>
      <c r="U3935" s="522" t="n"/>
      <c r="V3935" s="522" t="n"/>
      <c r="W3935" s="521" t="n"/>
    </row>
    <row r="3936">
      <c r="A3936" s="521" t="n">
        <v>3928</v>
      </c>
      <c r="B3936" s="522" t="inlineStr">
        <is>
          <t>Trucking Fee</t>
        </is>
      </c>
      <c r="C3936" s="522" t="inlineStr">
        <is>
          <t>ហាវតាយ អ៊ិនធើណេសិនណល ឡូជីស្ទីក ឯ.ក</t>
        </is>
      </c>
      <c r="D3936" s="522" t="inlineStr">
        <is>
          <t>K007-902202863</t>
        </is>
      </c>
      <c r="E3936" s="521" t="inlineStr">
        <is>
          <t>HT220070</t>
        </is>
      </c>
      <c r="F3936" s="523" t="n">
        <v>44895</v>
      </c>
      <c r="G3936" s="556" t="n">
        <v>251442</v>
      </c>
      <c r="I3936" s="521">
        <f>G3936</f>
        <v/>
      </c>
      <c r="K3936" s="521">
        <f>I3936-G3936</f>
        <v/>
      </c>
      <c r="M3936" s="522" t="inlineStr">
        <is>
          <t>HT220070</t>
        </is>
      </c>
      <c r="N3936" s="522" t="inlineStr">
        <is>
          <t>HT220070</t>
        </is>
      </c>
      <c r="O3936" s="521">
        <f>M3936=N3936</f>
        <v/>
      </c>
      <c r="P3936" s="521">
        <f>AND(MONTH(F3936)=MONTH(S3936), YEAR(F3936)=YEAR(S3936))</f>
        <v/>
      </c>
      <c r="Q3936" s="521">
        <f>U3936="L001-901905215"</f>
        <v/>
      </c>
      <c r="R3936" s="556">
        <f>G3936-W3936</f>
        <v/>
      </c>
      <c r="S3936" s="523" t="n">
        <v>44895</v>
      </c>
      <c r="T3936" s="522" t="inlineStr">
        <is>
          <t>HT220070</t>
        </is>
      </c>
      <c r="U3936" s="522" t="inlineStr">
        <is>
          <t>L001-901905215</t>
        </is>
      </c>
      <c r="V3936" s="522" t="inlineStr">
        <is>
          <t>វីអ៊ីស៊ិន (ខេមបូឌា) អ៊ិនដាសស្ទ្រី ឯ.ក</t>
        </is>
      </c>
      <c r="W3936" s="556" t="n">
        <v>251442</v>
      </c>
    </row>
    <row r="3937">
      <c r="A3937" s="521" t="n">
        <v>3929</v>
      </c>
      <c r="B3937" s="522" t="inlineStr">
        <is>
          <t>Trucking Fee</t>
        </is>
      </c>
      <c r="C3937" s="522" t="inlineStr">
        <is>
          <t>អេសអាយធីស៊ី ខិនថេនើរ ឡាញ (ខេមបូឌា)</t>
        </is>
      </c>
      <c r="D3937" s="522" t="inlineStr">
        <is>
          <t>L001-107035863</t>
        </is>
      </c>
      <c r="E3937" s="521" t="inlineStr">
        <is>
          <t>SITC2022022879</t>
        </is>
      </c>
      <c r="F3937" s="523" t="n">
        <v>44877</v>
      </c>
      <c r="G3937" s="556" t="n">
        <v>437087</v>
      </c>
      <c r="I3937" s="521">
        <f>G3937</f>
        <v/>
      </c>
      <c r="K3937" s="521">
        <f>I3937-G3937</f>
        <v/>
      </c>
      <c r="M3937" s="522" t="inlineStr">
        <is>
          <t>SITC2022022879</t>
        </is>
      </c>
      <c r="N3937" s="522" t="inlineStr">
        <is>
          <t>SITC2022022879</t>
        </is>
      </c>
      <c r="O3937" s="521">
        <f>M3937=N3937</f>
        <v/>
      </c>
      <c r="P3937" s="521">
        <f>AND(MONTH(F3937)=MONTH(S3937), YEAR(F3937)=YEAR(S3937))</f>
        <v/>
      </c>
      <c r="Q3937" s="521">
        <f>U3937="L001-901905215"</f>
        <v/>
      </c>
      <c r="R3937" s="556">
        <f>G3937-W3937</f>
        <v/>
      </c>
      <c r="S3937" s="523" t="n">
        <v>44877</v>
      </c>
      <c r="T3937" s="522" t="inlineStr">
        <is>
          <t>SITC2022-022879</t>
        </is>
      </c>
      <c r="U3937" s="522" t="inlineStr">
        <is>
          <t>L001-901905215</t>
        </is>
      </c>
      <c r="V3937" s="522" t="inlineStr">
        <is>
          <t>វីអ៊ីស៊ិន (ខេមបូឌា) អ៊ិនដាសស្ទ្រី ឯ.ក</t>
        </is>
      </c>
      <c r="W3937" s="556" t="n">
        <v>437087</v>
      </c>
    </row>
    <row r="3938">
      <c r="A3938" s="521" t="n">
        <v>3930</v>
      </c>
      <c r="B3938" s="522" t="inlineStr">
        <is>
          <t>Lift-On &amp; Lift-Off</t>
        </is>
      </c>
      <c r="C3938" s="522" t="inlineStr">
        <is>
          <t>កំពង់ផែស្វយ័តក្រុងព្រះសីហនុ</t>
        </is>
      </c>
      <c r="D3938" s="522" t="inlineStr">
        <is>
          <t>L001-100044638</t>
        </is>
      </c>
      <c r="E3938" s="521" t="inlineStr">
        <is>
          <t>196780</t>
        </is>
      </c>
      <c r="F3938" s="523" t="n">
        <v>44881</v>
      </c>
      <c r="G3938" s="556" t="n">
        <v>72036</v>
      </c>
      <c r="I3938" s="521">
        <f>G3938</f>
        <v/>
      </c>
      <c r="K3938" s="521">
        <f>I3938-G3938</f>
        <v/>
      </c>
      <c r="M3938" s="522" t="inlineStr">
        <is>
          <t>196780</t>
        </is>
      </c>
      <c r="N3938" s="522" t="inlineStr"/>
      <c r="O3938" s="521">
        <f>M3938=N3938</f>
        <v/>
      </c>
      <c r="P3938" s="521">
        <f>AND(MONTH(F3938)=MONTH(S3938), YEAR(F3938)=YEAR(S3938))</f>
        <v/>
      </c>
      <c r="Q3938" s="521">
        <f>U3938="L001-901905215"</f>
        <v/>
      </c>
      <c r="R3938" s="556">
        <f>G3938-W3938</f>
        <v/>
      </c>
      <c r="S3938" s="521" t="n"/>
      <c r="T3938" s="522" t="n"/>
      <c r="U3938" s="522" t="n"/>
      <c r="V3938" s="522" t="n"/>
      <c r="W3938" s="521" t="n"/>
    </row>
    <row r="3939">
      <c r="A3939" s="521" t="n">
        <v>3931</v>
      </c>
      <c r="B3939" s="522" t="inlineStr">
        <is>
          <t>Trucking Fee</t>
        </is>
      </c>
      <c r="C3939" s="522" t="inlineStr">
        <is>
          <t>ហាវតាយ អ៊ិនធើណេសិនណល ឡូជីស្ទីក ឯ.ក</t>
        </is>
      </c>
      <c r="D3939" s="522" t="inlineStr">
        <is>
          <t>K007-902202863</t>
        </is>
      </c>
      <c r="E3939" s="521" t="inlineStr">
        <is>
          <t>HT220069</t>
        </is>
      </c>
      <c r="F3939" s="523" t="n">
        <v>44895</v>
      </c>
      <c r="G3939" s="556" t="n">
        <v>502884</v>
      </c>
      <c r="I3939" s="521">
        <f>G3939</f>
        <v/>
      </c>
      <c r="K3939" s="521">
        <f>I3939-G3939</f>
        <v/>
      </c>
      <c r="M3939" s="522" t="inlineStr">
        <is>
          <t>HT220069</t>
        </is>
      </c>
      <c r="N3939" s="522" t="inlineStr">
        <is>
          <t>HT220069</t>
        </is>
      </c>
      <c r="O3939" s="521">
        <f>M3939=N3939</f>
        <v/>
      </c>
      <c r="P3939" s="521">
        <f>AND(MONTH(F3939)=MONTH(S3939), YEAR(F3939)=YEAR(S3939))</f>
        <v/>
      </c>
      <c r="Q3939" s="521">
        <f>U3939="L001-901905215"</f>
        <v/>
      </c>
      <c r="R3939" s="556">
        <f>G3939-W3939</f>
        <v/>
      </c>
      <c r="S3939" s="523" t="n">
        <v>44895</v>
      </c>
      <c r="T3939" s="522" t="inlineStr">
        <is>
          <t>HT220069</t>
        </is>
      </c>
      <c r="U3939" s="522" t="inlineStr">
        <is>
          <t>L001-901905215</t>
        </is>
      </c>
      <c r="V3939" s="522" t="inlineStr">
        <is>
          <t>វីអ៊ីស៊ិន (ខេមបូឌា) អ៊ិនដាសស្ទ្រី ឯ.ក</t>
        </is>
      </c>
      <c r="W3939" s="556" t="n">
        <v>502884</v>
      </c>
    </row>
    <row r="3940">
      <c r="A3940" s="521" t="n">
        <v>3932</v>
      </c>
      <c r="B3940" s="522" t="inlineStr">
        <is>
          <t>Trucking Fee</t>
        </is>
      </c>
      <c r="C3940" s="522" t="inlineStr">
        <is>
          <t>អេសអាយធីស៊ី ខិនថេនើរ ឡាញ (ខេមបូឌា)</t>
        </is>
      </c>
      <c r="D3940" s="522" t="inlineStr">
        <is>
          <t>L001-107035863</t>
        </is>
      </c>
      <c r="E3940" s="521" t="inlineStr">
        <is>
          <t>SITC2022022362</t>
        </is>
      </c>
      <c r="F3940" s="523" t="n">
        <v>44871</v>
      </c>
      <c r="G3940" s="556" t="n">
        <v>229937</v>
      </c>
      <c r="I3940" s="521">
        <f>G3940</f>
        <v/>
      </c>
      <c r="K3940" s="521">
        <f>I3940-G3940</f>
        <v/>
      </c>
      <c r="M3940" s="522" t="inlineStr">
        <is>
          <t>SITC2022022362</t>
        </is>
      </c>
      <c r="N3940" s="522" t="inlineStr">
        <is>
          <t>SITC2022022362</t>
        </is>
      </c>
      <c r="O3940" s="521">
        <f>M3940=N3940</f>
        <v/>
      </c>
      <c r="P3940" s="521">
        <f>AND(MONTH(F3940)=MONTH(S3940), YEAR(F3940)=YEAR(S3940))</f>
        <v/>
      </c>
      <c r="Q3940" s="521">
        <f>U3940="L001-901905215"</f>
        <v/>
      </c>
      <c r="R3940" s="556">
        <f>G3940-W3940</f>
        <v/>
      </c>
      <c r="S3940" s="523" t="n">
        <v>44871</v>
      </c>
      <c r="T3940" s="522" t="inlineStr">
        <is>
          <t>SITC2022-022362</t>
        </is>
      </c>
      <c r="U3940" s="522" t="inlineStr">
        <is>
          <t>L001-901905215</t>
        </is>
      </c>
      <c r="V3940" s="522" t="inlineStr">
        <is>
          <t>វីអ៊ីស៊ិន (ខេមបូឌា) អ៊ិនដាសស្ទ្រី ឯ.ក</t>
        </is>
      </c>
      <c r="W3940" s="556" t="n">
        <v>229937</v>
      </c>
    </row>
    <row r="3941">
      <c r="A3941" s="521" t="n">
        <v>3933</v>
      </c>
      <c r="B3941" s="522" t="inlineStr">
        <is>
          <t>Lift-On &amp; Lift-Off</t>
        </is>
      </c>
      <c r="C3941" s="522" t="inlineStr">
        <is>
          <t>កំពង់ផែស្វយ័តក្រុងព្រះសីហនុ</t>
        </is>
      </c>
      <c r="D3941" s="522" t="inlineStr">
        <is>
          <t>L001-100044638</t>
        </is>
      </c>
      <c r="E3941" s="521" t="inlineStr">
        <is>
          <t>194126</t>
        </is>
      </c>
      <c r="F3941" s="523" t="n">
        <v>44876</v>
      </c>
      <c r="G3941" s="556" t="n">
        <v>36044</v>
      </c>
      <c r="I3941" s="521">
        <f>G3941</f>
        <v/>
      </c>
      <c r="K3941" s="521">
        <f>I3941-G3941</f>
        <v/>
      </c>
      <c r="M3941" s="522" t="inlineStr">
        <is>
          <t>194126</t>
        </is>
      </c>
      <c r="N3941" s="522" t="inlineStr"/>
      <c r="O3941" s="521">
        <f>M3941=N3941</f>
        <v/>
      </c>
      <c r="P3941" s="521">
        <f>AND(MONTH(F3941)=MONTH(S3941), YEAR(F3941)=YEAR(S3941))</f>
        <v/>
      </c>
      <c r="Q3941" s="521">
        <f>U3941="L001-901905215"</f>
        <v/>
      </c>
      <c r="R3941" s="556">
        <f>G3941-W3941</f>
        <v/>
      </c>
      <c r="S3941" s="521" t="n"/>
      <c r="T3941" s="522" t="n"/>
      <c r="U3941" s="522" t="n"/>
      <c r="V3941" s="522" t="n"/>
      <c r="W3941" s="521" t="n"/>
    </row>
    <row r="3942">
      <c r="A3942" s="521" t="n">
        <v>3934</v>
      </c>
      <c r="B3942" s="522" t="inlineStr">
        <is>
          <t>Trucking Fee</t>
        </is>
      </c>
      <c r="C3942" s="522" t="inlineStr">
        <is>
          <t>ហាវតាយ អ៊ិនធើណេសិនណល ឡូជីស្ទីក ឯ.ក</t>
        </is>
      </c>
      <c r="D3942" s="522" t="inlineStr">
        <is>
          <t>K007-902202863</t>
        </is>
      </c>
      <c r="E3942" s="521" t="inlineStr">
        <is>
          <t>HT220068</t>
        </is>
      </c>
      <c r="F3942" s="523" t="n">
        <v>44895</v>
      </c>
      <c r="G3942" s="556" t="n">
        <v>251442</v>
      </c>
      <c r="I3942" s="521">
        <f>G3942</f>
        <v/>
      </c>
      <c r="K3942" s="521">
        <f>I3942-G3942</f>
        <v/>
      </c>
      <c r="M3942" s="522" t="inlineStr">
        <is>
          <t>HT220068</t>
        </is>
      </c>
      <c r="N3942" s="522" t="inlineStr">
        <is>
          <t>HT220068</t>
        </is>
      </c>
      <c r="O3942" s="521">
        <f>M3942=N3942</f>
        <v/>
      </c>
      <c r="P3942" s="521">
        <f>AND(MONTH(F3942)=MONTH(S3942), YEAR(F3942)=YEAR(S3942))</f>
        <v/>
      </c>
      <c r="Q3942" s="521">
        <f>U3942="L001-901905215"</f>
        <v/>
      </c>
      <c r="R3942" s="556">
        <f>G3942-W3942</f>
        <v/>
      </c>
      <c r="S3942" s="523" t="n">
        <v>44895</v>
      </c>
      <c r="T3942" s="522" t="inlineStr">
        <is>
          <t>HT220068</t>
        </is>
      </c>
      <c r="U3942" s="522" t="inlineStr">
        <is>
          <t>L001-901905215</t>
        </is>
      </c>
      <c r="V3942" s="522" t="inlineStr">
        <is>
          <t>វីអ៊ីស៊ិន (ខេមបូឌា) អ៊ិនដាសស្ទ្រី ឯ.ក</t>
        </is>
      </c>
      <c r="W3942" s="556" t="n">
        <v>251442</v>
      </c>
    </row>
    <row r="3943">
      <c r="A3943" s="521" t="n">
        <v>3935</v>
      </c>
      <c r="B3943" s="522" t="inlineStr">
        <is>
          <t>Trucking Fee</t>
        </is>
      </c>
      <c r="C3943" s="522" t="inlineStr">
        <is>
          <t>អេសអាយធីស៊ី ខិនថេនើរ ឡាញ (ខេមបូឌា)</t>
        </is>
      </c>
      <c r="D3943" s="522" t="inlineStr">
        <is>
          <t>L001-107035863</t>
        </is>
      </c>
      <c r="E3943" s="521" t="inlineStr">
        <is>
          <t>SITC2022022496</t>
        </is>
      </c>
      <c r="F3943" s="523" t="n">
        <v>44873</v>
      </c>
      <c r="G3943" s="556" t="n">
        <v>557233</v>
      </c>
      <c r="I3943" s="521">
        <f>G3943</f>
        <v/>
      </c>
      <c r="K3943" s="521">
        <f>I3943-G3943</f>
        <v/>
      </c>
      <c r="M3943" s="522" t="inlineStr">
        <is>
          <t>SITC2022022496</t>
        </is>
      </c>
      <c r="N3943" s="522" t="inlineStr">
        <is>
          <t>SITC2022022496</t>
        </is>
      </c>
      <c r="O3943" s="521">
        <f>M3943=N3943</f>
        <v/>
      </c>
      <c r="P3943" s="521">
        <f>AND(MONTH(F3943)=MONTH(S3943), YEAR(F3943)=YEAR(S3943))</f>
        <v/>
      </c>
      <c r="Q3943" s="521">
        <f>U3943="L001-901905215"</f>
        <v/>
      </c>
      <c r="R3943" s="556">
        <f>G3943-W3943</f>
        <v/>
      </c>
      <c r="S3943" s="523" t="n">
        <v>44873</v>
      </c>
      <c r="T3943" s="522" t="inlineStr">
        <is>
          <t>SITC2022-022496</t>
        </is>
      </c>
      <c r="U3943" s="522" t="inlineStr">
        <is>
          <t>L001-901905215</t>
        </is>
      </c>
      <c r="V3943" s="522" t="inlineStr">
        <is>
          <t>វីអ៊ីស៊ិន (ខេមបូឌា) អ៊ិនដាសស្ទ្រី ឯ.ក</t>
        </is>
      </c>
      <c r="W3943" s="556" t="n">
        <v>557234</v>
      </c>
    </row>
    <row r="3944">
      <c r="A3944" s="521" t="n">
        <v>3936</v>
      </c>
      <c r="B3944" s="522" t="inlineStr">
        <is>
          <t>Lift-On &amp; Lift-Off</t>
        </is>
      </c>
      <c r="C3944" s="522" t="inlineStr">
        <is>
          <t>កំពង់ផែស្វយ័តក្រុងព្រះសីហនុ</t>
        </is>
      </c>
      <c r="D3944" s="522" t="inlineStr">
        <is>
          <t>L001-100044638</t>
        </is>
      </c>
      <c r="E3944" s="521" t="inlineStr">
        <is>
          <t>194823</t>
        </is>
      </c>
      <c r="F3944" s="523" t="n">
        <v>44877</v>
      </c>
      <c r="G3944" s="556" t="n">
        <v>95703</v>
      </c>
      <c r="I3944" s="521">
        <f>G3944</f>
        <v/>
      </c>
      <c r="K3944" s="521">
        <f>I3944-G3944</f>
        <v/>
      </c>
      <c r="M3944" s="522" t="inlineStr">
        <is>
          <t>194823</t>
        </is>
      </c>
      <c r="N3944" s="522" t="inlineStr"/>
      <c r="O3944" s="521">
        <f>M3944=N3944</f>
        <v/>
      </c>
      <c r="P3944" s="521">
        <f>AND(MONTH(F3944)=MONTH(S3944), YEAR(F3944)=YEAR(S3944))</f>
        <v/>
      </c>
      <c r="Q3944" s="521">
        <f>U3944="L001-901905215"</f>
        <v/>
      </c>
      <c r="R3944" s="556">
        <f>G3944-W3944</f>
        <v/>
      </c>
      <c r="S3944" s="521" t="n"/>
      <c r="T3944" s="522" t="n"/>
      <c r="U3944" s="522" t="n"/>
      <c r="V3944" s="522" t="n"/>
      <c r="W3944" s="521" t="n"/>
    </row>
    <row r="3945">
      <c r="A3945" s="521" t="n">
        <v>3937</v>
      </c>
      <c r="B3945" s="522" t="inlineStr">
        <is>
          <t>Trucking Fee</t>
        </is>
      </c>
      <c r="C3945" s="522" t="inlineStr">
        <is>
          <t>ហាវតាយ អ៊ិនធើណេសិនណល ឡូជីស្ទីក ឯ.ក</t>
        </is>
      </c>
      <c r="D3945" s="522" t="inlineStr">
        <is>
          <t>K007-902202863</t>
        </is>
      </c>
      <c r="E3945" s="521" t="inlineStr">
        <is>
          <t>HT220067</t>
        </is>
      </c>
      <c r="F3945" s="523" t="n">
        <v>44895</v>
      </c>
      <c r="G3945" s="556" t="n">
        <v>746082</v>
      </c>
      <c r="I3945" s="521">
        <f>G3945</f>
        <v/>
      </c>
      <c r="K3945" s="521">
        <f>I3945-G3945</f>
        <v/>
      </c>
      <c r="M3945" s="522" t="inlineStr">
        <is>
          <t>HT220067</t>
        </is>
      </c>
      <c r="N3945" s="522" t="inlineStr">
        <is>
          <t>HT220067</t>
        </is>
      </c>
      <c r="O3945" s="521">
        <f>M3945=N3945</f>
        <v/>
      </c>
      <c r="P3945" s="521">
        <f>AND(MONTH(F3945)=MONTH(S3945), YEAR(F3945)=YEAR(S3945))</f>
        <v/>
      </c>
      <c r="Q3945" s="521">
        <f>U3945="L001-901905215"</f>
        <v/>
      </c>
      <c r="R3945" s="556">
        <f>G3945-W3945</f>
        <v/>
      </c>
      <c r="S3945" s="523" t="n">
        <v>44895</v>
      </c>
      <c r="T3945" s="522" t="inlineStr">
        <is>
          <t>HT220067</t>
        </is>
      </c>
      <c r="U3945" s="522" t="inlineStr">
        <is>
          <t>L001-901905215</t>
        </is>
      </c>
      <c r="V3945" s="522" t="inlineStr">
        <is>
          <t>វីអ៊ីស៊ិន (ខេមបូឌា) អ៊ិនដាសស្ទ្រី ឯ.ក</t>
        </is>
      </c>
      <c r="W3945" s="556" t="n">
        <v>746082</v>
      </c>
    </row>
    <row r="3946">
      <c r="A3946" s="521" t="n">
        <v>3938</v>
      </c>
      <c r="B3946" s="522" t="inlineStr">
        <is>
          <t>Trucking Fee</t>
        </is>
      </c>
      <c r="C3946" s="522" t="inlineStr">
        <is>
          <t>អេសអាយធីស៊ី ខិនថេនើរ ឡាញ (ខេមបូឌា)</t>
        </is>
      </c>
      <c r="D3946" s="522" t="inlineStr">
        <is>
          <t>L001-107035863</t>
        </is>
      </c>
      <c r="E3946" s="521" t="inlineStr">
        <is>
          <t>SITC2022021998</t>
        </is>
      </c>
      <c r="F3946" s="523" t="n">
        <v>44866</v>
      </c>
      <c r="G3946" s="556" t="n">
        <v>436770</v>
      </c>
      <c r="I3946" s="521">
        <f>G3946</f>
        <v/>
      </c>
      <c r="K3946" s="521">
        <f>I3946-G3946</f>
        <v/>
      </c>
      <c r="M3946" s="522" t="inlineStr">
        <is>
          <t>SITC2022021998</t>
        </is>
      </c>
      <c r="N3946" s="522" t="inlineStr"/>
      <c r="O3946" s="521">
        <f>M3946=N3946</f>
        <v/>
      </c>
      <c r="P3946" s="521">
        <f>AND(MONTH(F3946)=MONTH(S3946), YEAR(F3946)=YEAR(S3946))</f>
        <v/>
      </c>
      <c r="Q3946" s="521">
        <f>U3946="L001-901905215"</f>
        <v/>
      </c>
      <c r="R3946" s="556">
        <f>G3946-W3946</f>
        <v/>
      </c>
      <c r="S3946" s="521" t="n"/>
      <c r="T3946" s="522" t="n"/>
      <c r="U3946" s="522" t="n"/>
      <c r="V3946" s="522" t="n"/>
      <c r="W3946" s="521" t="n"/>
    </row>
    <row r="3947">
      <c r="A3947" s="521" t="n">
        <v>3939</v>
      </c>
      <c r="B3947" s="522" t="inlineStr">
        <is>
          <t>Lift-On &amp; Lift-Off</t>
        </is>
      </c>
      <c r="C3947" s="522" t="inlineStr">
        <is>
          <t>កំពង់ផែស្វយ័តក្រុងព្រះសីហនុ</t>
        </is>
      </c>
      <c r="D3947" s="522" t="inlineStr">
        <is>
          <t>L001-100044638</t>
        </is>
      </c>
      <c r="E3947" s="521" t="inlineStr">
        <is>
          <t>190296</t>
        </is>
      </c>
      <c r="F3947" s="523" t="n">
        <v>44867</v>
      </c>
      <c r="G3947" s="556" t="n">
        <v>72071</v>
      </c>
      <c r="I3947" s="521">
        <f>G3947</f>
        <v/>
      </c>
      <c r="K3947" s="521">
        <f>I3947-G3947</f>
        <v/>
      </c>
      <c r="M3947" s="522" t="inlineStr">
        <is>
          <t>190296</t>
        </is>
      </c>
      <c r="N3947" s="522" t="inlineStr"/>
      <c r="O3947" s="521">
        <f>M3947=N3947</f>
        <v/>
      </c>
      <c r="P3947" s="521">
        <f>AND(MONTH(F3947)=MONTH(S3947), YEAR(F3947)=YEAR(S3947))</f>
        <v/>
      </c>
      <c r="Q3947" s="521">
        <f>U3947="L001-901905215"</f>
        <v/>
      </c>
      <c r="R3947" s="556">
        <f>G3947-W3947</f>
        <v/>
      </c>
      <c r="S3947" s="521" t="n"/>
      <c r="T3947" s="522" t="n"/>
      <c r="U3947" s="522" t="n"/>
      <c r="V3947" s="522" t="n"/>
      <c r="W3947" s="521" t="n"/>
    </row>
    <row r="3948">
      <c r="A3948" s="521" t="n">
        <v>3940</v>
      </c>
      <c r="B3948" s="522" t="inlineStr">
        <is>
          <t>Trucking Fee</t>
        </is>
      </c>
      <c r="C3948" s="522" t="inlineStr">
        <is>
          <t>ហាវតាយ អ៊ិនធើណេសិនណល ឡូជីស្ទីក ឯ.ក</t>
        </is>
      </c>
      <c r="D3948" s="522" t="inlineStr">
        <is>
          <t>K007-902202863</t>
        </is>
      </c>
      <c r="E3948" s="521" t="inlineStr">
        <is>
          <t>HT220066</t>
        </is>
      </c>
      <c r="F3948" s="523" t="n">
        <v>44893</v>
      </c>
      <c r="G3948" s="556" t="n">
        <v>504348</v>
      </c>
      <c r="I3948" s="521">
        <f>G3948</f>
        <v/>
      </c>
      <c r="K3948" s="521">
        <f>I3948-G3948</f>
        <v/>
      </c>
      <c r="M3948" s="522" t="inlineStr">
        <is>
          <t>HT220066</t>
        </is>
      </c>
      <c r="N3948" s="522" t="inlineStr">
        <is>
          <t>HT220066</t>
        </is>
      </c>
      <c r="O3948" s="521">
        <f>M3948=N3948</f>
        <v/>
      </c>
      <c r="P3948" s="521">
        <f>AND(MONTH(F3948)=MONTH(S3948), YEAR(F3948)=YEAR(S3948))</f>
        <v/>
      </c>
      <c r="Q3948" s="521">
        <f>U3948="L001-901905215"</f>
        <v/>
      </c>
      <c r="R3948" s="556">
        <f>G3948-W3948</f>
        <v/>
      </c>
      <c r="S3948" s="523" t="n">
        <v>44893</v>
      </c>
      <c r="T3948" s="522" t="inlineStr">
        <is>
          <t>HT220066</t>
        </is>
      </c>
      <c r="U3948" s="522" t="inlineStr">
        <is>
          <t>L001-901905215</t>
        </is>
      </c>
      <c r="V3948" s="522" t="inlineStr">
        <is>
          <t>វីអ៊ីស៊ិន (ខេមបូឌា) អ៊ិនដាសស្ទ្រី ឯ.ក</t>
        </is>
      </c>
      <c r="W3948" s="556" t="n">
        <v>504348</v>
      </c>
    </row>
    <row r="3949">
      <c r="A3949" s="521" t="n">
        <v>3941</v>
      </c>
      <c r="B3949" s="522" t="inlineStr">
        <is>
          <t>THC</t>
        </is>
      </c>
      <c r="C3949" s="522" t="inlineStr">
        <is>
          <t>ខូស្កូ ស៊ីបភីង ឡាញ (ខេមបូឌា) ឯ.ក</t>
        </is>
      </c>
      <c r="D3949" s="522" t="inlineStr">
        <is>
          <t>L001-100103383</t>
        </is>
      </c>
      <c r="E3949" s="521" t="inlineStr">
        <is>
          <t>COS2210-13206</t>
        </is>
      </c>
      <c r="F3949" s="523" t="n">
        <v>44866</v>
      </c>
      <c r="G3949" s="556" t="n">
        <v>217613</v>
      </c>
      <c r="I3949" s="521">
        <f>G3949</f>
        <v/>
      </c>
      <c r="K3949" s="521">
        <f>I3949-G3949</f>
        <v/>
      </c>
      <c r="M3949" s="522" t="inlineStr">
        <is>
          <t>COS221013206</t>
        </is>
      </c>
      <c r="N3949" s="522" t="inlineStr"/>
      <c r="O3949" s="521">
        <f>M3949=N3949</f>
        <v/>
      </c>
      <c r="P3949" s="521">
        <f>AND(MONTH(F3949)=MONTH(S3949), YEAR(F3949)=YEAR(S3949))</f>
        <v/>
      </c>
      <c r="Q3949" s="521">
        <f>U3949="L001-901905215"</f>
        <v/>
      </c>
      <c r="R3949" s="556">
        <f>G3949-W3949</f>
        <v/>
      </c>
      <c r="S3949" s="521" t="n"/>
      <c r="T3949" s="522" t="n"/>
      <c r="U3949" s="522" t="n"/>
      <c r="V3949" s="522" t="n"/>
      <c r="W3949" s="521" t="n"/>
    </row>
    <row r="3950">
      <c r="A3950" s="521" t="n">
        <v>3942</v>
      </c>
      <c r="B3950" s="522" t="inlineStr">
        <is>
          <t>Lift-On &amp; Lift-Off</t>
        </is>
      </c>
      <c r="C3950" s="522" t="inlineStr">
        <is>
          <t>កំពង់ផែស្វយ័តក្រុងព្រះសីហនុ</t>
        </is>
      </c>
      <c r="D3950" s="522" t="inlineStr">
        <is>
          <t>L001-100044638</t>
        </is>
      </c>
      <c r="E3950" s="521" t="inlineStr">
        <is>
          <t>188939</t>
        </is>
      </c>
      <c r="F3950" s="523" t="n">
        <v>44866</v>
      </c>
      <c r="G3950" s="556" t="n">
        <v>36027</v>
      </c>
      <c r="I3950" s="521">
        <f>G3950</f>
        <v/>
      </c>
      <c r="K3950" s="521">
        <f>I3950-G3950</f>
        <v/>
      </c>
      <c r="M3950" s="522" t="inlineStr">
        <is>
          <t>188939</t>
        </is>
      </c>
      <c r="N3950" s="522" t="inlineStr"/>
      <c r="O3950" s="521">
        <f>M3950=N3950</f>
        <v/>
      </c>
      <c r="P3950" s="521">
        <f>AND(MONTH(F3950)=MONTH(S3950), YEAR(F3950)=YEAR(S3950))</f>
        <v/>
      </c>
      <c r="Q3950" s="521">
        <f>U3950="L001-901905215"</f>
        <v/>
      </c>
      <c r="R3950" s="556">
        <f>G3950-W3950</f>
        <v/>
      </c>
      <c r="S3950" s="521" t="n"/>
      <c r="T3950" s="522" t="n"/>
      <c r="U3950" s="522" t="n"/>
      <c r="V3950" s="522" t="n"/>
      <c r="W3950" s="521" t="n"/>
    </row>
    <row r="3951">
      <c r="A3951" s="521" t="n">
        <v>3943</v>
      </c>
      <c r="B3951" s="522" t="inlineStr">
        <is>
          <t>Trucking Fee</t>
        </is>
      </c>
      <c r="C3951" s="522" t="inlineStr">
        <is>
          <t>ហាវតាយ អ៊ិនធើណេសិនណល ឡូជីស្ទីក ឯ.ក</t>
        </is>
      </c>
      <c r="D3951" s="522" t="inlineStr">
        <is>
          <t>K007-902202863</t>
        </is>
      </c>
      <c r="E3951" s="521" t="inlineStr">
        <is>
          <t>HT220065</t>
        </is>
      </c>
      <c r="F3951" s="523" t="n">
        <v>44893</v>
      </c>
      <c r="G3951" s="556" t="n">
        <v>252174</v>
      </c>
      <c r="I3951" s="521">
        <f>G3951</f>
        <v/>
      </c>
      <c r="K3951" s="521">
        <f>I3951-G3951</f>
        <v/>
      </c>
      <c r="M3951" s="522" t="inlineStr">
        <is>
          <t>HT220065</t>
        </is>
      </c>
      <c r="N3951" s="522" t="inlineStr">
        <is>
          <t>HT220065</t>
        </is>
      </c>
      <c r="O3951" s="521">
        <f>M3951=N3951</f>
        <v/>
      </c>
      <c r="P3951" s="521">
        <f>AND(MONTH(F3951)=MONTH(S3951), YEAR(F3951)=YEAR(S3951))</f>
        <v/>
      </c>
      <c r="Q3951" s="521">
        <f>U3951="L001-901905215"</f>
        <v/>
      </c>
      <c r="R3951" s="556">
        <f>G3951-W3951</f>
        <v/>
      </c>
      <c r="S3951" s="523" t="n">
        <v>44893</v>
      </c>
      <c r="T3951" s="522" t="inlineStr">
        <is>
          <t>HT220065</t>
        </is>
      </c>
      <c r="U3951" s="522" t="inlineStr">
        <is>
          <t>L001-901905215</t>
        </is>
      </c>
      <c r="V3951" s="522" t="inlineStr">
        <is>
          <t>វីអ៊ីស៊ិន (ខេមបូឌា) អ៊ិនដាសស្ទ្រី ឯ.ក</t>
        </is>
      </c>
      <c r="W3951" s="556" t="n">
        <v>252174</v>
      </c>
    </row>
    <row r="3952">
      <c r="A3952" s="521" t="n">
        <v>3944</v>
      </c>
      <c r="B3952" s="522" t="inlineStr">
        <is>
          <t>Terminal Handling Charge</t>
        </is>
      </c>
      <c r="C3952" s="522" t="inlineStr">
        <is>
          <t>អេវើរហ្គ្រីន ស៊ីបភីង សឺវីស (ខេមបូឌា) ឯ.ក</t>
        </is>
      </c>
      <c r="D3952" s="522" t="inlineStr">
        <is>
          <t>L001-901705421</t>
        </is>
      </c>
      <c r="E3952" s="521" t="inlineStr">
        <is>
          <t>IY22010090</t>
        </is>
      </c>
      <c r="F3952" s="523" t="n">
        <v>44866</v>
      </c>
      <c r="G3952" s="556" t="n">
        <v>213468</v>
      </c>
      <c r="I3952" s="521">
        <f>G3952</f>
        <v/>
      </c>
      <c r="K3952" s="521">
        <f>I3952-G3952</f>
        <v/>
      </c>
      <c r="M3952" s="522" t="inlineStr">
        <is>
          <t>IY22010090</t>
        </is>
      </c>
      <c r="N3952" s="522" t="inlineStr"/>
      <c r="O3952" s="521">
        <f>M3952=N3952</f>
        <v/>
      </c>
      <c r="P3952" s="521">
        <f>AND(MONTH(F3952)=MONTH(S3952), YEAR(F3952)=YEAR(S3952))</f>
        <v/>
      </c>
      <c r="Q3952" s="521">
        <f>U3952="L001-901905215"</f>
        <v/>
      </c>
      <c r="R3952" s="556">
        <f>G3952-W3952</f>
        <v/>
      </c>
      <c r="S3952" s="521" t="n"/>
      <c r="T3952" s="522" t="n"/>
      <c r="U3952" s="522" t="n"/>
      <c r="V3952" s="522" t="n"/>
      <c r="W3952" s="521" t="n"/>
    </row>
    <row r="3953">
      <c r="A3953" s="521" t="n">
        <v>3945</v>
      </c>
      <c r="B3953" s="522" t="inlineStr">
        <is>
          <t>Lift-On &amp; Lift-Off</t>
        </is>
      </c>
      <c r="C3953" s="522" t="inlineStr">
        <is>
          <t>កំពង់ផែស្វយ័តក្រុងព្រះសីហនុ</t>
        </is>
      </c>
      <c r="D3953" s="522" t="inlineStr">
        <is>
          <t>L001-100044638</t>
        </is>
      </c>
      <c r="E3953" s="521" t="inlineStr">
        <is>
          <t>190174</t>
        </is>
      </c>
      <c r="F3953" s="523" t="n">
        <v>44866</v>
      </c>
      <c r="G3953" s="556" t="n">
        <v>72053</v>
      </c>
      <c r="I3953" s="521">
        <f>G3953</f>
        <v/>
      </c>
      <c r="K3953" s="521">
        <f>I3953-G3953</f>
        <v/>
      </c>
      <c r="M3953" s="522" t="inlineStr">
        <is>
          <t>190174</t>
        </is>
      </c>
      <c r="N3953" s="522" t="inlineStr"/>
      <c r="O3953" s="521">
        <f>M3953=N3953</f>
        <v/>
      </c>
      <c r="P3953" s="521">
        <f>AND(MONTH(F3953)=MONTH(S3953), YEAR(F3953)=YEAR(S3953))</f>
        <v/>
      </c>
      <c r="Q3953" s="521">
        <f>U3953="L001-901905215"</f>
        <v/>
      </c>
      <c r="R3953" s="556">
        <f>G3953-W3953</f>
        <v/>
      </c>
      <c r="S3953" s="521" t="n"/>
      <c r="T3953" s="522" t="n"/>
      <c r="U3953" s="522" t="n"/>
      <c r="V3953" s="522" t="n"/>
      <c r="W3953" s="521" t="n"/>
    </row>
    <row r="3954">
      <c r="A3954" s="521" t="n">
        <v>3946</v>
      </c>
      <c r="B3954" s="522" t="inlineStr">
        <is>
          <t>Trucking Fee</t>
        </is>
      </c>
      <c r="C3954" s="522" t="inlineStr">
        <is>
          <t>ហាវតាយ អ៊ិនធើណេសិនណល ឡូជីស្ទីក ឯ.ក</t>
        </is>
      </c>
      <c r="D3954" s="522" t="inlineStr">
        <is>
          <t>K007-902202863</t>
        </is>
      </c>
      <c r="E3954" s="521" t="inlineStr">
        <is>
          <t>HT220064</t>
        </is>
      </c>
      <c r="F3954" s="523" t="n">
        <v>44893</v>
      </c>
      <c r="G3954" s="556" t="n">
        <v>504348</v>
      </c>
      <c r="I3954" s="521">
        <f>G3954</f>
        <v/>
      </c>
      <c r="K3954" s="521">
        <f>I3954-G3954</f>
        <v/>
      </c>
      <c r="M3954" s="522" t="inlineStr">
        <is>
          <t>HT220064</t>
        </is>
      </c>
      <c r="N3954" s="522" t="inlineStr">
        <is>
          <t>HT220064</t>
        </is>
      </c>
      <c r="O3954" s="521">
        <f>M3954=N3954</f>
        <v/>
      </c>
      <c r="P3954" s="521">
        <f>AND(MONTH(F3954)=MONTH(S3954), YEAR(F3954)=YEAR(S3954))</f>
        <v/>
      </c>
      <c r="Q3954" s="521">
        <f>U3954="L001-901905215"</f>
        <v/>
      </c>
      <c r="R3954" s="556">
        <f>G3954-W3954</f>
        <v/>
      </c>
      <c r="S3954" s="523" t="n">
        <v>44893</v>
      </c>
      <c r="T3954" s="522" t="inlineStr">
        <is>
          <t>HT220064</t>
        </is>
      </c>
      <c r="U3954" s="522" t="inlineStr">
        <is>
          <t>L001-901905215</t>
        </is>
      </c>
      <c r="V3954" s="522" t="inlineStr">
        <is>
          <t>វីអ៊ីស៊ិន (ខេមបូឌា) អ៊ិនដាសស្ទ្រី ឯ.ក</t>
        </is>
      </c>
      <c r="W3954" s="556" t="n">
        <v>504348</v>
      </c>
    </row>
    <row r="3955">
      <c r="A3955" s="521" t="n">
        <v>3947</v>
      </c>
      <c r="B3955" s="522" t="inlineStr">
        <is>
          <t>Trucking Fee</t>
        </is>
      </c>
      <c r="C3955" s="522" t="inlineStr">
        <is>
          <t>ឆាយ ដា ឡូយីស្ទីក</t>
        </is>
      </c>
      <c r="D3955" s="522" t="inlineStr">
        <is>
          <t>L001-100063098</t>
        </is>
      </c>
      <c r="E3955" s="521" t="inlineStr">
        <is>
          <t>2211013897</t>
        </is>
      </c>
      <c r="F3955" s="523" t="n">
        <v>44893</v>
      </c>
      <c r="G3955" s="556" t="n">
        <v>90535</v>
      </c>
      <c r="I3955" s="521">
        <f>G3955</f>
        <v/>
      </c>
      <c r="K3955" s="521">
        <f>I3955-G3955</f>
        <v/>
      </c>
      <c r="M3955" s="522" t="inlineStr">
        <is>
          <t>2211013897</t>
        </is>
      </c>
      <c r="N3955" s="522" t="inlineStr">
        <is>
          <t>2211013897</t>
        </is>
      </c>
      <c r="O3955" s="521">
        <f>M3955=N3955</f>
        <v/>
      </c>
      <c r="P3955" s="521">
        <f>AND(MONTH(F3955)=MONTH(S3955), YEAR(F3955)=YEAR(S3955))</f>
        <v/>
      </c>
      <c r="Q3955" s="521">
        <f>U3955="L001-901905215"</f>
        <v/>
      </c>
      <c r="R3955" s="556">
        <f>G3955-W3955</f>
        <v/>
      </c>
      <c r="S3955" s="523" t="n">
        <v>44893</v>
      </c>
      <c r="T3955" s="522" t="inlineStr">
        <is>
          <t>2211013897</t>
        </is>
      </c>
      <c r="U3955" s="522" t="inlineStr">
        <is>
          <t>L001-901905215</t>
        </is>
      </c>
      <c r="V3955" s="522" t="inlineStr">
        <is>
          <t>វីអ៊ីស៊ិន (ខេមបូឌា) អ៊ិនដាសស្ទ្រី ឯ.ក</t>
        </is>
      </c>
      <c r="W3955" s="556" t="n">
        <v>90535</v>
      </c>
    </row>
    <row r="3956">
      <c r="A3956" s="521" t="n">
        <v>3948</v>
      </c>
      <c r="B3956" s="522" t="inlineStr">
        <is>
          <t>Trucking Fee</t>
        </is>
      </c>
      <c r="C3956" s="522" t="inlineStr">
        <is>
          <t>ឆាយ ដា ឡូយីស្ទីក</t>
        </is>
      </c>
      <c r="D3956" s="522" t="inlineStr">
        <is>
          <t>L001-100063098</t>
        </is>
      </c>
      <c r="E3956" s="521" t="inlineStr">
        <is>
          <t>2211013902</t>
        </is>
      </c>
      <c r="F3956" s="523" t="n">
        <v>44893</v>
      </c>
      <c r="G3956" s="556" t="n">
        <v>90535</v>
      </c>
      <c r="I3956" s="521">
        <f>G3956</f>
        <v/>
      </c>
      <c r="K3956" s="521">
        <f>I3956-G3956</f>
        <v/>
      </c>
      <c r="M3956" s="522" t="inlineStr">
        <is>
          <t>2211013902</t>
        </is>
      </c>
      <c r="N3956" s="522" t="inlineStr">
        <is>
          <t>2211013902</t>
        </is>
      </c>
      <c r="O3956" s="521">
        <f>M3956=N3956</f>
        <v/>
      </c>
      <c r="P3956" s="521">
        <f>AND(MONTH(F3956)=MONTH(S3956), YEAR(F3956)=YEAR(S3956))</f>
        <v/>
      </c>
      <c r="Q3956" s="521">
        <f>U3956="L001-901905215"</f>
        <v/>
      </c>
      <c r="R3956" s="556">
        <f>G3956-W3956</f>
        <v/>
      </c>
      <c r="S3956" s="523" t="n">
        <v>44893</v>
      </c>
      <c r="T3956" s="522" t="inlineStr">
        <is>
          <t>2211013902</t>
        </is>
      </c>
      <c r="U3956" s="522" t="inlineStr">
        <is>
          <t>L001-901905215</t>
        </is>
      </c>
      <c r="V3956" s="522" t="inlineStr">
        <is>
          <t>វីអ៊ីស៊ិន (ខេមបូឌា) អ៊ិនដាសស្ទ្រី ឯ.ក</t>
        </is>
      </c>
      <c r="W3956" s="556" t="n">
        <v>90535</v>
      </c>
    </row>
    <row r="3957">
      <c r="A3957" s="521" t="n">
        <v>3949</v>
      </c>
      <c r="B3957" s="522" t="inlineStr">
        <is>
          <t>Trucking Fee</t>
        </is>
      </c>
      <c r="C3957" s="522" t="inlineStr">
        <is>
          <t>ឆាយ ដា ឡូយីស្ទីក</t>
        </is>
      </c>
      <c r="D3957" s="522" t="inlineStr">
        <is>
          <t>L001-100063098</t>
        </is>
      </c>
      <c r="E3957" s="521" t="inlineStr">
        <is>
          <t>2211013539</t>
        </is>
      </c>
      <c r="F3957" s="523" t="n">
        <v>44886</v>
      </c>
      <c r="G3957" s="556" t="n">
        <v>90600</v>
      </c>
      <c r="I3957" s="521">
        <f>G3957</f>
        <v/>
      </c>
      <c r="K3957" s="521">
        <f>I3957-G3957</f>
        <v/>
      </c>
      <c r="M3957" s="522" t="inlineStr">
        <is>
          <t>2211013539</t>
        </is>
      </c>
      <c r="N3957" s="522" t="inlineStr">
        <is>
          <t>2211013539</t>
        </is>
      </c>
      <c r="O3957" s="521">
        <f>M3957=N3957</f>
        <v/>
      </c>
      <c r="P3957" s="521">
        <f>AND(MONTH(F3957)=MONTH(S3957), YEAR(F3957)=YEAR(S3957))</f>
        <v/>
      </c>
      <c r="Q3957" s="521">
        <f>U3957="L001-901905215"</f>
        <v/>
      </c>
      <c r="R3957" s="556">
        <f>G3957-W3957</f>
        <v/>
      </c>
      <c r="S3957" s="523" t="n">
        <v>44886</v>
      </c>
      <c r="T3957" s="522" t="inlineStr">
        <is>
          <t>2211013539</t>
        </is>
      </c>
      <c r="U3957" s="522" t="inlineStr">
        <is>
          <t>L001-901905215</t>
        </is>
      </c>
      <c r="V3957" s="522" t="inlineStr">
        <is>
          <t>វីអ៊ីស៊ិន (ខេមបូឌា) អ៊ិនដាសស្ទ្រី ឯ.ក</t>
        </is>
      </c>
      <c r="W3957" s="556" t="n">
        <v>90600</v>
      </c>
    </row>
    <row r="3958">
      <c r="A3958" s="521" t="n">
        <v>3950</v>
      </c>
      <c r="B3958" s="522" t="inlineStr">
        <is>
          <t>Trucking Fee</t>
        </is>
      </c>
      <c r="C3958" s="522" t="inlineStr">
        <is>
          <t>ឆាយ ដា ឡូយីស្ទីក</t>
        </is>
      </c>
      <c r="D3958" s="522" t="inlineStr">
        <is>
          <t>L001-100063098</t>
        </is>
      </c>
      <c r="E3958" s="521" t="inlineStr">
        <is>
          <t>2211013533</t>
        </is>
      </c>
      <c r="F3958" s="523" t="n">
        <v>44886</v>
      </c>
      <c r="G3958" s="556" t="n">
        <v>90600</v>
      </c>
      <c r="I3958" s="521">
        <f>G3958</f>
        <v/>
      </c>
      <c r="K3958" s="521">
        <f>I3958-G3958</f>
        <v/>
      </c>
      <c r="M3958" s="522" t="inlineStr">
        <is>
          <t>2211013533</t>
        </is>
      </c>
      <c r="N3958" s="522" t="inlineStr">
        <is>
          <t>2211013533</t>
        </is>
      </c>
      <c r="O3958" s="521">
        <f>M3958=N3958</f>
        <v/>
      </c>
      <c r="P3958" s="521">
        <f>AND(MONTH(F3958)=MONTH(S3958), YEAR(F3958)=YEAR(S3958))</f>
        <v/>
      </c>
      <c r="Q3958" s="521">
        <f>U3958="L001-901905215"</f>
        <v/>
      </c>
      <c r="R3958" s="556">
        <f>G3958-W3958</f>
        <v/>
      </c>
      <c r="S3958" s="523" t="n">
        <v>44886</v>
      </c>
      <c r="T3958" s="522" t="inlineStr">
        <is>
          <t>2211013533</t>
        </is>
      </c>
      <c r="U3958" s="522" t="inlineStr">
        <is>
          <t>L001-901905215</t>
        </is>
      </c>
      <c r="V3958" s="522" t="inlineStr">
        <is>
          <t>វីអ៊ីស៊ិន (ខេមបូឌា) អ៊ិនដាសស្ទ្រី ឯ.ក</t>
        </is>
      </c>
      <c r="W3958" s="556" t="n">
        <v>90600</v>
      </c>
    </row>
    <row r="3959">
      <c r="A3959" s="521" t="n">
        <v>3951</v>
      </c>
      <c r="B3959" s="522" t="inlineStr">
        <is>
          <t>Trucking Fee</t>
        </is>
      </c>
      <c r="C3959" s="522" t="inlineStr">
        <is>
          <t>ឆាយ ដា ឡូយីស្ទីក</t>
        </is>
      </c>
      <c r="D3959" s="522" t="inlineStr">
        <is>
          <t>L001-100063098</t>
        </is>
      </c>
      <c r="E3959" s="521" t="inlineStr">
        <is>
          <t>2211013531</t>
        </is>
      </c>
      <c r="F3959" s="523" t="n">
        <v>44886</v>
      </c>
      <c r="G3959" s="556" t="n">
        <v>196094</v>
      </c>
      <c r="I3959" s="521">
        <f>G3959</f>
        <v/>
      </c>
      <c r="K3959" s="521">
        <f>I3959-G3959</f>
        <v/>
      </c>
      <c r="M3959" s="522" t="inlineStr">
        <is>
          <t>2211013531</t>
        </is>
      </c>
      <c r="N3959" s="522" t="inlineStr">
        <is>
          <t>2211013531</t>
        </is>
      </c>
      <c r="O3959" s="521">
        <f>M3959=N3959</f>
        <v/>
      </c>
      <c r="P3959" s="521">
        <f>AND(MONTH(F3959)=MONTH(S3959), YEAR(F3959)=YEAR(S3959))</f>
        <v/>
      </c>
      <c r="Q3959" s="521">
        <f>U3959="L001-901905215"</f>
        <v/>
      </c>
      <c r="R3959" s="556">
        <f>G3959-W3959</f>
        <v/>
      </c>
      <c r="S3959" s="523" t="n">
        <v>44886</v>
      </c>
      <c r="T3959" s="522" t="inlineStr">
        <is>
          <t>2211013531</t>
        </is>
      </c>
      <c r="U3959" s="522" t="inlineStr">
        <is>
          <t>L001-901905215</t>
        </is>
      </c>
      <c r="V3959" s="522" t="inlineStr">
        <is>
          <t>វីអ៊ីស៊ិន (ខេមបូឌា) អ៊ិនដាសស្ទ្រី ឯ.ក</t>
        </is>
      </c>
      <c r="W3959" s="556" t="n">
        <v>196094</v>
      </c>
    </row>
    <row r="3960">
      <c r="A3960" s="521" t="n">
        <v>3952</v>
      </c>
      <c r="B3960" s="522" t="inlineStr">
        <is>
          <t>Trucking Fee</t>
        </is>
      </c>
      <c r="C3960" s="522" t="inlineStr">
        <is>
          <t>ឆាយ ដា ឡូយីស្ទីក</t>
        </is>
      </c>
      <c r="D3960" s="522" t="inlineStr">
        <is>
          <t>L001-100063098</t>
        </is>
      </c>
      <c r="E3960" s="521" t="inlineStr">
        <is>
          <t>2211013528</t>
        </is>
      </c>
      <c r="F3960" s="523" t="n">
        <v>44886</v>
      </c>
      <c r="G3960" s="556" t="n">
        <v>90600</v>
      </c>
      <c r="I3960" s="521">
        <f>G3960</f>
        <v/>
      </c>
      <c r="K3960" s="521">
        <f>I3960-G3960</f>
        <v/>
      </c>
      <c r="M3960" s="522" t="inlineStr">
        <is>
          <t>2211013528</t>
        </is>
      </c>
      <c r="N3960" s="522" t="inlineStr">
        <is>
          <t>2211013528</t>
        </is>
      </c>
      <c r="O3960" s="521">
        <f>M3960=N3960</f>
        <v/>
      </c>
      <c r="P3960" s="521">
        <f>AND(MONTH(F3960)=MONTH(S3960), YEAR(F3960)=YEAR(S3960))</f>
        <v/>
      </c>
      <c r="Q3960" s="521">
        <f>U3960="L001-901905215"</f>
        <v/>
      </c>
      <c r="R3960" s="556">
        <f>G3960-W3960</f>
        <v/>
      </c>
      <c r="S3960" s="523" t="n">
        <v>44886</v>
      </c>
      <c r="T3960" s="522" t="inlineStr">
        <is>
          <t>2211013528</t>
        </is>
      </c>
      <c r="U3960" s="522" t="inlineStr">
        <is>
          <t>L001-901905215</t>
        </is>
      </c>
      <c r="V3960" s="522" t="inlineStr">
        <is>
          <t>វីអ៊ីស៊ិន (ខេមបូឌា) អ៊ិនដាសស្ទ្រី ឯ.ក</t>
        </is>
      </c>
      <c r="W3960" s="556" t="n">
        <v>90600</v>
      </c>
    </row>
    <row r="3961">
      <c r="A3961" s="521" t="n">
        <v>3953</v>
      </c>
      <c r="B3961" s="522" t="inlineStr">
        <is>
          <t>Trucking Fee</t>
        </is>
      </c>
      <c r="C3961" s="522" t="inlineStr">
        <is>
          <t>ឆាយ ដា ឡូយីស្ទីក</t>
        </is>
      </c>
      <c r="D3961" s="522" t="inlineStr">
        <is>
          <t>L001-100063098</t>
        </is>
      </c>
      <c r="E3961" s="521" t="inlineStr">
        <is>
          <t>2211013524</t>
        </is>
      </c>
      <c r="F3961" s="523" t="n">
        <v>44886</v>
      </c>
      <c r="G3961" s="556" t="n">
        <v>90600</v>
      </c>
      <c r="I3961" s="521">
        <f>G3961</f>
        <v/>
      </c>
      <c r="K3961" s="521">
        <f>I3961-G3961</f>
        <v/>
      </c>
      <c r="M3961" s="522" t="inlineStr">
        <is>
          <t>2211013524</t>
        </is>
      </c>
      <c r="N3961" s="522" t="inlineStr">
        <is>
          <t>2211013524</t>
        </is>
      </c>
      <c r="O3961" s="521">
        <f>M3961=N3961</f>
        <v/>
      </c>
      <c r="P3961" s="521">
        <f>AND(MONTH(F3961)=MONTH(S3961), YEAR(F3961)=YEAR(S3961))</f>
        <v/>
      </c>
      <c r="Q3961" s="521">
        <f>U3961="L001-901905215"</f>
        <v/>
      </c>
      <c r="R3961" s="556">
        <f>G3961-W3961</f>
        <v/>
      </c>
      <c r="S3961" s="523" t="n">
        <v>44886</v>
      </c>
      <c r="T3961" s="522" t="inlineStr">
        <is>
          <t>2211013524</t>
        </is>
      </c>
      <c r="U3961" s="522" t="inlineStr">
        <is>
          <t>L001-901905215</t>
        </is>
      </c>
      <c r="V3961" s="522" t="inlineStr">
        <is>
          <t>វីអ៊ីស៊ិន (ខេមបូឌា) អ៊ិនដាសស្ទ្រី ឯ.ក</t>
        </is>
      </c>
      <c r="W3961" s="556" t="n">
        <v>90600</v>
      </c>
    </row>
    <row r="3962">
      <c r="A3962" s="521" t="n">
        <v>3954</v>
      </c>
      <c r="B3962" s="522" t="inlineStr">
        <is>
          <t>Trucking Fee</t>
        </is>
      </c>
      <c r="C3962" s="522" t="inlineStr">
        <is>
          <t>ឆាយ ដា ឡូយីស្ទីក</t>
        </is>
      </c>
      <c r="D3962" s="522" t="inlineStr">
        <is>
          <t>L001-100063098</t>
        </is>
      </c>
      <c r="E3962" s="521" t="inlineStr">
        <is>
          <t>2211013506</t>
        </is>
      </c>
      <c r="F3962" s="523" t="n">
        <v>44886</v>
      </c>
      <c r="G3962" s="556" t="n">
        <v>103011</v>
      </c>
      <c r="I3962" s="521">
        <f>G3962</f>
        <v/>
      </c>
      <c r="K3962" s="521">
        <f>I3962-G3962</f>
        <v/>
      </c>
      <c r="M3962" s="522" t="inlineStr">
        <is>
          <t>2211013506</t>
        </is>
      </c>
      <c r="N3962" s="522" t="inlineStr">
        <is>
          <t>2211013506</t>
        </is>
      </c>
      <c r="O3962" s="521">
        <f>M3962=N3962</f>
        <v/>
      </c>
      <c r="P3962" s="521">
        <f>AND(MONTH(F3962)=MONTH(S3962), YEAR(F3962)=YEAR(S3962))</f>
        <v/>
      </c>
      <c r="Q3962" s="521">
        <f>U3962="L001-901905215"</f>
        <v/>
      </c>
      <c r="R3962" s="556">
        <f>G3962-W3962</f>
        <v/>
      </c>
      <c r="S3962" s="523" t="n">
        <v>44886</v>
      </c>
      <c r="T3962" s="522" t="inlineStr">
        <is>
          <t>2211013506</t>
        </is>
      </c>
      <c r="U3962" s="522" t="inlineStr">
        <is>
          <t>L001-901905215</t>
        </is>
      </c>
      <c r="V3962" s="522" t="inlineStr">
        <is>
          <t>វីអ៊ីស៊ិន (ខេមបូឌា) អ៊ិនដាសស្ទ្រី ឯ.ក</t>
        </is>
      </c>
      <c r="W3962" s="556" t="n">
        <v>103011</v>
      </c>
    </row>
    <row r="3963">
      <c r="A3963" s="521" t="n">
        <v>3955</v>
      </c>
      <c r="B3963" s="522" t="inlineStr">
        <is>
          <t>Trucking Fee</t>
        </is>
      </c>
      <c r="C3963" s="522" t="inlineStr">
        <is>
          <t>ឆាយ ដា ឡូយីស្ទីក</t>
        </is>
      </c>
      <c r="D3963" s="522" t="inlineStr">
        <is>
          <t>L001-100063098</t>
        </is>
      </c>
      <c r="E3963" s="521" t="inlineStr">
        <is>
          <t>2211013503</t>
        </is>
      </c>
      <c r="F3963" s="523" t="n">
        <v>44886</v>
      </c>
      <c r="G3963" s="556" t="n">
        <v>103011</v>
      </c>
      <c r="I3963" s="521">
        <f>G3963</f>
        <v/>
      </c>
      <c r="K3963" s="521">
        <f>I3963-G3963</f>
        <v/>
      </c>
      <c r="M3963" s="522" t="inlineStr">
        <is>
          <t>2211013503</t>
        </is>
      </c>
      <c r="N3963" s="522" t="inlineStr">
        <is>
          <t>2211013503</t>
        </is>
      </c>
      <c r="O3963" s="521">
        <f>M3963=N3963</f>
        <v/>
      </c>
      <c r="P3963" s="521">
        <f>AND(MONTH(F3963)=MONTH(S3963), YEAR(F3963)=YEAR(S3963))</f>
        <v/>
      </c>
      <c r="Q3963" s="521">
        <f>U3963="L001-901905215"</f>
        <v/>
      </c>
      <c r="R3963" s="556">
        <f>G3963-W3963</f>
        <v/>
      </c>
      <c r="S3963" s="523" t="n">
        <v>44886</v>
      </c>
      <c r="T3963" s="522" t="inlineStr">
        <is>
          <t>2211013503</t>
        </is>
      </c>
      <c r="U3963" s="522" t="inlineStr">
        <is>
          <t>L001-901905215</t>
        </is>
      </c>
      <c r="V3963" s="522" t="inlineStr">
        <is>
          <t>វីអ៊ីស៊ិន (ខេមបូឌា) អ៊ិនដាសស្ទ្រី ឯ.ក</t>
        </is>
      </c>
      <c r="W3963" s="556" t="n">
        <v>103011</v>
      </c>
    </row>
    <row r="3964">
      <c r="A3964" s="521" t="n">
        <v>3956</v>
      </c>
      <c r="B3964" s="522" t="inlineStr">
        <is>
          <t>Trucking Fee</t>
        </is>
      </c>
      <c r="C3964" s="522" t="inlineStr">
        <is>
          <t>ឆាយ ដា ឡូយីស្ទីក</t>
        </is>
      </c>
      <c r="D3964" s="522" t="inlineStr">
        <is>
          <t>L001-100063098</t>
        </is>
      </c>
      <c r="E3964" s="521" t="inlineStr">
        <is>
          <t>2211013501</t>
        </is>
      </c>
      <c r="F3964" s="523" t="n">
        <v>44886</v>
      </c>
      <c r="G3964" s="556" t="n">
        <v>90600</v>
      </c>
      <c r="I3964" s="521">
        <f>G3964</f>
        <v/>
      </c>
      <c r="K3964" s="521">
        <f>I3964-G3964</f>
        <v/>
      </c>
      <c r="M3964" s="522" t="inlineStr">
        <is>
          <t>2211013501</t>
        </is>
      </c>
      <c r="N3964" s="522" t="inlineStr">
        <is>
          <t>2211013501</t>
        </is>
      </c>
      <c r="O3964" s="521">
        <f>M3964=N3964</f>
        <v/>
      </c>
      <c r="P3964" s="521">
        <f>AND(MONTH(F3964)=MONTH(S3964), YEAR(F3964)=YEAR(S3964))</f>
        <v/>
      </c>
      <c r="Q3964" s="521">
        <f>U3964="L001-901905215"</f>
        <v/>
      </c>
      <c r="R3964" s="556">
        <f>G3964-W3964</f>
        <v/>
      </c>
      <c r="S3964" s="523" t="n">
        <v>44886</v>
      </c>
      <c r="T3964" s="522" t="inlineStr">
        <is>
          <t>2211013501</t>
        </is>
      </c>
      <c r="U3964" s="522" t="inlineStr">
        <is>
          <t>L001-901905215</t>
        </is>
      </c>
      <c r="V3964" s="522" t="inlineStr">
        <is>
          <t>វីអ៊ីស៊ិន (ខេមបូឌា) អ៊ិនដាសស្ទ្រី ឯ.ក</t>
        </is>
      </c>
      <c r="W3964" s="556" t="n">
        <v>90600</v>
      </c>
    </row>
    <row r="3965">
      <c r="A3965" s="521" t="n">
        <v>3957</v>
      </c>
      <c r="B3965" s="522" t="inlineStr">
        <is>
          <t>Trucking Fee</t>
        </is>
      </c>
      <c r="C3965" s="522" t="inlineStr">
        <is>
          <t>ឆាយ ដា ឡូយីស្ទីក</t>
        </is>
      </c>
      <c r="D3965" s="522" t="inlineStr">
        <is>
          <t>L001-100063098</t>
        </is>
      </c>
      <c r="E3965" s="521" t="inlineStr">
        <is>
          <t>221103563</t>
        </is>
      </c>
      <c r="F3965" s="523" t="n">
        <v>44886</v>
      </c>
      <c r="G3965" s="556" t="n">
        <v>65778</v>
      </c>
      <c r="I3965" s="521">
        <f>G3965</f>
        <v/>
      </c>
      <c r="K3965" s="521">
        <f>I3965-G3965</f>
        <v/>
      </c>
      <c r="M3965" s="522" t="inlineStr">
        <is>
          <t>221103563</t>
        </is>
      </c>
      <c r="N3965" s="522" t="inlineStr"/>
      <c r="O3965" s="521">
        <f>M3965=N3965</f>
        <v/>
      </c>
      <c r="P3965" s="521">
        <f>AND(MONTH(F3965)=MONTH(S3965), YEAR(F3965)=YEAR(S3965))</f>
        <v/>
      </c>
      <c r="Q3965" s="521">
        <f>U3965="L001-901905215"</f>
        <v/>
      </c>
      <c r="R3965" s="556">
        <f>G3965-W3965</f>
        <v/>
      </c>
      <c r="S3965" s="521" t="n"/>
      <c r="T3965" s="522" t="n"/>
      <c r="U3965" s="522" t="n"/>
      <c r="V3965" s="522" t="n"/>
      <c r="W3965" s="521" t="n"/>
    </row>
    <row r="3966">
      <c r="A3966" s="521" t="n">
        <v>3958</v>
      </c>
      <c r="B3966" s="522" t="inlineStr">
        <is>
          <t>Trucking Fee</t>
        </is>
      </c>
      <c r="C3966" s="522" t="inlineStr">
        <is>
          <t>ឆាយ ដា ឡូយីស្ទីក</t>
        </is>
      </c>
      <c r="D3966" s="522" t="inlineStr">
        <is>
          <t>L001-100063098</t>
        </is>
      </c>
      <c r="E3966" s="521" t="inlineStr">
        <is>
          <t>2211013314</t>
        </is>
      </c>
      <c r="F3966" s="523" t="n">
        <v>44880</v>
      </c>
      <c r="G3966" s="556" t="n">
        <v>29008</v>
      </c>
      <c r="I3966" s="521">
        <f>G3966</f>
        <v/>
      </c>
      <c r="K3966" s="521">
        <f>I3966-G3966</f>
        <v/>
      </c>
      <c r="M3966" s="522" t="inlineStr">
        <is>
          <t>2211013314</t>
        </is>
      </c>
      <c r="N3966" s="522" t="inlineStr">
        <is>
          <t>2211013314</t>
        </is>
      </c>
      <c r="O3966" s="521">
        <f>M3966=N3966</f>
        <v/>
      </c>
      <c r="P3966" s="521">
        <f>AND(MONTH(F3966)=MONTH(S3966), YEAR(F3966)=YEAR(S3966))</f>
        <v/>
      </c>
      <c r="Q3966" s="521">
        <f>U3966="L001-901905215"</f>
        <v/>
      </c>
      <c r="R3966" s="556">
        <f>G3966-W3966</f>
        <v/>
      </c>
      <c r="S3966" s="523" t="n">
        <v>44880</v>
      </c>
      <c r="T3966" s="522" t="inlineStr">
        <is>
          <t>2211013314</t>
        </is>
      </c>
      <c r="U3966" s="522" t="inlineStr">
        <is>
          <t>L001-901905215</t>
        </is>
      </c>
      <c r="V3966" s="522" t="inlineStr">
        <is>
          <t>វីអ៊ីស៊ិន (ខេមបូឌា) អ៊ិនដាសស្ទ្រី ឯ.ក</t>
        </is>
      </c>
      <c r="W3966" s="556" t="n">
        <v>29008</v>
      </c>
    </row>
    <row r="3967">
      <c r="A3967" s="521" t="n">
        <v>3959</v>
      </c>
      <c r="B3967" s="522" t="inlineStr">
        <is>
          <t>Trucking Fee</t>
        </is>
      </c>
      <c r="C3967" s="522" t="inlineStr">
        <is>
          <t>ឆាយ ដា ឡូយីស្ទីក</t>
        </is>
      </c>
      <c r="D3967" s="522" t="inlineStr">
        <is>
          <t>L001-100063098</t>
        </is>
      </c>
      <c r="E3967" s="521" t="inlineStr">
        <is>
          <t>2211013973</t>
        </is>
      </c>
      <c r="F3967" s="523" t="n">
        <v>44894</v>
      </c>
      <c r="G3967" s="556" t="n">
        <v>12378</v>
      </c>
      <c r="I3967" s="521">
        <f>G3967</f>
        <v/>
      </c>
      <c r="K3967" s="521">
        <f>I3967-G3967</f>
        <v/>
      </c>
      <c r="M3967" s="522" t="inlineStr">
        <is>
          <t>2211013973</t>
        </is>
      </c>
      <c r="N3967" s="522" t="inlineStr">
        <is>
          <t>2211013973</t>
        </is>
      </c>
      <c r="O3967" s="521">
        <f>M3967=N3967</f>
        <v/>
      </c>
      <c r="P3967" s="521">
        <f>AND(MONTH(F3967)=MONTH(S3967), YEAR(F3967)=YEAR(S3967))</f>
        <v/>
      </c>
      <c r="Q3967" s="521">
        <f>U3967="L001-901905215"</f>
        <v/>
      </c>
      <c r="R3967" s="556">
        <f>G3967-W3967</f>
        <v/>
      </c>
      <c r="S3967" s="523" t="n">
        <v>44894</v>
      </c>
      <c r="T3967" s="522" t="inlineStr">
        <is>
          <t>2211013973</t>
        </is>
      </c>
      <c r="U3967" s="522" t="inlineStr">
        <is>
          <t>L001-901905215</t>
        </is>
      </c>
      <c r="V3967" s="522" t="inlineStr">
        <is>
          <t>វីអ៊ីស៊ិន (ខេមបូឌា) អ៊ិនដាសស្ទ្រី ឯ.ក</t>
        </is>
      </c>
      <c r="W3967" s="556" t="n">
        <v>12378</v>
      </c>
    </row>
    <row r="3968">
      <c r="A3968" s="521" t="n">
        <v>3960</v>
      </c>
      <c r="B3968" s="522" t="inlineStr">
        <is>
          <t>Trucking Fee</t>
        </is>
      </c>
      <c r="C3968" s="522" t="inlineStr">
        <is>
          <t>ឆាយ ដា ឡូយីស្ទីក</t>
        </is>
      </c>
      <c r="D3968" s="522" t="inlineStr">
        <is>
          <t>L001-100063098</t>
        </is>
      </c>
      <c r="E3968" s="521" t="inlineStr">
        <is>
          <t>2211013286</t>
        </is>
      </c>
      <c r="F3968" s="523" t="n">
        <v>44879</v>
      </c>
      <c r="G3968" s="556" t="n">
        <v>90754</v>
      </c>
      <c r="I3968" s="521">
        <f>G3968</f>
        <v/>
      </c>
      <c r="K3968" s="521">
        <f>I3968-G3968</f>
        <v/>
      </c>
      <c r="M3968" s="522" t="inlineStr">
        <is>
          <t>2211013286</t>
        </is>
      </c>
      <c r="N3968" s="522" t="inlineStr">
        <is>
          <t>2211013286</t>
        </is>
      </c>
      <c r="O3968" s="521">
        <f>M3968=N3968</f>
        <v/>
      </c>
      <c r="P3968" s="521">
        <f>AND(MONTH(F3968)=MONTH(S3968), YEAR(F3968)=YEAR(S3968))</f>
        <v/>
      </c>
      <c r="Q3968" s="521">
        <f>U3968="L001-901905215"</f>
        <v/>
      </c>
      <c r="R3968" s="556">
        <f>G3968-W3968</f>
        <v/>
      </c>
      <c r="S3968" s="523" t="n">
        <v>44879</v>
      </c>
      <c r="T3968" s="522" t="inlineStr">
        <is>
          <t>2211013286</t>
        </is>
      </c>
      <c r="U3968" s="522" t="inlineStr">
        <is>
          <t>L001-901905215</t>
        </is>
      </c>
      <c r="V3968" s="522" t="inlineStr">
        <is>
          <t>វីអ៊ីស៊ិន (ខេមបូឌា) អ៊ិនដាសស្ទ្រី ឯ.ក</t>
        </is>
      </c>
      <c r="W3968" s="556" t="n">
        <v>90775</v>
      </c>
    </row>
    <row r="3969">
      <c r="A3969" s="521" t="n">
        <v>3961</v>
      </c>
      <c r="B3969" s="522" t="inlineStr">
        <is>
          <t>Trucking Fee</t>
        </is>
      </c>
      <c r="C3969" s="522" t="inlineStr">
        <is>
          <t>ឆាយ ដា ឡូយីស្ទីក</t>
        </is>
      </c>
      <c r="D3969" s="522" t="inlineStr">
        <is>
          <t>L001-100063098</t>
        </is>
      </c>
      <c r="E3969" s="521" t="inlineStr">
        <is>
          <t>2211013277</t>
        </is>
      </c>
      <c r="F3969" s="523" t="n">
        <v>44879</v>
      </c>
      <c r="G3969" s="556" t="n">
        <v>90754</v>
      </c>
      <c r="I3969" s="521">
        <f>G3969</f>
        <v/>
      </c>
      <c r="K3969" s="521">
        <f>I3969-G3969</f>
        <v/>
      </c>
      <c r="M3969" s="522" t="inlineStr">
        <is>
          <t>2211013277</t>
        </is>
      </c>
      <c r="N3969" s="522" t="inlineStr">
        <is>
          <t>2211013277</t>
        </is>
      </c>
      <c r="O3969" s="521">
        <f>M3969=N3969</f>
        <v/>
      </c>
      <c r="P3969" s="521">
        <f>AND(MONTH(F3969)=MONTH(S3969), YEAR(F3969)=YEAR(S3969))</f>
        <v/>
      </c>
      <c r="Q3969" s="521">
        <f>U3969="L001-901905215"</f>
        <v/>
      </c>
      <c r="R3969" s="556">
        <f>G3969-W3969</f>
        <v/>
      </c>
      <c r="S3969" s="523" t="n">
        <v>44879</v>
      </c>
      <c r="T3969" s="522" t="inlineStr">
        <is>
          <t>2211013277</t>
        </is>
      </c>
      <c r="U3969" s="522" t="inlineStr">
        <is>
          <t>L001-901905215</t>
        </is>
      </c>
      <c r="V3969" s="522" t="inlineStr">
        <is>
          <t>វីអ៊ីស៊ិន (ខេមបូឌា) អ៊ិនដាសស្ទ្រី ឯ.ក</t>
        </is>
      </c>
      <c r="W3969" s="556" t="n">
        <v>90775</v>
      </c>
    </row>
    <row r="3970">
      <c r="A3970" s="521" t="n">
        <v>3962</v>
      </c>
      <c r="B3970" s="522" t="inlineStr">
        <is>
          <t>Trucking Fee</t>
        </is>
      </c>
      <c r="C3970" s="522" t="inlineStr">
        <is>
          <t>ឆាយ ដា ឡូយីស្ទីក</t>
        </is>
      </c>
      <c r="D3970" s="522" t="inlineStr">
        <is>
          <t>L001-100063098</t>
        </is>
      </c>
      <c r="E3970" s="521" t="inlineStr">
        <is>
          <t>2211013275</t>
        </is>
      </c>
      <c r="F3970" s="523" t="n">
        <v>44875</v>
      </c>
      <c r="G3970" s="556" t="n">
        <v>103211</v>
      </c>
      <c r="I3970" s="521">
        <f>G3970</f>
        <v/>
      </c>
      <c r="K3970" s="521">
        <f>I3970-G3970</f>
        <v/>
      </c>
      <c r="M3970" s="522" t="inlineStr">
        <is>
          <t>2211013275</t>
        </is>
      </c>
      <c r="N3970" s="522" t="inlineStr">
        <is>
          <t>2211013275</t>
        </is>
      </c>
      <c r="O3970" s="521">
        <f>M3970=N3970</f>
        <v/>
      </c>
      <c r="P3970" s="521">
        <f>AND(MONTH(F3970)=MONTH(S3970), YEAR(F3970)=YEAR(S3970))</f>
        <v/>
      </c>
      <c r="Q3970" s="521">
        <f>U3970="L001-901905215"</f>
        <v/>
      </c>
      <c r="R3970" s="556">
        <f>G3970-W3970</f>
        <v/>
      </c>
      <c r="S3970" s="523" t="n">
        <v>44879</v>
      </c>
      <c r="T3970" s="522" t="inlineStr">
        <is>
          <t>2211013275</t>
        </is>
      </c>
      <c r="U3970" s="522" t="inlineStr">
        <is>
          <t>L001-901905215</t>
        </is>
      </c>
      <c r="V3970" s="522" t="inlineStr">
        <is>
          <t>វីអ៊ីស៊ិន (ខេមបូឌា) អ៊ិនដាសស្ទ្រី ឯ.ក</t>
        </is>
      </c>
      <c r="W3970" s="556" t="n">
        <v>103211</v>
      </c>
    </row>
    <row r="3971">
      <c r="A3971" s="521" t="n">
        <v>3963</v>
      </c>
      <c r="B3971" s="522" t="inlineStr">
        <is>
          <t>Trucking Fee</t>
        </is>
      </c>
      <c r="C3971" s="522" t="inlineStr">
        <is>
          <t>ឆាយ ដា ឡូយីស្ទីក</t>
        </is>
      </c>
      <c r="D3971" s="522" t="inlineStr">
        <is>
          <t>L001-100063098</t>
        </is>
      </c>
      <c r="E3971" s="521" t="inlineStr">
        <is>
          <t>2211013272</t>
        </is>
      </c>
      <c r="F3971" s="523" t="n">
        <v>44875</v>
      </c>
      <c r="G3971" s="556" t="n">
        <v>103211</v>
      </c>
      <c r="I3971" s="521">
        <f>G3971</f>
        <v/>
      </c>
      <c r="K3971" s="521">
        <f>I3971-G3971</f>
        <v/>
      </c>
      <c r="M3971" s="522" t="inlineStr">
        <is>
          <t>2211013272</t>
        </is>
      </c>
      <c r="N3971" s="522" t="inlineStr">
        <is>
          <t>2211013272</t>
        </is>
      </c>
      <c r="O3971" s="521">
        <f>M3971=N3971</f>
        <v/>
      </c>
      <c r="P3971" s="521">
        <f>AND(MONTH(F3971)=MONTH(S3971), YEAR(F3971)=YEAR(S3971))</f>
        <v/>
      </c>
      <c r="Q3971" s="521">
        <f>U3971="L001-901905215"</f>
        <v/>
      </c>
      <c r="R3971" s="556">
        <f>G3971-W3971</f>
        <v/>
      </c>
      <c r="S3971" s="523" t="n">
        <v>44879</v>
      </c>
      <c r="T3971" s="522" t="inlineStr">
        <is>
          <t>2211013272</t>
        </is>
      </c>
      <c r="U3971" s="522" t="inlineStr">
        <is>
          <t>L001-901905215</t>
        </is>
      </c>
      <c r="V3971" s="522" t="inlineStr">
        <is>
          <t>វីអ៊ីស៊ិន (ខេមបូឌា) អ៊ិនដាសស្ទ្រី ឯ.ក</t>
        </is>
      </c>
      <c r="W3971" s="556" t="n">
        <v>103211</v>
      </c>
    </row>
    <row r="3972">
      <c r="A3972" s="521" t="n">
        <v>3964</v>
      </c>
      <c r="B3972" s="522" t="inlineStr">
        <is>
          <t>Trucking Fee</t>
        </is>
      </c>
      <c r="C3972" s="522" t="inlineStr">
        <is>
          <t>ឆាយ ដា ឡូយីស្ទីក</t>
        </is>
      </c>
      <c r="D3972" s="522" t="inlineStr">
        <is>
          <t>L001-100063098</t>
        </is>
      </c>
      <c r="E3972" s="521" t="inlineStr">
        <is>
          <t>2211013073</t>
        </is>
      </c>
      <c r="F3972" s="523" t="n">
        <v>44875</v>
      </c>
      <c r="G3972" s="556" t="n">
        <v>29422</v>
      </c>
      <c r="I3972" s="521">
        <f>G3972</f>
        <v/>
      </c>
      <c r="K3972" s="521">
        <f>I3972-G3972</f>
        <v/>
      </c>
      <c r="M3972" s="522" t="inlineStr">
        <is>
          <t>2211013073</t>
        </is>
      </c>
      <c r="N3972" s="522" t="inlineStr">
        <is>
          <t>2211013073</t>
        </is>
      </c>
      <c r="O3972" s="521">
        <f>M3972=N3972</f>
        <v/>
      </c>
      <c r="P3972" s="521">
        <f>AND(MONTH(F3972)=MONTH(S3972), YEAR(F3972)=YEAR(S3972))</f>
        <v/>
      </c>
      <c r="Q3972" s="521">
        <f>U3972="L001-901905215"</f>
        <v/>
      </c>
      <c r="R3972" s="556">
        <f>G3972-W3972</f>
        <v/>
      </c>
      <c r="S3972" s="523" t="n">
        <v>44875</v>
      </c>
      <c r="T3972" s="522" t="inlineStr">
        <is>
          <t>2211013073</t>
        </is>
      </c>
      <c r="U3972" s="522" t="inlineStr">
        <is>
          <t>L001-901905215</t>
        </is>
      </c>
      <c r="V3972" s="522" t="inlineStr">
        <is>
          <t>វីអ៊ីស៊ិន (ខេមបូឌា) អ៊ិនដាសស្ទ្រី ឯ.ក</t>
        </is>
      </c>
      <c r="W3972" s="556" t="n">
        <v>29422</v>
      </c>
    </row>
    <row r="3973">
      <c r="A3973" s="521" t="n">
        <v>3965</v>
      </c>
      <c r="B3973" s="522" t="inlineStr">
        <is>
          <t>Trucking Fee</t>
        </is>
      </c>
      <c r="C3973" s="522" t="inlineStr">
        <is>
          <t>ឆាយ ដា ឡូយីស្ទីក</t>
        </is>
      </c>
      <c r="D3973" s="522" t="inlineStr">
        <is>
          <t>L001-100063098</t>
        </is>
      </c>
      <c r="E3973" s="521" t="inlineStr">
        <is>
          <t>2211013005</t>
        </is>
      </c>
      <c r="F3973" s="523" t="n">
        <v>44875</v>
      </c>
      <c r="G3973" s="556" t="n">
        <v>90754</v>
      </c>
      <c r="I3973" s="521">
        <f>G3973</f>
        <v/>
      </c>
      <c r="K3973" s="521">
        <f>I3973-G3973</f>
        <v/>
      </c>
      <c r="M3973" s="522" t="inlineStr">
        <is>
          <t>2211013005</t>
        </is>
      </c>
      <c r="N3973" s="522" t="inlineStr">
        <is>
          <t>2211013005</t>
        </is>
      </c>
      <c r="O3973" s="521">
        <f>M3973=N3973</f>
        <v/>
      </c>
      <c r="P3973" s="521">
        <f>AND(MONTH(F3973)=MONTH(S3973), YEAR(F3973)=YEAR(S3973))</f>
        <v/>
      </c>
      <c r="Q3973" s="521">
        <f>U3973="L001-901905215"</f>
        <v/>
      </c>
      <c r="R3973" s="556">
        <f>G3973-W3973</f>
        <v/>
      </c>
      <c r="S3973" s="523" t="n">
        <v>44875</v>
      </c>
      <c r="T3973" s="522" t="inlineStr">
        <is>
          <t>2211013005</t>
        </is>
      </c>
      <c r="U3973" s="522" t="inlineStr">
        <is>
          <t>L001-901905215</t>
        </is>
      </c>
      <c r="V3973" s="522" t="inlineStr">
        <is>
          <t>វីអ៊ីស៊ិន (ខេមបូឌា) អ៊ិនដាសស្ទ្រី ឯ.ក</t>
        </is>
      </c>
      <c r="W3973" s="556" t="n">
        <v>90754</v>
      </c>
    </row>
    <row r="3974">
      <c r="A3974" s="521" t="n">
        <v>3966</v>
      </c>
      <c r="B3974" s="522" t="inlineStr">
        <is>
          <t>Clearance &amp; Trucking Fee</t>
        </is>
      </c>
      <c r="C3974" s="522" t="inlineStr">
        <is>
          <t>56ប៊ី-លីង សឹបផ្លាយ ឆេន មេនេចម៉ិន ឯ.ក</t>
        </is>
      </c>
      <c r="D3974" s="522" t="inlineStr">
        <is>
          <t>K004-902004795</t>
        </is>
      </c>
      <c r="E3974" s="521" t="inlineStr">
        <is>
          <t>TI2022-0897</t>
        </is>
      </c>
      <c r="F3974" s="523" t="n">
        <v>44890</v>
      </c>
      <c r="G3974" s="556" t="n">
        <v>212901</v>
      </c>
      <c r="I3974" s="521">
        <f>G3974</f>
        <v/>
      </c>
      <c r="K3974" s="521">
        <f>I3974-G3974</f>
        <v/>
      </c>
      <c r="M3974" s="522" t="inlineStr">
        <is>
          <t>TI20220897</t>
        </is>
      </c>
      <c r="N3974" s="522" t="inlineStr">
        <is>
          <t>TI20220897</t>
        </is>
      </c>
      <c r="O3974" s="521">
        <f>M3974=N3974</f>
        <v/>
      </c>
      <c r="P3974" s="521">
        <f>AND(MONTH(F3974)=MONTH(S3974), YEAR(F3974)=YEAR(S3974))</f>
        <v/>
      </c>
      <c r="Q3974" s="521">
        <f>U3974="L001-901905215"</f>
        <v/>
      </c>
      <c r="R3974" s="556">
        <f>G3974-W3974</f>
        <v/>
      </c>
      <c r="S3974" s="523" t="n">
        <v>44890</v>
      </c>
      <c r="T3974" s="522" t="inlineStr">
        <is>
          <t>TI2022-0897</t>
        </is>
      </c>
      <c r="U3974" s="522" t="inlineStr">
        <is>
          <t>L001-901905215</t>
        </is>
      </c>
      <c r="V3974" s="522" t="inlineStr">
        <is>
          <t>វីអ៊ីស៊ិន (ខេមបូឌា) អ៊ិនដាសស្ទ្រី ឯ.ក</t>
        </is>
      </c>
      <c r="W3974" s="556" t="n">
        <v>212901</v>
      </c>
    </row>
    <row r="3975">
      <c r="A3975" s="521" t="n">
        <v>3967</v>
      </c>
      <c r="B3975" s="522" t="inlineStr">
        <is>
          <t>Clearance &amp; Trucking Fee</t>
        </is>
      </c>
      <c r="C3975" s="522" t="inlineStr">
        <is>
          <t>56ប៊ី-លីង សឹបផ្លាយ ឆេន មេនេចម៉ិន ឯ.ក</t>
        </is>
      </c>
      <c r="D3975" s="522" t="inlineStr">
        <is>
          <t>K004-902004795</t>
        </is>
      </c>
      <c r="E3975" s="521" t="inlineStr">
        <is>
          <t>TI2022-0896</t>
        </is>
      </c>
      <c r="F3975" s="523" t="n">
        <v>44890</v>
      </c>
      <c r="G3975" s="556" t="n">
        <v>212901</v>
      </c>
      <c r="I3975" s="521">
        <f>G3975</f>
        <v/>
      </c>
      <c r="K3975" s="521">
        <f>I3975-G3975</f>
        <v/>
      </c>
      <c r="M3975" s="522" t="inlineStr">
        <is>
          <t>TI20220896</t>
        </is>
      </c>
      <c r="N3975" s="522" t="inlineStr">
        <is>
          <t>TI20220896</t>
        </is>
      </c>
      <c r="O3975" s="521">
        <f>M3975=N3975</f>
        <v/>
      </c>
      <c r="P3975" s="521">
        <f>AND(MONTH(F3975)=MONTH(S3975), YEAR(F3975)=YEAR(S3975))</f>
        <v/>
      </c>
      <c r="Q3975" s="521">
        <f>U3975="L001-901905215"</f>
        <v/>
      </c>
      <c r="R3975" s="556">
        <f>G3975-W3975</f>
        <v/>
      </c>
      <c r="S3975" s="523" t="n">
        <v>44890</v>
      </c>
      <c r="T3975" s="522" t="inlineStr">
        <is>
          <t>TI2022-0896</t>
        </is>
      </c>
      <c r="U3975" s="522" t="inlineStr">
        <is>
          <t>L001-901905215</t>
        </is>
      </c>
      <c r="V3975" s="522" t="inlineStr">
        <is>
          <t>វីអ៊ីស៊ិន (ខេមបូឌា) អ៊ិនដាសស្ទ្រី ឯ.ក</t>
        </is>
      </c>
      <c r="W3975" s="556" t="n">
        <v>212901</v>
      </c>
    </row>
    <row r="3976">
      <c r="A3976" s="521" t="n">
        <v>3968</v>
      </c>
      <c r="B3976" s="522" t="inlineStr">
        <is>
          <t>LIFT-OFF Charges and Gate Fee Charge</t>
        </is>
      </c>
      <c r="C3976" s="522" t="inlineStr">
        <is>
          <t>កំពង់ផែស្វយ័តភ្នំពេញ "ក.ស.ភ"</t>
        </is>
      </c>
      <c r="D3976" s="522" t="inlineStr">
        <is>
          <t>L001-100044999</t>
        </is>
      </c>
      <c r="E3976" s="521" t="inlineStr">
        <is>
          <t>INV20221180106</t>
        </is>
      </c>
      <c r="F3976" s="523" t="n">
        <v>44895</v>
      </c>
      <c r="G3976" s="556" t="n">
        <v>19877</v>
      </c>
      <c r="I3976" s="521">
        <f>G3976</f>
        <v/>
      </c>
      <c r="K3976" s="521">
        <f>I3976-G3976</f>
        <v/>
      </c>
      <c r="M3976" s="522" t="inlineStr">
        <is>
          <t>INV20221180106</t>
        </is>
      </c>
      <c r="N3976" s="522" t="inlineStr"/>
      <c r="O3976" s="521">
        <f>M3976=N3976</f>
        <v/>
      </c>
      <c r="P3976" s="521">
        <f>AND(MONTH(F3976)=MONTH(S3976), YEAR(F3976)=YEAR(S3976))</f>
        <v/>
      </c>
      <c r="Q3976" s="521">
        <f>U3976="L001-901905215"</f>
        <v/>
      </c>
      <c r="R3976" s="556">
        <f>G3976-W3976</f>
        <v/>
      </c>
      <c r="S3976" s="521" t="n"/>
      <c r="T3976" s="522" t="n"/>
      <c r="U3976" s="522" t="n"/>
      <c r="V3976" s="522" t="n"/>
      <c r="W3976" s="521" t="n"/>
    </row>
    <row r="3977">
      <c r="A3977" s="521" t="n">
        <v>3969</v>
      </c>
      <c r="B3977" s="522" t="inlineStr">
        <is>
          <t>LIFT-OFF Charges and Gate Fee Charge</t>
        </is>
      </c>
      <c r="C3977" s="522" t="inlineStr">
        <is>
          <t>កំពង់ផែស្វយ័តភ្នំពេញ "ក.ស.ភ"</t>
        </is>
      </c>
      <c r="D3977" s="522" t="inlineStr">
        <is>
          <t>L001-100044999</t>
        </is>
      </c>
      <c r="E3977" s="521" t="inlineStr">
        <is>
          <t>INV20221180717</t>
        </is>
      </c>
      <c r="F3977" s="523" t="n">
        <v>44870</v>
      </c>
      <c r="G3977" s="556" t="n">
        <v>2486</v>
      </c>
      <c r="I3977" s="521">
        <f>G3977</f>
        <v/>
      </c>
      <c r="K3977" s="521">
        <f>I3977-G3977</f>
        <v/>
      </c>
      <c r="M3977" s="522" t="inlineStr">
        <is>
          <t>INV20221180717</t>
        </is>
      </c>
      <c r="N3977" s="522" t="inlineStr"/>
      <c r="O3977" s="521">
        <f>M3977=N3977</f>
        <v/>
      </c>
      <c r="P3977" s="521">
        <f>AND(MONTH(F3977)=MONTH(S3977), YEAR(F3977)=YEAR(S3977))</f>
        <v/>
      </c>
      <c r="Q3977" s="521">
        <f>U3977="L001-901905215"</f>
        <v/>
      </c>
      <c r="R3977" s="556">
        <f>G3977-W3977</f>
        <v/>
      </c>
      <c r="S3977" s="521" t="n"/>
      <c r="T3977" s="522" t="n"/>
      <c r="U3977" s="522" t="n"/>
      <c r="V3977" s="522" t="n"/>
      <c r="W3977" s="521" t="n"/>
    </row>
    <row r="3978">
      <c r="A3978" s="521" t="n">
        <v>3970</v>
      </c>
      <c r="B3978" s="522" t="inlineStr">
        <is>
          <t>LIFT-OFF Charges and Gate Fee Charge</t>
        </is>
      </c>
      <c r="C3978" s="522" t="inlineStr">
        <is>
          <t>កំពង់ផែស្វយ័តភ្នំពេញ "ក.ស.ភ"</t>
        </is>
      </c>
      <c r="D3978" s="522" t="inlineStr">
        <is>
          <t>L001-100044999</t>
        </is>
      </c>
      <c r="E3978" s="521" t="inlineStr">
        <is>
          <t>INV20221180065</t>
        </is>
      </c>
      <c r="F3978" s="523" t="n">
        <v>44895</v>
      </c>
      <c r="G3978" s="556" t="n">
        <v>29815</v>
      </c>
      <c r="I3978" s="521">
        <f>G3978</f>
        <v/>
      </c>
      <c r="K3978" s="521">
        <f>I3978-G3978</f>
        <v/>
      </c>
      <c r="M3978" s="522" t="inlineStr">
        <is>
          <t>INV20221180065</t>
        </is>
      </c>
      <c r="N3978" s="522" t="inlineStr"/>
      <c r="O3978" s="521">
        <f>M3978=N3978</f>
        <v/>
      </c>
      <c r="P3978" s="521">
        <f>AND(MONTH(F3978)=MONTH(S3978), YEAR(F3978)=YEAR(S3978))</f>
        <v/>
      </c>
      <c r="Q3978" s="521">
        <f>U3978="L001-901905215"</f>
        <v/>
      </c>
      <c r="R3978" s="556">
        <f>G3978-W3978</f>
        <v/>
      </c>
      <c r="S3978" s="521" t="n"/>
      <c r="T3978" s="522" t="n"/>
      <c r="U3978" s="522" t="n"/>
      <c r="V3978" s="522" t="n"/>
      <c r="W3978" s="521" t="n"/>
    </row>
    <row r="3979">
      <c r="A3979" s="521" t="n">
        <v>3971</v>
      </c>
      <c r="B3979" s="522" t="inlineStr">
        <is>
          <t>LIFT-OFF Charges and Gate Fee Charge</t>
        </is>
      </c>
      <c r="C3979" s="522" t="inlineStr">
        <is>
          <t>កំពង់ផែស្វយ័តភ្នំពេញ "ក.ស.ភ"</t>
        </is>
      </c>
      <c r="D3979" s="522" t="inlineStr">
        <is>
          <t>L001-100044999</t>
        </is>
      </c>
      <c r="E3979" s="521" t="inlineStr">
        <is>
          <t>INV20221185404</t>
        </is>
      </c>
      <c r="F3979" s="523" t="n">
        <v>44895</v>
      </c>
      <c r="G3979" s="556" t="n">
        <v>29678</v>
      </c>
      <c r="I3979" s="521">
        <f>G3979</f>
        <v/>
      </c>
      <c r="K3979" s="521">
        <f>I3979-G3979</f>
        <v/>
      </c>
      <c r="M3979" s="522" t="inlineStr">
        <is>
          <t>INV20221185404</t>
        </is>
      </c>
      <c r="N3979" s="522" t="inlineStr"/>
      <c r="O3979" s="521">
        <f>M3979=N3979</f>
        <v/>
      </c>
      <c r="P3979" s="521">
        <f>AND(MONTH(F3979)=MONTH(S3979), YEAR(F3979)=YEAR(S3979))</f>
        <v/>
      </c>
      <c r="Q3979" s="521">
        <f>U3979="L001-901905215"</f>
        <v/>
      </c>
      <c r="R3979" s="556">
        <f>G3979-W3979</f>
        <v/>
      </c>
      <c r="S3979" s="521" t="n"/>
      <c r="T3979" s="522" t="n"/>
      <c r="U3979" s="522" t="n"/>
      <c r="V3979" s="522" t="n"/>
      <c r="W3979" s="521" t="n"/>
    </row>
    <row r="3980">
      <c r="A3980" s="521" t="n">
        <v>3972</v>
      </c>
      <c r="B3980" s="522" t="inlineStr">
        <is>
          <t>Clearance &amp; Trucking Fee</t>
        </is>
      </c>
      <c r="C3980" s="522" t="inlineStr">
        <is>
          <t>56ប៊ី-លីង សឹបផ្លាយ ឆេន មេនេចម៉ិន ឯ.ក</t>
        </is>
      </c>
      <c r="D3980" s="522" t="inlineStr">
        <is>
          <t>K004-902004795</t>
        </is>
      </c>
      <c r="E3980" s="521" t="inlineStr">
        <is>
          <t>TI2022-0895</t>
        </is>
      </c>
      <c r="F3980" s="523" t="n">
        <v>44889</v>
      </c>
      <c r="G3980" s="556" t="n">
        <v>274978</v>
      </c>
      <c r="I3980" s="521">
        <f>G3980</f>
        <v/>
      </c>
      <c r="K3980" s="521">
        <f>I3980-G3980</f>
        <v/>
      </c>
      <c r="M3980" s="522" t="inlineStr">
        <is>
          <t>TI20220895</t>
        </is>
      </c>
      <c r="N3980" s="522" t="inlineStr">
        <is>
          <t>TI20220895</t>
        </is>
      </c>
      <c r="O3980" s="521">
        <f>M3980=N3980</f>
        <v/>
      </c>
      <c r="P3980" s="521">
        <f>AND(MONTH(F3980)=MONTH(S3980), YEAR(F3980)=YEAR(S3980))</f>
        <v/>
      </c>
      <c r="Q3980" s="521">
        <f>U3980="L001-901905215"</f>
        <v/>
      </c>
      <c r="R3980" s="556">
        <f>G3980-W3980</f>
        <v/>
      </c>
      <c r="S3980" s="523" t="n">
        <v>44889</v>
      </c>
      <c r="T3980" s="522" t="inlineStr">
        <is>
          <t>TI2022-0895</t>
        </is>
      </c>
      <c r="U3980" s="522" t="inlineStr">
        <is>
          <t>L001-901905215</t>
        </is>
      </c>
      <c r="V3980" s="522" t="inlineStr">
        <is>
          <t>វីអ៊ីស៊ិន (ខេមបូឌា) អ៊ិនដាសស្ទ្រី ឯ.ក</t>
        </is>
      </c>
      <c r="W3980" s="556" t="n">
        <v>274978</v>
      </c>
    </row>
    <row r="3981">
      <c r="A3981" s="521" t="n">
        <v>3973</v>
      </c>
      <c r="B3981" s="522" t="inlineStr">
        <is>
          <t>LIFT-OFF Charges and Gate Fee Charge</t>
        </is>
      </c>
      <c r="C3981" s="522" t="inlineStr">
        <is>
          <t>កំពង់ផែស្វយ័តភ្នំពេញ "ក.ស.ភ"</t>
        </is>
      </c>
      <c r="D3981" s="522" t="inlineStr">
        <is>
          <t>L001-100044999</t>
        </is>
      </c>
      <c r="E3981" s="521" t="inlineStr">
        <is>
          <t>INV20221185405</t>
        </is>
      </c>
      <c r="F3981" s="523" t="n">
        <v>44895</v>
      </c>
      <c r="G3981" s="556" t="n">
        <v>59357</v>
      </c>
      <c r="I3981" s="521">
        <f>G3981</f>
        <v/>
      </c>
      <c r="K3981" s="521">
        <f>I3981-G3981</f>
        <v/>
      </c>
      <c r="M3981" s="522" t="inlineStr">
        <is>
          <t>INV20221185405</t>
        </is>
      </c>
      <c r="N3981" s="522" t="inlineStr"/>
      <c r="O3981" s="521">
        <f>M3981=N3981</f>
        <v/>
      </c>
      <c r="P3981" s="521">
        <f>AND(MONTH(F3981)=MONTH(S3981), YEAR(F3981)=YEAR(S3981))</f>
        <v/>
      </c>
      <c r="Q3981" s="521">
        <f>U3981="L001-901905215"</f>
        <v/>
      </c>
      <c r="R3981" s="556">
        <f>G3981-W3981</f>
        <v/>
      </c>
      <c r="S3981" s="521" t="n"/>
      <c r="T3981" s="522" t="n"/>
      <c r="U3981" s="522" t="n"/>
      <c r="V3981" s="522" t="n"/>
      <c r="W3981" s="521" t="n"/>
    </row>
    <row r="3982">
      <c r="A3982" s="521" t="n">
        <v>3974</v>
      </c>
      <c r="B3982" s="522" t="inlineStr">
        <is>
          <t>Clearance &amp; Trucking Fee</t>
        </is>
      </c>
      <c r="C3982" s="522" t="inlineStr">
        <is>
          <t>56ប៊ី-លីង សឹបផ្លាយ ឆេន មេនេចម៉ិន ឯ.ក</t>
        </is>
      </c>
      <c r="D3982" s="522" t="inlineStr">
        <is>
          <t>K004-902004795</t>
        </is>
      </c>
      <c r="E3982" s="521" t="inlineStr">
        <is>
          <t>TI2022-0894</t>
        </is>
      </c>
      <c r="F3982" s="523" t="n">
        <v>44889</v>
      </c>
      <c r="G3982" s="556" t="n">
        <v>492065</v>
      </c>
      <c r="I3982" s="521">
        <f>G3982</f>
        <v/>
      </c>
      <c r="K3982" s="521">
        <f>I3982-G3982</f>
        <v/>
      </c>
      <c r="M3982" s="522" t="inlineStr">
        <is>
          <t>TI20220894</t>
        </is>
      </c>
      <c r="N3982" s="522" t="inlineStr">
        <is>
          <t>TI20220894</t>
        </is>
      </c>
      <c r="O3982" s="521">
        <f>M3982=N3982</f>
        <v/>
      </c>
      <c r="P3982" s="521">
        <f>AND(MONTH(F3982)=MONTH(S3982), YEAR(F3982)=YEAR(S3982))</f>
        <v/>
      </c>
      <c r="Q3982" s="521">
        <f>U3982="L001-901905215"</f>
        <v/>
      </c>
      <c r="R3982" s="556">
        <f>G3982-W3982</f>
        <v/>
      </c>
      <c r="S3982" s="523" t="n">
        <v>44889</v>
      </c>
      <c r="T3982" s="522" t="inlineStr">
        <is>
          <t>TI2022-0894</t>
        </is>
      </c>
      <c r="U3982" s="522" t="inlineStr">
        <is>
          <t>L001-901905215</t>
        </is>
      </c>
      <c r="V3982" s="522" t="inlineStr">
        <is>
          <t>វីអ៊ីស៊ិន (ខេមបូឌា) អ៊ិនដាសស្ទ្រី ឯ.ក</t>
        </is>
      </c>
      <c r="W3982" s="556" t="n">
        <v>492065</v>
      </c>
    </row>
    <row r="3983">
      <c r="A3983" s="521" t="n">
        <v>3975</v>
      </c>
      <c r="B3983" s="522" t="inlineStr">
        <is>
          <t>LIFT-OFF Charges and Gate Fee Charge</t>
        </is>
      </c>
      <c r="C3983" s="522" t="inlineStr">
        <is>
          <t>កំពង់ផែស្វយ័តភ្នំពេញ "ក.ស.ភ"</t>
        </is>
      </c>
      <c r="D3983" s="522" t="inlineStr">
        <is>
          <t>L001-100044999</t>
        </is>
      </c>
      <c r="E3983" s="521" t="inlineStr">
        <is>
          <t>INV20221185402</t>
        </is>
      </c>
      <c r="F3983" s="523" t="n">
        <v>44895</v>
      </c>
      <c r="G3983" s="556" t="n">
        <v>29678</v>
      </c>
      <c r="I3983" s="521">
        <f>G3983</f>
        <v/>
      </c>
      <c r="K3983" s="521">
        <f>I3983-G3983</f>
        <v/>
      </c>
      <c r="M3983" s="522" t="inlineStr">
        <is>
          <t>INV20221185402</t>
        </is>
      </c>
      <c r="N3983" s="522" t="inlineStr"/>
      <c r="O3983" s="521">
        <f>M3983=N3983</f>
        <v/>
      </c>
      <c r="P3983" s="521">
        <f>AND(MONTH(F3983)=MONTH(S3983), YEAR(F3983)=YEAR(S3983))</f>
        <v/>
      </c>
      <c r="Q3983" s="521">
        <f>U3983="L001-901905215"</f>
        <v/>
      </c>
      <c r="R3983" s="556">
        <f>G3983-W3983</f>
        <v/>
      </c>
      <c r="S3983" s="521" t="n"/>
      <c r="T3983" s="522" t="n"/>
      <c r="U3983" s="522" t="n"/>
      <c r="V3983" s="522" t="n"/>
      <c r="W3983" s="521" t="n"/>
    </row>
    <row r="3984">
      <c r="A3984" s="521" t="n">
        <v>3976</v>
      </c>
      <c r="B3984" s="522" t="inlineStr">
        <is>
          <t>Clearance &amp; Trucking Fee</t>
        </is>
      </c>
      <c r="C3984" s="522" t="inlineStr">
        <is>
          <t>56ប៊ី-លីង សឹបផ្លាយ ឆេន មេនេចម៉ិន ឯ.ក</t>
        </is>
      </c>
      <c r="D3984" s="522" t="inlineStr">
        <is>
          <t>K004-902004795</t>
        </is>
      </c>
      <c r="E3984" s="521" t="inlineStr">
        <is>
          <t>TI2022-0893</t>
        </is>
      </c>
      <c r="F3984" s="523" t="n">
        <v>44889</v>
      </c>
      <c r="G3984" s="556" t="n">
        <v>274978</v>
      </c>
      <c r="I3984" s="521">
        <f>G3984</f>
        <v/>
      </c>
      <c r="K3984" s="521">
        <f>I3984-G3984</f>
        <v/>
      </c>
      <c r="M3984" s="522" t="inlineStr">
        <is>
          <t>TI20220893</t>
        </is>
      </c>
      <c r="N3984" s="522" t="inlineStr">
        <is>
          <t>TI20220893</t>
        </is>
      </c>
      <c r="O3984" s="521">
        <f>M3984=N3984</f>
        <v/>
      </c>
      <c r="P3984" s="521">
        <f>AND(MONTH(F3984)=MONTH(S3984), YEAR(F3984)=YEAR(S3984))</f>
        <v/>
      </c>
      <c r="Q3984" s="521">
        <f>U3984="L001-901905215"</f>
        <v/>
      </c>
      <c r="R3984" s="556">
        <f>G3984-W3984</f>
        <v/>
      </c>
      <c r="S3984" s="523" t="n">
        <v>44889</v>
      </c>
      <c r="T3984" s="522" t="inlineStr">
        <is>
          <t>TI2022-0893</t>
        </is>
      </c>
      <c r="U3984" s="522" t="inlineStr">
        <is>
          <t>L001-901905215</t>
        </is>
      </c>
      <c r="V3984" s="522" t="inlineStr">
        <is>
          <t>វីអ៊ីស៊ិន (ខេមបូឌា) អ៊ិនដាសស្ទ្រី ឯ.ក</t>
        </is>
      </c>
      <c r="W3984" s="556" t="n">
        <v>274978</v>
      </c>
    </row>
    <row r="3985">
      <c r="A3985" s="521" t="n">
        <v>3977</v>
      </c>
      <c r="B3985" s="522" t="inlineStr">
        <is>
          <t>Clearance &amp; Trucking Fee</t>
        </is>
      </c>
      <c r="C3985" s="522" t="inlineStr">
        <is>
          <t>56ប៊ី-លីង សឹបផ្លាយ ឆេន មេនេចម៉ិន ឯ.ក</t>
        </is>
      </c>
      <c r="D3985" s="522" t="inlineStr">
        <is>
          <t>K004-902004795</t>
        </is>
      </c>
      <c r="E3985" s="521" t="inlineStr">
        <is>
          <t>TI2022-0879</t>
        </is>
      </c>
      <c r="F3985" s="523" t="n">
        <v>44886</v>
      </c>
      <c r="G3985" s="556" t="n">
        <v>351645</v>
      </c>
      <c r="I3985" s="521">
        <f>G3985</f>
        <v/>
      </c>
      <c r="K3985" s="521">
        <f>I3985-G3985</f>
        <v/>
      </c>
      <c r="M3985" s="522" t="inlineStr">
        <is>
          <t>TI20220879</t>
        </is>
      </c>
      <c r="N3985" s="522" t="inlineStr">
        <is>
          <t>TI20220879</t>
        </is>
      </c>
      <c r="O3985" s="521">
        <f>M3985=N3985</f>
        <v/>
      </c>
      <c r="P3985" s="521">
        <f>AND(MONTH(F3985)=MONTH(S3985), YEAR(F3985)=YEAR(S3985))</f>
        <v/>
      </c>
      <c r="Q3985" s="521">
        <f>U3985="L001-901905215"</f>
        <v/>
      </c>
      <c r="R3985" s="556">
        <f>G3985-W3985</f>
        <v/>
      </c>
      <c r="S3985" s="523" t="n">
        <v>44886</v>
      </c>
      <c r="T3985" s="522" t="inlineStr">
        <is>
          <t>TI2022-0879</t>
        </is>
      </c>
      <c r="U3985" s="522" t="inlineStr">
        <is>
          <t>L001-901905215</t>
        </is>
      </c>
      <c r="V3985" s="522" t="inlineStr">
        <is>
          <t>វីអ៊ីស៊ិន (ខេមបូឌា) អ៊ិនដាសស្ទ្រី ឯ.ក</t>
        </is>
      </c>
      <c r="W3985" s="556" t="n">
        <v>351645</v>
      </c>
    </row>
    <row r="3986">
      <c r="A3986" s="521" t="n">
        <v>3978</v>
      </c>
      <c r="B3986" s="522" t="inlineStr">
        <is>
          <t>Clearance &amp; Trucking Fee</t>
        </is>
      </c>
      <c r="C3986" s="522" t="inlineStr">
        <is>
          <t>56ប៊ី-លីង សឹបផ្លាយ ឆេន មេនេចម៉ិន ឯ.ក</t>
        </is>
      </c>
      <c r="D3986" s="522" t="inlineStr">
        <is>
          <t>K004-902004795</t>
        </is>
      </c>
      <c r="E3986" s="521" t="inlineStr">
        <is>
          <t>TI2022-0876</t>
        </is>
      </c>
      <c r="F3986" s="523" t="n">
        <v>44886</v>
      </c>
      <c r="G3986" s="556" t="n">
        <v>368193</v>
      </c>
      <c r="I3986" s="521">
        <f>G3986</f>
        <v/>
      </c>
      <c r="K3986" s="521">
        <f>I3986-G3986</f>
        <v/>
      </c>
      <c r="M3986" s="522" t="inlineStr">
        <is>
          <t>TI20220876</t>
        </is>
      </c>
      <c r="N3986" s="522" t="inlineStr">
        <is>
          <t>TI20220876</t>
        </is>
      </c>
      <c r="O3986" s="521">
        <f>M3986=N3986</f>
        <v/>
      </c>
      <c r="P3986" s="521">
        <f>AND(MONTH(F3986)=MONTH(S3986), YEAR(F3986)=YEAR(S3986))</f>
        <v/>
      </c>
      <c r="Q3986" s="521">
        <f>U3986="L001-901905215"</f>
        <v/>
      </c>
      <c r="R3986" s="556">
        <f>G3986-W3986</f>
        <v/>
      </c>
      <c r="S3986" s="523" t="n">
        <v>44886</v>
      </c>
      <c r="T3986" s="522" t="inlineStr">
        <is>
          <t>TI2022-0876</t>
        </is>
      </c>
      <c r="U3986" s="522" t="inlineStr">
        <is>
          <t>L001-901905215</t>
        </is>
      </c>
      <c r="V3986" s="522" t="inlineStr">
        <is>
          <t>វីអ៊ីស៊ិន (ខេមបូឌា) អ៊ិនដាសស្ទ្រី ឯ.ក</t>
        </is>
      </c>
      <c r="W3986" s="556" t="n">
        <v>368193</v>
      </c>
    </row>
    <row r="3987">
      <c r="A3987" s="521" t="n">
        <v>3979</v>
      </c>
      <c r="B3987" s="522" t="inlineStr">
        <is>
          <t>Clearance &amp; Trucking Fee</t>
        </is>
      </c>
      <c r="C3987" s="522" t="inlineStr">
        <is>
          <t>56ប៊ី-លីង សឹបផ្លាយ ឆេន មេនេចម៉ិន ឯ.ក</t>
        </is>
      </c>
      <c r="D3987" s="522" t="inlineStr">
        <is>
          <t>K004-902004795</t>
        </is>
      </c>
      <c r="E3987" s="521" t="inlineStr">
        <is>
          <t>TI2022-0875</t>
        </is>
      </c>
      <c r="F3987" s="523" t="n">
        <v>44886</v>
      </c>
      <c r="G3987" s="556" t="n">
        <v>368193</v>
      </c>
      <c r="I3987" s="521">
        <f>G3987</f>
        <v/>
      </c>
      <c r="K3987" s="521">
        <f>I3987-G3987</f>
        <v/>
      </c>
      <c r="M3987" s="522" t="inlineStr">
        <is>
          <t>TI20220875</t>
        </is>
      </c>
      <c r="N3987" s="522" t="inlineStr">
        <is>
          <t>TI20220875</t>
        </is>
      </c>
      <c r="O3987" s="521">
        <f>M3987=N3987</f>
        <v/>
      </c>
      <c r="P3987" s="521">
        <f>AND(MONTH(F3987)=MONTH(S3987), YEAR(F3987)=YEAR(S3987))</f>
        <v/>
      </c>
      <c r="Q3987" s="521">
        <f>U3987="L001-901905215"</f>
        <v/>
      </c>
      <c r="R3987" s="556">
        <f>G3987-W3987</f>
        <v/>
      </c>
      <c r="S3987" s="523" t="n">
        <v>44886</v>
      </c>
      <c r="T3987" s="522" t="inlineStr">
        <is>
          <t>TI2022-0875</t>
        </is>
      </c>
      <c r="U3987" s="522" t="inlineStr">
        <is>
          <t>L001-901905215</t>
        </is>
      </c>
      <c r="V3987" s="522" t="inlineStr">
        <is>
          <t>វីអ៊ីស៊ិន (ខេមបូឌា) អ៊ិនដាសស្ទ្រី ឯ.ក</t>
        </is>
      </c>
      <c r="W3987" s="556" t="n">
        <v>368193</v>
      </c>
    </row>
    <row r="3988">
      <c r="A3988" s="521" t="n">
        <v>3980</v>
      </c>
      <c r="B3988" s="522" t="inlineStr">
        <is>
          <t>Clearance &amp; Trucking Fee</t>
        </is>
      </c>
      <c r="C3988" s="522" t="inlineStr">
        <is>
          <t>56ប៊ី-លីង សឹបផ្លាយ ឆេន មេនេចម៉ិន ឯ.ក</t>
        </is>
      </c>
      <c r="D3988" s="522" t="inlineStr">
        <is>
          <t>K004-902004795</t>
        </is>
      </c>
      <c r="E3988" s="521" t="inlineStr">
        <is>
          <t>TI2022-0873</t>
        </is>
      </c>
      <c r="F3988" s="523" t="n">
        <v>44886</v>
      </c>
      <c r="G3988" s="556" t="n">
        <v>351645</v>
      </c>
      <c r="I3988" s="521">
        <f>G3988</f>
        <v/>
      </c>
      <c r="K3988" s="521">
        <f>I3988-G3988</f>
        <v/>
      </c>
      <c r="M3988" s="522" t="inlineStr">
        <is>
          <t>TI20220873</t>
        </is>
      </c>
      <c r="N3988" s="522" t="inlineStr">
        <is>
          <t>TI20220873</t>
        </is>
      </c>
      <c r="O3988" s="521">
        <f>M3988=N3988</f>
        <v/>
      </c>
      <c r="P3988" s="521">
        <f>AND(MONTH(F3988)=MONTH(S3988), YEAR(F3988)=YEAR(S3988))</f>
        <v/>
      </c>
      <c r="Q3988" s="521">
        <f>U3988="L001-901905215"</f>
        <v/>
      </c>
      <c r="R3988" s="556">
        <f>G3988-W3988</f>
        <v/>
      </c>
      <c r="S3988" s="523" t="n">
        <v>44886</v>
      </c>
      <c r="T3988" s="522" t="inlineStr">
        <is>
          <t>TI2022-0873</t>
        </is>
      </c>
      <c r="U3988" s="522" t="inlineStr">
        <is>
          <t>L001-901905215</t>
        </is>
      </c>
      <c r="V3988" s="522" t="inlineStr">
        <is>
          <t>វីអ៊ីស៊ិន (ខេមបូឌា) អ៊ិនដាសស្ទ្រី ឯ.ក</t>
        </is>
      </c>
      <c r="W3988" s="556" t="n">
        <v>351645</v>
      </c>
    </row>
    <row r="3989">
      <c r="A3989" s="521" t="n">
        <v>3981</v>
      </c>
      <c r="B3989" s="522" t="inlineStr">
        <is>
          <t>Clearance &amp; Trucking Fee</t>
        </is>
      </c>
      <c r="C3989" s="522" t="inlineStr">
        <is>
          <t>56ប៊ី-លីង សឹបផ្លាយ ឆេន មេនេចម៉ិន ឯ.ក</t>
        </is>
      </c>
      <c r="D3989" s="522" t="inlineStr">
        <is>
          <t>K004-902004795</t>
        </is>
      </c>
      <c r="E3989" s="521" t="inlineStr">
        <is>
          <t>TI2022-0871</t>
        </is>
      </c>
      <c r="F3989" s="523" t="n">
        <v>44886</v>
      </c>
      <c r="G3989" s="556" t="n">
        <v>196508</v>
      </c>
      <c r="I3989" s="521">
        <f>G3989</f>
        <v/>
      </c>
      <c r="K3989" s="521">
        <f>I3989-G3989</f>
        <v/>
      </c>
      <c r="M3989" s="522" t="inlineStr">
        <is>
          <t>TI20220871</t>
        </is>
      </c>
      <c r="N3989" s="522" t="inlineStr">
        <is>
          <t>TI20220871</t>
        </is>
      </c>
      <c r="O3989" s="521">
        <f>M3989=N3989</f>
        <v/>
      </c>
      <c r="P3989" s="521">
        <f>AND(MONTH(F3989)=MONTH(S3989), YEAR(F3989)=YEAR(S3989))</f>
        <v/>
      </c>
      <c r="Q3989" s="521">
        <f>U3989="L001-901905215"</f>
        <v/>
      </c>
      <c r="R3989" s="556">
        <f>G3989-W3989</f>
        <v/>
      </c>
      <c r="S3989" s="523" t="n">
        <v>44886</v>
      </c>
      <c r="T3989" s="522" t="inlineStr">
        <is>
          <t>TI2022-0871</t>
        </is>
      </c>
      <c r="U3989" s="522" t="inlineStr">
        <is>
          <t>L001-901905215</t>
        </is>
      </c>
      <c r="V3989" s="522" t="inlineStr">
        <is>
          <t>វីអ៊ីស៊ិន (ខេមបូឌា) អ៊ិនដាសស្ទ្រី ឯ.ក</t>
        </is>
      </c>
      <c r="W3989" s="556" t="n">
        <v>196508</v>
      </c>
    </row>
    <row r="3990">
      <c r="A3990" s="521" t="n">
        <v>3982</v>
      </c>
      <c r="B3990" s="522" t="inlineStr">
        <is>
          <t>Clearance &amp; Trucking Fee</t>
        </is>
      </c>
      <c r="C3990" s="522" t="inlineStr">
        <is>
          <t>56ប៊ី-លីង សឹបផ្លាយ ឆេន មេនេចម៉ិន ឯ.ក</t>
        </is>
      </c>
      <c r="D3990" s="522" t="inlineStr">
        <is>
          <t>K004-902004795</t>
        </is>
      </c>
      <c r="E3990" s="521" t="inlineStr">
        <is>
          <t>TI2022-0869</t>
        </is>
      </c>
      <c r="F3990" s="523" t="n">
        <v>44886</v>
      </c>
      <c r="G3990" s="556" t="n">
        <v>213056</v>
      </c>
      <c r="I3990" s="521">
        <f>G3990</f>
        <v/>
      </c>
      <c r="K3990" s="521">
        <f>I3990-G3990</f>
        <v/>
      </c>
      <c r="M3990" s="522" t="inlineStr">
        <is>
          <t>TI20220869</t>
        </is>
      </c>
      <c r="N3990" s="522" t="inlineStr">
        <is>
          <t>TI20220869</t>
        </is>
      </c>
      <c r="O3990" s="521">
        <f>M3990=N3990</f>
        <v/>
      </c>
      <c r="P3990" s="521">
        <f>AND(MONTH(F3990)=MONTH(S3990), YEAR(F3990)=YEAR(S3990))</f>
        <v/>
      </c>
      <c r="Q3990" s="521">
        <f>U3990="L001-901905215"</f>
        <v/>
      </c>
      <c r="R3990" s="556">
        <f>G3990-W3990</f>
        <v/>
      </c>
      <c r="S3990" s="523" t="n">
        <v>44886</v>
      </c>
      <c r="T3990" s="522" t="inlineStr">
        <is>
          <t>TI2022-0869</t>
        </is>
      </c>
      <c r="U3990" s="522" t="inlineStr">
        <is>
          <t>L001-901905215</t>
        </is>
      </c>
      <c r="V3990" s="522" t="inlineStr">
        <is>
          <t>វីអ៊ីស៊ិន (ខេមបូឌា) អ៊ិនដាសស្ទ្រី ឯ.ក</t>
        </is>
      </c>
      <c r="W3990" s="556" t="n">
        <v>213056</v>
      </c>
    </row>
    <row r="3991">
      <c r="A3991" s="521" t="n">
        <v>3983</v>
      </c>
      <c r="B3991" s="522" t="inlineStr">
        <is>
          <t>Clearance &amp; Trucking Fee</t>
        </is>
      </c>
      <c r="C3991" s="522" t="inlineStr">
        <is>
          <t>56ប៊ី-លីង សឹបផ្លាយ ឆេន មេនេចម៉ិន ឯ.ក</t>
        </is>
      </c>
      <c r="D3991" s="522" t="inlineStr">
        <is>
          <t>K004-902004795</t>
        </is>
      </c>
      <c r="E3991" s="521" t="inlineStr">
        <is>
          <t>TI2022-0868</t>
        </is>
      </c>
      <c r="F3991" s="523" t="n">
        <v>44886</v>
      </c>
      <c r="G3991" s="556" t="n">
        <v>196508</v>
      </c>
      <c r="I3991" s="521">
        <f>G3991</f>
        <v/>
      </c>
      <c r="K3991" s="521">
        <f>I3991-G3991</f>
        <v/>
      </c>
      <c r="M3991" s="522" t="inlineStr">
        <is>
          <t>TI20220868</t>
        </is>
      </c>
      <c r="N3991" s="522" t="inlineStr">
        <is>
          <t>TI20220868</t>
        </is>
      </c>
      <c r="O3991" s="521">
        <f>M3991=N3991</f>
        <v/>
      </c>
      <c r="P3991" s="521">
        <f>AND(MONTH(F3991)=MONTH(S3991), YEAR(F3991)=YEAR(S3991))</f>
        <v/>
      </c>
      <c r="Q3991" s="521">
        <f>U3991="L001-901905215"</f>
        <v/>
      </c>
      <c r="R3991" s="556">
        <f>G3991-W3991</f>
        <v/>
      </c>
      <c r="S3991" s="523" t="n">
        <v>44886</v>
      </c>
      <c r="T3991" s="522" t="inlineStr">
        <is>
          <t>TI2022-0868</t>
        </is>
      </c>
      <c r="U3991" s="522" t="inlineStr">
        <is>
          <t>L001-901905215</t>
        </is>
      </c>
      <c r="V3991" s="522" t="inlineStr">
        <is>
          <t>វីអ៊ីស៊ិន (ខេមបូឌា) អ៊ិនដាសស្ទ្រី ឯ.ក</t>
        </is>
      </c>
      <c r="W3991" s="556" t="n">
        <v>196508</v>
      </c>
    </row>
    <row r="3992">
      <c r="A3992" s="521" t="n">
        <v>3984</v>
      </c>
      <c r="B3992" s="522" t="inlineStr">
        <is>
          <t>Clearance &amp; Trucking Fee</t>
        </is>
      </c>
      <c r="C3992" s="522" t="inlineStr">
        <is>
          <t>56ប៊ី-លីង សឹបផ្លាយ ឆេន មេនេចម៉ិន ឯ.ក</t>
        </is>
      </c>
      <c r="D3992" s="522" t="inlineStr">
        <is>
          <t>K004-902004795</t>
        </is>
      </c>
      <c r="E3992" s="521" t="inlineStr">
        <is>
          <t>TI2022-0867</t>
        </is>
      </c>
      <c r="F3992" s="523" t="n">
        <v>44886</v>
      </c>
      <c r="G3992" s="556" t="n">
        <v>213056</v>
      </c>
      <c r="I3992" s="521">
        <f>G3992</f>
        <v/>
      </c>
      <c r="K3992" s="521">
        <f>I3992-G3992</f>
        <v/>
      </c>
      <c r="M3992" s="522" t="inlineStr">
        <is>
          <t>TI20220867</t>
        </is>
      </c>
      <c r="N3992" s="522" t="inlineStr">
        <is>
          <t>TI20220867</t>
        </is>
      </c>
      <c r="O3992" s="521">
        <f>M3992=N3992</f>
        <v/>
      </c>
      <c r="P3992" s="521">
        <f>AND(MONTH(F3992)=MONTH(S3992), YEAR(F3992)=YEAR(S3992))</f>
        <v/>
      </c>
      <c r="Q3992" s="521">
        <f>U3992="L001-901905215"</f>
        <v/>
      </c>
      <c r="R3992" s="556">
        <f>G3992-W3992</f>
        <v/>
      </c>
      <c r="S3992" s="523" t="n">
        <v>44886</v>
      </c>
      <c r="T3992" s="522" t="inlineStr">
        <is>
          <t>TI2022-0867</t>
        </is>
      </c>
      <c r="U3992" s="522" t="inlineStr">
        <is>
          <t>L001-901905215</t>
        </is>
      </c>
      <c r="V3992" s="522" t="inlineStr">
        <is>
          <t>វីអ៊ីស៊ិន (ខេមបូឌា) អ៊ិនដាសស្ទ្រី ឯ.ក</t>
        </is>
      </c>
      <c r="W3992" s="556" t="n">
        <v>213056</v>
      </c>
    </row>
    <row r="3993">
      <c r="A3993" s="521" t="n">
        <v>3985</v>
      </c>
      <c r="B3993" s="522" t="inlineStr">
        <is>
          <t>Clearance &amp; Trucking Fee</t>
        </is>
      </c>
      <c r="C3993" s="522" t="inlineStr">
        <is>
          <t>56ប៊ី-លីង សឹបផ្លាយ ឆេន មេនេចម៉ិន ឯ.ក</t>
        </is>
      </c>
      <c r="D3993" s="522" t="inlineStr">
        <is>
          <t>K004-902004795</t>
        </is>
      </c>
      <c r="E3993" s="521" t="inlineStr">
        <is>
          <t>TI2022-0864</t>
        </is>
      </c>
      <c r="F3993" s="523" t="n">
        <v>44882</v>
      </c>
      <c r="G3993" s="556" t="n">
        <v>343620</v>
      </c>
      <c r="I3993" s="521">
        <f>G3993</f>
        <v/>
      </c>
      <c r="K3993" s="521">
        <f>I3993-G3993</f>
        <v/>
      </c>
      <c r="M3993" s="522" t="inlineStr">
        <is>
          <t>TI20220864</t>
        </is>
      </c>
      <c r="N3993" s="522" t="inlineStr">
        <is>
          <t>TI20220864</t>
        </is>
      </c>
      <c r="O3993" s="521">
        <f>M3993=N3993</f>
        <v/>
      </c>
      <c r="P3993" s="521">
        <f>AND(MONTH(F3993)=MONTH(S3993), YEAR(F3993)=YEAR(S3993))</f>
        <v/>
      </c>
      <c r="Q3993" s="521">
        <f>U3993="L001-901905215"</f>
        <v/>
      </c>
      <c r="R3993" s="556">
        <f>G3993-W3993</f>
        <v/>
      </c>
      <c r="S3993" s="523" t="n">
        <v>44882</v>
      </c>
      <c r="T3993" s="522" t="inlineStr">
        <is>
          <t>TI2022-0864</t>
        </is>
      </c>
      <c r="U3993" s="522" t="inlineStr">
        <is>
          <t>L001-901905215</t>
        </is>
      </c>
      <c r="V3993" s="522" t="inlineStr">
        <is>
          <t>វីអ៊ីស៊ិន (ខេមបូឌា) អ៊ិនដាសស្ទ្រី ឯ.ក</t>
        </is>
      </c>
      <c r="W3993" s="556" t="n">
        <v>343620</v>
      </c>
    </row>
    <row r="3994">
      <c r="A3994" s="521" t="n">
        <v>3986</v>
      </c>
      <c r="B3994" s="522" t="inlineStr">
        <is>
          <t>Clearance &amp; Trucking Fee</t>
        </is>
      </c>
      <c r="C3994" s="522" t="inlineStr">
        <is>
          <t>56ប៊ី-លីង សឹបផ្លាយ ឆេន មេនេចម៉ិន ឯ.ក</t>
        </is>
      </c>
      <c r="D3994" s="522" t="inlineStr">
        <is>
          <t>K004-902004795</t>
        </is>
      </c>
      <c r="E3994" s="521" t="inlineStr">
        <is>
          <t>TI2022-0863</t>
        </is>
      </c>
      <c r="F3994" s="523" t="n">
        <v>44882</v>
      </c>
      <c r="G3994" s="556" t="n">
        <v>213210</v>
      </c>
      <c r="I3994" s="521">
        <f>G3994</f>
        <v/>
      </c>
      <c r="K3994" s="521">
        <f>I3994-G3994</f>
        <v/>
      </c>
      <c r="M3994" s="522" t="inlineStr">
        <is>
          <t>TI20220863</t>
        </is>
      </c>
      <c r="N3994" s="522" t="inlineStr">
        <is>
          <t>TI20220863</t>
        </is>
      </c>
      <c r="O3994" s="521">
        <f>M3994=N3994</f>
        <v/>
      </c>
      <c r="P3994" s="521">
        <f>AND(MONTH(F3994)=MONTH(S3994), YEAR(F3994)=YEAR(S3994))</f>
        <v/>
      </c>
      <c r="Q3994" s="521">
        <f>U3994="L001-901905215"</f>
        <v/>
      </c>
      <c r="R3994" s="556">
        <f>G3994-W3994</f>
        <v/>
      </c>
      <c r="S3994" s="523" t="n">
        <v>44882</v>
      </c>
      <c r="T3994" s="522" t="inlineStr">
        <is>
          <t>TI2022-0863</t>
        </is>
      </c>
      <c r="U3994" s="522" t="inlineStr">
        <is>
          <t>L001-901905215</t>
        </is>
      </c>
      <c r="V3994" s="522" t="inlineStr">
        <is>
          <t>វីអ៊ីស៊ិន (ខេមបូឌា) អ៊ិនដាសស្ទ្រី ឯ.ក</t>
        </is>
      </c>
      <c r="W3994" s="556" t="n">
        <v>213210</v>
      </c>
    </row>
    <row r="3995">
      <c r="A3995" s="521" t="n">
        <v>3987</v>
      </c>
      <c r="B3995" s="522" t="inlineStr">
        <is>
          <t>Clearance &amp; Trucking Fee</t>
        </is>
      </c>
      <c r="C3995" s="522" t="inlineStr">
        <is>
          <t>56ប៊ី-លីង សឹបផ្លាយ ឆេន មេនេចម៉ិន ឯ.ក</t>
        </is>
      </c>
      <c r="D3995" s="522" t="inlineStr">
        <is>
          <t>K004-902004795</t>
        </is>
      </c>
      <c r="E3995" s="521" t="inlineStr">
        <is>
          <t>TI2022-0862</t>
        </is>
      </c>
      <c r="F3995" s="523" t="n">
        <v>44882</v>
      </c>
      <c r="G3995" s="556" t="n">
        <v>368460</v>
      </c>
      <c r="I3995" s="521">
        <f>G3995</f>
        <v/>
      </c>
      <c r="K3995" s="521">
        <f>I3995-G3995</f>
        <v/>
      </c>
      <c r="M3995" s="522" t="inlineStr">
        <is>
          <t>TI20220862</t>
        </is>
      </c>
      <c r="N3995" s="522" t="inlineStr">
        <is>
          <t>TI20220862</t>
        </is>
      </c>
      <c r="O3995" s="521">
        <f>M3995=N3995</f>
        <v/>
      </c>
      <c r="P3995" s="521">
        <f>AND(MONTH(F3995)=MONTH(S3995), YEAR(F3995)=YEAR(S3995))</f>
        <v/>
      </c>
      <c r="Q3995" s="521">
        <f>U3995="L001-901905215"</f>
        <v/>
      </c>
      <c r="R3995" s="556">
        <f>G3995-W3995</f>
        <v/>
      </c>
      <c r="S3995" s="523" t="n">
        <v>44882</v>
      </c>
      <c r="T3995" s="522" t="inlineStr">
        <is>
          <t>TI2022-0862</t>
        </is>
      </c>
      <c r="U3995" s="522" t="inlineStr">
        <is>
          <t>L001-901905215</t>
        </is>
      </c>
      <c r="V3995" s="522" t="inlineStr">
        <is>
          <t>វីអ៊ីស៊ិន (ខេមបូឌា) អ៊ិនដាសស្ទ្រី ឯ.ក</t>
        </is>
      </c>
      <c r="W3995" s="556" t="n">
        <v>368460</v>
      </c>
    </row>
    <row r="3996">
      <c r="A3996" s="521" t="n">
        <v>3988</v>
      </c>
      <c r="B3996" s="522" t="inlineStr">
        <is>
          <t>Clearance &amp; Trucking Fee</t>
        </is>
      </c>
      <c r="C3996" s="522" t="inlineStr">
        <is>
          <t>56ប៊ី-លីង សឹបផ្លាយ ឆេន មេនេចម៉ិន ឯ.ក</t>
        </is>
      </c>
      <c r="D3996" s="522" t="inlineStr">
        <is>
          <t>K004-902004795</t>
        </is>
      </c>
      <c r="E3996" s="521" t="inlineStr">
        <is>
          <t>TI2022-0861</t>
        </is>
      </c>
      <c r="F3996" s="523" t="n">
        <v>44882</v>
      </c>
      <c r="G3996" s="556" t="n">
        <v>188370</v>
      </c>
      <c r="I3996" s="521">
        <f>G3996</f>
        <v/>
      </c>
      <c r="K3996" s="521">
        <f>I3996-G3996</f>
        <v/>
      </c>
      <c r="M3996" s="522" t="inlineStr">
        <is>
          <t>TI20220861</t>
        </is>
      </c>
      <c r="N3996" s="522" t="inlineStr">
        <is>
          <t>TI20220861</t>
        </is>
      </c>
      <c r="O3996" s="521">
        <f>M3996=N3996</f>
        <v/>
      </c>
      <c r="P3996" s="521">
        <f>AND(MONTH(F3996)=MONTH(S3996), YEAR(F3996)=YEAR(S3996))</f>
        <v/>
      </c>
      <c r="Q3996" s="521">
        <f>U3996="L001-901905215"</f>
        <v/>
      </c>
      <c r="R3996" s="556">
        <f>G3996-W3996</f>
        <v/>
      </c>
      <c r="S3996" s="523" t="n">
        <v>44882</v>
      </c>
      <c r="T3996" s="522" t="inlineStr">
        <is>
          <t>TI2022-0861</t>
        </is>
      </c>
      <c r="U3996" s="522" t="inlineStr">
        <is>
          <t>L001-901905215</t>
        </is>
      </c>
      <c r="V3996" s="522" t="inlineStr">
        <is>
          <t>វីអ៊ីស៊ិន (ខេមបូឌា) អ៊ិនដាសស្ទ្រី ឯ.ក</t>
        </is>
      </c>
      <c r="W3996" s="556" t="n">
        <v>188370</v>
      </c>
    </row>
    <row r="3997">
      <c r="A3997" s="521" t="n">
        <v>3989</v>
      </c>
      <c r="B3997" s="522" t="inlineStr">
        <is>
          <t>Clearance &amp; Trucking Fee</t>
        </is>
      </c>
      <c r="C3997" s="522" t="inlineStr">
        <is>
          <t>56ប៊ី-លីង សឹបផ្លាយ ឆេន មេនេចម៉ិន ឯ.ក</t>
        </is>
      </c>
      <c r="D3997" s="522" t="inlineStr">
        <is>
          <t>K004-902004795</t>
        </is>
      </c>
      <c r="E3997" s="521" t="inlineStr">
        <is>
          <t>TI2022-0835</t>
        </is>
      </c>
      <c r="F3997" s="523" t="n">
        <v>44868</v>
      </c>
      <c r="G3997" s="556" t="n">
        <v>343786</v>
      </c>
      <c r="I3997" s="521">
        <f>G3997</f>
        <v/>
      </c>
      <c r="K3997" s="521">
        <f>I3997-G3997</f>
        <v/>
      </c>
      <c r="M3997" s="522" t="inlineStr">
        <is>
          <t>TI20220835</t>
        </is>
      </c>
      <c r="N3997" s="522" t="inlineStr">
        <is>
          <t>TI20220835</t>
        </is>
      </c>
      <c r="O3997" s="521">
        <f>M3997=N3997</f>
        <v/>
      </c>
      <c r="P3997" s="521">
        <f>AND(MONTH(F3997)=MONTH(S3997), YEAR(F3997)=YEAR(S3997))</f>
        <v/>
      </c>
      <c r="Q3997" s="521">
        <f>U3997="L001-901905215"</f>
        <v/>
      </c>
      <c r="R3997" s="556">
        <f>G3997-W3997</f>
        <v/>
      </c>
      <c r="S3997" s="523" t="n">
        <v>44868</v>
      </c>
      <c r="T3997" s="522" t="inlineStr">
        <is>
          <t>TI2022-0835</t>
        </is>
      </c>
      <c r="U3997" s="522" t="inlineStr">
        <is>
          <t>L001-901905215</t>
        </is>
      </c>
      <c r="V3997" s="522" t="inlineStr">
        <is>
          <t>វីអ៊ីស៊ិន (ខេមបូឌា) អ៊ិនដាសស្ទ្រី ឯ.ក</t>
        </is>
      </c>
      <c r="W3997" s="556" t="n">
        <v>343786</v>
      </c>
    </row>
    <row r="3998">
      <c r="A3998" s="521" t="n">
        <v>3990</v>
      </c>
      <c r="B3998" s="522" t="inlineStr">
        <is>
          <t>Clearance &amp; Trucking Fee</t>
        </is>
      </c>
      <c r="C3998" s="522" t="inlineStr">
        <is>
          <t>56ប៊ី-លីង សឹបផ្លាយ ឆេន មេនេចម៉ិន ឯ.ក</t>
        </is>
      </c>
      <c r="D3998" s="522" t="inlineStr">
        <is>
          <t>K004-902004795</t>
        </is>
      </c>
      <c r="E3998" s="521" t="inlineStr">
        <is>
          <t>TI2022-0834</t>
        </is>
      </c>
      <c r="F3998" s="523" t="n">
        <v>44868</v>
      </c>
      <c r="G3998" s="556" t="n">
        <v>343786</v>
      </c>
      <c r="I3998" s="521">
        <f>G3998</f>
        <v/>
      </c>
      <c r="K3998" s="521">
        <f>I3998-G3998</f>
        <v/>
      </c>
      <c r="M3998" s="522" t="inlineStr">
        <is>
          <t>TI20220834</t>
        </is>
      </c>
      <c r="N3998" s="522" t="inlineStr">
        <is>
          <t>TI20220834</t>
        </is>
      </c>
      <c r="O3998" s="521">
        <f>M3998=N3998</f>
        <v/>
      </c>
      <c r="P3998" s="521">
        <f>AND(MONTH(F3998)=MONTH(S3998), YEAR(F3998)=YEAR(S3998))</f>
        <v/>
      </c>
      <c r="Q3998" s="521">
        <f>U3998="L001-901905215"</f>
        <v/>
      </c>
      <c r="R3998" s="556">
        <f>G3998-W3998</f>
        <v/>
      </c>
      <c r="S3998" s="523" t="n">
        <v>44868</v>
      </c>
      <c r="T3998" s="522" t="inlineStr">
        <is>
          <t>TI2022-0834</t>
        </is>
      </c>
      <c r="U3998" s="522" t="inlineStr">
        <is>
          <t>L001-901905215</t>
        </is>
      </c>
      <c r="V3998" s="522" t="inlineStr">
        <is>
          <t>វីអ៊ីស៊ិន (ខេមបូឌា) អ៊ិនដាសស្ទ្រី ឯ.ក</t>
        </is>
      </c>
      <c r="W3998" s="556" t="n">
        <v>343786</v>
      </c>
    </row>
    <row r="3999">
      <c r="A3999" s="521" t="n">
        <v>3991</v>
      </c>
      <c r="B3999" s="522" t="inlineStr">
        <is>
          <t>Clearance &amp; Trucking Fee</t>
        </is>
      </c>
      <c r="C3999" s="522" t="inlineStr">
        <is>
          <t>56ប៊ី-លីង សឹបផ្លាយ ឆេន មេនេចម៉ិន ឯ.ក</t>
        </is>
      </c>
      <c r="D3999" s="522" t="inlineStr">
        <is>
          <t>K004-902004795</t>
        </is>
      </c>
      <c r="E3999" s="521" t="inlineStr">
        <is>
          <t>TI2022-0833</t>
        </is>
      </c>
      <c r="F3999" s="523" t="n">
        <v>44867</v>
      </c>
      <c r="G3999" s="556" t="n">
        <v>368638</v>
      </c>
      <c r="I3999" s="521">
        <f>G3999</f>
        <v/>
      </c>
      <c r="K3999" s="521">
        <f>I3999-G3999</f>
        <v/>
      </c>
      <c r="M3999" s="522" t="inlineStr">
        <is>
          <t>TI20220833</t>
        </is>
      </c>
      <c r="N3999" s="522" t="inlineStr">
        <is>
          <t>TI20220833</t>
        </is>
      </c>
      <c r="O3999" s="521">
        <f>M3999=N3999</f>
        <v/>
      </c>
      <c r="P3999" s="521">
        <f>AND(MONTH(F3999)=MONTH(S3999), YEAR(F3999)=YEAR(S3999))</f>
        <v/>
      </c>
      <c r="Q3999" s="521">
        <f>U3999="L001-901905215"</f>
        <v/>
      </c>
      <c r="R3999" s="556">
        <f>G3999-W3999</f>
        <v/>
      </c>
      <c r="S3999" s="523" t="n">
        <v>44868</v>
      </c>
      <c r="T3999" s="522" t="inlineStr">
        <is>
          <t>TI2022-0833</t>
        </is>
      </c>
      <c r="U3999" s="522" t="inlineStr">
        <is>
          <t>L001-901905215</t>
        </is>
      </c>
      <c r="V3999" s="522" t="inlineStr">
        <is>
          <t>វីអ៊ីស៊ិន (ខេមបូឌា) អ៊ិនដាសស្ទ្រី ឯ.ក</t>
        </is>
      </c>
      <c r="W3999" s="556" t="n">
        <v>368638</v>
      </c>
    </row>
    <row r="4000">
      <c r="A4000" s="521" t="n">
        <v>3992</v>
      </c>
      <c r="B4000" s="522" t="inlineStr">
        <is>
          <t>Clearance &amp; Trucking Fee</t>
        </is>
      </c>
      <c r="C4000" s="522" t="inlineStr">
        <is>
          <t>56ប៊ី-លីង សឹបផ្លាយ ឆេន មេនេចម៉ិន ឯ.ក</t>
        </is>
      </c>
      <c r="D4000" s="522" t="inlineStr">
        <is>
          <t>K004-902004795</t>
        </is>
      </c>
      <c r="E4000" s="521" t="inlineStr">
        <is>
          <t>TI2022-0832</t>
        </is>
      </c>
      <c r="F4000" s="523" t="n">
        <v>44868</v>
      </c>
      <c r="G4000" s="556" t="n">
        <v>196745</v>
      </c>
      <c r="I4000" s="521">
        <f>G4000</f>
        <v/>
      </c>
      <c r="K4000" s="521">
        <f>I4000-G4000</f>
        <v/>
      </c>
      <c r="M4000" s="522" t="inlineStr">
        <is>
          <t>TI20220832</t>
        </is>
      </c>
      <c r="N4000" s="522" t="inlineStr">
        <is>
          <t>TI20220832</t>
        </is>
      </c>
      <c r="O4000" s="521">
        <f>M4000=N4000</f>
        <v/>
      </c>
      <c r="P4000" s="521">
        <f>AND(MONTH(F4000)=MONTH(S4000), YEAR(F4000)=YEAR(S4000))</f>
        <v/>
      </c>
      <c r="Q4000" s="521">
        <f>U4000="L001-901905215"</f>
        <v/>
      </c>
      <c r="R4000" s="556">
        <f>G4000-W4000</f>
        <v/>
      </c>
      <c r="S4000" s="523" t="n">
        <v>44868</v>
      </c>
      <c r="T4000" s="522" t="inlineStr">
        <is>
          <t>TI2022-0832</t>
        </is>
      </c>
      <c r="U4000" s="522" t="inlineStr">
        <is>
          <t>L001-901905215</t>
        </is>
      </c>
      <c r="V4000" s="522" t="inlineStr">
        <is>
          <t>វីអ៊ីស៊ិន (ខេមបូឌា) អ៊ិនដាសស្ទ្រី ឯ.ក</t>
        </is>
      </c>
      <c r="W4000" s="556" t="n">
        <v>196745</v>
      </c>
    </row>
    <row r="4001">
      <c r="A4001" s="521" t="n">
        <v>3993</v>
      </c>
      <c r="B4001" s="522" t="inlineStr">
        <is>
          <t>Trucking Fee</t>
        </is>
      </c>
      <c r="C4001" s="522" t="inlineStr">
        <is>
          <t>ឆាយ ដា ឡូយីស្ទីក</t>
        </is>
      </c>
      <c r="D4001" s="522" t="inlineStr">
        <is>
          <t>L001-100063098</t>
        </is>
      </c>
      <c r="E4001" s="521" t="inlineStr">
        <is>
          <t>2211013004</t>
        </is>
      </c>
      <c r="F4001" s="523" t="n">
        <v>44866</v>
      </c>
      <c r="G4001" s="556" t="n">
        <v>90754</v>
      </c>
      <c r="I4001" s="521">
        <f>G4001</f>
        <v/>
      </c>
      <c r="K4001" s="521">
        <f>I4001-G4001</f>
        <v/>
      </c>
      <c r="M4001" s="522" t="inlineStr">
        <is>
          <t>2211013004</t>
        </is>
      </c>
      <c r="N4001" s="522" t="inlineStr">
        <is>
          <t>2211013004</t>
        </is>
      </c>
      <c r="O4001" s="521">
        <f>M4001=N4001</f>
        <v/>
      </c>
      <c r="P4001" s="521">
        <f>AND(MONTH(F4001)=MONTH(S4001), YEAR(F4001)=YEAR(S4001))</f>
        <v/>
      </c>
      <c r="Q4001" s="521">
        <f>U4001="L001-901905215"</f>
        <v/>
      </c>
      <c r="R4001" s="556">
        <f>G4001-W4001</f>
        <v/>
      </c>
      <c r="S4001" s="523" t="n">
        <v>44875</v>
      </c>
      <c r="T4001" s="522" t="inlineStr">
        <is>
          <t>2211013004</t>
        </is>
      </c>
      <c r="U4001" s="522" t="inlineStr">
        <is>
          <t>L001-901905215</t>
        </is>
      </c>
      <c r="V4001" s="522" t="inlineStr">
        <is>
          <t>វីអ៊ីស៊ិន (ខេមបូឌា) អ៊ិនដាសស្ទ្រី ឯ.ក</t>
        </is>
      </c>
      <c r="W4001" s="556" t="n">
        <v>90754</v>
      </c>
    </row>
    <row r="4002">
      <c r="A4002" s="521" t="n">
        <v>3994</v>
      </c>
      <c r="B4002" s="522" t="inlineStr">
        <is>
          <t>Trucking Fee</t>
        </is>
      </c>
      <c r="C4002" s="522" t="inlineStr">
        <is>
          <t>ឆាយ ដា ឡូយីស្ទីក</t>
        </is>
      </c>
      <c r="D4002" s="522" t="inlineStr">
        <is>
          <t>L001-100063098</t>
        </is>
      </c>
      <c r="E4002" s="521" t="inlineStr">
        <is>
          <t>2211012998</t>
        </is>
      </c>
      <c r="F4002" s="523" t="n">
        <v>44866</v>
      </c>
      <c r="G4002" s="556" t="n">
        <v>103186</v>
      </c>
      <c r="I4002" s="521">
        <f>G4002</f>
        <v/>
      </c>
      <c r="K4002" s="521">
        <f>I4002-G4002</f>
        <v/>
      </c>
      <c r="M4002" s="522" t="inlineStr">
        <is>
          <t>2211012998</t>
        </is>
      </c>
      <c r="N4002" s="522" t="inlineStr">
        <is>
          <t>2211012998</t>
        </is>
      </c>
      <c r="O4002" s="521">
        <f>M4002=N4002</f>
        <v/>
      </c>
      <c r="P4002" s="521">
        <f>AND(MONTH(F4002)=MONTH(S4002), YEAR(F4002)=YEAR(S4002))</f>
        <v/>
      </c>
      <c r="Q4002" s="521">
        <f>U4002="L001-901905215"</f>
        <v/>
      </c>
      <c r="R4002" s="556">
        <f>G4002-W4002</f>
        <v/>
      </c>
      <c r="S4002" s="523" t="n">
        <v>44875</v>
      </c>
      <c r="T4002" s="522" t="inlineStr">
        <is>
          <t>2211012998</t>
        </is>
      </c>
      <c r="U4002" s="522" t="inlineStr">
        <is>
          <t>L001-901905215</t>
        </is>
      </c>
      <c r="V4002" s="522" t="inlineStr">
        <is>
          <t>វីអ៊ីស៊ិន (ខេមបូឌា) អ៊ិនដាសស្ទ្រី ឯ.ក</t>
        </is>
      </c>
      <c r="W4002" s="556" t="n">
        <v>103186</v>
      </c>
    </row>
    <row r="4003">
      <c r="A4003" s="521" t="n">
        <v>3995</v>
      </c>
      <c r="B4003" s="522" t="inlineStr">
        <is>
          <t>Trucking Fee</t>
        </is>
      </c>
      <c r="C4003" s="522" t="inlineStr">
        <is>
          <t>ឆាយ ដា ឡូយីស្ទីក</t>
        </is>
      </c>
      <c r="D4003" s="522" t="inlineStr">
        <is>
          <t>L001-100063098</t>
        </is>
      </c>
      <c r="E4003" s="521" t="inlineStr">
        <is>
          <t>2211012991</t>
        </is>
      </c>
      <c r="F4003" s="523" t="n">
        <v>44866</v>
      </c>
      <c r="G4003" s="556" t="n">
        <v>90754</v>
      </c>
      <c r="I4003" s="521">
        <f>G4003</f>
        <v/>
      </c>
      <c r="K4003" s="521">
        <f>I4003-G4003</f>
        <v/>
      </c>
      <c r="M4003" s="522" t="inlineStr">
        <is>
          <t>2211012991</t>
        </is>
      </c>
      <c r="N4003" s="522" t="inlineStr">
        <is>
          <t>2211012991</t>
        </is>
      </c>
      <c r="O4003" s="521">
        <f>M4003=N4003</f>
        <v/>
      </c>
      <c r="P4003" s="521">
        <f>AND(MONTH(F4003)=MONTH(S4003), YEAR(F4003)=YEAR(S4003))</f>
        <v/>
      </c>
      <c r="Q4003" s="521">
        <f>U4003="L001-901905215"</f>
        <v/>
      </c>
      <c r="R4003" s="556">
        <f>G4003-W4003</f>
        <v/>
      </c>
      <c r="S4003" s="523" t="n">
        <v>44875</v>
      </c>
      <c r="T4003" s="522" t="inlineStr">
        <is>
          <t>2211012991</t>
        </is>
      </c>
      <c r="U4003" s="522" t="inlineStr">
        <is>
          <t>L001-901905215</t>
        </is>
      </c>
      <c r="V4003" s="522" t="inlineStr">
        <is>
          <t>វីអ៊ីស៊ិន (ខេមបូឌា) អ៊ិនដាសស្ទ្រី ឯ.ក</t>
        </is>
      </c>
      <c r="W4003" s="556" t="n">
        <v>90754</v>
      </c>
    </row>
    <row r="4004">
      <c r="A4004" s="521" t="n">
        <v>3996</v>
      </c>
      <c r="B4004" s="522" t="inlineStr">
        <is>
          <t>Trucking Fee</t>
        </is>
      </c>
      <c r="C4004" s="522" t="inlineStr">
        <is>
          <t>ឆាយ ដា ឡូយីស្ទីក</t>
        </is>
      </c>
      <c r="D4004" s="522" t="inlineStr">
        <is>
          <t>L001-100063098</t>
        </is>
      </c>
      <c r="E4004" s="521" t="inlineStr">
        <is>
          <t>2211012781</t>
        </is>
      </c>
      <c r="F4004" s="523" t="n">
        <v>44866</v>
      </c>
      <c r="G4004" s="556" t="n">
        <v>9524</v>
      </c>
      <c r="I4004" s="521">
        <f>G4004</f>
        <v/>
      </c>
      <c r="K4004" s="521">
        <f>I4004-G4004</f>
        <v/>
      </c>
      <c r="M4004" s="522" t="inlineStr">
        <is>
          <t>2211012781</t>
        </is>
      </c>
      <c r="N4004" s="522" t="inlineStr">
        <is>
          <t>2211012781</t>
        </is>
      </c>
      <c r="O4004" s="521">
        <f>M4004=N4004</f>
        <v/>
      </c>
      <c r="P4004" s="521">
        <f>AND(MONTH(F4004)=MONTH(S4004), YEAR(F4004)=YEAR(S4004))</f>
        <v/>
      </c>
      <c r="Q4004" s="521">
        <f>U4004="L001-901905215"</f>
        <v/>
      </c>
      <c r="R4004" s="556">
        <f>G4004-W4004</f>
        <v/>
      </c>
      <c r="S4004" s="523" t="n">
        <v>44866</v>
      </c>
      <c r="T4004" s="522" t="inlineStr">
        <is>
          <t>2211012781</t>
        </is>
      </c>
      <c r="U4004" s="522" t="inlineStr">
        <is>
          <t>L001-901905215</t>
        </is>
      </c>
      <c r="V4004" s="522" t="inlineStr">
        <is>
          <t>វីអ៊ីស៊ិន (ខេមបូឌា) អ៊ិនដាសស្ទ្រី ឯ.ក</t>
        </is>
      </c>
      <c r="W4004" s="556" t="n">
        <v>9524</v>
      </c>
    </row>
    <row r="4005">
      <c r="A4005" s="521" t="n">
        <v>3997</v>
      </c>
      <c r="B4005" s="522" t="inlineStr">
        <is>
          <t>Trucking Fee</t>
        </is>
      </c>
      <c r="C4005" s="522" t="inlineStr">
        <is>
          <t>ឆាយ ដា ឡូយីស្ទីក</t>
        </is>
      </c>
      <c r="D4005" s="522" t="inlineStr">
        <is>
          <t>L001-100063098</t>
        </is>
      </c>
      <c r="E4005" s="521" t="inlineStr">
        <is>
          <t>2211012763</t>
        </is>
      </c>
      <c r="F4005" s="523" t="n">
        <v>44866</v>
      </c>
      <c r="G4005" s="556" t="n">
        <v>90688</v>
      </c>
      <c r="I4005" s="521">
        <f>G4005</f>
        <v/>
      </c>
      <c r="K4005" s="521">
        <f>I4005-G4005</f>
        <v/>
      </c>
      <c r="M4005" s="522" t="inlineStr">
        <is>
          <t>2211012763</t>
        </is>
      </c>
      <c r="N4005" s="522" t="inlineStr">
        <is>
          <t>2211012763</t>
        </is>
      </c>
      <c r="O4005" s="521">
        <f>M4005=N4005</f>
        <v/>
      </c>
      <c r="P4005" s="521">
        <f>AND(MONTH(F4005)=MONTH(S4005), YEAR(F4005)=YEAR(S4005))</f>
        <v/>
      </c>
      <c r="Q4005" s="521">
        <f>U4005="L001-901905215"</f>
        <v/>
      </c>
      <c r="R4005" s="556">
        <f>G4005-W4005</f>
        <v/>
      </c>
      <c r="S4005" s="523" t="n">
        <v>44866</v>
      </c>
      <c r="T4005" s="522" t="inlineStr">
        <is>
          <t>2211012763</t>
        </is>
      </c>
      <c r="U4005" s="522" t="inlineStr">
        <is>
          <t>L001-901905215</t>
        </is>
      </c>
      <c r="V4005" s="522" t="inlineStr">
        <is>
          <t>វីអ៊ីស៊ិន (ខេមបូឌា) អ៊ិនដាសស្ទ្រី ឯ.ក</t>
        </is>
      </c>
      <c r="W4005" s="556" t="n">
        <v>90688</v>
      </c>
    </row>
    <row r="4006">
      <c r="A4006" s="521" t="n">
        <v>3998</v>
      </c>
      <c r="B4006" s="522" t="inlineStr">
        <is>
          <t>Trucking Fee</t>
        </is>
      </c>
      <c r="C4006" s="522" t="inlineStr">
        <is>
          <t>ឆាយ ដា ឡូយីស្ទីក</t>
        </is>
      </c>
      <c r="D4006" s="522" t="inlineStr">
        <is>
          <t>L001-100063098</t>
        </is>
      </c>
      <c r="E4006" s="521" t="inlineStr">
        <is>
          <t>2211012760</t>
        </is>
      </c>
      <c r="F4006" s="523" t="n">
        <v>44866</v>
      </c>
      <c r="G4006" s="556" t="n">
        <v>90688</v>
      </c>
      <c r="I4006" s="521">
        <f>G4006</f>
        <v/>
      </c>
      <c r="K4006" s="521">
        <f>I4006-G4006</f>
        <v/>
      </c>
      <c r="M4006" s="522" t="inlineStr">
        <is>
          <t>2211012760</t>
        </is>
      </c>
      <c r="N4006" s="522" t="inlineStr">
        <is>
          <t>2211012760</t>
        </is>
      </c>
      <c r="O4006" s="521">
        <f>M4006=N4006</f>
        <v/>
      </c>
      <c r="P4006" s="521">
        <f>AND(MONTH(F4006)=MONTH(S4006), YEAR(F4006)=YEAR(S4006))</f>
        <v/>
      </c>
      <c r="Q4006" s="521">
        <f>U4006="L001-901905215"</f>
        <v/>
      </c>
      <c r="R4006" s="556">
        <f>G4006-W4006</f>
        <v/>
      </c>
      <c r="S4006" s="523" t="n">
        <v>44866</v>
      </c>
      <c r="T4006" s="522" t="inlineStr">
        <is>
          <t>2211012760</t>
        </is>
      </c>
      <c r="U4006" s="522" t="inlineStr">
        <is>
          <t>L001-901905215</t>
        </is>
      </c>
      <c r="V4006" s="522" t="inlineStr">
        <is>
          <t>វីអ៊ីស៊ិន (ខេមបូឌា) អ៊ិនដាសស្ទ្រី ឯ.ក</t>
        </is>
      </c>
      <c r="W4006" s="556" t="n">
        <v>90688</v>
      </c>
    </row>
    <row r="4007">
      <c r="A4007" s="521" t="n">
        <v>3999</v>
      </c>
      <c r="B4007" s="522" t="inlineStr">
        <is>
          <t>Trucking Fee</t>
        </is>
      </c>
      <c r="C4007" s="522" t="inlineStr">
        <is>
          <t>ឆាយ ដា ឡូយីស្ទីក</t>
        </is>
      </c>
      <c r="D4007" s="522" t="inlineStr">
        <is>
          <t>L001-100063098</t>
        </is>
      </c>
      <c r="E4007" s="521" t="inlineStr">
        <is>
          <t>2211012759</t>
        </is>
      </c>
      <c r="F4007" s="523" t="n">
        <v>44866</v>
      </c>
      <c r="G4007" s="556" t="n">
        <v>90688</v>
      </c>
      <c r="I4007" s="521">
        <f>G4007</f>
        <v/>
      </c>
      <c r="K4007" s="521">
        <f>I4007-G4007</f>
        <v/>
      </c>
      <c r="M4007" s="522" t="inlineStr">
        <is>
          <t>2211012759</t>
        </is>
      </c>
      <c r="N4007" s="522" t="inlineStr">
        <is>
          <t>2211012759</t>
        </is>
      </c>
      <c r="O4007" s="521">
        <f>M4007=N4007</f>
        <v/>
      </c>
      <c r="P4007" s="521">
        <f>AND(MONTH(F4007)=MONTH(S4007), YEAR(F4007)=YEAR(S4007))</f>
        <v/>
      </c>
      <c r="Q4007" s="521">
        <f>U4007="L001-901905215"</f>
        <v/>
      </c>
      <c r="R4007" s="556">
        <f>G4007-W4007</f>
        <v/>
      </c>
      <c r="S4007" s="523" t="n">
        <v>44866</v>
      </c>
      <c r="T4007" s="522" t="inlineStr">
        <is>
          <t>2211012759</t>
        </is>
      </c>
      <c r="U4007" s="522" t="inlineStr">
        <is>
          <t>L001-901905215</t>
        </is>
      </c>
      <c r="V4007" s="522" t="inlineStr">
        <is>
          <t>វីអ៊ីស៊ិន (ខេមបូឌា) អ៊ិនដាសស្ទ្រី ឯ.ក</t>
        </is>
      </c>
      <c r="W4007" s="556" t="n">
        <v>90688</v>
      </c>
    </row>
    <row r="4008">
      <c r="A4008" s="521" t="n">
        <v>4000</v>
      </c>
      <c r="B4008" s="522" t="inlineStr">
        <is>
          <t>Trucking Fee</t>
        </is>
      </c>
      <c r="C4008" s="522" t="inlineStr">
        <is>
          <t>ឆាយ ដា ឡូយីស្ទីក</t>
        </is>
      </c>
      <c r="D4008" s="522" t="inlineStr">
        <is>
          <t>L001-100063098</t>
        </is>
      </c>
      <c r="E4008" s="521" t="inlineStr">
        <is>
          <t>2211012756</t>
        </is>
      </c>
      <c r="F4008" s="523" t="n">
        <v>44866</v>
      </c>
      <c r="G4008" s="556" t="n">
        <v>90688</v>
      </c>
      <c r="I4008" s="521">
        <f>G4008</f>
        <v/>
      </c>
      <c r="K4008" s="521">
        <f>I4008-G4008</f>
        <v/>
      </c>
      <c r="M4008" s="522" t="inlineStr">
        <is>
          <t>2211012756</t>
        </is>
      </c>
      <c r="N4008" s="522" t="inlineStr">
        <is>
          <t>2211012756</t>
        </is>
      </c>
      <c r="O4008" s="521">
        <f>M4008=N4008</f>
        <v/>
      </c>
      <c r="P4008" s="521">
        <f>AND(MONTH(F4008)=MONTH(S4008), YEAR(F4008)=YEAR(S4008))</f>
        <v/>
      </c>
      <c r="Q4008" s="521">
        <f>U4008="L001-901905215"</f>
        <v/>
      </c>
      <c r="R4008" s="556">
        <f>G4008-W4008</f>
        <v/>
      </c>
      <c r="S4008" s="523" t="n">
        <v>44866</v>
      </c>
      <c r="T4008" s="522" t="inlineStr">
        <is>
          <t>2211012756</t>
        </is>
      </c>
      <c r="U4008" s="522" t="inlineStr">
        <is>
          <t>L001-901905215</t>
        </is>
      </c>
      <c r="V4008" s="522" t="inlineStr">
        <is>
          <t>វីអ៊ីស៊ិន (ខេមបូឌា) អ៊ិនដាសស្ទ្រី ឯ.ក</t>
        </is>
      </c>
      <c r="W4008" s="556" t="n">
        <v>90688</v>
      </c>
    </row>
    <row r="4009">
      <c r="A4009" s="521" t="n">
        <v>4001</v>
      </c>
      <c r="B4009" s="522" t="inlineStr">
        <is>
          <t>Management Fee for Oct 2022</t>
        </is>
      </c>
      <c r="C4009" s="522" t="inlineStr">
        <is>
          <t>មេហ្គា លេបឹល &amp; ស្ទីកឃើរ (ខេមបូឌា)</t>
        </is>
      </c>
      <c r="D4009" s="522" t="inlineStr">
        <is>
          <t>L001-100185983</t>
        </is>
      </c>
      <c r="E4009" s="521" t="inlineStr">
        <is>
          <t>INV20221101.</t>
        </is>
      </c>
      <c r="F4009" s="523" t="n">
        <v>44866</v>
      </c>
      <c r="G4009" s="556" t="n">
        <v>142650</v>
      </c>
      <c r="I4009" s="521">
        <f>G4009</f>
        <v/>
      </c>
      <c r="K4009" s="521">
        <f>I4009-G4009</f>
        <v/>
      </c>
      <c r="M4009" s="522" t="inlineStr">
        <is>
          <t>INV20221101</t>
        </is>
      </c>
      <c r="N4009" s="522" t="inlineStr">
        <is>
          <t>INV20221101</t>
        </is>
      </c>
      <c r="O4009" s="521">
        <f>M4009=N4009</f>
        <v/>
      </c>
      <c r="P4009" s="521">
        <f>AND(MONTH(F4009)=MONTH(S4009), YEAR(F4009)=YEAR(S4009))</f>
        <v/>
      </c>
      <c r="Q4009" s="521">
        <f>U4009="L001-901905215"</f>
        <v/>
      </c>
      <c r="R4009" s="556">
        <f>G4009-W4009</f>
        <v/>
      </c>
      <c r="S4009" s="523" t="n">
        <v>44866</v>
      </c>
      <c r="T4009" s="522" t="inlineStr">
        <is>
          <t>INV20221101</t>
        </is>
      </c>
      <c r="U4009" s="522" t="inlineStr">
        <is>
          <t>L001-901905215</t>
        </is>
      </c>
      <c r="V4009" s="522" t="inlineStr">
        <is>
          <t>វីអ៊ីស៊ិន (ខេមបូឌា) អ៊ិនដាសស្ទ្រី ឯ.ក</t>
        </is>
      </c>
      <c r="W4009" s="556" t="n">
        <v>1566747</v>
      </c>
    </row>
    <row r="4010">
      <c r="A4010" s="521" t="n">
        <v>4002</v>
      </c>
      <c r="B4010" s="522" t="inlineStr">
        <is>
          <t>Building Rental fee for Nov 2022</t>
        </is>
      </c>
      <c r="C4010" s="522" t="inlineStr">
        <is>
          <t>មេហ្គា លេបឹល &amp; ស្ទីកឃើរ (ខេមបូឌា)</t>
        </is>
      </c>
      <c r="D4010" s="522" t="inlineStr">
        <is>
          <t>L001-100185983</t>
        </is>
      </c>
      <c r="E4010" s="521" t="inlineStr">
        <is>
          <t>INV20221101</t>
        </is>
      </c>
      <c r="F4010" s="523" t="n">
        <v>44866</v>
      </c>
      <c r="G4010" s="556" t="n">
        <v>1424475</v>
      </c>
      <c r="I4010" s="521">
        <f>G4010</f>
        <v/>
      </c>
      <c r="K4010" s="521">
        <f>I4010-G4010</f>
        <v/>
      </c>
      <c r="M4010" s="522" t="inlineStr">
        <is>
          <t>INV20221101</t>
        </is>
      </c>
      <c r="N4010" s="522" t="inlineStr">
        <is>
          <t>INV20221101</t>
        </is>
      </c>
      <c r="O4010" s="521">
        <f>M4010=N4010</f>
        <v/>
      </c>
      <c r="P4010" s="521">
        <f>AND(MONTH(F4010)=MONTH(S4010), YEAR(F4010)=YEAR(S4010))</f>
        <v/>
      </c>
      <c r="Q4010" s="521">
        <f>U4010="L001-901905215"</f>
        <v/>
      </c>
      <c r="R4010" s="556">
        <f>G4010-W4010</f>
        <v/>
      </c>
      <c r="S4010" s="523" t="n">
        <v>44866</v>
      </c>
      <c r="T4010" s="522" t="inlineStr">
        <is>
          <t>INV20221101</t>
        </is>
      </c>
      <c r="U4010" s="522" t="inlineStr">
        <is>
          <t>L001-901905215</t>
        </is>
      </c>
      <c r="V4010" s="522" t="inlineStr">
        <is>
          <t>វីអ៊ីស៊ិន (ខេមបូឌា) អ៊ិនដាសស្ទ្រី ឯ.ក</t>
        </is>
      </c>
      <c r="W4010" s="556" t="n">
        <v>1566747</v>
      </c>
    </row>
    <row r="4011">
      <c r="A4011" s="521" t="n">
        <v>4003</v>
      </c>
      <c r="B4011" s="522" t="inlineStr">
        <is>
          <t>Monthly Tax Declaration fee for Nov 2022 service</t>
        </is>
      </c>
      <c r="C4011" s="522" t="inlineStr">
        <is>
          <t>យីងកឺ ខេម ថេក អ៊ែតវ៉ាយហ្សឺរី ឯ.ក</t>
        </is>
      </c>
      <c r="D4011" s="522" t="inlineStr">
        <is>
          <t>K003-902005313</t>
        </is>
      </c>
      <c r="E4011" s="521" t="inlineStr">
        <is>
          <t>YKT22-258</t>
        </is>
      </c>
      <c r="F4011" s="523" t="n">
        <v>44866</v>
      </c>
      <c r="G4011" s="556" t="n">
        <v>579740</v>
      </c>
      <c r="I4011" s="521">
        <f>G4011</f>
        <v/>
      </c>
      <c r="K4011" s="521">
        <f>I4011-G4011</f>
        <v/>
      </c>
      <c r="M4011" s="522" t="inlineStr">
        <is>
          <t>YKT22258</t>
        </is>
      </c>
      <c r="N4011" s="522" t="inlineStr">
        <is>
          <t>YKT22258</t>
        </is>
      </c>
      <c r="O4011" s="521">
        <f>M4011=N4011</f>
        <v/>
      </c>
      <c r="P4011" s="521">
        <f>AND(MONTH(F4011)=MONTH(S4011), YEAR(F4011)=YEAR(S4011))</f>
        <v/>
      </c>
      <c r="Q4011" s="521">
        <f>U4011="L001-901905215"</f>
        <v/>
      </c>
      <c r="R4011" s="556">
        <f>G4011-W4011</f>
        <v/>
      </c>
      <c r="S4011" s="523" t="n">
        <v>44866</v>
      </c>
      <c r="T4011" s="522" t="inlineStr">
        <is>
          <t>YKT22-258</t>
        </is>
      </c>
      <c r="U4011" s="522" t="inlineStr">
        <is>
          <t>L001-901905215</t>
        </is>
      </c>
      <c r="V4011" s="522" t="inlineStr">
        <is>
          <t>វីអ៊ីស៊ិន (ខេមបូឌា) អ៊ិនដាសស្ទ្រី ឯ.ក</t>
        </is>
      </c>
      <c r="W4011" s="556" t="n">
        <v>579740</v>
      </c>
    </row>
    <row r="4012">
      <c r="A4012" s="521" t="n">
        <v>4004</v>
      </c>
      <c r="B4012" s="522" t="n"/>
      <c r="C4012" s="522" t="inlineStr">
        <is>
          <t>កំពង់ផែស្វយ័តក្រុងព្រះសីហនុ</t>
        </is>
      </c>
      <c r="D4012" s="522" t="inlineStr">
        <is>
          <t>L001-100044638</t>
        </is>
      </c>
      <c r="E4012" s="521" t="inlineStr">
        <is>
          <t>237537</t>
        </is>
      </c>
      <c r="F4012" s="523" t="n">
        <v>43826</v>
      </c>
      <c r="G4012" s="556" t="n">
        <v>54783</v>
      </c>
      <c r="I4012" s="521">
        <f>G4012</f>
        <v/>
      </c>
      <c r="K4012" s="521">
        <f>I4012-G4012</f>
        <v/>
      </c>
      <c r="M4012" s="522" t="inlineStr">
        <is>
          <t>237537</t>
        </is>
      </c>
      <c r="N4012" s="522" t="inlineStr"/>
      <c r="O4012" s="521">
        <f>M4012=N4012</f>
        <v/>
      </c>
      <c r="P4012" s="521">
        <f>AND(MONTH(F4012)=MONTH(S4012), YEAR(F4012)=YEAR(S4012))</f>
        <v/>
      </c>
      <c r="Q4012" s="521">
        <f>U4012="L001-901905215"</f>
        <v/>
      </c>
      <c r="R4012" s="556">
        <f>G4012-W4012</f>
        <v/>
      </c>
      <c r="S4012" s="521" t="n"/>
      <c r="T4012" s="522" t="n"/>
      <c r="U4012" s="522" t="n"/>
      <c r="V4012" s="522" t="n"/>
      <c r="W4012" s="521" t="n"/>
    </row>
    <row r="4013">
      <c r="A4013" s="521" t="n">
        <v>4005</v>
      </c>
      <c r="B4013" s="522" t="n"/>
      <c r="C4013" s="522" t="inlineStr">
        <is>
          <t>ស្ត្រេតស៍ អ៊ិនធើណេសិនណល ភីធីអ៊ី អិលធីឌី</t>
        </is>
      </c>
      <c r="D4013" s="522" t="inlineStr">
        <is>
          <t>L001-100045162</t>
        </is>
      </c>
      <c r="E4013" s="521" t="inlineStr">
        <is>
          <t>1923676</t>
        </is>
      </c>
      <c r="F4013" s="523" t="n">
        <v>43810</v>
      </c>
      <c r="G4013" s="556" t="n">
        <v>172465</v>
      </c>
      <c r="I4013" s="521">
        <f>G4013</f>
        <v/>
      </c>
      <c r="K4013" s="521">
        <f>I4013-G4013</f>
        <v/>
      </c>
      <c r="M4013" s="522" t="inlineStr">
        <is>
          <t>1923676</t>
        </is>
      </c>
      <c r="N4013" s="522" t="inlineStr">
        <is>
          <t>1923676</t>
        </is>
      </c>
      <c r="O4013" s="521">
        <f>M4013=N4013</f>
        <v/>
      </c>
      <c r="P4013" s="521">
        <f>AND(MONTH(F4013)=MONTH(S4013), YEAR(F4013)=YEAR(S4013))</f>
        <v/>
      </c>
      <c r="Q4013" s="521">
        <f>U4013="L001-901905215"</f>
        <v/>
      </c>
      <c r="R4013" s="556">
        <f>G4013-W4013</f>
        <v/>
      </c>
      <c r="S4013" s="523" t="n">
        <v>43810</v>
      </c>
      <c r="T4013" s="522" t="inlineStr">
        <is>
          <t>1923676</t>
        </is>
      </c>
      <c r="U4013" s="522" t="inlineStr">
        <is>
          <t>L001-901905215</t>
        </is>
      </c>
      <c r="V4013" s="522" t="inlineStr">
        <is>
          <t>វីអ៊ីស៊ិន (ខេមបូឌា) អ៊ិនដាសស្ទ្រី ឯ.ក</t>
        </is>
      </c>
      <c r="W4013" s="556" t="n">
        <v>172465</v>
      </c>
    </row>
    <row r="4014">
      <c r="A4014" s="521" t="n">
        <v>4006</v>
      </c>
      <c r="B4014" s="522" t="n"/>
      <c r="C4014" s="522" t="inlineStr">
        <is>
          <t>កំពង់ផែស្វយ័តក្រុងព្រះសីហនុ</t>
        </is>
      </c>
      <c r="D4014" s="522" t="inlineStr">
        <is>
          <t>L001-100044638</t>
        </is>
      </c>
      <c r="E4014" s="521" t="inlineStr">
        <is>
          <t>232879</t>
        </is>
      </c>
      <c r="F4014" s="523" t="n">
        <v>43819</v>
      </c>
      <c r="G4014" s="556" t="n">
        <v>58435</v>
      </c>
      <c r="I4014" s="521">
        <f>G4014</f>
        <v/>
      </c>
      <c r="K4014" s="521">
        <f>I4014-G4014</f>
        <v/>
      </c>
      <c r="M4014" s="522" t="inlineStr">
        <is>
          <t>232879</t>
        </is>
      </c>
      <c r="N4014" s="522" t="inlineStr"/>
      <c r="O4014" s="521">
        <f>M4014=N4014</f>
        <v/>
      </c>
      <c r="P4014" s="521">
        <f>AND(MONTH(F4014)=MONTH(S4014), YEAR(F4014)=YEAR(S4014))</f>
        <v/>
      </c>
      <c r="Q4014" s="521">
        <f>U4014="L001-901905215"</f>
        <v/>
      </c>
      <c r="R4014" s="556">
        <f>G4014-W4014</f>
        <v/>
      </c>
      <c r="S4014" s="521" t="n"/>
      <c r="T4014" s="522" t="n"/>
      <c r="U4014" s="522" t="n"/>
      <c r="V4014" s="522" t="n"/>
      <c r="W4014" s="521" t="n"/>
    </row>
    <row r="4015">
      <c r="A4015" s="521" t="n">
        <v>4007</v>
      </c>
      <c r="B4015" s="522" t="n"/>
      <c r="C4015" s="522" t="inlineStr">
        <is>
          <t>កំពង់ផែស្វយ័តក្រុងព្រះសីហនុ</t>
        </is>
      </c>
      <c r="D4015" s="522" t="inlineStr">
        <is>
          <t>L001-100044638</t>
        </is>
      </c>
      <c r="E4015" s="521" t="inlineStr">
        <is>
          <t>230053</t>
        </is>
      </c>
      <c r="F4015" s="523" t="n">
        <v>43815</v>
      </c>
      <c r="G4015" s="556" t="n">
        <v>62087</v>
      </c>
      <c r="I4015" s="521">
        <f>G4015</f>
        <v/>
      </c>
      <c r="K4015" s="521">
        <f>I4015-G4015</f>
        <v/>
      </c>
      <c r="M4015" s="522" t="inlineStr">
        <is>
          <t>230053</t>
        </is>
      </c>
      <c r="N4015" s="522" t="inlineStr"/>
      <c r="O4015" s="521">
        <f>M4015=N4015</f>
        <v/>
      </c>
      <c r="P4015" s="521">
        <f>AND(MONTH(F4015)=MONTH(S4015), YEAR(F4015)=YEAR(S4015))</f>
        <v/>
      </c>
      <c r="Q4015" s="521">
        <f>U4015="L001-901905215"</f>
        <v/>
      </c>
      <c r="R4015" s="556">
        <f>G4015-W4015</f>
        <v/>
      </c>
      <c r="S4015" s="521" t="n"/>
      <c r="T4015" s="522" t="n"/>
      <c r="U4015" s="522" t="n"/>
      <c r="V4015" s="522" t="n"/>
      <c r="W4015" s="521" t="n"/>
    </row>
    <row r="4016">
      <c r="A4016" s="521" t="n">
        <v>4008</v>
      </c>
      <c r="B4016" s="522" t="n"/>
      <c r="C4016" s="522" t="inlineStr">
        <is>
          <t>យូសេន ឡូជីស្ទីក (ខេមបូឌា) ខូ អិលធីឌី</t>
        </is>
      </c>
      <c r="D4016" s="522" t="inlineStr">
        <is>
          <t>L001-104015799</t>
        </is>
      </c>
      <c r="E4016" s="521" t="inlineStr">
        <is>
          <t>PNHTI0003047</t>
        </is>
      </c>
      <c r="F4016" s="523" t="n">
        <v>43824</v>
      </c>
      <c r="G4016" s="556" t="n">
        <v>133914</v>
      </c>
      <c r="I4016" s="521">
        <f>G4016</f>
        <v/>
      </c>
      <c r="K4016" s="521">
        <f>I4016-G4016</f>
        <v/>
      </c>
      <c r="M4016" s="522" t="inlineStr">
        <is>
          <t>PNHTI0003047</t>
        </is>
      </c>
      <c r="N4016" s="522" t="inlineStr"/>
      <c r="O4016" s="521">
        <f>M4016=N4016</f>
        <v/>
      </c>
      <c r="P4016" s="521">
        <f>AND(MONTH(F4016)=MONTH(S4016), YEAR(F4016)=YEAR(S4016))</f>
        <v/>
      </c>
      <c r="Q4016" s="521">
        <f>U4016="L001-901905215"</f>
        <v/>
      </c>
      <c r="R4016" s="556">
        <f>G4016-W4016</f>
        <v/>
      </c>
      <c r="S4016" s="521" t="n"/>
      <c r="T4016" s="522" t="n"/>
      <c r="U4016" s="522" t="n"/>
      <c r="V4016" s="522" t="n"/>
      <c r="W4016" s="521" t="n"/>
    </row>
    <row r="4017">
      <c r="A4017" s="521" t="n">
        <v>4009</v>
      </c>
      <c r="B4017" s="522" t="n"/>
      <c r="C4017" s="522" t="inlineStr">
        <is>
          <t>ជី ស៊ាង យី (ខេមបូឌា) ត្រេដ ឯ.ក</t>
        </is>
      </c>
      <c r="D4017" s="522" t="inlineStr">
        <is>
          <t>K010-901906187</t>
        </is>
      </c>
      <c r="E4017" s="521" t="inlineStr">
        <is>
          <t>00039</t>
        </is>
      </c>
      <c r="F4017" s="523" t="n">
        <v>43809</v>
      </c>
      <c r="G4017" s="556" t="n">
        <v>5217776</v>
      </c>
      <c r="I4017" s="521">
        <f>G4017</f>
        <v/>
      </c>
      <c r="K4017" s="521">
        <f>I4017-G4017</f>
        <v/>
      </c>
      <c r="M4017" s="522" t="inlineStr">
        <is>
          <t>00039</t>
        </is>
      </c>
      <c r="N4017" s="522" t="inlineStr"/>
      <c r="O4017" s="521">
        <f>M4017=N4017</f>
        <v/>
      </c>
      <c r="P4017" s="521">
        <f>AND(MONTH(F4017)=MONTH(S4017), YEAR(F4017)=YEAR(S4017))</f>
        <v/>
      </c>
      <c r="Q4017" s="521">
        <f>U4017="L001-901905215"</f>
        <v/>
      </c>
      <c r="R4017" s="556">
        <f>G4017-W4017</f>
        <v/>
      </c>
      <c r="S4017" s="521" t="n"/>
      <c r="T4017" s="522" t="n"/>
      <c r="U4017" s="522" t="n"/>
      <c r="V4017" s="522" t="n"/>
      <c r="W4017" s="521" t="n"/>
    </row>
    <row r="4018">
      <c r="A4018" s="521" t="n">
        <v>4010</v>
      </c>
      <c r="B4018" s="522" t="n"/>
      <c r="C4018" s="522" t="inlineStr">
        <is>
          <t>ប្យួរ៉ូ វេរីតាស (ខេមបូឌា) លីមីធីត</t>
        </is>
      </c>
      <c r="D4018" s="522" t="inlineStr">
        <is>
          <t>L001-107024462</t>
        </is>
      </c>
      <c r="E4018" s="521" t="inlineStr">
        <is>
          <t>59006339</t>
        </is>
      </c>
      <c r="F4018" s="523" t="n">
        <v>43830</v>
      </c>
      <c r="G4018" s="556" t="n">
        <v>101450</v>
      </c>
      <c r="I4018" s="521">
        <f>G4018</f>
        <v/>
      </c>
      <c r="K4018" s="521">
        <f>I4018-G4018</f>
        <v/>
      </c>
      <c r="M4018" s="522" t="inlineStr">
        <is>
          <t>59006339</t>
        </is>
      </c>
      <c r="N4018" s="522" t="inlineStr">
        <is>
          <t>59006339</t>
        </is>
      </c>
      <c r="O4018" s="521">
        <f>M4018=N4018</f>
        <v/>
      </c>
      <c r="P4018" s="521">
        <f>AND(MONTH(F4018)=MONTH(S4018), YEAR(F4018)=YEAR(S4018))</f>
        <v/>
      </c>
      <c r="Q4018" s="521">
        <f>U4018="L001-901905215"</f>
        <v/>
      </c>
      <c r="R4018" s="556">
        <f>G4018-W4018</f>
        <v/>
      </c>
      <c r="S4018" s="523" t="n">
        <v>43830</v>
      </c>
      <c r="T4018" s="522" t="inlineStr">
        <is>
          <t>59006339</t>
        </is>
      </c>
      <c r="U4018" s="522" t="inlineStr">
        <is>
          <t>L001-901905215</t>
        </is>
      </c>
      <c r="V4018" s="522" t="inlineStr">
        <is>
          <t>វីអ៊ីស៊ិន (ខេមបូឌា) អ៊ិនដាសស្ទ្រី ឯ.ក</t>
        </is>
      </c>
      <c r="W4018" s="556" t="n">
        <v>101450</v>
      </c>
    </row>
    <row r="4019">
      <c r="A4019" s="521" t="n">
        <v>4011</v>
      </c>
      <c r="B4019" s="522" t="n"/>
      <c r="C4019" s="522" t="inlineStr">
        <is>
          <t>ប្យួរ៉ូ វេរីតាស (ខេមបូឌា) លីមីធីត</t>
        </is>
      </c>
      <c r="D4019" s="522" t="inlineStr">
        <is>
          <t>L001-107024462</t>
        </is>
      </c>
      <c r="E4019" s="521" t="inlineStr">
        <is>
          <t>59006319</t>
        </is>
      </c>
      <c r="F4019" s="523" t="n">
        <v>43829</v>
      </c>
      <c r="G4019" s="556" t="n">
        <v>107537</v>
      </c>
      <c r="I4019" s="521">
        <f>G4019</f>
        <v/>
      </c>
      <c r="K4019" s="521">
        <f>I4019-G4019</f>
        <v/>
      </c>
      <c r="M4019" s="522" t="inlineStr">
        <is>
          <t>59006319</t>
        </is>
      </c>
      <c r="N4019" s="522" t="inlineStr">
        <is>
          <t>59006319</t>
        </is>
      </c>
      <c r="O4019" s="521">
        <f>M4019=N4019</f>
        <v/>
      </c>
      <c r="P4019" s="521">
        <f>AND(MONTH(F4019)=MONTH(S4019), YEAR(F4019)=YEAR(S4019))</f>
        <v/>
      </c>
      <c r="Q4019" s="521">
        <f>U4019="L001-901905215"</f>
        <v/>
      </c>
      <c r="R4019" s="556">
        <f>G4019-W4019</f>
        <v/>
      </c>
      <c r="S4019" s="523" t="n">
        <v>43829</v>
      </c>
      <c r="T4019" s="522" t="inlineStr">
        <is>
          <t>59006319</t>
        </is>
      </c>
      <c r="U4019" s="522" t="inlineStr">
        <is>
          <t>L001-901905215</t>
        </is>
      </c>
      <c r="V4019" s="522" t="inlineStr">
        <is>
          <t>វីអ៊ីស៊ិន (ខេមបូឌា) អ៊ិនដាសស្ទ្រី ឯ.ក</t>
        </is>
      </c>
      <c r="W4019" s="556" t="n">
        <v>107537</v>
      </c>
    </row>
    <row r="4020">
      <c r="A4020" s="521" t="n">
        <v>4012</v>
      </c>
      <c r="B4020" s="522" t="n"/>
      <c r="C4020" s="522" t="inlineStr">
        <is>
          <t>សហ័ស សិឃ្យូរិធី ឯ.ក</t>
        </is>
      </c>
      <c r="D4020" s="522" t="inlineStr">
        <is>
          <t>K010-107032600</t>
        </is>
      </c>
      <c r="E4020" s="521" t="inlineStr">
        <is>
          <t>201901079</t>
        </is>
      </c>
      <c r="F4020" s="523" t="n">
        <v>43824</v>
      </c>
      <c r="G4020" s="556" t="n">
        <v>340872</v>
      </c>
      <c r="I4020" s="521">
        <f>G4020</f>
        <v/>
      </c>
      <c r="K4020" s="521">
        <f>I4020-G4020</f>
        <v/>
      </c>
      <c r="M4020" s="522" t="inlineStr">
        <is>
          <t>201901079</t>
        </is>
      </c>
      <c r="N4020" s="522" t="inlineStr">
        <is>
          <t>201901079</t>
        </is>
      </c>
      <c r="O4020" s="521">
        <f>M4020=N4020</f>
        <v/>
      </c>
      <c r="P4020" s="521">
        <f>AND(MONTH(F4020)=MONTH(S4020), YEAR(F4020)=YEAR(S4020))</f>
        <v/>
      </c>
      <c r="Q4020" s="521">
        <f>U4020="L001-901905215"</f>
        <v/>
      </c>
      <c r="R4020" s="556">
        <f>G4020-W4020</f>
        <v/>
      </c>
      <c r="S4020" s="523" t="n">
        <v>43824</v>
      </c>
      <c r="T4020" s="522" t="inlineStr">
        <is>
          <t>201901079</t>
        </is>
      </c>
      <c r="U4020" s="522" t="inlineStr">
        <is>
          <t>L001-901905215</t>
        </is>
      </c>
      <c r="V4020" s="522" t="inlineStr">
        <is>
          <t>វីអ៊ីស៊ិន (ខេមបូឌា) អ៊ិនដាសស្ទ្រី ឯ.ក</t>
        </is>
      </c>
      <c r="W4020" s="556" t="n">
        <v>340872</v>
      </c>
    </row>
    <row r="4021">
      <c r="A4021" s="521" t="n">
        <v>4013</v>
      </c>
      <c r="B4021" s="522" t="n"/>
      <c r="C4021" s="522" t="inlineStr">
        <is>
          <t>ប្យួរ៉ូ វេរីតាស (ខេមបូឌា) លីមីធីត</t>
        </is>
      </c>
      <c r="D4021" s="522" t="inlineStr">
        <is>
          <t>L001-107024462</t>
        </is>
      </c>
      <c r="E4021" s="521" t="inlineStr">
        <is>
          <t>59006278</t>
        </is>
      </c>
      <c r="F4021" s="523" t="n">
        <v>43823</v>
      </c>
      <c r="G4021" s="556" t="n">
        <v>101450</v>
      </c>
      <c r="I4021" s="521">
        <f>G4021</f>
        <v/>
      </c>
      <c r="K4021" s="521">
        <f>I4021-G4021</f>
        <v/>
      </c>
      <c r="M4021" s="522" t="inlineStr">
        <is>
          <t>59006278</t>
        </is>
      </c>
      <c r="N4021" s="522" t="inlineStr">
        <is>
          <t>59006278</t>
        </is>
      </c>
      <c r="O4021" s="521">
        <f>M4021=N4021</f>
        <v/>
      </c>
      <c r="P4021" s="521">
        <f>AND(MONTH(F4021)=MONTH(S4021), YEAR(F4021)=YEAR(S4021))</f>
        <v/>
      </c>
      <c r="Q4021" s="521">
        <f>U4021="L001-901905215"</f>
        <v/>
      </c>
      <c r="R4021" s="556">
        <f>G4021-W4021</f>
        <v/>
      </c>
      <c r="S4021" s="523" t="n">
        <v>43823</v>
      </c>
      <c r="T4021" s="522" t="inlineStr">
        <is>
          <t>59006278</t>
        </is>
      </c>
      <c r="U4021" s="522" t="inlineStr">
        <is>
          <t>L001-901905215</t>
        </is>
      </c>
      <c r="V4021" s="522" t="inlineStr">
        <is>
          <t>វីអ៊ីស៊ិន (ខេមបូឌា) អ៊ិនដាសស្ទ្រី ឯ.ក</t>
        </is>
      </c>
      <c r="W4021" s="556" t="n">
        <v>101450</v>
      </c>
    </row>
    <row r="4022">
      <c r="A4022" s="521" t="n">
        <v>4014</v>
      </c>
      <c r="B4022" s="522" t="n"/>
      <c r="C4022" s="522" t="inlineStr">
        <is>
          <t>ហឺរ ឆឹង ផេភើរ អ៊ីនដាសស្រ្ទៀល ខូ អិលធីឌី</t>
        </is>
      </c>
      <c r="D4022" s="522" t="inlineStr">
        <is>
          <t>L001-100191983</t>
        </is>
      </c>
      <c r="E4022" s="521" t="inlineStr">
        <is>
          <t>0475</t>
        </is>
      </c>
      <c r="F4022" s="523" t="n">
        <v>43822</v>
      </c>
      <c r="G4022" s="556" t="n">
        <v>2688157</v>
      </c>
      <c r="I4022" s="521">
        <f>G4022</f>
        <v/>
      </c>
      <c r="K4022" s="521">
        <f>I4022-G4022</f>
        <v/>
      </c>
      <c r="M4022" s="522" t="inlineStr">
        <is>
          <t>0475</t>
        </is>
      </c>
      <c r="N4022" s="522" t="inlineStr"/>
      <c r="O4022" s="521">
        <f>M4022=N4022</f>
        <v/>
      </c>
      <c r="P4022" s="521">
        <f>AND(MONTH(F4022)=MONTH(S4022), YEAR(F4022)=YEAR(S4022))</f>
        <v/>
      </c>
      <c r="Q4022" s="521">
        <f>U4022="L001-901905215"</f>
        <v/>
      </c>
      <c r="R4022" s="556">
        <f>G4022-W4022</f>
        <v/>
      </c>
      <c r="S4022" s="521" t="n"/>
      <c r="T4022" s="522" t="n"/>
      <c r="U4022" s="522" t="n"/>
      <c r="V4022" s="522" t="n"/>
      <c r="W4022" s="521" t="n"/>
    </row>
    <row r="4023">
      <c r="A4023" s="521" t="n">
        <v>4015</v>
      </c>
      <c r="B4023" s="522" t="n"/>
      <c r="C4023" s="522" t="inlineStr">
        <is>
          <t>ប្យួរ៉ូ វេរីតាស (ខេមបូឌា) លីមីធីត</t>
        </is>
      </c>
      <c r="D4023" s="522" t="inlineStr">
        <is>
          <t>L001-107024462</t>
        </is>
      </c>
      <c r="E4023" s="521" t="inlineStr">
        <is>
          <t>59006261</t>
        </is>
      </c>
      <c r="F4023" s="523" t="n">
        <v>43822</v>
      </c>
      <c r="G4023" s="556" t="n">
        <v>101450</v>
      </c>
      <c r="I4023" s="521">
        <f>G4023</f>
        <v/>
      </c>
      <c r="K4023" s="521">
        <f>I4023-G4023</f>
        <v/>
      </c>
      <c r="M4023" s="522" t="inlineStr">
        <is>
          <t>59006261</t>
        </is>
      </c>
      <c r="N4023" s="522" t="inlineStr">
        <is>
          <t>59006261</t>
        </is>
      </c>
      <c r="O4023" s="521">
        <f>M4023=N4023</f>
        <v/>
      </c>
      <c r="P4023" s="521">
        <f>AND(MONTH(F4023)=MONTH(S4023), YEAR(F4023)=YEAR(S4023))</f>
        <v/>
      </c>
      <c r="Q4023" s="521">
        <f>U4023="L001-901905215"</f>
        <v/>
      </c>
      <c r="R4023" s="556">
        <f>G4023-W4023</f>
        <v/>
      </c>
      <c r="S4023" s="523" t="n">
        <v>43822</v>
      </c>
      <c r="T4023" s="522" t="inlineStr">
        <is>
          <t>59006261</t>
        </is>
      </c>
      <c r="U4023" s="522" t="inlineStr">
        <is>
          <t>L001-901905215</t>
        </is>
      </c>
      <c r="V4023" s="522" t="inlineStr">
        <is>
          <t>វីអ៊ីស៊ិន (ខេមបូឌា) អ៊ិនដាសស្ទ្រី ឯ.ក</t>
        </is>
      </c>
      <c r="W4023" s="556" t="n">
        <v>101450</v>
      </c>
    </row>
    <row r="4024">
      <c r="A4024" s="521" t="n">
        <v>4016</v>
      </c>
      <c r="B4024" s="522" t="n"/>
      <c r="C4024" s="522" t="inlineStr">
        <is>
          <t>ប្យួរ៉ូ វេរីតាស (ខេមបូឌា) លីមីធីត</t>
        </is>
      </c>
      <c r="D4024" s="522" t="inlineStr">
        <is>
          <t>L001-107024462</t>
        </is>
      </c>
      <c r="E4024" s="521" t="inlineStr">
        <is>
          <t>59006245</t>
        </is>
      </c>
      <c r="F4024" s="523" t="n">
        <v>43819</v>
      </c>
      <c r="G4024" s="556" t="n">
        <v>101450</v>
      </c>
      <c r="I4024" s="521">
        <f>G4024</f>
        <v/>
      </c>
      <c r="K4024" s="521">
        <f>I4024-G4024</f>
        <v/>
      </c>
      <c r="M4024" s="522" t="inlineStr">
        <is>
          <t>59006245</t>
        </is>
      </c>
      <c r="N4024" s="522" t="inlineStr">
        <is>
          <t>59006245</t>
        </is>
      </c>
      <c r="O4024" s="521">
        <f>M4024=N4024</f>
        <v/>
      </c>
      <c r="P4024" s="521">
        <f>AND(MONTH(F4024)=MONTH(S4024), YEAR(F4024)=YEAR(S4024))</f>
        <v/>
      </c>
      <c r="Q4024" s="521">
        <f>U4024="L001-901905215"</f>
        <v/>
      </c>
      <c r="R4024" s="556">
        <f>G4024-W4024</f>
        <v/>
      </c>
      <c r="S4024" s="523" t="n">
        <v>43819</v>
      </c>
      <c r="T4024" s="522" t="inlineStr">
        <is>
          <t>59006245</t>
        </is>
      </c>
      <c r="U4024" s="522" t="inlineStr">
        <is>
          <t>L001-901905215</t>
        </is>
      </c>
      <c r="V4024" s="522" t="inlineStr">
        <is>
          <t>វីអ៊ីស៊ិន (ខេមបូឌា) អ៊ិនដាសស្ទ្រី ឯ.ក</t>
        </is>
      </c>
      <c r="W4024" s="556" t="n">
        <v>101450</v>
      </c>
    </row>
    <row r="4025">
      <c r="A4025" s="521" t="n">
        <v>4017</v>
      </c>
      <c r="B4025" s="522" t="n"/>
      <c r="C4025" s="522" t="inlineStr">
        <is>
          <t>ថេកអេស៊ីស៊ី ផេភើរ សឺវីស ខនសាល់ធេន ឯ.ក</t>
        </is>
      </c>
      <c r="D4025" s="522" t="inlineStr">
        <is>
          <t>K004-901801112</t>
        </is>
      </c>
      <c r="E4025" s="521" t="inlineStr">
        <is>
          <t>000147</t>
        </is>
      </c>
      <c r="F4025" s="523" t="n">
        <v>43813</v>
      </c>
      <c r="G4025" s="556" t="n">
        <v>162320</v>
      </c>
      <c r="I4025" s="521">
        <f>G4025</f>
        <v/>
      </c>
      <c r="K4025" s="521">
        <f>I4025-G4025</f>
        <v/>
      </c>
      <c r="M4025" s="522" t="inlineStr">
        <is>
          <t>000147</t>
        </is>
      </c>
      <c r="N4025" s="522" t="inlineStr"/>
      <c r="O4025" s="521">
        <f>M4025=N4025</f>
        <v/>
      </c>
      <c r="P4025" s="521">
        <f>AND(MONTH(F4025)=MONTH(S4025), YEAR(F4025)=YEAR(S4025))</f>
        <v/>
      </c>
      <c r="Q4025" s="521">
        <f>U4025="L001-901905215"</f>
        <v/>
      </c>
      <c r="R4025" s="556">
        <f>G4025-W4025</f>
        <v/>
      </c>
      <c r="S4025" s="521" t="n"/>
      <c r="T4025" s="522" t="n"/>
      <c r="U4025" s="522" t="n"/>
      <c r="V4025" s="522" t="n"/>
      <c r="W4025" s="521" t="n"/>
    </row>
    <row r="4026">
      <c r="A4026" s="521" t="n">
        <v>4018</v>
      </c>
      <c r="B4026" s="522" t="n"/>
      <c r="C4026" s="522" t="inlineStr">
        <is>
          <t>ប្យួរ៉ូ វេរីតាស (ខេមបូឌា) លីមីធីត</t>
        </is>
      </c>
      <c r="D4026" s="522" t="inlineStr">
        <is>
          <t>L001-107024462</t>
        </is>
      </c>
      <c r="E4026" s="521" t="inlineStr">
        <is>
          <t>59006197</t>
        </is>
      </c>
      <c r="F4026" s="523" t="n">
        <v>43812</v>
      </c>
      <c r="G4026" s="556" t="n">
        <v>188697</v>
      </c>
      <c r="I4026" s="521">
        <f>G4026</f>
        <v/>
      </c>
      <c r="K4026" s="521">
        <f>I4026-G4026</f>
        <v/>
      </c>
      <c r="M4026" s="522" t="inlineStr">
        <is>
          <t>59006197</t>
        </is>
      </c>
      <c r="N4026" s="522" t="inlineStr">
        <is>
          <t>59006197</t>
        </is>
      </c>
      <c r="O4026" s="521">
        <f>M4026=N4026</f>
        <v/>
      </c>
      <c r="P4026" s="521">
        <f>AND(MONTH(F4026)=MONTH(S4026), YEAR(F4026)=YEAR(S4026))</f>
        <v/>
      </c>
      <c r="Q4026" s="521">
        <f>U4026="L001-901905215"</f>
        <v/>
      </c>
      <c r="R4026" s="556">
        <f>G4026-W4026</f>
        <v/>
      </c>
      <c r="S4026" s="523" t="n">
        <v>43812</v>
      </c>
      <c r="T4026" s="522" t="inlineStr">
        <is>
          <t>59006197</t>
        </is>
      </c>
      <c r="U4026" s="522" t="inlineStr">
        <is>
          <t>L001-901905215</t>
        </is>
      </c>
      <c r="V4026" s="522" t="inlineStr">
        <is>
          <t>វីអ៊ីស៊ិន (ខេមបូឌា) អ៊ិនដាសស្ទ្រី ឯ.ក</t>
        </is>
      </c>
      <c r="W4026" s="556" t="n">
        <v>188697</v>
      </c>
    </row>
    <row r="4027">
      <c r="A4027" s="521" t="n">
        <v>4019</v>
      </c>
      <c r="B4027" s="522" t="n"/>
      <c r="C4027" s="522" t="inlineStr">
        <is>
          <t>អ៊ិនធើថេក ថេសធីង សឺវីស (ខេមបូឌា) ខមភេនី លីមីធីត</t>
        </is>
      </c>
      <c r="D4027" s="522" t="inlineStr">
        <is>
          <t>L001-100045707</t>
        </is>
      </c>
      <c r="E4027" s="521" t="inlineStr">
        <is>
          <t>KHM20190013228</t>
        </is>
      </c>
      <c r="F4027" s="523" t="n">
        <v>43805</v>
      </c>
      <c r="G4027" s="556" t="n">
        <v>57365</v>
      </c>
      <c r="I4027" s="521">
        <f>G4027</f>
        <v/>
      </c>
      <c r="K4027" s="521">
        <f>I4027-G4027</f>
        <v/>
      </c>
      <c r="M4027" s="522" t="inlineStr">
        <is>
          <t>KHM20190013228</t>
        </is>
      </c>
      <c r="N4027" s="522" t="inlineStr"/>
      <c r="O4027" s="521">
        <f>M4027=N4027</f>
        <v/>
      </c>
      <c r="P4027" s="521">
        <f>AND(MONTH(F4027)=MONTH(S4027), YEAR(F4027)=YEAR(S4027))</f>
        <v/>
      </c>
      <c r="Q4027" s="521">
        <f>U4027="L001-901905215"</f>
        <v/>
      </c>
      <c r="R4027" s="556">
        <f>G4027-W4027</f>
        <v/>
      </c>
      <c r="S4027" s="521" t="n"/>
      <c r="T4027" s="522" t="n"/>
      <c r="U4027" s="522" t="n"/>
      <c r="V4027" s="522" t="n"/>
      <c r="W4027" s="521" t="n"/>
    </row>
    <row r="4028">
      <c r="A4028" s="521" t="n">
        <v>4020</v>
      </c>
      <c r="B4028" s="522" t="n"/>
      <c r="C4028" s="522" t="inlineStr">
        <is>
          <t>អ៊ិនធើថេក ថេសធីង សឺវីស (ខេមបូឌា) ខមភេនី លីមីធីត</t>
        </is>
      </c>
      <c r="D4028" s="522" t="inlineStr">
        <is>
          <t>L001-100045707</t>
        </is>
      </c>
      <c r="E4028" s="521" t="inlineStr">
        <is>
          <t>KHM20190014453</t>
        </is>
      </c>
      <c r="F4028" s="523" t="n">
        <v>43830</v>
      </c>
      <c r="G4028" s="556" t="n">
        <v>57365</v>
      </c>
      <c r="I4028" s="521">
        <f>G4028</f>
        <v/>
      </c>
      <c r="K4028" s="521">
        <f>I4028-G4028</f>
        <v/>
      </c>
      <c r="M4028" s="522" t="inlineStr">
        <is>
          <t>KHM20190014453</t>
        </is>
      </c>
      <c r="N4028" s="522" t="inlineStr"/>
      <c r="O4028" s="521">
        <f>M4028=N4028</f>
        <v/>
      </c>
      <c r="P4028" s="521">
        <f>AND(MONTH(F4028)=MONTH(S4028), YEAR(F4028)=YEAR(S4028))</f>
        <v/>
      </c>
      <c r="Q4028" s="521">
        <f>U4028="L001-901905215"</f>
        <v/>
      </c>
      <c r="R4028" s="556">
        <f>G4028-W4028</f>
        <v/>
      </c>
      <c r="S4028" s="521" t="n"/>
      <c r="T4028" s="522" t="n"/>
      <c r="U4028" s="522" t="n"/>
      <c r="V4028" s="522" t="n"/>
      <c r="W4028" s="521" t="n"/>
    </row>
    <row r="4029">
      <c r="A4029" s="521" t="n">
        <v>4021</v>
      </c>
      <c r="B4029" s="522" t="n"/>
      <c r="C4029" s="522" t="inlineStr">
        <is>
          <t>ខេមវីល គ្លូប៊ល ឯ.ក</t>
        </is>
      </c>
      <c r="D4029" s="522" t="inlineStr">
        <is>
          <t>L001-901637190</t>
        </is>
      </c>
      <c r="E4029" s="521" t="inlineStr">
        <is>
          <t>INV193078</t>
        </is>
      </c>
      <c r="F4029" s="523" t="n">
        <v>43812</v>
      </c>
      <c r="G4029" s="556" t="n">
        <v>231306</v>
      </c>
      <c r="I4029" s="521">
        <f>G4029</f>
        <v/>
      </c>
      <c r="K4029" s="521">
        <f>I4029-G4029</f>
        <v/>
      </c>
      <c r="M4029" s="522" t="inlineStr">
        <is>
          <t>INV193078</t>
        </is>
      </c>
      <c r="N4029" s="522" t="inlineStr">
        <is>
          <t>INV193078</t>
        </is>
      </c>
      <c r="O4029" s="521">
        <f>M4029=N4029</f>
        <v/>
      </c>
      <c r="P4029" s="521">
        <f>AND(MONTH(F4029)=MONTH(S4029), YEAR(F4029)=YEAR(S4029))</f>
        <v/>
      </c>
      <c r="Q4029" s="521">
        <f>U4029="L001-901905215"</f>
        <v/>
      </c>
      <c r="R4029" s="556">
        <f>G4029-W4029</f>
        <v/>
      </c>
      <c r="S4029" s="523" t="n">
        <v>43812</v>
      </c>
      <c r="T4029" s="522" t="inlineStr">
        <is>
          <t>INV193078</t>
        </is>
      </c>
      <c r="U4029" s="522" t="inlineStr">
        <is>
          <t>L001-901905215</t>
        </is>
      </c>
      <c r="V4029" s="522" t="inlineStr">
        <is>
          <t>វីអ៊ីស៊ិន (ខេមបូឌា) អ៊ិនដាសស្ទ្រី ឯ.ក</t>
        </is>
      </c>
      <c r="W4029" s="556" t="n">
        <v>231705</v>
      </c>
    </row>
    <row r="4030">
      <c r="A4030" s="521" t="n">
        <v>4022</v>
      </c>
      <c r="B4030" s="522" t="n"/>
      <c r="C4030" s="522" t="inlineStr">
        <is>
          <t>កំពង់ផែស្វយ័តក្រុងព្រះសីហនុ</t>
        </is>
      </c>
      <c r="D4030" s="522" t="inlineStr">
        <is>
          <t>L001-100044638</t>
        </is>
      </c>
      <c r="E4030" s="521" t="inlineStr">
        <is>
          <t>194342</t>
        </is>
      </c>
      <c r="F4030" s="523" t="n">
        <v>44190</v>
      </c>
      <c r="G4030" s="556" t="n">
        <v>4834</v>
      </c>
      <c r="I4030" s="521">
        <f>G4030</f>
        <v/>
      </c>
      <c r="K4030" s="521">
        <f>I4030-G4030</f>
        <v/>
      </c>
      <c r="M4030" s="522" t="inlineStr">
        <is>
          <t>194342</t>
        </is>
      </c>
      <c r="N4030" s="522" t="inlineStr"/>
      <c r="O4030" s="521">
        <f>M4030=N4030</f>
        <v/>
      </c>
      <c r="P4030" s="521">
        <f>AND(MONTH(F4030)=MONTH(S4030), YEAR(F4030)=YEAR(S4030))</f>
        <v/>
      </c>
      <c r="Q4030" s="521">
        <f>U4030="L001-901905215"</f>
        <v/>
      </c>
      <c r="R4030" s="556">
        <f>G4030-W4030</f>
        <v/>
      </c>
      <c r="S4030" s="521" t="n"/>
      <c r="T4030" s="522" t="n"/>
      <c r="U4030" s="522" t="n"/>
      <c r="V4030" s="522" t="n"/>
      <c r="W4030" s="521" t="n"/>
    </row>
    <row r="4031">
      <c r="A4031" s="521" t="n">
        <v>4023</v>
      </c>
      <c r="B4031" s="522" t="n"/>
      <c r="C4031" s="522" t="inlineStr">
        <is>
          <t>កំពង់ផែស្វយ័តក្រុងព្រះសីហនុ</t>
        </is>
      </c>
      <c r="D4031" s="522" t="inlineStr">
        <is>
          <t>L001-100044638</t>
        </is>
      </c>
      <c r="E4031" s="521" t="inlineStr">
        <is>
          <t>193263</t>
        </is>
      </c>
      <c r="F4031" s="523" t="n">
        <v>44188</v>
      </c>
      <c r="G4031" s="556" t="n">
        <v>83421</v>
      </c>
      <c r="I4031" s="521">
        <f>G4031</f>
        <v/>
      </c>
      <c r="K4031" s="521">
        <f>I4031-G4031</f>
        <v/>
      </c>
      <c r="M4031" s="522" t="inlineStr">
        <is>
          <t>193263</t>
        </is>
      </c>
      <c r="N4031" s="522" t="inlineStr"/>
      <c r="O4031" s="521">
        <f>M4031=N4031</f>
        <v/>
      </c>
      <c r="P4031" s="521">
        <f>AND(MONTH(F4031)=MONTH(S4031), YEAR(F4031)=YEAR(S4031))</f>
        <v/>
      </c>
      <c r="Q4031" s="521">
        <f>U4031="L001-901905215"</f>
        <v/>
      </c>
      <c r="R4031" s="556">
        <f>G4031-W4031</f>
        <v/>
      </c>
      <c r="S4031" s="521" t="n"/>
      <c r="T4031" s="522" t="n"/>
      <c r="U4031" s="522" t="n"/>
      <c r="V4031" s="522" t="n"/>
      <c r="W4031" s="521" t="n"/>
    </row>
    <row r="4032">
      <c r="A4032" s="521" t="n">
        <v>4024</v>
      </c>
      <c r="B4032" s="522" t="n"/>
      <c r="C4032" s="522" t="inlineStr">
        <is>
          <t>មើស្គ (ខេមបូឌា)</t>
        </is>
      </c>
      <c r="D4032" s="522" t="inlineStr">
        <is>
          <t>L001-100045200</t>
        </is>
      </c>
      <c r="E4032" s="521" t="inlineStr">
        <is>
          <t>5995866160</t>
        </is>
      </c>
      <c r="F4032" s="523" t="n">
        <v>44166</v>
      </c>
      <c r="G4032" s="556" t="n">
        <v>118606</v>
      </c>
      <c r="I4032" s="521">
        <f>G4032</f>
        <v/>
      </c>
      <c r="K4032" s="521">
        <f>I4032-G4032</f>
        <v/>
      </c>
      <c r="M4032" s="522" t="inlineStr">
        <is>
          <t>5995866160</t>
        </is>
      </c>
      <c r="N4032" s="522" t="inlineStr"/>
      <c r="O4032" s="521">
        <f>M4032=N4032</f>
        <v/>
      </c>
      <c r="P4032" s="521">
        <f>AND(MONTH(F4032)=MONTH(S4032), YEAR(F4032)=YEAR(S4032))</f>
        <v/>
      </c>
      <c r="Q4032" s="521">
        <f>U4032="L001-901905215"</f>
        <v/>
      </c>
      <c r="R4032" s="556">
        <f>G4032-W4032</f>
        <v/>
      </c>
      <c r="S4032" s="521" t="n"/>
      <c r="T4032" s="522" t="n"/>
      <c r="U4032" s="522" t="n"/>
      <c r="V4032" s="522" t="n"/>
      <c r="W4032" s="521" t="n"/>
    </row>
    <row r="4033">
      <c r="A4033" s="521" t="n">
        <v>4025</v>
      </c>
      <c r="B4033" s="522" t="n"/>
      <c r="C4033" s="522" t="inlineStr">
        <is>
          <t>មើស្គ (ខេមបូឌា)</t>
        </is>
      </c>
      <c r="D4033" s="522" t="inlineStr">
        <is>
          <t>L001-100045200</t>
        </is>
      </c>
      <c r="E4033" s="521" t="inlineStr">
        <is>
          <t>5995867235</t>
        </is>
      </c>
      <c r="F4033" s="523" t="n">
        <v>44182</v>
      </c>
      <c r="G4033" s="556" t="n">
        <v>16160</v>
      </c>
      <c r="I4033" s="521">
        <f>G4033</f>
        <v/>
      </c>
      <c r="K4033" s="521">
        <f>I4033-G4033</f>
        <v/>
      </c>
      <c r="M4033" s="522" t="inlineStr">
        <is>
          <t>5995867235</t>
        </is>
      </c>
      <c r="N4033" s="522" t="inlineStr"/>
      <c r="O4033" s="521">
        <f>M4033=N4033</f>
        <v/>
      </c>
      <c r="P4033" s="521">
        <f>AND(MONTH(F4033)=MONTH(S4033), YEAR(F4033)=YEAR(S4033))</f>
        <v/>
      </c>
      <c r="Q4033" s="521">
        <f>U4033="L001-901905215"</f>
        <v/>
      </c>
      <c r="R4033" s="556">
        <f>G4033-W4033</f>
        <v/>
      </c>
      <c r="S4033" s="521" t="n"/>
      <c r="T4033" s="522" t="n"/>
      <c r="U4033" s="522" t="n"/>
      <c r="V4033" s="522" t="n"/>
      <c r="W4033" s="521" t="n"/>
    </row>
    <row r="4034">
      <c r="A4034" s="521" t="n">
        <v>4026</v>
      </c>
      <c r="B4034" s="522" t="n"/>
      <c r="C4034" s="522" t="inlineStr">
        <is>
          <t>មើស្គ (ខេមបូឌា)</t>
        </is>
      </c>
      <c r="D4034" s="522" t="inlineStr">
        <is>
          <t>L001-100045200</t>
        </is>
      </c>
      <c r="E4034" s="521" t="inlineStr">
        <is>
          <t>5995864269</t>
        </is>
      </c>
      <c r="F4034" s="523" t="n">
        <v>44166</v>
      </c>
      <c r="G4034" s="556" t="n">
        <v>216648</v>
      </c>
      <c r="I4034" s="521">
        <f>G4034</f>
        <v/>
      </c>
      <c r="K4034" s="521">
        <f>I4034-G4034</f>
        <v/>
      </c>
      <c r="M4034" s="522" t="inlineStr">
        <is>
          <t>5995864269</t>
        </is>
      </c>
      <c r="N4034" s="522" t="inlineStr"/>
      <c r="O4034" s="521">
        <f>M4034=N4034</f>
        <v/>
      </c>
      <c r="P4034" s="521">
        <f>AND(MONTH(F4034)=MONTH(S4034), YEAR(F4034)=YEAR(S4034))</f>
        <v/>
      </c>
      <c r="Q4034" s="521">
        <f>U4034="L001-901905215"</f>
        <v/>
      </c>
      <c r="R4034" s="556">
        <f>G4034-W4034</f>
        <v/>
      </c>
      <c r="S4034" s="521" t="n"/>
      <c r="T4034" s="522" t="n"/>
      <c r="U4034" s="522" t="n"/>
      <c r="V4034" s="522" t="n"/>
      <c r="W4034" s="521" t="n"/>
    </row>
    <row r="4035">
      <c r="A4035" s="521" t="n">
        <v>4027</v>
      </c>
      <c r="B4035" s="522" t="n"/>
      <c r="C4035" s="522" t="inlineStr">
        <is>
          <t>ជា យូ អាង ផេកខេកជីង មេធៀរៀល (ខេមបូឌា) ឯ.ក</t>
        </is>
      </c>
      <c r="D4035" s="522" t="inlineStr">
        <is>
          <t>L001-901903560</t>
        </is>
      </c>
      <c r="E4035" s="521" t="inlineStr">
        <is>
          <t>JYA202000241</t>
        </is>
      </c>
      <c r="F4035" s="523" t="n">
        <v>44196</v>
      </c>
      <c r="G4035" s="556" t="n">
        <v>3889740</v>
      </c>
      <c r="I4035" s="521">
        <f>G4035</f>
        <v/>
      </c>
      <c r="K4035" s="521">
        <f>I4035-G4035</f>
        <v/>
      </c>
      <c r="M4035" s="522" t="inlineStr">
        <is>
          <t>JYA202000241</t>
        </is>
      </c>
      <c r="N4035" s="522" t="inlineStr">
        <is>
          <t>JYA202000241</t>
        </is>
      </c>
      <c r="O4035" s="521">
        <f>M4035=N4035</f>
        <v/>
      </c>
      <c r="P4035" s="521">
        <f>AND(MONTH(F4035)=MONTH(S4035), YEAR(F4035)=YEAR(S4035))</f>
        <v/>
      </c>
      <c r="Q4035" s="521">
        <f>U4035="L001-901905215"</f>
        <v/>
      </c>
      <c r="R4035" s="556">
        <f>G4035-W4035</f>
        <v/>
      </c>
      <c r="S4035" s="523" t="n">
        <v>44196</v>
      </c>
      <c r="T4035" s="522" t="inlineStr">
        <is>
          <t>JYA202000241</t>
        </is>
      </c>
      <c r="U4035" s="522" t="inlineStr">
        <is>
          <t>L001-901905215</t>
        </is>
      </c>
      <c r="V4035" s="522" t="inlineStr">
        <is>
          <t>វីអ៊ីស៊ិន (ខេមបូឌា) អ៊ិនដាសស្ទ្រី ឯ.ក</t>
        </is>
      </c>
      <c r="W4035" s="556" t="n">
        <v>3889740</v>
      </c>
    </row>
    <row r="4036">
      <c r="A4036" s="521" t="n">
        <v>4028</v>
      </c>
      <c r="B4036" s="522" t="n"/>
      <c r="C4036" s="522" t="inlineStr">
        <is>
          <t>វ៉ាយ.ស៊ី ផេកខេជីង ឯ.ក</t>
        </is>
      </c>
      <c r="D4036" s="522" t="inlineStr">
        <is>
          <t>L001-901700417</t>
        </is>
      </c>
      <c r="E4036" s="521" t="inlineStr">
        <is>
          <t>TI0212</t>
        </is>
      </c>
      <c r="F4036" s="523" t="n">
        <v>44196</v>
      </c>
      <c r="G4036" s="556" t="n">
        <v>80455976</v>
      </c>
      <c r="I4036" s="521">
        <f>G4036</f>
        <v/>
      </c>
      <c r="K4036" s="521">
        <f>I4036-G4036</f>
        <v/>
      </c>
      <c r="M4036" s="522" t="inlineStr">
        <is>
          <t>TI0212</t>
        </is>
      </c>
      <c r="N4036" s="522" t="inlineStr">
        <is>
          <t>TI0212</t>
        </is>
      </c>
      <c r="O4036" s="521">
        <f>M4036=N4036</f>
        <v/>
      </c>
      <c r="P4036" s="521">
        <f>AND(MONTH(F4036)=MONTH(S4036), YEAR(F4036)=YEAR(S4036))</f>
        <v/>
      </c>
      <c r="Q4036" s="521">
        <f>U4036="L001-901905215"</f>
        <v/>
      </c>
      <c r="R4036" s="556">
        <f>G4036-W4036</f>
        <v/>
      </c>
      <c r="S4036" s="523" t="n">
        <v>44196</v>
      </c>
      <c r="T4036" s="522" t="inlineStr">
        <is>
          <t>TI0212</t>
        </is>
      </c>
      <c r="U4036" s="522" t="inlineStr">
        <is>
          <t>L001-901905215</t>
        </is>
      </c>
      <c r="V4036" s="522" t="inlineStr">
        <is>
          <t>វីអ៊ីស៊ិន (ខេមបូឌា) អ៊ិនដាសស្ទ្រី ឯ.ក</t>
        </is>
      </c>
      <c r="W4036" s="556" t="n">
        <v>80456050</v>
      </c>
    </row>
    <row r="4037">
      <c r="A4037" s="521" t="n">
        <v>4029</v>
      </c>
      <c r="B4037" s="522" t="n"/>
      <c r="C4037" s="522" t="inlineStr">
        <is>
          <t>ភីស៊ីអាយ សឺវីស</t>
        </is>
      </c>
      <c r="D4037" s="522" t="inlineStr">
        <is>
          <t>K010-901639639</t>
        </is>
      </c>
      <c r="E4037" s="521" t="inlineStr">
        <is>
          <t>2020/01309</t>
        </is>
      </c>
      <c r="F4037" s="523" t="n">
        <v>44195</v>
      </c>
      <c r="G4037" s="556" t="n">
        <v>80900</v>
      </c>
      <c r="I4037" s="521">
        <f>G4037</f>
        <v/>
      </c>
      <c r="K4037" s="521">
        <f>I4037-G4037</f>
        <v/>
      </c>
      <c r="M4037" s="522" t="inlineStr">
        <is>
          <t>202001309</t>
        </is>
      </c>
      <c r="N4037" s="522" t="inlineStr"/>
      <c r="O4037" s="521">
        <f>M4037=N4037</f>
        <v/>
      </c>
      <c r="P4037" s="521">
        <f>AND(MONTH(F4037)=MONTH(S4037), YEAR(F4037)=YEAR(S4037))</f>
        <v/>
      </c>
      <c r="Q4037" s="521">
        <f>U4037="L001-901905215"</f>
        <v/>
      </c>
      <c r="R4037" s="556">
        <f>G4037-W4037</f>
        <v/>
      </c>
      <c r="S4037" s="521" t="n"/>
      <c r="T4037" s="522" t="n"/>
      <c r="U4037" s="522" t="n"/>
      <c r="V4037" s="522" t="n"/>
      <c r="W4037" s="521" t="n"/>
    </row>
    <row r="4038">
      <c r="A4038" s="521" t="n">
        <v>4030</v>
      </c>
      <c r="B4038" s="522" t="n"/>
      <c r="C4038" s="522" t="inlineStr">
        <is>
          <t>ហ្គោមី រីសាយឃល110</t>
        </is>
      </c>
      <c r="D4038" s="522" t="inlineStr">
        <is>
          <t>K010-901503890</t>
        </is>
      </c>
      <c r="E4038" s="521" t="inlineStr">
        <is>
          <t>GR-IN202012/013</t>
        </is>
      </c>
      <c r="F4038" s="523" t="n">
        <v>44195</v>
      </c>
      <c r="G4038" s="556" t="n">
        <v>16152</v>
      </c>
      <c r="I4038" s="521">
        <f>G4038</f>
        <v/>
      </c>
      <c r="K4038" s="521">
        <f>I4038-G4038</f>
        <v/>
      </c>
      <c r="M4038" s="522" t="inlineStr">
        <is>
          <t>GRIN202012013</t>
        </is>
      </c>
      <c r="N4038" s="522" t="inlineStr">
        <is>
          <t>GRIN202012013</t>
        </is>
      </c>
      <c r="O4038" s="521">
        <f>M4038=N4038</f>
        <v/>
      </c>
      <c r="P4038" s="521">
        <f>AND(MONTH(F4038)=MONTH(S4038), YEAR(F4038)=YEAR(S4038))</f>
        <v/>
      </c>
      <c r="Q4038" s="521">
        <f>U4038="L001-901905215"</f>
        <v/>
      </c>
      <c r="R4038" s="556">
        <f>G4038-W4038</f>
        <v/>
      </c>
      <c r="S4038" s="523" t="n">
        <v>44195</v>
      </c>
      <c r="T4038" s="522" t="inlineStr">
        <is>
          <t>GR-IN202012/013</t>
        </is>
      </c>
      <c r="U4038" s="522" t="inlineStr">
        <is>
          <t>L001-901905215</t>
        </is>
      </c>
      <c r="V4038" s="522" t="inlineStr">
        <is>
          <t>វីអ៊ីស៊ិន (ខេមបូឌា) អ៊ិនដាសស្ទ្រី ឯ.ក</t>
        </is>
      </c>
      <c r="W4038" s="556" t="n">
        <v>16152</v>
      </c>
    </row>
    <row r="4039">
      <c r="A4039" s="521" t="n">
        <v>4031</v>
      </c>
      <c r="B4039" s="522" t="n"/>
      <c r="C4039" s="522" t="inlineStr">
        <is>
          <t>ស៊ីន ហ្វី យ៉ាង ព្រីនធីង &amp; អិកសេសសឺរី ឯ.ក</t>
        </is>
      </c>
      <c r="D4039" s="522" t="inlineStr">
        <is>
          <t>K010-901906822</t>
        </is>
      </c>
      <c r="E4039" s="521" t="inlineStr">
        <is>
          <t>XFY-YD2020093</t>
        </is>
      </c>
      <c r="F4039" s="523" t="n">
        <v>44194</v>
      </c>
      <c r="G4039" s="556" t="n">
        <v>7028805</v>
      </c>
      <c r="I4039" s="521">
        <f>G4039</f>
        <v/>
      </c>
      <c r="K4039" s="521">
        <f>I4039-G4039</f>
        <v/>
      </c>
      <c r="M4039" s="522" t="inlineStr">
        <is>
          <t>XFYYD2020093</t>
        </is>
      </c>
      <c r="N4039" s="522" t="inlineStr">
        <is>
          <t>XFYYD2020093</t>
        </is>
      </c>
      <c r="O4039" s="521">
        <f>M4039=N4039</f>
        <v/>
      </c>
      <c r="P4039" s="521">
        <f>AND(MONTH(F4039)=MONTH(S4039), YEAR(F4039)=YEAR(S4039))</f>
        <v/>
      </c>
      <c r="Q4039" s="521">
        <f>U4039="L001-901905215"</f>
        <v/>
      </c>
      <c r="R4039" s="556">
        <f>G4039-W4039</f>
        <v/>
      </c>
      <c r="S4039" s="523" t="n">
        <v>44194</v>
      </c>
      <c r="T4039" s="522" t="inlineStr">
        <is>
          <t>XFY-YD2020093</t>
        </is>
      </c>
      <c r="U4039" s="522" t="inlineStr">
        <is>
          <t>L001-901905215</t>
        </is>
      </c>
      <c r="V4039" s="522" t="inlineStr">
        <is>
          <t>វីអ៊ីស៊ិន (ខេមបូឌា) អ៊ិនដាសស្ទ្រី ឯ.ក</t>
        </is>
      </c>
      <c r="W4039" s="556" t="n">
        <v>7028805</v>
      </c>
    </row>
    <row r="4040">
      <c r="A4040" s="521" t="n">
        <v>4032</v>
      </c>
      <c r="B4040" s="522" t="n"/>
      <c r="C4040" s="522" t="inlineStr">
        <is>
          <t>សេង ម៉ុយ ជុង លី (ខេមបូឌា) អាហ្រ្គោ - ខេមីខល</t>
        </is>
      </c>
      <c r="D4040" s="522" t="inlineStr">
        <is>
          <t>L001-100084087</t>
        </is>
      </c>
      <c r="E4040" s="521" t="inlineStr">
        <is>
          <t>SM20000015</t>
        </is>
      </c>
      <c r="F4040" s="523" t="n">
        <v>44193</v>
      </c>
      <c r="G4040" s="556" t="n">
        <v>1031168</v>
      </c>
      <c r="I4040" s="521">
        <f>G4040</f>
        <v/>
      </c>
      <c r="K4040" s="521">
        <f>I4040-G4040</f>
        <v/>
      </c>
      <c r="M4040" s="522" t="inlineStr">
        <is>
          <t>SM20000015</t>
        </is>
      </c>
      <c r="N4040" s="522" t="inlineStr">
        <is>
          <t>SM20000015</t>
        </is>
      </c>
      <c r="O4040" s="521">
        <f>M4040=N4040</f>
        <v/>
      </c>
      <c r="P4040" s="521">
        <f>AND(MONTH(F4040)=MONTH(S4040), YEAR(F4040)=YEAR(S4040))</f>
        <v/>
      </c>
      <c r="Q4040" s="521">
        <f>U4040="L001-901905215"</f>
        <v/>
      </c>
      <c r="R4040" s="556">
        <f>G4040-W4040</f>
        <v/>
      </c>
      <c r="S4040" s="523" t="n">
        <v>44193</v>
      </c>
      <c r="T4040" s="522" t="inlineStr">
        <is>
          <t>SM20000015</t>
        </is>
      </c>
      <c r="U4040" s="522" t="inlineStr">
        <is>
          <t>L001-901905215</t>
        </is>
      </c>
      <c r="V4040" s="522" t="inlineStr">
        <is>
          <t>វីអ៊ីស៊ិន (ខេមបូឌា) អ៊ិនដាសស្ទ្រី ឯ.ក</t>
        </is>
      </c>
      <c r="W4040" s="556" t="n">
        <v>1031168</v>
      </c>
    </row>
    <row r="4041">
      <c r="A4041" s="521" t="n">
        <v>4033</v>
      </c>
      <c r="B4041" s="522" t="n"/>
      <c r="C4041" s="522" t="inlineStr">
        <is>
          <t>ស៊ីន ហ្វី យ៉ាង ព្រីនធីង &amp; អិកសេសសឺរី ឯ.ក</t>
        </is>
      </c>
      <c r="D4041" s="522" t="inlineStr">
        <is>
          <t>K010-901906822</t>
        </is>
      </c>
      <c r="E4041" s="521" t="inlineStr">
        <is>
          <t>XFY-YD2020092</t>
        </is>
      </c>
      <c r="F4041" s="523" t="n">
        <v>44189</v>
      </c>
      <c r="G4041" s="556" t="n">
        <v>730119</v>
      </c>
      <c r="I4041" s="521">
        <f>G4041</f>
        <v/>
      </c>
      <c r="K4041" s="521">
        <f>I4041-G4041</f>
        <v/>
      </c>
      <c r="M4041" s="522" t="inlineStr">
        <is>
          <t>XFYYD2020092</t>
        </is>
      </c>
      <c r="N4041" s="522" t="inlineStr">
        <is>
          <t>XFYYD2020092</t>
        </is>
      </c>
      <c r="O4041" s="521">
        <f>M4041=N4041</f>
        <v/>
      </c>
      <c r="P4041" s="521">
        <f>AND(MONTH(F4041)=MONTH(S4041), YEAR(F4041)=YEAR(S4041))</f>
        <v/>
      </c>
      <c r="Q4041" s="521">
        <f>U4041="L001-901905215"</f>
        <v/>
      </c>
      <c r="R4041" s="556">
        <f>G4041-W4041</f>
        <v/>
      </c>
      <c r="S4041" s="523" t="n">
        <v>44191</v>
      </c>
      <c r="T4041" s="522" t="inlineStr">
        <is>
          <t>XFY-YD2020092</t>
        </is>
      </c>
      <c r="U4041" s="522" t="inlineStr">
        <is>
          <t>L001-901905215</t>
        </is>
      </c>
      <c r="V4041" s="522" t="inlineStr">
        <is>
          <t>វីអ៊ីស៊ិន (ខេមបូឌា) អ៊ិនដាសស្ទ្រី ឯ.ក</t>
        </is>
      </c>
      <c r="W4041" s="556" t="n">
        <v>730119</v>
      </c>
    </row>
    <row r="4042">
      <c r="A4042" s="521" t="n">
        <v>4034</v>
      </c>
      <c r="B4042" s="522" t="n"/>
      <c r="C4042" s="522" t="inlineStr">
        <is>
          <t>ស៊ីន ហ្វី យ៉ាង ព្រីនធីង &amp; អិកសេសសឺរី ឯ.ក</t>
        </is>
      </c>
      <c r="D4042" s="522" t="inlineStr">
        <is>
          <t>K010-901906822</t>
        </is>
      </c>
      <c r="E4042" s="521" t="inlineStr">
        <is>
          <t>XFY-YD2020091</t>
        </is>
      </c>
      <c r="F4042" s="523" t="n">
        <v>44189</v>
      </c>
      <c r="G4042" s="556" t="n">
        <v>8066388</v>
      </c>
      <c r="I4042" s="521">
        <f>G4042</f>
        <v/>
      </c>
      <c r="K4042" s="521">
        <f>I4042-G4042</f>
        <v/>
      </c>
      <c r="M4042" s="522" t="inlineStr">
        <is>
          <t>XFYYD2020091</t>
        </is>
      </c>
      <c r="N4042" s="522" t="inlineStr">
        <is>
          <t>XFYYD2020091</t>
        </is>
      </c>
      <c r="O4042" s="521">
        <f>M4042=N4042</f>
        <v/>
      </c>
      <c r="P4042" s="521">
        <f>AND(MONTH(F4042)=MONTH(S4042), YEAR(F4042)=YEAR(S4042))</f>
        <v/>
      </c>
      <c r="Q4042" s="521">
        <f>U4042="L001-901905215"</f>
        <v/>
      </c>
      <c r="R4042" s="556">
        <f>G4042-W4042</f>
        <v/>
      </c>
      <c r="S4042" s="523" t="n">
        <v>44189</v>
      </c>
      <c r="T4042" s="522" t="inlineStr">
        <is>
          <t>XFY-YD2020091</t>
        </is>
      </c>
      <c r="U4042" s="522" t="inlineStr">
        <is>
          <t>L001-901905215</t>
        </is>
      </c>
      <c r="V4042" s="522" t="inlineStr">
        <is>
          <t>វីអ៊ីស៊ិន (ខេមបូឌា) អ៊ិនដាសស្ទ្រី ឯ.ក</t>
        </is>
      </c>
      <c r="W4042" s="556" t="n">
        <v>8066388</v>
      </c>
    </row>
    <row r="4043">
      <c r="A4043" s="521" t="n">
        <v>4035</v>
      </c>
      <c r="B4043" s="522" t="n"/>
      <c r="C4043" s="522" t="inlineStr">
        <is>
          <t>សហ័ស សិឃ្យូរិធី ឯ.ក</t>
        </is>
      </c>
      <c r="D4043" s="522" t="inlineStr">
        <is>
          <t>K010-107032600</t>
        </is>
      </c>
      <c r="E4043" s="521" t="inlineStr">
        <is>
          <t>2020-00572</t>
        </is>
      </c>
      <c r="F4043" s="523" t="n">
        <v>44189</v>
      </c>
      <c r="G4043" s="556" t="n">
        <v>225680</v>
      </c>
      <c r="I4043" s="521">
        <f>G4043</f>
        <v/>
      </c>
      <c r="K4043" s="521">
        <f>I4043-G4043</f>
        <v/>
      </c>
      <c r="M4043" s="522" t="inlineStr">
        <is>
          <t>202000572</t>
        </is>
      </c>
      <c r="N4043" s="522" t="inlineStr">
        <is>
          <t>202000572</t>
        </is>
      </c>
      <c r="O4043" s="521">
        <f>M4043=N4043</f>
        <v/>
      </c>
      <c r="P4043" s="521">
        <f>AND(MONTH(F4043)=MONTH(S4043), YEAR(F4043)=YEAR(S4043))</f>
        <v/>
      </c>
      <c r="Q4043" s="521">
        <f>U4043="L001-901905215"</f>
        <v/>
      </c>
      <c r="R4043" s="556">
        <f>G4043-W4043</f>
        <v/>
      </c>
      <c r="S4043" s="523" t="n">
        <v>44189</v>
      </c>
      <c r="T4043" s="522" t="inlineStr">
        <is>
          <t>2020-00572</t>
        </is>
      </c>
      <c r="U4043" s="522" t="inlineStr">
        <is>
          <t>L001-901905215</t>
        </is>
      </c>
      <c r="V4043" s="522" t="inlineStr">
        <is>
          <t>វីអ៊ីស៊ិន (ខេមបូឌា) អ៊ិនដាសស្ទ្រី ឯ.ក</t>
        </is>
      </c>
      <c r="W4043" s="556" t="n">
        <v>225680</v>
      </c>
    </row>
    <row r="4044">
      <c r="A4044" s="521" t="n">
        <v>4036</v>
      </c>
      <c r="B4044" s="522" t="n"/>
      <c r="C4044" s="522" t="inlineStr">
        <is>
          <t>ភ្នំពេញ អេសអ៊ីហ្សិត ភីអិលស៊ី</t>
        </is>
      </c>
      <c r="D4044" s="522" t="inlineStr">
        <is>
          <t>L001-100046592</t>
        </is>
      </c>
      <c r="E4044" s="521" t="inlineStr">
        <is>
          <t>2020-05803</t>
        </is>
      </c>
      <c r="F4044" s="523" t="n">
        <v>44181</v>
      </c>
      <c r="G4044" s="556" t="n">
        <v>199157</v>
      </c>
      <c r="I4044" s="521">
        <f>G4044</f>
        <v/>
      </c>
      <c r="K4044" s="521">
        <f>I4044-G4044</f>
        <v/>
      </c>
      <c r="M4044" s="522" t="inlineStr">
        <is>
          <t>202005803</t>
        </is>
      </c>
      <c r="N4044" s="522" t="inlineStr"/>
      <c r="O4044" s="521">
        <f>M4044=N4044</f>
        <v/>
      </c>
      <c r="P4044" s="521">
        <f>AND(MONTH(F4044)=MONTH(S4044), YEAR(F4044)=YEAR(S4044))</f>
        <v/>
      </c>
      <c r="Q4044" s="521">
        <f>U4044="L001-901905215"</f>
        <v/>
      </c>
      <c r="R4044" s="556">
        <f>G4044-W4044</f>
        <v/>
      </c>
      <c r="S4044" s="521" t="n"/>
      <c r="T4044" s="522" t="n"/>
      <c r="U4044" s="522" t="n"/>
      <c r="V4044" s="522" t="n"/>
      <c r="W4044" s="521" t="n"/>
    </row>
    <row r="4045">
      <c r="A4045" s="521" t="n">
        <v>4037</v>
      </c>
      <c r="B4045" s="522" t="n"/>
      <c r="C4045" s="522" t="inlineStr">
        <is>
          <t>ស៊ីងហ្គាពួរ កាតុង (ខេមបូឌា)</t>
        </is>
      </c>
      <c r="D4045" s="522" t="inlineStr">
        <is>
          <t>L001-100121322</t>
        </is>
      </c>
      <c r="E4045" s="521" t="inlineStr">
        <is>
          <t>V0015178</t>
        </is>
      </c>
      <c r="F4045" s="523" t="n">
        <v>44191</v>
      </c>
      <c r="G4045" s="556" t="n">
        <v>92805</v>
      </c>
      <c r="I4045" s="521">
        <f>G4045</f>
        <v/>
      </c>
      <c r="K4045" s="521">
        <f>I4045-G4045</f>
        <v/>
      </c>
      <c r="M4045" s="522" t="inlineStr">
        <is>
          <t>V0015178</t>
        </is>
      </c>
      <c r="N4045" s="522" t="inlineStr">
        <is>
          <t>V0015178</t>
        </is>
      </c>
      <c r="O4045" s="521">
        <f>M4045=N4045</f>
        <v/>
      </c>
      <c r="P4045" s="521">
        <f>AND(MONTH(F4045)=MONTH(S4045), YEAR(F4045)=YEAR(S4045))</f>
        <v/>
      </c>
      <c r="Q4045" s="521">
        <f>U4045="L001-901905215"</f>
        <v/>
      </c>
      <c r="R4045" s="556">
        <f>G4045-W4045</f>
        <v/>
      </c>
      <c r="S4045" s="523" t="n">
        <v>44191</v>
      </c>
      <c r="T4045" s="522" t="inlineStr">
        <is>
          <t>V0015178</t>
        </is>
      </c>
      <c r="U4045" s="522" t="inlineStr">
        <is>
          <t>L001-901905215</t>
        </is>
      </c>
      <c r="V4045" s="522" t="inlineStr">
        <is>
          <t>វីអ៊ីស៊ិន (ខេមបូឌា) អ៊ិនដាសស្ទ្រី ឯ.ក</t>
        </is>
      </c>
      <c r="W4045" s="556" t="n">
        <v>93197</v>
      </c>
    </row>
    <row r="4046">
      <c r="A4046" s="521" t="n">
        <v>4038</v>
      </c>
      <c r="B4046" s="522" t="n"/>
      <c r="C4046" s="522" t="inlineStr">
        <is>
          <t>ស៊ីងហ្គាពួរ កាតុង (ខេមបូឌា)</t>
        </is>
      </c>
      <c r="D4046" s="522" t="inlineStr">
        <is>
          <t>L001-100121322</t>
        </is>
      </c>
      <c r="E4046" s="521" t="inlineStr">
        <is>
          <t>V0015177</t>
        </is>
      </c>
      <c r="F4046" s="523" t="n">
        <v>44191</v>
      </c>
      <c r="G4046" s="556" t="n">
        <v>329309</v>
      </c>
      <c r="I4046" s="521">
        <f>G4046</f>
        <v/>
      </c>
      <c r="K4046" s="521">
        <f>I4046-G4046</f>
        <v/>
      </c>
      <c r="M4046" s="522" t="inlineStr">
        <is>
          <t>V0015177</t>
        </is>
      </c>
      <c r="N4046" s="522" t="inlineStr">
        <is>
          <t>V0015177</t>
        </is>
      </c>
      <c r="O4046" s="521">
        <f>M4046=N4046</f>
        <v/>
      </c>
      <c r="P4046" s="521">
        <f>AND(MONTH(F4046)=MONTH(S4046), YEAR(F4046)=YEAR(S4046))</f>
        <v/>
      </c>
      <c r="Q4046" s="521">
        <f>U4046="L001-901905215"</f>
        <v/>
      </c>
      <c r="R4046" s="556">
        <f>G4046-W4046</f>
        <v/>
      </c>
      <c r="S4046" s="523" t="n">
        <v>44191</v>
      </c>
      <c r="T4046" s="522" t="inlineStr">
        <is>
          <t>V0015177</t>
        </is>
      </c>
      <c r="U4046" s="522" t="inlineStr">
        <is>
          <t>L001-901905215</t>
        </is>
      </c>
      <c r="V4046" s="522" t="inlineStr">
        <is>
          <t>វីអ៊ីស៊ិន (ខេមបូឌា) អ៊ិនដាសស្ទ្រី ឯ.ក</t>
        </is>
      </c>
      <c r="W4046" s="556" t="n">
        <v>330701</v>
      </c>
    </row>
    <row r="4047">
      <c r="A4047" s="521" t="n">
        <v>4039</v>
      </c>
      <c r="B4047" s="522" t="n"/>
      <c r="C4047" s="522" t="inlineStr">
        <is>
          <t>ស៊ីងហ្គាពួរ កាតុង (ខេមបូឌា)</t>
        </is>
      </c>
      <c r="D4047" s="522" t="inlineStr">
        <is>
          <t>L001-100121322</t>
        </is>
      </c>
      <c r="E4047" s="521" t="inlineStr">
        <is>
          <t>V0015176</t>
        </is>
      </c>
      <c r="F4047" s="523" t="n">
        <v>44191</v>
      </c>
      <c r="G4047" s="556" t="n">
        <v>464026</v>
      </c>
      <c r="I4047" s="521">
        <f>G4047</f>
        <v/>
      </c>
      <c r="K4047" s="521">
        <f>I4047-G4047</f>
        <v/>
      </c>
      <c r="M4047" s="522" t="inlineStr">
        <is>
          <t>V0015176</t>
        </is>
      </c>
      <c r="N4047" s="522" t="inlineStr">
        <is>
          <t>V0015176</t>
        </is>
      </c>
      <c r="O4047" s="521">
        <f>M4047=N4047</f>
        <v/>
      </c>
      <c r="P4047" s="521">
        <f>AND(MONTH(F4047)=MONTH(S4047), YEAR(F4047)=YEAR(S4047))</f>
        <v/>
      </c>
      <c r="Q4047" s="521">
        <f>U4047="L001-901905215"</f>
        <v/>
      </c>
      <c r="R4047" s="556">
        <f>G4047-W4047</f>
        <v/>
      </c>
      <c r="S4047" s="523" t="n">
        <v>44191</v>
      </c>
      <c r="T4047" s="522" t="inlineStr">
        <is>
          <t>V0015176</t>
        </is>
      </c>
      <c r="U4047" s="522" t="inlineStr">
        <is>
          <t>L001-901905215</t>
        </is>
      </c>
      <c r="V4047" s="522" t="inlineStr">
        <is>
          <t>វីអ៊ីស៊ិន (ខេមបូឌា) អ៊ិនដាសស្ទ្រី ឯ.ក</t>
        </is>
      </c>
      <c r="W4047" s="556" t="n">
        <v>465984</v>
      </c>
    </row>
    <row r="4048">
      <c r="A4048" s="521" t="n">
        <v>4040</v>
      </c>
      <c r="B4048" s="522" t="n"/>
      <c r="C4048" s="522" t="inlineStr">
        <is>
          <t>ស៊ីងហ្គាពួរ កាតុង (ខេមបូឌា)</t>
        </is>
      </c>
      <c r="D4048" s="522" t="inlineStr">
        <is>
          <t>L001-100121322</t>
        </is>
      </c>
      <c r="E4048" s="521" t="inlineStr">
        <is>
          <t>V0015169</t>
        </is>
      </c>
      <c r="F4048" s="523" t="n">
        <v>44190</v>
      </c>
      <c r="G4048" s="556" t="n">
        <v>254280</v>
      </c>
      <c r="I4048" s="521">
        <f>G4048</f>
        <v/>
      </c>
      <c r="K4048" s="521">
        <f>I4048-G4048</f>
        <v/>
      </c>
      <c r="M4048" s="522" t="inlineStr">
        <is>
          <t>V0015169</t>
        </is>
      </c>
      <c r="N4048" s="522" t="inlineStr">
        <is>
          <t>V0015169</t>
        </is>
      </c>
      <c r="O4048" s="521">
        <f>M4048=N4048</f>
        <v/>
      </c>
      <c r="P4048" s="521">
        <f>AND(MONTH(F4048)=MONTH(S4048), YEAR(F4048)=YEAR(S4048))</f>
        <v/>
      </c>
      <c r="Q4048" s="521">
        <f>U4048="L001-901905215"</f>
        <v/>
      </c>
      <c r="R4048" s="556">
        <f>G4048-W4048</f>
        <v/>
      </c>
      <c r="S4048" s="523" t="n">
        <v>44190</v>
      </c>
      <c r="T4048" s="522" t="inlineStr">
        <is>
          <t>V0015169</t>
        </is>
      </c>
      <c r="U4048" s="522" t="inlineStr">
        <is>
          <t>L001-901905215</t>
        </is>
      </c>
      <c r="V4048" s="522" t="inlineStr">
        <is>
          <t>វីអ៊ីស៊ិន (ខេមបូឌា) អ៊ិនដាសស្ទ្រី ឯ.ក</t>
        </is>
      </c>
      <c r="W4048" s="556" t="n">
        <v>255353</v>
      </c>
    </row>
    <row r="4049">
      <c r="A4049" s="521" t="n">
        <v>4041</v>
      </c>
      <c r="B4049" s="522" t="n"/>
      <c r="C4049" s="522" t="inlineStr">
        <is>
          <t>ស៊ីងហ្គាពួរ កាតុង (ខេមបូឌា)</t>
        </is>
      </c>
      <c r="D4049" s="522" t="inlineStr">
        <is>
          <t>L001-100121322</t>
        </is>
      </c>
      <c r="E4049" s="521" t="inlineStr">
        <is>
          <t>V0015168</t>
        </is>
      </c>
      <c r="F4049" s="523" t="n">
        <v>44190</v>
      </c>
      <c r="G4049" s="556" t="n">
        <v>235869</v>
      </c>
      <c r="I4049" s="521">
        <f>G4049</f>
        <v/>
      </c>
      <c r="K4049" s="521">
        <f>I4049-G4049</f>
        <v/>
      </c>
      <c r="M4049" s="522" t="inlineStr">
        <is>
          <t>V0015168</t>
        </is>
      </c>
      <c r="N4049" s="522" t="inlineStr">
        <is>
          <t>V0015168</t>
        </is>
      </c>
      <c r="O4049" s="521">
        <f>M4049=N4049</f>
        <v/>
      </c>
      <c r="P4049" s="521">
        <f>AND(MONTH(F4049)=MONTH(S4049), YEAR(F4049)=YEAR(S4049))</f>
        <v/>
      </c>
      <c r="Q4049" s="521">
        <f>U4049="L001-901905215"</f>
        <v/>
      </c>
      <c r="R4049" s="556">
        <f>G4049-W4049</f>
        <v/>
      </c>
      <c r="S4049" s="523" t="n">
        <v>44190</v>
      </c>
      <c r="T4049" s="522" t="inlineStr">
        <is>
          <t>V0015168</t>
        </is>
      </c>
      <c r="U4049" s="522" t="inlineStr">
        <is>
          <t>L001-901905215</t>
        </is>
      </c>
      <c r="V4049" s="522" t="inlineStr">
        <is>
          <t>វីអ៊ីស៊ិន (ខេមបូឌា) អ៊ិនដាសស្ទ្រី ឯ.ក</t>
        </is>
      </c>
      <c r="W4049" s="556" t="n">
        <v>236864</v>
      </c>
    </row>
    <row r="4050">
      <c r="A4050" s="521" t="n">
        <v>4042</v>
      </c>
      <c r="B4050" s="522" t="n"/>
      <c r="C4050" s="522" t="inlineStr">
        <is>
          <t>ស៊ីងហ្គាពួរ កាតុង (ខេមបូឌា)</t>
        </is>
      </c>
      <c r="D4050" s="522" t="inlineStr">
        <is>
          <t>L001-100121322</t>
        </is>
      </c>
      <c r="E4050" s="521" t="inlineStr">
        <is>
          <t>V0015090</t>
        </is>
      </c>
      <c r="F4050" s="523" t="n">
        <v>44181</v>
      </c>
      <c r="G4050" s="556" t="n">
        <v>311998</v>
      </c>
      <c r="I4050" s="521">
        <f>G4050</f>
        <v/>
      </c>
      <c r="K4050" s="521">
        <f>I4050-G4050</f>
        <v/>
      </c>
      <c r="M4050" s="522" t="inlineStr">
        <is>
          <t>V0015090</t>
        </is>
      </c>
      <c r="N4050" s="522" t="inlineStr">
        <is>
          <t>V0015090</t>
        </is>
      </c>
      <c r="O4050" s="521">
        <f>M4050=N4050</f>
        <v/>
      </c>
      <c r="P4050" s="521">
        <f>AND(MONTH(F4050)=MONTH(S4050), YEAR(F4050)=YEAR(S4050))</f>
        <v/>
      </c>
      <c r="Q4050" s="521">
        <f>U4050="L001-901905215"</f>
        <v/>
      </c>
      <c r="R4050" s="556">
        <f>G4050-W4050</f>
        <v/>
      </c>
      <c r="S4050" s="523" t="n">
        <v>44181</v>
      </c>
      <c r="T4050" s="522" t="inlineStr">
        <is>
          <t>V0015090</t>
        </is>
      </c>
      <c r="U4050" s="522" t="inlineStr">
        <is>
          <t>L001-901905215</t>
        </is>
      </c>
      <c r="V4050" s="522" t="inlineStr">
        <is>
          <t>វីអ៊ីស៊ិន (ខេមបូឌា) អ៊ិនដាសស្ទ្រី ឯ.ក</t>
        </is>
      </c>
      <c r="W4050" s="556" t="n">
        <v>312384</v>
      </c>
    </row>
    <row r="4051">
      <c r="A4051" s="521" t="n">
        <v>4043</v>
      </c>
      <c r="B4051" s="522" t="n"/>
      <c r="C4051" s="522" t="inlineStr">
        <is>
          <t>ស៊ីងហ្គាពួរ កាតុង (ខេមបូឌា)</t>
        </is>
      </c>
      <c r="D4051" s="522" t="inlineStr">
        <is>
          <t>L001-100121322</t>
        </is>
      </c>
      <c r="E4051" s="521" t="inlineStr">
        <is>
          <t>V00115057</t>
        </is>
      </c>
      <c r="F4051" s="523" t="n">
        <v>44177</v>
      </c>
      <c r="G4051" s="556" t="n">
        <v>561880</v>
      </c>
      <c r="I4051" s="521">
        <f>G4051</f>
        <v/>
      </c>
      <c r="K4051" s="521">
        <f>I4051-G4051</f>
        <v/>
      </c>
      <c r="M4051" s="522" t="inlineStr">
        <is>
          <t>V00115057</t>
        </is>
      </c>
      <c r="N4051" s="522" t="inlineStr"/>
      <c r="O4051" s="521">
        <f>M4051=N4051</f>
        <v/>
      </c>
      <c r="P4051" s="521">
        <f>AND(MONTH(F4051)=MONTH(S4051), YEAR(F4051)=YEAR(S4051))</f>
        <v/>
      </c>
      <c r="Q4051" s="521">
        <f>U4051="L001-901905215"</f>
        <v/>
      </c>
      <c r="R4051" s="556">
        <f>G4051-W4051</f>
        <v/>
      </c>
      <c r="S4051" s="521" t="n"/>
      <c r="T4051" s="522" t="n"/>
      <c r="U4051" s="522" t="n"/>
      <c r="V4051" s="522" t="n"/>
      <c r="W4051" s="521" t="n"/>
    </row>
    <row r="4052">
      <c r="A4052" s="521" t="n">
        <v>4044</v>
      </c>
      <c r="B4052" s="522" t="n"/>
      <c r="C4052" s="522" t="inlineStr">
        <is>
          <t>ស៊ីងហ្គាពួរ កាតុង (ខេមបូឌា)</t>
        </is>
      </c>
      <c r="D4052" s="522" t="inlineStr">
        <is>
          <t>L001-100121322</t>
        </is>
      </c>
      <c r="E4052" s="521" t="inlineStr">
        <is>
          <t>V00115059</t>
        </is>
      </c>
      <c r="F4052" s="523" t="n">
        <v>44177</v>
      </c>
      <c r="G4052" s="556" t="n">
        <v>477452</v>
      </c>
      <c r="I4052" s="521">
        <f>G4052</f>
        <v/>
      </c>
      <c r="K4052" s="521">
        <f>I4052-G4052</f>
        <v/>
      </c>
      <c r="M4052" s="522" t="inlineStr">
        <is>
          <t>V00115059</t>
        </is>
      </c>
      <c r="N4052" s="522" t="inlineStr"/>
      <c r="O4052" s="521">
        <f>M4052=N4052</f>
        <v/>
      </c>
      <c r="P4052" s="521">
        <f>AND(MONTH(F4052)=MONTH(S4052), YEAR(F4052)=YEAR(S4052))</f>
        <v/>
      </c>
      <c r="Q4052" s="521">
        <f>U4052="L001-901905215"</f>
        <v/>
      </c>
      <c r="R4052" s="556">
        <f>G4052-W4052</f>
        <v/>
      </c>
      <c r="S4052" s="521" t="n"/>
      <c r="T4052" s="522" t="n"/>
      <c r="U4052" s="522" t="n"/>
      <c r="V4052" s="522" t="n"/>
      <c r="W4052" s="521" t="n"/>
    </row>
    <row r="4053">
      <c r="A4053" s="521" t="n">
        <v>4045</v>
      </c>
      <c r="B4053" s="522" t="n"/>
      <c r="C4053" s="522" t="inlineStr">
        <is>
          <t>ស៊ីងហ្គាពួរ កាតុង (ខេមបូឌា)</t>
        </is>
      </c>
      <c r="D4053" s="522" t="inlineStr">
        <is>
          <t>L001-100121322</t>
        </is>
      </c>
      <c r="E4053" s="521" t="inlineStr">
        <is>
          <t>V00115031</t>
        </is>
      </c>
      <c r="F4053" s="523" t="n">
        <v>44173</v>
      </c>
      <c r="G4053" s="556" t="n">
        <v>702396</v>
      </c>
      <c r="I4053" s="521">
        <f>G4053</f>
        <v/>
      </c>
      <c r="K4053" s="521">
        <f>I4053-G4053</f>
        <v/>
      </c>
      <c r="M4053" s="522" t="inlineStr">
        <is>
          <t>V00115031</t>
        </is>
      </c>
      <c r="N4053" s="522" t="inlineStr"/>
      <c r="O4053" s="521">
        <f>M4053=N4053</f>
        <v/>
      </c>
      <c r="P4053" s="521">
        <f>AND(MONTH(F4053)=MONTH(S4053), YEAR(F4053)=YEAR(S4053))</f>
        <v/>
      </c>
      <c r="Q4053" s="521">
        <f>U4053="L001-901905215"</f>
        <v/>
      </c>
      <c r="R4053" s="556">
        <f>G4053-W4053</f>
        <v/>
      </c>
      <c r="S4053" s="521" t="n"/>
      <c r="T4053" s="522" t="n"/>
      <c r="U4053" s="522" t="n"/>
      <c r="V4053" s="522" t="n"/>
      <c r="W4053" s="521" t="n"/>
    </row>
    <row r="4054">
      <c r="A4054" s="521" t="n">
        <v>4046</v>
      </c>
      <c r="B4054" s="522" t="n"/>
      <c r="C4054" s="522" t="inlineStr">
        <is>
          <t>ស៊ីងហ្គាពួរ កាតុង (ខេមបូឌា)</t>
        </is>
      </c>
      <c r="D4054" s="522" t="inlineStr">
        <is>
          <t>L001-100121322</t>
        </is>
      </c>
      <c r="E4054" s="521" t="inlineStr">
        <is>
          <t>V00115026</t>
        </is>
      </c>
      <c r="F4054" s="523" t="n">
        <v>44172</v>
      </c>
      <c r="G4054" s="556" t="n">
        <v>663649</v>
      </c>
      <c r="I4054" s="521">
        <f>G4054</f>
        <v/>
      </c>
      <c r="K4054" s="521">
        <f>I4054-G4054</f>
        <v/>
      </c>
      <c r="M4054" s="522" t="inlineStr">
        <is>
          <t>V00115026</t>
        </is>
      </c>
      <c r="N4054" s="522" t="inlineStr"/>
      <c r="O4054" s="521">
        <f>M4054=N4054</f>
        <v/>
      </c>
      <c r="P4054" s="521">
        <f>AND(MONTH(F4054)=MONTH(S4054), YEAR(F4054)=YEAR(S4054))</f>
        <v/>
      </c>
      <c r="Q4054" s="521">
        <f>U4054="L001-901905215"</f>
        <v/>
      </c>
      <c r="R4054" s="556">
        <f>G4054-W4054</f>
        <v/>
      </c>
      <c r="S4054" s="521" t="n"/>
      <c r="T4054" s="522" t="n"/>
      <c r="U4054" s="522" t="n"/>
      <c r="V4054" s="522" t="n"/>
      <c r="W4054" s="521" t="n"/>
    </row>
    <row r="4055">
      <c r="A4055" s="521" t="n">
        <v>4047</v>
      </c>
      <c r="B4055" s="522" t="n"/>
      <c r="C4055" s="522" t="inlineStr">
        <is>
          <t>ស៊ីងហ្គាពួរ កាតុង (ខេមបូឌា)</t>
        </is>
      </c>
      <c r="D4055" s="522" t="inlineStr">
        <is>
          <t>L001-100121322</t>
        </is>
      </c>
      <c r="E4055" s="521" t="inlineStr">
        <is>
          <t>V00115080</t>
        </is>
      </c>
      <c r="F4055" s="523" t="n">
        <v>44169</v>
      </c>
      <c r="G4055" s="556" t="n">
        <v>230086</v>
      </c>
      <c r="I4055" s="521">
        <f>G4055</f>
        <v/>
      </c>
      <c r="K4055" s="521">
        <f>I4055-G4055</f>
        <v/>
      </c>
      <c r="M4055" s="522" t="inlineStr">
        <is>
          <t>V00115080</t>
        </is>
      </c>
      <c r="N4055" s="522" t="inlineStr"/>
      <c r="O4055" s="521">
        <f>M4055=N4055</f>
        <v/>
      </c>
      <c r="P4055" s="521">
        <f>AND(MONTH(F4055)=MONTH(S4055), YEAR(F4055)=YEAR(S4055))</f>
        <v/>
      </c>
      <c r="Q4055" s="521">
        <f>U4055="L001-901905215"</f>
        <v/>
      </c>
      <c r="R4055" s="556">
        <f>G4055-W4055</f>
        <v/>
      </c>
      <c r="S4055" s="521" t="n"/>
      <c r="T4055" s="522" t="n"/>
      <c r="U4055" s="522" t="n"/>
      <c r="V4055" s="522" t="n"/>
      <c r="W4055" s="521" t="n"/>
    </row>
    <row r="4056">
      <c r="A4056" s="521" t="n">
        <v>4048</v>
      </c>
      <c r="B4056" s="522" t="n"/>
      <c r="C4056" s="522" t="inlineStr">
        <is>
          <t>ស៊ីងហ្គាពួរ កាតុង (ខេមបូឌា)</t>
        </is>
      </c>
      <c r="D4056" s="522" t="inlineStr">
        <is>
          <t>L001-100121322</t>
        </is>
      </c>
      <c r="E4056" s="521" t="inlineStr">
        <is>
          <t>V0014991</t>
        </is>
      </c>
      <c r="F4056" s="523" t="n">
        <v>44168</v>
      </c>
      <c r="G4056" s="556" t="n">
        <v>690849</v>
      </c>
      <c r="I4056" s="521">
        <f>G4056</f>
        <v/>
      </c>
      <c r="K4056" s="521">
        <f>I4056-G4056</f>
        <v/>
      </c>
      <c r="M4056" s="522" t="inlineStr">
        <is>
          <t>V0014991</t>
        </is>
      </c>
      <c r="N4056" s="522" t="inlineStr">
        <is>
          <t>V0014991</t>
        </is>
      </c>
      <c r="O4056" s="521">
        <f>M4056=N4056</f>
        <v/>
      </c>
      <c r="P4056" s="521">
        <f>AND(MONTH(F4056)=MONTH(S4056), YEAR(F4056)=YEAR(S4056))</f>
        <v/>
      </c>
      <c r="Q4056" s="521">
        <f>U4056="L001-901905215"</f>
        <v/>
      </c>
      <c r="R4056" s="556">
        <f>G4056-W4056</f>
        <v/>
      </c>
      <c r="S4056" s="523" t="n">
        <v>44168</v>
      </c>
      <c r="T4056" s="522" t="inlineStr">
        <is>
          <t>V0014991</t>
        </is>
      </c>
      <c r="U4056" s="522" t="inlineStr">
        <is>
          <t>L001-901905215</t>
        </is>
      </c>
      <c r="V4056" s="522" t="inlineStr">
        <is>
          <t>វីអ៊ីស៊ិន (ខេមបូឌា) អ៊ិនដាសស្ទ្រី ឯ.ក</t>
        </is>
      </c>
      <c r="W4056" s="556" t="n">
        <v>689996</v>
      </c>
    </row>
    <row r="4057">
      <c r="A4057" s="521" t="n">
        <v>4049</v>
      </c>
      <c r="B4057" s="522" t="n"/>
      <c r="C4057" s="522" t="inlineStr">
        <is>
          <t>ស៊ីងហ្គាពួរ កាតុង (ខេមបូឌា)</t>
        </is>
      </c>
      <c r="D4057" s="522" t="inlineStr">
        <is>
          <t>L001-100121322</t>
        </is>
      </c>
      <c r="E4057" s="521" t="inlineStr">
        <is>
          <t>V0014989</t>
        </is>
      </c>
      <c r="F4057" s="523" t="n">
        <v>44167</v>
      </c>
      <c r="G4057" s="556" t="n">
        <v>696924</v>
      </c>
      <c r="I4057" s="521">
        <f>G4057</f>
        <v/>
      </c>
      <c r="K4057" s="521">
        <f>I4057-G4057</f>
        <v/>
      </c>
      <c r="M4057" s="522" t="inlineStr">
        <is>
          <t>V0014989</t>
        </is>
      </c>
      <c r="N4057" s="522" t="inlineStr">
        <is>
          <t>V0014989</t>
        </is>
      </c>
      <c r="O4057" s="521">
        <f>M4057=N4057</f>
        <v/>
      </c>
      <c r="P4057" s="521">
        <f>AND(MONTH(F4057)=MONTH(S4057), YEAR(F4057)=YEAR(S4057))</f>
        <v/>
      </c>
      <c r="Q4057" s="521">
        <f>U4057="L001-901905215"</f>
        <v/>
      </c>
      <c r="R4057" s="556">
        <f>G4057-W4057</f>
        <v/>
      </c>
      <c r="S4057" s="523" t="n">
        <v>44167</v>
      </c>
      <c r="T4057" s="522" t="inlineStr">
        <is>
          <t>V0014989</t>
        </is>
      </c>
      <c r="U4057" s="522" t="inlineStr">
        <is>
          <t>L001-901905215</t>
        </is>
      </c>
      <c r="V4057" s="522" t="inlineStr">
        <is>
          <t>វីអ៊ីស៊ិន (ខេមបូឌា) អ៊ិនដាសស្ទ្រី ឯ.ក</t>
        </is>
      </c>
      <c r="W4057" s="556" t="n">
        <v>696064</v>
      </c>
    </row>
    <row r="4058">
      <c r="A4058" s="521" t="n">
        <v>4050</v>
      </c>
      <c r="B4058" s="522" t="n"/>
      <c r="C4058" s="522" t="inlineStr">
        <is>
          <t>ស៊ីងហ្គាពួរ កាតុង (ខេមបូឌា)</t>
        </is>
      </c>
      <c r="D4058" s="522" t="inlineStr">
        <is>
          <t>L001-100121322</t>
        </is>
      </c>
      <c r="E4058" s="521" t="inlineStr">
        <is>
          <t>V0014988</t>
        </is>
      </c>
      <c r="F4058" s="523" t="n">
        <v>44167</v>
      </c>
      <c r="G4058" s="556" t="n">
        <v>53990</v>
      </c>
      <c r="I4058" s="521">
        <f>G4058</f>
        <v/>
      </c>
      <c r="K4058" s="521">
        <f>I4058-G4058</f>
        <v/>
      </c>
      <c r="M4058" s="522" t="inlineStr">
        <is>
          <t>V0014988</t>
        </is>
      </c>
      <c r="N4058" s="522" t="inlineStr">
        <is>
          <t>V0014988</t>
        </is>
      </c>
      <c r="O4058" s="521">
        <f>M4058=N4058</f>
        <v/>
      </c>
      <c r="P4058" s="521">
        <f>AND(MONTH(F4058)=MONTH(S4058), YEAR(F4058)=YEAR(S4058))</f>
        <v/>
      </c>
      <c r="Q4058" s="521">
        <f>U4058="L001-901905215"</f>
        <v/>
      </c>
      <c r="R4058" s="556">
        <f>G4058-W4058</f>
        <v/>
      </c>
      <c r="S4058" s="523" t="n">
        <v>44167</v>
      </c>
      <c r="T4058" s="522" t="inlineStr">
        <is>
          <t>V0014988</t>
        </is>
      </c>
      <c r="U4058" s="522" t="inlineStr">
        <is>
          <t>L001-901905215</t>
        </is>
      </c>
      <c r="V4058" s="522" t="inlineStr">
        <is>
          <t>វីអ៊ីស៊ិន (ខេមបូឌា) អ៊ិនដាសស្ទ្រី ឯ.ក</t>
        </is>
      </c>
      <c r="W4058" s="556" t="n">
        <v>53924</v>
      </c>
    </row>
    <row r="4059">
      <c r="A4059" s="521" t="n">
        <v>4051</v>
      </c>
      <c r="B4059" s="522" t="n"/>
      <c r="C4059" s="522" t="inlineStr">
        <is>
          <t>ស៊ីងហ្គាពួរ កាតុង (ខេមបូឌា)</t>
        </is>
      </c>
      <c r="D4059" s="522" t="inlineStr">
        <is>
          <t>L001-100121322</t>
        </is>
      </c>
      <c r="E4059" s="521" t="inlineStr">
        <is>
          <t>V0014987</t>
        </is>
      </c>
      <c r="F4059" s="523" t="n">
        <v>44167</v>
      </c>
      <c r="G4059" s="556" t="n">
        <v>3775</v>
      </c>
      <c r="I4059" s="521">
        <f>G4059</f>
        <v/>
      </c>
      <c r="K4059" s="521">
        <f>I4059-G4059</f>
        <v/>
      </c>
      <c r="M4059" s="522" t="inlineStr">
        <is>
          <t>V0014987</t>
        </is>
      </c>
      <c r="N4059" s="522" t="inlineStr">
        <is>
          <t>V0014987</t>
        </is>
      </c>
      <c r="O4059" s="521">
        <f>M4059=N4059</f>
        <v/>
      </c>
      <c r="P4059" s="521">
        <f>AND(MONTH(F4059)=MONTH(S4059), YEAR(F4059)=YEAR(S4059))</f>
        <v/>
      </c>
      <c r="Q4059" s="521">
        <f>U4059="L001-901905215"</f>
        <v/>
      </c>
      <c r="R4059" s="556">
        <f>G4059-W4059</f>
        <v/>
      </c>
      <c r="S4059" s="523" t="n">
        <v>44167</v>
      </c>
      <c r="T4059" s="522" t="inlineStr">
        <is>
          <t>V0014987</t>
        </is>
      </c>
      <c r="U4059" s="522" t="inlineStr">
        <is>
          <t>L001-901905215</t>
        </is>
      </c>
      <c r="V4059" s="522" t="inlineStr">
        <is>
          <t>វីអ៊ីស៊ិន (ខេមបូឌា) អ៊ិនដាសស្ទ្រី ឯ.ក</t>
        </is>
      </c>
      <c r="W4059" s="556" t="n">
        <v>3769</v>
      </c>
    </row>
    <row r="4060">
      <c r="A4060" s="521" t="n">
        <v>4052</v>
      </c>
      <c r="B4060" s="522" t="n"/>
      <c r="C4060" s="522" t="inlineStr">
        <is>
          <t>ស៊ីងហ្គាពួរ កាតុង (ខេមបូឌា)</t>
        </is>
      </c>
      <c r="D4060" s="522" t="inlineStr">
        <is>
          <t>L001-100121322</t>
        </is>
      </c>
      <c r="E4060" s="521" t="inlineStr">
        <is>
          <t>V0014986</t>
        </is>
      </c>
      <c r="F4060" s="523" t="n">
        <v>44167</v>
      </c>
      <c r="G4060" s="556" t="n">
        <v>5514</v>
      </c>
      <c r="I4060" s="521">
        <f>G4060</f>
        <v/>
      </c>
      <c r="K4060" s="521">
        <f>I4060-G4060</f>
        <v/>
      </c>
      <c r="M4060" s="522" t="inlineStr">
        <is>
          <t>V0014986</t>
        </is>
      </c>
      <c r="N4060" s="522" t="inlineStr">
        <is>
          <t>V0014986</t>
        </is>
      </c>
      <c r="O4060" s="521">
        <f>M4060=N4060</f>
        <v/>
      </c>
      <c r="P4060" s="521">
        <f>AND(MONTH(F4060)=MONTH(S4060), YEAR(F4060)=YEAR(S4060))</f>
        <v/>
      </c>
      <c r="Q4060" s="521">
        <f>U4060="L001-901905215"</f>
        <v/>
      </c>
      <c r="R4060" s="556">
        <f>G4060-W4060</f>
        <v/>
      </c>
      <c r="S4060" s="523" t="n">
        <v>44167</v>
      </c>
      <c r="T4060" s="522" t="inlineStr">
        <is>
          <t>V0014986</t>
        </is>
      </c>
      <c r="U4060" s="522" t="inlineStr">
        <is>
          <t>L001-901905215</t>
        </is>
      </c>
      <c r="V4060" s="522" t="inlineStr">
        <is>
          <t>វីអ៊ីស៊ិន (ខេមបូឌា) អ៊ិនដាសស្ទ្រី ឯ.ក</t>
        </is>
      </c>
      <c r="W4060" s="556" t="n">
        <v>5509</v>
      </c>
    </row>
    <row r="4061">
      <c r="A4061" s="521" t="n">
        <v>4053</v>
      </c>
      <c r="B4061" s="522" t="n"/>
      <c r="C4061" s="522" t="inlineStr">
        <is>
          <t>ស៊ីងហ្គាពួរ កាតុង (ខេមបូឌា)</t>
        </is>
      </c>
      <c r="D4061" s="522" t="inlineStr">
        <is>
          <t>L001-100121322</t>
        </is>
      </c>
      <c r="E4061" s="521" t="inlineStr">
        <is>
          <t>V0014985</t>
        </is>
      </c>
      <c r="F4061" s="523" t="n">
        <v>44167</v>
      </c>
      <c r="G4061" s="556" t="n">
        <v>638847</v>
      </c>
      <c r="I4061" s="521">
        <f>G4061</f>
        <v/>
      </c>
      <c r="K4061" s="521">
        <f>I4061-G4061</f>
        <v/>
      </c>
      <c r="M4061" s="522" t="inlineStr">
        <is>
          <t>V0014985</t>
        </is>
      </c>
      <c r="N4061" s="522" t="inlineStr">
        <is>
          <t>V0014985</t>
        </is>
      </c>
      <c r="O4061" s="521">
        <f>M4061=N4061</f>
        <v/>
      </c>
      <c r="P4061" s="521">
        <f>AND(MONTH(F4061)=MONTH(S4061), YEAR(F4061)=YEAR(S4061))</f>
        <v/>
      </c>
      <c r="Q4061" s="521">
        <f>U4061="L001-901905215"</f>
        <v/>
      </c>
      <c r="R4061" s="556">
        <f>G4061-W4061</f>
        <v/>
      </c>
      <c r="S4061" s="523" t="n">
        <v>44167</v>
      </c>
      <c r="T4061" s="522" t="inlineStr">
        <is>
          <t>V0014985</t>
        </is>
      </c>
      <c r="U4061" s="522" t="inlineStr">
        <is>
          <t>L001-901905215</t>
        </is>
      </c>
      <c r="V4061" s="522" t="inlineStr">
        <is>
          <t>វីអ៊ីស៊ិន (ខេមបូឌា) អ៊ិនដាសស្ទ្រី ឯ.ក</t>
        </is>
      </c>
      <c r="W4061" s="556" t="n">
        <v>638058</v>
      </c>
    </row>
    <row r="4062">
      <c r="A4062" s="521" t="n">
        <v>4054</v>
      </c>
      <c r="B4062" s="522" t="n"/>
      <c r="C4062" s="522" t="inlineStr">
        <is>
          <t>ហូលី ហ្គោលដេន (ខេមបូឌា) ត្រេឌីង ឯ.ក</t>
        </is>
      </c>
      <c r="D4062" s="522" t="inlineStr">
        <is>
          <t>K005-901909270</t>
        </is>
      </c>
      <c r="E4062" s="521" t="inlineStr">
        <is>
          <t>00659</t>
        </is>
      </c>
      <c r="F4062" s="523" t="n">
        <v>44173</v>
      </c>
      <c r="G4062" s="556" t="n">
        <v>1337160</v>
      </c>
      <c r="I4062" s="521">
        <f>G4062</f>
        <v/>
      </c>
      <c r="K4062" s="521">
        <f>I4062-G4062</f>
        <v/>
      </c>
      <c r="M4062" s="522" t="inlineStr">
        <is>
          <t>00659</t>
        </is>
      </c>
      <c r="N4062" s="522" t="inlineStr"/>
      <c r="O4062" s="521">
        <f>M4062=N4062</f>
        <v/>
      </c>
      <c r="P4062" s="521">
        <f>AND(MONTH(F4062)=MONTH(S4062), YEAR(F4062)=YEAR(S4062))</f>
        <v/>
      </c>
      <c r="Q4062" s="521">
        <f>U4062="L001-901905215"</f>
        <v/>
      </c>
      <c r="R4062" s="556">
        <f>G4062-W4062</f>
        <v/>
      </c>
      <c r="S4062" s="521" t="n"/>
      <c r="T4062" s="522" t="n"/>
      <c r="U4062" s="522" t="n"/>
      <c r="V4062" s="522" t="n"/>
      <c r="W4062" s="521" t="n"/>
    </row>
    <row r="4063">
      <c r="A4063" s="521" t="n">
        <v>4055</v>
      </c>
      <c r="B4063" s="522" t="n"/>
      <c r="C4063" s="522" t="inlineStr">
        <is>
          <t>ដុងគ័ន ស៊ីធី ហ្វាញស្តារ ព្រីនធីង (ខេមបូឌា)</t>
        </is>
      </c>
      <c r="D4063" s="522" t="inlineStr">
        <is>
          <t>L001-100193021</t>
        </is>
      </c>
      <c r="E4063" s="521" t="inlineStr">
        <is>
          <t>0001134</t>
        </is>
      </c>
      <c r="F4063" s="523" t="n">
        <v>44196</v>
      </c>
      <c r="G4063" s="556" t="n">
        <v>19254833</v>
      </c>
      <c r="I4063" s="521">
        <f>G4063</f>
        <v/>
      </c>
      <c r="K4063" s="521">
        <f>I4063-G4063</f>
        <v/>
      </c>
      <c r="M4063" s="522" t="inlineStr">
        <is>
          <t>0001134</t>
        </is>
      </c>
      <c r="N4063" s="522" t="inlineStr"/>
      <c r="O4063" s="521">
        <f>M4063=N4063</f>
        <v/>
      </c>
      <c r="P4063" s="521">
        <f>AND(MONTH(F4063)=MONTH(S4063), YEAR(F4063)=YEAR(S4063))</f>
        <v/>
      </c>
      <c r="Q4063" s="521">
        <f>U4063="L001-901905215"</f>
        <v/>
      </c>
      <c r="R4063" s="556">
        <f>G4063-W4063</f>
        <v/>
      </c>
      <c r="S4063" s="521" t="n"/>
      <c r="T4063" s="522" t="n"/>
      <c r="U4063" s="522" t="n"/>
      <c r="V4063" s="522" t="n"/>
      <c r="W4063" s="521" t="n"/>
    </row>
    <row r="4064">
      <c r="A4064" s="521" t="n">
        <v>4056</v>
      </c>
      <c r="B4064" s="522" t="n"/>
      <c r="C4064" s="522" t="inlineStr">
        <is>
          <t>ឌី អេច អិល អិចប្រេស (ខេមបូឌា)</t>
        </is>
      </c>
      <c r="D4064" s="522" t="inlineStr">
        <is>
          <t>L001-100045197</t>
        </is>
      </c>
      <c r="E4064" s="521" t="inlineStr">
        <is>
          <t>PNHR000365863</t>
        </is>
      </c>
      <c r="F4064" s="523" t="n">
        <v>44196</v>
      </c>
      <c r="G4064" s="556" t="n">
        <v>32473</v>
      </c>
      <c r="I4064" s="521">
        <f>G4064</f>
        <v/>
      </c>
      <c r="K4064" s="521">
        <f>I4064-G4064</f>
        <v/>
      </c>
      <c r="M4064" s="522" t="inlineStr">
        <is>
          <t>PNHR000365863</t>
        </is>
      </c>
      <c r="N4064" s="522" t="inlineStr"/>
      <c r="O4064" s="521">
        <f>M4064=N4064</f>
        <v/>
      </c>
      <c r="P4064" s="521">
        <f>AND(MONTH(F4064)=MONTH(S4064), YEAR(F4064)=YEAR(S4064))</f>
        <v/>
      </c>
      <c r="Q4064" s="521">
        <f>U4064="L001-901905215"</f>
        <v/>
      </c>
      <c r="R4064" s="556">
        <f>G4064-W4064</f>
        <v/>
      </c>
      <c r="S4064" s="521" t="n"/>
      <c r="T4064" s="522" t="n"/>
      <c r="U4064" s="522" t="n"/>
      <c r="V4064" s="522" t="n"/>
      <c r="W4064" s="521" t="n"/>
    </row>
    <row r="4065">
      <c r="A4065" s="521" t="n">
        <v>4057</v>
      </c>
      <c r="B4065" s="522" t="n"/>
      <c r="C4065" s="522" t="inlineStr">
        <is>
          <t>ឌី អេច អិល អិចប្រេស (ខេមបូឌា)</t>
        </is>
      </c>
      <c r="D4065" s="522" t="inlineStr">
        <is>
          <t>L001-100045197</t>
        </is>
      </c>
      <c r="E4065" s="521" t="inlineStr">
        <is>
          <t>PNHIR00104335</t>
        </is>
      </c>
      <c r="F4065" s="523" t="n">
        <v>44196</v>
      </c>
      <c r="G4065" s="556" t="n">
        <v>615</v>
      </c>
      <c r="I4065" s="521">
        <f>G4065</f>
        <v/>
      </c>
      <c r="K4065" s="521">
        <f>I4065-G4065</f>
        <v/>
      </c>
      <c r="M4065" s="522" t="inlineStr">
        <is>
          <t>PNHIR00104335</t>
        </is>
      </c>
      <c r="N4065" s="522" t="inlineStr"/>
      <c r="O4065" s="521">
        <f>M4065=N4065</f>
        <v/>
      </c>
      <c r="P4065" s="521">
        <f>AND(MONTH(F4065)=MONTH(S4065), YEAR(F4065)=YEAR(S4065))</f>
        <v/>
      </c>
      <c r="Q4065" s="521">
        <f>U4065="L001-901905215"</f>
        <v/>
      </c>
      <c r="R4065" s="556">
        <f>G4065-W4065</f>
        <v/>
      </c>
      <c r="S4065" s="521" t="n"/>
      <c r="T4065" s="522" t="n"/>
      <c r="U4065" s="522" t="n"/>
      <c r="V4065" s="522" t="n"/>
      <c r="W4065" s="521" t="n"/>
    </row>
    <row r="4066">
      <c r="A4066" s="521" t="n">
        <v>4058</v>
      </c>
      <c r="B4066" s="522" t="n"/>
      <c r="C4066" s="522" t="inlineStr">
        <is>
          <t>ឌី អេច អិល អិចប្រេស (ខេមបូឌា)</t>
        </is>
      </c>
      <c r="D4066" s="522" t="inlineStr">
        <is>
          <t>L001-100045197</t>
        </is>
      </c>
      <c r="E4066" s="521" t="inlineStr">
        <is>
          <t>PNHR000362846</t>
        </is>
      </c>
      <c r="F4066" s="523" t="n">
        <v>44175</v>
      </c>
      <c r="G4066" s="556" t="n">
        <v>30995</v>
      </c>
      <c r="I4066" s="521">
        <f>G4066</f>
        <v/>
      </c>
      <c r="K4066" s="521">
        <f>I4066-G4066</f>
        <v/>
      </c>
      <c r="M4066" s="522" t="inlineStr">
        <is>
          <t>PNHR000362846</t>
        </is>
      </c>
      <c r="N4066" s="522" t="inlineStr"/>
      <c r="O4066" s="521">
        <f>M4066=N4066</f>
        <v/>
      </c>
      <c r="P4066" s="521">
        <f>AND(MONTH(F4066)=MONTH(S4066), YEAR(F4066)=YEAR(S4066))</f>
        <v/>
      </c>
      <c r="Q4066" s="521">
        <f>U4066="L001-901905215"</f>
        <v/>
      </c>
      <c r="R4066" s="556">
        <f>G4066-W4066</f>
        <v/>
      </c>
      <c r="S4066" s="521" t="n"/>
      <c r="T4066" s="522" t="n"/>
      <c r="U4066" s="522" t="n"/>
      <c r="V4066" s="522" t="n"/>
      <c r="W4066" s="521" t="n"/>
    </row>
    <row r="4067">
      <c r="A4067" s="521" t="n">
        <v>4059</v>
      </c>
      <c r="B4067" s="522" t="n"/>
      <c r="C4067" s="522" t="inlineStr">
        <is>
          <t>ឌី អេច អិល អិចប្រេស (ខេមបូឌា)</t>
        </is>
      </c>
      <c r="D4067" s="522" t="inlineStr">
        <is>
          <t>L001-100045197</t>
        </is>
      </c>
      <c r="E4067" s="521" t="inlineStr">
        <is>
          <t>PNHR000363938</t>
        </is>
      </c>
      <c r="F4067" s="523" t="n">
        <v>44182</v>
      </c>
      <c r="G4067" s="556" t="n">
        <v>174104</v>
      </c>
      <c r="I4067" s="521">
        <f>G4067</f>
        <v/>
      </c>
      <c r="K4067" s="521">
        <f>I4067-G4067</f>
        <v/>
      </c>
      <c r="M4067" s="522" t="inlineStr">
        <is>
          <t>PNHR000363938</t>
        </is>
      </c>
      <c r="N4067" s="522" t="inlineStr"/>
      <c r="O4067" s="521">
        <f>M4067=N4067</f>
        <v/>
      </c>
      <c r="P4067" s="521">
        <f>AND(MONTH(F4067)=MONTH(S4067), YEAR(F4067)=YEAR(S4067))</f>
        <v/>
      </c>
      <c r="Q4067" s="521">
        <f>U4067="L001-901905215"</f>
        <v/>
      </c>
      <c r="R4067" s="556">
        <f>G4067-W4067</f>
        <v/>
      </c>
      <c r="S4067" s="521" t="n"/>
      <c r="T4067" s="522" t="n"/>
      <c r="U4067" s="522" t="n"/>
      <c r="V4067" s="522" t="n"/>
      <c r="W4067" s="521" t="n"/>
    </row>
    <row r="4068">
      <c r="A4068" s="521" t="n">
        <v>4060</v>
      </c>
      <c r="B4068" s="522" t="n"/>
      <c r="C4068" s="522" t="inlineStr">
        <is>
          <t>ឌី អេច អិល អិចប្រេស (ខេមបូឌា)</t>
        </is>
      </c>
      <c r="D4068" s="522" t="inlineStr">
        <is>
          <t>L001-100045197</t>
        </is>
      </c>
      <c r="E4068" s="521" t="inlineStr">
        <is>
          <t>PNHIR001103838</t>
        </is>
      </c>
      <c r="F4068" s="523" t="n">
        <v>44181</v>
      </c>
      <c r="G4068" s="556" t="n">
        <v>615</v>
      </c>
      <c r="I4068" s="521">
        <f>G4068</f>
        <v/>
      </c>
      <c r="K4068" s="521">
        <f>I4068-G4068</f>
        <v/>
      </c>
      <c r="M4068" s="522" t="inlineStr">
        <is>
          <t>PNHIR001103838</t>
        </is>
      </c>
      <c r="N4068" s="522" t="inlineStr"/>
      <c r="O4068" s="521">
        <f>M4068=N4068</f>
        <v/>
      </c>
      <c r="P4068" s="521">
        <f>AND(MONTH(F4068)=MONTH(S4068), YEAR(F4068)=YEAR(S4068))</f>
        <v/>
      </c>
      <c r="Q4068" s="521">
        <f>U4068="L001-901905215"</f>
        <v/>
      </c>
      <c r="R4068" s="556">
        <f>G4068-W4068</f>
        <v/>
      </c>
      <c r="S4068" s="521" t="n"/>
      <c r="T4068" s="522" t="n"/>
      <c r="U4068" s="522" t="n"/>
      <c r="V4068" s="522" t="n"/>
      <c r="W4068" s="521" t="n"/>
    </row>
    <row r="4069">
      <c r="A4069" s="521" t="n">
        <v>4061</v>
      </c>
      <c r="B4069" s="522" t="n"/>
      <c r="C4069" s="522" t="inlineStr">
        <is>
          <t>ឆាយ ដា ឡូយីស្ទីក</t>
        </is>
      </c>
      <c r="D4069" s="522" t="inlineStr">
        <is>
          <t>L001-100063098</t>
        </is>
      </c>
      <c r="E4069" s="521" t="inlineStr">
        <is>
          <t>2012011639</t>
        </is>
      </c>
      <c r="F4069" s="523" t="n">
        <v>44186</v>
      </c>
      <c r="G4069" s="556" t="n">
        <v>179287</v>
      </c>
      <c r="I4069" s="521">
        <f>G4069</f>
        <v/>
      </c>
      <c r="K4069" s="521">
        <f>I4069-G4069</f>
        <v/>
      </c>
      <c r="M4069" s="522" t="inlineStr">
        <is>
          <t>2012011639</t>
        </is>
      </c>
      <c r="N4069" s="522" t="inlineStr">
        <is>
          <t>2012011639</t>
        </is>
      </c>
      <c r="O4069" s="521">
        <f>M4069=N4069</f>
        <v/>
      </c>
      <c r="P4069" s="521">
        <f>AND(MONTH(F4069)=MONTH(S4069), YEAR(F4069)=YEAR(S4069))</f>
        <v/>
      </c>
      <c r="Q4069" s="521">
        <f>U4069="L001-901905215"</f>
        <v/>
      </c>
      <c r="R4069" s="556">
        <f>G4069-W4069</f>
        <v/>
      </c>
      <c r="S4069" s="523" t="n">
        <v>44186</v>
      </c>
      <c r="T4069" s="522" t="inlineStr">
        <is>
          <t>2012011639</t>
        </is>
      </c>
      <c r="U4069" s="522" t="inlineStr">
        <is>
          <t>L001-901905215</t>
        </is>
      </c>
      <c r="V4069" s="522" t="inlineStr">
        <is>
          <t>វីអ៊ីស៊ិន (ខេមបូឌា) អ៊ិនដាសស្ទ្រី ឯ.ក</t>
        </is>
      </c>
      <c r="W4069" s="556" t="n">
        <v>179287</v>
      </c>
    </row>
    <row r="4070">
      <c r="A4070" s="521" t="n">
        <v>4062</v>
      </c>
      <c r="B4070" s="522" t="n"/>
      <c r="C4070" s="522" t="inlineStr">
        <is>
          <t>ឆាយ ដា ឡូយីស្ទីក</t>
        </is>
      </c>
      <c r="D4070" s="522" t="inlineStr">
        <is>
          <t>L001-100063098</t>
        </is>
      </c>
      <c r="E4070" s="521" t="inlineStr">
        <is>
          <t>2012011634</t>
        </is>
      </c>
      <c r="F4070" s="523" t="n">
        <v>44186</v>
      </c>
      <c r="G4070" s="556" t="n">
        <v>292351</v>
      </c>
      <c r="I4070" s="521">
        <f>G4070</f>
        <v/>
      </c>
      <c r="K4070" s="521">
        <f>I4070-G4070</f>
        <v/>
      </c>
      <c r="M4070" s="522" t="inlineStr">
        <is>
          <t>2012011634</t>
        </is>
      </c>
      <c r="N4070" s="522" t="inlineStr">
        <is>
          <t>2012011634</t>
        </is>
      </c>
      <c r="O4070" s="521">
        <f>M4070=N4070</f>
        <v/>
      </c>
      <c r="P4070" s="521">
        <f>AND(MONTH(F4070)=MONTH(S4070), YEAR(F4070)=YEAR(S4070))</f>
        <v/>
      </c>
      <c r="Q4070" s="521">
        <f>U4070="L001-901905215"</f>
        <v/>
      </c>
      <c r="R4070" s="556">
        <f>G4070-W4070</f>
        <v/>
      </c>
      <c r="S4070" s="523" t="n">
        <v>44186</v>
      </c>
      <c r="T4070" s="522" t="inlineStr">
        <is>
          <t>2012011634</t>
        </is>
      </c>
      <c r="U4070" s="522" t="inlineStr">
        <is>
          <t>L001-901905215</t>
        </is>
      </c>
      <c r="V4070" s="522" t="inlineStr">
        <is>
          <t>វីអ៊ីស៊ិន (ខេមបូឌា) អ៊ិនដាសស្ទ្រី ឯ.ក</t>
        </is>
      </c>
      <c r="W4070" s="556" t="n">
        <v>292351</v>
      </c>
    </row>
    <row r="4071">
      <c r="A4071" s="521" t="n">
        <v>4063</v>
      </c>
      <c r="B4071" s="522" t="n"/>
      <c r="C4071" s="522" t="inlineStr">
        <is>
          <t>ប្យួរ៉ូ វេរីតាស (ខេមបូឌា) លីមីធីត</t>
        </is>
      </c>
      <c r="D4071" s="522" t="inlineStr">
        <is>
          <t>L001-107024462</t>
        </is>
      </c>
      <c r="E4071" s="521" t="inlineStr">
        <is>
          <t>59009434</t>
        </is>
      </c>
      <c r="F4071" s="523" t="n">
        <v>44196</v>
      </c>
      <c r="G4071" s="556" t="n">
        <v>219158</v>
      </c>
      <c r="I4071" s="521">
        <f>G4071</f>
        <v/>
      </c>
      <c r="K4071" s="521">
        <f>I4071-G4071</f>
        <v/>
      </c>
      <c r="M4071" s="522" t="inlineStr">
        <is>
          <t>59009434</t>
        </is>
      </c>
      <c r="N4071" s="522" t="inlineStr"/>
      <c r="O4071" s="521">
        <f>M4071=N4071</f>
        <v/>
      </c>
      <c r="P4071" s="521">
        <f>AND(MONTH(F4071)=MONTH(S4071), YEAR(F4071)=YEAR(S4071))</f>
        <v/>
      </c>
      <c r="Q4071" s="521">
        <f>U4071="L001-901905215"</f>
        <v/>
      </c>
      <c r="R4071" s="556">
        <f>G4071-W4071</f>
        <v/>
      </c>
      <c r="S4071" s="521" t="n"/>
      <c r="T4071" s="522" t="n"/>
      <c r="U4071" s="522" t="n"/>
      <c r="V4071" s="522" t="n"/>
      <c r="W4071" s="521" t="n"/>
    </row>
    <row r="4072">
      <c r="A4072" s="521" t="n">
        <v>4064</v>
      </c>
      <c r="B4072" s="522" t="n"/>
      <c r="C4072" s="522" t="inlineStr">
        <is>
          <t>ប្យួរ៉ូ វេរីតាស (ខេមបូឌា) លីមីធីត</t>
        </is>
      </c>
      <c r="D4072" s="522" t="inlineStr">
        <is>
          <t>L001-107024462</t>
        </is>
      </c>
      <c r="E4072" s="521" t="inlineStr">
        <is>
          <t>59009432</t>
        </is>
      </c>
      <c r="F4072" s="523" t="n">
        <v>44196</v>
      </c>
      <c r="G4072" s="556" t="n">
        <v>94432</v>
      </c>
      <c r="I4072" s="521">
        <f>G4072</f>
        <v/>
      </c>
      <c r="K4072" s="521">
        <f>I4072-G4072</f>
        <v/>
      </c>
      <c r="M4072" s="522" t="inlineStr">
        <is>
          <t>59009432</t>
        </is>
      </c>
      <c r="N4072" s="522" t="inlineStr"/>
      <c r="O4072" s="521">
        <f>M4072=N4072</f>
        <v/>
      </c>
      <c r="P4072" s="521">
        <f>AND(MONTH(F4072)=MONTH(S4072), YEAR(F4072)=YEAR(S4072))</f>
        <v/>
      </c>
      <c r="Q4072" s="521">
        <f>U4072="L001-901905215"</f>
        <v/>
      </c>
      <c r="R4072" s="556">
        <f>G4072-W4072</f>
        <v/>
      </c>
      <c r="S4072" s="521" t="n"/>
      <c r="T4072" s="522" t="n"/>
      <c r="U4072" s="522" t="n"/>
      <c r="V4072" s="522" t="n"/>
      <c r="W4072" s="521" t="n"/>
    </row>
    <row r="4073">
      <c r="A4073" s="521" t="n">
        <v>4065</v>
      </c>
      <c r="B4073" s="522" t="n"/>
      <c r="C4073" s="522" t="inlineStr">
        <is>
          <t>ប្យួរ៉ូ វេរីតាស (ខេមបូឌា) លីមីធីត</t>
        </is>
      </c>
      <c r="D4073" s="522" t="inlineStr">
        <is>
          <t>L001-107024462</t>
        </is>
      </c>
      <c r="E4073" s="521" t="inlineStr">
        <is>
          <t>59009426</t>
        </is>
      </c>
      <c r="F4073" s="523" t="n">
        <v>44196</v>
      </c>
      <c r="G4073" s="556" t="n">
        <v>164370</v>
      </c>
      <c r="I4073" s="521">
        <f>G4073</f>
        <v/>
      </c>
      <c r="K4073" s="521">
        <f>I4073-G4073</f>
        <v/>
      </c>
      <c r="M4073" s="522" t="inlineStr">
        <is>
          <t>59009426</t>
        </is>
      </c>
      <c r="N4073" s="522" t="inlineStr"/>
      <c r="O4073" s="521">
        <f>M4073=N4073</f>
        <v/>
      </c>
      <c r="P4073" s="521">
        <f>AND(MONTH(F4073)=MONTH(S4073), YEAR(F4073)=YEAR(S4073))</f>
        <v/>
      </c>
      <c r="Q4073" s="521">
        <f>U4073="L001-901905215"</f>
        <v/>
      </c>
      <c r="R4073" s="556">
        <f>G4073-W4073</f>
        <v/>
      </c>
      <c r="S4073" s="521" t="n"/>
      <c r="T4073" s="522" t="n"/>
      <c r="U4073" s="522" t="n"/>
      <c r="V4073" s="522" t="n"/>
      <c r="W4073" s="521" t="n"/>
    </row>
    <row r="4074">
      <c r="A4074" s="521" t="n">
        <v>4066</v>
      </c>
      <c r="B4074" s="522" t="n"/>
      <c r="C4074" s="522" t="inlineStr">
        <is>
          <t>ប្យួរ៉ូ វេរីតាស (ខេមបូឌា) លីមីធីត</t>
        </is>
      </c>
      <c r="D4074" s="522" t="inlineStr">
        <is>
          <t>L001-107024462</t>
        </is>
      </c>
      <c r="E4074" s="521" t="inlineStr">
        <is>
          <t>59009389</t>
        </is>
      </c>
      <c r="F4074" s="523" t="n">
        <v>44194</v>
      </c>
      <c r="G4074" s="556" t="n">
        <v>94152</v>
      </c>
      <c r="I4074" s="521">
        <f>G4074</f>
        <v/>
      </c>
      <c r="K4074" s="521">
        <f>I4074-G4074</f>
        <v/>
      </c>
      <c r="M4074" s="522" t="inlineStr">
        <is>
          <t>59009389</t>
        </is>
      </c>
      <c r="N4074" s="522" t="inlineStr"/>
      <c r="O4074" s="521">
        <f>M4074=N4074</f>
        <v/>
      </c>
      <c r="P4074" s="521">
        <f>AND(MONTH(F4074)=MONTH(S4074), YEAR(F4074)=YEAR(S4074))</f>
        <v/>
      </c>
      <c r="Q4074" s="521">
        <f>U4074="L001-901905215"</f>
        <v/>
      </c>
      <c r="R4074" s="556">
        <f>G4074-W4074</f>
        <v/>
      </c>
      <c r="S4074" s="521" t="n"/>
      <c r="T4074" s="522" t="n"/>
      <c r="U4074" s="522" t="n"/>
      <c r="V4074" s="522" t="n"/>
      <c r="W4074" s="521" t="n"/>
    </row>
    <row r="4075">
      <c r="A4075" s="521" t="n">
        <v>4067</v>
      </c>
      <c r="B4075" s="522" t="n"/>
      <c r="C4075" s="522" t="inlineStr">
        <is>
          <t>ប្យួរ៉ូ វេរីតាស (ខេមបូឌា) លីមីធីត</t>
        </is>
      </c>
      <c r="D4075" s="522" t="inlineStr">
        <is>
          <t>L001-107024462</t>
        </is>
      </c>
      <c r="E4075" s="521" t="inlineStr">
        <is>
          <t>59009387</t>
        </is>
      </c>
      <c r="F4075" s="523" t="n">
        <v>44194</v>
      </c>
      <c r="G4075" s="556" t="n">
        <v>163883</v>
      </c>
      <c r="I4075" s="521">
        <f>G4075</f>
        <v/>
      </c>
      <c r="K4075" s="521">
        <f>I4075-G4075</f>
        <v/>
      </c>
      <c r="M4075" s="522" t="inlineStr">
        <is>
          <t>59009387</t>
        </is>
      </c>
      <c r="N4075" s="522" t="inlineStr"/>
      <c r="O4075" s="521">
        <f>M4075=N4075</f>
        <v/>
      </c>
      <c r="P4075" s="521">
        <f>AND(MONTH(F4075)=MONTH(S4075), YEAR(F4075)=YEAR(S4075))</f>
        <v/>
      </c>
      <c r="Q4075" s="521">
        <f>U4075="L001-901905215"</f>
        <v/>
      </c>
      <c r="R4075" s="556">
        <f>G4075-W4075</f>
        <v/>
      </c>
      <c r="S4075" s="521" t="n"/>
      <c r="T4075" s="522" t="n"/>
      <c r="U4075" s="522" t="n"/>
      <c r="V4075" s="522" t="n"/>
      <c r="W4075" s="521" t="n"/>
    </row>
    <row r="4076">
      <c r="A4076" s="521" t="n">
        <v>4068</v>
      </c>
      <c r="B4076" s="522" t="n"/>
      <c r="C4076" s="522" t="inlineStr">
        <is>
          <t>ប្យួរ៉ូ វេរីតាស (ខេមបូឌា) លីមីធីត</t>
        </is>
      </c>
      <c r="D4076" s="522" t="inlineStr">
        <is>
          <t>L001-107024462</t>
        </is>
      </c>
      <c r="E4076" s="521" t="inlineStr">
        <is>
          <t>59009369</t>
        </is>
      </c>
      <c r="F4076" s="523" t="n">
        <v>44193</v>
      </c>
      <c r="G4076" s="556" t="n">
        <v>54561</v>
      </c>
      <c r="I4076" s="521">
        <f>G4076</f>
        <v/>
      </c>
      <c r="K4076" s="521">
        <f>I4076-G4076</f>
        <v/>
      </c>
      <c r="M4076" s="522" t="inlineStr">
        <is>
          <t>59009369</t>
        </is>
      </c>
      <c r="N4076" s="522" t="inlineStr"/>
      <c r="O4076" s="521">
        <f>M4076=N4076</f>
        <v/>
      </c>
      <c r="P4076" s="521">
        <f>AND(MONTH(F4076)=MONTH(S4076), YEAR(F4076)=YEAR(S4076))</f>
        <v/>
      </c>
      <c r="Q4076" s="521">
        <f>U4076="L001-901905215"</f>
        <v/>
      </c>
      <c r="R4076" s="556">
        <f>G4076-W4076</f>
        <v/>
      </c>
      <c r="S4076" s="521" t="n"/>
      <c r="T4076" s="522" t="n"/>
      <c r="U4076" s="522" t="n"/>
      <c r="V4076" s="522" t="n"/>
      <c r="W4076" s="521" t="n"/>
    </row>
    <row r="4077">
      <c r="A4077" s="521" t="n">
        <v>4069</v>
      </c>
      <c r="B4077" s="522" t="n"/>
      <c r="C4077" s="522" t="inlineStr">
        <is>
          <t>ប្យួរ៉ូ វេរីតាស (ខេមបូឌា) លីមីធីត</t>
        </is>
      </c>
      <c r="D4077" s="522" t="inlineStr">
        <is>
          <t>L001-107024462</t>
        </is>
      </c>
      <c r="E4077" s="521" t="inlineStr">
        <is>
          <t>59009368</t>
        </is>
      </c>
      <c r="F4077" s="523" t="n">
        <v>44193</v>
      </c>
      <c r="G4077" s="556" t="n">
        <v>54561</v>
      </c>
      <c r="I4077" s="521">
        <f>G4077</f>
        <v/>
      </c>
      <c r="K4077" s="521">
        <f>I4077-G4077</f>
        <v/>
      </c>
      <c r="M4077" s="522" t="inlineStr">
        <is>
          <t>59009368</t>
        </is>
      </c>
      <c r="N4077" s="522" t="inlineStr"/>
      <c r="O4077" s="521">
        <f>M4077=N4077</f>
        <v/>
      </c>
      <c r="P4077" s="521">
        <f>AND(MONTH(F4077)=MONTH(S4077), YEAR(F4077)=YEAR(S4077))</f>
        <v/>
      </c>
      <c r="Q4077" s="521">
        <f>U4077="L001-901905215"</f>
        <v/>
      </c>
      <c r="R4077" s="556">
        <f>G4077-W4077</f>
        <v/>
      </c>
      <c r="S4077" s="521" t="n"/>
      <c r="T4077" s="522" t="n"/>
      <c r="U4077" s="522" t="n"/>
      <c r="V4077" s="522" t="n"/>
      <c r="W4077" s="521" t="n"/>
    </row>
    <row r="4078">
      <c r="A4078" s="521" t="n">
        <v>4070</v>
      </c>
      <c r="B4078" s="522" t="n"/>
      <c r="C4078" s="522" t="inlineStr">
        <is>
          <t>ប្យួរ៉ូ វេរីតាស (ខេមបូឌា) លីមីធីត</t>
        </is>
      </c>
      <c r="D4078" s="522" t="inlineStr">
        <is>
          <t>L001-107024462</t>
        </is>
      </c>
      <c r="E4078" s="521" t="inlineStr">
        <is>
          <t>59009362</t>
        </is>
      </c>
      <c r="F4078" s="523" t="n">
        <v>44191</v>
      </c>
      <c r="G4078" s="556" t="n">
        <v>163680</v>
      </c>
      <c r="I4078" s="521">
        <f>G4078</f>
        <v/>
      </c>
      <c r="K4078" s="521">
        <f>I4078-G4078</f>
        <v/>
      </c>
      <c r="M4078" s="522" t="inlineStr">
        <is>
          <t>59009362</t>
        </is>
      </c>
      <c r="N4078" s="522" t="inlineStr"/>
      <c r="O4078" s="521">
        <f>M4078=N4078</f>
        <v/>
      </c>
      <c r="P4078" s="521">
        <f>AND(MONTH(F4078)=MONTH(S4078), YEAR(F4078)=YEAR(S4078))</f>
        <v/>
      </c>
      <c r="Q4078" s="521">
        <f>U4078="L001-901905215"</f>
        <v/>
      </c>
      <c r="R4078" s="556">
        <f>G4078-W4078</f>
        <v/>
      </c>
      <c r="S4078" s="521" t="n"/>
      <c r="T4078" s="522" t="n"/>
      <c r="U4078" s="522" t="n"/>
      <c r="V4078" s="522" t="n"/>
      <c r="W4078" s="521" t="n"/>
    </row>
    <row r="4079">
      <c r="A4079" s="521" t="n">
        <v>4071</v>
      </c>
      <c r="B4079" s="522" t="n"/>
      <c r="C4079" s="522" t="inlineStr">
        <is>
          <t>ប្យួរ៉ូ វេរីតាស (ខេមបូឌា) លីមីធីត</t>
        </is>
      </c>
      <c r="D4079" s="522" t="inlineStr">
        <is>
          <t>L001-107024462</t>
        </is>
      </c>
      <c r="E4079" s="521" t="inlineStr">
        <is>
          <t>59009361</t>
        </is>
      </c>
      <c r="F4079" s="523" t="n">
        <v>44191</v>
      </c>
      <c r="G4079" s="556" t="n">
        <v>94036</v>
      </c>
      <c r="I4079" s="521">
        <f>G4079</f>
        <v/>
      </c>
      <c r="K4079" s="521">
        <f>I4079-G4079</f>
        <v/>
      </c>
      <c r="M4079" s="522" t="inlineStr">
        <is>
          <t>59009361</t>
        </is>
      </c>
      <c r="N4079" s="522" t="inlineStr"/>
      <c r="O4079" s="521">
        <f>M4079=N4079</f>
        <v/>
      </c>
      <c r="P4079" s="521">
        <f>AND(MONTH(F4079)=MONTH(S4079), YEAR(F4079)=YEAR(S4079))</f>
        <v/>
      </c>
      <c r="Q4079" s="521">
        <f>U4079="L001-901905215"</f>
        <v/>
      </c>
      <c r="R4079" s="556">
        <f>G4079-W4079</f>
        <v/>
      </c>
      <c r="S4079" s="521" t="n"/>
      <c r="T4079" s="522" t="n"/>
      <c r="U4079" s="522" t="n"/>
      <c r="V4079" s="522" t="n"/>
      <c r="W4079" s="521" t="n"/>
    </row>
    <row r="4080">
      <c r="A4080" s="521" t="n">
        <v>4072</v>
      </c>
      <c r="B4080" s="522" t="n"/>
      <c r="C4080" s="522" t="inlineStr">
        <is>
          <t>ប្យួរ៉ូ វេរីតាស (ខេមបូឌា) លីមីធីត</t>
        </is>
      </c>
      <c r="D4080" s="522" t="inlineStr">
        <is>
          <t>L001-107024462</t>
        </is>
      </c>
      <c r="E4080" s="521" t="inlineStr">
        <is>
          <t>59009352</t>
        </is>
      </c>
      <c r="F4080" s="523" t="n">
        <v>44190</v>
      </c>
      <c r="G4080" s="556" t="n">
        <v>163680</v>
      </c>
      <c r="I4080" s="521">
        <f>G4080</f>
        <v/>
      </c>
      <c r="K4080" s="521">
        <f>I4080-G4080</f>
        <v/>
      </c>
      <c r="M4080" s="522" t="inlineStr">
        <is>
          <t>59009352</t>
        </is>
      </c>
      <c r="N4080" s="522" t="inlineStr"/>
      <c r="O4080" s="521">
        <f>M4080=N4080</f>
        <v/>
      </c>
      <c r="P4080" s="521">
        <f>AND(MONTH(F4080)=MONTH(S4080), YEAR(F4080)=YEAR(S4080))</f>
        <v/>
      </c>
      <c r="Q4080" s="521">
        <f>U4080="L001-901905215"</f>
        <v/>
      </c>
      <c r="R4080" s="556">
        <f>G4080-W4080</f>
        <v/>
      </c>
      <c r="S4080" s="521" t="n"/>
      <c r="T4080" s="522" t="n"/>
      <c r="U4080" s="522" t="n"/>
      <c r="V4080" s="522" t="n"/>
      <c r="W4080" s="521" t="n"/>
    </row>
    <row r="4081">
      <c r="A4081" s="521" t="n">
        <v>4073</v>
      </c>
      <c r="B4081" s="522" t="n"/>
      <c r="C4081" s="522" t="inlineStr">
        <is>
          <t>ប្យួរ៉ូ វេរីតាស (ខេមបូឌា) លីមីធីត</t>
        </is>
      </c>
      <c r="D4081" s="522" t="inlineStr">
        <is>
          <t>L001-107024462</t>
        </is>
      </c>
      <c r="E4081" s="521" t="inlineStr">
        <is>
          <t>59009313</t>
        </is>
      </c>
      <c r="F4081" s="523" t="n">
        <v>44187</v>
      </c>
      <c r="G4081" s="556" t="n">
        <v>253761</v>
      </c>
      <c r="I4081" s="521">
        <f>G4081</f>
        <v/>
      </c>
      <c r="K4081" s="521">
        <f>I4081-G4081</f>
        <v/>
      </c>
      <c r="M4081" s="522" t="inlineStr">
        <is>
          <t>59009313</t>
        </is>
      </c>
      <c r="N4081" s="522" t="inlineStr"/>
      <c r="O4081" s="521">
        <f>M4081=N4081</f>
        <v/>
      </c>
      <c r="P4081" s="521">
        <f>AND(MONTH(F4081)=MONTH(S4081), YEAR(F4081)=YEAR(S4081))</f>
        <v/>
      </c>
      <c r="Q4081" s="521">
        <f>U4081="L001-901905215"</f>
        <v/>
      </c>
      <c r="R4081" s="556">
        <f>G4081-W4081</f>
        <v/>
      </c>
      <c r="S4081" s="521" t="n"/>
      <c r="T4081" s="522" t="n"/>
      <c r="U4081" s="522" t="n"/>
      <c r="V4081" s="522" t="n"/>
      <c r="W4081" s="521" t="n"/>
    </row>
    <row r="4082">
      <c r="A4082" s="521" t="n">
        <v>4074</v>
      </c>
      <c r="B4082" s="522" t="n"/>
      <c r="C4082" s="522" t="inlineStr">
        <is>
          <t>ប្យួរ៉ូ វេរីតាស (ខេមបូឌា) លីមីធីត</t>
        </is>
      </c>
      <c r="D4082" s="522" t="inlineStr">
        <is>
          <t>L001-107024462</t>
        </is>
      </c>
      <c r="E4082" s="521" t="inlineStr">
        <is>
          <t>59009276</t>
        </is>
      </c>
      <c r="F4082" s="523" t="n">
        <v>44181</v>
      </c>
      <c r="G4082" s="556" t="n">
        <v>60600</v>
      </c>
      <c r="I4082" s="521">
        <f>G4082</f>
        <v/>
      </c>
      <c r="K4082" s="521">
        <f>I4082-G4082</f>
        <v/>
      </c>
      <c r="M4082" s="522" t="inlineStr">
        <is>
          <t>59009276</t>
        </is>
      </c>
      <c r="N4082" s="522" t="inlineStr"/>
      <c r="O4082" s="521">
        <f>M4082=N4082</f>
        <v/>
      </c>
      <c r="P4082" s="521">
        <f>AND(MONTH(F4082)=MONTH(S4082), YEAR(F4082)=YEAR(S4082))</f>
        <v/>
      </c>
      <c r="Q4082" s="521">
        <f>U4082="L001-901905215"</f>
        <v/>
      </c>
      <c r="R4082" s="556">
        <f>G4082-W4082</f>
        <v/>
      </c>
      <c r="S4082" s="521" t="n"/>
      <c r="T4082" s="522" t="n"/>
      <c r="U4082" s="522" t="n"/>
      <c r="V4082" s="522" t="n"/>
      <c r="W4082" s="521" t="n"/>
    </row>
    <row r="4083">
      <c r="A4083" s="521" t="n">
        <v>4075</v>
      </c>
      <c r="B4083" s="522" t="n"/>
      <c r="C4083" s="522" t="inlineStr">
        <is>
          <t>ប្យួរ៉ូ វេរីតាស (ខេមបូឌា) លីមីធីត</t>
        </is>
      </c>
      <c r="D4083" s="522" t="inlineStr">
        <is>
          <t>L001-107024462</t>
        </is>
      </c>
      <c r="E4083" s="521" t="inlineStr">
        <is>
          <t>59009268</t>
        </is>
      </c>
      <c r="F4083" s="523" t="n">
        <v>44181</v>
      </c>
      <c r="G4083" s="556" t="n">
        <v>60600</v>
      </c>
      <c r="I4083" s="521">
        <f>G4083</f>
        <v/>
      </c>
      <c r="K4083" s="521">
        <f>I4083-G4083</f>
        <v/>
      </c>
      <c r="M4083" s="522" t="inlineStr">
        <is>
          <t>59009268</t>
        </is>
      </c>
      <c r="N4083" s="522" t="inlineStr"/>
      <c r="O4083" s="521">
        <f>M4083=N4083</f>
        <v/>
      </c>
      <c r="P4083" s="521">
        <f>AND(MONTH(F4083)=MONTH(S4083), YEAR(F4083)=YEAR(S4083))</f>
        <v/>
      </c>
      <c r="Q4083" s="521">
        <f>U4083="L001-901905215"</f>
        <v/>
      </c>
      <c r="R4083" s="556">
        <f>G4083-W4083</f>
        <v/>
      </c>
      <c r="S4083" s="521" t="n"/>
      <c r="T4083" s="522" t="n"/>
      <c r="U4083" s="522" t="n"/>
      <c r="V4083" s="522" t="n"/>
      <c r="W4083" s="521" t="n"/>
    </row>
    <row r="4084">
      <c r="A4084" s="521" t="n">
        <v>4076</v>
      </c>
      <c r="B4084" s="522" t="n"/>
      <c r="C4084" s="522" t="inlineStr">
        <is>
          <t>ប្យួរ៉ូ វេរីតាស (ខេមបូឌា) លីមីធីត</t>
        </is>
      </c>
      <c r="D4084" s="522" t="inlineStr">
        <is>
          <t>L001-107024462</t>
        </is>
      </c>
      <c r="E4084" s="521" t="inlineStr">
        <is>
          <t>59009230</t>
        </is>
      </c>
      <c r="F4084" s="523" t="n">
        <v>44176</v>
      </c>
      <c r="G4084" s="556" t="n">
        <v>60750</v>
      </c>
      <c r="I4084" s="521">
        <f>G4084</f>
        <v/>
      </c>
      <c r="K4084" s="521">
        <f>I4084-G4084</f>
        <v/>
      </c>
      <c r="M4084" s="522" t="inlineStr">
        <is>
          <t>59009230</t>
        </is>
      </c>
      <c r="N4084" s="522" t="inlineStr"/>
      <c r="O4084" s="521">
        <f>M4084=N4084</f>
        <v/>
      </c>
      <c r="P4084" s="521">
        <f>AND(MONTH(F4084)=MONTH(S4084), YEAR(F4084)=YEAR(S4084))</f>
        <v/>
      </c>
      <c r="Q4084" s="521">
        <f>U4084="L001-901905215"</f>
        <v/>
      </c>
      <c r="R4084" s="556">
        <f>G4084-W4084</f>
        <v/>
      </c>
      <c r="S4084" s="521" t="n"/>
      <c r="T4084" s="522" t="n"/>
      <c r="U4084" s="522" t="n"/>
      <c r="V4084" s="522" t="n"/>
      <c r="W4084" s="521" t="n"/>
    </row>
    <row r="4085">
      <c r="A4085" s="521" t="n">
        <v>4077</v>
      </c>
      <c r="B4085" s="522" t="n"/>
      <c r="C4085" s="522" t="inlineStr">
        <is>
          <t>ប្យួរ៉ូ វេរីតាស (ខេមបូឌា) លីមីធីត</t>
        </is>
      </c>
      <c r="D4085" s="522" t="inlineStr">
        <is>
          <t>L001-107024462</t>
        </is>
      </c>
      <c r="E4085" s="521" t="inlineStr">
        <is>
          <t>59009235</t>
        </is>
      </c>
      <c r="F4085" s="523" t="n">
        <v>44176</v>
      </c>
      <c r="G4085" s="556" t="n">
        <v>94549</v>
      </c>
      <c r="I4085" s="521">
        <f>G4085</f>
        <v/>
      </c>
      <c r="K4085" s="521">
        <f>I4085-G4085</f>
        <v/>
      </c>
      <c r="M4085" s="522" t="inlineStr">
        <is>
          <t>59009235</t>
        </is>
      </c>
      <c r="N4085" s="522" t="inlineStr"/>
      <c r="O4085" s="521">
        <f>M4085=N4085</f>
        <v/>
      </c>
      <c r="P4085" s="521">
        <f>AND(MONTH(F4085)=MONTH(S4085), YEAR(F4085)=YEAR(S4085))</f>
        <v/>
      </c>
      <c r="Q4085" s="521">
        <f>U4085="L001-901905215"</f>
        <v/>
      </c>
      <c r="R4085" s="556">
        <f>G4085-W4085</f>
        <v/>
      </c>
      <c r="S4085" s="521" t="n"/>
      <c r="T4085" s="522" t="n"/>
      <c r="U4085" s="522" t="n"/>
      <c r="V4085" s="522" t="n"/>
      <c r="W4085" s="521" t="n"/>
    </row>
    <row r="4086">
      <c r="A4086" s="521" t="n">
        <v>4078</v>
      </c>
      <c r="B4086" s="522" t="n"/>
      <c r="C4086" s="522" t="inlineStr">
        <is>
          <t>ប្យួរ៉ូ វេរីតាស (ខេមបូឌា) លីមីធីត</t>
        </is>
      </c>
      <c r="D4086" s="522" t="inlineStr">
        <is>
          <t>L001-107024462</t>
        </is>
      </c>
      <c r="E4086" s="521" t="inlineStr">
        <is>
          <t>59009236</t>
        </is>
      </c>
      <c r="F4086" s="523" t="n">
        <v>44176</v>
      </c>
      <c r="G4086" s="556" t="n">
        <v>121500</v>
      </c>
      <c r="I4086" s="521">
        <f>G4086</f>
        <v/>
      </c>
      <c r="K4086" s="521">
        <f>I4086-G4086</f>
        <v/>
      </c>
      <c r="M4086" s="522" t="inlineStr">
        <is>
          <t>59009236</t>
        </is>
      </c>
      <c r="N4086" s="522" t="inlineStr"/>
      <c r="O4086" s="521">
        <f>M4086=N4086</f>
        <v/>
      </c>
      <c r="P4086" s="521">
        <f>AND(MONTH(F4086)=MONTH(S4086), YEAR(F4086)=YEAR(S4086))</f>
        <v/>
      </c>
      <c r="Q4086" s="521">
        <f>U4086="L001-901905215"</f>
        <v/>
      </c>
      <c r="R4086" s="556">
        <f>G4086-W4086</f>
        <v/>
      </c>
      <c r="S4086" s="521" t="n"/>
      <c r="T4086" s="522" t="n"/>
      <c r="U4086" s="522" t="n"/>
      <c r="V4086" s="522" t="n"/>
      <c r="W4086" s="521" t="n"/>
    </row>
    <row r="4087">
      <c r="A4087" s="521" t="n">
        <v>4079</v>
      </c>
      <c r="B4087" s="522" t="n"/>
      <c r="C4087" s="522" t="inlineStr">
        <is>
          <t>ប្យួរ៉ូ វេរីតាស (ខេមបូឌា) លីមីធីត</t>
        </is>
      </c>
      <c r="D4087" s="522" t="inlineStr">
        <is>
          <t>L001-107024462</t>
        </is>
      </c>
      <c r="E4087" s="521" t="inlineStr">
        <is>
          <t>59009222</t>
        </is>
      </c>
      <c r="F4087" s="523" t="n">
        <v>44175</v>
      </c>
      <c r="G4087" s="556" t="n">
        <v>60750</v>
      </c>
      <c r="I4087" s="521">
        <f>G4087</f>
        <v/>
      </c>
      <c r="K4087" s="521">
        <f>I4087-G4087</f>
        <v/>
      </c>
      <c r="M4087" s="522" t="inlineStr">
        <is>
          <t>59009222</t>
        </is>
      </c>
      <c r="N4087" s="522" t="inlineStr"/>
      <c r="O4087" s="521">
        <f>M4087=N4087</f>
        <v/>
      </c>
      <c r="P4087" s="521">
        <f>AND(MONTH(F4087)=MONTH(S4087), YEAR(F4087)=YEAR(S4087))</f>
        <v/>
      </c>
      <c r="Q4087" s="521">
        <f>U4087="L001-901905215"</f>
        <v/>
      </c>
      <c r="R4087" s="556">
        <f>G4087-W4087</f>
        <v/>
      </c>
      <c r="S4087" s="521" t="n"/>
      <c r="T4087" s="522" t="n"/>
      <c r="U4087" s="522" t="n"/>
      <c r="V4087" s="522" t="n"/>
      <c r="W4087" s="521" t="n"/>
    </row>
    <row r="4088">
      <c r="A4088" s="521" t="n">
        <v>4080</v>
      </c>
      <c r="B4088" s="522" t="n"/>
      <c r="C4088" s="522" t="inlineStr">
        <is>
          <t>ប្យួរ៉ូ វេរីតាស (ខេមបូឌា) លីមីធីត</t>
        </is>
      </c>
      <c r="D4088" s="522" t="inlineStr">
        <is>
          <t>L001-107024462</t>
        </is>
      </c>
      <c r="E4088" s="521" t="inlineStr">
        <is>
          <t>59009217</t>
        </is>
      </c>
      <c r="F4088" s="523" t="n">
        <v>44174</v>
      </c>
      <c r="G4088" s="556" t="n">
        <v>60780</v>
      </c>
      <c r="I4088" s="521">
        <f>G4088</f>
        <v/>
      </c>
      <c r="K4088" s="521">
        <f>I4088-G4088</f>
        <v/>
      </c>
      <c r="M4088" s="522" t="inlineStr">
        <is>
          <t>59009217</t>
        </is>
      </c>
      <c r="N4088" s="522" t="inlineStr"/>
      <c r="O4088" s="521">
        <f>M4088=N4088</f>
        <v/>
      </c>
      <c r="P4088" s="521">
        <f>AND(MONTH(F4088)=MONTH(S4088), YEAR(F4088)=YEAR(S4088))</f>
        <v/>
      </c>
      <c r="Q4088" s="521">
        <f>U4088="L001-901905215"</f>
        <v/>
      </c>
      <c r="R4088" s="556">
        <f>G4088-W4088</f>
        <v/>
      </c>
      <c r="S4088" s="521" t="n"/>
      <c r="T4088" s="522" t="n"/>
      <c r="U4088" s="522" t="n"/>
      <c r="V4088" s="522" t="n"/>
      <c r="W4088" s="521" t="n"/>
    </row>
    <row r="4089">
      <c r="A4089" s="521" t="n">
        <v>4081</v>
      </c>
      <c r="B4089" s="522" t="n"/>
      <c r="C4089" s="522" t="inlineStr">
        <is>
          <t>ប្យួរ៉ូ វេរីតាស (ខេមបូឌា) លីមីធីត</t>
        </is>
      </c>
      <c r="D4089" s="522" t="inlineStr">
        <is>
          <t>L001-107024462</t>
        </is>
      </c>
      <c r="E4089" s="521" t="inlineStr">
        <is>
          <t>59009205</t>
        </is>
      </c>
      <c r="F4089" s="523" t="n">
        <v>44173</v>
      </c>
      <c r="G4089" s="556" t="n">
        <v>94596</v>
      </c>
      <c r="I4089" s="521">
        <f>G4089</f>
        <v/>
      </c>
      <c r="K4089" s="521">
        <f>I4089-G4089</f>
        <v/>
      </c>
      <c r="M4089" s="522" t="inlineStr">
        <is>
          <t>59009205</t>
        </is>
      </c>
      <c r="N4089" s="522" t="inlineStr"/>
      <c r="O4089" s="521">
        <f>M4089=N4089</f>
        <v/>
      </c>
      <c r="P4089" s="521">
        <f>AND(MONTH(F4089)=MONTH(S4089), YEAR(F4089)=YEAR(S4089))</f>
        <v/>
      </c>
      <c r="Q4089" s="521">
        <f>U4089="L001-901905215"</f>
        <v/>
      </c>
      <c r="R4089" s="556">
        <f>G4089-W4089</f>
        <v/>
      </c>
      <c r="S4089" s="521" t="n"/>
      <c r="T4089" s="522" t="n"/>
      <c r="U4089" s="522" t="n"/>
      <c r="V4089" s="522" t="n"/>
      <c r="W4089" s="521" t="n"/>
    </row>
    <row r="4090">
      <c r="A4090" s="521" t="n">
        <v>4082</v>
      </c>
      <c r="B4090" s="522" t="n"/>
      <c r="C4090" s="522" t="inlineStr">
        <is>
          <t>ប្យួរ៉ូ វេរីតាស (ខេមបូឌា) លីមីធីត</t>
        </is>
      </c>
      <c r="D4090" s="522" t="inlineStr">
        <is>
          <t>L001-107024462</t>
        </is>
      </c>
      <c r="E4090" s="521" t="inlineStr">
        <is>
          <t>59009203</t>
        </is>
      </c>
      <c r="F4090" s="523" t="n">
        <v>44173</v>
      </c>
      <c r="G4090" s="556" t="n">
        <v>60780</v>
      </c>
      <c r="I4090" s="521">
        <f>G4090</f>
        <v/>
      </c>
      <c r="K4090" s="521">
        <f>I4090-G4090</f>
        <v/>
      </c>
      <c r="M4090" s="522" t="inlineStr">
        <is>
          <t>59009203</t>
        </is>
      </c>
      <c r="N4090" s="522" t="inlineStr"/>
      <c r="O4090" s="521">
        <f>M4090=N4090</f>
        <v/>
      </c>
      <c r="P4090" s="521">
        <f>AND(MONTH(F4090)=MONTH(S4090), YEAR(F4090)=YEAR(S4090))</f>
        <v/>
      </c>
      <c r="Q4090" s="521">
        <f>U4090="L001-901905215"</f>
        <v/>
      </c>
      <c r="R4090" s="556">
        <f>G4090-W4090</f>
        <v/>
      </c>
      <c r="S4090" s="521" t="n"/>
      <c r="T4090" s="522" t="n"/>
      <c r="U4090" s="522" t="n"/>
      <c r="V4090" s="522" t="n"/>
      <c r="W4090" s="521" t="n"/>
    </row>
    <row r="4091">
      <c r="A4091" s="521" t="n">
        <v>4083</v>
      </c>
      <c r="B4091" s="522" t="n"/>
      <c r="C4091" s="522" t="inlineStr">
        <is>
          <t>ប្យួរ៉ូ វេរីតាស (ខេមបូឌា) លីមីធីត</t>
        </is>
      </c>
      <c r="D4091" s="522" t="inlineStr">
        <is>
          <t>L001-107024462</t>
        </is>
      </c>
      <c r="E4091" s="521" t="inlineStr">
        <is>
          <t>59009200</t>
        </is>
      </c>
      <c r="F4091" s="523" t="n">
        <v>44173</v>
      </c>
      <c r="G4091" s="556" t="n">
        <v>121560</v>
      </c>
      <c r="I4091" s="521">
        <f>G4091</f>
        <v/>
      </c>
      <c r="K4091" s="521">
        <f>I4091-G4091</f>
        <v/>
      </c>
      <c r="M4091" s="522" t="inlineStr">
        <is>
          <t>59009200</t>
        </is>
      </c>
      <c r="N4091" s="522" t="inlineStr"/>
      <c r="O4091" s="521">
        <f>M4091=N4091</f>
        <v/>
      </c>
      <c r="P4091" s="521">
        <f>AND(MONTH(F4091)=MONTH(S4091), YEAR(F4091)=YEAR(S4091))</f>
        <v/>
      </c>
      <c r="Q4091" s="521">
        <f>U4091="L001-901905215"</f>
        <v/>
      </c>
      <c r="R4091" s="556">
        <f>G4091-W4091</f>
        <v/>
      </c>
      <c r="S4091" s="521" t="n"/>
      <c r="T4091" s="522" t="n"/>
      <c r="U4091" s="522" t="n"/>
      <c r="V4091" s="522" t="n"/>
      <c r="W4091" s="521" t="n"/>
    </row>
    <row r="4092">
      <c r="A4092" s="521" t="n">
        <v>4084</v>
      </c>
      <c r="B4092" s="522" t="n"/>
      <c r="C4092" s="522" t="inlineStr">
        <is>
          <t>ប្យួរ៉ូ វេរីតាស (ខេមបូឌា) លីមីធីត</t>
        </is>
      </c>
      <c r="D4092" s="522" t="inlineStr">
        <is>
          <t>L001-107024462</t>
        </is>
      </c>
      <c r="E4092" s="521" t="inlineStr">
        <is>
          <t>59009172</t>
        </is>
      </c>
      <c r="F4092" s="523" t="n">
        <v>44169</v>
      </c>
      <c r="G4092" s="556" t="n">
        <v>60750</v>
      </c>
      <c r="I4092" s="521">
        <f>G4092</f>
        <v/>
      </c>
      <c r="K4092" s="521">
        <f>I4092-G4092</f>
        <v/>
      </c>
      <c r="M4092" s="522" t="inlineStr">
        <is>
          <t>59009172</t>
        </is>
      </c>
      <c r="N4092" s="522" t="inlineStr"/>
      <c r="O4092" s="521">
        <f>M4092=N4092</f>
        <v/>
      </c>
      <c r="P4092" s="521">
        <f>AND(MONTH(F4092)=MONTH(S4092), YEAR(F4092)=YEAR(S4092))</f>
        <v/>
      </c>
      <c r="Q4092" s="521">
        <f>U4092="L001-901905215"</f>
        <v/>
      </c>
      <c r="R4092" s="556">
        <f>G4092-W4092</f>
        <v/>
      </c>
      <c r="S4092" s="521" t="n"/>
      <c r="T4092" s="522" t="n"/>
      <c r="U4092" s="522" t="n"/>
      <c r="V4092" s="522" t="n"/>
      <c r="W4092" s="521" t="n"/>
    </row>
    <row r="4093">
      <c r="A4093" s="521" t="n">
        <v>4085</v>
      </c>
      <c r="B4093" s="522" t="n"/>
      <c r="C4093" s="522" t="inlineStr">
        <is>
          <t>ប្យួរ៉ូ វេរីតាស (ខេមបូឌា) លីមីធីត</t>
        </is>
      </c>
      <c r="D4093" s="522" t="inlineStr">
        <is>
          <t>L001-107024462</t>
        </is>
      </c>
      <c r="E4093" s="521" t="inlineStr">
        <is>
          <t>59009158</t>
        </is>
      </c>
      <c r="F4093" s="523" t="n">
        <v>44169</v>
      </c>
      <c r="G4093" s="556" t="n">
        <v>60750</v>
      </c>
      <c r="I4093" s="521">
        <f>G4093</f>
        <v/>
      </c>
      <c r="K4093" s="521">
        <f>I4093-G4093</f>
        <v/>
      </c>
      <c r="M4093" s="522" t="inlineStr">
        <is>
          <t>59009158</t>
        </is>
      </c>
      <c r="N4093" s="522" t="inlineStr"/>
      <c r="O4093" s="521">
        <f>M4093=N4093</f>
        <v/>
      </c>
      <c r="P4093" s="521">
        <f>AND(MONTH(F4093)=MONTH(S4093), YEAR(F4093)=YEAR(S4093))</f>
        <v/>
      </c>
      <c r="Q4093" s="521">
        <f>U4093="L001-901905215"</f>
        <v/>
      </c>
      <c r="R4093" s="556">
        <f>G4093-W4093</f>
        <v/>
      </c>
      <c r="S4093" s="521" t="n"/>
      <c r="T4093" s="522" t="n"/>
      <c r="U4093" s="522" t="n"/>
      <c r="V4093" s="522" t="n"/>
      <c r="W4093" s="521" t="n"/>
    </row>
    <row r="4094">
      <c r="A4094" s="521" t="n">
        <v>4086</v>
      </c>
      <c r="B4094" s="522" t="n"/>
      <c r="C4094" s="522" t="inlineStr">
        <is>
          <t>អ៊ែរ៉ូ ស៊ីបភីង អេជេនស៊ី</t>
        </is>
      </c>
      <c r="D4094" s="522" t="inlineStr">
        <is>
          <t>K004-901635903</t>
        </is>
      </c>
      <c r="E4094" s="521" t="inlineStr">
        <is>
          <t>IKPSA2020532344</t>
        </is>
      </c>
      <c r="F4094" s="523" t="n">
        <v>44175</v>
      </c>
      <c r="G4094" s="556" t="n">
        <v>263380</v>
      </c>
      <c r="I4094" s="521">
        <f>G4094</f>
        <v/>
      </c>
      <c r="K4094" s="521">
        <f>I4094-G4094</f>
        <v/>
      </c>
      <c r="M4094" s="522" t="inlineStr">
        <is>
          <t>IKPSA2020532344</t>
        </is>
      </c>
      <c r="N4094" s="522" t="inlineStr">
        <is>
          <t>IKPSA2020532344</t>
        </is>
      </c>
      <c r="O4094" s="521">
        <f>M4094=N4094</f>
        <v/>
      </c>
      <c r="P4094" s="521">
        <f>AND(MONTH(F4094)=MONTH(S4094), YEAR(F4094)=YEAR(S4094))</f>
        <v/>
      </c>
      <c r="Q4094" s="521">
        <f>U4094="L001-901905215"</f>
        <v/>
      </c>
      <c r="R4094" s="556">
        <f>G4094-W4094</f>
        <v/>
      </c>
      <c r="S4094" s="523" t="n">
        <v>44173</v>
      </c>
      <c r="T4094" s="522" t="inlineStr">
        <is>
          <t>IKPSA2020532344</t>
        </is>
      </c>
      <c r="U4094" s="522" t="inlineStr">
        <is>
          <t>L001-901905215</t>
        </is>
      </c>
      <c r="V4094" s="522" t="inlineStr">
        <is>
          <t>វីអ៊ីស៊ិន (ខេមបូឌា) អ៊ិនដាសស្ទ្រី ឯ.ក</t>
        </is>
      </c>
      <c r="W4094" s="556" t="n">
        <v>262925</v>
      </c>
    </row>
    <row r="4095">
      <c r="A4095" s="521" t="n">
        <v>4087</v>
      </c>
      <c r="B4095" s="522" t="n"/>
      <c r="C4095" s="522" t="inlineStr">
        <is>
          <t>អ៊ែរ៉ូ ស៊ីបភីង អេជេនស៊ី</t>
        </is>
      </c>
      <c r="D4095" s="522" t="inlineStr">
        <is>
          <t>K004-901635903</t>
        </is>
      </c>
      <c r="E4095" s="521" t="inlineStr">
        <is>
          <t>IKPSA2020532343</t>
        </is>
      </c>
      <c r="F4095" s="523" t="n">
        <v>44175</v>
      </c>
      <c r="G4095" s="556" t="n">
        <v>243120</v>
      </c>
      <c r="I4095" s="521">
        <f>G4095</f>
        <v/>
      </c>
      <c r="K4095" s="521">
        <f>I4095-G4095</f>
        <v/>
      </c>
      <c r="M4095" s="522" t="inlineStr">
        <is>
          <t>IKPSA2020532343</t>
        </is>
      </c>
      <c r="N4095" s="522" t="inlineStr">
        <is>
          <t>IKPSA2020532343</t>
        </is>
      </c>
      <c r="O4095" s="521">
        <f>M4095=N4095</f>
        <v/>
      </c>
      <c r="P4095" s="521">
        <f>AND(MONTH(F4095)=MONTH(S4095), YEAR(F4095)=YEAR(S4095))</f>
        <v/>
      </c>
      <c r="Q4095" s="521">
        <f>U4095="L001-901905215"</f>
        <v/>
      </c>
      <c r="R4095" s="556">
        <f>G4095-W4095</f>
        <v/>
      </c>
      <c r="S4095" s="523" t="n">
        <v>44173</v>
      </c>
      <c r="T4095" s="522" t="inlineStr">
        <is>
          <t>IKPSA2020532343</t>
        </is>
      </c>
      <c r="U4095" s="522" t="inlineStr">
        <is>
          <t>L001-901905215</t>
        </is>
      </c>
      <c r="V4095" s="522" t="inlineStr">
        <is>
          <t>វីអ៊ីស៊ិន (ខេមបូឌា) អ៊ិនដាសស្ទ្រី ឯ.ក</t>
        </is>
      </c>
      <c r="W4095" s="556" t="n">
        <v>242700</v>
      </c>
    </row>
    <row r="4096">
      <c r="A4096" s="521" t="n">
        <v>4088</v>
      </c>
      <c r="B4096" s="522" t="n"/>
      <c r="C4096" s="522" t="inlineStr">
        <is>
          <t>អ៊ែរ៉ូ ស៊ីបភីង អេជេនស៊ី</t>
        </is>
      </c>
      <c r="D4096" s="522" t="inlineStr">
        <is>
          <t>K004-901635903</t>
        </is>
      </c>
      <c r="E4096" s="521" t="inlineStr">
        <is>
          <t>IKPSA2020532342</t>
        </is>
      </c>
      <c r="F4096" s="523" t="n">
        <v>44175</v>
      </c>
      <c r="G4096" s="556" t="n">
        <v>5525</v>
      </c>
      <c r="I4096" s="521">
        <f>G4096</f>
        <v/>
      </c>
      <c r="K4096" s="521">
        <f>I4096-G4096</f>
        <v/>
      </c>
      <c r="M4096" s="522" t="inlineStr">
        <is>
          <t>IKPSA2020532342</t>
        </is>
      </c>
      <c r="N4096" s="522" t="inlineStr">
        <is>
          <t>IKPSA2020532342</t>
        </is>
      </c>
      <c r="O4096" s="521">
        <f>M4096=N4096</f>
        <v/>
      </c>
      <c r="P4096" s="521">
        <f>AND(MONTH(F4096)=MONTH(S4096), YEAR(F4096)=YEAR(S4096))</f>
        <v/>
      </c>
      <c r="Q4096" s="521">
        <f>U4096="L001-901905215"</f>
        <v/>
      </c>
      <c r="R4096" s="556">
        <f>G4096-W4096</f>
        <v/>
      </c>
      <c r="S4096" s="523" t="n">
        <v>44173</v>
      </c>
      <c r="T4096" s="522" t="inlineStr">
        <is>
          <t>IKPSA2020532342</t>
        </is>
      </c>
      <c r="U4096" s="522" t="inlineStr">
        <is>
          <t>L001-901905215</t>
        </is>
      </c>
      <c r="V4096" s="522" t="inlineStr">
        <is>
          <t>វីអ៊ីស៊ិន (ខេមបូឌា) អ៊ិនដាសស្ទ្រី ឯ.ក</t>
        </is>
      </c>
      <c r="W4096" s="556" t="n">
        <v>5516</v>
      </c>
    </row>
    <row r="4097">
      <c r="A4097" s="521" t="n">
        <v>4089</v>
      </c>
      <c r="B4097" s="522" t="n"/>
      <c r="C4097" s="522" t="inlineStr">
        <is>
          <t>អ៊ែរ៉ូ ស៊ីបភីង អេជេនស៊ី</t>
        </is>
      </c>
      <c r="D4097" s="522" t="inlineStr">
        <is>
          <t>K004-901635903</t>
        </is>
      </c>
      <c r="E4097" s="521" t="inlineStr">
        <is>
          <t>IKPSA2020533355</t>
        </is>
      </c>
      <c r="F4097" s="523" t="n">
        <v>44186</v>
      </c>
      <c r="G4097" s="556" t="n">
        <v>14684</v>
      </c>
      <c r="I4097" s="521">
        <f>G4097</f>
        <v/>
      </c>
      <c r="K4097" s="521">
        <f>I4097-G4097</f>
        <v/>
      </c>
      <c r="M4097" s="522" t="inlineStr">
        <is>
          <t>IKPSA2020533355</t>
        </is>
      </c>
      <c r="N4097" s="522" t="inlineStr">
        <is>
          <t>IKPSA2020533355</t>
        </is>
      </c>
      <c r="O4097" s="521">
        <f>M4097=N4097</f>
        <v/>
      </c>
      <c r="P4097" s="521">
        <f>AND(MONTH(F4097)=MONTH(S4097), YEAR(F4097)=YEAR(S4097))</f>
        <v/>
      </c>
      <c r="Q4097" s="521">
        <f>U4097="L001-901905215"</f>
        <v/>
      </c>
      <c r="R4097" s="556">
        <f>G4097-W4097</f>
        <v/>
      </c>
      <c r="S4097" s="523" t="n">
        <v>44186</v>
      </c>
      <c r="T4097" s="522" t="inlineStr">
        <is>
          <t>IKPSA2020533355</t>
        </is>
      </c>
      <c r="U4097" s="522" t="inlineStr">
        <is>
          <t>L001-901905215</t>
        </is>
      </c>
      <c r="V4097" s="522" t="inlineStr">
        <is>
          <t>វីអ៊ីស៊ិន (ខេមបូឌា) អ៊ិនដាសស្ទ្រី ឯ.ក</t>
        </is>
      </c>
      <c r="W4097" s="556" t="n">
        <v>14709</v>
      </c>
    </row>
    <row r="4098">
      <c r="A4098" s="521" t="n">
        <v>4090</v>
      </c>
      <c r="B4098" s="522" t="n"/>
      <c r="C4098" s="522" t="inlineStr">
        <is>
          <t>56ប៊ី-លីង សឹបផ្លាយ ឆេន មេនេចម៉ិន ឯ.ក</t>
        </is>
      </c>
      <c r="D4098" s="522" t="inlineStr">
        <is>
          <t>K004-902004795</t>
        </is>
      </c>
      <c r="E4098" s="521" t="inlineStr">
        <is>
          <t>IN202012-0046</t>
        </is>
      </c>
      <c r="F4098" s="523" t="n">
        <v>44195</v>
      </c>
      <c r="G4098" s="556" t="n">
        <v>516864</v>
      </c>
      <c r="I4098" s="521">
        <f>G4098</f>
        <v/>
      </c>
      <c r="K4098" s="521">
        <f>I4098-G4098</f>
        <v/>
      </c>
      <c r="M4098" s="522" t="inlineStr">
        <is>
          <t>IN2020120046</t>
        </is>
      </c>
      <c r="N4098" s="522" t="inlineStr">
        <is>
          <t>IN2020120046</t>
        </is>
      </c>
      <c r="O4098" s="521">
        <f>M4098=N4098</f>
        <v/>
      </c>
      <c r="P4098" s="521">
        <f>AND(MONTH(F4098)=MONTH(S4098), YEAR(F4098)=YEAR(S4098))</f>
        <v/>
      </c>
      <c r="Q4098" s="521">
        <f>U4098="L001-901905215"</f>
        <v/>
      </c>
      <c r="R4098" s="556">
        <f>G4098-W4098</f>
        <v/>
      </c>
      <c r="S4098" s="523" t="n">
        <v>44195</v>
      </c>
      <c r="T4098" s="522" t="inlineStr">
        <is>
          <t>IN202012-0046</t>
        </is>
      </c>
      <c r="U4098" s="522" t="inlineStr">
        <is>
          <t>L001-901905215</t>
        </is>
      </c>
      <c r="V4098" s="522" t="inlineStr">
        <is>
          <t>វីអ៊ីស៊ិន (ខេមបូឌា) អ៊ិនដាសស្ទ្រី ឯ.ក</t>
        </is>
      </c>
      <c r="W4098" s="556" t="n">
        <v>516864</v>
      </c>
    </row>
    <row r="4099">
      <c r="A4099" s="521" t="n">
        <v>4091</v>
      </c>
      <c r="B4099" s="522" t="n"/>
      <c r="C4099" s="522" t="inlineStr">
        <is>
          <t>56ប៊ី-លីង សឹបផ្លាយ ឆេន មេនេចម៉ិន ឯ.ក</t>
        </is>
      </c>
      <c r="D4099" s="522" t="inlineStr">
        <is>
          <t>K004-902004795</t>
        </is>
      </c>
      <c r="E4099" s="521" t="inlineStr">
        <is>
          <t>IN202012-0045</t>
        </is>
      </c>
      <c r="F4099" s="523" t="n">
        <v>44195</v>
      </c>
      <c r="G4099" s="556" t="n">
        <v>268527</v>
      </c>
      <c r="I4099" s="521">
        <f>G4099</f>
        <v/>
      </c>
      <c r="K4099" s="521">
        <f>I4099-G4099</f>
        <v/>
      </c>
      <c r="M4099" s="522" t="inlineStr">
        <is>
          <t>IN2020120045</t>
        </is>
      </c>
      <c r="N4099" s="522" t="inlineStr">
        <is>
          <t>IN2020120045</t>
        </is>
      </c>
      <c r="O4099" s="521">
        <f>M4099=N4099</f>
        <v/>
      </c>
      <c r="P4099" s="521">
        <f>AND(MONTH(F4099)=MONTH(S4099), YEAR(F4099)=YEAR(S4099))</f>
        <v/>
      </c>
      <c r="Q4099" s="521">
        <f>U4099="L001-901905215"</f>
        <v/>
      </c>
      <c r="R4099" s="556">
        <f>G4099-W4099</f>
        <v/>
      </c>
      <c r="S4099" s="523" t="n">
        <v>44195</v>
      </c>
      <c r="T4099" s="522" t="inlineStr">
        <is>
          <t>IN202012-0045</t>
        </is>
      </c>
      <c r="U4099" s="522" t="inlineStr">
        <is>
          <t>L001-901905215</t>
        </is>
      </c>
      <c r="V4099" s="522" t="inlineStr">
        <is>
          <t>វីអ៊ីស៊ិន (ខេមបូឌា) អ៊ិនដាសស្ទ្រី ឯ.ក</t>
        </is>
      </c>
      <c r="W4099" s="556" t="n">
        <v>268527</v>
      </c>
    </row>
    <row r="4100">
      <c r="A4100" s="521" t="n">
        <v>4092</v>
      </c>
      <c r="B4100" s="522" t="n"/>
      <c r="C4100" s="522" t="inlineStr">
        <is>
          <t>56ប៊ី-លីង សឹបផ្លាយ ឆេន មេនេចម៉ិន ឯ.ក</t>
        </is>
      </c>
      <c r="D4100" s="522" t="inlineStr">
        <is>
          <t>K004-902004795</t>
        </is>
      </c>
      <c r="E4100" s="521" t="inlineStr">
        <is>
          <t>IN202012-0044</t>
        </is>
      </c>
      <c r="F4100" s="523" t="n">
        <v>44195</v>
      </c>
      <c r="G4100" s="556" t="n">
        <v>353325</v>
      </c>
      <c r="I4100" s="521">
        <f>G4100</f>
        <v/>
      </c>
      <c r="K4100" s="521">
        <f>I4100-G4100</f>
        <v/>
      </c>
      <c r="M4100" s="522" t="inlineStr">
        <is>
          <t>IN2020120044</t>
        </is>
      </c>
      <c r="N4100" s="522" t="inlineStr">
        <is>
          <t>IN2020120044</t>
        </is>
      </c>
      <c r="O4100" s="521">
        <f>M4100=N4100</f>
        <v/>
      </c>
      <c r="P4100" s="521">
        <f>AND(MONTH(F4100)=MONTH(S4100), YEAR(F4100)=YEAR(S4100))</f>
        <v/>
      </c>
      <c r="Q4100" s="521">
        <f>U4100="L001-901905215"</f>
        <v/>
      </c>
      <c r="R4100" s="556">
        <f>G4100-W4100</f>
        <v/>
      </c>
      <c r="S4100" s="523" t="n">
        <v>44195</v>
      </c>
      <c r="T4100" s="522" t="inlineStr">
        <is>
          <t>IN202012-0044</t>
        </is>
      </c>
      <c r="U4100" s="522" t="inlineStr">
        <is>
          <t>L001-901905215</t>
        </is>
      </c>
      <c r="V4100" s="522" t="inlineStr">
        <is>
          <t>វីអ៊ីស៊ិន (ខេមបូឌា) អ៊ិនដាសស្ទ្រី ឯ.ក</t>
        </is>
      </c>
      <c r="W4100" s="556" t="n">
        <v>353325</v>
      </c>
    </row>
    <row r="4101">
      <c r="A4101" s="521" t="n">
        <v>4093</v>
      </c>
      <c r="B4101" s="522" t="n"/>
      <c r="C4101" s="522" t="inlineStr">
        <is>
          <t>56ប៊ី-លីង សឹបផ្លាយ ឆេន មេនេចម៉ិន ឯ.ក</t>
        </is>
      </c>
      <c r="D4101" s="522" t="inlineStr">
        <is>
          <t>K004-902004795</t>
        </is>
      </c>
      <c r="E4101" s="521" t="inlineStr">
        <is>
          <t>IN202012-0043</t>
        </is>
      </c>
      <c r="F4101" s="523" t="n">
        <v>44195</v>
      </c>
      <c r="G4101" s="556" t="n">
        <v>1116507</v>
      </c>
      <c r="I4101" s="521">
        <f>G4101</f>
        <v/>
      </c>
      <c r="K4101" s="521">
        <f>I4101-G4101</f>
        <v/>
      </c>
      <c r="M4101" s="522" t="inlineStr">
        <is>
          <t>IN2020120043</t>
        </is>
      </c>
      <c r="N4101" s="522" t="inlineStr">
        <is>
          <t>IN2020120043</t>
        </is>
      </c>
      <c r="O4101" s="521">
        <f>M4101=N4101</f>
        <v/>
      </c>
      <c r="P4101" s="521">
        <f>AND(MONTH(F4101)=MONTH(S4101), YEAR(F4101)=YEAR(S4101))</f>
        <v/>
      </c>
      <c r="Q4101" s="521">
        <f>U4101="L001-901905215"</f>
        <v/>
      </c>
      <c r="R4101" s="556">
        <f>G4101-W4101</f>
        <v/>
      </c>
      <c r="S4101" s="523" t="n">
        <v>44195</v>
      </c>
      <c r="T4101" s="522" t="inlineStr">
        <is>
          <t>IN202012-0043</t>
        </is>
      </c>
      <c r="U4101" s="522" t="inlineStr">
        <is>
          <t>L001-901905215</t>
        </is>
      </c>
      <c r="V4101" s="522" t="inlineStr">
        <is>
          <t>វីអ៊ីស៊ិន (ខេមបូឌា) អ៊ិនដាសស្ទ្រី ឯ.ក</t>
        </is>
      </c>
      <c r="W4101" s="556" t="n">
        <v>1116507</v>
      </c>
    </row>
    <row r="4102">
      <c r="A4102" s="521" t="n">
        <v>4094</v>
      </c>
      <c r="B4102" s="522" t="n"/>
      <c r="C4102" s="522" t="inlineStr">
        <is>
          <t>56ប៊ី-លីង សឹបផ្លាយ ឆេន មេនេចម៉ិន ឯ.ក</t>
        </is>
      </c>
      <c r="D4102" s="522" t="inlineStr">
        <is>
          <t>K004-902004795</t>
        </is>
      </c>
      <c r="E4102" s="521" t="inlineStr">
        <is>
          <t>IN202012-0042</t>
        </is>
      </c>
      <c r="F4102" s="523" t="n">
        <v>44195</v>
      </c>
      <c r="G4102" s="556" t="n">
        <v>516864</v>
      </c>
      <c r="I4102" s="521">
        <f>G4102</f>
        <v/>
      </c>
      <c r="K4102" s="521">
        <f>I4102-G4102</f>
        <v/>
      </c>
      <c r="M4102" s="522" t="inlineStr">
        <is>
          <t>IN2020120042</t>
        </is>
      </c>
      <c r="N4102" s="522" t="inlineStr">
        <is>
          <t>IN2020120042</t>
        </is>
      </c>
      <c r="O4102" s="521">
        <f>M4102=N4102</f>
        <v/>
      </c>
      <c r="P4102" s="521">
        <f>AND(MONTH(F4102)=MONTH(S4102), YEAR(F4102)=YEAR(S4102))</f>
        <v/>
      </c>
      <c r="Q4102" s="521">
        <f>U4102="L001-901905215"</f>
        <v/>
      </c>
      <c r="R4102" s="556">
        <f>G4102-W4102</f>
        <v/>
      </c>
      <c r="S4102" s="523" t="n">
        <v>44195</v>
      </c>
      <c r="T4102" s="522" t="inlineStr">
        <is>
          <t>IN202012-0042</t>
        </is>
      </c>
      <c r="U4102" s="522" t="inlineStr">
        <is>
          <t>L001-901905215</t>
        </is>
      </c>
      <c r="V4102" s="522" t="inlineStr">
        <is>
          <t>វីអ៊ីស៊ិន (ខេមបូឌា) អ៊ិនដាសស្ទ្រី ឯ.ក</t>
        </is>
      </c>
      <c r="W4102" s="556" t="n">
        <v>516864</v>
      </c>
    </row>
    <row r="4103">
      <c r="A4103" s="521" t="n">
        <v>4095</v>
      </c>
      <c r="B4103" s="522" t="n"/>
      <c r="C4103" s="522" t="inlineStr">
        <is>
          <t>56ប៊ី-លីង សឹបផ្លាយ ឆេន មេនេចម៉ិន ឯ.ក</t>
        </is>
      </c>
      <c r="D4103" s="522" t="inlineStr">
        <is>
          <t>K004-902004795</t>
        </is>
      </c>
      <c r="E4103" s="521" t="inlineStr">
        <is>
          <t>IN202012-0041</t>
        </is>
      </c>
      <c r="F4103" s="523" t="n">
        <v>44195</v>
      </c>
      <c r="G4103" s="556" t="n">
        <v>484560</v>
      </c>
      <c r="I4103" s="521">
        <f>G4103</f>
        <v/>
      </c>
      <c r="K4103" s="521">
        <f>I4103-G4103</f>
        <v/>
      </c>
      <c r="M4103" s="522" t="inlineStr">
        <is>
          <t>IN2020120041</t>
        </is>
      </c>
      <c r="N4103" s="522" t="inlineStr">
        <is>
          <t>IN2020120041</t>
        </is>
      </c>
      <c r="O4103" s="521">
        <f>M4103=N4103</f>
        <v/>
      </c>
      <c r="P4103" s="521">
        <f>AND(MONTH(F4103)=MONTH(S4103), YEAR(F4103)=YEAR(S4103))</f>
        <v/>
      </c>
      <c r="Q4103" s="521">
        <f>U4103="L001-901905215"</f>
        <v/>
      </c>
      <c r="R4103" s="556">
        <f>G4103-W4103</f>
        <v/>
      </c>
      <c r="S4103" s="523" t="n">
        <v>44195</v>
      </c>
      <c r="T4103" s="522" t="inlineStr">
        <is>
          <t>IN202012-0041</t>
        </is>
      </c>
      <c r="U4103" s="522" t="inlineStr">
        <is>
          <t>L001-901905215</t>
        </is>
      </c>
      <c r="V4103" s="522" t="inlineStr">
        <is>
          <t>វីអ៊ីស៊ិន (ខេមបូឌា) អ៊ិនដាសស្ទ្រី ឯ.ក</t>
        </is>
      </c>
      <c r="W4103" s="556" t="n">
        <v>484560</v>
      </c>
    </row>
    <row r="4104">
      <c r="A4104" s="521" t="n">
        <v>4096</v>
      </c>
      <c r="B4104" s="522" t="n"/>
      <c r="C4104" s="522" t="inlineStr">
        <is>
          <t>56ប៊ី-លីង សឹបផ្លាយ ឆេន មេនេចម៉ិន ឯ.ក</t>
        </is>
      </c>
      <c r="D4104" s="522" t="inlineStr">
        <is>
          <t>K004-902004795</t>
        </is>
      </c>
      <c r="E4104" s="521" t="inlineStr">
        <is>
          <t>IN202012-0040</t>
        </is>
      </c>
      <c r="F4104" s="523" t="n">
        <v>44195</v>
      </c>
      <c r="G4104" s="556" t="n">
        <v>209976</v>
      </c>
      <c r="I4104" s="521">
        <f>G4104</f>
        <v/>
      </c>
      <c r="K4104" s="521">
        <f>I4104-G4104</f>
        <v/>
      </c>
      <c r="M4104" s="522" t="inlineStr">
        <is>
          <t>IN2020120040</t>
        </is>
      </c>
      <c r="N4104" s="522" t="inlineStr">
        <is>
          <t>IN2020120040</t>
        </is>
      </c>
      <c r="O4104" s="521">
        <f>M4104=N4104</f>
        <v/>
      </c>
      <c r="P4104" s="521">
        <f>AND(MONTH(F4104)=MONTH(S4104), YEAR(F4104)=YEAR(S4104))</f>
        <v/>
      </c>
      <c r="Q4104" s="521">
        <f>U4104="L001-901905215"</f>
        <v/>
      </c>
      <c r="R4104" s="556">
        <f>G4104-W4104</f>
        <v/>
      </c>
      <c r="S4104" s="523" t="n">
        <v>44195</v>
      </c>
      <c r="T4104" s="522" t="inlineStr">
        <is>
          <t>IN202012-0040</t>
        </is>
      </c>
      <c r="U4104" s="522" t="inlineStr">
        <is>
          <t>L001-901905215</t>
        </is>
      </c>
      <c r="V4104" s="522" t="inlineStr">
        <is>
          <t>វីអ៊ីស៊ិន (ខេមបូឌា) អ៊ិនដាសស្ទ្រី ឯ.ក</t>
        </is>
      </c>
      <c r="W4104" s="556" t="n">
        <v>209976</v>
      </c>
    </row>
    <row r="4105">
      <c r="A4105" s="521" t="n">
        <v>4097</v>
      </c>
      <c r="B4105" s="522" t="n"/>
      <c r="C4105" s="522" t="inlineStr">
        <is>
          <t>56ប៊ី-លីង សឹបផ្លាយ ឆេន មេនេចម៉ិន ឯ.ក</t>
        </is>
      </c>
      <c r="D4105" s="522" t="inlineStr">
        <is>
          <t>K004-902004795</t>
        </is>
      </c>
      <c r="E4105" s="521" t="inlineStr">
        <is>
          <t>IN202012-0039</t>
        </is>
      </c>
      <c r="F4105" s="523" t="n">
        <v>44195</v>
      </c>
      <c r="G4105" s="556" t="n">
        <v>268527</v>
      </c>
      <c r="I4105" s="521">
        <f>G4105</f>
        <v/>
      </c>
      <c r="K4105" s="521">
        <f>I4105-G4105</f>
        <v/>
      </c>
      <c r="M4105" s="522" t="inlineStr">
        <is>
          <t>IN2020120039</t>
        </is>
      </c>
      <c r="N4105" s="522" t="inlineStr">
        <is>
          <t>IN2020120039</t>
        </is>
      </c>
      <c r="O4105" s="521">
        <f>M4105=N4105</f>
        <v/>
      </c>
      <c r="P4105" s="521">
        <f>AND(MONTH(F4105)=MONTH(S4105), YEAR(F4105)=YEAR(S4105))</f>
        <v/>
      </c>
      <c r="Q4105" s="521">
        <f>U4105="L001-901905215"</f>
        <v/>
      </c>
      <c r="R4105" s="556">
        <f>G4105-W4105</f>
        <v/>
      </c>
      <c r="S4105" s="523" t="n">
        <v>44195</v>
      </c>
      <c r="T4105" s="522" t="inlineStr">
        <is>
          <t>IN202012-0039</t>
        </is>
      </c>
      <c r="U4105" s="522" t="inlineStr">
        <is>
          <t>L001-901905215</t>
        </is>
      </c>
      <c r="V4105" s="522" t="inlineStr">
        <is>
          <t>វីអ៊ីស៊ិន (ខេមបូឌា) អ៊ិនដាសស្ទ្រី ឯ.ក</t>
        </is>
      </c>
      <c r="W4105" s="556" t="n">
        <v>268527</v>
      </c>
    </row>
    <row r="4106">
      <c r="A4106" s="521" t="n">
        <v>4098</v>
      </c>
      <c r="B4106" s="522" t="n"/>
      <c r="C4106" s="522" t="inlineStr">
        <is>
          <t>56ប៊ី-លីង សឹបផ្លាយ ឆេន មេនេចម៉ិន ឯ.ក</t>
        </is>
      </c>
      <c r="D4106" s="522" t="inlineStr">
        <is>
          <t>K004-902004795</t>
        </is>
      </c>
      <c r="E4106" s="521" t="inlineStr">
        <is>
          <t>IN202012-0038</t>
        </is>
      </c>
      <c r="F4106" s="523" t="n">
        <v>44195</v>
      </c>
      <c r="G4106" s="556" t="n">
        <v>268527</v>
      </c>
      <c r="I4106" s="521">
        <f>G4106</f>
        <v/>
      </c>
      <c r="K4106" s="521">
        <f>I4106-G4106</f>
        <v/>
      </c>
      <c r="M4106" s="522" t="inlineStr">
        <is>
          <t>IN2020120038</t>
        </is>
      </c>
      <c r="N4106" s="522" t="inlineStr">
        <is>
          <t>IN2020120038</t>
        </is>
      </c>
      <c r="O4106" s="521">
        <f>M4106=N4106</f>
        <v/>
      </c>
      <c r="P4106" s="521">
        <f>AND(MONTH(F4106)=MONTH(S4106), YEAR(F4106)=YEAR(S4106))</f>
        <v/>
      </c>
      <c r="Q4106" s="521">
        <f>U4106="L001-901905215"</f>
        <v/>
      </c>
      <c r="R4106" s="556">
        <f>G4106-W4106</f>
        <v/>
      </c>
      <c r="S4106" s="523" t="n">
        <v>44195</v>
      </c>
      <c r="T4106" s="522" t="inlineStr">
        <is>
          <t>IN202012-0038</t>
        </is>
      </c>
      <c r="U4106" s="522" t="inlineStr">
        <is>
          <t>L001-901905215</t>
        </is>
      </c>
      <c r="V4106" s="522" t="inlineStr">
        <is>
          <t>វីអ៊ីស៊ិន (ខេមបូឌា) អ៊ិនដាសស្ទ្រី ឯ.ក</t>
        </is>
      </c>
      <c r="W4106" s="556" t="n">
        <v>268527</v>
      </c>
    </row>
    <row r="4107">
      <c r="A4107" s="521" t="n">
        <v>4099</v>
      </c>
      <c r="B4107" s="522" t="n"/>
      <c r="C4107" s="522" t="inlineStr">
        <is>
          <t>56ប៊ី-លីង សឹបផ្លាយ ឆេន មេនេចម៉ិន ឯ.ក</t>
        </is>
      </c>
      <c r="D4107" s="522" t="inlineStr">
        <is>
          <t>K004-902004795</t>
        </is>
      </c>
      <c r="E4107" s="521" t="inlineStr">
        <is>
          <t>IN202012-0037</t>
        </is>
      </c>
      <c r="F4107" s="523" t="n">
        <v>44195</v>
      </c>
      <c r="G4107" s="556" t="n">
        <v>256413</v>
      </c>
      <c r="I4107" s="521">
        <f>G4107</f>
        <v/>
      </c>
      <c r="K4107" s="521">
        <f>I4107-G4107</f>
        <v/>
      </c>
      <c r="M4107" s="522" t="inlineStr">
        <is>
          <t>IN2020120037</t>
        </is>
      </c>
      <c r="N4107" s="522" t="inlineStr">
        <is>
          <t>IN2020120037</t>
        </is>
      </c>
      <c r="O4107" s="521">
        <f>M4107=N4107</f>
        <v/>
      </c>
      <c r="P4107" s="521">
        <f>AND(MONTH(F4107)=MONTH(S4107), YEAR(F4107)=YEAR(S4107))</f>
        <v/>
      </c>
      <c r="Q4107" s="521">
        <f>U4107="L001-901905215"</f>
        <v/>
      </c>
      <c r="R4107" s="556">
        <f>G4107-W4107</f>
        <v/>
      </c>
      <c r="S4107" s="523" t="n">
        <v>44195</v>
      </c>
      <c r="T4107" s="522" t="inlineStr">
        <is>
          <t>IN202012-0037</t>
        </is>
      </c>
      <c r="U4107" s="522" t="inlineStr">
        <is>
          <t>L001-901905215</t>
        </is>
      </c>
      <c r="V4107" s="522" t="inlineStr">
        <is>
          <t>វីអ៊ីស៊ិន (ខេមបូឌា) អ៊ិនដាសស្ទ្រី ឯ.ក</t>
        </is>
      </c>
      <c r="W4107" s="556" t="n">
        <v>256413</v>
      </c>
    </row>
    <row r="4108">
      <c r="A4108" s="521" t="n">
        <v>4100</v>
      </c>
      <c r="B4108" s="522" t="n"/>
      <c r="C4108" s="522" t="inlineStr">
        <is>
          <t>56ប៊ី-លីង សឹបផ្លាយ ឆេន មេនេចម៉ិន ឯ.ក</t>
        </is>
      </c>
      <c r="D4108" s="522" t="inlineStr">
        <is>
          <t>K004-902004795</t>
        </is>
      </c>
      <c r="E4108" s="521" t="inlineStr">
        <is>
          <t>IN202012-0020</t>
        </is>
      </c>
      <c r="F4108" s="523" t="n">
        <v>44181</v>
      </c>
      <c r="G4108" s="556" t="n">
        <v>256540</v>
      </c>
      <c r="I4108" s="521">
        <f>G4108</f>
        <v/>
      </c>
      <c r="K4108" s="521">
        <f>I4108-G4108</f>
        <v/>
      </c>
      <c r="M4108" s="522" t="inlineStr">
        <is>
          <t>IN2020120020</t>
        </is>
      </c>
      <c r="N4108" s="522" t="inlineStr">
        <is>
          <t>IN2020120020</t>
        </is>
      </c>
      <c r="O4108" s="521">
        <f>M4108=N4108</f>
        <v/>
      </c>
      <c r="P4108" s="521">
        <f>AND(MONTH(F4108)=MONTH(S4108), YEAR(F4108)=YEAR(S4108))</f>
        <v/>
      </c>
      <c r="Q4108" s="521">
        <f>U4108="L001-901905215"</f>
        <v/>
      </c>
      <c r="R4108" s="556">
        <f>G4108-W4108</f>
        <v/>
      </c>
      <c r="S4108" s="523" t="n">
        <v>44181</v>
      </c>
      <c r="T4108" s="522" t="inlineStr">
        <is>
          <t>IN202012-0020</t>
        </is>
      </c>
      <c r="U4108" s="522" t="inlineStr">
        <is>
          <t>L001-901905215</t>
        </is>
      </c>
      <c r="V4108" s="522" t="inlineStr">
        <is>
          <t>វីអ៊ីស៊ិន (ខេមបូឌា) អ៊ិនដាសស្ទ្រី ឯ.ក</t>
        </is>
      </c>
      <c r="W4108" s="556" t="n">
        <v>256540</v>
      </c>
    </row>
    <row r="4109">
      <c r="A4109" s="521" t="n">
        <v>4101</v>
      </c>
      <c r="B4109" s="522" t="n"/>
      <c r="C4109" s="522" t="inlineStr">
        <is>
          <t>56ប៊ី-លីង សឹបផ្លាយ ឆេន មេនេចម៉ិន ឯ.ក</t>
        </is>
      </c>
      <c r="D4109" s="522" t="inlineStr">
        <is>
          <t>K004-902004795</t>
        </is>
      </c>
      <c r="E4109" s="521" t="inlineStr">
        <is>
          <t>IN202012-0021</t>
        </is>
      </c>
      <c r="F4109" s="523" t="n">
        <v>44181</v>
      </c>
      <c r="G4109" s="556" t="n">
        <v>256540</v>
      </c>
      <c r="I4109" s="521">
        <f>G4109</f>
        <v/>
      </c>
      <c r="K4109" s="521">
        <f>I4109-G4109</f>
        <v/>
      </c>
      <c r="M4109" s="522" t="inlineStr">
        <is>
          <t>IN2020120021</t>
        </is>
      </c>
      <c r="N4109" s="522" t="inlineStr">
        <is>
          <t>IN2020120021</t>
        </is>
      </c>
      <c r="O4109" s="521">
        <f>M4109=N4109</f>
        <v/>
      </c>
      <c r="P4109" s="521">
        <f>AND(MONTH(F4109)=MONTH(S4109), YEAR(F4109)=YEAR(S4109))</f>
        <v/>
      </c>
      <c r="Q4109" s="521">
        <f>U4109="L001-901905215"</f>
        <v/>
      </c>
      <c r="R4109" s="556">
        <f>G4109-W4109</f>
        <v/>
      </c>
      <c r="S4109" s="523" t="n">
        <v>44181</v>
      </c>
      <c r="T4109" s="522" t="inlineStr">
        <is>
          <t>IN202012-0021</t>
        </is>
      </c>
      <c r="U4109" s="522" t="inlineStr">
        <is>
          <t>L001-901905215</t>
        </is>
      </c>
      <c r="V4109" s="522" t="inlineStr">
        <is>
          <t>វីអ៊ីស៊ិន (ខេមបូឌា) អ៊ិនដាសស្ទ្រី ឯ.ក</t>
        </is>
      </c>
      <c r="W4109" s="556" t="n">
        <v>256540</v>
      </c>
    </row>
    <row r="4110">
      <c r="A4110" s="521" t="n">
        <v>4102</v>
      </c>
      <c r="B4110" s="522" t="n"/>
      <c r="C4110" s="522" t="inlineStr">
        <is>
          <t>56ប៊ី-លីង សឹបផ្លាយ ឆេន មេនេចម៉ិន ឯ.ក</t>
        </is>
      </c>
      <c r="D4110" s="522" t="inlineStr">
        <is>
          <t>K004-902004795</t>
        </is>
      </c>
      <c r="E4110" s="521" t="inlineStr">
        <is>
          <t>IN202012-0034</t>
        </is>
      </c>
      <c r="F4110" s="523" t="n">
        <v>44183</v>
      </c>
      <c r="G4110" s="556" t="n">
        <v>155463</v>
      </c>
      <c r="I4110" s="521">
        <f>G4110</f>
        <v/>
      </c>
      <c r="K4110" s="521">
        <f>I4110-G4110</f>
        <v/>
      </c>
      <c r="M4110" s="522" t="inlineStr">
        <is>
          <t>IN2020120034</t>
        </is>
      </c>
      <c r="N4110" s="522" t="inlineStr">
        <is>
          <t>IN2020120034</t>
        </is>
      </c>
      <c r="O4110" s="521">
        <f>M4110=N4110</f>
        <v/>
      </c>
      <c r="P4110" s="521">
        <f>AND(MONTH(F4110)=MONTH(S4110), YEAR(F4110)=YEAR(S4110))</f>
        <v/>
      </c>
      <c r="Q4110" s="521">
        <f>U4110="L001-901905215"</f>
        <v/>
      </c>
      <c r="R4110" s="556">
        <f>G4110-W4110</f>
        <v/>
      </c>
      <c r="S4110" s="523" t="n">
        <v>44183</v>
      </c>
      <c r="T4110" s="522" t="inlineStr">
        <is>
          <t>IN202012-0034</t>
        </is>
      </c>
      <c r="U4110" s="522" t="inlineStr">
        <is>
          <t>L001-901905215</t>
        </is>
      </c>
      <c r="V4110" s="522" t="inlineStr">
        <is>
          <t>វីអ៊ីស៊ិន (ខេមបូឌា) អ៊ិនដាសស្ទ្រី ឯ.ក</t>
        </is>
      </c>
      <c r="W4110" s="556" t="n">
        <v>155463</v>
      </c>
    </row>
    <row r="4111">
      <c r="A4111" s="521" t="n">
        <v>4103</v>
      </c>
      <c r="B4111" s="522" t="n"/>
      <c r="C4111" s="522" t="inlineStr">
        <is>
          <t>56ប៊ី-លីង សឹបផ្លាយ ឆេន មេនេចម៉ិន ឯ.ក</t>
        </is>
      </c>
      <c r="D4111" s="522" t="inlineStr">
        <is>
          <t>K004-902004795</t>
        </is>
      </c>
      <c r="E4111" s="521" t="inlineStr">
        <is>
          <t>IN202012-0033</t>
        </is>
      </c>
      <c r="F4111" s="523" t="n">
        <v>44183</v>
      </c>
      <c r="G4111" s="556" t="n">
        <v>688486</v>
      </c>
      <c r="I4111" s="521">
        <f>G4111</f>
        <v/>
      </c>
      <c r="K4111" s="521">
        <f>I4111-G4111</f>
        <v/>
      </c>
      <c r="M4111" s="522" t="inlineStr">
        <is>
          <t>IN2020120033</t>
        </is>
      </c>
      <c r="N4111" s="522" t="inlineStr">
        <is>
          <t>IN2020120033</t>
        </is>
      </c>
      <c r="O4111" s="521">
        <f>M4111=N4111</f>
        <v/>
      </c>
      <c r="P4111" s="521">
        <f>AND(MONTH(F4111)=MONTH(S4111), YEAR(F4111)=YEAR(S4111))</f>
        <v/>
      </c>
      <c r="Q4111" s="521">
        <f>U4111="L001-901905215"</f>
        <v/>
      </c>
      <c r="R4111" s="556">
        <f>G4111-W4111</f>
        <v/>
      </c>
      <c r="S4111" s="523" t="n">
        <v>44183</v>
      </c>
      <c r="T4111" s="522" t="inlineStr">
        <is>
          <t>IN202012-0033</t>
        </is>
      </c>
      <c r="U4111" s="522" t="inlineStr">
        <is>
          <t>L001-901905215</t>
        </is>
      </c>
      <c r="V4111" s="522" t="inlineStr">
        <is>
          <t>វីអ៊ីស៊ិន (ខេមបូឌា) អ៊ិនដាសស្ទ្រី ឯ.ក</t>
        </is>
      </c>
      <c r="W4111" s="556" t="n">
        <v>688486</v>
      </c>
    </row>
    <row r="4112">
      <c r="A4112" s="521" t="n">
        <v>4104</v>
      </c>
      <c r="B4112" s="522" t="n"/>
      <c r="C4112" s="522" t="inlineStr">
        <is>
          <t>56ប៊ី-លីង សឹបផ្លាយ ឆេន មេនេចម៉ិន ឯ.ក</t>
        </is>
      </c>
      <c r="D4112" s="522" t="inlineStr">
        <is>
          <t>K004-902004795</t>
        </is>
      </c>
      <c r="E4112" s="521" t="inlineStr">
        <is>
          <t>IN202012-0032</t>
        </is>
      </c>
      <c r="F4112" s="523" t="n">
        <v>44183</v>
      </c>
      <c r="G4112" s="556" t="n">
        <v>203919</v>
      </c>
      <c r="I4112" s="521">
        <f>G4112</f>
        <v/>
      </c>
      <c r="K4112" s="521">
        <f>I4112-G4112</f>
        <v/>
      </c>
      <c r="M4112" s="522" t="inlineStr">
        <is>
          <t>IN2020120032</t>
        </is>
      </c>
      <c r="N4112" s="522" t="inlineStr">
        <is>
          <t>IN2020120032</t>
        </is>
      </c>
      <c r="O4112" s="521">
        <f>M4112=N4112</f>
        <v/>
      </c>
      <c r="P4112" s="521">
        <f>AND(MONTH(F4112)=MONTH(S4112), YEAR(F4112)=YEAR(S4112))</f>
        <v/>
      </c>
      <c r="Q4112" s="521">
        <f>U4112="L001-901905215"</f>
        <v/>
      </c>
      <c r="R4112" s="556">
        <f>G4112-W4112</f>
        <v/>
      </c>
      <c r="S4112" s="523" t="n">
        <v>44183</v>
      </c>
      <c r="T4112" s="522" t="inlineStr">
        <is>
          <t>IN202012-0032</t>
        </is>
      </c>
      <c r="U4112" s="522" t="inlineStr">
        <is>
          <t>L001-901905215</t>
        </is>
      </c>
      <c r="V4112" s="522" t="inlineStr">
        <is>
          <t>វីអ៊ីស៊ិន (ខេមបូឌា) អ៊ិនដាសស្ទ្រី ឯ.ក</t>
        </is>
      </c>
      <c r="W4112" s="556" t="n">
        <v>203919</v>
      </c>
    </row>
    <row r="4113">
      <c r="A4113" s="521" t="n">
        <v>4105</v>
      </c>
      <c r="B4113" s="522" t="n"/>
      <c r="C4113" s="522" t="inlineStr">
        <is>
          <t>56ប៊ី-លីង សឹបផ្លាយ ឆេន មេនេចម៉ិន ឯ.ក</t>
        </is>
      </c>
      <c r="D4113" s="522" t="inlineStr">
        <is>
          <t>K004-902004795</t>
        </is>
      </c>
      <c r="E4113" s="521" t="inlineStr">
        <is>
          <t>IN202012-0031</t>
        </is>
      </c>
      <c r="F4113" s="523" t="n">
        <v>44183</v>
      </c>
      <c r="G4113" s="556" t="n">
        <v>405819</v>
      </c>
      <c r="I4113" s="521">
        <f>G4113</f>
        <v/>
      </c>
      <c r="K4113" s="521">
        <f>I4113-G4113</f>
        <v/>
      </c>
      <c r="M4113" s="522" t="inlineStr">
        <is>
          <t>IN2020120031</t>
        </is>
      </c>
      <c r="N4113" s="522" t="inlineStr">
        <is>
          <t>IN2020120031</t>
        </is>
      </c>
      <c r="O4113" s="521">
        <f>M4113=N4113</f>
        <v/>
      </c>
      <c r="P4113" s="521">
        <f>AND(MONTH(F4113)=MONTH(S4113), YEAR(F4113)=YEAR(S4113))</f>
        <v/>
      </c>
      <c r="Q4113" s="521">
        <f>U4113="L001-901905215"</f>
        <v/>
      </c>
      <c r="R4113" s="556">
        <f>G4113-W4113</f>
        <v/>
      </c>
      <c r="S4113" s="523" t="n">
        <v>44183</v>
      </c>
      <c r="T4113" s="522" t="inlineStr">
        <is>
          <t>IN202012-0031</t>
        </is>
      </c>
      <c r="U4113" s="522" t="inlineStr">
        <is>
          <t>L001-901905215</t>
        </is>
      </c>
      <c r="V4113" s="522" t="inlineStr">
        <is>
          <t>វីអ៊ីស៊ិន (ខេមបូឌា) អ៊ិនដាសស្ទ្រី ឯ.ក</t>
        </is>
      </c>
      <c r="W4113" s="556" t="n">
        <v>405819</v>
      </c>
    </row>
    <row r="4114">
      <c r="A4114" s="521" t="n">
        <v>4106</v>
      </c>
      <c r="B4114" s="522" t="n"/>
      <c r="C4114" s="522" t="inlineStr">
        <is>
          <t>56ប៊ី-លីង សឹបផ្លាយ ឆេន មេនេចម៉ិន ឯ.ក</t>
        </is>
      </c>
      <c r="D4114" s="522" t="inlineStr">
        <is>
          <t>K004-902004795</t>
        </is>
      </c>
      <c r="E4114" s="521" t="inlineStr">
        <is>
          <t>IN202012-0030</t>
        </is>
      </c>
      <c r="F4114" s="523" t="n">
        <v>44183</v>
      </c>
      <c r="G4114" s="556" t="n">
        <v>516460</v>
      </c>
      <c r="I4114" s="521">
        <f>G4114</f>
        <v/>
      </c>
      <c r="K4114" s="521">
        <f>I4114-G4114</f>
        <v/>
      </c>
      <c r="M4114" s="522" t="inlineStr">
        <is>
          <t>IN2020120030</t>
        </is>
      </c>
      <c r="N4114" s="522" t="inlineStr">
        <is>
          <t>IN2020120030</t>
        </is>
      </c>
      <c r="O4114" s="521">
        <f>M4114=N4114</f>
        <v/>
      </c>
      <c r="P4114" s="521">
        <f>AND(MONTH(F4114)=MONTH(S4114), YEAR(F4114)=YEAR(S4114))</f>
        <v/>
      </c>
      <c r="Q4114" s="521">
        <f>U4114="L001-901905215"</f>
        <v/>
      </c>
      <c r="R4114" s="556">
        <f>G4114-W4114</f>
        <v/>
      </c>
      <c r="S4114" s="523" t="n">
        <v>44183</v>
      </c>
      <c r="T4114" s="522" t="inlineStr">
        <is>
          <t>IN202012-0030</t>
        </is>
      </c>
      <c r="U4114" s="522" t="inlineStr">
        <is>
          <t>L001-901905215</t>
        </is>
      </c>
      <c r="V4114" s="522" t="inlineStr">
        <is>
          <t>វីអ៊ីស៊ិន (ខេមបូឌា) អ៊ិនដាសស្ទ្រី ឯ.ក</t>
        </is>
      </c>
      <c r="W4114" s="556" t="n">
        <v>516460</v>
      </c>
    </row>
    <row r="4115">
      <c r="A4115" s="521" t="n">
        <v>4107</v>
      </c>
      <c r="B4115" s="522" t="n"/>
      <c r="C4115" s="522" t="inlineStr">
        <is>
          <t>56ប៊ី-លីង សឹបផ្លាយ ឆេន មេនេចម៉ិន ឯ.ក</t>
        </is>
      </c>
      <c r="D4115" s="522" t="inlineStr">
        <is>
          <t>K004-902004795</t>
        </is>
      </c>
      <c r="E4115" s="521" t="inlineStr">
        <is>
          <t>IN202012-0029</t>
        </is>
      </c>
      <c r="F4115" s="523" t="n">
        <v>44183</v>
      </c>
      <c r="G4115" s="556" t="n">
        <v>508788</v>
      </c>
      <c r="I4115" s="521">
        <f>G4115</f>
        <v/>
      </c>
      <c r="K4115" s="521">
        <f>I4115-G4115</f>
        <v/>
      </c>
      <c r="M4115" s="522" t="inlineStr">
        <is>
          <t>IN2020120029</t>
        </is>
      </c>
      <c r="N4115" s="522" t="inlineStr">
        <is>
          <t>IN2020120029</t>
        </is>
      </c>
      <c r="O4115" s="521">
        <f>M4115=N4115</f>
        <v/>
      </c>
      <c r="P4115" s="521">
        <f>AND(MONTH(F4115)=MONTH(S4115), YEAR(F4115)=YEAR(S4115))</f>
        <v/>
      </c>
      <c r="Q4115" s="521">
        <f>U4115="L001-901905215"</f>
        <v/>
      </c>
      <c r="R4115" s="556">
        <f>G4115-W4115</f>
        <v/>
      </c>
      <c r="S4115" s="523" t="n">
        <v>44183</v>
      </c>
      <c r="T4115" s="522" t="inlineStr">
        <is>
          <t>IN202012-0029</t>
        </is>
      </c>
      <c r="U4115" s="522" t="inlineStr">
        <is>
          <t>L001-901905215</t>
        </is>
      </c>
      <c r="V4115" s="522" t="inlineStr">
        <is>
          <t>វីអ៊ីស៊ិន (ខេមបូឌា) អ៊ិនដាសស្ទ្រី ឯ.ក</t>
        </is>
      </c>
      <c r="W4115" s="556" t="n">
        <v>508788</v>
      </c>
    </row>
    <row r="4116">
      <c r="A4116" s="521" t="n">
        <v>4108</v>
      </c>
      <c r="B4116" s="522" t="n"/>
      <c r="C4116" s="522" t="inlineStr">
        <is>
          <t>56ប៊ី-លីង សឹបផ្លាយ ឆេន មេនេចម៉ិន ឯ.ក</t>
        </is>
      </c>
      <c r="D4116" s="522" t="inlineStr">
        <is>
          <t>K004-902004795</t>
        </is>
      </c>
      <c r="E4116" s="521" t="inlineStr">
        <is>
          <t>IN202012-0028</t>
        </is>
      </c>
      <c r="F4116" s="523" t="n">
        <v>44183</v>
      </c>
      <c r="G4116" s="556" t="n">
        <v>569358</v>
      </c>
      <c r="I4116" s="521">
        <f>G4116</f>
        <v/>
      </c>
      <c r="K4116" s="521">
        <f>I4116-G4116</f>
        <v/>
      </c>
      <c r="M4116" s="522" t="inlineStr">
        <is>
          <t>IN2020120028</t>
        </is>
      </c>
      <c r="N4116" s="522" t="inlineStr">
        <is>
          <t>IN2020120028</t>
        </is>
      </c>
      <c r="O4116" s="521">
        <f>M4116=N4116</f>
        <v/>
      </c>
      <c r="P4116" s="521">
        <f>AND(MONTH(F4116)=MONTH(S4116), YEAR(F4116)=YEAR(S4116))</f>
        <v/>
      </c>
      <c r="Q4116" s="521">
        <f>U4116="L001-901905215"</f>
        <v/>
      </c>
      <c r="R4116" s="556">
        <f>G4116-W4116</f>
        <v/>
      </c>
      <c r="S4116" s="523" t="n">
        <v>44183</v>
      </c>
      <c r="T4116" s="522" t="inlineStr">
        <is>
          <t>IN202012-0028</t>
        </is>
      </c>
      <c r="U4116" s="522" t="inlineStr">
        <is>
          <t>L001-901905215</t>
        </is>
      </c>
      <c r="V4116" s="522" t="inlineStr">
        <is>
          <t>វីអ៊ីស៊ិន (ខេមបូឌា) អ៊ិនដាសស្ទ្រី ឯ.ក</t>
        </is>
      </c>
      <c r="W4116" s="556" t="n">
        <v>569358</v>
      </c>
    </row>
    <row r="4117">
      <c r="A4117" s="521" t="n">
        <v>4109</v>
      </c>
      <c r="B4117" s="522" t="n"/>
      <c r="C4117" s="522" t="inlineStr">
        <is>
          <t>56ប៊ី-លីង សឹបផ្លាយ ឆេន មេនេចម៉ិន ឯ.ក</t>
        </is>
      </c>
      <c r="D4117" s="522" t="inlineStr">
        <is>
          <t>K004-902004795</t>
        </is>
      </c>
      <c r="E4117" s="521" t="inlineStr">
        <is>
          <t>IN202012-0027</t>
        </is>
      </c>
      <c r="F4117" s="523" t="n">
        <v>44183</v>
      </c>
      <c r="G4117" s="556" t="n">
        <v>256413</v>
      </c>
      <c r="I4117" s="521">
        <f>G4117</f>
        <v/>
      </c>
      <c r="K4117" s="521">
        <f>I4117-G4117</f>
        <v/>
      </c>
      <c r="M4117" s="522" t="inlineStr">
        <is>
          <t>IN2020120027</t>
        </is>
      </c>
      <c r="N4117" s="522" t="inlineStr">
        <is>
          <t>IN2020120027</t>
        </is>
      </c>
      <c r="O4117" s="521">
        <f>M4117=N4117</f>
        <v/>
      </c>
      <c r="P4117" s="521">
        <f>AND(MONTH(F4117)=MONTH(S4117), YEAR(F4117)=YEAR(S4117))</f>
        <v/>
      </c>
      <c r="Q4117" s="521">
        <f>U4117="L001-901905215"</f>
        <v/>
      </c>
      <c r="R4117" s="556">
        <f>G4117-W4117</f>
        <v/>
      </c>
      <c r="S4117" s="523" t="n">
        <v>44183</v>
      </c>
      <c r="T4117" s="522" t="inlineStr">
        <is>
          <t>IN202012-0027</t>
        </is>
      </c>
      <c r="U4117" s="522" t="inlineStr">
        <is>
          <t>L001-901905215</t>
        </is>
      </c>
      <c r="V4117" s="522" t="inlineStr">
        <is>
          <t>វីអ៊ីស៊ិន (ខេមបូឌា) អ៊ិនដាសស្ទ្រី ឯ.ក</t>
        </is>
      </c>
      <c r="W4117" s="556" t="n">
        <v>256413</v>
      </c>
    </row>
    <row r="4118">
      <c r="A4118" s="521" t="n">
        <v>4110</v>
      </c>
      <c r="B4118" s="522" t="n"/>
      <c r="C4118" s="522" t="inlineStr">
        <is>
          <t>56ប៊ី-លីង សឹបផ្លាយ ឆេន មេនេចម៉ិន ឯ.ក</t>
        </is>
      </c>
      <c r="D4118" s="522" t="inlineStr">
        <is>
          <t>K004-902004795</t>
        </is>
      </c>
      <c r="E4118" s="521" t="inlineStr">
        <is>
          <t>IN202012-0026</t>
        </is>
      </c>
      <c r="F4118" s="523" t="n">
        <v>44183</v>
      </c>
      <c r="G4118" s="556" t="n">
        <v>904960</v>
      </c>
      <c r="I4118" s="521">
        <f>G4118</f>
        <v/>
      </c>
      <c r="K4118" s="521">
        <f>I4118-G4118</f>
        <v/>
      </c>
      <c r="M4118" s="522" t="inlineStr">
        <is>
          <t>IN2020120026</t>
        </is>
      </c>
      <c r="N4118" s="522" t="inlineStr">
        <is>
          <t>IN2020120026</t>
        </is>
      </c>
      <c r="O4118" s="521">
        <f>M4118=N4118</f>
        <v/>
      </c>
      <c r="P4118" s="521">
        <f>AND(MONTH(F4118)=MONTH(S4118), YEAR(F4118)=YEAR(S4118))</f>
        <v/>
      </c>
      <c r="Q4118" s="521">
        <f>U4118="L001-901905215"</f>
        <v/>
      </c>
      <c r="R4118" s="556">
        <f>G4118-W4118</f>
        <v/>
      </c>
      <c r="S4118" s="523" t="n">
        <v>44183</v>
      </c>
      <c r="T4118" s="522" t="inlineStr">
        <is>
          <t>IN202012-0026</t>
        </is>
      </c>
      <c r="U4118" s="522" t="inlineStr">
        <is>
          <t>L001-901905215</t>
        </is>
      </c>
      <c r="V4118" s="522" t="inlineStr">
        <is>
          <t>វីអ៊ីស៊ិន (ខេមបូឌា) អ៊ិនដាសស្ទ្រី ឯ.ក</t>
        </is>
      </c>
      <c r="W4118" s="556" t="n">
        <v>904960</v>
      </c>
    </row>
    <row r="4119">
      <c r="A4119" s="521" t="n">
        <v>4111</v>
      </c>
      <c r="B4119" s="522" t="n"/>
      <c r="C4119" s="522" t="inlineStr">
        <is>
          <t>56ប៊ី-លីង សឹបផ្លាយ ឆេន មេនេចម៉ិន ឯ.ក</t>
        </is>
      </c>
      <c r="D4119" s="522" t="inlineStr">
        <is>
          <t>K004-902004795</t>
        </is>
      </c>
      <c r="E4119" s="521" t="inlineStr">
        <is>
          <t>IN202012-0025</t>
        </is>
      </c>
      <c r="F4119" s="523" t="n">
        <v>44182</v>
      </c>
      <c r="G4119" s="556" t="n">
        <v>268660</v>
      </c>
      <c r="I4119" s="521">
        <f>G4119</f>
        <v/>
      </c>
      <c r="K4119" s="521">
        <f>I4119-G4119</f>
        <v/>
      </c>
      <c r="M4119" s="522" t="inlineStr">
        <is>
          <t>IN2020120025</t>
        </is>
      </c>
      <c r="N4119" s="522" t="inlineStr">
        <is>
          <t>IN2020120025</t>
        </is>
      </c>
      <c r="O4119" s="521">
        <f>M4119=N4119</f>
        <v/>
      </c>
      <c r="P4119" s="521">
        <f>AND(MONTH(F4119)=MONTH(S4119), YEAR(F4119)=YEAR(S4119))</f>
        <v/>
      </c>
      <c r="Q4119" s="521">
        <f>U4119="L001-901905215"</f>
        <v/>
      </c>
      <c r="R4119" s="556">
        <f>G4119-W4119</f>
        <v/>
      </c>
      <c r="S4119" s="523" t="n">
        <v>44182</v>
      </c>
      <c r="T4119" s="522" t="inlineStr">
        <is>
          <t>IN202012-0025</t>
        </is>
      </c>
      <c r="U4119" s="522" t="inlineStr">
        <is>
          <t>L001-901905215</t>
        </is>
      </c>
      <c r="V4119" s="522" t="inlineStr">
        <is>
          <t>វីអ៊ីស៊ិន (ខេមបូឌា) អ៊ិនដាសស្ទ្រី ឯ.ក</t>
        </is>
      </c>
      <c r="W4119" s="556" t="n">
        <v>241387</v>
      </c>
    </row>
    <row r="4120">
      <c r="A4120" s="521" t="n">
        <v>4112</v>
      </c>
      <c r="B4120" s="522" t="n"/>
      <c r="C4120" s="522" t="inlineStr">
        <is>
          <t>56ប៊ី-លីង សឹបផ្លាយ ឆេន មេនេចម៉ិន ឯ.ក</t>
        </is>
      </c>
      <c r="D4120" s="522" t="inlineStr">
        <is>
          <t>K004-902004795</t>
        </is>
      </c>
      <c r="E4120" s="521" t="inlineStr">
        <is>
          <t>IN202012-0024</t>
        </is>
      </c>
      <c r="F4120" s="523" t="n">
        <v>44182</v>
      </c>
      <c r="G4120" s="556" t="n">
        <v>460560</v>
      </c>
      <c r="I4120" s="521">
        <f>G4120</f>
        <v/>
      </c>
      <c r="K4120" s="521">
        <f>I4120-G4120</f>
        <v/>
      </c>
      <c r="M4120" s="522" t="inlineStr">
        <is>
          <t>IN2020120024</t>
        </is>
      </c>
      <c r="N4120" s="522" t="inlineStr">
        <is>
          <t>IN2020120024</t>
        </is>
      </c>
      <c r="O4120" s="521">
        <f>M4120=N4120</f>
        <v/>
      </c>
      <c r="P4120" s="521">
        <f>AND(MONTH(F4120)=MONTH(S4120), YEAR(F4120)=YEAR(S4120))</f>
        <v/>
      </c>
      <c r="Q4120" s="521">
        <f>U4120="L001-901905215"</f>
        <v/>
      </c>
      <c r="R4120" s="556">
        <f>G4120-W4120</f>
        <v/>
      </c>
      <c r="S4120" s="523" t="n">
        <v>44182</v>
      </c>
      <c r="T4120" s="522" t="inlineStr">
        <is>
          <t>IN202012-0024</t>
        </is>
      </c>
      <c r="U4120" s="522" t="inlineStr">
        <is>
          <t>L001-901905215</t>
        </is>
      </c>
      <c r="V4120" s="522" t="inlineStr">
        <is>
          <t>វីអ៊ីស៊ិន (ខេមបូឌា) អ៊ិនដាសស្ទ្រី ឯ.ក</t>
        </is>
      </c>
      <c r="W4120" s="556" t="n">
        <v>460560</v>
      </c>
    </row>
    <row r="4121">
      <c r="A4121" s="521" t="n">
        <v>4113</v>
      </c>
      <c r="B4121" s="522" t="n"/>
      <c r="C4121" s="522" t="inlineStr">
        <is>
          <t>56ប៊ី-លីង សឹបផ្លាយ ឆេន មេនេចម៉ិន ឯ.ក</t>
        </is>
      </c>
      <c r="D4121" s="522" t="inlineStr">
        <is>
          <t>K004-902004795</t>
        </is>
      </c>
      <c r="E4121" s="521" t="inlineStr">
        <is>
          <t>IN202012-0023</t>
        </is>
      </c>
      <c r="F4121" s="523" t="n">
        <v>44182</v>
      </c>
      <c r="G4121" s="556" t="n">
        <v>478740</v>
      </c>
      <c r="I4121" s="521">
        <f>G4121</f>
        <v/>
      </c>
      <c r="K4121" s="521">
        <f>I4121-G4121</f>
        <v/>
      </c>
      <c r="M4121" s="522" t="inlineStr">
        <is>
          <t>IN2020120023</t>
        </is>
      </c>
      <c r="N4121" s="522" t="inlineStr">
        <is>
          <t>IN2020120023</t>
        </is>
      </c>
      <c r="O4121" s="521">
        <f>M4121=N4121</f>
        <v/>
      </c>
      <c r="P4121" s="521">
        <f>AND(MONTH(F4121)=MONTH(S4121), YEAR(F4121)=YEAR(S4121))</f>
        <v/>
      </c>
      <c r="Q4121" s="521">
        <f>U4121="L001-901905215"</f>
        <v/>
      </c>
      <c r="R4121" s="556">
        <f>G4121-W4121</f>
        <v/>
      </c>
      <c r="S4121" s="523" t="n">
        <v>44182</v>
      </c>
      <c r="T4121" s="522" t="inlineStr">
        <is>
          <t>IN202012-0023</t>
        </is>
      </c>
      <c r="U4121" s="522" t="inlineStr">
        <is>
          <t>L001-901905215</t>
        </is>
      </c>
      <c r="V4121" s="522" t="inlineStr">
        <is>
          <t>វីអ៊ីស៊ិន (ខេមបូឌា) អ៊ិនដាសស្ទ្រី ឯ.ក</t>
        </is>
      </c>
      <c r="W4121" s="556" t="n">
        <v>478740</v>
      </c>
    </row>
    <row r="4122">
      <c r="A4122" s="521" t="n">
        <v>4114</v>
      </c>
      <c r="B4122" s="522" t="n"/>
      <c r="C4122" s="522" t="inlineStr">
        <is>
          <t>56ប៊ី-លីង សឹបផ្លាយ ឆេន មេនេចម៉ិន ឯ.ក</t>
        </is>
      </c>
      <c r="D4122" s="522" t="inlineStr">
        <is>
          <t>K004-902004795</t>
        </is>
      </c>
      <c r="E4122" s="521" t="inlineStr">
        <is>
          <t>IN202012-0022</t>
        </is>
      </c>
      <c r="F4122" s="523" t="n">
        <v>44182</v>
      </c>
      <c r="G4122" s="556" t="n">
        <v>256540</v>
      </c>
      <c r="I4122" s="521">
        <f>G4122</f>
        <v/>
      </c>
      <c r="K4122" s="521">
        <f>I4122-G4122</f>
        <v/>
      </c>
      <c r="M4122" s="522" t="inlineStr">
        <is>
          <t>IN2020120022</t>
        </is>
      </c>
      <c r="N4122" s="522" t="inlineStr">
        <is>
          <t>IN2020120022</t>
        </is>
      </c>
      <c r="O4122" s="521">
        <f>M4122=N4122</f>
        <v/>
      </c>
      <c r="P4122" s="521">
        <f>AND(MONTH(F4122)=MONTH(S4122), YEAR(F4122)=YEAR(S4122))</f>
        <v/>
      </c>
      <c r="Q4122" s="521">
        <f>U4122="L001-901905215"</f>
        <v/>
      </c>
      <c r="R4122" s="556">
        <f>G4122-W4122</f>
        <v/>
      </c>
      <c r="S4122" s="523" t="n">
        <v>44182</v>
      </c>
      <c r="T4122" s="522" t="inlineStr">
        <is>
          <t>IN202012-0022</t>
        </is>
      </c>
      <c r="U4122" s="522" t="inlineStr">
        <is>
          <t>L001-901905215</t>
        </is>
      </c>
      <c r="V4122" s="522" t="inlineStr">
        <is>
          <t>វីអ៊ីស៊ិន (ខេមបូឌា) អ៊ិនដាសស្ទ្រី ឯ.ក</t>
        </is>
      </c>
      <c r="W4122" s="556" t="n">
        <v>256540</v>
      </c>
    </row>
    <row r="4123">
      <c r="A4123" s="521" t="n">
        <v>4115</v>
      </c>
      <c r="B4123" s="522" t="n"/>
      <c r="C4123" s="522" t="inlineStr">
        <is>
          <t>អ៊ិចស្ពែឌីធ័រ ខេមបូឌា អិលធីឌី</t>
        </is>
      </c>
      <c r="D4123" s="522" t="inlineStr">
        <is>
          <t>L001-100045898</t>
        </is>
      </c>
      <c r="E4123" s="521" t="inlineStr">
        <is>
          <t>TI-0190134</t>
        </is>
      </c>
      <c r="F4123" s="523" t="n">
        <v>44193</v>
      </c>
      <c r="G4123" s="556" t="n">
        <v>68879</v>
      </c>
      <c r="I4123" s="521">
        <f>G4123</f>
        <v/>
      </c>
      <c r="K4123" s="521">
        <f>I4123-G4123</f>
        <v/>
      </c>
      <c r="M4123" s="522" t="inlineStr">
        <is>
          <t>TI0190134</t>
        </is>
      </c>
      <c r="N4123" s="522" t="inlineStr"/>
      <c r="O4123" s="521">
        <f>M4123=N4123</f>
        <v/>
      </c>
      <c r="P4123" s="521">
        <f>AND(MONTH(F4123)=MONTH(S4123), YEAR(F4123)=YEAR(S4123))</f>
        <v/>
      </c>
      <c r="Q4123" s="521">
        <f>U4123="L001-901905215"</f>
        <v/>
      </c>
      <c r="R4123" s="556">
        <f>G4123-W4123</f>
        <v/>
      </c>
      <c r="S4123" s="521" t="n"/>
      <c r="T4123" s="522" t="n"/>
      <c r="U4123" s="522" t="n"/>
      <c r="V4123" s="522" t="n"/>
      <c r="W4123" s="521" t="n"/>
    </row>
    <row r="4124">
      <c r="A4124" s="521" t="n">
        <v>4116</v>
      </c>
      <c r="B4124" s="522" t="n"/>
      <c r="C4124" s="522" t="inlineStr">
        <is>
          <t>អ៊ិចស្ពែឌីធ័រ ខេមបូឌា អិលធីឌី</t>
        </is>
      </c>
      <c r="D4124" s="522" t="inlineStr">
        <is>
          <t>L001-100045898</t>
        </is>
      </c>
      <c r="E4124" s="521" t="inlineStr">
        <is>
          <t>TI-0190058</t>
        </is>
      </c>
      <c r="F4124" s="523" t="n">
        <v>44193</v>
      </c>
      <c r="G4124" s="556" t="n">
        <v>214692</v>
      </c>
      <c r="I4124" s="521">
        <f>G4124</f>
        <v/>
      </c>
      <c r="K4124" s="521">
        <f>I4124-G4124</f>
        <v/>
      </c>
      <c r="M4124" s="522" t="inlineStr">
        <is>
          <t>TI0190058</t>
        </is>
      </c>
      <c r="N4124" s="522" t="inlineStr"/>
      <c r="O4124" s="521">
        <f>M4124=N4124</f>
        <v/>
      </c>
      <c r="P4124" s="521">
        <f>AND(MONTH(F4124)=MONTH(S4124), YEAR(F4124)=YEAR(S4124))</f>
        <v/>
      </c>
      <c r="Q4124" s="521">
        <f>U4124="L001-901905215"</f>
        <v/>
      </c>
      <c r="R4124" s="556">
        <f>G4124-W4124</f>
        <v/>
      </c>
      <c r="S4124" s="521" t="n"/>
      <c r="T4124" s="522" t="n"/>
      <c r="U4124" s="522" t="n"/>
      <c r="V4124" s="522" t="n"/>
      <c r="W4124" s="521" t="n"/>
    </row>
    <row r="4125">
      <c r="A4125" s="521" t="n">
        <v>4117</v>
      </c>
      <c r="B4125" s="522" t="n"/>
      <c r="C4125" s="522" t="inlineStr">
        <is>
          <t>អ៊ិចស្ពែឌីធ័រ ខេមបូឌា អិលធីឌី</t>
        </is>
      </c>
      <c r="D4125" s="522" t="inlineStr">
        <is>
          <t>L001-100045898</t>
        </is>
      </c>
      <c r="E4125" s="521" t="inlineStr">
        <is>
          <t>TI-0189891</t>
        </is>
      </c>
      <c r="F4125" s="523" t="n">
        <v>44189</v>
      </c>
      <c r="G4125" s="556" t="n">
        <v>16926</v>
      </c>
      <c r="I4125" s="521">
        <f>G4125</f>
        <v/>
      </c>
      <c r="K4125" s="521">
        <f>I4125-G4125</f>
        <v/>
      </c>
      <c r="M4125" s="522" t="inlineStr">
        <is>
          <t>TI0189891</t>
        </is>
      </c>
      <c r="N4125" s="522" t="inlineStr"/>
      <c r="O4125" s="521">
        <f>M4125=N4125</f>
        <v/>
      </c>
      <c r="P4125" s="521">
        <f>AND(MONTH(F4125)=MONTH(S4125), YEAR(F4125)=YEAR(S4125))</f>
        <v/>
      </c>
      <c r="Q4125" s="521">
        <f>U4125="L001-901905215"</f>
        <v/>
      </c>
      <c r="R4125" s="556">
        <f>G4125-W4125</f>
        <v/>
      </c>
      <c r="S4125" s="521" t="n"/>
      <c r="T4125" s="522" t="n"/>
      <c r="U4125" s="522" t="n"/>
      <c r="V4125" s="522" t="n"/>
      <c r="W4125" s="521" t="n"/>
    </row>
    <row r="4126">
      <c r="A4126" s="521" t="n">
        <v>4118</v>
      </c>
      <c r="B4126" s="522" t="n"/>
      <c r="C4126" s="522" t="inlineStr">
        <is>
          <t>អ៊ិចស្ពែឌីធ័រ ខេមបូឌា អិលធីឌី</t>
        </is>
      </c>
      <c r="D4126" s="522" t="inlineStr">
        <is>
          <t>L001-100045898</t>
        </is>
      </c>
      <c r="E4126" s="521" t="inlineStr">
        <is>
          <t>TI-0189825</t>
        </is>
      </c>
      <c r="F4126" s="523" t="n">
        <v>44188</v>
      </c>
      <c r="G4126" s="556" t="n">
        <v>808418</v>
      </c>
      <c r="I4126" s="521">
        <f>G4126</f>
        <v/>
      </c>
      <c r="K4126" s="521">
        <f>I4126-G4126</f>
        <v/>
      </c>
      <c r="M4126" s="522" t="inlineStr">
        <is>
          <t>TI0189825</t>
        </is>
      </c>
      <c r="N4126" s="522" t="inlineStr"/>
      <c r="O4126" s="521">
        <f>M4126=N4126</f>
        <v/>
      </c>
      <c r="P4126" s="521">
        <f>AND(MONTH(F4126)=MONTH(S4126), YEAR(F4126)=YEAR(S4126))</f>
        <v/>
      </c>
      <c r="Q4126" s="521">
        <f>U4126="L001-901905215"</f>
        <v/>
      </c>
      <c r="R4126" s="556">
        <f>G4126-W4126</f>
        <v/>
      </c>
      <c r="S4126" s="521" t="n"/>
      <c r="T4126" s="522" t="n"/>
      <c r="U4126" s="522" t="n"/>
      <c r="V4126" s="522" t="n"/>
      <c r="W4126" s="521" t="n"/>
    </row>
    <row r="4127">
      <c r="A4127" s="521" t="n">
        <v>4119</v>
      </c>
      <c r="B4127" s="522" t="n"/>
      <c r="C4127" s="522" t="inlineStr">
        <is>
          <t>អ៊ិចស្ពែឌីធ័រ ខេមបូឌា អិលធីឌី</t>
        </is>
      </c>
      <c r="D4127" s="522" t="inlineStr">
        <is>
          <t>L001-100045898</t>
        </is>
      </c>
      <c r="E4127" s="521" t="inlineStr">
        <is>
          <t>TI-0189820</t>
        </is>
      </c>
      <c r="F4127" s="523" t="n">
        <v>44188</v>
      </c>
      <c r="G4127" s="556" t="n">
        <v>69177</v>
      </c>
      <c r="I4127" s="521">
        <f>G4127</f>
        <v/>
      </c>
      <c r="K4127" s="521">
        <f>I4127-G4127</f>
        <v/>
      </c>
      <c r="M4127" s="522" t="inlineStr">
        <is>
          <t>TI0189820</t>
        </is>
      </c>
      <c r="N4127" s="522" t="inlineStr"/>
      <c r="O4127" s="521">
        <f>M4127=N4127</f>
        <v/>
      </c>
      <c r="P4127" s="521">
        <f>AND(MONTH(F4127)=MONTH(S4127), YEAR(F4127)=YEAR(S4127))</f>
        <v/>
      </c>
      <c r="Q4127" s="521">
        <f>U4127="L001-901905215"</f>
        <v/>
      </c>
      <c r="R4127" s="556">
        <f>G4127-W4127</f>
        <v/>
      </c>
      <c r="S4127" s="521" t="n"/>
      <c r="T4127" s="522" t="n"/>
      <c r="U4127" s="522" t="n"/>
      <c r="V4127" s="522" t="n"/>
      <c r="W4127" s="521" t="n"/>
    </row>
    <row r="4128">
      <c r="A4128" s="521" t="n">
        <v>4120</v>
      </c>
      <c r="B4128" s="522" t="n"/>
      <c r="C4128" s="522" t="inlineStr">
        <is>
          <t>អ៊ិចស្ពែឌីធ័រ ខេមបូឌា អិលធីឌី</t>
        </is>
      </c>
      <c r="D4128" s="522" t="inlineStr">
        <is>
          <t>L001-100045898</t>
        </is>
      </c>
      <c r="E4128" s="521" t="inlineStr">
        <is>
          <t>TI-0189789</t>
        </is>
      </c>
      <c r="F4128" s="523" t="n">
        <v>44188</v>
      </c>
      <c r="G4128" s="556" t="n">
        <v>241800</v>
      </c>
      <c r="I4128" s="521">
        <f>G4128</f>
        <v/>
      </c>
      <c r="K4128" s="521">
        <f>I4128-G4128</f>
        <v/>
      </c>
      <c r="M4128" s="522" t="inlineStr">
        <is>
          <t>TI0189789</t>
        </is>
      </c>
      <c r="N4128" s="522" t="inlineStr"/>
      <c r="O4128" s="521">
        <f>M4128=N4128</f>
        <v/>
      </c>
      <c r="P4128" s="521">
        <f>AND(MONTH(F4128)=MONTH(S4128), YEAR(F4128)=YEAR(S4128))</f>
        <v/>
      </c>
      <c r="Q4128" s="521">
        <f>U4128="L001-901905215"</f>
        <v/>
      </c>
      <c r="R4128" s="556">
        <f>G4128-W4128</f>
        <v/>
      </c>
      <c r="S4128" s="521" t="n"/>
      <c r="T4128" s="522" t="n"/>
      <c r="U4128" s="522" t="n"/>
      <c r="V4128" s="522" t="n"/>
      <c r="W4128" s="521" t="n"/>
    </row>
    <row r="4129">
      <c r="A4129" s="521" t="n">
        <v>4121</v>
      </c>
      <c r="B4129" s="522" t="n"/>
      <c r="C4129" s="522" t="inlineStr">
        <is>
          <t>អ៊ិចស្ពែឌីធ័រ ខេមបូឌា អិលធីឌី</t>
        </is>
      </c>
      <c r="D4129" s="522" t="inlineStr">
        <is>
          <t>L001-100045898</t>
        </is>
      </c>
      <c r="E4129" s="521" t="inlineStr">
        <is>
          <t>TI-0189778</t>
        </is>
      </c>
      <c r="F4129" s="523" t="n">
        <v>44188</v>
      </c>
      <c r="G4129" s="556" t="n">
        <v>404209</v>
      </c>
      <c r="I4129" s="521">
        <f>G4129</f>
        <v/>
      </c>
      <c r="K4129" s="521">
        <f>I4129-G4129</f>
        <v/>
      </c>
      <c r="M4129" s="522" t="inlineStr">
        <is>
          <t>TI0189778</t>
        </is>
      </c>
      <c r="N4129" s="522" t="inlineStr"/>
      <c r="O4129" s="521">
        <f>M4129=N4129</f>
        <v/>
      </c>
      <c r="P4129" s="521">
        <f>AND(MONTH(F4129)=MONTH(S4129), YEAR(F4129)=YEAR(S4129))</f>
        <v/>
      </c>
      <c r="Q4129" s="521">
        <f>U4129="L001-901905215"</f>
        <v/>
      </c>
      <c r="R4129" s="556">
        <f>G4129-W4129</f>
        <v/>
      </c>
      <c r="S4129" s="521" t="n"/>
      <c r="T4129" s="522" t="n"/>
      <c r="U4129" s="522" t="n"/>
      <c r="V4129" s="522" t="n"/>
      <c r="W4129" s="521" t="n"/>
    </row>
    <row r="4130">
      <c r="A4130" s="521" t="n">
        <v>4122</v>
      </c>
      <c r="B4130" s="522" t="n"/>
      <c r="C4130" s="522" t="inlineStr">
        <is>
          <t>អ៊ិចស្ពែឌីធ័រ ខេមបូឌា អិលធីឌី</t>
        </is>
      </c>
      <c r="D4130" s="522" t="inlineStr">
        <is>
          <t>L001-100045898</t>
        </is>
      </c>
      <c r="E4130" s="521" t="inlineStr">
        <is>
          <t>TI-0189777</t>
        </is>
      </c>
      <c r="F4130" s="523" t="n">
        <v>44188</v>
      </c>
      <c r="G4130" s="556" t="n">
        <v>458211</v>
      </c>
      <c r="I4130" s="521">
        <f>G4130</f>
        <v/>
      </c>
      <c r="K4130" s="521">
        <f>I4130-G4130</f>
        <v/>
      </c>
      <c r="M4130" s="522" t="inlineStr">
        <is>
          <t>TI0189777</t>
        </is>
      </c>
      <c r="N4130" s="522" t="inlineStr"/>
      <c r="O4130" s="521">
        <f>M4130=N4130</f>
        <v/>
      </c>
      <c r="P4130" s="521">
        <f>AND(MONTH(F4130)=MONTH(S4130), YEAR(F4130)=YEAR(S4130))</f>
        <v/>
      </c>
      <c r="Q4130" s="521">
        <f>U4130="L001-901905215"</f>
        <v/>
      </c>
      <c r="R4130" s="556">
        <f>G4130-W4130</f>
        <v/>
      </c>
      <c r="S4130" s="521" t="n"/>
      <c r="T4130" s="522" t="n"/>
      <c r="U4130" s="522" t="n"/>
      <c r="V4130" s="522" t="n"/>
      <c r="W4130" s="521" t="n"/>
    </row>
    <row r="4131">
      <c r="A4131" s="521" t="n">
        <v>4123</v>
      </c>
      <c r="B4131" s="522" t="n"/>
      <c r="C4131" s="522" t="inlineStr">
        <is>
          <t>អ៊ិចស្ពែឌីធ័រ ខេមបូឌា អិលធីឌី</t>
        </is>
      </c>
      <c r="D4131" s="522" t="inlineStr">
        <is>
          <t>L001-100045898</t>
        </is>
      </c>
      <c r="E4131" s="521" t="inlineStr">
        <is>
          <t>TI-0189776</t>
        </is>
      </c>
      <c r="F4131" s="523" t="n">
        <v>44188</v>
      </c>
      <c r="G4131" s="556" t="n">
        <v>483600</v>
      </c>
      <c r="I4131" s="521">
        <f>G4131</f>
        <v/>
      </c>
      <c r="K4131" s="521">
        <f>I4131-G4131</f>
        <v/>
      </c>
      <c r="M4131" s="522" t="inlineStr">
        <is>
          <t>TI0189776</t>
        </is>
      </c>
      <c r="N4131" s="522" t="inlineStr"/>
      <c r="O4131" s="521">
        <f>M4131=N4131</f>
        <v/>
      </c>
      <c r="P4131" s="521">
        <f>AND(MONTH(F4131)=MONTH(S4131), YEAR(F4131)=YEAR(S4131))</f>
        <v/>
      </c>
      <c r="Q4131" s="521">
        <f>U4131="L001-901905215"</f>
        <v/>
      </c>
      <c r="R4131" s="556">
        <f>G4131-W4131</f>
        <v/>
      </c>
      <c r="S4131" s="521" t="n"/>
      <c r="T4131" s="522" t="n"/>
      <c r="U4131" s="522" t="n"/>
      <c r="V4131" s="522" t="n"/>
      <c r="W4131" s="521" t="n"/>
    </row>
    <row r="4132">
      <c r="A4132" s="521" t="n">
        <v>4124</v>
      </c>
      <c r="B4132" s="522" t="n"/>
      <c r="C4132" s="522" t="inlineStr">
        <is>
          <t>អ៊ិចស្ពែឌីធ័រ ខេមបូឌា អិលធីឌី</t>
        </is>
      </c>
      <c r="D4132" s="522" t="inlineStr">
        <is>
          <t>L001-100045898</t>
        </is>
      </c>
      <c r="E4132" s="521" t="inlineStr">
        <is>
          <t>TI-0189775</t>
        </is>
      </c>
      <c r="F4132" s="523" t="n">
        <v>44188</v>
      </c>
      <c r="G4132" s="556" t="n">
        <v>609336</v>
      </c>
      <c r="I4132" s="521">
        <f>G4132</f>
        <v/>
      </c>
      <c r="K4132" s="521">
        <f>I4132-G4132</f>
        <v/>
      </c>
      <c r="M4132" s="522" t="inlineStr">
        <is>
          <t>TI0189775</t>
        </is>
      </c>
      <c r="N4132" s="522" t="inlineStr"/>
      <c r="O4132" s="521">
        <f>M4132=N4132</f>
        <v/>
      </c>
      <c r="P4132" s="521">
        <f>AND(MONTH(F4132)=MONTH(S4132), YEAR(F4132)=YEAR(S4132))</f>
        <v/>
      </c>
      <c r="Q4132" s="521">
        <f>U4132="L001-901905215"</f>
        <v/>
      </c>
      <c r="R4132" s="556">
        <f>G4132-W4132</f>
        <v/>
      </c>
      <c r="S4132" s="521" t="n"/>
      <c r="T4132" s="522" t="n"/>
      <c r="U4132" s="522" t="n"/>
      <c r="V4132" s="522" t="n"/>
      <c r="W4132" s="521" t="n"/>
    </row>
    <row r="4133">
      <c r="A4133" s="521" t="n">
        <v>4125</v>
      </c>
      <c r="B4133" s="522" t="n"/>
      <c r="C4133" s="522" t="inlineStr">
        <is>
          <t>អ៊ិចស្ពែឌីធ័រ ខេមបូឌា អិលធីឌី</t>
        </is>
      </c>
      <c r="D4133" s="522" t="inlineStr">
        <is>
          <t>L001-100045898</t>
        </is>
      </c>
      <c r="E4133" s="521" t="inlineStr">
        <is>
          <t>TI-0189676</t>
        </is>
      </c>
      <c r="F4133" s="523" t="n">
        <v>44187</v>
      </c>
      <c r="G4133" s="556" t="n">
        <v>271277</v>
      </c>
      <c r="I4133" s="521">
        <f>G4133</f>
        <v/>
      </c>
      <c r="K4133" s="521">
        <f>I4133-G4133</f>
        <v/>
      </c>
      <c r="M4133" s="522" t="inlineStr">
        <is>
          <t>TI0189676</t>
        </is>
      </c>
      <c r="N4133" s="522" t="inlineStr"/>
      <c r="O4133" s="521">
        <f>M4133=N4133</f>
        <v/>
      </c>
      <c r="P4133" s="521">
        <f>AND(MONTH(F4133)=MONTH(S4133), YEAR(F4133)=YEAR(S4133))</f>
        <v/>
      </c>
      <c r="Q4133" s="521">
        <f>U4133="L001-901905215"</f>
        <v/>
      </c>
      <c r="R4133" s="556">
        <f>G4133-W4133</f>
        <v/>
      </c>
      <c r="S4133" s="521" t="n"/>
      <c r="T4133" s="522" t="n"/>
      <c r="U4133" s="522" t="n"/>
      <c r="V4133" s="522" t="n"/>
      <c r="W4133" s="521" t="n"/>
    </row>
    <row r="4134">
      <c r="A4134" s="521" t="n">
        <v>4126</v>
      </c>
      <c r="B4134" s="522" t="n"/>
      <c r="C4134" s="522" t="inlineStr">
        <is>
          <t>អ៊ិចស្ពែឌីធ័រ ខេមបូឌា អិលធីឌី</t>
        </is>
      </c>
      <c r="D4134" s="522" t="inlineStr">
        <is>
          <t>L001-100045898</t>
        </is>
      </c>
      <c r="E4134" s="521" t="inlineStr">
        <is>
          <t>TI-0189666</t>
        </is>
      </c>
      <c r="F4134" s="523" t="n">
        <v>44187</v>
      </c>
      <c r="G4134" s="556" t="n">
        <v>432955</v>
      </c>
      <c r="I4134" s="521">
        <f>G4134</f>
        <v/>
      </c>
      <c r="K4134" s="521">
        <f>I4134-G4134</f>
        <v/>
      </c>
      <c r="M4134" s="522" t="inlineStr">
        <is>
          <t>TI0189666</t>
        </is>
      </c>
      <c r="N4134" s="522" t="inlineStr"/>
      <c r="O4134" s="521">
        <f>M4134=N4134</f>
        <v/>
      </c>
      <c r="P4134" s="521">
        <f>AND(MONTH(F4134)=MONTH(S4134), YEAR(F4134)=YEAR(S4134))</f>
        <v/>
      </c>
      <c r="Q4134" s="521">
        <f>U4134="L001-901905215"</f>
        <v/>
      </c>
      <c r="R4134" s="556">
        <f>G4134-W4134</f>
        <v/>
      </c>
      <c r="S4134" s="521" t="n"/>
      <c r="T4134" s="522" t="n"/>
      <c r="U4134" s="522" t="n"/>
      <c r="V4134" s="522" t="n"/>
      <c r="W4134" s="521" t="n"/>
    </row>
    <row r="4135">
      <c r="A4135" s="521" t="n">
        <v>4127</v>
      </c>
      <c r="B4135" s="522" t="n"/>
      <c r="C4135" s="522" t="inlineStr">
        <is>
          <t>អ៊ិចស្ពែឌីធ័រ ខេមបូឌា អិលធីឌី</t>
        </is>
      </c>
      <c r="D4135" s="522" t="inlineStr">
        <is>
          <t>L001-100045898</t>
        </is>
      </c>
      <c r="E4135" s="521" t="inlineStr">
        <is>
          <t>TI-0189136</t>
        </is>
      </c>
      <c r="F4135" s="523" t="n">
        <v>44180</v>
      </c>
      <c r="G4135" s="556" t="n">
        <v>351510</v>
      </c>
      <c r="I4135" s="521">
        <f>G4135</f>
        <v/>
      </c>
      <c r="K4135" s="521">
        <f>I4135-G4135</f>
        <v/>
      </c>
      <c r="M4135" s="522" t="inlineStr">
        <is>
          <t>TI0189136</t>
        </is>
      </c>
      <c r="N4135" s="522" t="inlineStr"/>
      <c r="O4135" s="521">
        <f>M4135=N4135</f>
        <v/>
      </c>
      <c r="P4135" s="521">
        <f>AND(MONTH(F4135)=MONTH(S4135), YEAR(F4135)=YEAR(S4135))</f>
        <v/>
      </c>
      <c r="Q4135" s="521">
        <f>U4135="L001-901905215"</f>
        <v/>
      </c>
      <c r="R4135" s="556">
        <f>G4135-W4135</f>
        <v/>
      </c>
      <c r="S4135" s="521" t="n"/>
      <c r="T4135" s="522" t="n"/>
      <c r="U4135" s="522" t="n"/>
      <c r="V4135" s="522" t="n"/>
      <c r="W4135" s="521" t="n"/>
    </row>
    <row r="4136">
      <c r="A4136" s="521" t="n">
        <v>4128</v>
      </c>
      <c r="B4136" s="522" t="n"/>
      <c r="C4136" s="522" t="inlineStr">
        <is>
          <t>អ៊ិចស្ពែឌីធ័រ ខេមបូឌា អិលធីឌី</t>
        </is>
      </c>
      <c r="D4136" s="522" t="inlineStr">
        <is>
          <t>L001-100045898</t>
        </is>
      </c>
      <c r="E4136" s="521" t="inlineStr">
        <is>
          <t>TI-0189135</t>
        </is>
      </c>
      <c r="F4136" s="523" t="n">
        <v>44180</v>
      </c>
      <c r="G4136" s="556" t="n">
        <v>499557</v>
      </c>
      <c r="I4136" s="521">
        <f>G4136</f>
        <v/>
      </c>
      <c r="K4136" s="521">
        <f>I4136-G4136</f>
        <v/>
      </c>
      <c r="M4136" s="522" t="inlineStr">
        <is>
          <t>TI0189135</t>
        </is>
      </c>
      <c r="N4136" s="522" t="inlineStr"/>
      <c r="O4136" s="521">
        <f>M4136=N4136</f>
        <v/>
      </c>
      <c r="P4136" s="521">
        <f>AND(MONTH(F4136)=MONTH(S4136), YEAR(F4136)=YEAR(S4136))</f>
        <v/>
      </c>
      <c r="Q4136" s="521">
        <f>U4136="L001-901905215"</f>
        <v/>
      </c>
      <c r="R4136" s="556">
        <f>G4136-W4136</f>
        <v/>
      </c>
      <c r="S4136" s="521" t="n"/>
      <c r="T4136" s="522" t="n"/>
      <c r="U4136" s="522" t="n"/>
      <c r="V4136" s="522" t="n"/>
      <c r="W4136" s="521" t="n"/>
    </row>
    <row r="4137">
      <c r="A4137" s="521" t="n">
        <v>4129</v>
      </c>
      <c r="B4137" s="522" t="n"/>
      <c r="C4137" s="522" t="inlineStr">
        <is>
          <t>អ៊ិចស្ពែឌីធ័រ ខេមបូឌា អិលធីឌី</t>
        </is>
      </c>
      <c r="D4137" s="522" t="inlineStr">
        <is>
          <t>L001-100045898</t>
        </is>
      </c>
      <c r="E4137" s="521" t="inlineStr">
        <is>
          <t>TI-0189134</t>
        </is>
      </c>
      <c r="F4137" s="523" t="n">
        <v>44178</v>
      </c>
      <c r="G4137" s="556" t="n">
        <v>869675</v>
      </c>
      <c r="I4137" s="521">
        <f>G4137</f>
        <v/>
      </c>
      <c r="K4137" s="521">
        <f>I4137-G4137</f>
        <v/>
      </c>
      <c r="M4137" s="522" t="inlineStr">
        <is>
          <t>TI0189134</t>
        </is>
      </c>
      <c r="N4137" s="522" t="inlineStr"/>
      <c r="O4137" s="521">
        <f>M4137=N4137</f>
        <v/>
      </c>
      <c r="P4137" s="521">
        <f>AND(MONTH(F4137)=MONTH(S4137), YEAR(F4137)=YEAR(S4137))</f>
        <v/>
      </c>
      <c r="Q4137" s="521">
        <f>U4137="L001-901905215"</f>
        <v/>
      </c>
      <c r="R4137" s="556">
        <f>G4137-W4137</f>
        <v/>
      </c>
      <c r="S4137" s="521" t="n"/>
      <c r="T4137" s="522" t="n"/>
      <c r="U4137" s="522" t="n"/>
      <c r="V4137" s="522" t="n"/>
      <c r="W4137" s="521" t="n"/>
    </row>
    <row r="4138">
      <c r="A4138" s="521" t="n">
        <v>4130</v>
      </c>
      <c r="B4138" s="522" t="n"/>
      <c r="C4138" s="522" t="inlineStr">
        <is>
          <t>អ៊ិចស្ពែឌីធ័រ ខេមបូឌា អិលធីឌី</t>
        </is>
      </c>
      <c r="D4138" s="522" t="inlineStr">
        <is>
          <t>L001-100045898</t>
        </is>
      </c>
      <c r="E4138" s="521" t="inlineStr">
        <is>
          <t>TI-0188570</t>
        </is>
      </c>
      <c r="F4138" s="523" t="n">
        <v>44175</v>
      </c>
      <c r="G4138" s="556" t="n">
        <v>300282</v>
      </c>
      <c r="I4138" s="521">
        <f>G4138</f>
        <v/>
      </c>
      <c r="K4138" s="521">
        <f>I4138-G4138</f>
        <v/>
      </c>
      <c r="M4138" s="522" t="inlineStr">
        <is>
          <t>TI0188570</t>
        </is>
      </c>
      <c r="N4138" s="522" t="inlineStr"/>
      <c r="O4138" s="521">
        <f>M4138=N4138</f>
        <v/>
      </c>
      <c r="P4138" s="521">
        <f>AND(MONTH(F4138)=MONTH(S4138), YEAR(F4138)=YEAR(S4138))</f>
        <v/>
      </c>
      <c r="Q4138" s="521">
        <f>U4138="L001-901905215"</f>
        <v/>
      </c>
      <c r="R4138" s="556">
        <f>G4138-W4138</f>
        <v/>
      </c>
      <c r="S4138" s="521" t="n"/>
      <c r="T4138" s="522" t="n"/>
      <c r="U4138" s="522" t="n"/>
      <c r="V4138" s="522" t="n"/>
      <c r="W4138" s="521" t="n"/>
    </row>
    <row r="4139">
      <c r="A4139" s="521" t="n">
        <v>4131</v>
      </c>
      <c r="B4139" s="522" t="n"/>
      <c r="C4139" s="522" t="inlineStr">
        <is>
          <t>អ៊ិចស្ពែឌីធ័រ ខេមបូឌា អិលធីឌី</t>
        </is>
      </c>
      <c r="D4139" s="522" t="inlineStr">
        <is>
          <t>L001-100045898</t>
        </is>
      </c>
      <c r="E4139" s="521" t="inlineStr">
        <is>
          <t>TI-0188543</t>
        </is>
      </c>
      <c r="F4139" s="523" t="n">
        <v>44175</v>
      </c>
      <c r="G4139" s="556" t="n">
        <v>356805</v>
      </c>
      <c r="I4139" s="521">
        <f>G4139</f>
        <v/>
      </c>
      <c r="K4139" s="521">
        <f>I4139-G4139</f>
        <v/>
      </c>
      <c r="M4139" s="522" t="inlineStr">
        <is>
          <t>TI0188543</t>
        </is>
      </c>
      <c r="N4139" s="522" t="inlineStr"/>
      <c r="O4139" s="521">
        <f>M4139=N4139</f>
        <v/>
      </c>
      <c r="P4139" s="521">
        <f>AND(MONTH(F4139)=MONTH(S4139), YEAR(F4139)=YEAR(S4139))</f>
        <v/>
      </c>
      <c r="Q4139" s="521">
        <f>U4139="L001-901905215"</f>
        <v/>
      </c>
      <c r="R4139" s="556">
        <f>G4139-W4139</f>
        <v/>
      </c>
      <c r="S4139" s="521" t="n"/>
      <c r="T4139" s="522" t="n"/>
      <c r="U4139" s="522" t="n"/>
      <c r="V4139" s="522" t="n"/>
      <c r="W4139" s="521" t="n"/>
    </row>
    <row r="4140">
      <c r="A4140" s="521" t="n">
        <v>4132</v>
      </c>
      <c r="B4140" s="522" t="n"/>
      <c r="C4140" s="522" t="inlineStr">
        <is>
          <t>អ៊ិចស្ពែឌីធ័រ ខេមបូឌា អិលធីឌី</t>
        </is>
      </c>
      <c r="D4140" s="522" t="inlineStr">
        <is>
          <t>L001-100045898</t>
        </is>
      </c>
      <c r="E4140" s="521" t="inlineStr">
        <is>
          <t>TI-0188542</t>
        </is>
      </c>
      <c r="F4140" s="523" t="n">
        <v>44175</v>
      </c>
      <c r="G4140" s="556" t="n">
        <v>334935</v>
      </c>
      <c r="I4140" s="521">
        <f>G4140</f>
        <v/>
      </c>
      <c r="K4140" s="521">
        <f>I4140-G4140</f>
        <v/>
      </c>
      <c r="M4140" s="522" t="inlineStr">
        <is>
          <t>TI0188542</t>
        </is>
      </c>
      <c r="N4140" s="522" t="inlineStr"/>
      <c r="O4140" s="521">
        <f>M4140=N4140</f>
        <v/>
      </c>
      <c r="P4140" s="521">
        <f>AND(MONTH(F4140)=MONTH(S4140), YEAR(F4140)=YEAR(S4140))</f>
        <v/>
      </c>
      <c r="Q4140" s="521">
        <f>U4140="L001-901905215"</f>
        <v/>
      </c>
      <c r="R4140" s="556">
        <f>G4140-W4140</f>
        <v/>
      </c>
      <c r="S4140" s="521" t="n"/>
      <c r="T4140" s="522" t="n"/>
      <c r="U4140" s="522" t="n"/>
      <c r="V4140" s="522" t="n"/>
      <c r="W4140" s="521" t="n"/>
    </row>
    <row r="4141">
      <c r="A4141" s="521" t="n">
        <v>4133</v>
      </c>
      <c r="B4141" s="522" t="n"/>
      <c r="C4141" s="522" t="inlineStr">
        <is>
          <t>កំពង់ផែស្វយ័តក្រុងព្រះសីហនុ</t>
        </is>
      </c>
      <c r="D4141" s="522" t="inlineStr">
        <is>
          <t>L001-100044638</t>
        </is>
      </c>
      <c r="E4141" s="521" t="inlineStr">
        <is>
          <t>195767</t>
        </is>
      </c>
      <c r="F4141" s="523" t="n">
        <v>44191</v>
      </c>
      <c r="G4141" s="556" t="n">
        <v>2417</v>
      </c>
      <c r="I4141" s="521">
        <f>G4141</f>
        <v/>
      </c>
      <c r="K4141" s="521">
        <f>I4141-G4141</f>
        <v/>
      </c>
      <c r="M4141" s="522" t="inlineStr">
        <is>
          <t>195767</t>
        </is>
      </c>
      <c r="N4141" s="522" t="inlineStr"/>
      <c r="O4141" s="521">
        <f>M4141=N4141</f>
        <v/>
      </c>
      <c r="P4141" s="521">
        <f>AND(MONTH(F4141)=MONTH(S4141), YEAR(F4141)=YEAR(S4141))</f>
        <v/>
      </c>
      <c r="Q4141" s="521">
        <f>U4141="L001-901905215"</f>
        <v/>
      </c>
      <c r="R4141" s="556">
        <f>G4141-W4141</f>
        <v/>
      </c>
      <c r="S4141" s="521" t="n"/>
      <c r="T4141" s="522" t="n"/>
      <c r="U4141" s="522" t="n"/>
      <c r="V4141" s="522" t="n"/>
      <c r="W4141" s="521" t="n"/>
    </row>
    <row r="4142">
      <c r="A4142" s="521" t="n">
        <v>4134</v>
      </c>
      <c r="B4142" s="522" t="n"/>
      <c r="C4142" s="522" t="inlineStr">
        <is>
          <t>កំពង់ផែស្វយ័តក្រុងព្រះសីហនុ</t>
        </is>
      </c>
      <c r="D4142" s="522" t="inlineStr">
        <is>
          <t>L001-100044638</t>
        </is>
      </c>
      <c r="E4142" s="521" t="inlineStr">
        <is>
          <t>194344</t>
        </is>
      </c>
      <c r="F4142" s="523" t="n">
        <v>44190</v>
      </c>
      <c r="G4142" s="556" t="n">
        <v>4834</v>
      </c>
      <c r="I4142" s="521">
        <f>G4142</f>
        <v/>
      </c>
      <c r="K4142" s="521">
        <f>I4142-G4142</f>
        <v/>
      </c>
      <c r="M4142" s="522" t="inlineStr">
        <is>
          <t>194344</t>
        </is>
      </c>
      <c r="N4142" s="522" t="inlineStr"/>
      <c r="O4142" s="521">
        <f>M4142=N4142</f>
        <v/>
      </c>
      <c r="P4142" s="521">
        <f>AND(MONTH(F4142)=MONTH(S4142), YEAR(F4142)=YEAR(S4142))</f>
        <v/>
      </c>
      <c r="Q4142" s="521">
        <f>U4142="L001-901905215"</f>
        <v/>
      </c>
      <c r="R4142" s="556">
        <f>G4142-W4142</f>
        <v/>
      </c>
      <c r="S4142" s="521" t="n"/>
      <c r="T4142" s="522" t="n"/>
      <c r="U4142" s="522" t="n"/>
      <c r="V4142" s="522" t="n"/>
      <c r="W4142" s="521" t="n"/>
    </row>
    <row r="4143">
      <c r="A4143" s="521" t="n">
        <v>4135</v>
      </c>
      <c r="B4143" s="522" t="n"/>
      <c r="C4143" s="522" t="inlineStr">
        <is>
          <t>កំពង់ផែស្វយ័តក្រុងព្រះសីហនុ</t>
        </is>
      </c>
      <c r="D4143" s="522" t="inlineStr">
        <is>
          <t>L001-100044638</t>
        </is>
      </c>
      <c r="E4143" s="521" t="inlineStr">
        <is>
          <t>193262</t>
        </is>
      </c>
      <c r="F4143" s="523" t="n">
        <v>44190</v>
      </c>
      <c r="G4143" s="556" t="n">
        <v>83421</v>
      </c>
      <c r="I4143" s="521">
        <f>G4143</f>
        <v/>
      </c>
      <c r="K4143" s="521">
        <f>I4143-G4143</f>
        <v/>
      </c>
      <c r="M4143" s="522" t="inlineStr">
        <is>
          <t>193262</t>
        </is>
      </c>
      <c r="N4143" s="522" t="inlineStr"/>
      <c r="O4143" s="521">
        <f>M4143=N4143</f>
        <v/>
      </c>
      <c r="P4143" s="521">
        <f>AND(MONTH(F4143)=MONTH(S4143), YEAR(F4143)=YEAR(S4143))</f>
        <v/>
      </c>
      <c r="Q4143" s="521">
        <f>U4143="L001-901905215"</f>
        <v/>
      </c>
      <c r="R4143" s="556">
        <f>G4143-W4143</f>
        <v/>
      </c>
      <c r="S4143" s="521" t="n"/>
      <c r="T4143" s="522" t="n"/>
      <c r="U4143" s="522" t="n"/>
      <c r="V4143" s="522" t="n"/>
      <c r="W4143" s="521" t="n"/>
    </row>
    <row r="4144">
      <c r="A4144" s="521" t="n">
        <v>4136</v>
      </c>
      <c r="B4144" s="522" t="n"/>
      <c r="C4144" s="522" t="inlineStr">
        <is>
          <t>កំពង់ផែស្វយ័តក្រុងព្រះសីហនុ</t>
        </is>
      </c>
      <c r="D4144" s="522" t="inlineStr">
        <is>
          <t>L001-100044638</t>
        </is>
      </c>
      <c r="E4144" s="521" t="inlineStr">
        <is>
          <t>194804</t>
        </is>
      </c>
      <c r="F4144" s="523" t="n">
        <v>44190</v>
      </c>
      <c r="G4144" s="556" t="n">
        <v>183677</v>
      </c>
      <c r="I4144" s="521">
        <f>G4144</f>
        <v/>
      </c>
      <c r="K4144" s="521">
        <f>I4144-G4144</f>
        <v/>
      </c>
      <c r="M4144" s="522" t="inlineStr">
        <is>
          <t>194804</t>
        </is>
      </c>
      <c r="N4144" s="522" t="inlineStr"/>
      <c r="O4144" s="521">
        <f>M4144=N4144</f>
        <v/>
      </c>
      <c r="P4144" s="521">
        <f>AND(MONTH(F4144)=MONTH(S4144), YEAR(F4144)=YEAR(S4144))</f>
        <v/>
      </c>
      <c r="Q4144" s="521">
        <f>U4144="L001-901905215"</f>
        <v/>
      </c>
      <c r="R4144" s="556">
        <f>G4144-W4144</f>
        <v/>
      </c>
      <c r="S4144" s="521" t="n"/>
      <c r="T4144" s="522" t="n"/>
      <c r="U4144" s="522" t="n"/>
      <c r="V4144" s="522" t="n"/>
      <c r="W4144" s="521" t="n"/>
    </row>
    <row r="4145">
      <c r="A4145" s="521" t="n">
        <v>4137</v>
      </c>
      <c r="B4145" s="522" t="n"/>
      <c r="C4145" s="522" t="inlineStr">
        <is>
          <t>កំពង់ផែស្វយ័តក្រុងព្រះសីហនុ</t>
        </is>
      </c>
      <c r="D4145" s="522" t="inlineStr">
        <is>
          <t>L001-100044638</t>
        </is>
      </c>
      <c r="E4145" s="521" t="inlineStr">
        <is>
          <t>194814</t>
        </is>
      </c>
      <c r="F4145" s="523" t="n">
        <v>44190</v>
      </c>
      <c r="G4145" s="556" t="n">
        <v>35044</v>
      </c>
      <c r="I4145" s="521">
        <f>G4145</f>
        <v/>
      </c>
      <c r="K4145" s="521">
        <f>I4145-G4145</f>
        <v/>
      </c>
      <c r="M4145" s="522" t="inlineStr">
        <is>
          <t>194814</t>
        </is>
      </c>
      <c r="N4145" s="522" t="inlineStr"/>
      <c r="O4145" s="521">
        <f>M4145=N4145</f>
        <v/>
      </c>
      <c r="P4145" s="521">
        <f>AND(MONTH(F4145)=MONTH(S4145), YEAR(F4145)=YEAR(S4145))</f>
        <v/>
      </c>
      <c r="Q4145" s="521">
        <f>U4145="L001-901905215"</f>
        <v/>
      </c>
      <c r="R4145" s="556">
        <f>G4145-W4145</f>
        <v/>
      </c>
      <c r="S4145" s="521" t="n"/>
      <c r="T4145" s="522" t="n"/>
      <c r="U4145" s="522" t="n"/>
      <c r="V4145" s="522" t="n"/>
      <c r="W4145" s="521" t="n"/>
    </row>
    <row r="4146">
      <c r="A4146" s="521" t="n">
        <v>4138</v>
      </c>
      <c r="B4146" s="522" t="n"/>
      <c r="C4146" s="522" t="inlineStr">
        <is>
          <t>កំពង់ផែស្វយ័តក្រុងព្រះសីហនុ</t>
        </is>
      </c>
      <c r="D4146" s="522" t="inlineStr">
        <is>
          <t>L001-100044638</t>
        </is>
      </c>
      <c r="E4146" s="521" t="inlineStr">
        <is>
          <t>184575</t>
        </is>
      </c>
      <c r="F4146" s="523" t="n">
        <v>44170</v>
      </c>
      <c r="G4146" s="556" t="n">
        <v>128854</v>
      </c>
      <c r="I4146" s="521">
        <f>G4146</f>
        <v/>
      </c>
      <c r="K4146" s="521">
        <f>I4146-G4146</f>
        <v/>
      </c>
      <c r="M4146" s="522" t="inlineStr">
        <is>
          <t>184575</t>
        </is>
      </c>
      <c r="N4146" s="522" t="inlineStr"/>
      <c r="O4146" s="521">
        <f>M4146=N4146</f>
        <v/>
      </c>
      <c r="P4146" s="521">
        <f>AND(MONTH(F4146)=MONTH(S4146), YEAR(F4146)=YEAR(S4146))</f>
        <v/>
      </c>
      <c r="Q4146" s="521">
        <f>U4146="L001-901905215"</f>
        <v/>
      </c>
      <c r="R4146" s="556">
        <f>G4146-W4146</f>
        <v/>
      </c>
      <c r="S4146" s="521" t="n"/>
      <c r="T4146" s="522" t="n"/>
      <c r="U4146" s="522" t="n"/>
      <c r="V4146" s="522" t="n"/>
      <c r="W4146" s="521" t="n"/>
    </row>
    <row r="4147">
      <c r="A4147" s="521" t="n">
        <v>4139</v>
      </c>
      <c r="B4147" s="522" t="n"/>
      <c r="C4147" s="522" t="inlineStr">
        <is>
          <t>សូស៊ីយេតេ កុងសេស្យូនែរ ដឺ ឡាអេរ៉ូព័រ</t>
        </is>
      </c>
      <c r="D4147" s="522" t="inlineStr">
        <is>
          <t>L001-100047300</t>
        </is>
      </c>
      <c r="E4147" s="521" t="inlineStr">
        <is>
          <t>2000-061046</t>
        </is>
      </c>
      <c r="F4147" s="523" t="n">
        <v>44174</v>
      </c>
      <c r="G4147" s="556" t="n">
        <v>19321</v>
      </c>
      <c r="I4147" s="521">
        <f>G4147</f>
        <v/>
      </c>
      <c r="K4147" s="521">
        <f>I4147-G4147</f>
        <v/>
      </c>
      <c r="M4147" s="522" t="inlineStr">
        <is>
          <t>2000061046</t>
        </is>
      </c>
      <c r="N4147" s="522" t="inlineStr"/>
      <c r="O4147" s="521">
        <f>M4147=N4147</f>
        <v/>
      </c>
      <c r="P4147" s="521">
        <f>AND(MONTH(F4147)=MONTH(S4147), YEAR(F4147)=YEAR(S4147))</f>
        <v/>
      </c>
      <c r="Q4147" s="521">
        <f>U4147="L001-901905215"</f>
        <v/>
      </c>
      <c r="R4147" s="556">
        <f>G4147-W4147</f>
        <v/>
      </c>
      <c r="S4147" s="521" t="n"/>
      <c r="T4147" s="522" t="n"/>
      <c r="U4147" s="522" t="n"/>
      <c r="V4147" s="522" t="n"/>
      <c r="W4147" s="521" t="n"/>
    </row>
    <row r="4148">
      <c r="A4148" s="521" t="n">
        <v>4140</v>
      </c>
      <c r="B4148" s="522" t="n"/>
      <c r="C4148" s="522" t="inlineStr">
        <is>
          <t>អ៊ិចស្ពែឌីធ័រ ខេមបូឌា អិលធីឌី</t>
        </is>
      </c>
      <c r="D4148" s="522" t="inlineStr">
        <is>
          <t>L001-100045898</t>
        </is>
      </c>
      <c r="E4148" s="521" t="inlineStr">
        <is>
          <t>TI-0188525</t>
        </is>
      </c>
      <c r="F4148" s="523" t="n">
        <v>44173</v>
      </c>
      <c r="G4148" s="556" t="n">
        <v>171720</v>
      </c>
      <c r="I4148" s="521">
        <f>G4148</f>
        <v/>
      </c>
      <c r="K4148" s="521">
        <f>I4148-G4148</f>
        <v/>
      </c>
      <c r="M4148" s="522" t="inlineStr">
        <is>
          <t>TI0188525</t>
        </is>
      </c>
      <c r="N4148" s="522" t="inlineStr"/>
      <c r="O4148" s="521">
        <f>M4148=N4148</f>
        <v/>
      </c>
      <c r="P4148" s="521">
        <f>AND(MONTH(F4148)=MONTH(S4148), YEAR(F4148)=YEAR(S4148))</f>
        <v/>
      </c>
      <c r="Q4148" s="521">
        <f>U4148="L001-901905215"</f>
        <v/>
      </c>
      <c r="R4148" s="556">
        <f>G4148-W4148</f>
        <v/>
      </c>
      <c r="S4148" s="521" t="n"/>
      <c r="T4148" s="522" t="n"/>
      <c r="U4148" s="522" t="n"/>
      <c r="V4148" s="522" t="n"/>
      <c r="W4148" s="521" t="n"/>
    </row>
    <row r="4149">
      <c r="A4149" s="521" t="n">
        <v>4141</v>
      </c>
      <c r="B4149" s="522" t="n"/>
      <c r="C4149" s="522" t="inlineStr">
        <is>
          <t>អ៊ិចស្ពែឌីធ័រ ខេមបូឌា អិលធីឌី</t>
        </is>
      </c>
      <c r="D4149" s="522" t="inlineStr">
        <is>
          <t>L001-100045898</t>
        </is>
      </c>
      <c r="E4149" s="521" t="inlineStr">
        <is>
          <t>TI-0188368</t>
        </is>
      </c>
      <c r="F4149" s="523" t="n">
        <v>44173</v>
      </c>
      <c r="G4149" s="556" t="n">
        <v>348501</v>
      </c>
      <c r="I4149" s="521">
        <f>G4149</f>
        <v/>
      </c>
      <c r="K4149" s="521">
        <f>I4149-G4149</f>
        <v/>
      </c>
      <c r="M4149" s="522" t="inlineStr">
        <is>
          <t>TI0188368</t>
        </is>
      </c>
      <c r="N4149" s="522" t="inlineStr"/>
      <c r="O4149" s="521">
        <f>M4149=N4149</f>
        <v/>
      </c>
      <c r="P4149" s="521">
        <f>AND(MONTH(F4149)=MONTH(S4149), YEAR(F4149)=YEAR(S4149))</f>
        <v/>
      </c>
      <c r="Q4149" s="521">
        <f>U4149="L001-901905215"</f>
        <v/>
      </c>
      <c r="R4149" s="556">
        <f>G4149-W4149</f>
        <v/>
      </c>
      <c r="S4149" s="521" t="n"/>
      <c r="T4149" s="522" t="n"/>
      <c r="U4149" s="522" t="n"/>
      <c r="V4149" s="522" t="n"/>
      <c r="W4149" s="521" t="n"/>
    </row>
    <row r="4150">
      <c r="A4150" s="521" t="n">
        <v>4142</v>
      </c>
      <c r="B4150" s="522" t="n"/>
      <c r="C4150" s="522" t="inlineStr">
        <is>
          <t>សូស៊ីយេតេ កុងសេស្យូនែរ ដឺ ឡាអេរ៉ូព័រ</t>
        </is>
      </c>
      <c r="D4150" s="522" t="inlineStr">
        <is>
          <t>L001-100047300</t>
        </is>
      </c>
      <c r="E4150" s="521" t="inlineStr">
        <is>
          <t>2000-060908</t>
        </is>
      </c>
      <c r="F4150" s="523" t="n">
        <v>44173</v>
      </c>
      <c r="G4150" s="556" t="n">
        <v>11541</v>
      </c>
      <c r="I4150" s="521">
        <f>G4150</f>
        <v/>
      </c>
      <c r="K4150" s="521">
        <f>I4150-G4150</f>
        <v/>
      </c>
      <c r="M4150" s="522" t="inlineStr">
        <is>
          <t>2000060908</t>
        </is>
      </c>
      <c r="N4150" s="522" t="inlineStr"/>
      <c r="O4150" s="521">
        <f>M4150=N4150</f>
        <v/>
      </c>
      <c r="P4150" s="521">
        <f>AND(MONTH(F4150)=MONTH(S4150), YEAR(F4150)=YEAR(S4150))</f>
        <v/>
      </c>
      <c r="Q4150" s="521">
        <f>U4150="L001-901905215"</f>
        <v/>
      </c>
      <c r="R4150" s="556">
        <f>G4150-W4150</f>
        <v/>
      </c>
      <c r="S4150" s="521" t="n"/>
      <c r="T4150" s="522" t="n"/>
      <c r="U4150" s="522" t="n"/>
      <c r="V4150" s="522" t="n"/>
      <c r="W4150" s="521" t="n"/>
    </row>
    <row r="4151">
      <c r="A4151" s="521" t="n">
        <v>4143</v>
      </c>
      <c r="B4151" s="522" t="n"/>
      <c r="C4151" s="522" t="inlineStr">
        <is>
          <t>ឆាយ ដា ឡូយីស្ទីក</t>
        </is>
      </c>
      <c r="D4151" s="522" t="inlineStr">
        <is>
          <t>L001-100063098</t>
        </is>
      </c>
      <c r="E4151" s="521" t="inlineStr">
        <is>
          <t>2012010990</t>
        </is>
      </c>
      <c r="F4151" s="523" t="n">
        <v>44172</v>
      </c>
      <c r="G4151" s="556" t="n">
        <v>192065</v>
      </c>
      <c r="I4151" s="521">
        <f>G4151</f>
        <v/>
      </c>
      <c r="K4151" s="521">
        <f>I4151-G4151</f>
        <v/>
      </c>
      <c r="M4151" s="522" t="inlineStr">
        <is>
          <t>2012010990</t>
        </is>
      </c>
      <c r="N4151" s="522" t="inlineStr">
        <is>
          <t>2012010990</t>
        </is>
      </c>
      <c r="O4151" s="521">
        <f>M4151=N4151</f>
        <v/>
      </c>
      <c r="P4151" s="521">
        <f>AND(MONTH(F4151)=MONTH(S4151), YEAR(F4151)=YEAR(S4151))</f>
        <v/>
      </c>
      <c r="Q4151" s="521">
        <f>U4151="L001-901905215"</f>
        <v/>
      </c>
      <c r="R4151" s="556">
        <f>G4151-W4151</f>
        <v/>
      </c>
      <c r="S4151" s="523" t="n">
        <v>44172</v>
      </c>
      <c r="T4151" s="522" t="inlineStr">
        <is>
          <t>2012010990</t>
        </is>
      </c>
      <c r="U4151" s="522" t="inlineStr">
        <is>
          <t>L001-901905215</t>
        </is>
      </c>
      <c r="V4151" s="522" t="inlineStr">
        <is>
          <t>វីអ៊ីស៊ិន (ខេមបូឌា) អ៊ិនដាសស្ទ្រី ឯ.ក</t>
        </is>
      </c>
      <c r="W4151" s="556" t="n">
        <v>192065</v>
      </c>
    </row>
    <row r="4152">
      <c r="A4152" s="521" t="n">
        <v>4144</v>
      </c>
      <c r="B4152" s="522" t="n"/>
      <c r="C4152" s="522" t="inlineStr">
        <is>
          <t>អ៊ែរ៉ូ ស៊ីបភីង អេជេនស៊ី</t>
        </is>
      </c>
      <c r="D4152" s="522" t="inlineStr">
        <is>
          <t>K004-901635903</t>
        </is>
      </c>
      <c r="E4152" s="521" t="inlineStr">
        <is>
          <t>IKPSA2020531653</t>
        </is>
      </c>
      <c r="F4152" s="523" t="n">
        <v>44172</v>
      </c>
      <c r="G4152" s="556" t="n">
        <v>42730</v>
      </c>
      <c r="I4152" s="521">
        <f>G4152</f>
        <v/>
      </c>
      <c r="K4152" s="521">
        <f>I4152-G4152</f>
        <v/>
      </c>
      <c r="M4152" s="522" t="inlineStr">
        <is>
          <t>IKPSA2020531653</t>
        </is>
      </c>
      <c r="N4152" s="522" t="inlineStr">
        <is>
          <t>IKPSA2020531653</t>
        </is>
      </c>
      <c r="O4152" s="521">
        <f>M4152=N4152</f>
        <v/>
      </c>
      <c r="P4152" s="521">
        <f>AND(MONTH(F4152)=MONTH(S4152), YEAR(F4152)=YEAR(S4152))</f>
        <v/>
      </c>
      <c r="Q4152" s="521">
        <f>U4152="L001-901905215"</f>
        <v/>
      </c>
      <c r="R4152" s="556">
        <f>G4152-W4152</f>
        <v/>
      </c>
      <c r="S4152" s="523" t="n">
        <v>44172</v>
      </c>
      <c r="T4152" s="522" t="inlineStr">
        <is>
          <t>IKPSA2020531653</t>
        </is>
      </c>
      <c r="U4152" s="522" t="inlineStr">
        <is>
          <t>L001-901905215</t>
        </is>
      </c>
      <c r="V4152" s="522" t="inlineStr">
        <is>
          <t>វីអ៊ីស៊ិន (ខេមបូឌា) អ៊ិនដាសស្ទ្រី ឯ.ក</t>
        </is>
      </c>
      <c r="W4152" s="556" t="n">
        <v>42656</v>
      </c>
    </row>
    <row r="4153">
      <c r="A4153" s="521" t="n">
        <v>4145</v>
      </c>
      <c r="B4153" s="522" t="n"/>
      <c r="C4153" s="522" t="inlineStr">
        <is>
          <t>អ៊ែរ៉ូ ស៊ីបភីង អេជេនស៊ី</t>
        </is>
      </c>
      <c r="D4153" s="522" t="inlineStr">
        <is>
          <t>K004-901635903</t>
        </is>
      </c>
      <c r="E4153" s="521" t="inlineStr">
        <is>
          <t>IKPSA2020531633</t>
        </is>
      </c>
      <c r="F4153" s="523" t="n">
        <v>44172</v>
      </c>
      <c r="G4153" s="556" t="n">
        <v>7367</v>
      </c>
      <c r="I4153" s="521">
        <f>G4153</f>
        <v/>
      </c>
      <c r="K4153" s="521">
        <f>I4153-G4153</f>
        <v/>
      </c>
      <c r="M4153" s="522" t="inlineStr">
        <is>
          <t>IKPSA2020531633</t>
        </is>
      </c>
      <c r="N4153" s="522" t="inlineStr">
        <is>
          <t>IKPSA2020531633</t>
        </is>
      </c>
      <c r="O4153" s="521">
        <f>M4153=N4153</f>
        <v/>
      </c>
      <c r="P4153" s="521">
        <f>AND(MONTH(F4153)=MONTH(S4153), YEAR(F4153)=YEAR(S4153))</f>
        <v/>
      </c>
      <c r="Q4153" s="521">
        <f>U4153="L001-901905215"</f>
        <v/>
      </c>
      <c r="R4153" s="556">
        <f>G4153-W4153</f>
        <v/>
      </c>
      <c r="S4153" s="523" t="n">
        <v>44172</v>
      </c>
      <c r="T4153" s="522" t="inlineStr">
        <is>
          <t>IKPSA2020531633</t>
        </is>
      </c>
      <c r="U4153" s="522" t="inlineStr">
        <is>
          <t>L001-901905215</t>
        </is>
      </c>
      <c r="V4153" s="522" t="inlineStr">
        <is>
          <t>វីអ៊ីស៊ិន (ខេមបូឌា) អ៊ិនដាសស្ទ្រី ឯ.ក</t>
        </is>
      </c>
      <c r="W4153" s="556" t="n">
        <v>7355</v>
      </c>
    </row>
    <row r="4154">
      <c r="A4154" s="521" t="n">
        <v>4146</v>
      </c>
      <c r="B4154" s="522" t="n"/>
      <c r="C4154" s="522" t="inlineStr">
        <is>
          <t>ឆាយ ដា ឡូយីស្ទីក</t>
        </is>
      </c>
      <c r="D4154" s="522" t="inlineStr">
        <is>
          <t>L001-100063098</t>
        </is>
      </c>
      <c r="E4154" s="521" t="inlineStr">
        <is>
          <t>2012010984</t>
        </is>
      </c>
      <c r="F4154" s="523" t="n">
        <v>44172</v>
      </c>
      <c r="G4154" s="556" t="n">
        <v>88739</v>
      </c>
      <c r="I4154" s="521">
        <f>G4154</f>
        <v/>
      </c>
      <c r="K4154" s="521">
        <f>I4154-G4154</f>
        <v/>
      </c>
      <c r="M4154" s="522" t="inlineStr">
        <is>
          <t>2012010984</t>
        </is>
      </c>
      <c r="N4154" s="522" t="inlineStr">
        <is>
          <t>2012010984</t>
        </is>
      </c>
      <c r="O4154" s="521">
        <f>M4154=N4154</f>
        <v/>
      </c>
      <c r="P4154" s="521">
        <f>AND(MONTH(F4154)=MONTH(S4154), YEAR(F4154)=YEAR(S4154))</f>
        <v/>
      </c>
      <c r="Q4154" s="521">
        <f>U4154="L001-901905215"</f>
        <v/>
      </c>
      <c r="R4154" s="556">
        <f>G4154-W4154</f>
        <v/>
      </c>
      <c r="S4154" s="523" t="n">
        <v>44172</v>
      </c>
      <c r="T4154" s="522" t="inlineStr">
        <is>
          <t>2012010984</t>
        </is>
      </c>
      <c r="U4154" s="522" t="inlineStr">
        <is>
          <t>L001-901905215</t>
        </is>
      </c>
      <c r="V4154" s="522" t="inlineStr">
        <is>
          <t>វីអ៊ីស៊ិន (ខេមបូឌា) អ៊ិនដាសស្ទ្រី ឯ.ក</t>
        </is>
      </c>
      <c r="W4154" s="556" t="n">
        <v>88739</v>
      </c>
    </row>
    <row r="4155">
      <c r="A4155" s="521" t="n">
        <v>4147</v>
      </c>
      <c r="B4155" s="522" t="n"/>
      <c r="C4155" s="522" t="inlineStr">
        <is>
          <t>កំពង់ផែស្វយ័តក្រុងព្រះសីហនុ</t>
        </is>
      </c>
      <c r="D4155" s="522" t="inlineStr">
        <is>
          <t>L001-100044638</t>
        </is>
      </c>
      <c r="E4155" s="521" t="inlineStr">
        <is>
          <t>180796</t>
        </is>
      </c>
      <c r="F4155" s="523" t="n">
        <v>44170</v>
      </c>
      <c r="G4155" s="556" t="n">
        <v>49815</v>
      </c>
      <c r="I4155" s="521">
        <f>G4155</f>
        <v/>
      </c>
      <c r="K4155" s="521">
        <f>I4155-G4155</f>
        <v/>
      </c>
      <c r="M4155" s="522" t="inlineStr">
        <is>
          <t>180796</t>
        </is>
      </c>
      <c r="N4155" s="522" t="inlineStr"/>
      <c r="O4155" s="521">
        <f>M4155=N4155</f>
        <v/>
      </c>
      <c r="P4155" s="521">
        <f>AND(MONTH(F4155)=MONTH(S4155), YEAR(F4155)=YEAR(S4155))</f>
        <v/>
      </c>
      <c r="Q4155" s="521">
        <f>U4155="L001-901905215"</f>
        <v/>
      </c>
      <c r="R4155" s="556">
        <f>G4155-W4155</f>
        <v/>
      </c>
      <c r="S4155" s="521" t="n"/>
      <c r="T4155" s="522" t="n"/>
      <c r="U4155" s="522" t="n"/>
      <c r="V4155" s="522" t="n"/>
      <c r="W4155" s="521" t="n"/>
    </row>
    <row r="4156">
      <c r="A4156" s="521" t="n">
        <v>4148</v>
      </c>
      <c r="B4156" s="522" t="n"/>
      <c r="C4156" s="522" t="inlineStr">
        <is>
          <t>កំពង់ផែស្វយ័តក្រុងព្រះសីហនុ</t>
        </is>
      </c>
      <c r="D4156" s="522" t="inlineStr">
        <is>
          <t>L001-100044638</t>
        </is>
      </c>
      <c r="E4156" s="521" t="inlineStr">
        <is>
          <t>183322</t>
        </is>
      </c>
      <c r="F4156" s="523" t="n">
        <v>44170</v>
      </c>
      <c r="G4156" s="556" t="n">
        <v>6885</v>
      </c>
      <c r="I4156" s="521">
        <f>G4156</f>
        <v/>
      </c>
      <c r="K4156" s="521">
        <f>I4156-G4156</f>
        <v/>
      </c>
      <c r="M4156" s="522" t="inlineStr">
        <is>
          <t>183322</t>
        </is>
      </c>
      <c r="N4156" s="522" t="inlineStr"/>
      <c r="O4156" s="521">
        <f>M4156=N4156</f>
        <v/>
      </c>
      <c r="P4156" s="521">
        <f>AND(MONTH(F4156)=MONTH(S4156), YEAR(F4156)=YEAR(S4156))</f>
        <v/>
      </c>
      <c r="Q4156" s="521">
        <f>U4156="L001-901905215"</f>
        <v/>
      </c>
      <c r="R4156" s="556">
        <f>G4156-W4156</f>
        <v/>
      </c>
      <c r="S4156" s="521" t="n"/>
      <c r="T4156" s="522" t="n"/>
      <c r="U4156" s="522" t="n"/>
      <c r="V4156" s="522" t="n"/>
      <c r="W4156" s="521" t="n"/>
    </row>
    <row r="4157">
      <c r="A4157" s="521" t="n">
        <v>4149</v>
      </c>
      <c r="B4157" s="522" t="n"/>
      <c r="C4157" s="522" t="inlineStr">
        <is>
          <t>យីងកឺ ខេម ឯ.ក</t>
        </is>
      </c>
      <c r="D4157" s="522" t="inlineStr">
        <is>
          <t>K003-901900367</t>
        </is>
      </c>
      <c r="E4157" s="521" t="inlineStr">
        <is>
          <t>YK20-096</t>
        </is>
      </c>
      <c r="F4157" s="523" t="n">
        <v>44169</v>
      </c>
      <c r="G4157" s="556" t="n">
        <v>239318</v>
      </c>
      <c r="I4157" s="521">
        <f>G4157</f>
        <v/>
      </c>
      <c r="K4157" s="521">
        <f>I4157-G4157</f>
        <v/>
      </c>
      <c r="M4157" s="522" t="inlineStr">
        <is>
          <t>YK20096</t>
        </is>
      </c>
      <c r="N4157" s="522" t="inlineStr">
        <is>
          <t>YK20096</t>
        </is>
      </c>
      <c r="O4157" s="521">
        <f>M4157=N4157</f>
        <v/>
      </c>
      <c r="P4157" s="521">
        <f>AND(MONTH(F4157)=MONTH(S4157), YEAR(F4157)=YEAR(S4157))</f>
        <v/>
      </c>
      <c r="Q4157" s="521">
        <f>U4157="L001-901905215"</f>
        <v/>
      </c>
      <c r="R4157" s="556">
        <f>G4157-W4157</f>
        <v/>
      </c>
      <c r="S4157" s="523" t="n">
        <v>44169</v>
      </c>
      <c r="T4157" s="522" t="inlineStr">
        <is>
          <t>YK20-096</t>
        </is>
      </c>
      <c r="U4157" s="522" t="inlineStr">
        <is>
          <t>L001-901905215</t>
        </is>
      </c>
      <c r="V4157" s="522" t="inlineStr">
        <is>
          <t>វីអ៊ីស៊ិន (ខេមបូឌា) អ៊ិនដាសស្ទ្រី ឯ.ក</t>
        </is>
      </c>
      <c r="W4157" s="556" t="n">
        <v>239318</v>
      </c>
    </row>
    <row r="4158">
      <c r="A4158" s="521" t="n">
        <v>4150</v>
      </c>
      <c r="B4158" s="522" t="n"/>
      <c r="C4158" s="522" t="inlineStr">
        <is>
          <t>អ៊ិចស្ពែឌីធ័រ ខេមបូឌា អិលធីឌី</t>
        </is>
      </c>
      <c r="D4158" s="522" t="inlineStr">
        <is>
          <t>L001-100045898</t>
        </is>
      </c>
      <c r="E4158" s="521" t="inlineStr">
        <is>
          <t>TI-0188075</t>
        </is>
      </c>
      <c r="F4158" s="523" t="n">
        <v>44168</v>
      </c>
      <c r="G4158" s="556" t="n">
        <v>466582</v>
      </c>
      <c r="I4158" s="521">
        <f>G4158</f>
        <v/>
      </c>
      <c r="K4158" s="521">
        <f>I4158-G4158</f>
        <v/>
      </c>
      <c r="M4158" s="522" t="inlineStr">
        <is>
          <t>TI0188075</t>
        </is>
      </c>
      <c r="N4158" s="522" t="inlineStr"/>
      <c r="O4158" s="521">
        <f>M4158=N4158</f>
        <v/>
      </c>
      <c r="P4158" s="521">
        <f>AND(MONTH(F4158)=MONTH(S4158), YEAR(F4158)=YEAR(S4158))</f>
        <v/>
      </c>
      <c r="Q4158" s="521">
        <f>U4158="L001-901905215"</f>
        <v/>
      </c>
      <c r="R4158" s="556">
        <f>G4158-W4158</f>
        <v/>
      </c>
      <c r="S4158" s="521" t="n"/>
      <c r="T4158" s="522" t="n"/>
      <c r="U4158" s="522" t="n"/>
      <c r="V4158" s="522" t="n"/>
      <c r="W4158" s="521" t="n"/>
    </row>
    <row r="4159">
      <c r="A4159" s="521" t="n">
        <v>4151</v>
      </c>
      <c r="B4159" s="522" t="n"/>
      <c r="C4159" s="522" t="inlineStr">
        <is>
          <t>ឃែរី ឡូជីស្ទីក (ខេមបូឌា) ភីធីអ៊ី អិលធីឌី</t>
        </is>
      </c>
      <c r="D4159" s="522" t="inlineStr">
        <is>
          <t>L001-100074669</t>
        </is>
      </c>
      <c r="E4159" s="521" t="inlineStr">
        <is>
          <t>INVK117970</t>
        </is>
      </c>
      <c r="F4159" s="523" t="n">
        <v>44166</v>
      </c>
      <c r="G4159" s="556" t="n">
        <v>362028</v>
      </c>
      <c r="I4159" s="521">
        <f>G4159</f>
        <v/>
      </c>
      <c r="K4159" s="521">
        <f>I4159-G4159</f>
        <v/>
      </c>
      <c r="M4159" s="522" t="inlineStr">
        <is>
          <t>INVK117970</t>
        </is>
      </c>
      <c r="N4159" s="522" t="inlineStr"/>
      <c r="O4159" s="521">
        <f>M4159=N4159</f>
        <v/>
      </c>
      <c r="P4159" s="521">
        <f>AND(MONTH(F4159)=MONTH(S4159), YEAR(F4159)=YEAR(S4159))</f>
        <v/>
      </c>
      <c r="Q4159" s="521">
        <f>U4159="L001-901905215"</f>
        <v/>
      </c>
      <c r="R4159" s="556">
        <f>G4159-W4159</f>
        <v/>
      </c>
      <c r="S4159" s="521" t="n"/>
      <c r="T4159" s="522" t="n"/>
      <c r="U4159" s="522" t="n"/>
      <c r="V4159" s="522" t="n"/>
      <c r="W4159" s="521" t="n"/>
    </row>
    <row r="4160">
      <c r="A4160" s="521" t="n">
        <v>4152</v>
      </c>
      <c r="B4160" s="522" t="n"/>
      <c r="C4160" s="522" t="inlineStr">
        <is>
          <t>មើស្គ (ខេមបូឌា)</t>
        </is>
      </c>
      <c r="D4160" s="522" t="inlineStr">
        <is>
          <t>L001-100045200</t>
        </is>
      </c>
      <c r="E4160" s="521" t="inlineStr">
        <is>
          <t>5995867251</t>
        </is>
      </c>
      <c r="F4160" s="523" t="n">
        <v>44183</v>
      </c>
      <c r="G4160" s="556" t="n">
        <v>118606</v>
      </c>
      <c r="I4160" s="521">
        <f>G4160</f>
        <v/>
      </c>
      <c r="K4160" s="521">
        <f>I4160-G4160</f>
        <v/>
      </c>
      <c r="M4160" s="522" t="inlineStr">
        <is>
          <t>5995867251</t>
        </is>
      </c>
      <c r="N4160" s="522" t="inlineStr"/>
      <c r="O4160" s="521">
        <f>M4160=N4160</f>
        <v/>
      </c>
      <c r="P4160" s="521">
        <f>AND(MONTH(F4160)=MONTH(S4160), YEAR(F4160)=YEAR(S4160))</f>
        <v/>
      </c>
      <c r="Q4160" s="521">
        <f>U4160="L001-901905215"</f>
        <v/>
      </c>
      <c r="R4160" s="556">
        <f>G4160-W4160</f>
        <v/>
      </c>
      <c r="S4160" s="521" t="n"/>
      <c r="T4160" s="522" t="n"/>
      <c r="U4160" s="522" t="n"/>
      <c r="V4160" s="522" t="n"/>
      <c r="W4160" s="521" t="n"/>
    </row>
    <row r="4161">
      <c r="A4161" s="521" t="n">
        <v>4153</v>
      </c>
      <c r="B4161" s="522" t="n"/>
      <c r="C4161" s="522" t="inlineStr">
        <is>
          <t>មើស្គ (ខេមបូឌា)</t>
        </is>
      </c>
      <c r="D4161" s="522" t="inlineStr">
        <is>
          <t>L001-100045200</t>
        </is>
      </c>
      <c r="E4161" s="521" t="inlineStr">
        <is>
          <t>5995866161</t>
        </is>
      </c>
      <c r="F4161" s="523" t="n">
        <v>44166</v>
      </c>
      <c r="G4161" s="556" t="n">
        <v>118606</v>
      </c>
      <c r="I4161" s="521">
        <f>G4161</f>
        <v/>
      </c>
      <c r="K4161" s="521">
        <f>I4161-G4161</f>
        <v/>
      </c>
      <c r="M4161" s="522" t="inlineStr">
        <is>
          <t>5995866161</t>
        </is>
      </c>
      <c r="N4161" s="522" t="inlineStr"/>
      <c r="O4161" s="521">
        <f>M4161=N4161</f>
        <v/>
      </c>
      <c r="P4161" s="521">
        <f>AND(MONTH(F4161)=MONTH(S4161), YEAR(F4161)=YEAR(S4161))</f>
        <v/>
      </c>
      <c r="Q4161" s="521">
        <f>U4161="L001-901905215"</f>
        <v/>
      </c>
      <c r="R4161" s="556">
        <f>G4161-W4161</f>
        <v/>
      </c>
      <c r="S4161" s="521" t="n"/>
      <c r="T4161" s="522" t="n"/>
      <c r="U4161" s="522" t="n"/>
      <c r="V4161" s="522" t="n"/>
      <c r="W4161" s="521" t="n"/>
    </row>
    <row r="4162">
      <c r="A4162" s="521" t="n">
        <v>4154</v>
      </c>
      <c r="B4162" s="522" t="n"/>
      <c r="C4162" s="522" t="inlineStr">
        <is>
          <t>កំពង់ផែស្វយ័តក្រុងព្រះសីហនុ</t>
        </is>
      </c>
      <c r="D4162" s="522" t="inlineStr">
        <is>
          <t>L001-100044638</t>
        </is>
      </c>
      <c r="E4162" s="521" t="inlineStr">
        <is>
          <t>179898</t>
        </is>
      </c>
      <c r="F4162" s="523" t="n">
        <v>44166</v>
      </c>
      <c r="G4162" s="556" t="n">
        <v>70435</v>
      </c>
      <c r="I4162" s="521">
        <f>G4162</f>
        <v/>
      </c>
      <c r="K4162" s="521">
        <f>I4162-G4162</f>
        <v/>
      </c>
      <c r="M4162" s="522" t="inlineStr">
        <is>
          <t>179898</t>
        </is>
      </c>
      <c r="N4162" s="522" t="inlineStr"/>
      <c r="O4162" s="521">
        <f>M4162=N4162</f>
        <v/>
      </c>
      <c r="P4162" s="521">
        <f>AND(MONTH(F4162)=MONTH(S4162), YEAR(F4162)=YEAR(S4162))</f>
        <v/>
      </c>
      <c r="Q4162" s="521">
        <f>U4162="L001-901905215"</f>
        <v/>
      </c>
      <c r="R4162" s="556">
        <f>G4162-W4162</f>
        <v/>
      </c>
      <c r="S4162" s="521" t="n"/>
      <c r="T4162" s="522" t="n"/>
      <c r="U4162" s="522" t="n"/>
      <c r="V4162" s="522" t="n"/>
      <c r="W4162" s="521" t="n"/>
    </row>
    <row r="4163">
      <c r="A4163" s="521" t="n">
        <v>4155</v>
      </c>
      <c r="B4163" s="522" t="n"/>
      <c r="C4163" s="522" t="inlineStr">
        <is>
          <t>យូសេន ឡូជីស្ទីក (ខេមបូឌា) ខូ អិលធីឌី</t>
        </is>
      </c>
      <c r="D4163" s="522" t="inlineStr">
        <is>
          <t>L001-104015799</t>
        </is>
      </c>
      <c r="E4163" s="521" t="inlineStr">
        <is>
          <t>PNHTI0014478</t>
        </is>
      </c>
      <c r="F4163" s="523" t="n">
        <v>44166</v>
      </c>
      <c r="G4163" s="556" t="n">
        <v>157872</v>
      </c>
      <c r="I4163" s="521">
        <f>G4163</f>
        <v/>
      </c>
      <c r="K4163" s="521">
        <f>I4163-G4163</f>
        <v/>
      </c>
      <c r="M4163" s="522" t="inlineStr">
        <is>
          <t>PNHTI0014478</t>
        </is>
      </c>
      <c r="N4163" s="522" t="inlineStr"/>
      <c r="O4163" s="521">
        <f>M4163=N4163</f>
        <v/>
      </c>
      <c r="P4163" s="521">
        <f>AND(MONTH(F4163)=MONTH(S4163), YEAR(F4163)=YEAR(S4163))</f>
        <v/>
      </c>
      <c r="Q4163" s="521">
        <f>U4163="L001-901905215"</f>
        <v/>
      </c>
      <c r="R4163" s="556">
        <f>G4163-W4163</f>
        <v/>
      </c>
      <c r="S4163" s="521" t="n"/>
      <c r="T4163" s="522" t="n"/>
      <c r="U4163" s="522" t="n"/>
      <c r="V4163" s="522" t="n"/>
      <c r="W4163" s="521" t="n"/>
    </row>
    <row r="4164">
      <c r="A4164" s="521" t="n">
        <v>4156</v>
      </c>
      <c r="B4164" s="522" t="n"/>
      <c r="C4164" s="522" t="inlineStr">
        <is>
          <t>កំពង់ផែស្វយ័តក្រុងព្រះសីហនុ</t>
        </is>
      </c>
      <c r="D4164" s="522" t="inlineStr">
        <is>
          <t>L001-100044638</t>
        </is>
      </c>
      <c r="E4164" s="521" t="inlineStr">
        <is>
          <t>167689</t>
        </is>
      </c>
      <c r="F4164" s="523" t="n">
        <v>44166</v>
      </c>
      <c r="G4164" s="556" t="n">
        <v>35322</v>
      </c>
      <c r="I4164" s="521">
        <f>G4164</f>
        <v/>
      </c>
      <c r="K4164" s="521">
        <f>I4164-G4164</f>
        <v/>
      </c>
      <c r="M4164" s="522" t="inlineStr">
        <is>
          <t>167689</t>
        </is>
      </c>
      <c r="N4164" s="522" t="inlineStr"/>
      <c r="O4164" s="521">
        <f>M4164=N4164</f>
        <v/>
      </c>
      <c r="P4164" s="521">
        <f>AND(MONTH(F4164)=MONTH(S4164), YEAR(F4164)=YEAR(S4164))</f>
        <v/>
      </c>
      <c r="Q4164" s="521">
        <f>U4164="L001-901905215"</f>
        <v/>
      </c>
      <c r="R4164" s="556">
        <f>G4164-W4164</f>
        <v/>
      </c>
      <c r="S4164" s="521" t="n"/>
      <c r="T4164" s="522" t="n"/>
      <c r="U4164" s="522" t="n"/>
      <c r="V4164" s="522" t="n"/>
      <c r="W4164" s="521" t="n"/>
    </row>
    <row r="4165">
      <c r="A4165" s="521" t="n">
        <v>4157</v>
      </c>
      <c r="B4165" s="522" t="n"/>
      <c r="C4165" s="522" t="inlineStr">
        <is>
          <t>ស្ត្រេតស៍ អ៊ិនធើណេសិនណល ភីធីអ៊ី អិលធីឌី</t>
        </is>
      </c>
      <c r="D4165" s="522" t="inlineStr">
        <is>
          <t>L001-100045162</t>
        </is>
      </c>
      <c r="E4165" s="521" t="inlineStr">
        <is>
          <t>2022081</t>
        </is>
      </c>
      <c r="F4165" s="523" t="n">
        <v>44166</v>
      </c>
      <c r="G4165" s="556" t="n">
        <v>111375</v>
      </c>
      <c r="I4165" s="521">
        <f>G4165</f>
        <v/>
      </c>
      <c r="K4165" s="521">
        <f>I4165-G4165</f>
        <v/>
      </c>
      <c r="M4165" s="522" t="inlineStr">
        <is>
          <t>2022081</t>
        </is>
      </c>
      <c r="N4165" s="522" t="inlineStr"/>
      <c r="O4165" s="521">
        <f>M4165=N4165</f>
        <v/>
      </c>
      <c r="P4165" s="521">
        <f>AND(MONTH(F4165)=MONTH(S4165), YEAR(F4165)=YEAR(S4165))</f>
        <v/>
      </c>
      <c r="Q4165" s="521">
        <f>U4165="L001-901905215"</f>
        <v/>
      </c>
      <c r="R4165" s="556">
        <f>G4165-W4165</f>
        <v/>
      </c>
      <c r="S4165" s="521" t="n"/>
      <c r="T4165" s="522" t="n"/>
      <c r="U4165" s="522" t="n"/>
      <c r="V4165" s="522" t="n"/>
      <c r="W4165" s="521" t="n"/>
    </row>
    <row r="4166">
      <c r="A4166" s="521" t="n">
        <v>4158</v>
      </c>
      <c r="B4166" s="522" t="n"/>
      <c r="C4166" s="522" t="inlineStr">
        <is>
          <t>យីងកឺ ខេម ឯ.ក</t>
        </is>
      </c>
      <c r="D4166" s="522" t="inlineStr">
        <is>
          <t>K003-901900367</t>
        </is>
      </c>
      <c r="E4166" s="521" t="inlineStr">
        <is>
          <t>YK20-092</t>
        </is>
      </c>
      <c r="F4166" s="523" t="n">
        <v>44166</v>
      </c>
      <c r="G4166" s="556" t="n">
        <v>240205</v>
      </c>
      <c r="I4166" s="521">
        <f>G4166</f>
        <v/>
      </c>
      <c r="K4166" s="521">
        <f>I4166-G4166</f>
        <v/>
      </c>
      <c r="M4166" s="522" t="inlineStr">
        <is>
          <t>YK20092</t>
        </is>
      </c>
      <c r="N4166" s="522" t="inlineStr"/>
      <c r="O4166" s="521">
        <f>M4166=N4166</f>
        <v/>
      </c>
      <c r="P4166" s="521">
        <f>AND(MONTH(F4166)=MONTH(S4166), YEAR(F4166)=YEAR(S4166))</f>
        <v/>
      </c>
      <c r="Q4166" s="521">
        <f>U4166="L001-901905215"</f>
        <v/>
      </c>
      <c r="R4166" s="556">
        <f>G4166-W4166</f>
        <v/>
      </c>
      <c r="S4166" s="521" t="n"/>
      <c r="T4166" s="522" t="n"/>
      <c r="U4166" s="522" t="n"/>
      <c r="V4166" s="522" t="n"/>
      <c r="W4166" s="521" t="n"/>
    </row>
    <row r="4167">
      <c r="A4167" s="521" t="n">
        <v>4159</v>
      </c>
      <c r="B4167" s="522" t="n"/>
      <c r="C4167" s="522" t="inlineStr">
        <is>
          <t>កំពង់ផែស្វយ័តភ្នំពេញ "ក.ស.ភ"</t>
        </is>
      </c>
      <c r="D4167" s="522" t="inlineStr">
        <is>
          <t>L001-100044999</t>
        </is>
      </c>
      <c r="E4167" s="521" t="inlineStr">
        <is>
          <t>INV20201259802</t>
        </is>
      </c>
      <c r="F4167" s="523" t="n">
        <v>44186</v>
      </c>
      <c r="G4167" s="556" t="n">
        <v>28890</v>
      </c>
      <c r="I4167" s="521">
        <f>G4167</f>
        <v/>
      </c>
      <c r="K4167" s="521">
        <f>I4167-G4167</f>
        <v/>
      </c>
      <c r="M4167" s="522" t="inlineStr">
        <is>
          <t>INV20201259802</t>
        </is>
      </c>
      <c r="N4167" s="522" t="inlineStr"/>
      <c r="O4167" s="521">
        <f>M4167=N4167</f>
        <v/>
      </c>
      <c r="P4167" s="521">
        <f>AND(MONTH(F4167)=MONTH(S4167), YEAR(F4167)=YEAR(S4167))</f>
        <v/>
      </c>
      <c r="Q4167" s="521">
        <f>U4167="L001-901905215"</f>
        <v/>
      </c>
      <c r="R4167" s="556">
        <f>G4167-W4167</f>
        <v/>
      </c>
      <c r="S4167" s="521" t="n"/>
      <c r="T4167" s="522" t="n"/>
      <c r="U4167" s="522" t="n"/>
      <c r="V4167" s="522" t="n"/>
      <c r="W4167" s="521" t="n"/>
    </row>
    <row r="4168">
      <c r="A4168" s="521" t="n">
        <v>4160</v>
      </c>
      <c r="B4168" s="522" t="n"/>
      <c r="C4168" s="522" t="inlineStr">
        <is>
          <t>កំពង់ផែស្វយ័តភ្នំពេញ "ក.ស.ភ"</t>
        </is>
      </c>
      <c r="D4168" s="522" t="inlineStr">
        <is>
          <t>L001-100044999</t>
        </is>
      </c>
      <c r="E4168" s="521" t="inlineStr">
        <is>
          <t>INV20201259801</t>
        </is>
      </c>
      <c r="F4168" s="523" t="n">
        <v>44186</v>
      </c>
      <c r="G4168" s="556" t="n">
        <v>28890</v>
      </c>
      <c r="I4168" s="521">
        <f>G4168</f>
        <v/>
      </c>
      <c r="K4168" s="521">
        <f>I4168-G4168</f>
        <v/>
      </c>
      <c r="M4168" s="522" t="inlineStr">
        <is>
          <t>INV20201259801</t>
        </is>
      </c>
      <c r="N4168" s="522" t="inlineStr"/>
      <c r="O4168" s="521">
        <f>M4168=N4168</f>
        <v/>
      </c>
      <c r="P4168" s="521">
        <f>AND(MONTH(F4168)=MONTH(S4168), YEAR(F4168)=YEAR(S4168))</f>
        <v/>
      </c>
      <c r="Q4168" s="521">
        <f>U4168="L001-901905215"</f>
        <v/>
      </c>
      <c r="R4168" s="556">
        <f>G4168-W4168</f>
        <v/>
      </c>
      <c r="S4168" s="521" t="n"/>
      <c r="T4168" s="522" t="n"/>
      <c r="U4168" s="522" t="n"/>
      <c r="V4168" s="522" t="n"/>
      <c r="W4168" s="521" t="n"/>
    </row>
    <row r="4169">
      <c r="A4169" s="521" t="n">
        <v>4161</v>
      </c>
      <c r="B4169" s="522" t="n"/>
      <c r="C4169" s="522" t="inlineStr">
        <is>
          <t>កំពង់ផែស្វយ័តភ្នំពេញ "ក.ស.ភ"</t>
        </is>
      </c>
      <c r="D4169" s="522" t="inlineStr">
        <is>
          <t>L001-100044999</t>
        </is>
      </c>
      <c r="E4169" s="521" t="inlineStr">
        <is>
          <t>INV20201258048</t>
        </is>
      </c>
      <c r="F4169" s="523" t="n">
        <v>44177</v>
      </c>
      <c r="G4169" s="556" t="n">
        <v>28976</v>
      </c>
      <c r="I4169" s="521">
        <f>G4169</f>
        <v/>
      </c>
      <c r="K4169" s="521">
        <f>I4169-G4169</f>
        <v/>
      </c>
      <c r="M4169" s="522" t="inlineStr">
        <is>
          <t>INV20201258048</t>
        </is>
      </c>
      <c r="N4169" s="522" t="inlineStr"/>
      <c r="O4169" s="521">
        <f>M4169=N4169</f>
        <v/>
      </c>
      <c r="P4169" s="521">
        <f>AND(MONTH(F4169)=MONTH(S4169), YEAR(F4169)=YEAR(S4169))</f>
        <v/>
      </c>
      <c r="Q4169" s="521">
        <f>U4169="L001-901905215"</f>
        <v/>
      </c>
      <c r="R4169" s="556">
        <f>G4169-W4169</f>
        <v/>
      </c>
      <c r="S4169" s="521" t="n"/>
      <c r="T4169" s="522" t="n"/>
      <c r="U4169" s="522" t="n"/>
      <c r="V4169" s="522" t="n"/>
      <c r="W4169" s="521" t="n"/>
    </row>
    <row r="4170">
      <c r="A4170" s="521" t="n">
        <v>4162</v>
      </c>
      <c r="B4170" s="522" t="n"/>
      <c r="C4170" s="522" t="inlineStr">
        <is>
          <t>កំពង់ផែស្វយ័តភ្នំពេញ "ក.ស.ភ"</t>
        </is>
      </c>
      <c r="D4170" s="522" t="inlineStr">
        <is>
          <t>L001-100044999</t>
        </is>
      </c>
      <c r="E4170" s="521" t="inlineStr">
        <is>
          <t>INV20201258047</t>
        </is>
      </c>
      <c r="F4170" s="523" t="n">
        <v>44177</v>
      </c>
      <c r="G4170" s="556" t="n">
        <v>115904</v>
      </c>
      <c r="I4170" s="521">
        <f>G4170</f>
        <v/>
      </c>
      <c r="K4170" s="521">
        <f>I4170-G4170</f>
        <v/>
      </c>
      <c r="M4170" s="522" t="inlineStr">
        <is>
          <t>INV20201258047</t>
        </is>
      </c>
      <c r="N4170" s="522" t="inlineStr"/>
      <c r="O4170" s="521">
        <f>M4170=N4170</f>
        <v/>
      </c>
      <c r="P4170" s="521">
        <f>AND(MONTH(F4170)=MONTH(S4170), YEAR(F4170)=YEAR(S4170))</f>
        <v/>
      </c>
      <c r="Q4170" s="521">
        <f>U4170="L001-901905215"</f>
        <v/>
      </c>
      <c r="R4170" s="556">
        <f>G4170-W4170</f>
        <v/>
      </c>
      <c r="S4170" s="521" t="n"/>
      <c r="T4170" s="522" t="n"/>
      <c r="U4170" s="522" t="n"/>
      <c r="V4170" s="522" t="n"/>
      <c r="W4170" s="521" t="n"/>
    </row>
    <row r="4171">
      <c r="A4171" s="521" t="n">
        <v>4163</v>
      </c>
      <c r="B4171" s="522" t="n"/>
      <c r="C4171" s="522" t="inlineStr">
        <is>
          <t>កំពង់ផែស្វយ័តភ្នំពេញ "ក.ស.ភ"</t>
        </is>
      </c>
      <c r="D4171" s="522" t="inlineStr">
        <is>
          <t>L001-100044999</t>
        </is>
      </c>
      <c r="E4171" s="521" t="inlineStr">
        <is>
          <t>INV20201155711</t>
        </is>
      </c>
      <c r="F4171" s="523" t="n">
        <v>44166</v>
      </c>
      <c r="G4171" s="556" t="n">
        <v>28962</v>
      </c>
      <c r="I4171" s="521">
        <f>G4171</f>
        <v/>
      </c>
      <c r="K4171" s="521">
        <f>I4171-G4171</f>
        <v/>
      </c>
      <c r="M4171" s="522" t="inlineStr">
        <is>
          <t>INV20201155711</t>
        </is>
      </c>
      <c r="N4171" s="522" t="inlineStr"/>
      <c r="O4171" s="521">
        <f>M4171=N4171</f>
        <v/>
      </c>
      <c r="P4171" s="521">
        <f>AND(MONTH(F4171)=MONTH(S4171), YEAR(F4171)=YEAR(S4171))</f>
        <v/>
      </c>
      <c r="Q4171" s="521">
        <f>U4171="L001-901905215"</f>
        <v/>
      </c>
      <c r="R4171" s="556">
        <f>G4171-W4171</f>
        <v/>
      </c>
      <c r="S4171" s="521" t="n"/>
      <c r="T4171" s="522" t="n"/>
      <c r="U4171" s="522" t="n"/>
      <c r="V4171" s="522" t="n"/>
      <c r="W4171" s="521" t="n"/>
    </row>
    <row r="4172">
      <c r="A4172" s="521" t="n">
        <v>4164</v>
      </c>
      <c r="B4172" s="522" t="n"/>
      <c r="C4172" s="522" t="inlineStr">
        <is>
          <t>កំពង់ផែស្វយ័តភ្នំពេញ "ក.ស.ភ"</t>
        </is>
      </c>
      <c r="D4172" s="522" t="inlineStr">
        <is>
          <t>L001-100044999</t>
        </is>
      </c>
      <c r="E4172" s="521" t="inlineStr">
        <is>
          <t>INV20201256725</t>
        </is>
      </c>
      <c r="F4172" s="523" t="n">
        <v>44170</v>
      </c>
      <c r="G4172" s="556" t="n">
        <v>28976</v>
      </c>
      <c r="I4172" s="521">
        <f>G4172</f>
        <v/>
      </c>
      <c r="K4172" s="521">
        <f>I4172-G4172</f>
        <v/>
      </c>
      <c r="M4172" s="522" t="inlineStr">
        <is>
          <t>INV20201256725</t>
        </is>
      </c>
      <c r="N4172" s="522" t="inlineStr"/>
      <c r="O4172" s="521">
        <f>M4172=N4172</f>
        <v/>
      </c>
      <c r="P4172" s="521">
        <f>AND(MONTH(F4172)=MONTH(S4172), YEAR(F4172)=YEAR(S4172))</f>
        <v/>
      </c>
      <c r="Q4172" s="521">
        <f>U4172="L001-901905215"</f>
        <v/>
      </c>
      <c r="R4172" s="556">
        <f>G4172-W4172</f>
        <v/>
      </c>
      <c r="S4172" s="521" t="n"/>
      <c r="T4172" s="522" t="n"/>
      <c r="U4172" s="522" t="n"/>
      <c r="V4172" s="522" t="n"/>
      <c r="W4172" s="521" t="n"/>
    </row>
    <row r="4173">
      <c r="A4173" s="521" t="n">
        <v>4165</v>
      </c>
      <c r="B4173" s="522" t="n"/>
      <c r="C4173" s="522" t="inlineStr">
        <is>
          <t>កំពង់ផែស្វយ័តភ្នំពេញ "ក.ស.ភ"</t>
        </is>
      </c>
      <c r="D4173" s="522" t="inlineStr">
        <is>
          <t>L001-100044999</t>
        </is>
      </c>
      <c r="E4173" s="521" t="inlineStr">
        <is>
          <t>INV20201256726</t>
        </is>
      </c>
      <c r="F4173" s="523" t="n">
        <v>44170</v>
      </c>
      <c r="G4173" s="556" t="n">
        <v>28976</v>
      </c>
      <c r="I4173" s="521">
        <f>G4173</f>
        <v/>
      </c>
      <c r="K4173" s="521">
        <f>I4173-G4173</f>
        <v/>
      </c>
      <c r="M4173" s="522" t="inlineStr">
        <is>
          <t>INV20201256726</t>
        </is>
      </c>
      <c r="N4173" s="522" t="inlineStr"/>
      <c r="O4173" s="521">
        <f>M4173=N4173</f>
        <v/>
      </c>
      <c r="P4173" s="521">
        <f>AND(MONTH(F4173)=MONTH(S4173), YEAR(F4173)=YEAR(S4173))</f>
        <v/>
      </c>
      <c r="Q4173" s="521">
        <f>U4173="L001-901905215"</f>
        <v/>
      </c>
      <c r="R4173" s="556">
        <f>G4173-W4173</f>
        <v/>
      </c>
      <c r="S4173" s="521" t="n"/>
      <c r="T4173" s="522" t="n"/>
      <c r="U4173" s="522" t="n"/>
      <c r="V4173" s="522" t="n"/>
      <c r="W4173" s="521" t="n"/>
    </row>
    <row r="4174">
      <c r="A4174" s="521" t="n">
        <v>4166</v>
      </c>
      <c r="B4174" s="522" t="inlineStr">
        <is>
          <t>Sampling and Travel fee</t>
        </is>
      </c>
      <c r="C4174" s="522" t="inlineStr">
        <is>
          <t>អេសជីអេស (ខេមបូឌា) លីមីធីត</t>
        </is>
      </c>
      <c r="D4174" s="522" t="inlineStr">
        <is>
          <t>L001-107030519</t>
        </is>
      </c>
      <c r="E4174" s="521" t="inlineStr">
        <is>
          <t>10016199</t>
        </is>
      </c>
      <c r="F4174" s="523" t="n">
        <v>44558</v>
      </c>
      <c r="G4174" s="556" t="n">
        <v>105131</v>
      </c>
      <c r="I4174" s="521">
        <f>G4174</f>
        <v/>
      </c>
      <c r="K4174" s="521">
        <f>I4174-G4174</f>
        <v/>
      </c>
      <c r="M4174" s="522" t="inlineStr">
        <is>
          <t>10016199</t>
        </is>
      </c>
      <c r="N4174" s="522" t="inlineStr">
        <is>
          <t>10016199</t>
        </is>
      </c>
      <c r="O4174" s="521">
        <f>M4174=N4174</f>
        <v/>
      </c>
      <c r="P4174" s="521">
        <f>AND(MONTH(F4174)=MONTH(S4174), YEAR(F4174)=YEAR(S4174))</f>
        <v/>
      </c>
      <c r="Q4174" s="521">
        <f>U4174="L001-901905215"</f>
        <v/>
      </c>
      <c r="R4174" s="556">
        <f>G4174-W4174</f>
        <v/>
      </c>
      <c r="S4174" s="523" t="n">
        <v>44558</v>
      </c>
      <c r="T4174" s="522" t="inlineStr">
        <is>
          <t>10016199</t>
        </is>
      </c>
      <c r="U4174" s="522" t="inlineStr">
        <is>
          <t>L001-901905215</t>
        </is>
      </c>
      <c r="V4174" s="522" t="inlineStr">
        <is>
          <t>វីអ៊ីស៊ិន (ខេមបូឌា) អ៊ិនដាសស្ទ្រី ឯ.ក</t>
        </is>
      </c>
      <c r="W4174" s="556" t="n">
        <v>106331</v>
      </c>
    </row>
    <row r="4175">
      <c r="A4175" s="521" t="n">
        <v>4167</v>
      </c>
      <c r="B4175" s="522" t="inlineStr">
        <is>
          <t>Express fee</t>
        </is>
      </c>
      <c r="C4175" s="522" t="inlineStr">
        <is>
          <t>ឌី អេច អិល អិចប្រេស (ខេមបូឌា)</t>
        </is>
      </c>
      <c r="D4175" s="522" t="inlineStr">
        <is>
          <t>L001-100045197</t>
        </is>
      </c>
      <c r="E4175" s="521" t="inlineStr">
        <is>
          <t>PNHR000406838</t>
        </is>
      </c>
      <c r="F4175" s="523" t="n">
        <v>44561</v>
      </c>
      <c r="G4175" s="556" t="n">
        <v>139033</v>
      </c>
      <c r="I4175" s="521">
        <f>G4175</f>
        <v/>
      </c>
      <c r="K4175" s="521">
        <f>I4175-G4175</f>
        <v/>
      </c>
      <c r="M4175" s="522" t="inlineStr">
        <is>
          <t>PNHR000406838</t>
        </is>
      </c>
      <c r="N4175" s="522" t="inlineStr"/>
      <c r="O4175" s="521">
        <f>M4175=N4175</f>
        <v/>
      </c>
      <c r="P4175" s="521">
        <f>AND(MONTH(F4175)=MONTH(S4175), YEAR(F4175)=YEAR(S4175))</f>
        <v/>
      </c>
      <c r="Q4175" s="521">
        <f>U4175="L001-901905215"</f>
        <v/>
      </c>
      <c r="R4175" s="556">
        <f>G4175-W4175</f>
        <v/>
      </c>
      <c r="S4175" s="521" t="n"/>
      <c r="T4175" s="522" t="n"/>
      <c r="U4175" s="522" t="n"/>
      <c r="V4175" s="522" t="n"/>
      <c r="W4175" s="521" t="n"/>
    </row>
    <row r="4176">
      <c r="A4176" s="521" t="n">
        <v>4168</v>
      </c>
      <c r="B4176" s="522" t="inlineStr">
        <is>
          <t>Plastic material(ABS black color)</t>
        </is>
      </c>
      <c r="C4176" s="522" t="inlineStr">
        <is>
          <t>ស៊ីអិន ប៉ាវ តាវ ហ្រ្គីន ខនស្ត្រាក់សិន មេធៀរៀល ឯ.ក</t>
        </is>
      </c>
      <c r="D4176" s="522" t="inlineStr">
        <is>
          <t>K007-902101486</t>
        </is>
      </c>
      <c r="E4176" s="521" t="inlineStr">
        <is>
          <t>0457</t>
        </is>
      </c>
      <c r="F4176" s="523" t="n">
        <v>44553</v>
      </c>
      <c r="G4176" s="556" t="n">
        <v>13554944</v>
      </c>
      <c r="I4176" s="521">
        <f>G4176</f>
        <v/>
      </c>
      <c r="K4176" s="521">
        <f>I4176-G4176</f>
        <v/>
      </c>
      <c r="M4176" s="522" t="inlineStr">
        <is>
          <t>0457</t>
        </is>
      </c>
      <c r="N4176" s="522" t="inlineStr">
        <is>
          <t>0457</t>
        </is>
      </c>
      <c r="O4176" s="521">
        <f>M4176=N4176</f>
        <v/>
      </c>
      <c r="P4176" s="521">
        <f>AND(MONTH(F4176)=MONTH(S4176), YEAR(F4176)=YEAR(S4176))</f>
        <v/>
      </c>
      <c r="Q4176" s="521">
        <f>U4176="L001-901905215"</f>
        <v/>
      </c>
      <c r="R4176" s="556">
        <f>G4176-W4176</f>
        <v/>
      </c>
      <c r="S4176" s="523" t="n">
        <v>44553</v>
      </c>
      <c r="T4176" s="522" t="inlineStr">
        <is>
          <t>0457</t>
        </is>
      </c>
      <c r="U4176" s="522" t="inlineStr">
        <is>
          <t>L001-901905215</t>
        </is>
      </c>
      <c r="V4176" s="522" t="inlineStr">
        <is>
          <t>វីអ៊ីស៊ិន (ខេមបូឌា) អ៊ិនដាសស្ទ្រី ឯ.ក</t>
        </is>
      </c>
      <c r="W4176" s="556" t="n">
        <v>13554944</v>
      </c>
    </row>
    <row r="4177">
      <c r="A4177" s="521" t="n">
        <v>4169</v>
      </c>
      <c r="B4177" s="522" t="inlineStr">
        <is>
          <t>Monthly Security service forNon &amp; Dec 2021</t>
        </is>
      </c>
      <c r="C4177" s="522" t="inlineStr">
        <is>
          <t>យីងកឺ ខេម ថេក អ៊ែតវ៉ាយហ្សឺរី ឯ.ក</t>
        </is>
      </c>
      <c r="D4177" s="522" t="inlineStr">
        <is>
          <t>K003-902005313</t>
        </is>
      </c>
      <c r="E4177" s="521" t="inlineStr">
        <is>
          <t>YKT21-183</t>
        </is>
      </c>
      <c r="F4177" s="523" t="n">
        <v>44536</v>
      </c>
      <c r="G4177" s="556" t="n">
        <v>570080</v>
      </c>
      <c r="I4177" s="521">
        <f>G4177</f>
        <v/>
      </c>
      <c r="K4177" s="521">
        <f>I4177-G4177</f>
        <v/>
      </c>
      <c r="M4177" s="522" t="inlineStr">
        <is>
          <t>YKT21183</t>
        </is>
      </c>
      <c r="N4177" s="522" t="inlineStr">
        <is>
          <t>YKT21183</t>
        </is>
      </c>
      <c r="O4177" s="521">
        <f>M4177=N4177</f>
        <v/>
      </c>
      <c r="P4177" s="521">
        <f>AND(MONTH(F4177)=MONTH(S4177), YEAR(F4177)=YEAR(S4177))</f>
        <v/>
      </c>
      <c r="Q4177" s="521">
        <f>U4177="L001-901905215"</f>
        <v/>
      </c>
      <c r="R4177" s="556">
        <f>G4177-W4177</f>
        <v/>
      </c>
      <c r="S4177" s="523" t="n">
        <v>44536</v>
      </c>
      <c r="T4177" s="522" t="inlineStr">
        <is>
          <t>YKT21-183</t>
        </is>
      </c>
      <c r="U4177" s="522" t="inlineStr">
        <is>
          <t>L001-901905215</t>
        </is>
      </c>
      <c r="V4177" s="522" t="inlineStr">
        <is>
          <t>វីអ៊ីស៊ិន (ខេមបូឌា) អ៊ិនដាសស្ទ្រី ឯ.ក</t>
        </is>
      </c>
      <c r="W4177" s="556" t="n">
        <v>570080</v>
      </c>
    </row>
    <row r="4178">
      <c r="A4178" s="521" t="n">
        <v>4170</v>
      </c>
      <c r="B4178" s="522" t="inlineStr">
        <is>
          <t>Truck booking cancellation</t>
        </is>
      </c>
      <c r="C4178" s="522" t="inlineStr">
        <is>
          <t>56ប៊ី-លីង សឹបផ្លាយ ឆេន មេនេចម៉ិន ឯ.ក</t>
        </is>
      </c>
      <c r="D4178" s="522" t="inlineStr">
        <is>
          <t>K004-902004795</t>
        </is>
      </c>
      <c r="E4178" s="521" t="inlineStr">
        <is>
          <t>IN202112-0776</t>
        </is>
      </c>
      <c r="F4178" s="523" t="n">
        <v>44554</v>
      </c>
      <c r="G4178" s="556" t="n">
        <v>56207</v>
      </c>
      <c r="I4178" s="521">
        <f>G4178</f>
        <v/>
      </c>
      <c r="K4178" s="521">
        <f>I4178-G4178</f>
        <v/>
      </c>
      <c r="M4178" s="522" t="inlineStr">
        <is>
          <t>IN2021120776</t>
        </is>
      </c>
      <c r="N4178" s="522" t="inlineStr">
        <is>
          <t>IN2021120776</t>
        </is>
      </c>
      <c r="O4178" s="521">
        <f>M4178=N4178</f>
        <v/>
      </c>
      <c r="P4178" s="521">
        <f>AND(MONTH(F4178)=MONTH(S4178), YEAR(F4178)=YEAR(S4178))</f>
        <v/>
      </c>
      <c r="Q4178" s="521">
        <f>U4178="L001-901905215"</f>
        <v/>
      </c>
      <c r="R4178" s="556">
        <f>G4178-W4178</f>
        <v/>
      </c>
      <c r="S4178" s="523" t="n">
        <v>44554</v>
      </c>
      <c r="T4178" s="522" t="inlineStr">
        <is>
          <t>IN202112-0776</t>
        </is>
      </c>
      <c r="U4178" s="522" t="inlineStr">
        <is>
          <t>L001-901905215</t>
        </is>
      </c>
      <c r="V4178" s="522" t="inlineStr">
        <is>
          <t>វីអ៊ីស៊ិន (ខេមបូឌា) អ៊ិនដាសស្ទ្រី ឯ.ក</t>
        </is>
      </c>
      <c r="W4178" s="556" t="n">
        <v>56207</v>
      </c>
    </row>
    <row r="4179">
      <c r="A4179" s="521" t="n">
        <v>4171</v>
      </c>
      <c r="B4179" s="522" t="inlineStr">
        <is>
          <t>ក្រដាសកាតុងធ្វើកេស</t>
        </is>
      </c>
      <c r="C4179" s="522" t="inlineStr">
        <is>
          <t>យី មីង ភែកឃីជីង ឯ.ក</t>
        </is>
      </c>
      <c r="D4179" s="522" t="inlineStr">
        <is>
          <t>B108-902101335</t>
        </is>
      </c>
      <c r="E4179" s="521" t="inlineStr">
        <is>
          <t>YM-0009</t>
        </is>
      </c>
      <c r="F4179" s="523" t="n">
        <v>44561</v>
      </c>
      <c r="G4179" s="556" t="n">
        <v>16335373</v>
      </c>
      <c r="I4179" s="521">
        <f>G4179</f>
        <v/>
      </c>
      <c r="K4179" s="521">
        <f>I4179-G4179</f>
        <v/>
      </c>
      <c r="M4179" s="522" t="inlineStr">
        <is>
          <t>YM0009</t>
        </is>
      </c>
      <c r="N4179" s="522" t="inlineStr">
        <is>
          <t>YM0009</t>
        </is>
      </c>
      <c r="O4179" s="521">
        <f>M4179=N4179</f>
        <v/>
      </c>
      <c r="P4179" s="521">
        <f>AND(MONTH(F4179)=MONTH(S4179), YEAR(F4179)=YEAR(S4179))</f>
        <v/>
      </c>
      <c r="Q4179" s="521">
        <f>U4179="L001-901905215"</f>
        <v/>
      </c>
      <c r="R4179" s="556">
        <f>G4179-W4179</f>
        <v/>
      </c>
      <c r="S4179" s="523" t="n">
        <v>44561</v>
      </c>
      <c r="T4179" s="522" t="inlineStr">
        <is>
          <t>YM-0009</t>
        </is>
      </c>
      <c r="U4179" s="522" t="inlineStr">
        <is>
          <t>L001-901905215</t>
        </is>
      </c>
      <c r="V4179" s="522" t="inlineStr">
        <is>
          <t>វីអ៊ីស៊ិន (ខេមបូឌា) អ៊ិនដាសស្ទ្រី ឯ.ក</t>
        </is>
      </c>
      <c r="W4179" s="556" t="n">
        <v>16335373</v>
      </c>
    </row>
    <row r="4180">
      <c r="A4180" s="521" t="n">
        <v>4172</v>
      </c>
      <c r="B4180" s="522" t="inlineStr">
        <is>
          <t>Paper label</t>
        </is>
      </c>
      <c r="C4180" s="522" t="inlineStr">
        <is>
          <t>ស៊ីន ហ្វី យ៉ាង ព្រីនធីង &amp; អិកសេសសឺរី ឯ.ក</t>
        </is>
      </c>
      <c r="D4180" s="522" t="inlineStr">
        <is>
          <t>K010-901906822</t>
        </is>
      </c>
      <c r="E4180" s="521" t="inlineStr">
        <is>
          <t>XFY-YD2021188</t>
        </is>
      </c>
      <c r="F4180" s="523" t="n">
        <v>44560</v>
      </c>
      <c r="G4180" s="556" t="n">
        <v>9310990</v>
      </c>
      <c r="I4180" s="521">
        <f>G4180</f>
        <v/>
      </c>
      <c r="K4180" s="521">
        <f>I4180-G4180</f>
        <v/>
      </c>
      <c r="M4180" s="522" t="inlineStr">
        <is>
          <t>XFYYD2021188</t>
        </is>
      </c>
      <c r="N4180" s="522" t="inlineStr">
        <is>
          <t>XFYYD2021188</t>
        </is>
      </c>
      <c r="O4180" s="521">
        <f>M4180=N4180</f>
        <v/>
      </c>
      <c r="P4180" s="521">
        <f>AND(MONTH(F4180)=MONTH(S4180), YEAR(F4180)=YEAR(S4180))</f>
        <v/>
      </c>
      <c r="Q4180" s="521">
        <f>U4180="L001-901905215"</f>
        <v/>
      </c>
      <c r="R4180" s="556">
        <f>G4180-W4180</f>
        <v/>
      </c>
      <c r="S4180" s="523" t="n">
        <v>44560</v>
      </c>
      <c r="T4180" s="522" t="inlineStr">
        <is>
          <t>XFY-YD2021188</t>
        </is>
      </c>
      <c r="U4180" s="522" t="inlineStr">
        <is>
          <t>L001-901905215</t>
        </is>
      </c>
      <c r="V4180" s="522" t="inlineStr">
        <is>
          <t>វីអ៊ីស៊ិន (ខេមបូឌា) អ៊ិនដាសស្ទ្រី ឯ.ក</t>
        </is>
      </c>
      <c r="W4180" s="556" t="n">
        <v>9310990</v>
      </c>
    </row>
    <row r="4181">
      <c r="A4181" s="521" t="n">
        <v>4173</v>
      </c>
      <c r="B4181" s="522" t="inlineStr">
        <is>
          <t>Color box,Paper card and PDQ</t>
        </is>
      </c>
      <c r="C4181" s="522" t="inlineStr">
        <is>
          <t>វីង ចេង ភែកឃីជីង ឯ.ក</t>
        </is>
      </c>
      <c r="D4181" s="522" t="inlineStr">
        <is>
          <t>L001-902102915</t>
        </is>
      </c>
      <c r="E4181" s="521" t="inlineStr">
        <is>
          <t>TI0139</t>
        </is>
      </c>
      <c r="F4181" s="523" t="n">
        <v>44561</v>
      </c>
      <c r="G4181" s="556" t="n">
        <v>52268492</v>
      </c>
      <c r="I4181" s="521">
        <f>G4181</f>
        <v/>
      </c>
      <c r="K4181" s="521">
        <f>I4181-G4181</f>
        <v/>
      </c>
      <c r="M4181" s="522" t="inlineStr">
        <is>
          <t>TI0139</t>
        </is>
      </c>
      <c r="N4181" s="522" t="inlineStr">
        <is>
          <t>TI0139</t>
        </is>
      </c>
      <c r="O4181" s="521">
        <f>M4181=N4181</f>
        <v/>
      </c>
      <c r="P4181" s="521">
        <f>AND(MONTH(F4181)=MONTH(S4181), YEAR(F4181)=YEAR(S4181))</f>
        <v/>
      </c>
      <c r="Q4181" s="521">
        <f>U4181="L001-901905215"</f>
        <v/>
      </c>
      <c r="R4181" s="556">
        <f>G4181-W4181</f>
        <v/>
      </c>
      <c r="S4181" s="523" t="n">
        <v>44561</v>
      </c>
      <c r="T4181" s="522" t="inlineStr">
        <is>
          <t>TI0139</t>
        </is>
      </c>
      <c r="U4181" s="522" t="inlineStr">
        <is>
          <t>L001-901905215</t>
        </is>
      </c>
      <c r="V4181" s="522" t="inlineStr">
        <is>
          <t>វីអ៊ីស៊ិន (ខេមបូឌា) អ៊ិនដាសស្ទ្រី ឯ.ក</t>
        </is>
      </c>
      <c r="W4181" s="556" t="n">
        <v>52268491</v>
      </c>
    </row>
    <row r="4182">
      <c r="A4182" s="521" t="n">
        <v>4174</v>
      </c>
      <c r="B4182" s="522" t="inlineStr">
        <is>
          <t>ផ្លាសក្រដាស និង ក្រដាស</t>
        </is>
      </c>
      <c r="C4182" s="522" t="inlineStr">
        <is>
          <t>ដុងគ័ន ស៊ីធី ហ្វាញស្តារ ព្រីនធីង (ខេមបូឌា)</t>
        </is>
      </c>
      <c r="D4182" s="522" t="inlineStr">
        <is>
          <t>L001-100193021</t>
        </is>
      </c>
      <c r="E4182" s="521" t="inlineStr">
        <is>
          <t>000543</t>
        </is>
      </c>
      <c r="F4182" s="523" t="n">
        <v>44550</v>
      </c>
      <c r="G4182" s="556" t="n">
        <v>14137171</v>
      </c>
      <c r="I4182" s="521">
        <f>G4182</f>
        <v/>
      </c>
      <c r="K4182" s="521">
        <f>I4182-G4182</f>
        <v/>
      </c>
      <c r="M4182" s="522" t="inlineStr">
        <is>
          <t>000543</t>
        </is>
      </c>
      <c r="N4182" s="522" t="inlineStr"/>
      <c r="O4182" s="521">
        <f>M4182=N4182</f>
        <v/>
      </c>
      <c r="P4182" s="521">
        <f>AND(MONTH(F4182)=MONTH(S4182), YEAR(F4182)=YEAR(S4182))</f>
        <v/>
      </c>
      <c r="Q4182" s="521">
        <f>U4182="L001-901905215"</f>
        <v/>
      </c>
      <c r="R4182" s="556">
        <f>G4182-W4182</f>
        <v/>
      </c>
      <c r="S4182" s="521" t="n"/>
      <c r="T4182" s="522" t="n"/>
      <c r="U4182" s="522" t="n"/>
      <c r="V4182" s="522" t="n"/>
      <c r="W4182" s="521" t="n"/>
    </row>
    <row r="4183">
      <c r="A4183" s="521" t="n">
        <v>4175</v>
      </c>
      <c r="B4183" s="522" t="inlineStr">
        <is>
          <t>THC and management fee</t>
        </is>
      </c>
      <c r="C4183" s="522" t="inlineStr">
        <is>
          <t>អ៊ិចស្ពែឌីធ័រ ខេមបូឌា អិលធីឌី</t>
        </is>
      </c>
      <c r="D4183" s="522" t="inlineStr">
        <is>
          <t>L001-100045898</t>
        </is>
      </c>
      <c r="E4183" s="521" t="inlineStr">
        <is>
          <t>TI-0218420</t>
        </is>
      </c>
      <c r="F4183" s="523" t="n">
        <v>44560</v>
      </c>
      <c r="G4183" s="556" t="n">
        <v>1237074</v>
      </c>
      <c r="I4183" s="521">
        <f>G4183</f>
        <v/>
      </c>
      <c r="K4183" s="521">
        <f>I4183-G4183</f>
        <v/>
      </c>
      <c r="M4183" s="522" t="inlineStr">
        <is>
          <t>TI0218420</t>
        </is>
      </c>
      <c r="N4183" s="522" t="inlineStr">
        <is>
          <t>TI0218420</t>
        </is>
      </c>
      <c r="O4183" s="521">
        <f>M4183=N4183</f>
        <v/>
      </c>
      <c r="P4183" s="521">
        <f>AND(MONTH(F4183)=MONTH(S4183), YEAR(F4183)=YEAR(S4183))</f>
        <v/>
      </c>
      <c r="Q4183" s="521">
        <f>U4183="L001-901905215"</f>
        <v/>
      </c>
      <c r="R4183" s="556">
        <f>G4183-W4183</f>
        <v/>
      </c>
      <c r="S4183" s="523" t="n">
        <v>44560</v>
      </c>
      <c r="T4183" s="522" t="inlineStr">
        <is>
          <t>TI-0218420</t>
        </is>
      </c>
      <c r="U4183" s="522" t="inlineStr">
        <is>
          <t>L001-901905215</t>
        </is>
      </c>
      <c r="V4183" s="522" t="inlineStr">
        <is>
          <t>វីអ៊ីស៊ិន (ខេមបូឌា) អ៊ិនដាសស្ទ្រី ឯ.ក</t>
        </is>
      </c>
      <c r="W4183" s="556" t="n">
        <v>1237074</v>
      </c>
    </row>
    <row r="4184">
      <c r="A4184" s="521" t="n">
        <v>4176</v>
      </c>
      <c r="B4184" s="522" t="inlineStr">
        <is>
          <t>THC and management fee</t>
        </is>
      </c>
      <c r="C4184" s="522" t="inlineStr">
        <is>
          <t>អ៊ិចស្ពែឌីធ័រ ខេមបូឌា អិលធីឌី</t>
        </is>
      </c>
      <c r="D4184" s="522" t="inlineStr">
        <is>
          <t>L001-100045898</t>
        </is>
      </c>
      <c r="E4184" s="521" t="inlineStr">
        <is>
          <t>TI-0218419</t>
        </is>
      </c>
      <c r="F4184" s="523" t="n">
        <v>44560</v>
      </c>
      <c r="G4184" s="556" t="n">
        <v>589218</v>
      </c>
      <c r="I4184" s="521">
        <f>G4184</f>
        <v/>
      </c>
      <c r="K4184" s="521">
        <f>I4184-G4184</f>
        <v/>
      </c>
      <c r="M4184" s="522" t="inlineStr">
        <is>
          <t>TI0218419</t>
        </is>
      </c>
      <c r="N4184" s="522" t="inlineStr">
        <is>
          <t>TI0218419</t>
        </is>
      </c>
      <c r="O4184" s="521">
        <f>M4184=N4184</f>
        <v/>
      </c>
      <c r="P4184" s="521">
        <f>AND(MONTH(F4184)=MONTH(S4184), YEAR(F4184)=YEAR(S4184))</f>
        <v/>
      </c>
      <c r="Q4184" s="521">
        <f>U4184="L001-901905215"</f>
        <v/>
      </c>
      <c r="R4184" s="556">
        <f>G4184-W4184</f>
        <v/>
      </c>
      <c r="S4184" s="523" t="n">
        <v>44560</v>
      </c>
      <c r="T4184" s="522" t="inlineStr">
        <is>
          <t>TI-0218419</t>
        </is>
      </c>
      <c r="U4184" s="522" t="inlineStr">
        <is>
          <t>L001-901905215</t>
        </is>
      </c>
      <c r="V4184" s="522" t="inlineStr">
        <is>
          <t>វីអ៊ីស៊ិន (ខេមបូឌា) អ៊ិនដាសស្ទ្រី ឯ.ក</t>
        </is>
      </c>
      <c r="W4184" s="556" t="n">
        <v>589218</v>
      </c>
    </row>
    <row r="4185">
      <c r="A4185" s="521" t="n">
        <v>4177</v>
      </c>
      <c r="B4185" s="522" t="inlineStr">
        <is>
          <t>THC and management fee</t>
        </is>
      </c>
      <c r="C4185" s="522" t="inlineStr">
        <is>
          <t>អ៊ិចស្ពែឌីធ័រ ខេមបូឌា អិលធីឌី</t>
        </is>
      </c>
      <c r="D4185" s="522" t="inlineStr">
        <is>
          <t>L001-100045898</t>
        </is>
      </c>
      <c r="E4185" s="521" t="inlineStr">
        <is>
          <t>TI-0218418</t>
        </is>
      </c>
      <c r="F4185" s="523" t="n">
        <v>44560</v>
      </c>
      <c r="G4185" s="556" t="n">
        <v>1394660</v>
      </c>
      <c r="I4185" s="521">
        <f>G4185</f>
        <v/>
      </c>
      <c r="K4185" s="521">
        <f>I4185-G4185</f>
        <v/>
      </c>
      <c r="M4185" s="522" t="inlineStr">
        <is>
          <t>TI0218418</t>
        </is>
      </c>
      <c r="N4185" s="522" t="inlineStr">
        <is>
          <t>TI0218418</t>
        </is>
      </c>
      <c r="O4185" s="521">
        <f>M4185=N4185</f>
        <v/>
      </c>
      <c r="P4185" s="521">
        <f>AND(MONTH(F4185)=MONTH(S4185), YEAR(F4185)=YEAR(S4185))</f>
        <v/>
      </c>
      <c r="Q4185" s="521">
        <f>U4185="L001-901905215"</f>
        <v/>
      </c>
      <c r="R4185" s="556">
        <f>G4185-W4185</f>
        <v/>
      </c>
      <c r="S4185" s="523" t="n">
        <v>44560</v>
      </c>
      <c r="T4185" s="522" t="inlineStr">
        <is>
          <t>TI-0218418</t>
        </is>
      </c>
      <c r="U4185" s="522" t="inlineStr">
        <is>
          <t>L001-901905215</t>
        </is>
      </c>
      <c r="V4185" s="522" t="inlineStr">
        <is>
          <t>វីអ៊ីស៊ិន (ខេមបូឌា) អ៊ិនដាសស្ទ្រី ឯ.ក</t>
        </is>
      </c>
      <c r="W4185" s="556" t="n">
        <v>1394660</v>
      </c>
    </row>
    <row r="4186">
      <c r="A4186" s="521" t="n">
        <v>4178</v>
      </c>
      <c r="B4186" s="522" t="inlineStr">
        <is>
          <t>THC and management fee</t>
        </is>
      </c>
      <c r="C4186" s="522" t="inlineStr">
        <is>
          <t>អ៊ិចស្ពែឌីធ័រ ខេមបូឌា អិលធីឌី</t>
        </is>
      </c>
      <c r="D4186" s="522" t="inlineStr">
        <is>
          <t>L001-100045898</t>
        </is>
      </c>
      <c r="E4186" s="521" t="inlineStr">
        <is>
          <t>TI-0218417</t>
        </is>
      </c>
      <c r="F4186" s="523" t="n">
        <v>44560</v>
      </c>
      <c r="G4186" s="556" t="n">
        <v>1042636</v>
      </c>
      <c r="I4186" s="521">
        <f>G4186</f>
        <v/>
      </c>
      <c r="K4186" s="521">
        <f>I4186-G4186</f>
        <v/>
      </c>
      <c r="M4186" s="522" t="inlineStr">
        <is>
          <t>TI0218417</t>
        </is>
      </c>
      <c r="N4186" s="522" t="inlineStr">
        <is>
          <t>TI0218417</t>
        </is>
      </c>
      <c r="O4186" s="521">
        <f>M4186=N4186</f>
        <v/>
      </c>
      <c r="P4186" s="521">
        <f>AND(MONTH(F4186)=MONTH(S4186), YEAR(F4186)=YEAR(S4186))</f>
        <v/>
      </c>
      <c r="Q4186" s="521">
        <f>U4186="L001-901905215"</f>
        <v/>
      </c>
      <c r="R4186" s="556">
        <f>G4186-W4186</f>
        <v/>
      </c>
      <c r="S4186" s="523" t="n">
        <v>44560</v>
      </c>
      <c r="T4186" s="522" t="inlineStr">
        <is>
          <t>TI-0218417</t>
        </is>
      </c>
      <c r="U4186" s="522" t="inlineStr">
        <is>
          <t>L001-901905215</t>
        </is>
      </c>
      <c r="V4186" s="522" t="inlineStr">
        <is>
          <t>វីអ៊ីស៊ិន (ខេមបូឌា) អ៊ិនដាសស្ទ្រី ឯ.ក</t>
        </is>
      </c>
      <c r="W4186" s="556" t="n">
        <v>1042636</v>
      </c>
    </row>
    <row r="4187">
      <c r="A4187" s="521" t="n">
        <v>4179</v>
      </c>
      <c r="B4187" s="522" t="inlineStr">
        <is>
          <t>THC and management fee</t>
        </is>
      </c>
      <c r="C4187" s="522" t="inlineStr">
        <is>
          <t>អ៊ិចស្ពែឌីធ័រ ខេមបូឌា អិលធីឌី</t>
        </is>
      </c>
      <c r="D4187" s="522" t="inlineStr">
        <is>
          <t>L001-100045898</t>
        </is>
      </c>
      <c r="E4187" s="521" t="inlineStr">
        <is>
          <t>TI-0218416</t>
        </is>
      </c>
      <c r="F4187" s="523" t="n">
        <v>44560</v>
      </c>
      <c r="G4187" s="556" t="n">
        <v>767572</v>
      </c>
      <c r="I4187" s="521">
        <f>G4187</f>
        <v/>
      </c>
      <c r="K4187" s="521">
        <f>I4187-G4187</f>
        <v/>
      </c>
      <c r="M4187" s="522" t="inlineStr">
        <is>
          <t>TI0218416</t>
        </is>
      </c>
      <c r="N4187" s="522" t="inlineStr">
        <is>
          <t>TI0218416</t>
        </is>
      </c>
      <c r="O4187" s="521">
        <f>M4187=N4187</f>
        <v/>
      </c>
      <c r="P4187" s="521">
        <f>AND(MONTH(F4187)=MONTH(S4187), YEAR(F4187)=YEAR(S4187))</f>
        <v/>
      </c>
      <c r="Q4187" s="521">
        <f>U4187="L001-901905215"</f>
        <v/>
      </c>
      <c r="R4187" s="556">
        <f>G4187-W4187</f>
        <v/>
      </c>
      <c r="S4187" s="523" t="n">
        <v>44560</v>
      </c>
      <c r="T4187" s="522" t="inlineStr">
        <is>
          <t>TI-0218416</t>
        </is>
      </c>
      <c r="U4187" s="522" t="inlineStr">
        <is>
          <t>L001-901905215</t>
        </is>
      </c>
      <c r="V4187" s="522" t="inlineStr">
        <is>
          <t>វីអ៊ីស៊ិន (ខេមបូឌា) អ៊ិនដាសស្ទ្រី ឯ.ក</t>
        </is>
      </c>
      <c r="W4187" s="556" t="n">
        <v>767572</v>
      </c>
    </row>
    <row r="4188">
      <c r="A4188" s="521" t="n">
        <v>4180</v>
      </c>
      <c r="B4188" s="522" t="inlineStr">
        <is>
          <t>Service fee</t>
        </is>
      </c>
      <c r="C4188" s="522" t="inlineStr">
        <is>
          <t>ប្យួរ៉ូ វេរីតាស (ខេមបូឌា) លីមីធីត</t>
        </is>
      </c>
      <c r="D4188" s="522" t="inlineStr">
        <is>
          <t>L001-107024462</t>
        </is>
      </c>
      <c r="E4188" s="521" t="inlineStr">
        <is>
          <t>59011506</t>
        </is>
      </c>
      <c r="F4188" s="523" t="n">
        <v>44561</v>
      </c>
      <c r="G4188" s="556" t="n">
        <v>165549</v>
      </c>
      <c r="I4188" s="521">
        <f>G4188</f>
        <v/>
      </c>
      <c r="K4188" s="521">
        <f>I4188-G4188</f>
        <v/>
      </c>
      <c r="M4188" s="522" t="inlineStr">
        <is>
          <t>59011506</t>
        </is>
      </c>
      <c r="N4188" s="522" t="inlineStr">
        <is>
          <t>59011506</t>
        </is>
      </c>
      <c r="O4188" s="521">
        <f>M4188=N4188</f>
        <v/>
      </c>
      <c r="P4188" s="521">
        <f>AND(MONTH(F4188)=MONTH(S4188), YEAR(F4188)=YEAR(S4188))</f>
        <v/>
      </c>
      <c r="Q4188" s="521">
        <f>U4188="L001-901905215"</f>
        <v/>
      </c>
      <c r="R4188" s="556">
        <f>G4188-W4188</f>
        <v/>
      </c>
      <c r="S4188" s="523" t="n">
        <v>44561</v>
      </c>
      <c r="T4188" s="522" t="inlineStr">
        <is>
          <t>59011506</t>
        </is>
      </c>
      <c r="U4188" s="522" t="inlineStr">
        <is>
          <t>L001-901905215</t>
        </is>
      </c>
      <c r="V4188" s="522" t="inlineStr">
        <is>
          <t>វីអ៊ីស៊ិន (ខេមបូឌា) អ៊ិនដាសស្ទ្រី ឯ.ក</t>
        </is>
      </c>
      <c r="W4188" s="556" t="n">
        <v>165549</v>
      </c>
    </row>
    <row r="4189">
      <c r="A4189" s="521" t="n">
        <v>4181</v>
      </c>
      <c r="B4189" s="522" t="inlineStr">
        <is>
          <t>Service fee</t>
        </is>
      </c>
      <c r="C4189" s="522" t="inlineStr">
        <is>
          <t>ប្យួរ៉ូ វេរីតាស (ខេមបូឌា) លីមីធីត</t>
        </is>
      </c>
      <c r="D4189" s="522" t="inlineStr">
        <is>
          <t>L001-107024462</t>
        </is>
      </c>
      <c r="E4189" s="521" t="inlineStr">
        <is>
          <t>59011481</t>
        </is>
      </c>
      <c r="F4189" s="523" t="n">
        <v>44558</v>
      </c>
      <c r="G4189" s="556" t="n">
        <v>55157</v>
      </c>
      <c r="I4189" s="521">
        <f>G4189</f>
        <v/>
      </c>
      <c r="K4189" s="521">
        <f>I4189-G4189</f>
        <v/>
      </c>
      <c r="M4189" s="522" t="inlineStr">
        <is>
          <t>59011481</t>
        </is>
      </c>
      <c r="N4189" s="522" t="inlineStr">
        <is>
          <t>59011481</t>
        </is>
      </c>
      <c r="O4189" s="521">
        <f>M4189=N4189</f>
        <v/>
      </c>
      <c r="P4189" s="521">
        <f>AND(MONTH(F4189)=MONTH(S4189), YEAR(F4189)=YEAR(S4189))</f>
        <v/>
      </c>
      <c r="Q4189" s="521">
        <f>U4189="L001-901905215"</f>
        <v/>
      </c>
      <c r="R4189" s="556">
        <f>G4189-W4189</f>
        <v/>
      </c>
      <c r="S4189" s="523" t="n">
        <v>44558</v>
      </c>
      <c r="T4189" s="522" t="inlineStr">
        <is>
          <t>59011481</t>
        </is>
      </c>
      <c r="U4189" s="522" t="inlineStr">
        <is>
          <t>L001-901905215</t>
        </is>
      </c>
      <c r="V4189" s="522" t="inlineStr">
        <is>
          <t>វីអ៊ីស៊ិន (ខេមបូឌា) អ៊ិនដាសស្ទ្រី ឯ.ក</t>
        </is>
      </c>
      <c r="W4189" s="556" t="n">
        <v>55157</v>
      </c>
    </row>
    <row r="4190">
      <c r="A4190" s="521" t="n">
        <v>4182</v>
      </c>
      <c r="B4190" s="522" t="inlineStr">
        <is>
          <t>Service fee</t>
        </is>
      </c>
      <c r="C4190" s="522" t="inlineStr">
        <is>
          <t>ប្យួរ៉ូ វេរីតាស (ខេមបូឌា) លីមីធីត</t>
        </is>
      </c>
      <c r="D4190" s="522" t="inlineStr">
        <is>
          <t>L001-107024462</t>
        </is>
      </c>
      <c r="E4190" s="521" t="inlineStr">
        <is>
          <t>59011479</t>
        </is>
      </c>
      <c r="F4190" s="523" t="n">
        <v>44558</v>
      </c>
      <c r="G4190" s="556" t="n">
        <v>55157</v>
      </c>
      <c r="I4190" s="521">
        <f>G4190</f>
        <v/>
      </c>
      <c r="K4190" s="521">
        <f>I4190-G4190</f>
        <v/>
      </c>
      <c r="M4190" s="522" t="inlineStr">
        <is>
          <t>59011479</t>
        </is>
      </c>
      <c r="N4190" s="522" t="inlineStr">
        <is>
          <t>59011479</t>
        </is>
      </c>
      <c r="O4190" s="521">
        <f>M4190=N4190</f>
        <v/>
      </c>
      <c r="P4190" s="521">
        <f>AND(MONTH(F4190)=MONTH(S4190), YEAR(F4190)=YEAR(S4190))</f>
        <v/>
      </c>
      <c r="Q4190" s="521">
        <f>U4190="L001-901905215"</f>
        <v/>
      </c>
      <c r="R4190" s="556">
        <f>G4190-W4190</f>
        <v/>
      </c>
      <c r="S4190" s="523" t="n">
        <v>44558</v>
      </c>
      <c r="T4190" s="522" t="inlineStr">
        <is>
          <t>59011479</t>
        </is>
      </c>
      <c r="U4190" s="522" t="inlineStr">
        <is>
          <t>L001-901905215</t>
        </is>
      </c>
      <c r="V4190" s="522" t="inlineStr">
        <is>
          <t>វីអ៊ីស៊ិន (ខេមបូឌា) អ៊ិនដាសស្ទ្រី ឯ.ក</t>
        </is>
      </c>
      <c r="W4190" s="556" t="n">
        <v>55157</v>
      </c>
    </row>
    <row r="4191">
      <c r="A4191" s="521" t="n">
        <v>4183</v>
      </c>
      <c r="B4191" s="522" t="inlineStr">
        <is>
          <t>Service fee</t>
        </is>
      </c>
      <c r="C4191" s="522" t="inlineStr">
        <is>
          <t>ប្យួរ៉ូ វេរីតាស (ខេមបូឌា) លីមីធីត</t>
        </is>
      </c>
      <c r="D4191" s="522" t="inlineStr">
        <is>
          <t>L001-107024462</t>
        </is>
      </c>
      <c r="E4191" s="521" t="inlineStr">
        <is>
          <t>59011464</t>
        </is>
      </c>
      <c r="F4191" s="523" t="n">
        <v>44557</v>
      </c>
      <c r="G4191" s="556" t="n">
        <v>55171</v>
      </c>
      <c r="I4191" s="521">
        <f>G4191</f>
        <v/>
      </c>
      <c r="K4191" s="521">
        <f>I4191-G4191</f>
        <v/>
      </c>
      <c r="M4191" s="522" t="inlineStr">
        <is>
          <t>59011464</t>
        </is>
      </c>
      <c r="N4191" s="522" t="inlineStr">
        <is>
          <t>59011464</t>
        </is>
      </c>
      <c r="O4191" s="521">
        <f>M4191=N4191</f>
        <v/>
      </c>
      <c r="P4191" s="521">
        <f>AND(MONTH(F4191)=MONTH(S4191), YEAR(F4191)=YEAR(S4191))</f>
        <v/>
      </c>
      <c r="Q4191" s="521">
        <f>U4191="L001-901905215"</f>
        <v/>
      </c>
      <c r="R4191" s="556">
        <f>G4191-W4191</f>
        <v/>
      </c>
      <c r="S4191" s="523" t="n">
        <v>44557</v>
      </c>
      <c r="T4191" s="522" t="inlineStr">
        <is>
          <t>59011464</t>
        </is>
      </c>
      <c r="U4191" s="522" t="inlineStr">
        <is>
          <t>L001-901905215</t>
        </is>
      </c>
      <c r="V4191" s="522" t="inlineStr">
        <is>
          <t>វីអ៊ីស៊ិន (ខេមបូឌា) អ៊ិនដាសស្ទ្រី ឯ.ក</t>
        </is>
      </c>
      <c r="W4191" s="556" t="n">
        <v>55171</v>
      </c>
    </row>
    <row r="4192">
      <c r="A4192" s="521" t="n">
        <v>4184</v>
      </c>
      <c r="B4192" s="522" t="inlineStr">
        <is>
          <t>Service fee</t>
        </is>
      </c>
      <c r="C4192" s="522" t="inlineStr">
        <is>
          <t>ប្យួរ៉ូ វេរីតាស (ខេមបូឌា) លីមីធីត</t>
        </is>
      </c>
      <c r="D4192" s="522" t="inlineStr">
        <is>
          <t>L001-107024462</t>
        </is>
      </c>
      <c r="E4192" s="521" t="inlineStr">
        <is>
          <t>59011462</t>
        </is>
      </c>
      <c r="F4192" s="523" t="n">
        <v>44557</v>
      </c>
      <c r="G4192" s="556" t="n">
        <v>55171</v>
      </c>
      <c r="I4192" s="521">
        <f>G4192</f>
        <v/>
      </c>
      <c r="K4192" s="521">
        <f>I4192-G4192</f>
        <v/>
      </c>
      <c r="M4192" s="522" t="inlineStr">
        <is>
          <t>59011462</t>
        </is>
      </c>
      <c r="N4192" s="522" t="inlineStr">
        <is>
          <t>59011462</t>
        </is>
      </c>
      <c r="O4192" s="521">
        <f>M4192=N4192</f>
        <v/>
      </c>
      <c r="P4192" s="521">
        <f>AND(MONTH(F4192)=MONTH(S4192), YEAR(F4192)=YEAR(S4192))</f>
        <v/>
      </c>
      <c r="Q4192" s="521">
        <f>U4192="L001-901905215"</f>
        <v/>
      </c>
      <c r="R4192" s="556">
        <f>G4192-W4192</f>
        <v/>
      </c>
      <c r="S4192" s="523" t="n">
        <v>44557</v>
      </c>
      <c r="T4192" s="522" t="inlineStr">
        <is>
          <t>59011462</t>
        </is>
      </c>
      <c r="U4192" s="522" t="inlineStr">
        <is>
          <t>L001-901905215</t>
        </is>
      </c>
      <c r="V4192" s="522" t="inlineStr">
        <is>
          <t>វីអ៊ីស៊ិន (ខេមបូឌា) អ៊ិនដាសស្ទ្រី ឯ.ក</t>
        </is>
      </c>
      <c r="W4192" s="556" t="n">
        <v>55171</v>
      </c>
    </row>
    <row r="4193">
      <c r="A4193" s="521" t="n">
        <v>4185</v>
      </c>
      <c r="B4193" s="522" t="inlineStr">
        <is>
          <t>Service fee</t>
        </is>
      </c>
      <c r="C4193" s="522" t="inlineStr">
        <is>
          <t>ប្យួរ៉ូ វេរីតាស (ខេមបូឌា) លីមីធីត</t>
        </is>
      </c>
      <c r="D4193" s="522" t="inlineStr">
        <is>
          <t>L001-107024462</t>
        </is>
      </c>
      <c r="E4193" s="521" t="inlineStr">
        <is>
          <t>59011407</t>
        </is>
      </c>
      <c r="F4193" s="523" t="n">
        <v>44552</v>
      </c>
      <c r="G4193" s="556" t="n">
        <v>165549</v>
      </c>
      <c r="I4193" s="521">
        <f>G4193</f>
        <v/>
      </c>
      <c r="K4193" s="521">
        <f>I4193-G4193</f>
        <v/>
      </c>
      <c r="M4193" s="522" t="inlineStr">
        <is>
          <t>59011407</t>
        </is>
      </c>
      <c r="N4193" s="522" t="inlineStr">
        <is>
          <t>59011407</t>
        </is>
      </c>
      <c r="O4193" s="521">
        <f>M4193=N4193</f>
        <v/>
      </c>
      <c r="P4193" s="521">
        <f>AND(MONTH(F4193)=MONTH(S4193), YEAR(F4193)=YEAR(S4193))</f>
        <v/>
      </c>
      <c r="Q4193" s="521">
        <f>U4193="L001-901905215"</f>
        <v/>
      </c>
      <c r="R4193" s="556">
        <f>G4193-W4193</f>
        <v/>
      </c>
      <c r="S4193" s="523" t="n">
        <v>44552</v>
      </c>
      <c r="T4193" s="522" t="inlineStr">
        <is>
          <t>59011407</t>
        </is>
      </c>
      <c r="U4193" s="522" t="inlineStr">
        <is>
          <t>L001-901905215</t>
        </is>
      </c>
      <c r="V4193" s="522" t="inlineStr">
        <is>
          <t>វីអ៊ីស៊ិន (ខេមបូឌា) អ៊ិនដាសស្ទ្រី ឯ.ក</t>
        </is>
      </c>
      <c r="W4193" s="556" t="n">
        <v>165549</v>
      </c>
    </row>
    <row r="4194">
      <c r="A4194" s="521" t="n">
        <v>4186</v>
      </c>
      <c r="B4194" s="522" t="inlineStr">
        <is>
          <t>Service fee</t>
        </is>
      </c>
      <c r="C4194" s="522" t="inlineStr">
        <is>
          <t>ប្យួរ៉ូ វេរីតាស (ខេមបូឌា) លីមីធីត</t>
        </is>
      </c>
      <c r="D4194" s="522" t="inlineStr">
        <is>
          <t>L001-107024462</t>
        </is>
      </c>
      <c r="E4194" s="521" t="inlineStr">
        <is>
          <t>59011398</t>
        </is>
      </c>
      <c r="F4194" s="523" t="n">
        <v>44550</v>
      </c>
      <c r="G4194" s="556" t="n">
        <v>110365</v>
      </c>
      <c r="I4194" s="521">
        <f>G4194</f>
        <v/>
      </c>
      <c r="K4194" s="521">
        <f>I4194-G4194</f>
        <v/>
      </c>
      <c r="M4194" s="522" t="inlineStr">
        <is>
          <t>59011398</t>
        </is>
      </c>
      <c r="N4194" s="522" t="inlineStr">
        <is>
          <t>59011398</t>
        </is>
      </c>
      <c r="O4194" s="521">
        <f>M4194=N4194</f>
        <v/>
      </c>
      <c r="P4194" s="521">
        <f>AND(MONTH(F4194)=MONTH(S4194), YEAR(F4194)=YEAR(S4194))</f>
        <v/>
      </c>
      <c r="Q4194" s="521">
        <f>U4194="L001-901905215"</f>
        <v/>
      </c>
      <c r="R4194" s="556">
        <f>G4194-W4194</f>
        <v/>
      </c>
      <c r="S4194" s="523" t="n">
        <v>44550</v>
      </c>
      <c r="T4194" s="522" t="inlineStr">
        <is>
          <t>59011398</t>
        </is>
      </c>
      <c r="U4194" s="522" t="inlineStr">
        <is>
          <t>L001-901905215</t>
        </is>
      </c>
      <c r="V4194" s="522" t="inlineStr">
        <is>
          <t>វីអ៊ីស៊ិន (ខេមបូឌា) អ៊ិនដាសស្ទ្រី ឯ.ក</t>
        </is>
      </c>
      <c r="W4194" s="556" t="n">
        <v>110365</v>
      </c>
    </row>
    <row r="4195">
      <c r="A4195" s="521" t="n">
        <v>4187</v>
      </c>
      <c r="B4195" s="522" t="inlineStr">
        <is>
          <t>Service fee</t>
        </is>
      </c>
      <c r="C4195" s="522" t="inlineStr">
        <is>
          <t>ប្យួរ៉ូ វេរីតាស (ខេមបូឌា) លីមីធីត</t>
        </is>
      </c>
      <c r="D4195" s="522" t="inlineStr">
        <is>
          <t>L001-107024462</t>
        </is>
      </c>
      <c r="E4195" s="521" t="inlineStr">
        <is>
          <t>59011394</t>
        </is>
      </c>
      <c r="F4195" s="523" t="n">
        <v>44550</v>
      </c>
      <c r="G4195" s="556" t="n">
        <v>55184</v>
      </c>
      <c r="I4195" s="521">
        <f>G4195</f>
        <v/>
      </c>
      <c r="K4195" s="521">
        <f>I4195-G4195</f>
        <v/>
      </c>
      <c r="M4195" s="522" t="inlineStr">
        <is>
          <t>59011394</t>
        </is>
      </c>
      <c r="N4195" s="522" t="inlineStr">
        <is>
          <t>59011394</t>
        </is>
      </c>
      <c r="O4195" s="521">
        <f>M4195=N4195</f>
        <v/>
      </c>
      <c r="P4195" s="521">
        <f>AND(MONTH(F4195)=MONTH(S4195), YEAR(F4195)=YEAR(S4195))</f>
        <v/>
      </c>
      <c r="Q4195" s="521">
        <f>U4195="L001-901905215"</f>
        <v/>
      </c>
      <c r="R4195" s="556">
        <f>G4195-W4195</f>
        <v/>
      </c>
      <c r="S4195" s="523" t="n">
        <v>44550</v>
      </c>
      <c r="T4195" s="522" t="inlineStr">
        <is>
          <t>59011394</t>
        </is>
      </c>
      <c r="U4195" s="522" t="inlineStr">
        <is>
          <t>L001-901905215</t>
        </is>
      </c>
      <c r="V4195" s="522" t="inlineStr">
        <is>
          <t>វីអ៊ីស៊ិន (ខេមបូឌា) អ៊ិនដាសស្ទ្រី ឯ.ក</t>
        </is>
      </c>
      <c r="W4195" s="556" t="n">
        <v>55184</v>
      </c>
    </row>
    <row r="4196">
      <c r="A4196" s="521" t="n">
        <v>4188</v>
      </c>
      <c r="B4196" s="522" t="inlineStr">
        <is>
          <t>Service fee</t>
        </is>
      </c>
      <c r="C4196" s="522" t="inlineStr">
        <is>
          <t>ប្យួរ៉ូ វេរីតាស (ខេមបូឌា) លីមីធីត</t>
        </is>
      </c>
      <c r="D4196" s="522" t="inlineStr">
        <is>
          <t>L001-107024462</t>
        </is>
      </c>
      <c r="E4196" s="521" t="inlineStr">
        <is>
          <t>59011391</t>
        </is>
      </c>
      <c r="F4196" s="523" t="n">
        <v>44550</v>
      </c>
      <c r="G4196" s="556" t="n">
        <v>55184</v>
      </c>
      <c r="I4196" s="521">
        <f>G4196</f>
        <v/>
      </c>
      <c r="K4196" s="521">
        <f>I4196-G4196</f>
        <v/>
      </c>
      <c r="M4196" s="522" t="inlineStr">
        <is>
          <t>59011391</t>
        </is>
      </c>
      <c r="N4196" s="522" t="inlineStr">
        <is>
          <t>59011391</t>
        </is>
      </c>
      <c r="O4196" s="521">
        <f>M4196=N4196</f>
        <v/>
      </c>
      <c r="P4196" s="521">
        <f>AND(MONTH(F4196)=MONTH(S4196), YEAR(F4196)=YEAR(S4196))</f>
        <v/>
      </c>
      <c r="Q4196" s="521">
        <f>U4196="L001-901905215"</f>
        <v/>
      </c>
      <c r="R4196" s="556">
        <f>G4196-W4196</f>
        <v/>
      </c>
      <c r="S4196" s="523" t="n">
        <v>44550</v>
      </c>
      <c r="T4196" s="522" t="inlineStr">
        <is>
          <t>59011391</t>
        </is>
      </c>
      <c r="U4196" s="522" t="inlineStr">
        <is>
          <t>L001-901905215</t>
        </is>
      </c>
      <c r="V4196" s="522" t="inlineStr">
        <is>
          <t>វីអ៊ីស៊ិន (ខេមបូឌា) អ៊ិនដាសស្ទ្រី ឯ.ក</t>
        </is>
      </c>
      <c r="W4196" s="556" t="n">
        <v>55184</v>
      </c>
    </row>
    <row r="4197">
      <c r="A4197" s="521" t="n">
        <v>4189</v>
      </c>
      <c r="B4197" s="522" t="inlineStr">
        <is>
          <t>Lift off and Gate fee charge</t>
        </is>
      </c>
      <c r="C4197" s="522" t="inlineStr">
        <is>
          <t>កំពង់ផែស្វយ័តភ្នំពេញ "ក.ស.ភ"</t>
        </is>
      </c>
      <c r="D4197" s="522" t="inlineStr">
        <is>
          <t>L001-100044999</t>
        </is>
      </c>
      <c r="E4197" s="521" t="inlineStr">
        <is>
          <t>INV20211279175</t>
        </is>
      </c>
      <c r="F4197" s="523" t="n">
        <v>44561</v>
      </c>
      <c r="G4197" s="556" t="n">
        <v>87998</v>
      </c>
      <c r="I4197" s="521">
        <f>G4197</f>
        <v/>
      </c>
      <c r="K4197" s="521">
        <f>I4197-G4197</f>
        <v/>
      </c>
      <c r="M4197" s="522" t="inlineStr">
        <is>
          <t>INV20211279175</t>
        </is>
      </c>
      <c r="N4197" s="522" t="inlineStr"/>
      <c r="O4197" s="521">
        <f>M4197=N4197</f>
        <v/>
      </c>
      <c r="P4197" s="521">
        <f>AND(MONTH(F4197)=MONTH(S4197), YEAR(F4197)=YEAR(S4197))</f>
        <v/>
      </c>
      <c r="Q4197" s="521">
        <f>U4197="L001-901905215"</f>
        <v/>
      </c>
      <c r="R4197" s="556">
        <f>G4197-W4197</f>
        <v/>
      </c>
      <c r="S4197" s="521" t="n"/>
      <c r="T4197" s="522" t="n"/>
      <c r="U4197" s="522" t="n"/>
      <c r="V4197" s="522" t="n"/>
      <c r="W4197" s="521" t="n"/>
    </row>
    <row r="4198">
      <c r="A4198" s="521" t="n">
        <v>4190</v>
      </c>
      <c r="B4198" s="522" t="inlineStr">
        <is>
          <t>Customs clearence and Trucking fee</t>
        </is>
      </c>
      <c r="C4198" s="522" t="inlineStr">
        <is>
          <t>56ប៊ី-លីង សឹបផ្លាយ ឆេន មេនេចម៉ិន ឯ.ក</t>
        </is>
      </c>
      <c r="D4198" s="522" t="inlineStr">
        <is>
          <t>K004-902004795</t>
        </is>
      </c>
      <c r="E4198" s="521" t="inlineStr">
        <is>
          <t>IN202112-0810</t>
        </is>
      </c>
      <c r="F4198" s="523" t="n">
        <v>44560</v>
      </c>
      <c r="G4198" s="556" t="n">
        <v>698348</v>
      </c>
      <c r="I4198" s="521">
        <f>G4198</f>
        <v/>
      </c>
      <c r="K4198" s="521">
        <f>I4198-G4198</f>
        <v/>
      </c>
      <c r="M4198" s="522" t="inlineStr">
        <is>
          <t>IN2021120810</t>
        </is>
      </c>
      <c r="N4198" s="522" t="inlineStr">
        <is>
          <t>IN2021120810</t>
        </is>
      </c>
      <c r="O4198" s="521">
        <f>M4198=N4198</f>
        <v/>
      </c>
      <c r="P4198" s="521">
        <f>AND(MONTH(F4198)=MONTH(S4198), YEAR(F4198)=YEAR(S4198))</f>
        <v/>
      </c>
      <c r="Q4198" s="521">
        <f>U4198="L001-901905215"</f>
        <v/>
      </c>
      <c r="R4198" s="556">
        <f>G4198-W4198</f>
        <v/>
      </c>
      <c r="S4198" s="523" t="n">
        <v>44560</v>
      </c>
      <c r="T4198" s="522" t="inlineStr">
        <is>
          <t>IN202112-0810</t>
        </is>
      </c>
      <c r="U4198" s="522" t="inlineStr">
        <is>
          <t>L001-901905215</t>
        </is>
      </c>
      <c r="V4198" s="522" t="inlineStr">
        <is>
          <t>វីអ៊ីស៊ិន (ខេមបូឌា) អ៊ិនដាសស្ទ្រី ឯ.ក</t>
        </is>
      </c>
      <c r="W4198" s="556" t="n">
        <v>698348</v>
      </c>
    </row>
    <row r="4199">
      <c r="A4199" s="521" t="n">
        <v>4191</v>
      </c>
      <c r="B4199" s="522" t="inlineStr">
        <is>
          <t>Lift off and Gate fee charge</t>
        </is>
      </c>
      <c r="C4199" s="522" t="inlineStr">
        <is>
          <t>កំពង់ផែស្វយ័តភ្នំពេញ "ក.ស.ភ"</t>
        </is>
      </c>
      <c r="D4199" s="522" t="inlineStr">
        <is>
          <t>L001-100044999</t>
        </is>
      </c>
      <c r="E4199" s="521" t="inlineStr">
        <is>
          <t>INV20211279190</t>
        </is>
      </c>
      <c r="F4199" s="523" t="n">
        <v>44561</v>
      </c>
      <c r="G4199" s="556" t="n">
        <v>48888</v>
      </c>
      <c r="I4199" s="521">
        <f>G4199</f>
        <v/>
      </c>
      <c r="K4199" s="521">
        <f>I4199-G4199</f>
        <v/>
      </c>
      <c r="M4199" s="522" t="inlineStr">
        <is>
          <t>INV20211279190</t>
        </is>
      </c>
      <c r="N4199" s="522" t="inlineStr"/>
      <c r="O4199" s="521">
        <f>M4199=N4199</f>
        <v/>
      </c>
      <c r="P4199" s="521">
        <f>AND(MONTH(F4199)=MONTH(S4199), YEAR(F4199)=YEAR(S4199))</f>
        <v/>
      </c>
      <c r="Q4199" s="521">
        <f>U4199="L001-901905215"</f>
        <v/>
      </c>
      <c r="R4199" s="556">
        <f>G4199-W4199</f>
        <v/>
      </c>
      <c r="S4199" s="521" t="n"/>
      <c r="T4199" s="522" t="n"/>
      <c r="U4199" s="522" t="n"/>
      <c r="V4199" s="522" t="n"/>
      <c r="W4199" s="521" t="n"/>
    </row>
    <row r="4200">
      <c r="A4200" s="521" t="n">
        <v>4192</v>
      </c>
      <c r="B4200" s="522" t="inlineStr">
        <is>
          <t>Customs clearence and Trucking fee</t>
        </is>
      </c>
      <c r="C4200" s="522" t="inlineStr">
        <is>
          <t>56ប៊ី-លីង សឹបផ្លាយ ឆេន មេនេចម៉ិន ឯ.ក</t>
        </is>
      </c>
      <c r="D4200" s="522" t="inlineStr">
        <is>
          <t>K004-902004795</t>
        </is>
      </c>
      <c r="E4200" s="521" t="inlineStr">
        <is>
          <t>IN202112-0809</t>
        </is>
      </c>
      <c r="F4200" s="523" t="n">
        <v>44560</v>
      </c>
      <c r="G4200" s="556" t="n">
        <v>199625</v>
      </c>
      <c r="I4200" s="521">
        <f>G4200</f>
        <v/>
      </c>
      <c r="K4200" s="521">
        <f>I4200-G4200</f>
        <v/>
      </c>
      <c r="M4200" s="522" t="inlineStr">
        <is>
          <t>IN2021120809</t>
        </is>
      </c>
      <c r="N4200" s="522" t="inlineStr">
        <is>
          <t>IN2021120809</t>
        </is>
      </c>
      <c r="O4200" s="521">
        <f>M4200=N4200</f>
        <v/>
      </c>
      <c r="P4200" s="521">
        <f>AND(MONTH(F4200)=MONTH(S4200), YEAR(F4200)=YEAR(S4200))</f>
        <v/>
      </c>
      <c r="Q4200" s="521">
        <f>U4200="L001-901905215"</f>
        <v/>
      </c>
      <c r="R4200" s="556">
        <f>G4200-W4200</f>
        <v/>
      </c>
      <c r="S4200" s="523" t="n">
        <v>44560</v>
      </c>
      <c r="T4200" s="522" t="inlineStr">
        <is>
          <t>IN202112-0809</t>
        </is>
      </c>
      <c r="U4200" s="522" t="inlineStr">
        <is>
          <t>L001-901905215</t>
        </is>
      </c>
      <c r="V4200" s="522" t="inlineStr">
        <is>
          <t>វីអ៊ីស៊ិន (ខេមបូឌា) អ៊ិនដាសស្ទ្រី ឯ.ក</t>
        </is>
      </c>
      <c r="W4200" s="556" t="n">
        <v>472352</v>
      </c>
    </row>
    <row r="4201">
      <c r="A4201" s="521" t="n">
        <v>4193</v>
      </c>
      <c r="B4201" s="522" t="inlineStr">
        <is>
          <t>Lift off and Gate fee charge</t>
        </is>
      </c>
      <c r="C4201" s="522" t="inlineStr">
        <is>
          <t>កំពង់ផែស្វយ័តភ្នំពេញ "ក.ស.ភ"</t>
        </is>
      </c>
      <c r="D4201" s="522" t="inlineStr">
        <is>
          <t>L001-100044999</t>
        </is>
      </c>
      <c r="E4201" s="521" t="inlineStr">
        <is>
          <t>INV2021279191</t>
        </is>
      </c>
      <c r="F4201" s="523" t="n">
        <v>44561</v>
      </c>
      <c r="G4201" s="556" t="n">
        <v>29333</v>
      </c>
      <c r="I4201" s="521">
        <f>G4201</f>
        <v/>
      </c>
      <c r="K4201" s="521">
        <f>I4201-G4201</f>
        <v/>
      </c>
      <c r="M4201" s="522" t="inlineStr">
        <is>
          <t>INV2021279191</t>
        </is>
      </c>
      <c r="N4201" s="522" t="inlineStr"/>
      <c r="O4201" s="521">
        <f>M4201=N4201</f>
        <v/>
      </c>
      <c r="P4201" s="521">
        <f>AND(MONTH(F4201)=MONTH(S4201), YEAR(F4201)=YEAR(S4201))</f>
        <v/>
      </c>
      <c r="Q4201" s="521">
        <f>U4201="L001-901905215"</f>
        <v/>
      </c>
      <c r="R4201" s="556">
        <f>G4201-W4201</f>
        <v/>
      </c>
      <c r="S4201" s="521" t="n"/>
      <c r="T4201" s="522" t="n"/>
      <c r="U4201" s="522" t="n"/>
      <c r="V4201" s="522" t="n"/>
      <c r="W4201" s="521" t="n"/>
    </row>
    <row r="4202">
      <c r="A4202" s="521" t="n">
        <v>4194</v>
      </c>
      <c r="B4202" s="522" t="inlineStr">
        <is>
          <t>Customs clearence and Trucking fee</t>
        </is>
      </c>
      <c r="C4202" s="522" t="inlineStr">
        <is>
          <t>56ប៊ី-លីង សឹបផ្លាយ ឆេន មេនេចម៉ិន ឯ.ក</t>
        </is>
      </c>
      <c r="D4202" s="522" t="inlineStr">
        <is>
          <t>K004-902004795</t>
        </is>
      </c>
      <c r="E4202" s="521" t="inlineStr">
        <is>
          <t>IN202112-0808</t>
        </is>
      </c>
      <c r="F4202" s="523" t="n">
        <v>44560</v>
      </c>
      <c r="G4202" s="556" t="n">
        <v>270788</v>
      </c>
      <c r="I4202" s="521">
        <f>G4202</f>
        <v/>
      </c>
      <c r="K4202" s="521">
        <f>I4202-G4202</f>
        <v/>
      </c>
      <c r="M4202" s="522" t="inlineStr">
        <is>
          <t>IN2021120808</t>
        </is>
      </c>
      <c r="N4202" s="522" t="inlineStr">
        <is>
          <t>IN2021120808</t>
        </is>
      </c>
      <c r="O4202" s="521">
        <f>M4202=N4202</f>
        <v/>
      </c>
      <c r="P4202" s="521">
        <f>AND(MONTH(F4202)=MONTH(S4202), YEAR(F4202)=YEAR(S4202))</f>
        <v/>
      </c>
      <c r="Q4202" s="521">
        <f>U4202="L001-901905215"</f>
        <v/>
      </c>
      <c r="R4202" s="556">
        <f>G4202-W4202</f>
        <v/>
      </c>
      <c r="S4202" s="523" t="n">
        <v>44560</v>
      </c>
      <c r="T4202" s="522" t="inlineStr">
        <is>
          <t>IN202112-0808</t>
        </is>
      </c>
      <c r="U4202" s="522" t="inlineStr">
        <is>
          <t>L001-901905215</t>
        </is>
      </c>
      <c r="V4202" s="522" t="inlineStr">
        <is>
          <t>វីអ៊ីស៊ិន (ខេមបូឌា) អ៊ិនដាសស្ទ្រី ឯ.ក</t>
        </is>
      </c>
      <c r="W4202" s="556" t="n">
        <v>270788</v>
      </c>
    </row>
    <row r="4203">
      <c r="A4203" s="521" t="n">
        <v>4195</v>
      </c>
      <c r="B4203" s="522" t="inlineStr">
        <is>
          <t>Lift off and Gate fee charge</t>
        </is>
      </c>
      <c r="C4203" s="522" t="inlineStr">
        <is>
          <t>កំពង់ផែស្វយ័តភ្នំពេញ "ក.ស.ភ"</t>
        </is>
      </c>
      <c r="D4203" s="522" t="inlineStr">
        <is>
          <t>L001-100044999</t>
        </is>
      </c>
      <c r="E4203" s="521" t="inlineStr">
        <is>
          <t>INV0211279174</t>
        </is>
      </c>
      <c r="F4203" s="523" t="n">
        <v>44561</v>
      </c>
      <c r="G4203" s="556" t="n">
        <v>29333</v>
      </c>
      <c r="I4203" s="521">
        <f>G4203</f>
        <v/>
      </c>
      <c r="K4203" s="521">
        <f>I4203-G4203</f>
        <v/>
      </c>
      <c r="M4203" s="522" t="inlineStr">
        <is>
          <t>INV0211279174</t>
        </is>
      </c>
      <c r="N4203" s="522" t="inlineStr"/>
      <c r="O4203" s="521">
        <f>M4203=N4203</f>
        <v/>
      </c>
      <c r="P4203" s="521">
        <f>AND(MONTH(F4203)=MONTH(S4203), YEAR(F4203)=YEAR(S4203))</f>
        <v/>
      </c>
      <c r="Q4203" s="521">
        <f>U4203="L001-901905215"</f>
        <v/>
      </c>
      <c r="R4203" s="556">
        <f>G4203-W4203</f>
        <v/>
      </c>
      <c r="S4203" s="521" t="n"/>
      <c r="T4203" s="522" t="n"/>
      <c r="U4203" s="522" t="n"/>
      <c r="V4203" s="522" t="n"/>
      <c r="W4203" s="521" t="n"/>
    </row>
    <row r="4204">
      <c r="A4204" s="521" t="n">
        <v>4196</v>
      </c>
      <c r="B4204" s="522" t="inlineStr">
        <is>
          <t>Customs clearence and Trucking fee</t>
        </is>
      </c>
      <c r="C4204" s="522" t="inlineStr">
        <is>
          <t>56ប៊ី-លីង សឹបផ្លាយ ឆេន មេនេចម៉ិន ឯ.ក</t>
        </is>
      </c>
      <c r="D4204" s="522" t="inlineStr">
        <is>
          <t>K004-902004795</t>
        </is>
      </c>
      <c r="E4204" s="521" t="inlineStr">
        <is>
          <t>IN202112-0807</t>
        </is>
      </c>
      <c r="F4204" s="523" t="n">
        <v>44560</v>
      </c>
      <c r="G4204" s="556" t="n">
        <v>270788</v>
      </c>
      <c r="I4204" s="521">
        <f>G4204</f>
        <v/>
      </c>
      <c r="K4204" s="521">
        <f>I4204-G4204</f>
        <v/>
      </c>
      <c r="M4204" s="522" t="inlineStr">
        <is>
          <t>IN2021120807</t>
        </is>
      </c>
      <c r="N4204" s="522" t="inlineStr">
        <is>
          <t>IN2021120807</t>
        </is>
      </c>
      <c r="O4204" s="521">
        <f>M4204=N4204</f>
        <v/>
      </c>
      <c r="P4204" s="521">
        <f>AND(MONTH(F4204)=MONTH(S4204), YEAR(F4204)=YEAR(S4204))</f>
        <v/>
      </c>
      <c r="Q4204" s="521">
        <f>U4204="L001-901905215"</f>
        <v/>
      </c>
      <c r="R4204" s="556">
        <f>G4204-W4204</f>
        <v/>
      </c>
      <c r="S4204" s="523" t="n">
        <v>44560</v>
      </c>
      <c r="T4204" s="522" t="inlineStr">
        <is>
          <t>IN202112-0807</t>
        </is>
      </c>
      <c r="U4204" s="522" t="inlineStr">
        <is>
          <t>L001-901905215</t>
        </is>
      </c>
      <c r="V4204" s="522" t="inlineStr">
        <is>
          <t>វីអ៊ីស៊ិន (ខេមបូឌា) អ៊ិនដាសស្ទ្រី ឯ.ក</t>
        </is>
      </c>
      <c r="W4204" s="556" t="n">
        <v>270788</v>
      </c>
    </row>
    <row r="4205">
      <c r="A4205" s="521" t="n">
        <v>4197</v>
      </c>
      <c r="B4205" s="522" t="inlineStr">
        <is>
          <t>Lift off and Gate fee charge</t>
        </is>
      </c>
      <c r="C4205" s="522" t="inlineStr">
        <is>
          <t>កំពង់ផែស្វយ័តភ្នំពេញ "ក.ស.ភ"</t>
        </is>
      </c>
      <c r="D4205" s="522" t="inlineStr">
        <is>
          <t>L001-100044999</t>
        </is>
      </c>
      <c r="E4205" s="521" t="inlineStr">
        <is>
          <t>INV20211279173</t>
        </is>
      </c>
      <c r="F4205" s="523" t="n">
        <v>44561</v>
      </c>
      <c r="G4205" s="556" t="n">
        <v>5866</v>
      </c>
      <c r="I4205" s="521">
        <f>G4205</f>
        <v/>
      </c>
      <c r="K4205" s="521">
        <f>I4205-G4205</f>
        <v/>
      </c>
      <c r="M4205" s="522" t="inlineStr">
        <is>
          <t>INV20211279173</t>
        </is>
      </c>
      <c r="N4205" s="522" t="inlineStr"/>
      <c r="O4205" s="521">
        <f>M4205=N4205</f>
        <v/>
      </c>
      <c r="P4205" s="521">
        <f>AND(MONTH(F4205)=MONTH(S4205), YEAR(F4205)=YEAR(S4205))</f>
        <v/>
      </c>
      <c r="Q4205" s="521">
        <f>U4205="L001-901905215"</f>
        <v/>
      </c>
      <c r="R4205" s="556">
        <f>G4205-W4205</f>
        <v/>
      </c>
      <c r="S4205" s="521" t="n"/>
      <c r="T4205" s="522" t="n"/>
      <c r="U4205" s="522" t="n"/>
      <c r="V4205" s="522" t="n"/>
      <c r="W4205" s="521" t="n"/>
    </row>
    <row r="4206">
      <c r="A4206" s="521" t="n">
        <v>4198</v>
      </c>
      <c r="B4206" s="522" t="inlineStr">
        <is>
          <t>Customs clearence and Trucking fee</t>
        </is>
      </c>
      <c r="C4206" s="522" t="inlineStr">
        <is>
          <t>56ប៊ី-លីង សឹបផ្លាយ ឆេន មេនេចម៉ិន ឯ.ក</t>
        </is>
      </c>
      <c r="D4206" s="522" t="inlineStr">
        <is>
          <t>K004-902004795</t>
        </is>
      </c>
      <c r="E4206" s="521" t="inlineStr">
        <is>
          <t>IN202112-0806</t>
        </is>
      </c>
      <c r="F4206" s="523" t="n">
        <v>44560</v>
      </c>
      <c r="G4206" s="556" t="n">
        <v>484568</v>
      </c>
      <c r="I4206" s="521">
        <f>G4206</f>
        <v/>
      </c>
      <c r="K4206" s="521">
        <f>I4206-G4206</f>
        <v/>
      </c>
      <c r="M4206" s="522" t="inlineStr">
        <is>
          <t>IN2021120806</t>
        </is>
      </c>
      <c r="N4206" s="522" t="inlineStr">
        <is>
          <t>IN2021120806</t>
        </is>
      </c>
      <c r="O4206" s="521">
        <f>M4206=N4206</f>
        <v/>
      </c>
      <c r="P4206" s="521">
        <f>AND(MONTH(F4206)=MONTH(S4206), YEAR(F4206)=YEAR(S4206))</f>
        <v/>
      </c>
      <c r="Q4206" s="521">
        <f>U4206="L001-901905215"</f>
        <v/>
      </c>
      <c r="R4206" s="556">
        <f>G4206-W4206</f>
        <v/>
      </c>
      <c r="S4206" s="523" t="n">
        <v>44560</v>
      </c>
      <c r="T4206" s="522" t="inlineStr">
        <is>
          <t>IN202112-0806</t>
        </is>
      </c>
      <c r="U4206" s="522" t="inlineStr">
        <is>
          <t>L001-901905215</t>
        </is>
      </c>
      <c r="V4206" s="522" t="inlineStr">
        <is>
          <t>វីអ៊ីស៊ិន (ខេមបូឌា) អ៊ិនដាសស្ទ្រី ឯ.ក</t>
        </is>
      </c>
      <c r="W4206" s="556" t="n">
        <v>484568</v>
      </c>
    </row>
    <row r="4207">
      <c r="A4207" s="521" t="n">
        <v>4199</v>
      </c>
      <c r="B4207" s="522" t="inlineStr">
        <is>
          <t>Lift off</t>
        </is>
      </c>
      <c r="C4207" s="522" t="inlineStr">
        <is>
          <t>កំពង់ផែស្វយ័តក្រុងព្រះសីហនុ</t>
        </is>
      </c>
      <c r="D4207" s="522" t="inlineStr">
        <is>
          <t>L001-100044638</t>
        </is>
      </c>
      <c r="E4207" s="521" t="inlineStr">
        <is>
          <t>218115</t>
        </is>
      </c>
      <c r="F4207" s="523" t="n">
        <v>44561</v>
      </c>
      <c r="G4207" s="556" t="n">
        <v>6922</v>
      </c>
      <c r="I4207" s="521">
        <f>G4207</f>
        <v/>
      </c>
      <c r="K4207" s="521">
        <f>I4207-G4207</f>
        <v/>
      </c>
      <c r="M4207" s="522" t="inlineStr">
        <is>
          <t>218115</t>
        </is>
      </c>
      <c r="N4207" s="522" t="inlineStr"/>
      <c r="O4207" s="521">
        <f>M4207=N4207</f>
        <v/>
      </c>
      <c r="P4207" s="521">
        <f>AND(MONTH(F4207)=MONTH(S4207), YEAR(F4207)=YEAR(S4207))</f>
        <v/>
      </c>
      <c r="Q4207" s="521">
        <f>U4207="L001-901905215"</f>
        <v/>
      </c>
      <c r="R4207" s="556">
        <f>G4207-W4207</f>
        <v/>
      </c>
      <c r="S4207" s="521" t="n"/>
      <c r="T4207" s="522" t="n"/>
      <c r="U4207" s="522" t="n"/>
      <c r="V4207" s="522" t="n"/>
      <c r="W4207" s="521" t="n"/>
    </row>
    <row r="4208">
      <c r="A4208" s="521" t="n">
        <v>4200</v>
      </c>
      <c r="B4208" s="522" t="inlineStr">
        <is>
          <t>Customs clearence and Trucking fee</t>
        </is>
      </c>
      <c r="C4208" s="522" t="inlineStr">
        <is>
          <t>56ប៊ី-លីង សឹបផ្លាយ ឆេន មេនេចម៉ិន ឯ.ក</t>
        </is>
      </c>
      <c r="D4208" s="522" t="inlineStr">
        <is>
          <t>K004-902004795</t>
        </is>
      </c>
      <c r="E4208" s="521" t="inlineStr">
        <is>
          <t>IN202112-0805</t>
        </is>
      </c>
      <c r="F4208" s="523" t="n">
        <v>44560</v>
      </c>
      <c r="G4208" s="556" t="n">
        <v>299292</v>
      </c>
      <c r="I4208" s="521">
        <f>G4208</f>
        <v/>
      </c>
      <c r="K4208" s="521">
        <f>I4208-G4208</f>
        <v/>
      </c>
      <c r="M4208" s="522" t="inlineStr">
        <is>
          <t>IN2021120805</t>
        </is>
      </c>
      <c r="N4208" s="522" t="inlineStr">
        <is>
          <t>IN2021120805</t>
        </is>
      </c>
      <c r="O4208" s="521">
        <f>M4208=N4208</f>
        <v/>
      </c>
      <c r="P4208" s="521">
        <f>AND(MONTH(F4208)=MONTH(S4208), YEAR(F4208)=YEAR(S4208))</f>
        <v/>
      </c>
      <c r="Q4208" s="521">
        <f>U4208="L001-901905215"</f>
        <v/>
      </c>
      <c r="R4208" s="556">
        <f>G4208-W4208</f>
        <v/>
      </c>
      <c r="S4208" s="523" t="n">
        <v>44560</v>
      </c>
      <c r="T4208" s="522" t="inlineStr">
        <is>
          <t>IN202112-0805</t>
        </is>
      </c>
      <c r="U4208" s="522" t="inlineStr">
        <is>
          <t>L001-901905215</t>
        </is>
      </c>
      <c r="V4208" s="522" t="inlineStr">
        <is>
          <t>វីអ៊ីស៊ិន (ខេមបូឌា) អ៊ិនដាសស្ទ្រី ឯ.ក</t>
        </is>
      </c>
      <c r="W4208" s="556" t="n">
        <v>299292</v>
      </c>
    </row>
    <row r="4209">
      <c r="A4209" s="521" t="n">
        <v>4201</v>
      </c>
      <c r="B4209" s="522" t="inlineStr">
        <is>
          <t>Lift off and Gate fee charge</t>
        </is>
      </c>
      <c r="C4209" s="522" t="inlineStr">
        <is>
          <t>កំពង់ផែស្វយ័តភ្នំពេញ "ក.ស.ភ"</t>
        </is>
      </c>
      <c r="D4209" s="522" t="inlineStr">
        <is>
          <t>L001-100044999</t>
        </is>
      </c>
      <c r="E4209" s="521" t="inlineStr">
        <is>
          <t>INV20211277771</t>
        </is>
      </c>
      <c r="F4209" s="523" t="n">
        <v>44557</v>
      </c>
      <c r="G4209" s="556" t="n">
        <v>117302</v>
      </c>
      <c r="I4209" s="521">
        <f>G4209</f>
        <v/>
      </c>
      <c r="K4209" s="521">
        <f>I4209-G4209</f>
        <v/>
      </c>
      <c r="M4209" s="522" t="inlineStr">
        <is>
          <t>INV20211277771</t>
        </is>
      </c>
      <c r="N4209" s="522" t="inlineStr"/>
      <c r="O4209" s="521">
        <f>M4209=N4209</f>
        <v/>
      </c>
      <c r="P4209" s="521">
        <f>AND(MONTH(F4209)=MONTH(S4209), YEAR(F4209)=YEAR(S4209))</f>
        <v/>
      </c>
      <c r="Q4209" s="521">
        <f>U4209="L001-901905215"</f>
        <v/>
      </c>
      <c r="R4209" s="556">
        <f>G4209-W4209</f>
        <v/>
      </c>
      <c r="S4209" s="521" t="n"/>
      <c r="T4209" s="522" t="n"/>
      <c r="U4209" s="522" t="n"/>
      <c r="V4209" s="522" t="n"/>
      <c r="W4209" s="521" t="n"/>
    </row>
    <row r="4210">
      <c r="A4210" s="521" t="n">
        <v>4202</v>
      </c>
      <c r="B4210" s="522" t="inlineStr">
        <is>
          <t>Customs clearence and Trucking fee</t>
        </is>
      </c>
      <c r="C4210" s="522" t="inlineStr">
        <is>
          <t>56ប៊ី-លីង សឹបផ្លាយ ឆេន មេនេចម៉ិន ឯ.ក</t>
        </is>
      </c>
      <c r="D4210" s="522" t="inlineStr">
        <is>
          <t>K004-902004795</t>
        </is>
      </c>
      <c r="E4210" s="521" t="inlineStr">
        <is>
          <t>IN202112-0797</t>
        </is>
      </c>
      <c r="F4210" s="523" t="n">
        <v>44560</v>
      </c>
      <c r="G4210" s="556" t="n">
        <v>912128</v>
      </c>
      <c r="I4210" s="521">
        <f>G4210</f>
        <v/>
      </c>
      <c r="K4210" s="521">
        <f>I4210-G4210</f>
        <v/>
      </c>
      <c r="M4210" s="522" t="inlineStr">
        <is>
          <t>IN2021120797</t>
        </is>
      </c>
      <c r="N4210" s="522" t="inlineStr">
        <is>
          <t>IN2021120797</t>
        </is>
      </c>
      <c r="O4210" s="521">
        <f>M4210=N4210</f>
        <v/>
      </c>
      <c r="P4210" s="521">
        <f>AND(MONTH(F4210)=MONTH(S4210), YEAR(F4210)=YEAR(S4210))</f>
        <v/>
      </c>
      <c r="Q4210" s="521">
        <f>U4210="L001-901905215"</f>
        <v/>
      </c>
      <c r="R4210" s="556">
        <f>G4210-W4210</f>
        <v/>
      </c>
      <c r="S4210" s="523" t="n">
        <v>44560</v>
      </c>
      <c r="T4210" s="522" t="inlineStr">
        <is>
          <t>IN202112-0797</t>
        </is>
      </c>
      <c r="U4210" s="522" t="inlineStr">
        <is>
          <t>L001-901905215</t>
        </is>
      </c>
      <c r="V4210" s="522" t="inlineStr">
        <is>
          <t>វីអ៊ីស៊ិន (ខេមបូឌា) អ៊ិនដាសស្ទ្រី ឯ.ក</t>
        </is>
      </c>
      <c r="W4210" s="556" t="n">
        <v>912128</v>
      </c>
    </row>
    <row r="4211">
      <c r="A4211" s="521" t="n">
        <v>4203</v>
      </c>
      <c r="B4211" s="522" t="inlineStr">
        <is>
          <t>Lift off and Gate fee charge</t>
        </is>
      </c>
      <c r="C4211" s="522" t="inlineStr">
        <is>
          <t>កំពង់ផែស្វយ័តភ្នំពេញ "ក.ស.ភ"</t>
        </is>
      </c>
      <c r="D4211" s="522" t="inlineStr">
        <is>
          <t>L001-100044999</t>
        </is>
      </c>
      <c r="E4211" s="521" t="inlineStr">
        <is>
          <t>INV20211277770</t>
        </is>
      </c>
      <c r="F4211" s="523" t="n">
        <v>44557</v>
      </c>
      <c r="G4211" s="556" t="n">
        <v>117302</v>
      </c>
      <c r="I4211" s="521">
        <f>G4211</f>
        <v/>
      </c>
      <c r="K4211" s="521">
        <f>I4211-G4211</f>
        <v/>
      </c>
      <c r="M4211" s="522" t="inlineStr">
        <is>
          <t>INV20211277770</t>
        </is>
      </c>
      <c r="N4211" s="522" t="inlineStr"/>
      <c r="O4211" s="521">
        <f>M4211=N4211</f>
        <v/>
      </c>
      <c r="P4211" s="521">
        <f>AND(MONTH(F4211)=MONTH(S4211), YEAR(F4211)=YEAR(S4211))</f>
        <v/>
      </c>
      <c r="Q4211" s="521">
        <f>U4211="L001-901905215"</f>
        <v/>
      </c>
      <c r="R4211" s="556">
        <f>G4211-W4211</f>
        <v/>
      </c>
      <c r="S4211" s="521" t="n"/>
      <c r="T4211" s="522" t="n"/>
      <c r="U4211" s="522" t="n"/>
      <c r="V4211" s="522" t="n"/>
      <c r="W4211" s="521" t="n"/>
    </row>
    <row r="4212">
      <c r="A4212" s="521" t="n">
        <v>4204</v>
      </c>
      <c r="B4212" s="522" t="inlineStr">
        <is>
          <t>Customs clearence and Trucking fee</t>
        </is>
      </c>
      <c r="C4212" s="522" t="inlineStr">
        <is>
          <t>56ប៊ី-លីង សឹបផ្លាយ ឆេន មេនេចម៉ិន ឯ.ក</t>
        </is>
      </c>
      <c r="D4212" s="522" t="inlineStr">
        <is>
          <t>K004-902004795</t>
        </is>
      </c>
      <c r="E4212" s="521" t="inlineStr">
        <is>
          <t>IN202112-0796</t>
        </is>
      </c>
      <c r="F4212" s="523" t="n">
        <v>44560</v>
      </c>
      <c r="G4212" s="556" t="n">
        <v>912128</v>
      </c>
      <c r="I4212" s="521">
        <f>G4212</f>
        <v/>
      </c>
      <c r="K4212" s="521">
        <f>I4212-G4212</f>
        <v/>
      </c>
      <c r="M4212" s="522" t="inlineStr">
        <is>
          <t>IN2021120796</t>
        </is>
      </c>
      <c r="N4212" s="522" t="inlineStr">
        <is>
          <t>IN2021120796</t>
        </is>
      </c>
      <c r="O4212" s="521">
        <f>M4212=N4212</f>
        <v/>
      </c>
      <c r="P4212" s="521">
        <f>AND(MONTH(F4212)=MONTH(S4212), YEAR(F4212)=YEAR(S4212))</f>
        <v/>
      </c>
      <c r="Q4212" s="521">
        <f>U4212="L001-901905215"</f>
        <v/>
      </c>
      <c r="R4212" s="556">
        <f>G4212-W4212</f>
        <v/>
      </c>
      <c r="S4212" s="523" t="n">
        <v>44560</v>
      </c>
      <c r="T4212" s="522" t="inlineStr">
        <is>
          <t>IN202112-0796</t>
        </is>
      </c>
      <c r="U4212" s="522" t="inlineStr">
        <is>
          <t>L001-901905215</t>
        </is>
      </c>
      <c r="V4212" s="522" t="inlineStr">
        <is>
          <t>វីអ៊ីស៊ិន (ខេមបូឌា) អ៊ិនដាសស្ទ្រី ឯ.ក</t>
        </is>
      </c>
      <c r="W4212" s="556" t="n">
        <v>912128</v>
      </c>
    </row>
    <row r="4213">
      <c r="A4213" s="521" t="n">
        <v>4205</v>
      </c>
      <c r="B4213" s="522" t="inlineStr">
        <is>
          <t>Lift off</t>
        </is>
      </c>
      <c r="C4213" s="522" t="inlineStr">
        <is>
          <t>កំពង់ផែស្វយ័តក្រុងព្រះសីហនុ</t>
        </is>
      </c>
      <c r="D4213" s="522" t="inlineStr">
        <is>
          <t>L001-100044638</t>
        </is>
      </c>
      <c r="E4213" s="521" t="inlineStr">
        <is>
          <t>213792</t>
        </is>
      </c>
      <c r="F4213" s="523" t="n">
        <v>44555</v>
      </c>
      <c r="G4213" s="556" t="n">
        <v>20772</v>
      </c>
      <c r="I4213" s="521">
        <f>G4213</f>
        <v/>
      </c>
      <c r="K4213" s="521">
        <f>I4213-G4213</f>
        <v/>
      </c>
      <c r="M4213" s="522" t="inlineStr">
        <is>
          <t>213792</t>
        </is>
      </c>
      <c r="N4213" s="522" t="inlineStr"/>
      <c r="O4213" s="521">
        <f>M4213=N4213</f>
        <v/>
      </c>
      <c r="P4213" s="521">
        <f>AND(MONTH(F4213)=MONTH(S4213), YEAR(F4213)=YEAR(S4213))</f>
        <v/>
      </c>
      <c r="Q4213" s="521">
        <f>U4213="L001-901905215"</f>
        <v/>
      </c>
      <c r="R4213" s="556">
        <f>G4213-W4213</f>
        <v/>
      </c>
      <c r="S4213" s="521" t="n"/>
      <c r="T4213" s="522" t="n"/>
      <c r="U4213" s="522" t="n"/>
      <c r="V4213" s="522" t="n"/>
      <c r="W4213" s="521" t="n"/>
    </row>
    <row r="4214">
      <c r="A4214" s="521" t="n">
        <v>4206</v>
      </c>
      <c r="B4214" s="522" t="inlineStr">
        <is>
          <t>Lift off</t>
        </is>
      </c>
      <c r="C4214" s="522" t="inlineStr">
        <is>
          <t>កំពង់ផែស្វយ័តក្រុងព្រះសីហនុ</t>
        </is>
      </c>
      <c r="D4214" s="522" t="inlineStr">
        <is>
          <t>L001-100044638</t>
        </is>
      </c>
      <c r="E4214" s="521" t="inlineStr">
        <is>
          <t>213796</t>
        </is>
      </c>
      <c r="F4214" s="523" t="n">
        <v>44555</v>
      </c>
      <c r="G4214" s="556" t="n">
        <v>20772</v>
      </c>
      <c r="I4214" s="521">
        <f>G4214</f>
        <v/>
      </c>
      <c r="K4214" s="521">
        <f>I4214-G4214</f>
        <v/>
      </c>
      <c r="M4214" s="522" t="inlineStr">
        <is>
          <t>213796</t>
        </is>
      </c>
      <c r="N4214" s="522" t="inlineStr"/>
      <c r="O4214" s="521">
        <f>M4214=N4214</f>
        <v/>
      </c>
      <c r="P4214" s="521">
        <f>AND(MONTH(F4214)=MONTH(S4214), YEAR(F4214)=YEAR(S4214))</f>
        <v/>
      </c>
      <c r="Q4214" s="521">
        <f>U4214="L001-901905215"</f>
        <v/>
      </c>
      <c r="R4214" s="556">
        <f>G4214-W4214</f>
        <v/>
      </c>
      <c r="S4214" s="521" t="n"/>
      <c r="T4214" s="522" t="n"/>
      <c r="U4214" s="522" t="n"/>
      <c r="V4214" s="522" t="n"/>
      <c r="W4214" s="521" t="n"/>
    </row>
    <row r="4215">
      <c r="A4215" s="521" t="n">
        <v>4207</v>
      </c>
      <c r="B4215" s="522" t="inlineStr">
        <is>
          <t>Lift off</t>
        </is>
      </c>
      <c r="C4215" s="522" t="inlineStr">
        <is>
          <t>កំពង់ផែស្វយ័តក្រុងព្រះសីហនុ</t>
        </is>
      </c>
      <c r="D4215" s="522" t="inlineStr">
        <is>
          <t>L001-100044638</t>
        </is>
      </c>
      <c r="E4215" s="521" t="inlineStr">
        <is>
          <t>213798</t>
        </is>
      </c>
      <c r="F4215" s="523" t="n">
        <v>44555</v>
      </c>
      <c r="G4215" s="556" t="n">
        <v>20772</v>
      </c>
      <c r="I4215" s="521">
        <f>G4215</f>
        <v/>
      </c>
      <c r="K4215" s="521">
        <f>I4215-G4215</f>
        <v/>
      </c>
      <c r="M4215" s="522" t="inlineStr">
        <is>
          <t>213798</t>
        </is>
      </c>
      <c r="N4215" s="522" t="inlineStr"/>
      <c r="O4215" s="521">
        <f>M4215=N4215</f>
        <v/>
      </c>
      <c r="P4215" s="521">
        <f>AND(MONTH(F4215)=MONTH(S4215), YEAR(F4215)=YEAR(S4215))</f>
        <v/>
      </c>
      <c r="Q4215" s="521">
        <f>U4215="L001-901905215"</f>
        <v/>
      </c>
      <c r="R4215" s="556">
        <f>G4215-W4215</f>
        <v/>
      </c>
      <c r="S4215" s="521" t="n"/>
      <c r="T4215" s="522" t="n"/>
      <c r="U4215" s="522" t="n"/>
      <c r="V4215" s="522" t="n"/>
      <c r="W4215" s="521" t="n"/>
    </row>
    <row r="4216">
      <c r="A4216" s="521" t="n">
        <v>4208</v>
      </c>
      <c r="B4216" s="522" t="inlineStr">
        <is>
          <t>Lift off</t>
        </is>
      </c>
      <c r="C4216" s="522" t="inlineStr">
        <is>
          <t>កំពង់ផែស្វយ័តក្រុងព្រះសីហនុ</t>
        </is>
      </c>
      <c r="D4216" s="522" t="inlineStr">
        <is>
          <t>L001-100044638</t>
        </is>
      </c>
      <c r="E4216" s="521" t="inlineStr">
        <is>
          <t>213800</t>
        </is>
      </c>
      <c r="F4216" s="523" t="n">
        <v>44555</v>
      </c>
      <c r="G4216" s="556" t="n">
        <v>20772</v>
      </c>
      <c r="I4216" s="521">
        <f>G4216</f>
        <v/>
      </c>
      <c r="K4216" s="521">
        <f>I4216-G4216</f>
        <v/>
      </c>
      <c r="M4216" s="522" t="inlineStr">
        <is>
          <t>213800</t>
        </is>
      </c>
      <c r="N4216" s="522" t="inlineStr"/>
      <c r="O4216" s="521">
        <f>M4216=N4216</f>
        <v/>
      </c>
      <c r="P4216" s="521">
        <f>AND(MONTH(F4216)=MONTH(S4216), YEAR(F4216)=YEAR(S4216))</f>
        <v/>
      </c>
      <c r="Q4216" s="521">
        <f>U4216="L001-901905215"</f>
        <v/>
      </c>
      <c r="R4216" s="556">
        <f>G4216-W4216</f>
        <v/>
      </c>
      <c r="S4216" s="521" t="n"/>
      <c r="T4216" s="522" t="n"/>
      <c r="U4216" s="522" t="n"/>
      <c r="V4216" s="522" t="n"/>
      <c r="W4216" s="521" t="n"/>
    </row>
    <row r="4217">
      <c r="A4217" s="521" t="n">
        <v>4209</v>
      </c>
      <c r="B4217" s="522" t="inlineStr">
        <is>
          <t>Lift off</t>
        </is>
      </c>
      <c r="C4217" s="522" t="inlineStr">
        <is>
          <t>កំពង់ផែស្វយ័តក្រុងព្រះសីហនុ</t>
        </is>
      </c>
      <c r="D4217" s="522" t="inlineStr">
        <is>
          <t>L001-100044638</t>
        </is>
      </c>
      <c r="E4217" s="521" t="inlineStr">
        <is>
          <t>213802</t>
        </is>
      </c>
      <c r="F4217" s="523" t="n">
        <v>44555</v>
      </c>
      <c r="G4217" s="556" t="n">
        <v>20772</v>
      </c>
      <c r="I4217" s="521">
        <f>G4217</f>
        <v/>
      </c>
      <c r="K4217" s="521">
        <f>I4217-G4217</f>
        <v/>
      </c>
      <c r="M4217" s="522" t="inlineStr">
        <is>
          <t>213802</t>
        </is>
      </c>
      <c r="N4217" s="522" t="inlineStr"/>
      <c r="O4217" s="521">
        <f>M4217=N4217</f>
        <v/>
      </c>
      <c r="P4217" s="521">
        <f>AND(MONTH(F4217)=MONTH(S4217), YEAR(F4217)=YEAR(S4217))</f>
        <v/>
      </c>
      <c r="Q4217" s="521">
        <f>U4217="L001-901905215"</f>
        <v/>
      </c>
      <c r="R4217" s="556">
        <f>G4217-W4217</f>
        <v/>
      </c>
      <c r="S4217" s="521" t="n"/>
      <c r="T4217" s="522" t="n"/>
      <c r="U4217" s="522" t="n"/>
      <c r="V4217" s="522" t="n"/>
      <c r="W4217" s="521" t="n"/>
    </row>
    <row r="4218">
      <c r="A4218" s="521" t="n">
        <v>4210</v>
      </c>
      <c r="B4218" s="522" t="inlineStr">
        <is>
          <t>Lift off</t>
        </is>
      </c>
      <c r="C4218" s="522" t="inlineStr">
        <is>
          <t>កំពង់ផែស្វយ័តក្រុងព្រះសីហនុ</t>
        </is>
      </c>
      <c r="D4218" s="522" t="inlineStr">
        <is>
          <t>L001-100044638</t>
        </is>
      </c>
      <c r="E4218" s="521" t="inlineStr">
        <is>
          <t>213803</t>
        </is>
      </c>
      <c r="F4218" s="523" t="n">
        <v>44555</v>
      </c>
      <c r="G4218" s="556" t="n">
        <v>20772</v>
      </c>
      <c r="I4218" s="521">
        <f>G4218</f>
        <v/>
      </c>
      <c r="K4218" s="521">
        <f>I4218-G4218</f>
        <v/>
      </c>
      <c r="M4218" s="522" t="inlineStr">
        <is>
          <t>213803</t>
        </is>
      </c>
      <c r="N4218" s="522" t="inlineStr"/>
      <c r="O4218" s="521">
        <f>M4218=N4218</f>
        <v/>
      </c>
      <c r="P4218" s="521">
        <f>AND(MONTH(F4218)=MONTH(S4218), YEAR(F4218)=YEAR(S4218))</f>
        <v/>
      </c>
      <c r="Q4218" s="521">
        <f>U4218="L001-901905215"</f>
        <v/>
      </c>
      <c r="R4218" s="556">
        <f>G4218-W4218</f>
        <v/>
      </c>
      <c r="S4218" s="521" t="n"/>
      <c r="T4218" s="522" t="n"/>
      <c r="U4218" s="522" t="n"/>
      <c r="V4218" s="522" t="n"/>
      <c r="W4218" s="521" t="n"/>
    </row>
    <row r="4219">
      <c r="A4219" s="521" t="n">
        <v>4211</v>
      </c>
      <c r="B4219" s="522" t="inlineStr">
        <is>
          <t>Lift off</t>
        </is>
      </c>
      <c r="C4219" s="522" t="inlineStr">
        <is>
          <t>កំពង់ផែស្វយ័តក្រុងព្រះសីហនុ</t>
        </is>
      </c>
      <c r="D4219" s="522" t="inlineStr">
        <is>
          <t>L001-100044638</t>
        </is>
      </c>
      <c r="E4219" s="521" t="inlineStr">
        <is>
          <t>213804</t>
        </is>
      </c>
      <c r="F4219" s="523" t="n">
        <v>44555</v>
      </c>
      <c r="G4219" s="556" t="n">
        <v>20772</v>
      </c>
      <c r="I4219" s="521">
        <f>G4219</f>
        <v/>
      </c>
      <c r="K4219" s="521">
        <f>I4219-G4219</f>
        <v/>
      </c>
      <c r="M4219" s="522" t="inlineStr">
        <is>
          <t>213804</t>
        </is>
      </c>
      <c r="N4219" s="522" t="inlineStr"/>
      <c r="O4219" s="521">
        <f>M4219=N4219</f>
        <v/>
      </c>
      <c r="P4219" s="521">
        <f>AND(MONTH(F4219)=MONTH(S4219), YEAR(F4219)=YEAR(S4219))</f>
        <v/>
      </c>
      <c r="Q4219" s="521">
        <f>U4219="L001-901905215"</f>
        <v/>
      </c>
      <c r="R4219" s="556">
        <f>G4219-W4219</f>
        <v/>
      </c>
      <c r="S4219" s="521" t="n"/>
      <c r="T4219" s="522" t="n"/>
      <c r="U4219" s="522" t="n"/>
      <c r="V4219" s="522" t="n"/>
      <c r="W4219" s="521" t="n"/>
    </row>
    <row r="4220">
      <c r="A4220" s="521" t="n">
        <v>4212</v>
      </c>
      <c r="B4220" s="522" t="inlineStr">
        <is>
          <t>Customs clearence and Trucking fee</t>
        </is>
      </c>
      <c r="C4220" s="522" t="inlineStr">
        <is>
          <t>56ប៊ី-លីង សឹបផ្លាយ ឆេន មេនេចម៉ិន ឯ.ក</t>
        </is>
      </c>
      <c r="D4220" s="522" t="inlineStr">
        <is>
          <t>K004-902004795</t>
        </is>
      </c>
      <c r="E4220" s="521" t="inlineStr">
        <is>
          <t>IN202112-0795</t>
        </is>
      </c>
      <c r="F4220" s="523" t="n">
        <v>44560</v>
      </c>
      <c r="G4220" s="556" t="n">
        <v>1752996</v>
      </c>
      <c r="I4220" s="521">
        <f>G4220</f>
        <v/>
      </c>
      <c r="K4220" s="521">
        <f>I4220-G4220</f>
        <v/>
      </c>
      <c r="M4220" s="522" t="inlineStr">
        <is>
          <t>IN2021120795</t>
        </is>
      </c>
      <c r="N4220" s="522" t="inlineStr">
        <is>
          <t>IN2021120795</t>
        </is>
      </c>
      <c r="O4220" s="521">
        <f>M4220=N4220</f>
        <v/>
      </c>
      <c r="P4220" s="521">
        <f>AND(MONTH(F4220)=MONTH(S4220), YEAR(F4220)=YEAR(S4220))</f>
        <v/>
      </c>
      <c r="Q4220" s="521">
        <f>U4220="L001-901905215"</f>
        <v/>
      </c>
      <c r="R4220" s="556">
        <f>G4220-W4220</f>
        <v/>
      </c>
      <c r="S4220" s="523" t="n">
        <v>44560</v>
      </c>
      <c r="T4220" s="522" t="inlineStr">
        <is>
          <t>IN202112-0795</t>
        </is>
      </c>
      <c r="U4220" s="522" t="inlineStr">
        <is>
          <t>L001-901905215</t>
        </is>
      </c>
      <c r="V4220" s="522" t="inlineStr">
        <is>
          <t>វីអ៊ីស៊ិន (ខេមបូឌា) អ៊ិនដាសស្ទ្រី ឯ.ក</t>
        </is>
      </c>
      <c r="W4220" s="556" t="n">
        <v>1752996</v>
      </c>
    </row>
    <row r="4221">
      <c r="A4221" s="521" t="n">
        <v>4213</v>
      </c>
      <c r="B4221" s="522" t="inlineStr">
        <is>
          <t>Lift off</t>
        </is>
      </c>
      <c r="C4221" s="522" t="inlineStr">
        <is>
          <t>កំពង់ផែស្វយ័តក្រុងព្រះសីហនុ</t>
        </is>
      </c>
      <c r="D4221" s="522" t="inlineStr">
        <is>
          <t>L001-100044638</t>
        </is>
      </c>
      <c r="E4221" s="521" t="inlineStr">
        <is>
          <t>213808</t>
        </is>
      </c>
      <c r="F4221" s="523" t="n">
        <v>44555</v>
      </c>
      <c r="G4221" s="556" t="n">
        <v>20772</v>
      </c>
      <c r="I4221" s="521">
        <f>G4221</f>
        <v/>
      </c>
      <c r="K4221" s="521">
        <f>I4221-G4221</f>
        <v/>
      </c>
      <c r="M4221" s="522" t="inlineStr">
        <is>
          <t>213808</t>
        </is>
      </c>
      <c r="N4221" s="522" t="inlineStr"/>
      <c r="O4221" s="521">
        <f>M4221=N4221</f>
        <v/>
      </c>
      <c r="P4221" s="521">
        <f>AND(MONTH(F4221)=MONTH(S4221), YEAR(F4221)=YEAR(S4221))</f>
        <v/>
      </c>
      <c r="Q4221" s="521">
        <f>U4221="L001-901905215"</f>
        <v/>
      </c>
      <c r="R4221" s="556">
        <f>G4221-W4221</f>
        <v/>
      </c>
      <c r="S4221" s="521" t="n"/>
      <c r="T4221" s="522" t="n"/>
      <c r="U4221" s="522" t="n"/>
      <c r="V4221" s="522" t="n"/>
      <c r="W4221" s="521" t="n"/>
    </row>
    <row r="4222">
      <c r="A4222" s="521" t="n">
        <v>4214</v>
      </c>
      <c r="B4222" s="522" t="inlineStr">
        <is>
          <t>Lift off</t>
        </is>
      </c>
      <c r="C4222" s="522" t="inlineStr">
        <is>
          <t>កំពង់ផែស្វយ័តក្រុងព្រះសីហនុ</t>
        </is>
      </c>
      <c r="D4222" s="522" t="inlineStr">
        <is>
          <t>L001-100044638</t>
        </is>
      </c>
      <c r="E4222" s="521" t="inlineStr">
        <is>
          <t>213811</t>
        </is>
      </c>
      <c r="F4222" s="523" t="n">
        <v>44555</v>
      </c>
      <c r="G4222" s="556" t="n">
        <v>15477</v>
      </c>
      <c r="I4222" s="521">
        <f>G4222</f>
        <v/>
      </c>
      <c r="K4222" s="521">
        <f>I4222-G4222</f>
        <v/>
      </c>
      <c r="M4222" s="522" t="inlineStr">
        <is>
          <t>213811</t>
        </is>
      </c>
      <c r="N4222" s="522" t="inlineStr"/>
      <c r="O4222" s="521">
        <f>M4222=N4222</f>
        <v/>
      </c>
      <c r="P4222" s="521">
        <f>AND(MONTH(F4222)=MONTH(S4222), YEAR(F4222)=YEAR(S4222))</f>
        <v/>
      </c>
      <c r="Q4222" s="521">
        <f>U4222="L001-901905215"</f>
        <v/>
      </c>
      <c r="R4222" s="556">
        <f>G4222-W4222</f>
        <v/>
      </c>
      <c r="S4222" s="521" t="n"/>
      <c r="T4222" s="522" t="n"/>
      <c r="U4222" s="522" t="n"/>
      <c r="V4222" s="522" t="n"/>
      <c r="W4222" s="521" t="n"/>
    </row>
    <row r="4223">
      <c r="A4223" s="521" t="n">
        <v>4215</v>
      </c>
      <c r="B4223" s="522" t="inlineStr">
        <is>
          <t>Lift off</t>
        </is>
      </c>
      <c r="C4223" s="522" t="inlineStr">
        <is>
          <t>កំពង់ផែស្វយ័តក្រុងព្រះសីហនុ</t>
        </is>
      </c>
      <c r="D4223" s="522" t="inlineStr">
        <is>
          <t>L001-100044638</t>
        </is>
      </c>
      <c r="E4223" s="521" t="inlineStr">
        <is>
          <t>213810</t>
        </is>
      </c>
      <c r="F4223" s="523" t="n">
        <v>44555</v>
      </c>
      <c r="G4223" s="556" t="n">
        <v>20772</v>
      </c>
      <c r="I4223" s="521">
        <f>G4223</f>
        <v/>
      </c>
      <c r="K4223" s="521">
        <f>I4223-G4223</f>
        <v/>
      </c>
      <c r="M4223" s="522" t="inlineStr">
        <is>
          <t>213810</t>
        </is>
      </c>
      <c r="N4223" s="522" t="inlineStr"/>
      <c r="O4223" s="521">
        <f>M4223=N4223</f>
        <v/>
      </c>
      <c r="P4223" s="521">
        <f>AND(MONTH(F4223)=MONTH(S4223), YEAR(F4223)=YEAR(S4223))</f>
        <v/>
      </c>
      <c r="Q4223" s="521">
        <f>U4223="L001-901905215"</f>
        <v/>
      </c>
      <c r="R4223" s="556">
        <f>G4223-W4223</f>
        <v/>
      </c>
      <c r="S4223" s="521" t="n"/>
      <c r="T4223" s="522" t="n"/>
      <c r="U4223" s="522" t="n"/>
      <c r="V4223" s="522" t="n"/>
      <c r="W4223" s="521" t="n"/>
    </row>
    <row r="4224">
      <c r="A4224" s="521" t="n">
        <v>4216</v>
      </c>
      <c r="B4224" s="522" t="inlineStr">
        <is>
          <t>Lift off</t>
        </is>
      </c>
      <c r="C4224" s="522" t="inlineStr">
        <is>
          <t>កំពង់ផែស្វយ័តក្រុងព្រះសីហនុ</t>
        </is>
      </c>
      <c r="D4224" s="522" t="inlineStr">
        <is>
          <t>L001-100044638</t>
        </is>
      </c>
      <c r="E4224" s="521" t="inlineStr">
        <is>
          <t>213809</t>
        </is>
      </c>
      <c r="F4224" s="523" t="n">
        <v>44555</v>
      </c>
      <c r="G4224" s="556" t="n">
        <v>20772</v>
      </c>
      <c r="I4224" s="521">
        <f>G4224</f>
        <v/>
      </c>
      <c r="K4224" s="521">
        <f>I4224-G4224</f>
        <v/>
      </c>
      <c r="M4224" s="522" t="inlineStr">
        <is>
          <t>213809</t>
        </is>
      </c>
      <c r="N4224" s="522" t="inlineStr"/>
      <c r="O4224" s="521">
        <f>M4224=N4224</f>
        <v/>
      </c>
      <c r="P4224" s="521">
        <f>AND(MONTH(F4224)=MONTH(S4224), YEAR(F4224)=YEAR(S4224))</f>
        <v/>
      </c>
      <c r="Q4224" s="521">
        <f>U4224="L001-901905215"</f>
        <v/>
      </c>
      <c r="R4224" s="556">
        <f>G4224-W4224</f>
        <v/>
      </c>
      <c r="S4224" s="521" t="n"/>
      <c r="T4224" s="522" t="n"/>
      <c r="U4224" s="522" t="n"/>
      <c r="V4224" s="522" t="n"/>
      <c r="W4224" s="521" t="n"/>
    </row>
    <row r="4225">
      <c r="A4225" s="521" t="n">
        <v>4217</v>
      </c>
      <c r="B4225" s="522" t="inlineStr">
        <is>
          <t>Lift off</t>
        </is>
      </c>
      <c r="C4225" s="522" t="inlineStr">
        <is>
          <t>កំពង់ផែស្វយ័តក្រុងព្រះសីហនុ</t>
        </is>
      </c>
      <c r="D4225" s="522" t="inlineStr">
        <is>
          <t>L001-100044638</t>
        </is>
      </c>
      <c r="E4225" s="521" t="inlineStr">
        <is>
          <t>213806</t>
        </is>
      </c>
      <c r="F4225" s="523" t="n">
        <v>44555</v>
      </c>
      <c r="G4225" s="556" t="n">
        <v>20772</v>
      </c>
      <c r="I4225" s="521">
        <f>G4225</f>
        <v/>
      </c>
      <c r="K4225" s="521">
        <f>I4225-G4225</f>
        <v/>
      </c>
      <c r="M4225" s="522" t="inlineStr">
        <is>
          <t>213806</t>
        </is>
      </c>
      <c r="N4225" s="522" t="inlineStr"/>
      <c r="O4225" s="521">
        <f>M4225=N4225</f>
        <v/>
      </c>
      <c r="P4225" s="521">
        <f>AND(MONTH(F4225)=MONTH(S4225), YEAR(F4225)=YEAR(S4225))</f>
        <v/>
      </c>
      <c r="Q4225" s="521">
        <f>U4225="L001-901905215"</f>
        <v/>
      </c>
      <c r="R4225" s="556">
        <f>G4225-W4225</f>
        <v/>
      </c>
      <c r="S4225" s="521" t="n"/>
      <c r="T4225" s="522" t="n"/>
      <c r="U4225" s="522" t="n"/>
      <c r="V4225" s="522" t="n"/>
      <c r="W4225" s="521" t="n"/>
    </row>
    <row r="4226">
      <c r="A4226" s="521" t="n">
        <v>4218</v>
      </c>
      <c r="B4226" s="522" t="inlineStr">
        <is>
          <t>Customs clearence and Trucking fee</t>
        </is>
      </c>
      <c r="C4226" s="522" t="inlineStr">
        <is>
          <t>56ប៊ី-លីង សឹបផ្លាយ ឆេន មេនេចម៉ិន ឯ.ក</t>
        </is>
      </c>
      <c r="D4226" s="522" t="inlineStr">
        <is>
          <t>K004-902004795</t>
        </is>
      </c>
      <c r="E4226" s="521" t="inlineStr">
        <is>
          <t>IN202112-0778</t>
        </is>
      </c>
      <c r="F4226" s="523" t="n">
        <v>44554</v>
      </c>
      <c r="G4226" s="556" t="n">
        <v>1264667</v>
      </c>
      <c r="I4226" s="521">
        <f>G4226</f>
        <v/>
      </c>
      <c r="K4226" s="521">
        <f>I4226-G4226</f>
        <v/>
      </c>
      <c r="M4226" s="522" t="inlineStr">
        <is>
          <t>IN2021120778</t>
        </is>
      </c>
      <c r="N4226" s="522" t="inlineStr">
        <is>
          <t>IN2021120778</t>
        </is>
      </c>
      <c r="O4226" s="521">
        <f>M4226=N4226</f>
        <v/>
      </c>
      <c r="P4226" s="521">
        <f>AND(MONTH(F4226)=MONTH(S4226), YEAR(F4226)=YEAR(S4226))</f>
        <v/>
      </c>
      <c r="Q4226" s="521">
        <f>U4226="L001-901905215"</f>
        <v/>
      </c>
      <c r="R4226" s="556">
        <f>G4226-W4226</f>
        <v/>
      </c>
      <c r="S4226" s="523" t="n">
        <v>44554</v>
      </c>
      <c r="T4226" s="522" t="inlineStr">
        <is>
          <t>IN202112-0778</t>
        </is>
      </c>
      <c r="U4226" s="522" t="inlineStr">
        <is>
          <t>L001-901905215</t>
        </is>
      </c>
      <c r="V4226" s="522" t="inlineStr">
        <is>
          <t>វីអ៊ីស៊ិន (ខេមបូឌា) អ៊ិនដាសស្ទ្រី ឯ.ក</t>
        </is>
      </c>
      <c r="W4226" s="556" t="n">
        <v>1264667</v>
      </c>
    </row>
    <row r="4227">
      <c r="A4227" s="521" t="n">
        <v>4219</v>
      </c>
      <c r="B4227" s="522" t="inlineStr">
        <is>
          <t>Lift off and Gate fee charge</t>
        </is>
      </c>
      <c r="C4227" s="522" t="inlineStr">
        <is>
          <t>កំពង់ផែស្វយ័តភ្នំពេញ "ក.ស.ភ"</t>
        </is>
      </c>
      <c r="D4227" s="522" t="inlineStr">
        <is>
          <t>L001-100044999</t>
        </is>
      </c>
      <c r="E4227" s="521" t="inlineStr">
        <is>
          <t>INV20211277598</t>
        </is>
      </c>
      <c r="F4227" s="523" t="n">
        <v>44555</v>
      </c>
      <c r="G4227" s="556" t="n">
        <v>205279</v>
      </c>
      <c r="I4227" s="521">
        <f>G4227</f>
        <v/>
      </c>
      <c r="K4227" s="521">
        <f>I4227-G4227</f>
        <v/>
      </c>
      <c r="M4227" s="522" t="inlineStr">
        <is>
          <t>INV20211277598</t>
        </is>
      </c>
      <c r="N4227" s="522" t="inlineStr"/>
      <c r="O4227" s="521">
        <f>M4227=N4227</f>
        <v/>
      </c>
      <c r="P4227" s="521">
        <f>AND(MONTH(F4227)=MONTH(S4227), YEAR(F4227)=YEAR(S4227))</f>
        <v/>
      </c>
      <c r="Q4227" s="521">
        <f>U4227="L001-901905215"</f>
        <v/>
      </c>
      <c r="R4227" s="556">
        <f>G4227-W4227</f>
        <v/>
      </c>
      <c r="S4227" s="521" t="n"/>
      <c r="T4227" s="522" t="n"/>
      <c r="U4227" s="522" t="n"/>
      <c r="V4227" s="522" t="n"/>
      <c r="W4227" s="521" t="n"/>
    </row>
    <row r="4228">
      <c r="A4228" s="521" t="n">
        <v>4220</v>
      </c>
      <c r="B4228" s="522" t="inlineStr">
        <is>
          <t>Customs clearence and Trucking fee</t>
        </is>
      </c>
      <c r="C4228" s="522" t="inlineStr">
        <is>
          <t>56ប៊ី-លីង សឹបផ្លាយ ឆេន មេនេចម៉ិន ឯ.ក</t>
        </is>
      </c>
      <c r="D4228" s="522" t="inlineStr">
        <is>
          <t>K004-902004795</t>
        </is>
      </c>
      <c r="E4228" s="521" t="inlineStr">
        <is>
          <t>IN20212-0777</t>
        </is>
      </c>
      <c r="F4228" s="523" t="n">
        <v>44554</v>
      </c>
      <c r="G4228" s="556" t="n">
        <v>1553850</v>
      </c>
      <c r="I4228" s="521">
        <f>G4228</f>
        <v/>
      </c>
      <c r="K4228" s="521">
        <f>I4228-G4228</f>
        <v/>
      </c>
      <c r="M4228" s="522" t="inlineStr">
        <is>
          <t>IN202120777</t>
        </is>
      </c>
      <c r="N4228" s="522" t="inlineStr"/>
      <c r="O4228" s="521">
        <f>M4228=N4228</f>
        <v/>
      </c>
      <c r="P4228" s="521">
        <f>AND(MONTH(F4228)=MONTH(S4228), YEAR(F4228)=YEAR(S4228))</f>
        <v/>
      </c>
      <c r="Q4228" s="521">
        <f>U4228="L001-901905215"</f>
        <v/>
      </c>
      <c r="R4228" s="556">
        <f>G4228-W4228</f>
        <v/>
      </c>
      <c r="S4228" s="521" t="n"/>
      <c r="T4228" s="522" t="n"/>
      <c r="U4228" s="522" t="n"/>
      <c r="V4228" s="522" t="n"/>
      <c r="W4228" s="521" t="n"/>
    </row>
    <row r="4229">
      <c r="A4229" s="521" t="n">
        <v>4221</v>
      </c>
      <c r="B4229" s="522" t="inlineStr">
        <is>
          <t>Lift off and Gate fee charge</t>
        </is>
      </c>
      <c r="C4229" s="522" t="inlineStr">
        <is>
          <t>កំពង់ផែស្វយ័តភ្នំពេញ "ក.ស.ភ"</t>
        </is>
      </c>
      <c r="D4229" s="522" t="inlineStr">
        <is>
          <t>L001-100044999</t>
        </is>
      </c>
      <c r="E4229" s="521" t="inlineStr">
        <is>
          <t>INV20211275475</t>
        </is>
      </c>
      <c r="F4229" s="523" t="n">
        <v>44547</v>
      </c>
      <c r="G4229" s="556" t="n">
        <v>29333</v>
      </c>
      <c r="I4229" s="521">
        <f>G4229</f>
        <v/>
      </c>
      <c r="K4229" s="521">
        <f>I4229-G4229</f>
        <v/>
      </c>
      <c r="M4229" s="522" t="inlineStr">
        <is>
          <t>INV20211275475</t>
        </is>
      </c>
      <c r="N4229" s="522" t="inlineStr"/>
      <c r="O4229" s="521">
        <f>M4229=N4229</f>
        <v/>
      </c>
      <c r="P4229" s="521">
        <f>AND(MONTH(F4229)=MONTH(S4229), YEAR(F4229)=YEAR(S4229))</f>
        <v/>
      </c>
      <c r="Q4229" s="521">
        <f>U4229="L001-901905215"</f>
        <v/>
      </c>
      <c r="R4229" s="556">
        <f>G4229-W4229</f>
        <v/>
      </c>
      <c r="S4229" s="521" t="n"/>
      <c r="T4229" s="522" t="n"/>
      <c r="U4229" s="522" t="n"/>
      <c r="V4229" s="522" t="n"/>
      <c r="W4229" s="521" t="n"/>
    </row>
    <row r="4230">
      <c r="A4230" s="521" t="n">
        <v>4222</v>
      </c>
      <c r="B4230" s="522" t="inlineStr">
        <is>
          <t>Customs clearence and Trucking fee</t>
        </is>
      </c>
      <c r="C4230" s="522" t="inlineStr">
        <is>
          <t>56ប៊ី-លីង សឹបផ្លាយ ឆេន មេនេចម៉ិន ឯ.ក</t>
        </is>
      </c>
      <c r="D4230" s="522" t="inlineStr">
        <is>
          <t>K004-902004795</t>
        </is>
      </c>
      <c r="E4230" s="521" t="inlineStr">
        <is>
          <t>IN202112-0775</t>
        </is>
      </c>
      <c r="F4230" s="523" t="n">
        <v>44554</v>
      </c>
      <c r="G4230" s="556" t="n">
        <v>270855</v>
      </c>
      <c r="I4230" s="521">
        <f>G4230</f>
        <v/>
      </c>
      <c r="K4230" s="521">
        <f>I4230-G4230</f>
        <v/>
      </c>
      <c r="M4230" s="522" t="inlineStr">
        <is>
          <t>IN2021120775</t>
        </is>
      </c>
      <c r="N4230" s="522" t="inlineStr">
        <is>
          <t>IN2021120775</t>
        </is>
      </c>
      <c r="O4230" s="521">
        <f>M4230=N4230</f>
        <v/>
      </c>
      <c r="P4230" s="521">
        <f>AND(MONTH(F4230)=MONTH(S4230), YEAR(F4230)=YEAR(S4230))</f>
        <v/>
      </c>
      <c r="Q4230" s="521">
        <f>U4230="L001-901905215"</f>
        <v/>
      </c>
      <c r="R4230" s="556">
        <f>G4230-W4230</f>
        <v/>
      </c>
      <c r="S4230" s="523" t="n">
        <v>44554</v>
      </c>
      <c r="T4230" s="522" t="inlineStr">
        <is>
          <t>IN202112-0775</t>
        </is>
      </c>
      <c r="U4230" s="522" t="inlineStr">
        <is>
          <t>L001-901905215</t>
        </is>
      </c>
      <c r="V4230" s="522" t="inlineStr">
        <is>
          <t>វីអ៊ីស៊ិន (ខេមបូឌា) អ៊ិនដាសស្ទ្រី ឯ.ក</t>
        </is>
      </c>
      <c r="W4230" s="556" t="n">
        <v>270855</v>
      </c>
    </row>
    <row r="4231">
      <c r="A4231" s="521" t="n">
        <v>4223</v>
      </c>
      <c r="B4231" s="522" t="inlineStr">
        <is>
          <t>Lift off and Gate fee charge</t>
        </is>
      </c>
      <c r="C4231" s="522" t="inlineStr">
        <is>
          <t>កំពង់ផែស្វយ័តភ្នំពេញ "ក.ស.ភ"</t>
        </is>
      </c>
      <c r="D4231" s="522" t="inlineStr">
        <is>
          <t>L001-100044999</t>
        </is>
      </c>
      <c r="E4231" s="521" t="inlineStr">
        <is>
          <t>INV20211275476</t>
        </is>
      </c>
      <c r="F4231" s="523" t="n">
        <v>44547</v>
      </c>
      <c r="G4231" s="556" t="n">
        <v>19555</v>
      </c>
      <c r="I4231" s="521">
        <f>G4231</f>
        <v/>
      </c>
      <c r="K4231" s="521">
        <f>I4231-G4231</f>
        <v/>
      </c>
      <c r="M4231" s="522" t="inlineStr">
        <is>
          <t>INV20211275476</t>
        </is>
      </c>
      <c r="N4231" s="522" t="inlineStr"/>
      <c r="O4231" s="521">
        <f>M4231=N4231</f>
        <v/>
      </c>
      <c r="P4231" s="521">
        <f>AND(MONTH(F4231)=MONTH(S4231), YEAR(F4231)=YEAR(S4231))</f>
        <v/>
      </c>
      <c r="Q4231" s="521">
        <f>U4231="L001-901905215"</f>
        <v/>
      </c>
      <c r="R4231" s="556">
        <f>G4231-W4231</f>
        <v/>
      </c>
      <c r="S4231" s="521" t="n"/>
      <c r="T4231" s="522" t="n"/>
      <c r="U4231" s="522" t="n"/>
      <c r="V4231" s="522" t="n"/>
      <c r="W4231" s="521" t="n"/>
    </row>
    <row r="4232">
      <c r="A4232" s="521" t="n">
        <v>4224</v>
      </c>
      <c r="B4232" s="522" t="inlineStr">
        <is>
          <t>Customs clearence and Trucking fee</t>
        </is>
      </c>
      <c r="C4232" s="522" t="inlineStr">
        <is>
          <t>56ប៊ី-លីង សឹបផ្លាយ ឆេន មេនេចម៉ិន ឯ.ក</t>
        </is>
      </c>
      <c r="D4232" s="522" t="inlineStr">
        <is>
          <t>K004-902004795</t>
        </is>
      </c>
      <c r="E4232" s="521" t="inlineStr">
        <is>
          <t>IN202112-0774</t>
        </is>
      </c>
      <c r="F4232" s="523" t="n">
        <v>44554</v>
      </c>
      <c r="G4232" s="556" t="n">
        <v>258636</v>
      </c>
      <c r="I4232" s="521">
        <f>G4232</f>
        <v/>
      </c>
      <c r="K4232" s="521">
        <f>I4232-G4232</f>
        <v/>
      </c>
      <c r="M4232" s="522" t="inlineStr">
        <is>
          <t>IN2021120774</t>
        </is>
      </c>
      <c r="N4232" s="522" t="inlineStr">
        <is>
          <t>IN2021120774</t>
        </is>
      </c>
      <c r="O4232" s="521">
        <f>M4232=N4232</f>
        <v/>
      </c>
      <c r="P4232" s="521">
        <f>AND(MONTH(F4232)=MONTH(S4232), YEAR(F4232)=YEAR(S4232))</f>
        <v/>
      </c>
      <c r="Q4232" s="521">
        <f>U4232="L001-901905215"</f>
        <v/>
      </c>
      <c r="R4232" s="556">
        <f>G4232-W4232</f>
        <v/>
      </c>
      <c r="S4232" s="523" t="n">
        <v>44554</v>
      </c>
      <c r="T4232" s="522" t="inlineStr">
        <is>
          <t>IN202112-0774</t>
        </is>
      </c>
      <c r="U4232" s="522" t="inlineStr">
        <is>
          <t>L001-901905215</t>
        </is>
      </c>
      <c r="V4232" s="522" t="inlineStr">
        <is>
          <t>វីអ៊ីស៊ិន (ខេមបូឌា) អ៊ិនដាសស្ទ្រី ឯ.ក</t>
        </is>
      </c>
      <c r="W4232" s="556" t="n">
        <v>258636</v>
      </c>
    </row>
    <row r="4233">
      <c r="A4233" s="521" t="n">
        <v>4225</v>
      </c>
      <c r="B4233" s="522" t="inlineStr">
        <is>
          <t>Lift off and Gate fee charge</t>
        </is>
      </c>
      <c r="C4233" s="522" t="inlineStr">
        <is>
          <t>កំពង់ផែស្វយ័តភ្នំពេញ "ក.ស.ភ"</t>
        </is>
      </c>
      <c r="D4233" s="522" t="inlineStr">
        <is>
          <t>L001-100044999</t>
        </is>
      </c>
      <c r="E4233" s="521" t="inlineStr">
        <is>
          <t>INV20211273739</t>
        </is>
      </c>
      <c r="F4233" s="523" t="n">
        <v>44540</v>
      </c>
      <c r="G4233" s="556" t="n">
        <v>117274</v>
      </c>
      <c r="I4233" s="521">
        <f>G4233</f>
        <v/>
      </c>
      <c r="K4233" s="521">
        <f>I4233-G4233</f>
        <v/>
      </c>
      <c r="M4233" s="522" t="inlineStr">
        <is>
          <t>INV20211273739</t>
        </is>
      </c>
      <c r="N4233" s="522" t="inlineStr"/>
      <c r="O4233" s="521">
        <f>M4233=N4233</f>
        <v/>
      </c>
      <c r="P4233" s="521">
        <f>AND(MONTH(F4233)=MONTH(S4233), YEAR(F4233)=YEAR(S4233))</f>
        <v/>
      </c>
      <c r="Q4233" s="521">
        <f>U4233="L001-901905215"</f>
        <v/>
      </c>
      <c r="R4233" s="556">
        <f>G4233-W4233</f>
        <v/>
      </c>
      <c r="S4233" s="521" t="n"/>
      <c r="T4233" s="522" t="n"/>
      <c r="U4233" s="522" t="n"/>
      <c r="V4233" s="522" t="n"/>
      <c r="W4233" s="521" t="n"/>
    </row>
    <row r="4234">
      <c r="A4234" s="521" t="n">
        <v>4226</v>
      </c>
      <c r="B4234" s="522" t="inlineStr">
        <is>
          <t>Customs clearence and Trucking fee</t>
        </is>
      </c>
      <c r="C4234" s="522" t="inlineStr">
        <is>
          <t>56ប៊ី-លីង សឹបផ្លាយ ឆេន មេនេចម៉ិន ឯ.ក</t>
        </is>
      </c>
      <c r="D4234" s="522" t="inlineStr">
        <is>
          <t>K004-902004795</t>
        </is>
      </c>
      <c r="E4234" s="521" t="inlineStr">
        <is>
          <t>IN202112-0773</t>
        </is>
      </c>
      <c r="F4234" s="523" t="n">
        <v>44554</v>
      </c>
      <c r="G4234" s="556" t="n">
        <v>912352</v>
      </c>
      <c r="I4234" s="521">
        <f>G4234</f>
        <v/>
      </c>
      <c r="K4234" s="521">
        <f>I4234-G4234</f>
        <v/>
      </c>
      <c r="M4234" s="522" t="inlineStr">
        <is>
          <t>IN2021120773</t>
        </is>
      </c>
      <c r="N4234" s="522" t="inlineStr">
        <is>
          <t>IN2021120773</t>
        </is>
      </c>
      <c r="O4234" s="521">
        <f>M4234=N4234</f>
        <v/>
      </c>
      <c r="P4234" s="521">
        <f>AND(MONTH(F4234)=MONTH(S4234), YEAR(F4234)=YEAR(S4234))</f>
        <v/>
      </c>
      <c r="Q4234" s="521">
        <f>U4234="L001-901905215"</f>
        <v/>
      </c>
      <c r="R4234" s="556">
        <f>G4234-W4234</f>
        <v/>
      </c>
      <c r="S4234" s="523" t="n">
        <v>44554</v>
      </c>
      <c r="T4234" s="522" t="inlineStr">
        <is>
          <t>IN202112-0773</t>
        </is>
      </c>
      <c r="U4234" s="522" t="inlineStr">
        <is>
          <t>L001-901905215</t>
        </is>
      </c>
      <c r="V4234" s="522" t="inlineStr">
        <is>
          <t>វីអ៊ីស៊ិន (ខេមបូឌា) អ៊ិនដាសស្ទ្រី ឯ.ក</t>
        </is>
      </c>
      <c r="W4234" s="556" t="n">
        <v>912352</v>
      </c>
    </row>
    <row r="4235">
      <c r="A4235" s="521" t="n">
        <v>4227</v>
      </c>
      <c r="B4235" s="522" t="inlineStr">
        <is>
          <t>Lift off and Gate fee charge</t>
        </is>
      </c>
      <c r="C4235" s="522" t="inlineStr">
        <is>
          <t>កំពង់ផែស្វយ័តភ្នំពេញ "ក.ស.ភ"</t>
        </is>
      </c>
      <c r="D4235" s="522" t="inlineStr">
        <is>
          <t>L001-100044999</t>
        </is>
      </c>
      <c r="E4235" s="521" t="inlineStr">
        <is>
          <t>INV20211274020</t>
        </is>
      </c>
      <c r="F4235" s="523" t="n">
        <v>44541</v>
      </c>
      <c r="G4235" s="556" t="n">
        <v>136819</v>
      </c>
      <c r="I4235" s="521">
        <f>G4235</f>
        <v/>
      </c>
      <c r="K4235" s="521">
        <f>I4235-G4235</f>
        <v/>
      </c>
      <c r="M4235" s="522" t="inlineStr">
        <is>
          <t>INV20211274020</t>
        </is>
      </c>
      <c r="N4235" s="522" t="inlineStr"/>
      <c r="O4235" s="521">
        <f>M4235=N4235</f>
        <v/>
      </c>
      <c r="P4235" s="521">
        <f>AND(MONTH(F4235)=MONTH(S4235), YEAR(F4235)=YEAR(S4235))</f>
        <v/>
      </c>
      <c r="Q4235" s="521">
        <f>U4235="L001-901905215"</f>
        <v/>
      </c>
      <c r="R4235" s="556">
        <f>G4235-W4235</f>
        <v/>
      </c>
      <c r="S4235" s="521" t="n"/>
      <c r="T4235" s="522" t="n"/>
      <c r="U4235" s="522" t="n"/>
      <c r="V4235" s="522" t="n"/>
      <c r="W4235" s="521" t="n"/>
    </row>
    <row r="4236">
      <c r="A4236" s="521" t="n">
        <v>4228</v>
      </c>
      <c r="B4236" s="522" t="inlineStr">
        <is>
          <t>Customs clearence and Trucking fee</t>
        </is>
      </c>
      <c r="C4236" s="522" t="inlineStr">
        <is>
          <t>56ប៊ី-លីង សឹបផ្លាយ ឆេន មេនេចម៉ិន ឯ.ក</t>
        </is>
      </c>
      <c r="D4236" s="522" t="inlineStr">
        <is>
          <t>K004-902004795</t>
        </is>
      </c>
      <c r="E4236" s="521" t="inlineStr">
        <is>
          <t>IN202112-0755</t>
        </is>
      </c>
      <c r="F4236" s="523" t="n">
        <v>44547</v>
      </c>
      <c r="G4236" s="556" t="n">
        <v>1291458</v>
      </c>
      <c r="I4236" s="521">
        <f>G4236</f>
        <v/>
      </c>
      <c r="K4236" s="521">
        <f>I4236-G4236</f>
        <v/>
      </c>
      <c r="M4236" s="522" t="inlineStr">
        <is>
          <t>IN2021120755</t>
        </is>
      </c>
      <c r="N4236" s="522" t="inlineStr">
        <is>
          <t>IN2021120755</t>
        </is>
      </c>
      <c r="O4236" s="521">
        <f>M4236=N4236</f>
        <v/>
      </c>
      <c r="P4236" s="521">
        <f>AND(MONTH(F4236)=MONTH(S4236), YEAR(F4236)=YEAR(S4236))</f>
        <v/>
      </c>
      <c r="Q4236" s="521">
        <f>U4236="L001-901905215"</f>
        <v/>
      </c>
      <c r="R4236" s="556">
        <f>G4236-W4236</f>
        <v/>
      </c>
      <c r="S4236" s="523" t="n">
        <v>44547</v>
      </c>
      <c r="T4236" s="522" t="inlineStr">
        <is>
          <t>IN202112-0755</t>
        </is>
      </c>
      <c r="U4236" s="522" t="inlineStr">
        <is>
          <t>L001-901905215</t>
        </is>
      </c>
      <c r="V4236" s="522" t="inlineStr">
        <is>
          <t>វីអ៊ីស៊ិន (ខេមបូឌា) អ៊ិនដាសស្ទ្រី ឯ.ក</t>
        </is>
      </c>
      <c r="W4236" s="556" t="n">
        <v>1291458</v>
      </c>
    </row>
    <row r="4237">
      <c r="A4237" s="521" t="n">
        <v>4229</v>
      </c>
      <c r="B4237" s="522" t="inlineStr">
        <is>
          <t>Lift off and Gate fee charge</t>
        </is>
      </c>
      <c r="C4237" s="522" t="inlineStr">
        <is>
          <t>កំពង់ផែស្វយ័តភ្នំពេញ "ក.ស.ភ"</t>
        </is>
      </c>
      <c r="D4237" s="522" t="inlineStr">
        <is>
          <t>L001-100044999</t>
        </is>
      </c>
      <c r="E4237" s="521" t="inlineStr">
        <is>
          <t>INV20211274019</t>
        </is>
      </c>
      <c r="F4237" s="523" t="n">
        <v>44541</v>
      </c>
      <c r="G4237" s="556" t="n">
        <v>58637</v>
      </c>
      <c r="I4237" s="521">
        <f>G4237</f>
        <v/>
      </c>
      <c r="K4237" s="521">
        <f>I4237-G4237</f>
        <v/>
      </c>
      <c r="M4237" s="522" t="inlineStr">
        <is>
          <t>INV20211274019</t>
        </is>
      </c>
      <c r="N4237" s="522" t="inlineStr"/>
      <c r="O4237" s="521">
        <f>M4237=N4237</f>
        <v/>
      </c>
      <c r="P4237" s="521">
        <f>AND(MONTH(F4237)=MONTH(S4237), YEAR(F4237)=YEAR(S4237))</f>
        <v/>
      </c>
      <c r="Q4237" s="521">
        <f>U4237="L001-901905215"</f>
        <v/>
      </c>
      <c r="R4237" s="556">
        <f>G4237-W4237</f>
        <v/>
      </c>
      <c r="S4237" s="521" t="n"/>
      <c r="T4237" s="522" t="n"/>
      <c r="U4237" s="522" t="n"/>
      <c r="V4237" s="522" t="n"/>
      <c r="W4237" s="521" t="n"/>
    </row>
    <row r="4238">
      <c r="A4238" s="521" t="n">
        <v>4230</v>
      </c>
      <c r="B4238" s="522" t="inlineStr">
        <is>
          <t>Customs clearence and Trucking fee</t>
        </is>
      </c>
      <c r="C4238" s="522" t="inlineStr">
        <is>
          <t>56ប៊ី-លីង សឹបផ្លាយ ឆេន មេនេចម៉ិន ឯ.ក</t>
        </is>
      </c>
      <c r="D4238" s="522" t="inlineStr">
        <is>
          <t>K004-902004795</t>
        </is>
      </c>
      <c r="E4238" s="521" t="inlineStr">
        <is>
          <t>IN202112-0754</t>
        </is>
      </c>
      <c r="F4238" s="523" t="n">
        <v>44547</v>
      </c>
      <c r="G4238" s="556" t="n">
        <v>484806</v>
      </c>
      <c r="I4238" s="521">
        <f>G4238</f>
        <v/>
      </c>
      <c r="K4238" s="521">
        <f>I4238-G4238</f>
        <v/>
      </c>
      <c r="M4238" s="522" t="inlineStr">
        <is>
          <t>IN2021120754</t>
        </is>
      </c>
      <c r="N4238" s="522" t="inlineStr">
        <is>
          <t>IN2021120754</t>
        </is>
      </c>
      <c r="O4238" s="521">
        <f>M4238=N4238</f>
        <v/>
      </c>
      <c r="P4238" s="521">
        <f>AND(MONTH(F4238)=MONTH(S4238), YEAR(F4238)=YEAR(S4238))</f>
        <v/>
      </c>
      <c r="Q4238" s="521">
        <f>U4238="L001-901905215"</f>
        <v/>
      </c>
      <c r="R4238" s="556">
        <f>G4238-W4238</f>
        <v/>
      </c>
      <c r="S4238" s="523" t="n">
        <v>44547</v>
      </c>
      <c r="T4238" s="522" t="inlineStr">
        <is>
          <t>IN202112-0754</t>
        </is>
      </c>
      <c r="U4238" s="522" t="inlineStr">
        <is>
          <t>L001-901905215</t>
        </is>
      </c>
      <c r="V4238" s="522" t="inlineStr">
        <is>
          <t>វីអ៊ីស៊ិន (ខេមបូឌា) អ៊ិនដាសស្ទ្រី ឯ.ក</t>
        </is>
      </c>
      <c r="W4238" s="556" t="n">
        <v>484806</v>
      </c>
    </row>
    <row r="4239">
      <c r="A4239" s="521" t="n">
        <v>4231</v>
      </c>
      <c r="B4239" s="522" t="inlineStr">
        <is>
          <t>Lift off and Gate fee charge</t>
        </is>
      </c>
      <c r="C4239" s="522" t="inlineStr">
        <is>
          <t>កំពង់ផែស្វយ័តភ្នំពេញ "ក.ស.ភ"</t>
        </is>
      </c>
      <c r="D4239" s="522" t="inlineStr">
        <is>
          <t>L001-100044999</t>
        </is>
      </c>
      <c r="E4239" s="521" t="inlineStr">
        <is>
          <t>INV20211274013</t>
        </is>
      </c>
      <c r="F4239" s="523" t="n">
        <v>44541</v>
      </c>
      <c r="G4239" s="556" t="n">
        <v>48864</v>
      </c>
      <c r="I4239" s="521">
        <f>G4239</f>
        <v/>
      </c>
      <c r="K4239" s="521">
        <f>I4239-G4239</f>
        <v/>
      </c>
      <c r="M4239" s="522" t="inlineStr">
        <is>
          <t>INV20211274013</t>
        </is>
      </c>
      <c r="N4239" s="522" t="inlineStr"/>
      <c r="O4239" s="521">
        <f>M4239=N4239</f>
        <v/>
      </c>
      <c r="P4239" s="521">
        <f>AND(MONTH(F4239)=MONTH(S4239), YEAR(F4239)=YEAR(S4239))</f>
        <v/>
      </c>
      <c r="Q4239" s="521">
        <f>U4239="L001-901905215"</f>
        <v/>
      </c>
      <c r="R4239" s="556">
        <f>G4239-W4239</f>
        <v/>
      </c>
      <c r="S4239" s="521" t="n"/>
      <c r="T4239" s="522" t="n"/>
      <c r="U4239" s="522" t="n"/>
      <c r="V4239" s="522" t="n"/>
      <c r="W4239" s="521" t="n"/>
    </row>
    <row r="4240">
      <c r="A4240" s="521" t="n">
        <v>4232</v>
      </c>
      <c r="B4240" s="522" t="inlineStr">
        <is>
          <t>Customs clearence and Trucking fee</t>
        </is>
      </c>
      <c r="C4240" s="522" t="inlineStr">
        <is>
          <t>56ប៊ី-លីង សឹបផ្លាយ ឆេន មេនេចម៉ិន ឯ.ក</t>
        </is>
      </c>
      <c r="D4240" s="522" t="inlineStr">
        <is>
          <t>K004-902004795</t>
        </is>
      </c>
      <c r="E4240" s="521" t="inlineStr">
        <is>
          <t>IN202112-0753</t>
        </is>
      </c>
      <c r="F4240" s="523" t="n">
        <v>44547</v>
      </c>
      <c r="G4240" s="556" t="n">
        <v>472584</v>
      </c>
      <c r="I4240" s="521">
        <f>G4240</f>
        <v/>
      </c>
      <c r="K4240" s="521">
        <f>I4240-G4240</f>
        <v/>
      </c>
      <c r="M4240" s="522" t="inlineStr">
        <is>
          <t>IN2021120753</t>
        </is>
      </c>
      <c r="N4240" s="522" t="inlineStr">
        <is>
          <t>IN2021120753</t>
        </is>
      </c>
      <c r="O4240" s="521">
        <f>M4240=N4240</f>
        <v/>
      </c>
      <c r="P4240" s="521">
        <f>AND(MONTH(F4240)=MONTH(S4240), YEAR(F4240)=YEAR(S4240))</f>
        <v/>
      </c>
      <c r="Q4240" s="521">
        <f>U4240="L001-901905215"</f>
        <v/>
      </c>
      <c r="R4240" s="556">
        <f>G4240-W4240</f>
        <v/>
      </c>
      <c r="S4240" s="523" t="n">
        <v>44547</v>
      </c>
      <c r="T4240" s="522" t="inlineStr">
        <is>
          <t>IN202112-0753</t>
        </is>
      </c>
      <c r="U4240" s="522" t="inlineStr">
        <is>
          <t>L001-901905215</t>
        </is>
      </c>
      <c r="V4240" s="522" t="inlineStr">
        <is>
          <t>វីអ៊ីស៊ិន (ខេមបូឌា) អ៊ិនដាសស្ទ្រី ឯ.ក</t>
        </is>
      </c>
      <c r="W4240" s="556" t="n">
        <v>472584</v>
      </c>
    </row>
    <row r="4241">
      <c r="A4241" s="521" t="n">
        <v>4233</v>
      </c>
      <c r="B4241" s="522" t="inlineStr">
        <is>
          <t>Lift off and Gate fee charge</t>
        </is>
      </c>
      <c r="C4241" s="522" t="inlineStr">
        <is>
          <t>កំពង់ផែស្វយ័តភ្នំពេញ "ក.ស.ភ"</t>
        </is>
      </c>
      <c r="D4241" s="522" t="inlineStr">
        <is>
          <t>L001-100044999</t>
        </is>
      </c>
      <c r="E4241" s="521" t="inlineStr">
        <is>
          <t>INV20211273740</t>
        </is>
      </c>
      <c r="F4241" s="523" t="n">
        <v>44540</v>
      </c>
      <c r="G4241" s="556" t="n">
        <v>117274</v>
      </c>
      <c r="I4241" s="521">
        <f>G4241</f>
        <v/>
      </c>
      <c r="K4241" s="521">
        <f>I4241-G4241</f>
        <v/>
      </c>
      <c r="M4241" s="522" t="inlineStr">
        <is>
          <t>INV20211273740</t>
        </is>
      </c>
      <c r="N4241" s="522" t="inlineStr"/>
      <c r="O4241" s="521">
        <f>M4241=N4241</f>
        <v/>
      </c>
      <c r="P4241" s="521">
        <f>AND(MONTH(F4241)=MONTH(S4241), YEAR(F4241)=YEAR(S4241))</f>
        <v/>
      </c>
      <c r="Q4241" s="521">
        <f>U4241="L001-901905215"</f>
        <v/>
      </c>
      <c r="R4241" s="556">
        <f>G4241-W4241</f>
        <v/>
      </c>
      <c r="S4241" s="521" t="n"/>
      <c r="T4241" s="522" t="n"/>
      <c r="U4241" s="522" t="n"/>
      <c r="V4241" s="522" t="n"/>
      <c r="W4241" s="521" t="n"/>
    </row>
    <row r="4242">
      <c r="A4242" s="521" t="n">
        <v>4234</v>
      </c>
      <c r="B4242" s="522" t="inlineStr">
        <is>
          <t>Customs clearence and Trucking fee</t>
        </is>
      </c>
      <c r="C4242" s="522" t="inlineStr">
        <is>
          <t>56ប៊ី-លីង សឹបផ្លាយ ឆេន មេនេចម៉ិន ឯ.ក</t>
        </is>
      </c>
      <c r="D4242" s="522" t="inlineStr">
        <is>
          <t>K004-902004795</t>
        </is>
      </c>
      <c r="E4242" s="521" t="inlineStr">
        <is>
          <t>IN202112-0752</t>
        </is>
      </c>
      <c r="F4242" s="523" t="n">
        <v>44547</v>
      </c>
      <c r="G4242" s="556" t="n">
        <v>912576</v>
      </c>
      <c r="I4242" s="521">
        <f>G4242</f>
        <v/>
      </c>
      <c r="K4242" s="521">
        <f>I4242-G4242</f>
        <v/>
      </c>
      <c r="M4242" s="522" t="inlineStr">
        <is>
          <t>IN2021120752</t>
        </is>
      </c>
      <c r="N4242" s="522" t="inlineStr">
        <is>
          <t>IN2021120752</t>
        </is>
      </c>
      <c r="O4242" s="521">
        <f>M4242=N4242</f>
        <v/>
      </c>
      <c r="P4242" s="521">
        <f>AND(MONTH(F4242)=MONTH(S4242), YEAR(F4242)=YEAR(S4242))</f>
        <v/>
      </c>
      <c r="Q4242" s="521">
        <f>U4242="L001-901905215"</f>
        <v/>
      </c>
      <c r="R4242" s="556">
        <f>G4242-W4242</f>
        <v/>
      </c>
      <c r="S4242" s="523" t="n">
        <v>44547</v>
      </c>
      <c r="T4242" s="522" t="inlineStr">
        <is>
          <t>IN202112-0752</t>
        </is>
      </c>
      <c r="U4242" s="522" t="inlineStr">
        <is>
          <t>L001-901905215</t>
        </is>
      </c>
      <c r="V4242" s="522" t="inlineStr">
        <is>
          <t>វីអ៊ីស៊ិន (ខេមបូឌា) អ៊ិនដាសស្ទ្រី ឯ.ក</t>
        </is>
      </c>
      <c r="W4242" s="556" t="n">
        <v>912576</v>
      </c>
    </row>
    <row r="4243">
      <c r="A4243" s="521" t="n">
        <v>4235</v>
      </c>
      <c r="B4243" s="522" t="inlineStr">
        <is>
          <t>Lift off and Gate fee charge</t>
        </is>
      </c>
      <c r="C4243" s="522" t="inlineStr">
        <is>
          <t>កំពង់ផែស្វយ័តភ្នំពេញ "ក.ស.ភ"</t>
        </is>
      </c>
      <c r="D4243" s="522" t="inlineStr">
        <is>
          <t>L001-100044999</t>
        </is>
      </c>
      <c r="E4243" s="521" t="inlineStr">
        <is>
          <t>INV20211273738</t>
        </is>
      </c>
      <c r="F4243" s="523" t="n">
        <v>44540</v>
      </c>
      <c r="G4243" s="556" t="n">
        <v>87955</v>
      </c>
      <c r="I4243" s="521">
        <f>G4243</f>
        <v/>
      </c>
      <c r="K4243" s="521">
        <f>I4243-G4243</f>
        <v/>
      </c>
      <c r="M4243" s="522" t="inlineStr">
        <is>
          <t>INV20211273738</t>
        </is>
      </c>
      <c r="N4243" s="522" t="inlineStr"/>
      <c r="O4243" s="521">
        <f>M4243=N4243</f>
        <v/>
      </c>
      <c r="P4243" s="521">
        <f>AND(MONTH(F4243)=MONTH(S4243), YEAR(F4243)=YEAR(S4243))</f>
        <v/>
      </c>
      <c r="Q4243" s="521">
        <f>U4243="L001-901905215"</f>
        <v/>
      </c>
      <c r="R4243" s="556">
        <f>G4243-W4243</f>
        <v/>
      </c>
      <c r="S4243" s="521" t="n"/>
      <c r="T4243" s="522" t="n"/>
      <c r="U4243" s="522" t="n"/>
      <c r="V4243" s="522" t="n"/>
      <c r="W4243" s="521" t="n"/>
    </row>
    <row r="4244">
      <c r="A4244" s="521" t="n">
        <v>4236</v>
      </c>
      <c r="B4244" s="522" t="inlineStr">
        <is>
          <t>Customs clearence and Trucking fee</t>
        </is>
      </c>
      <c r="C4244" s="522" t="inlineStr">
        <is>
          <t>56ប៊ី-លីង សឹបផ្លាយ ឆេន មេនេចម៉ិន ឯ.ក</t>
        </is>
      </c>
      <c r="D4244" s="522" t="inlineStr">
        <is>
          <t>K004-902004795</t>
        </is>
      </c>
      <c r="E4244" s="521" t="inlineStr">
        <is>
          <t>IN202112-0751</t>
        </is>
      </c>
      <c r="F4244" s="523" t="n">
        <v>44547</v>
      </c>
      <c r="G4244" s="556" t="n">
        <v>698691</v>
      </c>
      <c r="I4244" s="521">
        <f>G4244</f>
        <v/>
      </c>
      <c r="K4244" s="521">
        <f>I4244-G4244</f>
        <v/>
      </c>
      <c r="M4244" s="522" t="inlineStr">
        <is>
          <t>IN2021120751</t>
        </is>
      </c>
      <c r="N4244" s="522" t="inlineStr">
        <is>
          <t>IN2021120751</t>
        </is>
      </c>
      <c r="O4244" s="521">
        <f>M4244=N4244</f>
        <v/>
      </c>
      <c r="P4244" s="521">
        <f>AND(MONTH(F4244)=MONTH(S4244), YEAR(F4244)=YEAR(S4244))</f>
        <v/>
      </c>
      <c r="Q4244" s="521">
        <f>U4244="L001-901905215"</f>
        <v/>
      </c>
      <c r="R4244" s="556">
        <f>G4244-W4244</f>
        <v/>
      </c>
      <c r="S4244" s="523" t="n">
        <v>44547</v>
      </c>
      <c r="T4244" s="522" t="inlineStr">
        <is>
          <t>IN202112-0751</t>
        </is>
      </c>
      <c r="U4244" s="522" t="inlineStr">
        <is>
          <t>L001-901905215</t>
        </is>
      </c>
      <c r="V4244" s="522" t="inlineStr">
        <is>
          <t>វីអ៊ីស៊ិន (ខេមបូឌា) អ៊ិនដាសស្ទ្រី ឯ.ក</t>
        </is>
      </c>
      <c r="W4244" s="556" t="n">
        <v>698691</v>
      </c>
    </row>
    <row r="4245">
      <c r="A4245" s="521" t="n">
        <v>4237</v>
      </c>
      <c r="B4245" s="522" t="inlineStr">
        <is>
          <t>Lift off and Gate fee charge</t>
        </is>
      </c>
      <c r="C4245" s="522" t="inlineStr">
        <is>
          <t>កំពង់ផែស្វយ័តភ្នំពេញ "ក.ស.ភ"</t>
        </is>
      </c>
      <c r="D4245" s="522" t="inlineStr">
        <is>
          <t>L001-100044999</t>
        </is>
      </c>
      <c r="E4245" s="521" t="inlineStr">
        <is>
          <t>INV20211274016</t>
        </is>
      </c>
      <c r="F4245" s="523" t="n">
        <v>44541</v>
      </c>
      <c r="G4245" s="556" t="n">
        <v>48864</v>
      </c>
      <c r="I4245" s="521">
        <f>G4245</f>
        <v/>
      </c>
      <c r="K4245" s="521">
        <f>I4245-G4245</f>
        <v/>
      </c>
      <c r="M4245" s="522" t="inlineStr">
        <is>
          <t>INV20211274016</t>
        </is>
      </c>
      <c r="N4245" s="522" t="inlineStr"/>
      <c r="O4245" s="521">
        <f>M4245=N4245</f>
        <v/>
      </c>
      <c r="P4245" s="521">
        <f>AND(MONTH(F4245)=MONTH(S4245), YEAR(F4245)=YEAR(S4245))</f>
        <v/>
      </c>
      <c r="Q4245" s="521">
        <f>U4245="L001-901905215"</f>
        <v/>
      </c>
      <c r="R4245" s="556">
        <f>G4245-W4245</f>
        <v/>
      </c>
      <c r="S4245" s="521" t="n"/>
      <c r="T4245" s="522" t="n"/>
      <c r="U4245" s="522" t="n"/>
      <c r="V4245" s="522" t="n"/>
      <c r="W4245" s="521" t="n"/>
    </row>
    <row r="4246">
      <c r="A4246" s="521" t="n">
        <v>4238</v>
      </c>
      <c r="B4246" s="522" t="inlineStr">
        <is>
          <t>Customs clearence and Trucking fee</t>
        </is>
      </c>
      <c r="C4246" s="522" t="inlineStr">
        <is>
          <t>56ប៊ី-លីង សឹបផ្លាយ ឆេន មេនេចម៉ិន ឯ.ក</t>
        </is>
      </c>
      <c r="D4246" s="522" t="inlineStr">
        <is>
          <t>K004-902004795</t>
        </is>
      </c>
      <c r="E4246" s="521" t="inlineStr">
        <is>
          <t>IN202112-0750</t>
        </is>
      </c>
      <c r="F4246" s="523" t="n">
        <v>44547</v>
      </c>
      <c r="G4246" s="556" t="n">
        <v>472584</v>
      </c>
      <c r="I4246" s="521">
        <f>G4246</f>
        <v/>
      </c>
      <c r="K4246" s="521">
        <f>I4246-G4246</f>
        <v/>
      </c>
      <c r="M4246" s="522" t="inlineStr">
        <is>
          <t>IN2021120750</t>
        </is>
      </c>
      <c r="N4246" s="522" t="inlineStr">
        <is>
          <t>IN2021120750</t>
        </is>
      </c>
      <c r="O4246" s="521">
        <f>M4246=N4246</f>
        <v/>
      </c>
      <c r="P4246" s="521">
        <f>AND(MONTH(F4246)=MONTH(S4246), YEAR(F4246)=YEAR(S4246))</f>
        <v/>
      </c>
      <c r="Q4246" s="521">
        <f>U4246="L001-901905215"</f>
        <v/>
      </c>
      <c r="R4246" s="556">
        <f>G4246-W4246</f>
        <v/>
      </c>
      <c r="S4246" s="523" t="n">
        <v>44547</v>
      </c>
      <c r="T4246" s="522" t="inlineStr">
        <is>
          <t>IN202112-0750</t>
        </is>
      </c>
      <c r="U4246" s="522" t="inlineStr">
        <is>
          <t>L001-901905215</t>
        </is>
      </c>
      <c r="V4246" s="522" t="inlineStr">
        <is>
          <t>វីអ៊ីស៊ិន (ខេមបូឌា) អ៊ិនដាសស្ទ្រី ឯ.ក</t>
        </is>
      </c>
      <c r="W4246" s="556" t="n">
        <v>472584</v>
      </c>
    </row>
    <row r="4247">
      <c r="A4247" s="521" t="n">
        <v>4239</v>
      </c>
      <c r="B4247" s="522" t="inlineStr">
        <is>
          <t>Lift off and Gate fee charge</t>
        </is>
      </c>
      <c r="C4247" s="522" t="inlineStr">
        <is>
          <t>កំពង់ផែស្វយ័តភ្នំពេញ "ក.ស.ភ"</t>
        </is>
      </c>
      <c r="D4247" s="522" t="inlineStr">
        <is>
          <t>L001-100044999</t>
        </is>
      </c>
      <c r="E4247" s="521" t="inlineStr">
        <is>
          <t>INV20211273631</t>
        </is>
      </c>
      <c r="F4247" s="523" t="n">
        <v>44538</v>
      </c>
      <c r="G4247" s="556" t="n">
        <v>4886</v>
      </c>
      <c r="I4247" s="521">
        <f>G4247</f>
        <v/>
      </c>
      <c r="K4247" s="521">
        <f>I4247-G4247</f>
        <v/>
      </c>
      <c r="M4247" s="522" t="inlineStr">
        <is>
          <t>INV20211273631</t>
        </is>
      </c>
      <c r="N4247" s="522" t="inlineStr"/>
      <c r="O4247" s="521">
        <f>M4247=N4247</f>
        <v/>
      </c>
      <c r="P4247" s="521">
        <f>AND(MONTH(F4247)=MONTH(S4247), YEAR(F4247)=YEAR(S4247))</f>
        <v/>
      </c>
      <c r="Q4247" s="521">
        <f>U4247="L001-901905215"</f>
        <v/>
      </c>
      <c r="R4247" s="556">
        <f>G4247-W4247</f>
        <v/>
      </c>
      <c r="S4247" s="521" t="n"/>
      <c r="T4247" s="522" t="n"/>
      <c r="U4247" s="522" t="n"/>
      <c r="V4247" s="522" t="n"/>
      <c r="W4247" s="521" t="n"/>
    </row>
    <row r="4248">
      <c r="A4248" s="521" t="n">
        <v>4240</v>
      </c>
      <c r="B4248" s="522" t="inlineStr">
        <is>
          <t>Lift off and Gate fee charge</t>
        </is>
      </c>
      <c r="C4248" s="522" t="inlineStr">
        <is>
          <t>កំពង់ផែស្វយ័តភ្នំពេញ "ក.ស.ភ"</t>
        </is>
      </c>
      <c r="D4248" s="522" t="inlineStr">
        <is>
          <t>L001-100044999</t>
        </is>
      </c>
      <c r="E4248" s="521" t="inlineStr">
        <is>
          <t>INV20211272037</t>
        </is>
      </c>
      <c r="F4248" s="523" t="n">
        <v>44532</v>
      </c>
      <c r="G4248" s="556" t="n">
        <v>117245</v>
      </c>
      <c r="I4248" s="521">
        <f>G4248</f>
        <v/>
      </c>
      <c r="K4248" s="521">
        <f>I4248-G4248</f>
        <v/>
      </c>
      <c r="M4248" s="522" t="inlineStr">
        <is>
          <t>INV20211272037</t>
        </is>
      </c>
      <c r="N4248" s="522" t="inlineStr"/>
      <c r="O4248" s="521">
        <f>M4248=N4248</f>
        <v/>
      </c>
      <c r="P4248" s="521">
        <f>AND(MONTH(F4248)=MONTH(S4248), YEAR(F4248)=YEAR(S4248))</f>
        <v/>
      </c>
      <c r="Q4248" s="521">
        <f>U4248="L001-901905215"</f>
        <v/>
      </c>
      <c r="R4248" s="556">
        <f>G4248-W4248</f>
        <v/>
      </c>
      <c r="S4248" s="521" t="n"/>
      <c r="T4248" s="522" t="n"/>
      <c r="U4248" s="522" t="n"/>
      <c r="V4248" s="522" t="n"/>
      <c r="W4248" s="521" t="n"/>
    </row>
    <row r="4249">
      <c r="A4249" s="521" t="n">
        <v>4241</v>
      </c>
      <c r="B4249" s="522" t="inlineStr">
        <is>
          <t>Customs clearence and Trucking fee</t>
        </is>
      </c>
      <c r="C4249" s="522" t="inlineStr">
        <is>
          <t>56ប៊ី-លីង សឹបផ្លាយ ឆេន មេនេចម៉ិន ឯ.ក</t>
        </is>
      </c>
      <c r="D4249" s="522" t="inlineStr">
        <is>
          <t>K004-902004795</t>
        </is>
      </c>
      <c r="E4249" s="521" t="inlineStr">
        <is>
          <t>IN202112-0742</t>
        </is>
      </c>
      <c r="F4249" s="523" t="n">
        <v>44543</v>
      </c>
      <c r="G4249" s="556" t="n">
        <v>912128</v>
      </c>
      <c r="I4249" s="521">
        <f>G4249</f>
        <v/>
      </c>
      <c r="K4249" s="521">
        <f>I4249-G4249</f>
        <v/>
      </c>
      <c r="M4249" s="522" t="inlineStr">
        <is>
          <t>IN2021120742</t>
        </is>
      </c>
      <c r="N4249" s="522" t="inlineStr">
        <is>
          <t>IN2021120742</t>
        </is>
      </c>
      <c r="O4249" s="521">
        <f>M4249=N4249</f>
        <v/>
      </c>
      <c r="P4249" s="521">
        <f>AND(MONTH(F4249)=MONTH(S4249), YEAR(F4249)=YEAR(S4249))</f>
        <v/>
      </c>
      <c r="Q4249" s="521">
        <f>U4249="L001-901905215"</f>
        <v/>
      </c>
      <c r="R4249" s="556">
        <f>G4249-W4249</f>
        <v/>
      </c>
      <c r="S4249" s="523" t="n">
        <v>44543</v>
      </c>
      <c r="T4249" s="522" t="inlineStr">
        <is>
          <t>IN202112-0742</t>
        </is>
      </c>
      <c r="U4249" s="522" t="inlineStr">
        <is>
          <t>L001-901905215</t>
        </is>
      </c>
      <c r="V4249" s="522" t="inlineStr">
        <is>
          <t>វីអ៊ីស៊ិន (ខេមបូឌា) អ៊ិនដាសស្ទ្រី ឯ.ក</t>
        </is>
      </c>
      <c r="W4249" s="556" t="n">
        <v>912128</v>
      </c>
    </row>
    <row r="4250">
      <c r="A4250" s="521" t="n">
        <v>4242</v>
      </c>
      <c r="B4250" s="522" t="inlineStr">
        <is>
          <t>Lift off and Gate fee charge</t>
        </is>
      </c>
      <c r="C4250" s="522" t="inlineStr">
        <is>
          <t>កំពង់ផែស្វយ័តភ្នំពេញ "ក.ស.ភ"</t>
        </is>
      </c>
      <c r="D4250" s="522" t="inlineStr">
        <is>
          <t>L001-100044999</t>
        </is>
      </c>
      <c r="E4250" s="521" t="inlineStr">
        <is>
          <t>INV20211272350</t>
        </is>
      </c>
      <c r="F4250" s="523" t="n">
        <v>44534</v>
      </c>
      <c r="G4250" s="556" t="n">
        <v>19546</v>
      </c>
      <c r="I4250" s="521">
        <f>G4250</f>
        <v/>
      </c>
      <c r="K4250" s="521">
        <f>I4250-G4250</f>
        <v/>
      </c>
      <c r="M4250" s="522" t="inlineStr">
        <is>
          <t>INV20211272350</t>
        </is>
      </c>
      <c r="N4250" s="522" t="inlineStr"/>
      <c r="O4250" s="521">
        <f>M4250=N4250</f>
        <v/>
      </c>
      <c r="P4250" s="521">
        <f>AND(MONTH(F4250)=MONTH(S4250), YEAR(F4250)=YEAR(S4250))</f>
        <v/>
      </c>
      <c r="Q4250" s="521">
        <f>U4250="L001-901905215"</f>
        <v/>
      </c>
      <c r="R4250" s="556">
        <f>G4250-W4250</f>
        <v/>
      </c>
      <c r="S4250" s="521" t="n"/>
      <c r="T4250" s="522" t="n"/>
      <c r="U4250" s="522" t="n"/>
      <c r="V4250" s="522" t="n"/>
      <c r="W4250" s="521" t="n"/>
    </row>
    <row r="4251">
      <c r="A4251" s="521" t="n">
        <v>4243</v>
      </c>
      <c r="B4251" s="522" t="inlineStr">
        <is>
          <t>Customs clearence and Trucking fee</t>
        </is>
      </c>
      <c r="C4251" s="522" t="inlineStr">
        <is>
          <t>56ប៊ី-លីង សឹបផ្លាយ ឆេន មេនេចម៉ិន ឯ.ក</t>
        </is>
      </c>
      <c r="D4251" s="522" t="inlineStr">
        <is>
          <t>K004-902004795</t>
        </is>
      </c>
      <c r="E4251" s="521" t="inlineStr">
        <is>
          <t>IN202112-0741</t>
        </is>
      </c>
      <c r="F4251" s="523" t="n">
        <v>44543</v>
      </c>
      <c r="G4251" s="556" t="n">
        <v>258572</v>
      </c>
      <c r="I4251" s="521">
        <f>G4251</f>
        <v/>
      </c>
      <c r="K4251" s="521">
        <f>I4251-G4251</f>
        <v/>
      </c>
      <c r="M4251" s="522" t="inlineStr">
        <is>
          <t>IN2021120741</t>
        </is>
      </c>
      <c r="N4251" s="522" t="inlineStr">
        <is>
          <t>IN2021120741</t>
        </is>
      </c>
      <c r="O4251" s="521">
        <f>M4251=N4251</f>
        <v/>
      </c>
      <c r="P4251" s="521">
        <f>AND(MONTH(F4251)=MONTH(S4251), YEAR(F4251)=YEAR(S4251))</f>
        <v/>
      </c>
      <c r="Q4251" s="521">
        <f>U4251="L001-901905215"</f>
        <v/>
      </c>
      <c r="R4251" s="556">
        <f>G4251-W4251</f>
        <v/>
      </c>
      <c r="S4251" s="523" t="n">
        <v>44543</v>
      </c>
      <c r="T4251" s="522" t="inlineStr">
        <is>
          <t>IN202112-0741</t>
        </is>
      </c>
      <c r="U4251" s="522" t="inlineStr">
        <is>
          <t>L001-901905215</t>
        </is>
      </c>
      <c r="V4251" s="522" t="inlineStr">
        <is>
          <t>វីអ៊ីស៊ិន (ខេមបូឌា) អ៊ិនដាសស្ទ្រី ឯ.ក</t>
        </is>
      </c>
      <c r="W4251" s="556" t="n">
        <v>258572</v>
      </c>
    </row>
    <row r="4252">
      <c r="A4252" s="521" t="n">
        <v>4244</v>
      </c>
      <c r="B4252" s="522" t="inlineStr">
        <is>
          <t>Lift off and Gate fee charge</t>
        </is>
      </c>
      <c r="C4252" s="522" t="inlineStr">
        <is>
          <t>កំពង់ផែស្វយ័តភ្នំពេញ "ក.ស.ភ"</t>
        </is>
      </c>
      <c r="D4252" s="522" t="inlineStr">
        <is>
          <t>L001-100044999</t>
        </is>
      </c>
      <c r="E4252" s="521" t="inlineStr">
        <is>
          <t>INV20211272363</t>
        </is>
      </c>
      <c r="F4252" s="523" t="n">
        <v>44534</v>
      </c>
      <c r="G4252" s="556" t="n">
        <v>254093</v>
      </c>
      <c r="I4252" s="521">
        <f>G4252</f>
        <v/>
      </c>
      <c r="K4252" s="521">
        <f>I4252-G4252</f>
        <v/>
      </c>
      <c r="M4252" s="522" t="inlineStr">
        <is>
          <t>INV20211272363</t>
        </is>
      </c>
      <c r="N4252" s="522" t="inlineStr"/>
      <c r="O4252" s="521">
        <f>M4252=N4252</f>
        <v/>
      </c>
      <c r="P4252" s="521">
        <f>AND(MONTH(F4252)=MONTH(S4252), YEAR(F4252)=YEAR(S4252))</f>
        <v/>
      </c>
      <c r="Q4252" s="521">
        <f>U4252="L001-901905215"</f>
        <v/>
      </c>
      <c r="R4252" s="556">
        <f>G4252-W4252</f>
        <v/>
      </c>
      <c r="S4252" s="521" t="n"/>
      <c r="T4252" s="522" t="n"/>
      <c r="U4252" s="522" t="n"/>
      <c r="V4252" s="522" t="n"/>
      <c r="W4252" s="521" t="n"/>
    </row>
    <row r="4253">
      <c r="A4253" s="521" t="n">
        <v>4245</v>
      </c>
      <c r="B4253" s="522" t="inlineStr">
        <is>
          <t>Customs clearence and Trucking fee</t>
        </is>
      </c>
      <c r="C4253" s="522" t="inlineStr">
        <is>
          <t>56ប៊ី-លីង សឹបផ្លាយ ឆេន មេនេចម៉ិន ឯ.ក</t>
        </is>
      </c>
      <c r="D4253" s="522" t="inlineStr">
        <is>
          <t>K004-902004795</t>
        </is>
      </c>
      <c r="E4253" s="521" t="inlineStr">
        <is>
          <t>IN202112-0740</t>
        </is>
      </c>
      <c r="F4253" s="523" t="n">
        <v>44543</v>
      </c>
      <c r="G4253" s="556" t="n">
        <v>1968812</v>
      </c>
      <c r="I4253" s="521">
        <f>G4253</f>
        <v/>
      </c>
      <c r="K4253" s="521">
        <f>I4253-G4253</f>
        <v/>
      </c>
      <c r="M4253" s="522" t="inlineStr">
        <is>
          <t>IN2021120740</t>
        </is>
      </c>
      <c r="N4253" s="522" t="inlineStr">
        <is>
          <t>IN2021120740</t>
        </is>
      </c>
      <c r="O4253" s="521">
        <f>M4253=N4253</f>
        <v/>
      </c>
      <c r="P4253" s="521">
        <f>AND(MONTH(F4253)=MONTH(S4253), YEAR(F4253)=YEAR(S4253))</f>
        <v/>
      </c>
      <c r="Q4253" s="521">
        <f>U4253="L001-901905215"</f>
        <v/>
      </c>
      <c r="R4253" s="556">
        <f>G4253-W4253</f>
        <v/>
      </c>
      <c r="S4253" s="523" t="n">
        <v>44543</v>
      </c>
      <c r="T4253" s="522" t="inlineStr">
        <is>
          <t>IN202112-0740</t>
        </is>
      </c>
      <c r="U4253" s="522" t="inlineStr">
        <is>
          <t>L001-901905215</t>
        </is>
      </c>
      <c r="V4253" s="522" t="inlineStr">
        <is>
          <t>វីអ៊ីស៊ិន (ខេមបូឌា) អ៊ិនដាសស្ទ្រី ឯ.ក</t>
        </is>
      </c>
      <c r="W4253" s="556" t="n">
        <v>1968812</v>
      </c>
    </row>
    <row r="4254">
      <c r="A4254" s="521" t="n">
        <v>4246</v>
      </c>
      <c r="B4254" s="522" t="inlineStr">
        <is>
          <t>Lift off and Gate fee charge</t>
        </is>
      </c>
      <c r="C4254" s="522" t="inlineStr">
        <is>
          <t>កំពង់ផែស្វយ័តភ្នំពេញ "ក.ស.ភ"</t>
        </is>
      </c>
      <c r="D4254" s="522" t="inlineStr">
        <is>
          <t>L001-100044999</t>
        </is>
      </c>
      <c r="E4254" s="521" t="inlineStr">
        <is>
          <t>INV20211272353</t>
        </is>
      </c>
      <c r="F4254" s="523" t="n">
        <v>44534</v>
      </c>
      <c r="G4254" s="556" t="n">
        <v>48864</v>
      </c>
      <c r="I4254" s="521">
        <f>G4254</f>
        <v/>
      </c>
      <c r="K4254" s="521">
        <f>I4254-G4254</f>
        <v/>
      </c>
      <c r="M4254" s="522" t="inlineStr">
        <is>
          <t>INV20211272353</t>
        </is>
      </c>
      <c r="N4254" s="522" t="inlineStr"/>
      <c r="O4254" s="521">
        <f>M4254=N4254</f>
        <v/>
      </c>
      <c r="P4254" s="521">
        <f>AND(MONTH(F4254)=MONTH(S4254), YEAR(F4254)=YEAR(S4254))</f>
        <v/>
      </c>
      <c r="Q4254" s="521">
        <f>U4254="L001-901905215"</f>
        <v/>
      </c>
      <c r="R4254" s="556">
        <f>G4254-W4254</f>
        <v/>
      </c>
      <c r="S4254" s="521" t="n"/>
      <c r="T4254" s="522" t="n"/>
      <c r="U4254" s="522" t="n"/>
      <c r="V4254" s="522" t="n"/>
      <c r="W4254" s="521" t="n"/>
    </row>
    <row r="4255">
      <c r="A4255" s="521" t="n">
        <v>4247</v>
      </c>
      <c r="B4255" s="522" t="inlineStr">
        <is>
          <t>Customs clearence and Trucking fee</t>
        </is>
      </c>
      <c r="C4255" s="522" t="inlineStr">
        <is>
          <t>56ប៊ី-លីង សឹបផ្លាយ ឆេន មេនេចម៉ិន ឯ.ក</t>
        </is>
      </c>
      <c r="D4255" s="522" t="inlineStr">
        <is>
          <t>K004-902004795</t>
        </is>
      </c>
      <c r="E4255" s="521" t="inlineStr">
        <is>
          <t>IN202112-0739</t>
        </is>
      </c>
      <c r="F4255" s="523" t="n">
        <v>44543</v>
      </c>
      <c r="G4255" s="556" t="n">
        <v>472352</v>
      </c>
      <c r="I4255" s="521">
        <f>G4255</f>
        <v/>
      </c>
      <c r="K4255" s="521">
        <f>I4255-G4255</f>
        <v/>
      </c>
      <c r="M4255" s="522" t="inlineStr">
        <is>
          <t>IN2021120739</t>
        </is>
      </c>
      <c r="N4255" s="522" t="inlineStr">
        <is>
          <t>IN2021120739</t>
        </is>
      </c>
      <c r="O4255" s="521">
        <f>M4255=N4255</f>
        <v/>
      </c>
      <c r="P4255" s="521">
        <f>AND(MONTH(F4255)=MONTH(S4255), YEAR(F4255)=YEAR(S4255))</f>
        <v/>
      </c>
      <c r="Q4255" s="521">
        <f>U4255="L001-901905215"</f>
        <v/>
      </c>
      <c r="R4255" s="556">
        <f>G4255-W4255</f>
        <v/>
      </c>
      <c r="S4255" s="523" t="n">
        <v>44543</v>
      </c>
      <c r="T4255" s="522" t="inlineStr">
        <is>
          <t>IN202112-0739</t>
        </is>
      </c>
      <c r="U4255" s="522" t="inlineStr">
        <is>
          <t>L001-901905215</t>
        </is>
      </c>
      <c r="V4255" s="522" t="inlineStr">
        <is>
          <t>វីអ៊ីស៊ិន (ខេមបូឌា) អ៊ិនដាសស្ទ្រី ឯ.ក</t>
        </is>
      </c>
      <c r="W4255" s="556" t="n">
        <v>472352</v>
      </c>
    </row>
    <row r="4256">
      <c r="A4256" s="521" t="n">
        <v>4248</v>
      </c>
      <c r="B4256" s="522" t="inlineStr">
        <is>
          <t>Lift off and Gate fee charge</t>
        </is>
      </c>
      <c r="C4256" s="522" t="inlineStr">
        <is>
          <t>កំពង់ផែស្វយ័តភ្នំពេញ "ក.ស.ភ"</t>
        </is>
      </c>
      <c r="D4256" s="522" t="inlineStr">
        <is>
          <t>L001-100044999</t>
        </is>
      </c>
      <c r="E4256" s="521" t="inlineStr">
        <is>
          <t>INV20211272356</t>
        </is>
      </c>
      <c r="F4256" s="523" t="n">
        <v>44534</v>
      </c>
      <c r="G4256" s="556" t="n">
        <v>31364</v>
      </c>
      <c r="I4256" s="521">
        <f>G4256</f>
        <v/>
      </c>
      <c r="K4256" s="521">
        <f>I4256-G4256</f>
        <v/>
      </c>
      <c r="M4256" s="522" t="inlineStr">
        <is>
          <t>INV20211272356</t>
        </is>
      </c>
      <c r="N4256" s="522" t="inlineStr"/>
      <c r="O4256" s="521">
        <f>M4256=N4256</f>
        <v/>
      </c>
      <c r="P4256" s="521">
        <f>AND(MONTH(F4256)=MONTH(S4256), YEAR(F4256)=YEAR(S4256))</f>
        <v/>
      </c>
      <c r="Q4256" s="521">
        <f>U4256="L001-901905215"</f>
        <v/>
      </c>
      <c r="R4256" s="556">
        <f>G4256-W4256</f>
        <v/>
      </c>
      <c r="S4256" s="521" t="n"/>
      <c r="T4256" s="522" t="n"/>
      <c r="U4256" s="522" t="n"/>
      <c r="V4256" s="522" t="n"/>
      <c r="W4256" s="521" t="n"/>
    </row>
    <row r="4257">
      <c r="A4257" s="521" t="n">
        <v>4249</v>
      </c>
      <c r="B4257" s="522" t="inlineStr">
        <is>
          <t>Customs clearance and Trucking fee</t>
        </is>
      </c>
      <c r="C4257" s="522" t="inlineStr">
        <is>
          <t>56ប៊ី-លីង សឹបផ្លាយ ឆេន មេនេចម៉ិន ឯ.ក</t>
        </is>
      </c>
      <c r="D4257" s="522" t="inlineStr">
        <is>
          <t>K004-902004795</t>
        </is>
      </c>
      <c r="E4257" s="521" t="inlineStr">
        <is>
          <t>IN202112-0738</t>
        </is>
      </c>
      <c r="F4257" s="523" t="n">
        <v>44543</v>
      </c>
      <c r="G4257" s="556" t="n">
        <v>484568</v>
      </c>
      <c r="I4257" s="521">
        <f>G4257</f>
        <v/>
      </c>
      <c r="K4257" s="521">
        <f>I4257-G4257</f>
        <v/>
      </c>
      <c r="M4257" s="522" t="inlineStr">
        <is>
          <t>IN2021120738</t>
        </is>
      </c>
      <c r="N4257" s="522" t="inlineStr">
        <is>
          <t>IN2021120738</t>
        </is>
      </c>
      <c r="O4257" s="521">
        <f>M4257=N4257</f>
        <v/>
      </c>
      <c r="P4257" s="521">
        <f>AND(MONTH(F4257)=MONTH(S4257), YEAR(F4257)=YEAR(S4257))</f>
        <v/>
      </c>
      <c r="Q4257" s="521">
        <f>U4257="L001-901905215"</f>
        <v/>
      </c>
      <c r="R4257" s="556">
        <f>G4257-W4257</f>
        <v/>
      </c>
      <c r="S4257" s="523" t="n">
        <v>44543</v>
      </c>
      <c r="T4257" s="522" t="inlineStr">
        <is>
          <t>IN202112-0738</t>
        </is>
      </c>
      <c r="U4257" s="522" t="inlineStr">
        <is>
          <t>L001-901905215</t>
        </is>
      </c>
      <c r="V4257" s="522" t="inlineStr">
        <is>
          <t>វីអ៊ីស៊ិន (ខេមបូឌា) អ៊ិនដាសស្ទ្រី ឯ.ក</t>
        </is>
      </c>
      <c r="W4257" s="556" t="n">
        <v>484568</v>
      </c>
    </row>
    <row r="4258">
      <c r="A4258" s="521" t="n">
        <v>4250</v>
      </c>
      <c r="B4258" s="522" t="inlineStr">
        <is>
          <t>Import clearance</t>
        </is>
      </c>
      <c r="C4258" s="522" t="inlineStr">
        <is>
          <t>អូរៀនថល ឡូជីស្ទីក &amp; ឌីស្ទ្រីប៊្យូសិន (ខេមបូឌា)</t>
        </is>
      </c>
      <c r="D4258" s="522" t="inlineStr">
        <is>
          <t>L001-103007369</t>
        </is>
      </c>
      <c r="E4258" s="521" t="inlineStr">
        <is>
          <t>SIBVT2112-R0724</t>
        </is>
      </c>
      <c r="F4258" s="523" t="n">
        <v>44554</v>
      </c>
      <c r="G4258" s="556" t="n">
        <v>225161</v>
      </c>
      <c r="I4258" s="521">
        <f>G4258</f>
        <v/>
      </c>
      <c r="K4258" s="521">
        <f>I4258-G4258</f>
        <v/>
      </c>
      <c r="M4258" s="522" t="inlineStr">
        <is>
          <t>SIBVT2112R0724</t>
        </is>
      </c>
      <c r="N4258" s="522" t="inlineStr"/>
      <c r="O4258" s="521">
        <f>M4258=N4258</f>
        <v/>
      </c>
      <c r="P4258" s="521">
        <f>AND(MONTH(F4258)=MONTH(S4258), YEAR(F4258)=YEAR(S4258))</f>
        <v/>
      </c>
      <c r="Q4258" s="521">
        <f>U4258="L001-901905215"</f>
        <v/>
      </c>
      <c r="R4258" s="556">
        <f>G4258-W4258</f>
        <v/>
      </c>
      <c r="S4258" s="521" t="n"/>
      <c r="T4258" s="522" t="n"/>
      <c r="U4258" s="522" t="n"/>
      <c r="V4258" s="522" t="n"/>
      <c r="W4258" s="521" t="n"/>
    </row>
    <row r="4259">
      <c r="A4259" s="521" t="n">
        <v>4251</v>
      </c>
      <c r="B4259" s="522" t="inlineStr">
        <is>
          <t>Terminal handlingcharge</t>
        </is>
      </c>
      <c r="C4259" s="522" t="inlineStr">
        <is>
          <t>យូសេន ឡូជីស្ទីក (ខេមបូឌា) ខូ អិលធីឌី</t>
        </is>
      </c>
      <c r="D4259" s="522" t="inlineStr">
        <is>
          <t>L001-104015799</t>
        </is>
      </c>
      <c r="E4259" s="521" t="inlineStr">
        <is>
          <t>PNHTI0029134</t>
        </is>
      </c>
      <c r="F4259" s="523" t="n">
        <v>44536</v>
      </c>
      <c r="G4259" s="556" t="n">
        <v>191384</v>
      </c>
      <c r="I4259" s="521">
        <f>G4259</f>
        <v/>
      </c>
      <c r="K4259" s="521">
        <f>I4259-G4259</f>
        <v/>
      </c>
      <c r="M4259" s="522" t="inlineStr">
        <is>
          <t>PNHTI0029134</t>
        </is>
      </c>
      <c r="N4259" s="522" t="inlineStr">
        <is>
          <t>PNHTI0029134</t>
        </is>
      </c>
      <c r="O4259" s="521">
        <f>M4259=N4259</f>
        <v/>
      </c>
      <c r="P4259" s="521">
        <f>AND(MONTH(F4259)=MONTH(S4259), YEAR(F4259)=YEAR(S4259))</f>
        <v/>
      </c>
      <c r="Q4259" s="521">
        <f>U4259="L001-901905215"</f>
        <v/>
      </c>
      <c r="R4259" s="556">
        <f>G4259-W4259</f>
        <v/>
      </c>
      <c r="S4259" s="523" t="n">
        <v>44536</v>
      </c>
      <c r="T4259" s="522" t="inlineStr">
        <is>
          <t>PNHTI0029134</t>
        </is>
      </c>
      <c r="U4259" s="522" t="inlineStr">
        <is>
          <t>L001-901905215</t>
        </is>
      </c>
      <c r="V4259" s="522" t="inlineStr">
        <is>
          <t>វីអ៊ីស៊ិន (ខេមបូឌា) អ៊ិនដាសស្ទ្រី ឯ.ក</t>
        </is>
      </c>
      <c r="W4259" s="556" t="n">
        <v>191384</v>
      </c>
    </row>
    <row r="4260">
      <c r="A4260" s="521" t="n">
        <v>4252</v>
      </c>
      <c r="B4260" s="522" t="inlineStr">
        <is>
          <t>Documentation and Terminal handing service</t>
        </is>
      </c>
      <c r="C4260" s="522" t="inlineStr">
        <is>
          <t>មើស្គ (ខេមបូឌា)</t>
        </is>
      </c>
      <c r="D4260" s="522" t="inlineStr">
        <is>
          <t>L001-100045200</t>
        </is>
      </c>
      <c r="E4260" s="521" t="inlineStr">
        <is>
          <t>5995884053</t>
        </is>
      </c>
      <c r="F4260" s="523" t="n">
        <v>44537</v>
      </c>
      <c r="G4260" s="556" t="n">
        <v>218259</v>
      </c>
      <c r="I4260" s="521">
        <f>G4260</f>
        <v/>
      </c>
      <c r="K4260" s="521">
        <f>I4260-G4260</f>
        <v/>
      </c>
      <c r="M4260" s="522" t="inlineStr">
        <is>
          <t>5995884053</t>
        </is>
      </c>
      <c r="N4260" s="522" t="inlineStr">
        <is>
          <t>5995884053</t>
        </is>
      </c>
      <c r="O4260" s="521">
        <f>M4260=N4260</f>
        <v/>
      </c>
      <c r="P4260" s="521">
        <f>AND(MONTH(F4260)=MONTH(S4260), YEAR(F4260)=YEAR(S4260))</f>
        <v/>
      </c>
      <c r="Q4260" s="521">
        <f>U4260="L001-901905215"</f>
        <v/>
      </c>
      <c r="R4260" s="556">
        <f>G4260-W4260</f>
        <v/>
      </c>
      <c r="S4260" s="523" t="n">
        <v>44537</v>
      </c>
      <c r="T4260" s="522" t="inlineStr">
        <is>
          <t>5995884053</t>
        </is>
      </c>
      <c r="U4260" s="522" t="inlineStr">
        <is>
          <t>L001-901905215</t>
        </is>
      </c>
      <c r="V4260" s="522" t="inlineStr">
        <is>
          <t>វីអ៊ីស៊ិន (ខេមបូឌា) អ៊ិនដាសស្ទ្រី ឯ.ក</t>
        </is>
      </c>
      <c r="W4260" s="556" t="n">
        <v>218259</v>
      </c>
    </row>
    <row r="4261">
      <c r="A4261" s="521" t="n">
        <v>4253</v>
      </c>
      <c r="B4261" s="522" t="inlineStr">
        <is>
          <t>Lift-On &amp; Lift-Off</t>
        </is>
      </c>
      <c r="C4261" s="522" t="inlineStr">
        <is>
          <t>កំពង់ផែស្វយ័តក្រុងព្រះសីហនុ</t>
        </is>
      </c>
      <c r="D4261" s="522" t="inlineStr">
        <is>
          <t>L001-100044638</t>
        </is>
      </c>
      <c r="E4261" s="521" t="inlineStr">
        <is>
          <t>0206752</t>
        </is>
      </c>
      <c r="F4261" s="523" t="n">
        <v>44544</v>
      </c>
      <c r="G4261" s="556" t="n">
        <v>70853</v>
      </c>
      <c r="I4261" s="521">
        <f>G4261</f>
        <v/>
      </c>
      <c r="K4261" s="521">
        <f>I4261-G4261</f>
        <v/>
      </c>
      <c r="M4261" s="522" t="inlineStr">
        <is>
          <t>0206752</t>
        </is>
      </c>
      <c r="N4261" s="522" t="inlineStr"/>
      <c r="O4261" s="521">
        <f>M4261=N4261</f>
        <v/>
      </c>
      <c r="P4261" s="521">
        <f>AND(MONTH(F4261)=MONTH(S4261), YEAR(F4261)=YEAR(S4261))</f>
        <v/>
      </c>
      <c r="Q4261" s="521">
        <f>U4261="L001-901905215"</f>
        <v/>
      </c>
      <c r="R4261" s="556">
        <f>G4261-W4261</f>
        <v/>
      </c>
      <c r="S4261" s="521" t="n"/>
      <c r="T4261" s="522" t="n"/>
      <c r="U4261" s="522" t="n"/>
      <c r="V4261" s="522" t="n"/>
      <c r="W4261" s="521" t="n"/>
    </row>
    <row r="4262">
      <c r="A4262" s="521" t="n">
        <v>4254</v>
      </c>
      <c r="B4262" s="522" t="inlineStr">
        <is>
          <t>Trucking Import and Handling Fee</t>
        </is>
      </c>
      <c r="C4262" s="522" t="inlineStr">
        <is>
          <t>ហុង តុង អ៊ិនធើណេសិនណល ឡូជីស្ទីក ឯ.ក</t>
        </is>
      </c>
      <c r="D4262" s="522" t="inlineStr">
        <is>
          <t>K003-902006166</t>
        </is>
      </c>
      <c r="E4262" s="521" t="inlineStr">
        <is>
          <t>HT20210161</t>
        </is>
      </c>
      <c r="F4262" s="523" t="n">
        <v>44559</v>
      </c>
      <c r="G4262" s="556" t="n">
        <v>260608</v>
      </c>
      <c r="I4262" s="521">
        <f>G4262</f>
        <v/>
      </c>
      <c r="K4262" s="521">
        <f>I4262-G4262</f>
        <v/>
      </c>
      <c r="M4262" s="522" t="inlineStr">
        <is>
          <t>HT20210161</t>
        </is>
      </c>
      <c r="N4262" s="522" t="inlineStr">
        <is>
          <t>HT20210161</t>
        </is>
      </c>
      <c r="O4262" s="521">
        <f>M4262=N4262</f>
        <v/>
      </c>
      <c r="P4262" s="521">
        <f>AND(MONTH(F4262)=MONTH(S4262), YEAR(F4262)=YEAR(S4262))</f>
        <v/>
      </c>
      <c r="Q4262" s="521">
        <f>U4262="L001-901905215"</f>
        <v/>
      </c>
      <c r="R4262" s="556">
        <f>G4262-W4262</f>
        <v/>
      </c>
      <c r="S4262" s="523" t="n">
        <v>44559</v>
      </c>
      <c r="T4262" s="522" t="inlineStr">
        <is>
          <t>HT20210161</t>
        </is>
      </c>
      <c r="U4262" s="522" t="inlineStr">
        <is>
          <t>L001-901905215</t>
        </is>
      </c>
      <c r="V4262" s="522" t="inlineStr">
        <is>
          <t>វីអ៊ីស៊ិន (ខេមបូឌា) អ៊ិនដាសស្ទ្រី ឯ.ក</t>
        </is>
      </c>
      <c r="W4262" s="556" t="n">
        <v>260608</v>
      </c>
    </row>
    <row r="4263">
      <c r="A4263" s="521" t="n">
        <v>4255</v>
      </c>
      <c r="B4263" s="522" t="inlineStr">
        <is>
          <t>Documentation and Terminal handing service</t>
        </is>
      </c>
      <c r="C4263" s="522" t="inlineStr">
        <is>
          <t>មើស្គ (ខេមបូឌា)</t>
        </is>
      </c>
      <c r="D4263" s="522" t="inlineStr">
        <is>
          <t>L001-100045200</t>
        </is>
      </c>
      <c r="E4263" s="521" t="inlineStr">
        <is>
          <t>5995883077</t>
        </is>
      </c>
      <c r="F4263" s="523" t="n">
        <v>44531</v>
      </c>
      <c r="G4263" s="556" t="n">
        <v>218045</v>
      </c>
      <c r="I4263" s="521">
        <f>G4263</f>
        <v/>
      </c>
      <c r="K4263" s="521">
        <f>I4263-G4263</f>
        <v/>
      </c>
      <c r="M4263" s="522" t="inlineStr">
        <is>
          <t>5995883077</t>
        </is>
      </c>
      <c r="N4263" s="522" t="inlineStr"/>
      <c r="O4263" s="521">
        <f>M4263=N4263</f>
        <v/>
      </c>
      <c r="P4263" s="521">
        <f>AND(MONTH(F4263)=MONTH(S4263), YEAR(F4263)=YEAR(S4263))</f>
        <v/>
      </c>
      <c r="Q4263" s="521">
        <f>U4263="L001-901905215"</f>
        <v/>
      </c>
      <c r="R4263" s="556">
        <f>G4263-W4263</f>
        <v/>
      </c>
      <c r="S4263" s="521" t="n"/>
      <c r="T4263" s="522" t="n"/>
      <c r="U4263" s="522" t="n"/>
      <c r="V4263" s="522" t="n"/>
      <c r="W4263" s="521" t="n"/>
    </row>
    <row r="4264">
      <c r="A4264" s="521" t="n">
        <v>4256</v>
      </c>
      <c r="B4264" s="522" t="inlineStr">
        <is>
          <t>Lift-On &amp; Lift-Off</t>
        </is>
      </c>
      <c r="C4264" s="522" t="inlineStr">
        <is>
          <t>កំពង់ផែស្វយ័តក្រុងព្រះសីហនុ</t>
        </is>
      </c>
      <c r="D4264" s="522" t="inlineStr">
        <is>
          <t>L001-100044638</t>
        </is>
      </c>
      <c r="E4264" s="521" t="inlineStr">
        <is>
          <t>196227</t>
        </is>
      </c>
      <c r="F4264" s="523" t="n">
        <v>44531</v>
      </c>
      <c r="G4264" s="556" t="n">
        <v>70801</v>
      </c>
      <c r="I4264" s="521">
        <f>G4264</f>
        <v/>
      </c>
      <c r="K4264" s="521">
        <f>I4264-G4264</f>
        <v/>
      </c>
      <c r="M4264" s="522" t="inlineStr">
        <is>
          <t>196227</t>
        </is>
      </c>
      <c r="N4264" s="522" t="inlineStr"/>
      <c r="O4264" s="521">
        <f>M4264=N4264</f>
        <v/>
      </c>
      <c r="P4264" s="521">
        <f>AND(MONTH(F4264)=MONTH(S4264), YEAR(F4264)=YEAR(S4264))</f>
        <v/>
      </c>
      <c r="Q4264" s="521">
        <f>U4264="L001-901905215"</f>
        <v/>
      </c>
      <c r="R4264" s="556">
        <f>G4264-W4264</f>
        <v/>
      </c>
      <c r="S4264" s="521" t="n"/>
      <c r="T4264" s="522" t="n"/>
      <c r="U4264" s="522" t="n"/>
      <c r="V4264" s="522" t="n"/>
      <c r="W4264" s="521" t="n"/>
    </row>
    <row r="4265">
      <c r="A4265" s="521" t="n">
        <v>4257</v>
      </c>
      <c r="B4265" s="522" t="inlineStr">
        <is>
          <t>Trucking Import and Handling Fee</t>
        </is>
      </c>
      <c r="C4265" s="522" t="inlineStr">
        <is>
          <t>ហុង តុង អ៊ិនធើណេសិនណល ឡូជីស្ទីក ឯ.ក</t>
        </is>
      </c>
      <c r="D4265" s="522" t="inlineStr">
        <is>
          <t>K003-902006166</t>
        </is>
      </c>
      <c r="E4265" s="521" t="inlineStr">
        <is>
          <t>HT20210156</t>
        </is>
      </c>
      <c r="F4265" s="523" t="n">
        <v>44551</v>
      </c>
      <c r="G4265" s="556" t="n">
        <v>260736</v>
      </c>
      <c r="I4265" s="521">
        <f>G4265</f>
        <v/>
      </c>
      <c r="K4265" s="521">
        <f>I4265-G4265</f>
        <v/>
      </c>
      <c r="M4265" s="522" t="inlineStr">
        <is>
          <t>HT20210156</t>
        </is>
      </c>
      <c r="N4265" s="522" t="inlineStr">
        <is>
          <t>HT20210156</t>
        </is>
      </c>
      <c r="O4265" s="521">
        <f>M4265=N4265</f>
        <v/>
      </c>
      <c r="P4265" s="521">
        <f>AND(MONTH(F4265)=MONTH(S4265), YEAR(F4265)=YEAR(S4265))</f>
        <v/>
      </c>
      <c r="Q4265" s="521">
        <f>U4265="L001-901905215"</f>
        <v/>
      </c>
      <c r="R4265" s="556">
        <f>G4265-W4265</f>
        <v/>
      </c>
      <c r="S4265" s="523" t="n">
        <v>44551</v>
      </c>
      <c r="T4265" s="522" t="inlineStr">
        <is>
          <t>HT20210156</t>
        </is>
      </c>
      <c r="U4265" s="522" t="inlineStr">
        <is>
          <t>L001-901905215</t>
        </is>
      </c>
      <c r="V4265" s="522" t="inlineStr">
        <is>
          <t>វីអ៊ីស៊ិន (ខេមបូឌា) អ៊ិនដាសស្ទ្រី ឯ.ក</t>
        </is>
      </c>
      <c r="W4265" s="556" t="n">
        <v>260736</v>
      </c>
    </row>
    <row r="4266">
      <c r="A4266" s="521" t="n">
        <v>4258</v>
      </c>
      <c r="B4266" s="522" t="inlineStr">
        <is>
          <t>Express fee</t>
        </is>
      </c>
      <c r="C4266" s="522" t="inlineStr">
        <is>
          <t>សូស៊ីយេតេ កុងសេស្យូនែរ ដឺ ឡាអេរ៉ូព័រ</t>
        </is>
      </c>
      <c r="D4266" s="522" t="inlineStr">
        <is>
          <t>L001-100047300</t>
        </is>
      </c>
      <c r="E4266" s="521" t="inlineStr">
        <is>
          <t>2100-072734</t>
        </is>
      </c>
      <c r="F4266" s="523" t="n">
        <v>44533</v>
      </c>
      <c r="G4266" s="556" t="n">
        <v>3128</v>
      </c>
      <c r="I4266" s="521">
        <f>G4266</f>
        <v/>
      </c>
      <c r="K4266" s="521">
        <f>I4266-G4266</f>
        <v/>
      </c>
      <c r="M4266" s="522" t="inlineStr">
        <is>
          <t>2100072734</t>
        </is>
      </c>
      <c r="N4266" s="522" t="inlineStr"/>
      <c r="O4266" s="521">
        <f>M4266=N4266</f>
        <v/>
      </c>
      <c r="P4266" s="521">
        <f>AND(MONTH(F4266)=MONTH(S4266), YEAR(F4266)=YEAR(S4266))</f>
        <v/>
      </c>
      <c r="Q4266" s="521">
        <f>U4266="L001-901905215"</f>
        <v/>
      </c>
      <c r="R4266" s="556">
        <f>G4266-W4266</f>
        <v/>
      </c>
      <c r="S4266" s="521" t="n"/>
      <c r="T4266" s="522" t="n"/>
      <c r="U4266" s="522" t="n"/>
      <c r="V4266" s="522" t="n"/>
      <c r="W4266" s="521" t="n"/>
    </row>
    <row r="4267">
      <c r="A4267" s="521" t="n">
        <v>4259</v>
      </c>
      <c r="B4267" s="522" t="inlineStr">
        <is>
          <t>Trucking Import and Handling Fee</t>
        </is>
      </c>
      <c r="C4267" s="522" t="inlineStr">
        <is>
          <t>ហុង តុង អ៊ិនធើណេសិនណល ឡូជីស្ទីក ឯ.ក</t>
        </is>
      </c>
      <c r="D4267" s="522" t="inlineStr">
        <is>
          <t>K003-902006166</t>
        </is>
      </c>
      <c r="E4267" s="521" t="inlineStr">
        <is>
          <t>HT20210144</t>
        </is>
      </c>
      <c r="F4267" s="523" t="n">
        <v>44545</v>
      </c>
      <c r="G4267" s="556" t="n">
        <v>28504</v>
      </c>
      <c r="I4267" s="521">
        <f>G4267</f>
        <v/>
      </c>
      <c r="K4267" s="521">
        <f>I4267-G4267</f>
        <v/>
      </c>
      <c r="M4267" s="522" t="inlineStr">
        <is>
          <t>HT20210144</t>
        </is>
      </c>
      <c r="N4267" s="522" t="inlineStr">
        <is>
          <t>HT20210144</t>
        </is>
      </c>
      <c r="O4267" s="521">
        <f>M4267=N4267</f>
        <v/>
      </c>
      <c r="P4267" s="521">
        <f>AND(MONTH(F4267)=MONTH(S4267), YEAR(F4267)=YEAR(S4267))</f>
        <v/>
      </c>
      <c r="Q4267" s="521">
        <f>U4267="L001-901905215"</f>
        <v/>
      </c>
      <c r="R4267" s="556">
        <f>G4267-W4267</f>
        <v/>
      </c>
      <c r="S4267" s="523" t="n">
        <v>44545</v>
      </c>
      <c r="T4267" s="522" t="inlineStr">
        <is>
          <t>HT20210144</t>
        </is>
      </c>
      <c r="U4267" s="522" t="inlineStr">
        <is>
          <t>L001-901905215</t>
        </is>
      </c>
      <c r="V4267" s="522" t="inlineStr">
        <is>
          <t>វីអ៊ីស៊ិន (ខេមបូឌា) អ៊ិនដាសស្ទ្រី ឯ.ក</t>
        </is>
      </c>
      <c r="W4267" s="556" t="n">
        <v>28504</v>
      </c>
    </row>
    <row r="4268">
      <c r="A4268" s="521" t="n">
        <v>4260</v>
      </c>
      <c r="B4268" s="522" t="inlineStr">
        <is>
          <t>Documentation and Terminal handing service</t>
        </is>
      </c>
      <c r="C4268" s="522" t="inlineStr">
        <is>
          <t>មើស្គ (ខេមបូឌា)</t>
        </is>
      </c>
      <c r="D4268" s="522" t="inlineStr">
        <is>
          <t>L001-100045200</t>
        </is>
      </c>
      <c r="E4268" s="521" t="inlineStr">
        <is>
          <t>5995883260</t>
        </is>
      </c>
      <c r="F4268" s="523" t="n">
        <v>44531</v>
      </c>
      <c r="G4268" s="556" t="n">
        <v>121256</v>
      </c>
      <c r="I4268" s="521">
        <f>G4268</f>
        <v/>
      </c>
      <c r="K4268" s="521">
        <f>I4268-G4268</f>
        <v/>
      </c>
      <c r="M4268" s="522" t="inlineStr">
        <is>
          <t>5995883260</t>
        </is>
      </c>
      <c r="N4268" s="522" t="inlineStr"/>
      <c r="O4268" s="521">
        <f>M4268=N4268</f>
        <v/>
      </c>
      <c r="P4268" s="521">
        <f>AND(MONTH(F4268)=MONTH(S4268), YEAR(F4268)=YEAR(S4268))</f>
        <v/>
      </c>
      <c r="Q4268" s="521">
        <f>U4268="L001-901905215"</f>
        <v/>
      </c>
      <c r="R4268" s="556">
        <f>G4268-W4268</f>
        <v/>
      </c>
      <c r="S4268" s="521" t="n"/>
      <c r="T4268" s="522" t="n"/>
      <c r="U4268" s="522" t="n"/>
      <c r="V4268" s="522" t="n"/>
      <c r="W4268" s="521" t="n"/>
    </row>
    <row r="4269">
      <c r="A4269" s="521" t="n">
        <v>4261</v>
      </c>
      <c r="B4269" s="522" t="inlineStr">
        <is>
          <t>Lift-On &amp; Lift-Off</t>
        </is>
      </c>
      <c r="C4269" s="522" t="inlineStr">
        <is>
          <t>កំពង់ផែស្វយ័តក្រុងព្រះសីហនុ</t>
        </is>
      </c>
      <c r="D4269" s="522" t="inlineStr">
        <is>
          <t>L001-100044638</t>
        </is>
      </c>
      <c r="E4269" s="521" t="inlineStr">
        <is>
          <t>198601</t>
        </is>
      </c>
      <c r="F4269" s="523" t="n">
        <v>44531</v>
      </c>
      <c r="G4269" s="556" t="n">
        <v>35409</v>
      </c>
      <c r="I4269" s="521">
        <f>G4269</f>
        <v/>
      </c>
      <c r="K4269" s="521">
        <f>I4269-G4269</f>
        <v/>
      </c>
      <c r="M4269" s="522" t="inlineStr">
        <is>
          <t>198601</t>
        </is>
      </c>
      <c r="N4269" s="522" t="inlineStr"/>
      <c r="O4269" s="521">
        <f>M4269=N4269</f>
        <v/>
      </c>
      <c r="P4269" s="521">
        <f>AND(MONTH(F4269)=MONTH(S4269), YEAR(F4269)=YEAR(S4269))</f>
        <v/>
      </c>
      <c r="Q4269" s="521">
        <f>U4269="L001-901905215"</f>
        <v/>
      </c>
      <c r="R4269" s="556">
        <f>G4269-W4269</f>
        <v/>
      </c>
      <c r="S4269" s="521" t="n"/>
      <c r="T4269" s="522" t="n"/>
      <c r="U4269" s="522" t="n"/>
      <c r="V4269" s="522" t="n"/>
      <c r="W4269" s="521" t="n"/>
    </row>
    <row r="4270">
      <c r="A4270" s="521" t="n">
        <v>4262</v>
      </c>
      <c r="B4270" s="522" t="inlineStr">
        <is>
          <t>Trucking Import and Handling Fee</t>
        </is>
      </c>
      <c r="C4270" s="522" t="inlineStr">
        <is>
          <t>ហុង តុង អ៊ិនធើណេសិនណល ឡូជីស្ទីក ឯ.ក</t>
        </is>
      </c>
      <c r="D4270" s="522" t="inlineStr">
        <is>
          <t>K003-902006166</t>
        </is>
      </c>
      <c r="E4270" s="521" t="inlineStr">
        <is>
          <t>HT20210143</t>
        </is>
      </c>
      <c r="F4270" s="523" t="n">
        <v>44545</v>
      </c>
      <c r="G4270" s="556" t="n">
        <v>130304</v>
      </c>
      <c r="I4270" s="521">
        <f>G4270</f>
        <v/>
      </c>
      <c r="K4270" s="521">
        <f>I4270-G4270</f>
        <v/>
      </c>
      <c r="M4270" s="522" t="inlineStr">
        <is>
          <t>HT20210143</t>
        </is>
      </c>
      <c r="N4270" s="522" t="inlineStr">
        <is>
          <t>HT20210143</t>
        </is>
      </c>
      <c r="O4270" s="521">
        <f>M4270=N4270</f>
        <v/>
      </c>
      <c r="P4270" s="521">
        <f>AND(MONTH(F4270)=MONTH(S4270), YEAR(F4270)=YEAR(S4270))</f>
        <v/>
      </c>
      <c r="Q4270" s="521">
        <f>U4270="L001-901905215"</f>
        <v/>
      </c>
      <c r="R4270" s="556">
        <f>G4270-W4270</f>
        <v/>
      </c>
      <c r="S4270" s="523" t="n">
        <v>44545</v>
      </c>
      <c r="T4270" s="522" t="inlineStr">
        <is>
          <t>HT20210143</t>
        </is>
      </c>
      <c r="U4270" s="522" t="inlineStr">
        <is>
          <t>L001-901905215</t>
        </is>
      </c>
      <c r="V4270" s="522" t="inlineStr">
        <is>
          <t>វីអ៊ីស៊ិន (ខេមបូឌា) អ៊ិនដាសស្ទ្រី ឯ.ក</t>
        </is>
      </c>
      <c r="W4270" s="556" t="n">
        <v>130304</v>
      </c>
    </row>
    <row r="4271">
      <c r="A4271" s="521" t="n">
        <v>4263</v>
      </c>
      <c r="B4271" s="522" t="inlineStr">
        <is>
          <t>KHCIC</t>
        </is>
      </c>
      <c r="C4271" s="522" t="inlineStr">
        <is>
          <t>អេសអាយធីស៊ី ខិនថេនើរ ឡាញ (ខេមបូឌា)</t>
        </is>
      </c>
      <c r="D4271" s="522" t="inlineStr">
        <is>
          <t>L001-107035863</t>
        </is>
      </c>
      <c r="E4271" s="521" t="inlineStr">
        <is>
          <t>SITC2021-021921</t>
        </is>
      </c>
      <c r="F4271" s="523" t="n">
        <v>44531</v>
      </c>
      <c r="G4271" s="556" t="n">
        <v>225719</v>
      </c>
      <c r="I4271" s="521">
        <f>G4271</f>
        <v/>
      </c>
      <c r="K4271" s="521">
        <f>I4271-G4271</f>
        <v/>
      </c>
      <c r="M4271" s="522" t="inlineStr">
        <is>
          <t>SITC2021021921</t>
        </is>
      </c>
      <c r="N4271" s="522" t="inlineStr"/>
      <c r="O4271" s="521">
        <f>M4271=N4271</f>
        <v/>
      </c>
      <c r="P4271" s="521">
        <f>AND(MONTH(F4271)=MONTH(S4271), YEAR(F4271)=YEAR(S4271))</f>
        <v/>
      </c>
      <c r="Q4271" s="521">
        <f>U4271="L001-901905215"</f>
        <v/>
      </c>
      <c r="R4271" s="556">
        <f>G4271-W4271</f>
        <v/>
      </c>
      <c r="S4271" s="521" t="n"/>
      <c r="T4271" s="522" t="n"/>
      <c r="U4271" s="522" t="n"/>
      <c r="V4271" s="522" t="n"/>
      <c r="W4271" s="521" t="n"/>
    </row>
    <row r="4272">
      <c r="A4272" s="521" t="n">
        <v>4264</v>
      </c>
      <c r="B4272" s="522" t="inlineStr">
        <is>
          <t>Lift-On &amp; Lift-Off</t>
        </is>
      </c>
      <c r="C4272" s="522" t="inlineStr">
        <is>
          <t>កំពង់ផែស្វយ័តក្រុងព្រះសីហនុ</t>
        </is>
      </c>
      <c r="D4272" s="522" t="inlineStr">
        <is>
          <t>L001-100044638</t>
        </is>
      </c>
      <c r="E4272" s="521" t="inlineStr">
        <is>
          <t>194052</t>
        </is>
      </c>
      <c r="F4272" s="523" t="n">
        <v>44531</v>
      </c>
      <c r="G4272" s="556" t="n">
        <v>35400</v>
      </c>
      <c r="I4272" s="521">
        <f>G4272</f>
        <v/>
      </c>
      <c r="K4272" s="521">
        <f>I4272-G4272</f>
        <v/>
      </c>
      <c r="M4272" s="522" t="inlineStr">
        <is>
          <t>194052</t>
        </is>
      </c>
      <c r="N4272" s="522" t="inlineStr"/>
      <c r="O4272" s="521">
        <f>M4272=N4272</f>
        <v/>
      </c>
      <c r="P4272" s="521">
        <f>AND(MONTH(F4272)=MONTH(S4272), YEAR(F4272)=YEAR(S4272))</f>
        <v/>
      </c>
      <c r="Q4272" s="521">
        <f>U4272="L001-901905215"</f>
        <v/>
      </c>
      <c r="R4272" s="556">
        <f>G4272-W4272</f>
        <v/>
      </c>
      <c r="S4272" s="521" t="n"/>
      <c r="T4272" s="522" t="n"/>
      <c r="U4272" s="522" t="n"/>
      <c r="V4272" s="522" t="n"/>
      <c r="W4272" s="521" t="n"/>
    </row>
    <row r="4273">
      <c r="A4273" s="521" t="n">
        <v>4265</v>
      </c>
      <c r="B4273" s="522" t="inlineStr">
        <is>
          <t>Trucking Import and Handling Fee</t>
        </is>
      </c>
      <c r="C4273" s="522" t="inlineStr">
        <is>
          <t>ហុង តុង អ៊ិនធើណេសិនណល ឡូជីស្ទីក ឯ.ក</t>
        </is>
      </c>
      <c r="D4273" s="522" t="inlineStr">
        <is>
          <t>K003-902006166</t>
        </is>
      </c>
      <c r="E4273" s="521" t="inlineStr">
        <is>
          <t>HT20210142</t>
        </is>
      </c>
      <c r="F4273" s="523" t="n">
        <v>44544</v>
      </c>
      <c r="G4273" s="556" t="n">
        <v>130304</v>
      </c>
      <c r="I4273" s="521">
        <f>G4273</f>
        <v/>
      </c>
      <c r="K4273" s="521">
        <f>I4273-G4273</f>
        <v/>
      </c>
      <c r="M4273" s="522" t="inlineStr">
        <is>
          <t>HT20210142</t>
        </is>
      </c>
      <c r="N4273" s="522" t="inlineStr">
        <is>
          <t>HT20210142</t>
        </is>
      </c>
      <c r="O4273" s="521">
        <f>M4273=N4273</f>
        <v/>
      </c>
      <c r="P4273" s="521">
        <f>AND(MONTH(F4273)=MONTH(S4273), YEAR(F4273)=YEAR(S4273))</f>
        <v/>
      </c>
      <c r="Q4273" s="521">
        <f>U4273="L001-901905215"</f>
        <v/>
      </c>
      <c r="R4273" s="556">
        <f>G4273-W4273</f>
        <v/>
      </c>
      <c r="S4273" s="523" t="n">
        <v>44544</v>
      </c>
      <c r="T4273" s="522" t="inlineStr">
        <is>
          <t>HT20210142</t>
        </is>
      </c>
      <c r="U4273" s="522" t="inlineStr">
        <is>
          <t>L001-901905215</t>
        </is>
      </c>
      <c r="V4273" s="522" t="inlineStr">
        <is>
          <t>វីអ៊ីស៊ិន (ខេមបូឌា) អ៊ិនដាសស្ទ្រី ឯ.ក</t>
        </is>
      </c>
      <c r="W4273" s="556" t="n">
        <v>130304</v>
      </c>
    </row>
    <row r="4274">
      <c r="A4274" s="521" t="n">
        <v>4266</v>
      </c>
      <c r="B4274" s="522" t="inlineStr">
        <is>
          <t>Handing and Management fee</t>
        </is>
      </c>
      <c r="C4274" s="522" t="inlineStr">
        <is>
          <t>អ៊ែរ៉ូ ស៊ីបភីង អេជេនស៊ី</t>
        </is>
      </c>
      <c r="D4274" s="522" t="inlineStr">
        <is>
          <t>K004-901635903</t>
        </is>
      </c>
      <c r="E4274" s="521" t="inlineStr">
        <is>
          <t>IKPSA2021536818</t>
        </is>
      </c>
      <c r="F4274" s="523" t="n">
        <v>44531</v>
      </c>
      <c r="G4274" s="556" t="n">
        <v>113904</v>
      </c>
      <c r="I4274" s="521">
        <f>G4274</f>
        <v/>
      </c>
      <c r="K4274" s="521">
        <f>I4274-G4274</f>
        <v/>
      </c>
      <c r="M4274" s="522" t="inlineStr">
        <is>
          <t>IKPSA2021536818</t>
        </is>
      </c>
      <c r="N4274" s="522" t="inlineStr"/>
      <c r="O4274" s="521">
        <f>M4274=N4274</f>
        <v/>
      </c>
      <c r="P4274" s="521">
        <f>AND(MONTH(F4274)=MONTH(S4274), YEAR(F4274)=YEAR(S4274))</f>
        <v/>
      </c>
      <c r="Q4274" s="521">
        <f>U4274="L001-901905215"</f>
        <v/>
      </c>
      <c r="R4274" s="556">
        <f>G4274-W4274</f>
        <v/>
      </c>
      <c r="S4274" s="521" t="n"/>
      <c r="T4274" s="522" t="n"/>
      <c r="U4274" s="522" t="n"/>
      <c r="V4274" s="522" t="n"/>
      <c r="W4274" s="521" t="n"/>
    </row>
    <row r="4275">
      <c r="A4275" s="521" t="n">
        <v>4267</v>
      </c>
      <c r="B4275" s="522" t="inlineStr">
        <is>
          <t>LOCVASTRUCKIRAIL</t>
        </is>
      </c>
      <c r="C4275" s="522" t="inlineStr">
        <is>
          <t>អ៊ែរ៉ូ ស៊ីបភីង អេជេនស៊ី</t>
        </is>
      </c>
      <c r="D4275" s="522" t="inlineStr">
        <is>
          <t>K004-901635903</t>
        </is>
      </c>
      <c r="E4275" s="521" t="inlineStr">
        <is>
          <t>IKPSA2021536816</t>
        </is>
      </c>
      <c r="F4275" s="523" t="n">
        <v>44531</v>
      </c>
      <c r="G4275" s="556" t="n">
        <v>1849</v>
      </c>
      <c r="I4275" s="521">
        <f>G4275</f>
        <v/>
      </c>
      <c r="K4275" s="521">
        <f>I4275-G4275</f>
        <v/>
      </c>
      <c r="M4275" s="522" t="inlineStr">
        <is>
          <t>IKPSA2021536816</t>
        </is>
      </c>
      <c r="N4275" s="522" t="inlineStr"/>
      <c r="O4275" s="521">
        <f>M4275=N4275</f>
        <v/>
      </c>
      <c r="P4275" s="521">
        <f>AND(MONTH(F4275)=MONTH(S4275), YEAR(F4275)=YEAR(S4275))</f>
        <v/>
      </c>
      <c r="Q4275" s="521">
        <f>U4275="L001-901905215"</f>
        <v/>
      </c>
      <c r="R4275" s="556">
        <f>G4275-W4275</f>
        <v/>
      </c>
      <c r="S4275" s="521" t="n"/>
      <c r="T4275" s="522" t="n"/>
      <c r="U4275" s="522" t="n"/>
      <c r="V4275" s="522" t="n"/>
      <c r="W4275" s="521" t="n"/>
    </row>
    <row r="4276">
      <c r="A4276" s="521" t="n">
        <v>4268</v>
      </c>
      <c r="B4276" s="522" t="inlineStr">
        <is>
          <t>CONTAINER IMBALANCE CHRG</t>
        </is>
      </c>
      <c r="C4276" s="522" t="inlineStr">
        <is>
          <t>អ៊ែរ៉ូ ស៊ីបភីង អេជេនស៊ី</t>
        </is>
      </c>
      <c r="D4276" s="522" t="inlineStr">
        <is>
          <t>K004-901635903</t>
        </is>
      </c>
      <c r="E4276" s="521" t="inlineStr">
        <is>
          <t>IKPSA2021536815</t>
        </is>
      </c>
      <c r="F4276" s="523" t="n">
        <v>44531</v>
      </c>
      <c r="G4276" s="556" t="n">
        <v>97632</v>
      </c>
      <c r="I4276" s="521">
        <f>G4276</f>
        <v/>
      </c>
      <c r="K4276" s="521">
        <f>I4276-G4276</f>
        <v/>
      </c>
      <c r="M4276" s="522" t="inlineStr">
        <is>
          <t>IKPSA2021536815</t>
        </is>
      </c>
      <c r="N4276" s="522" t="inlineStr"/>
      <c r="O4276" s="521">
        <f>M4276=N4276</f>
        <v/>
      </c>
      <c r="P4276" s="521">
        <f>AND(MONTH(F4276)=MONTH(S4276), YEAR(F4276)=YEAR(S4276))</f>
        <v/>
      </c>
      <c r="Q4276" s="521">
        <f>U4276="L001-901905215"</f>
        <v/>
      </c>
      <c r="R4276" s="556">
        <f>G4276-W4276</f>
        <v/>
      </c>
      <c r="S4276" s="521" t="n"/>
      <c r="T4276" s="522" t="n"/>
      <c r="U4276" s="522" t="n"/>
      <c r="V4276" s="522" t="n"/>
      <c r="W4276" s="521" t="n"/>
    </row>
    <row r="4277">
      <c r="A4277" s="521" t="n">
        <v>4269</v>
      </c>
      <c r="B4277" s="522" t="inlineStr">
        <is>
          <t>Lift-On &amp; Lift-Off</t>
        </is>
      </c>
      <c r="C4277" s="522" t="inlineStr">
        <is>
          <t>កំពង់ផែស្វយ័តក្រុងព្រះសីហនុ</t>
        </is>
      </c>
      <c r="D4277" s="522" t="inlineStr">
        <is>
          <t>L001-100044638</t>
        </is>
      </c>
      <c r="E4277" s="521" t="inlineStr">
        <is>
          <t>192545</t>
        </is>
      </c>
      <c r="F4277" s="523" t="n">
        <v>44531</v>
      </c>
      <c r="G4277" s="556" t="n">
        <v>35383</v>
      </c>
      <c r="I4277" s="521">
        <f>G4277</f>
        <v/>
      </c>
      <c r="K4277" s="521">
        <f>I4277-G4277</f>
        <v/>
      </c>
      <c r="M4277" s="522" t="inlineStr">
        <is>
          <t>192545</t>
        </is>
      </c>
      <c r="N4277" s="522" t="inlineStr"/>
      <c r="O4277" s="521">
        <f>M4277=N4277</f>
        <v/>
      </c>
      <c r="P4277" s="521">
        <f>AND(MONTH(F4277)=MONTH(S4277), YEAR(F4277)=YEAR(S4277))</f>
        <v/>
      </c>
      <c r="Q4277" s="521">
        <f>U4277="L001-901905215"</f>
        <v/>
      </c>
      <c r="R4277" s="556">
        <f>G4277-W4277</f>
        <v/>
      </c>
      <c r="S4277" s="521" t="n"/>
      <c r="T4277" s="522" t="n"/>
      <c r="U4277" s="522" t="n"/>
      <c r="V4277" s="522" t="n"/>
      <c r="W4277" s="521" t="n"/>
    </row>
    <row r="4278">
      <c r="A4278" s="521" t="n">
        <v>4270</v>
      </c>
      <c r="B4278" s="522" t="inlineStr">
        <is>
          <t>Trucking Import and Handling Fee</t>
        </is>
      </c>
      <c r="C4278" s="522" t="inlineStr">
        <is>
          <t>ហុង តុង អ៊ិនធើណេសិនណល ឡូជីស្ទីក ឯ.ក</t>
        </is>
      </c>
      <c r="D4278" s="522" t="inlineStr">
        <is>
          <t>K003-902006166</t>
        </is>
      </c>
      <c r="E4278" s="521" t="inlineStr">
        <is>
          <t>HT20210141</t>
        </is>
      </c>
      <c r="F4278" s="523" t="n">
        <v>44544</v>
      </c>
      <c r="G4278" s="556" t="n">
        <v>130304</v>
      </c>
      <c r="I4278" s="521">
        <f>G4278</f>
        <v/>
      </c>
      <c r="K4278" s="521">
        <f>I4278-G4278</f>
        <v/>
      </c>
      <c r="M4278" s="522" t="inlineStr">
        <is>
          <t>HT20210141</t>
        </is>
      </c>
      <c r="N4278" s="522" t="inlineStr">
        <is>
          <t>HT20210141</t>
        </is>
      </c>
      <c r="O4278" s="521">
        <f>M4278=N4278</f>
        <v/>
      </c>
      <c r="P4278" s="521">
        <f>AND(MONTH(F4278)=MONTH(S4278), YEAR(F4278)=YEAR(S4278))</f>
        <v/>
      </c>
      <c r="Q4278" s="521">
        <f>U4278="L001-901905215"</f>
        <v/>
      </c>
      <c r="R4278" s="556">
        <f>G4278-W4278</f>
        <v/>
      </c>
      <c r="S4278" s="523" t="n">
        <v>44544</v>
      </c>
      <c r="T4278" s="522" t="inlineStr">
        <is>
          <t>HT20210141</t>
        </is>
      </c>
      <c r="U4278" s="522" t="inlineStr">
        <is>
          <t>L001-901905215</t>
        </is>
      </c>
      <c r="V4278" s="522" t="inlineStr">
        <is>
          <t>វីអ៊ីស៊ិន (ខេមបូឌា) អ៊ិនដាសស្ទ្រី ឯ.ក</t>
        </is>
      </c>
      <c r="W4278" s="556" t="n">
        <v>130304</v>
      </c>
    </row>
    <row r="4279">
      <c r="A4279" s="521" t="n">
        <v>4271</v>
      </c>
      <c r="B4279" s="522" t="inlineStr">
        <is>
          <t>THC and DOC fee</t>
        </is>
      </c>
      <c r="C4279" s="522" t="inlineStr">
        <is>
          <t>ស្ត្រេតស៍ អ៊ិនធើណេសិនណល ភីធីអ៊ី អិលធីឌី</t>
        </is>
      </c>
      <c r="D4279" s="522" t="inlineStr">
        <is>
          <t>L001-100045162</t>
        </is>
      </c>
      <c r="E4279" s="521" t="inlineStr">
        <is>
          <t>2121383</t>
        </is>
      </c>
      <c r="F4279" s="523" t="n">
        <v>44531</v>
      </c>
      <c r="G4279" s="556" t="n">
        <v>83517</v>
      </c>
      <c r="I4279" s="521">
        <f>G4279</f>
        <v/>
      </c>
      <c r="K4279" s="521">
        <f>I4279-G4279</f>
        <v/>
      </c>
      <c r="M4279" s="522" t="inlineStr">
        <is>
          <t>2121383</t>
        </is>
      </c>
      <c r="N4279" s="522" t="inlineStr"/>
      <c r="O4279" s="521">
        <f>M4279=N4279</f>
        <v/>
      </c>
      <c r="P4279" s="521">
        <f>AND(MONTH(F4279)=MONTH(S4279), YEAR(F4279)=YEAR(S4279))</f>
        <v/>
      </c>
      <c r="Q4279" s="521">
        <f>U4279="L001-901905215"</f>
        <v/>
      </c>
      <c r="R4279" s="556">
        <f>G4279-W4279</f>
        <v/>
      </c>
      <c r="S4279" s="521" t="n"/>
      <c r="T4279" s="522" t="n"/>
      <c r="U4279" s="522" t="n"/>
      <c r="V4279" s="522" t="n"/>
      <c r="W4279" s="521" t="n"/>
    </row>
    <row r="4280">
      <c r="A4280" s="521" t="n">
        <v>4272</v>
      </c>
      <c r="B4280" s="522" t="inlineStr">
        <is>
          <t>Lift-On &amp; Lift-Off</t>
        </is>
      </c>
      <c r="C4280" s="522" t="inlineStr">
        <is>
          <t>កំពង់ផែស្វយ័តក្រុងព្រះសីហនុ</t>
        </is>
      </c>
      <c r="D4280" s="522" t="inlineStr">
        <is>
          <t>L001-100044638</t>
        </is>
      </c>
      <c r="E4280" s="521" t="inlineStr">
        <is>
          <t>188199</t>
        </is>
      </c>
      <c r="F4280" s="523" t="n">
        <v>44531</v>
      </c>
      <c r="G4280" s="556" t="n">
        <v>23188</v>
      </c>
      <c r="I4280" s="521">
        <f>G4280</f>
        <v/>
      </c>
      <c r="K4280" s="521">
        <f>I4280-G4280</f>
        <v/>
      </c>
      <c r="M4280" s="522" t="inlineStr">
        <is>
          <t>188199</t>
        </is>
      </c>
      <c r="N4280" s="522" t="inlineStr"/>
      <c r="O4280" s="521">
        <f>M4280=N4280</f>
        <v/>
      </c>
      <c r="P4280" s="521">
        <f>AND(MONTH(F4280)=MONTH(S4280), YEAR(F4280)=YEAR(S4280))</f>
        <v/>
      </c>
      <c r="Q4280" s="521">
        <f>U4280="L001-901905215"</f>
        <v/>
      </c>
      <c r="R4280" s="556">
        <f>G4280-W4280</f>
        <v/>
      </c>
      <c r="S4280" s="521" t="n"/>
      <c r="T4280" s="522" t="n"/>
      <c r="U4280" s="522" t="n"/>
      <c r="V4280" s="522" t="n"/>
      <c r="W4280" s="521" t="n"/>
    </row>
    <row r="4281">
      <c r="A4281" s="521" t="n">
        <v>4273</v>
      </c>
      <c r="B4281" s="522" t="inlineStr">
        <is>
          <t>Trucking Import and Handling Fee</t>
        </is>
      </c>
      <c r="C4281" s="522" t="inlineStr">
        <is>
          <t>ហុង តុង អ៊ិនធើណេសិនណល ឡូជីស្ទីក ឯ.ក</t>
        </is>
      </c>
      <c r="D4281" s="522" t="inlineStr">
        <is>
          <t>K003-902006166</t>
        </is>
      </c>
      <c r="E4281" s="521" t="inlineStr">
        <is>
          <t>HT20210140</t>
        </is>
      </c>
      <c r="F4281" s="523" t="n">
        <v>44539</v>
      </c>
      <c r="G4281" s="556" t="n">
        <v>126232</v>
      </c>
      <c r="I4281" s="521">
        <f>G4281</f>
        <v/>
      </c>
      <c r="K4281" s="521">
        <f>I4281-G4281</f>
        <v/>
      </c>
      <c r="M4281" s="522" t="inlineStr">
        <is>
          <t>HT20210140</t>
        </is>
      </c>
      <c r="N4281" s="522" t="inlineStr">
        <is>
          <t>HT20210140</t>
        </is>
      </c>
      <c r="O4281" s="521">
        <f>M4281=N4281</f>
        <v/>
      </c>
      <c r="P4281" s="521">
        <f>AND(MONTH(F4281)=MONTH(S4281), YEAR(F4281)=YEAR(S4281))</f>
        <v/>
      </c>
      <c r="Q4281" s="521">
        <f>U4281="L001-901905215"</f>
        <v/>
      </c>
      <c r="R4281" s="556">
        <f>G4281-W4281</f>
        <v/>
      </c>
      <c r="S4281" s="523" t="n">
        <v>44539</v>
      </c>
      <c r="T4281" s="522" t="inlineStr">
        <is>
          <t>HT20210140</t>
        </is>
      </c>
      <c r="U4281" s="522" t="inlineStr">
        <is>
          <t>L001-901905215</t>
        </is>
      </c>
      <c r="V4281" s="522" t="inlineStr">
        <is>
          <t>វីអ៊ីស៊ិន (ខេមបូឌា) អ៊ិនដាសស្ទ្រី ឯ.ក</t>
        </is>
      </c>
      <c r="W4281" s="556" t="n">
        <v>126232</v>
      </c>
    </row>
    <row r="4282">
      <c r="A4282" s="521" t="n">
        <v>4274</v>
      </c>
      <c r="B4282" s="522" t="inlineStr">
        <is>
          <t>Documentation and Terminal handing service</t>
        </is>
      </c>
      <c r="C4282" s="522" t="inlineStr">
        <is>
          <t>មើស្គ (ខេមបូឌា)</t>
        </is>
      </c>
      <c r="D4282" s="522" t="inlineStr">
        <is>
          <t>L001-100045200</t>
        </is>
      </c>
      <c r="E4282" s="521" t="inlineStr">
        <is>
          <t>5995882402</t>
        </is>
      </c>
      <c r="F4282" s="523" t="n">
        <v>44531</v>
      </c>
      <c r="G4282" s="556" t="n">
        <v>218152</v>
      </c>
      <c r="I4282" s="521">
        <f>G4282</f>
        <v/>
      </c>
      <c r="K4282" s="521">
        <f>I4282-G4282</f>
        <v/>
      </c>
      <c r="M4282" s="522" t="inlineStr">
        <is>
          <t>5995882402</t>
        </is>
      </c>
      <c r="N4282" s="522" t="inlineStr"/>
      <c r="O4282" s="521">
        <f>M4282=N4282</f>
        <v/>
      </c>
      <c r="P4282" s="521">
        <f>AND(MONTH(F4282)=MONTH(S4282), YEAR(F4282)=YEAR(S4282))</f>
        <v/>
      </c>
      <c r="Q4282" s="521">
        <f>U4282="L001-901905215"</f>
        <v/>
      </c>
      <c r="R4282" s="556">
        <f>G4282-W4282</f>
        <v/>
      </c>
      <c r="S4282" s="521" t="n"/>
      <c r="T4282" s="522" t="n"/>
      <c r="U4282" s="522" t="n"/>
      <c r="V4282" s="522" t="n"/>
      <c r="W4282" s="521" t="n"/>
    </row>
    <row r="4283">
      <c r="A4283" s="521" t="n">
        <v>4275</v>
      </c>
      <c r="B4283" s="522" t="inlineStr">
        <is>
          <t>Lift-On &amp; Lift-Off</t>
        </is>
      </c>
      <c r="C4283" s="522" t="inlineStr">
        <is>
          <t>កំពង់ផែស្វយ័តក្រុងព្រះសីហនុ</t>
        </is>
      </c>
      <c r="D4283" s="522" t="inlineStr">
        <is>
          <t>L001-100044638</t>
        </is>
      </c>
      <c r="E4283" s="521" t="inlineStr">
        <is>
          <t>186403</t>
        </is>
      </c>
      <c r="F4283" s="523" t="n">
        <v>44531</v>
      </c>
      <c r="G4283" s="556" t="n">
        <v>70835</v>
      </c>
      <c r="I4283" s="521">
        <f>G4283</f>
        <v/>
      </c>
      <c r="K4283" s="521">
        <f>I4283-G4283</f>
        <v/>
      </c>
      <c r="M4283" s="522" t="inlineStr">
        <is>
          <t>186403</t>
        </is>
      </c>
      <c r="N4283" s="522" t="inlineStr"/>
      <c r="O4283" s="521">
        <f>M4283=N4283</f>
        <v/>
      </c>
      <c r="P4283" s="521">
        <f>AND(MONTH(F4283)=MONTH(S4283), YEAR(F4283)=YEAR(S4283))</f>
        <v/>
      </c>
      <c r="Q4283" s="521">
        <f>U4283="L001-901905215"</f>
        <v/>
      </c>
      <c r="R4283" s="556">
        <f>G4283-W4283</f>
        <v/>
      </c>
      <c r="S4283" s="521" t="n"/>
      <c r="T4283" s="522" t="n"/>
      <c r="U4283" s="522" t="n"/>
      <c r="V4283" s="522" t="n"/>
      <c r="W4283" s="521" t="n"/>
    </row>
    <row r="4284">
      <c r="A4284" s="521" t="n">
        <v>4276</v>
      </c>
      <c r="B4284" s="522" t="inlineStr">
        <is>
          <t>Trucking Import and Handling Fee</t>
        </is>
      </c>
      <c r="C4284" s="522" t="inlineStr">
        <is>
          <t>ហុង តុង អ៊ិនធើណេសិនណល ឡូជីស្ទីក ឯ.ក</t>
        </is>
      </c>
      <c r="D4284" s="522" t="inlineStr">
        <is>
          <t>K003-902006166</t>
        </is>
      </c>
      <c r="E4284" s="521" t="inlineStr">
        <is>
          <t>HT202101139</t>
        </is>
      </c>
      <c r="F4284" s="523" t="n">
        <v>44539</v>
      </c>
      <c r="G4284" s="556" t="n">
        <v>260608</v>
      </c>
      <c r="I4284" s="521">
        <f>G4284</f>
        <v/>
      </c>
      <c r="K4284" s="521">
        <f>I4284-G4284</f>
        <v/>
      </c>
      <c r="M4284" s="522" t="inlineStr">
        <is>
          <t>HT202101139</t>
        </is>
      </c>
      <c r="N4284" s="522" t="inlineStr"/>
      <c r="O4284" s="521">
        <f>M4284=N4284</f>
        <v/>
      </c>
      <c r="P4284" s="521">
        <f>AND(MONTH(F4284)=MONTH(S4284), YEAR(F4284)=YEAR(S4284))</f>
        <v/>
      </c>
      <c r="Q4284" s="521">
        <f>U4284="L001-901905215"</f>
        <v/>
      </c>
      <c r="R4284" s="556">
        <f>G4284-W4284</f>
        <v/>
      </c>
      <c r="S4284" s="521" t="n"/>
      <c r="T4284" s="522" t="n"/>
      <c r="U4284" s="522" t="n"/>
      <c r="V4284" s="522" t="n"/>
      <c r="W4284" s="521" t="n"/>
    </row>
    <row r="4285">
      <c r="A4285" s="521" t="n">
        <v>4277</v>
      </c>
      <c r="B4285" s="522" t="inlineStr">
        <is>
          <t>THC and management fee</t>
        </is>
      </c>
      <c r="C4285" s="522" t="inlineStr">
        <is>
          <t>អ៊ិចស្ពែឌីធ័រ ខេមបូឌា អិលធីឌី</t>
        </is>
      </c>
      <c r="D4285" s="522" t="inlineStr">
        <is>
          <t>L001-100045898</t>
        </is>
      </c>
      <c r="E4285" s="521" t="inlineStr">
        <is>
          <t>TI-0217707</t>
        </is>
      </c>
      <c r="F4285" s="523" t="n">
        <v>44552</v>
      </c>
      <c r="G4285" s="556" t="n">
        <v>156034</v>
      </c>
      <c r="I4285" s="521">
        <f>G4285</f>
        <v/>
      </c>
      <c r="K4285" s="521">
        <f>I4285-G4285</f>
        <v/>
      </c>
      <c r="M4285" s="522" t="inlineStr">
        <is>
          <t>TI0217707</t>
        </is>
      </c>
      <c r="N4285" s="522" t="inlineStr">
        <is>
          <t>TI0217707</t>
        </is>
      </c>
      <c r="O4285" s="521">
        <f>M4285=N4285</f>
        <v/>
      </c>
      <c r="P4285" s="521">
        <f>AND(MONTH(F4285)=MONTH(S4285), YEAR(F4285)=YEAR(S4285))</f>
        <v/>
      </c>
      <c r="Q4285" s="521">
        <f>U4285="L001-901905215"</f>
        <v/>
      </c>
      <c r="R4285" s="556">
        <f>G4285-W4285</f>
        <v/>
      </c>
      <c r="S4285" s="523" t="n">
        <v>44552</v>
      </c>
      <c r="T4285" s="522" t="inlineStr">
        <is>
          <t>TI-0217707</t>
        </is>
      </c>
      <c r="U4285" s="522" t="inlineStr">
        <is>
          <t>L001-901905215</t>
        </is>
      </c>
      <c r="V4285" s="522" t="inlineStr">
        <is>
          <t>វីអ៊ីស៊ិន (ខេមបូឌា) អ៊ិនដាសស្ទ្រី ឯ.ក</t>
        </is>
      </c>
      <c r="W4285" s="556" t="n">
        <v>156034</v>
      </c>
    </row>
    <row r="4286">
      <c r="A4286" s="521" t="n">
        <v>4278</v>
      </c>
      <c r="B4286" s="522" t="inlineStr">
        <is>
          <t>THC and management fee</t>
        </is>
      </c>
      <c r="C4286" s="522" t="inlineStr">
        <is>
          <t>អ៊ិចស្ពែឌីធ័រ ខេមបូឌា អិលធីឌី</t>
        </is>
      </c>
      <c r="D4286" s="522" t="inlineStr">
        <is>
          <t>L001-100045898</t>
        </is>
      </c>
      <c r="E4286" s="521" t="inlineStr">
        <is>
          <t>TI-0217706</t>
        </is>
      </c>
      <c r="F4286" s="523" t="n">
        <v>44552</v>
      </c>
      <c r="G4286" s="556" t="n">
        <v>180478</v>
      </c>
      <c r="I4286" s="521">
        <f>G4286</f>
        <v/>
      </c>
      <c r="K4286" s="521">
        <f>I4286-G4286</f>
        <v/>
      </c>
      <c r="M4286" s="522" t="inlineStr">
        <is>
          <t>TI0217706</t>
        </is>
      </c>
      <c r="N4286" s="522" t="inlineStr">
        <is>
          <t>TI0217706</t>
        </is>
      </c>
      <c r="O4286" s="521">
        <f>M4286=N4286</f>
        <v/>
      </c>
      <c r="P4286" s="521">
        <f>AND(MONTH(F4286)=MONTH(S4286), YEAR(F4286)=YEAR(S4286))</f>
        <v/>
      </c>
      <c r="Q4286" s="521">
        <f>U4286="L001-901905215"</f>
        <v/>
      </c>
      <c r="R4286" s="556">
        <f>G4286-W4286</f>
        <v/>
      </c>
      <c r="S4286" s="523" t="n">
        <v>44552</v>
      </c>
      <c r="T4286" s="522" t="inlineStr">
        <is>
          <t>TI-0217706</t>
        </is>
      </c>
      <c r="U4286" s="522" t="inlineStr">
        <is>
          <t>L001-901905215</t>
        </is>
      </c>
      <c r="V4286" s="522" t="inlineStr">
        <is>
          <t>វីអ៊ីស៊ិន (ខេមបូឌា) អ៊ិនដាសស្ទ្រី ឯ.ក</t>
        </is>
      </c>
      <c r="W4286" s="556" t="n">
        <v>180478</v>
      </c>
    </row>
    <row r="4287">
      <c r="A4287" s="521" t="n">
        <v>4279</v>
      </c>
      <c r="B4287" s="522" t="inlineStr">
        <is>
          <t>THC and management fee</t>
        </is>
      </c>
      <c r="C4287" s="522" t="inlineStr">
        <is>
          <t>អ៊ិចស្ពែឌីធ័រ ខេមបូឌា អិលធីឌី</t>
        </is>
      </c>
      <c r="D4287" s="522" t="inlineStr">
        <is>
          <t>L001-100045898</t>
        </is>
      </c>
      <c r="E4287" s="521" t="inlineStr">
        <is>
          <t>TI-0216971</t>
        </is>
      </c>
      <c r="F4287" s="523" t="n">
        <v>44544</v>
      </c>
      <c r="G4287" s="556" t="n">
        <v>456878</v>
      </c>
      <c r="I4287" s="521">
        <f>G4287</f>
        <v/>
      </c>
      <c r="K4287" s="521">
        <f>I4287-G4287</f>
        <v/>
      </c>
      <c r="M4287" s="522" t="inlineStr">
        <is>
          <t>TI0216971</t>
        </is>
      </c>
      <c r="N4287" s="522" t="inlineStr">
        <is>
          <t>TI0216971</t>
        </is>
      </c>
      <c r="O4287" s="521">
        <f>M4287=N4287</f>
        <v/>
      </c>
      <c r="P4287" s="521">
        <f>AND(MONTH(F4287)=MONTH(S4287), YEAR(F4287)=YEAR(S4287))</f>
        <v/>
      </c>
      <c r="Q4287" s="521">
        <f>U4287="L001-901905215"</f>
        <v/>
      </c>
      <c r="R4287" s="556">
        <f>G4287-W4287</f>
        <v/>
      </c>
      <c r="S4287" s="523" t="n">
        <v>44544</v>
      </c>
      <c r="T4287" s="522" t="inlineStr">
        <is>
          <t>TI-0216971</t>
        </is>
      </c>
      <c r="U4287" s="522" t="inlineStr">
        <is>
          <t>L001-901905215</t>
        </is>
      </c>
      <c r="V4287" s="522" t="inlineStr">
        <is>
          <t>វីអ៊ីស៊ិន (ខេមបូឌា) អ៊ិនដាសស្ទ្រី ឯ.ក</t>
        </is>
      </c>
      <c r="W4287" s="556" t="n">
        <v>456878</v>
      </c>
    </row>
    <row r="4288">
      <c r="A4288" s="521" t="n">
        <v>4280</v>
      </c>
      <c r="B4288" s="522" t="inlineStr">
        <is>
          <t>THC and management fee</t>
        </is>
      </c>
      <c r="C4288" s="522" t="inlineStr">
        <is>
          <t>អ៊ិចស្ពែឌីធ័រ ខេមបូឌា អិលធីឌី</t>
        </is>
      </c>
      <c r="D4288" s="522" t="inlineStr">
        <is>
          <t>L001-100045898</t>
        </is>
      </c>
      <c r="E4288" s="521" t="inlineStr">
        <is>
          <t>TI-0216970</t>
        </is>
      </c>
      <c r="F4288" s="523" t="n">
        <v>44544</v>
      </c>
      <c r="G4288" s="556" t="n">
        <v>336347</v>
      </c>
      <c r="I4288" s="521">
        <f>G4288</f>
        <v/>
      </c>
      <c r="K4288" s="521">
        <f>I4288-G4288</f>
        <v/>
      </c>
      <c r="M4288" s="522" t="inlineStr">
        <is>
          <t>TI0216970</t>
        </is>
      </c>
      <c r="N4288" s="522" t="inlineStr">
        <is>
          <t>TI0216970</t>
        </is>
      </c>
      <c r="O4288" s="521">
        <f>M4288=N4288</f>
        <v/>
      </c>
      <c r="P4288" s="521">
        <f>AND(MONTH(F4288)=MONTH(S4288), YEAR(F4288)=YEAR(S4288))</f>
        <v/>
      </c>
      <c r="Q4288" s="521">
        <f>U4288="L001-901905215"</f>
        <v/>
      </c>
      <c r="R4288" s="556">
        <f>G4288-W4288</f>
        <v/>
      </c>
      <c r="S4288" s="523" t="n">
        <v>44544</v>
      </c>
      <c r="T4288" s="522" t="inlineStr">
        <is>
          <t>TI-0216970</t>
        </is>
      </c>
      <c r="U4288" s="522" t="inlineStr">
        <is>
          <t>L001-901905215</t>
        </is>
      </c>
      <c r="V4288" s="522" t="inlineStr">
        <is>
          <t>វីអ៊ីស៊ិន (ខេមបូឌា) អ៊ិនដាសស្ទ្រី ឯ.ក</t>
        </is>
      </c>
      <c r="W4288" s="556" t="n">
        <v>336347</v>
      </c>
    </row>
    <row r="4289">
      <c r="A4289" s="521" t="n">
        <v>4281</v>
      </c>
      <c r="B4289" s="522" t="inlineStr">
        <is>
          <t>THC and management fee</t>
        </is>
      </c>
      <c r="C4289" s="522" t="inlineStr">
        <is>
          <t>អ៊ិចស្ពែឌីធ័រ ខេមបូឌា អិលធីឌី</t>
        </is>
      </c>
      <c r="D4289" s="522" t="inlineStr">
        <is>
          <t>L001-100045898</t>
        </is>
      </c>
      <c r="E4289" s="521" t="inlineStr">
        <is>
          <t>100045898</t>
        </is>
      </c>
      <c r="F4289" s="523" t="n">
        <v>44544</v>
      </c>
      <c r="G4289" s="556" t="n">
        <v>552978</v>
      </c>
      <c r="I4289" s="521">
        <f>G4289</f>
        <v/>
      </c>
      <c r="K4289" s="521">
        <f>I4289-G4289</f>
        <v/>
      </c>
      <c r="M4289" s="522" t="inlineStr">
        <is>
          <t>100045898</t>
        </is>
      </c>
      <c r="N4289" s="522" t="inlineStr"/>
      <c r="O4289" s="521">
        <f>M4289=N4289</f>
        <v/>
      </c>
      <c r="P4289" s="521">
        <f>AND(MONTH(F4289)=MONTH(S4289), YEAR(F4289)=YEAR(S4289))</f>
        <v/>
      </c>
      <c r="Q4289" s="521">
        <f>U4289="L001-901905215"</f>
        <v/>
      </c>
      <c r="R4289" s="556">
        <f>G4289-W4289</f>
        <v/>
      </c>
      <c r="S4289" s="521" t="n"/>
      <c r="T4289" s="522" t="n"/>
      <c r="U4289" s="522" t="n"/>
      <c r="V4289" s="522" t="n"/>
      <c r="W4289" s="521" t="n"/>
    </row>
    <row r="4290">
      <c r="A4290" s="521" t="n">
        <v>4282</v>
      </c>
      <c r="B4290" s="522" t="inlineStr">
        <is>
          <t>THC and management fee</t>
        </is>
      </c>
      <c r="C4290" s="522" t="inlineStr">
        <is>
          <t>អ៊ិចស្ពែឌីធ័រ ខេមបូឌា អិលធីឌី</t>
        </is>
      </c>
      <c r="D4290" s="522" t="inlineStr">
        <is>
          <t>L001-100045898</t>
        </is>
      </c>
      <c r="E4290" s="521" t="inlineStr">
        <is>
          <t>TI-0216968</t>
        </is>
      </c>
      <c r="F4290" s="523" t="n">
        <v>44544</v>
      </c>
      <c r="G4290" s="556" t="n">
        <v>336347</v>
      </c>
      <c r="I4290" s="521">
        <f>G4290</f>
        <v/>
      </c>
      <c r="K4290" s="521">
        <f>I4290-G4290</f>
        <v/>
      </c>
      <c r="M4290" s="522" t="inlineStr">
        <is>
          <t>TI0216968</t>
        </is>
      </c>
      <c r="N4290" s="522" t="inlineStr">
        <is>
          <t>TI0216968</t>
        </is>
      </c>
      <c r="O4290" s="521">
        <f>M4290=N4290</f>
        <v/>
      </c>
      <c r="P4290" s="521">
        <f>AND(MONTH(F4290)=MONTH(S4290), YEAR(F4290)=YEAR(S4290))</f>
        <v/>
      </c>
      <c r="Q4290" s="521">
        <f>U4290="L001-901905215"</f>
        <v/>
      </c>
      <c r="R4290" s="556">
        <f>G4290-W4290</f>
        <v/>
      </c>
      <c r="S4290" s="523" t="n">
        <v>44544</v>
      </c>
      <c r="T4290" s="522" t="inlineStr">
        <is>
          <t>TI-0216968</t>
        </is>
      </c>
      <c r="U4290" s="522" t="inlineStr">
        <is>
          <t>L001-901905215</t>
        </is>
      </c>
      <c r="V4290" s="522" t="inlineStr">
        <is>
          <t>វីអ៊ីស៊ិន (ខេមបូឌា) អ៊ិនដាសស្ទ្រី ឯ.ក</t>
        </is>
      </c>
      <c r="W4290" s="556" t="n">
        <v>336347</v>
      </c>
    </row>
    <row r="4291">
      <c r="A4291" s="521" t="n">
        <v>4283</v>
      </c>
      <c r="B4291" s="522" t="inlineStr">
        <is>
          <t>THC and management fee</t>
        </is>
      </c>
      <c r="C4291" s="522" t="inlineStr">
        <is>
          <t>អ៊ិចស្ពែឌីធ័រ ខេមបូឌា អិលធីឌី</t>
        </is>
      </c>
      <c r="D4291" s="522" t="inlineStr">
        <is>
          <t>L001-100045898</t>
        </is>
      </c>
      <c r="E4291" s="521" t="inlineStr">
        <is>
          <t>TI-0216967</t>
        </is>
      </c>
      <c r="F4291" s="523" t="n">
        <v>44544</v>
      </c>
      <c r="G4291" s="556" t="n">
        <v>552978</v>
      </c>
      <c r="I4291" s="521">
        <f>G4291</f>
        <v/>
      </c>
      <c r="K4291" s="521">
        <f>I4291-G4291</f>
        <v/>
      </c>
      <c r="M4291" s="522" t="inlineStr">
        <is>
          <t>TI0216967</t>
        </is>
      </c>
      <c r="N4291" s="522" t="inlineStr">
        <is>
          <t>TI0216967</t>
        </is>
      </c>
      <c r="O4291" s="521">
        <f>M4291=N4291</f>
        <v/>
      </c>
      <c r="P4291" s="521">
        <f>AND(MONTH(F4291)=MONTH(S4291), YEAR(F4291)=YEAR(S4291))</f>
        <v/>
      </c>
      <c r="Q4291" s="521">
        <f>U4291="L001-901905215"</f>
        <v/>
      </c>
      <c r="R4291" s="556">
        <f>G4291-W4291</f>
        <v/>
      </c>
      <c r="S4291" s="523" t="n">
        <v>44544</v>
      </c>
      <c r="T4291" s="522" t="inlineStr">
        <is>
          <t>TI-0216967</t>
        </is>
      </c>
      <c r="U4291" s="522" t="inlineStr">
        <is>
          <t>L001-901905215</t>
        </is>
      </c>
      <c r="V4291" s="522" t="inlineStr">
        <is>
          <t>វីអ៊ីស៊ិន (ខេមបូឌា) អ៊ិនដាសស្ទ្រី ឯ.ក</t>
        </is>
      </c>
      <c r="W4291" s="556" t="n">
        <v>552978</v>
      </c>
    </row>
    <row r="4292">
      <c r="A4292" s="521" t="n">
        <v>4284</v>
      </c>
      <c r="B4292" s="522" t="inlineStr">
        <is>
          <t>THC and management fee</t>
        </is>
      </c>
      <c r="C4292" s="522" t="inlineStr">
        <is>
          <t>អ៊ិចស្ពែឌីធ័រ ខេមបូឌា អិលធីឌី</t>
        </is>
      </c>
      <c r="D4292" s="522" t="inlineStr">
        <is>
          <t>L001-100045898</t>
        </is>
      </c>
      <c r="E4292" s="521" t="inlineStr">
        <is>
          <t>TI-0216966</t>
        </is>
      </c>
      <c r="F4292" s="523" t="n">
        <v>44544</v>
      </c>
      <c r="G4292" s="556" t="n">
        <v>360779</v>
      </c>
      <c r="I4292" s="521">
        <f>G4292</f>
        <v/>
      </c>
      <c r="K4292" s="521">
        <f>I4292-G4292</f>
        <v/>
      </c>
      <c r="M4292" s="522" t="inlineStr">
        <is>
          <t>TI0216966</t>
        </is>
      </c>
      <c r="N4292" s="522" t="inlineStr">
        <is>
          <t>TI0216966</t>
        </is>
      </c>
      <c r="O4292" s="521">
        <f>M4292=N4292</f>
        <v/>
      </c>
      <c r="P4292" s="521">
        <f>AND(MONTH(F4292)=MONTH(S4292), YEAR(F4292)=YEAR(S4292))</f>
        <v/>
      </c>
      <c r="Q4292" s="521">
        <f>U4292="L001-901905215"</f>
        <v/>
      </c>
      <c r="R4292" s="556">
        <f>G4292-W4292</f>
        <v/>
      </c>
      <c r="S4292" s="523" t="n">
        <v>44544</v>
      </c>
      <c r="T4292" s="522" t="inlineStr">
        <is>
          <t>TI-0216966</t>
        </is>
      </c>
      <c r="U4292" s="522" t="inlineStr">
        <is>
          <t>L001-901905215</t>
        </is>
      </c>
      <c r="V4292" s="522" t="inlineStr">
        <is>
          <t>វីអ៊ីស៊ិន (ខេមបូឌា) អ៊ិនដាសស្ទ្រី ឯ.ក</t>
        </is>
      </c>
      <c r="W4292" s="556" t="n">
        <v>360779</v>
      </c>
    </row>
    <row r="4293">
      <c r="A4293" s="521" t="n">
        <v>4285</v>
      </c>
      <c r="B4293" s="522" t="inlineStr">
        <is>
          <t>THC and management fee</t>
        </is>
      </c>
      <c r="C4293" s="522" t="inlineStr">
        <is>
          <t>អ៊ិចស្ពែឌីធ័រ ខេមបូឌា អិលធីឌី</t>
        </is>
      </c>
      <c r="D4293" s="522" t="inlineStr">
        <is>
          <t>L001-100045898</t>
        </is>
      </c>
      <c r="E4293" s="521" t="inlineStr">
        <is>
          <t>TI-0216965</t>
        </is>
      </c>
      <c r="F4293" s="523" t="n">
        <v>44544</v>
      </c>
      <c r="G4293" s="556" t="n">
        <v>787932</v>
      </c>
      <c r="I4293" s="521">
        <f>G4293</f>
        <v/>
      </c>
      <c r="K4293" s="521">
        <f>I4293-G4293</f>
        <v/>
      </c>
      <c r="M4293" s="522" t="inlineStr">
        <is>
          <t>TI0216965</t>
        </is>
      </c>
      <c r="N4293" s="522" t="inlineStr">
        <is>
          <t>TI0216965</t>
        </is>
      </c>
      <c r="O4293" s="521">
        <f>M4293=N4293</f>
        <v/>
      </c>
      <c r="P4293" s="521">
        <f>AND(MONTH(F4293)=MONTH(S4293), YEAR(F4293)=YEAR(S4293))</f>
        <v/>
      </c>
      <c r="Q4293" s="521">
        <f>U4293="L001-901905215"</f>
        <v/>
      </c>
      <c r="R4293" s="556">
        <f>G4293-W4293</f>
        <v/>
      </c>
      <c r="S4293" s="523" t="n">
        <v>44544</v>
      </c>
      <c r="T4293" s="522" t="inlineStr">
        <is>
          <t>TI-0216965</t>
        </is>
      </c>
      <c r="U4293" s="522" t="inlineStr">
        <is>
          <t>L001-901905215</t>
        </is>
      </c>
      <c r="V4293" s="522" t="inlineStr">
        <is>
          <t>វីអ៊ីស៊ិន (ខេមបូឌា) អ៊ិនដាសស្ទ្រី ឯ.ក</t>
        </is>
      </c>
      <c r="W4293" s="556" t="n">
        <v>787932</v>
      </c>
    </row>
    <row r="4294">
      <c r="A4294" s="521" t="n">
        <v>4286</v>
      </c>
      <c r="B4294" s="522" t="inlineStr">
        <is>
          <t>THC and management fee</t>
        </is>
      </c>
      <c r="C4294" s="522" t="inlineStr">
        <is>
          <t>អ៊ិចស្ពែឌីធ័រ ខេមបូឌា អិលធីឌី</t>
        </is>
      </c>
      <c r="D4294" s="522" t="inlineStr">
        <is>
          <t>L001-100045898</t>
        </is>
      </c>
      <c r="E4294" s="521" t="inlineStr">
        <is>
          <t>TI-0216402</t>
        </is>
      </c>
      <c r="F4294" s="523" t="n">
        <v>44538</v>
      </c>
      <c r="G4294" s="556" t="n">
        <v>282190</v>
      </c>
      <c r="I4294" s="521">
        <f>G4294</f>
        <v/>
      </c>
      <c r="K4294" s="521">
        <f>I4294-G4294</f>
        <v/>
      </c>
      <c r="M4294" s="522" t="inlineStr">
        <is>
          <t>TI0216402</t>
        </is>
      </c>
      <c r="N4294" s="522" t="inlineStr">
        <is>
          <t>TI0216402</t>
        </is>
      </c>
      <c r="O4294" s="521">
        <f>M4294=N4294</f>
        <v/>
      </c>
      <c r="P4294" s="521">
        <f>AND(MONTH(F4294)=MONTH(S4294), YEAR(F4294)=YEAR(S4294))</f>
        <v/>
      </c>
      <c r="Q4294" s="521">
        <f>U4294="L001-901905215"</f>
        <v/>
      </c>
      <c r="R4294" s="556">
        <f>G4294-W4294</f>
        <v/>
      </c>
      <c r="S4294" s="523" t="n">
        <v>44538</v>
      </c>
      <c r="T4294" s="522" t="inlineStr">
        <is>
          <t>TI-0216402</t>
        </is>
      </c>
      <c r="U4294" s="522" t="inlineStr">
        <is>
          <t>L001-901905215</t>
        </is>
      </c>
      <c r="V4294" s="522" t="inlineStr">
        <is>
          <t>វីអ៊ីស៊ិន (ខេមបូឌា) អ៊ិនដាសស្ទ្រី ឯ.ក</t>
        </is>
      </c>
      <c r="W4294" s="556" t="n">
        <v>282190</v>
      </c>
    </row>
    <row r="4295">
      <c r="A4295" s="521" t="n">
        <v>4287</v>
      </c>
      <c r="B4295" s="522" t="inlineStr">
        <is>
          <t>THC and management fee</t>
        </is>
      </c>
      <c r="C4295" s="522" t="inlineStr">
        <is>
          <t>អ៊ិចស្ពែឌីធ័រ ខេមបូឌា អិលធីឌី</t>
        </is>
      </c>
      <c r="D4295" s="522" t="inlineStr">
        <is>
          <t>L001-100045898</t>
        </is>
      </c>
      <c r="E4295" s="521" t="inlineStr">
        <is>
          <t>TI-0216401</t>
        </is>
      </c>
      <c r="F4295" s="523" t="n">
        <v>44538</v>
      </c>
      <c r="G4295" s="556" t="n">
        <v>416973</v>
      </c>
      <c r="I4295" s="521">
        <f>G4295</f>
        <v/>
      </c>
      <c r="K4295" s="521">
        <f>I4295-G4295</f>
        <v/>
      </c>
      <c r="M4295" s="522" t="inlineStr">
        <is>
          <t>TI0216401</t>
        </is>
      </c>
      <c r="N4295" s="522" t="inlineStr">
        <is>
          <t>TI0216401</t>
        </is>
      </c>
      <c r="O4295" s="521">
        <f>M4295=N4295</f>
        <v/>
      </c>
      <c r="P4295" s="521">
        <f>AND(MONTH(F4295)=MONTH(S4295), YEAR(F4295)=YEAR(S4295))</f>
        <v/>
      </c>
      <c r="Q4295" s="521">
        <f>U4295="L001-901905215"</f>
        <v/>
      </c>
      <c r="R4295" s="556">
        <f>G4295-W4295</f>
        <v/>
      </c>
      <c r="S4295" s="523" t="n">
        <v>44538</v>
      </c>
      <c r="T4295" s="522" t="inlineStr">
        <is>
          <t>TI-0216401</t>
        </is>
      </c>
      <c r="U4295" s="522" t="inlineStr">
        <is>
          <t>L001-901905215</t>
        </is>
      </c>
      <c r="V4295" s="522" t="inlineStr">
        <is>
          <t>វីអ៊ីស៊ិន (ខេមបូឌា) អ៊ិនដាសស្ទ្រី ឯ.ក</t>
        </is>
      </c>
      <c r="W4295" s="556" t="n">
        <v>416973</v>
      </c>
    </row>
    <row r="4296">
      <c r="A4296" s="521" t="n">
        <v>4288</v>
      </c>
      <c r="B4296" s="522" t="inlineStr">
        <is>
          <t>THC and management fee</t>
        </is>
      </c>
      <c r="C4296" s="522" t="inlineStr">
        <is>
          <t>អ៊ិចស្ពែឌីធ័រ ខេមបូឌា អិលធីឌី</t>
        </is>
      </c>
      <c r="D4296" s="522" t="inlineStr">
        <is>
          <t>L001-100045898</t>
        </is>
      </c>
      <c r="E4296" s="521" t="inlineStr">
        <is>
          <t>TI-0216398</t>
        </is>
      </c>
      <c r="F4296" s="523" t="n">
        <v>44538</v>
      </c>
      <c r="G4296" s="556" t="n">
        <v>749655</v>
      </c>
      <c r="I4296" s="521">
        <f>G4296</f>
        <v/>
      </c>
      <c r="K4296" s="521">
        <f>I4296-G4296</f>
        <v/>
      </c>
      <c r="M4296" s="522" t="inlineStr">
        <is>
          <t>TI0216398</t>
        </is>
      </c>
      <c r="N4296" s="522" t="inlineStr">
        <is>
          <t>TI0216398</t>
        </is>
      </c>
      <c r="O4296" s="521">
        <f>M4296=N4296</f>
        <v/>
      </c>
      <c r="P4296" s="521">
        <f>AND(MONTH(F4296)=MONTH(S4296), YEAR(F4296)=YEAR(S4296))</f>
        <v/>
      </c>
      <c r="Q4296" s="521">
        <f>U4296="L001-901905215"</f>
        <v/>
      </c>
      <c r="R4296" s="556">
        <f>G4296-W4296</f>
        <v/>
      </c>
      <c r="S4296" s="523" t="n">
        <v>44538</v>
      </c>
      <c r="T4296" s="522" t="inlineStr">
        <is>
          <t>TI-0216398</t>
        </is>
      </c>
      <c r="U4296" s="522" t="inlineStr">
        <is>
          <t>L001-901905215</t>
        </is>
      </c>
      <c r="V4296" s="522" t="inlineStr">
        <is>
          <t>វីអ៊ីស៊ិន (ខេមបូឌា) អ៊ិនដាសស្ទ្រី ឯ.ក</t>
        </is>
      </c>
      <c r="W4296" s="556" t="n">
        <v>749655</v>
      </c>
    </row>
    <row r="4297">
      <c r="A4297" s="521" t="n">
        <v>4289</v>
      </c>
      <c r="B4297" s="522" t="inlineStr">
        <is>
          <t>THC and management fee</t>
        </is>
      </c>
      <c r="C4297" s="522" t="inlineStr">
        <is>
          <t>អ៊ិចស្ពែឌីធ័រ ខេមបូឌា អិលធីឌី</t>
        </is>
      </c>
      <c r="D4297" s="522" t="inlineStr">
        <is>
          <t>L001-100045898</t>
        </is>
      </c>
      <c r="E4297" s="521" t="inlineStr">
        <is>
          <t>TI-0216397</t>
        </is>
      </c>
      <c r="F4297" s="523" t="n">
        <v>44538</v>
      </c>
      <c r="G4297" s="556" t="n">
        <v>155958</v>
      </c>
      <c r="I4297" s="521">
        <f>G4297</f>
        <v/>
      </c>
      <c r="K4297" s="521">
        <f>I4297-G4297</f>
        <v/>
      </c>
      <c r="M4297" s="522" t="inlineStr">
        <is>
          <t>TI0216397</t>
        </is>
      </c>
      <c r="N4297" s="522" t="inlineStr">
        <is>
          <t>TI0216397</t>
        </is>
      </c>
      <c r="O4297" s="521">
        <f>M4297=N4297</f>
        <v/>
      </c>
      <c r="P4297" s="521">
        <f>AND(MONTH(F4297)=MONTH(S4297), YEAR(F4297)=YEAR(S4297))</f>
        <v/>
      </c>
      <c r="Q4297" s="521">
        <f>U4297="L001-901905215"</f>
        <v/>
      </c>
      <c r="R4297" s="556">
        <f>G4297-W4297</f>
        <v/>
      </c>
      <c r="S4297" s="523" t="n">
        <v>44538</v>
      </c>
      <c r="T4297" s="522" t="inlineStr">
        <is>
          <t>TI-0216397</t>
        </is>
      </c>
      <c r="U4297" s="522" t="inlineStr">
        <is>
          <t>L001-901905215</t>
        </is>
      </c>
      <c r="V4297" s="522" t="inlineStr">
        <is>
          <t>វីអ៊ីស៊ិន (ខេមបូឌា) អ៊ិនដាសស្ទ្រី ឯ.ក</t>
        </is>
      </c>
      <c r="W4297" s="556" t="n">
        <v>155958</v>
      </c>
    </row>
    <row r="4298">
      <c r="A4298" s="521" t="n">
        <v>4290</v>
      </c>
      <c r="B4298" s="522" t="inlineStr">
        <is>
          <t>THC and management fee</t>
        </is>
      </c>
      <c r="C4298" s="522" t="inlineStr">
        <is>
          <t>អ៊ិចស្ពែឌីធ័រ ខេមបូឌា អិលធីឌី</t>
        </is>
      </c>
      <c r="D4298" s="522" t="inlineStr">
        <is>
          <t>L001-100045898</t>
        </is>
      </c>
      <c r="E4298" s="521" t="inlineStr">
        <is>
          <t>TI-0216396</t>
        </is>
      </c>
      <c r="F4298" s="523" t="n">
        <v>44538</v>
      </c>
      <c r="G4298" s="556" t="n">
        <v>1184341</v>
      </c>
      <c r="I4298" s="521">
        <f>G4298</f>
        <v/>
      </c>
      <c r="K4298" s="521">
        <f>I4298-G4298</f>
        <v/>
      </c>
      <c r="M4298" s="522" t="inlineStr">
        <is>
          <t>TI0216396</t>
        </is>
      </c>
      <c r="N4298" s="522" t="inlineStr">
        <is>
          <t>TI0216396</t>
        </is>
      </c>
      <c r="O4298" s="521">
        <f>M4298=N4298</f>
        <v/>
      </c>
      <c r="P4298" s="521">
        <f>AND(MONTH(F4298)=MONTH(S4298), YEAR(F4298)=YEAR(S4298))</f>
        <v/>
      </c>
      <c r="Q4298" s="521">
        <f>U4298="L001-901905215"</f>
        <v/>
      </c>
      <c r="R4298" s="556">
        <f>G4298-W4298</f>
        <v/>
      </c>
      <c r="S4298" s="523" t="n">
        <v>44538</v>
      </c>
      <c r="T4298" s="522" t="inlineStr">
        <is>
          <t>TI-0216396</t>
        </is>
      </c>
      <c r="U4298" s="522" t="inlineStr">
        <is>
          <t>L001-901905215</t>
        </is>
      </c>
      <c r="V4298" s="522" t="inlineStr">
        <is>
          <t>វីអ៊ីស៊ិន (ខេមបូឌា) អ៊ិនដាសស្ទ្រី ឯ.ក</t>
        </is>
      </c>
      <c r="W4298" s="556" t="n">
        <v>1184341</v>
      </c>
    </row>
    <row r="4299">
      <c r="A4299" s="521" t="n">
        <v>4291</v>
      </c>
      <c r="B4299" s="522" t="inlineStr">
        <is>
          <t>ស្គុត  ថងប្លាស្ទិចរំុ  កំទេសក្រណាត</t>
        </is>
      </c>
      <c r="C4299" s="522" t="inlineStr">
        <is>
          <t>ស៊ីន ឌីងយ័ន ស៊ូ មេធៀរៀល ឯ.ក</t>
        </is>
      </c>
      <c r="D4299" s="522" t="inlineStr">
        <is>
          <t>K010-902100418</t>
        </is>
      </c>
      <c r="E4299" s="521" t="inlineStr">
        <is>
          <t>0000104</t>
        </is>
      </c>
      <c r="F4299" s="523" t="n">
        <v>44551</v>
      </c>
      <c r="G4299" s="556" t="n">
        <v>2244041</v>
      </c>
      <c r="I4299" s="521">
        <f>G4299</f>
        <v/>
      </c>
      <c r="K4299" s="521">
        <f>I4299-G4299</f>
        <v/>
      </c>
      <c r="M4299" s="522" t="inlineStr">
        <is>
          <t>0000104</t>
        </is>
      </c>
      <c r="N4299" s="522" t="inlineStr">
        <is>
          <t>0000104</t>
        </is>
      </c>
      <c r="O4299" s="521">
        <f>M4299=N4299</f>
        <v/>
      </c>
      <c r="P4299" s="521">
        <f>AND(MONTH(F4299)=MONTH(S4299), YEAR(F4299)=YEAR(S4299))</f>
        <v/>
      </c>
      <c r="Q4299" s="521">
        <f>U4299="L001-901905215"</f>
        <v/>
      </c>
      <c r="R4299" s="556">
        <f>G4299-W4299</f>
        <v/>
      </c>
      <c r="S4299" s="523" t="n">
        <v>44551</v>
      </c>
      <c r="T4299" s="522" t="inlineStr">
        <is>
          <t>0000104</t>
        </is>
      </c>
      <c r="U4299" s="522" t="inlineStr">
        <is>
          <t>L001-901905215</t>
        </is>
      </c>
      <c r="V4299" s="522" t="inlineStr">
        <is>
          <t>វីអ៊ីស៊ិន (ខេមបូឌា) អ៊ិនដាសស្ទ្រី ឯ.ក</t>
        </is>
      </c>
      <c r="W4299" s="556" t="n">
        <v>2244041</v>
      </c>
    </row>
    <row r="4300">
      <c r="A4300" s="521" t="n">
        <v>4292</v>
      </c>
      <c r="B4300" s="522" t="inlineStr">
        <is>
          <t>ទ្រនាប់កាតុង</t>
        </is>
      </c>
      <c r="C4300" s="522" t="inlineStr">
        <is>
          <t>ស៊ីងហ្គាពួរ កាតុង (ខេមបូឌា)</t>
        </is>
      </c>
      <c r="D4300" s="522" t="inlineStr">
        <is>
          <t>L001-100121322</t>
        </is>
      </c>
      <c r="E4300" s="521" t="inlineStr">
        <is>
          <t>V0018099</t>
        </is>
      </c>
      <c r="F4300" s="523" t="n">
        <v>44545</v>
      </c>
      <c r="G4300" s="556" t="n">
        <v>674600</v>
      </c>
      <c r="I4300" s="521">
        <f>G4300</f>
        <v/>
      </c>
      <c r="K4300" s="521">
        <f>I4300-G4300</f>
        <v/>
      </c>
      <c r="M4300" s="522" t="inlineStr">
        <is>
          <t>V0018099</t>
        </is>
      </c>
      <c r="N4300" s="522" t="inlineStr">
        <is>
          <t>V0018099</t>
        </is>
      </c>
      <c r="O4300" s="521">
        <f>M4300=N4300</f>
        <v/>
      </c>
      <c r="P4300" s="521">
        <f>AND(MONTH(F4300)=MONTH(S4300), YEAR(F4300)=YEAR(S4300))</f>
        <v/>
      </c>
      <c r="Q4300" s="521">
        <f>U4300="L001-901905215"</f>
        <v/>
      </c>
      <c r="R4300" s="556">
        <f>G4300-W4300</f>
        <v/>
      </c>
      <c r="S4300" s="523" t="n">
        <v>44545</v>
      </c>
      <c r="T4300" s="522" t="inlineStr">
        <is>
          <t>V0018099</t>
        </is>
      </c>
      <c r="U4300" s="522" t="inlineStr">
        <is>
          <t>L001-901905215</t>
        </is>
      </c>
      <c r="V4300" s="522" t="inlineStr">
        <is>
          <t>វីអ៊ីស៊ិន (ខេមបូឌា) អ៊ិនដាសស្ទ្រី ឯ.ក</t>
        </is>
      </c>
      <c r="W4300" s="556" t="n">
        <v>674932</v>
      </c>
    </row>
    <row r="4301">
      <c r="A4301" s="521" t="n">
        <v>4293</v>
      </c>
      <c r="B4301" s="522" t="inlineStr">
        <is>
          <t>ទ្រនាប់កាតុង</t>
        </is>
      </c>
      <c r="C4301" s="522" t="inlineStr">
        <is>
          <t>ស៊ីងហ្គាពួរ កាតុង (ខេមបូឌា)</t>
        </is>
      </c>
      <c r="D4301" s="522" t="inlineStr">
        <is>
          <t>L001-100121322</t>
        </is>
      </c>
      <c r="E4301" s="521" t="inlineStr">
        <is>
          <t>V0018098</t>
        </is>
      </c>
      <c r="F4301" s="523" t="n">
        <v>44545</v>
      </c>
      <c r="G4301" s="556" t="n">
        <v>112166</v>
      </c>
      <c r="I4301" s="521">
        <f>G4301</f>
        <v/>
      </c>
      <c r="K4301" s="521">
        <f>I4301-G4301</f>
        <v/>
      </c>
      <c r="M4301" s="522" t="inlineStr">
        <is>
          <t>V0018098</t>
        </is>
      </c>
      <c r="N4301" s="522" t="inlineStr">
        <is>
          <t>V0018098</t>
        </is>
      </c>
      <c r="O4301" s="521">
        <f>M4301=N4301</f>
        <v/>
      </c>
      <c r="P4301" s="521">
        <f>AND(MONTH(F4301)=MONTH(S4301), YEAR(F4301)=YEAR(S4301))</f>
        <v/>
      </c>
      <c r="Q4301" s="521">
        <f>U4301="L001-901905215"</f>
        <v/>
      </c>
      <c r="R4301" s="556">
        <f>G4301-W4301</f>
        <v/>
      </c>
      <c r="S4301" s="523" t="n">
        <v>44545</v>
      </c>
      <c r="T4301" s="522" t="inlineStr">
        <is>
          <t>V0018098</t>
        </is>
      </c>
      <c r="U4301" s="522" t="inlineStr">
        <is>
          <t>L001-901905215</t>
        </is>
      </c>
      <c r="V4301" s="522" t="inlineStr">
        <is>
          <t>វីអ៊ីស៊ិន (ខេមបូឌា) អ៊ិនដាសស្ទ្រី ឯ.ក</t>
        </is>
      </c>
      <c r="W4301" s="556" t="n">
        <v>112220</v>
      </c>
    </row>
    <row r="4302">
      <c r="A4302" s="521" t="n">
        <v>4294</v>
      </c>
      <c r="B4302" s="522" t="inlineStr">
        <is>
          <t>កេសកាតុង</t>
        </is>
      </c>
      <c r="C4302" s="522" t="inlineStr">
        <is>
          <t>ស៊ីងហ្គាពួរ កាតុង (ខេមបូឌា)</t>
        </is>
      </c>
      <c r="D4302" s="522" t="inlineStr">
        <is>
          <t>L001-100121322</t>
        </is>
      </c>
      <c r="E4302" s="521" t="inlineStr">
        <is>
          <t>V0017959</t>
        </is>
      </c>
      <c r="F4302" s="523" t="n">
        <v>44532</v>
      </c>
      <c r="G4302" s="556" t="n">
        <v>767311</v>
      </c>
      <c r="I4302" s="521">
        <f>G4302</f>
        <v/>
      </c>
      <c r="K4302" s="521">
        <f>I4302-G4302</f>
        <v/>
      </c>
      <c r="M4302" s="522" t="inlineStr">
        <is>
          <t>V0017959</t>
        </is>
      </c>
      <c r="N4302" s="522" t="inlineStr">
        <is>
          <t>V0017959</t>
        </is>
      </c>
      <c r="O4302" s="521">
        <f>M4302=N4302</f>
        <v/>
      </c>
      <c r="P4302" s="521">
        <f>AND(MONTH(F4302)=MONTH(S4302), YEAR(F4302)=YEAR(S4302))</f>
        <v/>
      </c>
      <c r="Q4302" s="521">
        <f>U4302="L001-901905215"</f>
        <v/>
      </c>
      <c r="R4302" s="556">
        <f>G4302-W4302</f>
        <v/>
      </c>
      <c r="S4302" s="523" t="n">
        <v>44532</v>
      </c>
      <c r="T4302" s="522" t="inlineStr">
        <is>
          <t>V0017959</t>
        </is>
      </c>
      <c r="U4302" s="522" t="inlineStr">
        <is>
          <t>L001-901905215</t>
        </is>
      </c>
      <c r="V4302" s="522" t="inlineStr">
        <is>
          <t>វីអ៊ីស៊ិន (ខេមបូឌា) អ៊ិនដាសស្ទ្រី ឯ.ក</t>
        </is>
      </c>
      <c r="W4302" s="556" t="n">
        <v>767879</v>
      </c>
    </row>
    <row r="4303">
      <c r="A4303" s="521" t="n">
        <v>4295</v>
      </c>
      <c r="B4303" s="522" t="inlineStr">
        <is>
          <t>កេសកាតុង</t>
        </is>
      </c>
      <c r="C4303" s="522" t="inlineStr">
        <is>
          <t>ស៊ីងហ្គាពួរ កាតុង (ខេមបូឌា)</t>
        </is>
      </c>
      <c r="D4303" s="522" t="inlineStr">
        <is>
          <t>L001-100121322</t>
        </is>
      </c>
      <c r="E4303" s="521" t="inlineStr">
        <is>
          <t>V0018128</t>
        </is>
      </c>
      <c r="F4303" s="523" t="n">
        <v>44547</v>
      </c>
      <c r="G4303" s="556" t="n">
        <v>1091786</v>
      </c>
      <c r="I4303" s="521">
        <f>G4303</f>
        <v/>
      </c>
      <c r="K4303" s="521">
        <f>I4303-G4303</f>
        <v/>
      </c>
      <c r="M4303" s="522" t="inlineStr">
        <is>
          <t>V0018128</t>
        </is>
      </c>
      <c r="N4303" s="522" t="inlineStr">
        <is>
          <t>V0018128</t>
        </is>
      </c>
      <c r="O4303" s="521">
        <f>M4303=N4303</f>
        <v/>
      </c>
      <c r="P4303" s="521">
        <f>AND(MONTH(F4303)=MONTH(S4303), YEAR(F4303)=YEAR(S4303))</f>
        <v/>
      </c>
      <c r="Q4303" s="521">
        <f>U4303="L001-901905215"</f>
        <v/>
      </c>
      <c r="R4303" s="556">
        <f>G4303-W4303</f>
        <v/>
      </c>
      <c r="S4303" s="523" t="n">
        <v>44547</v>
      </c>
      <c r="T4303" s="522" t="inlineStr">
        <is>
          <t>V0018128</t>
        </is>
      </c>
      <c r="U4303" s="522" t="inlineStr">
        <is>
          <t>L001-901905215</t>
        </is>
      </c>
      <c r="V4303" s="522" t="inlineStr">
        <is>
          <t>វីអ៊ីស៊ិន (ខេមបូឌា) អ៊ិនដាសស្ទ្រី ឯ.ក</t>
        </is>
      </c>
      <c r="W4303" s="556" t="n">
        <v>1091788</v>
      </c>
    </row>
    <row r="4304">
      <c r="A4304" s="521" t="n">
        <v>4296</v>
      </c>
      <c r="B4304" s="522" t="inlineStr">
        <is>
          <t>កេសកាតុង</t>
        </is>
      </c>
      <c r="C4304" s="522" t="inlineStr">
        <is>
          <t>ស៊ីងហ្គាពួរ កាតុង (ខេមបូឌា)</t>
        </is>
      </c>
      <c r="D4304" s="522" t="inlineStr">
        <is>
          <t>L001-100121322</t>
        </is>
      </c>
      <c r="E4304" s="521" t="inlineStr">
        <is>
          <t>V0018127</t>
        </is>
      </c>
      <c r="F4304" s="523" t="n">
        <v>44547</v>
      </c>
      <c r="G4304" s="556" t="n">
        <v>28492</v>
      </c>
      <c r="I4304" s="521">
        <f>G4304</f>
        <v/>
      </c>
      <c r="K4304" s="521">
        <f>I4304-G4304</f>
        <v/>
      </c>
      <c r="M4304" s="522" t="inlineStr">
        <is>
          <t>V0018127</t>
        </is>
      </c>
      <c r="N4304" s="522" t="inlineStr">
        <is>
          <t>V0018127</t>
        </is>
      </c>
      <c r="O4304" s="521">
        <f>M4304=N4304</f>
        <v/>
      </c>
      <c r="P4304" s="521">
        <f>AND(MONTH(F4304)=MONTH(S4304), YEAR(F4304)=YEAR(S4304))</f>
        <v/>
      </c>
      <c r="Q4304" s="521">
        <f>U4304="L001-901905215"</f>
        <v/>
      </c>
      <c r="R4304" s="556">
        <f>G4304-W4304</f>
        <v/>
      </c>
      <c r="S4304" s="523" t="n">
        <v>44547</v>
      </c>
      <c r="T4304" s="522" t="inlineStr">
        <is>
          <t>V0018127</t>
        </is>
      </c>
      <c r="U4304" s="522" t="inlineStr">
        <is>
          <t>L001-901905215</t>
        </is>
      </c>
      <c r="V4304" s="522" t="inlineStr">
        <is>
          <t>វីអ៊ីស៊ិន (ខេមបូឌា) អ៊ិនដាសស្ទ្រី ឯ.ក</t>
        </is>
      </c>
      <c r="W4304" s="556" t="n">
        <v>28492</v>
      </c>
    </row>
    <row r="4305">
      <c r="A4305" s="521" t="n">
        <v>4297</v>
      </c>
      <c r="B4305" s="522" t="inlineStr">
        <is>
          <t>ទ្រនាប់កាតុង</t>
        </is>
      </c>
      <c r="C4305" s="522" t="inlineStr">
        <is>
          <t>ស៊ីងហ្គាពួរ កាតុង (ខេមបូឌា)</t>
        </is>
      </c>
      <c r="D4305" s="522" t="inlineStr">
        <is>
          <t>L001-100121322</t>
        </is>
      </c>
      <c r="E4305" s="521" t="inlineStr">
        <is>
          <t>V0018101</t>
        </is>
      </c>
      <c r="F4305" s="523" t="n">
        <v>44545</v>
      </c>
      <c r="G4305" s="556" t="n">
        <v>656723</v>
      </c>
      <c r="I4305" s="521">
        <f>G4305</f>
        <v/>
      </c>
      <c r="K4305" s="521">
        <f>I4305-G4305</f>
        <v/>
      </c>
      <c r="M4305" s="522" t="inlineStr">
        <is>
          <t>V0018101</t>
        </is>
      </c>
      <c r="N4305" s="522" t="inlineStr">
        <is>
          <t>V0018101</t>
        </is>
      </c>
      <c r="O4305" s="521">
        <f>M4305=N4305</f>
        <v/>
      </c>
      <c r="P4305" s="521">
        <f>AND(MONTH(F4305)=MONTH(S4305), YEAR(F4305)=YEAR(S4305))</f>
        <v/>
      </c>
      <c r="Q4305" s="521">
        <f>U4305="L001-901905215"</f>
        <v/>
      </c>
      <c r="R4305" s="556">
        <f>G4305-W4305</f>
        <v/>
      </c>
      <c r="S4305" s="523" t="n">
        <v>44545</v>
      </c>
      <c r="T4305" s="522" t="inlineStr">
        <is>
          <t>V0018101</t>
        </is>
      </c>
      <c r="U4305" s="522" t="inlineStr">
        <is>
          <t>L001-901905215</t>
        </is>
      </c>
      <c r="V4305" s="522" t="inlineStr">
        <is>
          <t>វីអ៊ីស៊ិន (ខេមបូឌា) អ៊ិនដាសស្ទ្រី ឯ.ក</t>
        </is>
      </c>
      <c r="W4305" s="556" t="n">
        <v>657044</v>
      </c>
    </row>
    <row r="4306">
      <c r="A4306" s="521" t="n">
        <v>4298</v>
      </c>
      <c r="B4306" s="522" t="inlineStr">
        <is>
          <t>ទ្រនាប់កាតុង</t>
        </is>
      </c>
      <c r="C4306" s="522" t="inlineStr">
        <is>
          <t>ស៊ីងហ្គាពួរ កាតុង (ខេមបូឌា)</t>
        </is>
      </c>
      <c r="D4306" s="522" t="inlineStr">
        <is>
          <t>L001-100121322</t>
        </is>
      </c>
      <c r="E4306" s="521" t="inlineStr">
        <is>
          <t>V0018100</t>
        </is>
      </c>
      <c r="F4306" s="523" t="n">
        <v>44545</v>
      </c>
      <c r="G4306" s="556" t="n">
        <v>38200</v>
      </c>
      <c r="I4306" s="521">
        <f>G4306</f>
        <v/>
      </c>
      <c r="K4306" s="521">
        <f>I4306-G4306</f>
        <v/>
      </c>
      <c r="M4306" s="522" t="inlineStr">
        <is>
          <t>V0018100</t>
        </is>
      </c>
      <c r="N4306" s="522" t="inlineStr">
        <is>
          <t>V0018100</t>
        </is>
      </c>
      <c r="O4306" s="521">
        <f>M4306=N4306</f>
        <v/>
      </c>
      <c r="P4306" s="521">
        <f>AND(MONTH(F4306)=MONTH(S4306), YEAR(F4306)=YEAR(S4306))</f>
        <v/>
      </c>
      <c r="Q4306" s="521">
        <f>U4306="L001-901905215"</f>
        <v/>
      </c>
      <c r="R4306" s="556">
        <f>G4306-W4306</f>
        <v/>
      </c>
      <c r="S4306" s="523" t="n">
        <v>44545</v>
      </c>
      <c r="T4306" s="522" t="inlineStr">
        <is>
          <t>V0018100</t>
        </is>
      </c>
      <c r="U4306" s="522" t="inlineStr">
        <is>
          <t>L001-901905215</t>
        </is>
      </c>
      <c r="V4306" s="522" t="inlineStr">
        <is>
          <t>វីអ៊ីស៊ិន (ខេមបូឌា) អ៊ិនដាសស្ទ្រី ឯ.ក</t>
        </is>
      </c>
      <c r="W4306" s="556" t="n">
        <v>38218</v>
      </c>
    </row>
    <row r="4307">
      <c r="A4307" s="521" t="n">
        <v>4299</v>
      </c>
      <c r="B4307" s="522" t="inlineStr">
        <is>
          <t>កេសកាតុង</t>
        </is>
      </c>
      <c r="C4307" s="522" t="inlineStr">
        <is>
          <t>ស៊ីងហ្គាពួរ កាតុង (ខេមបូឌា)</t>
        </is>
      </c>
      <c r="D4307" s="522" t="inlineStr">
        <is>
          <t>L001-100121322</t>
        </is>
      </c>
      <c r="E4307" s="521" t="inlineStr">
        <is>
          <t>V0018189</t>
        </is>
      </c>
      <c r="F4307" s="523" t="n">
        <v>44554</v>
      </c>
      <c r="G4307" s="556" t="n">
        <v>349496</v>
      </c>
      <c r="I4307" s="521">
        <f>G4307</f>
        <v/>
      </c>
      <c r="K4307" s="521">
        <f>I4307-G4307</f>
        <v/>
      </c>
      <c r="M4307" s="522" t="inlineStr">
        <is>
          <t>V0018189</t>
        </is>
      </c>
      <c r="N4307" s="522" t="inlineStr">
        <is>
          <t>V0018189</t>
        </is>
      </c>
      <c r="O4307" s="521">
        <f>M4307=N4307</f>
        <v/>
      </c>
      <c r="P4307" s="521">
        <f>AND(MONTH(F4307)=MONTH(S4307), YEAR(F4307)=YEAR(S4307))</f>
        <v/>
      </c>
      <c r="Q4307" s="521">
        <f>U4307="L001-901905215"</f>
        <v/>
      </c>
      <c r="R4307" s="556">
        <f>G4307-W4307</f>
        <v/>
      </c>
      <c r="S4307" s="523" t="n">
        <v>44554</v>
      </c>
      <c r="T4307" s="522" t="inlineStr">
        <is>
          <t>V0018189</t>
        </is>
      </c>
      <c r="U4307" s="522" t="inlineStr">
        <is>
          <t>L001-901905215</t>
        </is>
      </c>
      <c r="V4307" s="522" t="inlineStr">
        <is>
          <t>វីអ៊ីស៊ិន (ខេមបូឌា) អ៊ិនដាសស្ទ្រី ឯ.ក</t>
        </is>
      </c>
      <c r="W4307" s="556" t="n">
        <v>349583</v>
      </c>
    </row>
    <row r="4308">
      <c r="A4308" s="521" t="n">
        <v>4300</v>
      </c>
      <c r="B4308" s="522" t="inlineStr">
        <is>
          <t>កេសកាតុង</t>
        </is>
      </c>
      <c r="C4308" s="522" t="inlineStr">
        <is>
          <t>ស៊ីងហ្គាពួរ កាតុង (ខេមបូឌា)</t>
        </is>
      </c>
      <c r="D4308" s="522" t="inlineStr">
        <is>
          <t>L001-100121322</t>
        </is>
      </c>
      <c r="E4308" s="521" t="inlineStr">
        <is>
          <t>V0017949</t>
        </is>
      </c>
      <c r="F4308" s="523" t="n">
        <v>44531</v>
      </c>
      <c r="G4308" s="556" t="n">
        <v>1010988</v>
      </c>
      <c r="I4308" s="521">
        <f>G4308</f>
        <v/>
      </c>
      <c r="K4308" s="521">
        <f>I4308-G4308</f>
        <v/>
      </c>
      <c r="M4308" s="522" t="inlineStr">
        <is>
          <t>V0017949</t>
        </is>
      </c>
      <c r="N4308" s="522" t="inlineStr">
        <is>
          <t>V0017949</t>
        </is>
      </c>
      <c r="O4308" s="521">
        <f>M4308=N4308</f>
        <v/>
      </c>
      <c r="P4308" s="521">
        <f>AND(MONTH(F4308)=MONTH(S4308), YEAR(F4308)=YEAR(S4308))</f>
        <v/>
      </c>
      <c r="Q4308" s="521">
        <f>U4308="L001-901905215"</f>
        <v/>
      </c>
      <c r="R4308" s="556">
        <f>G4308-W4308</f>
        <v/>
      </c>
      <c r="S4308" s="523" t="n">
        <v>44531</v>
      </c>
      <c r="T4308" s="522" t="inlineStr">
        <is>
          <t>V0017949</t>
        </is>
      </c>
      <c r="U4308" s="522" t="inlineStr">
        <is>
          <t>L001-901905215</t>
        </is>
      </c>
      <c r="V4308" s="522" t="inlineStr">
        <is>
          <t>វីអ៊ីស៊ិន (ខេមបូឌា) អ៊ិនដាសស្ទ្រី ឯ.ក</t>
        </is>
      </c>
      <c r="W4308" s="556" t="n">
        <v>1011982</v>
      </c>
    </row>
    <row r="4309">
      <c r="A4309" s="521" t="n">
        <v>4301</v>
      </c>
      <c r="B4309" s="522" t="inlineStr">
        <is>
          <t>Plastic</t>
        </is>
      </c>
      <c r="C4309" s="522" t="inlineStr">
        <is>
          <t>ឌើ សឹង ហ្វា ភែកឃីជីង អ៊ិនដាសស្រ្ទៀល ឯ.ក</t>
        </is>
      </c>
      <c r="D4309" s="522" t="inlineStr">
        <is>
          <t>L001-901638065</t>
        </is>
      </c>
      <c r="E4309" s="521" t="inlineStr">
        <is>
          <t>DSF202100605</t>
        </is>
      </c>
      <c r="F4309" s="523" t="n">
        <v>44557</v>
      </c>
      <c r="G4309" s="556" t="n">
        <v>1208255</v>
      </c>
      <c r="I4309" s="521">
        <f>G4309</f>
        <v/>
      </c>
      <c r="K4309" s="521">
        <f>I4309-G4309</f>
        <v/>
      </c>
      <c r="M4309" s="522" t="inlineStr">
        <is>
          <t>DSF202100605</t>
        </is>
      </c>
      <c r="N4309" s="522" t="inlineStr">
        <is>
          <t>DSF202100605</t>
        </is>
      </c>
      <c r="O4309" s="521">
        <f>M4309=N4309</f>
        <v/>
      </c>
      <c r="P4309" s="521">
        <f>AND(MONTH(F4309)=MONTH(S4309), YEAR(F4309)=YEAR(S4309))</f>
        <v/>
      </c>
      <c r="Q4309" s="521">
        <f>U4309="L001-901905215"</f>
        <v/>
      </c>
      <c r="R4309" s="556">
        <f>G4309-W4309</f>
        <v/>
      </c>
      <c r="S4309" s="523" t="n">
        <v>44557</v>
      </c>
      <c r="T4309" s="522" t="inlineStr">
        <is>
          <t>DSF202100605</t>
        </is>
      </c>
      <c r="U4309" s="522" t="inlineStr">
        <is>
          <t>L001-901905215</t>
        </is>
      </c>
      <c r="V4309" s="522" t="inlineStr">
        <is>
          <t>វីអ៊ីស៊ិន (ខេមបូឌា) អ៊ិនដាសស្ទ្រី ឯ.ក</t>
        </is>
      </c>
      <c r="W4309" s="556" t="n">
        <v>1208255</v>
      </c>
    </row>
    <row r="4310">
      <c r="A4310" s="521" t="n">
        <v>4302</v>
      </c>
      <c r="B4310" s="522" t="inlineStr">
        <is>
          <t>Waste collection service for Dec 2021</t>
        </is>
      </c>
      <c r="C4310" s="522" t="inlineStr">
        <is>
          <t>ហ្គោមី រីសាយឃល110</t>
        </is>
      </c>
      <c r="D4310" s="522" t="inlineStr">
        <is>
          <t>K010-901503890</t>
        </is>
      </c>
      <c r="E4310" s="521" t="inlineStr">
        <is>
          <t>GR-TIN21/12-026</t>
        </is>
      </c>
      <c r="F4310" s="523" t="n">
        <v>44560</v>
      </c>
      <c r="G4310" s="556" t="n">
        <v>16288</v>
      </c>
      <c r="I4310" s="521">
        <f>G4310</f>
        <v/>
      </c>
      <c r="K4310" s="521">
        <f>I4310-G4310</f>
        <v/>
      </c>
      <c r="M4310" s="522" t="inlineStr">
        <is>
          <t>GRTIN2112026</t>
        </is>
      </c>
      <c r="N4310" s="522" t="inlineStr">
        <is>
          <t>GRTIN2112026</t>
        </is>
      </c>
      <c r="O4310" s="521">
        <f>M4310=N4310</f>
        <v/>
      </c>
      <c r="P4310" s="521">
        <f>AND(MONTH(F4310)=MONTH(S4310), YEAR(F4310)=YEAR(S4310))</f>
        <v/>
      </c>
      <c r="Q4310" s="521">
        <f>U4310="L001-901905215"</f>
        <v/>
      </c>
      <c r="R4310" s="556">
        <f>G4310-W4310</f>
        <v/>
      </c>
      <c r="S4310" s="523" t="n">
        <v>44560</v>
      </c>
      <c r="T4310" s="522" t="inlineStr">
        <is>
          <t>GR-TIN21/12-026</t>
        </is>
      </c>
      <c r="U4310" s="522" t="inlineStr">
        <is>
          <t>L001-901905215</t>
        </is>
      </c>
      <c r="V4310" s="522" t="inlineStr">
        <is>
          <t>វីអ៊ីស៊ិន (ខេមបូឌា) អ៊ិនដាសស្ទ្រី ឯ.ក</t>
        </is>
      </c>
      <c r="W4310" s="556" t="n">
        <v>16288</v>
      </c>
    </row>
    <row r="4311">
      <c r="A4311" s="521" t="n">
        <v>4303</v>
      </c>
      <c r="B4311" s="522" t="inlineStr">
        <is>
          <t>Express fee</t>
        </is>
      </c>
      <c r="C4311" s="522" t="inlineStr">
        <is>
          <t>ឌី អេច អិល អិចប្រេស (ខេមបូឌា)</t>
        </is>
      </c>
      <c r="D4311" s="522" t="inlineStr">
        <is>
          <t>L001-100045197</t>
        </is>
      </c>
      <c r="E4311" s="521" t="inlineStr">
        <is>
          <t>PNHR000404253</t>
        </is>
      </c>
      <c r="F4311" s="523" t="n">
        <v>44539</v>
      </c>
      <c r="G4311" s="556" t="n">
        <v>9056</v>
      </c>
      <c r="I4311" s="521">
        <f>G4311</f>
        <v/>
      </c>
      <c r="K4311" s="521">
        <f>I4311-G4311</f>
        <v/>
      </c>
      <c r="M4311" s="522" t="inlineStr">
        <is>
          <t>PNHR000404253</t>
        </is>
      </c>
      <c r="N4311" s="522" t="inlineStr"/>
      <c r="O4311" s="521">
        <f>M4311=N4311</f>
        <v/>
      </c>
      <c r="P4311" s="521">
        <f>AND(MONTH(F4311)=MONTH(S4311), YEAR(F4311)=YEAR(S4311))</f>
        <v/>
      </c>
      <c r="Q4311" s="521">
        <f>U4311="L001-901905215"</f>
        <v/>
      </c>
      <c r="R4311" s="556">
        <f>G4311-W4311</f>
        <v/>
      </c>
      <c r="S4311" s="521" t="n"/>
      <c r="T4311" s="522" t="n"/>
      <c r="U4311" s="522" t="n"/>
      <c r="V4311" s="522" t="n"/>
      <c r="W4311" s="521" t="n"/>
    </row>
    <row r="4312">
      <c r="A4312" s="521" t="n">
        <v>4304</v>
      </c>
      <c r="B4312" s="522" t="inlineStr">
        <is>
          <t>Express fee</t>
        </is>
      </c>
      <c r="C4312" s="522" t="inlineStr">
        <is>
          <t>ឌី អេច អិល អិចប្រេស (ខេមបូឌា)</t>
        </is>
      </c>
      <c r="D4312" s="522" t="inlineStr">
        <is>
          <t>L001-100045197</t>
        </is>
      </c>
      <c r="E4312" s="521" t="inlineStr">
        <is>
          <t>PNHIR00124826</t>
        </is>
      </c>
      <c r="F4312" s="523" t="n">
        <v>44533</v>
      </c>
      <c r="G4312" s="556" t="n">
        <v>5082</v>
      </c>
      <c r="I4312" s="521">
        <f>G4312</f>
        <v/>
      </c>
      <c r="K4312" s="521">
        <f>I4312-G4312</f>
        <v/>
      </c>
      <c r="M4312" s="522" t="inlineStr">
        <is>
          <t>PNHIR00124826</t>
        </is>
      </c>
      <c r="N4312" s="522" t="inlineStr"/>
      <c r="O4312" s="521">
        <f>M4312=N4312</f>
        <v/>
      </c>
      <c r="P4312" s="521">
        <f>AND(MONTH(F4312)=MONTH(S4312), YEAR(F4312)=YEAR(S4312))</f>
        <v/>
      </c>
      <c r="Q4312" s="521">
        <f>U4312="L001-901905215"</f>
        <v/>
      </c>
      <c r="R4312" s="556">
        <f>G4312-W4312</f>
        <v/>
      </c>
      <c r="S4312" s="521" t="n"/>
      <c r="T4312" s="522" t="n"/>
      <c r="U4312" s="522" t="n"/>
      <c r="V4312" s="522" t="n"/>
      <c r="W4312" s="521" t="n"/>
    </row>
    <row r="4313">
      <c r="A4313" s="521" t="n">
        <v>4305</v>
      </c>
      <c r="B4313" s="522" t="inlineStr">
        <is>
          <t>Express fee</t>
        </is>
      </c>
      <c r="C4313" s="522" t="inlineStr">
        <is>
          <t>ឌី អេច អិល អិចប្រេស (ខេមបូឌា)</t>
        </is>
      </c>
      <c r="D4313" s="522" t="inlineStr">
        <is>
          <t>L001-100045197</t>
        </is>
      </c>
      <c r="E4313" s="521" t="inlineStr">
        <is>
          <t>PNHR000403298</t>
        </is>
      </c>
      <c r="F4313" s="523" t="n">
        <v>44531</v>
      </c>
      <c r="G4313" s="556" t="n">
        <v>54728</v>
      </c>
      <c r="I4313" s="521">
        <f>G4313</f>
        <v/>
      </c>
      <c r="K4313" s="521">
        <f>I4313-G4313</f>
        <v/>
      </c>
      <c r="M4313" s="522" t="inlineStr">
        <is>
          <t>PNHR000403298</t>
        </is>
      </c>
      <c r="N4313" s="522" t="inlineStr"/>
      <c r="O4313" s="521">
        <f>M4313=N4313</f>
        <v/>
      </c>
      <c r="P4313" s="521">
        <f>AND(MONTH(F4313)=MONTH(S4313), YEAR(F4313)=YEAR(S4313))</f>
        <v/>
      </c>
      <c r="Q4313" s="521">
        <f>U4313="L001-901905215"</f>
        <v/>
      </c>
      <c r="R4313" s="556">
        <f>G4313-W4313</f>
        <v/>
      </c>
      <c r="S4313" s="521" t="n"/>
      <c r="T4313" s="522" t="n"/>
      <c r="U4313" s="522" t="n"/>
      <c r="V4313" s="522" t="n"/>
      <c r="W4313" s="521" t="n"/>
    </row>
    <row r="4314">
      <c r="A4314" s="521" t="n">
        <v>4306</v>
      </c>
      <c r="B4314" s="522" t="inlineStr">
        <is>
          <t>Express fee</t>
        </is>
      </c>
      <c r="C4314" s="522" t="inlineStr">
        <is>
          <t>ឌី អេច អិល អិចប្រេស (ខេមបូឌា)</t>
        </is>
      </c>
      <c r="D4314" s="522" t="inlineStr">
        <is>
          <t>L001-100045197</t>
        </is>
      </c>
      <c r="E4314" s="521" t="inlineStr">
        <is>
          <t>PNHR000402604</t>
        </is>
      </c>
      <c r="F4314" s="523" t="n">
        <v>44531</v>
      </c>
      <c r="G4314" s="556" t="n">
        <v>31262</v>
      </c>
      <c r="I4314" s="521">
        <f>G4314</f>
        <v/>
      </c>
      <c r="K4314" s="521">
        <f>I4314-G4314</f>
        <v/>
      </c>
      <c r="M4314" s="522" t="inlineStr">
        <is>
          <t>PNHR000402604</t>
        </is>
      </c>
      <c r="N4314" s="522" t="inlineStr"/>
      <c r="O4314" s="521">
        <f>M4314=N4314</f>
        <v/>
      </c>
      <c r="P4314" s="521">
        <f>AND(MONTH(F4314)=MONTH(S4314), YEAR(F4314)=YEAR(S4314))</f>
        <v/>
      </c>
      <c r="Q4314" s="521">
        <f>U4314="L001-901905215"</f>
        <v/>
      </c>
      <c r="R4314" s="556">
        <f>G4314-W4314</f>
        <v/>
      </c>
      <c r="S4314" s="521" t="n"/>
      <c r="T4314" s="522" t="n"/>
      <c r="U4314" s="522" t="n"/>
      <c r="V4314" s="522" t="n"/>
      <c r="W4314" s="521" t="n"/>
    </row>
    <row r="4315">
      <c r="A4315" s="521" t="n">
        <v>4307</v>
      </c>
      <c r="B4315" s="522" t="inlineStr">
        <is>
          <t>General pest control service on Dec 2021</t>
        </is>
      </c>
      <c r="C4315" s="522" t="inlineStr">
        <is>
          <t>ភីស៊ីអាយ សឺវីស</t>
        </is>
      </c>
      <c r="D4315" s="522" t="inlineStr">
        <is>
          <t>K010-901639639</t>
        </is>
      </c>
      <c r="E4315" s="521" t="inlineStr">
        <is>
          <t>2021-0199</t>
        </is>
      </c>
      <c r="F4315" s="523" t="n">
        <v>44550</v>
      </c>
      <c r="G4315" s="556" t="n">
        <v>80960</v>
      </c>
      <c r="I4315" s="521">
        <f>G4315</f>
        <v/>
      </c>
      <c r="K4315" s="521">
        <f>I4315-G4315</f>
        <v/>
      </c>
      <c r="M4315" s="522" t="inlineStr">
        <is>
          <t>20210199</t>
        </is>
      </c>
      <c r="N4315" s="522" t="inlineStr"/>
      <c r="O4315" s="521">
        <f>M4315=N4315</f>
        <v/>
      </c>
      <c r="P4315" s="521">
        <f>AND(MONTH(F4315)=MONTH(S4315), YEAR(F4315)=YEAR(S4315))</f>
        <v/>
      </c>
      <c r="Q4315" s="521">
        <f>U4315="L001-901905215"</f>
        <v/>
      </c>
      <c r="R4315" s="556">
        <f>G4315-W4315</f>
        <v/>
      </c>
      <c r="S4315" s="521" t="n"/>
      <c r="T4315" s="522" t="n"/>
      <c r="U4315" s="522" t="n"/>
      <c r="V4315" s="522" t="n"/>
      <c r="W4315" s="521" t="n"/>
    </row>
    <row r="4316">
      <c r="A4316" s="521" t="n">
        <v>4308</v>
      </c>
      <c r="B4316" s="522" t="inlineStr">
        <is>
          <t>Rental Copy Machine</t>
        </is>
      </c>
      <c r="C4316" s="522" t="inlineStr">
        <is>
          <t xml:space="preserve">អិនធីអិល តិចណូឡូជី </t>
        </is>
      </c>
      <c r="D4316" s="522" t="inlineStr">
        <is>
          <t>K005-901900283</t>
        </is>
      </c>
      <c r="E4316" s="521" t="inlineStr">
        <is>
          <t>21-003364</t>
        </is>
      </c>
      <c r="F4316" s="523" t="n">
        <v>44548</v>
      </c>
      <c r="G4316" s="556" t="n">
        <v>28022</v>
      </c>
      <c r="I4316" s="521">
        <f>G4316</f>
        <v/>
      </c>
      <c r="K4316" s="521">
        <f>I4316-G4316</f>
        <v/>
      </c>
      <c r="M4316" s="522" t="inlineStr">
        <is>
          <t>21003364</t>
        </is>
      </c>
      <c r="N4316" s="522" t="inlineStr">
        <is>
          <t>21003364</t>
        </is>
      </c>
      <c r="O4316" s="521">
        <f>M4316=N4316</f>
        <v/>
      </c>
      <c r="P4316" s="521">
        <f>AND(MONTH(F4316)=MONTH(S4316), YEAR(F4316)=YEAR(S4316))</f>
        <v/>
      </c>
      <c r="Q4316" s="521">
        <f>U4316="L001-901905215"</f>
        <v/>
      </c>
      <c r="R4316" s="556">
        <f>G4316-W4316</f>
        <v/>
      </c>
      <c r="S4316" s="523" t="n">
        <v>44548</v>
      </c>
      <c r="T4316" s="522" t="inlineStr">
        <is>
          <t>21-003364</t>
        </is>
      </c>
      <c r="U4316" s="522" t="inlineStr">
        <is>
          <t>L001-901905215</t>
        </is>
      </c>
      <c r="V4316" s="522" t="inlineStr">
        <is>
          <t>វីអ៊ីស៊ិន (ខេមបូឌា) អ៊ិនដាសស្ទ្រី ឯ.ក</t>
        </is>
      </c>
      <c r="W4316" s="556" t="n">
        <v>28022</v>
      </c>
    </row>
    <row r="4317">
      <c r="A4317" s="521" t="n">
        <v>4309</v>
      </c>
      <c r="B4317" s="522" t="inlineStr">
        <is>
          <t>Building rental charge and management fee for Dec 2021</t>
        </is>
      </c>
      <c r="C4317" s="522" t="inlineStr">
        <is>
          <t>មេហ្គា លេបឹល &amp; ស្ទីកឃើរ (ខេមបូឌា)</t>
        </is>
      </c>
      <c r="D4317" s="522" t="inlineStr">
        <is>
          <t>L001-100185983</t>
        </is>
      </c>
      <c r="E4317" s="521" t="inlineStr">
        <is>
          <t>INV20211201</t>
        </is>
      </c>
      <c r="F4317" s="523" t="n">
        <v>44531</v>
      </c>
      <c r="G4317" s="556" t="n">
        <v>4542860</v>
      </c>
      <c r="I4317" s="521">
        <f>G4317</f>
        <v/>
      </c>
      <c r="K4317" s="521">
        <f>I4317-G4317</f>
        <v/>
      </c>
      <c r="M4317" s="522" t="inlineStr">
        <is>
          <t>INV20211201</t>
        </is>
      </c>
      <c r="N4317" s="522" t="inlineStr">
        <is>
          <t>INV20211201</t>
        </is>
      </c>
      <c r="O4317" s="521">
        <f>M4317=N4317</f>
        <v/>
      </c>
      <c r="P4317" s="521">
        <f>AND(MONTH(F4317)=MONTH(S4317), YEAR(F4317)=YEAR(S4317))</f>
        <v/>
      </c>
      <c r="Q4317" s="521">
        <f>U4317="L001-901905215"</f>
        <v/>
      </c>
      <c r="R4317" s="556">
        <f>G4317-W4317</f>
        <v/>
      </c>
      <c r="S4317" s="523" t="n">
        <v>44531</v>
      </c>
      <c r="T4317" s="522" t="inlineStr">
        <is>
          <t>INV20211201</t>
        </is>
      </c>
      <c r="U4317" s="522" t="inlineStr">
        <is>
          <t>L001-901905215</t>
        </is>
      </c>
      <c r="V4317" s="522" t="inlineStr">
        <is>
          <t>វីអ៊ីស៊ិន (ខេមបូឌា) អ៊ិនដាសស្ទ្រី ឯ.ក</t>
        </is>
      </c>
      <c r="W4317" s="556" t="n">
        <v>4542860</v>
      </c>
    </row>
    <row r="4318">
      <c r="A4318" s="521" t="n">
        <v>4310</v>
      </c>
      <c r="B4318" s="522" t="inlineStr">
        <is>
          <t>Security guard fee</t>
        </is>
      </c>
      <c r="C4318" s="522" t="inlineStr">
        <is>
          <t>សហ័ស សិឃ្យូរិធី ឯ.ក</t>
        </is>
      </c>
      <c r="D4318" s="522" t="inlineStr">
        <is>
          <t>K010-107032600</t>
        </is>
      </c>
      <c r="E4318" s="521" t="inlineStr">
        <is>
          <t>SHTI210584</t>
        </is>
      </c>
      <c r="F4318" s="523" t="n">
        <v>44552</v>
      </c>
      <c r="G4318" s="556" t="n">
        <v>228144</v>
      </c>
      <c r="I4318" s="521">
        <f>G4318</f>
        <v/>
      </c>
      <c r="K4318" s="521">
        <f>I4318-G4318</f>
        <v/>
      </c>
      <c r="M4318" s="522" t="inlineStr">
        <is>
          <t>SHTI210584</t>
        </is>
      </c>
      <c r="N4318" s="522" t="inlineStr">
        <is>
          <t>SHTI210584</t>
        </is>
      </c>
      <c r="O4318" s="521">
        <f>M4318=N4318</f>
        <v/>
      </c>
      <c r="P4318" s="521">
        <f>AND(MONTH(F4318)=MONTH(S4318), YEAR(F4318)=YEAR(S4318))</f>
        <v/>
      </c>
      <c r="Q4318" s="521">
        <f>U4318="L001-901905215"</f>
        <v/>
      </c>
      <c r="R4318" s="556">
        <f>G4318-W4318</f>
        <v/>
      </c>
      <c r="S4318" s="523" t="n">
        <v>44552</v>
      </c>
      <c r="T4318" s="522" t="inlineStr">
        <is>
          <t>SHTI210584</t>
        </is>
      </c>
      <c r="U4318" s="522" t="inlineStr">
        <is>
          <t>L001-901905215</t>
        </is>
      </c>
      <c r="V4318" s="522" t="inlineStr">
        <is>
          <t>វីអ៊ីស៊ិន (ខេមបូឌា) អ៊ិនដាសស្ទ្រី ឯ.ក</t>
        </is>
      </c>
      <c r="W4318" s="556" t="n">
        <v>228144</v>
      </c>
    </row>
    <row r="4319">
      <c r="A4319" s="521" t="n">
        <v>4311</v>
      </c>
      <c r="B4319" s="522" t="inlineStr">
        <is>
          <t>Monthly Security service for Dec 2021</t>
        </is>
      </c>
      <c r="C4319" s="522" t="inlineStr">
        <is>
          <t>ភី.អិល (ខេមបូឌា) ស៊ីឃ្យួរឹធី</t>
        </is>
      </c>
      <c r="D4319" s="522" t="inlineStr">
        <is>
          <t>K010-901502809</t>
        </is>
      </c>
      <c r="E4319" s="521" t="inlineStr">
        <is>
          <t>PL000879</t>
        </is>
      </c>
      <c r="F4319" s="523" t="n">
        <v>44561</v>
      </c>
      <c r="G4319" s="556" t="n">
        <v>203700</v>
      </c>
      <c r="I4319" s="521">
        <f>G4319</f>
        <v/>
      </c>
      <c r="K4319" s="521">
        <f>I4319-G4319</f>
        <v/>
      </c>
      <c r="M4319" s="522" t="inlineStr">
        <is>
          <t>PL000879</t>
        </is>
      </c>
      <c r="N4319" s="522" t="inlineStr">
        <is>
          <t>PL000879</t>
        </is>
      </c>
      <c r="O4319" s="521">
        <f>M4319=N4319</f>
        <v/>
      </c>
      <c r="P4319" s="521">
        <f>AND(MONTH(F4319)=MONTH(S4319), YEAR(F4319)=YEAR(S4319))</f>
        <v/>
      </c>
      <c r="Q4319" s="521">
        <f>U4319="L001-901905215"</f>
        <v/>
      </c>
      <c r="R4319" s="556">
        <f>G4319-W4319</f>
        <v/>
      </c>
      <c r="S4319" s="523" t="n">
        <v>44561</v>
      </c>
      <c r="T4319" s="522" t="inlineStr">
        <is>
          <t>PL000879</t>
        </is>
      </c>
      <c r="U4319" s="522" t="inlineStr">
        <is>
          <t>L001-901905215</t>
        </is>
      </c>
      <c r="V4319" s="522" t="inlineStr">
        <is>
          <t>វីអ៊ីស៊ិន (ខេមបូឌា) អ៊ិនដាសស្ទ្រី ឯ.ក</t>
        </is>
      </c>
      <c r="W4319" s="556" t="n">
        <v>203700</v>
      </c>
    </row>
    <row r="4320">
      <c r="A4320" s="521" t="n">
        <v>4312</v>
      </c>
      <c r="B4320" s="522" t="inlineStr">
        <is>
          <t>Infrastructure maintenance fee for Dec 2021</t>
        </is>
      </c>
      <c r="C4320" s="522" t="inlineStr">
        <is>
          <t>ភ្នំពេញ អេសអ៊ីហ្សិត ភីអិលស៊ី</t>
        </is>
      </c>
      <c r="D4320" s="522" t="inlineStr">
        <is>
          <t>L001-100046592</t>
        </is>
      </c>
      <c r="E4320" s="521" t="inlineStr">
        <is>
          <t>2021-05924</t>
        </is>
      </c>
      <c r="F4320" s="523" t="n">
        <v>44546</v>
      </c>
      <c r="G4320" s="556" t="n">
        <v>164949</v>
      </c>
      <c r="I4320" s="521">
        <f>G4320</f>
        <v/>
      </c>
      <c r="K4320" s="521">
        <f>I4320-G4320</f>
        <v/>
      </c>
      <c r="M4320" s="522" t="inlineStr">
        <is>
          <t>202105924</t>
        </is>
      </c>
      <c r="N4320" s="522" t="inlineStr">
        <is>
          <t>202105924</t>
        </is>
      </c>
      <c r="O4320" s="521">
        <f>M4320=N4320</f>
        <v/>
      </c>
      <c r="P4320" s="521">
        <f>AND(MONTH(F4320)=MONTH(S4320), YEAR(F4320)=YEAR(S4320))</f>
        <v/>
      </c>
      <c r="Q4320" s="521">
        <f>U4320="L001-901905215"</f>
        <v/>
      </c>
      <c r="R4320" s="556">
        <f>G4320-W4320</f>
        <v/>
      </c>
      <c r="S4320" s="523" t="n">
        <v>44546</v>
      </c>
      <c r="T4320" s="522" t="inlineStr">
        <is>
          <t>2021-05924</t>
        </is>
      </c>
      <c r="U4320" s="522" t="inlineStr">
        <is>
          <t>L001-901905215</t>
        </is>
      </c>
      <c r="V4320" s="522" t="inlineStr">
        <is>
          <t>វីអ៊ីស៊ិន (ខេមបូឌា) អ៊ិនដាសស្ទ្រី ឯ.ក</t>
        </is>
      </c>
      <c r="W4320" s="556" t="n">
        <v>164948</v>
      </c>
    </row>
    <row r="4321">
      <c r="A4321" s="521" t="n">
        <v>4313</v>
      </c>
      <c r="B4321" s="522" t="inlineStr">
        <is>
          <t>Infrastructure maintenance fee for Dec 2021</t>
        </is>
      </c>
      <c r="C4321" s="522" t="inlineStr">
        <is>
          <t>ភ្នំពេញ អេសអ៊ីហ្សិត ភីអិលស៊ី</t>
        </is>
      </c>
      <c r="D4321" s="522" t="inlineStr">
        <is>
          <t>L001-100046592</t>
        </is>
      </c>
      <c r="E4321" s="521" t="inlineStr">
        <is>
          <t>2021-05915</t>
        </is>
      </c>
      <c r="F4321" s="523" t="n">
        <v>44546</v>
      </c>
      <c r="G4321" s="556" t="n">
        <v>200833</v>
      </c>
      <c r="I4321" s="521">
        <f>G4321</f>
        <v/>
      </c>
      <c r="K4321" s="521">
        <f>I4321-G4321</f>
        <v/>
      </c>
      <c r="M4321" s="522" t="inlineStr">
        <is>
          <t>202105915</t>
        </is>
      </c>
      <c r="N4321" s="522" t="inlineStr">
        <is>
          <t>202105915</t>
        </is>
      </c>
      <c r="O4321" s="521">
        <f>M4321=N4321</f>
        <v/>
      </c>
      <c r="P4321" s="521">
        <f>AND(MONTH(F4321)=MONTH(S4321), YEAR(F4321)=YEAR(S4321))</f>
        <v/>
      </c>
      <c r="Q4321" s="521">
        <f>U4321="L001-901905215"</f>
        <v/>
      </c>
      <c r="R4321" s="556">
        <f>G4321-W4321</f>
        <v/>
      </c>
      <c r="S4321" s="523" t="n">
        <v>44546</v>
      </c>
      <c r="T4321" s="522" t="inlineStr">
        <is>
          <t>2021-05915</t>
        </is>
      </c>
      <c r="U4321" s="522" t="inlineStr">
        <is>
          <t>L001-901905215</t>
        </is>
      </c>
      <c r="V4321" s="522" t="inlineStr">
        <is>
          <t>វីអ៊ីស៊ិន (ខេមបូឌា) អ៊ិនដាសស្ទ្រី ឯ.ក</t>
        </is>
      </c>
      <c r="W4321" s="556" t="n">
        <v>200832</v>
      </c>
    </row>
    <row r="4322">
      <c r="A4322" s="521" t="n">
        <v>4314</v>
      </c>
      <c r="B4322" s="522" t="inlineStr">
        <is>
          <t>Sampling and Travel fee</t>
        </is>
      </c>
      <c r="C4322" s="522" t="inlineStr">
        <is>
          <t>អេសជីអេស (ខេមបូឌា) លីមីធីត</t>
        </is>
      </c>
      <c r="D4322" s="522" t="inlineStr">
        <is>
          <t>L001-107030519</t>
        </is>
      </c>
      <c r="E4322" s="521" t="inlineStr">
        <is>
          <t>10015795</t>
        </is>
      </c>
      <c r="F4322" s="523" t="n">
        <v>44539</v>
      </c>
      <c r="G4322" s="556" t="n">
        <v>106279</v>
      </c>
      <c r="I4322" s="521">
        <f>G4322</f>
        <v/>
      </c>
      <c r="K4322" s="521">
        <f>I4322-G4322</f>
        <v/>
      </c>
      <c r="M4322" s="522" t="inlineStr">
        <is>
          <t>10015795</t>
        </is>
      </c>
      <c r="N4322" s="522" t="inlineStr">
        <is>
          <t>10015795</t>
        </is>
      </c>
      <c r="O4322" s="521">
        <f>M4322=N4322</f>
        <v/>
      </c>
      <c r="P4322" s="521">
        <f>AND(MONTH(F4322)=MONTH(S4322), YEAR(F4322)=YEAR(S4322))</f>
        <v/>
      </c>
      <c r="Q4322" s="521">
        <f>U4322="L001-901905215"</f>
        <v/>
      </c>
      <c r="R4322" s="556">
        <f>G4322-W4322</f>
        <v/>
      </c>
      <c r="S4322" s="523" t="n">
        <v>44539</v>
      </c>
      <c r="T4322" s="522" t="inlineStr">
        <is>
          <t>10015795</t>
        </is>
      </c>
      <c r="U4322" s="522" t="inlineStr">
        <is>
          <t>L001-901905215</t>
        </is>
      </c>
      <c r="V4322" s="522" t="inlineStr">
        <is>
          <t>វីអ៊ីស៊ិន (ខេមបូឌា) អ៊ិនដាសស្ទ្រី ឯ.ក</t>
        </is>
      </c>
      <c r="W4322" s="556" t="n">
        <v>106331</v>
      </c>
    </row>
    <row r="4323">
      <c r="A4323" s="521" t="n">
        <v>4315</v>
      </c>
      <c r="B4323" s="522" t="inlineStr">
        <is>
          <t>LIFT-OFF Charges and Gate Fee Charge</t>
        </is>
      </c>
      <c r="C4323" s="522" t="inlineStr">
        <is>
          <t>កំពង់ផែស្វយ័តភ្នំពេញ "ក.ស.ភ"</t>
        </is>
      </c>
      <c r="D4323" s="522" t="inlineStr">
        <is>
          <t>L001-100044999</t>
        </is>
      </c>
      <c r="E4323" s="521" t="inlineStr">
        <is>
          <t>INV20221286855</t>
        </is>
      </c>
      <c r="F4323" s="523" t="n">
        <v>44902</v>
      </c>
      <c r="G4323" s="556" t="n">
        <v>29678</v>
      </c>
      <c r="I4323" s="521">
        <f>G4323</f>
        <v/>
      </c>
      <c r="K4323" s="521">
        <f>I4323-G4323</f>
        <v/>
      </c>
      <c r="M4323" s="522" t="inlineStr">
        <is>
          <t>INV20221286855</t>
        </is>
      </c>
      <c r="N4323" s="522" t="inlineStr"/>
      <c r="O4323" s="521">
        <f>M4323=N4323</f>
        <v/>
      </c>
      <c r="P4323" s="521">
        <f>AND(MONTH(F4323)=MONTH(S4323), YEAR(F4323)=YEAR(S4323))</f>
        <v/>
      </c>
      <c r="Q4323" s="521">
        <f>U4323="L001-901905215"</f>
        <v/>
      </c>
      <c r="R4323" s="556">
        <f>G4323-W4323</f>
        <v/>
      </c>
      <c r="S4323" s="521" t="n"/>
      <c r="T4323" s="522" t="n"/>
      <c r="U4323" s="522" t="n"/>
      <c r="V4323" s="522" t="n"/>
      <c r="W4323" s="521" t="n"/>
    </row>
    <row r="4324">
      <c r="A4324" s="521" t="n">
        <v>4316</v>
      </c>
      <c r="B4324" s="522" t="inlineStr">
        <is>
          <t>Lift-On &amp; Lift-Off</t>
        </is>
      </c>
      <c r="C4324" s="522" t="inlineStr">
        <is>
          <t>កំពង់ផែស្វយ័តក្រុងព្រះសីហនុ</t>
        </is>
      </c>
      <c r="D4324" s="522" t="inlineStr">
        <is>
          <t>L001-100044638</t>
        </is>
      </c>
      <c r="E4324" s="521" t="inlineStr">
        <is>
          <t>214602</t>
        </is>
      </c>
      <c r="F4324" s="523" t="n">
        <v>44902</v>
      </c>
      <c r="G4324" s="556" t="n">
        <v>6989</v>
      </c>
      <c r="I4324" s="521">
        <f>G4324</f>
        <v/>
      </c>
      <c r="K4324" s="521">
        <f>I4324-G4324</f>
        <v/>
      </c>
      <c r="M4324" s="522" t="inlineStr">
        <is>
          <t>214602</t>
        </is>
      </c>
      <c r="N4324" s="522" t="inlineStr"/>
      <c r="O4324" s="521">
        <f>M4324=N4324</f>
        <v/>
      </c>
      <c r="P4324" s="521">
        <f>AND(MONTH(F4324)=MONTH(S4324), YEAR(F4324)=YEAR(S4324))</f>
        <v/>
      </c>
      <c r="Q4324" s="521">
        <f>U4324="L001-901905215"</f>
        <v/>
      </c>
      <c r="R4324" s="556">
        <f>G4324-W4324</f>
        <v/>
      </c>
      <c r="S4324" s="521" t="n"/>
      <c r="T4324" s="522" t="n"/>
      <c r="U4324" s="522" t="n"/>
      <c r="V4324" s="522" t="n"/>
      <c r="W4324" s="521" t="n"/>
    </row>
    <row r="4325">
      <c r="A4325" s="521" t="n">
        <v>4317</v>
      </c>
      <c r="B4325" s="522" t="inlineStr">
        <is>
          <t>LIFT-OFF Charges and Gate Fee Charge</t>
        </is>
      </c>
      <c r="C4325" s="522" t="inlineStr">
        <is>
          <t>កំពង់ផែស្វយ័តភ្នំពេញ "ក.ស.ភ"</t>
        </is>
      </c>
      <c r="D4325" s="522" t="inlineStr">
        <is>
          <t>L001-100044999</t>
        </is>
      </c>
      <c r="E4325" s="521" t="inlineStr">
        <is>
          <t>INV20221289760</t>
        </is>
      </c>
      <c r="F4325" s="523" t="n">
        <v>44915</v>
      </c>
      <c r="G4325" s="556" t="n">
        <v>29628</v>
      </c>
      <c r="I4325" s="521">
        <f>G4325</f>
        <v/>
      </c>
      <c r="K4325" s="521">
        <f>I4325-G4325</f>
        <v/>
      </c>
      <c r="M4325" s="522" t="inlineStr">
        <is>
          <t>INV20221289760</t>
        </is>
      </c>
      <c r="N4325" s="522" t="inlineStr"/>
      <c r="O4325" s="521">
        <f>M4325=N4325</f>
        <v/>
      </c>
      <c r="P4325" s="521">
        <f>AND(MONTH(F4325)=MONTH(S4325), YEAR(F4325)=YEAR(S4325))</f>
        <v/>
      </c>
      <c r="Q4325" s="521">
        <f>U4325="L001-901905215"</f>
        <v/>
      </c>
      <c r="R4325" s="556">
        <f>G4325-W4325</f>
        <v/>
      </c>
      <c r="S4325" s="521" t="n"/>
      <c r="T4325" s="522" t="n"/>
      <c r="U4325" s="522" t="n"/>
      <c r="V4325" s="522" t="n"/>
      <c r="W4325" s="521" t="n"/>
    </row>
    <row r="4326">
      <c r="A4326" s="521" t="n">
        <v>4318</v>
      </c>
      <c r="B4326" s="522" t="inlineStr">
        <is>
          <t>LIFT-OFF Charges and Gate Fee Charge</t>
        </is>
      </c>
      <c r="C4326" s="522" t="inlineStr">
        <is>
          <t>កំពង់ផែស្វយ័តភ្នំពេញ "ក.ស.ភ"</t>
        </is>
      </c>
      <c r="D4326" s="522" t="inlineStr">
        <is>
          <t>L001-100044999</t>
        </is>
      </c>
      <c r="E4326" s="521" t="inlineStr">
        <is>
          <t>INV20221290051</t>
        </is>
      </c>
      <c r="F4326" s="523" t="n">
        <v>44917</v>
      </c>
      <c r="G4326" s="556" t="n">
        <v>59256</v>
      </c>
      <c r="I4326" s="521">
        <f>G4326</f>
        <v/>
      </c>
      <c r="K4326" s="521">
        <f>I4326-G4326</f>
        <v/>
      </c>
      <c r="M4326" s="522" t="inlineStr">
        <is>
          <t>INV20221290051</t>
        </is>
      </c>
      <c r="N4326" s="522" t="inlineStr"/>
      <c r="O4326" s="521">
        <f>M4326=N4326</f>
        <v/>
      </c>
      <c r="P4326" s="521">
        <f>AND(MONTH(F4326)=MONTH(S4326), YEAR(F4326)=YEAR(S4326))</f>
        <v/>
      </c>
      <c r="Q4326" s="521">
        <f>U4326="L001-901905215"</f>
        <v/>
      </c>
      <c r="R4326" s="556">
        <f>G4326-W4326</f>
        <v/>
      </c>
      <c r="S4326" s="521" t="n"/>
      <c r="T4326" s="522" t="n"/>
      <c r="U4326" s="522" t="n"/>
      <c r="V4326" s="522" t="n"/>
      <c r="W4326" s="521" t="n"/>
    </row>
    <row r="4327">
      <c r="A4327" s="521" t="n">
        <v>4319</v>
      </c>
      <c r="B4327" s="522" t="inlineStr">
        <is>
          <t>LIFT-OFF Charges and Gate Fee Charge</t>
        </is>
      </c>
      <c r="C4327" s="522" t="inlineStr">
        <is>
          <t>កំពង់ផែស្វយ័តភ្នំពេញ "ក.ស.ភ"</t>
        </is>
      </c>
      <c r="D4327" s="522" t="inlineStr">
        <is>
          <t>L001-100044999</t>
        </is>
      </c>
      <c r="E4327" s="521" t="inlineStr">
        <is>
          <t>INV20221288021</t>
        </is>
      </c>
      <c r="F4327" s="523" t="n">
        <v>44907</v>
      </c>
      <c r="G4327" s="556" t="n">
        <v>29671</v>
      </c>
      <c r="I4327" s="521">
        <f>G4327</f>
        <v/>
      </c>
      <c r="K4327" s="521">
        <f>I4327-G4327</f>
        <v/>
      </c>
      <c r="M4327" s="522" t="inlineStr">
        <is>
          <t>INV20221288021</t>
        </is>
      </c>
      <c r="N4327" s="522" t="inlineStr"/>
      <c r="O4327" s="521">
        <f>M4327=N4327</f>
        <v/>
      </c>
      <c r="P4327" s="521">
        <f>AND(MONTH(F4327)=MONTH(S4327), YEAR(F4327)=YEAR(S4327))</f>
        <v/>
      </c>
      <c r="Q4327" s="521">
        <f>U4327="L001-901905215"</f>
        <v/>
      </c>
      <c r="R4327" s="556">
        <f>G4327-W4327</f>
        <v/>
      </c>
      <c r="S4327" s="521" t="n"/>
      <c r="T4327" s="522" t="n"/>
      <c r="U4327" s="522" t="n"/>
      <c r="V4327" s="522" t="n"/>
      <c r="W4327" s="521" t="n"/>
    </row>
    <row r="4328">
      <c r="A4328" s="521" t="n">
        <v>4320</v>
      </c>
      <c r="B4328" s="522" t="inlineStr">
        <is>
          <t>Lift-On &amp; Lift-Off</t>
        </is>
      </c>
      <c r="C4328" s="522" t="inlineStr">
        <is>
          <t>កំពង់ផែស្វយ័តក្រុងព្រះសីហនុ</t>
        </is>
      </c>
      <c r="D4328" s="522" t="inlineStr">
        <is>
          <t>L001-100044638</t>
        </is>
      </c>
      <c r="E4328" s="521" t="inlineStr">
        <is>
          <t>210876</t>
        </is>
      </c>
      <c r="F4328" s="523" t="n">
        <v>44904</v>
      </c>
      <c r="G4328" s="556" t="n">
        <v>21022</v>
      </c>
      <c r="I4328" s="521">
        <f>G4328</f>
        <v/>
      </c>
      <c r="K4328" s="521">
        <f>I4328-G4328</f>
        <v/>
      </c>
      <c r="M4328" s="522" t="inlineStr">
        <is>
          <t>210876</t>
        </is>
      </c>
      <c r="N4328" s="522" t="inlineStr"/>
      <c r="O4328" s="521">
        <f>M4328=N4328</f>
        <v/>
      </c>
      <c r="P4328" s="521">
        <f>AND(MONTH(F4328)=MONTH(S4328), YEAR(F4328)=YEAR(S4328))</f>
        <v/>
      </c>
      <c r="Q4328" s="521">
        <f>U4328="L001-901905215"</f>
        <v/>
      </c>
      <c r="R4328" s="556">
        <f>G4328-W4328</f>
        <v/>
      </c>
      <c r="S4328" s="521" t="n"/>
      <c r="T4328" s="522" t="n"/>
      <c r="U4328" s="522" t="n"/>
      <c r="V4328" s="522" t="n"/>
      <c r="W4328" s="521" t="n"/>
    </row>
    <row r="4329">
      <c r="A4329" s="521" t="n">
        <v>4321</v>
      </c>
      <c r="B4329" s="522" t="inlineStr">
        <is>
          <t>Express Fee</t>
        </is>
      </c>
      <c r="C4329" s="522" t="inlineStr">
        <is>
          <t>ឌី អេច អិល អិចប្រេស (ខេមបូឌា)</t>
        </is>
      </c>
      <c r="D4329" s="522" t="inlineStr">
        <is>
          <t>L001-100045197</t>
        </is>
      </c>
      <c r="E4329" s="521" t="inlineStr">
        <is>
          <t>PNHIR000446785</t>
        </is>
      </c>
      <c r="F4329" s="523" t="n">
        <v>44926</v>
      </c>
      <c r="G4329" s="556" t="n">
        <v>49392</v>
      </c>
      <c r="I4329" s="521">
        <f>G4329</f>
        <v/>
      </c>
      <c r="K4329" s="521">
        <f>I4329-G4329</f>
        <v/>
      </c>
      <c r="M4329" s="522" t="inlineStr">
        <is>
          <t>PNHIR000446785</t>
        </is>
      </c>
      <c r="N4329" s="522" t="inlineStr"/>
      <c r="O4329" s="521">
        <f>M4329=N4329</f>
        <v/>
      </c>
      <c r="P4329" s="521">
        <f>AND(MONTH(F4329)=MONTH(S4329), YEAR(F4329)=YEAR(S4329))</f>
        <v/>
      </c>
      <c r="Q4329" s="521">
        <f>U4329="L001-901905215"</f>
        <v/>
      </c>
      <c r="R4329" s="556">
        <f>G4329-W4329</f>
        <v/>
      </c>
      <c r="S4329" s="521" t="n"/>
      <c r="T4329" s="522" t="n"/>
      <c r="U4329" s="522" t="n"/>
      <c r="V4329" s="522" t="n"/>
      <c r="W4329" s="521" t="n"/>
    </row>
    <row r="4330">
      <c r="A4330" s="521" t="n">
        <v>4322</v>
      </c>
      <c r="B4330" s="522" t="inlineStr">
        <is>
          <t>Express Fee</t>
        </is>
      </c>
      <c r="C4330" s="522" t="inlineStr">
        <is>
          <t>ឌី អេច អិល អិចប្រេស (ខេមបូឌា)</t>
        </is>
      </c>
      <c r="D4330" s="522" t="inlineStr">
        <is>
          <t>L001-100045197</t>
        </is>
      </c>
      <c r="E4330" s="521" t="inlineStr">
        <is>
          <t>PNHIR000446322</t>
        </is>
      </c>
      <c r="F4330" s="523" t="n">
        <v>44924</v>
      </c>
      <c r="G4330" s="556" t="n">
        <v>89714</v>
      </c>
      <c r="I4330" s="521">
        <f>G4330</f>
        <v/>
      </c>
      <c r="K4330" s="521">
        <f>I4330-G4330</f>
        <v/>
      </c>
      <c r="M4330" s="522" t="inlineStr">
        <is>
          <t>PNHIR000446322</t>
        </is>
      </c>
      <c r="N4330" s="522" t="inlineStr"/>
      <c r="O4330" s="521">
        <f>M4330=N4330</f>
        <v/>
      </c>
      <c r="P4330" s="521">
        <f>AND(MONTH(F4330)=MONTH(S4330), YEAR(F4330)=YEAR(S4330))</f>
        <v/>
      </c>
      <c r="Q4330" s="521">
        <f>U4330="L001-901905215"</f>
        <v/>
      </c>
      <c r="R4330" s="556">
        <f>G4330-W4330</f>
        <v/>
      </c>
      <c r="S4330" s="521" t="n"/>
      <c r="T4330" s="522" t="n"/>
      <c r="U4330" s="522" t="n"/>
      <c r="V4330" s="522" t="n"/>
      <c r="W4330" s="521" t="n"/>
    </row>
    <row r="4331">
      <c r="A4331" s="521" t="n">
        <v>4323</v>
      </c>
      <c r="B4331" s="522" t="inlineStr">
        <is>
          <t>Express Fee</t>
        </is>
      </c>
      <c r="C4331" s="522" t="inlineStr">
        <is>
          <t>ឌី អេច អិល អិចប្រេស (ខេមបូឌា)</t>
        </is>
      </c>
      <c r="D4331" s="522" t="inlineStr">
        <is>
          <t>L001-100045197</t>
        </is>
      </c>
      <c r="E4331" s="521" t="inlineStr">
        <is>
          <t>PNHIR000445639</t>
        </is>
      </c>
      <c r="F4331" s="523" t="n">
        <v>44917</v>
      </c>
      <c r="G4331" s="556" t="n">
        <v>29834</v>
      </c>
      <c r="I4331" s="521">
        <f>G4331</f>
        <v/>
      </c>
      <c r="K4331" s="521">
        <f>I4331-G4331</f>
        <v/>
      </c>
      <c r="M4331" s="522" t="inlineStr">
        <is>
          <t>PNHIR000445639</t>
        </is>
      </c>
      <c r="N4331" s="522" t="inlineStr"/>
      <c r="O4331" s="521">
        <f>M4331=N4331</f>
        <v/>
      </c>
      <c r="P4331" s="521">
        <f>AND(MONTH(F4331)=MONTH(S4331), YEAR(F4331)=YEAR(S4331))</f>
        <v/>
      </c>
      <c r="Q4331" s="521">
        <f>U4331="L001-901905215"</f>
        <v/>
      </c>
      <c r="R4331" s="556">
        <f>G4331-W4331</f>
        <v/>
      </c>
      <c r="S4331" s="521" t="n"/>
      <c r="T4331" s="522" t="n"/>
      <c r="U4331" s="522" t="n"/>
      <c r="V4331" s="522" t="n"/>
      <c r="W4331" s="521" t="n"/>
    </row>
    <row r="4332">
      <c r="A4332" s="521" t="n">
        <v>4324</v>
      </c>
      <c r="B4332" s="522" t="inlineStr">
        <is>
          <t>Express Fee</t>
        </is>
      </c>
      <c r="C4332" s="522" t="inlineStr">
        <is>
          <t>ឌី អេច អិល អិចប្រេស (ខេមបូឌា)</t>
        </is>
      </c>
      <c r="D4332" s="522" t="inlineStr">
        <is>
          <t>L001-100045197</t>
        </is>
      </c>
      <c r="E4332" s="521" t="inlineStr">
        <is>
          <t>PNHIR000444887</t>
        </is>
      </c>
      <c r="F4332" s="523" t="n">
        <v>44910</v>
      </c>
      <c r="G4332" s="556" t="n">
        <v>13289</v>
      </c>
      <c r="I4332" s="521">
        <f>G4332</f>
        <v/>
      </c>
      <c r="K4332" s="521">
        <f>I4332-G4332</f>
        <v/>
      </c>
      <c r="M4332" s="522" t="inlineStr">
        <is>
          <t>PNHIR000444887</t>
        </is>
      </c>
      <c r="N4332" s="522" t="inlineStr"/>
      <c r="O4332" s="521">
        <f>M4332=N4332</f>
        <v/>
      </c>
      <c r="P4332" s="521">
        <f>AND(MONTH(F4332)=MONTH(S4332), YEAR(F4332)=YEAR(S4332))</f>
        <v/>
      </c>
      <c r="Q4332" s="521">
        <f>U4332="L001-901905215"</f>
        <v/>
      </c>
      <c r="R4332" s="556">
        <f>G4332-W4332</f>
        <v/>
      </c>
      <c r="S4332" s="521" t="n"/>
      <c r="T4332" s="522" t="n"/>
      <c r="U4332" s="522" t="n"/>
      <c r="V4332" s="522" t="n"/>
      <c r="W4332" s="521" t="n"/>
    </row>
    <row r="4333">
      <c r="A4333" s="521" t="n">
        <v>4325</v>
      </c>
      <c r="B4333" s="522" t="inlineStr">
        <is>
          <t>Express Fee</t>
        </is>
      </c>
      <c r="C4333" s="522" t="inlineStr">
        <is>
          <t>ឌី អេច អិល អិចប្រេស (ខេមបូឌា)</t>
        </is>
      </c>
      <c r="D4333" s="522" t="inlineStr">
        <is>
          <t>L001-100045197</t>
        </is>
      </c>
      <c r="E4333" s="521" t="inlineStr">
        <is>
          <t>PNHIR000444200</t>
        </is>
      </c>
      <c r="F4333" s="523" t="n">
        <v>44903</v>
      </c>
      <c r="G4333" s="556" t="n">
        <v>11044</v>
      </c>
      <c r="I4333" s="521">
        <f>G4333</f>
        <v/>
      </c>
      <c r="K4333" s="521">
        <f>I4333-G4333</f>
        <v/>
      </c>
      <c r="M4333" s="522" t="inlineStr">
        <is>
          <t>PNHIR000444200</t>
        </is>
      </c>
      <c r="N4333" s="522" t="inlineStr"/>
      <c r="O4333" s="521">
        <f>M4333=N4333</f>
        <v/>
      </c>
      <c r="P4333" s="521">
        <f>AND(MONTH(F4333)=MONTH(S4333), YEAR(F4333)=YEAR(S4333))</f>
        <v/>
      </c>
      <c r="Q4333" s="521">
        <f>U4333="L001-901905215"</f>
        <v/>
      </c>
      <c r="R4333" s="556">
        <f>G4333-W4333</f>
        <v/>
      </c>
      <c r="S4333" s="521" t="n"/>
      <c r="T4333" s="522" t="n"/>
      <c r="U4333" s="522" t="n"/>
      <c r="V4333" s="522" t="n"/>
      <c r="W4333" s="521" t="n"/>
    </row>
    <row r="4334">
      <c r="A4334" s="521" t="n">
        <v>4326</v>
      </c>
      <c r="B4334" s="522" t="inlineStr">
        <is>
          <t>Express Fee</t>
        </is>
      </c>
      <c r="C4334" s="522" t="inlineStr">
        <is>
          <t>ឌី អេច អិល អិចប្រេស (ខេមបូឌា)</t>
        </is>
      </c>
      <c r="D4334" s="522" t="inlineStr">
        <is>
          <t>L001-100045197</t>
        </is>
      </c>
      <c r="E4334" s="521" t="inlineStr">
        <is>
          <t>PNHIR00152622</t>
        </is>
      </c>
      <c r="F4334" s="523" t="n">
        <v>44926</v>
      </c>
      <c r="G4334" s="556" t="n">
        <v>11989</v>
      </c>
      <c r="I4334" s="521">
        <f>G4334</f>
        <v/>
      </c>
      <c r="K4334" s="521">
        <f>I4334-G4334</f>
        <v/>
      </c>
      <c r="M4334" s="522" t="inlineStr">
        <is>
          <t>PNHIR00152622</t>
        </is>
      </c>
      <c r="N4334" s="522" t="inlineStr">
        <is>
          <t>PNHIR00152622</t>
        </is>
      </c>
      <c r="O4334" s="521">
        <f>M4334=N4334</f>
        <v/>
      </c>
      <c r="P4334" s="521">
        <f>AND(MONTH(F4334)=MONTH(S4334), YEAR(F4334)=YEAR(S4334))</f>
        <v/>
      </c>
      <c r="Q4334" s="521">
        <f>U4334="L001-901905215"</f>
        <v/>
      </c>
      <c r="R4334" s="556">
        <f>G4334-W4334</f>
        <v/>
      </c>
      <c r="S4334" s="523" t="n">
        <v>44926</v>
      </c>
      <c r="T4334" s="522" t="inlineStr">
        <is>
          <t>PNHIR00152622</t>
        </is>
      </c>
      <c r="U4334" s="522" t="inlineStr">
        <is>
          <t>L001-901905215</t>
        </is>
      </c>
      <c r="V4334" s="522" t="inlineStr">
        <is>
          <t>វីអ៊ីស៊ិន (ខេមបូឌា) អ៊ិនដាសស្ទ្រី ឯ.ក</t>
        </is>
      </c>
      <c r="W4334" s="556" t="n">
        <v>11988</v>
      </c>
    </row>
    <row r="4335">
      <c r="A4335" s="521" t="n">
        <v>4327</v>
      </c>
      <c r="B4335" s="522" t="inlineStr">
        <is>
          <t>Express Fee</t>
        </is>
      </c>
      <c r="C4335" s="522" t="inlineStr">
        <is>
          <t>ឌី អេច អិល អិចប្រេស (ខេមបូឌា)</t>
        </is>
      </c>
      <c r="D4335" s="522" t="inlineStr">
        <is>
          <t>L001-100045197</t>
        </is>
      </c>
      <c r="E4335" s="521" t="inlineStr">
        <is>
          <t>PNHIR00152125</t>
        </is>
      </c>
      <c r="F4335" s="523" t="n">
        <v>44921</v>
      </c>
      <c r="G4335" s="556" t="n">
        <v>8228</v>
      </c>
      <c r="I4335" s="521">
        <f>G4335</f>
        <v/>
      </c>
      <c r="K4335" s="521">
        <f>I4335-G4335</f>
        <v/>
      </c>
      <c r="M4335" s="522" t="inlineStr">
        <is>
          <t>PNHIR00152125</t>
        </is>
      </c>
      <c r="N4335" s="522" t="inlineStr">
        <is>
          <t>PNHIR00152125</t>
        </is>
      </c>
      <c r="O4335" s="521">
        <f>M4335=N4335</f>
        <v/>
      </c>
      <c r="P4335" s="521">
        <f>AND(MONTH(F4335)=MONTH(S4335), YEAR(F4335)=YEAR(S4335))</f>
        <v/>
      </c>
      <c r="Q4335" s="521">
        <f>U4335="L001-901905215"</f>
        <v/>
      </c>
      <c r="R4335" s="556">
        <f>G4335-W4335</f>
        <v/>
      </c>
      <c r="S4335" s="523" t="n">
        <v>44921</v>
      </c>
      <c r="T4335" s="522" t="inlineStr">
        <is>
          <t>PNHIR00152125</t>
        </is>
      </c>
      <c r="U4335" s="522" t="inlineStr">
        <is>
          <t>L001-901905215</t>
        </is>
      </c>
      <c r="V4335" s="522" t="inlineStr">
        <is>
          <t>វីអ៊ីស៊ិន (ខេមបូឌា) អ៊ិនដាសស្ទ្រី ឯ.ក</t>
        </is>
      </c>
      <c r="W4335" s="556" t="n">
        <v>8228</v>
      </c>
    </row>
    <row r="4336">
      <c r="A4336" s="521" t="n">
        <v>4328</v>
      </c>
      <c r="B4336" s="522" t="inlineStr">
        <is>
          <t>Express Fee</t>
        </is>
      </c>
      <c r="C4336" s="522" t="inlineStr">
        <is>
          <t>ឌី អេច អិល អិចប្រេស (ខេមបូឌា)</t>
        </is>
      </c>
      <c r="D4336" s="522" t="inlineStr">
        <is>
          <t>L001-100045197</t>
        </is>
      </c>
      <c r="E4336" s="521" t="inlineStr">
        <is>
          <t>PNHIR00150358</t>
        </is>
      </c>
      <c r="F4336" s="523" t="n">
        <v>44900</v>
      </c>
      <c r="G4336" s="556" t="n">
        <v>1643</v>
      </c>
      <c r="I4336" s="521">
        <f>G4336</f>
        <v/>
      </c>
      <c r="K4336" s="521">
        <f>I4336-G4336</f>
        <v/>
      </c>
      <c r="M4336" s="522" t="inlineStr">
        <is>
          <t>PNHIR00150358</t>
        </is>
      </c>
      <c r="N4336" s="522" t="inlineStr">
        <is>
          <t>PNHIR00150358</t>
        </is>
      </c>
      <c r="O4336" s="521">
        <f>M4336=N4336</f>
        <v/>
      </c>
      <c r="P4336" s="521">
        <f>AND(MONTH(F4336)=MONTH(S4336), YEAR(F4336)=YEAR(S4336))</f>
        <v/>
      </c>
      <c r="Q4336" s="521">
        <f>U4336="L001-901905215"</f>
        <v/>
      </c>
      <c r="R4336" s="556">
        <f>G4336-W4336</f>
        <v/>
      </c>
      <c r="S4336" s="523" t="n">
        <v>44900</v>
      </c>
      <c r="T4336" s="522" t="inlineStr">
        <is>
          <t>PNHIR00150358</t>
        </is>
      </c>
      <c r="U4336" s="522" t="inlineStr">
        <is>
          <t>L001-901905215</t>
        </is>
      </c>
      <c r="V4336" s="522" t="inlineStr">
        <is>
          <t>វីអ៊ីស៊ិន (ខេមបូឌា) អ៊ិនដាសស្ទ្រី ឯ.ក</t>
        </is>
      </c>
      <c r="W4336" s="556" t="n">
        <v>1643</v>
      </c>
    </row>
    <row r="4337">
      <c r="A4337" s="521" t="n">
        <v>4329</v>
      </c>
      <c r="B4337" s="522" t="inlineStr">
        <is>
          <t>Lift-On &amp; Lift-Off</t>
        </is>
      </c>
      <c r="C4337" s="522" t="inlineStr">
        <is>
          <t>កំពង់ផែស្វយ័តក្រុងព្រះសីហនុ</t>
        </is>
      </c>
      <c r="D4337" s="522" t="inlineStr">
        <is>
          <t>L001-100044638</t>
        </is>
      </c>
      <c r="E4337" s="521" t="inlineStr">
        <is>
          <t>205311</t>
        </is>
      </c>
      <c r="F4337" s="523" t="n">
        <v>44896</v>
      </c>
      <c r="G4337" s="556" t="n">
        <v>21022</v>
      </c>
      <c r="I4337" s="521">
        <f>G4337</f>
        <v/>
      </c>
      <c r="K4337" s="521">
        <f>I4337-G4337</f>
        <v/>
      </c>
      <c r="M4337" s="522" t="inlineStr">
        <is>
          <t>205311</t>
        </is>
      </c>
      <c r="N4337" s="522" t="inlineStr"/>
      <c r="O4337" s="521">
        <f>M4337=N4337</f>
        <v/>
      </c>
      <c r="P4337" s="521">
        <f>AND(MONTH(F4337)=MONTH(S4337), YEAR(F4337)=YEAR(S4337))</f>
        <v/>
      </c>
      <c r="Q4337" s="521">
        <f>U4337="L001-901905215"</f>
        <v/>
      </c>
      <c r="R4337" s="556">
        <f>G4337-W4337</f>
        <v/>
      </c>
      <c r="S4337" s="521" t="n"/>
      <c r="T4337" s="522" t="n"/>
      <c r="U4337" s="522" t="n"/>
      <c r="V4337" s="522" t="n"/>
      <c r="W4337" s="521" t="n"/>
    </row>
    <row r="4338">
      <c r="A4338" s="521" t="n">
        <v>4330</v>
      </c>
      <c r="B4338" s="522" t="inlineStr">
        <is>
          <t>Rental Machine for  Dec 2022</t>
        </is>
      </c>
      <c r="C4338" s="522" t="inlineStr">
        <is>
          <t xml:space="preserve">អិនធីអិល តិចណូឡូជី </t>
        </is>
      </c>
      <c r="D4338" s="522" t="inlineStr">
        <is>
          <t>K005-901900283</t>
        </is>
      </c>
      <c r="E4338" s="521" t="inlineStr">
        <is>
          <t>22004523</t>
        </is>
      </c>
      <c r="F4338" s="523" t="n">
        <v>44914</v>
      </c>
      <c r="G4338" s="556" t="n">
        <v>23091</v>
      </c>
      <c r="I4338" s="521">
        <f>G4338</f>
        <v/>
      </c>
      <c r="K4338" s="521">
        <f>I4338-G4338</f>
        <v/>
      </c>
      <c r="M4338" s="522" t="inlineStr">
        <is>
          <t>22004523</t>
        </is>
      </c>
      <c r="N4338" s="522" t="inlineStr">
        <is>
          <t>22004523</t>
        </is>
      </c>
      <c r="O4338" s="521">
        <f>M4338=N4338</f>
        <v/>
      </c>
      <c r="P4338" s="521">
        <f>AND(MONTH(F4338)=MONTH(S4338), YEAR(F4338)=YEAR(S4338))</f>
        <v/>
      </c>
      <c r="Q4338" s="521">
        <f>U4338="L001-901905215"</f>
        <v/>
      </c>
      <c r="R4338" s="556">
        <f>G4338-W4338</f>
        <v/>
      </c>
      <c r="S4338" s="523" t="n">
        <v>44914</v>
      </c>
      <c r="T4338" s="522" t="inlineStr">
        <is>
          <t>22-004523</t>
        </is>
      </c>
      <c r="U4338" s="522" t="inlineStr">
        <is>
          <t>L001-901905215</t>
        </is>
      </c>
      <c r="V4338" s="522" t="inlineStr">
        <is>
          <t>វីអ៊ីស៊ិន (ខេមបូឌា) អ៊ិនដាសស្ទ្រី ឯ.ក</t>
        </is>
      </c>
      <c r="W4338" s="556" t="n">
        <v>23091</v>
      </c>
    </row>
    <row r="4339">
      <c r="A4339" s="521" t="n">
        <v>4331</v>
      </c>
      <c r="B4339" s="522" t="inlineStr">
        <is>
          <t>Rental Machine for Nov and Dec 2022</t>
        </is>
      </c>
      <c r="C4339" s="522" t="inlineStr">
        <is>
          <t xml:space="preserve">អិនធីអិល តិចណូឡូជី </t>
        </is>
      </c>
      <c r="D4339" s="522" t="inlineStr">
        <is>
          <t>K005-901900283</t>
        </is>
      </c>
      <c r="E4339" s="521" t="inlineStr">
        <is>
          <t>22-004113</t>
        </is>
      </c>
      <c r="F4339" s="523" t="n">
        <v>44896</v>
      </c>
      <c r="G4339" s="556" t="n">
        <v>20685</v>
      </c>
      <c r="I4339" s="521">
        <f>G4339</f>
        <v/>
      </c>
      <c r="K4339" s="521">
        <f>I4339-G4339</f>
        <v/>
      </c>
      <c r="M4339" s="522" t="inlineStr">
        <is>
          <t>22004113</t>
        </is>
      </c>
      <c r="N4339" s="522" t="inlineStr"/>
      <c r="O4339" s="521">
        <f>M4339=N4339</f>
        <v/>
      </c>
      <c r="P4339" s="521">
        <f>AND(MONTH(F4339)=MONTH(S4339), YEAR(F4339)=YEAR(S4339))</f>
        <v/>
      </c>
      <c r="Q4339" s="521">
        <f>U4339="L001-901905215"</f>
        <v/>
      </c>
      <c r="R4339" s="556">
        <f>G4339-W4339</f>
        <v/>
      </c>
      <c r="S4339" s="521" t="n"/>
      <c r="T4339" s="522" t="n"/>
      <c r="U4339" s="522" t="n"/>
      <c r="V4339" s="522" t="n"/>
      <c r="W4339" s="521" t="n"/>
    </row>
    <row r="4340">
      <c r="A4340" s="521" t="n">
        <v>4332</v>
      </c>
      <c r="B4340" s="522" t="inlineStr">
        <is>
          <t>Internet Service Fee</t>
        </is>
      </c>
      <c r="C4340" s="522" t="inlineStr">
        <is>
          <t>វៀតធេល (ខេមបូឌា)</t>
        </is>
      </c>
      <c r="D4340" s="522" t="inlineStr">
        <is>
          <t>L001-100121845</t>
        </is>
      </c>
      <c r="E4340" s="521" t="inlineStr">
        <is>
          <t>MC/2022-0771055</t>
        </is>
      </c>
      <c r="F4340" s="523" t="n">
        <v>44923</v>
      </c>
      <c r="G4340" s="556" t="n">
        <v>205750</v>
      </c>
      <c r="I4340" s="521">
        <f>G4340</f>
        <v/>
      </c>
      <c r="K4340" s="521">
        <f>I4340-G4340</f>
        <v/>
      </c>
      <c r="M4340" s="522" t="inlineStr">
        <is>
          <t>MC20220771055</t>
        </is>
      </c>
      <c r="N4340" s="522" t="inlineStr"/>
      <c r="O4340" s="521">
        <f>M4340=N4340</f>
        <v/>
      </c>
      <c r="P4340" s="521">
        <f>AND(MONTH(F4340)=MONTH(S4340), YEAR(F4340)=YEAR(S4340))</f>
        <v/>
      </c>
      <c r="Q4340" s="521">
        <f>U4340="L001-901905215"</f>
        <v/>
      </c>
      <c r="R4340" s="556">
        <f>G4340-W4340</f>
        <v/>
      </c>
      <c r="S4340" s="521" t="n"/>
      <c r="T4340" s="522" t="n"/>
      <c r="U4340" s="522" t="n"/>
      <c r="V4340" s="522" t="n"/>
      <c r="W4340" s="521" t="n"/>
    </row>
    <row r="4341">
      <c r="A4341" s="521" t="n">
        <v>4333</v>
      </c>
      <c r="B4341" s="522" t="inlineStr">
        <is>
          <t>Security Guard for Dec 2022</t>
        </is>
      </c>
      <c r="C4341" s="522" t="inlineStr">
        <is>
          <t>អេសអេហ្វអាយ​ ស៊ីឃ្យួរឹធី ហ្វសស៍ អ៊ិនធើណេសិនណល ឯ.ក</t>
        </is>
      </c>
      <c r="D4341" s="522" t="inlineStr">
        <is>
          <t>K010-901908100</t>
        </is>
      </c>
      <c r="E4341" s="521" t="inlineStr">
        <is>
          <t>SFI2022/484</t>
        </is>
      </c>
      <c r="F4341" s="523" t="n">
        <v>44921</v>
      </c>
      <c r="G4341" s="556" t="n">
        <v>230384</v>
      </c>
      <c r="I4341" s="521">
        <f>G4341</f>
        <v/>
      </c>
      <c r="K4341" s="521">
        <f>I4341-G4341</f>
        <v/>
      </c>
      <c r="M4341" s="522" t="inlineStr">
        <is>
          <t>SFI2022484</t>
        </is>
      </c>
      <c r="N4341" s="522" t="inlineStr">
        <is>
          <t>SFI2022484</t>
        </is>
      </c>
      <c r="O4341" s="521">
        <f>M4341=N4341</f>
        <v/>
      </c>
      <c r="P4341" s="521">
        <f>AND(MONTH(F4341)=MONTH(S4341), YEAR(F4341)=YEAR(S4341))</f>
        <v/>
      </c>
      <c r="Q4341" s="521">
        <f>U4341="L001-901905215"</f>
        <v/>
      </c>
      <c r="R4341" s="556">
        <f>G4341-W4341</f>
        <v/>
      </c>
      <c r="S4341" s="523" t="n">
        <v>44921</v>
      </c>
      <c r="T4341" s="522" t="inlineStr">
        <is>
          <t>SFI2022/484</t>
        </is>
      </c>
      <c r="U4341" s="522" t="inlineStr">
        <is>
          <t>L001-901905215</t>
        </is>
      </c>
      <c r="V4341" s="522" t="inlineStr">
        <is>
          <t>វីអ៊ីស៊ិន (ខេមបូឌា) អ៊ិនដាសស្ទ្រី ឯ.ក</t>
        </is>
      </c>
      <c r="W4341" s="556" t="n">
        <v>230552</v>
      </c>
    </row>
    <row r="4342">
      <c r="A4342" s="521" t="n">
        <v>4334</v>
      </c>
      <c r="B4342" s="522" t="inlineStr">
        <is>
          <t>Building Rental and Management Fee for Dec 2022</t>
        </is>
      </c>
      <c r="C4342" s="522" t="inlineStr">
        <is>
          <t>មេហ្គា លេបឹល &amp; ស្ទីកឃើរ (ខេមបូឌា)</t>
        </is>
      </c>
      <c r="D4342" s="522" t="inlineStr">
        <is>
          <t>L001-100185983</t>
        </is>
      </c>
      <c r="E4342" s="521" t="inlineStr">
        <is>
          <t>INV20221201</t>
        </is>
      </c>
      <c r="F4342" s="523" t="n">
        <v>44926</v>
      </c>
      <c r="G4342" s="556" t="n">
        <v>1556154</v>
      </c>
      <c r="I4342" s="521">
        <f>G4342</f>
        <v/>
      </c>
      <c r="K4342" s="521">
        <f>I4342-G4342</f>
        <v/>
      </c>
      <c r="M4342" s="522" t="inlineStr">
        <is>
          <t>INV20221201</t>
        </is>
      </c>
      <c r="N4342" s="522" t="inlineStr">
        <is>
          <t>INV20221201</t>
        </is>
      </c>
      <c r="O4342" s="521">
        <f>M4342=N4342</f>
        <v/>
      </c>
      <c r="P4342" s="521">
        <f>AND(MONTH(F4342)=MONTH(S4342), YEAR(F4342)=YEAR(S4342))</f>
        <v/>
      </c>
      <c r="Q4342" s="521">
        <f>U4342="L001-901905215"</f>
        <v/>
      </c>
      <c r="R4342" s="556">
        <f>G4342-W4342</f>
        <v/>
      </c>
      <c r="S4342" s="523" t="n">
        <v>44896</v>
      </c>
      <c r="T4342" s="522" t="inlineStr">
        <is>
          <t>INV20221201</t>
        </is>
      </c>
      <c r="U4342" s="522" t="inlineStr">
        <is>
          <t>L001-901905215</t>
        </is>
      </c>
      <c r="V4342" s="522" t="inlineStr">
        <is>
          <t>វីអ៊ីស៊ិន (ខេមបូឌា) អ៊ិនដាសស្ទ្រី ឯ.ក</t>
        </is>
      </c>
      <c r="W4342" s="556" t="n">
        <v>1561608</v>
      </c>
    </row>
    <row r="4343">
      <c r="A4343" s="521" t="n">
        <v>4335</v>
      </c>
      <c r="B4343" s="522" t="inlineStr">
        <is>
          <t>Carbon Dioxide</t>
        </is>
      </c>
      <c r="C4343" s="522" t="inlineStr">
        <is>
          <t>ធីវីសីុ ហ្គាស សឹលូសិន</t>
        </is>
      </c>
      <c r="D4343" s="522" t="inlineStr">
        <is>
          <t>K005-901501105</t>
        </is>
      </c>
      <c r="E4343" s="521" t="inlineStr">
        <is>
          <t>2022-2193</t>
        </is>
      </c>
      <c r="F4343" s="523" t="n">
        <v>44926</v>
      </c>
      <c r="G4343" s="556" t="n">
        <v>5286228</v>
      </c>
      <c r="I4343" s="521">
        <f>G4343</f>
        <v/>
      </c>
      <c r="K4343" s="521">
        <f>I4343-G4343</f>
        <v/>
      </c>
      <c r="M4343" s="522" t="inlineStr">
        <is>
          <t>20222193</t>
        </is>
      </c>
      <c r="N4343" s="522" t="inlineStr">
        <is>
          <t>20222193</t>
        </is>
      </c>
      <c r="O4343" s="521">
        <f>M4343=N4343</f>
        <v/>
      </c>
      <c r="P4343" s="521">
        <f>AND(MONTH(F4343)=MONTH(S4343), YEAR(F4343)=YEAR(S4343))</f>
        <v/>
      </c>
      <c r="Q4343" s="521">
        <f>U4343="L001-901905215"</f>
        <v/>
      </c>
      <c r="R4343" s="556">
        <f>G4343-W4343</f>
        <v/>
      </c>
      <c r="S4343" s="523" t="n">
        <v>44926</v>
      </c>
      <c r="T4343" s="522" t="inlineStr">
        <is>
          <t>2022-2193</t>
        </is>
      </c>
      <c r="U4343" s="522" t="inlineStr">
        <is>
          <t>L001-901905215</t>
        </is>
      </c>
      <c r="V4343" s="522" t="inlineStr">
        <is>
          <t>វីអ៊ីស៊ិន (ខេមបូឌា) អ៊ិនដាសស្ទ្រី ឯ.ក</t>
        </is>
      </c>
      <c r="W4343" s="556" t="n">
        <v>5286228</v>
      </c>
    </row>
    <row r="4344">
      <c r="A4344" s="521" t="n">
        <v>4336</v>
      </c>
      <c r="B4344" s="522" t="inlineStr">
        <is>
          <t>Trucking Fee</t>
        </is>
      </c>
      <c r="C4344" s="522" t="inlineStr">
        <is>
          <t>អេសអាយធីស៊ី ខិនថេនើរ ឡាញ (ខេមបូឌា)</t>
        </is>
      </c>
      <c r="D4344" s="522" t="inlineStr">
        <is>
          <t>L001-107035863</t>
        </is>
      </c>
      <c r="E4344" s="521" t="inlineStr">
        <is>
          <t>SITC2022-023601</t>
        </is>
      </c>
      <c r="F4344" s="523" t="n">
        <v>44896</v>
      </c>
      <c r="G4344" s="556" t="n">
        <v>436243</v>
      </c>
      <c r="I4344" s="521">
        <f>G4344</f>
        <v/>
      </c>
      <c r="K4344" s="521">
        <f>I4344-G4344</f>
        <v/>
      </c>
      <c r="M4344" s="522" t="inlineStr">
        <is>
          <t>SITC2022023601</t>
        </is>
      </c>
      <c r="N4344" s="522" t="inlineStr"/>
      <c r="O4344" s="521">
        <f>M4344=N4344</f>
        <v/>
      </c>
      <c r="P4344" s="521">
        <f>AND(MONTH(F4344)=MONTH(S4344), YEAR(F4344)=YEAR(S4344))</f>
        <v/>
      </c>
      <c r="Q4344" s="521">
        <f>U4344="L001-901905215"</f>
        <v/>
      </c>
      <c r="R4344" s="556">
        <f>G4344-W4344</f>
        <v/>
      </c>
      <c r="S4344" s="521" t="n"/>
      <c r="T4344" s="522" t="n"/>
      <c r="U4344" s="522" t="n"/>
      <c r="V4344" s="522" t="n"/>
      <c r="W4344" s="521" t="n"/>
    </row>
    <row r="4345">
      <c r="A4345" s="521" t="n">
        <v>4337</v>
      </c>
      <c r="B4345" s="522" t="inlineStr">
        <is>
          <t>Lift-On &amp; Lift-Off</t>
        </is>
      </c>
      <c r="C4345" s="522" t="inlineStr">
        <is>
          <t>កំពង់ផែស្វយ័តក្រុងព្រះសីហនុ</t>
        </is>
      </c>
      <c r="D4345" s="522" t="inlineStr">
        <is>
          <t>L001-100044638</t>
        </is>
      </c>
      <c r="E4345" s="521" t="inlineStr">
        <is>
          <t>204119</t>
        </is>
      </c>
      <c r="F4345" s="523" t="n">
        <v>44896</v>
      </c>
      <c r="G4345" s="556" t="n">
        <v>71932</v>
      </c>
      <c r="I4345" s="521">
        <f>G4345</f>
        <v/>
      </c>
      <c r="K4345" s="521">
        <f>I4345-G4345</f>
        <v/>
      </c>
      <c r="M4345" s="522" t="inlineStr">
        <is>
          <t>204119</t>
        </is>
      </c>
      <c r="N4345" s="522" t="inlineStr"/>
      <c r="O4345" s="521">
        <f>M4345=N4345</f>
        <v/>
      </c>
      <c r="P4345" s="521">
        <f>AND(MONTH(F4345)=MONTH(S4345), YEAR(F4345)=YEAR(S4345))</f>
        <v/>
      </c>
      <c r="Q4345" s="521">
        <f>U4345="L001-901905215"</f>
        <v/>
      </c>
      <c r="R4345" s="556">
        <f>G4345-W4345</f>
        <v/>
      </c>
      <c r="S4345" s="521" t="n"/>
      <c r="T4345" s="522" t="n"/>
      <c r="U4345" s="522" t="n"/>
      <c r="V4345" s="522" t="n"/>
      <c r="W4345" s="521" t="n"/>
    </row>
    <row r="4346">
      <c r="A4346" s="521" t="n">
        <v>4338</v>
      </c>
      <c r="B4346" s="522" t="inlineStr">
        <is>
          <t>Lift-On &amp; Lift-Off</t>
        </is>
      </c>
      <c r="C4346" s="522" t="inlineStr">
        <is>
          <t>កំពង់ផែស្វយ័តក្រុងព្រះសីហនុ</t>
        </is>
      </c>
      <c r="D4346" s="522" t="inlineStr">
        <is>
          <t>L001-100044638</t>
        </is>
      </c>
      <c r="E4346" s="521" t="inlineStr">
        <is>
          <t>214141</t>
        </is>
      </c>
      <c r="F4346" s="523" t="n">
        <v>44910</v>
      </c>
      <c r="G4346" s="556" t="n">
        <v>93685</v>
      </c>
      <c r="I4346" s="521">
        <f>G4346</f>
        <v/>
      </c>
      <c r="K4346" s="521">
        <f>I4346-G4346</f>
        <v/>
      </c>
      <c r="M4346" s="522" t="inlineStr">
        <is>
          <t>214141</t>
        </is>
      </c>
      <c r="N4346" s="522" t="inlineStr"/>
      <c r="O4346" s="521">
        <f>M4346=N4346</f>
        <v/>
      </c>
      <c r="P4346" s="521">
        <f>AND(MONTH(F4346)=MONTH(S4346), YEAR(F4346)=YEAR(S4346))</f>
        <v/>
      </c>
      <c r="Q4346" s="521">
        <f>U4346="L001-901905215"</f>
        <v/>
      </c>
      <c r="R4346" s="556">
        <f>G4346-W4346</f>
        <v/>
      </c>
      <c r="S4346" s="521" t="n"/>
      <c r="T4346" s="522" t="n"/>
      <c r="U4346" s="522" t="n"/>
      <c r="V4346" s="522" t="n"/>
      <c r="W4346" s="521" t="n"/>
    </row>
    <row r="4347">
      <c r="A4347" s="521" t="n">
        <v>4339</v>
      </c>
      <c r="B4347" s="522" t="inlineStr">
        <is>
          <t>Trucking Fee</t>
        </is>
      </c>
      <c r="C4347" s="522" t="inlineStr">
        <is>
          <t>ហាវតាយ អ៊ិនធើណេសិនណល ឡូជីស្ទីក ឯ.ក</t>
        </is>
      </c>
      <c r="D4347" s="522" t="inlineStr">
        <is>
          <t>K007-902202863</t>
        </is>
      </c>
      <c r="E4347" s="521" t="inlineStr">
        <is>
          <t>HT220093</t>
        </is>
      </c>
      <c r="F4347" s="523" t="n">
        <v>44922</v>
      </c>
      <c r="G4347" s="556" t="n">
        <v>501908</v>
      </c>
      <c r="I4347" s="521">
        <f>G4347</f>
        <v/>
      </c>
      <c r="K4347" s="521">
        <f>I4347-G4347</f>
        <v/>
      </c>
      <c r="M4347" s="522" t="inlineStr">
        <is>
          <t>HT220093</t>
        </is>
      </c>
      <c r="N4347" s="522" t="inlineStr">
        <is>
          <t>HT220093</t>
        </is>
      </c>
      <c r="O4347" s="521">
        <f>M4347=N4347</f>
        <v/>
      </c>
      <c r="P4347" s="521">
        <f>AND(MONTH(F4347)=MONTH(S4347), YEAR(F4347)=YEAR(S4347))</f>
        <v/>
      </c>
      <c r="Q4347" s="521">
        <f>U4347="L001-901905215"</f>
        <v/>
      </c>
      <c r="R4347" s="556">
        <f>G4347-W4347</f>
        <v/>
      </c>
      <c r="S4347" s="523" t="n">
        <v>44922</v>
      </c>
      <c r="T4347" s="522" t="inlineStr">
        <is>
          <t>HT220093</t>
        </is>
      </c>
      <c r="U4347" s="522" t="inlineStr">
        <is>
          <t>L001-901905215</t>
        </is>
      </c>
      <c r="V4347" s="522" t="inlineStr">
        <is>
          <t>វីអ៊ីស៊ិន (ខេមបូឌា) អ៊ិនដាសស្ទ្រី ឯ.ក</t>
        </is>
      </c>
      <c r="W4347" s="556" t="n">
        <v>501908</v>
      </c>
    </row>
    <row r="4348">
      <c r="A4348" s="521" t="n">
        <v>4340</v>
      </c>
      <c r="B4348" s="522" t="inlineStr">
        <is>
          <t>Trucking Fee</t>
        </is>
      </c>
      <c r="C4348" s="522" t="inlineStr">
        <is>
          <t>អេសអាយធីស៊ី ខិនថេនើរ ឡាញ (ខេមបូឌា)</t>
        </is>
      </c>
      <c r="D4348" s="522" t="inlineStr">
        <is>
          <t>L001-107035863</t>
        </is>
      </c>
      <c r="E4348" s="521" t="inlineStr">
        <is>
          <t>SITC2022-023811</t>
        </is>
      </c>
      <c r="F4348" s="523" t="n">
        <v>44896</v>
      </c>
      <c r="G4348" s="556" t="n">
        <v>436137</v>
      </c>
      <c r="I4348" s="521">
        <f>G4348</f>
        <v/>
      </c>
      <c r="K4348" s="521">
        <f>I4348-G4348</f>
        <v/>
      </c>
      <c r="M4348" s="522" t="inlineStr">
        <is>
          <t>SITC2022023811</t>
        </is>
      </c>
      <c r="N4348" s="522" t="inlineStr"/>
      <c r="O4348" s="521">
        <f>M4348=N4348</f>
        <v/>
      </c>
      <c r="P4348" s="521">
        <f>AND(MONTH(F4348)=MONTH(S4348), YEAR(F4348)=YEAR(S4348))</f>
        <v/>
      </c>
      <c r="Q4348" s="521">
        <f>U4348="L001-901905215"</f>
        <v/>
      </c>
      <c r="R4348" s="556">
        <f>G4348-W4348</f>
        <v/>
      </c>
      <c r="S4348" s="521" t="n"/>
      <c r="T4348" s="522" t="n"/>
      <c r="U4348" s="522" t="n"/>
      <c r="V4348" s="522" t="n"/>
      <c r="W4348" s="521" t="n"/>
    </row>
    <row r="4349">
      <c r="A4349" s="521" t="n">
        <v>4341</v>
      </c>
      <c r="B4349" s="522" t="inlineStr">
        <is>
          <t>Lift-On &amp; Lift-Off</t>
        </is>
      </c>
      <c r="C4349" s="522" t="inlineStr">
        <is>
          <t>កំពង់ផែស្វយ័តក្រុងព្រះសីហនុ</t>
        </is>
      </c>
      <c r="D4349" s="522" t="inlineStr">
        <is>
          <t>L001-100044638</t>
        </is>
      </c>
      <c r="E4349" s="521" t="inlineStr">
        <is>
          <t>204738</t>
        </is>
      </c>
      <c r="F4349" s="523" t="n">
        <v>44896</v>
      </c>
      <c r="G4349" s="556" t="n">
        <v>71792</v>
      </c>
      <c r="I4349" s="521">
        <f>G4349</f>
        <v/>
      </c>
      <c r="K4349" s="521">
        <f>I4349-G4349</f>
        <v/>
      </c>
      <c r="M4349" s="522" t="inlineStr">
        <is>
          <t>204738</t>
        </is>
      </c>
      <c r="N4349" s="522" t="inlineStr"/>
      <c r="O4349" s="521">
        <f>M4349=N4349</f>
        <v/>
      </c>
      <c r="P4349" s="521">
        <f>AND(MONTH(F4349)=MONTH(S4349), YEAR(F4349)=YEAR(S4349))</f>
        <v/>
      </c>
      <c r="Q4349" s="521">
        <f>U4349="L001-901905215"</f>
        <v/>
      </c>
      <c r="R4349" s="556">
        <f>G4349-W4349</f>
        <v/>
      </c>
      <c r="S4349" s="521" t="n"/>
      <c r="T4349" s="522" t="n"/>
      <c r="U4349" s="522" t="n"/>
      <c r="V4349" s="522" t="n"/>
      <c r="W4349" s="521" t="n"/>
    </row>
    <row r="4350">
      <c r="A4350" s="521" t="n">
        <v>4342</v>
      </c>
      <c r="B4350" s="522" t="inlineStr">
        <is>
          <t>Trucking Fee</t>
        </is>
      </c>
      <c r="C4350" s="522" t="inlineStr">
        <is>
          <t>ហាវតាយ អ៊ិនធើណេសិនណល ឡូជីស្ទីក ឯ.ក</t>
        </is>
      </c>
      <c r="D4350" s="522" t="inlineStr">
        <is>
          <t>K007-902202863</t>
        </is>
      </c>
      <c r="E4350" s="521" t="inlineStr">
        <is>
          <t>HT220092</t>
        </is>
      </c>
      <c r="F4350" s="523" t="n">
        <v>44922</v>
      </c>
      <c r="G4350" s="556" t="n">
        <v>501908</v>
      </c>
      <c r="I4350" s="521">
        <f>G4350</f>
        <v/>
      </c>
      <c r="K4350" s="521">
        <f>I4350-G4350</f>
        <v/>
      </c>
      <c r="M4350" s="522" t="inlineStr">
        <is>
          <t>HT220092</t>
        </is>
      </c>
      <c r="N4350" s="522" t="inlineStr">
        <is>
          <t>HT220092</t>
        </is>
      </c>
      <c r="O4350" s="521">
        <f>M4350=N4350</f>
        <v/>
      </c>
      <c r="P4350" s="521">
        <f>AND(MONTH(F4350)=MONTH(S4350), YEAR(F4350)=YEAR(S4350))</f>
        <v/>
      </c>
      <c r="Q4350" s="521">
        <f>U4350="L001-901905215"</f>
        <v/>
      </c>
      <c r="R4350" s="556">
        <f>G4350-W4350</f>
        <v/>
      </c>
      <c r="S4350" s="523" t="n">
        <v>44922</v>
      </c>
      <c r="T4350" s="522" t="inlineStr">
        <is>
          <t>HT220092</t>
        </is>
      </c>
      <c r="U4350" s="522" t="inlineStr">
        <is>
          <t>L001-901905215</t>
        </is>
      </c>
      <c r="V4350" s="522" t="inlineStr">
        <is>
          <t>វីអ៊ីស៊ិន (ខេមបូឌា) អ៊ិនដាសស្ទ្រី ឯ.ក</t>
        </is>
      </c>
      <c r="W4350" s="556" t="n">
        <v>501908</v>
      </c>
    </row>
    <row r="4351">
      <c r="A4351" s="521" t="n">
        <v>4343</v>
      </c>
      <c r="B4351" s="522" t="inlineStr">
        <is>
          <t>Trucking Fee</t>
        </is>
      </c>
      <c r="C4351" s="522" t="inlineStr">
        <is>
          <t>អេសអាយធីស៊ី ខិនថេនើរ ឡាញ (ខេមបូឌា)</t>
        </is>
      </c>
      <c r="D4351" s="522" t="inlineStr">
        <is>
          <t>L001-107035863</t>
        </is>
      </c>
      <c r="E4351" s="521" t="inlineStr">
        <is>
          <t>SITC2022-024620</t>
        </is>
      </c>
      <c r="F4351" s="523" t="n">
        <v>44908</v>
      </c>
      <c r="G4351" s="556" t="n">
        <v>228161</v>
      </c>
      <c r="I4351" s="521">
        <f>G4351</f>
        <v/>
      </c>
      <c r="K4351" s="521">
        <f>I4351-G4351</f>
        <v/>
      </c>
      <c r="M4351" s="522" t="inlineStr">
        <is>
          <t>SITC2022024620</t>
        </is>
      </c>
      <c r="N4351" s="522" t="inlineStr">
        <is>
          <t>SITC2022024620</t>
        </is>
      </c>
      <c r="O4351" s="521">
        <f>M4351=N4351</f>
        <v/>
      </c>
      <c r="P4351" s="521">
        <f>AND(MONTH(F4351)=MONTH(S4351), YEAR(F4351)=YEAR(S4351))</f>
        <v/>
      </c>
      <c r="Q4351" s="521">
        <f>U4351="L001-901905215"</f>
        <v/>
      </c>
      <c r="R4351" s="556">
        <f>G4351-W4351</f>
        <v/>
      </c>
      <c r="S4351" s="523" t="n">
        <v>44908</v>
      </c>
      <c r="T4351" s="522" t="inlineStr">
        <is>
          <t>SITC2022-024620</t>
        </is>
      </c>
      <c r="U4351" s="522" t="inlineStr">
        <is>
          <t>L001-901905215</t>
        </is>
      </c>
      <c r="V4351" s="522" t="inlineStr">
        <is>
          <t>វីអ៊ីស៊ិន (ខេមបូឌា) អ៊ិនដាសស្ទ្រី ឯ.ក</t>
        </is>
      </c>
      <c r="W4351" s="556" t="n">
        <v>228161</v>
      </c>
    </row>
    <row r="4352">
      <c r="A4352" s="521" t="n">
        <v>4344</v>
      </c>
      <c r="B4352" s="522" t="inlineStr">
        <is>
          <t>Lift-On &amp; Lift-Off</t>
        </is>
      </c>
      <c r="C4352" s="522" t="inlineStr">
        <is>
          <t>កំពង់ផែស្វយ័តក្រុងព្រះសីហនុ</t>
        </is>
      </c>
      <c r="D4352" s="522" t="inlineStr">
        <is>
          <t>L001-100044638</t>
        </is>
      </c>
      <c r="E4352" s="521" t="inlineStr">
        <is>
          <t>213359</t>
        </is>
      </c>
      <c r="F4352" s="523" t="n">
        <v>44909</v>
      </c>
      <c r="G4352" s="556" t="n">
        <v>35757</v>
      </c>
      <c r="I4352" s="521">
        <f>G4352</f>
        <v/>
      </c>
      <c r="K4352" s="521">
        <f>I4352-G4352</f>
        <v/>
      </c>
      <c r="M4352" s="522" t="inlineStr">
        <is>
          <t>213359</t>
        </is>
      </c>
      <c r="N4352" s="522" t="inlineStr"/>
      <c r="O4352" s="521">
        <f>M4352=N4352</f>
        <v/>
      </c>
      <c r="P4352" s="521">
        <f>AND(MONTH(F4352)=MONTH(S4352), YEAR(F4352)=YEAR(S4352))</f>
        <v/>
      </c>
      <c r="Q4352" s="521">
        <f>U4352="L001-901905215"</f>
        <v/>
      </c>
      <c r="R4352" s="556">
        <f>G4352-W4352</f>
        <v/>
      </c>
      <c r="S4352" s="521" t="n"/>
      <c r="T4352" s="522" t="n"/>
      <c r="U4352" s="522" t="n"/>
      <c r="V4352" s="522" t="n"/>
      <c r="W4352" s="521" t="n"/>
    </row>
    <row r="4353">
      <c r="A4353" s="521" t="n">
        <v>4345</v>
      </c>
      <c r="B4353" s="522" t="inlineStr">
        <is>
          <t>Trucking Fee</t>
        </is>
      </c>
      <c r="C4353" s="522" t="inlineStr">
        <is>
          <t>ហាវតាយ អ៊ិនធើណេសិនណល ឡូជីស្ទីក ឯ.ក</t>
        </is>
      </c>
      <c r="D4353" s="522" t="inlineStr">
        <is>
          <t>K007-902202863</t>
        </is>
      </c>
      <c r="E4353" s="521" t="inlineStr">
        <is>
          <t>HT220091</t>
        </is>
      </c>
      <c r="F4353" s="523" t="n">
        <v>44922</v>
      </c>
      <c r="G4353" s="556" t="n">
        <v>250954</v>
      </c>
      <c r="I4353" s="521">
        <f>G4353</f>
        <v/>
      </c>
      <c r="K4353" s="521">
        <f>I4353-G4353</f>
        <v/>
      </c>
      <c r="M4353" s="522" t="inlineStr">
        <is>
          <t>HT220091</t>
        </is>
      </c>
      <c r="N4353" s="522" t="inlineStr">
        <is>
          <t>HT220091</t>
        </is>
      </c>
      <c r="O4353" s="521">
        <f>M4353=N4353</f>
        <v/>
      </c>
      <c r="P4353" s="521">
        <f>AND(MONTH(F4353)=MONTH(S4353), YEAR(F4353)=YEAR(S4353))</f>
        <v/>
      </c>
      <c r="Q4353" s="521">
        <f>U4353="L001-901905215"</f>
        <v/>
      </c>
      <c r="R4353" s="556">
        <f>G4353-W4353</f>
        <v/>
      </c>
      <c r="S4353" s="523" t="n">
        <v>44922</v>
      </c>
      <c r="T4353" s="522" t="inlineStr">
        <is>
          <t>HT220091</t>
        </is>
      </c>
      <c r="U4353" s="522" t="inlineStr">
        <is>
          <t>L001-901905215</t>
        </is>
      </c>
      <c r="V4353" s="522" t="inlineStr">
        <is>
          <t>វីអ៊ីស៊ិន (ខេមបូឌា) អ៊ិនដាសស្ទ្រី ឯ.ក</t>
        </is>
      </c>
      <c r="W4353" s="556" t="n">
        <v>250954</v>
      </c>
    </row>
    <row r="4354">
      <c r="A4354" s="521" t="n">
        <v>4346</v>
      </c>
      <c r="B4354" s="522" t="inlineStr">
        <is>
          <t>Trucking Fee</t>
        </is>
      </c>
      <c r="C4354" s="522" t="inlineStr">
        <is>
          <t>អេសអាយធីស៊ី ខិនថេនើរ ឡាញ (ខេមបូឌា)</t>
        </is>
      </c>
      <c r="D4354" s="522" t="inlineStr">
        <is>
          <t>L001-107035863</t>
        </is>
      </c>
      <c r="E4354" s="521" t="inlineStr">
        <is>
          <t>SITC2022-024049</t>
        </is>
      </c>
      <c r="F4354" s="523" t="n">
        <v>44898</v>
      </c>
      <c r="G4354" s="556" t="n">
        <v>433183</v>
      </c>
      <c r="I4354" s="521">
        <f>G4354</f>
        <v/>
      </c>
      <c r="K4354" s="521">
        <f>I4354-G4354</f>
        <v/>
      </c>
      <c r="M4354" s="522" t="inlineStr">
        <is>
          <t>SITC2022024049</t>
        </is>
      </c>
      <c r="N4354" s="522" t="inlineStr">
        <is>
          <t>SITC2022024049</t>
        </is>
      </c>
      <c r="O4354" s="521">
        <f>M4354=N4354</f>
        <v/>
      </c>
      <c r="P4354" s="521">
        <f>AND(MONTH(F4354)=MONTH(S4354), YEAR(F4354)=YEAR(S4354))</f>
        <v/>
      </c>
      <c r="Q4354" s="521">
        <f>U4354="L001-901905215"</f>
        <v/>
      </c>
      <c r="R4354" s="556">
        <f>G4354-W4354</f>
        <v/>
      </c>
      <c r="S4354" s="523" t="n">
        <v>44898</v>
      </c>
      <c r="T4354" s="522" t="inlineStr">
        <is>
          <t>SITC2022-024049</t>
        </is>
      </c>
      <c r="U4354" s="522" t="inlineStr">
        <is>
          <t>L001-901905215</t>
        </is>
      </c>
      <c r="V4354" s="522" t="inlineStr">
        <is>
          <t>វីអ៊ីស៊ិន (ខេមបូឌា) អ៊ិនដាសស្ទ្រី ឯ.ក</t>
        </is>
      </c>
      <c r="W4354" s="556" t="n">
        <v>433183</v>
      </c>
    </row>
    <row r="4355">
      <c r="A4355" s="521" t="n">
        <v>4347</v>
      </c>
      <c r="B4355" s="522" t="inlineStr">
        <is>
          <t>Lift-On &amp; Lift-Off</t>
        </is>
      </c>
      <c r="C4355" s="522" t="inlineStr">
        <is>
          <t>កំពង់ផែស្វយ័តក្រុងព្រះសីហនុ</t>
        </is>
      </c>
      <c r="D4355" s="522" t="inlineStr">
        <is>
          <t>L001-100044638</t>
        </is>
      </c>
      <c r="E4355" s="521" t="inlineStr">
        <is>
          <t>208428</t>
        </is>
      </c>
      <c r="F4355" s="523" t="n">
        <v>44901</v>
      </c>
      <c r="G4355" s="556" t="n">
        <v>71671</v>
      </c>
      <c r="I4355" s="521">
        <f>G4355</f>
        <v/>
      </c>
      <c r="K4355" s="521">
        <f>I4355-G4355</f>
        <v/>
      </c>
      <c r="M4355" s="522" t="inlineStr">
        <is>
          <t>208428</t>
        </is>
      </c>
      <c r="N4355" s="522" t="inlineStr"/>
      <c r="O4355" s="521">
        <f>M4355=N4355</f>
        <v/>
      </c>
      <c r="P4355" s="521">
        <f>AND(MONTH(F4355)=MONTH(S4355), YEAR(F4355)=YEAR(S4355))</f>
        <v/>
      </c>
      <c r="Q4355" s="521">
        <f>U4355="L001-901905215"</f>
        <v/>
      </c>
      <c r="R4355" s="556">
        <f>G4355-W4355</f>
        <v/>
      </c>
      <c r="S4355" s="521" t="n"/>
      <c r="T4355" s="522" t="n"/>
      <c r="U4355" s="522" t="n"/>
      <c r="V4355" s="522" t="n"/>
      <c r="W4355" s="521" t="n"/>
    </row>
    <row r="4356">
      <c r="A4356" s="521" t="n">
        <v>4348</v>
      </c>
      <c r="B4356" s="522" t="inlineStr">
        <is>
          <t>Trucking Fee</t>
        </is>
      </c>
      <c r="C4356" s="522" t="inlineStr">
        <is>
          <t>ហាវតាយ អ៊ិនធើណេសិនណល ឡូជីស្ទីក ឯ.ក</t>
        </is>
      </c>
      <c r="D4356" s="522" t="inlineStr">
        <is>
          <t>K007-902202863</t>
        </is>
      </c>
      <c r="E4356" s="521" t="inlineStr">
        <is>
          <t>HT220090</t>
        </is>
      </c>
      <c r="F4356" s="523" t="n">
        <v>44922</v>
      </c>
      <c r="G4356" s="556" t="n">
        <v>501908</v>
      </c>
      <c r="I4356" s="521">
        <f>G4356</f>
        <v/>
      </c>
      <c r="K4356" s="521">
        <f>I4356-G4356</f>
        <v/>
      </c>
      <c r="M4356" s="522" t="inlineStr">
        <is>
          <t>HT220090</t>
        </is>
      </c>
      <c r="N4356" s="522" t="inlineStr">
        <is>
          <t>HT220090</t>
        </is>
      </c>
      <c r="O4356" s="521">
        <f>M4356=N4356</f>
        <v/>
      </c>
      <c r="P4356" s="521">
        <f>AND(MONTH(F4356)=MONTH(S4356), YEAR(F4356)=YEAR(S4356))</f>
        <v/>
      </c>
      <c r="Q4356" s="521">
        <f>U4356="L001-901905215"</f>
        <v/>
      </c>
      <c r="R4356" s="556">
        <f>G4356-W4356</f>
        <v/>
      </c>
      <c r="S4356" s="523" t="n">
        <v>44922</v>
      </c>
      <c r="T4356" s="522" t="inlineStr">
        <is>
          <t>HT220090</t>
        </is>
      </c>
      <c r="U4356" s="522" t="inlineStr">
        <is>
          <t>L001-901905215</t>
        </is>
      </c>
      <c r="V4356" s="522" t="inlineStr">
        <is>
          <t>វីអ៊ីស៊ិន (ខេមបូឌា) អ៊ិនដាសស្ទ្រី ឯ.ក</t>
        </is>
      </c>
      <c r="W4356" s="556" t="n">
        <v>501908</v>
      </c>
    </row>
    <row r="4357">
      <c r="A4357" s="521" t="n">
        <v>4349</v>
      </c>
      <c r="B4357" s="522" t="inlineStr">
        <is>
          <t>Trucking Fee</t>
        </is>
      </c>
      <c r="C4357" s="522" t="inlineStr">
        <is>
          <t>ស្ត្រេតស៍ អ៊ិនធើណេសិនណល ភីធីអ៊ី អិលធីឌី</t>
        </is>
      </c>
      <c r="D4357" s="522" t="inlineStr">
        <is>
          <t>L001-100045162</t>
        </is>
      </c>
      <c r="E4357" s="521" t="inlineStr">
        <is>
          <t>2222829</t>
        </is>
      </c>
      <c r="F4357" s="523" t="n">
        <v>44896</v>
      </c>
      <c r="G4357" s="556" t="n">
        <v>113108</v>
      </c>
      <c r="I4357" s="521">
        <f>G4357</f>
        <v/>
      </c>
      <c r="K4357" s="521">
        <f>I4357-G4357</f>
        <v/>
      </c>
      <c r="M4357" s="522" t="inlineStr">
        <is>
          <t>2222829</t>
        </is>
      </c>
      <c r="N4357" s="522" t="inlineStr">
        <is>
          <t>2222829</t>
        </is>
      </c>
      <c r="O4357" s="521">
        <f>M4357=N4357</f>
        <v/>
      </c>
      <c r="P4357" s="521">
        <f>AND(MONTH(F4357)=MONTH(S4357), YEAR(F4357)=YEAR(S4357))</f>
        <v/>
      </c>
      <c r="Q4357" s="521">
        <f>U4357="L001-901905215"</f>
        <v/>
      </c>
      <c r="R4357" s="556">
        <f>G4357-W4357</f>
        <v/>
      </c>
      <c r="S4357" s="523" t="n">
        <v>44896</v>
      </c>
      <c r="T4357" s="522" t="inlineStr">
        <is>
          <t>2222829</t>
        </is>
      </c>
      <c r="U4357" s="522" t="inlineStr">
        <is>
          <t>L001-901905215</t>
        </is>
      </c>
      <c r="V4357" s="522" t="inlineStr">
        <is>
          <t>វីអ៊ីស៊ិន (ខេមបូឌា) អ៊ិនដាសស្ទ្រី ឯ.ក</t>
        </is>
      </c>
      <c r="W4357" s="556" t="n">
        <v>113108</v>
      </c>
    </row>
    <row r="4358">
      <c r="A4358" s="521" t="n">
        <v>4350</v>
      </c>
      <c r="B4358" s="522" t="inlineStr">
        <is>
          <t>Lift-On &amp; Lift-Off</t>
        </is>
      </c>
      <c r="C4358" s="522" t="inlineStr">
        <is>
          <t>កំពង់ផែស្វយ័តក្រុងព្រះសីហនុ</t>
        </is>
      </c>
      <c r="D4358" s="522" t="inlineStr">
        <is>
          <t>L001-100044638</t>
        </is>
      </c>
      <c r="E4358" s="521" t="inlineStr">
        <is>
          <t>208429</t>
        </is>
      </c>
      <c r="F4358" s="523" t="n">
        <v>44901</v>
      </c>
      <c r="G4358" s="556" t="n">
        <v>35835</v>
      </c>
      <c r="I4358" s="521">
        <f>G4358</f>
        <v/>
      </c>
      <c r="K4358" s="521">
        <f>I4358-G4358</f>
        <v/>
      </c>
      <c r="M4358" s="522" t="inlineStr">
        <is>
          <t>208429</t>
        </is>
      </c>
      <c r="N4358" s="522" t="inlineStr"/>
      <c r="O4358" s="521">
        <f>M4358=N4358</f>
        <v/>
      </c>
      <c r="P4358" s="521">
        <f>AND(MONTH(F4358)=MONTH(S4358), YEAR(F4358)=YEAR(S4358))</f>
        <v/>
      </c>
      <c r="Q4358" s="521">
        <f>U4358="L001-901905215"</f>
        <v/>
      </c>
      <c r="R4358" s="556">
        <f>G4358-W4358</f>
        <v/>
      </c>
      <c r="S4358" s="521" t="n"/>
      <c r="T4358" s="522" t="n"/>
      <c r="U4358" s="522" t="n"/>
      <c r="V4358" s="522" t="n"/>
      <c r="W4358" s="521" t="n"/>
    </row>
    <row r="4359">
      <c r="A4359" s="521" t="n">
        <v>4351</v>
      </c>
      <c r="B4359" s="522" t="inlineStr">
        <is>
          <t>Trucking Fee</t>
        </is>
      </c>
      <c r="C4359" s="522" t="inlineStr">
        <is>
          <t>ហាវតាយ អ៊ិនធើណេសិនណល ឡូជីស្ទីក ឯ.ក</t>
        </is>
      </c>
      <c r="D4359" s="522" t="inlineStr">
        <is>
          <t>K007-902202863</t>
        </is>
      </c>
      <c r="E4359" s="521" t="inlineStr">
        <is>
          <t>HT220089</t>
        </is>
      </c>
      <c r="F4359" s="523" t="n">
        <v>44922</v>
      </c>
      <c r="G4359" s="556" t="n">
        <v>250954</v>
      </c>
      <c r="I4359" s="521">
        <f>G4359</f>
        <v/>
      </c>
      <c r="K4359" s="521">
        <f>I4359-G4359</f>
        <v/>
      </c>
      <c r="M4359" s="522" t="inlineStr">
        <is>
          <t>HT220089</t>
        </is>
      </c>
      <c r="N4359" s="522" t="inlineStr">
        <is>
          <t>HT220089</t>
        </is>
      </c>
      <c r="O4359" s="521">
        <f>M4359=N4359</f>
        <v/>
      </c>
      <c r="P4359" s="521">
        <f>AND(MONTH(F4359)=MONTH(S4359), YEAR(F4359)=YEAR(S4359))</f>
        <v/>
      </c>
      <c r="Q4359" s="521">
        <f>U4359="L001-901905215"</f>
        <v/>
      </c>
      <c r="R4359" s="556">
        <f>G4359-W4359</f>
        <v/>
      </c>
      <c r="S4359" s="523" t="n">
        <v>44922</v>
      </c>
      <c r="T4359" s="522" t="inlineStr">
        <is>
          <t>HT220089</t>
        </is>
      </c>
      <c r="U4359" s="522" t="inlineStr">
        <is>
          <t>L001-901905215</t>
        </is>
      </c>
      <c r="V4359" s="522" t="inlineStr">
        <is>
          <t>វីអ៊ីស៊ិន (ខេមបូឌា) អ៊ិនដាសស្ទ្រី ឯ.ក</t>
        </is>
      </c>
      <c r="W4359" s="556" t="n">
        <v>250954</v>
      </c>
    </row>
    <row r="4360">
      <c r="A4360" s="521" t="n">
        <v>4352</v>
      </c>
      <c r="B4360" s="522" t="inlineStr">
        <is>
          <t>Foreign Sale</t>
        </is>
      </c>
      <c r="C4360" s="522" t="inlineStr">
        <is>
          <t>មើស្គ (ខេមបូឌា)</t>
        </is>
      </c>
      <c r="D4360" s="522" t="inlineStr">
        <is>
          <t>L001-100045200</t>
        </is>
      </c>
      <c r="E4360" s="521" t="inlineStr">
        <is>
          <t>5995907068</t>
        </is>
      </c>
      <c r="F4360" s="523" t="n">
        <v>44897</v>
      </c>
      <c r="G4360" s="556" t="n">
        <v>125233</v>
      </c>
      <c r="I4360" s="521">
        <f>G4360</f>
        <v/>
      </c>
      <c r="K4360" s="521">
        <f>I4360-G4360</f>
        <v/>
      </c>
      <c r="M4360" s="522" t="inlineStr">
        <is>
          <t>5995907068</t>
        </is>
      </c>
      <c r="N4360" s="522" t="inlineStr">
        <is>
          <t>5995907068</t>
        </is>
      </c>
      <c r="O4360" s="521">
        <f>M4360=N4360</f>
        <v/>
      </c>
      <c r="P4360" s="521">
        <f>AND(MONTH(F4360)=MONTH(S4360), YEAR(F4360)=YEAR(S4360))</f>
        <v/>
      </c>
      <c r="Q4360" s="521">
        <f>U4360="L001-901905215"</f>
        <v/>
      </c>
      <c r="R4360" s="556">
        <f>G4360-W4360</f>
        <v/>
      </c>
      <c r="S4360" s="523" t="n">
        <v>44897</v>
      </c>
      <c r="T4360" s="522" t="inlineStr">
        <is>
          <t>5995907068</t>
        </is>
      </c>
      <c r="U4360" s="522" t="inlineStr">
        <is>
          <t>L001-901905215</t>
        </is>
      </c>
      <c r="V4360" s="522" t="inlineStr">
        <is>
          <t>វីអ៊ីស៊ិន (ខេមបូឌា) អ៊ិនដាសស្ទ្រី ឯ.ក</t>
        </is>
      </c>
      <c r="W4360" s="556" t="n">
        <v>125233</v>
      </c>
    </row>
    <row r="4361">
      <c r="A4361" s="521" t="n">
        <v>4353</v>
      </c>
      <c r="B4361" s="522" t="inlineStr">
        <is>
          <t>Lift-On &amp; Lift-Off</t>
        </is>
      </c>
      <c r="C4361" s="522" t="inlineStr">
        <is>
          <t>កំពង់ផែស្វយ័តក្រុងព្រះសីហនុ</t>
        </is>
      </c>
      <c r="D4361" s="522" t="inlineStr">
        <is>
          <t>L001-100044638</t>
        </is>
      </c>
      <c r="E4361" s="521" t="inlineStr">
        <is>
          <t>210131</t>
        </is>
      </c>
      <c r="F4361" s="523" t="n">
        <v>44903</v>
      </c>
      <c r="G4361" s="556" t="n">
        <v>35879</v>
      </c>
      <c r="I4361" s="521">
        <f>G4361</f>
        <v/>
      </c>
      <c r="K4361" s="521">
        <f>I4361-G4361</f>
        <v/>
      </c>
      <c r="M4361" s="522" t="inlineStr">
        <is>
          <t>210131</t>
        </is>
      </c>
      <c r="N4361" s="522" t="inlineStr"/>
      <c r="O4361" s="521">
        <f>M4361=N4361</f>
        <v/>
      </c>
      <c r="P4361" s="521">
        <f>AND(MONTH(F4361)=MONTH(S4361), YEAR(F4361)=YEAR(S4361))</f>
        <v/>
      </c>
      <c r="Q4361" s="521">
        <f>U4361="L001-901905215"</f>
        <v/>
      </c>
      <c r="R4361" s="556">
        <f>G4361-W4361</f>
        <v/>
      </c>
      <c r="S4361" s="521" t="n"/>
      <c r="T4361" s="522" t="n"/>
      <c r="U4361" s="522" t="n"/>
      <c r="V4361" s="522" t="n"/>
      <c r="W4361" s="521" t="n"/>
    </row>
    <row r="4362">
      <c r="A4362" s="521" t="n">
        <v>4354</v>
      </c>
      <c r="B4362" s="522" t="inlineStr">
        <is>
          <t>Trucking Fee</t>
        </is>
      </c>
      <c r="C4362" s="522" t="inlineStr">
        <is>
          <t>ហាវតាយ អ៊ិនធើណេសិនណល ឡូជីស្ទីក ឯ.ក</t>
        </is>
      </c>
      <c r="D4362" s="522" t="inlineStr">
        <is>
          <t>K007-902202863</t>
        </is>
      </c>
      <c r="E4362" s="521" t="inlineStr">
        <is>
          <t>HT220088</t>
        </is>
      </c>
      <c r="F4362" s="523" t="n">
        <v>44922</v>
      </c>
      <c r="G4362" s="556" t="n">
        <v>250954</v>
      </c>
      <c r="I4362" s="521">
        <f>G4362</f>
        <v/>
      </c>
      <c r="K4362" s="521">
        <f>I4362-G4362</f>
        <v/>
      </c>
      <c r="M4362" s="522" t="inlineStr">
        <is>
          <t>HT220088</t>
        </is>
      </c>
      <c r="N4362" s="522" t="inlineStr">
        <is>
          <t>HT220088</t>
        </is>
      </c>
      <c r="O4362" s="521">
        <f>M4362=N4362</f>
        <v/>
      </c>
      <c r="P4362" s="521">
        <f>AND(MONTH(F4362)=MONTH(S4362), YEAR(F4362)=YEAR(S4362))</f>
        <v/>
      </c>
      <c r="Q4362" s="521">
        <f>U4362="L001-901905215"</f>
        <v/>
      </c>
      <c r="R4362" s="556">
        <f>G4362-W4362</f>
        <v/>
      </c>
      <c r="S4362" s="523" t="n">
        <v>44922</v>
      </c>
      <c r="T4362" s="522" t="inlineStr">
        <is>
          <t>HT220088</t>
        </is>
      </c>
      <c r="U4362" s="522" t="inlineStr">
        <is>
          <t>L001-901905215</t>
        </is>
      </c>
      <c r="V4362" s="522" t="inlineStr">
        <is>
          <t>វីអ៊ីស៊ិន (ខេមបូឌា) អ៊ិនដាសស្ទ្រី ឯ.ក</t>
        </is>
      </c>
      <c r="W4362" s="556" t="n">
        <v>250954</v>
      </c>
    </row>
    <row r="4363">
      <c r="A4363" s="521" t="n">
        <v>4355</v>
      </c>
      <c r="B4363" s="522" t="inlineStr">
        <is>
          <t>Terminal Handling Charge</t>
        </is>
      </c>
      <c r="C4363" s="522" t="inlineStr">
        <is>
          <t>អេវើរហ្គ្រីន ស៊ីបភីង សឺវីស (ខេមបូឌា) ឯ.ក</t>
        </is>
      </c>
      <c r="D4363" s="522" t="inlineStr">
        <is>
          <t>L001-901705421</t>
        </is>
      </c>
      <c r="E4363" s="521" t="inlineStr">
        <is>
          <t>IY22010936</t>
        </is>
      </c>
      <c r="F4363" s="523" t="n">
        <v>44896</v>
      </c>
      <c r="G4363" s="556" t="n">
        <v>212901</v>
      </c>
      <c r="I4363" s="521">
        <f>G4363</f>
        <v/>
      </c>
      <c r="K4363" s="521">
        <f>I4363-G4363</f>
        <v/>
      </c>
      <c r="M4363" s="522" t="inlineStr">
        <is>
          <t>IY22010936</t>
        </is>
      </c>
      <c r="N4363" s="522" t="inlineStr"/>
      <c r="O4363" s="521">
        <f>M4363=N4363</f>
        <v/>
      </c>
      <c r="P4363" s="521">
        <f>AND(MONTH(F4363)=MONTH(S4363), YEAR(F4363)=YEAR(S4363))</f>
        <v/>
      </c>
      <c r="Q4363" s="521">
        <f>U4363="L001-901905215"</f>
        <v/>
      </c>
      <c r="R4363" s="556">
        <f>G4363-W4363</f>
        <v/>
      </c>
      <c r="S4363" s="521" t="n"/>
      <c r="T4363" s="522" t="n"/>
      <c r="U4363" s="522" t="n"/>
      <c r="V4363" s="522" t="n"/>
      <c r="W4363" s="521" t="n"/>
    </row>
    <row r="4364">
      <c r="A4364" s="521" t="n">
        <v>4356</v>
      </c>
      <c r="B4364" s="522" t="inlineStr">
        <is>
          <t>Lift-On &amp; Lift-Off</t>
        </is>
      </c>
      <c r="C4364" s="522" t="inlineStr">
        <is>
          <t>កំពង់ផែស្វយ័តក្រុងព្រះសីហនុ</t>
        </is>
      </c>
      <c r="D4364" s="522" t="inlineStr">
        <is>
          <t>L001-100044638</t>
        </is>
      </c>
      <c r="E4364" s="521" t="inlineStr">
        <is>
          <t>206508</t>
        </is>
      </c>
      <c r="F4364" s="523" t="n">
        <v>44896</v>
      </c>
      <c r="G4364" s="556" t="n">
        <v>71566</v>
      </c>
      <c r="I4364" s="521">
        <f>G4364</f>
        <v/>
      </c>
      <c r="K4364" s="521">
        <f>I4364-G4364</f>
        <v/>
      </c>
      <c r="M4364" s="522" t="inlineStr">
        <is>
          <t>206508</t>
        </is>
      </c>
      <c r="N4364" s="522" t="inlineStr"/>
      <c r="O4364" s="521">
        <f>M4364=N4364</f>
        <v/>
      </c>
      <c r="P4364" s="521">
        <f>AND(MONTH(F4364)=MONTH(S4364), YEAR(F4364)=YEAR(S4364))</f>
        <v/>
      </c>
      <c r="Q4364" s="521">
        <f>U4364="L001-901905215"</f>
        <v/>
      </c>
      <c r="R4364" s="556">
        <f>G4364-W4364</f>
        <v/>
      </c>
      <c r="S4364" s="521" t="n"/>
      <c r="T4364" s="522" t="n"/>
      <c r="U4364" s="522" t="n"/>
      <c r="V4364" s="522" t="n"/>
      <c r="W4364" s="521" t="n"/>
    </row>
    <row r="4365">
      <c r="A4365" s="521" t="n">
        <v>4357</v>
      </c>
      <c r="B4365" s="522" t="inlineStr">
        <is>
          <t>Trucking Fee</t>
        </is>
      </c>
      <c r="C4365" s="522" t="inlineStr">
        <is>
          <t>ហាវតាយ អ៊ិនធើណេសិនណល ឡូជីស្ទីក ឯ.ក</t>
        </is>
      </c>
      <c r="D4365" s="522" t="inlineStr">
        <is>
          <t>K007-902202863</t>
        </is>
      </c>
      <c r="E4365" s="521" t="inlineStr">
        <is>
          <t>HT220087</t>
        </is>
      </c>
      <c r="F4365" s="523" t="n">
        <v>44896</v>
      </c>
      <c r="G4365" s="556" t="n">
        <v>501908</v>
      </c>
      <c r="I4365" s="521">
        <f>G4365</f>
        <v/>
      </c>
      <c r="K4365" s="521">
        <f>I4365-G4365</f>
        <v/>
      </c>
      <c r="M4365" s="522" t="inlineStr">
        <is>
          <t>HT220087</t>
        </is>
      </c>
      <c r="N4365" s="522" t="inlineStr">
        <is>
          <t>HT220087</t>
        </is>
      </c>
      <c r="O4365" s="521">
        <f>M4365=N4365</f>
        <v/>
      </c>
      <c r="P4365" s="521">
        <f>AND(MONTH(F4365)=MONTH(S4365), YEAR(F4365)=YEAR(S4365))</f>
        <v/>
      </c>
      <c r="Q4365" s="521">
        <f>U4365="L001-901905215"</f>
        <v/>
      </c>
      <c r="R4365" s="556">
        <f>G4365-W4365</f>
        <v/>
      </c>
      <c r="S4365" s="523" t="n">
        <v>44922</v>
      </c>
      <c r="T4365" s="522" t="inlineStr">
        <is>
          <t>HT220087</t>
        </is>
      </c>
      <c r="U4365" s="522" t="inlineStr">
        <is>
          <t>L001-901905215</t>
        </is>
      </c>
      <c r="V4365" s="522" t="inlineStr">
        <is>
          <t>វីអ៊ីស៊ិន (ខេមបូឌា) អ៊ិនដាសស្ទ្រី ឯ.ក</t>
        </is>
      </c>
      <c r="W4365" s="556" t="n">
        <v>501908</v>
      </c>
    </row>
    <row r="4366">
      <c r="A4366" s="521" t="n">
        <v>4358</v>
      </c>
      <c r="B4366" s="522" t="inlineStr">
        <is>
          <t>Trucking Fee</t>
        </is>
      </c>
      <c r="C4366" s="522" t="inlineStr">
        <is>
          <t>អេសអាយធីស៊ី ខិនថេនើរ ឡាញ (ខេមបូឌា)</t>
        </is>
      </c>
      <c r="D4366" s="522" t="inlineStr">
        <is>
          <t>L001-107035863</t>
        </is>
      </c>
      <c r="E4366" s="521" t="inlineStr">
        <is>
          <t>SITC2022-023852</t>
        </is>
      </c>
      <c r="F4366" s="523" t="n">
        <v>44896</v>
      </c>
      <c r="G4366" s="556" t="n">
        <v>229437</v>
      </c>
      <c r="I4366" s="521">
        <f>G4366</f>
        <v/>
      </c>
      <c r="K4366" s="521">
        <f>I4366-G4366</f>
        <v/>
      </c>
      <c r="M4366" s="522" t="inlineStr">
        <is>
          <t>SITC2022023852</t>
        </is>
      </c>
      <c r="N4366" s="522" t="inlineStr"/>
      <c r="O4366" s="521">
        <f>M4366=N4366</f>
        <v/>
      </c>
      <c r="P4366" s="521">
        <f>AND(MONTH(F4366)=MONTH(S4366), YEAR(F4366)=YEAR(S4366))</f>
        <v/>
      </c>
      <c r="Q4366" s="521">
        <f>U4366="L001-901905215"</f>
        <v/>
      </c>
      <c r="R4366" s="556">
        <f>G4366-W4366</f>
        <v/>
      </c>
      <c r="S4366" s="521" t="n"/>
      <c r="T4366" s="522" t="n"/>
      <c r="U4366" s="522" t="n"/>
      <c r="V4366" s="522" t="n"/>
      <c r="W4366" s="521" t="n"/>
    </row>
    <row r="4367">
      <c r="A4367" s="521" t="n">
        <v>4359</v>
      </c>
      <c r="B4367" s="522" t="inlineStr">
        <is>
          <t>Lift-On &amp; Lift-Off</t>
        </is>
      </c>
      <c r="C4367" s="522" t="inlineStr">
        <is>
          <t>កំពង់ផែស្វយ័តក្រុងព្រះសីហនុ</t>
        </is>
      </c>
      <c r="D4367" s="522" t="inlineStr">
        <is>
          <t>L001-100044638</t>
        </is>
      </c>
      <c r="E4367" s="521" t="inlineStr">
        <is>
          <t>206512</t>
        </is>
      </c>
      <c r="F4367" s="523" t="n">
        <v>44896</v>
      </c>
      <c r="G4367" s="556" t="n">
        <v>35783</v>
      </c>
      <c r="I4367" s="521">
        <f>G4367</f>
        <v/>
      </c>
      <c r="K4367" s="521">
        <f>I4367-G4367</f>
        <v/>
      </c>
      <c r="M4367" s="522" t="inlineStr">
        <is>
          <t>206512</t>
        </is>
      </c>
      <c r="N4367" s="522" t="inlineStr"/>
      <c r="O4367" s="521">
        <f>M4367=N4367</f>
        <v/>
      </c>
      <c r="P4367" s="521">
        <f>AND(MONTH(F4367)=MONTH(S4367), YEAR(F4367)=YEAR(S4367))</f>
        <v/>
      </c>
      <c r="Q4367" s="521">
        <f>U4367="L001-901905215"</f>
        <v/>
      </c>
      <c r="R4367" s="556">
        <f>G4367-W4367</f>
        <v/>
      </c>
      <c r="S4367" s="521" t="n"/>
      <c r="T4367" s="522" t="n"/>
      <c r="U4367" s="522" t="n"/>
      <c r="V4367" s="522" t="n"/>
      <c r="W4367" s="521" t="n"/>
    </row>
    <row r="4368">
      <c r="A4368" s="521" t="n">
        <v>4360</v>
      </c>
      <c r="B4368" s="522" t="inlineStr">
        <is>
          <t>Trucking Fee</t>
        </is>
      </c>
      <c r="C4368" s="522" t="inlineStr">
        <is>
          <t>ហាវតាយ អ៊ិនធើណេសិនណល ឡូជីស្ទីក ឯ.ក</t>
        </is>
      </c>
      <c r="D4368" s="522" t="inlineStr">
        <is>
          <t>K007-902202863</t>
        </is>
      </c>
      <c r="E4368" s="521" t="inlineStr">
        <is>
          <t>HT220086</t>
        </is>
      </c>
      <c r="F4368" s="523" t="n">
        <v>44922</v>
      </c>
      <c r="G4368" s="556" t="n">
        <v>250954</v>
      </c>
      <c r="I4368" s="521">
        <f>G4368</f>
        <v/>
      </c>
      <c r="K4368" s="521">
        <f>I4368-G4368</f>
        <v/>
      </c>
      <c r="M4368" s="522" t="inlineStr">
        <is>
          <t>HT220086</t>
        </is>
      </c>
      <c r="N4368" s="522" t="inlineStr">
        <is>
          <t>HT220086</t>
        </is>
      </c>
      <c r="O4368" s="521">
        <f>M4368=N4368</f>
        <v/>
      </c>
      <c r="P4368" s="521">
        <f>AND(MONTH(F4368)=MONTH(S4368), YEAR(F4368)=YEAR(S4368))</f>
        <v/>
      </c>
      <c r="Q4368" s="521">
        <f>U4368="L001-901905215"</f>
        <v/>
      </c>
      <c r="R4368" s="556">
        <f>G4368-W4368</f>
        <v/>
      </c>
      <c r="S4368" s="523" t="n">
        <v>44922</v>
      </c>
      <c r="T4368" s="522" t="inlineStr">
        <is>
          <t>HT220086</t>
        </is>
      </c>
      <c r="U4368" s="522" t="inlineStr">
        <is>
          <t>L001-901905215</t>
        </is>
      </c>
      <c r="V4368" s="522" t="inlineStr">
        <is>
          <t>វីអ៊ីស៊ិន (ខេមបូឌា) អ៊ិនដាសស្ទ្រី ឯ.ក</t>
        </is>
      </c>
      <c r="W4368" s="556" t="n">
        <v>250954</v>
      </c>
    </row>
    <row r="4369">
      <c r="A4369" s="521" t="n">
        <v>4361</v>
      </c>
      <c r="B4369" s="522" t="inlineStr">
        <is>
          <t>Trucking Fee</t>
        </is>
      </c>
      <c r="C4369" s="522" t="inlineStr">
        <is>
          <t>អេសអាយធីស៊ី ខិនថេនើរ ឡាញ (ខេមបូឌា)</t>
        </is>
      </c>
      <c r="D4369" s="522" t="inlineStr">
        <is>
          <t>L001-107035863</t>
        </is>
      </c>
      <c r="E4369" s="521" t="inlineStr">
        <is>
          <t>SITC2022-023597</t>
        </is>
      </c>
      <c r="F4369" s="523" t="n">
        <v>44896</v>
      </c>
      <c r="G4369" s="556" t="n">
        <v>229493</v>
      </c>
      <c r="I4369" s="521">
        <f>G4369</f>
        <v/>
      </c>
      <c r="K4369" s="521">
        <f>I4369-G4369</f>
        <v/>
      </c>
      <c r="M4369" s="522" t="inlineStr">
        <is>
          <t>SITC2022023597</t>
        </is>
      </c>
      <c r="N4369" s="522" t="inlineStr"/>
      <c r="O4369" s="521">
        <f>M4369=N4369</f>
        <v/>
      </c>
      <c r="P4369" s="521">
        <f>AND(MONTH(F4369)=MONTH(S4369), YEAR(F4369)=YEAR(S4369))</f>
        <v/>
      </c>
      <c r="Q4369" s="521">
        <f>U4369="L001-901905215"</f>
        <v/>
      </c>
      <c r="R4369" s="556">
        <f>G4369-W4369</f>
        <v/>
      </c>
      <c r="S4369" s="521" t="n"/>
      <c r="T4369" s="522" t="n"/>
      <c r="U4369" s="522" t="n"/>
      <c r="V4369" s="522" t="n"/>
      <c r="W4369" s="521" t="n"/>
    </row>
    <row r="4370">
      <c r="A4370" s="521" t="n">
        <v>4362</v>
      </c>
      <c r="B4370" s="522" t="inlineStr">
        <is>
          <t>Lift-On &amp; Lift-Off</t>
        </is>
      </c>
      <c r="C4370" s="522" t="inlineStr">
        <is>
          <t>កំពង់ផែស្វយ័តក្រុងព្រះសីហនុ</t>
        </is>
      </c>
      <c r="D4370" s="522" t="inlineStr">
        <is>
          <t>L001-100044638</t>
        </is>
      </c>
      <c r="E4370" s="521" t="inlineStr">
        <is>
          <t>204115</t>
        </is>
      </c>
      <c r="F4370" s="523" t="n">
        <v>44896</v>
      </c>
      <c r="G4370" s="556" t="n">
        <v>35966</v>
      </c>
      <c r="I4370" s="521">
        <f>G4370</f>
        <v/>
      </c>
      <c r="K4370" s="521">
        <f>I4370-G4370</f>
        <v/>
      </c>
      <c r="M4370" s="522" t="inlineStr">
        <is>
          <t>204115</t>
        </is>
      </c>
      <c r="N4370" s="522" t="inlineStr"/>
      <c r="O4370" s="521">
        <f>M4370=N4370</f>
        <v/>
      </c>
      <c r="P4370" s="521">
        <f>AND(MONTH(F4370)=MONTH(S4370), YEAR(F4370)=YEAR(S4370))</f>
        <v/>
      </c>
      <c r="Q4370" s="521">
        <f>U4370="L001-901905215"</f>
        <v/>
      </c>
      <c r="R4370" s="556">
        <f>G4370-W4370</f>
        <v/>
      </c>
      <c r="S4370" s="521" t="n"/>
      <c r="T4370" s="522" t="n"/>
      <c r="U4370" s="522" t="n"/>
      <c r="V4370" s="522" t="n"/>
      <c r="W4370" s="521" t="n"/>
    </row>
    <row r="4371">
      <c r="A4371" s="521" t="n">
        <v>4363</v>
      </c>
      <c r="B4371" s="522" t="inlineStr">
        <is>
          <t>Trucking Fee</t>
        </is>
      </c>
      <c r="C4371" s="522" t="inlineStr">
        <is>
          <t>ហាវតាយ អ៊ិនធើណេសិនណល ឡូជីស្ទីក ឯ.ក</t>
        </is>
      </c>
      <c r="D4371" s="522" t="inlineStr">
        <is>
          <t>K007-902202863</t>
        </is>
      </c>
      <c r="E4371" s="521" t="inlineStr">
        <is>
          <t>HT220085</t>
        </is>
      </c>
      <c r="F4371" s="523" t="n">
        <v>44922</v>
      </c>
      <c r="G4371" s="556" t="n">
        <v>250954</v>
      </c>
      <c r="I4371" s="521">
        <f>G4371</f>
        <v/>
      </c>
      <c r="K4371" s="521">
        <f>I4371-G4371</f>
        <v/>
      </c>
      <c r="M4371" s="522" t="inlineStr">
        <is>
          <t>HT220085</t>
        </is>
      </c>
      <c r="N4371" s="522" t="inlineStr">
        <is>
          <t>HT220085</t>
        </is>
      </c>
      <c r="O4371" s="521">
        <f>M4371=N4371</f>
        <v/>
      </c>
      <c r="P4371" s="521">
        <f>AND(MONTH(F4371)=MONTH(S4371), YEAR(F4371)=YEAR(S4371))</f>
        <v/>
      </c>
      <c r="Q4371" s="521">
        <f>U4371="L001-901905215"</f>
        <v/>
      </c>
      <c r="R4371" s="556">
        <f>G4371-W4371</f>
        <v/>
      </c>
      <c r="S4371" s="523" t="n">
        <v>44922</v>
      </c>
      <c r="T4371" s="522" t="inlineStr">
        <is>
          <t>HT220085</t>
        </is>
      </c>
      <c r="U4371" s="522" t="inlineStr">
        <is>
          <t>L001-901905215</t>
        </is>
      </c>
      <c r="V4371" s="522" t="inlineStr">
        <is>
          <t>វីអ៊ីស៊ិន (ខេមបូឌា) អ៊ិនដាសស្ទ្រី ឯ.ក</t>
        </is>
      </c>
      <c r="W4371" s="556" t="n">
        <v>250954</v>
      </c>
    </row>
    <row r="4372">
      <c r="A4372" s="521" t="n">
        <v>4364</v>
      </c>
      <c r="B4372" s="522" t="inlineStr">
        <is>
          <t>Trucking Fee</t>
        </is>
      </c>
      <c r="C4372" s="522" t="inlineStr">
        <is>
          <t>អេសអាយធីស៊ី ខិនថេនើរ ឡាញ (ខេមបូឌា)</t>
        </is>
      </c>
      <c r="D4372" s="522" t="inlineStr">
        <is>
          <t>L001-107035863</t>
        </is>
      </c>
      <c r="E4372" s="521" t="inlineStr">
        <is>
          <t>SITC2022-023772</t>
        </is>
      </c>
      <c r="F4372" s="523" t="n">
        <v>44896</v>
      </c>
      <c r="G4372" s="556" t="n">
        <v>229437</v>
      </c>
      <c r="I4372" s="521">
        <f>G4372</f>
        <v/>
      </c>
      <c r="K4372" s="521">
        <f>I4372-G4372</f>
        <v/>
      </c>
      <c r="M4372" s="522" t="inlineStr">
        <is>
          <t>SITC2022023772</t>
        </is>
      </c>
      <c r="N4372" s="522" t="inlineStr"/>
      <c r="O4372" s="521">
        <f>M4372=N4372</f>
        <v/>
      </c>
      <c r="P4372" s="521">
        <f>AND(MONTH(F4372)=MONTH(S4372), YEAR(F4372)=YEAR(S4372))</f>
        <v/>
      </c>
      <c r="Q4372" s="521">
        <f>U4372="L001-901905215"</f>
        <v/>
      </c>
      <c r="R4372" s="556">
        <f>G4372-W4372</f>
        <v/>
      </c>
      <c r="S4372" s="521" t="n"/>
      <c r="T4372" s="522" t="n"/>
      <c r="U4372" s="522" t="n"/>
      <c r="V4372" s="522" t="n"/>
      <c r="W4372" s="521" t="n"/>
    </row>
    <row r="4373">
      <c r="A4373" s="521" t="n">
        <v>4365</v>
      </c>
      <c r="B4373" s="522" t="inlineStr">
        <is>
          <t>Lift-On &amp; Lift-Off</t>
        </is>
      </c>
      <c r="C4373" s="522" t="inlineStr">
        <is>
          <t>កំពង់ផែស្វយ័តក្រុងព្រះសីហនុ</t>
        </is>
      </c>
      <c r="D4373" s="522" t="inlineStr">
        <is>
          <t>L001-100044638</t>
        </is>
      </c>
      <c r="E4373" s="521" t="inlineStr">
        <is>
          <t>204739</t>
        </is>
      </c>
      <c r="F4373" s="523" t="n">
        <v>44896</v>
      </c>
      <c r="G4373" s="556" t="n">
        <v>35896</v>
      </c>
      <c r="I4373" s="521">
        <f>G4373</f>
        <v/>
      </c>
      <c r="K4373" s="521">
        <f>I4373-G4373</f>
        <v/>
      </c>
      <c r="M4373" s="522" t="inlineStr">
        <is>
          <t>204739</t>
        </is>
      </c>
      <c r="N4373" s="522" t="inlineStr"/>
      <c r="O4373" s="521">
        <f>M4373=N4373</f>
        <v/>
      </c>
      <c r="P4373" s="521">
        <f>AND(MONTH(F4373)=MONTH(S4373), YEAR(F4373)=YEAR(S4373))</f>
        <v/>
      </c>
      <c r="Q4373" s="521">
        <f>U4373="L001-901905215"</f>
        <v/>
      </c>
      <c r="R4373" s="556">
        <f>G4373-W4373</f>
        <v/>
      </c>
      <c r="S4373" s="521" t="n"/>
      <c r="T4373" s="522" t="n"/>
      <c r="U4373" s="522" t="n"/>
      <c r="V4373" s="522" t="n"/>
      <c r="W4373" s="521" t="n"/>
    </row>
    <row r="4374">
      <c r="A4374" s="521" t="n">
        <v>4366</v>
      </c>
      <c r="B4374" s="522" t="inlineStr">
        <is>
          <t>Trucking Fee</t>
        </is>
      </c>
      <c r="C4374" s="522" t="inlineStr">
        <is>
          <t>ហាវតាយ អ៊ិនធើណេសិនណល ឡូជីស្ទីក ឯ.ក</t>
        </is>
      </c>
      <c r="D4374" s="522" t="inlineStr">
        <is>
          <t>K007-902202863</t>
        </is>
      </c>
      <c r="E4374" s="521" t="inlineStr">
        <is>
          <t>HT220084</t>
        </is>
      </c>
      <c r="F4374" s="523" t="n">
        <v>44896</v>
      </c>
      <c r="G4374" s="556" t="n">
        <v>250954</v>
      </c>
      <c r="I4374" s="521">
        <f>G4374</f>
        <v/>
      </c>
      <c r="K4374" s="521">
        <f>I4374-G4374</f>
        <v/>
      </c>
      <c r="M4374" s="522" t="inlineStr">
        <is>
          <t>HT220084</t>
        </is>
      </c>
      <c r="N4374" s="522" t="inlineStr">
        <is>
          <t>HT220084</t>
        </is>
      </c>
      <c r="O4374" s="521">
        <f>M4374=N4374</f>
        <v/>
      </c>
      <c r="P4374" s="521">
        <f>AND(MONTH(F4374)=MONTH(S4374), YEAR(F4374)=YEAR(S4374))</f>
        <v/>
      </c>
      <c r="Q4374" s="521">
        <f>U4374="L001-901905215"</f>
        <v/>
      </c>
      <c r="R4374" s="556">
        <f>G4374-W4374</f>
        <v/>
      </c>
      <c r="S4374" s="523" t="n">
        <v>44922</v>
      </c>
      <c r="T4374" s="522" t="inlineStr">
        <is>
          <t>HT220084</t>
        </is>
      </c>
      <c r="U4374" s="522" t="inlineStr">
        <is>
          <t>L001-901905215</t>
        </is>
      </c>
      <c r="V4374" s="522" t="inlineStr">
        <is>
          <t>វីអ៊ីស៊ិន (ខេមបូឌា) អ៊ិនដាសស្ទ្រី ឯ.ក</t>
        </is>
      </c>
      <c r="W4374" s="556" t="n">
        <v>250954</v>
      </c>
    </row>
    <row r="4375">
      <c r="A4375" s="521" t="n">
        <v>4367</v>
      </c>
      <c r="B4375" s="522" t="inlineStr">
        <is>
          <t>LIFT-OFF Charges and Gate Fee Charge</t>
        </is>
      </c>
      <c r="C4375" s="522" t="inlineStr">
        <is>
          <t>កំពង់ផែស្វយ័តភ្នំពេញ "ក.ស.ភ"</t>
        </is>
      </c>
      <c r="D4375" s="522" t="inlineStr">
        <is>
          <t>L001-100044999</t>
        </is>
      </c>
      <c r="E4375" s="521" t="inlineStr">
        <is>
          <t>INV20221286854</t>
        </is>
      </c>
      <c r="F4375" s="523" t="n">
        <v>44902</v>
      </c>
      <c r="G4375" s="556" t="n">
        <v>29678</v>
      </c>
      <c r="I4375" s="521">
        <f>G4375</f>
        <v/>
      </c>
      <c r="K4375" s="521">
        <f>I4375-G4375</f>
        <v/>
      </c>
      <c r="M4375" s="522" t="inlineStr">
        <is>
          <t>INV20221286854</t>
        </is>
      </c>
      <c r="N4375" s="522" t="inlineStr"/>
      <c r="O4375" s="521">
        <f>M4375=N4375</f>
        <v/>
      </c>
      <c r="P4375" s="521">
        <f>AND(MONTH(F4375)=MONTH(S4375), YEAR(F4375)=YEAR(S4375))</f>
        <v/>
      </c>
      <c r="Q4375" s="521">
        <f>U4375="L001-901905215"</f>
        <v/>
      </c>
      <c r="R4375" s="556">
        <f>G4375-W4375</f>
        <v/>
      </c>
      <c r="S4375" s="521" t="n"/>
      <c r="T4375" s="522" t="n"/>
      <c r="U4375" s="522" t="n"/>
      <c r="V4375" s="522" t="n"/>
      <c r="W4375" s="521" t="n"/>
    </row>
    <row r="4376">
      <c r="A4376" s="521" t="n">
        <v>4368</v>
      </c>
      <c r="B4376" s="522" t="inlineStr">
        <is>
          <t>Lift-On &amp; Lift-Off</t>
        </is>
      </c>
      <c r="C4376" s="522" t="inlineStr">
        <is>
          <t>កំពង់ផែស្វយ័តក្រុងព្រះសីហនុ</t>
        </is>
      </c>
      <c r="D4376" s="522" t="inlineStr">
        <is>
          <t>L001-100044638</t>
        </is>
      </c>
      <c r="E4376" s="521" t="inlineStr">
        <is>
          <t>218473</t>
        </is>
      </c>
      <c r="F4376" s="523" t="n">
        <v>44918</v>
      </c>
      <c r="G4376" s="556" t="n">
        <v>20981</v>
      </c>
      <c r="I4376" s="521">
        <f>G4376</f>
        <v/>
      </c>
      <c r="K4376" s="521">
        <f>I4376-G4376</f>
        <v/>
      </c>
      <c r="M4376" s="522" t="inlineStr">
        <is>
          <t>218473</t>
        </is>
      </c>
      <c r="N4376" s="522" t="inlineStr"/>
      <c r="O4376" s="521">
        <f>M4376=N4376</f>
        <v/>
      </c>
      <c r="P4376" s="521">
        <f>AND(MONTH(F4376)=MONTH(S4376), YEAR(F4376)=YEAR(S4376))</f>
        <v/>
      </c>
      <c r="Q4376" s="521">
        <f>U4376="L001-901905215"</f>
        <v/>
      </c>
      <c r="R4376" s="556">
        <f>G4376-W4376</f>
        <v/>
      </c>
      <c r="S4376" s="521" t="n"/>
      <c r="T4376" s="522" t="n"/>
      <c r="U4376" s="522" t="n"/>
      <c r="V4376" s="522" t="n"/>
      <c r="W4376" s="521" t="n"/>
    </row>
    <row r="4377">
      <c r="A4377" s="521" t="n">
        <v>4369</v>
      </c>
      <c r="B4377" s="522" t="inlineStr">
        <is>
          <t>LIFT-OFF Charges and Gate Fee Charge</t>
        </is>
      </c>
      <c r="C4377" s="522" t="inlineStr">
        <is>
          <t>កំពង់ផែស្វយ័តភ្នំពេញ "ក.ស.ភ"</t>
        </is>
      </c>
      <c r="D4377" s="522" t="inlineStr">
        <is>
          <t>L001-100044999</t>
        </is>
      </c>
      <c r="E4377" s="521" t="inlineStr">
        <is>
          <t>INV20221291080</t>
        </is>
      </c>
      <c r="F4377" s="523" t="n">
        <v>44922</v>
      </c>
      <c r="G4377" s="556" t="n">
        <v>29621</v>
      </c>
      <c r="I4377" s="521">
        <f>G4377</f>
        <v/>
      </c>
      <c r="K4377" s="521">
        <f>I4377-G4377</f>
        <v/>
      </c>
      <c r="M4377" s="522" t="inlineStr">
        <is>
          <t>INV20221291080</t>
        </is>
      </c>
      <c r="N4377" s="522" t="inlineStr"/>
      <c r="O4377" s="521">
        <f>M4377=N4377</f>
        <v/>
      </c>
      <c r="P4377" s="521">
        <f>AND(MONTH(F4377)=MONTH(S4377), YEAR(F4377)=YEAR(S4377))</f>
        <v/>
      </c>
      <c r="Q4377" s="521">
        <f>U4377="L001-901905215"</f>
        <v/>
      </c>
      <c r="R4377" s="556">
        <f>G4377-W4377</f>
        <v/>
      </c>
      <c r="S4377" s="521" t="n"/>
      <c r="T4377" s="522" t="n"/>
      <c r="U4377" s="522" t="n"/>
      <c r="V4377" s="522" t="n"/>
      <c r="W4377" s="521" t="n"/>
    </row>
    <row r="4378">
      <c r="A4378" s="521" t="n">
        <v>4370</v>
      </c>
      <c r="B4378" s="522" t="inlineStr">
        <is>
          <t>LIFT-OFF Charges and Gate Fee Charge</t>
        </is>
      </c>
      <c r="C4378" s="522" t="inlineStr">
        <is>
          <t>កំពង់ផែស្វយ័តភ្នំពេញ "ក.ស.ភ"</t>
        </is>
      </c>
      <c r="D4378" s="522" t="inlineStr">
        <is>
          <t>L001-100044999</t>
        </is>
      </c>
      <c r="E4378" s="521" t="inlineStr">
        <is>
          <t>INV20221291079</t>
        </is>
      </c>
      <c r="F4378" s="523" t="n">
        <v>44922</v>
      </c>
      <c r="G4378" s="556" t="n">
        <v>59242</v>
      </c>
      <c r="I4378" s="521">
        <f>G4378</f>
        <v/>
      </c>
      <c r="K4378" s="521">
        <f>I4378-G4378</f>
        <v/>
      </c>
      <c r="M4378" s="522" t="inlineStr">
        <is>
          <t>INV20221291079</t>
        </is>
      </c>
      <c r="N4378" s="522" t="inlineStr"/>
      <c r="O4378" s="521">
        <f>M4378=N4378</f>
        <v/>
      </c>
      <c r="P4378" s="521">
        <f>AND(MONTH(F4378)=MONTH(S4378), YEAR(F4378)=YEAR(S4378))</f>
        <v/>
      </c>
      <c r="Q4378" s="521">
        <f>U4378="L001-901905215"</f>
        <v/>
      </c>
      <c r="R4378" s="556">
        <f>G4378-W4378</f>
        <v/>
      </c>
      <c r="S4378" s="521" t="n"/>
      <c r="T4378" s="522" t="n"/>
      <c r="U4378" s="522" t="n"/>
      <c r="V4378" s="522" t="n"/>
      <c r="W4378" s="521" t="n"/>
    </row>
    <row r="4379">
      <c r="A4379" s="521" t="n">
        <v>4371</v>
      </c>
      <c r="B4379" s="522" t="inlineStr">
        <is>
          <t>LIFT-OFF Charges and Gate Fee Charge</t>
        </is>
      </c>
      <c r="C4379" s="522" t="inlineStr">
        <is>
          <t>កំពង់ផែស្វយ័តភ្នំពេញ "ក.ស.ភ"</t>
        </is>
      </c>
      <c r="D4379" s="522" t="inlineStr">
        <is>
          <t>L001-100044999</t>
        </is>
      </c>
      <c r="E4379" s="521" t="inlineStr">
        <is>
          <t>INV20221289758</t>
        </is>
      </c>
      <c r="F4379" s="523" t="n">
        <v>44915</v>
      </c>
      <c r="G4379" s="556" t="n">
        <v>59256</v>
      </c>
      <c r="I4379" s="521">
        <f>G4379</f>
        <v/>
      </c>
      <c r="K4379" s="521">
        <f>I4379-G4379</f>
        <v/>
      </c>
      <c r="M4379" s="522" t="inlineStr">
        <is>
          <t>INV20221289758</t>
        </is>
      </c>
      <c r="N4379" s="522" t="inlineStr"/>
      <c r="O4379" s="521">
        <f>M4379=N4379</f>
        <v/>
      </c>
      <c r="P4379" s="521">
        <f>AND(MONTH(F4379)=MONTH(S4379), YEAR(F4379)=YEAR(S4379))</f>
        <v/>
      </c>
      <c r="Q4379" s="521">
        <f>U4379="L001-901905215"</f>
        <v/>
      </c>
      <c r="R4379" s="556">
        <f>G4379-W4379</f>
        <v/>
      </c>
      <c r="S4379" s="521" t="n"/>
      <c r="T4379" s="522" t="n"/>
      <c r="U4379" s="522" t="n"/>
      <c r="V4379" s="522" t="n"/>
      <c r="W4379" s="521" t="n"/>
    </row>
    <row r="4380">
      <c r="A4380" s="521" t="n">
        <v>4372</v>
      </c>
      <c r="B4380" s="522" t="inlineStr">
        <is>
          <t>LIFT-OFF Charges and Gate Fee Charge</t>
        </is>
      </c>
      <c r="C4380" s="522" t="inlineStr">
        <is>
          <t>កំពង់ផែស្វយ័តភ្នំពេញ "ក.ស.ភ"</t>
        </is>
      </c>
      <c r="D4380" s="522" t="inlineStr">
        <is>
          <t>L001-100044999</t>
        </is>
      </c>
      <c r="E4380" s="521" t="inlineStr">
        <is>
          <t>INV20221289759</t>
        </is>
      </c>
      <c r="F4380" s="523" t="n">
        <v>44915</v>
      </c>
      <c r="G4380" s="556" t="n">
        <v>59256</v>
      </c>
      <c r="I4380" s="521">
        <f>G4380</f>
        <v/>
      </c>
      <c r="K4380" s="521">
        <f>I4380-G4380</f>
        <v/>
      </c>
      <c r="M4380" s="522" t="inlineStr">
        <is>
          <t>INV20221289759</t>
        </is>
      </c>
      <c r="N4380" s="522" t="inlineStr"/>
      <c r="O4380" s="521">
        <f>M4380=N4380</f>
        <v/>
      </c>
      <c r="P4380" s="521">
        <f>AND(MONTH(F4380)=MONTH(S4380), YEAR(F4380)=YEAR(S4380))</f>
        <v/>
      </c>
      <c r="Q4380" s="521">
        <f>U4380="L001-901905215"</f>
        <v/>
      </c>
      <c r="R4380" s="556">
        <f>G4380-W4380</f>
        <v/>
      </c>
      <c r="S4380" s="521" t="n"/>
      <c r="T4380" s="522" t="n"/>
      <c r="U4380" s="522" t="n"/>
      <c r="V4380" s="522" t="n"/>
      <c r="W4380" s="521" t="n"/>
    </row>
    <row r="4381">
      <c r="A4381" s="521" t="n">
        <v>4373</v>
      </c>
      <c r="B4381" s="522" t="inlineStr">
        <is>
          <t>Lift-On &amp; Lift-Off</t>
        </is>
      </c>
      <c r="C4381" s="522" t="inlineStr">
        <is>
          <t>កំពង់ផែស្វយ័តក្រុងព្រះសីហនុ</t>
        </is>
      </c>
      <c r="D4381" s="522" t="inlineStr">
        <is>
          <t>L001-100044638</t>
        </is>
      </c>
      <c r="E4381" s="521" t="inlineStr">
        <is>
          <t>214461</t>
        </is>
      </c>
      <c r="F4381" s="523" t="n">
        <v>44910</v>
      </c>
      <c r="G4381" s="556" t="n">
        <v>6985</v>
      </c>
      <c r="I4381" s="521">
        <f>G4381</f>
        <v/>
      </c>
      <c r="K4381" s="521">
        <f>I4381-G4381</f>
        <v/>
      </c>
      <c r="M4381" s="522" t="inlineStr">
        <is>
          <t>214461</t>
        </is>
      </c>
      <c r="N4381" s="522" t="inlineStr"/>
      <c r="O4381" s="521">
        <f>M4381=N4381</f>
        <v/>
      </c>
      <c r="P4381" s="521">
        <f>AND(MONTH(F4381)=MONTH(S4381), YEAR(F4381)=YEAR(S4381))</f>
        <v/>
      </c>
      <c r="Q4381" s="521">
        <f>U4381="L001-901905215"</f>
        <v/>
      </c>
      <c r="R4381" s="556">
        <f>G4381-W4381</f>
        <v/>
      </c>
      <c r="S4381" s="521" t="n"/>
      <c r="T4381" s="522" t="n"/>
      <c r="U4381" s="522" t="n"/>
      <c r="V4381" s="522" t="n"/>
      <c r="W4381" s="521" t="n"/>
    </row>
    <row r="4382">
      <c r="A4382" s="521" t="n">
        <v>4374</v>
      </c>
      <c r="B4382" s="522" t="inlineStr">
        <is>
          <t>LIFT-OFF Charges and Gate Fee Charge</t>
        </is>
      </c>
      <c r="C4382" s="522" t="inlineStr">
        <is>
          <t>កំពង់ផែស្វយ័តភ្នំពេញ "ក.ស.ភ"</t>
        </is>
      </c>
      <c r="D4382" s="522" t="inlineStr">
        <is>
          <t>L001-100044999</t>
        </is>
      </c>
      <c r="E4382" s="521" t="inlineStr">
        <is>
          <t>INV20221289761</t>
        </is>
      </c>
      <c r="F4382" s="523" t="n">
        <v>44915</v>
      </c>
      <c r="G4382" s="556" t="n">
        <v>59256</v>
      </c>
      <c r="I4382" s="521">
        <f>G4382</f>
        <v/>
      </c>
      <c r="K4382" s="521">
        <f>I4382-G4382</f>
        <v/>
      </c>
      <c r="M4382" s="522" t="inlineStr">
        <is>
          <t>INV20221289761</t>
        </is>
      </c>
      <c r="N4382" s="522" t="inlineStr"/>
      <c r="O4382" s="521">
        <f>M4382=N4382</f>
        <v/>
      </c>
      <c r="P4382" s="521">
        <f>AND(MONTH(F4382)=MONTH(S4382), YEAR(F4382)=YEAR(S4382))</f>
        <v/>
      </c>
      <c r="Q4382" s="521">
        <f>U4382="L001-901905215"</f>
        <v/>
      </c>
      <c r="R4382" s="556">
        <f>G4382-W4382</f>
        <v/>
      </c>
      <c r="S4382" s="521" t="n"/>
      <c r="T4382" s="522" t="n"/>
      <c r="U4382" s="522" t="n"/>
      <c r="V4382" s="522" t="n"/>
      <c r="W4382" s="521" t="n"/>
    </row>
    <row r="4383">
      <c r="A4383" s="521" t="n">
        <v>4375</v>
      </c>
      <c r="B4383" s="522" t="inlineStr">
        <is>
          <t>Clearance &amp; Trucking Fee</t>
        </is>
      </c>
      <c r="C4383" s="522" t="inlineStr">
        <is>
          <t>56ប៊ី-លីង សឹបផ្លាយ ឆេន មេនេចម៉ិន ឯ.ក</t>
        </is>
      </c>
      <c r="D4383" s="522" t="inlineStr">
        <is>
          <t>K004-902004795</t>
        </is>
      </c>
      <c r="E4383" s="521" t="inlineStr">
        <is>
          <t>TI2022-0907</t>
        </is>
      </c>
      <c r="F4383" s="523" t="n">
        <v>44900</v>
      </c>
      <c r="G4383" s="556" t="n">
        <v>273182</v>
      </c>
      <c r="I4383" s="521">
        <f>G4383</f>
        <v/>
      </c>
      <c r="K4383" s="521">
        <f>I4383-G4383</f>
        <v/>
      </c>
      <c r="M4383" s="522" t="inlineStr">
        <is>
          <t>TI20220907</t>
        </is>
      </c>
      <c r="N4383" s="522" t="inlineStr">
        <is>
          <t>TI20220907</t>
        </is>
      </c>
      <c r="O4383" s="521">
        <f>M4383=N4383</f>
        <v/>
      </c>
      <c r="P4383" s="521">
        <f>AND(MONTH(F4383)=MONTH(S4383), YEAR(F4383)=YEAR(S4383))</f>
        <v/>
      </c>
      <c r="Q4383" s="521">
        <f>U4383="L001-901905215"</f>
        <v/>
      </c>
      <c r="R4383" s="556">
        <f>G4383-W4383</f>
        <v/>
      </c>
      <c r="S4383" s="523" t="n">
        <v>44900</v>
      </c>
      <c r="T4383" s="522" t="inlineStr">
        <is>
          <t>TI2022-0907</t>
        </is>
      </c>
      <c r="U4383" s="522" t="inlineStr">
        <is>
          <t>L001-901905215</t>
        </is>
      </c>
      <c r="V4383" s="522" t="inlineStr">
        <is>
          <t>វីអ៊ីស៊ិន (ខេមបូឌា) អ៊ិនដាសស្ទ្រី ឯ.ក</t>
        </is>
      </c>
      <c r="W4383" s="556" t="n">
        <v>273182</v>
      </c>
    </row>
    <row r="4384">
      <c r="A4384" s="521" t="n">
        <v>4376</v>
      </c>
      <c r="B4384" s="522" t="inlineStr">
        <is>
          <t>Clearance &amp; Trucking Fee</t>
        </is>
      </c>
      <c r="C4384" s="522" t="inlineStr">
        <is>
          <t>56ប៊ី-លីង សឹបផ្លាយ ឆេន មេនេចម៉ិន ឯ.ក</t>
        </is>
      </c>
      <c r="D4384" s="522" t="inlineStr">
        <is>
          <t>K004-902004795</t>
        </is>
      </c>
      <c r="E4384" s="521" t="inlineStr">
        <is>
          <t>TI2022-0906</t>
        </is>
      </c>
      <c r="F4384" s="523" t="n">
        <v>44900</v>
      </c>
      <c r="G4384" s="556" t="n">
        <v>273182</v>
      </c>
      <c r="I4384" s="521">
        <f>G4384</f>
        <v/>
      </c>
      <c r="K4384" s="521">
        <f>I4384-G4384</f>
        <v/>
      </c>
      <c r="M4384" s="522" t="inlineStr">
        <is>
          <t>TI20220906</t>
        </is>
      </c>
      <c r="N4384" s="522" t="inlineStr">
        <is>
          <t>TI20220906</t>
        </is>
      </c>
      <c r="O4384" s="521">
        <f>M4384=N4384</f>
        <v/>
      </c>
      <c r="P4384" s="521">
        <f>AND(MONTH(F4384)=MONTH(S4384), YEAR(F4384)=YEAR(S4384))</f>
        <v/>
      </c>
      <c r="Q4384" s="521">
        <f>U4384="L001-901905215"</f>
        <v/>
      </c>
      <c r="R4384" s="556">
        <f>G4384-W4384</f>
        <v/>
      </c>
      <c r="S4384" s="523" t="n">
        <v>44900</v>
      </c>
      <c r="T4384" s="522" t="inlineStr">
        <is>
          <t>TI2022-0906</t>
        </is>
      </c>
      <c r="U4384" s="522" t="inlineStr">
        <is>
          <t>L001-901905215</t>
        </is>
      </c>
      <c r="V4384" s="522" t="inlineStr">
        <is>
          <t>វីអ៊ីស៊ិន (ខេមបូឌា) អ៊ិនដាសស្ទ្រី ឯ.ក</t>
        </is>
      </c>
      <c r="W4384" s="556" t="n">
        <v>273182</v>
      </c>
    </row>
    <row r="4385">
      <c r="A4385" s="521" t="n">
        <v>4377</v>
      </c>
      <c r="B4385" s="522" t="inlineStr">
        <is>
          <t>Clearance &amp; Trucking Fee</t>
        </is>
      </c>
      <c r="C4385" s="522" t="inlineStr">
        <is>
          <t>56ប៊ី-លីង សឹបផ្លាយ ឆេន មេនេចម៉ិន ឯ.ក</t>
        </is>
      </c>
      <c r="D4385" s="522" t="inlineStr">
        <is>
          <t>K004-902004795</t>
        </is>
      </c>
      <c r="E4385" s="521" t="inlineStr">
        <is>
          <t>TI2022-0976</t>
        </is>
      </c>
      <c r="F4385" s="523" t="n">
        <v>44925</v>
      </c>
      <c r="G4385" s="556" t="n">
        <v>302600</v>
      </c>
      <c r="I4385" s="521">
        <f>G4385</f>
        <v/>
      </c>
      <c r="K4385" s="521">
        <f>I4385-G4385</f>
        <v/>
      </c>
      <c r="M4385" s="522" t="inlineStr">
        <is>
          <t>TI20220976</t>
        </is>
      </c>
      <c r="N4385" s="522" t="inlineStr">
        <is>
          <t>TI20220976</t>
        </is>
      </c>
      <c r="O4385" s="521">
        <f>M4385=N4385</f>
        <v/>
      </c>
      <c r="P4385" s="521">
        <f>AND(MONTH(F4385)=MONTH(S4385), YEAR(F4385)=YEAR(S4385))</f>
        <v/>
      </c>
      <c r="Q4385" s="521">
        <f>U4385="L001-901905215"</f>
        <v/>
      </c>
      <c r="R4385" s="556">
        <f>G4385-W4385</f>
        <v/>
      </c>
      <c r="S4385" s="523" t="n">
        <v>44925</v>
      </c>
      <c r="T4385" s="522" t="inlineStr">
        <is>
          <t>TI2022-0976</t>
        </is>
      </c>
      <c r="U4385" s="522" t="inlineStr">
        <is>
          <t>L001-901905215</t>
        </is>
      </c>
      <c r="V4385" s="522" t="inlineStr">
        <is>
          <t>វីអ៊ីស៊ិន (ខេមបូឌា) អ៊ិនដាសស្ទ្រី ឯ.ក</t>
        </is>
      </c>
      <c r="W4385" s="556" t="n">
        <v>302600</v>
      </c>
    </row>
    <row r="4386">
      <c r="A4386" s="521" t="n">
        <v>4378</v>
      </c>
      <c r="B4386" s="522" t="inlineStr">
        <is>
          <t>Clearance &amp; Trucking Fee</t>
        </is>
      </c>
      <c r="C4386" s="522" t="inlineStr">
        <is>
          <t>56ប៊ី-លីង សឹបផ្លាយ ឆេន មេនេចម៉ិន ឯ.ក</t>
        </is>
      </c>
      <c r="D4386" s="522" t="inlineStr">
        <is>
          <t>K004-902004795</t>
        </is>
      </c>
      <c r="E4386" s="521" t="inlineStr">
        <is>
          <t>TI2022-0975</t>
        </is>
      </c>
      <c r="F4386" s="523" t="n">
        <v>44925</v>
      </c>
      <c r="G4386" s="556" t="n">
        <v>212026</v>
      </c>
      <c r="I4386" s="521">
        <f>G4386</f>
        <v/>
      </c>
      <c r="K4386" s="521">
        <f>I4386-G4386</f>
        <v/>
      </c>
      <c r="M4386" s="522" t="inlineStr">
        <is>
          <t>TI20220975</t>
        </is>
      </c>
      <c r="N4386" s="522" t="inlineStr">
        <is>
          <t>TI20220975</t>
        </is>
      </c>
      <c r="O4386" s="521">
        <f>M4386=N4386</f>
        <v/>
      </c>
      <c r="P4386" s="521">
        <f>AND(MONTH(F4386)=MONTH(S4386), YEAR(F4386)=YEAR(S4386))</f>
        <v/>
      </c>
      <c r="Q4386" s="521">
        <f>U4386="L001-901905215"</f>
        <v/>
      </c>
      <c r="R4386" s="556">
        <f>G4386-W4386</f>
        <v/>
      </c>
      <c r="S4386" s="523" t="n">
        <v>44925</v>
      </c>
      <c r="T4386" s="522" t="inlineStr">
        <is>
          <t>TI2022-0975</t>
        </is>
      </c>
      <c r="U4386" s="522" t="inlineStr">
        <is>
          <t>L001-901905215</t>
        </is>
      </c>
      <c r="V4386" s="522" t="inlineStr">
        <is>
          <t>វីអ៊ីស៊ិន (ខេមបូឌា) អ៊ិនដាសស្ទ្រី ឯ.ក</t>
        </is>
      </c>
      <c r="W4386" s="556" t="n">
        <v>212026</v>
      </c>
    </row>
    <row r="4387">
      <c r="A4387" s="521" t="n">
        <v>4379</v>
      </c>
      <c r="B4387" s="522" t="inlineStr">
        <is>
          <t>Clearance &amp; Trucking Fee</t>
        </is>
      </c>
      <c r="C4387" s="522" t="inlineStr">
        <is>
          <t>56ប៊ី-លីង សឹបផ្លាយ ឆេន មេនេចម៉ិន ឯ.ក</t>
        </is>
      </c>
      <c r="D4387" s="522" t="inlineStr">
        <is>
          <t>K004-902004795</t>
        </is>
      </c>
      <c r="E4387" s="521" t="inlineStr">
        <is>
          <t>TI2022-0974</t>
        </is>
      </c>
      <c r="F4387" s="523" t="n">
        <v>44925</v>
      </c>
      <c r="G4387" s="556" t="n">
        <v>273781</v>
      </c>
      <c r="I4387" s="521">
        <f>G4387</f>
        <v/>
      </c>
      <c r="K4387" s="521">
        <f>I4387-G4387</f>
        <v/>
      </c>
      <c r="M4387" s="522" t="inlineStr">
        <is>
          <t>TI20220974</t>
        </is>
      </c>
      <c r="N4387" s="522" t="inlineStr">
        <is>
          <t>TI20220974</t>
        </is>
      </c>
      <c r="O4387" s="521">
        <f>M4387=N4387</f>
        <v/>
      </c>
      <c r="P4387" s="521">
        <f>AND(MONTH(F4387)=MONTH(S4387), YEAR(F4387)=YEAR(S4387))</f>
        <v/>
      </c>
      <c r="Q4387" s="521">
        <f>U4387="L001-901905215"</f>
        <v/>
      </c>
      <c r="R4387" s="556">
        <f>G4387-W4387</f>
        <v/>
      </c>
      <c r="S4387" s="523" t="n">
        <v>44925</v>
      </c>
      <c r="T4387" s="522" t="inlineStr">
        <is>
          <t>TI2022-0974</t>
        </is>
      </c>
      <c r="U4387" s="522" t="inlineStr">
        <is>
          <t>L001-901905215</t>
        </is>
      </c>
      <c r="V4387" s="522" t="inlineStr">
        <is>
          <t>វីអ៊ីស៊ិន (ខេមបូឌា) អ៊ិនដាសស្ទ្រី ឯ.ក</t>
        </is>
      </c>
      <c r="W4387" s="556" t="n">
        <v>273781</v>
      </c>
    </row>
    <row r="4388">
      <c r="A4388" s="521" t="n">
        <v>4380</v>
      </c>
      <c r="B4388" s="522" t="inlineStr">
        <is>
          <t>Clearance &amp; Trucking Fee</t>
        </is>
      </c>
      <c r="C4388" s="522" t="inlineStr">
        <is>
          <t>56ប៊ី-លីង សឹបផ្លាយ ឆេន មេនេចម៉ិន ឯ.ក</t>
        </is>
      </c>
      <c r="D4388" s="522" t="inlineStr">
        <is>
          <t>K004-902004795</t>
        </is>
      </c>
      <c r="E4388" s="521" t="inlineStr">
        <is>
          <t>TI2022-0960</t>
        </is>
      </c>
      <c r="F4388" s="523" t="n">
        <v>44918</v>
      </c>
      <c r="G4388" s="556" t="n">
        <v>489566</v>
      </c>
      <c r="I4388" s="521">
        <f>G4388</f>
        <v/>
      </c>
      <c r="K4388" s="521">
        <f>I4388-G4388</f>
        <v/>
      </c>
      <c r="M4388" s="522" t="inlineStr">
        <is>
          <t>TI20220960</t>
        </is>
      </c>
      <c r="N4388" s="522" t="inlineStr">
        <is>
          <t>TI20220960</t>
        </is>
      </c>
      <c r="O4388" s="521">
        <f>M4388=N4388</f>
        <v/>
      </c>
      <c r="P4388" s="521">
        <f>AND(MONTH(F4388)=MONTH(S4388), YEAR(F4388)=YEAR(S4388))</f>
        <v/>
      </c>
      <c r="Q4388" s="521">
        <f>U4388="L001-901905215"</f>
        <v/>
      </c>
      <c r="R4388" s="556">
        <f>G4388-W4388</f>
        <v/>
      </c>
      <c r="S4388" s="523" t="n">
        <v>44918</v>
      </c>
      <c r="T4388" s="522" t="inlineStr">
        <is>
          <t>TI2022-0960</t>
        </is>
      </c>
      <c r="U4388" s="522" t="inlineStr">
        <is>
          <t>L001-901905215</t>
        </is>
      </c>
      <c r="V4388" s="522" t="inlineStr">
        <is>
          <t>វីអ៊ីស៊ិន (ខេមបូឌា) អ៊ិនដាសស្ទ្រី ឯ.ក</t>
        </is>
      </c>
      <c r="W4388" s="556" t="n">
        <v>489566</v>
      </c>
    </row>
    <row r="4389">
      <c r="A4389" s="521" t="n">
        <v>4381</v>
      </c>
      <c r="B4389" s="522" t="inlineStr">
        <is>
          <t>Clearance &amp; Trucking Fee</t>
        </is>
      </c>
      <c r="C4389" s="522" t="inlineStr">
        <is>
          <t>56ប៊ី-លីង សឹបផ្លាយ ឆេន មេនេចម៉ិន ឯ.ក</t>
        </is>
      </c>
      <c r="D4389" s="522" t="inlineStr">
        <is>
          <t>K004-902004795</t>
        </is>
      </c>
      <c r="E4389" s="521" t="inlineStr">
        <is>
          <t>TI2022-0959</t>
        </is>
      </c>
      <c r="F4389" s="523" t="n">
        <v>44918</v>
      </c>
      <c r="G4389" s="556" t="n">
        <v>211871</v>
      </c>
      <c r="I4389" s="521">
        <f>G4389</f>
        <v/>
      </c>
      <c r="K4389" s="521">
        <f>I4389-G4389</f>
        <v/>
      </c>
      <c r="M4389" s="522" t="inlineStr">
        <is>
          <t>TI20220959</t>
        </is>
      </c>
      <c r="N4389" s="522" t="inlineStr">
        <is>
          <t>TI20220959</t>
        </is>
      </c>
      <c r="O4389" s="521">
        <f>M4389=N4389</f>
        <v/>
      </c>
      <c r="P4389" s="521">
        <f>AND(MONTH(F4389)=MONTH(S4389), YEAR(F4389)=YEAR(S4389))</f>
        <v/>
      </c>
      <c r="Q4389" s="521">
        <f>U4389="L001-901905215"</f>
        <v/>
      </c>
      <c r="R4389" s="556">
        <f>G4389-W4389</f>
        <v/>
      </c>
      <c r="S4389" s="523" t="n">
        <v>44918</v>
      </c>
      <c r="T4389" s="522" t="inlineStr">
        <is>
          <t>TI2022-0959</t>
        </is>
      </c>
      <c r="U4389" s="522" t="inlineStr">
        <is>
          <t>L001-901905215</t>
        </is>
      </c>
      <c r="V4389" s="522" t="inlineStr">
        <is>
          <t>វីអ៊ីស៊ិន (ខេមបូឌា) អ៊ិនដាសស្ទ្រី ឯ.ក</t>
        </is>
      </c>
      <c r="W4389" s="556" t="n">
        <v>211871</v>
      </c>
    </row>
    <row r="4390">
      <c r="A4390" s="521" t="n">
        <v>4382</v>
      </c>
      <c r="B4390" s="522" t="inlineStr">
        <is>
          <t>Clearance &amp; Trucking Fee</t>
        </is>
      </c>
      <c r="C4390" s="522" t="inlineStr">
        <is>
          <t>56ប៊ី-លីង សឹបផ្លាយ ឆេន មេនេចម៉ិន ឯ.ក</t>
        </is>
      </c>
      <c r="D4390" s="522" t="inlineStr">
        <is>
          <t>K004-902004795</t>
        </is>
      </c>
      <c r="E4390" s="521" t="inlineStr">
        <is>
          <t>TI2022-0958</t>
        </is>
      </c>
      <c r="F4390" s="523" t="n">
        <v>44918</v>
      </c>
      <c r="G4390" s="556" t="n">
        <v>489566</v>
      </c>
      <c r="I4390" s="521">
        <f>G4390</f>
        <v/>
      </c>
      <c r="K4390" s="521">
        <f>I4390-G4390</f>
        <v/>
      </c>
      <c r="M4390" s="522" t="inlineStr">
        <is>
          <t>TI20220958</t>
        </is>
      </c>
      <c r="N4390" s="522" t="inlineStr">
        <is>
          <t>TI20220958</t>
        </is>
      </c>
      <c r="O4390" s="521">
        <f>M4390=N4390</f>
        <v/>
      </c>
      <c r="P4390" s="521">
        <f>AND(MONTH(F4390)=MONTH(S4390), YEAR(F4390)=YEAR(S4390))</f>
        <v/>
      </c>
      <c r="Q4390" s="521">
        <f>U4390="L001-901905215"</f>
        <v/>
      </c>
      <c r="R4390" s="556">
        <f>G4390-W4390</f>
        <v/>
      </c>
      <c r="S4390" s="523" t="n">
        <v>44918</v>
      </c>
      <c r="T4390" s="522" t="inlineStr">
        <is>
          <t>TI2022-0958</t>
        </is>
      </c>
      <c r="U4390" s="522" t="inlineStr">
        <is>
          <t>L001-901905215</t>
        </is>
      </c>
      <c r="V4390" s="522" t="inlineStr">
        <is>
          <t>វីអ៊ីស៊ិន (ខេមបូឌា) អ៊ិនដាសស្ទ្រី ឯ.ក</t>
        </is>
      </c>
      <c r="W4390" s="556" t="n">
        <v>489566</v>
      </c>
    </row>
    <row r="4391">
      <c r="A4391" s="521" t="n">
        <v>4383</v>
      </c>
      <c r="B4391" s="522" t="inlineStr">
        <is>
          <t>Clearance &amp; Trucking Fee</t>
        </is>
      </c>
      <c r="C4391" s="522" t="inlineStr">
        <is>
          <t>56ប៊ី-លីង សឹបផ្លាយ ឆេន មេនេចម៉ិន ឯ.ក</t>
        </is>
      </c>
      <c r="D4391" s="522" t="inlineStr">
        <is>
          <t>K004-902004795</t>
        </is>
      </c>
      <c r="E4391" s="521" t="inlineStr">
        <is>
          <t>TI2022-0957</t>
        </is>
      </c>
      <c r="F4391" s="523" t="n">
        <v>44918</v>
      </c>
      <c r="G4391" s="556" t="n">
        <v>489566</v>
      </c>
      <c r="I4391" s="521">
        <f>G4391</f>
        <v/>
      </c>
      <c r="K4391" s="521">
        <f>I4391-G4391</f>
        <v/>
      </c>
      <c r="M4391" s="522" t="inlineStr">
        <is>
          <t>TI20220957</t>
        </is>
      </c>
      <c r="N4391" s="522" t="inlineStr">
        <is>
          <t>TI20220957</t>
        </is>
      </c>
      <c r="O4391" s="521">
        <f>M4391=N4391</f>
        <v/>
      </c>
      <c r="P4391" s="521">
        <f>AND(MONTH(F4391)=MONTH(S4391), YEAR(F4391)=YEAR(S4391))</f>
        <v/>
      </c>
      <c r="Q4391" s="521">
        <f>U4391="L001-901905215"</f>
        <v/>
      </c>
      <c r="R4391" s="556">
        <f>G4391-W4391</f>
        <v/>
      </c>
      <c r="S4391" s="523" t="n">
        <v>44918</v>
      </c>
      <c r="T4391" s="522" t="inlineStr">
        <is>
          <t>TI2022-0957</t>
        </is>
      </c>
      <c r="U4391" s="522" t="inlineStr">
        <is>
          <t>L001-901905215</t>
        </is>
      </c>
      <c r="V4391" s="522" t="inlineStr">
        <is>
          <t>វីអ៊ីស៊ិន (ខេមបូឌា) អ៊ិនដាសស្ទ្រី ឯ.ក</t>
        </is>
      </c>
      <c r="W4391" s="556" t="n">
        <v>489566</v>
      </c>
    </row>
    <row r="4392">
      <c r="A4392" s="521" t="n">
        <v>4384</v>
      </c>
      <c r="B4392" s="522" t="inlineStr">
        <is>
          <t>Clearance &amp; Trucking Fee</t>
        </is>
      </c>
      <c r="C4392" s="522" t="inlineStr">
        <is>
          <t>56ប៊ី-លីង សឹបផ្លាយ ឆេន មេនេចម៉ិន ឯ.ក</t>
        </is>
      </c>
      <c r="D4392" s="522" t="inlineStr">
        <is>
          <t>K004-902004795</t>
        </is>
      </c>
      <c r="E4392" s="521" t="inlineStr">
        <is>
          <t>TI2022-0956</t>
        </is>
      </c>
      <c r="F4392" s="523" t="n">
        <v>44918</v>
      </c>
      <c r="G4392" s="556" t="n">
        <v>172788</v>
      </c>
      <c r="I4392" s="521">
        <f>G4392</f>
        <v/>
      </c>
      <c r="K4392" s="521">
        <f>I4392-G4392</f>
        <v/>
      </c>
      <c r="M4392" s="522" t="inlineStr">
        <is>
          <t>TI20220956</t>
        </is>
      </c>
      <c r="N4392" s="522" t="inlineStr">
        <is>
          <t>TI20220956</t>
        </is>
      </c>
      <c r="O4392" s="521">
        <f>M4392=N4392</f>
        <v/>
      </c>
      <c r="P4392" s="521">
        <f>AND(MONTH(F4392)=MONTH(S4392), YEAR(F4392)=YEAR(S4392))</f>
        <v/>
      </c>
      <c r="Q4392" s="521">
        <f>U4392="L001-901905215"</f>
        <v/>
      </c>
      <c r="R4392" s="556">
        <f>G4392-W4392</f>
        <v/>
      </c>
      <c r="S4392" s="523" t="n">
        <v>44918</v>
      </c>
      <c r="T4392" s="522" t="inlineStr">
        <is>
          <t>TI2022-0956</t>
        </is>
      </c>
      <c r="U4392" s="522" t="inlineStr">
        <is>
          <t>L001-901905215</t>
        </is>
      </c>
      <c r="V4392" s="522" t="inlineStr">
        <is>
          <t>វីអ៊ីស៊ិន (ខេមបូឌា) អ៊ិនដាសស្ទ្រី ឯ.ក</t>
        </is>
      </c>
      <c r="W4392" s="556" t="n">
        <v>172788</v>
      </c>
    </row>
    <row r="4393">
      <c r="A4393" s="521" t="n">
        <v>4385</v>
      </c>
      <c r="B4393" s="522" t="inlineStr">
        <is>
          <t>Clearance &amp; Trucking Fee</t>
        </is>
      </c>
      <c r="C4393" s="522" t="inlineStr">
        <is>
          <t>56ប៊ី-លីង សឹបផ្លាយ ឆេន មេនេចម៉ិន ឯ.ក</t>
        </is>
      </c>
      <c r="D4393" s="522" t="inlineStr">
        <is>
          <t>K004-902004795</t>
        </is>
      </c>
      <c r="E4393" s="521" t="inlineStr">
        <is>
          <t>TI2022-0955</t>
        </is>
      </c>
      <c r="F4393" s="523" t="n">
        <v>44918</v>
      </c>
      <c r="G4393" s="556" t="n">
        <v>211871</v>
      </c>
      <c r="I4393" s="521">
        <f>G4393</f>
        <v/>
      </c>
      <c r="K4393" s="521">
        <f>I4393-G4393</f>
        <v/>
      </c>
      <c r="M4393" s="522" t="inlineStr">
        <is>
          <t>TI20220955</t>
        </is>
      </c>
      <c r="N4393" s="522" t="inlineStr">
        <is>
          <t>TI20220955</t>
        </is>
      </c>
      <c r="O4393" s="521">
        <f>M4393=N4393</f>
        <v/>
      </c>
      <c r="P4393" s="521">
        <f>AND(MONTH(F4393)=MONTH(S4393), YEAR(F4393)=YEAR(S4393))</f>
        <v/>
      </c>
      <c r="Q4393" s="521">
        <f>U4393="L001-901905215"</f>
        <v/>
      </c>
      <c r="R4393" s="556">
        <f>G4393-W4393</f>
        <v/>
      </c>
      <c r="S4393" s="523" t="n">
        <v>44918</v>
      </c>
      <c r="T4393" s="522" t="inlineStr">
        <is>
          <t>TI2022-0955</t>
        </is>
      </c>
      <c r="U4393" s="522" t="inlineStr">
        <is>
          <t>L001-901905215</t>
        </is>
      </c>
      <c r="V4393" s="522" t="inlineStr">
        <is>
          <t>វីអ៊ីស៊ិន (ខេមបូឌា) អ៊ិនដាសស្ទ្រី ឯ.ក</t>
        </is>
      </c>
      <c r="W4393" s="556" t="n">
        <v>211871</v>
      </c>
    </row>
    <row r="4394">
      <c r="A4394" s="521" t="n">
        <v>4386</v>
      </c>
      <c r="B4394" s="522" t="inlineStr">
        <is>
          <t>Clearance &amp; Trucking Fee</t>
        </is>
      </c>
      <c r="C4394" s="522" t="inlineStr">
        <is>
          <t>56ប៊ី-លីង សឹបផ្លាយ ឆេន មេនេចម៉ិន ឯ.ក</t>
        </is>
      </c>
      <c r="D4394" s="522" t="inlineStr">
        <is>
          <t>K004-902004795</t>
        </is>
      </c>
      <c r="E4394" s="521" t="inlineStr">
        <is>
          <t>TI2022-0951</t>
        </is>
      </c>
      <c r="F4394" s="523" t="n">
        <v>44918</v>
      </c>
      <c r="G4394" s="556" t="n">
        <v>302379</v>
      </c>
      <c r="I4394" s="521">
        <f>G4394</f>
        <v/>
      </c>
      <c r="K4394" s="521">
        <f>I4394-G4394</f>
        <v/>
      </c>
      <c r="M4394" s="522" t="inlineStr">
        <is>
          <t>TI20220951</t>
        </is>
      </c>
      <c r="N4394" s="522" t="inlineStr">
        <is>
          <t>TI20220951</t>
        </is>
      </c>
      <c r="O4394" s="521">
        <f>M4394=N4394</f>
        <v/>
      </c>
      <c r="P4394" s="521">
        <f>AND(MONTH(F4394)=MONTH(S4394), YEAR(F4394)=YEAR(S4394))</f>
        <v/>
      </c>
      <c r="Q4394" s="521">
        <f>U4394="L001-901905215"</f>
        <v/>
      </c>
      <c r="R4394" s="556">
        <f>G4394-W4394</f>
        <v/>
      </c>
      <c r="S4394" s="523" t="n">
        <v>44918</v>
      </c>
      <c r="T4394" s="522" t="inlineStr">
        <is>
          <t>TI2022-0951</t>
        </is>
      </c>
      <c r="U4394" s="522" t="inlineStr">
        <is>
          <t>L001-901905215</t>
        </is>
      </c>
      <c r="V4394" s="522" t="inlineStr">
        <is>
          <t>វីអ៊ីស៊ិន (ខេមបូឌា) អ៊ិនដាសស្ទ្រី ឯ.ក</t>
        </is>
      </c>
      <c r="W4394" s="556" t="n">
        <v>302379</v>
      </c>
    </row>
    <row r="4395">
      <c r="A4395" s="521" t="n">
        <v>4387</v>
      </c>
      <c r="B4395" s="522" t="inlineStr">
        <is>
          <t>Clearance &amp; Trucking Fee</t>
        </is>
      </c>
      <c r="C4395" s="522" t="inlineStr">
        <is>
          <t>56ប៊ី-លីង សឹបផ្លាយ ឆេន មេនេចម៉ិន ឯ.ក</t>
        </is>
      </c>
      <c r="D4395" s="522" t="inlineStr">
        <is>
          <t>K004-902004795</t>
        </is>
      </c>
      <c r="E4395" s="521" t="inlineStr">
        <is>
          <t>TI2022-0950</t>
        </is>
      </c>
      <c r="F4395" s="523" t="n">
        <v>44918</v>
      </c>
      <c r="G4395" s="556" t="n">
        <v>302379</v>
      </c>
      <c r="I4395" s="521">
        <f>G4395</f>
        <v/>
      </c>
      <c r="K4395" s="521">
        <f>I4395-G4395</f>
        <v/>
      </c>
      <c r="M4395" s="522" t="inlineStr">
        <is>
          <t>TI20220950</t>
        </is>
      </c>
      <c r="N4395" s="522" t="inlineStr">
        <is>
          <t>TI20220950</t>
        </is>
      </c>
      <c r="O4395" s="521">
        <f>M4395=N4395</f>
        <v/>
      </c>
      <c r="P4395" s="521">
        <f>AND(MONTH(F4395)=MONTH(S4395), YEAR(F4395)=YEAR(S4395))</f>
        <v/>
      </c>
      <c r="Q4395" s="521">
        <f>U4395="L001-901905215"</f>
        <v/>
      </c>
      <c r="R4395" s="556">
        <f>G4395-W4395</f>
        <v/>
      </c>
      <c r="S4395" s="523" t="n">
        <v>44918</v>
      </c>
      <c r="T4395" s="522" t="inlineStr">
        <is>
          <t>TI2022-0950</t>
        </is>
      </c>
      <c r="U4395" s="522" t="inlineStr">
        <is>
          <t>L001-901905215</t>
        </is>
      </c>
      <c r="V4395" s="522" t="inlineStr">
        <is>
          <t>វីអ៊ីស៊ិន (ខេមបូឌា) អ៊ិនដាសស្ទ្រី ឯ.ក</t>
        </is>
      </c>
      <c r="W4395" s="556" t="n">
        <v>302379</v>
      </c>
    </row>
    <row r="4396">
      <c r="A4396" s="521" t="n">
        <v>4388</v>
      </c>
      <c r="B4396" s="522" t="inlineStr">
        <is>
          <t>Clearance &amp; Trucking Fee</t>
        </is>
      </c>
      <c r="C4396" s="522" t="inlineStr">
        <is>
          <t>56ប៊ី-លីង សឹបផ្លាយ ឆេន មេនេចម៉ិន ឯ.ក</t>
        </is>
      </c>
      <c r="D4396" s="522" t="inlineStr">
        <is>
          <t>K004-902004795</t>
        </is>
      </c>
      <c r="E4396" s="521" t="inlineStr">
        <is>
          <t>TI2022-0949</t>
        </is>
      </c>
      <c r="F4396" s="523" t="n">
        <v>44918</v>
      </c>
      <c r="G4396" s="556" t="n">
        <v>489566</v>
      </c>
      <c r="I4396" s="521">
        <f>G4396</f>
        <v/>
      </c>
      <c r="K4396" s="521">
        <f>I4396-G4396</f>
        <v/>
      </c>
      <c r="M4396" s="522" t="inlineStr">
        <is>
          <t>TI20220949</t>
        </is>
      </c>
      <c r="N4396" s="522" t="inlineStr">
        <is>
          <t>TI20220949</t>
        </is>
      </c>
      <c r="O4396" s="521">
        <f>M4396=N4396</f>
        <v/>
      </c>
      <c r="P4396" s="521">
        <f>AND(MONTH(F4396)=MONTH(S4396), YEAR(F4396)=YEAR(S4396))</f>
        <v/>
      </c>
      <c r="Q4396" s="521">
        <f>U4396="L001-901905215"</f>
        <v/>
      </c>
      <c r="R4396" s="556">
        <f>G4396-W4396</f>
        <v/>
      </c>
      <c r="S4396" s="523" t="n">
        <v>44918</v>
      </c>
      <c r="T4396" s="522" t="inlineStr">
        <is>
          <t>TI2022-0949</t>
        </is>
      </c>
      <c r="U4396" s="522" t="inlineStr">
        <is>
          <t>L001-901905215</t>
        </is>
      </c>
      <c r="V4396" s="522" t="inlineStr">
        <is>
          <t>វីអ៊ីស៊ិន (ខេមបូឌា) អ៊ិនដាសស្ទ្រី ឯ.ក</t>
        </is>
      </c>
      <c r="W4396" s="556" t="n">
        <v>489566</v>
      </c>
    </row>
    <row r="4397">
      <c r="A4397" s="521" t="n">
        <v>4389</v>
      </c>
      <c r="B4397" s="522" t="inlineStr">
        <is>
          <t>Clearance &amp; Trucking Fee</t>
        </is>
      </c>
      <c r="C4397" s="522" t="inlineStr">
        <is>
          <t>56ប៊ី-លីង សឹបផ្លាយ ឆេន មេនេចម៉ិន ឯ.ក</t>
        </is>
      </c>
      <c r="D4397" s="522" t="inlineStr">
        <is>
          <t>K004-902004795</t>
        </is>
      </c>
      <c r="E4397" s="521" t="inlineStr">
        <is>
          <t>TI2022-0947</t>
        </is>
      </c>
      <c r="F4397" s="523" t="n">
        <v>44918</v>
      </c>
      <c r="G4397" s="556" t="n">
        <v>211871</v>
      </c>
      <c r="I4397" s="521">
        <f>G4397</f>
        <v/>
      </c>
      <c r="K4397" s="521">
        <f>I4397-G4397</f>
        <v/>
      </c>
      <c r="M4397" s="522" t="inlineStr">
        <is>
          <t>TI20220947</t>
        </is>
      </c>
      <c r="N4397" s="522" t="inlineStr">
        <is>
          <t>TI20220947</t>
        </is>
      </c>
      <c r="O4397" s="521">
        <f>M4397=N4397</f>
        <v/>
      </c>
      <c r="P4397" s="521">
        <f>AND(MONTH(F4397)=MONTH(S4397), YEAR(F4397)=YEAR(S4397))</f>
        <v/>
      </c>
      <c r="Q4397" s="521">
        <f>U4397="L001-901905215"</f>
        <v/>
      </c>
      <c r="R4397" s="556">
        <f>G4397-W4397</f>
        <v/>
      </c>
      <c r="S4397" s="523" t="n">
        <v>44918</v>
      </c>
      <c r="T4397" s="522" t="inlineStr">
        <is>
          <t>TI2022-0947</t>
        </is>
      </c>
      <c r="U4397" s="522" t="inlineStr">
        <is>
          <t>L001-901905215</t>
        </is>
      </c>
      <c r="V4397" s="522" t="inlineStr">
        <is>
          <t>វីអ៊ីស៊ិន (ខេមបូឌា) អ៊ិនដាសស្ទ្រី ឯ.ក</t>
        </is>
      </c>
      <c r="W4397" s="556" t="n">
        <v>211871</v>
      </c>
    </row>
    <row r="4398">
      <c r="A4398" s="521" t="n">
        <v>4390</v>
      </c>
      <c r="B4398" s="522" t="inlineStr">
        <is>
          <t>Clearance &amp; Trucking Fee</t>
        </is>
      </c>
      <c r="C4398" s="522" t="inlineStr">
        <is>
          <t>56ប៊ី-លីង សឹបផ្លាយ ឆេន មេនេចម៉ិន ឯ.ក</t>
        </is>
      </c>
      <c r="D4398" s="522" t="inlineStr">
        <is>
          <t>K004-902004795</t>
        </is>
      </c>
      <c r="E4398" s="521" t="inlineStr">
        <is>
          <t>TI2022-0945</t>
        </is>
      </c>
      <c r="F4398" s="523" t="n">
        <v>44909</v>
      </c>
      <c r="G4398" s="556" t="n">
        <v>211665</v>
      </c>
      <c r="I4398" s="521">
        <f>G4398</f>
        <v/>
      </c>
      <c r="K4398" s="521">
        <f>I4398-G4398</f>
        <v/>
      </c>
      <c r="M4398" s="522" t="inlineStr">
        <is>
          <t>TI20220945</t>
        </is>
      </c>
      <c r="N4398" s="522" t="inlineStr">
        <is>
          <t>TI20220945</t>
        </is>
      </c>
      <c r="O4398" s="521">
        <f>M4398=N4398</f>
        <v/>
      </c>
      <c r="P4398" s="521">
        <f>AND(MONTH(F4398)=MONTH(S4398), YEAR(F4398)=YEAR(S4398))</f>
        <v/>
      </c>
      <c r="Q4398" s="521">
        <f>U4398="L001-901905215"</f>
        <v/>
      </c>
      <c r="R4398" s="556">
        <f>G4398-W4398</f>
        <v/>
      </c>
      <c r="S4398" s="523" t="n">
        <v>44909</v>
      </c>
      <c r="T4398" s="522" t="inlineStr">
        <is>
          <t>TI2022-0945</t>
        </is>
      </c>
      <c r="U4398" s="522" t="inlineStr">
        <is>
          <t>L001-901905215</t>
        </is>
      </c>
      <c r="V4398" s="522" t="inlineStr">
        <is>
          <t>វីអ៊ីស៊ិន (ខេមបូឌា) អ៊ិនដាសស្ទ្រី ឯ.ក</t>
        </is>
      </c>
      <c r="W4398" s="556" t="n">
        <v>211665</v>
      </c>
    </row>
    <row r="4399">
      <c r="A4399" s="521" t="n">
        <v>4391</v>
      </c>
      <c r="B4399" s="522" t="inlineStr">
        <is>
          <t>Clearance &amp; Trucking Fee</t>
        </is>
      </c>
      <c r="C4399" s="522" t="inlineStr">
        <is>
          <t>56ប៊ី-លីង សឹបផ្លាយ ឆេន មេនេចម៉ិន ឯ.ក</t>
        </is>
      </c>
      <c r="D4399" s="522" t="inlineStr">
        <is>
          <t>K004-902004795</t>
        </is>
      </c>
      <c r="E4399" s="521" t="inlineStr">
        <is>
          <t>TI2022-0944</t>
        </is>
      </c>
      <c r="F4399" s="523" t="n">
        <v>44909</v>
      </c>
      <c r="G4399" s="556" t="n">
        <v>273315</v>
      </c>
      <c r="I4399" s="521">
        <f>G4399</f>
        <v/>
      </c>
      <c r="K4399" s="521">
        <f>I4399-G4399</f>
        <v/>
      </c>
      <c r="M4399" s="522" t="inlineStr">
        <is>
          <t>TI20220944</t>
        </is>
      </c>
      <c r="N4399" s="522" t="inlineStr">
        <is>
          <t>TI20220944</t>
        </is>
      </c>
      <c r="O4399" s="521">
        <f>M4399=N4399</f>
        <v/>
      </c>
      <c r="P4399" s="521">
        <f>AND(MONTH(F4399)=MONTH(S4399), YEAR(F4399)=YEAR(S4399))</f>
        <v/>
      </c>
      <c r="Q4399" s="521">
        <f>U4399="L001-901905215"</f>
        <v/>
      </c>
      <c r="R4399" s="556">
        <f>G4399-W4399</f>
        <v/>
      </c>
      <c r="S4399" s="523" t="n">
        <v>44909</v>
      </c>
      <c r="T4399" s="522" t="inlineStr">
        <is>
          <t>TI2022-0944</t>
        </is>
      </c>
      <c r="U4399" s="522" t="inlineStr">
        <is>
          <t>L001-901905215</t>
        </is>
      </c>
      <c r="V4399" s="522" t="inlineStr">
        <is>
          <t>វីអ៊ីស៊ិន (ខេមបូឌា) អ៊ិនដាសស្ទ្រី ឯ.ក</t>
        </is>
      </c>
      <c r="W4399" s="556" t="n">
        <v>273315</v>
      </c>
    </row>
    <row r="4400">
      <c r="A4400" s="521" t="n">
        <v>4392</v>
      </c>
      <c r="B4400" s="522" t="inlineStr">
        <is>
          <t>Clearance &amp; Trucking Fee</t>
        </is>
      </c>
      <c r="C4400" s="522" t="inlineStr">
        <is>
          <t>56ប៊ី-លីង សឹបផ្លាយ ឆេន មេនេចម៉ិន ឯ.ក</t>
        </is>
      </c>
      <c r="D4400" s="522" t="inlineStr">
        <is>
          <t>K004-902004795</t>
        </is>
      </c>
      <c r="E4400" s="521" t="inlineStr">
        <is>
          <t>TI2022-0943</t>
        </is>
      </c>
      <c r="F4400" s="523" t="n">
        <v>44909</v>
      </c>
      <c r="G4400" s="556" t="n">
        <v>489090</v>
      </c>
      <c r="I4400" s="521">
        <f>G4400</f>
        <v/>
      </c>
      <c r="K4400" s="521">
        <f>I4400-G4400</f>
        <v/>
      </c>
      <c r="M4400" s="522" t="inlineStr">
        <is>
          <t>TI20220943</t>
        </is>
      </c>
      <c r="N4400" s="522" t="inlineStr">
        <is>
          <t>TI20220943</t>
        </is>
      </c>
      <c r="O4400" s="521">
        <f>M4400=N4400</f>
        <v/>
      </c>
      <c r="P4400" s="521">
        <f>AND(MONTH(F4400)=MONTH(S4400), YEAR(F4400)=YEAR(S4400))</f>
        <v/>
      </c>
      <c r="Q4400" s="521">
        <f>U4400="L001-901905215"</f>
        <v/>
      </c>
      <c r="R4400" s="556">
        <f>G4400-W4400</f>
        <v/>
      </c>
      <c r="S4400" s="523" t="n">
        <v>44909</v>
      </c>
      <c r="T4400" s="522" t="inlineStr">
        <is>
          <t>TI2022-0943</t>
        </is>
      </c>
      <c r="U4400" s="522" t="inlineStr">
        <is>
          <t>L001-901905215</t>
        </is>
      </c>
      <c r="V4400" s="522" t="inlineStr">
        <is>
          <t>វីអ៊ីស៊ិន (ខេមបូឌា) អ៊ិនដាសស្ទ្រី ឯ.ក</t>
        </is>
      </c>
      <c r="W4400" s="556" t="n">
        <v>489090</v>
      </c>
    </row>
    <row r="4401">
      <c r="A4401" s="521" t="n">
        <v>4393</v>
      </c>
      <c r="B4401" s="522" t="inlineStr">
        <is>
          <t>Clearance &amp; Trucking Fee</t>
        </is>
      </c>
      <c r="C4401" s="522" t="inlineStr">
        <is>
          <t>56ប៊ី-លីង សឹបផ្លាយ ឆេន មេនេចម៉ិន ឯ.ក</t>
        </is>
      </c>
      <c r="D4401" s="522" t="inlineStr">
        <is>
          <t>K004-902004795</t>
        </is>
      </c>
      <c r="E4401" s="521" t="inlineStr">
        <is>
          <t>TI2022-0948</t>
        </is>
      </c>
      <c r="F4401" s="523" t="n">
        <v>44918</v>
      </c>
      <c r="G4401" s="556" t="n">
        <v>172788</v>
      </c>
      <c r="I4401" s="521">
        <f>G4401</f>
        <v/>
      </c>
      <c r="K4401" s="521">
        <f>I4401-G4401</f>
        <v/>
      </c>
      <c r="M4401" s="522" t="inlineStr">
        <is>
          <t>TI20220948</t>
        </is>
      </c>
      <c r="N4401" s="522" t="inlineStr">
        <is>
          <t>TI20220948</t>
        </is>
      </c>
      <c r="O4401" s="521">
        <f>M4401=N4401</f>
        <v/>
      </c>
      <c r="P4401" s="521">
        <f>AND(MONTH(F4401)=MONTH(S4401), YEAR(F4401)=YEAR(S4401))</f>
        <v/>
      </c>
      <c r="Q4401" s="521">
        <f>U4401="L001-901905215"</f>
        <v/>
      </c>
      <c r="R4401" s="556">
        <f>G4401-W4401</f>
        <v/>
      </c>
      <c r="S4401" s="523" t="n">
        <v>44918</v>
      </c>
      <c r="T4401" s="522" t="inlineStr">
        <is>
          <t>TI2022-0948</t>
        </is>
      </c>
      <c r="U4401" s="522" t="inlineStr">
        <is>
          <t>L001-901905215</t>
        </is>
      </c>
      <c r="V4401" s="522" t="inlineStr">
        <is>
          <t>វីអ៊ីស៊ិន (ខេមបូឌា) អ៊ិនដាសស្ទ្រី ឯ.ក</t>
        </is>
      </c>
      <c r="W4401" s="556" t="n">
        <v>172788</v>
      </c>
    </row>
    <row r="4402">
      <c r="A4402" s="521" t="n">
        <v>4394</v>
      </c>
      <c r="B4402" s="522" t="inlineStr">
        <is>
          <t>Clearance &amp; Trucking Fee</t>
        </is>
      </c>
      <c r="C4402" s="522" t="inlineStr">
        <is>
          <t>56ប៊ី-លីង សឹបផ្លាយ ឆេន មេនេចម៉ិន ឯ.ក</t>
        </is>
      </c>
      <c r="D4402" s="522" t="inlineStr">
        <is>
          <t>K004-902004795</t>
        </is>
      </c>
      <c r="E4402" s="521" t="inlineStr">
        <is>
          <t>TI2022-0927</t>
        </is>
      </c>
      <c r="F4402" s="523" t="n">
        <v>44909</v>
      </c>
      <c r="G4402" s="556" t="n">
        <v>273315</v>
      </c>
      <c r="I4402" s="521">
        <f>G4402</f>
        <v/>
      </c>
      <c r="K4402" s="521">
        <f>I4402-G4402</f>
        <v/>
      </c>
      <c r="M4402" s="522" t="inlineStr">
        <is>
          <t>TI20220927</t>
        </is>
      </c>
      <c r="N4402" s="522" t="inlineStr">
        <is>
          <t>TI20220927</t>
        </is>
      </c>
      <c r="O4402" s="521">
        <f>M4402=N4402</f>
        <v/>
      </c>
      <c r="P4402" s="521">
        <f>AND(MONTH(F4402)=MONTH(S4402), YEAR(F4402)=YEAR(S4402))</f>
        <v/>
      </c>
      <c r="Q4402" s="521">
        <f>U4402="L001-901905215"</f>
        <v/>
      </c>
      <c r="R4402" s="556">
        <f>G4402-W4402</f>
        <v/>
      </c>
      <c r="S4402" s="523" t="n">
        <v>44909</v>
      </c>
      <c r="T4402" s="522" t="inlineStr">
        <is>
          <t>TI2022-0927</t>
        </is>
      </c>
      <c r="U4402" s="522" t="inlineStr">
        <is>
          <t>L001-901905215</t>
        </is>
      </c>
      <c r="V4402" s="522" t="inlineStr">
        <is>
          <t>វីអ៊ីស៊ិន (ខេមបូឌា) អ៊ិនដាសស្ទ្រី ឯ.ក</t>
        </is>
      </c>
      <c r="W4402" s="556" t="n">
        <v>273315</v>
      </c>
    </row>
    <row r="4403">
      <c r="A4403" s="521" t="n">
        <v>4395</v>
      </c>
      <c r="B4403" s="522" t="inlineStr">
        <is>
          <t>Clearance &amp; Trucking Fee</t>
        </is>
      </c>
      <c r="C4403" s="522" t="inlineStr">
        <is>
          <t>56ប៊ី-លីង សឹបផ្លាយ ឆេន មេនេចម៉ិន ឯ.ក</t>
        </is>
      </c>
      <c r="D4403" s="522" t="inlineStr">
        <is>
          <t>K004-902004795</t>
        </is>
      </c>
      <c r="E4403" s="521" t="inlineStr">
        <is>
          <t>TI2022-0926</t>
        </is>
      </c>
      <c r="F4403" s="523" t="n">
        <v>44909</v>
      </c>
      <c r="G4403" s="556" t="n">
        <v>302085</v>
      </c>
      <c r="I4403" s="521">
        <f>G4403</f>
        <v/>
      </c>
      <c r="K4403" s="521">
        <f>I4403-G4403</f>
        <v/>
      </c>
      <c r="M4403" s="522" t="inlineStr">
        <is>
          <t>TI20220926</t>
        </is>
      </c>
      <c r="N4403" s="522" t="inlineStr">
        <is>
          <t>TI20220926</t>
        </is>
      </c>
      <c r="O4403" s="521">
        <f>M4403=N4403</f>
        <v/>
      </c>
      <c r="P4403" s="521">
        <f>AND(MONTH(F4403)=MONTH(S4403), YEAR(F4403)=YEAR(S4403))</f>
        <v/>
      </c>
      <c r="Q4403" s="521">
        <f>U4403="L001-901905215"</f>
        <v/>
      </c>
      <c r="R4403" s="556">
        <f>G4403-W4403</f>
        <v/>
      </c>
      <c r="S4403" s="523" t="n">
        <v>44909</v>
      </c>
      <c r="T4403" s="522" t="inlineStr">
        <is>
          <t>TI2022-0926</t>
        </is>
      </c>
      <c r="U4403" s="522" t="inlineStr">
        <is>
          <t>L001-901905215</t>
        </is>
      </c>
      <c r="V4403" s="522" t="inlineStr">
        <is>
          <t>វីអ៊ីស៊ិន (ខេមបូឌា) អ៊ិនដាសស្ទ្រី ឯ.ក</t>
        </is>
      </c>
      <c r="W4403" s="556" t="n">
        <v>302085</v>
      </c>
    </row>
    <row r="4404">
      <c r="A4404" s="521" t="n">
        <v>4396</v>
      </c>
      <c r="B4404" s="522" t="inlineStr">
        <is>
          <t>Clearance &amp; Trucking Fee</t>
        </is>
      </c>
      <c r="C4404" s="522" t="inlineStr">
        <is>
          <t>56ប៊ី-លីង សឹបផ្លាយ ឆេន មេនេចម៉ិន ឯ.ក</t>
        </is>
      </c>
      <c r="D4404" s="522" t="inlineStr">
        <is>
          <t>K004-902004795</t>
        </is>
      </c>
      <c r="E4404" s="521" t="inlineStr">
        <is>
          <t>TI2022-0925</t>
        </is>
      </c>
      <c r="F4404" s="523" t="n">
        <v>44909</v>
      </c>
      <c r="G4404" s="556" t="n">
        <v>211665</v>
      </c>
      <c r="I4404" s="521">
        <f>G4404</f>
        <v/>
      </c>
      <c r="K4404" s="521">
        <f>I4404-G4404</f>
        <v/>
      </c>
      <c r="M4404" s="522" t="inlineStr">
        <is>
          <t>TI20220925</t>
        </is>
      </c>
      <c r="N4404" s="522" t="inlineStr">
        <is>
          <t>TI20220925</t>
        </is>
      </c>
      <c r="O4404" s="521">
        <f>M4404=N4404</f>
        <v/>
      </c>
      <c r="P4404" s="521">
        <f>AND(MONTH(F4404)=MONTH(S4404), YEAR(F4404)=YEAR(S4404))</f>
        <v/>
      </c>
      <c r="Q4404" s="521">
        <f>U4404="L001-901905215"</f>
        <v/>
      </c>
      <c r="R4404" s="556">
        <f>G4404-W4404</f>
        <v/>
      </c>
      <c r="S4404" s="523" t="n">
        <v>44909</v>
      </c>
      <c r="T4404" s="522" t="inlineStr">
        <is>
          <t>TI2022-0925</t>
        </is>
      </c>
      <c r="U4404" s="522" t="inlineStr">
        <is>
          <t>L001-901905215</t>
        </is>
      </c>
      <c r="V4404" s="522" t="inlineStr">
        <is>
          <t>វីអ៊ីស៊ិន (ខេមបូឌា) អ៊ិនដាសស្ទ្រី ឯ.ក</t>
        </is>
      </c>
      <c r="W4404" s="556" t="n">
        <v>211665</v>
      </c>
    </row>
    <row r="4405">
      <c r="A4405" s="521" t="n">
        <v>4397</v>
      </c>
      <c r="B4405" s="522" t="inlineStr">
        <is>
          <t>Clearance &amp; Trucking Fee</t>
        </is>
      </c>
      <c r="C4405" s="522" t="inlineStr">
        <is>
          <t>56ប៊ី-លីង សឹបផ្លាយ ឆេន មេនេចម៉ិន ឯ.ក</t>
        </is>
      </c>
      <c r="D4405" s="522" t="inlineStr">
        <is>
          <t>K004-902004795</t>
        </is>
      </c>
      <c r="E4405" s="521" t="inlineStr">
        <is>
          <t>TI2022-0924</t>
        </is>
      </c>
      <c r="F4405" s="523" t="n">
        <v>44909</v>
      </c>
      <c r="G4405" s="556" t="n">
        <v>211665</v>
      </c>
      <c r="I4405" s="521">
        <f>G4405</f>
        <v/>
      </c>
      <c r="K4405" s="521">
        <f>I4405-G4405</f>
        <v/>
      </c>
      <c r="M4405" s="522" t="inlineStr">
        <is>
          <t>TI20220924</t>
        </is>
      </c>
      <c r="N4405" s="522" t="inlineStr">
        <is>
          <t>TI20220924</t>
        </is>
      </c>
      <c r="O4405" s="521">
        <f>M4405=N4405</f>
        <v/>
      </c>
      <c r="P4405" s="521">
        <f>AND(MONTH(F4405)=MONTH(S4405), YEAR(F4405)=YEAR(S4405))</f>
        <v/>
      </c>
      <c r="Q4405" s="521">
        <f>U4405="L001-901905215"</f>
        <v/>
      </c>
      <c r="R4405" s="556">
        <f>G4405-W4405</f>
        <v/>
      </c>
      <c r="S4405" s="523" t="n">
        <v>44909</v>
      </c>
      <c r="T4405" s="522" t="inlineStr">
        <is>
          <t>TI2022-0924</t>
        </is>
      </c>
      <c r="U4405" s="522" t="inlineStr">
        <is>
          <t>L001-901905215</t>
        </is>
      </c>
      <c r="V4405" s="522" t="inlineStr">
        <is>
          <t>វីអ៊ីស៊ិន (ខេមបូឌា) អ៊ិនដាសស្ទ្រី ឯ.ក</t>
        </is>
      </c>
      <c r="W4405" s="556" t="n">
        <v>211665</v>
      </c>
    </row>
    <row r="4406">
      <c r="A4406" s="521" t="n">
        <v>4398</v>
      </c>
      <c r="B4406" s="522" t="inlineStr">
        <is>
          <t>Clearance &amp; Trucking Fee</t>
        </is>
      </c>
      <c r="C4406" s="522" t="inlineStr">
        <is>
          <t>56ប៊ី-លីង សឹបផ្លាយ ឆេន មេនេចម៉ិន ឯ.ក</t>
        </is>
      </c>
      <c r="D4406" s="522" t="inlineStr">
        <is>
          <t>K004-902004795</t>
        </is>
      </c>
      <c r="E4406" s="521" t="inlineStr">
        <is>
          <t>TI2022-0923</t>
        </is>
      </c>
      <c r="F4406" s="523" t="n">
        <v>44909</v>
      </c>
      <c r="G4406" s="556" t="n">
        <v>365790</v>
      </c>
      <c r="I4406" s="521">
        <f>G4406</f>
        <v/>
      </c>
      <c r="K4406" s="521">
        <f>I4406-G4406</f>
        <v/>
      </c>
      <c r="M4406" s="522" t="inlineStr">
        <is>
          <t>TI20220923</t>
        </is>
      </c>
      <c r="N4406" s="522" t="inlineStr">
        <is>
          <t>TI20220923</t>
        </is>
      </c>
      <c r="O4406" s="521">
        <f>M4406=N4406</f>
        <v/>
      </c>
      <c r="P4406" s="521">
        <f>AND(MONTH(F4406)=MONTH(S4406), YEAR(F4406)=YEAR(S4406))</f>
        <v/>
      </c>
      <c r="Q4406" s="521">
        <f>U4406="L001-901905215"</f>
        <v/>
      </c>
      <c r="R4406" s="556">
        <f>G4406-W4406</f>
        <v/>
      </c>
      <c r="S4406" s="523" t="n">
        <v>44909</v>
      </c>
      <c r="T4406" s="522" t="inlineStr">
        <is>
          <t>TI2022-0923</t>
        </is>
      </c>
      <c r="U4406" s="522" t="inlineStr">
        <is>
          <t>L001-901905215</t>
        </is>
      </c>
      <c r="V4406" s="522" t="inlineStr">
        <is>
          <t>វីអ៊ីស៊ិន (ខេមបូឌា) អ៊ិនដាសស្ទ្រី ឯ.ក</t>
        </is>
      </c>
      <c r="W4406" s="556" t="n">
        <v>365790</v>
      </c>
    </row>
    <row r="4407">
      <c r="A4407" s="521" t="n">
        <v>4399</v>
      </c>
      <c r="B4407" s="522" t="inlineStr">
        <is>
          <t>Clearance &amp; Trucking Fee</t>
        </is>
      </c>
      <c r="C4407" s="522" t="inlineStr">
        <is>
          <t>56ប៊ី-លីង សឹបផ្លាយ ឆេន មេនេចម៉ិន ឯ.ក</t>
        </is>
      </c>
      <c r="D4407" s="522" t="inlineStr">
        <is>
          <t>K004-902004795</t>
        </is>
      </c>
      <c r="E4407" s="521" t="inlineStr">
        <is>
          <t>TI2022-0922</t>
        </is>
      </c>
      <c r="F4407" s="523" t="n">
        <v>44909</v>
      </c>
      <c r="G4407" s="556" t="n">
        <v>211665</v>
      </c>
      <c r="I4407" s="521">
        <f>G4407</f>
        <v/>
      </c>
      <c r="K4407" s="521">
        <f>I4407-G4407</f>
        <v/>
      </c>
      <c r="M4407" s="522" t="inlineStr">
        <is>
          <t>TI20220922</t>
        </is>
      </c>
      <c r="N4407" s="522" t="inlineStr">
        <is>
          <t>TI20220922</t>
        </is>
      </c>
      <c r="O4407" s="521">
        <f>M4407=N4407</f>
        <v/>
      </c>
      <c r="P4407" s="521">
        <f>AND(MONTH(F4407)=MONTH(S4407), YEAR(F4407)=YEAR(S4407))</f>
        <v/>
      </c>
      <c r="Q4407" s="521">
        <f>U4407="L001-901905215"</f>
        <v/>
      </c>
      <c r="R4407" s="556">
        <f>G4407-W4407</f>
        <v/>
      </c>
      <c r="S4407" s="523" t="n">
        <v>44909</v>
      </c>
      <c r="T4407" s="522" t="inlineStr">
        <is>
          <t>TI2022-0922</t>
        </is>
      </c>
      <c r="U4407" s="522" t="inlineStr">
        <is>
          <t>L001-901905215</t>
        </is>
      </c>
      <c r="V4407" s="522" t="inlineStr">
        <is>
          <t>វីអ៊ីស៊ិន (ខេមបូឌា) អ៊ិនដាសស្ទ្រី ឯ.ក</t>
        </is>
      </c>
      <c r="W4407" s="556" t="n">
        <v>211665</v>
      </c>
    </row>
    <row r="4408">
      <c r="A4408" s="521" t="n">
        <v>4400</v>
      </c>
      <c r="B4408" s="522" t="inlineStr">
        <is>
          <t>Clearance &amp; Trucking Fee</t>
        </is>
      </c>
      <c r="C4408" s="522" t="inlineStr">
        <is>
          <t>56ប៊ី-លីង សឹបផ្លាយ ឆេន មេនេចម៉ិន ឯ.ក</t>
        </is>
      </c>
      <c r="D4408" s="522" t="inlineStr">
        <is>
          <t>K004-902004795</t>
        </is>
      </c>
      <c r="E4408" s="521" t="inlineStr">
        <is>
          <t>TI2022-0921</t>
        </is>
      </c>
      <c r="F4408" s="523" t="n">
        <v>44900</v>
      </c>
      <c r="G4408" s="556" t="n">
        <v>195225</v>
      </c>
      <c r="I4408" s="521">
        <f>G4408</f>
        <v/>
      </c>
      <c r="K4408" s="521">
        <f>I4408-G4408</f>
        <v/>
      </c>
      <c r="M4408" s="522" t="inlineStr">
        <is>
          <t>TI20220921</t>
        </is>
      </c>
      <c r="N4408" s="522" t="inlineStr">
        <is>
          <t>TI20220921</t>
        </is>
      </c>
      <c r="O4408" s="521">
        <f>M4408=N4408</f>
        <v/>
      </c>
      <c r="P4408" s="521">
        <f>AND(MONTH(F4408)=MONTH(S4408), YEAR(F4408)=YEAR(S4408))</f>
        <v/>
      </c>
      <c r="Q4408" s="521">
        <f>U4408="L001-901905215"</f>
        <v/>
      </c>
      <c r="R4408" s="556">
        <f>G4408-W4408</f>
        <v/>
      </c>
      <c r="S4408" s="523" t="n">
        <v>44909</v>
      </c>
      <c r="T4408" s="522" t="inlineStr">
        <is>
          <t>TI2022-0921</t>
        </is>
      </c>
      <c r="U4408" s="522" t="inlineStr">
        <is>
          <t>L001-901905215</t>
        </is>
      </c>
      <c r="V4408" s="522" t="inlineStr">
        <is>
          <t>វីអ៊ីស៊ិន (ខេមបូឌា) អ៊ិនដាសស្ទ្រី ឯ.ក</t>
        </is>
      </c>
      <c r="W4408" s="556" t="n">
        <v>195225</v>
      </c>
    </row>
    <row r="4409">
      <c r="A4409" s="521" t="n">
        <v>4401</v>
      </c>
      <c r="B4409" s="522" t="inlineStr">
        <is>
          <t>Clearance &amp; Trucking Fee</t>
        </is>
      </c>
      <c r="C4409" s="522" t="inlineStr">
        <is>
          <t>56ប៊ី-លីង សឹបផ្លាយ ឆេន មេនេចម៉ិន ឯ.ក</t>
        </is>
      </c>
      <c r="D4409" s="522" t="inlineStr">
        <is>
          <t>K004-902004795</t>
        </is>
      </c>
      <c r="E4409" s="521" t="inlineStr">
        <is>
          <t>TI2022-0908</t>
        </is>
      </c>
      <c r="F4409" s="523" t="n">
        <v>44900</v>
      </c>
      <c r="G4409" s="556" t="n">
        <v>195130</v>
      </c>
      <c r="I4409" s="521">
        <f>G4409</f>
        <v/>
      </c>
      <c r="K4409" s="521">
        <f>I4409-G4409</f>
        <v/>
      </c>
      <c r="M4409" s="522" t="inlineStr">
        <is>
          <t>TI20220908</t>
        </is>
      </c>
      <c r="N4409" s="522" t="inlineStr">
        <is>
          <t>TI20220908</t>
        </is>
      </c>
      <c r="O4409" s="521">
        <f>M4409=N4409</f>
        <v/>
      </c>
      <c r="P4409" s="521">
        <f>AND(MONTH(F4409)=MONTH(S4409), YEAR(F4409)=YEAR(S4409))</f>
        <v/>
      </c>
      <c r="Q4409" s="521">
        <f>U4409="L001-901905215"</f>
        <v/>
      </c>
      <c r="R4409" s="556">
        <f>G4409-W4409</f>
        <v/>
      </c>
      <c r="S4409" s="523" t="n">
        <v>44900</v>
      </c>
      <c r="T4409" s="522" t="inlineStr">
        <is>
          <t>TI2022-0908</t>
        </is>
      </c>
      <c r="U4409" s="522" t="inlineStr">
        <is>
          <t>L001-901905215</t>
        </is>
      </c>
      <c r="V4409" s="522" t="inlineStr">
        <is>
          <t>វីអ៊ីស៊ិន (ខេមបូឌា) អ៊ិនដាសស្ទ្រី ឯ.ក</t>
        </is>
      </c>
      <c r="W4409" s="556" t="n">
        <v>195130</v>
      </c>
    </row>
    <row r="4410">
      <c r="A4410" s="521" t="n">
        <v>4402</v>
      </c>
      <c r="B4410" s="522" t="inlineStr">
        <is>
          <t>Clearance &amp; Trucking Fee</t>
        </is>
      </c>
      <c r="C4410" s="522" t="inlineStr">
        <is>
          <t>56ប៊ី-លីង សឹបផ្លាយ ឆេន មេនេចម៉ិន ឯ.ក</t>
        </is>
      </c>
      <c r="D4410" s="522" t="inlineStr">
        <is>
          <t>K004-902004795</t>
        </is>
      </c>
      <c r="E4410" s="521" t="inlineStr">
        <is>
          <t>TI2022-0905</t>
        </is>
      </c>
      <c r="F4410" s="523" t="n">
        <v>44900</v>
      </c>
      <c r="G4410" s="556" t="n">
        <v>186914</v>
      </c>
      <c r="I4410" s="521">
        <f>G4410</f>
        <v/>
      </c>
      <c r="K4410" s="521">
        <f>I4410-G4410</f>
        <v/>
      </c>
      <c r="M4410" s="522" t="inlineStr">
        <is>
          <t>TI20220905</t>
        </is>
      </c>
      <c r="N4410" s="522" t="inlineStr">
        <is>
          <t>TI20220905</t>
        </is>
      </c>
      <c r="O4410" s="521">
        <f>M4410=N4410</f>
        <v/>
      </c>
      <c r="P4410" s="521">
        <f>AND(MONTH(F4410)=MONTH(S4410), YEAR(F4410)=YEAR(S4410))</f>
        <v/>
      </c>
      <c r="Q4410" s="521">
        <f>U4410="L001-901905215"</f>
        <v/>
      </c>
      <c r="R4410" s="556">
        <f>G4410-W4410</f>
        <v/>
      </c>
      <c r="S4410" s="523" t="n">
        <v>44900</v>
      </c>
      <c r="T4410" s="522" t="inlineStr">
        <is>
          <t>TI2022-0905</t>
        </is>
      </c>
      <c r="U4410" s="522" t="inlineStr">
        <is>
          <t>L001-901905215</t>
        </is>
      </c>
      <c r="V4410" s="522" t="inlineStr">
        <is>
          <t>វីអ៊ីស៊ិន (ខេមបូឌា) អ៊ិនដាសស្ទ្រី ឯ.ក</t>
        </is>
      </c>
      <c r="W4410" s="556" t="n">
        <v>186914</v>
      </c>
    </row>
    <row r="4411">
      <c r="A4411" s="521" t="n">
        <v>4403</v>
      </c>
      <c r="B4411" s="522" t="inlineStr">
        <is>
          <t>Clearance &amp; Trucking Fee</t>
        </is>
      </c>
      <c r="C4411" s="522" t="inlineStr">
        <is>
          <t>56ប៊ី-លីង សឹបផ្លាយ ឆេន មេនេចម៉ិន ឯ.ក</t>
        </is>
      </c>
      <c r="D4411" s="522" t="inlineStr">
        <is>
          <t>K004-902004795</t>
        </is>
      </c>
      <c r="E4411" s="521" t="inlineStr">
        <is>
          <t>TI2022-0904</t>
        </is>
      </c>
      <c r="F4411" s="523" t="n">
        <v>44900</v>
      </c>
      <c r="G4411" s="556" t="n">
        <v>211562</v>
      </c>
      <c r="I4411" s="521">
        <f>G4411</f>
        <v/>
      </c>
      <c r="K4411" s="521">
        <f>I4411-G4411</f>
        <v/>
      </c>
      <c r="M4411" s="522" t="inlineStr">
        <is>
          <t>TI20220904</t>
        </is>
      </c>
      <c r="N4411" s="522" t="inlineStr">
        <is>
          <t>TI20220904</t>
        </is>
      </c>
      <c r="O4411" s="521">
        <f>M4411=N4411</f>
        <v/>
      </c>
      <c r="P4411" s="521">
        <f>AND(MONTH(F4411)=MONTH(S4411), YEAR(F4411)=YEAR(S4411))</f>
        <v/>
      </c>
      <c r="Q4411" s="521">
        <f>U4411="L001-901905215"</f>
        <v/>
      </c>
      <c r="R4411" s="556">
        <f>G4411-W4411</f>
        <v/>
      </c>
      <c r="S4411" s="523" t="n">
        <v>44900</v>
      </c>
      <c r="T4411" s="522" t="inlineStr">
        <is>
          <t>TI2022-0904</t>
        </is>
      </c>
      <c r="U4411" s="522" t="inlineStr">
        <is>
          <t>L001-901905215</t>
        </is>
      </c>
      <c r="V4411" s="522" t="inlineStr">
        <is>
          <t>វីអ៊ីស៊ិន (ខេមបូឌា) អ៊ិនដាសស្ទ្រី ឯ.ក</t>
        </is>
      </c>
      <c r="W4411" s="556" t="n">
        <v>211562</v>
      </c>
    </row>
    <row r="4412">
      <c r="A4412" s="521" t="n">
        <v>4404</v>
      </c>
      <c r="B4412" s="522" t="inlineStr">
        <is>
          <t>Clearance &amp; Trucking Fee</t>
        </is>
      </c>
      <c r="C4412" s="522" t="inlineStr">
        <is>
          <t>56ប៊ី-លីង សឹបផ្លាយ ឆេន មេនេចម៉ិន ឯ.ក</t>
        </is>
      </c>
      <c r="D4412" s="522" t="inlineStr">
        <is>
          <t>K004-902004795</t>
        </is>
      </c>
      <c r="E4412" s="521" t="inlineStr">
        <is>
          <t>TI2022-0903</t>
        </is>
      </c>
      <c r="F4412" s="523" t="n">
        <v>44900</v>
      </c>
      <c r="G4412" s="556" t="n">
        <v>301938</v>
      </c>
      <c r="I4412" s="521">
        <f>G4412</f>
        <v/>
      </c>
      <c r="K4412" s="521">
        <f>I4412-G4412</f>
        <v/>
      </c>
      <c r="M4412" s="522" t="inlineStr">
        <is>
          <t>TI20220903</t>
        </is>
      </c>
      <c r="N4412" s="522" t="inlineStr">
        <is>
          <t>TI20220903</t>
        </is>
      </c>
      <c r="O4412" s="521">
        <f>M4412=N4412</f>
        <v/>
      </c>
      <c r="P4412" s="521">
        <f>AND(MONTH(F4412)=MONTH(S4412), YEAR(F4412)=YEAR(S4412))</f>
        <v/>
      </c>
      <c r="Q4412" s="521">
        <f>U4412="L001-901905215"</f>
        <v/>
      </c>
      <c r="R4412" s="556">
        <f>G4412-W4412</f>
        <v/>
      </c>
      <c r="S4412" s="523" t="n">
        <v>44900</v>
      </c>
      <c r="T4412" s="522" t="inlineStr">
        <is>
          <t>TI2022-0903</t>
        </is>
      </c>
      <c r="U4412" s="522" t="inlineStr">
        <is>
          <t>L001-901905215</t>
        </is>
      </c>
      <c r="V4412" s="522" t="inlineStr">
        <is>
          <t>វីអ៊ីស៊ិន (ខេមបូឌា) អ៊ិនដាសស្ទ្រី ឯ.ក</t>
        </is>
      </c>
      <c r="W4412" s="556" t="n">
        <v>301938</v>
      </c>
    </row>
    <row r="4413">
      <c r="A4413" s="521" t="n">
        <v>4405</v>
      </c>
      <c r="B4413" s="522" t="inlineStr">
        <is>
          <t>Monthly Tax Declaration fee for Dec 2022 service</t>
        </is>
      </c>
      <c r="C4413" s="522" t="inlineStr">
        <is>
          <t>យីងកឺ ខេម ថេក អ៊ែតវ៉ាយហ្សឺរី ឯ.ក</t>
        </is>
      </c>
      <c r="D4413" s="522" t="inlineStr">
        <is>
          <t>K003-902005313</t>
        </is>
      </c>
      <c r="E4413" s="521" t="inlineStr">
        <is>
          <t>YKT22-287</t>
        </is>
      </c>
      <c r="F4413" s="523" t="n">
        <v>44896</v>
      </c>
      <c r="G4413" s="556" t="n">
        <v>575820</v>
      </c>
      <c r="I4413" s="521">
        <f>G4413</f>
        <v/>
      </c>
      <c r="K4413" s="521">
        <f>I4413-G4413</f>
        <v/>
      </c>
      <c r="M4413" s="522" t="inlineStr">
        <is>
          <t>YKT22287</t>
        </is>
      </c>
      <c r="N4413" s="522" t="inlineStr">
        <is>
          <t>YKT22287</t>
        </is>
      </c>
      <c r="O4413" s="521">
        <f>M4413=N4413</f>
        <v/>
      </c>
      <c r="P4413" s="521">
        <f>AND(MONTH(F4413)=MONTH(S4413), YEAR(F4413)=YEAR(S4413))</f>
        <v/>
      </c>
      <c r="Q4413" s="521">
        <f>U4413="L001-901905215"</f>
        <v/>
      </c>
      <c r="R4413" s="556">
        <f>G4413-W4413</f>
        <v/>
      </c>
      <c r="S4413" s="523" t="n">
        <v>44896</v>
      </c>
      <c r="T4413" s="522" t="inlineStr">
        <is>
          <t>YKT22-287</t>
        </is>
      </c>
      <c r="U4413" s="522" t="inlineStr">
        <is>
          <t>L001-901905215</t>
        </is>
      </c>
      <c r="V4413" s="522" t="inlineStr">
        <is>
          <t>វីអ៊ីស៊ិន (ខេមបូឌា) អ៊ិនដាសស្ទ្រី ឯ.ក</t>
        </is>
      </c>
      <c r="W4413" s="556" t="n">
        <v>575820</v>
      </c>
    </row>
    <row r="4414">
      <c r="A4414" s="521" t="n">
        <v>4406</v>
      </c>
      <c r="B4414" s="522" t="inlineStr">
        <is>
          <t>Cartons</t>
        </is>
      </c>
      <c r="C4414" s="522" t="inlineStr">
        <is>
          <t>យី មីង ភែកឃីជីង ឯ.ក</t>
        </is>
      </c>
      <c r="D4414" s="522" t="inlineStr">
        <is>
          <t>B108-902101335</t>
        </is>
      </c>
      <c r="E4414" s="521" t="inlineStr">
        <is>
          <t>YM-0042</t>
        </is>
      </c>
      <c r="F4414" s="523" t="n">
        <v>44926</v>
      </c>
      <c r="G4414" s="556" t="n">
        <v>4632317</v>
      </c>
      <c r="I4414" s="521">
        <f>G4414</f>
        <v/>
      </c>
      <c r="K4414" s="521">
        <f>I4414-G4414</f>
        <v/>
      </c>
      <c r="M4414" s="522" t="inlineStr">
        <is>
          <t>YM0042</t>
        </is>
      </c>
      <c r="N4414" s="522" t="inlineStr">
        <is>
          <t>YM0042</t>
        </is>
      </c>
      <c r="O4414" s="521">
        <f>M4414=N4414</f>
        <v/>
      </c>
      <c r="P4414" s="521">
        <f>AND(MONTH(F4414)=MONTH(S4414), YEAR(F4414)=YEAR(S4414))</f>
        <v/>
      </c>
      <c r="Q4414" s="521">
        <f>U4414="L001-901905215"</f>
        <v/>
      </c>
      <c r="R4414" s="556">
        <f>G4414-W4414</f>
        <v/>
      </c>
      <c r="S4414" s="523" t="n">
        <v>44925</v>
      </c>
      <c r="T4414" s="522" t="inlineStr">
        <is>
          <t>YM-0042</t>
        </is>
      </c>
      <c r="U4414" s="522" t="inlineStr">
        <is>
          <t>L001-901905215</t>
        </is>
      </c>
      <c r="V4414" s="522" t="inlineStr">
        <is>
          <t>វីអ៊ីស៊ិន (ខេមបូឌា) អ៊ិនដាសស្ទ្រី ឯ.ក</t>
        </is>
      </c>
      <c r="W4414" s="556" t="n">
        <v>4632317</v>
      </c>
    </row>
    <row r="4415">
      <c r="A4415" s="521" t="n">
        <v>4407</v>
      </c>
      <c r="B4415" s="522" t="inlineStr">
        <is>
          <t>Paper Label</t>
        </is>
      </c>
      <c r="C4415" s="522" t="inlineStr">
        <is>
          <t>ស៊ីន ហ្វី យ៉ាង ព្រីនធីង &amp; អិកសេសសឺរី ឯ.ក</t>
        </is>
      </c>
      <c r="D4415" s="522" t="inlineStr">
        <is>
          <t>K010-901906822</t>
        </is>
      </c>
      <c r="E4415" s="521" t="inlineStr">
        <is>
          <t>XFY-YD20220194</t>
        </is>
      </c>
      <c r="F4415" s="523" t="n">
        <v>44926</v>
      </c>
      <c r="G4415" s="556" t="n">
        <v>1082335</v>
      </c>
      <c r="I4415" s="521">
        <f>G4415</f>
        <v/>
      </c>
      <c r="K4415" s="521">
        <f>I4415-G4415</f>
        <v/>
      </c>
      <c r="M4415" s="522" t="inlineStr">
        <is>
          <t>XFYYD20220194</t>
        </is>
      </c>
      <c r="N4415" s="522" t="inlineStr">
        <is>
          <t>XFYYD20220194</t>
        </is>
      </c>
      <c r="O4415" s="521">
        <f>M4415=N4415</f>
        <v/>
      </c>
      <c r="P4415" s="521">
        <f>AND(MONTH(F4415)=MONTH(S4415), YEAR(F4415)=YEAR(S4415))</f>
        <v/>
      </c>
      <c r="Q4415" s="521">
        <f>U4415="L001-901905215"</f>
        <v/>
      </c>
      <c r="R4415" s="556">
        <f>G4415-W4415</f>
        <v/>
      </c>
      <c r="S4415" s="523" t="n">
        <v>44926</v>
      </c>
      <c r="T4415" s="522" t="inlineStr">
        <is>
          <t>XFY-YD20220194</t>
        </is>
      </c>
      <c r="U4415" s="522" t="inlineStr">
        <is>
          <t>L001-901905215</t>
        </is>
      </c>
      <c r="V4415" s="522" t="inlineStr">
        <is>
          <t>វីអ៊ីស៊ិន (ខេមបូឌា) អ៊ិនដាសស្ទ្រី ឯ.ក</t>
        </is>
      </c>
      <c r="W4415" s="556" t="n">
        <v>1082335</v>
      </c>
    </row>
    <row r="4416">
      <c r="A4416" s="521" t="n">
        <v>4408</v>
      </c>
      <c r="B4416" s="522" t="inlineStr">
        <is>
          <t>Poly Bag</t>
        </is>
      </c>
      <c r="C4416" s="522" t="inlineStr">
        <is>
          <t>ហុង ហ៊ីង ភែកឃីជីង មេធៀរៀល ឯ.ក</t>
        </is>
      </c>
      <c r="D4416" s="522" t="inlineStr">
        <is>
          <t>L001-901900945</t>
        </is>
      </c>
      <c r="E4416" s="521" t="inlineStr">
        <is>
          <t>T2022-000339</t>
        </is>
      </c>
      <c r="F4416" s="523" t="n">
        <v>44925</v>
      </c>
      <c r="G4416" s="556" t="n">
        <v>702334</v>
      </c>
      <c r="I4416" s="521">
        <f>G4416</f>
        <v/>
      </c>
      <c r="K4416" s="521">
        <f>I4416-G4416</f>
        <v/>
      </c>
      <c r="M4416" s="522" t="inlineStr">
        <is>
          <t>T2022000339</t>
        </is>
      </c>
      <c r="N4416" s="522" t="inlineStr">
        <is>
          <t>T2022000339</t>
        </is>
      </c>
      <c r="O4416" s="521">
        <f>M4416=N4416</f>
        <v/>
      </c>
      <c r="P4416" s="521">
        <f>AND(MONTH(F4416)=MONTH(S4416), YEAR(F4416)=YEAR(S4416))</f>
        <v/>
      </c>
      <c r="Q4416" s="521">
        <f>U4416="L001-901905215"</f>
        <v/>
      </c>
      <c r="R4416" s="556">
        <f>G4416-W4416</f>
        <v/>
      </c>
      <c r="S4416" s="523" t="n">
        <v>44925</v>
      </c>
      <c r="T4416" s="522" t="inlineStr">
        <is>
          <t>T2022-000339</t>
        </is>
      </c>
      <c r="U4416" s="522" t="inlineStr">
        <is>
          <t>L001-901905215</t>
        </is>
      </c>
      <c r="V4416" s="522" t="inlineStr">
        <is>
          <t>វីអ៊ីស៊ិន (ខេមបូឌា) អ៊ិនដាសស្ទ្រី ឯ.ក</t>
        </is>
      </c>
      <c r="W4416" s="556" t="n">
        <v>702334</v>
      </c>
    </row>
    <row r="4417">
      <c r="A4417" s="521" t="n">
        <v>4409</v>
      </c>
      <c r="B4417" s="522" t="inlineStr">
        <is>
          <t>Poly Bag</t>
        </is>
      </c>
      <c r="C4417" s="522" t="inlineStr">
        <is>
          <t>ហុង ហ៊ីង ភែកឃីជីង មេធៀរៀល ឯ.ក</t>
        </is>
      </c>
      <c r="D4417" s="522" t="inlineStr">
        <is>
          <t>L001-901900945</t>
        </is>
      </c>
      <c r="E4417" s="521" t="inlineStr">
        <is>
          <t>T2022-000326</t>
        </is>
      </c>
      <c r="F4417" s="523" t="n">
        <v>44925</v>
      </c>
      <c r="G4417" s="556" t="n">
        <v>1190611</v>
      </c>
      <c r="I4417" s="521">
        <f>G4417</f>
        <v/>
      </c>
      <c r="K4417" s="521">
        <f>I4417-G4417</f>
        <v/>
      </c>
      <c r="M4417" s="522" t="inlineStr">
        <is>
          <t>T2022000326</t>
        </is>
      </c>
      <c r="N4417" s="522" t="inlineStr">
        <is>
          <t>T2022000326</t>
        </is>
      </c>
      <c r="O4417" s="521">
        <f>M4417=N4417</f>
        <v/>
      </c>
      <c r="P4417" s="521">
        <f>AND(MONTH(F4417)=MONTH(S4417), YEAR(F4417)=YEAR(S4417))</f>
        <v/>
      </c>
      <c r="Q4417" s="521">
        <f>U4417="L001-901905215"</f>
        <v/>
      </c>
      <c r="R4417" s="556">
        <f>G4417-W4417</f>
        <v/>
      </c>
      <c r="S4417" s="523" t="n">
        <v>44925</v>
      </c>
      <c r="T4417" s="522" t="inlineStr">
        <is>
          <t>T2022-000326</t>
        </is>
      </c>
      <c r="U4417" s="522" t="inlineStr">
        <is>
          <t>L001-901905215</t>
        </is>
      </c>
      <c r="V4417" s="522" t="inlineStr">
        <is>
          <t>វីអ៊ីស៊ិន (ខេមបូឌា) អ៊ិនដាសស្ទ្រី ឯ.ក</t>
        </is>
      </c>
      <c r="W4417" s="556" t="n">
        <v>1190611</v>
      </c>
    </row>
    <row r="4418">
      <c r="A4418" s="521" t="n">
        <v>4410</v>
      </c>
      <c r="B4418" s="522" t="inlineStr">
        <is>
          <t>Inspection Service Fee</t>
        </is>
      </c>
      <c r="C4418" s="522" t="inlineStr">
        <is>
          <t>ប្យួរ៉ូ វេរីតាស (ខេមបូឌា) លីមីធីត</t>
        </is>
      </c>
      <c r="D4418" s="522" t="inlineStr">
        <is>
          <t>L001-107024462</t>
        </is>
      </c>
      <c r="E4418" s="521" t="inlineStr">
        <is>
          <t>59014075</t>
        </is>
      </c>
      <c r="F4418" s="523" t="n">
        <v>44926</v>
      </c>
      <c r="G4418" s="556" t="n">
        <v>55767</v>
      </c>
      <c r="I4418" s="521">
        <f>G4418</f>
        <v/>
      </c>
      <c r="K4418" s="521">
        <f>I4418-G4418</f>
        <v/>
      </c>
      <c r="M4418" s="522" t="inlineStr">
        <is>
          <t>59014075</t>
        </is>
      </c>
      <c r="N4418" s="522" t="inlineStr">
        <is>
          <t>59014075</t>
        </is>
      </c>
      <c r="O4418" s="521">
        <f>M4418=N4418</f>
        <v/>
      </c>
      <c r="P4418" s="521">
        <f>AND(MONTH(F4418)=MONTH(S4418), YEAR(F4418)=YEAR(S4418))</f>
        <v/>
      </c>
      <c r="Q4418" s="521">
        <f>U4418="L001-901905215"</f>
        <v/>
      </c>
      <c r="R4418" s="556">
        <f>G4418-W4418</f>
        <v/>
      </c>
      <c r="S4418" s="523" t="n">
        <v>44926</v>
      </c>
      <c r="T4418" s="522" t="inlineStr">
        <is>
          <t>59014075</t>
        </is>
      </c>
      <c r="U4418" s="522" t="inlineStr">
        <is>
          <t>L001-901905215</t>
        </is>
      </c>
      <c r="V4418" s="522" t="inlineStr">
        <is>
          <t>វីអ៊ីស៊ិន (ខេមបូឌា) អ៊ិនដាសស្ទ្រី ឯ.ក</t>
        </is>
      </c>
      <c r="W4418" s="556" t="n">
        <v>55767</v>
      </c>
    </row>
    <row r="4419">
      <c r="A4419" s="521" t="n">
        <v>4411</v>
      </c>
      <c r="B4419" s="522" t="inlineStr">
        <is>
          <t>Inspection Service Fee</t>
        </is>
      </c>
      <c r="C4419" s="522" t="inlineStr">
        <is>
          <t>ប្យួរ៉ូ វេរីតាស (ខេមបូឌា) លីមីធីត</t>
        </is>
      </c>
      <c r="D4419" s="522" t="inlineStr">
        <is>
          <t>L001-107024462</t>
        </is>
      </c>
      <c r="E4419" s="521" t="inlineStr">
        <is>
          <t>59014056</t>
        </is>
      </c>
      <c r="F4419" s="523" t="n">
        <v>44925</v>
      </c>
      <c r="G4419" s="556" t="n">
        <v>111530</v>
      </c>
      <c r="I4419" s="521">
        <f>G4419</f>
        <v/>
      </c>
      <c r="K4419" s="521">
        <f>I4419-G4419</f>
        <v/>
      </c>
      <c r="M4419" s="522" t="inlineStr">
        <is>
          <t>59014056</t>
        </is>
      </c>
      <c r="N4419" s="522" t="inlineStr">
        <is>
          <t>59014056</t>
        </is>
      </c>
      <c r="O4419" s="521">
        <f>M4419=N4419</f>
        <v/>
      </c>
      <c r="P4419" s="521">
        <f>AND(MONTH(F4419)=MONTH(S4419), YEAR(F4419)=YEAR(S4419))</f>
        <v/>
      </c>
      <c r="Q4419" s="521">
        <f>U4419="L001-901905215"</f>
        <v/>
      </c>
      <c r="R4419" s="556">
        <f>G4419-W4419</f>
        <v/>
      </c>
      <c r="S4419" s="523" t="n">
        <v>44925</v>
      </c>
      <c r="T4419" s="522" t="inlineStr">
        <is>
          <t>59014056</t>
        </is>
      </c>
      <c r="U4419" s="522" t="inlineStr">
        <is>
          <t>L001-901905215</t>
        </is>
      </c>
      <c r="V4419" s="522" t="inlineStr">
        <is>
          <t>វីអ៊ីស៊ិន (ខេមបូឌា) អ៊ិនដាសស្ទ្រី ឯ.ក</t>
        </is>
      </c>
      <c r="W4419" s="556" t="n">
        <v>111530</v>
      </c>
    </row>
    <row r="4420">
      <c r="A4420" s="521" t="n">
        <v>4412</v>
      </c>
      <c r="B4420" s="522" t="inlineStr">
        <is>
          <t>Inspection Service Fee</t>
        </is>
      </c>
      <c r="C4420" s="522" t="inlineStr">
        <is>
          <t>ប្យួរ៉ូ វេរីតាស (ខេមបូឌា) លីមីធីត</t>
        </is>
      </c>
      <c r="D4420" s="522" t="inlineStr">
        <is>
          <t>L001-107024462</t>
        </is>
      </c>
      <c r="E4420" s="521" t="inlineStr">
        <is>
          <t>59014022</t>
        </is>
      </c>
      <c r="F4420" s="523" t="n">
        <v>44921</v>
      </c>
      <c r="G4420" s="556" t="n">
        <v>137183</v>
      </c>
      <c r="I4420" s="521">
        <f>G4420</f>
        <v/>
      </c>
      <c r="K4420" s="521">
        <f>I4420-G4420</f>
        <v/>
      </c>
      <c r="M4420" s="522" t="inlineStr">
        <is>
          <t>59014022</t>
        </is>
      </c>
      <c r="N4420" s="522" t="inlineStr"/>
      <c r="O4420" s="521">
        <f>M4420=N4420</f>
        <v/>
      </c>
      <c r="P4420" s="521">
        <f>AND(MONTH(F4420)=MONTH(S4420), YEAR(F4420)=YEAR(S4420))</f>
        <v/>
      </c>
      <c r="Q4420" s="521">
        <f>U4420="L001-901905215"</f>
        <v/>
      </c>
      <c r="R4420" s="556">
        <f>G4420-W4420</f>
        <v/>
      </c>
      <c r="S4420" s="521" t="n"/>
      <c r="T4420" s="522" t="n"/>
      <c r="U4420" s="522" t="n"/>
      <c r="V4420" s="522" t="n"/>
      <c r="W4420" s="521" t="n"/>
    </row>
    <row r="4421">
      <c r="A4421" s="521" t="n">
        <v>4413</v>
      </c>
      <c r="B4421" s="522" t="inlineStr">
        <is>
          <t>Inspection Service Fee</t>
        </is>
      </c>
      <c r="C4421" s="522" t="inlineStr">
        <is>
          <t>ប្យួរ៉ូ វេរីតាស (ខេមបូឌា) លីមីធីត</t>
        </is>
      </c>
      <c r="D4421" s="522" t="inlineStr">
        <is>
          <t>L001-107024462</t>
        </is>
      </c>
      <c r="E4421" s="521" t="inlineStr">
        <is>
          <t>59014003</t>
        </is>
      </c>
      <c r="F4421" s="523" t="n">
        <v>44918</v>
      </c>
      <c r="G4421" s="556" t="n">
        <v>55726</v>
      </c>
      <c r="I4421" s="521">
        <f>G4421</f>
        <v/>
      </c>
      <c r="K4421" s="521">
        <f>I4421-G4421</f>
        <v/>
      </c>
      <c r="M4421" s="522" t="inlineStr">
        <is>
          <t>59014003</t>
        </is>
      </c>
      <c r="N4421" s="522" t="inlineStr"/>
      <c r="O4421" s="521">
        <f>M4421=N4421</f>
        <v/>
      </c>
      <c r="P4421" s="521">
        <f>AND(MONTH(F4421)=MONTH(S4421), YEAR(F4421)=YEAR(S4421))</f>
        <v/>
      </c>
      <c r="Q4421" s="521">
        <f>U4421="L001-901905215"</f>
        <v/>
      </c>
      <c r="R4421" s="556">
        <f>G4421-W4421</f>
        <v/>
      </c>
      <c r="S4421" s="521" t="n"/>
      <c r="T4421" s="522" t="n"/>
      <c r="U4421" s="522" t="n"/>
      <c r="V4421" s="522" t="n"/>
      <c r="W4421" s="521" t="n"/>
    </row>
    <row r="4422">
      <c r="A4422" s="521" t="n">
        <v>4414</v>
      </c>
      <c r="B4422" s="522" t="inlineStr">
        <is>
          <t>Inspection Service Fee</t>
        </is>
      </c>
      <c r="C4422" s="522" t="inlineStr">
        <is>
          <t>ប្យួរ៉ូ វេរីតាស (ខេមបូឌា) លីមីធីត</t>
        </is>
      </c>
      <c r="D4422" s="522" t="inlineStr">
        <is>
          <t>L001-107024462</t>
        </is>
      </c>
      <c r="E4422" s="521" t="inlineStr">
        <is>
          <t>59014001</t>
        </is>
      </c>
      <c r="F4422" s="523" t="n">
        <v>44918</v>
      </c>
      <c r="G4422" s="556" t="n">
        <v>111448</v>
      </c>
      <c r="I4422" s="521">
        <f>G4422</f>
        <v/>
      </c>
      <c r="K4422" s="521">
        <f>I4422-G4422</f>
        <v/>
      </c>
      <c r="M4422" s="522" t="inlineStr">
        <is>
          <t>59014001</t>
        </is>
      </c>
      <c r="N4422" s="522" t="inlineStr"/>
      <c r="O4422" s="521">
        <f>M4422=N4422</f>
        <v/>
      </c>
      <c r="P4422" s="521">
        <f>AND(MONTH(F4422)=MONTH(S4422), YEAR(F4422)=YEAR(S4422))</f>
        <v/>
      </c>
      <c r="Q4422" s="521">
        <f>U4422="L001-901905215"</f>
        <v/>
      </c>
      <c r="R4422" s="556">
        <f>G4422-W4422</f>
        <v/>
      </c>
      <c r="S4422" s="521" t="n"/>
      <c r="T4422" s="522" t="n"/>
      <c r="U4422" s="522" t="n"/>
      <c r="V4422" s="522" t="n"/>
      <c r="W4422" s="521" t="n"/>
    </row>
    <row r="4423">
      <c r="A4423" s="521" t="n">
        <v>4415</v>
      </c>
      <c r="B4423" s="522" t="inlineStr">
        <is>
          <t>Inspection Service Fee</t>
        </is>
      </c>
      <c r="C4423" s="522" t="inlineStr">
        <is>
          <t>ប្យួរ៉ូ វេរីតាស (ខេមបូឌា) លីមីធីត</t>
        </is>
      </c>
      <c r="D4423" s="522" t="inlineStr">
        <is>
          <t>L001-107024462</t>
        </is>
      </c>
      <c r="E4423" s="521" t="inlineStr">
        <is>
          <t>59013970</t>
        </is>
      </c>
      <c r="F4423" s="523" t="n">
        <v>44914</v>
      </c>
      <c r="G4423" s="556" t="n">
        <v>111448</v>
      </c>
      <c r="I4423" s="521">
        <f>G4423</f>
        <v/>
      </c>
      <c r="K4423" s="521">
        <f>I4423-G4423</f>
        <v/>
      </c>
      <c r="M4423" s="522" t="inlineStr">
        <is>
          <t>59013970</t>
        </is>
      </c>
      <c r="N4423" s="522" t="inlineStr"/>
      <c r="O4423" s="521">
        <f>M4423=N4423</f>
        <v/>
      </c>
      <c r="P4423" s="521">
        <f>AND(MONTH(F4423)=MONTH(S4423), YEAR(F4423)=YEAR(S4423))</f>
        <v/>
      </c>
      <c r="Q4423" s="521">
        <f>U4423="L001-901905215"</f>
        <v/>
      </c>
      <c r="R4423" s="556">
        <f>G4423-W4423</f>
        <v/>
      </c>
      <c r="S4423" s="521" t="n"/>
      <c r="T4423" s="522" t="n"/>
      <c r="U4423" s="522" t="n"/>
      <c r="V4423" s="522" t="n"/>
      <c r="W4423" s="521" t="n"/>
    </row>
    <row r="4424">
      <c r="A4424" s="521" t="n">
        <v>4416</v>
      </c>
      <c r="B4424" s="522" t="inlineStr">
        <is>
          <t>Inspection Service Fee</t>
        </is>
      </c>
      <c r="C4424" s="522" t="inlineStr">
        <is>
          <t>ប្យួរ៉ូ វេរីតាស (ខេមបូឌា) លីមីធីត</t>
        </is>
      </c>
      <c r="D4424" s="522" t="inlineStr">
        <is>
          <t>L001-107024462</t>
        </is>
      </c>
      <c r="E4424" s="521" t="inlineStr">
        <is>
          <t>59013940</t>
        </is>
      </c>
      <c r="F4424" s="523" t="n">
        <v>44908</v>
      </c>
      <c r="G4424" s="556" t="n">
        <v>111367</v>
      </c>
      <c r="I4424" s="521">
        <f>G4424</f>
        <v/>
      </c>
      <c r="K4424" s="521">
        <f>I4424-G4424</f>
        <v/>
      </c>
      <c r="M4424" s="522" t="inlineStr">
        <is>
          <t>59013940</t>
        </is>
      </c>
      <c r="N4424" s="522" t="inlineStr"/>
      <c r="O4424" s="521">
        <f>M4424=N4424</f>
        <v/>
      </c>
      <c r="P4424" s="521">
        <f>AND(MONTH(F4424)=MONTH(S4424), YEAR(F4424)=YEAR(S4424))</f>
        <v/>
      </c>
      <c r="Q4424" s="521">
        <f>U4424="L001-901905215"</f>
        <v/>
      </c>
      <c r="R4424" s="556">
        <f>G4424-W4424</f>
        <v/>
      </c>
      <c r="S4424" s="521" t="n"/>
      <c r="T4424" s="522" t="n"/>
      <c r="U4424" s="522" t="n"/>
      <c r="V4424" s="522" t="n"/>
      <c r="W4424" s="521" t="n"/>
    </row>
    <row r="4425">
      <c r="A4425" s="521" t="n">
        <v>4417</v>
      </c>
      <c r="B4425" s="522" t="inlineStr">
        <is>
          <t>Inspection Service Fee</t>
        </is>
      </c>
      <c r="C4425" s="522" t="inlineStr">
        <is>
          <t>ប្យួរ៉ូ វេរីតាស (ខេមបូឌា) លីមីធីត</t>
        </is>
      </c>
      <c r="D4425" s="522" t="inlineStr">
        <is>
          <t>L001-107024462</t>
        </is>
      </c>
      <c r="E4425" s="521" t="inlineStr">
        <is>
          <t>59013883</t>
        </is>
      </c>
      <c r="F4425" s="523" t="n">
        <v>44897</v>
      </c>
      <c r="G4425" s="556" t="n">
        <v>166849</v>
      </c>
      <c r="I4425" s="521">
        <f>G4425</f>
        <v/>
      </c>
      <c r="K4425" s="521">
        <f>I4425-G4425</f>
        <v/>
      </c>
      <c r="M4425" s="522" t="inlineStr">
        <is>
          <t>59013883</t>
        </is>
      </c>
      <c r="N4425" s="522" t="inlineStr"/>
      <c r="O4425" s="521">
        <f>M4425=N4425</f>
        <v/>
      </c>
      <c r="P4425" s="521">
        <f>AND(MONTH(F4425)=MONTH(S4425), YEAR(F4425)=YEAR(S4425))</f>
        <v/>
      </c>
      <c r="Q4425" s="521">
        <f>U4425="L001-901905215"</f>
        <v/>
      </c>
      <c r="R4425" s="556">
        <f>G4425-W4425</f>
        <v/>
      </c>
      <c r="S4425" s="521" t="n"/>
      <c r="T4425" s="522" t="n"/>
      <c r="U4425" s="522" t="n"/>
      <c r="V4425" s="522" t="n"/>
      <c r="W4425" s="521" t="n"/>
    </row>
    <row r="4426">
      <c r="A4426" s="521" t="n">
        <v>4418</v>
      </c>
      <c r="B4426" s="522" t="inlineStr">
        <is>
          <t>Colors Box and Paper Card</t>
        </is>
      </c>
      <c r="C4426" s="522" t="inlineStr">
        <is>
          <t>វីង ចេង ភែកឃីជីង ឯ.ក</t>
        </is>
      </c>
      <c r="D4426" s="522" t="inlineStr">
        <is>
          <t>L001-902102915</t>
        </is>
      </c>
      <c r="E4426" s="521" t="inlineStr">
        <is>
          <t>TI0699</t>
        </is>
      </c>
      <c r="F4426" s="523" t="n">
        <v>44926</v>
      </c>
      <c r="G4426" s="556" t="n">
        <v>16185333</v>
      </c>
      <c r="I4426" s="521">
        <f>G4426</f>
        <v/>
      </c>
      <c r="K4426" s="521">
        <f>I4426-G4426</f>
        <v/>
      </c>
      <c r="M4426" s="522" t="inlineStr">
        <is>
          <t>TI0699</t>
        </is>
      </c>
      <c r="N4426" s="522" t="inlineStr">
        <is>
          <t>TI0699</t>
        </is>
      </c>
      <c r="O4426" s="521">
        <f>M4426=N4426</f>
        <v/>
      </c>
      <c r="P4426" s="521">
        <f>AND(MONTH(F4426)=MONTH(S4426), YEAR(F4426)=YEAR(S4426))</f>
        <v/>
      </c>
      <c r="Q4426" s="521">
        <f>U4426="L001-901905215"</f>
        <v/>
      </c>
      <c r="R4426" s="556">
        <f>G4426-W4426</f>
        <v/>
      </c>
      <c r="S4426" s="523" t="n">
        <v>44926</v>
      </c>
      <c r="T4426" s="522" t="inlineStr">
        <is>
          <t>TI0699</t>
        </is>
      </c>
      <c r="U4426" s="522" t="inlineStr">
        <is>
          <t>L001-901905215</t>
        </is>
      </c>
      <c r="V4426" s="522" t="inlineStr">
        <is>
          <t>វីអ៊ីស៊ិន (ខេមបូឌា) អ៊ិនដាសស្ទ្រី ឯ.ក</t>
        </is>
      </c>
      <c r="W4426" s="556" t="n">
        <v>16185338</v>
      </c>
    </row>
    <row r="4427">
      <c r="A4427" s="521" t="n">
        <v>4419</v>
      </c>
      <c r="B4427" s="522" t="inlineStr">
        <is>
          <t>Carton Paper</t>
        </is>
      </c>
      <c r="C4427" s="522" t="inlineStr">
        <is>
          <t>ស៊ីងហ្គាពួរ កាតុង (ខេមបូឌា)</t>
        </is>
      </c>
      <c r="D4427" s="522" t="inlineStr">
        <is>
          <t>L001-100121322</t>
        </is>
      </c>
      <c r="E4427" s="521" t="inlineStr">
        <is>
          <t>V0020449</t>
        </is>
      </c>
      <c r="F4427" s="523" t="n">
        <v>44914</v>
      </c>
      <c r="G4427" s="556" t="n">
        <v>504183</v>
      </c>
      <c r="I4427" s="521">
        <f>G4427</f>
        <v/>
      </c>
      <c r="K4427" s="521">
        <f>I4427-G4427</f>
        <v/>
      </c>
      <c r="M4427" s="522" t="inlineStr">
        <is>
          <t>V0020449</t>
        </is>
      </c>
      <c r="N4427" s="522" t="inlineStr">
        <is>
          <t>V0020449</t>
        </is>
      </c>
      <c r="O4427" s="521">
        <f>M4427=N4427</f>
        <v/>
      </c>
      <c r="P4427" s="521">
        <f>AND(MONTH(F4427)=MONTH(S4427), YEAR(F4427)=YEAR(S4427))</f>
        <v/>
      </c>
      <c r="Q4427" s="521">
        <f>U4427="L001-901905215"</f>
        <v/>
      </c>
      <c r="R4427" s="556">
        <f>G4427-W4427</f>
        <v/>
      </c>
      <c r="S4427" s="523" t="n">
        <v>44914</v>
      </c>
      <c r="T4427" s="522" t="inlineStr">
        <is>
          <t>V0020449</t>
        </is>
      </c>
      <c r="U4427" s="522" t="inlineStr">
        <is>
          <t>L001-901905215</t>
        </is>
      </c>
      <c r="V4427" s="522" t="inlineStr">
        <is>
          <t>វីអ៊ីស៊ិន (ខេមបូឌា) អ៊ិនដាសស្ទ្រី ឯ.ក</t>
        </is>
      </c>
      <c r="W4427" s="556" t="n">
        <v>504550</v>
      </c>
    </row>
    <row r="4428">
      <c r="A4428" s="521" t="n">
        <v>4420</v>
      </c>
      <c r="B4428" s="522" t="inlineStr">
        <is>
          <t>Carton Paper</t>
        </is>
      </c>
      <c r="C4428" s="522" t="inlineStr">
        <is>
          <t>ស៊ីងហ្គាពួរ កាតុង (ខេមបូឌា)</t>
        </is>
      </c>
      <c r="D4428" s="522" t="inlineStr">
        <is>
          <t>L001-100121322</t>
        </is>
      </c>
      <c r="E4428" s="521" t="inlineStr">
        <is>
          <t>V0020448</t>
        </is>
      </c>
      <c r="F4428" s="523" t="n">
        <v>44914</v>
      </c>
      <c r="G4428" s="556" t="n">
        <v>499851</v>
      </c>
      <c r="I4428" s="521">
        <f>G4428</f>
        <v/>
      </c>
      <c r="K4428" s="521">
        <f>I4428-G4428</f>
        <v/>
      </c>
      <c r="M4428" s="522" t="inlineStr">
        <is>
          <t>V0020448</t>
        </is>
      </c>
      <c r="N4428" s="522" t="inlineStr">
        <is>
          <t>V0020448</t>
        </is>
      </c>
      <c r="O4428" s="521">
        <f>M4428=N4428</f>
        <v/>
      </c>
      <c r="P4428" s="521">
        <f>AND(MONTH(F4428)=MONTH(S4428), YEAR(F4428)=YEAR(S4428))</f>
        <v/>
      </c>
      <c r="Q4428" s="521">
        <f>U4428="L001-901905215"</f>
        <v/>
      </c>
      <c r="R4428" s="556">
        <f>G4428-W4428</f>
        <v/>
      </c>
      <c r="S4428" s="523" t="n">
        <v>44914</v>
      </c>
      <c r="T4428" s="522" t="inlineStr">
        <is>
          <t>V0020448</t>
        </is>
      </c>
      <c r="U4428" s="522" t="inlineStr">
        <is>
          <t>L001-901905215</t>
        </is>
      </c>
      <c r="V4428" s="522" t="inlineStr">
        <is>
          <t>វីអ៊ីស៊ិន (ខេមបូឌា) អ៊ិនដាសស្ទ្រី ឯ.ក</t>
        </is>
      </c>
      <c r="W4428" s="556" t="n">
        <v>500216</v>
      </c>
    </row>
    <row r="4429">
      <c r="A4429" s="521" t="n">
        <v>4421</v>
      </c>
      <c r="B4429" s="522" t="inlineStr">
        <is>
          <t>Trucking Fee</t>
        </is>
      </c>
      <c r="C4429" s="522" t="inlineStr">
        <is>
          <t>ឆាយ ដា ឡូយីស្ទីក</t>
        </is>
      </c>
      <c r="D4429" s="522" t="inlineStr">
        <is>
          <t>L001-100063098</t>
        </is>
      </c>
      <c r="E4429" s="521" t="inlineStr">
        <is>
          <t>2212015146</t>
        </is>
      </c>
      <c r="F4429" s="523" t="n">
        <v>44921</v>
      </c>
      <c r="G4429" s="556" t="n">
        <v>90097</v>
      </c>
      <c r="I4429" s="521">
        <f>G4429</f>
        <v/>
      </c>
      <c r="K4429" s="521">
        <f>I4429-G4429</f>
        <v/>
      </c>
      <c r="M4429" s="522" t="inlineStr">
        <is>
          <t>2212015146</t>
        </is>
      </c>
      <c r="N4429" s="522" t="inlineStr">
        <is>
          <t>2212015146</t>
        </is>
      </c>
      <c r="O4429" s="521">
        <f>M4429=N4429</f>
        <v/>
      </c>
      <c r="P4429" s="521">
        <f>AND(MONTH(F4429)=MONTH(S4429), YEAR(F4429)=YEAR(S4429))</f>
        <v/>
      </c>
      <c r="Q4429" s="521">
        <f>U4429="L001-901905215"</f>
        <v/>
      </c>
      <c r="R4429" s="556">
        <f>G4429-W4429</f>
        <v/>
      </c>
      <c r="S4429" s="523" t="n">
        <v>44921</v>
      </c>
      <c r="T4429" s="522" t="inlineStr">
        <is>
          <t>2212015146</t>
        </is>
      </c>
      <c r="U4429" s="522" t="inlineStr">
        <is>
          <t>L001-901905215</t>
        </is>
      </c>
      <c r="V4429" s="522" t="inlineStr">
        <is>
          <t>វីអ៊ីស៊ិន (ខេមបូឌា) អ៊ិនដាសស្ទ្រី ឯ.ក</t>
        </is>
      </c>
      <c r="W4429" s="556" t="n">
        <v>90097</v>
      </c>
    </row>
    <row r="4430">
      <c r="A4430" s="521" t="n">
        <v>4422</v>
      </c>
      <c r="B4430" s="522" t="inlineStr">
        <is>
          <t>Trucking Fee</t>
        </is>
      </c>
      <c r="C4430" s="522" t="inlineStr">
        <is>
          <t>ឆាយ ដា ឡូយីស្ទីក</t>
        </is>
      </c>
      <c r="D4430" s="522" t="inlineStr">
        <is>
          <t>L001-100063098</t>
        </is>
      </c>
      <c r="E4430" s="521" t="inlineStr">
        <is>
          <t>2212015140</t>
        </is>
      </c>
      <c r="F4430" s="523" t="n">
        <v>44921</v>
      </c>
      <c r="G4430" s="556" t="n">
        <v>90097</v>
      </c>
      <c r="I4430" s="521">
        <f>G4430</f>
        <v/>
      </c>
      <c r="K4430" s="521">
        <f>I4430-G4430</f>
        <v/>
      </c>
      <c r="M4430" s="522" t="inlineStr">
        <is>
          <t>2212015140</t>
        </is>
      </c>
      <c r="N4430" s="522" t="inlineStr">
        <is>
          <t>2212015140</t>
        </is>
      </c>
      <c r="O4430" s="521">
        <f>M4430=N4430</f>
        <v/>
      </c>
      <c r="P4430" s="521">
        <f>AND(MONTH(F4430)=MONTH(S4430), YEAR(F4430)=YEAR(S4430))</f>
        <v/>
      </c>
      <c r="Q4430" s="521">
        <f>U4430="L001-901905215"</f>
        <v/>
      </c>
      <c r="R4430" s="556">
        <f>G4430-W4430</f>
        <v/>
      </c>
      <c r="S4430" s="523" t="n">
        <v>44921</v>
      </c>
      <c r="T4430" s="522" t="inlineStr">
        <is>
          <t>2212015140</t>
        </is>
      </c>
      <c r="U4430" s="522" t="inlineStr">
        <is>
          <t>L001-901905215</t>
        </is>
      </c>
      <c r="V4430" s="522" t="inlineStr">
        <is>
          <t>វីអ៊ីស៊ិន (ខេមបូឌា) អ៊ិនដាសស្ទ្រី ឯ.ក</t>
        </is>
      </c>
      <c r="W4430" s="556" t="n">
        <v>90097</v>
      </c>
    </row>
    <row r="4431">
      <c r="A4431" s="521" t="n">
        <v>4423</v>
      </c>
      <c r="B4431" s="522" t="inlineStr">
        <is>
          <t>Trucking Fee</t>
        </is>
      </c>
      <c r="C4431" s="522" t="inlineStr">
        <is>
          <t>ឆាយ ដា ឡូយីស្ទីក</t>
        </is>
      </c>
      <c r="D4431" s="522" t="inlineStr">
        <is>
          <t>L001-100063098</t>
        </is>
      </c>
      <c r="E4431" s="521" t="inlineStr">
        <is>
          <t>2212015139</t>
        </is>
      </c>
      <c r="F4431" s="523" t="n">
        <v>44921</v>
      </c>
      <c r="G4431" s="556" t="n">
        <v>90097</v>
      </c>
      <c r="I4431" s="521">
        <f>G4431</f>
        <v/>
      </c>
      <c r="K4431" s="521">
        <f>I4431-G4431</f>
        <v/>
      </c>
      <c r="M4431" s="522" t="inlineStr">
        <is>
          <t>2212015139</t>
        </is>
      </c>
      <c r="N4431" s="522" t="inlineStr">
        <is>
          <t>2212015139</t>
        </is>
      </c>
      <c r="O4431" s="521">
        <f>M4431=N4431</f>
        <v/>
      </c>
      <c r="P4431" s="521">
        <f>AND(MONTH(F4431)=MONTH(S4431), YEAR(F4431)=YEAR(S4431))</f>
        <v/>
      </c>
      <c r="Q4431" s="521">
        <f>U4431="L001-901905215"</f>
        <v/>
      </c>
      <c r="R4431" s="556">
        <f>G4431-W4431</f>
        <v/>
      </c>
      <c r="S4431" s="523" t="n">
        <v>44921</v>
      </c>
      <c r="T4431" s="522" t="inlineStr">
        <is>
          <t>2212015139</t>
        </is>
      </c>
      <c r="U4431" s="522" t="inlineStr">
        <is>
          <t>L001-901905215</t>
        </is>
      </c>
      <c r="V4431" s="522" t="inlineStr">
        <is>
          <t>វីអ៊ីស៊ិន (ខេមបូឌា) អ៊ិនដាសស្ទ្រី ឯ.ក</t>
        </is>
      </c>
      <c r="W4431" s="556" t="n">
        <v>90097</v>
      </c>
    </row>
    <row r="4432">
      <c r="A4432" s="521" t="n">
        <v>4424</v>
      </c>
      <c r="B4432" s="522" t="inlineStr">
        <is>
          <t>Trucking Fee</t>
        </is>
      </c>
      <c r="C4432" s="522" t="inlineStr">
        <is>
          <t>ឆាយ ដា ឡូយីស្ទីក</t>
        </is>
      </c>
      <c r="D4432" s="522" t="inlineStr">
        <is>
          <t>L001-100063098</t>
        </is>
      </c>
      <c r="E4432" s="521" t="inlineStr">
        <is>
          <t>2212015128</t>
        </is>
      </c>
      <c r="F4432" s="523" t="n">
        <v>44921</v>
      </c>
      <c r="G4432" s="556" t="n">
        <v>90097</v>
      </c>
      <c r="I4432" s="521">
        <f>G4432</f>
        <v/>
      </c>
      <c r="K4432" s="521">
        <f>I4432-G4432</f>
        <v/>
      </c>
      <c r="M4432" s="522" t="inlineStr">
        <is>
          <t>2212015128</t>
        </is>
      </c>
      <c r="N4432" s="522" t="inlineStr">
        <is>
          <t>2212015128</t>
        </is>
      </c>
      <c r="O4432" s="521">
        <f>M4432=N4432</f>
        <v/>
      </c>
      <c r="P4432" s="521">
        <f>AND(MONTH(F4432)=MONTH(S4432), YEAR(F4432)=YEAR(S4432))</f>
        <v/>
      </c>
      <c r="Q4432" s="521">
        <f>U4432="L001-901905215"</f>
        <v/>
      </c>
      <c r="R4432" s="556">
        <f>G4432-W4432</f>
        <v/>
      </c>
      <c r="S4432" s="523" t="n">
        <v>44921</v>
      </c>
      <c r="T4432" s="522" t="inlineStr">
        <is>
          <t>2212015128</t>
        </is>
      </c>
      <c r="U4432" s="522" t="inlineStr">
        <is>
          <t>L001-901905215</t>
        </is>
      </c>
      <c r="V4432" s="522" t="inlineStr">
        <is>
          <t>វីអ៊ីស៊ិន (ខេមបូឌា) អ៊ិនដាសស្ទ្រី ឯ.ក</t>
        </is>
      </c>
      <c r="W4432" s="556" t="n">
        <v>90097</v>
      </c>
    </row>
    <row r="4433">
      <c r="A4433" s="521" t="n">
        <v>4425</v>
      </c>
      <c r="B4433" s="522" t="inlineStr">
        <is>
          <t>Trucking Fee</t>
        </is>
      </c>
      <c r="C4433" s="522" t="inlineStr">
        <is>
          <t>ឆាយ ដា ឡូយីស្ទីក</t>
        </is>
      </c>
      <c r="D4433" s="522" t="inlineStr">
        <is>
          <t>L001-100063098</t>
        </is>
      </c>
      <c r="E4433" s="521" t="inlineStr">
        <is>
          <t>2212014917</t>
        </is>
      </c>
      <c r="F4433" s="523" t="n">
        <v>44915</v>
      </c>
      <c r="G4433" s="556" t="n">
        <v>12345</v>
      </c>
      <c r="I4433" s="521">
        <f>G4433</f>
        <v/>
      </c>
      <c r="K4433" s="521">
        <f>I4433-G4433</f>
        <v/>
      </c>
      <c r="M4433" s="522" t="inlineStr">
        <is>
          <t>2212014917</t>
        </is>
      </c>
      <c r="N4433" s="522" t="inlineStr">
        <is>
          <t>2212014917</t>
        </is>
      </c>
      <c r="O4433" s="521">
        <f>M4433=N4433</f>
        <v/>
      </c>
      <c r="P4433" s="521">
        <f>AND(MONTH(F4433)=MONTH(S4433), YEAR(F4433)=YEAR(S4433))</f>
        <v/>
      </c>
      <c r="Q4433" s="521">
        <f>U4433="L001-901905215"</f>
        <v/>
      </c>
      <c r="R4433" s="556">
        <f>G4433-W4433</f>
        <v/>
      </c>
      <c r="S4433" s="523" t="n">
        <v>44915</v>
      </c>
      <c r="T4433" s="522" t="inlineStr">
        <is>
          <t>2212014917</t>
        </is>
      </c>
      <c r="U4433" s="522" t="inlineStr">
        <is>
          <t>L001-901905215</t>
        </is>
      </c>
      <c r="V4433" s="522" t="inlineStr">
        <is>
          <t>វីអ៊ីស៊ិន (ខេមបូឌា) អ៊ិនដាសស្ទ្រី ឯ.ក</t>
        </is>
      </c>
      <c r="W4433" s="556" t="n">
        <v>12345</v>
      </c>
    </row>
    <row r="4434">
      <c r="A4434" s="521" t="n">
        <v>4426</v>
      </c>
      <c r="B4434" s="522" t="inlineStr">
        <is>
          <t>Trucking Fee</t>
        </is>
      </c>
      <c r="C4434" s="522" t="inlineStr">
        <is>
          <t>ឆាយ ដា ឡូយីស្ទីក</t>
        </is>
      </c>
      <c r="D4434" s="522" t="inlineStr">
        <is>
          <t>L001-100063098</t>
        </is>
      </c>
      <c r="E4434" s="521" t="inlineStr">
        <is>
          <t>2212014876</t>
        </is>
      </c>
      <c r="F4434" s="523" t="n">
        <v>44914</v>
      </c>
      <c r="G4434" s="556" t="n">
        <v>90097</v>
      </c>
      <c r="I4434" s="521">
        <f>G4434</f>
        <v/>
      </c>
      <c r="K4434" s="521">
        <f>I4434-G4434</f>
        <v/>
      </c>
      <c r="M4434" s="522" t="inlineStr">
        <is>
          <t>2212014876</t>
        </is>
      </c>
      <c r="N4434" s="522" t="inlineStr">
        <is>
          <t>2212014876</t>
        </is>
      </c>
      <c r="O4434" s="521">
        <f>M4434=N4434</f>
        <v/>
      </c>
      <c r="P4434" s="521">
        <f>AND(MONTH(F4434)=MONTH(S4434), YEAR(F4434)=YEAR(S4434))</f>
        <v/>
      </c>
      <c r="Q4434" s="521">
        <f>U4434="L001-901905215"</f>
        <v/>
      </c>
      <c r="R4434" s="556">
        <f>G4434-W4434</f>
        <v/>
      </c>
      <c r="S4434" s="523" t="n">
        <v>44914</v>
      </c>
      <c r="T4434" s="522" t="inlineStr">
        <is>
          <t>2212014876</t>
        </is>
      </c>
      <c r="U4434" s="522" t="inlineStr">
        <is>
          <t>L001-901905215</t>
        </is>
      </c>
      <c r="V4434" s="522" t="inlineStr">
        <is>
          <t>វីអ៊ីស៊ិន (ខេមបូឌា) អ៊ិនដាសស្ទ្រី ឯ.ក</t>
        </is>
      </c>
      <c r="W4434" s="556" t="n">
        <v>90097</v>
      </c>
    </row>
    <row r="4435">
      <c r="A4435" s="521" t="n">
        <v>4427</v>
      </c>
      <c r="B4435" s="522" t="inlineStr">
        <is>
          <t>Trucking Fee</t>
        </is>
      </c>
      <c r="C4435" s="522" t="inlineStr">
        <is>
          <t>ឆាយ ដា ឡូយីស្ទីក</t>
        </is>
      </c>
      <c r="D4435" s="522" t="inlineStr">
        <is>
          <t>L001-100063098</t>
        </is>
      </c>
      <c r="E4435" s="521" t="inlineStr">
        <is>
          <t>2212014853</t>
        </is>
      </c>
      <c r="F4435" s="523" t="n">
        <v>44914</v>
      </c>
      <c r="G4435" s="556" t="n">
        <v>90097</v>
      </c>
      <c r="I4435" s="521">
        <f>G4435</f>
        <v/>
      </c>
      <c r="K4435" s="521">
        <f>I4435-G4435</f>
        <v/>
      </c>
      <c r="M4435" s="522" t="inlineStr">
        <is>
          <t>2212014853</t>
        </is>
      </c>
      <c r="N4435" s="522" t="inlineStr">
        <is>
          <t>2212014853</t>
        </is>
      </c>
      <c r="O4435" s="521">
        <f>M4435=N4435</f>
        <v/>
      </c>
      <c r="P4435" s="521">
        <f>AND(MONTH(F4435)=MONTH(S4435), YEAR(F4435)=YEAR(S4435))</f>
        <v/>
      </c>
      <c r="Q4435" s="521">
        <f>U4435="L001-901905215"</f>
        <v/>
      </c>
      <c r="R4435" s="556">
        <f>G4435-W4435</f>
        <v/>
      </c>
      <c r="S4435" s="523" t="n">
        <v>44914</v>
      </c>
      <c r="T4435" s="522" t="inlineStr">
        <is>
          <t>2212014853</t>
        </is>
      </c>
      <c r="U4435" s="522" t="inlineStr">
        <is>
          <t>L001-901905215</t>
        </is>
      </c>
      <c r="V4435" s="522" t="inlineStr">
        <is>
          <t>វីអ៊ីស៊ិន (ខេមបូឌា) អ៊ិនដាសស្ទ្រី ឯ.ក</t>
        </is>
      </c>
      <c r="W4435" s="556" t="n">
        <v>90097</v>
      </c>
    </row>
    <row r="4436">
      <c r="A4436" s="521" t="n">
        <v>4428</v>
      </c>
      <c r="B4436" s="522" t="inlineStr">
        <is>
          <t>Trucking Fee</t>
        </is>
      </c>
      <c r="C4436" s="522" t="inlineStr">
        <is>
          <t>ឆាយ ដា ឡូយីស្ទីក</t>
        </is>
      </c>
      <c r="D4436" s="522" t="inlineStr">
        <is>
          <t>L001-100063098</t>
        </is>
      </c>
      <c r="E4436" s="521" t="inlineStr">
        <is>
          <t>2212014870</t>
        </is>
      </c>
      <c r="F4436" s="523" t="n">
        <v>44914</v>
      </c>
      <c r="G4436" s="556" t="n">
        <v>90097</v>
      </c>
      <c r="I4436" s="521">
        <f>G4436</f>
        <v/>
      </c>
      <c r="K4436" s="521">
        <f>I4436-G4436</f>
        <v/>
      </c>
      <c r="M4436" s="522" t="inlineStr">
        <is>
          <t>2212014870</t>
        </is>
      </c>
      <c r="N4436" s="522" t="inlineStr">
        <is>
          <t>2212014870</t>
        </is>
      </c>
      <c r="O4436" s="521">
        <f>M4436=N4436</f>
        <v/>
      </c>
      <c r="P4436" s="521">
        <f>AND(MONTH(F4436)=MONTH(S4436), YEAR(F4436)=YEAR(S4436))</f>
        <v/>
      </c>
      <c r="Q4436" s="521">
        <f>U4436="L001-901905215"</f>
        <v/>
      </c>
      <c r="R4436" s="556">
        <f>G4436-W4436</f>
        <v/>
      </c>
      <c r="S4436" s="523" t="n">
        <v>44914</v>
      </c>
      <c r="T4436" s="522" t="inlineStr">
        <is>
          <t>2212014870</t>
        </is>
      </c>
      <c r="U4436" s="522" t="inlineStr">
        <is>
          <t>L001-901905215</t>
        </is>
      </c>
      <c r="V4436" s="522" t="inlineStr">
        <is>
          <t>វីអ៊ីស៊ិន (ខេមបូឌា) អ៊ិនដាសស្ទ្រី ឯ.ក</t>
        </is>
      </c>
      <c r="W4436" s="556" t="n">
        <v>90097</v>
      </c>
    </row>
    <row r="4437">
      <c r="A4437" s="521" t="n">
        <v>4429</v>
      </c>
      <c r="B4437" s="522" t="inlineStr">
        <is>
          <t>Trucking Fee</t>
        </is>
      </c>
      <c r="C4437" s="522" t="inlineStr">
        <is>
          <t>ឆាយ ដា ឡូយីស្ទីក</t>
        </is>
      </c>
      <c r="D4437" s="522" t="inlineStr">
        <is>
          <t>L001-100063098</t>
        </is>
      </c>
      <c r="E4437" s="521" t="inlineStr">
        <is>
          <t>2212014585</t>
        </is>
      </c>
      <c r="F4437" s="523" t="n">
        <v>44907</v>
      </c>
      <c r="G4437" s="556" t="n">
        <v>90250</v>
      </c>
      <c r="I4437" s="521">
        <f>G4437</f>
        <v/>
      </c>
      <c r="K4437" s="521">
        <f>I4437-G4437</f>
        <v/>
      </c>
      <c r="M4437" s="522" t="inlineStr">
        <is>
          <t>2212014585</t>
        </is>
      </c>
      <c r="N4437" s="522" t="inlineStr">
        <is>
          <t>2212014585</t>
        </is>
      </c>
      <c r="O4437" s="521">
        <f>M4437=N4437</f>
        <v/>
      </c>
      <c r="P4437" s="521">
        <f>AND(MONTH(F4437)=MONTH(S4437), YEAR(F4437)=YEAR(S4437))</f>
        <v/>
      </c>
      <c r="Q4437" s="521">
        <f>U4437="L001-901905215"</f>
        <v/>
      </c>
      <c r="R4437" s="556">
        <f>G4437-W4437</f>
        <v/>
      </c>
      <c r="S4437" s="523" t="n">
        <v>44907</v>
      </c>
      <c r="T4437" s="522" t="inlineStr">
        <is>
          <t>2212014585</t>
        </is>
      </c>
      <c r="U4437" s="522" t="inlineStr">
        <is>
          <t>L001-901905215</t>
        </is>
      </c>
      <c r="V4437" s="522" t="inlineStr">
        <is>
          <t>វីអ៊ីស៊ិន (ខេមបូឌា) អ៊ិនដាសស្ទ្រី ឯ.ក</t>
        </is>
      </c>
      <c r="W4437" s="556" t="n">
        <v>90250</v>
      </c>
    </row>
    <row r="4438">
      <c r="A4438" s="521" t="n">
        <v>4430</v>
      </c>
      <c r="B4438" s="522" t="inlineStr">
        <is>
          <t>Trucking Fee</t>
        </is>
      </c>
      <c r="C4438" s="522" t="inlineStr">
        <is>
          <t>ឆាយ ដា ឡូយីស្ទីក</t>
        </is>
      </c>
      <c r="D4438" s="522" t="inlineStr">
        <is>
          <t>L001-100063098</t>
        </is>
      </c>
      <c r="E4438" s="521" t="inlineStr">
        <is>
          <t>2212014579</t>
        </is>
      </c>
      <c r="F4438" s="523" t="n">
        <v>44907</v>
      </c>
      <c r="G4438" s="556" t="n">
        <v>90250</v>
      </c>
      <c r="I4438" s="521">
        <f>G4438</f>
        <v/>
      </c>
      <c r="K4438" s="521">
        <f>I4438-G4438</f>
        <v/>
      </c>
      <c r="M4438" s="522" t="inlineStr">
        <is>
          <t>2212014579</t>
        </is>
      </c>
      <c r="N4438" s="522" t="inlineStr">
        <is>
          <t>2212014579</t>
        </is>
      </c>
      <c r="O4438" s="521">
        <f>M4438=N4438</f>
        <v/>
      </c>
      <c r="P4438" s="521">
        <f>AND(MONTH(F4438)=MONTH(S4438), YEAR(F4438)=YEAR(S4438))</f>
        <v/>
      </c>
      <c r="Q4438" s="521">
        <f>U4438="L001-901905215"</f>
        <v/>
      </c>
      <c r="R4438" s="556">
        <f>G4438-W4438</f>
        <v/>
      </c>
      <c r="S4438" s="523" t="n">
        <v>44907</v>
      </c>
      <c r="T4438" s="522" t="inlineStr">
        <is>
          <t>2212014579</t>
        </is>
      </c>
      <c r="U4438" s="522" t="inlineStr">
        <is>
          <t>L001-901905215</t>
        </is>
      </c>
      <c r="V4438" s="522" t="inlineStr">
        <is>
          <t>វីអ៊ីស៊ិន (ខេមបូឌា) អ៊ិនដាសស្ទ្រី ឯ.ក</t>
        </is>
      </c>
      <c r="W4438" s="556" t="n">
        <v>90250</v>
      </c>
    </row>
    <row r="4439">
      <c r="A4439" s="521" t="n">
        <v>4431</v>
      </c>
      <c r="B4439" s="522" t="inlineStr">
        <is>
          <t>Trucking Fee</t>
        </is>
      </c>
      <c r="C4439" s="522" t="inlineStr">
        <is>
          <t>ឆាយ ដា ឡូយីស្ទីក</t>
        </is>
      </c>
      <c r="D4439" s="522" t="inlineStr">
        <is>
          <t>L001-100063098</t>
        </is>
      </c>
      <c r="E4439" s="521" t="inlineStr">
        <is>
          <t>2212014565</t>
        </is>
      </c>
      <c r="F4439" s="523" t="n">
        <v>44907</v>
      </c>
      <c r="G4439" s="556" t="n">
        <v>90250</v>
      </c>
      <c r="I4439" s="521">
        <f>G4439</f>
        <v/>
      </c>
      <c r="K4439" s="521">
        <f>I4439-G4439</f>
        <v/>
      </c>
      <c r="M4439" s="522" t="inlineStr">
        <is>
          <t>2212014565</t>
        </is>
      </c>
      <c r="N4439" s="522" t="inlineStr">
        <is>
          <t>2212014565</t>
        </is>
      </c>
      <c r="O4439" s="521">
        <f>M4439=N4439</f>
        <v/>
      </c>
      <c r="P4439" s="521">
        <f>AND(MONTH(F4439)=MONTH(S4439), YEAR(F4439)=YEAR(S4439))</f>
        <v/>
      </c>
      <c r="Q4439" s="521">
        <f>U4439="L001-901905215"</f>
        <v/>
      </c>
      <c r="R4439" s="556">
        <f>G4439-W4439</f>
        <v/>
      </c>
      <c r="S4439" s="523" t="n">
        <v>44907</v>
      </c>
      <c r="T4439" s="522" t="inlineStr">
        <is>
          <t>2212014565</t>
        </is>
      </c>
      <c r="U4439" s="522" t="inlineStr">
        <is>
          <t>L001-901905215</t>
        </is>
      </c>
      <c r="V4439" s="522" t="inlineStr">
        <is>
          <t>វីអ៊ីស៊ិន (ខេមបូឌា) អ៊ិនដាសស្ទ្រី ឯ.ក</t>
        </is>
      </c>
      <c r="W4439" s="556" t="n">
        <v>90250</v>
      </c>
    </row>
    <row r="4440">
      <c r="A4440" s="521" t="n">
        <v>4432</v>
      </c>
      <c r="B4440" s="522" t="inlineStr">
        <is>
          <t>Trucking Fee</t>
        </is>
      </c>
      <c r="C4440" s="522" t="inlineStr">
        <is>
          <t>ឆាយ ដា ឡូយីស្ទីក</t>
        </is>
      </c>
      <c r="D4440" s="522" t="inlineStr">
        <is>
          <t>L001-100063098</t>
        </is>
      </c>
      <c r="E4440" s="521" t="inlineStr">
        <is>
          <t>2212014562</t>
        </is>
      </c>
      <c r="F4440" s="523" t="n">
        <v>44907</v>
      </c>
      <c r="G4440" s="556" t="n">
        <v>90250</v>
      </c>
      <c r="I4440" s="521">
        <f>G4440</f>
        <v/>
      </c>
      <c r="K4440" s="521">
        <f>I4440-G4440</f>
        <v/>
      </c>
      <c r="M4440" s="522" t="inlineStr">
        <is>
          <t>2212014562</t>
        </is>
      </c>
      <c r="N4440" s="522" t="inlineStr">
        <is>
          <t>2212014562</t>
        </is>
      </c>
      <c r="O4440" s="521">
        <f>M4440=N4440</f>
        <v/>
      </c>
      <c r="P4440" s="521">
        <f>AND(MONTH(F4440)=MONTH(S4440), YEAR(F4440)=YEAR(S4440))</f>
        <v/>
      </c>
      <c r="Q4440" s="521">
        <f>U4440="L001-901905215"</f>
        <v/>
      </c>
      <c r="R4440" s="556">
        <f>G4440-W4440</f>
        <v/>
      </c>
      <c r="S4440" s="523" t="n">
        <v>44907</v>
      </c>
      <c r="T4440" s="522" t="inlineStr">
        <is>
          <t>2212014562</t>
        </is>
      </c>
      <c r="U4440" s="522" t="inlineStr">
        <is>
          <t>L001-901905215</t>
        </is>
      </c>
      <c r="V4440" s="522" t="inlineStr">
        <is>
          <t>វីអ៊ីស៊ិន (ខេមបូឌា) អ៊ិនដាសស្ទ្រី ឯ.ក</t>
        </is>
      </c>
      <c r="W4440" s="556" t="n">
        <v>90250</v>
      </c>
    </row>
    <row r="4441">
      <c r="A4441" s="521" t="n">
        <v>4433</v>
      </c>
      <c r="B4441" s="522" t="inlineStr">
        <is>
          <t>Trucking Fee</t>
        </is>
      </c>
      <c r="C4441" s="522" t="inlineStr">
        <is>
          <t>ឆាយ ដា ឡូយីស្ទីក</t>
        </is>
      </c>
      <c r="D4441" s="522" t="inlineStr">
        <is>
          <t>L001-100063098</t>
        </is>
      </c>
      <c r="E4441" s="521" t="inlineStr">
        <is>
          <t>2212014559</t>
        </is>
      </c>
      <c r="F4441" s="523" t="n">
        <v>44917</v>
      </c>
      <c r="G4441" s="556" t="n">
        <v>90250</v>
      </c>
      <c r="I4441" s="521">
        <f>G4441</f>
        <v/>
      </c>
      <c r="K4441" s="521">
        <f>I4441-G4441</f>
        <v/>
      </c>
      <c r="M4441" s="522" t="inlineStr">
        <is>
          <t>2212014559</t>
        </is>
      </c>
      <c r="N4441" s="522" t="inlineStr">
        <is>
          <t>2212014559</t>
        </is>
      </c>
      <c r="O4441" s="521">
        <f>M4441=N4441</f>
        <v/>
      </c>
      <c r="P4441" s="521">
        <f>AND(MONTH(F4441)=MONTH(S4441), YEAR(F4441)=YEAR(S4441))</f>
        <v/>
      </c>
      <c r="Q4441" s="521">
        <f>U4441="L001-901905215"</f>
        <v/>
      </c>
      <c r="R4441" s="556">
        <f>G4441-W4441</f>
        <v/>
      </c>
      <c r="S4441" s="523" t="n">
        <v>44907</v>
      </c>
      <c r="T4441" s="522" t="inlineStr">
        <is>
          <t>2212014559</t>
        </is>
      </c>
      <c r="U4441" s="522" t="inlineStr">
        <is>
          <t>L001-901905215</t>
        </is>
      </c>
      <c r="V4441" s="522" t="inlineStr">
        <is>
          <t>វីអ៊ីស៊ិន (ខេមបូឌា) អ៊ិនដាសស្ទ្រី ឯ.ក</t>
        </is>
      </c>
      <c r="W4441" s="556" t="n">
        <v>90250</v>
      </c>
    </row>
    <row r="4442">
      <c r="A4442" s="521" t="n">
        <v>4434</v>
      </c>
      <c r="B4442" s="522" t="inlineStr">
        <is>
          <t>Trucking Fee</t>
        </is>
      </c>
      <c r="C4442" s="522" t="inlineStr">
        <is>
          <t>ឆាយ ដា ឡូយីស្ទីក</t>
        </is>
      </c>
      <c r="D4442" s="522" t="inlineStr">
        <is>
          <t>L001-100063098</t>
        </is>
      </c>
      <c r="E4442" s="521" t="inlineStr">
        <is>
          <t>2212015183</t>
        </is>
      </c>
      <c r="F4442" s="523" t="n">
        <v>44922</v>
      </c>
      <c r="G4442" s="556" t="n">
        <v>18513</v>
      </c>
      <c r="I4442" s="521">
        <f>G4442</f>
        <v/>
      </c>
      <c r="K4442" s="521">
        <f>I4442-G4442</f>
        <v/>
      </c>
      <c r="M4442" s="522" t="inlineStr">
        <is>
          <t>2212015183</t>
        </is>
      </c>
      <c r="N4442" s="522" t="inlineStr">
        <is>
          <t>2212015183</t>
        </is>
      </c>
      <c r="O4442" s="521">
        <f>M4442=N4442</f>
        <v/>
      </c>
      <c r="P4442" s="521">
        <f>AND(MONTH(F4442)=MONTH(S4442), YEAR(F4442)=YEAR(S4442))</f>
        <v/>
      </c>
      <c r="Q4442" s="521">
        <f>U4442="L001-901905215"</f>
        <v/>
      </c>
      <c r="R4442" s="556">
        <f>G4442-W4442</f>
        <v/>
      </c>
      <c r="S4442" s="523" t="n">
        <v>44922</v>
      </c>
      <c r="T4442" s="522" t="inlineStr">
        <is>
          <t>2212015183</t>
        </is>
      </c>
      <c r="U4442" s="522" t="inlineStr">
        <is>
          <t>L001-901905215</t>
        </is>
      </c>
      <c r="V4442" s="522" t="inlineStr">
        <is>
          <t>វីអ៊ីស៊ិន (ខេមបូឌា) អ៊ិនដាសស្ទ្រី ឯ.ក</t>
        </is>
      </c>
      <c r="W4442" s="556" t="n">
        <v>18513</v>
      </c>
    </row>
    <row r="4443">
      <c r="A4443" s="521" t="n">
        <v>4435</v>
      </c>
      <c r="B4443" s="522" t="inlineStr">
        <is>
          <t>Trucking Fee</t>
        </is>
      </c>
      <c r="C4443" s="522" t="inlineStr">
        <is>
          <t>ឆាយ ដា ឡូយីស្ទីក</t>
        </is>
      </c>
      <c r="D4443" s="522" t="inlineStr">
        <is>
          <t>L001-100063098</t>
        </is>
      </c>
      <c r="E4443" s="521" t="inlineStr">
        <is>
          <t>2212014274</t>
        </is>
      </c>
      <c r="F4443" s="523" t="n">
        <v>44901</v>
      </c>
      <c r="G4443" s="556" t="n">
        <v>14417</v>
      </c>
      <c r="I4443" s="521">
        <f>G4443</f>
        <v/>
      </c>
      <c r="K4443" s="521">
        <f>I4443-G4443</f>
        <v/>
      </c>
      <c r="M4443" s="522" t="inlineStr">
        <is>
          <t>2212014274</t>
        </is>
      </c>
      <c r="N4443" s="522" t="inlineStr">
        <is>
          <t>2212014274</t>
        </is>
      </c>
      <c r="O4443" s="521">
        <f>M4443=N4443</f>
        <v/>
      </c>
      <c r="P4443" s="521">
        <f>AND(MONTH(F4443)=MONTH(S4443), YEAR(F4443)=YEAR(S4443))</f>
        <v/>
      </c>
      <c r="Q4443" s="521">
        <f>U4443="L001-901905215"</f>
        <v/>
      </c>
      <c r="R4443" s="556">
        <f>G4443-W4443</f>
        <v/>
      </c>
      <c r="S4443" s="523" t="n">
        <v>44901</v>
      </c>
      <c r="T4443" s="522" t="inlineStr">
        <is>
          <t>2212014274</t>
        </is>
      </c>
      <c r="U4443" s="522" t="inlineStr">
        <is>
          <t>L001-901905215</t>
        </is>
      </c>
      <c r="V4443" s="522" t="inlineStr">
        <is>
          <t>វីអ៊ីស៊ិន (ខេមបូឌា) អ៊ិនដាសស្ទ្រី ឯ.ក</t>
        </is>
      </c>
      <c r="W4443" s="556" t="n">
        <v>14417</v>
      </c>
    </row>
    <row r="4444">
      <c r="A4444" s="521" t="n">
        <v>4436</v>
      </c>
      <c r="B4444" s="522" t="inlineStr">
        <is>
          <t>Trucking Fee</t>
        </is>
      </c>
      <c r="C4444" s="522" t="inlineStr">
        <is>
          <t>ឆាយ ដា ឡូយីស្ទីក</t>
        </is>
      </c>
      <c r="D4444" s="522" t="inlineStr">
        <is>
          <t>L001-100063098</t>
        </is>
      </c>
      <c r="E4444" s="521" t="inlineStr">
        <is>
          <t>2212014252</t>
        </is>
      </c>
      <c r="F4444" s="523" t="n">
        <v>44900</v>
      </c>
      <c r="G4444" s="556" t="n">
        <v>89965</v>
      </c>
      <c r="I4444" s="521">
        <f>G4444</f>
        <v/>
      </c>
      <c r="K4444" s="521">
        <f>I4444-G4444</f>
        <v/>
      </c>
      <c r="M4444" s="522" t="inlineStr">
        <is>
          <t>2212014252</t>
        </is>
      </c>
      <c r="N4444" s="522" t="inlineStr">
        <is>
          <t>2212014252</t>
        </is>
      </c>
      <c r="O4444" s="521">
        <f>M4444=N4444</f>
        <v/>
      </c>
      <c r="P4444" s="521">
        <f>AND(MONTH(F4444)=MONTH(S4444), YEAR(F4444)=YEAR(S4444))</f>
        <v/>
      </c>
      <c r="Q4444" s="521">
        <f>U4444="L001-901905215"</f>
        <v/>
      </c>
      <c r="R4444" s="556">
        <f>G4444-W4444</f>
        <v/>
      </c>
      <c r="S4444" s="523" t="n">
        <v>44900</v>
      </c>
      <c r="T4444" s="522" t="inlineStr">
        <is>
          <t>2212014252</t>
        </is>
      </c>
      <c r="U4444" s="522" t="inlineStr">
        <is>
          <t>L001-901905215</t>
        </is>
      </c>
      <c r="V4444" s="522" t="inlineStr">
        <is>
          <t>វីអ៊ីស៊ិន (ខេមបូឌា) អ៊ិនដាសស្ទ្រី ឯ.ក</t>
        </is>
      </c>
      <c r="W4444" s="556" t="n">
        <v>89965</v>
      </c>
    </row>
    <row r="4445">
      <c r="A4445" s="521" t="n">
        <v>4437</v>
      </c>
      <c r="B4445" s="522" t="inlineStr">
        <is>
          <t>Trucking Fee</t>
        </is>
      </c>
      <c r="C4445" s="522" t="inlineStr">
        <is>
          <t>ឆាយ ដា ឡូយីស្ទីក</t>
        </is>
      </c>
      <c r="D4445" s="522" t="inlineStr">
        <is>
          <t>L001-100063098</t>
        </is>
      </c>
      <c r="E4445" s="521" t="inlineStr">
        <is>
          <t>2212014236</t>
        </is>
      </c>
      <c r="F4445" s="523" t="n">
        <v>44900</v>
      </c>
      <c r="G4445" s="556" t="n">
        <v>89965</v>
      </c>
      <c r="I4445" s="521">
        <f>G4445</f>
        <v/>
      </c>
      <c r="K4445" s="521">
        <f>I4445-G4445</f>
        <v/>
      </c>
      <c r="M4445" s="522" t="inlineStr">
        <is>
          <t>2212014236</t>
        </is>
      </c>
      <c r="N4445" s="522" t="inlineStr">
        <is>
          <t>2212014236</t>
        </is>
      </c>
      <c r="O4445" s="521">
        <f>M4445=N4445</f>
        <v/>
      </c>
      <c r="P4445" s="521">
        <f>AND(MONTH(F4445)=MONTH(S4445), YEAR(F4445)=YEAR(S4445))</f>
        <v/>
      </c>
      <c r="Q4445" s="521">
        <f>U4445="L001-901905215"</f>
        <v/>
      </c>
      <c r="R4445" s="556">
        <f>G4445-W4445</f>
        <v/>
      </c>
      <c r="S4445" s="523" t="n">
        <v>44900</v>
      </c>
      <c r="T4445" s="522" t="inlineStr">
        <is>
          <t>2212014236</t>
        </is>
      </c>
      <c r="U4445" s="522" t="inlineStr">
        <is>
          <t>L001-901905215</t>
        </is>
      </c>
      <c r="V4445" s="522" t="inlineStr">
        <is>
          <t>វីអ៊ីស៊ិន (ខេមបូឌា) អ៊ិនដាសស្ទ្រី ឯ.ក</t>
        </is>
      </c>
      <c r="W4445" s="556" t="n">
        <v>89965</v>
      </c>
    </row>
    <row r="4446">
      <c r="A4446" s="521" t="n">
        <v>4438</v>
      </c>
      <c r="B4446" s="522" t="inlineStr">
        <is>
          <t>Trucking Fee</t>
        </is>
      </c>
      <c r="C4446" s="522" t="inlineStr">
        <is>
          <t>ឆាយ ដា ឡូយីស្ទីក</t>
        </is>
      </c>
      <c r="D4446" s="522" t="inlineStr">
        <is>
          <t>L001-100063098</t>
        </is>
      </c>
      <c r="E4446" s="521" t="inlineStr">
        <is>
          <t>2212014230</t>
        </is>
      </c>
      <c r="F4446" s="523" t="n">
        <v>44900</v>
      </c>
      <c r="G4446" s="556" t="n">
        <v>89965</v>
      </c>
      <c r="I4446" s="521">
        <f>G4446</f>
        <v/>
      </c>
      <c r="K4446" s="521">
        <f>I4446-G4446</f>
        <v/>
      </c>
      <c r="M4446" s="522" t="inlineStr">
        <is>
          <t>2212014230</t>
        </is>
      </c>
      <c r="N4446" s="522" t="inlineStr">
        <is>
          <t>2212014230</t>
        </is>
      </c>
      <c r="O4446" s="521">
        <f>M4446=N4446</f>
        <v/>
      </c>
      <c r="P4446" s="521">
        <f>AND(MONTH(F4446)=MONTH(S4446), YEAR(F4446)=YEAR(S4446))</f>
        <v/>
      </c>
      <c r="Q4446" s="521">
        <f>U4446="L001-901905215"</f>
        <v/>
      </c>
      <c r="R4446" s="556">
        <f>G4446-W4446</f>
        <v/>
      </c>
      <c r="S4446" s="523" t="n">
        <v>44900</v>
      </c>
      <c r="T4446" s="522" t="inlineStr">
        <is>
          <t>2212014230</t>
        </is>
      </c>
      <c r="U4446" s="522" t="inlineStr">
        <is>
          <t>L001-901905215</t>
        </is>
      </c>
      <c r="V4446" s="522" t="inlineStr">
        <is>
          <t>វីអ៊ីស៊ិន (ខេមបូឌា) អ៊ិនដាសស្ទ្រី ឯ.ក</t>
        </is>
      </c>
      <c r="W4446" s="556" t="n">
        <v>89965</v>
      </c>
    </row>
    <row r="4447">
      <c r="A4447" s="521" t="n">
        <v>4439</v>
      </c>
      <c r="B4447" s="522" t="inlineStr">
        <is>
          <t>Trucking Fee</t>
        </is>
      </c>
      <c r="C4447" s="522" t="inlineStr">
        <is>
          <t>ឆាយ ដា ឡូយីស្ទីក</t>
        </is>
      </c>
      <c r="D4447" s="522" t="inlineStr">
        <is>
          <t>L001-100063098</t>
        </is>
      </c>
      <c r="E4447" s="521" t="inlineStr">
        <is>
          <t>2212014620</t>
        </is>
      </c>
      <c r="F4447" s="523" t="n">
        <v>44908</v>
      </c>
      <c r="G4447" s="556" t="n">
        <v>34121</v>
      </c>
      <c r="I4447" s="521">
        <f>G4447</f>
        <v/>
      </c>
      <c r="K4447" s="521">
        <f>I4447-G4447</f>
        <v/>
      </c>
      <c r="M4447" s="522" t="inlineStr">
        <is>
          <t>2212014620</t>
        </is>
      </c>
      <c r="N4447" s="522" t="inlineStr">
        <is>
          <t>2212014620</t>
        </is>
      </c>
      <c r="O4447" s="521">
        <f>M4447=N4447</f>
        <v/>
      </c>
      <c r="P4447" s="521">
        <f>AND(MONTH(F4447)=MONTH(S4447), YEAR(F4447)=YEAR(S4447))</f>
        <v/>
      </c>
      <c r="Q4447" s="521">
        <f>U4447="L001-901905215"</f>
        <v/>
      </c>
      <c r="R4447" s="556">
        <f>G4447-W4447</f>
        <v/>
      </c>
      <c r="S4447" s="523" t="n">
        <v>44908</v>
      </c>
      <c r="T4447" s="522" t="inlineStr">
        <is>
          <t>2212014620</t>
        </is>
      </c>
      <c r="U4447" s="522" t="inlineStr">
        <is>
          <t>L001-901905215</t>
        </is>
      </c>
      <c r="V4447" s="522" t="inlineStr">
        <is>
          <t>វីអ៊ីស៊ិន (ខេមបូឌា) អ៊ិនដាសស្ទ្រី ឯ.ក</t>
        </is>
      </c>
      <c r="W4447" s="556" t="n">
        <v>34121</v>
      </c>
    </row>
    <row r="4448">
      <c r="A4448" s="521" t="n">
        <v>4440</v>
      </c>
      <c r="B4448" s="522" t="inlineStr">
        <is>
          <t>Trucking Fee</t>
        </is>
      </c>
      <c r="C4448" s="522" t="inlineStr">
        <is>
          <t>យូសេន ឡូជីស្ទីក (ខេមបូឌា) ខូ អិលធីឌី</t>
        </is>
      </c>
      <c r="D4448" s="522" t="inlineStr">
        <is>
          <t>L001-104015799</t>
        </is>
      </c>
      <c r="E4448" s="521" t="inlineStr">
        <is>
          <t>PNHTI0044007</t>
        </is>
      </c>
      <c r="F4448" s="523" t="n">
        <v>44925</v>
      </c>
      <c r="G4448" s="556" t="n">
        <v>166739</v>
      </c>
      <c r="I4448" s="521">
        <f>G4448</f>
        <v/>
      </c>
      <c r="K4448" s="521">
        <f>I4448-G4448</f>
        <v/>
      </c>
      <c r="M4448" s="522" t="inlineStr">
        <is>
          <t>PNHTI0044007</t>
        </is>
      </c>
      <c r="N4448" s="522" t="inlineStr">
        <is>
          <t>PNHTI0044007</t>
        </is>
      </c>
      <c r="O4448" s="521">
        <f>M4448=N4448</f>
        <v/>
      </c>
      <c r="P4448" s="521">
        <f>AND(MONTH(F4448)=MONTH(S4448), YEAR(F4448)=YEAR(S4448))</f>
        <v/>
      </c>
      <c r="Q4448" s="521">
        <f>U4448="L001-901905215"</f>
        <v/>
      </c>
      <c r="R4448" s="556">
        <f>G4448-W4448</f>
        <v/>
      </c>
      <c r="S4448" s="523" t="n">
        <v>44925</v>
      </c>
      <c r="T4448" s="522" t="inlineStr">
        <is>
          <t>PNHTI0044007</t>
        </is>
      </c>
      <c r="U4448" s="522" t="inlineStr">
        <is>
          <t>L001-901905215</t>
        </is>
      </c>
      <c r="V4448" s="522" t="inlineStr">
        <is>
          <t>វីអ៊ីស៊ិន (ខេមបូឌា) អ៊ិនដាសស្ទ្រី ឯ.ក</t>
        </is>
      </c>
      <c r="W4448" s="556" t="n">
        <v>166739</v>
      </c>
    </row>
    <row r="4449">
      <c r="A4449" s="521" t="n">
        <v>4441</v>
      </c>
      <c r="B4449" s="522" t="inlineStr">
        <is>
          <t>Trucking Fee</t>
        </is>
      </c>
      <c r="C4449" s="522" t="inlineStr">
        <is>
          <t>យូសេន ឡូជីស្ទីក (ខេមបូឌា) ខូ អិលធីឌី</t>
        </is>
      </c>
      <c r="D4449" s="522" t="inlineStr">
        <is>
          <t>L001-104015799</t>
        </is>
      </c>
      <c r="E4449" s="521" t="inlineStr">
        <is>
          <t>PNHTI0043696</t>
        </is>
      </c>
      <c r="F4449" s="523" t="n">
        <v>44918</v>
      </c>
      <c r="G4449" s="556" t="n">
        <v>166617</v>
      </c>
      <c r="I4449" s="521">
        <f>G4449</f>
        <v/>
      </c>
      <c r="K4449" s="521">
        <f>I4449-G4449</f>
        <v/>
      </c>
      <c r="M4449" s="522" t="inlineStr">
        <is>
          <t>PNHTI0043696</t>
        </is>
      </c>
      <c r="N4449" s="522" t="inlineStr">
        <is>
          <t>PNHTI0043696</t>
        </is>
      </c>
      <c r="O4449" s="521">
        <f>M4449=N4449</f>
        <v/>
      </c>
      <c r="P4449" s="521">
        <f>AND(MONTH(F4449)=MONTH(S4449), YEAR(F4449)=YEAR(S4449))</f>
        <v/>
      </c>
      <c r="Q4449" s="521">
        <f>U4449="L001-901905215"</f>
        <v/>
      </c>
      <c r="R4449" s="556">
        <f>G4449-W4449</f>
        <v/>
      </c>
      <c r="S4449" s="523" t="n">
        <v>44918</v>
      </c>
      <c r="T4449" s="522" t="inlineStr">
        <is>
          <t>PNHTI0043696</t>
        </is>
      </c>
      <c r="U4449" s="522" t="inlineStr">
        <is>
          <t>L001-901905215</t>
        </is>
      </c>
      <c r="V4449" s="522" t="inlineStr">
        <is>
          <t>វីអ៊ីស៊ិន (ខេមបូឌា) អ៊ិនដាសស្ទ្រី ឯ.ក</t>
        </is>
      </c>
      <c r="W4449" s="556" t="n">
        <v>166617</v>
      </c>
    </row>
    <row r="4450">
      <c r="A4450" s="521" t="n">
        <v>4442</v>
      </c>
      <c r="B4450" s="522" t="inlineStr">
        <is>
          <t>Trucking Fee</t>
        </is>
      </c>
      <c r="C4450" s="522" t="inlineStr">
        <is>
          <t>អ៊ិចស្ពែឌីធ័រ ខេមបូឌា អិលធីឌី</t>
        </is>
      </c>
      <c r="D4450" s="522" t="inlineStr">
        <is>
          <t>L001-100045898</t>
        </is>
      </c>
      <c r="E4450" s="521" t="inlineStr">
        <is>
          <t>TI-0241746</t>
        </is>
      </c>
      <c r="F4450" s="523" t="n">
        <v>44923</v>
      </c>
      <c r="G4450" s="556" t="n">
        <v>243784</v>
      </c>
      <c r="I4450" s="521">
        <f>G4450</f>
        <v/>
      </c>
      <c r="K4450" s="521">
        <f>I4450-G4450</f>
        <v/>
      </c>
      <c r="M4450" s="522" t="inlineStr">
        <is>
          <t>TI0241746</t>
        </is>
      </c>
      <c r="N4450" s="522" t="inlineStr">
        <is>
          <t>TI0241746</t>
        </is>
      </c>
      <c r="O4450" s="521">
        <f>M4450=N4450</f>
        <v/>
      </c>
      <c r="P4450" s="521">
        <f>AND(MONTH(F4450)=MONTH(S4450), YEAR(F4450)=YEAR(S4450))</f>
        <v/>
      </c>
      <c r="Q4450" s="521">
        <f>U4450="L001-901905215"</f>
        <v/>
      </c>
      <c r="R4450" s="556">
        <f>G4450-W4450</f>
        <v/>
      </c>
      <c r="S4450" s="523" t="n">
        <v>44923</v>
      </c>
      <c r="T4450" s="522" t="inlineStr">
        <is>
          <t>TI-0241746</t>
        </is>
      </c>
      <c r="U4450" s="522" t="inlineStr">
        <is>
          <t>L001-901905215</t>
        </is>
      </c>
      <c r="V4450" s="522" t="inlineStr">
        <is>
          <t>វីអ៊ីស៊ិន (ខេមបូឌា) អ៊ិនដាសស្ទ្រី ឯ.ក</t>
        </is>
      </c>
      <c r="W4450" s="556" t="n">
        <v>243773</v>
      </c>
    </row>
    <row r="4451">
      <c r="A4451" s="521" t="n">
        <v>4443</v>
      </c>
      <c r="B4451" s="522" t="inlineStr">
        <is>
          <t>Trucking Fee</t>
        </is>
      </c>
      <c r="C4451" s="522" t="inlineStr">
        <is>
          <t>អ៊ិចស្ពែឌីធ័រ ខេមបូឌា អិលធីឌី</t>
        </is>
      </c>
      <c r="D4451" s="522" t="inlineStr">
        <is>
          <t>L001-100045898</t>
        </is>
      </c>
      <c r="E4451" s="521" t="inlineStr">
        <is>
          <t>TI-0241741</t>
        </is>
      </c>
      <c r="F4451" s="523" t="n">
        <v>44923</v>
      </c>
      <c r="G4451" s="556" t="n">
        <v>54094</v>
      </c>
      <c r="I4451" s="521">
        <f>G4451</f>
        <v/>
      </c>
      <c r="K4451" s="521">
        <f>I4451-G4451</f>
        <v/>
      </c>
      <c r="M4451" s="522" t="inlineStr">
        <is>
          <t>TI0241741</t>
        </is>
      </c>
      <c r="N4451" s="522" t="inlineStr">
        <is>
          <t>TI0241741</t>
        </is>
      </c>
      <c r="O4451" s="521">
        <f>M4451=N4451</f>
        <v/>
      </c>
      <c r="P4451" s="521">
        <f>AND(MONTH(F4451)=MONTH(S4451), YEAR(F4451)=YEAR(S4451))</f>
        <v/>
      </c>
      <c r="Q4451" s="521">
        <f>U4451="L001-901905215"</f>
        <v/>
      </c>
      <c r="R4451" s="556">
        <f>G4451-W4451</f>
        <v/>
      </c>
      <c r="S4451" s="523" t="n">
        <v>44923</v>
      </c>
      <c r="T4451" s="522" t="inlineStr">
        <is>
          <t>TI-0241741</t>
        </is>
      </c>
      <c r="U4451" s="522" t="inlineStr">
        <is>
          <t>L001-901905215</t>
        </is>
      </c>
      <c r="V4451" s="522" t="inlineStr">
        <is>
          <t>វីអ៊ីស៊ិន (ខេមបូឌា) អ៊ិនដាសស្ទ្រី ឯ.ក</t>
        </is>
      </c>
      <c r="W4451" s="556" t="n">
        <v>54112</v>
      </c>
    </row>
    <row r="4452">
      <c r="A4452" s="521" t="n">
        <v>4444</v>
      </c>
      <c r="B4452" s="522" t="inlineStr">
        <is>
          <t>Trucking Fee</t>
        </is>
      </c>
      <c r="C4452" s="522" t="inlineStr">
        <is>
          <t>អ៊ិចស្ពែឌីធ័រ ខេមបូឌា អិលធីឌី</t>
        </is>
      </c>
      <c r="D4452" s="522" t="inlineStr">
        <is>
          <t>L001-100045898</t>
        </is>
      </c>
      <c r="E4452" s="521" t="inlineStr">
        <is>
          <t>TI-0241733</t>
        </is>
      </c>
      <c r="F4452" s="523" t="n">
        <v>44923</v>
      </c>
      <c r="G4452" s="556" t="n">
        <v>326207</v>
      </c>
      <c r="I4452" s="521">
        <f>G4452</f>
        <v/>
      </c>
      <c r="K4452" s="521">
        <f>I4452-G4452</f>
        <v/>
      </c>
      <c r="M4452" s="522" t="inlineStr">
        <is>
          <t>TI0241733</t>
        </is>
      </c>
      <c r="N4452" s="522" t="inlineStr">
        <is>
          <t>TI0241733</t>
        </is>
      </c>
      <c r="O4452" s="521">
        <f>M4452=N4452</f>
        <v/>
      </c>
      <c r="P4452" s="521">
        <f>AND(MONTH(F4452)=MONTH(S4452), YEAR(F4452)=YEAR(S4452))</f>
        <v/>
      </c>
      <c r="Q4452" s="521">
        <f>U4452="L001-901905215"</f>
        <v/>
      </c>
      <c r="R4452" s="556">
        <f>G4452-W4452</f>
        <v/>
      </c>
      <c r="S4452" s="523" t="n">
        <v>44923</v>
      </c>
      <c r="T4452" s="522" t="inlineStr">
        <is>
          <t>TI-0241733</t>
        </is>
      </c>
      <c r="U4452" s="522" t="inlineStr">
        <is>
          <t>L001-901905215</t>
        </is>
      </c>
      <c r="V4452" s="522" t="inlineStr">
        <is>
          <t>វីអ៊ីស៊ិន (ខេមបូឌា) អ៊ិនដាសស្ទ្រី ឯ.ក</t>
        </is>
      </c>
      <c r="W4452" s="556" t="n">
        <v>326196</v>
      </c>
    </row>
    <row r="4453">
      <c r="A4453" s="521" t="n">
        <v>4445</v>
      </c>
      <c r="B4453" s="522" t="inlineStr">
        <is>
          <t>Trucking Fee</t>
        </is>
      </c>
      <c r="C4453" s="522" t="inlineStr">
        <is>
          <t>អ៊ិចស្ពែឌីធ័រ ខេមបូឌា អិលធីឌី</t>
        </is>
      </c>
      <c r="D4453" s="522" t="inlineStr">
        <is>
          <t>L001-100045898</t>
        </is>
      </c>
      <c r="E4453" s="521" t="inlineStr">
        <is>
          <t>TI-0241719</t>
        </is>
      </c>
      <c r="F4453" s="523" t="n">
        <v>44923</v>
      </c>
      <c r="G4453" s="556" t="n">
        <v>412323</v>
      </c>
      <c r="I4453" s="521">
        <f>G4453</f>
        <v/>
      </c>
      <c r="K4453" s="521">
        <f>I4453-G4453</f>
        <v/>
      </c>
      <c r="M4453" s="522" t="inlineStr">
        <is>
          <t>TI0241719</t>
        </is>
      </c>
      <c r="N4453" s="522" t="inlineStr">
        <is>
          <t>TI0241719</t>
        </is>
      </c>
      <c r="O4453" s="521">
        <f>M4453=N4453</f>
        <v/>
      </c>
      <c r="P4453" s="521">
        <f>AND(MONTH(F4453)=MONTH(S4453), YEAR(F4453)=YEAR(S4453))</f>
        <v/>
      </c>
      <c r="Q4453" s="521">
        <f>U4453="L001-901905215"</f>
        <v/>
      </c>
      <c r="R4453" s="556">
        <f>G4453-W4453</f>
        <v/>
      </c>
      <c r="S4453" s="523" t="n">
        <v>44923</v>
      </c>
      <c r="T4453" s="522" t="inlineStr">
        <is>
          <t>TI-0241719</t>
        </is>
      </c>
      <c r="U4453" s="522" t="inlineStr">
        <is>
          <t>L001-901905215</t>
        </is>
      </c>
      <c r="V4453" s="522" t="inlineStr">
        <is>
          <t>វីអ៊ីស៊ិន (ខេមបូឌា) អ៊ិនដាសស្ទ្រី ឯ.ក</t>
        </is>
      </c>
      <c r="W4453" s="556" t="n">
        <v>412323</v>
      </c>
    </row>
    <row r="4454">
      <c r="A4454" s="521" t="n">
        <v>4446</v>
      </c>
      <c r="B4454" s="522" t="inlineStr">
        <is>
          <t>Trucking Fee</t>
        </is>
      </c>
      <c r="C4454" s="522" t="inlineStr">
        <is>
          <t>អ៊ិចស្ពែឌីធ័រ ខេមបូឌា អិលធីឌី</t>
        </is>
      </c>
      <c r="D4454" s="522" t="inlineStr">
        <is>
          <t>L001-100045898</t>
        </is>
      </c>
      <c r="E4454" s="521" t="inlineStr">
        <is>
          <t>TI-0241718</t>
        </is>
      </c>
      <c r="F4454" s="523" t="n">
        <v>44923</v>
      </c>
      <c r="G4454" s="556" t="n">
        <v>218918</v>
      </c>
      <c r="I4454" s="521">
        <f>G4454</f>
        <v/>
      </c>
      <c r="K4454" s="521">
        <f>I4454-G4454</f>
        <v/>
      </c>
      <c r="M4454" s="522" t="inlineStr">
        <is>
          <t>TI0241718</t>
        </is>
      </c>
      <c r="N4454" s="522" t="inlineStr">
        <is>
          <t>TI0241718</t>
        </is>
      </c>
      <c r="O4454" s="521">
        <f>M4454=N4454</f>
        <v/>
      </c>
      <c r="P4454" s="521">
        <f>AND(MONTH(F4454)=MONTH(S4454), YEAR(F4454)=YEAR(S4454))</f>
        <v/>
      </c>
      <c r="Q4454" s="521">
        <f>U4454="L001-901905215"</f>
        <v/>
      </c>
      <c r="R4454" s="556">
        <f>G4454-W4454</f>
        <v/>
      </c>
      <c r="S4454" s="523" t="n">
        <v>44923</v>
      </c>
      <c r="T4454" s="522" t="inlineStr">
        <is>
          <t>TI-0241718</t>
        </is>
      </c>
      <c r="U4454" s="522" t="inlineStr">
        <is>
          <t>L001-901905215</t>
        </is>
      </c>
      <c r="V4454" s="522" t="inlineStr">
        <is>
          <t>វីអ៊ីស៊ិន (ខេមបូឌា) អ៊ិនដាសស្ទ្រី ឯ.ក</t>
        </is>
      </c>
      <c r="W4454" s="556" t="n">
        <v>218918</v>
      </c>
    </row>
    <row r="4455">
      <c r="A4455" s="521" t="n">
        <v>4447</v>
      </c>
      <c r="B4455" s="522" t="inlineStr">
        <is>
          <t>Trucking Fee</t>
        </is>
      </c>
      <c r="C4455" s="522" t="inlineStr">
        <is>
          <t>អ៊ិចស្ពែឌីធ័រ ខេមបូឌា អិលធីឌី</t>
        </is>
      </c>
      <c r="D4455" s="522" t="inlineStr">
        <is>
          <t>L001-100045898</t>
        </is>
      </c>
      <c r="E4455" s="521" t="inlineStr">
        <is>
          <t>TI-0241717</t>
        </is>
      </c>
      <c r="F4455" s="523" t="n">
        <v>44923</v>
      </c>
      <c r="G4455" s="556" t="n">
        <v>201534</v>
      </c>
      <c r="I4455" s="521">
        <f>G4455</f>
        <v/>
      </c>
      <c r="K4455" s="521">
        <f>I4455-G4455</f>
        <v/>
      </c>
      <c r="M4455" s="522" t="inlineStr">
        <is>
          <t>TI0241717</t>
        </is>
      </c>
      <c r="N4455" s="522" t="inlineStr">
        <is>
          <t>TI0241717</t>
        </is>
      </c>
      <c r="O4455" s="521">
        <f>M4455=N4455</f>
        <v/>
      </c>
      <c r="P4455" s="521">
        <f>AND(MONTH(F4455)=MONTH(S4455), YEAR(F4455)=YEAR(S4455))</f>
        <v/>
      </c>
      <c r="Q4455" s="521">
        <f>U4455="L001-901905215"</f>
        <v/>
      </c>
      <c r="R4455" s="556">
        <f>G4455-W4455</f>
        <v/>
      </c>
      <c r="S4455" s="523" t="n">
        <v>44923</v>
      </c>
      <c r="T4455" s="522" t="inlineStr">
        <is>
          <t>TI-0241717</t>
        </is>
      </c>
      <c r="U4455" s="522" t="inlineStr">
        <is>
          <t>L001-901905215</t>
        </is>
      </c>
      <c r="V4455" s="522" t="inlineStr">
        <is>
          <t>វីអ៊ីស៊ិន (ខេមបូឌា) អ៊ិនដាសស្ទ្រី ឯ.ក</t>
        </is>
      </c>
      <c r="W4455" s="556" t="n">
        <v>201553</v>
      </c>
    </row>
    <row r="4456">
      <c r="A4456" s="521" t="n">
        <v>4448</v>
      </c>
      <c r="B4456" s="522" t="inlineStr">
        <is>
          <t>Trucking Fee</t>
        </is>
      </c>
      <c r="C4456" s="522" t="inlineStr">
        <is>
          <t>អ៊ិចស្ពែឌីធ័រ ខេមបូឌា អិលធីឌី</t>
        </is>
      </c>
      <c r="D4456" s="522" t="inlineStr">
        <is>
          <t>L001-100045898</t>
        </is>
      </c>
      <c r="E4456" s="521" t="inlineStr">
        <is>
          <t>TI-0241377</t>
        </is>
      </c>
      <c r="F4456" s="523" t="n">
        <v>44916</v>
      </c>
      <c r="G4456" s="556" t="n">
        <v>358736</v>
      </c>
      <c r="I4456" s="521">
        <f>G4456</f>
        <v/>
      </c>
      <c r="K4456" s="521">
        <f>I4456-G4456</f>
        <v/>
      </c>
      <c r="M4456" s="522" t="inlineStr">
        <is>
          <t>TI0241377</t>
        </is>
      </c>
      <c r="N4456" s="522" t="inlineStr">
        <is>
          <t>TI0241377</t>
        </is>
      </c>
      <c r="O4456" s="521">
        <f>M4456=N4456</f>
        <v/>
      </c>
      <c r="P4456" s="521">
        <f>AND(MONTH(F4456)=MONTH(S4456), YEAR(F4456)=YEAR(S4456))</f>
        <v/>
      </c>
      <c r="Q4456" s="521">
        <f>U4456="L001-901905215"</f>
        <v/>
      </c>
      <c r="R4456" s="556">
        <f>G4456-W4456</f>
        <v/>
      </c>
      <c r="S4456" s="523" t="n">
        <v>44916</v>
      </c>
      <c r="T4456" s="522" t="inlineStr">
        <is>
          <t>TI-0241377</t>
        </is>
      </c>
      <c r="U4456" s="522" t="inlineStr">
        <is>
          <t>L001-901905215</t>
        </is>
      </c>
      <c r="V4456" s="522" t="inlineStr">
        <is>
          <t>វីអ៊ីស៊ិន (ខេមបូឌា) អ៊ិនដាសស្ទ្រី ឯ.ក</t>
        </is>
      </c>
      <c r="W4456" s="556" t="n">
        <v>358751</v>
      </c>
    </row>
    <row r="4457">
      <c r="A4457" s="521" t="n">
        <v>4449</v>
      </c>
      <c r="B4457" s="522" t="inlineStr">
        <is>
          <t>Trucking Fee</t>
        </is>
      </c>
      <c r="C4457" s="522" t="inlineStr">
        <is>
          <t>អ៊ិចស្ពែឌីធ័រ ខេមបូឌា អិលធីឌី</t>
        </is>
      </c>
      <c r="D4457" s="522" t="inlineStr">
        <is>
          <t>L001-100045898</t>
        </is>
      </c>
      <c r="E4457" s="521" t="inlineStr">
        <is>
          <t>TI-0241374</t>
        </is>
      </c>
      <c r="F4457" s="523" t="n">
        <v>44916</v>
      </c>
      <c r="G4457" s="556" t="n">
        <v>138466</v>
      </c>
      <c r="I4457" s="521">
        <f>G4457</f>
        <v/>
      </c>
      <c r="K4457" s="521">
        <f>I4457-G4457</f>
        <v/>
      </c>
      <c r="M4457" s="522" t="inlineStr">
        <is>
          <t>TI0241374</t>
        </is>
      </c>
      <c r="N4457" s="522" t="inlineStr">
        <is>
          <t>TI0241374</t>
        </is>
      </c>
      <c r="O4457" s="521">
        <f>M4457=N4457</f>
        <v/>
      </c>
      <c r="P4457" s="521">
        <f>AND(MONTH(F4457)=MONTH(S4457), YEAR(F4457)=YEAR(S4457))</f>
        <v/>
      </c>
      <c r="Q4457" s="521">
        <f>U4457="L001-901905215"</f>
        <v/>
      </c>
      <c r="R4457" s="556">
        <f>G4457-W4457</f>
        <v/>
      </c>
      <c r="S4457" s="523" t="n">
        <v>44916</v>
      </c>
      <c r="T4457" s="522" t="inlineStr">
        <is>
          <t>TI-0241374</t>
        </is>
      </c>
      <c r="U4457" s="522" t="inlineStr">
        <is>
          <t>L001-901905215</t>
        </is>
      </c>
      <c r="V4457" s="522" t="inlineStr">
        <is>
          <t>វីអ៊ីស៊ិន (ខេមបូឌា) អ៊ិនដាសស្ទ្រី ឯ.ក</t>
        </is>
      </c>
      <c r="W4457" s="556" t="n">
        <v>138462</v>
      </c>
    </row>
    <row r="4458">
      <c r="A4458" s="521" t="n">
        <v>4450</v>
      </c>
      <c r="B4458" s="522" t="inlineStr">
        <is>
          <t>Trucking Fee</t>
        </is>
      </c>
      <c r="C4458" s="522" t="inlineStr">
        <is>
          <t>អ៊ិចស្ពែឌីធ័រ ខេមបូឌា អិលធីឌី</t>
        </is>
      </c>
      <c r="D4458" s="522" t="inlineStr">
        <is>
          <t>L001-100045898</t>
        </is>
      </c>
      <c r="E4458" s="521" t="inlineStr">
        <is>
          <t>TI-0241371</t>
        </is>
      </c>
      <c r="F4458" s="523" t="n">
        <v>44916</v>
      </c>
      <c r="G4458" s="556" t="n">
        <v>468401</v>
      </c>
      <c r="I4458" s="521">
        <f>G4458</f>
        <v/>
      </c>
      <c r="K4458" s="521">
        <f>I4458-G4458</f>
        <v/>
      </c>
      <c r="M4458" s="522" t="inlineStr">
        <is>
          <t>TI0241371</t>
        </is>
      </c>
      <c r="N4458" s="522" t="inlineStr">
        <is>
          <t>TI0241371</t>
        </is>
      </c>
      <c r="O4458" s="521">
        <f>M4458=N4458</f>
        <v/>
      </c>
      <c r="P4458" s="521">
        <f>AND(MONTH(F4458)=MONTH(S4458), YEAR(F4458)=YEAR(S4458))</f>
        <v/>
      </c>
      <c r="Q4458" s="521">
        <f>U4458="L001-901905215"</f>
        <v/>
      </c>
      <c r="R4458" s="556">
        <f>G4458-W4458</f>
        <v/>
      </c>
      <c r="S4458" s="523" t="n">
        <v>44916</v>
      </c>
      <c r="T4458" s="522" t="inlineStr">
        <is>
          <t>TI-0241371</t>
        </is>
      </c>
      <c r="U4458" s="522" t="inlineStr">
        <is>
          <t>L001-901905215</t>
        </is>
      </c>
      <c r="V4458" s="522" t="inlineStr">
        <is>
          <t>វីអ៊ីស៊ិន (ខេមបូឌា) អ៊ិនដាសស្ទ្រី ឯ.ក</t>
        </is>
      </c>
      <c r="W4458" s="556" t="n">
        <v>468401</v>
      </c>
    </row>
    <row r="4459">
      <c r="A4459" s="521" t="n">
        <v>4451</v>
      </c>
      <c r="B4459" s="522" t="inlineStr">
        <is>
          <t>Trucking Fee</t>
        </is>
      </c>
      <c r="C4459" s="522" t="inlineStr">
        <is>
          <t>អ៊ិចស្ពែឌីធ័រ ខេមបូឌា អិលធីឌី</t>
        </is>
      </c>
      <c r="D4459" s="522" t="inlineStr">
        <is>
          <t>L001-100045898</t>
        </is>
      </c>
      <c r="E4459" s="521" t="inlineStr">
        <is>
          <t>TI-0241356</t>
        </is>
      </c>
      <c r="F4459" s="523" t="n">
        <v>44916</v>
      </c>
      <c r="G4459" s="556" t="n">
        <v>402361</v>
      </c>
      <c r="I4459" s="521">
        <f>G4459</f>
        <v/>
      </c>
      <c r="K4459" s="521">
        <f>I4459-G4459</f>
        <v/>
      </c>
      <c r="M4459" s="522" t="inlineStr">
        <is>
          <t>TI0241356</t>
        </is>
      </c>
      <c r="N4459" s="522" t="inlineStr">
        <is>
          <t>TI0241356</t>
        </is>
      </c>
      <c r="O4459" s="521">
        <f>M4459=N4459</f>
        <v/>
      </c>
      <c r="P4459" s="521">
        <f>AND(MONTH(F4459)=MONTH(S4459), YEAR(F4459)=YEAR(S4459))</f>
        <v/>
      </c>
      <c r="Q4459" s="521">
        <f>U4459="L001-901905215"</f>
        <v/>
      </c>
      <c r="R4459" s="556">
        <f>G4459-W4459</f>
        <v/>
      </c>
      <c r="S4459" s="523" t="n">
        <v>44916</v>
      </c>
      <c r="T4459" s="522" t="inlineStr">
        <is>
          <t>TI-0241356</t>
        </is>
      </c>
      <c r="U4459" s="522" t="inlineStr">
        <is>
          <t>L001-901905215</t>
        </is>
      </c>
      <c r="V4459" s="522" t="inlineStr">
        <is>
          <t>វីអ៊ីស៊ិន (ខេមបូឌា) អ៊ិនដាសស្ទ្រី ឯ.ក</t>
        </is>
      </c>
      <c r="W4459" s="556" t="n">
        <v>402380</v>
      </c>
    </row>
    <row r="4460">
      <c r="A4460" s="521" t="n">
        <v>4452</v>
      </c>
      <c r="B4460" s="522" t="inlineStr">
        <is>
          <t>Trucking Fee</t>
        </is>
      </c>
      <c r="C4460" s="522" t="inlineStr">
        <is>
          <t>អ៊ិចស្ពែឌីធ័រ ខេមបូឌា អិលធីឌី</t>
        </is>
      </c>
      <c r="D4460" s="522" t="inlineStr">
        <is>
          <t>L001-100045898</t>
        </is>
      </c>
      <c r="E4460" s="521" t="inlineStr">
        <is>
          <t>TI-0241341</t>
        </is>
      </c>
      <c r="F4460" s="523" t="n">
        <v>44916</v>
      </c>
      <c r="G4460" s="556" t="n">
        <v>437942</v>
      </c>
      <c r="I4460" s="521">
        <f>G4460</f>
        <v/>
      </c>
      <c r="K4460" s="521">
        <f>I4460-G4460</f>
        <v/>
      </c>
      <c r="M4460" s="522" t="inlineStr">
        <is>
          <t>TI0241341</t>
        </is>
      </c>
      <c r="N4460" s="522" t="inlineStr">
        <is>
          <t>TI0241341</t>
        </is>
      </c>
      <c r="O4460" s="521">
        <f>M4460=N4460</f>
        <v/>
      </c>
      <c r="P4460" s="521">
        <f>AND(MONTH(F4460)=MONTH(S4460), YEAR(F4460)=YEAR(S4460))</f>
        <v/>
      </c>
      <c r="Q4460" s="521">
        <f>U4460="L001-901905215"</f>
        <v/>
      </c>
      <c r="R4460" s="556">
        <f>G4460-W4460</f>
        <v/>
      </c>
      <c r="S4460" s="523" t="n">
        <v>44916</v>
      </c>
      <c r="T4460" s="522" t="inlineStr">
        <is>
          <t>TI-0241341</t>
        </is>
      </c>
      <c r="U4460" s="522" t="inlineStr">
        <is>
          <t>L001-901905215</t>
        </is>
      </c>
      <c r="V4460" s="522" t="inlineStr">
        <is>
          <t>វីអ៊ីស៊ិន (ខេមបូឌា) អ៊ិនដាសស្ទ្រី ឯ.ក</t>
        </is>
      </c>
      <c r="W4460" s="556" t="n">
        <v>437942</v>
      </c>
    </row>
    <row r="4461">
      <c r="A4461" s="521" t="n">
        <v>4453</v>
      </c>
      <c r="B4461" s="522" t="inlineStr">
        <is>
          <t>Trucking Fee</t>
        </is>
      </c>
      <c r="C4461" s="522" t="inlineStr">
        <is>
          <t>អ៊ិចស្ពែឌីធ័រ ខេមបូឌា អិលធីឌី</t>
        </is>
      </c>
      <c r="D4461" s="522" t="inlineStr">
        <is>
          <t>L001-100045898</t>
        </is>
      </c>
      <c r="E4461" s="521" t="inlineStr">
        <is>
          <t>TI-0241339</t>
        </is>
      </c>
      <c r="F4461" s="523" t="n">
        <v>44916</v>
      </c>
      <c r="G4461" s="556" t="n">
        <v>153938</v>
      </c>
      <c r="I4461" s="521">
        <f>G4461</f>
        <v/>
      </c>
      <c r="K4461" s="521">
        <f>I4461-G4461</f>
        <v/>
      </c>
      <c r="M4461" s="522" t="inlineStr">
        <is>
          <t>TI0241339</t>
        </is>
      </c>
      <c r="N4461" s="522" t="inlineStr">
        <is>
          <t>TI0241339</t>
        </is>
      </c>
      <c r="O4461" s="521">
        <f>M4461=N4461</f>
        <v/>
      </c>
      <c r="P4461" s="521">
        <f>AND(MONTH(F4461)=MONTH(S4461), YEAR(F4461)=YEAR(S4461))</f>
        <v/>
      </c>
      <c r="Q4461" s="521">
        <f>U4461="L001-901905215"</f>
        <v/>
      </c>
      <c r="R4461" s="556">
        <f>G4461-W4461</f>
        <v/>
      </c>
      <c r="S4461" s="523" t="n">
        <v>44916</v>
      </c>
      <c r="T4461" s="522" t="inlineStr">
        <is>
          <t>TI-0241339</t>
        </is>
      </c>
      <c r="U4461" s="522" t="inlineStr">
        <is>
          <t>L001-901905215</t>
        </is>
      </c>
      <c r="V4461" s="522" t="inlineStr">
        <is>
          <t>វីអ៊ីស៊ិន (ខេមបូឌា) អ៊ិនដាសស្ទ្រី ឯ.ក</t>
        </is>
      </c>
      <c r="W4461" s="556" t="n">
        <v>153938</v>
      </c>
    </row>
    <row r="4462">
      <c r="A4462" s="521" t="n">
        <v>4454</v>
      </c>
      <c r="B4462" s="522" t="inlineStr">
        <is>
          <t>Trucking Fee</t>
        </is>
      </c>
      <c r="C4462" s="522" t="inlineStr">
        <is>
          <t>អ៊ិចស្ពែឌីធ័រ ខេមបូឌា អិលធីឌី</t>
        </is>
      </c>
      <c r="D4462" s="522" t="inlineStr">
        <is>
          <t>L001-100045898</t>
        </is>
      </c>
      <c r="E4462" s="521" t="inlineStr">
        <is>
          <t>TI-0241336</t>
        </is>
      </c>
      <c r="F4462" s="523" t="n">
        <v>44916</v>
      </c>
      <c r="G4462" s="556" t="n">
        <v>354799</v>
      </c>
      <c r="I4462" s="521">
        <f>G4462</f>
        <v/>
      </c>
      <c r="K4462" s="521">
        <f>I4462-G4462</f>
        <v/>
      </c>
      <c r="M4462" s="522" t="inlineStr">
        <is>
          <t>TI0241336</t>
        </is>
      </c>
      <c r="N4462" s="522" t="inlineStr">
        <is>
          <t>TI0241336</t>
        </is>
      </c>
      <c r="O4462" s="521">
        <f>M4462=N4462</f>
        <v/>
      </c>
      <c r="P4462" s="521">
        <f>AND(MONTH(F4462)=MONTH(S4462), YEAR(F4462)=YEAR(S4462))</f>
        <v/>
      </c>
      <c r="Q4462" s="521">
        <f>U4462="L001-901905215"</f>
        <v/>
      </c>
      <c r="R4462" s="556">
        <f>G4462-W4462</f>
        <v/>
      </c>
      <c r="S4462" s="523" t="n">
        <v>44916</v>
      </c>
      <c r="T4462" s="522" t="inlineStr">
        <is>
          <t>TI-0241336</t>
        </is>
      </c>
      <c r="U4462" s="522" t="inlineStr">
        <is>
          <t>L001-901905215</t>
        </is>
      </c>
      <c r="V4462" s="522" t="inlineStr">
        <is>
          <t>វីអ៊ីស៊ិន (ខេមបូឌា) អ៊ិនដាសស្ទ្រី ឯ.ក</t>
        </is>
      </c>
      <c r="W4462" s="556" t="n">
        <v>354799</v>
      </c>
    </row>
    <row r="4463">
      <c r="A4463" s="521" t="n">
        <v>4455</v>
      </c>
      <c r="B4463" s="522" t="inlineStr">
        <is>
          <t>Trucking Fee</t>
        </is>
      </c>
      <c r="C4463" s="522" t="inlineStr">
        <is>
          <t>អ៊ិចស្ពែឌីធ័រ ខេមបូឌា អិលធីឌី</t>
        </is>
      </c>
      <c r="D4463" s="522" t="inlineStr">
        <is>
          <t>L001-100045898</t>
        </is>
      </c>
      <c r="E4463" s="521" t="inlineStr">
        <is>
          <t>TI-0241326</t>
        </is>
      </c>
      <c r="F4463" s="523" t="n">
        <v>44907</v>
      </c>
      <c r="G4463" s="556" t="n">
        <v>335042</v>
      </c>
      <c r="I4463" s="521">
        <f>G4463</f>
        <v/>
      </c>
      <c r="K4463" s="521">
        <f>I4463-G4463</f>
        <v/>
      </c>
      <c r="M4463" s="522" t="inlineStr">
        <is>
          <t>TI0241326</t>
        </is>
      </c>
      <c r="N4463" s="522" t="inlineStr">
        <is>
          <t>TI0241326</t>
        </is>
      </c>
      <c r="O4463" s="521">
        <f>M4463=N4463</f>
        <v/>
      </c>
      <c r="P4463" s="521">
        <f>AND(MONTH(F4463)=MONTH(S4463), YEAR(F4463)=YEAR(S4463))</f>
        <v/>
      </c>
      <c r="Q4463" s="521">
        <f>U4463="L001-901905215"</f>
        <v/>
      </c>
      <c r="R4463" s="556">
        <f>G4463-W4463</f>
        <v/>
      </c>
      <c r="S4463" s="523" t="n">
        <v>44916</v>
      </c>
      <c r="T4463" s="522" t="inlineStr">
        <is>
          <t>TI-0241326</t>
        </is>
      </c>
      <c r="U4463" s="522" t="inlineStr">
        <is>
          <t>L001-901905215</t>
        </is>
      </c>
      <c r="V4463" s="522" t="inlineStr">
        <is>
          <t>វីអ៊ីស៊ិន (ខេមបូឌា) អ៊ិនដាសស្ទ្រី ឯ.ក</t>
        </is>
      </c>
      <c r="W4463" s="556" t="n">
        <v>335042</v>
      </c>
    </row>
    <row r="4464">
      <c r="A4464" s="521" t="n">
        <v>4456</v>
      </c>
      <c r="B4464" s="522" t="inlineStr">
        <is>
          <t>Trucking Fee</t>
        </is>
      </c>
      <c r="C4464" s="522" t="inlineStr">
        <is>
          <t>អ៊ិចស្ពែឌីធ័រ ខេមបូឌា អិលធីឌី</t>
        </is>
      </c>
      <c r="D4464" s="522" t="inlineStr">
        <is>
          <t>L001-100045898</t>
        </is>
      </c>
      <c r="E4464" s="521" t="inlineStr">
        <is>
          <t>TI-0240622</t>
        </is>
      </c>
      <c r="F4464" s="523" t="n">
        <v>44902</v>
      </c>
      <c r="G4464" s="556" t="n">
        <v>433616</v>
      </c>
      <c r="I4464" s="521">
        <f>G4464</f>
        <v/>
      </c>
      <c r="K4464" s="521">
        <f>I4464-G4464</f>
        <v/>
      </c>
      <c r="M4464" s="522" t="inlineStr">
        <is>
          <t>TI0240622</t>
        </is>
      </c>
      <c r="N4464" s="522" t="inlineStr">
        <is>
          <t>TI0240622</t>
        </is>
      </c>
      <c r="O4464" s="521">
        <f>M4464=N4464</f>
        <v/>
      </c>
      <c r="P4464" s="521">
        <f>AND(MONTH(F4464)=MONTH(S4464), YEAR(F4464)=YEAR(S4464))</f>
        <v/>
      </c>
      <c r="Q4464" s="521">
        <f>U4464="L001-901905215"</f>
        <v/>
      </c>
      <c r="R4464" s="556">
        <f>G4464-W4464</f>
        <v/>
      </c>
      <c r="S4464" s="523" t="n">
        <v>44902</v>
      </c>
      <c r="T4464" s="522" t="inlineStr">
        <is>
          <t>TI-0240622</t>
        </is>
      </c>
      <c r="U4464" s="522" t="inlineStr">
        <is>
          <t>L001-901905215</t>
        </is>
      </c>
      <c r="V4464" s="522" t="inlineStr">
        <is>
          <t>វីអ៊ីស៊ិន (ខេមបូឌា) អ៊ិនដាសស្ទ្រី ឯ.ក</t>
        </is>
      </c>
      <c r="W4464" s="556" t="n">
        <v>433634</v>
      </c>
    </row>
    <row r="4465">
      <c r="A4465" s="521" t="n">
        <v>4457</v>
      </c>
      <c r="B4465" s="522" t="inlineStr">
        <is>
          <t>Trucking Fee</t>
        </is>
      </c>
      <c r="C4465" s="522" t="inlineStr">
        <is>
          <t>អ៊ិចស្ពែឌីធ័រ ខេមបូឌា អិលធីឌី</t>
        </is>
      </c>
      <c r="D4465" s="522" t="inlineStr">
        <is>
          <t>L001-100045898</t>
        </is>
      </c>
      <c r="E4465" s="521" t="inlineStr">
        <is>
          <t>TI-0240598</t>
        </is>
      </c>
      <c r="F4465" s="523" t="n">
        <v>44902</v>
      </c>
      <c r="G4465" s="556" t="n">
        <v>280296</v>
      </c>
      <c r="I4465" s="521">
        <f>G4465</f>
        <v/>
      </c>
      <c r="K4465" s="521">
        <f>I4465-G4465</f>
        <v/>
      </c>
      <c r="M4465" s="522" t="inlineStr">
        <is>
          <t>TI0240598</t>
        </is>
      </c>
      <c r="N4465" s="522" t="inlineStr">
        <is>
          <t>TI0240598</t>
        </is>
      </c>
      <c r="O4465" s="521">
        <f>M4465=N4465</f>
        <v/>
      </c>
      <c r="P4465" s="521">
        <f>AND(MONTH(F4465)=MONTH(S4465), YEAR(F4465)=YEAR(S4465))</f>
        <v/>
      </c>
      <c r="Q4465" s="521">
        <f>U4465="L001-901905215"</f>
        <v/>
      </c>
      <c r="R4465" s="556">
        <f>G4465-W4465</f>
        <v/>
      </c>
      <c r="S4465" s="523" t="n">
        <v>44902</v>
      </c>
      <c r="T4465" s="522" t="inlineStr">
        <is>
          <t>TI-0240598</t>
        </is>
      </c>
      <c r="U4465" s="522" t="inlineStr">
        <is>
          <t>L001-901905215</t>
        </is>
      </c>
      <c r="V4465" s="522" t="inlineStr">
        <is>
          <t>វីអ៊ីស៊ិន (ខេមបូឌា) អ៊ិនដាសស្ទ្រី ឯ.ក</t>
        </is>
      </c>
      <c r="W4465" s="556" t="n">
        <v>280296</v>
      </c>
    </row>
    <row r="4466">
      <c r="A4466" s="521" t="n">
        <v>4458</v>
      </c>
      <c r="B4466" s="522" t="inlineStr">
        <is>
          <t>Trucking Fee</t>
        </is>
      </c>
      <c r="C4466" s="522" t="inlineStr">
        <is>
          <t>អ៊ិចស្ពែឌីធ័រ ខេមបូឌា អិលធីឌី</t>
        </is>
      </c>
      <c r="D4466" s="522" t="inlineStr">
        <is>
          <t>L001-100045898</t>
        </is>
      </c>
      <c r="E4466" s="521" t="inlineStr">
        <is>
          <t>TI-0240596</t>
        </is>
      </c>
      <c r="F4466" s="523" t="n">
        <v>44902</v>
      </c>
      <c r="G4466" s="556" t="n">
        <v>70632</v>
      </c>
      <c r="I4466" s="521">
        <f>G4466</f>
        <v/>
      </c>
      <c r="K4466" s="521">
        <f>I4466-G4466</f>
        <v/>
      </c>
      <c r="M4466" s="522" t="inlineStr">
        <is>
          <t>TI0240596</t>
        </is>
      </c>
      <c r="N4466" s="522" t="inlineStr">
        <is>
          <t>TI0240596</t>
        </is>
      </c>
      <c r="O4466" s="521">
        <f>M4466=N4466</f>
        <v/>
      </c>
      <c r="P4466" s="521">
        <f>AND(MONTH(F4466)=MONTH(S4466), YEAR(F4466)=YEAR(S4466))</f>
        <v/>
      </c>
      <c r="Q4466" s="521">
        <f>U4466="L001-901905215"</f>
        <v/>
      </c>
      <c r="R4466" s="556">
        <f>G4466-W4466</f>
        <v/>
      </c>
      <c r="S4466" s="523" t="n">
        <v>44902</v>
      </c>
      <c r="T4466" s="522" t="inlineStr">
        <is>
          <t>TI-0240596</t>
        </is>
      </c>
      <c r="U4466" s="522" t="inlineStr">
        <is>
          <t>L001-901905215</t>
        </is>
      </c>
      <c r="V4466" s="522" t="inlineStr">
        <is>
          <t>វីអ៊ីស៊ិន (ខេមបូឌា) អ៊ិនដាសស្ទ្រី ឯ.ក</t>
        </is>
      </c>
      <c r="W4466" s="556" t="n">
        <v>70651</v>
      </c>
    </row>
    <row r="4467">
      <c r="A4467" s="521" t="n">
        <v>4459</v>
      </c>
      <c r="B4467" s="522" t="inlineStr">
        <is>
          <t>Trucking Fee</t>
        </is>
      </c>
      <c r="C4467" s="522" t="inlineStr">
        <is>
          <t>អ៊ិចស្ពែឌីធ័រ ខេមបូឌា អិលធីឌី</t>
        </is>
      </c>
      <c r="D4467" s="522" t="inlineStr">
        <is>
          <t>L001-100045898</t>
        </is>
      </c>
      <c r="E4467" s="521" t="inlineStr">
        <is>
          <t>TI-0240593</t>
        </is>
      </c>
      <c r="F4467" s="523" t="n">
        <v>44902</v>
      </c>
      <c r="G4467" s="556" t="n">
        <v>128659</v>
      </c>
      <c r="I4467" s="521">
        <f>G4467</f>
        <v/>
      </c>
      <c r="K4467" s="521">
        <f>I4467-G4467</f>
        <v/>
      </c>
      <c r="M4467" s="522" t="inlineStr">
        <is>
          <t>TI0240593</t>
        </is>
      </c>
      <c r="N4467" s="522" t="inlineStr">
        <is>
          <t>TI0240593</t>
        </is>
      </c>
      <c r="O4467" s="521">
        <f>M4467=N4467</f>
        <v/>
      </c>
      <c r="P4467" s="521">
        <f>AND(MONTH(F4467)=MONTH(S4467), YEAR(F4467)=YEAR(S4467))</f>
        <v/>
      </c>
      <c r="Q4467" s="521">
        <f>U4467="L001-901905215"</f>
        <v/>
      </c>
      <c r="R4467" s="556">
        <f>G4467-W4467</f>
        <v/>
      </c>
      <c r="S4467" s="523" t="n">
        <v>44902</v>
      </c>
      <c r="T4467" s="522" t="inlineStr">
        <is>
          <t>TI-0240593</t>
        </is>
      </c>
      <c r="U4467" s="522" t="inlineStr">
        <is>
          <t>L001-901905215</t>
        </is>
      </c>
      <c r="V4467" s="522" t="inlineStr">
        <is>
          <t>វីអ៊ីស៊ិន (ខេមបូឌា) អ៊ិនដាសស្ទ្រី ឯ.ក</t>
        </is>
      </c>
      <c r="W4467" s="556" t="n">
        <v>128648</v>
      </c>
    </row>
    <row r="4468">
      <c r="A4468" s="521" t="n">
        <v>4460</v>
      </c>
      <c r="B4468" s="522" t="inlineStr">
        <is>
          <t>Trucking Fee</t>
        </is>
      </c>
      <c r="C4468" s="522" t="inlineStr">
        <is>
          <t>អ៊ិចស្ពែឌីធ័រ ខេមបូឌា អិលធីឌី</t>
        </is>
      </c>
      <c r="D4468" s="522" t="inlineStr">
        <is>
          <t>L001-100045898</t>
        </is>
      </c>
      <c r="E4468" s="521" t="inlineStr">
        <is>
          <t>TI-0240582</t>
        </is>
      </c>
      <c r="F4468" s="523" t="n">
        <v>44902</v>
      </c>
      <c r="G4468" s="556" t="n">
        <v>367270</v>
      </c>
      <c r="I4468" s="521">
        <f>G4468</f>
        <v/>
      </c>
      <c r="K4468" s="521">
        <f>I4468-G4468</f>
        <v/>
      </c>
      <c r="M4468" s="522" t="inlineStr">
        <is>
          <t>TI0240582</t>
        </is>
      </c>
      <c r="N4468" s="522" t="inlineStr">
        <is>
          <t>TI0240582</t>
        </is>
      </c>
      <c r="O4468" s="521">
        <f>M4468=N4468</f>
        <v/>
      </c>
      <c r="P4468" s="521">
        <f>AND(MONTH(F4468)=MONTH(S4468), YEAR(F4468)=YEAR(S4468))</f>
        <v/>
      </c>
      <c r="Q4468" s="521">
        <f>U4468="L001-901905215"</f>
        <v/>
      </c>
      <c r="R4468" s="556">
        <f>G4468-W4468</f>
        <v/>
      </c>
      <c r="S4468" s="523" t="n">
        <v>44902</v>
      </c>
      <c r="T4468" s="522" t="inlineStr">
        <is>
          <t>TI-0240582</t>
        </is>
      </c>
      <c r="U4468" s="522" t="inlineStr">
        <is>
          <t>L001-901905215</t>
        </is>
      </c>
      <c r="V4468" s="522" t="inlineStr">
        <is>
          <t>វីអ៊ីស៊ិន (ខេមបូឌា) អ៊ិនដាសស្ទ្រី ឯ.ក</t>
        </is>
      </c>
      <c r="W4468" s="556" t="n">
        <v>367270</v>
      </c>
    </row>
    <row r="4469">
      <c r="A4469" s="521" t="n">
        <v>4461</v>
      </c>
      <c r="B4469" s="522" t="inlineStr">
        <is>
          <t>Trucking Fee</t>
        </is>
      </c>
      <c r="C4469" s="522" t="inlineStr">
        <is>
          <t>អ៊ិចស្ពែឌីធ័រ ខេមបូឌា អិលធីឌី</t>
        </is>
      </c>
      <c r="D4469" s="522" t="inlineStr">
        <is>
          <t>L001-100045898</t>
        </is>
      </c>
      <c r="E4469" s="521" t="inlineStr">
        <is>
          <t>TI0240621</t>
        </is>
      </c>
      <c r="F4469" s="523" t="n">
        <v>44902</v>
      </c>
      <c r="G4469" s="556" t="n">
        <v>219290</v>
      </c>
      <c r="I4469" s="521">
        <f>G4469</f>
        <v/>
      </c>
      <c r="K4469" s="521">
        <f>I4469-G4469</f>
        <v/>
      </c>
      <c r="M4469" s="522" t="inlineStr">
        <is>
          <t>TI0240621</t>
        </is>
      </c>
      <c r="N4469" s="522" t="inlineStr">
        <is>
          <t>TI0240621</t>
        </is>
      </c>
      <c r="O4469" s="521">
        <f>M4469=N4469</f>
        <v/>
      </c>
      <c r="P4469" s="521">
        <f>AND(MONTH(F4469)=MONTH(S4469), YEAR(F4469)=YEAR(S4469))</f>
        <v/>
      </c>
      <c r="Q4469" s="521">
        <f>U4469="L001-901905215"</f>
        <v/>
      </c>
      <c r="R4469" s="556">
        <f>G4469-W4469</f>
        <v/>
      </c>
      <c r="S4469" s="523" t="n">
        <v>44902</v>
      </c>
      <c r="T4469" s="522" t="inlineStr">
        <is>
          <t>TI-0240621</t>
        </is>
      </c>
      <c r="U4469" s="522" t="inlineStr">
        <is>
          <t>L001-901905215</t>
        </is>
      </c>
      <c r="V4469" s="522" t="inlineStr">
        <is>
          <t>វីអ៊ីស៊ិន (ខេមបូឌា) អ៊ិនដាសស្ទ្រី ឯ.ក</t>
        </is>
      </c>
      <c r="W4469" s="556" t="n">
        <v>219290</v>
      </c>
    </row>
    <row r="4470">
      <c r="A4470" s="525" t="inlineStr">
        <is>
          <t>សរុបការទិញក្នុងស្រុក</t>
        </is>
      </c>
      <c r="B4470" s="526" t="n"/>
      <c r="C4470" s="526" t="n"/>
      <c r="D4470" s="526" t="n"/>
      <c r="E4470" s="526" t="n"/>
      <c r="F4470" s="526" t="n"/>
      <c r="G4470" s="527">
        <f>SUM(G9:G4469)</f>
        <v/>
      </c>
      <c r="I4470" s="526" t="n"/>
      <c r="K4470" s="526" t="n"/>
      <c r="M4470" s="526" t="n"/>
      <c r="N4470" s="526" t="n"/>
      <c r="O4470" s="526" t="n"/>
      <c r="P4470" s="526" t="n"/>
      <c r="Q4470" s="526" t="n"/>
      <c r="R4470" s="526" t="n"/>
      <c r="S4470" s="526" t="n"/>
      <c r="T4470" s="526" t="n"/>
      <c r="U4470" s="526" t="n"/>
      <c r="V4470" s="526" t="n"/>
      <c r="W4470" s="526" t="n"/>
    </row>
    <row r="4472">
      <c r="E4472" s="528" t="inlineStr">
        <is>
          <t>រាជធានីភ្នំពេញ.ថ្ងៃទី           ខែ           ឆ្នាំ</t>
        </is>
      </c>
    </row>
    <row r="4473">
      <c r="E4473" s="528" t="inlineStr">
        <is>
          <t>មន្ត្រីសវនកម្ម</t>
        </is>
      </c>
    </row>
    <row r="4475">
      <c r="E4475" s="528">
        <f>'Company information'!D9</f>
        <v/>
      </c>
      <c r="G4475" s="528">
        <f>'Company information'!E9</f>
        <v/>
      </c>
    </row>
  </sheetData>
  <mergeCells count="43">
    <mergeCell ref="T5:AO6"/>
    <mergeCell ref="R7:R8"/>
    <mergeCell ref="A7:A8"/>
    <mergeCell ref="AJ7:AJ8"/>
    <mergeCell ref="Z7:Z8"/>
    <mergeCell ref="AL7:AL8"/>
    <mergeCell ref="A3:L3"/>
    <mergeCell ref="W7:Y7"/>
    <mergeCell ref="S7:S8"/>
    <mergeCell ref="U7:U8"/>
    <mergeCell ref="E4475:F4475"/>
    <mergeCell ref="A2:L2"/>
    <mergeCell ref="A4470:F4470"/>
    <mergeCell ref="J6:K6"/>
    <mergeCell ref="D7:D8"/>
    <mergeCell ref="E4472:G4472"/>
    <mergeCell ref="AI7:AI8"/>
    <mergeCell ref="J7:J8"/>
    <mergeCell ref="AG7:AG8"/>
    <mergeCell ref="P7:P8"/>
    <mergeCell ref="AM7:AM8"/>
    <mergeCell ref="L7:L8"/>
    <mergeCell ref="R5:S6"/>
    <mergeCell ref="AA7:AB7"/>
    <mergeCell ref="L5:Q6"/>
    <mergeCell ref="T7:T8"/>
    <mergeCell ref="C7:C8"/>
    <mergeCell ref="V7:V8"/>
    <mergeCell ref="K7:K8"/>
    <mergeCell ref="E4473:G4473"/>
    <mergeCell ref="AN7:AN8"/>
    <mergeCell ref="AF7:AF8"/>
    <mergeCell ref="O7:O8"/>
    <mergeCell ref="AH7:AH8"/>
    <mergeCell ref="Q7:Q8"/>
    <mergeCell ref="AD7:AE7"/>
    <mergeCell ref="E7:F7"/>
    <mergeCell ref="A1:L1"/>
    <mergeCell ref="B7:B8"/>
    <mergeCell ref="AK7:AK8"/>
    <mergeCell ref="AC7:AC8"/>
    <mergeCell ref="AO7:AO8"/>
    <mergeCell ref="G7:I7"/>
  </mergeCells>
  <printOptions horizontalCentered="1"/>
  <pageMargins left="0.2" right="0.2" top="0.5" bottom="0.45" header="0" footer="0"/>
  <pageSetup orientation="portrait" paperSize="9" scale="48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O790"/>
  <sheetViews>
    <sheetView zoomScale="40" zoomScaleNormal="40" zoomScaleSheetLayoutView="70" workbookViewId="0">
      <pane xSplit="1" ySplit="8" topLeftCell="Q9" activePane="bottomRight" state="frozen"/>
      <selection pane="topRight" activeCell="B1" sqref="B1"/>
      <selection pane="bottomLeft" activeCell="A10" sqref="A10"/>
      <selection pane="bottomRight" activeCell="M9" sqref="M9"/>
    </sheetView>
  </sheetViews>
  <sheetFormatPr baseColWidth="8" defaultColWidth="9.109375" defaultRowHeight="22.8"/>
  <cols>
    <col width="12.109375" customWidth="1" style="402" min="1" max="1"/>
    <col width="67.5546875" bestFit="1" customWidth="1" style="198" min="2" max="2"/>
    <col width="43" customWidth="1" style="198" min="3" max="3"/>
    <col width="23" bestFit="1" customWidth="1" style="402" min="4" max="4"/>
    <col width="20.44140625" customWidth="1" style="402" min="5" max="5"/>
    <col width="14" customWidth="1" style="198" min="6" max="6"/>
    <col hidden="1" width="20.109375" customWidth="1" style="198" min="7" max="7"/>
    <col hidden="1" width="20.109375" customWidth="1" style="535" min="8" max="8"/>
    <col width="18.6640625" customWidth="1" style="198" min="9" max="9"/>
    <col width="23.109375" bestFit="1" customWidth="1" style="198" min="10" max="10"/>
    <col width="13.88671875" customWidth="1" style="198" min="11" max="11"/>
    <col width="35.33203125" bestFit="1" customWidth="1" style="536" min="12" max="12"/>
    <col width="16.6640625" bestFit="1" customWidth="1" style="536" min="13" max="13"/>
    <col width="34.109375" customWidth="1" style="536" min="14" max="14"/>
    <col width="15" customWidth="1" style="198" min="15" max="15"/>
    <col width="32.5546875" customWidth="1" style="198" min="16" max="16"/>
    <col width="26.33203125" customWidth="1" style="198" min="17" max="17"/>
    <col width="18.33203125" bestFit="1" customWidth="1" style="198" min="18" max="18"/>
    <col width="13.33203125" customWidth="1" style="280" min="19" max="19"/>
    <col width="13.5546875" bestFit="1" customWidth="1" style="536" min="20" max="20"/>
    <col width="23.109375" bestFit="1" customWidth="1" style="536" min="21" max="21"/>
    <col width="47.88671875" customWidth="1" style="536" min="22" max="22"/>
    <col width="10.21875" customWidth="1" style="536" min="23" max="23"/>
    <col width="23.88671875" customWidth="1" style="536" min="24" max="24"/>
    <col width="16.33203125" customWidth="1" style="536" min="25" max="25"/>
    <col width="25.109375" customWidth="1" style="536" min="26" max="26"/>
    <col width="23.109375" customWidth="1" style="536" min="27" max="27"/>
    <col width="19" customWidth="1" style="536" min="28" max="28"/>
    <col width="18" customWidth="1" style="536" min="29" max="29"/>
    <col width="19" customWidth="1" style="536" min="30" max="30"/>
    <col width="15.88671875" customWidth="1" style="536" min="31" max="31"/>
    <col width="14.44140625" customWidth="1" style="198" min="32" max="32"/>
    <col width="9.109375" customWidth="1" style="198" min="33" max="16384"/>
  </cols>
  <sheetData>
    <row r="1" ht="24.6" customFormat="1" customHeight="1" s="275">
      <c r="A1" s="391" t="inlineStr">
        <is>
          <t>តារាងឧបសម្ព័ន្ធ III</t>
        </is>
      </c>
      <c r="M1" s="537" t="n"/>
      <c r="N1" s="537" t="n"/>
      <c r="T1" s="537" t="n"/>
      <c r="U1" s="537" t="n"/>
      <c r="V1" s="537" t="n"/>
      <c r="W1" s="537" t="n"/>
      <c r="X1" s="537" t="n"/>
      <c r="Y1" s="537" t="n"/>
      <c r="Z1" s="537" t="n"/>
      <c r="AA1" s="537" t="n"/>
      <c r="AB1" s="537" t="n"/>
      <c r="AC1" s="537" t="n"/>
      <c r="AD1" s="537" t="n"/>
      <c r="AE1" s="537" t="n"/>
    </row>
    <row r="2" ht="24.6" customFormat="1" customHeight="1" s="275">
      <c r="A2" s="391" t="inlineStr">
        <is>
          <t>តារាងផ្ទៀងផ្ទាត់បញ្ជាក់អំពីអាករលើធាតុចូលដែលអាចស្នើសុំជាឥណទាន</t>
        </is>
      </c>
      <c r="M2" s="537" t="n"/>
      <c r="N2" s="537" t="n"/>
      <c r="T2" s="537" t="n"/>
      <c r="U2" s="537" t="n"/>
      <c r="V2" s="537" t="n"/>
      <c r="W2" s="537" t="n"/>
      <c r="X2" s="537" t="n"/>
      <c r="Y2" s="537" t="n"/>
      <c r="Z2" s="537" t="n"/>
      <c r="AA2" s="537" t="n"/>
      <c r="AB2" s="537" t="n"/>
      <c r="AC2" s="537" t="n"/>
      <c r="AD2" s="537" t="n"/>
      <c r="AE2" s="537" t="n"/>
    </row>
    <row r="3" ht="24.6" customFormat="1" customHeight="1" s="275">
      <c r="A3" s="391" t="inlineStr">
        <is>
          <t>(ការទិញក្នុងស្រុក)</t>
        </is>
      </c>
      <c r="M3" s="537" t="n"/>
      <c r="N3" s="537" t="n"/>
      <c r="T3" s="537" t="n"/>
      <c r="U3" s="537" t="n"/>
      <c r="V3" s="537" t="n"/>
      <c r="W3" s="537" t="n"/>
      <c r="X3" s="537" t="n"/>
      <c r="Y3" s="537" t="n"/>
      <c r="Z3" s="537" t="n"/>
      <c r="AA3" s="537" t="n"/>
      <c r="AB3" s="537" t="n"/>
      <c r="AC3" s="537" t="n"/>
      <c r="AD3" s="537" t="n"/>
      <c r="AE3" s="537" t="n"/>
    </row>
    <row r="4" ht="24.6" customFormat="1" customHeight="1" s="275">
      <c r="A4" s="276" t="inlineStr">
        <is>
          <t>ក្រុមហ៊ុន៖</t>
        </is>
      </c>
      <c r="B4" s="265">
        <f>'Company information'!D2</f>
        <v/>
      </c>
      <c r="D4" s="266" t="n"/>
      <c r="E4" s="267" t="n"/>
      <c r="F4" s="263" t="n"/>
      <c r="H4" s="538" t="n"/>
      <c r="I4" s="539" t="inlineStr">
        <is>
          <t xml:space="preserve">សវនករពន្ធដារ៖ </t>
        </is>
      </c>
      <c r="K4" s="540">
        <f>'Company information'!D8</f>
        <v/>
      </c>
      <c r="L4" s="537" t="n"/>
      <c r="M4" s="537" t="n"/>
      <c r="N4" s="537" t="n"/>
      <c r="T4" s="537" t="n"/>
      <c r="U4" s="537" t="n"/>
      <c r="V4" s="537" t="n"/>
      <c r="W4" s="537" t="n"/>
      <c r="X4" s="537" t="n"/>
      <c r="Y4" s="537" t="n"/>
      <c r="Z4" s="537" t="n"/>
      <c r="AA4" s="537" t="n"/>
      <c r="AB4" s="537" t="n"/>
      <c r="AC4" s="537" t="n"/>
      <c r="AD4" s="537" t="n"/>
      <c r="AE4" s="537" t="n"/>
    </row>
    <row r="5" ht="24.6" customFormat="1" customHeight="1" s="275">
      <c r="A5" s="270" t="inlineStr">
        <is>
          <t>លេខ អតប៖</t>
        </is>
      </c>
      <c r="B5" s="265">
        <f>'Company information'!D4</f>
        <v/>
      </c>
      <c r="D5" s="266" t="n"/>
      <c r="E5" s="267" t="n"/>
      <c r="F5" s="266" t="n"/>
      <c r="G5" s="538" t="n"/>
      <c r="H5" s="538" t="n"/>
      <c r="K5" s="540">
        <f>'Company information'!E8</f>
        <v/>
      </c>
      <c r="L5" s="541" t="inlineStr">
        <is>
          <t>FOR REPORT</t>
        </is>
      </c>
      <c r="M5" s="542" t="n"/>
      <c r="N5" s="542" t="n"/>
      <c r="O5" s="542" t="n"/>
      <c r="P5" s="542" t="n"/>
      <c r="Q5" s="543" t="n"/>
      <c r="R5" s="401" t="inlineStr">
        <is>
          <t>សម្គាល់ផ្សេងៗ</t>
        </is>
      </c>
      <c r="S5" s="543" t="n"/>
      <c r="T5" s="557" t="inlineStr">
        <is>
          <t>បញ្ចូលទិន្នន័យ</t>
        </is>
      </c>
      <c r="U5" s="542" t="n"/>
      <c r="V5" s="542" t="n"/>
      <c r="W5" s="542" t="n"/>
      <c r="X5" s="542" t="n"/>
      <c r="Y5" s="542" t="n"/>
      <c r="Z5" s="542" t="n"/>
      <c r="AA5" s="542" t="n"/>
      <c r="AB5" s="542" t="n"/>
      <c r="AC5" s="542" t="n"/>
      <c r="AD5" s="542" t="n"/>
      <c r="AE5" s="542" t="n"/>
      <c r="AF5" s="542" t="n"/>
      <c r="AG5" s="542" t="n"/>
      <c r="AH5" s="542" t="n"/>
      <c r="AI5" s="542" t="n"/>
      <c r="AJ5" s="543" t="n"/>
    </row>
    <row r="6" ht="24.6" customFormat="1" customHeight="1" s="275">
      <c r="A6" s="545">
        <f>'Company information'!H8</f>
        <v/>
      </c>
      <c r="B6" s="265" t="n"/>
      <c r="D6" s="266" t="n"/>
      <c r="E6" s="267" t="n"/>
      <c r="F6" s="263" t="n"/>
      <c r="H6" s="538" t="n"/>
      <c r="I6" s="546" t="inlineStr">
        <is>
          <t>ទឹកប្រាក់ស្នើសុំបង្វិលសងចំនួន៖</t>
        </is>
      </c>
      <c r="J6" s="396">
        <f>'Company information'!H9</f>
        <v/>
      </c>
      <c r="K6" s="529" t="n"/>
      <c r="L6" s="547" t="n"/>
      <c r="M6" s="529" t="n"/>
      <c r="N6" s="529" t="n"/>
      <c r="O6" s="529" t="n"/>
      <c r="P6" s="529" t="n"/>
      <c r="Q6" s="548" t="n"/>
      <c r="R6" s="547" t="n"/>
      <c r="S6" s="548" t="n"/>
      <c r="T6" s="547" t="n"/>
      <c r="U6" s="529" t="n"/>
      <c r="V6" s="529" t="n"/>
      <c r="W6" s="529" t="n"/>
      <c r="X6" s="529" t="n"/>
      <c r="Y6" s="529" t="n"/>
      <c r="Z6" s="529" t="n"/>
      <c r="AA6" s="529" t="n"/>
      <c r="AB6" s="529" t="n"/>
      <c r="AC6" s="529" t="n"/>
      <c r="AD6" s="529" t="n"/>
      <c r="AE6" s="529" t="n"/>
      <c r="AF6" s="529" t="n"/>
      <c r="AG6" s="529" t="n"/>
      <c r="AH6" s="529" t="n"/>
      <c r="AI6" s="529" t="n"/>
      <c r="AJ6" s="548" t="n"/>
    </row>
    <row r="7" ht="25.2" customHeight="1" s="331" thickBot="1">
      <c r="A7" s="210" t="inlineStr">
        <is>
          <t>ល.រ</t>
        </is>
      </c>
      <c r="B7" s="210" t="inlineStr">
        <is>
          <t>បរិយាយ</t>
        </is>
      </c>
      <c r="C7" s="210" t="inlineStr">
        <is>
          <t>អ្នកផ្គត់ផ្គង់</t>
        </is>
      </c>
      <c r="D7" s="551" t="inlineStr">
        <is>
          <t>លេខ អតប</t>
        </is>
      </c>
      <c r="E7" s="210" t="inlineStr">
        <is>
          <t>វិក្កយបត្រ</t>
        </is>
      </c>
      <c r="F7" s="519" t="n"/>
      <c r="G7" s="210" t="inlineStr">
        <is>
          <t>ទឹកប្រាក់អាករ</t>
        </is>
      </c>
      <c r="H7" s="531" t="n"/>
      <c r="I7" s="519" t="n"/>
      <c r="J7" s="386" t="inlineStr">
        <is>
          <t>ស្ថានភាព</t>
        </is>
      </c>
      <c r="K7" s="551" t="inlineStr">
        <is>
          <t>ផ្សេង (សម្គាល់)</t>
        </is>
      </c>
      <c r="L7" s="552" t="n"/>
      <c r="O7" s="390" t="inlineStr">
        <is>
          <t>VAR INVOICE
T/F</t>
        </is>
      </c>
      <c r="P7" s="388" t="inlineStr">
        <is>
          <t>VAR. DATE
T/F</t>
        </is>
      </c>
      <c r="Q7" s="390" t="inlineStr">
        <is>
          <t>VAR. SUPPLIER &amp; PUCHASER</t>
        </is>
      </c>
      <c r="R7" s="553" t="inlineStr">
        <is>
          <t>តេស្តទឹកប្រាក់លម្អៀង</t>
        </is>
      </c>
      <c r="S7" s="386" t="inlineStr">
        <is>
          <t>សម្កាល់</t>
        </is>
      </c>
      <c r="T7" s="408" t="inlineStr">
        <is>
          <t xml:space="preserve">កាលបរិច្ឆេទ </t>
        </is>
      </c>
      <c r="U7" s="382" t="inlineStr">
        <is>
          <t xml:space="preserve">លេខវិក្កយបត្រ ឬប្រតិវេទគយ </t>
        </is>
      </c>
      <c r="V7" s="382" t="inlineStr">
        <is>
          <t>លេខលិខិតជូនដំណឹងឥណទាន</t>
        </is>
      </c>
      <c r="W7" s="382" t="inlineStr">
        <is>
          <t>អ្នកទិញ</t>
        </is>
      </c>
      <c r="X7" s="558" t="n"/>
      <c r="Y7" s="559" t="n"/>
      <c r="Z7" s="410" t="inlineStr">
        <is>
          <t>តម្លៃសរុបលើវិក្កយបត្រ</t>
        </is>
      </c>
      <c r="AA7" s="382" t="inlineStr">
        <is>
          <t>តម្លៃ​​មិន​រួមអតប និងមិនជាប់​អតប​</t>
        </is>
      </c>
      <c r="AB7" s="559" t="n"/>
      <c r="AC7" s="382" t="inlineStr">
        <is>
          <t>អាករលើតម្លៃបន្ថែមអត្រា ០%</t>
        </is>
      </c>
      <c r="AD7" s="382" t="inlineStr">
        <is>
          <t>អាករលើតម្លៃបន្ថែម</t>
        </is>
      </c>
      <c r="AE7" s="559" t="n"/>
      <c r="AF7" s="387" t="inlineStr">
        <is>
          <t>Under</t>
        </is>
      </c>
      <c r="AG7" s="406" t="n"/>
    </row>
    <row r="8" ht="25.2" customHeight="1" s="331" thickBot="1">
      <c r="A8" s="520" t="n"/>
      <c r="B8" s="520" t="n"/>
      <c r="C8" s="520" t="n"/>
      <c r="D8" s="520" t="n"/>
      <c r="E8" s="210" t="inlineStr">
        <is>
          <t>លេខ</t>
        </is>
      </c>
      <c r="F8" s="210" t="inlineStr">
        <is>
          <t>ថ្ងៃ ខែ ឆ្នាំ</t>
        </is>
      </c>
      <c r="G8" s="210" t="inlineStr">
        <is>
          <t>ជាដុល្លារអាមេរិក</t>
        </is>
      </c>
      <c r="H8" s="554" t="inlineStr">
        <is>
          <t>អត្រា</t>
        </is>
      </c>
      <c r="I8" s="554" t="inlineStr">
        <is>
          <t>ជារៀល</t>
        </is>
      </c>
      <c r="J8" s="555" t="n"/>
      <c r="K8" s="520" t="n"/>
      <c r="L8" s="547" t="n"/>
      <c r="O8" s="520" t="n"/>
      <c r="P8" s="555" t="n"/>
      <c r="Q8" s="520" t="n"/>
      <c r="R8" s="520" t="n"/>
      <c r="S8" s="555" t="n"/>
      <c r="T8" s="560" t="n"/>
      <c r="U8" s="560" t="n"/>
      <c r="V8" s="560" t="n"/>
      <c r="W8" s="296" t="inlineStr">
        <is>
          <t>ប្រភេទ</t>
        </is>
      </c>
      <c r="X8" s="296" t="inlineStr">
        <is>
          <t>លេខសម្គាល់ចុះបញ្ជីពន្ធដា TIN/BIN/TID</t>
        </is>
      </c>
      <c r="Y8" s="296" t="inlineStr">
        <is>
          <t>ឈ្មោះ</t>
        </is>
      </c>
      <c r="Z8" s="560" t="n"/>
      <c r="AA8" s="297" t="inlineStr">
        <is>
          <t>តម្លៃមិនរួមអតប</t>
        </is>
      </c>
      <c r="AB8" s="296" t="inlineStr">
        <is>
          <t>ការលក់មិនជាប់អតប</t>
        </is>
      </c>
      <c r="AC8" s="560" t="n"/>
      <c r="AD8" s="297" t="inlineStr">
        <is>
          <t>ការលក់ក្នុងស្រុក</t>
        </is>
      </c>
      <c r="AE8" s="296" t="inlineStr">
        <is>
          <t>អតបលើការនាំចេញ</t>
        </is>
      </c>
      <c r="AF8" s="555" t="n"/>
      <c r="AG8" s="555" t="n"/>
    </row>
    <row r="9">
      <c r="A9" s="212" t="n">
        <v>1</v>
      </c>
      <c r="B9" s="315" t="inlineStr">
        <is>
          <t>Rental Building E G&amp; L</t>
        </is>
      </c>
      <c r="C9" s="315" t="inlineStr">
        <is>
          <t>JALIANKA INTERNATIONAL (CAMBODIA) CO., LTD.</t>
        </is>
      </c>
      <c r="D9" s="316" t="inlineStr">
        <is>
          <t>B105-901907504</t>
        </is>
      </c>
      <c r="E9" s="317" t="inlineStr">
        <is>
          <t>JILLANKA2401049</t>
        </is>
      </c>
      <c r="F9" s="318" t="n">
        <v>45596</v>
      </c>
      <c r="G9" s="319" t="n"/>
      <c r="H9" s="561" t="n"/>
      <c r="I9" s="561" t="n">
        <v>20811742</v>
      </c>
      <c r="J9" s="325" t="inlineStr">
        <is>
          <t>អនុញ្ញាត (បានប្រកាស)</t>
        </is>
      </c>
      <c r="K9" s="213" t="n"/>
      <c r="L9" s="326" t="inlineStr">
        <is>
          <t>=I10</t>
        </is>
      </c>
      <c r="M9" s="327" t="inlineStr">
        <is>
          <t>=I10-L10</t>
        </is>
      </c>
      <c r="N9" s="328" t="inlineStr">
        <is>
          <t>បានពិនិត្យវិក្កយបត្រ</t>
        </is>
      </c>
      <c r="O9" s="329" t="inlineStr">
        <is>
          <t>=U10=E10</t>
        </is>
      </c>
      <c r="P9" s="329" t="inlineStr">
        <is>
          <t>=MONTH(F10)-MONTH(T10)</t>
        </is>
      </c>
      <c r="Q9" s="329" t="inlineStr">
        <is>
          <t>=$B$5=X10</t>
        </is>
      </c>
      <c r="R9" s="329" t="inlineStr">
        <is>
          <t>=I10-AD10</t>
        </is>
      </c>
      <c r="S9" s="330" t="n"/>
      <c r="T9" s="322" t="n">
        <v>45596</v>
      </c>
      <c r="U9" s="323" t="inlineStr">
        <is>
          <t>JILLANKA2401049</t>
        </is>
      </c>
      <c r="V9" s="323" t="n">
        <v>0</v>
      </c>
      <c r="W9" s="323" t="inlineStr">
        <is>
          <t>បុគ្គលជាប់អាករ</t>
        </is>
      </c>
      <c r="X9" s="323" t="inlineStr">
        <is>
          <t>L001-901640009</t>
        </is>
      </c>
      <c r="Y9" s="323" t="inlineStr">
        <is>
          <t>ហូលីដេ ឌីហ្សាញ (ខេមបូឌា) ឯ.ក</t>
        </is>
      </c>
      <c r="Z9" s="324" t="n">
        <v>228929166</v>
      </c>
      <c r="AA9" s="324" t="n">
        <v>208117424</v>
      </c>
      <c r="AB9" s="323" t="n">
        <v>0</v>
      </c>
      <c r="AC9" s="323" t="inlineStr">
        <is>
          <t>-</t>
        </is>
      </c>
      <c r="AD9" s="324" t="n">
        <v>20811742</v>
      </c>
      <c r="AE9" s="323" t="n">
        <v>0</v>
      </c>
      <c r="AF9" s="562" t="n">
        <v>0</v>
      </c>
      <c r="AG9" s="198" t="n">
        <v>0</v>
      </c>
      <c r="AH9" s="198" t="n">
        <v>0</v>
      </c>
      <c r="AI9" s="198" t="n">
        <v>0</v>
      </c>
      <c r="AJ9" s="198" t="n">
        <v>0</v>
      </c>
      <c r="AK9" s="198" t="n">
        <v>0</v>
      </c>
      <c r="AL9" s="198" t="n">
        <v>0.01</v>
      </c>
      <c r="AM9" s="198" t="n">
        <v>0</v>
      </c>
      <c r="AN9" s="198" t="inlineStr">
        <is>
          <t>Rental Building E , G, L</t>
        </is>
      </c>
      <c r="AO9" s="198" t="inlineStr">
        <is>
          <t>បានប្រកាសនិងបង់ពន្ធ</t>
        </is>
      </c>
    </row>
    <row r="10">
      <c r="A10" s="212">
        <f>A9+1</f>
        <v/>
      </c>
      <c r="B10" s="315" t="inlineStr">
        <is>
          <t>Rental Building D &amp; F</t>
        </is>
      </c>
      <c r="C10" s="315" t="inlineStr">
        <is>
          <t>JALIANKA INTERNATIONAL (CAMBODIA) CO., LTD.</t>
        </is>
      </c>
      <c r="D10" s="316" t="inlineStr">
        <is>
          <t>B105-901907504</t>
        </is>
      </c>
      <c r="E10" s="317" t="inlineStr">
        <is>
          <t>JILLANKA2401047</t>
        </is>
      </c>
      <c r="F10" s="318" t="n">
        <v>45596</v>
      </c>
      <c r="G10" s="319" t="n"/>
      <c r="H10" s="561" t="n"/>
      <c r="I10" s="561" t="n">
        <v>13082860</v>
      </c>
      <c r="J10" s="325" t="inlineStr">
        <is>
          <t>អនុញ្ញាត (បានប្រកាស)</t>
        </is>
      </c>
      <c r="K10" s="213" t="n"/>
      <c r="L10" s="326" t="inlineStr">
        <is>
          <t>=I11</t>
        </is>
      </c>
      <c r="M10" s="327" t="inlineStr">
        <is>
          <t>=I11-L11</t>
        </is>
      </c>
      <c r="N10" s="328" t="inlineStr">
        <is>
          <t>បានពិនិត្យវិក្កយបត្រ</t>
        </is>
      </c>
      <c r="O10" s="329" t="inlineStr">
        <is>
          <t>=U11=E11</t>
        </is>
      </c>
      <c r="P10" s="329" t="inlineStr">
        <is>
          <t>=MONTH(F11)-MONTH(T11)</t>
        </is>
      </c>
      <c r="Q10" s="329" t="inlineStr">
        <is>
          <t>=$B$5=X11</t>
        </is>
      </c>
      <c r="R10" s="329" t="inlineStr">
        <is>
          <t>=I11-AD11</t>
        </is>
      </c>
      <c r="S10" s="330" t="n"/>
      <c r="T10" s="322" t="n">
        <v>45596</v>
      </c>
      <c r="U10" s="323" t="inlineStr">
        <is>
          <t>JILLANKA2401047</t>
        </is>
      </c>
      <c r="V10" s="323" t="n">
        <v>0</v>
      </c>
      <c r="W10" s="323" t="inlineStr">
        <is>
          <t>បុគ្គលជាប់អាករ</t>
        </is>
      </c>
      <c r="X10" s="323" t="inlineStr">
        <is>
          <t>L001-901640009</t>
        </is>
      </c>
      <c r="Y10" s="323" t="inlineStr">
        <is>
          <t>ហូលីដេ ឌីហ្សាញ (ខេមបូឌា) ឯ.ក</t>
        </is>
      </c>
      <c r="Z10" s="324" t="n">
        <v>143911460</v>
      </c>
      <c r="AA10" s="324" t="n">
        <v>130828600</v>
      </c>
      <c r="AB10" s="323" t="n">
        <v>0</v>
      </c>
      <c r="AC10" s="323" t="inlineStr">
        <is>
          <t>-</t>
        </is>
      </c>
      <c r="AD10" s="324" t="n">
        <v>13082860</v>
      </c>
      <c r="AE10" s="323" t="n">
        <v>0</v>
      </c>
      <c r="AF10" s="562" t="n">
        <v>0</v>
      </c>
      <c r="AG10" s="198" t="n">
        <v>0</v>
      </c>
      <c r="AH10" s="198" t="n">
        <v>0</v>
      </c>
      <c r="AI10" s="198" t="n">
        <v>0</v>
      </c>
      <c r="AJ10" s="198" t="n">
        <v>0</v>
      </c>
      <c r="AK10" s="198" t="n">
        <v>0</v>
      </c>
      <c r="AL10" s="198" t="n">
        <v>0.01</v>
      </c>
      <c r="AM10" s="198" t="n">
        <v>0</v>
      </c>
      <c r="AN10" s="198" t="inlineStr">
        <is>
          <t>Rental Building D , F</t>
        </is>
      </c>
      <c r="AO10" s="198" t="inlineStr">
        <is>
          <t>បានប្រកាសនិងបង់ពន្ធ</t>
        </is>
      </c>
    </row>
    <row r="11">
      <c r="A11" s="212">
        <f>A10+1</f>
        <v/>
      </c>
      <c r="B11" s="315" t="inlineStr">
        <is>
          <t>Rental Building D &amp; F</t>
        </is>
      </c>
      <c r="C11" s="315" t="inlineStr">
        <is>
          <t>JALIANKA INTERNATIONAL (CAMBODIA) CO., LTD.</t>
        </is>
      </c>
      <c r="D11" s="316" t="inlineStr">
        <is>
          <t>B105-901907504</t>
        </is>
      </c>
      <c r="E11" s="317" t="inlineStr">
        <is>
          <t>JILLANKA2401052</t>
        </is>
      </c>
      <c r="F11" s="318" t="n">
        <v>45626</v>
      </c>
      <c r="G11" s="319" t="n"/>
      <c r="H11" s="561" t="n"/>
      <c r="I11" s="561" t="n">
        <v>12970160</v>
      </c>
      <c r="J11" s="325" t="inlineStr">
        <is>
          <t>អនុញ្ញាត (បានប្រកាស)</t>
        </is>
      </c>
      <c r="K11" s="213" t="n"/>
      <c r="L11" s="326" t="inlineStr">
        <is>
          <t>=I12</t>
        </is>
      </c>
      <c r="M11" s="327" t="inlineStr">
        <is>
          <t>=I12-L12</t>
        </is>
      </c>
      <c r="N11" s="328" t="inlineStr">
        <is>
          <t>បានពិនិត្យវិក្កយបត្រ</t>
        </is>
      </c>
      <c r="O11" s="329" t="inlineStr">
        <is>
          <t>=U12=E12</t>
        </is>
      </c>
      <c r="P11" s="329" t="inlineStr">
        <is>
          <t>=MONTH(F12)-MONTH(T12)</t>
        </is>
      </c>
      <c r="Q11" s="329" t="inlineStr">
        <is>
          <t>=$B$5=X12</t>
        </is>
      </c>
      <c r="R11" s="329" t="inlineStr">
        <is>
          <t>=I12-AD12</t>
        </is>
      </c>
      <c r="S11" s="330" t="n"/>
      <c r="T11" s="322" t="n">
        <v>45626</v>
      </c>
      <c r="U11" s="323" t="inlineStr">
        <is>
          <t>JILLANKA2401052</t>
        </is>
      </c>
      <c r="V11" s="323" t="n">
        <v>0</v>
      </c>
      <c r="W11" s="323" t="inlineStr">
        <is>
          <t>បុគ្គលជាប់អាករ</t>
        </is>
      </c>
      <c r="X11" s="323" t="inlineStr">
        <is>
          <t>L001-901640009</t>
        </is>
      </c>
      <c r="Y11" s="323" t="inlineStr">
        <is>
          <t>ហូលីដេ ឌីហ្សាញ (ខេមបូឌា) ឯ.ក</t>
        </is>
      </c>
      <c r="Z11" s="324" t="n">
        <v>142671760</v>
      </c>
      <c r="AA11" s="324" t="n">
        <v>129701600</v>
      </c>
      <c r="AB11" s="323" t="n">
        <v>0</v>
      </c>
      <c r="AC11" s="323" t="inlineStr">
        <is>
          <t>-</t>
        </is>
      </c>
      <c r="AD11" s="324" t="n">
        <v>12970160</v>
      </c>
      <c r="AE11" s="323" t="n">
        <v>0</v>
      </c>
      <c r="AF11" s="562" t="n">
        <v>0</v>
      </c>
      <c r="AG11" s="198" t="n">
        <v>0</v>
      </c>
      <c r="AH11" s="198" t="n">
        <v>0</v>
      </c>
      <c r="AI11" s="198" t="n">
        <v>0</v>
      </c>
      <c r="AJ11" s="198" t="n">
        <v>0</v>
      </c>
      <c r="AK11" s="198" t="n">
        <v>0</v>
      </c>
      <c r="AL11" s="198" t="n">
        <v>0.01</v>
      </c>
      <c r="AM11" s="198" t="n">
        <v>0</v>
      </c>
      <c r="AN11" s="198" t="inlineStr">
        <is>
          <t>Rental Building D , F</t>
        </is>
      </c>
      <c r="AO11" s="198" t="inlineStr">
        <is>
          <t>បានប្រកាសនិងបង់ពន្ធ</t>
        </is>
      </c>
    </row>
    <row r="12">
      <c r="A12" s="212">
        <f>A11+1</f>
        <v/>
      </c>
      <c r="B12" s="315" t="inlineStr">
        <is>
          <t>Rental Building E G&amp; L</t>
        </is>
      </c>
      <c r="C12" s="315" t="inlineStr">
        <is>
          <t>JALIANKA INTERNATIONAL (CAMBODIA) CO., LTD.</t>
        </is>
      </c>
      <c r="D12" s="316" t="inlineStr">
        <is>
          <t>B105-901907504</t>
        </is>
      </c>
      <c r="E12" s="317" t="inlineStr">
        <is>
          <t>JILLANKA2401054</t>
        </is>
      </c>
      <c r="F12" s="318" t="n">
        <v>45626</v>
      </c>
      <c r="G12" s="319" t="n"/>
      <c r="H12" s="561" t="n"/>
      <c r="I12" s="561" t="n">
        <v>20632463</v>
      </c>
      <c r="J12" s="325" t="inlineStr">
        <is>
          <t>អនុញ្ញាត (បានប្រកាស)</t>
        </is>
      </c>
      <c r="K12" s="213" t="n"/>
      <c r="L12" s="326" t="inlineStr">
        <is>
          <t>=I13</t>
        </is>
      </c>
      <c r="M12" s="327" t="inlineStr">
        <is>
          <t>=I13-L13</t>
        </is>
      </c>
      <c r="N12" s="328" t="inlineStr">
        <is>
          <t>បានពិនិត្យវិក្កយបត្រ</t>
        </is>
      </c>
      <c r="O12" s="329" t="inlineStr">
        <is>
          <t>=U13=E13</t>
        </is>
      </c>
      <c r="P12" s="329" t="inlineStr">
        <is>
          <t>=MONTH(F13)-MONTH(T13)</t>
        </is>
      </c>
      <c r="Q12" s="329" t="inlineStr">
        <is>
          <t>=$B$5=X13</t>
        </is>
      </c>
      <c r="R12" s="329" t="inlineStr">
        <is>
          <t>=I13-AD13</t>
        </is>
      </c>
      <c r="S12" s="330" t="n"/>
      <c r="T12" s="322" t="n">
        <v>45626</v>
      </c>
      <c r="U12" s="323" t="inlineStr">
        <is>
          <t>JILLANKA2401054</t>
        </is>
      </c>
      <c r="V12" s="323" t="n">
        <v>0</v>
      </c>
      <c r="W12" s="323" t="inlineStr">
        <is>
          <t>បុគ្គលជាប់អាករ</t>
        </is>
      </c>
      <c r="X12" s="323" t="inlineStr">
        <is>
          <t>L001-901640009</t>
        </is>
      </c>
      <c r="Y12" s="323" t="inlineStr">
        <is>
          <t>ហូលីដេ ឌីហ្សាញ (ខេមបូឌា) ឯ.ក</t>
        </is>
      </c>
      <c r="Z12" s="324" t="n">
        <v>226957096</v>
      </c>
      <c r="AA12" s="324" t="n">
        <v>206324633</v>
      </c>
      <c r="AB12" s="323" t="n">
        <v>0</v>
      </c>
      <c r="AC12" s="323" t="inlineStr">
        <is>
          <t>-</t>
        </is>
      </c>
      <c r="AD12" s="324" t="n">
        <v>20632463</v>
      </c>
      <c r="AE12" s="323" t="n">
        <v>0</v>
      </c>
      <c r="AF12" s="562" t="n">
        <v>0</v>
      </c>
      <c r="AG12" s="198" t="n">
        <v>0</v>
      </c>
      <c r="AH12" s="198" t="n">
        <v>0</v>
      </c>
      <c r="AI12" s="198" t="n">
        <v>0</v>
      </c>
      <c r="AJ12" s="198" t="n">
        <v>0</v>
      </c>
      <c r="AK12" s="198" t="n">
        <v>0</v>
      </c>
      <c r="AL12" s="198" t="n">
        <v>0.01</v>
      </c>
      <c r="AM12" s="198" t="n">
        <v>0</v>
      </c>
      <c r="AN12" s="198" t="inlineStr">
        <is>
          <t>Rental Building E , G, L</t>
        </is>
      </c>
      <c r="AO12" s="198" t="inlineStr">
        <is>
          <t>បានប្រកាសនិងបង់ពន្ធ</t>
        </is>
      </c>
    </row>
    <row r="13">
      <c r="A13" s="212">
        <f>A12+1</f>
        <v/>
      </c>
      <c r="B13" s="315" t="inlineStr">
        <is>
          <t>Rental Building E G&amp; L</t>
        </is>
      </c>
      <c r="C13" s="315" t="inlineStr">
        <is>
          <t>JALIANKA INTERNATIONAL (CAMBODIA) CO., LTD.</t>
        </is>
      </c>
      <c r="D13" s="316" t="inlineStr">
        <is>
          <t>B105-901907504</t>
        </is>
      </c>
      <c r="E13" s="321" t="inlineStr">
        <is>
          <t>JILLANKA2401060</t>
        </is>
      </c>
      <c r="F13" s="318" t="n">
        <v>45657</v>
      </c>
      <c r="G13" s="319" t="n"/>
      <c r="H13" s="561" t="n"/>
      <c r="I13" s="561" t="n">
        <v>20617097</v>
      </c>
      <c r="J13" s="325" t="inlineStr">
        <is>
          <t>អនុញ្ញាត (បានប្រកាស)</t>
        </is>
      </c>
      <c r="K13" s="213" t="n"/>
      <c r="L13" s="326" t="inlineStr">
        <is>
          <t>=I14</t>
        </is>
      </c>
      <c r="M13" s="327" t="inlineStr">
        <is>
          <t>=I14-L14</t>
        </is>
      </c>
      <c r="N13" s="328" t="inlineStr">
        <is>
          <t>បានពិនិត្យវិក្កយបត្រ</t>
        </is>
      </c>
      <c r="O13" s="329" t="inlineStr">
        <is>
          <t>=U14=E14</t>
        </is>
      </c>
      <c r="P13" s="329" t="inlineStr">
        <is>
          <t>=MONTH(F14)-MONTH(T14)</t>
        </is>
      </c>
      <c r="Q13" s="329" t="inlineStr">
        <is>
          <t>=$B$5=X14</t>
        </is>
      </c>
      <c r="R13" s="329" t="inlineStr">
        <is>
          <t>=I14-AD14</t>
        </is>
      </c>
      <c r="S13" s="330" t="n"/>
      <c r="T13" s="322" t="n">
        <v>45657</v>
      </c>
      <c r="U13" s="323" t="inlineStr">
        <is>
          <t>JILLANKA2401060</t>
        </is>
      </c>
      <c r="V13" s="323" t="n">
        <v>0</v>
      </c>
      <c r="W13" s="323" t="inlineStr">
        <is>
          <t>បុគ្គលជាប់អាករ</t>
        </is>
      </c>
      <c r="X13" s="323" t="inlineStr">
        <is>
          <t>L001-901640009</t>
        </is>
      </c>
      <c r="Y13" s="323" t="inlineStr">
        <is>
          <t>ហូលីដេ ឌីហ្សាញ (ខេមបូឌា) ឯ.ក</t>
        </is>
      </c>
      <c r="Z13" s="324" t="n">
        <v>226788062</v>
      </c>
      <c r="AA13" s="324" t="n">
        <v>206170965</v>
      </c>
      <c r="AB13" s="323" t="n">
        <v>0</v>
      </c>
      <c r="AC13" s="323" t="inlineStr">
        <is>
          <t>-</t>
        </is>
      </c>
      <c r="AD13" s="324" t="n">
        <v>20617097</v>
      </c>
      <c r="AE13" s="323" t="n">
        <v>0</v>
      </c>
      <c r="AF13" s="562" t="n">
        <v>0</v>
      </c>
      <c r="AG13" s="198" t="n">
        <v>0</v>
      </c>
      <c r="AH13" s="198" t="n">
        <v>0</v>
      </c>
      <c r="AI13" s="198" t="n">
        <v>0</v>
      </c>
      <c r="AJ13" s="198" t="n">
        <v>0</v>
      </c>
      <c r="AK13" s="198" t="n">
        <v>0</v>
      </c>
      <c r="AL13" s="198" t="n">
        <v>0.01</v>
      </c>
      <c r="AM13" s="198" t="n">
        <v>0</v>
      </c>
      <c r="AN13" s="198" t="inlineStr">
        <is>
          <t>Rental Building E , G, L</t>
        </is>
      </c>
      <c r="AO13" s="198" t="inlineStr">
        <is>
          <t>បានប្រកាសនិងបង់ពន្ធ</t>
        </is>
      </c>
    </row>
    <row r="14">
      <c r="A14" s="212">
        <f>A13+1</f>
        <v/>
      </c>
      <c r="B14" s="315" t="inlineStr">
        <is>
          <t>Rental Building D &amp; F</t>
        </is>
      </c>
      <c r="C14" s="315" t="inlineStr">
        <is>
          <t>JALIANKA INTERNATIONAL (CAMBODIA) CO., LTD.</t>
        </is>
      </c>
      <c r="D14" s="316" t="inlineStr">
        <is>
          <t>B105-901907504</t>
        </is>
      </c>
      <c r="E14" s="321" t="inlineStr">
        <is>
          <t>JILLANKA2401058</t>
        </is>
      </c>
      <c r="F14" s="318" t="n">
        <v>45657</v>
      </c>
      <c r="G14" s="319" t="n"/>
      <c r="H14" s="561" t="n"/>
      <c r="I14" s="561" t="n">
        <v>12960500</v>
      </c>
      <c r="J14" s="325" t="inlineStr">
        <is>
          <t>អនុញ្ញាត (បានប្រកាស)</t>
        </is>
      </c>
      <c r="K14" s="213" t="n"/>
      <c r="L14" s="326" t="inlineStr">
        <is>
          <t>=I15</t>
        </is>
      </c>
      <c r="M14" s="327" t="inlineStr">
        <is>
          <t>=I15-L15</t>
        </is>
      </c>
      <c r="N14" s="328" t="inlineStr">
        <is>
          <t>បានពិនិត្យវិក្កយបត្រ</t>
        </is>
      </c>
      <c r="O14" s="329" t="inlineStr">
        <is>
          <t>=U15=E15</t>
        </is>
      </c>
      <c r="P14" s="329" t="inlineStr">
        <is>
          <t>=MONTH(F15)-MONTH(T15)</t>
        </is>
      </c>
      <c r="Q14" s="329" t="inlineStr">
        <is>
          <t>=$B$5=X15</t>
        </is>
      </c>
      <c r="R14" s="329" t="inlineStr">
        <is>
          <t>=I15-AD15</t>
        </is>
      </c>
      <c r="S14" s="330" t="n"/>
      <c r="T14" s="322" t="n">
        <v>45657</v>
      </c>
      <c r="U14" s="323" t="inlineStr">
        <is>
          <t>JILLANKA2401058</t>
        </is>
      </c>
      <c r="V14" s="323" t="n">
        <v>0</v>
      </c>
      <c r="W14" s="323" t="inlineStr">
        <is>
          <t>បុគ្គលជាប់អាករ</t>
        </is>
      </c>
      <c r="X14" s="323" t="inlineStr">
        <is>
          <t>L001-901640009</t>
        </is>
      </c>
      <c r="Y14" s="323" t="inlineStr">
        <is>
          <t>ហូលីដេ ឌីហ្សាញ (ខេមបូឌា) ឯ.ក</t>
        </is>
      </c>
      <c r="Z14" s="324" t="n">
        <v>142565500</v>
      </c>
      <c r="AA14" s="324" t="n">
        <v>129605000</v>
      </c>
      <c r="AB14" s="323" t="n">
        <v>0</v>
      </c>
      <c r="AC14" s="323" t="inlineStr">
        <is>
          <t>-</t>
        </is>
      </c>
      <c r="AD14" s="324" t="n">
        <v>12960500</v>
      </c>
      <c r="AE14" s="323" t="n">
        <v>0</v>
      </c>
      <c r="AF14" s="562" t="n">
        <v>0</v>
      </c>
      <c r="AG14" s="198" t="n">
        <v>0</v>
      </c>
      <c r="AH14" s="198" t="n">
        <v>0</v>
      </c>
      <c r="AI14" s="198" t="n">
        <v>0</v>
      </c>
      <c r="AJ14" s="198" t="n">
        <v>0</v>
      </c>
      <c r="AK14" s="198" t="n">
        <v>0</v>
      </c>
      <c r="AL14" s="198" t="n">
        <v>0.01</v>
      </c>
      <c r="AM14" s="198" t="n">
        <v>0</v>
      </c>
      <c r="AN14" s="198" t="inlineStr">
        <is>
          <t>Rental Building D , F</t>
        </is>
      </c>
      <c r="AO14" s="198" t="inlineStr">
        <is>
          <t>បានប្រកាសនិងបង់ពន្ធ</t>
        </is>
      </c>
    </row>
    <row r="15">
      <c r="A15" s="212">
        <f>A14+1</f>
        <v/>
      </c>
      <c r="B15" s="315" t="inlineStr">
        <is>
          <t>Terminal Handling</t>
        </is>
      </c>
      <c r="C15" s="315" t="inlineStr">
        <is>
          <t>EXPEDITORS CAMBODIA LTD.</t>
        </is>
      </c>
      <c r="D15" s="316" t="inlineStr">
        <is>
          <t>L001-100045898</t>
        </is>
      </c>
      <c r="E15" s="321" t="inlineStr">
        <is>
          <t>TI-0292395</t>
        </is>
      </c>
      <c r="F15" s="318" t="n">
        <v>45574</v>
      </c>
      <c r="G15" s="319" t="n"/>
      <c r="H15" s="561" t="n"/>
      <c r="I15" s="561" t="n">
        <v>522149</v>
      </c>
      <c r="J15" s="325" t="inlineStr">
        <is>
          <t>អនុញ្ញាត (បានប្រកាស)</t>
        </is>
      </c>
      <c r="K15" s="213" t="n"/>
      <c r="L15" s="326" t="inlineStr">
        <is>
          <t>=I16</t>
        </is>
      </c>
      <c r="M15" s="327" t="inlineStr">
        <is>
          <t>=I16-L16</t>
        </is>
      </c>
      <c r="N15" s="328" t="n"/>
      <c r="O15" s="329" t="inlineStr">
        <is>
          <t>=U16=E16</t>
        </is>
      </c>
      <c r="P15" s="329" t="inlineStr">
        <is>
          <t>=MONTH(F16)-MONTH(T16)</t>
        </is>
      </c>
      <c r="Q15" s="329" t="inlineStr">
        <is>
          <t>=$B$5=X16</t>
        </is>
      </c>
      <c r="R15" s="329" t="inlineStr">
        <is>
          <t>=I16-AD16</t>
        </is>
      </c>
      <c r="S15" s="330" t="n"/>
      <c r="T15" s="322" t="n">
        <v>45574</v>
      </c>
      <c r="U15" s="323" t="inlineStr">
        <is>
          <t>TI-0292395</t>
        </is>
      </c>
      <c r="V15" s="323" t="n">
        <v>0</v>
      </c>
      <c r="W15" s="323" t="inlineStr">
        <is>
          <t>បុគ្គលជាប់អាករ</t>
        </is>
      </c>
      <c r="X15" s="323" t="inlineStr">
        <is>
          <t>L001-901640009</t>
        </is>
      </c>
      <c r="Y15" s="323" t="inlineStr">
        <is>
          <t>ហូលីដេ ឌីហ្សាញ (ខេមបូឌា) ឯ.ក</t>
        </is>
      </c>
      <c r="Z15" s="324" t="n">
        <v>5743642</v>
      </c>
      <c r="AA15" s="324" t="n">
        <v>5221493</v>
      </c>
      <c r="AB15" s="323" t="n">
        <v>0</v>
      </c>
      <c r="AC15" s="323" t="inlineStr">
        <is>
          <t>-</t>
        </is>
      </c>
      <c r="AD15" s="324" t="n">
        <v>522149</v>
      </c>
      <c r="AE15" s="323" t="n">
        <v>0</v>
      </c>
      <c r="AF15" s="562" t="n">
        <v>0</v>
      </c>
      <c r="AG15" s="198" t="n">
        <v>0</v>
      </c>
      <c r="AH15" s="198" t="n">
        <v>0</v>
      </c>
      <c r="AI15" s="198" t="n">
        <v>0</v>
      </c>
      <c r="AJ15" s="198" t="n">
        <v>0</v>
      </c>
      <c r="AK15" s="198" t="n">
        <v>0</v>
      </c>
      <c r="AL15" s="198" t="n">
        <v>0.01</v>
      </c>
      <c r="AM15" s="198" t="n">
        <v>0</v>
      </c>
      <c r="AN15" s="198" t="inlineStr">
        <is>
          <t>Local Charge</t>
        </is>
      </c>
    </row>
    <row r="16">
      <c r="A16" s="212">
        <f>A15+1</f>
        <v/>
      </c>
      <c r="B16" s="315" t="inlineStr">
        <is>
          <t>BL Amendment</t>
        </is>
      </c>
      <c r="C16" s="315" t="inlineStr">
        <is>
          <t>EXPEDITORS CAMBODIA LTD.</t>
        </is>
      </c>
      <c r="D16" s="316" t="inlineStr">
        <is>
          <t>L001-100045898</t>
        </is>
      </c>
      <c r="E16" s="321" t="inlineStr">
        <is>
          <t>TI-0292567</t>
        </is>
      </c>
      <c r="F16" s="318" t="n">
        <v>45575</v>
      </c>
      <c r="G16" s="319" t="n"/>
      <c r="H16" s="561" t="n"/>
      <c r="I16" s="561" t="n">
        <v>24396</v>
      </c>
      <c r="J16" s="325" t="inlineStr">
        <is>
          <t>អនុញ្ញាត (បានប្រកាស)</t>
        </is>
      </c>
      <c r="K16" s="213" t="n"/>
      <c r="L16" s="326" t="inlineStr">
        <is>
          <t>=I17</t>
        </is>
      </c>
      <c r="M16" s="327" t="inlineStr">
        <is>
          <t>=I17-L17</t>
        </is>
      </c>
      <c r="N16" s="328" t="n"/>
      <c r="O16" s="329" t="inlineStr">
        <is>
          <t>=U17=E17</t>
        </is>
      </c>
      <c r="P16" s="329" t="inlineStr">
        <is>
          <t>=MONTH(F17)-MONTH(T17)</t>
        </is>
      </c>
      <c r="Q16" s="329" t="inlineStr">
        <is>
          <t>=$B$5=X17</t>
        </is>
      </c>
      <c r="R16" s="329" t="inlineStr">
        <is>
          <t>=I17-AD17</t>
        </is>
      </c>
      <c r="S16" s="330" t="n"/>
      <c r="T16" s="322" t="n">
        <v>45575</v>
      </c>
      <c r="U16" s="323" t="inlineStr">
        <is>
          <t>TI-0292567</t>
        </is>
      </c>
      <c r="V16" s="323" t="n">
        <v>0</v>
      </c>
      <c r="W16" s="323" t="inlineStr">
        <is>
          <t>បុគ្គលជាប់អាករ</t>
        </is>
      </c>
      <c r="X16" s="323" t="inlineStr">
        <is>
          <t>L001-901640009</t>
        </is>
      </c>
      <c r="Y16" s="323" t="inlineStr">
        <is>
          <t>ហូលីដេ ឌីហ្សាញ (ខេមបូឌា) ឯ.ក</t>
        </is>
      </c>
      <c r="Z16" s="324" t="n">
        <v>268356</v>
      </c>
      <c r="AA16" s="324" t="n">
        <v>243960</v>
      </c>
      <c r="AB16" s="323" t="n">
        <v>0</v>
      </c>
      <c r="AC16" s="323" t="inlineStr">
        <is>
          <t>-</t>
        </is>
      </c>
      <c r="AD16" s="324" t="n">
        <v>24396</v>
      </c>
      <c r="AE16" s="323" t="n">
        <v>0</v>
      </c>
      <c r="AF16" s="562" t="n">
        <v>0</v>
      </c>
      <c r="AG16" s="198" t="n">
        <v>0</v>
      </c>
      <c r="AH16" s="198" t="n">
        <v>0</v>
      </c>
      <c r="AI16" s="198" t="n">
        <v>0</v>
      </c>
      <c r="AJ16" s="198" t="n">
        <v>0</v>
      </c>
      <c r="AK16" s="198" t="n">
        <v>0</v>
      </c>
      <c r="AL16" s="198" t="n">
        <v>0.01</v>
      </c>
      <c r="AM16" s="198" t="n">
        <v>0</v>
      </c>
      <c r="AN16" s="198" t="inlineStr">
        <is>
          <t>Local Charge</t>
        </is>
      </c>
    </row>
    <row r="17">
      <c r="A17" s="212">
        <f>A16+1</f>
        <v/>
      </c>
      <c r="B17" s="315" t="inlineStr">
        <is>
          <t>Detention</t>
        </is>
      </c>
      <c r="C17" s="315" t="inlineStr">
        <is>
          <t>EXPEDITORS CAMBODIA LTD.</t>
        </is>
      </c>
      <c r="D17" s="316" t="inlineStr">
        <is>
          <t>L001-100045898</t>
        </is>
      </c>
      <c r="E17" s="321" t="inlineStr">
        <is>
          <t>TI-0292734</t>
        </is>
      </c>
      <c r="F17" s="318" t="n">
        <v>45579</v>
      </c>
      <c r="G17" s="319" t="n"/>
      <c r="H17" s="561" t="n"/>
      <c r="I17" s="561" t="n">
        <v>16248</v>
      </c>
      <c r="J17" s="325" t="inlineStr">
        <is>
          <t>អនុញ្ញាត (បានប្រកាស)</t>
        </is>
      </c>
      <c r="K17" s="213" t="n"/>
      <c r="L17" s="326" t="inlineStr">
        <is>
          <t>=I18</t>
        </is>
      </c>
      <c r="M17" s="327" t="inlineStr">
        <is>
          <t>=I18-L18</t>
        </is>
      </c>
      <c r="N17" s="328" t="n"/>
      <c r="O17" s="329" t="inlineStr">
        <is>
          <t>=U18=E18</t>
        </is>
      </c>
      <c r="P17" s="329" t="inlineStr">
        <is>
          <t>=MONTH(F18)-MONTH(T18)</t>
        </is>
      </c>
      <c r="Q17" s="329" t="inlineStr">
        <is>
          <t>=$B$5=X18</t>
        </is>
      </c>
      <c r="R17" s="329" t="inlineStr">
        <is>
          <t>=I18-AD18</t>
        </is>
      </c>
      <c r="S17" s="330" t="n"/>
      <c r="T17" s="322" t="n">
        <v>45579</v>
      </c>
      <c r="U17" s="323" t="inlineStr">
        <is>
          <t>TI-0292734</t>
        </is>
      </c>
      <c r="V17" s="323" t="n">
        <v>0</v>
      </c>
      <c r="W17" s="323" t="inlineStr">
        <is>
          <t>បុគ្គលជាប់អាករ</t>
        </is>
      </c>
      <c r="X17" s="323" t="inlineStr">
        <is>
          <t>L001-901640009</t>
        </is>
      </c>
      <c r="Y17" s="323" t="inlineStr">
        <is>
          <t>ហូលីដេ ឌីហ្សាញ (ខេមបូឌា) ឯ.ក</t>
        </is>
      </c>
      <c r="Z17" s="324" t="n">
        <v>178728</v>
      </c>
      <c r="AA17" s="324" t="n">
        <v>162480</v>
      </c>
      <c r="AB17" s="323" t="n">
        <v>0</v>
      </c>
      <c r="AC17" s="323" t="inlineStr">
        <is>
          <t>-</t>
        </is>
      </c>
      <c r="AD17" s="324" t="n">
        <v>16248</v>
      </c>
      <c r="AE17" s="323" t="n">
        <v>0</v>
      </c>
      <c r="AF17" s="562" t="n">
        <v>0</v>
      </c>
      <c r="AG17" s="198" t="n">
        <v>0</v>
      </c>
      <c r="AH17" s="198" t="n">
        <v>0</v>
      </c>
      <c r="AI17" s="198" t="n">
        <v>0</v>
      </c>
      <c r="AJ17" s="198" t="n">
        <v>0</v>
      </c>
      <c r="AK17" s="198" t="n">
        <v>0</v>
      </c>
      <c r="AL17" s="198" t="n">
        <v>0.01</v>
      </c>
      <c r="AM17" s="198" t="n">
        <v>0</v>
      </c>
      <c r="AN17" s="198" t="inlineStr">
        <is>
          <t>Local Charge</t>
        </is>
      </c>
    </row>
    <row r="18">
      <c r="A18" s="212">
        <f>A17+1</f>
        <v/>
      </c>
      <c r="B18" s="315" t="inlineStr">
        <is>
          <t>Detention</t>
        </is>
      </c>
      <c r="C18" s="315" t="inlineStr">
        <is>
          <t>EXPEDITORS CAMBODIA LTD.</t>
        </is>
      </c>
      <c r="D18" s="316" t="inlineStr">
        <is>
          <t>L001-100045898</t>
        </is>
      </c>
      <c r="E18" s="321" t="inlineStr">
        <is>
          <t>TI-0292731</t>
        </is>
      </c>
      <c r="F18" s="318" t="n">
        <v>45579</v>
      </c>
      <c r="G18" s="319" t="n"/>
      <c r="H18" s="561" t="n"/>
      <c r="I18" s="561" t="n">
        <v>40620</v>
      </c>
      <c r="J18" s="325" t="inlineStr">
        <is>
          <t>អនុញ្ញាត (បានប្រកាស)</t>
        </is>
      </c>
      <c r="K18" s="213" t="n"/>
      <c r="L18" s="326" t="inlineStr">
        <is>
          <t>=I19</t>
        </is>
      </c>
      <c r="M18" s="327" t="inlineStr">
        <is>
          <t>=I19-L19</t>
        </is>
      </c>
      <c r="N18" s="328" t="n"/>
      <c r="O18" s="329" t="inlineStr">
        <is>
          <t>=U19=E19</t>
        </is>
      </c>
      <c r="P18" s="329" t="inlineStr">
        <is>
          <t>=MONTH(F19)-MONTH(T19)</t>
        </is>
      </c>
      <c r="Q18" s="329" t="inlineStr">
        <is>
          <t>=$B$5=X19</t>
        </is>
      </c>
      <c r="R18" s="329" t="inlineStr">
        <is>
          <t>=I19-AD19</t>
        </is>
      </c>
      <c r="S18" s="330" t="n"/>
      <c r="T18" s="322" t="n">
        <v>45579</v>
      </c>
      <c r="U18" s="323" t="inlineStr">
        <is>
          <t>TI-0292731</t>
        </is>
      </c>
      <c r="V18" s="323" t="n">
        <v>0</v>
      </c>
      <c r="W18" s="323" t="inlineStr">
        <is>
          <t>បុគ្គលជាប់អាករ</t>
        </is>
      </c>
      <c r="X18" s="323" t="inlineStr">
        <is>
          <t>L001-901640009</t>
        </is>
      </c>
      <c r="Y18" s="323" t="inlineStr">
        <is>
          <t>ហូលីដេ ឌីហ្សាញ (ខេមបូឌា) ឯ.ក</t>
        </is>
      </c>
      <c r="Z18" s="324" t="n">
        <v>446820</v>
      </c>
      <c r="AA18" s="324" t="n">
        <v>406200</v>
      </c>
      <c r="AB18" s="323" t="n">
        <v>0</v>
      </c>
      <c r="AC18" s="323" t="inlineStr">
        <is>
          <t>-</t>
        </is>
      </c>
      <c r="AD18" s="324" t="n">
        <v>40620</v>
      </c>
      <c r="AE18" s="323" t="n">
        <v>0</v>
      </c>
      <c r="AF18" s="562" t="n">
        <v>0</v>
      </c>
      <c r="AG18" s="198" t="n">
        <v>0</v>
      </c>
      <c r="AH18" s="198" t="n">
        <v>0</v>
      </c>
      <c r="AI18" s="198" t="n">
        <v>0</v>
      </c>
      <c r="AJ18" s="198" t="n">
        <v>0</v>
      </c>
      <c r="AK18" s="198" t="n">
        <v>0</v>
      </c>
      <c r="AL18" s="198" t="n">
        <v>0.01</v>
      </c>
      <c r="AM18" s="198" t="n">
        <v>0</v>
      </c>
      <c r="AN18" s="198" t="inlineStr">
        <is>
          <t>Local Charge</t>
        </is>
      </c>
    </row>
    <row r="19">
      <c r="A19" s="212">
        <f>A18+1</f>
        <v/>
      </c>
      <c r="B19" s="315" t="inlineStr">
        <is>
          <t>Detention</t>
        </is>
      </c>
      <c r="C19" s="315" t="inlineStr">
        <is>
          <t>EXPEDITORS CAMBODIA LTD.</t>
        </is>
      </c>
      <c r="D19" s="316" t="inlineStr">
        <is>
          <t>L001-100045898</t>
        </is>
      </c>
      <c r="E19" s="321" t="inlineStr">
        <is>
          <t>TI-0292738</t>
        </is>
      </c>
      <c r="F19" s="318" t="n">
        <v>45579</v>
      </c>
      <c r="G19" s="319" t="n"/>
      <c r="H19" s="561" t="n"/>
      <c r="I19" s="561" t="n">
        <v>8124</v>
      </c>
      <c r="J19" s="325" t="inlineStr">
        <is>
          <t>អនុញ្ញាត (បានប្រកាស)</t>
        </is>
      </c>
      <c r="K19" s="213" t="n"/>
      <c r="L19" s="326" t="inlineStr">
        <is>
          <t>=I20</t>
        </is>
      </c>
      <c r="M19" s="327" t="inlineStr">
        <is>
          <t>=I20-L20</t>
        </is>
      </c>
      <c r="N19" s="328" t="n"/>
      <c r="O19" s="329" t="inlineStr">
        <is>
          <t>=U20=E20</t>
        </is>
      </c>
      <c r="P19" s="329" t="inlineStr">
        <is>
          <t>=MONTH(F20)-MONTH(T20)</t>
        </is>
      </c>
      <c r="Q19" s="329" t="inlineStr">
        <is>
          <t>=$B$5=X20</t>
        </is>
      </c>
      <c r="R19" s="329" t="inlineStr">
        <is>
          <t>=I20-AD20</t>
        </is>
      </c>
      <c r="S19" s="330" t="n"/>
      <c r="T19" s="322" t="n">
        <v>45579</v>
      </c>
      <c r="U19" s="323" t="inlineStr">
        <is>
          <t>TI-0292738</t>
        </is>
      </c>
      <c r="V19" s="323" t="n">
        <v>0</v>
      </c>
      <c r="W19" s="323" t="inlineStr">
        <is>
          <t>បុគ្គលជាប់អាករ</t>
        </is>
      </c>
      <c r="X19" s="323" t="inlineStr">
        <is>
          <t>L001-901640009</t>
        </is>
      </c>
      <c r="Y19" s="323" t="inlineStr">
        <is>
          <t>ហូលីដេ ឌីហ្សាញ (ខេមបូឌា) ឯ.ក</t>
        </is>
      </c>
      <c r="Z19" s="324" t="n">
        <v>89364</v>
      </c>
      <c r="AA19" s="324" t="n">
        <v>81240</v>
      </c>
      <c r="AB19" s="323" t="n">
        <v>0</v>
      </c>
      <c r="AC19" s="323" t="inlineStr">
        <is>
          <t>-</t>
        </is>
      </c>
      <c r="AD19" s="324" t="n">
        <v>8124</v>
      </c>
      <c r="AE19" s="323" t="n">
        <v>0</v>
      </c>
      <c r="AF19" s="562" t="n">
        <v>0</v>
      </c>
      <c r="AG19" s="198" t="n">
        <v>0</v>
      </c>
      <c r="AH19" s="198" t="n">
        <v>0</v>
      </c>
      <c r="AI19" s="198" t="n">
        <v>0</v>
      </c>
      <c r="AJ19" s="198" t="n">
        <v>0</v>
      </c>
      <c r="AK19" s="198" t="n">
        <v>0</v>
      </c>
      <c r="AL19" s="198" t="n">
        <v>0.01</v>
      </c>
      <c r="AM19" s="198" t="n">
        <v>0</v>
      </c>
      <c r="AN19" s="198" t="inlineStr">
        <is>
          <t>Local Charge</t>
        </is>
      </c>
    </row>
    <row r="20">
      <c r="A20" s="212">
        <f>A19+1</f>
        <v/>
      </c>
      <c r="B20" s="315" t="inlineStr">
        <is>
          <t>Detention</t>
        </is>
      </c>
      <c r="C20" s="315" t="inlineStr">
        <is>
          <t>EXPEDITORS CAMBODIA LTD.</t>
        </is>
      </c>
      <c r="D20" s="316" t="inlineStr">
        <is>
          <t>L001-100045898</t>
        </is>
      </c>
      <c r="E20" s="321" t="inlineStr">
        <is>
          <t>TI-0292732</t>
        </is>
      </c>
      <c r="F20" s="318" t="n">
        <v>45579</v>
      </c>
      <c r="G20" s="319" t="n"/>
      <c r="H20" s="561" t="n"/>
      <c r="I20" s="561" t="n">
        <v>16248</v>
      </c>
      <c r="J20" s="325" t="inlineStr">
        <is>
          <t>អនុញ្ញាត (បានប្រកាស)</t>
        </is>
      </c>
      <c r="K20" s="213" t="n"/>
      <c r="L20" s="326" t="inlineStr">
        <is>
          <t>=I21</t>
        </is>
      </c>
      <c r="M20" s="327" t="inlineStr">
        <is>
          <t>=I21-L21</t>
        </is>
      </c>
      <c r="N20" s="328" t="n"/>
      <c r="O20" s="329" t="inlineStr">
        <is>
          <t>=U21=E21</t>
        </is>
      </c>
      <c r="P20" s="329" t="inlineStr">
        <is>
          <t>=MONTH(F21)-MONTH(T21)</t>
        </is>
      </c>
      <c r="Q20" s="329" t="inlineStr">
        <is>
          <t>=$B$5=X21</t>
        </is>
      </c>
      <c r="R20" s="329" t="inlineStr">
        <is>
          <t>=I21-AD21</t>
        </is>
      </c>
      <c r="S20" s="330" t="n"/>
      <c r="T20" s="322" t="n">
        <v>45579</v>
      </c>
      <c r="U20" s="323" t="inlineStr">
        <is>
          <t>TI-0292732</t>
        </is>
      </c>
      <c r="V20" s="323" t="n">
        <v>0</v>
      </c>
      <c r="W20" s="323" t="inlineStr">
        <is>
          <t>បុគ្គលជាប់អាករ</t>
        </is>
      </c>
      <c r="X20" s="323" t="inlineStr">
        <is>
          <t>L001-901640009</t>
        </is>
      </c>
      <c r="Y20" s="323" t="inlineStr">
        <is>
          <t>ហូលីដេ ឌីហ្សាញ (ខេមបូឌា) ឯ.ក</t>
        </is>
      </c>
      <c r="Z20" s="324" t="n">
        <v>178728</v>
      </c>
      <c r="AA20" s="324" t="n">
        <v>162480</v>
      </c>
      <c r="AB20" s="323" t="n">
        <v>0</v>
      </c>
      <c r="AC20" s="323" t="inlineStr">
        <is>
          <t>-</t>
        </is>
      </c>
      <c r="AD20" s="324" t="n">
        <v>16248</v>
      </c>
      <c r="AE20" s="323" t="n">
        <v>0</v>
      </c>
      <c r="AF20" s="562" t="n">
        <v>0</v>
      </c>
      <c r="AG20" s="198" t="n">
        <v>0</v>
      </c>
      <c r="AH20" s="198" t="n">
        <v>0</v>
      </c>
      <c r="AI20" s="198" t="n">
        <v>0</v>
      </c>
      <c r="AJ20" s="198" t="n">
        <v>0</v>
      </c>
      <c r="AK20" s="198" t="n">
        <v>0</v>
      </c>
      <c r="AL20" s="198" t="n">
        <v>0.01</v>
      </c>
      <c r="AM20" s="198" t="n">
        <v>0</v>
      </c>
      <c r="AN20" s="198" t="inlineStr">
        <is>
          <t>Local Charge</t>
        </is>
      </c>
    </row>
    <row r="21">
      <c r="A21" s="212">
        <f>A20+1</f>
        <v/>
      </c>
      <c r="B21" s="315" t="inlineStr">
        <is>
          <t>Rental Building E G&amp; L</t>
        </is>
      </c>
      <c r="C21" s="315" t="inlineStr">
        <is>
          <t>JALIANKA INTERNATIONAL (CAMBODIA) CO., LTD.</t>
        </is>
      </c>
      <c r="D21" s="316" t="inlineStr">
        <is>
          <t>B105-901907504</t>
        </is>
      </c>
      <c r="E21" s="321" t="inlineStr">
        <is>
          <t>JILLANKA2501004</t>
        </is>
      </c>
      <c r="F21" s="318" t="n">
        <v>45688</v>
      </c>
      <c r="G21" s="319" t="n"/>
      <c r="H21" s="561" t="n"/>
      <c r="I21" s="561" t="n">
        <v>20611974</v>
      </c>
      <c r="J21" s="325" t="inlineStr">
        <is>
          <t>អនុញ្ញាត (បានប្រកាស)</t>
        </is>
      </c>
      <c r="K21" s="213" t="n"/>
      <c r="L21" s="326" t="inlineStr">
        <is>
          <t>=I22</t>
        </is>
      </c>
      <c r="M21" s="327" t="inlineStr">
        <is>
          <t>=I22-L22</t>
        </is>
      </c>
      <c r="N21" s="328" t="inlineStr">
        <is>
          <t>បានពិនិត្យវិក្កយបត្រ</t>
        </is>
      </c>
      <c r="O21" s="329" t="inlineStr">
        <is>
          <t>=U22=E22</t>
        </is>
      </c>
      <c r="P21" s="329" t="inlineStr">
        <is>
          <t>=MONTH(F22)-MONTH(T22)</t>
        </is>
      </c>
      <c r="Q21" s="329" t="inlineStr">
        <is>
          <t>=$B$5=X22</t>
        </is>
      </c>
      <c r="R21" s="329" t="inlineStr">
        <is>
          <t>=I22-AD22</t>
        </is>
      </c>
      <c r="S21" s="330" t="n"/>
      <c r="T21" s="322" t="n">
        <v>45688</v>
      </c>
      <c r="U21" s="323" t="inlineStr">
        <is>
          <t>JILLANKA2501004</t>
        </is>
      </c>
      <c r="V21" s="323" t="n">
        <v>0</v>
      </c>
      <c r="W21" s="323" t="inlineStr">
        <is>
          <t>បុគ្គលជាប់អាករ</t>
        </is>
      </c>
      <c r="X21" s="323" t="inlineStr">
        <is>
          <t>L001-901640009</t>
        </is>
      </c>
      <c r="Y21" s="323" t="inlineStr">
        <is>
          <t>ហូលីដេ ឌីហ្សាញ (ខេមបូឌា) ឯ.ក</t>
        </is>
      </c>
      <c r="Z21" s="324" t="n">
        <v>226731717</v>
      </c>
      <c r="AA21" s="324" t="n">
        <v>206119743</v>
      </c>
      <c r="AB21" s="323" t="n">
        <v>0</v>
      </c>
      <c r="AC21" s="323" t="inlineStr">
        <is>
          <t>-</t>
        </is>
      </c>
      <c r="AD21" s="324" t="n">
        <v>20611974</v>
      </c>
      <c r="AE21" s="323" t="n">
        <v>0</v>
      </c>
      <c r="AF21" s="562" t="n">
        <v>0</v>
      </c>
      <c r="AG21" s="198" t="n">
        <v>0</v>
      </c>
      <c r="AH21" s="198" t="n">
        <v>0</v>
      </c>
      <c r="AI21" s="198" t="n">
        <v>0</v>
      </c>
      <c r="AJ21" s="198" t="n">
        <v>0</v>
      </c>
      <c r="AK21" s="198" t="n">
        <v>0</v>
      </c>
      <c r="AL21" s="198" t="n">
        <v>0.01</v>
      </c>
      <c r="AM21" s="198" t="n">
        <v>0</v>
      </c>
      <c r="AN21" s="198" t="inlineStr">
        <is>
          <t>Rental Building E , G, L</t>
        </is>
      </c>
      <c r="AO21" s="198" t="inlineStr">
        <is>
          <t>បានប្រកាសនិងបង់ពន្ធ</t>
        </is>
      </c>
    </row>
    <row r="22">
      <c r="A22" s="212">
        <f>A21+1</f>
        <v/>
      </c>
      <c r="B22" s="315" t="inlineStr">
        <is>
          <t>CREDIT</t>
        </is>
      </c>
      <c r="C22" s="315" t="inlineStr">
        <is>
          <t>EXPEDITORS CAMBODIA LTD.</t>
        </is>
      </c>
      <c r="D22" s="316" t="inlineStr">
        <is>
          <t>L001-100045898</t>
        </is>
      </c>
      <c r="E22" s="321" t="inlineStr">
        <is>
          <t>TI-0292897</t>
        </is>
      </c>
      <c r="F22" s="318" t="n">
        <v>45581</v>
      </c>
      <c r="G22" s="319" t="n"/>
      <c r="H22" s="561" t="n"/>
      <c r="I22" s="561" t="n">
        <v>-72674</v>
      </c>
      <c r="J22" s="325" t="inlineStr">
        <is>
          <t>អនុញ្ញាត (បានប្រកាស)</t>
        </is>
      </c>
      <c r="K22" s="213" t="n"/>
      <c r="L22" s="326" t="inlineStr">
        <is>
          <t>=I23</t>
        </is>
      </c>
      <c r="M22" s="327" t="inlineStr">
        <is>
          <t>=I23-L23</t>
        </is>
      </c>
      <c r="N22" s="328" t="n"/>
      <c r="O22" s="329" t="inlineStr">
        <is>
          <t>=U23=E23</t>
        </is>
      </c>
      <c r="P22" s="329" t="inlineStr">
        <is>
          <t>=MONTH(F23)-MONTH(T23)</t>
        </is>
      </c>
      <c r="Q22" s="329" t="inlineStr">
        <is>
          <t>=$B$5=X23</t>
        </is>
      </c>
      <c r="R22" s="329" t="inlineStr">
        <is>
          <t>=I23-AD23</t>
        </is>
      </c>
      <c r="S22" s="330" t="n"/>
      <c r="T22" s="299" t="n"/>
      <c r="U22" s="298" t="n"/>
      <c r="V22" s="298" t="n"/>
      <c r="W22" s="298" t="n"/>
      <c r="X22" s="298" t="n"/>
      <c r="Y22" s="298" t="n"/>
      <c r="Z22" s="300" t="n"/>
      <c r="AA22" s="300" t="n"/>
      <c r="AB22" s="298" t="n"/>
      <c r="AC22" s="298" t="n"/>
      <c r="AD22" s="300" t="n"/>
      <c r="AE22" s="298" t="n"/>
      <c r="AF22" s="562" t="n"/>
    </row>
    <row r="23">
      <c r="A23" s="212">
        <f>A22+1</f>
        <v/>
      </c>
      <c r="B23" s="315" t="inlineStr">
        <is>
          <t>CREDIT</t>
        </is>
      </c>
      <c r="C23" s="315" t="inlineStr">
        <is>
          <t>EXPEDITORS CAMBODIA LTD.</t>
        </is>
      </c>
      <c r="D23" s="316" t="inlineStr">
        <is>
          <t>L001-100045898</t>
        </is>
      </c>
      <c r="E23" s="321" t="inlineStr">
        <is>
          <t>TI-0295955</t>
        </is>
      </c>
      <c r="F23" s="318" t="n">
        <v>45603</v>
      </c>
      <c r="G23" s="319" t="n"/>
      <c r="H23" s="561" t="n"/>
      <c r="I23" s="561" t="n">
        <v>-2032</v>
      </c>
      <c r="J23" s="325" t="inlineStr">
        <is>
          <t>អនុញ្ញាត (បានប្រកាស)</t>
        </is>
      </c>
      <c r="K23" s="213" t="n"/>
      <c r="L23" s="563">
        <f>I23</f>
        <v/>
      </c>
      <c r="M23" s="536">
        <f>I23-L23</f>
        <v/>
      </c>
      <c r="N23" s="213" t="n"/>
      <c r="O23" s="218">
        <f>U23=E23</f>
        <v/>
      </c>
      <c r="P23" s="218">
        <f>MONTH(F23)-MONTH(T23)</f>
        <v/>
      </c>
      <c r="Q23" s="218">
        <f>$B$5=X23</f>
        <v/>
      </c>
      <c r="R23" s="218">
        <f>I23-AD23</f>
        <v/>
      </c>
      <c r="S23" s="298" t="n"/>
      <c r="T23" s="299" t="n"/>
      <c r="U23" s="298" t="n"/>
      <c r="V23" s="298" t="n"/>
      <c r="W23" s="298" t="n"/>
      <c r="X23" s="298" t="n"/>
      <c r="Y23" s="298" t="n"/>
      <c r="Z23" s="300" t="n"/>
      <c r="AA23" s="300" t="n"/>
      <c r="AB23" s="298" t="n"/>
      <c r="AC23" s="298" t="n"/>
      <c r="AD23" s="300" t="n"/>
      <c r="AE23" s="298" t="n"/>
      <c r="AF23" s="562" t="n"/>
    </row>
    <row r="24">
      <c r="A24" s="212">
        <f>A23+1</f>
        <v/>
      </c>
      <c r="B24" s="214" t="inlineStr">
        <is>
          <t>Rental Building D &amp; F</t>
        </is>
      </c>
      <c r="C24" s="214" t="inlineStr">
        <is>
          <t>JALIANKA INTERNATIONAL (CAMBODIA) CO., LTD.</t>
        </is>
      </c>
      <c r="D24" s="215" t="inlineStr">
        <is>
          <t>B105-901907504</t>
        </is>
      </c>
      <c r="E24" s="290" t="inlineStr">
        <is>
          <t>JILLANKA2501002</t>
        </is>
      </c>
      <c r="F24" s="279" t="n">
        <v>45688</v>
      </c>
      <c r="G24" s="216" t="n"/>
      <c r="H24" s="564" t="n"/>
      <c r="I24" s="564" t="n">
        <v>12957280</v>
      </c>
      <c r="J24" s="213" t="inlineStr">
        <is>
          <t>អនុញ្ញាត (បានប្រកាស)</t>
        </is>
      </c>
      <c r="K24" s="213" t="n"/>
      <c r="L24" s="563">
        <f>I24</f>
        <v/>
      </c>
      <c r="M24" s="536">
        <f>I24-L24</f>
        <v/>
      </c>
      <c r="N24" s="213" t="inlineStr">
        <is>
          <t>បានពិនិត្យវិក្កយបត្រ</t>
        </is>
      </c>
      <c r="O24" s="218">
        <f>U24=E24</f>
        <v/>
      </c>
      <c r="P24" s="218">
        <f>MONTH(F24)-MONTH(T24)</f>
        <v/>
      </c>
      <c r="Q24" s="218">
        <f>$B$5=X24</f>
        <v/>
      </c>
      <c r="R24" s="218">
        <f>I24-AD24</f>
        <v/>
      </c>
      <c r="S24" s="298" t="n"/>
      <c r="T24" s="299" t="n">
        <v>45688</v>
      </c>
      <c r="U24" s="298" t="inlineStr">
        <is>
          <t>JILLANKA2501002</t>
        </is>
      </c>
      <c r="V24" s="298" t="n">
        <v>0</v>
      </c>
      <c r="W24" s="298" t="inlineStr">
        <is>
          <t>បុគ្គលជាប់អាករ</t>
        </is>
      </c>
      <c r="X24" s="298" t="inlineStr">
        <is>
          <t>L001-901640009</t>
        </is>
      </c>
      <c r="Y24" s="298" t="inlineStr">
        <is>
          <t>ហូលីដេ ឌីហ្សាញ (ខេមបូឌា) ឯ.ក</t>
        </is>
      </c>
      <c r="Z24" s="300" t="n">
        <v>142530080</v>
      </c>
      <c r="AA24" s="300" t="n">
        <v>129572800</v>
      </c>
      <c r="AB24" s="298" t="n">
        <v>0</v>
      </c>
      <c r="AC24" s="298" t="inlineStr">
        <is>
          <t>-</t>
        </is>
      </c>
      <c r="AD24" s="300" t="n">
        <v>12957280</v>
      </c>
      <c r="AE24" s="298" t="n">
        <v>0</v>
      </c>
      <c r="AF24" s="562" t="n">
        <v>0</v>
      </c>
      <c r="AG24" s="198" t="n">
        <v>0</v>
      </c>
      <c r="AH24" s="198" t="n">
        <v>0</v>
      </c>
      <c r="AI24" s="198" t="n">
        <v>0</v>
      </c>
      <c r="AJ24" s="198" t="n">
        <v>0</v>
      </c>
      <c r="AK24" s="198" t="n">
        <v>0</v>
      </c>
      <c r="AL24" s="198" t="n">
        <v>0.01</v>
      </c>
      <c r="AM24" s="198" t="n">
        <v>0</v>
      </c>
      <c r="AN24" s="198" t="inlineStr">
        <is>
          <t>Rental Building D , F</t>
        </is>
      </c>
      <c r="AO24" s="198" t="inlineStr">
        <is>
          <t>បានប្រកាសនិងបង់ពន្ធ</t>
        </is>
      </c>
    </row>
    <row r="25">
      <c r="A25" s="212">
        <f>A24+1</f>
        <v/>
      </c>
      <c r="B25" s="214" t="inlineStr">
        <is>
          <t>Rental Building E G&amp; L</t>
        </is>
      </c>
      <c r="C25" s="214" t="inlineStr">
        <is>
          <t>JALIANKA INTERNATIONAL (CAMBODIA) CO., LTD.</t>
        </is>
      </c>
      <c r="D25" s="215" t="inlineStr">
        <is>
          <t>B105-901907504</t>
        </is>
      </c>
      <c r="E25" s="290" t="inlineStr">
        <is>
          <t>JILLANKA2501008</t>
        </is>
      </c>
      <c r="F25" s="279" t="n">
        <v>45716</v>
      </c>
      <c r="G25" s="216" t="n"/>
      <c r="H25" s="564" t="n"/>
      <c r="I25" s="564" t="n">
        <v>20545385</v>
      </c>
      <c r="J25" s="213" t="inlineStr">
        <is>
          <t>អនុញ្ញាត (បានប្រកាស)</t>
        </is>
      </c>
      <c r="K25" s="213" t="n"/>
      <c r="L25" s="563">
        <f>I25</f>
        <v/>
      </c>
      <c r="M25" s="536">
        <f>I25-L25</f>
        <v/>
      </c>
      <c r="N25" s="213" t="inlineStr">
        <is>
          <t>បានពិនិត្យវិក្កយបត្រ</t>
        </is>
      </c>
      <c r="O25" s="218">
        <f>U25=E25</f>
        <v/>
      </c>
      <c r="P25" s="218">
        <f>MONTH(F25)-MONTH(T25)</f>
        <v/>
      </c>
      <c r="Q25" s="218">
        <f>$B$5=X25</f>
        <v/>
      </c>
      <c r="R25" s="218">
        <f>I25-AD25</f>
        <v/>
      </c>
      <c r="S25" s="298" t="n"/>
      <c r="T25" s="299" t="n">
        <v>45716</v>
      </c>
      <c r="U25" s="298" t="inlineStr">
        <is>
          <t>JILLANKA2501008</t>
        </is>
      </c>
      <c r="V25" s="298" t="n">
        <v>0</v>
      </c>
      <c r="W25" s="298" t="inlineStr">
        <is>
          <t>បុគ្គលជាប់អាករ</t>
        </is>
      </c>
      <c r="X25" s="298" t="inlineStr">
        <is>
          <t>L001-901640009</t>
        </is>
      </c>
      <c r="Y25" s="298" t="inlineStr">
        <is>
          <t>ហូលីដេ ឌីហ្សាញ (ខេមបូឌា) ឯ.ក</t>
        </is>
      </c>
      <c r="Z25" s="300" t="n">
        <v>225999233</v>
      </c>
      <c r="AA25" s="300" t="n">
        <v>205453848</v>
      </c>
      <c r="AB25" s="298" t="n">
        <v>0</v>
      </c>
      <c r="AC25" s="298" t="inlineStr">
        <is>
          <t>-</t>
        </is>
      </c>
      <c r="AD25" s="300" t="n">
        <v>20545385</v>
      </c>
      <c r="AE25" s="298" t="n">
        <v>0</v>
      </c>
      <c r="AF25" s="562" t="n">
        <v>0</v>
      </c>
      <c r="AG25" s="198" t="n">
        <v>0</v>
      </c>
      <c r="AH25" s="198" t="n">
        <v>0</v>
      </c>
      <c r="AI25" s="198" t="n">
        <v>0</v>
      </c>
      <c r="AJ25" s="198" t="n">
        <v>0</v>
      </c>
      <c r="AK25" s="198" t="n">
        <v>0</v>
      </c>
      <c r="AL25" s="198" t="n">
        <v>0.01</v>
      </c>
      <c r="AM25" s="198" t="n">
        <v>0</v>
      </c>
      <c r="AN25" s="198" t="inlineStr">
        <is>
          <t>Rental Building E , G, L</t>
        </is>
      </c>
      <c r="AO25" s="198" t="inlineStr">
        <is>
          <t>បានប្រកាសនិងបង់ពន្ធ</t>
        </is>
      </c>
    </row>
    <row r="26">
      <c r="A26" s="212">
        <f>A25+1</f>
        <v/>
      </c>
      <c r="B26" s="214" t="inlineStr">
        <is>
          <t>Rental Building D &amp; F</t>
        </is>
      </c>
      <c r="C26" s="214" t="inlineStr">
        <is>
          <t>JALIANKA INTERNATIONAL (CAMBODIA) CO., LTD.</t>
        </is>
      </c>
      <c r="D26" s="215" t="inlineStr">
        <is>
          <t>B105-901907504</t>
        </is>
      </c>
      <c r="E26" s="290" t="inlineStr">
        <is>
          <t>JILLANKA2501007</t>
        </is>
      </c>
      <c r="F26" s="279" t="n">
        <v>45716</v>
      </c>
      <c r="G26" s="216" t="n"/>
      <c r="H26" s="564" t="n"/>
      <c r="I26" s="564" t="n">
        <v>12915420</v>
      </c>
      <c r="J26" s="213" t="inlineStr">
        <is>
          <t>អនុញ្ញាត (បានប្រកាស)</t>
        </is>
      </c>
      <c r="K26" s="213" t="n"/>
      <c r="L26" s="563">
        <f>I26</f>
        <v/>
      </c>
      <c r="M26" s="536">
        <f>I26-L26</f>
        <v/>
      </c>
      <c r="N26" s="213" t="inlineStr">
        <is>
          <t>បានពិនិត្យវិក្កយបត្រ</t>
        </is>
      </c>
      <c r="O26" s="218">
        <f>U26=E26</f>
        <v/>
      </c>
      <c r="P26" s="218">
        <f>MONTH(F26)-MONTH(T26)</f>
        <v/>
      </c>
      <c r="Q26" s="218">
        <f>$B$5=X26</f>
        <v/>
      </c>
      <c r="R26" s="218">
        <f>I26-AD26</f>
        <v/>
      </c>
      <c r="S26" s="298" t="n"/>
      <c r="T26" s="299" t="n">
        <v>45716</v>
      </c>
      <c r="U26" s="298" t="inlineStr">
        <is>
          <t>JILLANKA2501007</t>
        </is>
      </c>
      <c r="V26" s="298" t="n">
        <v>0</v>
      </c>
      <c r="W26" s="298" t="inlineStr">
        <is>
          <t>បុគ្គលជាប់អាករ</t>
        </is>
      </c>
      <c r="X26" s="298" t="inlineStr">
        <is>
          <t>L001-901640009</t>
        </is>
      </c>
      <c r="Y26" s="298" t="inlineStr">
        <is>
          <t>ហូលីដេ ឌីហ្សាញ (ខេមបូឌា) ឯ.ក</t>
        </is>
      </c>
      <c r="Z26" s="300" t="n">
        <v>142069620</v>
      </c>
      <c r="AA26" s="300" t="n">
        <v>129154200</v>
      </c>
      <c r="AB26" s="298" t="n">
        <v>0</v>
      </c>
      <c r="AC26" s="298" t="inlineStr">
        <is>
          <t>-</t>
        </is>
      </c>
      <c r="AD26" s="300" t="n">
        <v>12915420</v>
      </c>
      <c r="AE26" s="298" t="n">
        <v>0</v>
      </c>
      <c r="AF26" s="562" t="n">
        <v>0</v>
      </c>
      <c r="AG26" s="198" t="n">
        <v>0</v>
      </c>
      <c r="AH26" s="198" t="n">
        <v>0</v>
      </c>
      <c r="AI26" s="198" t="n">
        <v>0</v>
      </c>
      <c r="AJ26" s="198" t="n">
        <v>0</v>
      </c>
      <c r="AK26" s="198" t="n">
        <v>0</v>
      </c>
      <c r="AL26" s="198" t="n">
        <v>0.01</v>
      </c>
      <c r="AM26" s="198" t="n">
        <v>0</v>
      </c>
      <c r="AN26" s="198" t="inlineStr">
        <is>
          <t>Rental Building D , F</t>
        </is>
      </c>
      <c r="AO26" s="198" t="inlineStr">
        <is>
          <t>បានប្រកាសនិងបង់ពន្ធ</t>
        </is>
      </c>
    </row>
    <row r="27">
      <c r="A27" s="212">
        <f>A26+1</f>
        <v/>
      </c>
      <c r="B27" s="214" t="inlineStr">
        <is>
          <t>Detention Fee</t>
        </is>
      </c>
      <c r="C27" s="214" t="inlineStr">
        <is>
          <t>EXPEDITORS CAMBODIA LTD.</t>
        </is>
      </c>
      <c r="D27" s="215" t="inlineStr">
        <is>
          <t>L001-100045898</t>
        </is>
      </c>
      <c r="E27" s="290" t="inlineStr">
        <is>
          <t>TI-0298544</t>
        </is>
      </c>
      <c r="F27" s="279" t="n">
        <v>45625</v>
      </c>
      <c r="G27" s="216" t="n"/>
      <c r="H27" s="564" t="n"/>
      <c r="I27" s="564" t="n">
        <v>80560</v>
      </c>
      <c r="J27" s="213" t="inlineStr">
        <is>
          <t>អនុញ្ញាត (បានប្រកាស)</t>
        </is>
      </c>
      <c r="K27" s="213" t="n"/>
      <c r="L27" s="563">
        <f>I27</f>
        <v/>
      </c>
      <c r="M27" s="536">
        <f>I27-L27</f>
        <v/>
      </c>
      <c r="N27" s="213" t="n"/>
      <c r="O27" s="218">
        <f>U27=E27</f>
        <v/>
      </c>
      <c r="P27" s="218">
        <f>MONTH(F27)-MONTH(T27)</f>
        <v/>
      </c>
      <c r="Q27" s="218">
        <f>$B$5=X27</f>
        <v/>
      </c>
      <c r="R27" s="218">
        <f>I27-AD27</f>
        <v/>
      </c>
      <c r="S27" s="298" t="n"/>
      <c r="T27" s="299" t="n">
        <v>45625</v>
      </c>
      <c r="U27" s="298" t="inlineStr">
        <is>
          <t>TI-0298544</t>
        </is>
      </c>
      <c r="V27" s="298" t="n">
        <v>0</v>
      </c>
      <c r="W27" s="298" t="inlineStr">
        <is>
          <t>បុគ្គលជាប់អាករ</t>
        </is>
      </c>
      <c r="X27" s="298" t="inlineStr">
        <is>
          <t>L001-901640009</t>
        </is>
      </c>
      <c r="Y27" s="298" t="inlineStr">
        <is>
          <t>ហូលីដេ ឌីហ្សាញ (ខេមបូឌា) ឯ.ក</t>
        </is>
      </c>
      <c r="Z27" s="300" t="n">
        <v>886160</v>
      </c>
      <c r="AA27" s="300" t="n">
        <v>805600</v>
      </c>
      <c r="AB27" s="298" t="n">
        <v>0</v>
      </c>
      <c r="AC27" s="298" t="inlineStr">
        <is>
          <t>-</t>
        </is>
      </c>
      <c r="AD27" s="300" t="n">
        <v>80560</v>
      </c>
      <c r="AE27" s="298" t="n">
        <v>0</v>
      </c>
      <c r="AF27" s="562" t="n">
        <v>0</v>
      </c>
      <c r="AG27" s="198" t="n">
        <v>0</v>
      </c>
      <c r="AH27" s="198" t="n">
        <v>0</v>
      </c>
      <c r="AI27" s="198" t="n">
        <v>0</v>
      </c>
      <c r="AJ27" s="198" t="n">
        <v>0</v>
      </c>
      <c r="AK27" s="198" t="n">
        <v>0</v>
      </c>
      <c r="AL27" s="198" t="n">
        <v>0.01</v>
      </c>
      <c r="AM27" s="198" t="n">
        <v>0</v>
      </c>
      <c r="AN27" s="198" t="inlineStr">
        <is>
          <t>Local Charge</t>
        </is>
      </c>
    </row>
    <row r="28">
      <c r="A28" s="212">
        <f>A27+1</f>
        <v/>
      </c>
      <c r="B28" s="214" t="inlineStr">
        <is>
          <t>Detention Fee</t>
        </is>
      </c>
      <c r="C28" s="214" t="inlineStr">
        <is>
          <t>EXPEDITORS CAMBODIA LTD.</t>
        </is>
      </c>
      <c r="D28" s="215" t="inlineStr">
        <is>
          <t>L001-100045898</t>
        </is>
      </c>
      <c r="E28" s="290" t="inlineStr">
        <is>
          <t>TI-0298481</t>
        </is>
      </c>
      <c r="F28" s="279" t="n">
        <v>45623</v>
      </c>
      <c r="G28" s="216" t="n"/>
      <c r="H28" s="564" t="n"/>
      <c r="I28" s="564" t="n">
        <v>16096</v>
      </c>
      <c r="J28" s="213" t="inlineStr">
        <is>
          <t>អនុញ្ញាត (បានប្រកាស)</t>
        </is>
      </c>
      <c r="K28" s="213" t="n"/>
      <c r="L28" s="563">
        <f>I28</f>
        <v/>
      </c>
      <c r="M28" s="536">
        <f>I28-L28</f>
        <v/>
      </c>
      <c r="N28" s="213" t="n"/>
      <c r="O28" s="218">
        <f>U28=E28</f>
        <v/>
      </c>
      <c r="P28" s="218">
        <f>MONTH(F28)-MONTH(T28)</f>
        <v/>
      </c>
      <c r="Q28" s="218">
        <f>$B$5=X28</f>
        <v/>
      </c>
      <c r="R28" s="218">
        <f>I28-AD28</f>
        <v/>
      </c>
      <c r="S28" s="298" t="n"/>
      <c r="T28" s="299" t="n">
        <v>45623</v>
      </c>
      <c r="U28" s="298" t="inlineStr">
        <is>
          <t>TI-0298481</t>
        </is>
      </c>
      <c r="V28" s="298" t="n">
        <v>0</v>
      </c>
      <c r="W28" s="298" t="inlineStr">
        <is>
          <t>បុគ្គលជាប់អាករ</t>
        </is>
      </c>
      <c r="X28" s="298" t="inlineStr">
        <is>
          <t>L001-901640009</t>
        </is>
      </c>
      <c r="Y28" s="298" t="inlineStr">
        <is>
          <t>ហូលីដេ ឌីហ្សាញ (ខេមបូឌា) ឯ.ក</t>
        </is>
      </c>
      <c r="Z28" s="300" t="n">
        <v>177056</v>
      </c>
      <c r="AA28" s="300" t="n">
        <v>160960</v>
      </c>
      <c r="AB28" s="298" t="n">
        <v>0</v>
      </c>
      <c r="AC28" s="298" t="inlineStr">
        <is>
          <t>-</t>
        </is>
      </c>
      <c r="AD28" s="300" t="n">
        <v>16096</v>
      </c>
      <c r="AE28" s="298" t="n">
        <v>0</v>
      </c>
      <c r="AF28" s="562" t="n">
        <v>0</v>
      </c>
      <c r="AG28" s="198" t="n">
        <v>0</v>
      </c>
      <c r="AH28" s="198" t="n">
        <v>0</v>
      </c>
      <c r="AI28" s="198" t="n">
        <v>0</v>
      </c>
      <c r="AJ28" s="198" t="n">
        <v>0</v>
      </c>
      <c r="AK28" s="198" t="n">
        <v>0</v>
      </c>
      <c r="AL28" s="198" t="n">
        <v>0.01</v>
      </c>
      <c r="AM28" s="198" t="n">
        <v>0</v>
      </c>
      <c r="AN28" s="198" t="inlineStr">
        <is>
          <t>Local Charge</t>
        </is>
      </c>
    </row>
    <row r="29">
      <c r="A29" s="212">
        <f>A28+1</f>
        <v/>
      </c>
      <c r="B29" s="214" t="inlineStr">
        <is>
          <t>Detention Fee</t>
        </is>
      </c>
      <c r="C29" s="214" t="inlineStr">
        <is>
          <t>EXPEDITORS CAMBODIA LTD.</t>
        </is>
      </c>
      <c r="D29" s="215" t="inlineStr">
        <is>
          <t>L001-100045898</t>
        </is>
      </c>
      <c r="E29" s="290" t="inlineStr">
        <is>
          <t>TI-0298472</t>
        </is>
      </c>
      <c r="F29" s="279" t="n">
        <v>45623</v>
      </c>
      <c r="G29" s="216" t="n"/>
      <c r="H29" s="564" t="n"/>
      <c r="I29" s="564" t="n">
        <v>8048</v>
      </c>
      <c r="J29" s="213" t="inlineStr">
        <is>
          <t>អនុញ្ញាត (បានប្រកាស)</t>
        </is>
      </c>
      <c r="K29" s="213" t="n"/>
      <c r="L29" s="563">
        <f>I29</f>
        <v/>
      </c>
      <c r="M29" s="536">
        <f>I29-L29</f>
        <v/>
      </c>
      <c r="N29" s="213" t="n"/>
      <c r="O29" s="218">
        <f>U29=E29</f>
        <v/>
      </c>
      <c r="P29" s="218">
        <f>MONTH(F29)-MONTH(T29)</f>
        <v/>
      </c>
      <c r="Q29" s="218">
        <f>$B$5=X29</f>
        <v/>
      </c>
      <c r="R29" s="218">
        <f>I29-AD29</f>
        <v/>
      </c>
      <c r="S29" s="298" t="n"/>
      <c r="T29" s="299" t="n">
        <v>45623</v>
      </c>
      <c r="U29" s="298" t="inlineStr">
        <is>
          <t>TI-0298472</t>
        </is>
      </c>
      <c r="V29" s="298" t="n">
        <v>0</v>
      </c>
      <c r="W29" s="298" t="inlineStr">
        <is>
          <t>បុគ្គលជាប់អាករ</t>
        </is>
      </c>
      <c r="X29" s="298" t="inlineStr">
        <is>
          <t>L001-901640009</t>
        </is>
      </c>
      <c r="Y29" s="298" t="inlineStr">
        <is>
          <t>ហូលីដេ ឌីហ្សាញ (ខេមបូឌា) ឯ.ក</t>
        </is>
      </c>
      <c r="Z29" s="300" t="n">
        <v>88528</v>
      </c>
      <c r="AA29" s="300" t="n">
        <v>80480</v>
      </c>
      <c r="AB29" s="298" t="n">
        <v>0</v>
      </c>
      <c r="AC29" s="298" t="inlineStr">
        <is>
          <t>-</t>
        </is>
      </c>
      <c r="AD29" s="300" t="n">
        <v>8048</v>
      </c>
      <c r="AE29" s="298" t="n">
        <v>0</v>
      </c>
      <c r="AF29" s="562" t="n">
        <v>0</v>
      </c>
      <c r="AG29" s="198" t="n">
        <v>0</v>
      </c>
      <c r="AH29" s="198" t="n">
        <v>0</v>
      </c>
      <c r="AI29" s="198" t="n">
        <v>0</v>
      </c>
      <c r="AJ29" s="198" t="n">
        <v>0</v>
      </c>
      <c r="AK29" s="198" t="n">
        <v>0</v>
      </c>
      <c r="AL29" s="198" t="n">
        <v>0.01</v>
      </c>
      <c r="AM29" s="198" t="n">
        <v>0</v>
      </c>
      <c r="AN29" s="198" t="inlineStr">
        <is>
          <t>Local Charge</t>
        </is>
      </c>
    </row>
    <row r="30">
      <c r="A30" s="212">
        <f>A29+1</f>
        <v/>
      </c>
      <c r="B30" s="214" t="inlineStr">
        <is>
          <t>Terminal Handling</t>
        </is>
      </c>
      <c r="C30" s="214" t="inlineStr">
        <is>
          <t>EXPEDITORS CAMBODIA LTD.</t>
        </is>
      </c>
      <c r="D30" s="215" t="inlineStr">
        <is>
          <t>L001-100045898</t>
        </is>
      </c>
      <c r="E30" s="290" t="inlineStr">
        <is>
          <t>TI-0296235</t>
        </is>
      </c>
      <c r="F30" s="279" t="n">
        <v>45607</v>
      </c>
      <c r="G30" s="216" t="n"/>
      <c r="H30" s="564" t="n"/>
      <c r="I30" s="564" t="n">
        <v>6089</v>
      </c>
      <c r="J30" s="213" t="inlineStr">
        <is>
          <t>អនុញ្ញាត (បានប្រកាស)</t>
        </is>
      </c>
      <c r="K30" s="213" t="n"/>
      <c r="L30" s="563">
        <f>I30</f>
        <v/>
      </c>
      <c r="M30" s="536">
        <f>I30-L30</f>
        <v/>
      </c>
      <c r="N30" s="213" t="n"/>
      <c r="O30" s="218">
        <f>U30=E30</f>
        <v/>
      </c>
      <c r="P30" s="218">
        <f>MONTH(F30)-MONTH(T30)</f>
        <v/>
      </c>
      <c r="Q30" s="218">
        <f>$B$5=X30</f>
        <v/>
      </c>
      <c r="R30" s="218">
        <f>I30-AD30</f>
        <v/>
      </c>
      <c r="S30" s="298" t="n"/>
      <c r="T30" s="299" t="n">
        <v>45607</v>
      </c>
      <c r="U30" s="298" t="inlineStr">
        <is>
          <t>TI-0296235</t>
        </is>
      </c>
      <c r="V30" s="298" t="n">
        <v>0</v>
      </c>
      <c r="W30" s="298" t="inlineStr">
        <is>
          <t>បុគ្គលជាប់អាករ</t>
        </is>
      </c>
      <c r="X30" s="298" t="inlineStr">
        <is>
          <t>L001-901640009</t>
        </is>
      </c>
      <c r="Y30" s="298" t="inlineStr">
        <is>
          <t>ហូលីដេ ឌីហ្សាញ (ខេមបូឌា) ឯ.ក</t>
        </is>
      </c>
      <c r="Z30" s="300" t="n">
        <v>66974</v>
      </c>
      <c r="AA30" s="300" t="n">
        <v>60885</v>
      </c>
      <c r="AB30" s="298" t="n">
        <v>0</v>
      </c>
      <c r="AC30" s="298" t="inlineStr">
        <is>
          <t>-</t>
        </is>
      </c>
      <c r="AD30" s="300" t="n">
        <v>6089</v>
      </c>
      <c r="AE30" s="298" t="n">
        <v>0</v>
      </c>
      <c r="AF30" s="562" t="n">
        <v>0</v>
      </c>
      <c r="AG30" s="198" t="n">
        <v>0</v>
      </c>
      <c r="AH30" s="198" t="n">
        <v>0</v>
      </c>
      <c r="AI30" s="198" t="n">
        <v>0</v>
      </c>
      <c r="AJ30" s="198" t="n">
        <v>0</v>
      </c>
      <c r="AK30" s="198" t="n">
        <v>0</v>
      </c>
      <c r="AL30" s="198" t="n">
        <v>0.01</v>
      </c>
      <c r="AM30" s="198" t="n">
        <v>0</v>
      </c>
      <c r="AN30" s="198" t="inlineStr">
        <is>
          <t>Local Charge</t>
        </is>
      </c>
    </row>
    <row r="31">
      <c r="A31" s="212">
        <f>A30+1</f>
        <v/>
      </c>
      <c r="B31" s="214" t="inlineStr">
        <is>
          <t>Terminal Handling</t>
        </is>
      </c>
      <c r="C31" s="214" t="inlineStr">
        <is>
          <t>EXPEDITORS CAMBODIA LTD.</t>
        </is>
      </c>
      <c r="D31" s="215" t="inlineStr">
        <is>
          <t>L001-100045898</t>
        </is>
      </c>
      <c r="E31" s="290" t="inlineStr">
        <is>
          <t>TI-0295873</t>
        </is>
      </c>
      <c r="F31" s="279" t="n">
        <v>45602</v>
      </c>
      <c r="G31" s="216" t="n"/>
      <c r="H31" s="564" t="n"/>
      <c r="I31" s="564" t="n">
        <v>4064</v>
      </c>
      <c r="J31" s="213" t="inlineStr">
        <is>
          <t>អនុញ្ញាត (បានប្រកាស)</t>
        </is>
      </c>
      <c r="K31" s="213" t="n"/>
      <c r="L31" s="563">
        <f>I31</f>
        <v/>
      </c>
      <c r="M31" s="536">
        <f>I31-L31</f>
        <v/>
      </c>
      <c r="N31" s="213" t="n"/>
      <c r="O31" s="218">
        <f>U31=E31</f>
        <v/>
      </c>
      <c r="P31" s="218">
        <f>MONTH(F31)-MONTH(T31)</f>
        <v/>
      </c>
      <c r="Q31" s="218">
        <f>$B$5=X31</f>
        <v/>
      </c>
      <c r="R31" s="218">
        <f>I31-AD31</f>
        <v/>
      </c>
      <c r="S31" s="298" t="n"/>
      <c r="T31" s="299" t="n">
        <v>45602</v>
      </c>
      <c r="U31" s="298" t="inlineStr">
        <is>
          <t>TI-0295873</t>
        </is>
      </c>
      <c r="V31" s="298" t="n">
        <v>0</v>
      </c>
      <c r="W31" s="298" t="inlineStr">
        <is>
          <t>បុគ្គលជាប់អាករ</t>
        </is>
      </c>
      <c r="X31" s="298" t="inlineStr">
        <is>
          <t>L001-901640009</t>
        </is>
      </c>
      <c r="Y31" s="298" t="inlineStr">
        <is>
          <t>ហូលីដេ ឌីហ្សាញ (ខេមបូឌា) ឯ.ក</t>
        </is>
      </c>
      <c r="Z31" s="300" t="n">
        <v>44704</v>
      </c>
      <c r="AA31" s="300" t="n">
        <v>40640</v>
      </c>
      <c r="AB31" s="298" t="n">
        <v>0</v>
      </c>
      <c r="AC31" s="298" t="inlineStr">
        <is>
          <t>-</t>
        </is>
      </c>
      <c r="AD31" s="300" t="n">
        <v>4064</v>
      </c>
      <c r="AE31" s="298" t="n">
        <v>0</v>
      </c>
      <c r="AF31" s="562" t="n">
        <v>0</v>
      </c>
      <c r="AG31" s="198" t="n">
        <v>0</v>
      </c>
      <c r="AH31" s="198" t="n">
        <v>0</v>
      </c>
      <c r="AI31" s="198" t="n">
        <v>0</v>
      </c>
      <c r="AJ31" s="198" t="n">
        <v>0</v>
      </c>
      <c r="AK31" s="198" t="n">
        <v>0</v>
      </c>
      <c r="AL31" s="198" t="n">
        <v>0.01</v>
      </c>
      <c r="AM31" s="198" t="n">
        <v>0</v>
      </c>
      <c r="AN31" s="198" t="inlineStr">
        <is>
          <t>Local Charge</t>
        </is>
      </c>
    </row>
    <row r="32">
      <c r="A32" s="212">
        <f>A31+1</f>
        <v/>
      </c>
      <c r="B32" s="214" t="inlineStr">
        <is>
          <t>Terminal Handling</t>
        </is>
      </c>
      <c r="C32" s="214" t="inlineStr">
        <is>
          <t>EXPEDITORS CAMBODIA LTD.</t>
        </is>
      </c>
      <c r="D32" s="215" t="inlineStr">
        <is>
          <t>L001-100045898</t>
        </is>
      </c>
      <c r="E32" s="290" t="inlineStr">
        <is>
          <t>TI-0295880</t>
        </is>
      </c>
      <c r="F32" s="279" t="n">
        <v>45602</v>
      </c>
      <c r="G32" s="216" t="n"/>
      <c r="H32" s="564" t="n"/>
      <c r="I32" s="564" t="n">
        <v>6096</v>
      </c>
      <c r="J32" s="213" t="inlineStr">
        <is>
          <t>អនុញ្ញាត (បានប្រកាស)</t>
        </is>
      </c>
      <c r="K32" s="213" t="n"/>
      <c r="L32" s="563">
        <f>I32</f>
        <v/>
      </c>
      <c r="M32" s="536">
        <f>I32-L32</f>
        <v/>
      </c>
      <c r="N32" s="213" t="n"/>
      <c r="O32" s="218">
        <f>U32=E32</f>
        <v/>
      </c>
      <c r="P32" s="218">
        <f>MONTH(F32)-MONTH(T32)</f>
        <v/>
      </c>
      <c r="Q32" s="218">
        <f>$B$5=X32</f>
        <v/>
      </c>
      <c r="R32" s="218">
        <f>I32-AD32</f>
        <v/>
      </c>
      <c r="S32" s="298" t="n"/>
      <c r="T32" s="299" t="n">
        <v>45602</v>
      </c>
      <c r="U32" s="298" t="inlineStr">
        <is>
          <t>TI-0295880</t>
        </is>
      </c>
      <c r="V32" s="298" t="n">
        <v>0</v>
      </c>
      <c r="W32" s="298" t="inlineStr">
        <is>
          <t>បុគ្គលជាប់អាករ</t>
        </is>
      </c>
      <c r="X32" s="298" t="inlineStr">
        <is>
          <t>L001-901640009</t>
        </is>
      </c>
      <c r="Y32" s="298" t="inlineStr">
        <is>
          <t>ហូលីដេ ឌីហ្សាញ (ខេមបូឌា) ឯ.ក</t>
        </is>
      </c>
      <c r="Z32" s="300" t="n">
        <v>67056</v>
      </c>
      <c r="AA32" s="300" t="n">
        <v>60960</v>
      </c>
      <c r="AB32" s="298" t="n">
        <v>0</v>
      </c>
      <c r="AC32" s="298" t="inlineStr">
        <is>
          <t>-</t>
        </is>
      </c>
      <c r="AD32" s="300" t="n">
        <v>6096</v>
      </c>
      <c r="AE32" s="298" t="n">
        <v>0</v>
      </c>
      <c r="AF32" s="562" t="n">
        <v>0</v>
      </c>
      <c r="AG32" s="198" t="n">
        <v>0</v>
      </c>
      <c r="AH32" s="198" t="n">
        <v>0</v>
      </c>
      <c r="AI32" s="198" t="n">
        <v>0</v>
      </c>
      <c r="AJ32" s="198" t="n">
        <v>0</v>
      </c>
      <c r="AK32" s="198" t="n">
        <v>0</v>
      </c>
      <c r="AL32" s="198" t="n">
        <v>0.01</v>
      </c>
      <c r="AM32" s="198" t="n">
        <v>0</v>
      </c>
      <c r="AN32" s="198" t="inlineStr">
        <is>
          <t>Local Charge</t>
        </is>
      </c>
    </row>
    <row r="33">
      <c r="A33" s="212">
        <f>A32+1</f>
        <v/>
      </c>
      <c r="B33" s="214" t="inlineStr">
        <is>
          <t>Terminal Handling</t>
        </is>
      </c>
      <c r="C33" s="214" t="inlineStr">
        <is>
          <t>EXPEDITORS CAMBODIA LTD.</t>
        </is>
      </c>
      <c r="D33" s="215" t="inlineStr">
        <is>
          <t>L001-100045898</t>
        </is>
      </c>
      <c r="E33" s="290" t="inlineStr">
        <is>
          <t>TI-0295882</t>
        </is>
      </c>
      <c r="F33" s="279" t="n">
        <v>45602</v>
      </c>
      <c r="G33" s="216" t="n"/>
      <c r="H33" s="564" t="n"/>
      <c r="I33" s="564" t="n">
        <v>8128</v>
      </c>
      <c r="J33" s="213" t="inlineStr">
        <is>
          <t>អនុញ្ញាត (បានប្រកាស)</t>
        </is>
      </c>
      <c r="K33" s="213" t="n"/>
      <c r="L33" s="563">
        <f>I33</f>
        <v/>
      </c>
      <c r="M33" s="536">
        <f>I33-L33</f>
        <v/>
      </c>
      <c r="N33" s="213" t="n"/>
      <c r="O33" s="218">
        <f>U33=E33</f>
        <v/>
      </c>
      <c r="P33" s="218">
        <f>MONTH(F33)-MONTH(T33)</f>
        <v/>
      </c>
      <c r="Q33" s="218">
        <f>$B$5=X33</f>
        <v/>
      </c>
      <c r="R33" s="218">
        <f>I33-AD33</f>
        <v/>
      </c>
      <c r="S33" s="298" t="n"/>
      <c r="T33" s="299" t="n">
        <v>45602</v>
      </c>
      <c r="U33" s="298" t="inlineStr">
        <is>
          <t>TI-0295882</t>
        </is>
      </c>
      <c r="V33" s="298" t="n">
        <v>0</v>
      </c>
      <c r="W33" s="298" t="inlineStr">
        <is>
          <t>បុគ្គលជាប់អាករ</t>
        </is>
      </c>
      <c r="X33" s="298" t="inlineStr">
        <is>
          <t>L001-901640009</t>
        </is>
      </c>
      <c r="Y33" s="298" t="inlineStr">
        <is>
          <t>ហូលីដេ ឌីហ្សាញ (ខេមបូឌា) ឯ.ក</t>
        </is>
      </c>
      <c r="Z33" s="300" t="n">
        <v>89408</v>
      </c>
      <c r="AA33" s="300" t="n">
        <v>81280</v>
      </c>
      <c r="AB33" s="298" t="n">
        <v>0</v>
      </c>
      <c r="AC33" s="298" t="inlineStr">
        <is>
          <t>-</t>
        </is>
      </c>
      <c r="AD33" s="300" t="n">
        <v>8128</v>
      </c>
      <c r="AE33" s="298" t="n">
        <v>0</v>
      </c>
      <c r="AF33" s="562" t="n">
        <v>0</v>
      </c>
      <c r="AG33" s="198" t="n">
        <v>0</v>
      </c>
      <c r="AH33" s="198" t="n">
        <v>0</v>
      </c>
      <c r="AI33" s="198" t="n">
        <v>0</v>
      </c>
      <c r="AJ33" s="198" t="n">
        <v>0</v>
      </c>
      <c r="AK33" s="198" t="n">
        <v>0</v>
      </c>
      <c r="AL33" s="198" t="n">
        <v>0.01</v>
      </c>
      <c r="AM33" s="198" t="n">
        <v>0</v>
      </c>
      <c r="AN33" s="198" t="inlineStr">
        <is>
          <t>Local Charge</t>
        </is>
      </c>
    </row>
    <row r="34">
      <c r="A34" s="212">
        <f>A33+1</f>
        <v/>
      </c>
      <c r="B34" s="214" t="inlineStr">
        <is>
          <t>Terminal Handling</t>
        </is>
      </c>
      <c r="C34" s="214" t="inlineStr">
        <is>
          <t>EXPEDITORS CAMBODIA LTD.</t>
        </is>
      </c>
      <c r="D34" s="215" t="inlineStr">
        <is>
          <t>L001-100045898</t>
        </is>
      </c>
      <c r="E34" s="290" t="inlineStr">
        <is>
          <t>TI-0295883</t>
        </is>
      </c>
      <c r="F34" s="279" t="n">
        <v>45602</v>
      </c>
      <c r="G34" s="216" t="n"/>
      <c r="H34" s="564" t="n"/>
      <c r="I34" s="564" t="n">
        <v>6096</v>
      </c>
      <c r="J34" s="213" t="inlineStr">
        <is>
          <t>អនុញ្ញាត (បានប្រកាស)</t>
        </is>
      </c>
      <c r="K34" s="213" t="n"/>
      <c r="L34" s="563">
        <f>I34</f>
        <v/>
      </c>
      <c r="M34" s="536">
        <f>I34-L34</f>
        <v/>
      </c>
      <c r="N34" s="213" t="n"/>
      <c r="O34" s="218">
        <f>U34=E34</f>
        <v/>
      </c>
      <c r="P34" s="218">
        <f>MONTH(F34)-MONTH(T34)</f>
        <v/>
      </c>
      <c r="Q34" s="218">
        <f>$B$5=X34</f>
        <v/>
      </c>
      <c r="R34" s="218">
        <f>I34-AD34</f>
        <v/>
      </c>
      <c r="S34" s="298" t="n"/>
      <c r="T34" s="299" t="n">
        <v>45602</v>
      </c>
      <c r="U34" s="298" t="inlineStr">
        <is>
          <t>TI-0295883</t>
        </is>
      </c>
      <c r="V34" s="298" t="n">
        <v>0</v>
      </c>
      <c r="W34" s="298" t="inlineStr">
        <is>
          <t>បុគ្គលជាប់អាករ</t>
        </is>
      </c>
      <c r="X34" s="298" t="inlineStr">
        <is>
          <t>L001-901640009</t>
        </is>
      </c>
      <c r="Y34" s="298" t="inlineStr">
        <is>
          <t>ហូលីដេ ឌីហ្សាញ (ខេមបូឌា) ឯ.ក</t>
        </is>
      </c>
      <c r="Z34" s="300" t="n">
        <v>67056</v>
      </c>
      <c r="AA34" s="300" t="n">
        <v>60960</v>
      </c>
      <c r="AB34" s="298" t="n">
        <v>0</v>
      </c>
      <c r="AC34" s="298" t="inlineStr">
        <is>
          <t>-</t>
        </is>
      </c>
      <c r="AD34" s="300" t="n">
        <v>6096</v>
      </c>
      <c r="AE34" s="298" t="n">
        <v>0</v>
      </c>
      <c r="AF34" s="562" t="n">
        <v>0</v>
      </c>
      <c r="AG34" s="198" t="n">
        <v>0</v>
      </c>
      <c r="AH34" s="198" t="n">
        <v>0</v>
      </c>
      <c r="AI34" s="198" t="n">
        <v>0</v>
      </c>
      <c r="AJ34" s="198" t="n">
        <v>0</v>
      </c>
      <c r="AK34" s="198" t="n">
        <v>0</v>
      </c>
      <c r="AL34" s="198" t="n">
        <v>0.01</v>
      </c>
      <c r="AM34" s="198" t="n">
        <v>0</v>
      </c>
      <c r="AN34" s="198" t="inlineStr">
        <is>
          <t>Local Charge</t>
        </is>
      </c>
    </row>
    <row r="35">
      <c r="A35" s="212">
        <f>A34+1</f>
        <v/>
      </c>
      <c r="B35" s="214" t="inlineStr">
        <is>
          <t>Terminal Handling</t>
        </is>
      </c>
      <c r="C35" s="214" t="inlineStr">
        <is>
          <t>EXPEDITORS CAMBODIA LTD.</t>
        </is>
      </c>
      <c r="D35" s="215" t="inlineStr">
        <is>
          <t>L001-100045898</t>
        </is>
      </c>
      <c r="E35" s="290" t="inlineStr">
        <is>
          <t>TI-0295884</t>
        </is>
      </c>
      <c r="F35" s="279" t="n">
        <v>45602</v>
      </c>
      <c r="G35" s="216" t="n"/>
      <c r="H35" s="564" t="n"/>
      <c r="I35" s="564" t="n">
        <v>2032</v>
      </c>
      <c r="J35" s="213" t="inlineStr">
        <is>
          <t>អនុញ្ញាត (បានប្រកាស)</t>
        </is>
      </c>
      <c r="K35" s="213" t="n"/>
      <c r="L35" s="563">
        <f>I35</f>
        <v/>
      </c>
      <c r="M35" s="536">
        <f>I35-L35</f>
        <v/>
      </c>
      <c r="N35" s="213" t="n"/>
      <c r="O35" s="218">
        <f>U35=E35</f>
        <v/>
      </c>
      <c r="P35" s="218">
        <f>MONTH(F35)-MONTH(T35)</f>
        <v/>
      </c>
      <c r="Q35" s="218">
        <f>$B$5=X35</f>
        <v/>
      </c>
      <c r="R35" s="218">
        <f>I35-AD35</f>
        <v/>
      </c>
      <c r="S35" s="298" t="n"/>
      <c r="T35" s="299" t="n">
        <v>45602</v>
      </c>
      <c r="U35" s="298" t="inlineStr">
        <is>
          <t>TI-0295884</t>
        </is>
      </c>
      <c r="V35" s="298" t="n">
        <v>0</v>
      </c>
      <c r="W35" s="298" t="inlineStr">
        <is>
          <t>បុគ្គលជាប់អាករ</t>
        </is>
      </c>
      <c r="X35" s="298" t="inlineStr">
        <is>
          <t>L001-901640009</t>
        </is>
      </c>
      <c r="Y35" s="298" t="inlineStr">
        <is>
          <t>ហូលីដេ ឌីហ្សាញ (ខេមបូឌា) ឯ.ក</t>
        </is>
      </c>
      <c r="Z35" s="300" t="n">
        <v>22352</v>
      </c>
      <c r="AA35" s="300" t="n">
        <v>20320</v>
      </c>
      <c r="AB35" s="298" t="n">
        <v>0</v>
      </c>
      <c r="AC35" s="298" t="inlineStr">
        <is>
          <t>-</t>
        </is>
      </c>
      <c r="AD35" s="300" t="n">
        <v>2032</v>
      </c>
      <c r="AE35" s="298" t="n">
        <v>0</v>
      </c>
      <c r="AF35" s="562" t="n">
        <v>0</v>
      </c>
      <c r="AG35" s="198" t="n">
        <v>0</v>
      </c>
      <c r="AH35" s="198" t="n">
        <v>0</v>
      </c>
      <c r="AI35" s="198" t="n">
        <v>0</v>
      </c>
      <c r="AJ35" s="198" t="n">
        <v>0</v>
      </c>
      <c r="AK35" s="198" t="n">
        <v>0</v>
      </c>
      <c r="AL35" s="198" t="n">
        <v>0.01</v>
      </c>
      <c r="AM35" s="198" t="n">
        <v>0</v>
      </c>
      <c r="AN35" s="198" t="inlineStr">
        <is>
          <t>Local Charge</t>
        </is>
      </c>
    </row>
    <row r="36">
      <c r="A36" s="212">
        <f>A35+1</f>
        <v/>
      </c>
      <c r="B36" s="214" t="inlineStr">
        <is>
          <t>Terminal Handling</t>
        </is>
      </c>
      <c r="C36" s="214" t="inlineStr">
        <is>
          <t>EXPEDITORS CAMBODIA LTD.</t>
        </is>
      </c>
      <c r="D36" s="215" t="inlineStr">
        <is>
          <t>L001-100045898</t>
        </is>
      </c>
      <c r="E36" s="290" t="inlineStr">
        <is>
          <t>TI-0295886</t>
        </is>
      </c>
      <c r="F36" s="279" t="n">
        <v>45602</v>
      </c>
      <c r="G36" s="216" t="n"/>
      <c r="H36" s="564" t="n"/>
      <c r="I36" s="564" t="n">
        <v>2032</v>
      </c>
      <c r="J36" s="213" t="inlineStr">
        <is>
          <t>អនុញ្ញាត (បានប្រកាស)</t>
        </is>
      </c>
      <c r="K36" s="213" t="n"/>
      <c r="L36" s="563">
        <f>I36</f>
        <v/>
      </c>
      <c r="M36" s="536">
        <f>I36-L36</f>
        <v/>
      </c>
      <c r="N36" s="213" t="n"/>
      <c r="O36" s="218">
        <f>U36=E36</f>
        <v/>
      </c>
      <c r="P36" s="218">
        <f>MONTH(F36)-MONTH(T36)</f>
        <v/>
      </c>
      <c r="Q36" s="218">
        <f>$B$5=X36</f>
        <v/>
      </c>
      <c r="R36" s="218">
        <f>I36-AD36</f>
        <v/>
      </c>
      <c r="S36" s="298" t="n"/>
      <c r="T36" s="299" t="n">
        <v>45602</v>
      </c>
      <c r="U36" s="298" t="inlineStr">
        <is>
          <t>TI-0295886</t>
        </is>
      </c>
      <c r="V36" s="298" t="n">
        <v>0</v>
      </c>
      <c r="W36" s="298" t="inlineStr">
        <is>
          <t>បុគ្គលជាប់អាករ</t>
        </is>
      </c>
      <c r="X36" s="298" t="inlineStr">
        <is>
          <t>L001-901640009</t>
        </is>
      </c>
      <c r="Y36" s="298" t="inlineStr">
        <is>
          <t>ហូលីដេ ឌីហ្សាញ (ខេមបូឌា) ឯ.ក</t>
        </is>
      </c>
      <c r="Z36" s="300" t="n">
        <v>22352</v>
      </c>
      <c r="AA36" s="300" t="n">
        <v>20320</v>
      </c>
      <c r="AB36" s="298" t="n">
        <v>0</v>
      </c>
      <c r="AC36" s="298" t="inlineStr">
        <is>
          <t>-</t>
        </is>
      </c>
      <c r="AD36" s="300" t="n">
        <v>2032</v>
      </c>
      <c r="AE36" s="298" t="n">
        <v>0</v>
      </c>
      <c r="AF36" s="562" t="n">
        <v>0</v>
      </c>
      <c r="AG36" s="198" t="n">
        <v>0</v>
      </c>
      <c r="AH36" s="198" t="n">
        <v>0</v>
      </c>
      <c r="AI36" s="198" t="n">
        <v>0</v>
      </c>
      <c r="AJ36" s="198" t="n">
        <v>0</v>
      </c>
      <c r="AK36" s="198" t="n">
        <v>0</v>
      </c>
      <c r="AL36" s="198" t="n">
        <v>0.01</v>
      </c>
      <c r="AM36" s="198" t="n">
        <v>0</v>
      </c>
      <c r="AN36" s="198" t="inlineStr">
        <is>
          <t>Local Charge</t>
        </is>
      </c>
    </row>
    <row r="37">
      <c r="A37" s="212">
        <f>A36+1</f>
        <v/>
      </c>
      <c r="B37" s="214" t="inlineStr">
        <is>
          <t>Terminal Handling</t>
        </is>
      </c>
      <c r="C37" s="214" t="inlineStr">
        <is>
          <t>EXPEDITORS CAMBODIA LTD.</t>
        </is>
      </c>
      <c r="D37" s="215" t="inlineStr">
        <is>
          <t>L001-100045898</t>
        </is>
      </c>
      <c r="E37" s="290" t="inlineStr">
        <is>
          <t>TI-0295887</t>
        </is>
      </c>
      <c r="F37" s="279" t="n">
        <v>45602</v>
      </c>
      <c r="G37" s="216" t="n"/>
      <c r="H37" s="564" t="n"/>
      <c r="I37" s="564" t="n">
        <v>8128</v>
      </c>
      <c r="J37" s="213" t="inlineStr">
        <is>
          <t>អនុញ្ញាត (បានប្រកាស)</t>
        </is>
      </c>
      <c r="K37" s="213" t="n"/>
      <c r="L37" s="563">
        <f>I37</f>
        <v/>
      </c>
      <c r="M37" s="536">
        <f>I37-L37</f>
        <v/>
      </c>
      <c r="N37" s="213" t="n"/>
      <c r="O37" s="218">
        <f>U37=E37</f>
        <v/>
      </c>
      <c r="P37" s="218">
        <f>MONTH(F37)-MONTH(T37)</f>
        <v/>
      </c>
      <c r="Q37" s="218">
        <f>$B$5=X37</f>
        <v/>
      </c>
      <c r="R37" s="218">
        <f>I37-AD37</f>
        <v/>
      </c>
      <c r="S37" s="298" t="n"/>
      <c r="T37" s="299" t="n">
        <v>45602</v>
      </c>
      <c r="U37" s="298" t="inlineStr">
        <is>
          <t>TI-0295887</t>
        </is>
      </c>
      <c r="V37" s="298" t="n">
        <v>0</v>
      </c>
      <c r="W37" s="298" t="inlineStr">
        <is>
          <t>បុគ្គលជាប់អាករ</t>
        </is>
      </c>
      <c r="X37" s="298" t="inlineStr">
        <is>
          <t>L001-901640009</t>
        </is>
      </c>
      <c r="Y37" s="298" t="inlineStr">
        <is>
          <t>ហូលីដេ ឌីហ្សាញ (ខេមបូឌា) ឯ.ក</t>
        </is>
      </c>
      <c r="Z37" s="300" t="n">
        <v>89408</v>
      </c>
      <c r="AA37" s="300" t="n">
        <v>81280</v>
      </c>
      <c r="AB37" s="298" t="n">
        <v>0</v>
      </c>
      <c r="AC37" s="298" t="inlineStr">
        <is>
          <t>-</t>
        </is>
      </c>
      <c r="AD37" s="300" t="n">
        <v>8128</v>
      </c>
      <c r="AE37" s="298" t="n">
        <v>0</v>
      </c>
      <c r="AF37" s="562" t="n">
        <v>0</v>
      </c>
      <c r="AG37" s="198" t="n">
        <v>0</v>
      </c>
      <c r="AH37" s="198" t="n">
        <v>0</v>
      </c>
      <c r="AI37" s="198" t="n">
        <v>0</v>
      </c>
      <c r="AJ37" s="198" t="n">
        <v>0</v>
      </c>
      <c r="AK37" s="198" t="n">
        <v>0</v>
      </c>
      <c r="AL37" s="198" t="n">
        <v>0.01</v>
      </c>
      <c r="AM37" s="198" t="n">
        <v>0</v>
      </c>
      <c r="AN37" s="198" t="inlineStr">
        <is>
          <t>Local Charge</t>
        </is>
      </c>
    </row>
    <row r="38">
      <c r="A38" s="212">
        <f>A37+1</f>
        <v/>
      </c>
      <c r="B38" s="214" t="inlineStr">
        <is>
          <t>Terminal Handling</t>
        </is>
      </c>
      <c r="C38" s="214" t="inlineStr">
        <is>
          <t>EXPEDITORS CAMBODIA LTD.</t>
        </is>
      </c>
      <c r="D38" s="215" t="inlineStr">
        <is>
          <t>L001-100045898</t>
        </is>
      </c>
      <c r="E38" s="290" t="inlineStr">
        <is>
          <t>TI-0295888</t>
        </is>
      </c>
      <c r="F38" s="279" t="n">
        <v>45602</v>
      </c>
      <c r="G38" s="216" t="n"/>
      <c r="H38" s="564" t="n"/>
      <c r="I38" s="564" t="n">
        <v>2032</v>
      </c>
      <c r="J38" s="213" t="inlineStr">
        <is>
          <t>អនុញ្ញាត (បានប្រកាស)</t>
        </is>
      </c>
      <c r="K38" s="213" t="n"/>
      <c r="L38" s="563">
        <f>I38</f>
        <v/>
      </c>
      <c r="M38" s="536">
        <f>I38-L38</f>
        <v/>
      </c>
      <c r="N38" s="213" t="n"/>
      <c r="O38" s="218">
        <f>U38=E38</f>
        <v/>
      </c>
      <c r="P38" s="218">
        <f>MONTH(F38)-MONTH(T38)</f>
        <v/>
      </c>
      <c r="Q38" s="218">
        <f>$B$5=X38</f>
        <v/>
      </c>
      <c r="R38" s="218">
        <f>I38-AD38</f>
        <v/>
      </c>
      <c r="S38" s="298" t="n"/>
      <c r="T38" s="299" t="n">
        <v>45602</v>
      </c>
      <c r="U38" s="298" t="inlineStr">
        <is>
          <t>TI-0295888</t>
        </is>
      </c>
      <c r="V38" s="298" t="n">
        <v>0</v>
      </c>
      <c r="W38" s="298" t="inlineStr">
        <is>
          <t>បុគ្គលជាប់អាករ</t>
        </is>
      </c>
      <c r="X38" s="298" t="inlineStr">
        <is>
          <t>L001-901640009</t>
        </is>
      </c>
      <c r="Y38" s="298" t="inlineStr">
        <is>
          <t>ហូលីដេ ឌីហ្សាញ (ខេមបូឌា) ឯ.ក</t>
        </is>
      </c>
      <c r="Z38" s="300" t="n">
        <v>22352</v>
      </c>
      <c r="AA38" s="300" t="n">
        <v>20320</v>
      </c>
      <c r="AB38" s="298" t="n">
        <v>0</v>
      </c>
      <c r="AC38" s="298" t="inlineStr">
        <is>
          <t>-</t>
        </is>
      </c>
      <c r="AD38" s="300" t="n">
        <v>2032</v>
      </c>
      <c r="AE38" s="298" t="n">
        <v>0</v>
      </c>
      <c r="AF38" s="562" t="n">
        <v>0</v>
      </c>
      <c r="AG38" s="198" t="n">
        <v>0</v>
      </c>
      <c r="AH38" s="198" t="n">
        <v>0</v>
      </c>
      <c r="AI38" s="198" t="n">
        <v>0</v>
      </c>
      <c r="AJ38" s="198" t="n">
        <v>0</v>
      </c>
      <c r="AK38" s="198" t="n">
        <v>0</v>
      </c>
      <c r="AL38" s="198" t="n">
        <v>0.01</v>
      </c>
      <c r="AM38" s="198" t="n">
        <v>0</v>
      </c>
      <c r="AN38" s="198" t="inlineStr">
        <is>
          <t>Local Charge</t>
        </is>
      </c>
    </row>
    <row r="39">
      <c r="A39" s="212">
        <f>A38+1</f>
        <v/>
      </c>
      <c r="B39" s="214" t="inlineStr">
        <is>
          <t>Terminal Handling</t>
        </is>
      </c>
      <c r="C39" s="214" t="inlineStr">
        <is>
          <t>EXPEDITORS CAMBODIA LTD.</t>
        </is>
      </c>
      <c r="D39" s="215" t="inlineStr">
        <is>
          <t>L001-100045898</t>
        </is>
      </c>
      <c r="E39" s="290" t="inlineStr">
        <is>
          <t>TI-0295890</t>
        </is>
      </c>
      <c r="F39" s="279" t="n">
        <v>45602</v>
      </c>
      <c r="G39" s="216" t="n"/>
      <c r="H39" s="564" t="n"/>
      <c r="I39" s="564" t="n">
        <v>4064</v>
      </c>
      <c r="J39" s="213" t="inlineStr">
        <is>
          <t>អនុញ្ញាត (បានប្រកាស)</t>
        </is>
      </c>
      <c r="K39" s="213" t="n"/>
      <c r="L39" s="563">
        <f>I39</f>
        <v/>
      </c>
      <c r="M39" s="536">
        <f>I39-L39</f>
        <v/>
      </c>
      <c r="N39" s="213" t="n"/>
      <c r="O39" s="218">
        <f>U39=E39</f>
        <v/>
      </c>
      <c r="P39" s="218">
        <f>MONTH(F39)-MONTH(T39)</f>
        <v/>
      </c>
      <c r="Q39" s="218">
        <f>$B$5=X39</f>
        <v/>
      </c>
      <c r="R39" s="218">
        <f>I39-AD39</f>
        <v/>
      </c>
      <c r="S39" s="298" t="n"/>
      <c r="T39" s="299" t="n">
        <v>45602</v>
      </c>
      <c r="U39" s="298" t="inlineStr">
        <is>
          <t>TI-0295890</t>
        </is>
      </c>
      <c r="V39" s="298" t="n">
        <v>0</v>
      </c>
      <c r="W39" s="298" t="inlineStr">
        <is>
          <t>បុគ្គលជាប់អាករ</t>
        </is>
      </c>
      <c r="X39" s="298" t="inlineStr">
        <is>
          <t>L001-901640009</t>
        </is>
      </c>
      <c r="Y39" s="298" t="inlineStr">
        <is>
          <t>ហូលីដេ ឌីហ្សាញ (ខេមបូឌា) ឯ.ក</t>
        </is>
      </c>
      <c r="Z39" s="300" t="n">
        <v>44704</v>
      </c>
      <c r="AA39" s="300" t="n">
        <v>40640</v>
      </c>
      <c r="AB39" s="298" t="n">
        <v>0</v>
      </c>
      <c r="AC39" s="298" t="inlineStr">
        <is>
          <t>-</t>
        </is>
      </c>
      <c r="AD39" s="300" t="n">
        <v>4064</v>
      </c>
      <c r="AE39" s="298" t="n">
        <v>0</v>
      </c>
      <c r="AF39" s="562" t="n">
        <v>0</v>
      </c>
      <c r="AG39" s="198" t="n">
        <v>0</v>
      </c>
      <c r="AH39" s="198" t="n">
        <v>0</v>
      </c>
      <c r="AI39" s="198" t="n">
        <v>0</v>
      </c>
      <c r="AJ39" s="198" t="n">
        <v>0</v>
      </c>
      <c r="AK39" s="198" t="n">
        <v>0</v>
      </c>
      <c r="AL39" s="198" t="n">
        <v>0.01</v>
      </c>
      <c r="AM39" s="198" t="n">
        <v>0</v>
      </c>
      <c r="AN39" s="198" t="inlineStr">
        <is>
          <t>Local Charge</t>
        </is>
      </c>
    </row>
    <row r="40">
      <c r="A40" s="212">
        <f>A39+1</f>
        <v/>
      </c>
      <c r="B40" s="214" t="inlineStr">
        <is>
          <t>Detention Fee</t>
        </is>
      </c>
      <c r="C40" s="214" t="inlineStr">
        <is>
          <t>EXPEDITORS CAMBODIA LTD.</t>
        </is>
      </c>
      <c r="D40" s="215" t="inlineStr">
        <is>
          <t>L001-100045898</t>
        </is>
      </c>
      <c r="E40" s="290" t="inlineStr">
        <is>
          <t>TI-0298545</t>
        </is>
      </c>
      <c r="F40" s="279" t="n">
        <v>45625</v>
      </c>
      <c r="G40" s="216" t="n"/>
      <c r="H40" s="564" t="n"/>
      <c r="I40" s="564" t="n">
        <v>72504</v>
      </c>
      <c r="J40" s="213" t="inlineStr">
        <is>
          <t>អនុញ្ញាត (បានប្រកាស)</t>
        </is>
      </c>
      <c r="K40" s="213" t="n"/>
      <c r="L40" s="563">
        <f>I40</f>
        <v/>
      </c>
      <c r="M40" s="536">
        <f>I40-L40</f>
        <v/>
      </c>
      <c r="N40" s="213" t="n"/>
      <c r="O40" s="218">
        <f>U40=E40</f>
        <v/>
      </c>
      <c r="P40" s="218">
        <f>MONTH(F40)-MONTH(T40)</f>
        <v/>
      </c>
      <c r="Q40" s="218">
        <f>$B$5=X40</f>
        <v/>
      </c>
      <c r="R40" s="218">
        <f>I40-AD40</f>
        <v/>
      </c>
      <c r="S40" s="298" t="n"/>
      <c r="T40" s="299" t="n">
        <v>45625</v>
      </c>
      <c r="U40" s="298" t="inlineStr">
        <is>
          <t>TI-0298545</t>
        </is>
      </c>
      <c r="V40" s="298" t="n">
        <v>0</v>
      </c>
      <c r="W40" s="298" t="inlineStr">
        <is>
          <t>បុគ្គលជាប់អាករ</t>
        </is>
      </c>
      <c r="X40" s="298" t="inlineStr">
        <is>
          <t>L001-901640009</t>
        </is>
      </c>
      <c r="Y40" s="298" t="inlineStr">
        <is>
          <t>ហូលីដេ ឌីហ្សាញ (ខេមបូឌា) ឯ.ក</t>
        </is>
      </c>
      <c r="Z40" s="300" t="n">
        <v>797544</v>
      </c>
      <c r="AA40" s="300" t="n">
        <v>725040</v>
      </c>
      <c r="AB40" s="298" t="n">
        <v>0</v>
      </c>
      <c r="AC40" s="298" t="inlineStr">
        <is>
          <t>-</t>
        </is>
      </c>
      <c r="AD40" s="300" t="n">
        <v>72504</v>
      </c>
      <c r="AE40" s="298" t="n">
        <v>0</v>
      </c>
      <c r="AF40" s="562" t="n">
        <v>0</v>
      </c>
      <c r="AG40" s="198" t="n">
        <v>0</v>
      </c>
      <c r="AH40" s="198" t="n">
        <v>0</v>
      </c>
      <c r="AI40" s="198" t="n">
        <v>0</v>
      </c>
      <c r="AJ40" s="198" t="n">
        <v>0</v>
      </c>
      <c r="AK40" s="198" t="n">
        <v>0</v>
      </c>
      <c r="AL40" s="198" t="n">
        <v>0.01</v>
      </c>
      <c r="AM40" s="198" t="n">
        <v>0</v>
      </c>
      <c r="AN40" s="198" t="inlineStr">
        <is>
          <t>Local Charge</t>
        </is>
      </c>
    </row>
    <row r="41">
      <c r="A41" s="212">
        <f>A40+1</f>
        <v/>
      </c>
      <c r="B41" s="214" t="inlineStr">
        <is>
          <t>Detention Fee</t>
        </is>
      </c>
      <c r="C41" s="214" t="inlineStr">
        <is>
          <t>EXPEDITORS CAMBODIA LTD.</t>
        </is>
      </c>
      <c r="D41" s="215" t="inlineStr">
        <is>
          <t>L001-100045898</t>
        </is>
      </c>
      <c r="E41" s="290" t="inlineStr">
        <is>
          <t>TI-0298546</t>
        </is>
      </c>
      <c r="F41" s="279" t="n">
        <v>45625</v>
      </c>
      <c r="G41" s="216" t="n"/>
      <c r="H41" s="564" t="n"/>
      <c r="I41" s="564" t="n">
        <v>16112</v>
      </c>
      <c r="J41" s="213" t="inlineStr">
        <is>
          <t>អនុញ្ញាត (បានប្រកាស)</t>
        </is>
      </c>
      <c r="K41" s="213" t="n"/>
      <c r="L41" s="563">
        <f>I41</f>
        <v/>
      </c>
      <c r="M41" s="536">
        <f>I41-L41</f>
        <v/>
      </c>
      <c r="N41" s="213" t="n"/>
      <c r="O41" s="218">
        <f>U41=E41</f>
        <v/>
      </c>
      <c r="P41" s="218">
        <f>MONTH(F41)-MONTH(T41)</f>
        <v/>
      </c>
      <c r="Q41" s="218">
        <f>$B$5=X41</f>
        <v/>
      </c>
      <c r="R41" s="218">
        <f>I41-AD41</f>
        <v/>
      </c>
      <c r="S41" s="298" t="n"/>
      <c r="T41" s="299" t="n">
        <v>45625</v>
      </c>
      <c r="U41" s="298" t="inlineStr">
        <is>
          <t>TI-0298546</t>
        </is>
      </c>
      <c r="V41" s="298" t="n">
        <v>0</v>
      </c>
      <c r="W41" s="298" t="inlineStr">
        <is>
          <t>បុគ្គលជាប់អាករ</t>
        </is>
      </c>
      <c r="X41" s="298" t="inlineStr">
        <is>
          <t>L001-901640009</t>
        </is>
      </c>
      <c r="Y41" s="298" t="inlineStr">
        <is>
          <t>ហូលីដេ ឌីហ្សាញ (ខេមបូឌា) ឯ.ក</t>
        </is>
      </c>
      <c r="Z41" s="300" t="n">
        <v>177232</v>
      </c>
      <c r="AA41" s="300" t="n">
        <v>161120</v>
      </c>
      <c r="AB41" s="298" t="n">
        <v>0</v>
      </c>
      <c r="AC41" s="298" t="inlineStr">
        <is>
          <t>-</t>
        </is>
      </c>
      <c r="AD41" s="300" t="n">
        <v>16112</v>
      </c>
      <c r="AE41" s="298" t="n">
        <v>0</v>
      </c>
      <c r="AF41" s="562" t="n">
        <v>0</v>
      </c>
      <c r="AG41" s="198" t="n">
        <v>0</v>
      </c>
      <c r="AH41" s="198" t="n">
        <v>0</v>
      </c>
      <c r="AI41" s="198" t="n">
        <v>0</v>
      </c>
      <c r="AJ41" s="198" t="n">
        <v>0</v>
      </c>
      <c r="AK41" s="198" t="n">
        <v>0</v>
      </c>
      <c r="AL41" s="198" t="n">
        <v>0.01</v>
      </c>
      <c r="AM41" s="198" t="n">
        <v>0</v>
      </c>
      <c r="AN41" s="198" t="inlineStr">
        <is>
          <t>Local Charge</t>
        </is>
      </c>
    </row>
    <row r="42">
      <c r="A42" s="212">
        <f>A41+1</f>
        <v/>
      </c>
      <c r="B42" s="214" t="inlineStr">
        <is>
          <t>Detention Fee</t>
        </is>
      </c>
      <c r="C42" s="214" t="inlineStr">
        <is>
          <t>EXPEDITORS CAMBODIA LTD.</t>
        </is>
      </c>
      <c r="D42" s="215" t="inlineStr">
        <is>
          <t>L001-100045898</t>
        </is>
      </c>
      <c r="E42" s="290" t="inlineStr">
        <is>
          <t>TI-0298547</t>
        </is>
      </c>
      <c r="F42" s="279" t="n">
        <v>45625</v>
      </c>
      <c r="G42" s="216" t="n"/>
      <c r="H42" s="564" t="n"/>
      <c r="I42" s="564" t="n">
        <v>8056</v>
      </c>
      <c r="J42" s="213" t="inlineStr">
        <is>
          <t>អនុញ្ញាត (បានប្រកាស)</t>
        </is>
      </c>
      <c r="K42" s="213" t="n"/>
      <c r="L42" s="563">
        <f>I42</f>
        <v/>
      </c>
      <c r="M42" s="536">
        <f>I42-L42</f>
        <v/>
      </c>
      <c r="N42" s="213" t="n"/>
      <c r="O42" s="218">
        <f>U42=E42</f>
        <v/>
      </c>
      <c r="P42" s="218">
        <f>MONTH(F42)-MONTH(T42)</f>
        <v/>
      </c>
      <c r="Q42" s="218">
        <f>$B$5=X42</f>
        <v/>
      </c>
      <c r="R42" s="218">
        <f>I42-AD42</f>
        <v/>
      </c>
      <c r="S42" s="298" t="n"/>
      <c r="T42" s="299" t="n">
        <v>45625</v>
      </c>
      <c r="U42" s="298" t="inlineStr">
        <is>
          <t>TI-0298547</t>
        </is>
      </c>
      <c r="V42" s="298" t="n">
        <v>0</v>
      </c>
      <c r="W42" s="298" t="inlineStr">
        <is>
          <t>បុគ្គលជាប់អាករ</t>
        </is>
      </c>
      <c r="X42" s="298" t="inlineStr">
        <is>
          <t>L001-901640009</t>
        </is>
      </c>
      <c r="Y42" s="298" t="inlineStr">
        <is>
          <t>ហូលីដេ ឌីហ្សាញ (ខេមបូឌា) ឯ.ក</t>
        </is>
      </c>
      <c r="Z42" s="300" t="n">
        <v>88616</v>
      </c>
      <c r="AA42" s="300" t="n">
        <v>80560</v>
      </c>
      <c r="AB42" s="298" t="n">
        <v>0</v>
      </c>
      <c r="AC42" s="298" t="inlineStr">
        <is>
          <t>-</t>
        </is>
      </c>
      <c r="AD42" s="300" t="n">
        <v>8056</v>
      </c>
      <c r="AE42" s="298" t="n">
        <v>0</v>
      </c>
      <c r="AF42" s="562" t="n">
        <v>0</v>
      </c>
      <c r="AG42" s="198" t="n">
        <v>0</v>
      </c>
      <c r="AH42" s="198" t="n">
        <v>0</v>
      </c>
      <c r="AI42" s="198" t="n">
        <v>0</v>
      </c>
      <c r="AJ42" s="198" t="n">
        <v>0</v>
      </c>
      <c r="AK42" s="198" t="n">
        <v>0</v>
      </c>
      <c r="AL42" s="198" t="n">
        <v>0.01</v>
      </c>
      <c r="AM42" s="198" t="n">
        <v>0</v>
      </c>
      <c r="AN42" s="198" t="inlineStr">
        <is>
          <t>Local Charge</t>
        </is>
      </c>
    </row>
    <row r="43">
      <c r="A43" s="212">
        <f>A42+1</f>
        <v/>
      </c>
      <c r="B43" s="214" t="inlineStr">
        <is>
          <t>Detention Fee</t>
        </is>
      </c>
      <c r="C43" s="214" t="inlineStr">
        <is>
          <t>EXPEDITORS CAMBODIA LTD.</t>
        </is>
      </c>
      <c r="D43" s="215" t="inlineStr">
        <is>
          <t>L001-100045898</t>
        </is>
      </c>
      <c r="E43" s="290" t="inlineStr">
        <is>
          <t>TI-0298543</t>
        </is>
      </c>
      <c r="F43" s="279" t="n">
        <v>45625</v>
      </c>
      <c r="G43" s="216" t="n"/>
      <c r="H43" s="564" t="n"/>
      <c r="I43" s="564" t="n">
        <v>8056</v>
      </c>
      <c r="J43" s="213" t="inlineStr">
        <is>
          <t>អនុញ្ញាត (បានប្រកាស)</t>
        </is>
      </c>
      <c r="K43" s="213" t="n"/>
      <c r="L43" s="563">
        <f>I43</f>
        <v/>
      </c>
      <c r="M43" s="536">
        <f>I43-L43</f>
        <v/>
      </c>
      <c r="N43" s="213" t="n"/>
      <c r="O43" s="218">
        <f>U43=E43</f>
        <v/>
      </c>
      <c r="P43" s="218">
        <f>MONTH(F43)-MONTH(T43)</f>
        <v/>
      </c>
      <c r="Q43" s="218">
        <f>$B$5=X43</f>
        <v/>
      </c>
      <c r="R43" s="218">
        <f>I43-AD43</f>
        <v/>
      </c>
      <c r="S43" s="298" t="n"/>
      <c r="T43" s="299" t="n">
        <v>45625</v>
      </c>
      <c r="U43" s="298" t="inlineStr">
        <is>
          <t>TI-0298543</t>
        </is>
      </c>
      <c r="V43" s="298" t="n">
        <v>0</v>
      </c>
      <c r="W43" s="298" t="inlineStr">
        <is>
          <t>បុគ្គលជាប់អាករ</t>
        </is>
      </c>
      <c r="X43" s="298" t="inlineStr">
        <is>
          <t>L001-901640009</t>
        </is>
      </c>
      <c r="Y43" s="298" t="inlineStr">
        <is>
          <t>ហូលីដេ ឌីហ្សាញ (ខេមបូឌា) ឯ.ក</t>
        </is>
      </c>
      <c r="Z43" s="300" t="n">
        <v>88616</v>
      </c>
      <c r="AA43" s="300" t="n">
        <v>80560</v>
      </c>
      <c r="AB43" s="298" t="n">
        <v>0</v>
      </c>
      <c r="AC43" s="298" t="inlineStr">
        <is>
          <t>-</t>
        </is>
      </c>
      <c r="AD43" s="300" t="n">
        <v>8056</v>
      </c>
      <c r="AE43" s="298" t="n">
        <v>0</v>
      </c>
      <c r="AF43" s="562" t="n">
        <v>0</v>
      </c>
      <c r="AG43" s="198" t="n">
        <v>0</v>
      </c>
      <c r="AH43" s="198" t="n">
        <v>0</v>
      </c>
      <c r="AI43" s="198" t="n">
        <v>0</v>
      </c>
      <c r="AJ43" s="198" t="n">
        <v>0</v>
      </c>
      <c r="AK43" s="198" t="n">
        <v>0</v>
      </c>
      <c r="AL43" s="198" t="n">
        <v>0.01</v>
      </c>
      <c r="AM43" s="198" t="n">
        <v>0</v>
      </c>
      <c r="AN43" s="198" t="inlineStr">
        <is>
          <t>Local Charge</t>
        </is>
      </c>
    </row>
    <row r="44">
      <c r="A44" s="212">
        <f>A43+1</f>
        <v/>
      </c>
      <c r="B44" s="214" t="inlineStr">
        <is>
          <t>Detention Fee</t>
        </is>
      </c>
      <c r="C44" s="214" t="inlineStr">
        <is>
          <t>EXPEDITORS CAMBODIA LTD.</t>
        </is>
      </c>
      <c r="D44" s="215" t="inlineStr">
        <is>
          <t>L001-100045898</t>
        </is>
      </c>
      <c r="E44" s="290" t="inlineStr">
        <is>
          <t>TI-0298548</t>
        </is>
      </c>
      <c r="F44" s="279" t="n">
        <v>45625</v>
      </c>
      <c r="G44" s="216" t="n"/>
      <c r="H44" s="564" t="n"/>
      <c r="I44" s="564" t="n">
        <v>16112</v>
      </c>
      <c r="J44" s="213" t="inlineStr">
        <is>
          <t>អនុញ្ញាត (បានប្រកាស)</t>
        </is>
      </c>
      <c r="K44" s="213" t="n"/>
      <c r="L44" s="563">
        <f>I44</f>
        <v/>
      </c>
      <c r="M44" s="536">
        <f>I44-L44</f>
        <v/>
      </c>
      <c r="N44" s="213" t="n"/>
      <c r="O44" s="218">
        <f>U44=E44</f>
        <v/>
      </c>
      <c r="P44" s="218">
        <f>MONTH(F44)-MONTH(T44)</f>
        <v/>
      </c>
      <c r="Q44" s="218">
        <f>$B$5=X44</f>
        <v/>
      </c>
      <c r="R44" s="218">
        <f>I44-AD44</f>
        <v/>
      </c>
      <c r="S44" s="298" t="n"/>
      <c r="T44" s="299" t="n">
        <v>45625</v>
      </c>
      <c r="U44" s="298" t="inlineStr">
        <is>
          <t>TI-0298548</t>
        </is>
      </c>
      <c r="V44" s="298" t="n">
        <v>0</v>
      </c>
      <c r="W44" s="298" t="inlineStr">
        <is>
          <t>បុគ្គលជាប់អាករ</t>
        </is>
      </c>
      <c r="X44" s="298" t="inlineStr">
        <is>
          <t>L001-901640009</t>
        </is>
      </c>
      <c r="Y44" s="298" t="inlineStr">
        <is>
          <t>ហូលីដេ ឌីហ្សាញ (ខេមបូឌា) ឯ.ក</t>
        </is>
      </c>
      <c r="Z44" s="300" t="n">
        <v>177232</v>
      </c>
      <c r="AA44" s="300" t="n">
        <v>161120</v>
      </c>
      <c r="AB44" s="298" t="n">
        <v>0</v>
      </c>
      <c r="AC44" s="298" t="inlineStr">
        <is>
          <t>-</t>
        </is>
      </c>
      <c r="AD44" s="300" t="n">
        <v>16112</v>
      </c>
      <c r="AE44" s="298" t="n">
        <v>0</v>
      </c>
      <c r="AF44" s="562" t="n">
        <v>0</v>
      </c>
      <c r="AG44" s="198" t="n">
        <v>0</v>
      </c>
      <c r="AH44" s="198" t="n">
        <v>0</v>
      </c>
      <c r="AI44" s="198" t="n">
        <v>0</v>
      </c>
      <c r="AJ44" s="198" t="n">
        <v>0</v>
      </c>
      <c r="AK44" s="198" t="n">
        <v>0</v>
      </c>
      <c r="AL44" s="198" t="n">
        <v>0.01</v>
      </c>
      <c r="AM44" s="198" t="n">
        <v>0</v>
      </c>
      <c r="AN44" s="198" t="inlineStr">
        <is>
          <t>Local Charge</t>
        </is>
      </c>
    </row>
    <row r="45">
      <c r="A45" s="212">
        <f>A44+1</f>
        <v/>
      </c>
      <c r="B45" s="214" t="inlineStr">
        <is>
          <t>Rental Building E G&amp; L</t>
        </is>
      </c>
      <c r="C45" s="214" t="inlineStr">
        <is>
          <t>JALIANKA INTERNATIONAL (CAMBODIA) CO., LTD.</t>
        </is>
      </c>
      <c r="D45" s="215" t="inlineStr">
        <is>
          <t>B105-901907504</t>
        </is>
      </c>
      <c r="E45" s="290" t="inlineStr">
        <is>
          <t>JILLANKA2501012</t>
        </is>
      </c>
      <c r="F45" s="279" t="n">
        <v>45747</v>
      </c>
      <c r="G45" s="216" t="n"/>
      <c r="H45" s="564" t="n"/>
      <c r="I45" s="564" t="n">
        <v>20489040</v>
      </c>
      <c r="J45" s="213" t="inlineStr">
        <is>
          <t>អនុញ្ញាត (បានប្រកាស)</t>
        </is>
      </c>
      <c r="K45" s="213" t="n"/>
      <c r="L45" s="563">
        <f>I45</f>
        <v/>
      </c>
      <c r="M45" s="536">
        <f>I45-L45</f>
        <v/>
      </c>
      <c r="N45" s="213" t="inlineStr">
        <is>
          <t>បានពិនិត្យវិក្កយបត្រ</t>
        </is>
      </c>
      <c r="O45" s="218">
        <f>U45=E45</f>
        <v/>
      </c>
      <c r="P45" s="218">
        <f>MONTH(F45)-MONTH(T45)</f>
        <v/>
      </c>
      <c r="Q45" s="218">
        <f>$B$5=X45</f>
        <v/>
      </c>
      <c r="R45" s="218">
        <f>I45-AD45</f>
        <v/>
      </c>
      <c r="S45" s="298" t="n"/>
      <c r="T45" s="299" t="n">
        <v>45747</v>
      </c>
      <c r="U45" s="298" t="inlineStr">
        <is>
          <t>JILLANKA2501012</t>
        </is>
      </c>
      <c r="V45" s="298" t="n">
        <v>0</v>
      </c>
      <c r="W45" s="298" t="inlineStr">
        <is>
          <t>បុគ្គលជាប់អាករ</t>
        </is>
      </c>
      <c r="X45" s="298" t="inlineStr">
        <is>
          <t>L001-901640009</t>
        </is>
      </c>
      <c r="Y45" s="298" t="inlineStr">
        <is>
          <t>ហូលីដេ ឌីហ្សាញ (ខេមបូឌា) ឯ.ក</t>
        </is>
      </c>
      <c r="Z45" s="300" t="n">
        <v>225379440</v>
      </c>
      <c r="AA45" s="300" t="n">
        <v>204890400</v>
      </c>
      <c r="AB45" s="298" t="n">
        <v>0</v>
      </c>
      <c r="AC45" s="298" t="inlineStr">
        <is>
          <t>-</t>
        </is>
      </c>
      <c r="AD45" s="300" t="n">
        <v>20489040</v>
      </c>
      <c r="AE45" s="298" t="n">
        <v>0</v>
      </c>
      <c r="AF45" s="562" t="n">
        <v>0</v>
      </c>
      <c r="AG45" s="198" t="n">
        <v>0</v>
      </c>
      <c r="AH45" s="198" t="n">
        <v>0</v>
      </c>
      <c r="AI45" s="198" t="n">
        <v>0</v>
      </c>
      <c r="AJ45" s="198" t="n">
        <v>0</v>
      </c>
      <c r="AK45" s="198" t="n">
        <v>0</v>
      </c>
      <c r="AL45" s="198" t="n">
        <v>0.01</v>
      </c>
      <c r="AM45" s="198" t="n">
        <v>0</v>
      </c>
      <c r="AN45" s="198" t="inlineStr">
        <is>
          <t>Rental Building E , G, L</t>
        </is>
      </c>
      <c r="AO45" s="198" t="inlineStr">
        <is>
          <t>បានប្រកាសនិងបង់ពន្ធ</t>
        </is>
      </c>
    </row>
    <row r="46">
      <c r="A46" s="212">
        <f>A45+1</f>
        <v/>
      </c>
      <c r="B46" s="214" t="inlineStr">
        <is>
          <t>Rental Building D &amp; F</t>
        </is>
      </c>
      <c r="C46" s="214" t="inlineStr">
        <is>
          <t>JALIANKA INTERNATIONAL (CAMBODIA) CO., LTD.</t>
        </is>
      </c>
      <c r="D46" s="215" t="inlineStr">
        <is>
          <t>B105-901907504</t>
        </is>
      </c>
      <c r="E46" s="290" t="inlineStr">
        <is>
          <t>JILLANKA2501011</t>
        </is>
      </c>
      <c r="F46" s="279" t="n">
        <v>45747</v>
      </c>
      <c r="G46" s="216" t="n"/>
      <c r="H46" s="564" t="n"/>
      <c r="I46" s="564" t="n">
        <v>12880000</v>
      </c>
      <c r="J46" s="213" t="inlineStr">
        <is>
          <t>អនុញ្ញាត (បានប្រកាស)</t>
        </is>
      </c>
      <c r="K46" s="213" t="n"/>
      <c r="L46" s="563">
        <f>I46</f>
        <v/>
      </c>
      <c r="M46" s="536">
        <f>I46-L46</f>
        <v/>
      </c>
      <c r="N46" s="213" t="inlineStr">
        <is>
          <t>បានពិនិត្យវិក្កយបត្រ</t>
        </is>
      </c>
      <c r="O46" s="218">
        <f>U46=E46</f>
        <v/>
      </c>
      <c r="P46" s="218">
        <f>MONTH(F46)-MONTH(T46)</f>
        <v/>
      </c>
      <c r="Q46" s="218">
        <f>$B$5=X46</f>
        <v/>
      </c>
      <c r="R46" s="218">
        <f>I46-AD46</f>
        <v/>
      </c>
      <c r="S46" s="298" t="n"/>
      <c r="T46" s="299" t="n">
        <v>45747</v>
      </c>
      <c r="U46" s="298" t="inlineStr">
        <is>
          <t>JILLANKA2501011</t>
        </is>
      </c>
      <c r="V46" s="298" t="n">
        <v>0</v>
      </c>
      <c r="W46" s="298" t="inlineStr">
        <is>
          <t>បុគ្គលជាប់អាករ</t>
        </is>
      </c>
      <c r="X46" s="298" t="inlineStr">
        <is>
          <t>L001-901640009</t>
        </is>
      </c>
      <c r="Y46" s="298" t="inlineStr">
        <is>
          <t>ហូលីដេ ឌីហ្សាញ (ខេមបូឌា) ឯ.ក</t>
        </is>
      </c>
      <c r="Z46" s="300" t="n">
        <v>141680000</v>
      </c>
      <c r="AA46" s="300" t="n">
        <v>128800000</v>
      </c>
      <c r="AB46" s="298" t="n">
        <v>0</v>
      </c>
      <c r="AC46" s="298" t="inlineStr">
        <is>
          <t>-</t>
        </is>
      </c>
      <c r="AD46" s="300" t="n">
        <v>12880000</v>
      </c>
      <c r="AE46" s="298" t="n">
        <v>0</v>
      </c>
      <c r="AF46" s="562" t="n">
        <v>0</v>
      </c>
      <c r="AG46" s="198" t="n">
        <v>0</v>
      </c>
      <c r="AH46" s="198" t="n">
        <v>0</v>
      </c>
      <c r="AI46" s="198" t="n">
        <v>0</v>
      </c>
      <c r="AJ46" s="198" t="n">
        <v>0</v>
      </c>
      <c r="AK46" s="198" t="n">
        <v>0</v>
      </c>
      <c r="AL46" s="198" t="n">
        <v>0.01</v>
      </c>
      <c r="AM46" s="198" t="n">
        <v>0</v>
      </c>
      <c r="AN46" s="198" t="inlineStr">
        <is>
          <t>Rental Building D , F</t>
        </is>
      </c>
      <c r="AO46" s="198" t="inlineStr">
        <is>
          <t>បានប្រកាសនិងបង់ពន្ធ</t>
        </is>
      </c>
    </row>
    <row r="47">
      <c r="A47" s="212">
        <f>A46+1</f>
        <v/>
      </c>
      <c r="B47" s="214" t="inlineStr">
        <is>
          <t>Trucking Fee-Im</t>
        </is>
      </c>
      <c r="C47" s="214" t="inlineStr">
        <is>
          <t>BRILLIANT TRANSPORT AND TRADING Co., Ltd.</t>
        </is>
      </c>
      <c r="D47" s="215" t="inlineStr">
        <is>
          <t>K002-100089305</t>
        </is>
      </c>
      <c r="E47" s="290" t="inlineStr">
        <is>
          <t>BTT24-0002376</t>
        </is>
      </c>
      <c r="F47" s="279" t="n">
        <v>45616</v>
      </c>
      <c r="G47" s="216" t="n"/>
      <c r="H47" s="564" t="n"/>
      <c r="I47" s="564" t="n">
        <v>215629</v>
      </c>
      <c r="J47" s="213" t="inlineStr">
        <is>
          <t>អនុញ្ញាត (បានប្រកាស)</t>
        </is>
      </c>
      <c r="K47" s="213" t="n"/>
      <c r="L47" s="563">
        <f>I47</f>
        <v/>
      </c>
      <c r="M47" s="536">
        <f>I47-L47</f>
        <v/>
      </c>
      <c r="N47" s="213" t="n"/>
      <c r="O47" s="218">
        <f>U47=E47</f>
        <v/>
      </c>
      <c r="P47" s="218">
        <f>MONTH(F47)-MONTH(T47)</f>
        <v/>
      </c>
      <c r="Q47" s="218">
        <f>$B$5=X47</f>
        <v/>
      </c>
      <c r="R47" s="218">
        <f>I47-AD47</f>
        <v/>
      </c>
      <c r="S47" s="298" t="n"/>
      <c r="T47" s="299" t="n">
        <v>45616</v>
      </c>
      <c r="U47" s="298" t="inlineStr">
        <is>
          <t>BTT24-0002376</t>
        </is>
      </c>
      <c r="V47" s="298" t="n">
        <v>0</v>
      </c>
      <c r="W47" s="298" t="inlineStr">
        <is>
          <t>បុគ្គលជាប់អាករ</t>
        </is>
      </c>
      <c r="X47" s="298" t="inlineStr">
        <is>
          <t>L001-901640009</t>
        </is>
      </c>
      <c r="Y47" s="298" t="inlineStr">
        <is>
          <t>ហូលីដេ ឌីហ្សាញ (ខេមបូឌា) ឯ.ក</t>
        </is>
      </c>
      <c r="Z47" s="300" t="n">
        <v>2371921</v>
      </c>
      <c r="AA47" s="300" t="n">
        <v>2156292</v>
      </c>
      <c r="AB47" s="298" t="n">
        <v>0</v>
      </c>
      <c r="AC47" s="298" t="inlineStr">
        <is>
          <t>-</t>
        </is>
      </c>
      <c r="AD47" s="300" t="n">
        <v>215629</v>
      </c>
      <c r="AE47" s="298" t="n">
        <v>0</v>
      </c>
      <c r="AF47" s="562" t="n">
        <v>0</v>
      </c>
      <c r="AG47" s="198" t="n">
        <v>0</v>
      </c>
      <c r="AH47" s="198" t="n">
        <v>0</v>
      </c>
      <c r="AI47" s="198" t="n">
        <v>0</v>
      </c>
      <c r="AJ47" s="198" t="n">
        <v>0</v>
      </c>
      <c r="AK47" s="198" t="n">
        <v>0</v>
      </c>
      <c r="AL47" s="198" t="n">
        <v>0.01</v>
      </c>
      <c r="AM47" s="198" t="n">
        <v>0</v>
      </c>
      <c r="AN47" s="198" t="inlineStr">
        <is>
          <t>Truking / Service</t>
        </is>
      </c>
    </row>
    <row r="48">
      <c r="A48" s="212">
        <f>A47+1</f>
        <v/>
      </c>
      <c r="B48" s="214" t="inlineStr">
        <is>
          <t>Rental Building E G&amp; L</t>
        </is>
      </c>
      <c r="C48" s="214" t="inlineStr">
        <is>
          <t>JALIANKA INTERNATIONAL (CAMBODIA) CO., LTD.</t>
        </is>
      </c>
      <c r="D48" s="215" t="inlineStr">
        <is>
          <t>B105-901907504</t>
        </is>
      </c>
      <c r="E48" s="290" t="inlineStr">
        <is>
          <t>JILLANKA2501016</t>
        </is>
      </c>
      <c r="F48" s="279" t="n">
        <v>45777</v>
      </c>
      <c r="G48" s="216" t="n"/>
      <c r="H48" s="564" t="n"/>
      <c r="I48" s="564" t="n">
        <v>20504407</v>
      </c>
      <c r="J48" s="213" t="inlineStr">
        <is>
          <t>អនុញ្ញាត (បានប្រកាស)</t>
        </is>
      </c>
      <c r="K48" s="213" t="n"/>
      <c r="L48" s="563">
        <f>I48</f>
        <v/>
      </c>
      <c r="M48" s="536">
        <f>I48-L48</f>
        <v/>
      </c>
      <c r="N48" s="213" t="inlineStr">
        <is>
          <t>បានពិនិត្យវិក្កយបត្រ</t>
        </is>
      </c>
      <c r="O48" s="218">
        <f>U48=E48</f>
        <v/>
      </c>
      <c r="P48" s="218">
        <f>MONTH(F48)-MONTH(T48)</f>
        <v/>
      </c>
      <c r="Q48" s="218">
        <f>$B$5=X48</f>
        <v/>
      </c>
      <c r="R48" s="218">
        <f>I48-AD48</f>
        <v/>
      </c>
      <c r="S48" s="298" t="n"/>
      <c r="T48" s="299" t="n">
        <v>45777</v>
      </c>
      <c r="U48" s="298" t="inlineStr">
        <is>
          <t>JILLANKA2501016</t>
        </is>
      </c>
      <c r="V48" s="298" t="n">
        <v>0</v>
      </c>
      <c r="W48" s="298" t="inlineStr">
        <is>
          <t>បុគ្គលជាប់អាករ</t>
        </is>
      </c>
      <c r="X48" s="298" t="inlineStr">
        <is>
          <t>L001-901640009</t>
        </is>
      </c>
      <c r="Y48" s="298" t="inlineStr">
        <is>
          <t>ហូលីដេ ឌីហ្សាញ (ខេមបូឌា) ឯ.ក</t>
        </is>
      </c>
      <c r="Z48" s="300" t="n">
        <v>225548475</v>
      </c>
      <c r="AA48" s="300" t="n">
        <v>205044068</v>
      </c>
      <c r="AB48" s="298" t="n">
        <v>0</v>
      </c>
      <c r="AC48" s="298" t="inlineStr">
        <is>
          <t>-</t>
        </is>
      </c>
      <c r="AD48" s="300" t="n">
        <v>20504407</v>
      </c>
      <c r="AE48" s="298" t="n">
        <v>0</v>
      </c>
      <c r="AF48" s="562" t="n">
        <v>0</v>
      </c>
      <c r="AG48" s="198" t="n">
        <v>0</v>
      </c>
      <c r="AH48" s="198" t="n">
        <v>0</v>
      </c>
      <c r="AI48" s="198" t="n">
        <v>0</v>
      </c>
      <c r="AJ48" s="198" t="n">
        <v>0</v>
      </c>
      <c r="AK48" s="198" t="n">
        <v>0</v>
      </c>
      <c r="AL48" s="198" t="n">
        <v>0.01</v>
      </c>
      <c r="AM48" s="198" t="n">
        <v>0</v>
      </c>
      <c r="AN48" s="198" t="inlineStr">
        <is>
          <t>Rental Building E , G, L</t>
        </is>
      </c>
      <c r="AO48" s="198" t="inlineStr">
        <is>
          <t>បានប្រកាសនិងបង់ពន្ធ</t>
        </is>
      </c>
    </row>
    <row r="49">
      <c r="A49" s="212">
        <f>A48+1</f>
        <v/>
      </c>
      <c r="B49" s="214" t="inlineStr">
        <is>
          <t>Lift-On&amp;Lift-Off</t>
        </is>
      </c>
      <c r="C49" s="214" t="inlineStr">
        <is>
          <t>Port Autonome Du Sihanoukville</t>
        </is>
      </c>
      <c r="D49" s="215" t="inlineStr">
        <is>
          <t>L001-100044638</t>
        </is>
      </c>
      <c r="E49" s="290" t="n">
        <v>240266</v>
      </c>
      <c r="F49" s="279" t="n">
        <v>45616</v>
      </c>
      <c r="G49" s="216" t="n"/>
      <c r="H49" s="564" t="n"/>
      <c r="I49" s="564" t="n">
        <v>23017</v>
      </c>
      <c r="J49" s="213" t="inlineStr">
        <is>
          <t>អនុញ្ញាត (បានប្រកាស)</t>
        </is>
      </c>
      <c r="K49" s="213" t="n"/>
      <c r="L49" s="563">
        <f>I49</f>
        <v/>
      </c>
      <c r="M49" s="536">
        <f>I49-L49</f>
        <v/>
      </c>
      <c r="N49" s="213" t="n"/>
      <c r="O49" s="218">
        <f>U49=E49</f>
        <v/>
      </c>
      <c r="P49" s="218">
        <f>MONTH(F49)-MONTH(T49)</f>
        <v/>
      </c>
      <c r="Q49" s="218">
        <f>$B$5=X49</f>
        <v/>
      </c>
      <c r="R49" s="218">
        <f>I49-AD49</f>
        <v/>
      </c>
      <c r="S49" s="298" t="n"/>
      <c r="T49" s="299" t="n">
        <v>45616</v>
      </c>
      <c r="U49" s="298" t="n">
        <v>240266</v>
      </c>
      <c r="V49" s="298" t="n">
        <v>0</v>
      </c>
      <c r="W49" s="298" t="inlineStr">
        <is>
          <t>បុគ្គលជាប់អាករ</t>
        </is>
      </c>
      <c r="X49" s="298" t="inlineStr">
        <is>
          <t>L001-901640009</t>
        </is>
      </c>
      <c r="Y49" s="298" t="inlineStr">
        <is>
          <t>ហូលីដេ ឌីហ្សាញ (ខេមបូឌា) ឯ.ក</t>
        </is>
      </c>
      <c r="Z49" s="300" t="n">
        <v>253183</v>
      </c>
      <c r="AA49" s="300" t="n">
        <v>230166</v>
      </c>
      <c r="AB49" s="298" t="n">
        <v>0</v>
      </c>
      <c r="AC49" s="298" t="inlineStr">
        <is>
          <t>-</t>
        </is>
      </c>
      <c r="AD49" s="300" t="n">
        <v>23017</v>
      </c>
      <c r="AE49" s="298" t="n"/>
      <c r="AF49" s="562" t="n"/>
    </row>
    <row r="50">
      <c r="A50" s="212">
        <f>A49+1</f>
        <v/>
      </c>
      <c r="B50" s="214" t="inlineStr">
        <is>
          <t>Rental Building D &amp; F</t>
        </is>
      </c>
      <c r="C50" s="214" t="inlineStr">
        <is>
          <t>JALIANKA INTERNATIONAL (CAMBODIA) CO., LTD.</t>
        </is>
      </c>
      <c r="D50" s="215" t="inlineStr">
        <is>
          <t>B105-901907504</t>
        </is>
      </c>
      <c r="E50" s="290" t="inlineStr">
        <is>
          <t>JILLANKA2501015</t>
        </is>
      </c>
      <c r="F50" s="279" t="n">
        <v>45777</v>
      </c>
      <c r="G50" s="216" t="n"/>
      <c r="H50" s="564" t="n"/>
      <c r="I50" s="564" t="n">
        <v>12889660</v>
      </c>
      <c r="J50" s="213" t="inlineStr">
        <is>
          <t>អនុញ្ញាត (បានប្រកាស)</t>
        </is>
      </c>
      <c r="K50" s="213" t="n"/>
      <c r="L50" s="563">
        <f>I50</f>
        <v/>
      </c>
      <c r="M50" s="536">
        <f>I50-L50</f>
        <v/>
      </c>
      <c r="N50" s="213" t="inlineStr">
        <is>
          <t>បានពិនិត្យវិក្កយបត្រ</t>
        </is>
      </c>
      <c r="O50" s="218">
        <f>U50=E50</f>
        <v/>
      </c>
      <c r="P50" s="218">
        <f>MONTH(F50)-MONTH(T50)</f>
        <v/>
      </c>
      <c r="Q50" s="218">
        <f>$B$5=X50</f>
        <v/>
      </c>
      <c r="R50" s="218">
        <f>I50-AD50</f>
        <v/>
      </c>
      <c r="S50" s="298" t="n"/>
      <c r="T50" s="299" t="n">
        <v>45777</v>
      </c>
      <c r="U50" s="298" t="inlineStr">
        <is>
          <t>JILLANKA2501015</t>
        </is>
      </c>
      <c r="V50" s="298" t="n">
        <v>0</v>
      </c>
      <c r="W50" s="298" t="inlineStr">
        <is>
          <t>បុគ្គលជាប់អាករ</t>
        </is>
      </c>
      <c r="X50" s="298" t="inlineStr">
        <is>
          <t>L001-901640009</t>
        </is>
      </c>
      <c r="Y50" s="298" t="inlineStr">
        <is>
          <t>ហូលីដេ ឌីហ្សាញ (ខេមបូឌា) ឯ.ក</t>
        </is>
      </c>
      <c r="Z50" s="300" t="n">
        <v>141786260</v>
      </c>
      <c r="AA50" s="300" t="n">
        <v>128896600</v>
      </c>
      <c r="AB50" s="298" t="n">
        <v>0</v>
      </c>
      <c r="AC50" s="298" t="inlineStr">
        <is>
          <t>-</t>
        </is>
      </c>
      <c r="AD50" s="300" t="n">
        <v>12889660</v>
      </c>
      <c r="AE50" s="298" t="n">
        <v>0</v>
      </c>
      <c r="AF50" s="562" t="n">
        <v>0</v>
      </c>
      <c r="AG50" s="198" t="n">
        <v>0</v>
      </c>
      <c r="AH50" s="198" t="n">
        <v>0</v>
      </c>
      <c r="AI50" s="198" t="n">
        <v>0</v>
      </c>
      <c r="AJ50" s="198" t="n">
        <v>0</v>
      </c>
      <c r="AK50" s="198" t="n">
        <v>0</v>
      </c>
      <c r="AL50" s="198" t="n">
        <v>0.01</v>
      </c>
      <c r="AM50" s="198" t="n">
        <v>0</v>
      </c>
      <c r="AN50" s="198" t="inlineStr">
        <is>
          <t>Rental Building D , F</t>
        </is>
      </c>
      <c r="AO50" s="198" t="inlineStr">
        <is>
          <t>បានប្រកាសនិងបង់ពន្ធ</t>
        </is>
      </c>
    </row>
    <row r="51">
      <c r="A51" s="212">
        <f>A50+1</f>
        <v/>
      </c>
      <c r="B51" s="214" t="inlineStr">
        <is>
          <t>Rental Building E G&amp; L</t>
        </is>
      </c>
      <c r="C51" s="214" t="inlineStr">
        <is>
          <t>JALIANKA INTERNATIONAL (CAMBODIA) CO., LTD.</t>
        </is>
      </c>
      <c r="D51" s="215" t="inlineStr">
        <is>
          <t>B105-901907504</t>
        </is>
      </c>
      <c r="E51" s="290" t="inlineStr">
        <is>
          <t>JILLANKA2501020</t>
        </is>
      </c>
      <c r="F51" s="279" t="n">
        <v>45808</v>
      </c>
      <c r="G51" s="216" t="n"/>
      <c r="H51" s="564" t="n"/>
      <c r="I51" s="564" t="n">
        <v>20514651</v>
      </c>
      <c r="J51" s="213" t="inlineStr">
        <is>
          <t>អនុញ្ញាត (បានប្រកាស)</t>
        </is>
      </c>
      <c r="K51" s="213" t="n"/>
      <c r="L51" s="563">
        <f>I51</f>
        <v/>
      </c>
      <c r="M51" s="536">
        <f>I51-L51</f>
        <v/>
      </c>
      <c r="N51" s="213" t="inlineStr">
        <is>
          <t>បានពិនិត្យវិក្កយបត្រ</t>
        </is>
      </c>
      <c r="O51" s="218">
        <f>U51=E51</f>
        <v/>
      </c>
      <c r="P51" s="218">
        <f>MONTH(F51)-MONTH(T51)</f>
        <v/>
      </c>
      <c r="Q51" s="218">
        <f>$B$5=X51</f>
        <v/>
      </c>
      <c r="R51" s="218">
        <f>I51-AD51</f>
        <v/>
      </c>
      <c r="S51" s="298" t="n"/>
      <c r="T51" s="299" t="n">
        <v>45808</v>
      </c>
      <c r="U51" s="298" t="inlineStr">
        <is>
          <t>JILLANKA2501020</t>
        </is>
      </c>
      <c r="V51" s="298" t="n">
        <v>0</v>
      </c>
      <c r="W51" s="298" t="inlineStr">
        <is>
          <t>បុគ្គលជាប់អាករ</t>
        </is>
      </c>
      <c r="X51" s="298" t="inlineStr">
        <is>
          <t>L001-901640009</t>
        </is>
      </c>
      <c r="Y51" s="298" t="inlineStr">
        <is>
          <t>ហូលីដេ ឌីហ្សាញ (ខេមបូឌា) ឯ.ក</t>
        </is>
      </c>
      <c r="Z51" s="300" t="n">
        <v>225661164</v>
      </c>
      <c r="AA51" s="300" t="n">
        <v>205146513</v>
      </c>
      <c r="AB51" s="298" t="n">
        <v>0</v>
      </c>
      <c r="AC51" s="298" t="inlineStr">
        <is>
          <t>-</t>
        </is>
      </c>
      <c r="AD51" s="300" t="n">
        <v>20514651</v>
      </c>
      <c r="AE51" s="298" t="n">
        <v>0</v>
      </c>
      <c r="AF51" s="562" t="n">
        <v>0</v>
      </c>
      <c r="AG51" s="198" t="n">
        <v>0</v>
      </c>
      <c r="AH51" s="198" t="n">
        <v>0</v>
      </c>
      <c r="AI51" s="198" t="n">
        <v>0</v>
      </c>
      <c r="AJ51" s="198" t="n">
        <v>0</v>
      </c>
      <c r="AK51" s="198" t="n">
        <v>0</v>
      </c>
      <c r="AL51" s="198" t="n">
        <v>0.01</v>
      </c>
      <c r="AM51" s="198" t="n">
        <v>0</v>
      </c>
      <c r="AN51" s="198" t="inlineStr">
        <is>
          <t>Rental Building E , G, L</t>
        </is>
      </c>
      <c r="AO51" s="198" t="inlineStr">
        <is>
          <t>បានប្រកាសនិងបង់ពន្ធ</t>
        </is>
      </c>
    </row>
    <row r="52">
      <c r="A52" s="212">
        <f>A51+1</f>
        <v/>
      </c>
      <c r="B52" s="214" t="inlineStr">
        <is>
          <t>Rental Building D &amp; F</t>
        </is>
      </c>
      <c r="C52" s="214" t="inlineStr">
        <is>
          <t>JALIANKA INTERNATIONAL (CAMBODIA) CO., LTD.</t>
        </is>
      </c>
      <c r="D52" s="215" t="inlineStr">
        <is>
          <t>B105-901907504</t>
        </is>
      </c>
      <c r="E52" s="290" t="inlineStr">
        <is>
          <t>JILLANKA2501019</t>
        </is>
      </c>
      <c r="F52" s="279" t="n">
        <v>45808</v>
      </c>
      <c r="G52" s="216" t="n"/>
      <c r="H52" s="564" t="n"/>
      <c r="I52" s="564" t="n">
        <v>12896100</v>
      </c>
      <c r="J52" s="213" t="inlineStr">
        <is>
          <t>អនុញ្ញាត (បានប្រកាស)</t>
        </is>
      </c>
      <c r="K52" s="213" t="n"/>
      <c r="L52" s="563">
        <f>I52</f>
        <v/>
      </c>
      <c r="M52" s="536">
        <f>I52-L52</f>
        <v/>
      </c>
      <c r="N52" s="213" t="inlineStr">
        <is>
          <t>បានពិនិត្យវិក្កយបត្រ</t>
        </is>
      </c>
      <c r="O52" s="218">
        <f>U52=E52</f>
        <v/>
      </c>
      <c r="P52" s="218">
        <f>MONTH(F52)-MONTH(T52)</f>
        <v/>
      </c>
      <c r="Q52" s="218">
        <f>$B$5=X52</f>
        <v/>
      </c>
      <c r="R52" s="218">
        <f>I52-AD52</f>
        <v/>
      </c>
      <c r="S52" s="298" t="n"/>
      <c r="T52" s="299" t="n">
        <v>45808</v>
      </c>
      <c r="U52" s="298" t="inlineStr">
        <is>
          <t>JILLANKA2501019</t>
        </is>
      </c>
      <c r="V52" s="298" t="n">
        <v>0</v>
      </c>
      <c r="W52" s="298" t="inlineStr">
        <is>
          <t>បុគ្គលជាប់អាករ</t>
        </is>
      </c>
      <c r="X52" s="298" t="inlineStr">
        <is>
          <t>L001-901640009</t>
        </is>
      </c>
      <c r="Y52" s="298" t="inlineStr">
        <is>
          <t>ហូលីដេ ឌីហ្សាញ (ខេមបូឌា) ឯ.ក</t>
        </is>
      </c>
      <c r="Z52" s="300" t="n">
        <v>141857100</v>
      </c>
      <c r="AA52" s="300" t="n">
        <v>128961000</v>
      </c>
      <c r="AB52" s="298" t="n">
        <v>0</v>
      </c>
      <c r="AC52" s="298" t="inlineStr">
        <is>
          <t>-</t>
        </is>
      </c>
      <c r="AD52" s="300" t="n">
        <v>12896100</v>
      </c>
      <c r="AE52" s="298" t="n">
        <v>0</v>
      </c>
      <c r="AF52" s="562" t="n">
        <v>0</v>
      </c>
      <c r="AG52" s="198" t="n">
        <v>0</v>
      </c>
      <c r="AH52" s="198" t="n">
        <v>0</v>
      </c>
      <c r="AI52" s="198" t="n">
        <v>0</v>
      </c>
      <c r="AJ52" s="198" t="n">
        <v>0</v>
      </c>
      <c r="AK52" s="198" t="n">
        <v>0</v>
      </c>
      <c r="AL52" s="198" t="n">
        <v>0.01</v>
      </c>
      <c r="AM52" s="198" t="n">
        <v>0</v>
      </c>
      <c r="AN52" s="198" t="inlineStr">
        <is>
          <t>Rental Building D , F</t>
        </is>
      </c>
      <c r="AO52" s="198" t="inlineStr">
        <is>
          <t>បានប្រកាសនិងបង់ពន្ធ</t>
        </is>
      </c>
    </row>
    <row r="53">
      <c r="A53" s="212">
        <f>A52+1</f>
        <v/>
      </c>
      <c r="B53" s="214" t="inlineStr">
        <is>
          <t>កាបូនឌីធុកស៊ីត (CO2)</t>
        </is>
      </c>
      <c r="C53" s="214" t="inlineStr">
        <is>
          <t>DF INDUSTRIAL GASES CO., LTD.</t>
        </is>
      </c>
      <c r="D53" s="215" t="inlineStr">
        <is>
          <t>B105-902402285</t>
        </is>
      </c>
      <c r="E53" s="290" t="inlineStr">
        <is>
          <t>DFTI-24-015</t>
        </is>
      </c>
      <c r="F53" s="279" t="n">
        <v>45625</v>
      </c>
      <c r="G53" s="216" t="n"/>
      <c r="H53" s="564" t="n"/>
      <c r="I53" s="564" t="n">
        <v>402800</v>
      </c>
      <c r="J53" s="213" t="inlineStr">
        <is>
          <t>អនុញ្ញាត (បានប្រកាស)</t>
        </is>
      </c>
      <c r="K53" s="213" t="n"/>
      <c r="L53" s="563">
        <f>I53</f>
        <v/>
      </c>
      <c r="M53" s="536">
        <f>I53-L53</f>
        <v/>
      </c>
      <c r="N53" s="213" t="n"/>
      <c r="O53" s="218">
        <f>U53=E53</f>
        <v/>
      </c>
      <c r="P53" s="218">
        <f>MONTH(F53)-MONTH(T53)</f>
        <v/>
      </c>
      <c r="Q53" s="218">
        <f>$B$5=X53</f>
        <v/>
      </c>
      <c r="R53" s="218">
        <f>I53-AD53</f>
        <v/>
      </c>
      <c r="S53" s="298" t="n"/>
      <c r="T53" s="299" t="n">
        <v>45625</v>
      </c>
      <c r="U53" s="298" t="inlineStr">
        <is>
          <t>DFTI-24-015</t>
        </is>
      </c>
      <c r="V53" s="298" t="n">
        <v>0</v>
      </c>
      <c r="W53" s="298" t="inlineStr">
        <is>
          <t>បុគ្គលជាប់អាករ</t>
        </is>
      </c>
      <c r="X53" s="298" t="inlineStr">
        <is>
          <t>L001-901640009</t>
        </is>
      </c>
      <c r="Y53" s="298" t="inlineStr">
        <is>
          <t>ហូលីដេ ឌីហ្សាញ (ខេមបូឌា) ឯ.ក</t>
        </is>
      </c>
      <c r="Z53" s="300" t="n">
        <v>4430800</v>
      </c>
      <c r="AA53" s="300" t="n">
        <v>4028000</v>
      </c>
      <c r="AB53" s="298" t="n">
        <v>0</v>
      </c>
      <c r="AC53" s="298" t="inlineStr">
        <is>
          <t>-</t>
        </is>
      </c>
      <c r="AD53" s="300" t="n">
        <v>402800</v>
      </c>
      <c r="AE53" s="298" t="n">
        <v>0</v>
      </c>
      <c r="AF53" s="562" t="n">
        <v>0</v>
      </c>
      <c r="AG53" s="198" t="n">
        <v>0</v>
      </c>
      <c r="AH53" s="198" t="n">
        <v>0</v>
      </c>
      <c r="AI53" s="198" t="n">
        <v>0</v>
      </c>
      <c r="AJ53" s="198" t="n">
        <v>0</v>
      </c>
      <c r="AK53" s="198" t="n">
        <v>0</v>
      </c>
      <c r="AL53" s="198" t="n">
        <v>0.01</v>
      </c>
      <c r="AM53" s="198" t="n">
        <v>0</v>
      </c>
      <c r="AN53" s="198" t="inlineStr">
        <is>
          <t>កាបូនឌីអុកស៊ីត (CO2)</t>
        </is>
      </c>
      <c r="AO53" s="198" t="inlineStr">
        <is>
          <t>បានប្រកាសនិងបង់ពន្ធ</t>
        </is>
      </c>
    </row>
    <row r="54">
      <c r="A54" s="212">
        <f>A53+1</f>
        <v/>
      </c>
      <c r="B54" s="214" t="inlineStr">
        <is>
          <t>CDC Tax-exemption</t>
        </is>
      </c>
      <c r="C54" s="214" t="inlineStr">
        <is>
          <t>BRILLIANT TRANSPORT AND TRADING Co., Ltd.</t>
        </is>
      </c>
      <c r="D54" s="215" t="inlineStr">
        <is>
          <t>K002-100089305</t>
        </is>
      </c>
      <c r="E54" s="290" t="inlineStr">
        <is>
          <t>BTT24-0002423</t>
        </is>
      </c>
      <c r="F54" s="279" t="n">
        <v>45618</v>
      </c>
      <c r="G54" s="216" t="n"/>
      <c r="H54" s="564" t="n"/>
      <c r="I54" s="564" t="n">
        <v>865590</v>
      </c>
      <c r="J54" s="213" t="inlineStr">
        <is>
          <t>អនុញ្ញាត (បានប្រកាស)</t>
        </is>
      </c>
      <c r="K54" s="213" t="n"/>
      <c r="L54" s="563">
        <f>I54</f>
        <v/>
      </c>
      <c r="M54" s="536">
        <f>I54-L54</f>
        <v/>
      </c>
      <c r="N54" s="213" t="n"/>
      <c r="O54" s="218">
        <f>U54=E54</f>
        <v/>
      </c>
      <c r="P54" s="218">
        <f>MONTH(F54)-MONTH(T54)</f>
        <v/>
      </c>
      <c r="Q54" s="218">
        <f>$B$5=X54</f>
        <v/>
      </c>
      <c r="R54" s="218">
        <f>I54-AD54</f>
        <v/>
      </c>
      <c r="S54" s="298" t="n"/>
      <c r="T54" s="299" t="n">
        <v>45618</v>
      </c>
      <c r="U54" s="298" t="inlineStr">
        <is>
          <t>BTT24-0002423</t>
        </is>
      </c>
      <c r="V54" s="298" t="n">
        <v>0</v>
      </c>
      <c r="W54" s="298" t="inlineStr">
        <is>
          <t>បុគ្គលជាប់អាករ</t>
        </is>
      </c>
      <c r="X54" s="298" t="inlineStr">
        <is>
          <t>L001-901640009</t>
        </is>
      </c>
      <c r="Y54" s="298" t="inlineStr">
        <is>
          <t>ហូលីដេ ឌីហ្សាញ (ខេមបូឌា) ឯ.ក</t>
        </is>
      </c>
      <c r="Z54" s="300" t="n">
        <v>9521490</v>
      </c>
      <c r="AA54" s="300" t="n">
        <v>8655900</v>
      </c>
      <c r="AB54" s="298" t="n">
        <v>0</v>
      </c>
      <c r="AC54" s="298" t="inlineStr">
        <is>
          <t>-</t>
        </is>
      </c>
      <c r="AD54" s="300" t="n">
        <v>865590</v>
      </c>
      <c r="AE54" s="298" t="n">
        <v>0</v>
      </c>
      <c r="AF54" s="562" t="n">
        <v>0</v>
      </c>
      <c r="AG54" s="198" t="n">
        <v>0</v>
      </c>
      <c r="AH54" s="198" t="n">
        <v>0</v>
      </c>
      <c r="AI54" s="198" t="n">
        <v>0</v>
      </c>
      <c r="AJ54" s="198" t="n">
        <v>0</v>
      </c>
      <c r="AK54" s="198" t="n">
        <v>0</v>
      </c>
      <c r="AL54" s="198" t="n">
        <v>0.01</v>
      </c>
      <c r="AM54" s="198" t="n">
        <v>0</v>
      </c>
      <c r="AN54" s="198" t="inlineStr">
        <is>
          <t>Truking / Service</t>
        </is>
      </c>
    </row>
    <row r="55">
      <c r="A55" s="212">
        <f>A54+1</f>
        <v/>
      </c>
      <c r="B55" s="214" t="inlineStr">
        <is>
          <t>Terminal Handling Service-Im</t>
        </is>
      </c>
      <c r="C55" s="214" t="inlineStr">
        <is>
          <t>SITC CONTAINER LINES (CAMBODIA) Co., Ltd.</t>
        </is>
      </c>
      <c r="D55" s="215" t="inlineStr">
        <is>
          <t>L001-107035863</t>
        </is>
      </c>
      <c r="E55" s="290" t="inlineStr">
        <is>
          <t>SITC2024-036956</t>
        </is>
      </c>
      <c r="F55" s="279" t="n">
        <v>45622</v>
      </c>
      <c r="G55" s="216" t="n"/>
      <c r="H55" s="564" t="n"/>
      <c r="I55" s="564" t="n">
        <v>232812</v>
      </c>
      <c r="J55" s="213" t="inlineStr">
        <is>
          <t>អនុញ្ញាត (បានប្រកាស)</t>
        </is>
      </c>
      <c r="K55" s="213" t="n"/>
      <c r="L55" s="563">
        <f>I55</f>
        <v/>
      </c>
      <c r="M55" s="536">
        <f>I55-L55</f>
        <v/>
      </c>
      <c r="N55" s="213" t="n"/>
      <c r="O55" s="218">
        <f>U55=E55</f>
        <v/>
      </c>
      <c r="P55" s="218">
        <f>MONTH(F55)-MONTH(T55)</f>
        <v/>
      </c>
      <c r="Q55" s="218">
        <f>$B$5=X55</f>
        <v/>
      </c>
      <c r="R55" s="218">
        <f>I55-AD55</f>
        <v/>
      </c>
      <c r="S55" s="298" t="n"/>
      <c r="T55" s="299" t="n">
        <v>45622</v>
      </c>
      <c r="U55" s="298" t="inlineStr">
        <is>
          <t>SITC2024-036956</t>
        </is>
      </c>
      <c r="V55" s="298" t="n">
        <v>0</v>
      </c>
      <c r="W55" s="298" t="inlineStr">
        <is>
          <t>បុគ្គលជាប់អាករ</t>
        </is>
      </c>
      <c r="X55" s="298" t="inlineStr">
        <is>
          <t>L001-901640009</t>
        </is>
      </c>
      <c r="Y55" s="298" t="inlineStr">
        <is>
          <t>ហូលីដេ ឌីហ្សាញ (ខេមបូឌា) ឯ.ក</t>
        </is>
      </c>
      <c r="Z55" s="300" t="n">
        <v>2560932</v>
      </c>
      <c r="AA55" s="300" t="n">
        <v>2328120</v>
      </c>
      <c r="AB55" s="298" t="n">
        <v>0</v>
      </c>
      <c r="AC55" s="298" t="inlineStr">
        <is>
          <t>-</t>
        </is>
      </c>
      <c r="AD55" s="300" t="n">
        <v>232812</v>
      </c>
      <c r="AE55" s="298" t="n">
        <v>0</v>
      </c>
      <c r="AF55" s="562" t="n">
        <v>0</v>
      </c>
      <c r="AG55" s="198" t="n">
        <v>0</v>
      </c>
      <c r="AH55" s="198" t="n">
        <v>0</v>
      </c>
      <c r="AI55" s="198" t="n">
        <v>0</v>
      </c>
      <c r="AJ55" s="198" t="n">
        <v>0</v>
      </c>
      <c r="AK55" s="198" t="n">
        <v>0</v>
      </c>
      <c r="AL55" s="198" t="n">
        <v>0.01</v>
      </c>
      <c r="AM55" s="198" t="n">
        <v>0</v>
      </c>
      <c r="AN55" s="198" t="inlineStr">
        <is>
          <t>KHCIC,KHTHC,KHDOC,EIB,EMF</t>
        </is>
      </c>
    </row>
    <row r="56">
      <c r="A56" s="212">
        <f>A55+1</f>
        <v/>
      </c>
      <c r="B56" s="214" t="inlineStr">
        <is>
          <t>កាបូនឌីអុកស៊ីត (CO2)</t>
        </is>
      </c>
      <c r="C56" s="214" t="inlineStr">
        <is>
          <t>DF INDUSTRIAL GASES CO., LTD.</t>
        </is>
      </c>
      <c r="D56" s="215" t="inlineStr">
        <is>
          <t>B105-902402285</t>
        </is>
      </c>
      <c r="E56" s="290" t="inlineStr">
        <is>
          <t>DFTI-25-012</t>
        </is>
      </c>
      <c r="F56" s="279" t="n">
        <v>45730</v>
      </c>
      <c r="G56" s="216" t="n"/>
      <c r="H56" s="564" t="n"/>
      <c r="I56" s="564" t="n">
        <v>402800</v>
      </c>
      <c r="J56" s="213" t="inlineStr">
        <is>
          <t>អនុញ្ញាត (បានប្រកាស)</t>
        </is>
      </c>
      <c r="K56" s="213" t="n"/>
      <c r="L56" s="563">
        <f>I56</f>
        <v/>
      </c>
      <c r="M56" s="536">
        <f>I56-L56</f>
        <v/>
      </c>
      <c r="N56" s="213" t="n"/>
      <c r="O56" s="218">
        <f>U56=E56</f>
        <v/>
      </c>
      <c r="P56" s="218">
        <f>MONTH(F56)-MONTH(T56)</f>
        <v/>
      </c>
      <c r="Q56" s="218">
        <f>$B$5=X56</f>
        <v/>
      </c>
      <c r="R56" s="218">
        <f>I56-AD56</f>
        <v/>
      </c>
      <c r="S56" s="298" t="n"/>
      <c r="T56" s="299" t="n">
        <v>45730</v>
      </c>
      <c r="U56" s="298" t="inlineStr">
        <is>
          <t>DFTI-25-012</t>
        </is>
      </c>
      <c r="V56" s="298" t="n">
        <v>0</v>
      </c>
      <c r="W56" s="298" t="inlineStr">
        <is>
          <t>បុគ្គលជាប់អាករ</t>
        </is>
      </c>
      <c r="X56" s="298" t="inlineStr">
        <is>
          <t>L001-901640009</t>
        </is>
      </c>
      <c r="Y56" s="298" t="inlineStr">
        <is>
          <t>ហូលីដេ ឌីហ្សាញ (ខេមបូឌា) ឯ.ក</t>
        </is>
      </c>
      <c r="Z56" s="300" t="n">
        <v>4430800</v>
      </c>
      <c r="AA56" s="300" t="n">
        <v>4028000</v>
      </c>
      <c r="AB56" s="298" t="n">
        <v>0</v>
      </c>
      <c r="AC56" s="298" t="inlineStr">
        <is>
          <t>-</t>
        </is>
      </c>
      <c r="AD56" s="300" t="n">
        <v>402800</v>
      </c>
      <c r="AE56" s="298" t="n">
        <v>0</v>
      </c>
      <c r="AF56" s="562" t="n">
        <v>0</v>
      </c>
      <c r="AG56" s="198" t="n">
        <v>0</v>
      </c>
      <c r="AH56" s="198" t="n">
        <v>0</v>
      </c>
      <c r="AI56" s="198" t="n">
        <v>0</v>
      </c>
      <c r="AJ56" s="198" t="n">
        <v>0</v>
      </c>
      <c r="AK56" s="198" t="n">
        <v>0</v>
      </c>
      <c r="AL56" s="198" t="n">
        <v>0.01</v>
      </c>
      <c r="AM56" s="198" t="n">
        <v>0</v>
      </c>
      <c r="AN56" s="198" t="inlineStr">
        <is>
          <t>កាបូនឌីអុកស៊ីត (CO2)</t>
        </is>
      </c>
      <c r="AO56" s="198" t="inlineStr">
        <is>
          <t>បានប្រកាសនិងបង់ពន្ធ</t>
        </is>
      </c>
    </row>
    <row r="57">
      <c r="A57" s="212">
        <f>A56+1</f>
        <v/>
      </c>
      <c r="B57" s="214" t="inlineStr">
        <is>
          <t>CO2</t>
        </is>
      </c>
      <c r="C57" s="214" t="inlineStr">
        <is>
          <t>DF INDUSTRIAL GASES CO., LTD.</t>
        </is>
      </c>
      <c r="D57" s="215" t="inlineStr">
        <is>
          <t>B105-902402285</t>
        </is>
      </c>
      <c r="E57" s="290" t="inlineStr">
        <is>
          <t>DFTI-25-030</t>
        </is>
      </c>
      <c r="F57" s="279" t="n">
        <v>45797</v>
      </c>
      <c r="G57" s="216" t="n"/>
      <c r="H57" s="564" t="n"/>
      <c r="I57" s="564" t="n">
        <v>400300</v>
      </c>
      <c r="J57" s="213" t="inlineStr">
        <is>
          <t>អនុញ្ញាត (បានប្រកាស)</t>
        </is>
      </c>
      <c r="K57" s="213" t="n"/>
      <c r="L57" s="563">
        <f>I57</f>
        <v/>
      </c>
      <c r="M57" s="536">
        <f>I57-L57</f>
        <v/>
      </c>
      <c r="N57" s="213" t="n"/>
      <c r="O57" s="218">
        <f>U57=E57</f>
        <v/>
      </c>
      <c r="P57" s="218">
        <f>MONTH(F57)-MONTH(T57)</f>
        <v/>
      </c>
      <c r="Q57" s="218">
        <f>$B$5=X57</f>
        <v/>
      </c>
      <c r="R57" s="218">
        <f>I57-AD57</f>
        <v/>
      </c>
      <c r="S57" s="298" t="n"/>
      <c r="T57" s="299" t="n">
        <v>45797</v>
      </c>
      <c r="U57" s="298" t="inlineStr">
        <is>
          <t>DFTI-25-030</t>
        </is>
      </c>
      <c r="V57" s="298" t="n">
        <v>0</v>
      </c>
      <c r="W57" s="298" t="inlineStr">
        <is>
          <t>បុគ្គលជាប់អាករ</t>
        </is>
      </c>
      <c r="X57" s="298" t="inlineStr">
        <is>
          <t>L001-901640009</t>
        </is>
      </c>
      <c r="Y57" s="298" t="inlineStr">
        <is>
          <t>ហូលីដេ ឌីហ្សាញ (ខេមបូឌា) ឯ.ក</t>
        </is>
      </c>
      <c r="Z57" s="300" t="n">
        <v>4403300</v>
      </c>
      <c r="AA57" s="300" t="n">
        <v>4003000</v>
      </c>
      <c r="AB57" s="298" t="n">
        <v>0</v>
      </c>
      <c r="AC57" s="298" t="inlineStr">
        <is>
          <t>-</t>
        </is>
      </c>
      <c r="AD57" s="300" t="n">
        <v>400300</v>
      </c>
      <c r="AE57" s="298" t="n">
        <v>0</v>
      </c>
      <c r="AF57" s="562" t="n">
        <v>0</v>
      </c>
      <c r="AG57" s="198" t="n">
        <v>0</v>
      </c>
      <c r="AH57" s="198" t="n">
        <v>0</v>
      </c>
      <c r="AI57" s="198" t="n">
        <v>0</v>
      </c>
      <c r="AJ57" s="198" t="n">
        <v>0</v>
      </c>
      <c r="AK57" s="198" t="n">
        <v>0</v>
      </c>
      <c r="AL57" s="198" t="n">
        <v>0.01</v>
      </c>
      <c r="AM57" s="198" t="n">
        <v>0</v>
      </c>
      <c r="AN57" s="198" t="inlineStr">
        <is>
          <t>កាបូនឌីអុកស៊ីត (CO2)</t>
        </is>
      </c>
      <c r="AO57" s="198" t="inlineStr">
        <is>
          <t>បានប្រកាសនិងបង់ពន្ធ</t>
        </is>
      </c>
    </row>
    <row r="58">
      <c r="A58" s="212">
        <f>A57+1</f>
        <v/>
      </c>
      <c r="B58" s="214" t="inlineStr">
        <is>
          <t>សេវាបាញ់ថ្នាំចូលក្នុងកុងទីន័រ</t>
        </is>
      </c>
      <c r="C58" s="214" t="inlineStr">
        <is>
          <t>C.M.I.X.S Co., Ltd.</t>
        </is>
      </c>
      <c r="D58" s="215" t="inlineStr">
        <is>
          <t>B108-150005385</t>
        </is>
      </c>
      <c r="E58" s="290" t="inlineStr">
        <is>
          <t>ICS-25-003</t>
        </is>
      </c>
      <c r="F58" s="279" t="n">
        <v>45789</v>
      </c>
      <c r="G58" s="216" t="n"/>
      <c r="H58" s="564" t="n"/>
      <c r="I58" s="564" t="n">
        <v>264198</v>
      </c>
      <c r="J58" s="213" t="inlineStr">
        <is>
          <t>អនុញ្ញាត (បានប្រកាស)</t>
        </is>
      </c>
      <c r="K58" s="213" t="n"/>
      <c r="L58" s="563">
        <f>I58</f>
        <v/>
      </c>
      <c r="M58" s="536">
        <f>I58-L58</f>
        <v/>
      </c>
      <c r="N58" s="213" t="n"/>
      <c r="O58" s="218">
        <f>U58=E58</f>
        <v/>
      </c>
      <c r="P58" s="218">
        <f>MONTH(F58)-MONTH(T58)</f>
        <v/>
      </c>
      <c r="Q58" s="218">
        <f>$B$5=X58</f>
        <v/>
      </c>
      <c r="R58" s="218">
        <f>I58-AD58</f>
        <v/>
      </c>
      <c r="S58" s="298" t="n"/>
      <c r="T58" s="299" t="n">
        <v>45789</v>
      </c>
      <c r="U58" s="298" t="inlineStr">
        <is>
          <t>ICS-25-003</t>
        </is>
      </c>
      <c r="V58" s="298" t="n">
        <v>0</v>
      </c>
      <c r="W58" s="298" t="inlineStr">
        <is>
          <t>បុគ្គលជាប់អាករ</t>
        </is>
      </c>
      <c r="X58" s="298" t="inlineStr">
        <is>
          <t>L001-901640009</t>
        </is>
      </c>
      <c r="Y58" s="298" t="inlineStr">
        <is>
          <t>ហូលីដេ ឌីហ្សាញ (ខេមបូឌា) ឯ.ក</t>
        </is>
      </c>
      <c r="Z58" s="300" t="n">
        <v>2907630</v>
      </c>
      <c r="AA58" s="300" t="n">
        <v>2643300</v>
      </c>
      <c r="AB58" s="298" t="n">
        <v>0</v>
      </c>
      <c r="AC58" s="298" t="inlineStr">
        <is>
          <t>-</t>
        </is>
      </c>
      <c r="AD58" s="300" t="n">
        <v>264330</v>
      </c>
      <c r="AE58" s="298" t="n">
        <v>0</v>
      </c>
      <c r="AF58" s="562" t="n">
        <v>0</v>
      </c>
      <c r="AG58" s="198" t="n">
        <v>0</v>
      </c>
      <c r="AH58" s="198" t="n">
        <v>0</v>
      </c>
      <c r="AI58" s="198" t="n">
        <v>0</v>
      </c>
      <c r="AJ58" s="198" t="n">
        <v>0</v>
      </c>
      <c r="AK58" s="198" t="n">
        <v>0</v>
      </c>
      <c r="AL58" s="198" t="n">
        <v>0.01</v>
      </c>
      <c r="AM58" s="198" t="n">
        <v>0</v>
      </c>
      <c r="AN58" s="198" t="inlineStr">
        <is>
          <t>សេវាបាញ់ថ្នាំចូលក្នុងកុងទីន័រ</t>
        </is>
      </c>
      <c r="AO58" s="198" t="inlineStr">
        <is>
          <t>បានប្រកាសនិងបង់ពន្ធ</t>
        </is>
      </c>
    </row>
    <row r="59">
      <c r="A59" s="212">
        <f>A58+1</f>
        <v/>
      </c>
      <c r="B59" s="214" t="inlineStr">
        <is>
          <t>Second billing 40% Fee for Audit Report 2023</t>
        </is>
      </c>
      <c r="C59" s="214" t="inlineStr">
        <is>
          <t>K PROFESSIONAL ACCOUNTANTS Co., Ltd.</t>
        </is>
      </c>
      <c r="D59" s="215" t="inlineStr">
        <is>
          <t>K002-107015749</t>
        </is>
      </c>
      <c r="E59" s="290" t="inlineStr">
        <is>
          <t>TI24-01393</t>
        </is>
      </c>
      <c r="F59" s="279" t="n">
        <v>45589</v>
      </c>
      <c r="G59" s="216" t="n"/>
      <c r="H59" s="564" t="n"/>
      <c r="I59" s="564" t="n">
        <v>844896</v>
      </c>
      <c r="J59" s="213" t="inlineStr">
        <is>
          <t>អនុញ្ញាត (បានប្រកាស)</t>
        </is>
      </c>
      <c r="K59" s="213" t="n"/>
      <c r="L59" s="563">
        <f>I59</f>
        <v/>
      </c>
      <c r="M59" s="536">
        <f>I59-L59</f>
        <v/>
      </c>
      <c r="N59" s="213" t="n"/>
      <c r="O59" s="218">
        <f>U59=E59</f>
        <v/>
      </c>
      <c r="P59" s="218">
        <f>MONTH(F59)-MONTH(T59)</f>
        <v/>
      </c>
      <c r="Q59" s="218">
        <f>$B$5=X59</f>
        <v/>
      </c>
      <c r="R59" s="218">
        <f>I59-AD59</f>
        <v/>
      </c>
      <c r="S59" s="298" t="n"/>
      <c r="T59" s="299" t="n">
        <v>45589</v>
      </c>
      <c r="U59" s="298" t="inlineStr">
        <is>
          <t>TI24-01393</t>
        </is>
      </c>
      <c r="V59" s="298" t="n">
        <v>0</v>
      </c>
      <c r="W59" s="298" t="inlineStr">
        <is>
          <t>បុគ្គលជាប់អាករ</t>
        </is>
      </c>
      <c r="X59" s="298" t="inlineStr">
        <is>
          <t>L001-901640009</t>
        </is>
      </c>
      <c r="Y59" s="298" t="inlineStr">
        <is>
          <t>ហូលីដេ ឌីហ្សាញ (ខេមបូឌា) ឯ.ក</t>
        </is>
      </c>
      <c r="Z59" s="300" t="n">
        <v>9293856</v>
      </c>
      <c r="AA59" s="300" t="n">
        <v>8448960</v>
      </c>
      <c r="AB59" s="298" t="n">
        <v>0</v>
      </c>
      <c r="AC59" s="298" t="inlineStr">
        <is>
          <t>-</t>
        </is>
      </c>
      <c r="AD59" s="300" t="n">
        <v>844896</v>
      </c>
      <c r="AE59" s="298" t="n">
        <v>0</v>
      </c>
      <c r="AF59" s="562" t="n">
        <v>0</v>
      </c>
      <c r="AG59" s="198" t="n">
        <v>0</v>
      </c>
      <c r="AH59" s="198" t="n">
        <v>0</v>
      </c>
      <c r="AI59" s="198" t="n">
        <v>0</v>
      </c>
      <c r="AJ59" s="198" t="n">
        <v>0</v>
      </c>
      <c r="AK59" s="198" t="n">
        <v>0</v>
      </c>
      <c r="AL59" s="198" t="n">
        <v>0.01</v>
      </c>
      <c r="AM59" s="198" t="n">
        <v>0</v>
      </c>
      <c r="AN59" s="198" t="inlineStr">
        <is>
          <t>សេវាសវនកម្មលើរបាយការណ៏ហិរញ្ញវត្ថុសំរាប់ចុងការិយបរិច្ឆេទ៣១ ធ្នូ ២០២៣ (បង់ប្រាក់លើកទីពីរ ៤០%)</t>
        </is>
      </c>
      <c r="AO59" s="198" t="inlineStr">
        <is>
          <t>បានប្រកាសនិងបង់ពន្ធ</t>
        </is>
      </c>
    </row>
    <row r="60">
      <c r="A60" s="212">
        <f>A59+1</f>
        <v/>
      </c>
      <c r="B60" s="214" t="inlineStr">
        <is>
          <t>Final Billing 10% Fee Audit On Financial Staterment for the Year 2023</t>
        </is>
      </c>
      <c r="C60" s="214" t="inlineStr">
        <is>
          <t>K PROFESSIONAL ACCOUNTANTS Co., Ltd.</t>
        </is>
      </c>
      <c r="D60" s="215" t="inlineStr">
        <is>
          <t>K002-107015749</t>
        </is>
      </c>
      <c r="E60" s="290" t="inlineStr">
        <is>
          <t>TI24-01517</t>
        </is>
      </c>
      <c r="F60" s="279" t="n">
        <v>45628</v>
      </c>
      <c r="G60" s="216" t="n"/>
      <c r="H60" s="564" t="n"/>
      <c r="I60" s="564" t="n">
        <v>209508</v>
      </c>
      <c r="J60" s="213" t="inlineStr">
        <is>
          <t>អនុញ្ញាត (បានប្រកាស)</t>
        </is>
      </c>
      <c r="K60" s="213" t="n"/>
      <c r="L60" s="563">
        <f>I60</f>
        <v/>
      </c>
      <c r="M60" s="536">
        <f>I60-L60</f>
        <v/>
      </c>
      <c r="N60" s="213" t="n"/>
      <c r="O60" s="218">
        <f>U60=E60</f>
        <v/>
      </c>
      <c r="P60" s="218">
        <f>MONTH(F60)-MONTH(T60)</f>
        <v/>
      </c>
      <c r="Q60" s="218">
        <f>$B$5=X60</f>
        <v/>
      </c>
      <c r="R60" s="218">
        <f>I60-AD60</f>
        <v/>
      </c>
      <c r="S60" s="298" t="n"/>
      <c r="T60" s="299" t="n">
        <v>45628</v>
      </c>
      <c r="U60" s="298" t="inlineStr">
        <is>
          <t>TI24-01517</t>
        </is>
      </c>
      <c r="V60" s="298" t="n">
        <v>0</v>
      </c>
      <c r="W60" s="298" t="inlineStr">
        <is>
          <t>បុគ្គលជាប់អាករ</t>
        </is>
      </c>
      <c r="X60" s="298" t="inlineStr">
        <is>
          <t>L001-901640009</t>
        </is>
      </c>
      <c r="Y60" s="298" t="inlineStr">
        <is>
          <t>ហូលីដេ ឌីហ្សាញ (ខេមបូឌា) ឯ.ក</t>
        </is>
      </c>
      <c r="Z60" s="300" t="n">
        <v>2304588</v>
      </c>
      <c r="AA60" s="300" t="n">
        <v>2095080</v>
      </c>
      <c r="AB60" s="298" t="n">
        <v>0</v>
      </c>
      <c r="AC60" s="298" t="inlineStr">
        <is>
          <t>-</t>
        </is>
      </c>
      <c r="AD60" s="300" t="n">
        <v>209508</v>
      </c>
      <c r="AE60" s="298" t="n">
        <v>0</v>
      </c>
      <c r="AF60" s="562" t="n">
        <v>0</v>
      </c>
      <c r="AG60" s="198" t="n">
        <v>0</v>
      </c>
      <c r="AH60" s="198" t="n">
        <v>0</v>
      </c>
      <c r="AI60" s="198" t="n">
        <v>0</v>
      </c>
      <c r="AJ60" s="198" t="n">
        <v>0</v>
      </c>
      <c r="AK60" s="198" t="n">
        <v>0</v>
      </c>
      <c r="AL60" s="198" t="n">
        <v>0.01</v>
      </c>
      <c r="AM60" s="198" t="n">
        <v>0</v>
      </c>
      <c r="AN60" s="198" t="inlineStr">
        <is>
          <t>សេវាសវនកម្មលើរបាយការណ៏ហិរញ្ញវត្ថុសំរាប់ចុងការិយបរិច្ឆេទ៣១ ធ្នូ ២០២៣ (បង់ប្រាក់លើកចុងក្រោយ ១០%)</t>
        </is>
      </c>
      <c r="AO60" s="198" t="inlineStr">
        <is>
          <t>បានប្រកាសនិងបង់ពន្ធ</t>
        </is>
      </c>
    </row>
    <row r="61">
      <c r="A61" s="212">
        <f>A60+1</f>
        <v/>
      </c>
      <c r="B61" s="214" t="inlineStr">
        <is>
          <t>Final Billing 50% Fee Audit On Financial Staterment for the Year 2024</t>
        </is>
      </c>
      <c r="C61" s="214" t="inlineStr">
        <is>
          <t>K PROFESSIONAL ACCOUNTANTS Co., Ltd.</t>
        </is>
      </c>
      <c r="D61" s="215" t="inlineStr">
        <is>
          <t>K002-107015749</t>
        </is>
      </c>
      <c r="E61" s="290" t="inlineStr">
        <is>
          <t>TI25-00024</t>
        </is>
      </c>
      <c r="F61" s="279" t="n">
        <v>45659</v>
      </c>
      <c r="G61" s="216" t="n"/>
      <c r="H61" s="564" t="n"/>
      <c r="I61" s="564" t="n">
        <v>1047020</v>
      </c>
      <c r="J61" s="213" t="inlineStr">
        <is>
          <t>អនុញ្ញាត (បានប្រកាស)</t>
        </is>
      </c>
      <c r="K61" s="213" t="n"/>
      <c r="L61" s="563">
        <f>I61</f>
        <v/>
      </c>
      <c r="M61" s="536">
        <f>I61-L61</f>
        <v/>
      </c>
      <c r="N61" s="213" t="n"/>
      <c r="O61" s="218">
        <f>U61=E61</f>
        <v/>
      </c>
      <c r="P61" s="218">
        <f>MONTH(F61)-MONTH(T61)</f>
        <v/>
      </c>
      <c r="Q61" s="218">
        <f>$B$5=X61</f>
        <v/>
      </c>
      <c r="R61" s="218">
        <f>I61-AD61</f>
        <v/>
      </c>
      <c r="S61" s="298" t="n"/>
      <c r="T61" s="299" t="n">
        <v>45659</v>
      </c>
      <c r="U61" s="298" t="inlineStr">
        <is>
          <t>TI25-00024</t>
        </is>
      </c>
      <c r="V61" s="298" t="n">
        <v>0</v>
      </c>
      <c r="W61" s="298" t="inlineStr">
        <is>
          <t>បុគ្គលជាប់អាករ</t>
        </is>
      </c>
      <c r="X61" s="298" t="inlineStr">
        <is>
          <t>L001-901640009</t>
        </is>
      </c>
      <c r="Y61" s="298" t="inlineStr">
        <is>
          <t>ហូលីដេ ឌីហ្សាញ (ខេមបូឌា) ឯ.ក</t>
        </is>
      </c>
      <c r="Z61" s="300" t="n">
        <v>11517220</v>
      </c>
      <c r="AA61" s="300" t="n">
        <v>10470200</v>
      </c>
      <c r="AB61" s="298" t="n">
        <v>0</v>
      </c>
      <c r="AC61" s="298" t="inlineStr">
        <is>
          <t>-</t>
        </is>
      </c>
      <c r="AD61" s="300" t="n">
        <v>1047020</v>
      </c>
      <c r="AE61" s="298" t="n">
        <v>0</v>
      </c>
      <c r="AF61" s="562" t="n">
        <v>0</v>
      </c>
      <c r="AG61" s="198" t="n">
        <v>0</v>
      </c>
      <c r="AH61" s="198" t="n">
        <v>0</v>
      </c>
      <c r="AI61" s="198" t="n">
        <v>0</v>
      </c>
      <c r="AJ61" s="198" t="n">
        <v>0</v>
      </c>
      <c r="AK61" s="198" t="n">
        <v>0</v>
      </c>
      <c r="AL61" s="198" t="n">
        <v>0.01</v>
      </c>
      <c r="AM61" s="198" t="n">
        <v>0</v>
      </c>
      <c r="AN61" s="198" t="inlineStr">
        <is>
          <t>សេវាសវនកម្មលើរបាយការណ៏ហិរញ្ញវត្ថុសំរាប់ចុងការិយបរិច្ឆេទ៣១ ធ្នូ ២០២៤ (បង់ប្រាក់លើកទីមួយ ៥០%)</t>
        </is>
      </c>
      <c r="AO61" s="198" t="inlineStr">
        <is>
          <t>បានប្រកាសនិងបង់ពន្ធ</t>
        </is>
      </c>
    </row>
    <row r="62">
      <c r="A62" s="212">
        <f>A61+1</f>
        <v/>
      </c>
      <c r="B62" s="214" t="inlineStr">
        <is>
          <t>Export Clearance</t>
        </is>
      </c>
      <c r="C62" s="214" t="inlineStr">
        <is>
          <t>MFL MULTI FREIGHT LOGISTICS Ltd.</t>
        </is>
      </c>
      <c r="D62" s="215" t="inlineStr">
        <is>
          <t>K005-901504427</t>
        </is>
      </c>
      <c r="E62" s="290" t="inlineStr">
        <is>
          <t>MFL-2501016</t>
        </is>
      </c>
      <c r="F62" s="279" t="n">
        <v>45674</v>
      </c>
      <c r="G62" s="216" t="n"/>
      <c r="H62" s="564" t="n"/>
      <c r="I62" s="564" t="n">
        <v>48324</v>
      </c>
      <c r="J62" s="213" t="inlineStr">
        <is>
          <t>អនុញ្ញាត (បានប្រកាស)</t>
        </is>
      </c>
      <c r="K62" s="213" t="n"/>
      <c r="L62" s="563">
        <f>I62</f>
        <v/>
      </c>
      <c r="M62" s="536">
        <f>I62-L62</f>
        <v/>
      </c>
      <c r="N62" s="213" t="n"/>
      <c r="O62" s="218">
        <f>U62=E62</f>
        <v/>
      </c>
      <c r="P62" s="218">
        <f>MONTH(F62)-MONTH(T62)</f>
        <v/>
      </c>
      <c r="Q62" s="218">
        <f>$B$5=X62</f>
        <v/>
      </c>
      <c r="R62" s="218">
        <f>I62-AD62</f>
        <v/>
      </c>
      <c r="S62" s="298" t="n"/>
      <c r="T62" s="299" t="n">
        <v>45674</v>
      </c>
      <c r="U62" s="298" t="inlineStr">
        <is>
          <t>MFL-2501016</t>
        </is>
      </c>
      <c r="V62" s="298" t="n">
        <v>0</v>
      </c>
      <c r="W62" s="298" t="inlineStr">
        <is>
          <t>បុគ្គលជាប់អាករ</t>
        </is>
      </c>
      <c r="X62" s="298" t="inlineStr">
        <is>
          <t>L001-901640009</t>
        </is>
      </c>
      <c r="Y62" s="298" t="inlineStr">
        <is>
          <t>ហូលីដេ ឌីហ្សាញ (ខេមបូឌា) ឯ.ក</t>
        </is>
      </c>
      <c r="Z62" s="300" t="n">
        <v>531564</v>
      </c>
      <c r="AA62" s="300" t="n">
        <v>483240</v>
      </c>
      <c r="AB62" s="298" t="n">
        <v>0</v>
      </c>
      <c r="AC62" s="298" t="inlineStr">
        <is>
          <t>-</t>
        </is>
      </c>
      <c r="AD62" s="300" t="n">
        <v>48324</v>
      </c>
      <c r="AE62" s="298" t="n">
        <v>0</v>
      </c>
      <c r="AF62" s="562" t="n">
        <v>0</v>
      </c>
      <c r="AG62" s="198" t="n">
        <v>0</v>
      </c>
      <c r="AH62" s="198" t="n">
        <v>0</v>
      </c>
      <c r="AI62" s="198" t="n">
        <v>0</v>
      </c>
      <c r="AJ62" s="198" t="n">
        <v>0</v>
      </c>
      <c r="AK62" s="198" t="n">
        <v>0</v>
      </c>
      <c r="AL62" s="198" t="n">
        <v>0.01</v>
      </c>
      <c r="AM62" s="198" t="n">
        <v>0</v>
      </c>
      <c r="AN62" s="198" t="inlineStr">
        <is>
          <t>Export clearance</t>
        </is>
      </c>
      <c r="AO62" s="198" t="inlineStr">
        <is>
          <t>បានប្រកាសនិងបង់ពន្ធ</t>
        </is>
      </c>
    </row>
    <row r="63">
      <c r="A63" s="212">
        <f>A62+1</f>
        <v/>
      </c>
      <c r="B63" s="214" t="inlineStr">
        <is>
          <t>KHTHC,EMF,DO Fee,KHCIC,Handing Fee</t>
        </is>
      </c>
      <c r="C63" s="214" t="inlineStr">
        <is>
          <t>PANDORA LOGISTICS CO., LTD.</t>
        </is>
      </c>
      <c r="D63" s="215" t="inlineStr">
        <is>
          <t>K005-901702078</t>
        </is>
      </c>
      <c r="E63" s="290" t="inlineStr">
        <is>
          <t>PT24-7787</t>
        </is>
      </c>
      <c r="F63" s="279" t="n">
        <v>45614</v>
      </c>
      <c r="G63" s="216" t="n"/>
      <c r="H63" s="564" t="n"/>
      <c r="I63" s="564" t="n">
        <v>163661</v>
      </c>
      <c r="J63" s="213" t="inlineStr">
        <is>
          <t>អនុញ្ញាត (បានប្រកាស)</t>
        </is>
      </c>
      <c r="K63" s="213" t="n"/>
      <c r="L63" s="563">
        <f>I63</f>
        <v/>
      </c>
      <c r="M63" s="536">
        <f>I63-L63</f>
        <v/>
      </c>
      <c r="N63" s="213" t="n"/>
      <c r="O63" s="218">
        <f>U63=E63</f>
        <v/>
      </c>
      <c r="P63" s="218">
        <f>MONTH(F63)-MONTH(T63)</f>
        <v/>
      </c>
      <c r="Q63" s="218">
        <f>$B$5=X63</f>
        <v/>
      </c>
      <c r="R63" s="218">
        <f>I63-AD63</f>
        <v/>
      </c>
      <c r="S63" s="298" t="n"/>
      <c r="T63" s="299" t="n">
        <v>45614</v>
      </c>
      <c r="U63" s="298" t="inlineStr">
        <is>
          <t>PT24-7787</t>
        </is>
      </c>
      <c r="V63" s="298" t="n">
        <v>0</v>
      </c>
      <c r="W63" s="298" t="inlineStr">
        <is>
          <t>បុគ្គលជាប់អាករ</t>
        </is>
      </c>
      <c r="X63" s="298" t="inlineStr">
        <is>
          <t>L001-901640009</t>
        </is>
      </c>
      <c r="Y63" s="298" t="inlineStr">
        <is>
          <t>ហូលីដេ ឌីហ្សាញ (ខេមបូឌា) ឯ.ក</t>
        </is>
      </c>
      <c r="Z63" s="300" t="n">
        <v>1800266</v>
      </c>
      <c r="AA63" s="300" t="n">
        <v>1636605</v>
      </c>
      <c r="AB63" s="298" t="n">
        <v>0</v>
      </c>
      <c r="AC63" s="298" t="inlineStr">
        <is>
          <t>-</t>
        </is>
      </c>
      <c r="AD63" s="300" t="n">
        <v>163661</v>
      </c>
      <c r="AE63" s="298" t="n">
        <v>0</v>
      </c>
      <c r="AF63" s="562" t="n">
        <v>0</v>
      </c>
      <c r="AG63" s="198" t="n">
        <v>0</v>
      </c>
      <c r="AH63" s="198" t="n">
        <v>0</v>
      </c>
      <c r="AI63" s="198" t="n">
        <v>0</v>
      </c>
      <c r="AJ63" s="198" t="n">
        <v>0</v>
      </c>
      <c r="AK63" s="198" t="n">
        <v>0</v>
      </c>
      <c r="AL63" s="198" t="n">
        <v>0.01</v>
      </c>
      <c r="AM63" s="198" t="n">
        <v>0</v>
      </c>
      <c r="AN63" s="198" t="inlineStr">
        <is>
          <t>KHTHC</t>
        </is>
      </c>
      <c r="AO63" s="198" t="inlineStr">
        <is>
          <t>បានប្រកាសនិងបង់ពន្ធ</t>
        </is>
      </c>
    </row>
    <row r="64">
      <c r="A64" s="212">
        <f>A63+1</f>
        <v/>
      </c>
      <c r="B64" s="214" t="inlineStr">
        <is>
          <t>Double Sided Tape</t>
        </is>
      </c>
      <c r="C64" s="214" t="inlineStr">
        <is>
          <t>XINYUANXIN PAPER</t>
        </is>
      </c>
      <c r="D64" s="215" t="inlineStr">
        <is>
          <t>K006-902300227</t>
        </is>
      </c>
      <c r="E64" s="290" t="inlineStr">
        <is>
          <t>XYX240310</t>
        </is>
      </c>
      <c r="F64" s="279" t="n">
        <v>45625</v>
      </c>
      <c r="G64" s="216" t="n"/>
      <c r="H64" s="564" t="n"/>
      <c r="I64" s="564" t="n">
        <v>322240</v>
      </c>
      <c r="J64" s="213" t="inlineStr">
        <is>
          <t>អនុញ្ញាត (បានប្រកាស)</t>
        </is>
      </c>
      <c r="K64" s="213" t="n"/>
      <c r="L64" s="563">
        <f>I64</f>
        <v/>
      </c>
      <c r="M64" s="536">
        <f>I64-L64</f>
        <v/>
      </c>
      <c r="N64" s="213" t="n"/>
      <c r="O64" s="218">
        <f>U64=E64</f>
        <v/>
      </c>
      <c r="P64" s="218">
        <f>MONTH(F64)-MONTH(T64)</f>
        <v/>
      </c>
      <c r="Q64" s="218">
        <f>$B$5=X64</f>
        <v/>
      </c>
      <c r="R64" s="218">
        <f>I64-AD64</f>
        <v/>
      </c>
      <c r="S64" s="298" t="n"/>
      <c r="T64" s="299" t="n">
        <v>45625</v>
      </c>
      <c r="U64" s="298" t="inlineStr">
        <is>
          <t>XYX240310</t>
        </is>
      </c>
      <c r="V64" s="298" t="n">
        <v>0</v>
      </c>
      <c r="W64" s="298" t="inlineStr">
        <is>
          <t>បុគ្គលជាប់អាករ</t>
        </is>
      </c>
      <c r="X64" s="298" t="inlineStr">
        <is>
          <t>L001-901640009</t>
        </is>
      </c>
      <c r="Y64" s="298" t="inlineStr">
        <is>
          <t>ហូលីដេ ឌីហ្សាញ (ខេមបូឌា) ឯ.ក</t>
        </is>
      </c>
      <c r="Z64" s="300" t="n">
        <v>3544640</v>
      </c>
      <c r="AA64" s="300" t="n">
        <v>3222400</v>
      </c>
      <c r="AB64" s="298" t="n">
        <v>0</v>
      </c>
      <c r="AC64" s="298" t="inlineStr">
        <is>
          <t>-</t>
        </is>
      </c>
      <c r="AD64" s="300" t="n">
        <v>322240</v>
      </c>
      <c r="AE64" s="298" t="n">
        <v>0</v>
      </c>
      <c r="AF64" s="562" t="n">
        <v>0</v>
      </c>
      <c r="AG64" s="198" t="n">
        <v>0</v>
      </c>
      <c r="AH64" s="198" t="n">
        <v>0</v>
      </c>
      <c r="AI64" s="198" t="n">
        <v>0</v>
      </c>
      <c r="AJ64" s="198" t="n">
        <v>0</v>
      </c>
      <c r="AK64" s="198" t="n">
        <v>0</v>
      </c>
      <c r="AL64" s="198" t="n">
        <v>0.01</v>
      </c>
      <c r="AM64" s="198" t="n">
        <v>0</v>
      </c>
      <c r="AN64" s="198" t="inlineStr">
        <is>
          <t>Double Sided Tape</t>
        </is>
      </c>
      <c r="AO64" s="198" t="inlineStr">
        <is>
          <t>បានប្រកាសនិងបង់ពន្ធ</t>
        </is>
      </c>
    </row>
    <row r="65">
      <c r="A65" s="212">
        <f>A64+1</f>
        <v/>
      </c>
      <c r="B65" s="214" t="inlineStr">
        <is>
          <t>Lift-On&amp;Lift-Off-Im</t>
        </is>
      </c>
      <c r="C65" s="214" t="inlineStr">
        <is>
          <t>Port Autonome Du Sihanoukville</t>
        </is>
      </c>
      <c r="D65" s="215" t="inlineStr">
        <is>
          <t>L001-100044638</t>
        </is>
      </c>
      <c r="E65" s="290" t="n">
        <v>269496</v>
      </c>
      <c r="F65" s="279" t="n">
        <v>45650</v>
      </c>
      <c r="G65" s="216" t="n"/>
      <c r="H65" s="564" t="n"/>
      <c r="I65" s="564" t="n">
        <v>115747</v>
      </c>
      <c r="J65" s="213" t="inlineStr">
        <is>
          <t>អនុញ្ញាត (បានប្រកាស)</t>
        </is>
      </c>
      <c r="K65" s="213" t="n"/>
      <c r="L65" s="563">
        <f>I65</f>
        <v/>
      </c>
      <c r="M65" s="536">
        <f>I65-L65</f>
        <v/>
      </c>
      <c r="N65" s="213" t="n"/>
      <c r="O65" s="218">
        <f>U65=E65</f>
        <v/>
      </c>
      <c r="P65" s="218">
        <f>MONTH(F65)-MONTH(T65)</f>
        <v/>
      </c>
      <c r="Q65" s="218">
        <f>$B$5=X65</f>
        <v/>
      </c>
      <c r="R65" s="218">
        <f>I65-AD65</f>
        <v/>
      </c>
      <c r="S65" s="298" t="n"/>
      <c r="T65" s="299" t="n">
        <v>45650</v>
      </c>
      <c r="U65" s="298" t="n">
        <v>269496</v>
      </c>
      <c r="V65" s="298" t="n">
        <v>0</v>
      </c>
      <c r="W65" s="298" t="inlineStr">
        <is>
          <t>បុគ្គលជាប់អាករ</t>
        </is>
      </c>
      <c r="X65" s="298" t="inlineStr">
        <is>
          <t>L001-901640009</t>
        </is>
      </c>
      <c r="Y65" s="298" t="inlineStr">
        <is>
          <t>ហូលីដេ ឌីហ្សាញ (ខេមបូឌា) ឯ.ក</t>
        </is>
      </c>
      <c r="Z65" s="300" t="n">
        <v>1273219</v>
      </c>
      <c r="AA65" s="300" t="n">
        <v>1157472</v>
      </c>
      <c r="AB65" s="298" t="n">
        <v>0</v>
      </c>
      <c r="AC65" s="298" t="inlineStr">
        <is>
          <t>-</t>
        </is>
      </c>
      <c r="AD65" s="300" t="n">
        <v>115747</v>
      </c>
      <c r="AE65" s="298" t="n"/>
      <c r="AF65" s="562" t="n"/>
    </row>
    <row r="66">
      <c r="A66" s="212">
        <f>A65+1</f>
        <v/>
      </c>
      <c r="B66" s="214" t="inlineStr">
        <is>
          <t>Lift-On&amp;Lift-Off-Im</t>
        </is>
      </c>
      <c r="C66" s="214" t="inlineStr">
        <is>
          <t>Port Autonome Du Sihanoukville</t>
        </is>
      </c>
      <c r="D66" s="215" t="inlineStr">
        <is>
          <t>L001-100044638</t>
        </is>
      </c>
      <c r="E66" s="290" t="n">
        <v>273954</v>
      </c>
      <c r="F66" s="279" t="n">
        <v>45656</v>
      </c>
      <c r="G66" s="216" t="n"/>
      <c r="H66" s="564" t="n"/>
      <c r="I66" s="564" t="n">
        <v>245062</v>
      </c>
      <c r="J66" s="213" t="inlineStr">
        <is>
          <t>អនុញ្ញាត (បានប្រកាស)</t>
        </is>
      </c>
      <c r="K66" s="213" t="n"/>
      <c r="L66" s="563">
        <f>I66</f>
        <v/>
      </c>
      <c r="M66" s="536">
        <f>I66-L66</f>
        <v/>
      </c>
      <c r="N66" s="213" t="n"/>
      <c r="O66" s="218">
        <f>U66=E66</f>
        <v/>
      </c>
      <c r="P66" s="218">
        <f>MONTH(F66)-MONTH(T66)</f>
        <v/>
      </c>
      <c r="Q66" s="218">
        <f>$B$5=X66</f>
        <v/>
      </c>
      <c r="R66" s="218">
        <f>I66-AD66</f>
        <v/>
      </c>
      <c r="S66" s="298" t="n"/>
      <c r="T66" s="299" t="n">
        <v>45656</v>
      </c>
      <c r="U66" s="298" t="n">
        <v>273954</v>
      </c>
      <c r="V66" s="298" t="n">
        <v>0</v>
      </c>
      <c r="W66" s="298" t="inlineStr">
        <is>
          <t>បុគ្គលជាប់អាករ</t>
        </is>
      </c>
      <c r="X66" s="298" t="inlineStr">
        <is>
          <t>L001-901640009</t>
        </is>
      </c>
      <c r="Y66" s="298" t="inlineStr">
        <is>
          <t>ហូលីដេ ឌីហ្សាញ (ខេមបូឌា) ឯ.ក</t>
        </is>
      </c>
      <c r="Z66" s="300" t="n">
        <v>2695678</v>
      </c>
      <c r="AA66" s="300" t="n">
        <v>2450616</v>
      </c>
      <c r="AB66" s="298" t="n">
        <v>0</v>
      </c>
      <c r="AC66" s="298" t="inlineStr">
        <is>
          <t>-</t>
        </is>
      </c>
      <c r="AD66" s="300" t="n">
        <v>245062</v>
      </c>
      <c r="AE66" s="298" t="n"/>
      <c r="AF66" s="562" t="n"/>
    </row>
    <row r="67">
      <c r="A67" s="212">
        <f>A66+1</f>
        <v/>
      </c>
      <c r="B67" s="214" t="inlineStr">
        <is>
          <t>Terminal Handling Service-Im</t>
        </is>
      </c>
      <c r="C67" s="214" t="inlineStr">
        <is>
          <t>SITC CONTAINER LINES (CAMBODIA) Co., Ltd.</t>
        </is>
      </c>
      <c r="D67" s="215" t="inlineStr">
        <is>
          <t>L001-107035863</t>
        </is>
      </c>
      <c r="E67" s="290" t="inlineStr">
        <is>
          <t>SITC2024-040806</t>
        </is>
      </c>
      <c r="F67" s="279" t="n">
        <v>45651</v>
      </c>
      <c r="G67" s="216" t="n"/>
      <c r="H67" s="564" t="n"/>
      <c r="I67" s="564" t="n">
        <v>1487030</v>
      </c>
      <c r="J67" s="213" t="inlineStr">
        <is>
          <t>អនុញ្ញាត (បានប្រកាស)</t>
        </is>
      </c>
      <c r="K67" s="213" t="n"/>
      <c r="L67" s="563">
        <f>I67</f>
        <v/>
      </c>
      <c r="M67" s="536">
        <f>I67-L67</f>
        <v/>
      </c>
      <c r="N67" s="213" t="n"/>
      <c r="O67" s="218">
        <f>U67=E67</f>
        <v/>
      </c>
      <c r="P67" s="218">
        <f>MONTH(F67)-MONTH(T67)</f>
        <v/>
      </c>
      <c r="Q67" s="218">
        <f>$B$5=X67</f>
        <v/>
      </c>
      <c r="R67" s="218">
        <f>I67-AD67</f>
        <v/>
      </c>
      <c r="S67" s="298" t="n"/>
      <c r="T67" s="299" t="n">
        <v>45651</v>
      </c>
      <c r="U67" s="298" t="inlineStr">
        <is>
          <t>SITC2024-040806</t>
        </is>
      </c>
      <c r="V67" s="298" t="n">
        <v>0</v>
      </c>
      <c r="W67" s="298" t="inlineStr">
        <is>
          <t>បុគ្គលជាប់អាករ</t>
        </is>
      </c>
      <c r="X67" s="298" t="inlineStr">
        <is>
          <t>L001-901640009</t>
        </is>
      </c>
      <c r="Y67" s="298" t="inlineStr">
        <is>
          <t>ហូលីដេ ឌីហ្សាញ (ខេមបូឌា) ឯ.ក</t>
        </is>
      </c>
      <c r="Z67" s="300" t="n">
        <v>16357330</v>
      </c>
      <c r="AA67" s="300" t="n">
        <v>14870300</v>
      </c>
      <c r="AB67" s="298" t="n">
        <v>0</v>
      </c>
      <c r="AC67" s="298" t="inlineStr">
        <is>
          <t>-</t>
        </is>
      </c>
      <c r="AD67" s="300" t="n">
        <v>1487030</v>
      </c>
      <c r="AE67" s="298" t="n">
        <v>0</v>
      </c>
      <c r="AF67" s="562" t="n">
        <v>0</v>
      </c>
      <c r="AG67" s="198" t="n">
        <v>0</v>
      </c>
      <c r="AH67" s="198" t="n">
        <v>0</v>
      </c>
      <c r="AI67" s="198" t="n">
        <v>0</v>
      </c>
      <c r="AJ67" s="198" t="n">
        <v>0</v>
      </c>
      <c r="AK67" s="198" t="n">
        <v>0</v>
      </c>
      <c r="AL67" s="198" t="n">
        <v>0.01</v>
      </c>
      <c r="AM67" s="198" t="n">
        <v>0</v>
      </c>
      <c r="AN67" s="198" t="inlineStr">
        <is>
          <t>EMF,KHCIC,KHTHC,EIB,KHDOC</t>
        </is>
      </c>
    </row>
    <row r="68">
      <c r="A68" s="212">
        <f>A67+1</f>
        <v/>
      </c>
      <c r="B68" s="214" t="inlineStr">
        <is>
          <t>Trucking Fee-Im</t>
        </is>
      </c>
      <c r="C68" s="214" t="inlineStr">
        <is>
          <t>BRILLIANT TRANSPORT AND TRADING Co., Ltd.</t>
        </is>
      </c>
      <c r="D68" s="215" t="inlineStr">
        <is>
          <t>K002-100089305</t>
        </is>
      </c>
      <c r="E68" s="290" t="inlineStr">
        <is>
          <t>BTT24-0002649</t>
        </is>
      </c>
      <c r="F68" s="279" t="n">
        <v>45656</v>
      </c>
      <c r="G68" s="216" t="n"/>
      <c r="H68" s="564" t="n"/>
      <c r="I68" s="564" t="n">
        <v>1657888</v>
      </c>
      <c r="J68" s="213" t="inlineStr">
        <is>
          <t>អនុញ្ញាត (បានប្រកាស)</t>
        </is>
      </c>
      <c r="K68" s="213" t="n"/>
      <c r="L68" s="563">
        <f>I68</f>
        <v/>
      </c>
      <c r="M68" s="536">
        <f>I68-L68</f>
        <v/>
      </c>
      <c r="N68" s="213" t="n"/>
      <c r="O68" s="218">
        <f>U68=E68</f>
        <v/>
      </c>
      <c r="P68" s="218">
        <f>MONTH(F68)-MONTH(T68)</f>
        <v/>
      </c>
      <c r="Q68" s="218">
        <f>$B$5=X68</f>
        <v/>
      </c>
      <c r="R68" s="218">
        <f>I68-AD68</f>
        <v/>
      </c>
      <c r="S68" s="298" t="n"/>
      <c r="T68" s="299" t="n">
        <v>45656</v>
      </c>
      <c r="U68" s="298" t="inlineStr">
        <is>
          <t>BTT24-0002649</t>
        </is>
      </c>
      <c r="V68" s="298" t="n">
        <v>0</v>
      </c>
      <c r="W68" s="298" t="inlineStr">
        <is>
          <t>បុគ្គលជាប់អាករ</t>
        </is>
      </c>
      <c r="X68" s="298" t="inlineStr">
        <is>
          <t>L001-901640009</t>
        </is>
      </c>
      <c r="Y68" s="298" t="inlineStr">
        <is>
          <t>ហូលីដេ ឌីហ្សាញ (ខេមបូឌា) ឯ.ក</t>
        </is>
      </c>
      <c r="Z68" s="300" t="n">
        <v>18236768</v>
      </c>
      <c r="AA68" s="300" t="n">
        <v>16578880</v>
      </c>
      <c r="AB68" s="298" t="n">
        <v>0</v>
      </c>
      <c r="AC68" s="298" t="inlineStr">
        <is>
          <t>-</t>
        </is>
      </c>
      <c r="AD68" s="300" t="n">
        <v>1657888</v>
      </c>
      <c r="AE68" s="298" t="n">
        <v>0</v>
      </c>
      <c r="AF68" s="562" t="n">
        <v>0</v>
      </c>
      <c r="AG68" s="198" t="n">
        <v>0</v>
      </c>
      <c r="AH68" s="198" t="n">
        <v>0</v>
      </c>
      <c r="AI68" s="198" t="n">
        <v>0</v>
      </c>
      <c r="AJ68" s="198" t="n">
        <v>0</v>
      </c>
      <c r="AK68" s="198" t="n">
        <v>0</v>
      </c>
      <c r="AL68" s="198" t="n">
        <v>0.01</v>
      </c>
      <c r="AM68" s="198" t="n">
        <v>0</v>
      </c>
      <c r="AN68" s="198" t="inlineStr">
        <is>
          <t>Truking / Service</t>
        </is>
      </c>
    </row>
    <row r="69">
      <c r="A69" s="212">
        <f>A68+1</f>
        <v/>
      </c>
      <c r="B69" s="214" t="inlineStr">
        <is>
          <t>Lift-On&amp;Lift-Off-Im</t>
        </is>
      </c>
      <c r="C69" s="214" t="inlineStr">
        <is>
          <t>Port Autonome Du Sihanoukville</t>
        </is>
      </c>
      <c r="D69" s="215" t="inlineStr">
        <is>
          <t>L001-100044638</t>
        </is>
      </c>
      <c r="E69" s="290" t="n">
        <v>273947</v>
      </c>
      <c r="F69" s="279" t="n">
        <v>45656</v>
      </c>
      <c r="G69" s="216" t="n"/>
      <c r="H69" s="564" t="n"/>
      <c r="I69" s="564" t="n">
        <v>350088</v>
      </c>
      <c r="J69" s="213" t="inlineStr">
        <is>
          <t>អនុញ្ញាត (បានប្រកាស)</t>
        </is>
      </c>
      <c r="K69" s="213" t="n"/>
      <c r="L69" s="563">
        <f>I69</f>
        <v/>
      </c>
      <c r="M69" s="536">
        <f>I69-L69</f>
        <v/>
      </c>
      <c r="N69" s="213" t="n"/>
      <c r="O69" s="218">
        <f>U69=E69</f>
        <v/>
      </c>
      <c r="P69" s="218">
        <f>MONTH(F69)-MONTH(T69)</f>
        <v/>
      </c>
      <c r="Q69" s="218">
        <f>$B$5=X69</f>
        <v/>
      </c>
      <c r="R69" s="218">
        <f>I69-AD69</f>
        <v/>
      </c>
      <c r="S69" s="298" t="n"/>
      <c r="T69" s="299" t="n">
        <v>45656</v>
      </c>
      <c r="U69" s="298" t="n">
        <v>273947</v>
      </c>
      <c r="V69" s="298" t="n">
        <v>0</v>
      </c>
      <c r="W69" s="298" t="inlineStr">
        <is>
          <t>បុគ្គលជាប់អាករ</t>
        </is>
      </c>
      <c r="X69" s="298" t="inlineStr">
        <is>
          <t>L001-901640009</t>
        </is>
      </c>
      <c r="Y69" s="298" t="inlineStr">
        <is>
          <t>ហូលីដេ ឌីហ្សាញ (ខេមបូឌា) ឯ.ក</t>
        </is>
      </c>
      <c r="Z69" s="300" t="n">
        <v>3850968</v>
      </c>
      <c r="AA69" s="300" t="n">
        <v>3500880</v>
      </c>
      <c r="AB69" s="298" t="n">
        <v>0</v>
      </c>
      <c r="AC69" s="298" t="inlineStr">
        <is>
          <t>-</t>
        </is>
      </c>
      <c r="AD69" s="300" t="n">
        <v>350088</v>
      </c>
      <c r="AE69" s="298" t="n"/>
      <c r="AF69" s="562" t="n"/>
    </row>
    <row r="70">
      <c r="A70" s="212">
        <f>A69+1</f>
        <v/>
      </c>
      <c r="B70" s="214" t="inlineStr">
        <is>
          <t>Bopp Packing</t>
        </is>
      </c>
      <c r="C70" s="214" t="inlineStr">
        <is>
          <t>XINYUANXIN PAPER</t>
        </is>
      </c>
      <c r="D70" s="215" t="inlineStr">
        <is>
          <t>K006-902300227</t>
        </is>
      </c>
      <c r="E70" s="290" t="inlineStr">
        <is>
          <t>XYX240341</t>
        </is>
      </c>
      <c r="F70" s="279" t="n">
        <v>45653</v>
      </c>
      <c r="G70" s="216" t="n"/>
      <c r="H70" s="564" t="n"/>
      <c r="I70" s="564" t="n">
        <v>482520</v>
      </c>
      <c r="J70" s="213" t="inlineStr">
        <is>
          <t>អនុញ្ញាត (បានប្រកាស)</t>
        </is>
      </c>
      <c r="K70" s="213" t="n"/>
      <c r="L70" s="563">
        <f>I70</f>
        <v/>
      </c>
      <c r="M70" s="536">
        <f>I70-L70</f>
        <v/>
      </c>
      <c r="N70" s="213" t="n"/>
      <c r="O70" s="218">
        <f>U70=E70</f>
        <v/>
      </c>
      <c r="P70" s="218">
        <f>MONTH(F70)-MONTH(T70)</f>
        <v/>
      </c>
      <c r="Q70" s="218">
        <f>$B$5=X70</f>
        <v/>
      </c>
      <c r="R70" s="218">
        <f>I70-AD70</f>
        <v/>
      </c>
      <c r="S70" s="298" t="n"/>
      <c r="T70" s="299" t="n">
        <v>45653</v>
      </c>
      <c r="U70" s="298" t="inlineStr">
        <is>
          <t>XYX240341</t>
        </is>
      </c>
      <c r="V70" s="298" t="n">
        <v>0</v>
      </c>
      <c r="W70" s="298" t="inlineStr">
        <is>
          <t>បុគ្គលជាប់អាករ</t>
        </is>
      </c>
      <c r="X70" s="298" t="inlineStr">
        <is>
          <t>L001-901640009</t>
        </is>
      </c>
      <c r="Y70" s="298" t="inlineStr">
        <is>
          <t>ហូលីដេ ឌីហ្សាញ (ខេមបូឌា) ឯ.ក</t>
        </is>
      </c>
      <c r="Z70" s="300" t="n">
        <v>5307720</v>
      </c>
      <c r="AA70" s="300" t="n">
        <v>4825200</v>
      </c>
      <c r="AB70" s="298" t="n">
        <v>0</v>
      </c>
      <c r="AC70" s="298" t="inlineStr">
        <is>
          <t>-</t>
        </is>
      </c>
      <c r="AD70" s="300" t="n">
        <v>482520</v>
      </c>
      <c r="AE70" s="298" t="n">
        <v>0</v>
      </c>
      <c r="AF70" s="562" t="n">
        <v>0</v>
      </c>
      <c r="AG70" s="198" t="n">
        <v>0</v>
      </c>
      <c r="AH70" s="198" t="n">
        <v>0</v>
      </c>
      <c r="AI70" s="198" t="n">
        <v>0</v>
      </c>
      <c r="AJ70" s="198" t="n">
        <v>0</v>
      </c>
      <c r="AK70" s="198" t="n">
        <v>0</v>
      </c>
      <c r="AL70" s="198" t="n">
        <v>0.01</v>
      </c>
      <c r="AM70" s="198" t="n">
        <v>0</v>
      </c>
      <c r="AN70" s="198" t="inlineStr">
        <is>
          <t>Bopp Packing Tape</t>
        </is>
      </c>
      <c r="AO70" s="198" t="inlineStr">
        <is>
          <t>បានប្រកាសនិងបង់ពន្ធ</t>
        </is>
      </c>
    </row>
    <row r="71">
      <c r="A71" s="212">
        <f>A70+1</f>
        <v/>
      </c>
      <c r="B71" s="214" t="inlineStr">
        <is>
          <t>Trucking Fee-Im</t>
        </is>
      </c>
      <c r="C71" s="214" t="inlineStr">
        <is>
          <t>BRILLIANT TRANSPORT AND TRADING Co., Ltd.</t>
        </is>
      </c>
      <c r="D71" s="215" t="inlineStr">
        <is>
          <t>K002-100089305</t>
        </is>
      </c>
      <c r="E71" s="290" t="inlineStr">
        <is>
          <t>BTT24-0002648</t>
        </is>
      </c>
      <c r="F71" s="279" t="n">
        <v>45656</v>
      </c>
      <c r="G71" s="216" t="n"/>
      <c r="H71" s="564" t="n"/>
      <c r="I71" s="564" t="n">
        <v>2156864</v>
      </c>
      <c r="J71" s="213" t="inlineStr">
        <is>
          <t>អនុញ្ញាត (បានប្រកាស)</t>
        </is>
      </c>
      <c r="K71" s="213" t="n"/>
      <c r="L71" s="563">
        <f>I71</f>
        <v/>
      </c>
      <c r="M71" s="536">
        <f>I71-L71</f>
        <v/>
      </c>
      <c r="N71" s="213" t="n"/>
      <c r="O71" s="218">
        <f>U71=E71</f>
        <v/>
      </c>
      <c r="P71" s="218">
        <f>MONTH(F71)-MONTH(T71)</f>
        <v/>
      </c>
      <c r="Q71" s="218">
        <f>$B$5=X71</f>
        <v/>
      </c>
      <c r="R71" s="218">
        <f>I71-AD71</f>
        <v/>
      </c>
      <c r="S71" s="298" t="n"/>
      <c r="T71" s="299" t="n">
        <v>45656</v>
      </c>
      <c r="U71" s="298" t="inlineStr">
        <is>
          <t>BTT24-0002648</t>
        </is>
      </c>
      <c r="V71" s="298" t="n">
        <v>0</v>
      </c>
      <c r="W71" s="298" t="inlineStr">
        <is>
          <t>បុគ្គលជាប់អាករ</t>
        </is>
      </c>
      <c r="X71" s="298" t="inlineStr">
        <is>
          <t>L001-901640009</t>
        </is>
      </c>
      <c r="Y71" s="298" t="inlineStr">
        <is>
          <t>ហូលីដេ ឌីហ្សាញ (ខេមបូឌា) ឯ.ក</t>
        </is>
      </c>
      <c r="Z71" s="300" t="n">
        <v>23725504</v>
      </c>
      <c r="AA71" s="300" t="n">
        <v>21568640</v>
      </c>
      <c r="AB71" s="298" t="n">
        <v>0</v>
      </c>
      <c r="AC71" s="298" t="inlineStr">
        <is>
          <t>-</t>
        </is>
      </c>
      <c r="AD71" s="300" t="n">
        <v>2156864</v>
      </c>
      <c r="AE71" s="298" t="n">
        <v>0</v>
      </c>
      <c r="AF71" s="562" t="n">
        <v>0</v>
      </c>
      <c r="AG71" s="198" t="n">
        <v>0</v>
      </c>
      <c r="AH71" s="198" t="n">
        <v>0</v>
      </c>
      <c r="AI71" s="198" t="n">
        <v>0</v>
      </c>
      <c r="AJ71" s="198" t="n">
        <v>0</v>
      </c>
      <c r="AK71" s="198" t="n">
        <v>0</v>
      </c>
      <c r="AL71" s="198" t="n">
        <v>0.01</v>
      </c>
      <c r="AM71" s="198" t="n">
        <v>0</v>
      </c>
      <c r="AN71" s="198" t="inlineStr">
        <is>
          <t>Truking / Service</t>
        </is>
      </c>
    </row>
    <row r="72">
      <c r="A72" s="212">
        <f>A71+1</f>
        <v/>
      </c>
      <c r="B72" s="214" t="inlineStr">
        <is>
          <t>Lift-On&amp;Lift-Off-Im</t>
        </is>
      </c>
      <c r="C72" s="214" t="inlineStr">
        <is>
          <t>Port Autonome Du Sihanoukville</t>
        </is>
      </c>
      <c r="D72" s="215" t="inlineStr">
        <is>
          <t>L001-100044638</t>
        </is>
      </c>
      <c r="E72" s="290" t="n">
        <v>275949</v>
      </c>
      <c r="F72" s="279" t="n">
        <v>45657</v>
      </c>
      <c r="G72" s="216" t="n"/>
      <c r="H72" s="564" t="n"/>
      <c r="I72" s="564" t="n">
        <v>350175</v>
      </c>
      <c r="J72" s="213" t="inlineStr">
        <is>
          <t>អនុញ្ញាត (បានប្រកាស)</t>
        </is>
      </c>
      <c r="K72" s="213" t="n"/>
      <c r="L72" s="563">
        <f>I72</f>
        <v/>
      </c>
      <c r="M72" s="536">
        <f>I72-L72</f>
        <v/>
      </c>
      <c r="N72" s="213" t="n"/>
      <c r="O72" s="218">
        <f>U72=E72</f>
        <v/>
      </c>
      <c r="P72" s="218">
        <f>MONTH(F72)-MONTH(T72)</f>
        <v/>
      </c>
      <c r="Q72" s="218">
        <f>$B$5=X72</f>
        <v/>
      </c>
      <c r="R72" s="218">
        <f>I72-AD72</f>
        <v/>
      </c>
      <c r="S72" s="298" t="n"/>
      <c r="T72" s="299" t="n">
        <v>45657</v>
      </c>
      <c r="U72" s="298" t="n">
        <v>275949</v>
      </c>
      <c r="V72" s="298" t="n">
        <v>0</v>
      </c>
      <c r="W72" s="298" t="inlineStr">
        <is>
          <t>បុគ្គលជាប់អាករ</t>
        </is>
      </c>
      <c r="X72" s="298" t="inlineStr">
        <is>
          <t>L001-901640009</t>
        </is>
      </c>
      <c r="Y72" s="298" t="inlineStr">
        <is>
          <t>ហូលីដេ ឌីហ្សាញ (ខេមបូឌា) ឯ.ក</t>
        </is>
      </c>
      <c r="Z72" s="300" t="n">
        <v>3851925</v>
      </c>
      <c r="AA72" s="300" t="n">
        <v>3501750</v>
      </c>
      <c r="AB72" s="298" t="n">
        <v>0</v>
      </c>
      <c r="AC72" s="298" t="inlineStr">
        <is>
          <t>-</t>
        </is>
      </c>
      <c r="AD72" s="300" t="n">
        <v>350175</v>
      </c>
      <c r="AE72" s="298" t="n"/>
      <c r="AF72" s="562" t="n"/>
    </row>
    <row r="73">
      <c r="A73" s="212">
        <f>A72+1</f>
        <v/>
      </c>
      <c r="B73" s="214" t="inlineStr">
        <is>
          <t>Trucking Fee-Im</t>
        </is>
      </c>
      <c r="C73" s="214" t="inlineStr">
        <is>
          <t>BRILLIANT TRANSPORT AND TRADING Co., Ltd.</t>
        </is>
      </c>
      <c r="D73" s="215" t="inlineStr">
        <is>
          <t>K002-100089305</t>
        </is>
      </c>
      <c r="E73" s="290" t="inlineStr">
        <is>
          <t>BTT24-0002647</t>
        </is>
      </c>
      <c r="F73" s="279" t="n">
        <v>45656</v>
      </c>
      <c r="G73" s="216" t="n"/>
      <c r="H73" s="564" t="n"/>
      <c r="I73" s="564" t="n">
        <v>2358064</v>
      </c>
      <c r="J73" s="213" t="inlineStr">
        <is>
          <t>អនុញ្ញាត (បានប្រកាស)</t>
        </is>
      </c>
      <c r="K73" s="213" t="n"/>
      <c r="L73" s="563">
        <f>I73</f>
        <v/>
      </c>
      <c r="M73" s="536">
        <f>I73-L73</f>
        <v/>
      </c>
      <c r="N73" s="213" t="n"/>
      <c r="O73" s="218">
        <f>U73=E73</f>
        <v/>
      </c>
      <c r="P73" s="218">
        <f>MONTH(F73)-MONTH(T73)</f>
        <v/>
      </c>
      <c r="Q73" s="218">
        <f>$B$5=X73</f>
        <v/>
      </c>
      <c r="R73" s="218">
        <f>I73-AD73</f>
        <v/>
      </c>
      <c r="S73" s="298" t="n"/>
      <c r="T73" s="299" t="n">
        <v>45656</v>
      </c>
      <c r="U73" s="298" t="inlineStr">
        <is>
          <t>BTT24-0002647</t>
        </is>
      </c>
      <c r="V73" s="298" t="n">
        <v>0</v>
      </c>
      <c r="W73" s="298" t="inlineStr">
        <is>
          <t>បុគ្គលជាប់អាករ</t>
        </is>
      </c>
      <c r="X73" s="298" t="inlineStr">
        <is>
          <t>L001-901640009</t>
        </is>
      </c>
      <c r="Y73" s="298" t="inlineStr">
        <is>
          <t>ហូលីដេ ឌីហ្សាញ (ខេមបូឌា) ឯ.ក</t>
        </is>
      </c>
      <c r="Z73" s="300" t="n">
        <v>25938704</v>
      </c>
      <c r="AA73" s="300" t="n">
        <v>23580640</v>
      </c>
      <c r="AB73" s="298" t="n">
        <v>0</v>
      </c>
      <c r="AC73" s="298" t="inlineStr">
        <is>
          <t>-</t>
        </is>
      </c>
      <c r="AD73" s="300" t="n">
        <v>2358064</v>
      </c>
      <c r="AE73" s="298" t="n">
        <v>0</v>
      </c>
      <c r="AF73" s="562" t="n">
        <v>0</v>
      </c>
      <c r="AG73" s="198" t="n">
        <v>0</v>
      </c>
      <c r="AH73" s="198" t="n">
        <v>0</v>
      </c>
      <c r="AI73" s="198" t="n">
        <v>0</v>
      </c>
      <c r="AJ73" s="198" t="n">
        <v>0</v>
      </c>
      <c r="AK73" s="198" t="n">
        <v>0</v>
      </c>
      <c r="AL73" s="198" t="n">
        <v>0.01</v>
      </c>
      <c r="AM73" s="198" t="n">
        <v>0</v>
      </c>
      <c r="AN73" s="198" t="inlineStr">
        <is>
          <t>Truking / Service</t>
        </is>
      </c>
    </row>
    <row r="74">
      <c r="A74" s="212">
        <f>A73+1</f>
        <v/>
      </c>
      <c r="B74" s="214" t="inlineStr">
        <is>
          <t>Bopp Packing Tape</t>
        </is>
      </c>
      <c r="C74" s="214" t="inlineStr">
        <is>
          <t>XINYUANXIN PAPER</t>
        </is>
      </c>
      <c r="D74" s="215" t="inlineStr">
        <is>
          <t>K006-902300227</t>
        </is>
      </c>
      <c r="E74" s="290" t="inlineStr">
        <is>
          <t>XYX250091</t>
        </is>
      </c>
      <c r="F74" s="279" t="n">
        <v>45715</v>
      </c>
      <c r="G74" s="216" t="n"/>
      <c r="H74" s="564" t="n"/>
      <c r="I74" s="564" t="n">
        <v>4090200</v>
      </c>
      <c r="J74" s="213" t="inlineStr">
        <is>
          <t>អនុញ្ញាត (បានប្រកាស)</t>
        </is>
      </c>
      <c r="K74" s="213" t="n"/>
      <c r="L74" s="563">
        <f>I74</f>
        <v/>
      </c>
      <c r="M74" s="536">
        <f>I74-L74</f>
        <v/>
      </c>
      <c r="N74" s="213" t="n"/>
      <c r="O74" s="218">
        <f>U74=E74</f>
        <v/>
      </c>
      <c r="P74" s="218">
        <f>MONTH(F74)-MONTH(T74)</f>
        <v/>
      </c>
      <c r="Q74" s="218">
        <f>$B$5=X74</f>
        <v/>
      </c>
      <c r="R74" s="218">
        <f>I74-AD74</f>
        <v/>
      </c>
      <c r="S74" s="298" t="n"/>
      <c r="T74" s="299" t="n">
        <v>45715</v>
      </c>
      <c r="U74" s="298" t="inlineStr">
        <is>
          <t>XYX250091</t>
        </is>
      </c>
      <c r="V74" s="298" t="n">
        <v>0</v>
      </c>
      <c r="W74" s="298" t="inlineStr">
        <is>
          <t>បុគ្គលជាប់អាករ</t>
        </is>
      </c>
      <c r="X74" s="298" t="inlineStr">
        <is>
          <t>L001-901640009</t>
        </is>
      </c>
      <c r="Y74" s="298" t="inlineStr">
        <is>
          <t>ហូលីដេ ឌីហ្សាញ (ខេមបូឌា) ឯ.ក</t>
        </is>
      </c>
      <c r="Z74" s="300" t="n">
        <v>44992200</v>
      </c>
      <c r="AA74" s="300" t="n">
        <v>40902000</v>
      </c>
      <c r="AB74" s="298" t="n">
        <v>0</v>
      </c>
      <c r="AC74" s="298" t="inlineStr">
        <is>
          <t>-</t>
        </is>
      </c>
      <c r="AD74" s="300" t="n">
        <v>4090200</v>
      </c>
      <c r="AE74" s="298" t="n">
        <v>0</v>
      </c>
      <c r="AF74" s="562" t="n">
        <v>0</v>
      </c>
      <c r="AG74" s="198" t="n">
        <v>0</v>
      </c>
      <c r="AH74" s="198" t="n">
        <v>0</v>
      </c>
      <c r="AI74" s="198" t="n">
        <v>0</v>
      </c>
      <c r="AJ74" s="198" t="n">
        <v>0</v>
      </c>
      <c r="AK74" s="198" t="n">
        <v>0</v>
      </c>
      <c r="AL74" s="198" t="n">
        <v>0.01</v>
      </c>
      <c r="AM74" s="198" t="n">
        <v>0</v>
      </c>
      <c r="AN74" s="198" t="inlineStr">
        <is>
          <t>Bopp Packing Tape</t>
        </is>
      </c>
      <c r="AO74" s="198" t="inlineStr">
        <is>
          <t>បានប្រកាសនិងបង់ពន្ធ</t>
        </is>
      </c>
    </row>
    <row r="75">
      <c r="A75" s="212">
        <f>A74+1</f>
        <v/>
      </c>
      <c r="B75" s="214" t="inlineStr">
        <is>
          <t>Trucking Fee-Im</t>
        </is>
      </c>
      <c r="C75" s="214" t="inlineStr">
        <is>
          <t>BRILLIANT TRANSPORT AND TRADING Co., Ltd.</t>
        </is>
      </c>
      <c r="D75" s="215" t="inlineStr">
        <is>
          <t>K002-100089305</t>
        </is>
      </c>
      <c r="E75" s="290" t="inlineStr">
        <is>
          <t>BTT24-0002634</t>
        </is>
      </c>
      <c r="F75" s="279" t="n">
        <v>45651</v>
      </c>
      <c r="G75" s="216" t="n"/>
      <c r="H75" s="564" t="n"/>
      <c r="I75" s="564" t="n">
        <v>892218</v>
      </c>
      <c r="J75" s="213" t="inlineStr">
        <is>
          <t>អនុញ្ញាត (បានប្រកាស)</t>
        </is>
      </c>
      <c r="K75" s="213" t="n"/>
      <c r="L75" s="563">
        <f>I75</f>
        <v/>
      </c>
      <c r="M75" s="536">
        <f>I75-L75</f>
        <v/>
      </c>
      <c r="N75" s="213" t="n"/>
      <c r="O75" s="218">
        <f>U75=E75</f>
        <v/>
      </c>
      <c r="P75" s="218">
        <f>MONTH(F75)-MONTH(T75)</f>
        <v/>
      </c>
      <c r="Q75" s="218">
        <f>$B$5=X75</f>
        <v/>
      </c>
      <c r="R75" s="218">
        <f>I75-AD75</f>
        <v/>
      </c>
      <c r="S75" s="298" t="n"/>
      <c r="T75" s="299" t="n">
        <v>45651</v>
      </c>
      <c r="U75" s="298" t="inlineStr">
        <is>
          <t>BTT24-0002634</t>
        </is>
      </c>
      <c r="V75" s="298" t="n">
        <v>0</v>
      </c>
      <c r="W75" s="298" t="inlineStr">
        <is>
          <t>បុគ្គលជាប់អាករ</t>
        </is>
      </c>
      <c r="X75" s="298" t="inlineStr">
        <is>
          <t>L001-901640009</t>
        </is>
      </c>
      <c r="Y75" s="298" t="inlineStr">
        <is>
          <t>ហូលីដេ ឌីហ្សាញ (ខេមបូឌា) ឯ.ក</t>
        </is>
      </c>
      <c r="Z75" s="300" t="n">
        <v>9814398</v>
      </c>
      <c r="AA75" s="300" t="n">
        <v>8922180</v>
      </c>
      <c r="AB75" s="298" t="n">
        <v>0</v>
      </c>
      <c r="AC75" s="298" t="inlineStr">
        <is>
          <t>-</t>
        </is>
      </c>
      <c r="AD75" s="300" t="n">
        <v>892218</v>
      </c>
      <c r="AE75" s="298" t="n">
        <v>0</v>
      </c>
      <c r="AF75" s="562" t="n">
        <v>0</v>
      </c>
      <c r="AG75" s="198" t="n">
        <v>0</v>
      </c>
      <c r="AH75" s="198" t="n">
        <v>0</v>
      </c>
      <c r="AI75" s="198" t="n">
        <v>0</v>
      </c>
      <c r="AJ75" s="198" t="n">
        <v>0</v>
      </c>
      <c r="AK75" s="198" t="n">
        <v>0</v>
      </c>
      <c r="AL75" s="198" t="n">
        <v>0.01</v>
      </c>
      <c r="AM75" s="198" t="n">
        <v>0</v>
      </c>
      <c r="AN75" s="198" t="inlineStr">
        <is>
          <t>Truking / Service</t>
        </is>
      </c>
    </row>
    <row r="76">
      <c r="A76" s="212">
        <f>A75+1</f>
        <v/>
      </c>
      <c r="B76" s="214" t="inlineStr">
        <is>
          <t>Lift-On&amp;Lift-Off-Im</t>
        </is>
      </c>
      <c r="C76" s="214" t="inlineStr">
        <is>
          <t>Port Autonome Du Sihanoukville</t>
        </is>
      </c>
      <c r="D76" s="215" t="inlineStr">
        <is>
          <t>L001-100044638</t>
        </is>
      </c>
      <c r="E76" s="290" t="n">
        <v>269508</v>
      </c>
      <c r="F76" s="279" t="n">
        <v>45650</v>
      </c>
      <c r="G76" s="216" t="n"/>
      <c r="H76" s="564" t="n"/>
      <c r="I76" s="564" t="n">
        <v>349653</v>
      </c>
      <c r="J76" s="213" t="inlineStr">
        <is>
          <t>អនុញ្ញាត (បានប្រកាស)</t>
        </is>
      </c>
      <c r="K76" s="213" t="n"/>
      <c r="L76" s="563">
        <f>I76</f>
        <v/>
      </c>
      <c r="M76" s="536">
        <f>I76-L76</f>
        <v/>
      </c>
      <c r="N76" s="213" t="n"/>
      <c r="O76" s="218">
        <f>U76=E76</f>
        <v/>
      </c>
      <c r="P76" s="218">
        <f>MONTH(F76)-MONTH(T76)</f>
        <v/>
      </c>
      <c r="Q76" s="218">
        <f>$B$5=X76</f>
        <v/>
      </c>
      <c r="R76" s="218">
        <f>I76-AD76</f>
        <v/>
      </c>
      <c r="S76" s="298" t="n"/>
      <c r="T76" s="299" t="n">
        <v>45650</v>
      </c>
      <c r="U76" s="298" t="n">
        <v>269508</v>
      </c>
      <c r="V76" s="298" t="n">
        <v>0</v>
      </c>
      <c r="W76" s="298" t="inlineStr">
        <is>
          <t>បុគ្គលជាប់អាករ</t>
        </is>
      </c>
      <c r="X76" s="298" t="inlineStr">
        <is>
          <t>L001-901640009</t>
        </is>
      </c>
      <c r="Y76" s="298" t="inlineStr">
        <is>
          <t>ហូលីដេ ឌីហ្សាញ (ខេមបូឌា) ឯ.ក</t>
        </is>
      </c>
      <c r="Z76" s="300" t="n">
        <v>3846183</v>
      </c>
      <c r="AA76" s="300" t="n">
        <v>3496530</v>
      </c>
      <c r="AB76" s="298" t="n">
        <v>0</v>
      </c>
      <c r="AC76" s="298" t="inlineStr">
        <is>
          <t>-</t>
        </is>
      </c>
      <c r="AD76" s="300" t="n">
        <v>349653</v>
      </c>
      <c r="AE76" s="298" t="n"/>
      <c r="AF76" s="562" t="n"/>
    </row>
    <row r="77">
      <c r="A77" s="212">
        <f>A76+1</f>
        <v/>
      </c>
      <c r="B77" s="214" t="inlineStr">
        <is>
          <t>Plastics Cable Ties</t>
        </is>
      </c>
      <c r="C77" s="214" t="inlineStr">
        <is>
          <t>XINYUANXIN PAPER</t>
        </is>
      </c>
      <c r="D77" s="215" t="inlineStr">
        <is>
          <t>K006-902300227</t>
        </is>
      </c>
      <c r="E77" s="290" t="inlineStr">
        <is>
          <t>XYX250112</t>
        </is>
      </c>
      <c r="F77" s="279" t="n">
        <v>45742</v>
      </c>
      <c r="G77" s="216" t="n"/>
      <c r="H77" s="564" t="n"/>
      <c r="I77" s="564" t="n">
        <v>96072</v>
      </c>
      <c r="J77" s="213" t="inlineStr">
        <is>
          <t>អនុញ្ញាត (បានប្រកាស)</t>
        </is>
      </c>
      <c r="K77" s="213" t="n"/>
      <c r="L77" s="563">
        <f>I77</f>
        <v/>
      </c>
      <c r="M77" s="536">
        <f>I77-L77</f>
        <v/>
      </c>
      <c r="N77" s="213" t="n"/>
      <c r="O77" s="218">
        <f>U77=E77</f>
        <v/>
      </c>
      <c r="P77" s="218">
        <f>MONTH(F77)-MONTH(T77)</f>
        <v/>
      </c>
      <c r="Q77" s="218">
        <f>$B$5=X77</f>
        <v/>
      </c>
      <c r="R77" s="218">
        <f>I77-AD77</f>
        <v/>
      </c>
      <c r="S77" s="298" t="n"/>
      <c r="T77" s="299" t="n">
        <v>45742</v>
      </c>
      <c r="U77" s="298" t="inlineStr">
        <is>
          <t>XYX250112</t>
        </is>
      </c>
      <c r="V77" s="298" t="n">
        <v>0</v>
      </c>
      <c r="W77" s="298" t="inlineStr">
        <is>
          <t>បុគ្គលជាប់អាករ</t>
        </is>
      </c>
      <c r="X77" s="298" t="inlineStr">
        <is>
          <t>L001-901640009</t>
        </is>
      </c>
      <c r="Y77" s="298" t="inlineStr">
        <is>
          <t>ហូលីដេ ឌីហ្សាញ (ខេមបូឌា) ឯ.ក</t>
        </is>
      </c>
      <c r="Z77" s="300" t="n">
        <v>1056792</v>
      </c>
      <c r="AA77" s="300" t="n">
        <v>960720</v>
      </c>
      <c r="AB77" s="298" t="n">
        <v>0</v>
      </c>
      <c r="AC77" s="298" t="inlineStr">
        <is>
          <t>-</t>
        </is>
      </c>
      <c r="AD77" s="300" t="n">
        <v>96072</v>
      </c>
      <c r="AE77" s="298" t="n">
        <v>0</v>
      </c>
      <c r="AF77" s="562" t="n">
        <v>0</v>
      </c>
      <c r="AG77" s="198" t="n">
        <v>0</v>
      </c>
      <c r="AH77" s="198" t="n">
        <v>0</v>
      </c>
      <c r="AI77" s="198" t="n">
        <v>0</v>
      </c>
      <c r="AJ77" s="198" t="n">
        <v>0</v>
      </c>
      <c r="AK77" s="198" t="n">
        <v>0</v>
      </c>
      <c r="AL77" s="198" t="n">
        <v>0.01</v>
      </c>
      <c r="AM77" s="198" t="n">
        <v>0</v>
      </c>
      <c r="AN77" s="198" t="inlineStr">
        <is>
          <t>Plastic Cable Ties</t>
        </is>
      </c>
      <c r="AO77" s="198" t="inlineStr">
        <is>
          <t>បានប្រកាសនិងបង់ពន្ធ</t>
        </is>
      </c>
    </row>
    <row r="78">
      <c r="A78" s="212">
        <f>A77+1</f>
        <v/>
      </c>
      <c r="B78" s="214" t="inlineStr">
        <is>
          <t>Trucking Fee-Im</t>
        </is>
      </c>
      <c r="C78" s="214" t="inlineStr">
        <is>
          <t>BRILLIANT TRANSPORT AND TRADING Co., Ltd.</t>
        </is>
      </c>
      <c r="D78" s="215" t="inlineStr">
        <is>
          <t>K002-100089305</t>
        </is>
      </c>
      <c r="E78" s="290" t="inlineStr">
        <is>
          <t>BTT24-0002636</t>
        </is>
      </c>
      <c r="F78" s="279" t="n">
        <v>45649</v>
      </c>
      <c r="G78" s="216" t="n"/>
      <c r="H78" s="564" t="n"/>
      <c r="I78" s="564" t="n">
        <v>2355720</v>
      </c>
      <c r="J78" s="213" t="inlineStr">
        <is>
          <t>អនុញ្ញាត (បានប្រកាស)</t>
        </is>
      </c>
      <c r="K78" s="213" t="n"/>
      <c r="L78" s="563">
        <f>I78</f>
        <v/>
      </c>
      <c r="M78" s="536">
        <f>I78-L78</f>
        <v/>
      </c>
      <c r="N78" s="213" t="n"/>
      <c r="O78" s="218">
        <f>U78=E78</f>
        <v/>
      </c>
      <c r="P78" s="218">
        <f>MONTH(F78)-MONTH(T78)</f>
        <v/>
      </c>
      <c r="Q78" s="218">
        <f>$B$5=X78</f>
        <v/>
      </c>
      <c r="R78" s="218">
        <f>I78-AD78</f>
        <v/>
      </c>
      <c r="S78" s="298" t="n"/>
      <c r="T78" s="299" t="n">
        <v>45649</v>
      </c>
      <c r="U78" s="298" t="inlineStr">
        <is>
          <t>BTT24-0002636</t>
        </is>
      </c>
      <c r="V78" s="298" t="n">
        <v>0</v>
      </c>
      <c r="W78" s="298" t="inlineStr">
        <is>
          <t>បុគ្គលជាប់អាករ</t>
        </is>
      </c>
      <c r="X78" s="298" t="inlineStr">
        <is>
          <t>L001-901640009</t>
        </is>
      </c>
      <c r="Y78" s="298" t="inlineStr">
        <is>
          <t>ហូលីដេ ឌីហ្សាញ (ខេមបូឌា) ឯ.ក</t>
        </is>
      </c>
      <c r="Z78" s="300" t="n">
        <v>25912920</v>
      </c>
      <c r="AA78" s="300" t="n">
        <v>23557200</v>
      </c>
      <c r="AB78" s="298" t="n">
        <v>0</v>
      </c>
      <c r="AC78" s="298" t="inlineStr">
        <is>
          <t>-</t>
        </is>
      </c>
      <c r="AD78" s="300" t="n">
        <v>2355720</v>
      </c>
      <c r="AE78" s="298" t="n">
        <v>0</v>
      </c>
      <c r="AF78" s="562" t="n">
        <v>0</v>
      </c>
      <c r="AG78" s="198" t="n">
        <v>0</v>
      </c>
      <c r="AH78" s="198" t="n">
        <v>0</v>
      </c>
      <c r="AI78" s="198" t="n">
        <v>0</v>
      </c>
      <c r="AJ78" s="198" t="n">
        <v>0</v>
      </c>
      <c r="AK78" s="198" t="n">
        <v>0</v>
      </c>
      <c r="AL78" s="198" t="n">
        <v>0.01</v>
      </c>
      <c r="AM78" s="198" t="n">
        <v>0</v>
      </c>
      <c r="AN78" s="198" t="inlineStr">
        <is>
          <t>Truking / Service</t>
        </is>
      </c>
    </row>
    <row r="79">
      <c r="A79" s="212">
        <f>A78+1</f>
        <v/>
      </c>
      <c r="B79" s="214" t="inlineStr">
        <is>
          <t>Lift-On&amp;Lift-Off-Im</t>
        </is>
      </c>
      <c r="C79" s="214" t="inlineStr">
        <is>
          <t>Port Autonome Du Sihanoukville</t>
        </is>
      </c>
      <c r="D79" s="215" t="inlineStr">
        <is>
          <t>L001-100044638</t>
        </is>
      </c>
      <c r="E79" s="290" t="n">
        <v>266930</v>
      </c>
      <c r="F79" s="279" t="n">
        <v>45647</v>
      </c>
      <c r="G79" s="216" t="n"/>
      <c r="H79" s="564" t="n"/>
      <c r="I79" s="564" t="n">
        <v>68725</v>
      </c>
      <c r="J79" s="213" t="inlineStr">
        <is>
          <t>អនុញ្ញាត (បានប្រកាស)</t>
        </is>
      </c>
      <c r="K79" s="213" t="n"/>
      <c r="L79" s="563">
        <f>I79</f>
        <v/>
      </c>
      <c r="M79" s="536">
        <f>I79-L79</f>
        <v/>
      </c>
      <c r="N79" s="213" t="n"/>
      <c r="O79" s="218">
        <f>U79=E79</f>
        <v/>
      </c>
      <c r="P79" s="218">
        <f>MONTH(F79)-MONTH(T79)</f>
        <v/>
      </c>
      <c r="Q79" s="218">
        <f>$B$5=X79</f>
        <v/>
      </c>
      <c r="R79" s="218">
        <f>I79-AD79</f>
        <v/>
      </c>
      <c r="S79" s="298" t="n"/>
      <c r="T79" s="299" t="n">
        <v>45646</v>
      </c>
      <c r="U79" s="298" t="n">
        <v>266930</v>
      </c>
      <c r="V79" s="298" t="n">
        <v>0</v>
      </c>
      <c r="W79" s="298" t="inlineStr">
        <is>
          <t>បុគ្គលជាប់អាករ</t>
        </is>
      </c>
      <c r="X79" s="298" t="inlineStr">
        <is>
          <t>L001-901640009</t>
        </is>
      </c>
      <c r="Y79" s="298" t="inlineStr">
        <is>
          <t>ហូលីដេ ឌីហ្សាញ (ខេមបូឌា) ឯ.ក</t>
        </is>
      </c>
      <c r="Z79" s="300" t="n">
        <v>755974</v>
      </c>
      <c r="AA79" s="300" t="n">
        <v>687249</v>
      </c>
      <c r="AB79" s="298" t="n">
        <v>0</v>
      </c>
      <c r="AC79" s="298" t="inlineStr">
        <is>
          <t>-</t>
        </is>
      </c>
      <c r="AD79" s="300" t="n">
        <v>68725</v>
      </c>
      <c r="AE79" s="298" t="n"/>
      <c r="AF79" s="562" t="n"/>
    </row>
    <row r="80">
      <c r="A80" s="212">
        <f>A79+1</f>
        <v/>
      </c>
      <c r="B80" s="214" t="inlineStr">
        <is>
          <t>Terminal Handling Service-Im</t>
        </is>
      </c>
      <c r="C80" s="214" t="inlineStr">
        <is>
          <t>SITC CONTAINER LINES (CAMBODIA) Co., Ltd.</t>
        </is>
      </c>
      <c r="D80" s="215" t="inlineStr">
        <is>
          <t>L001-107035863</t>
        </is>
      </c>
      <c r="E80" s="290" t="inlineStr">
        <is>
          <t>SITC2024-039422</t>
        </is>
      </c>
      <c r="F80" s="279" t="n">
        <v>45639</v>
      </c>
      <c r="G80" s="216" t="n"/>
      <c r="H80" s="564" t="n"/>
      <c r="I80" s="564" t="n">
        <v>386016</v>
      </c>
      <c r="J80" s="213" t="inlineStr">
        <is>
          <t>អនុញ្ញាត (បានប្រកាស)</t>
        </is>
      </c>
      <c r="K80" s="213" t="n"/>
      <c r="L80" s="563">
        <f>I80</f>
        <v/>
      </c>
      <c r="M80" s="536">
        <f>I80-L80</f>
        <v/>
      </c>
      <c r="N80" s="213" t="n"/>
      <c r="O80" s="218">
        <f>U80=E80</f>
        <v/>
      </c>
      <c r="P80" s="218">
        <f>MONTH(F80)-MONTH(T80)</f>
        <v/>
      </c>
      <c r="Q80" s="218">
        <f>$B$5=X80</f>
        <v/>
      </c>
      <c r="R80" s="218">
        <f>I80-AD80</f>
        <v/>
      </c>
      <c r="S80" s="298" t="n"/>
      <c r="T80" s="299" t="n">
        <v>45639</v>
      </c>
      <c r="U80" s="298" t="inlineStr">
        <is>
          <t>SITC2024-039422</t>
        </is>
      </c>
      <c r="V80" s="298" t="n">
        <v>0</v>
      </c>
      <c r="W80" s="298" t="inlineStr">
        <is>
          <t>បុគ្គលជាប់អាករ</t>
        </is>
      </c>
      <c r="X80" s="298" t="inlineStr">
        <is>
          <t>L001-901640009</t>
        </is>
      </c>
      <c r="Y80" s="298" t="inlineStr">
        <is>
          <t>ហូលីដេ ឌីហ្សាញ (ខេមបូឌា) ឯ.ក</t>
        </is>
      </c>
      <c r="Z80" s="300" t="n">
        <v>4246176</v>
      </c>
      <c r="AA80" s="300" t="n">
        <v>3860160</v>
      </c>
      <c r="AB80" s="298" t="n">
        <v>0</v>
      </c>
      <c r="AC80" s="298" t="inlineStr">
        <is>
          <t>-</t>
        </is>
      </c>
      <c r="AD80" s="300" t="n">
        <v>386016</v>
      </c>
      <c r="AE80" s="298" t="n">
        <v>0</v>
      </c>
      <c r="AF80" s="562" t="n">
        <v>0</v>
      </c>
      <c r="AG80" s="198" t="n">
        <v>0</v>
      </c>
      <c r="AH80" s="198" t="n">
        <v>0</v>
      </c>
      <c r="AI80" s="198" t="n">
        <v>0</v>
      </c>
      <c r="AJ80" s="198" t="n">
        <v>0</v>
      </c>
      <c r="AK80" s="198" t="n">
        <v>0</v>
      </c>
      <c r="AL80" s="198" t="n">
        <v>0.01</v>
      </c>
      <c r="AM80" s="198" t="n">
        <v>0</v>
      </c>
      <c r="AN80" s="198" t="inlineStr">
        <is>
          <t>EMF,EIB,KHDOC,KHTHC,KHCIC</t>
        </is>
      </c>
    </row>
    <row r="81">
      <c r="A81" s="212">
        <f>A80+1</f>
        <v/>
      </c>
      <c r="B81" s="214" t="inlineStr">
        <is>
          <t>Trucking Fee-Im</t>
        </is>
      </c>
      <c r="C81" s="214" t="inlineStr">
        <is>
          <t>BRILLIANT TRANSPORT AND TRADING Co., Ltd.</t>
        </is>
      </c>
      <c r="D81" s="215" t="inlineStr">
        <is>
          <t>K002-100089305</t>
        </is>
      </c>
      <c r="E81" s="290" t="inlineStr">
        <is>
          <t>BTT24-0002587</t>
        </is>
      </c>
      <c r="F81" s="279" t="n">
        <v>45646</v>
      </c>
      <c r="G81" s="216" t="n"/>
      <c r="H81" s="564" t="n"/>
      <c r="I81" s="564" t="n">
        <v>731056</v>
      </c>
      <c r="J81" s="213" t="inlineStr">
        <is>
          <t>អនុញ្ញាត (បានប្រកាស)</t>
        </is>
      </c>
      <c r="K81" s="213" t="n"/>
      <c r="L81" s="563">
        <f>I81</f>
        <v/>
      </c>
      <c r="M81" s="536">
        <f>I81-L81</f>
        <v/>
      </c>
      <c r="N81" s="213" t="n"/>
      <c r="O81" s="218">
        <f>U81=E81</f>
        <v/>
      </c>
      <c r="P81" s="218">
        <f>MONTH(F81)-MONTH(T81)</f>
        <v/>
      </c>
      <c r="Q81" s="218">
        <f>$B$5=X81</f>
        <v/>
      </c>
      <c r="R81" s="218">
        <f>I81-AD81</f>
        <v/>
      </c>
      <c r="S81" s="298" t="n"/>
      <c r="T81" s="299" t="n">
        <v>45646</v>
      </c>
      <c r="U81" s="298" t="inlineStr">
        <is>
          <t>BTT24-0002587</t>
        </is>
      </c>
      <c r="V81" s="298" t="n">
        <v>0</v>
      </c>
      <c r="W81" s="298" t="inlineStr">
        <is>
          <t>បុគ្គលជាប់អាករ</t>
        </is>
      </c>
      <c r="X81" s="298" t="inlineStr">
        <is>
          <t>L001-901640009</t>
        </is>
      </c>
      <c r="Y81" s="298" t="inlineStr">
        <is>
          <t>ហូលីដេ ឌីហ្សាញ (ខេមបូឌា) ឯ.ក</t>
        </is>
      </c>
      <c r="Z81" s="300" t="n">
        <v>8041617</v>
      </c>
      <c r="AA81" s="300" t="n">
        <v>7310561</v>
      </c>
      <c r="AB81" s="298" t="n">
        <v>0</v>
      </c>
      <c r="AC81" s="298" t="inlineStr">
        <is>
          <t>-</t>
        </is>
      </c>
      <c r="AD81" s="300" t="n">
        <v>731056</v>
      </c>
      <c r="AE81" s="298" t="n">
        <v>0</v>
      </c>
      <c r="AF81" s="562" t="n">
        <v>0</v>
      </c>
      <c r="AG81" s="198" t="n">
        <v>0</v>
      </c>
      <c r="AH81" s="198" t="n">
        <v>0</v>
      </c>
      <c r="AI81" s="198" t="n">
        <v>0</v>
      </c>
      <c r="AJ81" s="198" t="n">
        <v>0</v>
      </c>
      <c r="AK81" s="198" t="n">
        <v>0</v>
      </c>
      <c r="AL81" s="198" t="n">
        <v>0.01</v>
      </c>
      <c r="AM81" s="198" t="n">
        <v>0</v>
      </c>
      <c r="AN81" s="198" t="inlineStr">
        <is>
          <t>Truking / Service</t>
        </is>
      </c>
    </row>
    <row r="82">
      <c r="A82" s="212">
        <f>A81+1</f>
        <v/>
      </c>
      <c r="B82" s="214" t="inlineStr">
        <is>
          <t>Lift-On&amp;Lift-Off-Im</t>
        </is>
      </c>
      <c r="C82" s="214" t="inlineStr">
        <is>
          <t>Port Autonome Du Sihanoukville</t>
        </is>
      </c>
      <c r="D82" s="215" t="inlineStr">
        <is>
          <t>L001-100044638</t>
        </is>
      </c>
      <c r="E82" s="290" t="n">
        <v>266917</v>
      </c>
      <c r="F82" s="279" t="n">
        <v>45646</v>
      </c>
      <c r="G82" s="216" t="n"/>
      <c r="H82" s="564" t="n"/>
      <c r="I82" s="564" t="n">
        <v>267665</v>
      </c>
      <c r="J82" s="213" t="inlineStr">
        <is>
          <t>អនុញ្ញាត (បានប្រកាស)</t>
        </is>
      </c>
      <c r="K82" s="213" t="n"/>
      <c r="L82" s="563">
        <f>I82</f>
        <v/>
      </c>
      <c r="M82" s="536">
        <f>I82-L82</f>
        <v/>
      </c>
      <c r="N82" s="213" t="n"/>
      <c r="O82" s="218">
        <f>U82=E82</f>
        <v/>
      </c>
      <c r="P82" s="218">
        <f>MONTH(F82)-MONTH(T82)</f>
        <v/>
      </c>
      <c r="Q82" s="218">
        <f>$B$5=X82</f>
        <v/>
      </c>
      <c r="R82" s="218">
        <f>I82-AD82</f>
        <v/>
      </c>
      <c r="S82" s="298" t="n"/>
      <c r="T82" s="299" t="n">
        <v>45646</v>
      </c>
      <c r="U82" s="298" t="n">
        <v>266917</v>
      </c>
      <c r="V82" s="298" t="n">
        <v>0</v>
      </c>
      <c r="W82" s="298" t="inlineStr">
        <is>
          <t>បុគ្គលជាប់អាករ</t>
        </is>
      </c>
      <c r="X82" s="298" t="inlineStr">
        <is>
          <t>L001-901640009</t>
        </is>
      </c>
      <c r="Y82" s="298" t="inlineStr">
        <is>
          <t>ហូលីដេ ឌីហ្សាញ (ខេមបូឌា) ឯ.ក</t>
        </is>
      </c>
      <c r="Z82" s="300" t="n">
        <v>2944319</v>
      </c>
      <c r="AA82" s="300" t="n">
        <v>2676654</v>
      </c>
      <c r="AB82" s="298" t="n">
        <v>0</v>
      </c>
      <c r="AC82" s="298" t="inlineStr">
        <is>
          <t>-</t>
        </is>
      </c>
      <c r="AD82" s="300" t="n">
        <v>267665</v>
      </c>
      <c r="AE82" s="298" t="n"/>
      <c r="AF82" s="562" t="n"/>
    </row>
    <row r="83">
      <c r="A83" s="212">
        <f>A82+1</f>
        <v/>
      </c>
      <c r="B83" s="214" t="inlineStr">
        <is>
          <t>Plastics Cable Ties, Bopp Packing Tape</t>
        </is>
      </c>
      <c r="C83" s="214" t="inlineStr">
        <is>
          <t>XINYUANXIN PAPER</t>
        </is>
      </c>
      <c r="D83" s="215" t="inlineStr">
        <is>
          <t>K006-902300227</t>
        </is>
      </c>
      <c r="E83" s="290" t="inlineStr">
        <is>
          <t>XYX250160</t>
        </is>
      </c>
      <c r="F83" s="279" t="n">
        <v>45774</v>
      </c>
      <c r="G83" s="216" t="n"/>
      <c r="H83" s="564" t="n"/>
      <c r="I83" s="564" t="n">
        <v>6997244</v>
      </c>
      <c r="J83" s="213" t="inlineStr">
        <is>
          <t>អនុញ្ញាត (បានប្រកាស)</t>
        </is>
      </c>
      <c r="K83" s="213" t="n"/>
      <c r="L83" s="563">
        <f>I83</f>
        <v/>
      </c>
      <c r="M83" s="536">
        <f>I83-L83</f>
        <v/>
      </c>
      <c r="N83" s="213" t="inlineStr">
        <is>
          <t>បានពិនិត្យវិក្កយបត្រ</t>
        </is>
      </c>
      <c r="O83" s="218">
        <f>U83=E83</f>
        <v/>
      </c>
      <c r="P83" s="218">
        <f>MONTH(F83)-MONTH(T83)</f>
        <v/>
      </c>
      <c r="Q83" s="218">
        <f>$B$5=X83</f>
        <v/>
      </c>
      <c r="R83" s="218">
        <f>I83-AD83</f>
        <v/>
      </c>
      <c r="S83" s="298" t="n"/>
      <c r="T83" s="299" t="n">
        <v>45774</v>
      </c>
      <c r="U83" s="298" t="inlineStr">
        <is>
          <t>XYX250160</t>
        </is>
      </c>
      <c r="V83" s="298" t="n">
        <v>0</v>
      </c>
      <c r="W83" s="298" t="inlineStr">
        <is>
          <t>បុគ្គលជាប់អាករ</t>
        </is>
      </c>
      <c r="X83" s="298" t="inlineStr">
        <is>
          <t>L001-901640009</t>
        </is>
      </c>
      <c r="Y83" s="298" t="inlineStr">
        <is>
          <t>ហូលីដេ ឌីហ្សាញ (ខេមបូឌា) ឯ.ក</t>
        </is>
      </c>
      <c r="Z83" s="300" t="n">
        <v>76969684</v>
      </c>
      <c r="AA83" s="300" t="n">
        <v>69972440</v>
      </c>
      <c r="AB83" s="298" t="n">
        <v>0</v>
      </c>
      <c r="AC83" s="298" t="inlineStr">
        <is>
          <t>-</t>
        </is>
      </c>
      <c r="AD83" s="300" t="n">
        <v>6997244</v>
      </c>
      <c r="AE83" s="298" t="n">
        <v>0</v>
      </c>
      <c r="AF83" s="562" t="n">
        <v>0</v>
      </c>
      <c r="AG83" s="198" t="n">
        <v>0</v>
      </c>
      <c r="AH83" s="198" t="n">
        <v>0</v>
      </c>
      <c r="AI83" s="198" t="n">
        <v>0</v>
      </c>
      <c r="AJ83" s="198" t="n">
        <v>0</v>
      </c>
      <c r="AK83" s="198" t="n">
        <v>0</v>
      </c>
      <c r="AL83" s="198" t="n">
        <v>0.01</v>
      </c>
      <c r="AM83" s="198" t="n">
        <v>0</v>
      </c>
      <c r="AN83" s="198" t="inlineStr">
        <is>
          <t>Plastic Cable Ties, Bopp Packing Tape...</t>
        </is>
      </c>
      <c r="AO83" s="198" t="inlineStr">
        <is>
          <t>បានប្រកាសនិងបង់ពន្ធ</t>
        </is>
      </c>
    </row>
    <row r="84">
      <c r="A84" s="212">
        <f>A83+1</f>
        <v/>
      </c>
      <c r="B84" s="214" t="inlineStr">
        <is>
          <t>Plastics Cable Ties, Bopp Packing Tape</t>
        </is>
      </c>
      <c r="C84" s="214" t="inlineStr">
        <is>
          <t>XINYUANXIN PAPER</t>
        </is>
      </c>
      <c r="D84" s="215" t="inlineStr">
        <is>
          <t>K006-902300227</t>
        </is>
      </c>
      <c r="E84" s="290" t="inlineStr">
        <is>
          <t>XYX250234</t>
        </is>
      </c>
      <c r="F84" s="279" t="n">
        <v>45804</v>
      </c>
      <c r="G84" s="216" t="n"/>
      <c r="H84" s="564" t="n"/>
      <c r="I84" s="564" t="n">
        <v>3194394</v>
      </c>
      <c r="J84" s="213" t="inlineStr">
        <is>
          <t>អនុញ្ញាត (បានប្រកាស)</t>
        </is>
      </c>
      <c r="K84" s="213" t="n"/>
      <c r="L84" s="563">
        <f>I84</f>
        <v/>
      </c>
      <c r="M84" s="536">
        <f>I84-L84</f>
        <v/>
      </c>
      <c r="N84" s="213" t="n"/>
      <c r="O84" s="218">
        <f>U84=E84</f>
        <v/>
      </c>
      <c r="P84" s="218">
        <f>MONTH(F84)-MONTH(T84)</f>
        <v/>
      </c>
      <c r="Q84" s="218">
        <f>$B$5=X84</f>
        <v/>
      </c>
      <c r="R84" s="218">
        <f>I84-AD84</f>
        <v/>
      </c>
      <c r="S84" s="298" t="n"/>
      <c r="T84" s="299" t="n">
        <v>45804</v>
      </c>
      <c r="U84" s="298" t="inlineStr">
        <is>
          <t>XYX250234</t>
        </is>
      </c>
      <c r="V84" s="298" t="n">
        <v>0</v>
      </c>
      <c r="W84" s="298" t="inlineStr">
        <is>
          <t>បុគ្គលជាប់អាករ</t>
        </is>
      </c>
      <c r="X84" s="298" t="inlineStr">
        <is>
          <t>L001-901640009</t>
        </is>
      </c>
      <c r="Y84" s="298" t="inlineStr">
        <is>
          <t>ហូលីដេ ឌីហ្សាញ (ខេមបូឌា) ឯ.ក</t>
        </is>
      </c>
      <c r="Z84" s="300" t="n">
        <v>35138334</v>
      </c>
      <c r="AA84" s="300" t="n">
        <v>31943940</v>
      </c>
      <c r="AB84" s="298" t="n">
        <v>0</v>
      </c>
      <c r="AC84" s="298" t="inlineStr">
        <is>
          <t>-</t>
        </is>
      </c>
      <c r="AD84" s="300" t="n">
        <v>3194394</v>
      </c>
      <c r="AE84" s="298" t="n">
        <v>0</v>
      </c>
      <c r="AF84" s="562" t="n">
        <v>0</v>
      </c>
      <c r="AG84" s="198" t="n">
        <v>0</v>
      </c>
      <c r="AH84" s="198" t="n">
        <v>0</v>
      </c>
      <c r="AI84" s="198" t="n">
        <v>0</v>
      </c>
      <c r="AJ84" s="198" t="n">
        <v>0</v>
      </c>
      <c r="AK84" s="198" t="n">
        <v>0</v>
      </c>
      <c r="AL84" s="198" t="n">
        <v>0.01</v>
      </c>
      <c r="AM84" s="198" t="n">
        <v>0</v>
      </c>
      <c r="AN84" s="198" t="inlineStr">
        <is>
          <t>Plastic Cable Ties, Bopp Packing Tape</t>
        </is>
      </c>
      <c r="AO84" s="198" t="inlineStr">
        <is>
          <t>បានប្រកាសនិងបង់ពន្ធ</t>
        </is>
      </c>
    </row>
    <row r="85">
      <c r="A85" s="212">
        <f>A84+1</f>
        <v/>
      </c>
      <c r="B85" s="214" t="inlineStr">
        <is>
          <t>Lift-On&amp;Lift-Off-Im</t>
        </is>
      </c>
      <c r="C85" s="214" t="inlineStr">
        <is>
          <t>Port Autonome Du Sihanoukville</t>
        </is>
      </c>
      <c r="D85" s="215" t="inlineStr">
        <is>
          <t>L001-100044638</t>
        </is>
      </c>
      <c r="E85" s="290" t="n">
        <v>253250</v>
      </c>
      <c r="F85" s="279" t="n">
        <v>45630</v>
      </c>
      <c r="G85" s="216" t="n"/>
      <c r="H85" s="564" t="n"/>
      <c r="I85" s="564" t="n">
        <v>35061</v>
      </c>
      <c r="J85" s="213" t="inlineStr">
        <is>
          <t>អនុញ្ញាត (បានប្រកាស)</t>
        </is>
      </c>
      <c r="K85" s="213" t="n"/>
      <c r="L85" s="563">
        <f>I85</f>
        <v/>
      </c>
      <c r="M85" s="536">
        <f>I85-L85</f>
        <v/>
      </c>
      <c r="N85" s="213" t="n"/>
      <c r="O85" s="218">
        <f>U85=E85</f>
        <v/>
      </c>
      <c r="P85" s="218">
        <f>MONTH(F85)-MONTH(T85)</f>
        <v/>
      </c>
      <c r="Q85" s="218">
        <f>$B$5=X85</f>
        <v/>
      </c>
      <c r="R85" s="218">
        <f>I85-AD85</f>
        <v/>
      </c>
      <c r="S85" s="298" t="n"/>
      <c r="T85" s="299" t="n">
        <v>45630</v>
      </c>
      <c r="U85" s="298" t="n">
        <v>253250</v>
      </c>
      <c r="V85" s="298" t="n">
        <v>0</v>
      </c>
      <c r="W85" s="298" t="inlineStr">
        <is>
          <t>បុគ្គលជាប់អាករ</t>
        </is>
      </c>
      <c r="X85" s="298" t="inlineStr">
        <is>
          <t>L001-901640009</t>
        </is>
      </c>
      <c r="Y85" s="298" t="inlineStr">
        <is>
          <t>ហូលីដេ ឌីហ្សាញ (ខេមបូឌា) ឯ.ក</t>
        </is>
      </c>
      <c r="Z85" s="300" t="n">
        <v>385671</v>
      </c>
      <c r="AA85" s="300" t="n">
        <v>350610</v>
      </c>
      <c r="AB85" s="298" t="n">
        <v>0</v>
      </c>
      <c r="AC85" s="298" t="inlineStr">
        <is>
          <t>-</t>
        </is>
      </c>
      <c r="AD85" s="300" t="n">
        <v>35061</v>
      </c>
      <c r="AE85" s="298" t="n"/>
      <c r="AF85" s="562" t="n"/>
    </row>
    <row r="86">
      <c r="A86" s="212">
        <f>A85+1</f>
        <v/>
      </c>
      <c r="B86" s="214" t="inlineStr">
        <is>
          <t>Trucking Fee-Im</t>
        </is>
      </c>
      <c r="C86" s="214" t="inlineStr">
        <is>
          <t>BRILLIANT TRANSPORT AND TRADING Co., Ltd.</t>
        </is>
      </c>
      <c r="D86" s="215" t="inlineStr">
        <is>
          <t>K002-100089305</t>
        </is>
      </c>
      <c r="E86" s="290" t="inlineStr">
        <is>
          <t>BTT24-0002469</t>
        </is>
      </c>
      <c r="F86" s="279" t="n">
        <v>45630</v>
      </c>
      <c r="G86" s="216" t="n"/>
      <c r="H86" s="564" t="n"/>
      <c r="I86" s="564" t="n">
        <v>257920</v>
      </c>
      <c r="J86" s="213" t="inlineStr">
        <is>
          <t>អនុញ្ញាត (បានប្រកាស)</t>
        </is>
      </c>
      <c r="K86" s="213" t="n"/>
      <c r="L86" s="563">
        <f>I86</f>
        <v/>
      </c>
      <c r="M86" s="536">
        <f>I86-L86</f>
        <v/>
      </c>
      <c r="N86" s="213" t="n"/>
      <c r="O86" s="218">
        <f>U86=E86</f>
        <v/>
      </c>
      <c r="P86" s="218">
        <f>MONTH(F86)-MONTH(T86)</f>
        <v/>
      </c>
      <c r="Q86" s="218">
        <f>$B$5=X86</f>
        <v/>
      </c>
      <c r="R86" s="218">
        <f>I86-AD86</f>
        <v/>
      </c>
      <c r="S86" s="298" t="n"/>
      <c r="T86" s="299" t="n">
        <v>45630</v>
      </c>
      <c r="U86" s="298" t="inlineStr">
        <is>
          <t>BTT24-0002469</t>
        </is>
      </c>
      <c r="V86" s="298" t="n">
        <v>0</v>
      </c>
      <c r="W86" s="298" t="inlineStr">
        <is>
          <t>បុគ្គលជាប់អាករ</t>
        </is>
      </c>
      <c r="X86" s="298" t="inlineStr">
        <is>
          <t>L001-901640009</t>
        </is>
      </c>
      <c r="Y86" s="298" t="inlineStr">
        <is>
          <t>ហូលីដេ ឌីហ្សាញ (ខេមបូឌា) ឯ.ក</t>
        </is>
      </c>
      <c r="Z86" s="300" t="n">
        <v>2837120</v>
      </c>
      <c r="AA86" s="300" t="n">
        <v>2579200</v>
      </c>
      <c r="AB86" s="298" t="n">
        <v>0</v>
      </c>
      <c r="AC86" s="298" t="inlineStr">
        <is>
          <t>-</t>
        </is>
      </c>
      <c r="AD86" s="300" t="n">
        <v>257920</v>
      </c>
      <c r="AE86" s="298" t="n">
        <v>0</v>
      </c>
      <c r="AF86" s="562" t="n">
        <v>0</v>
      </c>
      <c r="AG86" s="198" t="n">
        <v>0</v>
      </c>
      <c r="AH86" s="198" t="n">
        <v>0</v>
      </c>
      <c r="AI86" s="198" t="n">
        <v>0</v>
      </c>
      <c r="AJ86" s="198" t="n">
        <v>0</v>
      </c>
      <c r="AK86" s="198" t="n">
        <v>0</v>
      </c>
      <c r="AL86" s="198" t="n">
        <v>0.01</v>
      </c>
      <c r="AM86" s="198" t="n">
        <v>0</v>
      </c>
      <c r="AN86" s="198" t="inlineStr">
        <is>
          <t>Truking / Service</t>
        </is>
      </c>
    </row>
    <row r="87">
      <c r="A87" s="212">
        <f>A86+1</f>
        <v/>
      </c>
      <c r="B87" s="214" t="inlineStr">
        <is>
          <t>Big Plywood 15MM</t>
        </is>
      </c>
      <c r="C87" s="214" t="inlineStr">
        <is>
          <t>GUOXING BUILDING MATERIAL CO., LTD.</t>
        </is>
      </c>
      <c r="D87" s="215" t="inlineStr">
        <is>
          <t>K009-902203491</t>
        </is>
      </c>
      <c r="E87" s="290" t="inlineStr">
        <is>
          <t>GX25-0080</t>
        </is>
      </c>
      <c r="F87" s="279" t="n">
        <v>45793</v>
      </c>
      <c r="G87" s="216" t="n"/>
      <c r="H87" s="564" t="n"/>
      <c r="I87" s="564" t="n">
        <v>696348</v>
      </c>
      <c r="J87" s="213" t="inlineStr">
        <is>
          <t>អនុញ្ញាត (បានប្រកាស)</t>
        </is>
      </c>
      <c r="K87" s="213" t="n"/>
      <c r="L87" s="563">
        <f>I87</f>
        <v/>
      </c>
      <c r="M87" s="536">
        <f>I87-L87</f>
        <v/>
      </c>
      <c r="N87" s="213" t="n"/>
      <c r="O87" s="218">
        <f>U87=E87</f>
        <v/>
      </c>
      <c r="P87" s="218">
        <f>MONTH(F87)-MONTH(T87)</f>
        <v/>
      </c>
      <c r="Q87" s="218">
        <f>$B$5=X87</f>
        <v/>
      </c>
      <c r="R87" s="218">
        <f>I87-AD87</f>
        <v/>
      </c>
      <c r="S87" s="298" t="n"/>
      <c r="T87" s="299" t="n">
        <v>45793</v>
      </c>
      <c r="U87" s="298" t="inlineStr">
        <is>
          <t>GX25-0080</t>
        </is>
      </c>
      <c r="V87" s="298" t="n">
        <v>0</v>
      </c>
      <c r="W87" s="298" t="inlineStr">
        <is>
          <t>បុគ្គលជាប់អាករ</t>
        </is>
      </c>
      <c r="X87" s="298" t="inlineStr">
        <is>
          <t>L001-901640009</t>
        </is>
      </c>
      <c r="Y87" s="298" t="inlineStr">
        <is>
          <t>ហូលីដេ ឌីហ្សាញ (ខេមបូឌា) ឯ.ក</t>
        </is>
      </c>
      <c r="Z87" s="300" t="n">
        <v>7659828</v>
      </c>
      <c r="AA87" s="300" t="n">
        <v>6963480</v>
      </c>
      <c r="AB87" s="298" t="n">
        <v>0</v>
      </c>
      <c r="AC87" s="298" t="inlineStr">
        <is>
          <t>-</t>
        </is>
      </c>
      <c r="AD87" s="300" t="n">
        <v>696348</v>
      </c>
      <c r="AE87" s="298" t="n">
        <v>0</v>
      </c>
      <c r="AF87" s="562" t="n">
        <v>0</v>
      </c>
      <c r="AG87" s="198" t="n">
        <v>0</v>
      </c>
      <c r="AH87" s="198" t="n">
        <v>0</v>
      </c>
      <c r="AI87" s="198" t="n">
        <v>0</v>
      </c>
      <c r="AJ87" s="198" t="n">
        <v>0</v>
      </c>
      <c r="AK87" s="198" t="n">
        <v>0</v>
      </c>
      <c r="AL87" s="198" t="n">
        <v>0.01</v>
      </c>
      <c r="AM87" s="198" t="n">
        <v>0</v>
      </c>
      <c r="AN87" s="198" t="inlineStr">
        <is>
          <t>Big Plywood 15mm</t>
        </is>
      </c>
      <c r="AO87" s="198" t="inlineStr">
        <is>
          <t>បានប្រកាសនិងបង់ពន្ធ</t>
        </is>
      </c>
    </row>
    <row r="88">
      <c r="A88" s="212">
        <f>A87+1</f>
        <v/>
      </c>
      <c r="B88" s="214" t="inlineStr">
        <is>
          <t>Trucking Fee-Im</t>
        </is>
      </c>
      <c r="C88" s="214" t="inlineStr">
        <is>
          <t>BRILLIANT TRANSPORT AND TRADING Co., Ltd.</t>
        </is>
      </c>
      <c r="D88" s="215" t="inlineStr">
        <is>
          <t>K002-100089305</t>
        </is>
      </c>
      <c r="E88" s="290" t="inlineStr">
        <is>
          <t>BTT24-0002586</t>
        </is>
      </c>
      <c r="F88" s="279" t="n">
        <v>45646</v>
      </c>
      <c r="G88" s="216" t="n"/>
      <c r="H88" s="564" t="n"/>
      <c r="I88" s="564" t="n">
        <v>1880892</v>
      </c>
      <c r="J88" s="213" t="inlineStr">
        <is>
          <t>អនុញ្ញាត (បានប្រកាស)</t>
        </is>
      </c>
      <c r="K88" s="213" t="n"/>
      <c r="L88" s="563">
        <f>I88</f>
        <v/>
      </c>
      <c r="M88" s="536">
        <f>I88-L88</f>
        <v/>
      </c>
      <c r="N88" s="213" t="n"/>
      <c r="O88" s="218">
        <f>U88=E88</f>
        <v/>
      </c>
      <c r="P88" s="218">
        <f>MONTH(F88)-MONTH(T88)</f>
        <v/>
      </c>
      <c r="Q88" s="218">
        <f>$B$5=X88</f>
        <v/>
      </c>
      <c r="R88" s="218">
        <f>I88-AD88</f>
        <v/>
      </c>
      <c r="S88" s="298" t="n"/>
      <c r="T88" s="299" t="n">
        <v>45646</v>
      </c>
      <c r="U88" s="298" t="inlineStr">
        <is>
          <t>BTT24-0002586</t>
        </is>
      </c>
      <c r="V88" s="298" t="n">
        <v>0</v>
      </c>
      <c r="W88" s="298" t="inlineStr">
        <is>
          <t>បុគ្គលជាប់អាករ</t>
        </is>
      </c>
      <c r="X88" s="298" t="inlineStr">
        <is>
          <t>L001-901640009</t>
        </is>
      </c>
      <c r="Y88" s="298" t="inlineStr">
        <is>
          <t>ហូលីដេ ឌីហ្សាញ (ខេមបូឌា) ឯ.ក</t>
        </is>
      </c>
      <c r="Z88" s="300" t="n">
        <v>20689812</v>
      </c>
      <c r="AA88" s="300" t="n">
        <v>18808920</v>
      </c>
      <c r="AB88" s="298" t="n">
        <v>0</v>
      </c>
      <c r="AC88" s="298" t="inlineStr">
        <is>
          <t>-</t>
        </is>
      </c>
      <c r="AD88" s="300" t="n">
        <v>1880892</v>
      </c>
      <c r="AE88" s="298" t="n">
        <v>0</v>
      </c>
      <c r="AF88" s="562" t="n">
        <v>0</v>
      </c>
      <c r="AG88" s="198" t="n">
        <v>0</v>
      </c>
      <c r="AH88" s="198" t="n">
        <v>0</v>
      </c>
      <c r="AI88" s="198" t="n">
        <v>0</v>
      </c>
      <c r="AJ88" s="198" t="n">
        <v>0</v>
      </c>
      <c r="AK88" s="198" t="n">
        <v>0</v>
      </c>
      <c r="AL88" s="198" t="n">
        <v>0.01</v>
      </c>
      <c r="AM88" s="198" t="n">
        <v>0</v>
      </c>
      <c r="AN88" s="198" t="inlineStr">
        <is>
          <t>Truking / Service</t>
        </is>
      </c>
    </row>
    <row r="89">
      <c r="A89" s="212">
        <f>A88+1</f>
        <v/>
      </c>
      <c r="B89" s="214" t="inlineStr">
        <is>
          <t>Trucking Fee-Im</t>
        </is>
      </c>
      <c r="C89" s="214" t="inlineStr">
        <is>
          <t>BRILLIANT TRANSPORT AND TRADING Co., Ltd.</t>
        </is>
      </c>
      <c r="D89" s="215" t="inlineStr">
        <is>
          <t>K002-100089305</t>
        </is>
      </c>
      <c r="E89" s="290" t="inlineStr">
        <is>
          <t>BTT24-0002470</t>
        </is>
      </c>
      <c r="F89" s="279" t="n">
        <v>45630</v>
      </c>
      <c r="G89" s="216" t="n"/>
      <c r="H89" s="564" t="n"/>
      <c r="I89" s="564" t="n">
        <v>1192880</v>
      </c>
      <c r="J89" s="213" t="inlineStr">
        <is>
          <t>អនុញ្ញាត (បានប្រកាស)</t>
        </is>
      </c>
      <c r="K89" s="213" t="n"/>
      <c r="L89" s="563">
        <f>I89</f>
        <v/>
      </c>
      <c r="M89" s="536">
        <f>I89-L89</f>
        <v/>
      </c>
      <c r="N89" s="213" t="n"/>
      <c r="O89" s="218">
        <f>U89=E89</f>
        <v/>
      </c>
      <c r="P89" s="218">
        <f>MONTH(F89)-MONTH(T89)</f>
        <v/>
      </c>
      <c r="Q89" s="218">
        <f>$B$5=X89</f>
        <v/>
      </c>
      <c r="R89" s="218">
        <f>I89-AD89</f>
        <v/>
      </c>
      <c r="S89" s="298" t="n"/>
      <c r="T89" s="299" t="n">
        <v>45630</v>
      </c>
      <c r="U89" s="298" t="inlineStr">
        <is>
          <t>BTT24-0002470</t>
        </is>
      </c>
      <c r="V89" s="298" t="n">
        <v>0</v>
      </c>
      <c r="W89" s="298" t="inlineStr">
        <is>
          <t>បុគ្គលជាប់អាករ</t>
        </is>
      </c>
      <c r="X89" s="298" t="inlineStr">
        <is>
          <t>L001-901640009</t>
        </is>
      </c>
      <c r="Y89" s="298" t="inlineStr">
        <is>
          <t>ហូលីដេ ឌីហ្សាញ (ខេមបូឌា) ឯ.ក</t>
        </is>
      </c>
      <c r="Z89" s="300" t="n">
        <v>13121680</v>
      </c>
      <c r="AA89" s="300" t="n">
        <v>11928800</v>
      </c>
      <c r="AB89" s="298" t="n">
        <v>0</v>
      </c>
      <c r="AC89" s="298" t="inlineStr">
        <is>
          <t>-</t>
        </is>
      </c>
      <c r="AD89" s="300" t="n">
        <v>1192880</v>
      </c>
      <c r="AE89" s="298" t="n">
        <v>0</v>
      </c>
      <c r="AF89" s="562" t="n">
        <v>0</v>
      </c>
      <c r="AG89" s="198" t="n">
        <v>0</v>
      </c>
      <c r="AH89" s="198" t="n">
        <v>0</v>
      </c>
      <c r="AI89" s="198" t="n">
        <v>0</v>
      </c>
      <c r="AJ89" s="198" t="n">
        <v>0</v>
      </c>
      <c r="AK89" s="198" t="n">
        <v>0</v>
      </c>
      <c r="AL89" s="198" t="n">
        <v>0.01</v>
      </c>
      <c r="AM89" s="198" t="n">
        <v>0</v>
      </c>
      <c r="AN89" s="198" t="inlineStr">
        <is>
          <t>Truking / Service</t>
        </is>
      </c>
    </row>
    <row r="90">
      <c r="A90" s="212">
        <f>A89+1</f>
        <v/>
      </c>
      <c r="B90" s="214" t="inlineStr">
        <is>
          <t>Lift-On&amp;Lift-Off-Im</t>
        </is>
      </c>
      <c r="C90" s="214" t="inlineStr">
        <is>
          <t>Port Autonome Du Sihanoukville</t>
        </is>
      </c>
      <c r="D90" s="215" t="inlineStr">
        <is>
          <t>L001-100044638</t>
        </is>
      </c>
      <c r="E90" s="290" t="n">
        <v>253254</v>
      </c>
      <c r="F90" s="279" t="n">
        <v>45630</v>
      </c>
      <c r="G90" s="216" t="n"/>
      <c r="H90" s="564" t="n"/>
      <c r="I90" s="564" t="n">
        <v>140244</v>
      </c>
      <c r="J90" s="213" t="inlineStr">
        <is>
          <t>អនុញ្ញាត (បានប្រកាស)</t>
        </is>
      </c>
      <c r="K90" s="213" t="n"/>
      <c r="L90" s="563">
        <f>I90</f>
        <v/>
      </c>
      <c r="M90" s="536">
        <f>I90-L90</f>
        <v/>
      </c>
      <c r="N90" s="213" t="n"/>
      <c r="O90" s="218">
        <f>U90=E90</f>
        <v/>
      </c>
      <c r="P90" s="218">
        <f>MONTH(F90)-MONTH(T90)</f>
        <v/>
      </c>
      <c r="Q90" s="218">
        <f>$B$5=X90</f>
        <v/>
      </c>
      <c r="R90" s="218">
        <f>I90-AD90</f>
        <v/>
      </c>
      <c r="S90" s="298" t="n"/>
      <c r="T90" s="299" t="n">
        <v>45630</v>
      </c>
      <c r="U90" s="298" t="n">
        <v>253254</v>
      </c>
      <c r="V90" s="298" t="n">
        <v>0</v>
      </c>
      <c r="W90" s="298" t="inlineStr">
        <is>
          <t>បុគ្គលជាប់អាករ</t>
        </is>
      </c>
      <c r="X90" s="298" t="inlineStr">
        <is>
          <t>L001-901640009</t>
        </is>
      </c>
      <c r="Y90" s="298" t="inlineStr">
        <is>
          <t>ហូលីដេ ឌីហ្សាញ (ខេមបូឌា) ឯ.ក</t>
        </is>
      </c>
      <c r="Z90" s="300" t="n">
        <v>1542684</v>
      </c>
      <c r="AA90" s="300" t="n">
        <v>1402440</v>
      </c>
      <c r="AB90" s="298" t="n">
        <v>0</v>
      </c>
      <c r="AC90" s="298" t="inlineStr">
        <is>
          <t>-</t>
        </is>
      </c>
      <c r="AD90" s="300" t="n">
        <v>140244</v>
      </c>
      <c r="AE90" s="298" t="n"/>
      <c r="AF90" s="562" t="n"/>
    </row>
    <row r="91">
      <c r="A91" s="212">
        <f>A90+1</f>
        <v/>
      </c>
      <c r="B91" s="214" t="inlineStr">
        <is>
          <t>Terminal Handling Service-Im</t>
        </is>
      </c>
      <c r="C91" s="214" t="inlineStr">
        <is>
          <t>SITC CONTAINER LINES (CAMBODIA) Co., Ltd.</t>
        </is>
      </c>
      <c r="D91" s="215" t="inlineStr">
        <is>
          <t>L001-107035863</t>
        </is>
      </c>
      <c r="E91" s="290" t="inlineStr">
        <is>
          <t>SITC2024-037237</t>
        </is>
      </c>
      <c r="F91" s="279" t="n">
        <v>45627</v>
      </c>
      <c r="G91" s="216" t="n"/>
      <c r="H91" s="564" t="n"/>
      <c r="I91" s="564" t="n">
        <v>861992</v>
      </c>
      <c r="J91" s="213" t="inlineStr">
        <is>
          <t>អនុញ្ញាត (បានប្រកាស)</t>
        </is>
      </c>
      <c r="K91" s="213" t="n"/>
      <c r="L91" s="563">
        <f>I91</f>
        <v/>
      </c>
      <c r="M91" s="536">
        <f>I91-L91</f>
        <v/>
      </c>
      <c r="N91" s="213" t="n"/>
      <c r="O91" s="218">
        <f>U91=E91</f>
        <v/>
      </c>
      <c r="P91" s="218">
        <f>MONTH(F91)-MONTH(T91)</f>
        <v/>
      </c>
      <c r="Q91" s="218">
        <f>$B$5=X91</f>
        <v/>
      </c>
      <c r="R91" s="218">
        <f>I91-AD91</f>
        <v/>
      </c>
      <c r="S91" s="298" t="n"/>
      <c r="T91" s="299" t="n">
        <v>45627</v>
      </c>
      <c r="U91" s="298" t="inlineStr">
        <is>
          <t>SITC2024-037237</t>
        </is>
      </c>
      <c r="V91" s="298" t="n">
        <v>0</v>
      </c>
      <c r="W91" s="298" t="inlineStr">
        <is>
          <t>បុគ្គលជាប់អាករ</t>
        </is>
      </c>
      <c r="X91" s="298" t="inlineStr">
        <is>
          <t>L001-901640009</t>
        </is>
      </c>
      <c r="Y91" s="298" t="inlineStr">
        <is>
          <t>ហូលីដេ ឌីហ្សាញ (ខេមបូឌា) ឯ.ក</t>
        </is>
      </c>
      <c r="Z91" s="300" t="n">
        <v>9481912</v>
      </c>
      <c r="AA91" s="300" t="n">
        <v>8619920</v>
      </c>
      <c r="AB91" s="298" t="n">
        <v>0</v>
      </c>
      <c r="AC91" s="298" t="inlineStr">
        <is>
          <t>-</t>
        </is>
      </c>
      <c r="AD91" s="300" t="n">
        <v>861992</v>
      </c>
      <c r="AE91" s="298" t="n">
        <v>0</v>
      </c>
      <c r="AF91" s="562" t="n">
        <v>0</v>
      </c>
      <c r="AG91" s="198" t="n">
        <v>0</v>
      </c>
      <c r="AH91" s="198" t="n">
        <v>0</v>
      </c>
      <c r="AI91" s="198" t="n">
        <v>0</v>
      </c>
      <c r="AJ91" s="198" t="n">
        <v>0</v>
      </c>
      <c r="AK91" s="198" t="n">
        <v>0</v>
      </c>
      <c r="AL91" s="198" t="n">
        <v>0.01</v>
      </c>
      <c r="AM91" s="198" t="n">
        <v>0</v>
      </c>
      <c r="AN91" s="198" t="inlineStr">
        <is>
          <t>KHCIC,KHDOC,KHTHC,EMF,EIB</t>
        </is>
      </c>
    </row>
    <row r="92">
      <c r="A92" s="212">
        <f>A91+1</f>
        <v/>
      </c>
      <c r="B92" s="214" t="inlineStr">
        <is>
          <t>Trucking Fee-Im</t>
        </is>
      </c>
      <c r="C92" s="214" t="inlineStr">
        <is>
          <t>BRILLIANT TRANSPORT AND TRADING Co., Ltd.</t>
        </is>
      </c>
      <c r="D92" s="215" t="inlineStr">
        <is>
          <t>K002-100089305</t>
        </is>
      </c>
      <c r="E92" s="290" t="inlineStr">
        <is>
          <t>BTT24-0002468</t>
        </is>
      </c>
      <c r="F92" s="279" t="n">
        <v>45630</v>
      </c>
      <c r="G92" s="216" t="n"/>
      <c r="H92" s="564" t="n"/>
      <c r="I92" s="564" t="n">
        <v>959140</v>
      </c>
      <c r="J92" s="213" t="inlineStr">
        <is>
          <t>អនុញ្ញាត (បានប្រកាស)</t>
        </is>
      </c>
      <c r="K92" s="213" t="n"/>
      <c r="L92" s="563">
        <f>I92</f>
        <v/>
      </c>
      <c r="M92" s="536">
        <f>I92-L92</f>
        <v/>
      </c>
      <c r="N92" s="213" t="n"/>
      <c r="O92" s="218">
        <f>U92=E92</f>
        <v/>
      </c>
      <c r="P92" s="218">
        <f>MONTH(F92)-MONTH(T92)</f>
        <v/>
      </c>
      <c r="Q92" s="218">
        <f>$B$5=X92</f>
        <v/>
      </c>
      <c r="R92" s="218">
        <f>I92-AD92</f>
        <v/>
      </c>
      <c r="S92" s="298" t="n"/>
      <c r="T92" s="299" t="n">
        <v>45630</v>
      </c>
      <c r="U92" s="298" t="inlineStr">
        <is>
          <t>BTT24-0002468</t>
        </is>
      </c>
      <c r="V92" s="298" t="n">
        <v>0</v>
      </c>
      <c r="W92" s="298" t="inlineStr">
        <is>
          <t>បុគ្គលជាប់អាករ</t>
        </is>
      </c>
      <c r="X92" s="298" t="inlineStr">
        <is>
          <t>L001-901640009</t>
        </is>
      </c>
      <c r="Y92" s="298" t="inlineStr">
        <is>
          <t>ហូលីដេ ឌីហ្សាញ (ខេមបូឌា) ឯ.ក</t>
        </is>
      </c>
      <c r="Z92" s="300" t="n">
        <v>10550540</v>
      </c>
      <c r="AA92" s="300" t="n">
        <v>9591400</v>
      </c>
      <c r="AB92" s="298" t="n">
        <v>0</v>
      </c>
      <c r="AC92" s="298" t="inlineStr">
        <is>
          <t>-</t>
        </is>
      </c>
      <c r="AD92" s="300" t="n">
        <v>959140</v>
      </c>
      <c r="AE92" s="298" t="n">
        <v>0</v>
      </c>
      <c r="AF92" s="562" t="n">
        <v>0</v>
      </c>
      <c r="AG92" s="198" t="n">
        <v>0</v>
      </c>
      <c r="AH92" s="198" t="n">
        <v>0</v>
      </c>
      <c r="AI92" s="198" t="n">
        <v>0</v>
      </c>
      <c r="AJ92" s="198" t="n">
        <v>0</v>
      </c>
      <c r="AK92" s="198" t="n">
        <v>0</v>
      </c>
      <c r="AL92" s="198" t="n">
        <v>0.01</v>
      </c>
      <c r="AM92" s="198" t="n">
        <v>0</v>
      </c>
      <c r="AN92" s="198" t="inlineStr">
        <is>
          <t>Truking / Service</t>
        </is>
      </c>
    </row>
    <row r="93">
      <c r="A93" s="212">
        <f>A92+1</f>
        <v/>
      </c>
      <c r="B93" s="214" t="inlineStr">
        <is>
          <t>Storage charge-Im</t>
        </is>
      </c>
      <c r="C93" s="214" t="inlineStr">
        <is>
          <t>Port Autonome Du Sihanoukville</t>
        </is>
      </c>
      <c r="D93" s="215" t="inlineStr">
        <is>
          <t>L001-100044638</t>
        </is>
      </c>
      <c r="E93" s="290" t="n">
        <v>253839</v>
      </c>
      <c r="F93" s="279" t="n">
        <v>45631</v>
      </c>
      <c r="G93" s="216" t="n"/>
      <c r="H93" s="564" t="n"/>
      <c r="I93" s="564" t="n">
        <v>29009</v>
      </c>
      <c r="J93" s="213" t="inlineStr">
        <is>
          <t>អនុញ្ញាត (បានប្រកាស)</t>
        </is>
      </c>
      <c r="K93" s="213" t="n"/>
      <c r="L93" s="563">
        <f>I93</f>
        <v/>
      </c>
      <c r="M93" s="536">
        <f>I93-L93</f>
        <v/>
      </c>
      <c r="N93" s="213" t="n"/>
      <c r="O93" s="218">
        <f>U93=E93</f>
        <v/>
      </c>
      <c r="P93" s="218">
        <f>MONTH(F93)-MONTH(T93)</f>
        <v/>
      </c>
      <c r="Q93" s="218">
        <f>$B$5=X93</f>
        <v/>
      </c>
      <c r="R93" s="218">
        <f>I93-AD93</f>
        <v/>
      </c>
      <c r="S93" s="298" t="n"/>
      <c r="T93" s="299" t="n">
        <v>45631</v>
      </c>
      <c r="U93" s="298" t="n">
        <v>253839</v>
      </c>
      <c r="V93" s="298" t="n">
        <v>0</v>
      </c>
      <c r="W93" s="298" t="inlineStr">
        <is>
          <t>បុគ្គលជាប់អាករ</t>
        </is>
      </c>
      <c r="X93" s="298" t="inlineStr">
        <is>
          <t>L001-901640009</t>
        </is>
      </c>
      <c r="Y93" s="298" t="inlineStr">
        <is>
          <t>ហូលីដេ ឌីហ្សាញ (ខេមបូឌា) ឯ.ក</t>
        </is>
      </c>
      <c r="Z93" s="300" t="n">
        <v>319097</v>
      </c>
      <c r="AA93" s="300" t="n">
        <v>290088</v>
      </c>
      <c r="AB93" s="298" t="n">
        <v>0</v>
      </c>
      <c r="AC93" s="298" t="inlineStr">
        <is>
          <t>-</t>
        </is>
      </c>
      <c r="AD93" s="300" t="n">
        <v>29009</v>
      </c>
      <c r="AE93" s="298" t="n"/>
      <c r="AF93" s="562" t="n"/>
    </row>
    <row r="94">
      <c r="A94" s="212">
        <f>A93+1</f>
        <v/>
      </c>
      <c r="B94" s="214" t="inlineStr">
        <is>
          <t>Storage charge-Im</t>
        </is>
      </c>
      <c r="C94" s="214" t="inlineStr">
        <is>
          <t>Port Autonome Du Sihanoukville</t>
        </is>
      </c>
      <c r="D94" s="215" t="inlineStr">
        <is>
          <t>L001-100044638</t>
        </is>
      </c>
      <c r="E94" s="290" t="n">
        <v>253838</v>
      </c>
      <c r="F94" s="279" t="n">
        <v>45631</v>
      </c>
      <c r="G94" s="216" t="n"/>
      <c r="H94" s="564" t="n"/>
      <c r="I94" s="564" t="n">
        <v>14504</v>
      </c>
      <c r="J94" s="213" t="inlineStr">
        <is>
          <t>អនុញ្ញាត (បានប្រកាស)</t>
        </is>
      </c>
      <c r="K94" s="213" t="n"/>
      <c r="L94" s="563">
        <f>I94</f>
        <v/>
      </c>
      <c r="M94" s="536">
        <f>I94-L94</f>
        <v/>
      </c>
      <c r="N94" s="213" t="n"/>
      <c r="O94" s="218">
        <f>U94=E94</f>
        <v/>
      </c>
      <c r="P94" s="218">
        <f>MONTH(F94)-MONTH(T94)</f>
        <v/>
      </c>
      <c r="Q94" s="218">
        <f>$B$5=X94</f>
        <v/>
      </c>
      <c r="R94" s="218">
        <f>I94-AD94</f>
        <v/>
      </c>
      <c r="S94" s="298" t="n"/>
      <c r="T94" s="299" t="n">
        <v>45631</v>
      </c>
      <c r="U94" s="298" t="n">
        <v>253838</v>
      </c>
      <c r="V94" s="298" t="n">
        <v>0</v>
      </c>
      <c r="W94" s="298" t="inlineStr">
        <is>
          <t>បុគ្គលជាប់អាករ</t>
        </is>
      </c>
      <c r="X94" s="298" t="inlineStr">
        <is>
          <t>L001-901640009</t>
        </is>
      </c>
      <c r="Y94" s="298" t="inlineStr">
        <is>
          <t>ហូលីដេ ឌីហ្សាញ (ខេមបូឌា) ឯ.ក</t>
        </is>
      </c>
      <c r="Z94" s="300" t="n">
        <v>159548</v>
      </c>
      <c r="AA94" s="300" t="n">
        <v>145044</v>
      </c>
      <c r="AB94" s="298" t="n">
        <v>0</v>
      </c>
      <c r="AC94" s="298" t="inlineStr">
        <is>
          <t>-</t>
        </is>
      </c>
      <c r="AD94" s="300" t="n">
        <v>14504</v>
      </c>
      <c r="AE94" s="298" t="n"/>
      <c r="AF94" s="562" t="n"/>
    </row>
    <row r="95">
      <c r="A95" s="212">
        <f>A94+1</f>
        <v/>
      </c>
      <c r="B95" s="214" t="inlineStr">
        <is>
          <t>Storage charge-Im</t>
        </is>
      </c>
      <c r="C95" s="214" t="inlineStr">
        <is>
          <t>Port Autonome Du Sihanoukville</t>
        </is>
      </c>
      <c r="D95" s="215" t="inlineStr">
        <is>
          <t>L001-100044638</t>
        </is>
      </c>
      <c r="E95" s="290" t="n">
        <v>252858</v>
      </c>
      <c r="F95" s="279" t="n">
        <v>45630</v>
      </c>
      <c r="G95" s="216" t="n"/>
      <c r="H95" s="564" t="n"/>
      <c r="I95" s="564" t="n">
        <v>4836</v>
      </c>
      <c r="J95" s="213" t="inlineStr">
        <is>
          <t>អនុញ្ញាត (បានប្រកាស)</t>
        </is>
      </c>
      <c r="K95" s="213" t="n"/>
      <c r="L95" s="563">
        <f>I95</f>
        <v/>
      </c>
      <c r="M95" s="536">
        <f>I95-L95</f>
        <v/>
      </c>
      <c r="N95" s="213" t="n"/>
      <c r="O95" s="218">
        <f>U95=E95</f>
        <v/>
      </c>
      <c r="P95" s="218">
        <f>MONTH(F95)-MONTH(T95)</f>
        <v/>
      </c>
      <c r="Q95" s="218">
        <f>$B$5=X95</f>
        <v/>
      </c>
      <c r="R95" s="218">
        <f>I95-AD95</f>
        <v/>
      </c>
      <c r="S95" s="298" t="n"/>
      <c r="T95" s="299" t="n">
        <v>45630</v>
      </c>
      <c r="U95" s="298" t="n">
        <v>252858</v>
      </c>
      <c r="V95" s="298" t="n">
        <v>0</v>
      </c>
      <c r="W95" s="298" t="inlineStr">
        <is>
          <t>បុគ្គលជាប់អាករ</t>
        </is>
      </c>
      <c r="X95" s="298" t="inlineStr">
        <is>
          <t>L001-901640009</t>
        </is>
      </c>
      <c r="Y95" s="298" t="inlineStr">
        <is>
          <t>ហូលីដេ ឌីហ្សាញ (ខេមបូឌា) ឯ.ក</t>
        </is>
      </c>
      <c r="Z95" s="300" t="n">
        <v>53196</v>
      </c>
      <c r="AA95" s="300" t="n">
        <v>48360</v>
      </c>
      <c r="AB95" s="298" t="n">
        <v>0</v>
      </c>
      <c r="AC95" s="298" t="inlineStr">
        <is>
          <t>-</t>
        </is>
      </c>
      <c r="AD95" s="300" t="n">
        <v>4836</v>
      </c>
      <c r="AE95" s="298" t="n"/>
      <c r="AF95" s="562" t="n"/>
    </row>
    <row r="96">
      <c r="A96" s="212">
        <f>A95+1</f>
        <v/>
      </c>
      <c r="B96" s="214" t="inlineStr">
        <is>
          <t>Lift-On&amp;Lift-Off-Im</t>
        </is>
      </c>
      <c r="C96" s="214" t="inlineStr">
        <is>
          <t>Port Autonome Du Sihanoukville</t>
        </is>
      </c>
      <c r="D96" s="215" t="inlineStr">
        <is>
          <t>L001-100044638</t>
        </is>
      </c>
      <c r="E96" s="290" t="n">
        <v>252495</v>
      </c>
      <c r="F96" s="279" t="n">
        <v>45629</v>
      </c>
      <c r="G96" s="216" t="n"/>
      <c r="H96" s="564" t="n"/>
      <c r="I96" s="564" t="n">
        <v>520128</v>
      </c>
      <c r="J96" s="213" t="inlineStr">
        <is>
          <t>អនុញ្ញាត (បានប្រកាស)</t>
        </is>
      </c>
      <c r="K96" s="213" t="n"/>
      <c r="L96" s="563">
        <f>I96</f>
        <v/>
      </c>
      <c r="M96" s="536">
        <f>I96-L96</f>
        <v/>
      </c>
      <c r="N96" s="213" t="n"/>
      <c r="O96" s="218">
        <f>U96=E96</f>
        <v/>
      </c>
      <c r="P96" s="218">
        <f>MONTH(F96)-MONTH(T96)</f>
        <v/>
      </c>
      <c r="Q96" s="218">
        <f>$B$5=X96</f>
        <v/>
      </c>
      <c r="R96" s="218">
        <f>I96-AD96</f>
        <v/>
      </c>
      <c r="S96" s="298" t="n"/>
      <c r="T96" s="299" t="n">
        <v>45629</v>
      </c>
      <c r="U96" s="298" t="n">
        <v>252495</v>
      </c>
      <c r="V96" s="298" t="n">
        <v>0</v>
      </c>
      <c r="W96" s="298" t="inlineStr">
        <is>
          <t>បុគ្គលជាប់អាករ</t>
        </is>
      </c>
      <c r="X96" s="298" t="inlineStr">
        <is>
          <t>L001-901640009</t>
        </is>
      </c>
      <c r="Y96" s="298" t="inlineStr">
        <is>
          <t>ហូលីដេ ឌីហ្សាញ (ខេមបូឌា) ឯ.ក</t>
        </is>
      </c>
      <c r="Z96" s="300" t="n">
        <v>5721408</v>
      </c>
      <c r="AA96" s="300" t="n">
        <v>5201280</v>
      </c>
      <c r="AB96" s="298" t="n">
        <v>0</v>
      </c>
      <c r="AC96" s="298" t="inlineStr">
        <is>
          <t>-</t>
        </is>
      </c>
      <c r="AD96" s="300" t="n">
        <v>520128</v>
      </c>
      <c r="AE96" s="298" t="n"/>
      <c r="AF96" s="562" t="n"/>
    </row>
    <row r="97">
      <c r="A97" s="212">
        <f>A96+1</f>
        <v/>
      </c>
      <c r="B97" s="214" t="inlineStr">
        <is>
          <t>Trucking Fee-Im</t>
        </is>
      </c>
      <c r="C97" s="214" t="inlineStr">
        <is>
          <t>BRILLIANT TRANSPORT AND TRADING Co., Ltd.</t>
        </is>
      </c>
      <c r="D97" s="215" t="inlineStr">
        <is>
          <t>K002-100089305</t>
        </is>
      </c>
      <c r="E97" s="290" t="inlineStr">
        <is>
          <t>BTT24-0002467</t>
        </is>
      </c>
      <c r="F97" s="279" t="n">
        <v>45629</v>
      </c>
      <c r="G97" s="216" t="n"/>
      <c r="H97" s="564" t="n"/>
      <c r="I97" s="564" t="n">
        <v>2390976</v>
      </c>
      <c r="J97" s="213" t="inlineStr">
        <is>
          <t>អនុញ្ញាត (បានប្រកាស)</t>
        </is>
      </c>
      <c r="K97" s="213" t="n"/>
      <c r="L97" s="563">
        <f>I97</f>
        <v/>
      </c>
      <c r="M97" s="536">
        <f>I97-L97</f>
        <v/>
      </c>
      <c r="N97" s="213" t="n"/>
      <c r="O97" s="218">
        <f>U97=E97</f>
        <v/>
      </c>
      <c r="P97" s="218">
        <f>MONTH(F97)-MONTH(T97)</f>
        <v/>
      </c>
      <c r="Q97" s="218">
        <f>$B$5=X97</f>
        <v/>
      </c>
      <c r="R97" s="218">
        <f>I97-AD97</f>
        <v/>
      </c>
      <c r="S97" s="298" t="n"/>
      <c r="T97" s="299" t="n">
        <v>45629</v>
      </c>
      <c r="U97" s="298" t="inlineStr">
        <is>
          <t>BTT24-0002467</t>
        </is>
      </c>
      <c r="V97" s="298" t="n">
        <v>0</v>
      </c>
      <c r="W97" s="298" t="inlineStr">
        <is>
          <t>បុគ្គលជាប់អាករ</t>
        </is>
      </c>
      <c r="X97" s="298" t="inlineStr">
        <is>
          <t>L001-901640009</t>
        </is>
      </c>
      <c r="Y97" s="298" t="inlineStr">
        <is>
          <t>ហូលីដេ ឌីហ្សាញ (ខេមបូឌា) ឯ.ក</t>
        </is>
      </c>
      <c r="Z97" s="300" t="n">
        <v>26300736</v>
      </c>
      <c r="AA97" s="300" t="n">
        <v>23909760</v>
      </c>
      <c r="AB97" s="298" t="n">
        <v>0</v>
      </c>
      <c r="AC97" s="298" t="inlineStr">
        <is>
          <t>-</t>
        </is>
      </c>
      <c r="AD97" s="300" t="n">
        <v>2390976</v>
      </c>
      <c r="AE97" s="298" t="n">
        <v>0</v>
      </c>
      <c r="AF97" s="562" t="n">
        <v>0</v>
      </c>
      <c r="AG97" s="198" t="n">
        <v>0</v>
      </c>
      <c r="AH97" s="198" t="n">
        <v>0</v>
      </c>
      <c r="AI97" s="198" t="n">
        <v>0</v>
      </c>
      <c r="AJ97" s="198" t="n">
        <v>0</v>
      </c>
      <c r="AK97" s="198" t="n">
        <v>0</v>
      </c>
      <c r="AL97" s="198" t="n">
        <v>0.01</v>
      </c>
      <c r="AM97" s="198" t="n">
        <v>0</v>
      </c>
      <c r="AN97" s="198" t="inlineStr">
        <is>
          <t>Truking / Service</t>
        </is>
      </c>
    </row>
    <row r="98">
      <c r="A98" s="212">
        <f>A97+1</f>
        <v/>
      </c>
      <c r="B98" s="214" t="inlineStr">
        <is>
          <t>Protective Case</t>
        </is>
      </c>
      <c r="C98" s="214" t="inlineStr">
        <is>
          <t>HENG CAI (CAMBODIA) PRINTING Co., Ltd.</t>
        </is>
      </c>
      <c r="D98" s="215" t="inlineStr">
        <is>
          <t>K010-901504622</t>
        </is>
      </c>
      <c r="E98" s="290" t="n">
        <v>2500044</v>
      </c>
      <c r="F98" s="279" t="n">
        <v>45747</v>
      </c>
      <c r="G98" s="216" t="n"/>
      <c r="H98" s="564" t="n"/>
      <c r="I98" s="564" t="n">
        <v>1444800</v>
      </c>
      <c r="J98" s="213" t="inlineStr">
        <is>
          <t>អនុញ្ញាត (បានប្រកាស)</t>
        </is>
      </c>
      <c r="K98" s="213" t="n"/>
      <c r="L98" s="563">
        <f>I98</f>
        <v/>
      </c>
      <c r="M98" s="536">
        <f>I98-L98</f>
        <v/>
      </c>
      <c r="N98" s="213" t="n"/>
      <c r="O98" s="218">
        <f>U98=E98</f>
        <v/>
      </c>
      <c r="P98" s="218">
        <f>MONTH(F98)-MONTH(T98)</f>
        <v/>
      </c>
      <c r="Q98" s="218">
        <f>$B$5=X98</f>
        <v/>
      </c>
      <c r="R98" s="218">
        <f>I98-AD98</f>
        <v/>
      </c>
      <c r="S98" s="298" t="n"/>
      <c r="T98" s="299" t="n">
        <v>45747</v>
      </c>
      <c r="U98" s="298" t="n">
        <v>2500044</v>
      </c>
      <c r="V98" s="298" t="n">
        <v>0</v>
      </c>
      <c r="W98" s="298" t="inlineStr">
        <is>
          <t>បុគ្គលជាប់អាករ</t>
        </is>
      </c>
      <c r="X98" s="298" t="inlineStr">
        <is>
          <t>L001-901640009</t>
        </is>
      </c>
      <c r="Y98" s="298" t="inlineStr">
        <is>
          <t>ហូលីដេ ឌីហ្សាញ (ខេមបូឌា) ឯ.ក</t>
        </is>
      </c>
      <c r="Z98" s="300" t="n">
        <v>15892800</v>
      </c>
      <c r="AA98" s="300" t="n">
        <v>14448000</v>
      </c>
      <c r="AB98" s="298" t="n">
        <v>0</v>
      </c>
      <c r="AC98" s="298" t="inlineStr">
        <is>
          <t>-</t>
        </is>
      </c>
      <c r="AD98" s="300" t="n">
        <v>1444800</v>
      </c>
      <c r="AE98" s="298" t="n">
        <v>0</v>
      </c>
      <c r="AF98" s="562" t="n">
        <v>0</v>
      </c>
      <c r="AG98" s="198" t="n">
        <v>0</v>
      </c>
      <c r="AH98" s="198" t="n">
        <v>0</v>
      </c>
      <c r="AI98" s="198" t="n">
        <v>0</v>
      </c>
      <c r="AJ98" s="198" t="n">
        <v>0</v>
      </c>
      <c r="AK98" s="198" t="n">
        <v>0</v>
      </c>
      <c r="AL98" s="198" t="n">
        <v>0.01</v>
      </c>
      <c r="AM98" s="198" t="n">
        <v>0</v>
      </c>
      <c r="AN98" s="198" t="inlineStr">
        <is>
          <t>Protective case</t>
        </is>
      </c>
      <c r="AO98" s="198" t="inlineStr">
        <is>
          <t>បានប្រកាសនិងបង់ពន្ធ</t>
        </is>
      </c>
    </row>
    <row r="99">
      <c r="A99" s="212">
        <f>A98+1</f>
        <v/>
      </c>
      <c r="B99" s="214" t="inlineStr">
        <is>
          <t>Protective Case</t>
        </is>
      </c>
      <c r="C99" s="214" t="inlineStr">
        <is>
          <t>HENG CAI (CAMBODIA) PRINTING Co., Ltd.</t>
        </is>
      </c>
      <c r="D99" s="215" t="inlineStr">
        <is>
          <t>K010-901504622</t>
        </is>
      </c>
      <c r="E99" s="290" t="n">
        <v>2500067</v>
      </c>
      <c r="F99" s="279" t="n">
        <v>45800</v>
      </c>
      <c r="G99" s="216" t="n"/>
      <c r="H99" s="564" t="n"/>
      <c r="I99" s="564" t="n">
        <v>235376</v>
      </c>
      <c r="J99" s="213" t="inlineStr">
        <is>
          <t>អនុញ្ញាត (បានប្រកាស)</t>
        </is>
      </c>
      <c r="K99" s="213" t="n"/>
      <c r="L99" s="563">
        <f>I99</f>
        <v/>
      </c>
      <c r="M99" s="536">
        <f>I99-L99</f>
        <v/>
      </c>
      <c r="N99" s="213" t="n"/>
      <c r="O99" s="218">
        <f>U99=E99</f>
        <v/>
      </c>
      <c r="P99" s="218">
        <f>MONTH(F99)-MONTH(T99)</f>
        <v/>
      </c>
      <c r="Q99" s="218">
        <f>$B$5=X99</f>
        <v/>
      </c>
      <c r="R99" s="218">
        <f>I99-AD99</f>
        <v/>
      </c>
      <c r="S99" s="298" t="n"/>
      <c r="T99" s="299" t="n">
        <v>45800</v>
      </c>
      <c r="U99" s="298" t="n">
        <v>2500067</v>
      </c>
      <c r="V99" s="298" t="n">
        <v>0</v>
      </c>
      <c r="W99" s="298" t="inlineStr">
        <is>
          <t>បុគ្គលជាប់អាករ</t>
        </is>
      </c>
      <c r="X99" s="298" t="inlineStr">
        <is>
          <t>L001-901640009</t>
        </is>
      </c>
      <c r="Y99" s="298" t="inlineStr">
        <is>
          <t>ហូលីដេ ឌីហ្សាញ (ខេមបូឌា) ឯ.ក</t>
        </is>
      </c>
      <c r="Z99" s="300" t="n">
        <v>2589140</v>
      </c>
      <c r="AA99" s="300" t="n">
        <v>2353764</v>
      </c>
      <c r="AB99" s="298" t="n">
        <v>0</v>
      </c>
      <c r="AC99" s="298" t="inlineStr">
        <is>
          <t>-</t>
        </is>
      </c>
      <c r="AD99" s="300" t="n">
        <v>235376</v>
      </c>
      <c r="AE99" s="298" t="n">
        <v>0</v>
      </c>
      <c r="AF99" s="562" t="n">
        <v>0</v>
      </c>
      <c r="AG99" s="198" t="n">
        <v>0</v>
      </c>
      <c r="AH99" s="198" t="n">
        <v>0</v>
      </c>
      <c r="AI99" s="198" t="n">
        <v>0</v>
      </c>
      <c r="AJ99" s="198" t="n">
        <v>0</v>
      </c>
      <c r="AK99" s="198" t="n">
        <v>0</v>
      </c>
      <c r="AL99" s="198" t="n">
        <v>0.01</v>
      </c>
      <c r="AM99" s="198" t="n">
        <v>0</v>
      </c>
      <c r="AN99" s="198" t="inlineStr">
        <is>
          <t>Protective case</t>
        </is>
      </c>
      <c r="AO99" s="198" t="inlineStr">
        <is>
          <t>បានប្រកាសនិងបង់ពន្ធ</t>
        </is>
      </c>
    </row>
    <row r="100">
      <c r="A100" s="212">
        <f>A99+1</f>
        <v/>
      </c>
      <c r="B100" s="214" t="inlineStr">
        <is>
          <t>Lift-On&amp;Lift-Off-Im</t>
        </is>
      </c>
      <c r="C100" s="214" t="inlineStr">
        <is>
          <t>Port Autonome Du Sihanoukville</t>
        </is>
      </c>
      <c r="D100" s="215" t="inlineStr">
        <is>
          <t>L001-100044638</t>
        </is>
      </c>
      <c r="E100" s="290" t="n">
        <v>253242</v>
      </c>
      <c r="F100" s="279" t="n">
        <v>45630</v>
      </c>
      <c r="G100" s="216" t="n"/>
      <c r="H100" s="564" t="n"/>
      <c r="I100" s="564" t="n">
        <v>175305</v>
      </c>
      <c r="J100" s="213" t="inlineStr">
        <is>
          <t>អនុញ្ញាត (បានប្រកាស)</t>
        </is>
      </c>
      <c r="K100" s="213" t="n"/>
      <c r="L100" s="563">
        <f>I100</f>
        <v/>
      </c>
      <c r="M100" s="536">
        <f>I100-L100</f>
        <v/>
      </c>
      <c r="N100" s="213" t="n"/>
      <c r="O100" s="218">
        <f>U100=E100</f>
        <v/>
      </c>
      <c r="P100" s="218">
        <f>MONTH(F100)-MONTH(T100)</f>
        <v/>
      </c>
      <c r="Q100" s="218">
        <f>$B$5=X100</f>
        <v/>
      </c>
      <c r="R100" s="218">
        <f>I100-AD100</f>
        <v/>
      </c>
      <c r="S100" s="298" t="n"/>
      <c r="T100" s="299" t="n">
        <v>45630</v>
      </c>
      <c r="U100" s="298" t="n">
        <v>253242</v>
      </c>
      <c r="V100" s="298" t="n">
        <v>0</v>
      </c>
      <c r="W100" s="298" t="inlineStr">
        <is>
          <t>បុគ្គលជាប់អាករ</t>
        </is>
      </c>
      <c r="X100" s="298" t="inlineStr">
        <is>
          <t>L001-901640009</t>
        </is>
      </c>
      <c r="Y100" s="298" t="inlineStr">
        <is>
          <t>ហូលីដេ ឌីហ្សាញ (ខេមបូឌា) ឯ.ក</t>
        </is>
      </c>
      <c r="Z100" s="300" t="n">
        <v>1928355</v>
      </c>
      <c r="AA100" s="300" t="n">
        <v>1753050</v>
      </c>
      <c r="AB100" s="298" t="n">
        <v>0</v>
      </c>
      <c r="AC100" s="298" t="inlineStr">
        <is>
          <t>-</t>
        </is>
      </c>
      <c r="AD100" s="300" t="n">
        <v>175305</v>
      </c>
      <c r="AE100" s="298" t="n"/>
      <c r="AF100" s="562" t="n"/>
    </row>
    <row r="101">
      <c r="A101" s="212">
        <f>A100+1</f>
        <v/>
      </c>
      <c r="B101" s="214" t="inlineStr">
        <is>
          <t>Lift-On&amp;Lift-Off-Im</t>
        </is>
      </c>
      <c r="C101" s="214" t="inlineStr">
        <is>
          <t>Port Autonome Du Sihanoukville</t>
        </is>
      </c>
      <c r="D101" s="215" t="inlineStr">
        <is>
          <t>L001-100044638</t>
        </is>
      </c>
      <c r="E101" s="290" t="n">
        <v>264225</v>
      </c>
      <c r="F101" s="279" t="n">
        <v>45644</v>
      </c>
      <c r="G101" s="216" t="n"/>
      <c r="H101" s="564" t="n"/>
      <c r="I101" s="564" t="n">
        <v>206277</v>
      </c>
      <c r="J101" s="213" t="inlineStr">
        <is>
          <t>អនុញ្ញាត (បានប្រកាស)</t>
        </is>
      </c>
      <c r="K101" s="213" t="n"/>
      <c r="L101" s="563">
        <f>I101</f>
        <v/>
      </c>
      <c r="M101" s="536">
        <f>I101-L101</f>
        <v/>
      </c>
      <c r="N101" s="213" t="n"/>
      <c r="O101" s="218">
        <f>U101=E101</f>
        <v/>
      </c>
      <c r="P101" s="218">
        <f>MONTH(F101)-MONTH(T101)</f>
        <v/>
      </c>
      <c r="Q101" s="218">
        <f>$B$5=X101</f>
        <v/>
      </c>
      <c r="R101" s="218">
        <f>I101-AD101</f>
        <v/>
      </c>
      <c r="S101" s="298" t="n"/>
      <c r="T101" s="299" t="n">
        <v>45644</v>
      </c>
      <c r="U101" s="298" t="n">
        <v>264225</v>
      </c>
      <c r="V101" s="298" t="n">
        <v>0</v>
      </c>
      <c r="W101" s="298" t="inlineStr">
        <is>
          <t>បុគ្គលជាប់អាករ</t>
        </is>
      </c>
      <c r="X101" s="298" t="inlineStr">
        <is>
          <t>L001-901640009</t>
        </is>
      </c>
      <c r="Y101" s="298" t="inlineStr">
        <is>
          <t>ហូលីដេ ឌីហ្សាញ (ខេមបូឌា) ឯ.ក</t>
        </is>
      </c>
      <c r="Z101" s="300" t="n">
        <v>2269050</v>
      </c>
      <c r="AA101" s="300" t="n">
        <v>2062773</v>
      </c>
      <c r="AB101" s="298" t="n">
        <v>0</v>
      </c>
      <c r="AC101" s="298" t="inlineStr">
        <is>
          <t>-</t>
        </is>
      </c>
      <c r="AD101" s="300" t="n">
        <v>206277</v>
      </c>
      <c r="AE101" s="298" t="n"/>
      <c r="AF101" s="562" t="n"/>
    </row>
    <row r="102">
      <c r="A102" s="212">
        <f>A101+1</f>
        <v/>
      </c>
      <c r="B102" s="214" t="inlineStr">
        <is>
          <t>Terminal Handling Service-Im</t>
        </is>
      </c>
      <c r="C102" s="214" t="inlineStr">
        <is>
          <t>SITC CONTAINER LINES (CAMBODIA) Co., Ltd.</t>
        </is>
      </c>
      <c r="D102" s="215" t="inlineStr">
        <is>
          <t>L001-107035863</t>
        </is>
      </c>
      <c r="E102" s="290" t="inlineStr">
        <is>
          <t>SITC2024-038868</t>
        </is>
      </c>
      <c r="F102" s="279" t="n">
        <v>45638</v>
      </c>
      <c r="G102" s="216" t="n"/>
      <c r="H102" s="564" t="n"/>
      <c r="I102" s="564" t="n">
        <v>1108416</v>
      </c>
      <c r="J102" s="213" t="inlineStr">
        <is>
          <t>អនុញ្ញាត (បានប្រកាស)</t>
        </is>
      </c>
      <c r="K102" s="213" t="n"/>
      <c r="L102" s="563">
        <f>I102</f>
        <v/>
      </c>
      <c r="M102" s="536">
        <f>I102-L102</f>
        <v/>
      </c>
      <c r="N102" s="213" t="n"/>
      <c r="O102" s="218">
        <f>U102=E102</f>
        <v/>
      </c>
      <c r="P102" s="218">
        <f>MONTH(F102)-MONTH(T102)</f>
        <v/>
      </c>
      <c r="Q102" s="218">
        <f>$B$5=X102</f>
        <v/>
      </c>
      <c r="R102" s="218">
        <f>I102-AD102</f>
        <v/>
      </c>
      <c r="S102" s="298" t="n"/>
      <c r="T102" s="299" t="n">
        <v>45638</v>
      </c>
      <c r="U102" s="298" t="inlineStr">
        <is>
          <t>SITC2024-038868</t>
        </is>
      </c>
      <c r="V102" s="298" t="n">
        <v>0</v>
      </c>
      <c r="W102" s="298" t="inlineStr">
        <is>
          <t>បុគ្គលជាប់អាករ</t>
        </is>
      </c>
      <c r="X102" s="298" t="inlineStr">
        <is>
          <t>L001-901640009</t>
        </is>
      </c>
      <c r="Y102" s="298" t="inlineStr">
        <is>
          <t>ហូលីដេ ឌីហ្សាញ (ខេមបូឌា) ឯ.ក</t>
        </is>
      </c>
      <c r="Z102" s="300" t="n">
        <v>12192576</v>
      </c>
      <c r="AA102" s="300" t="n">
        <v>11084160</v>
      </c>
      <c r="AB102" s="298" t="n">
        <v>0</v>
      </c>
      <c r="AC102" s="298" t="inlineStr">
        <is>
          <t>-</t>
        </is>
      </c>
      <c r="AD102" s="300" t="n">
        <v>1108416</v>
      </c>
      <c r="AE102" s="298" t="n">
        <v>0</v>
      </c>
      <c r="AF102" s="562" t="n">
        <v>0</v>
      </c>
      <c r="AG102" s="198" t="n">
        <v>0</v>
      </c>
      <c r="AH102" s="198" t="n">
        <v>0</v>
      </c>
      <c r="AI102" s="198" t="n">
        <v>0</v>
      </c>
      <c r="AJ102" s="198" t="n">
        <v>0</v>
      </c>
      <c r="AK102" s="198" t="n">
        <v>0</v>
      </c>
      <c r="AL102" s="198" t="n">
        <v>0.01</v>
      </c>
      <c r="AM102" s="198" t="n">
        <v>0</v>
      </c>
      <c r="AN102" s="198" t="inlineStr">
        <is>
          <t>EIB,EMF,KHCIC,KHDOC,KHTHC</t>
        </is>
      </c>
    </row>
    <row r="103">
      <c r="A103" s="212">
        <f>A102+1</f>
        <v/>
      </c>
      <c r="B103" s="214" t="inlineStr">
        <is>
          <t>Trucking Fee-Im</t>
        </is>
      </c>
      <c r="C103" s="214" t="inlineStr">
        <is>
          <t>BRILLIANT TRANSPORT AND TRADING Co., Ltd.</t>
        </is>
      </c>
      <c r="D103" s="215" t="inlineStr">
        <is>
          <t>K002-100089305</t>
        </is>
      </c>
      <c r="E103" s="290" t="inlineStr">
        <is>
          <t>BTT24-0002585</t>
        </is>
      </c>
      <c r="F103" s="279" t="n">
        <v>45644</v>
      </c>
      <c r="G103" s="216" t="n"/>
      <c r="H103" s="564" t="n"/>
      <c r="I103" s="564" t="n">
        <v>2231655</v>
      </c>
      <c r="J103" s="213" t="inlineStr">
        <is>
          <t>អនុញ្ញាត (បានប្រកាស)</t>
        </is>
      </c>
      <c r="K103" s="213" t="n"/>
      <c r="L103" s="563">
        <f>I103</f>
        <v/>
      </c>
      <c r="M103" s="536">
        <f>I103-L103</f>
        <v/>
      </c>
      <c r="N103" s="213" t="n"/>
      <c r="O103" s="218">
        <f>U103=E103</f>
        <v/>
      </c>
      <c r="P103" s="218">
        <f>MONTH(F103)-MONTH(T103)</f>
        <v/>
      </c>
      <c r="Q103" s="218">
        <f>$B$5=X103</f>
        <v/>
      </c>
      <c r="R103" s="218">
        <f>I103-AD103</f>
        <v/>
      </c>
      <c r="S103" s="298" t="n"/>
      <c r="T103" s="299" t="n">
        <v>45644</v>
      </c>
      <c r="U103" s="298" t="inlineStr">
        <is>
          <t>BTT24-0002585</t>
        </is>
      </c>
      <c r="V103" s="298" t="n">
        <v>0</v>
      </c>
      <c r="W103" s="298" t="inlineStr">
        <is>
          <t>បុគ្គលជាប់អាករ</t>
        </is>
      </c>
      <c r="X103" s="298" t="inlineStr">
        <is>
          <t>L001-901640009</t>
        </is>
      </c>
      <c r="Y103" s="298" t="inlineStr">
        <is>
          <t>ហូលីដេ ឌីហ្សាញ (ខេមបូឌា) ឯ.ក</t>
        </is>
      </c>
      <c r="Z103" s="300" t="n">
        <v>24548205</v>
      </c>
      <c r="AA103" s="300" t="n">
        <v>22316550</v>
      </c>
      <c r="AB103" s="298" t="n">
        <v>0</v>
      </c>
      <c r="AC103" s="298" t="inlineStr">
        <is>
          <t>-</t>
        </is>
      </c>
      <c r="AD103" s="300" t="n">
        <v>2231655</v>
      </c>
      <c r="AE103" s="298" t="n">
        <v>0</v>
      </c>
      <c r="AF103" s="562" t="n">
        <v>0</v>
      </c>
      <c r="AG103" s="198" t="n">
        <v>0</v>
      </c>
      <c r="AH103" s="198" t="n">
        <v>0</v>
      </c>
      <c r="AI103" s="198" t="n">
        <v>0</v>
      </c>
      <c r="AJ103" s="198" t="n">
        <v>0</v>
      </c>
      <c r="AK103" s="198" t="n">
        <v>0</v>
      </c>
      <c r="AL103" s="198" t="n">
        <v>0.01</v>
      </c>
      <c r="AM103" s="198" t="n">
        <v>0</v>
      </c>
      <c r="AN103" s="198" t="inlineStr">
        <is>
          <t>Truking / Service</t>
        </is>
      </c>
    </row>
    <row r="104">
      <c r="A104" s="212">
        <f>A103+1</f>
        <v/>
      </c>
      <c r="B104" s="214" t="inlineStr">
        <is>
          <t>Lift-On&amp;Lift-Off-Im</t>
        </is>
      </c>
      <c r="C104" s="214" t="inlineStr">
        <is>
          <t>Port Autonome Du Sihanoukville</t>
        </is>
      </c>
      <c r="D104" s="215" t="inlineStr">
        <is>
          <t>L001-100044638</t>
        </is>
      </c>
      <c r="E104" s="290" t="n">
        <v>264000</v>
      </c>
      <c r="F104" s="279" t="n">
        <v>45643</v>
      </c>
      <c r="G104" s="216" t="n"/>
      <c r="H104" s="564" t="n"/>
      <c r="I104" s="564" t="n">
        <v>337596</v>
      </c>
      <c r="J104" s="213" t="inlineStr">
        <is>
          <t>អនុញ្ញាត (បានប្រកាស)</t>
        </is>
      </c>
      <c r="K104" s="213" t="n"/>
      <c r="L104" s="563">
        <f>I104</f>
        <v/>
      </c>
      <c r="M104" s="536">
        <f>I104-L104</f>
        <v/>
      </c>
      <c r="N104" s="213" t="n"/>
      <c r="O104" s="218">
        <f>U104=E104</f>
        <v/>
      </c>
      <c r="P104" s="218">
        <f>MONTH(F104)-MONTH(T104)</f>
        <v/>
      </c>
      <c r="Q104" s="218">
        <f>$B$5=X104</f>
        <v/>
      </c>
      <c r="R104" s="218">
        <f>I104-AD104</f>
        <v/>
      </c>
      <c r="S104" s="298" t="n"/>
      <c r="T104" s="299" t="n">
        <v>45643</v>
      </c>
      <c r="U104" s="298" t="n">
        <v>264000</v>
      </c>
      <c r="V104" s="298" t="n">
        <v>0</v>
      </c>
      <c r="W104" s="298" t="inlineStr">
        <is>
          <t>បុគ្គលជាប់អាករ</t>
        </is>
      </c>
      <c r="X104" s="298" t="inlineStr">
        <is>
          <t>L001-901640009</t>
        </is>
      </c>
      <c r="Y104" s="298" t="inlineStr">
        <is>
          <t>ហូលីដេ ឌីហ្សាញ (ខេមបូឌា) ឯ.ក</t>
        </is>
      </c>
      <c r="Z104" s="300" t="n">
        <v>3713556</v>
      </c>
      <c r="AA104" s="300" t="n">
        <v>3375960</v>
      </c>
      <c r="AB104" s="298" t="n">
        <v>0</v>
      </c>
      <c r="AC104" s="298" t="inlineStr">
        <is>
          <t>-</t>
        </is>
      </c>
      <c r="AD104" s="300" t="n">
        <v>337596</v>
      </c>
      <c r="AE104" s="298" t="n"/>
      <c r="AF104" s="562" t="n"/>
    </row>
    <row r="105">
      <c r="A105" s="212">
        <f>A104+1</f>
        <v/>
      </c>
      <c r="B105" s="214" t="inlineStr">
        <is>
          <t>Terminal Handling Service-Im</t>
        </is>
      </c>
      <c r="C105" s="214" t="inlineStr">
        <is>
          <t>SITC CONTAINER LINES (CAMBODIA) Co., Ltd.</t>
        </is>
      </c>
      <c r="D105" s="215" t="inlineStr">
        <is>
          <t>L001-107035863</t>
        </is>
      </c>
      <c r="E105" s="290" t="inlineStr">
        <is>
          <t>SITC2024-039126</t>
        </is>
      </c>
      <c r="F105" s="279" t="n">
        <v>45639</v>
      </c>
      <c r="G105" s="216" t="n"/>
      <c r="H105" s="564" t="n"/>
      <c r="I105" s="564" t="n">
        <v>2026584</v>
      </c>
      <c r="J105" s="213" t="inlineStr">
        <is>
          <t>អនុញ្ញាត (បានប្រកាស)</t>
        </is>
      </c>
      <c r="K105" s="213" t="n"/>
      <c r="L105" s="563">
        <f>I105</f>
        <v/>
      </c>
      <c r="M105" s="536">
        <f>I105-L105</f>
        <v/>
      </c>
      <c r="N105" s="213" t="n"/>
      <c r="O105" s="218">
        <f>U105=E105</f>
        <v/>
      </c>
      <c r="P105" s="218">
        <f>MONTH(F105)-MONTH(T105)</f>
        <v/>
      </c>
      <c r="Q105" s="218">
        <f>$B$5=X105</f>
        <v/>
      </c>
      <c r="R105" s="218">
        <f>I105-AD105</f>
        <v/>
      </c>
      <c r="S105" s="298" t="n"/>
      <c r="T105" s="299" t="n">
        <v>45639</v>
      </c>
      <c r="U105" s="298" t="inlineStr">
        <is>
          <t>SITC2024-039126</t>
        </is>
      </c>
      <c r="V105" s="298" t="n">
        <v>0</v>
      </c>
      <c r="W105" s="298" t="inlineStr">
        <is>
          <t>បុគ្គលជាប់អាករ</t>
        </is>
      </c>
      <c r="X105" s="298" t="inlineStr">
        <is>
          <t>L001-901640009</t>
        </is>
      </c>
      <c r="Y105" s="298" t="inlineStr">
        <is>
          <t>ហូលីដេ ឌីហ្សាញ (ខេមបូឌា) ឯ.ក</t>
        </is>
      </c>
      <c r="Z105" s="300" t="n">
        <v>22292424</v>
      </c>
      <c r="AA105" s="300" t="n">
        <v>20265840</v>
      </c>
      <c r="AB105" s="298" t="n">
        <v>0</v>
      </c>
      <c r="AC105" s="298" t="inlineStr">
        <is>
          <t>-</t>
        </is>
      </c>
      <c r="AD105" s="300" t="n">
        <v>2026584</v>
      </c>
      <c r="AE105" s="298" t="n">
        <v>0</v>
      </c>
      <c r="AF105" s="562" t="n">
        <v>0</v>
      </c>
      <c r="AG105" s="198" t="n">
        <v>0</v>
      </c>
      <c r="AH105" s="198" t="n">
        <v>0</v>
      </c>
      <c r="AI105" s="198" t="n">
        <v>0</v>
      </c>
      <c r="AJ105" s="198" t="n">
        <v>0</v>
      </c>
      <c r="AK105" s="198" t="n">
        <v>0</v>
      </c>
      <c r="AL105" s="198" t="n">
        <v>0.01</v>
      </c>
      <c r="AM105" s="198" t="n">
        <v>0</v>
      </c>
      <c r="AN105" s="198" t="inlineStr">
        <is>
          <t>KHTHC,KHCIC,KHTHC,EIB,KHDOC,KHCIC,EIB,EMF,EMF</t>
        </is>
      </c>
    </row>
    <row r="106">
      <c r="A106" s="212">
        <f>A105+1</f>
        <v/>
      </c>
      <c r="B106" s="214" t="inlineStr">
        <is>
          <t>Trucking Fee-Im</t>
        </is>
      </c>
      <c r="C106" s="214" t="inlineStr">
        <is>
          <t>BRILLIANT TRANSPORT AND TRADING Co., Ltd.</t>
        </is>
      </c>
      <c r="D106" s="215" t="inlineStr">
        <is>
          <t>K002-100089305</t>
        </is>
      </c>
      <c r="E106" s="290" t="inlineStr">
        <is>
          <t>BTT24-0002584</t>
        </is>
      </c>
      <c r="F106" s="279" t="n">
        <v>45643</v>
      </c>
      <c r="G106" s="216" t="n"/>
      <c r="H106" s="564" t="n"/>
      <c r="I106" s="564" t="n">
        <v>2347096</v>
      </c>
      <c r="J106" s="213" t="inlineStr">
        <is>
          <t>អនុញ្ញាត (បានប្រកាស)</t>
        </is>
      </c>
      <c r="K106" s="213" t="n"/>
      <c r="L106" s="563">
        <f>I106</f>
        <v/>
      </c>
      <c r="M106" s="536">
        <f>I106-L106</f>
        <v/>
      </c>
      <c r="N106" s="213" t="n"/>
      <c r="O106" s="218">
        <f>U106=E106</f>
        <v/>
      </c>
      <c r="P106" s="218">
        <f>MONTH(F106)-MONTH(T106)</f>
        <v/>
      </c>
      <c r="Q106" s="218">
        <f>$B$5=X106</f>
        <v/>
      </c>
      <c r="R106" s="218">
        <f>I106-AD106</f>
        <v/>
      </c>
      <c r="S106" s="298" t="n"/>
      <c r="T106" s="299" t="n">
        <v>45643</v>
      </c>
      <c r="U106" s="298" t="inlineStr">
        <is>
          <t>BTT24-0002584</t>
        </is>
      </c>
      <c r="V106" s="298" t="n">
        <v>0</v>
      </c>
      <c r="W106" s="298" t="inlineStr">
        <is>
          <t>បុគ្គលជាប់អាករ</t>
        </is>
      </c>
      <c r="X106" s="298" t="inlineStr">
        <is>
          <t>L001-901640009</t>
        </is>
      </c>
      <c r="Y106" s="298" t="inlineStr">
        <is>
          <t>ហូលីដេ ឌីហ្សាញ (ខេមបូឌា) ឯ.ក</t>
        </is>
      </c>
      <c r="Z106" s="300" t="n">
        <v>25818056</v>
      </c>
      <c r="AA106" s="300" t="n">
        <v>23470960</v>
      </c>
      <c r="AB106" s="298" t="n">
        <v>0</v>
      </c>
      <c r="AC106" s="298" t="inlineStr">
        <is>
          <t>-</t>
        </is>
      </c>
      <c r="AD106" s="300" t="n">
        <v>2347096</v>
      </c>
      <c r="AE106" s="298" t="n">
        <v>0</v>
      </c>
      <c r="AF106" s="562" t="n">
        <v>0</v>
      </c>
      <c r="AG106" s="198" t="n">
        <v>0</v>
      </c>
      <c r="AH106" s="198" t="n">
        <v>0</v>
      </c>
      <c r="AI106" s="198" t="n">
        <v>0</v>
      </c>
      <c r="AJ106" s="198" t="n">
        <v>0</v>
      </c>
      <c r="AK106" s="198" t="n">
        <v>0</v>
      </c>
      <c r="AL106" s="198" t="n">
        <v>0.01</v>
      </c>
      <c r="AM106" s="198" t="n">
        <v>0</v>
      </c>
      <c r="AN106" s="198" t="inlineStr">
        <is>
          <t>Truking / Service</t>
        </is>
      </c>
    </row>
    <row r="107">
      <c r="A107" s="212">
        <f>A106+1</f>
        <v/>
      </c>
      <c r="B107" s="214" t="inlineStr">
        <is>
          <t>Lift-On&amp;Lift-Off-Im</t>
        </is>
      </c>
      <c r="C107" s="214" t="inlineStr">
        <is>
          <t>Port Autonome Du Sihanoukville</t>
        </is>
      </c>
      <c r="D107" s="215" t="inlineStr">
        <is>
          <t>L001-100044638</t>
        </is>
      </c>
      <c r="E107" s="290" t="n">
        <v>256639</v>
      </c>
      <c r="F107" s="279" t="n">
        <v>45635</v>
      </c>
      <c r="G107" s="216" t="n"/>
      <c r="H107" s="564" t="n"/>
      <c r="I107" s="564" t="n">
        <v>175175</v>
      </c>
      <c r="J107" s="213" t="inlineStr">
        <is>
          <t>អនុញ្ញាត (បានប្រកាស)</t>
        </is>
      </c>
      <c r="K107" s="213" t="n"/>
      <c r="L107" s="563">
        <f>I107</f>
        <v/>
      </c>
      <c r="M107" s="536">
        <f>I107-L107</f>
        <v/>
      </c>
      <c r="N107" s="213" t="n"/>
      <c r="O107" s="218">
        <f>U107=E107</f>
        <v/>
      </c>
      <c r="P107" s="218">
        <f>MONTH(F107)-MONTH(T107)</f>
        <v/>
      </c>
      <c r="Q107" s="218">
        <f>$B$5=X107</f>
        <v/>
      </c>
      <c r="R107" s="218">
        <f>I107-AD107</f>
        <v/>
      </c>
      <c r="S107" s="298" t="n"/>
      <c r="T107" s="299" t="n">
        <v>45635</v>
      </c>
      <c r="U107" s="298" t="n">
        <v>256639</v>
      </c>
      <c r="V107" s="298" t="n">
        <v>0</v>
      </c>
      <c r="W107" s="298" t="inlineStr">
        <is>
          <t>បុគ្គលជាប់អាករ</t>
        </is>
      </c>
      <c r="X107" s="298" t="inlineStr">
        <is>
          <t>L001-901640009</t>
        </is>
      </c>
      <c r="Y107" s="298" t="inlineStr">
        <is>
          <t>ហូលីដេ ឌីហ្សាញ (ខេមបូឌា) ឯ.ក</t>
        </is>
      </c>
      <c r="Z107" s="300" t="n">
        <v>1926920</v>
      </c>
      <c r="AA107" s="300" t="n">
        <v>1751745</v>
      </c>
      <c r="AB107" s="298" t="n">
        <v>0</v>
      </c>
      <c r="AC107" s="298" t="inlineStr">
        <is>
          <t>-</t>
        </is>
      </c>
      <c r="AD107" s="300" t="n">
        <v>175175</v>
      </c>
      <c r="AE107" s="298" t="n"/>
      <c r="AF107" s="562" t="n"/>
    </row>
    <row r="108">
      <c r="A108" s="212">
        <f>A107+1</f>
        <v/>
      </c>
      <c r="B108" s="214" t="inlineStr">
        <is>
          <t>Tax Filling for 09-2024</t>
        </is>
      </c>
      <c r="C108" s="214" t="inlineStr">
        <is>
          <t>L S CONSULTING CO., LTD.</t>
        </is>
      </c>
      <c r="D108" s="215" t="inlineStr">
        <is>
          <t>K010-901700169</t>
        </is>
      </c>
      <c r="E108" s="290" t="inlineStr">
        <is>
          <t>24-00887</t>
        </is>
      </c>
      <c r="F108" s="279" t="n">
        <v>45570</v>
      </c>
      <c r="G108" s="216" t="n"/>
      <c r="H108" s="564" t="n"/>
      <c r="I108" s="564" t="n">
        <v>121770</v>
      </c>
      <c r="J108" s="213" t="inlineStr">
        <is>
          <t>អនុញ្ញាត (បានប្រកាស)</t>
        </is>
      </c>
      <c r="K108" s="213" t="n"/>
      <c r="L108" s="563">
        <f>I108</f>
        <v/>
      </c>
      <c r="M108" s="536">
        <f>I108-L108</f>
        <v/>
      </c>
      <c r="N108" s="213" t="n"/>
      <c r="O108" s="218">
        <f>U108=E108</f>
        <v/>
      </c>
      <c r="P108" s="218">
        <f>MONTH(F108)-MONTH(T108)</f>
        <v/>
      </c>
      <c r="Q108" s="218">
        <f>$B$5=X108</f>
        <v/>
      </c>
      <c r="R108" s="218">
        <f>I108-AD108</f>
        <v/>
      </c>
      <c r="S108" s="298" t="n"/>
      <c r="T108" s="299" t="n">
        <v>45570</v>
      </c>
      <c r="U108" s="298" t="inlineStr">
        <is>
          <t>24-00887</t>
        </is>
      </c>
      <c r="V108" s="298" t="n">
        <v>0</v>
      </c>
      <c r="W108" s="298" t="inlineStr">
        <is>
          <t>បុគ្គលជាប់អាករ</t>
        </is>
      </c>
      <c r="X108" s="298" t="inlineStr">
        <is>
          <t>L001-901640009</t>
        </is>
      </c>
      <c r="Y108" s="298" t="inlineStr">
        <is>
          <t>ហូលីដេ ឌីហ្សាញ (ខេមបូឌា) ឯ.ក</t>
        </is>
      </c>
      <c r="Z108" s="300" t="n">
        <v>1339470</v>
      </c>
      <c r="AA108" s="300" t="n">
        <v>1217700</v>
      </c>
      <c r="AB108" s="298" t="n">
        <v>0</v>
      </c>
      <c r="AC108" s="298" t="inlineStr">
        <is>
          <t>-</t>
        </is>
      </c>
      <c r="AD108" s="300" t="n">
        <v>121770</v>
      </c>
      <c r="AE108" s="298" t="n">
        <v>0</v>
      </c>
      <c r="AF108" s="562" t="n">
        <v>0</v>
      </c>
      <c r="AG108" s="198" t="n">
        <v>0</v>
      </c>
      <c r="AH108" s="198" t="n">
        <v>0</v>
      </c>
      <c r="AI108" s="198" t="n">
        <v>0</v>
      </c>
      <c r="AJ108" s="198" t="n">
        <v>0</v>
      </c>
      <c r="AK108" s="198" t="n">
        <v>0</v>
      </c>
      <c r="AL108" s="198" t="n">
        <v>0.01</v>
      </c>
      <c r="AM108" s="198" t="n">
        <v>0</v>
      </c>
      <c r="AN108" s="198" t="inlineStr">
        <is>
          <t>Tax Filling fee</t>
        </is>
      </c>
      <c r="AO108" s="198" t="inlineStr">
        <is>
          <t>បានប្រកាសនិងបង់ពន្ធ</t>
        </is>
      </c>
    </row>
    <row r="109">
      <c r="A109" s="212">
        <f>A108+1</f>
        <v/>
      </c>
      <c r="B109" s="214" t="inlineStr">
        <is>
          <t>Trucking Fee-Im</t>
        </is>
      </c>
      <c r="C109" s="214" t="inlineStr">
        <is>
          <t>BRILLIANT TRANSPORT AND TRADING Co., Ltd.</t>
        </is>
      </c>
      <c r="D109" s="215" t="inlineStr">
        <is>
          <t>K002-100089305</t>
        </is>
      </c>
      <c r="E109" s="290" t="inlineStr">
        <is>
          <t>BTT24-0002533</t>
        </is>
      </c>
      <c r="F109" s="279" t="n">
        <v>45635</v>
      </c>
      <c r="G109" s="216" t="n"/>
      <c r="H109" s="564" t="n"/>
      <c r="I109" s="564" t="n">
        <v>1191992</v>
      </c>
      <c r="J109" s="213" t="inlineStr">
        <is>
          <t>អនុញ្ញាត (បានប្រកាស)</t>
        </is>
      </c>
      <c r="K109" s="213" t="n"/>
      <c r="L109" s="563">
        <f>I109</f>
        <v/>
      </c>
      <c r="M109" s="536">
        <f>I109-L109</f>
        <v/>
      </c>
      <c r="N109" s="213" t="n"/>
      <c r="O109" s="218">
        <f>U109=E109</f>
        <v/>
      </c>
      <c r="P109" s="218">
        <f>MONTH(F109)-MONTH(T109)</f>
        <v/>
      </c>
      <c r="Q109" s="218">
        <f>$B$5=X109</f>
        <v/>
      </c>
      <c r="R109" s="218">
        <f>I109-AD109</f>
        <v/>
      </c>
      <c r="S109" s="298" t="inlineStr">
        <is>
          <t>មិនបានប្រកាស</t>
        </is>
      </c>
      <c r="T109" s="299" t="n">
        <v>45635</v>
      </c>
      <c r="U109" s="298" t="inlineStr">
        <is>
          <t>BTT24-0002533</t>
        </is>
      </c>
      <c r="V109" s="298" t="n">
        <v>0</v>
      </c>
      <c r="W109" s="298" t="inlineStr">
        <is>
          <t>បុគ្គលជាប់អាករ</t>
        </is>
      </c>
      <c r="X109" s="298" t="inlineStr">
        <is>
          <t>L001-901640009</t>
        </is>
      </c>
      <c r="Y109" s="298" t="inlineStr">
        <is>
          <t>ហូលីដេ ឌីហ្សាញ (ខេមបូឌា) ឯ.ក</t>
        </is>
      </c>
      <c r="Z109" s="300" t="n">
        <v>13111912</v>
      </c>
      <c r="AA109" s="300" t="n">
        <v>11919920</v>
      </c>
      <c r="AB109" s="298" t="n">
        <v>0</v>
      </c>
      <c r="AC109" s="298" t="inlineStr">
        <is>
          <t>-</t>
        </is>
      </c>
      <c r="AD109" s="300" t="n">
        <v>1191992</v>
      </c>
      <c r="AE109" s="298" t="n">
        <v>0</v>
      </c>
      <c r="AF109" s="562" t="n">
        <v>0</v>
      </c>
      <c r="AG109" s="198" t="n">
        <v>0</v>
      </c>
      <c r="AH109" s="198" t="n">
        <v>0</v>
      </c>
      <c r="AI109" s="198" t="n">
        <v>0</v>
      </c>
      <c r="AJ109" s="198" t="n">
        <v>0</v>
      </c>
      <c r="AK109" s="198" t="n">
        <v>0</v>
      </c>
      <c r="AL109" s="198" t="n">
        <v>0.01</v>
      </c>
      <c r="AM109" s="198" t="n">
        <v>0</v>
      </c>
      <c r="AN109" s="198" t="inlineStr">
        <is>
          <t>Truking / Service</t>
        </is>
      </c>
    </row>
    <row r="110">
      <c r="A110" s="212">
        <f>A109+1</f>
        <v/>
      </c>
      <c r="B110" s="214" t="inlineStr">
        <is>
          <t>Lift-On&amp;Lift-Off-Im</t>
        </is>
      </c>
      <c r="C110" s="214" t="inlineStr">
        <is>
          <t>Port Autonome Du Sihanoukville</t>
        </is>
      </c>
      <c r="D110" s="215" t="inlineStr">
        <is>
          <t>L001-100044638</t>
        </is>
      </c>
      <c r="E110" s="290" t="n">
        <v>256938</v>
      </c>
      <c r="F110" s="279" t="n">
        <v>45635</v>
      </c>
      <c r="G110" s="216" t="n"/>
      <c r="H110" s="564" t="n"/>
      <c r="I110" s="564" t="n">
        <v>183631</v>
      </c>
      <c r="J110" s="213" t="inlineStr">
        <is>
          <t>អនុញ្ញាត (បានប្រកាស)</t>
        </is>
      </c>
      <c r="K110" s="213" t="n"/>
      <c r="L110" s="563">
        <f>I110</f>
        <v/>
      </c>
      <c r="M110" s="536">
        <f>I110-L110</f>
        <v/>
      </c>
      <c r="N110" s="213" t="n"/>
      <c r="O110" s="218">
        <f>U110=E110</f>
        <v/>
      </c>
      <c r="P110" s="218">
        <f>MONTH(F110)-MONTH(T110)</f>
        <v/>
      </c>
      <c r="Q110" s="218">
        <f>$B$5=X110</f>
        <v/>
      </c>
      <c r="R110" s="218">
        <f>I110-AD110</f>
        <v/>
      </c>
      <c r="S110" s="298" t="n"/>
      <c r="T110" s="299" t="n">
        <v>45635</v>
      </c>
      <c r="U110" s="298" t="n">
        <v>256938</v>
      </c>
      <c r="V110" s="298" t="n">
        <v>0</v>
      </c>
      <c r="W110" s="298" t="inlineStr">
        <is>
          <t>បុគ្គលជាប់អាករ</t>
        </is>
      </c>
      <c r="X110" s="298" t="inlineStr">
        <is>
          <t>L001-901640009</t>
        </is>
      </c>
      <c r="Y110" s="298" t="inlineStr">
        <is>
          <t>ហូលីដេ ឌីហ្សាញ (ខេមបូឌា) ឯ.ក</t>
        </is>
      </c>
      <c r="Z110" s="300" t="n">
        <v>2019943</v>
      </c>
      <c r="AA110" s="300" t="n">
        <v>1836312</v>
      </c>
      <c r="AB110" s="298" t="n">
        <v>0</v>
      </c>
      <c r="AC110" s="298" t="inlineStr">
        <is>
          <t>-</t>
        </is>
      </c>
      <c r="AD110" s="300" t="n">
        <v>183631</v>
      </c>
      <c r="AE110" s="298" t="n"/>
      <c r="AF110" s="562" t="n"/>
    </row>
    <row r="111">
      <c r="A111" s="212">
        <f>A110+1</f>
        <v/>
      </c>
      <c r="B111" s="214" t="inlineStr">
        <is>
          <t>Terminal Handling Service-Im</t>
        </is>
      </c>
      <c r="C111" s="214" t="inlineStr">
        <is>
          <t>SITC CONTAINER LINES (CAMBODIA) Co., Ltd.</t>
        </is>
      </c>
      <c r="D111" s="215" t="inlineStr">
        <is>
          <t>L001-107035863</t>
        </is>
      </c>
      <c r="E111" s="290" t="inlineStr">
        <is>
          <t>SITC2024-037686</t>
        </is>
      </c>
      <c r="F111" s="279" t="n">
        <v>45629</v>
      </c>
      <c r="G111" s="216" t="n"/>
      <c r="H111" s="564" t="n"/>
      <c r="I111" s="564" t="n">
        <v>991872</v>
      </c>
      <c r="J111" s="213" t="inlineStr">
        <is>
          <t>អនុញ្ញាត (បានប្រកាស)</t>
        </is>
      </c>
      <c r="K111" s="213" t="n"/>
      <c r="L111" s="563">
        <f>I111</f>
        <v/>
      </c>
      <c r="M111" s="536">
        <f>I111-L111</f>
        <v/>
      </c>
      <c r="N111" s="213" t="n"/>
      <c r="O111" s="218">
        <f>U111=E111</f>
        <v/>
      </c>
      <c r="P111" s="218">
        <f>MONTH(F111)-MONTH(T111)</f>
        <v/>
      </c>
      <c r="Q111" s="218">
        <f>$B$5=X111</f>
        <v/>
      </c>
      <c r="R111" s="218">
        <f>I111-AD111</f>
        <v/>
      </c>
      <c r="S111" s="298" t="inlineStr">
        <is>
          <t>មិនបានប្រកាស</t>
        </is>
      </c>
      <c r="T111" s="299" t="n">
        <v>45629</v>
      </c>
      <c r="U111" s="298" t="inlineStr">
        <is>
          <t>SITC2024-037686</t>
        </is>
      </c>
      <c r="V111" s="298" t="n">
        <v>0</v>
      </c>
      <c r="W111" s="298" t="inlineStr">
        <is>
          <t>បុគ្គលជាប់អាករ</t>
        </is>
      </c>
      <c r="X111" s="298" t="inlineStr">
        <is>
          <t>L001-901640009</t>
        </is>
      </c>
      <c r="Y111" s="298" t="inlineStr">
        <is>
          <t>ហូលីដេ ឌីហ្សាញ (ខេមបូឌា) ឯ.ក</t>
        </is>
      </c>
      <c r="Z111" s="300" t="n">
        <v>10910592</v>
      </c>
      <c r="AA111" s="300" t="n">
        <v>9918720</v>
      </c>
      <c r="AB111" s="298" t="n">
        <v>0</v>
      </c>
      <c r="AC111" s="298" t="inlineStr">
        <is>
          <t>-</t>
        </is>
      </c>
      <c r="AD111" s="300" t="n">
        <v>991872</v>
      </c>
      <c r="AE111" s="298" t="n">
        <v>0</v>
      </c>
      <c r="AF111" s="562" t="n">
        <v>0</v>
      </c>
      <c r="AG111" s="198" t="n">
        <v>0</v>
      </c>
      <c r="AH111" s="198" t="n">
        <v>0</v>
      </c>
      <c r="AI111" s="198" t="n">
        <v>0</v>
      </c>
      <c r="AJ111" s="198" t="n">
        <v>0</v>
      </c>
      <c r="AK111" s="198" t="n">
        <v>0</v>
      </c>
      <c r="AL111" s="198" t="n">
        <v>0.01</v>
      </c>
      <c r="AM111" s="198" t="n">
        <v>0</v>
      </c>
      <c r="AN111" s="198" t="inlineStr">
        <is>
          <t>EMF,KHTHC,EIB,KHCIC,KHDOC</t>
        </is>
      </c>
    </row>
    <row r="112">
      <c r="A112" s="212">
        <f>A111+1</f>
        <v/>
      </c>
      <c r="B112" s="214" t="inlineStr">
        <is>
          <t>Trucking Fee-Im</t>
        </is>
      </c>
      <c r="C112" s="214" t="inlineStr">
        <is>
          <t>BRILLIANT TRANSPORT AND TRADING Co., Ltd.</t>
        </is>
      </c>
      <c r="D112" s="215" t="inlineStr">
        <is>
          <t>K002-100089305</t>
        </is>
      </c>
      <c r="E112" s="290" t="inlineStr">
        <is>
          <t>BTT24-0002532</t>
        </is>
      </c>
      <c r="F112" s="279" t="n">
        <v>45635</v>
      </c>
      <c r="G112" s="216" t="n"/>
      <c r="H112" s="564" t="n"/>
      <c r="I112" s="564" t="n">
        <v>1989338</v>
      </c>
      <c r="J112" s="213" t="inlineStr">
        <is>
          <t>អនុញ្ញាត (បានប្រកាស)</t>
        </is>
      </c>
      <c r="K112" s="213" t="n"/>
      <c r="L112" s="563">
        <f>I112</f>
        <v/>
      </c>
      <c r="M112" s="536">
        <f>I112-L112</f>
        <v/>
      </c>
      <c r="N112" s="213" t="n"/>
      <c r="O112" s="218">
        <f>U112=E112</f>
        <v/>
      </c>
      <c r="P112" s="218">
        <f>MONTH(F112)-MONTH(T112)</f>
        <v/>
      </c>
      <c r="Q112" s="218">
        <f>$B$5=X112</f>
        <v/>
      </c>
      <c r="R112" s="218">
        <f>I112-AD112</f>
        <v/>
      </c>
      <c r="S112" s="298" t="n"/>
      <c r="T112" s="299" t="n">
        <v>45635</v>
      </c>
      <c r="U112" s="298" t="inlineStr">
        <is>
          <t>BTT24-0002532</t>
        </is>
      </c>
      <c r="V112" s="298" t="n">
        <v>0</v>
      </c>
      <c r="W112" s="298" t="inlineStr">
        <is>
          <t>បុគ្គលជាប់អាករ</t>
        </is>
      </c>
      <c r="X112" s="298" t="inlineStr">
        <is>
          <t>L001-901640009</t>
        </is>
      </c>
      <c r="Y112" s="298" t="inlineStr">
        <is>
          <t>ហូលីដេ ឌីហ្សាញ (ខេមបូឌា) ឯ.ក</t>
        </is>
      </c>
      <c r="Z112" s="300" t="n">
        <v>21882718</v>
      </c>
      <c r="AA112" s="300" t="n">
        <v>19893380</v>
      </c>
      <c r="AB112" s="298" t="n">
        <v>0</v>
      </c>
      <c r="AC112" s="298" t="inlineStr">
        <is>
          <t>-</t>
        </is>
      </c>
      <c r="AD112" s="300" t="n">
        <v>1989338</v>
      </c>
      <c r="AE112" s="298" t="n">
        <v>0</v>
      </c>
      <c r="AF112" s="562" t="n">
        <v>0</v>
      </c>
      <c r="AG112" s="198" t="n">
        <v>0</v>
      </c>
      <c r="AH112" s="198" t="n">
        <v>0</v>
      </c>
      <c r="AI112" s="198" t="n">
        <v>0</v>
      </c>
      <c r="AJ112" s="198" t="n">
        <v>0</v>
      </c>
      <c r="AK112" s="198" t="n">
        <v>0</v>
      </c>
      <c r="AL112" s="198" t="n">
        <v>0.01</v>
      </c>
      <c r="AM112" s="198" t="n">
        <v>0</v>
      </c>
      <c r="AN112" s="198" t="inlineStr">
        <is>
          <t>Truking / Service</t>
        </is>
      </c>
    </row>
    <row r="113">
      <c r="A113" s="212">
        <f>A112+1</f>
        <v/>
      </c>
      <c r="B113" s="214" t="inlineStr">
        <is>
          <t>Lift-On&amp;Lift-Off-Im</t>
        </is>
      </c>
      <c r="C113" s="214" t="inlineStr">
        <is>
          <t>Port Autonome Du Sihanoukville</t>
        </is>
      </c>
      <c r="D113" s="215" t="inlineStr">
        <is>
          <t>L001-100044638</t>
        </is>
      </c>
      <c r="E113" s="290" t="n">
        <v>255973</v>
      </c>
      <c r="F113" s="279" t="n">
        <v>45633</v>
      </c>
      <c r="G113" s="216" t="n"/>
      <c r="H113" s="564" t="n"/>
      <c r="I113" s="564" t="n">
        <v>210262</v>
      </c>
      <c r="J113" s="213" t="inlineStr">
        <is>
          <t>អនុញ្ញាត (បានប្រកាស)</t>
        </is>
      </c>
      <c r="K113" s="213" t="n"/>
      <c r="L113" s="563">
        <f>I113</f>
        <v/>
      </c>
      <c r="M113" s="536">
        <f>I113-L113</f>
        <v/>
      </c>
      <c r="N113" s="213" t="n"/>
      <c r="O113" s="218">
        <f>U113=E113</f>
        <v/>
      </c>
      <c r="P113" s="218">
        <f>MONTH(F113)-MONTH(T113)</f>
        <v/>
      </c>
      <c r="Q113" s="218">
        <f>$B$5=X113</f>
        <v/>
      </c>
      <c r="R113" s="218">
        <f>I113-AD113</f>
        <v/>
      </c>
      <c r="S113" s="298" t="inlineStr">
        <is>
          <t>មិនបានប្រកាស</t>
        </is>
      </c>
      <c r="T113" s="299" t="n">
        <v>45633</v>
      </c>
      <c r="U113" s="298" t="n">
        <v>255973</v>
      </c>
      <c r="V113" s="298" t="n">
        <v>0</v>
      </c>
      <c r="W113" s="298" t="inlineStr">
        <is>
          <t>បុគ្គលជាប់អាករ</t>
        </is>
      </c>
      <c r="X113" s="298" t="inlineStr">
        <is>
          <t>L001-901640009</t>
        </is>
      </c>
      <c r="Y113" s="298" t="inlineStr">
        <is>
          <t>ហូលីដេ ឌីហ្សាញ (ខេមបូឌា) ឯ.ក</t>
        </is>
      </c>
      <c r="Z113" s="300" t="n">
        <v>2312878</v>
      </c>
      <c r="AA113" s="300" t="n">
        <v>2102616</v>
      </c>
      <c r="AB113" s="298" t="n">
        <v>0</v>
      </c>
      <c r="AC113" s="298" t="inlineStr">
        <is>
          <t>-</t>
        </is>
      </c>
      <c r="AD113" s="300" t="n">
        <v>210262</v>
      </c>
      <c r="AE113" s="298" t="n"/>
      <c r="AF113" s="562" t="n"/>
    </row>
    <row r="114">
      <c r="A114" s="212">
        <f>A113+1</f>
        <v/>
      </c>
      <c r="B114" s="214" t="inlineStr">
        <is>
          <t>Terminal Handling Service-Im</t>
        </is>
      </c>
      <c r="C114" s="214" t="inlineStr">
        <is>
          <t>SITC CONTAINER LINES (CAMBODIA) Co., Ltd.</t>
        </is>
      </c>
      <c r="D114" s="215" t="inlineStr">
        <is>
          <t>L001-107035863</t>
        </is>
      </c>
      <c r="E114" s="290" t="inlineStr">
        <is>
          <t>SITC2024-037903</t>
        </is>
      </c>
      <c r="F114" s="279" t="n">
        <v>45629</v>
      </c>
      <c r="G114" s="216" t="n"/>
      <c r="H114" s="564" t="n"/>
      <c r="I114" s="564" t="n">
        <v>1282176</v>
      </c>
      <c r="J114" s="213" t="inlineStr">
        <is>
          <t>អនុញ្ញាត (បានប្រកាស)</t>
        </is>
      </c>
      <c r="K114" s="213" t="n"/>
      <c r="L114" s="563">
        <f>I114</f>
        <v/>
      </c>
      <c r="M114" s="536">
        <f>I114-L114</f>
        <v/>
      </c>
      <c r="N114" s="213" t="n"/>
      <c r="O114" s="218">
        <f>U114=E114</f>
        <v/>
      </c>
      <c r="P114" s="218">
        <f>MONTH(F114)-MONTH(T114)</f>
        <v/>
      </c>
      <c r="Q114" s="218">
        <f>$B$5=X114</f>
        <v/>
      </c>
      <c r="R114" s="218">
        <f>I114-AD114</f>
        <v/>
      </c>
      <c r="S114" s="298" t="n"/>
      <c r="T114" s="299" t="n">
        <v>45629</v>
      </c>
      <c r="U114" s="298" t="inlineStr">
        <is>
          <t>SITC2024-037903</t>
        </is>
      </c>
      <c r="V114" s="298" t="n">
        <v>0</v>
      </c>
      <c r="W114" s="298" t="inlineStr">
        <is>
          <t>បុគ្គលជាប់អាករ</t>
        </is>
      </c>
      <c r="X114" s="298" t="inlineStr">
        <is>
          <t>L001-901640009</t>
        </is>
      </c>
      <c r="Y114" s="298" t="inlineStr">
        <is>
          <t>ហូលីដេ ឌីហ្សាញ (ខេមបូឌា) ឯ.ក</t>
        </is>
      </c>
      <c r="Z114" s="300" t="n">
        <v>14103936</v>
      </c>
      <c r="AA114" s="300" t="n">
        <v>12821760</v>
      </c>
      <c r="AB114" s="298" t="n">
        <v>0</v>
      </c>
      <c r="AC114" s="298" t="inlineStr">
        <is>
          <t>-</t>
        </is>
      </c>
      <c r="AD114" s="300" t="n">
        <v>1282176</v>
      </c>
      <c r="AE114" s="298" t="n">
        <v>0</v>
      </c>
      <c r="AF114" s="562" t="n">
        <v>0</v>
      </c>
      <c r="AG114" s="198" t="n">
        <v>0</v>
      </c>
      <c r="AH114" s="198" t="n">
        <v>0</v>
      </c>
      <c r="AI114" s="198" t="n">
        <v>0</v>
      </c>
      <c r="AJ114" s="198" t="n">
        <v>0</v>
      </c>
      <c r="AK114" s="198" t="n">
        <v>0</v>
      </c>
      <c r="AL114" s="198" t="n">
        <v>0.01</v>
      </c>
      <c r="AM114" s="198" t="n">
        <v>0</v>
      </c>
      <c r="AN114" s="198" t="inlineStr">
        <is>
          <t>EMF,KHCIC,EIB,KHTHC,KHDOC</t>
        </is>
      </c>
    </row>
    <row r="115">
      <c r="A115" s="212">
        <f>A114+1</f>
        <v/>
      </c>
      <c r="B115" s="214" t="inlineStr">
        <is>
          <t>Trucking Fee-Im</t>
        </is>
      </c>
      <c r="C115" s="214" t="inlineStr">
        <is>
          <t>BRILLIANT TRANSPORT AND TRADING Co., Ltd.</t>
        </is>
      </c>
      <c r="D115" s="215" t="inlineStr">
        <is>
          <t>K002-100089305</t>
        </is>
      </c>
      <c r="E115" s="290" t="inlineStr">
        <is>
          <t>BTT24-0002472</t>
        </is>
      </c>
      <c r="F115" s="279" t="n">
        <v>45632</v>
      </c>
      <c r="G115" s="216" t="n"/>
      <c r="H115" s="564" t="n"/>
      <c r="I115" s="564" t="n">
        <v>1446052</v>
      </c>
      <c r="J115" s="213" t="inlineStr">
        <is>
          <t>អនុញ្ញាត (បានប្រកាស)</t>
        </is>
      </c>
      <c r="K115" s="213" t="n"/>
      <c r="L115" s="563">
        <f>I115</f>
        <v/>
      </c>
      <c r="M115" s="536">
        <f>I115-L115</f>
        <v/>
      </c>
      <c r="N115" s="213" t="n"/>
      <c r="O115" s="218">
        <f>U115=E115</f>
        <v/>
      </c>
      <c r="P115" s="218">
        <f>MONTH(F115)-MONTH(T115)</f>
        <v/>
      </c>
      <c r="Q115" s="218">
        <f>$B$5=X115</f>
        <v/>
      </c>
      <c r="R115" s="218">
        <f>I115-AD115</f>
        <v/>
      </c>
      <c r="S115" s="298" t="n"/>
      <c r="T115" s="299" t="n">
        <v>45632</v>
      </c>
      <c r="U115" s="298" t="inlineStr">
        <is>
          <t>BTT24-0002472</t>
        </is>
      </c>
      <c r="V115" s="298" t="n">
        <v>0</v>
      </c>
      <c r="W115" s="298" t="inlineStr">
        <is>
          <t>បុគ្គលជាប់អាករ</t>
        </is>
      </c>
      <c r="X115" s="298" t="inlineStr">
        <is>
          <t>L001-901640009</t>
        </is>
      </c>
      <c r="Y115" s="298" t="inlineStr">
        <is>
          <t>ហូលីដេ ឌីហ្សាញ (ខេមបូឌា) ឯ.ក</t>
        </is>
      </c>
      <c r="Z115" s="300" t="n">
        <v>15906572</v>
      </c>
      <c r="AA115" s="300" t="n">
        <v>14460520</v>
      </c>
      <c r="AB115" s="298" t="n">
        <v>0</v>
      </c>
      <c r="AC115" s="298" t="inlineStr">
        <is>
          <t>-</t>
        </is>
      </c>
      <c r="AD115" s="300" t="n">
        <v>1446052</v>
      </c>
      <c r="AE115" s="298" t="n">
        <v>0</v>
      </c>
      <c r="AF115" s="562" t="n">
        <v>0</v>
      </c>
      <c r="AG115" s="198" t="n">
        <v>0</v>
      </c>
      <c r="AH115" s="198" t="n">
        <v>0</v>
      </c>
      <c r="AI115" s="198" t="n">
        <v>0</v>
      </c>
      <c r="AJ115" s="198" t="n">
        <v>0</v>
      </c>
      <c r="AK115" s="198" t="n">
        <v>0</v>
      </c>
      <c r="AL115" s="198" t="n">
        <v>0.01</v>
      </c>
      <c r="AM115" s="198" t="n">
        <v>0</v>
      </c>
      <c r="AN115" s="198" t="inlineStr">
        <is>
          <t>Truking / Service</t>
        </is>
      </c>
    </row>
    <row r="116">
      <c r="A116" s="212">
        <f>A115+1</f>
        <v/>
      </c>
      <c r="B116" s="214" t="inlineStr">
        <is>
          <t>Lift-On&amp;Lift-Off-Im</t>
        </is>
      </c>
      <c r="C116" s="214" t="inlineStr">
        <is>
          <t>Port Autonome Du Sihanoukville</t>
        </is>
      </c>
      <c r="D116" s="215" t="inlineStr">
        <is>
          <t>L001-100044638</t>
        </is>
      </c>
      <c r="E116" s="290" t="n">
        <v>253246</v>
      </c>
      <c r="F116" s="279" t="n">
        <v>45630</v>
      </c>
      <c r="G116" s="216" t="n"/>
      <c r="H116" s="564" t="n"/>
      <c r="I116" s="564" t="n">
        <v>35061</v>
      </c>
      <c r="J116" s="213" t="inlineStr">
        <is>
          <t>អនុញ្ញាត (បានប្រកាស)</t>
        </is>
      </c>
      <c r="K116" s="213" t="n"/>
      <c r="L116" s="563">
        <f>I116</f>
        <v/>
      </c>
      <c r="M116" s="536">
        <f>I116-L116</f>
        <v/>
      </c>
      <c r="N116" s="213" t="n"/>
      <c r="O116" s="218">
        <f>U116=E116</f>
        <v/>
      </c>
      <c r="P116" s="218">
        <f>MONTH(F116)-MONTH(T116)</f>
        <v/>
      </c>
      <c r="Q116" s="218">
        <f>$B$5=X116</f>
        <v/>
      </c>
      <c r="R116" s="218">
        <f>I116-AD116</f>
        <v/>
      </c>
      <c r="S116" s="298" t="n"/>
      <c r="T116" s="299" t="n">
        <v>45630</v>
      </c>
      <c r="U116" s="298" t="n">
        <v>253246</v>
      </c>
      <c r="V116" s="298" t="n">
        <v>0</v>
      </c>
      <c r="W116" s="298" t="inlineStr">
        <is>
          <t>បុគ្គលជាប់អាករ</t>
        </is>
      </c>
      <c r="X116" s="298" t="inlineStr">
        <is>
          <t>L001-901640009</t>
        </is>
      </c>
      <c r="Y116" s="298" t="inlineStr">
        <is>
          <t>ហូលីដេ ឌីហ្សាញ (ខេមបូឌា) ឯ.ក</t>
        </is>
      </c>
      <c r="Z116" s="300" t="n">
        <v>385671</v>
      </c>
      <c r="AA116" s="300" t="n">
        <v>350610</v>
      </c>
      <c r="AB116" s="298" t="n">
        <v>0</v>
      </c>
      <c r="AC116" s="298" t="inlineStr">
        <is>
          <t>-</t>
        </is>
      </c>
      <c r="AD116" s="300" t="n">
        <v>35061</v>
      </c>
      <c r="AE116" s="298" t="n"/>
      <c r="AF116" s="562" t="n"/>
    </row>
    <row r="117">
      <c r="A117" s="212">
        <f>A116+1</f>
        <v/>
      </c>
      <c r="B117" s="214" t="inlineStr">
        <is>
          <t>Trucking Fee-Im</t>
        </is>
      </c>
      <c r="C117" s="214" t="inlineStr">
        <is>
          <t>BRILLIANT TRANSPORT AND TRADING Co., Ltd.</t>
        </is>
      </c>
      <c r="D117" s="215" t="inlineStr">
        <is>
          <t>K002-100089305</t>
        </is>
      </c>
      <c r="E117" s="290" t="inlineStr">
        <is>
          <t>BTT24-0002471</t>
        </is>
      </c>
      <c r="F117" s="279" t="n">
        <v>45630</v>
      </c>
      <c r="G117" s="216" t="n"/>
      <c r="H117" s="564" t="n"/>
      <c r="I117" s="564" t="n">
        <v>257920</v>
      </c>
      <c r="J117" s="213" t="inlineStr">
        <is>
          <t>អនុញ្ញាត (បានប្រកាស)</t>
        </is>
      </c>
      <c r="K117" s="213" t="n"/>
      <c r="L117" s="563">
        <f>I117</f>
        <v/>
      </c>
      <c r="M117" s="536">
        <f>I117-L117</f>
        <v/>
      </c>
      <c r="N117" s="213" t="n"/>
      <c r="O117" s="218">
        <f>U117=E117</f>
        <v/>
      </c>
      <c r="P117" s="218">
        <f>MONTH(F117)-MONTH(T117)</f>
        <v/>
      </c>
      <c r="Q117" s="218">
        <f>$B$5=X117</f>
        <v/>
      </c>
      <c r="R117" s="218">
        <f>I117-AD117</f>
        <v/>
      </c>
      <c r="S117" s="298" t="n"/>
      <c r="T117" s="299" t="n">
        <v>45630</v>
      </c>
      <c r="U117" s="298" t="inlineStr">
        <is>
          <t>BTT24-0002471</t>
        </is>
      </c>
      <c r="V117" s="298" t="n">
        <v>0</v>
      </c>
      <c r="W117" s="298" t="inlineStr">
        <is>
          <t>បុគ្គលជាប់អាករ</t>
        </is>
      </c>
      <c r="X117" s="298" t="inlineStr">
        <is>
          <t>L001-901640009</t>
        </is>
      </c>
      <c r="Y117" s="298" t="inlineStr">
        <is>
          <t>ហូលីដេ ឌីហ្សាញ (ខេមបូឌា) ឯ.ក</t>
        </is>
      </c>
      <c r="Z117" s="300" t="n">
        <v>2837120</v>
      </c>
      <c r="AA117" s="300" t="n">
        <v>2579200</v>
      </c>
      <c r="AB117" s="298" t="n">
        <v>0</v>
      </c>
      <c r="AC117" s="298" t="inlineStr">
        <is>
          <t>-</t>
        </is>
      </c>
      <c r="AD117" s="300" t="n">
        <v>257920</v>
      </c>
      <c r="AE117" s="298" t="n">
        <v>0</v>
      </c>
      <c r="AF117" s="562" t="n">
        <v>0</v>
      </c>
      <c r="AG117" s="198" t="n">
        <v>0</v>
      </c>
      <c r="AH117" s="198" t="n">
        <v>0</v>
      </c>
      <c r="AI117" s="198" t="n">
        <v>0</v>
      </c>
      <c r="AJ117" s="198" t="n">
        <v>0</v>
      </c>
      <c r="AK117" s="198" t="n">
        <v>0</v>
      </c>
      <c r="AL117" s="198" t="n">
        <v>0.01</v>
      </c>
      <c r="AM117" s="198" t="n">
        <v>0</v>
      </c>
      <c r="AN117" s="198" t="inlineStr">
        <is>
          <t>Truking / Service</t>
        </is>
      </c>
    </row>
    <row r="118">
      <c r="A118" s="212">
        <f>A117+1</f>
        <v/>
      </c>
      <c r="B118" s="214" t="inlineStr">
        <is>
          <t>Tax Filling for 10-2024</t>
        </is>
      </c>
      <c r="C118" s="214" t="inlineStr">
        <is>
          <t>L S CONSULTING CO., LTD.</t>
        </is>
      </c>
      <c r="D118" s="215" t="inlineStr">
        <is>
          <t>K010-901700169</t>
        </is>
      </c>
      <c r="E118" s="290" t="inlineStr">
        <is>
          <t>24-00985</t>
        </is>
      </c>
      <c r="F118" s="279" t="n">
        <v>45602</v>
      </c>
      <c r="G118" s="216" t="n"/>
      <c r="H118" s="564" t="n"/>
      <c r="I118" s="564" t="n">
        <v>121920</v>
      </c>
      <c r="J118" s="213" t="inlineStr">
        <is>
          <t>អនុញ្ញាត (បានប្រកាស)</t>
        </is>
      </c>
      <c r="K118" s="213" t="n"/>
      <c r="L118" s="563">
        <f>I118</f>
        <v/>
      </c>
      <c r="M118" s="536">
        <f>I118-L118</f>
        <v/>
      </c>
      <c r="N118" s="213" t="n"/>
      <c r="O118" s="218">
        <f>U118=E118</f>
        <v/>
      </c>
      <c r="P118" s="218">
        <f>MONTH(F118)-MONTH(T118)</f>
        <v/>
      </c>
      <c r="Q118" s="218">
        <f>$B$5=X118</f>
        <v/>
      </c>
      <c r="R118" s="218">
        <f>I118-AD118</f>
        <v/>
      </c>
      <c r="S118" s="298" t="n"/>
      <c r="T118" s="299" t="n">
        <v>45602</v>
      </c>
      <c r="U118" s="298" t="inlineStr">
        <is>
          <t>24-00985</t>
        </is>
      </c>
      <c r="V118" s="298" t="n">
        <v>0</v>
      </c>
      <c r="W118" s="298" t="inlineStr">
        <is>
          <t>បុគ្គលជាប់អាករ</t>
        </is>
      </c>
      <c r="X118" s="298" t="inlineStr">
        <is>
          <t>L001-901640009</t>
        </is>
      </c>
      <c r="Y118" s="298" t="inlineStr">
        <is>
          <t>ហូលីដេ ឌីហ្សាញ (ខេមបូឌា) ឯ.ក</t>
        </is>
      </c>
      <c r="Z118" s="300" t="n">
        <v>1341120</v>
      </c>
      <c r="AA118" s="300" t="n">
        <v>1219200</v>
      </c>
      <c r="AB118" s="298" t="n">
        <v>0</v>
      </c>
      <c r="AC118" s="298" t="inlineStr">
        <is>
          <t>-</t>
        </is>
      </c>
      <c r="AD118" s="300" t="n">
        <v>121920</v>
      </c>
      <c r="AE118" s="298" t="n">
        <v>0</v>
      </c>
      <c r="AF118" s="562" t="n">
        <v>0</v>
      </c>
      <c r="AG118" s="198" t="n">
        <v>0</v>
      </c>
      <c r="AH118" s="198" t="n">
        <v>0</v>
      </c>
      <c r="AI118" s="198" t="n">
        <v>0</v>
      </c>
      <c r="AJ118" s="198" t="n">
        <v>0</v>
      </c>
      <c r="AK118" s="198" t="n">
        <v>0</v>
      </c>
      <c r="AL118" s="198" t="n">
        <v>0.01</v>
      </c>
      <c r="AM118" s="198" t="n">
        <v>0</v>
      </c>
      <c r="AN118" s="198" t="inlineStr">
        <is>
          <t>Tax Filling fee</t>
        </is>
      </c>
      <c r="AO118" s="198" t="inlineStr">
        <is>
          <t>បានប្រកាសនិងបង់ពន្ធ</t>
        </is>
      </c>
    </row>
    <row r="119">
      <c r="A119" s="212">
        <f>A118+1</f>
        <v/>
      </c>
      <c r="B119" s="214" t="inlineStr">
        <is>
          <t>Trucking Fee-Im</t>
        </is>
      </c>
      <c r="C119" s="214" t="inlineStr">
        <is>
          <t>BRILLIANT TRANSPORT AND TRADING Co., Ltd.</t>
        </is>
      </c>
      <c r="D119" s="215" t="inlineStr">
        <is>
          <t>K002-100089305</t>
        </is>
      </c>
      <c r="E119" s="290" t="inlineStr">
        <is>
          <t>BTT25-0000184</t>
        </is>
      </c>
      <c r="F119" s="279" t="n">
        <v>45677</v>
      </c>
      <c r="G119" s="216" t="n"/>
      <c r="H119" s="564" t="n"/>
      <c r="I119" s="564" t="n">
        <v>2598540</v>
      </c>
      <c r="J119" s="213" t="inlineStr">
        <is>
          <t>អនុញ្ញាត (បានប្រកាស)</t>
        </is>
      </c>
      <c r="K119" s="213" t="n"/>
      <c r="L119" s="563">
        <f>I119</f>
        <v/>
      </c>
      <c r="M119" s="536">
        <f>I119-L119</f>
        <v/>
      </c>
      <c r="N119" s="213" t="n"/>
      <c r="O119" s="218">
        <f>U119=E119</f>
        <v/>
      </c>
      <c r="P119" s="218">
        <f>MONTH(F119)-MONTH(T119)</f>
        <v/>
      </c>
      <c r="Q119" s="218">
        <f>$B$5=X119</f>
        <v/>
      </c>
      <c r="R119" s="218">
        <f>I119-AD119</f>
        <v/>
      </c>
      <c r="S119" s="298" t="n"/>
      <c r="T119" s="299" t="n">
        <v>45677</v>
      </c>
      <c r="U119" s="298" t="inlineStr">
        <is>
          <t>BTT25-0000184</t>
        </is>
      </c>
      <c r="V119" s="298" t="n">
        <v>0</v>
      </c>
      <c r="W119" s="298" t="inlineStr">
        <is>
          <t>បុគ្គលជាប់អាករ</t>
        </is>
      </c>
      <c r="X119" s="298" t="inlineStr">
        <is>
          <t>L001-901640009</t>
        </is>
      </c>
      <c r="Y119" s="298" t="inlineStr">
        <is>
          <t>ហូលីដេ ឌីហ្សាញ (ខេមបូឌា) ឯ.ក</t>
        </is>
      </c>
      <c r="Z119" s="300" t="n">
        <v>28583940</v>
      </c>
      <c r="AA119" s="300" t="n">
        <v>25985400</v>
      </c>
      <c r="AB119" s="298" t="n">
        <v>0</v>
      </c>
      <c r="AC119" s="298" t="inlineStr">
        <is>
          <t>-</t>
        </is>
      </c>
      <c r="AD119" s="300" t="n">
        <v>2598540</v>
      </c>
      <c r="AE119" s="298" t="n">
        <v>0</v>
      </c>
      <c r="AF119" s="562" t="n">
        <v>0</v>
      </c>
      <c r="AG119" s="198" t="n">
        <v>0</v>
      </c>
      <c r="AH119" s="198" t="n">
        <v>0</v>
      </c>
      <c r="AI119" s="198" t="n">
        <v>0</v>
      </c>
      <c r="AJ119" s="198" t="n">
        <v>0</v>
      </c>
      <c r="AK119" s="198" t="n">
        <v>0</v>
      </c>
      <c r="AL119" s="198" t="n">
        <v>0.01</v>
      </c>
      <c r="AM119" s="198" t="n">
        <v>0</v>
      </c>
      <c r="AN119" s="198" t="inlineStr">
        <is>
          <t>Truking / Service</t>
        </is>
      </c>
    </row>
    <row r="120">
      <c r="A120" s="212">
        <f>A119+1</f>
        <v/>
      </c>
      <c r="B120" s="214" t="inlineStr">
        <is>
          <t>Trucking Fee-Im</t>
        </is>
      </c>
      <c r="C120" s="214" t="inlineStr">
        <is>
          <t>BRILLIANT TRANSPORT AND TRADING Co., Ltd.</t>
        </is>
      </c>
      <c r="D120" s="215" t="inlineStr">
        <is>
          <t>K002-100089305</t>
        </is>
      </c>
      <c r="E120" s="290" t="inlineStr">
        <is>
          <t>BTT25-0000195</t>
        </is>
      </c>
      <c r="F120" s="279" t="n">
        <v>45678</v>
      </c>
      <c r="G120" s="216" t="n"/>
      <c r="H120" s="564" t="n"/>
      <c r="I120" s="564" t="n">
        <v>3295722</v>
      </c>
      <c r="J120" s="213" t="inlineStr">
        <is>
          <t>អនុញ្ញាត (បានប្រកាស)</t>
        </is>
      </c>
      <c r="K120" s="213" t="n"/>
      <c r="L120" s="563">
        <f>I120</f>
        <v/>
      </c>
      <c r="M120" s="536">
        <f>I120-L120</f>
        <v/>
      </c>
      <c r="N120" s="213" t="n"/>
      <c r="O120" s="218">
        <f>U120=E120</f>
        <v/>
      </c>
      <c r="P120" s="218">
        <f>MONTH(F120)-MONTH(T120)</f>
        <v/>
      </c>
      <c r="Q120" s="218">
        <f>$B$5=X120</f>
        <v/>
      </c>
      <c r="R120" s="218">
        <f>I120-AD120</f>
        <v/>
      </c>
      <c r="S120" s="298" t="n"/>
      <c r="T120" s="299" t="n">
        <v>45678</v>
      </c>
      <c r="U120" s="298" t="inlineStr">
        <is>
          <t>BTT25-0000195</t>
        </is>
      </c>
      <c r="V120" s="298" t="n">
        <v>0</v>
      </c>
      <c r="W120" s="298" t="inlineStr">
        <is>
          <t>បុគ្គលជាប់អាករ</t>
        </is>
      </c>
      <c r="X120" s="298" t="inlineStr">
        <is>
          <t>L001-901640009</t>
        </is>
      </c>
      <c r="Y120" s="298" t="inlineStr">
        <is>
          <t>ហូលីដេ ឌីហ្សាញ (ខេមបូឌា) ឯ.ក</t>
        </is>
      </c>
      <c r="Z120" s="300" t="n">
        <v>36252942</v>
      </c>
      <c r="AA120" s="300" t="n">
        <v>32957220</v>
      </c>
      <c r="AB120" s="298" t="n">
        <v>0</v>
      </c>
      <c r="AC120" s="298" t="inlineStr">
        <is>
          <t>-</t>
        </is>
      </c>
      <c r="AD120" s="300" t="n">
        <v>3295722</v>
      </c>
      <c r="AE120" s="298" t="n">
        <v>0</v>
      </c>
      <c r="AF120" s="562" t="n">
        <v>0</v>
      </c>
      <c r="AG120" s="198" t="n">
        <v>0</v>
      </c>
      <c r="AH120" s="198" t="n">
        <v>0</v>
      </c>
      <c r="AI120" s="198" t="n">
        <v>0</v>
      </c>
      <c r="AJ120" s="198" t="n">
        <v>0</v>
      </c>
      <c r="AK120" s="198" t="n">
        <v>0</v>
      </c>
      <c r="AL120" s="198" t="n">
        <v>0.01</v>
      </c>
      <c r="AM120" s="198" t="n">
        <v>0</v>
      </c>
      <c r="AN120" s="198" t="inlineStr">
        <is>
          <t>Truking / Service</t>
        </is>
      </c>
    </row>
    <row r="121">
      <c r="A121" s="212">
        <f>A120+1</f>
        <v/>
      </c>
      <c r="B121" s="214" t="inlineStr">
        <is>
          <t>Trucking Fee-Im</t>
        </is>
      </c>
      <c r="C121" s="214" t="inlineStr">
        <is>
          <t>BRILLIANT TRANSPORT AND TRADING Co., Ltd.</t>
        </is>
      </c>
      <c r="D121" s="215" t="inlineStr">
        <is>
          <t>K002-100089305</t>
        </is>
      </c>
      <c r="E121" s="290" t="inlineStr">
        <is>
          <t>BTT25-0000194</t>
        </is>
      </c>
      <c r="F121" s="279" t="n">
        <v>45678</v>
      </c>
      <c r="G121" s="216" t="n"/>
      <c r="H121" s="564" t="n"/>
      <c r="I121" s="564" t="n">
        <v>2360994</v>
      </c>
      <c r="J121" s="213" t="inlineStr">
        <is>
          <t>អនុញ្ញាត (បានប្រកាស)</t>
        </is>
      </c>
      <c r="K121" s="213" t="n"/>
      <c r="L121" s="563">
        <f>I121</f>
        <v/>
      </c>
      <c r="M121" s="536">
        <f>I121-L121</f>
        <v/>
      </c>
      <c r="N121" s="213" t="n"/>
      <c r="O121" s="218">
        <f>U121=E121</f>
        <v/>
      </c>
      <c r="P121" s="218">
        <f>MONTH(F121)-MONTH(T121)</f>
        <v/>
      </c>
      <c r="Q121" s="218">
        <f>$B$5=X121</f>
        <v/>
      </c>
      <c r="R121" s="218">
        <f>I121-AD121</f>
        <v/>
      </c>
      <c r="S121" s="298" t="n"/>
      <c r="T121" s="299" t="n">
        <v>45678</v>
      </c>
      <c r="U121" s="298" t="inlineStr">
        <is>
          <t>BTT25-0000194</t>
        </is>
      </c>
      <c r="V121" s="298" t="n">
        <v>0</v>
      </c>
      <c r="W121" s="298" t="inlineStr">
        <is>
          <t>បុគ្គលជាប់អាករ</t>
        </is>
      </c>
      <c r="X121" s="298" t="inlineStr">
        <is>
          <t>L001-901640009</t>
        </is>
      </c>
      <c r="Y121" s="298" t="inlineStr">
        <is>
          <t>ហូលីដេ ឌីហ្សាញ (ខេមបូឌា) ឯ.ក</t>
        </is>
      </c>
      <c r="Z121" s="300" t="n">
        <v>25970934</v>
      </c>
      <c r="AA121" s="300" t="n">
        <v>23609940</v>
      </c>
      <c r="AB121" s="298" t="n">
        <v>0</v>
      </c>
      <c r="AC121" s="298" t="inlineStr">
        <is>
          <t>-</t>
        </is>
      </c>
      <c r="AD121" s="300" t="n">
        <v>2360994</v>
      </c>
      <c r="AE121" s="298" t="n">
        <v>0</v>
      </c>
      <c r="AF121" s="562" t="n">
        <v>0</v>
      </c>
      <c r="AG121" s="198" t="n">
        <v>0</v>
      </c>
      <c r="AH121" s="198" t="n">
        <v>0</v>
      </c>
      <c r="AI121" s="198" t="n">
        <v>0</v>
      </c>
      <c r="AJ121" s="198" t="n">
        <v>0</v>
      </c>
      <c r="AK121" s="198" t="n">
        <v>0</v>
      </c>
      <c r="AL121" s="198" t="n">
        <v>0.01</v>
      </c>
      <c r="AM121" s="198" t="n">
        <v>0</v>
      </c>
      <c r="AN121" s="198" t="inlineStr">
        <is>
          <t>Truking / Service</t>
        </is>
      </c>
    </row>
    <row r="122">
      <c r="A122" s="212">
        <f>A121+1</f>
        <v/>
      </c>
      <c r="B122" s="214" t="inlineStr">
        <is>
          <t>Trucking Fee-Im</t>
        </is>
      </c>
      <c r="C122" s="214" t="inlineStr">
        <is>
          <t>BRILLIANT TRANSPORT AND TRADING Co., Ltd.</t>
        </is>
      </c>
      <c r="D122" s="215" t="inlineStr">
        <is>
          <t>K002-100089305</t>
        </is>
      </c>
      <c r="E122" s="290" t="inlineStr">
        <is>
          <t>BTT25-0000193</t>
        </is>
      </c>
      <c r="F122" s="279" t="n">
        <v>45678</v>
      </c>
      <c r="G122" s="216" t="n"/>
      <c r="H122" s="564" t="n"/>
      <c r="I122" s="564" t="n">
        <v>3996768</v>
      </c>
      <c r="J122" s="213" t="inlineStr">
        <is>
          <t>អនុញ្ញាត (បានប្រកាស)</t>
        </is>
      </c>
      <c r="K122" s="213" t="n"/>
      <c r="L122" s="563">
        <f>I122</f>
        <v/>
      </c>
      <c r="M122" s="536">
        <f>I122-L122</f>
        <v/>
      </c>
      <c r="N122" s="213" t="n"/>
      <c r="O122" s="218">
        <f>U122=E122</f>
        <v/>
      </c>
      <c r="P122" s="218">
        <f>MONTH(F122)-MONTH(T122)</f>
        <v/>
      </c>
      <c r="Q122" s="218">
        <f>$B$5=X122</f>
        <v/>
      </c>
      <c r="R122" s="218">
        <f>I122-AD122</f>
        <v/>
      </c>
      <c r="S122" s="298" t="n"/>
      <c r="T122" s="299" t="n">
        <v>45678</v>
      </c>
      <c r="U122" s="298" t="inlineStr">
        <is>
          <t>BTT25-0000193</t>
        </is>
      </c>
      <c r="V122" s="298" t="n">
        <v>0</v>
      </c>
      <c r="W122" s="298" t="inlineStr">
        <is>
          <t>បុគ្គលជាប់អាករ</t>
        </is>
      </c>
      <c r="X122" s="298" t="inlineStr">
        <is>
          <t>L001-901640009</t>
        </is>
      </c>
      <c r="Y122" s="298" t="inlineStr">
        <is>
          <t>ហូលីដេ ឌីហ្សាញ (ខេមបូឌា) ឯ.ក</t>
        </is>
      </c>
      <c r="Z122" s="300" t="n">
        <v>43964448</v>
      </c>
      <c r="AA122" s="300" t="n">
        <v>39967680</v>
      </c>
      <c r="AB122" s="298" t="n">
        <v>0</v>
      </c>
      <c r="AC122" s="298" t="inlineStr">
        <is>
          <t>-</t>
        </is>
      </c>
      <c r="AD122" s="300" t="n">
        <v>3996768</v>
      </c>
      <c r="AE122" s="298" t="n">
        <v>0</v>
      </c>
      <c r="AF122" s="562" t="n">
        <v>0</v>
      </c>
      <c r="AG122" s="198" t="n">
        <v>0</v>
      </c>
      <c r="AH122" s="198" t="n">
        <v>0</v>
      </c>
      <c r="AI122" s="198" t="n">
        <v>0</v>
      </c>
      <c r="AJ122" s="198" t="n">
        <v>0</v>
      </c>
      <c r="AK122" s="198" t="n">
        <v>0</v>
      </c>
      <c r="AL122" s="198" t="n">
        <v>0.01</v>
      </c>
      <c r="AM122" s="198" t="n">
        <v>0</v>
      </c>
      <c r="AN122" s="198" t="inlineStr">
        <is>
          <t>Truking / Service</t>
        </is>
      </c>
    </row>
    <row r="123">
      <c r="A123" s="212">
        <f>A122+1</f>
        <v/>
      </c>
      <c r="B123" s="214" t="inlineStr">
        <is>
          <t>Trucking Fee-Im</t>
        </is>
      </c>
      <c r="C123" s="214" t="inlineStr">
        <is>
          <t>BRILLIANT TRANSPORT AND TRADING Co., Ltd.</t>
        </is>
      </c>
      <c r="D123" s="215" t="inlineStr">
        <is>
          <t>K002-100089305</t>
        </is>
      </c>
      <c r="E123" s="290" t="inlineStr">
        <is>
          <t>BTT25-0000192</t>
        </is>
      </c>
      <c r="F123" s="279" t="n">
        <v>45678</v>
      </c>
      <c r="G123" s="216" t="n"/>
      <c r="H123" s="564" t="n"/>
      <c r="I123" s="564" t="n">
        <v>2127312</v>
      </c>
      <c r="J123" s="213" t="inlineStr">
        <is>
          <t>អនុញ្ញាត (បានប្រកាស)</t>
        </is>
      </c>
      <c r="K123" s="213" t="n"/>
      <c r="L123" s="563">
        <f>I123</f>
        <v/>
      </c>
      <c r="M123" s="536">
        <f>I123-L123</f>
        <v/>
      </c>
      <c r="N123" s="213" t="n"/>
      <c r="O123" s="218">
        <f>U123=E123</f>
        <v/>
      </c>
      <c r="P123" s="218">
        <f>MONTH(F123)-MONTH(T123)</f>
        <v/>
      </c>
      <c r="Q123" s="218">
        <f>$B$5=X123</f>
        <v/>
      </c>
      <c r="R123" s="218">
        <f>I123-AD123</f>
        <v/>
      </c>
      <c r="S123" s="298" t="inlineStr">
        <is>
          <t>Wrong invoice number</t>
        </is>
      </c>
      <c r="T123" s="299" t="n">
        <v>45678</v>
      </c>
      <c r="U123" s="298" t="inlineStr">
        <is>
          <t>BTT25-0000192</t>
        </is>
      </c>
      <c r="V123" s="298" t="n">
        <v>0</v>
      </c>
      <c r="W123" s="298" t="inlineStr">
        <is>
          <t>បុគ្គលជាប់អាករ</t>
        </is>
      </c>
      <c r="X123" s="298" t="inlineStr">
        <is>
          <t>L001-901640009</t>
        </is>
      </c>
      <c r="Y123" s="298" t="inlineStr">
        <is>
          <t>ហូលីដេ ឌីហ្សាញ (ខេមបូឌា) ឯ.ក</t>
        </is>
      </c>
      <c r="Z123" s="300" t="n">
        <v>23400432</v>
      </c>
      <c r="AA123" s="300" t="n">
        <v>21273120</v>
      </c>
      <c r="AB123" s="298" t="n">
        <v>0</v>
      </c>
      <c r="AC123" s="298" t="inlineStr">
        <is>
          <t>-</t>
        </is>
      </c>
      <c r="AD123" s="300" t="n">
        <v>2127312</v>
      </c>
      <c r="AE123" s="298" t="n">
        <v>0</v>
      </c>
      <c r="AF123" s="562" t="n">
        <v>0</v>
      </c>
      <c r="AG123" s="198" t="n">
        <v>0</v>
      </c>
      <c r="AH123" s="198" t="n">
        <v>0</v>
      </c>
      <c r="AI123" s="198" t="n">
        <v>0</v>
      </c>
      <c r="AJ123" s="198" t="n">
        <v>0</v>
      </c>
      <c r="AK123" s="198" t="n">
        <v>0</v>
      </c>
      <c r="AL123" s="198" t="n">
        <v>0.01</v>
      </c>
      <c r="AM123" s="198" t="n">
        <v>0</v>
      </c>
      <c r="AN123" s="198" t="inlineStr">
        <is>
          <t>Truking / Service</t>
        </is>
      </c>
    </row>
    <row r="124">
      <c r="A124" s="212">
        <f>A123+1</f>
        <v/>
      </c>
      <c r="B124" s="214" t="inlineStr">
        <is>
          <t>Trucking Fee-Im</t>
        </is>
      </c>
      <c r="C124" s="214" t="inlineStr">
        <is>
          <t>BRILLIANT TRANSPORT AND TRADING Co., Ltd.</t>
        </is>
      </c>
      <c r="D124" s="215" t="inlineStr">
        <is>
          <t>K002-100089305</t>
        </is>
      </c>
      <c r="E124" s="290" t="inlineStr">
        <is>
          <t>BTT25-0000191</t>
        </is>
      </c>
      <c r="F124" s="279" t="n">
        <v>45678</v>
      </c>
      <c r="G124" s="216" t="n"/>
      <c r="H124" s="564" t="n"/>
      <c r="I124" s="564" t="n">
        <v>1893630</v>
      </c>
      <c r="J124" s="213" t="inlineStr">
        <is>
          <t>អនុញ្ញាត (បានប្រកាស)</t>
        </is>
      </c>
      <c r="K124" s="213" t="n"/>
      <c r="L124" s="563">
        <f>I124</f>
        <v/>
      </c>
      <c r="M124" s="536">
        <f>I124-L124</f>
        <v/>
      </c>
      <c r="N124" s="213" t="n"/>
      <c r="O124" s="218">
        <f>U124=E124</f>
        <v/>
      </c>
      <c r="P124" s="218">
        <f>MONTH(F124)-MONTH(T124)</f>
        <v/>
      </c>
      <c r="Q124" s="218">
        <f>$B$5=X124</f>
        <v/>
      </c>
      <c r="R124" s="218">
        <f>I124-AD124</f>
        <v/>
      </c>
      <c r="S124" s="298" t="n"/>
      <c r="T124" s="299" t="n">
        <v>45678</v>
      </c>
      <c r="U124" s="298" t="inlineStr">
        <is>
          <t>BTT25-0000191</t>
        </is>
      </c>
      <c r="V124" s="298" t="n">
        <v>0</v>
      </c>
      <c r="W124" s="298" t="inlineStr">
        <is>
          <t>បុគ្គលជាប់អាករ</t>
        </is>
      </c>
      <c r="X124" s="298" t="inlineStr">
        <is>
          <t>L001-901640009</t>
        </is>
      </c>
      <c r="Y124" s="298" t="inlineStr">
        <is>
          <t>ហូលីដេ ឌីហ្សាញ (ខេមបូឌា) ឯ.ក</t>
        </is>
      </c>
      <c r="Z124" s="300" t="n">
        <v>20829930</v>
      </c>
      <c r="AA124" s="300" t="n">
        <v>18936300</v>
      </c>
      <c r="AB124" s="298" t="n">
        <v>0</v>
      </c>
      <c r="AC124" s="298" t="inlineStr">
        <is>
          <t>-</t>
        </is>
      </c>
      <c r="AD124" s="300" t="n">
        <v>1893630</v>
      </c>
      <c r="AE124" s="298" t="n">
        <v>0</v>
      </c>
      <c r="AF124" s="562" t="n">
        <v>0</v>
      </c>
      <c r="AG124" s="198" t="n">
        <v>0</v>
      </c>
      <c r="AH124" s="198" t="n">
        <v>0</v>
      </c>
      <c r="AI124" s="198" t="n">
        <v>0</v>
      </c>
      <c r="AJ124" s="198" t="n">
        <v>0</v>
      </c>
      <c r="AK124" s="198" t="n">
        <v>0</v>
      </c>
      <c r="AL124" s="198" t="n">
        <v>0.01</v>
      </c>
      <c r="AM124" s="198" t="n">
        <v>0</v>
      </c>
      <c r="AN124" s="198" t="inlineStr">
        <is>
          <t>Truking / Service</t>
        </is>
      </c>
    </row>
    <row r="125">
      <c r="A125" s="212">
        <f>A124+1</f>
        <v/>
      </c>
      <c r="B125" s="214" t="inlineStr">
        <is>
          <t>Trucking Fee-Im</t>
        </is>
      </c>
      <c r="C125" s="214" t="inlineStr">
        <is>
          <t>BRILLIANT TRANSPORT AND TRADING Co., Ltd.</t>
        </is>
      </c>
      <c r="D125" s="215" t="inlineStr">
        <is>
          <t>K002-100089305</t>
        </is>
      </c>
      <c r="E125" s="290" t="inlineStr">
        <is>
          <t>BTT25-0000190</t>
        </is>
      </c>
      <c r="F125" s="279" t="n">
        <v>45678</v>
      </c>
      <c r="G125" s="216" t="n"/>
      <c r="H125" s="564" t="n"/>
      <c r="I125" s="564" t="n">
        <v>1893630</v>
      </c>
      <c r="J125" s="213" t="inlineStr">
        <is>
          <t>អនុញ្ញាត (បានប្រកាស)</t>
        </is>
      </c>
      <c r="K125" s="213" t="n"/>
      <c r="L125" s="563">
        <f>I125</f>
        <v/>
      </c>
      <c r="M125" s="536">
        <f>I125-L125</f>
        <v/>
      </c>
      <c r="N125" s="213" t="n"/>
      <c r="O125" s="218">
        <f>U125=E125</f>
        <v/>
      </c>
      <c r="P125" s="218">
        <f>MONTH(F125)-MONTH(T125)</f>
        <v/>
      </c>
      <c r="Q125" s="218">
        <f>$B$5=X125</f>
        <v/>
      </c>
      <c r="R125" s="218">
        <f>I125-AD125</f>
        <v/>
      </c>
      <c r="S125" s="298" t="n"/>
      <c r="T125" s="299" t="n">
        <v>45678</v>
      </c>
      <c r="U125" s="298" t="inlineStr">
        <is>
          <t>BTT25-0000190</t>
        </is>
      </c>
      <c r="V125" s="298" t="n">
        <v>0</v>
      </c>
      <c r="W125" s="298" t="inlineStr">
        <is>
          <t>បុគ្គលជាប់អាករ</t>
        </is>
      </c>
      <c r="X125" s="298" t="inlineStr">
        <is>
          <t>L001-901640009</t>
        </is>
      </c>
      <c r="Y125" s="298" t="inlineStr">
        <is>
          <t>ហូលីដេ ឌីហ្សាញ (ខេមបូឌា) ឯ.ក</t>
        </is>
      </c>
      <c r="Z125" s="300" t="n">
        <v>20829930</v>
      </c>
      <c r="AA125" s="300" t="n">
        <v>18936300</v>
      </c>
      <c r="AB125" s="298" t="n">
        <v>0</v>
      </c>
      <c r="AC125" s="298" t="inlineStr">
        <is>
          <t>-</t>
        </is>
      </c>
      <c r="AD125" s="300" t="n">
        <v>1893630</v>
      </c>
      <c r="AE125" s="298" t="n">
        <v>0</v>
      </c>
      <c r="AF125" s="562" t="n">
        <v>0</v>
      </c>
      <c r="AG125" s="198" t="n">
        <v>0</v>
      </c>
      <c r="AH125" s="198" t="n">
        <v>0</v>
      </c>
      <c r="AI125" s="198" t="n">
        <v>0</v>
      </c>
      <c r="AJ125" s="198" t="n">
        <v>0</v>
      </c>
      <c r="AK125" s="198" t="n">
        <v>0</v>
      </c>
      <c r="AL125" s="198" t="n">
        <v>0.01</v>
      </c>
      <c r="AM125" s="198" t="n">
        <v>0</v>
      </c>
      <c r="AN125" s="198" t="inlineStr">
        <is>
          <t>Truking / Service</t>
        </is>
      </c>
    </row>
    <row r="126">
      <c r="A126" s="212">
        <f>A125+1</f>
        <v/>
      </c>
      <c r="B126" s="214" t="inlineStr">
        <is>
          <t>Trucking Fee-Im</t>
        </is>
      </c>
      <c r="C126" s="214" t="inlineStr">
        <is>
          <t>BRILLIANT TRANSPORT AND TRADING Co., Ltd.</t>
        </is>
      </c>
      <c r="D126" s="215" t="inlineStr">
        <is>
          <t>K002-100089305</t>
        </is>
      </c>
      <c r="E126" s="290" t="inlineStr">
        <is>
          <t>BTT25-0000189</t>
        </is>
      </c>
      <c r="F126" s="279" t="n">
        <v>45677</v>
      </c>
      <c r="G126" s="216" t="n"/>
      <c r="H126" s="564" t="n"/>
      <c r="I126" s="564" t="n">
        <v>1896450</v>
      </c>
      <c r="J126" s="213" t="inlineStr">
        <is>
          <t>អនុញ្ញាត (បានប្រកាស)</t>
        </is>
      </c>
      <c r="K126" s="213" t="n"/>
      <c r="L126" s="563">
        <f>I126</f>
        <v/>
      </c>
      <c r="M126" s="536">
        <f>I126-L126</f>
        <v/>
      </c>
      <c r="N126" s="213" t="n"/>
      <c r="O126" s="218">
        <f>U126=E126</f>
        <v/>
      </c>
      <c r="P126" s="218">
        <f>MONTH(F126)-MONTH(T126)</f>
        <v/>
      </c>
      <c r="Q126" s="218">
        <f>$B$5=X126</f>
        <v/>
      </c>
      <c r="R126" s="218">
        <f>I126-AD126</f>
        <v/>
      </c>
      <c r="S126" s="298" t="n"/>
      <c r="T126" s="299" t="n">
        <v>45677</v>
      </c>
      <c r="U126" s="298" t="inlineStr">
        <is>
          <t>BTT25-0000189</t>
        </is>
      </c>
      <c r="V126" s="298" t="n">
        <v>0</v>
      </c>
      <c r="W126" s="298" t="inlineStr">
        <is>
          <t>បុគ្គលជាប់អាករ</t>
        </is>
      </c>
      <c r="X126" s="298" t="inlineStr">
        <is>
          <t>L001-901640009</t>
        </is>
      </c>
      <c r="Y126" s="298" t="inlineStr">
        <is>
          <t>ហូលីដេ ឌីហ្សាញ (ខេមបូឌា) ឯ.ក</t>
        </is>
      </c>
      <c r="Z126" s="300" t="n">
        <v>20860950</v>
      </c>
      <c r="AA126" s="300" t="n">
        <v>18964500</v>
      </c>
      <c r="AB126" s="298" t="n">
        <v>0</v>
      </c>
      <c r="AC126" s="298" t="inlineStr">
        <is>
          <t>-</t>
        </is>
      </c>
      <c r="AD126" s="300" t="n">
        <v>1896450</v>
      </c>
      <c r="AE126" s="298" t="n">
        <v>0</v>
      </c>
      <c r="AF126" s="562" t="n">
        <v>0</v>
      </c>
      <c r="AG126" s="198" t="n">
        <v>0</v>
      </c>
      <c r="AH126" s="198" t="n">
        <v>0</v>
      </c>
      <c r="AI126" s="198" t="n">
        <v>0</v>
      </c>
      <c r="AJ126" s="198" t="n">
        <v>0</v>
      </c>
      <c r="AK126" s="198" t="n">
        <v>0</v>
      </c>
      <c r="AL126" s="198" t="n">
        <v>0.01</v>
      </c>
      <c r="AM126" s="198" t="n">
        <v>0</v>
      </c>
      <c r="AN126" s="198" t="inlineStr">
        <is>
          <t>Truking / Service</t>
        </is>
      </c>
    </row>
    <row r="127">
      <c r="A127" s="212">
        <f>A126+1</f>
        <v/>
      </c>
      <c r="B127" s="214" t="inlineStr">
        <is>
          <t>Trucking Fee-Im</t>
        </is>
      </c>
      <c r="C127" s="214" t="inlineStr">
        <is>
          <t>BRILLIANT TRANSPORT AND TRADING Co., Ltd.</t>
        </is>
      </c>
      <c r="D127" s="215" t="inlineStr">
        <is>
          <t>K002-100089305</t>
        </is>
      </c>
      <c r="E127" s="290" t="inlineStr">
        <is>
          <t>BTT25-0000187</t>
        </is>
      </c>
      <c r="F127" s="279" t="n">
        <v>45677</v>
      </c>
      <c r="G127" s="216" t="n"/>
      <c r="H127" s="564" t="n"/>
      <c r="I127" s="564" t="n">
        <v>2054790</v>
      </c>
      <c r="J127" s="213" t="inlineStr">
        <is>
          <t>អនុញ្ញាត (បានប្រកាស)</t>
        </is>
      </c>
      <c r="K127" s="213" t="n"/>
      <c r="L127" s="563">
        <f>I127</f>
        <v/>
      </c>
      <c r="M127" s="536">
        <f>I127-L127</f>
        <v/>
      </c>
      <c r="N127" s="213" t="n"/>
      <c r="O127" s="218">
        <f>U127=E127</f>
        <v/>
      </c>
      <c r="P127" s="218">
        <f>MONTH(F127)-MONTH(T127)</f>
        <v/>
      </c>
      <c r="Q127" s="218">
        <f>$B$5=X127</f>
        <v/>
      </c>
      <c r="R127" s="218">
        <f>I127-AD127</f>
        <v/>
      </c>
      <c r="S127" s="298" t="n"/>
      <c r="T127" s="299" t="n">
        <v>45678</v>
      </c>
      <c r="U127" s="298" t="inlineStr">
        <is>
          <t>BTT25-0000187</t>
        </is>
      </c>
      <c r="V127" s="298" t="n">
        <v>0</v>
      </c>
      <c r="W127" s="298" t="inlineStr">
        <is>
          <t>បុគ្គលជាប់អាករ</t>
        </is>
      </c>
      <c r="X127" s="298" t="inlineStr">
        <is>
          <t>L001-901640009</t>
        </is>
      </c>
      <c r="Y127" s="298" t="inlineStr">
        <is>
          <t>ហូលីដេ ឌីហ្សាញ (ខេមបូឌា) ឯ.ក</t>
        </is>
      </c>
      <c r="Z127" s="300" t="n">
        <v>22602690</v>
      </c>
      <c r="AA127" s="300" t="n">
        <v>20547900</v>
      </c>
      <c r="AB127" s="298" t="n">
        <v>0</v>
      </c>
      <c r="AC127" s="298" t="inlineStr">
        <is>
          <t>-</t>
        </is>
      </c>
      <c r="AD127" s="300" t="n">
        <v>2054790</v>
      </c>
      <c r="AE127" s="298" t="n">
        <v>0</v>
      </c>
      <c r="AF127" s="562" t="n">
        <v>0</v>
      </c>
      <c r="AG127" s="198" t="n">
        <v>0</v>
      </c>
      <c r="AH127" s="198" t="n">
        <v>0</v>
      </c>
      <c r="AI127" s="198" t="n">
        <v>0</v>
      </c>
      <c r="AJ127" s="198" t="n">
        <v>0</v>
      </c>
      <c r="AK127" s="198" t="n">
        <v>0</v>
      </c>
      <c r="AL127" s="198" t="n">
        <v>0.01</v>
      </c>
      <c r="AM127" s="198" t="n">
        <v>0</v>
      </c>
      <c r="AN127" s="198" t="inlineStr">
        <is>
          <t>Truking / Service</t>
        </is>
      </c>
    </row>
    <row r="128">
      <c r="A128" s="212">
        <f>A127+1</f>
        <v/>
      </c>
      <c r="B128" s="214" t="inlineStr">
        <is>
          <t>Trucking Fee-Im</t>
        </is>
      </c>
      <c r="C128" s="214" t="inlineStr">
        <is>
          <t>BRILLIANT TRANSPORT AND TRADING Co., Ltd.</t>
        </is>
      </c>
      <c r="D128" s="215" t="inlineStr">
        <is>
          <t>K002-100089305</t>
        </is>
      </c>
      <c r="E128" s="290" t="inlineStr">
        <is>
          <t>BTT25-0000185</t>
        </is>
      </c>
      <c r="F128" s="279" t="n">
        <v>45677</v>
      </c>
      <c r="G128" s="216" t="n"/>
      <c r="H128" s="564" t="n"/>
      <c r="I128" s="564" t="n">
        <v>1662420</v>
      </c>
      <c r="J128" s="213" t="inlineStr">
        <is>
          <t>អនុញ្ញាត (បានប្រកាស)</t>
        </is>
      </c>
      <c r="K128" s="213" t="n"/>
      <c r="L128" s="563">
        <f>I128</f>
        <v/>
      </c>
      <c r="M128" s="536">
        <f>I128-L128</f>
        <v/>
      </c>
      <c r="N128" s="213" t="n"/>
      <c r="O128" s="218">
        <f>U128=E128</f>
        <v/>
      </c>
      <c r="P128" s="218">
        <f>MONTH(F128)-MONTH(T128)</f>
        <v/>
      </c>
      <c r="Q128" s="218">
        <f>$B$5=X128</f>
        <v/>
      </c>
      <c r="R128" s="218">
        <f>I128-AD128</f>
        <v/>
      </c>
      <c r="S128" s="298" t="n"/>
      <c r="T128" s="299" t="n">
        <v>45677</v>
      </c>
      <c r="U128" s="298" t="inlineStr">
        <is>
          <t>BTT25-0000185</t>
        </is>
      </c>
      <c r="V128" s="298" t="n">
        <v>0</v>
      </c>
      <c r="W128" s="298" t="inlineStr">
        <is>
          <t>បុគ្គលជាប់អាករ</t>
        </is>
      </c>
      <c r="X128" s="298" t="inlineStr">
        <is>
          <t>L001-901640009</t>
        </is>
      </c>
      <c r="Y128" s="298" t="inlineStr">
        <is>
          <t>ហូលីដេ ឌីហ្សាញ (ខេមបូឌា) ឯ.ក</t>
        </is>
      </c>
      <c r="Z128" s="300" t="n">
        <v>18286620</v>
      </c>
      <c r="AA128" s="300" t="n">
        <v>16624200</v>
      </c>
      <c r="AB128" s="298" t="n">
        <v>0</v>
      </c>
      <c r="AC128" s="298" t="inlineStr">
        <is>
          <t>-</t>
        </is>
      </c>
      <c r="AD128" s="300" t="n">
        <v>1662420</v>
      </c>
      <c r="AE128" s="298" t="n">
        <v>0</v>
      </c>
      <c r="AF128" s="562" t="n">
        <v>0</v>
      </c>
      <c r="AG128" s="198" t="n">
        <v>0</v>
      </c>
      <c r="AH128" s="198" t="n">
        <v>0</v>
      </c>
      <c r="AI128" s="198" t="n">
        <v>0</v>
      </c>
      <c r="AJ128" s="198" t="n">
        <v>0</v>
      </c>
      <c r="AK128" s="198" t="n">
        <v>0</v>
      </c>
      <c r="AL128" s="198" t="n">
        <v>0.01</v>
      </c>
      <c r="AM128" s="198" t="n">
        <v>0</v>
      </c>
      <c r="AN128" s="198" t="inlineStr">
        <is>
          <t>Truking / Service</t>
        </is>
      </c>
    </row>
    <row r="129">
      <c r="A129" s="212">
        <f>A128+1</f>
        <v/>
      </c>
      <c r="B129" s="214" t="inlineStr">
        <is>
          <t>Tax Filling for 11-2024</t>
        </is>
      </c>
      <c r="C129" s="214" t="inlineStr">
        <is>
          <t>L S CONSULTING CO., LTD.</t>
        </is>
      </c>
      <c r="D129" s="215" t="inlineStr">
        <is>
          <t>K010-901700169</t>
        </is>
      </c>
      <c r="E129" s="290" t="inlineStr">
        <is>
          <t>24-01085</t>
        </is>
      </c>
      <c r="F129" s="279" t="n">
        <v>45631</v>
      </c>
      <c r="G129" s="216" t="n"/>
      <c r="H129" s="564" t="n"/>
      <c r="I129" s="564" t="n">
        <v>120870</v>
      </c>
      <c r="J129" s="213" t="inlineStr">
        <is>
          <t>អនុញ្ញាត (បានប្រកាស)</t>
        </is>
      </c>
      <c r="K129" s="213" t="n"/>
      <c r="L129" s="563">
        <f>I129</f>
        <v/>
      </c>
      <c r="M129" s="536">
        <f>I129-L129</f>
        <v/>
      </c>
      <c r="N129" s="213" t="n"/>
      <c r="O129" s="218">
        <f>U129=E129</f>
        <v/>
      </c>
      <c r="P129" s="218">
        <f>MONTH(F129)-MONTH(T129)</f>
        <v/>
      </c>
      <c r="Q129" s="218">
        <f>$B$5=X129</f>
        <v/>
      </c>
      <c r="R129" s="218">
        <f>I129-AD129</f>
        <v/>
      </c>
      <c r="S129" s="298" t="n"/>
      <c r="T129" s="299" t="n">
        <v>45631</v>
      </c>
      <c r="U129" s="298" t="inlineStr">
        <is>
          <t>24-01085</t>
        </is>
      </c>
      <c r="V129" s="298" t="n">
        <v>0</v>
      </c>
      <c r="W129" s="298" t="inlineStr">
        <is>
          <t>បុគ្គលជាប់អាករ</t>
        </is>
      </c>
      <c r="X129" s="298" t="inlineStr">
        <is>
          <t>L001-901640009</t>
        </is>
      </c>
      <c r="Y129" s="298" t="inlineStr">
        <is>
          <t>ហូលីដេ ឌីហ្សាញ (ខេមបូឌា) ឯ.ក</t>
        </is>
      </c>
      <c r="Z129" s="300" t="n">
        <v>1329570</v>
      </c>
      <c r="AA129" s="300" t="n">
        <v>1208700</v>
      </c>
      <c r="AB129" s="298" t="n">
        <v>0</v>
      </c>
      <c r="AC129" s="298" t="inlineStr">
        <is>
          <t>-</t>
        </is>
      </c>
      <c r="AD129" s="300" t="n">
        <v>120870</v>
      </c>
      <c r="AE129" s="298" t="n">
        <v>0</v>
      </c>
      <c r="AF129" s="562" t="n">
        <v>0</v>
      </c>
      <c r="AG129" s="198" t="n">
        <v>0</v>
      </c>
      <c r="AH129" s="198" t="n">
        <v>0</v>
      </c>
      <c r="AI129" s="198" t="n">
        <v>0</v>
      </c>
      <c r="AJ129" s="198" t="n">
        <v>0</v>
      </c>
      <c r="AK129" s="198" t="n">
        <v>0</v>
      </c>
      <c r="AL129" s="198" t="n">
        <v>0.01</v>
      </c>
      <c r="AM129" s="198" t="n">
        <v>0</v>
      </c>
      <c r="AN129" s="198" t="inlineStr">
        <is>
          <t>Tax Filling fee</t>
        </is>
      </c>
      <c r="AO129" s="198" t="inlineStr">
        <is>
          <t>បានប្រកាសនិងបង់ពន្ធ</t>
        </is>
      </c>
    </row>
    <row r="130">
      <c r="A130" s="212">
        <f>A129+1</f>
        <v/>
      </c>
      <c r="B130" s="214" t="inlineStr">
        <is>
          <t>Tax Filling for 12-2024</t>
        </is>
      </c>
      <c r="C130" s="214" t="inlineStr">
        <is>
          <t>L S CONSULTING CO., LTD.</t>
        </is>
      </c>
      <c r="D130" s="215" t="inlineStr">
        <is>
          <t>K010-901700169</t>
        </is>
      </c>
      <c r="E130" s="290" t="inlineStr">
        <is>
          <t>25-00027</t>
        </is>
      </c>
      <c r="F130" s="279" t="n">
        <v>45663</v>
      </c>
      <c r="G130" s="216" t="n"/>
      <c r="H130" s="564" t="n"/>
      <c r="I130" s="564" t="n">
        <v>120990</v>
      </c>
      <c r="J130" s="213" t="inlineStr">
        <is>
          <t>អនុញ្ញាត (បានប្រកាស)</t>
        </is>
      </c>
      <c r="K130" s="213" t="n"/>
      <c r="L130" s="563">
        <f>I130</f>
        <v/>
      </c>
      <c r="M130" s="536">
        <f>I130-L130</f>
        <v/>
      </c>
      <c r="N130" s="213" t="n"/>
      <c r="O130" s="218">
        <f>U130=E130</f>
        <v/>
      </c>
      <c r="P130" s="218">
        <f>MONTH(F130)-MONTH(T130)</f>
        <v/>
      </c>
      <c r="Q130" s="218">
        <f>$B$5=X130</f>
        <v/>
      </c>
      <c r="R130" s="218">
        <f>I130-AD130</f>
        <v/>
      </c>
      <c r="S130" s="298" t="n"/>
      <c r="T130" s="299" t="n">
        <v>45663</v>
      </c>
      <c r="U130" s="298" t="inlineStr">
        <is>
          <t>25-00027</t>
        </is>
      </c>
      <c r="V130" s="298" t="n">
        <v>0</v>
      </c>
      <c r="W130" s="298" t="inlineStr">
        <is>
          <t>បុគ្គលជាប់អាករ</t>
        </is>
      </c>
      <c r="X130" s="298" t="inlineStr">
        <is>
          <t>L001-901640009</t>
        </is>
      </c>
      <c r="Y130" s="298" t="inlineStr">
        <is>
          <t>ហូលីដេ ឌីហ្សាញ (ខេមបូឌា) ឯ.ក</t>
        </is>
      </c>
      <c r="Z130" s="300" t="n">
        <v>1330890</v>
      </c>
      <c r="AA130" s="300" t="n">
        <v>1209900</v>
      </c>
      <c r="AB130" s="298" t="n">
        <v>0</v>
      </c>
      <c r="AC130" s="298" t="inlineStr">
        <is>
          <t>-</t>
        </is>
      </c>
      <c r="AD130" s="300" t="n">
        <v>120990</v>
      </c>
      <c r="AE130" s="298" t="n">
        <v>0</v>
      </c>
      <c r="AF130" s="562" t="n">
        <v>0</v>
      </c>
      <c r="AG130" s="198" t="n">
        <v>0</v>
      </c>
      <c r="AH130" s="198" t="n">
        <v>0</v>
      </c>
      <c r="AI130" s="198" t="n">
        <v>0</v>
      </c>
      <c r="AJ130" s="198" t="n">
        <v>0</v>
      </c>
      <c r="AK130" s="198" t="n">
        <v>0</v>
      </c>
      <c r="AL130" s="198" t="n">
        <v>0.01</v>
      </c>
      <c r="AM130" s="198" t="n">
        <v>0</v>
      </c>
      <c r="AN130" s="198" t="inlineStr">
        <is>
          <t>Tax Filling fee</t>
        </is>
      </c>
      <c r="AO130" s="198" t="inlineStr">
        <is>
          <t>បានប្រកាសនិងបង់ពន្ធ</t>
        </is>
      </c>
    </row>
    <row r="131">
      <c r="A131" s="212">
        <f>A130+1</f>
        <v/>
      </c>
      <c r="B131" s="214" t="inlineStr">
        <is>
          <t>Tax Filling &amp; Annual Income Tax Return 2024</t>
        </is>
      </c>
      <c r="C131" s="214" t="inlineStr">
        <is>
          <t>L S CONSULTING CO., LTD.</t>
        </is>
      </c>
      <c r="D131" s="215" t="inlineStr">
        <is>
          <t>K010-901700169</t>
        </is>
      </c>
      <c r="E131" s="290" t="inlineStr">
        <is>
          <t>25-00133</t>
        </is>
      </c>
      <c r="F131" s="279" t="n">
        <v>45693</v>
      </c>
      <c r="G131" s="216" t="n"/>
      <c r="H131" s="564" t="n"/>
      <c r="I131" s="564" t="n">
        <v>321600</v>
      </c>
      <c r="J131" s="213" t="inlineStr">
        <is>
          <t>អនុញ្ញាត (បានប្រកាស)</t>
        </is>
      </c>
      <c r="K131" s="213" t="n"/>
      <c r="L131" s="563">
        <f>I131</f>
        <v/>
      </c>
      <c r="M131" s="536">
        <f>I131-L131</f>
        <v/>
      </c>
      <c r="N131" s="213" t="n"/>
      <c r="O131" s="218">
        <f>U131=E131</f>
        <v/>
      </c>
      <c r="P131" s="218">
        <f>MONTH(F131)-MONTH(T131)</f>
        <v/>
      </c>
      <c r="Q131" s="218">
        <f>$B$5=X131</f>
        <v/>
      </c>
      <c r="R131" s="218">
        <f>I131-AD131</f>
        <v/>
      </c>
      <c r="S131" s="298" t="n"/>
      <c r="T131" s="299" t="n">
        <v>45693</v>
      </c>
      <c r="U131" s="298" t="inlineStr">
        <is>
          <t>25-00133</t>
        </is>
      </c>
      <c r="V131" s="298" t="n">
        <v>0</v>
      </c>
      <c r="W131" s="298" t="inlineStr">
        <is>
          <t>បុគ្គលជាប់អាករ</t>
        </is>
      </c>
      <c r="X131" s="298" t="inlineStr">
        <is>
          <t>L001-901640009</t>
        </is>
      </c>
      <c r="Y131" s="298" t="inlineStr">
        <is>
          <t>ហូលីដេ ឌីហ្សាញ (ខេមបូឌា) ឯ.ក</t>
        </is>
      </c>
      <c r="Z131" s="300" t="n">
        <v>3537600</v>
      </c>
      <c r="AA131" s="300" t="n">
        <v>3216000</v>
      </c>
      <c r="AB131" s="298" t="n">
        <v>0</v>
      </c>
      <c r="AC131" s="298" t="inlineStr">
        <is>
          <t>-</t>
        </is>
      </c>
      <c r="AD131" s="300" t="n">
        <v>321600</v>
      </c>
      <c r="AE131" s="298" t="n">
        <v>0</v>
      </c>
      <c r="AF131" s="562" t="n">
        <v>0</v>
      </c>
      <c r="AG131" s="198" t="n">
        <v>0</v>
      </c>
      <c r="AH131" s="198" t="n">
        <v>0</v>
      </c>
      <c r="AI131" s="198" t="n">
        <v>0</v>
      </c>
      <c r="AJ131" s="198" t="n">
        <v>0</v>
      </c>
      <c r="AK131" s="198" t="n">
        <v>0</v>
      </c>
      <c r="AL131" s="198" t="n">
        <v>0.01</v>
      </c>
      <c r="AM131" s="198" t="n">
        <v>0</v>
      </c>
      <c r="AN131" s="198" t="inlineStr">
        <is>
          <t>Tax Filling fee</t>
        </is>
      </c>
      <c r="AO131" s="198" t="inlineStr">
        <is>
          <t>បានប្រកាសនិងបង់ពន្ធ</t>
        </is>
      </c>
    </row>
    <row r="132">
      <c r="A132" s="212">
        <f>A131+1</f>
        <v/>
      </c>
      <c r="B132" s="214" t="inlineStr">
        <is>
          <t>Tax Filling 02-2025</t>
        </is>
      </c>
      <c r="C132" s="214" t="inlineStr">
        <is>
          <t>L S CONSULTING CO., LTD.</t>
        </is>
      </c>
      <c r="D132" s="215" t="inlineStr">
        <is>
          <t>K010-901700169</t>
        </is>
      </c>
      <c r="E132" s="290" t="inlineStr">
        <is>
          <t>25-00240</t>
        </is>
      </c>
      <c r="F132" s="279" t="n">
        <v>45721</v>
      </c>
      <c r="G132" s="216" t="n"/>
      <c r="H132" s="564" t="n"/>
      <c r="I132" s="564" t="n">
        <v>120330</v>
      </c>
      <c r="J132" s="213" t="inlineStr">
        <is>
          <t>អនុញ្ញាត (បានប្រកាស)</t>
        </is>
      </c>
      <c r="K132" s="213" t="n"/>
      <c r="L132" s="563">
        <f>I132</f>
        <v/>
      </c>
      <c r="M132" s="536">
        <f>I132-L132</f>
        <v/>
      </c>
      <c r="N132" s="213" t="n"/>
      <c r="O132" s="218">
        <f>U132=E132</f>
        <v/>
      </c>
      <c r="P132" s="218">
        <f>MONTH(F132)-MONTH(T132)</f>
        <v/>
      </c>
      <c r="Q132" s="218">
        <f>$B$5=X132</f>
        <v/>
      </c>
      <c r="R132" s="218">
        <f>I132-AD132</f>
        <v/>
      </c>
      <c r="S132" s="298" t="n"/>
      <c r="T132" s="299" t="n">
        <v>45721</v>
      </c>
      <c r="U132" s="298" t="inlineStr">
        <is>
          <t>25-00240</t>
        </is>
      </c>
      <c r="V132" s="298" t="n">
        <v>0</v>
      </c>
      <c r="W132" s="298" t="inlineStr">
        <is>
          <t>បុគ្គលជាប់អាករ</t>
        </is>
      </c>
      <c r="X132" s="298" t="inlineStr">
        <is>
          <t>L001-901640009</t>
        </is>
      </c>
      <c r="Y132" s="298" t="inlineStr">
        <is>
          <t>ហូលីដេ ឌីហ្សាញ (ខេមបូឌា) ឯ.ក</t>
        </is>
      </c>
      <c r="Z132" s="300" t="n">
        <v>1323630</v>
      </c>
      <c r="AA132" s="300" t="n">
        <v>1203300</v>
      </c>
      <c r="AB132" s="298" t="n">
        <v>0</v>
      </c>
      <c r="AC132" s="298" t="inlineStr">
        <is>
          <t>-</t>
        </is>
      </c>
      <c r="AD132" s="300" t="n">
        <v>120330</v>
      </c>
      <c r="AE132" s="298" t="n">
        <v>0</v>
      </c>
      <c r="AF132" s="562" t="n">
        <v>0</v>
      </c>
      <c r="AG132" s="198" t="n">
        <v>0</v>
      </c>
      <c r="AH132" s="198" t="n">
        <v>0</v>
      </c>
      <c r="AI132" s="198" t="n">
        <v>0</v>
      </c>
      <c r="AJ132" s="198" t="n">
        <v>0</v>
      </c>
      <c r="AK132" s="198" t="n">
        <v>0</v>
      </c>
      <c r="AL132" s="198" t="n">
        <v>0.01</v>
      </c>
      <c r="AM132" s="198" t="n">
        <v>0</v>
      </c>
      <c r="AN132" s="198" t="inlineStr">
        <is>
          <t>Tax Filling fee</t>
        </is>
      </c>
      <c r="AO132" s="198" t="inlineStr">
        <is>
          <t>បានប្រកាសនិងបង់ពន្ធ</t>
        </is>
      </c>
    </row>
    <row r="133">
      <c r="A133" s="212">
        <f>A132+1</f>
        <v/>
      </c>
      <c r="B133" s="214" t="inlineStr">
        <is>
          <t>Tax Filling 03-2025</t>
        </is>
      </c>
      <c r="C133" s="214" t="inlineStr">
        <is>
          <t>L S CONSULTING CO., LTD.</t>
        </is>
      </c>
      <c r="D133" s="215" t="inlineStr">
        <is>
          <t>K010-901700169</t>
        </is>
      </c>
      <c r="E133" s="290" t="inlineStr">
        <is>
          <t>25-00347</t>
        </is>
      </c>
      <c r="F133" s="279" t="n">
        <v>45752</v>
      </c>
      <c r="G133" s="216" t="n"/>
      <c r="H133" s="564" t="n"/>
      <c r="I133" s="564" t="n">
        <v>120090</v>
      </c>
      <c r="J133" s="213" t="inlineStr">
        <is>
          <t>អនុញ្ញាត (បានប្រកាស)</t>
        </is>
      </c>
      <c r="K133" s="213" t="n"/>
      <c r="L133" s="563">
        <f>I133</f>
        <v/>
      </c>
      <c r="M133" s="536">
        <f>I133-L133</f>
        <v/>
      </c>
      <c r="N133" s="213" t="n"/>
      <c r="O133" s="218">
        <f>U133=E133</f>
        <v/>
      </c>
      <c r="P133" s="218">
        <f>MONTH(F133)-MONTH(T133)</f>
        <v/>
      </c>
      <c r="Q133" s="218">
        <f>$B$5=X133</f>
        <v/>
      </c>
      <c r="R133" s="218">
        <f>I133-AD133</f>
        <v/>
      </c>
      <c r="S133" s="298" t="n"/>
      <c r="T133" s="299" t="n">
        <v>45752</v>
      </c>
      <c r="U133" s="298" t="inlineStr">
        <is>
          <t>25-00347</t>
        </is>
      </c>
      <c r="V133" s="298" t="n">
        <v>0</v>
      </c>
      <c r="W133" s="298" t="inlineStr">
        <is>
          <t>បុគ្គលជាប់អាករ</t>
        </is>
      </c>
      <c r="X133" s="298" t="inlineStr">
        <is>
          <t>L001-901640009</t>
        </is>
      </c>
      <c r="Y133" s="298" t="inlineStr">
        <is>
          <t>ហូលីដេ ឌីហ្សាញ (ខេមបូឌា) ឯ.ក</t>
        </is>
      </c>
      <c r="Z133" s="300" t="n">
        <v>1320990</v>
      </c>
      <c r="AA133" s="300" t="n">
        <v>1200900</v>
      </c>
      <c r="AB133" s="298" t="n">
        <v>0</v>
      </c>
      <c r="AC133" s="298" t="inlineStr">
        <is>
          <t>-</t>
        </is>
      </c>
      <c r="AD133" s="300" t="n">
        <v>120090</v>
      </c>
      <c r="AE133" s="298" t="n">
        <v>0</v>
      </c>
      <c r="AF133" s="562" t="n">
        <v>0</v>
      </c>
      <c r="AG133" s="198" t="n">
        <v>0</v>
      </c>
      <c r="AH133" s="198" t="n">
        <v>0</v>
      </c>
      <c r="AI133" s="198" t="n">
        <v>0</v>
      </c>
      <c r="AJ133" s="198" t="n">
        <v>0</v>
      </c>
      <c r="AK133" s="198" t="n">
        <v>0</v>
      </c>
      <c r="AL133" s="198" t="n">
        <v>0.01</v>
      </c>
      <c r="AM133" s="198" t="n">
        <v>0</v>
      </c>
      <c r="AN133" s="198" t="inlineStr">
        <is>
          <t>Tax Filling fee</t>
        </is>
      </c>
      <c r="AO133" s="198" t="inlineStr">
        <is>
          <t>បានប្រកាសនិងបង់ពន្ធ</t>
        </is>
      </c>
    </row>
    <row r="134">
      <c r="A134" s="212">
        <f>A133+1</f>
        <v/>
      </c>
      <c r="B134" s="214" t="inlineStr">
        <is>
          <t>Trucking Fee-Im</t>
        </is>
      </c>
      <c r="C134" s="214" t="inlineStr">
        <is>
          <t>BRILLIANT TRANSPORT AND TRADING Co., Ltd.</t>
        </is>
      </c>
      <c r="D134" s="215" t="inlineStr">
        <is>
          <t>K002-100089305</t>
        </is>
      </c>
      <c r="E134" s="290" t="inlineStr">
        <is>
          <t>BTT25-0000196</t>
        </is>
      </c>
      <c r="F134" s="279" t="n">
        <v>45678</v>
      </c>
      <c r="G134" s="216" t="n"/>
      <c r="H134" s="564" t="n"/>
      <c r="I134" s="564" t="n">
        <v>2828358</v>
      </c>
      <c r="J134" s="213" t="inlineStr">
        <is>
          <t>អនុញ្ញាត (បានប្រកាស)</t>
        </is>
      </c>
      <c r="K134" s="213" t="n"/>
      <c r="L134" s="563">
        <f>I134</f>
        <v/>
      </c>
      <c r="M134" s="536">
        <f>I134-L134</f>
        <v/>
      </c>
      <c r="N134" s="213" t="n"/>
      <c r="O134" s="218">
        <f>U134=E134</f>
        <v/>
      </c>
      <c r="P134" s="218">
        <f>MONTH(F134)-MONTH(T134)</f>
        <v/>
      </c>
      <c r="Q134" s="218">
        <f>$B$5=X134</f>
        <v/>
      </c>
      <c r="R134" s="218">
        <f>I134-AD134</f>
        <v/>
      </c>
      <c r="S134" s="298" t="n"/>
      <c r="T134" s="299" t="n">
        <v>45678</v>
      </c>
      <c r="U134" s="298" t="inlineStr">
        <is>
          <t>BTT25-0000196</t>
        </is>
      </c>
      <c r="V134" s="298" t="n">
        <v>0</v>
      </c>
      <c r="W134" s="298" t="inlineStr">
        <is>
          <t>បុគ្គលជាប់អាករ</t>
        </is>
      </c>
      <c r="X134" s="298" t="inlineStr">
        <is>
          <t>L001-901640009</t>
        </is>
      </c>
      <c r="Y134" s="298" t="inlineStr">
        <is>
          <t>ហូលីដេ ឌីហ្សាញ (ខេមបូឌា) ឯ.ក</t>
        </is>
      </c>
      <c r="Z134" s="300" t="n">
        <v>31111938</v>
      </c>
      <c r="AA134" s="300" t="n">
        <v>28283580</v>
      </c>
      <c r="AB134" s="298" t="n">
        <v>0</v>
      </c>
      <c r="AC134" s="298" t="inlineStr">
        <is>
          <t>-</t>
        </is>
      </c>
      <c r="AD134" s="300" t="n">
        <v>2828358</v>
      </c>
      <c r="AE134" s="298" t="n">
        <v>0</v>
      </c>
      <c r="AF134" s="562" t="n">
        <v>0</v>
      </c>
      <c r="AG134" s="198" t="n">
        <v>0</v>
      </c>
      <c r="AH134" s="198" t="n">
        <v>0</v>
      </c>
      <c r="AI134" s="198" t="n">
        <v>0</v>
      </c>
      <c r="AJ134" s="198" t="n">
        <v>0</v>
      </c>
      <c r="AK134" s="198" t="n">
        <v>0</v>
      </c>
      <c r="AL134" s="198" t="n">
        <v>0.01</v>
      </c>
      <c r="AM134" s="198" t="n">
        <v>0</v>
      </c>
      <c r="AN134" s="198" t="inlineStr">
        <is>
          <t>Truking / Service</t>
        </is>
      </c>
    </row>
    <row r="135">
      <c r="A135" s="212">
        <f>A134+1</f>
        <v/>
      </c>
      <c r="B135" s="214" t="inlineStr">
        <is>
          <t>Trucking Fee-Im</t>
        </is>
      </c>
      <c r="C135" s="214" t="inlineStr">
        <is>
          <t>BRILLIANT TRANSPORT AND TRADING Co., Ltd.</t>
        </is>
      </c>
      <c r="D135" s="215" t="inlineStr">
        <is>
          <t>K002-100089305</t>
        </is>
      </c>
      <c r="E135" s="290" t="inlineStr">
        <is>
          <t>BTT25-0000188</t>
        </is>
      </c>
      <c r="F135" s="279" t="n">
        <v>45677</v>
      </c>
      <c r="G135" s="216" t="n"/>
      <c r="H135" s="564" t="n"/>
      <c r="I135" s="564" t="n">
        <v>2364510</v>
      </c>
      <c r="J135" s="213" t="inlineStr">
        <is>
          <t>អនុញ្ញាត (បានប្រកាស)</t>
        </is>
      </c>
      <c r="K135" s="213" t="n"/>
      <c r="L135" s="563">
        <f>I135</f>
        <v/>
      </c>
      <c r="M135" s="536">
        <f>I135-L135</f>
        <v/>
      </c>
      <c r="N135" s="213" t="n"/>
      <c r="O135" s="218">
        <f>U135=E135</f>
        <v/>
      </c>
      <c r="P135" s="218">
        <f>MONTH(F135)-MONTH(T135)</f>
        <v/>
      </c>
      <c r="Q135" s="218">
        <f>$B$5=X135</f>
        <v/>
      </c>
      <c r="R135" s="218">
        <f>I135-AD135</f>
        <v/>
      </c>
      <c r="S135" s="298" t="n"/>
      <c r="T135" s="299" t="n">
        <v>45677</v>
      </c>
      <c r="U135" s="298" t="inlineStr">
        <is>
          <t>BTT25-0000188</t>
        </is>
      </c>
      <c r="V135" s="298" t="n">
        <v>0</v>
      </c>
      <c r="W135" s="298" t="inlineStr">
        <is>
          <t>បុគ្គលជាប់អាករ</t>
        </is>
      </c>
      <c r="X135" s="298" t="inlineStr">
        <is>
          <t>L001-901640009</t>
        </is>
      </c>
      <c r="Y135" s="298" t="inlineStr">
        <is>
          <t>ហូលីដេ ឌីហ្សាញ (ខេមបូឌា) ឯ.ក</t>
        </is>
      </c>
      <c r="Z135" s="300" t="n">
        <v>26009610</v>
      </c>
      <c r="AA135" s="300" t="n">
        <v>23645100</v>
      </c>
      <c r="AB135" s="298" t="n">
        <v>0</v>
      </c>
      <c r="AC135" s="298" t="inlineStr">
        <is>
          <t>-</t>
        </is>
      </c>
      <c r="AD135" s="300" t="n">
        <v>2364510</v>
      </c>
      <c r="AE135" s="298" t="n">
        <v>0</v>
      </c>
      <c r="AF135" s="562" t="n">
        <v>0</v>
      </c>
      <c r="AG135" s="198" t="n">
        <v>0</v>
      </c>
      <c r="AH135" s="198" t="n">
        <v>0</v>
      </c>
      <c r="AI135" s="198" t="n">
        <v>0</v>
      </c>
      <c r="AJ135" s="198" t="n">
        <v>0</v>
      </c>
      <c r="AK135" s="198" t="n">
        <v>0</v>
      </c>
      <c r="AL135" s="198" t="n">
        <v>0.01</v>
      </c>
      <c r="AM135" s="198" t="n">
        <v>0</v>
      </c>
      <c r="AN135" s="198" t="inlineStr">
        <is>
          <t>Truking / Service</t>
        </is>
      </c>
    </row>
    <row r="136">
      <c r="A136" s="212">
        <f>A135+1</f>
        <v/>
      </c>
      <c r="B136" s="214" t="inlineStr">
        <is>
          <t>Lift-On&amp;Lift-Off-Im</t>
        </is>
      </c>
      <c r="C136" s="214" t="inlineStr">
        <is>
          <t>Port Autonome Du Sihanoukville</t>
        </is>
      </c>
      <c r="D136" s="215" t="inlineStr">
        <is>
          <t>L001-100044638</t>
        </is>
      </c>
      <c r="E136" s="290" t="n">
        <v>202500014701</v>
      </c>
      <c r="F136" s="279" t="n">
        <v>45675</v>
      </c>
      <c r="G136" s="216" t="n"/>
      <c r="H136" s="564" t="n"/>
      <c r="I136" s="564" t="n">
        <v>175175</v>
      </c>
      <c r="J136" s="213" t="inlineStr">
        <is>
          <t>អនុញ្ញាត (បានប្រកាស)</t>
        </is>
      </c>
      <c r="K136" s="213" t="n"/>
      <c r="L136" s="563">
        <f>I136</f>
        <v/>
      </c>
      <c r="M136" s="536">
        <f>I136-L136</f>
        <v/>
      </c>
      <c r="N136" s="213" t="n"/>
      <c r="O136" s="218">
        <f>U136=E136</f>
        <v/>
      </c>
      <c r="P136" s="218">
        <f>MONTH(F136)-MONTH(T136)</f>
        <v/>
      </c>
      <c r="Q136" s="218">
        <f>$B$5=X136</f>
        <v/>
      </c>
      <c r="R136" s="218">
        <f>I136-AD136</f>
        <v/>
      </c>
      <c r="S136" s="298" t="n"/>
      <c r="T136" s="299" t="n">
        <v>45675</v>
      </c>
      <c r="U136" s="298" t="n">
        <v>202500014701</v>
      </c>
      <c r="V136" s="298" t="n">
        <v>0</v>
      </c>
      <c r="W136" s="298" t="inlineStr">
        <is>
          <t>បុគ្គលជាប់អាករ</t>
        </is>
      </c>
      <c r="X136" s="298" t="inlineStr">
        <is>
          <t>L001-901640009</t>
        </is>
      </c>
      <c r="Y136" s="298" t="inlineStr">
        <is>
          <t>ហូលីដេ ឌីហ្សាញ (ខេមបូឌា) ឯ.ក</t>
        </is>
      </c>
      <c r="Z136" s="300" t="n">
        <v>1926920</v>
      </c>
      <c r="AA136" s="300" t="n">
        <v>1751745</v>
      </c>
      <c r="AB136" s="298" t="n">
        <v>0</v>
      </c>
      <c r="AC136" s="298" t="inlineStr">
        <is>
          <t>-</t>
        </is>
      </c>
      <c r="AD136" s="300" t="n">
        <v>175175</v>
      </c>
      <c r="AE136" s="298" t="n">
        <v>0</v>
      </c>
      <c r="AF136" s="562" t="n">
        <v>0</v>
      </c>
      <c r="AG136" s="198" t="n">
        <v>0</v>
      </c>
      <c r="AH136" s="198" t="n">
        <v>0</v>
      </c>
      <c r="AI136" s="198" t="n">
        <v>0</v>
      </c>
      <c r="AJ136" s="198" t="n">
        <v>0</v>
      </c>
      <c r="AK136" s="198" t="n">
        <v>0</v>
      </c>
      <c r="AL136" s="198" t="n">
        <v>0.01</v>
      </c>
      <c r="AM136" s="198" t="n">
        <v>0</v>
      </c>
      <c r="AN136" s="198" t="inlineStr">
        <is>
          <t>LOLO</t>
        </is>
      </c>
    </row>
    <row r="137">
      <c r="A137" s="212">
        <f>A136+1</f>
        <v/>
      </c>
      <c r="B137" s="214" t="inlineStr">
        <is>
          <t>Lift-On&amp;Lift-Off-Im</t>
        </is>
      </c>
      <c r="C137" s="214" t="inlineStr">
        <is>
          <t>Port Autonome Du Sihanoukville</t>
        </is>
      </c>
      <c r="D137" s="215" t="inlineStr">
        <is>
          <t>L001-100044638</t>
        </is>
      </c>
      <c r="E137" s="290" t="n">
        <v>202500022891</v>
      </c>
      <c r="F137" s="279" t="n">
        <v>45686</v>
      </c>
      <c r="G137" s="216" t="n"/>
      <c r="H137" s="564" t="n"/>
      <c r="I137" s="564" t="n">
        <v>489636</v>
      </c>
      <c r="J137" s="213" t="inlineStr">
        <is>
          <t>អនុញ្ញាត (បានប្រកាស)</t>
        </is>
      </c>
      <c r="K137" s="213" t="n"/>
      <c r="L137" s="563">
        <f>I137</f>
        <v/>
      </c>
      <c r="M137" s="536">
        <f>I137-L137</f>
        <v/>
      </c>
      <c r="N137" s="213" t="n"/>
      <c r="O137" s="218">
        <f>U137=E137</f>
        <v/>
      </c>
      <c r="P137" s="218">
        <f>MONTH(F137)-MONTH(T137)</f>
        <v/>
      </c>
      <c r="Q137" s="218">
        <f>$B$5=X137</f>
        <v/>
      </c>
      <c r="R137" s="218">
        <f>I137-AD137</f>
        <v/>
      </c>
      <c r="S137" s="298" t="n"/>
      <c r="T137" s="299" t="n">
        <v>45686</v>
      </c>
      <c r="U137" s="298" t="n">
        <v>202500022891</v>
      </c>
      <c r="V137" s="298" t="n">
        <v>0</v>
      </c>
      <c r="W137" s="298" t="inlineStr">
        <is>
          <t>បុគ្គលជាប់អាករ</t>
        </is>
      </c>
      <c r="X137" s="298" t="inlineStr">
        <is>
          <t>L001-901640009</t>
        </is>
      </c>
      <c r="Y137" s="298" t="inlineStr">
        <is>
          <t>ហូលីដេ ឌីហ្សាញ (ខេមបូឌា) ឯ.ក</t>
        </is>
      </c>
      <c r="Z137" s="300" t="n">
        <v>5385996</v>
      </c>
      <c r="AA137" s="300" t="n">
        <v>4896360</v>
      </c>
      <c r="AB137" s="298" t="n">
        <v>0</v>
      </c>
      <c r="AC137" s="298" t="inlineStr">
        <is>
          <t>-</t>
        </is>
      </c>
      <c r="AD137" s="300" t="n">
        <v>489636</v>
      </c>
      <c r="AE137" s="298" t="n">
        <v>0</v>
      </c>
      <c r="AF137" s="562" t="n">
        <v>0</v>
      </c>
      <c r="AG137" s="198" t="n">
        <v>0</v>
      </c>
      <c r="AH137" s="198" t="n">
        <v>0</v>
      </c>
      <c r="AI137" s="198" t="n">
        <v>0</v>
      </c>
      <c r="AJ137" s="198" t="n">
        <v>0</v>
      </c>
      <c r="AK137" s="198" t="n">
        <v>0</v>
      </c>
      <c r="AL137" s="198" t="n">
        <v>0.01</v>
      </c>
      <c r="AM137" s="198" t="n">
        <v>0</v>
      </c>
      <c r="AN137" s="198" t="inlineStr">
        <is>
          <t>LOLO</t>
        </is>
      </c>
    </row>
    <row r="138">
      <c r="A138" s="212">
        <f>A137+1</f>
        <v/>
      </c>
      <c r="B138" s="214" t="inlineStr">
        <is>
          <t>Terminal Handling Service-Im</t>
        </is>
      </c>
      <c r="C138" s="214" t="inlineStr">
        <is>
          <t>SITC CONTAINER LINES (CAMBODIA) Co., Ltd.</t>
        </is>
      </c>
      <c r="D138" s="215" t="inlineStr">
        <is>
          <t>L001-107035863</t>
        </is>
      </c>
      <c r="E138" s="290" t="inlineStr">
        <is>
          <t>SITC2025-003610</t>
        </is>
      </c>
      <c r="F138" s="279" t="n">
        <v>45682</v>
      </c>
      <c r="G138" s="216" t="n"/>
      <c r="H138" s="564" t="n"/>
      <c r="I138" s="564" t="n">
        <v>2953616</v>
      </c>
      <c r="J138" s="213" t="inlineStr">
        <is>
          <t>អនុញ្ញាត (បានប្រកាស)</t>
        </is>
      </c>
      <c r="K138" s="213" t="n"/>
      <c r="L138" s="563">
        <f>I138</f>
        <v/>
      </c>
      <c r="M138" s="536">
        <f>I138-L138</f>
        <v/>
      </c>
      <c r="N138" s="213" t="n"/>
      <c r="O138" s="218">
        <f>U138=E138</f>
        <v/>
      </c>
      <c r="P138" s="218">
        <f>MONTH(F138)-MONTH(T138)</f>
        <v/>
      </c>
      <c r="Q138" s="218">
        <f>$B$5=X138</f>
        <v/>
      </c>
      <c r="R138" s="218">
        <f>I138-AD138</f>
        <v/>
      </c>
      <c r="S138" s="298" t="n"/>
      <c r="T138" s="299" t="n">
        <v>45682</v>
      </c>
      <c r="U138" s="298" t="inlineStr">
        <is>
          <t>SITC2025-003610</t>
        </is>
      </c>
      <c r="V138" s="298" t="n">
        <v>0</v>
      </c>
      <c r="W138" s="298" t="inlineStr">
        <is>
          <t>បុគ្គលជាប់អាករ</t>
        </is>
      </c>
      <c r="X138" s="298" t="inlineStr">
        <is>
          <t>L001-901640009</t>
        </is>
      </c>
      <c r="Y138" s="298" t="inlineStr">
        <is>
          <t>ហូលីដេ ឌីហ្សាញ (ខេមបូឌា) ឯ.ក</t>
        </is>
      </c>
      <c r="Z138" s="300" t="n">
        <v>32489776</v>
      </c>
      <c r="AA138" s="300" t="n">
        <v>29536160</v>
      </c>
      <c r="AB138" s="298" t="n">
        <v>0</v>
      </c>
      <c r="AC138" s="298" t="inlineStr">
        <is>
          <t>-</t>
        </is>
      </c>
      <c r="AD138" s="300" t="n">
        <v>2953616</v>
      </c>
      <c r="AE138" s="298" t="n">
        <v>0</v>
      </c>
      <c r="AF138" s="562" t="n">
        <v>0</v>
      </c>
      <c r="AG138" s="198" t="n">
        <v>0</v>
      </c>
      <c r="AH138" s="198" t="n">
        <v>0</v>
      </c>
      <c r="AI138" s="198" t="n">
        <v>0</v>
      </c>
      <c r="AJ138" s="198" t="n">
        <v>0</v>
      </c>
      <c r="AK138" s="198" t="n">
        <v>0</v>
      </c>
      <c r="AL138" s="198" t="n">
        <v>0.01</v>
      </c>
      <c r="AM138" s="198" t="n">
        <v>0</v>
      </c>
      <c r="AN138" s="198" t="inlineStr">
        <is>
          <t>KHDOC,KHTHC,EMF,EIB,KHCIC</t>
        </is>
      </c>
    </row>
    <row r="139">
      <c r="A139" s="212">
        <f>A138+1</f>
        <v/>
      </c>
      <c r="B139" s="214" t="inlineStr">
        <is>
          <t>Trucking Fee-Im</t>
        </is>
      </c>
      <c r="C139" s="214" t="inlineStr">
        <is>
          <t>BRILLIANT TRANSPORT AND TRADING Co., Ltd.</t>
        </is>
      </c>
      <c r="D139" s="215" t="inlineStr">
        <is>
          <t>K002-100089305</t>
        </is>
      </c>
      <c r="E139" s="290" t="inlineStr">
        <is>
          <t>BTT25-0000256</t>
        </is>
      </c>
      <c r="F139" s="279" t="n">
        <v>45686</v>
      </c>
      <c r="G139" s="216" t="n"/>
      <c r="H139" s="564" t="n"/>
      <c r="I139" s="564" t="n">
        <v>3288360</v>
      </c>
      <c r="J139" s="213" t="inlineStr">
        <is>
          <t>អនុញ្ញាត (បានប្រកាស)</t>
        </is>
      </c>
      <c r="K139" s="213" t="n"/>
      <c r="L139" s="563">
        <f>I139</f>
        <v/>
      </c>
      <c r="M139" s="536">
        <f>I139-L139</f>
        <v/>
      </c>
      <c r="N139" s="213" t="n"/>
      <c r="O139" s="218">
        <f>U139=E139</f>
        <v/>
      </c>
      <c r="P139" s="218">
        <f>MONTH(F139)-MONTH(T139)</f>
        <v/>
      </c>
      <c r="Q139" s="218">
        <f>$B$5=X139</f>
        <v/>
      </c>
      <c r="R139" s="218">
        <f>I139-AD139</f>
        <v/>
      </c>
      <c r="S139" s="298" t="n"/>
      <c r="T139" s="299" t="n">
        <v>45686</v>
      </c>
      <c r="U139" s="298" t="inlineStr">
        <is>
          <t>BTT25-0000256</t>
        </is>
      </c>
      <c r="V139" s="298" t="n">
        <v>0</v>
      </c>
      <c r="W139" s="298" t="inlineStr">
        <is>
          <t>បុគ្គលជាប់អាករ</t>
        </is>
      </c>
      <c r="X139" s="298" t="inlineStr">
        <is>
          <t>L001-901640009</t>
        </is>
      </c>
      <c r="Y139" s="298" t="inlineStr">
        <is>
          <t>ហូលីដេ ឌីហ្សាញ (ខេមបូឌា) ឯ.ក</t>
        </is>
      </c>
      <c r="Z139" s="300" t="n">
        <v>36171960</v>
      </c>
      <c r="AA139" s="300" t="n">
        <v>32883600</v>
      </c>
      <c r="AB139" s="298" t="n">
        <v>0</v>
      </c>
      <c r="AC139" s="298" t="inlineStr">
        <is>
          <t>-</t>
        </is>
      </c>
      <c r="AD139" s="300" t="n">
        <v>3288360</v>
      </c>
      <c r="AE139" s="298" t="n">
        <v>0</v>
      </c>
      <c r="AF139" s="562" t="n">
        <v>0</v>
      </c>
      <c r="AG139" s="198" t="n">
        <v>0</v>
      </c>
      <c r="AH139" s="198" t="n">
        <v>0</v>
      </c>
      <c r="AI139" s="198" t="n">
        <v>0</v>
      </c>
      <c r="AJ139" s="198" t="n">
        <v>0</v>
      </c>
      <c r="AK139" s="198" t="n">
        <v>0</v>
      </c>
      <c r="AL139" s="198" t="n">
        <v>0.01</v>
      </c>
      <c r="AM139" s="198" t="n">
        <v>0</v>
      </c>
      <c r="AN139" s="198" t="inlineStr">
        <is>
          <t>Truking / Service</t>
        </is>
      </c>
    </row>
    <row r="140">
      <c r="A140" s="212">
        <f>A139+1</f>
        <v/>
      </c>
      <c r="B140" s="214" t="inlineStr">
        <is>
          <t>Lift-On&amp;Lift-Off-Im</t>
        </is>
      </c>
      <c r="C140" s="214" t="inlineStr">
        <is>
          <t>Port Autonome Du Sihanoukville</t>
        </is>
      </c>
      <c r="D140" s="215" t="inlineStr">
        <is>
          <t>L001-100044638</t>
        </is>
      </c>
      <c r="E140" s="290" t="n">
        <v>202500016641</v>
      </c>
      <c r="F140" s="279" t="n">
        <v>45678</v>
      </c>
      <c r="G140" s="216" t="n"/>
      <c r="H140" s="564" t="n"/>
      <c r="I140" s="564" t="n">
        <v>175262</v>
      </c>
      <c r="J140" s="213" t="inlineStr">
        <is>
          <t>អនុញ្ញាត (បានប្រកាស)</t>
        </is>
      </c>
      <c r="K140" s="213" t="n"/>
      <c r="L140" s="563">
        <f>I140</f>
        <v/>
      </c>
      <c r="M140" s="536">
        <f>I140-L140</f>
        <v/>
      </c>
      <c r="N140" s="213" t="n"/>
      <c r="O140" s="218">
        <f>U140=E140</f>
        <v/>
      </c>
      <c r="P140" s="218">
        <f>MONTH(F140)-MONTH(T140)</f>
        <v/>
      </c>
      <c r="Q140" s="218">
        <f>$B$5=X140</f>
        <v/>
      </c>
      <c r="R140" s="218">
        <f>I140-AD140</f>
        <v/>
      </c>
      <c r="S140" s="298" t="n"/>
      <c r="T140" s="299" t="n">
        <v>45678</v>
      </c>
      <c r="U140" s="298" t="n">
        <v>202500016641</v>
      </c>
      <c r="V140" s="298" t="n">
        <v>0</v>
      </c>
      <c r="W140" s="298" t="inlineStr">
        <is>
          <t>បុគ្គលជាប់អាករ</t>
        </is>
      </c>
      <c r="X140" s="298" t="inlineStr">
        <is>
          <t>L001-901640009</t>
        </is>
      </c>
      <c r="Y140" s="298" t="inlineStr">
        <is>
          <t>ហូលីដេ ឌីហ្សាញ (ខេមបូឌា) ឯ.ក</t>
        </is>
      </c>
      <c r="Z140" s="300" t="n">
        <v>1927877</v>
      </c>
      <c r="AA140" s="300" t="n">
        <v>1752615</v>
      </c>
      <c r="AB140" s="298" t="n">
        <v>0</v>
      </c>
      <c r="AC140" s="298" t="inlineStr">
        <is>
          <t>-</t>
        </is>
      </c>
      <c r="AD140" s="300" t="n">
        <v>175262</v>
      </c>
      <c r="AE140" s="298" t="n">
        <v>0</v>
      </c>
      <c r="AF140" s="562" t="n">
        <v>0</v>
      </c>
      <c r="AG140" s="198" t="n">
        <v>0</v>
      </c>
      <c r="AH140" s="198" t="n">
        <v>0</v>
      </c>
      <c r="AI140" s="198" t="n">
        <v>0</v>
      </c>
      <c r="AJ140" s="198" t="n">
        <v>0</v>
      </c>
      <c r="AK140" s="198" t="n">
        <v>0</v>
      </c>
      <c r="AL140" s="198" t="n">
        <v>0.01</v>
      </c>
      <c r="AM140" s="198" t="n">
        <v>0</v>
      </c>
      <c r="AN140" s="198" t="inlineStr">
        <is>
          <t>LOLO</t>
        </is>
      </c>
    </row>
    <row r="141">
      <c r="A141" s="212">
        <f>A140+1</f>
        <v/>
      </c>
      <c r="B141" s="214" t="inlineStr">
        <is>
          <t>Terminal Handling Service-Im</t>
        </is>
      </c>
      <c r="C141" s="214" t="inlineStr">
        <is>
          <t>SITC CONTAINER LINES (CAMBODIA) Co., Ltd.</t>
        </is>
      </c>
      <c r="D141" s="215" t="inlineStr">
        <is>
          <t>L001-107035863</t>
        </is>
      </c>
      <c r="E141" s="290" t="inlineStr">
        <is>
          <t>SITC2025-002264</t>
        </is>
      </c>
      <c r="F141" s="279" t="n">
        <v>45673</v>
      </c>
      <c r="G141" s="216" t="n"/>
      <c r="H141" s="564" t="n"/>
      <c r="I141" s="564" t="n">
        <v>1070650</v>
      </c>
      <c r="J141" s="213" t="inlineStr">
        <is>
          <t>អនុញ្ញាត (បានប្រកាស)</t>
        </is>
      </c>
      <c r="K141" s="213" t="n"/>
      <c r="L141" s="563">
        <f>I141</f>
        <v/>
      </c>
      <c r="M141" s="536">
        <f>I141-L141</f>
        <v/>
      </c>
      <c r="N141" s="213" t="n"/>
      <c r="O141" s="218">
        <f>U141=E141</f>
        <v/>
      </c>
      <c r="P141" s="218">
        <f>MONTH(F141)-MONTH(T141)</f>
        <v/>
      </c>
      <c r="Q141" s="218">
        <f>$B$5=X141</f>
        <v/>
      </c>
      <c r="R141" s="218">
        <f>I141-AD141</f>
        <v/>
      </c>
      <c r="S141" s="298" t="inlineStr">
        <is>
          <t>ប្រកាសខុស</t>
        </is>
      </c>
      <c r="T141" s="299" t="n">
        <v>45673</v>
      </c>
      <c r="U141" s="298" t="inlineStr">
        <is>
          <t>SITC2025-002264</t>
        </is>
      </c>
      <c r="V141" s="298" t="n">
        <v>0</v>
      </c>
      <c r="W141" s="298" t="inlineStr">
        <is>
          <t>បុគ្គលជាប់អាករ</t>
        </is>
      </c>
      <c r="X141" s="298" t="inlineStr">
        <is>
          <t>L001-901640009</t>
        </is>
      </c>
      <c r="Y141" s="298" t="inlineStr">
        <is>
          <t>ហូលីដេ ឌីហ្សាញ (ខេមបូឌា) ឯ.ក</t>
        </is>
      </c>
      <c r="Z141" s="300" t="n">
        <v>11777150</v>
      </c>
      <c r="AA141" s="300" t="n">
        <v>10706500</v>
      </c>
      <c r="AB141" s="298" t="n">
        <v>0</v>
      </c>
      <c r="AC141" s="298" t="inlineStr">
        <is>
          <t>-</t>
        </is>
      </c>
      <c r="AD141" s="300" t="n">
        <v>1070650</v>
      </c>
      <c r="AE141" s="298" t="n">
        <v>0</v>
      </c>
      <c r="AF141" s="562" t="n">
        <v>0</v>
      </c>
      <c r="AG141" s="198" t="n">
        <v>0</v>
      </c>
      <c r="AH141" s="198" t="n">
        <v>0</v>
      </c>
      <c r="AI141" s="198" t="n">
        <v>0</v>
      </c>
      <c r="AJ141" s="198" t="n">
        <v>0</v>
      </c>
      <c r="AK141" s="198" t="n">
        <v>0</v>
      </c>
      <c r="AL141" s="198" t="n">
        <v>0.01</v>
      </c>
      <c r="AM141" s="198" t="n">
        <v>0</v>
      </c>
      <c r="AN141" s="198" t="inlineStr">
        <is>
          <t>KHCIC,EIB,EMF,KHTHC,KHDOC</t>
        </is>
      </c>
    </row>
    <row r="142">
      <c r="A142" s="212">
        <f>A141+1</f>
        <v/>
      </c>
      <c r="B142" s="214" t="inlineStr">
        <is>
          <t>Trucking Fee-Im</t>
        </is>
      </c>
      <c r="C142" s="214" t="inlineStr">
        <is>
          <t>BRILLIANT TRANSPORT AND TRADING Co., Ltd.</t>
        </is>
      </c>
      <c r="D142" s="215" t="inlineStr">
        <is>
          <t>K002-100089305</t>
        </is>
      </c>
      <c r="E142" s="290" t="inlineStr">
        <is>
          <t>BTT25-0000225</t>
        </is>
      </c>
      <c r="F142" s="279" t="n">
        <v>45678</v>
      </c>
      <c r="G142" s="216" t="n"/>
      <c r="H142" s="564" t="n"/>
      <c r="I142" s="564" t="n">
        <v>1192584</v>
      </c>
      <c r="J142" s="213" t="inlineStr">
        <is>
          <t>អនុញ្ញាត (បានប្រកាស)</t>
        </is>
      </c>
      <c r="K142" s="213" t="n"/>
      <c r="L142" s="563">
        <f>I142</f>
        <v/>
      </c>
      <c r="M142" s="536">
        <f>I142-L142</f>
        <v/>
      </c>
      <c r="N142" s="213" t="n"/>
      <c r="O142" s="218">
        <f>U142=E142</f>
        <v/>
      </c>
      <c r="P142" s="218">
        <f>MONTH(F142)-MONTH(T142)</f>
        <v/>
      </c>
      <c r="Q142" s="218">
        <f>$B$5=X142</f>
        <v/>
      </c>
      <c r="R142" s="218">
        <f>I142-AD142</f>
        <v/>
      </c>
      <c r="S142" s="298" t="n"/>
      <c r="T142" s="299" t="n">
        <v>45678</v>
      </c>
      <c r="U142" s="298" t="inlineStr">
        <is>
          <t>BTT25-0000225</t>
        </is>
      </c>
      <c r="V142" s="298" t="n">
        <v>0</v>
      </c>
      <c r="W142" s="298" t="inlineStr">
        <is>
          <t>បុគ្គលជាប់អាករ</t>
        </is>
      </c>
      <c r="X142" s="298" t="inlineStr">
        <is>
          <t>L001-901640009</t>
        </is>
      </c>
      <c r="Y142" s="298" t="inlineStr">
        <is>
          <t>ហូលីដេ ឌីហ្សាញ (ខេមបូឌា) ឯ.ក</t>
        </is>
      </c>
      <c r="Z142" s="300" t="n">
        <v>13118424</v>
      </c>
      <c r="AA142" s="300" t="n">
        <v>11925840</v>
      </c>
      <c r="AB142" s="298" t="n">
        <v>0</v>
      </c>
      <c r="AC142" s="298" t="inlineStr">
        <is>
          <t>-</t>
        </is>
      </c>
      <c r="AD142" s="300" t="n">
        <v>1192584</v>
      </c>
      <c r="AE142" s="298" t="n">
        <v>0</v>
      </c>
      <c r="AF142" s="562" t="n">
        <v>0</v>
      </c>
      <c r="AG142" s="198" t="n">
        <v>0</v>
      </c>
      <c r="AH142" s="198" t="n">
        <v>0</v>
      </c>
      <c r="AI142" s="198" t="n">
        <v>0</v>
      </c>
      <c r="AJ142" s="198" t="n">
        <v>0</v>
      </c>
      <c r="AK142" s="198" t="n">
        <v>0</v>
      </c>
      <c r="AL142" s="198" t="n">
        <v>0.01</v>
      </c>
      <c r="AM142" s="198" t="n">
        <v>0</v>
      </c>
      <c r="AN142" s="198" t="inlineStr">
        <is>
          <t>Truking / Service</t>
        </is>
      </c>
    </row>
    <row r="143">
      <c r="A143" s="212">
        <f>A142+1</f>
        <v/>
      </c>
      <c r="B143" s="214" t="inlineStr">
        <is>
          <t>Tax Filling 04-2025</t>
        </is>
      </c>
      <c r="C143" s="214" t="inlineStr">
        <is>
          <t>L S CONSULTING CO., LTD.</t>
        </is>
      </c>
      <c r="D143" s="215" t="inlineStr">
        <is>
          <t>K010-901700169</t>
        </is>
      </c>
      <c r="E143" s="290" t="inlineStr">
        <is>
          <t>25-00455</t>
        </is>
      </c>
      <c r="F143" s="279" t="n">
        <v>45782</v>
      </c>
      <c r="G143" s="216" t="n"/>
      <c r="H143" s="564" t="n"/>
      <c r="I143" s="564" t="n">
        <v>120120</v>
      </c>
      <c r="J143" s="213" t="inlineStr">
        <is>
          <t>អនុញ្ញាត (បានប្រកាស)</t>
        </is>
      </c>
      <c r="K143" s="213" t="n"/>
      <c r="L143" s="563">
        <f>I143</f>
        <v/>
      </c>
      <c r="M143" s="536">
        <f>I143-L143</f>
        <v/>
      </c>
      <c r="N143" s="213" t="n"/>
      <c r="O143" s="218">
        <f>U143=E143</f>
        <v/>
      </c>
      <c r="P143" s="218">
        <f>MONTH(F143)-MONTH(T143)</f>
        <v/>
      </c>
      <c r="Q143" s="218">
        <f>$B$5=X143</f>
        <v/>
      </c>
      <c r="R143" s="218">
        <f>I143-AD143</f>
        <v/>
      </c>
      <c r="S143" s="298" t="n"/>
      <c r="T143" s="299" t="n">
        <v>45782</v>
      </c>
      <c r="U143" s="298" t="inlineStr">
        <is>
          <t>25-00455</t>
        </is>
      </c>
      <c r="V143" s="298" t="n">
        <v>0</v>
      </c>
      <c r="W143" s="298" t="inlineStr">
        <is>
          <t>បុគ្គលជាប់អាករ</t>
        </is>
      </c>
      <c r="X143" s="298" t="inlineStr">
        <is>
          <t>L001-901640009</t>
        </is>
      </c>
      <c r="Y143" s="298" t="inlineStr">
        <is>
          <t>ហូលីដេ ឌីហ្សាញ (ខេមបូឌា) ឯ.ក</t>
        </is>
      </c>
      <c r="Z143" s="300" t="n">
        <v>1321320</v>
      </c>
      <c r="AA143" s="300" t="n">
        <v>1201200</v>
      </c>
      <c r="AB143" s="298" t="n">
        <v>0</v>
      </c>
      <c r="AC143" s="298" t="inlineStr">
        <is>
          <t>-</t>
        </is>
      </c>
      <c r="AD143" s="300" t="n">
        <v>120120</v>
      </c>
      <c r="AE143" s="298" t="n">
        <v>0</v>
      </c>
      <c r="AF143" s="562" t="n">
        <v>0</v>
      </c>
      <c r="AG143" s="198" t="n">
        <v>0</v>
      </c>
      <c r="AH143" s="198" t="n">
        <v>0</v>
      </c>
      <c r="AI143" s="198" t="n">
        <v>0</v>
      </c>
      <c r="AJ143" s="198" t="n">
        <v>0</v>
      </c>
      <c r="AK143" s="198" t="n">
        <v>0</v>
      </c>
      <c r="AL143" s="198" t="n">
        <v>0.01</v>
      </c>
      <c r="AM143" s="198" t="n">
        <v>0</v>
      </c>
      <c r="AN143" s="198" t="inlineStr">
        <is>
          <t>Tax Filling fee</t>
        </is>
      </c>
      <c r="AO143" s="198" t="inlineStr">
        <is>
          <t>បានប្រកាសនិងបង់ពន្ធ</t>
        </is>
      </c>
    </row>
    <row r="144">
      <c r="A144" s="212">
        <f>A143+1</f>
        <v/>
      </c>
      <c r="B144" s="214" t="inlineStr">
        <is>
          <t>Trucking Fee-Im</t>
        </is>
      </c>
      <c r="C144" s="214" t="inlineStr">
        <is>
          <t>BRILLIANT TRANSPORT AND TRADING Co., Ltd.</t>
        </is>
      </c>
      <c r="D144" s="215" t="inlineStr">
        <is>
          <t>K002-100089305</t>
        </is>
      </c>
      <c r="E144" s="290" t="inlineStr">
        <is>
          <t>BTT25-0000167</t>
        </is>
      </c>
      <c r="F144" s="279" t="n">
        <v>45674</v>
      </c>
      <c r="G144" s="216" t="n"/>
      <c r="H144" s="564" t="n"/>
      <c r="I144" s="564" t="n">
        <v>1091317</v>
      </c>
      <c r="J144" s="213" t="inlineStr">
        <is>
          <t>អនុញ្ញាត (បានប្រកាស)</t>
        </is>
      </c>
      <c r="K144" s="213" t="n"/>
      <c r="L144" s="563">
        <f>I144</f>
        <v/>
      </c>
      <c r="M144" s="536">
        <f>I144-L144</f>
        <v/>
      </c>
      <c r="N144" s="213" t="n"/>
      <c r="O144" s="218">
        <f>U144=E144</f>
        <v/>
      </c>
      <c r="P144" s="218">
        <f>MONTH(F144)-MONTH(T144)</f>
        <v/>
      </c>
      <c r="Q144" s="218">
        <f>$B$5=X144</f>
        <v/>
      </c>
      <c r="R144" s="218">
        <f>I144-AD144</f>
        <v/>
      </c>
      <c r="S144" s="298" t="n"/>
      <c r="T144" s="299" t="n">
        <v>45674</v>
      </c>
      <c r="U144" s="298" t="inlineStr">
        <is>
          <t>BTT25-0000167</t>
        </is>
      </c>
      <c r="V144" s="298" t="n">
        <v>0</v>
      </c>
      <c r="W144" s="298" t="inlineStr">
        <is>
          <t>បុគ្គលជាប់អាករ</t>
        </is>
      </c>
      <c r="X144" s="298" t="inlineStr">
        <is>
          <t>L001-901640009</t>
        </is>
      </c>
      <c r="Y144" s="298" t="inlineStr">
        <is>
          <t>ហូលីដេ ឌីហ្សាញ (ខេមបូឌា) ឯ.ក</t>
        </is>
      </c>
      <c r="Z144" s="300" t="n">
        <v>12004487</v>
      </c>
      <c r="AA144" s="300" t="n">
        <v>10913170</v>
      </c>
      <c r="AB144" s="298" t="n">
        <v>0</v>
      </c>
      <c r="AC144" s="298" t="inlineStr">
        <is>
          <t>-</t>
        </is>
      </c>
      <c r="AD144" s="300" t="n">
        <v>1091317</v>
      </c>
      <c r="AE144" s="298" t="n">
        <v>0</v>
      </c>
      <c r="AF144" s="562" t="n">
        <v>0</v>
      </c>
      <c r="AG144" s="198" t="n">
        <v>0</v>
      </c>
      <c r="AH144" s="198" t="n">
        <v>0</v>
      </c>
      <c r="AI144" s="198" t="n">
        <v>0</v>
      </c>
      <c r="AJ144" s="198" t="n">
        <v>0</v>
      </c>
      <c r="AK144" s="198" t="n">
        <v>0</v>
      </c>
      <c r="AL144" s="198" t="n">
        <v>0.01</v>
      </c>
      <c r="AM144" s="198" t="n">
        <v>0</v>
      </c>
      <c r="AN144" s="198" t="inlineStr">
        <is>
          <t>Truking / Service</t>
        </is>
      </c>
    </row>
    <row r="145">
      <c r="A145" s="212">
        <f>A144+1</f>
        <v/>
      </c>
      <c r="B145" s="214" t="inlineStr">
        <is>
          <t>Lift-On&amp;Lift-Off-Im</t>
        </is>
      </c>
      <c r="C145" s="214" t="inlineStr">
        <is>
          <t>Port Autonome Du Sihanoukville</t>
        </is>
      </c>
      <c r="D145" s="215" t="inlineStr">
        <is>
          <t>L001-100044638</t>
        </is>
      </c>
      <c r="E145" s="290" t="n">
        <v>202500011302</v>
      </c>
      <c r="F145" s="279" t="n">
        <v>45672</v>
      </c>
      <c r="G145" s="216" t="n"/>
      <c r="H145" s="564" t="n"/>
      <c r="I145" s="564" t="n">
        <v>421150</v>
      </c>
      <c r="J145" s="213" t="inlineStr">
        <is>
          <t>អនុញ្ញាត (បានប្រកាស)</t>
        </is>
      </c>
      <c r="K145" s="213" t="n"/>
      <c r="L145" s="563">
        <f>I145</f>
        <v/>
      </c>
      <c r="M145" s="536">
        <f>I145-L145</f>
        <v/>
      </c>
      <c r="N145" s="213" t="n"/>
      <c r="O145" s="218">
        <f>U145=E145</f>
        <v/>
      </c>
      <c r="P145" s="218">
        <f>MONTH(F145)-MONTH(T145)</f>
        <v/>
      </c>
      <c r="Q145" s="218">
        <f>$B$5=X145</f>
        <v/>
      </c>
      <c r="R145" s="218">
        <f>I145-AD145</f>
        <v/>
      </c>
      <c r="S145" s="298" t="n"/>
      <c r="T145" s="299" t="n">
        <v>45672</v>
      </c>
      <c r="U145" s="298" t="n">
        <v>202500011302</v>
      </c>
      <c r="V145" s="298" t="n">
        <v>0</v>
      </c>
      <c r="W145" s="298" t="inlineStr">
        <is>
          <t>បុគ្គលជាប់អាករ</t>
        </is>
      </c>
      <c r="X145" s="298" t="inlineStr">
        <is>
          <t>L001-901640009</t>
        </is>
      </c>
      <c r="Y145" s="298" t="inlineStr">
        <is>
          <t>ហូលីដេ ឌីហ្សាញ (ខេមបូឌា) ឯ.ក</t>
        </is>
      </c>
      <c r="Z145" s="300" t="n">
        <v>4632646</v>
      </c>
      <c r="AA145" s="300" t="n">
        <v>4211496</v>
      </c>
      <c r="AB145" s="298" t="n">
        <v>0</v>
      </c>
      <c r="AC145" s="298" t="inlineStr">
        <is>
          <t>-</t>
        </is>
      </c>
      <c r="AD145" s="300" t="n">
        <v>421150</v>
      </c>
      <c r="AE145" s="298" t="n">
        <v>0</v>
      </c>
      <c r="AF145" s="562" t="n">
        <v>0</v>
      </c>
      <c r="AG145" s="198" t="n">
        <v>0</v>
      </c>
      <c r="AH145" s="198" t="n">
        <v>0</v>
      </c>
      <c r="AI145" s="198" t="n">
        <v>0</v>
      </c>
      <c r="AJ145" s="198" t="n">
        <v>0</v>
      </c>
      <c r="AK145" s="198" t="n">
        <v>0</v>
      </c>
      <c r="AL145" s="198" t="n">
        <v>0.01</v>
      </c>
      <c r="AM145" s="198" t="n">
        <v>0</v>
      </c>
      <c r="AN145" s="198" t="inlineStr">
        <is>
          <t>LOLO</t>
        </is>
      </c>
    </row>
    <row r="146">
      <c r="A146" s="212">
        <f>A145+1</f>
        <v/>
      </c>
      <c r="B146" s="214" t="inlineStr">
        <is>
          <t>Terminal Handling Service-Im</t>
        </is>
      </c>
      <c r="C146" s="214" t="inlineStr">
        <is>
          <t>SITC CONTAINER LINES (CAMBODIA) Co., Ltd.</t>
        </is>
      </c>
      <c r="D146" s="215" t="inlineStr">
        <is>
          <t>L001-107035863</t>
        </is>
      </c>
      <c r="E146" s="290" t="inlineStr">
        <is>
          <t>SITC2025-001566</t>
        </is>
      </c>
      <c r="F146" s="279" t="n">
        <v>45668</v>
      </c>
      <c r="G146" s="216" t="n"/>
      <c r="H146" s="564" t="n"/>
      <c r="I146" s="564" t="n">
        <v>2546460</v>
      </c>
      <c r="J146" s="213" t="inlineStr">
        <is>
          <t>អនុញ្ញាត (បានប្រកាស)</t>
        </is>
      </c>
      <c r="K146" s="213" t="n"/>
      <c r="L146" s="563">
        <f>I146</f>
        <v/>
      </c>
      <c r="M146" s="536">
        <f>I146-L146</f>
        <v/>
      </c>
      <c r="N146" s="213" t="n"/>
      <c r="O146" s="218">
        <f>U146=E146</f>
        <v/>
      </c>
      <c r="P146" s="218">
        <f>MONTH(F146)-MONTH(T146)</f>
        <v/>
      </c>
      <c r="Q146" s="218">
        <f>$B$5=X146</f>
        <v/>
      </c>
      <c r="R146" s="218">
        <f>I146-AD146</f>
        <v/>
      </c>
      <c r="S146" s="298" t="n"/>
      <c r="T146" s="299" t="n">
        <v>45668</v>
      </c>
      <c r="U146" s="298" t="inlineStr">
        <is>
          <t>SITC2025-001566</t>
        </is>
      </c>
      <c r="V146" s="298" t="n">
        <v>0</v>
      </c>
      <c r="W146" s="298" t="inlineStr">
        <is>
          <t>បុគ្គលជាប់អាករ</t>
        </is>
      </c>
      <c r="X146" s="298" t="inlineStr">
        <is>
          <t>L001-901640009</t>
        </is>
      </c>
      <c r="Y146" s="298" t="inlineStr">
        <is>
          <t>ហូលីដេ ឌីហ្សាញ (ខេមបូឌា) ឯ.ក</t>
        </is>
      </c>
      <c r="Z146" s="300" t="n">
        <v>28011060</v>
      </c>
      <c r="AA146" s="300" t="n">
        <v>25464600</v>
      </c>
      <c r="AB146" s="298" t="n">
        <v>0</v>
      </c>
      <c r="AC146" s="298" t="inlineStr">
        <is>
          <t>-</t>
        </is>
      </c>
      <c r="AD146" s="300" t="n">
        <v>2546460</v>
      </c>
      <c r="AE146" s="298" t="n">
        <v>0</v>
      </c>
      <c r="AF146" s="562" t="n">
        <v>0</v>
      </c>
      <c r="AG146" s="198" t="n">
        <v>0</v>
      </c>
      <c r="AH146" s="198" t="n">
        <v>0</v>
      </c>
      <c r="AI146" s="198" t="n">
        <v>0</v>
      </c>
      <c r="AJ146" s="198" t="n">
        <v>0</v>
      </c>
      <c r="AK146" s="198" t="n">
        <v>0</v>
      </c>
      <c r="AL146" s="198" t="n">
        <v>0.01</v>
      </c>
      <c r="AM146" s="198" t="n">
        <v>0</v>
      </c>
      <c r="AN146" s="198" t="inlineStr">
        <is>
          <t>KHTHC,KHDOC,EIB,KHCIC,EMF</t>
        </is>
      </c>
    </row>
    <row r="147">
      <c r="A147" s="212">
        <f>A146+1</f>
        <v/>
      </c>
      <c r="B147" s="214" t="inlineStr">
        <is>
          <t>Trucking Fee-Im</t>
        </is>
      </c>
      <c r="C147" s="214" t="inlineStr">
        <is>
          <t>BRILLIANT TRANSPORT AND TRADING Co., Ltd.</t>
        </is>
      </c>
      <c r="D147" s="215" t="inlineStr">
        <is>
          <t>K002-100089305</t>
        </is>
      </c>
      <c r="E147" s="290" t="inlineStr">
        <is>
          <t>BTT25-0000166</t>
        </is>
      </c>
      <c r="F147" s="279" t="n">
        <v>45672</v>
      </c>
      <c r="G147" s="216" t="n"/>
      <c r="H147" s="564" t="n"/>
      <c r="I147" s="564" t="n">
        <v>2831868</v>
      </c>
      <c r="J147" s="213" t="inlineStr">
        <is>
          <t>អនុញ្ញាត (បានប្រកាស)</t>
        </is>
      </c>
      <c r="K147" s="213" t="n"/>
      <c r="L147" s="563">
        <f>I147</f>
        <v/>
      </c>
      <c r="M147" s="536">
        <f>I147-L147</f>
        <v/>
      </c>
      <c r="N147" s="213" t="n"/>
      <c r="O147" s="218">
        <f>U147=E147</f>
        <v/>
      </c>
      <c r="P147" s="218">
        <f>MONTH(F147)-MONTH(T147)</f>
        <v/>
      </c>
      <c r="Q147" s="218">
        <f>$B$5=X147</f>
        <v/>
      </c>
      <c r="R147" s="218">
        <f>I147-AD147</f>
        <v/>
      </c>
      <c r="S147" s="298" t="n"/>
      <c r="T147" s="299" t="n">
        <v>45672</v>
      </c>
      <c r="U147" s="298" t="inlineStr">
        <is>
          <t>BTT25-0000166</t>
        </is>
      </c>
      <c r="V147" s="298" t="n">
        <v>0</v>
      </c>
      <c r="W147" s="298" t="inlineStr">
        <is>
          <t>បុគ្គលជាប់អាករ</t>
        </is>
      </c>
      <c r="X147" s="298" t="inlineStr">
        <is>
          <t>L001-901640009</t>
        </is>
      </c>
      <c r="Y147" s="298" t="inlineStr">
        <is>
          <t>ហូលីដេ ឌីហ្សាញ (ខេមបូឌា) ឯ.ក</t>
        </is>
      </c>
      <c r="Z147" s="300" t="n">
        <v>31150548</v>
      </c>
      <c r="AA147" s="300" t="n">
        <v>28318680</v>
      </c>
      <c r="AB147" s="298" t="n">
        <v>0</v>
      </c>
      <c r="AC147" s="298" t="inlineStr">
        <is>
          <t>-</t>
        </is>
      </c>
      <c r="AD147" s="300" t="n">
        <v>2831868</v>
      </c>
      <c r="AE147" s="298" t="n">
        <v>0</v>
      </c>
      <c r="AF147" s="562" t="n">
        <v>0</v>
      </c>
      <c r="AG147" s="198" t="n">
        <v>0</v>
      </c>
      <c r="AH147" s="198" t="n">
        <v>0</v>
      </c>
      <c r="AI147" s="198" t="n">
        <v>0</v>
      </c>
      <c r="AJ147" s="198" t="n">
        <v>0</v>
      </c>
      <c r="AK147" s="198" t="n">
        <v>0</v>
      </c>
      <c r="AL147" s="198" t="n">
        <v>0.01</v>
      </c>
      <c r="AM147" s="198" t="n">
        <v>0</v>
      </c>
      <c r="AN147" s="198" t="inlineStr">
        <is>
          <t>Truking / Service</t>
        </is>
      </c>
    </row>
    <row r="148">
      <c r="A148" s="212">
        <f>A147+1</f>
        <v/>
      </c>
      <c r="B148" s="214" t="inlineStr">
        <is>
          <t>Lift-On&amp;Lift-Off-Im</t>
        </is>
      </c>
      <c r="C148" s="214" t="inlineStr">
        <is>
          <t>Port Autonome Du Sihanoukville</t>
        </is>
      </c>
      <c r="D148" s="215" t="inlineStr">
        <is>
          <t>L001-100044638</t>
        </is>
      </c>
      <c r="E148" s="290" t="n">
        <v>202500009636</v>
      </c>
      <c r="F148" s="279" t="n">
        <v>45670</v>
      </c>
      <c r="G148" s="216" t="n"/>
      <c r="H148" s="564" t="n"/>
      <c r="I148" s="564" t="n">
        <v>175827</v>
      </c>
      <c r="J148" s="213" t="inlineStr">
        <is>
          <t>អនុញ្ញាត (បានប្រកាស)</t>
        </is>
      </c>
      <c r="K148" s="213" t="n"/>
      <c r="L148" s="563">
        <f>I148</f>
        <v/>
      </c>
      <c r="M148" s="536">
        <f>I148-L148</f>
        <v/>
      </c>
      <c r="N148" s="213" t="n"/>
      <c r="O148" s="218">
        <f>U148=E148</f>
        <v/>
      </c>
      <c r="P148" s="218">
        <f>MONTH(F148)-MONTH(T148)</f>
        <v/>
      </c>
      <c r="Q148" s="218">
        <f>$B$5=X148</f>
        <v/>
      </c>
      <c r="R148" s="218">
        <f>I148-AD148</f>
        <v/>
      </c>
      <c r="S148" s="298" t="n"/>
      <c r="T148" s="299" t="n">
        <v>45670</v>
      </c>
      <c r="U148" s="298" t="n">
        <v>202500009636</v>
      </c>
      <c r="V148" s="298" t="n">
        <v>0</v>
      </c>
      <c r="W148" s="298" t="inlineStr">
        <is>
          <t>បុគ្គលជាប់អាករ</t>
        </is>
      </c>
      <c r="X148" s="298" t="inlineStr">
        <is>
          <t>L001-901640009</t>
        </is>
      </c>
      <c r="Y148" s="298" t="inlineStr">
        <is>
          <t>ហូលីដេ ឌីហ្សាញ (ខេមបូឌា) ឯ.ក</t>
        </is>
      </c>
      <c r="Z148" s="300" t="n">
        <v>1934097</v>
      </c>
      <c r="AA148" s="300" t="n">
        <v>1758270</v>
      </c>
      <c r="AB148" s="298" t="n">
        <v>0</v>
      </c>
      <c r="AC148" s="298" t="inlineStr">
        <is>
          <t>-</t>
        </is>
      </c>
      <c r="AD148" s="300" t="n">
        <v>175827</v>
      </c>
      <c r="AE148" s="298" t="n">
        <v>0</v>
      </c>
      <c r="AF148" s="562" t="n">
        <v>0</v>
      </c>
      <c r="AG148" s="198" t="n">
        <v>0</v>
      </c>
      <c r="AH148" s="198" t="n">
        <v>0</v>
      </c>
      <c r="AI148" s="198" t="n">
        <v>0</v>
      </c>
      <c r="AJ148" s="198" t="n">
        <v>0</v>
      </c>
      <c r="AK148" s="198" t="n">
        <v>0</v>
      </c>
      <c r="AL148" s="198" t="n">
        <v>0.01</v>
      </c>
      <c r="AM148" s="198" t="n">
        <v>0</v>
      </c>
      <c r="AN148" s="198" t="inlineStr">
        <is>
          <t>LOLO</t>
        </is>
      </c>
    </row>
    <row r="149">
      <c r="A149" s="212">
        <f>A148+1</f>
        <v/>
      </c>
      <c r="B149" s="214" t="inlineStr">
        <is>
          <t>Trucking Fee-Im</t>
        </is>
      </c>
      <c r="C149" s="214" t="inlineStr">
        <is>
          <t>BRILLIANT TRANSPORT AND TRADING Co., Ltd.</t>
        </is>
      </c>
      <c r="D149" s="215" t="inlineStr">
        <is>
          <t>K002-100089305</t>
        </is>
      </c>
      <c r="E149" s="290" t="inlineStr">
        <is>
          <t>BTT25-0000165</t>
        </is>
      </c>
      <c r="F149" s="279" t="n">
        <v>45670</v>
      </c>
      <c r="G149" s="216" t="n"/>
      <c r="H149" s="564" t="n"/>
      <c r="I149" s="564" t="n">
        <v>1216642</v>
      </c>
      <c r="J149" s="213" t="inlineStr">
        <is>
          <t>អនុញ្ញាត (បានប្រកាស)</t>
        </is>
      </c>
      <c r="K149" s="213" t="n"/>
      <c r="L149" s="563">
        <f>I149</f>
        <v/>
      </c>
      <c r="M149" s="536">
        <f>I149-L149</f>
        <v/>
      </c>
      <c r="N149" s="213" t="n"/>
      <c r="O149" s="218">
        <f>U149=E149</f>
        <v/>
      </c>
      <c r="P149" s="218">
        <f>MONTH(F149)-MONTH(T149)</f>
        <v/>
      </c>
      <c r="Q149" s="218">
        <f>$B$5=X149</f>
        <v/>
      </c>
      <c r="R149" s="218">
        <f>I149-AD149</f>
        <v/>
      </c>
      <c r="S149" s="298" t="n"/>
      <c r="T149" s="299" t="n">
        <v>45670</v>
      </c>
      <c r="U149" s="298" t="inlineStr">
        <is>
          <t>BTT25-0000165</t>
        </is>
      </c>
      <c r="V149" s="298" t="n">
        <v>0</v>
      </c>
      <c r="W149" s="298" t="inlineStr">
        <is>
          <t>បុគ្គលជាប់អាករ</t>
        </is>
      </c>
      <c r="X149" s="298" t="inlineStr">
        <is>
          <t>L001-901640009</t>
        </is>
      </c>
      <c r="Y149" s="298" t="inlineStr">
        <is>
          <t>ហូលីដេ ឌីហ្សាញ (ខេមបូឌា) ឯ.ក</t>
        </is>
      </c>
      <c r="Z149" s="300" t="n">
        <v>13383062</v>
      </c>
      <c r="AA149" s="300" t="n">
        <v>12166420</v>
      </c>
      <c r="AB149" s="298" t="n">
        <v>0</v>
      </c>
      <c r="AC149" s="298" t="inlineStr">
        <is>
          <t>-</t>
        </is>
      </c>
      <c r="AD149" s="300" t="n">
        <v>1216642</v>
      </c>
      <c r="AE149" s="298" t="n">
        <v>0</v>
      </c>
      <c r="AF149" s="562" t="n">
        <v>0</v>
      </c>
      <c r="AG149" s="198" t="n">
        <v>0</v>
      </c>
      <c r="AH149" s="198" t="n">
        <v>0</v>
      </c>
      <c r="AI149" s="198" t="n">
        <v>0</v>
      </c>
      <c r="AJ149" s="198" t="n">
        <v>0</v>
      </c>
      <c r="AK149" s="198" t="n">
        <v>0</v>
      </c>
      <c r="AL149" s="198" t="n">
        <v>0.01</v>
      </c>
      <c r="AM149" s="198" t="n">
        <v>0</v>
      </c>
      <c r="AN149" s="198" t="inlineStr">
        <is>
          <t>Truking / Service</t>
        </is>
      </c>
    </row>
    <row r="150">
      <c r="A150" s="212">
        <f>A149+1</f>
        <v/>
      </c>
      <c r="B150" s="214" t="inlineStr">
        <is>
          <t>Screw Air Compressor</t>
        </is>
      </c>
      <c r="C150" s="214" t="inlineStr">
        <is>
          <t>ZHEJIANG KAISHAN MACHINERY (CAMBODIA) CO., LTD.</t>
        </is>
      </c>
      <c r="D150" s="215" t="inlineStr">
        <is>
          <t>K010-901800323</t>
        </is>
      </c>
      <c r="E150" s="290" t="inlineStr">
        <is>
          <t>2025-000067</t>
        </is>
      </c>
      <c r="F150" s="279" t="n">
        <v>45789</v>
      </c>
      <c r="G150" s="216" t="n"/>
      <c r="H150" s="564" t="n"/>
      <c r="I150" s="564" t="n">
        <v>720540</v>
      </c>
      <c r="J150" s="213" t="inlineStr">
        <is>
          <t>អនុញ្ញាត (បានប្រកាស)</t>
        </is>
      </c>
      <c r="K150" s="213" t="n"/>
      <c r="L150" s="563">
        <f>I150</f>
        <v/>
      </c>
      <c r="M150" s="536">
        <f>I150-L150</f>
        <v/>
      </c>
      <c r="N150" s="213" t="n"/>
      <c r="O150" s="218">
        <f>U150=E150</f>
        <v/>
      </c>
      <c r="P150" s="218">
        <f>MONTH(F150)-MONTH(T150)</f>
        <v/>
      </c>
      <c r="Q150" s="218">
        <f>$B$5=X150</f>
        <v/>
      </c>
      <c r="R150" s="218">
        <f>I150-AD150</f>
        <v/>
      </c>
      <c r="S150" s="298" t="n"/>
      <c r="T150" s="299" t="n">
        <v>45792</v>
      </c>
      <c r="U150" s="298" t="inlineStr">
        <is>
          <t>2025-000067</t>
        </is>
      </c>
      <c r="V150" s="298" t="n">
        <v>0</v>
      </c>
      <c r="W150" s="298" t="inlineStr">
        <is>
          <t>បុគ្គលជាប់អាករ</t>
        </is>
      </c>
      <c r="X150" s="298" t="inlineStr">
        <is>
          <t>L001-901640009</t>
        </is>
      </c>
      <c r="Y150" s="298" t="inlineStr">
        <is>
          <t>ហូលីដេ ឌីហ្សាញ (ខេមបូឌា) ឯ.ក</t>
        </is>
      </c>
      <c r="Z150" s="300" t="n">
        <v>7925940</v>
      </c>
      <c r="AA150" s="300" t="n">
        <v>7205400</v>
      </c>
      <c r="AB150" s="298" t="n">
        <v>0</v>
      </c>
      <c r="AC150" s="298" t="inlineStr">
        <is>
          <t>-</t>
        </is>
      </c>
      <c r="AD150" s="300" t="n">
        <v>720540</v>
      </c>
      <c r="AE150" s="298" t="n">
        <v>0</v>
      </c>
      <c r="AF150" s="562" t="n">
        <v>0</v>
      </c>
      <c r="AG150" s="198" t="n">
        <v>0</v>
      </c>
      <c r="AH150" s="198" t="n">
        <v>0</v>
      </c>
      <c r="AI150" s="198" t="n">
        <v>0</v>
      </c>
      <c r="AJ150" s="198" t="n">
        <v>0</v>
      </c>
      <c r="AK150" s="198" t="n">
        <v>0</v>
      </c>
      <c r="AL150" s="198" t="n">
        <v>0.01</v>
      </c>
      <c r="AM150" s="198" t="n">
        <v>0</v>
      </c>
      <c r="AN150" s="198" t="inlineStr">
        <is>
          <t>Screw air compressor -Brand:KAISHAN,Model:BMVF37,Year：2025</t>
        </is>
      </c>
      <c r="AO150" s="198" t="inlineStr">
        <is>
          <t>បានប្រកាសនិងបង់ពន្ធ</t>
        </is>
      </c>
    </row>
    <row r="151">
      <c r="A151" s="212">
        <f>A150+1</f>
        <v/>
      </c>
      <c r="B151" s="214" t="inlineStr">
        <is>
          <t>Transportation Fee</t>
        </is>
      </c>
      <c r="C151" s="214" t="inlineStr">
        <is>
          <t>XI LE DA INTERNATIONAL LOGISTICS CO., LTD.</t>
        </is>
      </c>
      <c r="D151" s="215" t="inlineStr">
        <is>
          <t>K010-901905389</t>
        </is>
      </c>
      <c r="E151" s="290" t="n">
        <v>103</v>
      </c>
      <c r="F151" s="279" t="n">
        <v>45576</v>
      </c>
      <c r="G151" s="216" t="n"/>
      <c r="H151" s="564" t="n"/>
      <c r="I151" s="564" t="n">
        <v>113358</v>
      </c>
      <c r="J151" s="213" t="inlineStr">
        <is>
          <t>អនុញ្ញាត (បានប្រកាស)</t>
        </is>
      </c>
      <c r="K151" s="213" t="n"/>
      <c r="L151" s="563">
        <f>I151</f>
        <v/>
      </c>
      <c r="M151" s="536">
        <f>I151-L151</f>
        <v/>
      </c>
      <c r="N151" s="213" t="n"/>
      <c r="O151" s="218">
        <f>U151=E151</f>
        <v/>
      </c>
      <c r="P151" s="218">
        <f>MONTH(F151)-MONTH(T151)</f>
        <v/>
      </c>
      <c r="Q151" s="218">
        <f>$B$5=X151</f>
        <v/>
      </c>
      <c r="R151" s="218">
        <f>I151-AD151</f>
        <v/>
      </c>
      <c r="S151" s="298" t="n"/>
      <c r="T151" s="299" t="n">
        <v>45576</v>
      </c>
      <c r="U151" s="298" t="n">
        <v>103</v>
      </c>
      <c r="V151" s="298" t="n">
        <v>0</v>
      </c>
      <c r="W151" s="298" t="inlineStr">
        <is>
          <t>បុគ្គលជាប់អាករ</t>
        </is>
      </c>
      <c r="X151" s="298" t="inlineStr">
        <is>
          <t>L001-901640009</t>
        </is>
      </c>
      <c r="Y151" s="298" t="inlineStr">
        <is>
          <t>ហូលីដេ ឌីហ្សាញ (ខេមបូឌា) ឯ.ក</t>
        </is>
      </c>
      <c r="Z151" s="300" t="n">
        <v>1246935</v>
      </c>
      <c r="AA151" s="300" t="n">
        <v>1133577</v>
      </c>
      <c r="AB151" s="298" t="n">
        <v>0</v>
      </c>
      <c r="AC151" s="298" t="inlineStr">
        <is>
          <t>-</t>
        </is>
      </c>
      <c r="AD151" s="300" t="n">
        <v>113358</v>
      </c>
      <c r="AE151" s="298" t="n">
        <v>0</v>
      </c>
      <c r="AF151" s="562" t="n">
        <v>0</v>
      </c>
      <c r="AG151" s="198" t="n">
        <v>0</v>
      </c>
      <c r="AH151" s="198" t="n">
        <v>0</v>
      </c>
      <c r="AI151" s="198" t="n">
        <v>0</v>
      </c>
      <c r="AJ151" s="198" t="n">
        <v>0</v>
      </c>
      <c r="AK151" s="198" t="n">
        <v>0</v>
      </c>
      <c r="AL151" s="198" t="n">
        <v>0.01</v>
      </c>
      <c r="AM151" s="198" t="n">
        <v>0</v>
      </c>
      <c r="AN151" s="198" t="inlineStr">
        <is>
          <t>Transportation Fee</t>
        </is>
      </c>
      <c r="AO151" s="198" t="inlineStr">
        <is>
          <t>បានប្រកាសនិងបង់ពន្ធ</t>
        </is>
      </c>
    </row>
    <row r="152">
      <c r="A152" s="212">
        <f>A151+1</f>
        <v/>
      </c>
      <c r="B152" s="214" t="inlineStr">
        <is>
          <t>Transportation Fee</t>
        </is>
      </c>
      <c r="C152" s="214" t="inlineStr">
        <is>
          <t>XI LE DA INTERNATIONAL LOGISTICS CO., LTD.</t>
        </is>
      </c>
      <c r="D152" s="215" t="inlineStr">
        <is>
          <t>K010-901905389</t>
        </is>
      </c>
      <c r="E152" s="290" t="n">
        <v>139</v>
      </c>
      <c r="F152" s="279" t="n">
        <v>45651</v>
      </c>
      <c r="G152" s="216" t="n"/>
      <c r="H152" s="564" t="n"/>
      <c r="I152" s="564" t="n">
        <v>10048</v>
      </c>
      <c r="J152" s="213" t="inlineStr">
        <is>
          <t>អនុញ្ញាត (បានប្រកាស)</t>
        </is>
      </c>
      <c r="K152" s="213" t="n"/>
      <c r="L152" s="563">
        <f>I152</f>
        <v/>
      </c>
      <c r="M152" s="536">
        <f>I152-L152</f>
        <v/>
      </c>
      <c r="N152" s="213" t="n"/>
      <c r="O152" s="218">
        <f>U152=E152</f>
        <v/>
      </c>
      <c r="P152" s="218">
        <f>MONTH(F152)-MONTH(T152)</f>
        <v/>
      </c>
      <c r="Q152" s="218">
        <f>$B$5=X152</f>
        <v/>
      </c>
      <c r="R152" s="218">
        <f>I152-AD152</f>
        <v/>
      </c>
      <c r="S152" s="298" t="n"/>
      <c r="T152" s="299" t="n">
        <v>45651</v>
      </c>
      <c r="U152" s="298" t="n">
        <v>139</v>
      </c>
      <c r="V152" s="298" t="n">
        <v>0</v>
      </c>
      <c r="W152" s="298" t="inlineStr">
        <is>
          <t>បុគ្គលជាប់អាករ</t>
        </is>
      </c>
      <c r="X152" s="298" t="inlineStr">
        <is>
          <t>L001-901640009</t>
        </is>
      </c>
      <c r="Y152" s="298" t="inlineStr">
        <is>
          <t>ហូលីដេ ឌីហ្សាញ (ខេមបូឌា) ឯ.ក</t>
        </is>
      </c>
      <c r="Z152" s="300" t="n">
        <v>110523</v>
      </c>
      <c r="AA152" s="300" t="n">
        <v>100475</v>
      </c>
      <c r="AB152" s="298" t="n">
        <v>0</v>
      </c>
      <c r="AC152" s="298" t="inlineStr">
        <is>
          <t>-</t>
        </is>
      </c>
      <c r="AD152" s="300" t="n">
        <v>10048</v>
      </c>
      <c r="AE152" s="298" t="n">
        <v>0</v>
      </c>
      <c r="AF152" s="562" t="n">
        <v>0</v>
      </c>
      <c r="AG152" s="198" t="n">
        <v>0</v>
      </c>
      <c r="AH152" s="198" t="n">
        <v>0</v>
      </c>
      <c r="AI152" s="198" t="n">
        <v>0</v>
      </c>
      <c r="AJ152" s="198" t="n">
        <v>0</v>
      </c>
      <c r="AK152" s="198" t="n">
        <v>0</v>
      </c>
      <c r="AL152" s="198" t="n">
        <v>0.01</v>
      </c>
      <c r="AM152" s="198" t="n">
        <v>0</v>
      </c>
      <c r="AN152" s="198" t="inlineStr">
        <is>
          <t>Transportation Fee</t>
        </is>
      </c>
      <c r="AO152" s="198" t="inlineStr">
        <is>
          <t>បានប្រកាសនិងបង់ពន្ធ</t>
        </is>
      </c>
    </row>
    <row r="153">
      <c r="A153" s="212">
        <f>A152+1</f>
        <v/>
      </c>
      <c r="B153" s="214" t="inlineStr">
        <is>
          <t>Transportation Fee</t>
        </is>
      </c>
      <c r="C153" s="214" t="inlineStr">
        <is>
          <t>XI LE DA INTERNATIONAL LOGISTICS CO., LTD.</t>
        </is>
      </c>
      <c r="D153" s="215" t="inlineStr">
        <is>
          <t>K010-901905389</t>
        </is>
      </c>
      <c r="E153" s="290" t="n">
        <v>8</v>
      </c>
      <c r="F153" s="279" t="n">
        <v>45689</v>
      </c>
      <c r="G153" s="216" t="n"/>
      <c r="H153" s="564" t="n"/>
      <c r="I153" s="564" t="n">
        <v>52481</v>
      </c>
      <c r="J153" s="213" t="inlineStr">
        <is>
          <t>ព្យួរទុក (មិនមានទិន្នន័យ)</t>
        </is>
      </c>
      <c r="K153" s="213" t="n"/>
      <c r="L153" s="563" t="n"/>
      <c r="M153" s="536">
        <f>I153-L153</f>
        <v/>
      </c>
      <c r="N153" s="213" t="n"/>
      <c r="O153" s="218">
        <f>U153=E153</f>
        <v/>
      </c>
      <c r="P153" s="218">
        <f>MONTH(F153)-MONTH(T153)</f>
        <v/>
      </c>
      <c r="Q153" s="218">
        <f>$B$5=X153</f>
        <v/>
      </c>
      <c r="R153" s="218">
        <f>I153-AD153</f>
        <v/>
      </c>
      <c r="S153" s="298" t="n"/>
      <c r="T153" s="299" t="n">
        <v>45671</v>
      </c>
      <c r="U153" s="298" t="n">
        <v>8</v>
      </c>
      <c r="V153" s="298" t="n">
        <v>0</v>
      </c>
      <c r="W153" s="298" t="inlineStr">
        <is>
          <t>បុគ្គលជាប់អាករ</t>
        </is>
      </c>
      <c r="X153" s="298" t="inlineStr">
        <is>
          <t>L001-901640009</t>
        </is>
      </c>
      <c r="Y153" s="298" t="inlineStr">
        <is>
          <t>ហូលីដេ ឌីហ្សាញ (ខេមបូឌា) ឯ.ក</t>
        </is>
      </c>
      <c r="Z153" s="300" t="n">
        <v>577291</v>
      </c>
      <c r="AA153" s="300" t="n">
        <v>524810</v>
      </c>
      <c r="AB153" s="298" t="n">
        <v>0</v>
      </c>
      <c r="AC153" s="298" t="inlineStr">
        <is>
          <t>-</t>
        </is>
      </c>
      <c r="AD153" s="300" t="n">
        <v>52481</v>
      </c>
      <c r="AE153" s="298" t="n">
        <v>0</v>
      </c>
      <c r="AF153" s="562" t="n">
        <v>0</v>
      </c>
      <c r="AG153" s="198" t="n">
        <v>0</v>
      </c>
      <c r="AH153" s="198" t="n">
        <v>0</v>
      </c>
      <c r="AI153" s="198" t="n">
        <v>0</v>
      </c>
      <c r="AJ153" s="198" t="n">
        <v>0</v>
      </c>
      <c r="AK153" s="198" t="n">
        <v>0</v>
      </c>
      <c r="AL153" s="198" t="n">
        <v>0.01</v>
      </c>
      <c r="AM153" s="198" t="n">
        <v>0</v>
      </c>
      <c r="AN153" s="198" t="inlineStr">
        <is>
          <t>Transportation Fee</t>
        </is>
      </c>
      <c r="AO153" s="198" t="inlineStr">
        <is>
          <t>បានប្រកាសនិងបង់ពន្</t>
        </is>
      </c>
    </row>
    <row r="154">
      <c r="A154" s="212">
        <f>A153+1</f>
        <v/>
      </c>
      <c r="B154" s="214" t="inlineStr">
        <is>
          <t>Lift-On&amp;Lift-Off-Im</t>
        </is>
      </c>
      <c r="C154" s="214" t="inlineStr">
        <is>
          <t>Port Autonome Du Sihanoukville</t>
        </is>
      </c>
      <c r="D154" s="215" t="inlineStr">
        <is>
          <t>L001-100044638</t>
        </is>
      </c>
      <c r="E154" s="290" t="n">
        <v>202500007883</v>
      </c>
      <c r="F154" s="279" t="n">
        <v>45667</v>
      </c>
      <c r="G154" s="216" t="n"/>
      <c r="H154" s="564" t="n"/>
      <c r="I154" s="564" t="n">
        <v>207355</v>
      </c>
      <c r="J154" s="213" t="inlineStr">
        <is>
          <t>អនុញ្ញាត (បានប្រកាស)</t>
        </is>
      </c>
      <c r="K154" s="213" t="n"/>
      <c r="L154" s="563">
        <f>I154</f>
        <v/>
      </c>
      <c r="M154" s="536">
        <f>I154-L154</f>
        <v/>
      </c>
      <c r="N154" s="213" t="n"/>
      <c r="O154" s="218">
        <f>U154=E154</f>
        <v/>
      </c>
      <c r="P154" s="218">
        <f>MONTH(F154)-MONTH(T154)</f>
        <v/>
      </c>
      <c r="Q154" s="218">
        <f>$B$5=X154</f>
        <v/>
      </c>
      <c r="R154" s="218">
        <f>I154-AD154</f>
        <v/>
      </c>
      <c r="S154" s="298" t="n"/>
      <c r="T154" s="299" t="n">
        <v>45667</v>
      </c>
      <c r="U154" s="298" t="n">
        <v>202500007883</v>
      </c>
      <c r="V154" s="298" t="n">
        <v>0</v>
      </c>
      <c r="W154" s="298" t="inlineStr">
        <is>
          <t>បុគ្គលជាប់អាករ</t>
        </is>
      </c>
      <c r="X154" s="298" t="inlineStr">
        <is>
          <t>L001-901640009</t>
        </is>
      </c>
      <c r="Y154" s="298" t="inlineStr">
        <is>
          <t>ហូលីដេ ឌីហ្សាញ (ខេមបូឌា) ឯ.ក</t>
        </is>
      </c>
      <c r="Z154" s="300" t="n">
        <v>2280901</v>
      </c>
      <c r="AA154" s="300" t="n">
        <v>2073546</v>
      </c>
      <c r="AB154" s="298" t="n">
        <v>0</v>
      </c>
      <c r="AC154" s="298" t="inlineStr">
        <is>
          <t>-</t>
        </is>
      </c>
      <c r="AD154" s="300" t="n">
        <v>207355</v>
      </c>
      <c r="AE154" s="298" t="n">
        <v>0</v>
      </c>
      <c r="AF154" s="562" t="n">
        <v>0</v>
      </c>
      <c r="AG154" s="198" t="n">
        <v>0</v>
      </c>
      <c r="AH154" s="198" t="n">
        <v>0</v>
      </c>
      <c r="AI154" s="198" t="n">
        <v>0</v>
      </c>
      <c r="AJ154" s="198" t="n">
        <v>0</v>
      </c>
      <c r="AK154" s="198" t="n">
        <v>0</v>
      </c>
      <c r="AL154" s="198" t="n">
        <v>0.01</v>
      </c>
      <c r="AM154" s="198" t="n">
        <v>0</v>
      </c>
      <c r="AN154" s="198" t="inlineStr">
        <is>
          <t>LOLO</t>
        </is>
      </c>
    </row>
    <row r="155">
      <c r="A155" s="212">
        <f>A154+1</f>
        <v/>
      </c>
      <c r="B155" s="214" t="inlineStr">
        <is>
          <t>Transportation Fee</t>
        </is>
      </c>
      <c r="C155" s="214" t="inlineStr">
        <is>
          <t>XI LE DA INTERNATIONAL LOGISTICS CO., LTD.</t>
        </is>
      </c>
      <c r="D155" s="215" t="inlineStr">
        <is>
          <t>K010-901905389</t>
        </is>
      </c>
      <c r="E155" s="290" t="n">
        <v>56</v>
      </c>
      <c r="F155" s="279" t="n">
        <v>45756</v>
      </c>
      <c r="G155" s="216" t="n"/>
      <c r="H155" s="564" t="n"/>
      <c r="I155" s="564" t="n">
        <v>10104</v>
      </c>
      <c r="J155" s="213" t="inlineStr">
        <is>
          <t>ព្យួរទុក (មិនមានទិន្នន័យ)</t>
        </is>
      </c>
      <c r="K155" s="213" t="n"/>
      <c r="L155" s="563" t="n"/>
      <c r="M155" s="536">
        <f>I155-L155</f>
        <v/>
      </c>
      <c r="N155" s="213" t="n"/>
      <c r="O155" s="218">
        <f>U155=E155</f>
        <v/>
      </c>
      <c r="P155" s="218">
        <f>MONTH(F155)-MONTH(T155)</f>
        <v/>
      </c>
      <c r="Q155" s="218">
        <f>$B$5=X155</f>
        <v/>
      </c>
      <c r="R155" s="218">
        <f>I155-AD155</f>
        <v/>
      </c>
      <c r="S155" s="298" t="n"/>
      <c r="T155" s="299" t="n">
        <v>45756</v>
      </c>
      <c r="U155" s="298" t="n">
        <v>58</v>
      </c>
      <c r="V155" s="298" t="n">
        <v>0</v>
      </c>
      <c r="W155" s="298" t="inlineStr">
        <is>
          <t>បុគ្គលជាប់អាករ</t>
        </is>
      </c>
      <c r="X155" s="298" t="inlineStr">
        <is>
          <t>L001-901640009</t>
        </is>
      </c>
      <c r="Y155" s="298" t="inlineStr">
        <is>
          <t>ហូលីដេ ឌីហ្សាញ (ខេមបូឌា) ឯ.ក</t>
        </is>
      </c>
      <c r="Z155" s="300" t="n">
        <v>111139</v>
      </c>
      <c r="AA155" s="300" t="n">
        <v>101035</v>
      </c>
      <c r="AB155" s="298" t="n">
        <v>0</v>
      </c>
      <c r="AC155" s="298" t="inlineStr">
        <is>
          <t>-</t>
        </is>
      </c>
      <c r="AD155" s="300" t="n">
        <v>10104</v>
      </c>
      <c r="AE155" s="298" t="n">
        <v>0</v>
      </c>
      <c r="AF155" s="562" t="n">
        <v>0</v>
      </c>
      <c r="AG155" s="198" t="n">
        <v>0</v>
      </c>
      <c r="AH155" s="198" t="n">
        <v>0</v>
      </c>
      <c r="AI155" s="198" t="n">
        <v>0</v>
      </c>
      <c r="AJ155" s="198" t="n">
        <v>0</v>
      </c>
      <c r="AK155" s="198" t="n">
        <v>0</v>
      </c>
      <c r="AL155" s="198" t="n">
        <v>0.01</v>
      </c>
      <c r="AM155" s="198" t="n">
        <v>0</v>
      </c>
      <c r="AN155" s="198" t="inlineStr">
        <is>
          <t>Transportation Fee</t>
        </is>
      </c>
      <c r="AO155" s="198" t="inlineStr">
        <is>
          <t>បានប្រកាសនិងបង់ពន្ធ</t>
        </is>
      </c>
    </row>
    <row r="156">
      <c r="A156" s="212">
        <f>A155+1</f>
        <v/>
      </c>
      <c r="B156" s="214" t="inlineStr">
        <is>
          <t>Terminal Handling Service-Im</t>
        </is>
      </c>
      <c r="C156" s="214" t="inlineStr">
        <is>
          <t>SITC CONTAINER LINES (CAMBODIA) Co., Ltd.</t>
        </is>
      </c>
      <c r="D156" s="215" t="inlineStr">
        <is>
          <t>L001-107035863</t>
        </is>
      </c>
      <c r="E156" s="290" t="inlineStr">
        <is>
          <t>SITC2025-000741</t>
        </is>
      </c>
      <c r="F156" s="279" t="n">
        <v>45661</v>
      </c>
      <c r="G156" s="216" t="n"/>
      <c r="H156" s="564" t="n"/>
      <c r="I156" s="564" t="n">
        <v>1112832</v>
      </c>
      <c r="J156" s="213" t="inlineStr">
        <is>
          <t>អនុញ្ញាត (បានប្រកាស)</t>
        </is>
      </c>
      <c r="K156" s="213" t="n"/>
      <c r="L156" s="563">
        <f>I156</f>
        <v/>
      </c>
      <c r="M156" s="536">
        <f>I156-L156</f>
        <v/>
      </c>
      <c r="N156" s="213" t="n"/>
      <c r="O156" s="218">
        <f>U156=E156</f>
        <v/>
      </c>
      <c r="P156" s="218">
        <f>MONTH(F156)-MONTH(T156)</f>
        <v/>
      </c>
      <c r="Q156" s="218">
        <f>$B$5=X156</f>
        <v/>
      </c>
      <c r="R156" s="218">
        <f>I156-AD156</f>
        <v/>
      </c>
      <c r="S156" s="298" t="n"/>
      <c r="T156" s="299" t="n">
        <v>45661</v>
      </c>
      <c r="U156" s="298" t="inlineStr">
        <is>
          <t>SITC2025-000741</t>
        </is>
      </c>
      <c r="V156" s="298" t="n">
        <v>0</v>
      </c>
      <c r="W156" s="298" t="inlineStr">
        <is>
          <t>បុគ្គលជាប់អាករ</t>
        </is>
      </c>
      <c r="X156" s="298" t="inlineStr">
        <is>
          <t>L001-901640009</t>
        </is>
      </c>
      <c r="Y156" s="298" t="inlineStr">
        <is>
          <t>ហូលីដេ ឌីហ្សាញ (ខេមបូឌា) ឯ.ក</t>
        </is>
      </c>
      <c r="Z156" s="300" t="n">
        <v>12241152</v>
      </c>
      <c r="AA156" s="300" t="n">
        <v>11128320</v>
      </c>
      <c r="AB156" s="298" t="n">
        <v>0</v>
      </c>
      <c r="AC156" s="298" t="inlineStr">
        <is>
          <t>-</t>
        </is>
      </c>
      <c r="AD156" s="300" t="n">
        <v>1112832</v>
      </c>
      <c r="AE156" s="298" t="n">
        <v>0</v>
      </c>
      <c r="AF156" s="562" t="n">
        <v>0</v>
      </c>
      <c r="AG156" s="198" t="n">
        <v>0</v>
      </c>
      <c r="AH156" s="198" t="n">
        <v>0</v>
      </c>
      <c r="AI156" s="198" t="n">
        <v>0</v>
      </c>
      <c r="AJ156" s="198" t="n">
        <v>0</v>
      </c>
      <c r="AK156" s="198" t="n">
        <v>0</v>
      </c>
      <c r="AL156" s="198" t="n">
        <v>0.01</v>
      </c>
      <c r="AM156" s="198" t="n">
        <v>0</v>
      </c>
      <c r="AN156" s="198" t="inlineStr">
        <is>
          <t>KHDOC,KHTHC,EIB,KHCIC,EMF</t>
        </is>
      </c>
    </row>
    <row r="157">
      <c r="A157" s="212">
        <f>A156+1</f>
        <v/>
      </c>
      <c r="B157" s="214" t="inlineStr">
        <is>
          <t>Trucking Fee-Im</t>
        </is>
      </c>
      <c r="C157" s="214" t="inlineStr">
        <is>
          <t>BRILLIANT TRANSPORT AND TRADING Co., Ltd.</t>
        </is>
      </c>
      <c r="D157" s="215" t="inlineStr">
        <is>
          <t>K002-100089305</t>
        </is>
      </c>
      <c r="E157" s="290" t="inlineStr">
        <is>
          <t>BTT25-0000104</t>
        </is>
      </c>
      <c r="F157" s="279" t="n">
        <v>45667</v>
      </c>
      <c r="G157" s="216" t="n"/>
      <c r="H157" s="564" t="n"/>
      <c r="I157" s="564" t="n">
        <v>2243310</v>
      </c>
      <c r="J157" s="213" t="inlineStr">
        <is>
          <t>អនុញ្ញាត (បានប្រកាស)</t>
        </is>
      </c>
      <c r="K157" s="213" t="n"/>
      <c r="L157" s="563">
        <f>I157</f>
        <v/>
      </c>
      <c r="M157" s="536">
        <f>I157-L157</f>
        <v/>
      </c>
      <c r="N157" s="213" t="n"/>
      <c r="O157" s="218">
        <f>U157=E157</f>
        <v/>
      </c>
      <c r="P157" s="218">
        <f>MONTH(F157)-MONTH(T157)</f>
        <v/>
      </c>
      <c r="Q157" s="218">
        <f>$B$5=X157</f>
        <v/>
      </c>
      <c r="R157" s="218">
        <f>I157-AD157</f>
        <v/>
      </c>
      <c r="S157" s="298" t="n"/>
      <c r="T157" s="299" t="n">
        <v>45667</v>
      </c>
      <c r="U157" s="298" t="inlineStr">
        <is>
          <t>BTT25-0000104</t>
        </is>
      </c>
      <c r="V157" s="298" t="n">
        <v>0</v>
      </c>
      <c r="W157" s="298" t="inlineStr">
        <is>
          <t>បុគ្គលជាប់អាករ</t>
        </is>
      </c>
      <c r="X157" s="298" t="inlineStr">
        <is>
          <t>L001-901640009</t>
        </is>
      </c>
      <c r="Y157" s="298" t="inlineStr">
        <is>
          <t>ហូលីដេ ឌីហ្សាញ (ខេមបូឌា) ឯ.ក</t>
        </is>
      </c>
      <c r="Z157" s="300" t="n">
        <v>24676410</v>
      </c>
      <c r="AA157" s="300" t="n">
        <v>22433100</v>
      </c>
      <c r="AB157" s="298" t="n">
        <v>0</v>
      </c>
      <c r="AC157" s="298" t="inlineStr">
        <is>
          <t>-</t>
        </is>
      </c>
      <c r="AD157" s="300" t="n">
        <v>2243310</v>
      </c>
      <c r="AE157" s="298" t="n">
        <v>0</v>
      </c>
      <c r="AF157" s="562" t="n">
        <v>0</v>
      </c>
      <c r="AG157" s="198" t="n">
        <v>0</v>
      </c>
      <c r="AH157" s="198" t="n">
        <v>0</v>
      </c>
      <c r="AI157" s="198" t="n">
        <v>0</v>
      </c>
      <c r="AJ157" s="198" t="n">
        <v>0</v>
      </c>
      <c r="AK157" s="198" t="n">
        <v>0</v>
      </c>
      <c r="AL157" s="198" t="n">
        <v>0.01</v>
      </c>
      <c r="AM157" s="198" t="n">
        <v>0</v>
      </c>
      <c r="AN157" s="198" t="inlineStr">
        <is>
          <t>Truking / Service</t>
        </is>
      </c>
    </row>
    <row r="158">
      <c r="A158" s="212">
        <f>A157+1</f>
        <v/>
      </c>
      <c r="B158" s="214" t="inlineStr">
        <is>
          <t>Lift-On&amp;Lift-Off-Im</t>
        </is>
      </c>
      <c r="C158" s="214" t="inlineStr">
        <is>
          <t>Port Autonome Du Sihanoukville</t>
        </is>
      </c>
      <c r="D158" s="215" t="inlineStr">
        <is>
          <t>L001-100044638</t>
        </is>
      </c>
      <c r="E158" s="290" t="n">
        <v>202500007788</v>
      </c>
      <c r="F158" s="279" t="n">
        <v>45667</v>
      </c>
      <c r="G158" s="216" t="n"/>
      <c r="H158" s="564" t="n"/>
      <c r="I158" s="564" t="n">
        <v>184315</v>
      </c>
      <c r="J158" s="213" t="inlineStr">
        <is>
          <t>អនុញ្ញាត (បានប្រកាស)</t>
        </is>
      </c>
      <c r="K158" s="213" t="n"/>
      <c r="L158" s="563">
        <f>I158</f>
        <v/>
      </c>
      <c r="M158" s="536">
        <f>I158-L158</f>
        <v/>
      </c>
      <c r="N158" s="213" t="n"/>
      <c r="O158" s="218">
        <f>U158=E158</f>
        <v/>
      </c>
      <c r="P158" s="218">
        <f>MONTH(F158)-MONTH(T158)</f>
        <v/>
      </c>
      <c r="Q158" s="218">
        <f>$B$5=X158</f>
        <v/>
      </c>
      <c r="R158" s="218">
        <f>I158-AD158</f>
        <v/>
      </c>
      <c r="S158" s="298" t="n"/>
      <c r="T158" s="299" t="n">
        <v>45667</v>
      </c>
      <c r="U158" s="298" t="n">
        <v>202500007788</v>
      </c>
      <c r="V158" s="298" t="n">
        <v>0</v>
      </c>
      <c r="W158" s="298" t="inlineStr">
        <is>
          <t>បុគ្គលជាប់អាករ</t>
        </is>
      </c>
      <c r="X158" s="298" t="inlineStr">
        <is>
          <t>L001-901640009</t>
        </is>
      </c>
      <c r="Y158" s="298" t="inlineStr">
        <is>
          <t>ហូលីដេ ឌីហ្សាញ (ខេមបូឌា) ឯ.ក</t>
        </is>
      </c>
      <c r="Z158" s="300" t="n">
        <v>2027467</v>
      </c>
      <c r="AA158" s="300" t="n">
        <v>1843152</v>
      </c>
      <c r="AB158" s="298" t="n">
        <v>0</v>
      </c>
      <c r="AC158" s="298" t="inlineStr">
        <is>
          <t>-</t>
        </is>
      </c>
      <c r="AD158" s="300" t="n">
        <v>184315</v>
      </c>
      <c r="AE158" s="298" t="n">
        <v>0</v>
      </c>
      <c r="AF158" s="562" t="n">
        <v>0</v>
      </c>
      <c r="AG158" s="198" t="n">
        <v>0</v>
      </c>
      <c r="AH158" s="198" t="n">
        <v>0</v>
      </c>
      <c r="AI158" s="198" t="n">
        <v>0</v>
      </c>
      <c r="AJ158" s="198" t="n">
        <v>0</v>
      </c>
      <c r="AK158" s="198" t="n">
        <v>0</v>
      </c>
      <c r="AL158" s="198" t="n">
        <v>0.01</v>
      </c>
      <c r="AM158" s="198" t="n">
        <v>0</v>
      </c>
      <c r="AN158" s="198" t="inlineStr">
        <is>
          <t>LOLO</t>
        </is>
      </c>
    </row>
    <row r="159">
      <c r="A159" s="212">
        <f>A158+1</f>
        <v/>
      </c>
      <c r="B159" s="214" t="inlineStr">
        <is>
          <t>Terminal Handling Service-Im</t>
        </is>
      </c>
      <c r="C159" s="214" t="inlineStr">
        <is>
          <t>SITC CONTAINER LINES (CAMBODIA) Co., Ltd.</t>
        </is>
      </c>
      <c r="D159" s="215" t="inlineStr">
        <is>
          <t>L001-107035863</t>
        </is>
      </c>
      <c r="E159" s="290" t="inlineStr">
        <is>
          <t>SITC2025-000644</t>
        </is>
      </c>
      <c r="F159" s="279" t="n">
        <v>45661</v>
      </c>
      <c r="G159" s="216" t="n"/>
      <c r="H159" s="564" t="n"/>
      <c r="I159" s="564" t="n">
        <v>991872</v>
      </c>
      <c r="J159" s="213" t="inlineStr">
        <is>
          <t>អនុញ្ញាត (បានប្រកាស)</t>
        </is>
      </c>
      <c r="K159" s="213" t="n"/>
      <c r="L159" s="563">
        <f>I159</f>
        <v/>
      </c>
      <c r="M159" s="536">
        <f>I159-L159</f>
        <v/>
      </c>
      <c r="N159" s="213" t="n"/>
      <c r="O159" s="218">
        <f>U159=E159</f>
        <v/>
      </c>
      <c r="P159" s="218">
        <f>MONTH(F159)-MONTH(T159)</f>
        <v/>
      </c>
      <c r="Q159" s="218">
        <f>$B$5=X159</f>
        <v/>
      </c>
      <c r="R159" s="218">
        <f>I159-AD159</f>
        <v/>
      </c>
      <c r="S159" s="298" t="n"/>
      <c r="T159" s="299" t="n">
        <v>45661</v>
      </c>
      <c r="U159" s="298" t="inlineStr">
        <is>
          <t>SITC2025-000644</t>
        </is>
      </c>
      <c r="V159" s="298" t="n">
        <v>0</v>
      </c>
      <c r="W159" s="298" t="inlineStr">
        <is>
          <t>បុគ្គលជាប់អាករ</t>
        </is>
      </c>
      <c r="X159" s="298" t="inlineStr">
        <is>
          <t>L001-901640009</t>
        </is>
      </c>
      <c r="Y159" s="298" t="inlineStr">
        <is>
          <t>ហូលីដេ ឌីហ្សាញ (ខេមបូឌា) ឯ.ក</t>
        </is>
      </c>
      <c r="Z159" s="300" t="n">
        <v>10910592</v>
      </c>
      <c r="AA159" s="300" t="n">
        <v>9918720</v>
      </c>
      <c r="AB159" s="298" t="n">
        <v>0</v>
      </c>
      <c r="AC159" s="298" t="inlineStr">
        <is>
          <t>-</t>
        </is>
      </c>
      <c r="AD159" s="300" t="n">
        <v>991872</v>
      </c>
      <c r="AE159" s="298" t="n">
        <v>0</v>
      </c>
      <c r="AF159" s="562" t="n">
        <v>0</v>
      </c>
      <c r="AG159" s="198" t="n">
        <v>0</v>
      </c>
      <c r="AH159" s="198" t="n">
        <v>0</v>
      </c>
      <c r="AI159" s="198" t="n">
        <v>0</v>
      </c>
      <c r="AJ159" s="198" t="n">
        <v>0</v>
      </c>
      <c r="AK159" s="198" t="n">
        <v>0</v>
      </c>
      <c r="AL159" s="198" t="n">
        <v>0.01</v>
      </c>
      <c r="AM159" s="198" t="n">
        <v>0</v>
      </c>
      <c r="AN159" s="198" t="inlineStr">
        <is>
          <t>KHCIC,KHTHC,EMF,EIB,KHDOC</t>
        </is>
      </c>
    </row>
    <row r="160">
      <c r="A160" s="212">
        <f>A159+1</f>
        <v/>
      </c>
      <c r="B160" s="214" t="inlineStr">
        <is>
          <t>Trucking Fee-Im</t>
        </is>
      </c>
      <c r="C160" s="214" t="inlineStr">
        <is>
          <t>BRILLIANT TRANSPORT AND TRADING Co., Ltd.</t>
        </is>
      </c>
      <c r="D160" s="215" t="inlineStr">
        <is>
          <t>K002-100089305</t>
        </is>
      </c>
      <c r="E160" s="290" t="inlineStr">
        <is>
          <t>BTT25-0000103</t>
        </is>
      </c>
      <c r="F160" s="279" t="n">
        <v>45667</v>
      </c>
      <c r="G160" s="216" t="n"/>
      <c r="H160" s="564" t="n"/>
      <c r="I160" s="564" t="n">
        <v>1996748</v>
      </c>
      <c r="J160" s="213" t="inlineStr">
        <is>
          <t>អនុញ្ញាត (បានប្រកាស)</t>
        </is>
      </c>
      <c r="K160" s="213" t="n"/>
      <c r="L160" s="563">
        <f>I160</f>
        <v/>
      </c>
      <c r="M160" s="536">
        <f>I160-L160</f>
        <v/>
      </c>
      <c r="N160" s="213" t="n"/>
      <c r="O160" s="218">
        <f>U160=E160</f>
        <v/>
      </c>
      <c r="P160" s="218">
        <f>MONTH(F160)-MONTH(T160)</f>
        <v/>
      </c>
      <c r="Q160" s="218">
        <f>$B$5=X160</f>
        <v/>
      </c>
      <c r="R160" s="218">
        <f>I160-AD160</f>
        <v/>
      </c>
      <c r="S160" s="298" t="n"/>
      <c r="T160" s="299" t="n">
        <v>45667</v>
      </c>
      <c r="U160" s="298" t="inlineStr">
        <is>
          <t>BTT25-0000103</t>
        </is>
      </c>
      <c r="V160" s="298" t="n">
        <v>0</v>
      </c>
      <c r="W160" s="298" t="inlineStr">
        <is>
          <t>បុគ្គលជាប់អាករ</t>
        </is>
      </c>
      <c r="X160" s="298" t="inlineStr">
        <is>
          <t>L001-901640009</t>
        </is>
      </c>
      <c r="Y160" s="298" t="inlineStr">
        <is>
          <t>ហូលីដេ ឌីហ្សាញ (ខេមបូឌា) ឯ.ក</t>
        </is>
      </c>
      <c r="Z160" s="300" t="n">
        <v>21964228</v>
      </c>
      <c r="AA160" s="300" t="n">
        <v>19967480</v>
      </c>
      <c r="AB160" s="298" t="n">
        <v>0</v>
      </c>
      <c r="AC160" s="298" t="inlineStr">
        <is>
          <t>-</t>
        </is>
      </c>
      <c r="AD160" s="300" t="n">
        <v>1996748</v>
      </c>
      <c r="AE160" s="298" t="n">
        <v>0</v>
      </c>
      <c r="AF160" s="562" t="n">
        <v>0</v>
      </c>
      <c r="AG160" s="198" t="n">
        <v>0</v>
      </c>
      <c r="AH160" s="198" t="n">
        <v>0</v>
      </c>
      <c r="AI160" s="198" t="n">
        <v>0</v>
      </c>
      <c r="AJ160" s="198" t="n">
        <v>0</v>
      </c>
      <c r="AK160" s="198" t="n">
        <v>0</v>
      </c>
      <c r="AL160" s="198" t="n">
        <v>0.01</v>
      </c>
      <c r="AM160" s="198" t="n">
        <v>0</v>
      </c>
      <c r="AN160" s="198" t="inlineStr">
        <is>
          <t>Truking / Service</t>
        </is>
      </c>
    </row>
    <row r="161">
      <c r="A161" s="212">
        <f>A160+1</f>
        <v/>
      </c>
      <c r="B161" s="214" t="inlineStr">
        <is>
          <t>Lift-On&amp;Lift-Off-Im</t>
        </is>
      </c>
      <c r="C161" s="214" t="inlineStr">
        <is>
          <t>Port Autonome Du Sihanoukville</t>
        </is>
      </c>
      <c r="D161" s="215" t="inlineStr">
        <is>
          <t>L001-100044638</t>
        </is>
      </c>
      <c r="E161" s="290" t="n">
        <v>202500008230</v>
      </c>
      <c r="F161" s="279" t="n">
        <v>45668</v>
      </c>
      <c r="G161" s="216" t="n"/>
      <c r="H161" s="564" t="n"/>
      <c r="I161" s="564" t="n">
        <v>351654</v>
      </c>
      <c r="J161" s="213" t="inlineStr">
        <is>
          <t>អនុញ្ញាត (បានប្រកាស)</t>
        </is>
      </c>
      <c r="K161" s="213" t="n"/>
      <c r="L161" s="563">
        <f>I161</f>
        <v/>
      </c>
      <c r="M161" s="536">
        <f>I161-L161</f>
        <v/>
      </c>
      <c r="N161" s="213" t="n"/>
      <c r="O161" s="218">
        <f>U161=E161</f>
        <v/>
      </c>
      <c r="P161" s="218">
        <f>MONTH(F161)-MONTH(T161)</f>
        <v/>
      </c>
      <c r="Q161" s="218">
        <f>$B$5=X161</f>
        <v/>
      </c>
      <c r="R161" s="218">
        <f>I161-AD161</f>
        <v/>
      </c>
      <c r="S161" s="298" t="n"/>
      <c r="T161" s="299" t="n">
        <v>45668</v>
      </c>
      <c r="U161" s="298" t="n">
        <v>202500008230</v>
      </c>
      <c r="V161" s="298" t="n">
        <v>0</v>
      </c>
      <c r="W161" s="298" t="inlineStr">
        <is>
          <t>បុគ្គលជាប់អាករ</t>
        </is>
      </c>
      <c r="X161" s="298" t="inlineStr">
        <is>
          <t>L001-901640009</t>
        </is>
      </c>
      <c r="Y161" s="298" t="inlineStr">
        <is>
          <t>ហូលីដេ ឌីហ្សាញ (ខេមបូឌា) ឯ.ក</t>
        </is>
      </c>
      <c r="Z161" s="300" t="n">
        <v>3868194</v>
      </c>
      <c r="AA161" s="300" t="n">
        <v>3516540</v>
      </c>
      <c r="AB161" s="298" t="n">
        <v>0</v>
      </c>
      <c r="AC161" s="298" t="inlineStr">
        <is>
          <t>-</t>
        </is>
      </c>
      <c r="AD161" s="300" t="n">
        <v>351654</v>
      </c>
      <c r="AE161" s="298" t="n">
        <v>0</v>
      </c>
      <c r="AF161" s="562" t="n">
        <v>0</v>
      </c>
      <c r="AG161" s="198" t="n">
        <v>0</v>
      </c>
      <c r="AH161" s="198" t="n">
        <v>0</v>
      </c>
      <c r="AI161" s="198" t="n">
        <v>0</v>
      </c>
      <c r="AJ161" s="198" t="n">
        <v>0</v>
      </c>
      <c r="AK161" s="198" t="n">
        <v>0</v>
      </c>
      <c r="AL161" s="198" t="n">
        <v>0.01</v>
      </c>
      <c r="AM161" s="198" t="n">
        <v>0</v>
      </c>
      <c r="AN161" s="198" t="inlineStr">
        <is>
          <t>LOLO</t>
        </is>
      </c>
    </row>
    <row r="162">
      <c r="A162" s="212">
        <f>A161+1</f>
        <v/>
      </c>
      <c r="B162" s="214" t="inlineStr">
        <is>
          <t>Trucking Fee-Im</t>
        </is>
      </c>
      <c r="C162" s="214" t="inlineStr">
        <is>
          <t>BRILLIANT TRANSPORT AND TRADING Co., Ltd.</t>
        </is>
      </c>
      <c r="D162" s="215" t="inlineStr">
        <is>
          <t>K002-100089305</t>
        </is>
      </c>
      <c r="E162" s="290" t="inlineStr">
        <is>
          <t>BTT25-0000102</t>
        </is>
      </c>
      <c r="F162" s="279" t="n">
        <v>45667</v>
      </c>
      <c r="G162" s="216" t="n"/>
      <c r="H162" s="564" t="n"/>
      <c r="I162" s="564" t="n">
        <v>2182680</v>
      </c>
      <c r="J162" s="213" t="inlineStr">
        <is>
          <t>អនុញ្ញាត (បានប្រកាស)</t>
        </is>
      </c>
      <c r="K162" s="213" t="n"/>
      <c r="L162" s="563">
        <f>I162</f>
        <v/>
      </c>
      <c r="M162" s="536">
        <f>I162-L162</f>
        <v/>
      </c>
      <c r="N162" s="213" t="n"/>
      <c r="O162" s="218">
        <f>U162=E162</f>
        <v/>
      </c>
      <c r="P162" s="218">
        <f>MONTH(F162)-MONTH(T162)</f>
        <v/>
      </c>
      <c r="Q162" s="218">
        <f>$B$5=X162</f>
        <v/>
      </c>
      <c r="R162" s="218">
        <f>I162-AD162</f>
        <v/>
      </c>
      <c r="S162" s="298" t="n"/>
      <c r="T162" s="299" t="n">
        <v>45667</v>
      </c>
      <c r="U162" s="298" t="inlineStr">
        <is>
          <t>BTT25-0000102</t>
        </is>
      </c>
      <c r="V162" s="298" t="n">
        <v>0</v>
      </c>
      <c r="W162" s="298" t="inlineStr">
        <is>
          <t>បុគ្គលជាប់អាករ</t>
        </is>
      </c>
      <c r="X162" s="298" t="inlineStr">
        <is>
          <t>L001-901640009</t>
        </is>
      </c>
      <c r="Y162" s="298" t="inlineStr">
        <is>
          <t>ហូលីដេ ឌីហ្សាញ (ខេមបូឌា) ឯ.ក</t>
        </is>
      </c>
      <c r="Z162" s="300" t="n">
        <v>24009480</v>
      </c>
      <c r="AA162" s="300" t="n">
        <v>21826800</v>
      </c>
      <c r="AB162" s="298" t="n">
        <v>0</v>
      </c>
      <c r="AC162" s="298" t="inlineStr">
        <is>
          <t>-</t>
        </is>
      </c>
      <c r="AD162" s="300" t="n">
        <v>2182680</v>
      </c>
      <c r="AE162" s="298" t="n">
        <v>0</v>
      </c>
      <c r="AF162" s="562" t="n">
        <v>0</v>
      </c>
      <c r="AG162" s="198" t="n">
        <v>0</v>
      </c>
      <c r="AH162" s="198" t="n">
        <v>0</v>
      </c>
      <c r="AI162" s="198" t="n">
        <v>0</v>
      </c>
      <c r="AJ162" s="198" t="n">
        <v>0</v>
      </c>
      <c r="AK162" s="198" t="n">
        <v>0</v>
      </c>
      <c r="AL162" s="198" t="n">
        <v>0.01</v>
      </c>
      <c r="AM162" s="198" t="n">
        <v>0</v>
      </c>
      <c r="AN162" s="198" t="inlineStr">
        <is>
          <t>Truking / Service</t>
        </is>
      </c>
    </row>
    <row r="163">
      <c r="A163" s="212">
        <f>A162+1</f>
        <v/>
      </c>
      <c r="B163" s="214" t="inlineStr">
        <is>
          <t>Trucking Fee-Im</t>
        </is>
      </c>
      <c r="C163" s="214" t="inlineStr">
        <is>
          <t>BRILLIANT TRANSPORT AND TRADING Co., Ltd.</t>
        </is>
      </c>
      <c r="D163" s="215" t="inlineStr">
        <is>
          <t>K002-100089305</t>
        </is>
      </c>
      <c r="E163" s="290" t="inlineStr">
        <is>
          <t>BTT25-0000045</t>
        </is>
      </c>
      <c r="F163" s="279" t="n">
        <v>45659</v>
      </c>
      <c r="G163" s="216" t="n"/>
      <c r="H163" s="564" t="n"/>
      <c r="I163" s="564" t="n">
        <v>1679259</v>
      </c>
      <c r="J163" s="213" t="inlineStr">
        <is>
          <t>អនុញ្ញាត (បានប្រកាស)</t>
        </is>
      </c>
      <c r="K163" s="213" t="n"/>
      <c r="L163" s="563">
        <f>I163</f>
        <v/>
      </c>
      <c r="M163" s="536">
        <f>I163-L163</f>
        <v/>
      </c>
      <c r="N163" s="213" t="n"/>
      <c r="O163" s="218">
        <f>U163=E163</f>
        <v/>
      </c>
      <c r="P163" s="218">
        <f>MONTH(F163)-MONTH(T163)</f>
        <v/>
      </c>
      <c r="Q163" s="218">
        <f>$B$5=X163</f>
        <v/>
      </c>
      <c r="R163" s="218">
        <f>I163-AD163</f>
        <v/>
      </c>
      <c r="S163" s="298" t="n"/>
      <c r="T163" s="299" t="n">
        <v>45659</v>
      </c>
      <c r="U163" s="298" t="inlineStr">
        <is>
          <t>BTT25-0000045</t>
        </is>
      </c>
      <c r="V163" s="298" t="n">
        <v>0</v>
      </c>
      <c r="W163" s="298" t="inlineStr">
        <is>
          <t>បុគ្គលជាប់អាករ</t>
        </is>
      </c>
      <c r="X163" s="298" t="inlineStr">
        <is>
          <t>L001-901640009</t>
        </is>
      </c>
      <c r="Y163" s="298" t="inlineStr">
        <is>
          <t>ហូលីដេ ឌីហ្សាញ (ខេមបូឌា) ឯ.ក</t>
        </is>
      </c>
      <c r="Z163" s="300" t="n">
        <v>18471849</v>
      </c>
      <c r="AA163" s="300" t="n">
        <v>16792590</v>
      </c>
      <c r="AB163" s="298" t="n">
        <v>0</v>
      </c>
      <c r="AC163" s="298" t="inlineStr">
        <is>
          <t>-</t>
        </is>
      </c>
      <c r="AD163" s="300" t="n">
        <v>1679259</v>
      </c>
      <c r="AE163" s="298" t="n">
        <v>0</v>
      </c>
      <c r="AF163" s="562" t="n">
        <v>0</v>
      </c>
      <c r="AG163" s="198" t="n">
        <v>0</v>
      </c>
      <c r="AH163" s="198" t="n">
        <v>0</v>
      </c>
      <c r="AI163" s="198" t="n">
        <v>0</v>
      </c>
      <c r="AJ163" s="198" t="n">
        <v>0</v>
      </c>
      <c r="AK163" s="198" t="n">
        <v>0</v>
      </c>
      <c r="AL163" s="198" t="n">
        <v>0.01</v>
      </c>
      <c r="AM163" s="198" t="n">
        <v>0</v>
      </c>
      <c r="AN163" s="198" t="inlineStr">
        <is>
          <t>Truking / Service</t>
        </is>
      </c>
    </row>
    <row r="164">
      <c r="A164" s="212">
        <f>A163+1</f>
        <v/>
      </c>
      <c r="B164" s="214" t="inlineStr">
        <is>
          <t>Lift-On&amp;Lift-Off-Im</t>
        </is>
      </c>
      <c r="C164" s="214" t="inlineStr">
        <is>
          <t>Port Autonome Du Sihanoukville</t>
        </is>
      </c>
      <c r="D164" s="215" t="inlineStr">
        <is>
          <t>L001-100044638</t>
        </is>
      </c>
      <c r="E164" s="290" t="n">
        <v>202500002577</v>
      </c>
      <c r="F164" s="279" t="n">
        <v>45660</v>
      </c>
      <c r="G164" s="216" t="n"/>
      <c r="H164" s="564" t="n"/>
      <c r="I164" s="564" t="n">
        <v>252806</v>
      </c>
      <c r="J164" s="213" t="inlineStr">
        <is>
          <t>អនុញ្ញាត (បានប្រកាស)</t>
        </is>
      </c>
      <c r="K164" s="213" t="n"/>
      <c r="L164" s="563">
        <f>I164</f>
        <v/>
      </c>
      <c r="M164" s="536">
        <f>I164-L164</f>
        <v/>
      </c>
      <c r="N164" s="213" t="n"/>
      <c r="O164" s="218">
        <f>U164=E164</f>
        <v/>
      </c>
      <c r="P164" s="218">
        <f>MONTH(F164)-MONTH(T164)</f>
        <v/>
      </c>
      <c r="Q164" s="218">
        <f>$B$5=X164</f>
        <v/>
      </c>
      <c r="R164" s="218">
        <f>I164-AD164</f>
        <v/>
      </c>
      <c r="S164" s="298" t="n"/>
      <c r="T164" s="299" t="n">
        <v>45660</v>
      </c>
      <c r="U164" s="298" t="n">
        <v>202500002577</v>
      </c>
      <c r="V164" s="298" t="n">
        <v>0</v>
      </c>
      <c r="W164" s="298" t="inlineStr">
        <is>
          <t>បុគ្គលជាប់អាករ</t>
        </is>
      </c>
      <c r="X164" s="298" t="inlineStr">
        <is>
          <t>L001-901640009</t>
        </is>
      </c>
      <c r="Y164" s="298" t="inlineStr">
        <is>
          <t>ហូលីដេ ឌីហ្សាញ (ខេមបូឌា) ឯ.ក</t>
        </is>
      </c>
      <c r="Z164" s="300" t="n">
        <v>2780870</v>
      </c>
      <c r="AA164" s="300" t="n">
        <v>2528064</v>
      </c>
      <c r="AB164" s="298" t="n">
        <v>0</v>
      </c>
      <c r="AC164" s="298" t="inlineStr">
        <is>
          <t>-</t>
        </is>
      </c>
      <c r="AD164" s="300" t="n">
        <v>252806</v>
      </c>
      <c r="AE164" s="298" t="n">
        <v>0</v>
      </c>
      <c r="AF164" s="562" t="n">
        <v>0</v>
      </c>
      <c r="AG164" s="198" t="n">
        <v>0</v>
      </c>
      <c r="AH164" s="198" t="n">
        <v>0</v>
      </c>
      <c r="AI164" s="198" t="n">
        <v>0</v>
      </c>
      <c r="AJ164" s="198" t="n">
        <v>0</v>
      </c>
      <c r="AK164" s="198" t="n">
        <v>0</v>
      </c>
      <c r="AL164" s="198" t="n">
        <v>0.01</v>
      </c>
      <c r="AM164" s="198" t="n">
        <v>0</v>
      </c>
      <c r="AN164" s="198" t="inlineStr">
        <is>
          <t>LOLO</t>
        </is>
      </c>
    </row>
    <row r="165">
      <c r="A165" s="212">
        <f>A164+1</f>
        <v/>
      </c>
      <c r="B165" s="214" t="inlineStr">
        <is>
          <t>Terminal Handling Service-Im</t>
        </is>
      </c>
      <c r="C165" s="214" t="inlineStr">
        <is>
          <t>SITC CONTAINER LINES (CAMBODIA) Co., Ltd.</t>
        </is>
      </c>
      <c r="D165" s="215" t="inlineStr">
        <is>
          <t>L001-107035863</t>
        </is>
      </c>
      <c r="E165" s="290" t="inlineStr">
        <is>
          <t>SITC2025-000059</t>
        </is>
      </c>
      <c r="F165" s="279" t="n">
        <v>45659</v>
      </c>
      <c r="G165" s="216" t="n"/>
      <c r="H165" s="564" t="n"/>
      <c r="I165" s="564" t="n">
        <v>1353072</v>
      </c>
      <c r="J165" s="213" t="inlineStr">
        <is>
          <t>អនុញ្ញាត (បានប្រកាស)</t>
        </is>
      </c>
      <c r="K165" s="213" t="n"/>
      <c r="L165" s="563">
        <f>I165</f>
        <v/>
      </c>
      <c r="M165" s="536">
        <f>I165-L165</f>
        <v/>
      </c>
      <c r="N165" s="213" t="n"/>
      <c r="O165" s="218">
        <f>U165=E165</f>
        <v/>
      </c>
      <c r="P165" s="218">
        <f>MONTH(F165)-MONTH(T165)</f>
        <v/>
      </c>
      <c r="Q165" s="218">
        <f>$B$5=X165</f>
        <v/>
      </c>
      <c r="R165" s="218">
        <f>I165-AD165</f>
        <v/>
      </c>
      <c r="S165" s="298" t="n"/>
      <c r="T165" s="299" t="n">
        <v>45659</v>
      </c>
      <c r="U165" s="298" t="inlineStr">
        <is>
          <t>SITC2025-000059</t>
        </is>
      </c>
      <c r="V165" s="298" t="n">
        <v>0</v>
      </c>
      <c r="W165" s="298" t="inlineStr">
        <is>
          <t>បុគ្គលជាប់អាករ</t>
        </is>
      </c>
      <c r="X165" s="298" t="inlineStr">
        <is>
          <t>L001-901640009</t>
        </is>
      </c>
      <c r="Y165" s="298" t="inlineStr">
        <is>
          <t>ហូលីដេ ឌីហ្សាញ (ខេមបូឌា) ឯ.ក</t>
        </is>
      </c>
      <c r="Z165" s="300" t="n">
        <v>14883792</v>
      </c>
      <c r="AA165" s="300" t="n">
        <v>13530720</v>
      </c>
      <c r="AB165" s="298" t="n">
        <v>0</v>
      </c>
      <c r="AC165" s="298" t="inlineStr">
        <is>
          <t>-</t>
        </is>
      </c>
      <c r="AD165" s="300" t="n">
        <v>1353072</v>
      </c>
      <c r="AE165" s="298" t="n">
        <v>0</v>
      </c>
      <c r="AF165" s="562" t="n">
        <v>0</v>
      </c>
      <c r="AG165" s="198" t="n">
        <v>0</v>
      </c>
      <c r="AH165" s="198" t="n">
        <v>0</v>
      </c>
      <c r="AI165" s="198" t="n">
        <v>0</v>
      </c>
      <c r="AJ165" s="198" t="n">
        <v>0</v>
      </c>
      <c r="AK165" s="198" t="n">
        <v>0</v>
      </c>
      <c r="AL165" s="198" t="n">
        <v>0.01</v>
      </c>
      <c r="AM165" s="198" t="n">
        <v>0</v>
      </c>
      <c r="AN165" s="198" t="inlineStr">
        <is>
          <t>EMF,KHCIC,KHDOC,KHTHC,EIB</t>
        </is>
      </c>
    </row>
    <row r="166">
      <c r="A166" s="212">
        <f>A165+1</f>
        <v/>
      </c>
      <c r="B166" s="214" t="inlineStr">
        <is>
          <t>Trucking Fee-Im</t>
        </is>
      </c>
      <c r="C166" s="214" t="inlineStr">
        <is>
          <t>BRILLIANT TRANSPORT AND TRADING Co., Ltd.</t>
        </is>
      </c>
      <c r="D166" s="215" t="inlineStr">
        <is>
          <t>K002-100089305</t>
        </is>
      </c>
      <c r="E166" s="290" t="inlineStr">
        <is>
          <t>BTT25-0000051</t>
        </is>
      </c>
      <c r="F166" s="279" t="n">
        <v>45660</v>
      </c>
      <c r="G166" s="216" t="n"/>
      <c r="H166" s="564" t="n"/>
      <c r="I166" s="564" t="n">
        <v>2729664</v>
      </c>
      <c r="J166" s="213" t="inlineStr">
        <is>
          <t>អនុញ្ញាត (បានប្រកាស)</t>
        </is>
      </c>
      <c r="K166" s="213" t="n"/>
      <c r="L166" s="563">
        <f>I166</f>
        <v/>
      </c>
      <c r="M166" s="536">
        <f>I166-L166</f>
        <v/>
      </c>
      <c r="N166" s="213" t="n"/>
      <c r="O166" s="218">
        <f>U166=E166</f>
        <v/>
      </c>
      <c r="P166" s="218">
        <f>MONTH(F166)-MONTH(T166)</f>
        <v/>
      </c>
      <c r="Q166" s="218">
        <f>$B$5=X166</f>
        <v/>
      </c>
      <c r="R166" s="218">
        <f>I166-AD166</f>
        <v/>
      </c>
      <c r="S166" s="298" t="n"/>
      <c r="T166" s="299" t="n">
        <v>45660</v>
      </c>
      <c r="U166" s="298" t="inlineStr">
        <is>
          <t>BTT25-0000051</t>
        </is>
      </c>
      <c r="V166" s="298" t="n">
        <v>0</v>
      </c>
      <c r="W166" s="298" t="inlineStr">
        <is>
          <t>បុគ្គលជាប់អាករ</t>
        </is>
      </c>
      <c r="X166" s="298" t="inlineStr">
        <is>
          <t>L001-901640009</t>
        </is>
      </c>
      <c r="Y166" s="298" t="inlineStr">
        <is>
          <t>ហូលីដេ ឌីហ្សាញ (ខេមបូឌា) ឯ.ក</t>
        </is>
      </c>
      <c r="Z166" s="300" t="n">
        <v>30026304</v>
      </c>
      <c r="AA166" s="300" t="n">
        <v>27296640</v>
      </c>
      <c r="AB166" s="298" t="n">
        <v>0</v>
      </c>
      <c r="AC166" s="298" t="inlineStr">
        <is>
          <t>-</t>
        </is>
      </c>
      <c r="AD166" s="300" t="n">
        <v>2729664</v>
      </c>
      <c r="AE166" s="298" t="n">
        <v>0</v>
      </c>
      <c r="AF166" s="562" t="n">
        <v>0</v>
      </c>
      <c r="AG166" s="198" t="n">
        <v>0</v>
      </c>
      <c r="AH166" s="198" t="n">
        <v>0</v>
      </c>
      <c r="AI166" s="198" t="n">
        <v>0</v>
      </c>
      <c r="AJ166" s="198" t="n">
        <v>0</v>
      </c>
      <c r="AK166" s="198" t="n">
        <v>0</v>
      </c>
      <c r="AL166" s="198" t="n">
        <v>0.01</v>
      </c>
      <c r="AM166" s="198" t="n">
        <v>0</v>
      </c>
      <c r="AN166" s="198" t="inlineStr">
        <is>
          <t>Truking / Service</t>
        </is>
      </c>
    </row>
    <row r="167">
      <c r="A167" s="212">
        <f>A166+1</f>
        <v/>
      </c>
      <c r="B167" s="214" t="inlineStr">
        <is>
          <t>Lift-On&amp;Lift-Off-Im</t>
        </is>
      </c>
      <c r="C167" s="214" t="inlineStr">
        <is>
          <t>Port Autonome Du Sihanoukville</t>
        </is>
      </c>
      <c r="D167" s="215" t="inlineStr">
        <is>
          <t>L001-100044638</t>
        </is>
      </c>
      <c r="E167" s="290" t="n">
        <v>202500001279</v>
      </c>
      <c r="F167" s="279" t="n">
        <v>45659</v>
      </c>
      <c r="G167" s="216" t="n"/>
      <c r="H167" s="564" t="n"/>
      <c r="I167" s="564" t="n">
        <v>245244</v>
      </c>
      <c r="J167" s="213" t="inlineStr">
        <is>
          <t>អនុញ្ញាត (បានប្រកាស)</t>
        </is>
      </c>
      <c r="K167" s="213" t="n"/>
      <c r="L167" s="563">
        <f>I167</f>
        <v/>
      </c>
      <c r="M167" s="536">
        <f>I167-L167</f>
        <v/>
      </c>
      <c r="N167" s="213" t="n"/>
      <c r="O167" s="218">
        <f>U167=E167</f>
        <v/>
      </c>
      <c r="P167" s="218">
        <f>MONTH(F167)-MONTH(T167)</f>
        <v/>
      </c>
      <c r="Q167" s="218">
        <f>$B$5=X167</f>
        <v/>
      </c>
      <c r="R167" s="218">
        <f>I167-AD167</f>
        <v/>
      </c>
      <c r="S167" s="298" t="n"/>
      <c r="T167" s="299" t="n">
        <v>45659</v>
      </c>
      <c r="U167" s="298" t="n">
        <v>202500001279</v>
      </c>
      <c r="V167" s="298" t="n">
        <v>0</v>
      </c>
      <c r="W167" s="298" t="inlineStr">
        <is>
          <t>បុគ្គលជាប់អាករ</t>
        </is>
      </c>
      <c r="X167" s="298" t="inlineStr">
        <is>
          <t>L001-901640009</t>
        </is>
      </c>
      <c r="Y167" s="298" t="inlineStr">
        <is>
          <t>ហូលីដេ ឌីហ្សាញ (ខេមបូឌា) ឯ.ក</t>
        </is>
      </c>
      <c r="Z167" s="300" t="n">
        <v>2697687</v>
      </c>
      <c r="AA167" s="300" t="n">
        <v>2452443</v>
      </c>
      <c r="AB167" s="298" t="n">
        <v>0</v>
      </c>
      <c r="AC167" s="298" t="inlineStr">
        <is>
          <t>-</t>
        </is>
      </c>
      <c r="AD167" s="300" t="n">
        <v>245244</v>
      </c>
      <c r="AE167" s="298" t="n">
        <v>0</v>
      </c>
      <c r="AF167" s="562" t="n">
        <v>0</v>
      </c>
      <c r="AG167" s="198" t="n">
        <v>0</v>
      </c>
      <c r="AH167" s="198" t="n">
        <v>0</v>
      </c>
      <c r="AI167" s="198" t="n">
        <v>0</v>
      </c>
      <c r="AJ167" s="198" t="n">
        <v>0</v>
      </c>
      <c r="AK167" s="198" t="n">
        <v>0</v>
      </c>
      <c r="AL167" s="198" t="n">
        <v>0.01</v>
      </c>
      <c r="AM167" s="198" t="n">
        <v>0</v>
      </c>
      <c r="AN167" s="198" t="inlineStr">
        <is>
          <t>LOLO</t>
        </is>
      </c>
    </row>
    <row r="168">
      <c r="A168" s="212">
        <f>A167+1</f>
        <v/>
      </c>
      <c r="B168" s="214" t="inlineStr">
        <is>
          <t>Terminal Handling Service-Im</t>
        </is>
      </c>
      <c r="C168" s="214" t="inlineStr">
        <is>
          <t>SITC CONTAINER LINES (CAMBODIA) Co., Ltd.</t>
        </is>
      </c>
      <c r="D168" s="215" t="inlineStr">
        <is>
          <t>L001-107035863</t>
        </is>
      </c>
      <c r="E168" s="290" t="inlineStr">
        <is>
          <t>SITC2024-041372</t>
        </is>
      </c>
      <c r="F168" s="279" t="n">
        <v>45658</v>
      </c>
      <c r="G168" s="216" t="n"/>
      <c r="H168" s="564" t="n"/>
      <c r="I168" s="564" t="n">
        <v>1489250</v>
      </c>
      <c r="J168" s="213" t="inlineStr">
        <is>
          <t>ព្យួរទុក (មិនមានទិន្នន័យ)</t>
        </is>
      </c>
      <c r="K168" s="213" t="n"/>
      <c r="L168" s="563" t="n"/>
      <c r="M168" s="536">
        <f>I168-L168</f>
        <v/>
      </c>
      <c r="N168" s="213" t="n"/>
      <c r="O168" s="218">
        <f>U168=E168</f>
        <v/>
      </c>
      <c r="P168" s="218">
        <f>MONTH(F168)-MONTH(T168)</f>
        <v/>
      </c>
      <c r="Q168" s="218">
        <f>$B$5=X168</f>
        <v/>
      </c>
      <c r="R168" s="218">
        <f>I168-AD168</f>
        <v/>
      </c>
      <c r="S168" s="298" t="n"/>
      <c r="T168" s="299" t="n">
        <v>45666</v>
      </c>
      <c r="U168" s="298" t="inlineStr">
        <is>
          <t>SITC2025-001372</t>
        </is>
      </c>
      <c r="V168" s="298" t="n"/>
      <c r="W168" s="298" t="inlineStr">
        <is>
          <t>បុគ្គលជាប់អាករ</t>
        </is>
      </c>
      <c r="X168" s="298" t="inlineStr">
        <is>
          <t>L001-901900091</t>
        </is>
      </c>
      <c r="Y168" s="298" t="inlineStr">
        <is>
          <t>អ៊ីធើនិធី គ្លូប៊ល ស្ព័តធីង ហ្គូដស៍ ឯ.ក</t>
        </is>
      </c>
      <c r="Z168" s="300" t="n">
        <v>1599444</v>
      </c>
      <c r="AA168" s="300" t="n">
        <v>1454040</v>
      </c>
      <c r="AB168" s="298" t="n">
        <v>0</v>
      </c>
      <c r="AC168" s="298" t="inlineStr">
        <is>
          <t>-</t>
        </is>
      </c>
      <c r="AD168" s="300" t="n">
        <v>145404</v>
      </c>
      <c r="AE168" s="298" t="n">
        <v>0</v>
      </c>
      <c r="AF168" s="562" t="n">
        <v>0</v>
      </c>
      <c r="AG168" s="198" t="n">
        <v>0</v>
      </c>
      <c r="AH168" s="198" t="n">
        <v>0</v>
      </c>
      <c r="AI168" s="198" t="n">
        <v>0</v>
      </c>
      <c r="AJ168" s="198" t="n">
        <v>0</v>
      </c>
      <c r="AK168" s="198" t="n">
        <v>0</v>
      </c>
      <c r="AL168" s="198" t="n">
        <v>0.01</v>
      </c>
      <c r="AN168" s="198" t="inlineStr">
        <is>
          <t>KHCIC,KHTHC,KHDOC,EM</t>
        </is>
      </c>
    </row>
    <row r="169">
      <c r="A169" s="212">
        <f>A168+1</f>
        <v/>
      </c>
      <c r="B169" s="214" t="inlineStr">
        <is>
          <t>Transportation Fee</t>
        </is>
      </c>
      <c r="C169" s="214" t="inlineStr">
        <is>
          <t>XI LE DA INTERNATIONAL LOGISTICS CO., LTD.</t>
        </is>
      </c>
      <c r="D169" s="215" t="inlineStr">
        <is>
          <t>K010-901905389</t>
        </is>
      </c>
      <c r="E169" s="290" t="n">
        <v>79</v>
      </c>
      <c r="F169" s="279" t="n">
        <v>45776</v>
      </c>
      <c r="G169" s="216" t="n"/>
      <c r="H169" s="564" t="n"/>
      <c r="I169" s="564" t="n">
        <v>2566</v>
      </c>
      <c r="J169" s="213" t="inlineStr">
        <is>
          <t>អនុញ្ញាត (បានប្រកាស)</t>
        </is>
      </c>
      <c r="K169" s="213" t="n"/>
      <c r="L169" s="563">
        <f>I169</f>
        <v/>
      </c>
      <c r="M169" s="536">
        <f>I169-L169</f>
        <v/>
      </c>
      <c r="N169" s="213" t="n"/>
      <c r="O169" s="218">
        <f>U169=E169</f>
        <v/>
      </c>
      <c r="P169" s="218">
        <f>MONTH(F169)-MONTH(T169)</f>
        <v/>
      </c>
      <c r="Q169" s="218">
        <f>$B$5=X169</f>
        <v/>
      </c>
      <c r="R169" s="218">
        <f>I169-AD169</f>
        <v/>
      </c>
      <c r="S169" s="298" t="n"/>
      <c r="T169" s="299" t="n">
        <v>45776</v>
      </c>
      <c r="U169" s="298" t="n">
        <v>79</v>
      </c>
      <c r="V169" s="298" t="n">
        <v>0</v>
      </c>
      <c r="W169" s="298" t="inlineStr">
        <is>
          <t>បុគ្គលជាប់អាករ</t>
        </is>
      </c>
      <c r="X169" s="298" t="inlineStr">
        <is>
          <t>L001-901640009</t>
        </is>
      </c>
      <c r="Y169" s="298" t="inlineStr">
        <is>
          <t>ហូលីដេ ឌីហ្សាញ (ខេមបូឌា) ឯ.ក</t>
        </is>
      </c>
      <c r="Z169" s="300" t="n">
        <v>28221</v>
      </c>
      <c r="AA169" s="300" t="n">
        <v>25655</v>
      </c>
      <c r="AB169" s="298" t="n">
        <v>0</v>
      </c>
      <c r="AC169" s="298" t="inlineStr">
        <is>
          <t>-</t>
        </is>
      </c>
      <c r="AD169" s="300" t="n">
        <v>2566</v>
      </c>
      <c r="AE169" s="298" t="n">
        <v>0</v>
      </c>
      <c r="AF169" s="562" t="n">
        <v>0</v>
      </c>
      <c r="AG169" s="198" t="n">
        <v>0</v>
      </c>
      <c r="AH169" s="198" t="n">
        <v>0</v>
      </c>
      <c r="AI169" s="198" t="n">
        <v>0</v>
      </c>
      <c r="AJ169" s="198" t="n">
        <v>0</v>
      </c>
      <c r="AK169" s="198" t="n">
        <v>0</v>
      </c>
      <c r="AL169" s="198" t="n">
        <v>0.01</v>
      </c>
      <c r="AM169" s="198" t="n">
        <v>0</v>
      </c>
      <c r="AN169" s="198" t="inlineStr">
        <is>
          <t>Transportation Fee</t>
        </is>
      </c>
      <c r="AO169" s="198" t="inlineStr">
        <is>
          <t>បានប្រកាសនិងបង់ពន្ធ</t>
        </is>
      </c>
    </row>
    <row r="170">
      <c r="A170" s="212">
        <f>A169+1</f>
        <v/>
      </c>
      <c r="B170" s="214" t="inlineStr">
        <is>
          <t>CREDIT</t>
        </is>
      </c>
      <c r="C170" s="214" t="inlineStr">
        <is>
          <t>EXPEDITORS CAMBODIA LTD.</t>
        </is>
      </c>
      <c r="D170" s="215" t="inlineStr">
        <is>
          <t>L001-100045898</t>
        </is>
      </c>
      <c r="E170" s="290" t="inlineStr">
        <is>
          <t>TI-0306317-50</t>
        </is>
      </c>
      <c r="F170" s="279" t="n">
        <v>45688</v>
      </c>
      <c r="G170" s="216" t="n"/>
      <c r="H170" s="564" t="n"/>
      <c r="I170" s="564" t="n">
        <v>-30522</v>
      </c>
      <c r="J170" s="213" t="inlineStr">
        <is>
          <t>អនុញ្ញាត (បានប្រកាស)</t>
        </is>
      </c>
      <c r="K170" s="213" t="n"/>
      <c r="L170" s="563">
        <f>I170</f>
        <v/>
      </c>
      <c r="M170" s="536">
        <f>I170-L170</f>
        <v/>
      </c>
      <c r="N170" s="213" t="n"/>
      <c r="O170" s="218">
        <f>U170=E170</f>
        <v/>
      </c>
      <c r="P170" s="218">
        <f>MONTH(F170)-MONTH(T170)</f>
        <v/>
      </c>
      <c r="Q170" s="218">
        <f>$B$5=X170</f>
        <v/>
      </c>
      <c r="R170" s="218">
        <f>I170-AD170</f>
        <v/>
      </c>
      <c r="S170" s="298" t="n"/>
      <c r="T170" s="299" t="n"/>
      <c r="U170" s="298" t="n"/>
      <c r="V170" s="298" t="n"/>
      <c r="W170" s="298" t="n"/>
      <c r="X170" s="298" t="n"/>
      <c r="Y170" s="298" t="n"/>
      <c r="Z170" s="300" t="n"/>
      <c r="AA170" s="300" t="n"/>
      <c r="AB170" s="298" t="n"/>
      <c r="AC170" s="298" t="n"/>
      <c r="AD170" s="300" t="n"/>
      <c r="AE170" s="298" t="n"/>
      <c r="AF170" s="562" t="n"/>
    </row>
    <row r="171">
      <c r="A171" s="212">
        <f>A170+1</f>
        <v/>
      </c>
      <c r="B171" s="214" t="inlineStr">
        <is>
          <t>CREDIT</t>
        </is>
      </c>
      <c r="C171" s="214" t="inlineStr">
        <is>
          <t>EXPEDITORS CAMBODIA LTD.</t>
        </is>
      </c>
      <c r="D171" s="215" t="inlineStr">
        <is>
          <t>L001-100045898</t>
        </is>
      </c>
      <c r="E171" s="290" t="inlineStr">
        <is>
          <t>TI-0306317-49</t>
        </is>
      </c>
      <c r="F171" s="279" t="n">
        <v>45688</v>
      </c>
      <c r="G171" s="216" t="n"/>
      <c r="H171" s="564" t="n"/>
      <c r="I171" s="564" t="n">
        <v>-24486</v>
      </c>
      <c r="J171" s="213" t="inlineStr">
        <is>
          <t>អនុញ្ញាត (បានប្រកាស)</t>
        </is>
      </c>
      <c r="K171" s="213" t="n"/>
      <c r="L171" s="563">
        <f>I171</f>
        <v/>
      </c>
      <c r="M171" s="536">
        <f>I171-L171</f>
        <v/>
      </c>
      <c r="N171" s="213" t="n"/>
      <c r="O171" s="218">
        <f>U171=E171</f>
        <v/>
      </c>
      <c r="P171" s="218">
        <f>MONTH(F171)-MONTH(T171)</f>
        <v/>
      </c>
      <c r="Q171" s="218">
        <f>$B$5=X171</f>
        <v/>
      </c>
      <c r="R171" s="218">
        <f>I171-AD171</f>
        <v/>
      </c>
      <c r="S171" s="298" t="n"/>
      <c r="T171" s="299" t="n"/>
      <c r="U171" s="298" t="n"/>
      <c r="V171" s="298" t="n"/>
      <c r="W171" s="298" t="n"/>
      <c r="X171" s="298" t="n"/>
      <c r="Y171" s="298" t="n"/>
      <c r="Z171" s="300" t="n"/>
      <c r="AA171" s="300" t="n"/>
      <c r="AB171" s="298" t="n"/>
      <c r="AC171" s="298" t="n"/>
      <c r="AD171" s="300" t="n"/>
      <c r="AE171" s="298" t="n"/>
      <c r="AF171" s="562" t="n"/>
    </row>
    <row r="172">
      <c r="A172" s="212">
        <f>A171+1</f>
        <v/>
      </c>
      <c r="B172" s="214" t="inlineStr">
        <is>
          <t>CREDIT</t>
        </is>
      </c>
      <c r="C172" s="214" t="inlineStr">
        <is>
          <t>EXPEDITORS CAMBODIA LTD.</t>
        </is>
      </c>
      <c r="D172" s="215" t="inlineStr">
        <is>
          <t>L001-100045898</t>
        </is>
      </c>
      <c r="E172" s="290" t="inlineStr">
        <is>
          <t>TI-0306317-48</t>
        </is>
      </c>
      <c r="F172" s="279" t="n">
        <v>45688</v>
      </c>
      <c r="G172" s="216" t="n"/>
      <c r="H172" s="564" t="n"/>
      <c r="I172" s="564" t="n">
        <v>-225895</v>
      </c>
      <c r="J172" s="213" t="inlineStr">
        <is>
          <t>អនុញ្ញាត (បានប្រកាស)</t>
        </is>
      </c>
      <c r="K172" s="213" t="n"/>
      <c r="L172" s="563">
        <f>I172</f>
        <v/>
      </c>
      <c r="M172" s="536">
        <f>I172-L172</f>
        <v/>
      </c>
      <c r="N172" s="213" t="n"/>
      <c r="O172" s="218">
        <f>U172=E172</f>
        <v/>
      </c>
      <c r="P172" s="218">
        <f>MONTH(F172)-MONTH(T172)</f>
        <v/>
      </c>
      <c r="Q172" s="218">
        <f>$B$5=X172</f>
        <v/>
      </c>
      <c r="R172" s="218">
        <f>I172-AD172</f>
        <v/>
      </c>
      <c r="S172" s="298" t="n"/>
      <c r="T172" s="299" t="n"/>
      <c r="U172" s="298" t="n"/>
      <c r="V172" s="298" t="n"/>
      <c r="W172" s="298" t="n"/>
      <c r="X172" s="298" t="n"/>
      <c r="Y172" s="298" t="n"/>
      <c r="Z172" s="300" t="n"/>
      <c r="AA172" s="300" t="n"/>
      <c r="AB172" s="298" t="n"/>
      <c r="AC172" s="298" t="n"/>
      <c r="AD172" s="300" t="n"/>
      <c r="AE172" s="298" t="n"/>
      <c r="AF172" s="562" t="n"/>
    </row>
    <row r="173">
      <c r="A173" s="212">
        <f>A172+1</f>
        <v/>
      </c>
      <c r="B173" s="214" t="inlineStr">
        <is>
          <t>CREDIT</t>
        </is>
      </c>
      <c r="C173" s="214" t="inlineStr">
        <is>
          <t>EXPEDITORS CAMBODIA LTD.</t>
        </is>
      </c>
      <c r="D173" s="215" t="inlineStr">
        <is>
          <t>L001-100045898</t>
        </is>
      </c>
      <c r="E173" s="290" t="inlineStr">
        <is>
          <t>TI-0306317-47</t>
        </is>
      </c>
      <c r="F173" s="279" t="n">
        <v>45688</v>
      </c>
      <c r="G173" s="216" t="n"/>
      <c r="H173" s="564" t="n"/>
      <c r="I173" s="564" t="n">
        <v>-54944</v>
      </c>
      <c r="J173" s="213" t="inlineStr">
        <is>
          <t>អនុញ្ញាត (បានប្រកាស)</t>
        </is>
      </c>
      <c r="K173" s="213" t="n"/>
      <c r="L173" s="563">
        <f>I173</f>
        <v/>
      </c>
      <c r="M173" s="536">
        <f>I173-L173</f>
        <v/>
      </c>
      <c r="N173" s="213" t="n"/>
      <c r="O173" s="218">
        <f>U173=E173</f>
        <v/>
      </c>
      <c r="P173" s="218">
        <f>MONTH(F173)-MONTH(T173)</f>
        <v/>
      </c>
      <c r="Q173" s="218">
        <f>$B$5=X173</f>
        <v/>
      </c>
      <c r="R173" s="218">
        <f>I173-AD173</f>
        <v/>
      </c>
      <c r="S173" s="298" t="n"/>
      <c r="T173" s="299" t="n"/>
      <c r="U173" s="298" t="n"/>
      <c r="V173" s="298" t="n"/>
      <c r="W173" s="298" t="n"/>
      <c r="X173" s="298" t="n"/>
      <c r="Y173" s="298" t="n"/>
      <c r="Z173" s="300" t="n"/>
      <c r="AA173" s="300" t="n"/>
      <c r="AB173" s="298" t="n"/>
      <c r="AC173" s="298" t="n"/>
      <c r="AD173" s="300" t="n"/>
      <c r="AE173" s="298" t="n"/>
      <c r="AF173" s="562" t="n"/>
    </row>
    <row r="174">
      <c r="A174" s="212">
        <f>A173+1</f>
        <v/>
      </c>
      <c r="B174" s="214" t="inlineStr">
        <is>
          <t>CREDIT</t>
        </is>
      </c>
      <c r="C174" s="214" t="inlineStr">
        <is>
          <t>EXPEDITORS CAMBODIA LTD.</t>
        </is>
      </c>
      <c r="D174" s="215" t="inlineStr">
        <is>
          <t>L001-100045898</t>
        </is>
      </c>
      <c r="E174" s="290" t="inlineStr">
        <is>
          <t>TI-0306317-46</t>
        </is>
      </c>
      <c r="F174" s="279" t="n">
        <v>45688</v>
      </c>
      <c r="G174" s="216" t="n"/>
      <c r="H174" s="564" t="n"/>
      <c r="I174" s="564" t="n">
        <v>-171571</v>
      </c>
      <c r="J174" s="213" t="inlineStr">
        <is>
          <t>អនុញ្ញាត (បានប្រកាស)</t>
        </is>
      </c>
      <c r="K174" s="213" t="n"/>
      <c r="L174" s="563">
        <f>I174</f>
        <v/>
      </c>
      <c r="M174" s="536">
        <f>I174-L174</f>
        <v/>
      </c>
      <c r="N174" s="213" t="n"/>
      <c r="O174" s="218">
        <f>U174=E174</f>
        <v/>
      </c>
      <c r="P174" s="218">
        <f>MONTH(F174)-MONTH(T174)</f>
        <v/>
      </c>
      <c r="Q174" s="218">
        <f>$B$5=X174</f>
        <v/>
      </c>
      <c r="R174" s="218">
        <f>I174-AD174</f>
        <v/>
      </c>
      <c r="S174" s="298" t="n"/>
      <c r="T174" s="299" t="n"/>
      <c r="U174" s="298" t="n"/>
      <c r="V174" s="298" t="n"/>
      <c r="W174" s="298" t="n"/>
      <c r="X174" s="298" t="n"/>
      <c r="Y174" s="298" t="n"/>
      <c r="Z174" s="300" t="n"/>
      <c r="AA174" s="300" t="n"/>
      <c r="AB174" s="298" t="n"/>
      <c r="AC174" s="298" t="n"/>
      <c r="AD174" s="300" t="n"/>
      <c r="AE174" s="298" t="n"/>
      <c r="AF174" s="562" t="n"/>
    </row>
    <row r="175">
      <c r="A175" s="212">
        <f>A174+1</f>
        <v/>
      </c>
      <c r="B175" s="214" t="inlineStr">
        <is>
          <t>CREDIT</t>
        </is>
      </c>
      <c r="C175" s="214" t="inlineStr">
        <is>
          <t>EXPEDITORS CAMBODIA LTD.</t>
        </is>
      </c>
      <c r="D175" s="215" t="inlineStr">
        <is>
          <t>L001-100045898</t>
        </is>
      </c>
      <c r="E175" s="290" t="inlineStr">
        <is>
          <t>TI-0306317-45</t>
        </is>
      </c>
      <c r="F175" s="279" t="n">
        <v>45688</v>
      </c>
      <c r="G175" s="216" t="n"/>
      <c r="H175" s="564" t="n"/>
      <c r="I175" s="564" t="n">
        <v>-24478</v>
      </c>
      <c r="J175" s="213" t="inlineStr">
        <is>
          <t>អនុញ្ញាត (បានប្រកាស)</t>
        </is>
      </c>
      <c r="K175" s="213" t="n"/>
      <c r="L175" s="563">
        <f>I175</f>
        <v/>
      </c>
      <c r="M175" s="536">
        <f>I175-L175</f>
        <v/>
      </c>
      <c r="N175" s="213" t="n"/>
      <c r="O175" s="218">
        <f>U175=E175</f>
        <v/>
      </c>
      <c r="P175" s="218">
        <f>MONTH(F175)-MONTH(T175)</f>
        <v/>
      </c>
      <c r="Q175" s="218">
        <f>$B$5=X175</f>
        <v/>
      </c>
      <c r="R175" s="218">
        <f>I175-AD175</f>
        <v/>
      </c>
      <c r="S175" s="298" t="n"/>
      <c r="T175" s="299" t="n"/>
      <c r="U175" s="298" t="n"/>
      <c r="V175" s="298" t="n"/>
      <c r="W175" s="298" t="n"/>
      <c r="X175" s="298" t="n"/>
      <c r="Y175" s="298" t="n"/>
      <c r="Z175" s="300" t="n"/>
      <c r="AA175" s="300" t="n"/>
      <c r="AB175" s="298" t="n"/>
      <c r="AC175" s="298" t="n"/>
      <c r="AD175" s="300" t="n"/>
      <c r="AE175" s="298" t="n"/>
      <c r="AF175" s="562" t="n"/>
    </row>
    <row r="176">
      <c r="A176" s="212">
        <f>A175+1</f>
        <v/>
      </c>
      <c r="B176" s="214" t="inlineStr">
        <is>
          <t>CREDIT</t>
        </is>
      </c>
      <c r="C176" s="214" t="inlineStr">
        <is>
          <t>EXPEDITORS CAMBODIA LTD.</t>
        </is>
      </c>
      <c r="D176" s="215" t="inlineStr">
        <is>
          <t>L001-100045898</t>
        </is>
      </c>
      <c r="E176" s="290" t="inlineStr">
        <is>
          <t>TI-0306317-44</t>
        </is>
      </c>
      <c r="F176" s="279" t="n">
        <v>45688</v>
      </c>
      <c r="G176" s="216" t="n"/>
      <c r="H176" s="564" t="n"/>
      <c r="I176" s="564" t="n">
        <v>-24486</v>
      </c>
      <c r="J176" s="213" t="inlineStr">
        <is>
          <t>អនុញ្ញាត (បានប្រកាស)</t>
        </is>
      </c>
      <c r="K176" s="213" t="n"/>
      <c r="L176" s="563">
        <f>I176</f>
        <v/>
      </c>
      <c r="M176" s="536">
        <f>I176-L176</f>
        <v/>
      </c>
      <c r="N176" s="213" t="n"/>
      <c r="O176" s="218">
        <f>U176=E176</f>
        <v/>
      </c>
      <c r="P176" s="218">
        <f>MONTH(F176)-MONTH(T176)</f>
        <v/>
      </c>
      <c r="Q176" s="218">
        <f>$B$5=X176</f>
        <v/>
      </c>
      <c r="R176" s="218">
        <f>I176-AD176</f>
        <v/>
      </c>
      <c r="S176" s="298" t="n"/>
      <c r="T176" s="299" t="n"/>
      <c r="U176" s="298" t="n"/>
      <c r="V176" s="298" t="n"/>
      <c r="W176" s="298" t="n"/>
      <c r="X176" s="298" t="n"/>
      <c r="Y176" s="298" t="n"/>
      <c r="Z176" s="300" t="n"/>
      <c r="AA176" s="300" t="n"/>
      <c r="AB176" s="298" t="n"/>
      <c r="AC176" s="298" t="n"/>
      <c r="AD176" s="300" t="n"/>
      <c r="AE176" s="298" t="n"/>
      <c r="AF176" s="562" t="n"/>
    </row>
    <row r="177">
      <c r="A177" s="212">
        <f>A176+1</f>
        <v/>
      </c>
      <c r="B177" s="214" t="inlineStr">
        <is>
          <t>CREDIT</t>
        </is>
      </c>
      <c r="C177" s="214" t="inlineStr">
        <is>
          <t>EXPEDITORS CAMBODIA LTD.</t>
        </is>
      </c>
      <c r="D177" s="215" t="inlineStr">
        <is>
          <t>L001-100045898</t>
        </is>
      </c>
      <c r="E177" s="290" t="inlineStr">
        <is>
          <t>TI-0306317-43</t>
        </is>
      </c>
      <c r="F177" s="279" t="n">
        <v>45688</v>
      </c>
      <c r="G177" s="216" t="n"/>
      <c r="H177" s="564" t="n"/>
      <c r="I177" s="564" t="n">
        <v>-189957</v>
      </c>
      <c r="J177" s="213" t="inlineStr">
        <is>
          <t>អនុញ្ញាត (បានប្រកាស)</t>
        </is>
      </c>
      <c r="K177" s="213" t="n"/>
      <c r="L177" s="563">
        <f>I177</f>
        <v/>
      </c>
      <c r="M177" s="536">
        <f>I177-L177</f>
        <v/>
      </c>
      <c r="N177" s="213" t="n"/>
      <c r="O177" s="218">
        <f>U177=E177</f>
        <v/>
      </c>
      <c r="P177" s="218">
        <f>MONTH(F177)-MONTH(T177)</f>
        <v/>
      </c>
      <c r="Q177" s="218">
        <f>$B$5=X177</f>
        <v/>
      </c>
      <c r="R177" s="218">
        <f>I177-AD177</f>
        <v/>
      </c>
      <c r="S177" s="298" t="n"/>
      <c r="T177" s="299" t="n"/>
      <c r="U177" s="298" t="n"/>
      <c r="V177" s="298" t="n"/>
      <c r="W177" s="298" t="n"/>
      <c r="X177" s="298" t="n"/>
      <c r="Y177" s="298" t="n"/>
      <c r="Z177" s="300" t="n"/>
      <c r="AA177" s="300" t="n"/>
      <c r="AB177" s="298" t="n"/>
      <c r="AC177" s="298" t="n"/>
      <c r="AD177" s="300" t="n"/>
      <c r="AE177" s="298" t="n"/>
      <c r="AF177" s="562" t="n"/>
    </row>
    <row r="178">
      <c r="A178" s="212">
        <f>A177+1</f>
        <v/>
      </c>
      <c r="B178" s="214" t="inlineStr">
        <is>
          <t>CREDIT</t>
        </is>
      </c>
      <c r="C178" s="214" t="inlineStr">
        <is>
          <t>EXPEDITORS CAMBODIA LTD.</t>
        </is>
      </c>
      <c r="D178" s="215" t="inlineStr">
        <is>
          <t>L001-100045898</t>
        </is>
      </c>
      <c r="E178" s="290" t="inlineStr">
        <is>
          <t>TI-0306317-42</t>
        </is>
      </c>
      <c r="F178" s="279" t="n">
        <v>45688</v>
      </c>
      <c r="G178" s="216" t="n"/>
      <c r="H178" s="564" t="n"/>
      <c r="I178" s="564" t="n">
        <v>-116414</v>
      </c>
      <c r="J178" s="213" t="inlineStr">
        <is>
          <t>អនុញ្ញាត (បានប្រកាស)</t>
        </is>
      </c>
      <c r="K178" s="213" t="n"/>
      <c r="L178" s="563">
        <f>I178</f>
        <v/>
      </c>
      <c r="M178" s="536">
        <f>I178-L178</f>
        <v/>
      </c>
      <c r="N178" s="213" t="n"/>
      <c r="O178" s="218">
        <f>U178=E178</f>
        <v/>
      </c>
      <c r="P178" s="218">
        <f>MONTH(F178)-MONTH(T178)</f>
        <v/>
      </c>
      <c r="Q178" s="218">
        <f>$B$5=X178</f>
        <v/>
      </c>
      <c r="R178" s="218">
        <f>I178-AD178</f>
        <v/>
      </c>
      <c r="S178" s="298" t="n"/>
      <c r="T178" s="299" t="n"/>
      <c r="U178" s="298" t="n"/>
      <c r="V178" s="298" t="n"/>
      <c r="W178" s="298" t="n"/>
      <c r="X178" s="298" t="n"/>
      <c r="Y178" s="298" t="n"/>
      <c r="Z178" s="300" t="n"/>
      <c r="AA178" s="300" t="n"/>
      <c r="AB178" s="298" t="n"/>
      <c r="AC178" s="298" t="n"/>
      <c r="AD178" s="300" t="n"/>
      <c r="AE178" s="298" t="n"/>
      <c r="AF178" s="562" t="n"/>
    </row>
    <row r="179">
      <c r="A179" s="212">
        <f>A178+1</f>
        <v/>
      </c>
      <c r="B179" s="214" t="inlineStr">
        <is>
          <t>CREDIT</t>
        </is>
      </c>
      <c r="C179" s="214" t="inlineStr">
        <is>
          <t>EXPEDITORS CAMBODIA LTD.</t>
        </is>
      </c>
      <c r="D179" s="215" t="inlineStr">
        <is>
          <t>L001-100045898</t>
        </is>
      </c>
      <c r="E179" s="290" t="inlineStr">
        <is>
          <t>TI-0306317-41</t>
        </is>
      </c>
      <c r="F179" s="279" t="n">
        <v>45688</v>
      </c>
      <c r="G179" s="216" t="n"/>
      <c r="H179" s="564" t="n"/>
      <c r="I179" s="564" t="n">
        <v>-189956.91</v>
      </c>
      <c r="J179" s="213" t="inlineStr">
        <is>
          <t>អនុញ្ញាត (បានប្រកាស)</t>
        </is>
      </c>
      <c r="K179" s="213" t="n"/>
      <c r="L179" s="563">
        <f>I179</f>
        <v/>
      </c>
      <c r="M179" s="536">
        <f>I179-L179</f>
        <v/>
      </c>
      <c r="N179" s="213" t="n"/>
      <c r="O179" s="218">
        <f>U179=E179</f>
        <v/>
      </c>
      <c r="P179" s="218">
        <f>MONTH(F179)-MONTH(T179)</f>
        <v/>
      </c>
      <c r="Q179" s="218">
        <f>$B$5=X179</f>
        <v/>
      </c>
      <c r="R179" s="218">
        <f>I179-AD179</f>
        <v/>
      </c>
      <c r="S179" s="298" t="n"/>
      <c r="T179" s="299" t="n"/>
      <c r="U179" s="298" t="n"/>
      <c r="V179" s="298" t="n"/>
      <c r="W179" s="298" t="n"/>
      <c r="X179" s="298" t="n"/>
      <c r="Y179" s="298" t="n"/>
      <c r="Z179" s="300" t="n"/>
      <c r="AA179" s="300" t="n"/>
      <c r="AB179" s="298" t="n"/>
      <c r="AC179" s="298" t="n"/>
      <c r="AD179" s="300" t="n"/>
      <c r="AE179" s="298" t="n"/>
      <c r="AF179" s="562" t="n"/>
    </row>
    <row r="180">
      <c r="A180" s="212">
        <f>A179+1</f>
        <v/>
      </c>
      <c r="B180" s="214" t="inlineStr">
        <is>
          <t>CREDIT</t>
        </is>
      </c>
      <c r="C180" s="214" t="inlineStr">
        <is>
          <t>EXPEDITORS CAMBODIA LTD.</t>
        </is>
      </c>
      <c r="D180" s="215" t="inlineStr">
        <is>
          <t>L001-100045898</t>
        </is>
      </c>
      <c r="E180" s="290" t="inlineStr">
        <is>
          <t>TI-0306317-40</t>
        </is>
      </c>
      <c r="F180" s="279" t="n">
        <v>45688</v>
      </c>
      <c r="G180" s="216" t="n"/>
      <c r="H180" s="564" t="n"/>
      <c r="I180" s="564" t="n">
        <v>-189973</v>
      </c>
      <c r="J180" s="213" t="inlineStr">
        <is>
          <t>អនុញ្ញាត (បានប្រកាស)</t>
        </is>
      </c>
      <c r="K180" s="213" t="n"/>
      <c r="L180" s="563">
        <f>I180</f>
        <v/>
      </c>
      <c r="M180" s="536">
        <f>I180-L180</f>
        <v/>
      </c>
      <c r="N180" s="213" t="n"/>
      <c r="O180" s="218">
        <f>U180=E180</f>
        <v/>
      </c>
      <c r="P180" s="218">
        <f>MONTH(F180)-MONTH(T180)</f>
        <v/>
      </c>
      <c r="Q180" s="218">
        <f>$B$5=X180</f>
        <v/>
      </c>
      <c r="R180" s="218">
        <f>I180-AD180</f>
        <v/>
      </c>
      <c r="S180" s="298" t="n"/>
      <c r="T180" s="299" t="n"/>
      <c r="U180" s="298" t="n"/>
      <c r="V180" s="298" t="n"/>
      <c r="W180" s="298" t="n"/>
      <c r="X180" s="298" t="n"/>
      <c r="Y180" s="298" t="n"/>
      <c r="Z180" s="300" t="n"/>
      <c r="AA180" s="300" t="n"/>
      <c r="AB180" s="298" t="n"/>
      <c r="AC180" s="298" t="n"/>
      <c r="AD180" s="300" t="n"/>
      <c r="AE180" s="298" t="n"/>
      <c r="AF180" s="562" t="n"/>
    </row>
    <row r="181">
      <c r="A181" s="212">
        <f>A180+1</f>
        <v/>
      </c>
      <c r="B181" s="214" t="inlineStr">
        <is>
          <t>CREDIT</t>
        </is>
      </c>
      <c r="C181" s="214" t="inlineStr">
        <is>
          <t>EXPEDITORS CAMBODIA LTD.</t>
        </is>
      </c>
      <c r="D181" s="215" t="inlineStr">
        <is>
          <t>L001-100045898</t>
        </is>
      </c>
      <c r="E181" s="290" t="inlineStr">
        <is>
          <t>TI-0306317-39</t>
        </is>
      </c>
      <c r="F181" s="279" t="n">
        <v>45688</v>
      </c>
      <c r="G181" s="216" t="n"/>
      <c r="H181" s="564" t="n"/>
      <c r="I181" s="564" t="n">
        <v>-62167</v>
      </c>
      <c r="J181" s="213" t="inlineStr">
        <is>
          <t>អនុញ្ញាត (បានប្រកាស)</t>
        </is>
      </c>
      <c r="K181" s="213" t="n"/>
      <c r="L181" s="563">
        <f>I181</f>
        <v/>
      </c>
      <c r="M181" s="536">
        <f>I181-L181</f>
        <v/>
      </c>
      <c r="N181" s="213" t="n"/>
      <c r="O181" s="218">
        <f>U181=E181</f>
        <v/>
      </c>
      <c r="P181" s="218">
        <f>MONTH(F181)-MONTH(T181)</f>
        <v/>
      </c>
      <c r="Q181" s="218">
        <f>$B$5=X181</f>
        <v/>
      </c>
      <c r="R181" s="218">
        <f>I181-AD181</f>
        <v/>
      </c>
      <c r="S181" s="298" t="n"/>
      <c r="T181" s="299" t="n"/>
      <c r="U181" s="298" t="n"/>
      <c r="V181" s="298" t="n"/>
      <c r="W181" s="298" t="n"/>
      <c r="X181" s="298" t="n"/>
      <c r="Y181" s="298" t="n"/>
      <c r="Z181" s="300" t="n"/>
      <c r="AA181" s="300" t="n"/>
      <c r="AB181" s="298" t="n"/>
      <c r="AC181" s="298" t="n"/>
      <c r="AD181" s="300" t="n"/>
      <c r="AE181" s="298" t="n"/>
      <c r="AF181" s="562" t="n"/>
    </row>
    <row r="182">
      <c r="A182" s="212">
        <f>A181+1</f>
        <v/>
      </c>
      <c r="B182" s="214" t="inlineStr">
        <is>
          <t>CREDIT</t>
        </is>
      </c>
      <c r="C182" s="214" t="inlineStr">
        <is>
          <t>EXPEDITORS CAMBODIA LTD.</t>
        </is>
      </c>
      <c r="D182" s="215" t="inlineStr">
        <is>
          <t>L001-100045898</t>
        </is>
      </c>
      <c r="E182" s="290" t="inlineStr">
        <is>
          <t>TI-0306317-38</t>
        </is>
      </c>
      <c r="F182" s="279" t="n">
        <v>45688</v>
      </c>
      <c r="G182" s="216" t="n"/>
      <c r="H182" s="564" t="n"/>
      <c r="I182" s="564" t="n">
        <v>-192834</v>
      </c>
      <c r="J182" s="213" t="inlineStr">
        <is>
          <t>អនុញ្ញាត (បានប្រកាស)</t>
        </is>
      </c>
      <c r="K182" s="213" t="n"/>
      <c r="L182" s="563">
        <f>I182</f>
        <v/>
      </c>
      <c r="M182" s="536">
        <f>I182-L182</f>
        <v/>
      </c>
      <c r="N182" s="213" t="n"/>
      <c r="O182" s="218">
        <f>U182=E182</f>
        <v/>
      </c>
      <c r="P182" s="218">
        <f>MONTH(F182)-MONTH(T182)</f>
        <v/>
      </c>
      <c r="Q182" s="218">
        <f>$B$5=X182</f>
        <v/>
      </c>
      <c r="R182" s="218">
        <f>I182-AD182</f>
        <v/>
      </c>
      <c r="S182" s="298" t="n"/>
      <c r="T182" s="299" t="n"/>
      <c r="U182" s="298" t="n"/>
      <c r="V182" s="298" t="n"/>
      <c r="W182" s="298" t="n"/>
      <c r="X182" s="298" t="n"/>
      <c r="Y182" s="298" t="n"/>
      <c r="Z182" s="300" t="n"/>
      <c r="AA182" s="300" t="n"/>
      <c r="AB182" s="298" t="n"/>
      <c r="AC182" s="298" t="n"/>
      <c r="AD182" s="300" t="n"/>
      <c r="AE182" s="298" t="n"/>
      <c r="AF182" s="562" t="n"/>
    </row>
    <row r="183">
      <c r="A183" s="212">
        <f>A182+1</f>
        <v/>
      </c>
      <c r="B183" s="214" t="inlineStr">
        <is>
          <t>CREDIT</t>
        </is>
      </c>
      <c r="C183" s="214" t="inlineStr">
        <is>
          <t>EXPEDITORS CAMBODIA LTD.</t>
        </is>
      </c>
      <c r="D183" s="215" t="inlineStr">
        <is>
          <t>L001-100045898</t>
        </is>
      </c>
      <c r="E183" s="290" t="inlineStr">
        <is>
          <t>TI-0306317-37</t>
        </is>
      </c>
      <c r="F183" s="279" t="n">
        <v>45688</v>
      </c>
      <c r="G183" s="216" t="n"/>
      <c r="H183" s="564" t="n"/>
      <c r="I183" s="564" t="n">
        <v>-99501</v>
      </c>
      <c r="J183" s="213" t="inlineStr">
        <is>
          <t>អនុញ្ញាត (បានប្រកាស)</t>
        </is>
      </c>
      <c r="K183" s="213" t="n"/>
      <c r="L183" s="563">
        <f>I183</f>
        <v/>
      </c>
      <c r="M183" s="536">
        <f>I183-L183</f>
        <v/>
      </c>
      <c r="N183" s="213" t="n"/>
      <c r="O183" s="218">
        <f>U183=E183</f>
        <v/>
      </c>
      <c r="P183" s="218">
        <f>MONTH(F183)-MONTH(T183)</f>
        <v/>
      </c>
      <c r="Q183" s="218">
        <f>$B$5=X183</f>
        <v/>
      </c>
      <c r="R183" s="218">
        <f>I183-AD183</f>
        <v/>
      </c>
      <c r="S183" s="298" t="n"/>
      <c r="T183" s="299" t="n"/>
      <c r="U183" s="298" t="n"/>
      <c r="V183" s="298" t="n"/>
      <c r="W183" s="298" t="n"/>
      <c r="X183" s="298" t="n"/>
      <c r="Y183" s="298" t="n"/>
      <c r="Z183" s="300" t="n"/>
      <c r="AA183" s="300" t="n"/>
      <c r="AB183" s="298" t="n"/>
      <c r="AC183" s="298" t="n"/>
      <c r="AD183" s="300" t="n"/>
      <c r="AE183" s="298" t="n"/>
      <c r="AF183" s="562" t="n"/>
    </row>
    <row r="184">
      <c r="A184" s="212">
        <f>A183+1</f>
        <v/>
      </c>
      <c r="B184" s="214" t="inlineStr">
        <is>
          <t>CREDIT</t>
        </is>
      </c>
      <c r="C184" s="214" t="inlineStr">
        <is>
          <t>EXPEDITORS CAMBODIA LTD.</t>
        </is>
      </c>
      <c r="D184" s="215" t="inlineStr">
        <is>
          <t>L001-100045898</t>
        </is>
      </c>
      <c r="E184" s="290" t="inlineStr">
        <is>
          <t>TI-0306317-36</t>
        </is>
      </c>
      <c r="F184" s="279" t="n">
        <v>45688</v>
      </c>
      <c r="G184" s="216" t="n"/>
      <c r="H184" s="564" t="n"/>
      <c r="I184" s="564" t="n">
        <v>-62167</v>
      </c>
      <c r="J184" s="213" t="inlineStr">
        <is>
          <t>អនុញ្ញាត (បានប្រកាស)</t>
        </is>
      </c>
      <c r="K184" s="213" t="n"/>
      <c r="L184" s="563">
        <f>I184</f>
        <v/>
      </c>
      <c r="M184" s="536">
        <f>I184-L184</f>
        <v/>
      </c>
      <c r="N184" s="213" t="n"/>
      <c r="O184" s="218">
        <f>U184=E184</f>
        <v/>
      </c>
      <c r="P184" s="218">
        <f>MONTH(F184)-MONTH(T184)</f>
        <v/>
      </c>
      <c r="Q184" s="218">
        <f>$B$5=X184</f>
        <v/>
      </c>
      <c r="R184" s="218">
        <f>I184-AD184</f>
        <v/>
      </c>
      <c r="S184" s="298" t="n"/>
      <c r="T184" s="299" t="n"/>
      <c r="U184" s="298" t="n"/>
      <c r="V184" s="298" t="n"/>
      <c r="W184" s="298" t="n"/>
      <c r="X184" s="298" t="n"/>
      <c r="Y184" s="298" t="n"/>
      <c r="Z184" s="300" t="n"/>
      <c r="AA184" s="300" t="n"/>
      <c r="AB184" s="298" t="n"/>
      <c r="AC184" s="298" t="n"/>
      <c r="AD184" s="300" t="n"/>
      <c r="AE184" s="298" t="n"/>
      <c r="AF184" s="562" t="n"/>
    </row>
    <row r="185">
      <c r="A185" s="212">
        <f>A184+1</f>
        <v/>
      </c>
      <c r="B185" s="214" t="inlineStr">
        <is>
          <t>CREDIT</t>
        </is>
      </c>
      <c r="C185" s="214" t="inlineStr">
        <is>
          <t>EXPEDITORS CAMBODIA LTD.</t>
        </is>
      </c>
      <c r="D185" s="215" t="inlineStr">
        <is>
          <t>L001-100045898</t>
        </is>
      </c>
      <c r="E185" s="290" t="inlineStr">
        <is>
          <t>TI-0306317-35</t>
        </is>
      </c>
      <c r="F185" s="279" t="n">
        <v>45688</v>
      </c>
      <c r="G185" s="216" t="n"/>
      <c r="H185" s="564" t="n"/>
      <c r="I185" s="564" t="n">
        <v>-192834</v>
      </c>
      <c r="J185" s="213" t="inlineStr">
        <is>
          <t>អនុញ្ញាត (បានប្រកាស)</t>
        </is>
      </c>
      <c r="K185" s="213" t="n"/>
      <c r="L185" s="563">
        <f>I185</f>
        <v/>
      </c>
      <c r="M185" s="536">
        <f>I185-L185</f>
        <v/>
      </c>
      <c r="N185" s="213" t="n"/>
      <c r="O185" s="218">
        <f>U185=E185</f>
        <v/>
      </c>
      <c r="P185" s="218">
        <f>MONTH(F185)-MONTH(T185)</f>
        <v/>
      </c>
      <c r="Q185" s="218">
        <f>$B$5=X185</f>
        <v/>
      </c>
      <c r="R185" s="218">
        <f>I185-AD185</f>
        <v/>
      </c>
      <c r="S185" s="298" t="n"/>
      <c r="T185" s="299" t="n"/>
      <c r="U185" s="298" t="n"/>
      <c r="V185" s="298" t="n"/>
      <c r="W185" s="298" t="n"/>
      <c r="X185" s="298" t="n"/>
      <c r="Y185" s="298" t="n"/>
      <c r="Z185" s="300" t="n"/>
      <c r="AA185" s="300" t="n"/>
      <c r="AB185" s="298" t="n"/>
      <c r="AC185" s="298" t="n"/>
      <c r="AD185" s="300" t="n"/>
      <c r="AE185" s="298" t="n"/>
      <c r="AF185" s="562" t="n"/>
    </row>
    <row r="186">
      <c r="A186" s="212">
        <f>A185+1</f>
        <v/>
      </c>
      <c r="B186" s="214" t="inlineStr">
        <is>
          <t>CREDIT</t>
        </is>
      </c>
      <c r="C186" s="214" t="inlineStr">
        <is>
          <t>EXPEDITORS CAMBODIA LTD.</t>
        </is>
      </c>
      <c r="D186" s="215" t="inlineStr">
        <is>
          <t>L001-100045898</t>
        </is>
      </c>
      <c r="E186" s="290" t="inlineStr">
        <is>
          <t>TI-0306317-34</t>
        </is>
      </c>
      <c r="F186" s="279" t="n">
        <v>45688</v>
      </c>
      <c r="G186" s="216" t="n"/>
      <c r="H186" s="564" t="n"/>
      <c r="I186" s="564" t="n">
        <v>-24836</v>
      </c>
      <c r="J186" s="213" t="inlineStr">
        <is>
          <t>អនុញ្ញាត (បានប្រកាស)</t>
        </is>
      </c>
      <c r="K186" s="213" t="n"/>
      <c r="L186" s="563">
        <f>I186</f>
        <v/>
      </c>
      <c r="M186" s="536">
        <f>I186-L186</f>
        <v/>
      </c>
      <c r="N186" s="213" t="n"/>
      <c r="O186" s="218">
        <f>U186=E186</f>
        <v/>
      </c>
      <c r="P186" s="218">
        <f>MONTH(F186)-MONTH(T186)</f>
        <v/>
      </c>
      <c r="Q186" s="218">
        <f>$B$5=X186</f>
        <v/>
      </c>
      <c r="R186" s="218">
        <f>I186-AD186</f>
        <v/>
      </c>
      <c r="S186" s="298" t="n"/>
      <c r="T186" s="299" t="n"/>
      <c r="U186" s="298" t="n"/>
      <c r="V186" s="298" t="n"/>
      <c r="W186" s="298" t="n"/>
      <c r="X186" s="298" t="n"/>
      <c r="Y186" s="298" t="n"/>
      <c r="Z186" s="300" t="n"/>
      <c r="AA186" s="300" t="n"/>
      <c r="AB186" s="298" t="n"/>
      <c r="AC186" s="298" t="n"/>
      <c r="AD186" s="300" t="n"/>
      <c r="AE186" s="298" t="n"/>
      <c r="AF186" s="562" t="n"/>
    </row>
    <row r="187">
      <c r="A187" s="212">
        <f>A186+1</f>
        <v/>
      </c>
      <c r="B187" s="214" t="inlineStr">
        <is>
          <t>CREDIT</t>
        </is>
      </c>
      <c r="C187" s="214" t="inlineStr">
        <is>
          <t>EXPEDITORS CAMBODIA LTD.</t>
        </is>
      </c>
      <c r="D187" s="215" t="inlineStr">
        <is>
          <t>L001-100045898</t>
        </is>
      </c>
      <c r="E187" s="290" t="inlineStr">
        <is>
          <t>TI-0306317-33</t>
        </is>
      </c>
      <c r="F187" s="279" t="n">
        <v>45688</v>
      </c>
      <c r="G187" s="216" t="n"/>
      <c r="H187" s="564" t="n"/>
      <c r="I187" s="564" t="n">
        <v>-24836</v>
      </c>
      <c r="J187" s="213" t="inlineStr">
        <is>
          <t>អនុញ្ញាត (បានប្រកាស)</t>
        </is>
      </c>
      <c r="K187" s="213" t="n"/>
      <c r="L187" s="563">
        <f>I187</f>
        <v/>
      </c>
      <c r="M187" s="536">
        <f>I187-L187</f>
        <v/>
      </c>
      <c r="N187" s="213" t="n"/>
      <c r="O187" s="218">
        <f>U187=E187</f>
        <v/>
      </c>
      <c r="P187" s="218">
        <f>MONTH(F187)-MONTH(T187)</f>
        <v/>
      </c>
      <c r="Q187" s="218">
        <f>$B$5=X187</f>
        <v/>
      </c>
      <c r="R187" s="218">
        <f>I187-AD187</f>
        <v/>
      </c>
      <c r="S187" s="298" t="n"/>
      <c r="T187" s="299" t="n"/>
      <c r="U187" s="298" t="n"/>
      <c r="V187" s="298" t="n"/>
      <c r="W187" s="298" t="n"/>
      <c r="X187" s="298" t="n"/>
      <c r="Y187" s="298" t="n"/>
      <c r="Z187" s="300" t="n"/>
      <c r="AA187" s="300" t="n"/>
      <c r="AB187" s="298" t="n"/>
      <c r="AC187" s="298" t="n"/>
      <c r="AD187" s="300" t="n"/>
      <c r="AE187" s="298" t="n"/>
      <c r="AF187" s="562" t="n"/>
    </row>
    <row r="188">
      <c r="A188" s="212">
        <f>A187+1</f>
        <v/>
      </c>
      <c r="B188" s="214" t="inlineStr">
        <is>
          <t>CREDIT</t>
        </is>
      </c>
      <c r="C188" s="214" t="inlineStr">
        <is>
          <t>EXPEDITORS CAMBODIA LTD.</t>
        </is>
      </c>
      <c r="D188" s="215" t="inlineStr">
        <is>
          <t>L001-100045898</t>
        </is>
      </c>
      <c r="E188" s="290" t="inlineStr">
        <is>
          <t>TI-0306317-32</t>
        </is>
      </c>
      <c r="F188" s="279" t="n">
        <v>45688</v>
      </c>
      <c r="G188" s="216" t="n"/>
      <c r="H188" s="564" t="n"/>
      <c r="I188" s="564" t="n">
        <v>-30872</v>
      </c>
      <c r="J188" s="213" t="inlineStr">
        <is>
          <t>អនុញ្ញាត (បានប្រកាស)</t>
        </is>
      </c>
      <c r="K188" s="213" t="n"/>
      <c r="L188" s="563">
        <f>I188</f>
        <v/>
      </c>
      <c r="M188" s="536">
        <f>I188-L188</f>
        <v/>
      </c>
      <c r="N188" s="213" t="n"/>
      <c r="O188" s="218">
        <f>U188=E188</f>
        <v/>
      </c>
      <c r="P188" s="218">
        <f>MONTH(F188)-MONTH(T188)</f>
        <v/>
      </c>
      <c r="Q188" s="218">
        <f>$B$5=X188</f>
        <v/>
      </c>
      <c r="R188" s="218">
        <f>I188-AD188</f>
        <v/>
      </c>
      <c r="S188" s="298" t="inlineStr">
        <is>
          <t>Wrong invoice number</t>
        </is>
      </c>
      <c r="T188" s="299" t="n"/>
      <c r="U188" s="298" t="n"/>
      <c r="V188" s="298" t="n"/>
      <c r="W188" s="298" t="n"/>
      <c r="X188" s="298" t="n"/>
      <c r="Y188" s="298" t="n"/>
      <c r="Z188" s="300" t="n"/>
      <c r="AA188" s="300" t="n"/>
      <c r="AB188" s="298" t="n"/>
      <c r="AC188" s="298" t="n"/>
      <c r="AD188" s="300" t="n"/>
      <c r="AE188" s="298" t="n"/>
      <c r="AF188" s="562" t="n"/>
    </row>
    <row r="189">
      <c r="A189" s="212">
        <f>A188+1</f>
        <v/>
      </c>
      <c r="B189" s="214" t="inlineStr">
        <is>
          <t>CREDIT</t>
        </is>
      </c>
      <c r="C189" s="214" t="inlineStr">
        <is>
          <t>EXPEDITORS CAMBODIA LTD.</t>
        </is>
      </c>
      <c r="D189" s="215" t="inlineStr">
        <is>
          <t>L001-100045898</t>
        </is>
      </c>
      <c r="E189" s="290" t="inlineStr">
        <is>
          <t>TI-0306317-31</t>
        </is>
      </c>
      <c r="F189" s="279" t="n">
        <v>45688</v>
      </c>
      <c r="G189" s="216" t="n"/>
      <c r="H189" s="564" t="n"/>
      <c r="I189" s="564" t="n">
        <v>-62167</v>
      </c>
      <c r="J189" s="213" t="inlineStr">
        <is>
          <t>អនុញ្ញាត (បានប្រកាស)</t>
        </is>
      </c>
      <c r="K189" s="213" t="n"/>
      <c r="L189" s="563">
        <f>I189</f>
        <v/>
      </c>
      <c r="M189" s="536">
        <f>I189-L189</f>
        <v/>
      </c>
      <c r="N189" s="213" t="n"/>
      <c r="O189" s="218">
        <f>U189=E189</f>
        <v/>
      </c>
      <c r="P189" s="218">
        <f>MONTH(F189)-MONTH(T189)</f>
        <v/>
      </c>
      <c r="Q189" s="218">
        <f>$B$5=X189</f>
        <v/>
      </c>
      <c r="R189" s="218">
        <f>I189-AD189</f>
        <v/>
      </c>
      <c r="S189" s="298" t="n"/>
      <c r="T189" s="299" t="n"/>
      <c r="U189" s="298" t="n"/>
      <c r="V189" s="298" t="n"/>
      <c r="W189" s="298" t="n"/>
      <c r="X189" s="298" t="n"/>
      <c r="Y189" s="298" t="n"/>
      <c r="Z189" s="300" t="n"/>
      <c r="AA189" s="300" t="n"/>
      <c r="AB189" s="298" t="n"/>
      <c r="AC189" s="298" t="n"/>
      <c r="AD189" s="300" t="n"/>
      <c r="AE189" s="298" t="n"/>
      <c r="AF189" s="562" t="n"/>
    </row>
    <row r="190">
      <c r="A190" s="212">
        <f>A189+1</f>
        <v/>
      </c>
      <c r="B190" s="214" t="inlineStr">
        <is>
          <t>CREDIT</t>
        </is>
      </c>
      <c r="C190" s="214" t="inlineStr">
        <is>
          <t>EXPEDITORS CAMBODIA LTD.</t>
        </is>
      </c>
      <c r="D190" s="215" t="inlineStr">
        <is>
          <t>L001-100045898</t>
        </is>
      </c>
      <c r="E190" s="290" t="inlineStr">
        <is>
          <t>TI-0306317-30</t>
        </is>
      </c>
      <c r="F190" s="279" t="n">
        <v>45688</v>
      </c>
      <c r="G190" s="216" t="n"/>
      <c r="H190" s="564" t="n"/>
      <c r="I190" s="564" t="n">
        <v>-24836</v>
      </c>
      <c r="J190" s="213" t="inlineStr">
        <is>
          <t>អនុញ្ញាត (បានប្រកាស)</t>
        </is>
      </c>
      <c r="K190" s="213" t="n"/>
      <c r="L190" s="563">
        <f>I190</f>
        <v/>
      </c>
      <c r="M190" s="536">
        <f>I190-L190</f>
        <v/>
      </c>
      <c r="N190" s="213" t="n"/>
      <c r="O190" s="218">
        <f>U190=E190</f>
        <v/>
      </c>
      <c r="P190" s="218">
        <f>MONTH(F190)-MONTH(T190)</f>
        <v/>
      </c>
      <c r="Q190" s="218">
        <f>$B$5=X190</f>
        <v/>
      </c>
      <c r="R190" s="218">
        <f>I190-AD190</f>
        <v/>
      </c>
      <c r="S190" s="298" t="n"/>
      <c r="T190" s="299" t="n"/>
      <c r="U190" s="298" t="n"/>
      <c r="V190" s="298" t="n"/>
      <c r="W190" s="298" t="n"/>
      <c r="X190" s="298" t="n"/>
      <c r="Y190" s="298" t="n"/>
      <c r="Z190" s="300" t="n"/>
      <c r="AA190" s="300" t="n"/>
      <c r="AB190" s="298" t="n"/>
      <c r="AC190" s="298" t="n"/>
      <c r="AD190" s="300" t="n"/>
      <c r="AE190" s="298" t="n"/>
      <c r="AF190" s="562" t="n"/>
    </row>
    <row r="191">
      <c r="A191" s="212">
        <f>A190+1</f>
        <v/>
      </c>
      <c r="B191" s="214" t="inlineStr">
        <is>
          <t>CREDIT</t>
        </is>
      </c>
      <c r="C191" s="214" t="inlineStr">
        <is>
          <t>EXPEDITORS CAMBODIA LTD.</t>
        </is>
      </c>
      <c r="D191" s="215" t="inlineStr">
        <is>
          <t>L001-100045898</t>
        </is>
      </c>
      <c r="E191" s="290" t="inlineStr">
        <is>
          <t>TI-0306317-29</t>
        </is>
      </c>
      <c r="F191" s="279" t="n">
        <v>45688</v>
      </c>
      <c r="G191" s="216" t="n"/>
      <c r="H191" s="564" t="n"/>
      <c r="I191" s="564" t="n">
        <v>-253194</v>
      </c>
      <c r="J191" s="213" t="inlineStr">
        <is>
          <t>អនុញ្ញាត (បានប្រកាស)</t>
        </is>
      </c>
      <c r="K191" s="213" t="n"/>
      <c r="L191" s="563">
        <f>I191</f>
        <v/>
      </c>
      <c r="M191" s="536">
        <f>I191-L191</f>
        <v/>
      </c>
      <c r="N191" s="213" t="n"/>
      <c r="O191" s="218">
        <f>U191=E191</f>
        <v/>
      </c>
      <c r="P191" s="218">
        <f>MONTH(F191)-MONTH(T191)</f>
        <v/>
      </c>
      <c r="Q191" s="218">
        <f>$B$5=X191</f>
        <v/>
      </c>
      <c r="R191" s="218">
        <f>I191-AD191</f>
        <v/>
      </c>
      <c r="S191" s="298" t="n"/>
      <c r="T191" s="299" t="n"/>
      <c r="U191" s="298" t="n"/>
      <c r="V191" s="298" t="n"/>
      <c r="W191" s="298" t="n"/>
      <c r="X191" s="298" t="n"/>
      <c r="Y191" s="298" t="n"/>
      <c r="Z191" s="300" t="n"/>
      <c r="AA191" s="300" t="n"/>
      <c r="AB191" s="298" t="n"/>
      <c r="AC191" s="298" t="n"/>
      <c r="AD191" s="300" t="n"/>
      <c r="AE191" s="298" t="n"/>
      <c r="AF191" s="562" t="n"/>
    </row>
    <row r="192">
      <c r="A192" s="212">
        <f>A191+1</f>
        <v/>
      </c>
      <c r="B192" s="214" t="inlineStr">
        <is>
          <t>CREDIT</t>
        </is>
      </c>
      <c r="C192" s="214" t="inlineStr">
        <is>
          <t>EXPEDITORS CAMBODIA LTD.</t>
        </is>
      </c>
      <c r="D192" s="215" t="inlineStr">
        <is>
          <t>L001-100045898</t>
        </is>
      </c>
      <c r="E192" s="290" t="inlineStr">
        <is>
          <t>TI-0306317-28</t>
        </is>
      </c>
      <c r="F192" s="279" t="n">
        <v>45688</v>
      </c>
      <c r="G192" s="216" t="n"/>
      <c r="H192" s="564" t="n"/>
      <c r="I192" s="564" t="n">
        <v>-37319</v>
      </c>
      <c r="J192" s="213" t="inlineStr">
        <is>
          <t>អនុញ្ញាត (បានប្រកាស)</t>
        </is>
      </c>
      <c r="K192" s="213" t="n"/>
      <c r="L192" s="563">
        <f>I192</f>
        <v/>
      </c>
      <c r="M192" s="536">
        <f>I192-L192</f>
        <v/>
      </c>
      <c r="N192" s="213" t="n"/>
      <c r="O192" s="218">
        <f>U192=E192</f>
        <v/>
      </c>
      <c r="P192" s="218">
        <f>MONTH(F192)-MONTH(T192)</f>
        <v/>
      </c>
      <c r="Q192" s="218">
        <f>$B$5=X192</f>
        <v/>
      </c>
      <c r="R192" s="218">
        <f>I192-AD192</f>
        <v/>
      </c>
      <c r="S192" s="298" t="n"/>
      <c r="T192" s="299" t="n"/>
      <c r="U192" s="298" t="n"/>
      <c r="V192" s="298" t="n"/>
      <c r="W192" s="298" t="n"/>
      <c r="X192" s="298" t="n"/>
      <c r="Y192" s="298" t="n"/>
      <c r="Z192" s="300" t="n"/>
      <c r="AA192" s="300" t="n"/>
      <c r="AB192" s="298" t="n"/>
      <c r="AC192" s="298" t="n"/>
      <c r="AD192" s="300" t="n"/>
      <c r="AE192" s="298" t="n"/>
      <c r="AF192" s="562" t="n"/>
    </row>
    <row r="193">
      <c r="A193" s="212">
        <f>A192+1</f>
        <v/>
      </c>
      <c r="B193" s="214" t="inlineStr">
        <is>
          <t>CREDIT</t>
        </is>
      </c>
      <c r="C193" s="214" t="inlineStr">
        <is>
          <t>EXPEDITORS CAMBODIA LTD.</t>
        </is>
      </c>
      <c r="D193" s="215" t="inlineStr">
        <is>
          <t>L001-100045898</t>
        </is>
      </c>
      <c r="E193" s="290" t="inlineStr">
        <is>
          <t>TI-0306317-27</t>
        </is>
      </c>
      <c r="F193" s="279" t="n">
        <v>45688</v>
      </c>
      <c r="G193" s="216" t="n"/>
      <c r="H193" s="564" t="n"/>
      <c r="I193" s="564" t="n">
        <v>-216978</v>
      </c>
      <c r="J193" s="213" t="inlineStr">
        <is>
          <t>អនុញ្ញាត (បានប្រកាស)</t>
        </is>
      </c>
      <c r="K193" s="213" t="n"/>
      <c r="L193" s="563">
        <f>I193</f>
        <v/>
      </c>
      <c r="M193" s="536">
        <f>I193-L193</f>
        <v/>
      </c>
      <c r="N193" s="213" t="n"/>
      <c r="O193" s="218">
        <f>U193=E193</f>
        <v/>
      </c>
      <c r="P193" s="218">
        <f>MONTH(F193)-MONTH(T193)</f>
        <v/>
      </c>
      <c r="Q193" s="218">
        <f>$B$5=X193</f>
        <v/>
      </c>
      <c r="R193" s="218">
        <f>I193-AD193</f>
        <v/>
      </c>
      <c r="S193" s="298" t="n"/>
      <c r="T193" s="299" t="n"/>
      <c r="U193" s="298" t="n"/>
      <c r="V193" s="298" t="n"/>
      <c r="W193" s="298" t="n"/>
      <c r="X193" s="298" t="n"/>
      <c r="Y193" s="298" t="n"/>
      <c r="Z193" s="300" t="n"/>
      <c r="AA193" s="300" t="n"/>
      <c r="AB193" s="298" t="n"/>
      <c r="AC193" s="298" t="n"/>
      <c r="AD193" s="300" t="n"/>
      <c r="AE193" s="298" t="n"/>
      <c r="AF193" s="562" t="n"/>
    </row>
    <row r="194">
      <c r="A194" s="212">
        <f>A193+1</f>
        <v/>
      </c>
      <c r="B194" s="214" t="inlineStr">
        <is>
          <t>CREDIT</t>
        </is>
      </c>
      <c r="C194" s="214" t="inlineStr">
        <is>
          <t>EXPEDITORS CAMBODIA LTD.</t>
        </is>
      </c>
      <c r="D194" s="215" t="inlineStr">
        <is>
          <t>L001-100045898</t>
        </is>
      </c>
      <c r="E194" s="290" t="inlineStr">
        <is>
          <t>TI-0306317-26</t>
        </is>
      </c>
      <c r="F194" s="279" t="n">
        <v>45688</v>
      </c>
      <c r="G194" s="216" t="n"/>
      <c r="H194" s="564" t="n"/>
      <c r="I194" s="564" t="n">
        <v>-253194</v>
      </c>
      <c r="J194" s="213" t="inlineStr">
        <is>
          <t>អនុញ្ញាត (បានប្រកាស)</t>
        </is>
      </c>
      <c r="K194" s="213" t="n"/>
      <c r="L194" s="563">
        <f>I194</f>
        <v/>
      </c>
      <c r="M194" s="536">
        <f>I194-L194</f>
        <v/>
      </c>
      <c r="N194" s="213" t="n"/>
      <c r="O194" s="218">
        <f>U194=E194</f>
        <v/>
      </c>
      <c r="P194" s="218">
        <f>MONTH(F194)-MONTH(T194)</f>
        <v/>
      </c>
      <c r="Q194" s="218">
        <f>$B$5=X194</f>
        <v/>
      </c>
      <c r="R194" s="218">
        <f>I194-AD194</f>
        <v/>
      </c>
      <c r="S194" s="298" t="n"/>
      <c r="T194" s="299" t="n"/>
      <c r="U194" s="298" t="n"/>
      <c r="V194" s="298" t="n"/>
      <c r="W194" s="298" t="n"/>
      <c r="X194" s="298" t="n"/>
      <c r="Y194" s="298" t="n"/>
      <c r="Z194" s="300" t="n"/>
      <c r="AA194" s="300" t="n"/>
      <c r="AB194" s="298" t="n"/>
      <c r="AC194" s="298" t="n"/>
      <c r="AD194" s="300" t="n"/>
      <c r="AE194" s="298" t="n"/>
      <c r="AF194" s="562" t="n"/>
    </row>
    <row r="195">
      <c r="A195" s="212">
        <f>A194+1</f>
        <v/>
      </c>
      <c r="B195" s="214" t="inlineStr">
        <is>
          <t>CREDIT</t>
        </is>
      </c>
      <c r="C195" s="214" t="inlineStr">
        <is>
          <t>EXPEDITORS CAMBODIA LTD.</t>
        </is>
      </c>
      <c r="D195" s="215" t="inlineStr">
        <is>
          <t>L001-100045898</t>
        </is>
      </c>
      <c r="E195" s="290" t="inlineStr">
        <is>
          <t>TI-0306317-25</t>
        </is>
      </c>
      <c r="F195" s="279" t="n">
        <v>45688</v>
      </c>
      <c r="G195" s="216" t="n"/>
      <c r="H195" s="564" t="n"/>
      <c r="I195" s="564" t="n">
        <v>-155499</v>
      </c>
      <c r="J195" s="213" t="inlineStr">
        <is>
          <t>អនុញ្ញាត (បានប្រកាស)</t>
        </is>
      </c>
      <c r="K195" s="213" t="n"/>
      <c r="L195" s="563">
        <f>I195</f>
        <v/>
      </c>
      <c r="M195" s="536">
        <f>I195-L195</f>
        <v/>
      </c>
      <c r="N195" s="213" t="n"/>
      <c r="O195" s="218">
        <f>U195=E195</f>
        <v/>
      </c>
      <c r="P195" s="218">
        <f>MONTH(F195)-MONTH(T195)</f>
        <v/>
      </c>
      <c r="Q195" s="218">
        <f>$B$5=X195</f>
        <v/>
      </c>
      <c r="R195" s="218">
        <f>I195-AD195</f>
        <v/>
      </c>
      <c r="S195" s="298" t="n"/>
      <c r="T195" s="299" t="n"/>
      <c r="U195" s="298" t="n"/>
      <c r="V195" s="298" t="n"/>
      <c r="W195" s="298" t="n"/>
      <c r="X195" s="298" t="n"/>
      <c r="Y195" s="298" t="n"/>
      <c r="Z195" s="300" t="n"/>
      <c r="AA195" s="300" t="n"/>
      <c r="AB195" s="298" t="n"/>
      <c r="AC195" s="298" t="n"/>
      <c r="AD195" s="300" t="n"/>
      <c r="AE195" s="298" t="n"/>
      <c r="AF195" s="562" t="n"/>
    </row>
    <row r="196">
      <c r="A196" s="212">
        <f>A195+1</f>
        <v/>
      </c>
      <c r="B196" s="214" t="inlineStr">
        <is>
          <t>CREDIT</t>
        </is>
      </c>
      <c r="C196" s="214" t="inlineStr">
        <is>
          <t>EXPEDITORS CAMBODIA LTD.</t>
        </is>
      </c>
      <c r="D196" s="215" t="inlineStr">
        <is>
          <t>L001-100045898</t>
        </is>
      </c>
      <c r="E196" s="290" t="inlineStr">
        <is>
          <t>TI-0306317-24</t>
        </is>
      </c>
      <c r="F196" s="279" t="n">
        <v>45688</v>
      </c>
      <c r="G196" s="216" t="n"/>
      <c r="H196" s="564" t="n"/>
      <c r="I196" s="564" t="n">
        <v>-43503</v>
      </c>
      <c r="J196" s="213" t="inlineStr">
        <is>
          <t>អនុញ្ញាត (បានប្រកាស)</t>
        </is>
      </c>
      <c r="K196" s="213" t="n"/>
      <c r="L196" s="563">
        <f>I196</f>
        <v/>
      </c>
      <c r="M196" s="536">
        <f>I196-L196</f>
        <v/>
      </c>
      <c r="N196" s="213" t="n"/>
      <c r="O196" s="218">
        <f>U196=E196</f>
        <v/>
      </c>
      <c r="P196" s="218">
        <f>MONTH(F196)-MONTH(T196)</f>
        <v/>
      </c>
      <c r="Q196" s="218">
        <f>$B$5=X196</f>
        <v/>
      </c>
      <c r="R196" s="218">
        <f>I196-AD196</f>
        <v/>
      </c>
      <c r="S196" s="298" t="n"/>
      <c r="T196" s="299" t="n"/>
      <c r="U196" s="298" t="n"/>
      <c r="V196" s="298" t="n"/>
      <c r="W196" s="298" t="n"/>
      <c r="X196" s="298" t="n"/>
      <c r="Y196" s="298" t="n"/>
      <c r="Z196" s="300" t="n"/>
      <c r="AA196" s="300" t="n"/>
      <c r="AB196" s="298" t="n"/>
      <c r="AC196" s="298" t="n"/>
      <c r="AD196" s="300" t="n"/>
      <c r="AE196" s="298" t="n"/>
      <c r="AF196" s="562" t="n"/>
    </row>
    <row r="197">
      <c r="A197" s="212">
        <f>A196+1</f>
        <v/>
      </c>
      <c r="B197" s="214" t="inlineStr">
        <is>
          <t>CREDIT</t>
        </is>
      </c>
      <c r="C197" s="214" t="inlineStr">
        <is>
          <t>EXPEDITORS CAMBODIA LTD.</t>
        </is>
      </c>
      <c r="D197" s="215" t="inlineStr">
        <is>
          <t>L001-100045898</t>
        </is>
      </c>
      <c r="E197" s="290" t="inlineStr">
        <is>
          <t>TI-0306317-23</t>
        </is>
      </c>
      <c r="F197" s="279" t="n">
        <v>45688</v>
      </c>
      <c r="G197" s="216" t="n"/>
      <c r="H197" s="564" t="n"/>
      <c r="I197" s="564" t="n">
        <v>-24832</v>
      </c>
      <c r="J197" s="213" t="inlineStr">
        <is>
          <t>អនុញ្ញាត (បានប្រកាស)</t>
        </is>
      </c>
      <c r="K197" s="213" t="n"/>
      <c r="L197" s="563">
        <f>I197</f>
        <v/>
      </c>
      <c r="M197" s="536">
        <f>I197-L197</f>
        <v/>
      </c>
      <c r="N197" s="213" t="n"/>
      <c r="O197" s="218">
        <f>U197=E197</f>
        <v/>
      </c>
      <c r="P197" s="218">
        <f>MONTH(F197)-MONTH(T197)</f>
        <v/>
      </c>
      <c r="Q197" s="218">
        <f>$B$5=X197</f>
        <v/>
      </c>
      <c r="R197" s="218">
        <f>I197-AD197</f>
        <v/>
      </c>
      <c r="S197" s="298" t="n"/>
      <c r="T197" s="299" t="n"/>
      <c r="U197" s="298" t="n"/>
      <c r="V197" s="298" t="n"/>
      <c r="W197" s="298" t="n"/>
      <c r="X197" s="298" t="n"/>
      <c r="Y197" s="298" t="n"/>
      <c r="Z197" s="300" t="n"/>
      <c r="AA197" s="300" t="n"/>
      <c r="AB197" s="298" t="n"/>
      <c r="AC197" s="298" t="n"/>
      <c r="AD197" s="300" t="n"/>
      <c r="AE197" s="298" t="n"/>
      <c r="AF197" s="562" t="n"/>
    </row>
    <row r="198">
      <c r="A198" s="212">
        <f>A197+1</f>
        <v/>
      </c>
      <c r="B198" s="214" t="inlineStr">
        <is>
          <t>CREDIT</t>
        </is>
      </c>
      <c r="C198" s="214" t="inlineStr">
        <is>
          <t>EXPEDITORS CAMBODIA LTD.</t>
        </is>
      </c>
      <c r="D198" s="215" t="inlineStr">
        <is>
          <t>L001-100045898</t>
        </is>
      </c>
      <c r="E198" s="290" t="inlineStr">
        <is>
          <t>TI-0306317-22</t>
        </is>
      </c>
      <c r="F198" s="279" t="n">
        <v>45688</v>
      </c>
      <c r="G198" s="216" t="n"/>
      <c r="H198" s="564" t="n"/>
      <c r="I198" s="564" t="n">
        <v>-92910</v>
      </c>
      <c r="J198" s="213" t="inlineStr">
        <is>
          <t>អនុញ្ញាត (បានប្រកាស)</t>
        </is>
      </c>
      <c r="K198" s="213" t="n"/>
      <c r="L198" s="563">
        <f>I198</f>
        <v/>
      </c>
      <c r="M198" s="536">
        <f>I198-L198</f>
        <v/>
      </c>
      <c r="N198" s="213" t="n"/>
      <c r="O198" s="218">
        <f>U198=E198</f>
        <v/>
      </c>
      <c r="P198" s="218">
        <f>MONTH(F198)-MONTH(T198)</f>
        <v/>
      </c>
      <c r="Q198" s="218">
        <f>$B$5=X198</f>
        <v/>
      </c>
      <c r="R198" s="218">
        <f>I198-AD198</f>
        <v/>
      </c>
      <c r="S198" s="298" t="n"/>
      <c r="T198" s="299" t="n"/>
      <c r="U198" s="298" t="n"/>
      <c r="V198" s="298" t="n"/>
      <c r="W198" s="298" t="n"/>
      <c r="X198" s="298" t="n"/>
      <c r="Y198" s="298" t="n"/>
      <c r="Z198" s="300" t="n"/>
      <c r="AA198" s="300" t="n"/>
      <c r="AB198" s="298" t="n"/>
      <c r="AC198" s="298" t="n"/>
      <c r="AD198" s="300" t="n"/>
      <c r="AE198" s="298" t="n"/>
      <c r="AF198" s="562" t="n"/>
    </row>
    <row r="199">
      <c r="A199" s="212">
        <f>A198+1</f>
        <v/>
      </c>
      <c r="B199" s="214" t="inlineStr">
        <is>
          <t>CREDIT</t>
        </is>
      </c>
      <c r="C199" s="214" t="inlineStr">
        <is>
          <t>EXPEDITORS CAMBODIA LTD.</t>
        </is>
      </c>
      <c r="D199" s="215" t="inlineStr">
        <is>
          <t>L001-100045898</t>
        </is>
      </c>
      <c r="E199" s="290" t="inlineStr">
        <is>
          <t>TI-0306317-21</t>
        </is>
      </c>
      <c r="F199" s="279" t="n">
        <v>45688</v>
      </c>
      <c r="G199" s="216" t="n"/>
      <c r="H199" s="564" t="n"/>
      <c r="I199" s="564" t="n">
        <v>-43503</v>
      </c>
      <c r="J199" s="213" t="inlineStr">
        <is>
          <t>អនុញ្ញាត (បានប្រកាស)</t>
        </is>
      </c>
      <c r="K199" s="213" t="n"/>
      <c r="L199" s="563">
        <f>I199</f>
        <v/>
      </c>
      <c r="M199" s="536">
        <f>I199-L199</f>
        <v/>
      </c>
      <c r="N199" s="213" t="n"/>
      <c r="O199" s="218">
        <f>U199=E199</f>
        <v/>
      </c>
      <c r="P199" s="218">
        <f>MONTH(F199)-MONTH(T199)</f>
        <v/>
      </c>
      <c r="Q199" s="218">
        <f>$B$5=X199</f>
        <v/>
      </c>
      <c r="R199" s="218">
        <f>I199-AD199</f>
        <v/>
      </c>
      <c r="S199" s="298" t="n"/>
      <c r="T199" s="299" t="n"/>
      <c r="U199" s="298" t="n"/>
      <c r="V199" s="298" t="n"/>
      <c r="W199" s="298" t="n"/>
      <c r="X199" s="298" t="n"/>
      <c r="Y199" s="298" t="n"/>
      <c r="Z199" s="300" t="n"/>
      <c r="AA199" s="300" t="n"/>
      <c r="AB199" s="298" t="n"/>
      <c r="AC199" s="298" t="n"/>
      <c r="AD199" s="300" t="n"/>
      <c r="AE199" s="298" t="n"/>
      <c r="AF199" s="562" t="n"/>
    </row>
    <row r="200">
      <c r="A200" s="212">
        <f>A199+1</f>
        <v/>
      </c>
      <c r="B200" s="214" t="inlineStr">
        <is>
          <t>CREDIT</t>
        </is>
      </c>
      <c r="C200" s="214" t="inlineStr">
        <is>
          <t>EXPEDITORS CAMBODIA LTD.</t>
        </is>
      </c>
      <c r="D200" s="215" t="inlineStr">
        <is>
          <t>L001-100045898</t>
        </is>
      </c>
      <c r="E200" s="290" t="inlineStr">
        <is>
          <t>TI-0306317-20</t>
        </is>
      </c>
      <c r="F200" s="279" t="n">
        <v>45688</v>
      </c>
      <c r="G200" s="216" t="n"/>
      <c r="H200" s="564" t="n"/>
      <c r="I200" s="564" t="n">
        <v>-49539</v>
      </c>
      <c r="J200" s="213" t="inlineStr">
        <is>
          <t>អនុញ្ញាត (បានប្រកាស)</t>
        </is>
      </c>
      <c r="K200" s="213" t="n"/>
      <c r="L200" s="563">
        <f>I200</f>
        <v/>
      </c>
      <c r="M200" s="536">
        <f>I200-L200</f>
        <v/>
      </c>
      <c r="N200" s="213" t="n"/>
      <c r="O200" s="218">
        <f>U200=E200</f>
        <v/>
      </c>
      <c r="P200" s="218">
        <f>MONTH(F200)-MONTH(T200)</f>
        <v/>
      </c>
      <c r="Q200" s="218">
        <f>$B$5=X200</f>
        <v/>
      </c>
      <c r="R200" s="218">
        <f>I200-AD200</f>
        <v/>
      </c>
      <c r="S200" s="298" t="n"/>
      <c r="T200" s="299" t="n"/>
      <c r="U200" s="298" t="n"/>
      <c r="V200" s="298" t="n"/>
      <c r="W200" s="298" t="n"/>
      <c r="X200" s="298" t="n"/>
      <c r="Y200" s="298" t="n"/>
      <c r="Z200" s="300" t="n"/>
      <c r="AA200" s="300" t="n"/>
      <c r="AB200" s="298" t="n"/>
      <c r="AC200" s="298" t="n"/>
      <c r="AD200" s="300" t="n"/>
      <c r="AE200" s="298" t="n"/>
      <c r="AF200" s="562" t="n"/>
    </row>
    <row r="201">
      <c r="A201" s="212">
        <f>A200+1</f>
        <v/>
      </c>
      <c r="B201" s="214" t="inlineStr">
        <is>
          <t>CREDIT</t>
        </is>
      </c>
      <c r="C201" s="214" t="inlineStr">
        <is>
          <t>EXPEDITORS CAMBODIA LTD.</t>
        </is>
      </c>
      <c r="D201" s="215" t="inlineStr">
        <is>
          <t>L001-100045898</t>
        </is>
      </c>
      <c r="E201" s="290" t="inlineStr">
        <is>
          <t>TI-0306317-19</t>
        </is>
      </c>
      <c r="F201" s="279" t="n">
        <v>45688</v>
      </c>
      <c r="G201" s="216" t="n"/>
      <c r="H201" s="564" t="n"/>
      <c r="I201" s="564" t="n">
        <v>-43503</v>
      </c>
      <c r="J201" s="213" t="inlineStr">
        <is>
          <t>អនុញ្ញាត (បានប្រកាស)</t>
        </is>
      </c>
      <c r="K201" s="213" t="n"/>
      <c r="L201" s="563">
        <f>I201</f>
        <v/>
      </c>
      <c r="M201" s="536">
        <f>I201-L201</f>
        <v/>
      </c>
      <c r="N201" s="213" t="n"/>
      <c r="O201" s="218">
        <f>U201=E201</f>
        <v/>
      </c>
      <c r="P201" s="218">
        <f>MONTH(F201)-MONTH(T201)</f>
        <v/>
      </c>
      <c r="Q201" s="218">
        <f>$B$5=X201</f>
        <v/>
      </c>
      <c r="R201" s="218">
        <f>I201-AD201</f>
        <v/>
      </c>
      <c r="S201" s="298" t="n"/>
      <c r="T201" s="299" t="n"/>
      <c r="U201" s="298" t="n"/>
      <c r="V201" s="298" t="n"/>
      <c r="W201" s="298" t="n"/>
      <c r="X201" s="298" t="n"/>
      <c r="Y201" s="298" t="n"/>
      <c r="Z201" s="300" t="n"/>
      <c r="AA201" s="300" t="n"/>
      <c r="AB201" s="298" t="n"/>
      <c r="AC201" s="298" t="n"/>
      <c r="AD201" s="300" t="n"/>
      <c r="AE201" s="298" t="n"/>
      <c r="AF201" s="562" t="n"/>
    </row>
    <row r="202">
      <c r="A202" s="212">
        <f>A201+1</f>
        <v/>
      </c>
      <c r="B202" s="214" t="inlineStr">
        <is>
          <t>CREDIT</t>
        </is>
      </c>
      <c r="C202" s="214" t="inlineStr">
        <is>
          <t>EXPEDITORS CAMBODIA LTD.</t>
        </is>
      </c>
      <c r="D202" s="215" t="inlineStr">
        <is>
          <t>L001-100045898</t>
        </is>
      </c>
      <c r="E202" s="290" t="inlineStr">
        <is>
          <t>TI-0306317-18</t>
        </is>
      </c>
      <c r="F202" s="279" t="n">
        <v>45688</v>
      </c>
      <c r="G202" s="216" t="n"/>
      <c r="H202" s="564" t="n"/>
      <c r="I202" s="564" t="n">
        <v>-123645</v>
      </c>
      <c r="J202" s="213" t="inlineStr">
        <is>
          <t>អនុញ្ញាត (បានប្រកាស)</t>
        </is>
      </c>
      <c r="K202" s="213" t="n"/>
      <c r="L202" s="563">
        <f>I202</f>
        <v/>
      </c>
      <c r="M202" s="536">
        <f>I202-L202</f>
        <v/>
      </c>
      <c r="N202" s="213" t="n"/>
      <c r="O202" s="218">
        <f>U202=E202</f>
        <v/>
      </c>
      <c r="P202" s="218">
        <f>MONTH(F202)-MONTH(T202)</f>
        <v/>
      </c>
      <c r="Q202" s="218">
        <f>$B$5=X202</f>
        <v/>
      </c>
      <c r="R202" s="218">
        <f>I202-AD202</f>
        <v/>
      </c>
      <c r="S202" s="298" t="n"/>
      <c r="T202" s="299" t="n"/>
      <c r="U202" s="298" t="n"/>
      <c r="V202" s="298" t="n"/>
      <c r="W202" s="298" t="n"/>
      <c r="X202" s="298" t="n"/>
      <c r="Y202" s="298" t="n"/>
      <c r="Z202" s="300" t="n"/>
      <c r="AA202" s="300" t="n"/>
      <c r="AB202" s="298" t="n"/>
      <c r="AC202" s="298" t="n"/>
      <c r="AD202" s="300" t="n"/>
      <c r="AE202" s="298" t="n"/>
      <c r="AF202" s="562" t="n"/>
    </row>
    <row r="203">
      <c r="A203" s="212">
        <f>A202+1</f>
        <v/>
      </c>
      <c r="B203" s="214" t="inlineStr">
        <is>
          <t>CREDIT</t>
        </is>
      </c>
      <c r="C203" s="214" t="inlineStr">
        <is>
          <t>EXPEDITORS CAMBODIA LTD.</t>
        </is>
      </c>
      <c r="D203" s="215" t="inlineStr">
        <is>
          <t>L001-100045898</t>
        </is>
      </c>
      <c r="E203" s="290" t="inlineStr">
        <is>
          <t>TI-0306317-17</t>
        </is>
      </c>
      <c r="F203" s="279" t="n">
        <v>45688</v>
      </c>
      <c r="G203" s="216" t="n"/>
      <c r="H203" s="564" t="n"/>
      <c r="I203" s="564" t="n">
        <v>-148908</v>
      </c>
      <c r="J203" s="213" t="inlineStr">
        <is>
          <t>អនុញ្ញាត (បានប្រកាស)</t>
        </is>
      </c>
      <c r="K203" s="213" t="n"/>
      <c r="L203" s="563">
        <f>I203</f>
        <v/>
      </c>
      <c r="M203" s="536">
        <f>I203-L203</f>
        <v/>
      </c>
      <c r="N203" s="213" t="n"/>
      <c r="O203" s="218">
        <f>U203=E203</f>
        <v/>
      </c>
      <c r="P203" s="218">
        <f>MONTH(F203)-MONTH(T203)</f>
        <v/>
      </c>
      <c r="Q203" s="218">
        <f>$B$5=X203</f>
        <v/>
      </c>
      <c r="R203" s="218">
        <f>I203-AD203</f>
        <v/>
      </c>
      <c r="S203" s="298" t="n"/>
      <c r="T203" s="299" t="n"/>
      <c r="U203" s="298" t="n"/>
      <c r="V203" s="298" t="n"/>
      <c r="W203" s="298" t="n"/>
      <c r="X203" s="298" t="n"/>
      <c r="Y203" s="298" t="n"/>
      <c r="Z203" s="300" t="n"/>
      <c r="AA203" s="300" t="n"/>
      <c r="AB203" s="298" t="n"/>
      <c r="AC203" s="298" t="n"/>
      <c r="AD203" s="300" t="n"/>
      <c r="AE203" s="298" t="n"/>
      <c r="AF203" s="562" t="n"/>
    </row>
    <row r="204">
      <c r="A204" s="212">
        <f>A203+1</f>
        <v/>
      </c>
      <c r="B204" s="214" t="inlineStr">
        <is>
          <t>CREDIT</t>
        </is>
      </c>
      <c r="C204" s="214" t="inlineStr">
        <is>
          <t>EXPEDITORS CAMBODIA LTD.</t>
        </is>
      </c>
      <c r="D204" s="215" t="inlineStr">
        <is>
          <t>L001-100045898</t>
        </is>
      </c>
      <c r="E204" s="290" t="inlineStr">
        <is>
          <t>TI-0306317-16</t>
        </is>
      </c>
      <c r="F204" s="279" t="n">
        <v>45688</v>
      </c>
      <c r="G204" s="216" t="n"/>
      <c r="H204" s="564" t="n"/>
      <c r="I204" s="564" t="n">
        <v>-42252</v>
      </c>
      <c r="J204" s="213" t="inlineStr">
        <is>
          <t>អនុញ្ញាត (បានប្រកាស)</t>
        </is>
      </c>
      <c r="K204" s="213" t="n"/>
      <c r="L204" s="563">
        <f>I204</f>
        <v/>
      </c>
      <c r="M204" s="536">
        <f>I204-L204</f>
        <v/>
      </c>
      <c r="N204" s="213" t="n"/>
      <c r="O204" s="218">
        <f>U204=E204</f>
        <v/>
      </c>
      <c r="P204" s="218">
        <f>MONTH(F204)-MONTH(T204)</f>
        <v/>
      </c>
      <c r="Q204" s="218">
        <f>$B$5=X204</f>
        <v/>
      </c>
      <c r="R204" s="218">
        <f>I204-AD204</f>
        <v/>
      </c>
      <c r="S204" s="298" t="n"/>
      <c r="T204" s="299" t="n"/>
      <c r="U204" s="298" t="n"/>
      <c r="V204" s="298" t="n"/>
      <c r="W204" s="298" t="n"/>
      <c r="X204" s="298" t="n"/>
      <c r="Y204" s="298" t="n"/>
      <c r="Z204" s="300" t="n"/>
      <c r="AA204" s="300" t="n"/>
      <c r="AB204" s="298" t="n"/>
      <c r="AC204" s="298" t="n"/>
      <c r="AD204" s="300" t="n"/>
      <c r="AE204" s="298" t="n"/>
      <c r="AF204" s="562" t="n"/>
    </row>
    <row r="205">
      <c r="A205" s="212">
        <f>A204+1</f>
        <v/>
      </c>
      <c r="B205" s="214" t="inlineStr">
        <is>
          <t>CREDIT</t>
        </is>
      </c>
      <c r="C205" s="214" t="inlineStr">
        <is>
          <t>EXPEDITORS CAMBODIA LTD.</t>
        </is>
      </c>
      <c r="D205" s="215" t="inlineStr">
        <is>
          <t>L001-100045898</t>
        </is>
      </c>
      <c r="E205" s="290" t="inlineStr">
        <is>
          <t>TI-0306317-15</t>
        </is>
      </c>
      <c r="F205" s="279" t="n">
        <v>45688</v>
      </c>
      <c r="G205" s="216" t="n"/>
      <c r="H205" s="564" t="n"/>
      <c r="I205" s="564" t="n">
        <v>-60360</v>
      </c>
      <c r="J205" s="213" t="inlineStr">
        <is>
          <t>អនុញ្ញាត (បានប្រកាស)</t>
        </is>
      </c>
      <c r="K205" s="213" t="n"/>
      <c r="L205" s="563">
        <f>I205</f>
        <v/>
      </c>
      <c r="M205" s="536">
        <f>I205-L205</f>
        <v/>
      </c>
      <c r="N205" s="213" t="n"/>
      <c r="O205" s="218">
        <f>U205=E205</f>
        <v/>
      </c>
      <c r="P205" s="218">
        <f>MONTH(F205)-MONTH(T205)</f>
        <v/>
      </c>
      <c r="Q205" s="218">
        <f>$B$5=X205</f>
        <v/>
      </c>
      <c r="R205" s="218">
        <f>I205-AD205</f>
        <v/>
      </c>
      <c r="S205" s="298" t="n"/>
      <c r="T205" s="299" t="n"/>
      <c r="U205" s="298" t="n"/>
      <c r="V205" s="298" t="n"/>
      <c r="W205" s="298" t="n"/>
      <c r="X205" s="298" t="n"/>
      <c r="Y205" s="298" t="n"/>
      <c r="Z205" s="300" t="n"/>
      <c r="AA205" s="300" t="n"/>
      <c r="AB205" s="298" t="n"/>
      <c r="AC205" s="298" t="n"/>
      <c r="AD205" s="300" t="n"/>
      <c r="AE205" s="298" t="n"/>
      <c r="AF205" s="562" t="n"/>
    </row>
    <row r="206">
      <c r="A206" s="212">
        <f>A205+1</f>
        <v/>
      </c>
      <c r="B206" s="214" t="inlineStr">
        <is>
          <t>CREDIT</t>
        </is>
      </c>
      <c r="C206" s="214" t="inlineStr">
        <is>
          <t>EXPEDITORS CAMBODIA LTD.</t>
        </is>
      </c>
      <c r="D206" s="215" t="inlineStr">
        <is>
          <t>L001-100045898</t>
        </is>
      </c>
      <c r="E206" s="290" t="inlineStr">
        <is>
          <t>TI-0306317-14</t>
        </is>
      </c>
      <c r="F206" s="279" t="n">
        <v>45688</v>
      </c>
      <c r="G206" s="216" t="n"/>
      <c r="H206" s="564" t="n"/>
      <c r="I206" s="564" t="n">
        <v>-78468</v>
      </c>
      <c r="J206" s="213" t="inlineStr">
        <is>
          <t>អនុញ្ញាត (បានប្រកាស)</t>
        </is>
      </c>
      <c r="K206" s="213" t="n"/>
      <c r="L206" s="563">
        <f>I206</f>
        <v/>
      </c>
      <c r="M206" s="536">
        <f>I206-L206</f>
        <v/>
      </c>
      <c r="N206" s="213" t="n"/>
      <c r="O206" s="218">
        <f>U206=E206</f>
        <v/>
      </c>
      <c r="P206" s="218">
        <f>MONTH(F206)-MONTH(T206)</f>
        <v/>
      </c>
      <c r="Q206" s="218">
        <f>$B$5=X206</f>
        <v/>
      </c>
      <c r="R206" s="218">
        <f>I206-AD206</f>
        <v/>
      </c>
      <c r="S206" s="298" t="n"/>
      <c r="T206" s="299" t="n"/>
      <c r="U206" s="298" t="n"/>
      <c r="V206" s="298" t="n"/>
      <c r="W206" s="298" t="n"/>
      <c r="X206" s="298" t="n"/>
      <c r="Y206" s="298" t="n"/>
      <c r="Z206" s="300" t="n"/>
      <c r="AA206" s="300" t="n"/>
      <c r="AB206" s="298" t="n"/>
      <c r="AC206" s="298" t="n"/>
      <c r="AD206" s="300" t="n"/>
      <c r="AE206" s="298" t="n"/>
      <c r="AF206" s="562" t="n"/>
    </row>
    <row r="207">
      <c r="A207" s="212">
        <f>A206+1</f>
        <v/>
      </c>
      <c r="B207" s="214" t="inlineStr">
        <is>
          <t>CREDIT</t>
        </is>
      </c>
      <c r="C207" s="214" t="inlineStr">
        <is>
          <t>EXPEDITORS CAMBODIA LTD.</t>
        </is>
      </c>
      <c r="D207" s="215" t="inlineStr">
        <is>
          <t>L001-100045898</t>
        </is>
      </c>
      <c r="E207" s="290" t="inlineStr">
        <is>
          <t>TI-0306317-13</t>
        </is>
      </c>
      <c r="F207" s="279" t="n">
        <v>45688</v>
      </c>
      <c r="G207" s="216" t="n"/>
      <c r="H207" s="564" t="n"/>
      <c r="I207" s="564" t="n">
        <v>-187116</v>
      </c>
      <c r="J207" s="213" t="inlineStr">
        <is>
          <t>អនុញ្ញាត (បានប្រកាស)</t>
        </is>
      </c>
      <c r="K207" s="213" t="n"/>
      <c r="L207" s="563">
        <f>I207</f>
        <v/>
      </c>
      <c r="M207" s="536">
        <f>I207-L207</f>
        <v/>
      </c>
      <c r="N207" s="213" t="n"/>
      <c r="O207" s="218">
        <f>U207=E207</f>
        <v/>
      </c>
      <c r="P207" s="218">
        <f>MONTH(F207)-MONTH(T207)</f>
        <v/>
      </c>
      <c r="Q207" s="218">
        <f>$B$5=X207</f>
        <v/>
      </c>
      <c r="R207" s="218">
        <f>I207-AD207</f>
        <v/>
      </c>
      <c r="S207" s="298" t="n"/>
      <c r="T207" s="299" t="n"/>
      <c r="U207" s="298" t="n"/>
      <c r="V207" s="298" t="n"/>
      <c r="W207" s="298" t="n"/>
      <c r="X207" s="298" t="n"/>
      <c r="Y207" s="298" t="n"/>
      <c r="Z207" s="300" t="n"/>
      <c r="AA207" s="300" t="n"/>
      <c r="AB207" s="298" t="n"/>
      <c r="AC207" s="298" t="n"/>
      <c r="AD207" s="300" t="n"/>
      <c r="AE207" s="298" t="n"/>
      <c r="AF207" s="562" t="n"/>
    </row>
    <row r="208">
      <c r="A208" s="212">
        <f>A207+1</f>
        <v/>
      </c>
      <c r="B208" s="214" t="inlineStr">
        <is>
          <t>CREDIT</t>
        </is>
      </c>
      <c r="C208" s="214" t="inlineStr">
        <is>
          <t>EXPEDITORS CAMBODIA LTD.</t>
        </is>
      </c>
      <c r="D208" s="215" t="inlineStr">
        <is>
          <t>L001-100045898</t>
        </is>
      </c>
      <c r="E208" s="290" t="inlineStr">
        <is>
          <t>TI-0306317-12</t>
        </is>
      </c>
      <c r="F208" s="279" t="n">
        <v>45688</v>
      </c>
      <c r="G208" s="216" t="n"/>
      <c r="H208" s="564" t="n"/>
      <c r="I208" s="564" t="n">
        <v>-18108</v>
      </c>
      <c r="J208" s="213" t="inlineStr">
        <is>
          <t>អនុញ្ញាត (បានប្រកាស)</t>
        </is>
      </c>
      <c r="K208" s="213" t="n"/>
      <c r="L208" s="563">
        <f>I208</f>
        <v/>
      </c>
      <c r="M208" s="536">
        <f>I208-L208</f>
        <v/>
      </c>
      <c r="N208" s="213" t="n"/>
      <c r="O208" s="218">
        <f>U208=E208</f>
        <v/>
      </c>
      <c r="P208" s="218">
        <f>MONTH(F208)-MONTH(T208)</f>
        <v/>
      </c>
      <c r="Q208" s="218">
        <f>$B$5=X208</f>
        <v/>
      </c>
      <c r="R208" s="218">
        <f>I208-AD208</f>
        <v/>
      </c>
      <c r="S208" s="298" t="n"/>
      <c r="T208" s="299" t="n"/>
      <c r="U208" s="298" t="n"/>
      <c r="V208" s="298" t="n"/>
      <c r="W208" s="298" t="n"/>
      <c r="X208" s="298" t="n"/>
      <c r="Y208" s="298" t="n"/>
      <c r="Z208" s="300" t="n"/>
      <c r="AA208" s="300" t="n"/>
      <c r="AB208" s="298" t="n"/>
      <c r="AC208" s="298" t="n"/>
      <c r="AD208" s="300" t="n"/>
      <c r="AE208" s="298" t="n"/>
      <c r="AF208" s="562" t="n"/>
    </row>
    <row r="209">
      <c r="A209" s="212">
        <f>A208+1</f>
        <v/>
      </c>
      <c r="B209" s="214" t="inlineStr">
        <is>
          <t>CREDIT</t>
        </is>
      </c>
      <c r="C209" s="214" t="inlineStr">
        <is>
          <t>EXPEDITORS CAMBODIA LTD.</t>
        </is>
      </c>
      <c r="D209" s="215" t="inlineStr">
        <is>
          <t>L001-100045898</t>
        </is>
      </c>
      <c r="E209" s="290" t="inlineStr">
        <is>
          <t>TI-0306317-11</t>
        </is>
      </c>
      <c r="F209" s="279" t="n">
        <v>45688</v>
      </c>
      <c r="G209" s="216" t="n"/>
      <c r="H209" s="564" t="n"/>
      <c r="I209" s="564" t="n">
        <v>-78468</v>
      </c>
      <c r="J209" s="213" t="inlineStr">
        <is>
          <t>អនុញ្ញាត (បានប្រកាស)</t>
        </is>
      </c>
      <c r="K209" s="213" t="n"/>
      <c r="L209" s="563">
        <f>I209</f>
        <v/>
      </c>
      <c r="M209" s="536">
        <f>I209-L209</f>
        <v/>
      </c>
      <c r="N209" s="213" t="n"/>
      <c r="O209" s="218">
        <f>U209=E209</f>
        <v/>
      </c>
      <c r="P209" s="218">
        <f>MONTH(F209)-MONTH(T209)</f>
        <v/>
      </c>
      <c r="Q209" s="218">
        <f>$B$5=X209</f>
        <v/>
      </c>
      <c r="R209" s="218">
        <f>I209-AD209</f>
        <v/>
      </c>
      <c r="S209" s="298" t="inlineStr">
        <is>
          <t>Wrong invoice number</t>
        </is>
      </c>
      <c r="T209" s="299" t="n"/>
      <c r="U209" s="298" t="n"/>
      <c r="V209" s="298" t="n"/>
      <c r="W209" s="298" t="n"/>
      <c r="X209" s="298" t="n"/>
      <c r="Y209" s="298" t="n"/>
      <c r="Z209" s="300" t="n"/>
      <c r="AA209" s="300" t="n"/>
      <c r="AB209" s="298" t="n"/>
      <c r="AC209" s="298" t="n"/>
      <c r="AD209" s="300" t="n"/>
      <c r="AE209" s="298" t="n"/>
      <c r="AF209" s="562" t="n"/>
    </row>
    <row r="210">
      <c r="A210" s="212">
        <f>A209+1</f>
        <v/>
      </c>
      <c r="B210" s="214" t="inlineStr">
        <is>
          <t>CREDIT</t>
        </is>
      </c>
      <c r="C210" s="214" t="inlineStr">
        <is>
          <t>EXPEDITORS CAMBODIA LTD.</t>
        </is>
      </c>
      <c r="D210" s="215" t="inlineStr">
        <is>
          <t>L001-100045898</t>
        </is>
      </c>
      <c r="E210" s="290" t="inlineStr">
        <is>
          <t>TI-0306317-10</t>
        </is>
      </c>
      <c r="F210" s="279" t="n">
        <v>45688</v>
      </c>
      <c r="G210" s="216" t="n"/>
      <c r="H210" s="564" t="n"/>
      <c r="I210" s="564" t="n">
        <v>-96576</v>
      </c>
      <c r="J210" s="213" t="inlineStr">
        <is>
          <t>អនុញ្ញាត (បានប្រកាស)</t>
        </is>
      </c>
      <c r="K210" s="213" t="n"/>
      <c r="L210" s="563">
        <f>I210</f>
        <v/>
      </c>
      <c r="M210" s="536">
        <f>I210-L210</f>
        <v/>
      </c>
      <c r="N210" s="213" t="n"/>
      <c r="O210" s="218">
        <f>U210=E210</f>
        <v/>
      </c>
      <c r="P210" s="218">
        <f>MONTH(F210)-MONTH(T210)</f>
        <v/>
      </c>
      <c r="Q210" s="218">
        <f>$B$5=X210</f>
        <v/>
      </c>
      <c r="R210" s="218">
        <f>I210-AD210</f>
        <v/>
      </c>
      <c r="S210" s="298" t="n"/>
      <c r="T210" s="299" t="n"/>
      <c r="U210" s="298" t="n"/>
      <c r="V210" s="298" t="n"/>
      <c r="W210" s="298" t="n"/>
      <c r="X210" s="298" t="n"/>
      <c r="Y210" s="298" t="n"/>
      <c r="Z210" s="300" t="n"/>
      <c r="AA210" s="300" t="n"/>
      <c r="AB210" s="298" t="n"/>
      <c r="AC210" s="298" t="n"/>
      <c r="AD210" s="300" t="n"/>
      <c r="AE210" s="298" t="n"/>
      <c r="AF210" s="562" t="n"/>
    </row>
    <row r="211">
      <c r="A211" s="212">
        <f>A210+1</f>
        <v/>
      </c>
      <c r="B211" s="214" t="inlineStr">
        <is>
          <t>CREDIT</t>
        </is>
      </c>
      <c r="C211" s="214" t="inlineStr">
        <is>
          <t>EXPEDITORS CAMBODIA LTD.</t>
        </is>
      </c>
      <c r="D211" s="215" t="inlineStr">
        <is>
          <t>L001-100045898</t>
        </is>
      </c>
      <c r="E211" s="290" t="inlineStr">
        <is>
          <t>TI-0306317-9</t>
        </is>
      </c>
      <c r="F211" s="279" t="n">
        <v>45688</v>
      </c>
      <c r="G211" s="216" t="n"/>
      <c r="H211" s="564" t="n"/>
      <c r="I211" s="564" t="n">
        <v>-247476</v>
      </c>
      <c r="J211" s="213" t="inlineStr">
        <is>
          <t>អនុញ្ញាត (បានប្រកាស)</t>
        </is>
      </c>
      <c r="K211" s="213" t="n"/>
      <c r="L211" s="563">
        <f>I211</f>
        <v/>
      </c>
      <c r="M211" s="536">
        <f>I211-L211</f>
        <v/>
      </c>
      <c r="N211" s="213" t="n"/>
      <c r="O211" s="218">
        <f>U211=E211</f>
        <v/>
      </c>
      <c r="P211" s="218">
        <f>MONTH(F211)-MONTH(T211)</f>
        <v/>
      </c>
      <c r="Q211" s="218">
        <f>$B$5=X211</f>
        <v/>
      </c>
      <c r="R211" s="218">
        <f>I211-AD211</f>
        <v/>
      </c>
      <c r="S211" s="298" t="n"/>
      <c r="T211" s="299" t="n"/>
      <c r="U211" s="298" t="n"/>
      <c r="V211" s="298" t="n"/>
      <c r="W211" s="298" t="n"/>
      <c r="X211" s="298" t="n"/>
      <c r="Y211" s="298" t="n"/>
      <c r="Z211" s="300" t="n"/>
      <c r="AA211" s="300" t="n"/>
      <c r="AB211" s="298" t="n"/>
      <c r="AC211" s="298" t="n"/>
      <c r="AD211" s="300" t="n"/>
      <c r="AE211" s="298" t="n"/>
      <c r="AF211" s="562" t="n"/>
    </row>
    <row r="212">
      <c r="A212" s="212">
        <f>A211+1</f>
        <v/>
      </c>
      <c r="B212" s="214" t="inlineStr">
        <is>
          <t>CREDIT</t>
        </is>
      </c>
      <c r="C212" s="214" t="inlineStr">
        <is>
          <t>EXPEDITORS CAMBODIA LTD.</t>
        </is>
      </c>
      <c r="D212" s="215" t="inlineStr">
        <is>
          <t>L001-100045898</t>
        </is>
      </c>
      <c r="E212" s="290" t="inlineStr">
        <is>
          <t>TI-0306317-8</t>
        </is>
      </c>
      <c r="F212" s="279" t="n">
        <v>45688</v>
      </c>
      <c r="G212" s="216" t="n"/>
      <c r="H212" s="564" t="n"/>
      <c r="I212" s="564" t="n">
        <v>-30180</v>
      </c>
      <c r="J212" s="213" t="inlineStr">
        <is>
          <t>អនុញ្ញាត (បានប្រកាស)</t>
        </is>
      </c>
      <c r="K212" s="213" t="n"/>
      <c r="L212" s="563">
        <f>I212</f>
        <v/>
      </c>
      <c r="M212" s="536">
        <f>I212-L212</f>
        <v/>
      </c>
      <c r="N212" s="213" t="n"/>
      <c r="O212" s="218">
        <f>U212=E212</f>
        <v/>
      </c>
      <c r="P212" s="218">
        <f>MONTH(F212)-MONTH(T212)</f>
        <v/>
      </c>
      <c r="Q212" s="218">
        <f>$B$5=X212</f>
        <v/>
      </c>
      <c r="R212" s="218">
        <f>I212-AD212</f>
        <v/>
      </c>
      <c r="S212" s="298" t="n"/>
      <c r="T212" s="299" t="n"/>
      <c r="U212" s="298" t="n"/>
      <c r="V212" s="298" t="n"/>
      <c r="W212" s="298" t="n"/>
      <c r="X212" s="298" t="n"/>
      <c r="Y212" s="298" t="n"/>
      <c r="Z212" s="300" t="n"/>
      <c r="AA212" s="300" t="n"/>
      <c r="AB212" s="298" t="n"/>
      <c r="AC212" s="298" t="n"/>
      <c r="AD212" s="300" t="n"/>
      <c r="AE212" s="298" t="n"/>
      <c r="AF212" s="562" t="n"/>
    </row>
    <row r="213">
      <c r="A213" s="212">
        <f>A212+1</f>
        <v/>
      </c>
      <c r="B213" s="214" t="inlineStr">
        <is>
          <t>CREDIT</t>
        </is>
      </c>
      <c r="C213" s="214" t="inlineStr">
        <is>
          <t>EXPEDITORS CAMBODIA LTD.</t>
        </is>
      </c>
      <c r="D213" s="215" t="inlineStr">
        <is>
          <t>L001-100045898</t>
        </is>
      </c>
      <c r="E213" s="290" t="inlineStr">
        <is>
          <t>TI-0306317-7</t>
        </is>
      </c>
      <c r="F213" s="279" t="n">
        <v>45688</v>
      </c>
      <c r="G213" s="216" t="n"/>
      <c r="H213" s="564" t="n"/>
      <c r="I213" s="564" t="n">
        <v>-24144</v>
      </c>
      <c r="J213" s="213" t="inlineStr">
        <is>
          <t>អនុញ្ញាត (បានប្រកាស)</t>
        </is>
      </c>
      <c r="K213" s="213" t="n"/>
      <c r="L213" s="563">
        <f>I213</f>
        <v/>
      </c>
      <c r="M213" s="536">
        <f>I213-L213</f>
        <v/>
      </c>
      <c r="N213" s="213" t="n"/>
      <c r="O213" s="218">
        <f>U213=E213</f>
        <v/>
      </c>
      <c r="P213" s="218">
        <f>MONTH(F213)-MONTH(T213)</f>
        <v/>
      </c>
      <c r="Q213" s="218">
        <f>$B$5=X213</f>
        <v/>
      </c>
      <c r="R213" s="218">
        <f>I213-AD213</f>
        <v/>
      </c>
      <c r="S213" s="298" t="n"/>
      <c r="T213" s="299" t="n"/>
      <c r="U213" s="298" t="n"/>
      <c r="V213" s="298" t="n"/>
      <c r="W213" s="298" t="n"/>
      <c r="X213" s="298" t="n"/>
      <c r="Y213" s="298" t="n"/>
      <c r="Z213" s="300" t="n"/>
      <c r="AA213" s="300" t="n"/>
      <c r="AB213" s="298" t="n"/>
      <c r="AC213" s="298" t="n"/>
      <c r="AD213" s="300" t="n"/>
      <c r="AE213" s="298" t="n"/>
      <c r="AF213" s="562" t="n"/>
    </row>
    <row r="214">
      <c r="A214" s="212">
        <f>A213+1</f>
        <v/>
      </c>
      <c r="B214" s="214" t="inlineStr">
        <is>
          <t>CREDIT</t>
        </is>
      </c>
      <c r="C214" s="214" t="inlineStr">
        <is>
          <t>EXPEDITORS CAMBODIA LTD.</t>
        </is>
      </c>
      <c r="D214" s="215" t="inlineStr">
        <is>
          <t>L001-100045898</t>
        </is>
      </c>
      <c r="E214" s="290" t="inlineStr">
        <is>
          <t>TI-0306317-6</t>
        </is>
      </c>
      <c r="F214" s="279" t="n">
        <v>45688</v>
      </c>
      <c r="G214" s="216" t="n"/>
      <c r="H214" s="564" t="n"/>
      <c r="I214" s="564" t="n">
        <v>-30180</v>
      </c>
      <c r="J214" s="213" t="inlineStr">
        <is>
          <t>អនុញ្ញាត (បានប្រកាស)</t>
        </is>
      </c>
      <c r="K214" s="213" t="n"/>
      <c r="L214" s="563">
        <f>I214</f>
        <v/>
      </c>
      <c r="M214" s="536">
        <f>I214-L214</f>
        <v/>
      </c>
      <c r="N214" s="213" t="n"/>
      <c r="O214" s="218">
        <f>U214=E214</f>
        <v/>
      </c>
      <c r="P214" s="218">
        <f>MONTH(F214)-MONTH(T214)</f>
        <v/>
      </c>
      <c r="Q214" s="218">
        <f>$B$5=X214</f>
        <v/>
      </c>
      <c r="R214" s="218">
        <f>I214-AD214</f>
        <v/>
      </c>
      <c r="S214" s="298" t="n"/>
      <c r="T214" s="299" t="n"/>
      <c r="U214" s="298" t="n"/>
      <c r="V214" s="298" t="n"/>
      <c r="W214" s="298" t="n"/>
      <c r="X214" s="298" t="n"/>
      <c r="Y214" s="298" t="n"/>
      <c r="Z214" s="300" t="n"/>
      <c r="AA214" s="300" t="n"/>
      <c r="AB214" s="298" t="n"/>
      <c r="AC214" s="298" t="n"/>
      <c r="AD214" s="300" t="n"/>
      <c r="AE214" s="298" t="n"/>
      <c r="AF214" s="562" t="n"/>
    </row>
    <row r="215">
      <c r="A215" s="212">
        <f>A214+1</f>
        <v/>
      </c>
      <c r="B215" s="214" t="inlineStr">
        <is>
          <t>CREDIT</t>
        </is>
      </c>
      <c r="C215" s="214" t="inlineStr">
        <is>
          <t>EXPEDITORS CAMBODIA LTD.</t>
        </is>
      </c>
      <c r="D215" s="215" t="inlineStr">
        <is>
          <t>L001-100045898</t>
        </is>
      </c>
      <c r="E215" s="290" t="inlineStr">
        <is>
          <t>TI-0306317-5</t>
        </is>
      </c>
      <c r="F215" s="279" t="n">
        <v>45688</v>
      </c>
      <c r="G215" s="216" t="n"/>
      <c r="H215" s="564" t="n"/>
      <c r="I215" s="564" t="n">
        <v>-48288</v>
      </c>
      <c r="J215" s="213" t="inlineStr">
        <is>
          <t>អនុញ្ញាត (បានប្រកាស)</t>
        </is>
      </c>
      <c r="K215" s="213" t="n"/>
      <c r="L215" s="563">
        <f>I215</f>
        <v/>
      </c>
      <c r="M215" s="536">
        <f>I215-L215</f>
        <v/>
      </c>
      <c r="N215" s="213" t="n"/>
      <c r="O215" s="218">
        <f>U215=E215</f>
        <v/>
      </c>
      <c r="P215" s="218">
        <f>MONTH(F215)-MONTH(T215)</f>
        <v/>
      </c>
      <c r="Q215" s="218">
        <f>$B$5=X215</f>
        <v/>
      </c>
      <c r="R215" s="218">
        <f>I215-AD215</f>
        <v/>
      </c>
      <c r="S215" s="298" t="n"/>
      <c r="T215" s="299" t="n"/>
      <c r="U215" s="298" t="n"/>
      <c r="V215" s="298" t="n"/>
      <c r="W215" s="298" t="n"/>
      <c r="X215" s="298" t="n"/>
      <c r="Y215" s="298" t="n"/>
      <c r="Z215" s="300" t="n"/>
      <c r="AA215" s="300" t="n"/>
      <c r="AB215" s="298" t="n"/>
      <c r="AC215" s="298" t="n"/>
      <c r="AD215" s="300" t="n"/>
      <c r="AE215" s="298" t="n"/>
      <c r="AF215" s="562" t="n"/>
    </row>
    <row r="216">
      <c r="A216" s="212">
        <f>A215+1</f>
        <v/>
      </c>
      <c r="B216" s="214" t="inlineStr">
        <is>
          <t>CREDIT</t>
        </is>
      </c>
      <c r="C216" s="214" t="inlineStr">
        <is>
          <t>EXPEDITORS CAMBODIA LTD.</t>
        </is>
      </c>
      <c r="D216" s="215" t="inlineStr">
        <is>
          <t>L001-100045898</t>
        </is>
      </c>
      <c r="E216" s="290" t="inlineStr">
        <is>
          <t>TI-0306317-4</t>
        </is>
      </c>
      <c r="F216" s="279" t="n">
        <v>45688</v>
      </c>
      <c r="G216" s="216" t="n"/>
      <c r="H216" s="564" t="n"/>
      <c r="I216" s="564" t="n">
        <v>-169008</v>
      </c>
      <c r="J216" s="213" t="inlineStr">
        <is>
          <t>អនុញ្ញាត (បានប្រកាស)</t>
        </is>
      </c>
      <c r="K216" s="213" t="n"/>
      <c r="L216" s="563">
        <f>I216</f>
        <v/>
      </c>
      <c r="M216" s="536">
        <f>I216-L216</f>
        <v/>
      </c>
      <c r="N216" s="213" t="n"/>
      <c r="O216" s="218">
        <f>U216=E216</f>
        <v/>
      </c>
      <c r="P216" s="218">
        <f>MONTH(F216)-MONTH(T216)</f>
        <v/>
      </c>
      <c r="Q216" s="218">
        <f>$B$5=X216</f>
        <v/>
      </c>
      <c r="R216" s="218">
        <f>I216-AD216</f>
        <v/>
      </c>
      <c r="S216" s="298" t="n"/>
      <c r="T216" s="299" t="n"/>
      <c r="U216" s="298" t="n"/>
      <c r="V216" s="298" t="n"/>
      <c r="W216" s="298" t="n"/>
      <c r="X216" s="298" t="n"/>
      <c r="Y216" s="298" t="n"/>
      <c r="Z216" s="300" t="n"/>
      <c r="AA216" s="300" t="n"/>
      <c r="AB216" s="298" t="n"/>
      <c r="AC216" s="298" t="n"/>
      <c r="AD216" s="300" t="n"/>
      <c r="AE216" s="298" t="n"/>
      <c r="AF216" s="562" t="n"/>
    </row>
    <row r="217">
      <c r="A217" s="212">
        <f>A216+1</f>
        <v/>
      </c>
      <c r="B217" s="214" t="inlineStr">
        <is>
          <t>CREDIT</t>
        </is>
      </c>
      <c r="C217" s="214" t="inlineStr">
        <is>
          <t>EXPEDITORS CAMBODIA LTD.</t>
        </is>
      </c>
      <c r="D217" s="215" t="inlineStr">
        <is>
          <t>L001-100045898</t>
        </is>
      </c>
      <c r="E217" s="290" t="inlineStr">
        <is>
          <t>TI-0306317-3</t>
        </is>
      </c>
      <c r="F217" s="279" t="n">
        <v>45688</v>
      </c>
      <c r="G217" s="216" t="n"/>
      <c r="H217" s="564" t="n"/>
      <c r="I217" s="564" t="n">
        <v>-48288</v>
      </c>
      <c r="J217" s="213" t="inlineStr">
        <is>
          <t>អនុញ្ញាត (បានប្រកាស)</t>
        </is>
      </c>
      <c r="K217" s="213" t="n"/>
      <c r="L217" s="563">
        <f>I217</f>
        <v/>
      </c>
      <c r="M217" s="536">
        <f>I217-L217</f>
        <v/>
      </c>
      <c r="N217" s="213" t="n"/>
      <c r="O217" s="218">
        <f>U217=E217</f>
        <v/>
      </c>
      <c r="P217" s="218">
        <f>MONTH(F217)-MONTH(T217)</f>
        <v/>
      </c>
      <c r="Q217" s="218">
        <f>$B$5=X217</f>
        <v/>
      </c>
      <c r="R217" s="218">
        <f>I217-AD217</f>
        <v/>
      </c>
      <c r="S217" s="298" t="n"/>
      <c r="T217" s="299" t="n"/>
      <c r="U217" s="298" t="n"/>
      <c r="V217" s="298" t="n"/>
      <c r="W217" s="298" t="n"/>
      <c r="X217" s="298" t="n"/>
      <c r="Y217" s="298" t="n"/>
      <c r="Z217" s="300" t="n"/>
      <c r="AA217" s="300" t="n"/>
      <c r="AB217" s="298" t="n"/>
      <c r="AC217" s="298" t="n"/>
      <c r="AD217" s="300" t="n"/>
      <c r="AE217" s="298" t="n"/>
      <c r="AF217" s="562" t="n"/>
    </row>
    <row r="218">
      <c r="A218" s="212">
        <f>A217+1</f>
        <v/>
      </c>
      <c r="B218" s="214" t="inlineStr">
        <is>
          <t>CREDIT</t>
        </is>
      </c>
      <c r="C218" s="214" t="inlineStr">
        <is>
          <t>EXPEDITORS CAMBODIA LTD.</t>
        </is>
      </c>
      <c r="D218" s="215" t="inlineStr">
        <is>
          <t>L001-100045898</t>
        </is>
      </c>
      <c r="E218" s="290" t="inlineStr">
        <is>
          <t>TI-0306317-2</t>
        </is>
      </c>
      <c r="F218" s="279" t="n">
        <v>45688</v>
      </c>
      <c r="G218" s="216" t="n"/>
      <c r="H218" s="564" t="n"/>
      <c r="I218" s="564" t="n">
        <v>-60360</v>
      </c>
      <c r="J218" s="213" t="inlineStr">
        <is>
          <t>អនុញ្ញាត (បានប្រកាស)</t>
        </is>
      </c>
      <c r="K218" s="213" t="n"/>
      <c r="L218" s="563">
        <f>I218</f>
        <v/>
      </c>
      <c r="M218" s="536">
        <f>I218-L218</f>
        <v/>
      </c>
      <c r="N218" s="213" t="n"/>
      <c r="O218" s="218">
        <f>U218=E218</f>
        <v/>
      </c>
      <c r="P218" s="218">
        <f>MONTH(F218)-MONTH(T218)</f>
        <v/>
      </c>
      <c r="Q218" s="218">
        <f>$B$5=X218</f>
        <v/>
      </c>
      <c r="R218" s="218">
        <f>I218-AD218</f>
        <v/>
      </c>
      <c r="S218" s="298" t="n"/>
      <c r="T218" s="299" t="n"/>
      <c r="U218" s="298" t="n"/>
      <c r="V218" s="298" t="n"/>
      <c r="W218" s="298" t="n"/>
      <c r="X218" s="298" t="n"/>
      <c r="Y218" s="298" t="n"/>
      <c r="Z218" s="300" t="n"/>
      <c r="AA218" s="300" t="n"/>
      <c r="AB218" s="298" t="n"/>
      <c r="AC218" s="298" t="n"/>
      <c r="AD218" s="300" t="n"/>
      <c r="AE218" s="298" t="n"/>
      <c r="AF218" s="562" t="n"/>
    </row>
    <row r="219">
      <c r="A219" s="212">
        <f>A218+1</f>
        <v/>
      </c>
      <c r="B219" s="214" t="inlineStr">
        <is>
          <t>CREDIT</t>
        </is>
      </c>
      <c r="C219" s="214" t="inlineStr">
        <is>
          <t>EXPEDITORS CAMBODIA LTD.</t>
        </is>
      </c>
      <c r="D219" s="215" t="inlineStr">
        <is>
          <t>L001-100045898</t>
        </is>
      </c>
      <c r="E219" s="290" t="inlineStr">
        <is>
          <t>TI-0306317-1</t>
        </is>
      </c>
      <c r="F219" s="279" t="n">
        <v>45688</v>
      </c>
      <c r="G219" s="216" t="n"/>
      <c r="H219" s="564" t="n"/>
      <c r="I219" s="564" t="n">
        <v>-38228</v>
      </c>
      <c r="J219" s="213" t="inlineStr">
        <is>
          <t>អនុញ្ញាត (បានប្រកាស)</t>
        </is>
      </c>
      <c r="K219" s="213" t="n"/>
      <c r="L219" s="563">
        <f>I219</f>
        <v/>
      </c>
      <c r="M219" s="536">
        <f>I219-L219</f>
        <v/>
      </c>
      <c r="N219" s="213" t="n"/>
      <c r="O219" s="218">
        <f>U219=E219</f>
        <v/>
      </c>
      <c r="P219" s="218">
        <f>MONTH(F219)-MONTH(T219)</f>
        <v/>
      </c>
      <c r="Q219" s="218">
        <f>$B$5=X219</f>
        <v/>
      </c>
      <c r="R219" s="218">
        <f>I219-AD219</f>
        <v/>
      </c>
      <c r="S219" s="298" t="n"/>
      <c r="T219" s="299" t="n"/>
      <c r="U219" s="298" t="n"/>
      <c r="V219" s="298" t="n"/>
      <c r="W219" s="298" t="n"/>
      <c r="X219" s="298" t="n"/>
      <c r="Y219" s="298" t="n"/>
      <c r="Z219" s="300" t="n"/>
      <c r="AA219" s="300" t="n"/>
      <c r="AB219" s="298" t="n"/>
      <c r="AC219" s="298" t="n"/>
      <c r="AD219" s="300" t="n"/>
      <c r="AE219" s="298" t="n"/>
      <c r="AF219" s="562" t="n"/>
    </row>
    <row r="220">
      <c r="A220" s="212">
        <f>A219+1</f>
        <v/>
      </c>
      <c r="B220" s="214" t="inlineStr">
        <is>
          <t>CREDIT</t>
        </is>
      </c>
      <c r="C220" s="214" t="inlineStr">
        <is>
          <t>EXPEDITORS CAMBODIA LTD.</t>
        </is>
      </c>
      <c r="D220" s="215" t="inlineStr">
        <is>
          <t>L001-100045898</t>
        </is>
      </c>
      <c r="E220" s="290" t="inlineStr">
        <is>
          <t>TI-0306317</t>
        </is>
      </c>
      <c r="F220" s="279" t="n">
        <v>45688</v>
      </c>
      <c r="G220" s="216" t="n"/>
      <c r="H220" s="564" t="n"/>
      <c r="I220" s="564" t="n">
        <v>-126756</v>
      </c>
      <c r="J220" s="213" t="inlineStr">
        <is>
          <t>អនុញ្ញាត (បានប្រកាស)</t>
        </is>
      </c>
      <c r="K220" s="213" t="n"/>
      <c r="L220" s="563">
        <f>I220</f>
        <v/>
      </c>
      <c r="M220" s="536">
        <f>I220-L220</f>
        <v/>
      </c>
      <c r="N220" s="213" t="n"/>
      <c r="O220" s="218">
        <f>U220=E220</f>
        <v/>
      </c>
      <c r="P220" s="218">
        <f>MONTH(F220)-MONTH(T220)</f>
        <v/>
      </c>
      <c r="Q220" s="218">
        <f>$B$5=X220</f>
        <v/>
      </c>
      <c r="R220" s="218">
        <f>I220-AD220</f>
        <v/>
      </c>
      <c r="S220" s="298" t="n"/>
      <c r="T220" s="299" t="n"/>
      <c r="U220" s="298" t="n"/>
      <c r="V220" s="298" t="n"/>
      <c r="W220" s="298" t="n"/>
      <c r="X220" s="298" t="n"/>
      <c r="Y220" s="298" t="n"/>
      <c r="Z220" s="300" t="n"/>
      <c r="AA220" s="300" t="n"/>
      <c r="AB220" s="298" t="n"/>
      <c r="AC220" s="298" t="n"/>
      <c r="AD220" s="300" t="n"/>
      <c r="AE220" s="298" t="n"/>
      <c r="AF220" s="562" t="n"/>
    </row>
    <row r="221">
      <c r="A221" s="212">
        <f>A220+1</f>
        <v/>
      </c>
      <c r="B221" s="214" t="inlineStr">
        <is>
          <t>Label Paper</t>
        </is>
      </c>
      <c r="C221" s="214" t="inlineStr">
        <is>
          <t>JIA CHENG FA (CAMBODIA) CO., LTD.</t>
        </is>
      </c>
      <c r="D221" s="215" t="inlineStr">
        <is>
          <t>K010-902104844</t>
        </is>
      </c>
      <c r="E221" s="290" t="inlineStr">
        <is>
          <t>T202500064</t>
        </is>
      </c>
      <c r="F221" s="279" t="n">
        <v>45722</v>
      </c>
      <c r="G221" s="216" t="n"/>
      <c r="H221" s="564" t="n"/>
      <c r="I221" s="564" t="n">
        <v>4922480</v>
      </c>
      <c r="J221" s="213" t="inlineStr">
        <is>
          <t>អនុញ្ញាត (បានប្រកាស)</t>
        </is>
      </c>
      <c r="K221" s="213" t="n"/>
      <c r="L221" s="563">
        <f>I221</f>
        <v/>
      </c>
      <c r="M221" s="536">
        <f>I221-L221</f>
        <v/>
      </c>
      <c r="N221" s="213" t="n"/>
      <c r="O221" s="218">
        <f>U221=E221</f>
        <v/>
      </c>
      <c r="P221" s="218">
        <f>MONTH(F221)-MONTH(T221)</f>
        <v/>
      </c>
      <c r="Q221" s="218">
        <f>$B$5=X221</f>
        <v/>
      </c>
      <c r="R221" s="218">
        <f>I221-AD221</f>
        <v/>
      </c>
      <c r="S221" s="298" t="n"/>
      <c r="T221" s="299" t="n">
        <v>45722</v>
      </c>
      <c r="U221" s="298" t="inlineStr">
        <is>
          <t>T202500064</t>
        </is>
      </c>
      <c r="V221" s="298" t="n">
        <v>0</v>
      </c>
      <c r="W221" s="298" t="inlineStr">
        <is>
          <t>បុគ្គលជាប់អាករ</t>
        </is>
      </c>
      <c r="X221" s="298" t="inlineStr">
        <is>
          <t>L001-901640009</t>
        </is>
      </c>
      <c r="Y221" s="298" t="inlineStr">
        <is>
          <t>ហូលីដេ ឌីហ្សាញ (ខេមបូឌា) ឯ.ក</t>
        </is>
      </c>
      <c r="Z221" s="300" t="n">
        <v>54147277</v>
      </c>
      <c r="AA221" s="300" t="n">
        <v>49224797</v>
      </c>
      <c r="AB221" s="298" t="n">
        <v>0</v>
      </c>
      <c r="AC221" s="298" t="inlineStr">
        <is>
          <t>-</t>
        </is>
      </c>
      <c r="AD221" s="300" t="n">
        <v>4922480</v>
      </c>
      <c r="AE221" s="298" t="n">
        <v>0</v>
      </c>
      <c r="AF221" s="562" t="n">
        <v>0</v>
      </c>
      <c r="AG221" s="198" t="n">
        <v>0</v>
      </c>
      <c r="AH221" s="198" t="n">
        <v>0</v>
      </c>
      <c r="AI221" s="198" t="n">
        <v>0</v>
      </c>
      <c r="AJ221" s="198" t="n">
        <v>0</v>
      </c>
      <c r="AK221" s="198" t="n">
        <v>0</v>
      </c>
      <c r="AL221" s="198" t="n">
        <v>0.01</v>
      </c>
      <c r="AM221" s="198" t="n">
        <v>0</v>
      </c>
      <c r="AN221" s="198" t="inlineStr">
        <is>
          <t>LABEL PAPER</t>
        </is>
      </c>
      <c r="AO221" s="198" t="inlineStr">
        <is>
          <t>បានប្រកាសនិងបង់ពន្ធ</t>
        </is>
      </c>
    </row>
    <row r="222">
      <c r="A222" s="212">
        <f>A221+1</f>
        <v/>
      </c>
      <c r="B222" s="214" t="inlineStr">
        <is>
          <t>Label Paper</t>
        </is>
      </c>
      <c r="C222" s="214" t="inlineStr">
        <is>
          <t>JIA CHENG FA (CAMBODIA) CO., LTD.</t>
        </is>
      </c>
      <c r="D222" s="215" t="inlineStr">
        <is>
          <t>K010-902104844</t>
        </is>
      </c>
      <c r="E222" s="290" t="inlineStr">
        <is>
          <t>T202500093</t>
        </is>
      </c>
      <c r="F222" s="279" t="n">
        <v>45744</v>
      </c>
      <c r="G222" s="216" t="n"/>
      <c r="H222" s="564" t="n"/>
      <c r="I222" s="564" t="n">
        <v>35177345</v>
      </c>
      <c r="J222" s="213" t="inlineStr">
        <is>
          <t>អនុញ្ញាត (បានប្រកាស)</t>
        </is>
      </c>
      <c r="K222" s="213" t="n"/>
      <c r="L222" s="563">
        <f>I222</f>
        <v/>
      </c>
      <c r="M222" s="536">
        <f>I222-L222</f>
        <v/>
      </c>
      <c r="N222" s="213" t="inlineStr">
        <is>
          <t>បានពិនិត្យវិក្កយបត្រ</t>
        </is>
      </c>
      <c r="O222" s="218">
        <f>U222=E222</f>
        <v/>
      </c>
      <c r="P222" s="218">
        <f>MONTH(F222)-MONTH(T222)</f>
        <v/>
      </c>
      <c r="Q222" s="218">
        <f>$B$5=X222</f>
        <v/>
      </c>
      <c r="R222" s="218">
        <f>I222-AD222</f>
        <v/>
      </c>
      <c r="S222" s="298" t="n"/>
      <c r="T222" s="299" t="n">
        <v>45744</v>
      </c>
      <c r="U222" s="298" t="inlineStr">
        <is>
          <t>T202500093</t>
        </is>
      </c>
      <c r="V222" s="298" t="n">
        <v>0</v>
      </c>
      <c r="W222" s="298" t="inlineStr">
        <is>
          <t>បុគ្គលជាប់អាករ</t>
        </is>
      </c>
      <c r="X222" s="298" t="inlineStr">
        <is>
          <t>L001-901640009</t>
        </is>
      </c>
      <c r="Y222" s="298" t="inlineStr">
        <is>
          <t>ហូលីដេ ឌីហ្សាញ (ខេមបូឌា) ឯ.ក</t>
        </is>
      </c>
      <c r="Z222" s="300" t="n">
        <v>386950793</v>
      </c>
      <c r="AA222" s="300" t="n">
        <v>351773448</v>
      </c>
      <c r="AB222" s="298" t="n">
        <v>0</v>
      </c>
      <c r="AC222" s="298" t="inlineStr">
        <is>
          <t>-</t>
        </is>
      </c>
      <c r="AD222" s="300" t="n">
        <v>35177345</v>
      </c>
      <c r="AE222" s="298" t="n">
        <v>0</v>
      </c>
      <c r="AF222" s="562" t="n">
        <v>0</v>
      </c>
      <c r="AG222" s="198" t="n">
        <v>0</v>
      </c>
      <c r="AH222" s="198" t="n">
        <v>0</v>
      </c>
      <c r="AI222" s="198" t="n">
        <v>0</v>
      </c>
      <c r="AJ222" s="198" t="n">
        <v>0</v>
      </c>
      <c r="AK222" s="198" t="n">
        <v>0</v>
      </c>
      <c r="AL222" s="198" t="n">
        <v>0.01</v>
      </c>
      <c r="AM222" s="198" t="n">
        <v>0</v>
      </c>
      <c r="AN222" s="198" t="inlineStr">
        <is>
          <t>LABEL PAPER</t>
        </is>
      </c>
      <c r="AO222" s="198" t="inlineStr">
        <is>
          <t>បានប្រកាសនិងបង់ពន្ធ</t>
        </is>
      </c>
    </row>
    <row r="223">
      <c r="A223" s="212">
        <f>A222+1</f>
        <v/>
      </c>
      <c r="B223" s="214" t="inlineStr">
        <is>
          <t>Label Paper</t>
        </is>
      </c>
      <c r="C223" s="214" t="inlineStr">
        <is>
          <t>JIA CHENG FA (CAMBODIA) CO., LTD.</t>
        </is>
      </c>
      <c r="D223" s="215" t="inlineStr">
        <is>
          <t>K010-902104844</t>
        </is>
      </c>
      <c r="E223" s="290" t="inlineStr">
        <is>
          <t>T202500145</t>
        </is>
      </c>
      <c r="F223" s="279" t="n">
        <v>45777</v>
      </c>
      <c r="G223" s="216" t="n"/>
      <c r="H223" s="564" t="n"/>
      <c r="I223" s="564" t="n">
        <v>5998255</v>
      </c>
      <c r="J223" s="213" t="inlineStr">
        <is>
          <t>អនុញ្ញាត (បានប្រកាស)</t>
        </is>
      </c>
      <c r="K223" s="213" t="n"/>
      <c r="L223" s="563">
        <f>I223</f>
        <v/>
      </c>
      <c r="M223" s="536">
        <f>I223-L223</f>
        <v/>
      </c>
      <c r="N223" s="213" t="inlineStr">
        <is>
          <t>បានពិនិត្យវិក្កយបត្រ</t>
        </is>
      </c>
      <c r="O223" s="218">
        <f>U223=E223</f>
        <v/>
      </c>
      <c r="P223" s="218">
        <f>MONTH(F223)-MONTH(T223)</f>
        <v/>
      </c>
      <c r="Q223" s="218">
        <f>$B$5=X223</f>
        <v/>
      </c>
      <c r="R223" s="218">
        <f>I223-AD223</f>
        <v/>
      </c>
      <c r="S223" s="298" t="n"/>
      <c r="T223" s="299" t="n">
        <v>45777</v>
      </c>
      <c r="U223" s="298" t="inlineStr">
        <is>
          <t>T202500145</t>
        </is>
      </c>
      <c r="V223" s="298" t="n">
        <v>0</v>
      </c>
      <c r="W223" s="298" t="inlineStr">
        <is>
          <t>បុគ្គលជាប់អាករ</t>
        </is>
      </c>
      <c r="X223" s="298" t="inlineStr">
        <is>
          <t>L001-901640009</t>
        </is>
      </c>
      <c r="Y223" s="298" t="inlineStr">
        <is>
          <t>ហូលីដេ ឌីហ្សាញ (ខេមបូឌា) ឯ.ក</t>
        </is>
      </c>
      <c r="Z223" s="300" t="n">
        <v>65980809</v>
      </c>
      <c r="AA223" s="300" t="n">
        <v>59982554</v>
      </c>
      <c r="AB223" s="298" t="n">
        <v>0</v>
      </c>
      <c r="AC223" s="298" t="inlineStr">
        <is>
          <t>-</t>
        </is>
      </c>
      <c r="AD223" s="300" t="n">
        <v>5998255</v>
      </c>
      <c r="AE223" s="298" t="n">
        <v>0</v>
      </c>
      <c r="AF223" s="562" t="n">
        <v>0</v>
      </c>
      <c r="AG223" s="198" t="n">
        <v>0</v>
      </c>
      <c r="AH223" s="198" t="n">
        <v>0</v>
      </c>
      <c r="AI223" s="198" t="n">
        <v>0</v>
      </c>
      <c r="AJ223" s="198" t="n">
        <v>0</v>
      </c>
      <c r="AK223" s="198" t="n">
        <v>0</v>
      </c>
      <c r="AL223" s="198" t="n">
        <v>0.01</v>
      </c>
      <c r="AM223" s="198" t="n">
        <v>0</v>
      </c>
      <c r="AN223" s="198" t="inlineStr">
        <is>
          <t>LABEL PAPER</t>
        </is>
      </c>
      <c r="AO223" s="198" t="inlineStr">
        <is>
          <t>បានប្រកាសនិងបង់ពន្ធ</t>
        </is>
      </c>
    </row>
    <row r="224">
      <c r="A224" s="212">
        <f>A223+1</f>
        <v/>
      </c>
      <c r="B224" s="214" t="inlineStr">
        <is>
          <t>Label Paper</t>
        </is>
      </c>
      <c r="C224" s="214" t="inlineStr">
        <is>
          <t>JIA CHENG FA (CAMBODIA) CO., LTD.</t>
        </is>
      </c>
      <c r="D224" s="215" t="inlineStr">
        <is>
          <t>K010-902104844</t>
        </is>
      </c>
      <c r="E224" s="290" t="inlineStr">
        <is>
          <t>T202500169</t>
        </is>
      </c>
      <c r="F224" s="279" t="n">
        <v>45807</v>
      </c>
      <c r="G224" s="216" t="n"/>
      <c r="H224" s="564" t="n"/>
      <c r="I224" s="564" t="n">
        <v>6455343</v>
      </c>
      <c r="J224" s="213" t="inlineStr">
        <is>
          <t>អនុញ្ញាត (បានប្រកាស)</t>
        </is>
      </c>
      <c r="K224" s="213" t="n"/>
      <c r="L224" s="563">
        <f>I224</f>
        <v/>
      </c>
      <c r="M224" s="536">
        <f>I224-L224</f>
        <v/>
      </c>
      <c r="N224" s="213" t="inlineStr">
        <is>
          <t>បានពិនិត្យវិក្កយបត្រ</t>
        </is>
      </c>
      <c r="O224" s="218">
        <f>U224=E224</f>
        <v/>
      </c>
      <c r="P224" s="218">
        <f>MONTH(F224)-MONTH(T224)</f>
        <v/>
      </c>
      <c r="Q224" s="218">
        <f>$B$5=X224</f>
        <v/>
      </c>
      <c r="R224" s="218">
        <f>I224-AD224</f>
        <v/>
      </c>
      <c r="S224" s="298" t="n"/>
      <c r="T224" s="299" t="n">
        <v>45807</v>
      </c>
      <c r="U224" s="298" t="inlineStr">
        <is>
          <t>T202500169</t>
        </is>
      </c>
      <c r="V224" s="298" t="n">
        <v>0</v>
      </c>
      <c r="W224" s="298" t="inlineStr">
        <is>
          <t>បុគ្គលជាប់អាករ</t>
        </is>
      </c>
      <c r="X224" s="298" t="inlineStr">
        <is>
          <t>L001-901640009</t>
        </is>
      </c>
      <c r="Y224" s="298" t="inlineStr">
        <is>
          <t>ហូលីដេ ឌីហ្សាញ (ខេមបូឌា) ឯ.ក</t>
        </is>
      </c>
      <c r="Z224" s="300" t="n">
        <v>71008770</v>
      </c>
      <c r="AA224" s="300" t="n">
        <v>64553427</v>
      </c>
      <c r="AB224" s="298" t="n">
        <v>0</v>
      </c>
      <c r="AC224" s="298" t="inlineStr">
        <is>
          <t>-</t>
        </is>
      </c>
      <c r="AD224" s="300" t="n">
        <v>6455343</v>
      </c>
      <c r="AE224" s="298" t="n">
        <v>0</v>
      </c>
      <c r="AF224" s="562" t="n">
        <v>0</v>
      </c>
      <c r="AG224" s="198" t="n">
        <v>0</v>
      </c>
      <c r="AH224" s="198" t="n">
        <v>0</v>
      </c>
      <c r="AI224" s="198" t="n">
        <v>0</v>
      </c>
      <c r="AJ224" s="198" t="n">
        <v>0</v>
      </c>
      <c r="AK224" s="198" t="n">
        <v>0</v>
      </c>
      <c r="AL224" s="198" t="n">
        <v>0.01</v>
      </c>
      <c r="AM224" s="198" t="n">
        <v>0</v>
      </c>
      <c r="AN224" s="198" t="inlineStr">
        <is>
          <t>LABEL PAPER</t>
        </is>
      </c>
      <c r="AO224" s="198" t="inlineStr">
        <is>
          <t>បានប្រកាសនិងបង់ពន្ធ</t>
        </is>
      </c>
    </row>
    <row r="225">
      <c r="A225" s="212">
        <f>A224+1</f>
        <v/>
      </c>
      <c r="B225" s="214" t="inlineStr">
        <is>
          <t>Lift-On&amp;Lift-Off-Im</t>
        </is>
      </c>
      <c r="C225" s="214" t="inlineStr">
        <is>
          <t>Port Autonome Du Sihanoukville</t>
        </is>
      </c>
      <c r="D225" s="215" t="inlineStr">
        <is>
          <t>L001-100044638</t>
        </is>
      </c>
      <c r="E225" s="290" t="n">
        <v>202500043532</v>
      </c>
      <c r="F225" s="279" t="n">
        <v>45715</v>
      </c>
      <c r="G225" s="216" t="n"/>
      <c r="H225" s="564" t="n"/>
      <c r="I225" s="564" t="n">
        <v>591876</v>
      </c>
      <c r="J225" s="213" t="inlineStr">
        <is>
          <t>អនុញ្ញាត (បានប្រកាស)</t>
        </is>
      </c>
      <c r="K225" s="213" t="n"/>
      <c r="L225" s="563">
        <f>I225</f>
        <v/>
      </c>
      <c r="M225" s="536">
        <f>I225-L225</f>
        <v/>
      </c>
      <c r="N225" s="213" t="n"/>
      <c r="O225" s="218">
        <f>U225=E225</f>
        <v/>
      </c>
      <c r="P225" s="218">
        <f>MONTH(F225)-MONTH(T225)</f>
        <v/>
      </c>
      <c r="Q225" s="218">
        <f>$B$5=X225</f>
        <v/>
      </c>
      <c r="R225" s="218">
        <f>I225-AD225</f>
        <v/>
      </c>
      <c r="S225" s="298" t="n"/>
      <c r="T225" s="299" t="n">
        <v>45715</v>
      </c>
      <c r="U225" s="298" t="n">
        <v>202500043532</v>
      </c>
      <c r="V225" s="298" t="n">
        <v>0</v>
      </c>
      <c r="W225" s="298" t="inlineStr">
        <is>
          <t>បុគ្គលជាប់អាករ</t>
        </is>
      </c>
      <c r="X225" s="298" t="inlineStr">
        <is>
          <t>L001-901640009</t>
        </is>
      </c>
      <c r="Y225" s="298" t="inlineStr">
        <is>
          <t>ហូលីដេ ឌីហ្សាញ (ខេមបូឌា) ឯ.ក</t>
        </is>
      </c>
      <c r="Z225" s="300" t="n">
        <v>6672996</v>
      </c>
      <c r="AA225" s="300" t="n">
        <v>6066360</v>
      </c>
      <c r="AB225" s="298" t="n">
        <v>0</v>
      </c>
      <c r="AC225" s="298" t="inlineStr">
        <is>
          <t>-</t>
        </is>
      </c>
      <c r="AD225" s="300" t="n">
        <v>606636</v>
      </c>
      <c r="AE225" s="298" t="n">
        <v>0</v>
      </c>
      <c r="AF225" s="562" t="n">
        <v>0</v>
      </c>
      <c r="AG225" s="198" t="n">
        <v>0</v>
      </c>
      <c r="AH225" s="198" t="n">
        <v>0</v>
      </c>
      <c r="AI225" s="198" t="n">
        <v>0</v>
      </c>
      <c r="AJ225" s="198" t="n">
        <v>0</v>
      </c>
      <c r="AK225" s="198" t="n">
        <v>0</v>
      </c>
      <c r="AL225" s="198" t="n">
        <v>0.01</v>
      </c>
      <c r="AM225" s="198" t="n">
        <v>0</v>
      </c>
      <c r="AN225" s="198" t="inlineStr">
        <is>
          <t>LOLO</t>
        </is>
      </c>
    </row>
    <row r="226">
      <c r="A226" s="212">
        <f>A225+1</f>
        <v/>
      </c>
      <c r="B226" s="214" t="inlineStr">
        <is>
          <t>Terminal Handling Service-Im</t>
        </is>
      </c>
      <c r="C226" s="214" t="inlineStr">
        <is>
          <t>SITC CONTAINER LINES (CAMBODIA) Co., Ltd.</t>
        </is>
      </c>
      <c r="D226" s="215" t="inlineStr">
        <is>
          <t>L001-107035863</t>
        </is>
      </c>
      <c r="E226" s="290" t="inlineStr">
        <is>
          <t>SITC2025-005903</t>
        </is>
      </c>
      <c r="F226" s="279" t="n">
        <v>45712</v>
      </c>
      <c r="G226" s="216" t="n"/>
      <c r="H226" s="564" t="n"/>
      <c r="I226" s="564" t="n">
        <v>3513636</v>
      </c>
      <c r="J226" s="213" t="inlineStr">
        <is>
          <t>អនុញ្ញាត (បានប្រកាស)</t>
        </is>
      </c>
      <c r="K226" s="213" t="n"/>
      <c r="L226" s="563">
        <f>I226</f>
        <v/>
      </c>
      <c r="M226" s="536">
        <f>I226-L226</f>
        <v/>
      </c>
      <c r="N226" s="213" t="n"/>
      <c r="O226" s="218">
        <f>U226=E226</f>
        <v/>
      </c>
      <c r="P226" s="218">
        <f>MONTH(F226)-MONTH(T226)</f>
        <v/>
      </c>
      <c r="Q226" s="218">
        <f>$B$5=X226</f>
        <v/>
      </c>
      <c r="R226" s="218">
        <f>I226-AD226</f>
        <v/>
      </c>
      <c r="S226" s="298" t="n"/>
      <c r="T226" s="299" t="n">
        <v>45712</v>
      </c>
      <c r="U226" s="298" t="inlineStr">
        <is>
          <t>SITC2025-005903</t>
        </is>
      </c>
      <c r="V226" s="298" t="n">
        <v>0</v>
      </c>
      <c r="W226" s="298" t="inlineStr">
        <is>
          <t>បុគ្គលជាប់អាករ</t>
        </is>
      </c>
      <c r="X226" s="298" t="inlineStr">
        <is>
          <t>L001-901640009</t>
        </is>
      </c>
      <c r="Y226" s="298" t="inlineStr">
        <is>
          <t>ហូលីដេ ឌីហ្សាញ (ខេមបូឌា) ឯ.ក</t>
        </is>
      </c>
      <c r="Z226" s="300" t="n">
        <v>38649996</v>
      </c>
      <c r="AA226" s="300" t="n">
        <v>35136360</v>
      </c>
      <c r="AB226" s="298" t="n">
        <v>0</v>
      </c>
      <c r="AC226" s="298" t="inlineStr">
        <is>
          <t>-</t>
        </is>
      </c>
      <c r="AD226" s="300" t="n">
        <v>3513636</v>
      </c>
      <c r="AE226" s="298" t="n">
        <v>0</v>
      </c>
      <c r="AF226" s="562" t="n">
        <v>0</v>
      </c>
      <c r="AG226" s="198" t="n">
        <v>0</v>
      </c>
      <c r="AH226" s="198" t="n">
        <v>0</v>
      </c>
      <c r="AI226" s="198" t="n">
        <v>0</v>
      </c>
      <c r="AJ226" s="198" t="n">
        <v>0</v>
      </c>
      <c r="AK226" s="198" t="n">
        <v>0</v>
      </c>
      <c r="AL226" s="198" t="n">
        <v>0.01</v>
      </c>
      <c r="AM226" s="198" t="n">
        <v>0</v>
      </c>
      <c r="AN226" s="198" t="inlineStr">
        <is>
          <t>EMF,KHTHC,KHCIC,KHTHC,KHCIC,EMF,EIB,EIB,KHDOC</t>
        </is>
      </c>
    </row>
    <row r="227">
      <c r="A227" s="212">
        <f>A226+1</f>
        <v/>
      </c>
      <c r="B227" s="214" t="inlineStr">
        <is>
          <t>Trucking Fee-Im</t>
        </is>
      </c>
      <c r="C227" s="214" t="inlineStr">
        <is>
          <t>BRILLIANT TRANSPORT AND TRADING Co., Ltd.</t>
        </is>
      </c>
      <c r="D227" s="215" t="inlineStr">
        <is>
          <t>K002-100089305</t>
        </is>
      </c>
      <c r="E227" s="290" t="inlineStr">
        <is>
          <t>BTT25-0000437</t>
        </is>
      </c>
      <c r="F227" s="279" t="n">
        <v>45715</v>
      </c>
      <c r="G227" s="216" t="n"/>
      <c r="H227" s="564" t="n"/>
      <c r="I227" s="564" t="n">
        <v>4206490</v>
      </c>
      <c r="J227" s="213" t="inlineStr">
        <is>
          <t>អនុញ្ញាត (បានប្រកាស)</t>
        </is>
      </c>
      <c r="K227" s="213" t="n"/>
      <c r="L227" s="563">
        <f>I227</f>
        <v/>
      </c>
      <c r="M227" s="536">
        <f>I227-L227</f>
        <v/>
      </c>
      <c r="N227" s="213" t="n"/>
      <c r="O227" s="218">
        <f>U227=E227</f>
        <v/>
      </c>
      <c r="P227" s="218">
        <f>MONTH(F227)-MONTH(T227)</f>
        <v/>
      </c>
      <c r="Q227" s="218">
        <f>$B$5=X227</f>
        <v/>
      </c>
      <c r="R227" s="218">
        <f>I227-AD227</f>
        <v/>
      </c>
      <c r="S227" s="298" t="n"/>
      <c r="T227" s="299" t="n">
        <v>45715</v>
      </c>
      <c r="U227" s="298" t="inlineStr">
        <is>
          <t>BTT25-0000437</t>
        </is>
      </c>
      <c r="V227" s="298" t="n">
        <v>0</v>
      </c>
      <c r="W227" s="298" t="inlineStr">
        <is>
          <t>បុគ្គលជាប់អាករ</t>
        </is>
      </c>
      <c r="X227" s="298" t="inlineStr">
        <is>
          <t>L001-901640009</t>
        </is>
      </c>
      <c r="Y227" s="298" t="inlineStr">
        <is>
          <t>ហូលីដេ ឌីហ្សាញ (ខេមបូឌា) ឯ.ក</t>
        </is>
      </c>
      <c r="Z227" s="300" t="n">
        <v>46271390</v>
      </c>
      <c r="AA227" s="300" t="n">
        <v>42064900</v>
      </c>
      <c r="AB227" s="298" t="n">
        <v>0</v>
      </c>
      <c r="AC227" s="298" t="inlineStr">
        <is>
          <t>-</t>
        </is>
      </c>
      <c r="AD227" s="300" t="n">
        <v>4206490</v>
      </c>
      <c r="AE227" s="298" t="n">
        <v>0</v>
      </c>
      <c r="AF227" s="562" t="n">
        <v>0</v>
      </c>
      <c r="AG227" s="198" t="n">
        <v>0</v>
      </c>
      <c r="AH227" s="198" t="n">
        <v>0</v>
      </c>
      <c r="AI227" s="198" t="n">
        <v>0</v>
      </c>
      <c r="AJ227" s="198" t="n">
        <v>0</v>
      </c>
      <c r="AK227" s="198" t="n">
        <v>0</v>
      </c>
      <c r="AL227" s="198" t="n">
        <v>0.01</v>
      </c>
      <c r="AM227" s="198" t="n">
        <v>0</v>
      </c>
      <c r="AN227" s="198" t="inlineStr">
        <is>
          <t>Truking / Service</t>
        </is>
      </c>
    </row>
    <row r="228">
      <c r="A228" s="212">
        <f>A227+1</f>
        <v/>
      </c>
      <c r="B228" s="214" t="inlineStr">
        <is>
          <t>Lift-On&amp;Lift-Off-Im</t>
        </is>
      </c>
      <c r="C228" s="214" t="inlineStr">
        <is>
          <t>Port Autonome Du Sihanoukville</t>
        </is>
      </c>
      <c r="D228" s="215" t="inlineStr">
        <is>
          <t>L001-100044638</t>
        </is>
      </c>
      <c r="E228" s="290" t="n">
        <v>202500041308</v>
      </c>
      <c r="F228" s="279" t="n">
        <v>45712</v>
      </c>
      <c r="G228" s="216" t="n"/>
      <c r="H228" s="564" t="n"/>
      <c r="I228" s="564" t="n">
        <v>69791</v>
      </c>
      <c r="J228" s="213" t="inlineStr">
        <is>
          <t>អនុញ្ញាត (បានប្រកាស)</t>
        </is>
      </c>
      <c r="K228" s="213" t="n"/>
      <c r="L228" s="563">
        <f>I228</f>
        <v/>
      </c>
      <c r="M228" s="536">
        <f>I228-L228</f>
        <v/>
      </c>
      <c r="N228" s="213" t="n"/>
      <c r="O228" s="218">
        <f>U228=E228</f>
        <v/>
      </c>
      <c r="P228" s="218">
        <f>MONTH(F228)-MONTH(T228)</f>
        <v/>
      </c>
      <c r="Q228" s="218">
        <f>$B$5=X228</f>
        <v/>
      </c>
      <c r="R228" s="218">
        <f>I228-AD228</f>
        <v/>
      </c>
      <c r="S228" s="298" t="n"/>
      <c r="T228" s="299" t="n">
        <v>45712</v>
      </c>
      <c r="U228" s="298" t="n">
        <v>202500041308</v>
      </c>
      <c r="V228" s="298" t="n">
        <v>0</v>
      </c>
      <c r="W228" s="298" t="inlineStr">
        <is>
          <t>បុគ្គលជាប់អាករ</t>
        </is>
      </c>
      <c r="X228" s="298" t="inlineStr">
        <is>
          <t>L001-901640009</t>
        </is>
      </c>
      <c r="Y228" s="298" t="inlineStr">
        <is>
          <t>ហូលីដេ ឌីហ្សាញ (ខេមបូឌា) ឯ.ក</t>
        </is>
      </c>
      <c r="Z228" s="300" t="n">
        <v>767705</v>
      </c>
      <c r="AA228" s="300" t="n">
        <v>697914</v>
      </c>
      <c r="AB228" s="298" t="n">
        <v>0</v>
      </c>
      <c r="AC228" s="298" t="inlineStr">
        <is>
          <t>-</t>
        </is>
      </c>
      <c r="AD228" s="300" t="n">
        <v>69791</v>
      </c>
      <c r="AE228" s="298" t="n">
        <v>0</v>
      </c>
      <c r="AF228" s="562" t="n">
        <v>0</v>
      </c>
      <c r="AG228" s="198" t="n">
        <v>0</v>
      </c>
      <c r="AH228" s="198" t="n">
        <v>0</v>
      </c>
      <c r="AI228" s="198" t="n">
        <v>0</v>
      </c>
      <c r="AJ228" s="198" t="n">
        <v>0</v>
      </c>
      <c r="AK228" s="198" t="n">
        <v>0</v>
      </c>
      <c r="AL228" s="198" t="n">
        <v>0.01</v>
      </c>
      <c r="AM228" s="198" t="n">
        <v>0</v>
      </c>
      <c r="AN228" s="198" t="inlineStr">
        <is>
          <t>LOLO</t>
        </is>
      </c>
    </row>
    <row r="229">
      <c r="A229" s="212">
        <f>A228+1</f>
        <v/>
      </c>
      <c r="B229" s="214" t="inlineStr">
        <is>
          <t>Trucking Fee-Im</t>
        </is>
      </c>
      <c r="C229" s="214" t="inlineStr">
        <is>
          <t>BRILLIANT TRANSPORT AND TRADING Co., Ltd.</t>
        </is>
      </c>
      <c r="D229" s="215" t="inlineStr">
        <is>
          <t>K002-100089305</t>
        </is>
      </c>
      <c r="E229" s="290" t="inlineStr">
        <is>
          <t>BTT25-0000436</t>
        </is>
      </c>
      <c r="F229" s="279" t="n">
        <v>45709</v>
      </c>
      <c r="G229" s="216" t="n"/>
      <c r="H229" s="564" t="n"/>
      <c r="I229" s="564" t="n">
        <v>489464</v>
      </c>
      <c r="J229" s="213" t="inlineStr">
        <is>
          <t>អនុញ្ញាត (បានប្រកាស)</t>
        </is>
      </c>
      <c r="K229" s="213" t="n"/>
      <c r="L229" s="563">
        <f>I229</f>
        <v/>
      </c>
      <c r="M229" s="536">
        <f>I229-L229</f>
        <v/>
      </c>
      <c r="N229" s="213" t="n"/>
      <c r="O229" s="218">
        <f>U229=E229</f>
        <v/>
      </c>
      <c r="P229" s="218">
        <f>MONTH(F229)-MONTH(T229)</f>
        <v/>
      </c>
      <c r="Q229" s="218">
        <f>$B$5=X229</f>
        <v/>
      </c>
      <c r="R229" s="218">
        <f>I229-AD229</f>
        <v/>
      </c>
      <c r="S229" s="298" t="n"/>
      <c r="T229" s="299" t="n">
        <v>45709</v>
      </c>
      <c r="U229" s="298" t="inlineStr">
        <is>
          <t>BTT25-0000436</t>
        </is>
      </c>
      <c r="V229" s="298" t="n">
        <v>0</v>
      </c>
      <c r="W229" s="298" t="inlineStr">
        <is>
          <t>បុគ្គលជាប់អាករ</t>
        </is>
      </c>
      <c r="X229" s="298" t="inlineStr">
        <is>
          <t>L001-901640009</t>
        </is>
      </c>
      <c r="Y229" s="298" t="inlineStr">
        <is>
          <t>ហូលីដេ ឌីហ្សាញ (ខេមបូឌា) ឯ.ក</t>
        </is>
      </c>
      <c r="Z229" s="300" t="n">
        <v>5384104</v>
      </c>
      <c r="AA229" s="300" t="n">
        <v>4894640</v>
      </c>
      <c r="AB229" s="298" t="n">
        <v>0</v>
      </c>
      <c r="AC229" s="298" t="inlineStr">
        <is>
          <t>-</t>
        </is>
      </c>
      <c r="AD229" s="300" t="n">
        <v>489464</v>
      </c>
      <c r="AE229" s="298" t="n">
        <v>0</v>
      </c>
      <c r="AF229" s="562" t="n">
        <v>0</v>
      </c>
      <c r="AG229" s="198" t="n">
        <v>0</v>
      </c>
      <c r="AH229" s="198" t="n">
        <v>0</v>
      </c>
      <c r="AI229" s="198" t="n">
        <v>0</v>
      </c>
      <c r="AJ229" s="198" t="n">
        <v>0</v>
      </c>
      <c r="AK229" s="198" t="n">
        <v>0</v>
      </c>
      <c r="AL229" s="198" t="n">
        <v>0.01</v>
      </c>
      <c r="AM229" s="198" t="n">
        <v>0</v>
      </c>
      <c r="AN229" s="198" t="inlineStr">
        <is>
          <t>Truking / Service</t>
        </is>
      </c>
    </row>
    <row r="230">
      <c r="A230" s="212">
        <f>A229+1</f>
        <v/>
      </c>
      <c r="B230" s="214" t="inlineStr">
        <is>
          <t>Lift-On&amp;Lift-Off-Im</t>
        </is>
      </c>
      <c r="C230" s="214" t="inlineStr">
        <is>
          <t>Port Autonome Du Sihanoukville</t>
        </is>
      </c>
      <c r="D230" s="215" t="inlineStr">
        <is>
          <t>L001-100044638</t>
        </is>
      </c>
      <c r="E230" s="290" t="n">
        <v>202500038487</v>
      </c>
      <c r="F230" s="279" t="n">
        <v>45707</v>
      </c>
      <c r="G230" s="216" t="n"/>
      <c r="H230" s="564" t="n"/>
      <c r="I230" s="564" t="n">
        <v>349392</v>
      </c>
      <c r="J230" s="213" t="inlineStr">
        <is>
          <t>អនុញ្ញាត (បានប្រកាស)</t>
        </is>
      </c>
      <c r="K230" s="213" t="n"/>
      <c r="L230" s="563">
        <f>I230</f>
        <v/>
      </c>
      <c r="M230" s="536">
        <f>I230-L230</f>
        <v/>
      </c>
      <c r="N230" s="213" t="n"/>
      <c r="O230" s="218">
        <f>U230=E230</f>
        <v/>
      </c>
      <c r="P230" s="218">
        <f>MONTH(F230)-MONTH(T230)</f>
        <v/>
      </c>
      <c r="Q230" s="218">
        <f>$B$5=X230</f>
        <v/>
      </c>
      <c r="R230" s="218">
        <f>I230-AD230</f>
        <v/>
      </c>
      <c r="S230" s="298" t="n"/>
      <c r="T230" s="299" t="n">
        <v>45707</v>
      </c>
      <c r="U230" s="298" t="n">
        <v>202500038487</v>
      </c>
      <c r="V230" s="298" t="n">
        <v>0</v>
      </c>
      <c r="W230" s="298" t="inlineStr">
        <is>
          <t>បុគ្គលជាប់អាករ</t>
        </is>
      </c>
      <c r="X230" s="298" t="inlineStr">
        <is>
          <t>L001-901640009</t>
        </is>
      </c>
      <c r="Y230" s="298" t="inlineStr">
        <is>
          <t>ហូលីដេ ឌីហ្សាញ (ខេមបូឌា) ឯ.ក</t>
        </is>
      </c>
      <c r="Z230" s="300" t="n">
        <v>3843312</v>
      </c>
      <c r="AA230" s="300" t="n">
        <v>3493920</v>
      </c>
      <c r="AB230" s="298" t="n">
        <v>0</v>
      </c>
      <c r="AC230" s="298" t="inlineStr">
        <is>
          <t>-</t>
        </is>
      </c>
      <c r="AD230" s="300" t="n">
        <v>349392</v>
      </c>
      <c r="AE230" s="298" t="n">
        <v>0</v>
      </c>
      <c r="AF230" s="562" t="n">
        <v>0</v>
      </c>
      <c r="AG230" s="198" t="n">
        <v>0</v>
      </c>
      <c r="AH230" s="198" t="n">
        <v>0</v>
      </c>
      <c r="AI230" s="198" t="n">
        <v>0</v>
      </c>
      <c r="AJ230" s="198" t="n">
        <v>0</v>
      </c>
      <c r="AK230" s="198" t="n">
        <v>0</v>
      </c>
      <c r="AL230" s="198" t="n">
        <v>0.01</v>
      </c>
      <c r="AM230" s="198" t="n">
        <v>0</v>
      </c>
      <c r="AN230" s="198" t="inlineStr">
        <is>
          <t>LOLO</t>
        </is>
      </c>
    </row>
    <row r="231">
      <c r="A231" s="212">
        <f>A230+1</f>
        <v/>
      </c>
      <c r="B231" s="214" t="inlineStr">
        <is>
          <t>Security Service</t>
        </is>
      </c>
      <c r="C231" s="214" t="inlineStr">
        <is>
          <t>V.P.R.Y SECURITY CO., LTD.</t>
        </is>
      </c>
      <c r="D231" s="215" t="inlineStr">
        <is>
          <t>K010-902303788</t>
        </is>
      </c>
      <c r="E231" s="290" t="inlineStr">
        <is>
          <t>VPRY24-00132</t>
        </is>
      </c>
      <c r="F231" s="279" t="n">
        <v>45590</v>
      </c>
      <c r="G231" s="216" t="n"/>
      <c r="H231" s="564" t="n"/>
      <c r="I231" s="564" t="n">
        <v>2044714</v>
      </c>
      <c r="J231" s="213" t="inlineStr">
        <is>
          <t>អនុញ្ញាត (បានប្រកាស)</t>
        </is>
      </c>
      <c r="K231" s="565">
        <f>L231</f>
        <v/>
      </c>
      <c r="L231" s="563">
        <f>AD231</f>
        <v/>
      </c>
      <c r="M231" s="536">
        <f>I231-L231</f>
        <v/>
      </c>
      <c r="N231" s="213" t="n"/>
      <c r="O231" s="218">
        <f>U231=E231</f>
        <v/>
      </c>
      <c r="P231" s="218">
        <f>MONTH(F231)-MONTH(T231)</f>
        <v/>
      </c>
      <c r="Q231" s="218">
        <f>$B$5=X231</f>
        <v/>
      </c>
      <c r="R231" s="218">
        <f>I231-AD231</f>
        <v/>
      </c>
      <c r="S231" s="298" t="n"/>
      <c r="T231" s="299" t="n">
        <v>45590</v>
      </c>
      <c r="U231" s="298" t="inlineStr">
        <is>
          <t>VPRY24-00132</t>
        </is>
      </c>
      <c r="V231" s="298" t="n">
        <v>0</v>
      </c>
      <c r="W231" s="298" t="inlineStr">
        <is>
          <t>បុគ្គលជាប់អាករ</t>
        </is>
      </c>
      <c r="X231" s="298" t="inlineStr">
        <is>
          <t>L001-901640009</t>
        </is>
      </c>
      <c r="Y231" s="298" t="inlineStr">
        <is>
          <t>ហូលីដេ ឌីហ្សាញ (ខេមបូឌា) ឯ.ក</t>
        </is>
      </c>
      <c r="Z231" s="300" t="n">
        <v>22491848</v>
      </c>
      <c r="AA231" s="300" t="n">
        <v>20447135</v>
      </c>
      <c r="AB231" s="298" t="n">
        <v>0</v>
      </c>
      <c r="AC231" s="298" t="inlineStr">
        <is>
          <t>-</t>
        </is>
      </c>
      <c r="AD231" s="300" t="n">
        <v>2044713</v>
      </c>
      <c r="AE231" s="298" t="n">
        <v>0</v>
      </c>
      <c r="AF231" s="562" t="n">
        <v>0</v>
      </c>
      <c r="AG231" s="198" t="n">
        <v>0</v>
      </c>
      <c r="AH231" s="198" t="n">
        <v>0</v>
      </c>
      <c r="AI231" s="198" t="n">
        <v>0</v>
      </c>
      <c r="AJ231" s="198" t="n">
        <v>0</v>
      </c>
      <c r="AK231" s="198" t="n">
        <v>0</v>
      </c>
      <c r="AL231" s="198" t="n">
        <v>0.01</v>
      </c>
      <c r="AM231" s="198" t="n">
        <v>0</v>
      </c>
      <c r="AN231" s="198" t="inlineStr">
        <is>
          <t>SERVICE</t>
        </is>
      </c>
      <c r="AO231" s="198" t="inlineStr">
        <is>
          <t>បានប្រកាសនិងបង់ពន្ធ</t>
        </is>
      </c>
    </row>
    <row r="232">
      <c r="A232" s="212">
        <f>A231+1</f>
        <v/>
      </c>
      <c r="B232" s="214" t="inlineStr">
        <is>
          <t>Trucking Fee-Im</t>
        </is>
      </c>
      <c r="C232" s="214" t="inlineStr">
        <is>
          <t>BRILLIANT TRANSPORT AND TRADING Co., Ltd.</t>
        </is>
      </c>
      <c r="D232" s="215" t="inlineStr">
        <is>
          <t>K002-100089305</t>
        </is>
      </c>
      <c r="E232" s="290" t="inlineStr">
        <is>
          <t>BTT25-0000403</t>
        </is>
      </c>
      <c r="F232" s="279" t="n">
        <v>45707</v>
      </c>
      <c r="G232" s="216" t="n"/>
      <c r="H232" s="564" t="n"/>
      <c r="I232" s="564" t="n">
        <v>2152576</v>
      </c>
      <c r="J232" s="213" t="inlineStr">
        <is>
          <t>អនុញ្ញាត (បានប្រកាស)</t>
        </is>
      </c>
      <c r="K232" s="213" t="n"/>
      <c r="L232" s="563">
        <f>I232</f>
        <v/>
      </c>
      <c r="M232" s="536">
        <f>I232-L232</f>
        <v/>
      </c>
      <c r="N232" s="213" t="n"/>
      <c r="O232" s="218">
        <f>U232=E232</f>
        <v/>
      </c>
      <c r="P232" s="218">
        <f>MONTH(F232)-MONTH(T232)</f>
        <v/>
      </c>
      <c r="Q232" s="218">
        <f>$B$5=X232</f>
        <v/>
      </c>
      <c r="R232" s="218">
        <f>I232-AD232</f>
        <v/>
      </c>
      <c r="S232" s="298" t="n"/>
      <c r="T232" s="299" t="n">
        <v>45707</v>
      </c>
      <c r="U232" s="298" t="inlineStr">
        <is>
          <t>BTT25-0000403</t>
        </is>
      </c>
      <c r="V232" s="298" t="n">
        <v>0</v>
      </c>
      <c r="W232" s="298" t="inlineStr">
        <is>
          <t>បុគ្គលជាប់អាករ</t>
        </is>
      </c>
      <c r="X232" s="298" t="inlineStr">
        <is>
          <t>L001-901640009</t>
        </is>
      </c>
      <c r="Y232" s="298" t="inlineStr">
        <is>
          <t>ហូលីដេ ឌីហ្សាញ (ខេមបូឌា) ឯ.ក</t>
        </is>
      </c>
      <c r="Z232" s="300" t="n">
        <v>23678336</v>
      </c>
      <c r="AA232" s="300" t="n">
        <v>21525760</v>
      </c>
      <c r="AB232" s="298" t="n">
        <v>0</v>
      </c>
      <c r="AC232" s="298" t="inlineStr">
        <is>
          <t>-</t>
        </is>
      </c>
      <c r="AD232" s="300" t="n">
        <v>2152576</v>
      </c>
      <c r="AE232" s="298" t="n">
        <v>0</v>
      </c>
      <c r="AF232" s="562" t="n">
        <v>0</v>
      </c>
      <c r="AG232" s="198" t="n">
        <v>0</v>
      </c>
      <c r="AH232" s="198" t="n">
        <v>0</v>
      </c>
      <c r="AI232" s="198" t="n">
        <v>0</v>
      </c>
      <c r="AJ232" s="198" t="n">
        <v>0</v>
      </c>
      <c r="AK232" s="198" t="n">
        <v>0</v>
      </c>
      <c r="AL232" s="198" t="n">
        <v>0.01</v>
      </c>
      <c r="AM232" s="198" t="n">
        <v>0</v>
      </c>
      <c r="AN232" s="198" t="inlineStr">
        <is>
          <t>Truking / Service</t>
        </is>
      </c>
    </row>
    <row r="233">
      <c r="A233" s="212">
        <f>A232+1</f>
        <v/>
      </c>
      <c r="B233" s="214" t="inlineStr">
        <is>
          <t>Lift-On&amp;Lift-Off-Im</t>
        </is>
      </c>
      <c r="C233" s="214" t="inlineStr">
        <is>
          <t>Port Autonome Du Sihanoukville</t>
        </is>
      </c>
      <c r="D233" s="215" t="inlineStr">
        <is>
          <t>L001-100044638</t>
        </is>
      </c>
      <c r="E233" s="290" t="n">
        <v>202500034018</v>
      </c>
      <c r="F233" s="279" t="n">
        <v>45700</v>
      </c>
      <c r="G233" s="216" t="n"/>
      <c r="H233" s="564" t="n"/>
      <c r="I233" s="564" t="n">
        <v>342770</v>
      </c>
      <c r="J233" s="213" t="inlineStr">
        <is>
          <t>អនុញ្ញាត (បានប្រកាស)</t>
        </is>
      </c>
      <c r="K233" s="213" t="n"/>
      <c r="L233" s="563">
        <f>I233</f>
        <v/>
      </c>
      <c r="M233" s="536">
        <f>I233-L233</f>
        <v/>
      </c>
      <c r="N233" s="213" t="n"/>
      <c r="O233" s="218">
        <f>U233=E233</f>
        <v/>
      </c>
      <c r="P233" s="218">
        <f>MONTH(F233)-MONTH(T233)</f>
        <v/>
      </c>
      <c r="Q233" s="218">
        <f>$B$5=X233</f>
        <v/>
      </c>
      <c r="R233" s="218">
        <f>I233-AD233</f>
        <v/>
      </c>
      <c r="S233" s="298" t="n"/>
      <c r="T233" s="299" t="n">
        <v>45700</v>
      </c>
      <c r="U233" s="298" t="n">
        <v>202500034018</v>
      </c>
      <c r="V233" s="298" t="n">
        <v>0</v>
      </c>
      <c r="W233" s="298" t="inlineStr">
        <is>
          <t>បុគ្គលជាប់អាករ</t>
        </is>
      </c>
      <c r="X233" s="298" t="inlineStr">
        <is>
          <t>L001-901640009</t>
        </is>
      </c>
      <c r="Y233" s="298" t="inlineStr">
        <is>
          <t>ហូលីដេ ឌីហ្សាញ (ខេមបូឌា) ឯ.ក</t>
        </is>
      </c>
      <c r="Z233" s="300" t="n">
        <v>3770465</v>
      </c>
      <c r="AA233" s="300" t="n">
        <v>3427695</v>
      </c>
      <c r="AB233" s="298" t="n">
        <v>0</v>
      </c>
      <c r="AC233" s="298" t="inlineStr">
        <is>
          <t>-</t>
        </is>
      </c>
      <c r="AD233" s="300" t="n">
        <v>342770</v>
      </c>
      <c r="AE233" s="298" t="n">
        <v>0</v>
      </c>
      <c r="AF233" s="562" t="n">
        <v>0</v>
      </c>
      <c r="AG233" s="198" t="n">
        <v>0</v>
      </c>
      <c r="AH233" s="198" t="n">
        <v>0</v>
      </c>
      <c r="AI233" s="198" t="n">
        <v>0</v>
      </c>
      <c r="AJ233" s="198" t="n">
        <v>0</v>
      </c>
      <c r="AK233" s="198" t="n">
        <v>0</v>
      </c>
      <c r="AL233" s="198" t="n">
        <v>0.01</v>
      </c>
      <c r="AM233" s="198" t="n">
        <v>0</v>
      </c>
      <c r="AN233" s="198" t="inlineStr">
        <is>
          <t>LOLO</t>
        </is>
      </c>
    </row>
    <row r="234">
      <c r="A234" s="212">
        <f>A233+1</f>
        <v/>
      </c>
      <c r="B234" s="214" t="inlineStr">
        <is>
          <t>Security Service</t>
        </is>
      </c>
      <c r="C234" s="214" t="inlineStr">
        <is>
          <t>V.P.R.Y SECURITY CO., LTD.</t>
        </is>
      </c>
      <c r="D234" s="215" t="inlineStr">
        <is>
          <t>K010-902303788</t>
        </is>
      </c>
      <c r="E234" s="290" t="inlineStr">
        <is>
          <t>VPRY2024-00148</t>
        </is>
      </c>
      <c r="F234" s="279" t="n">
        <v>45621</v>
      </c>
      <c r="G234" s="216" t="n"/>
      <c r="H234" s="564" t="n"/>
      <c r="I234" s="564" t="n">
        <v>2021049</v>
      </c>
      <c r="J234" s="213" t="inlineStr">
        <is>
          <t>ព្យួរទុក (មិនមានទិន្នន័យ)</t>
        </is>
      </c>
      <c r="K234" s="213" t="n"/>
      <c r="L234" s="563" t="n"/>
      <c r="M234" s="536">
        <f>I234-L234</f>
        <v/>
      </c>
      <c r="N234" s="213" t="n"/>
      <c r="O234" s="218">
        <f>U234=E234</f>
        <v/>
      </c>
      <c r="P234" s="218">
        <f>MONTH(F234)-MONTH(T234)</f>
        <v/>
      </c>
      <c r="Q234" s="218">
        <f>$B$5=X234</f>
        <v/>
      </c>
      <c r="R234" s="218">
        <f>I234-AD234</f>
        <v/>
      </c>
      <c r="S234" s="298" t="n"/>
      <c r="T234" s="299" t="n">
        <v>45621</v>
      </c>
      <c r="U234" s="298" t="inlineStr">
        <is>
          <t>VPRY24-00148</t>
        </is>
      </c>
      <c r="V234" s="298" t="n">
        <v>0</v>
      </c>
      <c r="W234" s="298" t="inlineStr">
        <is>
          <t>បុគ្គលជាប់អាករ</t>
        </is>
      </c>
      <c r="X234" s="298" t="inlineStr">
        <is>
          <t>L001-901640009</t>
        </is>
      </c>
      <c r="Y234" s="298" t="inlineStr">
        <is>
          <t>ហូលីដេ ឌីហ្សាញ (ខេមបូឌា) ឯ.ក</t>
        </is>
      </c>
      <c r="Z234" s="300" t="n">
        <v>22231539</v>
      </c>
      <c r="AA234" s="300" t="n">
        <v>20210490</v>
      </c>
      <c r="AB234" s="298" t="n">
        <v>0</v>
      </c>
      <c r="AC234" s="298" t="inlineStr">
        <is>
          <t>-</t>
        </is>
      </c>
      <c r="AD234" s="300" t="n">
        <v>2021049</v>
      </c>
      <c r="AE234" s="298" t="n">
        <v>0</v>
      </c>
      <c r="AF234" s="562" t="n">
        <v>0</v>
      </c>
      <c r="AG234" s="198" t="n">
        <v>0</v>
      </c>
      <c r="AH234" s="198" t="n">
        <v>0</v>
      </c>
      <c r="AI234" s="198" t="n">
        <v>0</v>
      </c>
      <c r="AJ234" s="198" t="n">
        <v>0</v>
      </c>
      <c r="AK234" s="198" t="n">
        <v>0</v>
      </c>
      <c r="AL234" s="198" t="n">
        <v>0.01</v>
      </c>
      <c r="AM234" s="198" t="n">
        <v>0</v>
      </c>
      <c r="AN234" s="198" t="inlineStr">
        <is>
          <t>SECURITY SERVICE</t>
        </is>
      </c>
      <c r="AO234" s="198" t="inlineStr">
        <is>
          <t>បានប្រកាសនិងបង់ពន្ធ</t>
        </is>
      </c>
    </row>
    <row r="235">
      <c r="A235" s="212">
        <f>A234+1</f>
        <v/>
      </c>
      <c r="B235" s="214" t="inlineStr">
        <is>
          <t>Security Service</t>
        </is>
      </c>
      <c r="C235" s="214" t="inlineStr">
        <is>
          <t>V.P.R.Y SECURITY CO., LTD.</t>
        </is>
      </c>
      <c r="D235" s="215" t="inlineStr">
        <is>
          <t>K010-902303788</t>
        </is>
      </c>
      <c r="E235" s="290" t="inlineStr">
        <is>
          <t>VPRY24-00169</t>
        </is>
      </c>
      <c r="F235" s="279" t="n">
        <v>45653</v>
      </c>
      <c r="G235" s="216" t="n"/>
      <c r="H235" s="564" t="n"/>
      <c r="I235" s="564" t="n">
        <v>2024574</v>
      </c>
      <c r="J235" s="213" t="inlineStr">
        <is>
          <t>អនុញ្ញាត (បានប្រកាស)</t>
        </is>
      </c>
      <c r="K235" s="565">
        <f>L235</f>
        <v/>
      </c>
      <c r="L235" s="563">
        <f>AD235</f>
        <v/>
      </c>
      <c r="M235" s="536">
        <f>I235-L235</f>
        <v/>
      </c>
      <c r="N235" s="213" t="n"/>
      <c r="O235" s="218">
        <f>U235=E235</f>
        <v/>
      </c>
      <c r="P235" s="218">
        <f>MONTH(F235)-MONTH(T235)</f>
        <v/>
      </c>
      <c r="Q235" s="218">
        <f>$B$5=X235</f>
        <v/>
      </c>
      <c r="R235" s="218">
        <f>I235-AD235</f>
        <v/>
      </c>
      <c r="S235" s="298" t="n"/>
      <c r="T235" s="299" t="n">
        <v>45653</v>
      </c>
      <c r="U235" s="298" t="inlineStr">
        <is>
          <t>VPRY24-00169</t>
        </is>
      </c>
      <c r="V235" s="298" t="n">
        <v>0</v>
      </c>
      <c r="W235" s="298" t="inlineStr">
        <is>
          <t>បុគ្គលជាប់អាករ</t>
        </is>
      </c>
      <c r="X235" s="298" t="inlineStr">
        <is>
          <t>L001-901640009</t>
        </is>
      </c>
      <c r="Y235" s="298" t="inlineStr">
        <is>
          <t>ហូលីដេ ឌីហ្សាញ (ខេមបូឌា) ឯ.ក</t>
        </is>
      </c>
      <c r="Z235" s="300" t="n">
        <v>22270308</v>
      </c>
      <c r="AA235" s="300" t="n">
        <v>20245735</v>
      </c>
      <c r="AB235" s="298" t="n">
        <v>0</v>
      </c>
      <c r="AC235" s="298" t="inlineStr">
        <is>
          <t>-</t>
        </is>
      </c>
      <c r="AD235" s="300" t="n">
        <v>2024573</v>
      </c>
      <c r="AE235" s="298" t="n">
        <v>0</v>
      </c>
      <c r="AF235" s="562" t="n">
        <v>0</v>
      </c>
      <c r="AG235" s="198" t="n">
        <v>0</v>
      </c>
      <c r="AH235" s="198" t="n">
        <v>0</v>
      </c>
      <c r="AI235" s="198" t="n">
        <v>0</v>
      </c>
      <c r="AJ235" s="198" t="n">
        <v>0</v>
      </c>
      <c r="AK235" s="198" t="n">
        <v>0</v>
      </c>
      <c r="AL235" s="198" t="n">
        <v>0.01</v>
      </c>
      <c r="AM235" s="198" t="n">
        <v>0</v>
      </c>
      <c r="AN235" s="198" t="inlineStr">
        <is>
          <t>SECURITY SERVICES</t>
        </is>
      </c>
      <c r="AO235" s="198" t="inlineStr">
        <is>
          <t>បានប្រកាសនិងបង់ពន្ធ</t>
        </is>
      </c>
    </row>
    <row r="236">
      <c r="A236" s="212">
        <f>A235+1</f>
        <v/>
      </c>
      <c r="B236" s="214" t="inlineStr">
        <is>
          <t>Security Service</t>
        </is>
      </c>
      <c r="C236" s="214" t="inlineStr">
        <is>
          <t>V.P.R.Y SECURITY CO., LTD.</t>
        </is>
      </c>
      <c r="D236" s="215" t="inlineStr">
        <is>
          <t>K010-902303788</t>
        </is>
      </c>
      <c r="E236" s="290" t="inlineStr">
        <is>
          <t>VPRY24-00009</t>
        </is>
      </c>
      <c r="F236" s="279" t="n">
        <v>45682</v>
      </c>
      <c r="G236" s="216" t="n"/>
      <c r="H236" s="564" t="n"/>
      <c r="I236" s="564" t="n">
        <v>2026084</v>
      </c>
      <c r="J236" s="213" t="inlineStr">
        <is>
          <t>អនុញ្ញាត (បានប្រកាស)</t>
        </is>
      </c>
      <c r="K236" s="213" t="n"/>
      <c r="L236" s="563">
        <f>I236</f>
        <v/>
      </c>
      <c r="M236" s="536">
        <f>I236-L236</f>
        <v/>
      </c>
      <c r="N236" s="213" t="n"/>
      <c r="O236" s="218">
        <f>U236=E236</f>
        <v/>
      </c>
      <c r="P236" s="218">
        <f>MONTH(F236)-MONTH(T236)</f>
        <v/>
      </c>
      <c r="Q236" s="218">
        <f>$B$5=X236</f>
        <v/>
      </c>
      <c r="R236" s="218">
        <f>I236-AD236</f>
        <v/>
      </c>
      <c r="S236" s="298" t="n"/>
      <c r="T236" s="299" t="n">
        <v>45682</v>
      </c>
      <c r="U236" s="298" t="inlineStr">
        <is>
          <t>VPRY24-00009</t>
        </is>
      </c>
      <c r="V236" s="298" t="n">
        <v>0</v>
      </c>
      <c r="W236" s="298" t="inlineStr">
        <is>
          <t>បុគ្គលជាប់អាករ</t>
        </is>
      </c>
      <c r="X236" s="298" t="inlineStr">
        <is>
          <t>L001-901640009</t>
        </is>
      </c>
      <c r="Y236" s="298" t="inlineStr">
        <is>
          <t>ហូលីដេ ឌីហ្សាញ (ខេមបូឌា) ឯ.ក</t>
        </is>
      </c>
      <c r="Z236" s="300" t="n">
        <v>22286924</v>
      </c>
      <c r="AA236" s="300" t="n">
        <v>20260840</v>
      </c>
      <c r="AB236" s="298" t="n">
        <v>0</v>
      </c>
      <c r="AC236" s="298" t="inlineStr">
        <is>
          <t>-</t>
        </is>
      </c>
      <c r="AD236" s="300" t="n">
        <v>2026084</v>
      </c>
      <c r="AE236" s="298" t="n">
        <v>0</v>
      </c>
      <c r="AF236" s="562" t="n">
        <v>0</v>
      </c>
      <c r="AG236" s="198" t="n">
        <v>0</v>
      </c>
      <c r="AH236" s="198" t="n">
        <v>0</v>
      </c>
      <c r="AI236" s="198" t="n">
        <v>0</v>
      </c>
      <c r="AJ236" s="198" t="n">
        <v>0</v>
      </c>
      <c r="AK236" s="198" t="n">
        <v>0</v>
      </c>
      <c r="AL236" s="198" t="n">
        <v>0.01</v>
      </c>
      <c r="AM236" s="198" t="n">
        <v>0</v>
      </c>
      <c r="AN236" s="198" t="inlineStr">
        <is>
          <t>SECURITY SERVICES</t>
        </is>
      </c>
      <c r="AO236" s="198" t="inlineStr">
        <is>
          <t>បានប្រកាសនិងបង់ពន្ធ</t>
        </is>
      </c>
    </row>
    <row r="237">
      <c r="A237" s="212">
        <f>A236+1</f>
        <v/>
      </c>
      <c r="B237" s="214" t="inlineStr">
        <is>
          <t>Security Service</t>
        </is>
      </c>
      <c r="C237" s="214" t="inlineStr">
        <is>
          <t>V.P.R.Y SECURITY CO., LTD.</t>
        </is>
      </c>
      <c r="D237" s="215" t="inlineStr">
        <is>
          <t>K010-902303788</t>
        </is>
      </c>
      <c r="E237" s="290" t="inlineStr">
        <is>
          <t>VPRY24-00032</t>
        </is>
      </c>
      <c r="F237" s="279" t="n">
        <v>45715</v>
      </c>
      <c r="G237" s="216" t="n"/>
      <c r="H237" s="564" t="n"/>
      <c r="I237" s="564" t="n">
        <v>2019035</v>
      </c>
      <c r="J237" s="213" t="inlineStr">
        <is>
          <t>អនុញ្ញាត (បានប្រកាស)</t>
        </is>
      </c>
      <c r="K237" s="213" t="n"/>
      <c r="L237" s="563">
        <f>I237</f>
        <v/>
      </c>
      <c r="M237" s="536">
        <f>I237-L237</f>
        <v/>
      </c>
      <c r="N237" s="213" t="n"/>
      <c r="O237" s="218">
        <f>U237=E237</f>
        <v/>
      </c>
      <c r="P237" s="218">
        <f>MONTH(F237)-MONTH(T237)</f>
        <v/>
      </c>
      <c r="Q237" s="218">
        <f>$B$5=X237</f>
        <v/>
      </c>
      <c r="R237" s="218">
        <f>I237-AD237</f>
        <v/>
      </c>
      <c r="S237" s="298" t="n"/>
      <c r="T237" s="299" t="n">
        <v>45690</v>
      </c>
      <c r="U237" s="298" t="inlineStr">
        <is>
          <t>VPRY24-00032</t>
        </is>
      </c>
      <c r="V237" s="298" t="n">
        <v>0</v>
      </c>
      <c r="W237" s="298" t="inlineStr">
        <is>
          <t>បុគ្គលជាប់អាករ</t>
        </is>
      </c>
      <c r="X237" s="298" t="inlineStr">
        <is>
          <t>L001-901640009</t>
        </is>
      </c>
      <c r="Y237" s="298" t="inlineStr">
        <is>
          <t>ហូលីដេ ឌីហ្សាញ (ខេមបូឌា) ឯ.ក</t>
        </is>
      </c>
      <c r="Z237" s="300" t="n">
        <v>22209385</v>
      </c>
      <c r="AA237" s="300" t="n">
        <v>20190350</v>
      </c>
      <c r="AB237" s="298" t="n">
        <v>0</v>
      </c>
      <c r="AC237" s="298" t="inlineStr">
        <is>
          <t>-</t>
        </is>
      </c>
      <c r="AD237" s="300" t="n">
        <v>2019035</v>
      </c>
      <c r="AE237" s="298" t="n">
        <v>0</v>
      </c>
      <c r="AF237" s="562" t="n">
        <v>0</v>
      </c>
      <c r="AG237" s="198" t="n">
        <v>0</v>
      </c>
      <c r="AH237" s="198" t="n">
        <v>0</v>
      </c>
      <c r="AI237" s="198" t="n">
        <v>0</v>
      </c>
      <c r="AJ237" s="198" t="n">
        <v>0</v>
      </c>
      <c r="AK237" s="198" t="n">
        <v>0</v>
      </c>
      <c r="AL237" s="198" t="n">
        <v>0.01</v>
      </c>
      <c r="AM237" s="198" t="n">
        <v>0</v>
      </c>
      <c r="AN237" s="198" t="inlineStr">
        <is>
          <t>Service</t>
        </is>
      </c>
      <c r="AO237" s="198" t="inlineStr">
        <is>
          <t>បានប្រកាសនិងបង់ពន្ធ</t>
        </is>
      </c>
    </row>
    <row r="238">
      <c r="A238" s="212">
        <f>A237+1</f>
        <v/>
      </c>
      <c r="B238" s="214" t="inlineStr">
        <is>
          <t>Terminal Handling Service-Im</t>
        </is>
      </c>
      <c r="C238" s="214" t="inlineStr">
        <is>
          <t>SITC CONTAINER LINES (CAMBODIA) Co., Ltd.</t>
        </is>
      </c>
      <c r="D238" s="215" t="inlineStr">
        <is>
          <t>L001-107035863</t>
        </is>
      </c>
      <c r="E238" s="290" t="inlineStr">
        <is>
          <t>SITC2025-005017</t>
        </is>
      </c>
      <c r="F238" s="279" t="n">
        <v>45695</v>
      </c>
      <c r="G238" s="216" t="n"/>
      <c r="H238" s="564" t="n"/>
      <c r="I238" s="564" t="n">
        <v>1831752</v>
      </c>
      <c r="J238" s="213" t="inlineStr">
        <is>
          <t>អនុញ្ញាត (បានប្រកាស)</t>
        </is>
      </c>
      <c r="K238" s="213" t="n"/>
      <c r="L238" s="563">
        <f>I238</f>
        <v/>
      </c>
      <c r="M238" s="536">
        <f>I238-L238</f>
        <v/>
      </c>
      <c r="N238" s="213" t="n"/>
      <c r="O238" s="218">
        <f>U238=E238</f>
        <v/>
      </c>
      <c r="P238" s="218">
        <f>MONTH(F238)-MONTH(T238)</f>
        <v/>
      </c>
      <c r="Q238" s="218">
        <f>$B$5=X238</f>
        <v/>
      </c>
      <c r="R238" s="218">
        <f>I238-AD238</f>
        <v/>
      </c>
      <c r="S238" s="298" t="n"/>
      <c r="T238" s="299" t="n">
        <v>45695</v>
      </c>
      <c r="U238" s="298" t="inlineStr">
        <is>
          <t>SITC2025-005017</t>
        </is>
      </c>
      <c r="V238" s="298" t="n">
        <v>0</v>
      </c>
      <c r="W238" s="298" t="inlineStr">
        <is>
          <t>បុគ្គលជាប់អាករ</t>
        </is>
      </c>
      <c r="X238" s="298" t="inlineStr">
        <is>
          <t>L001-901640009</t>
        </is>
      </c>
      <c r="Y238" s="298" t="inlineStr">
        <is>
          <t>ហូលីដេ ឌីហ្សាញ (ខេមបូឌា) ឯ.ក</t>
        </is>
      </c>
      <c r="Z238" s="300" t="n">
        <v>20149272</v>
      </c>
      <c r="AA238" s="300" t="n">
        <v>18317520</v>
      </c>
      <c r="AB238" s="298" t="n">
        <v>0</v>
      </c>
      <c r="AC238" s="298" t="inlineStr">
        <is>
          <t>-</t>
        </is>
      </c>
      <c r="AD238" s="300" t="n">
        <v>1831752</v>
      </c>
      <c r="AE238" s="298" t="n">
        <v>0</v>
      </c>
      <c r="AF238" s="562" t="n">
        <v>0</v>
      </c>
      <c r="AG238" s="198" t="n">
        <v>0</v>
      </c>
      <c r="AH238" s="198" t="n">
        <v>0</v>
      </c>
      <c r="AI238" s="198" t="n">
        <v>0</v>
      </c>
      <c r="AJ238" s="198" t="n">
        <v>0</v>
      </c>
      <c r="AK238" s="198" t="n">
        <v>0</v>
      </c>
      <c r="AL238" s="198" t="n">
        <v>0.01</v>
      </c>
      <c r="AM238" s="198" t="n">
        <v>0</v>
      </c>
      <c r="AN238" s="198" t="inlineStr">
        <is>
          <t>KHTHC,EIB,EMF,KHCIC,KHDOC</t>
        </is>
      </c>
    </row>
    <row r="239">
      <c r="A239" s="212">
        <f>A238+1</f>
        <v/>
      </c>
      <c r="B239" s="214" t="inlineStr">
        <is>
          <t>Trucking Fee-Im</t>
        </is>
      </c>
      <c r="C239" s="214" t="inlineStr">
        <is>
          <t>BRILLIANT TRANSPORT AND TRADING Co., Ltd.</t>
        </is>
      </c>
      <c r="D239" s="215" t="inlineStr">
        <is>
          <t>K002-100089305</t>
        </is>
      </c>
      <c r="E239" s="290" t="inlineStr">
        <is>
          <t>BTT25-0000355</t>
        </is>
      </c>
      <c r="F239" s="279" t="n">
        <v>45695</v>
      </c>
      <c r="G239" s="216" t="n"/>
      <c r="H239" s="564" t="n"/>
      <c r="I239" s="564" t="n">
        <v>3692289</v>
      </c>
      <c r="J239" s="213" t="inlineStr">
        <is>
          <t>អនុញ្ញាត (បានប្រកាស)</t>
        </is>
      </c>
      <c r="K239" s="213" t="n"/>
      <c r="L239" s="563">
        <f>I239</f>
        <v/>
      </c>
      <c r="M239" s="536">
        <f>I239-L239</f>
        <v/>
      </c>
      <c r="N239" s="213" t="n"/>
      <c r="O239" s="218">
        <f>U239=E239</f>
        <v/>
      </c>
      <c r="P239" s="218">
        <f>MONTH(F239)-MONTH(T239)</f>
        <v/>
      </c>
      <c r="Q239" s="218">
        <f>$B$5=X239</f>
        <v/>
      </c>
      <c r="R239" s="218">
        <f>I239-AD239</f>
        <v/>
      </c>
      <c r="S239" s="298" t="n"/>
      <c r="T239" s="299" t="n">
        <v>45700</v>
      </c>
      <c r="U239" s="298" t="inlineStr">
        <is>
          <t>BTT25-0000355</t>
        </is>
      </c>
      <c r="V239" s="298" t="n">
        <v>0</v>
      </c>
      <c r="W239" s="298" t="inlineStr">
        <is>
          <t>បុគ្គលជាប់អាករ</t>
        </is>
      </c>
      <c r="X239" s="298" t="inlineStr">
        <is>
          <t>L001-901640009</t>
        </is>
      </c>
      <c r="Y239" s="298" t="inlineStr">
        <is>
          <t>ហូលីដេ ឌីហ្សាញ (ខេមបូឌា) ឯ.ក</t>
        </is>
      </c>
      <c r="Z239" s="300" t="n">
        <v>40615179</v>
      </c>
      <c r="AA239" s="300" t="n">
        <v>36922890</v>
      </c>
      <c r="AB239" s="298" t="n">
        <v>0</v>
      </c>
      <c r="AC239" s="298" t="inlineStr">
        <is>
          <t>-</t>
        </is>
      </c>
      <c r="AD239" s="300" t="n">
        <v>3692289</v>
      </c>
      <c r="AE239" s="298" t="n">
        <v>0</v>
      </c>
      <c r="AF239" s="562" t="n">
        <v>0</v>
      </c>
      <c r="AG239" s="198" t="n">
        <v>0</v>
      </c>
      <c r="AH239" s="198" t="n">
        <v>0</v>
      </c>
      <c r="AI239" s="198" t="n">
        <v>0</v>
      </c>
      <c r="AJ239" s="198" t="n">
        <v>0</v>
      </c>
      <c r="AK239" s="198" t="n">
        <v>0</v>
      </c>
      <c r="AL239" s="198" t="n">
        <v>0.01</v>
      </c>
      <c r="AM239" s="198" t="n">
        <v>0</v>
      </c>
      <c r="AN239" s="198" t="inlineStr">
        <is>
          <t>Truking / Service</t>
        </is>
      </c>
    </row>
    <row r="240">
      <c r="A240" s="212">
        <f>A239+1</f>
        <v/>
      </c>
      <c r="B240" s="214" t="inlineStr">
        <is>
          <t>Lift-On&amp;Lift-Off-Im</t>
        </is>
      </c>
      <c r="C240" s="214" t="inlineStr">
        <is>
          <t>Port Autonome Du Sihanoukville</t>
        </is>
      </c>
      <c r="D240" s="215" t="inlineStr">
        <is>
          <t>L001-100044638</t>
        </is>
      </c>
      <c r="E240" s="290" t="n">
        <v>202500032421</v>
      </c>
      <c r="F240" s="279" t="n">
        <v>45698</v>
      </c>
      <c r="G240" s="216" t="n"/>
      <c r="H240" s="564" t="n"/>
      <c r="I240" s="564" t="n">
        <v>160278</v>
      </c>
      <c r="J240" s="213" t="inlineStr">
        <is>
          <t>អនុញ្ញាត (បានប្រកាស)</t>
        </is>
      </c>
      <c r="K240" s="213" t="n"/>
      <c r="L240" s="563">
        <f>I240</f>
        <v/>
      </c>
      <c r="M240" s="536">
        <f>I240-L240</f>
        <v/>
      </c>
      <c r="N240" s="213" t="n"/>
      <c r="O240" s="218">
        <f>U240=E240</f>
        <v/>
      </c>
      <c r="P240" s="218">
        <f>MONTH(F240)-MONTH(T240)</f>
        <v/>
      </c>
      <c r="Q240" s="218">
        <f>$B$5=X240</f>
        <v/>
      </c>
      <c r="R240" s="218">
        <f>I240-AD240</f>
        <v/>
      </c>
      <c r="S240" s="298" t="n"/>
      <c r="T240" s="299" t="n">
        <v>45698</v>
      </c>
      <c r="U240" s="298" t="n">
        <v>202500032421</v>
      </c>
      <c r="V240" s="298" t="n">
        <v>0</v>
      </c>
      <c r="W240" s="298" t="inlineStr">
        <is>
          <t>បុគ្គលជាប់អាករ</t>
        </is>
      </c>
      <c r="X240" s="298" t="inlineStr">
        <is>
          <t>L001-901640009</t>
        </is>
      </c>
      <c r="Y240" s="298" t="inlineStr">
        <is>
          <t>ហូលីដេ ឌីហ្សាញ (ខេមបូឌា) ឯ.ក</t>
        </is>
      </c>
      <c r="Z240" s="300" t="n">
        <v>1763061</v>
      </c>
      <c r="AA240" s="300" t="n">
        <v>1602783</v>
      </c>
      <c r="AB240" s="298" t="n">
        <v>0</v>
      </c>
      <c r="AC240" s="298" t="inlineStr">
        <is>
          <t>-</t>
        </is>
      </c>
      <c r="AD240" s="300" t="n">
        <v>160278</v>
      </c>
      <c r="AE240" s="298" t="n">
        <v>0</v>
      </c>
      <c r="AF240" s="562" t="n">
        <v>0</v>
      </c>
      <c r="AG240" s="198" t="n">
        <v>0</v>
      </c>
      <c r="AH240" s="198" t="n">
        <v>0</v>
      </c>
      <c r="AI240" s="198" t="n">
        <v>0</v>
      </c>
      <c r="AJ240" s="198" t="n">
        <v>0</v>
      </c>
      <c r="AK240" s="198" t="n">
        <v>0</v>
      </c>
      <c r="AL240" s="198" t="n">
        <v>0.01</v>
      </c>
      <c r="AM240" s="198" t="n">
        <v>0</v>
      </c>
      <c r="AN240" s="198" t="inlineStr">
        <is>
          <t>LOLO</t>
        </is>
      </c>
    </row>
    <row r="241">
      <c r="A241" s="212">
        <f>A240+1</f>
        <v/>
      </c>
      <c r="B241" s="214" t="inlineStr">
        <is>
          <t>Security Service</t>
        </is>
      </c>
      <c r="C241" s="214" t="inlineStr">
        <is>
          <t>V.P.R.Y SECURITY CO., LTD.</t>
        </is>
      </c>
      <c r="D241" s="215" t="inlineStr">
        <is>
          <t>K010-902303788</t>
        </is>
      </c>
      <c r="E241" s="290" t="inlineStr">
        <is>
          <t>VPRY24-00050</t>
        </is>
      </c>
      <c r="F241" s="279" t="n">
        <v>45742</v>
      </c>
      <c r="G241" s="216" t="n"/>
      <c r="H241" s="564" t="n"/>
      <c r="I241" s="564" t="n">
        <v>2203652</v>
      </c>
      <c r="J241" s="213" t="inlineStr">
        <is>
          <t>ព្យួរទុក (មិនមានទិន្នន័យ)</t>
        </is>
      </c>
      <c r="K241" s="213" t="n"/>
      <c r="L241" s="563" t="n"/>
      <c r="M241" s="536">
        <f>I241-L241</f>
        <v/>
      </c>
      <c r="N241" s="213" t="n"/>
      <c r="O241" s="218">
        <f>U241=E241</f>
        <v/>
      </c>
      <c r="P241" s="218">
        <f>MONTH(F241)-MONTH(T241)</f>
        <v/>
      </c>
      <c r="Q241" s="218">
        <f>$B$5=X241</f>
        <v/>
      </c>
      <c r="R241" s="218">
        <f>I241-AD241</f>
        <v/>
      </c>
      <c r="S241" s="298" t="n"/>
      <c r="T241" s="299" t="n">
        <v>45742</v>
      </c>
      <c r="U241" s="298" t="inlineStr">
        <is>
          <t>VPRY25-00050</t>
        </is>
      </c>
      <c r="V241" s="298" t="n">
        <v>0</v>
      </c>
      <c r="W241" s="298" t="inlineStr">
        <is>
          <t>បុគ្គលជាប់អាករ</t>
        </is>
      </c>
      <c r="X241" s="298" t="inlineStr">
        <is>
          <t>L001-901640009</t>
        </is>
      </c>
      <c r="Y241" s="298" t="inlineStr">
        <is>
          <t>ហូលីដេ ឌីហ្សាញ (ខេមបូឌា) ឯ.ក</t>
        </is>
      </c>
      <c r="Z241" s="300" t="n">
        <v>24240167</v>
      </c>
      <c r="AA241" s="300" t="n">
        <v>22036515</v>
      </c>
      <c r="AB241" s="298" t="n">
        <v>0</v>
      </c>
      <c r="AC241" s="298" t="inlineStr">
        <is>
          <t>-</t>
        </is>
      </c>
      <c r="AD241" s="300" t="n">
        <v>2203652</v>
      </c>
      <c r="AE241" s="298" t="n">
        <v>0</v>
      </c>
      <c r="AF241" s="562" t="n">
        <v>0</v>
      </c>
      <c r="AG241" s="198" t="n">
        <v>0</v>
      </c>
      <c r="AH241" s="198" t="n">
        <v>0</v>
      </c>
      <c r="AI241" s="198" t="n">
        <v>0</v>
      </c>
      <c r="AJ241" s="198" t="n">
        <v>0</v>
      </c>
      <c r="AK241" s="198" t="n">
        <v>0</v>
      </c>
      <c r="AL241" s="198" t="n">
        <v>0.01</v>
      </c>
      <c r="AM241" s="198" t="n">
        <v>0</v>
      </c>
      <c r="AN241" s="198" t="inlineStr">
        <is>
          <t>Service</t>
        </is>
      </c>
      <c r="AO241" s="198" t="inlineStr">
        <is>
          <t>បានប្រកាសនិងបង់ពន្ធ</t>
        </is>
      </c>
    </row>
    <row r="242">
      <c r="A242" s="212">
        <f>A241+1</f>
        <v/>
      </c>
      <c r="B242" s="214" t="inlineStr">
        <is>
          <t>Trucking Fee-Im</t>
        </is>
      </c>
      <c r="C242" s="214" t="inlineStr">
        <is>
          <t>BRILLIANT TRANSPORT AND TRADING Co., Ltd.</t>
        </is>
      </c>
      <c r="D242" s="215" t="inlineStr">
        <is>
          <t>K002-100089305</t>
        </is>
      </c>
      <c r="E242" s="290" t="inlineStr">
        <is>
          <t>BTT25-0000316</t>
        </is>
      </c>
      <c r="F242" s="279" t="n">
        <v>45691</v>
      </c>
      <c r="G242" s="216" t="n"/>
      <c r="H242" s="564" t="n"/>
      <c r="I242" s="564" t="n">
        <v>186621</v>
      </c>
      <c r="J242" s="213" t="inlineStr">
        <is>
          <t>អនុញ្ញាត (បានប្រកាស)</t>
        </is>
      </c>
      <c r="K242" s="213" t="n"/>
      <c r="L242" s="563">
        <f>I242</f>
        <v/>
      </c>
      <c r="M242" s="536">
        <f>I242-L242</f>
        <v/>
      </c>
      <c r="N242" s="213" t="n"/>
      <c r="O242" s="218">
        <f>U242=E242</f>
        <v/>
      </c>
      <c r="P242" s="218">
        <f>MONTH(F242)-MONTH(T242)</f>
        <v/>
      </c>
      <c r="Q242" s="218">
        <f>$B$5=X242</f>
        <v/>
      </c>
      <c r="R242" s="218">
        <f>I242-AD242</f>
        <v/>
      </c>
      <c r="S242" s="298" t="n"/>
      <c r="T242" s="299" t="n">
        <v>45691</v>
      </c>
      <c r="U242" s="298" t="inlineStr">
        <is>
          <t>BTT25-0000316</t>
        </is>
      </c>
      <c r="V242" s="298" t="n">
        <v>0</v>
      </c>
      <c r="W242" s="298" t="inlineStr">
        <is>
          <t>បុគ្គលជាប់អាករ</t>
        </is>
      </c>
      <c r="X242" s="298" t="inlineStr">
        <is>
          <t>L001-901640009</t>
        </is>
      </c>
      <c r="Y242" s="298" t="inlineStr">
        <is>
          <t>ហូលីដេ ឌីហ្សាញ (ខេមបូឌា) ឯ.ក</t>
        </is>
      </c>
      <c r="Z242" s="300" t="n">
        <v>2052829</v>
      </c>
      <c r="AA242" s="300" t="n">
        <v>1866208</v>
      </c>
      <c r="AB242" s="298" t="n">
        <v>0</v>
      </c>
      <c r="AC242" s="298" t="inlineStr">
        <is>
          <t>-</t>
        </is>
      </c>
      <c r="AD242" s="300" t="n">
        <v>186621</v>
      </c>
      <c r="AE242" s="298" t="n">
        <v>0</v>
      </c>
      <c r="AF242" s="562" t="n">
        <v>0</v>
      </c>
      <c r="AG242" s="198" t="n">
        <v>0</v>
      </c>
      <c r="AH242" s="198" t="n">
        <v>0</v>
      </c>
      <c r="AI242" s="198" t="n">
        <v>0</v>
      </c>
      <c r="AJ242" s="198" t="n">
        <v>0</v>
      </c>
      <c r="AK242" s="198" t="n">
        <v>0</v>
      </c>
      <c r="AL242" s="198" t="n">
        <v>0.01</v>
      </c>
      <c r="AM242" s="198" t="n">
        <v>0</v>
      </c>
      <c r="AN242" s="198" t="inlineStr">
        <is>
          <t>Truking / Service</t>
        </is>
      </c>
    </row>
    <row r="243">
      <c r="A243" s="212">
        <f>A242+1</f>
        <v/>
      </c>
      <c r="B243" s="214" t="inlineStr">
        <is>
          <t>Trucking Fee-Im</t>
        </is>
      </c>
      <c r="C243" s="214" t="inlineStr">
        <is>
          <t>BRILLIANT TRANSPORT AND TRADING Co., Ltd.</t>
        </is>
      </c>
      <c r="D243" s="215" t="inlineStr">
        <is>
          <t>K002-100089305</t>
        </is>
      </c>
      <c r="E243" s="290" t="inlineStr">
        <is>
          <t>BTT25-0000448</t>
        </is>
      </c>
      <c r="F243" s="279" t="n">
        <v>45691</v>
      </c>
      <c r="G243" s="216" t="n"/>
      <c r="H243" s="564" t="n"/>
      <c r="I243" s="564" t="n">
        <v>150423</v>
      </c>
      <c r="J243" s="213" t="inlineStr">
        <is>
          <t>អនុញ្ញាត (បានប្រកាស)</t>
        </is>
      </c>
      <c r="K243" s="213" t="n"/>
      <c r="L243" s="563">
        <f>I243</f>
        <v/>
      </c>
      <c r="M243" s="536">
        <f>I243-L243</f>
        <v/>
      </c>
      <c r="N243" s="213" t="n"/>
      <c r="O243" s="218">
        <f>U243=E243</f>
        <v/>
      </c>
      <c r="P243" s="218">
        <f>MONTH(F243)-MONTH(T243)</f>
        <v/>
      </c>
      <c r="Q243" s="218">
        <f>$B$5=X243</f>
        <v/>
      </c>
      <c r="R243" s="218">
        <f>I243-AD243</f>
        <v/>
      </c>
      <c r="S243" s="298" t="n"/>
      <c r="T243" s="299" t="n">
        <v>45691</v>
      </c>
      <c r="U243" s="298" t="inlineStr">
        <is>
          <t>BTT25-0000448</t>
        </is>
      </c>
      <c r="V243" s="298" t="n">
        <v>0</v>
      </c>
      <c r="W243" s="298" t="inlineStr">
        <is>
          <t>បុគ្គលជាប់អាករ</t>
        </is>
      </c>
      <c r="X243" s="298" t="inlineStr">
        <is>
          <t>L001-901640009</t>
        </is>
      </c>
      <c r="Y243" s="298" t="inlineStr">
        <is>
          <t>ហូលីដេ ឌីហ្សាញ (ខេមបូឌា) ឯ.ក</t>
        </is>
      </c>
      <c r="Z243" s="300" t="n">
        <v>1654651</v>
      </c>
      <c r="AA243" s="300" t="n">
        <v>1504228</v>
      </c>
      <c r="AB243" s="298" t="n">
        <v>0</v>
      </c>
      <c r="AC243" s="298" t="inlineStr">
        <is>
          <t>-</t>
        </is>
      </c>
      <c r="AD243" s="300" t="n">
        <v>150423</v>
      </c>
      <c r="AE243" s="298" t="n">
        <v>0</v>
      </c>
      <c r="AF243" s="562" t="n">
        <v>0</v>
      </c>
      <c r="AG243" s="198" t="n">
        <v>0</v>
      </c>
      <c r="AH243" s="198" t="n">
        <v>0</v>
      </c>
      <c r="AI243" s="198" t="n">
        <v>0</v>
      </c>
      <c r="AJ243" s="198" t="n">
        <v>0</v>
      </c>
      <c r="AK243" s="198" t="n">
        <v>0</v>
      </c>
      <c r="AL243" s="198" t="n">
        <v>0.01</v>
      </c>
      <c r="AM243" s="198" t="n">
        <v>0</v>
      </c>
      <c r="AN243" s="198" t="inlineStr">
        <is>
          <t>Truking / Service</t>
        </is>
      </c>
    </row>
    <row r="244">
      <c r="A244" s="212">
        <f>A243+1</f>
        <v/>
      </c>
      <c r="B244" s="214" t="inlineStr">
        <is>
          <t>Trucking Fee-Im</t>
        </is>
      </c>
      <c r="C244" s="214" t="inlineStr">
        <is>
          <t>BRILLIANT TRANSPORT AND TRADING Co., Ltd.</t>
        </is>
      </c>
      <c r="D244" s="215" t="inlineStr">
        <is>
          <t>K002-100089305</t>
        </is>
      </c>
      <c r="E244" s="290" t="inlineStr">
        <is>
          <t>BTT25-0000354</t>
        </is>
      </c>
      <c r="F244" s="279" t="n">
        <v>45698</v>
      </c>
      <c r="G244" s="216" t="n"/>
      <c r="H244" s="564" t="n"/>
      <c r="I244" s="564" t="n">
        <v>1739361</v>
      </c>
      <c r="J244" s="213" t="inlineStr">
        <is>
          <t>អនុញ្ញាត (បានប្រកាស)</t>
        </is>
      </c>
      <c r="K244" s="213" t="n"/>
      <c r="L244" s="563">
        <f>I244</f>
        <v/>
      </c>
      <c r="M244" s="536">
        <f>I244-L244</f>
        <v/>
      </c>
      <c r="N244" s="213" t="n"/>
      <c r="O244" s="218">
        <f>U244=E244</f>
        <v/>
      </c>
      <c r="P244" s="218">
        <f>MONTH(F244)-MONTH(T244)</f>
        <v/>
      </c>
      <c r="Q244" s="218">
        <f>$B$5=X244</f>
        <v/>
      </c>
      <c r="R244" s="218">
        <f>I244-AD244</f>
        <v/>
      </c>
      <c r="S244" s="298" t="n"/>
      <c r="T244" s="299" t="n">
        <v>45698</v>
      </c>
      <c r="U244" s="298" t="inlineStr">
        <is>
          <t>BTT25-0000354</t>
        </is>
      </c>
      <c r="V244" s="298" t="n">
        <v>0</v>
      </c>
      <c r="W244" s="298" t="inlineStr">
        <is>
          <t>បុគ្គលជាប់អាករ</t>
        </is>
      </c>
      <c r="X244" s="298" t="inlineStr">
        <is>
          <t>L001-901640009</t>
        </is>
      </c>
      <c r="Y244" s="298" t="inlineStr">
        <is>
          <t>ហូលីដេ ឌីហ្សាញ (ខេមបូឌា) ឯ.ក</t>
        </is>
      </c>
      <c r="Z244" s="300" t="n">
        <v>19132971</v>
      </c>
      <c r="AA244" s="300" t="n">
        <v>17393610</v>
      </c>
      <c r="AB244" s="298" t="n">
        <v>0</v>
      </c>
      <c r="AC244" s="298" t="inlineStr">
        <is>
          <t>-</t>
        </is>
      </c>
      <c r="AD244" s="300" t="n">
        <v>1739361</v>
      </c>
      <c r="AE244" s="298" t="n">
        <v>0</v>
      </c>
      <c r="AF244" s="562" t="n">
        <v>0</v>
      </c>
      <c r="AG244" s="198" t="n">
        <v>0</v>
      </c>
      <c r="AH244" s="198" t="n">
        <v>0</v>
      </c>
      <c r="AI244" s="198" t="n">
        <v>0</v>
      </c>
      <c r="AJ244" s="198" t="n">
        <v>0</v>
      </c>
      <c r="AK244" s="198" t="n">
        <v>0</v>
      </c>
      <c r="AL244" s="198" t="n">
        <v>0.01</v>
      </c>
      <c r="AM244" s="198" t="n">
        <v>0</v>
      </c>
      <c r="AN244" s="198" t="inlineStr">
        <is>
          <t>Truking / Service</t>
        </is>
      </c>
    </row>
    <row r="245">
      <c r="A245" s="212">
        <f>A244+1</f>
        <v/>
      </c>
      <c r="B245" s="214" t="inlineStr">
        <is>
          <t>Terminal Handling Service-Im</t>
        </is>
      </c>
      <c r="C245" s="214" t="inlineStr">
        <is>
          <t>SITC CONTAINER LINES (CAMBODIA) Co., Ltd.</t>
        </is>
      </c>
      <c r="D245" s="215" t="inlineStr">
        <is>
          <t>L001-107035863</t>
        </is>
      </c>
      <c r="E245" s="290" t="inlineStr">
        <is>
          <t>SITC2025-004731</t>
        </is>
      </c>
      <c r="F245" s="279" t="n">
        <v>45693</v>
      </c>
      <c r="G245" s="216" t="n"/>
      <c r="H245" s="564" t="n"/>
      <c r="I245" s="564" t="n">
        <v>868320</v>
      </c>
      <c r="J245" s="213" t="inlineStr">
        <is>
          <t>អនុញ្ញាត (បានប្រកាស)</t>
        </is>
      </c>
      <c r="K245" s="213" t="n"/>
      <c r="L245" s="563">
        <f>I245</f>
        <v/>
      </c>
      <c r="M245" s="536">
        <f>I245-L245</f>
        <v/>
      </c>
      <c r="N245" s="213" t="n"/>
      <c r="O245" s="218">
        <f>U245=E245</f>
        <v/>
      </c>
      <c r="P245" s="218">
        <f>MONTH(F245)-MONTH(T245)</f>
        <v/>
      </c>
      <c r="Q245" s="218">
        <f>$B$5=X245</f>
        <v/>
      </c>
      <c r="R245" s="218">
        <f>I245-AD245</f>
        <v/>
      </c>
      <c r="S245" s="298" t="n"/>
      <c r="T245" s="299" t="n">
        <v>45693</v>
      </c>
      <c r="U245" s="298" t="inlineStr">
        <is>
          <t>SITC2025-004731</t>
        </is>
      </c>
      <c r="V245" s="298" t="n">
        <v>0</v>
      </c>
      <c r="W245" s="298" t="inlineStr">
        <is>
          <t>បុគ្គលជាប់អាករ</t>
        </is>
      </c>
      <c r="X245" s="298" t="inlineStr">
        <is>
          <t>L001-901640009</t>
        </is>
      </c>
      <c r="Y245" s="298" t="inlineStr">
        <is>
          <t>ហូលីដេ ឌីហ្សាញ (ខេមបូឌា) ឯ.ក</t>
        </is>
      </c>
      <c r="Z245" s="300" t="n">
        <v>9551520</v>
      </c>
      <c r="AA245" s="300" t="n">
        <v>8683200</v>
      </c>
      <c r="AB245" s="298" t="n">
        <v>0</v>
      </c>
      <c r="AC245" s="298" t="inlineStr">
        <is>
          <t>-</t>
        </is>
      </c>
      <c r="AD245" s="300" t="n">
        <v>868320</v>
      </c>
      <c r="AE245" s="298" t="n">
        <v>0</v>
      </c>
      <c r="AF245" s="562" t="n">
        <v>0</v>
      </c>
      <c r="AG245" s="198" t="n">
        <v>0</v>
      </c>
      <c r="AH245" s="198" t="n">
        <v>0</v>
      </c>
      <c r="AI245" s="198" t="n">
        <v>0</v>
      </c>
      <c r="AJ245" s="198" t="n">
        <v>0</v>
      </c>
      <c r="AK245" s="198" t="n">
        <v>0</v>
      </c>
      <c r="AL245" s="198" t="n">
        <v>0.01</v>
      </c>
      <c r="AM245" s="198" t="n">
        <v>0</v>
      </c>
      <c r="AN245" s="198" t="inlineStr">
        <is>
          <t>KHCIC,KHTHC,KHDOC,EIB,EMF</t>
        </is>
      </c>
    </row>
    <row r="246">
      <c r="A246" s="212">
        <f>A245+1</f>
        <v/>
      </c>
      <c r="B246" s="214" t="inlineStr">
        <is>
          <t>Security Service</t>
        </is>
      </c>
      <c r="C246" s="214" t="inlineStr">
        <is>
          <t>V.P.R.Y SECURITY CO., LTD.</t>
        </is>
      </c>
      <c r="D246" s="215" t="inlineStr">
        <is>
          <t>K010-902303788</t>
        </is>
      </c>
      <c r="E246" s="290" t="inlineStr">
        <is>
          <t>VPRY24-00085</t>
        </is>
      </c>
      <c r="F246" s="279" t="n">
        <v>45775</v>
      </c>
      <c r="G246" s="216" t="n"/>
      <c r="H246" s="564" t="n"/>
      <c r="I246" s="564" t="n">
        <v>2203101</v>
      </c>
      <c r="J246" s="213" t="inlineStr">
        <is>
          <t>ព្យួរទុក (មិនមានទិន្នន័យ)</t>
        </is>
      </c>
      <c r="K246" s="213" t="n"/>
      <c r="L246" s="563" t="n"/>
      <c r="M246" s="536">
        <f>I246-L246</f>
        <v/>
      </c>
      <c r="N246" s="213" t="n"/>
      <c r="O246" s="218">
        <f>U246=E246</f>
        <v/>
      </c>
      <c r="P246" s="218">
        <f>MONTH(F246)-MONTH(T246)</f>
        <v/>
      </c>
      <c r="Q246" s="218">
        <f>$B$5=X246</f>
        <v/>
      </c>
      <c r="R246" s="218">
        <f>I246-AD246</f>
        <v/>
      </c>
      <c r="S246" s="298" t="n"/>
      <c r="T246" s="299" t="n">
        <v>45775</v>
      </c>
      <c r="U246" s="298" t="inlineStr">
        <is>
          <t>VPRY25-00085</t>
        </is>
      </c>
      <c r="V246" s="298" t="n">
        <v>0</v>
      </c>
      <c r="W246" s="298" t="inlineStr">
        <is>
          <t>បុគ្គលជាប់អាករ</t>
        </is>
      </c>
      <c r="X246" s="298" t="inlineStr">
        <is>
          <t>L001-901640009</t>
        </is>
      </c>
      <c r="Y246" s="298" t="inlineStr">
        <is>
          <t>ហូលីដេ ឌីហ្សាញ (ខេមបូឌា) ឯ.ក</t>
        </is>
      </c>
      <c r="Z246" s="300" t="n">
        <v>24234111</v>
      </c>
      <c r="AA246" s="300" t="n">
        <v>22031010</v>
      </c>
      <c r="AB246" s="298" t="n">
        <v>0</v>
      </c>
      <c r="AC246" s="298" t="inlineStr">
        <is>
          <t>-</t>
        </is>
      </c>
      <c r="AD246" s="300" t="n">
        <v>2203101</v>
      </c>
      <c r="AE246" s="298" t="n">
        <v>0</v>
      </c>
      <c r="AF246" s="562" t="n">
        <v>0</v>
      </c>
      <c r="AG246" s="198" t="n">
        <v>0</v>
      </c>
      <c r="AH246" s="198" t="n">
        <v>0</v>
      </c>
      <c r="AI246" s="198" t="n">
        <v>0</v>
      </c>
      <c r="AJ246" s="198" t="n">
        <v>0</v>
      </c>
      <c r="AK246" s="198" t="n">
        <v>0</v>
      </c>
      <c r="AL246" s="198" t="n">
        <v>0.01</v>
      </c>
      <c r="AM246" s="198" t="n">
        <v>0</v>
      </c>
      <c r="AN246" s="198" t="inlineStr">
        <is>
          <t>Service</t>
        </is>
      </c>
      <c r="AO246" s="198" t="inlineStr">
        <is>
          <t>បានប្រកាសនិងបង់ពន្ធ</t>
        </is>
      </c>
    </row>
    <row r="247">
      <c r="A247" s="212">
        <f>A246+1</f>
        <v/>
      </c>
      <c r="B247" s="214" t="inlineStr">
        <is>
          <t>Security Service</t>
        </is>
      </c>
      <c r="C247" s="214" t="inlineStr">
        <is>
          <t>V.P.R.Y SECURITY CO., LTD.</t>
        </is>
      </c>
      <c r="D247" s="215" t="inlineStr">
        <is>
          <t>K010-902303788</t>
        </is>
      </c>
      <c r="E247" s="290" t="inlineStr">
        <is>
          <t>VPRY24-00091</t>
        </is>
      </c>
      <c r="F247" s="279" t="n">
        <v>45805</v>
      </c>
      <c r="G247" s="216" t="n"/>
      <c r="H247" s="564" t="n"/>
      <c r="I247" s="564" t="n">
        <v>2203652</v>
      </c>
      <c r="J247" s="213" t="inlineStr">
        <is>
          <t>ព្យួរទុក (មិនមានទិន្នន័យ)</t>
        </is>
      </c>
      <c r="K247" s="213" t="n"/>
      <c r="L247" s="563" t="n"/>
      <c r="M247" s="536">
        <f>I247-L247</f>
        <v/>
      </c>
      <c r="N247" s="213" t="n"/>
      <c r="O247" s="218">
        <f>U247=E247</f>
        <v/>
      </c>
      <c r="P247" s="218">
        <f>MONTH(F247)-MONTH(T247)</f>
        <v/>
      </c>
      <c r="Q247" s="218">
        <f>$B$5=X247</f>
        <v/>
      </c>
      <c r="R247" s="218">
        <f>I247-AD247</f>
        <v/>
      </c>
      <c r="S247" s="298" t="n"/>
      <c r="T247" s="299" t="n">
        <v>45805</v>
      </c>
      <c r="U247" s="298" t="inlineStr">
        <is>
          <t>VPRY25-00091</t>
        </is>
      </c>
      <c r="V247" s="298" t="n">
        <v>0</v>
      </c>
      <c r="W247" s="298" t="inlineStr">
        <is>
          <t>បុគ្គលជាប់អាករ</t>
        </is>
      </c>
      <c r="X247" s="298" t="inlineStr">
        <is>
          <t>L001-901640009</t>
        </is>
      </c>
      <c r="Y247" s="298" t="inlineStr">
        <is>
          <t>ហូលីដេ ឌីហ្សាញ (ខេមបូឌា) ឯ.ក</t>
        </is>
      </c>
      <c r="Z247" s="300" t="n">
        <v>24240167</v>
      </c>
      <c r="AA247" s="300" t="n">
        <v>22036515</v>
      </c>
      <c r="AB247" s="298" t="n">
        <v>0</v>
      </c>
      <c r="AC247" s="298" t="inlineStr">
        <is>
          <t>-</t>
        </is>
      </c>
      <c r="AD247" s="300" t="n">
        <v>2203652</v>
      </c>
      <c r="AE247" s="298" t="n">
        <v>0</v>
      </c>
      <c r="AF247" s="562" t="n">
        <v>0</v>
      </c>
      <c r="AG247" s="198" t="n">
        <v>0</v>
      </c>
      <c r="AH247" s="198" t="n">
        <v>0</v>
      </c>
      <c r="AI247" s="198" t="n">
        <v>0</v>
      </c>
      <c r="AJ247" s="198" t="n">
        <v>0</v>
      </c>
      <c r="AK247" s="198" t="n">
        <v>0</v>
      </c>
      <c r="AL247" s="198" t="n">
        <v>0.01</v>
      </c>
      <c r="AM247" s="198" t="n">
        <v>0</v>
      </c>
      <c r="AN247" s="198" t="inlineStr">
        <is>
          <t>Service</t>
        </is>
      </c>
      <c r="AO247" s="198" t="inlineStr">
        <is>
          <t>បានប្រកាសនិងបង់ពន្ធ</t>
        </is>
      </c>
    </row>
    <row r="248">
      <c r="A248" s="212">
        <f>A247+1</f>
        <v/>
      </c>
      <c r="B248" s="214" t="inlineStr">
        <is>
          <t>Transportation Fee</t>
        </is>
      </c>
      <c r="C248" s="214" t="inlineStr">
        <is>
          <t>YE E DA INTERNATIONAL LOGISTICS CO., LTD.</t>
        </is>
      </c>
      <c r="D248" s="215" t="inlineStr">
        <is>
          <t>K010-902401220</t>
        </is>
      </c>
      <c r="E248" s="290" t="n">
        <v>10</v>
      </c>
      <c r="F248" s="279" t="n">
        <v>45714</v>
      </c>
      <c r="G248" s="216" t="n"/>
      <c r="H248" s="564" t="n"/>
      <c r="I248" s="564" t="n">
        <v>398795</v>
      </c>
      <c r="J248" s="213" t="inlineStr">
        <is>
          <t>អនុញ្ញាត (បានប្រកាស)</t>
        </is>
      </c>
      <c r="K248" s="213" t="n"/>
      <c r="L248" s="563">
        <f>I248</f>
        <v/>
      </c>
      <c r="M248" s="536">
        <f>I248-L248</f>
        <v/>
      </c>
      <c r="N248" s="213" t="n"/>
      <c r="O248" s="218">
        <f>U248=E248</f>
        <v/>
      </c>
      <c r="P248" s="218">
        <f>MONTH(F248)-MONTH(T248)</f>
        <v/>
      </c>
      <c r="Q248" s="218">
        <f>$B$5=X248</f>
        <v/>
      </c>
      <c r="R248" s="218">
        <f>I248-AD248</f>
        <v/>
      </c>
      <c r="S248" s="298" t="n"/>
      <c r="T248" s="299" t="n">
        <v>45714</v>
      </c>
      <c r="U248" s="298" t="n">
        <v>10</v>
      </c>
      <c r="V248" s="298" t="n">
        <v>0</v>
      </c>
      <c r="W248" s="298" t="n">
        <v>0</v>
      </c>
      <c r="X248" s="298" t="inlineStr">
        <is>
          <t>L001-901640009</t>
        </is>
      </c>
      <c r="Y248" s="298" t="n">
        <v>0</v>
      </c>
      <c r="Z248" s="300" t="n">
        <v>0</v>
      </c>
      <c r="AA248" s="300" t="n">
        <v>0</v>
      </c>
      <c r="AB248" s="298" t="n">
        <v>0</v>
      </c>
      <c r="AC248" s="298" t="n">
        <v>0</v>
      </c>
      <c r="AD248" s="300" t="n">
        <v>398795</v>
      </c>
      <c r="AE248" s="298" t="n">
        <v>0</v>
      </c>
      <c r="AF248" s="562" t="n">
        <v>0</v>
      </c>
      <c r="AG248" s="198" t="n">
        <v>0</v>
      </c>
      <c r="AH248" s="198" t="n">
        <v>0</v>
      </c>
      <c r="AI248" s="198" t="n">
        <v>0</v>
      </c>
      <c r="AJ248" s="198" t="n">
        <v>0</v>
      </c>
      <c r="AK248" s="198" t="n">
        <v>0</v>
      </c>
      <c r="AL248" s="198" t="n">
        <v>0</v>
      </c>
      <c r="AM248" s="198" t="n">
        <v>0</v>
      </c>
      <c r="AN248" s="198" t="n">
        <v>0</v>
      </c>
      <c r="AO248" s="198" t="n">
        <v>0</v>
      </c>
    </row>
    <row r="249">
      <c r="A249" s="212">
        <f>A248+1</f>
        <v/>
      </c>
      <c r="B249" s="214" t="inlineStr">
        <is>
          <t>Transportation Fee</t>
        </is>
      </c>
      <c r="C249" s="214" t="inlineStr">
        <is>
          <t>YE E DA INTERNATIONAL LOGISTICS CO., LTD.</t>
        </is>
      </c>
      <c r="D249" s="215" t="inlineStr">
        <is>
          <t>K010-902401220</t>
        </is>
      </c>
      <c r="E249" s="290" t="n">
        <v>15</v>
      </c>
      <c r="F249" s="279" t="n">
        <v>45743</v>
      </c>
      <c r="G249" s="216" t="n"/>
      <c r="H249" s="564" t="n"/>
      <c r="I249" s="564" t="n">
        <v>1996209</v>
      </c>
      <c r="J249" s="213" t="inlineStr">
        <is>
          <t>អនុញ្ញាត (បានប្រកាស)</t>
        </is>
      </c>
      <c r="K249" s="213" t="n"/>
      <c r="L249" s="563">
        <f>I249</f>
        <v/>
      </c>
      <c r="M249" s="536">
        <f>I249-L249</f>
        <v/>
      </c>
      <c r="N249" s="213" t="n"/>
      <c r="O249" s="218">
        <f>U249=E249</f>
        <v/>
      </c>
      <c r="P249" s="218">
        <f>MONTH(F249)-MONTH(T249)</f>
        <v/>
      </c>
      <c r="Q249" s="218">
        <f>$B$5=X249</f>
        <v/>
      </c>
      <c r="R249" s="218">
        <f>I249-AD249</f>
        <v/>
      </c>
      <c r="S249" s="298" t="n"/>
      <c r="T249" s="299" t="n">
        <v>45743</v>
      </c>
      <c r="U249" s="298" t="n">
        <v>15</v>
      </c>
      <c r="V249" s="298" t="n">
        <v>0</v>
      </c>
      <c r="W249" s="298" t="inlineStr">
        <is>
          <t>បុគ្គលជាប់អាករ</t>
        </is>
      </c>
      <c r="X249" s="298" t="inlineStr">
        <is>
          <t>L001-901640009</t>
        </is>
      </c>
      <c r="Y249" s="298" t="inlineStr">
        <is>
          <t>ហូលីដេ ឌីហ្សាញ (ខេមបូឌា) ឯ.ក</t>
        </is>
      </c>
      <c r="Z249" s="300" t="n">
        <v>21958294</v>
      </c>
      <c r="AA249" s="300" t="n">
        <v>19962085</v>
      </c>
      <c r="AB249" s="298" t="n">
        <v>0</v>
      </c>
      <c r="AC249" s="298" t="inlineStr">
        <is>
          <t>-</t>
        </is>
      </c>
      <c r="AD249" s="300" t="n">
        <v>1996209</v>
      </c>
      <c r="AE249" s="298" t="n">
        <v>0</v>
      </c>
      <c r="AF249" s="562" t="n">
        <v>0</v>
      </c>
      <c r="AG249" s="198" t="n">
        <v>0</v>
      </c>
      <c r="AH249" s="198" t="n">
        <v>0</v>
      </c>
      <c r="AI249" s="198" t="n">
        <v>0</v>
      </c>
      <c r="AJ249" s="198" t="n">
        <v>0</v>
      </c>
      <c r="AK249" s="198" t="n">
        <v>0</v>
      </c>
      <c r="AL249" s="198" t="n">
        <v>0.01</v>
      </c>
      <c r="AM249" s="198" t="n">
        <v>0</v>
      </c>
      <c r="AN249" s="198" t="inlineStr">
        <is>
          <t>Transportation Fee</t>
        </is>
      </c>
      <c r="AO249" s="198" t="inlineStr">
        <is>
          <t>បានប្រកាសនិងបង់ពន្ធ</t>
        </is>
      </c>
    </row>
    <row r="250">
      <c r="A250" s="212">
        <f>A249+1</f>
        <v/>
      </c>
      <c r="B250" s="214" t="inlineStr">
        <is>
          <t>Transportation Fee</t>
        </is>
      </c>
      <c r="C250" s="214" t="inlineStr">
        <is>
          <t>YE E DA INTERNATIONAL LOGISTICS CO., LTD.</t>
        </is>
      </c>
      <c r="D250" s="215" t="inlineStr">
        <is>
          <t>K010-902401220</t>
        </is>
      </c>
      <c r="E250" s="290" t="n">
        <v>18</v>
      </c>
      <c r="F250" s="279" t="n">
        <v>45772</v>
      </c>
      <c r="G250" s="216" t="n"/>
      <c r="H250" s="564" t="n"/>
      <c r="I250" s="564" t="n">
        <v>3339703</v>
      </c>
      <c r="J250" s="213" t="inlineStr">
        <is>
          <t>អនុញ្ញាត (បានប្រកាស)</t>
        </is>
      </c>
      <c r="K250" s="213" t="n"/>
      <c r="L250" s="563">
        <f>I250</f>
        <v/>
      </c>
      <c r="M250" s="536">
        <f>I250-L250</f>
        <v/>
      </c>
      <c r="N250" s="213" t="n"/>
      <c r="O250" s="218">
        <f>U250=E250</f>
        <v/>
      </c>
      <c r="P250" s="218">
        <f>MONTH(F250)-MONTH(T250)</f>
        <v/>
      </c>
      <c r="Q250" s="218">
        <f>$B$5=X250</f>
        <v/>
      </c>
      <c r="R250" s="218">
        <f>I250-AD250</f>
        <v/>
      </c>
      <c r="S250" s="298" t="n"/>
      <c r="T250" s="299" t="n">
        <v>45772</v>
      </c>
      <c r="U250" s="298" t="n">
        <v>18</v>
      </c>
      <c r="V250" s="298" t="n">
        <v>0</v>
      </c>
      <c r="W250" s="298" t="inlineStr">
        <is>
          <t>បុគ្គលជាប់អាករ</t>
        </is>
      </c>
      <c r="X250" s="298" t="inlineStr">
        <is>
          <t>L001-901640009</t>
        </is>
      </c>
      <c r="Y250" s="298" t="inlineStr">
        <is>
          <t>ហូលីដេ ឌីហ្សាញ (ខេមបូឌា) ឯ.ក</t>
        </is>
      </c>
      <c r="Z250" s="300" t="n">
        <v>36736732</v>
      </c>
      <c r="AA250" s="300" t="n">
        <v>33397029</v>
      </c>
      <c r="AB250" s="298" t="n">
        <v>0</v>
      </c>
      <c r="AC250" s="298" t="inlineStr">
        <is>
          <t>-</t>
        </is>
      </c>
      <c r="AD250" s="300" t="n">
        <v>3339703</v>
      </c>
      <c r="AE250" s="298" t="n">
        <v>0</v>
      </c>
      <c r="AF250" s="562" t="n">
        <v>0</v>
      </c>
      <c r="AG250" s="198" t="n">
        <v>0</v>
      </c>
      <c r="AH250" s="198" t="n">
        <v>0</v>
      </c>
      <c r="AI250" s="198" t="n">
        <v>0</v>
      </c>
      <c r="AJ250" s="198" t="n">
        <v>0</v>
      </c>
      <c r="AK250" s="198" t="n">
        <v>0</v>
      </c>
      <c r="AL250" s="198" t="n">
        <v>0.01</v>
      </c>
      <c r="AM250" s="198" t="n">
        <v>0</v>
      </c>
      <c r="AN250" s="198" t="inlineStr">
        <is>
          <t>Transportation Fee</t>
        </is>
      </c>
      <c r="AO250" s="198" t="inlineStr">
        <is>
          <t>បានប្រកាសនិងបង់ពន្ធ</t>
        </is>
      </c>
    </row>
    <row r="251">
      <c r="A251" s="212">
        <f>A250+1</f>
        <v/>
      </c>
      <c r="B251" s="214" t="inlineStr">
        <is>
          <t>THC, Doc, Admin, Agency Fee-Im</t>
        </is>
      </c>
      <c r="C251" s="214" t="inlineStr">
        <is>
          <t>STRAITS INTERNATIONAL Pte . Ltd.</t>
        </is>
      </c>
      <c r="D251" s="215" t="inlineStr">
        <is>
          <t>L001-100045162</t>
        </is>
      </c>
      <c r="E251" s="290" t="n">
        <v>2431343</v>
      </c>
      <c r="F251" s="279" t="n">
        <v>45643</v>
      </c>
      <c r="G251" s="216" t="n"/>
      <c r="H251" s="564" t="n"/>
      <c r="I251" s="564" t="n">
        <v>1476983</v>
      </c>
      <c r="J251" s="213" t="inlineStr">
        <is>
          <t>អនុញ្ញាត (បានប្រកាស)</t>
        </is>
      </c>
      <c r="K251" s="213" t="n"/>
      <c r="L251" s="563">
        <f>I251</f>
        <v/>
      </c>
      <c r="M251" s="536">
        <f>I251-L251</f>
        <v/>
      </c>
      <c r="N251" s="213" t="n"/>
      <c r="O251" s="218">
        <f>U251=E251</f>
        <v/>
      </c>
      <c r="P251" s="218">
        <f>MONTH(F251)-MONTH(T251)</f>
        <v/>
      </c>
      <c r="Q251" s="218">
        <f>$B$5=X251</f>
        <v/>
      </c>
      <c r="R251" s="218">
        <f>I251-AD251</f>
        <v/>
      </c>
      <c r="S251" s="298" t="inlineStr">
        <is>
          <t>ប្រកាសខុស</t>
        </is>
      </c>
      <c r="T251" s="299" t="n">
        <v>45643</v>
      </c>
      <c r="U251" s="298" t="n">
        <v>2431343</v>
      </c>
      <c r="V251" s="298" t="n">
        <v>0</v>
      </c>
      <c r="W251" s="298" t="inlineStr">
        <is>
          <t>បុគ្គលជាប់អាករ</t>
        </is>
      </c>
      <c r="X251" s="298" t="inlineStr">
        <is>
          <t>L001-901640009</t>
        </is>
      </c>
      <c r="Y251" s="298" t="inlineStr">
        <is>
          <t>ហូលីដេ ឌីហ្សាញ (ខេមបូឌា) ឯ.ក</t>
        </is>
      </c>
      <c r="Z251" s="300" t="n">
        <v>16246808</v>
      </c>
      <c r="AA251" s="300" t="n">
        <v>14769825</v>
      </c>
      <c r="AB251" s="298" t="n">
        <v>0</v>
      </c>
      <c r="AC251" s="298" t="inlineStr">
        <is>
          <t>-</t>
        </is>
      </c>
      <c r="AD251" s="300" t="n">
        <v>1476983</v>
      </c>
      <c r="AE251" s="298" t="n">
        <v>0</v>
      </c>
      <c r="AF251" s="562" t="n">
        <v>0</v>
      </c>
      <c r="AG251" s="198" t="n">
        <v>0</v>
      </c>
      <c r="AH251" s="198" t="n">
        <v>0</v>
      </c>
      <c r="AI251" s="198" t="n">
        <v>0</v>
      </c>
      <c r="AJ251" s="198" t="n">
        <v>0</v>
      </c>
      <c r="AK251" s="198" t="n">
        <v>0</v>
      </c>
      <c r="AL251" s="198" t="n">
        <v>0.01</v>
      </c>
      <c r="AM251" s="198" t="n">
        <v>0</v>
      </c>
      <c r="AN251" s="198" t="inlineStr">
        <is>
          <t>THC&amp;LOCAL CHARGES</t>
        </is>
      </c>
      <c r="AO251" s="198" t="inlineStr">
        <is>
          <t>បានប្រកាសនិងបង់ពន្ធ</t>
        </is>
      </c>
    </row>
    <row r="252">
      <c r="A252" s="212">
        <f>A251+1</f>
        <v/>
      </c>
      <c r="B252" s="214" t="inlineStr">
        <is>
          <t>THC, Doc, CIC Fee-Im</t>
        </is>
      </c>
      <c r="C252" s="214" t="inlineStr">
        <is>
          <t>STRAITS INTERNATIONAL Pte . Ltd.</t>
        </is>
      </c>
      <c r="D252" s="215" t="inlineStr">
        <is>
          <t>L001-100045162</t>
        </is>
      </c>
      <c r="E252" s="290" t="n">
        <v>2501560</v>
      </c>
      <c r="F252" s="279" t="n">
        <v>45671</v>
      </c>
      <c r="G252" s="216" t="n"/>
      <c r="H252" s="564" t="n"/>
      <c r="I252" s="564" t="n">
        <v>993102</v>
      </c>
      <c r="J252" s="213" t="inlineStr">
        <is>
          <t>អនុញ្ញាត (បានប្រកាស)</t>
        </is>
      </c>
      <c r="K252" s="213" t="n"/>
      <c r="L252" s="563">
        <f>I252</f>
        <v/>
      </c>
      <c r="M252" s="536">
        <f>I252-L252</f>
        <v/>
      </c>
      <c r="N252" s="213" t="n"/>
      <c r="O252" s="218">
        <f>U252=E252</f>
        <v/>
      </c>
      <c r="P252" s="218">
        <f>MONTH(F252)-MONTH(T252)</f>
        <v/>
      </c>
      <c r="Q252" s="218">
        <f>$B$5=X252</f>
        <v/>
      </c>
      <c r="R252" s="218">
        <f>I252-AD252</f>
        <v/>
      </c>
      <c r="S252" s="298" t="n"/>
      <c r="T252" s="299" t="n">
        <v>45671</v>
      </c>
      <c r="U252" s="298" t="n">
        <v>2501560</v>
      </c>
      <c r="V252" s="298" t="n">
        <v>0</v>
      </c>
      <c r="W252" s="298" t="inlineStr">
        <is>
          <t>បុគ្គលជាប់អាករ</t>
        </is>
      </c>
      <c r="X252" s="298" t="inlineStr">
        <is>
          <t>L001-901640009</t>
        </is>
      </c>
      <c r="Y252" s="298" t="inlineStr">
        <is>
          <t>ហូលីដេ ឌីហ្សាញ (ខេមបូឌា) ឯ.ក</t>
        </is>
      </c>
      <c r="Z252" s="300" t="n">
        <v>10924122</v>
      </c>
      <c r="AA252" s="300" t="n">
        <v>9931020</v>
      </c>
      <c r="AB252" s="298" t="n">
        <v>0</v>
      </c>
      <c r="AC252" s="298" t="inlineStr">
        <is>
          <t>-</t>
        </is>
      </c>
      <c r="AD252" s="300" t="n">
        <v>993102</v>
      </c>
      <c r="AE252" s="298" t="n">
        <v>0</v>
      </c>
      <c r="AF252" s="562" t="n">
        <v>0</v>
      </c>
      <c r="AG252" s="198" t="n">
        <v>0</v>
      </c>
      <c r="AH252" s="198" t="n">
        <v>0</v>
      </c>
      <c r="AI252" s="198" t="n">
        <v>0</v>
      </c>
      <c r="AJ252" s="198" t="n">
        <v>0</v>
      </c>
      <c r="AK252" s="198" t="n">
        <v>0</v>
      </c>
      <c r="AL252" s="198" t="n">
        <v>0.01</v>
      </c>
      <c r="AM252" s="198" t="n">
        <v>0</v>
      </c>
      <c r="AN252" s="198" t="inlineStr">
        <is>
          <t>THC&amp;LOCAL CHARGES</t>
        </is>
      </c>
      <c r="AO252" s="198" t="inlineStr">
        <is>
          <t>បានប្រកាសនិងបង់ពន្ធ</t>
        </is>
      </c>
    </row>
    <row r="253">
      <c r="A253" s="212">
        <f>A252+1</f>
        <v/>
      </c>
      <c r="B253" s="214" t="inlineStr">
        <is>
          <t>THC, Doc, CIC Fee-Im</t>
        </is>
      </c>
      <c r="C253" s="214" t="inlineStr">
        <is>
          <t>STRAITS INTERNATIONAL Pte . Ltd.</t>
        </is>
      </c>
      <c r="D253" s="215" t="inlineStr">
        <is>
          <t>L001-100045162</t>
        </is>
      </c>
      <c r="E253" s="290" t="n">
        <v>2501027</v>
      </c>
      <c r="F253" s="279" t="n">
        <v>45665</v>
      </c>
      <c r="G253" s="216" t="n"/>
      <c r="H253" s="564" t="n"/>
      <c r="I253" s="564" t="n">
        <v>992856</v>
      </c>
      <c r="J253" s="213" t="inlineStr">
        <is>
          <t>អនុញ្ញាត (បានប្រកាស)</t>
        </is>
      </c>
      <c r="K253" s="213" t="n"/>
      <c r="L253" s="563">
        <f>I253</f>
        <v/>
      </c>
      <c r="M253" s="536">
        <f>I253-L253</f>
        <v/>
      </c>
      <c r="N253" s="213" t="n"/>
      <c r="O253" s="218">
        <f>U253=E253</f>
        <v/>
      </c>
      <c r="P253" s="218">
        <f>MONTH(F253)-MONTH(T253)</f>
        <v/>
      </c>
      <c r="Q253" s="218">
        <f>$B$5=X253</f>
        <v/>
      </c>
      <c r="R253" s="218">
        <f>I253-AD253</f>
        <v/>
      </c>
      <c r="S253" s="298" t="n"/>
      <c r="T253" s="299" t="n">
        <v>45665</v>
      </c>
      <c r="U253" s="298" t="n">
        <v>2501027</v>
      </c>
      <c r="V253" s="298" t="n">
        <v>0</v>
      </c>
      <c r="W253" s="298" t="inlineStr">
        <is>
          <t>បុគ្គលជាប់អាករ</t>
        </is>
      </c>
      <c r="X253" s="298" t="inlineStr">
        <is>
          <t>L001-901640009</t>
        </is>
      </c>
      <c r="Y253" s="298" t="inlineStr">
        <is>
          <t>ហូលីដេ ឌីហ្សាញ (ខេមបូឌា) ឯ.ក</t>
        </is>
      </c>
      <c r="Z253" s="300" t="n">
        <v>10921416</v>
      </c>
      <c r="AA253" s="300" t="n">
        <v>9928560</v>
      </c>
      <c r="AB253" s="298" t="n">
        <v>0</v>
      </c>
      <c r="AC253" s="298" t="inlineStr">
        <is>
          <t>-</t>
        </is>
      </c>
      <c r="AD253" s="300" t="n">
        <v>992856</v>
      </c>
      <c r="AE253" s="298" t="n">
        <v>0</v>
      </c>
      <c r="AF253" s="562" t="n">
        <v>0</v>
      </c>
      <c r="AG253" s="198" t="n">
        <v>0</v>
      </c>
      <c r="AH253" s="198" t="n">
        <v>0</v>
      </c>
      <c r="AI253" s="198" t="n">
        <v>0</v>
      </c>
      <c r="AJ253" s="198" t="n">
        <v>0</v>
      </c>
      <c r="AK253" s="198" t="n">
        <v>0</v>
      </c>
      <c r="AL253" s="198" t="n">
        <v>0.01</v>
      </c>
      <c r="AM253" s="198" t="n">
        <v>0</v>
      </c>
      <c r="AN253" s="198" t="inlineStr">
        <is>
          <t>THC&amp;LOCAL CHARGES</t>
        </is>
      </c>
      <c r="AO253" s="198" t="inlineStr">
        <is>
          <t>បានប្រកាសនិងបង់ពន្ធ</t>
        </is>
      </c>
    </row>
    <row r="254">
      <c r="A254" s="212">
        <f>A253+1</f>
        <v/>
      </c>
      <c r="B254" s="214" t="inlineStr">
        <is>
          <t>Lift-On &amp; Lift-On-Im</t>
        </is>
      </c>
      <c r="C254" s="214" t="inlineStr">
        <is>
          <t>Port Autonome Du Sihanoukville</t>
        </is>
      </c>
      <c r="D254" s="215" t="inlineStr">
        <is>
          <t>L001-100044638</t>
        </is>
      </c>
      <c r="E254" s="290" t="n">
        <v>202500060076</v>
      </c>
      <c r="F254" s="279" t="n">
        <v>45736</v>
      </c>
      <c r="G254" s="216" t="n"/>
      <c r="H254" s="564" t="n"/>
      <c r="I254" s="564" t="n">
        <v>488053</v>
      </c>
      <c r="J254" s="213" t="inlineStr">
        <is>
          <t>អនុញ្ញាត (បានប្រកាស)</t>
        </is>
      </c>
      <c r="K254" s="213" t="n"/>
      <c r="L254" s="563">
        <f>I254</f>
        <v/>
      </c>
      <c r="M254" s="536">
        <f>I254-L254</f>
        <v/>
      </c>
      <c r="N254" s="213" t="n"/>
      <c r="O254" s="218">
        <f>U254=E254</f>
        <v/>
      </c>
      <c r="P254" s="218">
        <f>MONTH(F254)-MONTH(T254)</f>
        <v/>
      </c>
      <c r="Q254" s="218">
        <f>$B$5=X254</f>
        <v/>
      </c>
      <c r="R254" s="218">
        <f>I254-AD254</f>
        <v/>
      </c>
      <c r="S254" s="298" t="n"/>
      <c r="T254" s="299" t="n">
        <v>45736</v>
      </c>
      <c r="U254" s="298" t="n">
        <v>202500060076</v>
      </c>
      <c r="V254" s="298" t="n">
        <v>0</v>
      </c>
      <c r="W254" s="298" t="inlineStr">
        <is>
          <t>បុគ្គលជាប់អាករ</t>
        </is>
      </c>
      <c r="X254" s="298" t="inlineStr">
        <is>
          <t>L001-901640009</t>
        </is>
      </c>
      <c r="Y254" s="298" t="inlineStr">
        <is>
          <t>ហូលីដេ ឌីហ្សាញ (ខេមបូឌា) ឯ.ក</t>
        </is>
      </c>
      <c r="Z254" s="300" t="n">
        <v>5368579</v>
      </c>
      <c r="AA254" s="300" t="n">
        <v>4880526</v>
      </c>
      <c r="AB254" s="298" t="n">
        <v>0</v>
      </c>
      <c r="AC254" s="298" t="inlineStr">
        <is>
          <t>-</t>
        </is>
      </c>
      <c r="AD254" s="300" t="n">
        <v>488053</v>
      </c>
      <c r="AE254" s="298" t="n">
        <v>0</v>
      </c>
      <c r="AF254" s="562" t="n">
        <v>0</v>
      </c>
      <c r="AG254" s="198" t="n">
        <v>0</v>
      </c>
      <c r="AH254" s="198" t="n">
        <v>0</v>
      </c>
      <c r="AI254" s="198" t="n">
        <v>0</v>
      </c>
      <c r="AJ254" s="198" t="n">
        <v>0</v>
      </c>
      <c r="AK254" s="198" t="n">
        <v>0</v>
      </c>
      <c r="AL254" s="198" t="n">
        <v>0.01</v>
      </c>
      <c r="AM254" s="198" t="n">
        <v>0</v>
      </c>
      <c r="AN254" s="198" t="inlineStr">
        <is>
          <t>LOLO</t>
        </is>
      </c>
    </row>
    <row r="255">
      <c r="A255" s="212">
        <f>A254+1</f>
        <v/>
      </c>
      <c r="B255" s="214" t="inlineStr">
        <is>
          <t>Terminal Handling Charge</t>
        </is>
      </c>
      <c r="C255" s="214" t="inlineStr">
        <is>
          <t>SITC CONTAINER LINES (CAMBODIA) Co., Ltd.</t>
        </is>
      </c>
      <c r="D255" s="215" t="inlineStr">
        <is>
          <t>L001-107035863</t>
        </is>
      </c>
      <c r="E255" s="290" t="inlineStr">
        <is>
          <t>SITC2025-008751</t>
        </is>
      </c>
      <c r="F255" s="279" t="n">
        <v>45734</v>
      </c>
      <c r="G255" s="216" t="n"/>
      <c r="H255" s="564" t="n"/>
      <c r="I255" s="564" t="n">
        <v>2941138</v>
      </c>
      <c r="J255" s="213" t="inlineStr">
        <is>
          <t>អនុញ្ញាត (បានប្រកាស)</t>
        </is>
      </c>
      <c r="K255" s="213" t="n"/>
      <c r="L255" s="563">
        <f>I255</f>
        <v/>
      </c>
      <c r="M255" s="536">
        <f>I255-L255</f>
        <v/>
      </c>
      <c r="N255" s="213" t="n"/>
      <c r="O255" s="218">
        <f>U255=E255</f>
        <v/>
      </c>
      <c r="P255" s="218">
        <f>MONTH(F255)-MONTH(T255)</f>
        <v/>
      </c>
      <c r="Q255" s="218">
        <f>$B$5=X255</f>
        <v/>
      </c>
      <c r="R255" s="218">
        <f>I255-AD255</f>
        <v/>
      </c>
      <c r="S255" s="298" t="n"/>
      <c r="T255" s="299" t="n">
        <v>45734</v>
      </c>
      <c r="U255" s="298" t="inlineStr">
        <is>
          <t>SITC2025-008751</t>
        </is>
      </c>
      <c r="V255" s="298" t="n">
        <v>0</v>
      </c>
      <c r="W255" s="298" t="inlineStr">
        <is>
          <t>បុគ្គលជាប់អាករ</t>
        </is>
      </c>
      <c r="X255" s="298" t="inlineStr">
        <is>
          <t>L001-901640009</t>
        </is>
      </c>
      <c r="Y255" s="298" t="inlineStr">
        <is>
          <t>ហូលីដេ ឌីហ្សាញ (ខេមបូឌា) ឯ.ក</t>
        </is>
      </c>
      <c r="Z255" s="300" t="n">
        <v>32352518</v>
      </c>
      <c r="AA255" s="300" t="n">
        <v>29411380</v>
      </c>
      <c r="AB255" s="298" t="n">
        <v>0</v>
      </c>
      <c r="AC255" s="298" t="inlineStr">
        <is>
          <t>-</t>
        </is>
      </c>
      <c r="AD255" s="300" t="n">
        <v>2941138</v>
      </c>
      <c r="AE255" s="298" t="n">
        <v>0</v>
      </c>
      <c r="AF255" s="562" t="n">
        <v>0</v>
      </c>
      <c r="AG255" s="198" t="n">
        <v>0</v>
      </c>
      <c r="AH255" s="198" t="n">
        <v>0</v>
      </c>
      <c r="AI255" s="198" t="n">
        <v>0</v>
      </c>
      <c r="AJ255" s="198" t="n">
        <v>0</v>
      </c>
      <c r="AK255" s="198" t="n">
        <v>0</v>
      </c>
      <c r="AL255" s="198" t="n">
        <v>0.01</v>
      </c>
      <c r="AM255" s="198" t="n">
        <v>0</v>
      </c>
      <c r="AN255" s="198" t="inlineStr">
        <is>
          <t>EMF,KHTHC,KHDOC,KHCIC,EIB</t>
        </is>
      </c>
    </row>
    <row r="256">
      <c r="A256" s="212">
        <f>A255+1</f>
        <v/>
      </c>
      <c r="B256" s="214" t="inlineStr">
        <is>
          <t>Trucking &amp; Clearance-Im</t>
        </is>
      </c>
      <c r="C256" s="214" t="inlineStr">
        <is>
          <t>BRILLIANT TRANSPORT AND TRADING Co., Ltd.</t>
        </is>
      </c>
      <c r="D256" s="215" t="inlineStr">
        <is>
          <t>K002-100089305</t>
        </is>
      </c>
      <c r="E256" s="290" t="inlineStr">
        <is>
          <t>BTT25-0000615</t>
        </is>
      </c>
      <c r="F256" s="279" t="n">
        <v>45736</v>
      </c>
      <c r="G256" s="216" t="n"/>
      <c r="H256" s="564" t="n"/>
      <c r="I256" s="564" t="n">
        <v>3297761</v>
      </c>
      <c r="J256" s="213" t="inlineStr">
        <is>
          <t>អនុញ្ញាត (បានប្រកាស)</t>
        </is>
      </c>
      <c r="K256" s="213" t="n"/>
      <c r="L256" s="563">
        <f>I256</f>
        <v/>
      </c>
      <c r="M256" s="536">
        <f>I256-L256</f>
        <v/>
      </c>
      <c r="N256" s="213" t="n"/>
      <c r="O256" s="218">
        <f>U256=E256</f>
        <v/>
      </c>
      <c r="P256" s="218">
        <f>MONTH(F256)-MONTH(T256)</f>
        <v/>
      </c>
      <c r="Q256" s="218">
        <f>$B$5=X256</f>
        <v/>
      </c>
      <c r="R256" s="218">
        <f>I256-AD256</f>
        <v/>
      </c>
      <c r="S256" s="298" t="inlineStr">
        <is>
          <t>Wrong invoice number</t>
        </is>
      </c>
      <c r="T256" s="299" t="n">
        <v>45736</v>
      </c>
      <c r="U256" s="298" t="inlineStr">
        <is>
          <t>BTT25-0000615</t>
        </is>
      </c>
      <c r="V256" s="298" t="n">
        <v>0</v>
      </c>
      <c r="W256" s="298" t="inlineStr">
        <is>
          <t>បុគ្គលជាប់អាករ</t>
        </is>
      </c>
      <c r="X256" s="298" t="inlineStr">
        <is>
          <t>L001-901640009</t>
        </is>
      </c>
      <c r="Y256" s="298" t="inlineStr">
        <is>
          <t>ហូលីដេ ឌីហ្សាញ (ខេមបូឌា) ឯ.ក</t>
        </is>
      </c>
      <c r="Z256" s="300" t="n">
        <v>36275371</v>
      </c>
      <c r="AA256" s="300" t="n">
        <v>32977610</v>
      </c>
      <c r="AB256" s="298" t="n">
        <v>0</v>
      </c>
      <c r="AC256" s="298" t="inlineStr">
        <is>
          <t>-</t>
        </is>
      </c>
      <c r="AD256" s="300" t="n">
        <v>3297761</v>
      </c>
      <c r="AE256" s="298" t="n">
        <v>0</v>
      </c>
      <c r="AF256" s="562" t="n">
        <v>0</v>
      </c>
      <c r="AG256" s="198" t="n">
        <v>0</v>
      </c>
      <c r="AH256" s="198" t="n">
        <v>0</v>
      </c>
      <c r="AI256" s="198" t="n">
        <v>0</v>
      </c>
      <c r="AJ256" s="198" t="n">
        <v>0</v>
      </c>
      <c r="AK256" s="198" t="n">
        <v>0</v>
      </c>
      <c r="AL256" s="198" t="n">
        <v>0.01</v>
      </c>
      <c r="AM256" s="198" t="n">
        <v>0</v>
      </c>
      <c r="AN256" s="198" t="inlineStr">
        <is>
          <t>Truking / Service</t>
        </is>
      </c>
    </row>
    <row r="257">
      <c r="A257" s="212">
        <f>A256+1</f>
        <v/>
      </c>
      <c r="B257" s="214" t="inlineStr">
        <is>
          <t>Lift-On &amp; Lift-On-Im</t>
        </is>
      </c>
      <c r="C257" s="214" t="inlineStr">
        <is>
          <t>Port Autonome Du Sihanoukville</t>
        </is>
      </c>
      <c r="D257" s="215" t="inlineStr">
        <is>
          <t>L001-100044638</t>
        </is>
      </c>
      <c r="E257" s="290" t="n">
        <v>202500060156</v>
      </c>
      <c r="F257" s="279" t="n">
        <v>45736</v>
      </c>
      <c r="G257" s="216" t="n"/>
      <c r="H257" s="564" t="n"/>
      <c r="I257" s="564" t="n">
        <v>174305</v>
      </c>
      <c r="J257" s="213" t="inlineStr">
        <is>
          <t>អនុញ្ញាត (បានប្រកាស)</t>
        </is>
      </c>
      <c r="K257" s="213" t="n"/>
      <c r="L257" s="563">
        <f>I257</f>
        <v/>
      </c>
      <c r="M257" s="536">
        <f>I257-L257</f>
        <v/>
      </c>
      <c r="N257" s="213" t="n"/>
      <c r="O257" s="218">
        <f>U257=E257</f>
        <v/>
      </c>
      <c r="P257" s="218">
        <f>MONTH(F257)-MONTH(T257)</f>
        <v/>
      </c>
      <c r="Q257" s="218">
        <f>$B$5=X257</f>
        <v/>
      </c>
      <c r="R257" s="218">
        <f>I257-AD257</f>
        <v/>
      </c>
      <c r="S257" s="298" t="inlineStr">
        <is>
          <t>Wrong invoice number</t>
        </is>
      </c>
      <c r="T257" s="299" t="n">
        <v>45736</v>
      </c>
      <c r="U257" s="298" t="n">
        <v>202500060156</v>
      </c>
      <c r="V257" s="298" t="n">
        <v>0</v>
      </c>
      <c r="W257" s="298" t="inlineStr">
        <is>
          <t>បុគ្គលជាប់អាករ</t>
        </is>
      </c>
      <c r="X257" s="298" t="inlineStr">
        <is>
          <t>L001-901640009</t>
        </is>
      </c>
      <c r="Y257" s="298" t="inlineStr">
        <is>
          <t>ហូលីដេ ឌីហ្សាញ (ខេមបូឌា) ឯ.ក</t>
        </is>
      </c>
      <c r="Z257" s="300" t="n">
        <v>1917350</v>
      </c>
      <c r="AA257" s="300" t="n">
        <v>1743045</v>
      </c>
      <c r="AB257" s="298" t="n">
        <v>0</v>
      </c>
      <c r="AC257" s="298" t="inlineStr">
        <is>
          <t>-</t>
        </is>
      </c>
      <c r="AD257" s="300" t="n">
        <v>174305</v>
      </c>
      <c r="AE257" s="298" t="n">
        <v>0</v>
      </c>
      <c r="AF257" s="562" t="n">
        <v>0</v>
      </c>
      <c r="AG257" s="198" t="n">
        <v>0</v>
      </c>
      <c r="AH257" s="198" t="n">
        <v>0</v>
      </c>
      <c r="AI257" s="198" t="n">
        <v>0</v>
      </c>
      <c r="AJ257" s="198" t="n">
        <v>0</v>
      </c>
      <c r="AK257" s="198" t="n">
        <v>0</v>
      </c>
      <c r="AL257" s="198" t="n">
        <v>0.01</v>
      </c>
      <c r="AM257" s="198" t="n">
        <v>0</v>
      </c>
      <c r="AN257" s="198" t="inlineStr">
        <is>
          <t>LOLO</t>
        </is>
      </c>
    </row>
    <row r="258">
      <c r="A258" s="212">
        <f>A257+1</f>
        <v/>
      </c>
      <c r="B258" s="214" t="inlineStr">
        <is>
          <t>THC, Doc, CIC Fee-Im</t>
        </is>
      </c>
      <c r="C258" s="214" t="inlineStr">
        <is>
          <t>STRAITS INTERNATIONAL Pte . Ltd.</t>
        </is>
      </c>
      <c r="D258" s="215" t="inlineStr">
        <is>
          <t>L001-100045162</t>
        </is>
      </c>
      <c r="E258" s="290" t="n">
        <v>2512466</v>
      </c>
      <c r="F258" s="279" t="n">
        <v>45797</v>
      </c>
      <c r="G258" s="216" t="n"/>
      <c r="H258" s="564" t="n"/>
      <c r="I258" s="564" t="n">
        <v>236177</v>
      </c>
      <c r="J258" s="213" t="inlineStr">
        <is>
          <t>អនុញ្ញាត (បានប្រកាស)</t>
        </is>
      </c>
      <c r="K258" s="213" t="n"/>
      <c r="L258" s="563">
        <f>I258</f>
        <v/>
      </c>
      <c r="M258" s="536">
        <f>I258-L258</f>
        <v/>
      </c>
      <c r="N258" s="213" t="n"/>
      <c r="O258" s="218">
        <f>U258=E258</f>
        <v/>
      </c>
      <c r="P258" s="218">
        <f>MONTH(F258)-MONTH(T258)</f>
        <v/>
      </c>
      <c r="Q258" s="218">
        <f>$B$5=X258</f>
        <v/>
      </c>
      <c r="R258" s="218">
        <f>I258-AD258</f>
        <v/>
      </c>
      <c r="S258" s="298" t="n"/>
      <c r="T258" s="299" t="n">
        <v>45797</v>
      </c>
      <c r="U258" s="298" t="n">
        <v>2512466</v>
      </c>
      <c r="V258" s="298" t="n">
        <v>0</v>
      </c>
      <c r="W258" s="298" t="inlineStr">
        <is>
          <t>បុគ្គលជាប់អាករ</t>
        </is>
      </c>
      <c r="X258" s="298" t="inlineStr">
        <is>
          <t>L001-901640009</t>
        </is>
      </c>
      <c r="Y258" s="298" t="inlineStr">
        <is>
          <t>ហូលីដេ ឌីហ្សាញ (ខេមបូឌា) ឯ.ក</t>
        </is>
      </c>
      <c r="Z258" s="300" t="n">
        <v>2597947</v>
      </c>
      <c r="AA258" s="300" t="n">
        <v>2361770</v>
      </c>
      <c r="AB258" s="298" t="n">
        <v>0</v>
      </c>
      <c r="AC258" s="298" t="inlineStr">
        <is>
          <t>-</t>
        </is>
      </c>
      <c r="AD258" s="300" t="n">
        <v>236177</v>
      </c>
      <c r="AE258" s="298" t="n">
        <v>0</v>
      </c>
      <c r="AF258" s="562" t="n">
        <v>0</v>
      </c>
      <c r="AG258" s="198" t="n">
        <v>0</v>
      </c>
      <c r="AH258" s="198" t="n">
        <v>0</v>
      </c>
      <c r="AI258" s="198" t="n">
        <v>0</v>
      </c>
      <c r="AJ258" s="198" t="n">
        <v>0</v>
      </c>
      <c r="AK258" s="198" t="n">
        <v>0</v>
      </c>
      <c r="AL258" s="198" t="n">
        <v>0.01</v>
      </c>
      <c r="AM258" s="198" t="n">
        <v>0</v>
      </c>
      <c r="AN258" s="198" t="inlineStr">
        <is>
          <t>THC&amp;LOCAL CHARGES</t>
        </is>
      </c>
      <c r="AO258" s="198" t="inlineStr">
        <is>
          <t>បានប្រកាសនិងបង់ពន្ធ</t>
        </is>
      </c>
    </row>
    <row r="259">
      <c r="A259" s="212">
        <f>A258+1</f>
        <v/>
      </c>
      <c r="B259" s="214" t="inlineStr">
        <is>
          <t>Trucking &amp; Clearance-Im</t>
        </is>
      </c>
      <c r="C259" s="214" t="inlineStr">
        <is>
          <t>BRILLIANT TRANSPORT AND TRADING Co., Ltd.</t>
        </is>
      </c>
      <c r="D259" s="215" t="inlineStr">
        <is>
          <t>K002-100089305</t>
        </is>
      </c>
      <c r="E259" s="290" t="inlineStr">
        <is>
          <t>BTT25-0000614</t>
        </is>
      </c>
      <c r="F259" s="279" t="n">
        <v>45735</v>
      </c>
      <c r="G259" s="216" t="n"/>
      <c r="H259" s="564" t="n"/>
      <c r="I259" s="564" t="n">
        <v>1098994</v>
      </c>
      <c r="J259" s="213" t="inlineStr">
        <is>
          <t>អនុញ្ញាត (បានប្រកាស)</t>
        </is>
      </c>
      <c r="K259" s="213" t="n"/>
      <c r="L259" s="563">
        <f>I259</f>
        <v/>
      </c>
      <c r="M259" s="536">
        <f>I259-L259</f>
        <v/>
      </c>
      <c r="N259" s="213" t="n"/>
      <c r="O259" s="218">
        <f>U259=E259</f>
        <v/>
      </c>
      <c r="P259" s="218">
        <f>MONTH(F259)-MONTH(T259)</f>
        <v/>
      </c>
      <c r="Q259" s="218">
        <f>$B$5=X259</f>
        <v/>
      </c>
      <c r="R259" s="218">
        <f>I259-AD259</f>
        <v/>
      </c>
      <c r="S259" s="298" t="n"/>
      <c r="T259" s="299" t="n">
        <v>45735</v>
      </c>
      <c r="U259" s="298" t="inlineStr">
        <is>
          <t>BTT25-0000614</t>
        </is>
      </c>
      <c r="V259" s="298" t="n">
        <v>0</v>
      </c>
      <c r="W259" s="298" t="inlineStr">
        <is>
          <t>បុគ្គលជាប់អាករ</t>
        </is>
      </c>
      <c r="X259" s="298" t="inlineStr">
        <is>
          <t>L001-901640009</t>
        </is>
      </c>
      <c r="Y259" s="298" t="inlineStr">
        <is>
          <t>ហូលីដេ ឌីហ្សាញ (ខេមបូឌា) ឯ.ក</t>
        </is>
      </c>
      <c r="Z259" s="300" t="n">
        <v>12088930</v>
      </c>
      <c r="AA259" s="300" t="n">
        <v>10989936</v>
      </c>
      <c r="AB259" s="298" t="n">
        <v>0</v>
      </c>
      <c r="AC259" s="298" t="inlineStr">
        <is>
          <t>-</t>
        </is>
      </c>
      <c r="AD259" s="300" t="n">
        <v>1098994</v>
      </c>
      <c r="AE259" s="298" t="n">
        <v>0</v>
      </c>
      <c r="AF259" s="562" t="n">
        <v>0</v>
      </c>
      <c r="AG259" s="198" t="n">
        <v>0</v>
      </c>
      <c r="AH259" s="198" t="n">
        <v>0</v>
      </c>
      <c r="AI259" s="198" t="n">
        <v>0</v>
      </c>
      <c r="AJ259" s="198" t="n">
        <v>0</v>
      </c>
      <c r="AK259" s="198" t="n">
        <v>0</v>
      </c>
      <c r="AL259" s="198" t="n">
        <v>0.01</v>
      </c>
      <c r="AM259" s="198" t="n">
        <v>0</v>
      </c>
      <c r="AN259" s="198" t="inlineStr">
        <is>
          <t>Truking / Service</t>
        </is>
      </c>
    </row>
    <row r="260">
      <c r="A260" s="212">
        <f>A259+1</f>
        <v/>
      </c>
      <c r="B260" s="214" t="inlineStr">
        <is>
          <t>Lift-On &amp; Lift-On-Im</t>
        </is>
      </c>
      <c r="C260" s="214" t="inlineStr">
        <is>
          <t>Port Autonome Du Sihanoukville</t>
        </is>
      </c>
      <c r="D260" s="215" t="inlineStr">
        <is>
          <t>L001-100044638</t>
        </is>
      </c>
      <c r="E260" s="290" t="n">
        <v>202500054035</v>
      </c>
      <c r="F260" s="279" t="n">
        <v>45729</v>
      </c>
      <c r="G260" s="216" t="n"/>
      <c r="H260" s="564" t="n"/>
      <c r="I260" s="564" t="n">
        <v>592783</v>
      </c>
      <c r="J260" s="213" t="inlineStr">
        <is>
          <t>អនុញ្ញាត (បានប្រកាស)</t>
        </is>
      </c>
      <c r="K260" s="213" t="n"/>
      <c r="L260" s="563">
        <f>I260</f>
        <v/>
      </c>
      <c r="M260" s="536">
        <f>I260-L260</f>
        <v/>
      </c>
      <c r="N260" s="213" t="n"/>
      <c r="O260" s="218">
        <f>U260=E260</f>
        <v/>
      </c>
      <c r="P260" s="218">
        <f>MONTH(F260)-MONTH(T260)</f>
        <v/>
      </c>
      <c r="Q260" s="218">
        <f>$B$5=X260</f>
        <v/>
      </c>
      <c r="R260" s="218">
        <f>I260-AD260</f>
        <v/>
      </c>
      <c r="S260" s="298" t="n"/>
      <c r="T260" s="299" t="n">
        <v>45729</v>
      </c>
      <c r="U260" s="298" t="n">
        <v>202500054035</v>
      </c>
      <c r="V260" s="298" t="n">
        <v>0</v>
      </c>
      <c r="W260" s="298" t="inlineStr">
        <is>
          <t>បុគ្គលជាប់អាករ</t>
        </is>
      </c>
      <c r="X260" s="298" t="inlineStr">
        <is>
          <t>L001-901640009</t>
        </is>
      </c>
      <c r="Y260" s="298" t="inlineStr">
        <is>
          <t>ហូលីដេ ឌីហ្សាញ (ខេមបូឌា) ឯ.ក</t>
        </is>
      </c>
      <c r="Z260" s="300" t="n">
        <v>6520615</v>
      </c>
      <c r="AA260" s="300" t="n">
        <v>5927832</v>
      </c>
      <c r="AB260" s="298" t="n">
        <v>0</v>
      </c>
      <c r="AC260" s="298" t="inlineStr">
        <is>
          <t>-</t>
        </is>
      </c>
      <c r="AD260" s="300" t="n">
        <v>592783</v>
      </c>
      <c r="AE260" s="298" t="n">
        <v>0</v>
      </c>
      <c r="AF260" s="562" t="n">
        <v>0</v>
      </c>
      <c r="AG260" s="198" t="n">
        <v>0</v>
      </c>
      <c r="AH260" s="198" t="n">
        <v>0</v>
      </c>
      <c r="AI260" s="198" t="n">
        <v>0</v>
      </c>
      <c r="AJ260" s="198" t="n">
        <v>0</v>
      </c>
      <c r="AK260" s="198" t="n">
        <v>0</v>
      </c>
      <c r="AL260" s="198" t="n">
        <v>0.01</v>
      </c>
      <c r="AM260" s="198" t="n">
        <v>0</v>
      </c>
      <c r="AN260" s="198" t="inlineStr">
        <is>
          <t>LOLO</t>
        </is>
      </c>
    </row>
    <row r="261">
      <c r="A261" s="212">
        <f>A260+1</f>
        <v/>
      </c>
      <c r="B261" s="214" t="inlineStr">
        <is>
          <t>Terminal Handling Charge</t>
        </is>
      </c>
      <c r="C261" s="214" t="inlineStr">
        <is>
          <t>SITC CONTAINER LINES (CAMBODIA) Co., Ltd.</t>
        </is>
      </c>
      <c r="D261" s="215" t="inlineStr">
        <is>
          <t>L001-107035863</t>
        </is>
      </c>
      <c r="E261" s="290" t="inlineStr">
        <is>
          <t>SITC2025-007856</t>
        </is>
      </c>
      <c r="F261" s="279" t="n">
        <v>45727</v>
      </c>
      <c r="G261" s="216" t="n"/>
      <c r="H261" s="564" t="n"/>
      <c r="I261" s="564" t="n">
        <v>3567120</v>
      </c>
      <c r="J261" s="213" t="inlineStr">
        <is>
          <t>អនុញ្ញាត (បានប្រកាស)</t>
        </is>
      </c>
      <c r="K261" s="213" t="n"/>
      <c r="L261" s="563">
        <f>I261</f>
        <v/>
      </c>
      <c r="M261" s="536">
        <f>I261-L261</f>
        <v/>
      </c>
      <c r="N261" s="213" t="n"/>
      <c r="O261" s="218">
        <f>U261=E261</f>
        <v/>
      </c>
      <c r="P261" s="218">
        <f>MONTH(F261)-MONTH(T261)</f>
        <v/>
      </c>
      <c r="Q261" s="218">
        <f>$B$5=X261</f>
        <v/>
      </c>
      <c r="R261" s="218">
        <f>I261-AD261</f>
        <v/>
      </c>
      <c r="S261" s="298" t="n"/>
      <c r="T261" s="299" t="n">
        <v>45727</v>
      </c>
      <c r="U261" s="298" t="inlineStr">
        <is>
          <t>SITC2025-007856</t>
        </is>
      </c>
      <c r="V261" s="298" t="n">
        <v>0</v>
      </c>
      <c r="W261" s="298" t="inlineStr">
        <is>
          <t>បុគ្គលជាប់អាករ</t>
        </is>
      </c>
      <c r="X261" s="298" t="inlineStr">
        <is>
          <t>L001-901640009</t>
        </is>
      </c>
      <c r="Y261" s="298" t="inlineStr">
        <is>
          <t>ហូលីដេ ឌីហ្សាញ (ខេមបូឌា) ឯ.ក</t>
        </is>
      </c>
      <c r="Z261" s="300" t="n">
        <v>39238320</v>
      </c>
      <c r="AA261" s="300" t="n">
        <v>35671200</v>
      </c>
      <c r="AB261" s="298" t="n">
        <v>0</v>
      </c>
      <c r="AC261" s="298" t="inlineStr">
        <is>
          <t>-</t>
        </is>
      </c>
      <c r="AD261" s="300" t="n">
        <v>3567120</v>
      </c>
      <c r="AE261" s="298" t="n">
        <v>0</v>
      </c>
      <c r="AF261" s="562" t="n">
        <v>0</v>
      </c>
      <c r="AG261" s="198" t="n">
        <v>0</v>
      </c>
      <c r="AH261" s="198" t="n">
        <v>0</v>
      </c>
      <c r="AI261" s="198" t="n">
        <v>0</v>
      </c>
      <c r="AJ261" s="198" t="n">
        <v>0</v>
      </c>
      <c r="AK261" s="198" t="n">
        <v>0</v>
      </c>
      <c r="AL261" s="198" t="n">
        <v>0.01</v>
      </c>
      <c r="AM261" s="198" t="n">
        <v>0</v>
      </c>
      <c r="AN261" s="198" t="inlineStr">
        <is>
          <t>EMF,KHTHC,EIB,KHDOC,KHCIC</t>
        </is>
      </c>
    </row>
    <row r="262">
      <c r="A262" s="212">
        <f>A261+1</f>
        <v/>
      </c>
      <c r="B262" s="214" t="inlineStr">
        <is>
          <t>Trucking &amp; Clearance-Im</t>
        </is>
      </c>
      <c r="C262" s="214" t="inlineStr">
        <is>
          <t>BRILLIANT TRANSPORT AND TRADING Co., Ltd.</t>
        </is>
      </c>
      <c r="D262" s="215" t="inlineStr">
        <is>
          <t>K002-100089305</t>
        </is>
      </c>
      <c r="E262" s="290" t="inlineStr">
        <is>
          <t>BTT25-0000569</t>
        </is>
      </c>
      <c r="F262" s="279" t="n">
        <v>45729</v>
      </c>
      <c r="G262" s="216" t="n"/>
      <c r="H262" s="564" t="n"/>
      <c r="I262" s="564" t="n">
        <v>3995976</v>
      </c>
      <c r="J262" s="213" t="inlineStr">
        <is>
          <t>អនុញ្ញាត (បានប្រកាស)</t>
        </is>
      </c>
      <c r="K262" s="213" t="n"/>
      <c r="L262" s="563">
        <f>I262</f>
        <v/>
      </c>
      <c r="M262" s="536">
        <f>I262-L262</f>
        <v/>
      </c>
      <c r="N262" s="213" t="n"/>
      <c r="O262" s="218">
        <f>U262=E262</f>
        <v/>
      </c>
      <c r="P262" s="218">
        <f>MONTH(F262)-MONTH(T262)</f>
        <v/>
      </c>
      <c r="Q262" s="218">
        <f>$B$5=X262</f>
        <v/>
      </c>
      <c r="R262" s="218">
        <f>I262-AD262</f>
        <v/>
      </c>
      <c r="S262" s="298" t="n"/>
      <c r="T262" s="299" t="n">
        <v>45729</v>
      </c>
      <c r="U262" s="298" t="inlineStr">
        <is>
          <t>BTT25-0000569</t>
        </is>
      </c>
      <c r="V262" s="298" t="n">
        <v>0</v>
      </c>
      <c r="W262" s="298" t="inlineStr">
        <is>
          <t>បុគ្គលជាប់អាករ</t>
        </is>
      </c>
      <c r="X262" s="298" t="inlineStr">
        <is>
          <t>L001-901640009</t>
        </is>
      </c>
      <c r="Y262" s="298" t="inlineStr">
        <is>
          <t>ហូលីដេ ឌីហ្សាញ (ខេមបូឌា) ឯ.ក</t>
        </is>
      </c>
      <c r="Z262" s="300" t="n">
        <v>43955736</v>
      </c>
      <c r="AA262" s="300" t="n">
        <v>39959760</v>
      </c>
      <c r="AB262" s="298" t="n">
        <v>0</v>
      </c>
      <c r="AC262" s="298" t="inlineStr">
        <is>
          <t>-</t>
        </is>
      </c>
      <c r="AD262" s="300" t="n">
        <v>3995976</v>
      </c>
      <c r="AE262" s="298" t="n">
        <v>0</v>
      </c>
      <c r="AF262" s="562" t="n">
        <v>0</v>
      </c>
      <c r="AG262" s="198" t="n">
        <v>0</v>
      </c>
      <c r="AH262" s="198" t="n">
        <v>0</v>
      </c>
      <c r="AI262" s="198" t="n">
        <v>0</v>
      </c>
      <c r="AJ262" s="198" t="n">
        <v>0</v>
      </c>
      <c r="AK262" s="198" t="n">
        <v>0</v>
      </c>
      <c r="AL262" s="198" t="n">
        <v>0.01</v>
      </c>
      <c r="AM262" s="198" t="n">
        <v>0</v>
      </c>
      <c r="AN262" s="198" t="inlineStr">
        <is>
          <t>Truking / Service</t>
        </is>
      </c>
    </row>
    <row r="263">
      <c r="A263" s="212">
        <f>A262+1</f>
        <v/>
      </c>
      <c r="B263" s="214" t="inlineStr">
        <is>
          <t>Lift-On &amp; Lift-On-Im</t>
        </is>
      </c>
      <c r="C263" s="214" t="inlineStr">
        <is>
          <t>Port Autonome Du Sihanoukville</t>
        </is>
      </c>
      <c r="D263" s="215" t="inlineStr">
        <is>
          <t>L001-100044638</t>
        </is>
      </c>
      <c r="E263" s="290" t="n">
        <v>202500054713</v>
      </c>
      <c r="F263" s="279" t="n">
        <v>45730</v>
      </c>
      <c r="G263" s="216" t="n"/>
      <c r="H263" s="564" t="n"/>
      <c r="I263" s="564" t="n">
        <v>68520</v>
      </c>
      <c r="J263" s="213" t="inlineStr">
        <is>
          <t>អនុញ្ញាត (បានប្រកាស)</t>
        </is>
      </c>
      <c r="K263" s="213" t="n"/>
      <c r="L263" s="563">
        <f>I263</f>
        <v/>
      </c>
      <c r="M263" s="536">
        <f>I263-L263</f>
        <v/>
      </c>
      <c r="N263" s="213" t="n"/>
      <c r="O263" s="218">
        <f>U263=E263</f>
        <v/>
      </c>
      <c r="P263" s="218">
        <f>MONTH(F263)-MONTH(T263)</f>
        <v/>
      </c>
      <c r="Q263" s="218">
        <f>$B$5=X263</f>
        <v/>
      </c>
      <c r="R263" s="218">
        <f>I263-AD263</f>
        <v/>
      </c>
      <c r="S263" s="298" t="n"/>
      <c r="T263" s="299" t="n">
        <v>45730</v>
      </c>
      <c r="U263" s="298" t="n">
        <v>202500054713</v>
      </c>
      <c r="V263" s="298" t="n">
        <v>0</v>
      </c>
      <c r="W263" s="298" t="inlineStr">
        <is>
          <t>បុគ្គលជាប់អាករ</t>
        </is>
      </c>
      <c r="X263" s="298" t="inlineStr">
        <is>
          <t>L001-901640009</t>
        </is>
      </c>
      <c r="Y263" s="298" t="inlineStr">
        <is>
          <t>ហូលីដេ ឌីហ្សាញ (ខេមបូឌា) ឯ.ក</t>
        </is>
      </c>
      <c r="Z263" s="300" t="n">
        <v>753717</v>
      </c>
      <c r="AA263" s="300" t="n">
        <v>685197</v>
      </c>
      <c r="AB263" s="298" t="n">
        <v>0</v>
      </c>
      <c r="AC263" s="298" t="inlineStr">
        <is>
          <t>-</t>
        </is>
      </c>
      <c r="AD263" s="300" t="n">
        <v>68520</v>
      </c>
      <c r="AE263" s="298" t="n">
        <v>0</v>
      </c>
      <c r="AF263" s="562" t="n">
        <v>0</v>
      </c>
      <c r="AG263" s="198" t="n">
        <v>0</v>
      </c>
      <c r="AH263" s="198" t="n">
        <v>0</v>
      </c>
      <c r="AI263" s="198" t="n">
        <v>0</v>
      </c>
      <c r="AJ263" s="198" t="n">
        <v>0</v>
      </c>
      <c r="AK263" s="198" t="n">
        <v>0</v>
      </c>
      <c r="AL263" s="198" t="n">
        <v>0.01</v>
      </c>
      <c r="AM263" s="198" t="n">
        <v>0</v>
      </c>
      <c r="AN263" s="198" t="inlineStr">
        <is>
          <t>LOLO</t>
        </is>
      </c>
    </row>
    <row r="264">
      <c r="A264" s="212">
        <f>A263+1</f>
        <v/>
      </c>
      <c r="B264" s="214" t="inlineStr">
        <is>
          <t>Terminal Handling Charge</t>
        </is>
      </c>
      <c r="C264" s="214" t="inlineStr">
        <is>
          <t>SITC CONTAINER LINES (CAMBODIA) Co., Ltd.</t>
        </is>
      </c>
      <c r="D264" s="215" t="inlineStr">
        <is>
          <t>L001-107035863</t>
        </is>
      </c>
      <c r="E264" s="290" t="inlineStr">
        <is>
          <t>SITC2025-007649</t>
        </is>
      </c>
      <c r="F264" s="279" t="n">
        <v>45726</v>
      </c>
      <c r="G264" s="216" t="n"/>
      <c r="H264" s="564" t="n"/>
      <c r="I264" s="564" t="n">
        <v>384672</v>
      </c>
      <c r="J264" s="213" t="inlineStr">
        <is>
          <t>អនុញ្ញាត (បានប្រកាស)</t>
        </is>
      </c>
      <c r="K264" s="213" t="n"/>
      <c r="L264" s="563">
        <f>I264</f>
        <v/>
      </c>
      <c r="M264" s="536">
        <f>I264-L264</f>
        <v/>
      </c>
      <c r="N264" s="213" t="n"/>
      <c r="O264" s="218">
        <f>U264=E264</f>
        <v/>
      </c>
      <c r="P264" s="218">
        <f>MONTH(F264)-MONTH(T264)</f>
        <v/>
      </c>
      <c r="Q264" s="218">
        <f>$B$5=X264</f>
        <v/>
      </c>
      <c r="R264" s="218">
        <f>I264-AD264</f>
        <v/>
      </c>
      <c r="S264" s="298" t="n"/>
      <c r="T264" s="299" t="n">
        <v>45726</v>
      </c>
      <c r="U264" s="298" t="inlineStr">
        <is>
          <t>SITC2025-007649</t>
        </is>
      </c>
      <c r="V264" s="298" t="n">
        <v>0</v>
      </c>
      <c r="W264" s="298" t="inlineStr">
        <is>
          <t>បុគ្គលជាប់អាករ</t>
        </is>
      </c>
      <c r="X264" s="298" t="inlineStr">
        <is>
          <t>L001-901640009</t>
        </is>
      </c>
      <c r="Y264" s="298" t="inlineStr">
        <is>
          <t>ហូលីដេ ឌីហ្សាញ (ខេមបូឌា) ឯ.ក</t>
        </is>
      </c>
      <c r="Z264" s="300" t="n">
        <v>4231392</v>
      </c>
      <c r="AA264" s="300" t="n">
        <v>3846720</v>
      </c>
      <c r="AB264" s="298" t="n">
        <v>0</v>
      </c>
      <c r="AC264" s="298" t="inlineStr">
        <is>
          <t>-</t>
        </is>
      </c>
      <c r="AD264" s="300" t="n">
        <v>384672</v>
      </c>
      <c r="AE264" s="298" t="n">
        <v>0</v>
      </c>
      <c r="AF264" s="562" t="n">
        <v>0</v>
      </c>
      <c r="AG264" s="198" t="n">
        <v>0</v>
      </c>
      <c r="AH264" s="198" t="n">
        <v>0</v>
      </c>
      <c r="AI264" s="198" t="n">
        <v>0</v>
      </c>
      <c r="AJ264" s="198" t="n">
        <v>0</v>
      </c>
      <c r="AK264" s="198" t="n">
        <v>0</v>
      </c>
      <c r="AL264" s="198" t="n">
        <v>0.01</v>
      </c>
      <c r="AM264" s="198" t="n">
        <v>0</v>
      </c>
      <c r="AN264" s="198" t="inlineStr">
        <is>
          <t>KHDOC,EIB,EMF,KHTHC,KHCIC</t>
        </is>
      </c>
    </row>
    <row r="265">
      <c r="A265" s="212">
        <f>A264+1</f>
        <v/>
      </c>
      <c r="B265" s="214" t="inlineStr">
        <is>
          <t>Trucking &amp; Clearance-Im</t>
        </is>
      </c>
      <c r="C265" s="214" t="inlineStr">
        <is>
          <t>BRILLIANT TRANSPORT AND TRADING Co., Ltd.</t>
        </is>
      </c>
      <c r="D265" s="215" t="inlineStr">
        <is>
          <t>K002-100089305</t>
        </is>
      </c>
      <c r="E265" s="290" t="inlineStr">
        <is>
          <t>BTT25-0000568</t>
        </is>
      </c>
      <c r="F265" s="279" t="n">
        <v>45730</v>
      </c>
      <c r="G265" s="216" t="n"/>
      <c r="H265" s="564" t="n"/>
      <c r="I265" s="564" t="n">
        <v>757323</v>
      </c>
      <c r="J265" s="213" t="inlineStr">
        <is>
          <t>អនុញ្ញាត (បានប្រកាស)</t>
        </is>
      </c>
      <c r="K265" s="213" t="n"/>
      <c r="L265" s="563">
        <f>I265</f>
        <v/>
      </c>
      <c r="M265" s="536">
        <f>I265-L265</f>
        <v/>
      </c>
      <c r="N265" s="213" t="n"/>
      <c r="O265" s="218">
        <f>U265=E265</f>
        <v/>
      </c>
      <c r="P265" s="218">
        <f>MONTH(F265)-MONTH(T265)</f>
        <v/>
      </c>
      <c r="Q265" s="218">
        <f>$B$5=X265</f>
        <v/>
      </c>
      <c r="R265" s="218">
        <f>I265-AD265</f>
        <v/>
      </c>
      <c r="S265" s="298" t="n"/>
      <c r="T265" s="299" t="n">
        <v>45730</v>
      </c>
      <c r="U265" s="298" t="inlineStr">
        <is>
          <t>BTT25-0000568</t>
        </is>
      </c>
      <c r="V265" s="298" t="n">
        <v>0</v>
      </c>
      <c r="W265" s="298" t="inlineStr">
        <is>
          <t>បុគ្គលជាប់អាករ</t>
        </is>
      </c>
      <c r="X265" s="298" t="inlineStr">
        <is>
          <t>L001-901640009</t>
        </is>
      </c>
      <c r="Y265" s="298" t="inlineStr">
        <is>
          <t>ហូលីដេ ឌីហ្សាញ (ខេមបូឌា) ឯ.ក</t>
        </is>
      </c>
      <c r="Z265" s="300" t="n">
        <v>8330553</v>
      </c>
      <c r="AA265" s="300" t="n">
        <v>7573230</v>
      </c>
      <c r="AB265" s="298" t="n">
        <v>0</v>
      </c>
      <c r="AC265" s="298" t="inlineStr">
        <is>
          <t>-</t>
        </is>
      </c>
      <c r="AD265" s="300" t="n">
        <v>757323</v>
      </c>
      <c r="AE265" s="298" t="n">
        <v>0</v>
      </c>
      <c r="AF265" s="562" t="n">
        <v>0</v>
      </c>
      <c r="AG265" s="198" t="n">
        <v>0</v>
      </c>
      <c r="AH265" s="198" t="n">
        <v>0</v>
      </c>
      <c r="AI265" s="198" t="n">
        <v>0</v>
      </c>
      <c r="AJ265" s="198" t="n">
        <v>0</v>
      </c>
      <c r="AK265" s="198" t="n">
        <v>0</v>
      </c>
      <c r="AL265" s="198" t="n">
        <v>0.01</v>
      </c>
      <c r="AM265" s="198" t="n">
        <v>0</v>
      </c>
      <c r="AN265" s="198" t="inlineStr">
        <is>
          <t>Truking / Service</t>
        </is>
      </c>
    </row>
    <row r="266">
      <c r="A266" s="212">
        <f>A265+1</f>
        <v/>
      </c>
      <c r="B266" s="214" t="inlineStr">
        <is>
          <t>Lift-On &amp; Lift-On-Im</t>
        </is>
      </c>
      <c r="C266" s="214" t="inlineStr">
        <is>
          <t>Port Autonome Du Sihanoukville</t>
        </is>
      </c>
      <c r="D266" s="215" t="inlineStr">
        <is>
          <t>L001-100044638</t>
        </is>
      </c>
      <c r="E266" s="290" t="n">
        <v>202500048758</v>
      </c>
      <c r="F266" s="279" t="n">
        <v>45722</v>
      </c>
      <c r="G266" s="216" t="n"/>
      <c r="H266" s="564" t="n"/>
      <c r="I266" s="564" t="n">
        <v>673848</v>
      </c>
      <c r="J266" s="213" t="inlineStr">
        <is>
          <t>អនុញ្ញាត (បានប្រកាស)</t>
        </is>
      </c>
      <c r="K266" s="213" t="n"/>
      <c r="L266" s="563">
        <f>I266</f>
        <v/>
      </c>
      <c r="M266" s="536">
        <f>I266-L266</f>
        <v/>
      </c>
      <c r="N266" s="213" t="n"/>
      <c r="O266" s="218">
        <f>U266=E266</f>
        <v/>
      </c>
      <c r="P266" s="218">
        <f>MONTH(F266)-MONTH(T266)</f>
        <v/>
      </c>
      <c r="Q266" s="218">
        <f>$B$5=X266</f>
        <v/>
      </c>
      <c r="R266" s="218">
        <f>I266-AD266</f>
        <v/>
      </c>
      <c r="S266" s="298" t="n"/>
      <c r="T266" s="299" t="n">
        <v>45722</v>
      </c>
      <c r="U266" s="298" t="n">
        <v>202500048758</v>
      </c>
      <c r="V266" s="298" t="n">
        <v>0</v>
      </c>
      <c r="W266" s="298" t="inlineStr">
        <is>
          <t>បុគ្គលជាប់អាករ</t>
        </is>
      </c>
      <c r="X266" s="298" t="inlineStr">
        <is>
          <t>L001-901640009</t>
        </is>
      </c>
      <c r="Y266" s="298" t="inlineStr">
        <is>
          <t>ហូលីដេ ឌីហ្សាញ (ខេមបូឌា) ឯ.ក</t>
        </is>
      </c>
      <c r="Z266" s="300" t="n">
        <v>7412328</v>
      </c>
      <c r="AA266" s="300" t="n">
        <v>6738480</v>
      </c>
      <c r="AB266" s="298" t="n">
        <v>0</v>
      </c>
      <c r="AC266" s="298" t="inlineStr">
        <is>
          <t>-</t>
        </is>
      </c>
      <c r="AD266" s="300" t="n">
        <v>673848</v>
      </c>
      <c r="AE266" s="298" t="n">
        <v>0</v>
      </c>
      <c r="AF266" s="562" t="n">
        <v>0</v>
      </c>
      <c r="AG266" s="198" t="n">
        <v>0</v>
      </c>
      <c r="AH266" s="198" t="n">
        <v>0</v>
      </c>
      <c r="AI266" s="198" t="n">
        <v>0</v>
      </c>
      <c r="AJ266" s="198" t="n">
        <v>0</v>
      </c>
      <c r="AK266" s="198" t="n">
        <v>0</v>
      </c>
      <c r="AL266" s="198" t="n">
        <v>0.01</v>
      </c>
      <c r="AM266" s="198" t="n">
        <v>0</v>
      </c>
      <c r="AN266" s="198" t="inlineStr">
        <is>
          <t>LOLO</t>
        </is>
      </c>
    </row>
    <row r="267">
      <c r="A267" s="212">
        <f>A266+1</f>
        <v/>
      </c>
      <c r="B267" s="214" t="inlineStr">
        <is>
          <t>Terminal Handling Charge</t>
        </is>
      </c>
      <c r="C267" s="214" t="inlineStr">
        <is>
          <t>SITC CONTAINER LINES (CAMBODIA) Co., Ltd.</t>
        </is>
      </c>
      <c r="D267" s="215" t="inlineStr">
        <is>
          <t>L001-107035863</t>
        </is>
      </c>
      <c r="E267" s="290" t="inlineStr">
        <is>
          <t>SITC2025-006919</t>
        </is>
      </c>
      <c r="F267" s="279" t="n">
        <v>45720</v>
      </c>
      <c r="G267" s="216" t="n"/>
      <c r="H267" s="564" t="n"/>
      <c r="I267" s="564" t="n">
        <v>4017018</v>
      </c>
      <c r="J267" s="213" t="inlineStr">
        <is>
          <t>អនុញ្ញាត (បានប្រកាស)</t>
        </is>
      </c>
      <c r="K267" s="213" t="n"/>
      <c r="L267" s="563">
        <f>I267</f>
        <v/>
      </c>
      <c r="M267" s="536">
        <f>I267-L267</f>
        <v/>
      </c>
      <c r="N267" s="213" t="n"/>
      <c r="O267" s="218">
        <f>U267=E267</f>
        <v/>
      </c>
      <c r="P267" s="218">
        <f>MONTH(F267)-MONTH(T267)</f>
        <v/>
      </c>
      <c r="Q267" s="218">
        <f>$B$5=X267</f>
        <v/>
      </c>
      <c r="R267" s="218">
        <f>I267-AD267</f>
        <v/>
      </c>
      <c r="S267" s="298" t="n"/>
      <c r="T267" s="299" t="n">
        <v>45720</v>
      </c>
      <c r="U267" s="298" t="inlineStr">
        <is>
          <t>SITC2025-006919</t>
        </is>
      </c>
      <c r="V267" s="298" t="n">
        <v>0</v>
      </c>
      <c r="W267" s="298" t="inlineStr">
        <is>
          <t>បុគ្គលជាប់អាករ</t>
        </is>
      </c>
      <c r="X267" s="298" t="inlineStr">
        <is>
          <t>L001-901640009</t>
        </is>
      </c>
      <c r="Y267" s="298" t="inlineStr">
        <is>
          <t>ហូលីដេ ឌីហ្សាញ (ខេមបូឌា) ឯ.ក</t>
        </is>
      </c>
      <c r="Z267" s="300" t="n">
        <v>44187198</v>
      </c>
      <c r="AA267" s="300" t="n">
        <v>40170180</v>
      </c>
      <c r="AB267" s="298" t="n">
        <v>0</v>
      </c>
      <c r="AC267" s="298" t="inlineStr">
        <is>
          <t>-</t>
        </is>
      </c>
      <c r="AD267" s="300" t="n">
        <v>4017018</v>
      </c>
      <c r="AE267" s="298" t="n">
        <v>0</v>
      </c>
      <c r="AF267" s="562" t="n">
        <v>0</v>
      </c>
      <c r="AG267" s="198" t="n">
        <v>0</v>
      </c>
      <c r="AH267" s="198" t="n">
        <v>0</v>
      </c>
      <c r="AI267" s="198" t="n">
        <v>0</v>
      </c>
      <c r="AJ267" s="198" t="n">
        <v>0</v>
      </c>
      <c r="AK267" s="198" t="n">
        <v>0</v>
      </c>
      <c r="AL267" s="198" t="n">
        <v>0.01</v>
      </c>
      <c r="AM267" s="198" t="n">
        <v>0</v>
      </c>
      <c r="AN267" s="198" t="inlineStr">
        <is>
          <t>KHTHC,KHDOC,EMF,KHCIC,KHTHC,EIB,KHCIC,EMF,EIB</t>
        </is>
      </c>
    </row>
    <row r="268">
      <c r="A268" s="212">
        <f>A267+1</f>
        <v/>
      </c>
      <c r="B268" s="214" t="inlineStr">
        <is>
          <t>Trucking &amp; Clearance-Im</t>
        </is>
      </c>
      <c r="C268" s="214" t="inlineStr">
        <is>
          <t>BRILLIANT TRANSPORT AND TRADING Co., Ltd.</t>
        </is>
      </c>
      <c r="D268" s="215" t="inlineStr">
        <is>
          <t>K002-100089305</t>
        </is>
      </c>
      <c r="E268" s="290" t="inlineStr">
        <is>
          <t>BTT25-0000516</t>
        </is>
      </c>
      <c r="F268" s="279" t="n">
        <v>45722</v>
      </c>
      <c r="G268" s="216" t="n"/>
      <c r="H268" s="564" t="n"/>
      <c r="I268" s="564" t="n">
        <v>4684046</v>
      </c>
      <c r="J268" s="213" t="inlineStr">
        <is>
          <t>អនុញ្ញាត (បានប្រកាស)</t>
        </is>
      </c>
      <c r="K268" s="213" t="n"/>
      <c r="L268" s="563">
        <f>I268</f>
        <v/>
      </c>
      <c r="M268" s="536">
        <f>I268-L268</f>
        <v/>
      </c>
      <c r="N268" s="213" t="n"/>
      <c r="O268" s="218">
        <f>U268=E268</f>
        <v/>
      </c>
      <c r="P268" s="218">
        <f>MONTH(F268)-MONTH(T268)</f>
        <v/>
      </c>
      <c r="Q268" s="218">
        <f>$B$5=X268</f>
        <v/>
      </c>
      <c r="R268" s="218">
        <f>I268-AD268</f>
        <v/>
      </c>
      <c r="S268" s="298" t="n"/>
      <c r="T268" s="299" t="n">
        <v>45722</v>
      </c>
      <c r="U268" s="298" t="inlineStr">
        <is>
          <t>BTT25-0000516</t>
        </is>
      </c>
      <c r="V268" s="298" t="n">
        <v>0</v>
      </c>
      <c r="W268" s="298" t="inlineStr">
        <is>
          <t>បុគ្គលជាប់អាករ</t>
        </is>
      </c>
      <c r="X268" s="298" t="inlineStr">
        <is>
          <t>L001-901640009</t>
        </is>
      </c>
      <c r="Y268" s="298" t="inlineStr">
        <is>
          <t>ហូលីដេ ឌីហ្សាញ (ខេមបូឌា) ឯ.ក</t>
        </is>
      </c>
      <c r="Z268" s="300" t="n">
        <v>51524504</v>
      </c>
      <c r="AA268" s="300" t="n">
        <v>46840458</v>
      </c>
      <c r="AB268" s="298" t="n">
        <v>0</v>
      </c>
      <c r="AC268" s="298" t="inlineStr">
        <is>
          <t>-</t>
        </is>
      </c>
      <c r="AD268" s="300" t="n">
        <v>4684046</v>
      </c>
      <c r="AE268" s="298" t="n">
        <v>0</v>
      </c>
      <c r="AF268" s="562" t="n">
        <v>0</v>
      </c>
      <c r="AG268" s="198" t="n">
        <v>0</v>
      </c>
      <c r="AH268" s="198" t="n">
        <v>0</v>
      </c>
      <c r="AI268" s="198" t="n">
        <v>0</v>
      </c>
      <c r="AJ268" s="198" t="n">
        <v>0</v>
      </c>
      <c r="AK268" s="198" t="n">
        <v>0</v>
      </c>
      <c r="AL268" s="198" t="n">
        <v>0.01</v>
      </c>
      <c r="AM268" s="198" t="n">
        <v>0</v>
      </c>
      <c r="AN268" s="198" t="inlineStr">
        <is>
          <t>Truking / Service</t>
        </is>
      </c>
    </row>
    <row r="269">
      <c r="A269" s="212">
        <f>A268+1</f>
        <v/>
      </c>
      <c r="B269" s="214" t="inlineStr">
        <is>
          <t>Lift-On &amp; Lift-On-Im</t>
        </is>
      </c>
      <c r="C269" s="214" t="inlineStr">
        <is>
          <t>Port Autonome Du Sihanoukville</t>
        </is>
      </c>
      <c r="D269" s="215" t="inlineStr">
        <is>
          <t>L001-100044638</t>
        </is>
      </c>
      <c r="E269" s="290" t="n">
        <v>202500047536</v>
      </c>
      <c r="F269" s="279" t="n">
        <v>45721</v>
      </c>
      <c r="G269" s="216" t="n"/>
      <c r="H269" s="564" t="n"/>
      <c r="I269" s="564" t="n">
        <v>174479</v>
      </c>
      <c r="J269" s="213" t="inlineStr">
        <is>
          <t>អនុញ្ញាត (បានប្រកាស)</t>
        </is>
      </c>
      <c r="K269" s="213" t="n"/>
      <c r="L269" s="563">
        <f>I269</f>
        <v/>
      </c>
      <c r="M269" s="536">
        <f>I269-L269</f>
        <v/>
      </c>
      <c r="N269" s="213" t="n"/>
      <c r="O269" s="218">
        <f>U269=E269</f>
        <v/>
      </c>
      <c r="P269" s="218">
        <f>MONTH(F269)-MONTH(T269)</f>
        <v/>
      </c>
      <c r="Q269" s="218">
        <f>$B$5=X269</f>
        <v/>
      </c>
      <c r="R269" s="218">
        <f>I269-AD269</f>
        <v/>
      </c>
      <c r="S269" s="298" t="n"/>
      <c r="T269" s="299" t="n">
        <v>45721</v>
      </c>
      <c r="U269" s="298" t="n">
        <v>202500047536</v>
      </c>
      <c r="V269" s="298" t="n">
        <v>0</v>
      </c>
      <c r="W269" s="298" t="inlineStr">
        <is>
          <t>បុគ្គលជាប់អាករ</t>
        </is>
      </c>
      <c r="X269" s="298" t="inlineStr">
        <is>
          <t>L001-901640009</t>
        </is>
      </c>
      <c r="Y269" s="298" t="inlineStr">
        <is>
          <t>ហូលីដេ ឌីហ្សាញ (ខេមបូឌា) ឯ.ក</t>
        </is>
      </c>
      <c r="Z269" s="300" t="n">
        <v>1919264</v>
      </c>
      <c r="AA269" s="300" t="n">
        <v>1744785</v>
      </c>
      <c r="AB269" s="298" t="n">
        <v>0</v>
      </c>
      <c r="AC269" s="298" t="inlineStr">
        <is>
          <t>-</t>
        </is>
      </c>
      <c r="AD269" s="300" t="n">
        <v>174479</v>
      </c>
      <c r="AE269" s="298" t="n">
        <v>0</v>
      </c>
      <c r="AF269" s="562" t="n">
        <v>0</v>
      </c>
      <c r="AG269" s="198" t="n">
        <v>0</v>
      </c>
      <c r="AH269" s="198" t="n">
        <v>0</v>
      </c>
      <c r="AI269" s="198" t="n">
        <v>0</v>
      </c>
      <c r="AJ269" s="198" t="n">
        <v>0</v>
      </c>
      <c r="AK269" s="198" t="n">
        <v>0</v>
      </c>
      <c r="AL269" s="198" t="n">
        <v>0.01</v>
      </c>
      <c r="AM269" s="198" t="n">
        <v>0</v>
      </c>
      <c r="AN269" s="198" t="inlineStr">
        <is>
          <t>LOLO</t>
        </is>
      </c>
    </row>
    <row r="270">
      <c r="A270" s="212">
        <f>A269+1</f>
        <v/>
      </c>
      <c r="B270" s="214" t="inlineStr">
        <is>
          <t>Trucking &amp; Clearance-Im</t>
        </is>
      </c>
      <c r="C270" s="214" t="inlineStr">
        <is>
          <t>BRILLIANT TRANSPORT AND TRADING Co., Ltd.</t>
        </is>
      </c>
      <c r="D270" s="215" t="inlineStr">
        <is>
          <t>K002-100089305</t>
        </is>
      </c>
      <c r="E270" s="290" t="inlineStr">
        <is>
          <t>BTT25-0000616</t>
        </is>
      </c>
      <c r="F270" s="279" t="n">
        <v>45737</v>
      </c>
      <c r="G270" s="216" t="n"/>
      <c r="H270" s="564" t="n"/>
      <c r="I270" s="564" t="n">
        <v>2162700</v>
      </c>
      <c r="J270" s="213" t="inlineStr">
        <is>
          <t>អនុញ្ញាត (បានប្រកាស)</t>
        </is>
      </c>
      <c r="K270" s="213" t="n"/>
      <c r="L270" s="563">
        <f>I270</f>
        <v/>
      </c>
      <c r="M270" s="536">
        <f>I270-L270</f>
        <v/>
      </c>
      <c r="N270" s="213" t="n"/>
      <c r="O270" s="218">
        <f>U270=E270</f>
        <v/>
      </c>
      <c r="P270" s="218">
        <f>MONTH(F270)-MONTH(T270)</f>
        <v/>
      </c>
      <c r="Q270" s="218">
        <f>$B$5=X270</f>
        <v/>
      </c>
      <c r="R270" s="218">
        <f>I270-AD270</f>
        <v/>
      </c>
      <c r="S270" s="298" t="n"/>
      <c r="T270" s="299" t="n">
        <v>45737</v>
      </c>
      <c r="U270" s="298" t="inlineStr">
        <is>
          <t>BTT25-0000616</t>
        </is>
      </c>
      <c r="V270" s="298" t="n">
        <v>0</v>
      </c>
      <c r="W270" s="298" t="inlineStr">
        <is>
          <t>បុគ្គលជាប់អាករ</t>
        </is>
      </c>
      <c r="X270" s="298" t="inlineStr">
        <is>
          <t>L001-901640009</t>
        </is>
      </c>
      <c r="Y270" s="298" t="inlineStr">
        <is>
          <t>ហូលីដេ ឌីហ្សាញ (ខេមបូឌា) ឯ.ក</t>
        </is>
      </c>
      <c r="Z270" s="300" t="n">
        <v>23789700</v>
      </c>
      <c r="AA270" s="300" t="n">
        <v>21627000</v>
      </c>
      <c r="AB270" s="298" t="n">
        <v>0</v>
      </c>
      <c r="AC270" s="298" t="inlineStr">
        <is>
          <t>-</t>
        </is>
      </c>
      <c r="AD270" s="300" t="n">
        <v>2162700</v>
      </c>
      <c r="AE270" s="298" t="n">
        <v>0</v>
      </c>
      <c r="AF270" s="562" t="n">
        <v>0</v>
      </c>
      <c r="AG270" s="198" t="n">
        <v>0</v>
      </c>
      <c r="AH270" s="198" t="n">
        <v>0</v>
      </c>
      <c r="AI270" s="198" t="n">
        <v>0</v>
      </c>
      <c r="AJ270" s="198" t="n">
        <v>0</v>
      </c>
      <c r="AK270" s="198" t="n">
        <v>0</v>
      </c>
      <c r="AL270" s="198" t="n">
        <v>0.01</v>
      </c>
      <c r="AM270" s="198" t="n">
        <v>0</v>
      </c>
      <c r="AN270" s="198" t="inlineStr">
        <is>
          <t>Truking / Service</t>
        </is>
      </c>
    </row>
    <row r="271">
      <c r="A271" s="212">
        <f>A270+1</f>
        <v/>
      </c>
      <c r="B271" s="214" t="inlineStr">
        <is>
          <t>Lift-On &amp; Lift-On-Im</t>
        </is>
      </c>
      <c r="C271" s="214" t="inlineStr">
        <is>
          <t>Port Autonome Du Sihanoukville</t>
        </is>
      </c>
      <c r="D271" s="215" t="inlineStr">
        <is>
          <t>L001-100044638</t>
        </is>
      </c>
      <c r="E271" s="290" t="n">
        <v>202500061144</v>
      </c>
      <c r="F271" s="279" t="n">
        <v>45737</v>
      </c>
      <c r="G271" s="216" t="n"/>
      <c r="H271" s="564" t="n"/>
      <c r="I271" s="564" t="n">
        <v>348435</v>
      </c>
      <c r="J271" s="213" t="inlineStr">
        <is>
          <t>អនុញ្ញាត (បានប្រកាស)</t>
        </is>
      </c>
      <c r="K271" s="213" t="n"/>
      <c r="L271" s="563">
        <f>I271</f>
        <v/>
      </c>
      <c r="M271" s="536">
        <f>I271-L271</f>
        <v/>
      </c>
      <c r="N271" s="213" t="n"/>
      <c r="O271" s="218">
        <f>U271=E271</f>
        <v/>
      </c>
      <c r="P271" s="218">
        <f>MONTH(F271)-MONTH(T271)</f>
        <v/>
      </c>
      <c r="Q271" s="218">
        <f>$B$5=X271</f>
        <v/>
      </c>
      <c r="R271" s="218">
        <f>I271-AD271</f>
        <v/>
      </c>
      <c r="S271" s="298" t="inlineStr">
        <is>
          <t>Wrong invoice number</t>
        </is>
      </c>
      <c r="T271" s="299" t="n">
        <v>45737</v>
      </c>
      <c r="U271" s="298" t="n">
        <v>202500061144</v>
      </c>
      <c r="V271" s="298" t="n">
        <v>0</v>
      </c>
      <c r="W271" s="298" t="inlineStr">
        <is>
          <t>បុគ្គលជាប់អាករ</t>
        </is>
      </c>
      <c r="X271" s="298" t="inlineStr">
        <is>
          <t>L001-901640009</t>
        </is>
      </c>
      <c r="Y271" s="298" t="inlineStr">
        <is>
          <t>ហូលីដេ ឌីហ្សាញ (ខេមបូឌា) ឯ.ក</t>
        </is>
      </c>
      <c r="Z271" s="300" t="n">
        <v>3832785</v>
      </c>
      <c r="AA271" s="300" t="n">
        <v>3484350</v>
      </c>
      <c r="AB271" s="298" t="n">
        <v>0</v>
      </c>
      <c r="AC271" s="298" t="inlineStr">
        <is>
          <t>-</t>
        </is>
      </c>
      <c r="AD271" s="300" t="n">
        <v>348435</v>
      </c>
      <c r="AE271" s="298" t="n">
        <v>0</v>
      </c>
      <c r="AF271" s="562" t="n">
        <v>0</v>
      </c>
      <c r="AG271" s="198" t="n">
        <v>0</v>
      </c>
      <c r="AH271" s="198" t="n">
        <v>0</v>
      </c>
      <c r="AI271" s="198" t="n">
        <v>0</v>
      </c>
      <c r="AJ271" s="198" t="n">
        <v>0</v>
      </c>
      <c r="AK271" s="198" t="n">
        <v>0</v>
      </c>
      <c r="AL271" s="198" t="n">
        <v>0.01</v>
      </c>
      <c r="AM271" s="198" t="n">
        <v>0</v>
      </c>
      <c r="AN271" s="198" t="inlineStr">
        <is>
          <t>LOLO</t>
        </is>
      </c>
    </row>
    <row r="272">
      <c r="A272" s="212">
        <f>A271+1</f>
        <v/>
      </c>
      <c r="B272" s="214" t="inlineStr">
        <is>
          <t>Terminal Handling Service-Im</t>
        </is>
      </c>
      <c r="C272" s="214" t="inlineStr">
        <is>
          <t>MAERSK (CAMBODIA) LTD.</t>
        </is>
      </c>
      <c r="D272" s="215" t="inlineStr">
        <is>
          <t>L001-100045200</t>
        </is>
      </c>
      <c r="E272" s="290" t="n">
        <v>7676087446</v>
      </c>
      <c r="F272" s="279" t="n">
        <v>45617</v>
      </c>
      <c r="G272" s="216" t="n"/>
      <c r="H272" s="564" t="n"/>
      <c r="I272" s="564" t="n">
        <v>195649</v>
      </c>
      <c r="J272" s="213" t="inlineStr">
        <is>
          <t>អនុញ្ញាត (បានប្រកាស)</t>
        </is>
      </c>
      <c r="K272" s="213" t="n"/>
      <c r="L272" s="563">
        <f>I272</f>
        <v/>
      </c>
      <c r="M272" s="536">
        <f>I272-L272</f>
        <v/>
      </c>
      <c r="N272" s="213" t="n"/>
      <c r="O272" s="218">
        <f>U272=E272</f>
        <v/>
      </c>
      <c r="P272" s="218">
        <f>MONTH(F272)-MONTH(T272)</f>
        <v/>
      </c>
      <c r="Q272" s="218">
        <f>$B$5=X272</f>
        <v/>
      </c>
      <c r="R272" s="218">
        <f>I272-AD272</f>
        <v/>
      </c>
      <c r="S272" s="298" t="n"/>
      <c r="T272" s="299" t="n">
        <v>45617</v>
      </c>
      <c r="U272" s="298" t="n">
        <v>7676087446</v>
      </c>
      <c r="V272" s="298" t="n">
        <v>0</v>
      </c>
      <c r="W272" s="298" t="inlineStr">
        <is>
          <t>បុគ្គលជាប់អាករ</t>
        </is>
      </c>
      <c r="X272" s="298" t="inlineStr">
        <is>
          <t>L001-901640009</t>
        </is>
      </c>
      <c r="Y272" s="298" t="inlineStr">
        <is>
          <t>ហូលីដេ ឌីហ្សាញ (ខេមបូឌា) ឯ.ក</t>
        </is>
      </c>
      <c r="Z272" s="300" t="n">
        <v>2152139</v>
      </c>
      <c r="AA272" s="300" t="n">
        <v>1956490</v>
      </c>
      <c r="AB272" s="298" t="n">
        <v>0</v>
      </c>
      <c r="AC272" s="298" t="inlineStr">
        <is>
          <t>-</t>
        </is>
      </c>
      <c r="AD272" s="300" t="n">
        <v>195649</v>
      </c>
      <c r="AE272" s="298" t="n">
        <v>0</v>
      </c>
      <c r="AF272" s="562" t="n">
        <v>0</v>
      </c>
      <c r="AG272" s="198" t="n">
        <v>0</v>
      </c>
      <c r="AH272" s="198" t="n">
        <v>0</v>
      </c>
      <c r="AI272" s="198" t="n">
        <v>0</v>
      </c>
      <c r="AJ272" s="198" t="n">
        <v>0</v>
      </c>
      <c r="AK272" s="198" t="n">
        <v>0</v>
      </c>
      <c r="AL272" s="198" t="n">
        <v>0.01</v>
      </c>
      <c r="AM272" s="198" t="n">
        <v>0</v>
      </c>
      <c r="AN272" s="198" t="inlineStr">
        <is>
          <t>CP1 CONTAINER PROTECT ESSENTIAL</t>
        </is>
      </c>
      <c r="AO272" s="198" t="inlineStr">
        <is>
          <t>បានប្រកាសនិងបង់ពន្ធ</t>
        </is>
      </c>
    </row>
    <row r="273">
      <c r="A273" s="212">
        <f>A272+1</f>
        <v/>
      </c>
      <c r="B273" s="214" t="inlineStr">
        <is>
          <t>Lift-On &amp; Lift-On-Im</t>
        </is>
      </c>
      <c r="C273" s="214" t="inlineStr">
        <is>
          <t>Port Autonome Du Sihanoukville</t>
        </is>
      </c>
      <c r="D273" s="215" t="inlineStr">
        <is>
          <t>L001-100044638</t>
        </is>
      </c>
      <c r="E273" s="290" t="n">
        <v>202500068614</v>
      </c>
      <c r="F273" s="279" t="n">
        <v>45747</v>
      </c>
      <c r="G273" s="216" t="n"/>
      <c r="H273" s="564" t="n"/>
      <c r="I273" s="564" t="n">
        <v>452400</v>
      </c>
      <c r="J273" s="213" t="inlineStr">
        <is>
          <t>អនុញ្ញាត (បានប្រកាស)</t>
        </is>
      </c>
      <c r="K273" s="213" t="n"/>
      <c r="L273" s="563">
        <f>I273</f>
        <v/>
      </c>
      <c r="M273" s="536">
        <f>I273-L273</f>
        <v/>
      </c>
      <c r="N273" s="213" t="n"/>
      <c r="O273" s="218">
        <f>U273=E273</f>
        <v/>
      </c>
      <c r="P273" s="218">
        <f>MONTH(F273)-MONTH(T273)</f>
        <v/>
      </c>
      <c r="Q273" s="218">
        <f>$B$5=X273</f>
        <v/>
      </c>
      <c r="R273" s="218">
        <f>I273-AD273</f>
        <v/>
      </c>
      <c r="S273" s="298" t="n"/>
      <c r="T273" s="299" t="n">
        <v>45747</v>
      </c>
      <c r="U273" s="298" t="n">
        <v>202500068614</v>
      </c>
      <c r="V273" s="298" t="n">
        <v>0</v>
      </c>
      <c r="W273" s="298" t="inlineStr">
        <is>
          <t>បុគ្គលជាប់អាករ</t>
        </is>
      </c>
      <c r="X273" s="298" t="inlineStr">
        <is>
          <t>L001-901640009</t>
        </is>
      </c>
      <c r="Y273" s="298" t="inlineStr">
        <is>
          <t>ហូលីដេ ឌីហ្សាញ (ខេមបូឌា) ឯ.ក</t>
        </is>
      </c>
      <c r="Z273" s="300" t="n">
        <v>4976400</v>
      </c>
      <c r="AA273" s="300" t="n">
        <v>4524000</v>
      </c>
      <c r="AB273" s="298" t="n">
        <v>0</v>
      </c>
      <c r="AC273" s="298" t="inlineStr">
        <is>
          <t>-</t>
        </is>
      </c>
      <c r="AD273" s="300" t="n">
        <v>452400</v>
      </c>
      <c r="AE273" s="298" t="n">
        <v>0</v>
      </c>
      <c r="AF273" s="562" t="n">
        <v>0</v>
      </c>
      <c r="AG273" s="198" t="n">
        <v>0</v>
      </c>
      <c r="AH273" s="198" t="n">
        <v>0</v>
      </c>
      <c r="AI273" s="198" t="n">
        <v>0</v>
      </c>
      <c r="AJ273" s="198" t="n">
        <v>0</v>
      </c>
      <c r="AK273" s="198" t="n">
        <v>0</v>
      </c>
      <c r="AL273" s="198" t="n">
        <v>0.01</v>
      </c>
      <c r="AM273" s="198" t="n">
        <v>0</v>
      </c>
      <c r="AN273" s="198" t="inlineStr">
        <is>
          <t>LOLO</t>
        </is>
      </c>
    </row>
    <row r="274">
      <c r="A274" s="212">
        <f>A273+1</f>
        <v/>
      </c>
      <c r="B274" s="214" t="inlineStr">
        <is>
          <t>Terminal Handling Charge</t>
        </is>
      </c>
      <c r="C274" s="214" t="inlineStr">
        <is>
          <t>SITC CONTAINER LINES (CAMBODIA) Co., Ltd.</t>
        </is>
      </c>
      <c r="D274" s="215" t="inlineStr">
        <is>
          <t>L001-107035863</t>
        </is>
      </c>
      <c r="E274" s="290" t="inlineStr">
        <is>
          <t>SITC2025-009950</t>
        </is>
      </c>
      <c r="F274" s="279" t="n">
        <v>45742</v>
      </c>
      <c r="G274" s="216" t="n"/>
      <c r="H274" s="564" t="n"/>
      <c r="I274" s="564" t="n">
        <v>2730046</v>
      </c>
      <c r="J274" s="213" t="inlineStr">
        <is>
          <t>អនុញ្ញាត (បានប្រកាស)</t>
        </is>
      </c>
      <c r="K274" s="213" t="n"/>
      <c r="L274" s="563">
        <f>I274</f>
        <v/>
      </c>
      <c r="M274" s="536">
        <f>I274-L274</f>
        <v/>
      </c>
      <c r="N274" s="213" t="n"/>
      <c r="O274" s="218">
        <f>U274=E274</f>
        <v/>
      </c>
      <c r="P274" s="218">
        <f>MONTH(F274)-MONTH(T274)</f>
        <v/>
      </c>
      <c r="Q274" s="218">
        <f>$B$5=X274</f>
        <v/>
      </c>
      <c r="R274" s="218">
        <f>I274-AD274</f>
        <v/>
      </c>
      <c r="S274" s="298" t="n"/>
      <c r="T274" s="299" t="n">
        <v>45742</v>
      </c>
      <c r="U274" s="298" t="inlineStr">
        <is>
          <t>SITC2025-009950</t>
        </is>
      </c>
      <c r="V274" s="298" t="n">
        <v>0</v>
      </c>
      <c r="W274" s="298" t="inlineStr">
        <is>
          <t>បុគ្គលជាប់អាករ</t>
        </is>
      </c>
      <c r="X274" s="298" t="inlineStr">
        <is>
          <t>L001-901640009</t>
        </is>
      </c>
      <c r="Y274" s="298" t="inlineStr">
        <is>
          <t>ហូលីដេ ឌីហ្សាញ (ខេមបូឌា) ឯ.ក</t>
        </is>
      </c>
      <c r="Z274" s="300" t="n">
        <v>30030506</v>
      </c>
      <c r="AA274" s="300" t="n">
        <v>27300460</v>
      </c>
      <c r="AB274" s="298" t="n">
        <v>0</v>
      </c>
      <c r="AC274" s="298" t="inlineStr">
        <is>
          <t>-</t>
        </is>
      </c>
      <c r="AD274" s="300" t="n">
        <v>2730046</v>
      </c>
      <c r="AE274" s="298" t="n">
        <v>0</v>
      </c>
      <c r="AF274" s="562" t="n">
        <v>0</v>
      </c>
      <c r="AG274" s="198" t="n">
        <v>0</v>
      </c>
      <c r="AH274" s="198" t="n">
        <v>0</v>
      </c>
      <c r="AI274" s="198" t="n">
        <v>0</v>
      </c>
      <c r="AJ274" s="198" t="n">
        <v>0</v>
      </c>
      <c r="AK274" s="198" t="n">
        <v>0</v>
      </c>
      <c r="AL274" s="198" t="n">
        <v>0.01</v>
      </c>
      <c r="AM274" s="198" t="n">
        <v>0</v>
      </c>
      <c r="AN274" s="198" t="inlineStr">
        <is>
          <t>KHCIC,EIB,EMF,KHDOC,KHTHC</t>
        </is>
      </c>
    </row>
    <row r="275">
      <c r="A275" s="212">
        <f>A274+1</f>
        <v/>
      </c>
      <c r="B275" s="214" t="inlineStr">
        <is>
          <t>Documentation Fee-Im</t>
        </is>
      </c>
      <c r="C275" s="214" t="inlineStr">
        <is>
          <t>MAERSK (CAMBODIA) LTD.</t>
        </is>
      </c>
      <c r="D275" s="215" t="inlineStr">
        <is>
          <t>L001-100045200</t>
        </is>
      </c>
      <c r="E275" s="290" t="n">
        <v>7676087456</v>
      </c>
      <c r="F275" s="279" t="n">
        <v>45617</v>
      </c>
      <c r="G275" s="216" t="n"/>
      <c r="H275" s="564" t="n"/>
      <c r="I275" s="564" t="n">
        <v>1393747</v>
      </c>
      <c r="J275" s="213" t="inlineStr">
        <is>
          <t>អនុញ្ញាត (បានប្រកាស)</t>
        </is>
      </c>
      <c r="K275" s="213" t="n"/>
      <c r="L275" s="563">
        <f>I275</f>
        <v/>
      </c>
      <c r="M275" s="536">
        <f>I275-L275</f>
        <v/>
      </c>
      <c r="N275" s="213" t="n"/>
      <c r="O275" s="218">
        <f>U275=E275</f>
        <v/>
      </c>
      <c r="P275" s="218">
        <f>MONTH(F275)-MONTH(T275)</f>
        <v/>
      </c>
      <c r="Q275" s="218">
        <f>$B$5=X275</f>
        <v/>
      </c>
      <c r="R275" s="218">
        <f>I275-AD275</f>
        <v/>
      </c>
      <c r="S275" s="298" t="n"/>
      <c r="T275" s="299" t="n">
        <v>45617</v>
      </c>
      <c r="U275" s="298" t="n">
        <v>7676087456</v>
      </c>
      <c r="V275" s="298" t="n">
        <v>0</v>
      </c>
      <c r="W275" s="298" t="inlineStr">
        <is>
          <t>បុគ្គលជាប់អាករ</t>
        </is>
      </c>
      <c r="X275" s="298" t="inlineStr">
        <is>
          <t>L001-901640009</t>
        </is>
      </c>
      <c r="Y275" s="298" t="inlineStr">
        <is>
          <t>ហូលីដេ ឌីហ្សាញ (ខេមបូឌា) ឯ.ក</t>
        </is>
      </c>
      <c r="Z275" s="300" t="n">
        <v>15331217</v>
      </c>
      <c r="AA275" s="300" t="n">
        <v>13937470</v>
      </c>
      <c r="AB275" s="298" t="n">
        <v>0</v>
      </c>
      <c r="AC275" s="298" t="inlineStr">
        <is>
          <t>-</t>
        </is>
      </c>
      <c r="AD275" s="300" t="n">
        <v>1393747</v>
      </c>
      <c r="AE275" s="298" t="n">
        <v>0</v>
      </c>
      <c r="AF275" s="562" t="n">
        <v>0</v>
      </c>
      <c r="AG275" s="198" t="n">
        <v>0</v>
      </c>
      <c r="AH275" s="198" t="n">
        <v>0</v>
      </c>
      <c r="AI275" s="198" t="n">
        <v>0</v>
      </c>
      <c r="AJ275" s="198" t="n">
        <v>0</v>
      </c>
      <c r="AK275" s="198" t="n">
        <v>0</v>
      </c>
      <c r="AL275" s="198" t="n">
        <v>0.01</v>
      </c>
      <c r="AM275" s="198" t="n">
        <v>0</v>
      </c>
      <c r="AN275" s="198" t="inlineStr">
        <is>
          <t>CP1 CONTAINER PROTECT ESSENTIAL</t>
        </is>
      </c>
      <c r="AO275" s="198" t="inlineStr">
        <is>
          <t>បានប្រកាសនិងបង់ពន្ធ</t>
        </is>
      </c>
    </row>
    <row r="276">
      <c r="A276" s="212">
        <f>A275+1</f>
        <v/>
      </c>
      <c r="B276" s="214" t="inlineStr">
        <is>
          <t>Terminal Handling Service-Im</t>
        </is>
      </c>
      <c r="C276" s="214" t="inlineStr">
        <is>
          <t>MAERSK (CAMBODIA) LTD.</t>
        </is>
      </c>
      <c r="D276" s="215" t="inlineStr">
        <is>
          <t>L001-100045200</t>
        </is>
      </c>
      <c r="E276" s="290" t="n">
        <v>7676087497</v>
      </c>
      <c r="F276" s="279" t="n">
        <v>45617</v>
      </c>
      <c r="G276" s="216" t="n"/>
      <c r="H276" s="564" t="n"/>
      <c r="I276" s="564" t="n">
        <v>195649</v>
      </c>
      <c r="J276" s="213" t="inlineStr">
        <is>
          <t>អនុញ្ញាត (បានប្រកាស)</t>
        </is>
      </c>
      <c r="K276" s="213" t="n"/>
      <c r="L276" s="563">
        <f>I276</f>
        <v/>
      </c>
      <c r="M276" s="536">
        <f>I276-L276</f>
        <v/>
      </c>
      <c r="N276" s="213" t="n"/>
      <c r="O276" s="218">
        <f>U276=E276</f>
        <v/>
      </c>
      <c r="P276" s="218">
        <f>MONTH(F276)-MONTH(T276)</f>
        <v/>
      </c>
      <c r="Q276" s="218">
        <f>$B$5=X276</f>
        <v/>
      </c>
      <c r="R276" s="218">
        <f>I276-AD276</f>
        <v/>
      </c>
      <c r="S276" s="298" t="n"/>
      <c r="T276" s="299" t="n">
        <v>45617</v>
      </c>
      <c r="U276" s="298" t="n">
        <v>7676087497</v>
      </c>
      <c r="V276" s="298" t="n">
        <v>0</v>
      </c>
      <c r="W276" s="298" t="inlineStr">
        <is>
          <t>បុគ្គលជាប់អាករ</t>
        </is>
      </c>
      <c r="X276" s="298" t="inlineStr">
        <is>
          <t>L001-901640009</t>
        </is>
      </c>
      <c r="Y276" s="298" t="inlineStr">
        <is>
          <t>ហូលីដេ ឌីហ្សាញ (ខេមបូឌា) ឯ.ក</t>
        </is>
      </c>
      <c r="Z276" s="300" t="n">
        <v>2152139</v>
      </c>
      <c r="AA276" s="300" t="n">
        <v>1956490</v>
      </c>
      <c r="AB276" s="298" t="n">
        <v>0</v>
      </c>
      <c r="AC276" s="298" t="inlineStr">
        <is>
          <t>-</t>
        </is>
      </c>
      <c r="AD276" s="300" t="n">
        <v>195649</v>
      </c>
      <c r="AE276" s="298" t="n">
        <v>0</v>
      </c>
      <c r="AF276" s="562" t="n">
        <v>0</v>
      </c>
      <c r="AG276" s="198" t="n">
        <v>0</v>
      </c>
      <c r="AH276" s="198" t="n">
        <v>0</v>
      </c>
      <c r="AI276" s="198" t="n">
        <v>0</v>
      </c>
      <c r="AJ276" s="198" t="n">
        <v>0</v>
      </c>
      <c r="AK276" s="198" t="n">
        <v>0</v>
      </c>
      <c r="AL276" s="198" t="n">
        <v>0.01</v>
      </c>
      <c r="AM276" s="198" t="n">
        <v>0</v>
      </c>
      <c r="AN276" s="198" t="inlineStr">
        <is>
          <t>CP1 CONTAINER PROTECT ESSENTIAL</t>
        </is>
      </c>
      <c r="AO276" s="198" t="inlineStr">
        <is>
          <t>បានប្រកាសនិងបង់ពន្ធ</t>
        </is>
      </c>
    </row>
    <row r="277">
      <c r="A277" s="212">
        <f>A276+1</f>
        <v/>
      </c>
      <c r="B277" s="214" t="inlineStr">
        <is>
          <t>Lift-On &amp; Lift-On-Im</t>
        </is>
      </c>
      <c r="C277" s="214" t="inlineStr">
        <is>
          <t>Port Autonome Du Sihanoukville</t>
        </is>
      </c>
      <c r="D277" s="215" t="inlineStr">
        <is>
          <t>L001-100044638</t>
        </is>
      </c>
      <c r="E277" s="290" t="n">
        <v>202500065599</v>
      </c>
      <c r="F277" s="279" t="n">
        <v>45743</v>
      </c>
      <c r="G277" s="216" t="n"/>
      <c r="H277" s="564" t="n"/>
      <c r="I277" s="564" t="n">
        <v>136868</v>
      </c>
      <c r="J277" s="213" t="inlineStr">
        <is>
          <t>អនុញ្ញាត (បានប្រកាស)</t>
        </is>
      </c>
      <c r="K277" s="213" t="n"/>
      <c r="L277" s="563">
        <f>I277</f>
        <v/>
      </c>
      <c r="M277" s="536">
        <f>I277-L277</f>
        <v/>
      </c>
      <c r="N277" s="213" t="n"/>
      <c r="O277" s="218">
        <f>U277=E277</f>
        <v/>
      </c>
      <c r="P277" s="218">
        <f>MONTH(F277)-MONTH(T277)</f>
        <v/>
      </c>
      <c r="Q277" s="218">
        <f>$B$5=X277</f>
        <v/>
      </c>
      <c r="R277" s="218">
        <f>I277-AD277</f>
        <v/>
      </c>
      <c r="S277" s="298" t="n"/>
      <c r="T277" s="299" t="n">
        <v>45743</v>
      </c>
      <c r="U277" s="298" t="n">
        <v>202500065599</v>
      </c>
      <c r="V277" s="298" t="n">
        <v>0</v>
      </c>
      <c r="W277" s="298" t="inlineStr">
        <is>
          <t>បុគ្គលជាប់អាករ</t>
        </is>
      </c>
      <c r="X277" s="298" t="inlineStr">
        <is>
          <t>L001-901640009</t>
        </is>
      </c>
      <c r="Y277" s="298" t="inlineStr">
        <is>
          <t>ហូលីដេ ឌីហ្សាញ (ខេមបូឌា) ឯ.ក</t>
        </is>
      </c>
      <c r="Z277" s="300" t="n">
        <v>1505552</v>
      </c>
      <c r="AA277" s="300" t="n">
        <v>1368684</v>
      </c>
      <c r="AB277" s="298" t="n">
        <v>0</v>
      </c>
      <c r="AC277" s="298" t="inlineStr">
        <is>
          <t>-</t>
        </is>
      </c>
      <c r="AD277" s="300" t="n">
        <v>136868</v>
      </c>
      <c r="AE277" s="298" t="n">
        <v>0</v>
      </c>
      <c r="AF277" s="562" t="n">
        <v>0</v>
      </c>
      <c r="AG277" s="198" t="n">
        <v>0</v>
      </c>
      <c r="AH277" s="198" t="n">
        <v>0</v>
      </c>
      <c r="AI277" s="198" t="n">
        <v>0</v>
      </c>
      <c r="AJ277" s="198" t="n">
        <v>0</v>
      </c>
      <c r="AK277" s="198" t="n">
        <v>0</v>
      </c>
      <c r="AL277" s="198" t="n">
        <v>0.01</v>
      </c>
      <c r="AM277" s="198" t="n">
        <v>0</v>
      </c>
      <c r="AN277" s="198" t="inlineStr">
        <is>
          <t>LOLO</t>
        </is>
      </c>
    </row>
    <row r="278">
      <c r="A278" s="212">
        <f>A277+1</f>
        <v/>
      </c>
      <c r="B278" s="214" t="inlineStr">
        <is>
          <t>Terminal Handling Charge</t>
        </is>
      </c>
      <c r="C278" s="214" t="inlineStr">
        <is>
          <t>SITC CONTAINER LINES (CAMBODIA) Co., Ltd.</t>
        </is>
      </c>
      <c r="D278" s="215" t="inlineStr">
        <is>
          <t>L001-107035863</t>
        </is>
      </c>
      <c r="E278" s="290" t="inlineStr">
        <is>
          <t>SITC2025-009596</t>
        </is>
      </c>
      <c r="F278" s="279" t="n">
        <v>45740</v>
      </c>
      <c r="G278" s="216" t="n"/>
      <c r="H278" s="564" t="n"/>
      <c r="I278" s="564" t="n">
        <v>745116</v>
      </c>
      <c r="J278" s="213" t="inlineStr">
        <is>
          <t>អនុញ្ញាត (បានប្រកាស)</t>
        </is>
      </c>
      <c r="K278" s="213" t="n"/>
      <c r="L278" s="563">
        <f>I278</f>
        <v/>
      </c>
      <c r="M278" s="536">
        <f>I278-L278</f>
        <v/>
      </c>
      <c r="N278" s="213" t="n"/>
      <c r="O278" s="218">
        <f>U278=E278</f>
        <v/>
      </c>
      <c r="P278" s="218">
        <f>MONTH(F278)-MONTH(T278)</f>
        <v/>
      </c>
      <c r="Q278" s="218">
        <f>$B$5=X278</f>
        <v/>
      </c>
      <c r="R278" s="218">
        <f>I278-AD278</f>
        <v/>
      </c>
      <c r="S278" s="298" t="n"/>
      <c r="T278" s="299" t="n">
        <v>45740</v>
      </c>
      <c r="U278" s="298" t="inlineStr">
        <is>
          <t>SITC2025-009596</t>
        </is>
      </c>
      <c r="V278" s="298" t="n">
        <v>0</v>
      </c>
      <c r="W278" s="298" t="inlineStr">
        <is>
          <t>បុគ្គលជាប់អាករ</t>
        </is>
      </c>
      <c r="X278" s="298" t="inlineStr">
        <is>
          <t>L001-901640009</t>
        </is>
      </c>
      <c r="Y278" s="298" t="inlineStr">
        <is>
          <t>ហូលីដេ ឌីហ្សាញ (ខេមបូឌា) ឯ.ក</t>
        </is>
      </c>
      <c r="Z278" s="300" t="n">
        <v>8196276</v>
      </c>
      <c r="AA278" s="300" t="n">
        <v>7451160</v>
      </c>
      <c r="AB278" s="298" t="n">
        <v>0</v>
      </c>
      <c r="AC278" s="298" t="inlineStr">
        <is>
          <t>-</t>
        </is>
      </c>
      <c r="AD278" s="300" t="n">
        <v>745116</v>
      </c>
      <c r="AE278" s="298" t="n">
        <v>0</v>
      </c>
      <c r="AF278" s="562" t="n">
        <v>0</v>
      </c>
      <c r="AG278" s="198" t="n">
        <v>0</v>
      </c>
      <c r="AH278" s="198" t="n">
        <v>0</v>
      </c>
      <c r="AI278" s="198" t="n">
        <v>0</v>
      </c>
      <c r="AJ278" s="198" t="n">
        <v>0</v>
      </c>
      <c r="AK278" s="198" t="n">
        <v>0</v>
      </c>
      <c r="AL278" s="198" t="n">
        <v>0.01</v>
      </c>
      <c r="AM278" s="198" t="n">
        <v>0</v>
      </c>
      <c r="AN278" s="198" t="inlineStr">
        <is>
          <t>KHTHC,EIB,KHDOC,KHCIC,EMF</t>
        </is>
      </c>
    </row>
    <row r="279">
      <c r="A279" s="212">
        <f>A278+1</f>
        <v/>
      </c>
      <c r="B279" s="214" t="inlineStr">
        <is>
          <t>Trucking &amp; Clearance-Im</t>
        </is>
      </c>
      <c r="C279" s="214" t="inlineStr">
        <is>
          <t>BRILLIANT TRANSPORT AND TRADING Co., Ltd.</t>
        </is>
      </c>
      <c r="D279" s="215" t="inlineStr">
        <is>
          <t>K002-100089305</t>
        </is>
      </c>
      <c r="E279" s="290" t="inlineStr">
        <is>
          <t>BTT25-0000683</t>
        </is>
      </c>
      <c r="F279" s="279" t="n">
        <v>45743</v>
      </c>
      <c r="G279" s="216" t="n"/>
      <c r="H279" s="564" t="n"/>
      <c r="I279" s="564" t="n">
        <v>1488744</v>
      </c>
      <c r="J279" s="213" t="inlineStr">
        <is>
          <t>អនុញ្ញាត (បានប្រកាស)</t>
        </is>
      </c>
      <c r="K279" s="213" t="n"/>
      <c r="L279" s="563">
        <f>I279</f>
        <v/>
      </c>
      <c r="M279" s="536">
        <f>I279-L279</f>
        <v/>
      </c>
      <c r="N279" s="213" t="n"/>
      <c r="O279" s="218">
        <f>U279=E279</f>
        <v/>
      </c>
      <c r="P279" s="218">
        <f>MONTH(F279)-MONTH(T279)</f>
        <v/>
      </c>
      <c r="Q279" s="218">
        <f>$B$5=X279</f>
        <v/>
      </c>
      <c r="R279" s="218">
        <f>I279-AD279</f>
        <v/>
      </c>
      <c r="S279" s="298" t="n"/>
      <c r="T279" s="299" t="n">
        <v>45743</v>
      </c>
      <c r="U279" s="298" t="inlineStr">
        <is>
          <t>BTT25-0000683</t>
        </is>
      </c>
      <c r="V279" s="298" t="n">
        <v>0</v>
      </c>
      <c r="W279" s="298" t="inlineStr">
        <is>
          <t>បុគ្គលជាប់អាករ</t>
        </is>
      </c>
      <c r="X279" s="298" t="inlineStr">
        <is>
          <t>L001-901640009</t>
        </is>
      </c>
      <c r="Y279" s="298" t="inlineStr">
        <is>
          <t>ហូលីដេ ឌីហ្សាញ (ខេមបូឌា) ឯ.ក</t>
        </is>
      </c>
      <c r="Z279" s="300" t="n">
        <v>16376184</v>
      </c>
      <c r="AA279" s="300" t="n">
        <v>14887440</v>
      </c>
      <c r="AB279" s="298" t="n">
        <v>0</v>
      </c>
      <c r="AC279" s="298" t="inlineStr">
        <is>
          <t>-</t>
        </is>
      </c>
      <c r="AD279" s="300" t="n">
        <v>1488744</v>
      </c>
      <c r="AE279" s="298" t="n">
        <v>0</v>
      </c>
      <c r="AF279" s="562" t="n">
        <v>0</v>
      </c>
      <c r="AG279" s="198" t="n">
        <v>0</v>
      </c>
      <c r="AH279" s="198" t="n">
        <v>0</v>
      </c>
      <c r="AI279" s="198" t="n">
        <v>0</v>
      </c>
      <c r="AJ279" s="198" t="n">
        <v>0</v>
      </c>
      <c r="AK279" s="198" t="n">
        <v>0</v>
      </c>
      <c r="AL279" s="198" t="n">
        <v>0.01</v>
      </c>
      <c r="AM279" s="198" t="n">
        <v>0</v>
      </c>
      <c r="AN279" s="198" t="inlineStr">
        <is>
          <t>Truking / Service</t>
        </is>
      </c>
    </row>
    <row r="280">
      <c r="A280" s="212">
        <f>A279+1</f>
        <v/>
      </c>
      <c r="B280" s="214" t="inlineStr">
        <is>
          <t>Cleaning &amp; Gate Charge-Im</t>
        </is>
      </c>
      <c r="C280" s="214" t="inlineStr">
        <is>
          <t>BRILLIANT TRANSPORT AND TRADING Co., Ltd.</t>
        </is>
      </c>
      <c r="D280" s="215" t="inlineStr">
        <is>
          <t>K002-100089305</t>
        </is>
      </c>
      <c r="E280" s="290" t="inlineStr">
        <is>
          <t>BTT25-0000641</t>
        </is>
      </c>
      <c r="F280" s="279" t="n">
        <v>45719</v>
      </c>
      <c r="G280" s="216" t="n"/>
      <c r="H280" s="564" t="n"/>
      <c r="I280" s="564" t="n">
        <v>81824</v>
      </c>
      <c r="J280" s="213" t="inlineStr">
        <is>
          <t>អនុញ្ញាត (បានប្រកាស)</t>
        </is>
      </c>
      <c r="K280" s="213" t="n"/>
      <c r="L280" s="563">
        <f>I280</f>
        <v/>
      </c>
      <c r="M280" s="536">
        <f>I280-L280</f>
        <v/>
      </c>
      <c r="N280" s="213" t="n"/>
      <c r="O280" s="218">
        <f>U280=E280</f>
        <v/>
      </c>
      <c r="P280" s="218">
        <f>MONTH(F280)-MONTH(T280)</f>
        <v/>
      </c>
      <c r="Q280" s="218">
        <f>$B$5=X280</f>
        <v/>
      </c>
      <c r="R280" s="218">
        <f>I280-AD280</f>
        <v/>
      </c>
      <c r="S280" s="298" t="n"/>
      <c r="T280" s="299" t="n">
        <v>45719</v>
      </c>
      <c r="U280" s="298" t="inlineStr">
        <is>
          <t>BTT25-0000641</t>
        </is>
      </c>
      <c r="V280" s="298" t="n">
        <v>0</v>
      </c>
      <c r="W280" s="298" t="inlineStr">
        <is>
          <t>បុគ្គលជាប់អាករ</t>
        </is>
      </c>
      <c r="X280" s="298" t="inlineStr">
        <is>
          <t>L001-901640009</t>
        </is>
      </c>
      <c r="Y280" s="298" t="inlineStr">
        <is>
          <t>ហូលីដេ ឌីហ្សាញ (ខេមបូឌា) ឯ.ក</t>
        </is>
      </c>
      <c r="Z280" s="300" t="n">
        <v>900068</v>
      </c>
      <c r="AA280" s="300" t="n">
        <v>818244</v>
      </c>
      <c r="AB280" s="298" t="n">
        <v>0</v>
      </c>
      <c r="AC280" s="298" t="inlineStr">
        <is>
          <t>-</t>
        </is>
      </c>
      <c r="AD280" s="300" t="n">
        <v>81824</v>
      </c>
      <c r="AE280" s="298" t="n">
        <v>0</v>
      </c>
      <c r="AF280" s="562" t="n">
        <v>0</v>
      </c>
      <c r="AG280" s="198" t="n">
        <v>0</v>
      </c>
      <c r="AH280" s="198" t="n">
        <v>0</v>
      </c>
      <c r="AI280" s="198" t="n">
        <v>0</v>
      </c>
      <c r="AJ280" s="198" t="n">
        <v>0</v>
      </c>
      <c r="AK280" s="198" t="n">
        <v>0</v>
      </c>
      <c r="AL280" s="198" t="n">
        <v>0.01</v>
      </c>
      <c r="AM280" s="198" t="n">
        <v>0</v>
      </c>
      <c r="AN280" s="198" t="inlineStr">
        <is>
          <t>Truking / Service</t>
        </is>
      </c>
    </row>
    <row r="281">
      <c r="A281" s="212">
        <f>A280+1</f>
        <v/>
      </c>
      <c r="B281" s="214" t="inlineStr">
        <is>
          <t>Terminal Handling Service-Im</t>
        </is>
      </c>
      <c r="C281" s="214" t="inlineStr">
        <is>
          <t>MAERSK (CAMBODIA) LTD.</t>
        </is>
      </c>
      <c r="D281" s="215" t="inlineStr">
        <is>
          <t>L001-100045200</t>
        </is>
      </c>
      <c r="E281" s="290" t="n">
        <v>7676087500</v>
      </c>
      <c r="F281" s="279" t="n">
        <v>45617</v>
      </c>
      <c r="G281" s="216" t="n"/>
      <c r="H281" s="564" t="n"/>
      <c r="I281" s="564" t="n">
        <v>195649</v>
      </c>
      <c r="J281" s="213" t="inlineStr">
        <is>
          <t>អនុញ្ញាត (បានប្រកាស)</t>
        </is>
      </c>
      <c r="K281" s="213" t="n"/>
      <c r="L281" s="563">
        <f>I281</f>
        <v/>
      </c>
      <c r="M281" s="536">
        <f>I281-L281</f>
        <v/>
      </c>
      <c r="N281" s="213" t="n"/>
      <c r="O281" s="218">
        <f>U281=E281</f>
        <v/>
      </c>
      <c r="P281" s="218">
        <f>MONTH(F281)-MONTH(T281)</f>
        <v/>
      </c>
      <c r="Q281" s="218">
        <f>$B$5=X281</f>
        <v/>
      </c>
      <c r="R281" s="218">
        <f>I281-AD281</f>
        <v/>
      </c>
      <c r="S281" s="298" t="n"/>
      <c r="T281" s="299" t="n">
        <v>45617</v>
      </c>
      <c r="U281" s="298" t="n">
        <v>7676087500</v>
      </c>
      <c r="V281" s="298" t="n">
        <v>0</v>
      </c>
      <c r="W281" s="298" t="inlineStr">
        <is>
          <t>បុគ្គលជាប់អាករ</t>
        </is>
      </c>
      <c r="X281" s="298" t="inlineStr">
        <is>
          <t>L001-901640009</t>
        </is>
      </c>
      <c r="Y281" s="298" t="inlineStr">
        <is>
          <t>ហូលីដេ ឌីហ្សាញ (ខេមបូឌា) ឯ.ក</t>
        </is>
      </c>
      <c r="Z281" s="300" t="n">
        <v>2152139</v>
      </c>
      <c r="AA281" s="300" t="n">
        <v>1956490</v>
      </c>
      <c r="AB281" s="298" t="n">
        <v>0</v>
      </c>
      <c r="AC281" s="298" t="inlineStr">
        <is>
          <t>-</t>
        </is>
      </c>
      <c r="AD281" s="300" t="n">
        <v>195649</v>
      </c>
      <c r="AE281" s="298" t="n">
        <v>0</v>
      </c>
      <c r="AF281" s="562" t="n">
        <v>0</v>
      </c>
      <c r="AG281" s="198" t="n">
        <v>0</v>
      </c>
      <c r="AH281" s="198" t="n">
        <v>0</v>
      </c>
      <c r="AI281" s="198" t="n">
        <v>0</v>
      </c>
      <c r="AJ281" s="198" t="n">
        <v>0</v>
      </c>
      <c r="AK281" s="198" t="n">
        <v>0</v>
      </c>
      <c r="AL281" s="198" t="n">
        <v>0.01</v>
      </c>
      <c r="AM281" s="198" t="n">
        <v>0</v>
      </c>
      <c r="AN281" s="198" t="inlineStr">
        <is>
          <t>CP1 CONTAINER PROTECT ESSENTIAL</t>
        </is>
      </c>
      <c r="AO281" s="198" t="inlineStr">
        <is>
          <t>បានប្រកាសនិងបង់ពន្ធ</t>
        </is>
      </c>
    </row>
    <row r="282">
      <c r="A282" s="212">
        <f>A281+1</f>
        <v/>
      </c>
      <c r="B282" s="214" t="inlineStr">
        <is>
          <t>Trucking &amp; Clearance-Im</t>
        </is>
      </c>
      <c r="C282" s="214" t="inlineStr">
        <is>
          <t>BRILLIANT TRANSPORT AND TRADING Co., Ltd.</t>
        </is>
      </c>
      <c r="D282" s="215" t="inlineStr">
        <is>
          <t>K002-100089305</t>
        </is>
      </c>
      <c r="E282" s="290" t="inlineStr">
        <is>
          <t>BTT25-0000515</t>
        </is>
      </c>
      <c r="F282" s="279" t="n">
        <v>45721</v>
      </c>
      <c r="G282" s="216" t="n"/>
      <c r="H282" s="564" t="n"/>
      <c r="I282" s="564" t="n">
        <v>1086981</v>
      </c>
      <c r="J282" s="213" t="inlineStr">
        <is>
          <t>អនុញ្ញាត (បានប្រកាស)</t>
        </is>
      </c>
      <c r="K282" s="213" t="n"/>
      <c r="L282" s="563">
        <f>I282</f>
        <v/>
      </c>
      <c r="M282" s="536">
        <f>I282-L282</f>
        <v/>
      </c>
      <c r="N282" s="213" t="n"/>
      <c r="O282" s="218">
        <f>U282=E282</f>
        <v/>
      </c>
      <c r="P282" s="218">
        <f>MONTH(F282)-MONTH(T282)</f>
        <v/>
      </c>
      <c r="Q282" s="218">
        <f>$B$5=X282</f>
        <v/>
      </c>
      <c r="R282" s="218">
        <f>I282-AD282</f>
        <v/>
      </c>
      <c r="S282" s="298" t="n"/>
      <c r="T282" s="299" t="n">
        <v>45721</v>
      </c>
      <c r="U282" s="298" t="inlineStr">
        <is>
          <t>BTT25-0000515</t>
        </is>
      </c>
      <c r="V282" s="298" t="n">
        <v>0</v>
      </c>
      <c r="W282" s="298" t="inlineStr">
        <is>
          <t>បុគ្គលជាប់អាករ</t>
        </is>
      </c>
      <c r="X282" s="298" t="inlineStr">
        <is>
          <t>L001-901640009</t>
        </is>
      </c>
      <c r="Y282" s="298" t="inlineStr">
        <is>
          <t>ហូលីដេ ឌីហ្សាញ (ខេមបូឌា) ឯ.ក</t>
        </is>
      </c>
      <c r="Z282" s="300" t="n">
        <v>11956791</v>
      </c>
      <c r="AA282" s="300" t="n">
        <v>10869810</v>
      </c>
      <c r="AB282" s="298" t="n">
        <v>0</v>
      </c>
      <c r="AC282" s="298" t="inlineStr">
        <is>
          <t>-</t>
        </is>
      </c>
      <c r="AD282" s="300" t="n">
        <v>1086981</v>
      </c>
      <c r="AE282" s="298" t="n">
        <v>0</v>
      </c>
      <c r="AF282" s="562" t="n">
        <v>0</v>
      </c>
      <c r="AG282" s="198" t="n">
        <v>0</v>
      </c>
      <c r="AH282" s="198" t="n">
        <v>0</v>
      </c>
      <c r="AI282" s="198" t="n">
        <v>0</v>
      </c>
      <c r="AJ282" s="198" t="n">
        <v>0</v>
      </c>
      <c r="AK282" s="198" t="n">
        <v>0</v>
      </c>
      <c r="AL282" s="198" t="n">
        <v>0.01</v>
      </c>
      <c r="AM282" s="198" t="n">
        <v>0</v>
      </c>
      <c r="AN282" s="198" t="inlineStr">
        <is>
          <t>Truking / Service</t>
        </is>
      </c>
    </row>
    <row r="283">
      <c r="A283" s="212">
        <f>A282+1</f>
        <v/>
      </c>
      <c r="B283" s="214" t="inlineStr">
        <is>
          <t>Lift-On &amp; Lift-On-Im</t>
        </is>
      </c>
      <c r="C283" s="214" t="inlineStr">
        <is>
          <t>Port Autonome Du Sihanoukville</t>
        </is>
      </c>
      <c r="D283" s="215" t="inlineStr">
        <is>
          <t>L001-100044638</t>
        </is>
      </c>
      <c r="E283" s="290" t="n">
        <v>202500045440</v>
      </c>
      <c r="F283" s="279" t="n">
        <v>45719</v>
      </c>
      <c r="G283" s="216" t="n"/>
      <c r="H283" s="564" t="n"/>
      <c r="I283" s="564" t="n">
        <v>174479</v>
      </c>
      <c r="J283" s="213" t="inlineStr">
        <is>
          <t>អនុញ្ញាត (បានប្រកាស)</t>
        </is>
      </c>
      <c r="K283" s="213" t="n"/>
      <c r="L283" s="563">
        <f>I283</f>
        <v/>
      </c>
      <c r="M283" s="536">
        <f>I283-L283</f>
        <v/>
      </c>
      <c r="N283" s="213" t="n"/>
      <c r="O283" s="218">
        <f>U283=E283</f>
        <v/>
      </c>
      <c r="P283" s="218">
        <f>MONTH(F283)-MONTH(T283)</f>
        <v/>
      </c>
      <c r="Q283" s="218">
        <f>$B$5=X283</f>
        <v/>
      </c>
      <c r="R283" s="218">
        <f>I283-AD283</f>
        <v/>
      </c>
      <c r="S283" s="298" t="n"/>
      <c r="T283" s="299" t="n">
        <v>45719</v>
      </c>
      <c r="U283" s="298" t="n">
        <v>202500045440</v>
      </c>
      <c r="V283" s="298" t="n">
        <v>0</v>
      </c>
      <c r="W283" s="298" t="inlineStr">
        <is>
          <t>បុគ្គលជាប់អាករ</t>
        </is>
      </c>
      <c r="X283" s="298" t="inlineStr">
        <is>
          <t>L001-901640009</t>
        </is>
      </c>
      <c r="Y283" s="298" t="inlineStr">
        <is>
          <t>ហូលីដេ ឌីហ្សាញ (ខេមបូឌា) ឯ.ក</t>
        </is>
      </c>
      <c r="Z283" s="300" t="n">
        <v>1919264</v>
      </c>
      <c r="AA283" s="300" t="n">
        <v>1744785</v>
      </c>
      <c r="AB283" s="298" t="n">
        <v>0</v>
      </c>
      <c r="AC283" s="298" t="inlineStr">
        <is>
          <t>-</t>
        </is>
      </c>
      <c r="AD283" s="300" t="n">
        <v>174479</v>
      </c>
      <c r="AE283" s="298" t="n">
        <v>0</v>
      </c>
      <c r="AF283" s="562" t="n">
        <v>0</v>
      </c>
      <c r="AG283" s="198" t="n">
        <v>0</v>
      </c>
      <c r="AH283" s="198" t="n">
        <v>0</v>
      </c>
      <c r="AI283" s="198" t="n">
        <v>0</v>
      </c>
      <c r="AJ283" s="198" t="n">
        <v>0</v>
      </c>
      <c r="AK283" s="198" t="n">
        <v>0</v>
      </c>
      <c r="AL283" s="198" t="n">
        <v>0.01</v>
      </c>
      <c r="AM283" s="198" t="n">
        <v>0</v>
      </c>
      <c r="AN283" s="198" t="inlineStr">
        <is>
          <t>LOLO</t>
        </is>
      </c>
    </row>
    <row r="284">
      <c r="A284" s="212">
        <f>A283+1</f>
        <v/>
      </c>
      <c r="B284" s="214" t="inlineStr">
        <is>
          <t>Trucking &amp; Clearance-Im</t>
        </is>
      </c>
      <c r="C284" s="214" t="inlineStr">
        <is>
          <t>BRILLIANT TRANSPORT AND TRADING Co., Ltd.</t>
        </is>
      </c>
      <c r="D284" s="215" t="inlineStr">
        <is>
          <t>K002-100089305</t>
        </is>
      </c>
      <c r="E284" s="290" t="inlineStr">
        <is>
          <t>BTT25-0000514</t>
        </is>
      </c>
      <c r="F284" s="279" t="n">
        <v>45719</v>
      </c>
      <c r="G284" s="216" t="n"/>
      <c r="H284" s="564" t="n"/>
      <c r="I284" s="564" t="n">
        <v>1086981</v>
      </c>
      <c r="J284" s="213" t="inlineStr">
        <is>
          <t>អនុញ្ញាត (បានប្រកាស)</t>
        </is>
      </c>
      <c r="K284" s="213" t="n"/>
      <c r="L284" s="563">
        <f>I284</f>
        <v/>
      </c>
      <c r="M284" s="536">
        <f>I284-L284</f>
        <v/>
      </c>
      <c r="N284" s="213" t="n"/>
      <c r="O284" s="218">
        <f>U284=E284</f>
        <v/>
      </c>
      <c r="P284" s="218">
        <f>MONTH(F284)-MONTH(T284)</f>
        <v/>
      </c>
      <c r="Q284" s="218">
        <f>$B$5=X284</f>
        <v/>
      </c>
      <c r="R284" s="218">
        <f>I284-AD284</f>
        <v/>
      </c>
      <c r="S284" s="298" t="n"/>
      <c r="T284" s="299" t="n">
        <v>45719</v>
      </c>
      <c r="U284" s="298" t="inlineStr">
        <is>
          <t>BTT25-0000514</t>
        </is>
      </c>
      <c r="V284" s="298" t="n">
        <v>0</v>
      </c>
      <c r="W284" s="298" t="inlineStr">
        <is>
          <t>បុគ្គលជាប់អាករ</t>
        </is>
      </c>
      <c r="X284" s="298" t="inlineStr">
        <is>
          <t>L001-901640009</t>
        </is>
      </c>
      <c r="Y284" s="298" t="inlineStr">
        <is>
          <t>ហូលីដេ ឌីហ្សាញ (ខេមបូឌា) ឯ.ក</t>
        </is>
      </c>
      <c r="Z284" s="300" t="n">
        <v>11956791</v>
      </c>
      <c r="AA284" s="300" t="n">
        <v>10869810</v>
      </c>
      <c r="AB284" s="298" t="n">
        <v>0</v>
      </c>
      <c r="AC284" s="298" t="inlineStr">
        <is>
          <t>-</t>
        </is>
      </c>
      <c r="AD284" s="300" t="n">
        <v>1086981</v>
      </c>
      <c r="AE284" s="298" t="n">
        <v>0</v>
      </c>
      <c r="AF284" s="562" t="n">
        <v>0</v>
      </c>
      <c r="AG284" s="198" t="n">
        <v>0</v>
      </c>
      <c r="AH284" s="198" t="n">
        <v>0</v>
      </c>
      <c r="AI284" s="198" t="n">
        <v>0</v>
      </c>
      <c r="AJ284" s="198" t="n">
        <v>0</v>
      </c>
      <c r="AK284" s="198" t="n">
        <v>0</v>
      </c>
      <c r="AL284" s="198" t="n">
        <v>0.01</v>
      </c>
      <c r="AM284" s="198" t="n">
        <v>0</v>
      </c>
      <c r="AN284" s="198" t="inlineStr">
        <is>
          <t>Truking / Service</t>
        </is>
      </c>
    </row>
    <row r="285">
      <c r="A285" s="212">
        <f>A284+1</f>
        <v/>
      </c>
      <c r="B285" s="214" t="inlineStr">
        <is>
          <t>Lift-Off-Ex</t>
        </is>
      </c>
      <c r="C285" s="214" t="inlineStr">
        <is>
          <t>Port Autonome Du Sihanoukville</t>
        </is>
      </c>
      <c r="D285" s="215" t="inlineStr">
        <is>
          <t>L001-100044638</t>
        </is>
      </c>
      <c r="E285" s="290" t="n">
        <v>202500067030</v>
      </c>
      <c r="F285" s="279" t="n">
        <v>45742</v>
      </c>
      <c r="G285" s="216" t="n"/>
      <c r="H285" s="564" t="n"/>
      <c r="I285" s="564" t="n">
        <v>6805</v>
      </c>
      <c r="J285" s="213" t="inlineStr">
        <is>
          <t>អនុញ្ញាត (បានប្រកាស)</t>
        </is>
      </c>
      <c r="K285" s="213" t="n"/>
      <c r="L285" s="563">
        <f>I285</f>
        <v/>
      </c>
      <c r="M285" s="536">
        <f>I285-L285</f>
        <v/>
      </c>
      <c r="N285" s="213" t="n"/>
      <c r="O285" s="218">
        <f>U285=E285</f>
        <v/>
      </c>
      <c r="P285" s="218">
        <f>MONTH(F285)-MONTH(T285)</f>
        <v/>
      </c>
      <c r="Q285" s="218">
        <f>$B$5=X285</f>
        <v/>
      </c>
      <c r="R285" s="218">
        <f>I285-AD285</f>
        <v/>
      </c>
      <c r="S285" s="298" t="n"/>
      <c r="T285" s="299" t="n">
        <v>45744</v>
      </c>
      <c r="U285" s="298" t="n">
        <v>202500067030</v>
      </c>
      <c r="V285" s="298" t="n">
        <v>0</v>
      </c>
      <c r="W285" s="298" t="inlineStr">
        <is>
          <t>បុគ្គលជាប់អាករ</t>
        </is>
      </c>
      <c r="X285" s="298" t="inlineStr">
        <is>
          <t>L001-901640009</t>
        </is>
      </c>
      <c r="Y285" s="298" t="inlineStr">
        <is>
          <t>ហូលីដេ ឌីហ្សាញ (ខេមបូឌា) ឯ.ក</t>
        </is>
      </c>
      <c r="Z285" s="300" t="n">
        <v>74856</v>
      </c>
      <c r="AA285" s="300" t="n">
        <v>68051</v>
      </c>
      <c r="AB285" s="298" t="n">
        <v>0</v>
      </c>
      <c r="AC285" s="298" t="inlineStr">
        <is>
          <t>-</t>
        </is>
      </c>
      <c r="AD285" s="300" t="n">
        <v>6805</v>
      </c>
      <c r="AE285" s="298" t="n">
        <v>0</v>
      </c>
      <c r="AF285" s="562" t="n">
        <v>0</v>
      </c>
      <c r="AG285" s="198" t="n">
        <v>0</v>
      </c>
      <c r="AH285" s="198" t="n">
        <v>0</v>
      </c>
      <c r="AI285" s="198" t="n">
        <v>0</v>
      </c>
      <c r="AJ285" s="198" t="n">
        <v>0</v>
      </c>
      <c r="AK285" s="198" t="n">
        <v>0</v>
      </c>
      <c r="AL285" s="198" t="n">
        <v>0.01</v>
      </c>
      <c r="AM285" s="198" t="n">
        <v>0</v>
      </c>
      <c r="AN285" s="198" t="inlineStr">
        <is>
          <t>Lift-off</t>
        </is>
      </c>
    </row>
    <row r="286">
      <c r="A286" s="212">
        <f>A285+1</f>
        <v/>
      </c>
      <c r="B286" s="214" t="inlineStr">
        <is>
          <t>Trucking &amp; Clearance-Ex</t>
        </is>
      </c>
      <c r="C286" s="214" t="inlineStr">
        <is>
          <t>BRILLIANT TRANSPORT AND TRADING Co., Ltd.</t>
        </is>
      </c>
      <c r="D286" s="215" t="inlineStr">
        <is>
          <t>K002-100089305</t>
        </is>
      </c>
      <c r="E286" s="290" t="inlineStr">
        <is>
          <t>BTT25-0000663</t>
        </is>
      </c>
      <c r="F286" s="279" t="n">
        <v>45744</v>
      </c>
      <c r="G286" s="216" t="n"/>
      <c r="H286" s="564" t="n"/>
      <c r="I286" s="564" t="n">
        <v>195346</v>
      </c>
      <c r="J286" s="213" t="inlineStr">
        <is>
          <t>អនុញ្ញាត (បានប្រកាស)</t>
        </is>
      </c>
      <c r="K286" s="213" t="n"/>
      <c r="L286" s="563">
        <f>I286</f>
        <v/>
      </c>
      <c r="M286" s="536">
        <f>I286-L286</f>
        <v/>
      </c>
      <c r="N286" s="213" t="n"/>
      <c r="O286" s="218">
        <f>U286=E286</f>
        <v/>
      </c>
      <c r="P286" s="218">
        <f>MONTH(F286)-MONTH(T286)</f>
        <v/>
      </c>
      <c r="Q286" s="218">
        <f>$B$5=X286</f>
        <v/>
      </c>
      <c r="R286" s="218">
        <f>I286-AD286</f>
        <v/>
      </c>
      <c r="S286" s="298" t="n"/>
      <c r="T286" s="299" t="n">
        <v>45744</v>
      </c>
      <c r="U286" s="298" t="inlineStr">
        <is>
          <t>BTT25-0000663</t>
        </is>
      </c>
      <c r="V286" s="298" t="n">
        <v>0</v>
      </c>
      <c r="W286" s="298" t="inlineStr">
        <is>
          <t>បុគ្គលជាប់អាករ</t>
        </is>
      </c>
      <c r="X286" s="298" t="inlineStr">
        <is>
          <t>L001-901640009</t>
        </is>
      </c>
      <c r="Y286" s="298" t="inlineStr">
        <is>
          <t>ហូលីដេ ឌីហ្សាញ (ខេមបូឌា) ឯ.ក</t>
        </is>
      </c>
      <c r="Z286" s="300" t="n">
        <v>2148810</v>
      </c>
      <c r="AA286" s="300" t="n">
        <v>1953464</v>
      </c>
      <c r="AB286" s="298" t="n">
        <v>0</v>
      </c>
      <c r="AC286" s="298" t="inlineStr">
        <is>
          <t>-</t>
        </is>
      </c>
      <c r="AD286" s="300" t="n">
        <v>195346</v>
      </c>
      <c r="AE286" s="298" t="n">
        <v>0</v>
      </c>
      <c r="AF286" s="562" t="n">
        <v>0</v>
      </c>
      <c r="AG286" s="198" t="n">
        <v>0</v>
      </c>
      <c r="AH286" s="198" t="n">
        <v>0</v>
      </c>
      <c r="AI286" s="198" t="n">
        <v>0</v>
      </c>
      <c r="AJ286" s="198" t="n">
        <v>0</v>
      </c>
      <c r="AK286" s="198" t="n">
        <v>0</v>
      </c>
      <c r="AL286" s="198" t="n">
        <v>0.01</v>
      </c>
      <c r="AM286" s="198" t="n">
        <v>0</v>
      </c>
      <c r="AN286" s="198" t="inlineStr">
        <is>
          <t>Truking / Service</t>
        </is>
      </c>
    </row>
    <row r="287">
      <c r="A287" s="212">
        <f>A286+1</f>
        <v/>
      </c>
      <c r="B287" s="214" t="inlineStr">
        <is>
          <t>Lift-Off-Ex</t>
        </is>
      </c>
      <c r="C287" s="214" t="inlineStr">
        <is>
          <t>Port Autonome Du Sihanoukville</t>
        </is>
      </c>
      <c r="D287" s="215" t="inlineStr">
        <is>
          <t>L001-100044638</t>
        </is>
      </c>
      <c r="E287" s="290" t="n">
        <v>202500064528</v>
      </c>
      <c r="F287" s="279" t="n">
        <v>45742</v>
      </c>
      <c r="G287" s="216" t="n"/>
      <c r="H287" s="564" t="n"/>
      <c r="I287" s="564" t="n">
        <v>20415</v>
      </c>
      <c r="J287" s="213" t="inlineStr">
        <is>
          <t>អនុញ្ញាត (បានប្រកាស)</t>
        </is>
      </c>
      <c r="K287" s="213" t="n"/>
      <c r="L287" s="563">
        <f>I287</f>
        <v/>
      </c>
      <c r="M287" s="536">
        <f>I287-L287</f>
        <v/>
      </c>
      <c r="N287" s="213" t="n"/>
      <c r="O287" s="218">
        <f>U287=E287</f>
        <v/>
      </c>
      <c r="P287" s="218">
        <f>MONTH(F287)-MONTH(T287)</f>
        <v/>
      </c>
      <c r="Q287" s="218">
        <f>$B$5=X287</f>
        <v/>
      </c>
      <c r="R287" s="218">
        <f>I287-AD287</f>
        <v/>
      </c>
      <c r="S287" s="298" t="n"/>
      <c r="T287" s="299" t="n">
        <v>45742</v>
      </c>
      <c r="U287" s="298" t="n">
        <v>202500064528</v>
      </c>
      <c r="V287" s="298" t="n">
        <v>0</v>
      </c>
      <c r="W287" s="298" t="inlineStr">
        <is>
          <t>បុគ្គលជាប់អាករ</t>
        </is>
      </c>
      <c r="X287" s="298" t="inlineStr">
        <is>
          <t>L001-901640009</t>
        </is>
      </c>
      <c r="Y287" s="298" t="inlineStr">
        <is>
          <t>ហូលីដេ ឌីហ្សាញ (ខេមបូឌា) ឯ.ក</t>
        </is>
      </c>
      <c r="Z287" s="300" t="n">
        <v>224568</v>
      </c>
      <c r="AA287" s="300" t="n">
        <v>204153</v>
      </c>
      <c r="AB287" s="298" t="n">
        <v>0</v>
      </c>
      <c r="AC287" s="298" t="inlineStr">
        <is>
          <t>-</t>
        </is>
      </c>
      <c r="AD287" s="300" t="n">
        <v>20415</v>
      </c>
      <c r="AE287" s="298" t="n">
        <v>0</v>
      </c>
      <c r="AF287" s="562" t="n">
        <v>0</v>
      </c>
      <c r="AG287" s="198" t="n">
        <v>0</v>
      </c>
      <c r="AH287" s="198" t="n">
        <v>0</v>
      </c>
      <c r="AI287" s="198" t="n">
        <v>0</v>
      </c>
      <c r="AJ287" s="198" t="n">
        <v>0</v>
      </c>
      <c r="AK287" s="198" t="n">
        <v>0</v>
      </c>
      <c r="AL287" s="198" t="n">
        <v>0.01</v>
      </c>
      <c r="AM287" s="198" t="n">
        <v>0</v>
      </c>
      <c r="AN287" s="198" t="inlineStr">
        <is>
          <t>Lift-off</t>
        </is>
      </c>
    </row>
    <row r="288">
      <c r="A288" s="212">
        <f>A287+1</f>
        <v/>
      </c>
      <c r="B288" s="214" t="inlineStr">
        <is>
          <t>Trucking &amp; Clearance-Ex</t>
        </is>
      </c>
      <c r="C288" s="214" t="inlineStr">
        <is>
          <t>BRILLIANT TRANSPORT AND TRADING Co., Ltd.</t>
        </is>
      </c>
      <c r="D288" s="215" t="inlineStr">
        <is>
          <t>K002-100089305</t>
        </is>
      </c>
      <c r="E288" s="290" t="inlineStr">
        <is>
          <t>BTT25-0000662</t>
        </is>
      </c>
      <c r="F288" s="279" t="n">
        <v>45744</v>
      </c>
      <c r="G288" s="216" t="n"/>
      <c r="H288" s="564" t="n"/>
      <c r="I288" s="564" t="n">
        <v>235376</v>
      </c>
      <c r="J288" s="213" t="inlineStr">
        <is>
          <t>អនុញ្ញាត (បានប្រកាស)</t>
        </is>
      </c>
      <c r="K288" s="213" t="n"/>
      <c r="L288" s="563">
        <f>I288</f>
        <v/>
      </c>
      <c r="M288" s="536">
        <f>I288-L288</f>
        <v/>
      </c>
      <c r="N288" s="213" t="n"/>
      <c r="O288" s="218">
        <f>U288=E288</f>
        <v/>
      </c>
      <c r="P288" s="218">
        <f>MONTH(F288)-MONTH(T288)</f>
        <v/>
      </c>
      <c r="Q288" s="218">
        <f>$B$5=X288</f>
        <v/>
      </c>
      <c r="R288" s="218">
        <f>I288-AD288</f>
        <v/>
      </c>
      <c r="S288" s="298" t="n"/>
      <c r="T288" s="299" t="n">
        <v>45744</v>
      </c>
      <c r="U288" s="298" t="inlineStr">
        <is>
          <t>BTT25-0000662</t>
        </is>
      </c>
      <c r="V288" s="298" t="n">
        <v>0</v>
      </c>
      <c r="W288" s="298" t="inlineStr">
        <is>
          <t>បុគ្គលជាប់អាករ</t>
        </is>
      </c>
      <c r="X288" s="298" t="inlineStr">
        <is>
          <t>L001-901640009</t>
        </is>
      </c>
      <c r="Y288" s="298" t="inlineStr">
        <is>
          <t>ហូលីដេ ឌីហ្សាញ (ខេមបូឌា) ឯ.ក</t>
        </is>
      </c>
      <c r="Z288" s="300" t="n">
        <v>2589140</v>
      </c>
      <c r="AA288" s="300" t="n">
        <v>2353764</v>
      </c>
      <c r="AB288" s="298" t="n">
        <v>0</v>
      </c>
      <c r="AC288" s="298" t="inlineStr">
        <is>
          <t>-</t>
        </is>
      </c>
      <c r="AD288" s="300" t="n">
        <v>235376</v>
      </c>
      <c r="AE288" s="298" t="n">
        <v>0</v>
      </c>
      <c r="AF288" s="562" t="n">
        <v>0</v>
      </c>
      <c r="AG288" s="198" t="n">
        <v>0</v>
      </c>
      <c r="AH288" s="198" t="n">
        <v>0</v>
      </c>
      <c r="AI288" s="198" t="n">
        <v>0</v>
      </c>
      <c r="AJ288" s="198" t="n">
        <v>0</v>
      </c>
      <c r="AK288" s="198" t="n">
        <v>0</v>
      </c>
      <c r="AL288" s="198" t="n">
        <v>0.01</v>
      </c>
      <c r="AM288" s="198" t="n">
        <v>0</v>
      </c>
      <c r="AN288" s="198" t="inlineStr">
        <is>
          <t>Truking / Service</t>
        </is>
      </c>
    </row>
    <row r="289">
      <c r="A289" s="212">
        <f>A288+1</f>
        <v/>
      </c>
      <c r="B289" s="214" t="inlineStr">
        <is>
          <t>Terminal Handling Service-Im</t>
        </is>
      </c>
      <c r="C289" s="214" t="inlineStr">
        <is>
          <t>MAERSK (CAMBODIA) LTD.</t>
        </is>
      </c>
      <c r="D289" s="215" t="inlineStr">
        <is>
          <t>L001-100045200</t>
        </is>
      </c>
      <c r="E289" s="290" t="n">
        <v>7676088789</v>
      </c>
      <c r="F289" s="279" t="n">
        <v>45622</v>
      </c>
      <c r="G289" s="216" t="n"/>
      <c r="H289" s="564" t="n"/>
      <c r="I289" s="564" t="n">
        <v>997479</v>
      </c>
      <c r="J289" s="213" t="inlineStr">
        <is>
          <t>អនុញ្ញាត (បានប្រកាស)</t>
        </is>
      </c>
      <c r="K289" s="213" t="n"/>
      <c r="L289" s="563">
        <f>I289</f>
        <v/>
      </c>
      <c r="M289" s="536">
        <f>I289-L289</f>
        <v/>
      </c>
      <c r="N289" s="213" t="n"/>
      <c r="O289" s="218">
        <f>U289=E289</f>
        <v/>
      </c>
      <c r="P289" s="218">
        <f>MONTH(F289)-MONTH(T289)</f>
        <v/>
      </c>
      <c r="Q289" s="218">
        <f>$B$5=X289</f>
        <v/>
      </c>
      <c r="R289" s="218">
        <f>I289-AD289</f>
        <v/>
      </c>
      <c r="S289" s="298" t="n"/>
      <c r="T289" s="299" t="n">
        <v>45622</v>
      </c>
      <c r="U289" s="298" t="n">
        <v>7676088789</v>
      </c>
      <c r="V289" s="298" t="n">
        <v>0</v>
      </c>
      <c r="W289" s="298" t="inlineStr">
        <is>
          <t>បុគ្គលជាប់អាករ</t>
        </is>
      </c>
      <c r="X289" s="298" t="inlineStr">
        <is>
          <t>L001-901640009</t>
        </is>
      </c>
      <c r="Y289" s="298" t="inlineStr">
        <is>
          <t>ហូលីដេ ឌីហ្សាញ (ខេមបូឌា) ឯ.ក</t>
        </is>
      </c>
      <c r="Z289" s="300" t="n">
        <v>10972269</v>
      </c>
      <c r="AA289" s="300" t="n">
        <v>9974790</v>
      </c>
      <c r="AB289" s="298" t="n">
        <v>0</v>
      </c>
      <c r="AC289" s="298" t="inlineStr">
        <is>
          <t>-</t>
        </is>
      </c>
      <c r="AD289" s="300" t="n">
        <v>997479</v>
      </c>
      <c r="AE289" s="298" t="n">
        <v>0</v>
      </c>
      <c r="AF289" s="562" t="n">
        <v>0</v>
      </c>
      <c r="AG289" s="198" t="n">
        <v>0</v>
      </c>
      <c r="AH289" s="198" t="n">
        <v>0</v>
      </c>
      <c r="AI289" s="198" t="n">
        <v>0</v>
      </c>
      <c r="AJ289" s="198" t="n">
        <v>0</v>
      </c>
      <c r="AK289" s="198" t="n">
        <v>0</v>
      </c>
      <c r="AL289" s="198" t="n">
        <v>0.01</v>
      </c>
      <c r="AM289" s="198" t="n">
        <v>0</v>
      </c>
      <c r="AN289" s="198" t="inlineStr">
        <is>
          <t>CP1 CONTAINER PROTECT ESSENTIAL</t>
        </is>
      </c>
      <c r="AO289" s="198" t="inlineStr">
        <is>
          <t>បានប្រកាសនិងបង់ពន្ធ</t>
        </is>
      </c>
    </row>
    <row r="290">
      <c r="A290" s="212">
        <f>A289+1</f>
        <v/>
      </c>
      <c r="B290" s="214" t="inlineStr">
        <is>
          <t>Terminal Handling Service-Im</t>
        </is>
      </c>
      <c r="C290" s="214" t="inlineStr">
        <is>
          <t>MAERSK (CAMBODIA) LTD.</t>
        </is>
      </c>
      <c r="D290" s="215" t="inlineStr">
        <is>
          <t>L001-100045200</t>
        </is>
      </c>
      <c r="E290" s="290" t="n">
        <v>7676089412</v>
      </c>
      <c r="F290" s="279" t="n">
        <v>45623</v>
      </c>
      <c r="G290" s="216" t="n"/>
      <c r="H290" s="564" t="n"/>
      <c r="I290" s="564" t="n">
        <v>219308</v>
      </c>
      <c r="J290" s="213" t="inlineStr">
        <is>
          <t>អនុញ្ញាត (បានប្រកាស)</t>
        </is>
      </c>
      <c r="K290" s="213" t="n"/>
      <c r="L290" s="563">
        <f>I290</f>
        <v/>
      </c>
      <c r="M290" s="536">
        <f>I290-L290</f>
        <v/>
      </c>
      <c r="N290" s="213" t="n"/>
      <c r="O290" s="218">
        <f>U290=E290</f>
        <v/>
      </c>
      <c r="P290" s="218">
        <f>MONTH(F290)-MONTH(T290)</f>
        <v/>
      </c>
      <c r="Q290" s="218">
        <f>$B$5=X290</f>
        <v/>
      </c>
      <c r="R290" s="218">
        <f>I290-AD290</f>
        <v/>
      </c>
      <c r="S290" s="298" t="n"/>
      <c r="T290" s="299" t="n">
        <v>45623</v>
      </c>
      <c r="U290" s="298" t="n">
        <v>7676089412</v>
      </c>
      <c r="V290" s="298" t="n">
        <v>0</v>
      </c>
      <c r="W290" s="298" t="inlineStr">
        <is>
          <t>បុគ្គលជាប់អាករ</t>
        </is>
      </c>
      <c r="X290" s="298" t="inlineStr">
        <is>
          <t>L001-901640009</t>
        </is>
      </c>
      <c r="Y290" s="298" t="inlineStr">
        <is>
          <t>ហូលីដេ ឌីហ្សាញ (ខេមបូឌា) ឯ.ក</t>
        </is>
      </c>
      <c r="Z290" s="300" t="n">
        <v>2412388</v>
      </c>
      <c r="AA290" s="300" t="n">
        <v>2193080</v>
      </c>
      <c r="AB290" s="298" t="n">
        <v>0</v>
      </c>
      <c r="AC290" s="298" t="inlineStr">
        <is>
          <t>-</t>
        </is>
      </c>
      <c r="AD290" s="300" t="n">
        <v>219308</v>
      </c>
      <c r="AE290" s="298" t="n">
        <v>0</v>
      </c>
      <c r="AF290" s="562" t="n">
        <v>0</v>
      </c>
      <c r="AG290" s="198" t="n">
        <v>0</v>
      </c>
      <c r="AH290" s="198" t="n">
        <v>0</v>
      </c>
      <c r="AI290" s="198" t="n">
        <v>0</v>
      </c>
      <c r="AJ290" s="198" t="n">
        <v>0</v>
      </c>
      <c r="AK290" s="198" t="n">
        <v>0</v>
      </c>
      <c r="AL290" s="198" t="n">
        <v>0.01</v>
      </c>
      <c r="AM290" s="198" t="n">
        <v>0</v>
      </c>
      <c r="AN290" s="198" t="inlineStr">
        <is>
          <t>CP1 CONTAINER PROTECT ESSENTIAL</t>
        </is>
      </c>
      <c r="AO290" s="198" t="inlineStr">
        <is>
          <t>បានប្រកាសនិងបង់ពន្ធ</t>
        </is>
      </c>
    </row>
    <row r="291">
      <c r="A291" s="212">
        <f>A290+1</f>
        <v/>
      </c>
      <c r="B291" s="214" t="inlineStr">
        <is>
          <t>Terminal Handling Service-Im</t>
        </is>
      </c>
      <c r="C291" s="214" t="inlineStr">
        <is>
          <t>MAERSK (CAMBODIA) LTD.</t>
        </is>
      </c>
      <c r="D291" s="215" t="inlineStr">
        <is>
          <t>L001-100045200</t>
        </is>
      </c>
      <c r="E291" s="290" t="n">
        <v>7676096256</v>
      </c>
      <c r="F291" s="279" t="n">
        <v>45650</v>
      </c>
      <c r="G291" s="216" t="n"/>
      <c r="H291" s="564" t="n"/>
      <c r="I291" s="564" t="n">
        <v>1973329</v>
      </c>
      <c r="J291" s="213" t="inlineStr">
        <is>
          <t>អនុញ្ញាត (បានប្រកាស)</t>
        </is>
      </c>
      <c r="K291" s="213" t="n"/>
      <c r="L291" s="563">
        <f>I291</f>
        <v/>
      </c>
      <c r="M291" s="536">
        <f>I291-L291</f>
        <v/>
      </c>
      <c r="N291" s="213" t="n"/>
      <c r="O291" s="218">
        <f>U291=E291</f>
        <v/>
      </c>
      <c r="P291" s="218">
        <f>MONTH(F291)-MONTH(T291)</f>
        <v/>
      </c>
      <c r="Q291" s="218">
        <f>$B$5=X291</f>
        <v/>
      </c>
      <c r="R291" s="218">
        <f>I291-AD291</f>
        <v/>
      </c>
      <c r="S291" s="298" t="n"/>
      <c r="T291" s="299" t="n">
        <v>45650</v>
      </c>
      <c r="U291" s="298" t="n">
        <v>7676096256</v>
      </c>
      <c r="V291" s="298" t="n">
        <v>0</v>
      </c>
      <c r="W291" s="298" t="inlineStr">
        <is>
          <t>បុគ្គលជាប់អាករ</t>
        </is>
      </c>
      <c r="X291" s="298" t="inlineStr">
        <is>
          <t>L001-901640009</t>
        </is>
      </c>
      <c r="Y291" s="298" t="inlineStr">
        <is>
          <t>ហូលីដេ ឌីហ្សាញ (ខេមបូឌា) ឯ.ក</t>
        </is>
      </c>
      <c r="Z291" s="300" t="n">
        <v>21706619</v>
      </c>
      <c r="AA291" s="300" t="n">
        <v>19733290</v>
      </c>
      <c r="AB291" s="298" t="n">
        <v>0</v>
      </c>
      <c r="AC291" s="298" t="inlineStr">
        <is>
          <t>-</t>
        </is>
      </c>
      <c r="AD291" s="300" t="n">
        <v>1973329</v>
      </c>
      <c r="AE291" s="298" t="n">
        <v>0</v>
      </c>
      <c r="AF291" s="562" t="n">
        <v>0</v>
      </c>
      <c r="AG291" s="198" t="n">
        <v>0</v>
      </c>
      <c r="AH291" s="198" t="n">
        <v>0</v>
      </c>
      <c r="AI291" s="198" t="n">
        <v>0</v>
      </c>
      <c r="AJ291" s="198" t="n">
        <v>0</v>
      </c>
      <c r="AK291" s="198" t="n">
        <v>0</v>
      </c>
      <c r="AL291" s="198" t="n">
        <v>0.01</v>
      </c>
      <c r="AM291" s="198" t="n">
        <v>0</v>
      </c>
      <c r="AN291" s="198" t="inlineStr">
        <is>
          <t>CP1 CONTAINER PROTECT ESSENTIAL</t>
        </is>
      </c>
      <c r="AO291" s="198" t="inlineStr">
        <is>
          <t>បានប្រកាសនិងបង់ពន្ធ</t>
        </is>
      </c>
    </row>
    <row r="292">
      <c r="A292" s="212">
        <f>A291+1</f>
        <v/>
      </c>
      <c r="B292" s="214" t="inlineStr">
        <is>
          <t>Terminal Handling Service-Im</t>
        </is>
      </c>
      <c r="C292" s="214" t="inlineStr">
        <is>
          <t>MAERSK (CAMBODIA) LTD.</t>
        </is>
      </c>
      <c r="D292" s="215" t="inlineStr">
        <is>
          <t>L001-100045200</t>
        </is>
      </c>
      <c r="E292" s="290" t="n">
        <v>7676094852</v>
      </c>
      <c r="F292" s="279" t="n">
        <v>45645</v>
      </c>
      <c r="G292" s="216" t="n"/>
      <c r="H292" s="564" t="n"/>
      <c r="I292" s="564" t="n">
        <v>651402</v>
      </c>
      <c r="J292" s="213" t="inlineStr">
        <is>
          <t>អនុញ្ញាត (បានប្រកាស)</t>
        </is>
      </c>
      <c r="K292" s="213" t="n"/>
      <c r="L292" s="563">
        <f>I292</f>
        <v/>
      </c>
      <c r="M292" s="536">
        <f>I292-L292</f>
        <v/>
      </c>
      <c r="N292" s="213" t="n"/>
      <c r="O292" s="218">
        <f>U292=E292</f>
        <v/>
      </c>
      <c r="P292" s="218">
        <f>MONTH(F292)-MONTH(T292)</f>
        <v/>
      </c>
      <c r="Q292" s="218">
        <f>$B$5=X292</f>
        <v/>
      </c>
      <c r="R292" s="218">
        <f>I292-AD292</f>
        <v/>
      </c>
      <c r="S292" s="298" t="n"/>
      <c r="T292" s="299" t="n">
        <v>45645</v>
      </c>
      <c r="U292" s="298" t="n">
        <v>7676094852</v>
      </c>
      <c r="V292" s="298" t="n">
        <v>0</v>
      </c>
      <c r="W292" s="298" t="inlineStr">
        <is>
          <t>បុគ្គលជាប់អាករ</t>
        </is>
      </c>
      <c r="X292" s="298" t="inlineStr">
        <is>
          <t>L001-901640009</t>
        </is>
      </c>
      <c r="Y292" s="298" t="inlineStr">
        <is>
          <t>ហូលីដេ ឌីហ្សាញ (ខេមបូឌា) ឯ.ក</t>
        </is>
      </c>
      <c r="Z292" s="300" t="n">
        <v>7165422</v>
      </c>
      <c r="AA292" s="300" t="n">
        <v>6514020</v>
      </c>
      <c r="AB292" s="298" t="n">
        <v>0</v>
      </c>
      <c r="AC292" s="298" t="inlineStr">
        <is>
          <t>-</t>
        </is>
      </c>
      <c r="AD292" s="300" t="n">
        <v>651402</v>
      </c>
      <c r="AE292" s="298" t="n">
        <v>0</v>
      </c>
      <c r="AF292" s="562" t="n">
        <v>0</v>
      </c>
      <c r="AG292" s="198" t="n">
        <v>0</v>
      </c>
      <c r="AH292" s="198" t="n">
        <v>0</v>
      </c>
      <c r="AI292" s="198" t="n">
        <v>0</v>
      </c>
      <c r="AJ292" s="198" t="n">
        <v>0</v>
      </c>
      <c r="AK292" s="198" t="n">
        <v>0</v>
      </c>
      <c r="AL292" s="198" t="n">
        <v>0.01</v>
      </c>
      <c r="AM292" s="198" t="n">
        <v>0</v>
      </c>
      <c r="AN292" s="198" t="inlineStr">
        <is>
          <t>CP1 CONTAINER PROTECT ESSENTIAL</t>
        </is>
      </c>
      <c r="AO292" s="198" t="inlineStr">
        <is>
          <t>បានប្រកាសនិងបង់ពន្ធ</t>
        </is>
      </c>
    </row>
    <row r="293">
      <c r="A293" s="212">
        <f>A292+1</f>
        <v/>
      </c>
      <c r="B293" s="214" t="inlineStr">
        <is>
          <t>Terminal Handling Service-Im</t>
        </is>
      </c>
      <c r="C293" s="214" t="inlineStr">
        <is>
          <t>MAERSK (CAMBODIA) LTD.</t>
        </is>
      </c>
      <c r="D293" s="215" t="inlineStr">
        <is>
          <t>L001-100045200</t>
        </is>
      </c>
      <c r="E293" s="290" t="n">
        <v>7676091192</v>
      </c>
      <c r="F293" s="279" t="n">
        <v>45630</v>
      </c>
      <c r="G293" s="216" t="n"/>
      <c r="H293" s="564" t="n"/>
      <c r="I293" s="564" t="n">
        <v>1001455</v>
      </c>
      <c r="J293" s="213" t="inlineStr">
        <is>
          <t>អនុញ្ញាត (បានប្រកាស)</t>
        </is>
      </c>
      <c r="K293" s="213" t="n"/>
      <c r="L293" s="563">
        <f>I293</f>
        <v/>
      </c>
      <c r="M293" s="536">
        <f>I293-L293</f>
        <v/>
      </c>
      <c r="N293" s="213" t="n"/>
      <c r="O293" s="218">
        <f>U293=E293</f>
        <v/>
      </c>
      <c r="P293" s="218">
        <f>MONTH(F293)-MONTH(T293)</f>
        <v/>
      </c>
      <c r="Q293" s="218">
        <f>$B$5=X293</f>
        <v/>
      </c>
      <c r="R293" s="218">
        <f>I293-AD293</f>
        <v/>
      </c>
      <c r="S293" s="298" t="inlineStr">
        <is>
          <t>មិនបានប្រកាស</t>
        </is>
      </c>
      <c r="T293" s="299" t="n">
        <v>45630</v>
      </c>
      <c r="U293" s="298" t="n">
        <v>7676091192</v>
      </c>
      <c r="V293" s="298" t="n">
        <v>0</v>
      </c>
      <c r="W293" s="298" t="inlineStr">
        <is>
          <t>បុគ្គលជាប់អាករ</t>
        </is>
      </c>
      <c r="X293" s="298" t="inlineStr">
        <is>
          <t>L001-901640009</t>
        </is>
      </c>
      <c r="Y293" s="298" t="inlineStr">
        <is>
          <t>ហូលីដេ ឌីហ្សាញ (ខេមបូឌា) ឯ.ក</t>
        </is>
      </c>
      <c r="Z293" s="300" t="n">
        <v>11016005</v>
      </c>
      <c r="AA293" s="300" t="n">
        <v>10014550</v>
      </c>
      <c r="AB293" s="298" t="n">
        <v>0</v>
      </c>
      <c r="AC293" s="298" t="inlineStr">
        <is>
          <t>-</t>
        </is>
      </c>
      <c r="AD293" s="300" t="n">
        <v>1001455</v>
      </c>
      <c r="AE293" s="298" t="n">
        <v>0</v>
      </c>
      <c r="AF293" s="562" t="n">
        <v>0</v>
      </c>
      <c r="AG293" s="198" t="n">
        <v>0</v>
      </c>
      <c r="AH293" s="198" t="n">
        <v>0</v>
      </c>
      <c r="AI293" s="198" t="n">
        <v>0</v>
      </c>
      <c r="AJ293" s="198" t="n">
        <v>0</v>
      </c>
      <c r="AK293" s="198" t="n">
        <v>0</v>
      </c>
      <c r="AL293" s="198" t="n">
        <v>0.01</v>
      </c>
      <c r="AM293" s="198" t="n">
        <v>0</v>
      </c>
      <c r="AN293" s="198" t="inlineStr">
        <is>
          <t>CP1 CONTAINER PROTECT ESSENTIAL</t>
        </is>
      </c>
      <c r="AO293" s="198" t="inlineStr">
        <is>
          <t>បានប្រកាសនិងបង់ពន្ធ</t>
        </is>
      </c>
    </row>
    <row r="294">
      <c r="A294" s="212">
        <f>A293+1</f>
        <v/>
      </c>
      <c r="B294" s="214" t="inlineStr">
        <is>
          <t>Terminal Handling Service-Im</t>
        </is>
      </c>
      <c r="C294" s="214" t="inlineStr">
        <is>
          <t>MAERSK (CAMBODIA) LTD.</t>
        </is>
      </c>
      <c r="D294" s="215" t="inlineStr">
        <is>
          <t>L001-100045200</t>
        </is>
      </c>
      <c r="E294" s="290" t="n">
        <v>7676113070</v>
      </c>
      <c r="F294" s="279" t="n">
        <v>45715</v>
      </c>
      <c r="G294" s="216" t="n"/>
      <c r="H294" s="564" t="n"/>
      <c r="I294" s="564" t="n">
        <v>996485</v>
      </c>
      <c r="J294" s="213" t="inlineStr">
        <is>
          <t>អនុញ្ញាត (បានប្រកាស)</t>
        </is>
      </c>
      <c r="K294" s="213" t="n"/>
      <c r="L294" s="563">
        <f>I294</f>
        <v/>
      </c>
      <c r="M294" s="536">
        <f>I294-L294</f>
        <v/>
      </c>
      <c r="N294" s="213" t="n"/>
      <c r="O294" s="218">
        <f>U294=E294</f>
        <v/>
      </c>
      <c r="P294" s="218">
        <f>MONTH(F294)-MONTH(T294)</f>
        <v/>
      </c>
      <c r="Q294" s="218">
        <f>$B$5=X294</f>
        <v/>
      </c>
      <c r="R294" s="218">
        <f>I294-AD294</f>
        <v/>
      </c>
      <c r="S294" s="298" t="inlineStr">
        <is>
          <t>មិនបានប្រកាស</t>
        </is>
      </c>
      <c r="T294" s="299" t="n">
        <v>45715</v>
      </c>
      <c r="U294" s="298" t="n">
        <v>7676113070</v>
      </c>
      <c r="V294" s="298" t="n">
        <v>0</v>
      </c>
      <c r="W294" s="298" t="inlineStr">
        <is>
          <t>បុគ្គលជាប់អាករ</t>
        </is>
      </c>
      <c r="X294" s="298" t="inlineStr">
        <is>
          <t>L001-901640009</t>
        </is>
      </c>
      <c r="Y294" s="298" t="inlineStr">
        <is>
          <t>ហូលីដេ ឌីហ្សាញ (ខេមបូឌា) ឯ.ក</t>
        </is>
      </c>
      <c r="Z294" s="300" t="n">
        <v>10961335</v>
      </c>
      <c r="AA294" s="300" t="n">
        <v>9964850</v>
      </c>
      <c r="AB294" s="298" t="n">
        <v>0</v>
      </c>
      <c r="AC294" s="298" t="inlineStr">
        <is>
          <t>-</t>
        </is>
      </c>
      <c r="AD294" s="300" t="n">
        <v>996485</v>
      </c>
      <c r="AE294" s="298" t="n">
        <v>0</v>
      </c>
      <c r="AF294" s="562" t="n">
        <v>0</v>
      </c>
      <c r="AG294" s="198" t="n">
        <v>0</v>
      </c>
      <c r="AH294" s="198" t="n">
        <v>0</v>
      </c>
      <c r="AI294" s="198" t="n">
        <v>0</v>
      </c>
      <c r="AJ294" s="198" t="n">
        <v>0</v>
      </c>
      <c r="AK294" s="198" t="n">
        <v>0</v>
      </c>
      <c r="AL294" s="198" t="n">
        <v>0.01</v>
      </c>
      <c r="AM294" s="198" t="n">
        <v>0</v>
      </c>
      <c r="AN294" s="198" t="inlineStr">
        <is>
          <t>CP1 CONTAINER PROTECT ESSENTIAL</t>
        </is>
      </c>
      <c r="AO294" s="198" t="inlineStr">
        <is>
          <t>បានប្រកាសនិងបង់ពន្ធ</t>
        </is>
      </c>
    </row>
    <row r="295">
      <c r="A295" s="212">
        <f>A294+1</f>
        <v/>
      </c>
      <c r="B295" s="214" t="inlineStr">
        <is>
          <t>Terminal Handling Charge</t>
        </is>
      </c>
      <c r="C295" s="214" t="inlineStr">
        <is>
          <t>MAERSK (CAMBODIA) LTD.</t>
        </is>
      </c>
      <c r="D295" s="215" t="inlineStr">
        <is>
          <t>L001-100045200</t>
        </is>
      </c>
      <c r="E295" s="290" t="n">
        <v>7676127588</v>
      </c>
      <c r="F295" s="279" t="n">
        <v>45774</v>
      </c>
      <c r="G295" s="216" t="n"/>
      <c r="H295" s="564" t="n"/>
      <c r="I295" s="564" t="n">
        <v>994746</v>
      </c>
      <c r="J295" s="213" t="inlineStr">
        <is>
          <t>អនុញ្ញាត (បានប្រកាស)</t>
        </is>
      </c>
      <c r="K295" s="213" t="n"/>
      <c r="L295" s="563">
        <f>I295</f>
        <v/>
      </c>
      <c r="M295" s="536">
        <f>I295-L295</f>
        <v/>
      </c>
      <c r="N295" s="213" t="n"/>
      <c r="O295" s="218">
        <f>U295=E295</f>
        <v/>
      </c>
      <c r="P295" s="218">
        <f>MONTH(F295)-MONTH(T295)</f>
        <v/>
      </c>
      <c r="Q295" s="218">
        <f>$B$5=X295</f>
        <v/>
      </c>
      <c r="R295" s="218">
        <f>I295-AD295</f>
        <v/>
      </c>
      <c r="S295" s="298" t="n"/>
      <c r="T295" s="299" t="n">
        <v>45774</v>
      </c>
      <c r="U295" s="298" t="n">
        <v>7676127588</v>
      </c>
      <c r="V295" s="298" t="n">
        <v>0</v>
      </c>
      <c r="W295" s="298" t="inlineStr">
        <is>
          <t>បុគ្គលជាប់អាករ</t>
        </is>
      </c>
      <c r="X295" s="298" t="inlineStr">
        <is>
          <t>L001-901640009</t>
        </is>
      </c>
      <c r="Y295" s="298" t="inlineStr">
        <is>
          <t>ហូលីដេ ឌីហ្សាញ (ខេមបូឌា) ឯ.ក</t>
        </is>
      </c>
      <c r="Z295" s="300" t="n">
        <v>10942201</v>
      </c>
      <c r="AA295" s="300" t="n">
        <v>9947455</v>
      </c>
      <c r="AB295" s="298" t="n">
        <v>0</v>
      </c>
      <c r="AC295" s="298" t="inlineStr">
        <is>
          <t>-</t>
        </is>
      </c>
      <c r="AD295" s="300" t="n">
        <v>994746</v>
      </c>
      <c r="AE295" s="298" t="n">
        <v>0</v>
      </c>
      <c r="AF295" s="562" t="n">
        <v>0</v>
      </c>
      <c r="AG295" s="198" t="n">
        <v>0</v>
      </c>
      <c r="AH295" s="198" t="n">
        <v>0</v>
      </c>
      <c r="AI295" s="198" t="n">
        <v>0</v>
      </c>
      <c r="AJ295" s="198" t="n">
        <v>0</v>
      </c>
      <c r="AK295" s="198" t="n">
        <v>0</v>
      </c>
      <c r="AL295" s="198" t="n">
        <v>0.01</v>
      </c>
      <c r="AM295" s="198" t="n">
        <v>0</v>
      </c>
      <c r="AN295" s="198" t="inlineStr">
        <is>
          <t>CP1 CONTAINER PROTECT ESSENTIAL</t>
        </is>
      </c>
      <c r="AO295" s="198" t="inlineStr">
        <is>
          <t>បានប្រកាសនិងបង់ពន្ធ</t>
        </is>
      </c>
    </row>
    <row r="296">
      <c r="A296" s="212">
        <f>A295+1</f>
        <v/>
      </c>
      <c r="B296" s="214" t="inlineStr">
        <is>
          <t>Terminal Handling Charge</t>
        </is>
      </c>
      <c r="C296" s="214" t="inlineStr">
        <is>
          <t>MAERSK (CAMBODIA) LTD.</t>
        </is>
      </c>
      <c r="D296" s="215" t="inlineStr">
        <is>
          <t>L001-100045200</t>
        </is>
      </c>
      <c r="E296" s="290" t="n">
        <v>7676127556</v>
      </c>
      <c r="F296" s="279" t="n">
        <v>45774</v>
      </c>
      <c r="G296" s="216" t="n"/>
      <c r="H296" s="564" t="n"/>
      <c r="I296" s="564" t="n">
        <v>1965473</v>
      </c>
      <c r="J296" s="213" t="inlineStr">
        <is>
          <t>អនុញ្ញាត (បានប្រកាស)</t>
        </is>
      </c>
      <c r="K296" s="213" t="n"/>
      <c r="L296" s="563">
        <f>I296</f>
        <v/>
      </c>
      <c r="M296" s="536">
        <f>I296-L296</f>
        <v/>
      </c>
      <c r="N296" s="213" t="n"/>
      <c r="O296" s="218">
        <f>U296=E296</f>
        <v/>
      </c>
      <c r="P296" s="218">
        <f>MONTH(F296)-MONTH(T296)</f>
        <v/>
      </c>
      <c r="Q296" s="218">
        <f>$B$5=X296</f>
        <v/>
      </c>
      <c r="R296" s="218">
        <f>I296-AD296</f>
        <v/>
      </c>
      <c r="S296" s="298" t="n"/>
      <c r="T296" s="299" t="n">
        <v>45774</v>
      </c>
      <c r="U296" s="298" t="n">
        <v>7676127556</v>
      </c>
      <c r="V296" s="298" t="n">
        <v>0</v>
      </c>
      <c r="W296" s="298" t="inlineStr">
        <is>
          <t>បុគ្គលជាប់អាករ</t>
        </is>
      </c>
      <c r="X296" s="298" t="inlineStr">
        <is>
          <t>L001-901640009</t>
        </is>
      </c>
      <c r="Y296" s="298" t="inlineStr">
        <is>
          <t>ហូលីដេ ឌីហ្សាញ (ខេមបូឌា) ឯ.ក</t>
        </is>
      </c>
      <c r="Z296" s="300" t="n">
        <v>21620203</v>
      </c>
      <c r="AA296" s="300" t="n">
        <v>19654730</v>
      </c>
      <c r="AB296" s="298" t="n">
        <v>0</v>
      </c>
      <c r="AC296" s="298" t="inlineStr">
        <is>
          <t>-</t>
        </is>
      </c>
      <c r="AD296" s="300" t="n">
        <v>1965473</v>
      </c>
      <c r="AE296" s="298" t="n">
        <v>0</v>
      </c>
      <c r="AF296" s="562" t="n">
        <v>0</v>
      </c>
      <c r="AG296" s="198" t="n">
        <v>0</v>
      </c>
      <c r="AH296" s="198" t="n">
        <v>0</v>
      </c>
      <c r="AI296" s="198" t="n">
        <v>0</v>
      </c>
      <c r="AJ296" s="198" t="n">
        <v>0</v>
      </c>
      <c r="AK296" s="198" t="n">
        <v>0</v>
      </c>
      <c r="AL296" s="198" t="n">
        <v>0.01</v>
      </c>
      <c r="AM296" s="198" t="n">
        <v>0</v>
      </c>
      <c r="AN296" s="198" t="inlineStr">
        <is>
          <t>CP1 CONTAINER PROTECT ESSENTIAL</t>
        </is>
      </c>
      <c r="AO296" s="198" t="inlineStr">
        <is>
          <t>បានប្រកាសនិងបង់ពន្ធ</t>
        </is>
      </c>
    </row>
    <row r="297">
      <c r="A297" s="212">
        <f>A296+1</f>
        <v/>
      </c>
      <c r="B297" s="214" t="inlineStr">
        <is>
          <t>Terminal Handling Charge-Im</t>
        </is>
      </c>
      <c r="C297" s="214" t="inlineStr">
        <is>
          <t>MAERSK (CAMBODIA) LTD.</t>
        </is>
      </c>
      <c r="D297" s="215" t="inlineStr">
        <is>
          <t>L001-100045200</t>
        </is>
      </c>
      <c r="E297" s="290" t="n">
        <v>7676136178</v>
      </c>
      <c r="F297" s="279" t="n">
        <v>45803</v>
      </c>
      <c r="G297" s="216" t="n"/>
      <c r="H297" s="564" t="n"/>
      <c r="I297" s="564" t="n">
        <v>2741370</v>
      </c>
      <c r="J297" s="213" t="inlineStr">
        <is>
          <t>អនុញ្ញាត (បានប្រកាស)</t>
        </is>
      </c>
      <c r="K297" s="213" t="n"/>
      <c r="L297" s="563">
        <f>I297</f>
        <v/>
      </c>
      <c r="M297" s="536">
        <f>I297-L297</f>
        <v/>
      </c>
      <c r="N297" s="213" t="n"/>
      <c r="O297" s="218">
        <f>U297=E297</f>
        <v/>
      </c>
      <c r="P297" s="218">
        <f>MONTH(F297)-MONTH(T297)</f>
        <v/>
      </c>
      <c r="Q297" s="218">
        <f>$B$5=X297</f>
        <v/>
      </c>
      <c r="R297" s="218">
        <f>I297-AD297</f>
        <v/>
      </c>
      <c r="S297" s="298" t="n"/>
      <c r="T297" s="299" t="n">
        <v>45803</v>
      </c>
      <c r="U297" s="298" t="n">
        <v>7676136178</v>
      </c>
      <c r="V297" s="298" t="n">
        <v>0</v>
      </c>
      <c r="W297" s="298" t="inlineStr">
        <is>
          <t>បុគ្គលជាប់អាករ</t>
        </is>
      </c>
      <c r="X297" s="298" t="inlineStr">
        <is>
          <t>L001-901640009</t>
        </is>
      </c>
      <c r="Y297" s="298" t="inlineStr">
        <is>
          <t>ហូលីដេ ឌីហ្សាញ (ខេមបូឌា) ឯ.ក</t>
        </is>
      </c>
      <c r="Z297" s="300" t="n">
        <v>30155070</v>
      </c>
      <c r="AA297" s="300" t="n">
        <v>27413700</v>
      </c>
      <c r="AB297" s="298" t="n">
        <v>0</v>
      </c>
      <c r="AC297" s="298" t="inlineStr">
        <is>
          <t>-</t>
        </is>
      </c>
      <c r="AD297" s="300" t="n">
        <v>2741370</v>
      </c>
      <c r="AE297" s="298" t="n">
        <v>0</v>
      </c>
      <c r="AF297" s="562" t="n">
        <v>0</v>
      </c>
      <c r="AG297" s="198" t="n">
        <v>0</v>
      </c>
      <c r="AH297" s="198" t="n">
        <v>0</v>
      </c>
      <c r="AI297" s="198" t="n">
        <v>0</v>
      </c>
      <c r="AJ297" s="198" t="n">
        <v>0</v>
      </c>
      <c r="AK297" s="198" t="n">
        <v>0</v>
      </c>
      <c r="AL297" s="198" t="n">
        <v>0.01</v>
      </c>
      <c r="AM297" s="198" t="n">
        <v>0</v>
      </c>
      <c r="AN297" s="198" t="inlineStr">
        <is>
          <t>CP1 CONTAINER PROTECT ESSENTIAL</t>
        </is>
      </c>
      <c r="AO297" s="198" t="inlineStr">
        <is>
          <t>បានប្រកាសនិងបង់ពន្ធ</t>
        </is>
      </c>
    </row>
    <row r="298">
      <c r="A298" s="212">
        <f>A297+1</f>
        <v/>
      </c>
      <c r="B298" s="214" t="inlineStr">
        <is>
          <t>Toyota Hiace 2025</t>
        </is>
      </c>
      <c r="C298" s="214" t="inlineStr">
        <is>
          <t>TOYOTA (CAMBODIA) CO., LTD.</t>
        </is>
      </c>
      <c r="D298" s="215" t="inlineStr">
        <is>
          <t>L001-100049648</t>
        </is>
      </c>
      <c r="E298" s="290" t="inlineStr">
        <is>
          <t>HQTI-00271</t>
        </is>
      </c>
      <c r="F298" s="279" t="n">
        <v>45776</v>
      </c>
      <c r="G298" s="216" t="n"/>
      <c r="H298" s="564" t="n"/>
      <c r="I298" s="564" t="n">
        <v>23617700</v>
      </c>
      <c r="J298" s="213" t="inlineStr">
        <is>
          <t>អនុញ្ញាត (បានប្រកាស)</t>
        </is>
      </c>
      <c r="K298" s="213" t="n"/>
      <c r="L298" s="563">
        <f>I298</f>
        <v/>
      </c>
      <c r="M298" s="536">
        <f>I298-L298</f>
        <v/>
      </c>
      <c r="N298" s="213" t="inlineStr">
        <is>
          <t>បានពិនិត្យវិក្កយបត្រ</t>
        </is>
      </c>
      <c r="O298" s="218">
        <f>U298=E298</f>
        <v/>
      </c>
      <c r="P298" s="218">
        <f>MONTH(F298)-MONTH(T298)</f>
        <v/>
      </c>
      <c r="Q298" s="218">
        <f>$B$5=X298</f>
        <v/>
      </c>
      <c r="R298" s="218">
        <f>I298-AD298</f>
        <v/>
      </c>
      <c r="S298" s="298" t="n"/>
      <c r="T298" s="299" t="n">
        <v>45776</v>
      </c>
      <c r="U298" s="298" t="inlineStr">
        <is>
          <t>HQTI-00271</t>
        </is>
      </c>
      <c r="V298" s="298" t="n">
        <v>0</v>
      </c>
      <c r="W298" s="298" t="inlineStr">
        <is>
          <t>បុគ្គលជាប់អាករ</t>
        </is>
      </c>
      <c r="X298" s="298" t="inlineStr">
        <is>
          <t>L001-901640009</t>
        </is>
      </c>
      <c r="Y298" s="298" t="inlineStr">
        <is>
          <t>ហូលីដេ ឌីហ្សាញ (ខេមបូឌា) ឯ.ក</t>
        </is>
      </c>
      <c r="Z298" s="300" t="n">
        <v>259794700</v>
      </c>
      <c r="AA298" s="300" t="n">
        <v>236177000</v>
      </c>
      <c r="AB298" s="298" t="n">
        <v>0</v>
      </c>
      <c r="AC298" s="298" t="inlineStr">
        <is>
          <t>-</t>
        </is>
      </c>
      <c r="AD298" s="300" t="n">
        <v>23617700</v>
      </c>
      <c r="AE298" s="298" t="n">
        <v>0</v>
      </c>
      <c r="AF298" s="562" t="n">
        <v>0</v>
      </c>
      <c r="AG298" s="198" t="n">
        <v>0</v>
      </c>
      <c r="AH298" s="198" t="n">
        <v>0</v>
      </c>
      <c r="AI298" s="198" t="n">
        <v>0</v>
      </c>
      <c r="AJ298" s="198" t="n">
        <v>0</v>
      </c>
      <c r="AK298" s="198" t="n">
        <v>0</v>
      </c>
      <c r="AL298" s="198" t="n">
        <v>0.01</v>
      </c>
      <c r="AM298" s="198" t="n">
        <v>0</v>
      </c>
      <c r="AN298" s="198" t="inlineStr">
        <is>
          <t>Sale New CAR - WHS-DFL-2024/12-000029</t>
        </is>
      </c>
      <c r="AO298" s="198" t="inlineStr">
        <is>
          <t>បានប្រកាសនិងបង់ពន្ធ</t>
        </is>
      </c>
    </row>
    <row r="299">
      <c r="A299" s="212">
        <f>A298+1</f>
        <v/>
      </c>
      <c r="B299" s="214" t="inlineStr">
        <is>
          <t>THC, Doc, EMF, CIC Fee-Im</t>
        </is>
      </c>
      <c r="C299" s="214" t="inlineStr">
        <is>
          <t>KERRY LOGISTICS (CAMBODIA) PTE. LTD.</t>
        </is>
      </c>
      <c r="D299" s="215" t="inlineStr">
        <is>
          <t>L001-100074669</t>
        </is>
      </c>
      <c r="E299" s="290" t="inlineStr">
        <is>
          <t>IVO20152</t>
        </is>
      </c>
      <c r="F299" s="279" t="n">
        <v>45649</v>
      </c>
      <c r="G299" s="216" t="n"/>
      <c r="H299" s="564" t="n"/>
      <c r="I299" s="564" t="n">
        <v>1790910</v>
      </c>
      <c r="J299" s="213" t="inlineStr">
        <is>
          <t>អនុញ្ញាត (បានប្រកាស)</t>
        </is>
      </c>
      <c r="K299" s="213" t="n"/>
      <c r="L299" s="563">
        <f>I299</f>
        <v/>
      </c>
      <c r="M299" s="536">
        <f>I299-L299</f>
        <v/>
      </c>
      <c r="N299" s="213" t="n"/>
      <c r="O299" s="218">
        <f>U299=E299</f>
        <v/>
      </c>
      <c r="P299" s="218">
        <f>MONTH(F299)-MONTH(T299)</f>
        <v/>
      </c>
      <c r="Q299" s="218">
        <f>$B$5=X299</f>
        <v/>
      </c>
      <c r="R299" s="218">
        <f>I299-AD299</f>
        <v/>
      </c>
      <c r="S299" s="298" t="n"/>
      <c r="T299" s="299" t="n">
        <v>45649</v>
      </c>
      <c r="U299" s="298" t="inlineStr">
        <is>
          <t>IVO20152</t>
        </is>
      </c>
      <c r="V299" s="298" t="n">
        <v>0</v>
      </c>
      <c r="W299" s="298" t="inlineStr">
        <is>
          <t>បុគ្គលជាប់អាករ</t>
        </is>
      </c>
      <c r="X299" s="298" t="inlineStr">
        <is>
          <t>L001-901640009</t>
        </is>
      </c>
      <c r="Y299" s="298" t="inlineStr">
        <is>
          <t>ហូលីដេ ឌីហ្សាញ (ខេមបូឌា) ឯ.ក</t>
        </is>
      </c>
      <c r="Z299" s="300" t="n">
        <v>19700010</v>
      </c>
      <c r="AA299" s="300" t="n">
        <v>17909100</v>
      </c>
      <c r="AB299" s="298" t="n">
        <v>0</v>
      </c>
      <c r="AC299" s="298" t="inlineStr">
        <is>
          <t>-</t>
        </is>
      </c>
      <c r="AD299" s="300" t="n">
        <v>1790910</v>
      </c>
      <c r="AE299" s="298" t="n">
        <v>0</v>
      </c>
      <c r="AF299" s="562" t="n">
        <v>0</v>
      </c>
      <c r="AG299" s="198" t="n">
        <v>0</v>
      </c>
      <c r="AH299" s="198" t="n">
        <v>0</v>
      </c>
      <c r="AI299" s="198" t="n">
        <v>0</v>
      </c>
      <c r="AJ299" s="198" t="n">
        <v>0</v>
      </c>
      <c r="AK299" s="198" t="n">
        <v>0</v>
      </c>
      <c r="AL299" s="198" t="n">
        <v>0.01</v>
      </c>
      <c r="AM299" s="198" t="n">
        <v>0</v>
      </c>
      <c r="AN299" s="198" t="inlineStr">
        <is>
          <t>នាំចូលទំនិញតាមផ្លូវទឹក</t>
        </is>
      </c>
      <c r="AO299" s="198" t="inlineStr">
        <is>
          <t>បានប្រកាសនិងបង់ពន្ធ</t>
        </is>
      </c>
    </row>
    <row r="300">
      <c r="A300" s="212">
        <f>A299+1</f>
        <v/>
      </c>
      <c r="B300" s="214" t="inlineStr">
        <is>
          <t>THC, Doc, EMF, CIC Fee-Im</t>
        </is>
      </c>
      <c r="C300" s="214" t="inlineStr">
        <is>
          <t>KERRY LOGISTICS (CAMBODIA) PTE. LTD.</t>
        </is>
      </c>
      <c r="D300" s="215" t="inlineStr">
        <is>
          <t>L001-100074669</t>
        </is>
      </c>
      <c r="E300" s="290" t="inlineStr">
        <is>
          <t>IVP00411</t>
        </is>
      </c>
      <c r="F300" s="279" t="n">
        <v>45667</v>
      </c>
      <c r="G300" s="216" t="n"/>
      <c r="H300" s="564" t="n"/>
      <c r="I300" s="564" t="n">
        <v>1800711</v>
      </c>
      <c r="J300" s="213" t="inlineStr">
        <is>
          <t>អនុញ្ញាត (បានប្រកាស)</t>
        </is>
      </c>
      <c r="K300" s="213" t="n"/>
      <c r="L300" s="563">
        <f>I300</f>
        <v/>
      </c>
      <c r="M300" s="536">
        <f>I300-L300</f>
        <v/>
      </c>
      <c r="N300" s="213" t="n"/>
      <c r="O300" s="218">
        <f>U300=E300</f>
        <v/>
      </c>
      <c r="P300" s="218">
        <f>MONTH(F300)-MONTH(T300)</f>
        <v/>
      </c>
      <c r="Q300" s="218">
        <f>$B$5=X300</f>
        <v/>
      </c>
      <c r="R300" s="218">
        <f>I300-AD300</f>
        <v/>
      </c>
      <c r="S300" s="298" t="n"/>
      <c r="T300" s="299" t="n">
        <v>45667</v>
      </c>
      <c r="U300" s="298" t="inlineStr">
        <is>
          <t>IVP00411</t>
        </is>
      </c>
      <c r="V300" s="298" t="n">
        <v>0</v>
      </c>
      <c r="W300" s="298" t="inlineStr">
        <is>
          <t>បុគ្គលជាប់អាករ</t>
        </is>
      </c>
      <c r="X300" s="298" t="inlineStr">
        <is>
          <t>L001-901640009</t>
        </is>
      </c>
      <c r="Y300" s="298" t="inlineStr">
        <is>
          <t>ហូលីដេ ឌីហ្សាញ (ខេមបូឌា) ឯ.ក</t>
        </is>
      </c>
      <c r="Z300" s="300" t="n">
        <v>19807821</v>
      </c>
      <c r="AA300" s="300" t="n">
        <v>18007110</v>
      </c>
      <c r="AB300" s="298" t="n">
        <v>0</v>
      </c>
      <c r="AC300" s="298" t="inlineStr">
        <is>
          <t>-</t>
        </is>
      </c>
      <c r="AD300" s="300" t="n">
        <v>1800711</v>
      </c>
      <c r="AE300" s="298" t="n">
        <v>0</v>
      </c>
      <c r="AF300" s="562" t="n">
        <v>0</v>
      </c>
      <c r="AG300" s="198" t="n">
        <v>0</v>
      </c>
      <c r="AH300" s="198" t="n">
        <v>0</v>
      </c>
      <c r="AI300" s="198" t="n">
        <v>0</v>
      </c>
      <c r="AJ300" s="198" t="n">
        <v>0</v>
      </c>
      <c r="AK300" s="198" t="n">
        <v>0</v>
      </c>
      <c r="AL300" s="198" t="n">
        <v>0.01</v>
      </c>
      <c r="AM300" s="198" t="n">
        <v>0</v>
      </c>
      <c r="AN300" s="198" t="inlineStr">
        <is>
          <t>នាំចូលទំនិញតាមផ្លូវទឹក</t>
        </is>
      </c>
      <c r="AO300" s="198" t="inlineStr">
        <is>
          <t>បានប្រកាសនិងបង់ពន្ធ</t>
        </is>
      </c>
    </row>
    <row r="301">
      <c r="A301" s="212">
        <f>A300+1</f>
        <v/>
      </c>
      <c r="B301" s="214" t="inlineStr">
        <is>
          <t>THC, Doc, EMF, CIC Fee-Im</t>
        </is>
      </c>
      <c r="C301" s="214" t="inlineStr">
        <is>
          <t>KERRY LOGISTICS (CAMBODIA) PTE. LTD.</t>
        </is>
      </c>
      <c r="D301" s="215" t="inlineStr">
        <is>
          <t>L001-100074669</t>
        </is>
      </c>
      <c r="E301" s="290" t="inlineStr">
        <is>
          <t>IVP00210</t>
        </is>
      </c>
      <c r="F301" s="279" t="n">
        <v>45667</v>
      </c>
      <c r="G301" s="216" t="n"/>
      <c r="H301" s="564" t="n"/>
      <c r="I301" s="564" t="n">
        <v>1800711</v>
      </c>
      <c r="J301" s="213" t="inlineStr">
        <is>
          <t>អនុញ្ញាត (បានប្រកាស)</t>
        </is>
      </c>
      <c r="K301" s="213" t="n"/>
      <c r="L301" s="563">
        <f>I301</f>
        <v/>
      </c>
      <c r="M301" s="536">
        <f>I301-L301</f>
        <v/>
      </c>
      <c r="N301" s="213" t="n"/>
      <c r="O301" s="218">
        <f>U301=E301</f>
        <v/>
      </c>
      <c r="P301" s="218">
        <f>MONTH(F301)-MONTH(T301)</f>
        <v/>
      </c>
      <c r="Q301" s="218">
        <f>$B$5=X301</f>
        <v/>
      </c>
      <c r="R301" s="218">
        <f>I301-AD301</f>
        <v/>
      </c>
      <c r="S301" s="298" t="n"/>
      <c r="T301" s="299" t="n">
        <v>45667</v>
      </c>
      <c r="U301" s="298" t="inlineStr">
        <is>
          <t>IVP00210</t>
        </is>
      </c>
      <c r="V301" s="298" t="n">
        <v>0</v>
      </c>
      <c r="W301" s="298" t="inlineStr">
        <is>
          <t>បុគ្គលជាប់អាករ</t>
        </is>
      </c>
      <c r="X301" s="298" t="inlineStr">
        <is>
          <t>L001-901640009</t>
        </is>
      </c>
      <c r="Y301" s="298" t="inlineStr">
        <is>
          <t>ហូលីដេ ឌីហ្សាញ (ខេមបូឌា) ឯ.ក</t>
        </is>
      </c>
      <c r="Z301" s="300" t="n">
        <v>19807821</v>
      </c>
      <c r="AA301" s="300" t="n">
        <v>18007110</v>
      </c>
      <c r="AB301" s="298" t="n">
        <v>0</v>
      </c>
      <c r="AC301" s="298" t="inlineStr">
        <is>
          <t>-</t>
        </is>
      </c>
      <c r="AD301" s="300" t="n">
        <v>1800711</v>
      </c>
      <c r="AE301" s="298" t="n">
        <v>0</v>
      </c>
      <c r="AF301" s="562" t="n">
        <v>0</v>
      </c>
      <c r="AG301" s="198" t="n">
        <v>0</v>
      </c>
      <c r="AH301" s="198" t="n">
        <v>0</v>
      </c>
      <c r="AI301" s="198" t="n">
        <v>0</v>
      </c>
      <c r="AJ301" s="198" t="n">
        <v>0</v>
      </c>
      <c r="AK301" s="198" t="n">
        <v>0</v>
      </c>
      <c r="AL301" s="198" t="n">
        <v>0.01</v>
      </c>
      <c r="AM301" s="198" t="n">
        <v>0</v>
      </c>
      <c r="AN301" s="198" t="inlineStr">
        <is>
          <t>នាំចូលទំនិញតាមផ្លូវទឹក</t>
        </is>
      </c>
      <c r="AO301" s="198" t="inlineStr">
        <is>
          <t>បានប្រកាសនិងបង់ពន្ធ</t>
        </is>
      </c>
    </row>
    <row r="302">
      <c r="A302" s="212">
        <f>A301+1</f>
        <v/>
      </c>
      <c r="B302" s="214" t="inlineStr">
        <is>
          <t>Lift-On &amp; Lift-On-Im</t>
        </is>
      </c>
      <c r="C302" s="214" t="inlineStr">
        <is>
          <t>Port Autonome Du Sihanoukville</t>
        </is>
      </c>
      <c r="D302" s="215" t="inlineStr">
        <is>
          <t>L001-100044638</t>
        </is>
      </c>
      <c r="E302" s="290" t="n">
        <v>202500095405</v>
      </c>
      <c r="F302" s="279" t="n">
        <v>45776</v>
      </c>
      <c r="G302" s="216" t="n"/>
      <c r="H302" s="564" t="n"/>
      <c r="I302" s="564" t="n">
        <v>182537</v>
      </c>
      <c r="J302" s="213" t="inlineStr">
        <is>
          <t>អនុញ្ញាត (បានប្រកាស)</t>
        </is>
      </c>
      <c r="K302" s="213" t="n"/>
      <c r="L302" s="563">
        <f>I302</f>
        <v/>
      </c>
      <c r="M302" s="536">
        <f>I302-L302</f>
        <v/>
      </c>
      <c r="N302" s="213" t="n"/>
      <c r="O302" s="218">
        <f>U302=E302</f>
        <v/>
      </c>
      <c r="P302" s="218">
        <f>MONTH(F302)-MONTH(T302)</f>
        <v/>
      </c>
      <c r="Q302" s="218">
        <f>$B$5=X302</f>
        <v/>
      </c>
      <c r="R302" s="218">
        <f>I302-AD302</f>
        <v/>
      </c>
      <c r="S302" s="298" t="n"/>
      <c r="T302" s="299" t="n">
        <v>45776</v>
      </c>
      <c r="U302" s="298" t="n">
        <v>202500095405</v>
      </c>
      <c r="V302" s="298" t="n">
        <v>0</v>
      </c>
      <c r="W302" s="298" t="inlineStr">
        <is>
          <t>បុគ្គលជាប់អាករ</t>
        </is>
      </c>
      <c r="X302" s="298" t="inlineStr">
        <is>
          <t>L001-901640009</t>
        </is>
      </c>
      <c r="Y302" s="298" t="inlineStr">
        <is>
          <t>ហូលីដេ ឌីហ្សាញ (ខេមបូឌា) ឯ.ក</t>
        </is>
      </c>
      <c r="Z302" s="300" t="n">
        <v>2007905</v>
      </c>
      <c r="AA302" s="300" t="n">
        <v>1825368</v>
      </c>
      <c r="AB302" s="298" t="n">
        <v>0</v>
      </c>
      <c r="AC302" s="298" t="inlineStr">
        <is>
          <t>-</t>
        </is>
      </c>
      <c r="AD302" s="300" t="n">
        <v>182537</v>
      </c>
      <c r="AE302" s="298" t="n">
        <v>0</v>
      </c>
      <c r="AF302" s="562" t="n">
        <v>0</v>
      </c>
      <c r="AG302" s="198" t="n">
        <v>0</v>
      </c>
      <c r="AH302" s="198" t="n">
        <v>0</v>
      </c>
      <c r="AI302" s="198" t="n">
        <v>0</v>
      </c>
      <c r="AJ302" s="198" t="n">
        <v>0</v>
      </c>
      <c r="AK302" s="198" t="n">
        <v>0</v>
      </c>
      <c r="AL302" s="198" t="n">
        <v>0.01</v>
      </c>
      <c r="AM302" s="198" t="n">
        <v>0</v>
      </c>
      <c r="AN302" s="198" t="inlineStr">
        <is>
          <t>LOLO</t>
        </is>
      </c>
    </row>
    <row r="303">
      <c r="A303" s="212">
        <f>A302+1</f>
        <v/>
      </c>
      <c r="B303" s="214" t="inlineStr">
        <is>
          <t>THC, Doc, EMF, CIC Fee-Im</t>
        </is>
      </c>
      <c r="C303" s="214" t="inlineStr">
        <is>
          <t>KERRY LOGISTICS (CAMBODIA) PTE. LTD.</t>
        </is>
      </c>
      <c r="D303" s="215" t="inlineStr">
        <is>
          <t>L001-100074669</t>
        </is>
      </c>
      <c r="E303" s="290" t="inlineStr">
        <is>
          <t>IVP02766</t>
        </is>
      </c>
      <c r="F303" s="279" t="n">
        <v>45705</v>
      </c>
      <c r="G303" s="216" t="n"/>
      <c r="H303" s="564" t="n"/>
      <c r="I303" s="564" t="n">
        <v>1784228</v>
      </c>
      <c r="J303" s="213" t="inlineStr">
        <is>
          <t>អនុញ្ញាត (បានប្រកាស)</t>
        </is>
      </c>
      <c r="K303" s="565">
        <f>L303</f>
        <v/>
      </c>
      <c r="L303" s="563">
        <f>AD303</f>
        <v/>
      </c>
      <c r="M303" s="536">
        <f>I303-L303</f>
        <v/>
      </c>
      <c r="N303" s="213" t="n"/>
      <c r="O303" s="218">
        <f>U303=E303</f>
        <v/>
      </c>
      <c r="P303" s="218">
        <f>MONTH(F303)-MONTH(T303)</f>
        <v/>
      </c>
      <c r="Q303" s="218">
        <f>$B$5=X303</f>
        <v/>
      </c>
      <c r="R303" s="218">
        <f>I303-AD303</f>
        <v/>
      </c>
      <c r="S303" s="298" t="n"/>
      <c r="T303" s="299" t="n">
        <v>45705</v>
      </c>
      <c r="U303" s="298" t="inlineStr">
        <is>
          <t>IVP02766</t>
        </is>
      </c>
      <c r="V303" s="298" t="n">
        <v>0</v>
      </c>
      <c r="W303" s="298" t="inlineStr">
        <is>
          <t>បុគ្គលជាប់អាករ</t>
        </is>
      </c>
      <c r="X303" s="298" t="inlineStr">
        <is>
          <t>L001-901640009</t>
        </is>
      </c>
      <c r="Y303" s="298" t="inlineStr">
        <is>
          <t>ហូលីដេ ឌីហ្សាញ (ខេមបូឌា) ឯ.ក</t>
        </is>
      </c>
      <c r="Z303" s="300" t="n">
        <v>19626502</v>
      </c>
      <c r="AA303" s="300" t="n">
        <v>17842275</v>
      </c>
      <c r="AB303" s="298" t="n">
        <v>0</v>
      </c>
      <c r="AC303" s="298" t="inlineStr">
        <is>
          <t>-</t>
        </is>
      </c>
      <c r="AD303" s="300" t="n">
        <v>1784227</v>
      </c>
      <c r="AE303" s="298" t="n">
        <v>0</v>
      </c>
      <c r="AF303" s="562" t="n">
        <v>0</v>
      </c>
      <c r="AG303" s="198" t="n">
        <v>0</v>
      </c>
      <c r="AH303" s="198" t="n">
        <v>0</v>
      </c>
      <c r="AI303" s="198" t="n">
        <v>0</v>
      </c>
      <c r="AJ303" s="198" t="n">
        <v>0</v>
      </c>
      <c r="AK303" s="198" t="n">
        <v>0</v>
      </c>
      <c r="AL303" s="198" t="n">
        <v>0.01</v>
      </c>
      <c r="AM303" s="198" t="n">
        <v>0</v>
      </c>
      <c r="AN303" s="198" t="inlineStr">
        <is>
          <t>នាំចូលទំនិញតាមផ្លូវទឹក</t>
        </is>
      </c>
      <c r="AO303" s="198" t="inlineStr">
        <is>
          <t>បានប្រកាសនិងបង់ពន្ធ</t>
        </is>
      </c>
    </row>
    <row r="304">
      <c r="A304" s="212">
        <f>A303+1</f>
        <v/>
      </c>
      <c r="B304" s="214" t="inlineStr">
        <is>
          <t>THC, Doc, EMF, CIC Fee-Im</t>
        </is>
      </c>
      <c r="C304" s="214" t="inlineStr">
        <is>
          <t>KERRY LOGISTICS (CAMBODIA) PTE. LTD.</t>
        </is>
      </c>
      <c r="D304" s="215" t="inlineStr">
        <is>
          <t>L001-100074669</t>
        </is>
      </c>
      <c r="E304" s="290" t="inlineStr">
        <is>
          <t>IVP04437</t>
        </is>
      </c>
      <c r="F304" s="279" t="n">
        <v>45735</v>
      </c>
      <c r="G304" s="216" t="n"/>
      <c r="H304" s="564" t="n"/>
      <c r="I304" s="564" t="n">
        <v>1785564</v>
      </c>
      <c r="J304" s="213" t="inlineStr">
        <is>
          <t>អនុញ្ញាត (បានប្រកាស)</t>
        </is>
      </c>
      <c r="K304" s="213" t="n"/>
      <c r="L304" s="563">
        <f>I304</f>
        <v/>
      </c>
      <c r="M304" s="536">
        <f>I304-L304</f>
        <v/>
      </c>
      <c r="N304" s="213" t="n"/>
      <c r="O304" s="218">
        <f>U304=E304</f>
        <v/>
      </c>
      <c r="P304" s="218">
        <f>MONTH(F304)-MONTH(T304)</f>
        <v/>
      </c>
      <c r="Q304" s="218">
        <f>$B$5=X304</f>
        <v/>
      </c>
      <c r="R304" s="218">
        <f>I304-AD304</f>
        <v/>
      </c>
      <c r="S304" s="298" t="n"/>
      <c r="T304" s="299" t="n">
        <v>45735</v>
      </c>
      <c r="U304" s="298" t="inlineStr">
        <is>
          <t>IVP04437</t>
        </is>
      </c>
      <c r="V304" s="298" t="n">
        <v>0</v>
      </c>
      <c r="W304" s="298" t="inlineStr">
        <is>
          <t>បុគ្គលជាប់អាករ</t>
        </is>
      </c>
      <c r="X304" s="298" t="inlineStr">
        <is>
          <t>L001-901640009</t>
        </is>
      </c>
      <c r="Y304" s="298" t="inlineStr">
        <is>
          <t>ហូលីដេ ឌីហ្សាញ (ខេមបូឌា) ឯ.ក</t>
        </is>
      </c>
      <c r="Z304" s="300" t="n">
        <v>19641204</v>
      </c>
      <c r="AA304" s="300" t="n">
        <v>17855640</v>
      </c>
      <c r="AB304" s="298" t="n">
        <v>0</v>
      </c>
      <c r="AC304" s="298" t="inlineStr">
        <is>
          <t>-</t>
        </is>
      </c>
      <c r="AD304" s="300" t="n">
        <v>1785564</v>
      </c>
      <c r="AE304" s="298" t="n">
        <v>0</v>
      </c>
      <c r="AF304" s="562" t="n">
        <v>0</v>
      </c>
      <c r="AG304" s="198" t="n">
        <v>0</v>
      </c>
      <c r="AH304" s="198" t="n">
        <v>0</v>
      </c>
      <c r="AI304" s="198" t="n">
        <v>0</v>
      </c>
      <c r="AJ304" s="198" t="n">
        <v>0</v>
      </c>
      <c r="AK304" s="198" t="n">
        <v>0</v>
      </c>
      <c r="AL304" s="198" t="n">
        <v>0.01</v>
      </c>
      <c r="AM304" s="198" t="n">
        <v>0</v>
      </c>
      <c r="AN304" s="198" t="inlineStr">
        <is>
          <t>នាំចូលទំនិញតាមផ្លូវទឹក</t>
        </is>
      </c>
      <c r="AO304" s="198" t="inlineStr">
        <is>
          <t>បានប្រកាសនិងបង់ពន្ធ</t>
        </is>
      </c>
    </row>
    <row r="305">
      <c r="A305" s="212">
        <f>A304+1</f>
        <v/>
      </c>
      <c r="B305" s="214" t="inlineStr">
        <is>
          <t>THC, Doc, EMF, CIC Fee-Im</t>
        </is>
      </c>
      <c r="C305" s="214" t="inlineStr">
        <is>
          <t>KERRY LOGISTICS (CAMBODIA) PTE. LTD.</t>
        </is>
      </c>
      <c r="D305" s="215" t="inlineStr">
        <is>
          <t>L001-100074669</t>
        </is>
      </c>
      <c r="E305" s="290" t="inlineStr">
        <is>
          <t>IVP03489</t>
        </is>
      </c>
      <c r="F305" s="279" t="n">
        <v>45720</v>
      </c>
      <c r="G305" s="216" t="n"/>
      <c r="H305" s="564" t="n"/>
      <c r="I305" s="564" t="n">
        <v>904030</v>
      </c>
      <c r="J305" s="213" t="inlineStr">
        <is>
          <t>អនុញ្ញាត (បានប្រកាស)</t>
        </is>
      </c>
      <c r="K305" s="565">
        <f>L305</f>
        <v/>
      </c>
      <c r="L305" s="563">
        <f>AD305</f>
        <v/>
      </c>
      <c r="M305" s="536">
        <f>I305-L305</f>
        <v/>
      </c>
      <c r="N305" s="213" t="n"/>
      <c r="O305" s="218">
        <f>U305=E305</f>
        <v/>
      </c>
      <c r="P305" s="218">
        <f>MONTH(F305)-MONTH(T305)</f>
        <v/>
      </c>
      <c r="Q305" s="218">
        <f>$B$5=X305</f>
        <v/>
      </c>
      <c r="R305" s="218">
        <f>I305-AD305</f>
        <v/>
      </c>
      <c r="S305" s="298" t="n"/>
      <c r="T305" s="299" t="n">
        <v>45720</v>
      </c>
      <c r="U305" s="298" t="inlineStr">
        <is>
          <t>IVP03489</t>
        </is>
      </c>
      <c r="V305" s="298" t="n">
        <v>0</v>
      </c>
      <c r="W305" s="298" t="inlineStr">
        <is>
          <t>បុគ្គលជាប់អាករ</t>
        </is>
      </c>
      <c r="X305" s="298" t="inlineStr">
        <is>
          <t>L001-901640009</t>
        </is>
      </c>
      <c r="Y305" s="298" t="inlineStr">
        <is>
          <t>ហូលីដេ ឌីហ្សាញ (ខេមបូឌា) ឯ.ក</t>
        </is>
      </c>
      <c r="Z305" s="300" t="n">
        <v>9944324</v>
      </c>
      <c r="AA305" s="300" t="n">
        <v>9040295</v>
      </c>
      <c r="AB305" s="298" t="n">
        <v>0</v>
      </c>
      <c r="AC305" s="298" t="inlineStr">
        <is>
          <t>-</t>
        </is>
      </c>
      <c r="AD305" s="300" t="n">
        <v>904029</v>
      </c>
      <c r="AE305" s="298" t="n">
        <v>0</v>
      </c>
      <c r="AF305" s="562" t="n">
        <v>0</v>
      </c>
      <c r="AG305" s="198" t="n">
        <v>0</v>
      </c>
      <c r="AH305" s="198" t="n">
        <v>0</v>
      </c>
      <c r="AI305" s="198" t="n">
        <v>0</v>
      </c>
      <c r="AJ305" s="198" t="n">
        <v>0</v>
      </c>
      <c r="AK305" s="198" t="n">
        <v>0</v>
      </c>
      <c r="AL305" s="198" t="n">
        <v>0.01</v>
      </c>
      <c r="AM305" s="198" t="n">
        <v>0</v>
      </c>
      <c r="AN305" s="198" t="inlineStr">
        <is>
          <t>នាំចូលទំនិញតាមផ្លូវទឹក</t>
        </is>
      </c>
      <c r="AO305" s="198" t="inlineStr">
        <is>
          <t>បានប្រកាសនិងបង់ពន្ធ</t>
        </is>
      </c>
    </row>
    <row r="306">
      <c r="A306" s="212">
        <f>A305+1</f>
        <v/>
      </c>
      <c r="B306" s="214" t="inlineStr">
        <is>
          <t>Lift-On &amp; Lift-On-Im</t>
        </is>
      </c>
      <c r="C306" s="214" t="inlineStr">
        <is>
          <t>Port Autonome Du Sihanoukville</t>
        </is>
      </c>
      <c r="D306" s="215" t="inlineStr">
        <is>
          <t>L001-100044638</t>
        </is>
      </c>
      <c r="E306" s="290" t="n">
        <v>202500096098</v>
      </c>
      <c r="F306" s="279" t="n">
        <v>45776</v>
      </c>
      <c r="G306" s="216" t="n"/>
      <c r="H306" s="564" t="n"/>
      <c r="I306" s="564" t="n">
        <v>174131</v>
      </c>
      <c r="J306" s="213" t="inlineStr">
        <is>
          <t>អនុញ្ញាត (បានប្រកាស)</t>
        </is>
      </c>
      <c r="K306" s="213" t="n"/>
      <c r="L306" s="563">
        <f>I306</f>
        <v/>
      </c>
      <c r="M306" s="536">
        <f>I306-L306</f>
        <v/>
      </c>
      <c r="N306" s="213" t="n"/>
      <c r="O306" s="218">
        <f>U306=E306</f>
        <v/>
      </c>
      <c r="P306" s="218">
        <f>MONTH(F306)-MONTH(T306)</f>
        <v/>
      </c>
      <c r="Q306" s="218">
        <f>$B$5=X306</f>
        <v/>
      </c>
      <c r="R306" s="218">
        <f>I306-AD306</f>
        <v/>
      </c>
      <c r="S306" s="298" t="n"/>
      <c r="T306" s="299" t="n">
        <v>45776</v>
      </c>
      <c r="U306" s="298" t="n">
        <v>202500096098</v>
      </c>
      <c r="V306" s="298" t="n">
        <v>0</v>
      </c>
      <c r="W306" s="298" t="inlineStr">
        <is>
          <t>បុគ្គលជាប់អាករ</t>
        </is>
      </c>
      <c r="X306" s="298" t="inlineStr">
        <is>
          <t>L001-901640009</t>
        </is>
      </c>
      <c r="Y306" s="298" t="inlineStr">
        <is>
          <t>ហូលីដេ ឌីហ្សាញ (ខេមបូឌា) ឯ.ក</t>
        </is>
      </c>
      <c r="Z306" s="300" t="n">
        <v>1915436</v>
      </c>
      <c r="AA306" s="300" t="n">
        <v>1741305</v>
      </c>
      <c r="AB306" s="298" t="n">
        <v>0</v>
      </c>
      <c r="AC306" s="298" t="inlineStr">
        <is>
          <t>-</t>
        </is>
      </c>
      <c r="AD306" s="300" t="n">
        <v>174131</v>
      </c>
      <c r="AE306" s="298" t="n">
        <v>0</v>
      </c>
      <c r="AF306" s="562" t="n">
        <v>0</v>
      </c>
      <c r="AG306" s="198" t="n">
        <v>0</v>
      </c>
      <c r="AH306" s="198" t="n">
        <v>0</v>
      </c>
      <c r="AI306" s="198" t="n">
        <v>0</v>
      </c>
      <c r="AJ306" s="198" t="n">
        <v>0</v>
      </c>
      <c r="AK306" s="198" t="n">
        <v>0</v>
      </c>
      <c r="AL306" s="198" t="n">
        <v>0.01</v>
      </c>
      <c r="AM306" s="198" t="n">
        <v>0</v>
      </c>
      <c r="AN306" s="198" t="inlineStr">
        <is>
          <t>LOLO</t>
        </is>
      </c>
    </row>
    <row r="307">
      <c r="A307" s="212">
        <f>A306+1</f>
        <v/>
      </c>
      <c r="B307" s="214" t="inlineStr">
        <is>
          <t>THC, Doc, EMF, CIC Fee-Im</t>
        </is>
      </c>
      <c r="C307" s="214" t="inlineStr">
        <is>
          <t>KERRY LOGISTICS (CAMBODIA) PTE. LTD.</t>
        </is>
      </c>
      <c r="D307" s="215" t="inlineStr">
        <is>
          <t>L001-100074669</t>
        </is>
      </c>
      <c r="E307" s="290" t="inlineStr">
        <is>
          <t>IVP05325</t>
        </is>
      </c>
      <c r="F307" s="279" t="n">
        <v>45751</v>
      </c>
      <c r="G307" s="216" t="n"/>
      <c r="H307" s="564" t="n"/>
      <c r="I307" s="564" t="n">
        <v>902677</v>
      </c>
      <c r="J307" s="213" t="inlineStr">
        <is>
          <t>អនុញ្ញាត (បានប្រកាស)</t>
        </is>
      </c>
      <c r="K307" s="213" t="n"/>
      <c r="L307" s="563">
        <f>I307</f>
        <v/>
      </c>
      <c r="M307" s="536">
        <f>I307-L307</f>
        <v/>
      </c>
      <c r="N307" s="213" t="n"/>
      <c r="O307" s="218">
        <f>U307=E307</f>
        <v/>
      </c>
      <c r="P307" s="218">
        <f>MONTH(F307)-MONTH(T307)</f>
        <v/>
      </c>
      <c r="Q307" s="218">
        <f>$B$5=X307</f>
        <v/>
      </c>
      <c r="R307" s="218">
        <f>I307-AD307</f>
        <v/>
      </c>
      <c r="S307" s="298" t="n"/>
      <c r="T307" s="299" t="n">
        <v>45751</v>
      </c>
      <c r="U307" s="298" t="inlineStr">
        <is>
          <t>IVP05325</t>
        </is>
      </c>
      <c r="V307" s="298" t="n">
        <v>0</v>
      </c>
      <c r="W307" s="298" t="inlineStr">
        <is>
          <t>បុគ្គលជាប់អាករ</t>
        </is>
      </c>
      <c r="X307" s="298" t="inlineStr">
        <is>
          <t>L001-901640009</t>
        </is>
      </c>
      <c r="Y307" s="298" t="inlineStr">
        <is>
          <t>ហូលីដេ ឌីហ្សាញ (ខេមបូឌា) ឯ.ក</t>
        </is>
      </c>
      <c r="Z307" s="300" t="n">
        <v>9929442</v>
      </c>
      <c r="AA307" s="300" t="n">
        <v>9026765</v>
      </c>
      <c r="AB307" s="298" t="n">
        <v>0</v>
      </c>
      <c r="AC307" s="298" t="inlineStr">
        <is>
          <t>-</t>
        </is>
      </c>
      <c r="AD307" s="300" t="n">
        <v>902677</v>
      </c>
      <c r="AE307" s="298" t="n">
        <v>0</v>
      </c>
      <c r="AF307" s="562" t="n">
        <v>0</v>
      </c>
      <c r="AG307" s="198" t="n">
        <v>0</v>
      </c>
      <c r="AH307" s="198" t="n">
        <v>0</v>
      </c>
      <c r="AI307" s="198" t="n">
        <v>0</v>
      </c>
      <c r="AJ307" s="198" t="n">
        <v>0</v>
      </c>
      <c r="AK307" s="198" t="n">
        <v>0</v>
      </c>
      <c r="AL307" s="198" t="n">
        <v>0.01</v>
      </c>
      <c r="AM307" s="198" t="n">
        <v>0</v>
      </c>
      <c r="AN307" s="198" t="inlineStr">
        <is>
          <t>នាំចូលទំនិញតាមផ្លូវទឹក</t>
        </is>
      </c>
      <c r="AO307" s="198" t="inlineStr">
        <is>
          <t>បានប្រកាសនិងបង់ពន្ធ</t>
        </is>
      </c>
    </row>
    <row r="308">
      <c r="A308" s="212">
        <f>A307+1</f>
        <v/>
      </c>
      <c r="B308" s="214" t="inlineStr">
        <is>
          <t>Trucking &amp; Clearance-Im</t>
        </is>
      </c>
      <c r="C308" s="214" t="inlineStr">
        <is>
          <t>BRILLIANT TRANSPORT AND TRADING Co., Ltd.</t>
        </is>
      </c>
      <c r="D308" s="215" t="inlineStr">
        <is>
          <t>K002-100089305</t>
        </is>
      </c>
      <c r="E308" s="290" t="inlineStr">
        <is>
          <t>BTT25-0000926</t>
        </is>
      </c>
      <c r="F308" s="279" t="n">
        <v>45776</v>
      </c>
      <c r="G308" s="216" t="n"/>
      <c r="H308" s="564" t="n"/>
      <c r="I308" s="564" t="n">
        <v>1084813</v>
      </c>
      <c r="J308" s="213" t="inlineStr">
        <is>
          <t>អនុញ្ញាត (បានប្រកាស)</t>
        </is>
      </c>
      <c r="K308" s="213" t="n"/>
      <c r="L308" s="563">
        <f>I308</f>
        <v/>
      </c>
      <c r="M308" s="536">
        <f>I308-L308</f>
        <v/>
      </c>
      <c r="N308" s="213" t="n"/>
      <c r="O308" s="218">
        <f>U308=E308</f>
        <v/>
      </c>
      <c r="P308" s="218">
        <f>MONTH(F308)-MONTH(T308)</f>
        <v/>
      </c>
      <c r="Q308" s="218">
        <f>$B$5=X308</f>
        <v/>
      </c>
      <c r="R308" s="218">
        <f>I308-AD308</f>
        <v/>
      </c>
      <c r="S308" s="298" t="n"/>
      <c r="T308" s="299" t="n">
        <v>45776</v>
      </c>
      <c r="U308" s="298" t="inlineStr">
        <is>
          <t>BTT25-0000926</t>
        </is>
      </c>
      <c r="V308" s="298" t="n">
        <v>0</v>
      </c>
      <c r="W308" s="298" t="inlineStr">
        <is>
          <t>បុគ្គលជាប់អាករ</t>
        </is>
      </c>
      <c r="X308" s="298" t="inlineStr">
        <is>
          <t>L001-901640009</t>
        </is>
      </c>
      <c r="Y308" s="298" t="inlineStr">
        <is>
          <t>ហូលីដេ ឌីហ្សាញ (ខេមបូឌា) ឯ.ក</t>
        </is>
      </c>
      <c r="Z308" s="300" t="n">
        <v>11932943</v>
      </c>
      <c r="AA308" s="300" t="n">
        <v>10848130</v>
      </c>
      <c r="AB308" s="298" t="n">
        <v>0</v>
      </c>
      <c r="AC308" s="298" t="inlineStr">
        <is>
          <t>-</t>
        </is>
      </c>
      <c r="AD308" s="300" t="n">
        <v>1084813</v>
      </c>
      <c r="AE308" s="298" t="n">
        <v>0</v>
      </c>
      <c r="AF308" s="562" t="n">
        <v>0</v>
      </c>
      <c r="AG308" s="198" t="n">
        <v>0</v>
      </c>
      <c r="AH308" s="198" t="n">
        <v>0</v>
      </c>
      <c r="AI308" s="198" t="n">
        <v>0</v>
      </c>
      <c r="AJ308" s="198" t="n">
        <v>0</v>
      </c>
      <c r="AK308" s="198" t="n">
        <v>0</v>
      </c>
      <c r="AL308" s="198" t="n">
        <v>0.01</v>
      </c>
      <c r="AM308" s="198" t="n">
        <v>0</v>
      </c>
      <c r="AN308" s="198" t="inlineStr">
        <is>
          <t>Truking / Service</t>
        </is>
      </c>
    </row>
    <row r="309">
      <c r="A309" s="212">
        <f>A308+1</f>
        <v/>
      </c>
      <c r="B309" s="214" t="inlineStr">
        <is>
          <t>Terminal Handling Charge</t>
        </is>
      </c>
      <c r="C309" s="214" t="inlineStr">
        <is>
          <t>SITC CONTAINER LINES (CAMBODIA) Co., Ltd.</t>
        </is>
      </c>
      <c r="D309" s="215" t="inlineStr">
        <is>
          <t>L001-107035863</t>
        </is>
      </c>
      <c r="E309" s="290" t="inlineStr">
        <is>
          <t>SITC2025-014140</t>
        </is>
      </c>
      <c r="F309" s="279" t="n">
        <v>45772</v>
      </c>
      <c r="G309" s="216" t="n"/>
      <c r="H309" s="564" t="n"/>
      <c r="I309" s="564" t="n">
        <v>984738</v>
      </c>
      <c r="J309" s="213" t="inlineStr">
        <is>
          <t>អនុញ្ញាត (បានប្រកាស)</t>
        </is>
      </c>
      <c r="K309" s="213" t="n"/>
      <c r="L309" s="563">
        <f>I309</f>
        <v/>
      </c>
      <c r="M309" s="536">
        <f>I309-L309</f>
        <v/>
      </c>
      <c r="N309" s="213" t="n"/>
      <c r="O309" s="218">
        <f>U309=E309</f>
        <v/>
      </c>
      <c r="P309" s="218">
        <f>MONTH(F309)-MONTH(T309)</f>
        <v/>
      </c>
      <c r="Q309" s="218">
        <f>$B$5=X309</f>
        <v/>
      </c>
      <c r="R309" s="218">
        <f>I309-AD309</f>
        <v/>
      </c>
      <c r="S309" s="298" t="n"/>
      <c r="T309" s="299" t="n">
        <v>45772</v>
      </c>
      <c r="U309" s="298" t="inlineStr">
        <is>
          <t>SITC2025-014140</t>
        </is>
      </c>
      <c r="V309" s="298" t="n">
        <v>0</v>
      </c>
      <c r="W309" s="298" t="inlineStr">
        <is>
          <t>បុគ្គលជាប់អាករ</t>
        </is>
      </c>
      <c r="X309" s="298" t="inlineStr">
        <is>
          <t>L001-901640009</t>
        </is>
      </c>
      <c r="Y309" s="298" t="inlineStr">
        <is>
          <t>ហូលីដេ ឌីហ្សាញ (ខេមបូឌា) ឯ.ក</t>
        </is>
      </c>
      <c r="Z309" s="300" t="n">
        <v>10832118</v>
      </c>
      <c r="AA309" s="300" t="n">
        <v>9847380</v>
      </c>
      <c r="AB309" s="298" t="n">
        <v>0</v>
      </c>
      <c r="AC309" s="298" t="inlineStr">
        <is>
          <t>-</t>
        </is>
      </c>
      <c r="AD309" s="300" t="n">
        <v>984738</v>
      </c>
      <c r="AE309" s="298" t="n">
        <v>0</v>
      </c>
      <c r="AF309" s="562" t="n">
        <v>0</v>
      </c>
      <c r="AG309" s="198" t="n">
        <v>0</v>
      </c>
      <c r="AH309" s="198" t="n">
        <v>0</v>
      </c>
      <c r="AI309" s="198" t="n">
        <v>0</v>
      </c>
      <c r="AJ309" s="198" t="n">
        <v>0</v>
      </c>
      <c r="AK309" s="198" t="n">
        <v>0</v>
      </c>
      <c r="AL309" s="198" t="n">
        <v>0.01</v>
      </c>
      <c r="AM309" s="198" t="n">
        <v>0</v>
      </c>
      <c r="AN309" s="198" t="inlineStr">
        <is>
          <t>KHCIC,KHTHC,KHDOC,EMF,EIB</t>
        </is>
      </c>
    </row>
    <row r="310">
      <c r="A310" s="212">
        <f>A309+1</f>
        <v/>
      </c>
      <c r="B310" s="214" t="inlineStr">
        <is>
          <t>THC, Doc, EMF, CIC Fee-Im</t>
        </is>
      </c>
      <c r="C310" s="214" t="inlineStr">
        <is>
          <t>KERRY LOGISTICS (CAMBODIA) PTE. LTD.</t>
        </is>
      </c>
      <c r="D310" s="215" t="inlineStr">
        <is>
          <t>L001-100074669</t>
        </is>
      </c>
      <c r="E310" s="290" t="inlineStr">
        <is>
          <t>IVP05323</t>
        </is>
      </c>
      <c r="F310" s="279" t="n">
        <v>45751</v>
      </c>
      <c r="G310" s="216" t="n"/>
      <c r="H310" s="564" t="n"/>
      <c r="I310" s="564" t="n">
        <v>1783337</v>
      </c>
      <c r="J310" s="213" t="inlineStr">
        <is>
          <t>អនុញ្ញាត (បានប្រកាស)</t>
        </is>
      </c>
      <c r="K310" s="213" t="n"/>
      <c r="L310" s="563">
        <f>I310</f>
        <v/>
      </c>
      <c r="M310" s="536">
        <f>I310-L310</f>
        <v/>
      </c>
      <c r="N310" s="213" t="n"/>
      <c r="O310" s="218">
        <f>U310=E310</f>
        <v/>
      </c>
      <c r="P310" s="218">
        <f>MONTH(F310)-MONTH(T310)</f>
        <v/>
      </c>
      <c r="Q310" s="218">
        <f>$B$5=X310</f>
        <v/>
      </c>
      <c r="R310" s="218">
        <f>I310-AD310</f>
        <v/>
      </c>
      <c r="S310" s="298" t="n"/>
      <c r="T310" s="299" t="n">
        <v>45751</v>
      </c>
      <c r="U310" s="298" t="inlineStr">
        <is>
          <t>IVP05323</t>
        </is>
      </c>
      <c r="V310" s="298" t="n">
        <v>0</v>
      </c>
      <c r="W310" s="298" t="inlineStr">
        <is>
          <t>បុគ្គលជាប់អាករ</t>
        </is>
      </c>
      <c r="X310" s="298" t="inlineStr">
        <is>
          <t>L001-901640009</t>
        </is>
      </c>
      <c r="Y310" s="298" t="inlineStr">
        <is>
          <t>ហូលីដេ ឌីហ្សាញ (ខេមបូឌា) ឯ.ក</t>
        </is>
      </c>
      <c r="Z310" s="300" t="n">
        <v>19616702</v>
      </c>
      <c r="AA310" s="300" t="n">
        <v>17833365</v>
      </c>
      <c r="AB310" s="298" t="n">
        <v>0</v>
      </c>
      <c r="AC310" s="298" t="inlineStr">
        <is>
          <t>-</t>
        </is>
      </c>
      <c r="AD310" s="300" t="n">
        <v>1783337</v>
      </c>
      <c r="AE310" s="298" t="n">
        <v>0</v>
      </c>
      <c r="AF310" s="562" t="n">
        <v>0</v>
      </c>
      <c r="AG310" s="198" t="n">
        <v>0</v>
      </c>
      <c r="AH310" s="198" t="n">
        <v>0</v>
      </c>
      <c r="AI310" s="198" t="n">
        <v>0</v>
      </c>
      <c r="AJ310" s="198" t="n">
        <v>0</v>
      </c>
      <c r="AK310" s="198" t="n">
        <v>0</v>
      </c>
      <c r="AL310" s="198" t="n">
        <v>0.01</v>
      </c>
      <c r="AM310" s="198" t="n">
        <v>0</v>
      </c>
      <c r="AN310" s="198" t="inlineStr">
        <is>
          <t>នាំចូលទំនិញតាមផ្លូវទឹក</t>
        </is>
      </c>
      <c r="AO310" s="198" t="inlineStr">
        <is>
          <t>បានប្រកាសនិងបង់ពន្ធ</t>
        </is>
      </c>
    </row>
    <row r="311">
      <c r="A311" s="212">
        <f>A310+1</f>
        <v/>
      </c>
      <c r="B311" s="214" t="inlineStr">
        <is>
          <t>Trucking &amp; Clearance-Im</t>
        </is>
      </c>
      <c r="C311" s="214" t="inlineStr">
        <is>
          <t>BRILLIANT TRANSPORT AND TRADING Co., Ltd.</t>
        </is>
      </c>
      <c r="D311" s="215" t="inlineStr">
        <is>
          <t>K002-100089305</t>
        </is>
      </c>
      <c r="E311" s="290" t="inlineStr">
        <is>
          <t>BTT25-0000925</t>
        </is>
      </c>
      <c r="F311" s="279" t="n">
        <v>45776</v>
      </c>
      <c r="G311" s="216" t="n"/>
      <c r="H311" s="564" t="n"/>
      <c r="I311" s="564" t="n">
        <v>1977482</v>
      </c>
      <c r="J311" s="213" t="inlineStr">
        <is>
          <t>អនុញ្ញាត (បានប្រកាស)</t>
        </is>
      </c>
      <c r="K311" s="213" t="n"/>
      <c r="L311" s="563">
        <f>I311</f>
        <v/>
      </c>
      <c r="M311" s="536">
        <f>I311-L311</f>
        <v/>
      </c>
      <c r="N311" s="213" t="n"/>
      <c r="O311" s="218">
        <f>U311=E311</f>
        <v/>
      </c>
      <c r="P311" s="218">
        <f>MONTH(F311)-MONTH(T311)</f>
        <v/>
      </c>
      <c r="Q311" s="218">
        <f>$B$5=X311</f>
        <v/>
      </c>
      <c r="R311" s="218">
        <f>I311-AD311</f>
        <v/>
      </c>
      <c r="S311" s="298" t="n"/>
      <c r="T311" s="299" t="n">
        <v>45776</v>
      </c>
      <c r="U311" s="298" t="inlineStr">
        <is>
          <t>BTT25-0000925</t>
        </is>
      </c>
      <c r="V311" s="298" t="n">
        <v>0</v>
      </c>
      <c r="W311" s="298" t="inlineStr">
        <is>
          <t>បុគ្គលជាប់អាករ</t>
        </is>
      </c>
      <c r="X311" s="298" t="inlineStr">
        <is>
          <t>L001-901640009</t>
        </is>
      </c>
      <c r="Y311" s="298" t="inlineStr">
        <is>
          <t>ហូលីដេ ឌីហ្សាញ (ខេមបូឌា) ឯ.ក</t>
        </is>
      </c>
      <c r="Z311" s="300" t="n">
        <v>21752302</v>
      </c>
      <c r="AA311" s="300" t="n">
        <v>19774820</v>
      </c>
      <c r="AB311" s="298" t="n">
        <v>0</v>
      </c>
      <c r="AC311" s="298" t="inlineStr">
        <is>
          <t>-</t>
        </is>
      </c>
      <c r="AD311" s="300" t="n">
        <v>1977482</v>
      </c>
      <c r="AE311" s="298" t="n">
        <v>0</v>
      </c>
      <c r="AF311" s="562" t="n">
        <v>0</v>
      </c>
      <c r="AG311" s="198" t="n">
        <v>0</v>
      </c>
      <c r="AH311" s="198" t="n">
        <v>0</v>
      </c>
      <c r="AI311" s="198" t="n">
        <v>0</v>
      </c>
      <c r="AJ311" s="198" t="n">
        <v>0</v>
      </c>
      <c r="AK311" s="198" t="n">
        <v>0</v>
      </c>
      <c r="AL311" s="198" t="n">
        <v>0.01</v>
      </c>
      <c r="AM311" s="198" t="n">
        <v>0</v>
      </c>
      <c r="AN311" s="198" t="inlineStr">
        <is>
          <t>Truking / Service</t>
        </is>
      </c>
    </row>
    <row r="312">
      <c r="A312" s="212">
        <f>A311+1</f>
        <v/>
      </c>
      <c r="B312" s="214" t="inlineStr">
        <is>
          <t>Lift-On &amp; Lift-On-Im</t>
        </is>
      </c>
      <c r="C312" s="214" t="inlineStr">
        <is>
          <t>Port Autonome Du Sihanoukville</t>
        </is>
      </c>
      <c r="D312" s="215" t="inlineStr">
        <is>
          <t>L001-100044638</t>
        </is>
      </c>
      <c r="E312" s="290" t="n">
        <v>202500090154</v>
      </c>
      <c r="F312" s="279" t="n">
        <v>45771</v>
      </c>
      <c r="G312" s="216" t="n"/>
      <c r="H312" s="564" t="n"/>
      <c r="I312" s="564" t="n">
        <v>205354</v>
      </c>
      <c r="J312" s="213" t="inlineStr">
        <is>
          <t>អនុញ្ញាត (បានប្រកាស)</t>
        </is>
      </c>
      <c r="K312" s="213" t="n"/>
      <c r="L312" s="563">
        <f>I312</f>
        <v/>
      </c>
      <c r="M312" s="536">
        <f>I312-L312</f>
        <v/>
      </c>
      <c r="N312" s="213" t="n"/>
      <c r="O312" s="218">
        <f>U312=E312</f>
        <v/>
      </c>
      <c r="P312" s="218">
        <f>MONTH(F312)-MONTH(T312)</f>
        <v/>
      </c>
      <c r="Q312" s="218">
        <f>$B$5=X312</f>
        <v/>
      </c>
      <c r="R312" s="218">
        <f>I312-AD312</f>
        <v/>
      </c>
      <c r="S312" s="298" t="n"/>
      <c r="T312" s="299" t="n">
        <v>45771</v>
      </c>
      <c r="U312" s="298" t="n">
        <v>202500090154</v>
      </c>
      <c r="V312" s="298" t="n">
        <v>0</v>
      </c>
      <c r="W312" s="298" t="inlineStr">
        <is>
          <t>បុគ្គលជាប់អាករ</t>
        </is>
      </c>
      <c r="X312" s="298" t="inlineStr">
        <is>
          <t>L001-901640009</t>
        </is>
      </c>
      <c r="Y312" s="298" t="inlineStr">
        <is>
          <t>ហូលីដេ ឌីហ្សាញ (ខេមបូឌា) ឯ.ក</t>
        </is>
      </c>
      <c r="Z312" s="300" t="n">
        <v>2258893</v>
      </c>
      <c r="AA312" s="300" t="n">
        <v>2053539</v>
      </c>
      <c r="AB312" s="298" t="n">
        <v>0</v>
      </c>
      <c r="AC312" s="298" t="inlineStr">
        <is>
          <t>-</t>
        </is>
      </c>
      <c r="AD312" s="300" t="n">
        <v>205354</v>
      </c>
      <c r="AE312" s="298" t="n">
        <v>0</v>
      </c>
      <c r="AF312" s="562" t="n">
        <v>0</v>
      </c>
      <c r="AG312" s="198" t="n">
        <v>0</v>
      </c>
      <c r="AH312" s="198" t="n">
        <v>0</v>
      </c>
      <c r="AI312" s="198" t="n">
        <v>0</v>
      </c>
      <c r="AJ312" s="198" t="n">
        <v>0</v>
      </c>
      <c r="AK312" s="198" t="n">
        <v>0</v>
      </c>
      <c r="AL312" s="198" t="n">
        <v>0.01</v>
      </c>
      <c r="AM312" s="198" t="n">
        <v>0</v>
      </c>
      <c r="AN312" s="198" t="inlineStr">
        <is>
          <t>LOLO</t>
        </is>
      </c>
    </row>
    <row r="313">
      <c r="A313" s="212">
        <f>A312+1</f>
        <v/>
      </c>
      <c r="B313" s="214" t="inlineStr">
        <is>
          <t>Terminal Handling Charge</t>
        </is>
      </c>
      <c r="C313" s="214" t="inlineStr">
        <is>
          <t>SITC CONTAINER LINES (CAMBODIA) Co., Ltd.</t>
        </is>
      </c>
      <c r="D313" s="215" t="inlineStr">
        <is>
          <t>L001-107035863</t>
        </is>
      </c>
      <c r="E313" s="290" t="inlineStr">
        <is>
          <t>SITC2025-013300</t>
        </is>
      </c>
      <c r="F313" s="279" t="n">
        <v>45768</v>
      </c>
      <c r="G313" s="216" t="n"/>
      <c r="H313" s="564" t="n"/>
      <c r="I313" s="564" t="n">
        <v>1104828</v>
      </c>
      <c r="J313" s="213" t="inlineStr">
        <is>
          <t>អនុញ្ញាត (បានប្រកាស)</t>
        </is>
      </c>
      <c r="K313" s="213" t="n"/>
      <c r="L313" s="563">
        <f>I313</f>
        <v/>
      </c>
      <c r="M313" s="536">
        <f>I313-L313</f>
        <v/>
      </c>
      <c r="N313" s="213" t="n"/>
      <c r="O313" s="218">
        <f>U313=E313</f>
        <v/>
      </c>
      <c r="P313" s="218">
        <f>MONTH(F313)-MONTH(T313)</f>
        <v/>
      </c>
      <c r="Q313" s="218">
        <f>$B$5=X313</f>
        <v/>
      </c>
      <c r="R313" s="218">
        <f>I313-AD313</f>
        <v/>
      </c>
      <c r="S313" s="298" t="n"/>
      <c r="T313" s="299" t="n">
        <v>45768</v>
      </c>
      <c r="U313" s="298" t="inlineStr">
        <is>
          <t>SITC2025-013300</t>
        </is>
      </c>
      <c r="V313" s="298" t="n">
        <v>0</v>
      </c>
      <c r="W313" s="298" t="inlineStr">
        <is>
          <t>បុគ្គលជាប់អាករ</t>
        </is>
      </c>
      <c r="X313" s="298" t="inlineStr">
        <is>
          <t>L001-901640009</t>
        </is>
      </c>
      <c r="Y313" s="298" t="inlineStr">
        <is>
          <t>ហូលីដេ ឌីហ្សាញ (ខេមបូឌា) ឯ.ក</t>
        </is>
      </c>
      <c r="Z313" s="300" t="n">
        <v>12153108</v>
      </c>
      <c r="AA313" s="300" t="n">
        <v>11048280</v>
      </c>
      <c r="AB313" s="298" t="n">
        <v>0</v>
      </c>
      <c r="AC313" s="298" t="inlineStr">
        <is>
          <t>-</t>
        </is>
      </c>
      <c r="AD313" s="300" t="n">
        <v>1104828</v>
      </c>
      <c r="AE313" s="298" t="n">
        <v>0</v>
      </c>
      <c r="AF313" s="562" t="n">
        <v>0</v>
      </c>
      <c r="AG313" s="198" t="n">
        <v>0</v>
      </c>
      <c r="AH313" s="198" t="n">
        <v>0</v>
      </c>
      <c r="AI313" s="198" t="n">
        <v>0</v>
      </c>
      <c r="AJ313" s="198" t="n">
        <v>0</v>
      </c>
      <c r="AK313" s="198" t="n">
        <v>0</v>
      </c>
      <c r="AL313" s="198" t="n">
        <v>0.01</v>
      </c>
      <c r="AM313" s="198" t="n">
        <v>0</v>
      </c>
      <c r="AN313" s="198" t="inlineStr">
        <is>
          <t>KHTHC,KHDOC,EIB,KHCIC,EMF</t>
        </is>
      </c>
    </row>
    <row r="314">
      <c r="A314" s="212">
        <f>A313+1</f>
        <v/>
      </c>
      <c r="B314" s="214" t="inlineStr">
        <is>
          <t>Trucking &amp; Clearance-Im</t>
        </is>
      </c>
      <c r="C314" s="214" t="inlineStr">
        <is>
          <t>BRILLIANT TRANSPORT AND TRADING Co., Ltd.</t>
        </is>
      </c>
      <c r="D314" s="215" t="inlineStr">
        <is>
          <t>K002-100089305</t>
        </is>
      </c>
      <c r="E314" s="290" t="inlineStr">
        <is>
          <t>BTT25-0000924</t>
        </is>
      </c>
      <c r="F314" s="279" t="n">
        <v>45772</v>
      </c>
      <c r="G314" s="216" t="n"/>
      <c r="H314" s="564" t="n"/>
      <c r="I314" s="564" t="n">
        <v>2221665</v>
      </c>
      <c r="J314" s="213" t="inlineStr">
        <is>
          <t>អនុញ្ញាត (បានប្រកាស)</t>
        </is>
      </c>
      <c r="K314" s="213" t="n"/>
      <c r="L314" s="563">
        <f>I314</f>
        <v/>
      </c>
      <c r="M314" s="536">
        <f>I314-L314</f>
        <v/>
      </c>
      <c r="N314" s="213" t="n"/>
      <c r="O314" s="218">
        <f>U314=E314</f>
        <v/>
      </c>
      <c r="P314" s="218">
        <f>MONTH(F314)-MONTH(T314)</f>
        <v/>
      </c>
      <c r="Q314" s="218">
        <f>$B$5=X314</f>
        <v/>
      </c>
      <c r="R314" s="218">
        <f>I314-AD314</f>
        <v/>
      </c>
      <c r="S314" s="298" t="n"/>
      <c r="T314" s="299" t="n">
        <v>45772</v>
      </c>
      <c r="U314" s="298" t="inlineStr">
        <is>
          <t>BTT25-0000924</t>
        </is>
      </c>
      <c r="V314" s="298" t="n">
        <v>0</v>
      </c>
      <c r="W314" s="298" t="inlineStr">
        <is>
          <t>បុគ្គលជាប់អាករ</t>
        </is>
      </c>
      <c r="X314" s="298" t="inlineStr">
        <is>
          <t>L001-901640009</t>
        </is>
      </c>
      <c r="Y314" s="298" t="inlineStr">
        <is>
          <t>ហូលីដេ ឌីហ្សាញ (ខេមបូឌា) ឯ.ក</t>
        </is>
      </c>
      <c r="Z314" s="300" t="n">
        <v>24438315</v>
      </c>
      <c r="AA314" s="300" t="n">
        <v>22216650</v>
      </c>
      <c r="AB314" s="298" t="n">
        <v>0</v>
      </c>
      <c r="AC314" s="298" t="inlineStr">
        <is>
          <t>-</t>
        </is>
      </c>
      <c r="AD314" s="300" t="n">
        <v>2221665</v>
      </c>
      <c r="AE314" s="298" t="n">
        <v>0</v>
      </c>
      <c r="AF314" s="562" t="n">
        <v>0</v>
      </c>
      <c r="AG314" s="198" t="n">
        <v>0</v>
      </c>
      <c r="AH314" s="198" t="n">
        <v>0</v>
      </c>
      <c r="AI314" s="198" t="n">
        <v>0</v>
      </c>
      <c r="AJ314" s="198" t="n">
        <v>0</v>
      </c>
      <c r="AK314" s="198" t="n">
        <v>0</v>
      </c>
      <c r="AL314" s="198" t="n">
        <v>0.01</v>
      </c>
      <c r="AM314" s="198" t="n">
        <v>0</v>
      </c>
      <c r="AN314" s="198" t="inlineStr">
        <is>
          <t>Truking / Service</t>
        </is>
      </c>
    </row>
    <row r="315">
      <c r="A315" s="212">
        <f>A314+1</f>
        <v/>
      </c>
      <c r="B315" s="214" t="inlineStr">
        <is>
          <t>Storage charges-Im</t>
        </is>
      </c>
      <c r="C315" s="214" t="inlineStr">
        <is>
          <t>Port Autonome Du Sihanoukville</t>
        </is>
      </c>
      <c r="D315" s="215" t="inlineStr">
        <is>
          <t>L001-100044638</t>
        </is>
      </c>
      <c r="E315" s="290" t="n">
        <v>202500093601</v>
      </c>
      <c r="F315" s="279" t="n">
        <v>45774</v>
      </c>
      <c r="G315" s="216" t="n"/>
      <c r="H315" s="564" t="n"/>
      <c r="I315" s="564" t="n">
        <v>1201</v>
      </c>
      <c r="J315" s="213" t="inlineStr">
        <is>
          <t>អនុញ្ញាត (បានប្រកាស)</t>
        </is>
      </c>
      <c r="K315" s="213" t="n"/>
      <c r="L315" s="563">
        <f>I315</f>
        <v/>
      </c>
      <c r="M315" s="536">
        <f>I315-L315</f>
        <v/>
      </c>
      <c r="N315" s="213" t="n"/>
      <c r="O315" s="218">
        <f>U315=E315</f>
        <v/>
      </c>
      <c r="P315" s="218">
        <f>MONTH(F315)-MONTH(T315)</f>
        <v/>
      </c>
      <c r="Q315" s="218">
        <f>$B$5=X315</f>
        <v/>
      </c>
      <c r="R315" s="218">
        <f>I315-AD315</f>
        <v/>
      </c>
      <c r="S315" s="298" t="n"/>
      <c r="T315" s="299" t="n">
        <v>45774</v>
      </c>
      <c r="U315" s="298" t="n">
        <v>202500093601</v>
      </c>
      <c r="V315" s="298" t="n">
        <v>0</v>
      </c>
      <c r="W315" s="298" t="inlineStr">
        <is>
          <t>បុគ្គលជាប់អាករ</t>
        </is>
      </c>
      <c r="X315" s="298" t="inlineStr">
        <is>
          <t>L001-901640009</t>
        </is>
      </c>
      <c r="Y315" s="298" t="inlineStr">
        <is>
          <t>ហូលីដេ ឌីហ្សាញ (ខេមបូឌា) ឯ.ក</t>
        </is>
      </c>
      <c r="Z315" s="300" t="n">
        <v>13210</v>
      </c>
      <c r="AA315" s="300" t="n">
        <v>12009</v>
      </c>
      <c r="AB315" s="298" t="n">
        <v>0</v>
      </c>
      <c r="AC315" s="298" t="inlineStr">
        <is>
          <t>-</t>
        </is>
      </c>
      <c r="AD315" s="300" t="n">
        <v>1201</v>
      </c>
      <c r="AE315" s="298" t="n">
        <v>0</v>
      </c>
      <c r="AF315" s="562" t="n">
        <v>0</v>
      </c>
      <c r="AG315" s="198" t="n">
        <v>0</v>
      </c>
      <c r="AH315" s="198" t="n">
        <v>0</v>
      </c>
      <c r="AI315" s="198" t="n">
        <v>0</v>
      </c>
      <c r="AJ315" s="198" t="n">
        <v>0</v>
      </c>
      <c r="AK315" s="198" t="n">
        <v>0</v>
      </c>
      <c r="AL315" s="198" t="n">
        <v>0.01</v>
      </c>
      <c r="AM315" s="198" t="n">
        <v>0</v>
      </c>
      <c r="AN315" s="198" t="inlineStr">
        <is>
          <t>Storage</t>
        </is>
      </c>
    </row>
    <row r="316">
      <c r="A316" s="212">
        <f>A315+1</f>
        <v/>
      </c>
      <c r="B316" s="214" t="inlineStr">
        <is>
          <t>Storage charges-Im</t>
        </is>
      </c>
      <c r="C316" s="214" t="inlineStr">
        <is>
          <t>Port Autonome Du Sihanoukville</t>
        </is>
      </c>
      <c r="D316" s="215" t="inlineStr">
        <is>
          <t>L001-100044638</t>
        </is>
      </c>
      <c r="E316" s="290" t="n">
        <v>202500093568</v>
      </c>
      <c r="F316" s="279" t="n">
        <v>45773</v>
      </c>
      <c r="G316" s="216" t="n"/>
      <c r="H316" s="564" t="n"/>
      <c r="I316" s="564" t="n">
        <v>36027</v>
      </c>
      <c r="J316" s="213" t="inlineStr">
        <is>
          <t>អនុញ្ញាត (បានប្រកាស)</t>
        </is>
      </c>
      <c r="K316" s="213" t="n"/>
      <c r="L316" s="563">
        <f>I316</f>
        <v/>
      </c>
      <c r="M316" s="536">
        <f>I316-L316</f>
        <v/>
      </c>
      <c r="N316" s="213" t="n"/>
      <c r="O316" s="218">
        <f>U316=E316</f>
        <v/>
      </c>
      <c r="P316" s="218">
        <f>MONTH(F316)-MONTH(T316)</f>
        <v/>
      </c>
      <c r="Q316" s="218">
        <f>$B$5=X316</f>
        <v/>
      </c>
      <c r="R316" s="218">
        <f>I316-AD316</f>
        <v/>
      </c>
      <c r="S316" s="298" t="n"/>
      <c r="T316" s="299" t="n">
        <v>45773</v>
      </c>
      <c r="U316" s="298" t="n">
        <v>202500093568</v>
      </c>
      <c r="V316" s="298" t="n">
        <v>0</v>
      </c>
      <c r="W316" s="298" t="inlineStr">
        <is>
          <t>បុគ្គលជាប់អាករ</t>
        </is>
      </c>
      <c r="X316" s="298" t="inlineStr">
        <is>
          <t>L001-901640009</t>
        </is>
      </c>
      <c r="Y316" s="298" t="inlineStr">
        <is>
          <t>ហូលីដេ ឌីហ្សាញ (ខេមបូឌា) ឯ.ក</t>
        </is>
      </c>
      <c r="Z316" s="300" t="n">
        <v>396297</v>
      </c>
      <c r="AA316" s="300" t="n">
        <v>360270</v>
      </c>
      <c r="AB316" s="298" t="n">
        <v>0</v>
      </c>
      <c r="AC316" s="298" t="inlineStr">
        <is>
          <t>-</t>
        </is>
      </c>
      <c r="AD316" s="300" t="n">
        <v>36027</v>
      </c>
      <c r="AE316" s="298" t="n">
        <v>0</v>
      </c>
      <c r="AF316" s="562" t="n">
        <v>0</v>
      </c>
      <c r="AG316" s="198" t="n">
        <v>0</v>
      </c>
      <c r="AH316" s="198" t="n">
        <v>0</v>
      </c>
      <c r="AI316" s="198" t="n">
        <v>0</v>
      </c>
      <c r="AJ316" s="198" t="n">
        <v>0</v>
      </c>
      <c r="AK316" s="198" t="n">
        <v>0</v>
      </c>
      <c r="AL316" s="198" t="n">
        <v>0.01</v>
      </c>
      <c r="AM316" s="198" t="n">
        <v>0</v>
      </c>
      <c r="AN316" s="198" t="inlineStr">
        <is>
          <t>Storage</t>
        </is>
      </c>
    </row>
    <row r="317">
      <c r="A317" s="212">
        <f>A316+1</f>
        <v/>
      </c>
      <c r="B317" s="214" t="inlineStr">
        <is>
          <t>Lift-On &amp; Lift-On-Im</t>
        </is>
      </c>
      <c r="C317" s="214" t="inlineStr">
        <is>
          <t>Port Autonome Du Sihanoukville</t>
        </is>
      </c>
      <c r="D317" s="215" t="inlineStr">
        <is>
          <t>L001-100044638</t>
        </is>
      </c>
      <c r="E317" s="290" t="n">
        <v>202500086733</v>
      </c>
      <c r="F317" s="279" t="n">
        <v>45769</v>
      </c>
      <c r="G317" s="216" t="n"/>
      <c r="H317" s="564" t="n"/>
      <c r="I317" s="564" t="n">
        <v>159760</v>
      </c>
      <c r="J317" s="213" t="inlineStr">
        <is>
          <t>អនុញ្ញាត (បានប្រកាស)</t>
        </is>
      </c>
      <c r="K317" s="213" t="n"/>
      <c r="L317" s="563">
        <f>I317</f>
        <v/>
      </c>
      <c r="M317" s="536">
        <f>I317-L317</f>
        <v/>
      </c>
      <c r="N317" s="213" t="n"/>
      <c r="O317" s="218">
        <f>U317=E317</f>
        <v/>
      </c>
      <c r="P317" s="218">
        <f>MONTH(F317)-MONTH(T317)</f>
        <v/>
      </c>
      <c r="Q317" s="218">
        <f>$B$5=X317</f>
        <v/>
      </c>
      <c r="R317" s="218">
        <f>I317-AD317</f>
        <v/>
      </c>
      <c r="S317" s="298" t="n"/>
      <c r="T317" s="299" t="n">
        <v>45769</v>
      </c>
      <c r="U317" s="298" t="n">
        <v>202500086733</v>
      </c>
      <c r="V317" s="298" t="n">
        <v>0</v>
      </c>
      <c r="W317" s="298" t="inlineStr">
        <is>
          <t>បុគ្គលជាប់អាករ</t>
        </is>
      </c>
      <c r="X317" s="298" t="inlineStr">
        <is>
          <t>L001-901640009</t>
        </is>
      </c>
      <c r="Y317" s="298" t="inlineStr">
        <is>
          <t>ហូលីដេ ឌីហ្សាញ (ខេមបូឌា) ឯ.ក</t>
        </is>
      </c>
      <c r="Z317" s="300" t="n">
        <v>1757356</v>
      </c>
      <c r="AA317" s="300" t="n">
        <v>1597596</v>
      </c>
      <c r="AB317" s="298" t="n">
        <v>0</v>
      </c>
      <c r="AC317" s="298" t="inlineStr">
        <is>
          <t>-</t>
        </is>
      </c>
      <c r="AD317" s="300" t="n">
        <v>159760</v>
      </c>
      <c r="AE317" s="298" t="n">
        <v>0</v>
      </c>
      <c r="AF317" s="562" t="n">
        <v>0</v>
      </c>
      <c r="AG317" s="198" t="n">
        <v>0</v>
      </c>
      <c r="AH317" s="198" t="n">
        <v>0</v>
      </c>
      <c r="AI317" s="198" t="n">
        <v>0</v>
      </c>
      <c r="AJ317" s="198" t="n">
        <v>0</v>
      </c>
      <c r="AK317" s="198" t="n">
        <v>0</v>
      </c>
      <c r="AL317" s="198" t="n">
        <v>0.01</v>
      </c>
      <c r="AM317" s="198" t="n">
        <v>0</v>
      </c>
      <c r="AN317" s="198" t="inlineStr">
        <is>
          <t>LOLO</t>
        </is>
      </c>
    </row>
    <row r="318">
      <c r="A318" s="212">
        <f>A317+1</f>
        <v/>
      </c>
      <c r="B318" s="214" t="inlineStr">
        <is>
          <t>Terminal Handling Charge</t>
        </is>
      </c>
      <c r="C318" s="214" t="inlineStr">
        <is>
          <t>SITC CONTAINER LINES (CAMBODIA) Co., Ltd.</t>
        </is>
      </c>
      <c r="D318" s="215" t="inlineStr">
        <is>
          <t>L001-107035863</t>
        </is>
      </c>
      <c r="E318" s="290" t="inlineStr">
        <is>
          <t>SITC2025-013016</t>
        </is>
      </c>
      <c r="F318" s="279" t="n">
        <v>45764</v>
      </c>
      <c r="G318" s="216" t="n"/>
      <c r="H318" s="564" t="n"/>
      <c r="I318" s="564" t="n">
        <v>865080</v>
      </c>
      <c r="J318" s="213" t="inlineStr">
        <is>
          <t>អនុញ្ញាត (បានប្រកាស)</t>
        </is>
      </c>
      <c r="K318" s="213" t="n"/>
      <c r="L318" s="563">
        <f>I318</f>
        <v/>
      </c>
      <c r="M318" s="536">
        <f>I318-L318</f>
        <v/>
      </c>
      <c r="N318" s="213" t="n"/>
      <c r="O318" s="218">
        <f>U318=E318</f>
        <v/>
      </c>
      <c r="P318" s="218">
        <f>MONTH(F318)-MONTH(T318)</f>
        <v/>
      </c>
      <c r="Q318" s="218">
        <f>$B$5=X318</f>
        <v/>
      </c>
      <c r="R318" s="218">
        <f>I318-AD318</f>
        <v/>
      </c>
      <c r="S318" s="298" t="n"/>
      <c r="T318" s="299" t="n">
        <v>45764</v>
      </c>
      <c r="U318" s="298" t="inlineStr">
        <is>
          <t>SITC2025-013016</t>
        </is>
      </c>
      <c r="V318" s="298" t="n">
        <v>0</v>
      </c>
      <c r="W318" s="298" t="inlineStr">
        <is>
          <t>បុគ្គលជាប់អាករ</t>
        </is>
      </c>
      <c r="X318" s="298" t="inlineStr">
        <is>
          <t>L001-901640009</t>
        </is>
      </c>
      <c r="Y318" s="298" t="inlineStr">
        <is>
          <t>ហូលីដេ ឌីហ្សាញ (ខេមបូឌា) ឯ.ក</t>
        </is>
      </c>
      <c r="Z318" s="300" t="n">
        <v>9515880</v>
      </c>
      <c r="AA318" s="300" t="n">
        <v>8650800</v>
      </c>
      <c r="AB318" s="298" t="n">
        <v>0</v>
      </c>
      <c r="AC318" s="298" t="inlineStr">
        <is>
          <t>-</t>
        </is>
      </c>
      <c r="AD318" s="300" t="n">
        <v>865080</v>
      </c>
      <c r="AE318" s="298" t="n">
        <v>0</v>
      </c>
      <c r="AF318" s="562" t="n">
        <v>0</v>
      </c>
      <c r="AG318" s="198" t="n">
        <v>0</v>
      </c>
      <c r="AH318" s="198" t="n">
        <v>0</v>
      </c>
      <c r="AI318" s="198" t="n">
        <v>0</v>
      </c>
      <c r="AJ318" s="198" t="n">
        <v>0</v>
      </c>
      <c r="AK318" s="198" t="n">
        <v>0</v>
      </c>
      <c r="AL318" s="198" t="n">
        <v>0.01</v>
      </c>
      <c r="AM318" s="198" t="n">
        <v>0</v>
      </c>
      <c r="AN318" s="198" t="inlineStr">
        <is>
          <t>KHDOC,KHTHC,KHCIC,EMF,EIB</t>
        </is>
      </c>
    </row>
    <row r="319">
      <c r="A319" s="212">
        <f>A318+1</f>
        <v/>
      </c>
      <c r="B319" s="214" t="inlineStr">
        <is>
          <t>Trucking &amp; Clearance-Im</t>
        </is>
      </c>
      <c r="C319" s="214" t="inlineStr">
        <is>
          <t>BRILLIANT TRANSPORT AND TRADING Co., Ltd.</t>
        </is>
      </c>
      <c r="D319" s="215" t="inlineStr">
        <is>
          <t>K002-100089305</t>
        </is>
      </c>
      <c r="E319" s="290" t="inlineStr">
        <is>
          <t>BTT25-0000923</t>
        </is>
      </c>
      <c r="F319" s="279" t="n">
        <v>45768</v>
      </c>
      <c r="G319" s="216" t="n"/>
      <c r="H319" s="564" t="n"/>
      <c r="I319" s="564" t="n">
        <v>1733299</v>
      </c>
      <c r="J319" s="213" t="inlineStr">
        <is>
          <t>អនុញ្ញាត (បានប្រកាស)</t>
        </is>
      </c>
      <c r="K319" s="213" t="n"/>
      <c r="L319" s="563">
        <f>I319</f>
        <v/>
      </c>
      <c r="M319" s="536">
        <f>I319-L319</f>
        <v/>
      </c>
      <c r="N319" s="213" t="n"/>
      <c r="O319" s="218">
        <f>U319=E319</f>
        <v/>
      </c>
      <c r="P319" s="218">
        <f>MONTH(F319)-MONTH(T319)</f>
        <v/>
      </c>
      <c r="Q319" s="218">
        <f>$B$5=X319</f>
        <v/>
      </c>
      <c r="R319" s="218">
        <f>I319-AD319</f>
        <v/>
      </c>
      <c r="S319" s="298" t="n"/>
      <c r="T319" s="299" t="n">
        <v>45768</v>
      </c>
      <c r="U319" s="298" t="inlineStr">
        <is>
          <t>BTT25-0000923</t>
        </is>
      </c>
      <c r="V319" s="298" t="n">
        <v>0</v>
      </c>
      <c r="W319" s="298" t="inlineStr">
        <is>
          <t>បុគ្គលជាប់អាករ</t>
        </is>
      </c>
      <c r="X319" s="298" t="inlineStr">
        <is>
          <t>L001-901640009</t>
        </is>
      </c>
      <c r="Y319" s="298" t="inlineStr">
        <is>
          <t>ហូលីដេ ឌីហ្សាញ (ខេមបូឌា) ឯ.ក</t>
        </is>
      </c>
      <c r="Z319" s="300" t="n">
        <v>19066289</v>
      </c>
      <c r="AA319" s="300" t="n">
        <v>17332990</v>
      </c>
      <c r="AB319" s="298" t="n">
        <v>0</v>
      </c>
      <c r="AC319" s="298" t="inlineStr">
        <is>
          <t>-</t>
        </is>
      </c>
      <c r="AD319" s="300" t="n">
        <v>1733299</v>
      </c>
      <c r="AE319" s="298" t="n">
        <v>0</v>
      </c>
      <c r="AF319" s="562" t="n">
        <v>0</v>
      </c>
      <c r="AG319" s="198" t="n">
        <v>0</v>
      </c>
      <c r="AH319" s="198" t="n">
        <v>0</v>
      </c>
      <c r="AI319" s="198" t="n">
        <v>0</v>
      </c>
      <c r="AJ319" s="198" t="n">
        <v>0</v>
      </c>
      <c r="AK319" s="198" t="n">
        <v>0</v>
      </c>
      <c r="AL319" s="198" t="n">
        <v>0.01</v>
      </c>
      <c r="AM319" s="198" t="n">
        <v>0</v>
      </c>
      <c r="AN319" s="198" t="inlineStr">
        <is>
          <t>Truking / Service</t>
        </is>
      </c>
    </row>
    <row r="320">
      <c r="A320" s="212">
        <f>A319+1</f>
        <v/>
      </c>
      <c r="B320" s="214" t="inlineStr">
        <is>
          <t>THC, Doc, EMF, CIC Fee-Im</t>
        </is>
      </c>
      <c r="C320" s="214" t="inlineStr">
        <is>
          <t>KERRY LOGISTICS (CAMBODIA) PTE. LTD.</t>
        </is>
      </c>
      <c r="D320" s="215" t="inlineStr">
        <is>
          <t>L001-100074669</t>
        </is>
      </c>
      <c r="E320" s="290" t="inlineStr">
        <is>
          <t>IVP06305</t>
        </is>
      </c>
      <c r="F320" s="279" t="n">
        <v>45770</v>
      </c>
      <c r="G320" s="216" t="n"/>
      <c r="H320" s="564" t="n"/>
      <c r="I320" s="564" t="n">
        <v>902677</v>
      </c>
      <c r="J320" s="213" t="inlineStr">
        <is>
          <t>អនុញ្ញាត (បានប្រកាស)</t>
        </is>
      </c>
      <c r="K320" s="213" t="n"/>
      <c r="L320" s="563">
        <f>I320</f>
        <v/>
      </c>
      <c r="M320" s="536">
        <f>I320-L320</f>
        <v/>
      </c>
      <c r="N320" s="213" t="n"/>
      <c r="O320" s="218">
        <f>U320=E320</f>
        <v/>
      </c>
      <c r="P320" s="218">
        <f>MONTH(F320)-MONTH(T320)</f>
        <v/>
      </c>
      <c r="Q320" s="218">
        <f>$B$5=X320</f>
        <v/>
      </c>
      <c r="R320" s="218">
        <f>I320-AD320</f>
        <v/>
      </c>
      <c r="S320" s="298" t="n"/>
      <c r="T320" s="299" t="n">
        <v>45770</v>
      </c>
      <c r="U320" s="298" t="inlineStr">
        <is>
          <t>IVP06305</t>
        </is>
      </c>
      <c r="V320" s="298" t="n">
        <v>0</v>
      </c>
      <c r="W320" s="298" t="inlineStr">
        <is>
          <t>បុគ្គលជាប់អាករ</t>
        </is>
      </c>
      <c r="X320" s="298" t="inlineStr">
        <is>
          <t>L001-901640009</t>
        </is>
      </c>
      <c r="Y320" s="298" t="inlineStr">
        <is>
          <t>ហូលីដេ ឌីហ្សាញ (ខេមបូឌា) ឯ.ក</t>
        </is>
      </c>
      <c r="Z320" s="300" t="n">
        <v>9929442</v>
      </c>
      <c r="AA320" s="300" t="n">
        <v>9026765</v>
      </c>
      <c r="AB320" s="298" t="n">
        <v>0</v>
      </c>
      <c r="AC320" s="298" t="inlineStr">
        <is>
          <t>-</t>
        </is>
      </c>
      <c r="AD320" s="300" t="n">
        <v>902677</v>
      </c>
      <c r="AE320" s="298" t="n">
        <v>0</v>
      </c>
      <c r="AF320" s="562" t="n">
        <v>0</v>
      </c>
      <c r="AG320" s="198" t="n">
        <v>0</v>
      </c>
      <c r="AH320" s="198" t="n">
        <v>0</v>
      </c>
      <c r="AI320" s="198" t="n">
        <v>0</v>
      </c>
      <c r="AJ320" s="198" t="n">
        <v>0</v>
      </c>
      <c r="AK320" s="198" t="n">
        <v>0</v>
      </c>
      <c r="AL320" s="198" t="n">
        <v>0.01</v>
      </c>
      <c r="AM320" s="198" t="n">
        <v>0</v>
      </c>
      <c r="AN320" s="198" t="inlineStr">
        <is>
          <t>នាំចូលទំនិញតាមផ្លូវទឹក</t>
        </is>
      </c>
      <c r="AO320" s="198" t="inlineStr">
        <is>
          <t>បានប្រកាសនិងបង់ពន្ធ</t>
        </is>
      </c>
    </row>
    <row r="321">
      <c r="A321" s="212">
        <f>A320+1</f>
        <v/>
      </c>
      <c r="B321" s="214" t="inlineStr">
        <is>
          <t>Lift-On &amp; Lift-On-Im</t>
        </is>
      </c>
      <c r="C321" s="214" t="inlineStr">
        <is>
          <t>Port Autonome Du Sihanoukville</t>
        </is>
      </c>
      <c r="D321" s="215" t="inlineStr">
        <is>
          <t>L001-100044638</t>
        </is>
      </c>
      <c r="E321" s="290" t="n">
        <v>202500096301</v>
      </c>
      <c r="F321" s="279" t="n">
        <v>45777</v>
      </c>
      <c r="G321" s="216" t="n"/>
      <c r="H321" s="564" t="n"/>
      <c r="I321" s="564" t="n">
        <v>174131</v>
      </c>
      <c r="J321" s="213" t="inlineStr">
        <is>
          <t>អនុញ្ញាត (បានប្រកាស)</t>
        </is>
      </c>
      <c r="K321" s="213" t="n"/>
      <c r="L321" s="563">
        <f>I321</f>
        <v/>
      </c>
      <c r="M321" s="536">
        <f>I321-L321</f>
        <v/>
      </c>
      <c r="N321" s="213" t="n"/>
      <c r="O321" s="218">
        <f>U321=E321</f>
        <v/>
      </c>
      <c r="P321" s="218">
        <f>MONTH(F321)-MONTH(T321)</f>
        <v/>
      </c>
      <c r="Q321" s="218">
        <f>$B$5=X321</f>
        <v/>
      </c>
      <c r="R321" s="218">
        <f>I321-AD321</f>
        <v/>
      </c>
      <c r="S321" s="298" t="n"/>
      <c r="T321" s="299" t="n">
        <v>45777</v>
      </c>
      <c r="U321" s="298" t="n">
        <v>202500096301</v>
      </c>
      <c r="V321" s="298" t="n">
        <v>0</v>
      </c>
      <c r="W321" s="298" t="inlineStr">
        <is>
          <t>បុគ្គលជាប់អាករ</t>
        </is>
      </c>
      <c r="X321" s="298" t="inlineStr">
        <is>
          <t>L001-901640009</t>
        </is>
      </c>
      <c r="Y321" s="298" t="inlineStr">
        <is>
          <t>ហូលីដេ ឌីហ្សាញ (ខេមបូឌា) ឯ.ក</t>
        </is>
      </c>
      <c r="Z321" s="300" t="n">
        <v>1915436</v>
      </c>
      <c r="AA321" s="300" t="n">
        <v>1741305</v>
      </c>
      <c r="AB321" s="298" t="n">
        <v>0</v>
      </c>
      <c r="AC321" s="298" t="inlineStr">
        <is>
          <t>-</t>
        </is>
      </c>
      <c r="AD321" s="300" t="n">
        <v>174131</v>
      </c>
      <c r="AE321" s="298" t="n">
        <v>0</v>
      </c>
      <c r="AF321" s="562" t="n">
        <v>0</v>
      </c>
      <c r="AG321" s="198" t="n">
        <v>0</v>
      </c>
      <c r="AH321" s="198" t="n">
        <v>0</v>
      </c>
      <c r="AI321" s="198" t="n">
        <v>0</v>
      </c>
      <c r="AJ321" s="198" t="n">
        <v>0</v>
      </c>
      <c r="AK321" s="198" t="n">
        <v>0</v>
      </c>
      <c r="AL321" s="198" t="n">
        <v>0.01</v>
      </c>
      <c r="AM321" s="198" t="n">
        <v>0</v>
      </c>
      <c r="AN321" s="198" t="inlineStr">
        <is>
          <t>LOLO</t>
        </is>
      </c>
    </row>
    <row r="322">
      <c r="A322" s="212">
        <f>A321+1</f>
        <v/>
      </c>
      <c r="B322" s="214" t="inlineStr">
        <is>
          <t>Demurrage Export</t>
        </is>
      </c>
      <c r="C322" s="214" t="inlineStr">
        <is>
          <t>KERRY LOGISTICS (CAMBODIA) PTE. LTD.</t>
        </is>
      </c>
      <c r="D322" s="215" t="inlineStr">
        <is>
          <t>L001-100074669</t>
        </is>
      </c>
      <c r="E322" s="290" t="inlineStr">
        <is>
          <t>IVP08219</t>
        </is>
      </c>
      <c r="F322" s="279" t="n">
        <v>45805</v>
      </c>
      <c r="G322" s="216" t="n"/>
      <c r="H322" s="564" t="n"/>
      <c r="I322" s="564" t="n">
        <v>14411</v>
      </c>
      <c r="J322" s="213" t="inlineStr">
        <is>
          <t>អនុញ្ញាត (បានប្រកាស)</t>
        </is>
      </c>
      <c r="K322" s="213" t="n"/>
      <c r="L322" s="563">
        <f>I322</f>
        <v/>
      </c>
      <c r="M322" s="536">
        <f>I322-L322</f>
        <v/>
      </c>
      <c r="N322" s="213" t="n"/>
      <c r="O322" s="218">
        <f>U322=E322</f>
        <v/>
      </c>
      <c r="P322" s="218">
        <f>MONTH(F322)-MONTH(T322)</f>
        <v/>
      </c>
      <c r="Q322" s="218">
        <f>$B$5=X322</f>
        <v/>
      </c>
      <c r="R322" s="218">
        <f>I322-AD322</f>
        <v/>
      </c>
      <c r="S322" s="298" t="n"/>
      <c r="T322" s="299" t="n">
        <v>45805</v>
      </c>
      <c r="U322" s="298" t="inlineStr">
        <is>
          <t>IVP08219</t>
        </is>
      </c>
      <c r="V322" s="298" t="n">
        <v>0</v>
      </c>
      <c r="W322" s="298" t="inlineStr">
        <is>
          <t>បុគ្គលជាប់អាករ</t>
        </is>
      </c>
      <c r="X322" s="298" t="inlineStr">
        <is>
          <t>L001-901640009</t>
        </is>
      </c>
      <c r="Y322" s="298" t="inlineStr">
        <is>
          <t>ហូលីដេ ឌីហ្សាញ (ខេមបូឌា) ឯ.ក</t>
        </is>
      </c>
      <c r="Z322" s="300" t="n">
        <v>158519</v>
      </c>
      <c r="AA322" s="300" t="n">
        <v>144108</v>
      </c>
      <c r="AB322" s="298" t="n">
        <v>0</v>
      </c>
      <c r="AC322" s="298" t="inlineStr">
        <is>
          <t>-</t>
        </is>
      </c>
      <c r="AD322" s="300" t="n">
        <v>14411</v>
      </c>
      <c r="AE322" s="298" t="n">
        <v>0</v>
      </c>
      <c r="AF322" s="562" t="n">
        <v>0</v>
      </c>
      <c r="AG322" s="198" t="n">
        <v>0</v>
      </c>
      <c r="AH322" s="198" t="n">
        <v>0</v>
      </c>
      <c r="AI322" s="198" t="n">
        <v>0</v>
      </c>
      <c r="AJ322" s="198" t="n">
        <v>0</v>
      </c>
      <c r="AK322" s="198" t="n">
        <v>0</v>
      </c>
      <c r="AL322" s="198" t="n">
        <v>0.01</v>
      </c>
      <c r="AM322" s="198" t="n">
        <v>0</v>
      </c>
      <c r="AN322" s="198" t="inlineStr">
        <is>
          <t>DEMURRAGE-EXPORT</t>
        </is>
      </c>
      <c r="AO322" s="198" t="inlineStr">
        <is>
          <t>បានប្រកាសនិងបង់ពន្ធ</t>
        </is>
      </c>
    </row>
    <row r="323">
      <c r="A323" s="212">
        <f>A322+1</f>
        <v/>
      </c>
      <c r="B323" s="214" t="inlineStr">
        <is>
          <t>Lift-On &amp; Lift-On-Im</t>
        </is>
      </c>
      <c r="C323" s="214" t="inlineStr">
        <is>
          <t>Port Autonome Du Sihanoukville</t>
        </is>
      </c>
      <c r="D323" s="215" t="inlineStr">
        <is>
          <t>L001-100044638</t>
        </is>
      </c>
      <c r="E323" s="290" t="n">
        <v>202500096304</v>
      </c>
      <c r="F323" s="279" t="n">
        <v>45777</v>
      </c>
      <c r="G323" s="216" t="n"/>
      <c r="H323" s="564" t="n"/>
      <c r="I323" s="564" t="n">
        <v>348261</v>
      </c>
      <c r="J323" s="213" t="inlineStr">
        <is>
          <t>អនុញ្ញាត (បានប្រកាស)</t>
        </is>
      </c>
      <c r="K323" s="213" t="n"/>
      <c r="L323" s="563">
        <f>I323</f>
        <v/>
      </c>
      <c r="M323" s="536">
        <f>I323-L323</f>
        <v/>
      </c>
      <c r="N323" s="213" t="n"/>
      <c r="O323" s="218">
        <f>U323=E323</f>
        <v/>
      </c>
      <c r="P323" s="218">
        <f>MONTH(F323)-MONTH(T323)</f>
        <v/>
      </c>
      <c r="Q323" s="218">
        <f>$B$5=X323</f>
        <v/>
      </c>
      <c r="R323" s="218">
        <f>I323-AD323</f>
        <v/>
      </c>
      <c r="S323" s="298" t="n"/>
      <c r="T323" s="299" t="n">
        <v>45777</v>
      </c>
      <c r="U323" s="298" t="n">
        <v>202500096304</v>
      </c>
      <c r="V323" s="298" t="n">
        <v>0</v>
      </c>
      <c r="W323" s="298" t="inlineStr">
        <is>
          <t>បុគ្គលជាប់អាករ</t>
        </is>
      </c>
      <c r="X323" s="298" t="inlineStr">
        <is>
          <t>L001-901640009</t>
        </is>
      </c>
      <c r="Y323" s="298" t="inlineStr">
        <is>
          <t>ហូលីដេ ឌីហ្សាញ (ខេមបូឌា) ឯ.ក</t>
        </is>
      </c>
      <c r="Z323" s="300" t="n">
        <v>3830871</v>
      </c>
      <c r="AA323" s="300" t="n">
        <v>3482610</v>
      </c>
      <c r="AB323" s="298" t="n">
        <v>0</v>
      </c>
      <c r="AC323" s="298" t="inlineStr">
        <is>
          <t>-</t>
        </is>
      </c>
      <c r="AD323" s="300" t="n">
        <v>348261</v>
      </c>
      <c r="AE323" s="298" t="n">
        <v>0</v>
      </c>
      <c r="AF323" s="562" t="n">
        <v>0</v>
      </c>
      <c r="AG323" s="198" t="n">
        <v>0</v>
      </c>
      <c r="AH323" s="198" t="n">
        <v>0</v>
      </c>
      <c r="AI323" s="198" t="n">
        <v>0</v>
      </c>
      <c r="AJ323" s="198" t="n">
        <v>0</v>
      </c>
      <c r="AK323" s="198" t="n">
        <v>0</v>
      </c>
      <c r="AL323" s="198" t="n">
        <v>0.01</v>
      </c>
      <c r="AM323" s="198" t="n">
        <v>0</v>
      </c>
      <c r="AN323" s="198" t="inlineStr">
        <is>
          <t>LOLO</t>
        </is>
      </c>
    </row>
    <row r="324">
      <c r="A324" s="212">
        <f>A323+1</f>
        <v/>
      </c>
      <c r="B324" s="214" t="inlineStr">
        <is>
          <t>Terminal Handling Charge-Ex</t>
        </is>
      </c>
      <c r="C324" s="214" t="inlineStr">
        <is>
          <t>KERRY LOGISTICS (CAMBODIA) PTE. LTD.</t>
        </is>
      </c>
      <c r="D324" s="215" t="inlineStr">
        <is>
          <t>L001-100074669</t>
        </is>
      </c>
      <c r="E324" s="290" t="inlineStr">
        <is>
          <t>IVP08004</t>
        </is>
      </c>
      <c r="F324" s="279" t="n">
        <v>45801</v>
      </c>
      <c r="G324" s="216" t="n"/>
      <c r="H324" s="564" t="n"/>
      <c r="I324" s="564" t="n">
        <v>110083</v>
      </c>
      <c r="J324" s="213" t="inlineStr">
        <is>
          <t>អនុញ្ញាត (បានប្រកាស)</t>
        </is>
      </c>
      <c r="K324" s="213" t="n"/>
      <c r="L324" s="563">
        <f>I324</f>
        <v/>
      </c>
      <c r="M324" s="536">
        <f>I324-L324</f>
        <v/>
      </c>
      <c r="N324" s="213" t="n"/>
      <c r="O324" s="218">
        <f>U324=E324</f>
        <v/>
      </c>
      <c r="P324" s="218">
        <f>MONTH(F324)-MONTH(T324)</f>
        <v/>
      </c>
      <c r="Q324" s="218">
        <f>$B$5=X324</f>
        <v/>
      </c>
      <c r="R324" s="218">
        <f>I324-AD324</f>
        <v/>
      </c>
      <c r="S324" s="298" t="n"/>
      <c r="T324" s="299" t="n">
        <v>45801</v>
      </c>
      <c r="U324" s="298" t="inlineStr">
        <is>
          <t>IVP08004</t>
        </is>
      </c>
      <c r="V324" s="298" t="n">
        <v>0</v>
      </c>
      <c r="W324" s="298" t="inlineStr">
        <is>
          <t>បុគ្គលជាប់អាករ</t>
        </is>
      </c>
      <c r="X324" s="298" t="inlineStr">
        <is>
          <t>L001-901640009</t>
        </is>
      </c>
      <c r="Y324" s="298" t="inlineStr">
        <is>
          <t>ហូលីដេ ឌីហ្សាញ (ខេមបូឌា) ឯ.ក</t>
        </is>
      </c>
      <c r="Z324" s="300" t="n">
        <v>1210908</v>
      </c>
      <c r="AA324" s="300" t="n">
        <v>1100825</v>
      </c>
      <c r="AB324" s="298" t="n">
        <v>0</v>
      </c>
      <c r="AC324" s="298" t="inlineStr">
        <is>
          <t>-</t>
        </is>
      </c>
      <c r="AD324" s="300" t="n">
        <v>110083</v>
      </c>
      <c r="AE324" s="298" t="n">
        <v>0</v>
      </c>
      <c r="AF324" s="562" t="n">
        <v>0</v>
      </c>
      <c r="AG324" s="198" t="n">
        <v>0</v>
      </c>
      <c r="AH324" s="198" t="n">
        <v>0</v>
      </c>
      <c r="AI324" s="198" t="n">
        <v>0</v>
      </c>
      <c r="AJ324" s="198" t="n">
        <v>0</v>
      </c>
      <c r="AK324" s="198" t="n">
        <v>0</v>
      </c>
      <c r="AL324" s="198" t="n">
        <v>0.01</v>
      </c>
      <c r="AM324" s="198" t="n">
        <v>0</v>
      </c>
      <c r="AN324" s="198" t="inlineStr">
        <is>
          <t>នាំចេញទំនិញតាមផ្លូវទឹក</t>
        </is>
      </c>
      <c r="AO324" s="198" t="inlineStr">
        <is>
          <t>បានប្រកាសនិងបង់ពន្ធ</t>
        </is>
      </c>
    </row>
    <row r="325">
      <c r="A325" s="212">
        <f>A324+1</f>
        <v/>
      </c>
      <c r="B325" s="214" t="inlineStr">
        <is>
          <t>Storage charges-Im</t>
        </is>
      </c>
      <c r="C325" s="214" t="inlineStr">
        <is>
          <t>Port Autonome Du Sihanoukville</t>
        </is>
      </c>
      <c r="D325" s="215" t="inlineStr">
        <is>
          <t>L001-100044638</t>
        </is>
      </c>
      <c r="E325" s="290" t="n">
        <v>202500093595</v>
      </c>
      <c r="F325" s="279" t="n">
        <v>45773</v>
      </c>
      <c r="G325" s="216" t="n"/>
      <c r="H325" s="564" t="n"/>
      <c r="I325" s="564" t="n">
        <v>2402</v>
      </c>
      <c r="J325" s="213" t="inlineStr">
        <is>
          <t>អនុញ្ញាត (បានប្រកាស)</t>
        </is>
      </c>
      <c r="K325" s="213" t="n"/>
      <c r="L325" s="563">
        <f>I325</f>
        <v/>
      </c>
      <c r="M325" s="536">
        <f>I325-L325</f>
        <v/>
      </c>
      <c r="N325" s="213" t="n"/>
      <c r="O325" s="218">
        <f>U325=E325</f>
        <v/>
      </c>
      <c r="P325" s="218">
        <f>MONTH(F325)-MONTH(T325)</f>
        <v/>
      </c>
      <c r="Q325" s="218">
        <f>$B$5=X325</f>
        <v/>
      </c>
      <c r="R325" s="218">
        <f>I325-AD325</f>
        <v/>
      </c>
      <c r="S325" s="298" t="n"/>
      <c r="T325" s="299" t="n">
        <v>45773</v>
      </c>
      <c r="U325" s="298" t="n">
        <v>202500093595</v>
      </c>
      <c r="V325" s="298" t="n">
        <v>0</v>
      </c>
      <c r="W325" s="298" t="inlineStr">
        <is>
          <t>បុគ្គលជាប់អាករ</t>
        </is>
      </c>
      <c r="X325" s="298" t="inlineStr">
        <is>
          <t>L001-901640009</t>
        </is>
      </c>
      <c r="Y325" s="298" t="inlineStr">
        <is>
          <t>ហូលីដេ ឌីហ្សាញ (ខេមបូឌា) ឯ.ក</t>
        </is>
      </c>
      <c r="Z325" s="300" t="n">
        <v>26420</v>
      </c>
      <c r="AA325" s="300" t="n">
        <v>24018</v>
      </c>
      <c r="AB325" s="298" t="n">
        <v>0</v>
      </c>
      <c r="AC325" s="298" t="inlineStr">
        <is>
          <t>-</t>
        </is>
      </c>
      <c r="AD325" s="300" t="n">
        <v>2402</v>
      </c>
      <c r="AE325" s="298" t="n">
        <v>0</v>
      </c>
      <c r="AF325" s="562" t="n">
        <v>0</v>
      </c>
      <c r="AG325" s="198" t="n">
        <v>0</v>
      </c>
      <c r="AH325" s="198" t="n">
        <v>0</v>
      </c>
      <c r="AI325" s="198" t="n">
        <v>0</v>
      </c>
      <c r="AJ325" s="198" t="n">
        <v>0</v>
      </c>
      <c r="AK325" s="198" t="n">
        <v>0</v>
      </c>
      <c r="AL325" s="198" t="n">
        <v>0.01</v>
      </c>
      <c r="AM325" s="198" t="n">
        <v>0</v>
      </c>
      <c r="AN325" s="198" t="inlineStr">
        <is>
          <t>Storage</t>
        </is>
      </c>
    </row>
    <row r="326">
      <c r="A326" s="212">
        <f>A325+1</f>
        <v/>
      </c>
      <c r="B326" s="214" t="inlineStr">
        <is>
          <t>Trucking &amp; Clearance-Im</t>
        </is>
      </c>
      <c r="C326" s="214" t="inlineStr">
        <is>
          <t>BRILLIANT TRANSPORT AND TRADING Co., Ltd.</t>
        </is>
      </c>
      <c r="D326" s="215" t="inlineStr">
        <is>
          <t>K002-100089305</t>
        </is>
      </c>
      <c r="E326" s="290" t="inlineStr">
        <is>
          <t>BTT25-0000742</t>
        </is>
      </c>
      <c r="F326" s="279" t="n">
        <v>45751</v>
      </c>
      <c r="G326" s="216" t="n"/>
      <c r="H326" s="564" t="n"/>
      <c r="I326" s="564" t="n">
        <v>1084813</v>
      </c>
      <c r="J326" s="213" t="inlineStr">
        <is>
          <t>អនុញ្ញាត (បានប្រកាស)</t>
        </is>
      </c>
      <c r="K326" s="213" t="n"/>
      <c r="L326" s="563">
        <f>I326</f>
        <v/>
      </c>
      <c r="M326" s="536">
        <f>I326-L326</f>
        <v/>
      </c>
      <c r="N326" s="213" t="n"/>
      <c r="O326" s="218">
        <f>U326=E326</f>
        <v/>
      </c>
      <c r="P326" s="218">
        <f>MONTH(F326)-MONTH(T326)</f>
        <v/>
      </c>
      <c r="Q326" s="218">
        <f>$B$5=X326</f>
        <v/>
      </c>
      <c r="R326" s="218">
        <f>I326-AD326</f>
        <v/>
      </c>
      <c r="S326" s="298" t="n"/>
      <c r="T326" s="299" t="n">
        <v>45751</v>
      </c>
      <c r="U326" s="298" t="inlineStr">
        <is>
          <t>BTT25-0000742</t>
        </is>
      </c>
      <c r="V326" s="298" t="n">
        <v>0</v>
      </c>
      <c r="W326" s="298" t="inlineStr">
        <is>
          <t>បុគ្គលជាប់អាករ</t>
        </is>
      </c>
      <c r="X326" s="298" t="inlineStr">
        <is>
          <t>L001-901640009</t>
        </is>
      </c>
      <c r="Y326" s="298" t="inlineStr">
        <is>
          <t>ហូលីដេ ឌីហ្សាញ (ខេមបូឌា) ឯ.ក</t>
        </is>
      </c>
      <c r="Z326" s="300" t="n">
        <v>11932943</v>
      </c>
      <c r="AA326" s="300" t="n">
        <v>10848130</v>
      </c>
      <c r="AB326" s="298" t="n">
        <v>0</v>
      </c>
      <c r="AC326" s="298" t="inlineStr">
        <is>
          <t>-</t>
        </is>
      </c>
      <c r="AD326" s="300" t="n">
        <v>1084813</v>
      </c>
      <c r="AE326" s="298" t="n">
        <v>0</v>
      </c>
      <c r="AF326" s="562" t="n">
        <v>0</v>
      </c>
      <c r="AG326" s="198" t="n">
        <v>0</v>
      </c>
      <c r="AH326" s="198" t="n">
        <v>0</v>
      </c>
      <c r="AI326" s="198" t="n">
        <v>0</v>
      </c>
      <c r="AJ326" s="198" t="n">
        <v>0</v>
      </c>
      <c r="AK326" s="198" t="n">
        <v>0</v>
      </c>
      <c r="AL326" s="198" t="n">
        <v>0.01</v>
      </c>
      <c r="AM326" s="198" t="n">
        <v>0</v>
      </c>
      <c r="AN326" s="198" t="inlineStr">
        <is>
          <t>Truking / Service</t>
        </is>
      </c>
    </row>
    <row r="327">
      <c r="A327" s="212">
        <f>A326+1</f>
        <v/>
      </c>
      <c r="B327" s="214" t="inlineStr">
        <is>
          <t>Lift-On &amp; Lift-On-Im</t>
        </is>
      </c>
      <c r="C327" s="214" t="inlineStr">
        <is>
          <t>Port Autonome Du Sihanoukville</t>
        </is>
      </c>
      <c r="D327" s="215" t="inlineStr">
        <is>
          <t>L001-100044638</t>
        </is>
      </c>
      <c r="E327" s="290" t="n">
        <v>202500080080</v>
      </c>
      <c r="F327" s="279" t="n">
        <v>45758</v>
      </c>
      <c r="G327" s="216" t="n"/>
      <c r="H327" s="564" t="n"/>
      <c r="I327" s="564" t="n">
        <v>205508</v>
      </c>
      <c r="J327" s="213" t="inlineStr">
        <is>
          <t>អនុញ្ញាត (បានប្រកាស)</t>
        </is>
      </c>
      <c r="K327" s="213" t="n"/>
      <c r="L327" s="563">
        <f>I327</f>
        <v/>
      </c>
      <c r="M327" s="536">
        <f>I327-L327</f>
        <v/>
      </c>
      <c r="N327" s="213" t="n"/>
      <c r="O327" s="218">
        <f>U327=E327</f>
        <v/>
      </c>
      <c r="P327" s="218">
        <f>MONTH(F327)-MONTH(T327)</f>
        <v/>
      </c>
      <c r="Q327" s="218">
        <f>$B$5=X327</f>
        <v/>
      </c>
      <c r="R327" s="218">
        <f>I327-AD327</f>
        <v/>
      </c>
      <c r="S327" s="298" t="n"/>
      <c r="T327" s="299" t="n">
        <v>45758</v>
      </c>
      <c r="U327" s="298" t="n">
        <v>202500080080</v>
      </c>
      <c r="V327" s="298" t="n">
        <v>0</v>
      </c>
      <c r="W327" s="298" t="inlineStr">
        <is>
          <t>បុគ្គលជាប់អាករ</t>
        </is>
      </c>
      <c r="X327" s="298" t="inlineStr">
        <is>
          <t>L001-901640009</t>
        </is>
      </c>
      <c r="Y327" s="298" t="inlineStr">
        <is>
          <t>ហូលីដេ ឌីហ្សាញ (ខេមបូឌា) ឯ.ក</t>
        </is>
      </c>
      <c r="Z327" s="300" t="n">
        <v>2260586</v>
      </c>
      <c r="AA327" s="300" t="n">
        <v>2055078</v>
      </c>
      <c r="AB327" s="298" t="n">
        <v>0</v>
      </c>
      <c r="AC327" s="298" t="inlineStr">
        <is>
          <t>-</t>
        </is>
      </c>
      <c r="AD327" s="300" t="n">
        <v>205508</v>
      </c>
      <c r="AE327" s="298" t="n">
        <v>0</v>
      </c>
      <c r="AF327" s="562" t="n">
        <v>0</v>
      </c>
      <c r="AG327" s="198" t="n">
        <v>0</v>
      </c>
      <c r="AH327" s="198" t="n">
        <v>0</v>
      </c>
      <c r="AI327" s="198" t="n">
        <v>0</v>
      </c>
      <c r="AJ327" s="198" t="n">
        <v>0</v>
      </c>
      <c r="AK327" s="198" t="n">
        <v>0</v>
      </c>
      <c r="AL327" s="198" t="n">
        <v>0.01</v>
      </c>
      <c r="AM327" s="198" t="n">
        <v>0</v>
      </c>
      <c r="AN327" s="198" t="inlineStr">
        <is>
          <t>LOLO</t>
        </is>
      </c>
    </row>
    <row r="328">
      <c r="A328" s="212">
        <f>A327+1</f>
        <v/>
      </c>
      <c r="B328" s="214" t="inlineStr">
        <is>
          <t>Terminal Handling Charge</t>
        </is>
      </c>
      <c r="C328" s="214" t="inlineStr">
        <is>
          <t>SITC CONTAINER LINES (CAMBODIA) Co., Ltd.</t>
        </is>
      </c>
      <c r="D328" s="215" t="inlineStr">
        <is>
          <t>L001-107035863</t>
        </is>
      </c>
      <c r="E328" s="290" t="inlineStr">
        <is>
          <t>SITC2025-011486</t>
        </is>
      </c>
      <c r="F328" s="279" t="n">
        <v>45754</v>
      </c>
      <c r="G328" s="216" t="n"/>
      <c r="H328" s="564" t="n"/>
      <c r="I328" s="564" t="n">
        <v>1104552</v>
      </c>
      <c r="J328" s="213" t="inlineStr">
        <is>
          <t>អនុញ្ញាត (បានប្រកាស)</t>
        </is>
      </c>
      <c r="K328" s="213" t="n"/>
      <c r="L328" s="563">
        <f>I328</f>
        <v/>
      </c>
      <c r="M328" s="536">
        <f>I328-L328</f>
        <v/>
      </c>
      <c r="N328" s="213" t="n"/>
      <c r="O328" s="218">
        <f>U328=E328</f>
        <v/>
      </c>
      <c r="P328" s="218">
        <f>MONTH(F328)-MONTH(T328)</f>
        <v/>
      </c>
      <c r="Q328" s="218">
        <f>$B$5=X328</f>
        <v/>
      </c>
      <c r="R328" s="218">
        <f>I328-AD328</f>
        <v/>
      </c>
      <c r="S328" s="298" t="n"/>
      <c r="T328" s="299" t="n">
        <v>45754</v>
      </c>
      <c r="U328" s="298" t="inlineStr">
        <is>
          <t>SITC2025-011486</t>
        </is>
      </c>
      <c r="V328" s="298" t="n">
        <v>0</v>
      </c>
      <c r="W328" s="298" t="inlineStr">
        <is>
          <t>បុគ្គលជាប់អាករ</t>
        </is>
      </c>
      <c r="X328" s="298" t="inlineStr">
        <is>
          <t>L001-901640009</t>
        </is>
      </c>
      <c r="Y328" s="298" t="inlineStr">
        <is>
          <t>ហូលីដេ ឌីហ្សាញ (ខេមបូឌា) ឯ.ក</t>
        </is>
      </c>
      <c r="Z328" s="300" t="n">
        <v>12150072</v>
      </c>
      <c r="AA328" s="300" t="n">
        <v>11045520</v>
      </c>
      <c r="AB328" s="298" t="n">
        <v>0</v>
      </c>
      <c r="AC328" s="298" t="inlineStr">
        <is>
          <t>-</t>
        </is>
      </c>
      <c r="AD328" s="300" t="n">
        <v>1104552</v>
      </c>
      <c r="AE328" s="298" t="n">
        <v>0</v>
      </c>
      <c r="AF328" s="562" t="n">
        <v>0</v>
      </c>
      <c r="AG328" s="198" t="n">
        <v>0</v>
      </c>
      <c r="AH328" s="198" t="n">
        <v>0</v>
      </c>
      <c r="AI328" s="198" t="n">
        <v>0</v>
      </c>
      <c r="AJ328" s="198" t="n">
        <v>0</v>
      </c>
      <c r="AK328" s="198" t="n">
        <v>0</v>
      </c>
      <c r="AL328" s="198" t="n">
        <v>0.01</v>
      </c>
      <c r="AM328" s="198" t="n">
        <v>0</v>
      </c>
      <c r="AN328" s="198" t="inlineStr">
        <is>
          <t>KHDOC,KHCIC,EMF,KHTHC,EIB</t>
        </is>
      </c>
    </row>
    <row r="329">
      <c r="A329" s="212">
        <f>A328+1</f>
        <v/>
      </c>
      <c r="B329" s="214" t="inlineStr">
        <is>
          <t>Trucking &amp; Clearance-Im</t>
        </is>
      </c>
      <c r="C329" s="214" t="inlineStr">
        <is>
          <t>BRILLIANT TRANSPORT AND TRADING Co., Ltd.</t>
        </is>
      </c>
      <c r="D329" s="215" t="inlineStr">
        <is>
          <t>K002-100089305</t>
        </is>
      </c>
      <c r="E329" s="290" t="inlineStr">
        <is>
          <t>BTT25-0000879</t>
        </is>
      </c>
      <c r="F329" s="279" t="n">
        <v>45758</v>
      </c>
      <c r="G329" s="216" t="n"/>
      <c r="H329" s="564" t="n"/>
      <c r="I329" s="564" t="n">
        <v>2223330</v>
      </c>
      <c r="J329" s="213" t="inlineStr">
        <is>
          <t>អនុញ្ញាត (បានប្រកាស)</t>
        </is>
      </c>
      <c r="K329" s="213" t="n"/>
      <c r="L329" s="563">
        <f>I329</f>
        <v/>
      </c>
      <c r="M329" s="536">
        <f>I329-L329</f>
        <v/>
      </c>
      <c r="N329" s="213" t="n"/>
      <c r="O329" s="218">
        <f>U329=E329</f>
        <v/>
      </c>
      <c r="P329" s="218">
        <f>MONTH(F329)-MONTH(T329)</f>
        <v/>
      </c>
      <c r="Q329" s="218">
        <f>$B$5=X329</f>
        <v/>
      </c>
      <c r="R329" s="218">
        <f>I329-AD329</f>
        <v/>
      </c>
      <c r="S329" s="298" t="n"/>
      <c r="T329" s="299" t="n">
        <v>45758</v>
      </c>
      <c r="U329" s="298" t="inlineStr">
        <is>
          <t>BTT25-0000879</t>
        </is>
      </c>
      <c r="V329" s="298" t="n">
        <v>0</v>
      </c>
      <c r="W329" s="298" t="inlineStr">
        <is>
          <t>បុគ្គលជាប់អាករ</t>
        </is>
      </c>
      <c r="X329" s="298" t="inlineStr">
        <is>
          <t>L001-901640009</t>
        </is>
      </c>
      <c r="Y329" s="298" t="inlineStr">
        <is>
          <t>ហូលីដេ ឌីហ្សាញ (ខេមបូឌា) ឯ.ក</t>
        </is>
      </c>
      <c r="Z329" s="300" t="n">
        <v>24456630</v>
      </c>
      <c r="AA329" s="300" t="n">
        <v>22233300</v>
      </c>
      <c r="AB329" s="298" t="n">
        <v>0</v>
      </c>
      <c r="AC329" s="298" t="inlineStr">
        <is>
          <t>-</t>
        </is>
      </c>
      <c r="AD329" s="300" t="n">
        <v>2223330</v>
      </c>
      <c r="AE329" s="298" t="n">
        <v>0</v>
      </c>
      <c r="AF329" s="562" t="n">
        <v>0</v>
      </c>
      <c r="AG329" s="198" t="n">
        <v>0</v>
      </c>
      <c r="AH329" s="198" t="n">
        <v>0</v>
      </c>
      <c r="AI329" s="198" t="n">
        <v>0</v>
      </c>
      <c r="AJ329" s="198" t="n">
        <v>0</v>
      </c>
      <c r="AK329" s="198" t="n">
        <v>0</v>
      </c>
      <c r="AL329" s="198" t="n">
        <v>0.01</v>
      </c>
      <c r="AM329" s="198" t="n">
        <v>0</v>
      </c>
      <c r="AN329" s="198" t="inlineStr">
        <is>
          <t>Truking / Service</t>
        </is>
      </c>
    </row>
    <row r="330">
      <c r="A330" s="212">
        <f>A329+1</f>
        <v/>
      </c>
      <c r="B330" s="214" t="inlineStr">
        <is>
          <t>Lift-On &amp; Lift-On-Im</t>
        </is>
      </c>
      <c r="C330" s="214" t="inlineStr">
        <is>
          <t>Port Autonome Du Sihanoukville</t>
        </is>
      </c>
      <c r="D330" s="215" t="inlineStr">
        <is>
          <t>L001-100044638</t>
        </is>
      </c>
      <c r="E330" s="290" t="n">
        <v>202500074487</v>
      </c>
      <c r="F330" s="279" t="n">
        <v>45754</v>
      </c>
      <c r="G330" s="216" t="n"/>
      <c r="H330" s="564" t="n"/>
      <c r="I330" s="564" t="n">
        <v>487444</v>
      </c>
      <c r="J330" s="213" t="inlineStr">
        <is>
          <t>អនុញ្ញាត (បានប្រកាស)</t>
        </is>
      </c>
      <c r="K330" s="213" t="n"/>
      <c r="L330" s="563">
        <f>I330</f>
        <v/>
      </c>
      <c r="M330" s="536">
        <f>I330-L330</f>
        <v/>
      </c>
      <c r="N330" s="213" t="n"/>
      <c r="O330" s="218">
        <f>U330=E330</f>
        <v/>
      </c>
      <c r="P330" s="218">
        <f>MONTH(F330)-MONTH(T330)</f>
        <v/>
      </c>
      <c r="Q330" s="218">
        <f>$B$5=X330</f>
        <v/>
      </c>
      <c r="R330" s="218">
        <f>I330-AD330</f>
        <v/>
      </c>
      <c r="S330" s="298" t="n"/>
      <c r="T330" s="299" t="n">
        <v>45754</v>
      </c>
      <c r="U330" s="298" t="n">
        <v>202500074487</v>
      </c>
      <c r="V330" s="298" t="n">
        <v>0</v>
      </c>
      <c r="W330" s="298" t="inlineStr">
        <is>
          <t>បុគ្គលជាប់អាករ</t>
        </is>
      </c>
      <c r="X330" s="298" t="inlineStr">
        <is>
          <t>L001-901640009</t>
        </is>
      </c>
      <c r="Y330" s="298" t="inlineStr">
        <is>
          <t>ហូលីដេ ឌីហ្សាញ (ខេមបូឌា) ឯ.ក</t>
        </is>
      </c>
      <c r="Z330" s="300" t="n">
        <v>5361880</v>
      </c>
      <c r="AA330" s="300" t="n">
        <v>4874436</v>
      </c>
      <c r="AB330" s="298" t="n">
        <v>0</v>
      </c>
      <c r="AC330" s="298" t="inlineStr">
        <is>
          <t>-</t>
        </is>
      </c>
      <c r="AD330" s="300" t="n">
        <v>487444</v>
      </c>
      <c r="AE330" s="298" t="n">
        <v>0</v>
      </c>
      <c r="AF330" s="562" t="n">
        <v>0</v>
      </c>
      <c r="AG330" s="198" t="n">
        <v>0</v>
      </c>
      <c r="AH330" s="198" t="n">
        <v>0</v>
      </c>
      <c r="AI330" s="198" t="n">
        <v>0</v>
      </c>
      <c r="AJ330" s="198" t="n">
        <v>0</v>
      </c>
      <c r="AK330" s="198" t="n">
        <v>0</v>
      </c>
      <c r="AL330" s="198" t="n">
        <v>0.01</v>
      </c>
      <c r="AM330" s="198" t="n">
        <v>0</v>
      </c>
      <c r="AN330" s="198" t="inlineStr">
        <is>
          <t>LOLO</t>
        </is>
      </c>
    </row>
    <row r="331">
      <c r="A331" s="212">
        <f>A330+1</f>
        <v/>
      </c>
      <c r="B331" s="214" t="inlineStr">
        <is>
          <t>Terminal Handling Charge</t>
        </is>
      </c>
      <c r="C331" s="214" t="inlineStr">
        <is>
          <t>SITC CONTAINER LINES (CAMBODIA) Co., Ltd.</t>
        </is>
      </c>
      <c r="D331" s="215" t="inlineStr">
        <is>
          <t>L001-107035863</t>
        </is>
      </c>
      <c r="E331" s="290" t="inlineStr">
        <is>
          <t>SITC2025-010228</t>
        </is>
      </c>
      <c r="F331" s="279" t="n">
        <v>45749</v>
      </c>
      <c r="G331" s="216" t="n"/>
      <c r="H331" s="564" t="n"/>
      <c r="I331" s="564" t="n">
        <v>2936000</v>
      </c>
      <c r="J331" s="213" t="inlineStr">
        <is>
          <t>អនុញ្ញាត (បានប្រកាស)</t>
        </is>
      </c>
      <c r="K331" s="213" t="n"/>
      <c r="L331" s="563">
        <f>I331</f>
        <v/>
      </c>
      <c r="M331" s="536">
        <f>I331-L331</f>
        <v/>
      </c>
      <c r="N331" s="213" t="n"/>
      <c r="O331" s="218">
        <f>U331=E331</f>
        <v/>
      </c>
      <c r="P331" s="218">
        <f>MONTH(F331)-MONTH(T331)</f>
        <v/>
      </c>
      <c r="Q331" s="218">
        <f>$B$5=X331</f>
        <v/>
      </c>
      <c r="R331" s="218">
        <f>I331-AD331</f>
        <v/>
      </c>
      <c r="S331" s="298" t="n"/>
      <c r="T331" s="299" t="n">
        <v>45748</v>
      </c>
      <c r="U331" s="298" t="inlineStr">
        <is>
          <t>SITC2025-010228</t>
        </is>
      </c>
      <c r="V331" s="298" t="n">
        <v>0</v>
      </c>
      <c r="W331" s="298" t="inlineStr">
        <is>
          <t>បុគ្គលជាប់អាករ</t>
        </is>
      </c>
      <c r="X331" s="298" t="inlineStr">
        <is>
          <t>L001-901640009</t>
        </is>
      </c>
      <c r="Y331" s="298" t="inlineStr">
        <is>
          <t>ហូលីដេ ឌីហ្សាញ (ខេមបូឌា) ឯ.ក</t>
        </is>
      </c>
      <c r="Z331" s="300" t="n">
        <v>32296000</v>
      </c>
      <c r="AA331" s="300" t="n">
        <v>29360000</v>
      </c>
      <c r="AB331" s="298" t="n">
        <v>0</v>
      </c>
      <c r="AC331" s="298" t="inlineStr">
        <is>
          <t>-</t>
        </is>
      </c>
      <c r="AD331" s="300" t="n">
        <v>2936000</v>
      </c>
      <c r="AE331" s="298" t="n">
        <v>0</v>
      </c>
      <c r="AF331" s="562" t="n">
        <v>0</v>
      </c>
      <c r="AG331" s="198" t="n">
        <v>0</v>
      </c>
      <c r="AH331" s="198" t="n">
        <v>0</v>
      </c>
      <c r="AI331" s="198" t="n">
        <v>0</v>
      </c>
      <c r="AJ331" s="198" t="n">
        <v>0</v>
      </c>
      <c r="AK331" s="198" t="n">
        <v>0</v>
      </c>
      <c r="AL331" s="198" t="n">
        <v>0.01</v>
      </c>
      <c r="AM331" s="198" t="n">
        <v>0</v>
      </c>
      <c r="AN331" s="198" t="inlineStr">
        <is>
          <t>KHDOC,EMF,EIB,KHTHC,KHCIC</t>
        </is>
      </c>
    </row>
    <row r="332">
      <c r="A332" s="212">
        <f>A331+1</f>
        <v/>
      </c>
      <c r="B332" s="214" t="inlineStr">
        <is>
          <t>Trucking &amp; Clearance-Im</t>
        </is>
      </c>
      <c r="C332" s="214" t="inlineStr">
        <is>
          <t>BRILLIANT TRANSPORT AND TRADING Co., Ltd.</t>
        </is>
      </c>
      <c r="D332" s="215" t="inlineStr">
        <is>
          <t>K002-100089305</t>
        </is>
      </c>
      <c r="E332" s="290" t="inlineStr">
        <is>
          <t>BTT25-0000807</t>
        </is>
      </c>
      <c r="F332" s="279" t="n">
        <v>45754</v>
      </c>
      <c r="G332" s="216" t="n"/>
      <c r="H332" s="564" t="n"/>
      <c r="I332" s="564" t="n">
        <v>3273636</v>
      </c>
      <c r="J332" s="213" t="inlineStr">
        <is>
          <t>អនុញ្ញាត (បានប្រកាស)</t>
        </is>
      </c>
      <c r="K332" s="213" t="n"/>
      <c r="L332" s="563">
        <f>I332</f>
        <v/>
      </c>
      <c r="M332" s="536">
        <f>I332-L332</f>
        <v/>
      </c>
      <c r="N332" s="213" t="n"/>
      <c r="O332" s="218">
        <f>U332=E332</f>
        <v/>
      </c>
      <c r="P332" s="218">
        <f>MONTH(F332)-MONTH(T332)</f>
        <v/>
      </c>
      <c r="Q332" s="218">
        <f>$B$5=X332</f>
        <v/>
      </c>
      <c r="R332" s="218">
        <f>I332-AD332</f>
        <v/>
      </c>
      <c r="S332" s="298" t="n"/>
      <c r="T332" s="299" t="n">
        <v>45754</v>
      </c>
      <c r="U332" s="298" t="inlineStr">
        <is>
          <t>BTT25-0000807</t>
        </is>
      </c>
      <c r="V332" s="298" t="n">
        <v>0</v>
      </c>
      <c r="W332" s="298" t="inlineStr">
        <is>
          <t>បុគ្គលជាប់អាករ</t>
        </is>
      </c>
      <c r="X332" s="298" t="inlineStr">
        <is>
          <t>L001-901640009</t>
        </is>
      </c>
      <c r="Y332" s="298" t="inlineStr">
        <is>
          <t>ហូលីដេ ឌីហ្សាញ (ខេមបូឌា) ឯ.ក</t>
        </is>
      </c>
      <c r="Z332" s="300" t="n">
        <v>36009996</v>
      </c>
      <c r="AA332" s="300" t="n">
        <v>32736360</v>
      </c>
      <c r="AB332" s="298" t="n">
        <v>0</v>
      </c>
      <c r="AC332" s="298" t="inlineStr">
        <is>
          <t>-</t>
        </is>
      </c>
      <c r="AD332" s="300" t="n">
        <v>3273636</v>
      </c>
      <c r="AE332" s="298" t="n">
        <v>0</v>
      </c>
      <c r="AF332" s="562" t="n">
        <v>0</v>
      </c>
      <c r="AG332" s="198" t="n">
        <v>0</v>
      </c>
      <c r="AH332" s="198" t="n">
        <v>0</v>
      </c>
      <c r="AI332" s="198" t="n">
        <v>0</v>
      </c>
      <c r="AJ332" s="198" t="n">
        <v>0</v>
      </c>
      <c r="AK332" s="198" t="n">
        <v>0</v>
      </c>
      <c r="AL332" s="198" t="n">
        <v>0.01</v>
      </c>
      <c r="AM332" s="198" t="n">
        <v>0</v>
      </c>
      <c r="AN332" s="198" t="inlineStr">
        <is>
          <t>Truking / Service</t>
        </is>
      </c>
    </row>
    <row r="333">
      <c r="A333" s="212">
        <f>A332+1</f>
        <v/>
      </c>
      <c r="B333" s="214" t="inlineStr">
        <is>
          <t>Repair Container Fee</t>
        </is>
      </c>
      <c r="C333" s="214" t="inlineStr">
        <is>
          <t>BRILLIANT TRANSPORT AND TRADING Co., Ltd.</t>
        </is>
      </c>
      <c r="D333" s="215" t="inlineStr">
        <is>
          <t>K002-100089305</t>
        </is>
      </c>
      <c r="E333" s="290" t="inlineStr">
        <is>
          <t>BTT25-0000766</t>
        </is>
      </c>
      <c r="F333" s="279" t="n">
        <v>45748</v>
      </c>
      <c r="G333" s="216" t="n"/>
      <c r="H333" s="564" t="n"/>
      <c r="I333" s="564" t="n">
        <v>164000</v>
      </c>
      <c r="J333" s="213" t="inlineStr">
        <is>
          <t>អនុញ្ញាត (បានប្រកាស)</t>
        </is>
      </c>
      <c r="K333" s="213" t="n"/>
      <c r="L333" s="563">
        <f>I333</f>
        <v/>
      </c>
      <c r="M333" s="536">
        <f>I333-L333</f>
        <v/>
      </c>
      <c r="N333" s="213" t="n"/>
      <c r="O333" s="218">
        <f>U333=E333</f>
        <v/>
      </c>
      <c r="P333" s="218">
        <f>MONTH(F333)-MONTH(T333)</f>
        <v/>
      </c>
      <c r="Q333" s="218">
        <f>$B$5=X333</f>
        <v/>
      </c>
      <c r="R333" s="218">
        <f>I333-AD333</f>
        <v/>
      </c>
      <c r="S333" s="298" t="n"/>
      <c r="T333" s="299" t="n">
        <v>45748</v>
      </c>
      <c r="U333" s="298" t="inlineStr">
        <is>
          <t>BTT25-0000766</t>
        </is>
      </c>
      <c r="V333" s="298" t="n">
        <v>0</v>
      </c>
      <c r="W333" s="298" t="inlineStr">
        <is>
          <t>បុគ្គលជាប់អាករ</t>
        </is>
      </c>
      <c r="X333" s="298" t="inlineStr">
        <is>
          <t>L001-901640009</t>
        </is>
      </c>
      <c r="Y333" s="298" t="inlineStr">
        <is>
          <t>ហូលីដេ ឌីហ្សាញ (ខេមបូឌា) ឯ.ក</t>
        </is>
      </c>
      <c r="Z333" s="300" t="n">
        <v>1804000</v>
      </c>
      <c r="AA333" s="300" t="n">
        <v>1640000</v>
      </c>
      <c r="AB333" s="298" t="n">
        <v>0</v>
      </c>
      <c r="AC333" s="298" t="inlineStr">
        <is>
          <t>-</t>
        </is>
      </c>
      <c r="AD333" s="300" t="n">
        <v>164000</v>
      </c>
      <c r="AE333" s="298" t="n">
        <v>0</v>
      </c>
      <c r="AF333" s="562" t="n">
        <v>0</v>
      </c>
      <c r="AG333" s="198" t="n">
        <v>0</v>
      </c>
      <c r="AH333" s="198" t="n">
        <v>0</v>
      </c>
      <c r="AI333" s="198" t="n">
        <v>0</v>
      </c>
      <c r="AJ333" s="198" t="n">
        <v>0</v>
      </c>
      <c r="AK333" s="198" t="n">
        <v>0</v>
      </c>
      <c r="AL333" s="198" t="n">
        <v>0.01</v>
      </c>
      <c r="AM333" s="198" t="n">
        <v>0</v>
      </c>
      <c r="AN333" s="198" t="inlineStr">
        <is>
          <t>Truking / Service</t>
        </is>
      </c>
    </row>
    <row r="334">
      <c r="A334" s="212">
        <f>A333+1</f>
        <v/>
      </c>
      <c r="B334" s="214" t="inlineStr">
        <is>
          <t>Lift-On &amp; Lift-On-Im</t>
        </is>
      </c>
      <c r="C334" s="214" t="inlineStr">
        <is>
          <t>Port Autonome Du Sihanoukville</t>
        </is>
      </c>
      <c r="D334" s="215" t="inlineStr">
        <is>
          <t>L001-100044638</t>
        </is>
      </c>
      <c r="E334" s="290" t="n">
        <v>202500073701</v>
      </c>
      <c r="F334" s="279" t="n">
        <v>45751</v>
      </c>
      <c r="G334" s="216" t="n"/>
      <c r="H334" s="564" t="n"/>
      <c r="I334" s="564" t="n">
        <v>174131</v>
      </c>
      <c r="J334" s="213" t="inlineStr">
        <is>
          <t>អនុញ្ញាត (បានប្រកាស)</t>
        </is>
      </c>
      <c r="K334" s="213" t="n"/>
      <c r="L334" s="563">
        <f>I334</f>
        <v/>
      </c>
      <c r="M334" s="536">
        <f>I334-L334</f>
        <v/>
      </c>
      <c r="N334" s="213" t="n"/>
      <c r="O334" s="218">
        <f>U334=E334</f>
        <v/>
      </c>
      <c r="P334" s="218">
        <f>MONTH(F334)-MONTH(T334)</f>
        <v/>
      </c>
      <c r="Q334" s="218">
        <f>$B$5=X334</f>
        <v/>
      </c>
      <c r="R334" s="218">
        <f>I334-AD334</f>
        <v/>
      </c>
      <c r="S334" s="298" t="n"/>
      <c r="T334" s="299" t="n">
        <v>45751</v>
      </c>
      <c r="U334" s="298" t="n">
        <v>202500073701</v>
      </c>
      <c r="V334" s="298" t="n">
        <v>0</v>
      </c>
      <c r="W334" s="298" t="inlineStr">
        <is>
          <t>បុគ្គលជាប់អាករ</t>
        </is>
      </c>
      <c r="X334" s="298" t="inlineStr">
        <is>
          <t>L001-901640009</t>
        </is>
      </c>
      <c r="Y334" s="298" t="inlineStr">
        <is>
          <t>ហូលីដេ ឌីហ្សាញ (ខេមបូឌា) ឯ.ក</t>
        </is>
      </c>
      <c r="Z334" s="300" t="n">
        <v>1915436</v>
      </c>
      <c r="AA334" s="300" t="n">
        <v>1741305</v>
      </c>
      <c r="AB334" s="298" t="n">
        <v>0</v>
      </c>
      <c r="AC334" s="298" t="inlineStr">
        <is>
          <t>-</t>
        </is>
      </c>
      <c r="AD334" s="300" t="n">
        <v>174131</v>
      </c>
      <c r="AE334" s="298" t="n">
        <v>0</v>
      </c>
      <c r="AF334" s="562" t="n">
        <v>0</v>
      </c>
      <c r="AG334" s="198" t="n">
        <v>0</v>
      </c>
      <c r="AH334" s="198" t="n">
        <v>0</v>
      </c>
      <c r="AI334" s="198" t="n">
        <v>0</v>
      </c>
      <c r="AJ334" s="198" t="n">
        <v>0</v>
      </c>
      <c r="AK334" s="198" t="n">
        <v>0</v>
      </c>
      <c r="AL334" s="198" t="n">
        <v>0.01</v>
      </c>
      <c r="AM334" s="198" t="n">
        <v>0</v>
      </c>
      <c r="AN334" s="198" t="inlineStr">
        <is>
          <t>LOLO</t>
        </is>
      </c>
    </row>
    <row r="335">
      <c r="A335" s="212">
        <f>A334+1</f>
        <v/>
      </c>
      <c r="B335" s="214" t="inlineStr">
        <is>
          <t>Terminal Handling Charge</t>
        </is>
      </c>
      <c r="C335" s="214" t="inlineStr">
        <is>
          <t>KERRY LOGISTICS (CAMBODIA) PTE. LTD.</t>
        </is>
      </c>
      <c r="D335" s="215" t="inlineStr">
        <is>
          <t>L001-100074669</t>
        </is>
      </c>
      <c r="E335" s="290" t="inlineStr">
        <is>
          <t>IVP07441</t>
        </is>
      </c>
      <c r="F335" s="279" t="n">
        <v>45790</v>
      </c>
      <c r="G335" s="216" t="n"/>
      <c r="H335" s="564" t="n"/>
      <c r="I335" s="564" t="n">
        <v>170085</v>
      </c>
      <c r="J335" s="213" t="inlineStr">
        <is>
          <t>អនុញ្ញាត (បានប្រកាស)</t>
        </is>
      </c>
      <c r="K335" s="213" t="n"/>
      <c r="L335" s="563">
        <f>I335</f>
        <v/>
      </c>
      <c r="M335" s="536">
        <f>I335-L335</f>
        <v/>
      </c>
      <c r="N335" s="213" t="n"/>
      <c r="O335" s="218">
        <f>U335=E335</f>
        <v/>
      </c>
      <c r="P335" s="218">
        <f>MONTH(F335)-MONTH(T335)</f>
        <v/>
      </c>
      <c r="Q335" s="218">
        <f>$B$5=X335</f>
        <v/>
      </c>
      <c r="R335" s="218">
        <f>I335-AD335</f>
        <v/>
      </c>
      <c r="S335" s="298" t="n"/>
      <c r="T335" s="299" t="n">
        <v>45790</v>
      </c>
      <c r="U335" s="298" t="inlineStr">
        <is>
          <t>IVP07441</t>
        </is>
      </c>
      <c r="V335" s="298" t="n">
        <v>0</v>
      </c>
      <c r="W335" s="298" t="inlineStr">
        <is>
          <t>បុគ្គលជាប់អាករ</t>
        </is>
      </c>
      <c r="X335" s="298" t="inlineStr">
        <is>
          <t>L001-901640009</t>
        </is>
      </c>
      <c r="Y335" s="298" t="inlineStr">
        <is>
          <t>ហូលីដេ ឌីហ្សាញ (ខេមបូឌា) ឯ.ក</t>
        </is>
      </c>
      <c r="Z335" s="300" t="n">
        <v>1870935</v>
      </c>
      <c r="AA335" s="300" t="n">
        <v>1700850</v>
      </c>
      <c r="AB335" s="298" t="n">
        <v>0</v>
      </c>
      <c r="AC335" s="298" t="inlineStr">
        <is>
          <t>-</t>
        </is>
      </c>
      <c r="AD335" s="300" t="n">
        <v>170085</v>
      </c>
      <c r="AE335" s="298" t="n">
        <v>0</v>
      </c>
      <c r="AF335" s="562" t="n">
        <v>0</v>
      </c>
      <c r="AG335" s="198" t="n">
        <v>0</v>
      </c>
      <c r="AH335" s="198" t="n">
        <v>0</v>
      </c>
      <c r="AI335" s="198" t="n">
        <v>0</v>
      </c>
      <c r="AJ335" s="198" t="n">
        <v>0</v>
      </c>
      <c r="AK335" s="198" t="n">
        <v>0</v>
      </c>
      <c r="AL335" s="198" t="n">
        <v>0.01</v>
      </c>
      <c r="AM335" s="198" t="n">
        <v>0</v>
      </c>
      <c r="AN335" s="198" t="inlineStr">
        <is>
          <t>នាំចេញទំនិញតាមផ្លូវទឹក</t>
        </is>
      </c>
      <c r="AO335" s="198" t="inlineStr">
        <is>
          <t>បានប្រកាសនិងបង់ពន្ធ</t>
        </is>
      </c>
    </row>
    <row r="336">
      <c r="A336" s="212">
        <f>A335+1</f>
        <v/>
      </c>
      <c r="B336" s="214" t="inlineStr">
        <is>
          <t>Storage charges-Im</t>
        </is>
      </c>
      <c r="C336" s="214" t="inlineStr">
        <is>
          <t>Port Autonome Du Sihanoukville</t>
        </is>
      </c>
      <c r="D336" s="215" t="inlineStr">
        <is>
          <t>L001-100044638</t>
        </is>
      </c>
      <c r="E336" s="290" t="n">
        <v>202500091494</v>
      </c>
      <c r="F336" s="279" t="n">
        <v>45772</v>
      </c>
      <c r="G336" s="216" t="n"/>
      <c r="H336" s="564" t="n"/>
      <c r="I336" s="564" t="n">
        <v>72054</v>
      </c>
      <c r="J336" s="213" t="inlineStr">
        <is>
          <t>អនុញ្ញាត (បានប្រកាស)</t>
        </is>
      </c>
      <c r="K336" s="213" t="n"/>
      <c r="L336" s="563">
        <f>I336</f>
        <v/>
      </c>
      <c r="M336" s="536">
        <f>I336-L336</f>
        <v/>
      </c>
      <c r="N336" s="213" t="n"/>
      <c r="O336" s="218">
        <f>U336=E336</f>
        <v/>
      </c>
      <c r="P336" s="218">
        <f>MONTH(F336)-MONTH(T336)</f>
        <v/>
      </c>
      <c r="Q336" s="218">
        <f>$B$5=X336</f>
        <v/>
      </c>
      <c r="R336" s="218">
        <f>I336-AD336</f>
        <v/>
      </c>
      <c r="S336" s="298" t="n"/>
      <c r="T336" s="299" t="n">
        <v>45772</v>
      </c>
      <c r="U336" s="298" t="n">
        <v>202500091494</v>
      </c>
      <c r="V336" s="298" t="n">
        <v>0</v>
      </c>
      <c r="W336" s="298" t="inlineStr">
        <is>
          <t>បុគ្គលជាប់អាករ</t>
        </is>
      </c>
      <c r="X336" s="298" t="inlineStr">
        <is>
          <t>L001-901640009</t>
        </is>
      </c>
      <c r="Y336" s="298" t="inlineStr">
        <is>
          <t>ហូលីដេ ឌីហ្សាញ (ខេមបូឌា) ឯ.ក</t>
        </is>
      </c>
      <c r="Z336" s="300" t="n">
        <v>792594</v>
      </c>
      <c r="AA336" s="300" t="n">
        <v>720540</v>
      </c>
      <c r="AB336" s="298" t="n">
        <v>0</v>
      </c>
      <c r="AC336" s="298" t="inlineStr">
        <is>
          <t>-</t>
        </is>
      </c>
      <c r="AD336" s="300" t="n">
        <v>72054</v>
      </c>
      <c r="AE336" s="298" t="n">
        <v>0</v>
      </c>
      <c r="AF336" s="562" t="n">
        <v>0</v>
      </c>
      <c r="AG336" s="198" t="n">
        <v>0</v>
      </c>
      <c r="AH336" s="198" t="n">
        <v>0</v>
      </c>
      <c r="AI336" s="198" t="n">
        <v>0</v>
      </c>
      <c r="AJ336" s="198" t="n">
        <v>0</v>
      </c>
      <c r="AK336" s="198" t="n">
        <v>0</v>
      </c>
      <c r="AL336" s="198" t="n">
        <v>0.01</v>
      </c>
      <c r="AM336" s="198" t="n">
        <v>0</v>
      </c>
      <c r="AN336" s="198" t="inlineStr">
        <is>
          <t>Storage</t>
        </is>
      </c>
    </row>
    <row r="337">
      <c r="A337" s="212">
        <f>A336+1</f>
        <v/>
      </c>
      <c r="B337" s="214" t="inlineStr">
        <is>
          <t>Lift-On &amp; Lift-On-Im</t>
        </is>
      </c>
      <c r="C337" s="214" t="inlineStr">
        <is>
          <t>Port Autonome Du Sihanoukville</t>
        </is>
      </c>
      <c r="D337" s="215" t="inlineStr">
        <is>
          <t>L001-100044638</t>
        </is>
      </c>
      <c r="E337" s="290" t="n">
        <v>202500073702</v>
      </c>
      <c r="F337" s="279" t="n">
        <v>45751</v>
      </c>
      <c r="G337" s="216" t="n"/>
      <c r="H337" s="564" t="n"/>
      <c r="I337" s="564" t="n">
        <v>348261</v>
      </c>
      <c r="J337" s="213" t="inlineStr">
        <is>
          <t>អនុញ្ញាត (បានប្រកាស)</t>
        </is>
      </c>
      <c r="K337" s="213" t="n"/>
      <c r="L337" s="563">
        <f>I337</f>
        <v/>
      </c>
      <c r="M337" s="536">
        <f>I337-L337</f>
        <v/>
      </c>
      <c r="N337" s="213" t="n"/>
      <c r="O337" s="218">
        <f>U337=E337</f>
        <v/>
      </c>
      <c r="P337" s="218">
        <f>MONTH(F337)-MONTH(T337)</f>
        <v/>
      </c>
      <c r="Q337" s="218">
        <f>$B$5=X337</f>
        <v/>
      </c>
      <c r="R337" s="218">
        <f>I337-AD337</f>
        <v/>
      </c>
      <c r="S337" s="298" t="n"/>
      <c r="T337" s="299" t="n">
        <v>45751</v>
      </c>
      <c r="U337" s="298" t="n">
        <v>202500073702</v>
      </c>
      <c r="V337" s="298" t="n">
        <v>0</v>
      </c>
      <c r="W337" s="298" t="inlineStr">
        <is>
          <t>បុគ្គលជាប់អាករ</t>
        </is>
      </c>
      <c r="X337" s="298" t="inlineStr">
        <is>
          <t>L001-901640009</t>
        </is>
      </c>
      <c r="Y337" s="298" t="inlineStr">
        <is>
          <t>ហូលីដេ ឌីហ្សាញ (ខេមបូឌា) ឯ.ក</t>
        </is>
      </c>
      <c r="Z337" s="300" t="n">
        <v>3830871</v>
      </c>
      <c r="AA337" s="300" t="n">
        <v>3482610</v>
      </c>
      <c r="AB337" s="298" t="n">
        <v>0</v>
      </c>
      <c r="AC337" s="298" t="inlineStr">
        <is>
          <t>-</t>
        </is>
      </c>
      <c r="AD337" s="300" t="n">
        <v>348261</v>
      </c>
      <c r="AE337" s="298" t="n">
        <v>0</v>
      </c>
      <c r="AF337" s="562" t="n">
        <v>0</v>
      </c>
      <c r="AG337" s="198" t="n">
        <v>0</v>
      </c>
      <c r="AH337" s="198" t="n">
        <v>0</v>
      </c>
      <c r="AI337" s="198" t="n">
        <v>0</v>
      </c>
      <c r="AJ337" s="198" t="n">
        <v>0</v>
      </c>
      <c r="AK337" s="198" t="n">
        <v>0</v>
      </c>
      <c r="AL337" s="198" t="n">
        <v>0.01</v>
      </c>
      <c r="AM337" s="198" t="n">
        <v>0</v>
      </c>
      <c r="AN337" s="198" t="inlineStr">
        <is>
          <t>LOLO</t>
        </is>
      </c>
    </row>
    <row r="338">
      <c r="A338" s="212">
        <f>A337+1</f>
        <v/>
      </c>
      <c r="B338" s="214" t="inlineStr">
        <is>
          <t>Telecom Service Usage Charge</t>
        </is>
      </c>
      <c r="C338" s="214" t="inlineStr">
        <is>
          <t>VIETTEL (CAMBODIA) PTE. LTD.</t>
        </is>
      </c>
      <c r="D338" s="215" t="inlineStr">
        <is>
          <t>L001-100121845</t>
        </is>
      </c>
      <c r="E338" s="290" t="inlineStr">
        <is>
          <t>MC/2025-0095268</t>
        </is>
      </c>
      <c r="F338" s="279" t="n">
        <v>45672</v>
      </c>
      <c r="G338" s="216" t="n"/>
      <c r="H338" s="564" t="n"/>
      <c r="I338" s="564" t="n">
        <v>724500</v>
      </c>
      <c r="J338" s="213" t="inlineStr">
        <is>
          <t>អនុញ្ញាត (បានប្រកាស)</t>
        </is>
      </c>
      <c r="K338" s="565">
        <f>L338</f>
        <v/>
      </c>
      <c r="L338" s="563">
        <f>AD338</f>
        <v/>
      </c>
      <c r="M338" s="536">
        <f>I338-L338</f>
        <v/>
      </c>
      <c r="N338" s="213" t="n"/>
      <c r="O338" s="218">
        <f>U338=E338</f>
        <v/>
      </c>
      <c r="P338" s="218">
        <f>MONTH(F338)-MONTH(T338)</f>
        <v/>
      </c>
      <c r="Q338" s="218">
        <f>$B$5=X338</f>
        <v/>
      </c>
      <c r="R338" s="218">
        <f>I338-AD338</f>
        <v/>
      </c>
      <c r="S338" s="298" t="n"/>
      <c r="T338" s="299" t="n">
        <v>45673</v>
      </c>
      <c r="U338" s="298" t="inlineStr">
        <is>
          <t>MC/2025-0095268</t>
        </is>
      </c>
      <c r="V338" s="298" t="n">
        <v>0</v>
      </c>
      <c r="W338" s="298" t="inlineStr">
        <is>
          <t>បុគ្គលជាប់អាករ</t>
        </is>
      </c>
      <c r="X338" s="298" t="inlineStr">
        <is>
          <t>L001-901640009</t>
        </is>
      </c>
      <c r="Y338" s="298" t="inlineStr">
        <is>
          <t>ហូលីដេ ឌីហ្សាញ (ខេមបូឌា) ឯ.ក</t>
        </is>
      </c>
      <c r="Z338" s="300" t="n">
        <v>7967520</v>
      </c>
      <c r="AA338" s="300" t="n">
        <v>7243200</v>
      </c>
      <c r="AB338" s="298" t="n">
        <v>0</v>
      </c>
      <c r="AC338" s="298" t="inlineStr">
        <is>
          <t>-</t>
        </is>
      </c>
      <c r="AD338" s="300" t="n">
        <v>724320</v>
      </c>
      <c r="AE338" s="298" t="n">
        <v>0</v>
      </c>
      <c r="AF338" s="562" t="n">
        <v>0</v>
      </c>
      <c r="AG338" s="198" t="n">
        <v>0</v>
      </c>
      <c r="AH338" s="198" t="n">
        <v>0</v>
      </c>
      <c r="AI338" s="198" t="n">
        <v>0</v>
      </c>
      <c r="AJ338" s="198" t="n">
        <v>0</v>
      </c>
      <c r="AK338" s="198" t="n">
        <v>0</v>
      </c>
      <c r="AL338" s="198" t="n">
        <v>0.01</v>
      </c>
      <c r="AM338" s="198" t="n">
        <v>0</v>
      </c>
      <c r="AN338" s="198" t="inlineStr">
        <is>
          <t>Fixed-FTTx</t>
        </is>
      </c>
      <c r="AO338" s="198" t="inlineStr">
        <is>
          <t>បានប្រកាសនិងបង់ពន្ធ</t>
        </is>
      </c>
    </row>
    <row r="339">
      <c r="A339" s="212">
        <f>A338+1</f>
        <v/>
      </c>
      <c r="B339" s="214" t="inlineStr">
        <is>
          <t>Trucking &amp; Clearance-Im</t>
        </is>
      </c>
      <c r="C339" s="214" t="inlineStr">
        <is>
          <t>BRILLIANT TRANSPORT AND TRADING Co., Ltd.</t>
        </is>
      </c>
      <c r="D339" s="215" t="inlineStr">
        <is>
          <t>K002-100089305</t>
        </is>
      </c>
      <c r="E339" s="290" t="inlineStr">
        <is>
          <t>BTT25-0000741</t>
        </is>
      </c>
      <c r="F339" s="279" t="n">
        <v>45751</v>
      </c>
      <c r="G339" s="216" t="n"/>
      <c r="H339" s="564" t="n"/>
      <c r="I339" s="564" t="n">
        <v>2145608</v>
      </c>
      <c r="J339" s="213" t="inlineStr">
        <is>
          <t>អនុញ្ញាត (បានប្រកាស)</t>
        </is>
      </c>
      <c r="K339" s="213" t="n"/>
      <c r="L339" s="563">
        <f>I339</f>
        <v/>
      </c>
      <c r="M339" s="536">
        <f>I339-L339</f>
        <v/>
      </c>
      <c r="N339" s="213" t="n"/>
      <c r="O339" s="218">
        <f>U339=E339</f>
        <v/>
      </c>
      <c r="P339" s="218">
        <f>MONTH(F339)-MONTH(T339)</f>
        <v/>
      </c>
      <c r="Q339" s="218">
        <f>$B$5=X339</f>
        <v/>
      </c>
      <c r="R339" s="218">
        <f>I339-AD339</f>
        <v/>
      </c>
      <c r="S339" s="298" t="n"/>
      <c r="T339" s="299" t="n">
        <v>45751</v>
      </c>
      <c r="U339" s="298" t="inlineStr">
        <is>
          <t>BTT25-0000741</t>
        </is>
      </c>
      <c r="V339" s="298" t="n">
        <v>0</v>
      </c>
      <c r="W339" s="298" t="inlineStr">
        <is>
          <t>បុគ្គលជាប់អាករ</t>
        </is>
      </c>
      <c r="X339" s="298" t="inlineStr">
        <is>
          <t>L001-901640009</t>
        </is>
      </c>
      <c r="Y339" s="298" t="inlineStr">
        <is>
          <t>ហូលីដេ ឌីហ្សាញ (ខេមបូឌា) ឯ.ក</t>
        </is>
      </c>
      <c r="Z339" s="300" t="n">
        <v>23601688</v>
      </c>
      <c r="AA339" s="300" t="n">
        <v>21456080</v>
      </c>
      <c r="AB339" s="298" t="n">
        <v>0</v>
      </c>
      <c r="AC339" s="298" t="inlineStr">
        <is>
          <t>-</t>
        </is>
      </c>
      <c r="AD339" s="300" t="n">
        <v>2145608</v>
      </c>
      <c r="AE339" s="298" t="n">
        <v>0</v>
      </c>
      <c r="AF339" s="562" t="n">
        <v>0</v>
      </c>
      <c r="AG339" s="198" t="n">
        <v>0</v>
      </c>
      <c r="AH339" s="198" t="n">
        <v>0</v>
      </c>
      <c r="AI339" s="198" t="n">
        <v>0</v>
      </c>
      <c r="AJ339" s="198" t="n">
        <v>0</v>
      </c>
      <c r="AK339" s="198" t="n">
        <v>0</v>
      </c>
      <c r="AL339" s="198" t="n">
        <v>0.01</v>
      </c>
      <c r="AM339" s="198" t="n">
        <v>0</v>
      </c>
      <c r="AN339" s="198" t="inlineStr">
        <is>
          <t>Truking / Service</t>
        </is>
      </c>
    </row>
    <row r="340">
      <c r="A340" s="212">
        <f>A339+1</f>
        <v/>
      </c>
      <c r="B340" s="214" t="inlineStr">
        <is>
          <t>Lift-On &amp; Lift-On-Im</t>
        </is>
      </c>
      <c r="C340" s="214" t="inlineStr">
        <is>
          <t>Port Autonome Du Sihanoukville</t>
        </is>
      </c>
      <c r="D340" s="215" t="inlineStr">
        <is>
          <t>L001-100044638</t>
        </is>
      </c>
      <c r="E340" s="290" t="n">
        <v>202500072119</v>
      </c>
      <c r="F340" s="279" t="n">
        <v>45750</v>
      </c>
      <c r="G340" s="216" t="n"/>
      <c r="H340" s="564" t="n"/>
      <c r="I340" s="564" t="n">
        <v>68400</v>
      </c>
      <c r="J340" s="213" t="inlineStr">
        <is>
          <t>អនុញ្ញាត (បានប្រកាស)</t>
        </is>
      </c>
      <c r="K340" s="213" t="n"/>
      <c r="L340" s="563">
        <f>I340</f>
        <v/>
      </c>
      <c r="M340" s="536">
        <f>I340-L340</f>
        <v/>
      </c>
      <c r="N340" s="213" t="n"/>
      <c r="O340" s="218">
        <f>U340=E340</f>
        <v/>
      </c>
      <c r="P340" s="218">
        <f>MONTH(F340)-MONTH(T340)</f>
        <v/>
      </c>
      <c r="Q340" s="218">
        <f>$B$5=X340</f>
        <v/>
      </c>
      <c r="R340" s="218">
        <f>I340-AD340</f>
        <v/>
      </c>
      <c r="S340" s="298" t="n"/>
      <c r="T340" s="299" t="n">
        <v>45750</v>
      </c>
      <c r="U340" s="298" t="n">
        <v>202500072119</v>
      </c>
      <c r="V340" s="298" t="n">
        <v>0</v>
      </c>
      <c r="W340" s="298" t="inlineStr">
        <is>
          <t>បុគ្គលជាប់អាករ</t>
        </is>
      </c>
      <c r="X340" s="298" t="inlineStr">
        <is>
          <t>L001-901640009</t>
        </is>
      </c>
      <c r="Y340" s="298" t="inlineStr">
        <is>
          <t>ហូលីដេ ឌីហ្សាញ (ខេមបូឌា) ឯ.ក</t>
        </is>
      </c>
      <c r="Z340" s="300" t="n">
        <v>752400</v>
      </c>
      <c r="AA340" s="300" t="n">
        <v>684000</v>
      </c>
      <c r="AB340" s="298" t="n">
        <v>0</v>
      </c>
      <c r="AC340" s="298" t="inlineStr">
        <is>
          <t>-</t>
        </is>
      </c>
      <c r="AD340" s="300" t="n">
        <v>68400</v>
      </c>
      <c r="AE340" s="298" t="n">
        <v>0</v>
      </c>
      <c r="AF340" s="562" t="n">
        <v>0</v>
      </c>
      <c r="AG340" s="198" t="n">
        <v>0</v>
      </c>
      <c r="AH340" s="198" t="n">
        <v>0</v>
      </c>
      <c r="AI340" s="198" t="n">
        <v>0</v>
      </c>
      <c r="AJ340" s="198" t="n">
        <v>0</v>
      </c>
      <c r="AK340" s="198" t="n">
        <v>0</v>
      </c>
      <c r="AL340" s="198" t="n">
        <v>0.01</v>
      </c>
      <c r="AM340" s="198" t="n">
        <v>0</v>
      </c>
      <c r="AN340" s="198" t="inlineStr">
        <is>
          <t>LOLO</t>
        </is>
      </c>
    </row>
    <row r="341">
      <c r="A341" s="212">
        <f>A340+1</f>
        <v/>
      </c>
      <c r="B341" s="214" t="inlineStr">
        <is>
          <t>Terminal Handling Charge</t>
        </is>
      </c>
      <c r="C341" s="214" t="inlineStr">
        <is>
          <t>SITC CONTAINER LINES (CAMBODIA) Co., Ltd.</t>
        </is>
      </c>
      <c r="D341" s="215" t="inlineStr">
        <is>
          <t>L001-107035863</t>
        </is>
      </c>
      <c r="E341" s="290" t="inlineStr">
        <is>
          <t>SITC2025-010100</t>
        </is>
      </c>
      <c r="F341" s="279" t="n">
        <v>45748</v>
      </c>
      <c r="G341" s="216" t="n"/>
      <c r="H341" s="564" t="n"/>
      <c r="I341" s="564" t="n">
        <v>384000</v>
      </c>
      <c r="J341" s="213" t="inlineStr">
        <is>
          <t>អនុញ្ញាត (បានប្រកាស)</t>
        </is>
      </c>
      <c r="K341" s="213" t="n"/>
      <c r="L341" s="563">
        <f>I341</f>
        <v/>
      </c>
      <c r="M341" s="536">
        <f>I341-L341</f>
        <v/>
      </c>
      <c r="N341" s="213" t="n"/>
      <c r="O341" s="218">
        <f>U341=E341</f>
        <v/>
      </c>
      <c r="P341" s="218">
        <f>MONTH(F341)-MONTH(T341)</f>
        <v/>
      </c>
      <c r="Q341" s="218">
        <f>$B$5=X341</f>
        <v/>
      </c>
      <c r="R341" s="218">
        <f>I341-AD341</f>
        <v/>
      </c>
      <c r="S341" s="298" t="n"/>
      <c r="T341" s="299" t="n">
        <v>45748</v>
      </c>
      <c r="U341" s="298" t="inlineStr">
        <is>
          <t>SITC2025-010100</t>
        </is>
      </c>
      <c r="V341" s="298" t="n">
        <v>0</v>
      </c>
      <c r="W341" s="298" t="inlineStr">
        <is>
          <t>បុគ្គលជាប់អាករ</t>
        </is>
      </c>
      <c r="X341" s="298" t="inlineStr">
        <is>
          <t>L001-901640009</t>
        </is>
      </c>
      <c r="Y341" s="298" t="inlineStr">
        <is>
          <t>ហូលីដេ ឌីហ្សាញ (ខេមបូឌា) ឯ.ក</t>
        </is>
      </c>
      <c r="Z341" s="300" t="n">
        <v>4224000</v>
      </c>
      <c r="AA341" s="300" t="n">
        <v>3840000</v>
      </c>
      <c r="AB341" s="298" t="n">
        <v>0</v>
      </c>
      <c r="AC341" s="298" t="inlineStr">
        <is>
          <t>-</t>
        </is>
      </c>
      <c r="AD341" s="300" t="n">
        <v>384000</v>
      </c>
      <c r="AE341" s="298" t="n">
        <v>0</v>
      </c>
      <c r="AF341" s="562" t="n">
        <v>0</v>
      </c>
      <c r="AG341" s="198" t="n">
        <v>0</v>
      </c>
      <c r="AH341" s="198" t="n">
        <v>0</v>
      </c>
      <c r="AI341" s="198" t="n">
        <v>0</v>
      </c>
      <c r="AJ341" s="198" t="n">
        <v>0</v>
      </c>
      <c r="AK341" s="198" t="n">
        <v>0</v>
      </c>
      <c r="AL341" s="198" t="n">
        <v>0.01</v>
      </c>
      <c r="AM341" s="198" t="n">
        <v>0</v>
      </c>
      <c r="AN341" s="198" t="inlineStr">
        <is>
          <t>KHTHC,EMF,KHDOC,KHCIC,EIB</t>
        </is>
      </c>
    </row>
    <row r="342">
      <c r="A342" s="212">
        <f>A341+1</f>
        <v/>
      </c>
      <c r="B342" s="214" t="inlineStr">
        <is>
          <t>Trucking &amp; Clearance-Im</t>
        </is>
      </c>
      <c r="C342" s="214" t="inlineStr">
        <is>
          <t>BRILLIANT TRANSPORT AND TRADING Co., Ltd.</t>
        </is>
      </c>
      <c r="D342" s="215" t="inlineStr">
        <is>
          <t>K002-100089305</t>
        </is>
      </c>
      <c r="E342" s="290" t="inlineStr">
        <is>
          <t>BTT25-0000737</t>
        </is>
      </c>
      <c r="F342" s="279" t="n">
        <v>45750</v>
      </c>
      <c r="G342" s="216" t="n"/>
      <c r="H342" s="564" t="n"/>
      <c r="I342" s="564" t="n">
        <v>732000</v>
      </c>
      <c r="J342" s="213" t="inlineStr">
        <is>
          <t>អនុញ្ញាត (បានប្រកាស)</t>
        </is>
      </c>
      <c r="K342" s="213" t="n"/>
      <c r="L342" s="563">
        <f>I342</f>
        <v/>
      </c>
      <c r="M342" s="536">
        <f>I342-L342</f>
        <v/>
      </c>
      <c r="N342" s="213" t="n"/>
      <c r="O342" s="218">
        <f>U342=E342</f>
        <v/>
      </c>
      <c r="P342" s="218">
        <f>MONTH(F342)-MONTH(T342)</f>
        <v/>
      </c>
      <c r="Q342" s="218">
        <f>$B$5=X342</f>
        <v/>
      </c>
      <c r="R342" s="218">
        <f>I342-AD342</f>
        <v/>
      </c>
      <c r="S342" s="298" t="n"/>
      <c r="T342" s="299" t="n">
        <v>45750</v>
      </c>
      <c r="U342" s="298" t="inlineStr">
        <is>
          <t>BTT25-0000737</t>
        </is>
      </c>
      <c r="V342" s="298" t="n">
        <v>0</v>
      </c>
      <c r="W342" s="298" t="inlineStr">
        <is>
          <t>បុគ្គលជាប់អាករ</t>
        </is>
      </c>
      <c r="X342" s="298" t="inlineStr">
        <is>
          <t>L001-901640009</t>
        </is>
      </c>
      <c r="Y342" s="298" t="inlineStr">
        <is>
          <t>ហូលីដេ ឌីហ្សាញ (ខេមបូឌា) ឯ.ក</t>
        </is>
      </c>
      <c r="Z342" s="300" t="n">
        <v>8052000</v>
      </c>
      <c r="AA342" s="300" t="n">
        <v>7320000</v>
      </c>
      <c r="AB342" s="298" t="n">
        <v>0</v>
      </c>
      <c r="AC342" s="298" t="inlineStr">
        <is>
          <t>-</t>
        </is>
      </c>
      <c r="AD342" s="300" t="n">
        <v>732000</v>
      </c>
      <c r="AE342" s="298" t="n">
        <v>0</v>
      </c>
      <c r="AF342" s="562" t="n">
        <v>0</v>
      </c>
      <c r="AG342" s="198" t="n">
        <v>0</v>
      </c>
      <c r="AH342" s="198" t="n">
        <v>0</v>
      </c>
      <c r="AI342" s="198" t="n">
        <v>0</v>
      </c>
      <c r="AJ342" s="198" t="n">
        <v>0</v>
      </c>
      <c r="AK342" s="198" t="n">
        <v>0</v>
      </c>
      <c r="AL342" s="198" t="n">
        <v>0.01</v>
      </c>
      <c r="AM342" s="198" t="n">
        <v>0</v>
      </c>
      <c r="AN342" s="198" t="inlineStr">
        <is>
          <t>Truking / Service</t>
        </is>
      </c>
    </row>
    <row r="343">
      <c r="A343" s="212">
        <f>A342+1</f>
        <v/>
      </c>
      <c r="B343" s="214" t="inlineStr">
        <is>
          <t>Trucking &amp; Clearance-Im</t>
        </is>
      </c>
      <c r="C343" s="214" t="inlineStr">
        <is>
          <t>BRILLIANT TRANSPORT AND TRADING Co., Ltd.</t>
        </is>
      </c>
      <c r="D343" s="215" t="inlineStr">
        <is>
          <t>K002-100089305</t>
        </is>
      </c>
      <c r="E343" s="290" t="inlineStr">
        <is>
          <t>BTT25-0000735</t>
        </is>
      </c>
      <c r="F343" s="279" t="n">
        <v>45748</v>
      </c>
      <c r="G343" s="216" t="n"/>
      <c r="H343" s="564" t="n"/>
      <c r="I343" s="564" t="n">
        <v>3040000</v>
      </c>
      <c r="J343" s="213" t="inlineStr">
        <is>
          <t>អនុញ្ញាត (បានប្រកាស)</t>
        </is>
      </c>
      <c r="K343" s="213" t="n"/>
      <c r="L343" s="563">
        <f>I343</f>
        <v/>
      </c>
      <c r="M343" s="536">
        <f>I343-L343</f>
        <v/>
      </c>
      <c r="N343" s="213" t="n"/>
      <c r="O343" s="218">
        <f>U343=E343</f>
        <v/>
      </c>
      <c r="P343" s="218">
        <f>MONTH(F343)-MONTH(T343)</f>
        <v/>
      </c>
      <c r="Q343" s="218">
        <f>$B$5=X343</f>
        <v/>
      </c>
      <c r="R343" s="218">
        <f>I343-AD343</f>
        <v/>
      </c>
      <c r="S343" s="298" t="n"/>
      <c r="T343" s="299" t="n">
        <v>45748</v>
      </c>
      <c r="U343" s="298" t="inlineStr">
        <is>
          <t>BTT25-0000735</t>
        </is>
      </c>
      <c r="V343" s="298" t="n">
        <v>0</v>
      </c>
      <c r="W343" s="298" t="inlineStr">
        <is>
          <t>បុគ្គលជាប់អាករ</t>
        </is>
      </c>
      <c r="X343" s="298" t="inlineStr">
        <is>
          <t>L001-901640009</t>
        </is>
      </c>
      <c r="Y343" s="298" t="inlineStr">
        <is>
          <t>ហូលីដេ ឌីហ្សាញ (ខេមបូឌា) ឯ.ក</t>
        </is>
      </c>
      <c r="Z343" s="300" t="n">
        <v>33440000</v>
      </c>
      <c r="AA343" s="300" t="n">
        <v>30400000</v>
      </c>
      <c r="AB343" s="298" t="n">
        <v>0</v>
      </c>
      <c r="AC343" s="298" t="inlineStr">
        <is>
          <t>-</t>
        </is>
      </c>
      <c r="AD343" s="300" t="n">
        <v>3040000</v>
      </c>
      <c r="AE343" s="298" t="n">
        <v>0</v>
      </c>
      <c r="AF343" s="562" t="n">
        <v>0</v>
      </c>
      <c r="AG343" s="198" t="n">
        <v>0</v>
      </c>
      <c r="AH343" s="198" t="n">
        <v>0</v>
      </c>
      <c r="AI343" s="198" t="n">
        <v>0</v>
      </c>
      <c r="AJ343" s="198" t="n">
        <v>0</v>
      </c>
      <c r="AK343" s="198" t="n">
        <v>0</v>
      </c>
      <c r="AL343" s="198" t="n">
        <v>0.01</v>
      </c>
      <c r="AM343" s="198" t="n">
        <v>0</v>
      </c>
      <c r="AN343" s="198" t="inlineStr">
        <is>
          <t>Truking / Service</t>
        </is>
      </c>
    </row>
    <row r="344">
      <c r="A344" s="212">
        <f>A343+1</f>
        <v/>
      </c>
      <c r="B344" s="214" t="inlineStr">
        <is>
          <t>Trucking &amp; Clearance-Im</t>
        </is>
      </c>
      <c r="C344" s="214" t="inlineStr">
        <is>
          <t>BRILLIANT TRANSPORT AND TRADING Co., Ltd.</t>
        </is>
      </c>
      <c r="D344" s="215" t="inlineStr">
        <is>
          <t>K002-100089305</t>
        </is>
      </c>
      <c r="E344" s="290" t="inlineStr">
        <is>
          <t>BTT25-0000880</t>
        </is>
      </c>
      <c r="F344" s="279" t="n">
        <v>45758</v>
      </c>
      <c r="G344" s="216" t="n"/>
      <c r="H344" s="564" t="n"/>
      <c r="I344" s="564" t="n">
        <v>1902850</v>
      </c>
      <c r="J344" s="213" t="inlineStr">
        <is>
          <t>អនុញ្ញាត (បានប្រកាស)</t>
        </is>
      </c>
      <c r="K344" s="213" t="n"/>
      <c r="L344" s="563">
        <f>I344</f>
        <v/>
      </c>
      <c r="M344" s="536">
        <f>I344-L344</f>
        <v/>
      </c>
      <c r="N344" s="213" t="n"/>
      <c r="O344" s="218">
        <f>U344=E344</f>
        <v/>
      </c>
      <c r="P344" s="218">
        <f>MONTH(F344)-MONTH(T344)</f>
        <v/>
      </c>
      <c r="Q344" s="218">
        <f>$B$5=X344</f>
        <v/>
      </c>
      <c r="R344" s="218">
        <f>I344-AD344</f>
        <v/>
      </c>
      <c r="S344" s="298" t="n"/>
      <c r="T344" s="299" t="n">
        <v>45758</v>
      </c>
      <c r="U344" s="298" t="inlineStr">
        <is>
          <t>BTT25-0000880</t>
        </is>
      </c>
      <c r="V344" s="298" t="n">
        <v>0</v>
      </c>
      <c r="W344" s="298" t="inlineStr">
        <is>
          <t>បុគ្គលជាប់អាករ</t>
        </is>
      </c>
      <c r="X344" s="298" t="inlineStr">
        <is>
          <t>L001-901640009</t>
        </is>
      </c>
      <c r="Y344" s="298" t="inlineStr">
        <is>
          <t>ហូលីដេ ឌីហ្សាញ (ខេមបូឌា) ឯ.ក</t>
        </is>
      </c>
      <c r="Z344" s="300" t="n">
        <v>20931350</v>
      </c>
      <c r="AA344" s="300" t="n">
        <v>19028500</v>
      </c>
      <c r="AB344" s="298" t="n">
        <v>0</v>
      </c>
      <c r="AC344" s="298" t="inlineStr">
        <is>
          <t>-</t>
        </is>
      </c>
      <c r="AD344" s="300" t="n">
        <v>1902850</v>
      </c>
      <c r="AE344" s="298" t="n">
        <v>0</v>
      </c>
      <c r="AF344" s="562" t="n">
        <v>0</v>
      </c>
      <c r="AG344" s="198" t="n">
        <v>0</v>
      </c>
      <c r="AH344" s="198" t="n">
        <v>0</v>
      </c>
      <c r="AI344" s="198" t="n">
        <v>0</v>
      </c>
      <c r="AJ344" s="198" t="n">
        <v>0</v>
      </c>
      <c r="AK344" s="198" t="n">
        <v>0</v>
      </c>
      <c r="AL344" s="198" t="n">
        <v>0.01</v>
      </c>
      <c r="AM344" s="198" t="n">
        <v>0</v>
      </c>
      <c r="AN344" s="198" t="inlineStr">
        <is>
          <t>Truking / Service</t>
        </is>
      </c>
    </row>
    <row r="345">
      <c r="A345" s="212">
        <f>A344+1</f>
        <v/>
      </c>
      <c r="B345" s="214" t="inlineStr">
        <is>
          <t>Terminal Handling Charge</t>
        </is>
      </c>
      <c r="C345" s="214" t="inlineStr">
        <is>
          <t>SITC CONTAINER LINES (CAMBODIA) Co., Ltd.</t>
        </is>
      </c>
      <c r="D345" s="215" t="inlineStr">
        <is>
          <t>L001-107035863</t>
        </is>
      </c>
      <c r="E345" s="290" t="inlineStr">
        <is>
          <t>SITC2025-011698</t>
        </is>
      </c>
      <c r="F345" s="279" t="n">
        <v>45755</v>
      </c>
      <c r="G345" s="216" t="n"/>
      <c r="H345" s="564" t="n"/>
      <c r="I345" s="564" t="n">
        <v>1688844</v>
      </c>
      <c r="J345" s="213" t="inlineStr">
        <is>
          <t>អនុញ្ញាត (បានប្រកាស)</t>
        </is>
      </c>
      <c r="K345" s="213" t="n"/>
      <c r="L345" s="563">
        <f>I345</f>
        <v/>
      </c>
      <c r="M345" s="536">
        <f>I345-L345</f>
        <v/>
      </c>
      <c r="N345" s="213" t="n"/>
      <c r="O345" s="218">
        <f>U345=E345</f>
        <v/>
      </c>
      <c r="P345" s="218">
        <f>MONTH(F345)-MONTH(T345)</f>
        <v/>
      </c>
      <c r="Q345" s="218">
        <f>$B$5=X345</f>
        <v/>
      </c>
      <c r="R345" s="218">
        <f>I345-AD345</f>
        <v/>
      </c>
      <c r="S345" s="298" t="n"/>
      <c r="T345" s="299" t="n">
        <v>45755</v>
      </c>
      <c r="U345" s="298" t="inlineStr">
        <is>
          <t>SITC2025-011698</t>
        </is>
      </c>
      <c r="V345" s="298" t="n">
        <v>0</v>
      </c>
      <c r="W345" s="298" t="inlineStr">
        <is>
          <t>បុគ្គលជាប់អាករ</t>
        </is>
      </c>
      <c r="X345" s="298" t="inlineStr">
        <is>
          <t>L001-901640009</t>
        </is>
      </c>
      <c r="Y345" s="298" t="inlineStr">
        <is>
          <t>ហូលីដេ ឌីហ្សាញ (ខេមបូឌា) ឯ.ក</t>
        </is>
      </c>
      <c r="Z345" s="300" t="n">
        <v>18577284</v>
      </c>
      <c r="AA345" s="300" t="n">
        <v>16888440</v>
      </c>
      <c r="AB345" s="298" t="n">
        <v>0</v>
      </c>
      <c r="AC345" s="298" t="inlineStr">
        <is>
          <t>-</t>
        </is>
      </c>
      <c r="AD345" s="300" t="n">
        <v>1688844</v>
      </c>
      <c r="AE345" s="298" t="n">
        <v>0</v>
      </c>
      <c r="AF345" s="562" t="n">
        <v>0</v>
      </c>
      <c r="AG345" s="198" t="n">
        <v>0</v>
      </c>
      <c r="AH345" s="198" t="n">
        <v>0</v>
      </c>
      <c r="AI345" s="198" t="n">
        <v>0</v>
      </c>
      <c r="AJ345" s="198" t="n">
        <v>0</v>
      </c>
      <c r="AK345" s="198" t="n">
        <v>0</v>
      </c>
      <c r="AL345" s="198" t="n">
        <v>0.01</v>
      </c>
      <c r="AM345" s="198" t="n">
        <v>0</v>
      </c>
      <c r="AN345" s="198" t="inlineStr">
        <is>
          <t>EIB,KHTHC,KHCIC,KHDOC,EMF</t>
        </is>
      </c>
    </row>
    <row r="346">
      <c r="A346" s="212">
        <f>A345+1</f>
        <v/>
      </c>
      <c r="B346" s="214" t="inlineStr">
        <is>
          <t>Lift-On &amp; Lift-On-Im</t>
        </is>
      </c>
      <c r="C346" s="214" t="inlineStr">
        <is>
          <t>Port Autonome Du Sihanoukville</t>
        </is>
      </c>
      <c r="D346" s="215" t="inlineStr">
        <is>
          <t>L001-100044638</t>
        </is>
      </c>
      <c r="E346" s="290" t="n">
        <v>202500080259</v>
      </c>
      <c r="F346" s="279" t="n">
        <v>45759</v>
      </c>
      <c r="G346" s="216" t="n"/>
      <c r="H346" s="564" t="n"/>
      <c r="I346" s="564" t="n">
        <v>278818</v>
      </c>
      <c r="J346" s="213" t="inlineStr">
        <is>
          <t>អនុញ្ញាត (បានប្រកាស)</t>
        </is>
      </c>
      <c r="K346" s="213" t="n"/>
      <c r="L346" s="563">
        <f>I346</f>
        <v/>
      </c>
      <c r="M346" s="536">
        <f>I346-L346</f>
        <v/>
      </c>
      <c r="N346" s="213" t="n"/>
      <c r="O346" s="218">
        <f>U346=E346</f>
        <v/>
      </c>
      <c r="P346" s="218">
        <f>MONTH(F346)-MONTH(T346)</f>
        <v/>
      </c>
      <c r="Q346" s="218">
        <f>$B$5=X346</f>
        <v/>
      </c>
      <c r="R346" s="218">
        <f>I346-AD346</f>
        <v/>
      </c>
      <c r="S346" s="298" t="n"/>
      <c r="T346" s="299" t="n">
        <v>45759</v>
      </c>
      <c r="U346" s="298" t="n">
        <v>202500080259</v>
      </c>
      <c r="V346" s="298" t="n">
        <v>0</v>
      </c>
      <c r="W346" s="298" t="inlineStr">
        <is>
          <t>បុគ្គលជាប់អាករ</t>
        </is>
      </c>
      <c r="X346" s="298" t="inlineStr">
        <is>
          <t>L001-901640009</t>
        </is>
      </c>
      <c r="Y346" s="298" t="inlineStr">
        <is>
          <t>ហូលីដេ ឌីហ្សាញ (ខេមបូឌា) ឯ.ក</t>
        </is>
      </c>
      <c r="Z346" s="300" t="n">
        <v>3066994</v>
      </c>
      <c r="AA346" s="300" t="n">
        <v>2788176</v>
      </c>
      <c r="AB346" s="298" t="n">
        <v>0</v>
      </c>
      <c r="AC346" s="298" t="inlineStr">
        <is>
          <t>-</t>
        </is>
      </c>
      <c r="AD346" s="300" t="n">
        <v>278818</v>
      </c>
      <c r="AE346" s="298" t="n">
        <v>0</v>
      </c>
      <c r="AF346" s="562" t="n">
        <v>0</v>
      </c>
      <c r="AG346" s="198" t="n">
        <v>0</v>
      </c>
      <c r="AH346" s="198" t="n">
        <v>0</v>
      </c>
      <c r="AI346" s="198" t="n">
        <v>0</v>
      </c>
      <c r="AJ346" s="198" t="n">
        <v>0</v>
      </c>
      <c r="AK346" s="198" t="n">
        <v>0</v>
      </c>
      <c r="AL346" s="198" t="n">
        <v>0.01</v>
      </c>
      <c r="AM346" s="198" t="n">
        <v>0</v>
      </c>
      <c r="AN346" s="198" t="inlineStr">
        <is>
          <t>LOLO</t>
        </is>
      </c>
    </row>
    <row r="347">
      <c r="A347" s="212">
        <f>A346+1</f>
        <v/>
      </c>
      <c r="B347" s="214" t="inlineStr">
        <is>
          <t>Lift-On &amp; Lift-On-Im</t>
        </is>
      </c>
      <c r="C347" s="214" t="inlineStr">
        <is>
          <t>Port Autonome Du Sihanoukville</t>
        </is>
      </c>
      <c r="D347" s="215" t="inlineStr">
        <is>
          <t>L001-100044638</t>
        </is>
      </c>
      <c r="E347" s="290" t="n">
        <v>202500084254</v>
      </c>
      <c r="F347" s="279" t="n">
        <v>45766</v>
      </c>
      <c r="G347" s="216" t="n"/>
      <c r="H347" s="564" t="n"/>
      <c r="I347" s="564" t="n">
        <v>452966</v>
      </c>
      <c r="J347" s="213" t="inlineStr">
        <is>
          <t>អនុញ្ញាត (បានប្រកាស)</t>
        </is>
      </c>
      <c r="K347" s="213" t="n"/>
      <c r="L347" s="563">
        <f>I347</f>
        <v/>
      </c>
      <c r="M347" s="536">
        <f>I347-L347</f>
        <v/>
      </c>
      <c r="N347" s="213" t="n"/>
      <c r="O347" s="218">
        <f>U347=E347</f>
        <v/>
      </c>
      <c r="P347" s="218">
        <f>MONTH(F347)-MONTH(T347)</f>
        <v/>
      </c>
      <c r="Q347" s="218">
        <f>$B$5=X347</f>
        <v/>
      </c>
      <c r="R347" s="218">
        <f>I347-AD347</f>
        <v/>
      </c>
      <c r="S347" s="298" t="n"/>
      <c r="T347" s="299" t="n">
        <v>45766</v>
      </c>
      <c r="U347" s="298" t="n">
        <v>202500084254</v>
      </c>
      <c r="V347" s="298" t="n">
        <v>0</v>
      </c>
      <c r="W347" s="298" t="inlineStr">
        <is>
          <t>បុគ្គលជាប់អាករ</t>
        </is>
      </c>
      <c r="X347" s="298" t="inlineStr">
        <is>
          <t>L001-901640009</t>
        </is>
      </c>
      <c r="Y347" s="298" t="inlineStr">
        <is>
          <t>ហូលីដេ ឌីហ្សាញ (ខេមបូឌា) ឯ.ក</t>
        </is>
      </c>
      <c r="Z347" s="300" t="n">
        <v>4982621</v>
      </c>
      <c r="AA347" s="300" t="n">
        <v>4529655</v>
      </c>
      <c r="AB347" s="298" t="n">
        <v>0</v>
      </c>
      <c r="AC347" s="298" t="inlineStr">
        <is>
          <t>-</t>
        </is>
      </c>
      <c r="AD347" s="300" t="n">
        <v>452966</v>
      </c>
      <c r="AE347" s="298" t="n">
        <v>0</v>
      </c>
      <c r="AF347" s="562" t="n">
        <v>0</v>
      </c>
      <c r="AG347" s="198" t="n">
        <v>0</v>
      </c>
      <c r="AH347" s="198" t="n">
        <v>0</v>
      </c>
      <c r="AI347" s="198" t="n">
        <v>0</v>
      </c>
      <c r="AJ347" s="198" t="n">
        <v>0</v>
      </c>
      <c r="AK347" s="198" t="n">
        <v>0</v>
      </c>
      <c r="AL347" s="198" t="n">
        <v>0.01</v>
      </c>
      <c r="AM347" s="198" t="n">
        <v>0</v>
      </c>
      <c r="AN347" s="198" t="inlineStr">
        <is>
          <t>LOLO</t>
        </is>
      </c>
    </row>
    <row r="348">
      <c r="A348" s="212">
        <f>A347+1</f>
        <v/>
      </c>
      <c r="B348" s="214" t="inlineStr">
        <is>
          <t>Terminal Handling Charge</t>
        </is>
      </c>
      <c r="C348" s="214" t="inlineStr">
        <is>
          <t>SITC CONTAINER LINES (CAMBODIA) Co., Ltd.</t>
        </is>
      </c>
      <c r="D348" s="215" t="inlineStr">
        <is>
          <t>L001-107035863</t>
        </is>
      </c>
      <c r="E348" s="290" t="inlineStr">
        <is>
          <t>SITC2025-012624</t>
        </is>
      </c>
      <c r="F348" s="279" t="n">
        <v>45762</v>
      </c>
      <c r="G348" s="216" t="n"/>
      <c r="H348" s="564" t="n"/>
      <c r="I348" s="564" t="n">
        <v>2732092</v>
      </c>
      <c r="J348" s="213" t="inlineStr">
        <is>
          <t>អនុញ្ញាត (បានប្រកាស)</t>
        </is>
      </c>
      <c r="K348" s="213" t="n"/>
      <c r="L348" s="563">
        <f>I348</f>
        <v/>
      </c>
      <c r="M348" s="536">
        <f>I348-L348</f>
        <v/>
      </c>
      <c r="N348" s="213" t="n"/>
      <c r="O348" s="218">
        <f>U348=E348</f>
        <v/>
      </c>
      <c r="P348" s="218">
        <f>MONTH(F348)-MONTH(T348)</f>
        <v/>
      </c>
      <c r="Q348" s="218">
        <f>$B$5=X348</f>
        <v/>
      </c>
      <c r="R348" s="218">
        <f>I348-AD348</f>
        <v/>
      </c>
      <c r="S348" s="298" t="n"/>
      <c r="T348" s="299" t="n">
        <v>45762</v>
      </c>
      <c r="U348" s="298" t="inlineStr">
        <is>
          <t>SITC2025-012624</t>
        </is>
      </c>
      <c r="V348" s="298" t="n">
        <v>0</v>
      </c>
      <c r="W348" s="298" t="inlineStr">
        <is>
          <t>បុគ្គលជាប់អាករ</t>
        </is>
      </c>
      <c r="X348" s="298" t="inlineStr">
        <is>
          <t>L001-901640009</t>
        </is>
      </c>
      <c r="Y348" s="298" t="inlineStr">
        <is>
          <t>ហូលីដេ ឌីហ្សាញ (ខេមបូឌា) ឯ.ក</t>
        </is>
      </c>
      <c r="Z348" s="300" t="n">
        <v>30053012</v>
      </c>
      <c r="AA348" s="300" t="n">
        <v>27320920</v>
      </c>
      <c r="AB348" s="298" t="n">
        <v>0</v>
      </c>
      <c r="AC348" s="298" t="inlineStr">
        <is>
          <t>-</t>
        </is>
      </c>
      <c r="AD348" s="300" t="n">
        <v>2732092</v>
      </c>
      <c r="AE348" s="298" t="n">
        <v>0</v>
      </c>
      <c r="AF348" s="562" t="n">
        <v>0</v>
      </c>
      <c r="AG348" s="198" t="n">
        <v>0</v>
      </c>
      <c r="AH348" s="198" t="n">
        <v>0</v>
      </c>
      <c r="AI348" s="198" t="n">
        <v>0</v>
      </c>
      <c r="AJ348" s="198" t="n">
        <v>0</v>
      </c>
      <c r="AK348" s="198" t="n">
        <v>0</v>
      </c>
      <c r="AL348" s="198" t="n">
        <v>0.01</v>
      </c>
      <c r="AM348" s="198" t="n">
        <v>0</v>
      </c>
      <c r="AN348" s="198" t="inlineStr">
        <is>
          <t>KHDOC,EIB,EMF,KHCIC,KHTHC</t>
        </is>
      </c>
    </row>
    <row r="349">
      <c r="A349" s="212">
        <f>A348+1</f>
        <v/>
      </c>
      <c r="B349" s="214" t="inlineStr">
        <is>
          <t>Trucking &amp; Clearance-Im</t>
        </is>
      </c>
      <c r="C349" s="214" t="inlineStr">
        <is>
          <t>BRILLIANT TRANSPORT AND TRADING Co., Ltd.</t>
        </is>
      </c>
      <c r="D349" s="215" t="inlineStr">
        <is>
          <t>K002-100089305</t>
        </is>
      </c>
      <c r="E349" s="290" t="inlineStr">
        <is>
          <t>BTT25-0000922</t>
        </is>
      </c>
      <c r="F349" s="279" t="n">
        <v>45765</v>
      </c>
      <c r="G349" s="216" t="n"/>
      <c r="H349" s="564" t="n"/>
      <c r="I349" s="564" t="n">
        <v>3083850</v>
      </c>
      <c r="J349" s="213" t="inlineStr">
        <is>
          <t>អនុញ្ញាត (បានប្រកាស)</t>
        </is>
      </c>
      <c r="K349" s="213" t="n"/>
      <c r="L349" s="563">
        <f>I349</f>
        <v/>
      </c>
      <c r="M349" s="536">
        <f>I349-L349</f>
        <v/>
      </c>
      <c r="N349" s="213" t="n"/>
      <c r="O349" s="218">
        <f>U349=E349</f>
        <v/>
      </c>
      <c r="P349" s="218">
        <f>MONTH(F349)-MONTH(T349)</f>
        <v/>
      </c>
      <c r="Q349" s="218">
        <f>$B$5=X349</f>
        <v/>
      </c>
      <c r="R349" s="218">
        <f>I349-AD349</f>
        <v/>
      </c>
      <c r="S349" s="298" t="n"/>
      <c r="T349" s="299" t="n">
        <v>45765</v>
      </c>
      <c r="U349" s="298" t="inlineStr">
        <is>
          <t>BTT25-0000922</t>
        </is>
      </c>
      <c r="V349" s="298" t="n">
        <v>0</v>
      </c>
      <c r="W349" s="298" t="inlineStr">
        <is>
          <t>បុគ្គលជាប់អាករ</t>
        </is>
      </c>
      <c r="X349" s="298" t="inlineStr">
        <is>
          <t>L001-901640009</t>
        </is>
      </c>
      <c r="Y349" s="298" t="inlineStr">
        <is>
          <t>ហូលីដេ ឌីហ្សាញ (ខេមបូឌា) ឯ.ក</t>
        </is>
      </c>
      <c r="Z349" s="300" t="n">
        <v>33922350</v>
      </c>
      <c r="AA349" s="300" t="n">
        <v>30838500</v>
      </c>
      <c r="AB349" s="298" t="n">
        <v>0</v>
      </c>
      <c r="AC349" s="298" t="inlineStr">
        <is>
          <t>-</t>
        </is>
      </c>
      <c r="AD349" s="300" t="n">
        <v>3083850</v>
      </c>
      <c r="AE349" s="298" t="n">
        <v>0</v>
      </c>
      <c r="AF349" s="562" t="n">
        <v>0</v>
      </c>
      <c r="AG349" s="198" t="n">
        <v>0</v>
      </c>
      <c r="AH349" s="198" t="n">
        <v>0</v>
      </c>
      <c r="AI349" s="198" t="n">
        <v>0</v>
      </c>
      <c r="AJ349" s="198" t="n">
        <v>0</v>
      </c>
      <c r="AK349" s="198" t="n">
        <v>0</v>
      </c>
      <c r="AL349" s="198" t="n">
        <v>0.01</v>
      </c>
      <c r="AM349" s="198" t="n">
        <v>0</v>
      </c>
      <c r="AN349" s="198" t="inlineStr">
        <is>
          <t>Truking / Service</t>
        </is>
      </c>
    </row>
    <row r="350">
      <c r="A350" s="212">
        <f>A349+1</f>
        <v/>
      </c>
      <c r="B350" s="214" t="inlineStr">
        <is>
          <t>Lift-On &amp; Lift-On-Im</t>
        </is>
      </c>
      <c r="C350" s="214" t="inlineStr">
        <is>
          <t>Port Autonome Du Sihanoukville</t>
        </is>
      </c>
      <c r="D350" s="215" t="inlineStr">
        <is>
          <t>L001-100044638</t>
        </is>
      </c>
      <c r="E350" s="290" t="n">
        <v>202500090156</v>
      </c>
      <c r="F350" s="279" t="n">
        <v>45771</v>
      </c>
      <c r="G350" s="216" t="n"/>
      <c r="H350" s="564" t="n"/>
      <c r="I350" s="564" t="n">
        <v>174131</v>
      </c>
      <c r="J350" s="213" t="inlineStr">
        <is>
          <t>អនុញ្ញាត (បានប្រកាស)</t>
        </is>
      </c>
      <c r="K350" s="213" t="n"/>
      <c r="L350" s="563">
        <f>I350</f>
        <v/>
      </c>
      <c r="M350" s="536">
        <f>I350-L350</f>
        <v/>
      </c>
      <c r="N350" s="213" t="n"/>
      <c r="O350" s="218">
        <f>U350=E350</f>
        <v/>
      </c>
      <c r="P350" s="218">
        <f>MONTH(F350)-MONTH(T350)</f>
        <v/>
      </c>
      <c r="Q350" s="218">
        <f>$B$5=X350</f>
        <v/>
      </c>
      <c r="R350" s="218">
        <f>I350-AD350</f>
        <v/>
      </c>
      <c r="S350" s="298" t="n"/>
      <c r="T350" s="299" t="n">
        <v>45771</v>
      </c>
      <c r="U350" s="298" t="n">
        <v>202500090156</v>
      </c>
      <c r="V350" s="298" t="n">
        <v>0</v>
      </c>
      <c r="W350" s="298" t="inlineStr">
        <is>
          <t>បុគ្គលជាប់អាករ</t>
        </is>
      </c>
      <c r="X350" s="298" t="inlineStr">
        <is>
          <t>L001-901640009</t>
        </is>
      </c>
      <c r="Y350" s="298" t="inlineStr">
        <is>
          <t>ហូលីដេ ឌីហ្សាញ (ខេមបូឌា) ឯ.ក</t>
        </is>
      </c>
      <c r="Z350" s="300" t="n">
        <v>1915436</v>
      </c>
      <c r="AA350" s="300" t="n">
        <v>1741305</v>
      </c>
      <c r="AB350" s="298" t="n">
        <v>0</v>
      </c>
      <c r="AC350" s="298" t="inlineStr">
        <is>
          <t>-</t>
        </is>
      </c>
      <c r="AD350" s="300" t="n">
        <v>174131</v>
      </c>
      <c r="AE350" s="298" t="n">
        <v>0</v>
      </c>
      <c r="AF350" s="562" t="n">
        <v>0</v>
      </c>
      <c r="AG350" s="198" t="n">
        <v>0</v>
      </c>
      <c r="AH350" s="198" t="n">
        <v>0</v>
      </c>
      <c r="AI350" s="198" t="n">
        <v>0</v>
      </c>
      <c r="AJ350" s="198" t="n">
        <v>0</v>
      </c>
      <c r="AK350" s="198" t="n">
        <v>0</v>
      </c>
      <c r="AL350" s="198" t="n">
        <v>0.01</v>
      </c>
      <c r="AM350" s="198" t="n">
        <v>0</v>
      </c>
      <c r="AN350" s="198" t="inlineStr">
        <is>
          <t>LOLO</t>
        </is>
      </c>
    </row>
    <row r="351">
      <c r="A351" s="212">
        <f>A350+1</f>
        <v/>
      </c>
      <c r="B351" s="214" t="inlineStr">
        <is>
          <t>Telecom service usage charge</t>
        </is>
      </c>
      <c r="C351" s="214" t="inlineStr">
        <is>
          <t>VIETTEL (CAMBODIA) PTE. LTD.</t>
        </is>
      </c>
      <c r="D351" s="215" t="inlineStr">
        <is>
          <t>L001-100121845</t>
        </is>
      </c>
      <c r="E351" s="290" t="inlineStr">
        <is>
          <t>MC/2025-0809347</t>
        </is>
      </c>
      <c r="F351" s="279" t="n">
        <v>45775</v>
      </c>
      <c r="G351" s="216" t="n"/>
      <c r="H351" s="564" t="n"/>
      <c r="I351" s="564" t="n">
        <v>720360</v>
      </c>
      <c r="J351" s="213" t="inlineStr">
        <is>
          <t>អនុញ្ញាត (បានប្រកាស)</t>
        </is>
      </c>
      <c r="K351" s="213" t="n"/>
      <c r="L351" s="563">
        <f>I351</f>
        <v/>
      </c>
      <c r="M351" s="536">
        <f>I351-L351</f>
        <v/>
      </c>
      <c r="N351" s="213" t="n"/>
      <c r="O351" s="218">
        <f>U351=E351</f>
        <v/>
      </c>
      <c r="P351" s="218">
        <f>MONTH(F351)-MONTH(T351)</f>
        <v/>
      </c>
      <c r="Q351" s="218">
        <f>$B$5=X351</f>
        <v/>
      </c>
      <c r="R351" s="218">
        <f>I351-AD351</f>
        <v/>
      </c>
      <c r="S351" s="298" t="n"/>
      <c r="T351" s="299" t="n">
        <v>45775</v>
      </c>
      <c r="U351" s="298" t="inlineStr">
        <is>
          <t>MC/2025-0809347</t>
        </is>
      </c>
      <c r="V351" s="298" t="n">
        <v>0</v>
      </c>
      <c r="W351" s="298" t="inlineStr">
        <is>
          <t>បុគ្គលជាប់អាករ</t>
        </is>
      </c>
      <c r="X351" s="298" t="inlineStr">
        <is>
          <t>L001-901640009</t>
        </is>
      </c>
      <c r="Y351" s="298" t="inlineStr">
        <is>
          <t>ហូលីដេ ឌីហ្សាញ (ខេមបូឌា) ឯ.ក</t>
        </is>
      </c>
      <c r="Z351" s="300" t="n">
        <v>7925940</v>
      </c>
      <c r="AA351" s="300" t="n">
        <v>7205400</v>
      </c>
      <c r="AB351" s="298" t="n">
        <v>0</v>
      </c>
      <c r="AC351" s="298" t="inlineStr">
        <is>
          <t>-</t>
        </is>
      </c>
      <c r="AD351" s="300" t="n">
        <v>720540</v>
      </c>
      <c r="AE351" s="298" t="n">
        <v>0</v>
      </c>
      <c r="AF351" s="562" t="n">
        <v>0</v>
      </c>
      <c r="AG351" s="198" t="n">
        <v>0</v>
      </c>
      <c r="AH351" s="198" t="n">
        <v>0</v>
      </c>
      <c r="AI351" s="198" t="n">
        <v>0</v>
      </c>
      <c r="AJ351" s="198" t="n">
        <v>0</v>
      </c>
      <c r="AK351" s="198" t="n">
        <v>0</v>
      </c>
      <c r="AL351" s="198" t="n">
        <v>0.01</v>
      </c>
      <c r="AM351" s="198" t="n">
        <v>0</v>
      </c>
      <c r="AN351" s="198" t="inlineStr">
        <is>
          <t>R009_Fixed-FTTx</t>
        </is>
      </c>
      <c r="AO351" s="198" t="inlineStr">
        <is>
          <t>បានប្រកាសនិងបង់ពន្ធ</t>
        </is>
      </c>
    </row>
    <row r="352">
      <c r="A352" s="212">
        <f>A351+1</f>
        <v/>
      </c>
      <c r="B352" s="214" t="inlineStr">
        <is>
          <t>Trucking &amp; Clearance-Im</t>
        </is>
      </c>
      <c r="C352" s="214" t="inlineStr">
        <is>
          <t>BRILLIANT TRANSPORT AND TRADING Co., Ltd.</t>
        </is>
      </c>
      <c r="D352" s="215" t="inlineStr">
        <is>
          <t>K002-100089305</t>
        </is>
      </c>
      <c r="E352" s="290" t="inlineStr">
        <is>
          <t>BTT25-0000921</t>
        </is>
      </c>
      <c r="F352" s="279" t="n">
        <v>45771</v>
      </c>
      <c r="G352" s="216" t="n"/>
      <c r="H352" s="564" t="n"/>
      <c r="I352" s="564" t="n">
        <v>1184888</v>
      </c>
      <c r="J352" s="213" t="inlineStr">
        <is>
          <t>អនុញ្ញាត (បានប្រកាស)</t>
        </is>
      </c>
      <c r="K352" s="213" t="n"/>
      <c r="L352" s="563">
        <f>I352</f>
        <v/>
      </c>
      <c r="M352" s="536">
        <f>I352-L352</f>
        <v/>
      </c>
      <c r="N352" s="213" t="n"/>
      <c r="O352" s="218">
        <f>U352=E352</f>
        <v/>
      </c>
      <c r="P352" s="218">
        <f>MONTH(F352)-MONTH(T352)</f>
        <v/>
      </c>
      <c r="Q352" s="218">
        <f>$B$5=X352</f>
        <v/>
      </c>
      <c r="R352" s="218">
        <f>I352-AD352</f>
        <v/>
      </c>
      <c r="S352" s="298" t="n"/>
      <c r="T352" s="299" t="n">
        <v>45771</v>
      </c>
      <c r="U352" s="298" t="inlineStr">
        <is>
          <t>BTT25-0000921</t>
        </is>
      </c>
      <c r="V352" s="298" t="n">
        <v>0</v>
      </c>
      <c r="W352" s="298" t="inlineStr">
        <is>
          <t>បុគ្គលជាប់អាករ</t>
        </is>
      </c>
      <c r="X352" s="298" t="inlineStr">
        <is>
          <t>L001-901640009</t>
        </is>
      </c>
      <c r="Y352" s="298" t="inlineStr">
        <is>
          <t>ហូលីដេ ឌីហ្សាញ (ខេមបូឌា) ឯ.ក</t>
        </is>
      </c>
      <c r="Z352" s="300" t="n">
        <v>13033768</v>
      </c>
      <c r="AA352" s="300" t="n">
        <v>11848880</v>
      </c>
      <c r="AB352" s="298" t="n">
        <v>0</v>
      </c>
      <c r="AC352" s="298" t="inlineStr">
        <is>
          <t>-</t>
        </is>
      </c>
      <c r="AD352" s="300" t="n">
        <v>1184888</v>
      </c>
      <c r="AE352" s="298" t="n">
        <v>0</v>
      </c>
      <c r="AF352" s="562" t="n">
        <v>0</v>
      </c>
      <c r="AG352" s="198" t="n">
        <v>0</v>
      </c>
      <c r="AH352" s="198" t="n">
        <v>0</v>
      </c>
      <c r="AI352" s="198" t="n">
        <v>0</v>
      </c>
      <c r="AJ352" s="198" t="n">
        <v>0</v>
      </c>
      <c r="AK352" s="198" t="n">
        <v>0</v>
      </c>
      <c r="AL352" s="198" t="n">
        <v>0.01</v>
      </c>
      <c r="AM352" s="198" t="n">
        <v>0</v>
      </c>
      <c r="AN352" s="198" t="inlineStr">
        <is>
          <t>Truking / Service</t>
        </is>
      </c>
    </row>
    <row r="353">
      <c r="A353" s="212">
        <f>A352+1</f>
        <v/>
      </c>
      <c r="B353" s="214" t="inlineStr">
        <is>
          <t>Storage charges-Im</t>
        </is>
      </c>
      <c r="C353" s="214" t="inlineStr">
        <is>
          <t>Port Autonome Du Sihanoukville</t>
        </is>
      </c>
      <c r="D353" s="215" t="inlineStr">
        <is>
          <t>L001-100044638</t>
        </is>
      </c>
      <c r="E353" s="290" t="n">
        <v>202500088366</v>
      </c>
      <c r="F353" s="279" t="n">
        <v>45770</v>
      </c>
      <c r="G353" s="216" t="n"/>
      <c r="H353" s="564" t="n"/>
      <c r="I353" s="564" t="n">
        <v>2402</v>
      </c>
      <c r="J353" s="213" t="inlineStr">
        <is>
          <t>អនុញ្ញាត (បានប្រកាស)</t>
        </is>
      </c>
      <c r="K353" s="213" t="n"/>
      <c r="L353" s="563">
        <f>I353</f>
        <v/>
      </c>
      <c r="M353" s="536">
        <f>I353-L353</f>
        <v/>
      </c>
      <c r="N353" s="213" t="n"/>
      <c r="O353" s="218">
        <f>U353=E353</f>
        <v/>
      </c>
      <c r="P353" s="218">
        <f>MONTH(F353)-MONTH(T353)</f>
        <v/>
      </c>
      <c r="Q353" s="218">
        <f>$B$5=X353</f>
        <v/>
      </c>
      <c r="R353" s="218">
        <f>I353-AD353</f>
        <v/>
      </c>
      <c r="S353" s="298" t="n"/>
      <c r="T353" s="299" t="n">
        <v>45770</v>
      </c>
      <c r="U353" s="298" t="n">
        <v>202500088366</v>
      </c>
      <c r="V353" s="298" t="n">
        <v>0</v>
      </c>
      <c r="W353" s="298" t="inlineStr">
        <is>
          <t>បុគ្គលជាប់អាករ</t>
        </is>
      </c>
      <c r="X353" s="298" t="inlineStr">
        <is>
          <t>L001-901640009</t>
        </is>
      </c>
      <c r="Y353" s="298" t="inlineStr">
        <is>
          <t>ហូលីដេ ឌីហ្សាញ (ខេមបូឌា) ឯ.ក</t>
        </is>
      </c>
      <c r="Z353" s="300" t="n">
        <v>26420</v>
      </c>
      <c r="AA353" s="300" t="n">
        <v>24018</v>
      </c>
      <c r="AB353" s="298" t="n">
        <v>0</v>
      </c>
      <c r="AC353" s="298" t="inlineStr">
        <is>
          <t>-</t>
        </is>
      </c>
      <c r="AD353" s="300" t="n">
        <v>2402</v>
      </c>
      <c r="AE353" s="298" t="n">
        <v>0</v>
      </c>
      <c r="AF353" s="562" t="n">
        <v>0</v>
      </c>
      <c r="AG353" s="198" t="n">
        <v>0</v>
      </c>
      <c r="AH353" s="198" t="n">
        <v>0</v>
      </c>
      <c r="AI353" s="198" t="n">
        <v>0</v>
      </c>
      <c r="AJ353" s="198" t="n">
        <v>0</v>
      </c>
      <c r="AK353" s="198" t="n">
        <v>0</v>
      </c>
      <c r="AL353" s="198" t="n">
        <v>0.01</v>
      </c>
      <c r="AM353" s="198" t="n">
        <v>0</v>
      </c>
      <c r="AN353" s="198" t="inlineStr">
        <is>
          <t>Storage</t>
        </is>
      </c>
    </row>
    <row r="354">
      <c r="A354" s="212">
        <f>A353+1</f>
        <v/>
      </c>
      <c r="B354" s="214" t="inlineStr">
        <is>
          <t>Storage charges-Im</t>
        </is>
      </c>
      <c r="C354" s="214" t="inlineStr">
        <is>
          <t>Port Autonome Du Sihanoukville</t>
        </is>
      </c>
      <c r="D354" s="215" t="inlineStr">
        <is>
          <t>L001-100044638</t>
        </is>
      </c>
      <c r="E354" s="290" t="n">
        <v>202500087344</v>
      </c>
      <c r="F354" s="279" t="n">
        <v>45769</v>
      </c>
      <c r="G354" s="216" t="n"/>
      <c r="H354" s="564" t="n"/>
      <c r="I354" s="564" t="n">
        <v>7207</v>
      </c>
      <c r="J354" s="213" t="inlineStr">
        <is>
          <t>អនុញ្ញាត (បានប្រកាស)</t>
        </is>
      </c>
      <c r="K354" s="213" t="n"/>
      <c r="L354" s="563">
        <f>I354</f>
        <v/>
      </c>
      <c r="M354" s="536">
        <f>I354-L354</f>
        <v/>
      </c>
      <c r="N354" s="213" t="n"/>
      <c r="O354" s="218">
        <f>U354=E354</f>
        <v/>
      </c>
      <c r="P354" s="218">
        <f>MONTH(F354)-MONTH(T354)</f>
        <v/>
      </c>
      <c r="Q354" s="218">
        <f>$B$5=X354</f>
        <v/>
      </c>
      <c r="R354" s="218">
        <f>I354-AD354</f>
        <v/>
      </c>
      <c r="S354" s="298" t="n"/>
      <c r="T354" s="299" t="n">
        <v>45769</v>
      </c>
      <c r="U354" s="298" t="n">
        <v>202500087344</v>
      </c>
      <c r="V354" s="298" t="n">
        <v>0</v>
      </c>
      <c r="W354" s="298" t="inlineStr">
        <is>
          <t>បុគ្គលជាប់អាករ</t>
        </is>
      </c>
      <c r="X354" s="298" t="inlineStr">
        <is>
          <t>L001-901640009</t>
        </is>
      </c>
      <c r="Y354" s="298" t="inlineStr">
        <is>
          <t>ហូលីដេ ឌីហ្សាញ (ខេមបូឌា) ឯ.ក</t>
        </is>
      </c>
      <c r="Z354" s="300" t="n">
        <v>79279</v>
      </c>
      <c r="AA354" s="300" t="n">
        <v>72072</v>
      </c>
      <c r="AB354" s="298" t="n">
        <v>0</v>
      </c>
      <c r="AC354" s="298" t="inlineStr">
        <is>
          <t>-</t>
        </is>
      </c>
      <c r="AD354" s="300" t="n">
        <v>7207</v>
      </c>
      <c r="AE354" s="298" t="n">
        <v>0</v>
      </c>
      <c r="AF354" s="562" t="n">
        <v>0</v>
      </c>
      <c r="AG354" s="198" t="n">
        <v>0</v>
      </c>
      <c r="AH354" s="198" t="n">
        <v>0</v>
      </c>
      <c r="AI354" s="198" t="n">
        <v>0</v>
      </c>
      <c r="AJ354" s="198" t="n">
        <v>0</v>
      </c>
      <c r="AK354" s="198" t="n">
        <v>0</v>
      </c>
      <c r="AL354" s="198" t="n">
        <v>0.01</v>
      </c>
      <c r="AM354" s="198" t="n">
        <v>0</v>
      </c>
      <c r="AN354" s="198" t="inlineStr">
        <is>
          <t>Storage</t>
        </is>
      </c>
    </row>
    <row r="355">
      <c r="A355" s="212">
        <f>A354+1</f>
        <v/>
      </c>
      <c r="B355" s="214" t="inlineStr">
        <is>
          <t>Storage charges-Im</t>
        </is>
      </c>
      <c r="C355" s="214" t="inlineStr">
        <is>
          <t>Port Autonome Du Sihanoukville</t>
        </is>
      </c>
      <c r="D355" s="215" t="inlineStr">
        <is>
          <t>L001-100044638</t>
        </is>
      </c>
      <c r="E355" s="290" t="n">
        <v>202500086379</v>
      </c>
      <c r="F355" s="279" t="n">
        <v>45768</v>
      </c>
      <c r="G355" s="216" t="n"/>
      <c r="H355" s="564" t="n"/>
      <c r="I355" s="564" t="n">
        <v>7205</v>
      </c>
      <c r="J355" s="213" t="inlineStr">
        <is>
          <t>អនុញ្ញាត (បានប្រកាស)</t>
        </is>
      </c>
      <c r="K355" s="213" t="n"/>
      <c r="L355" s="563">
        <f>I355</f>
        <v/>
      </c>
      <c r="M355" s="536">
        <f>I355-L355</f>
        <v/>
      </c>
      <c r="N355" s="213" t="n"/>
      <c r="O355" s="218">
        <f>U355=E355</f>
        <v/>
      </c>
      <c r="P355" s="218">
        <f>MONTH(F355)-MONTH(T355)</f>
        <v/>
      </c>
      <c r="Q355" s="218">
        <f>$B$5=X355</f>
        <v/>
      </c>
      <c r="R355" s="218">
        <f>I355-AD355</f>
        <v/>
      </c>
      <c r="S355" s="298" t="n"/>
      <c r="T355" s="299" t="n">
        <v>45768</v>
      </c>
      <c r="U355" s="298" t="n">
        <v>202500086379</v>
      </c>
      <c r="V355" s="298" t="n">
        <v>0</v>
      </c>
      <c r="W355" s="298" t="inlineStr">
        <is>
          <t>បុគ្គលជាប់អាករ</t>
        </is>
      </c>
      <c r="X355" s="298" t="inlineStr">
        <is>
          <t>L001-901640009</t>
        </is>
      </c>
      <c r="Y355" s="298" t="inlineStr">
        <is>
          <t>ហូលីដេ ឌីហ្សាញ (ខេមបូឌា) ឯ.ក</t>
        </is>
      </c>
      <c r="Z355" s="300" t="n">
        <v>79259</v>
      </c>
      <c r="AA355" s="300" t="n">
        <v>72054</v>
      </c>
      <c r="AB355" s="298" t="n">
        <v>0</v>
      </c>
      <c r="AC355" s="298" t="inlineStr">
        <is>
          <t>-</t>
        </is>
      </c>
      <c r="AD355" s="300" t="n">
        <v>7205</v>
      </c>
      <c r="AE355" s="298" t="n">
        <v>0</v>
      </c>
      <c r="AF355" s="562" t="n">
        <v>0</v>
      </c>
      <c r="AG355" s="198" t="n">
        <v>0</v>
      </c>
      <c r="AH355" s="198" t="n">
        <v>0</v>
      </c>
      <c r="AI355" s="198" t="n">
        <v>0</v>
      </c>
      <c r="AJ355" s="198" t="n">
        <v>0</v>
      </c>
      <c r="AK355" s="198" t="n">
        <v>0</v>
      </c>
      <c r="AL355" s="198" t="n">
        <v>0.01</v>
      </c>
      <c r="AM355" s="198" t="n">
        <v>0</v>
      </c>
      <c r="AN355" s="198" t="inlineStr">
        <is>
          <t>Storage</t>
        </is>
      </c>
    </row>
    <row r="356">
      <c r="A356" s="212">
        <f>A355+1</f>
        <v/>
      </c>
      <c r="B356" s="214" t="inlineStr">
        <is>
          <t>Storage charges-Im</t>
        </is>
      </c>
      <c r="C356" s="214" t="inlineStr">
        <is>
          <t>Port Autonome Du Sihanoukville</t>
        </is>
      </c>
      <c r="D356" s="215" t="inlineStr">
        <is>
          <t>L001-100044638</t>
        </is>
      </c>
      <c r="E356" s="290" t="n">
        <v>202500084523</v>
      </c>
      <c r="F356" s="279" t="n">
        <v>45766</v>
      </c>
      <c r="G356" s="216" t="n"/>
      <c r="H356" s="564" t="n"/>
      <c r="I356" s="564" t="n">
        <v>64881</v>
      </c>
      <c r="J356" s="213" t="inlineStr">
        <is>
          <t>អនុញ្ញាត (បានប្រកាស)</t>
        </is>
      </c>
      <c r="K356" s="213" t="n"/>
      <c r="L356" s="563">
        <f>I356</f>
        <v/>
      </c>
      <c r="M356" s="536">
        <f>I356-L356</f>
        <v/>
      </c>
      <c r="N356" s="213" t="n"/>
      <c r="O356" s="218">
        <f>U356=E356</f>
        <v/>
      </c>
      <c r="P356" s="218">
        <f>MONTH(F356)-MONTH(T356)</f>
        <v/>
      </c>
      <c r="Q356" s="218">
        <f>$B$5=X356</f>
        <v/>
      </c>
      <c r="R356" s="218">
        <f>I356-AD356</f>
        <v/>
      </c>
      <c r="S356" s="298" t="n"/>
      <c r="T356" s="299" t="n">
        <v>45766</v>
      </c>
      <c r="U356" s="298" t="n">
        <v>202500084523</v>
      </c>
      <c r="V356" s="298" t="n">
        <v>0</v>
      </c>
      <c r="W356" s="298" t="inlineStr">
        <is>
          <t>បុគ្គលជាប់អាករ</t>
        </is>
      </c>
      <c r="X356" s="298" t="inlineStr">
        <is>
          <t>L001-901640009</t>
        </is>
      </c>
      <c r="Y356" s="298" t="inlineStr">
        <is>
          <t>ហូលីដេ ឌីហ្សាញ (ខេមបូឌា) ឯ.ក</t>
        </is>
      </c>
      <c r="Z356" s="300" t="n">
        <v>713691</v>
      </c>
      <c r="AA356" s="300" t="n">
        <v>648810</v>
      </c>
      <c r="AB356" s="298" t="n">
        <v>0</v>
      </c>
      <c r="AC356" s="298" t="inlineStr">
        <is>
          <t>-</t>
        </is>
      </c>
      <c r="AD356" s="300" t="n">
        <v>64881</v>
      </c>
      <c r="AE356" s="298" t="n">
        <v>0</v>
      </c>
      <c r="AF356" s="562" t="n">
        <v>0</v>
      </c>
      <c r="AG356" s="198" t="n">
        <v>0</v>
      </c>
      <c r="AH356" s="198" t="n">
        <v>0</v>
      </c>
      <c r="AI356" s="198" t="n">
        <v>0</v>
      </c>
      <c r="AJ356" s="198" t="n">
        <v>0</v>
      </c>
      <c r="AK356" s="198" t="n">
        <v>0</v>
      </c>
      <c r="AL356" s="198" t="n">
        <v>0.01</v>
      </c>
      <c r="AM356" s="198" t="n">
        <v>0</v>
      </c>
      <c r="AN356" s="198" t="inlineStr">
        <is>
          <t>Storage</t>
        </is>
      </c>
    </row>
    <row r="357">
      <c r="A357" s="212">
        <f>A356+1</f>
        <v/>
      </c>
      <c r="B357" s="214" t="inlineStr">
        <is>
          <t>Storage charges-Im</t>
        </is>
      </c>
      <c r="C357" s="214" t="inlineStr">
        <is>
          <t>Port Autonome Du Sihanoukville</t>
        </is>
      </c>
      <c r="D357" s="215" t="inlineStr">
        <is>
          <t>L001-100044638</t>
        </is>
      </c>
      <c r="E357" s="290" t="n">
        <v>202500085102</v>
      </c>
      <c r="F357" s="279" t="n">
        <v>45767</v>
      </c>
      <c r="G357" s="216" t="n"/>
      <c r="H357" s="564" t="n"/>
      <c r="I357" s="564" t="n">
        <v>8411</v>
      </c>
      <c r="J357" s="213" t="inlineStr">
        <is>
          <t>អនុញ្ញាត (បានប្រកាស)</t>
        </is>
      </c>
      <c r="K357" s="213" t="n"/>
      <c r="L357" s="563">
        <f>I357</f>
        <v/>
      </c>
      <c r="M357" s="536">
        <f>I357-L357</f>
        <v/>
      </c>
      <c r="N357" s="213" t="n"/>
      <c r="O357" s="218">
        <f>U357=E357</f>
        <v/>
      </c>
      <c r="P357" s="218">
        <f>MONTH(F357)-MONTH(T357)</f>
        <v/>
      </c>
      <c r="Q357" s="218">
        <f>$B$5=X357</f>
        <v/>
      </c>
      <c r="R357" s="218">
        <f>I357-AD357</f>
        <v/>
      </c>
      <c r="S357" s="298" t="n"/>
      <c r="T357" s="299" t="n">
        <v>45767</v>
      </c>
      <c r="U357" s="298" t="n">
        <v>202500085102</v>
      </c>
      <c r="V357" s="298" t="n">
        <v>0</v>
      </c>
      <c r="W357" s="298" t="inlineStr">
        <is>
          <t>បុគ្គលជាប់អាករ</t>
        </is>
      </c>
      <c r="X357" s="298" t="inlineStr">
        <is>
          <t>L001-901640009</t>
        </is>
      </c>
      <c r="Y357" s="298" t="inlineStr">
        <is>
          <t>ហូលីដេ ឌីហ្សាញ (ខេមបូឌា) ឯ.ក</t>
        </is>
      </c>
      <c r="Z357" s="300" t="n">
        <v>92516</v>
      </c>
      <c r="AA357" s="300" t="n">
        <v>84105</v>
      </c>
      <c r="AB357" s="298" t="n">
        <v>0</v>
      </c>
      <c r="AC357" s="298" t="inlineStr">
        <is>
          <t>-</t>
        </is>
      </c>
      <c r="AD357" s="300" t="n">
        <v>8411</v>
      </c>
      <c r="AE357" s="298" t="n">
        <v>0</v>
      </c>
      <c r="AF357" s="562" t="n">
        <v>0</v>
      </c>
      <c r="AG357" s="198" t="n">
        <v>0</v>
      </c>
      <c r="AH357" s="198" t="n">
        <v>0</v>
      </c>
      <c r="AI357" s="198" t="n">
        <v>0</v>
      </c>
      <c r="AJ357" s="198" t="n">
        <v>0</v>
      </c>
      <c r="AK357" s="198" t="n">
        <v>0</v>
      </c>
      <c r="AL357" s="198" t="n">
        <v>0.01</v>
      </c>
      <c r="AM357" s="198" t="n">
        <v>0</v>
      </c>
      <c r="AN357" s="198" t="inlineStr">
        <is>
          <t>Storage</t>
        </is>
      </c>
    </row>
    <row r="358">
      <c r="A358" s="212">
        <f>A357+1</f>
        <v/>
      </c>
      <c r="B358" s="214" t="inlineStr">
        <is>
          <t>Lift-On &amp; Lift-On-Im</t>
        </is>
      </c>
      <c r="C358" s="214" t="inlineStr">
        <is>
          <t>Port Autonome Du Sihanoukville</t>
        </is>
      </c>
      <c r="D358" s="215" t="inlineStr">
        <is>
          <t>L001-100044638</t>
        </is>
      </c>
      <c r="E358" s="290" t="n">
        <v>202500083063</v>
      </c>
      <c r="F358" s="279" t="n">
        <v>45765</v>
      </c>
      <c r="G358" s="216" t="n"/>
      <c r="H358" s="564" t="n"/>
      <c r="I358" s="564" t="n">
        <v>205457</v>
      </c>
      <c r="J358" s="213" t="inlineStr">
        <is>
          <t>អនុញ្ញាត (បានប្រកាស)</t>
        </is>
      </c>
      <c r="K358" s="213" t="n"/>
      <c r="L358" s="563">
        <f>I358</f>
        <v/>
      </c>
      <c r="M358" s="536">
        <f>I358-L358</f>
        <v/>
      </c>
      <c r="N358" s="213" t="n"/>
      <c r="O358" s="218">
        <f>U358=E358</f>
        <v/>
      </c>
      <c r="P358" s="218">
        <f>MONTH(F358)-MONTH(T358)</f>
        <v/>
      </c>
      <c r="Q358" s="218">
        <f>$B$5=X358</f>
        <v/>
      </c>
      <c r="R358" s="218">
        <f>I358-AD358</f>
        <v/>
      </c>
      <c r="S358" s="298" t="n"/>
      <c r="T358" s="299" t="n">
        <v>45765</v>
      </c>
      <c r="U358" s="298" t="n">
        <v>202500083063</v>
      </c>
      <c r="V358" s="298" t="n">
        <v>0</v>
      </c>
      <c r="W358" s="298" t="inlineStr">
        <is>
          <t>បុគ្គលជាប់អាករ</t>
        </is>
      </c>
      <c r="X358" s="298" t="inlineStr">
        <is>
          <t>L001-901640009</t>
        </is>
      </c>
      <c r="Y358" s="298" t="inlineStr">
        <is>
          <t>ហូលីដេ ឌីហ្សាញ (ខេមបូឌា) ឯ.ក</t>
        </is>
      </c>
      <c r="Z358" s="300" t="n">
        <v>2260022</v>
      </c>
      <c r="AA358" s="300" t="n">
        <v>2054565</v>
      </c>
      <c r="AB358" s="298" t="n">
        <v>0</v>
      </c>
      <c r="AC358" s="298" t="inlineStr">
        <is>
          <t>-</t>
        </is>
      </c>
      <c r="AD358" s="300" t="n">
        <v>205457</v>
      </c>
      <c r="AE358" s="298" t="n">
        <v>0</v>
      </c>
      <c r="AF358" s="562" t="n">
        <v>0</v>
      </c>
      <c r="AG358" s="198" t="n">
        <v>0</v>
      </c>
      <c r="AH358" s="198" t="n">
        <v>0</v>
      </c>
      <c r="AI358" s="198" t="n">
        <v>0</v>
      </c>
      <c r="AJ358" s="198" t="n">
        <v>0</v>
      </c>
      <c r="AK358" s="198" t="n">
        <v>0</v>
      </c>
      <c r="AL358" s="198" t="n">
        <v>0.01</v>
      </c>
      <c r="AM358" s="198" t="n">
        <v>0</v>
      </c>
      <c r="AN358" s="198" t="inlineStr">
        <is>
          <t>LOLO</t>
        </is>
      </c>
    </row>
    <row r="359">
      <c r="A359" s="212">
        <f>A358+1</f>
        <v/>
      </c>
      <c r="B359" s="214" t="inlineStr">
        <is>
          <t>Terminal Handling Charge</t>
        </is>
      </c>
      <c r="C359" s="214" t="inlineStr">
        <is>
          <t>SITC CONTAINER LINES (CAMBODIA) Co., Ltd.</t>
        </is>
      </c>
      <c r="D359" s="215" t="inlineStr">
        <is>
          <t>L001-107035863</t>
        </is>
      </c>
      <c r="E359" s="290" t="inlineStr">
        <is>
          <t>SITC2025-011858</t>
        </is>
      </c>
      <c r="F359" s="279" t="n">
        <v>45756</v>
      </c>
      <c r="G359" s="216" t="n"/>
      <c r="H359" s="564" t="n"/>
      <c r="I359" s="564" t="n">
        <v>1105380</v>
      </c>
      <c r="J359" s="213" t="inlineStr">
        <is>
          <t>អនុញ្ញាត (បានប្រកាស)</t>
        </is>
      </c>
      <c r="K359" s="213" t="n"/>
      <c r="L359" s="563">
        <f>I359</f>
        <v/>
      </c>
      <c r="M359" s="536">
        <f>I359-L359</f>
        <v/>
      </c>
      <c r="N359" s="213" t="n"/>
      <c r="O359" s="218">
        <f>U359=E359</f>
        <v/>
      </c>
      <c r="P359" s="218">
        <f>MONTH(F359)-MONTH(T359)</f>
        <v/>
      </c>
      <c r="Q359" s="218">
        <f>$B$5=X359</f>
        <v/>
      </c>
      <c r="R359" s="218">
        <f>I359-AD359</f>
        <v/>
      </c>
      <c r="S359" s="298" t="n"/>
      <c r="T359" s="299" t="n">
        <v>45756</v>
      </c>
      <c r="U359" s="298" t="inlineStr">
        <is>
          <t>SITC2025-011858</t>
        </is>
      </c>
      <c r="V359" s="298" t="n">
        <v>0</v>
      </c>
      <c r="W359" s="298" t="inlineStr">
        <is>
          <t>បុគ្គលជាប់អាករ</t>
        </is>
      </c>
      <c r="X359" s="298" t="inlineStr">
        <is>
          <t>L001-901640009</t>
        </is>
      </c>
      <c r="Y359" s="298" t="inlineStr">
        <is>
          <t>ហូលីដេ ឌីហ្សាញ (ខេមបូឌា) ឯ.ក</t>
        </is>
      </c>
      <c r="Z359" s="300" t="n">
        <v>12159180</v>
      </c>
      <c r="AA359" s="300" t="n">
        <v>11053800</v>
      </c>
      <c r="AB359" s="298" t="n">
        <v>0</v>
      </c>
      <c r="AC359" s="298" t="inlineStr">
        <is>
          <t>-</t>
        </is>
      </c>
      <c r="AD359" s="300" t="n">
        <v>1105380</v>
      </c>
      <c r="AE359" s="298" t="n">
        <v>0</v>
      </c>
      <c r="AF359" s="562" t="n">
        <v>0</v>
      </c>
      <c r="AG359" s="198" t="n">
        <v>0</v>
      </c>
      <c r="AH359" s="198" t="n">
        <v>0</v>
      </c>
      <c r="AI359" s="198" t="n">
        <v>0</v>
      </c>
      <c r="AJ359" s="198" t="n">
        <v>0</v>
      </c>
      <c r="AK359" s="198" t="n">
        <v>0</v>
      </c>
      <c r="AL359" s="198" t="n">
        <v>0.01</v>
      </c>
      <c r="AM359" s="198" t="n">
        <v>0</v>
      </c>
      <c r="AN359" s="198" t="inlineStr">
        <is>
          <t>EIB,KHDOC,KHTHC,EMF,KHCIC</t>
        </is>
      </c>
    </row>
    <row r="360">
      <c r="A360" s="212">
        <f>A359+1</f>
        <v/>
      </c>
      <c r="B360" s="214" t="inlineStr">
        <is>
          <t>Trucking &amp; Clearance-Im</t>
        </is>
      </c>
      <c r="C360" s="214" t="inlineStr">
        <is>
          <t>BRILLIANT TRANSPORT AND TRADING Co., Ltd.</t>
        </is>
      </c>
      <c r="D360" s="215" t="inlineStr">
        <is>
          <t>K002-100089305</t>
        </is>
      </c>
      <c r="E360" s="290" t="inlineStr">
        <is>
          <t>BTT25-0000920</t>
        </is>
      </c>
      <c r="F360" s="279" t="n">
        <v>45764</v>
      </c>
      <c r="G360" s="216" t="n"/>
      <c r="H360" s="564" t="n"/>
      <c r="I360" s="564" t="n">
        <v>2222775</v>
      </c>
      <c r="J360" s="213" t="inlineStr">
        <is>
          <t>អនុញ្ញាត (បានប្រកាស)</t>
        </is>
      </c>
      <c r="K360" s="213" t="n"/>
      <c r="L360" s="563">
        <f>I360</f>
        <v/>
      </c>
      <c r="M360" s="536">
        <f>I360-L360</f>
        <v/>
      </c>
      <c r="N360" s="213" t="n"/>
      <c r="O360" s="218">
        <f>U360=E360</f>
        <v/>
      </c>
      <c r="P360" s="218">
        <f>MONTH(F360)-MONTH(T360)</f>
        <v/>
      </c>
      <c r="Q360" s="218">
        <f>$B$5=X360</f>
        <v/>
      </c>
      <c r="R360" s="218">
        <f>I360-AD360</f>
        <v/>
      </c>
      <c r="S360" s="298" t="n"/>
      <c r="T360" s="299" t="n">
        <v>45764</v>
      </c>
      <c r="U360" s="298" t="inlineStr">
        <is>
          <t>BTT25-0000920</t>
        </is>
      </c>
      <c r="V360" s="298" t="n">
        <v>0</v>
      </c>
      <c r="W360" s="298" t="inlineStr">
        <is>
          <t>បុគ្គលជាប់អាករ</t>
        </is>
      </c>
      <c r="X360" s="298" t="inlineStr">
        <is>
          <t>L001-901640009</t>
        </is>
      </c>
      <c r="Y360" s="298" t="inlineStr">
        <is>
          <t>ហូលីដេ ឌីហ្សាញ (ខេមបូឌា) ឯ.ក</t>
        </is>
      </c>
      <c r="Z360" s="300" t="n">
        <v>24450525</v>
      </c>
      <c r="AA360" s="300" t="n">
        <v>22227750</v>
      </c>
      <c r="AB360" s="298" t="n">
        <v>0</v>
      </c>
      <c r="AC360" s="298" t="inlineStr">
        <is>
          <t>-</t>
        </is>
      </c>
      <c r="AD360" s="300" t="n">
        <v>2222775</v>
      </c>
      <c r="AE360" s="298" t="n">
        <v>0</v>
      </c>
      <c r="AF360" s="562" t="n">
        <v>0</v>
      </c>
      <c r="AG360" s="198" t="n">
        <v>0</v>
      </c>
      <c r="AH360" s="198" t="n">
        <v>0</v>
      </c>
      <c r="AI360" s="198" t="n">
        <v>0</v>
      </c>
      <c r="AJ360" s="198" t="n">
        <v>0</v>
      </c>
      <c r="AK360" s="198" t="n">
        <v>0</v>
      </c>
      <c r="AL360" s="198" t="n">
        <v>0.01</v>
      </c>
      <c r="AM360" s="198" t="n">
        <v>0</v>
      </c>
      <c r="AN360" s="198" t="inlineStr">
        <is>
          <t>Truking / Service</t>
        </is>
      </c>
    </row>
    <row r="361">
      <c r="A361" s="212">
        <f>A360+1</f>
        <v/>
      </c>
      <c r="B361" s="214" t="inlineStr">
        <is>
          <t>Storage charges-Im</t>
        </is>
      </c>
      <c r="C361" s="214" t="inlineStr">
        <is>
          <t>Port Autonome Du Sihanoukville</t>
        </is>
      </c>
      <c r="D361" s="215" t="inlineStr">
        <is>
          <t>L001-100044638</t>
        </is>
      </c>
      <c r="E361" s="290" t="n">
        <v>202500086730</v>
      </c>
      <c r="F361" s="279" t="n">
        <v>45768</v>
      </c>
      <c r="G361" s="216" t="n"/>
      <c r="H361" s="564" t="n"/>
      <c r="I361" s="564" t="n">
        <v>4804</v>
      </c>
      <c r="J361" s="213" t="inlineStr">
        <is>
          <t>អនុញ្ញាត (បានប្រកាស)</t>
        </is>
      </c>
      <c r="K361" s="213" t="n"/>
      <c r="L361" s="563">
        <f>I361</f>
        <v/>
      </c>
      <c r="M361" s="536">
        <f>I361-L361</f>
        <v/>
      </c>
      <c r="N361" s="213" t="n"/>
      <c r="O361" s="218">
        <f>U361=E361</f>
        <v/>
      </c>
      <c r="P361" s="218">
        <f>MONTH(F361)-MONTH(T361)</f>
        <v/>
      </c>
      <c r="Q361" s="218">
        <f>$B$5=X361</f>
        <v/>
      </c>
      <c r="R361" s="218">
        <f>I361-AD361</f>
        <v/>
      </c>
      <c r="S361" s="298" t="n"/>
      <c r="T361" s="299" t="n">
        <v>45768</v>
      </c>
      <c r="U361" s="298" t="n">
        <v>202500086730</v>
      </c>
      <c r="V361" s="298" t="n">
        <v>0</v>
      </c>
      <c r="W361" s="298" t="inlineStr">
        <is>
          <t>បុគ្គលជាប់អាករ</t>
        </is>
      </c>
      <c r="X361" s="298" t="inlineStr">
        <is>
          <t>L001-901640009</t>
        </is>
      </c>
      <c r="Y361" s="298" t="inlineStr">
        <is>
          <t>ហូលីដេ ឌីហ្សាញ (ខេមបូឌា) ឯ.ក</t>
        </is>
      </c>
      <c r="Z361" s="300" t="n">
        <v>52840</v>
      </c>
      <c r="AA361" s="300" t="n">
        <v>48036</v>
      </c>
      <c r="AB361" s="298" t="n">
        <v>0</v>
      </c>
      <c r="AC361" s="298" t="inlineStr">
        <is>
          <t>-</t>
        </is>
      </c>
      <c r="AD361" s="300" t="n">
        <v>4804</v>
      </c>
      <c r="AE361" s="298" t="n">
        <v>0</v>
      </c>
      <c r="AF361" s="562" t="n">
        <v>0</v>
      </c>
      <c r="AG361" s="198" t="n">
        <v>0</v>
      </c>
      <c r="AH361" s="198" t="n">
        <v>0</v>
      </c>
      <c r="AI361" s="198" t="n">
        <v>0</v>
      </c>
      <c r="AJ361" s="198" t="n">
        <v>0</v>
      </c>
      <c r="AK361" s="198" t="n">
        <v>0</v>
      </c>
      <c r="AL361" s="198" t="n">
        <v>0.01</v>
      </c>
      <c r="AM361" s="198" t="n">
        <v>0</v>
      </c>
      <c r="AN361" s="198" t="inlineStr">
        <is>
          <t>Storage</t>
        </is>
      </c>
    </row>
    <row r="362">
      <c r="A362" s="212">
        <f>A361+1</f>
        <v/>
      </c>
      <c r="B362" s="214" t="inlineStr">
        <is>
          <t>Storage charges-Im</t>
        </is>
      </c>
      <c r="C362" s="214" t="inlineStr">
        <is>
          <t>Port Autonome Du Sihanoukville</t>
        </is>
      </c>
      <c r="D362" s="215" t="inlineStr">
        <is>
          <t>L001-100044638</t>
        </is>
      </c>
      <c r="E362" s="290" t="n">
        <v>202500085103</v>
      </c>
      <c r="F362" s="279" t="n">
        <v>45767</v>
      </c>
      <c r="G362" s="216" t="n"/>
      <c r="H362" s="564" t="n"/>
      <c r="I362" s="564" t="n">
        <v>4806</v>
      </c>
      <c r="J362" s="213" t="inlineStr">
        <is>
          <t>អនុញ្ញាត (បានប្រកាស)</t>
        </is>
      </c>
      <c r="K362" s="213" t="n"/>
      <c r="L362" s="563">
        <f>I362</f>
        <v/>
      </c>
      <c r="M362" s="536">
        <f>I362-L362</f>
        <v/>
      </c>
      <c r="N362" s="213" t="n"/>
      <c r="O362" s="218">
        <f>U362=E362</f>
        <v/>
      </c>
      <c r="P362" s="218">
        <f>MONTH(F362)-MONTH(T362)</f>
        <v/>
      </c>
      <c r="Q362" s="218">
        <f>$B$5=X362</f>
        <v/>
      </c>
      <c r="R362" s="218">
        <f>I362-AD362</f>
        <v/>
      </c>
      <c r="S362" s="298" t="n"/>
      <c r="T362" s="299" t="n">
        <v>45767</v>
      </c>
      <c r="U362" s="298" t="n">
        <v>202500085103</v>
      </c>
      <c r="V362" s="298" t="n">
        <v>0</v>
      </c>
      <c r="W362" s="298" t="inlineStr">
        <is>
          <t>បុគ្គលជាប់អាករ</t>
        </is>
      </c>
      <c r="X362" s="298" t="inlineStr">
        <is>
          <t>L001-901640009</t>
        </is>
      </c>
      <c r="Y362" s="298" t="inlineStr">
        <is>
          <t>ហូលីដេ ឌីហ្សាញ (ខេមបូឌា) ឯ.ក</t>
        </is>
      </c>
      <c r="Z362" s="300" t="n">
        <v>52866</v>
      </c>
      <c r="AA362" s="300" t="n">
        <v>48060</v>
      </c>
      <c r="AB362" s="298" t="n">
        <v>0</v>
      </c>
      <c r="AC362" s="298" t="inlineStr">
        <is>
          <t>-</t>
        </is>
      </c>
      <c r="AD362" s="300" t="n">
        <v>4806</v>
      </c>
      <c r="AE362" s="298" t="n">
        <v>0</v>
      </c>
      <c r="AF362" s="562" t="n">
        <v>0</v>
      </c>
      <c r="AG362" s="198" t="n">
        <v>0</v>
      </c>
      <c r="AH362" s="198" t="n">
        <v>0</v>
      </c>
      <c r="AI362" s="198" t="n">
        <v>0</v>
      </c>
      <c r="AJ362" s="198" t="n">
        <v>0</v>
      </c>
      <c r="AK362" s="198" t="n">
        <v>0</v>
      </c>
      <c r="AL362" s="198" t="n">
        <v>0.01</v>
      </c>
      <c r="AM362" s="198" t="n">
        <v>0</v>
      </c>
      <c r="AN362" s="198" t="inlineStr">
        <is>
          <t>Storage</t>
        </is>
      </c>
    </row>
    <row r="363">
      <c r="A363" s="212">
        <f>A362+1</f>
        <v/>
      </c>
      <c r="B363" s="214" t="inlineStr">
        <is>
          <t>Storage charges-Im</t>
        </is>
      </c>
      <c r="C363" s="214" t="inlineStr">
        <is>
          <t>Port Autonome Du Sihanoukville</t>
        </is>
      </c>
      <c r="D363" s="215" t="inlineStr">
        <is>
          <t>L001-100044638</t>
        </is>
      </c>
      <c r="E363" s="290" t="n">
        <v>202500083072</v>
      </c>
      <c r="F363" s="279" t="n">
        <v>45765</v>
      </c>
      <c r="G363" s="216" t="n"/>
      <c r="H363" s="564" t="n"/>
      <c r="I363" s="564" t="n">
        <v>12015</v>
      </c>
      <c r="J363" s="213" t="inlineStr">
        <is>
          <t>អនុញ្ញាត (បានប្រកាស)</t>
        </is>
      </c>
      <c r="K363" s="213" t="n"/>
      <c r="L363" s="563">
        <f>I363</f>
        <v/>
      </c>
      <c r="M363" s="536">
        <f>I363-L363</f>
        <v/>
      </c>
      <c r="N363" s="213" t="n"/>
      <c r="O363" s="218">
        <f>U363=E363</f>
        <v/>
      </c>
      <c r="P363" s="218">
        <f>MONTH(F363)-MONTH(T363)</f>
        <v/>
      </c>
      <c r="Q363" s="218">
        <f>$B$5=X363</f>
        <v/>
      </c>
      <c r="R363" s="218">
        <f>I363-AD363</f>
        <v/>
      </c>
      <c r="S363" s="298" t="n"/>
      <c r="T363" s="299" t="n">
        <v>45765</v>
      </c>
      <c r="U363" s="298" t="n">
        <v>202500083072</v>
      </c>
      <c r="V363" s="298" t="n">
        <v>0</v>
      </c>
      <c r="W363" s="298" t="inlineStr">
        <is>
          <t>បុគ្គលជាប់អាករ</t>
        </is>
      </c>
      <c r="X363" s="298" t="inlineStr">
        <is>
          <t>L001-901640009</t>
        </is>
      </c>
      <c r="Y363" s="298" t="inlineStr">
        <is>
          <t>ហូលីដេ ឌីហ្សាញ (ខេមបូឌា) ឯ.ក</t>
        </is>
      </c>
      <c r="Z363" s="300" t="n">
        <v>132165</v>
      </c>
      <c r="AA363" s="300" t="n">
        <v>120150</v>
      </c>
      <c r="AB363" s="298" t="n">
        <v>0</v>
      </c>
      <c r="AC363" s="298" t="inlineStr">
        <is>
          <t>-</t>
        </is>
      </c>
      <c r="AD363" s="300" t="n">
        <v>12015</v>
      </c>
      <c r="AE363" s="298" t="n">
        <v>0</v>
      </c>
      <c r="AF363" s="562" t="n">
        <v>0</v>
      </c>
      <c r="AG363" s="198" t="n">
        <v>0</v>
      </c>
      <c r="AH363" s="198" t="n">
        <v>0</v>
      </c>
      <c r="AI363" s="198" t="n">
        <v>0</v>
      </c>
      <c r="AJ363" s="198" t="n">
        <v>0</v>
      </c>
      <c r="AK363" s="198" t="n">
        <v>0</v>
      </c>
      <c r="AL363" s="198" t="n">
        <v>0.01</v>
      </c>
      <c r="AM363" s="198" t="n">
        <v>0</v>
      </c>
      <c r="AN363" s="198" t="inlineStr">
        <is>
          <t>Storage</t>
        </is>
      </c>
    </row>
    <row r="364">
      <c r="A364" s="212">
        <f>A363+1</f>
        <v/>
      </c>
      <c r="B364" s="214" t="inlineStr">
        <is>
          <t>Storage charges-Im</t>
        </is>
      </c>
      <c r="C364" s="214" t="inlineStr">
        <is>
          <t>Port Autonome Du Sihanoukville</t>
        </is>
      </c>
      <c r="D364" s="215" t="inlineStr">
        <is>
          <t>L001-100044638</t>
        </is>
      </c>
      <c r="E364" s="290" t="n">
        <v>202500084493</v>
      </c>
      <c r="F364" s="279" t="n">
        <v>45766</v>
      </c>
      <c r="G364" s="216" t="n"/>
      <c r="H364" s="564" t="n"/>
      <c r="I364" s="564" t="n">
        <v>12015</v>
      </c>
      <c r="J364" s="213" t="inlineStr">
        <is>
          <t>អនុញ្ញាត (បានប្រកាស)</t>
        </is>
      </c>
      <c r="K364" s="213" t="n"/>
      <c r="L364" s="563">
        <f>I364</f>
        <v/>
      </c>
      <c r="M364" s="536">
        <f>I364-L364</f>
        <v/>
      </c>
      <c r="N364" s="213" t="n"/>
      <c r="O364" s="218">
        <f>U364=E364</f>
        <v/>
      </c>
      <c r="P364" s="218">
        <f>MONTH(F364)-MONTH(T364)</f>
        <v/>
      </c>
      <c r="Q364" s="218">
        <f>$B$5=X364</f>
        <v/>
      </c>
      <c r="R364" s="218">
        <f>I364-AD364</f>
        <v/>
      </c>
      <c r="S364" s="298" t="n"/>
      <c r="T364" s="299" t="n">
        <v>45766</v>
      </c>
      <c r="U364" s="298" t="n">
        <v>202500084493</v>
      </c>
      <c r="V364" s="298" t="n">
        <v>0</v>
      </c>
      <c r="W364" s="298" t="inlineStr">
        <is>
          <t>បុគ្គលជាប់អាករ</t>
        </is>
      </c>
      <c r="X364" s="298" t="inlineStr">
        <is>
          <t>L001-901640009</t>
        </is>
      </c>
      <c r="Y364" s="298" t="inlineStr">
        <is>
          <t>ហូលីដេ ឌីហ្សាញ (ខេមបូឌា) ឯ.ក</t>
        </is>
      </c>
      <c r="Z364" s="300" t="n">
        <v>132165</v>
      </c>
      <c r="AA364" s="300" t="n">
        <v>120150</v>
      </c>
      <c r="AB364" s="298" t="n">
        <v>0</v>
      </c>
      <c r="AC364" s="298" t="inlineStr">
        <is>
          <t>-</t>
        </is>
      </c>
      <c r="AD364" s="300" t="n">
        <v>12015</v>
      </c>
      <c r="AE364" s="298" t="n">
        <v>0</v>
      </c>
      <c r="AF364" s="562" t="n">
        <v>0</v>
      </c>
      <c r="AG364" s="198" t="n">
        <v>0</v>
      </c>
      <c r="AH364" s="198" t="n">
        <v>0</v>
      </c>
      <c r="AI364" s="198" t="n">
        <v>0</v>
      </c>
      <c r="AJ364" s="198" t="n">
        <v>0</v>
      </c>
      <c r="AK364" s="198" t="n">
        <v>0</v>
      </c>
      <c r="AL364" s="198" t="n">
        <v>0.01</v>
      </c>
      <c r="AM364" s="198" t="n">
        <v>0</v>
      </c>
      <c r="AN364" s="198" t="inlineStr">
        <is>
          <t>Storage</t>
        </is>
      </c>
    </row>
    <row r="365">
      <c r="A365" s="212">
        <f>A364+1</f>
        <v/>
      </c>
      <c r="B365" s="214" t="inlineStr">
        <is>
          <t>Storage charges-Im</t>
        </is>
      </c>
      <c r="C365" s="214" t="inlineStr">
        <is>
          <t>Port Autonome Du Sihanoukville</t>
        </is>
      </c>
      <c r="D365" s="215" t="inlineStr">
        <is>
          <t>L001-100044638</t>
        </is>
      </c>
      <c r="E365" s="290" t="n">
        <v>202500082027</v>
      </c>
      <c r="F365" s="279" t="n">
        <v>45764</v>
      </c>
      <c r="G365" s="216" t="n"/>
      <c r="H365" s="564" t="n"/>
      <c r="I365" s="564" t="n">
        <v>115344</v>
      </c>
      <c r="J365" s="213" t="inlineStr">
        <is>
          <t>អនុញ្ញាត (បានប្រកាស)</t>
        </is>
      </c>
      <c r="K365" s="213" t="n"/>
      <c r="L365" s="563">
        <f>I365</f>
        <v/>
      </c>
      <c r="M365" s="536">
        <f>I365-L365</f>
        <v/>
      </c>
      <c r="N365" s="213" t="n"/>
      <c r="O365" s="218">
        <f>U365=E365</f>
        <v/>
      </c>
      <c r="P365" s="218">
        <f>MONTH(F365)-MONTH(T365)</f>
        <v/>
      </c>
      <c r="Q365" s="218">
        <f>$B$5=X365</f>
        <v/>
      </c>
      <c r="R365" s="218">
        <f>I365-AD365</f>
        <v/>
      </c>
      <c r="S365" s="298" t="n"/>
      <c r="T365" s="299" t="n">
        <v>45764</v>
      </c>
      <c r="U365" s="298" t="n">
        <v>202500082027</v>
      </c>
      <c r="V365" s="298" t="n">
        <v>0</v>
      </c>
      <c r="W365" s="298" t="inlineStr">
        <is>
          <t>បុគ្គលជាប់អាករ</t>
        </is>
      </c>
      <c r="X365" s="298" t="inlineStr">
        <is>
          <t>L001-901640009</t>
        </is>
      </c>
      <c r="Y365" s="298" t="inlineStr">
        <is>
          <t>ហូលីដេ ឌីហ្សាញ (ខេមបូឌា) ឯ.ក</t>
        </is>
      </c>
      <c r="Z365" s="300" t="n">
        <v>1268784</v>
      </c>
      <c r="AA365" s="300" t="n">
        <v>1153440</v>
      </c>
      <c r="AB365" s="298" t="n">
        <v>0</v>
      </c>
      <c r="AC365" s="298" t="inlineStr">
        <is>
          <t>-</t>
        </is>
      </c>
      <c r="AD365" s="300" t="n">
        <v>115344</v>
      </c>
      <c r="AE365" s="298" t="n">
        <v>0</v>
      </c>
      <c r="AF365" s="562" t="n">
        <v>0</v>
      </c>
      <c r="AG365" s="198" t="n">
        <v>0</v>
      </c>
      <c r="AH365" s="198" t="n">
        <v>0</v>
      </c>
      <c r="AI365" s="198" t="n">
        <v>0</v>
      </c>
      <c r="AJ365" s="198" t="n">
        <v>0</v>
      </c>
      <c r="AK365" s="198" t="n">
        <v>0</v>
      </c>
      <c r="AL365" s="198" t="n">
        <v>0.01</v>
      </c>
      <c r="AM365" s="198" t="n">
        <v>0</v>
      </c>
      <c r="AN365" s="198" t="inlineStr">
        <is>
          <t>Storage</t>
        </is>
      </c>
    </row>
    <row r="366">
      <c r="A366" s="212">
        <f>A365+1</f>
        <v/>
      </c>
      <c r="B366" s="214" t="inlineStr">
        <is>
          <t>THC, Doc, EMF, FRT Fee-Im</t>
        </is>
      </c>
      <c r="C366" s="214" t="inlineStr">
        <is>
          <t>INCHCAPE SHIPPING SERVICES (CAMBODIA) LTD</t>
        </is>
      </c>
      <c r="D366" s="215" t="inlineStr">
        <is>
          <t>L001-103000127</t>
        </is>
      </c>
      <c r="E366" s="290" t="inlineStr">
        <is>
          <t>IN250971</t>
        </is>
      </c>
      <c r="F366" s="279" t="n">
        <v>45733</v>
      </c>
      <c r="G366" s="216" t="n"/>
      <c r="H366" s="564" t="n"/>
      <c r="I366" s="564" t="n">
        <v>845477</v>
      </c>
      <c r="J366" s="213" t="inlineStr">
        <is>
          <t>អនុញ្ញាត (បានប្រកាស)</t>
        </is>
      </c>
      <c r="K366" s="213" t="n"/>
      <c r="L366" s="563">
        <f>I366</f>
        <v/>
      </c>
      <c r="M366" s="536">
        <f>I366-L366</f>
        <v/>
      </c>
      <c r="N366" s="213" t="n"/>
      <c r="O366" s="218">
        <f>U366=E366</f>
        <v/>
      </c>
      <c r="P366" s="218">
        <f>MONTH(F366)-MONTH(T366)</f>
        <v/>
      </c>
      <c r="Q366" s="218">
        <f>$B$5=X366</f>
        <v/>
      </c>
      <c r="R366" s="218">
        <f>I366-AD366</f>
        <v/>
      </c>
      <c r="S366" s="298" t="n"/>
      <c r="T366" s="299" t="n">
        <v>45733</v>
      </c>
      <c r="U366" s="298" t="inlineStr">
        <is>
          <t>IN250971</t>
        </is>
      </c>
      <c r="V366" s="298" t="n">
        <v>0</v>
      </c>
      <c r="W366" s="298" t="inlineStr">
        <is>
          <t>បុគ្គលជាប់អាករ</t>
        </is>
      </c>
      <c r="X366" s="298" t="inlineStr">
        <is>
          <t>L001-901640009</t>
        </is>
      </c>
      <c r="Y366" s="298" t="inlineStr">
        <is>
          <t>ហូលីដេ ឌីហ្សាញ (ខេមបូឌា) ឯ.ក</t>
        </is>
      </c>
      <c r="Z366" s="300" t="n">
        <v>9300247</v>
      </c>
      <c r="AA366" s="300" t="n">
        <v>8454770</v>
      </c>
      <c r="AB366" s="298" t="n">
        <v>0</v>
      </c>
      <c r="AC366" s="298" t="inlineStr">
        <is>
          <t>-</t>
        </is>
      </c>
      <c r="AD366" s="300" t="n">
        <v>845477</v>
      </c>
      <c r="AE366" s="298" t="n">
        <v>0</v>
      </c>
      <c r="AF366" s="562" t="n">
        <v>0</v>
      </c>
      <c r="AG366" s="198" t="n">
        <v>0</v>
      </c>
      <c r="AH366" s="198" t="n">
        <v>0</v>
      </c>
      <c r="AI366" s="198" t="n">
        <v>0</v>
      </c>
      <c r="AJ366" s="198" t="n">
        <v>0</v>
      </c>
      <c r="AK366" s="198" t="n">
        <v>0</v>
      </c>
      <c r="AL366" s="198" t="n">
        <v>0.01</v>
      </c>
      <c r="AM366" s="198" t="n">
        <v>0</v>
      </c>
      <c r="AN366" s="198" t="inlineStr">
        <is>
          <t>THC,DOC,EMF AND FRT FEE</t>
        </is>
      </c>
      <c r="AO366" s="198" t="inlineStr">
        <is>
          <t>បានប្រកាសនិងបង់ពន្ធ</t>
        </is>
      </c>
    </row>
    <row r="367">
      <c r="A367" s="212">
        <f>A366+1</f>
        <v/>
      </c>
      <c r="B367" s="214" t="inlineStr">
        <is>
          <t>THC Fee-Ex</t>
        </is>
      </c>
      <c r="C367" s="214" t="inlineStr">
        <is>
          <t>APL LOGISTICS (CAMBODIA) PTE LTD.</t>
        </is>
      </c>
      <c r="D367" s="215" t="inlineStr">
        <is>
          <t>L001-100046460</t>
        </is>
      </c>
      <c r="E367" s="290" t="inlineStr">
        <is>
          <t>APLL25003168</t>
        </is>
      </c>
      <c r="F367" s="279" t="n">
        <v>45798</v>
      </c>
      <c r="G367" s="216" t="n"/>
      <c r="H367" s="564" t="n"/>
      <c r="I367" s="564" t="n">
        <v>320240</v>
      </c>
      <c r="J367" s="213" t="inlineStr">
        <is>
          <t>អនុញ្ញាត (បានប្រកាស)</t>
        </is>
      </c>
      <c r="K367" s="213" t="n"/>
      <c r="L367" s="563">
        <f>I367</f>
        <v/>
      </c>
      <c r="M367" s="536">
        <f>I367-L367</f>
        <v/>
      </c>
      <c r="N367" s="213" t="n"/>
      <c r="O367" s="218">
        <f>U367=E367</f>
        <v/>
      </c>
      <c r="P367" s="218">
        <f>MONTH(F367)-MONTH(T367)</f>
        <v/>
      </c>
      <c r="Q367" s="218">
        <f>$B$5=X367</f>
        <v/>
      </c>
      <c r="R367" s="218">
        <f>I367-AD367</f>
        <v/>
      </c>
      <c r="S367" s="298" t="n"/>
      <c r="T367" s="299" t="n">
        <v>45798</v>
      </c>
      <c r="U367" s="298" t="inlineStr">
        <is>
          <t>APLL25003168</t>
        </is>
      </c>
      <c r="V367" s="298" t="n"/>
      <c r="W367" s="298" t="n"/>
      <c r="X367" s="298" t="n"/>
      <c r="Y367" s="298" t="inlineStr">
        <is>
          <t>ហូលីដេ ឌីហ្សាញ (ខេមបូឌា) ឯ.ក</t>
        </is>
      </c>
      <c r="Z367" s="300" t="n"/>
      <c r="AA367" s="300" t="n"/>
      <c r="AB367" s="298" t="n"/>
      <c r="AC367" s="298" t="n"/>
      <c r="AD367" s="300" t="n">
        <v>320240</v>
      </c>
      <c r="AE367" s="298" t="n"/>
      <c r="AF367" s="562" t="n"/>
    </row>
    <row r="368">
      <c r="A368" s="212">
        <f>A367+1</f>
        <v/>
      </c>
      <c r="B368" s="214" t="inlineStr">
        <is>
          <t>THC Fee-Ex</t>
        </is>
      </c>
      <c r="C368" s="214" t="inlineStr">
        <is>
          <t>APL LOGISTICS (CAMBODIA) PTE LTD.</t>
        </is>
      </c>
      <c r="D368" s="215" t="inlineStr">
        <is>
          <t>L001-100046460</t>
        </is>
      </c>
      <c r="E368" s="290" t="inlineStr">
        <is>
          <t>APLL25003269</t>
        </is>
      </c>
      <c r="F368" s="279" t="n">
        <v>45799</v>
      </c>
      <c r="G368" s="216" t="n"/>
      <c r="H368" s="564" t="n"/>
      <c r="I368" s="564" t="n">
        <v>115286</v>
      </c>
      <c r="J368" s="213" t="inlineStr">
        <is>
          <t>អនុញ្ញាត (បានប្រកាស)</t>
        </is>
      </c>
      <c r="K368" s="213" t="n"/>
      <c r="L368" s="563">
        <f>I368</f>
        <v/>
      </c>
      <c r="M368" s="536">
        <f>I368-L368</f>
        <v/>
      </c>
      <c r="N368" s="213" t="n"/>
      <c r="O368" s="218">
        <f>U368=E368</f>
        <v/>
      </c>
      <c r="P368" s="218">
        <f>MONTH(F368)-MONTH(T368)</f>
        <v/>
      </c>
      <c r="Q368" s="218">
        <f>$B$5=X368</f>
        <v/>
      </c>
      <c r="R368" s="218">
        <f>I368-AD368</f>
        <v/>
      </c>
      <c r="S368" s="298" t="n"/>
      <c r="T368" s="299" t="n">
        <v>45799</v>
      </c>
      <c r="U368" s="298" t="inlineStr">
        <is>
          <t>APLL25003269</t>
        </is>
      </c>
      <c r="V368" s="298" t="n"/>
      <c r="W368" s="298" t="n"/>
      <c r="X368" s="298" t="n"/>
      <c r="Y368" s="298" t="inlineStr">
        <is>
          <t>ហូលីដេ ឌីហ្សាញ (ខេមបូឌា) ឯ.ក</t>
        </is>
      </c>
      <c r="Z368" s="300" t="n"/>
      <c r="AA368" s="300" t="n"/>
      <c r="AB368" s="298" t="n"/>
      <c r="AC368" s="298" t="n"/>
      <c r="AD368" s="300" t="n">
        <v>115286</v>
      </c>
      <c r="AE368" s="298" t="n"/>
      <c r="AF368" s="562" t="n"/>
    </row>
    <row r="369">
      <c r="A369" s="212">
        <f>A368+1</f>
        <v/>
      </c>
      <c r="B369" s="214" t="inlineStr">
        <is>
          <t>THC Fee-Ex</t>
        </is>
      </c>
      <c r="C369" s="214" t="inlineStr">
        <is>
          <t>APL LOGISTICS (CAMBODIA) PTE LTD.</t>
        </is>
      </c>
      <c r="D369" s="215" t="inlineStr">
        <is>
          <t>L001-100046460</t>
        </is>
      </c>
      <c r="E369" s="290" t="inlineStr">
        <is>
          <t>APLL25003266</t>
        </is>
      </c>
      <c r="F369" s="279" t="n">
        <v>45799</v>
      </c>
      <c r="G369" s="216" t="n"/>
      <c r="H369" s="564" t="n"/>
      <c r="I369" s="564" t="n">
        <v>85264</v>
      </c>
      <c r="J369" s="213" t="inlineStr">
        <is>
          <t>អនុញ្ញាត (បានប្រកាស)</t>
        </is>
      </c>
      <c r="K369" s="213" t="n"/>
      <c r="L369" s="563">
        <f>I369</f>
        <v/>
      </c>
      <c r="M369" s="536">
        <f>I369-L369</f>
        <v/>
      </c>
      <c r="N369" s="213" t="n"/>
      <c r="O369" s="218">
        <f>U369=E369</f>
        <v/>
      </c>
      <c r="P369" s="218">
        <f>MONTH(F369)-MONTH(T369)</f>
        <v/>
      </c>
      <c r="Q369" s="218">
        <f>$B$5=X369</f>
        <v/>
      </c>
      <c r="R369" s="218">
        <f>I369-AD369</f>
        <v/>
      </c>
      <c r="S369" s="298" t="n"/>
      <c r="T369" s="299" t="n">
        <v>45799</v>
      </c>
      <c r="U369" s="298" t="inlineStr">
        <is>
          <t>APLL25003266</t>
        </is>
      </c>
      <c r="V369" s="298" t="n"/>
      <c r="W369" s="298" t="n"/>
      <c r="X369" s="298" t="n"/>
      <c r="Y369" s="298" t="inlineStr">
        <is>
          <t>ហូលីដេ ឌីហ្សាញ (ខេមបូឌា) ឯ.ក</t>
        </is>
      </c>
      <c r="Z369" s="300" t="n"/>
      <c r="AA369" s="300" t="n"/>
      <c r="AB369" s="298" t="n"/>
      <c r="AC369" s="298" t="n"/>
      <c r="AD369" s="300" t="n">
        <v>85264</v>
      </c>
      <c r="AE369" s="298" t="n"/>
      <c r="AF369" s="562" t="n"/>
    </row>
    <row r="370">
      <c r="A370" s="212">
        <f>A369+1</f>
        <v/>
      </c>
      <c r="B370" s="214" t="inlineStr">
        <is>
          <t>THC Fee-Ex</t>
        </is>
      </c>
      <c r="C370" s="214" t="inlineStr">
        <is>
          <t>APL LOGISTICS (CAMBODIA) PTE LTD.</t>
        </is>
      </c>
      <c r="D370" s="215" t="inlineStr">
        <is>
          <t>L001-100046460</t>
        </is>
      </c>
      <c r="E370" s="290" t="inlineStr">
        <is>
          <t>APLL25003267</t>
        </is>
      </c>
      <c r="F370" s="279" t="n">
        <v>45799</v>
      </c>
      <c r="G370" s="216" t="n"/>
      <c r="H370" s="564" t="n"/>
      <c r="I370" s="564" t="n">
        <v>85264</v>
      </c>
      <c r="J370" s="213" t="inlineStr">
        <is>
          <t>អនុញ្ញាត (បានប្រកាស)</t>
        </is>
      </c>
      <c r="K370" s="213" t="n"/>
      <c r="L370" s="563">
        <f>I370</f>
        <v/>
      </c>
      <c r="M370" s="536">
        <f>I370-L370</f>
        <v/>
      </c>
      <c r="N370" s="213" t="n"/>
      <c r="O370" s="218">
        <f>U370=E370</f>
        <v/>
      </c>
      <c r="P370" s="218">
        <f>MONTH(F370)-MONTH(T370)</f>
        <v/>
      </c>
      <c r="Q370" s="218">
        <f>$B$5=X370</f>
        <v/>
      </c>
      <c r="R370" s="218">
        <f>I370-AD370</f>
        <v/>
      </c>
      <c r="S370" s="298" t="n"/>
      <c r="T370" s="299" t="n">
        <v>45799</v>
      </c>
      <c r="U370" s="298" t="inlineStr">
        <is>
          <t>APLL25003267</t>
        </is>
      </c>
      <c r="V370" s="298" t="n"/>
      <c r="W370" s="298" t="n"/>
      <c r="X370" s="298" t="n"/>
      <c r="Y370" s="298" t="inlineStr">
        <is>
          <t>ហូលីដេ ឌីហ្សាញ (ខេមបូឌា) ឯ.ក</t>
        </is>
      </c>
      <c r="Z370" s="300" t="n"/>
      <c r="AA370" s="300" t="n"/>
      <c r="AB370" s="298" t="n"/>
      <c r="AC370" s="298" t="n"/>
      <c r="AD370" s="300" t="n">
        <v>85264</v>
      </c>
      <c r="AE370" s="298" t="n"/>
      <c r="AF370" s="562" t="n"/>
    </row>
    <row r="371">
      <c r="A371" s="212">
        <f>A370+1</f>
        <v/>
      </c>
      <c r="B371" s="214" t="inlineStr">
        <is>
          <t>THC Fee-Ex</t>
        </is>
      </c>
      <c r="C371" s="214" t="inlineStr">
        <is>
          <t>APL LOGISTICS (CAMBODIA) PTE LTD.</t>
        </is>
      </c>
      <c r="D371" s="215" t="inlineStr">
        <is>
          <t>L001-100046460</t>
        </is>
      </c>
      <c r="E371" s="290" t="inlineStr">
        <is>
          <t>APLL25003372</t>
        </is>
      </c>
      <c r="F371" s="279" t="n">
        <v>45804</v>
      </c>
      <c r="G371" s="216" t="n"/>
      <c r="H371" s="564" t="n"/>
      <c r="I371" s="564" t="n">
        <v>445534</v>
      </c>
      <c r="J371" s="213" t="inlineStr">
        <is>
          <t>អនុញ្ញាត (បានប្រកាស)</t>
        </is>
      </c>
      <c r="K371" s="213" t="n"/>
      <c r="L371" s="563">
        <f>I371</f>
        <v/>
      </c>
      <c r="M371" s="536">
        <f>I371-L371</f>
        <v/>
      </c>
      <c r="N371" s="213" t="n"/>
      <c r="O371" s="218">
        <f>U371=E371</f>
        <v/>
      </c>
      <c r="P371" s="218">
        <f>MONTH(F371)-MONTH(T371)</f>
        <v/>
      </c>
      <c r="Q371" s="218">
        <f>$B$5=X371</f>
        <v/>
      </c>
      <c r="R371" s="218">
        <f>I371-AD371</f>
        <v/>
      </c>
      <c r="S371" s="298" t="n"/>
      <c r="T371" s="299" t="n">
        <v>45804</v>
      </c>
      <c r="U371" s="298" t="inlineStr">
        <is>
          <t>APLL25003372</t>
        </is>
      </c>
      <c r="V371" s="298" t="n"/>
      <c r="W371" s="298" t="n"/>
      <c r="X371" s="298" t="n"/>
      <c r="Y371" s="298" t="inlineStr">
        <is>
          <t>ហូលីដេ ឌីហ្សាញ (ខេមបូឌា) ឯ.ក</t>
        </is>
      </c>
      <c r="Z371" s="300" t="n"/>
      <c r="AA371" s="300" t="n"/>
      <c r="AB371" s="298" t="n"/>
      <c r="AC371" s="298" t="n"/>
      <c r="AD371" s="300" t="n">
        <v>445534</v>
      </c>
      <c r="AE371" s="298" t="n"/>
      <c r="AF371" s="562" t="n"/>
    </row>
    <row r="372">
      <c r="A372" s="212">
        <f>A371+1</f>
        <v/>
      </c>
      <c r="B372" s="214" t="inlineStr">
        <is>
          <t>THC Fee-Ex</t>
        </is>
      </c>
      <c r="C372" s="214" t="inlineStr">
        <is>
          <t>APL LOGISTICS (CAMBODIA) PTE LTD.</t>
        </is>
      </c>
      <c r="D372" s="215" t="inlineStr">
        <is>
          <t>L001-100046460</t>
        </is>
      </c>
      <c r="E372" s="290" t="inlineStr">
        <is>
          <t>APLL25003371</t>
        </is>
      </c>
      <c r="F372" s="279" t="n">
        <v>45803</v>
      </c>
      <c r="G372" s="216" t="n"/>
      <c r="H372" s="564" t="n"/>
      <c r="I372" s="564" t="n">
        <v>132066</v>
      </c>
      <c r="J372" s="213" t="inlineStr">
        <is>
          <t>អនុញ្ញាត (បានប្រកាស)</t>
        </is>
      </c>
      <c r="K372" s="213" t="n"/>
      <c r="L372" s="563">
        <f>I372</f>
        <v/>
      </c>
      <c r="M372" s="536">
        <f>I372-L372</f>
        <v/>
      </c>
      <c r="N372" s="213" t="n"/>
      <c r="O372" s="218">
        <f>U372=E372</f>
        <v/>
      </c>
      <c r="P372" s="218">
        <f>MONTH(F372)-MONTH(T372)</f>
        <v/>
      </c>
      <c r="Q372" s="218">
        <f>$B$5=X372</f>
        <v/>
      </c>
      <c r="R372" s="218">
        <f>I372-AD372</f>
        <v/>
      </c>
      <c r="S372" s="298" t="n"/>
      <c r="T372" s="299" t="n">
        <v>45803</v>
      </c>
      <c r="U372" s="298" t="inlineStr">
        <is>
          <t>APLL25003371</t>
        </is>
      </c>
      <c r="V372" s="298" t="n"/>
      <c r="W372" s="298" t="n"/>
      <c r="X372" s="298" t="n"/>
      <c r="Y372" s="298" t="inlineStr">
        <is>
          <t>ហូលីដេ ឌីហ្សាញ (ខេមបូឌា) ឯ.ក</t>
        </is>
      </c>
      <c r="Z372" s="300" t="n"/>
      <c r="AA372" s="300" t="n"/>
      <c r="AB372" s="298" t="n"/>
      <c r="AC372" s="298" t="n"/>
      <c r="AD372" s="300" t="n">
        <v>132066</v>
      </c>
      <c r="AE372" s="298" t="n"/>
      <c r="AF372" s="562" t="n"/>
    </row>
    <row r="373">
      <c r="A373" s="212">
        <f>A372+1</f>
        <v/>
      </c>
      <c r="B373" s="214" t="inlineStr">
        <is>
          <t>THC Fee-Ex</t>
        </is>
      </c>
      <c r="C373" s="214" t="inlineStr">
        <is>
          <t>APL LOGISTICS (CAMBODIA) PTE LTD.</t>
        </is>
      </c>
      <c r="D373" s="215" t="inlineStr">
        <is>
          <t>L001-100046460</t>
        </is>
      </c>
      <c r="E373" s="290" t="inlineStr">
        <is>
          <t>APLL25003369</t>
        </is>
      </c>
      <c r="F373" s="279" t="n">
        <v>45800</v>
      </c>
      <c r="G373" s="216" t="n"/>
      <c r="H373" s="564" t="n"/>
      <c r="I373" s="564" t="n">
        <v>132099</v>
      </c>
      <c r="J373" s="213" t="inlineStr">
        <is>
          <t>អនុញ្ញាត (បានប្រកាស)</t>
        </is>
      </c>
      <c r="K373" s="213" t="n"/>
      <c r="L373" s="563">
        <f>I373</f>
        <v/>
      </c>
      <c r="M373" s="536">
        <f>I373-L373</f>
        <v/>
      </c>
      <c r="N373" s="213" t="n"/>
      <c r="O373" s="218">
        <f>U373=E373</f>
        <v/>
      </c>
      <c r="P373" s="218">
        <f>MONTH(F373)-MONTH(T373)</f>
        <v/>
      </c>
      <c r="Q373" s="218">
        <f>$B$5=X373</f>
        <v/>
      </c>
      <c r="R373" s="218">
        <f>I373-AD373</f>
        <v/>
      </c>
      <c r="S373" s="298" t="n"/>
      <c r="T373" s="299" t="n">
        <v>45800</v>
      </c>
      <c r="U373" s="298" t="inlineStr">
        <is>
          <t>APLL25003369</t>
        </is>
      </c>
      <c r="V373" s="298" t="n"/>
      <c r="W373" s="298" t="n"/>
      <c r="X373" s="298" t="n"/>
      <c r="Y373" s="298" t="inlineStr">
        <is>
          <t>ហូលីដេ ឌីហ្សាញ (ខេមបូឌា) ឯ.ក</t>
        </is>
      </c>
      <c r="Z373" s="300" t="n"/>
      <c r="AA373" s="300" t="n"/>
      <c r="AB373" s="298" t="n"/>
      <c r="AC373" s="298" t="n"/>
      <c r="AD373" s="300" t="n">
        <v>132099</v>
      </c>
      <c r="AE373" s="298" t="n"/>
      <c r="AF373" s="562" t="n"/>
    </row>
    <row r="374">
      <c r="A374" s="212">
        <f>A373+1</f>
        <v/>
      </c>
      <c r="B374" s="214" t="inlineStr">
        <is>
          <t>THC Fee-Ex</t>
        </is>
      </c>
      <c r="C374" s="214" t="inlineStr">
        <is>
          <t>APL LOGISTICS (CAMBODIA) PTE LTD.</t>
        </is>
      </c>
      <c r="D374" s="215" t="inlineStr">
        <is>
          <t>L001-100046460</t>
        </is>
      </c>
      <c r="E374" s="290" t="inlineStr">
        <is>
          <t>APLL25003244</t>
        </is>
      </c>
      <c r="F374" s="279" t="n">
        <v>45798</v>
      </c>
      <c r="G374" s="216" t="n"/>
      <c r="H374" s="564" t="n"/>
      <c r="I374" s="564" t="n">
        <v>562422</v>
      </c>
      <c r="J374" s="213" t="inlineStr">
        <is>
          <t>អនុញ្ញាត (បានប្រកាស)</t>
        </is>
      </c>
      <c r="K374" s="213" t="n"/>
      <c r="L374" s="563">
        <f>I374</f>
        <v/>
      </c>
      <c r="M374" s="536">
        <f>I374-L374</f>
        <v/>
      </c>
      <c r="N374" s="213" t="n"/>
      <c r="O374" s="218">
        <f>U374=E374</f>
        <v/>
      </c>
      <c r="P374" s="218">
        <f>MONTH(F374)-MONTH(T374)</f>
        <v/>
      </c>
      <c r="Q374" s="218">
        <f>$B$5=X374</f>
        <v/>
      </c>
      <c r="R374" s="218">
        <f>I374-AD374</f>
        <v/>
      </c>
      <c r="S374" s="298" t="n"/>
      <c r="T374" s="299" t="n">
        <v>45798</v>
      </c>
      <c r="U374" s="298" t="inlineStr">
        <is>
          <t>APLL25003244</t>
        </is>
      </c>
      <c r="V374" s="298" t="n"/>
      <c r="W374" s="298" t="n"/>
      <c r="X374" s="298" t="n"/>
      <c r="Y374" s="298" t="inlineStr">
        <is>
          <t>ហូលីដេ ឌីហ្សាញ (ខេមបូឌា) ឯ.ក</t>
        </is>
      </c>
      <c r="Z374" s="300" t="n"/>
      <c r="AA374" s="300" t="n"/>
      <c r="AB374" s="298" t="n"/>
      <c r="AC374" s="298" t="n"/>
      <c r="AD374" s="300" t="n">
        <v>562422</v>
      </c>
      <c r="AE374" s="298" t="n"/>
      <c r="AF374" s="562" t="n"/>
    </row>
    <row r="375">
      <c r="A375" s="212">
        <f>A374+1</f>
        <v/>
      </c>
      <c r="B375" s="214" t="inlineStr">
        <is>
          <t>THC Fee-Ex</t>
        </is>
      </c>
      <c r="C375" s="214" t="inlineStr">
        <is>
          <t>APL LOGISTICS (CAMBODIA) PTE LTD.</t>
        </is>
      </c>
      <c r="D375" s="215" t="inlineStr">
        <is>
          <t>L001-100046460</t>
        </is>
      </c>
      <c r="E375" s="290" t="inlineStr">
        <is>
          <t>APLL25003370</t>
        </is>
      </c>
      <c r="F375" s="279" t="n">
        <v>45803</v>
      </c>
      <c r="G375" s="216" t="n"/>
      <c r="H375" s="564" t="n"/>
      <c r="I375" s="564" t="n">
        <v>456228</v>
      </c>
      <c r="J375" s="213" t="inlineStr">
        <is>
          <t>អនុញ្ញាត (បានប្រកាស)</t>
        </is>
      </c>
      <c r="K375" s="213" t="n"/>
      <c r="L375" s="563">
        <f>I375</f>
        <v/>
      </c>
      <c r="M375" s="536">
        <f>I375-L375</f>
        <v/>
      </c>
      <c r="N375" s="213" t="n"/>
      <c r="O375" s="218">
        <f>U375=E375</f>
        <v/>
      </c>
      <c r="P375" s="218">
        <f>MONTH(F375)-MONTH(T375)</f>
        <v/>
      </c>
      <c r="Q375" s="218">
        <f>$B$5=X375</f>
        <v/>
      </c>
      <c r="R375" s="218">
        <f>I375-AD375</f>
        <v/>
      </c>
      <c r="S375" s="298" t="n"/>
      <c r="T375" s="299" t="n">
        <v>45803</v>
      </c>
      <c r="U375" s="298" t="inlineStr">
        <is>
          <t>APLL25003370</t>
        </is>
      </c>
      <c r="V375" s="298" t="n"/>
      <c r="W375" s="298" t="n"/>
      <c r="X375" s="298" t="n"/>
      <c r="Y375" s="298" t="inlineStr">
        <is>
          <t>ហូលីដេ ឌីហ្សាញ (ខេមបូឌា) ឯ.ក</t>
        </is>
      </c>
      <c r="Z375" s="300" t="n"/>
      <c r="AA375" s="300" t="n"/>
      <c r="AB375" s="298" t="n"/>
      <c r="AC375" s="298" t="n"/>
      <c r="AD375" s="300" t="n">
        <v>456228</v>
      </c>
      <c r="AE375" s="298" t="n"/>
      <c r="AF375" s="562" t="n"/>
    </row>
    <row r="376">
      <c r="A376" s="212">
        <f>A375+1</f>
        <v/>
      </c>
      <c r="B376" s="214" t="inlineStr">
        <is>
          <t>THC Fee-Ex</t>
        </is>
      </c>
      <c r="C376" s="214" t="inlineStr">
        <is>
          <t>APL LOGISTICS (CAMBODIA) PTE LTD.</t>
        </is>
      </c>
      <c r="D376" s="215" t="inlineStr">
        <is>
          <t>L001-100046460</t>
        </is>
      </c>
      <c r="E376" s="290" t="inlineStr">
        <is>
          <t>APLL25003377</t>
        </is>
      </c>
      <c r="F376" s="279" t="n">
        <v>45804</v>
      </c>
      <c r="G376" s="216" t="n"/>
      <c r="H376" s="564" t="n"/>
      <c r="I376" s="564" t="n">
        <v>195346</v>
      </c>
      <c r="J376" s="213" t="inlineStr">
        <is>
          <t>អនុញ្ញាត (បានប្រកាស)</t>
        </is>
      </c>
      <c r="K376" s="213" t="n"/>
      <c r="L376" s="563">
        <f>I376</f>
        <v/>
      </c>
      <c r="M376" s="536">
        <f>I376-L376</f>
        <v/>
      </c>
      <c r="N376" s="213" t="n"/>
      <c r="O376" s="218">
        <f>U376=E376</f>
        <v/>
      </c>
      <c r="P376" s="218">
        <f>MONTH(F376)-MONTH(T376)</f>
        <v/>
      </c>
      <c r="Q376" s="218">
        <f>$B$5=X376</f>
        <v/>
      </c>
      <c r="R376" s="218">
        <f>I376-AD376</f>
        <v/>
      </c>
      <c r="S376" s="298" t="n"/>
      <c r="T376" s="299" t="n">
        <v>45804</v>
      </c>
      <c r="U376" s="298" t="inlineStr">
        <is>
          <t>APLL25003377</t>
        </is>
      </c>
      <c r="V376" s="298" t="n"/>
      <c r="W376" s="298" t="n"/>
      <c r="X376" s="298" t="n"/>
      <c r="Y376" s="298" t="inlineStr">
        <is>
          <t>ហូលីដេ ឌីហ្សាញ (ខេមបូឌា) ឯ.ក</t>
        </is>
      </c>
      <c r="Z376" s="300" t="n"/>
      <c r="AA376" s="300" t="n"/>
      <c r="AB376" s="298" t="n"/>
      <c r="AC376" s="298" t="n"/>
      <c r="AD376" s="300" t="n">
        <v>195346</v>
      </c>
      <c r="AE376" s="298" t="n"/>
      <c r="AF376" s="562" t="n"/>
    </row>
    <row r="377">
      <c r="A377" s="212">
        <f>A376+1</f>
        <v/>
      </c>
      <c r="B377" s="214" t="inlineStr">
        <is>
          <t>THC Fee-Ex</t>
        </is>
      </c>
      <c r="C377" s="214" t="inlineStr">
        <is>
          <t>APL LOGISTICS (CAMBODIA) PTE LTD.</t>
        </is>
      </c>
      <c r="D377" s="215" t="inlineStr">
        <is>
          <t>L001-100046460</t>
        </is>
      </c>
      <c r="E377" s="290" t="inlineStr">
        <is>
          <t>APLL25003381</t>
        </is>
      </c>
      <c r="F377" s="279" t="n">
        <v>45804</v>
      </c>
      <c r="G377" s="216" t="n"/>
      <c r="H377" s="564" t="n"/>
      <c r="I377" s="564" t="n">
        <v>115286</v>
      </c>
      <c r="J377" s="213" t="inlineStr">
        <is>
          <t>អនុញ្ញាត (បានប្រកាស)</t>
        </is>
      </c>
      <c r="K377" s="213" t="n"/>
      <c r="L377" s="563">
        <f>I377</f>
        <v/>
      </c>
      <c r="M377" s="536">
        <f>I377-L377</f>
        <v/>
      </c>
      <c r="N377" s="213" t="n"/>
      <c r="O377" s="218">
        <f>U377=E377</f>
        <v/>
      </c>
      <c r="P377" s="218">
        <f>MONTH(F377)-MONTH(T377)</f>
        <v/>
      </c>
      <c r="Q377" s="218">
        <f>$B$5=X377</f>
        <v/>
      </c>
      <c r="R377" s="218">
        <f>I377-AD377</f>
        <v/>
      </c>
      <c r="S377" s="298" t="n"/>
      <c r="T377" s="299" t="n">
        <v>45804</v>
      </c>
      <c r="U377" s="298" t="inlineStr">
        <is>
          <t>APLL25003381</t>
        </is>
      </c>
      <c r="V377" s="298" t="n"/>
      <c r="W377" s="298" t="n"/>
      <c r="X377" s="298" t="n"/>
      <c r="Y377" s="298" t="inlineStr">
        <is>
          <t>ហូលីដេ ឌីហ្សាញ (ខេមបូឌា) ឯ.ក</t>
        </is>
      </c>
      <c r="Z377" s="300" t="n"/>
      <c r="AA377" s="300" t="n"/>
      <c r="AB377" s="298" t="n"/>
      <c r="AC377" s="298" t="n"/>
      <c r="AD377" s="300" t="n">
        <v>115286</v>
      </c>
      <c r="AE377" s="298" t="n"/>
      <c r="AF377" s="562" t="n"/>
    </row>
    <row r="378">
      <c r="A378" s="212">
        <f>A377+1</f>
        <v/>
      </c>
      <c r="B378" s="214" t="inlineStr">
        <is>
          <t>THC Fee-Ex</t>
        </is>
      </c>
      <c r="C378" s="214" t="inlineStr">
        <is>
          <t>APL LOGISTICS (CAMBODIA) PTE LTD.</t>
        </is>
      </c>
      <c r="D378" s="215" t="inlineStr">
        <is>
          <t>L001-100046460</t>
        </is>
      </c>
      <c r="E378" s="290" t="inlineStr">
        <is>
          <t>APLL25003271</t>
        </is>
      </c>
      <c r="F378" s="279" t="n">
        <v>45799</v>
      </c>
      <c r="G378" s="216" t="n"/>
      <c r="H378" s="564" t="n"/>
      <c r="I378" s="564" t="n">
        <v>132099</v>
      </c>
      <c r="J378" s="213" t="inlineStr">
        <is>
          <t>អនុញ្ញាត (បានប្រកាស)</t>
        </is>
      </c>
      <c r="K378" s="213" t="n"/>
      <c r="L378" s="563">
        <f>I378</f>
        <v/>
      </c>
      <c r="M378" s="536">
        <f>I378-L378</f>
        <v/>
      </c>
      <c r="N378" s="213" t="n"/>
      <c r="O378" s="218">
        <f>U378=E378</f>
        <v/>
      </c>
      <c r="P378" s="218">
        <f>MONTH(F378)-MONTH(T378)</f>
        <v/>
      </c>
      <c r="Q378" s="218">
        <f>$B$5=X378</f>
        <v/>
      </c>
      <c r="R378" s="218">
        <f>I378-AD378</f>
        <v/>
      </c>
      <c r="S378" s="298" t="n"/>
      <c r="T378" s="299" t="n">
        <v>45799</v>
      </c>
      <c r="U378" s="298" t="inlineStr">
        <is>
          <t>APLL25003271</t>
        </is>
      </c>
      <c r="V378" s="298" t="n"/>
      <c r="W378" s="298" t="n"/>
      <c r="X378" s="298" t="n"/>
      <c r="Y378" s="298" t="inlineStr">
        <is>
          <t>ហូលីដេ ឌីហ្សាញ (ខេមបូឌា) ឯ.ក</t>
        </is>
      </c>
      <c r="Z378" s="300" t="n"/>
      <c r="AA378" s="300" t="n"/>
      <c r="AB378" s="298" t="n"/>
      <c r="AC378" s="298" t="n"/>
      <c r="AD378" s="300" t="n">
        <v>132099</v>
      </c>
      <c r="AE378" s="298" t="n"/>
      <c r="AF378" s="562" t="n"/>
    </row>
    <row r="379">
      <c r="A379" s="212">
        <f>A378+1</f>
        <v/>
      </c>
      <c r="B379" s="214" t="inlineStr">
        <is>
          <t>THC Fee-Ex</t>
        </is>
      </c>
      <c r="C379" s="214" t="inlineStr">
        <is>
          <t>APL LOGISTICS (CAMBODIA) PTE LTD.</t>
        </is>
      </c>
      <c r="D379" s="215" t="inlineStr">
        <is>
          <t>L001-100046460</t>
        </is>
      </c>
      <c r="E379" s="290" t="inlineStr">
        <is>
          <t>APLL25003374</t>
        </is>
      </c>
      <c r="F379" s="279" t="n">
        <v>45804</v>
      </c>
      <c r="G379" s="216" t="n"/>
      <c r="H379" s="564" t="n"/>
      <c r="I379" s="564" t="n">
        <v>348261</v>
      </c>
      <c r="J379" s="213" t="inlineStr">
        <is>
          <t>អនុញ្ញាត (បានប្រកាស)</t>
        </is>
      </c>
      <c r="K379" s="213" t="n"/>
      <c r="L379" s="563">
        <f>I379</f>
        <v/>
      </c>
      <c r="M379" s="536">
        <f>I379-L379</f>
        <v/>
      </c>
      <c r="N379" s="213" t="n"/>
      <c r="O379" s="218">
        <f>U379=E379</f>
        <v/>
      </c>
      <c r="P379" s="218">
        <f>MONTH(F379)-MONTH(T379)</f>
        <v/>
      </c>
      <c r="Q379" s="218">
        <f>$B$5=X379</f>
        <v/>
      </c>
      <c r="R379" s="218">
        <f>I379-AD379</f>
        <v/>
      </c>
      <c r="S379" s="298" t="n"/>
      <c r="T379" s="299" t="n">
        <v>45804</v>
      </c>
      <c r="U379" s="298" t="inlineStr">
        <is>
          <t>APLL25003374</t>
        </is>
      </c>
      <c r="V379" s="298" t="n"/>
      <c r="W379" s="298" t="n"/>
      <c r="X379" s="298" t="n"/>
      <c r="Y379" s="298" t="inlineStr">
        <is>
          <t>ហូលីដេ ឌីហ្សាញ (ខេមបូឌា) ឯ.ក</t>
        </is>
      </c>
      <c r="Z379" s="300" t="n"/>
      <c r="AA379" s="300" t="n"/>
      <c r="AB379" s="298" t="n"/>
      <c r="AC379" s="298" t="n"/>
      <c r="AD379" s="300" t="n">
        <v>348261</v>
      </c>
      <c r="AE379" s="298" t="n"/>
      <c r="AF379" s="562" t="n"/>
    </row>
    <row r="380">
      <c r="A380" s="212">
        <f>A379+1</f>
        <v/>
      </c>
      <c r="B380" s="214" t="inlineStr">
        <is>
          <t>THC Fee-Ex</t>
        </is>
      </c>
      <c r="C380" s="214" t="inlineStr">
        <is>
          <t>APL LOGISTICS (CAMBODIA) PTE LTD.</t>
        </is>
      </c>
      <c r="D380" s="215" t="inlineStr">
        <is>
          <t>L001-100046460</t>
        </is>
      </c>
      <c r="E380" s="290" t="inlineStr">
        <is>
          <t>APLL25003375</t>
        </is>
      </c>
      <c r="F380" s="279" t="n">
        <v>45804</v>
      </c>
      <c r="G380" s="216" t="n"/>
      <c r="H380" s="564" t="n"/>
      <c r="I380" s="564" t="n">
        <v>284213</v>
      </c>
      <c r="J380" s="213" t="inlineStr">
        <is>
          <t>អនុញ្ញាត (បានប្រកាស)</t>
        </is>
      </c>
      <c r="K380" s="213" t="n"/>
      <c r="L380" s="563">
        <f>I380</f>
        <v/>
      </c>
      <c r="M380" s="536">
        <f>I380-L380</f>
        <v/>
      </c>
      <c r="N380" s="213" t="n"/>
      <c r="O380" s="218">
        <f>U380=E380</f>
        <v/>
      </c>
      <c r="P380" s="218">
        <f>MONTH(F380)-MONTH(T380)</f>
        <v/>
      </c>
      <c r="Q380" s="218">
        <f>$B$5=X380</f>
        <v/>
      </c>
      <c r="R380" s="218">
        <f>I380-AD380</f>
        <v/>
      </c>
      <c r="S380" s="298" t="n"/>
      <c r="T380" s="299" t="n">
        <v>45804</v>
      </c>
      <c r="U380" s="298" t="inlineStr">
        <is>
          <t>APLL25003375</t>
        </is>
      </c>
      <c r="V380" s="298" t="n"/>
      <c r="W380" s="298" t="n"/>
      <c r="X380" s="298" t="n"/>
      <c r="Y380" s="298" t="inlineStr">
        <is>
          <t>ហូលីដេ ឌីហ្សាញ (ខេមបូឌា) ឯ.ក</t>
        </is>
      </c>
      <c r="Z380" s="300" t="n"/>
      <c r="AA380" s="300" t="n"/>
      <c r="AB380" s="298" t="n"/>
      <c r="AC380" s="298" t="n"/>
      <c r="AD380" s="300" t="n">
        <v>284213</v>
      </c>
      <c r="AE380" s="298" t="n"/>
      <c r="AF380" s="562" t="n"/>
    </row>
    <row r="381">
      <c r="A381" s="212">
        <f>A380+1</f>
        <v/>
      </c>
      <c r="B381" s="214" t="inlineStr">
        <is>
          <t>THC Fee-Ex</t>
        </is>
      </c>
      <c r="C381" s="214" t="inlineStr">
        <is>
          <t>APL LOGISTICS (CAMBODIA) PTE LTD.</t>
        </is>
      </c>
      <c r="D381" s="215" t="inlineStr">
        <is>
          <t>L001-100046460</t>
        </is>
      </c>
      <c r="E381" s="290" t="inlineStr">
        <is>
          <t>APLL25003176</t>
        </is>
      </c>
      <c r="F381" s="279" t="n">
        <v>45798</v>
      </c>
      <c r="G381" s="216" t="n"/>
      <c r="H381" s="564" t="n"/>
      <c r="I381" s="564" t="n">
        <v>132099</v>
      </c>
      <c r="J381" s="213" t="inlineStr">
        <is>
          <t>អនុញ្ញាត (បានប្រកាស)</t>
        </is>
      </c>
      <c r="K381" s="213" t="n"/>
      <c r="L381" s="563">
        <f>I381</f>
        <v/>
      </c>
      <c r="M381" s="536">
        <f>I381-L381</f>
        <v/>
      </c>
      <c r="N381" s="213" t="n"/>
      <c r="O381" s="218">
        <f>U381=E381</f>
        <v/>
      </c>
      <c r="P381" s="218">
        <f>MONTH(F381)-MONTH(T381)</f>
        <v/>
      </c>
      <c r="Q381" s="218">
        <f>$B$5=X381</f>
        <v/>
      </c>
      <c r="R381" s="218">
        <f>I381-AD381</f>
        <v/>
      </c>
      <c r="S381" s="298" t="n"/>
      <c r="T381" s="299" t="n">
        <v>45798</v>
      </c>
      <c r="U381" s="298" t="inlineStr">
        <is>
          <t>APLL25003176</t>
        </is>
      </c>
      <c r="V381" s="298" t="n"/>
      <c r="W381" s="298" t="n"/>
      <c r="X381" s="298" t="n"/>
      <c r="Y381" s="298" t="inlineStr">
        <is>
          <t>ហូលីដេ ឌីហ្សាញ (ខេមបូឌា) ឯ.ក</t>
        </is>
      </c>
      <c r="Z381" s="300" t="n"/>
      <c r="AA381" s="300" t="n"/>
      <c r="AB381" s="298" t="n"/>
      <c r="AC381" s="298" t="n"/>
      <c r="AD381" s="300" t="n">
        <v>132099</v>
      </c>
      <c r="AE381" s="298" t="n"/>
      <c r="AF381" s="562" t="n"/>
    </row>
    <row r="382">
      <c r="A382" s="212">
        <f>A381+1</f>
        <v/>
      </c>
      <c r="B382" s="214" t="inlineStr">
        <is>
          <t>THC Fee-Ex</t>
        </is>
      </c>
      <c r="C382" s="214" t="inlineStr">
        <is>
          <t>APL LOGISTICS (CAMBODIA) PTE LTD.</t>
        </is>
      </c>
      <c r="D382" s="215" t="inlineStr">
        <is>
          <t>L001-100046460</t>
        </is>
      </c>
      <c r="E382" s="290" t="inlineStr">
        <is>
          <t>APLL25003173</t>
        </is>
      </c>
      <c r="F382" s="279" t="n">
        <v>45798</v>
      </c>
      <c r="G382" s="216" t="n"/>
      <c r="H382" s="564" t="n"/>
      <c r="I382" s="564" t="n">
        <v>240180</v>
      </c>
      <c r="J382" s="213" t="inlineStr">
        <is>
          <t>អនុញ្ញាត (បានប្រកាស)</t>
        </is>
      </c>
      <c r="K382" s="213" t="n"/>
      <c r="L382" s="563">
        <f>I382</f>
        <v/>
      </c>
      <c r="M382" s="536">
        <f>I382-L382</f>
        <v/>
      </c>
      <c r="N382" s="213" t="n"/>
      <c r="O382" s="218">
        <f>U382=E382</f>
        <v/>
      </c>
      <c r="P382" s="218">
        <f>MONTH(F382)-MONTH(T382)</f>
        <v/>
      </c>
      <c r="Q382" s="218">
        <f>$B$5=X382</f>
        <v/>
      </c>
      <c r="R382" s="218">
        <f>I382-AD382</f>
        <v/>
      </c>
      <c r="S382" s="298" t="n"/>
      <c r="T382" s="299" t="n">
        <v>45798</v>
      </c>
      <c r="U382" s="298" t="inlineStr">
        <is>
          <t>APLL25003173</t>
        </is>
      </c>
      <c r="V382" s="298" t="n"/>
      <c r="W382" s="298" t="n"/>
      <c r="X382" s="298" t="n"/>
      <c r="Y382" s="298" t="inlineStr">
        <is>
          <t>ហូលីដេ ឌីហ្សាញ (ខេមបូឌា) ឯ.ក</t>
        </is>
      </c>
      <c r="Z382" s="300" t="n"/>
      <c r="AA382" s="300" t="n"/>
      <c r="AB382" s="298" t="n"/>
      <c r="AC382" s="298" t="n"/>
      <c r="AD382" s="300" t="n">
        <v>240180</v>
      </c>
      <c r="AE382" s="298" t="n"/>
      <c r="AF382" s="562" t="n"/>
    </row>
    <row r="383">
      <c r="A383" s="212">
        <f>A382+1</f>
        <v/>
      </c>
      <c r="B383" s="214" t="inlineStr">
        <is>
          <t>THC Fee-Ex</t>
        </is>
      </c>
      <c r="C383" s="214" t="inlineStr">
        <is>
          <t>APL LOGISTICS (CAMBODIA) PTE LTD.</t>
        </is>
      </c>
      <c r="D383" s="215" t="inlineStr">
        <is>
          <t>L001-100046460</t>
        </is>
      </c>
      <c r="E383" s="290" t="inlineStr">
        <is>
          <t>APLL25003181</t>
        </is>
      </c>
      <c r="F383" s="279" t="n">
        <v>45798</v>
      </c>
      <c r="G383" s="216" t="n"/>
      <c r="H383" s="564" t="n"/>
      <c r="I383" s="564" t="n">
        <v>132099</v>
      </c>
      <c r="J383" s="213" t="inlineStr">
        <is>
          <t>អនុញ្ញាត (បានប្រកាស)</t>
        </is>
      </c>
      <c r="K383" s="213" t="n"/>
      <c r="L383" s="563">
        <f>I383</f>
        <v/>
      </c>
      <c r="M383" s="536">
        <f>I383-L383</f>
        <v/>
      </c>
      <c r="N383" s="213" t="n"/>
      <c r="O383" s="218">
        <f>U383=E383</f>
        <v/>
      </c>
      <c r="P383" s="218">
        <f>MONTH(F383)-MONTH(T383)</f>
        <v/>
      </c>
      <c r="Q383" s="218">
        <f>$B$5=X383</f>
        <v/>
      </c>
      <c r="R383" s="218">
        <f>I383-AD383</f>
        <v/>
      </c>
      <c r="S383" s="298" t="inlineStr">
        <is>
          <t>មិនបានប្រកាស</t>
        </is>
      </c>
      <c r="T383" s="299" t="n">
        <v>45798</v>
      </c>
      <c r="U383" s="298" t="inlineStr">
        <is>
          <t>APLL25003181</t>
        </is>
      </c>
      <c r="V383" s="298" t="n"/>
      <c r="W383" s="298" t="n"/>
      <c r="X383" s="298" t="n"/>
      <c r="Y383" s="298" t="inlineStr">
        <is>
          <t>ហូលីដេ ឌីហ្សាញ (ខេមបូឌា) ឯ.ក</t>
        </is>
      </c>
      <c r="Z383" s="300" t="n"/>
      <c r="AA383" s="300" t="n"/>
      <c r="AB383" s="298" t="n"/>
      <c r="AC383" s="298" t="n"/>
      <c r="AD383" s="300" t="n">
        <v>132099</v>
      </c>
      <c r="AE383" s="298" t="n"/>
      <c r="AF383" s="562" t="n"/>
    </row>
    <row r="384">
      <c r="A384" s="212">
        <f>A383+1</f>
        <v/>
      </c>
      <c r="B384" s="214" t="inlineStr">
        <is>
          <t>THC Fee-Ex</t>
        </is>
      </c>
      <c r="C384" s="214" t="inlineStr">
        <is>
          <t>APL LOGISTICS (CAMBODIA) PTE LTD.</t>
        </is>
      </c>
      <c r="D384" s="215" t="inlineStr">
        <is>
          <t>L001-100046460</t>
        </is>
      </c>
      <c r="E384" s="290" t="inlineStr">
        <is>
          <t>APLL25003172</t>
        </is>
      </c>
      <c r="F384" s="279" t="n">
        <v>45798</v>
      </c>
      <c r="G384" s="216" t="n"/>
      <c r="H384" s="564" t="n"/>
      <c r="I384" s="564" t="n">
        <v>132099</v>
      </c>
      <c r="J384" s="213" t="inlineStr">
        <is>
          <t>អនុញ្ញាត (បានប្រកាស)</t>
        </is>
      </c>
      <c r="K384" s="213" t="n"/>
      <c r="L384" s="563">
        <f>I384</f>
        <v/>
      </c>
      <c r="M384" s="536">
        <f>I384-L384</f>
        <v/>
      </c>
      <c r="N384" s="213" t="n"/>
      <c r="O384" s="218">
        <f>U384=E384</f>
        <v/>
      </c>
      <c r="P384" s="218">
        <f>MONTH(F384)-MONTH(T384)</f>
        <v/>
      </c>
      <c r="Q384" s="218">
        <f>$B$5=X384</f>
        <v/>
      </c>
      <c r="R384" s="218">
        <f>I384-AD384</f>
        <v/>
      </c>
      <c r="S384" s="298" t="n"/>
      <c r="T384" s="299" t="n">
        <v>45798</v>
      </c>
      <c r="U384" s="298" t="inlineStr">
        <is>
          <t>APLL25003172</t>
        </is>
      </c>
      <c r="V384" s="298" t="n"/>
      <c r="W384" s="298" t="n"/>
      <c r="X384" s="298" t="n"/>
      <c r="Y384" s="298" t="inlineStr">
        <is>
          <t>ហូលីដេ ឌីហ្សាញ (ខេមបូឌា) ឯ.ក</t>
        </is>
      </c>
      <c r="Z384" s="300" t="n"/>
      <c r="AA384" s="300" t="n"/>
      <c r="AB384" s="298" t="n"/>
      <c r="AC384" s="298" t="n"/>
      <c r="AD384" s="300" t="n">
        <v>132099</v>
      </c>
      <c r="AE384" s="298" t="n"/>
      <c r="AF384" s="562" t="n"/>
    </row>
    <row r="385">
      <c r="A385" s="212">
        <f>A384+1</f>
        <v/>
      </c>
      <c r="B385" s="214" t="inlineStr">
        <is>
          <t>THC Fee-Ex</t>
        </is>
      </c>
      <c r="C385" s="214" t="inlineStr">
        <is>
          <t>APL LOGISTICS (CAMBODIA) PTE LTD.</t>
        </is>
      </c>
      <c r="D385" s="215" t="inlineStr">
        <is>
          <t>L001-100046460</t>
        </is>
      </c>
      <c r="E385" s="290" t="inlineStr">
        <is>
          <t>APLL25003175</t>
        </is>
      </c>
      <c r="F385" s="279" t="n">
        <v>45798</v>
      </c>
      <c r="G385" s="216" t="n"/>
      <c r="H385" s="564" t="n"/>
      <c r="I385" s="564" t="n">
        <v>212159</v>
      </c>
      <c r="J385" s="213" t="inlineStr">
        <is>
          <t>អនុញ្ញាត (បានប្រកាស)</t>
        </is>
      </c>
      <c r="K385" s="213" t="n"/>
      <c r="L385" s="563">
        <f>I385</f>
        <v/>
      </c>
      <c r="M385" s="536">
        <f>I385-L385</f>
        <v/>
      </c>
      <c r="N385" s="213" t="n"/>
      <c r="O385" s="218">
        <f>U385=E385</f>
        <v/>
      </c>
      <c r="P385" s="218">
        <f>MONTH(F385)-MONTH(T385)</f>
        <v/>
      </c>
      <c r="Q385" s="218">
        <f>$B$5=X385</f>
        <v/>
      </c>
      <c r="R385" s="218">
        <f>I385-AD385</f>
        <v/>
      </c>
      <c r="S385" s="298" t="n"/>
      <c r="T385" s="299" t="n">
        <v>45798</v>
      </c>
      <c r="U385" s="298" t="inlineStr">
        <is>
          <t>APLL25003175</t>
        </is>
      </c>
      <c r="V385" s="298" t="n"/>
      <c r="W385" s="298" t="n"/>
      <c r="X385" s="298" t="n"/>
      <c r="Y385" s="298" t="inlineStr">
        <is>
          <t>ហូលីដេ ឌីហ្សាញ (ខេមបូឌា) ឯ.ក</t>
        </is>
      </c>
      <c r="Z385" s="300" t="n"/>
      <c r="AA385" s="300" t="n"/>
      <c r="AB385" s="298" t="n"/>
      <c r="AC385" s="298" t="n"/>
      <c r="AD385" s="300" t="n">
        <v>212159</v>
      </c>
      <c r="AE385" s="298" t="n"/>
      <c r="AF385" s="562" t="n"/>
    </row>
    <row r="386">
      <c r="A386" s="212">
        <f>A385+1</f>
        <v/>
      </c>
      <c r="B386" s="214" t="inlineStr">
        <is>
          <t>THC Fee-Ex</t>
        </is>
      </c>
      <c r="C386" s="214" t="inlineStr">
        <is>
          <t>APL LOGISTICS (CAMBODIA) PTE LTD.</t>
        </is>
      </c>
      <c r="D386" s="215" t="inlineStr">
        <is>
          <t>L001-100046460</t>
        </is>
      </c>
      <c r="E386" s="290" t="inlineStr">
        <is>
          <t>APLL25003180</t>
        </is>
      </c>
      <c r="F386" s="279" t="n">
        <v>45798</v>
      </c>
      <c r="G386" s="216" t="n"/>
      <c r="H386" s="564" t="n"/>
      <c r="I386" s="564" t="n">
        <v>132099</v>
      </c>
      <c r="J386" s="213" t="inlineStr">
        <is>
          <t>អនុញ្ញាត (បានប្រកាស)</t>
        </is>
      </c>
      <c r="K386" s="213" t="n"/>
      <c r="L386" s="563">
        <f>I386</f>
        <v/>
      </c>
      <c r="M386" s="536">
        <f>I386-L386</f>
        <v/>
      </c>
      <c r="N386" s="213" t="n"/>
      <c r="O386" s="218">
        <f>U386=E386</f>
        <v/>
      </c>
      <c r="P386" s="218">
        <f>MONTH(F386)-MONTH(T386)</f>
        <v/>
      </c>
      <c r="Q386" s="218">
        <f>$B$5=X386</f>
        <v/>
      </c>
      <c r="R386" s="218">
        <f>I386-AD386</f>
        <v/>
      </c>
      <c r="S386" s="298" t="n"/>
      <c r="T386" s="299" t="n">
        <v>45798</v>
      </c>
      <c r="U386" s="298" t="inlineStr">
        <is>
          <t>APLL25003180</t>
        </is>
      </c>
      <c r="V386" s="298" t="n"/>
      <c r="W386" s="298" t="n"/>
      <c r="X386" s="298" t="n"/>
      <c r="Y386" s="298" t="inlineStr">
        <is>
          <t>ហូលីដេ ឌីហ្សាញ (ខេមបូឌា) ឯ.ក</t>
        </is>
      </c>
      <c r="Z386" s="300" t="n"/>
      <c r="AA386" s="300" t="n"/>
      <c r="AB386" s="298" t="n"/>
      <c r="AC386" s="298" t="n"/>
      <c r="AD386" s="300" t="n">
        <v>132099</v>
      </c>
      <c r="AE386" s="298" t="n"/>
      <c r="AF386" s="562" t="n"/>
    </row>
    <row r="387">
      <c r="A387" s="212">
        <f>A386+1</f>
        <v/>
      </c>
      <c r="B387" s="214" t="inlineStr">
        <is>
          <t>THC Fee-Ex</t>
        </is>
      </c>
      <c r="C387" s="214" t="inlineStr">
        <is>
          <t>APL LOGISTICS (CAMBODIA) PTE LTD.</t>
        </is>
      </c>
      <c r="D387" s="215" t="inlineStr">
        <is>
          <t>L001-100046460</t>
        </is>
      </c>
      <c r="E387" s="290" t="inlineStr">
        <is>
          <t>APLL25003378</t>
        </is>
      </c>
      <c r="F387" s="279" t="n">
        <v>45804</v>
      </c>
      <c r="G387" s="216" t="n"/>
      <c r="H387" s="564" t="n"/>
      <c r="I387" s="564" t="n">
        <v>115286</v>
      </c>
      <c r="J387" s="213" t="inlineStr">
        <is>
          <t>អនុញ្ញាត (បានប្រកាស)</t>
        </is>
      </c>
      <c r="K387" s="213" t="n"/>
      <c r="L387" s="563">
        <f>I387</f>
        <v/>
      </c>
      <c r="M387" s="536">
        <f>I387-L387</f>
        <v/>
      </c>
      <c r="N387" s="213" t="n"/>
      <c r="O387" s="218">
        <f>U387=E387</f>
        <v/>
      </c>
      <c r="P387" s="218">
        <f>MONTH(F387)-MONTH(T387)</f>
        <v/>
      </c>
      <c r="Q387" s="218">
        <f>$B$5=X387</f>
        <v/>
      </c>
      <c r="R387" s="218">
        <f>I387-AD387</f>
        <v/>
      </c>
      <c r="S387" s="298" t="n"/>
      <c r="T387" s="299" t="n">
        <v>45804</v>
      </c>
      <c r="U387" s="298" t="inlineStr">
        <is>
          <t>APLL25003378</t>
        </is>
      </c>
      <c r="V387" s="298" t="n"/>
      <c r="W387" s="298" t="n"/>
      <c r="X387" s="298" t="n"/>
      <c r="Y387" s="298" t="inlineStr">
        <is>
          <t>ហូលីដេ ឌីហ្សាញ (ខេមបូឌា) ឯ.ក</t>
        </is>
      </c>
      <c r="Z387" s="300" t="n"/>
      <c r="AA387" s="300" t="n"/>
      <c r="AB387" s="298" t="n"/>
      <c r="AC387" s="298" t="n"/>
      <c r="AD387" s="300" t="n">
        <v>115286</v>
      </c>
      <c r="AE387" s="298" t="n"/>
      <c r="AF387" s="562" t="n"/>
    </row>
    <row r="388">
      <c r="A388" s="212">
        <f>A387+1</f>
        <v/>
      </c>
      <c r="B388" s="214" t="inlineStr">
        <is>
          <t>THC Fee-Ex</t>
        </is>
      </c>
      <c r="C388" s="214" t="inlineStr">
        <is>
          <t>APL LOGISTICS (CAMBODIA) PTE LTD.</t>
        </is>
      </c>
      <c r="D388" s="215" t="inlineStr">
        <is>
          <t>L001-100046460</t>
        </is>
      </c>
      <c r="E388" s="290" t="inlineStr">
        <is>
          <t>APLL25003268</t>
        </is>
      </c>
      <c r="F388" s="279" t="n">
        <v>45799</v>
      </c>
      <c r="G388" s="216" t="n"/>
      <c r="H388" s="564" t="n"/>
      <c r="I388" s="564" t="n">
        <v>115286</v>
      </c>
      <c r="J388" s="213" t="inlineStr">
        <is>
          <t>អនុញ្ញាត (បានប្រកាស)</t>
        </is>
      </c>
      <c r="K388" s="213" t="n"/>
      <c r="L388" s="563">
        <f>I388</f>
        <v/>
      </c>
      <c r="M388" s="536">
        <f>I388-L388</f>
        <v/>
      </c>
      <c r="N388" s="213" t="n"/>
      <c r="O388" s="218">
        <f>U388=E388</f>
        <v/>
      </c>
      <c r="P388" s="218">
        <f>MONTH(F388)-MONTH(T388)</f>
        <v/>
      </c>
      <c r="Q388" s="218">
        <f>$B$5=X388</f>
        <v/>
      </c>
      <c r="R388" s="218">
        <f>I388-AD388</f>
        <v/>
      </c>
      <c r="S388" s="298" t="n"/>
      <c r="T388" s="299" t="n">
        <v>45799</v>
      </c>
      <c r="U388" s="298" t="inlineStr">
        <is>
          <t>APLL25003268</t>
        </is>
      </c>
      <c r="V388" s="298" t="n"/>
      <c r="W388" s="298" t="n"/>
      <c r="X388" s="298" t="n"/>
      <c r="Y388" s="298" t="inlineStr">
        <is>
          <t>ហូលីដេ ឌីហ្សាញ (ខេមបូឌា) ឯ.ក</t>
        </is>
      </c>
      <c r="Z388" s="300" t="n"/>
      <c r="AA388" s="300" t="n"/>
      <c r="AB388" s="298" t="n"/>
      <c r="AC388" s="298" t="n"/>
      <c r="AD388" s="300" t="n">
        <v>115286</v>
      </c>
      <c r="AE388" s="298" t="n"/>
      <c r="AF388" s="562" t="n"/>
    </row>
    <row r="389">
      <c r="A389" s="212">
        <f>A388+1</f>
        <v/>
      </c>
      <c r="B389" s="214" t="inlineStr">
        <is>
          <t>THC Fee-Ex</t>
        </is>
      </c>
      <c r="C389" s="214" t="inlineStr">
        <is>
          <t>APL LOGISTICS (CAMBODIA) PTE LTD.</t>
        </is>
      </c>
      <c r="D389" s="215" t="inlineStr">
        <is>
          <t>L001-100046460</t>
        </is>
      </c>
      <c r="E389" s="290" t="inlineStr">
        <is>
          <t>APLL25003382</t>
        </is>
      </c>
      <c r="F389" s="279" t="n">
        <v>45804</v>
      </c>
      <c r="G389" s="216" t="n"/>
      <c r="H389" s="564" t="n"/>
      <c r="I389" s="564" t="n">
        <v>115286</v>
      </c>
      <c r="J389" s="213" t="inlineStr">
        <is>
          <t>អនុញ្ញាត (បានប្រកាស)</t>
        </is>
      </c>
      <c r="K389" s="213" t="n"/>
      <c r="L389" s="563">
        <f>I389</f>
        <v/>
      </c>
      <c r="M389" s="536">
        <f>I389-L389</f>
        <v/>
      </c>
      <c r="N389" s="213" t="n"/>
      <c r="O389" s="218">
        <f>U389=E389</f>
        <v/>
      </c>
      <c r="P389" s="218">
        <f>MONTH(F389)-MONTH(T389)</f>
        <v/>
      </c>
      <c r="Q389" s="218">
        <f>$B$5=X389</f>
        <v/>
      </c>
      <c r="R389" s="218">
        <f>I389-AD389</f>
        <v/>
      </c>
      <c r="S389" s="298" t="n"/>
      <c r="T389" s="299" t="n">
        <v>45804</v>
      </c>
      <c r="U389" s="298" t="inlineStr">
        <is>
          <t>APLL25003382</t>
        </is>
      </c>
      <c r="V389" s="298" t="n"/>
      <c r="W389" s="298" t="n"/>
      <c r="X389" s="298" t="n"/>
      <c r="Y389" s="298" t="inlineStr">
        <is>
          <t>ហូលីដេ ឌីហ្សាញ (ខេមបូឌា) ឯ.ក</t>
        </is>
      </c>
      <c r="Z389" s="300" t="n"/>
      <c r="AA389" s="300" t="n"/>
      <c r="AB389" s="298" t="n"/>
      <c r="AC389" s="298" t="n"/>
      <c r="AD389" s="300" t="n">
        <v>115286</v>
      </c>
      <c r="AE389" s="298" t="n"/>
      <c r="AF389" s="562" t="n"/>
    </row>
    <row r="390">
      <c r="A390" s="212">
        <f>A389+1</f>
        <v/>
      </c>
      <c r="B390" s="214" t="inlineStr">
        <is>
          <t>THC Fee-Ex</t>
        </is>
      </c>
      <c r="C390" s="214" t="inlineStr">
        <is>
          <t>APL LOGISTICS (CAMBODIA) PTE LTD.</t>
        </is>
      </c>
      <c r="D390" s="215" t="inlineStr">
        <is>
          <t>L001-100046460</t>
        </is>
      </c>
      <c r="E390" s="290" t="inlineStr">
        <is>
          <t>APLL25003416</t>
        </is>
      </c>
      <c r="F390" s="279" t="n">
        <v>45805</v>
      </c>
      <c r="G390" s="216" t="n"/>
      <c r="H390" s="564" t="n"/>
      <c r="I390" s="564" t="n">
        <v>222167</v>
      </c>
      <c r="J390" s="213" t="inlineStr">
        <is>
          <t>អនុញ្ញាត (បានប្រកាស)</t>
        </is>
      </c>
      <c r="K390" s="213" t="n"/>
      <c r="L390" s="563">
        <f>I390</f>
        <v/>
      </c>
      <c r="M390" s="536">
        <f>I390-L390</f>
        <v/>
      </c>
      <c r="N390" s="213" t="n"/>
      <c r="O390" s="218">
        <f>U390=E390</f>
        <v/>
      </c>
      <c r="P390" s="218">
        <f>MONTH(F390)-MONTH(T390)</f>
        <v/>
      </c>
      <c r="Q390" s="218">
        <f>$B$5=X390</f>
        <v/>
      </c>
      <c r="R390" s="218">
        <f>I390-AD390</f>
        <v/>
      </c>
      <c r="S390" s="298" t="n"/>
      <c r="T390" s="299" t="n">
        <v>45805</v>
      </c>
      <c r="U390" s="298" t="inlineStr">
        <is>
          <t>APLL25003416</t>
        </is>
      </c>
      <c r="V390" s="298" t="n"/>
      <c r="W390" s="298" t="n"/>
      <c r="X390" s="298" t="n"/>
      <c r="Y390" s="298" t="inlineStr">
        <is>
          <t>ហូលីដេ ឌីហ្សាញ (ខេមបូឌា) ឯ.ក</t>
        </is>
      </c>
      <c r="Z390" s="300" t="n"/>
      <c r="AA390" s="300" t="n"/>
      <c r="AB390" s="298" t="n"/>
      <c r="AC390" s="298" t="n"/>
      <c r="AD390" s="300" t="n">
        <v>222167</v>
      </c>
      <c r="AE390" s="298" t="n"/>
      <c r="AF390" s="562" t="n"/>
    </row>
    <row r="391">
      <c r="A391" s="212">
        <f>A390+1</f>
        <v/>
      </c>
      <c r="B391" s="214" t="inlineStr">
        <is>
          <t>THC Fee-Ex</t>
        </is>
      </c>
      <c r="C391" s="214" t="inlineStr">
        <is>
          <t>APL LOGISTICS (CAMBODIA) PTE LTD.</t>
        </is>
      </c>
      <c r="D391" s="215" t="inlineStr">
        <is>
          <t>L001-100046460</t>
        </is>
      </c>
      <c r="E391" s="290" t="inlineStr">
        <is>
          <t>APLL25003478</t>
        </is>
      </c>
      <c r="F391" s="279" t="n">
        <v>45804</v>
      </c>
      <c r="G391" s="216" t="n"/>
      <c r="H391" s="564" t="n"/>
      <c r="I391" s="564" t="n">
        <v>132132</v>
      </c>
      <c r="J391" s="213" t="inlineStr">
        <is>
          <t>អនុញ្ញាត (បានប្រកាស)</t>
        </is>
      </c>
      <c r="K391" s="213" t="n"/>
      <c r="L391" s="563">
        <f>I391</f>
        <v/>
      </c>
      <c r="M391" s="536">
        <f>I391-L391</f>
        <v/>
      </c>
      <c r="N391" s="213" t="n"/>
      <c r="O391" s="218">
        <f>U391=E391</f>
        <v/>
      </c>
      <c r="P391" s="218">
        <f>MONTH(F391)-MONTH(T391)</f>
        <v/>
      </c>
      <c r="Q391" s="218">
        <f>$B$5=X391</f>
        <v/>
      </c>
      <c r="R391" s="218">
        <f>I391-AD391</f>
        <v/>
      </c>
      <c r="S391" s="298" t="n"/>
      <c r="T391" s="299" t="n">
        <v>45806</v>
      </c>
      <c r="U391" s="298" t="inlineStr">
        <is>
          <t>APLL25003478</t>
        </is>
      </c>
      <c r="V391" s="298" t="n"/>
      <c r="W391" s="298" t="n"/>
      <c r="X391" s="298" t="n"/>
      <c r="Y391" s="298" t="inlineStr">
        <is>
          <t>ហូលីដេ ឌីហ្សាញ (ខេមបូឌា) ឯ.ក</t>
        </is>
      </c>
      <c r="Z391" s="300" t="n"/>
      <c r="AA391" s="300" t="n"/>
      <c r="AB391" s="298" t="n"/>
      <c r="AC391" s="298" t="n"/>
      <c r="AD391" s="300" t="n">
        <v>132132</v>
      </c>
      <c r="AE391" s="298" t="n"/>
      <c r="AF391" s="562" t="n"/>
    </row>
    <row r="392">
      <c r="A392" s="212">
        <f>A391+1</f>
        <v/>
      </c>
      <c r="B392" s="214" t="inlineStr">
        <is>
          <t>THC Fee-Ex</t>
        </is>
      </c>
      <c r="C392" s="214" t="inlineStr">
        <is>
          <t>APL LOGISTICS (CAMBODIA) PTE LTD.</t>
        </is>
      </c>
      <c r="D392" s="215" t="inlineStr">
        <is>
          <t>L001-100046460</t>
        </is>
      </c>
      <c r="E392" s="290" t="inlineStr">
        <is>
          <t>APLL25003477</t>
        </is>
      </c>
      <c r="F392" s="279" t="n">
        <v>45806</v>
      </c>
      <c r="G392" s="216" t="n"/>
      <c r="H392" s="564" t="n"/>
      <c r="I392" s="564" t="n">
        <v>240240</v>
      </c>
      <c r="J392" s="213" t="inlineStr">
        <is>
          <t>អនុញ្ញាត (បានប្រកាស)</t>
        </is>
      </c>
      <c r="K392" s="213" t="n"/>
      <c r="L392" s="563">
        <f>I392</f>
        <v/>
      </c>
      <c r="M392" s="536">
        <f>I392-L392</f>
        <v/>
      </c>
      <c r="N392" s="213" t="n"/>
      <c r="O392" s="218">
        <f>U392=E392</f>
        <v/>
      </c>
      <c r="P392" s="218">
        <f>MONTH(F392)-MONTH(T392)</f>
        <v/>
      </c>
      <c r="Q392" s="218">
        <f>$B$5=X392</f>
        <v/>
      </c>
      <c r="R392" s="218">
        <f>I392-AD392</f>
        <v/>
      </c>
      <c r="S392" s="298" t="n"/>
      <c r="T392" s="299" t="n">
        <v>45806</v>
      </c>
      <c r="U392" s="298" t="inlineStr">
        <is>
          <t>APLL25003477</t>
        </is>
      </c>
      <c r="V392" s="298" t="n"/>
      <c r="W392" s="298" t="n"/>
      <c r="X392" s="298" t="n"/>
      <c r="Y392" s="298" t="inlineStr">
        <is>
          <t>ហូលីដេ ឌីហ្សាញ (ខេមបូឌា) ឯ.ក</t>
        </is>
      </c>
      <c r="Z392" s="300" t="n"/>
      <c r="AA392" s="300" t="n"/>
      <c r="AB392" s="298" t="n"/>
      <c r="AC392" s="298" t="n"/>
      <c r="AD392" s="300" t="n">
        <v>240240</v>
      </c>
      <c r="AE392" s="298" t="n"/>
      <c r="AF392" s="562" t="n"/>
    </row>
    <row r="393">
      <c r="A393" s="212">
        <f>A392+1</f>
        <v/>
      </c>
      <c r="B393" s="214" t="inlineStr">
        <is>
          <t>THC Fee-Ex</t>
        </is>
      </c>
      <c r="C393" s="214" t="inlineStr">
        <is>
          <t>APL LOGISTICS (CAMBODIA) PTE LTD.</t>
        </is>
      </c>
      <c r="D393" s="215" t="inlineStr">
        <is>
          <t>L001-100046460</t>
        </is>
      </c>
      <c r="E393" s="290" t="inlineStr">
        <is>
          <t>APLL25003476</t>
        </is>
      </c>
      <c r="F393" s="279" t="n">
        <v>45806</v>
      </c>
      <c r="G393" s="216" t="n"/>
      <c r="H393" s="564" t="n"/>
      <c r="I393" s="564" t="n">
        <v>132132</v>
      </c>
      <c r="J393" s="213" t="inlineStr">
        <is>
          <t>អនុញ្ញាត (បានប្រកាស)</t>
        </is>
      </c>
      <c r="K393" s="213" t="n"/>
      <c r="L393" s="563">
        <f>I393</f>
        <v/>
      </c>
      <c r="M393" s="536">
        <f>I393-L393</f>
        <v/>
      </c>
      <c r="N393" s="213" t="n"/>
      <c r="O393" s="218">
        <f>U393=E393</f>
        <v/>
      </c>
      <c r="P393" s="218">
        <f>MONTH(F393)-MONTH(T393)</f>
        <v/>
      </c>
      <c r="Q393" s="218">
        <f>$B$5=X393</f>
        <v/>
      </c>
      <c r="R393" s="218">
        <f>I393-AD393</f>
        <v/>
      </c>
      <c r="S393" s="298" t="n"/>
      <c r="T393" s="299" t="n">
        <v>45806</v>
      </c>
      <c r="U393" s="298" t="inlineStr">
        <is>
          <t>APLL25003476</t>
        </is>
      </c>
      <c r="V393" s="298" t="n"/>
      <c r="W393" s="298" t="n"/>
      <c r="X393" s="298" t="n"/>
      <c r="Y393" s="298" t="inlineStr">
        <is>
          <t>ហូលីដេ ឌីហ្សាញ (ខេមបូឌា) ឯ.ក</t>
        </is>
      </c>
      <c r="Z393" s="300" t="n"/>
      <c r="AA393" s="300" t="n"/>
      <c r="AB393" s="298" t="n"/>
      <c r="AC393" s="298" t="n"/>
      <c r="AD393" s="300" t="n">
        <v>132132</v>
      </c>
      <c r="AE393" s="298" t="n"/>
      <c r="AF393" s="562" t="n"/>
    </row>
    <row r="394">
      <c r="A394" s="212">
        <f>A393+1</f>
        <v/>
      </c>
      <c r="B394" s="214" t="inlineStr">
        <is>
          <t>THC Fee-Ex</t>
        </is>
      </c>
      <c r="C394" s="214" t="inlineStr">
        <is>
          <t>APL LOGISTICS (CAMBODIA) PTE LTD.</t>
        </is>
      </c>
      <c r="D394" s="215" t="inlineStr">
        <is>
          <t>L001-100046460</t>
        </is>
      </c>
      <c r="E394" s="290" t="inlineStr">
        <is>
          <t>APLL25003475</t>
        </is>
      </c>
      <c r="F394" s="279" t="n">
        <v>45806</v>
      </c>
      <c r="G394" s="216" t="n"/>
      <c r="H394" s="564" t="n"/>
      <c r="I394" s="564" t="n">
        <v>132132</v>
      </c>
      <c r="J394" s="213" t="inlineStr">
        <is>
          <t>អនុញ្ញាត (បានប្រកាស)</t>
        </is>
      </c>
      <c r="K394" s="213" t="n"/>
      <c r="L394" s="563">
        <f>I394</f>
        <v/>
      </c>
      <c r="M394" s="536">
        <f>I394-L394</f>
        <v/>
      </c>
      <c r="N394" s="213" t="n"/>
      <c r="O394" s="218">
        <f>U394=E394</f>
        <v/>
      </c>
      <c r="P394" s="218">
        <f>MONTH(F394)-MONTH(T394)</f>
        <v/>
      </c>
      <c r="Q394" s="218">
        <f>$B$5=X394</f>
        <v/>
      </c>
      <c r="R394" s="218">
        <f>I394-AD394</f>
        <v/>
      </c>
      <c r="S394" s="298" t="n"/>
      <c r="T394" s="299" t="n">
        <v>45806</v>
      </c>
      <c r="U394" s="298" t="inlineStr">
        <is>
          <t>APLL25003475</t>
        </is>
      </c>
      <c r="V394" s="298" t="n"/>
      <c r="W394" s="298" t="n"/>
      <c r="X394" s="298" t="n"/>
      <c r="Y394" s="298" t="inlineStr">
        <is>
          <t>ហូលីដេ ឌីហ្សាញ (ខេមបូឌា) ឯ.ក</t>
        </is>
      </c>
      <c r="Z394" s="300" t="n"/>
      <c r="AA394" s="300" t="n"/>
      <c r="AB394" s="298" t="n"/>
      <c r="AC394" s="298" t="n"/>
      <c r="AD394" s="300" t="n">
        <v>132132</v>
      </c>
      <c r="AE394" s="298" t="n"/>
      <c r="AF394" s="562" t="n"/>
    </row>
    <row r="395">
      <c r="A395" s="212">
        <f>A394+1</f>
        <v/>
      </c>
      <c r="B395" s="214" t="inlineStr">
        <is>
          <t>THC Fee-Ex</t>
        </is>
      </c>
      <c r="C395" s="214" t="inlineStr">
        <is>
          <t>APL LOGISTICS (CAMBODIA) PTE LTD.</t>
        </is>
      </c>
      <c r="D395" s="215" t="inlineStr">
        <is>
          <t>L001-100046460</t>
        </is>
      </c>
      <c r="E395" s="290" t="inlineStr">
        <is>
          <t>APLL25003456</t>
        </is>
      </c>
      <c r="F395" s="279" t="n">
        <v>45806</v>
      </c>
      <c r="G395" s="216" t="n"/>
      <c r="H395" s="564" t="n"/>
      <c r="I395" s="564" t="n">
        <v>132132</v>
      </c>
      <c r="J395" s="213" t="inlineStr">
        <is>
          <t>អនុញ្ញាត (បានប្រកាស)</t>
        </is>
      </c>
      <c r="K395" s="213" t="n"/>
      <c r="L395" s="563">
        <f>I395</f>
        <v/>
      </c>
      <c r="M395" s="536">
        <f>I395-L395</f>
        <v/>
      </c>
      <c r="N395" s="213" t="n"/>
      <c r="O395" s="218">
        <f>U395=E395</f>
        <v/>
      </c>
      <c r="P395" s="218">
        <f>MONTH(F395)-MONTH(T395)</f>
        <v/>
      </c>
      <c r="Q395" s="218">
        <f>$B$5=X395</f>
        <v/>
      </c>
      <c r="R395" s="218">
        <f>I395-AD395</f>
        <v/>
      </c>
      <c r="S395" s="298" t="n"/>
      <c r="T395" s="299" t="n">
        <v>45806</v>
      </c>
      <c r="U395" s="298" t="inlineStr">
        <is>
          <t>APLL25003456</t>
        </is>
      </c>
      <c r="V395" s="298" t="n"/>
      <c r="W395" s="298" t="n"/>
      <c r="X395" s="298" t="n"/>
      <c r="Y395" s="298" t="inlineStr">
        <is>
          <t>ហូលីដេ ឌីហ្សាញ (ខេមបូឌា) ឯ.ក</t>
        </is>
      </c>
      <c r="Z395" s="300" t="n"/>
      <c r="AA395" s="300" t="n"/>
      <c r="AB395" s="298" t="n"/>
      <c r="AC395" s="298" t="n"/>
      <c r="AD395" s="300" t="n">
        <v>132132</v>
      </c>
      <c r="AE395" s="298" t="n"/>
      <c r="AF395" s="562" t="n"/>
    </row>
    <row r="396">
      <c r="A396" s="212">
        <f>A395+1</f>
        <v/>
      </c>
      <c r="B396" s="214" t="inlineStr">
        <is>
          <t>THC Fee-Ex</t>
        </is>
      </c>
      <c r="C396" s="214" t="inlineStr">
        <is>
          <t>APL LOGISTICS (CAMBODIA) PTE LTD.</t>
        </is>
      </c>
      <c r="D396" s="215" t="inlineStr">
        <is>
          <t>L001-100046460</t>
        </is>
      </c>
      <c r="E396" s="290" t="inlineStr">
        <is>
          <t>APLL25003455</t>
        </is>
      </c>
      <c r="F396" s="279" t="n">
        <v>45806</v>
      </c>
      <c r="G396" s="216" t="n"/>
      <c r="H396" s="564" t="n"/>
      <c r="I396" s="564" t="n">
        <v>348348</v>
      </c>
      <c r="J396" s="213" t="inlineStr">
        <is>
          <t>អនុញ្ញាត (បានប្រកាស)</t>
        </is>
      </c>
      <c r="K396" s="213" t="n"/>
      <c r="L396" s="563">
        <f>I396</f>
        <v/>
      </c>
      <c r="M396" s="536">
        <f>I396-L396</f>
        <v/>
      </c>
      <c r="N396" s="213" t="n"/>
      <c r="O396" s="218">
        <f>U396=E396</f>
        <v/>
      </c>
      <c r="P396" s="218">
        <f>MONTH(F396)-MONTH(T396)</f>
        <v/>
      </c>
      <c r="Q396" s="218">
        <f>$B$5=X396</f>
        <v/>
      </c>
      <c r="R396" s="218">
        <f>I396-AD396</f>
        <v/>
      </c>
      <c r="S396" s="298" t="n"/>
      <c r="T396" s="299" t="n">
        <v>45806</v>
      </c>
      <c r="U396" s="298" t="inlineStr">
        <is>
          <t>APLL25003455</t>
        </is>
      </c>
      <c r="V396" s="298" t="n"/>
      <c r="W396" s="298" t="n"/>
      <c r="X396" s="298" t="n"/>
      <c r="Y396" s="298" t="inlineStr">
        <is>
          <t>ហូលីដេ ឌីហ្សាញ (ខេមបូឌា) ឯ.ក</t>
        </is>
      </c>
      <c r="Z396" s="300" t="n"/>
      <c r="AA396" s="300" t="n"/>
      <c r="AB396" s="298" t="n"/>
      <c r="AC396" s="298" t="n"/>
      <c r="AD396" s="300" t="n">
        <v>348348</v>
      </c>
      <c r="AE396" s="298" t="n"/>
      <c r="AF396" s="562" t="n"/>
    </row>
    <row r="397">
      <c r="A397" s="212">
        <f>A396+1</f>
        <v/>
      </c>
      <c r="B397" s="214" t="inlineStr">
        <is>
          <t>THC Fee-Ex</t>
        </is>
      </c>
      <c r="C397" s="214" t="inlineStr">
        <is>
          <t>APL LOGISTICS (CAMBODIA) PTE LTD.</t>
        </is>
      </c>
      <c r="D397" s="215" t="inlineStr">
        <is>
          <t>L001-100046460</t>
        </is>
      </c>
      <c r="E397" s="290" t="inlineStr">
        <is>
          <t>APLL25003454</t>
        </is>
      </c>
      <c r="F397" s="279" t="n">
        <v>45806</v>
      </c>
      <c r="G397" s="216" t="n"/>
      <c r="H397" s="564" t="n"/>
      <c r="I397" s="564" t="n">
        <v>1105104</v>
      </c>
      <c r="J397" s="213" t="inlineStr">
        <is>
          <t>អនុញ្ញាត (បានប្រកាស)</t>
        </is>
      </c>
      <c r="K397" s="213" t="n"/>
      <c r="L397" s="563">
        <f>I397</f>
        <v/>
      </c>
      <c r="M397" s="536">
        <f>I397-L397</f>
        <v/>
      </c>
      <c r="N397" s="213" t="n"/>
      <c r="O397" s="218">
        <f>U397=E397</f>
        <v/>
      </c>
      <c r="P397" s="218">
        <f>MONTH(F397)-MONTH(T397)</f>
        <v/>
      </c>
      <c r="Q397" s="218">
        <f>$B$5=X397</f>
        <v/>
      </c>
      <c r="R397" s="218">
        <f>I397-AD397</f>
        <v/>
      </c>
      <c r="S397" s="298" t="n"/>
      <c r="T397" s="299" t="n">
        <v>45806</v>
      </c>
      <c r="U397" s="298" t="inlineStr">
        <is>
          <t>APLL25003454</t>
        </is>
      </c>
      <c r="V397" s="298" t="n"/>
      <c r="W397" s="298" t="n"/>
      <c r="X397" s="298" t="n"/>
      <c r="Y397" s="298" t="inlineStr">
        <is>
          <t>ហូលីដេ ឌីហ្សាញ (ខេមបូឌា) ឯ.ក</t>
        </is>
      </c>
      <c r="Z397" s="300" t="n"/>
      <c r="AA397" s="300" t="n"/>
      <c r="AB397" s="298" t="n"/>
      <c r="AC397" s="298" t="n"/>
      <c r="AD397" s="300" t="n">
        <v>1105104</v>
      </c>
      <c r="AE397" s="298" t="n"/>
      <c r="AF397" s="562" t="n"/>
    </row>
    <row r="398">
      <c r="A398" s="212">
        <f>A397+1</f>
        <v/>
      </c>
      <c r="B398" s="214" t="inlineStr">
        <is>
          <t>THC Fee-Ex</t>
        </is>
      </c>
      <c r="C398" s="214" t="inlineStr">
        <is>
          <t>APL LOGISTICS (CAMBODIA) PTE LTD.</t>
        </is>
      </c>
      <c r="D398" s="215" t="inlineStr">
        <is>
          <t>L001-100046460</t>
        </is>
      </c>
      <c r="E398" s="290" t="inlineStr">
        <is>
          <t>APLL25003417</t>
        </is>
      </c>
      <c r="F398" s="279" t="n">
        <v>45805</v>
      </c>
      <c r="G398" s="216" t="n"/>
      <c r="H398" s="564" t="n"/>
      <c r="I398" s="564" t="n">
        <v>164123</v>
      </c>
      <c r="J398" s="213" t="inlineStr">
        <is>
          <t>អនុញ្ញាត (បានប្រកាស)</t>
        </is>
      </c>
      <c r="K398" s="213" t="n"/>
      <c r="L398" s="563">
        <f>I398</f>
        <v/>
      </c>
      <c r="M398" s="536">
        <f>I398-L398</f>
        <v/>
      </c>
      <c r="N398" s="213" t="n"/>
      <c r="O398" s="218">
        <f>U398=E398</f>
        <v/>
      </c>
      <c r="P398" s="218">
        <f>MONTH(F398)-MONTH(T398)</f>
        <v/>
      </c>
      <c r="Q398" s="218">
        <f>$B$5=X398</f>
        <v/>
      </c>
      <c r="R398" s="218">
        <f>I398-AD398</f>
        <v/>
      </c>
      <c r="S398" s="298" t="n"/>
      <c r="T398" s="299" t="n">
        <v>45805</v>
      </c>
      <c r="U398" s="298" t="inlineStr">
        <is>
          <t>APLL25003417</t>
        </is>
      </c>
      <c r="V398" s="298" t="n"/>
      <c r="W398" s="298" t="n"/>
      <c r="X398" s="298" t="n"/>
      <c r="Y398" s="298" t="inlineStr">
        <is>
          <t>ហូលីដេ ឌីហ្សាញ (ខេមបូឌា) ឯ.ក</t>
        </is>
      </c>
      <c r="Z398" s="300" t="n"/>
      <c r="AA398" s="300" t="n"/>
      <c r="AB398" s="298" t="n"/>
      <c r="AC398" s="298" t="n"/>
      <c r="AD398" s="300" t="n">
        <v>164123</v>
      </c>
      <c r="AE398" s="298" t="n"/>
      <c r="AF398" s="562" t="n"/>
    </row>
    <row r="399">
      <c r="A399" s="212">
        <f>A398+1</f>
        <v/>
      </c>
      <c r="B399" s="214" t="inlineStr">
        <is>
          <t>THC Fee-Ex</t>
        </is>
      </c>
      <c r="C399" s="214" t="inlineStr">
        <is>
          <t>APL LOGISTICS (CAMBODIA) PTE LTD.</t>
        </is>
      </c>
      <c r="D399" s="215" t="inlineStr">
        <is>
          <t>L001-100046460</t>
        </is>
      </c>
      <c r="E399" s="290" t="inlineStr">
        <is>
          <t>APLL25003415</t>
        </is>
      </c>
      <c r="F399" s="279" t="n">
        <v>45805</v>
      </c>
      <c r="G399" s="216" t="n"/>
      <c r="H399" s="564" t="n"/>
      <c r="I399" s="564" t="n">
        <v>222167</v>
      </c>
      <c r="J399" s="213" t="inlineStr">
        <is>
          <t>អនុញ្ញាត (បានប្រកាស)</t>
        </is>
      </c>
      <c r="K399" s="213" t="n"/>
      <c r="L399" s="563">
        <f>I399</f>
        <v/>
      </c>
      <c r="M399" s="536">
        <f>I399-L399</f>
        <v/>
      </c>
      <c r="N399" s="213" t="n"/>
      <c r="O399" s="218">
        <f>U399=E399</f>
        <v/>
      </c>
      <c r="P399" s="218">
        <f>MONTH(F399)-MONTH(T399)</f>
        <v/>
      </c>
      <c r="Q399" s="218">
        <f>$B$5=X399</f>
        <v/>
      </c>
      <c r="R399" s="218">
        <f>I399-AD399</f>
        <v/>
      </c>
      <c r="S399" s="298" t="inlineStr">
        <is>
          <t>Wrong invoice number</t>
        </is>
      </c>
      <c r="T399" s="299" t="n">
        <v>45805</v>
      </c>
      <c r="U399" s="298" t="inlineStr">
        <is>
          <t>APLL25003415</t>
        </is>
      </c>
      <c r="V399" s="298" t="n"/>
      <c r="W399" s="298" t="n"/>
      <c r="X399" s="298" t="n"/>
      <c r="Y399" s="298" t="inlineStr">
        <is>
          <t>ហូលីដេ ឌីហ្សាញ (ខេមបូឌា) ឯ.ក</t>
        </is>
      </c>
      <c r="Z399" s="300" t="n"/>
      <c r="AA399" s="300" t="n"/>
      <c r="AB399" s="298" t="n"/>
      <c r="AC399" s="298" t="n"/>
      <c r="AD399" s="300" t="n">
        <v>222167</v>
      </c>
      <c r="AE399" s="298" t="n"/>
      <c r="AF399" s="562" t="n"/>
    </row>
    <row r="400">
      <c r="A400" s="212">
        <f>A399+1</f>
        <v/>
      </c>
      <c r="B400" s="214" t="inlineStr">
        <is>
          <t>THC Fee-Ex</t>
        </is>
      </c>
      <c r="C400" s="214" t="inlineStr">
        <is>
          <t>APL LOGISTICS (CAMBODIA) PTE LTD.</t>
        </is>
      </c>
      <c r="D400" s="215" t="inlineStr">
        <is>
          <t>L001-100046460</t>
        </is>
      </c>
      <c r="E400" s="290" t="inlineStr">
        <is>
          <t>APLL25003373</t>
        </is>
      </c>
      <c r="F400" s="279" t="n">
        <v>45804</v>
      </c>
      <c r="G400" s="216" t="n"/>
      <c r="H400" s="564" t="n"/>
      <c r="I400" s="564" t="n">
        <v>115286</v>
      </c>
      <c r="J400" s="213" t="inlineStr">
        <is>
          <t>អនុញ្ញាត (បានប្រកាស)</t>
        </is>
      </c>
      <c r="K400" s="213" t="n"/>
      <c r="L400" s="563">
        <f>I400</f>
        <v/>
      </c>
      <c r="M400" s="536">
        <f>I400-L400</f>
        <v/>
      </c>
      <c r="N400" s="213" t="n"/>
      <c r="O400" s="218">
        <f>U400=E400</f>
        <v/>
      </c>
      <c r="P400" s="218">
        <f>MONTH(F400)-MONTH(T400)</f>
        <v/>
      </c>
      <c r="Q400" s="218">
        <f>$B$5=X400</f>
        <v/>
      </c>
      <c r="R400" s="218">
        <f>I400-AD400</f>
        <v/>
      </c>
      <c r="S400" s="298" t="n"/>
      <c r="T400" s="299" t="n">
        <v>45804</v>
      </c>
      <c r="U400" s="298" t="inlineStr">
        <is>
          <t>APLL25003373</t>
        </is>
      </c>
      <c r="V400" s="298" t="n"/>
      <c r="W400" s="298" t="n"/>
      <c r="X400" s="298" t="n"/>
      <c r="Y400" s="298" t="inlineStr">
        <is>
          <t>ហូលីដេ ឌីហ្សាញ (ខេមបូឌា) ឯ.ក</t>
        </is>
      </c>
      <c r="Z400" s="300" t="n"/>
      <c r="AA400" s="300" t="n"/>
      <c r="AB400" s="298" t="n"/>
      <c r="AC400" s="298" t="n"/>
      <c r="AD400" s="300" t="n">
        <v>115286</v>
      </c>
      <c r="AE400" s="298" t="n"/>
      <c r="AF400" s="562" t="n"/>
    </row>
    <row r="401">
      <c r="A401" s="212">
        <f>A400+1</f>
        <v/>
      </c>
      <c r="B401" s="214" t="inlineStr">
        <is>
          <t>THC Fee-Ex</t>
        </is>
      </c>
      <c r="C401" s="214" t="inlineStr">
        <is>
          <t>APL LOGISTICS (CAMBODIA) PTE LTD.</t>
        </is>
      </c>
      <c r="D401" s="215" t="inlineStr">
        <is>
          <t>L001-100046460</t>
        </is>
      </c>
      <c r="E401" s="290" t="inlineStr">
        <is>
          <t>APLL25003414</t>
        </is>
      </c>
      <c r="F401" s="279" t="n">
        <v>45805</v>
      </c>
      <c r="G401" s="216" t="n"/>
      <c r="H401" s="564" t="n"/>
      <c r="I401" s="564" t="n">
        <v>164123</v>
      </c>
      <c r="J401" s="213" t="inlineStr">
        <is>
          <t>អនុញ្ញាត (បានប្រកាស)</t>
        </is>
      </c>
      <c r="K401" s="213" t="n"/>
      <c r="L401" s="563">
        <f>I401</f>
        <v/>
      </c>
      <c r="M401" s="536">
        <f>I401-L401</f>
        <v/>
      </c>
      <c r="N401" s="213" t="n"/>
      <c r="O401" s="218">
        <f>U401=E401</f>
        <v/>
      </c>
      <c r="P401" s="218">
        <f>MONTH(F401)-MONTH(T401)</f>
        <v/>
      </c>
      <c r="Q401" s="218">
        <f>$B$5=X401</f>
        <v/>
      </c>
      <c r="R401" s="218">
        <f>I401-AD401</f>
        <v/>
      </c>
      <c r="S401" s="298" t="n"/>
      <c r="T401" s="299" t="n">
        <v>45805</v>
      </c>
      <c r="U401" s="298" t="inlineStr">
        <is>
          <t>APLL25003414</t>
        </is>
      </c>
      <c r="V401" s="298" t="n"/>
      <c r="W401" s="298" t="n"/>
      <c r="X401" s="298" t="n"/>
      <c r="Y401" s="298" t="inlineStr">
        <is>
          <t>ហូលីដេ ឌីហ្សាញ (ខេមបូឌា) ឯ.ក</t>
        </is>
      </c>
      <c r="Z401" s="300" t="n"/>
      <c r="AA401" s="300" t="n"/>
      <c r="AB401" s="298" t="n"/>
      <c r="AC401" s="298" t="n"/>
      <c r="AD401" s="300" t="n">
        <v>164123</v>
      </c>
      <c r="AE401" s="298" t="n"/>
      <c r="AF401" s="562" t="n"/>
    </row>
    <row r="402">
      <c r="A402" s="212">
        <f>A401+1</f>
        <v/>
      </c>
      <c r="B402" s="214" t="inlineStr">
        <is>
          <t>THC Fee-Ex</t>
        </is>
      </c>
      <c r="C402" s="214" t="inlineStr">
        <is>
          <t>APL LOGISTICS (CAMBODIA) PTE LTD.</t>
        </is>
      </c>
      <c r="D402" s="215" t="inlineStr">
        <is>
          <t>L001-100046460</t>
        </is>
      </c>
      <c r="E402" s="290" t="inlineStr">
        <is>
          <t>APLL25003413</t>
        </is>
      </c>
      <c r="F402" s="279" t="n">
        <v>45805</v>
      </c>
      <c r="G402" s="216" t="n"/>
      <c r="H402" s="564" t="n"/>
      <c r="I402" s="564" t="n">
        <v>225369</v>
      </c>
      <c r="J402" s="213" t="inlineStr">
        <is>
          <t>អនុញ្ញាត (បានប្រកាស)</t>
        </is>
      </c>
      <c r="K402" s="213" t="n"/>
      <c r="L402" s="563">
        <f>I402</f>
        <v/>
      </c>
      <c r="M402" s="536">
        <f>I402-L402</f>
        <v/>
      </c>
      <c r="N402" s="213" t="n"/>
      <c r="O402" s="218">
        <f>U402=E402</f>
        <v/>
      </c>
      <c r="P402" s="218">
        <f>MONTH(F402)-MONTH(T402)</f>
        <v/>
      </c>
      <c r="Q402" s="218">
        <f>$B$5=X402</f>
        <v/>
      </c>
      <c r="R402" s="218">
        <f>I402-AD402</f>
        <v/>
      </c>
      <c r="S402" s="298" t="n"/>
      <c r="T402" s="299" t="n">
        <v>45805</v>
      </c>
      <c r="U402" s="298" t="inlineStr">
        <is>
          <t>APLL25003413</t>
        </is>
      </c>
      <c r="V402" s="298" t="n"/>
      <c r="W402" s="298" t="n"/>
      <c r="X402" s="298" t="n"/>
      <c r="Y402" s="298" t="inlineStr">
        <is>
          <t>ហូលីដេ ឌីហ្សាញ (ខេមបូឌា) ឯ.ក</t>
        </is>
      </c>
      <c r="Z402" s="300" t="n"/>
      <c r="AA402" s="300" t="n"/>
      <c r="AB402" s="298" t="n"/>
      <c r="AC402" s="298" t="n"/>
      <c r="AD402" s="300" t="n">
        <v>225369</v>
      </c>
      <c r="AE402" s="298" t="n"/>
      <c r="AF402" s="562" t="n"/>
    </row>
    <row r="403">
      <c r="A403" s="212">
        <f>A402+1</f>
        <v/>
      </c>
      <c r="B403" s="214" t="inlineStr">
        <is>
          <t>THC Fee-Ex</t>
        </is>
      </c>
      <c r="C403" s="214" t="inlineStr">
        <is>
          <t>APL LOGISTICS (CAMBODIA) PTE LTD.</t>
        </is>
      </c>
      <c r="D403" s="215" t="inlineStr">
        <is>
          <t>L001-100046460</t>
        </is>
      </c>
      <c r="E403" s="290" t="inlineStr">
        <is>
          <t>APLL25003412</t>
        </is>
      </c>
      <c r="F403" s="279" t="n">
        <v>45805</v>
      </c>
      <c r="G403" s="216" t="n"/>
      <c r="H403" s="564" t="n"/>
      <c r="I403" s="564" t="n">
        <v>132099</v>
      </c>
      <c r="J403" s="213" t="inlineStr">
        <is>
          <t>អនុញ្ញាត (បានប្រកាស)</t>
        </is>
      </c>
      <c r="K403" s="213" t="n"/>
      <c r="L403" s="563">
        <f>I403</f>
        <v/>
      </c>
      <c r="M403" s="536">
        <f>I403-L403</f>
        <v/>
      </c>
      <c r="N403" s="213" t="n"/>
      <c r="O403" s="218">
        <f>U403=E403</f>
        <v/>
      </c>
      <c r="P403" s="218">
        <f>MONTH(F403)-MONTH(T403)</f>
        <v/>
      </c>
      <c r="Q403" s="218">
        <f>$B$5=X403</f>
        <v/>
      </c>
      <c r="R403" s="218">
        <f>I403-AD403</f>
        <v/>
      </c>
      <c r="S403" s="298" t="n"/>
      <c r="T403" s="299" t="n">
        <v>45805</v>
      </c>
      <c r="U403" s="298" t="inlineStr">
        <is>
          <t>APLL25003412</t>
        </is>
      </c>
      <c r="V403" s="298" t="n"/>
      <c r="W403" s="298" t="n"/>
      <c r="X403" s="298" t="n"/>
      <c r="Y403" s="298" t="inlineStr">
        <is>
          <t>ហូលីដេ ឌីហ្សាញ (ខេមបូឌា) ឯ.ក</t>
        </is>
      </c>
      <c r="Z403" s="300" t="n"/>
      <c r="AA403" s="300" t="n"/>
      <c r="AB403" s="298" t="n"/>
      <c r="AC403" s="298" t="n"/>
      <c r="AD403" s="300" t="n">
        <v>132099</v>
      </c>
      <c r="AE403" s="298" t="n"/>
      <c r="AF403" s="562" t="n"/>
    </row>
    <row r="404">
      <c r="A404" s="212">
        <f>A403+1</f>
        <v/>
      </c>
      <c r="B404" s="214" t="inlineStr">
        <is>
          <t>THC, Doc, EMF, CIC Fee-Im</t>
        </is>
      </c>
      <c r="C404" s="214" t="inlineStr">
        <is>
          <t>INCHCAPE SHIPPING SERVICES (CAMBODIA) LTD</t>
        </is>
      </c>
      <c r="D404" s="215" t="inlineStr">
        <is>
          <t>L001-103000127</t>
        </is>
      </c>
      <c r="E404" s="290" t="inlineStr">
        <is>
          <t>IN252100</t>
        </is>
      </c>
      <c r="F404" s="279" t="n">
        <v>45771</v>
      </c>
      <c r="G404" s="216" t="n"/>
      <c r="H404" s="564" t="n"/>
      <c r="I404" s="564" t="n">
        <v>844633</v>
      </c>
      <c r="J404" s="213" t="inlineStr">
        <is>
          <t>អនុញ្ញាត (បានប្រកាស)</t>
        </is>
      </c>
      <c r="K404" s="213" t="n"/>
      <c r="L404" s="563">
        <f>I404</f>
        <v/>
      </c>
      <c r="M404" s="536">
        <f>I404-L404</f>
        <v/>
      </c>
      <c r="N404" s="213" t="n"/>
      <c r="O404" s="218">
        <f>U404=E404</f>
        <v/>
      </c>
      <c r="P404" s="218">
        <f>MONTH(F404)-MONTH(T404)</f>
        <v/>
      </c>
      <c r="Q404" s="218">
        <f>$B$5=X404</f>
        <v/>
      </c>
      <c r="R404" s="218">
        <f>I404-AD404</f>
        <v/>
      </c>
      <c r="S404" s="298" t="n"/>
      <c r="T404" s="299" t="n">
        <v>45771</v>
      </c>
      <c r="U404" s="298" t="inlineStr">
        <is>
          <t>IN252100</t>
        </is>
      </c>
      <c r="V404" s="298" t="n">
        <v>0</v>
      </c>
      <c r="W404" s="298" t="inlineStr">
        <is>
          <t>បុគ្គលជាប់អាករ</t>
        </is>
      </c>
      <c r="X404" s="298" t="inlineStr">
        <is>
          <t>L001-901640009</t>
        </is>
      </c>
      <c r="Y404" s="298" t="inlineStr">
        <is>
          <t>ហូលីដេ ឌីហ្សាញ (ខេមបូឌា) ឯ.ក</t>
        </is>
      </c>
      <c r="Z404" s="300" t="n">
        <v>9290963</v>
      </c>
      <c r="AA404" s="300" t="n">
        <v>8446330</v>
      </c>
      <c r="AB404" s="298" t="n">
        <v>0</v>
      </c>
      <c r="AC404" s="298" t="inlineStr">
        <is>
          <t>-</t>
        </is>
      </c>
      <c r="AD404" s="300" t="n">
        <v>844633</v>
      </c>
      <c r="AE404" s="298" t="n">
        <v>0</v>
      </c>
      <c r="AF404" s="562" t="n">
        <v>0</v>
      </c>
      <c r="AG404" s="198" t="n">
        <v>0</v>
      </c>
      <c r="AH404" s="198" t="n">
        <v>0</v>
      </c>
      <c r="AI404" s="198" t="n">
        <v>0</v>
      </c>
      <c r="AJ404" s="198" t="n">
        <v>0</v>
      </c>
      <c r="AK404" s="198" t="n">
        <v>0</v>
      </c>
      <c r="AL404" s="198" t="n">
        <v>0.01</v>
      </c>
      <c r="AM404" s="198" t="n">
        <v>0</v>
      </c>
      <c r="AN404" s="198" t="inlineStr">
        <is>
          <t>THC,DOC,EMF AND FRT (CIC) FEE</t>
        </is>
      </c>
      <c r="AO404" s="198" t="inlineStr">
        <is>
          <t>បានប្រកាសនិងបង់ពន្ធ</t>
        </is>
      </c>
    </row>
    <row r="405">
      <c r="A405" s="212">
        <f>A404+1</f>
        <v/>
      </c>
      <c r="B405" s="214" t="inlineStr">
        <is>
          <t>Import Documentation fee</t>
        </is>
      </c>
      <c r="C405" s="214" t="inlineStr">
        <is>
          <t>CMA CGM (CAMBODIA) CO., LTD.</t>
        </is>
      </c>
      <c r="D405" s="215" t="inlineStr">
        <is>
          <t>L001-105016225</t>
        </is>
      </c>
      <c r="E405" s="290" t="inlineStr">
        <is>
          <t>KH25I00006870</t>
        </is>
      </c>
      <c r="F405" s="279" t="n">
        <v>45709</v>
      </c>
      <c r="G405" s="216" t="n"/>
      <c r="H405" s="564" t="n"/>
      <c r="I405" s="564" t="n">
        <v>420859</v>
      </c>
      <c r="J405" s="213" t="inlineStr">
        <is>
          <t>ព្យួរទុក (មិនមានទិន្នន័យ)</t>
        </is>
      </c>
      <c r="K405" s="213" t="n"/>
      <c r="L405" s="563" t="n"/>
      <c r="M405" s="536">
        <f>I405-L405</f>
        <v/>
      </c>
      <c r="N405" s="213" t="n"/>
      <c r="O405" s="218">
        <f>U405=E405</f>
        <v/>
      </c>
      <c r="P405" s="218">
        <f>MONTH(F405)-MONTH(T405)</f>
        <v/>
      </c>
      <c r="Q405" s="218">
        <f>$B$5=X405</f>
        <v/>
      </c>
      <c r="R405" s="218">
        <f>I405-AD405</f>
        <v/>
      </c>
      <c r="S405" s="298" t="n"/>
      <c r="T405" s="299" t="n">
        <v>0</v>
      </c>
      <c r="U405" s="298" t="n">
        <v>0</v>
      </c>
      <c r="V405" s="298" t="n">
        <v>0</v>
      </c>
      <c r="W405" s="298" t="n">
        <v>0</v>
      </c>
      <c r="X405" s="298" t="n">
        <v>0</v>
      </c>
      <c r="Y405" s="298" t="n">
        <v>0</v>
      </c>
      <c r="Z405" s="300" t="n">
        <v>0</v>
      </c>
      <c r="AA405" s="300" t="n">
        <v>0</v>
      </c>
      <c r="AB405" s="298" t="n">
        <v>0</v>
      </c>
      <c r="AC405" s="298" t="n">
        <v>0</v>
      </c>
      <c r="AD405" s="300" t="n">
        <v>0</v>
      </c>
      <c r="AE405" s="298" t="n">
        <v>0</v>
      </c>
      <c r="AF405" s="562" t="n">
        <v>0</v>
      </c>
      <c r="AG405" s="198" t="n">
        <v>0</v>
      </c>
      <c r="AH405" s="198" t="n">
        <v>0</v>
      </c>
      <c r="AI405" s="198" t="n">
        <v>0</v>
      </c>
      <c r="AJ405" s="198" t="n">
        <v>0</v>
      </c>
      <c r="AK405" s="198" t="n">
        <v>0</v>
      </c>
      <c r="AL405" s="198" t="n">
        <v>0</v>
      </c>
      <c r="AM405" s="198" t="n">
        <v>0</v>
      </c>
      <c r="AN405" s="198" t="n">
        <v>0</v>
      </c>
      <c r="AO405" s="198" t="n">
        <v>0</v>
      </c>
    </row>
    <row r="406">
      <c r="A406" s="212">
        <f>A405+1</f>
        <v/>
      </c>
      <c r="B406" s="214" t="inlineStr">
        <is>
          <t>THC Fee-Ex</t>
        </is>
      </c>
      <c r="C406" s="214" t="inlineStr">
        <is>
          <t>APL LOGISTICS (CAMBODIA) PTE LTD.</t>
        </is>
      </c>
      <c r="D406" s="215" t="inlineStr">
        <is>
          <t>L001-100046460</t>
        </is>
      </c>
      <c r="E406" s="290" t="inlineStr">
        <is>
          <t>APLL25003264</t>
        </is>
      </c>
      <c r="F406" s="279" t="n">
        <v>45799</v>
      </c>
      <c r="G406" s="216" t="n"/>
      <c r="H406" s="564" t="n"/>
      <c r="I406" s="564" t="n">
        <v>115286</v>
      </c>
      <c r="J406" s="213" t="inlineStr">
        <is>
          <t>អនុញ្ញាត (បានប្រកាស)</t>
        </is>
      </c>
      <c r="K406" s="213" t="n"/>
      <c r="L406" s="563">
        <f>I406</f>
        <v/>
      </c>
      <c r="M406" s="536">
        <f>I406-L406</f>
        <v/>
      </c>
      <c r="N406" s="213" t="n"/>
      <c r="O406" s="218">
        <f>U406=E406</f>
        <v/>
      </c>
      <c r="P406" s="218">
        <f>MONTH(F406)-MONTH(T406)</f>
        <v/>
      </c>
      <c r="Q406" s="218">
        <f>$B$5=X406</f>
        <v/>
      </c>
      <c r="R406" s="218">
        <f>I406-AD406</f>
        <v/>
      </c>
      <c r="S406" s="298" t="n"/>
      <c r="T406" s="299" t="n">
        <v>45799</v>
      </c>
      <c r="U406" s="298" t="inlineStr">
        <is>
          <t>APLL25003264</t>
        </is>
      </c>
      <c r="V406" s="298" t="n"/>
      <c r="W406" s="298" t="n"/>
      <c r="X406" s="298" t="n"/>
      <c r="Y406" s="298" t="inlineStr">
        <is>
          <t>ហូលីដេ ឌីហ្សាញ (ខេមបូឌា) ឯ.ក</t>
        </is>
      </c>
      <c r="Z406" s="300" t="n"/>
      <c r="AA406" s="300" t="n"/>
      <c r="AB406" s="298" t="n"/>
      <c r="AC406" s="298" t="n"/>
      <c r="AD406" s="300" t="n">
        <v>115286</v>
      </c>
      <c r="AE406" s="298" t="n"/>
      <c r="AF406" s="562" t="n"/>
    </row>
    <row r="407">
      <c r="A407" s="212">
        <f>A406+1</f>
        <v/>
      </c>
      <c r="B407" s="214" t="inlineStr">
        <is>
          <t>THC Fee-Ex</t>
        </is>
      </c>
      <c r="C407" s="214" t="inlineStr">
        <is>
          <t>APL LOGISTICS (CAMBODIA) PTE LTD.</t>
        </is>
      </c>
      <c r="D407" s="215" t="inlineStr">
        <is>
          <t>L001-100046460</t>
        </is>
      </c>
      <c r="E407" s="290" t="inlineStr">
        <is>
          <t>APLL25003380</t>
        </is>
      </c>
      <c r="F407" s="279" t="n">
        <v>45804</v>
      </c>
      <c r="G407" s="216" t="n"/>
      <c r="H407" s="564" t="n"/>
      <c r="I407" s="564" t="n">
        <v>115286</v>
      </c>
      <c r="J407" s="213" t="inlineStr">
        <is>
          <t>អនុញ្ញាត (បានប្រកាស)</t>
        </is>
      </c>
      <c r="K407" s="213" t="n"/>
      <c r="L407" s="563">
        <f>I407</f>
        <v/>
      </c>
      <c r="M407" s="536">
        <f>I407-L407</f>
        <v/>
      </c>
      <c r="N407" s="213" t="n"/>
      <c r="O407" s="218">
        <f>U407=E407</f>
        <v/>
      </c>
      <c r="P407" s="218">
        <f>MONTH(F407)-MONTH(T407)</f>
        <v/>
      </c>
      <c r="Q407" s="218">
        <f>$B$5=X407</f>
        <v/>
      </c>
      <c r="R407" s="218">
        <f>I407-AD407</f>
        <v/>
      </c>
      <c r="S407" s="298" t="n"/>
      <c r="T407" s="299" t="n">
        <v>45804</v>
      </c>
      <c r="U407" s="298" t="inlineStr">
        <is>
          <t>APLL25003380</t>
        </is>
      </c>
      <c r="V407" s="298" t="n"/>
      <c r="W407" s="298" t="n"/>
      <c r="X407" s="298" t="n"/>
      <c r="Y407" s="298" t="inlineStr">
        <is>
          <t>ហូលីដេ ឌីហ្សាញ (ខេមបូឌា) ឯ.ក</t>
        </is>
      </c>
      <c r="Z407" s="300" t="n"/>
      <c r="AA407" s="300" t="n"/>
      <c r="AB407" s="298" t="n"/>
      <c r="AC407" s="298" t="n"/>
      <c r="AD407" s="300" t="n">
        <v>115286</v>
      </c>
      <c r="AE407" s="298" t="n"/>
      <c r="AF407" s="562" t="n"/>
    </row>
    <row r="408">
      <c r="A408" s="212">
        <f>A407+1</f>
        <v/>
      </c>
      <c r="B408" s="214" t="inlineStr">
        <is>
          <t>THC Fee-Ex</t>
        </is>
      </c>
      <c r="C408" s="214" t="inlineStr">
        <is>
          <t>APL LOGISTICS (CAMBODIA) PTE LTD.</t>
        </is>
      </c>
      <c r="D408" s="215" t="inlineStr">
        <is>
          <t>L001-100046460</t>
        </is>
      </c>
      <c r="E408" s="290" t="inlineStr">
        <is>
          <t>APLL25003379</t>
        </is>
      </c>
      <c r="F408" s="279" t="n">
        <v>45804</v>
      </c>
      <c r="G408" s="216" t="n"/>
      <c r="H408" s="564" t="n"/>
      <c r="I408" s="564" t="n">
        <v>85264</v>
      </c>
      <c r="J408" s="213" t="inlineStr">
        <is>
          <t>អនុញ្ញាត (បានប្រកាស)</t>
        </is>
      </c>
      <c r="K408" s="213" t="n"/>
      <c r="L408" s="563">
        <f>I408</f>
        <v/>
      </c>
      <c r="M408" s="536">
        <f>I408-L408</f>
        <v/>
      </c>
      <c r="N408" s="213" t="n"/>
      <c r="O408" s="218">
        <f>U408=E408</f>
        <v/>
      </c>
      <c r="P408" s="218">
        <f>MONTH(F408)-MONTH(T408)</f>
        <v/>
      </c>
      <c r="Q408" s="218">
        <f>$B$5=X408</f>
        <v/>
      </c>
      <c r="R408" s="218">
        <f>I408-AD408</f>
        <v/>
      </c>
      <c r="S408" s="298" t="n"/>
      <c r="T408" s="299" t="n">
        <v>45804</v>
      </c>
      <c r="U408" s="298" t="inlineStr">
        <is>
          <t>APLL25003379</t>
        </is>
      </c>
      <c r="V408" s="298" t="n"/>
      <c r="W408" s="298" t="n"/>
      <c r="X408" s="298" t="n"/>
      <c r="Y408" s="298" t="inlineStr">
        <is>
          <t>ហូលីដេ ឌីហ្សាញ (ខេមបូឌា) ឯ.ក</t>
        </is>
      </c>
      <c r="Z408" s="300" t="n"/>
      <c r="AA408" s="300" t="n"/>
      <c r="AB408" s="298" t="n"/>
      <c r="AC408" s="298" t="n"/>
      <c r="AD408" s="300" t="n">
        <v>85264</v>
      </c>
      <c r="AE408" s="298" t="n"/>
      <c r="AF408" s="562" t="n"/>
    </row>
    <row r="409">
      <c r="A409" s="212">
        <f>A408+1</f>
        <v/>
      </c>
      <c r="B409" s="214" t="inlineStr">
        <is>
          <t>THC Fee-Ex</t>
        </is>
      </c>
      <c r="C409" s="214" t="inlineStr">
        <is>
          <t>APL LOGISTICS (CAMBODIA) PTE LTD.</t>
        </is>
      </c>
      <c r="D409" s="215" t="inlineStr">
        <is>
          <t>L001-100046460</t>
        </is>
      </c>
      <c r="E409" s="290" t="inlineStr">
        <is>
          <t>APLL25003178</t>
        </is>
      </c>
      <c r="F409" s="279" t="n">
        <v>45798</v>
      </c>
      <c r="G409" s="216" t="n"/>
      <c r="H409" s="564" t="n"/>
      <c r="I409" s="564" t="n">
        <v>240180</v>
      </c>
      <c r="J409" s="213" t="inlineStr">
        <is>
          <t>អនុញ្ញាត (បានប្រកាស)</t>
        </is>
      </c>
      <c r="K409" s="213" t="n"/>
      <c r="L409" s="563">
        <f>I409</f>
        <v/>
      </c>
      <c r="M409" s="536">
        <f>I409-L409</f>
        <v/>
      </c>
      <c r="N409" s="213" t="n"/>
      <c r="O409" s="218">
        <f>U409=E409</f>
        <v/>
      </c>
      <c r="P409" s="218">
        <f>MONTH(F409)-MONTH(T409)</f>
        <v/>
      </c>
      <c r="Q409" s="218">
        <f>$B$5=X409</f>
        <v/>
      </c>
      <c r="R409" s="218">
        <f>I409-AD409</f>
        <v/>
      </c>
      <c r="S409" s="298" t="n"/>
      <c r="T409" s="299" t="n">
        <v>45798</v>
      </c>
      <c r="U409" s="298" t="inlineStr">
        <is>
          <t>APLL25003178</t>
        </is>
      </c>
      <c r="V409" s="298" t="n"/>
      <c r="W409" s="298" t="n"/>
      <c r="X409" s="298" t="n"/>
      <c r="Y409" s="298" t="inlineStr">
        <is>
          <t>ហូលីដេ ឌីហ្សាញ (ខេមបូឌា) ឯ.ក</t>
        </is>
      </c>
      <c r="Z409" s="300" t="n"/>
      <c r="AA409" s="300" t="n"/>
      <c r="AB409" s="298" t="n"/>
      <c r="AC409" s="298" t="n"/>
      <c r="AD409" s="300" t="n">
        <v>240180</v>
      </c>
      <c r="AE409" s="298" t="n"/>
      <c r="AF409" s="562" t="n"/>
    </row>
    <row r="410">
      <c r="A410" s="212">
        <f>A409+1</f>
        <v/>
      </c>
      <c r="B410" s="214" t="inlineStr">
        <is>
          <t>THC Fee-Ex</t>
        </is>
      </c>
      <c r="C410" s="214" t="inlineStr">
        <is>
          <t>APL LOGISTICS (CAMBODIA) PTE LTD.</t>
        </is>
      </c>
      <c r="D410" s="215" t="inlineStr">
        <is>
          <t>L001-100046460</t>
        </is>
      </c>
      <c r="E410" s="290" t="inlineStr">
        <is>
          <t>APLL25003183</t>
        </is>
      </c>
      <c r="F410" s="279" t="n">
        <v>45798</v>
      </c>
      <c r="G410" s="216" t="n"/>
      <c r="H410" s="564" t="n"/>
      <c r="I410" s="564" t="n">
        <v>132099</v>
      </c>
      <c r="J410" s="213" t="inlineStr">
        <is>
          <t>អនុញ្ញាត (បានប្រកាស)</t>
        </is>
      </c>
      <c r="K410" s="213" t="n"/>
      <c r="L410" s="563">
        <f>I410</f>
        <v/>
      </c>
      <c r="M410" s="536">
        <f>I410-L410</f>
        <v/>
      </c>
      <c r="N410" s="213" t="n"/>
      <c r="O410" s="218">
        <f>U410=E410</f>
        <v/>
      </c>
      <c r="P410" s="218">
        <f>MONTH(F410)-MONTH(T410)</f>
        <v/>
      </c>
      <c r="Q410" s="218">
        <f>$B$5=X410</f>
        <v/>
      </c>
      <c r="R410" s="218">
        <f>I410-AD410</f>
        <v/>
      </c>
      <c r="S410" s="298" t="n"/>
      <c r="T410" s="299" t="n">
        <v>45798</v>
      </c>
      <c r="U410" s="298" t="inlineStr">
        <is>
          <t>APLL25003183</t>
        </is>
      </c>
      <c r="V410" s="298" t="n"/>
      <c r="W410" s="298" t="n"/>
      <c r="X410" s="298" t="n"/>
      <c r="Y410" s="298" t="inlineStr">
        <is>
          <t>ហូលីដេ ឌីហ្សាញ (ខេមបូឌា) ឯ.ក</t>
        </is>
      </c>
      <c r="Z410" s="300" t="n"/>
      <c r="AA410" s="300" t="n"/>
      <c r="AB410" s="298" t="n"/>
      <c r="AC410" s="298" t="n"/>
      <c r="AD410" s="300" t="n">
        <v>132099</v>
      </c>
      <c r="AE410" s="298" t="n"/>
      <c r="AF410" s="562" t="n"/>
    </row>
    <row r="411">
      <c r="A411" s="212">
        <f>A410+1</f>
        <v/>
      </c>
      <c r="B411" s="214" t="inlineStr">
        <is>
          <t>THC Fee-Ex</t>
        </is>
      </c>
      <c r="C411" s="214" t="inlineStr">
        <is>
          <t>APL LOGISTICS (CAMBODIA) PTE LTD.</t>
        </is>
      </c>
      <c r="D411" s="215" t="inlineStr">
        <is>
          <t>L001-100046460</t>
        </is>
      </c>
      <c r="E411" s="290" t="inlineStr">
        <is>
          <t>APLL25003481</t>
        </is>
      </c>
      <c r="F411" s="279" t="n">
        <v>45806</v>
      </c>
      <c r="G411" s="216" t="n"/>
      <c r="H411" s="564" t="n"/>
      <c r="I411" s="564" t="n">
        <v>240240</v>
      </c>
      <c r="J411" s="213" t="inlineStr">
        <is>
          <t>អនុញ្ញាត (បានប្រកាស)</t>
        </is>
      </c>
      <c r="K411" s="213" t="n"/>
      <c r="L411" s="563">
        <f>I411</f>
        <v/>
      </c>
      <c r="M411" s="536">
        <f>I411-L411</f>
        <v/>
      </c>
      <c r="N411" s="213" t="n"/>
      <c r="O411" s="218">
        <f>U411=E411</f>
        <v/>
      </c>
      <c r="P411" s="218">
        <f>MONTH(F411)-MONTH(T411)</f>
        <v/>
      </c>
      <c r="Q411" s="218">
        <f>$B$5=X411</f>
        <v/>
      </c>
      <c r="R411" s="218">
        <f>I411-AD411</f>
        <v/>
      </c>
      <c r="S411" s="298" t="n"/>
      <c r="T411" s="299" t="n">
        <v>45806</v>
      </c>
      <c r="U411" s="298" t="inlineStr">
        <is>
          <t>APLL25003481</t>
        </is>
      </c>
      <c r="V411" s="298" t="n"/>
      <c r="W411" s="298" t="n"/>
      <c r="X411" s="298" t="n"/>
      <c r="Y411" s="298" t="inlineStr">
        <is>
          <t>ហូលីដេ ឌីហ្សាញ (ខេមបូឌា) ឯ.ក</t>
        </is>
      </c>
      <c r="Z411" s="300" t="n"/>
      <c r="AA411" s="300" t="n"/>
      <c r="AB411" s="298" t="n"/>
      <c r="AC411" s="298" t="n"/>
      <c r="AD411" s="300" t="n">
        <v>240240</v>
      </c>
      <c r="AE411" s="298" t="n"/>
      <c r="AF411" s="562" t="n"/>
    </row>
    <row r="412">
      <c r="A412" s="212">
        <f>A411+1</f>
        <v/>
      </c>
      <c r="B412" s="214" t="inlineStr">
        <is>
          <t>THC Fee-Ex</t>
        </is>
      </c>
      <c r="C412" s="214" t="inlineStr">
        <is>
          <t>APL LOGISTICS (CAMBODIA) PTE LTD.</t>
        </is>
      </c>
      <c r="D412" s="215" t="inlineStr">
        <is>
          <t>L001-100046460</t>
        </is>
      </c>
      <c r="E412" s="290" t="inlineStr">
        <is>
          <t>APLL25003186</t>
        </is>
      </c>
      <c r="F412" s="279" t="n">
        <v>45798</v>
      </c>
      <c r="G412" s="216" t="n"/>
      <c r="H412" s="564" t="n"/>
      <c r="I412" s="564" t="n">
        <v>454341</v>
      </c>
      <c r="J412" s="213" t="inlineStr">
        <is>
          <t>អនុញ្ញាត (បានប្រកាស)</t>
        </is>
      </c>
      <c r="K412" s="213" t="n"/>
      <c r="L412" s="563">
        <f>I412</f>
        <v/>
      </c>
      <c r="M412" s="536">
        <f>I412-L412</f>
        <v/>
      </c>
      <c r="N412" s="213" t="n"/>
      <c r="O412" s="218">
        <f>U412=E412</f>
        <v/>
      </c>
      <c r="P412" s="218">
        <f>MONTH(F412)-MONTH(T412)</f>
        <v/>
      </c>
      <c r="Q412" s="218">
        <f>$B$5=X412</f>
        <v/>
      </c>
      <c r="R412" s="218">
        <f>I412-AD412</f>
        <v/>
      </c>
      <c r="S412" s="298" t="n"/>
      <c r="T412" s="299" t="n">
        <v>45798</v>
      </c>
      <c r="U412" s="298" t="inlineStr">
        <is>
          <t>APLL25003186</t>
        </is>
      </c>
      <c r="V412" s="298" t="n"/>
      <c r="W412" s="298" t="n"/>
      <c r="X412" s="298" t="n"/>
      <c r="Y412" s="298" t="inlineStr">
        <is>
          <t>ហូលីដេ ឌីហ្សាញ (ខេមបូឌា) ឯ.ក</t>
        </is>
      </c>
      <c r="Z412" s="300" t="n"/>
      <c r="AA412" s="300" t="n"/>
      <c r="AB412" s="298" t="n"/>
      <c r="AC412" s="298" t="n"/>
      <c r="AD412" s="300" t="n">
        <v>454341</v>
      </c>
      <c r="AE412" s="298" t="n"/>
      <c r="AF412" s="562" t="n"/>
    </row>
    <row r="413">
      <c r="A413" s="212">
        <f>A412+1</f>
        <v/>
      </c>
      <c r="B413" s="214" t="inlineStr">
        <is>
          <t>THC Fee-Ex</t>
        </is>
      </c>
      <c r="C413" s="214" t="inlineStr">
        <is>
          <t>APL LOGISTICS (CAMBODIA) PTE LTD.</t>
        </is>
      </c>
      <c r="D413" s="215" t="inlineStr">
        <is>
          <t>L001-100046460</t>
        </is>
      </c>
      <c r="E413" s="290" t="inlineStr">
        <is>
          <t>APLL25003094</t>
        </is>
      </c>
      <c r="F413" s="279" t="n">
        <v>45796</v>
      </c>
      <c r="G413" s="216" t="n"/>
      <c r="H413" s="564" t="n"/>
      <c r="I413" s="564" t="n">
        <v>132066</v>
      </c>
      <c r="J413" s="213" t="inlineStr">
        <is>
          <t>អនុញ្ញាត (បានប្រកាស)</t>
        </is>
      </c>
      <c r="K413" s="213" t="n"/>
      <c r="L413" s="563">
        <f>I413</f>
        <v/>
      </c>
      <c r="M413" s="536">
        <f>I413-L413</f>
        <v/>
      </c>
      <c r="N413" s="213" t="n"/>
      <c r="O413" s="218">
        <f>U413=E413</f>
        <v/>
      </c>
      <c r="P413" s="218">
        <f>MONTH(F413)-MONTH(T413)</f>
        <v/>
      </c>
      <c r="Q413" s="218">
        <f>$B$5=X413</f>
        <v/>
      </c>
      <c r="R413" s="218">
        <f>I413-AD413</f>
        <v/>
      </c>
      <c r="S413" s="298" t="n"/>
      <c r="T413" s="299" t="n">
        <v>45796</v>
      </c>
      <c r="U413" s="298" t="inlineStr">
        <is>
          <t>APLL25003094</t>
        </is>
      </c>
      <c r="V413" s="298" t="n"/>
      <c r="W413" s="298" t="n"/>
      <c r="X413" s="298" t="n"/>
      <c r="Y413" s="298" t="inlineStr">
        <is>
          <t>ហូលីដេ ឌីហ្សាញ (ខេមបូឌា) ឯ.ក</t>
        </is>
      </c>
      <c r="Z413" s="300" t="n"/>
      <c r="AA413" s="300" t="n"/>
      <c r="AB413" s="298" t="n"/>
      <c r="AC413" s="298" t="n"/>
      <c r="AD413" s="300" t="n">
        <v>132066</v>
      </c>
      <c r="AE413" s="298" t="n"/>
      <c r="AF413" s="562" t="n"/>
    </row>
    <row r="414">
      <c r="A414" s="212">
        <f>A413+1</f>
        <v/>
      </c>
      <c r="B414" s="214" t="inlineStr">
        <is>
          <t>THC Fee-Ex</t>
        </is>
      </c>
      <c r="C414" s="214" t="inlineStr">
        <is>
          <t>APL LOGISTICS (CAMBODIA) PTE LTD.</t>
        </is>
      </c>
      <c r="D414" s="215" t="inlineStr">
        <is>
          <t>L001-100046460</t>
        </is>
      </c>
      <c r="E414" s="290" t="inlineStr">
        <is>
          <t>APLL25003133</t>
        </is>
      </c>
      <c r="F414" s="279" t="n">
        <v>45797</v>
      </c>
      <c r="G414" s="216" t="n"/>
      <c r="H414" s="564" t="n"/>
      <c r="I414" s="564" t="n">
        <v>122092</v>
      </c>
      <c r="J414" s="213" t="inlineStr">
        <is>
          <t>អនុញ្ញាត (បានប្រកាស)</t>
        </is>
      </c>
      <c r="K414" s="213" t="n"/>
      <c r="L414" s="563">
        <f>I414</f>
        <v/>
      </c>
      <c r="M414" s="536">
        <f>I414-L414</f>
        <v/>
      </c>
      <c r="N414" s="213" t="n"/>
      <c r="O414" s="218">
        <f>U414=E414</f>
        <v/>
      </c>
      <c r="P414" s="218">
        <f>MONTH(F414)-MONTH(T414)</f>
        <v/>
      </c>
      <c r="Q414" s="218">
        <f>$B$5=X414</f>
        <v/>
      </c>
      <c r="R414" s="218">
        <f>I414-AD414</f>
        <v/>
      </c>
      <c r="S414" s="298" t="n"/>
      <c r="T414" s="299" t="n">
        <v>45797</v>
      </c>
      <c r="U414" s="298" t="inlineStr">
        <is>
          <t>APLL25003133</t>
        </is>
      </c>
      <c r="V414" s="298" t="n"/>
      <c r="W414" s="298" t="n"/>
      <c r="X414" s="298" t="n"/>
      <c r="Y414" s="298" t="inlineStr">
        <is>
          <t>ហូលីដេ ឌីហ្សាញ (ខេមបូឌា) ឯ.ក</t>
        </is>
      </c>
      <c r="Z414" s="300" t="n"/>
      <c r="AA414" s="300" t="n"/>
      <c r="AB414" s="298" t="n"/>
      <c r="AC414" s="298" t="n"/>
      <c r="AD414" s="300" t="n">
        <v>122092</v>
      </c>
      <c r="AE414" s="298" t="n"/>
      <c r="AF414" s="562" t="n"/>
    </row>
    <row r="415">
      <c r="A415" s="212">
        <f>A414+1</f>
        <v/>
      </c>
      <c r="B415" s="214" t="inlineStr">
        <is>
          <t>THC Fee-Ex</t>
        </is>
      </c>
      <c r="C415" s="214" t="inlineStr">
        <is>
          <t>APL LOGISTICS (CAMBODIA) PTE LTD.</t>
        </is>
      </c>
      <c r="D415" s="215" t="inlineStr">
        <is>
          <t>L001-100046460</t>
        </is>
      </c>
      <c r="E415" s="290" t="inlineStr">
        <is>
          <t>APLL25003124</t>
        </is>
      </c>
      <c r="F415" s="279" t="n">
        <v>45797</v>
      </c>
      <c r="G415" s="216" t="n"/>
      <c r="H415" s="564" t="n"/>
      <c r="I415" s="564" t="n">
        <v>132099</v>
      </c>
      <c r="J415" s="213" t="inlineStr">
        <is>
          <t>អនុញ្ញាត (បានប្រកាស)</t>
        </is>
      </c>
      <c r="K415" s="213" t="n"/>
      <c r="L415" s="563">
        <f>I415</f>
        <v/>
      </c>
      <c r="M415" s="536">
        <f>I415-L415</f>
        <v/>
      </c>
      <c r="N415" s="213" t="n"/>
      <c r="O415" s="218">
        <f>U415=E415</f>
        <v/>
      </c>
      <c r="P415" s="218">
        <f>MONTH(F415)-MONTH(T415)</f>
        <v/>
      </c>
      <c r="Q415" s="218">
        <f>$B$5=X415</f>
        <v/>
      </c>
      <c r="R415" s="218">
        <f>I415-AD415</f>
        <v/>
      </c>
      <c r="S415" s="298" t="n"/>
      <c r="T415" s="299" t="n">
        <v>45797</v>
      </c>
      <c r="U415" s="298" t="inlineStr">
        <is>
          <t>APLL25003124</t>
        </is>
      </c>
      <c r="V415" s="298" t="n"/>
      <c r="W415" s="298" t="n"/>
      <c r="X415" s="298" t="n"/>
      <c r="Y415" s="298" t="inlineStr">
        <is>
          <t>ហូលីដេ ឌីហ្សាញ (ខេមបូឌា) ឯ.ក</t>
        </is>
      </c>
      <c r="Z415" s="300" t="n"/>
      <c r="AA415" s="300" t="n"/>
      <c r="AB415" s="298" t="n"/>
      <c r="AC415" s="298" t="n"/>
      <c r="AD415" s="300" t="n">
        <v>132099</v>
      </c>
      <c r="AE415" s="298" t="n"/>
      <c r="AF415" s="562" t="n"/>
    </row>
    <row r="416">
      <c r="A416" s="212">
        <f>A415+1</f>
        <v/>
      </c>
      <c r="B416" s="214" t="inlineStr">
        <is>
          <t>THC Fee-Ex</t>
        </is>
      </c>
      <c r="C416" s="214" t="inlineStr">
        <is>
          <t>APL LOGISTICS (CAMBODIA) PTE LTD.</t>
        </is>
      </c>
      <c r="D416" s="215" t="inlineStr">
        <is>
          <t>L001-100046460</t>
        </is>
      </c>
      <c r="E416" s="290" t="inlineStr">
        <is>
          <t>APLL25003095</t>
        </is>
      </c>
      <c r="F416" s="279" t="n">
        <v>45796</v>
      </c>
      <c r="G416" s="216" t="n"/>
      <c r="H416" s="564" t="n"/>
      <c r="I416" s="564" t="n">
        <v>132066</v>
      </c>
      <c r="J416" s="213" t="inlineStr">
        <is>
          <t>អនុញ្ញាត (បានប្រកាស)</t>
        </is>
      </c>
      <c r="K416" s="213" t="n"/>
      <c r="L416" s="563">
        <f>I416</f>
        <v/>
      </c>
      <c r="M416" s="536">
        <f>I416-L416</f>
        <v/>
      </c>
      <c r="N416" s="213" t="n"/>
      <c r="O416" s="218">
        <f>U416=E416</f>
        <v/>
      </c>
      <c r="P416" s="218">
        <f>MONTH(F416)-MONTH(T416)</f>
        <v/>
      </c>
      <c r="Q416" s="218">
        <f>$B$5=X416</f>
        <v/>
      </c>
      <c r="R416" s="218">
        <f>I416-AD416</f>
        <v/>
      </c>
      <c r="S416" s="298" t="n"/>
      <c r="T416" s="299" t="n">
        <v>45796</v>
      </c>
      <c r="U416" s="298" t="inlineStr">
        <is>
          <t>APLL25003095</t>
        </is>
      </c>
      <c r="V416" s="298" t="n"/>
      <c r="W416" s="298" t="n"/>
      <c r="X416" s="298" t="n"/>
      <c r="Y416" s="298" t="inlineStr">
        <is>
          <t>ហូលីដេ ឌីហ្សាញ (ខេមបូឌា) ឯ.ក</t>
        </is>
      </c>
      <c r="Z416" s="300" t="n"/>
      <c r="AA416" s="300" t="n"/>
      <c r="AB416" s="298" t="n"/>
      <c r="AC416" s="298" t="n"/>
      <c r="AD416" s="300" t="n">
        <v>132066</v>
      </c>
      <c r="AE416" s="298" t="n"/>
      <c r="AF416" s="562" t="n"/>
    </row>
    <row r="417">
      <c r="A417" s="212">
        <f>A416+1</f>
        <v/>
      </c>
      <c r="B417" s="214" t="inlineStr">
        <is>
          <t>THC Fee-Ex</t>
        </is>
      </c>
      <c r="C417" s="214" t="inlineStr">
        <is>
          <t>APL LOGISTICS (CAMBODIA) PTE LTD.</t>
        </is>
      </c>
      <c r="D417" s="215" t="inlineStr">
        <is>
          <t>L001-100046460</t>
        </is>
      </c>
      <c r="E417" s="290" t="inlineStr">
        <is>
          <t>APLL25003125</t>
        </is>
      </c>
      <c r="F417" s="279" t="n">
        <v>45797</v>
      </c>
      <c r="G417" s="216" t="n"/>
      <c r="H417" s="564" t="n"/>
      <c r="I417" s="564" t="n">
        <v>132099</v>
      </c>
      <c r="J417" s="213" t="inlineStr">
        <is>
          <t>អនុញ្ញាត (បានប្រកាស)</t>
        </is>
      </c>
      <c r="K417" s="213" t="n"/>
      <c r="L417" s="563">
        <f>I417</f>
        <v/>
      </c>
      <c r="M417" s="536">
        <f>I417-L417</f>
        <v/>
      </c>
      <c r="N417" s="213" t="n"/>
      <c r="O417" s="218">
        <f>U417=E417</f>
        <v/>
      </c>
      <c r="P417" s="218">
        <f>MONTH(F417)-MONTH(T417)</f>
        <v/>
      </c>
      <c r="Q417" s="218">
        <f>$B$5=X417</f>
        <v/>
      </c>
      <c r="R417" s="218">
        <f>I417-AD417</f>
        <v/>
      </c>
      <c r="S417" s="298" t="n"/>
      <c r="T417" s="299" t="n">
        <v>45797</v>
      </c>
      <c r="U417" s="298" t="inlineStr">
        <is>
          <t>APLL25003125</t>
        </is>
      </c>
      <c r="V417" s="298" t="n"/>
      <c r="W417" s="298" t="n"/>
      <c r="X417" s="298" t="n"/>
      <c r="Y417" s="298" t="inlineStr">
        <is>
          <t>ហូលីដេ ឌីហ្សាញ (ខេមបូឌា) ឯ.ក</t>
        </is>
      </c>
      <c r="Z417" s="300" t="n"/>
      <c r="AA417" s="300" t="n"/>
      <c r="AB417" s="298" t="n"/>
      <c r="AC417" s="298" t="n"/>
      <c r="AD417" s="300" t="n">
        <v>132099</v>
      </c>
      <c r="AE417" s="298" t="n"/>
      <c r="AF417" s="562" t="n"/>
    </row>
    <row r="418">
      <c r="A418" s="212">
        <f>A417+1</f>
        <v/>
      </c>
      <c r="B418" s="214" t="inlineStr">
        <is>
          <t>THC Fee-Ex</t>
        </is>
      </c>
      <c r="C418" s="214" t="inlineStr">
        <is>
          <t>APL LOGISTICS (CAMBODIA) PTE LTD.</t>
        </is>
      </c>
      <c r="D418" s="215" t="inlineStr">
        <is>
          <t>L001-100046460</t>
        </is>
      </c>
      <c r="E418" s="290" t="inlineStr">
        <is>
          <t>APLL25003130</t>
        </is>
      </c>
      <c r="F418" s="279" t="n">
        <v>45797</v>
      </c>
      <c r="G418" s="216" t="n"/>
      <c r="H418" s="564" t="n"/>
      <c r="I418" s="564" t="n">
        <v>132099</v>
      </c>
      <c r="J418" s="213" t="inlineStr">
        <is>
          <t>អនុញ្ញាត (បានប្រកាស)</t>
        </is>
      </c>
      <c r="K418" s="213" t="n"/>
      <c r="L418" s="563">
        <f>I418</f>
        <v/>
      </c>
      <c r="M418" s="536">
        <f>I418-L418</f>
        <v/>
      </c>
      <c r="N418" s="213" t="n"/>
      <c r="O418" s="218">
        <f>U418=E418</f>
        <v/>
      </c>
      <c r="P418" s="218">
        <f>MONTH(F418)-MONTH(T418)</f>
        <v/>
      </c>
      <c r="Q418" s="218">
        <f>$B$5=X418</f>
        <v/>
      </c>
      <c r="R418" s="218">
        <f>I418-AD418</f>
        <v/>
      </c>
      <c r="S418" s="298" t="n"/>
      <c r="T418" s="299" t="n">
        <v>45797</v>
      </c>
      <c r="U418" s="298" t="inlineStr">
        <is>
          <t>APLL25003130</t>
        </is>
      </c>
      <c r="V418" s="298" t="n"/>
      <c r="W418" s="298" t="n"/>
      <c r="X418" s="298" t="n"/>
      <c r="Y418" s="298" t="inlineStr">
        <is>
          <t>ហូលីដេ ឌីហ្សាញ (ខេមបូឌា) ឯ.ក</t>
        </is>
      </c>
      <c r="Z418" s="300" t="n"/>
      <c r="AA418" s="300" t="n"/>
      <c r="AB418" s="298" t="n"/>
      <c r="AC418" s="298" t="n"/>
      <c r="AD418" s="300" t="n">
        <v>132099</v>
      </c>
      <c r="AE418" s="298" t="n"/>
      <c r="AF418" s="562" t="n"/>
    </row>
    <row r="419">
      <c r="A419" s="212">
        <f>A418+1</f>
        <v/>
      </c>
      <c r="B419" s="214" t="inlineStr">
        <is>
          <t>THC Fee-Ex</t>
        </is>
      </c>
      <c r="C419" s="214" t="inlineStr">
        <is>
          <t>APL LOGISTICS (CAMBODIA) PTE LTD.</t>
        </is>
      </c>
      <c r="D419" s="215" t="inlineStr">
        <is>
          <t>L001-100046460</t>
        </is>
      </c>
      <c r="E419" s="290" t="inlineStr">
        <is>
          <t>APLL25003136</t>
        </is>
      </c>
      <c r="F419" s="279" t="n">
        <v>45797</v>
      </c>
      <c r="G419" s="216" t="n"/>
      <c r="H419" s="564" t="n"/>
      <c r="I419" s="564" t="n">
        <v>122092</v>
      </c>
      <c r="J419" s="213" t="inlineStr">
        <is>
          <t>អនុញ្ញាត (បានប្រកាស)</t>
        </is>
      </c>
      <c r="K419" s="213" t="n"/>
      <c r="L419" s="563">
        <f>I419</f>
        <v/>
      </c>
      <c r="M419" s="536">
        <f>I419-L419</f>
        <v/>
      </c>
      <c r="N419" s="213" t="n"/>
      <c r="O419" s="218">
        <f>U419=E419</f>
        <v/>
      </c>
      <c r="P419" s="218">
        <f>MONTH(F419)-MONTH(T419)</f>
        <v/>
      </c>
      <c r="Q419" s="218">
        <f>$B$5=X419</f>
        <v/>
      </c>
      <c r="R419" s="218">
        <f>I419-AD419</f>
        <v/>
      </c>
      <c r="S419" s="298" t="n"/>
      <c r="T419" s="299" t="n">
        <v>45797</v>
      </c>
      <c r="U419" s="298" t="inlineStr">
        <is>
          <t>APLL25003136</t>
        </is>
      </c>
      <c r="V419" s="298" t="n"/>
      <c r="W419" s="298" t="n"/>
      <c r="X419" s="298" t="n"/>
      <c r="Y419" s="298" t="inlineStr">
        <is>
          <t>ហូលីដេ ឌីហ្សាញ (ខេមបូឌា) ឯ.ក</t>
        </is>
      </c>
      <c r="Z419" s="300" t="n"/>
      <c r="AA419" s="300" t="n"/>
      <c r="AB419" s="298" t="n"/>
      <c r="AC419" s="298" t="n"/>
      <c r="AD419" s="300" t="n">
        <v>122092</v>
      </c>
      <c r="AE419" s="298" t="n"/>
      <c r="AF419" s="562" t="n"/>
    </row>
    <row r="420">
      <c r="A420" s="212">
        <f>A419+1</f>
        <v/>
      </c>
      <c r="B420" s="214" t="inlineStr">
        <is>
          <t>THC Fee-Ex</t>
        </is>
      </c>
      <c r="C420" s="214" t="inlineStr">
        <is>
          <t>APL LOGISTICS (CAMBODIA) PTE LTD.</t>
        </is>
      </c>
      <c r="D420" s="215" t="inlineStr">
        <is>
          <t>L001-100046460</t>
        </is>
      </c>
      <c r="E420" s="290" t="inlineStr">
        <is>
          <t>APLL25003097</t>
        </is>
      </c>
      <c r="F420" s="279" t="n">
        <v>45796</v>
      </c>
      <c r="G420" s="216" t="n"/>
      <c r="H420" s="564" t="n"/>
      <c r="I420" s="564" t="n">
        <v>132066</v>
      </c>
      <c r="J420" s="213" t="inlineStr">
        <is>
          <t>អនុញ្ញាត (បានប្រកាស)</t>
        </is>
      </c>
      <c r="K420" s="213" t="n"/>
      <c r="L420" s="563">
        <f>I420</f>
        <v/>
      </c>
      <c r="M420" s="536">
        <f>I420-L420</f>
        <v/>
      </c>
      <c r="N420" s="213" t="n"/>
      <c r="O420" s="218">
        <f>U420=E420</f>
        <v/>
      </c>
      <c r="P420" s="218">
        <f>MONTH(F420)-MONTH(T420)</f>
        <v/>
      </c>
      <c r="Q420" s="218">
        <f>$B$5=X420</f>
        <v/>
      </c>
      <c r="R420" s="218">
        <f>I420-AD420</f>
        <v/>
      </c>
      <c r="S420" s="298" t="n"/>
      <c r="T420" s="299" t="n">
        <v>45796</v>
      </c>
      <c r="U420" s="298" t="inlineStr">
        <is>
          <t>APLL25003097</t>
        </is>
      </c>
      <c r="V420" s="298" t="n"/>
      <c r="W420" s="298" t="n"/>
      <c r="X420" s="298" t="n"/>
      <c r="Y420" s="298" t="inlineStr">
        <is>
          <t>ហូលីដេ ឌីហ្សាញ (ខេមបូឌា) ឯ.ក</t>
        </is>
      </c>
      <c r="Z420" s="300" t="n"/>
      <c r="AA420" s="300" t="n"/>
      <c r="AB420" s="298" t="n"/>
      <c r="AC420" s="298" t="n"/>
      <c r="AD420" s="300" t="n">
        <v>132066</v>
      </c>
      <c r="AE420" s="298" t="n"/>
      <c r="AF420" s="562" t="n"/>
    </row>
    <row r="421">
      <c r="A421" s="212">
        <f>A420+1</f>
        <v/>
      </c>
      <c r="B421" s="214" t="inlineStr">
        <is>
          <t>THC Fee-Ex</t>
        </is>
      </c>
      <c r="C421" s="214" t="inlineStr">
        <is>
          <t>APL LOGISTICS (CAMBODIA) PTE LTD.</t>
        </is>
      </c>
      <c r="D421" s="215" t="inlineStr">
        <is>
          <t>L001-100046460</t>
        </is>
      </c>
      <c r="E421" s="290" t="inlineStr">
        <is>
          <t>APLL25003135</t>
        </is>
      </c>
      <c r="F421" s="279" t="n">
        <v>45797</v>
      </c>
      <c r="G421" s="216" t="n"/>
      <c r="H421" s="564" t="n"/>
      <c r="I421" s="564" t="n">
        <v>222167</v>
      </c>
      <c r="J421" s="213" t="inlineStr">
        <is>
          <t>អនុញ្ញាត (បានប្រកាស)</t>
        </is>
      </c>
      <c r="K421" s="213" t="n"/>
      <c r="L421" s="563">
        <f>I421</f>
        <v/>
      </c>
      <c r="M421" s="536">
        <f>I421-L421</f>
        <v/>
      </c>
      <c r="N421" s="213" t="n"/>
      <c r="O421" s="218">
        <f>U421=E421</f>
        <v/>
      </c>
      <c r="P421" s="218">
        <f>MONTH(F421)-MONTH(T421)</f>
        <v/>
      </c>
      <c r="Q421" s="218">
        <f>$B$5=X421</f>
        <v/>
      </c>
      <c r="R421" s="218">
        <f>I421-AD421</f>
        <v/>
      </c>
      <c r="S421" s="298" t="n"/>
      <c r="T421" s="299" t="n">
        <v>45797</v>
      </c>
      <c r="U421" s="298" t="inlineStr">
        <is>
          <t>APLL25003135</t>
        </is>
      </c>
      <c r="V421" s="298" t="n"/>
      <c r="W421" s="298" t="n"/>
      <c r="X421" s="298" t="n"/>
      <c r="Y421" s="298" t="inlineStr">
        <is>
          <t>ហូលីដេ ឌីហ្សាញ (ខេមបូឌា) ឯ.ក</t>
        </is>
      </c>
      <c r="Z421" s="300" t="n"/>
      <c r="AA421" s="300" t="n"/>
      <c r="AB421" s="298" t="n"/>
      <c r="AC421" s="298" t="n"/>
      <c r="AD421" s="300" t="n">
        <v>222167</v>
      </c>
      <c r="AE421" s="298" t="n"/>
      <c r="AF421" s="562" t="n"/>
    </row>
    <row r="422">
      <c r="A422" s="212">
        <f>A421+1</f>
        <v/>
      </c>
      <c r="B422" s="214" t="inlineStr">
        <is>
          <t>THC Fee-Ex</t>
        </is>
      </c>
      <c r="C422" s="214" t="inlineStr">
        <is>
          <t>APL LOGISTICS (CAMBODIA) PTE LTD.</t>
        </is>
      </c>
      <c r="D422" s="215" t="inlineStr">
        <is>
          <t>L001-100046460</t>
        </is>
      </c>
      <c r="E422" s="290" t="inlineStr">
        <is>
          <t>APLL25003096</t>
        </is>
      </c>
      <c r="F422" s="279" t="n">
        <v>45796</v>
      </c>
      <c r="G422" s="216" t="n"/>
      <c r="H422" s="564" t="n"/>
      <c r="I422" s="564" t="n">
        <v>132066</v>
      </c>
      <c r="J422" s="213" t="inlineStr">
        <is>
          <t>អនុញ្ញាត (បានប្រកាស)</t>
        </is>
      </c>
      <c r="K422" s="213" t="n"/>
      <c r="L422" s="563">
        <f>I422</f>
        <v/>
      </c>
      <c r="M422" s="536">
        <f>I422-L422</f>
        <v/>
      </c>
      <c r="N422" s="213" t="n"/>
      <c r="O422" s="218">
        <f>U422=E422</f>
        <v/>
      </c>
      <c r="P422" s="218">
        <f>MONTH(F422)-MONTH(T422)</f>
        <v/>
      </c>
      <c r="Q422" s="218">
        <f>$B$5=X422</f>
        <v/>
      </c>
      <c r="R422" s="218">
        <f>I422-AD422</f>
        <v/>
      </c>
      <c r="S422" s="298" t="n"/>
      <c r="T422" s="299" t="n">
        <v>45796</v>
      </c>
      <c r="U422" s="298" t="inlineStr">
        <is>
          <t>APLL25003096</t>
        </is>
      </c>
      <c r="V422" s="298" t="n"/>
      <c r="W422" s="298" t="n"/>
      <c r="X422" s="298" t="n"/>
      <c r="Y422" s="298" t="inlineStr">
        <is>
          <t>ហូលីដេ ឌីហ្សាញ (ខេមបូឌា) ឯ.ក</t>
        </is>
      </c>
      <c r="Z422" s="300" t="n"/>
      <c r="AA422" s="300" t="n"/>
      <c r="AB422" s="298" t="n"/>
      <c r="AC422" s="298" t="n"/>
      <c r="AD422" s="300" t="n">
        <v>132066</v>
      </c>
      <c r="AE422" s="298" t="n"/>
      <c r="AF422" s="562" t="n"/>
    </row>
    <row r="423">
      <c r="A423" s="212">
        <f>A422+1</f>
        <v/>
      </c>
      <c r="B423" s="214" t="inlineStr">
        <is>
          <t>THC Fee-Ex</t>
        </is>
      </c>
      <c r="C423" s="214" t="inlineStr">
        <is>
          <t>APL LOGISTICS (CAMBODIA) PTE LTD.</t>
        </is>
      </c>
      <c r="D423" s="215" t="inlineStr">
        <is>
          <t>L001-100046460</t>
        </is>
      </c>
      <c r="E423" s="290" t="inlineStr">
        <is>
          <t>APLL25003129</t>
        </is>
      </c>
      <c r="F423" s="279" t="n">
        <v>45797</v>
      </c>
      <c r="G423" s="216" t="n"/>
      <c r="H423" s="564" t="n"/>
      <c r="I423" s="564" t="n">
        <v>132099</v>
      </c>
      <c r="J423" s="213" t="inlineStr">
        <is>
          <t>អនុញ្ញាត (បានប្រកាស)</t>
        </is>
      </c>
      <c r="K423" s="213" t="n"/>
      <c r="L423" s="563">
        <f>I423</f>
        <v/>
      </c>
      <c r="M423" s="536">
        <f>I423-L423</f>
        <v/>
      </c>
      <c r="N423" s="213" t="n"/>
      <c r="O423" s="218">
        <f>U423=E423</f>
        <v/>
      </c>
      <c r="P423" s="218">
        <f>MONTH(F423)-MONTH(T423)</f>
        <v/>
      </c>
      <c r="Q423" s="218">
        <f>$B$5=X423</f>
        <v/>
      </c>
      <c r="R423" s="218">
        <f>I423-AD423</f>
        <v/>
      </c>
      <c r="S423" s="298" t="n"/>
      <c r="T423" s="299" t="n">
        <v>45797</v>
      </c>
      <c r="U423" s="298" t="inlineStr">
        <is>
          <t>APLL25003129</t>
        </is>
      </c>
      <c r="V423" s="298" t="n"/>
      <c r="W423" s="298" t="n"/>
      <c r="X423" s="298" t="n"/>
      <c r="Y423" s="298" t="inlineStr">
        <is>
          <t>ហូលីដេ ឌីហ្សាញ (ខេមបូឌា) ឯ.ក</t>
        </is>
      </c>
      <c r="Z423" s="300" t="n"/>
      <c r="AA423" s="300" t="n"/>
      <c r="AB423" s="298" t="n"/>
      <c r="AC423" s="298" t="n"/>
      <c r="AD423" s="300" t="n">
        <v>132099</v>
      </c>
      <c r="AE423" s="298" t="n"/>
      <c r="AF423" s="562" t="n"/>
    </row>
    <row r="424">
      <c r="A424" s="212">
        <f>A423+1</f>
        <v/>
      </c>
      <c r="B424" s="214" t="inlineStr">
        <is>
          <t>THC Fee-Ex</t>
        </is>
      </c>
      <c r="C424" s="214" t="inlineStr">
        <is>
          <t>APL LOGISTICS (CAMBODIA) PTE LTD.</t>
        </is>
      </c>
      <c r="D424" s="215" t="inlineStr">
        <is>
          <t>L001-100046460</t>
        </is>
      </c>
      <c r="E424" s="290" t="inlineStr">
        <is>
          <t>APLL25003090</t>
        </is>
      </c>
      <c r="F424" s="279" t="n">
        <v>45796</v>
      </c>
      <c r="G424" s="216" t="n"/>
      <c r="H424" s="564" t="n"/>
      <c r="I424" s="564" t="n">
        <v>456228</v>
      </c>
      <c r="J424" s="213" t="inlineStr">
        <is>
          <t>អនុញ្ញាត (បានប្រកាស)</t>
        </is>
      </c>
      <c r="K424" s="213" t="n"/>
      <c r="L424" s="563">
        <f>I424</f>
        <v/>
      </c>
      <c r="M424" s="536">
        <f>I424-L424</f>
        <v/>
      </c>
      <c r="N424" s="213" t="n"/>
      <c r="O424" s="218">
        <f>U424=E424</f>
        <v/>
      </c>
      <c r="P424" s="218">
        <f>MONTH(F424)-MONTH(T424)</f>
        <v/>
      </c>
      <c r="Q424" s="218">
        <f>$B$5=X424</f>
        <v/>
      </c>
      <c r="R424" s="218">
        <f>I424-AD424</f>
        <v/>
      </c>
      <c r="S424" s="298" t="n"/>
      <c r="T424" s="299" t="n">
        <v>45796</v>
      </c>
      <c r="U424" s="298" t="inlineStr">
        <is>
          <t>APLL25003090</t>
        </is>
      </c>
      <c r="V424" s="298" t="n"/>
      <c r="W424" s="298" t="n"/>
      <c r="X424" s="298" t="n"/>
      <c r="Y424" s="298" t="inlineStr">
        <is>
          <t>ហូលីដេ ឌីហ្សាញ (ខេមបូឌា) ឯ.ក</t>
        </is>
      </c>
      <c r="Z424" s="300" t="n"/>
      <c r="AA424" s="300" t="n"/>
      <c r="AB424" s="298" t="n"/>
      <c r="AC424" s="298" t="n"/>
      <c r="AD424" s="300" t="n">
        <v>456228</v>
      </c>
      <c r="AE424" s="298" t="n"/>
      <c r="AF424" s="562" t="n"/>
    </row>
    <row r="425">
      <c r="A425" s="212">
        <f>A424+1</f>
        <v/>
      </c>
      <c r="B425" s="214" t="inlineStr">
        <is>
          <t>THC Fee-Ex</t>
        </is>
      </c>
      <c r="C425" s="214" t="inlineStr">
        <is>
          <t>APL LOGISTICS (CAMBODIA) PTE LTD.</t>
        </is>
      </c>
      <c r="D425" s="215" t="inlineStr">
        <is>
          <t>L001-100046460</t>
        </is>
      </c>
      <c r="E425" s="290" t="inlineStr">
        <is>
          <t>APLL25003093</t>
        </is>
      </c>
      <c r="F425" s="279" t="n">
        <v>45796</v>
      </c>
      <c r="G425" s="216" t="n"/>
      <c r="H425" s="564" t="n"/>
      <c r="I425" s="564" t="n">
        <v>164082</v>
      </c>
      <c r="J425" s="213" t="inlineStr">
        <is>
          <t>អនុញ្ញាត (បានប្រកាស)</t>
        </is>
      </c>
      <c r="K425" s="213" t="n"/>
      <c r="L425" s="563">
        <f>I425</f>
        <v/>
      </c>
      <c r="M425" s="536">
        <f>I425-L425</f>
        <v/>
      </c>
      <c r="N425" s="213" t="n"/>
      <c r="O425" s="218">
        <f>U425=E425</f>
        <v/>
      </c>
      <c r="P425" s="218">
        <f>MONTH(F425)-MONTH(T425)</f>
        <v/>
      </c>
      <c r="Q425" s="218">
        <f>$B$5=X425</f>
        <v/>
      </c>
      <c r="R425" s="218">
        <f>I425-AD425</f>
        <v/>
      </c>
      <c r="S425" s="298" t="n"/>
      <c r="T425" s="299" t="n">
        <v>45796</v>
      </c>
      <c r="U425" s="298" t="inlineStr">
        <is>
          <t>APLL25003093</t>
        </is>
      </c>
      <c r="V425" s="298" t="n"/>
      <c r="W425" s="298" t="n"/>
      <c r="X425" s="298" t="n"/>
      <c r="Y425" s="298" t="inlineStr">
        <is>
          <t>ហូលីដេ ឌីហ្សាញ (ខេមបូឌា) ឯ.ក</t>
        </is>
      </c>
      <c r="Z425" s="300" t="n"/>
      <c r="AA425" s="300" t="n"/>
      <c r="AB425" s="298" t="n"/>
      <c r="AC425" s="298" t="n"/>
      <c r="AD425" s="300" t="n">
        <v>164082</v>
      </c>
      <c r="AE425" s="298" t="n"/>
      <c r="AF425" s="562" t="n"/>
    </row>
    <row r="426">
      <c r="A426" s="212">
        <f>A425+1</f>
        <v/>
      </c>
      <c r="B426" s="214" t="inlineStr">
        <is>
          <t>THC Fee-Ex</t>
        </is>
      </c>
      <c r="C426" s="214" t="inlineStr">
        <is>
          <t>APL LOGISTICS (CAMBODIA) PTE LTD.</t>
        </is>
      </c>
      <c r="D426" s="215" t="inlineStr">
        <is>
          <t>L001-100046460</t>
        </is>
      </c>
      <c r="E426" s="290" t="inlineStr">
        <is>
          <t>APLL25003128</t>
        </is>
      </c>
      <c r="F426" s="279" t="n">
        <v>45797</v>
      </c>
      <c r="G426" s="216" t="n"/>
      <c r="H426" s="564" t="n"/>
      <c r="I426" s="564" t="n">
        <v>132099</v>
      </c>
      <c r="J426" s="213" t="inlineStr">
        <is>
          <t>អនុញ្ញាត (បានប្រកាស)</t>
        </is>
      </c>
      <c r="K426" s="213" t="n"/>
      <c r="L426" s="563">
        <f>I426</f>
        <v/>
      </c>
      <c r="M426" s="536">
        <f>I426-L426</f>
        <v/>
      </c>
      <c r="N426" s="213" t="n"/>
      <c r="O426" s="218">
        <f>U426=E426</f>
        <v/>
      </c>
      <c r="P426" s="218">
        <f>MONTH(F426)-MONTH(T426)</f>
        <v/>
      </c>
      <c r="Q426" s="218">
        <f>$B$5=X426</f>
        <v/>
      </c>
      <c r="R426" s="218">
        <f>I426-AD426</f>
        <v/>
      </c>
      <c r="S426" s="298" t="n"/>
      <c r="T426" s="299" t="n">
        <v>45797</v>
      </c>
      <c r="U426" s="298" t="inlineStr">
        <is>
          <t>APLL25003128</t>
        </is>
      </c>
      <c r="V426" s="298" t="n"/>
      <c r="W426" s="298" t="n"/>
      <c r="X426" s="298" t="n"/>
      <c r="Y426" s="298" t="inlineStr">
        <is>
          <t>ហូលីដេ ឌីហ្សាញ (ខេមបូឌា) ឯ.ក</t>
        </is>
      </c>
      <c r="Z426" s="300" t="n"/>
      <c r="AA426" s="300" t="n"/>
      <c r="AB426" s="298" t="n"/>
      <c r="AC426" s="298" t="n"/>
      <c r="AD426" s="300" t="n">
        <v>132099</v>
      </c>
      <c r="AE426" s="298" t="n"/>
      <c r="AF426" s="562" t="n"/>
    </row>
    <row r="427">
      <c r="A427" s="212">
        <f>A426+1</f>
        <v/>
      </c>
      <c r="B427" s="214" t="inlineStr">
        <is>
          <t>THC Fee-Ex</t>
        </is>
      </c>
      <c r="C427" s="214" t="inlineStr">
        <is>
          <t>APL LOGISTICS (CAMBODIA) PTE LTD.</t>
        </is>
      </c>
      <c r="D427" s="215" t="inlineStr">
        <is>
          <t>L001-100046460</t>
        </is>
      </c>
      <c r="E427" s="290" t="inlineStr">
        <is>
          <t>APLL25003127</t>
        </is>
      </c>
      <c r="F427" s="279" t="n">
        <v>45797</v>
      </c>
      <c r="G427" s="216" t="n"/>
      <c r="H427" s="564" t="n"/>
      <c r="I427" s="564" t="n">
        <v>132099</v>
      </c>
      <c r="J427" s="213" t="inlineStr">
        <is>
          <t>អនុញ្ញាត (បានប្រកាស)</t>
        </is>
      </c>
      <c r="K427" s="213" t="n"/>
      <c r="L427" s="563">
        <f>I427</f>
        <v/>
      </c>
      <c r="M427" s="536">
        <f>I427-L427</f>
        <v/>
      </c>
      <c r="N427" s="213" t="n"/>
      <c r="O427" s="218">
        <f>U427=E427</f>
        <v/>
      </c>
      <c r="P427" s="218">
        <f>MONTH(F427)-MONTH(T427)</f>
        <v/>
      </c>
      <c r="Q427" s="218">
        <f>$B$5=X427</f>
        <v/>
      </c>
      <c r="R427" s="218">
        <f>I427-AD427</f>
        <v/>
      </c>
      <c r="S427" s="298" t="n"/>
      <c r="T427" s="299" t="n">
        <v>45797</v>
      </c>
      <c r="U427" s="298" t="inlineStr">
        <is>
          <t>APLL25003127</t>
        </is>
      </c>
      <c r="V427" s="298" t="n"/>
      <c r="W427" s="298" t="n"/>
      <c r="X427" s="298" t="n"/>
      <c r="Y427" s="298" t="inlineStr">
        <is>
          <t>ហូលីដេ ឌីហ្សាញ (ខេមបូឌា) ឯ.ក</t>
        </is>
      </c>
      <c r="Z427" s="300" t="n"/>
      <c r="AA427" s="300" t="n"/>
      <c r="AB427" s="298" t="n"/>
      <c r="AC427" s="298" t="n"/>
      <c r="AD427" s="300" t="n">
        <v>132099</v>
      </c>
      <c r="AE427" s="298" t="n"/>
      <c r="AF427" s="562" t="n"/>
    </row>
    <row r="428">
      <c r="A428" s="212">
        <f>A427+1</f>
        <v/>
      </c>
      <c r="B428" s="214" t="inlineStr">
        <is>
          <t>THC Fee-Ex</t>
        </is>
      </c>
      <c r="C428" s="214" t="inlineStr">
        <is>
          <t>APL LOGISTICS (CAMBODIA) PTE LTD.</t>
        </is>
      </c>
      <c r="D428" s="215" t="inlineStr">
        <is>
          <t>L001-100046460</t>
        </is>
      </c>
      <c r="E428" s="290" t="inlineStr">
        <is>
          <t>APLL25003089</t>
        </is>
      </c>
      <c r="F428" s="279" t="n">
        <v>45796</v>
      </c>
      <c r="G428" s="216" t="n"/>
      <c r="H428" s="564" t="n"/>
      <c r="I428" s="564" t="n">
        <v>240120</v>
      </c>
      <c r="J428" s="213" t="inlineStr">
        <is>
          <t>អនុញ្ញាត (បានប្រកាស)</t>
        </is>
      </c>
      <c r="K428" s="213" t="n"/>
      <c r="L428" s="563">
        <f>I428</f>
        <v/>
      </c>
      <c r="M428" s="536">
        <f>I428-L428</f>
        <v/>
      </c>
      <c r="N428" s="213" t="n"/>
      <c r="O428" s="218">
        <f>U428=E428</f>
        <v/>
      </c>
      <c r="P428" s="218">
        <f>MONTH(F428)-MONTH(T428)</f>
        <v/>
      </c>
      <c r="Q428" s="218">
        <f>$B$5=X428</f>
        <v/>
      </c>
      <c r="R428" s="218">
        <f>I428-AD428</f>
        <v/>
      </c>
      <c r="S428" s="298" t="n"/>
      <c r="T428" s="299" t="n">
        <v>45796</v>
      </c>
      <c r="U428" s="298" t="inlineStr">
        <is>
          <t>APLL25003089</t>
        </is>
      </c>
      <c r="V428" s="298" t="n"/>
      <c r="W428" s="298" t="n"/>
      <c r="X428" s="298" t="n"/>
      <c r="Y428" s="298" t="inlineStr">
        <is>
          <t>ហូលីដេ ឌីហ្សាញ (ខេមបូឌា) ឯ.ក</t>
        </is>
      </c>
      <c r="Z428" s="300" t="n"/>
      <c r="AA428" s="300" t="n"/>
      <c r="AB428" s="298" t="n"/>
      <c r="AC428" s="298" t="n"/>
      <c r="AD428" s="300" t="n">
        <v>240120</v>
      </c>
      <c r="AE428" s="298" t="n"/>
      <c r="AF428" s="562" t="n"/>
    </row>
    <row r="429">
      <c r="A429" s="212">
        <f>A428+1</f>
        <v/>
      </c>
      <c r="B429" s="214" t="inlineStr">
        <is>
          <t>THC Fee-Ex</t>
        </is>
      </c>
      <c r="C429" s="214" t="inlineStr">
        <is>
          <t>APL LOGISTICS (CAMBODIA) PTE LTD.</t>
        </is>
      </c>
      <c r="D429" s="215" t="inlineStr">
        <is>
          <t>L001-100046460</t>
        </is>
      </c>
      <c r="E429" s="290" t="inlineStr">
        <is>
          <t>APLL25003099</t>
        </is>
      </c>
      <c r="F429" s="279" t="n">
        <v>45796</v>
      </c>
      <c r="G429" s="216" t="n"/>
      <c r="H429" s="564" t="n"/>
      <c r="I429" s="564" t="n">
        <v>132066</v>
      </c>
      <c r="J429" s="213" t="inlineStr">
        <is>
          <t>អនុញ្ញាត (បានប្រកាស)</t>
        </is>
      </c>
      <c r="K429" s="213" t="n"/>
      <c r="L429" s="563">
        <f>I429</f>
        <v/>
      </c>
      <c r="M429" s="536">
        <f>I429-L429</f>
        <v/>
      </c>
      <c r="N429" s="213" t="n"/>
      <c r="O429" s="218">
        <f>U429=E429</f>
        <v/>
      </c>
      <c r="P429" s="218">
        <f>MONTH(F429)-MONTH(T429)</f>
        <v/>
      </c>
      <c r="Q429" s="218">
        <f>$B$5=X429</f>
        <v/>
      </c>
      <c r="R429" s="218">
        <f>I429-AD429</f>
        <v/>
      </c>
      <c r="S429" s="298" t="n"/>
      <c r="T429" s="299" t="n">
        <v>45796</v>
      </c>
      <c r="U429" s="298" t="inlineStr">
        <is>
          <t>APLL25003099</t>
        </is>
      </c>
      <c r="V429" s="298" t="n"/>
      <c r="W429" s="298" t="n"/>
      <c r="X429" s="298" t="n"/>
      <c r="Y429" s="298" t="inlineStr">
        <is>
          <t>ហូលីដេ ឌីហ្សាញ (ខេមបូឌា) ឯ.ក</t>
        </is>
      </c>
      <c r="Z429" s="300" t="n"/>
      <c r="AA429" s="300" t="n"/>
      <c r="AB429" s="298" t="n"/>
      <c r="AC429" s="298" t="n"/>
      <c r="AD429" s="300" t="n">
        <v>132066</v>
      </c>
      <c r="AE429" s="298" t="n"/>
      <c r="AF429" s="562" t="n"/>
    </row>
    <row r="430">
      <c r="A430" s="212">
        <f>A429+1</f>
        <v/>
      </c>
      <c r="B430" s="214" t="inlineStr">
        <is>
          <t>THC Fee-Ex</t>
        </is>
      </c>
      <c r="C430" s="214" t="inlineStr">
        <is>
          <t>APL LOGISTICS (CAMBODIA) PTE LTD.</t>
        </is>
      </c>
      <c r="D430" s="215" t="inlineStr">
        <is>
          <t>L001-100046460</t>
        </is>
      </c>
      <c r="E430" s="290" t="inlineStr">
        <is>
          <t>APLL25003126</t>
        </is>
      </c>
      <c r="F430" s="279" t="n">
        <v>45797</v>
      </c>
      <c r="G430" s="216" t="n"/>
      <c r="H430" s="564" t="n"/>
      <c r="I430" s="564" t="n">
        <v>164123</v>
      </c>
      <c r="J430" s="213" t="inlineStr">
        <is>
          <t>អនុញ្ញាត (បានប្រកាស)</t>
        </is>
      </c>
      <c r="K430" s="213" t="n"/>
      <c r="L430" s="563">
        <f>I430</f>
        <v/>
      </c>
      <c r="M430" s="536">
        <f>I430-L430</f>
        <v/>
      </c>
      <c r="N430" s="213" t="n"/>
      <c r="O430" s="218">
        <f>U430=E430</f>
        <v/>
      </c>
      <c r="P430" s="218">
        <f>MONTH(F430)-MONTH(T430)</f>
        <v/>
      </c>
      <c r="Q430" s="218">
        <f>$B$5=X430</f>
        <v/>
      </c>
      <c r="R430" s="218">
        <f>I430-AD430</f>
        <v/>
      </c>
      <c r="S430" s="298" t="n"/>
      <c r="T430" s="299" t="n">
        <v>45797</v>
      </c>
      <c r="U430" s="298" t="inlineStr">
        <is>
          <t>APLL25003126</t>
        </is>
      </c>
      <c r="V430" s="298" t="n"/>
      <c r="W430" s="298" t="n"/>
      <c r="X430" s="298" t="n"/>
      <c r="Y430" s="298" t="inlineStr">
        <is>
          <t>ហូលីដេ ឌីហ្សាញ (ខេមបូឌា) ឯ.ក</t>
        </is>
      </c>
      <c r="Z430" s="300" t="n"/>
      <c r="AA430" s="300" t="n"/>
      <c r="AB430" s="298" t="n"/>
      <c r="AC430" s="298" t="n"/>
      <c r="AD430" s="300" t="n">
        <v>164123</v>
      </c>
      <c r="AE430" s="298" t="n"/>
      <c r="AF430" s="562" t="n"/>
    </row>
    <row r="431">
      <c r="A431" s="212">
        <f>A430+1</f>
        <v/>
      </c>
      <c r="B431" s="214" t="inlineStr">
        <is>
          <t>Service Fee</t>
        </is>
      </c>
      <c r="C431" s="214" t="inlineStr">
        <is>
          <t>BUREAU VERITAS (CAMBODIA) LIMITED</t>
        </is>
      </c>
      <c r="D431" s="215" t="inlineStr">
        <is>
          <t>L001-107024462</t>
        </is>
      </c>
      <c r="E431" s="290" t="n">
        <v>59019388</v>
      </c>
      <c r="F431" s="279" t="n">
        <v>45638</v>
      </c>
      <c r="G431" s="216" t="n"/>
      <c r="H431" s="564" t="n"/>
      <c r="I431" s="564" t="n">
        <v>473888</v>
      </c>
      <c r="J431" s="213" t="inlineStr">
        <is>
          <t>អនុញ្ញាត (បានប្រកាស)</t>
        </is>
      </c>
      <c r="K431" s="213" t="n"/>
      <c r="L431" s="563">
        <f>I431</f>
        <v/>
      </c>
      <c r="M431" s="536">
        <f>I431-L431</f>
        <v/>
      </c>
      <c r="N431" s="213" t="n"/>
      <c r="O431" s="218">
        <f>U431=E431</f>
        <v/>
      </c>
      <c r="P431" s="218">
        <f>MONTH(F431)-MONTH(T431)</f>
        <v/>
      </c>
      <c r="Q431" s="218">
        <f>$B$5=X431</f>
        <v/>
      </c>
      <c r="R431" s="218">
        <f>I431-AD431</f>
        <v/>
      </c>
      <c r="S431" s="298" t="n"/>
      <c r="T431" s="299" t="n">
        <v>45638</v>
      </c>
      <c r="U431" s="298" t="n">
        <v>59019388</v>
      </c>
      <c r="V431" s="298" t="n"/>
      <c r="W431" s="298" t="inlineStr">
        <is>
          <t>បុគ្គលជាប់អាករ</t>
        </is>
      </c>
      <c r="X431" s="298" t="inlineStr">
        <is>
          <t>L001-901640009</t>
        </is>
      </c>
      <c r="Y431" s="298" t="inlineStr">
        <is>
          <t>ហូលីដេ ឌីហ្សាញ (ខេមបូឌា) ឯ.ក</t>
        </is>
      </c>
      <c r="Z431" s="300" t="n">
        <v>5212768</v>
      </c>
      <c r="AA431" s="300" t="n">
        <v>4738880</v>
      </c>
      <c r="AB431" s="298" t="n">
        <v>0</v>
      </c>
      <c r="AC431" s="298" t="inlineStr">
        <is>
          <t>-</t>
        </is>
      </c>
      <c r="AD431" s="300" t="n">
        <v>473888</v>
      </c>
      <c r="AE431" s="298" t="n">
        <v>0</v>
      </c>
      <c r="AF431" s="562" t="n">
        <v>0</v>
      </c>
      <c r="AG431" s="198" t="n">
        <v>0</v>
      </c>
      <c r="AH431" s="198" t="n">
        <v>0</v>
      </c>
      <c r="AI431" s="198" t="n">
        <v>0</v>
      </c>
      <c r="AJ431" s="198" t="n">
        <v>0</v>
      </c>
      <c r="AK431" s="198" t="n">
        <v>0</v>
      </c>
      <c r="AL431" s="198" t="n">
        <v>0.01</v>
      </c>
      <c r="AN431" s="198" t="inlineStr">
        <is>
          <t>ចំនូលបានមកពីការលក់</t>
        </is>
      </c>
    </row>
    <row r="432">
      <c r="A432" s="212">
        <f>A431+1</f>
        <v/>
      </c>
      <c r="B432" s="214" t="inlineStr">
        <is>
          <t>THC Fee-Ex</t>
        </is>
      </c>
      <c r="C432" s="214" t="inlineStr">
        <is>
          <t>APL LOGISTICS (CAMBODIA) PTE LTD.</t>
        </is>
      </c>
      <c r="D432" s="215" t="inlineStr">
        <is>
          <t>L001-100046460</t>
        </is>
      </c>
      <c r="E432" s="290" t="inlineStr">
        <is>
          <t>APLL25003091</t>
        </is>
      </c>
      <c r="F432" s="279" t="n">
        <v>45796</v>
      </c>
      <c r="G432" s="216" t="n"/>
      <c r="H432" s="564" t="n"/>
      <c r="I432" s="564" t="n">
        <v>240120</v>
      </c>
      <c r="J432" s="213" t="inlineStr">
        <is>
          <t>អនុញ្ញាត (បានប្រកាស)</t>
        </is>
      </c>
      <c r="K432" s="213" t="n"/>
      <c r="L432" s="563">
        <f>I432</f>
        <v/>
      </c>
      <c r="M432" s="536">
        <f>I432-L432</f>
        <v/>
      </c>
      <c r="N432" s="213" t="n"/>
      <c r="O432" s="218">
        <f>U432=E432</f>
        <v/>
      </c>
      <c r="P432" s="218">
        <f>MONTH(F432)-MONTH(T432)</f>
        <v/>
      </c>
      <c r="Q432" s="218">
        <f>$B$5=X432</f>
        <v/>
      </c>
      <c r="R432" s="218">
        <f>I432-AD432</f>
        <v/>
      </c>
      <c r="S432" s="298" t="n"/>
      <c r="T432" s="299" t="n">
        <v>45796</v>
      </c>
      <c r="U432" s="298" t="inlineStr">
        <is>
          <t>APLL25003091</t>
        </is>
      </c>
      <c r="V432" s="298" t="n"/>
      <c r="W432" s="298" t="n"/>
      <c r="X432" s="298" t="n"/>
      <c r="Y432" s="298" t="inlineStr">
        <is>
          <t>ហូលីដេ ឌីហ្សាញ (ខេមបូឌា) ឯ.ក</t>
        </is>
      </c>
      <c r="Z432" s="300" t="n"/>
      <c r="AA432" s="300" t="n"/>
      <c r="AB432" s="298" t="n"/>
      <c r="AC432" s="298" t="n"/>
      <c r="AD432" s="300" t="n">
        <v>240120</v>
      </c>
      <c r="AE432" s="298" t="n"/>
      <c r="AF432" s="562" t="n"/>
    </row>
    <row r="433">
      <c r="A433" s="212">
        <f>A432+1</f>
        <v/>
      </c>
      <c r="B433" s="214" t="inlineStr">
        <is>
          <t>THC Fee-Ex</t>
        </is>
      </c>
      <c r="C433" s="214" t="inlineStr">
        <is>
          <t>APL LOGISTICS (CAMBODIA) PTE LTD.</t>
        </is>
      </c>
      <c r="D433" s="215" t="inlineStr">
        <is>
          <t>L001-100046460</t>
        </is>
      </c>
      <c r="E433" s="290" t="inlineStr">
        <is>
          <t>APLL25003098</t>
        </is>
      </c>
      <c r="F433" s="279" t="n">
        <v>45796</v>
      </c>
      <c r="G433" s="216" t="n"/>
      <c r="H433" s="564" t="n"/>
      <c r="I433" s="564" t="n">
        <v>240120</v>
      </c>
      <c r="J433" s="213" t="inlineStr">
        <is>
          <t>អនុញ្ញាត (បានប្រកាស)</t>
        </is>
      </c>
      <c r="K433" s="213" t="n"/>
      <c r="L433" s="563">
        <f>I433</f>
        <v/>
      </c>
      <c r="M433" s="536">
        <f>I433-L433</f>
        <v/>
      </c>
      <c r="N433" s="213" t="n"/>
      <c r="O433" s="218">
        <f>U433=E433</f>
        <v/>
      </c>
      <c r="P433" s="218">
        <f>MONTH(F433)-MONTH(T433)</f>
        <v/>
      </c>
      <c r="Q433" s="218">
        <f>$B$5=X433</f>
        <v/>
      </c>
      <c r="R433" s="218">
        <f>I433-AD433</f>
        <v/>
      </c>
      <c r="S433" s="298" t="n"/>
      <c r="T433" s="299" t="n">
        <v>45796</v>
      </c>
      <c r="U433" s="298" t="inlineStr">
        <is>
          <t>APLL25003098</t>
        </is>
      </c>
      <c r="V433" s="298" t="n"/>
      <c r="W433" s="298" t="n"/>
      <c r="X433" s="298" t="n"/>
      <c r="Y433" s="298" t="inlineStr">
        <is>
          <t>ហូលីដេ ឌីហ្សាញ (ខេមបូឌា) ឯ.ក</t>
        </is>
      </c>
      <c r="Z433" s="300" t="n"/>
      <c r="AA433" s="300" t="n"/>
      <c r="AB433" s="298" t="n"/>
      <c r="AC433" s="298" t="n"/>
      <c r="AD433" s="300" t="n">
        <v>240120</v>
      </c>
      <c r="AE433" s="298" t="n"/>
      <c r="AF433" s="562" t="n"/>
    </row>
    <row r="434">
      <c r="A434" s="212">
        <f>A433+1</f>
        <v/>
      </c>
      <c r="B434" s="214" t="inlineStr">
        <is>
          <t>THC Fee-Ex</t>
        </is>
      </c>
      <c r="C434" s="214" t="inlineStr">
        <is>
          <t>APL LOGISTICS (CAMBODIA) PTE LTD.</t>
        </is>
      </c>
      <c r="D434" s="215" t="inlineStr">
        <is>
          <t>L001-100046460</t>
        </is>
      </c>
      <c r="E434" s="290" t="inlineStr">
        <is>
          <t>APLL25003092</t>
        </is>
      </c>
      <c r="F434" s="279" t="n">
        <v>45796</v>
      </c>
      <c r="G434" s="216" t="n"/>
      <c r="H434" s="564" t="n"/>
      <c r="I434" s="564" t="n">
        <v>132066</v>
      </c>
      <c r="J434" s="213" t="inlineStr">
        <is>
          <t>អនុញ្ញាត (បានប្រកាស)</t>
        </is>
      </c>
      <c r="K434" s="213" t="n"/>
      <c r="L434" s="563">
        <f>I434</f>
        <v/>
      </c>
      <c r="M434" s="536">
        <f>I434-L434</f>
        <v/>
      </c>
      <c r="N434" s="213" t="n"/>
      <c r="O434" s="218">
        <f>U434=E434</f>
        <v/>
      </c>
      <c r="P434" s="218">
        <f>MONTH(F434)-MONTH(T434)</f>
        <v/>
      </c>
      <c r="Q434" s="218">
        <f>$B$5=X434</f>
        <v/>
      </c>
      <c r="R434" s="218">
        <f>I434-AD434</f>
        <v/>
      </c>
      <c r="S434" s="298" t="n"/>
      <c r="T434" s="299" t="n">
        <v>45796</v>
      </c>
      <c r="U434" s="298" t="inlineStr">
        <is>
          <t>APLL25003092</t>
        </is>
      </c>
      <c r="V434" s="298" t="n"/>
      <c r="W434" s="298" t="n"/>
      <c r="X434" s="298" t="n"/>
      <c r="Y434" s="298" t="inlineStr">
        <is>
          <t>ហូលីដេ ឌីហ្សាញ (ខេមបូឌា) ឯ.ក</t>
        </is>
      </c>
      <c r="Z434" s="300" t="n"/>
      <c r="AA434" s="300" t="n"/>
      <c r="AB434" s="298" t="n"/>
      <c r="AC434" s="298" t="n"/>
      <c r="AD434" s="300" t="n">
        <v>132066</v>
      </c>
      <c r="AE434" s="298" t="n"/>
      <c r="AF434" s="562" t="n"/>
    </row>
    <row r="435" ht="23.4" customHeight="1" s="331" thickBot="1">
      <c r="A435" s="212">
        <f>A434+1</f>
        <v/>
      </c>
      <c r="B435" s="214" t="inlineStr">
        <is>
          <t>THC Fee-Ex</t>
        </is>
      </c>
      <c r="C435" s="214" t="inlineStr">
        <is>
          <t>APL LOGISTICS (CAMBODIA) PTE LTD.</t>
        </is>
      </c>
      <c r="D435" s="215" t="inlineStr">
        <is>
          <t>L001-100046460</t>
        </is>
      </c>
      <c r="E435" s="290" t="inlineStr">
        <is>
          <t>APLL25003177</t>
        </is>
      </c>
      <c r="F435" s="279" t="n">
        <v>45798</v>
      </c>
      <c r="G435" s="216" t="n"/>
      <c r="H435" s="564" t="n"/>
      <c r="I435" s="564" t="n">
        <v>888666</v>
      </c>
      <c r="J435" s="213" t="inlineStr">
        <is>
          <t>អនុញ្ញាត (បានប្រកាស)</t>
        </is>
      </c>
      <c r="K435" s="213" t="n"/>
      <c r="L435" s="563">
        <f>I435</f>
        <v/>
      </c>
      <c r="M435" s="536">
        <f>I435-L435</f>
        <v/>
      </c>
      <c r="N435" s="213" t="n"/>
      <c r="O435" s="218">
        <f>U435=E435</f>
        <v/>
      </c>
      <c r="P435" s="218">
        <f>MONTH(F435)-MONTH(T435)</f>
        <v/>
      </c>
      <c r="Q435" s="218">
        <f>$B$5=X435</f>
        <v/>
      </c>
      <c r="R435" s="218">
        <f>I435-AD435</f>
        <v/>
      </c>
      <c r="S435" s="298" t="n"/>
      <c r="T435" s="299" t="n">
        <v>45798</v>
      </c>
      <c r="U435" s="298" t="inlineStr">
        <is>
          <t>APLL25003177</t>
        </is>
      </c>
      <c r="V435" s="298" t="n"/>
      <c r="W435" s="298" t="n"/>
      <c r="X435" s="298" t="n"/>
      <c r="Y435" s="298" t="inlineStr">
        <is>
          <t>ហូលីដេ ឌីហ្សាញ (ខេមបូឌា) ឯ.ក</t>
        </is>
      </c>
      <c r="Z435" s="300" t="n"/>
      <c r="AA435" s="300" t="n"/>
      <c r="AB435" s="298" t="n"/>
      <c r="AC435" s="298" t="n"/>
      <c r="AD435" s="300" t="n">
        <v>888666</v>
      </c>
      <c r="AE435" s="298" t="n"/>
      <c r="AF435" s="562" t="n"/>
    </row>
    <row r="436" ht="23.4" customHeight="1" s="331" thickBot="1">
      <c r="A436" s="212">
        <f>A435+1</f>
        <v/>
      </c>
      <c r="B436" s="214" t="inlineStr">
        <is>
          <t>THC Fee-Ex</t>
        </is>
      </c>
      <c r="C436" s="214" t="inlineStr">
        <is>
          <t>APL LOGISTICS (CAMBODIA) PTE LTD.</t>
        </is>
      </c>
      <c r="D436" s="215" t="inlineStr">
        <is>
          <t>L001-100046460</t>
        </is>
      </c>
      <c r="E436" s="290" t="inlineStr">
        <is>
          <t>APLL25003171</t>
        </is>
      </c>
      <c r="F436" s="279" t="n">
        <v>45798</v>
      </c>
      <c r="G436" s="216" t="n"/>
      <c r="H436" s="564" t="n"/>
      <c r="I436" s="564" t="n">
        <v>240180</v>
      </c>
      <c r="J436" s="213" t="inlineStr">
        <is>
          <t>អនុញ្ញាត (បានប្រកាស)</t>
        </is>
      </c>
      <c r="K436" s="213" t="n"/>
      <c r="L436" s="563">
        <f>I436</f>
        <v/>
      </c>
      <c r="M436" s="536">
        <f>I436-L436</f>
        <v/>
      </c>
      <c r="N436" s="213" t="n"/>
      <c r="O436" s="218">
        <f>U436=E436</f>
        <v/>
      </c>
      <c r="P436" s="218">
        <f>MONTH(F436)-MONTH(T436)</f>
        <v/>
      </c>
      <c r="Q436" s="218">
        <f>$B$5=X436</f>
        <v/>
      </c>
      <c r="R436" s="218">
        <f>I436-AD436</f>
        <v/>
      </c>
      <c r="S436" s="298" t="n"/>
      <c r="T436" s="305" t="n">
        <v>45798</v>
      </c>
      <c r="U436" s="306" t="inlineStr">
        <is>
          <t>APLL25003171</t>
        </is>
      </c>
      <c r="V436" s="306" t="n"/>
      <c r="W436" s="306" t="n"/>
      <c r="X436" s="307" t="n"/>
      <c r="Y436" s="308" t="inlineStr">
        <is>
          <t>ហូលីដេ ឌីហ្សាញ (ខេមបូឌា) ឯ.ក</t>
        </is>
      </c>
      <c r="Z436" s="309" t="n"/>
      <c r="AA436" s="309" t="n"/>
      <c r="AB436" s="309" t="n"/>
      <c r="AC436" s="310" t="n"/>
      <c r="AD436" s="309" t="n">
        <v>240180</v>
      </c>
      <c r="AE436" s="309" t="n"/>
      <c r="AF436" s="309" t="n"/>
      <c r="AG436" s="309" t="n"/>
      <c r="AH436" s="309" t="n"/>
      <c r="AI436" s="309" t="n"/>
      <c r="AJ436" s="309" t="n"/>
      <c r="AK436" s="309" t="n"/>
      <c r="AL436" s="311" t="n"/>
      <c r="AM436" s="310" t="n"/>
      <c r="AN436" s="308" t="n"/>
    </row>
    <row r="437" ht="23.4" customHeight="1" s="331" thickBot="1">
      <c r="A437" s="212">
        <f>A436+1</f>
        <v/>
      </c>
      <c r="B437" s="214" t="inlineStr">
        <is>
          <t>THC Fee-Ex</t>
        </is>
      </c>
      <c r="C437" s="214" t="inlineStr">
        <is>
          <t>APL LOGISTICS (CAMBODIA) PTE LTD.</t>
        </is>
      </c>
      <c r="D437" s="215" t="inlineStr">
        <is>
          <t>L001-100046460</t>
        </is>
      </c>
      <c r="E437" s="290" t="inlineStr">
        <is>
          <t>APLL25003189</t>
        </is>
      </c>
      <c r="F437" s="279" t="n">
        <v>45798</v>
      </c>
      <c r="G437" s="216" t="n"/>
      <c r="H437" s="564" t="n"/>
      <c r="I437" s="564" t="n">
        <v>132099</v>
      </c>
      <c r="J437" s="213" t="inlineStr">
        <is>
          <t>អនុញ្ញាត (បានប្រកាស)</t>
        </is>
      </c>
      <c r="K437" s="213" t="n"/>
      <c r="L437" s="563">
        <f>I437</f>
        <v/>
      </c>
      <c r="M437" s="536">
        <f>I437-L437</f>
        <v/>
      </c>
      <c r="N437" s="213" t="n"/>
      <c r="O437" s="218">
        <f>U437=E437</f>
        <v/>
      </c>
      <c r="P437" s="218">
        <f>MONTH(F437)-MONTH(T437)</f>
        <v/>
      </c>
      <c r="Q437" s="218">
        <f>$B$5=X437</f>
        <v/>
      </c>
      <c r="R437" s="218">
        <f>I437-AD437</f>
        <v/>
      </c>
      <c r="S437" s="298" t="n"/>
      <c r="T437" s="305" t="n">
        <v>45798</v>
      </c>
      <c r="U437" s="306" t="inlineStr">
        <is>
          <t>APLL25003189</t>
        </is>
      </c>
      <c r="V437" s="306" t="n"/>
      <c r="W437" s="306" t="n"/>
      <c r="X437" s="307" t="n"/>
      <c r="Y437" s="308" t="inlineStr">
        <is>
          <t>ហូលីដេ ឌីហ្សាញ (ខេមបូឌា) ឯ.ក</t>
        </is>
      </c>
      <c r="Z437" s="309" t="n"/>
      <c r="AA437" s="309" t="n"/>
      <c r="AB437" s="309" t="n"/>
      <c r="AC437" s="310" t="n"/>
      <c r="AD437" s="309" t="n">
        <v>132099</v>
      </c>
      <c r="AE437" s="309" t="n"/>
      <c r="AF437" s="309" t="n"/>
      <c r="AG437" s="309" t="n"/>
      <c r="AH437" s="309" t="n"/>
      <c r="AI437" s="309" t="n"/>
      <c r="AJ437" s="309" t="n"/>
      <c r="AK437" s="309" t="n"/>
      <c r="AL437" s="311" t="n"/>
      <c r="AM437" s="310" t="n"/>
      <c r="AN437" s="308" t="n"/>
    </row>
    <row r="438">
      <c r="A438" s="212">
        <f>A437+1</f>
        <v/>
      </c>
      <c r="B438" s="214" t="inlineStr">
        <is>
          <t>THC Fee-Ex</t>
        </is>
      </c>
      <c r="C438" s="214" t="inlineStr">
        <is>
          <t>APL LOGISTICS (CAMBODIA) PTE LTD.</t>
        </is>
      </c>
      <c r="D438" s="215" t="inlineStr">
        <is>
          <t>L001-100046460</t>
        </is>
      </c>
      <c r="E438" s="290" t="inlineStr">
        <is>
          <t>APLL25003179</t>
        </is>
      </c>
      <c r="F438" s="279" t="n">
        <v>45798</v>
      </c>
      <c r="G438" s="216" t="n"/>
      <c r="H438" s="564" t="n"/>
      <c r="I438" s="564" t="n">
        <v>240180</v>
      </c>
      <c r="J438" s="213" t="inlineStr">
        <is>
          <t>អនុញ្ញាត (បានប្រកាស)</t>
        </is>
      </c>
      <c r="K438" s="213" t="n"/>
      <c r="L438" s="563">
        <f>I438</f>
        <v/>
      </c>
      <c r="M438" s="536">
        <f>I438-L438</f>
        <v/>
      </c>
      <c r="N438" s="213" t="n"/>
      <c r="O438" s="218">
        <f>U438=E438</f>
        <v/>
      </c>
      <c r="P438" s="218">
        <f>MONTH(F438)-MONTH(T438)</f>
        <v/>
      </c>
      <c r="Q438" s="218">
        <f>$B$5=X438</f>
        <v/>
      </c>
      <c r="R438" s="218">
        <f>I438-AD438</f>
        <v/>
      </c>
      <c r="S438" s="298" t="n"/>
      <c r="T438" s="299" t="n">
        <v>45798</v>
      </c>
      <c r="U438" s="298" t="inlineStr">
        <is>
          <t>APLL25003179</t>
        </is>
      </c>
      <c r="V438" s="298" t="n"/>
      <c r="W438" s="298" t="n"/>
      <c r="X438" s="298" t="n"/>
      <c r="Y438" s="298" t="inlineStr">
        <is>
          <t>ហូលីដេ ឌីហ្សាញ (ខេមបូឌា) ឯ.ក</t>
        </is>
      </c>
      <c r="Z438" s="300" t="n"/>
      <c r="AA438" s="300" t="n"/>
      <c r="AB438" s="298" t="n"/>
      <c r="AC438" s="298" t="n"/>
      <c r="AD438" s="300" t="n">
        <v>240180</v>
      </c>
      <c r="AE438" s="298" t="n"/>
      <c r="AF438" s="562" t="n"/>
    </row>
    <row r="439">
      <c r="A439" s="212">
        <f>A438+1</f>
        <v/>
      </c>
      <c r="B439" s="214" t="inlineStr">
        <is>
          <t>THC Fee-Ex</t>
        </is>
      </c>
      <c r="C439" s="214" t="inlineStr">
        <is>
          <t>APL LOGISTICS (CAMBODIA) PTE LTD.</t>
        </is>
      </c>
      <c r="D439" s="215" t="inlineStr">
        <is>
          <t>L001-100046460</t>
        </is>
      </c>
      <c r="E439" s="290" t="inlineStr">
        <is>
          <t>APLL25003188</t>
        </is>
      </c>
      <c r="F439" s="279" t="n">
        <v>45798</v>
      </c>
      <c r="G439" s="216" t="n"/>
      <c r="H439" s="564" t="n"/>
      <c r="I439" s="564" t="n">
        <v>240180</v>
      </c>
      <c r="J439" s="213" t="inlineStr">
        <is>
          <t>អនុញ្ញាត (បានប្រកាស)</t>
        </is>
      </c>
      <c r="K439" s="213" t="n"/>
      <c r="L439" s="563">
        <f>I439</f>
        <v/>
      </c>
      <c r="M439" s="536">
        <f>I439-L439</f>
        <v/>
      </c>
      <c r="N439" s="213" t="n"/>
      <c r="O439" s="218">
        <f>U439=E439</f>
        <v/>
      </c>
      <c r="P439" s="218">
        <f>MONTH(F439)-MONTH(T439)</f>
        <v/>
      </c>
      <c r="Q439" s="218">
        <f>$B$5=X439</f>
        <v/>
      </c>
      <c r="R439" s="218">
        <f>I439-AD439</f>
        <v/>
      </c>
      <c r="S439" s="298" t="n"/>
      <c r="T439" s="299" t="n">
        <v>45798</v>
      </c>
      <c r="U439" s="298" t="inlineStr">
        <is>
          <t>APLL25003188</t>
        </is>
      </c>
      <c r="V439" s="298" t="n"/>
      <c r="W439" s="298" t="n"/>
      <c r="X439" s="298" t="n"/>
      <c r="Y439" s="298" t="inlineStr">
        <is>
          <t>ហូលីដេ ឌីហ្សាញ (ខេមបូឌា) ឯ.ក</t>
        </is>
      </c>
      <c r="Z439" s="300" t="n"/>
      <c r="AA439" s="300" t="n"/>
      <c r="AB439" s="298" t="n"/>
      <c r="AC439" s="298" t="n"/>
      <c r="AD439" s="300" t="n">
        <v>240180</v>
      </c>
      <c r="AE439" s="298" t="n"/>
      <c r="AF439" s="562" t="n"/>
    </row>
    <row r="440">
      <c r="A440" s="212">
        <f>A439+1</f>
        <v/>
      </c>
      <c r="B440" s="214" t="inlineStr">
        <is>
          <t>THC Fee-Ex</t>
        </is>
      </c>
      <c r="C440" s="214" t="inlineStr">
        <is>
          <t>APL LOGISTICS (CAMBODIA) PTE LTD.</t>
        </is>
      </c>
      <c r="D440" s="215" t="inlineStr">
        <is>
          <t>L001-100046460</t>
        </is>
      </c>
      <c r="E440" s="290" t="inlineStr">
        <is>
          <t>APLL25003185</t>
        </is>
      </c>
      <c r="F440" s="279" t="n">
        <v>45798</v>
      </c>
      <c r="G440" s="216" t="n"/>
      <c r="H440" s="564" t="n"/>
      <c r="I440" s="564" t="n">
        <v>996747</v>
      </c>
      <c r="J440" s="213" t="inlineStr">
        <is>
          <t>អនុញ្ញាត (បានប្រកាស)</t>
        </is>
      </c>
      <c r="K440" s="213" t="n"/>
      <c r="L440" s="563">
        <f>I440</f>
        <v/>
      </c>
      <c r="M440" s="536">
        <f>I440-L440</f>
        <v/>
      </c>
      <c r="N440" s="213" t="n"/>
      <c r="O440" s="218">
        <f>U440=E440</f>
        <v/>
      </c>
      <c r="P440" s="218">
        <f>MONTH(F440)-MONTH(T440)</f>
        <v/>
      </c>
      <c r="Q440" s="218">
        <f>$B$5=X440</f>
        <v/>
      </c>
      <c r="R440" s="218">
        <f>I440-AD440</f>
        <v/>
      </c>
      <c r="S440" s="298" t="n"/>
      <c r="T440" s="299" t="n">
        <v>45798</v>
      </c>
      <c r="U440" s="298" t="inlineStr">
        <is>
          <t>APLL25003185</t>
        </is>
      </c>
      <c r="V440" s="298" t="n"/>
      <c r="W440" s="298" t="n"/>
      <c r="X440" s="298" t="n"/>
      <c r="Y440" s="298" t="inlineStr">
        <is>
          <t>ហូលីដេ ឌីហ្សាញ (ខេមបូឌា) ឯ.ក</t>
        </is>
      </c>
      <c r="Z440" s="300" t="n"/>
      <c r="AA440" s="300" t="n"/>
      <c r="AB440" s="298" t="n"/>
      <c r="AC440" s="298" t="n"/>
      <c r="AD440" s="300" t="n">
        <v>996747</v>
      </c>
      <c r="AE440" s="298" t="n"/>
      <c r="AF440" s="562" t="n"/>
    </row>
    <row r="441">
      <c r="A441" s="212">
        <f>A440+1</f>
        <v/>
      </c>
      <c r="B441" s="214" t="inlineStr">
        <is>
          <t>THC Fee-Ex</t>
        </is>
      </c>
      <c r="C441" s="214" t="inlineStr">
        <is>
          <t>APL LOGISTICS (CAMBODIA) PTE LTD.</t>
        </is>
      </c>
      <c r="D441" s="215" t="inlineStr">
        <is>
          <t>L001-100046460</t>
        </is>
      </c>
      <c r="E441" s="290" t="inlineStr">
        <is>
          <t>APLL25003170</t>
        </is>
      </c>
      <c r="F441" s="279" t="n">
        <v>45798</v>
      </c>
      <c r="G441" s="216" t="n"/>
      <c r="H441" s="564" t="n"/>
      <c r="I441" s="564" t="n">
        <v>996747</v>
      </c>
      <c r="J441" s="213" t="inlineStr">
        <is>
          <t>អនុញ្ញាត (បានប្រកាស)</t>
        </is>
      </c>
      <c r="K441" s="213" t="n"/>
      <c r="L441" s="563">
        <f>I441</f>
        <v/>
      </c>
      <c r="M441" s="536">
        <f>I441-L441</f>
        <v/>
      </c>
      <c r="N441" s="213" t="n"/>
      <c r="O441" s="218">
        <f>U441=E441</f>
        <v/>
      </c>
      <c r="P441" s="218">
        <f>MONTH(F441)-MONTH(T441)</f>
        <v/>
      </c>
      <c r="Q441" s="218">
        <f>$B$5=X441</f>
        <v/>
      </c>
      <c r="R441" s="218">
        <f>I441-AD441</f>
        <v/>
      </c>
      <c r="S441" s="298" t="n"/>
      <c r="T441" s="299" t="n">
        <v>45798</v>
      </c>
      <c r="U441" s="298" t="inlineStr">
        <is>
          <t>APLL25003170</t>
        </is>
      </c>
      <c r="V441" s="298" t="n"/>
      <c r="W441" s="298" t="n"/>
      <c r="X441" s="298" t="n"/>
      <c r="Y441" s="298" t="inlineStr">
        <is>
          <t>ហូលីដេ ឌីហ្សាញ (ខេមបូឌា) ឯ.ក</t>
        </is>
      </c>
      <c r="Z441" s="300" t="n"/>
      <c r="AA441" s="300" t="n"/>
      <c r="AB441" s="298" t="n"/>
      <c r="AC441" s="298" t="n"/>
      <c r="AD441" s="300" t="n">
        <v>996747</v>
      </c>
      <c r="AE441" s="298" t="n"/>
      <c r="AF441" s="562" t="n"/>
    </row>
    <row r="442">
      <c r="A442" s="212">
        <f>A441+1</f>
        <v/>
      </c>
      <c r="B442" s="214" t="inlineStr">
        <is>
          <t>THC Fee-Ex</t>
        </is>
      </c>
      <c r="C442" s="214" t="inlineStr">
        <is>
          <t>APL LOGISTICS (CAMBODIA) PTE LTD.</t>
        </is>
      </c>
      <c r="D442" s="215" t="inlineStr">
        <is>
          <t>L001-100046460</t>
        </is>
      </c>
      <c r="E442" s="290" t="inlineStr">
        <is>
          <t>APLL25003182</t>
        </is>
      </c>
      <c r="F442" s="279" t="n">
        <v>45798</v>
      </c>
      <c r="G442" s="216" t="n"/>
      <c r="H442" s="564" t="n"/>
      <c r="I442" s="564" t="n">
        <v>240180</v>
      </c>
      <c r="J442" s="213" t="inlineStr">
        <is>
          <t>អនុញ្ញាត (បានប្រកាស)</t>
        </is>
      </c>
      <c r="K442" s="213" t="n"/>
      <c r="L442" s="563">
        <f>I442</f>
        <v/>
      </c>
      <c r="M442" s="536">
        <f>I442-L442</f>
        <v/>
      </c>
      <c r="N442" s="213" t="n"/>
      <c r="O442" s="218">
        <f>U442=E442</f>
        <v/>
      </c>
      <c r="P442" s="218">
        <f>MONTH(F442)-MONTH(T442)</f>
        <v/>
      </c>
      <c r="Q442" s="218">
        <f>$B$5=X442</f>
        <v/>
      </c>
      <c r="R442" s="218">
        <f>I442-AD442</f>
        <v/>
      </c>
      <c r="S442" s="298" t="n"/>
      <c r="T442" s="299" t="n">
        <v>45798</v>
      </c>
      <c r="U442" s="298" t="inlineStr">
        <is>
          <t>APLL25003182</t>
        </is>
      </c>
      <c r="V442" s="298" t="n"/>
      <c r="W442" s="298" t="n"/>
      <c r="X442" s="298" t="n"/>
      <c r="Y442" s="298" t="inlineStr">
        <is>
          <t>ហូលីដេ ឌីហ្សាញ (ខេមបូឌា) ឯ.ក</t>
        </is>
      </c>
      <c r="Z442" s="300" t="n"/>
      <c r="AA442" s="300" t="n"/>
      <c r="AB442" s="298" t="n"/>
      <c r="AC442" s="298" t="n"/>
      <c r="AD442" s="300" t="n">
        <v>240180</v>
      </c>
      <c r="AE442" s="298" t="n"/>
      <c r="AF442" s="562" t="n"/>
    </row>
    <row r="443">
      <c r="A443" s="212">
        <f>A442+1</f>
        <v/>
      </c>
      <c r="B443" s="214" t="inlineStr">
        <is>
          <t>THC Fee-Ex</t>
        </is>
      </c>
      <c r="C443" s="214" t="inlineStr">
        <is>
          <t>APL LOGISTICS (CAMBODIA) PTE LTD.</t>
        </is>
      </c>
      <c r="D443" s="215" t="inlineStr">
        <is>
          <t>L001-100046460</t>
        </is>
      </c>
      <c r="E443" s="290" t="inlineStr">
        <is>
          <t>APLL25003190</t>
        </is>
      </c>
      <c r="F443" s="279" t="n">
        <v>45798</v>
      </c>
      <c r="G443" s="216" t="n"/>
      <c r="H443" s="564" t="n"/>
      <c r="I443" s="564" t="n">
        <v>672504</v>
      </c>
      <c r="J443" s="213" t="inlineStr">
        <is>
          <t>អនុញ្ញាត (បានប្រកាស)</t>
        </is>
      </c>
      <c r="K443" s="213" t="n"/>
      <c r="L443" s="563">
        <f>I443</f>
        <v/>
      </c>
      <c r="M443" s="536">
        <f>I443-L443</f>
        <v/>
      </c>
      <c r="N443" s="213" t="n"/>
      <c r="O443" s="218">
        <f>U443=E443</f>
        <v/>
      </c>
      <c r="P443" s="218">
        <f>MONTH(F443)-MONTH(T443)</f>
        <v/>
      </c>
      <c r="Q443" s="218">
        <f>$B$5=X443</f>
        <v/>
      </c>
      <c r="R443" s="218">
        <f>I443-AD443</f>
        <v/>
      </c>
      <c r="S443" s="298" t="n"/>
      <c r="T443" s="299" t="n">
        <v>45798</v>
      </c>
      <c r="U443" s="298" t="inlineStr">
        <is>
          <t>APLL25003190</t>
        </is>
      </c>
      <c r="V443" s="298" t="n"/>
      <c r="W443" s="298" t="n"/>
      <c r="X443" s="298" t="n"/>
      <c r="Y443" s="298" t="inlineStr">
        <is>
          <t>ហូលីដេ ឌីហ្សាញ (ខេមបូឌា) ឯ.ក</t>
        </is>
      </c>
      <c r="Z443" s="300" t="n"/>
      <c r="AA443" s="300" t="n"/>
      <c r="AB443" s="298" t="n"/>
      <c r="AC443" s="298" t="n"/>
      <c r="AD443" s="300" t="n">
        <v>672504</v>
      </c>
      <c r="AE443" s="298" t="n"/>
      <c r="AF443" s="562" t="n"/>
    </row>
    <row r="444">
      <c r="A444" s="212">
        <f>A443+1</f>
        <v/>
      </c>
      <c r="B444" s="214" t="inlineStr">
        <is>
          <t>THC Fee-Ex</t>
        </is>
      </c>
      <c r="C444" s="214" t="inlineStr">
        <is>
          <t>APL LOGISTICS (CAMBODIA) PTE LTD.</t>
        </is>
      </c>
      <c r="D444" s="215" t="inlineStr">
        <is>
          <t>L001-100046460</t>
        </is>
      </c>
      <c r="E444" s="290" t="inlineStr">
        <is>
          <t>APLL25003184</t>
        </is>
      </c>
      <c r="F444" s="279" t="n">
        <v>45798</v>
      </c>
      <c r="G444" s="216" t="n"/>
      <c r="H444" s="564" t="n"/>
      <c r="I444" s="564" t="n">
        <v>722542</v>
      </c>
      <c r="J444" s="213" t="inlineStr">
        <is>
          <t>អនុញ្ញាត (បានប្រកាស)</t>
        </is>
      </c>
      <c r="K444" s="213" t="n"/>
      <c r="L444" s="563">
        <f>I444</f>
        <v/>
      </c>
      <c r="M444" s="536">
        <f>I444-L444</f>
        <v/>
      </c>
      <c r="N444" s="213" t="n"/>
      <c r="O444" s="218">
        <f>U444=E444</f>
        <v/>
      </c>
      <c r="P444" s="218">
        <f>MONTH(F444)-MONTH(T444)</f>
        <v/>
      </c>
      <c r="Q444" s="218">
        <f>$B$5=X444</f>
        <v/>
      </c>
      <c r="R444" s="218">
        <f>I444-AD444</f>
        <v/>
      </c>
      <c r="S444" s="298" t="n"/>
      <c r="T444" s="299" t="n">
        <v>45798</v>
      </c>
      <c r="U444" s="298" t="inlineStr">
        <is>
          <t>APLL25003184</t>
        </is>
      </c>
      <c r="V444" s="298" t="n"/>
      <c r="W444" s="298" t="n"/>
      <c r="X444" s="298" t="n"/>
      <c r="Y444" s="298" t="inlineStr">
        <is>
          <t>ហូលីដេ ឌីហ្សាញ (ខេមបូឌា) ឯ.ក</t>
        </is>
      </c>
      <c r="Z444" s="300" t="n"/>
      <c r="AA444" s="300" t="n"/>
      <c r="AB444" s="298" t="n"/>
      <c r="AC444" s="298" t="n"/>
      <c r="AD444" s="300" t="n">
        <v>722542</v>
      </c>
      <c r="AE444" s="298" t="n"/>
      <c r="AF444" s="562" t="n"/>
    </row>
    <row r="445">
      <c r="A445" s="212">
        <f>A444+1</f>
        <v/>
      </c>
      <c r="B445" s="214" t="inlineStr">
        <is>
          <t>THC Fee-Ex</t>
        </is>
      </c>
      <c r="C445" s="214" t="inlineStr">
        <is>
          <t>APL LOGISTICS (CAMBODIA) PTE LTD.</t>
        </is>
      </c>
      <c r="D445" s="215" t="inlineStr">
        <is>
          <t>L001-100046460</t>
        </is>
      </c>
      <c r="E445" s="290" t="inlineStr">
        <is>
          <t>APLL25003132</t>
        </is>
      </c>
      <c r="F445" s="279" t="n">
        <v>45797</v>
      </c>
      <c r="G445" s="216" t="n"/>
      <c r="H445" s="564" t="n"/>
      <c r="I445" s="564" t="n">
        <v>284213</v>
      </c>
      <c r="J445" s="213" t="inlineStr">
        <is>
          <t>អនុញ្ញាត (បានប្រកាស)</t>
        </is>
      </c>
      <c r="K445" s="213" t="n"/>
      <c r="L445" s="563">
        <f>I445</f>
        <v/>
      </c>
      <c r="M445" s="536">
        <f>I445-L445</f>
        <v/>
      </c>
      <c r="N445" s="213" t="n"/>
      <c r="O445" s="218">
        <f>U445=E445</f>
        <v/>
      </c>
      <c r="P445" s="218">
        <f>MONTH(F445)-MONTH(T445)</f>
        <v/>
      </c>
      <c r="Q445" s="218">
        <f>$B$5=X445</f>
        <v/>
      </c>
      <c r="R445" s="218">
        <f>I445-AD445</f>
        <v/>
      </c>
      <c r="S445" s="298" t="inlineStr">
        <is>
          <t>Wrong invoice number</t>
        </is>
      </c>
      <c r="T445" s="299" t="n">
        <v>45797</v>
      </c>
      <c r="U445" s="298" t="inlineStr">
        <is>
          <t>APLL25003132</t>
        </is>
      </c>
      <c r="V445" s="298" t="n"/>
      <c r="W445" s="298" t="n"/>
      <c r="X445" s="298" t="n"/>
      <c r="Y445" s="298" t="inlineStr">
        <is>
          <t>ហូលីដេ ឌីហ្សាញ (ខេមបូឌា) ឯ.ក</t>
        </is>
      </c>
      <c r="Z445" s="300" t="n"/>
      <c r="AA445" s="300" t="n"/>
      <c r="AB445" s="298" t="n"/>
      <c r="AC445" s="298" t="n"/>
      <c r="AD445" s="300" t="n">
        <v>284213</v>
      </c>
      <c r="AE445" s="298" t="n"/>
      <c r="AF445" s="562" t="n"/>
    </row>
    <row r="446">
      <c r="A446" s="212">
        <f>A445+1</f>
        <v/>
      </c>
      <c r="B446" s="214" t="inlineStr">
        <is>
          <t>THC Fee-Ex</t>
        </is>
      </c>
      <c r="C446" s="214" t="inlineStr">
        <is>
          <t>APL LOGISTICS (CAMBODIA) PTE LTD.</t>
        </is>
      </c>
      <c r="D446" s="215" t="inlineStr">
        <is>
          <t>L001-100046460</t>
        </is>
      </c>
      <c r="E446" s="290" t="inlineStr">
        <is>
          <t>APLL25003187</t>
        </is>
      </c>
      <c r="F446" s="279" t="n">
        <v>45798</v>
      </c>
      <c r="G446" s="216" t="n"/>
      <c r="H446" s="564" t="n"/>
      <c r="I446" s="564" t="n">
        <v>564423</v>
      </c>
      <c r="J446" s="213" t="inlineStr">
        <is>
          <t>អនុញ្ញាត (បានប្រកាស)</t>
        </is>
      </c>
      <c r="K446" s="213" t="n"/>
      <c r="L446" s="563">
        <f>I446</f>
        <v/>
      </c>
      <c r="M446" s="536">
        <f>I446-L446</f>
        <v/>
      </c>
      <c r="N446" s="213" t="n"/>
      <c r="O446" s="218">
        <f>U446=E446</f>
        <v/>
      </c>
      <c r="P446" s="218">
        <f>MONTH(F446)-MONTH(T446)</f>
        <v/>
      </c>
      <c r="Q446" s="218">
        <f>$B$5=X446</f>
        <v/>
      </c>
      <c r="R446" s="218">
        <f>I446-AD446</f>
        <v/>
      </c>
      <c r="S446" s="298" t="n"/>
      <c r="T446" s="299" t="n">
        <v>45798</v>
      </c>
      <c r="U446" s="298" t="inlineStr">
        <is>
          <t>APLL25003187</t>
        </is>
      </c>
      <c r="V446" s="298" t="n"/>
      <c r="W446" s="298" t="n"/>
      <c r="X446" s="298" t="n"/>
      <c r="Y446" s="298" t="inlineStr">
        <is>
          <t>ហូលីដេ ឌីហ្សាញ (ខេមបូឌា) ឯ.ក</t>
        </is>
      </c>
      <c r="Z446" s="300" t="n"/>
      <c r="AA446" s="300" t="n"/>
      <c r="AB446" s="298" t="n"/>
      <c r="AC446" s="298" t="n"/>
      <c r="AD446" s="300" t="n">
        <v>564423</v>
      </c>
      <c r="AE446" s="298" t="n"/>
      <c r="AF446" s="562" t="n"/>
    </row>
    <row r="447">
      <c r="A447" s="212">
        <f>A446+1</f>
        <v/>
      </c>
      <c r="B447" s="214" t="inlineStr">
        <is>
          <t>THC Fee-Ex</t>
        </is>
      </c>
      <c r="C447" s="214" t="inlineStr">
        <is>
          <t>APL LOGISTICS (CAMBODIA) PTE LTD.</t>
        </is>
      </c>
      <c r="D447" s="215" t="inlineStr">
        <is>
          <t>L001-100046460</t>
        </is>
      </c>
      <c r="E447" s="290" t="inlineStr">
        <is>
          <t>APLL25003174</t>
        </is>
      </c>
      <c r="F447" s="279" t="n">
        <v>45798</v>
      </c>
      <c r="G447" s="216" t="n"/>
      <c r="H447" s="564" t="n"/>
      <c r="I447" s="564" t="n">
        <v>240180</v>
      </c>
      <c r="J447" s="213" t="inlineStr">
        <is>
          <t>អនុញ្ញាត (បានប្រកាស)</t>
        </is>
      </c>
      <c r="K447" s="213" t="n"/>
      <c r="L447" s="563">
        <f>I447</f>
        <v/>
      </c>
      <c r="M447" s="536">
        <f>I447-L447</f>
        <v/>
      </c>
      <c r="N447" s="213" t="n"/>
      <c r="O447" s="218">
        <f>U447=E447</f>
        <v/>
      </c>
      <c r="P447" s="218">
        <f>MONTH(F447)-MONTH(T447)</f>
        <v/>
      </c>
      <c r="Q447" s="218">
        <f>$B$5=X447</f>
        <v/>
      </c>
      <c r="R447" s="218">
        <f>I447-AD447</f>
        <v/>
      </c>
      <c r="S447" s="298" t="n"/>
      <c r="T447" s="299" t="n">
        <v>45798</v>
      </c>
      <c r="U447" s="298" t="inlineStr">
        <is>
          <t>APLL25003174</t>
        </is>
      </c>
      <c r="V447" s="298" t="n"/>
      <c r="W447" s="298" t="n"/>
      <c r="X447" s="298" t="n"/>
      <c r="Y447" s="298" t="inlineStr">
        <is>
          <t>ហូលីដេ ឌីហ្សាញ (ខេមបូឌា) ឯ.ក</t>
        </is>
      </c>
      <c r="Z447" s="300" t="n"/>
      <c r="AA447" s="300" t="n"/>
      <c r="AB447" s="298" t="n"/>
      <c r="AC447" s="298" t="n"/>
      <c r="AD447" s="300" t="n">
        <v>240180</v>
      </c>
      <c r="AE447" s="298" t="n"/>
      <c r="AF447" s="562" t="n"/>
    </row>
    <row r="448">
      <c r="A448" s="212">
        <f>A447+1</f>
        <v/>
      </c>
      <c r="B448" s="214" t="inlineStr">
        <is>
          <t>THC Fee-Ex</t>
        </is>
      </c>
      <c r="C448" s="214" t="inlineStr">
        <is>
          <t>APL LOGISTICS (CAMBODIA) PTE LTD.</t>
        </is>
      </c>
      <c r="D448" s="215" t="inlineStr">
        <is>
          <t>L001-100046460</t>
        </is>
      </c>
      <c r="E448" s="290" t="inlineStr">
        <is>
          <t>APLL25003031</t>
        </is>
      </c>
      <c r="F448" s="279" t="n">
        <v>45793</v>
      </c>
      <c r="G448" s="216" t="n"/>
      <c r="H448" s="564" t="n"/>
      <c r="I448" s="564" t="n">
        <v>1104552</v>
      </c>
      <c r="J448" s="213" t="inlineStr">
        <is>
          <t>អនុញ្ញាត (បានប្រកាស)</t>
        </is>
      </c>
      <c r="K448" s="213" t="n"/>
      <c r="L448" s="563">
        <f>I448</f>
        <v/>
      </c>
      <c r="M448" s="536">
        <f>I448-L448</f>
        <v/>
      </c>
      <c r="N448" s="213" t="n"/>
      <c r="O448" s="218">
        <f>U448=E448</f>
        <v/>
      </c>
      <c r="P448" s="218">
        <f>MONTH(F448)-MONTH(T448)</f>
        <v/>
      </c>
      <c r="Q448" s="218">
        <f>$B$5=X448</f>
        <v/>
      </c>
      <c r="R448" s="218">
        <f>I448-AD448</f>
        <v/>
      </c>
      <c r="S448" s="298" t="n"/>
      <c r="T448" s="299" t="n">
        <v>45793</v>
      </c>
      <c r="U448" s="298" t="inlineStr">
        <is>
          <t>APLL25003031</t>
        </is>
      </c>
      <c r="V448" s="298" t="n"/>
      <c r="W448" s="298" t="n"/>
      <c r="X448" s="298" t="n"/>
      <c r="Y448" s="298" t="inlineStr">
        <is>
          <t>ហូលីដេ ឌីហ្សាញ (ខេមបូឌា) ឯ.ក</t>
        </is>
      </c>
      <c r="Z448" s="300" t="n"/>
      <c r="AA448" s="300" t="n"/>
      <c r="AB448" s="298" t="n"/>
      <c r="AC448" s="298" t="n"/>
      <c r="AD448" s="300" t="n">
        <v>1104552</v>
      </c>
      <c r="AE448" s="298" t="n"/>
      <c r="AF448" s="562" t="n"/>
    </row>
    <row r="449">
      <c r="A449" s="212">
        <f>A448+1</f>
        <v/>
      </c>
      <c r="B449" s="214" t="inlineStr">
        <is>
          <t>THC Fee-Ex</t>
        </is>
      </c>
      <c r="C449" s="214" t="inlineStr">
        <is>
          <t>APL LOGISTICS (CAMBODIA) PTE LTD.</t>
        </is>
      </c>
      <c r="D449" s="215" t="inlineStr">
        <is>
          <t>L001-100046460</t>
        </is>
      </c>
      <c r="E449" s="290" t="inlineStr">
        <is>
          <t>APLL25003030</t>
        </is>
      </c>
      <c r="F449" s="279" t="n">
        <v>45793</v>
      </c>
      <c r="G449" s="216" t="n"/>
      <c r="H449" s="564" t="n"/>
      <c r="I449" s="564" t="n">
        <v>456228</v>
      </c>
      <c r="J449" s="213" t="inlineStr">
        <is>
          <t>អនុញ្ញាត (បានប្រកាស)</t>
        </is>
      </c>
      <c r="K449" s="213" t="n"/>
      <c r="L449" s="563">
        <f>I449</f>
        <v/>
      </c>
      <c r="M449" s="536">
        <f>I449-L449</f>
        <v/>
      </c>
      <c r="N449" s="213" t="n"/>
      <c r="O449" s="218">
        <f>U449=E449</f>
        <v/>
      </c>
      <c r="P449" s="218">
        <f>MONTH(F449)-MONTH(T449)</f>
        <v/>
      </c>
      <c r="Q449" s="218">
        <f>$B$5=X449</f>
        <v/>
      </c>
      <c r="R449" s="218">
        <f>I449-AD449</f>
        <v/>
      </c>
      <c r="S449" s="298" t="n"/>
      <c r="T449" s="299" t="n">
        <v>45793</v>
      </c>
      <c r="U449" s="298" t="inlineStr">
        <is>
          <t>APLL25003030</t>
        </is>
      </c>
      <c r="V449" s="298" t="n"/>
      <c r="W449" s="298" t="n"/>
      <c r="X449" s="298" t="n"/>
      <c r="Y449" s="298" t="inlineStr">
        <is>
          <t>ហូលីដេ ឌីហ្សាញ (ខេមបូឌា) ឯ.ក</t>
        </is>
      </c>
      <c r="Z449" s="300" t="n"/>
      <c r="AA449" s="300" t="n"/>
      <c r="AB449" s="298" t="n"/>
      <c r="AC449" s="298" t="n"/>
      <c r="AD449" s="300" t="n">
        <v>456228</v>
      </c>
      <c r="AE449" s="298" t="n"/>
      <c r="AF449" s="562" t="n"/>
    </row>
    <row r="450">
      <c r="A450" s="212">
        <f>A449+1</f>
        <v/>
      </c>
      <c r="B450" s="214" t="inlineStr">
        <is>
          <t>THC Fee-Ex</t>
        </is>
      </c>
      <c r="C450" s="214" t="inlineStr">
        <is>
          <t>APL LOGISTICS (CAMBODIA) PTE LTD.</t>
        </is>
      </c>
      <c r="D450" s="215" t="inlineStr">
        <is>
          <t>L001-100046460</t>
        </is>
      </c>
      <c r="E450" s="290" t="inlineStr">
        <is>
          <t>APLL25003029</t>
        </is>
      </c>
      <c r="F450" s="279" t="n">
        <v>45793</v>
      </c>
      <c r="G450" s="216" t="n"/>
      <c r="H450" s="564" t="n"/>
      <c r="I450" s="564" t="n">
        <v>132066</v>
      </c>
      <c r="J450" s="213" t="inlineStr">
        <is>
          <t>អនុញ្ញាត (បានប្រកាស)</t>
        </is>
      </c>
      <c r="K450" s="213" t="n"/>
      <c r="L450" s="563">
        <f>I450</f>
        <v/>
      </c>
      <c r="M450" s="536">
        <f>I450-L450</f>
        <v/>
      </c>
      <c r="N450" s="213" t="n"/>
      <c r="O450" s="218">
        <f>U450=E450</f>
        <v/>
      </c>
      <c r="P450" s="218">
        <f>MONTH(F450)-MONTH(T450)</f>
        <v/>
      </c>
      <c r="Q450" s="218">
        <f>$B$5=X450</f>
        <v/>
      </c>
      <c r="R450" s="218">
        <f>I450-AD450</f>
        <v/>
      </c>
      <c r="S450" s="298" t="n"/>
      <c r="T450" s="299" t="n">
        <v>45793</v>
      </c>
      <c r="U450" s="298" t="inlineStr">
        <is>
          <t>APLL25003029</t>
        </is>
      </c>
      <c r="V450" s="298" t="n"/>
      <c r="W450" s="298" t="n"/>
      <c r="X450" s="298" t="n"/>
      <c r="Y450" s="298" t="inlineStr">
        <is>
          <t>ហូលីដេ ឌីហ្សាញ (ខេមបូឌា) ឯ.ក</t>
        </is>
      </c>
      <c r="Z450" s="300" t="n"/>
      <c r="AA450" s="300" t="n"/>
      <c r="AB450" s="298" t="n"/>
      <c r="AC450" s="298" t="n"/>
      <c r="AD450" s="300" t="n">
        <v>132066</v>
      </c>
      <c r="AE450" s="298" t="n"/>
      <c r="AF450" s="562" t="n"/>
    </row>
    <row r="451">
      <c r="A451" s="212">
        <f>A450+1</f>
        <v/>
      </c>
      <c r="B451" s="214" t="inlineStr">
        <is>
          <t>THC Fee-Ex</t>
        </is>
      </c>
      <c r="C451" s="214" t="inlineStr">
        <is>
          <t>APL LOGISTICS (CAMBODIA) PTE LTD.</t>
        </is>
      </c>
      <c r="D451" s="215" t="inlineStr">
        <is>
          <t>L001-100046460</t>
        </is>
      </c>
      <c r="E451" s="290" t="inlineStr">
        <is>
          <t>APLL25003131</t>
        </is>
      </c>
      <c r="F451" s="279" t="n">
        <v>45797</v>
      </c>
      <c r="G451" s="216" t="n"/>
      <c r="H451" s="564" t="n"/>
      <c r="I451" s="564" t="n">
        <v>132099</v>
      </c>
      <c r="J451" s="213" t="inlineStr">
        <is>
          <t>អនុញ្ញាត (បានប្រកាស)</t>
        </is>
      </c>
      <c r="K451" s="213" t="n"/>
      <c r="L451" s="563">
        <f>I451</f>
        <v/>
      </c>
      <c r="M451" s="536">
        <f>I451-L451</f>
        <v/>
      </c>
      <c r="N451" s="213" t="n"/>
      <c r="O451" s="218">
        <f>U451=E451</f>
        <v/>
      </c>
      <c r="P451" s="218">
        <f>MONTH(F451)-MONTH(T451)</f>
        <v/>
      </c>
      <c r="Q451" s="218">
        <f>$B$5=X451</f>
        <v/>
      </c>
      <c r="R451" s="218">
        <f>I451-AD451</f>
        <v/>
      </c>
      <c r="S451" s="298" t="n"/>
      <c r="T451" s="299" t="n">
        <v>45797</v>
      </c>
      <c r="U451" s="298" t="inlineStr">
        <is>
          <t>APLL25003131</t>
        </is>
      </c>
      <c r="V451" s="298" t="n"/>
      <c r="W451" s="298" t="n"/>
      <c r="X451" s="298" t="n"/>
      <c r="Y451" s="298" t="inlineStr">
        <is>
          <t>ហូលីដេ ឌីហ្សាញ (ខេមបូឌា) ឯ.ក</t>
        </is>
      </c>
      <c r="Z451" s="300" t="n"/>
      <c r="AA451" s="300" t="n"/>
      <c r="AB451" s="298" t="n"/>
      <c r="AC451" s="298" t="n"/>
      <c r="AD451" s="300" t="n">
        <v>132099</v>
      </c>
      <c r="AE451" s="298" t="n"/>
      <c r="AF451" s="562" t="n"/>
    </row>
    <row r="452">
      <c r="A452" s="212">
        <f>A451+1</f>
        <v/>
      </c>
      <c r="B452" s="214" t="inlineStr">
        <is>
          <t>THC Fee-Ex</t>
        </is>
      </c>
      <c r="C452" s="214" t="inlineStr">
        <is>
          <t>APL LOGISTICS (CAMBODIA) PTE LTD.</t>
        </is>
      </c>
      <c r="D452" s="215" t="inlineStr">
        <is>
          <t>L001-100046460</t>
        </is>
      </c>
      <c r="E452" s="290" t="inlineStr">
        <is>
          <t>APLL25003088</t>
        </is>
      </c>
      <c r="F452" s="279" t="n">
        <v>45796</v>
      </c>
      <c r="G452" s="216" t="n"/>
      <c r="H452" s="564" t="n"/>
      <c r="I452" s="564" t="n">
        <v>222111</v>
      </c>
      <c r="J452" s="213" t="inlineStr">
        <is>
          <t>អនុញ្ញាត (បានប្រកាស)</t>
        </is>
      </c>
      <c r="K452" s="213" t="n"/>
      <c r="L452" s="563">
        <f>I452</f>
        <v/>
      </c>
      <c r="M452" s="536">
        <f>I452-L452</f>
        <v/>
      </c>
      <c r="N452" s="213" t="n"/>
      <c r="O452" s="218">
        <f>U452=E452</f>
        <v/>
      </c>
      <c r="P452" s="218">
        <f>MONTH(F452)-MONTH(T452)</f>
        <v/>
      </c>
      <c r="Q452" s="218">
        <f>$B$5=X452</f>
        <v/>
      </c>
      <c r="R452" s="218">
        <f>I452-AD452</f>
        <v/>
      </c>
      <c r="S452" s="298" t="n"/>
      <c r="T452" s="299" t="n">
        <v>45796</v>
      </c>
      <c r="U452" s="298" t="inlineStr">
        <is>
          <t>APLL25003088</t>
        </is>
      </c>
      <c r="V452" s="298" t="n"/>
      <c r="W452" s="298" t="n"/>
      <c r="X452" s="298" t="n"/>
      <c r="Y452" s="298" t="inlineStr">
        <is>
          <t>ហូលីដេ ឌីហ្សាញ (ខេមបូឌា) ឯ.ក</t>
        </is>
      </c>
      <c r="Z452" s="300" t="n"/>
      <c r="AA452" s="300" t="n"/>
      <c r="AB452" s="298" t="n"/>
      <c r="AC452" s="298" t="n"/>
      <c r="AD452" s="300" t="n">
        <v>222111</v>
      </c>
      <c r="AE452" s="298" t="n"/>
      <c r="AF452" s="562" t="n"/>
    </row>
    <row r="453">
      <c r="A453" s="212">
        <f>A452+1</f>
        <v/>
      </c>
      <c r="B453" s="214" t="inlineStr">
        <is>
          <t>THC Fee-Ex</t>
        </is>
      </c>
      <c r="C453" s="214" t="inlineStr">
        <is>
          <t>APL LOGISTICS (CAMBODIA) PTE LTD.</t>
        </is>
      </c>
      <c r="D453" s="215" t="inlineStr">
        <is>
          <t>L001-100046460</t>
        </is>
      </c>
      <c r="E453" s="290" t="inlineStr">
        <is>
          <t>APLL25003134</t>
        </is>
      </c>
      <c r="F453" s="279" t="n">
        <v>45797</v>
      </c>
      <c r="G453" s="216" t="n"/>
      <c r="H453" s="564" t="n"/>
      <c r="I453" s="564" t="n">
        <v>252189</v>
      </c>
      <c r="J453" s="213" t="inlineStr">
        <is>
          <t>អនុញ្ញាត (បានប្រកាស)</t>
        </is>
      </c>
      <c r="K453" s="213" t="n"/>
      <c r="L453" s="563">
        <f>I453</f>
        <v/>
      </c>
      <c r="M453" s="536">
        <f>I453-L453</f>
        <v/>
      </c>
      <c r="N453" s="213" t="n"/>
      <c r="O453" s="218">
        <f>U453=E453</f>
        <v/>
      </c>
      <c r="P453" s="218">
        <f>MONTH(F453)-MONTH(T453)</f>
        <v/>
      </c>
      <c r="Q453" s="218">
        <f>$B$5=X453</f>
        <v/>
      </c>
      <c r="R453" s="218">
        <f>I453-AD453</f>
        <v/>
      </c>
      <c r="S453" s="298" t="n"/>
      <c r="T453" s="299" t="n">
        <v>45797</v>
      </c>
      <c r="U453" s="298" t="inlineStr">
        <is>
          <t>APLL25003134</t>
        </is>
      </c>
      <c r="V453" s="298" t="n"/>
      <c r="W453" s="298" t="n"/>
      <c r="X453" s="298" t="n"/>
      <c r="Y453" s="298" t="inlineStr">
        <is>
          <t>ហូលីដេ ឌីហ្សាញ (ខេមបូឌា) ឯ.ក</t>
        </is>
      </c>
      <c r="Z453" s="300" t="n"/>
      <c r="AA453" s="300" t="n"/>
      <c r="AB453" s="298" t="n"/>
      <c r="AC453" s="298" t="n"/>
      <c r="AD453" s="300" t="n">
        <v>252189</v>
      </c>
      <c r="AE453" s="298" t="n"/>
      <c r="AF453" s="562" t="n"/>
    </row>
    <row r="454">
      <c r="A454" s="212">
        <f>A453+1</f>
        <v/>
      </c>
      <c r="B454" s="214" t="inlineStr">
        <is>
          <t>THC Fee-Ex</t>
        </is>
      </c>
      <c r="C454" s="214" t="inlineStr">
        <is>
          <t>APL LOGISTICS (CAMBODIA) PTE LTD.</t>
        </is>
      </c>
      <c r="D454" s="215" t="inlineStr">
        <is>
          <t>L001-100046460</t>
        </is>
      </c>
      <c r="E454" s="290" t="inlineStr">
        <is>
          <t>APLL25003479</t>
        </is>
      </c>
      <c r="F454" s="279" t="n">
        <v>45806</v>
      </c>
      <c r="G454" s="216" t="n"/>
      <c r="H454" s="564" t="n"/>
      <c r="I454" s="564" t="n">
        <v>372372</v>
      </c>
      <c r="J454" s="213" t="inlineStr">
        <is>
          <t>អនុញ្ញាត (បានប្រកាស)</t>
        </is>
      </c>
      <c r="K454" s="213" t="n"/>
      <c r="L454" s="563">
        <f>I454</f>
        <v/>
      </c>
      <c r="M454" s="536">
        <f>I454-L454</f>
        <v/>
      </c>
      <c r="N454" s="213" t="n"/>
      <c r="O454" s="218">
        <f>U454=E454</f>
        <v/>
      </c>
      <c r="P454" s="218">
        <f>MONTH(F454)-MONTH(T454)</f>
        <v/>
      </c>
      <c r="Q454" s="218">
        <f>$B$5=X454</f>
        <v/>
      </c>
      <c r="R454" s="218">
        <f>I454-AD454</f>
        <v/>
      </c>
      <c r="S454" s="298" t="n"/>
      <c r="T454" s="299" t="n">
        <v>45806</v>
      </c>
      <c r="U454" s="298" t="inlineStr">
        <is>
          <t>APLL25003479</t>
        </is>
      </c>
      <c r="V454" s="298" t="n"/>
      <c r="W454" s="298" t="n"/>
      <c r="X454" s="298" t="n"/>
      <c r="Y454" s="298" t="inlineStr">
        <is>
          <t>ហូលីដេ ឌីហ្សាញ (ខេមបូឌា) ឯ.ក</t>
        </is>
      </c>
      <c r="Z454" s="300" t="n"/>
      <c r="AA454" s="300" t="n"/>
      <c r="AB454" s="298" t="n"/>
      <c r="AC454" s="298" t="n"/>
      <c r="AD454" s="300" t="n">
        <v>372372</v>
      </c>
      <c r="AE454" s="298" t="n"/>
      <c r="AF454" s="562" t="n"/>
    </row>
    <row r="455">
      <c r="A455" s="212">
        <f>A454+1</f>
        <v/>
      </c>
      <c r="B455" s="214" t="inlineStr">
        <is>
          <t>THC Fee-Ex</t>
        </is>
      </c>
      <c r="C455" s="214" t="inlineStr">
        <is>
          <t>APL LOGISTICS (CAMBODIA) PTE LTD.</t>
        </is>
      </c>
      <c r="D455" s="215" t="inlineStr">
        <is>
          <t>L001-100046460</t>
        </is>
      </c>
      <c r="E455" s="290" t="inlineStr">
        <is>
          <t>APLL25003482</t>
        </is>
      </c>
      <c r="F455" s="279" t="n">
        <v>45806</v>
      </c>
      <c r="G455" s="216" t="n"/>
      <c r="H455" s="564" t="n"/>
      <c r="I455" s="564" t="n">
        <v>240240</v>
      </c>
      <c r="J455" s="213" t="inlineStr">
        <is>
          <t>អនុញ្ញាត (បានប្រកាស)</t>
        </is>
      </c>
      <c r="K455" s="213" t="n"/>
      <c r="L455" s="563">
        <f>I455</f>
        <v/>
      </c>
      <c r="M455" s="536">
        <f>I455-L455</f>
        <v/>
      </c>
      <c r="N455" s="213" t="n"/>
      <c r="O455" s="218">
        <f>U455=E455</f>
        <v/>
      </c>
      <c r="P455" s="218">
        <f>MONTH(F455)-MONTH(T455)</f>
        <v/>
      </c>
      <c r="Q455" s="218">
        <f>$B$5=X455</f>
        <v/>
      </c>
      <c r="R455" s="218">
        <f>I455-AD455</f>
        <v/>
      </c>
      <c r="S455" s="298" t="n"/>
      <c r="T455" s="299" t="n">
        <v>45806</v>
      </c>
      <c r="U455" s="298" t="inlineStr">
        <is>
          <t>APLL25003482</t>
        </is>
      </c>
      <c r="V455" s="298" t="n"/>
      <c r="W455" s="298" t="n"/>
      <c r="X455" s="298" t="n"/>
      <c r="Y455" s="298" t="inlineStr">
        <is>
          <t>ហូលីដេ ឌីហ្សាញ (ខេមបូឌា) ឯ.ក</t>
        </is>
      </c>
      <c r="Z455" s="300" t="n"/>
      <c r="AA455" s="300" t="n"/>
      <c r="AB455" s="298" t="n"/>
      <c r="AC455" s="298" t="n"/>
      <c r="AD455" s="300" t="n">
        <v>240240</v>
      </c>
      <c r="AE455" s="298" t="n"/>
      <c r="AF455" s="562" t="n"/>
    </row>
    <row r="456">
      <c r="A456" s="212">
        <f>A455+1</f>
        <v/>
      </c>
      <c r="B456" s="214" t="inlineStr">
        <is>
          <t>Trucking &amp; Clearance-Ex</t>
        </is>
      </c>
      <c r="C456" s="214" t="inlineStr">
        <is>
          <t>KR GLOBAL LOGISTICS CO., LTD.</t>
        </is>
      </c>
      <c r="D456" s="215" t="inlineStr">
        <is>
          <t>K005-902004162</t>
        </is>
      </c>
      <c r="E456" s="290" t="inlineStr">
        <is>
          <t>KR252263</t>
        </is>
      </c>
      <c r="F456" s="279" t="n">
        <v>45786</v>
      </c>
      <c r="G456" s="216" t="n"/>
      <c r="H456" s="564" t="n"/>
      <c r="I456" s="564" t="n">
        <v>341056</v>
      </c>
      <c r="J456" s="213" t="inlineStr">
        <is>
          <t>អនុញ្ញាត (បានប្រកាស)</t>
        </is>
      </c>
      <c r="K456" s="213" t="n"/>
      <c r="L456" s="563">
        <f>I456</f>
        <v/>
      </c>
      <c r="M456" s="536">
        <f>I456-L456</f>
        <v/>
      </c>
      <c r="N456" s="213" t="n"/>
      <c r="O456" s="218">
        <f>U456=E456</f>
        <v/>
      </c>
      <c r="P456" s="218">
        <f>MONTH(F456)-MONTH(T456)</f>
        <v/>
      </c>
      <c r="Q456" s="218">
        <f>$B$5=X456</f>
        <v/>
      </c>
      <c r="R456" s="218">
        <f>I456-AD456</f>
        <v/>
      </c>
      <c r="S456" s="298" t="n"/>
      <c r="T456" s="299" t="n">
        <v>45786</v>
      </c>
      <c r="U456" s="298" t="inlineStr">
        <is>
          <t>KR252263</t>
        </is>
      </c>
      <c r="V456" s="298" t="n"/>
      <c r="W456" s="298" t="n"/>
      <c r="X456" s="298" t="n"/>
      <c r="Y456" s="298" t="inlineStr">
        <is>
          <t>ហូលីដេ ឌីហ្សាញ (ខេមបូឌា) ឯ.ក</t>
        </is>
      </c>
      <c r="Z456" s="300" t="n"/>
      <c r="AA456" s="300" t="n"/>
      <c r="AB456" s="298" t="n"/>
      <c r="AC456" s="298" t="n"/>
      <c r="AD456" s="300" t="n">
        <v>341056</v>
      </c>
      <c r="AE456" s="298" t="n"/>
      <c r="AF456" s="562" t="n"/>
    </row>
    <row r="457">
      <c r="A457" s="212">
        <f>A456+1</f>
        <v/>
      </c>
      <c r="B457" s="214" t="inlineStr">
        <is>
          <t>Trucking &amp; Clearance-Ex</t>
        </is>
      </c>
      <c r="C457" s="214" t="inlineStr">
        <is>
          <t>KR GLOBAL LOGISTICS CO., LTD.</t>
        </is>
      </c>
      <c r="D457" s="215" t="inlineStr">
        <is>
          <t>K005-902004162</t>
        </is>
      </c>
      <c r="E457" s="290" t="inlineStr">
        <is>
          <t>KR252255</t>
        </is>
      </c>
      <c r="F457" s="279" t="n">
        <v>45786</v>
      </c>
      <c r="G457" s="216" t="n"/>
      <c r="H457" s="564" t="n"/>
      <c r="I457" s="564" t="n">
        <v>678509</v>
      </c>
      <c r="J457" s="213" t="inlineStr">
        <is>
          <t>អនុញ្ញាត (បានប្រកាស)</t>
        </is>
      </c>
      <c r="K457" s="213" t="n"/>
      <c r="L457" s="563">
        <f>I457</f>
        <v/>
      </c>
      <c r="M457" s="536">
        <f>I457-L457</f>
        <v/>
      </c>
      <c r="N457" s="213" t="n"/>
      <c r="O457" s="218">
        <f>U457=E457</f>
        <v/>
      </c>
      <c r="P457" s="218">
        <f>MONTH(F457)-MONTH(T457)</f>
        <v/>
      </c>
      <c r="Q457" s="218">
        <f>$B$5=X457</f>
        <v/>
      </c>
      <c r="R457" s="218">
        <f>I457-AD457</f>
        <v/>
      </c>
      <c r="S457" s="298" t="n"/>
      <c r="T457" s="299" t="n">
        <v>45786</v>
      </c>
      <c r="U457" s="298" t="inlineStr">
        <is>
          <t>KR252255</t>
        </is>
      </c>
      <c r="V457" s="298" t="n"/>
      <c r="W457" s="298" t="n"/>
      <c r="X457" s="298" t="n"/>
      <c r="Y457" s="298" t="inlineStr">
        <is>
          <t>ហូលីដេ ឌីហ្សាញ (ខេមបូឌា) ឯ.ក</t>
        </is>
      </c>
      <c r="Z457" s="300" t="n"/>
      <c r="AA457" s="300" t="n"/>
      <c r="AB457" s="298" t="n"/>
      <c r="AC457" s="298" t="n"/>
      <c r="AD457" s="300" t="n">
        <v>678509</v>
      </c>
      <c r="AE457" s="298" t="n"/>
      <c r="AF457" s="562" t="n"/>
    </row>
    <row r="458">
      <c r="A458" s="212">
        <f>A457+1</f>
        <v/>
      </c>
      <c r="B458" s="214" t="inlineStr">
        <is>
          <t>Lift-Off-Ex</t>
        </is>
      </c>
      <c r="C458" s="214" t="inlineStr">
        <is>
          <t>PHNOM PENH AUTONOMOUS PORT "PPAP"</t>
        </is>
      </c>
      <c r="D458" s="215" t="inlineStr">
        <is>
          <t>L001-100044999</t>
        </is>
      </c>
      <c r="E458" s="290" t="inlineStr">
        <is>
          <t>INV20250539174</t>
        </is>
      </c>
      <c r="F458" s="279" t="n">
        <v>45796</v>
      </c>
      <c r="G458" s="216" t="n"/>
      <c r="H458" s="564" t="n"/>
      <c r="I458" s="564" t="n">
        <v>28014</v>
      </c>
      <c r="J458" s="213" t="inlineStr">
        <is>
          <t>អនុញ្ញាត (បានប្រកាស)</t>
        </is>
      </c>
      <c r="K458" s="213" t="n"/>
      <c r="L458" s="563">
        <f>I458</f>
        <v/>
      </c>
      <c r="M458" s="536">
        <f>I458-L458</f>
        <v/>
      </c>
      <c r="N458" s="213" t="n"/>
      <c r="O458" s="218">
        <f>U458=E458</f>
        <v/>
      </c>
      <c r="P458" s="218">
        <f>MONTH(F458)-MONTH(T458)</f>
        <v/>
      </c>
      <c r="Q458" s="218">
        <f>$B$5=X458</f>
        <v/>
      </c>
      <c r="R458" s="218">
        <f>I458-AD458</f>
        <v/>
      </c>
      <c r="S458" s="298" t="n"/>
      <c r="T458" s="299" t="n">
        <v>45796</v>
      </c>
      <c r="U458" s="298" t="inlineStr">
        <is>
          <t>INV20250539174</t>
        </is>
      </c>
      <c r="V458" s="298" t="n">
        <v>0</v>
      </c>
      <c r="W458" s="298" t="inlineStr">
        <is>
          <t>បុគ្គលជាប់អាករ</t>
        </is>
      </c>
      <c r="X458" s="298" t="inlineStr">
        <is>
          <t>L001-901640009</t>
        </is>
      </c>
      <c r="Y458" s="298" t="inlineStr">
        <is>
          <t>ហូលីដេ ឌីហ្សាញ (ខេមបូឌា) ឯ.ក</t>
        </is>
      </c>
      <c r="Z458" s="300" t="n">
        <v>308154</v>
      </c>
      <c r="AA458" s="300" t="n">
        <v>280140</v>
      </c>
      <c r="AB458" s="298" t="n">
        <v>0</v>
      </c>
      <c r="AC458" s="298" t="inlineStr">
        <is>
          <t>-</t>
        </is>
      </c>
      <c r="AD458" s="300" t="n">
        <v>28014</v>
      </c>
      <c r="AE458" s="298" t="n">
        <v>0</v>
      </c>
      <c r="AF458" s="562" t="n">
        <v>0</v>
      </c>
      <c r="AG458" s="198" t="n">
        <v>0</v>
      </c>
      <c r="AH458" s="198" t="n">
        <v>0</v>
      </c>
      <c r="AI458" s="198" t="n">
        <v>0</v>
      </c>
      <c r="AJ458" s="198" t="n">
        <v>0</v>
      </c>
      <c r="AK458" s="198" t="n">
        <v>0</v>
      </c>
      <c r="AL458" s="198" t="n">
        <v>0.01</v>
      </c>
      <c r="AM458" s="198" t="n">
        <v>0</v>
      </c>
      <c r="AN458" s="198" t="inlineStr">
        <is>
          <t>ចំណូលពីសេវាកម្ម (លើកដាក់ទំនិញ)</t>
        </is>
      </c>
    </row>
    <row r="459">
      <c r="A459" s="212">
        <f>A458+1</f>
        <v/>
      </c>
      <c r="B459" s="214" t="inlineStr">
        <is>
          <t>Trucking &amp; Clearance-Ex</t>
        </is>
      </c>
      <c r="C459" s="214" t="inlineStr">
        <is>
          <t>KR GLOBAL LOGISTICS CO., LTD.</t>
        </is>
      </c>
      <c r="D459" s="215" t="inlineStr">
        <is>
          <t>K005-902004162</t>
        </is>
      </c>
      <c r="E459" s="290" t="inlineStr">
        <is>
          <t>KR252254</t>
        </is>
      </c>
      <c r="F459" s="279" t="n">
        <v>45786</v>
      </c>
      <c r="G459" s="216" t="n"/>
      <c r="H459" s="564" t="n"/>
      <c r="I459" s="564" t="n">
        <v>163923</v>
      </c>
      <c r="J459" s="213" t="inlineStr">
        <is>
          <t>អនុញ្ញាត (បានប្រកាស)</t>
        </is>
      </c>
      <c r="K459" s="213" t="n"/>
      <c r="L459" s="563">
        <f>I459</f>
        <v/>
      </c>
      <c r="M459" s="536">
        <f>I459-L459</f>
        <v/>
      </c>
      <c r="N459" s="213" t="n"/>
      <c r="O459" s="218">
        <f>U459=E459</f>
        <v/>
      </c>
      <c r="P459" s="218">
        <f>MONTH(F459)-MONTH(T459)</f>
        <v/>
      </c>
      <c r="Q459" s="218">
        <f>$B$5=X459</f>
        <v/>
      </c>
      <c r="R459" s="218">
        <f>I459-AD459</f>
        <v/>
      </c>
      <c r="S459" s="298" t="n"/>
      <c r="T459" s="299" t="n">
        <v>45786</v>
      </c>
      <c r="U459" s="298" t="inlineStr">
        <is>
          <t>KR252254</t>
        </is>
      </c>
      <c r="V459" s="298" t="n"/>
      <c r="W459" s="298" t="n"/>
      <c r="X459" s="298" t="n"/>
      <c r="Y459" s="298" t="inlineStr">
        <is>
          <t>ហូលីដេ ឌីហ្សាញ (ខេមបូឌា) ឯ.ក</t>
        </is>
      </c>
      <c r="Z459" s="300" t="n"/>
      <c r="AA459" s="300" t="n"/>
      <c r="AB459" s="298" t="n"/>
      <c r="AC459" s="298" t="n"/>
      <c r="AD459" s="300" t="n">
        <v>163923</v>
      </c>
      <c r="AE459" s="298" t="n"/>
      <c r="AF459" s="562" t="n"/>
    </row>
    <row r="460">
      <c r="A460" s="212">
        <f>A459+1</f>
        <v/>
      </c>
      <c r="B460" s="214" t="inlineStr">
        <is>
          <t>Lift-Off-Ex</t>
        </is>
      </c>
      <c r="C460" s="214" t="inlineStr">
        <is>
          <t>PHNOM PENH AUTONOMOUS PORT "PPAP"</t>
        </is>
      </c>
      <c r="D460" s="215" t="inlineStr">
        <is>
          <t>L001-100044999</t>
        </is>
      </c>
      <c r="E460" s="290" t="inlineStr">
        <is>
          <t>INV20250539144</t>
        </is>
      </c>
      <c r="F460" s="279" t="n">
        <v>45796</v>
      </c>
      <c r="G460" s="216" t="n"/>
      <c r="H460" s="564" t="n"/>
      <c r="I460" s="564" t="n">
        <v>28014</v>
      </c>
      <c r="J460" s="213" t="inlineStr">
        <is>
          <t>អនុញ្ញាត (បានប្រកាស)</t>
        </is>
      </c>
      <c r="K460" s="213" t="n"/>
      <c r="L460" s="563">
        <f>I460</f>
        <v/>
      </c>
      <c r="M460" s="536">
        <f>I460-L460</f>
        <v/>
      </c>
      <c r="N460" s="213" t="n"/>
      <c r="O460" s="218">
        <f>U460=E460</f>
        <v/>
      </c>
      <c r="P460" s="218">
        <f>MONTH(F460)-MONTH(T460)</f>
        <v/>
      </c>
      <c r="Q460" s="218">
        <f>$B$5=X460</f>
        <v/>
      </c>
      <c r="R460" s="218">
        <f>I460-AD460</f>
        <v/>
      </c>
      <c r="S460" s="298" t="n"/>
      <c r="T460" s="299" t="n">
        <v>45796</v>
      </c>
      <c r="U460" s="298" t="inlineStr">
        <is>
          <t>INV20250539144</t>
        </is>
      </c>
      <c r="V460" s="298" t="n">
        <v>0</v>
      </c>
      <c r="W460" s="298" t="inlineStr">
        <is>
          <t>បុគ្គលជាប់អាករ</t>
        </is>
      </c>
      <c r="X460" s="298" t="inlineStr">
        <is>
          <t>L001-901640009</t>
        </is>
      </c>
      <c r="Y460" s="298" t="inlineStr">
        <is>
          <t>ហូលីដេ ឌីហ្សាញ (ខេមបូឌា) ឯ.ក</t>
        </is>
      </c>
      <c r="Z460" s="300" t="n">
        <v>308154</v>
      </c>
      <c r="AA460" s="300" t="n">
        <v>280140</v>
      </c>
      <c r="AB460" s="298" t="n">
        <v>0</v>
      </c>
      <c r="AC460" s="298" t="inlineStr">
        <is>
          <t>-</t>
        </is>
      </c>
      <c r="AD460" s="300" t="n">
        <v>28014</v>
      </c>
      <c r="AE460" s="298" t="n">
        <v>0</v>
      </c>
      <c r="AF460" s="562" t="n">
        <v>0</v>
      </c>
      <c r="AG460" s="198" t="n">
        <v>0</v>
      </c>
      <c r="AH460" s="198" t="n">
        <v>0</v>
      </c>
      <c r="AI460" s="198" t="n">
        <v>0</v>
      </c>
      <c r="AJ460" s="198" t="n">
        <v>0</v>
      </c>
      <c r="AK460" s="198" t="n">
        <v>0</v>
      </c>
      <c r="AL460" s="198" t="n">
        <v>0.01</v>
      </c>
      <c r="AM460" s="198" t="n">
        <v>0</v>
      </c>
      <c r="AN460" s="198" t="inlineStr">
        <is>
          <t>ចំណូលពីសេវាកម្ម (លើកដាក់ទំនិញ)</t>
        </is>
      </c>
    </row>
    <row r="461">
      <c r="A461" s="212">
        <f>A460+1</f>
        <v/>
      </c>
      <c r="B461" s="214" t="inlineStr">
        <is>
          <t>Trucking &amp; Clearance-Ex</t>
        </is>
      </c>
      <c r="C461" s="214" t="inlineStr">
        <is>
          <t>KR GLOBAL LOGISTICS CO., LTD.</t>
        </is>
      </c>
      <c r="D461" s="215" t="inlineStr">
        <is>
          <t>K005-902004162</t>
        </is>
      </c>
      <c r="E461" s="290" t="inlineStr">
        <is>
          <t>KR252253</t>
        </is>
      </c>
      <c r="F461" s="279" t="n">
        <v>45786</v>
      </c>
      <c r="G461" s="216" t="n"/>
      <c r="H461" s="564" t="n"/>
      <c r="I461" s="564" t="n">
        <v>210558</v>
      </c>
      <c r="J461" s="213" t="inlineStr">
        <is>
          <t>អនុញ្ញាត (បានប្រកាស)</t>
        </is>
      </c>
      <c r="K461" s="213" t="n"/>
      <c r="L461" s="563">
        <f>I461</f>
        <v/>
      </c>
      <c r="M461" s="536">
        <f>I461-L461</f>
        <v/>
      </c>
      <c r="N461" s="213" t="n"/>
      <c r="O461" s="218">
        <f>U461=E461</f>
        <v/>
      </c>
      <c r="P461" s="218">
        <f>MONTH(F461)-MONTH(T461)</f>
        <v/>
      </c>
      <c r="Q461" s="218">
        <f>$B$5=X461</f>
        <v/>
      </c>
      <c r="R461" s="218">
        <f>I461-AD461</f>
        <v/>
      </c>
      <c r="S461" s="298" t="n"/>
      <c r="T461" s="299" t="n">
        <v>45786</v>
      </c>
      <c r="U461" s="298" t="inlineStr">
        <is>
          <t>KR252253</t>
        </is>
      </c>
      <c r="V461" s="298" t="n"/>
      <c r="W461" s="298" t="n"/>
      <c r="X461" s="298" t="n"/>
      <c r="Y461" s="298" t="inlineStr">
        <is>
          <t>ហូលីដេ ឌីហ្សាញ (ខេមបូឌា) ឯ.ក</t>
        </is>
      </c>
      <c r="Z461" s="300" t="n"/>
      <c r="AA461" s="300" t="n"/>
      <c r="AB461" s="298" t="n"/>
      <c r="AC461" s="298" t="n"/>
      <c r="AD461" s="300" t="n">
        <v>210558</v>
      </c>
      <c r="AE461" s="298" t="n"/>
      <c r="AF461" s="562" t="n"/>
    </row>
    <row r="462">
      <c r="A462" s="212">
        <f>A461+1</f>
        <v/>
      </c>
      <c r="B462" s="214" t="inlineStr">
        <is>
          <t>Lift-On &amp; Lift-On-Im</t>
        </is>
      </c>
      <c r="C462" s="214" t="inlineStr">
        <is>
          <t>Port Autonome Du Sihanoukville</t>
        </is>
      </c>
      <c r="D462" s="215" t="inlineStr">
        <is>
          <t>L001-100044638</t>
        </is>
      </c>
      <c r="E462" s="290" t="n">
        <v>202500123712</v>
      </c>
      <c r="F462" s="279" t="n">
        <v>45804</v>
      </c>
      <c r="G462" s="216" t="n"/>
      <c r="H462" s="564" t="n"/>
      <c r="I462" s="564" t="n">
        <v>487565</v>
      </c>
      <c r="J462" s="213" t="inlineStr">
        <is>
          <t>អនុញ្ញាត (បានប្រកាស)</t>
        </is>
      </c>
      <c r="K462" s="213" t="n"/>
      <c r="L462" s="563">
        <f>I462</f>
        <v/>
      </c>
      <c r="M462" s="536">
        <f>I462-L462</f>
        <v/>
      </c>
      <c r="N462" s="213" t="n"/>
      <c r="O462" s="218">
        <f>U462=E462</f>
        <v/>
      </c>
      <c r="P462" s="218">
        <f>MONTH(F462)-MONTH(T462)</f>
        <v/>
      </c>
      <c r="Q462" s="218">
        <f>$B$5=X462</f>
        <v/>
      </c>
      <c r="R462" s="218">
        <f>I462-AD462</f>
        <v/>
      </c>
      <c r="S462" s="298" t="n"/>
      <c r="T462" s="299" t="n">
        <v>45804</v>
      </c>
      <c r="U462" s="298" t="n">
        <v>202500123712</v>
      </c>
      <c r="V462" s="298" t="n"/>
      <c r="W462" s="298" t="inlineStr">
        <is>
          <t>បុគ្គលជាប់អាករ</t>
        </is>
      </c>
      <c r="X462" s="298" t="inlineStr">
        <is>
          <t>L001-901640009</t>
        </is>
      </c>
      <c r="Y462" s="298" t="inlineStr">
        <is>
          <t>ហូលីដេ ឌីហ្សាញ (ខេមបូឌា) ឯ.ក</t>
        </is>
      </c>
      <c r="Z462" s="300" t="n">
        <v>5363219</v>
      </c>
      <c r="AA462" s="300" t="n">
        <v>4875654</v>
      </c>
      <c r="AB462" s="298" t="n">
        <v>0</v>
      </c>
      <c r="AC462" s="298" t="inlineStr">
        <is>
          <t>-</t>
        </is>
      </c>
      <c r="AD462" s="300" t="n">
        <v>487565</v>
      </c>
      <c r="AE462" s="298" t="n"/>
      <c r="AF462" s="562" t="n"/>
    </row>
    <row r="463">
      <c r="A463" s="212">
        <f>A462+1</f>
        <v/>
      </c>
      <c r="B463" s="214" t="inlineStr">
        <is>
          <t>Supplier Audit,Transportation Fee</t>
        </is>
      </c>
      <c r="C463" s="214" t="inlineStr">
        <is>
          <t>SGS (CAMBODIA) LIMITED</t>
        </is>
      </c>
      <c r="D463" s="215" t="inlineStr">
        <is>
          <t>L001-107030519</t>
        </is>
      </c>
      <c r="E463" s="290" t="n">
        <v>10041707</v>
      </c>
      <c r="F463" s="279" t="n">
        <v>45646</v>
      </c>
      <c r="G463" s="216" t="n"/>
      <c r="H463" s="564" t="n"/>
      <c r="I463" s="564" t="n">
        <v>1442462</v>
      </c>
      <c r="J463" s="213" t="inlineStr">
        <is>
          <t>អនុញ្ញាត (បានប្រកាស)</t>
        </is>
      </c>
      <c r="K463" s="213" t="n"/>
      <c r="L463" s="563">
        <f>I463</f>
        <v/>
      </c>
      <c r="M463" s="536">
        <f>I463-L463</f>
        <v/>
      </c>
      <c r="N463" s="213" t="n"/>
      <c r="O463" s="218">
        <f>U463=E463</f>
        <v/>
      </c>
      <c r="P463" s="218">
        <f>MONTH(F463)-MONTH(T463)</f>
        <v/>
      </c>
      <c r="Q463" s="218">
        <f>$B$5=X463</f>
        <v/>
      </c>
      <c r="R463" s="218">
        <f>I463-AD463</f>
        <v/>
      </c>
      <c r="S463" s="298" t="n"/>
      <c r="T463" s="299" t="n">
        <v>45652</v>
      </c>
      <c r="U463" s="298" t="n">
        <v>10041707</v>
      </c>
      <c r="V463" s="298" t="n">
        <v>0</v>
      </c>
      <c r="W463" s="298" t="inlineStr">
        <is>
          <t>បុគ្គលជាប់អាករ</t>
        </is>
      </c>
      <c r="X463" s="298" t="inlineStr">
        <is>
          <t>L001-901640009</t>
        </is>
      </c>
      <c r="Y463" s="298" t="inlineStr">
        <is>
          <t>ហូលីដេ ឌីហ្សាញ (ខេមបូឌា) ឯ.ក</t>
        </is>
      </c>
      <c r="Z463" s="300" t="n">
        <v>15867082</v>
      </c>
      <c r="AA463" s="300" t="n">
        <v>14424620</v>
      </c>
      <c r="AB463" s="298" t="n">
        <v>0</v>
      </c>
      <c r="AC463" s="298" t="inlineStr">
        <is>
          <t>-</t>
        </is>
      </c>
      <c r="AD463" s="300" t="n">
        <v>1442462</v>
      </c>
      <c r="AE463" s="298" t="n">
        <v>0</v>
      </c>
      <c r="AF463" s="562" t="n">
        <v>0</v>
      </c>
      <c r="AG463" s="198" t="n">
        <v>0</v>
      </c>
      <c r="AH463" s="198" t="n">
        <v>0</v>
      </c>
      <c r="AI463" s="198" t="n">
        <v>0</v>
      </c>
      <c r="AJ463" s="198" t="n">
        <v>0</v>
      </c>
      <c r="AK463" s="198" t="n">
        <v>0</v>
      </c>
      <c r="AL463" s="198" t="n">
        <v>0.01</v>
      </c>
      <c r="AM463" s="198" t="n">
        <v>0</v>
      </c>
      <c r="AN463" s="198" t="inlineStr">
        <is>
          <t>Supplier Audit - Mdy - Other ind_RBS - Kn</t>
        </is>
      </c>
      <c r="AO463" s="198" t="inlineStr">
        <is>
          <t>បានប្រកាសនិងបង់ពន្ធ</t>
        </is>
      </c>
    </row>
    <row r="464">
      <c r="A464" s="212">
        <f>A463+1</f>
        <v/>
      </c>
      <c r="B464" s="214" t="inlineStr">
        <is>
          <t>Trucking &amp; Clearance-Im</t>
        </is>
      </c>
      <c r="C464" s="214" t="inlineStr">
        <is>
          <t>BRILLIANT TRANSPORT AND TRADING Co., Ltd.</t>
        </is>
      </c>
      <c r="D464" s="215" t="inlineStr">
        <is>
          <t>K002-100089305</t>
        </is>
      </c>
      <c r="E464" s="290" t="inlineStr">
        <is>
          <t>BTT25-0001170</t>
        </is>
      </c>
      <c r="F464" s="279" t="n">
        <v>45804</v>
      </c>
      <c r="G464" s="216" t="n"/>
      <c r="H464" s="564" t="n"/>
      <c r="I464" s="564" t="n">
        <v>3314484</v>
      </c>
      <c r="J464" s="213" t="inlineStr">
        <is>
          <t>អនុញ្ញាត (បានប្រកាស)</t>
        </is>
      </c>
      <c r="K464" s="213" t="n"/>
      <c r="L464" s="563">
        <f>I464</f>
        <v/>
      </c>
      <c r="M464" s="536">
        <f>I464-L464</f>
        <v/>
      </c>
      <c r="N464" s="213" t="n"/>
      <c r="O464" s="218">
        <f>U464=E464</f>
        <v/>
      </c>
      <c r="P464" s="218">
        <f>MONTH(F464)-MONTH(T464)</f>
        <v/>
      </c>
      <c r="Q464" s="218">
        <f>$B$5=X464</f>
        <v/>
      </c>
      <c r="R464" s="218">
        <f>I464-AD464</f>
        <v/>
      </c>
      <c r="S464" s="298" t="n"/>
      <c r="T464" s="299" t="n">
        <v>45804</v>
      </c>
      <c r="U464" s="298" t="inlineStr">
        <is>
          <t>BTT25-0001170</t>
        </is>
      </c>
      <c r="V464" s="298" t="n"/>
      <c r="W464" s="298" t="n"/>
      <c r="X464" s="298" t="n"/>
      <c r="Y464" s="298" t="inlineStr">
        <is>
          <t>ហូលីដេ ឌីហ្សាញ (ខេមបូឌា) ឯ.ក</t>
        </is>
      </c>
      <c r="Z464" s="300" t="n"/>
      <c r="AA464" s="300" t="n"/>
      <c r="AB464" s="298" t="n"/>
      <c r="AC464" s="298" t="n"/>
      <c r="AD464" s="300" t="n">
        <v>3314484</v>
      </c>
      <c r="AE464" s="298" t="n"/>
      <c r="AF464" s="562" t="n"/>
      <c r="AN464" s="198" t="inlineStr">
        <is>
          <t>Truking / Service</t>
        </is>
      </c>
    </row>
    <row r="465">
      <c r="A465" s="212">
        <f>A464+1</f>
        <v/>
      </c>
      <c r="B465" s="214" t="inlineStr">
        <is>
          <t>Lift-On &amp; Lift-On-Im</t>
        </is>
      </c>
      <c r="C465" s="214" t="inlineStr">
        <is>
          <t>Port Autonome Du Sihanoukville</t>
        </is>
      </c>
      <c r="D465" s="215" t="inlineStr">
        <is>
          <t>L001-100044638</t>
        </is>
      </c>
      <c r="E465" s="290" t="n">
        <v>202500123701</v>
      </c>
      <c r="F465" s="279" t="n">
        <v>45804</v>
      </c>
      <c r="G465" s="216" t="n"/>
      <c r="H465" s="564" t="n"/>
      <c r="I465" s="564" t="n">
        <v>440730</v>
      </c>
      <c r="J465" s="213" t="inlineStr">
        <is>
          <t>អនុញ្ញាត (បានប្រកាស)</t>
        </is>
      </c>
      <c r="K465" s="213" t="n"/>
      <c r="L465" s="563">
        <f>I465</f>
        <v/>
      </c>
      <c r="M465" s="536">
        <f>I465-L465</f>
        <v/>
      </c>
      <c r="N465" s="213" t="n"/>
      <c r="O465" s="218">
        <f>U465=E465</f>
        <v/>
      </c>
      <c r="P465" s="218">
        <f>MONTH(F465)-MONTH(T465)</f>
        <v/>
      </c>
      <c r="Q465" s="218">
        <f>$B$5=X465</f>
        <v/>
      </c>
      <c r="R465" s="218">
        <f>I465-AD465</f>
        <v/>
      </c>
      <c r="S465" s="298" t="n"/>
      <c r="T465" s="299" t="n">
        <v>45804</v>
      </c>
      <c r="U465" s="298" t="n">
        <v>202500123701</v>
      </c>
      <c r="V465" s="298" t="n"/>
      <c r="W465" s="298" t="inlineStr">
        <is>
          <t>បុគ្គលជាប់អាករ</t>
        </is>
      </c>
      <c r="X465" s="298" t="inlineStr">
        <is>
          <t>L001-901640009</t>
        </is>
      </c>
      <c r="Y465" s="298" t="inlineStr">
        <is>
          <t>ហូលីដេ ឌីហ្សាញ (ខេមបូឌា) ឯ.ក</t>
        </is>
      </c>
      <c r="Z465" s="300" t="n">
        <v>4848033</v>
      </c>
      <c r="AA465" s="300" t="n">
        <v>4407303</v>
      </c>
      <c r="AB465" s="298" t="n">
        <v>0</v>
      </c>
      <c r="AC465" s="298" t="inlineStr">
        <is>
          <t>-</t>
        </is>
      </c>
      <c r="AD465" s="300" t="n">
        <v>440730</v>
      </c>
      <c r="AE465" s="298" t="n"/>
      <c r="AF465" s="562" t="n"/>
    </row>
    <row r="466">
      <c r="A466" s="212">
        <f>A465+1</f>
        <v/>
      </c>
      <c r="B466" s="214" t="inlineStr">
        <is>
          <t>Terminal Handling Charge-Im</t>
        </is>
      </c>
      <c r="C466" s="214" t="inlineStr">
        <is>
          <t>SITC CONTAINER LINES (CAMBODIA) Co., Ltd.</t>
        </is>
      </c>
      <c r="D466" s="215" t="inlineStr">
        <is>
          <t>L001-107035863</t>
        </is>
      </c>
      <c r="E466" s="290" t="inlineStr">
        <is>
          <t>SITC2025-018059</t>
        </is>
      </c>
      <c r="F466" s="279" t="n">
        <v>45801</v>
      </c>
      <c r="G466" s="216" t="n"/>
      <c r="H466" s="564" t="n"/>
      <c r="I466" s="564" t="n">
        <v>2641980</v>
      </c>
      <c r="J466" s="213" t="inlineStr">
        <is>
          <t>ព្យួរទុក (មិនមានទិន្នន័យ)</t>
        </is>
      </c>
      <c r="K466" s="213" t="n"/>
      <c r="L466" s="563" t="n"/>
      <c r="M466" s="536">
        <f>I466-L466</f>
        <v/>
      </c>
      <c r="N466" s="213" t="n"/>
      <c r="O466" s="218">
        <f>U466=E466</f>
        <v/>
      </c>
      <c r="P466" s="218">
        <f>MONTH(F466)-MONTH(T466)</f>
        <v/>
      </c>
      <c r="Q466" s="218">
        <f>$B$5=X466</f>
        <v/>
      </c>
      <c r="R466" s="218">
        <f>I466-AD466</f>
        <v/>
      </c>
      <c r="S466" s="298" t="n"/>
      <c r="T466" s="299" t="n">
        <v>45801</v>
      </c>
      <c r="U466" s="298" t="inlineStr">
        <is>
          <t>SITC2025-018059</t>
        </is>
      </c>
      <c r="V466" s="298" t="n"/>
      <c r="W466" s="298" t="inlineStr">
        <is>
          <t>បុគ្គលជាប់អាករ</t>
        </is>
      </c>
      <c r="X466" s="298" t="inlineStr">
        <is>
          <t>K010-901503099</t>
        </is>
      </c>
      <c r="Y466" s="298" t="inlineStr">
        <is>
          <t>លឹម ពេជ្រ អ៊ីមផត &amp; អិចផត</t>
        </is>
      </c>
      <c r="Z466" s="300" t="n">
        <v>1585188</v>
      </c>
      <c r="AA466" s="300" t="n">
        <v>1441080</v>
      </c>
      <c r="AB466" s="298" t="n">
        <v>0</v>
      </c>
      <c r="AC466" s="298" t="inlineStr">
        <is>
          <t>-</t>
        </is>
      </c>
      <c r="AD466" s="300" t="n">
        <v>144108</v>
      </c>
      <c r="AE466" s="298" t="n">
        <v>0</v>
      </c>
      <c r="AF466" s="562" t="n">
        <v>0</v>
      </c>
      <c r="AG466" s="198" t="n">
        <v>0</v>
      </c>
      <c r="AH466" s="198" t="n">
        <v>0</v>
      </c>
      <c r="AI466" s="198" t="n">
        <v>0</v>
      </c>
      <c r="AJ466" s="198" t="n">
        <v>0</v>
      </c>
      <c r="AK466" s="198" t="n">
        <v>0</v>
      </c>
      <c r="AL466" s="198" t="n">
        <v>0.01</v>
      </c>
      <c r="AN466" s="198" t="inlineStr">
        <is>
          <t>EMF,EIB,KHDOC,KHT</t>
        </is>
      </c>
    </row>
    <row r="467">
      <c r="A467" s="212">
        <f>A466+1</f>
        <v/>
      </c>
      <c r="B467" s="214" t="inlineStr">
        <is>
          <t>Lift-Off-Ex</t>
        </is>
      </c>
      <c r="C467" s="214" t="inlineStr">
        <is>
          <t>PHNOM PENH AUTONOMOUS PORT "PPAP"</t>
        </is>
      </c>
      <c r="D467" s="215" t="inlineStr">
        <is>
          <t>L001-100044999</t>
        </is>
      </c>
      <c r="E467" s="290" t="inlineStr">
        <is>
          <t>INV20250539175</t>
        </is>
      </c>
      <c r="F467" s="279" t="n">
        <v>45796</v>
      </c>
      <c r="G467" s="216" t="n"/>
      <c r="H467" s="564" t="n"/>
      <c r="I467" s="564" t="n">
        <v>112056</v>
      </c>
      <c r="J467" s="213" t="inlineStr">
        <is>
          <t>អនុញ្ញាត (បានប្រកាស)</t>
        </is>
      </c>
      <c r="K467" s="213" t="n"/>
      <c r="L467" s="563">
        <f>I467</f>
        <v/>
      </c>
      <c r="M467" s="536">
        <f>I467-L467</f>
        <v/>
      </c>
      <c r="N467" s="213" t="n"/>
      <c r="O467" s="218">
        <f>U467=E467</f>
        <v/>
      </c>
      <c r="P467" s="218">
        <f>MONTH(F467)-MONTH(T467)</f>
        <v/>
      </c>
      <c r="Q467" s="218">
        <f>$B$5=X467</f>
        <v/>
      </c>
      <c r="R467" s="218">
        <f>I467-AD467</f>
        <v/>
      </c>
      <c r="S467" s="298" t="n"/>
      <c r="T467" s="299" t="n">
        <v>45796</v>
      </c>
      <c r="U467" s="298" t="inlineStr">
        <is>
          <t>INV20250539175</t>
        </is>
      </c>
      <c r="V467" s="298" t="n">
        <v>0</v>
      </c>
      <c r="W467" s="298" t="inlineStr">
        <is>
          <t>បុគ្គលជាប់អាករ</t>
        </is>
      </c>
      <c r="X467" s="298" t="inlineStr">
        <is>
          <t>L001-901640009</t>
        </is>
      </c>
      <c r="Y467" s="298" t="inlineStr">
        <is>
          <t>ហូលីដេ ឌីហ្សាញ (ខេមបូឌា) ឯ.ក</t>
        </is>
      </c>
      <c r="Z467" s="300" t="n">
        <v>1232616</v>
      </c>
      <c r="AA467" s="300" t="n">
        <v>1120560</v>
      </c>
      <c r="AB467" s="298" t="n">
        <v>0</v>
      </c>
      <c r="AC467" s="298" t="inlineStr">
        <is>
          <t>-</t>
        </is>
      </c>
      <c r="AD467" s="300" t="n">
        <v>112056</v>
      </c>
      <c r="AE467" s="298" t="n">
        <v>0</v>
      </c>
      <c r="AF467" s="562" t="n">
        <v>0</v>
      </c>
      <c r="AG467" s="198" t="n">
        <v>0</v>
      </c>
      <c r="AH467" s="198" t="n">
        <v>0</v>
      </c>
      <c r="AI467" s="198" t="n">
        <v>0</v>
      </c>
      <c r="AJ467" s="198" t="n">
        <v>0</v>
      </c>
      <c r="AK467" s="198" t="n">
        <v>0</v>
      </c>
      <c r="AL467" s="198" t="n">
        <v>0.01</v>
      </c>
      <c r="AM467" s="198" t="n">
        <v>0</v>
      </c>
      <c r="AN467" s="198" t="inlineStr">
        <is>
          <t>ចំណូលពីសេវាកម្ម (លើកដាក់ទំនិញ)</t>
        </is>
      </c>
    </row>
    <row r="468">
      <c r="A468" s="212">
        <f>A467+1</f>
        <v/>
      </c>
      <c r="B468" s="214" t="inlineStr">
        <is>
          <t>Trucking &amp; Clearance-Ex</t>
        </is>
      </c>
      <c r="C468" s="214" t="inlineStr">
        <is>
          <t>KR GLOBAL LOGISTICS CO., LTD.</t>
        </is>
      </c>
      <c r="D468" s="215" t="inlineStr">
        <is>
          <t>K005-902004162</t>
        </is>
      </c>
      <c r="E468" s="290" t="inlineStr">
        <is>
          <t>KR252256</t>
        </is>
      </c>
      <c r="F468" s="279" t="n">
        <v>45786</v>
      </c>
      <c r="G468" s="216" t="n"/>
      <c r="H468" s="564" t="n"/>
      <c r="I468" s="564" t="n">
        <v>852639</v>
      </c>
      <c r="J468" s="213" t="inlineStr">
        <is>
          <t>អនុញ្ញាត (បានប្រកាស)</t>
        </is>
      </c>
      <c r="K468" s="213" t="n"/>
      <c r="L468" s="563">
        <f>I468</f>
        <v/>
      </c>
      <c r="M468" s="536">
        <f>I468-L468</f>
        <v/>
      </c>
      <c r="N468" s="213" t="n"/>
      <c r="O468" s="218">
        <f>U468=E468</f>
        <v/>
      </c>
      <c r="P468" s="218">
        <f>MONTH(F468)-MONTH(T468)</f>
        <v/>
      </c>
      <c r="Q468" s="218">
        <f>$B$5=X468</f>
        <v/>
      </c>
      <c r="R468" s="218">
        <f>I468-AD468</f>
        <v/>
      </c>
      <c r="S468" s="298" t="n"/>
      <c r="T468" s="299" t="n">
        <v>45786</v>
      </c>
      <c r="U468" s="298" t="inlineStr">
        <is>
          <t>KR252256</t>
        </is>
      </c>
      <c r="V468" s="298" t="n"/>
      <c r="W468" s="298" t="n"/>
      <c r="X468" s="298" t="n"/>
      <c r="Y468" s="298" t="inlineStr">
        <is>
          <t>ហូលីដេ ឌីហ្សាញ (ខេមបូឌា) ឯ.ក</t>
        </is>
      </c>
      <c r="Z468" s="300" t="n"/>
      <c r="AA468" s="300" t="n"/>
      <c r="AB468" s="298" t="n"/>
      <c r="AC468" s="298" t="n"/>
      <c r="AD468" s="300" t="n">
        <v>852639</v>
      </c>
      <c r="AE468" s="298" t="n"/>
      <c r="AF468" s="562" t="n"/>
    </row>
    <row r="469">
      <c r="A469" s="212">
        <f>A468+1</f>
        <v/>
      </c>
      <c r="B469" s="214" t="inlineStr">
        <is>
          <t>Lift-Off-Ex</t>
        </is>
      </c>
      <c r="C469" s="214" t="inlineStr">
        <is>
          <t>PHNOM PENH AUTONOMOUS PORT "PPAP"</t>
        </is>
      </c>
      <c r="D469" s="215" t="inlineStr">
        <is>
          <t>L001-100044999</t>
        </is>
      </c>
      <c r="E469" s="290" t="inlineStr">
        <is>
          <t>INV20250539148</t>
        </is>
      </c>
      <c r="F469" s="279" t="n">
        <v>45796</v>
      </c>
      <c r="G469" s="216" t="n"/>
      <c r="H469" s="564" t="n"/>
      <c r="I469" s="564" t="n">
        <v>56028</v>
      </c>
      <c r="J469" s="213" t="inlineStr">
        <is>
          <t>អនុញ្ញាត (បានប្រកាស)</t>
        </is>
      </c>
      <c r="K469" s="213" t="n"/>
      <c r="L469" s="563">
        <f>I469</f>
        <v/>
      </c>
      <c r="M469" s="536">
        <f>I469-L469</f>
        <v/>
      </c>
      <c r="N469" s="213" t="n"/>
      <c r="O469" s="218">
        <f>U469=E469</f>
        <v/>
      </c>
      <c r="P469" s="218">
        <f>MONTH(F469)-MONTH(T469)</f>
        <v/>
      </c>
      <c r="Q469" s="218">
        <f>$B$5=X469</f>
        <v/>
      </c>
      <c r="R469" s="218">
        <f>I469-AD469</f>
        <v/>
      </c>
      <c r="S469" s="298" t="n"/>
      <c r="T469" s="299" t="n">
        <v>45796</v>
      </c>
      <c r="U469" s="298" t="inlineStr">
        <is>
          <t>INV20250539148</t>
        </is>
      </c>
      <c r="V469" s="298" t="n">
        <v>0</v>
      </c>
      <c r="W469" s="298" t="inlineStr">
        <is>
          <t>បុគ្គលជាប់អាករ</t>
        </is>
      </c>
      <c r="X469" s="298" t="inlineStr">
        <is>
          <t>L001-901640009</t>
        </is>
      </c>
      <c r="Y469" s="298" t="inlineStr">
        <is>
          <t>ហូលីដេ ឌីហ្សាញ (ខេមបូឌា) ឯ.ក</t>
        </is>
      </c>
      <c r="Z469" s="300" t="n">
        <v>616308</v>
      </c>
      <c r="AA469" s="300" t="n">
        <v>560280</v>
      </c>
      <c r="AB469" s="298" t="n">
        <v>0</v>
      </c>
      <c r="AC469" s="298" t="inlineStr">
        <is>
          <t>-</t>
        </is>
      </c>
      <c r="AD469" s="300" t="n">
        <v>56028</v>
      </c>
      <c r="AE469" s="298" t="n">
        <v>0</v>
      </c>
      <c r="AF469" s="562" t="n">
        <v>0</v>
      </c>
      <c r="AG469" s="198" t="n">
        <v>0</v>
      </c>
      <c r="AH469" s="198" t="n">
        <v>0</v>
      </c>
      <c r="AI469" s="198" t="n">
        <v>0</v>
      </c>
      <c r="AJ469" s="198" t="n">
        <v>0</v>
      </c>
      <c r="AK469" s="198" t="n">
        <v>0</v>
      </c>
      <c r="AL469" s="198" t="n">
        <v>0.01</v>
      </c>
      <c r="AM469" s="198" t="n">
        <v>0</v>
      </c>
      <c r="AN469" s="198" t="inlineStr">
        <is>
          <t>ចំណូលពីសេវាកម្ម (លើកដាក់ទំនិញ)</t>
        </is>
      </c>
    </row>
    <row r="470">
      <c r="A470" s="212">
        <f>A469+1</f>
        <v/>
      </c>
      <c r="B470" s="214" t="inlineStr">
        <is>
          <t>Trucking &amp; Clearance-Ex</t>
        </is>
      </c>
      <c r="C470" s="214" t="inlineStr">
        <is>
          <t>KR GLOBAL LOGISTICS CO., LTD.</t>
        </is>
      </c>
      <c r="D470" s="215" t="inlineStr">
        <is>
          <t>K005-902004162</t>
        </is>
      </c>
      <c r="E470" s="290" t="inlineStr">
        <is>
          <t>KR252262</t>
        </is>
      </c>
      <c r="F470" s="279" t="n">
        <v>45786</v>
      </c>
      <c r="G470" s="216" t="n"/>
      <c r="H470" s="564" t="n"/>
      <c r="I470" s="564" t="n">
        <v>1534750</v>
      </c>
      <c r="J470" s="213" t="inlineStr">
        <is>
          <t>អនុញ្ញាត (បានប្រកាស)</t>
        </is>
      </c>
      <c r="K470" s="213" t="n"/>
      <c r="L470" s="563">
        <f>I470</f>
        <v/>
      </c>
      <c r="M470" s="536">
        <f>I470-L470</f>
        <v/>
      </c>
      <c r="N470" s="213" t="n"/>
      <c r="O470" s="218">
        <f>U470=E470</f>
        <v/>
      </c>
      <c r="P470" s="218">
        <f>MONTH(F470)-MONTH(T470)</f>
        <v/>
      </c>
      <c r="Q470" s="218">
        <f>$B$5=X470</f>
        <v/>
      </c>
      <c r="R470" s="218">
        <f>I470-AD470</f>
        <v/>
      </c>
      <c r="S470" s="298" t="n"/>
      <c r="T470" s="299" t="n">
        <v>45786</v>
      </c>
      <c r="U470" s="298" t="inlineStr">
        <is>
          <t>KR252262</t>
        </is>
      </c>
      <c r="V470" s="298" t="n"/>
      <c r="W470" s="298" t="n"/>
      <c r="X470" s="298" t="n"/>
      <c r="Y470" s="298" t="inlineStr">
        <is>
          <t>ហូលីដេ ឌីហ្សាញ (ខេមបូឌា) ឯ.ក</t>
        </is>
      </c>
      <c r="Z470" s="300" t="n"/>
      <c r="AA470" s="300" t="n"/>
      <c r="AB470" s="298" t="n"/>
      <c r="AC470" s="298" t="n"/>
      <c r="AD470" s="300" t="n">
        <v>1534750</v>
      </c>
      <c r="AE470" s="298" t="n"/>
      <c r="AF470" s="562" t="n"/>
    </row>
    <row r="471">
      <c r="A471" s="212">
        <f>A470+1</f>
        <v/>
      </c>
      <c r="B471" s="214" t="inlineStr">
        <is>
          <t>Lift-Off-Ex</t>
        </is>
      </c>
      <c r="C471" s="214" t="inlineStr">
        <is>
          <t>PHNOM PENH AUTONOMOUS PORT "PPAP"</t>
        </is>
      </c>
      <c r="D471" s="215" t="inlineStr">
        <is>
          <t>L001-100044999</t>
        </is>
      </c>
      <c r="E471" s="290" t="inlineStr">
        <is>
          <t>INV20250539150</t>
        </is>
      </c>
      <c r="F471" s="279" t="n">
        <v>45796</v>
      </c>
      <c r="G471" s="216" t="n"/>
      <c r="H471" s="564" t="n"/>
      <c r="I471" s="564" t="n">
        <v>56028</v>
      </c>
      <c r="J471" s="213" t="inlineStr">
        <is>
          <t>អនុញ្ញាត (បានប្រកាស)</t>
        </is>
      </c>
      <c r="K471" s="213" t="n"/>
      <c r="L471" s="563">
        <f>I471</f>
        <v/>
      </c>
      <c r="M471" s="536">
        <f>I471-L471</f>
        <v/>
      </c>
      <c r="N471" s="213" t="n"/>
      <c r="O471" s="218">
        <f>U471=E471</f>
        <v/>
      </c>
      <c r="P471" s="218">
        <f>MONTH(F471)-MONTH(T471)</f>
        <v/>
      </c>
      <c r="Q471" s="218">
        <f>$B$5=X471</f>
        <v/>
      </c>
      <c r="R471" s="218">
        <f>I471-AD471</f>
        <v/>
      </c>
      <c r="S471" s="298" t="n"/>
      <c r="T471" s="299" t="n">
        <v>45796</v>
      </c>
      <c r="U471" s="298" t="inlineStr">
        <is>
          <t>INV20250539150</t>
        </is>
      </c>
      <c r="V471" s="298" t="n">
        <v>0</v>
      </c>
      <c r="W471" s="298" t="inlineStr">
        <is>
          <t>បុគ្គលជាប់អាករ</t>
        </is>
      </c>
      <c r="X471" s="298" t="inlineStr">
        <is>
          <t>L001-901640009</t>
        </is>
      </c>
      <c r="Y471" s="298" t="inlineStr">
        <is>
          <t>ហូលីដេ ឌីហ្សាញ (ខេមបូឌា) ឯ.ក</t>
        </is>
      </c>
      <c r="Z471" s="300" t="n">
        <v>616308</v>
      </c>
      <c r="AA471" s="300" t="n">
        <v>560280</v>
      </c>
      <c r="AB471" s="298" t="n">
        <v>0</v>
      </c>
      <c r="AC471" s="298" t="inlineStr">
        <is>
          <t>-</t>
        </is>
      </c>
      <c r="AD471" s="300" t="n">
        <v>56028</v>
      </c>
      <c r="AE471" s="298" t="n">
        <v>0</v>
      </c>
      <c r="AF471" s="562" t="n">
        <v>0</v>
      </c>
      <c r="AG471" s="198" t="n">
        <v>0</v>
      </c>
      <c r="AH471" s="198" t="n">
        <v>0</v>
      </c>
      <c r="AI471" s="198" t="n">
        <v>0</v>
      </c>
      <c r="AJ471" s="198" t="n">
        <v>0</v>
      </c>
      <c r="AK471" s="198" t="n">
        <v>0</v>
      </c>
      <c r="AL471" s="198" t="n">
        <v>0.01</v>
      </c>
      <c r="AM471" s="198" t="n">
        <v>0</v>
      </c>
      <c r="AN471" s="198" t="inlineStr">
        <is>
          <t>ចំណូលពីសេវាកម្ម (លើកដាក់ទំនិញ)</t>
        </is>
      </c>
    </row>
    <row r="472">
      <c r="A472" s="212">
        <f>A471+1</f>
        <v/>
      </c>
      <c r="B472" s="214" t="inlineStr">
        <is>
          <t>Trucking &amp; Clearance-Ex</t>
        </is>
      </c>
      <c r="C472" s="214" t="inlineStr">
        <is>
          <t>KR GLOBAL LOGISTICS CO., LTD.</t>
        </is>
      </c>
      <c r="D472" s="215" t="inlineStr">
        <is>
          <t>K005-902004162</t>
        </is>
      </c>
      <c r="E472" s="290" t="inlineStr">
        <is>
          <t>KR252261</t>
        </is>
      </c>
      <c r="F472" s="279" t="n">
        <v>45786</v>
      </c>
      <c r="G472" s="216" t="n"/>
      <c r="H472" s="564" t="n"/>
      <c r="I472" s="564" t="n">
        <v>333250</v>
      </c>
      <c r="J472" s="213" t="inlineStr">
        <is>
          <t>អនុញ្ញាត (បានប្រកាស)</t>
        </is>
      </c>
      <c r="K472" s="213" t="n"/>
      <c r="L472" s="563">
        <f>I472</f>
        <v/>
      </c>
      <c r="M472" s="536">
        <f>I472-L472</f>
        <v/>
      </c>
      <c r="N472" s="213" t="n"/>
      <c r="O472" s="218">
        <f>U472=E472</f>
        <v/>
      </c>
      <c r="P472" s="218">
        <f>MONTH(F472)-MONTH(T472)</f>
        <v/>
      </c>
      <c r="Q472" s="218">
        <f>$B$5=X472</f>
        <v/>
      </c>
      <c r="R472" s="218">
        <f>I472-AD472</f>
        <v/>
      </c>
      <c r="S472" s="298" t="n"/>
      <c r="T472" s="299" t="n">
        <v>45786</v>
      </c>
      <c r="U472" s="298" t="inlineStr">
        <is>
          <t>KR252261</t>
        </is>
      </c>
      <c r="V472" s="298" t="n"/>
      <c r="W472" s="298" t="n"/>
      <c r="X472" s="298" t="n"/>
      <c r="Y472" s="298" t="inlineStr">
        <is>
          <t>ហូលីដេ ឌីហ្សាញ (ខេមបូឌា) ឯ.ក</t>
        </is>
      </c>
      <c r="Z472" s="300" t="n"/>
      <c r="AA472" s="300" t="n"/>
      <c r="AB472" s="298" t="n"/>
      <c r="AC472" s="298" t="n"/>
      <c r="AD472" s="300" t="n">
        <v>333250</v>
      </c>
      <c r="AE472" s="298" t="n"/>
      <c r="AF472" s="562" t="n"/>
    </row>
    <row r="473">
      <c r="A473" s="212">
        <f>A472+1</f>
        <v/>
      </c>
      <c r="B473" s="214" t="inlineStr">
        <is>
          <t>Lift-Off-Ex</t>
        </is>
      </c>
      <c r="C473" s="214" t="inlineStr">
        <is>
          <t>PHNOM PENH AUTONOMOUS PORT "PPAP"</t>
        </is>
      </c>
      <c r="D473" s="215" t="inlineStr">
        <is>
          <t>L001-100044999</t>
        </is>
      </c>
      <c r="E473" s="290" t="inlineStr">
        <is>
          <t>INV20250539149</t>
        </is>
      </c>
      <c r="F473" s="279" t="n">
        <v>45796</v>
      </c>
      <c r="G473" s="216" t="n"/>
      <c r="H473" s="564" t="n"/>
      <c r="I473" s="564" t="n">
        <v>28014</v>
      </c>
      <c r="J473" s="213" t="inlineStr">
        <is>
          <t>អនុញ្ញាត (បានប្រកាស)</t>
        </is>
      </c>
      <c r="K473" s="213" t="n"/>
      <c r="L473" s="563">
        <f>I473</f>
        <v/>
      </c>
      <c r="M473" s="536">
        <f>I473-L473</f>
        <v/>
      </c>
      <c r="N473" s="213" t="n"/>
      <c r="O473" s="218">
        <f>U473=E473</f>
        <v/>
      </c>
      <c r="P473" s="218">
        <f>MONTH(F473)-MONTH(T473)</f>
        <v/>
      </c>
      <c r="Q473" s="218">
        <f>$B$5=X473</f>
        <v/>
      </c>
      <c r="R473" s="218">
        <f>I473-AD473</f>
        <v/>
      </c>
      <c r="S473" s="298" t="n"/>
      <c r="T473" s="299" t="n">
        <v>45796</v>
      </c>
      <c r="U473" s="298" t="inlineStr">
        <is>
          <t>INV20250539149</t>
        </is>
      </c>
      <c r="V473" s="298" t="n">
        <v>0</v>
      </c>
      <c r="W473" s="298" t="inlineStr">
        <is>
          <t>បុគ្គលជាប់អាករ</t>
        </is>
      </c>
      <c r="X473" s="298" t="inlineStr">
        <is>
          <t>L001-901640009</t>
        </is>
      </c>
      <c r="Y473" s="298" t="inlineStr">
        <is>
          <t>ហូលីដេ ឌីហ្សាញ (ខេមបូឌា) ឯ.ក</t>
        </is>
      </c>
      <c r="Z473" s="300" t="n">
        <v>308154</v>
      </c>
      <c r="AA473" s="300" t="n">
        <v>280140</v>
      </c>
      <c r="AB473" s="298" t="n">
        <v>0</v>
      </c>
      <c r="AC473" s="298" t="inlineStr">
        <is>
          <t>-</t>
        </is>
      </c>
      <c r="AD473" s="300" t="n">
        <v>28014</v>
      </c>
      <c r="AE473" s="298" t="n">
        <v>0</v>
      </c>
      <c r="AF473" s="562" t="n">
        <v>0</v>
      </c>
      <c r="AG473" s="198" t="n">
        <v>0</v>
      </c>
      <c r="AH473" s="198" t="n">
        <v>0</v>
      </c>
      <c r="AI473" s="198" t="n">
        <v>0</v>
      </c>
      <c r="AJ473" s="198" t="n">
        <v>0</v>
      </c>
      <c r="AK473" s="198" t="n">
        <v>0</v>
      </c>
      <c r="AL473" s="198" t="n">
        <v>0.01</v>
      </c>
      <c r="AM473" s="198" t="n">
        <v>0</v>
      </c>
      <c r="AN473" s="198" t="inlineStr">
        <is>
          <t>ចំណូលពីសេវាកម្ម (លើកដាក់ទំនិញ)</t>
        </is>
      </c>
    </row>
    <row r="474">
      <c r="A474" s="212">
        <f>A473+1</f>
        <v/>
      </c>
      <c r="B474" s="214" t="inlineStr">
        <is>
          <t>Trucking &amp; Clearance-Ex</t>
        </is>
      </c>
      <c r="C474" s="214" t="inlineStr">
        <is>
          <t>KR GLOBAL LOGISTICS CO., LTD.</t>
        </is>
      </c>
      <c r="D474" s="215" t="inlineStr">
        <is>
          <t>K005-902004162</t>
        </is>
      </c>
      <c r="E474" s="290" t="inlineStr">
        <is>
          <t>KR252260</t>
        </is>
      </c>
      <c r="F474" s="279" t="n">
        <v>45786</v>
      </c>
      <c r="G474" s="216" t="n"/>
      <c r="H474" s="564" t="n"/>
      <c r="I474" s="564" t="n">
        <v>229372</v>
      </c>
      <c r="J474" s="213" t="inlineStr">
        <is>
          <t>អនុញ្ញាត (បានប្រកាស)</t>
        </is>
      </c>
      <c r="K474" s="213" t="n"/>
      <c r="L474" s="563">
        <f>I474</f>
        <v/>
      </c>
      <c r="M474" s="536">
        <f>I474-L474</f>
        <v/>
      </c>
      <c r="N474" s="213" t="n"/>
      <c r="O474" s="218">
        <f>U474=E474</f>
        <v/>
      </c>
      <c r="P474" s="218">
        <f>MONTH(F474)-MONTH(T474)</f>
        <v/>
      </c>
      <c r="Q474" s="218">
        <f>$B$5=X474</f>
        <v/>
      </c>
      <c r="R474" s="218">
        <f>I474-AD474</f>
        <v/>
      </c>
      <c r="S474" s="298" t="n"/>
      <c r="T474" s="299" t="n">
        <v>45786</v>
      </c>
      <c r="U474" s="298" t="inlineStr">
        <is>
          <t>KR252260</t>
        </is>
      </c>
      <c r="V474" s="298" t="n"/>
      <c r="W474" s="298" t="n"/>
      <c r="X474" s="298" t="n"/>
      <c r="Y474" s="298" t="inlineStr">
        <is>
          <t>ហូលីដេ ឌីហ្សាញ (ខេមបូឌា) ឯ.ក</t>
        </is>
      </c>
      <c r="Z474" s="300" t="n"/>
      <c r="AA474" s="300" t="n"/>
      <c r="AB474" s="298" t="n"/>
      <c r="AC474" s="298" t="n"/>
      <c r="AD474" s="300" t="n">
        <v>229372</v>
      </c>
      <c r="AE474" s="298" t="n"/>
      <c r="AF474" s="562" t="n"/>
    </row>
    <row r="475">
      <c r="A475" s="212">
        <f>A474+1</f>
        <v/>
      </c>
      <c r="B475" s="214" t="inlineStr">
        <is>
          <t>Lift-Off-Ex</t>
        </is>
      </c>
      <c r="C475" s="214" t="inlineStr">
        <is>
          <t>PHNOM PENH AUTONOMOUS PORT "PPAP"</t>
        </is>
      </c>
      <c r="D475" s="215" t="inlineStr">
        <is>
          <t>L001-100044999</t>
        </is>
      </c>
      <c r="E475" s="290" t="inlineStr">
        <is>
          <t>INV20250539145</t>
        </is>
      </c>
      <c r="F475" s="279" t="n">
        <v>45796</v>
      </c>
      <c r="G475" s="216" t="n"/>
      <c r="H475" s="564" t="n"/>
      <c r="I475" s="564" t="n">
        <v>140070</v>
      </c>
      <c r="J475" s="213" t="inlineStr">
        <is>
          <t>អនុញ្ញាត (បានប្រកាស)</t>
        </is>
      </c>
      <c r="K475" s="213" t="n"/>
      <c r="L475" s="563">
        <f>I475</f>
        <v/>
      </c>
      <c r="M475" s="536">
        <f>I475-L475</f>
        <v/>
      </c>
      <c r="N475" s="213" t="n"/>
      <c r="O475" s="218">
        <f>U475=E475</f>
        <v/>
      </c>
      <c r="P475" s="218">
        <f>MONTH(F475)-MONTH(T475)</f>
        <v/>
      </c>
      <c r="Q475" s="218">
        <f>$B$5=X475</f>
        <v/>
      </c>
      <c r="R475" s="218">
        <f>I475-AD475</f>
        <v/>
      </c>
      <c r="S475" s="298" t="n"/>
      <c r="T475" s="299" t="n">
        <v>45796</v>
      </c>
      <c r="U475" s="298" t="inlineStr">
        <is>
          <t>INV20250539145</t>
        </is>
      </c>
      <c r="V475" s="298" t="n">
        <v>0</v>
      </c>
      <c r="W475" s="298" t="inlineStr">
        <is>
          <t>បុគ្គលជាប់អាករ</t>
        </is>
      </c>
      <c r="X475" s="298" t="inlineStr">
        <is>
          <t>L001-901640009</t>
        </is>
      </c>
      <c r="Y475" s="298" t="inlineStr">
        <is>
          <t>ហូលីដេ ឌីហ្សាញ (ខេមបូឌា) ឯ.ក</t>
        </is>
      </c>
      <c r="Z475" s="300" t="n">
        <v>1540770</v>
      </c>
      <c r="AA475" s="300" t="n">
        <v>1400700</v>
      </c>
      <c r="AB475" s="298" t="n">
        <v>0</v>
      </c>
      <c r="AC475" s="298" t="inlineStr">
        <is>
          <t>-</t>
        </is>
      </c>
      <c r="AD475" s="300" t="n">
        <v>140070</v>
      </c>
      <c r="AE475" s="298" t="n">
        <v>0</v>
      </c>
      <c r="AF475" s="562" t="n">
        <v>0</v>
      </c>
      <c r="AG475" s="198" t="n">
        <v>0</v>
      </c>
      <c r="AH475" s="198" t="n">
        <v>0</v>
      </c>
      <c r="AI475" s="198" t="n">
        <v>0</v>
      </c>
      <c r="AJ475" s="198" t="n">
        <v>0</v>
      </c>
      <c r="AK475" s="198" t="n">
        <v>0</v>
      </c>
      <c r="AL475" s="198" t="n">
        <v>0.01</v>
      </c>
      <c r="AM475" s="198" t="n">
        <v>0</v>
      </c>
      <c r="AN475" s="198" t="inlineStr">
        <is>
          <t>ចំណូលពីសេវាកម្ម (លើកដាក់ទំនិញ)</t>
        </is>
      </c>
    </row>
    <row r="476">
      <c r="A476" s="212">
        <f>A475+1</f>
        <v/>
      </c>
      <c r="B476" s="214" t="inlineStr">
        <is>
          <t>Trucking &amp; Clearance-Ex</t>
        </is>
      </c>
      <c r="C476" s="214" t="inlineStr">
        <is>
          <t>KR GLOBAL LOGISTICS CO., LTD.</t>
        </is>
      </c>
      <c r="D476" s="215" t="inlineStr">
        <is>
          <t>K005-902004162</t>
        </is>
      </c>
      <c r="E476" s="290" t="inlineStr">
        <is>
          <t>KR252259</t>
        </is>
      </c>
      <c r="F476" s="279" t="n">
        <v>45786</v>
      </c>
      <c r="G476" s="216" t="n"/>
      <c r="H476" s="564" t="n"/>
      <c r="I476" s="564" t="n">
        <v>341056</v>
      </c>
      <c r="J476" s="213" t="inlineStr">
        <is>
          <t>អនុញ្ញាត (បានប្រកាស)</t>
        </is>
      </c>
      <c r="K476" s="213" t="n"/>
      <c r="L476" s="563">
        <f>I476</f>
        <v/>
      </c>
      <c r="M476" s="536">
        <f>I476-L476</f>
        <v/>
      </c>
      <c r="N476" s="213" t="n"/>
      <c r="O476" s="218">
        <f>U476=E476</f>
        <v/>
      </c>
      <c r="P476" s="218">
        <f>MONTH(F476)-MONTH(T476)</f>
        <v/>
      </c>
      <c r="Q476" s="218">
        <f>$B$5=X476</f>
        <v/>
      </c>
      <c r="R476" s="218">
        <f>I476-AD476</f>
        <v/>
      </c>
      <c r="S476" s="298" t="n"/>
      <c r="T476" s="299" t="n">
        <v>45786</v>
      </c>
      <c r="U476" s="298" t="inlineStr">
        <is>
          <t>KR252259</t>
        </is>
      </c>
      <c r="V476" s="298" t="n"/>
      <c r="W476" s="298" t="n"/>
      <c r="X476" s="298" t="n"/>
      <c r="Y476" s="298" t="inlineStr">
        <is>
          <t>ហូលីដេ ឌីហ្សាញ (ខេមបូឌា) ឯ.ក</t>
        </is>
      </c>
      <c r="Z476" s="300" t="n"/>
      <c r="AA476" s="300" t="n"/>
      <c r="AB476" s="298" t="n"/>
      <c r="AC476" s="298" t="n"/>
      <c r="AD476" s="300" t="n">
        <v>341056</v>
      </c>
      <c r="AE476" s="298" t="n"/>
      <c r="AF476" s="562" t="n"/>
    </row>
    <row r="477">
      <c r="A477" s="212">
        <f>A476+1</f>
        <v/>
      </c>
      <c r="B477" s="214" t="inlineStr">
        <is>
          <t>Storage 40 Feet Container-Ex</t>
        </is>
      </c>
      <c r="C477" s="214" t="inlineStr">
        <is>
          <t>PHNOM PENH AUTONOMOUS PORT "PPAP"</t>
        </is>
      </c>
      <c r="D477" s="215" t="inlineStr">
        <is>
          <t>L001-100044999</t>
        </is>
      </c>
      <c r="E477" s="290" t="inlineStr">
        <is>
          <t>INV20250542516</t>
        </is>
      </c>
      <c r="F477" s="279" t="n">
        <v>45805</v>
      </c>
      <c r="G477" s="216" t="n"/>
      <c r="H477" s="564" t="n"/>
      <c r="I477" s="564" t="n">
        <v>2402</v>
      </c>
      <c r="J477" s="213" t="inlineStr">
        <is>
          <t>អនុញ្ញាត (បានប្រកាស)</t>
        </is>
      </c>
      <c r="K477" s="213" t="n"/>
      <c r="L477" s="563">
        <f>I477</f>
        <v/>
      </c>
      <c r="M477" s="536">
        <f>I477-L477</f>
        <v/>
      </c>
      <c r="N477" s="213" t="n"/>
      <c r="O477" s="218">
        <f>U477=E477</f>
        <v/>
      </c>
      <c r="P477" s="218">
        <f>MONTH(F477)-MONTH(T477)</f>
        <v/>
      </c>
      <c r="Q477" s="218">
        <f>$B$5=X477</f>
        <v/>
      </c>
      <c r="R477" s="218">
        <f>I477-AD477</f>
        <v/>
      </c>
      <c r="S477" s="298" t="n"/>
      <c r="T477" s="299" t="n">
        <v>45805</v>
      </c>
      <c r="U477" s="298" t="inlineStr">
        <is>
          <t>INV20250542516</t>
        </is>
      </c>
      <c r="V477" s="298" t="n">
        <v>0</v>
      </c>
      <c r="W477" s="298" t="inlineStr">
        <is>
          <t>បុគ្គលជាប់អាករ</t>
        </is>
      </c>
      <c r="X477" s="298" t="inlineStr">
        <is>
          <t>L001-901640009</t>
        </is>
      </c>
      <c r="Y477" s="298" t="inlineStr">
        <is>
          <t>ហូលីដេ ឌីហ្សាញ (ខេមបូឌា) ឯ.ក</t>
        </is>
      </c>
      <c r="Z477" s="300" t="n">
        <v>26422</v>
      </c>
      <c r="AA477" s="300" t="n">
        <v>24020</v>
      </c>
      <c r="AB477" s="298" t="n">
        <v>0</v>
      </c>
      <c r="AC477" s="298" t="inlineStr">
        <is>
          <t>-</t>
        </is>
      </c>
      <c r="AD477" s="300" t="n">
        <v>2402</v>
      </c>
      <c r="AE477" s="298" t="n">
        <v>0</v>
      </c>
      <c r="AF477" s="562" t="n">
        <v>0</v>
      </c>
      <c r="AG477" s="198" t="n">
        <v>0</v>
      </c>
      <c r="AH477" s="198" t="n">
        <v>0</v>
      </c>
      <c r="AI477" s="198" t="n">
        <v>0</v>
      </c>
      <c r="AJ477" s="198" t="n">
        <v>0</v>
      </c>
      <c r="AK477" s="198" t="n">
        <v>0</v>
      </c>
      <c r="AL477" s="198" t="n">
        <v>0.01</v>
      </c>
      <c r="AM477" s="198" t="n">
        <v>0</v>
      </c>
      <c r="AN477" s="198" t="inlineStr">
        <is>
          <t>ចំណូលពីសេវាកម្ម (លើកដាក់ទំនិញ)</t>
        </is>
      </c>
    </row>
    <row r="478">
      <c r="A478" s="212">
        <f>A477+1</f>
        <v/>
      </c>
      <c r="B478" s="214" t="inlineStr">
        <is>
          <t>Lift-Off-Ex</t>
        </is>
      </c>
      <c r="C478" s="214" t="inlineStr">
        <is>
          <t>PHNOM PENH AUTONOMOUS PORT "PPAP"</t>
        </is>
      </c>
      <c r="D478" s="215" t="inlineStr">
        <is>
          <t>L001-100044999</t>
        </is>
      </c>
      <c r="E478" s="290" t="inlineStr">
        <is>
          <t>INV20250539147</t>
        </is>
      </c>
      <c r="F478" s="279" t="n">
        <v>45796</v>
      </c>
      <c r="G478" s="216" t="n"/>
      <c r="H478" s="564" t="n"/>
      <c r="I478" s="564" t="n">
        <v>28014</v>
      </c>
      <c r="J478" s="213" t="inlineStr">
        <is>
          <t>អនុញ្ញាត (បានប្រកាស)</t>
        </is>
      </c>
      <c r="K478" s="213" t="n"/>
      <c r="L478" s="563">
        <f>I478</f>
        <v/>
      </c>
      <c r="M478" s="536">
        <f>I478-L478</f>
        <v/>
      </c>
      <c r="N478" s="213" t="n"/>
      <c r="O478" s="218">
        <f>U478=E478</f>
        <v/>
      </c>
      <c r="P478" s="218">
        <f>MONTH(F478)-MONTH(T478)</f>
        <v/>
      </c>
      <c r="Q478" s="218">
        <f>$B$5=X478</f>
        <v/>
      </c>
      <c r="R478" s="218">
        <f>I478-AD478</f>
        <v/>
      </c>
      <c r="S478" s="298" t="inlineStr">
        <is>
          <t>Wrong invoice number</t>
        </is>
      </c>
      <c r="T478" s="299" t="n">
        <v>45796</v>
      </c>
      <c r="U478" s="298" t="inlineStr">
        <is>
          <t>INV20250539147</t>
        </is>
      </c>
      <c r="V478" s="298" t="n">
        <v>0</v>
      </c>
      <c r="W478" s="298" t="inlineStr">
        <is>
          <t>បុគ្គលជាប់អាករ</t>
        </is>
      </c>
      <c r="X478" s="298" t="inlineStr">
        <is>
          <t>L001-901640009</t>
        </is>
      </c>
      <c r="Y478" s="298" t="inlineStr">
        <is>
          <t>ហូលីដេ ឌីហ្សាញ (ខេមបូឌា) ឯ.ក</t>
        </is>
      </c>
      <c r="Z478" s="300" t="n">
        <v>308154</v>
      </c>
      <c r="AA478" s="300" t="n">
        <v>280140</v>
      </c>
      <c r="AB478" s="298" t="n">
        <v>0</v>
      </c>
      <c r="AC478" s="298" t="inlineStr">
        <is>
          <t>-</t>
        </is>
      </c>
      <c r="AD478" s="300" t="n">
        <v>28014</v>
      </c>
      <c r="AE478" s="298" t="n">
        <v>0</v>
      </c>
      <c r="AF478" s="562" t="n">
        <v>0</v>
      </c>
      <c r="AG478" s="198" t="n">
        <v>0</v>
      </c>
      <c r="AH478" s="198" t="n">
        <v>0</v>
      </c>
      <c r="AI478" s="198" t="n">
        <v>0</v>
      </c>
      <c r="AJ478" s="198" t="n">
        <v>0</v>
      </c>
      <c r="AK478" s="198" t="n">
        <v>0</v>
      </c>
      <c r="AL478" s="198" t="n">
        <v>0.01</v>
      </c>
      <c r="AM478" s="198" t="n">
        <v>0</v>
      </c>
      <c r="AN478" s="198" t="inlineStr">
        <is>
          <t>ចំណូលពីសេវាកម្ម (លើកដាក់ទំនិញ)</t>
        </is>
      </c>
    </row>
    <row r="479">
      <c r="A479" s="212">
        <f>A478+1</f>
        <v/>
      </c>
      <c r="B479" s="214" t="inlineStr">
        <is>
          <t>Trucking &amp; Clearance-Ex</t>
        </is>
      </c>
      <c r="C479" s="214" t="inlineStr">
        <is>
          <t>KR GLOBAL LOGISTICS CO., LTD.</t>
        </is>
      </c>
      <c r="D479" s="215" t="inlineStr">
        <is>
          <t>K005-902004162</t>
        </is>
      </c>
      <c r="E479" s="290" t="inlineStr">
        <is>
          <t>KR252258</t>
        </is>
      </c>
      <c r="F479" s="279" t="n">
        <v>45786</v>
      </c>
      <c r="G479" s="216" t="n"/>
      <c r="H479" s="564" t="n"/>
      <c r="I479" s="564" t="n">
        <v>170528</v>
      </c>
      <c r="J479" s="213" t="inlineStr">
        <is>
          <t>អនុញ្ញាត (បានប្រកាស)</t>
        </is>
      </c>
      <c r="K479" s="213" t="n"/>
      <c r="L479" s="563">
        <f>I479</f>
        <v/>
      </c>
      <c r="M479" s="536">
        <f>I479-L479</f>
        <v/>
      </c>
      <c r="N479" s="213" t="n"/>
      <c r="O479" s="218">
        <f>U479=E479</f>
        <v/>
      </c>
      <c r="P479" s="218">
        <f>MONTH(F479)-MONTH(T479)</f>
        <v/>
      </c>
      <c r="Q479" s="218">
        <f>$B$5=X479</f>
        <v/>
      </c>
      <c r="R479" s="218">
        <f>I479-AD479</f>
        <v/>
      </c>
      <c r="S479" s="298" t="n"/>
      <c r="T479" s="299" t="n">
        <v>45786</v>
      </c>
      <c r="U479" s="298" t="inlineStr">
        <is>
          <t>KR252258</t>
        </is>
      </c>
      <c r="V479" s="298" t="n"/>
      <c r="W479" s="298" t="n"/>
      <c r="X479" s="298" t="n"/>
      <c r="Y479" s="298" t="inlineStr">
        <is>
          <t>ហូលីដេ ឌីហ្សាញ (ខេមបូឌា) ឯ.ក</t>
        </is>
      </c>
      <c r="Z479" s="300" t="n"/>
      <c r="AA479" s="300" t="n"/>
      <c r="AB479" s="298" t="n"/>
      <c r="AC479" s="298" t="n"/>
      <c r="AD479" s="300" t="n">
        <v>170528</v>
      </c>
      <c r="AE479" s="298" t="n"/>
      <c r="AF479" s="562" t="n"/>
    </row>
    <row r="480">
      <c r="A480" s="212">
        <f>A479+1</f>
        <v/>
      </c>
      <c r="B480" s="214" t="inlineStr">
        <is>
          <t>Lift-Off-Ex</t>
        </is>
      </c>
      <c r="C480" s="214" t="inlineStr">
        <is>
          <t>PHNOM PENH AUTONOMOUS PORT "PPAP"</t>
        </is>
      </c>
      <c r="D480" s="215" t="inlineStr">
        <is>
          <t>L001-100044999</t>
        </is>
      </c>
      <c r="E480" s="290" t="inlineStr">
        <is>
          <t>INV20250539146</t>
        </is>
      </c>
      <c r="F480" s="279" t="n">
        <v>45796</v>
      </c>
      <c r="G480" s="216" t="n"/>
      <c r="H480" s="564" t="n"/>
      <c r="I480" s="564" t="n">
        <v>224112</v>
      </c>
      <c r="J480" s="213" t="inlineStr">
        <is>
          <t>អនុញ្ញាត (បានប្រកាស)</t>
        </is>
      </c>
      <c r="K480" s="213" t="n"/>
      <c r="L480" s="563">
        <f>I480</f>
        <v/>
      </c>
      <c r="M480" s="536">
        <f>I480-L480</f>
        <v/>
      </c>
      <c r="N480" s="213" t="n"/>
      <c r="O480" s="218">
        <f>U480=E480</f>
        <v/>
      </c>
      <c r="P480" s="218">
        <f>MONTH(F480)-MONTH(T480)</f>
        <v/>
      </c>
      <c r="Q480" s="218">
        <f>$B$5=X480</f>
        <v/>
      </c>
      <c r="R480" s="218">
        <f>I480-AD480</f>
        <v/>
      </c>
      <c r="S480" s="298" t="n"/>
      <c r="T480" s="299" t="n">
        <v>45796</v>
      </c>
      <c r="U480" s="298" t="inlineStr">
        <is>
          <t>INV20250539146</t>
        </is>
      </c>
      <c r="V480" s="298" t="n">
        <v>0</v>
      </c>
      <c r="W480" s="298" t="inlineStr">
        <is>
          <t>បុគ្គលជាប់អាករ</t>
        </is>
      </c>
      <c r="X480" s="298" t="inlineStr">
        <is>
          <t>L001-901640009</t>
        </is>
      </c>
      <c r="Y480" s="298" t="inlineStr">
        <is>
          <t>ហូលីដេ ឌីហ្សាញ (ខេមបូឌា) ឯ.ក</t>
        </is>
      </c>
      <c r="Z480" s="300" t="n">
        <v>2465232</v>
      </c>
      <c r="AA480" s="300" t="n">
        <v>2241120</v>
      </c>
      <c r="AB480" s="298" t="n">
        <v>0</v>
      </c>
      <c r="AC480" s="298" t="inlineStr">
        <is>
          <t>-</t>
        </is>
      </c>
      <c r="AD480" s="300" t="n">
        <v>224112</v>
      </c>
      <c r="AE480" s="298" t="n">
        <v>0</v>
      </c>
      <c r="AF480" s="562" t="n">
        <v>0</v>
      </c>
      <c r="AG480" s="198" t="n">
        <v>0</v>
      </c>
      <c r="AH480" s="198" t="n">
        <v>0</v>
      </c>
      <c r="AI480" s="198" t="n">
        <v>0</v>
      </c>
      <c r="AJ480" s="198" t="n">
        <v>0</v>
      </c>
      <c r="AK480" s="198" t="n">
        <v>0</v>
      </c>
      <c r="AL480" s="198" t="n">
        <v>0.01</v>
      </c>
      <c r="AM480" s="198" t="n">
        <v>0</v>
      </c>
      <c r="AN480" s="198" t="inlineStr">
        <is>
          <t>ចំណូលពីសេវាកម្ម (លើកដាក់ទំនិញ)</t>
        </is>
      </c>
    </row>
    <row r="481">
      <c r="A481" s="212">
        <f>A480+1</f>
        <v/>
      </c>
      <c r="B481" s="214" t="inlineStr">
        <is>
          <t>Trucking &amp; Clearance-Ex</t>
        </is>
      </c>
      <c r="C481" s="214" t="inlineStr">
        <is>
          <t>KR GLOBAL LOGISTICS CO., LTD.</t>
        </is>
      </c>
      <c r="D481" s="215" t="inlineStr">
        <is>
          <t>K005-902004162</t>
        </is>
      </c>
      <c r="E481" s="290" t="inlineStr">
        <is>
          <t>KR252257</t>
        </is>
      </c>
      <c r="F481" s="279" t="n">
        <v>45786</v>
      </c>
      <c r="G481" s="216" t="n"/>
      <c r="H481" s="564" t="n"/>
      <c r="I481" s="564" t="n">
        <v>1364222</v>
      </c>
      <c r="J481" s="213" t="inlineStr">
        <is>
          <t>អនុញ្ញាត (បានប្រកាស)</t>
        </is>
      </c>
      <c r="K481" s="213" t="n"/>
      <c r="L481" s="563">
        <f>I481</f>
        <v/>
      </c>
      <c r="M481" s="536">
        <f>I481-L481</f>
        <v/>
      </c>
      <c r="N481" s="213" t="n"/>
      <c r="O481" s="218">
        <f>U481=E481</f>
        <v/>
      </c>
      <c r="P481" s="218">
        <f>MONTH(F481)-MONTH(T481)</f>
        <v/>
      </c>
      <c r="Q481" s="218">
        <f>$B$5=X481</f>
        <v/>
      </c>
      <c r="R481" s="218">
        <f>I481-AD481</f>
        <v/>
      </c>
      <c r="S481" s="298" t="n"/>
      <c r="T481" s="299" t="n">
        <v>45786</v>
      </c>
      <c r="U481" s="298" t="inlineStr">
        <is>
          <t>KR252257</t>
        </is>
      </c>
      <c r="V481" s="298" t="n"/>
      <c r="W481" s="298" t="n"/>
      <c r="X481" s="298" t="n"/>
      <c r="Y481" s="298" t="inlineStr">
        <is>
          <t>ហូលីដេ ឌីហ្សាញ (ខេមបូឌា) ឯ.ក</t>
        </is>
      </c>
      <c r="Z481" s="300" t="n"/>
      <c r="AA481" s="300" t="n"/>
      <c r="AB481" s="298" t="n"/>
      <c r="AC481" s="298" t="n"/>
      <c r="AD481" s="300" t="n">
        <v>1364222</v>
      </c>
      <c r="AE481" s="298" t="n"/>
      <c r="AF481" s="562" t="n"/>
    </row>
    <row r="482">
      <c r="A482" s="212">
        <f>A481+1</f>
        <v/>
      </c>
      <c r="B482" s="214" t="inlineStr">
        <is>
          <t>Trucking &amp; Clearance-Im</t>
        </is>
      </c>
      <c r="C482" s="214" t="inlineStr">
        <is>
          <t>BRILLIANT TRANSPORT AND TRADING Co., Ltd.</t>
        </is>
      </c>
      <c r="D482" s="215" t="inlineStr">
        <is>
          <t>K002-100089305</t>
        </is>
      </c>
      <c r="E482" s="290" t="inlineStr">
        <is>
          <t>BTT25-0001169</t>
        </is>
      </c>
      <c r="F482" s="279" t="n">
        <v>45804</v>
      </c>
      <c r="G482" s="216" t="n"/>
      <c r="H482" s="564" t="n"/>
      <c r="I482" s="564" t="n">
        <v>3026268</v>
      </c>
      <c r="J482" s="213" t="inlineStr">
        <is>
          <t>អនុញ្ញាត (បានប្រកាស)</t>
        </is>
      </c>
      <c r="K482" s="213" t="n"/>
      <c r="L482" s="563">
        <f>I482</f>
        <v/>
      </c>
      <c r="M482" s="536">
        <f>I482-L482</f>
        <v/>
      </c>
      <c r="N482" s="213" t="n"/>
      <c r="O482" s="218">
        <f>U482=E482</f>
        <v/>
      </c>
      <c r="P482" s="218">
        <f>MONTH(F482)-MONTH(T482)</f>
        <v/>
      </c>
      <c r="Q482" s="218">
        <f>$B$5=X482</f>
        <v/>
      </c>
      <c r="R482" s="218">
        <f>I482-AD482</f>
        <v/>
      </c>
      <c r="S482" s="298" t="n"/>
      <c r="T482" s="299" t="n">
        <v>45804</v>
      </c>
      <c r="U482" s="298" t="inlineStr">
        <is>
          <t>BTT25-0001169</t>
        </is>
      </c>
      <c r="V482" s="298" t="n"/>
      <c r="W482" s="298" t="n"/>
      <c r="X482" s="298" t="n"/>
      <c r="Y482" s="298" t="inlineStr">
        <is>
          <t>ហូលីដេ ឌីហ្សាញ (ខេមបូឌា) ឯ.ក</t>
        </is>
      </c>
      <c r="Z482" s="300" t="n"/>
      <c r="AA482" s="300" t="n"/>
      <c r="AB482" s="298" t="n"/>
      <c r="AC482" s="298" t="n"/>
      <c r="AD482" s="300" t="n">
        <v>3026268</v>
      </c>
      <c r="AE482" s="298" t="n"/>
      <c r="AF482" s="562" t="n"/>
      <c r="AN482" s="198" t="inlineStr">
        <is>
          <t>Truking / Service</t>
        </is>
      </c>
    </row>
    <row r="483">
      <c r="A483" s="212">
        <f>A482+1</f>
        <v/>
      </c>
      <c r="B483" s="214" t="inlineStr">
        <is>
          <t>THC Fee-Ex</t>
        </is>
      </c>
      <c r="C483" s="214" t="inlineStr">
        <is>
          <t>APL LOGISTICS (CAMBODIA) PTE LTD.</t>
        </is>
      </c>
      <c r="D483" s="215" t="inlineStr">
        <is>
          <t>L001-100046460</t>
        </is>
      </c>
      <c r="E483" s="290" t="inlineStr">
        <is>
          <t>APLL25003538</t>
        </is>
      </c>
      <c r="F483" s="279" t="n">
        <v>45807</v>
      </c>
      <c r="G483" s="216" t="n"/>
      <c r="H483" s="564" t="n"/>
      <c r="I483" s="564" t="n">
        <v>1005255</v>
      </c>
      <c r="J483" s="213" t="inlineStr">
        <is>
          <t>អនុញ្ញាត (បានប្រកាស)</t>
        </is>
      </c>
      <c r="K483" s="213" t="n"/>
      <c r="L483" s="563">
        <f>I483</f>
        <v/>
      </c>
      <c r="M483" s="536">
        <f>I483-L483</f>
        <v/>
      </c>
      <c r="N483" s="213" t="n"/>
      <c r="O483" s="218">
        <f>U483=E483</f>
        <v/>
      </c>
      <c r="P483" s="218">
        <f>MONTH(F483)-MONTH(T483)</f>
        <v/>
      </c>
      <c r="Q483" s="218">
        <f>$B$5=X483</f>
        <v/>
      </c>
      <c r="R483" s="218">
        <f>I483-AD483</f>
        <v/>
      </c>
      <c r="S483" s="298" t="n"/>
      <c r="T483" s="299" t="n">
        <v>45807</v>
      </c>
      <c r="U483" s="298" t="inlineStr">
        <is>
          <t>APLL25003538</t>
        </is>
      </c>
      <c r="V483" s="298" t="n"/>
      <c r="W483" s="298" t="n"/>
      <c r="X483" s="298" t="n"/>
      <c r="Y483" s="298" t="inlineStr">
        <is>
          <t>ហូលីដេ ឌីហ្សាញ (ខេមបូឌា) ឯ.ក</t>
        </is>
      </c>
      <c r="Z483" s="300" t="n"/>
      <c r="AA483" s="300" t="n"/>
      <c r="AB483" s="298" t="n"/>
      <c r="AC483" s="298" t="n"/>
      <c r="AD483" s="300" t="n">
        <v>1005255</v>
      </c>
      <c r="AE483" s="298" t="n"/>
      <c r="AF483" s="562" t="n"/>
    </row>
    <row r="484">
      <c r="A484" s="212">
        <f>A483+1</f>
        <v/>
      </c>
      <c r="B484" s="214" t="inlineStr">
        <is>
          <t>Lift-On &amp; Lift-On-Im</t>
        </is>
      </c>
      <c r="C484" s="214" t="inlineStr">
        <is>
          <t>Port Autonome Du Sihanoukville</t>
        </is>
      </c>
      <c r="D484" s="215" t="inlineStr">
        <is>
          <t>L001-100044638</t>
        </is>
      </c>
      <c r="E484" s="290" t="n">
        <v>202500122681</v>
      </c>
      <c r="F484" s="279" t="n">
        <v>45803</v>
      </c>
      <c r="G484" s="216" t="n"/>
      <c r="H484" s="564" t="n"/>
      <c r="I484" s="564" t="n">
        <v>34817</v>
      </c>
      <c r="J484" s="213" t="inlineStr">
        <is>
          <t>អនុញ្ញាត (បានប្រកាស)</t>
        </is>
      </c>
      <c r="K484" s="213" t="n"/>
      <c r="L484" s="563">
        <f>I484</f>
        <v/>
      </c>
      <c r="M484" s="536">
        <f>I484-L484</f>
        <v/>
      </c>
      <c r="N484" s="213" t="n"/>
      <c r="O484" s="218">
        <f>U484=E484</f>
        <v/>
      </c>
      <c r="P484" s="218">
        <f>MONTH(F484)-MONTH(T484)</f>
        <v/>
      </c>
      <c r="Q484" s="218">
        <f>$B$5=X484</f>
        <v/>
      </c>
      <c r="R484" s="218">
        <f>I484-AD484</f>
        <v/>
      </c>
      <c r="S484" s="298" t="inlineStr">
        <is>
          <t>Wrong invoice number</t>
        </is>
      </c>
      <c r="T484" s="299" t="n">
        <v>45803</v>
      </c>
      <c r="U484" s="298" t="n">
        <v>202500122681</v>
      </c>
      <c r="V484" s="298" t="n"/>
      <c r="W484" s="298" t="inlineStr">
        <is>
          <t>បុគ្គលជាប់អាករ</t>
        </is>
      </c>
      <c r="X484" s="298" t="inlineStr">
        <is>
          <t>L001-901640009</t>
        </is>
      </c>
      <c r="Y484" s="298" t="inlineStr">
        <is>
          <t>ហូលីដេ ឌីហ្សាញ (ខេមបូឌា) ឯ.ក</t>
        </is>
      </c>
      <c r="Z484" s="300" t="n">
        <v>382991</v>
      </c>
      <c r="AA484" s="300" t="n">
        <v>348174</v>
      </c>
      <c r="AB484" s="298" t="n">
        <v>0</v>
      </c>
      <c r="AC484" s="298" t="inlineStr">
        <is>
          <t>-</t>
        </is>
      </c>
      <c r="AD484" s="300" t="n">
        <v>34817</v>
      </c>
      <c r="AE484" s="298" t="n"/>
      <c r="AF484" s="562" t="n"/>
    </row>
    <row r="485">
      <c r="A485" s="212">
        <f>A484+1</f>
        <v/>
      </c>
      <c r="B485" s="214" t="inlineStr">
        <is>
          <t>Lift-On &amp; Lift-On-Im</t>
        </is>
      </c>
      <c r="C485" s="214" t="inlineStr">
        <is>
          <t>Port Autonome Du Sihanoukville</t>
        </is>
      </c>
      <c r="D485" s="215" t="inlineStr">
        <is>
          <t>L001-100044638</t>
        </is>
      </c>
      <c r="E485" s="290" t="n">
        <v>202500101343</v>
      </c>
      <c r="F485" s="279" t="n">
        <v>45782</v>
      </c>
      <c r="G485" s="216" t="n"/>
      <c r="H485" s="564" t="n"/>
      <c r="I485" s="564" t="n">
        <v>418018</v>
      </c>
      <c r="J485" s="213" t="inlineStr">
        <is>
          <t>អនុញ្ញាត (បានប្រកាស)</t>
        </is>
      </c>
      <c r="K485" s="213" t="n"/>
      <c r="L485" s="563">
        <f>I485</f>
        <v/>
      </c>
      <c r="M485" s="536">
        <f>I485-L485</f>
        <v/>
      </c>
      <c r="N485" s="213" t="n"/>
      <c r="O485" s="218">
        <f>U485=E485</f>
        <v/>
      </c>
      <c r="P485" s="218">
        <f>MONTH(F485)-MONTH(T485)</f>
        <v/>
      </c>
      <c r="Q485" s="218">
        <f>$B$5=X485</f>
        <v/>
      </c>
      <c r="R485" s="218">
        <f>I485-AD485</f>
        <v/>
      </c>
      <c r="S485" s="298" t="n"/>
      <c r="T485" s="299" t="n">
        <v>45782</v>
      </c>
      <c r="U485" s="298" t="n">
        <v>202500101343</v>
      </c>
      <c r="V485" s="298" t="n"/>
      <c r="W485" s="298" t="inlineStr">
        <is>
          <t>បុគ្គលជាប់អាករ</t>
        </is>
      </c>
      <c r="X485" s="298" t="inlineStr">
        <is>
          <t>L001-901640009</t>
        </is>
      </c>
      <c r="Y485" s="298" t="inlineStr">
        <is>
          <t>ហូលីដេ ឌីហ្សាញ (ខេមបូឌា) ឯ.ក</t>
        </is>
      </c>
      <c r="Z485" s="300" t="n">
        <v>4598194</v>
      </c>
      <c r="AA485" s="300" t="n">
        <v>4180176</v>
      </c>
      <c r="AB485" s="298" t="n">
        <v>0</v>
      </c>
      <c r="AC485" s="298" t="inlineStr">
        <is>
          <t>-</t>
        </is>
      </c>
      <c r="AD485" s="300" t="n">
        <v>418018</v>
      </c>
      <c r="AE485" s="298" t="n"/>
      <c r="AF485" s="562" t="n"/>
    </row>
    <row r="486">
      <c r="A486" s="212">
        <f>A485+1</f>
        <v/>
      </c>
      <c r="B486" s="214" t="inlineStr">
        <is>
          <t>Terminal Handling Charge-Im</t>
        </is>
      </c>
      <c r="C486" s="214" t="inlineStr">
        <is>
          <t>SITC CONTAINER LINES (CAMBODIA) Co., Ltd.</t>
        </is>
      </c>
      <c r="D486" s="215" t="inlineStr">
        <is>
          <t>L001-107035863</t>
        </is>
      </c>
      <c r="E486" s="290" t="inlineStr">
        <is>
          <t>SITC2025-014840</t>
        </is>
      </c>
      <c r="F486" s="279" t="n">
        <v>45778</v>
      </c>
      <c r="G486" s="216" t="n"/>
      <c r="H486" s="564" t="n"/>
      <c r="I486" s="564" t="n">
        <v>2521890</v>
      </c>
      <c r="J486" s="213" t="inlineStr">
        <is>
          <t>អនុញ្ញាត (បានប្រកាស)</t>
        </is>
      </c>
      <c r="K486" s="213" t="n"/>
      <c r="L486" s="563">
        <f>I486</f>
        <v/>
      </c>
      <c r="M486" s="536">
        <f>I486-L486</f>
        <v/>
      </c>
      <c r="N486" s="213" t="n"/>
      <c r="O486" s="218">
        <f>U486=E486</f>
        <v/>
      </c>
      <c r="P486" s="218">
        <f>MONTH(F486)-MONTH(T486)</f>
        <v/>
      </c>
      <c r="Q486" s="218">
        <f>$B$5=X486</f>
        <v/>
      </c>
      <c r="R486" s="218">
        <f>I486-AD486</f>
        <v/>
      </c>
      <c r="S486" s="298" t="n"/>
      <c r="T486" s="299" t="n">
        <v>45778</v>
      </c>
      <c r="U486" s="298" t="inlineStr">
        <is>
          <t>SITC2025-014840</t>
        </is>
      </c>
      <c r="V486" s="298" t="n"/>
      <c r="W486" s="298" t="inlineStr">
        <is>
          <t>បុគ្គលជាប់អាករ</t>
        </is>
      </c>
      <c r="X486" s="298" t="inlineStr">
        <is>
          <t>L001-901640009</t>
        </is>
      </c>
      <c r="Y486" s="298" t="inlineStr">
        <is>
          <t>ហូលីដេ ឌីហ្សាញ (ខេមបូឌា) ឯ.ក</t>
        </is>
      </c>
      <c r="Z486" s="300" t="n">
        <v>27740790</v>
      </c>
      <c r="AA486" s="300" t="n">
        <v>25218900</v>
      </c>
      <c r="AB486" s="298" t="n">
        <v>0</v>
      </c>
      <c r="AC486" s="298" t="inlineStr">
        <is>
          <t>-</t>
        </is>
      </c>
      <c r="AD486" s="300" t="n">
        <v>2521890</v>
      </c>
      <c r="AE486" s="298" t="n">
        <v>0</v>
      </c>
      <c r="AF486" s="562" t="n">
        <v>0</v>
      </c>
      <c r="AG486" s="198" t="n">
        <v>0</v>
      </c>
      <c r="AH486" s="198" t="n">
        <v>0</v>
      </c>
      <c r="AI486" s="198" t="n">
        <v>0</v>
      </c>
      <c r="AJ486" s="198" t="n">
        <v>0</v>
      </c>
      <c r="AK486" s="198" t="n">
        <v>0</v>
      </c>
      <c r="AL486" s="198" t="n">
        <v>0.01</v>
      </c>
      <c r="AN486" s="198" t="inlineStr">
        <is>
          <t>KHDOC,KHTHC,KHCIC,EI</t>
        </is>
      </c>
    </row>
    <row r="487">
      <c r="A487" s="212">
        <f>A486+1</f>
        <v/>
      </c>
      <c r="B487" s="214" t="inlineStr">
        <is>
          <t>Trucking &amp; Clearance-Im</t>
        </is>
      </c>
      <c r="C487" s="214" t="inlineStr">
        <is>
          <t>BRILLIANT TRANSPORT AND TRADING Co., Ltd.</t>
        </is>
      </c>
      <c r="D487" s="215" t="inlineStr">
        <is>
          <t>K002-100089305</t>
        </is>
      </c>
      <c r="E487" s="290" t="inlineStr">
        <is>
          <t>BTT25-0001049</t>
        </is>
      </c>
      <c r="F487" s="279" t="n">
        <v>45782</v>
      </c>
      <c r="G487" s="216" t="n"/>
      <c r="H487" s="564" t="n"/>
      <c r="I487" s="564" t="n">
        <v>2890888</v>
      </c>
      <c r="J487" s="213" t="inlineStr">
        <is>
          <t>អនុញ្ញាត (បានប្រកាស)</t>
        </is>
      </c>
      <c r="K487" s="213" t="n"/>
      <c r="L487" s="563">
        <f>I487</f>
        <v/>
      </c>
      <c r="M487" s="536">
        <f>I487-L487</f>
        <v/>
      </c>
      <c r="N487" s="213" t="n"/>
      <c r="O487" s="218">
        <f>U487=E487</f>
        <v/>
      </c>
      <c r="P487" s="218">
        <f>MONTH(F487)-MONTH(T487)</f>
        <v/>
      </c>
      <c r="Q487" s="218">
        <f>$B$5=X487</f>
        <v/>
      </c>
      <c r="R487" s="218">
        <f>I487-AD487</f>
        <v/>
      </c>
      <c r="S487" s="298" t="n"/>
      <c r="T487" s="299" t="n">
        <v>45782</v>
      </c>
      <c r="U487" s="298" t="inlineStr">
        <is>
          <t>BTT25-0001049</t>
        </is>
      </c>
      <c r="V487" s="298" t="n"/>
      <c r="W487" s="298" t="n"/>
      <c r="X487" s="298" t="n"/>
      <c r="Y487" s="298" t="inlineStr">
        <is>
          <t>ហូលីដេ ឌីហ្សាញ (ខេមបូឌា) ឯ.ក</t>
        </is>
      </c>
      <c r="Z487" s="300" t="n"/>
      <c r="AA487" s="300" t="n"/>
      <c r="AB487" s="298" t="n"/>
      <c r="AC487" s="298" t="n"/>
      <c r="AD487" s="300" t="n">
        <v>2890888</v>
      </c>
      <c r="AE487" s="298" t="n"/>
      <c r="AF487" s="562" t="n"/>
      <c r="AN487" s="198" t="inlineStr">
        <is>
          <t>Truking / Service</t>
        </is>
      </c>
    </row>
    <row r="488">
      <c r="A488" s="212">
        <f>A487+1</f>
        <v/>
      </c>
      <c r="B488" s="214" t="inlineStr">
        <is>
          <t>Trucking &amp; Clearance-Im</t>
        </is>
      </c>
      <c r="C488" s="214" t="inlineStr">
        <is>
          <t>BRILLIANT TRANSPORT AND TRADING Co., Ltd.</t>
        </is>
      </c>
      <c r="D488" s="215" t="inlineStr">
        <is>
          <t>K002-100089305</t>
        </is>
      </c>
      <c r="E488" s="290" t="inlineStr">
        <is>
          <t>BTT25-0001048</t>
        </is>
      </c>
      <c r="F488" s="279" t="n">
        <v>45779</v>
      </c>
      <c r="G488" s="216" t="n"/>
      <c r="H488" s="564" t="n"/>
      <c r="I488" s="564" t="n">
        <v>1084542</v>
      </c>
      <c r="J488" s="213" t="inlineStr">
        <is>
          <t>អនុញ្ញាត (បានប្រកាស)</t>
        </is>
      </c>
      <c r="K488" s="213" t="n"/>
      <c r="L488" s="563">
        <f>I488</f>
        <v/>
      </c>
      <c r="M488" s="536">
        <f>I488-L488</f>
        <v/>
      </c>
      <c r="N488" s="213" t="n"/>
      <c r="O488" s="218">
        <f>U488=E488</f>
        <v/>
      </c>
      <c r="P488" s="218">
        <f>MONTH(F488)-MONTH(T488)</f>
        <v/>
      </c>
      <c r="Q488" s="218">
        <f>$B$5=X488</f>
        <v/>
      </c>
      <c r="R488" s="218">
        <f>I488-AD488</f>
        <v/>
      </c>
      <c r="S488" s="298" t="n"/>
      <c r="T488" s="299" t="n">
        <v>45779</v>
      </c>
      <c r="U488" s="298" t="inlineStr">
        <is>
          <t>BTT25-0001048</t>
        </is>
      </c>
      <c r="V488" s="298" t="n"/>
      <c r="W488" s="298" t="n"/>
      <c r="X488" s="298" t="n"/>
      <c r="Y488" s="298" t="inlineStr">
        <is>
          <t>ហូលីដេ ឌីហ្សាញ (ខេមបូឌា) ឯ.ក</t>
        </is>
      </c>
      <c r="Z488" s="300" t="n"/>
      <c r="AA488" s="300" t="n"/>
      <c r="AB488" s="298" t="n"/>
      <c r="AC488" s="298" t="n"/>
      <c r="AD488" s="300" t="n">
        <v>1084542</v>
      </c>
      <c r="AE488" s="298" t="n"/>
      <c r="AF488" s="562" t="n"/>
      <c r="AN488" s="198" t="inlineStr">
        <is>
          <t>Truking / Service</t>
        </is>
      </c>
    </row>
    <row r="489">
      <c r="A489" s="212">
        <f>A488+1</f>
        <v/>
      </c>
      <c r="B489" s="214" t="inlineStr">
        <is>
          <t>Trucking &amp; Clearance-Im</t>
        </is>
      </c>
      <c r="C489" s="214" t="inlineStr">
        <is>
          <t>BRILLIANT TRANSPORT AND TRADING Co., Ltd.</t>
        </is>
      </c>
      <c r="D489" s="215" t="inlineStr">
        <is>
          <t>K002-100089305</t>
        </is>
      </c>
      <c r="E489" s="290" t="inlineStr">
        <is>
          <t>BTT25-0001047</t>
        </is>
      </c>
      <c r="F489" s="279" t="n">
        <v>45779</v>
      </c>
      <c r="G489" s="216" t="n"/>
      <c r="H489" s="564" t="n"/>
      <c r="I489" s="564" t="n">
        <v>1084542</v>
      </c>
      <c r="J489" s="213" t="inlineStr">
        <is>
          <t>អនុញ្ញាត (បានប្រកាស)</t>
        </is>
      </c>
      <c r="K489" s="213" t="n"/>
      <c r="L489" s="563">
        <f>I489</f>
        <v/>
      </c>
      <c r="M489" s="536">
        <f>I489-L489</f>
        <v/>
      </c>
      <c r="N489" s="213" t="n"/>
      <c r="O489" s="218">
        <f>U489=E489</f>
        <v/>
      </c>
      <c r="P489" s="218">
        <f>MONTH(F489)-MONTH(T489)</f>
        <v/>
      </c>
      <c r="Q489" s="218">
        <f>$B$5=X489</f>
        <v/>
      </c>
      <c r="R489" s="218">
        <f>I489-AD489</f>
        <v/>
      </c>
      <c r="S489" s="298" t="n"/>
      <c r="T489" s="299" t="n">
        <v>45779</v>
      </c>
      <c r="U489" s="298" t="inlineStr">
        <is>
          <t>BTT25-0001047</t>
        </is>
      </c>
      <c r="V489" s="298" t="n"/>
      <c r="W489" s="298" t="n"/>
      <c r="X489" s="298" t="n"/>
      <c r="Y489" s="298" t="inlineStr">
        <is>
          <t>ហូលីដេ ឌីហ្សាញ (ខេមបូឌា) ឯ.ក</t>
        </is>
      </c>
      <c r="Z489" s="300" t="n"/>
      <c r="AA489" s="300" t="n"/>
      <c r="AB489" s="298" t="n"/>
      <c r="AC489" s="298" t="n"/>
      <c r="AD489" s="300" t="n">
        <v>1084542</v>
      </c>
      <c r="AE489" s="298" t="n"/>
      <c r="AF489" s="562" t="n"/>
      <c r="AN489" s="198" t="inlineStr">
        <is>
          <t>Truking / Service</t>
        </is>
      </c>
    </row>
    <row r="490">
      <c r="A490" s="212">
        <f>A489+1</f>
        <v/>
      </c>
      <c r="B490" s="214" t="inlineStr">
        <is>
          <t>Trucking &amp; Clearance-Im</t>
        </is>
      </c>
      <c r="C490" s="214" t="inlineStr">
        <is>
          <t>BRILLIANT TRANSPORT AND TRADING Co., Ltd.</t>
        </is>
      </c>
      <c r="D490" s="215" t="inlineStr">
        <is>
          <t>K002-100089305</t>
        </is>
      </c>
      <c r="E490" s="290" t="inlineStr">
        <is>
          <t>BTT25-0001046</t>
        </is>
      </c>
      <c r="F490" s="279" t="n">
        <v>45779</v>
      </c>
      <c r="G490" s="216" t="n"/>
      <c r="H490" s="564" t="n"/>
      <c r="I490" s="564" t="n">
        <v>2145072</v>
      </c>
      <c r="J490" s="213" t="inlineStr">
        <is>
          <t>អនុញ្ញាត (បានប្រកាស)</t>
        </is>
      </c>
      <c r="K490" s="213" t="n"/>
      <c r="L490" s="563">
        <f>I490</f>
        <v/>
      </c>
      <c r="M490" s="536">
        <f>I490-L490</f>
        <v/>
      </c>
      <c r="N490" s="213" t="n"/>
      <c r="O490" s="218">
        <f>U490=E490</f>
        <v/>
      </c>
      <c r="P490" s="218">
        <f>MONTH(F490)-MONTH(T490)</f>
        <v/>
      </c>
      <c r="Q490" s="218">
        <f>$B$5=X490</f>
        <v/>
      </c>
      <c r="R490" s="218">
        <f>I490-AD490</f>
        <v/>
      </c>
      <c r="S490" s="298" t="n"/>
      <c r="T490" s="299" t="n">
        <v>45779</v>
      </c>
      <c r="U490" s="298" t="inlineStr">
        <is>
          <t>BTT25-0001046</t>
        </is>
      </c>
      <c r="V490" s="298" t="n"/>
      <c r="W490" s="298" t="n"/>
      <c r="X490" s="298" t="n"/>
      <c r="Y490" s="298" t="inlineStr">
        <is>
          <t>ហូលីដេ ឌីហ្សាញ (ខេមបូឌា) ឯ.ក</t>
        </is>
      </c>
      <c r="Z490" s="300" t="n"/>
      <c r="AA490" s="300" t="n"/>
      <c r="AB490" s="298" t="n"/>
      <c r="AC490" s="298" t="n"/>
      <c r="AD490" s="300" t="n">
        <v>2145072</v>
      </c>
      <c r="AE490" s="298" t="n"/>
      <c r="AF490" s="562" t="n"/>
      <c r="AN490" s="198" t="inlineStr">
        <is>
          <t>Truking / Service</t>
        </is>
      </c>
    </row>
    <row r="491">
      <c r="A491" s="212">
        <f>A490+1</f>
        <v/>
      </c>
      <c r="B491" s="214" t="inlineStr">
        <is>
          <t>THC Fee-Ex</t>
        </is>
      </c>
      <c r="C491" s="214" t="inlineStr">
        <is>
          <t>APL LOGISTICS (CAMBODIA) PTE LTD.</t>
        </is>
      </c>
      <c r="D491" s="215" t="inlineStr">
        <is>
          <t>L001-100046460</t>
        </is>
      </c>
      <c r="E491" s="290" t="inlineStr">
        <is>
          <t>APLL25003015</t>
        </is>
      </c>
      <c r="F491" s="279" t="n">
        <v>45792</v>
      </c>
      <c r="G491" s="216" t="n"/>
      <c r="H491" s="564" t="n"/>
      <c r="I491" s="564" t="n">
        <v>132066</v>
      </c>
      <c r="J491" s="213" t="inlineStr">
        <is>
          <t>អនុញ្ញាត (បានប្រកាស)</t>
        </is>
      </c>
      <c r="K491" s="213" t="n"/>
      <c r="L491" s="563">
        <f>I491</f>
        <v/>
      </c>
      <c r="M491" s="536">
        <f>I491-L491</f>
        <v/>
      </c>
      <c r="N491" s="213" t="n"/>
      <c r="O491" s="218">
        <f>U491=E491</f>
        <v/>
      </c>
      <c r="P491" s="218">
        <f>MONTH(F491)-MONTH(T491)</f>
        <v/>
      </c>
      <c r="Q491" s="218">
        <f>$B$5=X491</f>
        <v/>
      </c>
      <c r="R491" s="218">
        <f>I491-AD491</f>
        <v/>
      </c>
      <c r="S491" s="298" t="n"/>
      <c r="T491" s="299" t="n">
        <v>45792</v>
      </c>
      <c r="U491" s="298" t="inlineStr">
        <is>
          <t>APLL25003015</t>
        </is>
      </c>
      <c r="V491" s="298" t="n"/>
      <c r="W491" s="298" t="n"/>
      <c r="X491" s="298" t="n"/>
      <c r="Y491" s="298" t="inlineStr">
        <is>
          <t>ហូលីដេ ឌីហ្សាញ (ខេមបូឌា) ឯ.ក</t>
        </is>
      </c>
      <c r="Z491" s="300" t="n"/>
      <c r="AA491" s="300" t="n"/>
      <c r="AB491" s="298" t="n"/>
      <c r="AC491" s="298" t="n"/>
      <c r="AD491" s="300" t="n">
        <v>132066</v>
      </c>
      <c r="AE491" s="298" t="n"/>
      <c r="AF491" s="562" t="n"/>
    </row>
    <row r="492">
      <c r="A492" s="212">
        <f>A491+1</f>
        <v/>
      </c>
      <c r="B492" s="214" t="inlineStr">
        <is>
          <t>Technical Review</t>
        </is>
      </c>
      <c r="C492" s="214" t="inlineStr">
        <is>
          <t>SGS (CAMBODIA) LIMITED</t>
        </is>
      </c>
      <c r="D492" s="215" t="inlineStr">
        <is>
          <t>L001-107030519</t>
        </is>
      </c>
      <c r="E492" s="290" t="n">
        <v>10044895</v>
      </c>
      <c r="F492" s="279" t="n">
        <v>45743</v>
      </c>
      <c r="G492" s="216" t="n"/>
      <c r="H492" s="564" t="n"/>
      <c r="I492" s="564" t="n">
        <v>124062</v>
      </c>
      <c r="J492" s="213" t="inlineStr">
        <is>
          <t>អនុញ្ញាត (បានប្រកាស)</t>
        </is>
      </c>
      <c r="K492" s="213" t="n"/>
      <c r="L492" s="563">
        <f>I492</f>
        <v/>
      </c>
      <c r="M492" s="536">
        <f>I492-L492</f>
        <v/>
      </c>
      <c r="N492" s="213" t="n"/>
      <c r="O492" s="218">
        <f>U492=E492</f>
        <v/>
      </c>
      <c r="P492" s="218">
        <f>MONTH(F492)-MONTH(T492)</f>
        <v/>
      </c>
      <c r="Q492" s="218">
        <f>$B$5=X492</f>
        <v/>
      </c>
      <c r="R492" s="218">
        <f>I492-AD492</f>
        <v/>
      </c>
      <c r="S492" s="298" t="n"/>
      <c r="T492" s="299" t="n">
        <v>45743</v>
      </c>
      <c r="U492" s="298" t="n">
        <v>10044895</v>
      </c>
      <c r="V492" s="298" t="n">
        <v>0</v>
      </c>
      <c r="W492" s="298" t="inlineStr">
        <is>
          <t>បុគ្គលជាប់អាករ</t>
        </is>
      </c>
      <c r="X492" s="298" t="inlineStr">
        <is>
          <t>L001-901640009</t>
        </is>
      </c>
      <c r="Y492" s="298" t="inlineStr">
        <is>
          <t>ហូលីដេ ឌីហ្សាញ (ខេមបូឌា) ឯ.ក</t>
        </is>
      </c>
      <c r="Z492" s="300" t="n">
        <v>1364682</v>
      </c>
      <c r="AA492" s="300" t="n">
        <v>1240620</v>
      </c>
      <c r="AB492" s="298" t="n">
        <v>0</v>
      </c>
      <c r="AC492" s="298" t="inlineStr">
        <is>
          <t>-</t>
        </is>
      </c>
      <c r="AD492" s="300" t="n">
        <v>124062</v>
      </c>
      <c r="AE492" s="298" t="n">
        <v>0</v>
      </c>
      <c r="AF492" s="562" t="n">
        <v>0</v>
      </c>
      <c r="AG492" s="198" t="n">
        <v>0</v>
      </c>
      <c r="AH492" s="198" t="n">
        <v>0</v>
      </c>
      <c r="AI492" s="198" t="n">
        <v>0</v>
      </c>
      <c r="AJ492" s="198" t="n">
        <v>0</v>
      </c>
      <c r="AK492" s="198" t="n">
        <v>0</v>
      </c>
      <c r="AL492" s="198" t="n">
        <v>0.01</v>
      </c>
      <c r="AM492" s="198" t="n">
        <v>0</v>
      </c>
      <c r="AN492" s="198" t="inlineStr">
        <is>
          <t>Technical Review - Ea - Other ind_RBS - BA</t>
        </is>
      </c>
      <c r="AO492" s="198" t="inlineStr">
        <is>
          <t>បានប្រកាសនិងបង់ពន្ធ</t>
        </is>
      </c>
    </row>
    <row r="493">
      <c r="A493" s="212">
        <f>A492+1</f>
        <v/>
      </c>
      <c r="B493" s="214" t="inlineStr">
        <is>
          <t>THC Fee-Ex</t>
        </is>
      </c>
      <c r="C493" s="214" t="inlineStr">
        <is>
          <t>APL LOGISTICS (CAMBODIA) PTE LTD.</t>
        </is>
      </c>
      <c r="D493" s="215" t="inlineStr">
        <is>
          <t>L001-100046460</t>
        </is>
      </c>
      <c r="E493" s="290" t="inlineStr">
        <is>
          <t>APLL25003537</t>
        </is>
      </c>
      <c r="F493" s="279" t="n">
        <v>45807</v>
      </c>
      <c r="G493" s="216" t="n"/>
      <c r="H493" s="564" t="n"/>
      <c r="I493" s="564" t="n">
        <v>164205</v>
      </c>
      <c r="J493" s="213" t="inlineStr">
        <is>
          <t>អនុញ្ញាត (បានប្រកាស)</t>
        </is>
      </c>
      <c r="K493" s="213" t="n"/>
      <c r="L493" s="563">
        <f>I493</f>
        <v/>
      </c>
      <c r="M493" s="536">
        <f>I493-L493</f>
        <v/>
      </c>
      <c r="N493" s="213" t="n"/>
      <c r="O493" s="218">
        <f>U493=E493</f>
        <v/>
      </c>
      <c r="P493" s="218">
        <f>MONTH(F493)-MONTH(T493)</f>
        <v/>
      </c>
      <c r="Q493" s="218">
        <f>$B$5=X493</f>
        <v/>
      </c>
      <c r="R493" s="218">
        <f>I493-AD493</f>
        <v/>
      </c>
      <c r="S493" s="298" t="n"/>
      <c r="T493" s="299" t="n">
        <v>45807</v>
      </c>
      <c r="U493" s="298" t="inlineStr">
        <is>
          <t>APLL25003537</t>
        </is>
      </c>
      <c r="V493" s="298" t="n"/>
      <c r="W493" s="298" t="n"/>
      <c r="X493" s="298" t="n"/>
      <c r="Y493" s="298" t="inlineStr">
        <is>
          <t>ហូលីដេ ឌីហ្សាញ (ខេមបូឌា) ឯ.ក</t>
        </is>
      </c>
      <c r="Z493" s="300" t="n"/>
      <c r="AA493" s="300" t="n"/>
      <c r="AB493" s="298" t="n"/>
      <c r="AC493" s="298" t="n"/>
      <c r="AD493" s="300" t="n">
        <v>164205</v>
      </c>
      <c r="AE493" s="298" t="n"/>
      <c r="AF493" s="562" t="n"/>
    </row>
    <row r="494">
      <c r="A494" s="212">
        <f>A493+1</f>
        <v/>
      </c>
      <c r="B494" s="214" t="inlineStr">
        <is>
          <t>THC Fee-Ex</t>
        </is>
      </c>
      <c r="C494" s="214" t="inlineStr">
        <is>
          <t>APL LOGISTICS (CAMBODIA) PTE LTD.</t>
        </is>
      </c>
      <c r="D494" s="215" t="inlineStr">
        <is>
          <t>L001-100046460</t>
        </is>
      </c>
      <c r="E494" s="290" t="inlineStr">
        <is>
          <t>APLL25003539</t>
        </is>
      </c>
      <c r="F494" s="279" t="n">
        <v>45807</v>
      </c>
      <c r="G494" s="216" t="n"/>
      <c r="H494" s="564" t="n"/>
      <c r="I494" s="564" t="n">
        <v>164205</v>
      </c>
      <c r="J494" s="213" t="inlineStr">
        <is>
          <t>អនុញ្ញាត (បានប្រកាស)</t>
        </is>
      </c>
      <c r="K494" s="213" t="n"/>
      <c r="L494" s="563">
        <f>I494</f>
        <v/>
      </c>
      <c r="M494" s="536">
        <f>I494-L494</f>
        <v/>
      </c>
      <c r="N494" s="213" t="n"/>
      <c r="O494" s="218">
        <f>U494=E494</f>
        <v/>
      </c>
      <c r="P494" s="218">
        <f>MONTH(F494)-MONTH(T494)</f>
        <v/>
      </c>
      <c r="Q494" s="218">
        <f>$B$5=X494</f>
        <v/>
      </c>
      <c r="R494" s="218">
        <f>I494-AD494</f>
        <v/>
      </c>
      <c r="S494" s="298" t="n"/>
      <c r="T494" s="299" t="n">
        <v>45807</v>
      </c>
      <c r="U494" s="298" t="inlineStr">
        <is>
          <t>APLL25003539</t>
        </is>
      </c>
      <c r="V494" s="298" t="n"/>
      <c r="W494" s="298" t="n"/>
      <c r="X494" s="298" t="n"/>
      <c r="Y494" s="298" t="inlineStr">
        <is>
          <t>ហូលីដេ ឌីហ្សាញ (ខេមបូឌា) ឯ.ក</t>
        </is>
      </c>
      <c r="Z494" s="300" t="n"/>
      <c r="AA494" s="300" t="n"/>
      <c r="AB494" s="298" t="n"/>
      <c r="AC494" s="298" t="n"/>
      <c r="AD494" s="300" t="n">
        <v>164205</v>
      </c>
      <c r="AE494" s="298" t="n"/>
      <c r="AF494" s="562" t="n"/>
    </row>
    <row r="495">
      <c r="A495" s="212">
        <f>A494+1</f>
        <v/>
      </c>
      <c r="B495" s="214" t="inlineStr">
        <is>
          <t>THC Fee-Ex</t>
        </is>
      </c>
      <c r="C495" s="214" t="inlineStr">
        <is>
          <t>APL LOGISTICS (CAMBODIA) PTE LTD.</t>
        </is>
      </c>
      <c r="D495" s="215" t="inlineStr">
        <is>
          <t>L001-100046460</t>
        </is>
      </c>
      <c r="E495" s="290" t="inlineStr">
        <is>
          <t>APLL25003541</t>
        </is>
      </c>
      <c r="F495" s="279" t="n">
        <v>45807</v>
      </c>
      <c r="G495" s="216" t="n"/>
      <c r="H495" s="564" t="n"/>
      <c r="I495" s="564" t="n">
        <v>164205</v>
      </c>
      <c r="J495" s="213" t="inlineStr">
        <is>
          <t>អនុញ្ញាត (បានប្រកាស)</t>
        </is>
      </c>
      <c r="K495" s="213" t="n"/>
      <c r="L495" s="563">
        <f>I495</f>
        <v/>
      </c>
      <c r="M495" s="536">
        <f>I495-L495</f>
        <v/>
      </c>
      <c r="N495" s="213" t="n"/>
      <c r="O495" s="218">
        <f>U495=E495</f>
        <v/>
      </c>
      <c r="P495" s="218">
        <f>MONTH(F495)-MONTH(T495)</f>
        <v/>
      </c>
      <c r="Q495" s="218">
        <f>$B$5=X495</f>
        <v/>
      </c>
      <c r="R495" s="218">
        <f>I495-AD495</f>
        <v/>
      </c>
      <c r="S495" s="298" t="n"/>
      <c r="T495" s="299" t="n">
        <v>45807</v>
      </c>
      <c r="U495" s="298" t="inlineStr">
        <is>
          <t>APLL25003541</t>
        </is>
      </c>
      <c r="V495" s="298" t="n"/>
      <c r="W495" s="298" t="n"/>
      <c r="X495" s="298" t="n"/>
      <c r="Y495" s="298" t="inlineStr">
        <is>
          <t>ហូលីដេ ឌីហ្សាញ (ខេមបូឌា) ឯ.ក</t>
        </is>
      </c>
      <c r="Z495" s="300" t="n"/>
      <c r="AA495" s="300" t="n"/>
      <c r="AB495" s="298" t="n"/>
      <c r="AC495" s="298" t="n"/>
      <c r="AD495" s="300" t="n">
        <v>164205</v>
      </c>
      <c r="AE495" s="298" t="n"/>
      <c r="AF495" s="562" t="n"/>
    </row>
    <row r="496">
      <c r="A496" s="212">
        <f>A495+1</f>
        <v/>
      </c>
      <c r="B496" s="214" t="inlineStr">
        <is>
          <t>THC Fee-Ex</t>
        </is>
      </c>
      <c r="C496" s="214" t="inlineStr">
        <is>
          <t>APL LOGISTICS (CAMBODIA) PTE LTD.</t>
        </is>
      </c>
      <c r="D496" s="215" t="inlineStr">
        <is>
          <t>L001-100046460</t>
        </is>
      </c>
      <c r="E496" s="290" t="inlineStr">
        <is>
          <t>APLL25003540</t>
        </is>
      </c>
      <c r="F496" s="279" t="n">
        <v>45807</v>
      </c>
      <c r="G496" s="216" t="n"/>
      <c r="H496" s="564" t="n"/>
      <c r="I496" s="564" t="n">
        <v>132165</v>
      </c>
      <c r="J496" s="213" t="inlineStr">
        <is>
          <t>អនុញ្ញាត (បានប្រកាស)</t>
        </is>
      </c>
      <c r="K496" s="213" t="n"/>
      <c r="L496" s="563">
        <f>I496</f>
        <v/>
      </c>
      <c r="M496" s="536">
        <f>I496-L496</f>
        <v/>
      </c>
      <c r="N496" s="213" t="n"/>
      <c r="O496" s="218">
        <f>U496=E496</f>
        <v/>
      </c>
      <c r="P496" s="218">
        <f>MONTH(F496)-MONTH(T496)</f>
        <v/>
      </c>
      <c r="Q496" s="218">
        <f>$B$5=X496</f>
        <v/>
      </c>
      <c r="R496" s="218">
        <f>I496-AD496</f>
        <v/>
      </c>
      <c r="S496" s="298" t="n"/>
      <c r="T496" s="299" t="n">
        <v>45807</v>
      </c>
      <c r="U496" s="298" t="inlineStr">
        <is>
          <t>APLL25003540</t>
        </is>
      </c>
      <c r="V496" s="298" t="n"/>
      <c r="W496" s="298" t="n"/>
      <c r="X496" s="298" t="n"/>
      <c r="Y496" s="298" t="inlineStr">
        <is>
          <t>ហូលីដេ ឌីហ្សាញ (ខេមបូឌា) ឯ.ក</t>
        </is>
      </c>
      <c r="Z496" s="300" t="n"/>
      <c r="AA496" s="300" t="n"/>
      <c r="AB496" s="298" t="n"/>
      <c r="AC496" s="298" t="n"/>
      <c r="AD496" s="300" t="n">
        <v>132165</v>
      </c>
      <c r="AE496" s="298" t="n"/>
      <c r="AF496" s="562" t="n"/>
    </row>
    <row r="497">
      <c r="A497" s="212">
        <f>A496+1</f>
        <v/>
      </c>
      <c r="B497" s="214" t="inlineStr">
        <is>
          <t>Terminal Handling Charge-Ex</t>
        </is>
      </c>
      <c r="C497" s="214" t="inlineStr">
        <is>
          <t>APL LOGISTICS (CAMBODIA) PTE LTD.</t>
        </is>
      </c>
      <c r="D497" s="215" t="inlineStr">
        <is>
          <t>L001-100046460</t>
        </is>
      </c>
      <c r="E497" s="290" t="inlineStr">
        <is>
          <t>APLL25003536</t>
        </is>
      </c>
      <c r="F497" s="279" t="n">
        <v>45807</v>
      </c>
      <c r="G497" s="216" t="n"/>
      <c r="H497" s="564" t="n"/>
      <c r="I497" s="564" t="n">
        <v>420966</v>
      </c>
      <c r="J497" s="213" t="inlineStr">
        <is>
          <t>អនុញ្ញាត (បានប្រកាស)</t>
        </is>
      </c>
      <c r="K497" s="565">
        <f>L497</f>
        <v/>
      </c>
      <c r="L497" s="563">
        <f>AD497</f>
        <v/>
      </c>
      <c r="M497" s="536">
        <f>I497-L497</f>
        <v/>
      </c>
      <c r="N497" s="213" t="n"/>
      <c r="O497" s="218">
        <f>U497=E497</f>
        <v/>
      </c>
      <c r="P497" s="218">
        <f>MONTH(F497)-MONTH(T497)</f>
        <v/>
      </c>
      <c r="Q497" s="218">
        <f>$B$5=X497</f>
        <v/>
      </c>
      <c r="R497" s="218">
        <f>I497-AD497</f>
        <v/>
      </c>
      <c r="S497" s="298" t="n"/>
      <c r="T497" s="299" t="n">
        <v>45807</v>
      </c>
      <c r="U497" s="298" t="inlineStr">
        <is>
          <t>APLL25003536</t>
        </is>
      </c>
      <c r="V497" s="298" t="n"/>
      <c r="W497" s="298" t="n"/>
      <c r="X497" s="298" t="n"/>
      <c r="Y497" s="298" t="inlineStr">
        <is>
          <t>ហូលីដេ ឌីហ្សាញ (ខេមបូឌា) ឯ.ក</t>
        </is>
      </c>
      <c r="Z497" s="300" t="n"/>
      <c r="AA497" s="300" t="n"/>
      <c r="AB497" s="298" t="n"/>
      <c r="AC497" s="298" t="n"/>
      <c r="AD497" s="300" t="n">
        <v>420947</v>
      </c>
      <c r="AE497" s="298" t="n"/>
      <c r="AF497" s="562" t="n"/>
    </row>
    <row r="498">
      <c r="A498" s="212">
        <f>A497+1</f>
        <v/>
      </c>
      <c r="B498" s="214" t="inlineStr">
        <is>
          <t>THC Fee-Ex</t>
        </is>
      </c>
      <c r="C498" s="214" t="inlineStr">
        <is>
          <t>APL LOGISTICS (CAMBODIA) PTE LTD.</t>
        </is>
      </c>
      <c r="D498" s="215" t="inlineStr">
        <is>
          <t>L001-100046460</t>
        </is>
      </c>
      <c r="E498" s="290" t="inlineStr">
        <is>
          <t>APLL25003542</t>
        </is>
      </c>
      <c r="F498" s="279" t="n">
        <v>45807</v>
      </c>
      <c r="G498" s="216" t="n"/>
      <c r="H498" s="564" t="n"/>
      <c r="I498" s="564" t="n">
        <v>132165</v>
      </c>
      <c r="J498" s="213" t="inlineStr">
        <is>
          <t>អនុញ្ញាត (បានប្រកាស)</t>
        </is>
      </c>
      <c r="K498" s="213" t="n"/>
      <c r="L498" s="563">
        <f>I498</f>
        <v/>
      </c>
      <c r="M498" s="536">
        <f>I498-L498</f>
        <v/>
      </c>
      <c r="N498" s="213" t="n"/>
      <c r="O498" s="218">
        <f>U498=E498</f>
        <v/>
      </c>
      <c r="P498" s="218">
        <f>MONTH(F498)-MONTH(T498)</f>
        <v/>
      </c>
      <c r="Q498" s="218">
        <f>$B$5=X498</f>
        <v/>
      </c>
      <c r="R498" s="218">
        <f>I498-AD498</f>
        <v/>
      </c>
      <c r="S498" s="298" t="n"/>
      <c r="T498" s="299" t="n">
        <v>45807</v>
      </c>
      <c r="U498" s="298" t="inlineStr">
        <is>
          <t>APLL25003542</t>
        </is>
      </c>
      <c r="V498" s="298" t="n"/>
      <c r="W498" s="298" t="n"/>
      <c r="X498" s="298" t="n"/>
      <c r="Y498" s="298" t="inlineStr">
        <is>
          <t>ហូលីដេ ឌីហ្សាញ (ខេមបូឌា) ឯ.ក</t>
        </is>
      </c>
      <c r="Z498" s="300" t="n"/>
      <c r="AA498" s="300" t="n"/>
      <c r="AB498" s="298" t="n"/>
      <c r="AC498" s="298" t="n"/>
      <c r="AD498" s="300" t="n">
        <v>132165</v>
      </c>
      <c r="AE498" s="298" t="n"/>
      <c r="AF498" s="562" t="n"/>
    </row>
    <row r="499">
      <c r="A499" s="212">
        <f>A498+1</f>
        <v/>
      </c>
      <c r="B499" s="214" t="inlineStr">
        <is>
          <t>THC Fee-Ex</t>
        </is>
      </c>
      <c r="C499" s="214" t="inlineStr">
        <is>
          <t>APL LOGISTICS (CAMBODIA) PTE LTD.</t>
        </is>
      </c>
      <c r="D499" s="215" t="inlineStr">
        <is>
          <t>L001-100046460</t>
        </is>
      </c>
      <c r="E499" s="290" t="inlineStr">
        <is>
          <t>APLL25003533</t>
        </is>
      </c>
      <c r="F499" s="279" t="n">
        <v>45807</v>
      </c>
      <c r="G499" s="216" t="n"/>
      <c r="H499" s="564" t="n"/>
      <c r="I499" s="564" t="n">
        <v>132165</v>
      </c>
      <c r="J499" s="213" t="inlineStr">
        <is>
          <t>អនុញ្ញាត (បានប្រកាស)</t>
        </is>
      </c>
      <c r="K499" s="213" t="n"/>
      <c r="L499" s="563">
        <f>I499</f>
        <v/>
      </c>
      <c r="M499" s="536">
        <f>I499-L499</f>
        <v/>
      </c>
      <c r="N499" s="213" t="n"/>
      <c r="O499" s="218">
        <f>U499=E499</f>
        <v/>
      </c>
      <c r="P499" s="218">
        <f>MONTH(F499)-MONTH(T499)</f>
        <v/>
      </c>
      <c r="Q499" s="218">
        <f>$B$5=X499</f>
        <v/>
      </c>
      <c r="R499" s="218">
        <f>I499-AD499</f>
        <v/>
      </c>
      <c r="S499" s="298" t="n"/>
      <c r="T499" s="299" t="n">
        <v>45807</v>
      </c>
      <c r="U499" s="298" t="inlineStr">
        <is>
          <t>APLL25003533</t>
        </is>
      </c>
      <c r="V499" s="298" t="n"/>
      <c r="W499" s="298" t="n"/>
      <c r="X499" s="298" t="n"/>
      <c r="Y499" s="298" t="inlineStr">
        <is>
          <t>ហូលីដេ ឌីហ្សាញ (ខេមបូឌា) ឯ.ក</t>
        </is>
      </c>
      <c r="Z499" s="300" t="n"/>
      <c r="AA499" s="300" t="n"/>
      <c r="AB499" s="298" t="n"/>
      <c r="AC499" s="298" t="n"/>
      <c r="AD499" s="300" t="n">
        <v>132165</v>
      </c>
      <c r="AE499" s="298" t="n"/>
      <c r="AF499" s="562" t="n"/>
    </row>
    <row r="500">
      <c r="A500" s="212">
        <f>A499+1</f>
        <v/>
      </c>
      <c r="B500" s="214" t="inlineStr">
        <is>
          <t>THC Fee-Ex</t>
        </is>
      </c>
      <c r="C500" s="214" t="inlineStr">
        <is>
          <t>APL LOGISTICS (CAMBODIA) PTE LTD.</t>
        </is>
      </c>
      <c r="D500" s="215" t="inlineStr">
        <is>
          <t>L001-100046460</t>
        </is>
      </c>
      <c r="E500" s="290" t="inlineStr">
        <is>
          <t>APLL25003568</t>
        </is>
      </c>
      <c r="F500" s="279" t="n">
        <v>45807</v>
      </c>
      <c r="G500" s="216" t="n"/>
      <c r="H500" s="564" t="n"/>
      <c r="I500" s="564" t="n">
        <v>104130</v>
      </c>
      <c r="J500" s="213" t="inlineStr">
        <is>
          <t>អនុញ្ញាត (បានប្រកាស)</t>
        </is>
      </c>
      <c r="K500" s="213" t="n"/>
      <c r="L500" s="563">
        <f>I500</f>
        <v/>
      </c>
      <c r="M500" s="536">
        <f>I500-L500</f>
        <v/>
      </c>
      <c r="N500" s="213" t="n"/>
      <c r="O500" s="218">
        <f>U500=E500</f>
        <v/>
      </c>
      <c r="P500" s="218">
        <f>MONTH(F500)-MONTH(T500)</f>
        <v/>
      </c>
      <c r="Q500" s="218">
        <f>$B$5=X500</f>
        <v/>
      </c>
      <c r="R500" s="218">
        <f>I500-AD500</f>
        <v/>
      </c>
      <c r="S500" s="298" t="n"/>
      <c r="T500" s="299" t="n">
        <v>45807</v>
      </c>
      <c r="U500" s="298" t="inlineStr">
        <is>
          <t>APLL25003568</t>
        </is>
      </c>
      <c r="V500" s="298" t="n"/>
      <c r="W500" s="298" t="n"/>
      <c r="X500" s="298" t="n"/>
      <c r="Y500" s="298" t="inlineStr">
        <is>
          <t>ហូលីដេ ឌីហ្សាញ (ខេមបូឌា) ឯ.ក</t>
        </is>
      </c>
      <c r="Z500" s="300" t="n"/>
      <c r="AA500" s="300" t="n"/>
      <c r="AB500" s="298" t="n"/>
      <c r="AC500" s="298" t="n"/>
      <c r="AD500" s="300" t="n">
        <v>104130</v>
      </c>
      <c r="AE500" s="298" t="n"/>
      <c r="AF500" s="562" t="n"/>
    </row>
    <row r="501">
      <c r="A501" s="212">
        <f>A500+1</f>
        <v/>
      </c>
      <c r="B501" s="214" t="inlineStr">
        <is>
          <t>THC Fee-Ex</t>
        </is>
      </c>
      <c r="C501" s="214" t="inlineStr">
        <is>
          <t>APL LOGISTICS (CAMBODIA) PTE LTD.</t>
        </is>
      </c>
      <c r="D501" s="215" t="inlineStr">
        <is>
          <t>L001-100046460</t>
        </is>
      </c>
      <c r="E501" s="290" t="inlineStr">
        <is>
          <t>APLL25003531</t>
        </is>
      </c>
      <c r="F501" s="279" t="n">
        <v>45807</v>
      </c>
      <c r="G501" s="216" t="n"/>
      <c r="H501" s="564" t="n"/>
      <c r="I501" s="564" t="n">
        <v>240300</v>
      </c>
      <c r="J501" s="213" t="inlineStr">
        <is>
          <t>អនុញ្ញាត (បានប្រកាស)</t>
        </is>
      </c>
      <c r="K501" s="565" t="n"/>
      <c r="L501" s="563">
        <f>I501</f>
        <v/>
      </c>
      <c r="M501" s="536">
        <f>I501-L501</f>
        <v/>
      </c>
      <c r="N501" s="213" t="n"/>
      <c r="O501" s="218">
        <f>U501=E501</f>
        <v/>
      </c>
      <c r="P501" s="218">
        <f>MONTH(F501)-MONTH(T501)</f>
        <v/>
      </c>
      <c r="Q501" s="218">
        <f>$B$5=X501</f>
        <v/>
      </c>
      <c r="R501" s="218">
        <f>I501-AD501</f>
        <v/>
      </c>
      <c r="S501" s="298" t="n"/>
      <c r="T501" s="299" t="n">
        <v>45807</v>
      </c>
      <c r="U501" s="298" t="inlineStr">
        <is>
          <t>APLL25003531</t>
        </is>
      </c>
      <c r="V501" s="298" t="n"/>
      <c r="W501" s="298" t="n"/>
      <c r="X501" s="298" t="n"/>
      <c r="Y501" s="298" t="inlineStr">
        <is>
          <t>ហូលីដេ ឌីហ្សាញ (ខេមបូឌា) ឯ.ក</t>
        </is>
      </c>
      <c r="Z501" s="300" t="n"/>
      <c r="AA501" s="300" t="n"/>
      <c r="AB501" s="298" t="n"/>
      <c r="AC501" s="298" t="n"/>
      <c r="AD501" s="300" t="n">
        <v>240300</v>
      </c>
      <c r="AE501" s="298" t="n"/>
      <c r="AF501" s="562" t="n"/>
    </row>
    <row r="502">
      <c r="A502" s="212">
        <f>A501+1</f>
        <v/>
      </c>
      <c r="B502" s="214" t="inlineStr">
        <is>
          <t>THC Fee-Ex</t>
        </is>
      </c>
      <c r="C502" s="214" t="inlineStr">
        <is>
          <t>APL LOGISTICS (CAMBODIA) PTE LTD.</t>
        </is>
      </c>
      <c r="D502" s="215" t="inlineStr">
        <is>
          <t>L001-100046460</t>
        </is>
      </c>
      <c r="E502" s="290" t="inlineStr">
        <is>
          <t>APLL25003532</t>
        </is>
      </c>
      <c r="F502" s="279" t="n">
        <v>45807</v>
      </c>
      <c r="G502" s="216" t="n"/>
      <c r="H502" s="564" t="n"/>
      <c r="I502" s="564" t="n">
        <v>456570</v>
      </c>
      <c r="J502" s="213" t="inlineStr">
        <is>
          <t>អនុញ្ញាត (បានប្រកាស)</t>
        </is>
      </c>
      <c r="K502" s="565" t="n"/>
      <c r="L502" s="563">
        <f>I502</f>
        <v/>
      </c>
      <c r="M502" s="536">
        <f>I502-L502</f>
        <v/>
      </c>
      <c r="N502" s="213" t="n"/>
      <c r="O502" s="218">
        <f>U502=E502</f>
        <v/>
      </c>
      <c r="P502" s="218">
        <f>MONTH(F502)-MONTH(T502)</f>
        <v/>
      </c>
      <c r="Q502" s="218">
        <f>$B$5=X502</f>
        <v/>
      </c>
      <c r="R502" s="218">
        <f>I502-AD502</f>
        <v/>
      </c>
      <c r="S502" s="298" t="n"/>
      <c r="T502" s="299" t="n">
        <v>45807</v>
      </c>
      <c r="U502" s="298" t="inlineStr">
        <is>
          <t>APLL25003532</t>
        </is>
      </c>
      <c r="V502" s="298" t="n"/>
      <c r="W502" s="298" t="n"/>
      <c r="X502" s="298" t="n"/>
      <c r="Y502" s="298" t="inlineStr">
        <is>
          <t>ហូលីដេ ឌីហ្សាញ (ខេមបូឌា) ឯ.ក</t>
        </is>
      </c>
      <c r="Z502" s="300" t="n"/>
      <c r="AA502" s="300" t="n"/>
      <c r="AB502" s="298" t="n"/>
      <c r="AC502" s="298" t="n"/>
      <c r="AD502" s="300" t="n">
        <v>456570</v>
      </c>
      <c r="AE502" s="298" t="n"/>
      <c r="AF502" s="562" t="n"/>
    </row>
    <row r="503">
      <c r="A503" s="212">
        <f>A502+1</f>
        <v/>
      </c>
      <c r="B503" s="214" t="inlineStr">
        <is>
          <t>Trucking &amp; Clearance-Im</t>
        </is>
      </c>
      <c r="C503" s="214" t="inlineStr">
        <is>
          <t>BRILLIANT TRANSPORT AND TRADING Co., Ltd.</t>
        </is>
      </c>
      <c r="D503" s="215" t="inlineStr">
        <is>
          <t>K002-100089305</t>
        </is>
      </c>
      <c r="E503" s="290" t="inlineStr">
        <is>
          <t>BTT25-0001050</t>
        </is>
      </c>
      <c r="F503" s="279" t="n">
        <v>45782</v>
      </c>
      <c r="G503" s="216" t="n"/>
      <c r="H503" s="564" t="n"/>
      <c r="I503" s="564" t="n">
        <v>2406404</v>
      </c>
      <c r="J503" s="213" t="inlineStr">
        <is>
          <t>អនុញ្ញាត (បានប្រកាស)</t>
        </is>
      </c>
      <c r="K503" s="565" t="n"/>
      <c r="L503" s="563">
        <f>I503</f>
        <v/>
      </c>
      <c r="M503" s="536">
        <f>I503-L503</f>
        <v/>
      </c>
      <c r="N503" s="213" t="n"/>
      <c r="O503" s="218">
        <f>U503=E503</f>
        <v/>
      </c>
      <c r="P503" s="218">
        <f>MONTH(F503)-MONTH(T503)</f>
        <v/>
      </c>
      <c r="Q503" s="218">
        <f>$B$5=X503</f>
        <v/>
      </c>
      <c r="R503" s="218">
        <f>I503-AD503</f>
        <v/>
      </c>
      <c r="S503" s="298" t="n"/>
      <c r="T503" s="299" t="n">
        <v>45782</v>
      </c>
      <c r="U503" s="298" t="inlineStr">
        <is>
          <t>BTT25-0001050</t>
        </is>
      </c>
      <c r="V503" s="298" t="n"/>
      <c r="W503" s="298" t="n"/>
      <c r="X503" s="298" t="n"/>
      <c r="Y503" s="298" t="inlineStr">
        <is>
          <t>ហូលីដេ ឌីហ្សាញ (ខេមបូឌា) ឯ.ក</t>
        </is>
      </c>
      <c r="Z503" s="300" t="n"/>
      <c r="AA503" s="300" t="n"/>
      <c r="AB503" s="298" t="n"/>
      <c r="AC503" s="298" t="n"/>
      <c r="AD503" s="300" t="n">
        <v>2406404</v>
      </c>
      <c r="AE503" s="298" t="n"/>
      <c r="AF503" s="562" t="n"/>
      <c r="AN503" s="198" t="inlineStr">
        <is>
          <t>Truking / Service</t>
        </is>
      </c>
    </row>
    <row r="504">
      <c r="A504" s="212">
        <f>A503+1</f>
        <v/>
      </c>
      <c r="B504" s="214" t="inlineStr">
        <is>
          <t>Terminal Handling Charge-Im</t>
        </is>
      </c>
      <c r="C504" s="214" t="inlineStr">
        <is>
          <t>SITC CONTAINER LINES (CAMBODIA) Co., Ltd.</t>
        </is>
      </c>
      <c r="D504" s="215" t="inlineStr">
        <is>
          <t>L001-107035863</t>
        </is>
      </c>
      <c r="E504" s="290" t="inlineStr">
        <is>
          <t>SITC2025-015110</t>
        </is>
      </c>
      <c r="F504" s="279" t="n">
        <v>45778</v>
      </c>
      <c r="G504" s="216" t="n"/>
      <c r="H504" s="564" t="n"/>
      <c r="I504" s="564" t="n">
        <v>2105578</v>
      </c>
      <c r="J504" s="213" t="inlineStr">
        <is>
          <t>អនុញ្ញាត (បានប្រកាស)</t>
        </is>
      </c>
      <c r="K504" s="565" t="n"/>
      <c r="L504" s="563">
        <f>I504</f>
        <v/>
      </c>
      <c r="M504" s="536">
        <f>I504-L504</f>
        <v/>
      </c>
      <c r="N504" s="213" t="n"/>
      <c r="O504" s="218">
        <f>U504=E504</f>
        <v/>
      </c>
      <c r="P504" s="218">
        <f>MONTH(F504)-MONTH(T504)</f>
        <v/>
      </c>
      <c r="Q504" s="218">
        <f>$B$5=X504</f>
        <v/>
      </c>
      <c r="R504" s="218">
        <f>I504-AD504</f>
        <v/>
      </c>
      <c r="S504" s="298" t="n"/>
      <c r="T504" s="299" t="n">
        <v>45778</v>
      </c>
      <c r="U504" s="298" t="inlineStr">
        <is>
          <t>SITC2025-015110</t>
        </is>
      </c>
      <c r="V504" s="298" t="n"/>
      <c r="W504" s="298" t="inlineStr">
        <is>
          <t>បុគ្គលជាប់អាករ</t>
        </is>
      </c>
      <c r="X504" s="298" t="inlineStr">
        <is>
          <t>L001-901640009</t>
        </is>
      </c>
      <c r="Y504" s="298" t="inlineStr">
        <is>
          <t>ហូលីដេ ឌីហ្សាញ (ខេមបូឌា) ឯ.ក</t>
        </is>
      </c>
      <c r="Z504" s="300" t="n">
        <v>23161358</v>
      </c>
      <c r="AA504" s="300" t="n">
        <v>21055780</v>
      </c>
      <c r="AB504" s="298" t="n">
        <v>0</v>
      </c>
      <c r="AC504" s="298" t="inlineStr">
        <is>
          <t>-</t>
        </is>
      </c>
      <c r="AD504" s="300" t="n">
        <v>2105578</v>
      </c>
      <c r="AE504" s="298" t="n">
        <v>0</v>
      </c>
      <c r="AF504" s="562" t="n">
        <v>0</v>
      </c>
      <c r="AG504" s="198" t="n">
        <v>0</v>
      </c>
      <c r="AH504" s="198" t="n">
        <v>0</v>
      </c>
      <c r="AI504" s="198" t="n">
        <v>0</v>
      </c>
      <c r="AJ504" s="198" t="n">
        <v>0</v>
      </c>
      <c r="AK504" s="198" t="n">
        <v>0</v>
      </c>
      <c r="AL504" s="198" t="n">
        <v>0.01</v>
      </c>
      <c r="AN504" s="198" t="inlineStr">
        <is>
          <t>KHCIC,KHDOC,EMF,KHTH</t>
        </is>
      </c>
    </row>
    <row r="505">
      <c r="A505" s="212">
        <f>A504+1</f>
        <v/>
      </c>
      <c r="B505" s="214" t="inlineStr">
        <is>
          <t>Rental Building for 10-2024</t>
        </is>
      </c>
      <c r="C505" s="214" t="inlineStr">
        <is>
          <t>HOLIDAY DESIGNS INTERNATIONAL Ltd.</t>
        </is>
      </c>
      <c r="D505" s="215" t="inlineStr">
        <is>
          <t>L001-901502196</t>
        </is>
      </c>
      <c r="E505" s="290" t="inlineStr">
        <is>
          <t>INT2401037</t>
        </is>
      </c>
      <c r="F505" s="279" t="n">
        <v>45596</v>
      </c>
      <c r="G505" s="216" t="n"/>
      <c r="H505" s="564" t="n"/>
      <c r="I505" s="564" t="n">
        <v>18698962</v>
      </c>
      <c r="J505" s="213" t="inlineStr">
        <is>
          <t>អនុញ្ញាត (បានប្រកាស)</t>
        </is>
      </c>
      <c r="K505" s="565" t="n"/>
      <c r="L505" s="563">
        <f>I505</f>
        <v/>
      </c>
      <c r="M505" s="536">
        <f>I505-L505</f>
        <v/>
      </c>
      <c r="N505" s="213" t="inlineStr">
        <is>
          <t>បានពិនិត្យវិក្កយបត្រ</t>
        </is>
      </c>
      <c r="O505" s="218">
        <f>U505=E505</f>
        <v/>
      </c>
      <c r="P505" s="218">
        <f>MONTH(F505)-MONTH(T505)</f>
        <v/>
      </c>
      <c r="Q505" s="218">
        <f>$B$5=X505</f>
        <v/>
      </c>
      <c r="R505" s="218">
        <f>I505-AD505</f>
        <v/>
      </c>
      <c r="S505" s="298" t="n"/>
      <c r="T505" s="299" t="n">
        <v>45596</v>
      </c>
      <c r="U505" s="298" t="inlineStr">
        <is>
          <t>INT2401037</t>
        </is>
      </c>
      <c r="V505" s="298" t="n">
        <v>0</v>
      </c>
      <c r="W505" s="298" t="inlineStr">
        <is>
          <t>បុគ្គលជាប់អាករ</t>
        </is>
      </c>
      <c r="X505" s="298" t="inlineStr">
        <is>
          <t>L001-901640009</t>
        </is>
      </c>
      <c r="Y505" s="298" t="inlineStr">
        <is>
          <t>ហូលីដេ ឌីហ្សាញ (ខេមបូឌា) ឯ.ក</t>
        </is>
      </c>
      <c r="Z505" s="300" t="n">
        <v>205688583</v>
      </c>
      <c r="AA505" s="300" t="n">
        <v>186989621</v>
      </c>
      <c r="AB505" s="298" t="n">
        <v>0</v>
      </c>
      <c r="AC505" s="298" t="inlineStr">
        <is>
          <t>-</t>
        </is>
      </c>
      <c r="AD505" s="300" t="n">
        <v>18698962</v>
      </c>
      <c r="AE505" s="298" t="n">
        <v>0</v>
      </c>
      <c r="AF505" s="562" t="n">
        <v>0</v>
      </c>
      <c r="AG505" s="198" t="n">
        <v>0</v>
      </c>
      <c r="AH505" s="198" t="n">
        <v>0</v>
      </c>
      <c r="AI505" s="198" t="n">
        <v>0</v>
      </c>
      <c r="AJ505" s="198" t="n">
        <v>0</v>
      </c>
      <c r="AK505" s="198" t="n">
        <v>0</v>
      </c>
      <c r="AL505" s="198" t="n">
        <v>0.01</v>
      </c>
      <c r="AM505" s="198" t="n">
        <v>0</v>
      </c>
      <c r="AN505" s="198" t="inlineStr">
        <is>
          <t>Rental Building 10-2024</t>
        </is>
      </c>
      <c r="AO505" s="198" t="inlineStr">
        <is>
          <t>បានប្រកាសនិងបង់ពន្ធ</t>
        </is>
      </c>
    </row>
    <row r="506">
      <c r="A506" s="212">
        <f>A505+1</f>
        <v/>
      </c>
      <c r="B506" s="214" t="inlineStr">
        <is>
          <t>Trucking &amp; Clearance-Im</t>
        </is>
      </c>
      <c r="C506" s="214" t="inlineStr">
        <is>
          <t>BRILLIANT TRANSPORT AND TRADING Co., Ltd.</t>
        </is>
      </c>
      <c r="D506" s="215" t="inlineStr">
        <is>
          <t>K002-100089305</t>
        </is>
      </c>
      <c r="E506" s="290" t="inlineStr">
        <is>
          <t>BTT25-0001168</t>
        </is>
      </c>
      <c r="F506" s="279" t="n">
        <v>45803</v>
      </c>
      <c r="G506" s="216" t="n"/>
      <c r="H506" s="564" t="n"/>
      <c r="I506" s="564" t="n">
        <v>236118</v>
      </c>
      <c r="J506" s="213" t="inlineStr">
        <is>
          <t>អនុញ្ញាត (បានប្រកាស)</t>
        </is>
      </c>
      <c r="K506" s="565" t="n"/>
      <c r="L506" s="563">
        <f>I506</f>
        <v/>
      </c>
      <c r="M506" s="536">
        <f>I506-L506</f>
        <v/>
      </c>
      <c r="N506" s="213" t="n"/>
      <c r="O506" s="218">
        <f>U506=E506</f>
        <v/>
      </c>
      <c r="P506" s="218">
        <f>MONTH(F506)-MONTH(T506)</f>
        <v/>
      </c>
      <c r="Q506" s="218">
        <f>$B$5=X506</f>
        <v/>
      </c>
      <c r="R506" s="218">
        <f>I506-AD506</f>
        <v/>
      </c>
      <c r="S506" s="298" t="n"/>
      <c r="T506" s="299" t="n">
        <v>45803</v>
      </c>
      <c r="U506" s="298" t="inlineStr">
        <is>
          <t>BTT25-0001168</t>
        </is>
      </c>
      <c r="V506" s="298" t="n"/>
      <c r="W506" s="298" t="n"/>
      <c r="X506" s="298" t="n"/>
      <c r="Y506" s="298" t="inlineStr">
        <is>
          <t>ហូលីដេ ឌីហ្សាញ (ខេមបូឌា) ឯ.ក</t>
        </is>
      </c>
      <c r="Z506" s="300" t="n"/>
      <c r="AA506" s="300" t="n"/>
      <c r="AB506" s="298" t="n"/>
      <c r="AC506" s="298" t="n"/>
      <c r="AD506" s="300" t="n">
        <v>236118</v>
      </c>
      <c r="AE506" s="298" t="n"/>
      <c r="AF506" s="562" t="n"/>
      <c r="AN506" s="198" t="inlineStr">
        <is>
          <t>Truking / Service</t>
        </is>
      </c>
    </row>
    <row r="507">
      <c r="A507" s="212">
        <f>A506+1</f>
        <v/>
      </c>
      <c r="B507" s="214" t="inlineStr">
        <is>
          <t>Lift-On &amp; Lift-On-Im</t>
        </is>
      </c>
      <c r="C507" s="214" t="inlineStr">
        <is>
          <t>Port Autonome Du Sihanoukville</t>
        </is>
      </c>
      <c r="D507" s="215" t="inlineStr">
        <is>
          <t>L001-100044638</t>
        </is>
      </c>
      <c r="E507" s="290" t="n">
        <v>202500122674</v>
      </c>
      <c r="F507" s="279" t="n">
        <v>45803</v>
      </c>
      <c r="G507" s="216" t="n"/>
      <c r="H507" s="564" t="n"/>
      <c r="I507" s="564" t="n">
        <v>22811</v>
      </c>
      <c r="J507" s="213" t="inlineStr">
        <is>
          <t>អនុញ្ញាត (បានប្រកាស)</t>
        </is>
      </c>
      <c r="K507" s="565" t="n"/>
      <c r="L507" s="563">
        <f>I507</f>
        <v/>
      </c>
      <c r="M507" s="536">
        <f>I507-L507</f>
        <v/>
      </c>
      <c r="N507" s="213" t="n"/>
      <c r="O507" s="218">
        <f>U507=E507</f>
        <v/>
      </c>
      <c r="P507" s="218">
        <f>MONTH(F507)-MONTH(T507)</f>
        <v/>
      </c>
      <c r="Q507" s="218">
        <f>$B$5=X507</f>
        <v/>
      </c>
      <c r="R507" s="218">
        <f>I507-AD507</f>
        <v/>
      </c>
      <c r="S507" s="298" t="n"/>
      <c r="T507" s="299" t="n">
        <v>45803</v>
      </c>
      <c r="U507" s="298" t="n">
        <v>202500122674</v>
      </c>
      <c r="V507" s="298" t="n"/>
      <c r="W507" s="298" t="inlineStr">
        <is>
          <t>បុគ្គលជាប់អាករ</t>
        </is>
      </c>
      <c r="X507" s="298" t="inlineStr">
        <is>
          <t>L001-901640009</t>
        </is>
      </c>
      <c r="Y507" s="298" t="inlineStr">
        <is>
          <t>ហូលីដេ ឌីហ្សាញ (ខេមបូឌា) ឯ.ក</t>
        </is>
      </c>
      <c r="Z507" s="300" t="n">
        <v>250925</v>
      </c>
      <c r="AA507" s="300" t="n">
        <v>228114</v>
      </c>
      <c r="AB507" s="298" t="n">
        <v>0</v>
      </c>
      <c r="AC507" s="298" t="inlineStr">
        <is>
          <t>-</t>
        </is>
      </c>
      <c r="AD507" s="300" t="n">
        <v>22811</v>
      </c>
      <c r="AE507" s="298" t="n"/>
      <c r="AF507" s="562" t="n"/>
    </row>
    <row r="508">
      <c r="A508" s="212">
        <f>A507+1</f>
        <v/>
      </c>
      <c r="B508" s="214" t="inlineStr">
        <is>
          <t>Terminal Handling Charge-Im</t>
        </is>
      </c>
      <c r="C508" s="214" t="inlineStr">
        <is>
          <t>SITC CONTAINER LINES (CAMBODIA) Co., Ltd.</t>
        </is>
      </c>
      <c r="D508" s="215" t="inlineStr">
        <is>
          <t>L001-107035863</t>
        </is>
      </c>
      <c r="E508" s="290" t="inlineStr">
        <is>
          <t>SITC2025-017651</t>
        </is>
      </c>
      <c r="F508" s="279" t="n">
        <v>45798</v>
      </c>
      <c r="G508" s="216" t="n"/>
      <c r="H508" s="564" t="n"/>
      <c r="I508" s="564" t="n">
        <v>144108</v>
      </c>
      <c r="J508" s="213" t="inlineStr">
        <is>
          <t>អនុញ្ញាត (បានប្រកាស)</t>
        </is>
      </c>
      <c r="K508" s="565" t="n"/>
      <c r="L508" s="563">
        <f>I508</f>
        <v/>
      </c>
      <c r="M508" s="536">
        <f>I508-L508</f>
        <v/>
      </c>
      <c r="N508" s="213" t="n"/>
      <c r="O508" s="218">
        <f>U508=E508</f>
        <v/>
      </c>
      <c r="P508" s="218">
        <f>MONTH(F508)-MONTH(T508)</f>
        <v/>
      </c>
      <c r="Q508" s="218">
        <f>$B$5=X508</f>
        <v/>
      </c>
      <c r="R508" s="218">
        <f>I508-AD508</f>
        <v/>
      </c>
      <c r="S508" s="298" t="n"/>
      <c r="T508" s="299" t="n">
        <v>45798</v>
      </c>
      <c r="U508" s="298" t="inlineStr">
        <is>
          <t>SITC2025-017651</t>
        </is>
      </c>
      <c r="V508" s="298" t="n"/>
      <c r="W508" s="298" t="inlineStr">
        <is>
          <t>បុគ្គលជាប់អាករ</t>
        </is>
      </c>
      <c r="X508" s="298" t="inlineStr">
        <is>
          <t>L001-901640009</t>
        </is>
      </c>
      <c r="Y508" s="298" t="inlineStr">
        <is>
          <t>ហូលីដេ ឌីហ្សាញ (ខេមបូឌា) ឯ.ក</t>
        </is>
      </c>
      <c r="Z508" s="300" t="n">
        <v>1585188</v>
      </c>
      <c r="AA508" s="300" t="n">
        <v>1441080</v>
      </c>
      <c r="AB508" s="298" t="n">
        <v>0</v>
      </c>
      <c r="AC508" s="298" t="inlineStr">
        <is>
          <t>-</t>
        </is>
      </c>
      <c r="AD508" s="300" t="n">
        <v>144108</v>
      </c>
      <c r="AE508" s="298" t="n">
        <v>0</v>
      </c>
      <c r="AF508" s="562" t="n">
        <v>0</v>
      </c>
      <c r="AG508" s="198" t="n">
        <v>0</v>
      </c>
      <c r="AH508" s="198" t="n">
        <v>0</v>
      </c>
      <c r="AI508" s="198" t="n">
        <v>0</v>
      </c>
      <c r="AJ508" s="198" t="n">
        <v>0</v>
      </c>
      <c r="AK508" s="198" t="n">
        <v>0</v>
      </c>
      <c r="AL508" s="198" t="n">
        <v>0.01</v>
      </c>
      <c r="AN508" s="198" t="inlineStr">
        <is>
          <t>KHTHC,KHCIC,EMF,KHDO</t>
        </is>
      </c>
    </row>
    <row r="509">
      <c r="A509" s="212">
        <f>A508+1</f>
        <v/>
      </c>
      <c r="B509" s="214" t="inlineStr">
        <is>
          <t>Trucking &amp; Clearance-Im</t>
        </is>
      </c>
      <c r="C509" s="214" t="inlineStr">
        <is>
          <t>BRILLIANT TRANSPORT AND TRADING Co., Ltd.</t>
        </is>
      </c>
      <c r="D509" s="215" t="inlineStr">
        <is>
          <t>K002-100089305</t>
        </is>
      </c>
      <c r="E509" s="290" t="inlineStr">
        <is>
          <t>BTT25-0001167</t>
        </is>
      </c>
      <c r="F509" s="279" t="n">
        <v>45803</v>
      </c>
      <c r="G509" s="216" t="n"/>
      <c r="H509" s="564" t="n"/>
      <c r="I509" s="564" t="n">
        <v>268134</v>
      </c>
      <c r="J509" s="213" t="inlineStr">
        <is>
          <t>អនុញ្ញាត (បានប្រកាស)</t>
        </is>
      </c>
      <c r="K509" s="565" t="n"/>
      <c r="L509" s="563">
        <f>I509</f>
        <v/>
      </c>
      <c r="M509" s="536">
        <f>I509-L509</f>
        <v/>
      </c>
      <c r="N509" s="213" t="n"/>
      <c r="O509" s="218">
        <f>U509=E509</f>
        <v/>
      </c>
      <c r="P509" s="218">
        <f>MONTH(F509)-MONTH(T509)</f>
        <v/>
      </c>
      <c r="Q509" s="218">
        <f>$B$5=X509</f>
        <v/>
      </c>
      <c r="R509" s="218">
        <f>I509-AD509</f>
        <v/>
      </c>
      <c r="S509" s="298" t="n"/>
      <c r="T509" s="299" t="n">
        <v>45803</v>
      </c>
      <c r="U509" s="298" t="inlineStr">
        <is>
          <t>BTT25-0001167</t>
        </is>
      </c>
      <c r="V509" s="298" t="n"/>
      <c r="W509" s="298" t="n"/>
      <c r="X509" s="298" t="n"/>
      <c r="Y509" s="298" t="inlineStr">
        <is>
          <t>ហូលីដេ ឌីហ្សាញ (ខេមបូឌា) ឯ.ក</t>
        </is>
      </c>
      <c r="Z509" s="300" t="n"/>
      <c r="AA509" s="300" t="n"/>
      <c r="AB509" s="298" t="n"/>
      <c r="AC509" s="298" t="n"/>
      <c r="AD509" s="300" t="n">
        <v>268134</v>
      </c>
      <c r="AE509" s="298" t="n"/>
      <c r="AF509" s="562" t="n"/>
      <c r="AN509" s="198" t="inlineStr">
        <is>
          <t>Truking / Service</t>
        </is>
      </c>
    </row>
    <row r="510">
      <c r="A510" s="212">
        <f>A509+1</f>
        <v/>
      </c>
      <c r="B510" s="214" t="inlineStr">
        <is>
          <t>Gate Charge &amp; Cleaning Container Fee-Im</t>
        </is>
      </c>
      <c r="C510" s="214" t="inlineStr">
        <is>
          <t>BRILLIANT TRANSPORT AND TRADING Co., Ltd.</t>
        </is>
      </c>
      <c r="D510" s="215" t="inlineStr">
        <is>
          <t>K002-100089305</t>
        </is>
      </c>
      <c r="E510" s="290" t="inlineStr">
        <is>
          <t>BTT25-0001150</t>
        </is>
      </c>
      <c r="F510" s="279" t="n">
        <v>45779</v>
      </c>
      <c r="G510" s="216" t="n"/>
      <c r="H510" s="564" t="n"/>
      <c r="I510" s="564" t="n">
        <v>129345</v>
      </c>
      <c r="J510" s="213" t="inlineStr">
        <is>
          <t>អនុញ្ញាត (បានប្រកាស)</t>
        </is>
      </c>
      <c r="K510" s="565" t="n"/>
      <c r="L510" s="563">
        <f>I510</f>
        <v/>
      </c>
      <c r="M510" s="536">
        <f>I510-L510</f>
        <v/>
      </c>
      <c r="N510" s="213" t="n"/>
      <c r="O510" s="218">
        <f>U510=E510</f>
        <v/>
      </c>
      <c r="P510" s="218">
        <f>MONTH(F510)-MONTH(T510)</f>
        <v/>
      </c>
      <c r="Q510" s="218">
        <f>$B$5=X510</f>
        <v/>
      </c>
      <c r="R510" s="218">
        <f>I510-AD510</f>
        <v/>
      </c>
      <c r="S510" s="298" t="n"/>
      <c r="T510" s="299" t="n">
        <v>45779</v>
      </c>
      <c r="U510" s="298" t="inlineStr">
        <is>
          <t>BTT25-0001150</t>
        </is>
      </c>
      <c r="V510" s="298" t="n"/>
      <c r="W510" s="298" t="n"/>
      <c r="X510" s="298" t="n"/>
      <c r="Y510" s="298" t="inlineStr">
        <is>
          <t>ហូលីដេ ឌីហ្សាញ (ខេមបូឌា) ឯ.ក</t>
        </is>
      </c>
      <c r="Z510" s="300" t="n"/>
      <c r="AA510" s="300" t="n"/>
      <c r="AB510" s="298" t="n"/>
      <c r="AC510" s="298" t="n"/>
      <c r="AD510" s="300" t="n">
        <v>129345</v>
      </c>
      <c r="AE510" s="298" t="n"/>
      <c r="AF510" s="562" t="n"/>
      <c r="AN510" s="198" t="inlineStr">
        <is>
          <t>Truking / Service</t>
        </is>
      </c>
    </row>
    <row r="511">
      <c r="A511" s="212">
        <f>A510+1</f>
        <v/>
      </c>
      <c r="B511" s="214" t="inlineStr">
        <is>
          <t>Lift-On &amp; Lift-On-Im</t>
        </is>
      </c>
      <c r="C511" s="214" t="inlineStr">
        <is>
          <t>Port Autonome Du Sihanoukville</t>
        </is>
      </c>
      <c r="D511" s="215" t="inlineStr">
        <is>
          <t>L001-100044638</t>
        </is>
      </c>
      <c r="E511" s="290" t="n">
        <v>202500109280</v>
      </c>
      <c r="F511" s="279" t="n">
        <v>45789</v>
      </c>
      <c r="G511" s="216" t="n"/>
      <c r="H511" s="564" t="n"/>
      <c r="I511" s="564" t="n">
        <v>159720</v>
      </c>
      <c r="J511" s="213" t="inlineStr">
        <is>
          <t>អនុញ្ញាត (បានប្រកាស)</t>
        </is>
      </c>
      <c r="K511" s="565" t="n"/>
      <c r="L511" s="563">
        <f>I511</f>
        <v/>
      </c>
      <c r="M511" s="536">
        <f>I511-L511</f>
        <v/>
      </c>
      <c r="N511" s="213" t="n"/>
      <c r="O511" s="218">
        <f>U511=E511</f>
        <v/>
      </c>
      <c r="P511" s="218">
        <f>MONTH(F511)-MONTH(T511)</f>
        <v/>
      </c>
      <c r="Q511" s="218">
        <f>$B$5=X511</f>
        <v/>
      </c>
      <c r="R511" s="218">
        <f>I511-AD511</f>
        <v/>
      </c>
      <c r="S511" s="298" t="n"/>
      <c r="T511" s="299" t="n">
        <v>45789</v>
      </c>
      <c r="U511" s="298" t="n">
        <v>202500109280</v>
      </c>
      <c r="V511" s="298" t="n"/>
      <c r="W511" s="298" t="inlineStr">
        <is>
          <t>បុគ្គលជាប់អាករ</t>
        </is>
      </c>
      <c r="X511" s="298" t="inlineStr">
        <is>
          <t>L001-901640009</t>
        </is>
      </c>
      <c r="Y511" s="298" t="inlineStr">
        <is>
          <t>ហូលីដេ ឌីហ្សាញ (ខេមបូឌា) ឯ.ក</t>
        </is>
      </c>
      <c r="Z511" s="300" t="n">
        <v>1756917</v>
      </c>
      <c r="AA511" s="300" t="n">
        <v>1597197</v>
      </c>
      <c r="AB511" s="298" t="n">
        <v>0</v>
      </c>
      <c r="AC511" s="298" t="inlineStr">
        <is>
          <t>-</t>
        </is>
      </c>
      <c r="AD511" s="300" t="n">
        <v>159720</v>
      </c>
      <c r="AE511" s="298" t="n"/>
      <c r="AF511" s="562" t="n"/>
    </row>
    <row r="512">
      <c r="A512" s="212">
        <f>A511+1</f>
        <v/>
      </c>
      <c r="B512" s="214" t="inlineStr">
        <is>
          <t>Lift-On &amp; Lift-On-Im</t>
        </is>
      </c>
      <c r="C512" s="214" t="inlineStr">
        <is>
          <t>Port Autonome Du Sihanoukville</t>
        </is>
      </c>
      <c r="D512" s="215" t="inlineStr">
        <is>
          <t>L001-100044638</t>
        </is>
      </c>
      <c r="E512" s="290" t="n">
        <v>202500101347</v>
      </c>
      <c r="F512" s="279" t="n">
        <v>45782</v>
      </c>
      <c r="G512" s="216" t="n"/>
      <c r="H512" s="564" t="n"/>
      <c r="I512" s="564" t="n">
        <v>348348</v>
      </c>
      <c r="J512" s="213" t="inlineStr">
        <is>
          <t>អនុញ្ញាត (បានប្រកាស)</t>
        </is>
      </c>
      <c r="K512" s="565" t="n"/>
      <c r="L512" s="563">
        <f>I512</f>
        <v/>
      </c>
      <c r="M512" s="536">
        <f>I512-L512</f>
        <v/>
      </c>
      <c r="N512" s="213" t="n"/>
      <c r="O512" s="218">
        <f>U512=E512</f>
        <v/>
      </c>
      <c r="P512" s="218">
        <f>MONTH(F512)-MONTH(T512)</f>
        <v/>
      </c>
      <c r="Q512" s="218">
        <f>$B$5=X512</f>
        <v/>
      </c>
      <c r="R512" s="218">
        <f>I512-AD512</f>
        <v/>
      </c>
      <c r="S512" s="298" t="n"/>
      <c r="T512" s="299" t="n">
        <v>45782</v>
      </c>
      <c r="U512" s="298" t="n">
        <v>202500101347</v>
      </c>
      <c r="V512" s="298" t="n"/>
      <c r="W512" s="298" t="inlineStr">
        <is>
          <t>បុគ្គលជាប់អាករ</t>
        </is>
      </c>
      <c r="X512" s="298" t="inlineStr">
        <is>
          <t>L001-901640009</t>
        </is>
      </c>
      <c r="Y512" s="298" t="inlineStr">
        <is>
          <t>ហូលីដេ ឌីហ្សាញ (ខេមបូឌា) ឯ.ក</t>
        </is>
      </c>
      <c r="Z512" s="300" t="n">
        <v>3831828</v>
      </c>
      <c r="AA512" s="300" t="n">
        <v>3483480</v>
      </c>
      <c r="AB512" s="298" t="n">
        <v>0</v>
      </c>
      <c r="AC512" s="298" t="inlineStr">
        <is>
          <t>-</t>
        </is>
      </c>
      <c r="AD512" s="300" t="n">
        <v>348348</v>
      </c>
      <c r="AE512" s="298" t="n"/>
      <c r="AF512" s="562" t="n"/>
    </row>
    <row r="513">
      <c r="A513" s="212">
        <f>A512+1</f>
        <v/>
      </c>
      <c r="B513" s="214" t="inlineStr">
        <is>
          <t>Terminal Handling Charge-Im</t>
        </is>
      </c>
      <c r="C513" s="214" t="inlineStr">
        <is>
          <t>SITC CONTAINER LINES (CAMBODIA) Co., Ltd.</t>
        </is>
      </c>
      <c r="D513" s="215" t="inlineStr">
        <is>
          <t>L001-107035863</t>
        </is>
      </c>
      <c r="E513" s="290" t="inlineStr">
        <is>
          <t>SITC2025-016019</t>
        </is>
      </c>
      <c r="F513" s="279" t="n">
        <v>45785</v>
      </c>
      <c r="G513" s="216" t="n"/>
      <c r="H513" s="564" t="n"/>
      <c r="I513" s="564" t="n">
        <v>864864</v>
      </c>
      <c r="J513" s="213" t="inlineStr">
        <is>
          <t>អនុញ្ញាត (បានប្រកាស)</t>
        </is>
      </c>
      <c r="K513" s="565" t="n"/>
      <c r="L513" s="563">
        <f>I513</f>
        <v/>
      </c>
      <c r="M513" s="536">
        <f>I513-L513</f>
        <v/>
      </c>
      <c r="N513" s="213" t="n"/>
      <c r="O513" s="218">
        <f>U513=E513</f>
        <v/>
      </c>
      <c r="P513" s="218">
        <f>MONTH(F513)-MONTH(T513)</f>
        <v/>
      </c>
      <c r="Q513" s="218">
        <f>$B$5=X513</f>
        <v/>
      </c>
      <c r="R513" s="218">
        <f>I513-AD513</f>
        <v/>
      </c>
      <c r="S513" s="298" t="n"/>
      <c r="T513" s="299" t="n">
        <v>45785</v>
      </c>
      <c r="U513" s="298" t="inlineStr">
        <is>
          <t>SITC2025-016019</t>
        </is>
      </c>
      <c r="V513" s="298" t="n"/>
      <c r="W513" s="298" t="inlineStr">
        <is>
          <t>បុគ្គលជាប់អាករ</t>
        </is>
      </c>
      <c r="X513" s="298" t="inlineStr">
        <is>
          <t>L001-901640009</t>
        </is>
      </c>
      <c r="Y513" s="298" t="inlineStr">
        <is>
          <t>ហូលីដេ ឌីហ្សាញ (ខេមបូឌា) ឯ.ក</t>
        </is>
      </c>
      <c r="Z513" s="300" t="n">
        <v>9513504</v>
      </c>
      <c r="AA513" s="300" t="n">
        <v>8648640</v>
      </c>
      <c r="AB513" s="298" t="n">
        <v>0</v>
      </c>
      <c r="AC513" s="298" t="inlineStr">
        <is>
          <t>-</t>
        </is>
      </c>
      <c r="AD513" s="300" t="n">
        <v>864864</v>
      </c>
      <c r="AE513" s="298" t="n">
        <v>0</v>
      </c>
      <c r="AF513" s="562" t="n">
        <v>0</v>
      </c>
      <c r="AG513" s="198" t="n">
        <v>0</v>
      </c>
      <c r="AH513" s="198" t="n">
        <v>0</v>
      </c>
      <c r="AI513" s="198" t="n">
        <v>0</v>
      </c>
      <c r="AJ513" s="198" t="n">
        <v>0</v>
      </c>
      <c r="AK513" s="198" t="n">
        <v>0</v>
      </c>
      <c r="AL513" s="198" t="n">
        <v>0.01</v>
      </c>
      <c r="AN513" s="198" t="inlineStr">
        <is>
          <t>KHTHC,EIB,KHCIC,EMF</t>
        </is>
      </c>
    </row>
    <row r="514">
      <c r="A514" s="212">
        <f>A513+1</f>
        <v/>
      </c>
      <c r="B514" s="214" t="inlineStr">
        <is>
          <t>Trucking &amp; Clearance-Im</t>
        </is>
      </c>
      <c r="C514" s="214" t="inlineStr">
        <is>
          <t>BRILLIANT TRANSPORT AND TRADING Co., Ltd.</t>
        </is>
      </c>
      <c r="D514" s="215" t="inlineStr">
        <is>
          <t>K002-100089305</t>
        </is>
      </c>
      <c r="E514" s="290" t="inlineStr">
        <is>
          <t>BTT25-0001058</t>
        </is>
      </c>
      <c r="F514" s="279" t="n">
        <v>45789</v>
      </c>
      <c r="G514" s="216" t="n"/>
      <c r="H514" s="564" t="n"/>
      <c r="I514" s="564" t="n">
        <v>1733299</v>
      </c>
      <c r="J514" s="213" t="inlineStr">
        <is>
          <t>អនុញ្ញាត (បានប្រកាស)</t>
        </is>
      </c>
      <c r="K514" s="565" t="n"/>
      <c r="L514" s="563">
        <f>I514</f>
        <v/>
      </c>
      <c r="M514" s="536">
        <f>I514-L514</f>
        <v/>
      </c>
      <c r="N514" s="213" t="n"/>
      <c r="O514" s="218">
        <f>U514=E514</f>
        <v/>
      </c>
      <c r="P514" s="218">
        <f>MONTH(F514)-MONTH(T514)</f>
        <v/>
      </c>
      <c r="Q514" s="218">
        <f>$B$5=X514</f>
        <v/>
      </c>
      <c r="R514" s="218">
        <f>I514-AD514</f>
        <v/>
      </c>
      <c r="S514" s="298" t="n"/>
      <c r="T514" s="299" t="n">
        <v>45789</v>
      </c>
      <c r="U514" s="298" t="inlineStr">
        <is>
          <t>BTT25-0001058</t>
        </is>
      </c>
      <c r="V514" s="298" t="n"/>
      <c r="W514" s="298" t="n"/>
      <c r="X514" s="298" t="n"/>
      <c r="Y514" s="298" t="inlineStr">
        <is>
          <t>ហូលីដេ ឌីហ្សាញ (ខេមបូឌា) ឯ.ក</t>
        </is>
      </c>
      <c r="Z514" s="300" t="n"/>
      <c r="AA514" s="300" t="n"/>
      <c r="AB514" s="298" t="n"/>
      <c r="AC514" s="298" t="n"/>
      <c r="AD514" s="300" t="n">
        <v>1733299</v>
      </c>
      <c r="AE514" s="298" t="n"/>
      <c r="AF514" s="562" t="n"/>
      <c r="AN514" s="198" t="inlineStr">
        <is>
          <t>Truking / Service</t>
        </is>
      </c>
    </row>
    <row r="515">
      <c r="A515" s="212">
        <f>A514+1</f>
        <v/>
      </c>
      <c r="B515" s="214" t="inlineStr">
        <is>
          <t>Lift-On &amp; Lift-On-Im</t>
        </is>
      </c>
      <c r="C515" s="214" t="inlineStr">
        <is>
          <t>Port Autonome Du Sihanoukville</t>
        </is>
      </c>
      <c r="D515" s="215" t="inlineStr">
        <is>
          <t>L001-100044638</t>
        </is>
      </c>
      <c r="E515" s="290" t="n">
        <v>202500109284</v>
      </c>
      <c r="F515" s="279" t="n">
        <v>45789</v>
      </c>
      <c r="G515" s="216" t="n"/>
      <c r="H515" s="564" t="n"/>
      <c r="I515" s="564" t="n">
        <v>405904</v>
      </c>
      <c r="J515" s="213" t="inlineStr">
        <is>
          <t>អនុញ្ញាត (បានប្រកាស)</t>
        </is>
      </c>
      <c r="K515" s="565" t="n"/>
      <c r="L515" s="563">
        <f>I515</f>
        <v/>
      </c>
      <c r="M515" s="536">
        <f>I515-L515</f>
        <v/>
      </c>
      <c r="N515" s="213" t="n"/>
      <c r="O515" s="218">
        <f>U515=E515</f>
        <v/>
      </c>
      <c r="P515" s="218">
        <f>MONTH(F515)-MONTH(T515)</f>
        <v/>
      </c>
      <c r="Q515" s="218">
        <f>$B$5=X515</f>
        <v/>
      </c>
      <c r="R515" s="218">
        <f>I515-AD515</f>
        <v/>
      </c>
      <c r="S515" s="298" t="n"/>
      <c r="T515" s="299" t="n">
        <v>45789</v>
      </c>
      <c r="U515" s="298" t="n">
        <v>202500109284</v>
      </c>
      <c r="V515" s="298" t="n"/>
      <c r="W515" s="298" t="inlineStr">
        <is>
          <t>បុគ្គលជាប់អាករ</t>
        </is>
      </c>
      <c r="X515" s="298" t="inlineStr">
        <is>
          <t>L001-901640009</t>
        </is>
      </c>
      <c r="Y515" s="298" t="inlineStr">
        <is>
          <t>ហូលីដេ ឌីហ្សាញ (ខេមបូឌា) ឯ.ក</t>
        </is>
      </c>
      <c r="Z515" s="300" t="n">
        <v>4464946</v>
      </c>
      <c r="AA515" s="300" t="n">
        <v>4059042</v>
      </c>
      <c r="AB515" s="298" t="n">
        <v>0</v>
      </c>
      <c r="AC515" s="298" t="inlineStr">
        <is>
          <t>-</t>
        </is>
      </c>
      <c r="AD515" s="300" t="n">
        <v>405904</v>
      </c>
      <c r="AE515" s="298" t="n"/>
      <c r="AF515" s="562" t="n"/>
    </row>
    <row r="516">
      <c r="A516" s="212">
        <f>A515+1</f>
        <v/>
      </c>
      <c r="B516" s="214" t="inlineStr">
        <is>
          <t>Terminal Handling Charge-Im</t>
        </is>
      </c>
      <c r="C516" s="214" t="inlineStr">
        <is>
          <t>SITC CONTAINER LINES (CAMBODIA) Co., Ltd.</t>
        </is>
      </c>
      <c r="D516" s="215" t="inlineStr">
        <is>
          <t>L001-107035863</t>
        </is>
      </c>
      <c r="E516" s="290" t="inlineStr">
        <is>
          <t>SITC2025-015872</t>
        </is>
      </c>
      <c r="F516" s="279" t="n">
        <v>45784</v>
      </c>
      <c r="G516" s="216" t="n"/>
      <c r="H516" s="564" t="n"/>
      <c r="I516" s="564" t="n">
        <v>2433824</v>
      </c>
      <c r="J516" s="213" t="inlineStr">
        <is>
          <t>អនុញ្ញាត (បានប្រកាស)</t>
        </is>
      </c>
      <c r="K516" s="565" t="n"/>
      <c r="L516" s="563">
        <f>I516</f>
        <v/>
      </c>
      <c r="M516" s="536">
        <f>I516-L516</f>
        <v/>
      </c>
      <c r="N516" s="213" t="n"/>
      <c r="O516" s="218">
        <f>U516=E516</f>
        <v/>
      </c>
      <c r="P516" s="218">
        <f>MONTH(F516)-MONTH(T516)</f>
        <v/>
      </c>
      <c r="Q516" s="218">
        <f>$B$5=X516</f>
        <v/>
      </c>
      <c r="R516" s="218">
        <f>I516-AD516</f>
        <v/>
      </c>
      <c r="S516" s="298" t="n"/>
      <c r="T516" s="299" t="n">
        <v>45784</v>
      </c>
      <c r="U516" s="298" t="inlineStr">
        <is>
          <t>SITC2025-015872</t>
        </is>
      </c>
      <c r="V516" s="298" t="n"/>
      <c r="W516" s="298" t="inlineStr">
        <is>
          <t>បុគ្គលជាប់អាករ</t>
        </is>
      </c>
      <c r="X516" s="298" t="inlineStr">
        <is>
          <t>L001-901640009</t>
        </is>
      </c>
      <c r="Y516" s="298" t="inlineStr">
        <is>
          <t>ហូលីដេ ឌីហ្សាញ (ខេមបូឌា) ឯ.ក</t>
        </is>
      </c>
      <c r="Z516" s="300" t="n">
        <v>26772064</v>
      </c>
      <c r="AA516" s="300" t="n">
        <v>24338240</v>
      </c>
      <c r="AB516" s="298" t="n">
        <v>0</v>
      </c>
      <c r="AC516" s="298" t="inlineStr">
        <is>
          <t>-</t>
        </is>
      </c>
      <c r="AD516" s="300" t="n">
        <v>2433824</v>
      </c>
      <c r="AE516" s="298" t="n">
        <v>0</v>
      </c>
      <c r="AF516" s="562" t="n">
        <v>0</v>
      </c>
      <c r="AG516" s="198" t="n">
        <v>0</v>
      </c>
      <c r="AH516" s="198" t="n">
        <v>0</v>
      </c>
      <c r="AI516" s="198" t="n">
        <v>0</v>
      </c>
      <c r="AJ516" s="198" t="n">
        <v>0</v>
      </c>
      <c r="AK516" s="198" t="n">
        <v>0</v>
      </c>
      <c r="AL516" s="198" t="n">
        <v>0.01</v>
      </c>
      <c r="AN516" s="198" t="inlineStr">
        <is>
          <t>KHDOC,KHTHC</t>
        </is>
      </c>
    </row>
    <row r="517">
      <c r="A517" s="212">
        <f>A516+1</f>
        <v/>
      </c>
      <c r="B517" s="214" t="inlineStr">
        <is>
          <t>Trucking &amp; Clearance-Im</t>
        </is>
      </c>
      <c r="C517" s="214" t="inlineStr">
        <is>
          <t>BRILLIANT TRANSPORT AND TRADING Co., Ltd.</t>
        </is>
      </c>
      <c r="D517" s="215" t="inlineStr">
        <is>
          <t>K002-100089305</t>
        </is>
      </c>
      <c r="E517" s="290" t="inlineStr">
        <is>
          <t>BTT25-0001057</t>
        </is>
      </c>
      <c r="F517" s="279" t="n">
        <v>45789</v>
      </c>
      <c r="G517" s="216" t="n"/>
      <c r="H517" s="564" t="n"/>
      <c r="I517" s="564" t="n">
        <v>2774079</v>
      </c>
      <c r="J517" s="213" t="inlineStr">
        <is>
          <t>អនុញ្ញាត (បានប្រកាស)</t>
        </is>
      </c>
      <c r="K517" s="565" t="n"/>
      <c r="L517" s="563">
        <f>I517</f>
        <v/>
      </c>
      <c r="M517" s="536">
        <f>I517-L517</f>
        <v/>
      </c>
      <c r="N517" s="213" t="n"/>
      <c r="O517" s="218">
        <f>U517=E517</f>
        <v/>
      </c>
      <c r="P517" s="218">
        <f>MONTH(F517)-MONTH(T517)</f>
        <v/>
      </c>
      <c r="Q517" s="218">
        <f>$B$5=X517</f>
        <v/>
      </c>
      <c r="R517" s="218">
        <f>I517-AD517</f>
        <v/>
      </c>
      <c r="S517" s="298" t="n"/>
      <c r="T517" s="299" t="n">
        <v>45789</v>
      </c>
      <c r="U517" s="298" t="inlineStr">
        <is>
          <t>BTT25-0001057</t>
        </is>
      </c>
      <c r="V517" s="298" t="n"/>
      <c r="W517" s="298" t="n"/>
      <c r="X517" s="298" t="n"/>
      <c r="Y517" s="298" t="inlineStr">
        <is>
          <t>ហូលីដេ ឌីហ្សាញ (ខេមបូឌា) ឯ.ក</t>
        </is>
      </c>
      <c r="Z517" s="300" t="n"/>
      <c r="AA517" s="300" t="n"/>
      <c r="AB517" s="298" t="n"/>
      <c r="AC517" s="298" t="n"/>
      <c r="AD517" s="300" t="n">
        <v>2774079</v>
      </c>
      <c r="AE517" s="298" t="n"/>
      <c r="AF517" s="562" t="n"/>
      <c r="AN517" s="198" t="inlineStr">
        <is>
          <t>Truking / Service</t>
        </is>
      </c>
    </row>
    <row r="518">
      <c r="A518" s="212">
        <f>A517+1</f>
        <v/>
      </c>
      <c r="B518" s="214" t="inlineStr">
        <is>
          <t>Rental Building for 11-2024</t>
        </is>
      </c>
      <c r="C518" s="214" t="inlineStr">
        <is>
          <t>HOLIDAY DESIGNS INTERNATIONAL Ltd.</t>
        </is>
      </c>
      <c r="D518" s="215" t="inlineStr">
        <is>
          <t>L001-901502196</t>
        </is>
      </c>
      <c r="E518" s="290" t="inlineStr">
        <is>
          <t>INT2401041</t>
        </is>
      </c>
      <c r="F518" s="279" t="n">
        <v>45626</v>
      </c>
      <c r="G518" s="216" t="n"/>
      <c r="H518" s="564" t="n"/>
      <c r="I518" s="564" t="n">
        <v>18537883</v>
      </c>
      <c r="J518" s="213" t="inlineStr">
        <is>
          <t>អនុញ្ញាត (បានប្រកាស)</t>
        </is>
      </c>
      <c r="K518" s="565" t="n"/>
      <c r="L518" s="563">
        <f>I518</f>
        <v/>
      </c>
      <c r="M518" s="536">
        <f>I518-L518</f>
        <v/>
      </c>
      <c r="N518" s="213" t="inlineStr">
        <is>
          <t>បានពិនិត្យវិក្កយបត្រ</t>
        </is>
      </c>
      <c r="O518" s="218">
        <f>U518=E518</f>
        <v/>
      </c>
      <c r="P518" s="218">
        <f>MONTH(F518)-MONTH(T518)</f>
        <v/>
      </c>
      <c r="Q518" s="218">
        <f>$B$5=X518</f>
        <v/>
      </c>
      <c r="R518" s="218">
        <f>I518-AD518</f>
        <v/>
      </c>
      <c r="S518" s="298" t="n"/>
      <c r="T518" s="299" t="n">
        <v>45626</v>
      </c>
      <c r="U518" s="298" t="inlineStr">
        <is>
          <t>INT2401041</t>
        </is>
      </c>
      <c r="V518" s="298" t="n">
        <v>0</v>
      </c>
      <c r="W518" s="298" t="inlineStr">
        <is>
          <t>បុគ្គលជាប់អាករ</t>
        </is>
      </c>
      <c r="X518" s="298" t="inlineStr">
        <is>
          <t>L001-901640009</t>
        </is>
      </c>
      <c r="Y518" s="298" t="inlineStr">
        <is>
          <t>ហូលីដេ ឌីហ្សាញ (ខេមបូឌា) ឯ.ក</t>
        </is>
      </c>
      <c r="Z518" s="300" t="n">
        <v>203916714</v>
      </c>
      <c r="AA518" s="300" t="n">
        <v>185378831</v>
      </c>
      <c r="AB518" s="298" t="n">
        <v>0</v>
      </c>
      <c r="AC518" s="298" t="inlineStr">
        <is>
          <t>-</t>
        </is>
      </c>
      <c r="AD518" s="300" t="n">
        <v>18537883</v>
      </c>
      <c r="AE518" s="298" t="n">
        <v>0</v>
      </c>
      <c r="AF518" s="562" t="n">
        <v>0</v>
      </c>
      <c r="AG518" s="198" t="n">
        <v>0</v>
      </c>
      <c r="AH518" s="198" t="n">
        <v>0</v>
      </c>
      <c r="AI518" s="198" t="n">
        <v>0</v>
      </c>
      <c r="AJ518" s="198" t="n">
        <v>0</v>
      </c>
      <c r="AK518" s="198" t="n">
        <v>0</v>
      </c>
      <c r="AL518" s="198" t="n">
        <v>0.01</v>
      </c>
      <c r="AM518" s="198" t="n">
        <v>0</v>
      </c>
      <c r="AN518" s="198" t="inlineStr">
        <is>
          <t>Rental Building 11-2024</t>
        </is>
      </c>
      <c r="AO518" s="198" t="inlineStr">
        <is>
          <t>បានប្រកាសនិងបង់ពន្ធ</t>
        </is>
      </c>
    </row>
    <row r="519">
      <c r="A519" s="212">
        <f>A518+1</f>
        <v/>
      </c>
      <c r="B519" s="214" t="inlineStr">
        <is>
          <t>Rental Building for 12-2024</t>
        </is>
      </c>
      <c r="C519" s="214" t="inlineStr">
        <is>
          <t>HOLIDAY DESIGNS INTERNATIONAL Ltd.</t>
        </is>
      </c>
      <c r="D519" s="215" t="inlineStr">
        <is>
          <t>L001-901502196</t>
        </is>
      </c>
      <c r="E519" s="290" t="inlineStr">
        <is>
          <t>INT2401045</t>
        </is>
      </c>
      <c r="F519" s="279" t="n">
        <v>45657</v>
      </c>
      <c r="G519" s="216" t="n"/>
      <c r="H519" s="564" t="n"/>
      <c r="I519" s="564" t="n">
        <v>18524076</v>
      </c>
      <c r="J519" s="213" t="inlineStr">
        <is>
          <t>អនុញ្ញាត (បានប្រកាស)</t>
        </is>
      </c>
      <c r="K519" s="565" t="n"/>
      <c r="L519" s="563">
        <f>I519</f>
        <v/>
      </c>
      <c r="M519" s="536">
        <f>I519-L519</f>
        <v/>
      </c>
      <c r="N519" s="213" t="inlineStr">
        <is>
          <t>បានពិនិត្យវិក្កយបត្រ</t>
        </is>
      </c>
      <c r="O519" s="218">
        <f>U519=E519</f>
        <v/>
      </c>
      <c r="P519" s="218">
        <f>MONTH(F519)-MONTH(T519)</f>
        <v/>
      </c>
      <c r="Q519" s="218">
        <f>$B$5=X519</f>
        <v/>
      </c>
      <c r="R519" s="218">
        <f>I519-AD519</f>
        <v/>
      </c>
      <c r="S519" s="298" t="n"/>
      <c r="T519" s="299" t="n">
        <v>45657</v>
      </c>
      <c r="U519" s="298" t="inlineStr">
        <is>
          <t>INT2401045</t>
        </is>
      </c>
      <c r="V519" s="298" t="n">
        <v>0</v>
      </c>
      <c r="W519" s="298" t="inlineStr">
        <is>
          <t>បុគ្គលជាប់អាករ</t>
        </is>
      </c>
      <c r="X519" s="298" t="inlineStr">
        <is>
          <t>L001-901640009</t>
        </is>
      </c>
      <c r="Y519" s="298" t="inlineStr">
        <is>
          <t>ហូលីដេ ឌីហ្សាញ (ខេមបូឌា) ឯ.ក</t>
        </is>
      </c>
      <c r="Z519" s="300" t="n">
        <v>203764840</v>
      </c>
      <c r="AA519" s="300" t="n">
        <v>185240764</v>
      </c>
      <c r="AB519" s="298" t="n">
        <v>0</v>
      </c>
      <c r="AC519" s="298" t="inlineStr">
        <is>
          <t>-</t>
        </is>
      </c>
      <c r="AD519" s="300" t="n">
        <v>18524076</v>
      </c>
      <c r="AE519" s="298" t="n">
        <v>0</v>
      </c>
      <c r="AF519" s="562" t="n">
        <v>0</v>
      </c>
      <c r="AG519" s="198" t="n">
        <v>0</v>
      </c>
      <c r="AH519" s="198" t="n">
        <v>0</v>
      </c>
      <c r="AI519" s="198" t="n">
        <v>0</v>
      </c>
      <c r="AJ519" s="198" t="n">
        <v>0</v>
      </c>
      <c r="AK519" s="198" t="n">
        <v>0</v>
      </c>
      <c r="AL519" s="198" t="n">
        <v>0.01</v>
      </c>
      <c r="AM519" s="198" t="n">
        <v>0</v>
      </c>
      <c r="AN519" s="198" t="inlineStr">
        <is>
          <t>Rental Building 12-2024</t>
        </is>
      </c>
      <c r="AO519" s="198" t="inlineStr">
        <is>
          <t>បានប្រកាសនិងបង់ពន្ធ</t>
        </is>
      </c>
    </row>
    <row r="520">
      <c r="A520" s="212">
        <f>A519+1</f>
        <v/>
      </c>
      <c r="B520" s="214" t="inlineStr">
        <is>
          <t>Rental Building for 01-2025</t>
        </is>
      </c>
      <c r="C520" s="214" t="inlineStr">
        <is>
          <t>HOLIDAY DESIGNS INTERNATIONAL Ltd.</t>
        </is>
      </c>
      <c r="D520" s="215" t="inlineStr">
        <is>
          <t>L001-901502196</t>
        </is>
      </c>
      <c r="E520" s="290" t="inlineStr">
        <is>
          <t>INT2501001</t>
        </is>
      </c>
      <c r="F520" s="279" t="n">
        <v>45688</v>
      </c>
      <c r="G520" s="216" t="n"/>
      <c r="H520" s="564" t="n"/>
      <c r="I520" s="564" t="n">
        <v>18519474</v>
      </c>
      <c r="J520" s="213" t="inlineStr">
        <is>
          <t>អនុញ្ញាត (បានប្រកាស)</t>
        </is>
      </c>
      <c r="K520" s="565" t="n"/>
      <c r="L520" s="563">
        <f>I520</f>
        <v/>
      </c>
      <c r="M520" s="536">
        <f>I520-L520</f>
        <v/>
      </c>
      <c r="N520" s="213" t="inlineStr">
        <is>
          <t>បានពិនិត្យវិក្កយបត្រ</t>
        </is>
      </c>
      <c r="O520" s="218">
        <f>U520=E520</f>
        <v/>
      </c>
      <c r="P520" s="218">
        <f>MONTH(F520)-MONTH(T520)</f>
        <v/>
      </c>
      <c r="Q520" s="218">
        <f>$B$5=X520</f>
        <v/>
      </c>
      <c r="R520" s="218">
        <f>I520-AD520</f>
        <v/>
      </c>
      <c r="S520" s="298" t="n"/>
      <c r="T520" s="299" t="n">
        <v>45688</v>
      </c>
      <c r="U520" s="298" t="inlineStr">
        <is>
          <t>INT2501001</t>
        </is>
      </c>
      <c r="V520" s="298" t="n">
        <v>0</v>
      </c>
      <c r="W520" s="298" t="inlineStr">
        <is>
          <t>បុគ្គលជាប់អាករ</t>
        </is>
      </c>
      <c r="X520" s="298" t="inlineStr">
        <is>
          <t>L001-901640009</t>
        </is>
      </c>
      <c r="Y520" s="298" t="inlineStr">
        <is>
          <t>ហូលីដេ ឌីហ្សាញ (ខេមបូឌា) ឯ.ក</t>
        </is>
      </c>
      <c r="Z520" s="300" t="n">
        <v>203714215</v>
      </c>
      <c r="AA520" s="300" t="n">
        <v>185194741</v>
      </c>
      <c r="AB520" s="298" t="n">
        <v>0</v>
      </c>
      <c r="AC520" s="298" t="inlineStr">
        <is>
          <t>-</t>
        </is>
      </c>
      <c r="AD520" s="300" t="n">
        <v>18519474</v>
      </c>
      <c r="AE520" s="298" t="n">
        <v>0</v>
      </c>
      <c r="AF520" s="562" t="n">
        <v>0</v>
      </c>
      <c r="AG520" s="198" t="n">
        <v>0</v>
      </c>
      <c r="AH520" s="198" t="n">
        <v>0</v>
      </c>
      <c r="AI520" s="198" t="n">
        <v>0</v>
      </c>
      <c r="AJ520" s="198" t="n">
        <v>0</v>
      </c>
      <c r="AK520" s="198" t="n">
        <v>0</v>
      </c>
      <c r="AL520" s="198" t="n">
        <v>0.01</v>
      </c>
      <c r="AM520" s="198" t="n">
        <v>0</v>
      </c>
      <c r="AN520" s="198" t="inlineStr">
        <is>
          <t>Rental Building 2025-01</t>
        </is>
      </c>
      <c r="AO520" s="198" t="inlineStr">
        <is>
          <t>បានប្រកាសនិងបង់ពន្ធ</t>
        </is>
      </c>
    </row>
    <row r="521">
      <c r="A521" s="212">
        <f>A520+1</f>
        <v/>
      </c>
      <c r="B521" s="214" t="inlineStr">
        <is>
          <t>Rental Building for 02-2025</t>
        </is>
      </c>
      <c r="C521" s="214" t="inlineStr">
        <is>
          <t>HOLIDAY DESIGNS INTERNATIONAL Ltd.</t>
        </is>
      </c>
      <c r="D521" s="215" t="inlineStr">
        <is>
          <t>L001-901502196</t>
        </is>
      </c>
      <c r="E521" s="290" t="inlineStr">
        <is>
          <t>INT2501005</t>
        </is>
      </c>
      <c r="F521" s="279" t="n">
        <v>45716</v>
      </c>
      <c r="G521" s="216" t="n"/>
      <c r="H521" s="564" t="n"/>
      <c r="I521" s="564" t="n">
        <v>18459645</v>
      </c>
      <c r="J521" s="213" t="inlineStr">
        <is>
          <t>អនុញ្ញាត (បានប្រកាស)</t>
        </is>
      </c>
      <c r="K521" s="565" t="n"/>
      <c r="L521" s="563">
        <f>I521</f>
        <v/>
      </c>
      <c r="M521" s="536">
        <f>I521-L521</f>
        <v/>
      </c>
      <c r="N521" s="213" t="inlineStr">
        <is>
          <t>បានពិនិត្យវិក្កយបត្រ</t>
        </is>
      </c>
      <c r="O521" s="218">
        <f>U521=E521</f>
        <v/>
      </c>
      <c r="P521" s="218">
        <f>MONTH(F521)-MONTH(T521)</f>
        <v/>
      </c>
      <c r="Q521" s="218">
        <f>$B$5=X521</f>
        <v/>
      </c>
      <c r="R521" s="218">
        <f>I521-AD521</f>
        <v/>
      </c>
      <c r="S521" s="298" t="n"/>
      <c r="T521" s="299" t="n">
        <v>45716</v>
      </c>
      <c r="U521" s="298" t="inlineStr">
        <is>
          <t>INT2501005</t>
        </is>
      </c>
      <c r="V521" s="298" t="n">
        <v>0</v>
      </c>
      <c r="W521" s="298" t="inlineStr">
        <is>
          <t>បុគ្គលជាប់អាករ</t>
        </is>
      </c>
      <c r="X521" s="298" t="inlineStr">
        <is>
          <t>L001-901640009</t>
        </is>
      </c>
      <c r="Y521" s="298" t="inlineStr">
        <is>
          <t>ហូលីដេ ឌីហ្សាញ (ខេមបូឌា) ឯ.ក</t>
        </is>
      </c>
      <c r="Z521" s="300" t="n">
        <v>203056093</v>
      </c>
      <c r="AA521" s="300" t="n">
        <v>184596448</v>
      </c>
      <c r="AB521" s="298" t="n">
        <v>0</v>
      </c>
      <c r="AC521" s="298" t="inlineStr">
        <is>
          <t>-</t>
        </is>
      </c>
      <c r="AD521" s="300" t="n">
        <v>18459645</v>
      </c>
      <c r="AE521" s="298" t="n">
        <v>0</v>
      </c>
      <c r="AF521" s="562" t="n">
        <v>0</v>
      </c>
      <c r="AG521" s="198" t="n">
        <v>0</v>
      </c>
      <c r="AH521" s="198" t="n">
        <v>0</v>
      </c>
      <c r="AI521" s="198" t="n">
        <v>0</v>
      </c>
      <c r="AJ521" s="198" t="n">
        <v>0</v>
      </c>
      <c r="AK521" s="198" t="n">
        <v>0</v>
      </c>
      <c r="AL521" s="198" t="n">
        <v>0.01</v>
      </c>
      <c r="AM521" s="198" t="n">
        <v>0</v>
      </c>
      <c r="AN521" s="198" t="inlineStr">
        <is>
          <t>Rental Building 2025-02</t>
        </is>
      </c>
      <c r="AO521" s="198" t="inlineStr">
        <is>
          <t>បានប្រកាសនិងបង់ពន្ធ</t>
        </is>
      </c>
    </row>
    <row r="522">
      <c r="A522" s="212">
        <f>A521+1</f>
        <v/>
      </c>
      <c r="B522" s="214" t="inlineStr">
        <is>
          <t>Rental Building for 03-2025</t>
        </is>
      </c>
      <c r="C522" s="214" t="inlineStr">
        <is>
          <t>HOLIDAY DESIGNS INTERNATIONAL Ltd.</t>
        </is>
      </c>
      <c r="D522" s="215" t="inlineStr">
        <is>
          <t>L001-901502196</t>
        </is>
      </c>
      <c r="E522" s="290" t="inlineStr">
        <is>
          <t>INT2501009</t>
        </is>
      </c>
      <c r="F522" s="279" t="n">
        <v>45747</v>
      </c>
      <c r="G522" s="216" t="n"/>
      <c r="H522" s="564" t="n"/>
      <c r="I522" s="564" t="n">
        <v>18409020</v>
      </c>
      <c r="J522" s="213" t="inlineStr">
        <is>
          <t>អនុញ្ញាត (បានប្រកាស)</t>
        </is>
      </c>
      <c r="K522" s="565" t="n"/>
      <c r="L522" s="563">
        <f>I522</f>
        <v/>
      </c>
      <c r="M522" s="536">
        <f>I522-L522</f>
        <v/>
      </c>
      <c r="N522" s="213" t="inlineStr">
        <is>
          <t>បានពិនិត្យវិក្កយបត្រ</t>
        </is>
      </c>
      <c r="O522" s="218">
        <f>U522=E522</f>
        <v/>
      </c>
      <c r="P522" s="218">
        <f>MONTH(F522)-MONTH(T522)</f>
        <v/>
      </c>
      <c r="Q522" s="218">
        <f>$B$5=X522</f>
        <v/>
      </c>
      <c r="R522" s="218">
        <f>I522-AD522</f>
        <v/>
      </c>
      <c r="S522" s="298" t="n"/>
      <c r="T522" s="299" t="n">
        <v>45747</v>
      </c>
      <c r="U522" s="298" t="inlineStr">
        <is>
          <t>INT2501009</t>
        </is>
      </c>
      <c r="V522" s="298" t="n">
        <v>0</v>
      </c>
      <c r="W522" s="298" t="inlineStr">
        <is>
          <t>បុគ្គលជាប់អាករ</t>
        </is>
      </c>
      <c r="X522" s="298" t="inlineStr">
        <is>
          <t>L001-901640009</t>
        </is>
      </c>
      <c r="Y522" s="298" t="inlineStr">
        <is>
          <t>ហូលីដេ ឌីហ្សាញ (ខេមបូឌា) ឯ.ក</t>
        </is>
      </c>
      <c r="Z522" s="300" t="n">
        <v>202499220</v>
      </c>
      <c r="AA522" s="300" t="n">
        <v>184090200</v>
      </c>
      <c r="AB522" s="298" t="n">
        <v>0</v>
      </c>
      <c r="AC522" s="298" t="inlineStr">
        <is>
          <t>-</t>
        </is>
      </c>
      <c r="AD522" s="300" t="n">
        <v>18409020</v>
      </c>
      <c r="AE522" s="298" t="n">
        <v>0</v>
      </c>
      <c r="AF522" s="562" t="n">
        <v>0</v>
      </c>
      <c r="AG522" s="198" t="n">
        <v>0</v>
      </c>
      <c r="AH522" s="198" t="n">
        <v>0</v>
      </c>
      <c r="AI522" s="198" t="n">
        <v>0</v>
      </c>
      <c r="AJ522" s="198" t="n">
        <v>0</v>
      </c>
      <c r="AK522" s="198" t="n">
        <v>0</v>
      </c>
      <c r="AL522" s="198" t="n">
        <v>0.01</v>
      </c>
      <c r="AM522" s="198" t="n">
        <v>0</v>
      </c>
      <c r="AN522" s="198" t="inlineStr">
        <is>
          <t>Rental Building 2025-03</t>
        </is>
      </c>
      <c r="AO522" s="198" t="inlineStr">
        <is>
          <t>បានប្រកាសនិងបង់ពន្ធ</t>
        </is>
      </c>
    </row>
    <row r="523">
      <c r="A523" s="212">
        <f>A522+1</f>
        <v/>
      </c>
      <c r="B523" s="214" t="inlineStr">
        <is>
          <t>Rental Building for 04-2025</t>
        </is>
      </c>
      <c r="C523" s="214" t="inlineStr">
        <is>
          <t>HOLIDAY DESIGNS INTERNATIONAL Ltd.</t>
        </is>
      </c>
      <c r="D523" s="215" t="inlineStr">
        <is>
          <t>L001-901502196</t>
        </is>
      </c>
      <c r="E523" s="290" t="inlineStr">
        <is>
          <t>INT2501013</t>
        </is>
      </c>
      <c r="F523" s="279" t="n">
        <v>45777</v>
      </c>
      <c r="G523" s="216" t="n"/>
      <c r="H523" s="564" t="n"/>
      <c r="I523" s="564" t="n">
        <v>18422827</v>
      </c>
      <c r="J523" s="213" t="inlineStr">
        <is>
          <t>អនុញ្ញាត (បានប្រកាស)</t>
        </is>
      </c>
      <c r="K523" s="565" t="n"/>
      <c r="L523" s="563">
        <f>I523</f>
        <v/>
      </c>
      <c r="M523" s="536">
        <f>I523-L523</f>
        <v/>
      </c>
      <c r="N523" s="213" t="inlineStr">
        <is>
          <t>បានពិនិត្យវិក្កយបត្រ</t>
        </is>
      </c>
      <c r="O523" s="218">
        <f>U523=E523</f>
        <v/>
      </c>
      <c r="P523" s="218">
        <f>MONTH(F523)-MONTH(T523)</f>
        <v/>
      </c>
      <c r="Q523" s="218">
        <f>$B$5=X523</f>
        <v/>
      </c>
      <c r="R523" s="218">
        <f>I523-AD523</f>
        <v/>
      </c>
      <c r="S523" s="298" t="n"/>
      <c r="T523" s="299" t="n">
        <v>45777</v>
      </c>
      <c r="U523" s="298" t="inlineStr">
        <is>
          <t>INT2501013</t>
        </is>
      </c>
      <c r="V523" s="298" t="n">
        <v>0</v>
      </c>
      <c r="W523" s="298" t="inlineStr">
        <is>
          <t>បុគ្គលជាប់អាករ</t>
        </is>
      </c>
      <c r="X523" s="298" t="inlineStr">
        <is>
          <t>L001-901640009</t>
        </is>
      </c>
      <c r="Y523" s="298" t="inlineStr">
        <is>
          <t>ហូលីដេ ឌីហ្សាញ (ខេមបូឌា) ឯ.ក</t>
        </is>
      </c>
      <c r="Z523" s="300" t="n">
        <v>202651095</v>
      </c>
      <c r="AA523" s="300" t="n">
        <v>184228268</v>
      </c>
      <c r="AB523" s="298" t="n">
        <v>0</v>
      </c>
      <c r="AC523" s="298" t="inlineStr">
        <is>
          <t>-</t>
        </is>
      </c>
      <c r="AD523" s="300" t="n">
        <v>18422827</v>
      </c>
      <c r="AE523" s="298" t="n">
        <v>0</v>
      </c>
      <c r="AF523" s="562" t="n">
        <v>0</v>
      </c>
      <c r="AG523" s="198" t="n">
        <v>0</v>
      </c>
      <c r="AH523" s="198" t="n">
        <v>0</v>
      </c>
      <c r="AI523" s="198" t="n">
        <v>0</v>
      </c>
      <c r="AJ523" s="198" t="n">
        <v>0</v>
      </c>
      <c r="AK523" s="198" t="n">
        <v>0</v>
      </c>
      <c r="AL523" s="198" t="n">
        <v>0.01</v>
      </c>
      <c r="AM523" s="198" t="n">
        <v>0</v>
      </c>
      <c r="AN523" s="198" t="inlineStr">
        <is>
          <t>Rental Building 2025-04</t>
        </is>
      </c>
      <c r="AO523" s="198" t="inlineStr">
        <is>
          <t>បានប្រកាសនិងបង់ពន្ធ</t>
        </is>
      </c>
    </row>
    <row r="524">
      <c r="A524" s="212">
        <f>A523+1</f>
        <v/>
      </c>
      <c r="B524" s="214" t="inlineStr">
        <is>
          <t>Rental Building for 05-2025</t>
        </is>
      </c>
      <c r="C524" s="214" t="inlineStr">
        <is>
          <t>HOLIDAY DESIGNS INTERNATIONAL Ltd.</t>
        </is>
      </c>
      <c r="D524" s="215" t="inlineStr">
        <is>
          <t>L001-901502196</t>
        </is>
      </c>
      <c r="E524" s="290" t="inlineStr">
        <is>
          <t>INT2501017</t>
        </is>
      </c>
      <c r="F524" s="279" t="n">
        <v>45808</v>
      </c>
      <c r="G524" s="216" t="n"/>
      <c r="H524" s="564" t="n"/>
      <c r="I524" s="564" t="n">
        <v>18432031</v>
      </c>
      <c r="J524" s="213" t="inlineStr">
        <is>
          <t>អនុញ្ញាត (បានប្រកាស)</t>
        </is>
      </c>
      <c r="K524" s="565" t="n"/>
      <c r="L524" s="563">
        <f>I524</f>
        <v/>
      </c>
      <c r="M524" s="536">
        <f>I524-L524</f>
        <v/>
      </c>
      <c r="N524" s="213" t="inlineStr">
        <is>
          <t>បានពិនិត្យវិក្កយបត្រ</t>
        </is>
      </c>
      <c r="O524" s="218">
        <f>U524=E524</f>
        <v/>
      </c>
      <c r="P524" s="218">
        <f>MONTH(F524)-MONTH(T524)</f>
        <v/>
      </c>
      <c r="Q524" s="218">
        <f>$B$5=X524</f>
        <v/>
      </c>
      <c r="R524" s="218">
        <f>I524-AD524</f>
        <v/>
      </c>
      <c r="S524" s="298" t="n"/>
      <c r="T524" s="299" t="n">
        <v>45808</v>
      </c>
      <c r="U524" s="298" t="inlineStr">
        <is>
          <t>INT2501017</t>
        </is>
      </c>
      <c r="V524" s="298" t="n">
        <v>0</v>
      </c>
      <c r="W524" s="298" t="inlineStr">
        <is>
          <t>បុគ្គលជាប់អាករ</t>
        </is>
      </c>
      <c r="X524" s="298" t="inlineStr">
        <is>
          <t>L001-901640009</t>
        </is>
      </c>
      <c r="Y524" s="298" t="inlineStr">
        <is>
          <t>ហូលីដេ ឌីហ្សាញ (ខេមបូឌា) ឯ.ក</t>
        </is>
      </c>
      <c r="Z524" s="300" t="n">
        <v>202752344</v>
      </c>
      <c r="AA524" s="300" t="n">
        <v>184320313</v>
      </c>
      <c r="AB524" s="298" t="n">
        <v>0</v>
      </c>
      <c r="AC524" s="298" t="inlineStr">
        <is>
          <t>-</t>
        </is>
      </c>
      <c r="AD524" s="300" t="n">
        <v>18432031</v>
      </c>
      <c r="AE524" s="298" t="n">
        <v>0</v>
      </c>
      <c r="AF524" s="562" t="n">
        <v>0</v>
      </c>
      <c r="AG524" s="198" t="n">
        <v>0</v>
      </c>
      <c r="AH524" s="198" t="n">
        <v>0</v>
      </c>
      <c r="AI524" s="198" t="n">
        <v>0</v>
      </c>
      <c r="AJ524" s="198" t="n">
        <v>0</v>
      </c>
      <c r="AK524" s="198" t="n">
        <v>0</v>
      </c>
      <c r="AL524" s="198" t="n">
        <v>0.01</v>
      </c>
      <c r="AM524" s="198" t="n">
        <v>0</v>
      </c>
      <c r="AN524" s="198" t="inlineStr">
        <is>
          <t>Rental Building 2025-05</t>
        </is>
      </c>
      <c r="AO524" s="198" t="inlineStr">
        <is>
          <t>បានប្រកាសនិងបង់ពន្ធ</t>
        </is>
      </c>
    </row>
    <row r="525">
      <c r="A525" s="212">
        <f>A524+1</f>
        <v/>
      </c>
      <c r="B525" s="214" t="inlineStr">
        <is>
          <t>Terminal Handling Charge</t>
        </is>
      </c>
      <c r="C525" s="214" t="inlineStr">
        <is>
          <t>EVERGREEN SHIPPING SERVICES (CAMBODIA) CO., LTD.</t>
        </is>
      </c>
      <c r="D525" s="215" t="inlineStr">
        <is>
          <t>L001-901705421</t>
        </is>
      </c>
      <c r="E525" s="290" t="inlineStr">
        <is>
          <t>IY25005352</t>
        </is>
      </c>
      <c r="F525" s="279" t="n">
        <v>45777</v>
      </c>
      <c r="G525" s="216" t="n"/>
      <c r="H525" s="564" t="n"/>
      <c r="I525" s="564" t="n">
        <v>502377</v>
      </c>
      <c r="J525" s="213" t="inlineStr">
        <is>
          <t>អនុញ្ញាត (បានប្រកាស)</t>
        </is>
      </c>
      <c r="K525" s="565" t="n"/>
      <c r="L525" s="563">
        <f>I525</f>
        <v/>
      </c>
      <c r="M525" s="536">
        <f>I525-L525</f>
        <v/>
      </c>
      <c r="N525" s="213" t="n"/>
      <c r="O525" s="218">
        <f>U525=E525</f>
        <v/>
      </c>
      <c r="P525" s="218">
        <f>MONTH(F525)-MONTH(T525)</f>
        <v/>
      </c>
      <c r="Q525" s="218">
        <f>$B$5=X525</f>
        <v/>
      </c>
      <c r="R525" s="218">
        <f>I525-AD525</f>
        <v/>
      </c>
      <c r="S525" s="298" t="n"/>
      <c r="T525" s="299" t="n">
        <v>45777</v>
      </c>
      <c r="U525" s="298" t="inlineStr">
        <is>
          <t>IY25005352</t>
        </is>
      </c>
      <c r="V525" s="298" t="n"/>
      <c r="W525" s="298" t="inlineStr">
        <is>
          <t>បុគ្គលជាប់អាករ</t>
        </is>
      </c>
      <c r="X525" s="298" t="inlineStr">
        <is>
          <t>L001-901640009</t>
        </is>
      </c>
      <c r="Y525" s="298" t="inlineStr">
        <is>
          <t>ហូលីដេ ឌីហ្សាញ (ខេមបូឌា) ឯ.ក</t>
        </is>
      </c>
      <c r="Z525" s="300" t="n">
        <v>5526142</v>
      </c>
      <c r="AA525" s="300" t="n">
        <v>5023765</v>
      </c>
      <c r="AB525" s="298" t="n">
        <v>0</v>
      </c>
      <c r="AC525" s="298" t="inlineStr">
        <is>
          <t>-</t>
        </is>
      </c>
      <c r="AD525" s="300" t="n">
        <v>502377</v>
      </c>
      <c r="AE525" s="298" t="n">
        <v>0</v>
      </c>
      <c r="AF525" s="562" t="n">
        <v>0</v>
      </c>
      <c r="AG525" s="198" t="n">
        <v>0</v>
      </c>
      <c r="AH525" s="198" t="n">
        <v>0</v>
      </c>
      <c r="AI525" s="198" t="n">
        <v>0</v>
      </c>
      <c r="AJ525" s="198" t="n">
        <v>0</v>
      </c>
      <c r="AK525" s="198" t="n">
        <v>0</v>
      </c>
      <c r="AL525" s="198" t="n">
        <v>0.01</v>
      </c>
      <c r="AN525" s="198" t="inlineStr">
        <is>
          <t>THC, Doc fee….</t>
        </is>
      </c>
    </row>
    <row r="526">
      <c r="A526" s="212">
        <f>A525+1</f>
        <v/>
      </c>
      <c r="B526" s="214" t="inlineStr">
        <is>
          <t>Lift-On &amp; Lift-On-Im</t>
        </is>
      </c>
      <c r="C526" s="214" t="inlineStr">
        <is>
          <t>Port Autonome Du Sihanoukville</t>
        </is>
      </c>
      <c r="D526" s="215" t="inlineStr">
        <is>
          <t>L001-100044638</t>
        </is>
      </c>
      <c r="E526" s="290" t="n">
        <v>202500100313</v>
      </c>
      <c r="F526" s="279" t="n">
        <v>45780</v>
      </c>
      <c r="G526" s="216" t="n"/>
      <c r="H526" s="564" t="n"/>
      <c r="I526" s="564" t="n">
        <v>174087</v>
      </c>
      <c r="J526" s="213" t="inlineStr">
        <is>
          <t>អនុញ្ញាត (បានប្រកាស)</t>
        </is>
      </c>
      <c r="K526" s="565" t="n"/>
      <c r="L526" s="563">
        <f>I526</f>
        <v/>
      </c>
      <c r="M526" s="536">
        <f>I526-L526</f>
        <v/>
      </c>
      <c r="N526" s="213" t="n"/>
      <c r="O526" s="218">
        <f>U526=E526</f>
        <v/>
      </c>
      <c r="P526" s="218">
        <f>MONTH(F526)-MONTH(T526)</f>
        <v/>
      </c>
      <c r="Q526" s="218">
        <f>$B$5=X526</f>
        <v/>
      </c>
      <c r="R526" s="218">
        <f>I526-AD526</f>
        <v/>
      </c>
      <c r="S526" s="298" t="n"/>
      <c r="T526" s="299" t="n">
        <v>45780</v>
      </c>
      <c r="U526" s="298" t="n">
        <v>202500100313</v>
      </c>
      <c r="V526" s="298" t="n"/>
      <c r="W526" s="298" t="inlineStr">
        <is>
          <t>បុគ្គលជាប់អាករ</t>
        </is>
      </c>
      <c r="X526" s="298" t="inlineStr">
        <is>
          <t>L001-901640009</t>
        </is>
      </c>
      <c r="Y526" s="298" t="inlineStr">
        <is>
          <t>ហូលីដេ ឌីហ្សាញ (ខេមបូឌា) ឯ.ក</t>
        </is>
      </c>
      <c r="Z526" s="300" t="n">
        <v>1914957</v>
      </c>
      <c r="AA526" s="300" t="n">
        <v>1740870</v>
      </c>
      <c r="AB526" s="298" t="n">
        <v>0</v>
      </c>
      <c r="AC526" s="298" t="inlineStr">
        <is>
          <t>-</t>
        </is>
      </c>
      <c r="AD526" s="300" t="n">
        <v>174087</v>
      </c>
      <c r="AE526" s="298" t="n"/>
      <c r="AF526" s="562" t="n"/>
    </row>
    <row r="527">
      <c r="A527" s="212">
        <f>A526+1</f>
        <v/>
      </c>
      <c r="B527" s="214" t="inlineStr">
        <is>
          <t>Lift-Off-Ex</t>
        </is>
      </c>
      <c r="C527" s="214" t="inlineStr">
        <is>
          <t>PHNOM PENH AUTONOMOUS PORT "PPAP"</t>
        </is>
      </c>
      <c r="D527" s="215" t="inlineStr">
        <is>
          <t>L001-100044999</t>
        </is>
      </c>
      <c r="E527" s="290" t="inlineStr">
        <is>
          <t>INV20250539151</t>
        </is>
      </c>
      <c r="F527" s="279" t="n">
        <v>45796</v>
      </c>
      <c r="G527" s="216" t="n"/>
      <c r="H527" s="564" t="n"/>
      <c r="I527" s="564" t="n">
        <v>252126</v>
      </c>
      <c r="J527" s="213" t="inlineStr">
        <is>
          <t>អនុញ្ញាត (បានប្រកាស)</t>
        </is>
      </c>
      <c r="K527" s="565" t="n"/>
      <c r="L527" s="563">
        <f>I527</f>
        <v/>
      </c>
      <c r="M527" s="536">
        <f>I527-L527</f>
        <v/>
      </c>
      <c r="N527" s="213" t="n"/>
      <c r="O527" s="218">
        <f>U527=E527</f>
        <v/>
      </c>
      <c r="P527" s="218">
        <f>MONTH(F527)-MONTH(T527)</f>
        <v/>
      </c>
      <c r="Q527" s="218">
        <f>$B$5=X527</f>
        <v/>
      </c>
      <c r="R527" s="218">
        <f>I527-AD527</f>
        <v/>
      </c>
      <c r="S527" s="298" t="n"/>
      <c r="T527" s="299" t="n">
        <v>45796</v>
      </c>
      <c r="U527" s="298" t="inlineStr">
        <is>
          <t>INV20250539151</t>
        </is>
      </c>
      <c r="V527" s="298" t="n">
        <v>0</v>
      </c>
      <c r="W527" s="298" t="inlineStr">
        <is>
          <t>បុគ្គលជាប់អាករ</t>
        </is>
      </c>
      <c r="X527" s="298" t="inlineStr">
        <is>
          <t>L001-901640009</t>
        </is>
      </c>
      <c r="Y527" s="298" t="inlineStr">
        <is>
          <t>ហូលីដេ ឌីហ្សាញ (ខេមបូឌា) ឯ.ក</t>
        </is>
      </c>
      <c r="Z527" s="300" t="n">
        <v>2773386</v>
      </c>
      <c r="AA527" s="300" t="n">
        <v>2521260</v>
      </c>
      <c r="AB527" s="298" t="n">
        <v>0</v>
      </c>
      <c r="AC527" s="298" t="inlineStr">
        <is>
          <t>-</t>
        </is>
      </c>
      <c r="AD527" s="300" t="n">
        <v>252126</v>
      </c>
      <c r="AE527" s="298" t="n">
        <v>0</v>
      </c>
      <c r="AF527" s="562" t="n">
        <v>0</v>
      </c>
      <c r="AG527" s="198" t="n">
        <v>0</v>
      </c>
      <c r="AH527" s="198" t="n">
        <v>0</v>
      </c>
      <c r="AI527" s="198" t="n">
        <v>0</v>
      </c>
      <c r="AJ527" s="198" t="n">
        <v>0</v>
      </c>
      <c r="AK527" s="198" t="n">
        <v>0</v>
      </c>
      <c r="AL527" s="198" t="n">
        <v>0.01</v>
      </c>
      <c r="AM527" s="198" t="n">
        <v>0</v>
      </c>
      <c r="AN527" s="198" t="inlineStr">
        <is>
          <t>ចំណូលពីសេវាកម្ម (លើកដាក់ទំនិញ)</t>
        </is>
      </c>
    </row>
    <row r="528">
      <c r="A528" s="212">
        <f>A527+1</f>
        <v/>
      </c>
      <c r="B528" s="214" t="inlineStr">
        <is>
          <t>Trucking &amp; Clearance-Ex</t>
        </is>
      </c>
      <c r="C528" s="214" t="inlineStr">
        <is>
          <t>BRILLIANT TRANSPORT AND TRADING Co., Ltd.</t>
        </is>
      </c>
      <c r="D528" s="215" t="inlineStr">
        <is>
          <t>K002-100089305</t>
        </is>
      </c>
      <c r="E528" s="290" t="inlineStr">
        <is>
          <t>BTT25-0001154</t>
        </is>
      </c>
      <c r="F528" s="279" t="n">
        <v>45806</v>
      </c>
      <c r="G528" s="216" t="n"/>
      <c r="H528" s="564" t="n"/>
      <c r="I528" s="564" t="n">
        <v>1830629</v>
      </c>
      <c r="J528" s="213" t="inlineStr">
        <is>
          <t>អនុញ្ញាត (បានប្រកាស)</t>
        </is>
      </c>
      <c r="K528" s="565" t="n"/>
      <c r="L528" s="563">
        <f>I528</f>
        <v/>
      </c>
      <c r="M528" s="536">
        <f>I528-L528</f>
        <v/>
      </c>
      <c r="N528" s="213" t="n"/>
      <c r="O528" s="218">
        <f>U528=E528</f>
        <v/>
      </c>
      <c r="P528" s="218">
        <f>MONTH(F528)-MONTH(T528)</f>
        <v/>
      </c>
      <c r="Q528" s="218">
        <f>$B$5=X528</f>
        <v/>
      </c>
      <c r="R528" s="218">
        <f>I528-AD528</f>
        <v/>
      </c>
      <c r="S528" s="298" t="n"/>
      <c r="T528" s="299" t="n">
        <v>45806</v>
      </c>
      <c r="U528" s="298" t="inlineStr">
        <is>
          <t>BTT25-0001154</t>
        </is>
      </c>
      <c r="V528" s="298" t="n"/>
      <c r="W528" s="298" t="n"/>
      <c r="X528" s="298" t="n"/>
      <c r="Y528" s="298" t="inlineStr">
        <is>
          <t>ហូលីដេ ឌីហ្សាញ (ខេមបូឌា) ឯ.ក</t>
        </is>
      </c>
      <c r="Z528" s="300" t="n"/>
      <c r="AA528" s="300" t="n"/>
      <c r="AB528" s="298" t="n"/>
      <c r="AC528" s="298" t="n"/>
      <c r="AD528" s="300" t="n">
        <v>1830629</v>
      </c>
      <c r="AE528" s="298" t="n"/>
      <c r="AF528" s="562" t="n"/>
      <c r="AN528" s="198" t="inlineStr">
        <is>
          <t>Truking / Service</t>
        </is>
      </c>
    </row>
    <row r="529">
      <c r="A529" s="212">
        <f>A528+1</f>
        <v/>
      </c>
      <c r="B529" s="214" t="inlineStr">
        <is>
          <t>Lift-Off-Ex</t>
        </is>
      </c>
      <c r="C529" s="214" t="inlineStr">
        <is>
          <t>Port Autonome Du Sihanoukville</t>
        </is>
      </c>
      <c r="D529" s="215" t="inlineStr">
        <is>
          <t>L001-100044638</t>
        </is>
      </c>
      <c r="E529" s="290" t="n">
        <v>202500105838</v>
      </c>
      <c r="F529" s="279" t="n">
        <v>45785</v>
      </c>
      <c r="G529" s="216" t="n"/>
      <c r="H529" s="564" t="n"/>
      <c r="I529" s="564" t="n">
        <v>15215</v>
      </c>
      <c r="J529" s="213" t="inlineStr">
        <is>
          <t>អនុញ្ញាត (បានប្រកាស)</t>
        </is>
      </c>
      <c r="K529" s="565" t="n"/>
      <c r="L529" s="563">
        <f>I529</f>
        <v/>
      </c>
      <c r="M529" s="536">
        <f>I529-L529</f>
        <v/>
      </c>
      <c r="N529" s="213" t="n"/>
      <c r="O529" s="218">
        <f>U529=E529</f>
        <v/>
      </c>
      <c r="P529" s="218">
        <f>MONTH(F529)-MONTH(T529)</f>
        <v/>
      </c>
      <c r="Q529" s="218">
        <f>$B$5=X529</f>
        <v/>
      </c>
      <c r="R529" s="218">
        <f>I529-AD529</f>
        <v/>
      </c>
      <c r="S529" s="298" t="n"/>
      <c r="T529" s="299" t="n">
        <v>45785</v>
      </c>
      <c r="U529" s="298" t="n">
        <v>202500105838</v>
      </c>
      <c r="V529" s="298" t="n"/>
      <c r="W529" s="298" t="inlineStr">
        <is>
          <t>បុគ្គលជាប់អាករ</t>
        </is>
      </c>
      <c r="X529" s="298" t="inlineStr">
        <is>
          <t>L001-901640009</t>
        </is>
      </c>
      <c r="Y529" s="298" t="inlineStr">
        <is>
          <t>ហូលីដេ ឌីហ្សាញ (ខេមបូឌា) ឯ.ក</t>
        </is>
      </c>
      <c r="Z529" s="300" t="n">
        <v>167367</v>
      </c>
      <c r="AA529" s="300" t="n">
        <v>152152</v>
      </c>
      <c r="AB529" s="298" t="n">
        <v>0</v>
      </c>
      <c r="AC529" s="298" t="inlineStr">
        <is>
          <t>-</t>
        </is>
      </c>
      <c r="AD529" s="300" t="n">
        <v>15215</v>
      </c>
      <c r="AE529" s="298" t="n"/>
      <c r="AF529" s="562" t="n"/>
    </row>
    <row r="530">
      <c r="A530" s="212">
        <f>A529+1</f>
        <v/>
      </c>
      <c r="B530" s="214" t="inlineStr">
        <is>
          <t>Lift-Off-Ex</t>
        </is>
      </c>
      <c r="C530" s="214" t="inlineStr">
        <is>
          <t>PHNOM PENH AUTONOMOUS PORT "PPAP"</t>
        </is>
      </c>
      <c r="D530" s="215" t="inlineStr">
        <is>
          <t>L001-100044999</t>
        </is>
      </c>
      <c r="E530" s="290" t="inlineStr">
        <is>
          <t>INV20250539582</t>
        </is>
      </c>
      <c r="F530" s="279" t="n">
        <v>45797</v>
      </c>
      <c r="G530" s="216" t="n"/>
      <c r="H530" s="564" t="n"/>
      <c r="I530" s="564" t="n">
        <v>28021</v>
      </c>
      <c r="J530" s="213" t="inlineStr">
        <is>
          <t>អនុញ្ញាត (បានប្រកាស)</t>
        </is>
      </c>
      <c r="K530" s="565">
        <f>L530</f>
        <v/>
      </c>
      <c r="L530" s="563">
        <f>AD530</f>
        <v/>
      </c>
      <c r="M530" s="536">
        <f>I530-L530</f>
        <v/>
      </c>
      <c r="N530" s="213" t="n"/>
      <c r="O530" s="218">
        <f>U530=E530</f>
        <v/>
      </c>
      <c r="P530" s="218">
        <f>MONTH(F530)-MONTH(T530)</f>
        <v/>
      </c>
      <c r="Q530" s="218">
        <f>$B$5=X530</f>
        <v/>
      </c>
      <c r="R530" s="218">
        <f>I530-AD530</f>
        <v/>
      </c>
      <c r="S530" s="298" t="n"/>
      <c r="T530" s="299" t="n">
        <v>45797</v>
      </c>
      <c r="U530" s="298" t="inlineStr">
        <is>
          <t>INV20250539582</t>
        </is>
      </c>
      <c r="V530" s="298" t="n">
        <v>0</v>
      </c>
      <c r="W530" s="298" t="inlineStr">
        <is>
          <t>បុគ្គលជាប់អាករ</t>
        </is>
      </c>
      <c r="X530" s="298" t="inlineStr">
        <is>
          <t>L001-901640009</t>
        </is>
      </c>
      <c r="Y530" s="298" t="inlineStr">
        <is>
          <t>ហូលីដេ ឌីហ្សាញ (ខេមបូឌា) ឯ.ក</t>
        </is>
      </c>
      <c r="Z530" s="300" t="n">
        <v>308154</v>
      </c>
      <c r="AA530" s="300" t="n">
        <v>280140</v>
      </c>
      <c r="AB530" s="298" t="n">
        <v>0</v>
      </c>
      <c r="AC530" s="298" t="inlineStr">
        <is>
          <t>-</t>
        </is>
      </c>
      <c r="AD530" s="300" t="n">
        <v>28014</v>
      </c>
      <c r="AE530" s="298" t="n">
        <v>0</v>
      </c>
      <c r="AF530" s="562" t="n">
        <v>0</v>
      </c>
      <c r="AG530" s="198" t="n">
        <v>0</v>
      </c>
      <c r="AH530" s="198" t="n">
        <v>0</v>
      </c>
      <c r="AI530" s="198" t="n">
        <v>0</v>
      </c>
      <c r="AJ530" s="198" t="n">
        <v>0</v>
      </c>
      <c r="AK530" s="198" t="n">
        <v>0</v>
      </c>
      <c r="AL530" s="198" t="n">
        <v>0.01</v>
      </c>
      <c r="AM530" s="198" t="n">
        <v>0</v>
      </c>
      <c r="AN530" s="198" t="inlineStr">
        <is>
          <t>ចំណូលពីសេវាកម្ម (លើកដាក់ទំនិញ)</t>
        </is>
      </c>
    </row>
    <row r="531">
      <c r="A531" s="212">
        <f>A530+1</f>
        <v/>
      </c>
      <c r="B531" s="214" t="inlineStr">
        <is>
          <t>Trucking &amp; Clearance-Ex</t>
        </is>
      </c>
      <c r="C531" s="214" t="inlineStr">
        <is>
          <t>BRILLIANT TRANSPORT AND TRADING Co., Ltd.</t>
        </is>
      </c>
      <c r="D531" s="215" t="inlineStr">
        <is>
          <t>K002-100089305</t>
        </is>
      </c>
      <c r="E531" s="290" t="inlineStr">
        <is>
          <t>BTT25-0001014</t>
        </is>
      </c>
      <c r="F531" s="279" t="n">
        <v>45793</v>
      </c>
      <c r="G531" s="216" t="n"/>
      <c r="H531" s="564" t="n"/>
      <c r="I531" s="564" t="n">
        <v>203302</v>
      </c>
      <c r="J531" s="213" t="inlineStr">
        <is>
          <t>អនុញ្ញាត (បានប្រកាស)</t>
        </is>
      </c>
      <c r="K531" s="565" t="n"/>
      <c r="L531" s="563">
        <f>I531</f>
        <v/>
      </c>
      <c r="M531" s="536">
        <f>I531-L531</f>
        <v/>
      </c>
      <c r="N531" s="213" t="n"/>
      <c r="O531" s="218">
        <f>U531=E531</f>
        <v/>
      </c>
      <c r="P531" s="218">
        <f>MONTH(F531)-MONTH(T531)</f>
        <v/>
      </c>
      <c r="Q531" s="218">
        <f>$B$5=X531</f>
        <v/>
      </c>
      <c r="R531" s="218">
        <f>I531-AD531</f>
        <v/>
      </c>
      <c r="S531" s="298" t="n"/>
      <c r="T531" s="299" t="n">
        <v>45793</v>
      </c>
      <c r="U531" s="298" t="inlineStr">
        <is>
          <t>BTT25-0001014</t>
        </is>
      </c>
      <c r="V531" s="298" t="n"/>
      <c r="W531" s="298" t="n"/>
      <c r="X531" s="298" t="n"/>
      <c r="Y531" s="298" t="inlineStr">
        <is>
          <t>ហូលីដេ ឌីហ្សាញ (ខេមបូឌា) ឯ.ក</t>
        </is>
      </c>
      <c r="Z531" s="300" t="n"/>
      <c r="AA531" s="300" t="n"/>
      <c r="AB531" s="298" t="n"/>
      <c r="AC531" s="298" t="n"/>
      <c r="AD531" s="300" t="n">
        <v>203302</v>
      </c>
      <c r="AE531" s="298" t="n"/>
      <c r="AF531" s="562" t="n"/>
      <c r="AN531" s="198" t="inlineStr">
        <is>
          <t>Truking / Service</t>
        </is>
      </c>
    </row>
    <row r="532">
      <c r="A532" s="212">
        <f>A531+1</f>
        <v/>
      </c>
      <c r="B532" s="214" t="inlineStr">
        <is>
          <t>Lift-Off-Ex</t>
        </is>
      </c>
      <c r="C532" s="214" t="inlineStr">
        <is>
          <t>PHNOM PENH AUTONOMOUS PORT "PPAP"</t>
        </is>
      </c>
      <c r="D532" s="215" t="inlineStr">
        <is>
          <t>L001-100044999</t>
        </is>
      </c>
      <c r="E532" s="290" t="inlineStr">
        <is>
          <t>INV20250539573</t>
        </is>
      </c>
      <c r="F532" s="279" t="n">
        <v>45797</v>
      </c>
      <c r="G532" s="216" t="n"/>
      <c r="H532" s="564" t="n"/>
      <c r="I532" s="564" t="n">
        <v>56042</v>
      </c>
      <c r="J532" s="213" t="inlineStr">
        <is>
          <t>អនុញ្ញាត (បានប្រកាស)</t>
        </is>
      </c>
      <c r="K532" s="565">
        <f>L532</f>
        <v/>
      </c>
      <c r="L532" s="563">
        <f>AD532</f>
        <v/>
      </c>
      <c r="M532" s="536">
        <f>I532-L532</f>
        <v/>
      </c>
      <c r="N532" s="213" t="n"/>
      <c r="O532" s="218">
        <f>U532=E532</f>
        <v/>
      </c>
      <c r="P532" s="218">
        <f>MONTH(F532)-MONTH(T532)</f>
        <v/>
      </c>
      <c r="Q532" s="218">
        <f>$B$5=X532</f>
        <v/>
      </c>
      <c r="R532" s="218">
        <f>I532-AD532</f>
        <v/>
      </c>
      <c r="S532" s="298" t="n"/>
      <c r="T532" s="299" t="n">
        <v>45797</v>
      </c>
      <c r="U532" s="298" t="inlineStr">
        <is>
          <t>INV20250539573</t>
        </is>
      </c>
      <c r="V532" s="298" t="n">
        <v>0</v>
      </c>
      <c r="W532" s="298" t="inlineStr">
        <is>
          <t>បុគ្គលជាប់អាករ</t>
        </is>
      </c>
      <c r="X532" s="298" t="inlineStr">
        <is>
          <t>L001-901640009</t>
        </is>
      </c>
      <c r="Y532" s="298" t="inlineStr">
        <is>
          <t>ហូលីដេ ឌីហ្សាញ (ខេមបូឌា) ឯ.ក</t>
        </is>
      </c>
      <c r="Z532" s="300" t="n">
        <v>616308</v>
      </c>
      <c r="AA532" s="300" t="n">
        <v>560280</v>
      </c>
      <c r="AB532" s="298" t="n">
        <v>0</v>
      </c>
      <c r="AC532" s="298" t="inlineStr">
        <is>
          <t>-</t>
        </is>
      </c>
      <c r="AD532" s="300" t="n">
        <v>56028</v>
      </c>
      <c r="AE532" s="298" t="n">
        <v>0</v>
      </c>
      <c r="AF532" s="562" t="n">
        <v>0</v>
      </c>
      <c r="AG532" s="198" t="n">
        <v>0</v>
      </c>
      <c r="AH532" s="198" t="n">
        <v>0</v>
      </c>
      <c r="AI532" s="198" t="n">
        <v>0</v>
      </c>
      <c r="AJ532" s="198" t="n">
        <v>0</v>
      </c>
      <c r="AK532" s="198" t="n">
        <v>0</v>
      </c>
      <c r="AL532" s="198" t="n">
        <v>0.01</v>
      </c>
      <c r="AM532" s="198" t="n">
        <v>0</v>
      </c>
      <c r="AN532" s="198" t="inlineStr">
        <is>
          <t>ចំណូលពីសេវាកម្ម (លើកដាក់ទំនិញ)</t>
        </is>
      </c>
    </row>
    <row r="533">
      <c r="A533" s="212">
        <f>A532+1</f>
        <v/>
      </c>
      <c r="B533" s="214" t="inlineStr">
        <is>
          <t>Trucking &amp; Clearance-Ex</t>
        </is>
      </c>
      <c r="C533" s="214" t="inlineStr">
        <is>
          <t>BRILLIANT TRANSPORT AND TRADING Co., Ltd.</t>
        </is>
      </c>
      <c r="D533" s="215" t="inlineStr">
        <is>
          <t>K002-100089305</t>
        </is>
      </c>
      <c r="E533" s="290" t="inlineStr">
        <is>
          <t>BTT25-0001012</t>
        </is>
      </c>
      <c r="F533" s="279" t="n">
        <v>45793</v>
      </c>
      <c r="G533" s="216" t="n"/>
      <c r="H533" s="564" t="n"/>
      <c r="I533" s="564" t="n">
        <v>406603</v>
      </c>
      <c r="J533" s="213" t="inlineStr">
        <is>
          <t>អនុញ្ញាត (បានប្រកាស)</t>
        </is>
      </c>
      <c r="K533" s="565" t="n"/>
      <c r="L533" s="563">
        <f>I533</f>
        <v/>
      </c>
      <c r="M533" s="536">
        <f>I533-L533</f>
        <v/>
      </c>
      <c r="N533" s="213" t="n"/>
      <c r="O533" s="218">
        <f>U533=E533</f>
        <v/>
      </c>
      <c r="P533" s="218">
        <f>MONTH(F533)-MONTH(T533)</f>
        <v/>
      </c>
      <c r="Q533" s="218">
        <f>$B$5=X533</f>
        <v/>
      </c>
      <c r="R533" s="218">
        <f>I533-AD533</f>
        <v/>
      </c>
      <c r="S533" s="298" t="n"/>
      <c r="T533" s="299" t="n">
        <v>45793</v>
      </c>
      <c r="U533" s="298" t="inlineStr">
        <is>
          <t>BTT25-0001012</t>
        </is>
      </c>
      <c r="V533" s="298" t="n"/>
      <c r="W533" s="298" t="n"/>
      <c r="X533" s="298" t="n"/>
      <c r="Y533" s="298" t="inlineStr">
        <is>
          <t>ហូលីដេ ឌីហ្សាញ (ខេមបូឌា) ឯ.ក</t>
        </is>
      </c>
      <c r="Z533" s="300" t="n"/>
      <c r="AA533" s="300" t="n"/>
      <c r="AB533" s="298" t="n"/>
      <c r="AC533" s="298" t="n"/>
      <c r="AD533" s="300" t="n">
        <v>406603</v>
      </c>
      <c r="AE533" s="298" t="n"/>
      <c r="AF533" s="562" t="n"/>
      <c r="AN533" s="198" t="inlineStr">
        <is>
          <t>Truking / Service</t>
        </is>
      </c>
    </row>
    <row r="534">
      <c r="A534" s="212">
        <f>A533+1</f>
        <v/>
      </c>
      <c r="B534" s="214" t="inlineStr">
        <is>
          <t>Lift-Off-Ex</t>
        </is>
      </c>
      <c r="C534" s="214" t="inlineStr">
        <is>
          <t>PHNOM PENH AUTONOMOUS PORT "PPAP"</t>
        </is>
      </c>
      <c r="D534" s="215" t="inlineStr">
        <is>
          <t>L001-100044999</t>
        </is>
      </c>
      <c r="E534" s="290" t="inlineStr">
        <is>
          <t>INV20250539574</t>
        </is>
      </c>
      <c r="F534" s="279" t="n">
        <v>45797</v>
      </c>
      <c r="G534" s="216" t="n"/>
      <c r="H534" s="564" t="n"/>
      <c r="I534" s="564" t="n">
        <v>56042</v>
      </c>
      <c r="J534" s="213" t="inlineStr">
        <is>
          <t>អនុញ្ញាត (បានប្រកាស)</t>
        </is>
      </c>
      <c r="K534" s="565">
        <f>L534</f>
        <v/>
      </c>
      <c r="L534" s="563">
        <f>AD534</f>
        <v/>
      </c>
      <c r="M534" s="536">
        <f>I534-L534</f>
        <v/>
      </c>
      <c r="N534" s="213" t="n"/>
      <c r="O534" s="218">
        <f>U534=E534</f>
        <v/>
      </c>
      <c r="P534" s="218">
        <f>MONTH(F534)-MONTH(T534)</f>
        <v/>
      </c>
      <c r="Q534" s="218">
        <f>$B$5=X534</f>
        <v/>
      </c>
      <c r="R534" s="218">
        <f>I534-AD534</f>
        <v/>
      </c>
      <c r="S534" s="298" t="n"/>
      <c r="T534" s="299" t="n">
        <v>45797</v>
      </c>
      <c r="U534" s="298" t="inlineStr">
        <is>
          <t>INV20250539574</t>
        </is>
      </c>
      <c r="V534" s="298" t="n">
        <v>0</v>
      </c>
      <c r="W534" s="298" t="inlineStr">
        <is>
          <t>បុគ្គលជាប់អាករ</t>
        </is>
      </c>
      <c r="X534" s="298" t="inlineStr">
        <is>
          <t>L001-901640009</t>
        </is>
      </c>
      <c r="Y534" s="298" t="inlineStr">
        <is>
          <t>ហូលីដេ ឌីហ្សាញ (ខេមបូឌា) ឯ.ក</t>
        </is>
      </c>
      <c r="Z534" s="300" t="n">
        <v>616308</v>
      </c>
      <c r="AA534" s="300" t="n">
        <v>560280</v>
      </c>
      <c r="AB534" s="298" t="n">
        <v>0</v>
      </c>
      <c r="AC534" s="298" t="inlineStr">
        <is>
          <t>-</t>
        </is>
      </c>
      <c r="AD534" s="300" t="n">
        <v>56028</v>
      </c>
      <c r="AE534" s="298" t="n">
        <v>0</v>
      </c>
      <c r="AF534" s="562" t="n">
        <v>0</v>
      </c>
      <c r="AG534" s="198" t="n">
        <v>0</v>
      </c>
      <c r="AH534" s="198" t="n">
        <v>0</v>
      </c>
      <c r="AI534" s="198" t="n">
        <v>0</v>
      </c>
      <c r="AJ534" s="198" t="n">
        <v>0</v>
      </c>
      <c r="AK534" s="198" t="n">
        <v>0</v>
      </c>
      <c r="AL534" s="198" t="n">
        <v>0.01</v>
      </c>
      <c r="AM534" s="198" t="n">
        <v>0</v>
      </c>
      <c r="AN534" s="198" t="inlineStr">
        <is>
          <t>ចំណូលពីសេវាកម្ម (លើកដាក់ទំនិញ)</t>
        </is>
      </c>
    </row>
    <row r="535">
      <c r="A535" s="212">
        <f>A534+1</f>
        <v/>
      </c>
      <c r="B535" s="214" t="inlineStr">
        <is>
          <t>Trucking &amp; Clearance-Ex</t>
        </is>
      </c>
      <c r="C535" s="214" t="inlineStr">
        <is>
          <t>BRILLIANT TRANSPORT AND TRADING Co., Ltd.</t>
        </is>
      </c>
      <c r="D535" s="215" t="inlineStr">
        <is>
          <t>K002-100089305</t>
        </is>
      </c>
      <c r="E535" s="290" t="inlineStr">
        <is>
          <t>BTT25-0001010</t>
        </is>
      </c>
      <c r="F535" s="279" t="n">
        <v>45793</v>
      </c>
      <c r="G535" s="216" t="n"/>
      <c r="H535" s="564" t="n"/>
      <c r="I535" s="564" t="n">
        <v>406603</v>
      </c>
      <c r="J535" s="213" t="inlineStr">
        <is>
          <t>អនុញ្ញាត (បានប្រកាស)</t>
        </is>
      </c>
      <c r="K535" s="565" t="n"/>
      <c r="L535" s="563">
        <f>I535</f>
        <v/>
      </c>
      <c r="M535" s="536">
        <f>I535-L535</f>
        <v/>
      </c>
      <c r="N535" s="213" t="n"/>
      <c r="O535" s="218">
        <f>U535=E535</f>
        <v/>
      </c>
      <c r="P535" s="218">
        <f>MONTH(F535)-MONTH(T535)</f>
        <v/>
      </c>
      <c r="Q535" s="218">
        <f>$B$5=X535</f>
        <v/>
      </c>
      <c r="R535" s="218">
        <f>I535-AD535</f>
        <v/>
      </c>
      <c r="S535" s="298" t="n"/>
      <c r="T535" s="299" t="n">
        <v>45793</v>
      </c>
      <c r="U535" s="298" t="inlineStr">
        <is>
          <t>BTT25-0001010</t>
        </is>
      </c>
      <c r="V535" s="298" t="n"/>
      <c r="W535" s="298" t="n"/>
      <c r="X535" s="298" t="n"/>
      <c r="Y535" s="298" t="inlineStr">
        <is>
          <t>ហូលីដេ ឌីហ្សាញ (ខេមបូឌា) ឯ.ក</t>
        </is>
      </c>
      <c r="Z535" s="300" t="n"/>
      <c r="AA535" s="300" t="n"/>
      <c r="AB535" s="298" t="n"/>
      <c r="AC535" s="298" t="n"/>
      <c r="AD535" s="300" t="n">
        <v>406603</v>
      </c>
      <c r="AE535" s="298" t="n"/>
      <c r="AF535" s="562" t="n"/>
      <c r="AN535" s="198" t="inlineStr">
        <is>
          <t>Truking / Service</t>
        </is>
      </c>
    </row>
    <row r="536">
      <c r="A536" s="212">
        <f>A535+1</f>
        <v/>
      </c>
      <c r="B536" s="214" t="inlineStr">
        <is>
          <t>Lift-Off-Ex</t>
        </is>
      </c>
      <c r="C536" s="214" t="inlineStr">
        <is>
          <t>PHNOM PENH AUTONOMOUS PORT "PPAP"</t>
        </is>
      </c>
      <c r="D536" s="215" t="inlineStr">
        <is>
          <t>L001-100044999</t>
        </is>
      </c>
      <c r="E536" s="290" t="inlineStr">
        <is>
          <t>INV20250539575</t>
        </is>
      </c>
      <c r="F536" s="279" t="n">
        <v>45797</v>
      </c>
      <c r="G536" s="216" t="n"/>
      <c r="H536" s="564" t="n"/>
      <c r="I536" s="564" t="n">
        <v>56042</v>
      </c>
      <c r="J536" s="213" t="inlineStr">
        <is>
          <t>អនុញ្ញាត (បានប្រកាស)</t>
        </is>
      </c>
      <c r="K536" s="565">
        <f>L536</f>
        <v/>
      </c>
      <c r="L536" s="563">
        <f>AD536</f>
        <v/>
      </c>
      <c r="M536" s="536">
        <f>I536-L536</f>
        <v/>
      </c>
      <c r="N536" s="213" t="n"/>
      <c r="O536" s="218">
        <f>U536=E536</f>
        <v/>
      </c>
      <c r="P536" s="218">
        <f>MONTH(F536)-MONTH(T536)</f>
        <v/>
      </c>
      <c r="Q536" s="218">
        <f>$B$5=X536</f>
        <v/>
      </c>
      <c r="R536" s="218">
        <f>I536-AD536</f>
        <v/>
      </c>
      <c r="S536" s="298" t="n"/>
      <c r="T536" s="299" t="n">
        <v>45797</v>
      </c>
      <c r="U536" s="298" t="inlineStr">
        <is>
          <t>INV20250539575</t>
        </is>
      </c>
      <c r="V536" s="298" t="n">
        <v>0</v>
      </c>
      <c r="W536" s="298" t="inlineStr">
        <is>
          <t>បុគ្គលជាប់អាករ</t>
        </is>
      </c>
      <c r="X536" s="298" t="inlineStr">
        <is>
          <t>L001-901640009</t>
        </is>
      </c>
      <c r="Y536" s="298" t="inlineStr">
        <is>
          <t>ហូលីដេ ឌីហ្សាញ (ខេមបូឌា) ឯ.ក</t>
        </is>
      </c>
      <c r="Z536" s="300" t="n">
        <v>616308</v>
      </c>
      <c r="AA536" s="300" t="n">
        <v>560280</v>
      </c>
      <c r="AB536" s="298" t="n">
        <v>0</v>
      </c>
      <c r="AC536" s="298" t="inlineStr">
        <is>
          <t>-</t>
        </is>
      </c>
      <c r="AD536" s="300" t="n">
        <v>56028</v>
      </c>
      <c r="AE536" s="298" t="n">
        <v>0</v>
      </c>
      <c r="AF536" s="562" t="n">
        <v>0</v>
      </c>
      <c r="AG536" s="198" t="n">
        <v>0</v>
      </c>
      <c r="AH536" s="198" t="n">
        <v>0</v>
      </c>
      <c r="AI536" s="198" t="n">
        <v>0</v>
      </c>
      <c r="AJ536" s="198" t="n">
        <v>0</v>
      </c>
      <c r="AK536" s="198" t="n">
        <v>0</v>
      </c>
      <c r="AL536" s="198" t="n">
        <v>0.01</v>
      </c>
      <c r="AM536" s="198" t="n">
        <v>0</v>
      </c>
      <c r="AN536" s="198" t="inlineStr">
        <is>
          <t>ចំណូលពីសេវាកម្ម (លើកដាក់ទំនិញ)</t>
        </is>
      </c>
    </row>
    <row r="537">
      <c r="A537" s="212">
        <f>A536+1</f>
        <v/>
      </c>
      <c r="B537" s="214" t="inlineStr">
        <is>
          <t>Trucking &amp; Clearance-Ex</t>
        </is>
      </c>
      <c r="C537" s="214" t="inlineStr">
        <is>
          <t>BRILLIANT TRANSPORT AND TRADING Co., Ltd.</t>
        </is>
      </c>
      <c r="D537" s="215" t="inlineStr">
        <is>
          <t>K002-100089305</t>
        </is>
      </c>
      <c r="E537" s="290" t="inlineStr">
        <is>
          <t>BTT25-0001008</t>
        </is>
      </c>
      <c r="F537" s="279" t="n">
        <v>45793</v>
      </c>
      <c r="G537" s="216" t="n"/>
      <c r="H537" s="564" t="n"/>
      <c r="I537" s="564" t="n">
        <v>406603</v>
      </c>
      <c r="J537" s="213" t="inlineStr">
        <is>
          <t>អនុញ្ញាត (បានប្រកាស)</t>
        </is>
      </c>
      <c r="K537" s="565" t="n"/>
      <c r="L537" s="563">
        <f>I537</f>
        <v/>
      </c>
      <c r="M537" s="536">
        <f>I537-L537</f>
        <v/>
      </c>
      <c r="N537" s="213" t="n"/>
      <c r="O537" s="218">
        <f>U537=E537</f>
        <v/>
      </c>
      <c r="P537" s="218">
        <f>MONTH(F537)-MONTH(T537)</f>
        <v/>
      </c>
      <c r="Q537" s="218">
        <f>$B$5=X537</f>
        <v/>
      </c>
      <c r="R537" s="218">
        <f>I537-AD537</f>
        <v/>
      </c>
      <c r="S537" s="298" t="n"/>
      <c r="T537" s="299" t="n">
        <v>45793</v>
      </c>
      <c r="U537" s="298" t="inlineStr">
        <is>
          <t>BTT25-0001008</t>
        </is>
      </c>
      <c r="V537" s="298" t="n"/>
      <c r="W537" s="298" t="n"/>
      <c r="X537" s="298" t="n"/>
      <c r="Y537" s="298" t="inlineStr">
        <is>
          <t>ហូលីដេ ឌីហ្សាញ (ខេមបូឌា) ឯ.ក</t>
        </is>
      </c>
      <c r="Z537" s="300" t="n"/>
      <c r="AA537" s="300" t="n"/>
      <c r="AB537" s="298" t="n"/>
      <c r="AC537" s="298" t="n"/>
      <c r="AD537" s="300" t="n">
        <v>406603</v>
      </c>
      <c r="AE537" s="298" t="n"/>
      <c r="AF537" s="562" t="n"/>
      <c r="AN537" s="198" t="inlineStr">
        <is>
          <t>Truking / Service</t>
        </is>
      </c>
    </row>
    <row r="538">
      <c r="A538" s="212">
        <f>A537+1</f>
        <v/>
      </c>
      <c r="B538" s="214" t="inlineStr">
        <is>
          <t>Lift-Off-Ex</t>
        </is>
      </c>
      <c r="C538" s="214" t="inlineStr">
        <is>
          <t>PHNOM PENH AUTONOMOUS PORT "PPAP"</t>
        </is>
      </c>
      <c r="D538" s="215" t="inlineStr">
        <is>
          <t>L001-100044999</t>
        </is>
      </c>
      <c r="E538" s="290" t="inlineStr">
        <is>
          <t>INV20250539576</t>
        </is>
      </c>
      <c r="F538" s="279" t="n">
        <v>45797</v>
      </c>
      <c r="G538" s="216" t="n"/>
      <c r="H538" s="564" t="n"/>
      <c r="I538" s="564" t="n">
        <v>28021</v>
      </c>
      <c r="J538" s="213" t="inlineStr">
        <is>
          <t>អនុញ្ញាត (បានប្រកាស)</t>
        </is>
      </c>
      <c r="K538" s="565">
        <f>L538</f>
        <v/>
      </c>
      <c r="L538" s="563">
        <f>AD538</f>
        <v/>
      </c>
      <c r="M538" s="536">
        <f>I538-L538</f>
        <v/>
      </c>
      <c r="N538" s="213" t="n"/>
      <c r="O538" s="218">
        <f>U538=E538</f>
        <v/>
      </c>
      <c r="P538" s="218">
        <f>MONTH(F538)-MONTH(T538)</f>
        <v/>
      </c>
      <c r="Q538" s="218">
        <f>$B$5=X538</f>
        <v/>
      </c>
      <c r="R538" s="218">
        <f>I538-AD538</f>
        <v/>
      </c>
      <c r="S538" s="298" t="n"/>
      <c r="T538" s="299" t="n">
        <v>45797</v>
      </c>
      <c r="U538" s="298" t="inlineStr">
        <is>
          <t>INV20250539576</t>
        </is>
      </c>
      <c r="V538" s="298" t="n">
        <v>0</v>
      </c>
      <c r="W538" s="298" t="inlineStr">
        <is>
          <t>បុគ្គលជាប់អាករ</t>
        </is>
      </c>
      <c r="X538" s="298" t="inlineStr">
        <is>
          <t>L001-901640009</t>
        </is>
      </c>
      <c r="Y538" s="298" t="inlineStr">
        <is>
          <t>ហូលីដេ ឌីហ្សាញ (ខេមបូឌា) ឯ.ក</t>
        </is>
      </c>
      <c r="Z538" s="300" t="n">
        <v>308154</v>
      </c>
      <c r="AA538" s="300" t="n">
        <v>280140</v>
      </c>
      <c r="AB538" s="298" t="n">
        <v>0</v>
      </c>
      <c r="AC538" s="298" t="inlineStr">
        <is>
          <t>-</t>
        </is>
      </c>
      <c r="AD538" s="300" t="n">
        <v>28014</v>
      </c>
      <c r="AE538" s="298" t="n">
        <v>0</v>
      </c>
      <c r="AF538" s="562" t="n">
        <v>0</v>
      </c>
      <c r="AG538" s="198" t="n">
        <v>0</v>
      </c>
      <c r="AH538" s="198" t="n">
        <v>0</v>
      </c>
      <c r="AI538" s="198" t="n">
        <v>0</v>
      </c>
      <c r="AJ538" s="198" t="n">
        <v>0</v>
      </c>
      <c r="AK538" s="198" t="n">
        <v>0</v>
      </c>
      <c r="AL538" s="198" t="n">
        <v>0.01</v>
      </c>
      <c r="AM538" s="198" t="n">
        <v>0</v>
      </c>
      <c r="AN538" s="198" t="inlineStr">
        <is>
          <t>ចំណូលពីសេវាកម្ម (លើកដាក់ទំនិញ)</t>
        </is>
      </c>
    </row>
    <row r="539">
      <c r="A539" s="212">
        <f>A538+1</f>
        <v/>
      </c>
      <c r="B539" s="214" t="inlineStr">
        <is>
          <t>Trucking &amp; Clearance-Ex</t>
        </is>
      </c>
      <c r="C539" s="214" t="inlineStr">
        <is>
          <t>BRILLIANT TRANSPORT AND TRADING Co., Ltd.</t>
        </is>
      </c>
      <c r="D539" s="215" t="inlineStr">
        <is>
          <t>K002-100089305</t>
        </is>
      </c>
      <c r="E539" s="290" t="inlineStr">
        <is>
          <t>BTT25-0001006</t>
        </is>
      </c>
      <c r="F539" s="279" t="n">
        <v>45793</v>
      </c>
      <c r="G539" s="216" t="n"/>
      <c r="H539" s="564" t="n"/>
      <c r="I539" s="564" t="n">
        <v>203302</v>
      </c>
      <c r="J539" s="213" t="inlineStr">
        <is>
          <t>អនុញ្ញាត (បានប្រកាស)</t>
        </is>
      </c>
      <c r="K539" s="565" t="n"/>
      <c r="L539" s="563">
        <f>I539</f>
        <v/>
      </c>
      <c r="M539" s="536">
        <f>I539-L539</f>
        <v/>
      </c>
      <c r="N539" s="213" t="n"/>
      <c r="O539" s="218">
        <f>U539=E539</f>
        <v/>
      </c>
      <c r="P539" s="218">
        <f>MONTH(F539)-MONTH(T539)</f>
        <v/>
      </c>
      <c r="Q539" s="218">
        <f>$B$5=X539</f>
        <v/>
      </c>
      <c r="R539" s="218">
        <f>I539-AD539</f>
        <v/>
      </c>
      <c r="S539" s="298" t="n"/>
      <c r="T539" s="299" t="n">
        <v>45793</v>
      </c>
      <c r="U539" s="298" t="inlineStr">
        <is>
          <t>BTT25-0001006</t>
        </is>
      </c>
      <c r="V539" s="298" t="n"/>
      <c r="W539" s="298" t="n"/>
      <c r="X539" s="298" t="n"/>
      <c r="Y539" s="298" t="inlineStr">
        <is>
          <t>ហូលីដេ ឌីហ្សាញ (ខេមបូឌា) ឯ.ក</t>
        </is>
      </c>
      <c r="Z539" s="300" t="n"/>
      <c r="AA539" s="300" t="n"/>
      <c r="AB539" s="298" t="n"/>
      <c r="AC539" s="298" t="n"/>
      <c r="AD539" s="300" t="n">
        <v>203302</v>
      </c>
      <c r="AE539" s="298" t="n"/>
      <c r="AF539" s="562" t="n"/>
      <c r="AN539" s="198" t="inlineStr">
        <is>
          <t>Truking / Service</t>
        </is>
      </c>
    </row>
    <row r="540">
      <c r="A540" s="212">
        <f>A539+1</f>
        <v/>
      </c>
      <c r="B540" s="214" t="inlineStr">
        <is>
          <t>Lift-Off-Ex</t>
        </is>
      </c>
      <c r="C540" s="214" t="inlineStr">
        <is>
          <t>Port Autonome Du Sihanoukville</t>
        </is>
      </c>
      <c r="D540" s="215" t="inlineStr">
        <is>
          <t>L001-100044638</t>
        </is>
      </c>
      <c r="E540" s="290" t="n">
        <v>202500108638</v>
      </c>
      <c r="F540" s="279" t="n">
        <v>45789</v>
      </c>
      <c r="G540" s="216" t="n"/>
      <c r="H540" s="564" t="n"/>
      <c r="I540" s="564" t="n">
        <v>6805</v>
      </c>
      <c r="J540" s="213" t="inlineStr">
        <is>
          <t>អនុញ្ញាត (បានប្រកាស)</t>
        </is>
      </c>
      <c r="K540" s="565" t="n"/>
      <c r="L540" s="563">
        <f>I540</f>
        <v/>
      </c>
      <c r="M540" s="536">
        <f>I540-L540</f>
        <v/>
      </c>
      <c r="N540" s="213" t="n"/>
      <c r="O540" s="218">
        <f>U540=E540</f>
        <v/>
      </c>
      <c r="P540" s="218">
        <f>MONTH(F540)-MONTH(T540)</f>
        <v/>
      </c>
      <c r="Q540" s="218">
        <f>$B$5=X540</f>
        <v/>
      </c>
      <c r="R540" s="218">
        <f>I540-AD540</f>
        <v/>
      </c>
      <c r="S540" s="298" t="n"/>
      <c r="T540" s="299" t="n">
        <v>45789</v>
      </c>
      <c r="U540" s="298" t="n">
        <v>202500108638</v>
      </c>
      <c r="V540" s="298" t="n"/>
      <c r="W540" s="298" t="inlineStr">
        <is>
          <t>បុគ្គលជាប់អាករ</t>
        </is>
      </c>
      <c r="X540" s="298" t="inlineStr">
        <is>
          <t>L001-901640009</t>
        </is>
      </c>
      <c r="Y540" s="298" t="inlineStr">
        <is>
          <t>ហូលីដេ ឌីហ្សាញ (ខេមបូឌា) ឯ.ក</t>
        </is>
      </c>
      <c r="Z540" s="300" t="n">
        <v>74856</v>
      </c>
      <c r="AA540" s="300" t="n">
        <v>68051</v>
      </c>
      <c r="AB540" s="298" t="n">
        <v>0</v>
      </c>
      <c r="AC540" s="298" t="inlineStr">
        <is>
          <t>-</t>
        </is>
      </c>
      <c r="AD540" s="300" t="n">
        <v>6805</v>
      </c>
      <c r="AE540" s="298" t="n"/>
      <c r="AF540" s="562" t="n"/>
    </row>
    <row r="541">
      <c r="A541" s="212">
        <f>A540+1</f>
        <v/>
      </c>
      <c r="B541" s="214" t="inlineStr">
        <is>
          <t>Trucking &amp; Clearance-Ex</t>
        </is>
      </c>
      <c r="C541" s="214" t="inlineStr">
        <is>
          <t>BRILLIANT TRANSPORT AND TRADING Co., Ltd.</t>
        </is>
      </c>
      <c r="D541" s="215" t="inlineStr">
        <is>
          <t>K002-100089305</t>
        </is>
      </c>
      <c r="E541" s="290" t="inlineStr">
        <is>
          <t>BTT25-0001003</t>
        </is>
      </c>
      <c r="F541" s="279" t="n">
        <v>45793</v>
      </c>
      <c r="G541" s="216" t="n"/>
      <c r="H541" s="564" t="n"/>
      <c r="I541" s="564" t="n">
        <v>255328</v>
      </c>
      <c r="J541" s="213" t="inlineStr">
        <is>
          <t>អនុញ្ញាត (បានប្រកាស)</t>
        </is>
      </c>
      <c r="K541" s="565" t="n"/>
      <c r="L541" s="563">
        <f>I541</f>
        <v/>
      </c>
      <c r="M541" s="536">
        <f>I541-L541</f>
        <v/>
      </c>
      <c r="N541" s="213" t="n"/>
      <c r="O541" s="218">
        <f>U541=E541</f>
        <v/>
      </c>
      <c r="P541" s="218">
        <f>MONTH(F541)-MONTH(T541)</f>
        <v/>
      </c>
      <c r="Q541" s="218">
        <f>$B$5=X541</f>
        <v/>
      </c>
      <c r="R541" s="218">
        <f>I541-AD541</f>
        <v/>
      </c>
      <c r="S541" s="298" t="n"/>
      <c r="T541" s="299" t="n">
        <v>45793</v>
      </c>
      <c r="U541" s="298" t="inlineStr">
        <is>
          <t>BTT25-0001003</t>
        </is>
      </c>
      <c r="V541" s="298" t="n"/>
      <c r="W541" s="298" t="n"/>
      <c r="X541" s="298" t="n"/>
      <c r="Y541" s="298" t="inlineStr">
        <is>
          <t>ហូលីដេ ឌីហ្សាញ (ខេមបូឌា) ឯ.ក</t>
        </is>
      </c>
      <c r="Z541" s="300" t="n"/>
      <c r="AA541" s="300" t="n"/>
      <c r="AB541" s="298" t="n"/>
      <c r="AC541" s="298" t="n"/>
      <c r="AD541" s="300" t="n">
        <v>255328</v>
      </c>
      <c r="AE541" s="298" t="n"/>
      <c r="AF541" s="562" t="n"/>
      <c r="AN541" s="198" t="inlineStr">
        <is>
          <t>Truking / Service</t>
        </is>
      </c>
    </row>
    <row r="542">
      <c r="A542" s="212">
        <f>A541+1</f>
        <v/>
      </c>
      <c r="B542" s="214" t="inlineStr">
        <is>
          <t>Trucking &amp; Clearance-Ex</t>
        </is>
      </c>
      <c r="C542" s="214" t="inlineStr">
        <is>
          <t>BRILLIANT TRANSPORT AND TRADING Co., Ltd.</t>
        </is>
      </c>
      <c r="D542" s="215" t="inlineStr">
        <is>
          <t>K002-100089305</t>
        </is>
      </c>
      <c r="E542" s="290" t="inlineStr">
        <is>
          <t>BTT25-0001016</t>
        </is>
      </c>
      <c r="F542" s="279" t="n">
        <v>45793</v>
      </c>
      <c r="G542" s="216" t="n"/>
      <c r="H542" s="564" t="n"/>
      <c r="I542" s="564" t="n">
        <v>203302</v>
      </c>
      <c r="J542" s="213" t="inlineStr">
        <is>
          <t>អនុញ្ញាត (បានប្រកាស)</t>
        </is>
      </c>
      <c r="K542" s="565" t="n"/>
      <c r="L542" s="563">
        <f>I542</f>
        <v/>
      </c>
      <c r="M542" s="536">
        <f>I542-L542</f>
        <v/>
      </c>
      <c r="N542" s="213" t="n"/>
      <c r="O542" s="218">
        <f>U542=E542</f>
        <v/>
      </c>
      <c r="P542" s="218">
        <f>MONTH(F542)-MONTH(T542)</f>
        <v/>
      </c>
      <c r="Q542" s="218">
        <f>$B$5=X542</f>
        <v/>
      </c>
      <c r="R542" s="218">
        <f>I542-AD542</f>
        <v/>
      </c>
      <c r="S542" s="298" t="n"/>
      <c r="T542" s="299" t="n">
        <v>45793</v>
      </c>
      <c r="U542" s="298" t="inlineStr">
        <is>
          <t>BTT25-0001016</t>
        </is>
      </c>
      <c r="V542" s="298" t="n"/>
      <c r="W542" s="298" t="n"/>
      <c r="X542" s="298" t="n"/>
      <c r="Y542" s="298" t="inlineStr">
        <is>
          <t>ហូលីដេ ឌីហ្សាញ (ខេមបូឌា) ឯ.ក</t>
        </is>
      </c>
      <c r="Z542" s="300" t="n"/>
      <c r="AA542" s="300" t="n"/>
      <c r="AB542" s="298" t="n"/>
      <c r="AC542" s="298" t="n"/>
      <c r="AD542" s="300" t="n">
        <v>203302</v>
      </c>
      <c r="AE542" s="298" t="n"/>
      <c r="AF542" s="562" t="n"/>
      <c r="AN542" s="198" t="inlineStr">
        <is>
          <t>Truking / Service</t>
        </is>
      </c>
    </row>
    <row r="543">
      <c r="A543" s="212">
        <f>A542+1</f>
        <v/>
      </c>
      <c r="B543" s="214" t="inlineStr">
        <is>
          <t>Lift-Off-Ex</t>
        </is>
      </c>
      <c r="C543" s="214" t="inlineStr">
        <is>
          <t>PHNOM PENH AUTONOMOUS PORT "PPAP"</t>
        </is>
      </c>
      <c r="D543" s="215" t="inlineStr">
        <is>
          <t>L001-100044999</t>
        </is>
      </c>
      <c r="E543" s="290" t="inlineStr">
        <is>
          <t>INV20250539581</t>
        </is>
      </c>
      <c r="F543" s="279" t="n">
        <v>45797</v>
      </c>
      <c r="G543" s="216" t="n"/>
      <c r="H543" s="564" t="n"/>
      <c r="I543" s="564" t="n">
        <v>28021</v>
      </c>
      <c r="J543" s="213" t="inlineStr">
        <is>
          <t>អនុញ្ញាត (បានប្រកាស)</t>
        </is>
      </c>
      <c r="K543" s="565">
        <f>L543</f>
        <v/>
      </c>
      <c r="L543" s="563">
        <f>AD543</f>
        <v/>
      </c>
      <c r="M543" s="536">
        <f>I543-L543</f>
        <v/>
      </c>
      <c r="N543" s="213" t="n"/>
      <c r="O543" s="218">
        <f>U543=E543</f>
        <v/>
      </c>
      <c r="P543" s="218">
        <f>MONTH(F543)-MONTH(T543)</f>
        <v/>
      </c>
      <c r="Q543" s="218">
        <f>$B$5=X543</f>
        <v/>
      </c>
      <c r="R543" s="218">
        <f>I543-AD543</f>
        <v/>
      </c>
      <c r="S543" s="298" t="n"/>
      <c r="T543" s="299" t="n">
        <v>45797</v>
      </c>
      <c r="U543" s="298" t="inlineStr">
        <is>
          <t>INV20250539581</t>
        </is>
      </c>
      <c r="V543" s="298" t="n">
        <v>0</v>
      </c>
      <c r="W543" s="298" t="inlineStr">
        <is>
          <t>បុគ្គលជាប់អាករ</t>
        </is>
      </c>
      <c r="X543" s="298" t="inlineStr">
        <is>
          <t>L001-901640009</t>
        </is>
      </c>
      <c r="Y543" s="298" t="inlineStr">
        <is>
          <t>ហូលីដេ ឌីហ្សាញ (ខេមបូឌា) ឯ.ក</t>
        </is>
      </c>
      <c r="Z543" s="300" t="n">
        <v>308154</v>
      </c>
      <c r="AA543" s="300" t="n">
        <v>280140</v>
      </c>
      <c r="AB543" s="298" t="n">
        <v>0</v>
      </c>
      <c r="AC543" s="298" t="inlineStr">
        <is>
          <t>-</t>
        </is>
      </c>
      <c r="AD543" s="300" t="n">
        <v>28014</v>
      </c>
      <c r="AE543" s="298" t="n">
        <v>0</v>
      </c>
      <c r="AF543" s="562" t="n">
        <v>0</v>
      </c>
      <c r="AG543" s="198" t="n">
        <v>0</v>
      </c>
      <c r="AH543" s="198" t="n">
        <v>0</v>
      </c>
      <c r="AI543" s="198" t="n">
        <v>0</v>
      </c>
      <c r="AJ543" s="198" t="n">
        <v>0</v>
      </c>
      <c r="AK543" s="198" t="n">
        <v>0</v>
      </c>
      <c r="AL543" s="198" t="n">
        <v>0.01</v>
      </c>
      <c r="AM543" s="198" t="n">
        <v>0</v>
      </c>
      <c r="AN543" s="198" t="inlineStr">
        <is>
          <t>ចំណូលពីសេវាកម្ម (លើកដាក់ទំនិញ)</t>
        </is>
      </c>
    </row>
    <row r="544">
      <c r="A544" s="212">
        <f>A543+1</f>
        <v/>
      </c>
      <c r="B544" s="214" t="inlineStr">
        <is>
          <t>Lift-Off-Ex</t>
        </is>
      </c>
      <c r="C544" s="214" t="inlineStr">
        <is>
          <t>PHNOM PENH AUTONOMOUS PORT "PPAP"</t>
        </is>
      </c>
      <c r="D544" s="215" t="inlineStr">
        <is>
          <t>L001-100044999</t>
        </is>
      </c>
      <c r="E544" s="290" t="inlineStr">
        <is>
          <t>INV20250539569</t>
        </is>
      </c>
      <c r="F544" s="279" t="n">
        <v>45797</v>
      </c>
      <c r="G544" s="216" t="n"/>
      <c r="H544" s="564" t="n"/>
      <c r="I544" s="564" t="n">
        <v>18414</v>
      </c>
      <c r="J544" s="213" t="inlineStr">
        <is>
          <t>អនុញ្ញាត (បានប្រកាស)</t>
        </is>
      </c>
      <c r="K544" s="565">
        <f>L544</f>
        <v/>
      </c>
      <c r="L544" s="563">
        <f>AD544</f>
        <v/>
      </c>
      <c r="M544" s="536">
        <f>I544-L544</f>
        <v/>
      </c>
      <c r="N544" s="213" t="n"/>
      <c r="O544" s="218">
        <f>U544=E544</f>
        <v/>
      </c>
      <c r="P544" s="218">
        <f>MONTH(F544)-MONTH(T544)</f>
        <v/>
      </c>
      <c r="Q544" s="218">
        <f>$B$5=X544</f>
        <v/>
      </c>
      <c r="R544" s="218">
        <f>I544-AD544</f>
        <v/>
      </c>
      <c r="S544" s="298" t="n"/>
      <c r="T544" s="299" t="n">
        <v>45797</v>
      </c>
      <c r="U544" s="298" t="inlineStr">
        <is>
          <t>INV20250539569</t>
        </is>
      </c>
      <c r="V544" s="298" t="n">
        <v>0</v>
      </c>
      <c r="W544" s="298" t="inlineStr">
        <is>
          <t>បុគ្គលជាប់អាករ</t>
        </is>
      </c>
      <c r="X544" s="298" t="inlineStr">
        <is>
          <t>L001-901640009</t>
        </is>
      </c>
      <c r="Y544" s="298" t="inlineStr">
        <is>
          <t>ហូលីដេ ឌីហ្សាញ (ខេមបូឌា) ឯ.ក</t>
        </is>
      </c>
      <c r="Z544" s="300" t="n">
        <v>202499</v>
      </c>
      <c r="AA544" s="300" t="n">
        <v>184090</v>
      </c>
      <c r="AB544" s="298" t="n">
        <v>0</v>
      </c>
      <c r="AC544" s="298" t="inlineStr">
        <is>
          <t>-</t>
        </is>
      </c>
      <c r="AD544" s="300" t="n">
        <v>18409</v>
      </c>
      <c r="AE544" s="298" t="n">
        <v>0</v>
      </c>
      <c r="AF544" s="562" t="n">
        <v>0</v>
      </c>
      <c r="AG544" s="198" t="n">
        <v>0</v>
      </c>
      <c r="AH544" s="198" t="n">
        <v>0</v>
      </c>
      <c r="AI544" s="198" t="n">
        <v>0</v>
      </c>
      <c r="AJ544" s="198" t="n">
        <v>0</v>
      </c>
      <c r="AK544" s="198" t="n">
        <v>0</v>
      </c>
      <c r="AL544" s="198" t="n">
        <v>0.01</v>
      </c>
      <c r="AM544" s="198" t="n">
        <v>0</v>
      </c>
      <c r="AN544" s="198" t="inlineStr">
        <is>
          <t>ចំណូលពីសេវាកម្ម (លើកដាក់ទំនិញ)</t>
        </is>
      </c>
    </row>
    <row r="545">
      <c r="A545" s="212">
        <f>A544+1</f>
        <v/>
      </c>
      <c r="B545" s="214" t="inlineStr">
        <is>
          <t>Trucking &amp; Clearance-Ex</t>
        </is>
      </c>
      <c r="C545" s="214" t="inlineStr">
        <is>
          <t>BRILLIANT TRANSPORT AND TRADING Co., Ltd.</t>
        </is>
      </c>
      <c r="D545" s="215" t="inlineStr">
        <is>
          <t>K002-100089305</t>
        </is>
      </c>
      <c r="E545" s="290" t="inlineStr">
        <is>
          <t>BTT25-0001025</t>
        </is>
      </c>
      <c r="F545" s="279" t="n">
        <v>45793</v>
      </c>
      <c r="G545" s="216" t="n"/>
      <c r="H545" s="564" t="n"/>
      <c r="I545" s="564" t="n">
        <v>203302</v>
      </c>
      <c r="J545" s="213" t="inlineStr">
        <is>
          <t>អនុញ្ញាត (បានប្រកាស)</t>
        </is>
      </c>
      <c r="K545" s="565" t="n"/>
      <c r="L545" s="563">
        <f>I545</f>
        <v/>
      </c>
      <c r="M545" s="536">
        <f>I545-L545</f>
        <v/>
      </c>
      <c r="N545" s="213" t="n"/>
      <c r="O545" s="218">
        <f>U545=E545</f>
        <v/>
      </c>
      <c r="P545" s="218">
        <f>MONTH(F545)-MONTH(T545)</f>
        <v/>
      </c>
      <c r="Q545" s="218">
        <f>$B$5=X545</f>
        <v/>
      </c>
      <c r="R545" s="218">
        <f>I545-AD545</f>
        <v/>
      </c>
      <c r="S545" s="298" t="n"/>
      <c r="T545" s="299" t="n">
        <v>45793</v>
      </c>
      <c r="U545" s="298" t="inlineStr">
        <is>
          <t>BTT25-0001025</t>
        </is>
      </c>
      <c r="V545" s="298" t="n"/>
      <c r="W545" s="298" t="n"/>
      <c r="X545" s="298" t="n"/>
      <c r="Y545" s="298" t="inlineStr">
        <is>
          <t>ហូលីដេ ឌីហ្សាញ (ខេមបូឌា) ឯ.ក</t>
        </is>
      </c>
      <c r="Z545" s="300" t="n"/>
      <c r="AA545" s="300" t="n"/>
      <c r="AB545" s="298" t="n"/>
      <c r="AC545" s="298" t="n"/>
      <c r="AD545" s="300" t="n">
        <v>203302</v>
      </c>
      <c r="AE545" s="298" t="n"/>
      <c r="AF545" s="562" t="n"/>
      <c r="AN545" s="198" t="inlineStr">
        <is>
          <t>Truking / Service</t>
        </is>
      </c>
    </row>
    <row r="546">
      <c r="A546" s="212">
        <f>A545+1</f>
        <v/>
      </c>
      <c r="B546" s="214" t="inlineStr">
        <is>
          <t>Lift-Off-Ex</t>
        </is>
      </c>
      <c r="C546" s="214" t="inlineStr">
        <is>
          <t>PHNOM PENH AUTONOMOUS PORT "PPAP"</t>
        </is>
      </c>
      <c r="D546" s="215" t="inlineStr">
        <is>
          <t>L001-100044999</t>
        </is>
      </c>
      <c r="E546" s="290" t="inlineStr">
        <is>
          <t>INV20250539566</t>
        </is>
      </c>
      <c r="F546" s="279" t="n">
        <v>45797</v>
      </c>
      <c r="G546" s="216" t="n"/>
      <c r="H546" s="564" t="n"/>
      <c r="I546" s="564" t="n">
        <v>28021</v>
      </c>
      <c r="J546" s="213" t="inlineStr">
        <is>
          <t>អនុញ្ញាត (បានប្រកាស)</t>
        </is>
      </c>
      <c r="K546" s="565">
        <f>L546</f>
        <v/>
      </c>
      <c r="L546" s="563">
        <f>AD546</f>
        <v/>
      </c>
      <c r="M546" s="536">
        <f>I546-L546</f>
        <v/>
      </c>
      <c r="N546" s="213" t="n"/>
      <c r="O546" s="218">
        <f>U546=E546</f>
        <v/>
      </c>
      <c r="P546" s="218">
        <f>MONTH(F546)-MONTH(T546)</f>
        <v/>
      </c>
      <c r="Q546" s="218">
        <f>$B$5=X546</f>
        <v/>
      </c>
      <c r="R546" s="218">
        <f>I546-AD546</f>
        <v/>
      </c>
      <c r="S546" s="298" t="n"/>
      <c r="T546" s="299" t="n">
        <v>45797</v>
      </c>
      <c r="U546" s="298" t="inlineStr">
        <is>
          <t>INV20250539566</t>
        </is>
      </c>
      <c r="V546" s="298" t="n">
        <v>0</v>
      </c>
      <c r="W546" s="298" t="inlineStr">
        <is>
          <t>បុគ្គលជាប់អាករ</t>
        </is>
      </c>
      <c r="X546" s="298" t="inlineStr">
        <is>
          <t>L001-901640009</t>
        </is>
      </c>
      <c r="Y546" s="298" t="inlineStr">
        <is>
          <t>ហូលីដេ ឌីហ្សាញ (ខេមបូឌា) ឯ.ក</t>
        </is>
      </c>
      <c r="Z546" s="300" t="n">
        <v>308154</v>
      </c>
      <c r="AA546" s="300" t="n">
        <v>280140</v>
      </c>
      <c r="AB546" s="298" t="n">
        <v>0</v>
      </c>
      <c r="AC546" s="298" t="inlineStr">
        <is>
          <t>-</t>
        </is>
      </c>
      <c r="AD546" s="300" t="n">
        <v>28014</v>
      </c>
      <c r="AE546" s="298" t="n">
        <v>0</v>
      </c>
      <c r="AF546" s="562" t="n">
        <v>0</v>
      </c>
      <c r="AG546" s="198" t="n">
        <v>0</v>
      </c>
      <c r="AH546" s="198" t="n">
        <v>0</v>
      </c>
      <c r="AI546" s="198" t="n">
        <v>0</v>
      </c>
      <c r="AJ546" s="198" t="n">
        <v>0</v>
      </c>
      <c r="AK546" s="198" t="n">
        <v>0</v>
      </c>
      <c r="AL546" s="198" t="n">
        <v>0.01</v>
      </c>
      <c r="AM546" s="198" t="n">
        <v>0</v>
      </c>
      <c r="AN546" s="198" t="inlineStr">
        <is>
          <t>ចំណូលពីសេវាកម្ម (លើកដាក់ទំនិញ)</t>
        </is>
      </c>
    </row>
    <row r="547">
      <c r="A547" s="212">
        <f>A546+1</f>
        <v/>
      </c>
      <c r="B547" s="214" t="inlineStr">
        <is>
          <t>Trucking &amp; Clearance-Ex</t>
        </is>
      </c>
      <c r="C547" s="214" t="inlineStr">
        <is>
          <t>BRILLIANT TRANSPORT AND TRADING Co., Ltd.</t>
        </is>
      </c>
      <c r="D547" s="215" t="inlineStr">
        <is>
          <t>K002-100089305</t>
        </is>
      </c>
      <c r="E547" s="290" t="inlineStr">
        <is>
          <t>BTT25-0001024</t>
        </is>
      </c>
      <c r="F547" s="279" t="n">
        <v>45793</v>
      </c>
      <c r="G547" s="216" t="n"/>
      <c r="H547" s="564" t="n"/>
      <c r="I547" s="564" t="n">
        <v>203302</v>
      </c>
      <c r="J547" s="213" t="inlineStr">
        <is>
          <t>អនុញ្ញាត (បានប្រកាស)</t>
        </is>
      </c>
      <c r="K547" s="565" t="n"/>
      <c r="L547" s="563">
        <f>I547</f>
        <v/>
      </c>
      <c r="M547" s="536">
        <f>I547-L547</f>
        <v/>
      </c>
      <c r="N547" s="213" t="n"/>
      <c r="O547" s="218">
        <f>U547=E547</f>
        <v/>
      </c>
      <c r="P547" s="218">
        <f>MONTH(F547)-MONTH(T547)</f>
        <v/>
      </c>
      <c r="Q547" s="218">
        <f>$B$5=X547</f>
        <v/>
      </c>
      <c r="R547" s="218">
        <f>I547-AD547</f>
        <v/>
      </c>
      <c r="S547" s="298" t="n"/>
      <c r="T547" s="299" t="n">
        <v>45793</v>
      </c>
      <c r="U547" s="298" t="inlineStr">
        <is>
          <t>BTT25-0001024</t>
        </is>
      </c>
      <c r="V547" s="298" t="n"/>
      <c r="W547" s="298" t="n"/>
      <c r="X547" s="298" t="n"/>
      <c r="Y547" s="298" t="inlineStr">
        <is>
          <t>ហូលីដេ ឌីហ្សាញ (ខេមបូឌា) ឯ.ក</t>
        </is>
      </c>
      <c r="Z547" s="300" t="n"/>
      <c r="AA547" s="300" t="n"/>
      <c r="AB547" s="298" t="n"/>
      <c r="AC547" s="298" t="n"/>
      <c r="AD547" s="300" t="n">
        <v>203302</v>
      </c>
      <c r="AE547" s="298" t="n"/>
      <c r="AF547" s="562" t="n"/>
      <c r="AN547" s="198" t="inlineStr">
        <is>
          <t>Truking / Service</t>
        </is>
      </c>
    </row>
    <row r="548">
      <c r="A548" s="212">
        <f>A547+1</f>
        <v/>
      </c>
      <c r="B548" s="214" t="inlineStr">
        <is>
          <t>Lift-Off-Ex</t>
        </is>
      </c>
      <c r="C548" s="214" t="inlineStr">
        <is>
          <t>PHNOM PENH AUTONOMOUS PORT "PPAP"</t>
        </is>
      </c>
      <c r="D548" s="215" t="inlineStr">
        <is>
          <t>L001-100044999</t>
        </is>
      </c>
      <c r="E548" s="290" t="inlineStr">
        <is>
          <t>INV20250539567</t>
        </is>
      </c>
      <c r="F548" s="279" t="n">
        <v>45797</v>
      </c>
      <c r="G548" s="216" t="n"/>
      <c r="H548" s="564" t="n"/>
      <c r="I548" s="564" t="n">
        <v>18414</v>
      </c>
      <c r="J548" s="213" t="inlineStr">
        <is>
          <t>អនុញ្ញាត (បានប្រកាស)</t>
        </is>
      </c>
      <c r="K548" s="565">
        <f>L548</f>
        <v/>
      </c>
      <c r="L548" s="563">
        <f>AD548</f>
        <v/>
      </c>
      <c r="M548" s="536">
        <f>I548-L548</f>
        <v/>
      </c>
      <c r="N548" s="213" t="n"/>
      <c r="O548" s="218">
        <f>U548=E548</f>
        <v/>
      </c>
      <c r="P548" s="218">
        <f>MONTH(F548)-MONTH(T548)</f>
        <v/>
      </c>
      <c r="Q548" s="218">
        <f>$B$5=X548</f>
        <v/>
      </c>
      <c r="R548" s="218">
        <f>I548-AD548</f>
        <v/>
      </c>
      <c r="S548" s="298" t="n"/>
      <c r="T548" s="299" t="n">
        <v>45797</v>
      </c>
      <c r="U548" s="298" t="inlineStr">
        <is>
          <t>INV20250539567</t>
        </is>
      </c>
      <c r="V548" s="298" t="n">
        <v>0</v>
      </c>
      <c r="W548" s="298" t="inlineStr">
        <is>
          <t>បុគ្គលជាប់អាករ</t>
        </is>
      </c>
      <c r="X548" s="298" t="inlineStr">
        <is>
          <t>L001-901640009</t>
        </is>
      </c>
      <c r="Y548" s="298" t="inlineStr">
        <is>
          <t>ហូលីដេ ឌីហ្សាញ (ខេមបូឌា) ឯ.ក</t>
        </is>
      </c>
      <c r="Z548" s="300" t="n">
        <v>202499</v>
      </c>
      <c r="AA548" s="300" t="n">
        <v>184090</v>
      </c>
      <c r="AB548" s="298" t="n">
        <v>0</v>
      </c>
      <c r="AC548" s="298" t="inlineStr">
        <is>
          <t>-</t>
        </is>
      </c>
      <c r="AD548" s="300" t="n">
        <v>18409</v>
      </c>
      <c r="AE548" s="298" t="n">
        <v>0</v>
      </c>
      <c r="AF548" s="562" t="n">
        <v>0</v>
      </c>
      <c r="AG548" s="198" t="n">
        <v>0</v>
      </c>
      <c r="AH548" s="198" t="n">
        <v>0</v>
      </c>
      <c r="AI548" s="198" t="n">
        <v>0</v>
      </c>
      <c r="AJ548" s="198" t="n">
        <v>0</v>
      </c>
      <c r="AK548" s="198" t="n">
        <v>0</v>
      </c>
      <c r="AL548" s="198" t="n">
        <v>0.01</v>
      </c>
      <c r="AM548" s="198" t="n">
        <v>0</v>
      </c>
      <c r="AN548" s="198" t="inlineStr">
        <is>
          <t>ចំណូលពីសេវាកម្ម (លើកដាក់ទំនិញ)</t>
        </is>
      </c>
    </row>
    <row r="549">
      <c r="A549" s="212">
        <f>A548+1</f>
        <v/>
      </c>
      <c r="B549" s="214" t="inlineStr">
        <is>
          <t>Trucking &amp; Clearance-Ex</t>
        </is>
      </c>
      <c r="C549" s="214" t="inlineStr">
        <is>
          <t>BRILLIANT TRANSPORT AND TRADING Co., Ltd.</t>
        </is>
      </c>
      <c r="D549" s="215" t="inlineStr">
        <is>
          <t>K002-100089305</t>
        </is>
      </c>
      <c r="E549" s="290" t="inlineStr">
        <is>
          <t>BTT25-0001023</t>
        </is>
      </c>
      <c r="F549" s="279" t="n">
        <v>45793</v>
      </c>
      <c r="G549" s="216" t="n"/>
      <c r="H549" s="564" t="n"/>
      <c r="I549" s="564" t="n">
        <v>190895</v>
      </c>
      <c r="J549" s="213" t="inlineStr">
        <is>
          <t>អនុញ្ញាត (បានប្រកាស)</t>
        </is>
      </c>
      <c r="K549" s="565" t="n"/>
      <c r="L549" s="563">
        <f>I549</f>
        <v/>
      </c>
      <c r="M549" s="536">
        <f>I549-L549</f>
        <v/>
      </c>
      <c r="N549" s="213" t="n"/>
      <c r="O549" s="218">
        <f>U549=E549</f>
        <v/>
      </c>
      <c r="P549" s="218">
        <f>MONTH(F549)-MONTH(T549)</f>
        <v/>
      </c>
      <c r="Q549" s="218">
        <f>$B$5=X549</f>
        <v/>
      </c>
      <c r="R549" s="218">
        <f>I549-AD549</f>
        <v/>
      </c>
      <c r="S549" s="298" t="n"/>
      <c r="T549" s="299" t="n">
        <v>45793</v>
      </c>
      <c r="U549" s="298" t="inlineStr">
        <is>
          <t>BTT25-0001023</t>
        </is>
      </c>
      <c r="V549" s="298" t="n"/>
      <c r="W549" s="298" t="n"/>
      <c r="X549" s="298" t="n"/>
      <c r="Y549" s="298" t="inlineStr">
        <is>
          <t>ហូលីដេ ឌីហ្សាញ (ខេមបូឌា) ឯ.ក</t>
        </is>
      </c>
      <c r="Z549" s="300" t="n"/>
      <c r="AA549" s="300" t="n"/>
      <c r="AB549" s="298" t="n"/>
      <c r="AC549" s="298" t="n"/>
      <c r="AD549" s="300" t="n">
        <v>190895</v>
      </c>
      <c r="AE549" s="298" t="n"/>
      <c r="AF549" s="562" t="n"/>
      <c r="AN549" s="198" t="inlineStr">
        <is>
          <t>Truking / Service</t>
        </is>
      </c>
    </row>
    <row r="550">
      <c r="A550" s="212">
        <f>A549+1</f>
        <v/>
      </c>
      <c r="B550" s="214" t="inlineStr">
        <is>
          <t>Trucking &amp; Clearance-Ex</t>
        </is>
      </c>
      <c r="C550" s="214" t="inlineStr">
        <is>
          <t>BRILLIANT TRANSPORT AND TRADING Co., Ltd.</t>
        </is>
      </c>
      <c r="D550" s="215" t="inlineStr">
        <is>
          <t>K002-100089305</t>
        </is>
      </c>
      <c r="E550" s="290" t="inlineStr">
        <is>
          <t>BTT25-0001022</t>
        </is>
      </c>
      <c r="F550" s="279" t="n">
        <v>45793</v>
      </c>
      <c r="G550" s="216" t="n"/>
      <c r="H550" s="564" t="n"/>
      <c r="I550" s="564" t="n">
        <v>190895</v>
      </c>
      <c r="J550" s="213" t="inlineStr">
        <is>
          <t>អនុញ្ញាត (បានប្រកាស)</t>
        </is>
      </c>
      <c r="K550" s="565" t="n"/>
      <c r="L550" s="563">
        <f>I550</f>
        <v/>
      </c>
      <c r="M550" s="536">
        <f>I550-L550</f>
        <v/>
      </c>
      <c r="N550" s="213" t="n"/>
      <c r="O550" s="218">
        <f>U550=E550</f>
        <v/>
      </c>
      <c r="P550" s="218">
        <f>MONTH(F550)-MONTH(T550)</f>
        <v/>
      </c>
      <c r="Q550" s="218">
        <f>$B$5=X550</f>
        <v/>
      </c>
      <c r="R550" s="218">
        <f>I550-AD550</f>
        <v/>
      </c>
      <c r="S550" s="298" t="n"/>
      <c r="T550" s="299" t="n">
        <v>45793</v>
      </c>
      <c r="U550" s="298" t="inlineStr">
        <is>
          <t>BTT25-0001022</t>
        </is>
      </c>
      <c r="V550" s="298" t="n"/>
      <c r="W550" s="298" t="n"/>
      <c r="X550" s="298" t="n"/>
      <c r="Y550" s="298" t="inlineStr">
        <is>
          <t>ហូលីដេ ឌីហ្សាញ (ខេមបូឌា) ឯ.ក</t>
        </is>
      </c>
      <c r="Z550" s="300" t="n"/>
      <c r="AA550" s="300" t="n"/>
      <c r="AB550" s="298" t="n"/>
      <c r="AC550" s="298" t="n"/>
      <c r="AD550" s="300" t="n">
        <v>190895</v>
      </c>
      <c r="AE550" s="298" t="n"/>
      <c r="AF550" s="562" t="n"/>
      <c r="AN550" s="198" t="inlineStr">
        <is>
          <t>Truking / Service</t>
        </is>
      </c>
    </row>
    <row r="551">
      <c r="A551" s="212">
        <f>A550+1</f>
        <v/>
      </c>
      <c r="B551" s="214" t="inlineStr">
        <is>
          <t>Trucking &amp; Clearance-Ex</t>
        </is>
      </c>
      <c r="C551" s="214" t="inlineStr">
        <is>
          <t>BRILLIANT TRANSPORT AND TRADING Co., Ltd.</t>
        </is>
      </c>
      <c r="D551" s="215" t="inlineStr">
        <is>
          <t>K002-100089305</t>
        </is>
      </c>
      <c r="E551" s="290" t="inlineStr">
        <is>
          <t>BTT25-0001018</t>
        </is>
      </c>
      <c r="F551" s="279" t="n">
        <v>45793</v>
      </c>
      <c r="G551" s="216" t="n"/>
      <c r="H551" s="564" t="n"/>
      <c r="I551" s="564" t="n">
        <v>203302</v>
      </c>
      <c r="J551" s="213" t="inlineStr">
        <is>
          <t>អនុញ្ញាត (បានប្រកាស)</t>
        </is>
      </c>
      <c r="K551" s="565" t="n"/>
      <c r="L551" s="563">
        <f>I551</f>
        <v/>
      </c>
      <c r="M551" s="536">
        <f>I551-L551</f>
        <v/>
      </c>
      <c r="N551" s="213" t="n"/>
      <c r="O551" s="218">
        <f>U551=E551</f>
        <v/>
      </c>
      <c r="P551" s="218">
        <f>MONTH(F551)-MONTH(T551)</f>
        <v/>
      </c>
      <c r="Q551" s="218">
        <f>$B$5=X551</f>
        <v/>
      </c>
      <c r="R551" s="218">
        <f>I551-AD551</f>
        <v/>
      </c>
      <c r="S551" s="298" t="n"/>
      <c r="T551" s="299" t="n">
        <v>45793</v>
      </c>
      <c r="U551" s="298" t="inlineStr">
        <is>
          <t>BTT25-0001018</t>
        </is>
      </c>
      <c r="V551" s="298" t="n"/>
      <c r="W551" s="298" t="n"/>
      <c r="X551" s="298" t="n"/>
      <c r="Y551" s="298" t="inlineStr">
        <is>
          <t>ហូលីដេ ឌីហ្សាញ (ខេមបូឌា) ឯ.ក</t>
        </is>
      </c>
      <c r="Z551" s="300" t="n"/>
      <c r="AA551" s="300" t="n"/>
      <c r="AB551" s="298" t="n"/>
      <c r="AC551" s="298" t="n"/>
      <c r="AD551" s="300" t="n">
        <v>203302</v>
      </c>
      <c r="AE551" s="298" t="n"/>
      <c r="AF551" s="562" t="n"/>
      <c r="AN551" s="198" t="inlineStr">
        <is>
          <t>Truking / Service</t>
        </is>
      </c>
    </row>
    <row r="552">
      <c r="A552" s="212">
        <f>A551+1</f>
        <v/>
      </c>
      <c r="B552" s="214" t="inlineStr">
        <is>
          <t>Lift-Off-Ex</t>
        </is>
      </c>
      <c r="C552" s="214" t="inlineStr">
        <is>
          <t>PHNOM PENH AUTONOMOUS PORT "PPAP"</t>
        </is>
      </c>
      <c r="D552" s="215" t="inlineStr">
        <is>
          <t>L001-100044999</t>
        </is>
      </c>
      <c r="E552" s="290" t="inlineStr">
        <is>
          <t>INV20250539570</t>
        </is>
      </c>
      <c r="F552" s="279" t="n">
        <v>45797</v>
      </c>
      <c r="G552" s="216" t="n"/>
      <c r="H552" s="564" t="n"/>
      <c r="I552" s="564" t="n">
        <v>46435</v>
      </c>
      <c r="J552" s="213" t="inlineStr">
        <is>
          <t>អនុញ្ញាត (បានប្រកាស)</t>
        </is>
      </c>
      <c r="K552" s="565">
        <f>L552</f>
        <v/>
      </c>
      <c r="L552" s="563">
        <f>AD552</f>
        <v/>
      </c>
      <c r="M552" s="536">
        <f>I552-L552</f>
        <v/>
      </c>
      <c r="N552" s="213" t="n"/>
      <c r="O552" s="218">
        <f>U552=E552</f>
        <v/>
      </c>
      <c r="P552" s="218">
        <f>MONTH(F552)-MONTH(T552)</f>
        <v/>
      </c>
      <c r="Q552" s="218">
        <f>$B$5=X552</f>
        <v/>
      </c>
      <c r="R552" s="218">
        <f>I552-AD552</f>
        <v/>
      </c>
      <c r="S552" s="298" t="n"/>
      <c r="T552" s="299" t="n">
        <v>45797</v>
      </c>
      <c r="U552" s="298" t="inlineStr">
        <is>
          <t>INV20250539570</t>
        </is>
      </c>
      <c r="V552" s="298" t="n">
        <v>0</v>
      </c>
      <c r="W552" s="298" t="inlineStr">
        <is>
          <t>បុគ្គលជាប់អាករ</t>
        </is>
      </c>
      <c r="X552" s="298" t="inlineStr">
        <is>
          <t>L001-901640009</t>
        </is>
      </c>
      <c r="Y552" s="298" t="inlineStr">
        <is>
          <t>ហូលីដេ ឌីហ្សាញ (ខេមបូឌា) ឯ.ក</t>
        </is>
      </c>
      <c r="Z552" s="300" t="n">
        <v>510653</v>
      </c>
      <c r="AA552" s="300" t="n">
        <v>464230</v>
      </c>
      <c r="AB552" s="298" t="n">
        <v>0</v>
      </c>
      <c r="AC552" s="298" t="inlineStr">
        <is>
          <t>-</t>
        </is>
      </c>
      <c r="AD552" s="300" t="n">
        <v>46423</v>
      </c>
      <c r="AE552" s="298" t="n">
        <v>0</v>
      </c>
      <c r="AF552" s="562" t="n">
        <v>0</v>
      </c>
      <c r="AG552" s="198" t="n">
        <v>0</v>
      </c>
      <c r="AH552" s="198" t="n">
        <v>0</v>
      </c>
      <c r="AI552" s="198" t="n">
        <v>0</v>
      </c>
      <c r="AJ552" s="198" t="n">
        <v>0</v>
      </c>
      <c r="AK552" s="198" t="n">
        <v>0</v>
      </c>
      <c r="AL552" s="198" t="n">
        <v>0.01</v>
      </c>
      <c r="AM552" s="198" t="n">
        <v>0</v>
      </c>
      <c r="AN552" s="198" t="inlineStr">
        <is>
          <t>ចំណូលពីសេវាកម្ម (លើកដាក់ទំនិញ)</t>
        </is>
      </c>
    </row>
    <row r="553">
      <c r="A553" s="212">
        <f>A552+1</f>
        <v/>
      </c>
      <c r="B553" s="214" t="inlineStr">
        <is>
          <t>Trucking &amp; Clearance-Ex</t>
        </is>
      </c>
      <c r="C553" s="214" t="inlineStr">
        <is>
          <t>BRILLIANT TRANSPORT AND TRADING Co., Ltd.</t>
        </is>
      </c>
      <c r="D553" s="215" t="inlineStr">
        <is>
          <t>K002-100089305</t>
        </is>
      </c>
      <c r="E553" s="290" t="inlineStr">
        <is>
          <t>BTT25-0001021</t>
        </is>
      </c>
      <c r="F553" s="279" t="n">
        <v>45793</v>
      </c>
      <c r="G553" s="216" t="n"/>
      <c r="H553" s="564" t="n"/>
      <c r="I553" s="564" t="n">
        <v>394197</v>
      </c>
      <c r="J553" s="213" t="inlineStr">
        <is>
          <t>អនុញ្ញាត (បានប្រកាស)</t>
        </is>
      </c>
      <c r="K553" s="565" t="n"/>
      <c r="L553" s="563">
        <f>I553</f>
        <v/>
      </c>
      <c r="M553" s="536">
        <f>I553-L553</f>
        <v/>
      </c>
      <c r="N553" s="213" t="n"/>
      <c r="O553" s="218">
        <f>U553=E553</f>
        <v/>
      </c>
      <c r="P553" s="218">
        <f>MONTH(F553)-MONTH(T553)</f>
        <v/>
      </c>
      <c r="Q553" s="218">
        <f>$B$5=X553</f>
        <v/>
      </c>
      <c r="R553" s="218">
        <f>I553-AD553</f>
        <v/>
      </c>
      <c r="S553" s="298" t="inlineStr">
        <is>
          <t>Wrong invoice number</t>
        </is>
      </c>
      <c r="T553" s="299" t="n">
        <v>45793</v>
      </c>
      <c r="U553" s="298" t="inlineStr">
        <is>
          <t>BTT25-0001021</t>
        </is>
      </c>
      <c r="V553" s="566" t="n"/>
      <c r="W553" s="298" t="n"/>
      <c r="X553" s="298" t="n"/>
      <c r="Y553" s="298" t="inlineStr">
        <is>
          <t>ហូលីដេ ឌីហ្សាញ (ខេមបូឌា) ឯ.ក</t>
        </is>
      </c>
      <c r="Z553" s="300" t="n"/>
      <c r="AA553" s="300" t="n"/>
      <c r="AB553" s="298" t="n"/>
      <c r="AC553" s="298" t="n"/>
      <c r="AD553" s="300" t="n">
        <v>394197</v>
      </c>
      <c r="AE553" s="298" t="n"/>
      <c r="AF553" s="562" t="n"/>
      <c r="AN553" s="198" t="inlineStr">
        <is>
          <t>Truking / Service</t>
        </is>
      </c>
    </row>
    <row r="554">
      <c r="A554" s="212">
        <f>A553+1</f>
        <v/>
      </c>
      <c r="B554" s="214" t="inlineStr">
        <is>
          <t>Lift-Off-Ex</t>
        </is>
      </c>
      <c r="C554" s="214" t="inlineStr">
        <is>
          <t>PHNOM PENH AUTONOMOUS PORT "PPAP"</t>
        </is>
      </c>
      <c r="D554" s="215" t="inlineStr">
        <is>
          <t>L001-100044999</t>
        </is>
      </c>
      <c r="E554" s="290" t="inlineStr">
        <is>
          <t>INV20250539571</t>
        </is>
      </c>
      <c r="F554" s="279" t="n">
        <v>45797</v>
      </c>
      <c r="G554" s="216" t="n"/>
      <c r="H554" s="564" t="n"/>
      <c r="I554" s="564" t="n">
        <v>28021</v>
      </c>
      <c r="J554" s="213" t="inlineStr">
        <is>
          <t>អនុញ្ញាត (បានប្រកាស)</t>
        </is>
      </c>
      <c r="K554" s="565">
        <f>L554</f>
        <v/>
      </c>
      <c r="L554" s="563">
        <f>AD554</f>
        <v/>
      </c>
      <c r="M554" s="536">
        <f>I554-L554</f>
        <v/>
      </c>
      <c r="N554" s="213" t="n"/>
      <c r="O554" s="218">
        <f>U554=E554</f>
        <v/>
      </c>
      <c r="P554" s="218">
        <f>MONTH(F554)-MONTH(T554)</f>
        <v/>
      </c>
      <c r="Q554" s="218">
        <f>$B$5=X554</f>
        <v/>
      </c>
      <c r="R554" s="218">
        <f>I554-AD554</f>
        <v/>
      </c>
      <c r="S554" s="298" t="n"/>
      <c r="T554" s="299" t="n">
        <v>45797</v>
      </c>
      <c r="U554" s="298" t="inlineStr">
        <is>
          <t>INV20250539571</t>
        </is>
      </c>
      <c r="V554" s="298" t="n">
        <v>0</v>
      </c>
      <c r="W554" s="298" t="inlineStr">
        <is>
          <t>បុគ្គលជាប់អាករ</t>
        </is>
      </c>
      <c r="X554" s="298" t="inlineStr">
        <is>
          <t>L001-901640009</t>
        </is>
      </c>
      <c r="Y554" s="298" t="inlineStr">
        <is>
          <t>ហូលីដេ ឌីហ្សាញ (ខេមបូឌា) ឯ.ក</t>
        </is>
      </c>
      <c r="Z554" s="300" t="n">
        <v>308154</v>
      </c>
      <c r="AA554" s="300" t="n">
        <v>280140</v>
      </c>
      <c r="AB554" s="298" t="n">
        <v>0</v>
      </c>
      <c r="AC554" s="298" t="inlineStr">
        <is>
          <t>-</t>
        </is>
      </c>
      <c r="AD554" s="300" t="n">
        <v>28014</v>
      </c>
      <c r="AE554" s="298" t="n">
        <v>0</v>
      </c>
      <c r="AF554" s="562" t="n">
        <v>0</v>
      </c>
      <c r="AG554" s="198" t="n">
        <v>0</v>
      </c>
      <c r="AH554" s="198" t="n">
        <v>0</v>
      </c>
      <c r="AI554" s="198" t="n">
        <v>0</v>
      </c>
      <c r="AJ554" s="198" t="n">
        <v>0</v>
      </c>
      <c r="AK554" s="198" t="n">
        <v>0</v>
      </c>
      <c r="AL554" s="198" t="n">
        <v>0.01</v>
      </c>
      <c r="AM554" s="198" t="n">
        <v>0</v>
      </c>
      <c r="AN554" s="198" t="inlineStr">
        <is>
          <t>ចំណូលពីសេវាកម្ម (លើកដាក់ទំនិញ)</t>
        </is>
      </c>
    </row>
    <row r="555">
      <c r="A555" s="212">
        <f>A554+1</f>
        <v/>
      </c>
      <c r="B555" s="214" t="inlineStr">
        <is>
          <t>Trucking &amp; Clearance-Ex</t>
        </is>
      </c>
      <c r="C555" s="214" t="inlineStr">
        <is>
          <t>BRILLIANT TRANSPORT AND TRADING Co., Ltd.</t>
        </is>
      </c>
      <c r="D555" s="215" t="inlineStr">
        <is>
          <t>K002-100089305</t>
        </is>
      </c>
      <c r="E555" s="290" t="inlineStr">
        <is>
          <t>BTT25-0001020</t>
        </is>
      </c>
      <c r="F555" s="279" t="n">
        <v>45793</v>
      </c>
      <c r="G555" s="216" t="n"/>
      <c r="H555" s="564" t="n"/>
      <c r="I555" s="564" t="n">
        <v>203302</v>
      </c>
      <c r="J555" s="213" t="inlineStr">
        <is>
          <t>អនុញ្ញាត (បានប្រកាស)</t>
        </is>
      </c>
      <c r="K555" s="565" t="n"/>
      <c r="L555" s="563">
        <f>I555</f>
        <v/>
      </c>
      <c r="M555" s="536">
        <f>I555-L555</f>
        <v/>
      </c>
      <c r="N555" s="213" t="n"/>
      <c r="O555" s="218">
        <f>U555=E555</f>
        <v/>
      </c>
      <c r="P555" s="218">
        <f>MONTH(F555)-MONTH(T555)</f>
        <v/>
      </c>
      <c r="Q555" s="218">
        <f>$B$5=X555</f>
        <v/>
      </c>
      <c r="R555" s="218">
        <f>I555-AD555</f>
        <v/>
      </c>
      <c r="S555" s="298" t="n"/>
      <c r="T555" s="299" t="n">
        <v>45793</v>
      </c>
      <c r="U555" s="298" t="inlineStr">
        <is>
          <t>BTT25-0001020</t>
        </is>
      </c>
      <c r="V555" s="298" t="n"/>
      <c r="W555" s="298" t="n"/>
      <c r="X555" s="298" t="n"/>
      <c r="Y555" s="298" t="inlineStr">
        <is>
          <t>ហូលីដេ ឌីហ្សាញ (ខេមបូឌា) ឯ.ក</t>
        </is>
      </c>
      <c r="Z555" s="300" t="n"/>
      <c r="AA555" s="300" t="n"/>
      <c r="AB555" s="298" t="n"/>
      <c r="AC555" s="298" t="n"/>
      <c r="AD555" s="300" t="n">
        <v>203302</v>
      </c>
      <c r="AE555" s="298" t="n"/>
      <c r="AF555" s="562" t="n"/>
      <c r="AN555" s="198" t="inlineStr">
        <is>
          <t>Truking / Service</t>
        </is>
      </c>
    </row>
    <row r="556">
      <c r="A556" s="212">
        <f>A555+1</f>
        <v/>
      </c>
      <c r="B556" s="214" t="inlineStr">
        <is>
          <t>Lift-Off-Ex</t>
        </is>
      </c>
      <c r="C556" s="214" t="inlineStr">
        <is>
          <t>PHNOM PENH AUTONOMOUS PORT "PPAP"</t>
        </is>
      </c>
      <c r="D556" s="215" t="inlineStr">
        <is>
          <t>L001-100044999</t>
        </is>
      </c>
      <c r="E556" s="290" t="inlineStr">
        <is>
          <t>INV20250539579</t>
        </is>
      </c>
      <c r="F556" s="279" t="n">
        <v>45797</v>
      </c>
      <c r="G556" s="216" t="n"/>
      <c r="H556" s="564" t="n"/>
      <c r="I556" s="564" t="n">
        <v>28021</v>
      </c>
      <c r="J556" s="213" t="inlineStr">
        <is>
          <t>អនុញ្ញាត (បានប្រកាស)</t>
        </is>
      </c>
      <c r="K556" s="565">
        <f>L556</f>
        <v/>
      </c>
      <c r="L556" s="563">
        <f>AD556</f>
        <v/>
      </c>
      <c r="M556" s="536">
        <f>I556-L556</f>
        <v/>
      </c>
      <c r="N556" s="213" t="n"/>
      <c r="O556" s="218">
        <f>U556=E556</f>
        <v/>
      </c>
      <c r="P556" s="218">
        <f>MONTH(F556)-MONTH(T556)</f>
        <v/>
      </c>
      <c r="Q556" s="218">
        <f>$B$5=X556</f>
        <v/>
      </c>
      <c r="R556" s="218">
        <f>I556-AD556</f>
        <v/>
      </c>
      <c r="S556" s="298" t="n"/>
      <c r="T556" s="299" t="n">
        <v>45797</v>
      </c>
      <c r="U556" s="298" t="inlineStr">
        <is>
          <t>INV20250539579</t>
        </is>
      </c>
      <c r="V556" s="298" t="n">
        <v>0</v>
      </c>
      <c r="W556" s="298" t="inlineStr">
        <is>
          <t>បុគ្គលជាប់អាករ</t>
        </is>
      </c>
      <c r="X556" s="298" t="inlineStr">
        <is>
          <t>L001-901640009</t>
        </is>
      </c>
      <c r="Y556" s="298" t="inlineStr">
        <is>
          <t>ហូលីដេ ឌីហ្សាញ (ខេមបូឌា) ឯ.ក</t>
        </is>
      </c>
      <c r="Z556" s="300" t="n">
        <v>308154</v>
      </c>
      <c r="AA556" s="300" t="n">
        <v>280140</v>
      </c>
      <c r="AB556" s="298" t="n">
        <v>0</v>
      </c>
      <c r="AC556" s="298" t="inlineStr">
        <is>
          <t>-</t>
        </is>
      </c>
      <c r="AD556" s="300" t="n">
        <v>28014</v>
      </c>
      <c r="AE556" s="298" t="n">
        <v>0</v>
      </c>
      <c r="AF556" s="562" t="n">
        <v>0</v>
      </c>
      <c r="AG556" s="198" t="n">
        <v>0</v>
      </c>
      <c r="AH556" s="198" t="n">
        <v>0</v>
      </c>
      <c r="AI556" s="198" t="n">
        <v>0</v>
      </c>
      <c r="AJ556" s="198" t="n">
        <v>0</v>
      </c>
      <c r="AK556" s="198" t="n">
        <v>0</v>
      </c>
      <c r="AL556" s="198" t="n">
        <v>0.01</v>
      </c>
      <c r="AM556" s="198" t="n">
        <v>0</v>
      </c>
      <c r="AN556" s="198" t="inlineStr">
        <is>
          <t>ចំណូលពីសេវាកម្ម (លើកដាក់ទំនិញ)</t>
        </is>
      </c>
    </row>
    <row r="557">
      <c r="A557" s="212">
        <f>A556+1</f>
        <v/>
      </c>
      <c r="B557" s="214" t="inlineStr">
        <is>
          <t>Lift-Off-Ex</t>
        </is>
      </c>
      <c r="C557" s="214" t="inlineStr">
        <is>
          <t>Port Autonome Du Sihanoukville</t>
        </is>
      </c>
      <c r="D557" s="215" t="inlineStr">
        <is>
          <t>L001-100044638</t>
        </is>
      </c>
      <c r="E557" s="290" t="n">
        <v>202500105844</v>
      </c>
      <c r="F557" s="279" t="n">
        <v>45785</v>
      </c>
      <c r="G557" s="216" t="n"/>
      <c r="H557" s="564" t="n"/>
      <c r="I557" s="564" t="n">
        <v>6807</v>
      </c>
      <c r="J557" s="213" t="inlineStr">
        <is>
          <t>អនុញ្ញាត (បានប្រកាស)</t>
        </is>
      </c>
      <c r="K557" s="565" t="n"/>
      <c r="L557" s="563">
        <f>I557</f>
        <v/>
      </c>
      <c r="M557" s="536">
        <f>I557-L557</f>
        <v/>
      </c>
      <c r="N557" s="213" t="n"/>
      <c r="O557" s="218">
        <f>U557=E557</f>
        <v/>
      </c>
      <c r="P557" s="218">
        <f>MONTH(F557)-MONTH(T557)</f>
        <v/>
      </c>
      <c r="Q557" s="218">
        <f>$B$5=X557</f>
        <v/>
      </c>
      <c r="R557" s="218">
        <f>I557-AD557</f>
        <v/>
      </c>
      <c r="S557" s="298" t="n"/>
      <c r="T557" s="299" t="n">
        <v>45785</v>
      </c>
      <c r="U557" s="298" t="n">
        <v>202500105844</v>
      </c>
      <c r="V557" s="298" t="n"/>
      <c r="W557" s="298" t="inlineStr">
        <is>
          <t>បុគ្គលជាប់អាករ</t>
        </is>
      </c>
      <c r="X557" s="298" t="inlineStr">
        <is>
          <t>L001-901640009</t>
        </is>
      </c>
      <c r="Y557" s="298" t="inlineStr">
        <is>
          <t>ហូលីដេ ឌីហ្សាញ (ខេមបូឌា) ឯ.ក</t>
        </is>
      </c>
      <c r="Z557" s="300" t="n">
        <v>74875</v>
      </c>
      <c r="AA557" s="300" t="n">
        <v>68068</v>
      </c>
      <c r="AB557" s="298" t="n">
        <v>0</v>
      </c>
      <c r="AC557" s="298" t="inlineStr">
        <is>
          <t>-</t>
        </is>
      </c>
      <c r="AD557" s="300" t="n">
        <v>6807</v>
      </c>
      <c r="AE557" s="298" t="n"/>
      <c r="AF557" s="562" t="n"/>
    </row>
    <row r="558">
      <c r="A558" s="212">
        <f>A557+1</f>
        <v/>
      </c>
      <c r="B558" s="214" t="inlineStr">
        <is>
          <t>Trucking &amp; Clearance-Ex</t>
        </is>
      </c>
      <c r="C558" s="214" t="inlineStr">
        <is>
          <t>BRILLIANT TRANSPORT AND TRADING Co., Ltd.</t>
        </is>
      </c>
      <c r="D558" s="215" t="inlineStr">
        <is>
          <t>K002-100089305</t>
        </is>
      </c>
      <c r="E558" s="290" t="inlineStr">
        <is>
          <t>BTT25-0000981</t>
        </is>
      </c>
      <c r="F558" s="279" t="n">
        <v>45786</v>
      </c>
      <c r="G558" s="216" t="n"/>
      <c r="H558" s="564" t="n"/>
      <c r="I558" s="564" t="n">
        <v>398299</v>
      </c>
      <c r="J558" s="213" t="inlineStr">
        <is>
          <t>អនុញ្ញាត (បានប្រកាស)</t>
        </is>
      </c>
      <c r="K558" s="565" t="n"/>
      <c r="L558" s="563">
        <f>I558</f>
        <v/>
      </c>
      <c r="M558" s="536">
        <f>I558-L558</f>
        <v/>
      </c>
      <c r="N558" s="213" t="n"/>
      <c r="O558" s="218">
        <f>U558=E558</f>
        <v/>
      </c>
      <c r="P558" s="218">
        <f>MONTH(F558)-MONTH(T558)</f>
        <v/>
      </c>
      <c r="Q558" s="218">
        <f>$B$5=X558</f>
        <v/>
      </c>
      <c r="R558" s="218">
        <f>I558-AD558</f>
        <v/>
      </c>
      <c r="S558" s="298" t="n"/>
      <c r="T558" s="299" t="n">
        <v>45786</v>
      </c>
      <c r="U558" s="298" t="inlineStr">
        <is>
          <t>BTT25-0000981</t>
        </is>
      </c>
      <c r="V558" s="298" t="n"/>
      <c r="W558" s="298" t="n"/>
      <c r="X558" s="298" t="n"/>
      <c r="Y558" s="298" t="inlineStr">
        <is>
          <t>ហូលីដេ ឌីហ្សាញ (ខេមបូឌា) ឯ.ក</t>
        </is>
      </c>
      <c r="Z558" s="300" t="n"/>
      <c r="AA558" s="300" t="n"/>
      <c r="AB558" s="298" t="n"/>
      <c r="AC558" s="298" t="n"/>
      <c r="AD558" s="300" t="n">
        <v>398299</v>
      </c>
      <c r="AE558" s="298" t="n"/>
      <c r="AF558" s="562" t="n"/>
      <c r="AN558" s="198" t="inlineStr">
        <is>
          <t>Truking / Service</t>
        </is>
      </c>
    </row>
    <row r="559">
      <c r="A559" s="212">
        <f>A558+1</f>
        <v/>
      </c>
      <c r="B559" s="214" t="inlineStr">
        <is>
          <t>Trucking &amp; Clearance-Ex</t>
        </is>
      </c>
      <c r="C559" s="214" t="inlineStr">
        <is>
          <t>WANAKA LOGISTICS CO., LTD.</t>
        </is>
      </c>
      <c r="D559" s="215" t="inlineStr">
        <is>
          <t>K005-901907953</t>
        </is>
      </c>
      <c r="E559" s="290" t="inlineStr">
        <is>
          <t>WL25-002072</t>
        </is>
      </c>
      <c r="F559" s="279" t="n">
        <v>45805</v>
      </c>
      <c r="G559" s="216" t="n"/>
      <c r="H559" s="564" t="n"/>
      <c r="I559" s="564" t="n">
        <v>468585</v>
      </c>
      <c r="J559" s="213" t="inlineStr">
        <is>
          <t>អនុញ្ញាត (បានប្រកាស)</t>
        </is>
      </c>
      <c r="K559" s="565" t="n"/>
      <c r="L559" s="563">
        <f>I559</f>
        <v/>
      </c>
      <c r="M559" s="536">
        <f>I559-L559</f>
        <v/>
      </c>
      <c r="N559" s="213" t="n"/>
      <c r="O559" s="218">
        <f>U559=E559</f>
        <v/>
      </c>
      <c r="P559" s="218">
        <f>MONTH(F559)-MONTH(T559)</f>
        <v/>
      </c>
      <c r="Q559" s="218">
        <f>$B$5=X559</f>
        <v/>
      </c>
      <c r="R559" s="218">
        <f>I559-AD559</f>
        <v/>
      </c>
      <c r="S559" s="298" t="n"/>
      <c r="T559" s="299" t="n">
        <v>45805</v>
      </c>
      <c r="U559" s="298" t="inlineStr">
        <is>
          <t>WL25-002072</t>
        </is>
      </c>
      <c r="V559" s="298" t="n"/>
      <c r="W559" s="298" t="n"/>
      <c r="X559" s="298" t="n"/>
      <c r="Y559" s="298" t="inlineStr">
        <is>
          <t>ហូលីដេ ឌីហ្សាញ (ខេមបូឌា) ឯ.ក</t>
        </is>
      </c>
      <c r="Z559" s="300" t="n"/>
      <c r="AA559" s="300" t="n"/>
      <c r="AB559" s="298" t="n"/>
      <c r="AC559" s="298" t="n"/>
      <c r="AD559" s="300" t="n">
        <v>468585</v>
      </c>
      <c r="AE559" s="298" t="n"/>
      <c r="AF559" s="562" t="n"/>
    </row>
    <row r="560">
      <c r="A560" s="212">
        <f>A559+1</f>
        <v/>
      </c>
      <c r="B560" s="214" t="inlineStr">
        <is>
          <t>Lift-Off-Ex</t>
        </is>
      </c>
      <c r="C560" s="214" t="inlineStr">
        <is>
          <t>PHNOM PENH AUTONOMOUS PORT "PPAP"</t>
        </is>
      </c>
      <c r="D560" s="215" t="inlineStr">
        <is>
          <t>L001-100044999</t>
        </is>
      </c>
      <c r="E560" s="290" t="inlineStr">
        <is>
          <t>INV20250542471</t>
        </is>
      </c>
      <c r="F560" s="279" t="n">
        <v>45805</v>
      </c>
      <c r="G560" s="216" t="n"/>
      <c r="H560" s="564" t="n"/>
      <c r="I560" s="564" t="n">
        <v>28021</v>
      </c>
      <c r="J560" s="213" t="inlineStr">
        <is>
          <t>អនុញ្ញាត (បានប្រកាស)</t>
        </is>
      </c>
      <c r="K560" s="565" t="n"/>
      <c r="L560" s="563">
        <f>I560</f>
        <v/>
      </c>
      <c r="M560" s="536">
        <f>I560-L560</f>
        <v/>
      </c>
      <c r="N560" s="213" t="n"/>
      <c r="O560" s="218">
        <f>U560=E560</f>
        <v/>
      </c>
      <c r="P560" s="218">
        <f>MONTH(F560)-MONTH(T560)</f>
        <v/>
      </c>
      <c r="Q560" s="218">
        <f>$B$5=X560</f>
        <v/>
      </c>
      <c r="R560" s="218">
        <f>I560-AD560</f>
        <v/>
      </c>
      <c r="S560" s="298" t="n"/>
      <c r="T560" s="299" t="n">
        <v>45805</v>
      </c>
      <c r="U560" s="298" t="inlineStr">
        <is>
          <t>INV20250542471</t>
        </is>
      </c>
      <c r="V560" s="298" t="n">
        <v>0</v>
      </c>
      <c r="W560" s="298" t="inlineStr">
        <is>
          <t>បុគ្គលជាប់អាករ</t>
        </is>
      </c>
      <c r="X560" s="298" t="inlineStr">
        <is>
          <t>L001-901640009</t>
        </is>
      </c>
      <c r="Y560" s="298" t="inlineStr">
        <is>
          <t>ហូលីដេ ឌីហ្សាញ (ខេមបូឌា) ឯ.ក</t>
        </is>
      </c>
      <c r="Z560" s="300" t="n">
        <v>308231</v>
      </c>
      <c r="AA560" s="300" t="n">
        <v>280210</v>
      </c>
      <c r="AB560" s="298" t="n">
        <v>0</v>
      </c>
      <c r="AC560" s="298" t="inlineStr">
        <is>
          <t>-</t>
        </is>
      </c>
      <c r="AD560" s="300" t="n">
        <v>28021</v>
      </c>
      <c r="AE560" s="298" t="n">
        <v>0</v>
      </c>
      <c r="AF560" s="562" t="n">
        <v>0</v>
      </c>
      <c r="AG560" s="198" t="n">
        <v>0</v>
      </c>
      <c r="AH560" s="198" t="n">
        <v>0</v>
      </c>
      <c r="AI560" s="198" t="n">
        <v>0</v>
      </c>
      <c r="AJ560" s="198" t="n">
        <v>0</v>
      </c>
      <c r="AK560" s="198" t="n">
        <v>0</v>
      </c>
      <c r="AL560" s="198" t="n">
        <v>0.01</v>
      </c>
      <c r="AM560" s="198" t="n">
        <v>0</v>
      </c>
      <c r="AN560" s="198" t="inlineStr">
        <is>
          <t>ចំណូលពីសេវាកម្ម (លើកដាក់ទំនិញ)</t>
        </is>
      </c>
    </row>
    <row r="561">
      <c r="A561" s="212">
        <f>A560+1</f>
        <v/>
      </c>
      <c r="B561" s="214" t="inlineStr">
        <is>
          <t>Trucking &amp; Clearance-Ex</t>
        </is>
      </c>
      <c r="C561" s="214" t="inlineStr">
        <is>
          <t>WANAKA LOGISTICS CO., LTD.</t>
        </is>
      </c>
      <c r="D561" s="215" t="inlineStr">
        <is>
          <t>K005-901907953</t>
        </is>
      </c>
      <c r="E561" s="290" t="inlineStr">
        <is>
          <t>WL25-001902</t>
        </is>
      </c>
      <c r="F561" s="279" t="n">
        <v>45805</v>
      </c>
      <c r="G561" s="216" t="n"/>
      <c r="H561" s="564" t="n"/>
      <c r="I561" s="564" t="n">
        <v>176132</v>
      </c>
      <c r="J561" s="213" t="inlineStr">
        <is>
          <t>អនុញ្ញាត (បានប្រកាស)</t>
        </is>
      </c>
      <c r="K561" s="565" t="n"/>
      <c r="L561" s="563">
        <f>I561</f>
        <v/>
      </c>
      <c r="M561" s="536">
        <f>I561-L561</f>
        <v/>
      </c>
      <c r="N561" s="213" t="n"/>
      <c r="O561" s="218">
        <f>U561=E561</f>
        <v/>
      </c>
      <c r="P561" s="218">
        <f>MONTH(F561)-MONTH(T561)</f>
        <v/>
      </c>
      <c r="Q561" s="218">
        <f>$B$5=X561</f>
        <v/>
      </c>
      <c r="R561" s="218">
        <f>I561-AD561</f>
        <v/>
      </c>
      <c r="S561" s="298" t="n"/>
      <c r="T561" s="299" t="n">
        <v>45805</v>
      </c>
      <c r="U561" s="298" t="inlineStr">
        <is>
          <t>WL25-001902</t>
        </is>
      </c>
      <c r="V561" s="298" t="n"/>
      <c r="W561" s="298" t="n"/>
      <c r="X561" s="298" t="n"/>
      <c r="Y561" s="298" t="inlineStr">
        <is>
          <t>ហូលីដេ ឌីហ្សាញ (ខេមបូឌា) ឯ.ក</t>
        </is>
      </c>
      <c r="Z561" s="300" t="n"/>
      <c r="AA561" s="300" t="n"/>
      <c r="AB561" s="298" t="n"/>
      <c r="AC561" s="298" t="n"/>
      <c r="AD561" s="300" t="n">
        <v>176132</v>
      </c>
      <c r="AE561" s="298" t="n"/>
      <c r="AF561" s="562" t="n"/>
    </row>
    <row r="562">
      <c r="A562" s="212">
        <f>A561+1</f>
        <v/>
      </c>
      <c r="B562" s="214" t="inlineStr">
        <is>
          <t>Lift-Off-Ex</t>
        </is>
      </c>
      <c r="C562" s="214" t="inlineStr">
        <is>
          <t>PHNOM PENH AUTONOMOUS PORT "PPAP"</t>
        </is>
      </c>
      <c r="D562" s="215" t="inlineStr">
        <is>
          <t>L001-100044999</t>
        </is>
      </c>
      <c r="E562" s="290" t="inlineStr">
        <is>
          <t>INV20250542472</t>
        </is>
      </c>
      <c r="F562" s="279" t="n">
        <v>45805</v>
      </c>
      <c r="G562" s="216" t="n"/>
      <c r="H562" s="564" t="n"/>
      <c r="I562" s="564" t="n">
        <v>28021</v>
      </c>
      <c r="J562" s="213" t="inlineStr">
        <is>
          <t>អនុញ្ញាត (បានប្រកាស)</t>
        </is>
      </c>
      <c r="K562" s="565" t="n"/>
      <c r="L562" s="563">
        <f>I562</f>
        <v/>
      </c>
      <c r="M562" s="536">
        <f>I562-L562</f>
        <v/>
      </c>
      <c r="N562" s="213" t="n"/>
      <c r="O562" s="218">
        <f>U562=E562</f>
        <v/>
      </c>
      <c r="P562" s="218">
        <f>MONTH(F562)-MONTH(T562)</f>
        <v/>
      </c>
      <c r="Q562" s="218">
        <f>$B$5=X562</f>
        <v/>
      </c>
      <c r="R562" s="218">
        <f>I562-AD562</f>
        <v/>
      </c>
      <c r="S562" s="298" t="n"/>
      <c r="T562" s="299" t="n">
        <v>45805</v>
      </c>
      <c r="U562" s="298" t="inlineStr">
        <is>
          <t>INV20250542472</t>
        </is>
      </c>
      <c r="V562" s="298" t="n">
        <v>0</v>
      </c>
      <c r="W562" s="298" t="inlineStr">
        <is>
          <t>បុគ្គលជាប់អាករ</t>
        </is>
      </c>
      <c r="X562" s="298" t="inlineStr">
        <is>
          <t>L001-901640009</t>
        </is>
      </c>
      <c r="Y562" s="298" t="inlineStr">
        <is>
          <t>ហូលីដេ ឌីហ្សាញ (ខេមបូឌា) ឯ.ក</t>
        </is>
      </c>
      <c r="Z562" s="300" t="n">
        <v>308231</v>
      </c>
      <c r="AA562" s="300" t="n">
        <v>280210</v>
      </c>
      <c r="AB562" s="298" t="n">
        <v>0</v>
      </c>
      <c r="AC562" s="298" t="inlineStr">
        <is>
          <t>-</t>
        </is>
      </c>
      <c r="AD562" s="300" t="n">
        <v>28021</v>
      </c>
      <c r="AE562" s="298" t="n">
        <v>0</v>
      </c>
      <c r="AF562" s="562" t="n">
        <v>0</v>
      </c>
      <c r="AG562" s="198" t="n">
        <v>0</v>
      </c>
      <c r="AH562" s="198" t="n">
        <v>0</v>
      </c>
      <c r="AI562" s="198" t="n">
        <v>0</v>
      </c>
      <c r="AJ562" s="198" t="n">
        <v>0</v>
      </c>
      <c r="AK562" s="198" t="n">
        <v>0</v>
      </c>
      <c r="AL562" s="198" t="n">
        <v>0.01</v>
      </c>
      <c r="AM562" s="198" t="n">
        <v>0</v>
      </c>
      <c r="AN562" s="198" t="inlineStr">
        <is>
          <t>ចំណូលពីសេវាកម្ម (លើកដាក់ទំនិញ)</t>
        </is>
      </c>
    </row>
    <row r="563">
      <c r="A563" s="212">
        <f>A562+1</f>
        <v/>
      </c>
      <c r="B563" s="214" t="inlineStr">
        <is>
          <t>Trucking &amp; Clearance-Ex</t>
        </is>
      </c>
      <c r="C563" s="214" t="inlineStr">
        <is>
          <t>WANAKA LOGISTICS CO., LTD.</t>
        </is>
      </c>
      <c r="D563" s="215" t="inlineStr">
        <is>
          <t>K005-901907953</t>
        </is>
      </c>
      <c r="E563" s="290" t="inlineStr">
        <is>
          <t>WL25-001901</t>
        </is>
      </c>
      <c r="F563" s="279" t="n">
        <v>45805</v>
      </c>
      <c r="G563" s="216" t="n"/>
      <c r="H563" s="564" t="n"/>
      <c r="I563" s="564" t="n">
        <v>156117</v>
      </c>
      <c r="J563" s="213" t="inlineStr">
        <is>
          <t>អនុញ្ញាត (បានប្រកាស)</t>
        </is>
      </c>
      <c r="K563" s="565" t="n"/>
      <c r="L563" s="563">
        <f>I563</f>
        <v/>
      </c>
      <c r="M563" s="536">
        <f>I563-L563</f>
        <v/>
      </c>
      <c r="N563" s="213" t="n"/>
      <c r="O563" s="218">
        <f>U563=E563</f>
        <v/>
      </c>
      <c r="P563" s="218">
        <f>MONTH(F563)-MONTH(T563)</f>
        <v/>
      </c>
      <c r="Q563" s="218">
        <f>$B$5=X563</f>
        <v/>
      </c>
      <c r="R563" s="218">
        <f>I563-AD563</f>
        <v/>
      </c>
      <c r="S563" s="298" t="n"/>
      <c r="T563" s="299" t="n">
        <v>45805</v>
      </c>
      <c r="U563" s="298" t="inlineStr">
        <is>
          <t>WL25-001901</t>
        </is>
      </c>
      <c r="V563" s="298" t="n"/>
      <c r="W563" s="298" t="n"/>
      <c r="X563" s="298" t="n"/>
      <c r="Y563" s="298" t="inlineStr">
        <is>
          <t>ហូលីដេ ឌីហ្សាញ (ខេមបូឌា) ឯ.ក</t>
        </is>
      </c>
      <c r="Z563" s="300" t="n"/>
      <c r="AA563" s="300" t="n"/>
      <c r="AB563" s="298" t="n"/>
      <c r="AC563" s="298" t="n"/>
      <c r="AD563" s="300" t="n">
        <v>156117</v>
      </c>
      <c r="AE563" s="298" t="n"/>
      <c r="AF563" s="562" t="n"/>
    </row>
    <row r="564">
      <c r="A564" s="212">
        <f>A563+1</f>
        <v/>
      </c>
      <c r="B564" s="214" t="inlineStr">
        <is>
          <t>Storage 40 Feet Container-Ex</t>
        </is>
      </c>
      <c r="C564" s="214" t="inlineStr">
        <is>
          <t>PHNOM PENH AUTONOMOUS PORT "PPAP"</t>
        </is>
      </c>
      <c r="D564" s="215" t="inlineStr">
        <is>
          <t>L001-100044999</t>
        </is>
      </c>
      <c r="E564" s="290" t="inlineStr">
        <is>
          <t>INV20250542851</t>
        </is>
      </c>
      <c r="F564" s="279" t="n">
        <v>45807</v>
      </c>
      <c r="G564" s="216" t="n"/>
      <c r="H564" s="564" t="n"/>
      <c r="I564" s="564" t="n">
        <v>2403</v>
      </c>
      <c r="J564" s="213" t="inlineStr">
        <is>
          <t>អនុញ្ញាត (បានប្រកាស)</t>
        </is>
      </c>
      <c r="K564" s="565" t="n"/>
      <c r="L564" s="563">
        <f>I564</f>
        <v/>
      </c>
      <c r="M564" s="536">
        <f>I564-L564</f>
        <v/>
      </c>
      <c r="N564" s="213" t="n"/>
      <c r="O564" s="218">
        <f>U564=E564</f>
        <v/>
      </c>
      <c r="P564" s="218">
        <f>MONTH(F564)-MONTH(T564)</f>
        <v/>
      </c>
      <c r="Q564" s="218">
        <f>$B$5=X564</f>
        <v/>
      </c>
      <c r="R564" s="218">
        <f>I564-AD564</f>
        <v/>
      </c>
      <c r="S564" s="298" t="n"/>
      <c r="T564" s="299" t="n">
        <v>45807</v>
      </c>
      <c r="U564" s="298" t="inlineStr">
        <is>
          <t>INV20250542851</t>
        </is>
      </c>
      <c r="V564" s="298" t="n">
        <v>0</v>
      </c>
      <c r="W564" s="298" t="inlineStr">
        <is>
          <t>បុគ្គលជាប់អាករ</t>
        </is>
      </c>
      <c r="X564" s="298" t="inlineStr">
        <is>
          <t>L001-901640009</t>
        </is>
      </c>
      <c r="Y564" s="298" t="inlineStr">
        <is>
          <t>ហូលីដេ ឌីហ្សាញ (ខេមបូឌា) ឯ.ក</t>
        </is>
      </c>
      <c r="Z564" s="300" t="n">
        <v>26433</v>
      </c>
      <c r="AA564" s="300" t="n">
        <v>24030</v>
      </c>
      <c r="AB564" s="298" t="n">
        <v>0</v>
      </c>
      <c r="AC564" s="298" t="inlineStr">
        <is>
          <t>-</t>
        </is>
      </c>
      <c r="AD564" s="300" t="n">
        <v>2403</v>
      </c>
      <c r="AE564" s="298" t="n">
        <v>0</v>
      </c>
      <c r="AF564" s="562" t="n">
        <v>0</v>
      </c>
      <c r="AG564" s="198" t="n">
        <v>0</v>
      </c>
      <c r="AH564" s="198" t="n">
        <v>0</v>
      </c>
      <c r="AI564" s="198" t="n">
        <v>0</v>
      </c>
      <c r="AJ564" s="198" t="n">
        <v>0</v>
      </c>
      <c r="AK564" s="198" t="n">
        <v>0</v>
      </c>
      <c r="AL564" s="198" t="n">
        <v>0.01</v>
      </c>
      <c r="AM564" s="198" t="n">
        <v>0</v>
      </c>
      <c r="AN564" s="198" t="inlineStr">
        <is>
          <t>ចំណូលពីសេវាកម្ម (លើកដាក់ទំនិញ)</t>
        </is>
      </c>
    </row>
    <row r="565">
      <c r="A565" s="212">
        <f>A564+1</f>
        <v/>
      </c>
      <c r="B565" s="214" t="inlineStr">
        <is>
          <t>Lift-Off-Ex</t>
        </is>
      </c>
      <c r="C565" s="214" t="inlineStr">
        <is>
          <t>PHNOM PENH AUTONOMOUS PORT "PPAP"</t>
        </is>
      </c>
      <c r="D565" s="215" t="inlineStr">
        <is>
          <t>L001-100044999</t>
        </is>
      </c>
      <c r="E565" s="290" t="inlineStr">
        <is>
          <t>INV20250542477</t>
        </is>
      </c>
      <c r="F565" s="279" t="n">
        <v>45805</v>
      </c>
      <c r="G565" s="216" t="n"/>
      <c r="H565" s="564" t="n"/>
      <c r="I565" s="564" t="n">
        <v>28021</v>
      </c>
      <c r="J565" s="213" t="inlineStr">
        <is>
          <t>អនុញ្ញាត (បានប្រកាស)</t>
        </is>
      </c>
      <c r="K565" s="565" t="n"/>
      <c r="L565" s="563">
        <f>I565</f>
        <v/>
      </c>
      <c r="M565" s="536">
        <f>I565-L565</f>
        <v/>
      </c>
      <c r="N565" s="213" t="n"/>
      <c r="O565" s="218">
        <f>U565=E565</f>
        <v/>
      </c>
      <c r="P565" s="218">
        <f>MONTH(F565)-MONTH(T565)</f>
        <v/>
      </c>
      <c r="Q565" s="218">
        <f>$B$5=X565</f>
        <v/>
      </c>
      <c r="R565" s="218">
        <f>I565-AD565</f>
        <v/>
      </c>
      <c r="S565" s="298" t="n"/>
      <c r="T565" s="299" t="n">
        <v>45805</v>
      </c>
      <c r="U565" s="298" t="inlineStr">
        <is>
          <t>INV20250542477</t>
        </is>
      </c>
      <c r="V565" s="298" t="n">
        <v>0</v>
      </c>
      <c r="W565" s="298" t="inlineStr">
        <is>
          <t>បុគ្គលជាប់អាករ</t>
        </is>
      </c>
      <c r="X565" s="298" t="inlineStr">
        <is>
          <t>L001-901640009</t>
        </is>
      </c>
      <c r="Y565" s="298" t="inlineStr">
        <is>
          <t>ហូលីដេ ឌីហ្សាញ (ខេមបូឌា) ឯ.ក</t>
        </is>
      </c>
      <c r="Z565" s="300" t="n">
        <v>308231</v>
      </c>
      <c r="AA565" s="300" t="n">
        <v>280210</v>
      </c>
      <c r="AB565" s="298" t="n">
        <v>0</v>
      </c>
      <c r="AC565" s="298" t="inlineStr">
        <is>
          <t>-</t>
        </is>
      </c>
      <c r="AD565" s="300" t="n">
        <v>28021</v>
      </c>
      <c r="AE565" s="298" t="n">
        <v>0</v>
      </c>
      <c r="AF565" s="562" t="n">
        <v>0</v>
      </c>
      <c r="AG565" s="198" t="n">
        <v>0</v>
      </c>
      <c r="AH565" s="198" t="n">
        <v>0</v>
      </c>
      <c r="AI565" s="198" t="n">
        <v>0</v>
      </c>
      <c r="AJ565" s="198" t="n">
        <v>0</v>
      </c>
      <c r="AK565" s="198" t="n">
        <v>0</v>
      </c>
      <c r="AL565" s="198" t="n">
        <v>0.01</v>
      </c>
      <c r="AM565" s="198" t="n">
        <v>0</v>
      </c>
      <c r="AN565" s="198" t="inlineStr">
        <is>
          <t>ចំណូលពីសេវាកម្ម (លើកដាក់ទំនិញ)</t>
        </is>
      </c>
    </row>
    <row r="566">
      <c r="A566" s="212">
        <f>A565+1</f>
        <v/>
      </c>
      <c r="B566" s="214" t="inlineStr">
        <is>
          <t>Trucking &amp; Clearance-Ex</t>
        </is>
      </c>
      <c r="C566" s="214" t="inlineStr">
        <is>
          <t>WANAKA LOGISTICS CO., LTD.</t>
        </is>
      </c>
      <c r="D566" s="215" t="inlineStr">
        <is>
          <t>K005-901907953</t>
        </is>
      </c>
      <c r="E566" s="290" t="inlineStr">
        <is>
          <t>WL25-001900</t>
        </is>
      </c>
      <c r="F566" s="279" t="n">
        <v>45805</v>
      </c>
      <c r="G566" s="216" t="n"/>
      <c r="H566" s="564" t="n"/>
      <c r="I566" s="564" t="n">
        <v>156117</v>
      </c>
      <c r="J566" s="213" t="inlineStr">
        <is>
          <t>អនុញ្ញាត (បានប្រកាស)</t>
        </is>
      </c>
      <c r="K566" s="565" t="n"/>
      <c r="L566" s="563">
        <f>I566</f>
        <v/>
      </c>
      <c r="M566" s="536">
        <f>I566-L566</f>
        <v/>
      </c>
      <c r="N566" s="213" t="n"/>
      <c r="O566" s="218">
        <f>U566=E566</f>
        <v/>
      </c>
      <c r="P566" s="218">
        <f>MONTH(F566)-MONTH(T566)</f>
        <v/>
      </c>
      <c r="Q566" s="218">
        <f>$B$5=X566</f>
        <v/>
      </c>
      <c r="R566" s="218">
        <f>I566-AD566</f>
        <v/>
      </c>
      <c r="S566" s="298" t="n"/>
      <c r="T566" s="299" t="n">
        <v>45805</v>
      </c>
      <c r="U566" s="298" t="inlineStr">
        <is>
          <t>WL25-001900</t>
        </is>
      </c>
      <c r="V566" s="298" t="n"/>
      <c r="W566" s="298" t="n"/>
      <c r="X566" s="298" t="n"/>
      <c r="Y566" s="298" t="inlineStr">
        <is>
          <t>ហូលីដេ ឌីហ្សាញ (ខេមបូឌា) ឯ.ក</t>
        </is>
      </c>
      <c r="Z566" s="300" t="n"/>
      <c r="AA566" s="300" t="n"/>
      <c r="AB566" s="298" t="n"/>
      <c r="AC566" s="298" t="n"/>
      <c r="AD566" s="300" t="n">
        <v>156117</v>
      </c>
      <c r="AE566" s="298" t="n"/>
      <c r="AF566" s="562" t="n"/>
    </row>
    <row r="567">
      <c r="A567" s="212">
        <f>A566+1</f>
        <v/>
      </c>
      <c r="B567" s="214" t="inlineStr">
        <is>
          <t>Lift-Off-Ex</t>
        </is>
      </c>
      <c r="C567" s="214" t="inlineStr">
        <is>
          <t>PHNOM PENH AUTONOMOUS PORT "PPAP"</t>
        </is>
      </c>
      <c r="D567" s="215" t="inlineStr">
        <is>
          <t>L001-100044999</t>
        </is>
      </c>
      <c r="E567" s="290" t="inlineStr">
        <is>
          <t>INV20250542469</t>
        </is>
      </c>
      <c r="F567" s="279" t="n">
        <v>45805</v>
      </c>
      <c r="G567" s="216" t="n"/>
      <c r="H567" s="564" t="n"/>
      <c r="I567" s="564" t="n">
        <v>84063</v>
      </c>
      <c r="J567" s="213" t="inlineStr">
        <is>
          <t>អនុញ្ញាត (បានប្រកាស)</t>
        </is>
      </c>
      <c r="K567" s="565" t="n"/>
      <c r="L567" s="563">
        <f>I567</f>
        <v/>
      </c>
      <c r="M567" s="536">
        <f>I567-L567</f>
        <v/>
      </c>
      <c r="N567" s="213" t="n"/>
      <c r="O567" s="218">
        <f>U567=E567</f>
        <v/>
      </c>
      <c r="P567" s="218">
        <f>MONTH(F567)-MONTH(T567)</f>
        <v/>
      </c>
      <c r="Q567" s="218">
        <f>$B$5=X567</f>
        <v/>
      </c>
      <c r="R567" s="218">
        <f>I567-AD567</f>
        <v/>
      </c>
      <c r="S567" s="298" t="n"/>
      <c r="T567" s="299" t="n">
        <v>45805</v>
      </c>
      <c r="U567" s="298" t="inlineStr">
        <is>
          <t>INV20250542469</t>
        </is>
      </c>
      <c r="V567" s="298" t="n">
        <v>0</v>
      </c>
      <c r="W567" s="298" t="inlineStr">
        <is>
          <t>បុគ្គលជាប់អាករ</t>
        </is>
      </c>
      <c r="X567" s="298" t="inlineStr">
        <is>
          <t>L001-901640009</t>
        </is>
      </c>
      <c r="Y567" s="298" t="inlineStr">
        <is>
          <t>ហូលីដេ ឌីហ្សាញ (ខេមបូឌា) ឯ.ក</t>
        </is>
      </c>
      <c r="Z567" s="300" t="n">
        <v>924693</v>
      </c>
      <c r="AA567" s="300" t="n">
        <v>840630</v>
      </c>
      <c r="AB567" s="298" t="n">
        <v>0</v>
      </c>
      <c r="AC567" s="298" t="inlineStr">
        <is>
          <t>-</t>
        </is>
      </c>
      <c r="AD567" s="300" t="n">
        <v>84063</v>
      </c>
      <c r="AE567" s="298" t="n">
        <v>0</v>
      </c>
      <c r="AF567" s="562" t="n">
        <v>0</v>
      </c>
      <c r="AG567" s="198" t="n">
        <v>0</v>
      </c>
      <c r="AH567" s="198" t="n">
        <v>0</v>
      </c>
      <c r="AI567" s="198" t="n">
        <v>0</v>
      </c>
      <c r="AJ567" s="198" t="n">
        <v>0</v>
      </c>
      <c r="AK567" s="198" t="n">
        <v>0</v>
      </c>
      <c r="AL567" s="198" t="n">
        <v>0.01</v>
      </c>
      <c r="AM567" s="198" t="n">
        <v>0</v>
      </c>
      <c r="AN567" s="198" t="inlineStr">
        <is>
          <t>ចំណូលពីសេវាកម្ម (លើកដាក់ទំនិញ)</t>
        </is>
      </c>
    </row>
    <row r="568">
      <c r="A568" s="212">
        <f>A567+1</f>
        <v/>
      </c>
      <c r="B568" s="214" t="inlineStr">
        <is>
          <t>Trucking &amp; Clearance-Ex</t>
        </is>
      </c>
      <c r="C568" s="214" t="inlineStr">
        <is>
          <t>WANAKA LOGISTICS CO., LTD.</t>
        </is>
      </c>
      <c r="D568" s="215" t="inlineStr">
        <is>
          <t>K005-901907953</t>
        </is>
      </c>
      <c r="E568" s="290" t="inlineStr">
        <is>
          <t>WL25-001899</t>
        </is>
      </c>
      <c r="F568" s="279" t="n">
        <v>45805</v>
      </c>
      <c r="G568" s="216" t="n"/>
      <c r="H568" s="564" t="n"/>
      <c r="I568" s="564" t="n">
        <v>490768</v>
      </c>
      <c r="J568" s="213" t="inlineStr">
        <is>
          <t>អនុញ្ញាត (បានប្រកាស)</t>
        </is>
      </c>
      <c r="K568" s="565" t="n"/>
      <c r="L568" s="563">
        <f>I568</f>
        <v/>
      </c>
      <c r="M568" s="536">
        <f>I568-L568</f>
        <v/>
      </c>
      <c r="N568" s="213" t="n"/>
      <c r="O568" s="218">
        <f>U568=E568</f>
        <v/>
      </c>
      <c r="P568" s="218">
        <f>MONTH(F568)-MONTH(T568)</f>
        <v/>
      </c>
      <c r="Q568" s="218">
        <f>$B$5=X568</f>
        <v/>
      </c>
      <c r="R568" s="218">
        <f>I568-AD568</f>
        <v/>
      </c>
      <c r="S568" s="298" t="n"/>
      <c r="T568" s="299" t="n">
        <v>45805</v>
      </c>
      <c r="U568" s="298" t="inlineStr">
        <is>
          <t>WL25-001899</t>
        </is>
      </c>
      <c r="V568" s="298" t="n"/>
      <c r="W568" s="298" t="n"/>
      <c r="X568" s="298" t="n"/>
      <c r="Y568" s="298" t="inlineStr">
        <is>
          <t>ហូលីដេ ឌីហ្សាញ (ខេមបូឌា) ឯ.ក</t>
        </is>
      </c>
      <c r="Z568" s="300" t="n"/>
      <c r="AA568" s="300" t="n"/>
      <c r="AB568" s="298" t="n"/>
      <c r="AC568" s="298" t="n"/>
      <c r="AD568" s="300" t="n">
        <v>490768</v>
      </c>
      <c r="AE568" s="298" t="n"/>
      <c r="AF568" s="562" t="n"/>
    </row>
    <row r="569">
      <c r="A569" s="212">
        <f>A568+1</f>
        <v/>
      </c>
      <c r="B569" s="214" t="inlineStr">
        <is>
          <t>Lift-Off-Ex</t>
        </is>
      </c>
      <c r="C569" s="214" t="inlineStr">
        <is>
          <t>PHNOM PENH AUTONOMOUS PORT "PPAP"</t>
        </is>
      </c>
      <c r="D569" s="215" t="inlineStr">
        <is>
          <t>L001-100044999</t>
        </is>
      </c>
      <c r="E569" s="290" t="inlineStr">
        <is>
          <t>INV20250542468</t>
        </is>
      </c>
      <c r="F569" s="279" t="n">
        <v>45805</v>
      </c>
      <c r="G569" s="216" t="n"/>
      <c r="H569" s="564" t="n"/>
      <c r="I569" s="564" t="n">
        <v>56042</v>
      </c>
      <c r="J569" s="213" t="inlineStr">
        <is>
          <t>អនុញ្ញាត (បានប្រកាស)</t>
        </is>
      </c>
      <c r="K569" s="565" t="n"/>
      <c r="L569" s="563">
        <f>I569</f>
        <v/>
      </c>
      <c r="M569" s="536">
        <f>I569-L569</f>
        <v/>
      </c>
      <c r="N569" s="213" t="n"/>
      <c r="O569" s="218">
        <f>U569=E569</f>
        <v/>
      </c>
      <c r="P569" s="218">
        <f>MONTH(F569)-MONTH(T569)</f>
        <v/>
      </c>
      <c r="Q569" s="218">
        <f>$B$5=X569</f>
        <v/>
      </c>
      <c r="R569" s="218">
        <f>I569-AD569</f>
        <v/>
      </c>
      <c r="S569" s="298" t="n"/>
      <c r="T569" s="299" t="n">
        <v>45805</v>
      </c>
      <c r="U569" s="298" t="inlineStr">
        <is>
          <t>INV20250542468</t>
        </is>
      </c>
      <c r="V569" s="298" t="n">
        <v>0</v>
      </c>
      <c r="W569" s="298" t="inlineStr">
        <is>
          <t>បុគ្គលជាប់អាករ</t>
        </is>
      </c>
      <c r="X569" s="298" t="inlineStr">
        <is>
          <t>L001-901640009</t>
        </is>
      </c>
      <c r="Y569" s="298" t="inlineStr">
        <is>
          <t>ហូលីដេ ឌីហ្សាញ (ខេមបូឌា) ឯ.ក</t>
        </is>
      </c>
      <c r="Z569" s="300" t="n">
        <v>616462</v>
      </c>
      <c r="AA569" s="300" t="n">
        <v>560420</v>
      </c>
      <c r="AB569" s="298" t="n">
        <v>0</v>
      </c>
      <c r="AC569" s="298" t="inlineStr">
        <is>
          <t>-</t>
        </is>
      </c>
      <c r="AD569" s="300" t="n">
        <v>56042</v>
      </c>
      <c r="AE569" s="298" t="n">
        <v>0</v>
      </c>
      <c r="AF569" s="562" t="n">
        <v>0</v>
      </c>
      <c r="AG569" s="198" t="n">
        <v>0</v>
      </c>
      <c r="AH569" s="198" t="n">
        <v>0</v>
      </c>
      <c r="AI569" s="198" t="n">
        <v>0</v>
      </c>
      <c r="AJ569" s="198" t="n">
        <v>0</v>
      </c>
      <c r="AK569" s="198" t="n">
        <v>0</v>
      </c>
      <c r="AL569" s="198" t="n">
        <v>0.01</v>
      </c>
      <c r="AM569" s="198" t="n">
        <v>0</v>
      </c>
      <c r="AN569" s="198" t="inlineStr">
        <is>
          <t>ចំណូលពីសេវាកម្ម (លើកដាក់ទំនិញ)</t>
        </is>
      </c>
    </row>
    <row r="570">
      <c r="A570" s="212">
        <f>A569+1</f>
        <v/>
      </c>
      <c r="B570" s="214" t="inlineStr">
        <is>
          <t>Trucking &amp; Clearance-Ex</t>
        </is>
      </c>
      <c r="C570" s="214" t="inlineStr">
        <is>
          <t>WANAKA LOGISTICS CO., LTD.</t>
        </is>
      </c>
      <c r="D570" s="215" t="inlineStr">
        <is>
          <t>K005-901907953</t>
        </is>
      </c>
      <c r="E570" s="290" t="inlineStr">
        <is>
          <t>WL25-001898</t>
        </is>
      </c>
      <c r="F570" s="279" t="n">
        <v>45805</v>
      </c>
      <c r="G570" s="216" t="n"/>
      <c r="H570" s="564" t="n"/>
      <c r="I570" s="564" t="n">
        <v>313835</v>
      </c>
      <c r="J570" s="213" t="inlineStr">
        <is>
          <t>អនុញ្ញាត (បានប្រកាស)</t>
        </is>
      </c>
      <c r="K570" s="565">
        <f>L570</f>
        <v/>
      </c>
      <c r="L570" s="563">
        <f>AD570</f>
        <v/>
      </c>
      <c r="M570" s="536">
        <f>I570-L570</f>
        <v/>
      </c>
      <c r="N570" s="213" t="n"/>
      <c r="O570" s="218">
        <f>U570=E570</f>
        <v/>
      </c>
      <c r="P570" s="218">
        <f>MONTH(F570)-MONTH(T570)</f>
        <v/>
      </c>
      <c r="Q570" s="218">
        <f>$B$5=X570</f>
        <v/>
      </c>
      <c r="R570" s="218">
        <f>I570-AD570</f>
        <v/>
      </c>
      <c r="S570" s="298" t="n"/>
      <c r="T570" s="299" t="n">
        <v>45805</v>
      </c>
      <c r="U570" s="298" t="inlineStr">
        <is>
          <t>WL25-001898</t>
        </is>
      </c>
      <c r="V570" s="298" t="n"/>
      <c r="W570" s="298" t="n"/>
      <c r="X570" s="298" t="n"/>
      <c r="Y570" s="298" t="inlineStr">
        <is>
          <t>ហូលីដេ ឌីហ្សាញ (ខេមបូឌា) ឯ.ក</t>
        </is>
      </c>
      <c r="Z570" s="300" t="n"/>
      <c r="AA570" s="300" t="n"/>
      <c r="AB570" s="298" t="n"/>
      <c r="AC570" s="298" t="n"/>
      <c r="AD570" s="300" t="n">
        <v>313834</v>
      </c>
      <c r="AE570" s="298" t="n"/>
      <c r="AF570" s="562" t="n"/>
    </row>
    <row r="571">
      <c r="A571" s="212">
        <f>A570+1</f>
        <v/>
      </c>
      <c r="B571" s="214" t="inlineStr">
        <is>
          <t>Lift-Off-Ex</t>
        </is>
      </c>
      <c r="C571" s="214" t="inlineStr">
        <is>
          <t>PHNOM PENH AUTONOMOUS PORT "PPAP"</t>
        </is>
      </c>
      <c r="D571" s="215" t="inlineStr">
        <is>
          <t>L001-100044999</t>
        </is>
      </c>
      <c r="E571" s="290" t="inlineStr">
        <is>
          <t>INV20250542479</t>
        </is>
      </c>
      <c r="F571" s="279" t="n">
        <v>45805</v>
      </c>
      <c r="G571" s="216" t="n"/>
      <c r="H571" s="564" t="n"/>
      <c r="I571" s="564" t="n">
        <v>28021</v>
      </c>
      <c r="J571" s="213" t="inlineStr">
        <is>
          <t>អនុញ្ញាត (បានប្រកាស)</t>
        </is>
      </c>
      <c r="K571" s="565" t="n"/>
      <c r="L571" s="563">
        <f>I571</f>
        <v/>
      </c>
      <c r="M571" s="536">
        <f>I571-L571</f>
        <v/>
      </c>
      <c r="N571" s="213" t="n"/>
      <c r="O571" s="218">
        <f>U571=E571</f>
        <v/>
      </c>
      <c r="P571" s="218">
        <f>MONTH(F571)-MONTH(T571)</f>
        <v/>
      </c>
      <c r="Q571" s="218">
        <f>$B$5=X571</f>
        <v/>
      </c>
      <c r="R571" s="218">
        <f>I571-AD571</f>
        <v/>
      </c>
      <c r="S571" s="298" t="n"/>
      <c r="T571" s="299" t="n">
        <v>45805</v>
      </c>
      <c r="U571" s="298" t="inlineStr">
        <is>
          <t>INV20250542479</t>
        </is>
      </c>
      <c r="V571" s="298" t="n">
        <v>0</v>
      </c>
      <c r="W571" s="298" t="inlineStr">
        <is>
          <t>បុគ្គលជាប់អាករ</t>
        </is>
      </c>
      <c r="X571" s="298" t="inlineStr">
        <is>
          <t>L001-901640009</t>
        </is>
      </c>
      <c r="Y571" s="298" t="inlineStr">
        <is>
          <t>ហូលីដេ ឌីហ្សាញ (ខេមបូឌា) ឯ.ក</t>
        </is>
      </c>
      <c r="Z571" s="300" t="n">
        <v>308231</v>
      </c>
      <c r="AA571" s="300" t="n">
        <v>280210</v>
      </c>
      <c r="AB571" s="298" t="n">
        <v>0</v>
      </c>
      <c r="AC571" s="298" t="inlineStr">
        <is>
          <t>-</t>
        </is>
      </c>
      <c r="AD571" s="300" t="n">
        <v>28021</v>
      </c>
      <c r="AE571" s="298" t="n">
        <v>0</v>
      </c>
      <c r="AF571" s="562" t="n">
        <v>0</v>
      </c>
      <c r="AG571" s="198" t="n">
        <v>0</v>
      </c>
      <c r="AH571" s="198" t="n">
        <v>0</v>
      </c>
      <c r="AI571" s="198" t="n">
        <v>0</v>
      </c>
      <c r="AJ571" s="198" t="n">
        <v>0</v>
      </c>
      <c r="AK571" s="198" t="n">
        <v>0</v>
      </c>
      <c r="AL571" s="198" t="n">
        <v>0.01</v>
      </c>
      <c r="AM571" s="198" t="n">
        <v>0</v>
      </c>
      <c r="AN571" s="198" t="inlineStr">
        <is>
          <t>ចំណូលពីសេវាកម្ម (លើកដាក់ទំនិញ)</t>
        </is>
      </c>
    </row>
    <row r="572">
      <c r="A572" s="212">
        <f>A571+1</f>
        <v/>
      </c>
      <c r="B572" s="214" t="inlineStr">
        <is>
          <t>Trucking &amp; Clearance-Ex</t>
        </is>
      </c>
      <c r="C572" s="214" t="inlineStr">
        <is>
          <t>WANAKA LOGISTICS CO., LTD.</t>
        </is>
      </c>
      <c r="D572" s="215" t="inlineStr">
        <is>
          <t>K005-901907953</t>
        </is>
      </c>
      <c r="E572" s="290" t="inlineStr">
        <is>
          <t>WL25-002073</t>
        </is>
      </c>
      <c r="F572" s="279" t="n">
        <v>45805</v>
      </c>
      <c r="G572" s="216" t="n"/>
      <c r="H572" s="564" t="n"/>
      <c r="I572" s="564" t="n">
        <v>470187</v>
      </c>
      <c r="J572" s="213" t="inlineStr">
        <is>
          <t>អនុញ្ញាត (បានប្រកាស)</t>
        </is>
      </c>
      <c r="K572" s="565" t="n"/>
      <c r="L572" s="563">
        <f>I572</f>
        <v/>
      </c>
      <c r="M572" s="536">
        <f>I572-L572</f>
        <v/>
      </c>
      <c r="N572" s="213" t="n"/>
      <c r="O572" s="218">
        <f>U572=E572</f>
        <v/>
      </c>
      <c r="P572" s="218">
        <f>MONTH(F572)-MONTH(T572)</f>
        <v/>
      </c>
      <c r="Q572" s="218">
        <f>$B$5=X572</f>
        <v/>
      </c>
      <c r="R572" s="218">
        <f>I572-AD572</f>
        <v/>
      </c>
      <c r="S572" s="298" t="n"/>
      <c r="T572" s="299" t="n">
        <v>45805</v>
      </c>
      <c r="U572" s="298" t="inlineStr">
        <is>
          <t>WL25-002073</t>
        </is>
      </c>
      <c r="V572" s="298" t="n"/>
      <c r="W572" s="298" t="n"/>
      <c r="X572" s="298" t="n"/>
      <c r="Y572" s="298" t="inlineStr">
        <is>
          <t>ហូលីដេ ឌីហ្សាញ (ខេមបូឌា) ឯ.ក</t>
        </is>
      </c>
      <c r="Z572" s="300" t="n"/>
      <c r="AA572" s="300" t="n"/>
      <c r="AB572" s="298" t="n"/>
      <c r="AC572" s="298" t="n"/>
      <c r="AD572" s="300" t="n">
        <v>470187</v>
      </c>
      <c r="AE572" s="298" t="n"/>
      <c r="AF572" s="562" t="n"/>
    </row>
    <row r="573">
      <c r="A573" s="212">
        <f>A572+1</f>
        <v/>
      </c>
      <c r="B573" s="214" t="inlineStr">
        <is>
          <t>Trucking &amp; Clearance-Ex</t>
        </is>
      </c>
      <c r="C573" s="214" t="inlineStr">
        <is>
          <t>WANAKA LOGISTICS CO., LTD.</t>
        </is>
      </c>
      <c r="D573" s="215" t="inlineStr">
        <is>
          <t>K005-901907953</t>
        </is>
      </c>
      <c r="E573" s="290" t="inlineStr">
        <is>
          <t>WL25-002074</t>
        </is>
      </c>
      <c r="F573" s="279" t="n">
        <v>45805</v>
      </c>
      <c r="G573" s="216" t="n"/>
      <c r="H573" s="564" t="n"/>
      <c r="I573" s="564" t="n">
        <v>959598</v>
      </c>
      <c r="J573" s="213" t="inlineStr">
        <is>
          <t>អនុញ្ញាត (បានប្រកាស)</t>
        </is>
      </c>
      <c r="K573" s="565" t="n"/>
      <c r="L573" s="563">
        <f>I573</f>
        <v/>
      </c>
      <c r="M573" s="536">
        <f>I573-L573</f>
        <v/>
      </c>
      <c r="N573" s="213" t="n"/>
      <c r="O573" s="218">
        <f>U573=E573</f>
        <v/>
      </c>
      <c r="P573" s="218">
        <f>MONTH(F573)-MONTH(T573)</f>
        <v/>
      </c>
      <c r="Q573" s="218">
        <f>$B$5=X573</f>
        <v/>
      </c>
      <c r="R573" s="218">
        <f>I573-AD573</f>
        <v/>
      </c>
      <c r="S573" s="298" t="n"/>
      <c r="T573" s="299" t="n">
        <v>45805</v>
      </c>
      <c r="U573" s="298" t="inlineStr">
        <is>
          <t>WL25-002074</t>
        </is>
      </c>
      <c r="V573" s="298" t="n"/>
      <c r="W573" s="298" t="n"/>
      <c r="X573" s="298" t="n"/>
      <c r="Y573" s="298" t="inlineStr">
        <is>
          <t>ហូលីដេ ឌីហ្សាញ (ខេមបូឌា) ឯ.ក</t>
        </is>
      </c>
      <c r="Z573" s="300" t="n"/>
      <c r="AA573" s="300" t="n"/>
      <c r="AB573" s="298" t="n"/>
      <c r="AC573" s="298" t="n"/>
      <c r="AD573" s="300" t="n">
        <v>959598</v>
      </c>
      <c r="AE573" s="298" t="n"/>
      <c r="AF573" s="562" t="n"/>
    </row>
    <row r="574">
      <c r="A574" s="212">
        <f>A573+1</f>
        <v/>
      </c>
      <c r="B574" s="214" t="inlineStr">
        <is>
          <t>Forklift Part</t>
        </is>
      </c>
      <c r="C574" s="214" t="inlineStr">
        <is>
          <t>CHINA HE ZHONG LI INDUSTRIAL ENGINEERING MACHINERY EQUIPMENT SALE CO., LTD.</t>
        </is>
      </c>
      <c r="D574" s="215" t="inlineStr">
        <is>
          <t>L001-901906721</t>
        </is>
      </c>
      <c r="E574" s="290" t="inlineStr">
        <is>
          <t>TI-0168</t>
        </is>
      </c>
      <c r="F574" s="279" t="n">
        <v>45754</v>
      </c>
      <c r="G574" s="216" t="n"/>
      <c r="H574" s="564" t="n"/>
      <c r="I574" s="564" t="n">
        <v>672336</v>
      </c>
      <c r="J574" s="213" t="inlineStr">
        <is>
          <t>អនុញ្ញាត (បានប្រកាស)</t>
        </is>
      </c>
      <c r="K574" s="565" t="n"/>
      <c r="L574" s="563">
        <f>I574</f>
        <v/>
      </c>
      <c r="M574" s="536">
        <f>I574-L574</f>
        <v/>
      </c>
      <c r="N574" s="213" t="n"/>
      <c r="O574" s="218">
        <f>U574=E574</f>
        <v/>
      </c>
      <c r="P574" s="218">
        <f>MONTH(F574)-MONTH(T574)</f>
        <v/>
      </c>
      <c r="Q574" s="218">
        <f>$B$5=X574</f>
        <v/>
      </c>
      <c r="R574" s="218">
        <f>I574-AD574</f>
        <v/>
      </c>
      <c r="S574" s="298" t="n"/>
      <c r="T574" s="299" t="n">
        <v>45754</v>
      </c>
      <c r="U574" s="298" t="inlineStr">
        <is>
          <t>TI-0168</t>
        </is>
      </c>
      <c r="V574" s="298" t="n"/>
      <c r="W574" s="298" t="inlineStr">
        <is>
          <t>បុគ្គលជាប់អាករ</t>
        </is>
      </c>
      <c r="X574" s="298" t="inlineStr">
        <is>
          <t>L001-901640009</t>
        </is>
      </c>
      <c r="Y574" s="298" t="inlineStr">
        <is>
          <t>ហូលីដេ ឌីហ្សាញ (ខេមបូឌា) ឯ.ក</t>
        </is>
      </c>
      <c r="Z574" s="300" t="n">
        <v>7395696</v>
      </c>
      <c r="AA574" s="300" t="n">
        <v>6723360</v>
      </c>
      <c r="AB574" s="298" t="n">
        <v>0</v>
      </c>
      <c r="AC574" s="298" t="inlineStr">
        <is>
          <t>-</t>
        </is>
      </c>
      <c r="AD574" s="300" t="n">
        <v>672336</v>
      </c>
      <c r="AE574" s="298" t="n">
        <v>0</v>
      </c>
      <c r="AF574" s="562" t="n">
        <v>0</v>
      </c>
      <c r="AG574" s="198" t="n">
        <v>0</v>
      </c>
      <c r="AH574" s="198" t="n">
        <v>0</v>
      </c>
      <c r="AI574" s="198" t="n">
        <v>0</v>
      </c>
      <c r="AJ574" s="198" t="n">
        <v>0</v>
      </c>
      <c r="AK574" s="198" t="n">
        <v>0</v>
      </c>
      <c r="AL574" s="198" t="n">
        <v>0.01</v>
      </c>
      <c r="AN574" s="198" t="inlineStr">
        <is>
          <t>FORKLIFT PART</t>
        </is>
      </c>
    </row>
    <row r="575">
      <c r="A575" s="212">
        <f>A574+1</f>
        <v/>
      </c>
      <c r="B575" s="214" t="inlineStr">
        <is>
          <t>Handling Fee,FCR Fee</t>
        </is>
      </c>
      <c r="C575" s="214" t="inlineStr">
        <is>
          <t>CENTURY DISTRIBUTION SYSTEMS (CAMBODIA) CO., LTD.</t>
        </is>
      </c>
      <c r="D575" s="215" t="inlineStr">
        <is>
          <t>L001-902205494</t>
        </is>
      </c>
      <c r="E575" s="290" t="inlineStr">
        <is>
          <t>CDS202504-2522</t>
        </is>
      </c>
      <c r="F575" s="279" t="n">
        <v>45755</v>
      </c>
      <c r="G575" s="216" t="n"/>
      <c r="H575" s="564" t="n"/>
      <c r="I575" s="564" t="n">
        <v>170085</v>
      </c>
      <c r="J575" s="213" t="inlineStr">
        <is>
          <t>អនុញ្ញាត (បានប្រកាស)</t>
        </is>
      </c>
      <c r="K575" s="565" t="n"/>
      <c r="L575" s="563">
        <f>I575</f>
        <v/>
      </c>
      <c r="M575" s="536">
        <f>I575-L575</f>
        <v/>
      </c>
      <c r="N575" s="213" t="n"/>
      <c r="O575" s="218">
        <f>U575=E575</f>
        <v/>
      </c>
      <c r="P575" s="218">
        <f>MONTH(F575)-MONTH(T575)</f>
        <v/>
      </c>
      <c r="Q575" s="218">
        <f>$B$5=X575</f>
        <v/>
      </c>
      <c r="R575" s="218">
        <f>I575-AD575</f>
        <v/>
      </c>
      <c r="S575" s="298" t="n"/>
      <c r="T575" s="299" t="n">
        <v>45755</v>
      </c>
      <c r="U575" s="298" t="inlineStr">
        <is>
          <t>CDS202504-2522</t>
        </is>
      </c>
      <c r="V575" s="298" t="n">
        <v>0</v>
      </c>
      <c r="W575" s="298" t="inlineStr">
        <is>
          <t>បុគ្គលជាប់អាករ</t>
        </is>
      </c>
      <c r="X575" s="298" t="inlineStr">
        <is>
          <t>L001-901640009</t>
        </is>
      </c>
      <c r="Y575" s="298" t="inlineStr">
        <is>
          <t>ហូលីដេ ឌីហ្សាញ (ខេមបូឌា) ឯ.ក</t>
        </is>
      </c>
      <c r="Z575" s="300" t="n">
        <v>1870935</v>
      </c>
      <c r="AA575" s="300" t="n">
        <v>1700850</v>
      </c>
      <c r="AB575" s="298" t="n">
        <v>0</v>
      </c>
      <c r="AC575" s="298" t="inlineStr">
        <is>
          <t>-</t>
        </is>
      </c>
      <c r="AD575" s="300" t="n">
        <v>170085</v>
      </c>
      <c r="AE575" s="298" t="n">
        <v>0</v>
      </c>
      <c r="AF575" s="562" t="n">
        <v>0</v>
      </c>
      <c r="AG575" s="198" t="n">
        <v>0</v>
      </c>
      <c r="AH575" s="198" t="n">
        <v>0</v>
      </c>
      <c r="AI575" s="198" t="n">
        <v>0</v>
      </c>
      <c r="AJ575" s="198" t="n">
        <v>0</v>
      </c>
      <c r="AK575" s="198" t="n">
        <v>0</v>
      </c>
      <c r="AL575" s="198" t="n">
        <v>0.01</v>
      </c>
      <c r="AM575" s="198" t="n">
        <v>0</v>
      </c>
      <c r="AN575" s="198" t="inlineStr">
        <is>
          <t>OCEAN SHIPPING LOCAL CHARGES</t>
        </is>
      </c>
      <c r="AO575" s="198" t="inlineStr">
        <is>
          <t>បានប្រកាសនិងបង់ពន្ធ</t>
        </is>
      </c>
    </row>
    <row r="576">
      <c r="A576" s="212">
        <f>A575+1</f>
        <v/>
      </c>
      <c r="B576" s="214" t="inlineStr">
        <is>
          <t>Trucking &amp; Clearance-Ex</t>
        </is>
      </c>
      <c r="C576" s="214" t="inlineStr">
        <is>
          <t>WANAKA LOGISTICS CO., LTD.</t>
        </is>
      </c>
      <c r="D576" s="215" t="inlineStr">
        <is>
          <t>K005-901907953</t>
        </is>
      </c>
      <c r="E576" s="290" t="inlineStr">
        <is>
          <t>WL25-002076</t>
        </is>
      </c>
      <c r="F576" s="279" t="n">
        <v>45805</v>
      </c>
      <c r="G576" s="216" t="n"/>
      <c r="H576" s="564" t="n"/>
      <c r="I576" s="564" t="n">
        <v>156195</v>
      </c>
      <c r="J576" s="213" t="inlineStr">
        <is>
          <t>អនុញ្ញាត (បានប្រកាស)</t>
        </is>
      </c>
      <c r="K576" s="565" t="n"/>
      <c r="L576" s="563">
        <f>I576</f>
        <v/>
      </c>
      <c r="M576" s="536">
        <f>I576-L576</f>
        <v/>
      </c>
      <c r="N576" s="213" t="n"/>
      <c r="O576" s="218">
        <f>U576=E576</f>
        <v/>
      </c>
      <c r="P576" s="218">
        <f>MONTH(F576)-MONTH(T576)</f>
        <v/>
      </c>
      <c r="Q576" s="218">
        <f>$B$5=X576</f>
        <v/>
      </c>
      <c r="R576" s="218">
        <f>I576-AD576</f>
        <v/>
      </c>
      <c r="S576" s="298" t="n"/>
      <c r="T576" s="299" t="n">
        <v>45805</v>
      </c>
      <c r="U576" s="298" t="inlineStr">
        <is>
          <t>WL25-002076</t>
        </is>
      </c>
      <c r="V576" s="298" t="n"/>
      <c r="W576" s="298" t="n"/>
      <c r="X576" s="298" t="n"/>
      <c r="Y576" s="298" t="inlineStr">
        <is>
          <t>ហូលីដេ ឌីហ្សាញ (ខេមបូឌា) ឯ.ក</t>
        </is>
      </c>
      <c r="Z576" s="300" t="n"/>
      <c r="AA576" s="300" t="n"/>
      <c r="AB576" s="298" t="n"/>
      <c r="AC576" s="298" t="n"/>
      <c r="AD576" s="300" t="n">
        <v>156195</v>
      </c>
      <c r="AE576" s="298" t="n"/>
      <c r="AF576" s="562" t="n"/>
    </row>
    <row r="577">
      <c r="A577" s="212">
        <f>A576+1</f>
        <v/>
      </c>
      <c r="B577" s="214" t="inlineStr">
        <is>
          <t>Trucking &amp; Clearance-Ex</t>
        </is>
      </c>
      <c r="C577" s="214" t="inlineStr">
        <is>
          <t>WANAKA LOGISTICS CO., LTD.</t>
        </is>
      </c>
      <c r="D577" s="215" t="inlineStr">
        <is>
          <t>K005-901907953</t>
        </is>
      </c>
      <c r="E577" s="290" t="inlineStr">
        <is>
          <t>WL25-002075</t>
        </is>
      </c>
      <c r="F577" s="279" t="n">
        <v>45805</v>
      </c>
      <c r="G577" s="216" t="n"/>
      <c r="H577" s="564" t="n"/>
      <c r="I577" s="564" t="n">
        <v>1584378</v>
      </c>
      <c r="J577" s="213" t="inlineStr">
        <is>
          <t>អនុញ្ញាត (បានប្រកាស)</t>
        </is>
      </c>
      <c r="K577" s="565" t="n"/>
      <c r="L577" s="563">
        <f>I577</f>
        <v/>
      </c>
      <c r="M577" s="536">
        <f>I577-L577</f>
        <v/>
      </c>
      <c r="N577" s="213" t="n"/>
      <c r="O577" s="218">
        <f>U577=E577</f>
        <v/>
      </c>
      <c r="P577" s="218">
        <f>MONTH(F577)-MONTH(T577)</f>
        <v/>
      </c>
      <c r="Q577" s="218">
        <f>$B$5=X577</f>
        <v/>
      </c>
      <c r="R577" s="218">
        <f>I577-AD577</f>
        <v/>
      </c>
      <c r="S577" s="298" t="n"/>
      <c r="T577" s="299" t="n">
        <v>45805</v>
      </c>
      <c r="U577" s="298" t="inlineStr">
        <is>
          <t>WL25-002075</t>
        </is>
      </c>
      <c r="V577" s="298" t="n"/>
      <c r="W577" s="298" t="n"/>
      <c r="X577" s="298" t="n"/>
      <c r="Y577" s="298" t="inlineStr">
        <is>
          <t>ហូលីដេ ឌីហ្សាញ (ខេមបូឌា) ឯ.ក</t>
        </is>
      </c>
      <c r="Z577" s="300" t="n"/>
      <c r="AA577" s="300" t="n"/>
      <c r="AB577" s="298" t="n"/>
      <c r="AC577" s="298" t="n"/>
      <c r="AD577" s="300" t="n">
        <v>1584378</v>
      </c>
      <c r="AE577" s="298" t="n"/>
      <c r="AF577" s="562" t="n"/>
    </row>
    <row r="578">
      <c r="A578" s="212">
        <f>A577+1</f>
        <v/>
      </c>
      <c r="B578" s="214" t="inlineStr">
        <is>
          <t>Lift-Off-Ex</t>
        </is>
      </c>
      <c r="C578" s="214" t="inlineStr">
        <is>
          <t>PHNOM PENH AUTONOMOUS PORT "PPAP"</t>
        </is>
      </c>
      <c r="D578" s="215" t="inlineStr">
        <is>
          <t>L001-100044999</t>
        </is>
      </c>
      <c r="E578" s="290" t="inlineStr">
        <is>
          <t>INV20250539564</t>
        </is>
      </c>
      <c r="F578" s="279" t="n">
        <v>45797</v>
      </c>
      <c r="G578" s="216" t="n"/>
      <c r="H578" s="564" t="n"/>
      <c r="I578" s="564" t="n">
        <v>28021</v>
      </c>
      <c r="J578" s="213" t="inlineStr">
        <is>
          <t>អនុញ្ញាត (បានប្រកាស)</t>
        </is>
      </c>
      <c r="K578" s="565">
        <f>L578</f>
        <v/>
      </c>
      <c r="L578" s="563">
        <f>AD578</f>
        <v/>
      </c>
      <c r="M578" s="536">
        <f>I578-L578</f>
        <v/>
      </c>
      <c r="N578" s="213" t="n"/>
      <c r="O578" s="218">
        <f>U578=E578</f>
        <v/>
      </c>
      <c r="P578" s="218">
        <f>MONTH(F578)-MONTH(T578)</f>
        <v/>
      </c>
      <c r="Q578" s="218">
        <f>$B$5=X578</f>
        <v/>
      </c>
      <c r="R578" s="218">
        <f>I578-AD578</f>
        <v/>
      </c>
      <c r="S578" s="298" t="n"/>
      <c r="T578" s="299" t="n">
        <v>45797</v>
      </c>
      <c r="U578" s="298" t="inlineStr">
        <is>
          <t>INV20250539564</t>
        </is>
      </c>
      <c r="V578" s="298" t="n">
        <v>0</v>
      </c>
      <c r="W578" s="298" t="inlineStr">
        <is>
          <t>បុគ្គលជាប់អាករ</t>
        </is>
      </c>
      <c r="X578" s="298" t="inlineStr">
        <is>
          <t>L001-901640009</t>
        </is>
      </c>
      <c r="Y578" s="298" t="inlineStr">
        <is>
          <t>ហូលីដេ ឌីហ្សាញ (ខេមបូឌា) ឯ.ក</t>
        </is>
      </c>
      <c r="Z578" s="300" t="n">
        <v>308154</v>
      </c>
      <c r="AA578" s="300" t="n">
        <v>280140</v>
      </c>
      <c r="AB578" s="298" t="n">
        <v>0</v>
      </c>
      <c r="AC578" s="298" t="inlineStr">
        <is>
          <t>-</t>
        </is>
      </c>
      <c r="AD578" s="300" t="n">
        <v>28014</v>
      </c>
      <c r="AE578" s="298" t="n">
        <v>0</v>
      </c>
      <c r="AF578" s="562" t="n">
        <v>0</v>
      </c>
      <c r="AG578" s="198" t="n">
        <v>0</v>
      </c>
      <c r="AH578" s="198" t="n">
        <v>0</v>
      </c>
      <c r="AI578" s="198" t="n">
        <v>0</v>
      </c>
      <c r="AJ578" s="198" t="n">
        <v>0</v>
      </c>
      <c r="AK578" s="198" t="n">
        <v>0</v>
      </c>
      <c r="AL578" s="198" t="n">
        <v>0.01</v>
      </c>
      <c r="AM578" s="198" t="n">
        <v>0</v>
      </c>
      <c r="AN578" s="198" t="inlineStr">
        <is>
          <t>ចំណូលពីសេវាកម្ម (លើកដាក់ទំនិញ)</t>
        </is>
      </c>
    </row>
    <row r="579">
      <c r="A579" s="212">
        <f>A578+1</f>
        <v/>
      </c>
      <c r="B579" s="214" t="inlineStr">
        <is>
          <t>Trucking &amp; Clearance-Ex</t>
        </is>
      </c>
      <c r="C579" s="214" t="inlineStr">
        <is>
          <t>BRILLIANT TRANSPORT AND TRADING Co., Ltd.</t>
        </is>
      </c>
      <c r="D579" s="215" t="inlineStr">
        <is>
          <t>K002-100089305</t>
        </is>
      </c>
      <c r="E579" s="290" t="inlineStr">
        <is>
          <t>BTT25-0001026</t>
        </is>
      </c>
      <c r="F579" s="279" t="n">
        <v>45793</v>
      </c>
      <c r="G579" s="216" t="n"/>
      <c r="H579" s="564" t="n"/>
      <c r="I579" s="564" t="n">
        <v>203302</v>
      </c>
      <c r="J579" s="213" t="inlineStr">
        <is>
          <t>អនុញ្ញាត (បានប្រកាស)</t>
        </is>
      </c>
      <c r="K579" s="565" t="n"/>
      <c r="L579" s="563">
        <f>I579</f>
        <v/>
      </c>
      <c r="M579" s="536">
        <f>I579-L579</f>
        <v/>
      </c>
      <c r="N579" s="213" t="n"/>
      <c r="O579" s="218">
        <f>U579=E579</f>
        <v/>
      </c>
      <c r="P579" s="218">
        <f>MONTH(F579)-MONTH(T579)</f>
        <v/>
      </c>
      <c r="Q579" s="218">
        <f>$B$5=X579</f>
        <v/>
      </c>
      <c r="R579" s="218">
        <f>I579-AD579</f>
        <v/>
      </c>
      <c r="S579" s="298" t="n"/>
      <c r="T579" s="299" t="n">
        <v>45793</v>
      </c>
      <c r="U579" s="298" t="inlineStr">
        <is>
          <t>BTT25-0001026</t>
        </is>
      </c>
      <c r="V579" s="298" t="n"/>
      <c r="W579" s="298" t="n"/>
      <c r="X579" s="298" t="n"/>
      <c r="Y579" s="298" t="inlineStr">
        <is>
          <t>ហូលីដេ ឌីហ្សាញ (ខេមបូឌា) ឯ.ក</t>
        </is>
      </c>
      <c r="Z579" s="300" t="n"/>
      <c r="AA579" s="300" t="n"/>
      <c r="AB579" s="298" t="n"/>
      <c r="AC579" s="298" t="n"/>
      <c r="AD579" s="300" t="n">
        <v>203302</v>
      </c>
      <c r="AE579" s="298" t="n"/>
      <c r="AF579" s="562" t="n"/>
      <c r="AN579" s="198" t="inlineStr">
        <is>
          <t>Truking / Service</t>
        </is>
      </c>
    </row>
    <row r="580">
      <c r="A580" s="212">
        <f>A579+1</f>
        <v/>
      </c>
      <c r="B580" s="214" t="inlineStr">
        <is>
          <t>Lift-Off-Ex</t>
        </is>
      </c>
      <c r="C580" s="214" t="inlineStr">
        <is>
          <t>PHNOM PENH AUTONOMOUS PORT "PPAP"</t>
        </is>
      </c>
      <c r="D580" s="215" t="inlineStr">
        <is>
          <t>L001-100044999</t>
        </is>
      </c>
      <c r="E580" s="290" t="inlineStr">
        <is>
          <t>INV20250539152</t>
        </is>
      </c>
      <c r="F580" s="279" t="n">
        <v>45796</v>
      </c>
      <c r="G580" s="216" t="n"/>
      <c r="H580" s="564" t="n"/>
      <c r="I580" s="564" t="n">
        <v>56028</v>
      </c>
      <c r="J580" s="213" t="inlineStr">
        <is>
          <t>អនុញ្ញាត (បានប្រកាស)</t>
        </is>
      </c>
      <c r="K580" s="565" t="n"/>
      <c r="L580" s="563">
        <f>I580</f>
        <v/>
      </c>
      <c r="M580" s="536">
        <f>I580-L580</f>
        <v/>
      </c>
      <c r="N580" s="213" t="n"/>
      <c r="O580" s="218">
        <f>U580=E580</f>
        <v/>
      </c>
      <c r="P580" s="218">
        <f>MONTH(F580)-MONTH(T580)</f>
        <v/>
      </c>
      <c r="Q580" s="218">
        <f>$B$5=X580</f>
        <v/>
      </c>
      <c r="R580" s="218">
        <f>I580-AD580</f>
        <v/>
      </c>
      <c r="S580" s="298" t="n"/>
      <c r="T580" s="299" t="n">
        <v>45796</v>
      </c>
      <c r="U580" s="298" t="inlineStr">
        <is>
          <t>INV20250539152</t>
        </is>
      </c>
      <c r="V580" s="298" t="n">
        <v>0</v>
      </c>
      <c r="W580" s="298" t="inlineStr">
        <is>
          <t>បុគ្គលជាប់អាករ</t>
        </is>
      </c>
      <c r="X580" s="298" t="inlineStr">
        <is>
          <t>L001-901640009</t>
        </is>
      </c>
      <c r="Y580" s="298" t="inlineStr">
        <is>
          <t>ហូលីដេ ឌីហ្សាញ (ខេមបូឌា) ឯ.ក</t>
        </is>
      </c>
      <c r="Z580" s="300" t="n">
        <v>616308</v>
      </c>
      <c r="AA580" s="300" t="n">
        <v>560280</v>
      </c>
      <c r="AB580" s="298" t="n">
        <v>0</v>
      </c>
      <c r="AC580" s="298" t="inlineStr">
        <is>
          <t>-</t>
        </is>
      </c>
      <c r="AD580" s="300" t="n">
        <v>56028</v>
      </c>
      <c r="AE580" s="298" t="n">
        <v>0</v>
      </c>
      <c r="AF580" s="562" t="n">
        <v>0</v>
      </c>
      <c r="AG580" s="198" t="n">
        <v>0</v>
      </c>
      <c r="AH580" s="198" t="n">
        <v>0</v>
      </c>
      <c r="AI580" s="198" t="n">
        <v>0</v>
      </c>
      <c r="AJ580" s="198" t="n">
        <v>0</v>
      </c>
      <c r="AK580" s="198" t="n">
        <v>0</v>
      </c>
      <c r="AL580" s="198" t="n">
        <v>0.01</v>
      </c>
      <c r="AM580" s="198" t="n">
        <v>0</v>
      </c>
      <c r="AN580" s="198" t="inlineStr">
        <is>
          <t>ចំណូលពីសេវាកម្ម (លើកដាក់ទំនិញ)</t>
        </is>
      </c>
    </row>
    <row r="581">
      <c r="A581" s="212">
        <f>A580+1</f>
        <v/>
      </c>
      <c r="B581" s="214" t="inlineStr">
        <is>
          <t>Lift-Off-Ex</t>
        </is>
      </c>
      <c r="C581" s="214" t="inlineStr">
        <is>
          <t>PHNOM PENH AUTONOMOUS PORT "PPAP"</t>
        </is>
      </c>
      <c r="D581" s="215" t="inlineStr">
        <is>
          <t>L001-100044999</t>
        </is>
      </c>
      <c r="E581" s="290" t="inlineStr">
        <is>
          <t>INV20250541416</t>
        </is>
      </c>
      <c r="F581" s="279" t="n">
        <v>45803</v>
      </c>
      <c r="G581" s="216" t="n"/>
      <c r="H581" s="564" t="n"/>
      <c r="I581" s="564" t="n">
        <v>112056</v>
      </c>
      <c r="J581" s="213" t="inlineStr">
        <is>
          <t>អនុញ្ញាត (បានប្រកាស)</t>
        </is>
      </c>
      <c r="K581" s="565" t="n"/>
      <c r="L581" s="563">
        <f>I581</f>
        <v/>
      </c>
      <c r="M581" s="536">
        <f>I581-L581</f>
        <v/>
      </c>
      <c r="N581" s="213" t="n"/>
      <c r="O581" s="218">
        <f>U581=E581</f>
        <v/>
      </c>
      <c r="P581" s="218">
        <f>MONTH(F581)-MONTH(T581)</f>
        <v/>
      </c>
      <c r="Q581" s="218">
        <f>$B$5=X581</f>
        <v/>
      </c>
      <c r="R581" s="218">
        <f>I581-AD581</f>
        <v/>
      </c>
      <c r="S581" s="298" t="n"/>
      <c r="T581" s="299" t="n">
        <v>45803</v>
      </c>
      <c r="U581" s="298" t="inlineStr">
        <is>
          <t>INV20250541416</t>
        </is>
      </c>
      <c r="V581" s="298" t="n">
        <v>0</v>
      </c>
      <c r="W581" s="298" t="inlineStr">
        <is>
          <t>បុគ្គលជាប់អាករ</t>
        </is>
      </c>
      <c r="X581" s="298" t="inlineStr">
        <is>
          <t>L001-901640009</t>
        </is>
      </c>
      <c r="Y581" s="298" t="inlineStr">
        <is>
          <t>ហូលីដេ ឌីហ្សាញ (ខេមបូឌា) ឯ.ក</t>
        </is>
      </c>
      <c r="Z581" s="300" t="n">
        <v>1232616</v>
      </c>
      <c r="AA581" s="300" t="n">
        <v>1120560</v>
      </c>
      <c r="AB581" s="298" t="n">
        <v>0</v>
      </c>
      <c r="AC581" s="298" t="inlineStr">
        <is>
          <t>-</t>
        </is>
      </c>
      <c r="AD581" s="300" t="n">
        <v>112056</v>
      </c>
      <c r="AE581" s="298" t="n">
        <v>0</v>
      </c>
      <c r="AF581" s="562" t="n">
        <v>0</v>
      </c>
      <c r="AG581" s="198" t="n">
        <v>0</v>
      </c>
      <c r="AH581" s="198" t="n">
        <v>0</v>
      </c>
      <c r="AI581" s="198" t="n">
        <v>0</v>
      </c>
      <c r="AJ581" s="198" t="n">
        <v>0</v>
      </c>
      <c r="AK581" s="198" t="n">
        <v>0</v>
      </c>
      <c r="AL581" s="198" t="n">
        <v>0.01</v>
      </c>
      <c r="AM581" s="198" t="n">
        <v>0</v>
      </c>
      <c r="AN581" s="198" t="inlineStr">
        <is>
          <t>ចំណូលពីសេវាកម្ម (លើកដាក់ទំនិញ)</t>
        </is>
      </c>
    </row>
    <row r="582">
      <c r="A582" s="212">
        <f>A581+1</f>
        <v/>
      </c>
      <c r="B582" s="214" t="inlineStr">
        <is>
          <t>Trucking &amp; Clearance-Ex</t>
        </is>
      </c>
      <c r="C582" s="214" t="inlineStr">
        <is>
          <t>BRILLIANT TRANSPORT AND TRADING Co., Ltd.</t>
        </is>
      </c>
      <c r="D582" s="215" t="inlineStr">
        <is>
          <t>K002-100089305</t>
        </is>
      </c>
      <c r="E582" s="290" t="inlineStr">
        <is>
          <t>BTT25-0001157</t>
        </is>
      </c>
      <c r="F582" s="279" t="n">
        <v>45806</v>
      </c>
      <c r="G582" s="216" t="n"/>
      <c r="H582" s="564" t="n"/>
      <c r="I582" s="564" t="n">
        <v>203403</v>
      </c>
      <c r="J582" s="213" t="inlineStr">
        <is>
          <t>អនុញ្ញាត (បានប្រកាស)</t>
        </is>
      </c>
      <c r="K582" s="565" t="n"/>
      <c r="L582" s="563">
        <f>I582</f>
        <v/>
      </c>
      <c r="M582" s="536">
        <f>I582-L582</f>
        <v/>
      </c>
      <c r="N582" s="213" t="n"/>
      <c r="O582" s="218">
        <f>U582=E582</f>
        <v/>
      </c>
      <c r="P582" s="218">
        <f>MONTH(F582)-MONTH(T582)</f>
        <v/>
      </c>
      <c r="Q582" s="218">
        <f>$B$5=X582</f>
        <v/>
      </c>
      <c r="R582" s="218">
        <f>I582-AD582</f>
        <v/>
      </c>
      <c r="S582" s="298" t="n"/>
      <c r="T582" s="299" t="n">
        <v>45806</v>
      </c>
      <c r="U582" s="298" t="inlineStr">
        <is>
          <t>BTT25-0001157</t>
        </is>
      </c>
      <c r="V582" s="298" t="n"/>
      <c r="W582" s="298" t="n"/>
      <c r="X582" s="298" t="n"/>
      <c r="Y582" s="298" t="inlineStr">
        <is>
          <t>ហូលីដេ ឌីហ្សាញ (ខេមបូឌា) ឯ.ក</t>
        </is>
      </c>
      <c r="Z582" s="300" t="n"/>
      <c r="AA582" s="300" t="n"/>
      <c r="AB582" s="298" t="n"/>
      <c r="AC582" s="298" t="n"/>
      <c r="AD582" s="300" t="n">
        <v>203403</v>
      </c>
      <c r="AE582" s="298" t="n"/>
      <c r="AF582" s="562" t="n"/>
      <c r="AN582" s="198" t="inlineStr">
        <is>
          <t>Truking / Service</t>
        </is>
      </c>
    </row>
    <row r="583">
      <c r="A583" s="212">
        <f>A582+1</f>
        <v/>
      </c>
      <c r="B583" s="214" t="inlineStr">
        <is>
          <t>Trucking &amp; Clearance-Ex</t>
        </is>
      </c>
      <c r="C583" s="214" t="inlineStr">
        <is>
          <t>BRILLIANT TRANSPORT AND TRADING Co., Ltd.</t>
        </is>
      </c>
      <c r="D583" s="215" t="inlineStr">
        <is>
          <t>K002-100089305</t>
        </is>
      </c>
      <c r="E583" s="290" t="inlineStr">
        <is>
          <t>BTT25-0001156</t>
        </is>
      </c>
      <c r="F583" s="279" t="n">
        <v>45807</v>
      </c>
      <c r="G583" s="216" t="n"/>
      <c r="H583" s="564" t="n"/>
      <c r="I583" s="564" t="n">
        <v>191039</v>
      </c>
      <c r="J583" s="213" t="inlineStr">
        <is>
          <t>អនុញ្ញាត (បានប្រកាស)</t>
        </is>
      </c>
      <c r="K583" s="565" t="n"/>
      <c r="L583" s="563">
        <f>I583</f>
        <v/>
      </c>
      <c r="M583" s="536">
        <f>I583-L583</f>
        <v/>
      </c>
      <c r="N583" s="213" t="n"/>
      <c r="O583" s="218">
        <f>U583=E583</f>
        <v/>
      </c>
      <c r="P583" s="218">
        <f>MONTH(F583)-MONTH(T583)</f>
        <v/>
      </c>
      <c r="Q583" s="218">
        <f>$B$5=X583</f>
        <v/>
      </c>
      <c r="R583" s="218">
        <f>I583-AD583</f>
        <v/>
      </c>
      <c r="S583" s="298" t="n"/>
      <c r="T583" s="299" t="n">
        <v>45807</v>
      </c>
      <c r="U583" s="298" t="inlineStr">
        <is>
          <t>BTT25-0001156</t>
        </is>
      </c>
      <c r="V583" s="298" t="n"/>
      <c r="W583" s="298" t="n"/>
      <c r="X583" s="298" t="n"/>
      <c r="Y583" s="298" t="inlineStr">
        <is>
          <t>ហូលីដេ ឌីហ្សាញ (ខេមបូឌា) ឯ.ក</t>
        </is>
      </c>
      <c r="Z583" s="300" t="n"/>
      <c r="AA583" s="300" t="n"/>
      <c r="AB583" s="298" t="n"/>
      <c r="AC583" s="298" t="n"/>
      <c r="AD583" s="300" t="n">
        <v>191039</v>
      </c>
      <c r="AE583" s="298" t="n"/>
      <c r="AF583" s="562" t="n"/>
      <c r="AN583" s="198" t="inlineStr">
        <is>
          <t>Truking / Service</t>
        </is>
      </c>
    </row>
    <row r="584">
      <c r="A584" s="212">
        <f>A583+1</f>
        <v/>
      </c>
      <c r="B584" s="214" t="inlineStr">
        <is>
          <t>Trucking &amp; Clearance-Ex</t>
        </is>
      </c>
      <c r="C584" s="214" t="inlineStr">
        <is>
          <t>BRILLIANT TRANSPORT AND TRADING Co., Ltd.</t>
        </is>
      </c>
      <c r="D584" s="215" t="inlineStr">
        <is>
          <t>K002-100089305</t>
        </is>
      </c>
      <c r="E584" s="290" t="inlineStr">
        <is>
          <t>BTT25-0001155</t>
        </is>
      </c>
      <c r="F584" s="279" t="n">
        <v>45807</v>
      </c>
      <c r="G584" s="216" t="n"/>
      <c r="H584" s="564" t="n"/>
      <c r="I584" s="564" t="n">
        <v>191039</v>
      </c>
      <c r="J584" s="213" t="inlineStr">
        <is>
          <t>អនុញ្ញាត (បានប្រកាស)</t>
        </is>
      </c>
      <c r="K584" s="565" t="n"/>
      <c r="L584" s="563">
        <f>I584</f>
        <v/>
      </c>
      <c r="M584" s="536">
        <f>I584-L584</f>
        <v/>
      </c>
      <c r="N584" s="213" t="n"/>
      <c r="O584" s="218">
        <f>U584=E584</f>
        <v/>
      </c>
      <c r="P584" s="218">
        <f>MONTH(F584)-MONTH(T584)</f>
        <v/>
      </c>
      <c r="Q584" s="218">
        <f>$B$5=X584</f>
        <v/>
      </c>
      <c r="R584" s="218">
        <f>I584-AD584</f>
        <v/>
      </c>
      <c r="S584" s="298" t="n"/>
      <c r="T584" s="299" t="n">
        <v>45807</v>
      </c>
      <c r="U584" s="298" t="inlineStr">
        <is>
          <t>BTT25-0001155</t>
        </is>
      </c>
      <c r="V584" s="298" t="n"/>
      <c r="W584" s="298" t="n"/>
      <c r="X584" s="298" t="n"/>
      <c r="Y584" s="298" t="inlineStr">
        <is>
          <t>ហូលីដេ ឌីហ្សាញ (ខេមបូឌា) ឯ.ក</t>
        </is>
      </c>
      <c r="Z584" s="300" t="n"/>
      <c r="AA584" s="300" t="n"/>
      <c r="AB584" s="298" t="n"/>
      <c r="AC584" s="298" t="n"/>
      <c r="AD584" s="300" t="n">
        <v>191039</v>
      </c>
      <c r="AE584" s="298" t="n"/>
      <c r="AF584" s="562" t="n"/>
      <c r="AN584" s="198" t="inlineStr">
        <is>
          <t>Truking / Service</t>
        </is>
      </c>
    </row>
    <row r="585">
      <c r="A585" s="212">
        <f>A584+1</f>
        <v/>
      </c>
      <c r="B585" s="214" t="inlineStr">
        <is>
          <t>Trucking &amp; Clearance-Ex</t>
        </is>
      </c>
      <c r="C585" s="214" t="inlineStr">
        <is>
          <t>BRILLIANT TRANSPORT AND TRADING Co., Ltd.</t>
        </is>
      </c>
      <c r="D585" s="215" t="inlineStr">
        <is>
          <t>K002-100089305</t>
        </is>
      </c>
      <c r="E585" s="290" t="inlineStr">
        <is>
          <t>BTT25-0001153</t>
        </is>
      </c>
      <c r="F585" s="279" t="n">
        <v>45806</v>
      </c>
      <c r="G585" s="216" t="n"/>
      <c r="H585" s="564" t="n"/>
      <c r="I585" s="564" t="n">
        <v>1220419</v>
      </c>
      <c r="J585" s="213" t="inlineStr">
        <is>
          <t>អនុញ្ញាត (បានប្រកាស)</t>
        </is>
      </c>
      <c r="K585" s="565" t="n"/>
      <c r="L585" s="563">
        <f>I585</f>
        <v/>
      </c>
      <c r="M585" s="536">
        <f>I585-L585</f>
        <v/>
      </c>
      <c r="N585" s="213" t="n"/>
      <c r="O585" s="218">
        <f>U585=E585</f>
        <v/>
      </c>
      <c r="P585" s="218">
        <f>MONTH(F585)-MONTH(T585)</f>
        <v/>
      </c>
      <c r="Q585" s="218">
        <f>$B$5=X585</f>
        <v/>
      </c>
      <c r="R585" s="218">
        <f>I585-AD585</f>
        <v/>
      </c>
      <c r="S585" s="298" t="n"/>
      <c r="T585" s="299" t="n">
        <v>45806</v>
      </c>
      <c r="U585" s="298" t="inlineStr">
        <is>
          <t>BTT25-0001153</t>
        </is>
      </c>
      <c r="V585" s="298" t="n"/>
      <c r="W585" s="298" t="n"/>
      <c r="X585" s="298" t="n"/>
      <c r="Y585" s="298" t="inlineStr">
        <is>
          <t>ហូលីដេ ឌីហ្សាញ (ខេមបូឌា) ឯ.ក</t>
        </is>
      </c>
      <c r="Z585" s="300" t="n"/>
      <c r="AA585" s="300" t="n"/>
      <c r="AB585" s="298" t="n"/>
      <c r="AC585" s="298" t="n"/>
      <c r="AD585" s="300" t="n">
        <v>1220419</v>
      </c>
      <c r="AE585" s="298" t="n"/>
      <c r="AF585" s="562" t="n"/>
      <c r="AN585" s="198" t="inlineStr">
        <is>
          <t>Truking / Service</t>
        </is>
      </c>
    </row>
    <row r="586">
      <c r="A586" s="212">
        <f>A585+1</f>
        <v/>
      </c>
      <c r="B586" s="214" t="inlineStr">
        <is>
          <t>Lift-Off-Ex</t>
        </is>
      </c>
      <c r="C586" s="214" t="inlineStr">
        <is>
          <t>Port Autonome Du Sihanoukville</t>
        </is>
      </c>
      <c r="D586" s="215" t="inlineStr">
        <is>
          <t>L001-100044638</t>
        </is>
      </c>
      <c r="E586" s="290" t="n">
        <v>202500122913</v>
      </c>
      <c r="F586" s="279" t="n">
        <v>45804</v>
      </c>
      <c r="G586" s="216" t="n"/>
      <c r="H586" s="564" t="n"/>
      <c r="I586" s="564" t="n">
        <v>20415</v>
      </c>
      <c r="J586" s="213" t="inlineStr">
        <is>
          <t>អនុញ្ញាត (បានប្រកាស)</t>
        </is>
      </c>
      <c r="K586" s="565" t="n"/>
      <c r="L586" s="563">
        <f>I586</f>
        <v/>
      </c>
      <c r="M586" s="536">
        <f>I586-L586</f>
        <v/>
      </c>
      <c r="N586" s="213" t="n"/>
      <c r="O586" s="218">
        <f>U586=E586</f>
        <v/>
      </c>
      <c r="P586" s="218">
        <f>MONTH(F586)-MONTH(T586)</f>
        <v/>
      </c>
      <c r="Q586" s="218">
        <f>$B$5=X586</f>
        <v/>
      </c>
      <c r="R586" s="218">
        <f>I586-AD586</f>
        <v/>
      </c>
      <c r="S586" s="298" t="n"/>
      <c r="T586" s="299" t="n">
        <v>45804</v>
      </c>
      <c r="U586" s="298" t="n">
        <v>202500122913</v>
      </c>
      <c r="V586" s="298" t="n"/>
      <c r="W586" s="298" t="inlineStr">
        <is>
          <t>បុគ្គលជាប់អាករ</t>
        </is>
      </c>
      <c r="X586" s="298" t="inlineStr">
        <is>
          <t>L001-901640009</t>
        </is>
      </c>
      <c r="Y586" s="298" t="inlineStr">
        <is>
          <t>ហូលីដេ ឌីហ្សាញ (ខេមបូឌា) ឯ.ក</t>
        </is>
      </c>
      <c r="Z586" s="300" t="n">
        <v>224568</v>
      </c>
      <c r="AA586" s="300" t="n">
        <v>204153</v>
      </c>
      <c r="AB586" s="298" t="n">
        <v>0</v>
      </c>
      <c r="AC586" s="298" t="inlineStr">
        <is>
          <t>-</t>
        </is>
      </c>
      <c r="AD586" s="300" t="n">
        <v>20415</v>
      </c>
      <c r="AE586" s="298" t="n"/>
      <c r="AF586" s="562" t="n"/>
    </row>
    <row r="587">
      <c r="A587" s="212">
        <f>A586+1</f>
        <v/>
      </c>
      <c r="B587" s="214" t="inlineStr">
        <is>
          <t>Lift-Off-Ex</t>
        </is>
      </c>
      <c r="C587" s="214" t="inlineStr">
        <is>
          <t>Port Autonome Du Sihanoukville</t>
        </is>
      </c>
      <c r="D587" s="215" t="inlineStr">
        <is>
          <t>L001-100044638</t>
        </is>
      </c>
      <c r="E587" s="290" t="n">
        <v>202500122914</v>
      </c>
      <c r="F587" s="279" t="n">
        <v>45804</v>
      </c>
      <c r="G587" s="216" t="n"/>
      <c r="H587" s="564" t="n"/>
      <c r="I587" s="564" t="n">
        <v>20415</v>
      </c>
      <c r="J587" s="213" t="inlineStr">
        <is>
          <t>អនុញ្ញាត (បានប្រកាស)</t>
        </is>
      </c>
      <c r="K587" s="565" t="n"/>
      <c r="L587" s="563">
        <f>I587</f>
        <v/>
      </c>
      <c r="M587" s="536">
        <f>I587-L587</f>
        <v/>
      </c>
      <c r="N587" s="213" t="n"/>
      <c r="O587" s="218">
        <f>U587=E587</f>
        <v/>
      </c>
      <c r="P587" s="218">
        <f>MONTH(F587)-MONTH(T587)</f>
        <v/>
      </c>
      <c r="Q587" s="218">
        <f>$B$5=X587</f>
        <v/>
      </c>
      <c r="R587" s="218">
        <f>I587-AD587</f>
        <v/>
      </c>
      <c r="S587" s="298" t="n"/>
      <c r="T587" s="299" t="n">
        <v>45804</v>
      </c>
      <c r="U587" s="298" t="n">
        <v>202500122914</v>
      </c>
      <c r="V587" s="298" t="n"/>
      <c r="W587" s="298" t="inlineStr">
        <is>
          <t>បុគ្គលជាប់អាករ</t>
        </is>
      </c>
      <c r="X587" s="298" t="inlineStr">
        <is>
          <t>L001-901640009</t>
        </is>
      </c>
      <c r="Y587" s="298" t="inlineStr">
        <is>
          <t>ហូលីដេ ឌីហ្សាញ (ខេមបូឌា) ឯ.ក</t>
        </is>
      </c>
      <c r="Z587" s="300" t="n">
        <v>224568</v>
      </c>
      <c r="AA587" s="300" t="n">
        <v>204153</v>
      </c>
      <c r="AB587" s="298" t="n">
        <v>0</v>
      </c>
      <c r="AC587" s="298" t="inlineStr">
        <is>
          <t>-</t>
        </is>
      </c>
      <c r="AD587" s="300" t="n">
        <v>20415</v>
      </c>
      <c r="AE587" s="298" t="n"/>
      <c r="AF587" s="562" t="n"/>
    </row>
    <row r="588">
      <c r="A588" s="212">
        <f>A587+1</f>
        <v/>
      </c>
      <c r="B588" s="214" t="inlineStr">
        <is>
          <t>Lift-Off-Ex</t>
        </is>
      </c>
      <c r="C588" s="214" t="inlineStr">
        <is>
          <t>Port Autonome Du Sihanoukville</t>
        </is>
      </c>
      <c r="D588" s="215" t="inlineStr">
        <is>
          <t>L001-100044638</t>
        </is>
      </c>
      <c r="E588" s="290" t="n">
        <v>202500122917</v>
      </c>
      <c r="F588" s="279" t="n">
        <v>45804</v>
      </c>
      <c r="G588" s="216" t="n"/>
      <c r="H588" s="564" t="n"/>
      <c r="I588" s="564" t="n">
        <v>20415</v>
      </c>
      <c r="J588" s="213" t="inlineStr">
        <is>
          <t>អនុញ្ញាត (បានប្រកាស)</t>
        </is>
      </c>
      <c r="K588" s="565" t="n"/>
      <c r="L588" s="563">
        <f>I588</f>
        <v/>
      </c>
      <c r="M588" s="536">
        <f>I588-L588</f>
        <v/>
      </c>
      <c r="N588" s="213" t="n"/>
      <c r="O588" s="218">
        <f>U588=E588</f>
        <v/>
      </c>
      <c r="P588" s="218">
        <f>MONTH(F588)-MONTH(T588)</f>
        <v/>
      </c>
      <c r="Q588" s="218">
        <f>$B$5=X588</f>
        <v/>
      </c>
      <c r="R588" s="218">
        <f>I588-AD588</f>
        <v/>
      </c>
      <c r="S588" s="298" t="n"/>
      <c r="T588" s="299" t="n">
        <v>45804</v>
      </c>
      <c r="U588" s="298" t="n">
        <v>202500122917</v>
      </c>
      <c r="V588" s="298" t="n"/>
      <c r="W588" s="298" t="inlineStr">
        <is>
          <t>បុគ្គលជាប់អាករ</t>
        </is>
      </c>
      <c r="X588" s="298" t="inlineStr">
        <is>
          <t>L001-901640009</t>
        </is>
      </c>
      <c r="Y588" s="298" t="inlineStr">
        <is>
          <t>ហូលីដេ ឌីហ្សាញ (ខេមបូឌា) ឯ.ក</t>
        </is>
      </c>
      <c r="Z588" s="300" t="n">
        <v>224568</v>
      </c>
      <c r="AA588" s="300" t="n">
        <v>204153</v>
      </c>
      <c r="AB588" s="298" t="n">
        <v>0</v>
      </c>
      <c r="AC588" s="298" t="inlineStr">
        <is>
          <t>-</t>
        </is>
      </c>
      <c r="AD588" s="300" t="n">
        <v>20415</v>
      </c>
      <c r="AE588" s="298" t="n"/>
      <c r="AF588" s="562" t="n"/>
    </row>
    <row r="589">
      <c r="A589" s="212">
        <f>A588+1</f>
        <v/>
      </c>
      <c r="B589" s="214" t="inlineStr">
        <is>
          <t>Lift-Off-Ex</t>
        </is>
      </c>
      <c r="C589" s="214" t="inlineStr">
        <is>
          <t>Port Autonome Du Sihanoukville</t>
        </is>
      </c>
      <c r="D589" s="215" t="inlineStr">
        <is>
          <t>L001-100044638</t>
        </is>
      </c>
      <c r="E589" s="290" t="n">
        <v>202500122920</v>
      </c>
      <c r="F589" s="279" t="n">
        <v>45804</v>
      </c>
      <c r="G589" s="216" t="n"/>
      <c r="H589" s="564" t="n"/>
      <c r="I589" s="564" t="n">
        <v>20415</v>
      </c>
      <c r="J589" s="213" t="inlineStr">
        <is>
          <t>អនុញ្ញាត (បានប្រកាស)</t>
        </is>
      </c>
      <c r="K589" s="565" t="n"/>
      <c r="L589" s="563">
        <f>I589</f>
        <v/>
      </c>
      <c r="M589" s="536">
        <f>I589-L589</f>
        <v/>
      </c>
      <c r="N589" s="213" t="n"/>
      <c r="O589" s="218">
        <f>U589=E589</f>
        <v/>
      </c>
      <c r="P589" s="218">
        <f>MONTH(F589)-MONTH(T589)</f>
        <v/>
      </c>
      <c r="Q589" s="218">
        <f>$B$5=X589</f>
        <v/>
      </c>
      <c r="R589" s="218">
        <f>I589-AD589</f>
        <v/>
      </c>
      <c r="S589" s="298" t="n"/>
      <c r="T589" s="299" t="n">
        <v>45804</v>
      </c>
      <c r="U589" s="298" t="n">
        <v>202500122920</v>
      </c>
      <c r="V589" s="298" t="n"/>
      <c r="W589" s="298" t="inlineStr">
        <is>
          <t>បុគ្គលជាប់អាករ</t>
        </is>
      </c>
      <c r="X589" s="298" t="inlineStr">
        <is>
          <t>L001-901640009</t>
        </is>
      </c>
      <c r="Y589" s="298" t="inlineStr">
        <is>
          <t>ហូលីដេ ឌីហ្សាញ (ខេមបូឌា) ឯ.ក</t>
        </is>
      </c>
      <c r="Z589" s="300" t="n">
        <v>224568</v>
      </c>
      <c r="AA589" s="300" t="n">
        <v>204153</v>
      </c>
      <c r="AB589" s="298" t="n">
        <v>0</v>
      </c>
      <c r="AC589" s="298" t="inlineStr">
        <is>
          <t>-</t>
        </is>
      </c>
      <c r="AD589" s="300" t="n">
        <v>20415</v>
      </c>
      <c r="AE589" s="298" t="n"/>
      <c r="AF589" s="562" t="n"/>
    </row>
    <row r="590">
      <c r="A590" s="212">
        <f>A589+1</f>
        <v/>
      </c>
      <c r="B590" s="214" t="inlineStr">
        <is>
          <t>Lift-Off-Ex</t>
        </is>
      </c>
      <c r="C590" s="214" t="inlineStr">
        <is>
          <t>Port Autonome Du Sihanoukville</t>
        </is>
      </c>
      <c r="D590" s="215" t="inlineStr">
        <is>
          <t>L001-100044638</t>
        </is>
      </c>
      <c r="E590" s="290" t="n">
        <v>202500122924</v>
      </c>
      <c r="F590" s="279" t="n">
        <v>45804</v>
      </c>
      <c r="G590" s="216" t="n"/>
      <c r="H590" s="564" t="n"/>
      <c r="I590" s="564" t="n">
        <v>20415</v>
      </c>
      <c r="J590" s="213" t="inlineStr">
        <is>
          <t>អនុញ្ញាត (បានប្រកាស)</t>
        </is>
      </c>
      <c r="K590" s="565" t="n"/>
      <c r="L590" s="563">
        <f>I590</f>
        <v/>
      </c>
      <c r="M590" s="536">
        <f>I590-L590</f>
        <v/>
      </c>
      <c r="N590" s="213" t="n"/>
      <c r="O590" s="218">
        <f>U590=E590</f>
        <v/>
      </c>
      <c r="P590" s="218">
        <f>MONTH(F590)-MONTH(T590)</f>
        <v/>
      </c>
      <c r="Q590" s="218">
        <f>$B$5=X590</f>
        <v/>
      </c>
      <c r="R590" s="218">
        <f>I590-AD590</f>
        <v/>
      </c>
      <c r="S590" s="298" t="n"/>
      <c r="T590" s="299" t="n">
        <v>45804</v>
      </c>
      <c r="U590" s="298" t="n">
        <v>202500122924</v>
      </c>
      <c r="V590" s="298" t="n"/>
      <c r="W590" s="298" t="inlineStr">
        <is>
          <t>បុគ្គលជាប់អាករ</t>
        </is>
      </c>
      <c r="X590" s="298" t="inlineStr">
        <is>
          <t>L001-901640009</t>
        </is>
      </c>
      <c r="Y590" s="298" t="inlineStr">
        <is>
          <t>ហូលីដេ ឌីហ្សាញ (ខេមបូឌា) ឯ.ក</t>
        </is>
      </c>
      <c r="Z590" s="300" t="n">
        <v>224568</v>
      </c>
      <c r="AA590" s="300" t="n">
        <v>204153</v>
      </c>
      <c r="AB590" s="298" t="n">
        <v>0</v>
      </c>
      <c r="AC590" s="298" t="inlineStr">
        <is>
          <t>-</t>
        </is>
      </c>
      <c r="AD590" s="300" t="n">
        <v>20415</v>
      </c>
      <c r="AE590" s="298" t="n"/>
      <c r="AF590" s="562" t="n"/>
    </row>
    <row r="591">
      <c r="A591" s="212">
        <f>A590+1</f>
        <v/>
      </c>
      <c r="B591" s="214" t="inlineStr">
        <is>
          <t>Lift-Off-Ex</t>
        </is>
      </c>
      <c r="C591" s="214" t="inlineStr">
        <is>
          <t>Port Autonome Du Sihanoukville</t>
        </is>
      </c>
      <c r="D591" s="215" t="inlineStr">
        <is>
          <t>L001-100044638</t>
        </is>
      </c>
      <c r="E591" s="290" t="n">
        <v>202500122925</v>
      </c>
      <c r="F591" s="279" t="n">
        <v>45804</v>
      </c>
      <c r="G591" s="216" t="n"/>
      <c r="H591" s="564" t="n"/>
      <c r="I591" s="564" t="n">
        <v>6805</v>
      </c>
      <c r="J591" s="213" t="inlineStr">
        <is>
          <t>អនុញ្ញាត (បានប្រកាស)</t>
        </is>
      </c>
      <c r="K591" s="565" t="n"/>
      <c r="L591" s="563">
        <f>I591</f>
        <v/>
      </c>
      <c r="M591" s="536">
        <f>I591-L591</f>
        <v/>
      </c>
      <c r="N591" s="213" t="n"/>
      <c r="O591" s="218">
        <f>U591=E591</f>
        <v/>
      </c>
      <c r="P591" s="218">
        <f>MONTH(F591)-MONTH(T591)</f>
        <v/>
      </c>
      <c r="Q591" s="218">
        <f>$B$5=X591</f>
        <v/>
      </c>
      <c r="R591" s="218">
        <f>I591-AD591</f>
        <v/>
      </c>
      <c r="S591" s="298" t="n"/>
      <c r="T591" s="299" t="n">
        <v>45804</v>
      </c>
      <c r="U591" s="298" t="n">
        <v>202500122925</v>
      </c>
      <c r="V591" s="298" t="n"/>
      <c r="W591" s="298" t="inlineStr">
        <is>
          <t>បុគ្គលជាប់អាករ</t>
        </is>
      </c>
      <c r="X591" s="298" t="inlineStr">
        <is>
          <t>L001-901640009</t>
        </is>
      </c>
      <c r="Y591" s="298" t="inlineStr">
        <is>
          <t>ហូលីដេ ឌីហ្សាញ (ខេមបូឌា) ឯ.ក</t>
        </is>
      </c>
      <c r="Z591" s="300" t="n">
        <v>74856</v>
      </c>
      <c r="AA591" s="300" t="n">
        <v>68051</v>
      </c>
      <c r="AB591" s="298" t="n">
        <v>0</v>
      </c>
      <c r="AC591" s="298" t="inlineStr">
        <is>
          <t>-</t>
        </is>
      </c>
      <c r="AD591" s="300" t="n">
        <v>6805</v>
      </c>
      <c r="AE591" s="298" t="n"/>
      <c r="AF591" s="562" t="n"/>
    </row>
    <row r="592">
      <c r="A592" s="212">
        <f>A591+1</f>
        <v/>
      </c>
      <c r="B592" s="214" t="inlineStr">
        <is>
          <t>Lift-Off-Ex</t>
        </is>
      </c>
      <c r="C592" s="214" t="inlineStr">
        <is>
          <t>Port Autonome Du Sihanoukville</t>
        </is>
      </c>
      <c r="D592" s="215" t="inlineStr">
        <is>
          <t>L001-100044638</t>
        </is>
      </c>
      <c r="E592" s="290" t="n">
        <v>202500122929</v>
      </c>
      <c r="F592" s="279" t="n">
        <v>45804</v>
      </c>
      <c r="G592" s="216" t="n"/>
      <c r="H592" s="564" t="n"/>
      <c r="I592" s="564" t="n">
        <v>6805</v>
      </c>
      <c r="J592" s="213" t="inlineStr">
        <is>
          <t>អនុញ្ញាត (បានប្រកាស)</t>
        </is>
      </c>
      <c r="K592" s="565" t="n"/>
      <c r="L592" s="563">
        <f>I592</f>
        <v/>
      </c>
      <c r="M592" s="536">
        <f>I592-L592</f>
        <v/>
      </c>
      <c r="N592" s="213" t="n"/>
      <c r="O592" s="218">
        <f>U592=E592</f>
        <v/>
      </c>
      <c r="P592" s="218">
        <f>MONTH(F592)-MONTH(T592)</f>
        <v/>
      </c>
      <c r="Q592" s="218">
        <f>$B$5=X592</f>
        <v/>
      </c>
      <c r="R592" s="218">
        <f>I592-AD592</f>
        <v/>
      </c>
      <c r="S592" s="298" t="n"/>
      <c r="T592" s="299" t="n">
        <v>45804</v>
      </c>
      <c r="U592" s="298" t="n">
        <v>202500122929</v>
      </c>
      <c r="V592" s="298" t="n"/>
      <c r="W592" s="298" t="inlineStr">
        <is>
          <t>បុគ្គលជាប់អាករ</t>
        </is>
      </c>
      <c r="X592" s="298" t="inlineStr">
        <is>
          <t>L001-901640009</t>
        </is>
      </c>
      <c r="Y592" s="298" t="inlineStr">
        <is>
          <t>ហូលីដេ ឌីហ្សាញ (ខេមបូឌា) ឯ.ក</t>
        </is>
      </c>
      <c r="Z592" s="300" t="n">
        <v>74856</v>
      </c>
      <c r="AA592" s="300" t="n">
        <v>68051</v>
      </c>
      <c r="AB592" s="298" t="n">
        <v>0</v>
      </c>
      <c r="AC592" s="298" t="inlineStr">
        <is>
          <t>-</t>
        </is>
      </c>
      <c r="AD592" s="300" t="n">
        <v>6805</v>
      </c>
      <c r="AE592" s="298" t="n"/>
      <c r="AF592" s="562" t="n"/>
    </row>
    <row r="593">
      <c r="A593" s="212">
        <f>A592+1</f>
        <v/>
      </c>
      <c r="B593" s="214" t="inlineStr">
        <is>
          <t>Lift-Off-Ex</t>
        </is>
      </c>
      <c r="C593" s="214" t="inlineStr">
        <is>
          <t>Port Autonome Du Sihanoukville</t>
        </is>
      </c>
      <c r="D593" s="215" t="inlineStr">
        <is>
          <t>L001-100044638</t>
        </is>
      </c>
      <c r="E593" s="290" t="n">
        <v>202500122930</v>
      </c>
      <c r="F593" s="279" t="n">
        <v>45804</v>
      </c>
      <c r="G593" s="216" t="n"/>
      <c r="H593" s="564" t="n"/>
      <c r="I593" s="564" t="n">
        <v>6805</v>
      </c>
      <c r="J593" s="213" t="inlineStr">
        <is>
          <t>អនុញ្ញាត (បានប្រកាស)</t>
        </is>
      </c>
      <c r="K593" s="565" t="n"/>
      <c r="L593" s="563">
        <f>I593</f>
        <v/>
      </c>
      <c r="M593" s="536">
        <f>I593-L593</f>
        <v/>
      </c>
      <c r="N593" s="213" t="n"/>
      <c r="O593" s="218">
        <f>U593=E593</f>
        <v/>
      </c>
      <c r="P593" s="218">
        <f>MONTH(F593)-MONTH(T593)</f>
        <v/>
      </c>
      <c r="Q593" s="218">
        <f>$B$5=X593</f>
        <v/>
      </c>
      <c r="R593" s="218">
        <f>I593-AD593</f>
        <v/>
      </c>
      <c r="S593" s="298" t="n"/>
      <c r="T593" s="299" t="n">
        <v>45804</v>
      </c>
      <c r="U593" s="298" t="n">
        <v>202500122930</v>
      </c>
      <c r="V593" s="298" t="n"/>
      <c r="W593" s="298" t="inlineStr">
        <is>
          <t>បុគ្គលជាប់អាករ</t>
        </is>
      </c>
      <c r="X593" s="298" t="inlineStr">
        <is>
          <t>L001-901640009</t>
        </is>
      </c>
      <c r="Y593" s="298" t="inlineStr">
        <is>
          <t>ហូលីដេ ឌីហ្សាញ (ខេមបូឌា) ឯ.ក</t>
        </is>
      </c>
      <c r="Z593" s="300" t="n">
        <v>74856</v>
      </c>
      <c r="AA593" s="300" t="n">
        <v>68051</v>
      </c>
      <c r="AB593" s="298" t="n">
        <v>0</v>
      </c>
      <c r="AC593" s="298" t="inlineStr">
        <is>
          <t>-</t>
        </is>
      </c>
      <c r="AD593" s="300" t="n">
        <v>6805</v>
      </c>
      <c r="AE593" s="298" t="n"/>
      <c r="AF593" s="562" t="n"/>
    </row>
    <row r="594">
      <c r="A594" s="212">
        <f>A593+1</f>
        <v/>
      </c>
      <c r="B594" s="214" t="inlineStr">
        <is>
          <t>Trucking &amp; Clearance-Ex</t>
        </is>
      </c>
      <c r="C594" s="214" t="inlineStr">
        <is>
          <t>BRILLIANT TRANSPORT AND TRADING Co., Ltd.</t>
        </is>
      </c>
      <c r="D594" s="215" t="inlineStr">
        <is>
          <t>K002-100089305</t>
        </is>
      </c>
      <c r="E594" s="290" t="inlineStr">
        <is>
          <t>BTT25-0001152</t>
        </is>
      </c>
      <c r="F594" s="279" t="n">
        <v>45806</v>
      </c>
      <c r="G594" s="216" t="n"/>
      <c r="H594" s="564" t="n"/>
      <c r="I594" s="564" t="n">
        <v>1533132</v>
      </c>
      <c r="J594" s="213" t="inlineStr">
        <is>
          <t>អនុញ្ញាត (បានប្រកាស)</t>
        </is>
      </c>
      <c r="K594" s="565" t="n"/>
      <c r="L594" s="563">
        <f>I594</f>
        <v/>
      </c>
      <c r="M594" s="536">
        <f>I594-L594</f>
        <v/>
      </c>
      <c r="N594" s="213" t="n"/>
      <c r="O594" s="218">
        <f>U594=E594</f>
        <v/>
      </c>
      <c r="P594" s="218">
        <f>MONTH(F594)-MONTH(T594)</f>
        <v/>
      </c>
      <c r="Q594" s="218">
        <f>$B$5=X594</f>
        <v/>
      </c>
      <c r="R594" s="218">
        <f>I594-AD594</f>
        <v/>
      </c>
      <c r="S594" s="298" t="n"/>
      <c r="T594" s="299" t="n">
        <v>45806</v>
      </c>
      <c r="U594" s="298" t="inlineStr">
        <is>
          <t>BTT25-0001152</t>
        </is>
      </c>
      <c r="V594" s="298" t="n"/>
      <c r="W594" s="298" t="n"/>
      <c r="X594" s="298" t="n"/>
      <c r="Y594" s="298" t="inlineStr">
        <is>
          <t>ហូលីដេ ឌីហ្សាញ (ខេមបូឌា) ឯ.ក</t>
        </is>
      </c>
      <c r="Z594" s="300" t="n"/>
      <c r="AA594" s="300" t="n"/>
      <c r="AB594" s="298" t="n"/>
      <c r="AC594" s="298" t="n"/>
      <c r="AD594" s="300" t="n">
        <v>1533132</v>
      </c>
      <c r="AE594" s="298" t="n"/>
      <c r="AF594" s="562" t="n"/>
      <c r="AN594" s="198" t="inlineStr">
        <is>
          <t>Truking / Service</t>
        </is>
      </c>
    </row>
    <row r="595">
      <c r="A595" s="212">
        <f>A594+1</f>
        <v/>
      </c>
      <c r="B595" s="214" t="inlineStr">
        <is>
          <t>Register GSP</t>
        </is>
      </c>
      <c r="C595" s="214" t="inlineStr">
        <is>
          <t>BRILLIANT TRANSPORT AND TRADING Co., Ltd.</t>
        </is>
      </c>
      <c r="D595" s="215" t="inlineStr">
        <is>
          <t>K002-100089305</t>
        </is>
      </c>
      <c r="E595" s="290" t="inlineStr">
        <is>
          <t>BTT25-0001144</t>
        </is>
      </c>
      <c r="F595" s="279" t="n">
        <v>45800</v>
      </c>
      <c r="G595" s="216" t="n"/>
      <c r="H595" s="564" t="n"/>
      <c r="I595" s="564" t="n">
        <v>120090</v>
      </c>
      <c r="J595" s="213" t="inlineStr">
        <is>
          <t>អនុញ្ញាត (បានប្រកាស)</t>
        </is>
      </c>
      <c r="K595" s="565" t="n"/>
      <c r="L595" s="563">
        <f>I595</f>
        <v/>
      </c>
      <c r="M595" s="536">
        <f>I595-L595</f>
        <v/>
      </c>
      <c r="N595" s="213" t="n"/>
      <c r="O595" s="218">
        <f>U595=E595</f>
        <v/>
      </c>
      <c r="P595" s="218">
        <f>MONTH(F595)-MONTH(T595)</f>
        <v/>
      </c>
      <c r="Q595" s="218">
        <f>$B$5=X595</f>
        <v/>
      </c>
      <c r="R595" s="218">
        <f>I595-AD595</f>
        <v/>
      </c>
      <c r="S595" s="298" t="n"/>
      <c r="T595" s="299" t="n">
        <v>45800</v>
      </c>
      <c r="U595" s="298" t="inlineStr">
        <is>
          <t>BTT25-0001144</t>
        </is>
      </c>
      <c r="V595" s="298" t="n"/>
      <c r="W595" s="298" t="n"/>
      <c r="X595" s="298" t="n"/>
      <c r="Y595" s="298" t="inlineStr">
        <is>
          <t>ហូលីដេ ឌីហ្សាញ (ខេមបូឌា) ឯ.ក</t>
        </is>
      </c>
      <c r="Z595" s="300" t="n"/>
      <c r="AA595" s="300" t="n"/>
      <c r="AB595" s="298" t="n"/>
      <c r="AC595" s="298" t="n"/>
      <c r="AD595" s="300" t="n">
        <v>120090</v>
      </c>
      <c r="AE595" s="298" t="n"/>
      <c r="AF595" s="562" t="n"/>
      <c r="AN595" s="198" t="inlineStr">
        <is>
          <t>Truking / Service</t>
        </is>
      </c>
    </row>
    <row r="596">
      <c r="A596" s="212">
        <f>A595+1</f>
        <v/>
      </c>
      <c r="B596" s="214" t="inlineStr">
        <is>
          <t>Trucking &amp; Clearance-Ex</t>
        </is>
      </c>
      <c r="C596" s="214" t="inlineStr">
        <is>
          <t>BRILLIANT TRANSPORT AND TRADING Co., Ltd.</t>
        </is>
      </c>
      <c r="D596" s="215" t="inlineStr">
        <is>
          <t>K002-100089305</t>
        </is>
      </c>
      <c r="E596" s="290" t="inlineStr">
        <is>
          <t>BTT25-0001158</t>
        </is>
      </c>
      <c r="F596" s="279" t="n">
        <v>45806</v>
      </c>
      <c r="G596" s="216" t="n"/>
      <c r="H596" s="564" t="n"/>
      <c r="I596" s="564" t="n">
        <v>213413</v>
      </c>
      <c r="J596" s="213" t="inlineStr">
        <is>
          <t>អនុញ្ញាត (បានប្រកាស)</t>
        </is>
      </c>
      <c r="K596" s="565" t="n"/>
      <c r="L596" s="563">
        <f>I596</f>
        <v/>
      </c>
      <c r="M596" s="536">
        <f>I596-L596</f>
        <v/>
      </c>
      <c r="N596" s="213" t="n"/>
      <c r="O596" s="218">
        <f>U596=E596</f>
        <v/>
      </c>
      <c r="P596" s="218">
        <f>MONTH(F596)-MONTH(T596)</f>
        <v/>
      </c>
      <c r="Q596" s="218">
        <f>$B$5=X596</f>
        <v/>
      </c>
      <c r="R596" s="218">
        <f>I596-AD596</f>
        <v/>
      </c>
      <c r="S596" s="298" t="n"/>
      <c r="T596" s="299" t="n">
        <v>45806</v>
      </c>
      <c r="U596" s="298" t="inlineStr">
        <is>
          <t>BTT25-0001158</t>
        </is>
      </c>
      <c r="V596" s="298" t="n"/>
      <c r="W596" s="298" t="n"/>
      <c r="X596" s="298" t="n"/>
      <c r="Y596" s="298" t="inlineStr">
        <is>
          <t>ហូលីដេ ឌីហ្សាញ (ខេមបូឌា) ឯ.ក</t>
        </is>
      </c>
      <c r="Z596" s="300" t="n"/>
      <c r="AA596" s="300" t="n"/>
      <c r="AB596" s="298" t="n"/>
      <c r="AC596" s="298" t="n"/>
      <c r="AD596" s="300" t="n">
        <v>213413</v>
      </c>
      <c r="AE596" s="298" t="n"/>
      <c r="AF596" s="562" t="n"/>
      <c r="AN596" s="198" t="inlineStr">
        <is>
          <t>Truking / Service</t>
        </is>
      </c>
    </row>
    <row r="597">
      <c r="A597" s="212">
        <f>A596+1</f>
        <v/>
      </c>
      <c r="B597" s="214" t="inlineStr">
        <is>
          <t>Trucking &amp; Clearance-Ex</t>
        </is>
      </c>
      <c r="C597" s="214" t="inlineStr">
        <is>
          <t>BRILLIANT TRANSPORT AND TRADING Co., Ltd.</t>
        </is>
      </c>
      <c r="D597" s="215" t="inlineStr">
        <is>
          <t>K002-100089305</t>
        </is>
      </c>
      <c r="E597" s="290" t="inlineStr">
        <is>
          <t>BTT25-0001159</t>
        </is>
      </c>
      <c r="F597" s="279" t="n">
        <v>45806</v>
      </c>
      <c r="G597" s="216" t="n"/>
      <c r="H597" s="564" t="n"/>
      <c r="I597" s="564" t="n">
        <v>203403</v>
      </c>
      <c r="J597" s="213" t="inlineStr">
        <is>
          <t>អនុញ្ញាត (បានប្រកាស)</t>
        </is>
      </c>
      <c r="K597" s="565" t="n"/>
      <c r="L597" s="563">
        <f>I597</f>
        <v/>
      </c>
      <c r="M597" s="536">
        <f>I597-L597</f>
        <v/>
      </c>
      <c r="N597" s="213" t="n"/>
      <c r="O597" s="218">
        <f>U597=E597</f>
        <v/>
      </c>
      <c r="P597" s="218">
        <f>MONTH(F597)-MONTH(T597)</f>
        <v/>
      </c>
      <c r="Q597" s="218">
        <f>$B$5=X597</f>
        <v/>
      </c>
      <c r="R597" s="218">
        <f>I597-AD597</f>
        <v/>
      </c>
      <c r="S597" s="298" t="n"/>
      <c r="T597" s="299" t="n">
        <v>45806</v>
      </c>
      <c r="U597" s="298" t="inlineStr">
        <is>
          <t>BTT25-0001159</t>
        </is>
      </c>
      <c r="V597" s="298" t="n"/>
      <c r="W597" s="298" t="n"/>
      <c r="X597" s="298" t="n"/>
      <c r="Y597" s="298" t="inlineStr">
        <is>
          <t>ហូលីដេ ឌីហ្សាញ (ខេមបូឌា) ឯ.ក</t>
        </is>
      </c>
      <c r="Z597" s="300" t="n"/>
      <c r="AA597" s="300" t="n"/>
      <c r="AB597" s="298" t="n"/>
      <c r="AC597" s="298" t="n"/>
      <c r="AD597" s="300" t="n">
        <v>203403</v>
      </c>
      <c r="AE597" s="298" t="n"/>
      <c r="AF597" s="562" t="n"/>
      <c r="AN597" s="198" t="inlineStr">
        <is>
          <t>Truking / Service</t>
        </is>
      </c>
    </row>
    <row r="598">
      <c r="A598" s="212">
        <f>A597+1</f>
        <v/>
      </c>
      <c r="B598" s="214" t="inlineStr">
        <is>
          <t>Storage 40 Feet Container-Ex</t>
        </is>
      </c>
      <c r="C598" s="214" t="inlineStr">
        <is>
          <t>PHNOM PENH AUTONOMOUS PORT "PPAP"</t>
        </is>
      </c>
      <c r="D598" s="215" t="inlineStr">
        <is>
          <t>L001-100044999</t>
        </is>
      </c>
      <c r="E598" s="290" t="inlineStr">
        <is>
          <t>INV20250542378</t>
        </is>
      </c>
      <c r="F598" s="279" t="n">
        <v>45805</v>
      </c>
      <c r="G598" s="216" t="n"/>
      <c r="H598" s="564" t="n"/>
      <c r="I598" s="564" t="n">
        <v>9607</v>
      </c>
      <c r="J598" s="213" t="inlineStr">
        <is>
          <t>អនុញ្ញាត (បានប្រកាស)</t>
        </is>
      </c>
      <c r="K598" s="565" t="n"/>
      <c r="L598" s="563">
        <f>I598</f>
        <v/>
      </c>
      <c r="M598" s="536">
        <f>I598-L598</f>
        <v/>
      </c>
      <c r="N598" s="213" t="n"/>
      <c r="O598" s="218">
        <f>U598=E598</f>
        <v/>
      </c>
      <c r="P598" s="218">
        <f>MONTH(F598)-MONTH(T598)</f>
        <v/>
      </c>
      <c r="Q598" s="218">
        <f>$B$5=X598</f>
        <v/>
      </c>
      <c r="R598" s="218">
        <f>I598-AD598</f>
        <v/>
      </c>
      <c r="S598" s="298" t="n"/>
      <c r="T598" s="299" t="n">
        <v>45805</v>
      </c>
      <c r="U598" s="298" t="inlineStr">
        <is>
          <t>INV20250542378</t>
        </is>
      </c>
      <c r="V598" s="298" t="n">
        <v>0</v>
      </c>
      <c r="W598" s="298" t="inlineStr">
        <is>
          <t>បុគ្គលជាប់អាករ</t>
        </is>
      </c>
      <c r="X598" s="298" t="inlineStr">
        <is>
          <t>L001-901640009</t>
        </is>
      </c>
      <c r="Y598" s="298" t="inlineStr">
        <is>
          <t>ហូលីដេ ឌីហ្សាញ (ខេមបូឌា) ឯ.ក</t>
        </is>
      </c>
      <c r="Z598" s="300" t="n">
        <v>105677</v>
      </c>
      <c r="AA598" s="300" t="n">
        <v>96070</v>
      </c>
      <c r="AB598" s="298" t="n">
        <v>0</v>
      </c>
      <c r="AC598" s="298" t="inlineStr">
        <is>
          <t>-</t>
        </is>
      </c>
      <c r="AD598" s="300" t="n">
        <v>9607</v>
      </c>
      <c r="AE598" s="298" t="n">
        <v>0</v>
      </c>
      <c r="AF598" s="562" t="n">
        <v>0</v>
      </c>
      <c r="AG598" s="198" t="n">
        <v>0</v>
      </c>
      <c r="AH598" s="198" t="n">
        <v>0</v>
      </c>
      <c r="AI598" s="198" t="n">
        <v>0</v>
      </c>
      <c r="AJ598" s="198" t="n">
        <v>0</v>
      </c>
      <c r="AK598" s="198" t="n">
        <v>0</v>
      </c>
      <c r="AL598" s="198" t="n">
        <v>0.01</v>
      </c>
      <c r="AM598" s="198" t="n">
        <v>0</v>
      </c>
      <c r="AN598" s="198" t="inlineStr">
        <is>
          <t>ចំណូលពីសេវាកម្ម (លើកដាក់ទំនិញ)</t>
        </is>
      </c>
    </row>
    <row r="599">
      <c r="A599" s="212">
        <f>A598+1</f>
        <v/>
      </c>
      <c r="B599" s="214" t="inlineStr">
        <is>
          <t>Storage 20&amp;40 Feet Container-Ex</t>
        </is>
      </c>
      <c r="C599" s="214" t="inlineStr">
        <is>
          <t>PHNOM PENH AUTONOMOUS PORT "PPAP"</t>
        </is>
      </c>
      <c r="D599" s="215" t="inlineStr">
        <is>
          <t>L001-100044999</t>
        </is>
      </c>
      <c r="E599" s="290" t="inlineStr">
        <is>
          <t>INV20250542377</t>
        </is>
      </c>
      <c r="F599" s="279" t="n">
        <v>45805</v>
      </c>
      <c r="G599" s="216" t="n"/>
      <c r="H599" s="564" t="n"/>
      <c r="I599" s="564" t="n">
        <v>14411</v>
      </c>
      <c r="J599" s="213" t="inlineStr">
        <is>
          <t>អនុញ្ញាត (បានប្រកាស)</t>
        </is>
      </c>
      <c r="K599" s="565" t="n"/>
      <c r="L599" s="563">
        <f>I599</f>
        <v/>
      </c>
      <c r="M599" s="536">
        <f>I599-L599</f>
        <v/>
      </c>
      <c r="N599" s="213" t="n"/>
      <c r="O599" s="218">
        <f>U599=E599</f>
        <v/>
      </c>
      <c r="P599" s="218">
        <f>MONTH(F599)-MONTH(T599)</f>
        <v/>
      </c>
      <c r="Q599" s="218">
        <f>$B$5=X599</f>
        <v/>
      </c>
      <c r="R599" s="218">
        <f>I599-AD599</f>
        <v/>
      </c>
      <c r="S599" s="298" t="n"/>
      <c r="T599" s="299" t="n">
        <v>45805</v>
      </c>
      <c r="U599" s="298" t="inlineStr">
        <is>
          <t>INV20250542377</t>
        </is>
      </c>
      <c r="V599" s="298" t="n">
        <v>0</v>
      </c>
      <c r="W599" s="298" t="inlineStr">
        <is>
          <t>បុគ្គលជាប់អាករ</t>
        </is>
      </c>
      <c r="X599" s="298" t="inlineStr">
        <is>
          <t>L001-901640009</t>
        </is>
      </c>
      <c r="Y599" s="298" t="inlineStr">
        <is>
          <t>ហូលីដេ ឌីហ្សាញ (ខេមបូឌា) ឯ.ក</t>
        </is>
      </c>
      <c r="Z599" s="300" t="n">
        <v>158521</v>
      </c>
      <c r="AA599" s="300" t="n">
        <v>144110</v>
      </c>
      <c r="AB599" s="298" t="n">
        <v>0</v>
      </c>
      <c r="AC599" s="298" t="inlineStr">
        <is>
          <t>-</t>
        </is>
      </c>
      <c r="AD599" s="300" t="n">
        <v>14411</v>
      </c>
      <c r="AE599" s="298" t="n">
        <v>0</v>
      </c>
      <c r="AF599" s="562" t="n">
        <v>0</v>
      </c>
      <c r="AG599" s="198" t="n">
        <v>0</v>
      </c>
      <c r="AH599" s="198" t="n">
        <v>0</v>
      </c>
      <c r="AI599" s="198" t="n">
        <v>0</v>
      </c>
      <c r="AJ599" s="198" t="n">
        <v>0</v>
      </c>
      <c r="AK599" s="198" t="n">
        <v>0</v>
      </c>
      <c r="AL599" s="198" t="n">
        <v>0.01</v>
      </c>
      <c r="AM599" s="198" t="n">
        <v>0</v>
      </c>
      <c r="AN599" s="198" t="inlineStr">
        <is>
          <t>ចំណូលពីសេវាកម្ម (លើកដាក់ទំនិញ)</t>
        </is>
      </c>
    </row>
    <row r="600">
      <c r="A600" s="212">
        <f>A599+1</f>
        <v/>
      </c>
      <c r="B600" s="214" t="inlineStr">
        <is>
          <t>Storage 20 Feet Container-Ex</t>
        </is>
      </c>
      <c r="C600" s="214" t="inlineStr">
        <is>
          <t>PHNOM PENH AUTONOMOUS PORT "PPAP"</t>
        </is>
      </c>
      <c r="D600" s="215" t="inlineStr">
        <is>
          <t>L001-100044999</t>
        </is>
      </c>
      <c r="E600" s="290" t="inlineStr">
        <is>
          <t>INV20250542375</t>
        </is>
      </c>
      <c r="F600" s="279" t="n">
        <v>45805</v>
      </c>
      <c r="G600" s="216" t="n"/>
      <c r="H600" s="564" t="n"/>
      <c r="I600" s="564" t="n">
        <v>1201</v>
      </c>
      <c r="J600" s="213" t="inlineStr">
        <is>
          <t>អនុញ្ញាត (បានប្រកាស)</t>
        </is>
      </c>
      <c r="K600" s="565" t="n"/>
      <c r="L600" s="563">
        <f>I600</f>
        <v/>
      </c>
      <c r="M600" s="536">
        <f>I600-L600</f>
        <v/>
      </c>
      <c r="N600" s="213" t="n"/>
      <c r="O600" s="218">
        <f>U600=E600</f>
        <v/>
      </c>
      <c r="P600" s="218">
        <f>MONTH(F600)-MONTH(T600)</f>
        <v/>
      </c>
      <c r="Q600" s="218">
        <f>$B$5=X600</f>
        <v/>
      </c>
      <c r="R600" s="218">
        <f>I600-AD600</f>
        <v/>
      </c>
      <c r="S600" s="298" t="n"/>
      <c r="T600" s="299" t="n">
        <v>45805</v>
      </c>
      <c r="U600" s="298" t="inlineStr">
        <is>
          <t>INV20250542375</t>
        </is>
      </c>
      <c r="V600" s="298" t="n">
        <v>0</v>
      </c>
      <c r="W600" s="298" t="inlineStr">
        <is>
          <t>បុគ្គលជាប់អាករ</t>
        </is>
      </c>
      <c r="X600" s="298" t="inlineStr">
        <is>
          <t>L001-901640009</t>
        </is>
      </c>
      <c r="Y600" s="298" t="inlineStr">
        <is>
          <t>ហូលីដេ ឌីហ្សាញ (ខេមបូឌា) ឯ.ក</t>
        </is>
      </c>
      <c r="Z600" s="300" t="n">
        <v>13211</v>
      </c>
      <c r="AA600" s="300" t="n">
        <v>12010</v>
      </c>
      <c r="AB600" s="298" t="n">
        <v>0</v>
      </c>
      <c r="AC600" s="298" t="inlineStr">
        <is>
          <t>-</t>
        </is>
      </c>
      <c r="AD600" s="300" t="n">
        <v>1201</v>
      </c>
      <c r="AE600" s="298" t="n">
        <v>0</v>
      </c>
      <c r="AF600" s="562" t="n">
        <v>0</v>
      </c>
      <c r="AG600" s="198" t="n">
        <v>0</v>
      </c>
      <c r="AH600" s="198" t="n">
        <v>0</v>
      </c>
      <c r="AI600" s="198" t="n">
        <v>0</v>
      </c>
      <c r="AJ600" s="198" t="n">
        <v>0</v>
      </c>
      <c r="AK600" s="198" t="n">
        <v>0</v>
      </c>
      <c r="AL600" s="198" t="n">
        <v>0.01</v>
      </c>
      <c r="AM600" s="198" t="n">
        <v>0</v>
      </c>
      <c r="AN600" s="198" t="inlineStr">
        <is>
          <t>ចំណូលពីសេវាកម្ម (លើកដាក់ទំនិញ)</t>
        </is>
      </c>
    </row>
    <row r="601">
      <c r="A601" s="212">
        <f>A600+1</f>
        <v/>
      </c>
      <c r="B601" s="214" t="inlineStr">
        <is>
          <t>Storage 40 Feet Container-Ex</t>
        </is>
      </c>
      <c r="C601" s="214" t="inlineStr">
        <is>
          <t>PHNOM PENH AUTONOMOUS PORT "PPAP"</t>
        </is>
      </c>
      <c r="D601" s="215" t="inlineStr">
        <is>
          <t>L001-100044999</t>
        </is>
      </c>
      <c r="E601" s="290" t="inlineStr">
        <is>
          <t>INV20250542374</t>
        </is>
      </c>
      <c r="F601" s="279" t="n">
        <v>45805</v>
      </c>
      <c r="G601" s="216" t="n"/>
      <c r="H601" s="564" t="n"/>
      <c r="I601" s="564" t="n">
        <v>2402</v>
      </c>
      <c r="J601" s="213" t="inlineStr">
        <is>
          <t>អនុញ្ញាត (បានប្រកាស)</t>
        </is>
      </c>
      <c r="K601" s="565" t="n"/>
      <c r="L601" s="563">
        <f>I601</f>
        <v/>
      </c>
      <c r="M601" s="536">
        <f>I601-L601</f>
        <v/>
      </c>
      <c r="N601" s="213" t="n"/>
      <c r="O601" s="218">
        <f>U601=E601</f>
        <v/>
      </c>
      <c r="P601" s="218">
        <f>MONTH(F601)-MONTH(T601)</f>
        <v/>
      </c>
      <c r="Q601" s="218">
        <f>$B$5=X601</f>
        <v/>
      </c>
      <c r="R601" s="218">
        <f>I601-AD601</f>
        <v/>
      </c>
      <c r="S601" s="298" t="n"/>
      <c r="T601" s="299" t="n">
        <v>45805</v>
      </c>
      <c r="U601" s="298" t="inlineStr">
        <is>
          <t>INV20250542374</t>
        </is>
      </c>
      <c r="V601" s="298" t="n">
        <v>0</v>
      </c>
      <c r="W601" s="298" t="inlineStr">
        <is>
          <t>បុគ្គលជាប់អាករ</t>
        </is>
      </c>
      <c r="X601" s="298" t="inlineStr">
        <is>
          <t>L001-901640009</t>
        </is>
      </c>
      <c r="Y601" s="298" t="inlineStr">
        <is>
          <t>ហូលីដេ ឌីហ្សាញ (ខេមបូឌា) ឯ.ក</t>
        </is>
      </c>
      <c r="Z601" s="300" t="n">
        <v>26422</v>
      </c>
      <c r="AA601" s="300" t="n">
        <v>24020</v>
      </c>
      <c r="AB601" s="298" t="n">
        <v>0</v>
      </c>
      <c r="AC601" s="298" t="inlineStr">
        <is>
          <t>-</t>
        </is>
      </c>
      <c r="AD601" s="300" t="n">
        <v>2402</v>
      </c>
      <c r="AE601" s="298" t="n">
        <v>0</v>
      </c>
      <c r="AF601" s="562" t="n">
        <v>0</v>
      </c>
      <c r="AG601" s="198" t="n">
        <v>0</v>
      </c>
      <c r="AH601" s="198" t="n">
        <v>0</v>
      </c>
      <c r="AI601" s="198" t="n">
        <v>0</v>
      </c>
      <c r="AJ601" s="198" t="n">
        <v>0</v>
      </c>
      <c r="AK601" s="198" t="n">
        <v>0</v>
      </c>
      <c r="AL601" s="198" t="n">
        <v>0.01</v>
      </c>
      <c r="AM601" s="198" t="n">
        <v>0</v>
      </c>
      <c r="AN601" s="198" t="inlineStr">
        <is>
          <t>ចំណូលពីសេវាកម្ម (លើកដាក់ទំនិញ)</t>
        </is>
      </c>
    </row>
    <row r="602">
      <c r="A602" s="212">
        <f>A601+1</f>
        <v/>
      </c>
      <c r="B602" s="214" t="inlineStr">
        <is>
          <t>Storage 40 Feet Container-Ex</t>
        </is>
      </c>
      <c r="C602" s="214" t="inlineStr">
        <is>
          <t>PHNOM PENH AUTONOMOUS PORT "PPAP"</t>
        </is>
      </c>
      <c r="D602" s="215" t="inlineStr">
        <is>
          <t>L001-100044999</t>
        </is>
      </c>
      <c r="E602" s="290" t="inlineStr">
        <is>
          <t>INV20250542372</t>
        </is>
      </c>
      <c r="F602" s="279" t="n">
        <v>45805</v>
      </c>
      <c r="G602" s="216" t="n"/>
      <c r="H602" s="564" t="n"/>
      <c r="I602" s="564" t="n">
        <v>2402</v>
      </c>
      <c r="J602" s="213" t="inlineStr">
        <is>
          <t>អនុញ្ញាត (បានប្រកាស)</t>
        </is>
      </c>
      <c r="K602" s="565" t="n"/>
      <c r="L602" s="563">
        <f>I602</f>
        <v/>
      </c>
      <c r="M602" s="536">
        <f>I602-L602</f>
        <v/>
      </c>
      <c r="N602" s="213" t="n"/>
      <c r="O602" s="218">
        <f>U602=E602</f>
        <v/>
      </c>
      <c r="P602" s="218">
        <f>MONTH(F602)-MONTH(T602)</f>
        <v/>
      </c>
      <c r="Q602" s="218">
        <f>$B$5=X602</f>
        <v/>
      </c>
      <c r="R602" s="218">
        <f>I602-AD602</f>
        <v/>
      </c>
      <c r="S602" s="298" t="n"/>
      <c r="T602" s="299" t="n">
        <v>45805</v>
      </c>
      <c r="U602" s="298" t="inlineStr">
        <is>
          <t>INV20250542372</t>
        </is>
      </c>
      <c r="V602" s="298" t="n">
        <v>0</v>
      </c>
      <c r="W602" s="298" t="inlineStr">
        <is>
          <t>បុគ្គលជាប់អាករ</t>
        </is>
      </c>
      <c r="X602" s="298" t="inlineStr">
        <is>
          <t>L001-901640009</t>
        </is>
      </c>
      <c r="Y602" s="298" t="inlineStr">
        <is>
          <t>ហូលីដេ ឌីហ្សាញ (ខេមបូឌា) ឯ.ក</t>
        </is>
      </c>
      <c r="Z602" s="300" t="n">
        <v>26422</v>
      </c>
      <c r="AA602" s="300" t="n">
        <v>24020</v>
      </c>
      <c r="AB602" s="298" t="n">
        <v>0</v>
      </c>
      <c r="AC602" s="298" t="inlineStr">
        <is>
          <t>-</t>
        </is>
      </c>
      <c r="AD602" s="300" t="n">
        <v>2402</v>
      </c>
      <c r="AE602" s="298" t="n">
        <v>0</v>
      </c>
      <c r="AF602" s="562" t="n">
        <v>0</v>
      </c>
      <c r="AG602" s="198" t="n">
        <v>0</v>
      </c>
      <c r="AH602" s="198" t="n">
        <v>0</v>
      </c>
      <c r="AI602" s="198" t="n">
        <v>0</v>
      </c>
      <c r="AJ602" s="198" t="n">
        <v>0</v>
      </c>
      <c r="AK602" s="198" t="n">
        <v>0</v>
      </c>
      <c r="AL602" s="198" t="n">
        <v>0.01</v>
      </c>
      <c r="AM602" s="198" t="n">
        <v>0</v>
      </c>
      <c r="AN602" s="198" t="inlineStr">
        <is>
          <t>ចំណូលពីសេវាកម្ម (លើកដាក់ទំនិញ)</t>
        </is>
      </c>
    </row>
    <row r="603">
      <c r="A603" s="212">
        <f>A602+1</f>
        <v/>
      </c>
      <c r="B603" s="214" t="inlineStr">
        <is>
          <t>Storage 40 Feet Container-Ex</t>
        </is>
      </c>
      <c r="C603" s="214" t="inlineStr">
        <is>
          <t>PHNOM PENH AUTONOMOUS PORT "PPAP"</t>
        </is>
      </c>
      <c r="D603" s="215" t="inlineStr">
        <is>
          <t>L001-100044999</t>
        </is>
      </c>
      <c r="E603" s="290" t="inlineStr">
        <is>
          <t>INV20250542371</t>
        </is>
      </c>
      <c r="F603" s="279" t="n">
        <v>45805</v>
      </c>
      <c r="G603" s="216" t="n"/>
      <c r="H603" s="564" t="n"/>
      <c r="I603" s="564" t="n">
        <v>2402</v>
      </c>
      <c r="J603" s="213" t="inlineStr">
        <is>
          <t>អនុញ្ញាត (បានប្រកាស)</t>
        </is>
      </c>
      <c r="K603" s="565" t="n"/>
      <c r="L603" s="563">
        <f>I603</f>
        <v/>
      </c>
      <c r="M603" s="536">
        <f>I603-L603</f>
        <v/>
      </c>
      <c r="N603" s="213" t="n"/>
      <c r="O603" s="218">
        <f>U603=E603</f>
        <v/>
      </c>
      <c r="P603" s="218">
        <f>MONTH(F603)-MONTH(T603)</f>
        <v/>
      </c>
      <c r="Q603" s="218">
        <f>$B$5=X603</f>
        <v/>
      </c>
      <c r="R603" s="218">
        <f>I603-AD603</f>
        <v/>
      </c>
      <c r="S603" s="298" t="n"/>
      <c r="T603" s="299" t="n">
        <v>45805</v>
      </c>
      <c r="U603" s="298" t="inlineStr">
        <is>
          <t>INV20250542371</t>
        </is>
      </c>
      <c r="V603" s="298" t="n">
        <v>0</v>
      </c>
      <c r="W603" s="298" t="inlineStr">
        <is>
          <t>បុគ្គលជាប់អាករ</t>
        </is>
      </c>
      <c r="X603" s="298" t="inlineStr">
        <is>
          <t>L001-901640009</t>
        </is>
      </c>
      <c r="Y603" s="298" t="inlineStr">
        <is>
          <t>ហូលីដេ ឌីហ្សាញ (ខេមបូឌា) ឯ.ក</t>
        </is>
      </c>
      <c r="Z603" s="300" t="n">
        <v>26422</v>
      </c>
      <c r="AA603" s="300" t="n">
        <v>24020</v>
      </c>
      <c r="AB603" s="298" t="n">
        <v>0</v>
      </c>
      <c r="AC603" s="298" t="inlineStr">
        <is>
          <t>-</t>
        </is>
      </c>
      <c r="AD603" s="300" t="n">
        <v>2402</v>
      </c>
      <c r="AE603" s="298" t="n">
        <v>0</v>
      </c>
      <c r="AF603" s="562" t="n">
        <v>0</v>
      </c>
      <c r="AG603" s="198" t="n">
        <v>0</v>
      </c>
      <c r="AH603" s="198" t="n">
        <v>0</v>
      </c>
      <c r="AI603" s="198" t="n">
        <v>0</v>
      </c>
      <c r="AJ603" s="198" t="n">
        <v>0</v>
      </c>
      <c r="AK603" s="198" t="n">
        <v>0</v>
      </c>
      <c r="AL603" s="198" t="n">
        <v>0.01</v>
      </c>
      <c r="AM603" s="198" t="n">
        <v>0</v>
      </c>
      <c r="AN603" s="198" t="inlineStr">
        <is>
          <t>ចំណូលពីសេវាកម្ម (លើកដាក់ទំនិញ)</t>
        </is>
      </c>
    </row>
    <row r="604">
      <c r="A604" s="212">
        <f>A603+1</f>
        <v/>
      </c>
      <c r="B604" s="214" t="inlineStr">
        <is>
          <t>Non Apply C/O Fee</t>
        </is>
      </c>
      <c r="C604" s="214" t="inlineStr">
        <is>
          <t>BRILLIANT TRANSPORT AND TRADING Co., Ltd.</t>
        </is>
      </c>
      <c r="D604" s="215" t="inlineStr">
        <is>
          <t>K002-100089305</t>
        </is>
      </c>
      <c r="E604" s="290" t="inlineStr">
        <is>
          <t>BTT25-0001166</t>
        </is>
      </c>
      <c r="F604" s="279" t="n">
        <v>45779</v>
      </c>
      <c r="G604" s="216" t="n"/>
      <c r="H604" s="564" t="n"/>
      <c r="I604" s="564" t="n">
        <v>1730865</v>
      </c>
      <c r="J604" s="213" t="inlineStr">
        <is>
          <t>អនុញ្ញាត (បានប្រកាស)</t>
        </is>
      </c>
      <c r="K604" s="565" t="n"/>
      <c r="L604" s="563">
        <f>I604</f>
        <v/>
      </c>
      <c r="M604" s="536">
        <f>I604-L604</f>
        <v/>
      </c>
      <c r="N604" s="213" t="n"/>
      <c r="O604" s="218">
        <f>U604=E604</f>
        <v/>
      </c>
      <c r="P604" s="218">
        <f>MONTH(F604)-MONTH(T604)</f>
        <v/>
      </c>
      <c r="Q604" s="218">
        <f>$B$5=X604</f>
        <v/>
      </c>
      <c r="R604" s="218">
        <f>I604-AD604</f>
        <v/>
      </c>
      <c r="S604" s="298" t="n"/>
      <c r="T604" s="299" t="n">
        <v>45779</v>
      </c>
      <c r="U604" s="298" t="inlineStr">
        <is>
          <t>BTT25-0001166</t>
        </is>
      </c>
      <c r="V604" s="298" t="n"/>
      <c r="W604" s="298" t="n"/>
      <c r="X604" s="298" t="n"/>
      <c r="Y604" s="298" t="inlineStr">
        <is>
          <t>ហូលីដេ ឌីហ្សាញ (ខេមបូឌា) ឯ.ក</t>
        </is>
      </c>
      <c r="Z604" s="300" t="n"/>
      <c r="AA604" s="300" t="n"/>
      <c r="AB604" s="298" t="n"/>
      <c r="AC604" s="298" t="n"/>
      <c r="AD604" s="300" t="n">
        <v>1730865</v>
      </c>
      <c r="AE604" s="298" t="n"/>
      <c r="AF604" s="562" t="n"/>
      <c r="AN604" s="198" t="inlineStr">
        <is>
          <t>Truking / Service</t>
        </is>
      </c>
    </row>
    <row r="605">
      <c r="A605" s="212">
        <f>A604+1</f>
        <v/>
      </c>
      <c r="B605" s="214" t="inlineStr">
        <is>
          <t>Trucking &amp; Clearance-Ex</t>
        </is>
      </c>
      <c r="C605" s="214" t="inlineStr">
        <is>
          <t>BRILLIANT TRANSPORT AND TRADING Co., Ltd.</t>
        </is>
      </c>
      <c r="D605" s="215" t="inlineStr">
        <is>
          <t>K002-100089305</t>
        </is>
      </c>
      <c r="E605" s="290" t="inlineStr">
        <is>
          <t>BTT25-0001164</t>
        </is>
      </c>
      <c r="F605" s="279" t="n">
        <v>45806</v>
      </c>
      <c r="G605" s="216" t="n"/>
      <c r="H605" s="564" t="n"/>
      <c r="I605" s="564" t="n">
        <v>203403</v>
      </c>
      <c r="J605" s="213" t="inlineStr">
        <is>
          <t>អនុញ្ញាត (បានប្រកាស)</t>
        </is>
      </c>
      <c r="K605" s="565" t="n"/>
      <c r="L605" s="563">
        <f>I605</f>
        <v/>
      </c>
      <c r="M605" s="536">
        <f>I605-L605</f>
        <v/>
      </c>
      <c r="N605" s="213" t="n"/>
      <c r="O605" s="218">
        <f>U605=E605</f>
        <v/>
      </c>
      <c r="P605" s="218">
        <f>MONTH(F605)-MONTH(T605)</f>
        <v/>
      </c>
      <c r="Q605" s="218">
        <f>$B$5=X605</f>
        <v/>
      </c>
      <c r="R605" s="218">
        <f>I605-AD605</f>
        <v/>
      </c>
      <c r="S605" s="298" t="n"/>
      <c r="T605" s="299" t="n">
        <v>45806</v>
      </c>
      <c r="U605" s="298" t="inlineStr">
        <is>
          <t>BTT25-0001164</t>
        </is>
      </c>
      <c r="V605" s="298" t="n"/>
      <c r="W605" s="298" t="n"/>
      <c r="X605" s="298" t="n"/>
      <c r="Y605" s="298" t="inlineStr">
        <is>
          <t>ហូលីដេ ឌីហ្សាញ (ខេមបូឌា) ឯ.ក</t>
        </is>
      </c>
      <c r="Z605" s="300" t="n"/>
      <c r="AA605" s="300" t="n"/>
      <c r="AB605" s="298" t="n"/>
      <c r="AC605" s="298" t="n"/>
      <c r="AD605" s="300" t="n">
        <v>203403</v>
      </c>
      <c r="AE605" s="298" t="n"/>
      <c r="AF605" s="562" t="n"/>
      <c r="AN605" s="198" t="inlineStr">
        <is>
          <t>Truking / Service</t>
        </is>
      </c>
    </row>
    <row r="606">
      <c r="A606" s="212">
        <f>A605+1</f>
        <v/>
      </c>
      <c r="B606" s="214" t="inlineStr">
        <is>
          <t>Trucking &amp; Clearance-Ex</t>
        </is>
      </c>
      <c r="C606" s="214" t="inlineStr">
        <is>
          <t>BRILLIANT TRANSPORT AND TRADING Co., Ltd.</t>
        </is>
      </c>
      <c r="D606" s="215" t="inlineStr">
        <is>
          <t>K002-100089305</t>
        </is>
      </c>
      <c r="E606" s="290" t="inlineStr">
        <is>
          <t>BTT25-0001163</t>
        </is>
      </c>
      <c r="F606" s="279" t="n">
        <v>45807</v>
      </c>
      <c r="G606" s="216" t="n"/>
      <c r="H606" s="564" t="n"/>
      <c r="I606" s="564" t="n">
        <v>191039</v>
      </c>
      <c r="J606" s="213" t="inlineStr">
        <is>
          <t>អនុញ្ញាត (បានប្រកាស)</t>
        </is>
      </c>
      <c r="K606" s="565">
        <f>L606</f>
        <v/>
      </c>
      <c r="L606" s="563">
        <f>I606</f>
        <v/>
      </c>
      <c r="M606" s="536">
        <f>I606-L606</f>
        <v/>
      </c>
      <c r="N606" s="213" t="n"/>
      <c r="O606" s="218">
        <f>U606=E606</f>
        <v/>
      </c>
      <c r="P606" s="218">
        <f>MONTH(F606)-MONTH(T606)</f>
        <v/>
      </c>
      <c r="Q606" s="218">
        <f>$B$5=X606</f>
        <v/>
      </c>
      <c r="R606" s="218">
        <f>I606-AD606</f>
        <v/>
      </c>
      <c r="S606" s="298" t="n"/>
      <c r="T606" s="299" t="n">
        <v>45807</v>
      </c>
      <c r="U606" s="298" t="inlineStr">
        <is>
          <t>BTT25-0001163</t>
        </is>
      </c>
      <c r="V606" s="298" t="n"/>
      <c r="W606" s="298" t="n"/>
      <c r="X606" s="298" t="n"/>
      <c r="Y606" s="298" t="inlineStr">
        <is>
          <t>ហូលីដេ ឌីហ្សាញ (ខេមបូឌា) ឯ.ក</t>
        </is>
      </c>
      <c r="Z606" s="300" t="n"/>
      <c r="AA606" s="300" t="n"/>
      <c r="AB606" s="298" t="n"/>
      <c r="AC606" s="298" t="n"/>
      <c r="AD606" s="300" t="n">
        <v>191039</v>
      </c>
      <c r="AE606" s="298" t="n"/>
      <c r="AF606" s="562" t="n"/>
      <c r="AN606" s="198" t="inlineStr">
        <is>
          <t>Truking / Service</t>
        </is>
      </c>
    </row>
    <row r="607">
      <c r="A607" s="212">
        <f>A606+1</f>
        <v/>
      </c>
      <c r="B607" s="214" t="inlineStr">
        <is>
          <t>Trucking &amp; Clearance-Ex</t>
        </is>
      </c>
      <c r="C607" s="214" t="inlineStr">
        <is>
          <t>BRILLIANT TRANSPORT AND TRADING Co., Ltd.</t>
        </is>
      </c>
      <c r="D607" s="215" t="inlineStr">
        <is>
          <t>K002-100089305</t>
        </is>
      </c>
      <c r="E607" s="290" t="inlineStr">
        <is>
          <t>BTT25-0001162</t>
        </is>
      </c>
      <c r="F607" s="279" t="n">
        <v>45806</v>
      </c>
      <c r="G607" s="216" t="n"/>
      <c r="H607" s="564" t="n"/>
      <c r="I607" s="564" t="n">
        <v>406806</v>
      </c>
      <c r="J607" s="213" t="inlineStr">
        <is>
          <t>អនុញ្ញាត (បានប្រកាស)</t>
        </is>
      </c>
      <c r="K607" s="565" t="n"/>
      <c r="L607" s="563">
        <f>I607</f>
        <v/>
      </c>
      <c r="M607" s="536">
        <f>I607-L607</f>
        <v/>
      </c>
      <c r="N607" s="213" t="n"/>
      <c r="O607" s="218">
        <f>U607=E607</f>
        <v/>
      </c>
      <c r="P607" s="218">
        <f>MONTH(F607)-MONTH(T607)</f>
        <v/>
      </c>
      <c r="Q607" s="218">
        <f>$B$5=X607</f>
        <v/>
      </c>
      <c r="R607" s="218">
        <f>I607-AD607</f>
        <v/>
      </c>
      <c r="S607" s="298" t="n"/>
      <c r="T607" s="299" t="n">
        <v>45806</v>
      </c>
      <c r="U607" s="298" t="inlineStr">
        <is>
          <t>BTT25-0001162</t>
        </is>
      </c>
      <c r="V607" s="298" t="n"/>
      <c r="W607" s="298" t="n"/>
      <c r="X607" s="298" t="n"/>
      <c r="Y607" s="298" t="inlineStr">
        <is>
          <t>ហូលីដេ ឌីហ្សាញ (ខេមបូឌា) ឯ.ក</t>
        </is>
      </c>
      <c r="Z607" s="300" t="n"/>
      <c r="AA607" s="300" t="n"/>
      <c r="AB607" s="298" t="n"/>
      <c r="AC607" s="298" t="n"/>
      <c r="AD607" s="300" t="n">
        <v>406806</v>
      </c>
      <c r="AE607" s="298" t="n"/>
      <c r="AF607" s="562" t="n"/>
      <c r="AN607" s="198" t="inlineStr">
        <is>
          <t>Truking / Service</t>
        </is>
      </c>
    </row>
    <row r="608">
      <c r="A608" s="212">
        <f>A607+1</f>
        <v/>
      </c>
      <c r="B608" s="214" t="inlineStr">
        <is>
          <t>Trucking &amp; Clearance-Ex</t>
        </is>
      </c>
      <c r="C608" s="214" t="inlineStr">
        <is>
          <t>BRILLIANT TRANSPORT AND TRADING Co., Ltd.</t>
        </is>
      </c>
      <c r="D608" s="215" t="inlineStr">
        <is>
          <t>K002-100089305</t>
        </is>
      </c>
      <c r="E608" s="290" t="inlineStr">
        <is>
          <t>BTT25-0001161</t>
        </is>
      </c>
      <c r="F608" s="279" t="n">
        <v>45806</v>
      </c>
      <c r="G608" s="216" t="n"/>
      <c r="H608" s="564" t="n"/>
      <c r="I608" s="564" t="n">
        <v>406806</v>
      </c>
      <c r="J608" s="213" t="inlineStr">
        <is>
          <t>អនុញ្ញាត (បានប្រកាស)</t>
        </is>
      </c>
      <c r="K608" s="565">
        <f>L608</f>
        <v/>
      </c>
      <c r="L608" s="563">
        <f>I608</f>
        <v/>
      </c>
      <c r="M608" s="536">
        <f>I608-L608</f>
        <v/>
      </c>
      <c r="N608" s="213" t="n"/>
      <c r="O608" s="218">
        <f>U608=E608</f>
        <v/>
      </c>
      <c r="P608" s="218">
        <f>MONTH(F608)-MONTH(T608)</f>
        <v/>
      </c>
      <c r="Q608" s="218">
        <f>$B$5=X608</f>
        <v/>
      </c>
      <c r="R608" s="218">
        <f>I608-AD608</f>
        <v/>
      </c>
      <c r="S608" s="298" t="n"/>
      <c r="T608" s="299" t="n">
        <v>45806</v>
      </c>
      <c r="U608" s="298" t="inlineStr">
        <is>
          <t>BTT25-0001161</t>
        </is>
      </c>
      <c r="V608" s="298" t="n"/>
      <c r="W608" s="298" t="n"/>
      <c r="X608" s="298" t="n"/>
      <c r="Y608" s="298" t="inlineStr">
        <is>
          <t>ហូលីដេ ឌីហ្សាញ (ខេមបូឌា) ឯ.ក</t>
        </is>
      </c>
      <c r="Z608" s="300" t="n"/>
      <c r="AA608" s="300" t="n"/>
      <c r="AB608" s="298" t="n"/>
      <c r="AC608" s="298" t="n"/>
      <c r="AD608" s="300" t="n">
        <v>406806</v>
      </c>
      <c r="AE608" s="298" t="n"/>
      <c r="AF608" s="562" t="n"/>
      <c r="AN608" s="198" t="inlineStr">
        <is>
          <t>Truking / Service</t>
        </is>
      </c>
    </row>
    <row r="609">
      <c r="A609" s="212">
        <f>A608+1</f>
        <v/>
      </c>
      <c r="B609" s="214" t="inlineStr">
        <is>
          <t>Trucking &amp; Clearance-Ex</t>
        </is>
      </c>
      <c r="C609" s="214" t="inlineStr">
        <is>
          <t>BRILLIANT TRANSPORT AND TRADING Co., Ltd.</t>
        </is>
      </c>
      <c r="D609" s="215" t="inlineStr">
        <is>
          <t>K002-100089305</t>
        </is>
      </c>
      <c r="E609" s="290" t="inlineStr">
        <is>
          <t>BTT25-0001160</t>
        </is>
      </c>
      <c r="F609" s="279" t="n">
        <v>45806</v>
      </c>
      <c r="G609" s="216" t="n"/>
      <c r="H609" s="564" t="n"/>
      <c r="I609" s="564" t="n">
        <v>203403</v>
      </c>
      <c r="J609" s="213" t="inlineStr">
        <is>
          <t>អនុញ្ញាត (បានប្រកាស)</t>
        </is>
      </c>
      <c r="K609" s="565" t="n"/>
      <c r="L609" s="563">
        <f>I609</f>
        <v/>
      </c>
      <c r="M609" s="536">
        <f>I609-L609</f>
        <v/>
      </c>
      <c r="N609" s="213" t="n"/>
      <c r="O609" s="218">
        <f>U609=E609</f>
        <v/>
      </c>
      <c r="P609" s="218">
        <f>MONTH(F609)-MONTH(T609)</f>
        <v/>
      </c>
      <c r="Q609" s="218">
        <f>$B$5=X609</f>
        <v/>
      </c>
      <c r="R609" s="218">
        <f>I609-AD609</f>
        <v/>
      </c>
      <c r="S609" s="298" t="n"/>
      <c r="T609" s="299" t="n">
        <v>45806</v>
      </c>
      <c r="U609" s="298" t="inlineStr">
        <is>
          <t>BTT25-0001160</t>
        </is>
      </c>
      <c r="V609" s="298" t="n"/>
      <c r="W609" s="298" t="n"/>
      <c r="X609" s="298" t="n"/>
      <c r="Y609" s="298" t="inlineStr">
        <is>
          <t>ហូលីដេ ឌីហ្សាញ (ខេមបូឌា) ឯ.ក</t>
        </is>
      </c>
      <c r="Z609" s="300" t="n"/>
      <c r="AA609" s="300" t="n"/>
      <c r="AB609" s="298" t="n"/>
      <c r="AC609" s="298" t="n"/>
      <c r="AD609" s="300" t="n">
        <v>203403</v>
      </c>
      <c r="AE609" s="298" t="n"/>
      <c r="AF609" s="562" t="n"/>
      <c r="AN609" s="198" t="inlineStr">
        <is>
          <t>Truking / Service</t>
        </is>
      </c>
    </row>
    <row r="610">
      <c r="A610" s="212">
        <f>A609+1</f>
        <v/>
      </c>
      <c r="B610" s="214" t="inlineStr">
        <is>
          <t>Trucking &amp; Clearance-Ex</t>
        </is>
      </c>
      <c r="C610" s="214" t="inlineStr">
        <is>
          <t>BRILLIANT TRANSPORT AND TRADING Co., Ltd.</t>
        </is>
      </c>
      <c r="D610" s="215" t="inlineStr">
        <is>
          <t>K002-100089305</t>
        </is>
      </c>
      <c r="E610" s="290" t="inlineStr">
        <is>
          <t>BTT25-0001117</t>
        </is>
      </c>
      <c r="F610" s="279" t="n">
        <v>45800</v>
      </c>
      <c r="G610" s="216" t="n"/>
      <c r="H610" s="564" t="n"/>
      <c r="I610" s="564" t="n">
        <v>813410</v>
      </c>
      <c r="J610" s="213" t="inlineStr">
        <is>
          <t>អនុញ្ញាត (បានប្រកាស)</t>
        </is>
      </c>
      <c r="K610" s="565">
        <f>L610</f>
        <v/>
      </c>
      <c r="L610" s="563">
        <f>I610</f>
        <v/>
      </c>
      <c r="M610" s="536">
        <f>I610-L610</f>
        <v/>
      </c>
      <c r="N610" s="213" t="n"/>
      <c r="O610" s="218">
        <f>U610=E610</f>
        <v/>
      </c>
      <c r="P610" s="218">
        <f>MONTH(F610)-MONTH(T610)</f>
        <v/>
      </c>
      <c r="Q610" s="218">
        <f>$B$5=X610</f>
        <v/>
      </c>
      <c r="R610" s="218">
        <f>I610-AD610</f>
        <v/>
      </c>
      <c r="S610" s="298" t="n"/>
      <c r="T610" s="299" t="n">
        <v>45800</v>
      </c>
      <c r="U610" s="298" t="inlineStr">
        <is>
          <t>BTT25-0001117</t>
        </is>
      </c>
      <c r="V610" s="298" t="n"/>
      <c r="W610" s="298" t="n"/>
      <c r="X610" s="298" t="n"/>
      <c r="Y610" s="298" t="inlineStr">
        <is>
          <t>ហូលីដេ ឌីហ្សាញ (ខេមបូឌា) ឯ.ក</t>
        </is>
      </c>
      <c r="Z610" s="300" t="n"/>
      <c r="AA610" s="300" t="n"/>
      <c r="AB610" s="298" t="n"/>
      <c r="AC610" s="298" t="n"/>
      <c r="AD610" s="300" t="n">
        <v>813410</v>
      </c>
      <c r="AE610" s="298" t="n"/>
      <c r="AF610" s="562" t="n"/>
      <c r="AN610" s="198" t="inlineStr">
        <is>
          <t>Truking / Service</t>
        </is>
      </c>
    </row>
    <row r="611">
      <c r="A611" s="212">
        <f>A610+1</f>
        <v/>
      </c>
      <c r="B611" s="214" t="inlineStr">
        <is>
          <t>Lift-Off-Ex</t>
        </is>
      </c>
      <c r="C611" s="214" t="inlineStr">
        <is>
          <t>PHNOM PENH AUTONOMOUS PORT "PPAP"</t>
        </is>
      </c>
      <c r="D611" s="215" t="inlineStr">
        <is>
          <t>L001-100044999</t>
        </is>
      </c>
      <c r="E611" s="290" t="inlineStr">
        <is>
          <t>INV20250539563</t>
        </is>
      </c>
      <c r="F611" s="279" t="n">
        <v>45797</v>
      </c>
      <c r="G611" s="216" t="n"/>
      <c r="H611" s="564" t="n"/>
      <c r="I611" s="564" t="n">
        <v>28021</v>
      </c>
      <c r="J611" s="213" t="inlineStr">
        <is>
          <t>អនុញ្ញាត (បានប្រកាស)</t>
        </is>
      </c>
      <c r="K611" s="565">
        <f>L611</f>
        <v/>
      </c>
      <c r="L611" s="563">
        <f>AD611</f>
        <v/>
      </c>
      <c r="M611" s="536">
        <f>I611-L611</f>
        <v/>
      </c>
      <c r="N611" s="213" t="n"/>
      <c r="O611" s="218">
        <f>U611=E611</f>
        <v/>
      </c>
      <c r="P611" s="218">
        <f>MONTH(F611)-MONTH(T611)</f>
        <v/>
      </c>
      <c r="Q611" s="218">
        <f>$B$5=X611</f>
        <v/>
      </c>
      <c r="R611" s="218">
        <f>I611-AD611</f>
        <v/>
      </c>
      <c r="S611" s="298" t="n"/>
      <c r="T611" s="299" t="n">
        <v>45797</v>
      </c>
      <c r="U611" s="298" t="inlineStr">
        <is>
          <t>INV20250539563</t>
        </is>
      </c>
      <c r="V611" s="298" t="n">
        <v>0</v>
      </c>
      <c r="W611" s="298" t="inlineStr">
        <is>
          <t>បុគ្គលជាប់អាករ</t>
        </is>
      </c>
      <c r="X611" s="298" t="inlineStr">
        <is>
          <t>L001-901640009</t>
        </is>
      </c>
      <c r="Y611" s="298" t="inlineStr">
        <is>
          <t>ហូលីដេ ឌីហ្សាញ (ខេមបូឌា) ឯ.ក</t>
        </is>
      </c>
      <c r="Z611" s="300" t="n">
        <v>308154</v>
      </c>
      <c r="AA611" s="300" t="n">
        <v>280140</v>
      </c>
      <c r="AB611" s="298" t="n">
        <v>0</v>
      </c>
      <c r="AC611" s="298" t="inlineStr">
        <is>
          <t>-</t>
        </is>
      </c>
      <c r="AD611" s="300" t="n">
        <v>28014</v>
      </c>
      <c r="AE611" s="298" t="n">
        <v>0</v>
      </c>
      <c r="AF611" s="562" t="n">
        <v>0</v>
      </c>
      <c r="AG611" s="198" t="n">
        <v>0</v>
      </c>
      <c r="AH611" s="198" t="n">
        <v>0</v>
      </c>
      <c r="AI611" s="198" t="n">
        <v>0</v>
      </c>
      <c r="AJ611" s="198" t="n">
        <v>0</v>
      </c>
      <c r="AK611" s="198" t="n">
        <v>0</v>
      </c>
      <c r="AL611" s="198" t="n">
        <v>0.01</v>
      </c>
      <c r="AM611" s="198" t="n">
        <v>0</v>
      </c>
      <c r="AN611" s="198" t="inlineStr">
        <is>
          <t>ចំណូលពីសេវាកម្ម (លើកដាក់ទំនិញ)</t>
        </is>
      </c>
    </row>
    <row r="612">
      <c r="A612" s="212">
        <f>A611+1</f>
        <v/>
      </c>
      <c r="B612" s="214" t="inlineStr">
        <is>
          <t>Lift-Off-Ex</t>
        </is>
      </c>
      <c r="C612" s="214" t="inlineStr">
        <is>
          <t>PHNOM PENH AUTONOMOUS PORT "PPAP"</t>
        </is>
      </c>
      <c r="D612" s="215" t="inlineStr">
        <is>
          <t>L001-100044999</t>
        </is>
      </c>
      <c r="E612" s="290" t="inlineStr">
        <is>
          <t>INV20250539554</t>
        </is>
      </c>
      <c r="F612" s="279" t="n">
        <v>45797</v>
      </c>
      <c r="G612" s="216" t="n"/>
      <c r="H612" s="564" t="n"/>
      <c r="I612" s="564" t="n">
        <v>28021</v>
      </c>
      <c r="J612" s="213" t="inlineStr">
        <is>
          <t>អនុញ្ញាត (បានប្រកាស)</t>
        </is>
      </c>
      <c r="K612" s="565">
        <f>L612</f>
        <v/>
      </c>
      <c r="L612" s="563">
        <f>AD612</f>
        <v/>
      </c>
      <c r="M612" s="536">
        <f>I612-L612</f>
        <v/>
      </c>
      <c r="N612" s="213" t="n"/>
      <c r="O612" s="218">
        <f>U612=E612</f>
        <v/>
      </c>
      <c r="P612" s="218">
        <f>MONTH(F612)-MONTH(T612)</f>
        <v/>
      </c>
      <c r="Q612" s="218">
        <f>$B$5=X612</f>
        <v/>
      </c>
      <c r="R612" s="218">
        <f>I612-AD612</f>
        <v/>
      </c>
      <c r="S612" s="298" t="n"/>
      <c r="T612" s="299" t="n">
        <v>45797</v>
      </c>
      <c r="U612" s="298" t="inlineStr">
        <is>
          <t>INV20250539554</t>
        </is>
      </c>
      <c r="V612" s="298" t="n">
        <v>0</v>
      </c>
      <c r="W612" s="298" t="inlineStr">
        <is>
          <t>បុគ្គលជាប់អាករ</t>
        </is>
      </c>
      <c r="X612" s="298" t="inlineStr">
        <is>
          <t>L001-901640009</t>
        </is>
      </c>
      <c r="Y612" s="298" t="inlineStr">
        <is>
          <t>ហូលីដេ ឌីហ្សាញ (ខេមបូឌា) ឯ.ក</t>
        </is>
      </c>
      <c r="Z612" s="300" t="n">
        <v>308154</v>
      </c>
      <c r="AA612" s="300" t="n">
        <v>280140</v>
      </c>
      <c r="AB612" s="298" t="n">
        <v>0</v>
      </c>
      <c r="AC612" s="298" t="inlineStr">
        <is>
          <t>-</t>
        </is>
      </c>
      <c r="AD612" s="300" t="n">
        <v>28014</v>
      </c>
      <c r="AE612" s="298" t="n">
        <v>0</v>
      </c>
      <c r="AF612" s="562" t="n">
        <v>0</v>
      </c>
      <c r="AG612" s="198" t="n">
        <v>0</v>
      </c>
      <c r="AH612" s="198" t="n">
        <v>0</v>
      </c>
      <c r="AI612" s="198" t="n">
        <v>0</v>
      </c>
      <c r="AJ612" s="198" t="n">
        <v>0</v>
      </c>
      <c r="AK612" s="198" t="n">
        <v>0</v>
      </c>
      <c r="AL612" s="198" t="n">
        <v>0.01</v>
      </c>
      <c r="AM612" s="198" t="n">
        <v>0</v>
      </c>
      <c r="AN612" s="198" t="inlineStr">
        <is>
          <t>ចំណូលពីសេវាកម្ម (លើកដាក់ទំនិញ)</t>
        </is>
      </c>
    </row>
    <row r="613">
      <c r="A613" s="212">
        <f>A612+1</f>
        <v/>
      </c>
      <c r="B613" s="214" t="inlineStr">
        <is>
          <t>Trucking &amp; Clearance-Ex</t>
        </is>
      </c>
      <c r="C613" s="214" t="inlineStr">
        <is>
          <t>BRILLIANT TRANSPORT AND TRADING Co., Ltd.</t>
        </is>
      </c>
      <c r="D613" s="215" t="inlineStr">
        <is>
          <t>K002-100089305</t>
        </is>
      </c>
      <c r="E613" s="290" t="inlineStr">
        <is>
          <t>BTT25-0001032</t>
        </is>
      </c>
      <c r="F613" s="279" t="n">
        <v>45793</v>
      </c>
      <c r="G613" s="216" t="n"/>
      <c r="H613" s="564" t="n"/>
      <c r="I613" s="564" t="n">
        <v>203302</v>
      </c>
      <c r="J613" s="213" t="inlineStr">
        <is>
          <t>អនុញ្ញាត (បានប្រកាស)</t>
        </is>
      </c>
      <c r="K613" s="565" t="n"/>
      <c r="L613" s="563">
        <f>I613</f>
        <v/>
      </c>
      <c r="M613" s="536">
        <f>I613-L613</f>
        <v/>
      </c>
      <c r="N613" s="213" t="n"/>
      <c r="O613" s="218">
        <f>U613=E613</f>
        <v/>
      </c>
      <c r="P613" s="218">
        <f>MONTH(F613)-MONTH(T613)</f>
        <v/>
      </c>
      <c r="Q613" s="218">
        <f>$B$5=X613</f>
        <v/>
      </c>
      <c r="R613" s="218">
        <f>I613-AD613</f>
        <v/>
      </c>
      <c r="S613" s="298" t="n"/>
      <c r="T613" s="299" t="n">
        <v>45793</v>
      </c>
      <c r="U613" s="298" t="inlineStr">
        <is>
          <t>BTT25-0001032</t>
        </is>
      </c>
      <c r="V613" s="298" t="n"/>
      <c r="W613" s="298" t="n"/>
      <c r="X613" s="298" t="n"/>
      <c r="Y613" s="298" t="inlineStr">
        <is>
          <t>ហូលីដេ ឌីហ្សាញ (ខេមបូឌា) ឯ.ក</t>
        </is>
      </c>
      <c r="Z613" s="300" t="n"/>
      <c r="AA613" s="300" t="n"/>
      <c r="AB613" s="298" t="n"/>
      <c r="AC613" s="298" t="n"/>
      <c r="AD613" s="300" t="n">
        <v>203302</v>
      </c>
      <c r="AE613" s="298" t="n"/>
      <c r="AF613" s="562" t="n"/>
      <c r="AN613" s="198" t="inlineStr">
        <is>
          <t>Truking / Service</t>
        </is>
      </c>
    </row>
    <row r="614">
      <c r="A614" s="212">
        <f>A613+1</f>
        <v/>
      </c>
      <c r="B614" s="214" t="inlineStr">
        <is>
          <t>Lift-Off-Ex</t>
        </is>
      </c>
      <c r="C614" s="214" t="inlineStr">
        <is>
          <t>PHNOM PENH AUTONOMOUS PORT "PPAP"</t>
        </is>
      </c>
      <c r="D614" s="215" t="inlineStr">
        <is>
          <t>L001-100044999</t>
        </is>
      </c>
      <c r="E614" s="290" t="inlineStr">
        <is>
          <t>INV20250539555</t>
        </is>
      </c>
      <c r="F614" s="279" t="n">
        <v>45797</v>
      </c>
      <c r="G614" s="216" t="n"/>
      <c r="H614" s="564" t="n"/>
      <c r="I614" s="564" t="n">
        <v>28021</v>
      </c>
      <c r="J614" s="213" t="inlineStr">
        <is>
          <t>អនុញ្ញាត (បានប្រកាស)</t>
        </is>
      </c>
      <c r="K614" s="565">
        <f>L614</f>
        <v/>
      </c>
      <c r="L614" s="563">
        <f>AD614</f>
        <v/>
      </c>
      <c r="M614" s="536">
        <f>I614-L614</f>
        <v/>
      </c>
      <c r="N614" s="213" t="n"/>
      <c r="O614" s="218">
        <f>U614=E614</f>
        <v/>
      </c>
      <c r="P614" s="218">
        <f>MONTH(F614)-MONTH(T614)</f>
        <v/>
      </c>
      <c r="Q614" s="218">
        <f>$B$5=X614</f>
        <v/>
      </c>
      <c r="R614" s="218">
        <f>I614-AD614</f>
        <v/>
      </c>
      <c r="S614" s="298" t="n"/>
      <c r="T614" s="299" t="n">
        <v>45797</v>
      </c>
      <c r="U614" s="298" t="inlineStr">
        <is>
          <t>INV20250539555</t>
        </is>
      </c>
      <c r="V614" s="298" t="n">
        <v>0</v>
      </c>
      <c r="W614" s="298" t="inlineStr">
        <is>
          <t>បុគ្គលជាប់អាករ</t>
        </is>
      </c>
      <c r="X614" s="298" t="inlineStr">
        <is>
          <t>L001-901640009</t>
        </is>
      </c>
      <c r="Y614" s="298" t="inlineStr">
        <is>
          <t>ហូលីដេ ឌីហ្សាញ (ខេមបូឌា) ឯ.ក</t>
        </is>
      </c>
      <c r="Z614" s="300" t="n">
        <v>308154</v>
      </c>
      <c r="AA614" s="300" t="n">
        <v>280140</v>
      </c>
      <c r="AB614" s="298" t="n">
        <v>0</v>
      </c>
      <c r="AC614" s="298" t="inlineStr">
        <is>
          <t>-</t>
        </is>
      </c>
      <c r="AD614" s="300" t="n">
        <v>28014</v>
      </c>
      <c r="AE614" s="298" t="n">
        <v>0</v>
      </c>
      <c r="AF614" s="562" t="n">
        <v>0</v>
      </c>
      <c r="AG614" s="198" t="n">
        <v>0</v>
      </c>
      <c r="AH614" s="198" t="n">
        <v>0</v>
      </c>
      <c r="AI614" s="198" t="n">
        <v>0</v>
      </c>
      <c r="AJ614" s="198" t="n">
        <v>0</v>
      </c>
      <c r="AK614" s="198" t="n">
        <v>0</v>
      </c>
      <c r="AL614" s="198" t="n">
        <v>0.01</v>
      </c>
      <c r="AM614" s="198" t="n">
        <v>0</v>
      </c>
      <c r="AN614" s="198" t="inlineStr">
        <is>
          <t>ចំណូលពីសេវាកម្ម (លើកដាក់ទំនិញ)</t>
        </is>
      </c>
    </row>
    <row r="615">
      <c r="A615" s="212">
        <f>A614+1</f>
        <v/>
      </c>
      <c r="B615" s="214" t="inlineStr">
        <is>
          <t>Trucking &amp; Clearance-Ex</t>
        </is>
      </c>
      <c r="C615" s="214" t="inlineStr">
        <is>
          <t>BRILLIANT TRANSPORT AND TRADING Co., Ltd.</t>
        </is>
      </c>
      <c r="D615" s="215" t="inlineStr">
        <is>
          <t>K002-100089305</t>
        </is>
      </c>
      <c r="E615" s="290" t="inlineStr">
        <is>
          <t>BTT25-0001031</t>
        </is>
      </c>
      <c r="F615" s="279" t="n">
        <v>45793</v>
      </c>
      <c r="G615" s="216" t="n"/>
      <c r="H615" s="564" t="n"/>
      <c r="I615" s="564" t="n">
        <v>203302</v>
      </c>
      <c r="J615" s="213" t="inlineStr">
        <is>
          <t>អនុញ្ញាត (បានប្រកាស)</t>
        </is>
      </c>
      <c r="K615" s="565" t="n"/>
      <c r="L615" s="563">
        <f>I615</f>
        <v/>
      </c>
      <c r="M615" s="536">
        <f>I615-L615</f>
        <v/>
      </c>
      <c r="N615" s="213" t="n"/>
      <c r="O615" s="218">
        <f>U615=E615</f>
        <v/>
      </c>
      <c r="P615" s="218">
        <f>MONTH(F615)-MONTH(T615)</f>
        <v/>
      </c>
      <c r="Q615" s="218">
        <f>$B$5=X615</f>
        <v/>
      </c>
      <c r="R615" s="218">
        <f>I615-AD615</f>
        <v/>
      </c>
      <c r="S615" s="298" t="n"/>
      <c r="T615" s="299" t="n">
        <v>45793</v>
      </c>
      <c r="U615" s="298" t="inlineStr">
        <is>
          <t>BTT25-0001031</t>
        </is>
      </c>
      <c r="V615" s="298" t="n"/>
      <c r="W615" s="298" t="n"/>
      <c r="X615" s="298" t="n"/>
      <c r="Y615" s="298" t="inlineStr">
        <is>
          <t>ហូលីដេ ឌីហ្សាញ (ខេមបូឌា) ឯ.ក</t>
        </is>
      </c>
      <c r="Z615" s="300" t="n"/>
      <c r="AA615" s="300" t="n"/>
      <c r="AB615" s="298" t="n"/>
      <c r="AC615" s="298" t="n"/>
      <c r="AD615" s="300" t="n">
        <v>203302</v>
      </c>
      <c r="AE615" s="298" t="n"/>
      <c r="AF615" s="562" t="n"/>
      <c r="AN615" s="198" t="inlineStr">
        <is>
          <t>Truking / Service</t>
        </is>
      </c>
    </row>
    <row r="616">
      <c r="A616" s="212">
        <f>A615+1</f>
        <v/>
      </c>
      <c r="B616" s="214" t="inlineStr">
        <is>
          <t>Lift-Off-Ex</t>
        </is>
      </c>
      <c r="C616" s="214" t="inlineStr">
        <is>
          <t>PHNOM PENH AUTONOMOUS PORT "PPAP"</t>
        </is>
      </c>
      <c r="D616" s="215" t="inlineStr">
        <is>
          <t>L001-100044999</t>
        </is>
      </c>
      <c r="E616" s="290" t="inlineStr">
        <is>
          <t>INV20250539556</t>
        </is>
      </c>
      <c r="F616" s="279" t="n">
        <v>45797</v>
      </c>
      <c r="G616" s="216" t="n"/>
      <c r="H616" s="564" t="n"/>
      <c r="I616" s="564" t="n">
        <v>28021</v>
      </c>
      <c r="J616" s="213" t="inlineStr">
        <is>
          <t>អនុញ្ញាត (បានប្រកាស)</t>
        </is>
      </c>
      <c r="K616" s="565">
        <f>L616</f>
        <v/>
      </c>
      <c r="L616" s="563">
        <f>AD616</f>
        <v/>
      </c>
      <c r="M616" s="536">
        <f>I616-L616</f>
        <v/>
      </c>
      <c r="N616" s="213" t="n"/>
      <c r="O616" s="218">
        <f>U616=E616</f>
        <v/>
      </c>
      <c r="P616" s="218">
        <f>MONTH(F616)-MONTH(T616)</f>
        <v/>
      </c>
      <c r="Q616" s="218">
        <f>$B$5=X616</f>
        <v/>
      </c>
      <c r="R616" s="218">
        <f>I616-AD616</f>
        <v/>
      </c>
      <c r="S616" s="298" t="n"/>
      <c r="T616" s="299" t="n">
        <v>45797</v>
      </c>
      <c r="U616" s="298" t="inlineStr">
        <is>
          <t>INV20250539556</t>
        </is>
      </c>
      <c r="V616" s="298" t="n">
        <v>0</v>
      </c>
      <c r="W616" s="298" t="inlineStr">
        <is>
          <t>បុគ្គលជាប់អាករ</t>
        </is>
      </c>
      <c r="X616" s="298" t="inlineStr">
        <is>
          <t>L001-901640009</t>
        </is>
      </c>
      <c r="Y616" s="298" t="inlineStr">
        <is>
          <t>ហូលីដេ ឌីហ្សាញ (ខេមបូឌា) ឯ.ក</t>
        </is>
      </c>
      <c r="Z616" s="300" t="n">
        <v>308154</v>
      </c>
      <c r="AA616" s="300" t="n">
        <v>280140</v>
      </c>
      <c r="AB616" s="298" t="n">
        <v>0</v>
      </c>
      <c r="AC616" s="298" t="inlineStr">
        <is>
          <t>-</t>
        </is>
      </c>
      <c r="AD616" s="300" t="n">
        <v>28014</v>
      </c>
      <c r="AE616" s="298" t="n">
        <v>0</v>
      </c>
      <c r="AF616" s="562" t="n">
        <v>0</v>
      </c>
      <c r="AG616" s="198" t="n">
        <v>0</v>
      </c>
      <c r="AH616" s="198" t="n">
        <v>0</v>
      </c>
      <c r="AI616" s="198" t="n">
        <v>0</v>
      </c>
      <c r="AJ616" s="198" t="n">
        <v>0</v>
      </c>
      <c r="AK616" s="198" t="n">
        <v>0</v>
      </c>
      <c r="AL616" s="198" t="n">
        <v>0.01</v>
      </c>
      <c r="AM616" s="198" t="n">
        <v>0</v>
      </c>
      <c r="AN616" s="198" t="inlineStr">
        <is>
          <t>ចំណូលពីសេវាកម្ម (លើកដាក់ទំនិញ)</t>
        </is>
      </c>
    </row>
    <row r="617">
      <c r="A617" s="212">
        <f>A616+1</f>
        <v/>
      </c>
      <c r="B617" s="214" t="inlineStr">
        <is>
          <t>Trucking &amp; Clearance-Ex</t>
        </is>
      </c>
      <c r="C617" s="214" t="inlineStr">
        <is>
          <t>BRILLIANT TRANSPORT AND TRADING Co., Ltd.</t>
        </is>
      </c>
      <c r="D617" s="215" t="inlineStr">
        <is>
          <t>K002-100089305</t>
        </is>
      </c>
      <c r="E617" s="290" t="inlineStr">
        <is>
          <t>BTT25-0001030</t>
        </is>
      </c>
      <c r="F617" s="279" t="n">
        <v>45793</v>
      </c>
      <c r="G617" s="216" t="n"/>
      <c r="H617" s="564" t="n"/>
      <c r="I617" s="564" t="n">
        <v>203302</v>
      </c>
      <c r="J617" s="213" t="inlineStr">
        <is>
          <t>អនុញ្ញាត (បានប្រកាស)</t>
        </is>
      </c>
      <c r="K617" s="565" t="n"/>
      <c r="L617" s="563">
        <f>I617</f>
        <v/>
      </c>
      <c r="M617" s="536">
        <f>I617-L617</f>
        <v/>
      </c>
      <c r="N617" s="213" t="n"/>
      <c r="O617" s="218">
        <f>U617=E617</f>
        <v/>
      </c>
      <c r="P617" s="218">
        <f>MONTH(F617)-MONTH(T617)</f>
        <v/>
      </c>
      <c r="Q617" s="218">
        <f>$B$5=X617</f>
        <v/>
      </c>
      <c r="R617" s="218">
        <f>I617-AD617</f>
        <v/>
      </c>
      <c r="S617" s="298" t="n"/>
      <c r="T617" s="299" t="n">
        <v>45793</v>
      </c>
      <c r="U617" s="298" t="inlineStr">
        <is>
          <t>BTT25-0001030</t>
        </is>
      </c>
      <c r="V617" s="298" t="n"/>
      <c r="W617" s="298" t="n"/>
      <c r="X617" s="298" t="n"/>
      <c r="Y617" s="298" t="inlineStr">
        <is>
          <t>ហូលីដេ ឌីហ្សាញ (ខេមបូឌា) ឯ.ក</t>
        </is>
      </c>
      <c r="Z617" s="300" t="n"/>
      <c r="AA617" s="300" t="n"/>
      <c r="AB617" s="298" t="n"/>
      <c r="AC617" s="298" t="n"/>
      <c r="AD617" s="300" t="n">
        <v>203302</v>
      </c>
      <c r="AE617" s="298" t="n"/>
      <c r="AF617" s="562" t="n"/>
      <c r="AN617" s="198" t="inlineStr">
        <is>
          <t>Truking / Service</t>
        </is>
      </c>
    </row>
    <row r="618" ht="23.4" customHeight="1" s="331" thickBot="1">
      <c r="A618" s="212">
        <f>A617+1</f>
        <v/>
      </c>
      <c r="B618" s="214" t="inlineStr">
        <is>
          <t>Lift-Off-Ex</t>
        </is>
      </c>
      <c r="C618" s="214" t="inlineStr">
        <is>
          <t>PHNOM PENH AUTONOMOUS PORT "PPAP"</t>
        </is>
      </c>
      <c r="D618" s="215" t="inlineStr">
        <is>
          <t>L001-100044999</t>
        </is>
      </c>
      <c r="E618" s="290" t="inlineStr">
        <is>
          <t>INV20250539557</t>
        </is>
      </c>
      <c r="F618" s="279" t="n">
        <v>45797</v>
      </c>
      <c r="G618" s="216" t="n"/>
      <c r="H618" s="564" t="n"/>
      <c r="I618" s="564" t="n">
        <v>28021</v>
      </c>
      <c r="J618" s="213" t="inlineStr">
        <is>
          <t>អនុញ្ញាត (បានប្រកាស)</t>
        </is>
      </c>
      <c r="K618" s="565">
        <f>L618</f>
        <v/>
      </c>
      <c r="L618" s="563">
        <f>AD618</f>
        <v/>
      </c>
      <c r="M618" s="536">
        <f>I618-L618</f>
        <v/>
      </c>
      <c r="N618" s="213" t="n"/>
      <c r="O618" s="218">
        <f>U618=E618</f>
        <v/>
      </c>
      <c r="P618" s="218">
        <f>MONTH(F618)-MONTH(T618)</f>
        <v/>
      </c>
      <c r="Q618" s="218">
        <f>$B$5=X618</f>
        <v/>
      </c>
      <c r="R618" s="218">
        <f>I618-AD618</f>
        <v/>
      </c>
      <c r="S618" s="298" t="n"/>
      <c r="T618" s="299" t="n">
        <v>45797</v>
      </c>
      <c r="U618" s="298" t="inlineStr">
        <is>
          <t>INV20250539557</t>
        </is>
      </c>
      <c r="V618" s="298" t="n">
        <v>0</v>
      </c>
      <c r="W618" s="298" t="inlineStr">
        <is>
          <t>បុគ្គលជាប់អាករ</t>
        </is>
      </c>
      <c r="X618" s="298" t="inlineStr">
        <is>
          <t>L001-901640009</t>
        </is>
      </c>
      <c r="Y618" s="298" t="inlineStr">
        <is>
          <t>ហូលីដេ ឌីហ្សាញ (ខេមបូឌា) ឯ.ក</t>
        </is>
      </c>
      <c r="Z618" s="300" t="n">
        <v>308154</v>
      </c>
      <c r="AA618" s="300" t="n">
        <v>280140</v>
      </c>
      <c r="AB618" s="298" t="n">
        <v>0</v>
      </c>
      <c r="AC618" s="298" t="inlineStr">
        <is>
          <t>-</t>
        </is>
      </c>
      <c r="AD618" s="300" t="n">
        <v>28014</v>
      </c>
      <c r="AE618" s="298" t="n">
        <v>0</v>
      </c>
      <c r="AF618" s="562" t="n">
        <v>0</v>
      </c>
      <c r="AG618" s="198" t="n">
        <v>0</v>
      </c>
      <c r="AH618" s="198" t="n">
        <v>0</v>
      </c>
      <c r="AI618" s="198" t="n">
        <v>0</v>
      </c>
      <c r="AJ618" s="198" t="n">
        <v>0</v>
      </c>
      <c r="AK618" s="198" t="n">
        <v>0</v>
      </c>
      <c r="AL618" s="198" t="n">
        <v>0.01</v>
      </c>
      <c r="AM618" s="198" t="n">
        <v>0</v>
      </c>
      <c r="AN618" s="198" t="inlineStr">
        <is>
          <t>ចំណូលពីសេវាកម្ម (លើកដាក់ទំនិញ)</t>
        </is>
      </c>
    </row>
    <row r="619" ht="23.4" customHeight="1" s="331" thickBot="1">
      <c r="A619" s="212">
        <f>A618+1</f>
        <v/>
      </c>
      <c r="B619" s="214" t="inlineStr">
        <is>
          <t>Trucking &amp; Clearance-Ex</t>
        </is>
      </c>
      <c r="C619" s="214" t="inlineStr">
        <is>
          <t>BRILLIANT TRANSPORT AND TRADING Co., Ltd.</t>
        </is>
      </c>
      <c r="D619" s="215" t="inlineStr">
        <is>
          <t>K002-100089305</t>
        </is>
      </c>
      <c r="E619" s="290" t="inlineStr">
        <is>
          <t>BTT25-0001029</t>
        </is>
      </c>
      <c r="F619" s="279" t="n">
        <v>45793</v>
      </c>
      <c r="G619" s="216" t="n"/>
      <c r="H619" s="564" t="n"/>
      <c r="I619" s="564" t="n">
        <v>203302</v>
      </c>
      <c r="J619" s="213" t="inlineStr">
        <is>
          <t>អនុញ្ញាត (បានប្រកាស)</t>
        </is>
      </c>
      <c r="K619" s="565" t="n"/>
      <c r="L619" s="563">
        <f>I619</f>
        <v/>
      </c>
      <c r="M619" s="536">
        <f>I619-L619</f>
        <v/>
      </c>
      <c r="N619" s="213" t="n"/>
      <c r="O619" s="218">
        <f>U619=E619</f>
        <v/>
      </c>
      <c r="P619" s="218">
        <f>MONTH(F619)-MONTH(T619)</f>
        <v/>
      </c>
      <c r="Q619" s="218">
        <f>$B$5=X619</f>
        <v/>
      </c>
      <c r="R619" s="218">
        <f>I619-AD619</f>
        <v/>
      </c>
      <c r="S619" s="298" t="n"/>
      <c r="T619" s="305" t="n">
        <v>45793</v>
      </c>
      <c r="U619" s="306" t="inlineStr">
        <is>
          <t>BTT25-0001029</t>
        </is>
      </c>
      <c r="V619" s="306" t="n"/>
      <c r="W619" s="306" t="n"/>
      <c r="X619" s="307" t="n"/>
      <c r="Y619" s="308" t="inlineStr">
        <is>
          <t>ហូលីដេ ឌីហ្សាញ (ខេមបូឌា) ឯ.ក</t>
        </is>
      </c>
      <c r="Z619" s="309" t="n"/>
      <c r="AA619" s="309" t="n"/>
      <c r="AB619" s="309" t="n"/>
      <c r="AC619" s="310" t="n"/>
      <c r="AD619" s="309" t="n">
        <v>203302</v>
      </c>
      <c r="AE619" s="309" t="n"/>
      <c r="AF619" s="309" t="n"/>
      <c r="AG619" s="309" t="n"/>
      <c r="AH619" s="309" t="n"/>
      <c r="AI619" s="309" t="n"/>
      <c r="AJ619" s="309" t="n"/>
      <c r="AK619" s="309" t="n"/>
      <c r="AL619" s="311" t="n"/>
      <c r="AM619" s="310" t="n"/>
      <c r="AN619" s="308" t="inlineStr">
        <is>
          <t>Truking / Service</t>
        </is>
      </c>
    </row>
    <row r="620" ht="23.4" customHeight="1" s="331" thickBot="1">
      <c r="A620" s="212">
        <f>A619+1</f>
        <v/>
      </c>
      <c r="B620" s="214" t="inlineStr">
        <is>
          <t>Lift-Off-Ex</t>
        </is>
      </c>
      <c r="C620" s="214" t="inlineStr">
        <is>
          <t>PHNOM PENH AUTONOMOUS PORT "PPAP"</t>
        </is>
      </c>
      <c r="D620" s="215" t="inlineStr">
        <is>
          <t>L001-100044999</t>
        </is>
      </c>
      <c r="E620" s="290" t="inlineStr">
        <is>
          <t>INV20250539561</t>
        </is>
      </c>
      <c r="F620" s="279" t="n">
        <v>45797</v>
      </c>
      <c r="G620" s="216" t="n"/>
      <c r="H620" s="564" t="n"/>
      <c r="I620" s="564" t="n">
        <v>28021</v>
      </c>
      <c r="J620" s="213" t="inlineStr">
        <is>
          <t>អនុញ្ញាត (បានប្រកាស)</t>
        </is>
      </c>
      <c r="K620" s="565">
        <f>L620</f>
        <v/>
      </c>
      <c r="L620" s="563">
        <f>AD620</f>
        <v/>
      </c>
      <c r="M620" s="536">
        <f>I620-L620</f>
        <v/>
      </c>
      <c r="N620" s="213" t="n"/>
      <c r="O620" s="218">
        <f>U620=E620</f>
        <v/>
      </c>
      <c r="P620" s="218">
        <f>MONTH(F620)-MONTH(T620)</f>
        <v/>
      </c>
      <c r="Q620" s="218">
        <f>$B$5=X620</f>
        <v/>
      </c>
      <c r="R620" s="218">
        <f>I620-AD620</f>
        <v/>
      </c>
      <c r="S620" s="298" t="n"/>
      <c r="T620" s="299" t="n">
        <v>45797</v>
      </c>
      <c r="U620" s="298" t="inlineStr">
        <is>
          <t>INV20250539561</t>
        </is>
      </c>
      <c r="V620" s="298" t="n">
        <v>0</v>
      </c>
      <c r="W620" s="298" t="inlineStr">
        <is>
          <t>បុគ្គលជាប់អាករ</t>
        </is>
      </c>
      <c r="X620" s="298" t="inlineStr">
        <is>
          <t>L001-901640009</t>
        </is>
      </c>
      <c r="Y620" s="298" t="inlineStr">
        <is>
          <t>ហូលីដេ ឌីហ្សាញ (ខេមបូឌា) ឯ.ក</t>
        </is>
      </c>
      <c r="Z620" s="300" t="n">
        <v>308154</v>
      </c>
      <c r="AA620" s="300" t="n">
        <v>280140</v>
      </c>
      <c r="AB620" s="298" t="n">
        <v>0</v>
      </c>
      <c r="AC620" s="298" t="inlineStr">
        <is>
          <t>-</t>
        </is>
      </c>
      <c r="AD620" s="300" t="n">
        <v>28014</v>
      </c>
      <c r="AE620" s="298" t="n">
        <v>0</v>
      </c>
      <c r="AF620" s="562" t="n">
        <v>0</v>
      </c>
      <c r="AG620" s="198" t="n">
        <v>0</v>
      </c>
      <c r="AH620" s="198" t="n">
        <v>0</v>
      </c>
      <c r="AI620" s="198" t="n">
        <v>0</v>
      </c>
      <c r="AJ620" s="198" t="n">
        <v>0</v>
      </c>
      <c r="AK620" s="198" t="n">
        <v>0</v>
      </c>
      <c r="AL620" s="198" t="n">
        <v>0.01</v>
      </c>
      <c r="AM620" s="198" t="n">
        <v>0</v>
      </c>
      <c r="AN620" s="198" t="inlineStr">
        <is>
          <t>ចំណូលពីសេវាកម្ម (លើកដាក់ទំនិញ)</t>
        </is>
      </c>
    </row>
    <row r="621" ht="23.4" customHeight="1" s="331" thickBot="1">
      <c r="A621" s="212">
        <f>A620+1</f>
        <v/>
      </c>
      <c r="B621" s="214" t="inlineStr">
        <is>
          <t>Trucking &amp; Clearance-Ex</t>
        </is>
      </c>
      <c r="C621" s="214" t="inlineStr">
        <is>
          <t>BRILLIANT TRANSPORT AND TRADING Co., Ltd.</t>
        </is>
      </c>
      <c r="D621" s="215" t="inlineStr">
        <is>
          <t>K002-100089305</t>
        </is>
      </c>
      <c r="E621" s="290" t="inlineStr">
        <is>
          <t>BTT25-0001028</t>
        </is>
      </c>
      <c r="F621" s="279" t="n">
        <v>45793</v>
      </c>
      <c r="G621" s="216" t="n"/>
      <c r="H621" s="564" t="n"/>
      <c r="I621" s="564" t="n">
        <v>203302</v>
      </c>
      <c r="J621" s="213" t="inlineStr">
        <is>
          <t>អនុញ្ញាត (បានប្រកាស)</t>
        </is>
      </c>
      <c r="K621" s="565" t="n"/>
      <c r="L621" s="563">
        <f>I621</f>
        <v/>
      </c>
      <c r="M621" s="536">
        <f>I621-L621</f>
        <v/>
      </c>
      <c r="N621" s="213" t="n"/>
      <c r="O621" s="218">
        <f>U621=E621</f>
        <v/>
      </c>
      <c r="P621" s="218">
        <f>MONTH(F621)-MONTH(T621)</f>
        <v/>
      </c>
      <c r="Q621" s="218">
        <f>$B$5=X621</f>
        <v/>
      </c>
      <c r="R621" s="218">
        <f>I621-AD621</f>
        <v/>
      </c>
      <c r="S621" s="298" t="n"/>
      <c r="T621" s="305" t="n">
        <v>45793</v>
      </c>
      <c r="U621" s="306" t="inlineStr">
        <is>
          <t>BTT25-0001028</t>
        </is>
      </c>
      <c r="V621" s="306" t="n"/>
      <c r="W621" s="306" t="n"/>
      <c r="X621" s="307" t="n"/>
      <c r="Y621" s="308" t="inlineStr">
        <is>
          <t>ហូលីដេ ឌីហ្សាញ (ខេមបូឌា) ឯ.ក</t>
        </is>
      </c>
      <c r="Z621" s="309" t="n"/>
      <c r="AA621" s="309" t="n"/>
      <c r="AB621" s="309" t="n"/>
      <c r="AC621" s="310" t="n"/>
      <c r="AD621" s="309" t="n">
        <v>203302</v>
      </c>
      <c r="AE621" s="309" t="n"/>
      <c r="AF621" s="309" t="n"/>
      <c r="AG621" s="309" t="n"/>
      <c r="AH621" s="309" t="n"/>
      <c r="AI621" s="309" t="n"/>
      <c r="AJ621" s="309" t="n"/>
      <c r="AK621" s="309" t="n"/>
      <c r="AL621" s="311" t="n"/>
      <c r="AM621" s="310" t="n"/>
      <c r="AN621" s="308" t="inlineStr">
        <is>
          <t>Truking / Service</t>
        </is>
      </c>
    </row>
    <row r="622">
      <c r="A622" s="212">
        <f>A621+1</f>
        <v/>
      </c>
      <c r="B622" s="214" t="inlineStr">
        <is>
          <t>Lift-Off-Ex</t>
        </is>
      </c>
      <c r="C622" s="214" t="inlineStr">
        <is>
          <t>PHNOM PENH AUTONOMOUS PORT "PPAP"</t>
        </is>
      </c>
      <c r="D622" s="215" t="inlineStr">
        <is>
          <t>L001-100044999</t>
        </is>
      </c>
      <c r="E622" s="290" t="inlineStr">
        <is>
          <t>INV20250539562</t>
        </is>
      </c>
      <c r="F622" s="279" t="n">
        <v>45797</v>
      </c>
      <c r="G622" s="216" t="n"/>
      <c r="H622" s="564" t="n"/>
      <c r="I622" s="564" t="n">
        <v>28021</v>
      </c>
      <c r="J622" s="213" t="inlineStr">
        <is>
          <t>អនុញ្ញាត (បានប្រកាស)</t>
        </is>
      </c>
      <c r="K622" s="565">
        <f>L622</f>
        <v/>
      </c>
      <c r="L622" s="563">
        <f>AD622</f>
        <v/>
      </c>
      <c r="M622" s="536">
        <f>I622-L622</f>
        <v/>
      </c>
      <c r="N622" s="213" t="n"/>
      <c r="O622" s="218">
        <f>U622=E622</f>
        <v/>
      </c>
      <c r="P622" s="218">
        <f>MONTH(F622)-MONTH(T622)</f>
        <v/>
      </c>
      <c r="Q622" s="218">
        <f>$B$5=X622</f>
        <v/>
      </c>
      <c r="R622" s="218">
        <f>I622-AD622</f>
        <v/>
      </c>
      <c r="S622" s="298" t="n"/>
      <c r="T622" s="299" t="n">
        <v>45797</v>
      </c>
      <c r="U622" s="298" t="inlineStr">
        <is>
          <t>INV20250539562</t>
        </is>
      </c>
      <c r="V622" s="298" t="n">
        <v>0</v>
      </c>
      <c r="W622" s="298" t="inlineStr">
        <is>
          <t>បុគ្គលជាប់អាករ</t>
        </is>
      </c>
      <c r="X622" s="298" t="inlineStr">
        <is>
          <t>L001-901640009</t>
        </is>
      </c>
      <c r="Y622" s="298" t="inlineStr">
        <is>
          <t>ហូលីដេ ឌីហ្សាញ (ខេមបូឌា) ឯ.ក</t>
        </is>
      </c>
      <c r="Z622" s="300" t="n">
        <v>308154</v>
      </c>
      <c r="AA622" s="300" t="n">
        <v>280140</v>
      </c>
      <c r="AB622" s="298" t="n">
        <v>0</v>
      </c>
      <c r="AC622" s="298" t="inlineStr">
        <is>
          <t>-</t>
        </is>
      </c>
      <c r="AD622" s="300" t="n">
        <v>28014</v>
      </c>
      <c r="AE622" s="298" t="n">
        <v>0</v>
      </c>
      <c r="AF622" s="562" t="n">
        <v>0</v>
      </c>
      <c r="AG622" s="198" t="n">
        <v>0</v>
      </c>
      <c r="AH622" s="198" t="n">
        <v>0</v>
      </c>
      <c r="AI622" s="198" t="n">
        <v>0</v>
      </c>
      <c r="AJ622" s="198" t="n">
        <v>0</v>
      </c>
      <c r="AK622" s="198" t="n">
        <v>0</v>
      </c>
      <c r="AL622" s="198" t="n">
        <v>0.01</v>
      </c>
      <c r="AM622" s="198" t="n">
        <v>0</v>
      </c>
      <c r="AN622" s="198" t="inlineStr">
        <is>
          <t>ចំណូលពីសេវាកម្ម (លើកដាក់ទំនិញ)</t>
        </is>
      </c>
    </row>
    <row r="623">
      <c r="A623" s="212">
        <f>A622+1</f>
        <v/>
      </c>
      <c r="B623" s="214" t="inlineStr">
        <is>
          <t>Trucking &amp; Clearance-Ex</t>
        </is>
      </c>
      <c r="C623" s="214" t="inlineStr">
        <is>
          <t>BRILLIANT TRANSPORT AND TRADING Co., Ltd.</t>
        </is>
      </c>
      <c r="D623" s="215" t="inlineStr">
        <is>
          <t>K002-100089305</t>
        </is>
      </c>
      <c r="E623" s="290" t="inlineStr">
        <is>
          <t>BTT25-0001027</t>
        </is>
      </c>
      <c r="F623" s="279" t="n">
        <v>45793</v>
      </c>
      <c r="G623" s="216" t="n"/>
      <c r="H623" s="564" t="n"/>
      <c r="I623" s="564" t="n">
        <v>203302</v>
      </c>
      <c r="J623" s="213" t="inlineStr">
        <is>
          <t>អនុញ្ញាត (បានប្រកាស)</t>
        </is>
      </c>
      <c r="K623" s="565" t="n"/>
      <c r="L623" s="563">
        <f>I623</f>
        <v/>
      </c>
      <c r="M623" s="536">
        <f>I623-L623</f>
        <v/>
      </c>
      <c r="N623" s="213" t="n"/>
      <c r="O623" s="218">
        <f>U623=E623</f>
        <v/>
      </c>
      <c r="P623" s="218">
        <f>MONTH(F623)-MONTH(T623)</f>
        <v/>
      </c>
      <c r="Q623" s="218">
        <f>$B$5=X623</f>
        <v/>
      </c>
      <c r="R623" s="218">
        <f>I623-AD623</f>
        <v/>
      </c>
      <c r="S623" s="298" t="n"/>
      <c r="T623" s="299" t="n">
        <v>45793</v>
      </c>
      <c r="U623" s="298" t="inlineStr">
        <is>
          <t>BTT25-0001027</t>
        </is>
      </c>
      <c r="V623" s="298" t="n"/>
      <c r="W623" s="298" t="n"/>
      <c r="X623" s="298" t="n"/>
      <c r="Y623" s="298" t="inlineStr">
        <is>
          <t>ហូលីដេ ឌីហ្សាញ (ខេមបូឌា) ឯ.ក</t>
        </is>
      </c>
      <c r="Z623" s="300" t="n"/>
      <c r="AA623" s="300" t="n"/>
      <c r="AB623" s="298" t="n"/>
      <c r="AC623" s="298" t="n"/>
      <c r="AD623" s="300" t="n">
        <v>203302</v>
      </c>
      <c r="AE623" s="298" t="n"/>
      <c r="AF623" s="562" t="n"/>
      <c r="AN623" s="198" t="inlineStr">
        <is>
          <t>Truking / Service</t>
        </is>
      </c>
    </row>
    <row r="624">
      <c r="A624" s="212">
        <f>A623+1</f>
        <v/>
      </c>
      <c r="B624" s="214" t="inlineStr">
        <is>
          <t>Trucking &amp; Clearance-Ex</t>
        </is>
      </c>
      <c r="C624" s="214" t="inlineStr">
        <is>
          <t>BRILLIANT TRANSPORT AND TRADING Co., Ltd.</t>
        </is>
      </c>
      <c r="D624" s="215" t="inlineStr">
        <is>
          <t>K002-100089305</t>
        </is>
      </c>
      <c r="E624" s="290" t="inlineStr">
        <is>
          <t>BTT25-0001033</t>
        </is>
      </c>
      <c r="F624" s="279" t="n">
        <v>45793</v>
      </c>
      <c r="G624" s="216" t="n"/>
      <c r="H624" s="564" t="n"/>
      <c r="I624" s="564" t="n">
        <v>406603</v>
      </c>
      <c r="J624" s="213" t="inlineStr">
        <is>
          <t>អនុញ្ញាត (បានប្រកាស)</t>
        </is>
      </c>
      <c r="K624" s="565" t="n"/>
      <c r="L624" s="563">
        <f>I624</f>
        <v/>
      </c>
      <c r="M624" s="536">
        <f>I624-L624</f>
        <v/>
      </c>
      <c r="N624" s="213" t="n"/>
      <c r="O624" s="218">
        <f>U624=E624</f>
        <v/>
      </c>
      <c r="P624" s="218">
        <f>MONTH(F624)-MONTH(T624)</f>
        <v/>
      </c>
      <c r="Q624" s="218">
        <f>$B$5=X624</f>
        <v/>
      </c>
      <c r="R624" s="218">
        <f>I624-AD624</f>
        <v/>
      </c>
      <c r="S624" s="298" t="n"/>
      <c r="T624" s="299" t="n">
        <v>45793</v>
      </c>
      <c r="U624" s="298" t="inlineStr">
        <is>
          <t>BTT25-0001033</t>
        </is>
      </c>
      <c r="V624" s="298" t="n"/>
      <c r="W624" s="298" t="n"/>
      <c r="X624" s="298" t="n"/>
      <c r="Y624" s="298" t="inlineStr">
        <is>
          <t>ហូលីដេ ឌីហ្សាញ (ខេមបូឌា) ឯ.ក</t>
        </is>
      </c>
      <c r="Z624" s="300" t="n"/>
      <c r="AA624" s="300" t="n"/>
      <c r="AB624" s="298" t="n"/>
      <c r="AC624" s="298" t="n"/>
      <c r="AD624" s="300" t="n">
        <v>406603</v>
      </c>
      <c r="AE624" s="298" t="n"/>
      <c r="AF624" s="562" t="n"/>
      <c r="AN624" s="198" t="inlineStr">
        <is>
          <t>Truking / Service</t>
        </is>
      </c>
    </row>
    <row r="625">
      <c r="A625" s="212">
        <f>A624+1</f>
        <v/>
      </c>
      <c r="B625" s="214" t="inlineStr">
        <is>
          <t>Lift-Off-Ex</t>
        </is>
      </c>
      <c r="C625" s="214" t="inlineStr">
        <is>
          <t>PHNOM PENH AUTONOMOUS PORT "PPAP"</t>
        </is>
      </c>
      <c r="D625" s="215" t="inlineStr">
        <is>
          <t>L001-100044999</t>
        </is>
      </c>
      <c r="E625" s="290" t="inlineStr">
        <is>
          <t>INV20250539553</t>
        </is>
      </c>
      <c r="F625" s="279" t="n">
        <v>45797</v>
      </c>
      <c r="G625" s="216" t="n"/>
      <c r="H625" s="564" t="n"/>
      <c r="I625" s="564" t="n">
        <v>56042</v>
      </c>
      <c r="J625" s="213" t="inlineStr">
        <is>
          <t>អនុញ្ញាត (បានប្រកាស)</t>
        </is>
      </c>
      <c r="K625" s="565">
        <f>L625</f>
        <v/>
      </c>
      <c r="L625" s="563">
        <f>AD625</f>
        <v/>
      </c>
      <c r="M625" s="536">
        <f>I625-L625</f>
        <v/>
      </c>
      <c r="N625" s="213" t="n"/>
      <c r="O625" s="218">
        <f>U625=E625</f>
        <v/>
      </c>
      <c r="P625" s="218">
        <f>MONTH(F625)-MONTH(T625)</f>
        <v/>
      </c>
      <c r="Q625" s="218">
        <f>$B$5=X625</f>
        <v/>
      </c>
      <c r="R625" s="218">
        <f>I625-AD625</f>
        <v/>
      </c>
      <c r="S625" s="298" t="n"/>
      <c r="T625" s="299" t="n">
        <v>45797</v>
      </c>
      <c r="U625" s="298" t="inlineStr">
        <is>
          <t>INV20250539553</t>
        </is>
      </c>
      <c r="V625" s="298" t="n">
        <v>0</v>
      </c>
      <c r="W625" s="298" t="inlineStr">
        <is>
          <t>បុគ្គលជាប់អាករ</t>
        </is>
      </c>
      <c r="X625" s="298" t="inlineStr">
        <is>
          <t>L001-901640009</t>
        </is>
      </c>
      <c r="Y625" s="298" t="inlineStr">
        <is>
          <t>ហូលីដេ ឌីហ្សាញ (ខេមបូឌា) ឯ.ក</t>
        </is>
      </c>
      <c r="Z625" s="300" t="n">
        <v>616308</v>
      </c>
      <c r="AA625" s="300" t="n">
        <v>560280</v>
      </c>
      <c r="AB625" s="298" t="n">
        <v>0</v>
      </c>
      <c r="AC625" s="298" t="inlineStr">
        <is>
          <t>-</t>
        </is>
      </c>
      <c r="AD625" s="300" t="n">
        <v>56028</v>
      </c>
      <c r="AE625" s="298" t="n">
        <v>0</v>
      </c>
      <c r="AF625" s="562" t="n">
        <v>0</v>
      </c>
      <c r="AG625" s="198" t="n">
        <v>0</v>
      </c>
      <c r="AH625" s="198" t="n">
        <v>0</v>
      </c>
      <c r="AI625" s="198" t="n">
        <v>0</v>
      </c>
      <c r="AJ625" s="198" t="n">
        <v>0</v>
      </c>
      <c r="AK625" s="198" t="n">
        <v>0</v>
      </c>
      <c r="AL625" s="198" t="n">
        <v>0.01</v>
      </c>
      <c r="AM625" s="198" t="n">
        <v>0</v>
      </c>
      <c r="AN625" s="198" t="inlineStr">
        <is>
          <t>ចំណូលពីសេវាកម្ម (លើកដាក់ទំនិញ)</t>
        </is>
      </c>
    </row>
    <row r="626">
      <c r="A626" s="212">
        <f>A625+1</f>
        <v/>
      </c>
      <c r="B626" s="214" t="inlineStr">
        <is>
          <t>Lift-Off-Ex</t>
        </is>
      </c>
      <c r="C626" s="214" t="inlineStr">
        <is>
          <t>PHNOM PENH AUTONOMOUS PORT "PPAP"</t>
        </is>
      </c>
      <c r="D626" s="215" t="inlineStr">
        <is>
          <t>L001-100044999</t>
        </is>
      </c>
      <c r="E626" s="290" t="inlineStr">
        <is>
          <t>INV20250541415</t>
        </is>
      </c>
      <c r="F626" s="279" t="n">
        <v>45803</v>
      </c>
      <c r="G626" s="216" t="n"/>
      <c r="H626" s="564" t="n"/>
      <c r="I626" s="564" t="n">
        <v>56028</v>
      </c>
      <c r="J626" s="213" t="inlineStr">
        <is>
          <t>អនុញ្ញាត (បានប្រកាស)</t>
        </is>
      </c>
      <c r="K626" s="565" t="n"/>
      <c r="L626" s="563">
        <f>I626</f>
        <v/>
      </c>
      <c r="M626" s="536">
        <f>I626-L626</f>
        <v/>
      </c>
      <c r="N626" s="213" t="n"/>
      <c r="O626" s="218">
        <f>U626=E626</f>
        <v/>
      </c>
      <c r="P626" s="218">
        <f>MONTH(F626)-MONTH(T626)</f>
        <v/>
      </c>
      <c r="Q626" s="218">
        <f>$B$5=X626</f>
        <v/>
      </c>
      <c r="R626" s="218">
        <f>I626-AD626</f>
        <v/>
      </c>
      <c r="S626" s="298" t="n"/>
      <c r="T626" s="299" t="n">
        <v>45803</v>
      </c>
      <c r="U626" s="298" t="inlineStr">
        <is>
          <t>INV20250541415</t>
        </is>
      </c>
      <c r="V626" s="298" t="n">
        <v>0</v>
      </c>
      <c r="W626" s="298" t="inlineStr">
        <is>
          <t>បុគ្គលជាប់អាករ</t>
        </is>
      </c>
      <c r="X626" s="298" t="inlineStr">
        <is>
          <t>L001-901640009</t>
        </is>
      </c>
      <c r="Y626" s="298" t="inlineStr">
        <is>
          <t>ហូលីដេ ឌីហ្សាញ (ខេមបូឌា) ឯ.ក</t>
        </is>
      </c>
      <c r="Z626" s="300" t="n">
        <v>616308</v>
      </c>
      <c r="AA626" s="300" t="n">
        <v>560280</v>
      </c>
      <c r="AB626" s="298" t="n">
        <v>0</v>
      </c>
      <c r="AC626" s="298" t="inlineStr">
        <is>
          <t>-</t>
        </is>
      </c>
      <c r="AD626" s="300" t="n">
        <v>56028</v>
      </c>
      <c r="AE626" s="298" t="n">
        <v>0</v>
      </c>
      <c r="AF626" s="562" t="n">
        <v>0</v>
      </c>
      <c r="AG626" s="198" t="n">
        <v>0</v>
      </c>
      <c r="AH626" s="198" t="n">
        <v>0</v>
      </c>
      <c r="AI626" s="198" t="n">
        <v>0</v>
      </c>
      <c r="AJ626" s="198" t="n">
        <v>0</v>
      </c>
      <c r="AK626" s="198" t="n">
        <v>0</v>
      </c>
      <c r="AL626" s="198" t="n">
        <v>0.01</v>
      </c>
      <c r="AM626" s="198" t="n">
        <v>0</v>
      </c>
      <c r="AN626" s="198" t="inlineStr">
        <is>
          <t>ចំណូលពីសេវាកម្ម (លើកដាក់ទំនិញ)</t>
        </is>
      </c>
    </row>
    <row r="627">
      <c r="A627" s="212">
        <f>A626+1</f>
        <v/>
      </c>
      <c r="B627" s="214" t="inlineStr">
        <is>
          <t>Trucking &amp; Clearance-Ex</t>
        </is>
      </c>
      <c r="C627" s="214" t="inlineStr">
        <is>
          <t>BRILLIANT TRANSPORT AND TRADING Co., Ltd.</t>
        </is>
      </c>
      <c r="D627" s="215" t="inlineStr">
        <is>
          <t>K002-100089305</t>
        </is>
      </c>
      <c r="E627" s="290" t="inlineStr">
        <is>
          <t>BTT25-0001116</t>
        </is>
      </c>
      <c r="F627" s="279" t="n">
        <v>45800</v>
      </c>
      <c r="G627" s="216" t="n"/>
      <c r="H627" s="564" t="n"/>
      <c r="I627" s="564" t="n">
        <v>406705</v>
      </c>
      <c r="J627" s="213" t="inlineStr">
        <is>
          <t>អនុញ្ញាត (បានប្រកាស)</t>
        </is>
      </c>
      <c r="K627" s="565" t="n"/>
      <c r="L627" s="563">
        <f>I627</f>
        <v/>
      </c>
      <c r="M627" s="536">
        <f>I627-L627</f>
        <v/>
      </c>
      <c r="N627" s="213" t="n"/>
      <c r="O627" s="218">
        <f>U627=E627</f>
        <v/>
      </c>
      <c r="P627" s="218">
        <f>MONTH(F627)-MONTH(T627)</f>
        <v/>
      </c>
      <c r="Q627" s="218">
        <f>$B$5=X627</f>
        <v/>
      </c>
      <c r="R627" s="218">
        <f>I627-AD627</f>
        <v/>
      </c>
      <c r="S627" s="298" t="n"/>
      <c r="T627" s="299" t="n">
        <v>45800</v>
      </c>
      <c r="U627" s="298" t="inlineStr">
        <is>
          <t>BTT25-0001116</t>
        </is>
      </c>
      <c r="V627" s="298" t="n"/>
      <c r="W627" s="298" t="n"/>
      <c r="X627" s="298" t="n"/>
      <c r="Y627" s="298" t="inlineStr">
        <is>
          <t>ហូលីដេ ឌីហ្សាញ (ខេមបូឌា) ឯ.ក</t>
        </is>
      </c>
      <c r="Z627" s="300" t="n"/>
      <c r="AA627" s="300" t="n"/>
      <c r="AB627" s="298" t="n"/>
      <c r="AC627" s="298" t="n"/>
      <c r="AD627" s="300" t="n">
        <v>406705</v>
      </c>
      <c r="AE627" s="298" t="n"/>
      <c r="AF627" s="562" t="n"/>
      <c r="AN627" s="198" t="inlineStr">
        <is>
          <t>Truking / Service</t>
        </is>
      </c>
    </row>
    <row r="628">
      <c r="A628" s="212">
        <f>A627+1</f>
        <v/>
      </c>
      <c r="B628" s="214" t="inlineStr">
        <is>
          <t>Lift-Off-Ex</t>
        </is>
      </c>
      <c r="C628" s="214" t="inlineStr">
        <is>
          <t>PHNOM PENH AUTONOMOUS PORT "PPAP"</t>
        </is>
      </c>
      <c r="D628" s="215" t="inlineStr">
        <is>
          <t>L001-100044999</t>
        </is>
      </c>
      <c r="E628" s="290" t="inlineStr">
        <is>
          <t>INV20250541414</t>
        </is>
      </c>
      <c r="F628" s="279" t="n">
        <v>45803</v>
      </c>
      <c r="G628" s="216" t="n"/>
      <c r="H628" s="564" t="n"/>
      <c r="I628" s="564" t="n">
        <v>56028</v>
      </c>
      <c r="J628" s="213" t="inlineStr">
        <is>
          <t>អនុញ្ញាត (បានប្រកាស)</t>
        </is>
      </c>
      <c r="K628" s="565" t="n"/>
      <c r="L628" s="563">
        <f>I628</f>
        <v/>
      </c>
      <c r="M628" s="536">
        <f>I628-L628</f>
        <v/>
      </c>
      <c r="N628" s="213" t="n"/>
      <c r="O628" s="218">
        <f>U628=E628</f>
        <v/>
      </c>
      <c r="P628" s="218">
        <f>MONTH(F628)-MONTH(T628)</f>
        <v/>
      </c>
      <c r="Q628" s="218">
        <f>$B$5=X628</f>
        <v/>
      </c>
      <c r="R628" s="218">
        <f>I628-AD628</f>
        <v/>
      </c>
      <c r="S628" s="298" t="n"/>
      <c r="T628" s="299" t="n">
        <v>45803</v>
      </c>
      <c r="U628" s="298" t="inlineStr">
        <is>
          <t>INV20250541414</t>
        </is>
      </c>
      <c r="V628" s="298" t="n">
        <v>0</v>
      </c>
      <c r="W628" s="298" t="inlineStr">
        <is>
          <t>បុគ្គលជាប់អាករ</t>
        </is>
      </c>
      <c r="X628" s="298" t="inlineStr">
        <is>
          <t>L001-901640009</t>
        </is>
      </c>
      <c r="Y628" s="298" t="inlineStr">
        <is>
          <t>ហូលីដេ ឌីហ្សាញ (ខេមបូឌា) ឯ.ក</t>
        </is>
      </c>
      <c r="Z628" s="300" t="n">
        <v>616308</v>
      </c>
      <c r="AA628" s="300" t="n">
        <v>560280</v>
      </c>
      <c r="AB628" s="298" t="n">
        <v>0</v>
      </c>
      <c r="AC628" s="298" t="inlineStr">
        <is>
          <t>-</t>
        </is>
      </c>
      <c r="AD628" s="300" t="n">
        <v>56028</v>
      </c>
      <c r="AE628" s="298" t="n">
        <v>0</v>
      </c>
      <c r="AF628" s="562" t="n">
        <v>0</v>
      </c>
      <c r="AG628" s="198" t="n">
        <v>0</v>
      </c>
      <c r="AH628" s="198" t="n">
        <v>0</v>
      </c>
      <c r="AI628" s="198" t="n">
        <v>0</v>
      </c>
      <c r="AJ628" s="198" t="n">
        <v>0</v>
      </c>
      <c r="AK628" s="198" t="n">
        <v>0</v>
      </c>
      <c r="AL628" s="198" t="n">
        <v>0.01</v>
      </c>
      <c r="AM628" s="198" t="n">
        <v>0</v>
      </c>
      <c r="AN628" s="198" t="inlineStr">
        <is>
          <t>ចំណូលពីសេវាកម្ម (លើកដាក់ទំនិញ)</t>
        </is>
      </c>
    </row>
    <row r="629">
      <c r="A629" s="212">
        <f>A628+1</f>
        <v/>
      </c>
      <c r="B629" s="214" t="inlineStr">
        <is>
          <t>Trucking &amp; Clearance-Ex</t>
        </is>
      </c>
      <c r="C629" s="214" t="inlineStr">
        <is>
          <t>BRILLIANT TRANSPORT AND TRADING Co., Ltd.</t>
        </is>
      </c>
      <c r="D629" s="215" t="inlineStr">
        <is>
          <t>K002-100089305</t>
        </is>
      </c>
      <c r="E629" s="290" t="inlineStr">
        <is>
          <t>BTT25-0001115</t>
        </is>
      </c>
      <c r="F629" s="279" t="n">
        <v>45800</v>
      </c>
      <c r="G629" s="216" t="n"/>
      <c r="H629" s="564" t="n"/>
      <c r="I629" s="564" t="n">
        <v>406705</v>
      </c>
      <c r="J629" s="213" t="inlineStr">
        <is>
          <t>អនុញ្ញាត (បានប្រកាស)</t>
        </is>
      </c>
      <c r="K629" s="565" t="n"/>
      <c r="L629" s="563">
        <f>I629</f>
        <v/>
      </c>
      <c r="M629" s="536">
        <f>I629-L629</f>
        <v/>
      </c>
      <c r="N629" s="213" t="n"/>
      <c r="O629" s="218">
        <f>U629=E629</f>
        <v/>
      </c>
      <c r="P629" s="218">
        <f>MONTH(F629)-MONTH(T629)</f>
        <v/>
      </c>
      <c r="Q629" s="218">
        <f>$B$5=X629</f>
        <v/>
      </c>
      <c r="R629" s="218">
        <f>I629-AD629</f>
        <v/>
      </c>
      <c r="S629" s="298" t="n"/>
      <c r="T629" s="299" t="n">
        <v>45800</v>
      </c>
      <c r="U629" s="298" t="inlineStr">
        <is>
          <t>BTT25-0001115</t>
        </is>
      </c>
      <c r="V629" s="298" t="n"/>
      <c r="W629" s="298" t="n"/>
      <c r="X629" s="298" t="n"/>
      <c r="Y629" s="298" t="inlineStr">
        <is>
          <t>ហូលីដេ ឌីហ្សាញ (ខេមបូឌា) ឯ.ក</t>
        </is>
      </c>
      <c r="Z629" s="300" t="n"/>
      <c r="AA629" s="300" t="n"/>
      <c r="AB629" s="298" t="n"/>
      <c r="AC629" s="298" t="n"/>
      <c r="AD629" s="300" t="n">
        <v>406705</v>
      </c>
      <c r="AE629" s="298" t="n"/>
      <c r="AF629" s="562" t="n"/>
      <c r="AN629" s="198" t="inlineStr">
        <is>
          <t>Truking / Service</t>
        </is>
      </c>
    </row>
    <row r="630">
      <c r="A630" s="212">
        <f>A629+1</f>
        <v/>
      </c>
      <c r="B630" s="214" t="inlineStr">
        <is>
          <t>Lift-Off-Ex</t>
        </is>
      </c>
      <c r="C630" s="214" t="inlineStr">
        <is>
          <t>PHNOM PENH AUTONOMOUS PORT "PPAP"</t>
        </is>
      </c>
      <c r="D630" s="215" t="inlineStr">
        <is>
          <t>L001-100044999</t>
        </is>
      </c>
      <c r="E630" s="290" t="inlineStr">
        <is>
          <t>INV20250541413</t>
        </is>
      </c>
      <c r="F630" s="279" t="n">
        <v>45803</v>
      </c>
      <c r="G630" s="216" t="n"/>
      <c r="H630" s="564" t="n"/>
      <c r="I630" s="564" t="n">
        <v>56028</v>
      </c>
      <c r="J630" s="213" t="inlineStr">
        <is>
          <t>អនុញ្ញាត (បានប្រកាស)</t>
        </is>
      </c>
      <c r="K630" s="565" t="n"/>
      <c r="L630" s="563">
        <f>I630</f>
        <v/>
      </c>
      <c r="M630" s="536">
        <f>I630-L630</f>
        <v/>
      </c>
      <c r="N630" s="213" t="n"/>
      <c r="O630" s="218">
        <f>U630=E630</f>
        <v/>
      </c>
      <c r="P630" s="218">
        <f>MONTH(F630)-MONTH(T630)</f>
        <v/>
      </c>
      <c r="Q630" s="218">
        <f>$B$5=X630</f>
        <v/>
      </c>
      <c r="R630" s="218">
        <f>I630-AD630</f>
        <v/>
      </c>
      <c r="S630" s="298" t="n"/>
      <c r="T630" s="299" t="n">
        <v>45803</v>
      </c>
      <c r="U630" s="298" t="inlineStr">
        <is>
          <t>INV20250541413</t>
        </is>
      </c>
      <c r="V630" s="298" t="n">
        <v>0</v>
      </c>
      <c r="W630" s="298" t="inlineStr">
        <is>
          <t>បុគ្គលជាប់អាករ</t>
        </is>
      </c>
      <c r="X630" s="298" t="inlineStr">
        <is>
          <t>L001-901640009</t>
        </is>
      </c>
      <c r="Y630" s="298" t="inlineStr">
        <is>
          <t>ហូលីដេ ឌីហ្សាញ (ខេមបូឌា) ឯ.ក</t>
        </is>
      </c>
      <c r="Z630" s="300" t="n">
        <v>616308</v>
      </c>
      <c r="AA630" s="300" t="n">
        <v>560280</v>
      </c>
      <c r="AB630" s="298" t="n">
        <v>0</v>
      </c>
      <c r="AC630" s="298" t="inlineStr">
        <is>
          <t>-</t>
        </is>
      </c>
      <c r="AD630" s="300" t="n">
        <v>56028</v>
      </c>
      <c r="AE630" s="298" t="n">
        <v>0</v>
      </c>
      <c r="AF630" s="562" t="n">
        <v>0</v>
      </c>
      <c r="AG630" s="198" t="n">
        <v>0</v>
      </c>
      <c r="AH630" s="198" t="n">
        <v>0</v>
      </c>
      <c r="AI630" s="198" t="n">
        <v>0</v>
      </c>
      <c r="AJ630" s="198" t="n">
        <v>0</v>
      </c>
      <c r="AK630" s="198" t="n">
        <v>0</v>
      </c>
      <c r="AL630" s="198" t="n">
        <v>0.01</v>
      </c>
      <c r="AM630" s="198" t="n">
        <v>0</v>
      </c>
      <c r="AN630" s="198" t="inlineStr">
        <is>
          <t>ចំណូលពីសេវាកម្ម (លើកដាក់ទំនិញ)</t>
        </is>
      </c>
    </row>
    <row r="631">
      <c r="A631" s="212">
        <f>A630+1</f>
        <v/>
      </c>
      <c r="B631" s="214" t="inlineStr">
        <is>
          <t>Trucking &amp; Clearance-Ex</t>
        </is>
      </c>
      <c r="C631" s="214" t="inlineStr">
        <is>
          <t>BRILLIANT TRANSPORT AND TRADING Co., Ltd.</t>
        </is>
      </c>
      <c r="D631" s="215" t="inlineStr">
        <is>
          <t>K002-100089305</t>
        </is>
      </c>
      <c r="E631" s="290" t="inlineStr">
        <is>
          <t>BTT25-0001114</t>
        </is>
      </c>
      <c r="F631" s="279" t="n">
        <v>45800</v>
      </c>
      <c r="G631" s="216" t="n"/>
      <c r="H631" s="564" t="n"/>
      <c r="I631" s="564" t="n">
        <v>406705</v>
      </c>
      <c r="J631" s="213" t="inlineStr">
        <is>
          <t>អនុញ្ញាត (បានប្រកាស)</t>
        </is>
      </c>
      <c r="K631" s="565" t="n"/>
      <c r="L631" s="563">
        <f>I631</f>
        <v/>
      </c>
      <c r="M631" s="536">
        <f>I631-L631</f>
        <v/>
      </c>
      <c r="N631" s="213" t="n"/>
      <c r="O631" s="218">
        <f>U631=E631</f>
        <v/>
      </c>
      <c r="P631" s="218">
        <f>MONTH(F631)-MONTH(T631)</f>
        <v/>
      </c>
      <c r="Q631" s="218">
        <f>$B$5=X631</f>
        <v/>
      </c>
      <c r="R631" s="218">
        <f>I631-AD631</f>
        <v/>
      </c>
      <c r="S631" s="298" t="n"/>
      <c r="T631" s="299" t="n">
        <v>45800</v>
      </c>
      <c r="U631" s="298" t="inlineStr">
        <is>
          <t>BTT25-0001114</t>
        </is>
      </c>
      <c r="V631" s="298" t="n"/>
      <c r="W631" s="298" t="n"/>
      <c r="X631" s="298" t="n"/>
      <c r="Y631" s="298" t="inlineStr">
        <is>
          <t>ហូលីដេ ឌីហ្សាញ (ខេមបូឌា) ឯ.ក</t>
        </is>
      </c>
      <c r="Z631" s="300" t="n"/>
      <c r="AA631" s="300" t="n"/>
      <c r="AB631" s="298" t="n"/>
      <c r="AC631" s="298" t="n"/>
      <c r="AD631" s="300" t="n">
        <v>406705</v>
      </c>
      <c r="AE631" s="298" t="n"/>
      <c r="AF631" s="562" t="n"/>
      <c r="AN631" s="198" t="inlineStr">
        <is>
          <t>Truking / Service</t>
        </is>
      </c>
    </row>
    <row r="632">
      <c r="A632" s="212">
        <f>A631+1</f>
        <v/>
      </c>
      <c r="B632" s="214" t="inlineStr">
        <is>
          <t>Lift-Off-Ex</t>
        </is>
      </c>
      <c r="C632" s="214" t="inlineStr">
        <is>
          <t>PHNOM PENH AUTONOMOUS PORT "PPAP"</t>
        </is>
      </c>
      <c r="D632" s="215" t="inlineStr">
        <is>
          <t>L001-100044999</t>
        </is>
      </c>
      <c r="E632" s="290" t="inlineStr">
        <is>
          <t>INV20250541412</t>
        </is>
      </c>
      <c r="F632" s="279" t="n">
        <v>45803</v>
      </c>
      <c r="G632" s="216" t="n"/>
      <c r="H632" s="564" t="n"/>
      <c r="I632" s="564" t="n">
        <v>28014</v>
      </c>
      <c r="J632" s="213" t="inlineStr">
        <is>
          <t>អនុញ្ញាត (បានប្រកាស)</t>
        </is>
      </c>
      <c r="K632" s="565" t="n"/>
      <c r="L632" s="563">
        <f>I632</f>
        <v/>
      </c>
      <c r="M632" s="536">
        <f>I632-L632</f>
        <v/>
      </c>
      <c r="N632" s="213" t="n"/>
      <c r="O632" s="218">
        <f>U632=E632</f>
        <v/>
      </c>
      <c r="P632" s="218">
        <f>MONTH(F632)-MONTH(T632)</f>
        <v/>
      </c>
      <c r="Q632" s="218">
        <f>$B$5=X632</f>
        <v/>
      </c>
      <c r="R632" s="218">
        <f>I632-AD632</f>
        <v/>
      </c>
      <c r="S632" s="298" t="n"/>
      <c r="T632" s="299" t="n">
        <v>45803</v>
      </c>
      <c r="U632" s="298" t="inlineStr">
        <is>
          <t>INV20250541412</t>
        </is>
      </c>
      <c r="V632" s="298" t="n">
        <v>0</v>
      </c>
      <c r="W632" s="298" t="inlineStr">
        <is>
          <t>បុគ្គលជាប់អាករ</t>
        </is>
      </c>
      <c r="X632" s="298" t="inlineStr">
        <is>
          <t>L001-901640009</t>
        </is>
      </c>
      <c r="Y632" s="298" t="inlineStr">
        <is>
          <t>ហូលីដេ ឌីហ្សាញ (ខេមបូឌា) ឯ.ក</t>
        </is>
      </c>
      <c r="Z632" s="300" t="n">
        <v>308154</v>
      </c>
      <c r="AA632" s="300" t="n">
        <v>280140</v>
      </c>
      <c r="AB632" s="298" t="n">
        <v>0</v>
      </c>
      <c r="AC632" s="298" t="inlineStr">
        <is>
          <t>-</t>
        </is>
      </c>
      <c r="AD632" s="300" t="n">
        <v>28014</v>
      </c>
      <c r="AE632" s="298" t="n">
        <v>0</v>
      </c>
      <c r="AF632" s="562" t="n">
        <v>0</v>
      </c>
      <c r="AG632" s="198" t="n">
        <v>0</v>
      </c>
      <c r="AH632" s="198" t="n">
        <v>0</v>
      </c>
      <c r="AI632" s="198" t="n">
        <v>0</v>
      </c>
      <c r="AJ632" s="198" t="n">
        <v>0</v>
      </c>
      <c r="AK632" s="198" t="n">
        <v>0</v>
      </c>
      <c r="AL632" s="198" t="n">
        <v>0.01</v>
      </c>
      <c r="AM632" s="198" t="n">
        <v>0</v>
      </c>
      <c r="AN632" s="198" t="inlineStr">
        <is>
          <t>ចំណូលពីសេវាកម្ម (លើកដាក់ទំនិញ)</t>
        </is>
      </c>
    </row>
    <row r="633">
      <c r="A633" s="212">
        <f>A632+1</f>
        <v/>
      </c>
      <c r="B633" s="214" t="inlineStr">
        <is>
          <t>Trucking &amp; Clearance-Ex</t>
        </is>
      </c>
      <c r="C633" s="214" t="inlineStr">
        <is>
          <t>BRILLIANT TRANSPORT AND TRADING Co., Ltd.</t>
        </is>
      </c>
      <c r="D633" s="215" t="inlineStr">
        <is>
          <t>K002-100089305</t>
        </is>
      </c>
      <c r="E633" s="290" t="inlineStr">
        <is>
          <t>BTT25-0001111</t>
        </is>
      </c>
      <c r="F633" s="279" t="n">
        <v>45800</v>
      </c>
      <c r="G633" s="216" t="n"/>
      <c r="H633" s="564" t="n"/>
      <c r="I633" s="564" t="n">
        <v>586039</v>
      </c>
      <c r="J633" s="213" t="inlineStr">
        <is>
          <t>អនុញ្ញាត (បានប្រកាស)</t>
        </is>
      </c>
      <c r="K633" s="565" t="n"/>
      <c r="L633" s="563">
        <f>I633</f>
        <v/>
      </c>
      <c r="M633" s="536">
        <f>I633-L633</f>
        <v/>
      </c>
      <c r="N633" s="213" t="n"/>
      <c r="O633" s="218">
        <f>U633=E633</f>
        <v/>
      </c>
      <c r="P633" s="218">
        <f>MONTH(F633)-MONTH(T633)</f>
        <v/>
      </c>
      <c r="Q633" s="218">
        <f>$B$5=X633</f>
        <v/>
      </c>
      <c r="R633" s="218">
        <f>I633-AD633</f>
        <v/>
      </c>
      <c r="S633" s="298" t="n"/>
      <c r="T633" s="299" t="n">
        <v>45800</v>
      </c>
      <c r="U633" s="298" t="inlineStr">
        <is>
          <t>BTT25-0001111</t>
        </is>
      </c>
      <c r="V633" s="298" t="n"/>
      <c r="W633" s="298" t="n"/>
      <c r="X633" s="298" t="n"/>
      <c r="Y633" s="298" t="inlineStr">
        <is>
          <t>ហូលីដេ ឌីហ្សាញ (ខេមបូឌា) ឯ.ក</t>
        </is>
      </c>
      <c r="Z633" s="300" t="n"/>
      <c r="AA633" s="300" t="n"/>
      <c r="AB633" s="298" t="n"/>
      <c r="AC633" s="298" t="n"/>
      <c r="AD633" s="300" t="n">
        <v>586039</v>
      </c>
      <c r="AE633" s="298" t="n"/>
      <c r="AF633" s="562" t="n"/>
      <c r="AN633" s="198" t="inlineStr">
        <is>
          <t>Truking / Service</t>
        </is>
      </c>
    </row>
    <row r="634" ht="23.4" customHeight="1" s="331" thickBot="1">
      <c r="A634" s="212">
        <f>A633+1</f>
        <v/>
      </c>
      <c r="B634" s="214" t="inlineStr">
        <is>
          <t>Trucking &amp; Clearance-Ex</t>
        </is>
      </c>
      <c r="C634" s="214" t="inlineStr">
        <is>
          <t>BRILLIANT TRANSPORT AND TRADING Co., Ltd.</t>
        </is>
      </c>
      <c r="D634" s="215" t="inlineStr">
        <is>
          <t>K002-100089305</t>
        </is>
      </c>
      <c r="E634" s="290" t="inlineStr">
        <is>
          <t>BTT25-0001113</t>
        </is>
      </c>
      <c r="F634" s="279" t="n">
        <v>45800</v>
      </c>
      <c r="G634" s="216" t="n"/>
      <c r="H634" s="564" t="n"/>
      <c r="I634" s="564" t="n">
        <v>203352</v>
      </c>
      <c r="J634" s="213" t="inlineStr">
        <is>
          <t>អនុញ្ញាត (បានប្រកាស)</t>
        </is>
      </c>
      <c r="K634" s="565" t="n"/>
      <c r="L634" s="563">
        <f>I634</f>
        <v/>
      </c>
      <c r="M634" s="536">
        <f>I634-L634</f>
        <v/>
      </c>
      <c r="N634" s="213" t="n"/>
      <c r="O634" s="218">
        <f>U634=E634</f>
        <v/>
      </c>
      <c r="P634" s="218">
        <f>MONTH(F634)-MONTH(T634)</f>
        <v/>
      </c>
      <c r="Q634" s="218">
        <f>$B$5=X634</f>
        <v/>
      </c>
      <c r="R634" s="218">
        <f>I634-AD634</f>
        <v/>
      </c>
      <c r="S634" s="298" t="n"/>
      <c r="T634" s="299" t="n">
        <v>45800</v>
      </c>
      <c r="U634" s="298" t="inlineStr">
        <is>
          <t>BTT25-0001113</t>
        </is>
      </c>
      <c r="V634" s="298" t="n"/>
      <c r="W634" s="298" t="n"/>
      <c r="X634" s="298" t="n"/>
      <c r="Y634" s="298" t="inlineStr">
        <is>
          <t>ហូលីដេ ឌីហ្សាញ (ខេមបូឌា) ឯ.ក</t>
        </is>
      </c>
      <c r="Z634" s="300" t="n"/>
      <c r="AA634" s="300" t="n"/>
      <c r="AB634" s="298" t="n"/>
      <c r="AC634" s="298" t="n"/>
      <c r="AD634" s="300" t="n">
        <v>203352</v>
      </c>
      <c r="AE634" s="298" t="n"/>
      <c r="AF634" s="562" t="n"/>
      <c r="AN634" s="198" t="inlineStr">
        <is>
          <t>Truking / Service</t>
        </is>
      </c>
    </row>
    <row r="635" ht="23.4" customHeight="1" s="331" thickBot="1">
      <c r="A635" s="212">
        <f>A634+1</f>
        <v/>
      </c>
      <c r="B635" s="214" t="inlineStr">
        <is>
          <t>Lift-Off-Ex</t>
        </is>
      </c>
      <c r="C635" s="214" t="inlineStr">
        <is>
          <t>PHNOM PENH AUTONOMOUS PORT "PPAP"</t>
        </is>
      </c>
      <c r="D635" s="215" t="inlineStr">
        <is>
          <t>L001-100044999</t>
        </is>
      </c>
      <c r="E635" s="290" t="inlineStr">
        <is>
          <t>INV20250541411</t>
        </is>
      </c>
      <c r="F635" s="279" t="n">
        <v>45803</v>
      </c>
      <c r="G635" s="216" t="n"/>
      <c r="H635" s="564" t="n"/>
      <c r="I635" s="564" t="n">
        <v>280140</v>
      </c>
      <c r="J635" s="213" t="inlineStr">
        <is>
          <t>អនុញ្ញាត (បានប្រកាស)</t>
        </is>
      </c>
      <c r="K635" s="565" t="n"/>
      <c r="L635" s="563">
        <f>I635</f>
        <v/>
      </c>
      <c r="M635" s="536">
        <f>I635-L635</f>
        <v/>
      </c>
      <c r="N635" s="213" t="n"/>
      <c r="O635" s="218">
        <f>U635=E635</f>
        <v/>
      </c>
      <c r="P635" s="218">
        <f>MONTH(F635)-MONTH(T635)</f>
        <v/>
      </c>
      <c r="Q635" s="218">
        <f>$B$5=X635</f>
        <v/>
      </c>
      <c r="R635" s="218">
        <f>I635-AD635</f>
        <v/>
      </c>
      <c r="S635" s="298" t="n"/>
      <c r="T635" s="305" t="n">
        <v>45803</v>
      </c>
      <c r="U635" s="306" t="inlineStr">
        <is>
          <t>INV20250541411</t>
        </is>
      </c>
      <c r="V635" s="306" t="n">
        <v>0</v>
      </c>
      <c r="W635" s="306" t="inlineStr">
        <is>
          <t>បុគ្គលជាប់អាករ</t>
        </is>
      </c>
      <c r="X635" s="307" t="inlineStr">
        <is>
          <t>L001-901640009</t>
        </is>
      </c>
      <c r="Y635" s="308" t="inlineStr">
        <is>
          <t>ហូលីដេ ឌីហ្សាញ (ខេមបូឌា) ឯ.ក</t>
        </is>
      </c>
      <c r="Z635" s="309" t="n">
        <v>3081540</v>
      </c>
      <c r="AA635" s="309" t="n">
        <v>2801400</v>
      </c>
      <c r="AB635" s="309" t="n">
        <v>0</v>
      </c>
      <c r="AC635" s="310" t="inlineStr">
        <is>
          <t>-</t>
        </is>
      </c>
      <c r="AD635" s="309" t="n">
        <v>280140</v>
      </c>
      <c r="AE635" s="309" t="n">
        <v>0</v>
      </c>
      <c r="AF635" s="309" t="n">
        <v>0</v>
      </c>
      <c r="AG635" s="309" t="n">
        <v>0</v>
      </c>
      <c r="AH635" s="309" t="n">
        <v>0</v>
      </c>
      <c r="AI635" s="309" t="n">
        <v>0</v>
      </c>
      <c r="AJ635" s="309" t="n">
        <v>0</v>
      </c>
      <c r="AK635" s="309" t="n">
        <v>0</v>
      </c>
      <c r="AL635" s="311" t="n">
        <v>0.01</v>
      </c>
      <c r="AM635" s="310" t="n">
        <v>0</v>
      </c>
      <c r="AN635" s="308" t="inlineStr">
        <is>
          <t>ចំណូលពីសេវាកម្ម (លើកដាក់ទំនិញ)</t>
        </is>
      </c>
    </row>
    <row r="636">
      <c r="A636" s="212">
        <f>A635+1</f>
        <v/>
      </c>
      <c r="B636" s="214" t="inlineStr">
        <is>
          <t>Trucking &amp; Clearance-Ex</t>
        </is>
      </c>
      <c r="C636" s="214" t="inlineStr">
        <is>
          <t>BRILLIANT TRANSPORT AND TRADING Co., Ltd.</t>
        </is>
      </c>
      <c r="D636" s="215" t="inlineStr">
        <is>
          <t>K002-100089305</t>
        </is>
      </c>
      <c r="E636" s="290" t="inlineStr">
        <is>
          <t>BTT25-0001112</t>
        </is>
      </c>
      <c r="F636" s="279" t="n">
        <v>45800</v>
      </c>
      <c r="G636" s="216" t="n"/>
      <c r="H636" s="564" t="n"/>
      <c r="I636" s="564" t="n">
        <v>2093569</v>
      </c>
      <c r="J636" s="213" t="inlineStr">
        <is>
          <t>អនុញ្ញាត (បានប្រកាស)</t>
        </is>
      </c>
      <c r="K636" s="565" t="n"/>
      <c r="L636" s="563">
        <f>I636</f>
        <v/>
      </c>
      <c r="M636" s="536">
        <f>I636-L636</f>
        <v/>
      </c>
      <c r="N636" s="213" t="n"/>
      <c r="O636" s="218">
        <f>U636=E636</f>
        <v/>
      </c>
      <c r="P636" s="218">
        <f>MONTH(F636)-MONTH(T636)</f>
        <v/>
      </c>
      <c r="Q636" s="218">
        <f>$B$5=X636</f>
        <v/>
      </c>
      <c r="R636" s="218">
        <f>I636-AD636</f>
        <v/>
      </c>
      <c r="S636" s="298" t="n"/>
      <c r="T636" s="299" t="n">
        <v>45800</v>
      </c>
      <c r="U636" s="298" t="inlineStr">
        <is>
          <t>BTT25-0001112</t>
        </is>
      </c>
      <c r="V636" s="298" t="n"/>
      <c r="W636" s="298" t="n"/>
      <c r="X636" s="298" t="n"/>
      <c r="Y636" s="298" t="inlineStr">
        <is>
          <t>ហូលីដេ ឌីហ្សាញ (ខេមបូឌា) ឯ.ក</t>
        </is>
      </c>
      <c r="Z636" s="300" t="n"/>
      <c r="AA636" s="300" t="n"/>
      <c r="AB636" s="298" t="n"/>
      <c r="AC636" s="298" t="n"/>
      <c r="AD636" s="300" t="n">
        <v>2093569</v>
      </c>
      <c r="AE636" s="298" t="n"/>
      <c r="AF636" s="562" t="n"/>
      <c r="AN636" s="198" t="inlineStr">
        <is>
          <t>Truking / Service</t>
        </is>
      </c>
    </row>
    <row r="637">
      <c r="A637" s="212">
        <f>A636+1</f>
        <v/>
      </c>
      <c r="B637" s="214" t="inlineStr">
        <is>
          <t>Lift-Off-Ex</t>
        </is>
      </c>
      <c r="C637" s="214" t="inlineStr">
        <is>
          <t>Port Autonome Du Sihanoukville</t>
        </is>
      </c>
      <c r="D637" s="215" t="inlineStr">
        <is>
          <t>L001-100044638</t>
        </is>
      </c>
      <c r="E637" s="290" t="n">
        <v>202500120022</v>
      </c>
      <c r="F637" s="279" t="n">
        <v>45800</v>
      </c>
      <c r="G637" s="216" t="n"/>
      <c r="H637" s="564" t="n"/>
      <c r="I637" s="564" t="n">
        <v>20415</v>
      </c>
      <c r="J637" s="213" t="inlineStr">
        <is>
          <t>អនុញ្ញាត (បានប្រកាស)</t>
        </is>
      </c>
      <c r="K637" s="565" t="n"/>
      <c r="L637" s="563">
        <f>I637</f>
        <v/>
      </c>
      <c r="M637" s="536">
        <f>I637-L637</f>
        <v/>
      </c>
      <c r="N637" s="213" t="n"/>
      <c r="O637" s="218">
        <f>U637=E637</f>
        <v/>
      </c>
      <c r="P637" s="218">
        <f>MONTH(F637)-MONTH(T637)</f>
        <v/>
      </c>
      <c r="Q637" s="218">
        <f>$B$5=X637</f>
        <v/>
      </c>
      <c r="R637" s="218">
        <f>I637-AD637</f>
        <v/>
      </c>
      <c r="S637" s="298" t="n"/>
      <c r="T637" s="301" t="n">
        <v>45800</v>
      </c>
      <c r="U637" s="298" t="n">
        <v>202500120022</v>
      </c>
      <c r="V637" s="298" t="n"/>
      <c r="W637" s="298" t="inlineStr">
        <is>
          <t>បុគ្គលជាប់អាករ</t>
        </is>
      </c>
      <c r="X637" s="298" t="inlineStr">
        <is>
          <t>L001-901640009</t>
        </is>
      </c>
      <c r="Y637" s="298" t="inlineStr">
        <is>
          <t>ហូលីដេ ឌីហ្សាញ (ខេមបូឌា) ឯ.ក</t>
        </is>
      </c>
      <c r="Z637" s="300" t="n">
        <v>224568</v>
      </c>
      <c r="AA637" s="300" t="n">
        <v>204153</v>
      </c>
      <c r="AB637" s="298" t="n">
        <v>0</v>
      </c>
      <c r="AC637" s="298" t="inlineStr">
        <is>
          <t>-</t>
        </is>
      </c>
      <c r="AD637" s="300" t="n">
        <v>20415</v>
      </c>
      <c r="AE637" s="298" t="n"/>
      <c r="AF637" s="562" t="n"/>
    </row>
    <row r="638" ht="23.4" customHeight="1" s="331" thickBot="1">
      <c r="A638" s="212">
        <f>A637+1</f>
        <v/>
      </c>
      <c r="B638" s="214" t="inlineStr">
        <is>
          <t>Lift-Off-Ex</t>
        </is>
      </c>
      <c r="C638" s="214" t="inlineStr">
        <is>
          <t>Port Autonome Du Sihanoukville</t>
        </is>
      </c>
      <c r="D638" s="215" t="inlineStr">
        <is>
          <t>L001-100044638</t>
        </is>
      </c>
      <c r="E638" s="290" t="n">
        <v>202500120026</v>
      </c>
      <c r="F638" s="279" t="n">
        <v>45800</v>
      </c>
      <c r="G638" s="216" t="n"/>
      <c r="H638" s="564" t="n"/>
      <c r="I638" s="564" t="n">
        <v>6805</v>
      </c>
      <c r="J638" s="213" t="inlineStr">
        <is>
          <t>អនុញ្ញាត (បានប្រកាស)</t>
        </is>
      </c>
      <c r="K638" s="565" t="n"/>
      <c r="L638" s="563">
        <f>I638</f>
        <v/>
      </c>
      <c r="M638" s="536">
        <f>I638-L638</f>
        <v/>
      </c>
      <c r="N638" s="213" t="n"/>
      <c r="O638" s="218">
        <f>U638=E638</f>
        <v/>
      </c>
      <c r="P638" s="218">
        <f>MONTH(F638)-MONTH(T638)</f>
        <v/>
      </c>
      <c r="Q638" s="218">
        <f>$B$5=X638</f>
        <v/>
      </c>
      <c r="R638" s="218">
        <f>I638-AD638</f>
        <v/>
      </c>
      <c r="S638" s="298" t="n"/>
      <c r="T638" s="299" t="n">
        <v>45800</v>
      </c>
      <c r="U638" s="298" t="n">
        <v>202500120026</v>
      </c>
      <c r="V638" s="298" t="n"/>
      <c r="W638" s="298" t="inlineStr">
        <is>
          <t>បុគ្គលជាប់អាករ</t>
        </is>
      </c>
      <c r="X638" s="298" t="inlineStr">
        <is>
          <t>L001-901640009</t>
        </is>
      </c>
      <c r="Y638" s="298" t="inlineStr">
        <is>
          <t>ហូលីដេ ឌីហ្សាញ (ខេមបូឌា) ឯ.ក</t>
        </is>
      </c>
      <c r="Z638" s="300" t="n">
        <v>74856</v>
      </c>
      <c r="AA638" s="300" t="n">
        <v>68051</v>
      </c>
      <c r="AB638" s="298" t="n">
        <v>0</v>
      </c>
      <c r="AC638" s="298" t="inlineStr">
        <is>
          <t>-</t>
        </is>
      </c>
      <c r="AD638" s="300" t="n">
        <v>6805</v>
      </c>
      <c r="AE638" s="298" t="n">
        <v>0</v>
      </c>
      <c r="AF638" s="562" t="n"/>
    </row>
    <row r="639" ht="23.4" customHeight="1" s="331" thickBot="1">
      <c r="A639" s="212">
        <f>A638+1</f>
        <v/>
      </c>
      <c r="B639" s="214" t="inlineStr">
        <is>
          <t>Trucking &amp; Clearance-Ex</t>
        </is>
      </c>
      <c r="C639" s="214" t="inlineStr">
        <is>
          <t>WANAKA LOGISTICS CO., LTD.</t>
        </is>
      </c>
      <c r="D639" s="215" t="inlineStr">
        <is>
          <t>K005-901907953</t>
        </is>
      </c>
      <c r="E639" s="290" t="inlineStr">
        <is>
          <t>WL25-001897</t>
        </is>
      </c>
      <c r="F639" s="279" t="n">
        <v>45805</v>
      </c>
      <c r="G639" s="216" t="n"/>
      <c r="H639" s="564" t="n"/>
      <c r="I639" s="564" t="n">
        <v>156117</v>
      </c>
      <c r="J639" s="213" t="inlineStr">
        <is>
          <t>អនុញ្ញាត (បានប្រកាស)</t>
        </is>
      </c>
      <c r="K639" s="565" t="n"/>
      <c r="L639" s="563">
        <f>I639</f>
        <v/>
      </c>
      <c r="M639" s="536">
        <f>I639-L639</f>
        <v/>
      </c>
      <c r="N639" s="213" t="n"/>
      <c r="O639" s="218">
        <f>U639=E639</f>
        <v/>
      </c>
      <c r="P639" s="218">
        <f>MONTH(F639)-MONTH(T639)</f>
        <v/>
      </c>
      <c r="Q639" s="218">
        <f>$B$5=X639</f>
        <v/>
      </c>
      <c r="R639" s="218">
        <f>I639-AD639</f>
        <v/>
      </c>
      <c r="S639" s="298" t="n"/>
      <c r="T639" s="305" t="n">
        <v>45805</v>
      </c>
      <c r="U639" s="306" t="inlineStr">
        <is>
          <t>WL25-001897</t>
        </is>
      </c>
      <c r="V639" s="306" t="n"/>
      <c r="W639" s="306" t="n"/>
      <c r="X639" s="307" t="n"/>
      <c r="Y639" s="308" t="inlineStr">
        <is>
          <t>ហូលីដេ ឌីហ្សាញ (ខេមបូឌា) ឯ.ក</t>
        </is>
      </c>
      <c r="Z639" s="309" t="n"/>
      <c r="AA639" s="309" t="n"/>
      <c r="AB639" s="309" t="n"/>
      <c r="AC639" s="310" t="n"/>
      <c r="AD639" s="309" t="n">
        <v>156117</v>
      </c>
      <c r="AE639" s="309" t="n"/>
      <c r="AF639" s="309" t="n"/>
      <c r="AG639" s="309" t="n"/>
      <c r="AH639" s="309" t="n"/>
      <c r="AI639" s="309" t="n"/>
      <c r="AJ639" s="309" t="n"/>
      <c r="AK639" s="309" t="n"/>
      <c r="AL639" s="311" t="n"/>
      <c r="AM639" s="310" t="n"/>
      <c r="AN639" s="308" t="n"/>
    </row>
    <row r="640">
      <c r="A640" s="212">
        <f>A639+1</f>
        <v/>
      </c>
      <c r="B640" s="214" t="inlineStr">
        <is>
          <t>Lift-Off-Ex</t>
        </is>
      </c>
      <c r="C640" s="214" t="inlineStr">
        <is>
          <t>PHNOM PENH AUTONOMOUS PORT "PPAP"</t>
        </is>
      </c>
      <c r="D640" s="215" t="inlineStr">
        <is>
          <t>L001-100044999</t>
        </is>
      </c>
      <c r="E640" s="290" t="inlineStr">
        <is>
          <t>INV20250542478</t>
        </is>
      </c>
      <c r="F640" s="279" t="n">
        <v>45805</v>
      </c>
      <c r="G640" s="216" t="n"/>
      <c r="H640" s="564" t="n"/>
      <c r="I640" s="564" t="n">
        <v>28021</v>
      </c>
      <c r="J640" s="213" t="inlineStr">
        <is>
          <t>អនុញ្ញាត (បានប្រកាស)</t>
        </is>
      </c>
      <c r="K640" s="565" t="n"/>
      <c r="L640" s="563">
        <f>I640</f>
        <v/>
      </c>
      <c r="M640" s="536">
        <f>I640-L640</f>
        <v/>
      </c>
      <c r="N640" s="213" t="n"/>
      <c r="O640" s="218">
        <f>U640=E640</f>
        <v/>
      </c>
      <c r="P640" s="218">
        <f>MONTH(F640)-MONTH(T640)</f>
        <v/>
      </c>
      <c r="Q640" s="218">
        <f>$B$5=X640</f>
        <v/>
      </c>
      <c r="R640" s="218">
        <f>I640-AD640</f>
        <v/>
      </c>
      <c r="S640" s="298" t="n"/>
      <c r="T640" s="299" t="n">
        <v>45805</v>
      </c>
      <c r="U640" s="298" t="inlineStr">
        <is>
          <t>INV20250542478</t>
        </is>
      </c>
      <c r="V640" s="298" t="n">
        <v>0</v>
      </c>
      <c r="W640" s="298" t="inlineStr">
        <is>
          <t>បុគ្គលជាប់អាករ</t>
        </is>
      </c>
      <c r="X640" s="298" t="inlineStr">
        <is>
          <t>L001-901640009</t>
        </is>
      </c>
      <c r="Y640" s="298" t="inlineStr">
        <is>
          <t>ហូលីដេ ឌីហ្សាញ (ខេមបូឌា) ឯ.ក</t>
        </is>
      </c>
      <c r="Z640" s="300" t="n">
        <v>308231</v>
      </c>
      <c r="AA640" s="300" t="n">
        <v>280210</v>
      </c>
      <c r="AB640" s="298" t="n">
        <v>0</v>
      </c>
      <c r="AC640" s="298" t="inlineStr">
        <is>
          <t>-</t>
        </is>
      </c>
      <c r="AD640" s="300" t="n">
        <v>28021</v>
      </c>
      <c r="AE640" s="298" t="n">
        <v>0</v>
      </c>
      <c r="AF640" s="562" t="n">
        <v>0</v>
      </c>
      <c r="AG640" s="198" t="n">
        <v>0</v>
      </c>
      <c r="AH640" s="198" t="n">
        <v>0</v>
      </c>
      <c r="AI640" s="198" t="n">
        <v>0</v>
      </c>
      <c r="AJ640" s="198" t="n">
        <v>0</v>
      </c>
      <c r="AK640" s="198" t="n">
        <v>0</v>
      </c>
      <c r="AL640" s="198" t="n">
        <v>0.01</v>
      </c>
      <c r="AM640" s="198" t="n">
        <v>0</v>
      </c>
      <c r="AN640" s="198" t="inlineStr">
        <is>
          <t>ចំណូលពីសេវាកម្ម (លើកដាក់ទំនិញ)</t>
        </is>
      </c>
    </row>
    <row r="641">
      <c r="A641" s="212">
        <f>A640+1</f>
        <v/>
      </c>
      <c r="B641" s="214" t="inlineStr">
        <is>
          <t>Trucking &amp; Clearance-Ex</t>
        </is>
      </c>
      <c r="C641" s="214" t="inlineStr">
        <is>
          <t>KR GLOBAL LOGISTICS CO., LTD.</t>
        </is>
      </c>
      <c r="D641" s="215" t="inlineStr">
        <is>
          <t>K005-902004162</t>
        </is>
      </c>
      <c r="E641" s="290" t="inlineStr">
        <is>
          <t>KR252617</t>
        </is>
      </c>
      <c r="F641" s="279" t="n">
        <v>45807</v>
      </c>
      <c r="G641" s="216" t="n"/>
      <c r="H641" s="564" t="n"/>
      <c r="I641" s="564" t="n">
        <v>839849</v>
      </c>
      <c r="J641" s="213" t="inlineStr">
        <is>
          <t>អនុញ្ញាត (បានប្រកាស)</t>
        </is>
      </c>
      <c r="K641" s="565" t="n"/>
      <c r="L641" s="563">
        <f>I641</f>
        <v/>
      </c>
      <c r="M641" s="536">
        <f>I641-L641</f>
        <v/>
      </c>
      <c r="N641" s="213" t="n"/>
      <c r="O641" s="218">
        <f>U641=E641</f>
        <v/>
      </c>
      <c r="P641" s="218">
        <f>MONTH(F641)-MONTH(T641)</f>
        <v/>
      </c>
      <c r="Q641" s="218">
        <f>$B$5=X641</f>
        <v/>
      </c>
      <c r="R641" s="218">
        <f>I641-AD641</f>
        <v/>
      </c>
      <c r="S641" s="298" t="n"/>
      <c r="T641" s="299" t="n">
        <v>45807</v>
      </c>
      <c r="U641" s="298" t="inlineStr">
        <is>
          <t>KR252617</t>
        </is>
      </c>
      <c r="V641" s="298" t="n"/>
      <c r="W641" s="298" t="n"/>
      <c r="X641" s="298" t="n"/>
      <c r="Y641" s="298" t="inlineStr">
        <is>
          <t>ហូលីដេ ឌីហ្សាញ (ខេមបូឌា) ឯ.ក</t>
        </is>
      </c>
      <c r="Z641" s="300" t="n"/>
      <c r="AA641" s="300" t="n"/>
      <c r="AB641" s="298" t="n"/>
      <c r="AC641" s="298" t="n"/>
      <c r="AD641" s="300" t="n">
        <v>839849</v>
      </c>
      <c r="AE641" s="298" t="n"/>
      <c r="AF641" s="562" t="n"/>
    </row>
    <row r="642">
      <c r="A642" s="212">
        <f>A641+1</f>
        <v/>
      </c>
      <c r="B642" s="214" t="inlineStr">
        <is>
          <t>Trucking &amp; Clearance-Ex</t>
        </is>
      </c>
      <c r="C642" s="214" t="inlineStr">
        <is>
          <t>KR GLOBAL LOGISTICS CO., LTD.</t>
        </is>
      </c>
      <c r="D642" s="215" t="inlineStr">
        <is>
          <t>K005-902004162</t>
        </is>
      </c>
      <c r="E642" s="290" t="inlineStr">
        <is>
          <t>KR252616</t>
        </is>
      </c>
      <c r="F642" s="279" t="n">
        <v>45807</v>
      </c>
      <c r="G642" s="216" t="n"/>
      <c r="H642" s="564" t="n"/>
      <c r="I642" s="564" t="n">
        <v>169412</v>
      </c>
      <c r="J642" s="213" t="inlineStr">
        <is>
          <t>អនុញ្ញាត (បានប្រកាស)</t>
        </is>
      </c>
      <c r="K642" s="565" t="n"/>
      <c r="L642" s="563">
        <f>I642</f>
        <v/>
      </c>
      <c r="M642" s="536">
        <f>I642-L642</f>
        <v/>
      </c>
      <c r="N642" s="213" t="n"/>
      <c r="O642" s="218">
        <f>U642=E642</f>
        <v/>
      </c>
      <c r="P642" s="218">
        <f>MONTH(F642)-MONTH(T642)</f>
        <v/>
      </c>
      <c r="Q642" s="218">
        <f>$B$5=X642</f>
        <v/>
      </c>
      <c r="R642" s="218">
        <f>I642-AD642</f>
        <v/>
      </c>
      <c r="S642" s="298" t="n"/>
      <c r="T642" s="299" t="n">
        <v>45807</v>
      </c>
      <c r="U642" s="298" t="inlineStr">
        <is>
          <t>KR252616</t>
        </is>
      </c>
      <c r="V642" s="298" t="n"/>
      <c r="W642" s="298" t="n"/>
      <c r="X642" s="298" t="n"/>
      <c r="Y642" s="298" t="inlineStr">
        <is>
          <t>ហូលីដេ ឌីហ្សាញ (ខេមបូឌា) ឯ.ក</t>
        </is>
      </c>
      <c r="Z642" s="300" t="n"/>
      <c r="AA642" s="300" t="n"/>
      <c r="AB642" s="298" t="n"/>
      <c r="AC642" s="298" t="n"/>
      <c r="AD642" s="300" t="n">
        <v>169412</v>
      </c>
      <c r="AE642" s="298" t="n"/>
      <c r="AF642" s="562" t="n"/>
    </row>
    <row r="643">
      <c r="A643" s="212">
        <f>A642+1</f>
        <v/>
      </c>
      <c r="B643" s="214" t="inlineStr">
        <is>
          <t>Trucking &amp; Clearance-Ex</t>
        </is>
      </c>
      <c r="C643" s="214" t="inlineStr">
        <is>
          <t>KR GLOBAL LOGISTICS CO., LTD.</t>
        </is>
      </c>
      <c r="D643" s="215" t="inlineStr">
        <is>
          <t>K005-902004162</t>
        </is>
      </c>
      <c r="E643" s="290" t="inlineStr">
        <is>
          <t>KR252615</t>
        </is>
      </c>
      <c r="F643" s="279" t="n">
        <v>45807</v>
      </c>
      <c r="G643" s="216" t="n"/>
      <c r="H643" s="564" t="n"/>
      <c r="I643" s="564" t="n">
        <v>673441</v>
      </c>
      <c r="J643" s="213" t="inlineStr">
        <is>
          <t>អនុញ្ញាត (បានប្រកាស)</t>
        </is>
      </c>
      <c r="K643" s="565" t="n"/>
      <c r="L643" s="563">
        <f>I643</f>
        <v/>
      </c>
      <c r="M643" s="536">
        <f>I643-L643</f>
        <v/>
      </c>
      <c r="N643" s="213" t="n"/>
      <c r="O643" s="218">
        <f>U643=E643</f>
        <v/>
      </c>
      <c r="P643" s="218">
        <f>MONTH(F643)-MONTH(T643)</f>
        <v/>
      </c>
      <c r="Q643" s="218">
        <f>$B$5=X643</f>
        <v/>
      </c>
      <c r="R643" s="218">
        <f>I643-AD643</f>
        <v/>
      </c>
      <c r="S643" s="298" t="n"/>
      <c r="T643" s="299" t="n">
        <v>45807</v>
      </c>
      <c r="U643" s="298" t="inlineStr">
        <is>
          <t>KR252615</t>
        </is>
      </c>
      <c r="V643" s="298" t="n"/>
      <c r="W643" s="298" t="n"/>
      <c r="X643" s="298" t="n"/>
      <c r="Y643" s="298" t="inlineStr">
        <is>
          <t>ហូលីដេ ឌីហ្សាញ (ខេមបូឌា) ឯ.ក</t>
        </is>
      </c>
      <c r="Z643" s="300" t="n"/>
      <c r="AA643" s="300" t="n"/>
      <c r="AB643" s="298" t="n"/>
      <c r="AC643" s="298" t="n"/>
      <c r="AD643" s="300" t="n">
        <v>673441</v>
      </c>
      <c r="AE643" s="298" t="n"/>
      <c r="AF643" s="562" t="n"/>
    </row>
    <row r="644">
      <c r="A644" s="212">
        <f>A643+1</f>
        <v/>
      </c>
      <c r="B644" s="214" t="inlineStr">
        <is>
          <t>Trucking &amp; Clearance-Ex</t>
        </is>
      </c>
      <c r="C644" s="214" t="inlineStr">
        <is>
          <t>KR GLOBAL LOGISTICS CO., LTD.</t>
        </is>
      </c>
      <c r="D644" s="215" t="inlineStr">
        <is>
          <t>K005-902004162</t>
        </is>
      </c>
      <c r="E644" s="290" t="inlineStr">
        <is>
          <t>KR252614</t>
        </is>
      </c>
      <c r="F644" s="279" t="n">
        <v>45807</v>
      </c>
      <c r="G644" s="216" t="n"/>
      <c r="H644" s="564" t="n"/>
      <c r="I644" s="564" t="n">
        <v>678848</v>
      </c>
      <c r="J644" s="213" t="inlineStr">
        <is>
          <t>អនុញ្ញាត (បានប្រកាស)</t>
        </is>
      </c>
      <c r="K644" s="565" t="n"/>
      <c r="L644" s="563">
        <f>I644</f>
        <v/>
      </c>
      <c r="M644" s="536">
        <f>I644-L644</f>
        <v/>
      </c>
      <c r="N644" s="213" t="n"/>
      <c r="O644" s="218">
        <f>U644=E644</f>
        <v/>
      </c>
      <c r="P644" s="218">
        <f>MONTH(F644)-MONTH(T644)</f>
        <v/>
      </c>
      <c r="Q644" s="218">
        <f>$B$5=X644</f>
        <v/>
      </c>
      <c r="R644" s="218">
        <f>I644-AD644</f>
        <v/>
      </c>
      <c r="S644" s="298" t="n"/>
      <c r="T644" s="299" t="n">
        <v>45807</v>
      </c>
      <c r="U644" s="298" t="inlineStr">
        <is>
          <t>KR252614</t>
        </is>
      </c>
      <c r="V644" s="298" t="n"/>
      <c r="W644" s="298" t="n"/>
      <c r="X644" s="298" t="n"/>
      <c r="Y644" s="298" t="inlineStr">
        <is>
          <t>ហូលីដេ ឌីហ្សាញ (ខេមបូឌា) ឯ.ក</t>
        </is>
      </c>
      <c r="Z644" s="300" t="n"/>
      <c r="AA644" s="300" t="n"/>
      <c r="AB644" s="298" t="n"/>
      <c r="AC644" s="298" t="n"/>
      <c r="AD644" s="300" t="n">
        <v>678848</v>
      </c>
      <c r="AE644" s="298" t="n"/>
      <c r="AF644" s="562" t="n"/>
    </row>
    <row r="645">
      <c r="A645" s="212">
        <f>A644+1</f>
        <v/>
      </c>
      <c r="B645" s="214" t="inlineStr">
        <is>
          <t>Trucking &amp; Clearance-Ex</t>
        </is>
      </c>
      <c r="C645" s="214" t="inlineStr">
        <is>
          <t>KR GLOBAL LOGISTICS CO., LTD.</t>
        </is>
      </c>
      <c r="D645" s="215" t="inlineStr">
        <is>
          <t>K005-902004162</t>
        </is>
      </c>
      <c r="E645" s="290" t="inlineStr">
        <is>
          <t>KR252612</t>
        </is>
      </c>
      <c r="F645" s="279" t="n">
        <v>45807</v>
      </c>
      <c r="G645" s="216" t="n"/>
      <c r="H645" s="564" t="n"/>
      <c r="I645" s="564" t="n">
        <v>210663</v>
      </c>
      <c r="J645" s="213" t="inlineStr">
        <is>
          <t>អនុញ្ញាត (បានប្រកាស)</t>
        </is>
      </c>
      <c r="K645" s="565" t="n"/>
      <c r="L645" s="563">
        <f>I645</f>
        <v/>
      </c>
      <c r="M645" s="536">
        <f>I645-L645</f>
        <v/>
      </c>
      <c r="N645" s="213" t="n"/>
      <c r="O645" s="218">
        <f>U645=E645</f>
        <v/>
      </c>
      <c r="P645" s="218">
        <f>MONTH(F645)-MONTH(T645)</f>
        <v/>
      </c>
      <c r="Q645" s="218">
        <f>$B$5=X645</f>
        <v/>
      </c>
      <c r="R645" s="218">
        <f>I645-AD645</f>
        <v/>
      </c>
      <c r="S645" s="298" t="n"/>
      <c r="T645" s="299" t="n">
        <v>45807</v>
      </c>
      <c r="U645" s="298" t="inlineStr">
        <is>
          <t>KR252612</t>
        </is>
      </c>
      <c r="V645" s="298" t="n"/>
      <c r="W645" s="298" t="n"/>
      <c r="X645" s="298" t="n"/>
      <c r="Y645" s="298" t="inlineStr">
        <is>
          <t>ហូលីដេ ឌីហ្សាញ (ខេមបូឌា) ឯ.ក</t>
        </is>
      </c>
      <c r="Z645" s="300" t="n"/>
      <c r="AA645" s="300" t="n"/>
      <c r="AB645" s="298" t="n"/>
      <c r="AC645" s="298" t="n"/>
      <c r="AD645" s="300" t="n">
        <v>210663</v>
      </c>
      <c r="AE645" s="298" t="n"/>
      <c r="AF645" s="562" t="n"/>
    </row>
    <row r="646">
      <c r="A646" s="212">
        <f>A645+1</f>
        <v/>
      </c>
      <c r="B646" s="214" t="inlineStr">
        <is>
          <t>Lift-Off-Ex</t>
        </is>
      </c>
      <c r="C646" s="214" t="inlineStr">
        <is>
          <t>PHNOM PENH AUTONOMOUS PORT "PPAP"</t>
        </is>
      </c>
      <c r="D646" s="215" t="inlineStr">
        <is>
          <t>L001-100044999</t>
        </is>
      </c>
      <c r="E646" s="290" t="inlineStr">
        <is>
          <t>INV20250541767</t>
        </is>
      </c>
      <c r="F646" s="279" t="n">
        <v>45803</v>
      </c>
      <c r="G646" s="216" t="n"/>
      <c r="H646" s="564" t="n"/>
      <c r="I646" s="564" t="n">
        <v>18409</v>
      </c>
      <c r="J646" s="213" t="inlineStr">
        <is>
          <t>អនុញ្ញាត (បានប្រកាស)</t>
        </is>
      </c>
      <c r="K646" s="565" t="n"/>
      <c r="L646" s="563">
        <f>I646</f>
        <v/>
      </c>
      <c r="M646" s="536">
        <f>I646-L646</f>
        <v/>
      </c>
      <c r="N646" s="213" t="n"/>
      <c r="O646" s="218">
        <f>U646=E646</f>
        <v/>
      </c>
      <c r="P646" s="218">
        <f>MONTH(F646)-MONTH(T646)</f>
        <v/>
      </c>
      <c r="Q646" s="218">
        <f>$B$5=X646</f>
        <v/>
      </c>
      <c r="R646" s="218">
        <f>I646-AD646</f>
        <v/>
      </c>
      <c r="S646" s="298" t="n"/>
      <c r="T646" s="299" t="n">
        <v>45803</v>
      </c>
      <c r="U646" s="298" t="inlineStr">
        <is>
          <t>INV20250541767</t>
        </is>
      </c>
      <c r="V646" s="298" t="n">
        <v>0</v>
      </c>
      <c r="W646" s="298" t="inlineStr">
        <is>
          <t>បុគ្គលជាប់អាករ</t>
        </is>
      </c>
      <c r="X646" s="298" t="inlineStr">
        <is>
          <t>L001-901640009</t>
        </is>
      </c>
      <c r="Y646" s="298" t="inlineStr">
        <is>
          <t>ហូលីដេ ឌីហ្សាញ (ខេមបូឌា) ឯ.ក</t>
        </is>
      </c>
      <c r="Z646" s="300" t="n">
        <v>202499</v>
      </c>
      <c r="AA646" s="300" t="n">
        <v>184090</v>
      </c>
      <c r="AB646" s="298" t="n">
        <v>0</v>
      </c>
      <c r="AC646" s="298" t="inlineStr">
        <is>
          <t>-</t>
        </is>
      </c>
      <c r="AD646" s="300" t="n">
        <v>18409</v>
      </c>
      <c r="AE646" s="298" t="n">
        <v>0</v>
      </c>
      <c r="AF646" s="562" t="n">
        <v>0</v>
      </c>
      <c r="AG646" s="198" t="n">
        <v>0</v>
      </c>
      <c r="AH646" s="198" t="n">
        <v>0</v>
      </c>
      <c r="AI646" s="198" t="n">
        <v>0</v>
      </c>
      <c r="AJ646" s="198" t="n">
        <v>0</v>
      </c>
      <c r="AK646" s="198" t="n">
        <v>0</v>
      </c>
      <c r="AL646" s="198" t="n">
        <v>0.01</v>
      </c>
      <c r="AM646" s="198" t="n">
        <v>0</v>
      </c>
      <c r="AN646" s="198" t="inlineStr">
        <is>
          <t>ចំណូលពីសេវាកម្ម (លើកដាក់ទំនិញ)</t>
        </is>
      </c>
    </row>
    <row r="647">
      <c r="A647" s="212">
        <f>A646+1</f>
        <v/>
      </c>
      <c r="B647" s="214" t="inlineStr">
        <is>
          <t>Trucking &amp; Clearance-Ex</t>
        </is>
      </c>
      <c r="C647" s="214" t="inlineStr">
        <is>
          <t>KR GLOBAL LOGISTICS CO., LTD.</t>
        </is>
      </c>
      <c r="D647" s="215" t="inlineStr">
        <is>
          <t>K005-902004162</t>
        </is>
      </c>
      <c r="E647" s="290" t="inlineStr">
        <is>
          <t>KR252611</t>
        </is>
      </c>
      <c r="F647" s="279" t="n">
        <v>45807</v>
      </c>
      <c r="G647" s="216" t="n"/>
      <c r="H647" s="564" t="n"/>
      <c r="I647" s="564" t="n">
        <v>161402</v>
      </c>
      <c r="J647" s="213" t="inlineStr">
        <is>
          <t>អនុញ្ញាត (បានប្រកាស)</t>
        </is>
      </c>
      <c r="K647" s="565" t="n"/>
      <c r="L647" s="563">
        <f>I647</f>
        <v/>
      </c>
      <c r="M647" s="536">
        <f>I647-L647</f>
        <v/>
      </c>
      <c r="N647" s="213" t="n"/>
      <c r="O647" s="218">
        <f>U647=E647</f>
        <v/>
      </c>
      <c r="P647" s="218">
        <f>MONTH(F647)-MONTH(T647)</f>
        <v/>
      </c>
      <c r="Q647" s="218">
        <f>$B$5=X647</f>
        <v/>
      </c>
      <c r="R647" s="218">
        <f>I647-AD647</f>
        <v/>
      </c>
      <c r="S647" s="298" t="n"/>
      <c r="T647" s="299" t="n">
        <v>45807</v>
      </c>
      <c r="U647" s="298" t="inlineStr">
        <is>
          <t>KR252611</t>
        </is>
      </c>
      <c r="V647" s="298" t="n"/>
      <c r="W647" s="298" t="n"/>
      <c r="X647" s="298" t="n"/>
      <c r="Y647" s="298" t="inlineStr">
        <is>
          <t>ហូលីដេ ឌីហ្សាញ (ខេមបូឌា) ឯ.ក</t>
        </is>
      </c>
      <c r="Z647" s="300" t="n"/>
      <c r="AA647" s="300" t="n"/>
      <c r="AB647" s="298" t="n"/>
      <c r="AC647" s="298" t="n"/>
      <c r="AD647" s="300" t="n">
        <v>161402</v>
      </c>
      <c r="AE647" s="298" t="n"/>
      <c r="AF647" s="562" t="n"/>
    </row>
    <row r="648">
      <c r="A648" s="212">
        <f>A647+1</f>
        <v/>
      </c>
      <c r="B648" s="214" t="inlineStr">
        <is>
          <t>Lift-Off-Ex</t>
        </is>
      </c>
      <c r="C648" s="214" t="inlineStr">
        <is>
          <t>PHNOM PENH AUTONOMOUS PORT "PPAP"</t>
        </is>
      </c>
      <c r="D648" s="215" t="inlineStr">
        <is>
          <t>L001-100044999</t>
        </is>
      </c>
      <c r="E648" s="290" t="inlineStr">
        <is>
          <t>INV20250541766</t>
        </is>
      </c>
      <c r="F648" s="279" t="n">
        <v>45803</v>
      </c>
      <c r="G648" s="216" t="n"/>
      <c r="H648" s="564" t="n"/>
      <c r="I648" s="564" t="n">
        <v>28014</v>
      </c>
      <c r="J648" s="213" t="inlineStr">
        <is>
          <t>អនុញ្ញាត (បានប្រកាស)</t>
        </is>
      </c>
      <c r="K648" s="565" t="n"/>
      <c r="L648" s="563">
        <f>I648</f>
        <v/>
      </c>
      <c r="M648" s="536">
        <f>I648-L648</f>
        <v/>
      </c>
      <c r="N648" s="213" t="n"/>
      <c r="O648" s="218">
        <f>U648=E648</f>
        <v/>
      </c>
      <c r="P648" s="218">
        <f>MONTH(F648)-MONTH(T648)</f>
        <v/>
      </c>
      <c r="Q648" s="218">
        <f>$B$5=X648</f>
        <v/>
      </c>
      <c r="R648" s="218">
        <f>I648-AD648</f>
        <v/>
      </c>
      <c r="S648" s="298" t="n"/>
      <c r="T648" s="299" t="n">
        <v>45803</v>
      </c>
      <c r="U648" s="298" t="inlineStr">
        <is>
          <t>INV20250541766</t>
        </is>
      </c>
      <c r="V648" s="298" t="n">
        <v>0</v>
      </c>
      <c r="W648" s="298" t="inlineStr">
        <is>
          <t>បុគ្គលជាប់អាករ</t>
        </is>
      </c>
      <c r="X648" s="298" t="inlineStr">
        <is>
          <t>L001-901640009</t>
        </is>
      </c>
      <c r="Y648" s="298" t="inlineStr">
        <is>
          <t>ហូលីដេ ឌីហ្សាញ (ខេមបូឌា) ឯ.ក</t>
        </is>
      </c>
      <c r="Z648" s="300" t="n">
        <v>308154</v>
      </c>
      <c r="AA648" s="300" t="n">
        <v>280140</v>
      </c>
      <c r="AB648" s="298" t="n">
        <v>0</v>
      </c>
      <c r="AC648" s="298" t="inlineStr">
        <is>
          <t>-</t>
        </is>
      </c>
      <c r="AD648" s="300" t="n">
        <v>28014</v>
      </c>
      <c r="AE648" s="298" t="n">
        <v>0</v>
      </c>
      <c r="AF648" s="562" t="n">
        <v>0</v>
      </c>
      <c r="AG648" s="198" t="n">
        <v>0</v>
      </c>
      <c r="AH648" s="198" t="n">
        <v>0</v>
      </c>
      <c r="AI648" s="198" t="n">
        <v>0</v>
      </c>
      <c r="AJ648" s="198" t="n">
        <v>0</v>
      </c>
      <c r="AK648" s="198" t="n">
        <v>0</v>
      </c>
      <c r="AL648" s="198" t="n">
        <v>0.01</v>
      </c>
      <c r="AM648" s="198" t="n">
        <v>0</v>
      </c>
      <c r="AN648" s="198" t="inlineStr">
        <is>
          <t>ចំណូលពីសេវាកម្ម (លើកដាក់ទំនិញ)</t>
        </is>
      </c>
    </row>
    <row r="649">
      <c r="A649" s="212">
        <f>A648+1</f>
        <v/>
      </c>
      <c r="B649" s="214" t="inlineStr">
        <is>
          <t>Trucking &amp; Clearance-Ex</t>
        </is>
      </c>
      <c r="C649" s="214" t="inlineStr">
        <is>
          <t>KR GLOBAL LOGISTICS CO., LTD.</t>
        </is>
      </c>
      <c r="D649" s="215" t="inlineStr">
        <is>
          <t>K005-902004162</t>
        </is>
      </c>
      <c r="E649" s="290" t="inlineStr">
        <is>
          <t>KR252610</t>
        </is>
      </c>
      <c r="F649" s="279" t="n">
        <v>45807</v>
      </c>
      <c r="G649" s="216" t="n"/>
      <c r="H649" s="564" t="n"/>
      <c r="I649" s="564" t="n">
        <v>169412</v>
      </c>
      <c r="J649" s="213" t="inlineStr">
        <is>
          <t>អនុញ្ញាត (បានប្រកាស)</t>
        </is>
      </c>
      <c r="K649" s="565" t="n"/>
      <c r="L649" s="563">
        <f>I649</f>
        <v/>
      </c>
      <c r="M649" s="536">
        <f>I649-L649</f>
        <v/>
      </c>
      <c r="N649" s="213" t="n"/>
      <c r="O649" s="218">
        <f>U649=E649</f>
        <v/>
      </c>
      <c r="P649" s="218">
        <f>MONTH(F649)-MONTH(T649)</f>
        <v/>
      </c>
      <c r="Q649" s="218">
        <f>$B$5=X649</f>
        <v/>
      </c>
      <c r="R649" s="218">
        <f>I649-AD649</f>
        <v/>
      </c>
      <c r="S649" s="298" t="n"/>
      <c r="T649" s="299" t="n">
        <v>45807</v>
      </c>
      <c r="U649" s="298" t="inlineStr">
        <is>
          <t>KR252610</t>
        </is>
      </c>
      <c r="V649" s="298" t="n"/>
      <c r="W649" s="298" t="n"/>
      <c r="X649" s="298" t="n"/>
      <c r="Y649" s="298" t="inlineStr">
        <is>
          <t>ហូលីដេ ឌីហ្សាញ (ខេមបូឌា) ឯ.ក</t>
        </is>
      </c>
      <c r="Z649" s="300" t="n"/>
      <c r="AA649" s="300" t="n"/>
      <c r="AB649" s="298" t="n"/>
      <c r="AC649" s="298" t="n"/>
      <c r="AD649" s="300" t="n">
        <v>169412</v>
      </c>
      <c r="AE649" s="298" t="n"/>
      <c r="AF649" s="562" t="n"/>
    </row>
    <row r="650">
      <c r="A650" s="212">
        <f>A649+1</f>
        <v/>
      </c>
      <c r="B650" s="214" t="inlineStr">
        <is>
          <t>Lift-Off-Ex</t>
        </is>
      </c>
      <c r="C650" s="214" t="inlineStr">
        <is>
          <t>PHNOM PENH AUTONOMOUS PORT "PPAP"</t>
        </is>
      </c>
      <c r="D650" s="215" t="inlineStr">
        <is>
          <t>L001-100044999</t>
        </is>
      </c>
      <c r="E650" s="290" t="inlineStr">
        <is>
          <t>INV20250541764</t>
        </is>
      </c>
      <c r="F650" s="279" t="n">
        <v>45803</v>
      </c>
      <c r="G650" s="216" t="n"/>
      <c r="H650" s="564" t="n"/>
      <c r="I650" s="564" t="n">
        <v>28014</v>
      </c>
      <c r="J650" s="213" t="inlineStr">
        <is>
          <t>អនុញ្ញាត (បានប្រកាស)</t>
        </is>
      </c>
      <c r="K650" s="565" t="n"/>
      <c r="L650" s="563">
        <f>I650</f>
        <v/>
      </c>
      <c r="M650" s="536">
        <f>I650-L650</f>
        <v/>
      </c>
      <c r="N650" s="213" t="n"/>
      <c r="O650" s="218">
        <f>U650=E650</f>
        <v/>
      </c>
      <c r="P650" s="218">
        <f>MONTH(F650)-MONTH(T650)</f>
        <v/>
      </c>
      <c r="Q650" s="218">
        <f>$B$5=X650</f>
        <v/>
      </c>
      <c r="R650" s="218">
        <f>I650-AD650</f>
        <v/>
      </c>
      <c r="S650" s="298" t="n"/>
      <c r="T650" s="299" t="n">
        <v>45803</v>
      </c>
      <c r="U650" s="298" t="inlineStr">
        <is>
          <t>INV20250541764</t>
        </is>
      </c>
      <c r="V650" s="298" t="n">
        <v>0</v>
      </c>
      <c r="W650" s="298" t="inlineStr">
        <is>
          <t>បុគ្គលជាប់អាករ</t>
        </is>
      </c>
      <c r="X650" s="298" t="inlineStr">
        <is>
          <t>L001-901640009</t>
        </is>
      </c>
      <c r="Y650" s="298" t="inlineStr">
        <is>
          <t>ហូលីដេ ឌីហ្សាញ (ខេមបូឌា) ឯ.ក</t>
        </is>
      </c>
      <c r="Z650" s="300" t="n">
        <v>308154</v>
      </c>
      <c r="AA650" s="300" t="n">
        <v>280140</v>
      </c>
      <c r="AB650" s="298" t="n">
        <v>0</v>
      </c>
      <c r="AC650" s="298" t="inlineStr">
        <is>
          <t>-</t>
        </is>
      </c>
      <c r="AD650" s="300" t="n">
        <v>28014</v>
      </c>
      <c r="AE650" s="298" t="n">
        <v>0</v>
      </c>
      <c r="AF650" s="562" t="n">
        <v>0</v>
      </c>
      <c r="AG650" s="198" t="n">
        <v>0</v>
      </c>
      <c r="AH650" s="198" t="n">
        <v>0</v>
      </c>
      <c r="AI650" s="198" t="n">
        <v>0</v>
      </c>
      <c r="AJ650" s="198" t="n">
        <v>0</v>
      </c>
      <c r="AK650" s="198" t="n">
        <v>0</v>
      </c>
      <c r="AL650" s="198" t="n">
        <v>0.01</v>
      </c>
      <c r="AM650" s="198" t="n">
        <v>0</v>
      </c>
      <c r="AN650" s="198" t="inlineStr">
        <is>
          <t>ចំណូលពីសេវាកម្ម (លើកដាក់ទំនិញ)</t>
        </is>
      </c>
    </row>
    <row r="651">
      <c r="A651" s="212">
        <f>A650+1</f>
        <v/>
      </c>
      <c r="B651" s="214" t="inlineStr">
        <is>
          <t>Trucking &amp; Clearance-Ex</t>
        </is>
      </c>
      <c r="C651" s="214" t="inlineStr">
        <is>
          <t>KR GLOBAL LOGISTICS CO., LTD.</t>
        </is>
      </c>
      <c r="D651" s="215" t="inlineStr">
        <is>
          <t>K005-902004162</t>
        </is>
      </c>
      <c r="E651" s="290" t="inlineStr">
        <is>
          <t>KR252607</t>
        </is>
      </c>
      <c r="F651" s="279" t="n">
        <v>45807</v>
      </c>
      <c r="G651" s="216" t="n"/>
      <c r="H651" s="564" t="n"/>
      <c r="I651" s="564" t="n">
        <v>169412</v>
      </c>
      <c r="J651" s="213" t="inlineStr">
        <is>
          <t>អនុញ្ញាត (បានប្រកាស)</t>
        </is>
      </c>
      <c r="K651" s="565" t="n"/>
      <c r="L651" s="563">
        <f>I651</f>
        <v/>
      </c>
      <c r="M651" s="536">
        <f>I651-L651</f>
        <v/>
      </c>
      <c r="N651" s="213" t="n"/>
      <c r="O651" s="218">
        <f>U651=E651</f>
        <v/>
      </c>
      <c r="P651" s="218">
        <f>MONTH(F651)-MONTH(T651)</f>
        <v/>
      </c>
      <c r="Q651" s="218">
        <f>$B$5=X651</f>
        <v/>
      </c>
      <c r="R651" s="218">
        <f>I651-AD651</f>
        <v/>
      </c>
      <c r="S651" s="298" t="n"/>
      <c r="T651" s="299" t="n">
        <v>45807</v>
      </c>
      <c r="U651" s="298" t="inlineStr">
        <is>
          <t>KR252607</t>
        </is>
      </c>
      <c r="V651" s="298" t="n"/>
      <c r="W651" s="298" t="n"/>
      <c r="X651" s="298" t="n"/>
      <c r="Y651" s="298" t="inlineStr">
        <is>
          <t>ហូលីដេ ឌីហ្សាញ (ខេមបូឌា) ឯ.ក</t>
        </is>
      </c>
      <c r="Z651" s="300" t="n"/>
      <c r="AA651" s="300" t="n"/>
      <c r="AB651" s="298" t="n"/>
      <c r="AC651" s="298" t="n"/>
      <c r="AD651" s="300" t="n">
        <v>169412</v>
      </c>
      <c r="AE651" s="298" t="n"/>
      <c r="AF651" s="562" t="n"/>
    </row>
    <row r="652">
      <c r="A652" s="212">
        <f>A651+1</f>
        <v/>
      </c>
      <c r="B652" s="214" t="inlineStr">
        <is>
          <t>Trucking &amp; Clearance-Ex</t>
        </is>
      </c>
      <c r="C652" s="214" t="inlineStr">
        <is>
          <t>WANAKA LOGISTICS CO., LTD.</t>
        </is>
      </c>
      <c r="D652" s="215" t="inlineStr">
        <is>
          <t>K005-901907953</t>
        </is>
      </c>
      <c r="E652" s="290" t="inlineStr">
        <is>
          <t>WL25-001757</t>
        </is>
      </c>
      <c r="F652" s="279" t="n">
        <v>45800</v>
      </c>
      <c r="G652" s="216" t="n"/>
      <c r="H652" s="564" t="n"/>
      <c r="I652" s="564" t="n">
        <v>782987</v>
      </c>
      <c r="J652" s="213" t="inlineStr">
        <is>
          <t>អនុញ្ញាត (បានប្រកាស)</t>
        </is>
      </c>
      <c r="K652" s="565" t="n"/>
      <c r="L652" s="563">
        <f>I652</f>
        <v/>
      </c>
      <c r="M652" s="536">
        <f>I652-L652</f>
        <v/>
      </c>
      <c r="N652" s="213" t="n"/>
      <c r="O652" s="218">
        <f>U652=E652</f>
        <v/>
      </c>
      <c r="P652" s="218">
        <f>MONTH(F652)-MONTH(T652)</f>
        <v/>
      </c>
      <c r="Q652" s="218">
        <f>$B$5=X652</f>
        <v/>
      </c>
      <c r="R652" s="218">
        <f>I652-AD652</f>
        <v/>
      </c>
      <c r="S652" s="298" t="n"/>
      <c r="T652" s="299" t="n">
        <v>45800</v>
      </c>
      <c r="U652" s="298" t="inlineStr">
        <is>
          <t>WL25-001757</t>
        </is>
      </c>
      <c r="V652" s="298" t="n"/>
      <c r="W652" s="298" t="n"/>
      <c r="X652" s="298" t="n"/>
      <c r="Y652" s="298" t="inlineStr">
        <is>
          <t>ហូលីដេ ឌីហ្សាញ (ខេមបូឌា) ឯ.ក</t>
        </is>
      </c>
      <c r="Z652" s="300" t="n"/>
      <c r="AA652" s="300" t="n"/>
      <c r="AB652" s="298" t="n"/>
      <c r="AC652" s="298" t="n"/>
      <c r="AD652" s="300" t="n">
        <v>782987</v>
      </c>
      <c r="AE652" s="298" t="n"/>
      <c r="AF652" s="562" t="n"/>
    </row>
    <row r="653">
      <c r="A653" s="212">
        <f>A652+1</f>
        <v/>
      </c>
      <c r="B653" s="214" t="inlineStr">
        <is>
          <t>Lift-Off-Ex</t>
        </is>
      </c>
      <c r="C653" s="214" t="inlineStr">
        <is>
          <t>PHNOM PENH AUTONOMOUS PORT "PPAP"</t>
        </is>
      </c>
      <c r="D653" s="215" t="inlineStr">
        <is>
          <t>L001-100044999</t>
        </is>
      </c>
      <c r="E653" s="290" t="inlineStr">
        <is>
          <t>INV20250539874</t>
        </is>
      </c>
      <c r="F653" s="279" t="n">
        <v>45798</v>
      </c>
      <c r="G653" s="216" t="n"/>
      <c r="H653" s="564" t="n"/>
      <c r="I653" s="564" t="n">
        <v>140105</v>
      </c>
      <c r="J653" s="213" t="inlineStr">
        <is>
          <t>អនុញ្ញាត (បានប្រកាស)</t>
        </is>
      </c>
      <c r="K653" s="565" t="n"/>
      <c r="L653" s="563">
        <f>I653</f>
        <v/>
      </c>
      <c r="M653" s="536">
        <f>I653-L653</f>
        <v/>
      </c>
      <c r="N653" s="213" t="n"/>
      <c r="O653" s="218">
        <f>U653=E653</f>
        <v/>
      </c>
      <c r="P653" s="218">
        <f>MONTH(F653)-MONTH(T653)</f>
        <v/>
      </c>
      <c r="Q653" s="218">
        <f>$B$5=X653</f>
        <v/>
      </c>
      <c r="R653" s="218">
        <f>I653-AD653</f>
        <v/>
      </c>
      <c r="S653" s="298" t="n"/>
      <c r="T653" s="299" t="n">
        <v>45798</v>
      </c>
      <c r="U653" s="298" t="inlineStr">
        <is>
          <t>INV20250539874</t>
        </is>
      </c>
      <c r="V653" s="298" t="n">
        <v>0</v>
      </c>
      <c r="W653" s="298" t="inlineStr">
        <is>
          <t>បុគ្គលជាប់អាករ</t>
        </is>
      </c>
      <c r="X653" s="298" t="inlineStr">
        <is>
          <t>L001-901640009</t>
        </is>
      </c>
      <c r="Y653" s="298" t="inlineStr">
        <is>
          <t>ហូលីដេ ឌីហ្សាញ (ខេមបូឌា) ឯ.ក</t>
        </is>
      </c>
      <c r="Z653" s="300" t="n">
        <v>1541155</v>
      </c>
      <c r="AA653" s="300" t="n">
        <v>1401050</v>
      </c>
      <c r="AB653" s="298" t="n">
        <v>0</v>
      </c>
      <c r="AC653" s="298" t="inlineStr">
        <is>
          <t>-</t>
        </is>
      </c>
      <c r="AD653" s="300" t="n">
        <v>140105</v>
      </c>
      <c r="AE653" s="298" t="n">
        <v>0</v>
      </c>
      <c r="AF653" s="562" t="n">
        <v>0</v>
      </c>
      <c r="AG653" s="198" t="n">
        <v>0</v>
      </c>
      <c r="AH653" s="198" t="n">
        <v>0</v>
      </c>
      <c r="AI653" s="198" t="n">
        <v>0</v>
      </c>
      <c r="AJ653" s="198" t="n">
        <v>0</v>
      </c>
      <c r="AK653" s="198" t="n">
        <v>0</v>
      </c>
      <c r="AL653" s="198" t="n">
        <v>0.01</v>
      </c>
      <c r="AM653" s="198" t="n">
        <v>0</v>
      </c>
      <c r="AN653" s="198" t="inlineStr">
        <is>
          <t>ចំណូលពីសេវាកម្ម (លើកដាក់ទំនិញ)</t>
        </is>
      </c>
    </row>
    <row r="654">
      <c r="A654" s="212">
        <f>A653+1</f>
        <v/>
      </c>
      <c r="B654" s="214" t="inlineStr">
        <is>
          <t>Lift-Off-Ex</t>
        </is>
      </c>
      <c r="C654" s="214" t="inlineStr">
        <is>
          <t>PHNOM PENH AUTONOMOUS PORT "PPAP"</t>
        </is>
      </c>
      <c r="D654" s="215" t="inlineStr">
        <is>
          <t>L001-100044999</t>
        </is>
      </c>
      <c r="E654" s="290" t="inlineStr">
        <is>
          <t>INV20250539882</t>
        </is>
      </c>
      <c r="F654" s="279" t="n">
        <v>45798</v>
      </c>
      <c r="G654" s="216" t="n"/>
      <c r="H654" s="564" t="n"/>
      <c r="I654" s="564" t="n">
        <v>56042</v>
      </c>
      <c r="J654" s="213" t="inlineStr">
        <is>
          <t>អនុញ្ញាត (បានប្រកាស)</t>
        </is>
      </c>
      <c r="K654" s="565" t="n"/>
      <c r="L654" s="563">
        <f>I654</f>
        <v/>
      </c>
      <c r="M654" s="536">
        <f>I654-L654</f>
        <v/>
      </c>
      <c r="N654" s="213" t="n"/>
      <c r="O654" s="218">
        <f>U654=E654</f>
        <v/>
      </c>
      <c r="P654" s="218">
        <f>MONTH(F654)-MONTH(T654)</f>
        <v/>
      </c>
      <c r="Q654" s="218">
        <f>$B$5=X654</f>
        <v/>
      </c>
      <c r="R654" s="218">
        <f>I654-AD654</f>
        <v/>
      </c>
      <c r="S654" s="298" t="n"/>
      <c r="T654" s="299" t="n">
        <v>45798</v>
      </c>
      <c r="U654" s="298" t="inlineStr">
        <is>
          <t>INV20250539882</t>
        </is>
      </c>
      <c r="V654" s="298" t="n">
        <v>0</v>
      </c>
      <c r="W654" s="298" t="inlineStr">
        <is>
          <t>បុគ្គលជាប់អាករ</t>
        </is>
      </c>
      <c r="X654" s="298" t="inlineStr">
        <is>
          <t>L001-901640009</t>
        </is>
      </c>
      <c r="Y654" s="298" t="inlineStr">
        <is>
          <t>ហូលីដេ ឌីហ្សាញ (ខេមបូឌា) ឯ.ក</t>
        </is>
      </c>
      <c r="Z654" s="300" t="n">
        <v>616462</v>
      </c>
      <c r="AA654" s="300" t="n">
        <v>560420</v>
      </c>
      <c r="AB654" s="298" t="n">
        <v>0</v>
      </c>
      <c r="AC654" s="298" t="inlineStr">
        <is>
          <t>-</t>
        </is>
      </c>
      <c r="AD654" s="300" t="n">
        <v>56042</v>
      </c>
      <c r="AE654" s="298" t="n">
        <v>0</v>
      </c>
      <c r="AF654" s="562" t="n">
        <v>0</v>
      </c>
      <c r="AG654" s="198" t="n">
        <v>0</v>
      </c>
      <c r="AH654" s="198" t="n">
        <v>0</v>
      </c>
      <c r="AI654" s="198" t="n">
        <v>0</v>
      </c>
      <c r="AJ654" s="198" t="n">
        <v>0</v>
      </c>
      <c r="AK654" s="198" t="n">
        <v>0</v>
      </c>
      <c r="AL654" s="198" t="n">
        <v>0.01</v>
      </c>
      <c r="AM654" s="198" t="n">
        <v>0</v>
      </c>
      <c r="AN654" s="198" t="inlineStr">
        <is>
          <t>ចំណូលពីសេវាកម្ម (លើកដាក់ទំនិញ)</t>
        </is>
      </c>
    </row>
    <row r="655">
      <c r="A655" s="212">
        <f>A654+1</f>
        <v/>
      </c>
      <c r="B655" s="214" t="inlineStr">
        <is>
          <t>Trucking &amp; Clearance-Ex</t>
        </is>
      </c>
      <c r="C655" s="214" t="inlineStr">
        <is>
          <t>WANAKA LOGISTICS CO., LTD.</t>
        </is>
      </c>
      <c r="D655" s="215" t="inlineStr">
        <is>
          <t>K005-901907953</t>
        </is>
      </c>
      <c r="E655" s="290" t="inlineStr">
        <is>
          <t>WL25-001763</t>
        </is>
      </c>
      <c r="F655" s="279" t="n">
        <v>45800</v>
      </c>
      <c r="G655" s="216" t="n"/>
      <c r="H655" s="564" t="n"/>
      <c r="I655" s="564" t="n">
        <v>314636</v>
      </c>
      <c r="J655" s="213" t="inlineStr">
        <is>
          <t>អនុញ្ញាត (បានប្រកាស)</t>
        </is>
      </c>
      <c r="K655" s="565" t="n"/>
      <c r="L655" s="563">
        <f>I655</f>
        <v/>
      </c>
      <c r="M655" s="536">
        <f>I655-L655</f>
        <v/>
      </c>
      <c r="N655" s="213" t="n"/>
      <c r="O655" s="218">
        <f>U655=E655</f>
        <v/>
      </c>
      <c r="P655" s="218">
        <f>MONTH(F655)-MONTH(T655)</f>
        <v/>
      </c>
      <c r="Q655" s="218">
        <f>$B$5=X655</f>
        <v/>
      </c>
      <c r="R655" s="218">
        <f>I655-AD655</f>
        <v/>
      </c>
      <c r="S655" s="298" t="n"/>
      <c r="T655" s="299" t="n">
        <v>45800</v>
      </c>
      <c r="U655" s="298" t="inlineStr">
        <is>
          <t>WL25-001763</t>
        </is>
      </c>
      <c r="V655" s="298" t="n"/>
      <c r="W655" s="298" t="n"/>
      <c r="X655" s="298" t="n"/>
      <c r="Y655" s="298" t="inlineStr">
        <is>
          <t>ហូលីដេ ឌីហ្សាញ (ខេមបូឌា) ឯ.ក</t>
        </is>
      </c>
      <c r="Z655" s="300" t="n"/>
      <c r="AA655" s="300" t="n"/>
      <c r="AB655" s="298" t="n"/>
      <c r="AC655" s="298" t="n"/>
      <c r="AD655" s="300" t="n">
        <v>314636</v>
      </c>
      <c r="AE655" s="298" t="n"/>
      <c r="AF655" s="562" t="n"/>
    </row>
    <row r="656">
      <c r="A656" s="212">
        <f>A655+1</f>
        <v/>
      </c>
      <c r="B656" s="214" t="inlineStr">
        <is>
          <t>Storage 40 Feet Container-Ex</t>
        </is>
      </c>
      <c r="C656" s="214" t="inlineStr">
        <is>
          <t>PHNOM PENH AUTONOMOUS PORT "PPAP"</t>
        </is>
      </c>
      <c r="D656" s="215" t="inlineStr">
        <is>
          <t>L001-100044999</t>
        </is>
      </c>
      <c r="E656" s="290" t="inlineStr">
        <is>
          <t>INV20250542847</t>
        </is>
      </c>
      <c r="F656" s="279" t="n">
        <v>45807</v>
      </c>
      <c r="G656" s="216" t="n"/>
      <c r="H656" s="564" t="n"/>
      <c r="I656" s="564" t="n">
        <v>9612</v>
      </c>
      <c r="J656" s="213" t="inlineStr">
        <is>
          <t>អនុញ្ញាត (បានប្រកាស)</t>
        </is>
      </c>
      <c r="K656" s="565" t="n"/>
      <c r="L656" s="563">
        <f>I656</f>
        <v/>
      </c>
      <c r="M656" s="536">
        <f>I656-L656</f>
        <v/>
      </c>
      <c r="N656" s="213" t="n"/>
      <c r="O656" s="218">
        <f>U656=E656</f>
        <v/>
      </c>
      <c r="P656" s="218">
        <f>MONTH(F656)-MONTH(T656)</f>
        <v/>
      </c>
      <c r="Q656" s="218">
        <f>$B$5=X656</f>
        <v/>
      </c>
      <c r="R656" s="218">
        <f>I656-AD656</f>
        <v/>
      </c>
      <c r="S656" s="298" t="n"/>
      <c r="T656" s="299" t="n">
        <v>45807</v>
      </c>
      <c r="U656" s="298" t="inlineStr">
        <is>
          <t>INV20250542847</t>
        </is>
      </c>
      <c r="V656" s="298" t="n">
        <v>0</v>
      </c>
      <c r="W656" s="298" t="inlineStr">
        <is>
          <t>បុគ្គលជាប់អាករ</t>
        </is>
      </c>
      <c r="X656" s="298" t="inlineStr">
        <is>
          <t>L001-901640009</t>
        </is>
      </c>
      <c r="Y656" s="298" t="inlineStr">
        <is>
          <t>ហូលីដេ ឌីហ្សាញ (ខេមបូឌា) ឯ.ក</t>
        </is>
      </c>
      <c r="Z656" s="300" t="n">
        <v>105732</v>
      </c>
      <c r="AA656" s="300" t="n">
        <v>96120</v>
      </c>
      <c r="AB656" s="298" t="n">
        <v>0</v>
      </c>
      <c r="AC656" s="298" t="inlineStr">
        <is>
          <t>-</t>
        </is>
      </c>
      <c r="AD656" s="300" t="n">
        <v>9612</v>
      </c>
      <c r="AE656" s="298" t="n">
        <v>0</v>
      </c>
      <c r="AF656" s="562" t="n">
        <v>0</v>
      </c>
      <c r="AG656" s="198" t="n">
        <v>0</v>
      </c>
      <c r="AH656" s="198" t="n">
        <v>0</v>
      </c>
      <c r="AI656" s="198" t="n">
        <v>0</v>
      </c>
      <c r="AJ656" s="198" t="n">
        <v>0</v>
      </c>
      <c r="AK656" s="198" t="n">
        <v>0</v>
      </c>
      <c r="AL656" s="198" t="n">
        <v>0.01</v>
      </c>
      <c r="AM656" s="198" t="n">
        <v>0</v>
      </c>
      <c r="AN656" s="198" t="inlineStr">
        <is>
          <t>ចំណូលពីសេវាកម្ម (លើកដាក់ទំនិញ)</t>
        </is>
      </c>
    </row>
    <row r="657">
      <c r="A657" s="212">
        <f>A656+1</f>
        <v/>
      </c>
      <c r="B657" s="214" t="inlineStr">
        <is>
          <t>Lift-Off-Ex</t>
        </is>
      </c>
      <c r="C657" s="214" t="inlineStr">
        <is>
          <t>PHNOM PENH AUTONOMOUS PORT "PPAP"</t>
        </is>
      </c>
      <c r="D657" s="215" t="inlineStr">
        <is>
          <t>L001-100044999</t>
        </is>
      </c>
      <c r="E657" s="290" t="inlineStr">
        <is>
          <t>INV20250539878</t>
        </is>
      </c>
      <c r="F657" s="279" t="n">
        <v>45798</v>
      </c>
      <c r="G657" s="216" t="n"/>
      <c r="H657" s="564" t="n"/>
      <c r="I657" s="564" t="n">
        <v>112084</v>
      </c>
      <c r="J657" s="213" t="inlineStr">
        <is>
          <t>អនុញ្ញាត (បានប្រកាស)</t>
        </is>
      </c>
      <c r="K657" s="565" t="n"/>
      <c r="L657" s="563">
        <f>I657</f>
        <v/>
      </c>
      <c r="M657" s="536">
        <f>I657-L657</f>
        <v/>
      </c>
      <c r="N657" s="213" t="n"/>
      <c r="O657" s="218">
        <f>U657=E657</f>
        <v/>
      </c>
      <c r="P657" s="218">
        <f>MONTH(F657)-MONTH(T657)</f>
        <v/>
      </c>
      <c r="Q657" s="218">
        <f>$B$5=X657</f>
        <v/>
      </c>
      <c r="R657" s="218">
        <f>I657-AD657</f>
        <v/>
      </c>
      <c r="S657" s="298" t="n"/>
      <c r="T657" s="299" t="n">
        <v>45798</v>
      </c>
      <c r="U657" s="298" t="inlineStr">
        <is>
          <t>INV20250539878</t>
        </is>
      </c>
      <c r="V657" s="298" t="n">
        <v>0</v>
      </c>
      <c r="W657" s="298" t="inlineStr">
        <is>
          <t>បុគ្គលជាប់អាករ</t>
        </is>
      </c>
      <c r="X657" s="298" t="inlineStr">
        <is>
          <t>L001-901640009</t>
        </is>
      </c>
      <c r="Y657" s="298" t="inlineStr">
        <is>
          <t>ហូលីដេ ឌីហ្សាញ (ខេមបូឌា) ឯ.ក</t>
        </is>
      </c>
      <c r="Z657" s="300" t="n">
        <v>1232924</v>
      </c>
      <c r="AA657" s="300" t="n">
        <v>1120840</v>
      </c>
      <c r="AB657" s="298" t="n">
        <v>0</v>
      </c>
      <c r="AC657" s="298" t="inlineStr">
        <is>
          <t>-</t>
        </is>
      </c>
      <c r="AD657" s="300" t="n">
        <v>112084</v>
      </c>
      <c r="AE657" s="298" t="n">
        <v>0</v>
      </c>
      <c r="AF657" s="562" t="n">
        <v>0</v>
      </c>
      <c r="AG657" s="198" t="n">
        <v>0</v>
      </c>
      <c r="AH657" s="198" t="n">
        <v>0</v>
      </c>
      <c r="AI657" s="198" t="n">
        <v>0</v>
      </c>
      <c r="AJ657" s="198" t="n">
        <v>0</v>
      </c>
      <c r="AK657" s="198" t="n">
        <v>0</v>
      </c>
      <c r="AL657" s="198" t="n">
        <v>0.01</v>
      </c>
      <c r="AM657" s="198" t="n">
        <v>0</v>
      </c>
      <c r="AN657" s="198" t="inlineStr">
        <is>
          <t>ចំណូលពីសេវាកម្ម (លើកដាក់ទំនិញ)</t>
        </is>
      </c>
    </row>
    <row r="658">
      <c r="A658" s="212">
        <f>A657+1</f>
        <v/>
      </c>
      <c r="B658" s="214" t="inlineStr">
        <is>
          <t>Trucking &amp; Clearance-Ex</t>
        </is>
      </c>
      <c r="C658" s="214" t="inlineStr">
        <is>
          <t>WANAKA LOGISTICS CO., LTD.</t>
        </is>
      </c>
      <c r="D658" s="215" t="inlineStr">
        <is>
          <t>K005-901907953</t>
        </is>
      </c>
      <c r="E658" s="290" t="inlineStr">
        <is>
          <t>WL25-001762</t>
        </is>
      </c>
      <c r="F658" s="279" t="n">
        <v>45800</v>
      </c>
      <c r="G658" s="216" t="n"/>
      <c r="H658" s="564" t="n"/>
      <c r="I658" s="564" t="n">
        <v>629272</v>
      </c>
      <c r="J658" s="213" t="inlineStr">
        <is>
          <t>អនុញ្ញាត (បានប្រកាស)</t>
        </is>
      </c>
      <c r="K658" s="565" t="n"/>
      <c r="L658" s="563">
        <f>I658</f>
        <v/>
      </c>
      <c r="M658" s="536">
        <f>I658-L658</f>
        <v/>
      </c>
      <c r="N658" s="213" t="n"/>
      <c r="O658" s="218">
        <f>U658=E658</f>
        <v/>
      </c>
      <c r="P658" s="218">
        <f>MONTH(F658)-MONTH(T658)</f>
        <v/>
      </c>
      <c r="Q658" s="218">
        <f>$B$5=X658</f>
        <v/>
      </c>
      <c r="R658" s="218">
        <f>I658-AD658</f>
        <v/>
      </c>
      <c r="S658" s="298" t="n"/>
      <c r="T658" s="299" t="n">
        <v>45800</v>
      </c>
      <c r="U658" s="298" t="inlineStr">
        <is>
          <t>WL25-001762</t>
        </is>
      </c>
      <c r="V658" s="298" t="n"/>
      <c r="W658" s="298" t="n"/>
      <c r="X658" s="298" t="n"/>
      <c r="Y658" s="298" t="inlineStr">
        <is>
          <t>ហូលីដេ ឌីហ្សាញ (ខេមបូឌា) ឯ.ក</t>
        </is>
      </c>
      <c r="Z658" s="300" t="n"/>
      <c r="AA658" s="300" t="n"/>
      <c r="AB658" s="298" t="n"/>
      <c r="AC658" s="298" t="n"/>
      <c r="AD658" s="300" t="n">
        <v>629272</v>
      </c>
      <c r="AE658" s="298" t="n"/>
      <c r="AF658" s="562" t="n"/>
    </row>
    <row r="659">
      <c r="A659" s="212">
        <f>A658+1</f>
        <v/>
      </c>
      <c r="B659" s="214" t="inlineStr">
        <is>
          <t>Lift-Off-Ex</t>
        </is>
      </c>
      <c r="C659" s="214" t="inlineStr">
        <is>
          <t>PHNOM PENH AUTONOMOUS PORT "PPAP"</t>
        </is>
      </c>
      <c r="D659" s="215" t="inlineStr">
        <is>
          <t>L001-100044999</t>
        </is>
      </c>
      <c r="E659" s="290" t="inlineStr">
        <is>
          <t>INV20250539889</t>
        </is>
      </c>
      <c r="F659" s="279" t="n">
        <v>45798</v>
      </c>
      <c r="G659" s="216" t="n"/>
      <c r="H659" s="564" t="n"/>
      <c r="I659" s="564" t="n">
        <v>28021</v>
      </c>
      <c r="J659" s="213" t="inlineStr">
        <is>
          <t>អនុញ្ញាត (បានប្រកាស)</t>
        </is>
      </c>
      <c r="K659" s="565" t="n"/>
      <c r="L659" s="563">
        <f>I659</f>
        <v/>
      </c>
      <c r="M659" s="536">
        <f>I659-L659</f>
        <v/>
      </c>
      <c r="N659" s="213" t="n"/>
      <c r="O659" s="218">
        <f>U659=E659</f>
        <v/>
      </c>
      <c r="P659" s="218">
        <f>MONTH(F659)-MONTH(T659)</f>
        <v/>
      </c>
      <c r="Q659" s="218">
        <f>$B$5=X659</f>
        <v/>
      </c>
      <c r="R659" s="218">
        <f>I659-AD659</f>
        <v/>
      </c>
      <c r="S659" s="298" t="n"/>
      <c r="T659" s="299" t="n">
        <v>45798</v>
      </c>
      <c r="U659" s="298" t="inlineStr">
        <is>
          <t>INV20250539889</t>
        </is>
      </c>
      <c r="V659" s="298" t="n">
        <v>0</v>
      </c>
      <c r="W659" s="298" t="inlineStr">
        <is>
          <t>បុគ្គលជាប់អាករ</t>
        </is>
      </c>
      <c r="X659" s="298" t="inlineStr">
        <is>
          <t>L001-901640009</t>
        </is>
      </c>
      <c r="Y659" s="298" t="inlineStr">
        <is>
          <t>ហូលីដេ ឌីហ្សាញ (ខេមបូឌា) ឯ.ក</t>
        </is>
      </c>
      <c r="Z659" s="300" t="n">
        <v>308231</v>
      </c>
      <c r="AA659" s="300" t="n">
        <v>280210</v>
      </c>
      <c r="AB659" s="298" t="n">
        <v>0</v>
      </c>
      <c r="AC659" s="298" t="inlineStr">
        <is>
          <t>-</t>
        </is>
      </c>
      <c r="AD659" s="300" t="n">
        <v>28021</v>
      </c>
      <c r="AE659" s="298" t="n">
        <v>0</v>
      </c>
      <c r="AF659" s="562" t="n">
        <v>0</v>
      </c>
      <c r="AG659" s="198" t="n">
        <v>0</v>
      </c>
      <c r="AH659" s="198" t="n">
        <v>0</v>
      </c>
      <c r="AI659" s="198" t="n">
        <v>0</v>
      </c>
      <c r="AJ659" s="198" t="n">
        <v>0</v>
      </c>
      <c r="AK659" s="198" t="n">
        <v>0</v>
      </c>
      <c r="AL659" s="198" t="n">
        <v>0.01</v>
      </c>
      <c r="AM659" s="198" t="n">
        <v>0</v>
      </c>
      <c r="AN659" s="198" t="inlineStr">
        <is>
          <t>ចំណូលពីសេវាកម្ម (លើកដាក់ទំនិញ)</t>
        </is>
      </c>
    </row>
    <row r="660">
      <c r="A660" s="212">
        <f>A659+1</f>
        <v/>
      </c>
      <c r="B660" s="214" t="inlineStr">
        <is>
          <t>Trucking &amp; Clearance-Ex</t>
        </is>
      </c>
      <c r="C660" s="214" t="inlineStr">
        <is>
          <t>WANAKA LOGISTICS CO., LTD.</t>
        </is>
      </c>
      <c r="D660" s="215" t="inlineStr">
        <is>
          <t>K005-901907953</t>
        </is>
      </c>
      <c r="E660" s="290" t="inlineStr">
        <is>
          <t>WL25-001761</t>
        </is>
      </c>
      <c r="F660" s="279" t="n">
        <v>45800</v>
      </c>
      <c r="G660" s="216" t="n"/>
      <c r="H660" s="564" t="n"/>
      <c r="I660" s="564" t="n">
        <v>157318</v>
      </c>
      <c r="J660" s="213" t="inlineStr">
        <is>
          <t>អនុញ្ញាត (បានប្រកាស)</t>
        </is>
      </c>
      <c r="K660" s="565" t="n"/>
      <c r="L660" s="563">
        <f>I660</f>
        <v/>
      </c>
      <c r="M660" s="536">
        <f>I660-L660</f>
        <v/>
      </c>
      <c r="N660" s="213" t="n"/>
      <c r="O660" s="218">
        <f>U660=E660</f>
        <v/>
      </c>
      <c r="P660" s="218">
        <f>MONTH(F660)-MONTH(T660)</f>
        <v/>
      </c>
      <c r="Q660" s="218">
        <f>$B$5=X660</f>
        <v/>
      </c>
      <c r="R660" s="218">
        <f>I660-AD660</f>
        <v/>
      </c>
      <c r="S660" s="298" t="n"/>
      <c r="T660" s="299" t="n">
        <v>45800</v>
      </c>
      <c r="U660" s="298" t="inlineStr">
        <is>
          <t>WL25-001761</t>
        </is>
      </c>
      <c r="V660" s="298" t="n"/>
      <c r="W660" s="298" t="n"/>
      <c r="X660" s="298" t="n"/>
      <c r="Y660" s="298" t="inlineStr">
        <is>
          <t>ហូលីដេ ឌីហ្សាញ (ខេមបូឌា) ឯ.ក</t>
        </is>
      </c>
      <c r="Z660" s="300" t="n"/>
      <c r="AA660" s="300" t="n"/>
      <c r="AB660" s="298" t="n"/>
      <c r="AC660" s="298" t="n"/>
      <c r="AD660" s="300" t="n">
        <v>157318</v>
      </c>
      <c r="AE660" s="298" t="n"/>
      <c r="AF660" s="562" t="n"/>
    </row>
    <row r="661">
      <c r="A661" s="212">
        <f>A660+1</f>
        <v/>
      </c>
      <c r="B661" s="214" t="inlineStr">
        <is>
          <t>Trucking &amp; Clearance-Ex</t>
        </is>
      </c>
      <c r="C661" s="214" t="inlineStr">
        <is>
          <t>WANAKA LOGISTICS CO., LTD.</t>
        </is>
      </c>
      <c r="D661" s="215" t="inlineStr">
        <is>
          <t>K005-901907953</t>
        </is>
      </c>
      <c r="E661" s="290" t="inlineStr">
        <is>
          <t>WL25-001758</t>
        </is>
      </c>
      <c r="F661" s="279" t="n">
        <v>45800</v>
      </c>
      <c r="G661" s="216" t="n"/>
      <c r="H661" s="564" t="n"/>
      <c r="I661" s="564" t="n">
        <v>312234</v>
      </c>
      <c r="J661" s="213" t="inlineStr">
        <is>
          <t>អនុញ្ញាត (បានប្រកាស)</t>
        </is>
      </c>
      <c r="K661" s="565" t="n"/>
      <c r="L661" s="563">
        <f>I661</f>
        <v/>
      </c>
      <c r="M661" s="536">
        <f>I661-L661</f>
        <v/>
      </c>
      <c r="N661" s="213" t="n"/>
      <c r="O661" s="218">
        <f>U661=E661</f>
        <v/>
      </c>
      <c r="P661" s="218">
        <f>MONTH(F661)-MONTH(T661)</f>
        <v/>
      </c>
      <c r="Q661" s="218">
        <f>$B$5=X661</f>
        <v/>
      </c>
      <c r="R661" s="218">
        <f>I661-AD661</f>
        <v/>
      </c>
      <c r="S661" s="298" t="n"/>
      <c r="T661" s="299" t="n">
        <v>45800</v>
      </c>
      <c r="U661" s="298" t="inlineStr">
        <is>
          <t>WL25-001758</t>
        </is>
      </c>
      <c r="V661" s="298" t="n"/>
      <c r="W661" s="298" t="n"/>
      <c r="X661" s="298" t="n"/>
      <c r="Y661" s="298" t="inlineStr">
        <is>
          <t>ហូលីដេ ឌីហ្សាញ (ខេមបូឌា) ឯ.ក</t>
        </is>
      </c>
      <c r="Z661" s="300" t="n"/>
      <c r="AA661" s="300" t="n"/>
      <c r="AB661" s="298" t="n"/>
      <c r="AC661" s="298" t="n"/>
      <c r="AD661" s="300" t="n">
        <v>312234</v>
      </c>
      <c r="AE661" s="298" t="n"/>
      <c r="AF661" s="562" t="n"/>
    </row>
    <row r="662">
      <c r="A662" s="212">
        <f>A661+1</f>
        <v/>
      </c>
      <c r="B662" s="214" t="inlineStr">
        <is>
          <t>Lift-Off-Ex</t>
        </is>
      </c>
      <c r="C662" s="214" t="inlineStr">
        <is>
          <t>PHNOM PENH AUTONOMOUS PORT "PPAP"</t>
        </is>
      </c>
      <c r="D662" s="215" t="inlineStr">
        <is>
          <t>L001-100044999</t>
        </is>
      </c>
      <c r="E662" s="290" t="inlineStr">
        <is>
          <t>INV20250539890</t>
        </is>
      </c>
      <c r="F662" s="279" t="n">
        <v>45798</v>
      </c>
      <c r="G662" s="216" t="n"/>
      <c r="H662" s="564" t="n"/>
      <c r="I662" s="564" t="n">
        <v>18414</v>
      </c>
      <c r="J662" s="213" t="inlineStr">
        <is>
          <t>អនុញ្ញាត (បានប្រកាស)</t>
        </is>
      </c>
      <c r="K662" s="565" t="n"/>
      <c r="L662" s="563">
        <f>I662</f>
        <v/>
      </c>
      <c r="M662" s="536">
        <f>I662-L662</f>
        <v/>
      </c>
      <c r="N662" s="213" t="n"/>
      <c r="O662" s="218">
        <f>U662=E662</f>
        <v/>
      </c>
      <c r="P662" s="218">
        <f>MONTH(F662)-MONTH(T662)</f>
        <v/>
      </c>
      <c r="Q662" s="218">
        <f>$B$5=X662</f>
        <v/>
      </c>
      <c r="R662" s="218">
        <f>I662-AD662</f>
        <v/>
      </c>
      <c r="S662" s="298" t="n"/>
      <c r="T662" s="299" t="n">
        <v>45798</v>
      </c>
      <c r="U662" s="298" t="inlineStr">
        <is>
          <t>INV20250539890</t>
        </is>
      </c>
      <c r="V662" s="298" t="n">
        <v>0</v>
      </c>
      <c r="W662" s="298" t="inlineStr">
        <is>
          <t>បុគ្គលជាប់អាករ</t>
        </is>
      </c>
      <c r="X662" s="298" t="inlineStr">
        <is>
          <t>L001-901640009</t>
        </is>
      </c>
      <c r="Y662" s="298" t="inlineStr">
        <is>
          <t>ហូលីដេ ឌីហ្សាញ (ខេមបូឌា) ឯ.ក</t>
        </is>
      </c>
      <c r="Z662" s="300" t="n">
        <v>202554</v>
      </c>
      <c r="AA662" s="300" t="n">
        <v>184140</v>
      </c>
      <c r="AB662" s="298" t="n">
        <v>0</v>
      </c>
      <c r="AC662" s="298" t="inlineStr">
        <is>
          <t>-</t>
        </is>
      </c>
      <c r="AD662" s="300" t="n">
        <v>18414</v>
      </c>
      <c r="AE662" s="298" t="n">
        <v>0</v>
      </c>
      <c r="AF662" s="562" t="n">
        <v>0</v>
      </c>
      <c r="AG662" s="198" t="n">
        <v>0</v>
      </c>
      <c r="AH662" s="198" t="n">
        <v>0</v>
      </c>
      <c r="AI662" s="198" t="n">
        <v>0</v>
      </c>
      <c r="AJ662" s="198" t="n">
        <v>0</v>
      </c>
      <c r="AK662" s="198" t="n">
        <v>0</v>
      </c>
      <c r="AL662" s="198" t="n">
        <v>0.01</v>
      </c>
      <c r="AM662" s="198" t="n">
        <v>0</v>
      </c>
      <c r="AN662" s="198" t="inlineStr">
        <is>
          <t>ចំណូលពីសេវាកម្ម (លើកដាក់ទំនិញ)</t>
        </is>
      </c>
    </row>
    <row r="663">
      <c r="A663" s="212">
        <f>A662+1</f>
        <v/>
      </c>
      <c r="B663" s="214" t="inlineStr">
        <is>
          <t>Trucking &amp; Clearance-Ex</t>
        </is>
      </c>
      <c r="C663" s="214" t="inlineStr">
        <is>
          <t>WANAKA LOGISTICS CO., LTD.</t>
        </is>
      </c>
      <c r="D663" s="215" t="inlineStr">
        <is>
          <t>K005-901907953</t>
        </is>
      </c>
      <c r="E663" s="290" t="inlineStr">
        <is>
          <t>WL25-001760</t>
        </is>
      </c>
      <c r="F663" s="279" t="n">
        <v>45800</v>
      </c>
      <c r="G663" s="216" t="n"/>
      <c r="H663" s="564" t="n"/>
      <c r="I663" s="564" t="n">
        <v>148912</v>
      </c>
      <c r="J663" s="213" t="inlineStr">
        <is>
          <t>អនុញ្ញាត (បានប្រកាស)</t>
        </is>
      </c>
      <c r="K663" s="565" t="n"/>
      <c r="L663" s="563">
        <f>I663</f>
        <v/>
      </c>
      <c r="M663" s="536">
        <f>I663-L663</f>
        <v/>
      </c>
      <c r="N663" s="213" t="n"/>
      <c r="O663" s="218">
        <f>U663=E663</f>
        <v/>
      </c>
      <c r="P663" s="218">
        <f>MONTH(F663)-MONTH(T663)</f>
        <v/>
      </c>
      <c r="Q663" s="218">
        <f>$B$5=X663</f>
        <v/>
      </c>
      <c r="R663" s="218">
        <f>I663-AD663</f>
        <v/>
      </c>
      <c r="S663" s="298" t="n"/>
      <c r="T663" s="299" t="n">
        <v>45800</v>
      </c>
      <c r="U663" s="298" t="inlineStr">
        <is>
          <t>WL25-001760</t>
        </is>
      </c>
      <c r="V663" s="298" t="n"/>
      <c r="W663" s="298" t="n"/>
      <c r="X663" s="298" t="n"/>
      <c r="Y663" s="298" t="inlineStr">
        <is>
          <t>ហូលីដេ ឌីហ្សាញ (ខេមបូឌា) ឯ.ក</t>
        </is>
      </c>
      <c r="Z663" s="300" t="n"/>
      <c r="AA663" s="300" t="n"/>
      <c r="AB663" s="298" t="n"/>
      <c r="AC663" s="298" t="n"/>
      <c r="AD663" s="300" t="n">
        <v>148912</v>
      </c>
      <c r="AE663" s="298" t="n"/>
      <c r="AF663" s="562" t="n"/>
    </row>
    <row r="664">
      <c r="A664" s="212">
        <f>A663+1</f>
        <v/>
      </c>
      <c r="B664" s="214" t="inlineStr">
        <is>
          <t>Lift-Off-Ex</t>
        </is>
      </c>
      <c r="C664" s="214" t="inlineStr">
        <is>
          <t>PHNOM PENH AUTONOMOUS PORT "PPAP"</t>
        </is>
      </c>
      <c r="D664" s="215" t="inlineStr">
        <is>
          <t>L001-100044999</t>
        </is>
      </c>
      <c r="E664" s="290" t="inlineStr">
        <is>
          <t>INV20250539873</t>
        </is>
      </c>
      <c r="F664" s="279" t="n">
        <v>45798</v>
      </c>
      <c r="G664" s="216" t="n"/>
      <c r="H664" s="564" t="n"/>
      <c r="I664" s="564" t="n">
        <v>196147</v>
      </c>
      <c r="J664" s="213" t="inlineStr">
        <is>
          <t>អនុញ្ញាត (បានប្រកាស)</t>
        </is>
      </c>
      <c r="K664" s="565" t="n"/>
      <c r="L664" s="563">
        <f>I664</f>
        <v/>
      </c>
      <c r="M664" s="536">
        <f>I664-L664</f>
        <v/>
      </c>
      <c r="N664" s="213" t="n"/>
      <c r="O664" s="218">
        <f>U664=E664</f>
        <v/>
      </c>
      <c r="P664" s="218">
        <f>MONTH(F664)-MONTH(T664)</f>
        <v/>
      </c>
      <c r="Q664" s="218">
        <f>$B$5=X664</f>
        <v/>
      </c>
      <c r="R664" s="218">
        <f>I664-AD664</f>
        <v/>
      </c>
      <c r="S664" s="298" t="n"/>
      <c r="T664" s="299" t="n">
        <v>45798</v>
      </c>
      <c r="U664" s="298" t="inlineStr">
        <is>
          <t>INV20250539873</t>
        </is>
      </c>
      <c r="V664" s="298" t="n">
        <v>0</v>
      </c>
      <c r="W664" s="298" t="inlineStr">
        <is>
          <t>បុគ្គលជាប់អាករ</t>
        </is>
      </c>
      <c r="X664" s="298" t="inlineStr">
        <is>
          <t>L001-901640009</t>
        </is>
      </c>
      <c r="Y664" s="298" t="inlineStr">
        <is>
          <t>ហូលីដេ ឌីហ្សាញ (ខេមបូឌា) ឯ.ក</t>
        </is>
      </c>
      <c r="Z664" s="300" t="n">
        <v>2157617</v>
      </c>
      <c r="AA664" s="300" t="n">
        <v>1961470</v>
      </c>
      <c r="AB664" s="298" t="n">
        <v>0</v>
      </c>
      <c r="AC664" s="298" t="inlineStr">
        <is>
          <t>-</t>
        </is>
      </c>
      <c r="AD664" s="300" t="n">
        <v>196147</v>
      </c>
      <c r="AE664" s="298" t="n">
        <v>0</v>
      </c>
      <c r="AF664" s="562" t="n">
        <v>0</v>
      </c>
      <c r="AG664" s="198" t="n">
        <v>0</v>
      </c>
      <c r="AH664" s="198" t="n">
        <v>0</v>
      </c>
      <c r="AI664" s="198" t="n">
        <v>0</v>
      </c>
      <c r="AJ664" s="198" t="n">
        <v>0</v>
      </c>
      <c r="AK664" s="198" t="n">
        <v>0</v>
      </c>
      <c r="AL664" s="198" t="n">
        <v>0.01</v>
      </c>
      <c r="AM664" s="198" t="n">
        <v>0</v>
      </c>
      <c r="AN664" s="198" t="inlineStr">
        <is>
          <t>ចំណូលពីសេវាកម្ម (លើកដាក់ទំនិញ)</t>
        </is>
      </c>
    </row>
    <row r="665">
      <c r="A665" s="212">
        <f>A664+1</f>
        <v/>
      </c>
      <c r="B665" s="214" t="inlineStr">
        <is>
          <t>Trucking &amp; Clearance-Ex</t>
        </is>
      </c>
      <c r="C665" s="214" t="inlineStr">
        <is>
          <t>WANAKA LOGISTICS CO., LTD.</t>
        </is>
      </c>
      <c r="D665" s="215" t="inlineStr">
        <is>
          <t>K005-901907953</t>
        </is>
      </c>
      <c r="E665" s="290" t="inlineStr">
        <is>
          <t>WL25-001759</t>
        </is>
      </c>
      <c r="F665" s="279" t="n">
        <v>45800</v>
      </c>
      <c r="G665" s="216" t="n"/>
      <c r="H665" s="564" t="n"/>
      <c r="I665" s="564" t="n">
        <v>1095221</v>
      </c>
      <c r="J665" s="213" t="inlineStr">
        <is>
          <t>អនុញ្ញាត (បានប្រកាស)</t>
        </is>
      </c>
      <c r="K665" s="565" t="n"/>
      <c r="L665" s="563">
        <f>I665</f>
        <v/>
      </c>
      <c r="M665" s="536">
        <f>I665-L665</f>
        <v/>
      </c>
      <c r="N665" s="213" t="n"/>
      <c r="O665" s="218">
        <f>U665=E665</f>
        <v/>
      </c>
      <c r="P665" s="218">
        <f>MONTH(F665)-MONTH(T665)</f>
        <v/>
      </c>
      <c r="Q665" s="218">
        <f>$B$5=X665</f>
        <v/>
      </c>
      <c r="R665" s="218">
        <f>I665-AD665</f>
        <v/>
      </c>
      <c r="S665" s="298" t="n"/>
      <c r="T665" s="299" t="n">
        <v>45800</v>
      </c>
      <c r="U665" s="298" t="inlineStr">
        <is>
          <t>WL25-001759</t>
        </is>
      </c>
      <c r="V665" s="298" t="n"/>
      <c r="W665" s="298" t="n"/>
      <c r="X665" s="298" t="n"/>
      <c r="Y665" s="298" t="inlineStr">
        <is>
          <t>ហូលីដេ ឌីហ្សាញ (ខេមបូឌា) ឯ.ក</t>
        </is>
      </c>
      <c r="Z665" s="300" t="n"/>
      <c r="AA665" s="300" t="n"/>
      <c r="AB665" s="298" t="n"/>
      <c r="AC665" s="298" t="n"/>
      <c r="AD665" s="300" t="n">
        <v>1095221</v>
      </c>
      <c r="AE665" s="298" t="n"/>
      <c r="AF665" s="562" t="n"/>
    </row>
    <row r="666">
      <c r="A666" s="212">
        <f>A665+1</f>
        <v/>
      </c>
      <c r="B666" s="214" t="inlineStr">
        <is>
          <t>Lift-Off-Ex</t>
        </is>
      </c>
      <c r="C666" s="214" t="inlineStr">
        <is>
          <t>PHNOM PENH AUTONOMOUS PORT "PPAP"</t>
        </is>
      </c>
      <c r="D666" s="215" t="inlineStr">
        <is>
          <t>L001-100044999</t>
        </is>
      </c>
      <c r="E666" s="290" t="inlineStr">
        <is>
          <t>INV20250539883</t>
        </is>
      </c>
      <c r="F666" s="279" t="n">
        <v>45798</v>
      </c>
      <c r="G666" s="216" t="n"/>
      <c r="H666" s="564" t="n"/>
      <c r="I666" s="564" t="n">
        <v>56042</v>
      </c>
      <c r="J666" s="213" t="inlineStr">
        <is>
          <t>អនុញ្ញាត (បានប្រកាស)</t>
        </is>
      </c>
      <c r="K666" s="565" t="n"/>
      <c r="L666" s="563">
        <f>I666</f>
        <v/>
      </c>
      <c r="M666" s="536">
        <f>I666-L666</f>
        <v/>
      </c>
      <c r="N666" s="213" t="n"/>
      <c r="O666" s="218">
        <f>U666=E666</f>
        <v/>
      </c>
      <c r="P666" s="218">
        <f>MONTH(F666)-MONTH(T666)</f>
        <v/>
      </c>
      <c r="Q666" s="218">
        <f>$B$5=X666</f>
        <v/>
      </c>
      <c r="R666" s="218">
        <f>I666-AD666</f>
        <v/>
      </c>
      <c r="S666" s="298" t="n"/>
      <c r="T666" s="299" t="n">
        <v>45798</v>
      </c>
      <c r="U666" s="298" t="inlineStr">
        <is>
          <t>INV20250539883</t>
        </is>
      </c>
      <c r="V666" s="298" t="n">
        <v>0</v>
      </c>
      <c r="W666" s="298" t="inlineStr">
        <is>
          <t>បុគ្គលជាប់អាករ</t>
        </is>
      </c>
      <c r="X666" s="298" t="inlineStr">
        <is>
          <t>L001-901640009</t>
        </is>
      </c>
      <c r="Y666" s="298" t="inlineStr">
        <is>
          <t>ហូលីដេ ឌីហ្សាញ (ខេមបូឌា) ឯ.ក</t>
        </is>
      </c>
      <c r="Z666" s="300" t="n">
        <v>616462</v>
      </c>
      <c r="AA666" s="300" t="n">
        <v>560420</v>
      </c>
      <c r="AB666" s="298" t="n">
        <v>0</v>
      </c>
      <c r="AC666" s="298" t="inlineStr">
        <is>
          <t>-</t>
        </is>
      </c>
      <c r="AD666" s="300" t="n">
        <v>56042</v>
      </c>
      <c r="AE666" s="298" t="n">
        <v>0</v>
      </c>
      <c r="AF666" s="562" t="n">
        <v>0</v>
      </c>
      <c r="AG666" s="198" t="n">
        <v>0</v>
      </c>
      <c r="AH666" s="198" t="n">
        <v>0</v>
      </c>
      <c r="AI666" s="198" t="n">
        <v>0</v>
      </c>
      <c r="AJ666" s="198" t="n">
        <v>0</v>
      </c>
      <c r="AK666" s="198" t="n">
        <v>0</v>
      </c>
      <c r="AL666" s="198" t="n">
        <v>0.01</v>
      </c>
      <c r="AM666" s="198" t="n">
        <v>0</v>
      </c>
      <c r="AN666" s="198" t="inlineStr">
        <is>
          <t>ចំណូលពីសេវាកម្ម (លើកដាក់ទំនិញ)</t>
        </is>
      </c>
    </row>
    <row r="667">
      <c r="A667" s="212">
        <f>A666+1</f>
        <v/>
      </c>
      <c r="B667" s="214" t="inlineStr">
        <is>
          <t>Lift-Off-Ex</t>
        </is>
      </c>
      <c r="C667" s="214" t="inlineStr">
        <is>
          <t>PHNOM PENH AUTONOMOUS PORT "PPAP"</t>
        </is>
      </c>
      <c r="D667" s="215" t="inlineStr">
        <is>
          <t>L001-100044999</t>
        </is>
      </c>
      <c r="E667" s="290" t="inlineStr">
        <is>
          <t>INV20250541763</t>
        </is>
      </c>
      <c r="F667" s="279" t="n">
        <v>45803</v>
      </c>
      <c r="G667" s="216" t="n"/>
      <c r="H667" s="564" t="n"/>
      <c r="I667" s="564" t="n">
        <v>56028</v>
      </c>
      <c r="J667" s="213" t="inlineStr">
        <is>
          <t>អនុញ្ញាត (បានប្រកាស)</t>
        </is>
      </c>
      <c r="K667" s="565" t="n"/>
      <c r="L667" s="563">
        <f>I667</f>
        <v/>
      </c>
      <c r="M667" s="536">
        <f>I667-L667</f>
        <v/>
      </c>
      <c r="N667" s="213" t="n"/>
      <c r="O667" s="218">
        <f>U667=E667</f>
        <v/>
      </c>
      <c r="P667" s="218">
        <f>MONTH(F667)-MONTH(T667)</f>
        <v/>
      </c>
      <c r="Q667" s="218">
        <f>$B$5=X667</f>
        <v/>
      </c>
      <c r="R667" s="218">
        <f>I667-AD667</f>
        <v/>
      </c>
      <c r="S667" s="298" t="n"/>
      <c r="T667" s="299" t="n">
        <v>45803</v>
      </c>
      <c r="U667" s="298" t="inlineStr">
        <is>
          <t>INV20250541763</t>
        </is>
      </c>
      <c r="V667" s="298" t="n">
        <v>0</v>
      </c>
      <c r="W667" s="298" t="inlineStr">
        <is>
          <t>បុគ្គលជាប់អាករ</t>
        </is>
      </c>
      <c r="X667" s="298" t="inlineStr">
        <is>
          <t>L001-901640009</t>
        </is>
      </c>
      <c r="Y667" s="298" t="inlineStr">
        <is>
          <t>ហូលីដេ ឌីហ្សាញ (ខេមបូឌា) ឯ.ក</t>
        </is>
      </c>
      <c r="Z667" s="300" t="n">
        <v>616308</v>
      </c>
      <c r="AA667" s="300" t="n">
        <v>560280</v>
      </c>
      <c r="AB667" s="298" t="n">
        <v>0</v>
      </c>
      <c r="AC667" s="298" t="inlineStr">
        <is>
          <t>-</t>
        </is>
      </c>
      <c r="AD667" s="300" t="n">
        <v>56028</v>
      </c>
      <c r="AE667" s="298" t="n">
        <v>0</v>
      </c>
      <c r="AF667" s="562" t="n">
        <v>0</v>
      </c>
      <c r="AG667" s="198" t="n">
        <v>0</v>
      </c>
      <c r="AH667" s="198" t="n">
        <v>0</v>
      </c>
      <c r="AI667" s="198" t="n">
        <v>0</v>
      </c>
      <c r="AJ667" s="198" t="n">
        <v>0</v>
      </c>
      <c r="AK667" s="198" t="n">
        <v>0</v>
      </c>
      <c r="AL667" s="198" t="n">
        <v>0.01</v>
      </c>
      <c r="AM667" s="198" t="n">
        <v>0</v>
      </c>
      <c r="AN667" s="198" t="inlineStr">
        <is>
          <t>ចំណូលពីសេវាកម្ម (លើកដាក់ទំនិញ)</t>
        </is>
      </c>
    </row>
    <row r="668">
      <c r="A668" s="212">
        <f>A667+1</f>
        <v/>
      </c>
      <c r="B668" s="214" t="inlineStr">
        <is>
          <t>Trucking &amp; Clearance-Ex</t>
        </is>
      </c>
      <c r="C668" s="214" t="inlineStr">
        <is>
          <t>KR GLOBAL LOGISTICS CO., LTD.</t>
        </is>
      </c>
      <c r="D668" s="215" t="inlineStr">
        <is>
          <t>K005-902004162</t>
        </is>
      </c>
      <c r="E668" s="290" t="inlineStr">
        <is>
          <t>KR252606</t>
        </is>
      </c>
      <c r="F668" s="279" t="n">
        <v>45807</v>
      </c>
      <c r="G668" s="216" t="n"/>
      <c r="H668" s="564" t="n"/>
      <c r="I668" s="564" t="n">
        <v>340025</v>
      </c>
      <c r="J668" s="213" t="inlineStr">
        <is>
          <t>អនុញ្ញាត (បានប្រកាស)</t>
        </is>
      </c>
      <c r="K668" s="565" t="n"/>
      <c r="L668" s="563">
        <f>I668</f>
        <v/>
      </c>
      <c r="M668" s="536">
        <f>I668-L668</f>
        <v/>
      </c>
      <c r="N668" s="213" t="n"/>
      <c r="O668" s="218">
        <f>U668=E668</f>
        <v/>
      </c>
      <c r="P668" s="218">
        <f>MONTH(F668)-MONTH(T668)</f>
        <v/>
      </c>
      <c r="Q668" s="218">
        <f>$B$5=X668</f>
        <v/>
      </c>
      <c r="R668" s="218">
        <f>I668-AD668</f>
        <v/>
      </c>
      <c r="S668" s="298" t="n"/>
      <c r="T668" s="299" t="n">
        <v>45807</v>
      </c>
      <c r="U668" s="298" t="inlineStr">
        <is>
          <t>KR252606</t>
        </is>
      </c>
      <c r="V668" s="298" t="n"/>
      <c r="W668" s="298" t="n"/>
      <c r="X668" s="298" t="n"/>
      <c r="Y668" s="298" t="inlineStr">
        <is>
          <t>ហូលីដេ ឌីហ្សាញ (ខេមបូឌា) ឯ.ក</t>
        </is>
      </c>
      <c r="Z668" s="300" t="n"/>
      <c r="AA668" s="300" t="n"/>
      <c r="AB668" s="298" t="n"/>
      <c r="AC668" s="298" t="n"/>
      <c r="AD668" s="300" t="n">
        <v>340025</v>
      </c>
      <c r="AE668" s="298" t="n"/>
      <c r="AF668" s="562" t="n"/>
    </row>
    <row r="669">
      <c r="A669" s="212">
        <f>A668+1</f>
        <v/>
      </c>
      <c r="B669" s="214" t="inlineStr">
        <is>
          <t>Lift-Off-Ex</t>
        </is>
      </c>
      <c r="C669" s="214" t="inlineStr">
        <is>
          <t>PHNOM PENH AUTONOMOUS PORT "PPAP"</t>
        </is>
      </c>
      <c r="D669" s="215" t="inlineStr">
        <is>
          <t>L001-100044999</t>
        </is>
      </c>
      <c r="E669" s="290" t="inlineStr">
        <is>
          <t>INV20250541762</t>
        </is>
      </c>
      <c r="F669" s="279" t="n">
        <v>45803</v>
      </c>
      <c r="G669" s="216" t="n"/>
      <c r="H669" s="564" t="n"/>
      <c r="I669" s="564" t="n">
        <v>28014</v>
      </c>
      <c r="J669" s="213" t="inlineStr">
        <is>
          <t>អនុញ្ញាត (បានប្រកាស)</t>
        </is>
      </c>
      <c r="K669" s="565" t="n"/>
      <c r="L669" s="563">
        <f>I669</f>
        <v/>
      </c>
      <c r="M669" s="536">
        <f>I669-L669</f>
        <v/>
      </c>
      <c r="N669" s="213" t="n"/>
      <c r="O669" s="218">
        <f>U669=E669</f>
        <v/>
      </c>
      <c r="P669" s="218">
        <f>MONTH(F669)-MONTH(T669)</f>
        <v/>
      </c>
      <c r="Q669" s="218">
        <f>$B$5=X669</f>
        <v/>
      </c>
      <c r="R669" s="218">
        <f>I669-AD669</f>
        <v/>
      </c>
      <c r="S669" s="298" t="n"/>
      <c r="T669" s="299" t="n">
        <v>45803</v>
      </c>
      <c r="U669" s="298" t="inlineStr">
        <is>
          <t>INV20250541762</t>
        </is>
      </c>
      <c r="V669" s="298" t="n">
        <v>0</v>
      </c>
      <c r="W669" s="298" t="inlineStr">
        <is>
          <t>បុគ្គលជាប់អាករ</t>
        </is>
      </c>
      <c r="X669" s="298" t="inlineStr">
        <is>
          <t>L001-901640009</t>
        </is>
      </c>
      <c r="Y669" s="298" t="inlineStr">
        <is>
          <t>ហូលីដេ ឌីហ្សាញ (ខេមបូឌា) ឯ.ក</t>
        </is>
      </c>
      <c r="Z669" s="300" t="n">
        <v>308154</v>
      </c>
      <c r="AA669" s="300" t="n">
        <v>280140</v>
      </c>
      <c r="AB669" s="298" t="n">
        <v>0</v>
      </c>
      <c r="AC669" s="298" t="inlineStr">
        <is>
          <t>-</t>
        </is>
      </c>
      <c r="AD669" s="300" t="n">
        <v>28014</v>
      </c>
      <c r="AE669" s="298" t="n">
        <v>0</v>
      </c>
      <c r="AF669" s="562" t="n">
        <v>0</v>
      </c>
      <c r="AG669" s="198" t="n">
        <v>0</v>
      </c>
      <c r="AH669" s="198" t="n">
        <v>0</v>
      </c>
      <c r="AI669" s="198" t="n">
        <v>0</v>
      </c>
      <c r="AJ669" s="198" t="n">
        <v>0</v>
      </c>
      <c r="AK669" s="198" t="n">
        <v>0</v>
      </c>
      <c r="AL669" s="198" t="n">
        <v>0.01</v>
      </c>
      <c r="AM669" s="198" t="n">
        <v>0</v>
      </c>
      <c r="AN669" s="198" t="inlineStr">
        <is>
          <t>ចំណូលពីសេវាកម្ម (លើកដាក់ទំនិញ)</t>
        </is>
      </c>
    </row>
    <row r="670">
      <c r="A670" s="212">
        <f>A669+1</f>
        <v/>
      </c>
      <c r="B670" s="214" t="inlineStr">
        <is>
          <t>Trucking &amp; Clearance-Ex</t>
        </is>
      </c>
      <c r="C670" s="214" t="inlineStr">
        <is>
          <t>KR GLOBAL LOGISTICS CO., LTD.</t>
        </is>
      </c>
      <c r="D670" s="215" t="inlineStr">
        <is>
          <t>K005-902004162</t>
        </is>
      </c>
      <c r="E670" s="290" t="inlineStr">
        <is>
          <t>KR252270</t>
        </is>
      </c>
      <c r="F670" s="279" t="n">
        <v>45786</v>
      </c>
      <c r="G670" s="216" t="n"/>
      <c r="H670" s="564" t="n"/>
      <c r="I670" s="564" t="n">
        <v>170528</v>
      </c>
      <c r="J670" s="213" t="inlineStr">
        <is>
          <t>អនុញ្ញាត (បានប្រកាស)</t>
        </is>
      </c>
      <c r="K670" s="565" t="n"/>
      <c r="L670" s="563">
        <f>I670</f>
        <v/>
      </c>
      <c r="M670" s="536">
        <f>I670-L670</f>
        <v/>
      </c>
      <c r="N670" s="213" t="n"/>
      <c r="O670" s="218">
        <f>U670=E670</f>
        <v/>
      </c>
      <c r="P670" s="218">
        <f>MONTH(F670)-MONTH(T670)</f>
        <v/>
      </c>
      <c r="Q670" s="218">
        <f>$B$5=X670</f>
        <v/>
      </c>
      <c r="R670" s="218">
        <f>I670-AD670</f>
        <v/>
      </c>
      <c r="S670" s="298" t="n"/>
      <c r="T670" s="299" t="n">
        <v>45786</v>
      </c>
      <c r="U670" s="298" t="inlineStr">
        <is>
          <t>KR252270</t>
        </is>
      </c>
      <c r="V670" s="298" t="n"/>
      <c r="W670" s="298" t="n"/>
      <c r="X670" s="298" t="n"/>
      <c r="Y670" s="298" t="inlineStr">
        <is>
          <t>ហូលីដេ ឌីហ្សាញ (ខេមបូឌា) ឯ.ក</t>
        </is>
      </c>
      <c r="Z670" s="300" t="n"/>
      <c r="AA670" s="300" t="n"/>
      <c r="AB670" s="298" t="n"/>
      <c r="AC670" s="298" t="n"/>
      <c r="AD670" s="300" t="n">
        <v>170528</v>
      </c>
      <c r="AE670" s="298" t="n"/>
      <c r="AF670" s="562" t="n"/>
    </row>
    <row r="671">
      <c r="A671" s="212">
        <f>A670+1</f>
        <v/>
      </c>
      <c r="B671" s="214" t="inlineStr">
        <is>
          <t>Lift-Off-Ex</t>
        </is>
      </c>
      <c r="C671" s="214" t="inlineStr">
        <is>
          <t>PHNOM PENH AUTONOMOUS PORT "PPAP"</t>
        </is>
      </c>
      <c r="D671" s="215" t="inlineStr">
        <is>
          <t>L001-100044999</t>
        </is>
      </c>
      <c r="E671" s="290" t="inlineStr">
        <is>
          <t>INV20250539158</t>
        </is>
      </c>
      <c r="F671" s="279" t="n">
        <v>45796</v>
      </c>
      <c r="G671" s="216" t="n"/>
      <c r="H671" s="564" t="n"/>
      <c r="I671" s="564" t="n">
        <v>28014</v>
      </c>
      <c r="J671" s="213" t="inlineStr">
        <is>
          <t>អនុញ្ញាត (បានប្រកាស)</t>
        </is>
      </c>
      <c r="K671" s="565" t="n"/>
      <c r="L671" s="563">
        <f>I671</f>
        <v/>
      </c>
      <c r="M671" s="536">
        <f>I671-L671</f>
        <v/>
      </c>
      <c r="N671" s="213" t="n"/>
      <c r="O671" s="218">
        <f>U671=E671</f>
        <v/>
      </c>
      <c r="P671" s="218">
        <f>MONTH(F671)-MONTH(T671)</f>
        <v/>
      </c>
      <c r="Q671" s="218">
        <f>$B$5=X671</f>
        <v/>
      </c>
      <c r="R671" s="218">
        <f>I671-AD671</f>
        <v/>
      </c>
      <c r="S671" s="298" t="n"/>
      <c r="T671" s="299" t="n">
        <v>45796</v>
      </c>
      <c r="U671" s="298" t="inlineStr">
        <is>
          <t>INV20250539158</t>
        </is>
      </c>
      <c r="V671" s="298" t="n">
        <v>0</v>
      </c>
      <c r="W671" s="298" t="inlineStr">
        <is>
          <t>បុគ្គលជាប់អាករ</t>
        </is>
      </c>
      <c r="X671" s="298" t="inlineStr">
        <is>
          <t>L001-901640009</t>
        </is>
      </c>
      <c r="Y671" s="298" t="inlineStr">
        <is>
          <t>ហូលីដេ ឌីហ្សាញ (ខេមបូឌា) ឯ.ក</t>
        </is>
      </c>
      <c r="Z671" s="300" t="n">
        <v>308154</v>
      </c>
      <c r="AA671" s="300" t="n">
        <v>280140</v>
      </c>
      <c r="AB671" s="298" t="n">
        <v>0</v>
      </c>
      <c r="AC671" s="298" t="inlineStr">
        <is>
          <t>-</t>
        </is>
      </c>
      <c r="AD671" s="300" t="n">
        <v>28014</v>
      </c>
      <c r="AE671" s="298" t="n">
        <v>0</v>
      </c>
      <c r="AF671" s="562" t="n">
        <v>0</v>
      </c>
      <c r="AG671" s="198" t="n">
        <v>0</v>
      </c>
      <c r="AH671" s="198" t="n">
        <v>0</v>
      </c>
      <c r="AI671" s="198" t="n">
        <v>0</v>
      </c>
      <c r="AJ671" s="198" t="n">
        <v>0</v>
      </c>
      <c r="AK671" s="198" t="n">
        <v>0</v>
      </c>
      <c r="AL671" s="198" t="n">
        <v>0.01</v>
      </c>
      <c r="AM671" s="198" t="n">
        <v>0</v>
      </c>
      <c r="AN671" s="198" t="inlineStr">
        <is>
          <t>ចំណូលពីសេវាកម្ម (លើកដាក់ទំនិញ)</t>
        </is>
      </c>
    </row>
    <row r="672">
      <c r="A672" s="212">
        <f>A671+1</f>
        <v/>
      </c>
      <c r="B672" s="214" t="inlineStr">
        <is>
          <t>Trucking &amp; Clearance-Ex</t>
        </is>
      </c>
      <c r="C672" s="214" t="inlineStr">
        <is>
          <t>KR GLOBAL LOGISTICS CO., LTD.</t>
        </is>
      </c>
      <c r="D672" s="215" t="inlineStr">
        <is>
          <t>K005-902004162</t>
        </is>
      </c>
      <c r="E672" s="290" t="inlineStr">
        <is>
          <t>KR252269</t>
        </is>
      </c>
      <c r="F672" s="279" t="n">
        <v>45786</v>
      </c>
      <c r="G672" s="216" t="n"/>
      <c r="H672" s="564" t="n"/>
      <c r="I672" s="564" t="n">
        <v>170528</v>
      </c>
      <c r="J672" s="213" t="inlineStr">
        <is>
          <t>អនុញ្ញាត (បានប្រកាស)</t>
        </is>
      </c>
      <c r="K672" s="565" t="n"/>
      <c r="L672" s="563">
        <f>I672</f>
        <v/>
      </c>
      <c r="M672" s="536">
        <f>I672-L672</f>
        <v/>
      </c>
      <c r="N672" s="213" t="n"/>
      <c r="O672" s="218">
        <f>U672=E672</f>
        <v/>
      </c>
      <c r="P672" s="218">
        <f>MONTH(F672)-MONTH(T672)</f>
        <v/>
      </c>
      <c r="Q672" s="218">
        <f>$B$5=X672</f>
        <v/>
      </c>
      <c r="R672" s="218">
        <f>I672-AD672</f>
        <v/>
      </c>
      <c r="S672" s="298" t="n"/>
      <c r="T672" s="299" t="n">
        <v>45786</v>
      </c>
      <c r="U672" s="298" t="inlineStr">
        <is>
          <t>KR252269</t>
        </is>
      </c>
      <c r="V672" s="298" t="n"/>
      <c r="W672" s="298" t="n"/>
      <c r="X672" s="298" t="n"/>
      <c r="Y672" s="298" t="inlineStr">
        <is>
          <t>ហូលីដេ ឌីហ្សាញ (ខេមបូឌា) ឯ.ក</t>
        </is>
      </c>
      <c r="Z672" s="300" t="n"/>
      <c r="AA672" s="300" t="n"/>
      <c r="AB672" s="298" t="n"/>
      <c r="AC672" s="298" t="n"/>
      <c r="AD672" s="300" t="n">
        <v>170528</v>
      </c>
      <c r="AE672" s="298" t="n"/>
      <c r="AF672" s="562" t="n"/>
    </row>
    <row r="673">
      <c r="A673" s="212">
        <f>A672+1</f>
        <v/>
      </c>
      <c r="B673" s="214" t="inlineStr">
        <is>
          <t>Lift-Off-Ex</t>
        </is>
      </c>
      <c r="C673" s="214" t="inlineStr">
        <is>
          <t>PHNOM PENH AUTONOMOUS PORT "PPAP"</t>
        </is>
      </c>
      <c r="D673" s="215" t="inlineStr">
        <is>
          <t>L001-100044999</t>
        </is>
      </c>
      <c r="E673" s="290" t="inlineStr">
        <is>
          <t>INV20250539157</t>
        </is>
      </c>
      <c r="F673" s="279" t="n">
        <v>45796</v>
      </c>
      <c r="G673" s="216" t="n"/>
      <c r="H673" s="564" t="n"/>
      <c r="I673" s="564" t="n">
        <v>28014</v>
      </c>
      <c r="J673" s="213" t="inlineStr">
        <is>
          <t>អនុញ្ញាត (បានប្រកាស)</t>
        </is>
      </c>
      <c r="K673" s="565" t="n"/>
      <c r="L673" s="563">
        <f>I673</f>
        <v/>
      </c>
      <c r="M673" s="536">
        <f>I673-L673</f>
        <v/>
      </c>
      <c r="N673" s="213" t="n"/>
      <c r="O673" s="218">
        <f>U673=E673</f>
        <v/>
      </c>
      <c r="P673" s="218">
        <f>MONTH(F673)-MONTH(T673)</f>
        <v/>
      </c>
      <c r="Q673" s="218">
        <f>$B$5=X673</f>
        <v/>
      </c>
      <c r="R673" s="218">
        <f>I673-AD673</f>
        <v/>
      </c>
      <c r="S673" s="298" t="n"/>
      <c r="T673" s="301" t="n">
        <v>45796</v>
      </c>
      <c r="U673" s="298" t="inlineStr">
        <is>
          <t>INV20250539157</t>
        </is>
      </c>
      <c r="V673" s="298" t="n">
        <v>0</v>
      </c>
      <c r="W673" s="298" t="inlineStr">
        <is>
          <t>បុគ្គលជាប់អាករ</t>
        </is>
      </c>
      <c r="X673" s="298" t="inlineStr">
        <is>
          <t>L001-901640009</t>
        </is>
      </c>
      <c r="Y673" s="298" t="inlineStr">
        <is>
          <t>ហូលីដេ ឌីហ្សាញ (ខេមបូឌា) ឯ.ក</t>
        </is>
      </c>
      <c r="Z673" s="300" t="n">
        <v>308154</v>
      </c>
      <c r="AA673" s="300" t="n">
        <v>280140</v>
      </c>
      <c r="AB673" s="298" t="n">
        <v>0</v>
      </c>
      <c r="AC673" s="298" t="inlineStr">
        <is>
          <t>-</t>
        </is>
      </c>
      <c r="AD673" s="300" t="n">
        <v>28014</v>
      </c>
      <c r="AE673" s="298" t="n">
        <v>0</v>
      </c>
      <c r="AF673" s="562" t="n">
        <v>0</v>
      </c>
      <c r="AG673" s="198" t="n">
        <v>0</v>
      </c>
      <c r="AH673" s="198" t="n">
        <v>0</v>
      </c>
      <c r="AI673" s="198" t="n">
        <v>0</v>
      </c>
      <c r="AJ673" s="198" t="n">
        <v>0</v>
      </c>
      <c r="AK673" s="198" t="n">
        <v>0</v>
      </c>
      <c r="AL673" s="198" t="n">
        <v>0.01</v>
      </c>
      <c r="AM673" s="198" t="n">
        <v>0</v>
      </c>
      <c r="AN673" s="198" t="inlineStr">
        <is>
          <t>ចំណូលពីសេវាកម្ម (លើកដាក់ទំនិញ)</t>
        </is>
      </c>
    </row>
    <row r="674">
      <c r="A674" s="212">
        <f>A673+1</f>
        <v/>
      </c>
      <c r="B674" s="214" t="inlineStr">
        <is>
          <t>Trucking &amp; Clearance-Ex</t>
        </is>
      </c>
      <c r="C674" s="214" t="inlineStr">
        <is>
          <t>KR GLOBAL LOGISTICS CO., LTD.</t>
        </is>
      </c>
      <c r="D674" s="215" t="inlineStr">
        <is>
          <t>K005-902004162</t>
        </is>
      </c>
      <c r="E674" s="290" t="inlineStr">
        <is>
          <t>KR252268</t>
        </is>
      </c>
      <c r="F674" s="279" t="n">
        <v>45786</v>
      </c>
      <c r="G674" s="216" t="n"/>
      <c r="H674" s="564" t="n"/>
      <c r="I674" s="564" t="n">
        <v>170528</v>
      </c>
      <c r="J674" s="213" t="inlineStr">
        <is>
          <t>អនុញ្ញាត (បានប្រកាស)</t>
        </is>
      </c>
      <c r="K674" s="565" t="n"/>
      <c r="L674" s="563">
        <f>I674</f>
        <v/>
      </c>
      <c r="M674" s="536">
        <f>I674-L674</f>
        <v/>
      </c>
      <c r="N674" s="213" t="n"/>
      <c r="O674" s="218">
        <f>U674=E674</f>
        <v/>
      </c>
      <c r="P674" s="218">
        <f>MONTH(F674)-MONTH(T674)</f>
        <v/>
      </c>
      <c r="Q674" s="218">
        <f>$B$5=X674</f>
        <v/>
      </c>
      <c r="R674" s="218">
        <f>I674-AD674</f>
        <v/>
      </c>
      <c r="S674" s="298" t="n"/>
      <c r="T674" s="299" t="n">
        <v>45786</v>
      </c>
      <c r="U674" s="298" t="inlineStr">
        <is>
          <t>KR252268</t>
        </is>
      </c>
      <c r="V674" s="298" t="n"/>
      <c r="W674" s="298" t="n"/>
      <c r="X674" s="298" t="n"/>
      <c r="Y674" s="298" t="inlineStr">
        <is>
          <t>ហូលីដេ ឌីហ្សាញ (ខេមបូឌា) ឯ.ក</t>
        </is>
      </c>
      <c r="Z674" s="300" t="n"/>
      <c r="AA674" s="300" t="n"/>
      <c r="AB674" s="298" t="n"/>
      <c r="AC674" s="298" t="n"/>
      <c r="AD674" s="300" t="n">
        <v>170528</v>
      </c>
      <c r="AE674" s="298" t="n"/>
      <c r="AF674" s="562" t="n"/>
    </row>
    <row r="675">
      <c r="A675" s="212">
        <f>A674+1</f>
        <v/>
      </c>
      <c r="B675" s="214" t="inlineStr">
        <is>
          <t>Lift-Off-Ex</t>
        </is>
      </c>
      <c r="C675" s="214" t="inlineStr">
        <is>
          <t>PHNOM PENH AUTONOMOUS PORT "PPAP"</t>
        </is>
      </c>
      <c r="D675" s="215" t="inlineStr">
        <is>
          <t>L001-100044999</t>
        </is>
      </c>
      <c r="E675" s="290" t="inlineStr">
        <is>
          <t>INV20250539156</t>
        </is>
      </c>
      <c r="F675" s="279" t="n">
        <v>45796</v>
      </c>
      <c r="G675" s="216" t="n"/>
      <c r="H675" s="564" t="n"/>
      <c r="I675" s="564" t="n">
        <v>112056</v>
      </c>
      <c r="J675" s="213" t="inlineStr">
        <is>
          <t>អនុញ្ញាត (បានប្រកាស)</t>
        </is>
      </c>
      <c r="K675" s="565" t="n"/>
      <c r="L675" s="563">
        <f>I675</f>
        <v/>
      </c>
      <c r="M675" s="536">
        <f>I675-L675</f>
        <v/>
      </c>
      <c r="N675" s="213" t="n"/>
      <c r="O675" s="218">
        <f>U675=E675</f>
        <v/>
      </c>
      <c r="P675" s="218">
        <f>MONTH(F675)-MONTH(T675)</f>
        <v/>
      </c>
      <c r="Q675" s="218">
        <f>$B$5=X675</f>
        <v/>
      </c>
      <c r="R675" s="218">
        <f>I675-AD675</f>
        <v/>
      </c>
      <c r="S675" s="298" t="n"/>
      <c r="T675" s="299" t="n">
        <v>45796</v>
      </c>
      <c r="U675" s="298" t="inlineStr">
        <is>
          <t>INV20250539156</t>
        </is>
      </c>
      <c r="V675" s="298" t="n">
        <v>0</v>
      </c>
      <c r="W675" s="298" t="inlineStr">
        <is>
          <t>បុគ្គលជាប់អាករ</t>
        </is>
      </c>
      <c r="X675" s="298" t="inlineStr">
        <is>
          <t>L001-901640009</t>
        </is>
      </c>
      <c r="Y675" s="298" t="inlineStr">
        <is>
          <t>ហូលីដេ ឌីហ្សាញ (ខេមបូឌា) ឯ.ក</t>
        </is>
      </c>
      <c r="Z675" s="300" t="n">
        <v>1232616</v>
      </c>
      <c r="AA675" s="300" t="n">
        <v>1120560</v>
      </c>
      <c r="AB675" s="298" t="n">
        <v>0</v>
      </c>
      <c r="AC675" s="298" t="inlineStr">
        <is>
          <t>-</t>
        </is>
      </c>
      <c r="AD675" s="300" t="n">
        <v>112056</v>
      </c>
      <c r="AE675" s="298" t="n">
        <v>0</v>
      </c>
      <c r="AF675" s="562" t="n">
        <v>0</v>
      </c>
      <c r="AG675" s="198" t="n">
        <v>0</v>
      </c>
      <c r="AH675" s="198" t="n">
        <v>0</v>
      </c>
      <c r="AI675" s="198" t="n">
        <v>0</v>
      </c>
      <c r="AJ675" s="198" t="n">
        <v>0</v>
      </c>
      <c r="AK675" s="198" t="n">
        <v>0</v>
      </c>
      <c r="AL675" s="198" t="n">
        <v>0.01</v>
      </c>
      <c r="AM675" s="198" t="n">
        <v>0</v>
      </c>
      <c r="AN675" s="198" t="inlineStr">
        <is>
          <t>ចំណូលពីសេវាកម្ម (លើកដាក់ទំនិញ)</t>
        </is>
      </c>
    </row>
    <row r="676">
      <c r="A676" s="212">
        <f>A675+1</f>
        <v/>
      </c>
      <c r="B676" s="214" t="inlineStr">
        <is>
          <t>Trucking &amp; Clearance-Ex</t>
        </is>
      </c>
      <c r="C676" s="214" t="inlineStr">
        <is>
          <t>KR GLOBAL LOGISTICS CO., LTD.</t>
        </is>
      </c>
      <c r="D676" s="215" t="inlineStr">
        <is>
          <t>K005-902004162</t>
        </is>
      </c>
      <c r="E676" s="290" t="inlineStr">
        <is>
          <t>KR252267</t>
        </is>
      </c>
      <c r="F676" s="279" t="n">
        <v>45786</v>
      </c>
      <c r="G676" s="216" t="n"/>
      <c r="H676" s="564" t="n"/>
      <c r="I676" s="564" t="n">
        <v>677308</v>
      </c>
      <c r="J676" s="213" t="inlineStr">
        <is>
          <t>អនុញ្ញាត (បានប្រកាស)</t>
        </is>
      </c>
      <c r="K676" s="565" t="n"/>
      <c r="L676" s="563">
        <f>I676</f>
        <v/>
      </c>
      <c r="M676" s="536">
        <f>I676-L676</f>
        <v/>
      </c>
      <c r="N676" s="213" t="n"/>
      <c r="O676" s="218">
        <f>U676=E676</f>
        <v/>
      </c>
      <c r="P676" s="218">
        <f>MONTH(F676)-MONTH(T676)</f>
        <v/>
      </c>
      <c r="Q676" s="218">
        <f>$B$5=X676</f>
        <v/>
      </c>
      <c r="R676" s="218">
        <f>I676-AD676</f>
        <v/>
      </c>
      <c r="S676" s="298" t="n"/>
      <c r="T676" s="301" t="n">
        <v>45786</v>
      </c>
      <c r="U676" s="298" t="inlineStr">
        <is>
          <t>KR252267</t>
        </is>
      </c>
      <c r="V676" s="298" t="n"/>
      <c r="W676" s="298" t="n"/>
      <c r="X676" s="298" t="n"/>
      <c r="Y676" s="298" t="inlineStr">
        <is>
          <t>ហូលីដេ ឌីហ្សាញ (ខេមបូឌា) ឯ.ក</t>
        </is>
      </c>
      <c r="Z676" s="300" t="n"/>
      <c r="AA676" s="300" t="n"/>
      <c r="AB676" s="298" t="n"/>
      <c r="AC676" s="298" t="n"/>
      <c r="AD676" s="300" t="n">
        <v>677308</v>
      </c>
      <c r="AE676" s="298" t="n"/>
      <c r="AF676" s="562" t="n"/>
    </row>
    <row r="677">
      <c r="A677" s="212">
        <f>A676+1</f>
        <v/>
      </c>
      <c r="B677" s="214" t="inlineStr">
        <is>
          <t>Lift-Off-Ex</t>
        </is>
      </c>
      <c r="C677" s="214" t="inlineStr">
        <is>
          <t>PHNOM PENH AUTONOMOUS PORT "PPAP"</t>
        </is>
      </c>
      <c r="D677" s="215" t="inlineStr">
        <is>
          <t>L001-100044999</t>
        </is>
      </c>
      <c r="E677" s="290" t="inlineStr">
        <is>
          <t>INV20250539155</t>
        </is>
      </c>
      <c r="F677" s="279" t="n">
        <v>45796</v>
      </c>
      <c r="G677" s="216" t="n"/>
      <c r="H677" s="564" t="n"/>
      <c r="I677" s="564" t="n">
        <v>28014</v>
      </c>
      <c r="J677" s="213" t="inlineStr">
        <is>
          <t>អនុញ្ញាត (បានប្រកាស)</t>
        </is>
      </c>
      <c r="K677" s="565" t="n"/>
      <c r="L677" s="563">
        <f>I677</f>
        <v/>
      </c>
      <c r="M677" s="536">
        <f>I677-L677</f>
        <v/>
      </c>
      <c r="N677" s="213" t="n"/>
      <c r="O677" s="218">
        <f>U677=E677</f>
        <v/>
      </c>
      <c r="P677" s="218">
        <f>MONTH(F677)-MONTH(T677)</f>
        <v/>
      </c>
      <c r="Q677" s="218">
        <f>$B$5=X677</f>
        <v/>
      </c>
      <c r="R677" s="218">
        <f>I677-AD677</f>
        <v/>
      </c>
      <c r="S677" s="298" t="n"/>
      <c r="T677" s="299" t="n">
        <v>45796</v>
      </c>
      <c r="U677" s="298" t="inlineStr">
        <is>
          <t>INV20250539155</t>
        </is>
      </c>
      <c r="V677" s="298" t="n">
        <v>0</v>
      </c>
      <c r="W677" s="298" t="inlineStr">
        <is>
          <t>បុគ្គលជាប់អាករ</t>
        </is>
      </c>
      <c r="X677" s="298" t="inlineStr">
        <is>
          <t>L001-901640009</t>
        </is>
      </c>
      <c r="Y677" s="298" t="inlineStr">
        <is>
          <t>ហូលីដេ ឌីហ្សាញ (ខេមបូឌា) ឯ.ក</t>
        </is>
      </c>
      <c r="Z677" s="300" t="n">
        <v>308154</v>
      </c>
      <c r="AA677" s="300" t="n">
        <v>280140</v>
      </c>
      <c r="AB677" s="298" t="n">
        <v>0</v>
      </c>
      <c r="AC677" s="298" t="inlineStr">
        <is>
          <t>-</t>
        </is>
      </c>
      <c r="AD677" s="300" t="n">
        <v>28014</v>
      </c>
      <c r="AE677" s="298" t="n">
        <v>0</v>
      </c>
      <c r="AF677" s="562" t="n">
        <v>0</v>
      </c>
      <c r="AG677" s="198" t="n">
        <v>0</v>
      </c>
      <c r="AH677" s="198" t="n">
        <v>0</v>
      </c>
      <c r="AI677" s="198" t="n">
        <v>0</v>
      </c>
      <c r="AJ677" s="198" t="n">
        <v>0</v>
      </c>
      <c r="AK677" s="198" t="n">
        <v>0</v>
      </c>
      <c r="AL677" s="198" t="n">
        <v>0.01</v>
      </c>
      <c r="AM677" s="198" t="n">
        <v>0</v>
      </c>
      <c r="AN677" s="198" t="inlineStr">
        <is>
          <t>ចំណូលពីសេវាកម្ម (លើកដាក់ទំនិញ)</t>
        </is>
      </c>
    </row>
    <row r="678">
      <c r="A678" s="212">
        <f>A677+1</f>
        <v/>
      </c>
      <c r="B678" s="214" t="inlineStr">
        <is>
          <t>Trucking &amp; Clearance-Ex</t>
        </is>
      </c>
      <c r="C678" s="214" t="inlineStr">
        <is>
          <t>KR GLOBAL LOGISTICS CO., LTD.</t>
        </is>
      </c>
      <c r="D678" s="215" t="inlineStr">
        <is>
          <t>K005-902004162</t>
        </is>
      </c>
      <c r="E678" s="290" t="inlineStr">
        <is>
          <t>KR252266</t>
        </is>
      </c>
      <c r="F678" s="279" t="n">
        <v>45786</v>
      </c>
      <c r="G678" s="216" t="n"/>
      <c r="H678" s="564" t="n"/>
      <c r="I678" s="564" t="n">
        <v>170528</v>
      </c>
      <c r="J678" s="213" t="inlineStr">
        <is>
          <t>អនុញ្ញាត (បានប្រកាស)</t>
        </is>
      </c>
      <c r="K678" s="565" t="n"/>
      <c r="L678" s="563">
        <f>I678</f>
        <v/>
      </c>
      <c r="M678" s="536">
        <f>I678-L678</f>
        <v/>
      </c>
      <c r="N678" s="213" t="n"/>
      <c r="O678" s="218">
        <f>U678=E678</f>
        <v/>
      </c>
      <c r="P678" s="218">
        <f>MONTH(F678)-MONTH(T678)</f>
        <v/>
      </c>
      <c r="Q678" s="218">
        <f>$B$5=X678</f>
        <v/>
      </c>
      <c r="R678" s="218">
        <f>I678-AD678</f>
        <v/>
      </c>
      <c r="S678" s="298" t="n"/>
      <c r="T678" s="299" t="n">
        <v>45786</v>
      </c>
      <c r="U678" s="298" t="inlineStr">
        <is>
          <t>KR252266</t>
        </is>
      </c>
      <c r="V678" s="298" t="n"/>
      <c r="W678" s="298" t="n"/>
      <c r="X678" s="298" t="n"/>
      <c r="Y678" s="298" t="inlineStr">
        <is>
          <t>ហូលីដេ ឌីហ្សាញ (ខេមបូឌា) ឯ.ក</t>
        </is>
      </c>
      <c r="Z678" s="300" t="n"/>
      <c r="AA678" s="300" t="n"/>
      <c r="AB678" s="298" t="n"/>
      <c r="AC678" s="298" t="n"/>
      <c r="AD678" s="300" t="n">
        <v>170528</v>
      </c>
      <c r="AE678" s="298" t="n"/>
      <c r="AF678" s="562" t="n"/>
    </row>
    <row r="679">
      <c r="A679" s="212">
        <f>A678+1</f>
        <v/>
      </c>
      <c r="B679" s="214" t="inlineStr">
        <is>
          <t>Lift-Off-Ex</t>
        </is>
      </c>
      <c r="C679" s="214" t="inlineStr">
        <is>
          <t>PHNOM PENH AUTONOMOUS PORT "PPAP"</t>
        </is>
      </c>
      <c r="D679" s="215" t="inlineStr">
        <is>
          <t>L001-100044999</t>
        </is>
      </c>
      <c r="E679" s="290" t="inlineStr">
        <is>
          <t>INV20250539154</t>
        </is>
      </c>
      <c r="F679" s="279" t="n">
        <v>45796</v>
      </c>
      <c r="G679" s="216" t="n"/>
      <c r="H679" s="564" t="n"/>
      <c r="I679" s="564" t="n">
        <v>28014</v>
      </c>
      <c r="J679" s="213" t="inlineStr">
        <is>
          <t>អនុញ្ញាត (បានប្រកាស)</t>
        </is>
      </c>
      <c r="K679" s="565" t="n"/>
      <c r="L679" s="563">
        <f>I679</f>
        <v/>
      </c>
      <c r="M679" s="536">
        <f>I679-L679</f>
        <v/>
      </c>
      <c r="N679" s="213" t="n"/>
      <c r="O679" s="218">
        <f>U679=E679</f>
        <v/>
      </c>
      <c r="P679" s="218">
        <f>MONTH(F679)-MONTH(T679)</f>
        <v/>
      </c>
      <c r="Q679" s="218">
        <f>$B$5=X679</f>
        <v/>
      </c>
      <c r="R679" s="218">
        <f>I679-AD679</f>
        <v/>
      </c>
      <c r="S679" s="298" t="n"/>
      <c r="T679" s="299" t="n">
        <v>45796</v>
      </c>
      <c r="U679" s="298" t="inlineStr">
        <is>
          <t>INV20250539154</t>
        </is>
      </c>
      <c r="V679" s="298" t="n">
        <v>0</v>
      </c>
      <c r="W679" s="298" t="inlineStr">
        <is>
          <t>បុគ្គលជាប់អាករ</t>
        </is>
      </c>
      <c r="X679" s="298" t="inlineStr">
        <is>
          <t>L001-901640009</t>
        </is>
      </c>
      <c r="Y679" s="298" t="inlineStr">
        <is>
          <t>ហូលីដេ ឌីហ្សាញ (ខេមបូឌា) ឯ.ក</t>
        </is>
      </c>
      <c r="Z679" s="300" t="n">
        <v>308154</v>
      </c>
      <c r="AA679" s="300" t="n">
        <v>280140</v>
      </c>
      <c r="AB679" s="298" t="n">
        <v>0</v>
      </c>
      <c r="AC679" s="298" t="inlineStr">
        <is>
          <t>-</t>
        </is>
      </c>
      <c r="AD679" s="300" t="n">
        <v>28014</v>
      </c>
      <c r="AE679" s="298" t="n">
        <v>0</v>
      </c>
      <c r="AF679" s="562" t="n">
        <v>0</v>
      </c>
      <c r="AG679" s="198" t="n">
        <v>0</v>
      </c>
      <c r="AH679" s="198" t="n">
        <v>0</v>
      </c>
      <c r="AI679" s="198" t="n">
        <v>0</v>
      </c>
      <c r="AJ679" s="198" t="n">
        <v>0</v>
      </c>
      <c r="AK679" s="198" t="n">
        <v>0</v>
      </c>
      <c r="AL679" s="198" t="n">
        <v>0.01</v>
      </c>
      <c r="AM679" s="198" t="n">
        <v>0</v>
      </c>
      <c r="AN679" s="198" t="inlineStr">
        <is>
          <t>ចំណូលពីសេវាកម្ម (លើកដាក់ទំនិញ)</t>
        </is>
      </c>
    </row>
    <row r="680">
      <c r="A680" s="212">
        <f>A679+1</f>
        <v/>
      </c>
      <c r="B680" s="214" t="inlineStr">
        <is>
          <t>Trucking &amp; Clearance-Ex</t>
        </is>
      </c>
      <c r="C680" s="214" t="inlineStr">
        <is>
          <t>KR GLOBAL LOGISTICS CO., LTD.</t>
        </is>
      </c>
      <c r="D680" s="215" t="inlineStr">
        <is>
          <t>K005-902004162</t>
        </is>
      </c>
      <c r="E680" s="290" t="inlineStr">
        <is>
          <t>KR252265</t>
        </is>
      </c>
      <c r="F680" s="279" t="n">
        <v>45786</v>
      </c>
      <c r="G680" s="216" t="n"/>
      <c r="H680" s="564" t="n"/>
      <c r="I680" s="564" t="n">
        <v>170528</v>
      </c>
      <c r="J680" s="213" t="inlineStr">
        <is>
          <t>អនុញ្ញាត (បានប្រកាស)</t>
        </is>
      </c>
      <c r="K680" s="565" t="n"/>
      <c r="L680" s="563">
        <f>I680</f>
        <v/>
      </c>
      <c r="M680" s="536">
        <f>I680-L680</f>
        <v/>
      </c>
      <c r="N680" s="213" t="n"/>
      <c r="O680" s="218">
        <f>U680=E680</f>
        <v/>
      </c>
      <c r="P680" s="218">
        <f>MONTH(F680)-MONTH(T680)</f>
        <v/>
      </c>
      <c r="Q680" s="218">
        <f>$B$5=X680</f>
        <v/>
      </c>
      <c r="R680" s="218">
        <f>I680-AD680</f>
        <v/>
      </c>
      <c r="S680" s="298" t="n"/>
      <c r="T680" s="299" t="n">
        <v>45786</v>
      </c>
      <c r="U680" s="298" t="inlineStr">
        <is>
          <t>KR252265</t>
        </is>
      </c>
      <c r="V680" s="298" t="n"/>
      <c r="W680" s="298" t="n"/>
      <c r="X680" s="298" t="n"/>
      <c r="Y680" s="298" t="inlineStr">
        <is>
          <t>ហូលីដេ ឌីហ្សាញ (ខេមបូឌា) ឯ.ក</t>
        </is>
      </c>
      <c r="Z680" s="300" t="n"/>
      <c r="AA680" s="300" t="n"/>
      <c r="AB680" s="298" t="n"/>
      <c r="AC680" s="298" t="n"/>
      <c r="AD680" s="300" t="n">
        <v>170528</v>
      </c>
      <c r="AE680" s="298" t="n"/>
      <c r="AF680" s="562" t="n"/>
    </row>
    <row r="681">
      <c r="A681" s="212">
        <f>A680+1</f>
        <v/>
      </c>
      <c r="B681" s="214" t="inlineStr">
        <is>
          <t>Lift-Off-Ex</t>
        </is>
      </c>
      <c r="C681" s="214" t="inlineStr">
        <is>
          <t>PHNOM PENH AUTONOMOUS PORT "PPAP"</t>
        </is>
      </c>
      <c r="D681" s="215" t="inlineStr">
        <is>
          <t>L001-100044999</t>
        </is>
      </c>
      <c r="E681" s="290" t="inlineStr">
        <is>
          <t>INV20250539153</t>
        </is>
      </c>
      <c r="F681" s="279" t="n">
        <v>45796</v>
      </c>
      <c r="G681" s="216" t="n"/>
      <c r="H681" s="564" t="n"/>
      <c r="I681" s="564" t="n">
        <v>56028</v>
      </c>
      <c r="J681" s="213" t="inlineStr">
        <is>
          <t>អនុញ្ញាត (បានប្រកាស)</t>
        </is>
      </c>
      <c r="K681" s="565" t="n"/>
      <c r="L681" s="563">
        <f>I681</f>
        <v/>
      </c>
      <c r="M681" s="536">
        <f>I681-L681</f>
        <v/>
      </c>
      <c r="N681" s="213" t="n"/>
      <c r="O681" s="218">
        <f>U681=E681</f>
        <v/>
      </c>
      <c r="P681" s="218">
        <f>MONTH(F681)-MONTH(T681)</f>
        <v/>
      </c>
      <c r="Q681" s="218">
        <f>$B$5=X681</f>
        <v/>
      </c>
      <c r="R681" s="218">
        <f>I681-AD681</f>
        <v/>
      </c>
      <c r="S681" s="298" t="n"/>
      <c r="T681" s="299" t="n">
        <v>45796</v>
      </c>
      <c r="U681" s="298" t="inlineStr">
        <is>
          <t>INV20250539153</t>
        </is>
      </c>
      <c r="V681" s="298" t="n">
        <v>0</v>
      </c>
      <c r="W681" s="298" t="inlineStr">
        <is>
          <t>បុគ្គលជាប់អាករ</t>
        </is>
      </c>
      <c r="X681" s="298" t="inlineStr">
        <is>
          <t>L001-901640009</t>
        </is>
      </c>
      <c r="Y681" s="298" t="inlineStr">
        <is>
          <t>ហូលីដេ ឌីហ្សាញ (ខេមបូឌា) ឯ.ក</t>
        </is>
      </c>
      <c r="Z681" s="300" t="n">
        <v>616308</v>
      </c>
      <c r="AA681" s="300" t="n">
        <v>560280</v>
      </c>
      <c r="AB681" s="298" t="n">
        <v>0</v>
      </c>
      <c r="AC681" s="298" t="inlineStr">
        <is>
          <t>-</t>
        </is>
      </c>
      <c r="AD681" s="300" t="n">
        <v>56028</v>
      </c>
      <c r="AE681" s="298" t="n">
        <v>0</v>
      </c>
      <c r="AF681" s="562" t="n">
        <v>0</v>
      </c>
      <c r="AG681" s="198" t="n">
        <v>0</v>
      </c>
      <c r="AH681" s="198" t="n">
        <v>0</v>
      </c>
      <c r="AI681" s="198" t="n">
        <v>0</v>
      </c>
      <c r="AJ681" s="198" t="n">
        <v>0</v>
      </c>
      <c r="AK681" s="198" t="n">
        <v>0</v>
      </c>
      <c r="AL681" s="198" t="n">
        <v>0.01</v>
      </c>
      <c r="AM681" s="198" t="n">
        <v>0</v>
      </c>
      <c r="AN681" s="198" t="inlineStr">
        <is>
          <t>ចំណូលពីសេវាកម្ម (លើកដាក់ទំនិញ)</t>
        </is>
      </c>
    </row>
    <row r="682">
      <c r="A682" s="212">
        <f>A681+1</f>
        <v/>
      </c>
      <c r="B682" s="214" t="inlineStr">
        <is>
          <t>Trucking &amp; Clearance-Ex</t>
        </is>
      </c>
      <c r="C682" s="214" t="inlineStr">
        <is>
          <t>KR GLOBAL LOGISTICS CO., LTD.</t>
        </is>
      </c>
      <c r="D682" s="215" t="inlineStr">
        <is>
          <t>K005-902004162</t>
        </is>
      </c>
      <c r="E682" s="290" t="inlineStr">
        <is>
          <t>KR252264</t>
        </is>
      </c>
      <c r="F682" s="279" t="n">
        <v>45786</v>
      </c>
      <c r="G682" s="216" t="n"/>
      <c r="H682" s="564" t="n"/>
      <c r="I682" s="564" t="n">
        <v>341056</v>
      </c>
      <c r="J682" s="213" t="inlineStr">
        <is>
          <t>អនុញ្ញាត (បានប្រកាស)</t>
        </is>
      </c>
      <c r="K682" s="565" t="n"/>
      <c r="L682" s="563">
        <f>I682</f>
        <v/>
      </c>
      <c r="M682" s="536">
        <f>I682-L682</f>
        <v/>
      </c>
      <c r="N682" s="213" t="n"/>
      <c r="O682" s="218">
        <f>U682=E682</f>
        <v/>
      </c>
      <c r="P682" s="218">
        <f>MONTH(F682)-MONTH(T682)</f>
        <v/>
      </c>
      <c r="Q682" s="218">
        <f>$B$5=X682</f>
        <v/>
      </c>
      <c r="R682" s="218">
        <f>I682-AD682</f>
        <v/>
      </c>
      <c r="S682" s="298" t="n"/>
      <c r="T682" s="299" t="n">
        <v>45786</v>
      </c>
      <c r="U682" s="298" t="inlineStr">
        <is>
          <t>KR252264</t>
        </is>
      </c>
      <c r="V682" s="298" t="n"/>
      <c r="W682" s="298" t="n"/>
      <c r="X682" s="298" t="n"/>
      <c r="Y682" s="298" t="inlineStr">
        <is>
          <t>ហូលីដេ ឌីហ្សាញ (ខេមបូឌា) ឯ.ក</t>
        </is>
      </c>
      <c r="Z682" s="300" t="n"/>
      <c r="AA682" s="300" t="n"/>
      <c r="AB682" s="298" t="n"/>
      <c r="AC682" s="298" t="n"/>
      <c r="AD682" s="300" t="n">
        <v>341056</v>
      </c>
      <c r="AE682" s="298" t="n"/>
      <c r="AF682" s="562" t="n"/>
    </row>
    <row r="683">
      <c r="A683" s="212">
        <f>A682+1</f>
        <v/>
      </c>
      <c r="B683" s="214" t="inlineStr">
        <is>
          <t>Lift-Off-Ex</t>
        </is>
      </c>
      <c r="C683" s="214" t="inlineStr">
        <is>
          <t>PHNOM PENH AUTONOMOUS PORT "PPAP"</t>
        </is>
      </c>
      <c r="D683" s="215" t="inlineStr">
        <is>
          <t>L001-100044999</t>
        </is>
      </c>
      <c r="E683" s="290" t="inlineStr">
        <is>
          <t>INV20250539159</t>
        </is>
      </c>
      <c r="F683" s="279" t="n">
        <v>45796</v>
      </c>
      <c r="G683" s="216" t="n"/>
      <c r="H683" s="564" t="n"/>
      <c r="I683" s="564" t="n">
        <v>28014</v>
      </c>
      <c r="J683" s="213" t="inlineStr">
        <is>
          <t>អនុញ្ញាត (បានប្រកាស)</t>
        </is>
      </c>
      <c r="K683" s="565" t="n"/>
      <c r="L683" s="563">
        <f>I683</f>
        <v/>
      </c>
      <c r="M683" s="536">
        <f>I683-L683</f>
        <v/>
      </c>
      <c r="N683" s="213" t="n"/>
      <c r="O683" s="218">
        <f>U683=E683</f>
        <v/>
      </c>
      <c r="P683" s="218">
        <f>MONTH(F683)-MONTH(T683)</f>
        <v/>
      </c>
      <c r="Q683" s="218">
        <f>$B$5=X683</f>
        <v/>
      </c>
      <c r="R683" s="218">
        <f>I683-AD683</f>
        <v/>
      </c>
      <c r="S683" s="298" t="n"/>
      <c r="T683" s="299" t="n">
        <v>45796</v>
      </c>
      <c r="U683" s="298" t="inlineStr">
        <is>
          <t>INV20250539159</t>
        </is>
      </c>
      <c r="V683" s="298" t="n">
        <v>0</v>
      </c>
      <c r="W683" s="298" t="inlineStr">
        <is>
          <t>បុគ្គលជាប់អាករ</t>
        </is>
      </c>
      <c r="X683" s="298" t="inlineStr">
        <is>
          <t>L001-901640009</t>
        </is>
      </c>
      <c r="Y683" s="298" t="inlineStr">
        <is>
          <t>ហូលីដេ ឌីហ្សាញ (ខេមបូឌា) ឯ.ក</t>
        </is>
      </c>
      <c r="Z683" s="300" t="n">
        <v>308154</v>
      </c>
      <c r="AA683" s="300" t="n">
        <v>280140</v>
      </c>
      <c r="AB683" s="298" t="n">
        <v>0</v>
      </c>
      <c r="AC683" s="298" t="inlineStr">
        <is>
          <t>-</t>
        </is>
      </c>
      <c r="AD683" s="300" t="n">
        <v>28014</v>
      </c>
      <c r="AE683" s="298" t="n">
        <v>0</v>
      </c>
      <c r="AF683" s="562" t="n">
        <v>0</v>
      </c>
      <c r="AG683" s="198" t="n">
        <v>0</v>
      </c>
      <c r="AH683" s="198" t="n">
        <v>0</v>
      </c>
      <c r="AI683" s="198" t="n">
        <v>0</v>
      </c>
      <c r="AJ683" s="198" t="n">
        <v>0</v>
      </c>
      <c r="AK683" s="198" t="n">
        <v>0</v>
      </c>
      <c r="AL683" s="198" t="n">
        <v>0.01</v>
      </c>
      <c r="AM683" s="198" t="n">
        <v>0</v>
      </c>
      <c r="AN683" s="198" t="inlineStr">
        <is>
          <t>ចំណូលពីសេវាកម្ម (លើកដាក់ទំនិញ)</t>
        </is>
      </c>
    </row>
    <row r="684">
      <c r="A684" s="212">
        <f>A683+1</f>
        <v/>
      </c>
      <c r="B684" s="214" t="inlineStr">
        <is>
          <t>Trucking &amp; Clearance-Ex</t>
        </is>
      </c>
      <c r="C684" s="214" t="inlineStr">
        <is>
          <t>KR GLOBAL LOGISTICS CO., LTD.</t>
        </is>
      </c>
      <c r="D684" s="215" t="inlineStr">
        <is>
          <t>K005-902004162</t>
        </is>
      </c>
      <c r="E684" s="290" t="inlineStr">
        <is>
          <t>KR252271</t>
        </is>
      </c>
      <c r="F684" s="279" t="n">
        <v>45786</v>
      </c>
      <c r="G684" s="216" t="n"/>
      <c r="H684" s="564" t="n"/>
      <c r="I684" s="564" t="n">
        <v>170528</v>
      </c>
      <c r="J684" s="213" t="inlineStr">
        <is>
          <t>អនុញ្ញាត (បានប្រកាស)</t>
        </is>
      </c>
      <c r="K684" s="565" t="n"/>
      <c r="L684" s="563">
        <f>I684</f>
        <v/>
      </c>
      <c r="M684" s="536">
        <f>I684-L684</f>
        <v/>
      </c>
      <c r="N684" s="213" t="n"/>
      <c r="O684" s="218">
        <f>U684=E684</f>
        <v/>
      </c>
      <c r="P684" s="218">
        <f>MONTH(F684)-MONTH(T684)</f>
        <v/>
      </c>
      <c r="Q684" s="218">
        <f>$B$5=X684</f>
        <v/>
      </c>
      <c r="R684" s="218">
        <f>I684-AD684</f>
        <v/>
      </c>
      <c r="S684" s="298" t="n"/>
      <c r="T684" s="299" t="n">
        <v>45786</v>
      </c>
      <c r="U684" s="298" t="inlineStr">
        <is>
          <t>KR252271</t>
        </is>
      </c>
      <c r="V684" s="298" t="n"/>
      <c r="W684" s="298" t="n"/>
      <c r="X684" s="298" t="n"/>
      <c r="Y684" s="298" t="inlineStr">
        <is>
          <t>ហូលីដេ ឌីហ្សាញ (ខេមបូឌា) ឯ.ក</t>
        </is>
      </c>
      <c r="Z684" s="300" t="n"/>
      <c r="AA684" s="300" t="n"/>
      <c r="AB684" s="298" t="n"/>
      <c r="AC684" s="298" t="n"/>
      <c r="AD684" s="300" t="n">
        <v>170528</v>
      </c>
      <c r="AE684" s="298" t="n"/>
      <c r="AF684" s="562" t="n"/>
    </row>
    <row r="685">
      <c r="A685" s="212">
        <f>A684+1</f>
        <v/>
      </c>
      <c r="B685" s="214" t="inlineStr">
        <is>
          <t>Lift-Off-Ex</t>
        </is>
      </c>
      <c r="C685" s="214" t="inlineStr">
        <is>
          <t>PHNOM PENH AUTONOMOUS PORT "PPAP"</t>
        </is>
      </c>
      <c r="D685" s="215" t="inlineStr">
        <is>
          <t>L001-100044999</t>
        </is>
      </c>
      <c r="E685" s="290" t="inlineStr">
        <is>
          <t>INV20250539163</t>
        </is>
      </c>
      <c r="F685" s="279" t="n">
        <v>45796</v>
      </c>
      <c r="G685" s="216" t="n"/>
      <c r="H685" s="564" t="n"/>
      <c r="I685" s="564" t="n">
        <v>56028</v>
      </c>
      <c r="J685" s="213" t="inlineStr">
        <is>
          <t>អនុញ្ញាត (បានប្រកាស)</t>
        </is>
      </c>
      <c r="K685" s="565" t="n"/>
      <c r="L685" s="563">
        <f>I685</f>
        <v/>
      </c>
      <c r="M685" s="536">
        <f>I685-L685</f>
        <v/>
      </c>
      <c r="N685" s="213" t="n"/>
      <c r="O685" s="218">
        <f>U685=E685</f>
        <v/>
      </c>
      <c r="P685" s="218">
        <f>MONTH(F685)-MONTH(T685)</f>
        <v/>
      </c>
      <c r="Q685" s="218">
        <f>$B$5=X685</f>
        <v/>
      </c>
      <c r="R685" s="218">
        <f>I685-AD685</f>
        <v/>
      </c>
      <c r="S685" s="298" t="n"/>
      <c r="T685" s="301" t="n">
        <v>45796</v>
      </c>
      <c r="U685" s="298" t="inlineStr">
        <is>
          <t>INV20250539163</t>
        </is>
      </c>
      <c r="V685" s="298" t="n">
        <v>0</v>
      </c>
      <c r="W685" s="298" t="inlineStr">
        <is>
          <t>បុគ្គលជាប់អាករ</t>
        </is>
      </c>
      <c r="X685" s="298" t="inlineStr">
        <is>
          <t>L001-901640009</t>
        </is>
      </c>
      <c r="Y685" s="298" t="inlineStr">
        <is>
          <t>ហូលីដេ ឌីហ្សាញ (ខេមបូឌា) ឯ.ក</t>
        </is>
      </c>
      <c r="Z685" s="300" t="n">
        <v>616308</v>
      </c>
      <c r="AA685" s="300" t="n">
        <v>560280</v>
      </c>
      <c r="AB685" s="298" t="n">
        <v>0</v>
      </c>
      <c r="AC685" s="298" t="inlineStr">
        <is>
          <t>-</t>
        </is>
      </c>
      <c r="AD685" s="300" t="n">
        <v>56028</v>
      </c>
      <c r="AE685" s="298" t="n">
        <v>0</v>
      </c>
      <c r="AF685" s="562" t="n">
        <v>0</v>
      </c>
      <c r="AG685" s="198" t="n">
        <v>0</v>
      </c>
      <c r="AH685" s="198" t="n">
        <v>0</v>
      </c>
      <c r="AI685" s="198" t="n">
        <v>0</v>
      </c>
      <c r="AJ685" s="198" t="n">
        <v>0</v>
      </c>
      <c r="AK685" s="198" t="n">
        <v>0</v>
      </c>
      <c r="AL685" s="198" t="n">
        <v>0.01</v>
      </c>
      <c r="AM685" s="198" t="n">
        <v>0</v>
      </c>
      <c r="AN685" s="198" t="inlineStr">
        <is>
          <t>ចំណូលពីសេវាកម្ម (លើកដាក់ទំនិញ)</t>
        </is>
      </c>
    </row>
    <row r="686">
      <c r="A686" s="212">
        <f>A685+1</f>
        <v/>
      </c>
      <c r="B686" s="214" t="inlineStr">
        <is>
          <t>Trucking &amp; Clearance-Ex</t>
        </is>
      </c>
      <c r="C686" s="214" t="inlineStr">
        <is>
          <t>KR GLOBAL LOGISTICS CO., LTD.</t>
        </is>
      </c>
      <c r="D686" s="215" t="inlineStr">
        <is>
          <t>K005-902004162</t>
        </is>
      </c>
      <c r="E686" s="290" t="inlineStr">
        <is>
          <t>KR252603</t>
        </is>
      </c>
      <c r="F686" s="279" t="n">
        <v>45807</v>
      </c>
      <c r="G686" s="216" t="n"/>
      <c r="H686" s="564" t="n"/>
      <c r="I686" s="564" t="n">
        <v>171014</v>
      </c>
      <c r="J686" s="213" t="inlineStr">
        <is>
          <t>អនុញ្ញាត (បានប្រកាស)</t>
        </is>
      </c>
      <c r="K686" s="565" t="n"/>
      <c r="L686" s="563">
        <f>I686</f>
        <v/>
      </c>
      <c r="M686" s="536">
        <f>I686-L686</f>
        <v/>
      </c>
      <c r="N686" s="213" t="n"/>
      <c r="O686" s="218">
        <f>U686=E686</f>
        <v/>
      </c>
      <c r="P686" s="218">
        <f>MONTH(F686)-MONTH(T686)</f>
        <v/>
      </c>
      <c r="Q686" s="218">
        <f>$B$5=X686</f>
        <v/>
      </c>
      <c r="R686" s="218">
        <f>I686-AD686</f>
        <v/>
      </c>
      <c r="S686" s="298" t="n"/>
      <c r="T686" s="299" t="n">
        <v>45807</v>
      </c>
      <c r="U686" s="298" t="inlineStr">
        <is>
          <t>KR252603</t>
        </is>
      </c>
      <c r="V686" s="298" t="n"/>
      <c r="W686" s="298" t="n"/>
      <c r="X686" s="298" t="n"/>
      <c r="Y686" s="298" t="inlineStr">
        <is>
          <t>ហូលីដេ ឌីហ្សាញ (ខេមបូឌា) ឯ.ក</t>
        </is>
      </c>
      <c r="Z686" s="300" t="n"/>
      <c r="AA686" s="300" t="n"/>
      <c r="AB686" s="298" t="n"/>
      <c r="AC686" s="298" t="n"/>
      <c r="AD686" s="300" t="n">
        <v>171014</v>
      </c>
      <c r="AE686" s="298" t="n"/>
      <c r="AF686" s="562" t="n"/>
    </row>
    <row r="687">
      <c r="A687" s="212">
        <f>A686+1</f>
        <v/>
      </c>
      <c r="B687" s="214" t="inlineStr">
        <is>
          <t>Lift-Off-Ex</t>
        </is>
      </c>
      <c r="C687" s="214" t="inlineStr">
        <is>
          <t>PHNOM PENH AUTONOMOUS PORT "PPAP"</t>
        </is>
      </c>
      <c r="D687" s="215" t="inlineStr">
        <is>
          <t>L001-100044999</t>
        </is>
      </c>
      <c r="E687" s="290" t="inlineStr">
        <is>
          <t>INV20250541761</t>
        </is>
      </c>
      <c r="F687" s="279" t="n">
        <v>45803</v>
      </c>
      <c r="G687" s="216" t="n"/>
      <c r="H687" s="564" t="n"/>
      <c r="I687" s="564" t="n">
        <v>224112</v>
      </c>
      <c r="J687" s="213" t="inlineStr">
        <is>
          <t>អនុញ្ញាត (បានប្រកាស)</t>
        </is>
      </c>
      <c r="K687" s="565" t="n"/>
      <c r="L687" s="563">
        <f>I687</f>
        <v/>
      </c>
      <c r="M687" s="536">
        <f>I687-L687</f>
        <v/>
      </c>
      <c r="N687" s="213" t="n"/>
      <c r="O687" s="218">
        <f>U687=E687</f>
        <v/>
      </c>
      <c r="P687" s="218">
        <f>MONTH(F687)-MONTH(T687)</f>
        <v/>
      </c>
      <c r="Q687" s="218">
        <f>$B$5=X687</f>
        <v/>
      </c>
      <c r="R687" s="218">
        <f>I687-AD687</f>
        <v/>
      </c>
      <c r="S687" s="298" t="n"/>
      <c r="T687" s="301" t="n">
        <v>45803</v>
      </c>
      <c r="U687" s="298" t="inlineStr">
        <is>
          <t>INV20250541761</t>
        </is>
      </c>
      <c r="V687" s="298" t="n">
        <v>0</v>
      </c>
      <c r="W687" s="298" t="inlineStr">
        <is>
          <t>បុគ្គលជាប់អាករ</t>
        </is>
      </c>
      <c r="X687" s="298" t="inlineStr">
        <is>
          <t>L001-901640009</t>
        </is>
      </c>
      <c r="Y687" s="298" t="inlineStr">
        <is>
          <t>ហូលីដេ ឌីហ្សាញ (ខេមបូឌា) ឯ.ក</t>
        </is>
      </c>
      <c r="Z687" s="300" t="n">
        <v>2465232</v>
      </c>
      <c r="AA687" s="300" t="n">
        <v>2241120</v>
      </c>
      <c r="AB687" s="298" t="n">
        <v>0</v>
      </c>
      <c r="AC687" s="298" t="inlineStr">
        <is>
          <t>-</t>
        </is>
      </c>
      <c r="AD687" s="300" t="n">
        <v>224112</v>
      </c>
      <c r="AE687" s="298" t="n">
        <v>0</v>
      </c>
      <c r="AF687" s="562" t="n">
        <v>0</v>
      </c>
      <c r="AG687" s="198" t="n">
        <v>0</v>
      </c>
      <c r="AH687" s="198" t="n">
        <v>0</v>
      </c>
      <c r="AI687" s="198" t="n">
        <v>0</v>
      </c>
      <c r="AJ687" s="198" t="n">
        <v>0</v>
      </c>
      <c r="AK687" s="198" t="n">
        <v>0</v>
      </c>
      <c r="AL687" s="198" t="n">
        <v>0.01</v>
      </c>
      <c r="AM687" s="198" t="n">
        <v>0</v>
      </c>
      <c r="AN687" s="198" t="inlineStr">
        <is>
          <t>ចំណូលពីសេវាកម្ម (លើកដាក់ទំនិញ)</t>
        </is>
      </c>
    </row>
    <row r="688">
      <c r="A688" s="212">
        <f>A687+1</f>
        <v/>
      </c>
      <c r="B688" s="214" t="inlineStr">
        <is>
          <t>Trucking &amp; Clearance-Ex</t>
        </is>
      </c>
      <c r="C688" s="214" t="inlineStr">
        <is>
          <t>KR GLOBAL LOGISTICS CO., LTD.</t>
        </is>
      </c>
      <c r="D688" s="215" t="inlineStr">
        <is>
          <t>K005-902004162</t>
        </is>
      </c>
      <c r="E688" s="290" t="inlineStr">
        <is>
          <t>KR252598</t>
        </is>
      </c>
      <c r="F688" s="279" t="n">
        <v>45807</v>
      </c>
      <c r="G688" s="216" t="n"/>
      <c r="H688" s="564" t="n"/>
      <c r="I688" s="564" t="n">
        <v>1404954</v>
      </c>
      <c r="J688" s="213" t="inlineStr">
        <is>
          <t>អនុញ្ញាត (បានប្រកាស)</t>
        </is>
      </c>
      <c r="K688" s="565" t="n"/>
      <c r="L688" s="563">
        <f>I688</f>
        <v/>
      </c>
      <c r="M688" s="536">
        <f>I688-L688</f>
        <v/>
      </c>
      <c r="N688" s="213" t="n"/>
      <c r="O688" s="218">
        <f>U688=E688</f>
        <v/>
      </c>
      <c r="P688" s="218">
        <f>MONTH(F688)-MONTH(T688)</f>
        <v/>
      </c>
      <c r="Q688" s="218">
        <f>$B$5=X688</f>
        <v/>
      </c>
      <c r="R688" s="218">
        <f>I688-AD688</f>
        <v/>
      </c>
      <c r="S688" s="298" t="n"/>
      <c r="T688" s="299" t="n">
        <v>45807</v>
      </c>
      <c r="U688" s="298" t="inlineStr">
        <is>
          <t>KR252598</t>
        </is>
      </c>
      <c r="V688" s="298" t="n"/>
      <c r="W688" s="298" t="n"/>
      <c r="X688" s="298" t="n"/>
      <c r="Y688" s="298" t="inlineStr">
        <is>
          <t>ហូលីដេ ឌីហ្សាញ (ខេមបូឌា) ឯ.ក</t>
        </is>
      </c>
      <c r="Z688" s="300" t="n"/>
      <c r="AA688" s="300" t="n"/>
      <c r="AB688" s="298" t="n"/>
      <c r="AC688" s="298" t="n"/>
      <c r="AD688" s="300" t="n">
        <v>1404954</v>
      </c>
      <c r="AE688" s="298" t="n"/>
      <c r="AF688" s="562" t="n"/>
    </row>
    <row r="689">
      <c r="A689" s="212">
        <f>A688+1</f>
        <v/>
      </c>
      <c r="B689" s="214" t="inlineStr">
        <is>
          <t>Lift-Off-Ex</t>
        </is>
      </c>
      <c r="C689" s="214" t="inlineStr">
        <is>
          <t>PHNOM PENH AUTONOMOUS PORT "PPAP"</t>
        </is>
      </c>
      <c r="D689" s="215" t="inlineStr">
        <is>
          <t>L001-100044999</t>
        </is>
      </c>
      <c r="E689" s="290" t="inlineStr">
        <is>
          <t>INV20250539164</t>
        </is>
      </c>
      <c r="F689" s="279" t="n">
        <v>45796</v>
      </c>
      <c r="G689" s="216" t="n"/>
      <c r="H689" s="564" t="n"/>
      <c r="I689" s="564" t="n">
        <v>28014</v>
      </c>
      <c r="J689" s="213" t="inlineStr">
        <is>
          <t>អនុញ្ញាត (បានប្រកាស)</t>
        </is>
      </c>
      <c r="K689" s="565" t="n"/>
      <c r="L689" s="563">
        <f>I689</f>
        <v/>
      </c>
      <c r="M689" s="536">
        <f>I689-L689</f>
        <v/>
      </c>
      <c r="N689" s="213" t="n"/>
      <c r="O689" s="218">
        <f>U689=E689</f>
        <v/>
      </c>
      <c r="P689" s="218">
        <f>MONTH(F689)-MONTH(T689)</f>
        <v/>
      </c>
      <c r="Q689" s="218">
        <f>$B$5=X689</f>
        <v/>
      </c>
      <c r="R689" s="218">
        <f>I689-AD689</f>
        <v/>
      </c>
      <c r="S689" s="298" t="n"/>
      <c r="T689" s="299" t="n">
        <v>45796</v>
      </c>
      <c r="U689" s="298" t="inlineStr">
        <is>
          <t>INV20250539164</t>
        </is>
      </c>
      <c r="V689" s="298" t="n">
        <v>0</v>
      </c>
      <c r="W689" s="298" t="inlineStr">
        <is>
          <t>បុគ្គលជាប់អាករ</t>
        </is>
      </c>
      <c r="X689" s="298" t="inlineStr">
        <is>
          <t>L001-901640009</t>
        </is>
      </c>
      <c r="Y689" s="298" t="inlineStr">
        <is>
          <t>ហូលីដេ ឌីហ្សាញ (ខេមបូឌា) ឯ.ក</t>
        </is>
      </c>
      <c r="Z689" s="300" t="n">
        <v>308154</v>
      </c>
      <c r="AA689" s="300" t="n">
        <v>280140</v>
      </c>
      <c r="AB689" s="298" t="n">
        <v>0</v>
      </c>
      <c r="AC689" s="298" t="inlineStr">
        <is>
          <t>-</t>
        </is>
      </c>
      <c r="AD689" s="300" t="n">
        <v>28014</v>
      </c>
      <c r="AE689" s="298" t="n">
        <v>0</v>
      </c>
      <c r="AF689" s="562" t="n">
        <v>0</v>
      </c>
      <c r="AG689" s="198" t="n">
        <v>0</v>
      </c>
      <c r="AH689" s="198" t="n">
        <v>0</v>
      </c>
      <c r="AI689" s="198" t="n">
        <v>0</v>
      </c>
      <c r="AJ689" s="198" t="n">
        <v>0</v>
      </c>
      <c r="AK689" s="198" t="n">
        <v>0</v>
      </c>
      <c r="AL689" s="198" t="n">
        <v>0.01</v>
      </c>
      <c r="AM689" s="198" t="n">
        <v>0</v>
      </c>
      <c r="AN689" s="198" t="inlineStr">
        <is>
          <t>ចំណូលពីសេវាកម្ម (លើកដាក់ទំនិញ)</t>
        </is>
      </c>
    </row>
    <row r="690">
      <c r="A690" s="212">
        <f>A689+1</f>
        <v/>
      </c>
      <c r="B690" s="214" t="inlineStr">
        <is>
          <t>Trucking &amp; Clearance-Ex</t>
        </is>
      </c>
      <c r="C690" s="214" t="inlineStr">
        <is>
          <t>KR GLOBAL LOGISTICS CO., LTD.</t>
        </is>
      </c>
      <c r="D690" s="215" t="inlineStr">
        <is>
          <t>K005-902004162</t>
        </is>
      </c>
      <c r="E690" s="290" t="inlineStr">
        <is>
          <t>KR252275</t>
        </is>
      </c>
      <c r="F690" s="279" t="n">
        <v>45786</v>
      </c>
      <c r="G690" s="216" t="n"/>
      <c r="H690" s="564" t="n"/>
      <c r="I690" s="564" t="n">
        <v>170528</v>
      </c>
      <c r="J690" s="213" t="inlineStr">
        <is>
          <t>អនុញ្ញាត (បានប្រកាស)</t>
        </is>
      </c>
      <c r="K690" s="565" t="n"/>
      <c r="L690" s="563">
        <f>I690</f>
        <v/>
      </c>
      <c r="M690" s="536">
        <f>I690-L690</f>
        <v/>
      </c>
      <c r="N690" s="213" t="n"/>
      <c r="O690" s="218">
        <f>U690=E690</f>
        <v/>
      </c>
      <c r="P690" s="218">
        <f>MONTH(F690)-MONTH(T690)</f>
        <v/>
      </c>
      <c r="Q690" s="218">
        <f>$B$5=X690</f>
        <v/>
      </c>
      <c r="R690" s="218">
        <f>I690-AD690</f>
        <v/>
      </c>
      <c r="S690" s="298" t="n"/>
      <c r="T690" s="299" t="n">
        <v>45786</v>
      </c>
      <c r="U690" s="298" t="inlineStr">
        <is>
          <t>KR252275</t>
        </is>
      </c>
      <c r="V690" s="298" t="n"/>
      <c r="W690" s="298" t="n"/>
      <c r="X690" s="298" t="n"/>
      <c r="Y690" s="298" t="inlineStr">
        <is>
          <t>ហូលីដេ ឌីហ្សាញ (ខេមបូឌា) ឯ.ក</t>
        </is>
      </c>
      <c r="Z690" s="300" t="n"/>
      <c r="AA690" s="300" t="n"/>
      <c r="AB690" s="298" t="n"/>
      <c r="AC690" s="298" t="n"/>
      <c r="AD690" s="300" t="n">
        <v>170528</v>
      </c>
      <c r="AE690" s="298" t="n"/>
      <c r="AF690" s="562" t="n"/>
    </row>
    <row r="691">
      <c r="A691" s="212">
        <f>A690+1</f>
        <v/>
      </c>
      <c r="B691" s="214" t="inlineStr">
        <is>
          <t>Trucking &amp; Clearance-Ex</t>
        </is>
      </c>
      <c r="C691" s="214" t="inlineStr">
        <is>
          <t>KR GLOBAL LOGISTICS CO., LTD.</t>
        </is>
      </c>
      <c r="D691" s="215" t="inlineStr">
        <is>
          <t>K005-902004162</t>
        </is>
      </c>
      <c r="E691" s="290" t="inlineStr">
        <is>
          <t>KR252274</t>
        </is>
      </c>
      <c r="F691" s="279" t="n">
        <v>45786</v>
      </c>
      <c r="G691" s="216" t="n"/>
      <c r="H691" s="564" t="n"/>
      <c r="I691" s="564" t="n">
        <v>341056</v>
      </c>
      <c r="J691" s="213" t="inlineStr">
        <is>
          <t>អនុញ្ញាត (បានប្រកាស)</t>
        </is>
      </c>
      <c r="K691" s="565" t="n"/>
      <c r="L691" s="563">
        <f>I691</f>
        <v/>
      </c>
      <c r="M691" s="536">
        <f>I691-L691</f>
        <v/>
      </c>
      <c r="N691" s="213" t="n"/>
      <c r="O691" s="218">
        <f>U691=E691</f>
        <v/>
      </c>
      <c r="P691" s="218">
        <f>MONTH(F691)-MONTH(T691)</f>
        <v/>
      </c>
      <c r="Q691" s="218">
        <f>$B$5=X691</f>
        <v/>
      </c>
      <c r="R691" s="218">
        <f>I691-AD691</f>
        <v/>
      </c>
      <c r="S691" s="298" t="n"/>
      <c r="T691" s="299" t="n">
        <v>45786</v>
      </c>
      <c r="U691" s="298" t="inlineStr">
        <is>
          <t>KR252274</t>
        </is>
      </c>
      <c r="V691" s="298" t="n"/>
      <c r="W691" s="298" t="n"/>
      <c r="X691" s="298" t="n"/>
      <c r="Y691" s="298" t="inlineStr">
        <is>
          <t>ហូលីដេ ឌីហ្សាញ (ខេមបូឌា) ឯ.ក</t>
        </is>
      </c>
      <c r="Z691" s="300" t="n"/>
      <c r="AA691" s="300" t="n"/>
      <c r="AB691" s="298" t="n"/>
      <c r="AC691" s="298" t="n"/>
      <c r="AD691" s="300" t="n">
        <v>341056</v>
      </c>
      <c r="AE691" s="298" t="n"/>
      <c r="AF691" s="562" t="n"/>
    </row>
    <row r="692">
      <c r="A692" s="212">
        <f>A691+1</f>
        <v/>
      </c>
      <c r="B692" s="214" t="inlineStr">
        <is>
          <t>Lift-Off-Ex</t>
        </is>
      </c>
      <c r="C692" s="214" t="inlineStr">
        <is>
          <t>PHNOM PENH AUTONOMOUS PORT "PPAP"</t>
        </is>
      </c>
      <c r="D692" s="215" t="inlineStr">
        <is>
          <t>L001-100044999</t>
        </is>
      </c>
      <c r="E692" s="290" t="inlineStr">
        <is>
          <t>INV20250539162</t>
        </is>
      </c>
      <c r="F692" s="279" t="n">
        <v>45796</v>
      </c>
      <c r="G692" s="216" t="n"/>
      <c r="H692" s="564" t="n"/>
      <c r="I692" s="564" t="n">
        <v>46423</v>
      </c>
      <c r="J692" s="213" t="inlineStr">
        <is>
          <t>អនុញ្ញាត (បានប្រកាស)</t>
        </is>
      </c>
      <c r="K692" s="565">
        <f>L692</f>
        <v/>
      </c>
      <c r="L692" s="563">
        <f>I692</f>
        <v/>
      </c>
      <c r="M692" s="536">
        <f>I692-L692</f>
        <v/>
      </c>
      <c r="N692" s="213" t="n"/>
      <c r="O692" s="218">
        <f>U692=E692</f>
        <v/>
      </c>
      <c r="P692" s="218">
        <f>MONTH(F692)-MONTH(T692)</f>
        <v/>
      </c>
      <c r="Q692" s="218">
        <f>$B$5=X692</f>
        <v/>
      </c>
      <c r="R692" s="218">
        <f>I692-AD692</f>
        <v/>
      </c>
      <c r="S692" s="298" t="n"/>
      <c r="T692" s="299" t="n">
        <v>45796</v>
      </c>
      <c r="U692" s="298" t="inlineStr">
        <is>
          <t>INV20250539162</t>
        </is>
      </c>
      <c r="V692" s="298" t="n">
        <v>0</v>
      </c>
      <c r="W692" s="298" t="inlineStr">
        <is>
          <t>បុគ្គលជាប់អាករ</t>
        </is>
      </c>
      <c r="X692" s="298" t="inlineStr">
        <is>
          <t>L001-901640009</t>
        </is>
      </c>
      <c r="Y692" s="298" t="inlineStr">
        <is>
          <t>ហូលីដេ ឌីហ្សាញ (ខេមបូឌា) ឯ.ក</t>
        </is>
      </c>
      <c r="Z692" s="300" t="n">
        <v>510653</v>
      </c>
      <c r="AA692" s="300" t="n">
        <v>464230</v>
      </c>
      <c r="AB692" s="298" t="n">
        <v>0</v>
      </c>
      <c r="AC692" s="298" t="inlineStr">
        <is>
          <t>-</t>
        </is>
      </c>
      <c r="AD692" s="300" t="n">
        <v>46423</v>
      </c>
      <c r="AE692" s="298" t="n">
        <v>0</v>
      </c>
      <c r="AF692" s="562" t="n">
        <v>0</v>
      </c>
      <c r="AG692" s="198" t="n">
        <v>0</v>
      </c>
      <c r="AH692" s="198" t="n">
        <v>0</v>
      </c>
      <c r="AI692" s="198" t="n">
        <v>0</v>
      </c>
      <c r="AJ692" s="198" t="n">
        <v>0</v>
      </c>
      <c r="AK692" s="198" t="n">
        <v>0</v>
      </c>
      <c r="AL692" s="198" t="n">
        <v>0.01</v>
      </c>
      <c r="AM692" s="198" t="n">
        <v>0</v>
      </c>
      <c r="AN692" s="198" t="inlineStr">
        <is>
          <t>ចំណូលពីសេវាកម្ម (លើកដាក់ទំនិញ)</t>
        </is>
      </c>
    </row>
    <row r="693">
      <c r="A693" s="212">
        <f>A692+1</f>
        <v/>
      </c>
      <c r="B693" s="214" t="inlineStr">
        <is>
          <t>Trucking &amp; Clearance-Ex</t>
        </is>
      </c>
      <c r="C693" s="214" t="inlineStr">
        <is>
          <t>KR GLOBAL LOGISTICS CO., LTD.</t>
        </is>
      </c>
      <c r="D693" s="215" t="inlineStr">
        <is>
          <t>K005-902004162</t>
        </is>
      </c>
      <c r="E693" s="290" t="inlineStr">
        <is>
          <t>KR252273</t>
        </is>
      </c>
      <c r="F693" s="279" t="n">
        <v>45786</v>
      </c>
      <c r="G693" s="216" t="n"/>
      <c r="H693" s="564" t="n"/>
      <c r="I693" s="564" t="n">
        <v>332649</v>
      </c>
      <c r="J693" s="213" t="inlineStr">
        <is>
          <t>អនុញ្ញាត (បានប្រកាស)</t>
        </is>
      </c>
      <c r="K693" s="565" t="n"/>
      <c r="L693" s="563">
        <f>I693</f>
        <v/>
      </c>
      <c r="M693" s="536">
        <f>I693-L693</f>
        <v/>
      </c>
      <c r="N693" s="213" t="n"/>
      <c r="O693" s="218">
        <f>U693=E693</f>
        <v/>
      </c>
      <c r="P693" s="218">
        <f>MONTH(F693)-MONTH(T693)</f>
        <v/>
      </c>
      <c r="Q693" s="218">
        <f>$B$5=X693</f>
        <v/>
      </c>
      <c r="R693" s="218">
        <f>I693-AD693</f>
        <v/>
      </c>
      <c r="S693" s="298" t="n"/>
      <c r="T693" s="301" t="n">
        <v>45786</v>
      </c>
      <c r="U693" s="298" t="inlineStr">
        <is>
          <t>KR252273</t>
        </is>
      </c>
      <c r="V693" s="298" t="n"/>
      <c r="W693" s="298" t="n"/>
      <c r="X693" s="298" t="n"/>
      <c r="Y693" s="298" t="inlineStr">
        <is>
          <t>ហូលីដេ ឌីហ្សាញ (ខេមបូឌា) ឯ.ក</t>
        </is>
      </c>
      <c r="Z693" s="300" t="n"/>
      <c r="AA693" s="300" t="n"/>
      <c r="AB693" s="298" t="n"/>
      <c r="AC693" s="298" t="n"/>
      <c r="AD693" s="300" t="n">
        <v>332649</v>
      </c>
      <c r="AE693" s="298" t="n"/>
      <c r="AF693" s="562" t="n"/>
    </row>
    <row r="694">
      <c r="A694" s="212">
        <f>A693+1</f>
        <v/>
      </c>
      <c r="B694" s="214" t="inlineStr">
        <is>
          <t>Lift-Off-Ex</t>
        </is>
      </c>
      <c r="C694" s="214" t="inlineStr">
        <is>
          <t>PHNOM PENH AUTONOMOUS PORT "PPAP"</t>
        </is>
      </c>
      <c r="D694" s="215" t="inlineStr">
        <is>
          <t>L001-100044999</t>
        </is>
      </c>
      <c r="E694" s="290" t="inlineStr">
        <is>
          <t>INV20250539161</t>
        </is>
      </c>
      <c r="F694" s="279" t="n">
        <v>45796</v>
      </c>
      <c r="G694" s="216" t="n"/>
      <c r="H694" s="564" t="n"/>
      <c r="I694" s="564" t="n">
        <v>56028</v>
      </c>
      <c r="J694" s="213" t="inlineStr">
        <is>
          <t>អនុញ្ញាត (បានប្រកាស)</t>
        </is>
      </c>
      <c r="K694" s="565" t="n"/>
      <c r="L694" s="563">
        <f>I694</f>
        <v/>
      </c>
      <c r="M694" s="536">
        <f>I694-L694</f>
        <v/>
      </c>
      <c r="N694" s="213" t="n"/>
      <c r="O694" s="218">
        <f>U694=E694</f>
        <v/>
      </c>
      <c r="P694" s="218">
        <f>MONTH(F694)-MONTH(T694)</f>
        <v/>
      </c>
      <c r="Q694" s="218">
        <f>$B$5=X694</f>
        <v/>
      </c>
      <c r="R694" s="218">
        <f>I694-AD694</f>
        <v/>
      </c>
      <c r="S694" s="298" t="n"/>
      <c r="T694" s="299" t="n">
        <v>45796</v>
      </c>
      <c r="U694" s="298" t="inlineStr">
        <is>
          <t>INV20250539161</t>
        </is>
      </c>
      <c r="V694" s="298" t="n">
        <v>0</v>
      </c>
      <c r="W694" s="298" t="inlineStr">
        <is>
          <t>បុគ្គលជាប់អាករ</t>
        </is>
      </c>
      <c r="X694" s="298" t="inlineStr">
        <is>
          <t>L001-901640009</t>
        </is>
      </c>
      <c r="Y694" s="298" t="inlineStr">
        <is>
          <t>ហូលីដេ ឌីហ្សាញ (ខេមបូឌា) ឯ.ក</t>
        </is>
      </c>
      <c r="Z694" s="300" t="n">
        <v>616308</v>
      </c>
      <c r="AA694" s="300" t="n">
        <v>560280</v>
      </c>
      <c r="AB694" s="298" t="n">
        <v>0</v>
      </c>
      <c r="AC694" s="298" t="inlineStr">
        <is>
          <t>-</t>
        </is>
      </c>
      <c r="AD694" s="300" t="n">
        <v>56028</v>
      </c>
      <c r="AE694" s="298" t="n">
        <v>0</v>
      </c>
      <c r="AF694" s="562" t="n">
        <v>0</v>
      </c>
      <c r="AG694" s="198" t="n">
        <v>0</v>
      </c>
      <c r="AH694" s="198" t="n">
        <v>0</v>
      </c>
      <c r="AI694" s="198" t="n">
        <v>0</v>
      </c>
      <c r="AJ694" s="198" t="n">
        <v>0</v>
      </c>
      <c r="AK694" s="198" t="n">
        <v>0</v>
      </c>
      <c r="AL694" s="198" t="n">
        <v>0.01</v>
      </c>
      <c r="AM694" s="198" t="n">
        <v>0</v>
      </c>
      <c r="AN694" s="198" t="inlineStr">
        <is>
          <t>ចំណូលពីសេវាកម្ម (លើកដាក់ទំនិញ)</t>
        </is>
      </c>
    </row>
    <row r="695">
      <c r="A695" s="212">
        <f>A694+1</f>
        <v/>
      </c>
      <c r="B695" s="214" t="inlineStr">
        <is>
          <t>Trucking &amp; Clearance-Ex</t>
        </is>
      </c>
      <c r="C695" s="214" t="inlineStr">
        <is>
          <t>KR GLOBAL LOGISTICS CO., LTD.</t>
        </is>
      </c>
      <c r="D695" s="215" t="inlineStr">
        <is>
          <t>K005-902004162</t>
        </is>
      </c>
      <c r="E695" s="290" t="inlineStr">
        <is>
          <t>KR252272</t>
        </is>
      </c>
      <c r="F695" s="279" t="n">
        <v>45786</v>
      </c>
      <c r="G695" s="216" t="n"/>
      <c r="H695" s="564" t="n"/>
      <c r="I695" s="564" t="n">
        <v>341056</v>
      </c>
      <c r="J695" s="213" t="inlineStr">
        <is>
          <t>អនុញ្ញាត (បានប្រកាស)</t>
        </is>
      </c>
      <c r="K695" s="565" t="n"/>
      <c r="L695" s="563">
        <f>I695</f>
        <v/>
      </c>
      <c r="M695" s="536">
        <f>I695-L695</f>
        <v/>
      </c>
      <c r="N695" s="213" t="n"/>
      <c r="O695" s="218">
        <f>U695=E695</f>
        <v/>
      </c>
      <c r="P695" s="218">
        <f>MONTH(F695)-MONTH(T695)</f>
        <v/>
      </c>
      <c r="Q695" s="218">
        <f>$B$5=X695</f>
        <v/>
      </c>
      <c r="R695" s="218">
        <f>I695-AD695</f>
        <v/>
      </c>
      <c r="S695" s="298" t="n"/>
      <c r="T695" s="299" t="n">
        <v>45786</v>
      </c>
      <c r="U695" s="298" t="inlineStr">
        <is>
          <t>KR252272</t>
        </is>
      </c>
      <c r="V695" s="298" t="n"/>
      <c r="W695" s="298" t="n"/>
      <c r="X695" s="298" t="n"/>
      <c r="Y695" s="298" t="inlineStr">
        <is>
          <t>ហូលីដេ ឌីហ្សាញ (ខេមបូឌា) ឯ.ក</t>
        </is>
      </c>
      <c r="Z695" s="300" t="n"/>
      <c r="AA695" s="300" t="n"/>
      <c r="AB695" s="298" t="n"/>
      <c r="AC695" s="298" t="n"/>
      <c r="AD695" s="300" t="n">
        <v>341056</v>
      </c>
      <c r="AE695" s="298" t="n"/>
      <c r="AF695" s="562" t="n"/>
    </row>
    <row r="696">
      <c r="A696" s="212">
        <f>A695+1</f>
        <v/>
      </c>
      <c r="B696" s="214" t="inlineStr">
        <is>
          <t>Lift-Off-Ex</t>
        </is>
      </c>
      <c r="C696" s="214" t="inlineStr">
        <is>
          <t>PHNOM PENH AUTONOMOUS PORT "PPAP"</t>
        </is>
      </c>
      <c r="D696" s="215" t="inlineStr">
        <is>
          <t>L001-100044999</t>
        </is>
      </c>
      <c r="E696" s="290" t="inlineStr">
        <is>
          <t>INV20250539160</t>
        </is>
      </c>
      <c r="F696" s="279" t="n">
        <v>45796</v>
      </c>
      <c r="G696" s="216" t="n"/>
      <c r="H696" s="564" t="n"/>
      <c r="I696" s="564" t="n">
        <v>28014</v>
      </c>
      <c r="J696" s="213" t="inlineStr">
        <is>
          <t>អនុញ្ញាត (បានប្រកាស)</t>
        </is>
      </c>
      <c r="K696" s="565" t="n"/>
      <c r="L696" s="563">
        <f>I696</f>
        <v/>
      </c>
      <c r="M696" s="536">
        <f>I696-L696</f>
        <v/>
      </c>
      <c r="N696" s="213" t="n"/>
      <c r="O696" s="218">
        <f>U696=E696</f>
        <v/>
      </c>
      <c r="P696" s="218">
        <f>MONTH(F696)-MONTH(T696)</f>
        <v/>
      </c>
      <c r="Q696" s="218">
        <f>$B$5=X696</f>
        <v/>
      </c>
      <c r="R696" s="218">
        <f>I696-AD696</f>
        <v/>
      </c>
      <c r="S696" s="298" t="n"/>
      <c r="T696" s="299" t="n">
        <v>45796</v>
      </c>
      <c r="U696" s="298" t="inlineStr">
        <is>
          <t>INV20250539160</t>
        </is>
      </c>
      <c r="V696" s="298" t="n">
        <v>0</v>
      </c>
      <c r="W696" s="298" t="inlineStr">
        <is>
          <t>បុគ្គលជាប់អាករ</t>
        </is>
      </c>
      <c r="X696" s="298" t="inlineStr">
        <is>
          <t>L001-901640009</t>
        </is>
      </c>
      <c r="Y696" s="298" t="inlineStr">
        <is>
          <t>ហូលីដេ ឌីហ្សាញ (ខេមបូឌា) ឯ.ក</t>
        </is>
      </c>
      <c r="Z696" s="300" t="n">
        <v>308154</v>
      </c>
      <c r="AA696" s="300" t="n">
        <v>280140</v>
      </c>
      <c r="AB696" s="298" t="n">
        <v>0</v>
      </c>
      <c r="AC696" s="298" t="inlineStr">
        <is>
          <t>-</t>
        </is>
      </c>
      <c r="AD696" s="300" t="n">
        <v>28014</v>
      </c>
      <c r="AE696" s="298" t="n">
        <v>0</v>
      </c>
      <c r="AF696" s="562" t="n">
        <v>0</v>
      </c>
      <c r="AG696" s="198" t="n">
        <v>0</v>
      </c>
      <c r="AH696" s="198" t="n">
        <v>0</v>
      </c>
      <c r="AI696" s="198" t="n">
        <v>0</v>
      </c>
      <c r="AJ696" s="198" t="n">
        <v>0</v>
      </c>
      <c r="AK696" s="198" t="n">
        <v>0</v>
      </c>
      <c r="AL696" s="198" t="n">
        <v>0.01</v>
      </c>
      <c r="AM696" s="198" t="n">
        <v>0</v>
      </c>
      <c r="AN696" s="198" t="inlineStr">
        <is>
          <t>ចំណូលពីសេវាកម្ម (លើកដាក់ទំនិញ)</t>
        </is>
      </c>
    </row>
    <row r="697">
      <c r="A697" s="212">
        <f>A696+1</f>
        <v/>
      </c>
      <c r="B697" s="214" t="inlineStr">
        <is>
          <t>Trucking &amp; Clearance-Ex</t>
        </is>
      </c>
      <c r="C697" s="214" t="inlineStr">
        <is>
          <t>WANAKA LOGISTICS CO., LTD.</t>
        </is>
      </c>
      <c r="D697" s="215" t="inlineStr">
        <is>
          <t>K005-901907953</t>
        </is>
      </c>
      <c r="E697" s="290" t="inlineStr">
        <is>
          <t>WL25-001764</t>
        </is>
      </c>
      <c r="F697" s="279" t="n">
        <v>45800</v>
      </c>
      <c r="G697" s="216" t="n"/>
      <c r="H697" s="564" t="n"/>
      <c r="I697" s="564" t="n">
        <v>306230</v>
      </c>
      <c r="J697" s="213" t="inlineStr">
        <is>
          <t>អនុញ្ញាត (បានប្រកាស)</t>
        </is>
      </c>
      <c r="K697" s="565" t="n"/>
      <c r="L697" s="563">
        <f>I697</f>
        <v/>
      </c>
      <c r="M697" s="536">
        <f>I697-L697</f>
        <v/>
      </c>
      <c r="N697" s="213" t="n"/>
      <c r="O697" s="218">
        <f>U697=E697</f>
        <v/>
      </c>
      <c r="P697" s="218">
        <f>MONTH(F697)-MONTH(T697)</f>
        <v/>
      </c>
      <c r="Q697" s="218">
        <f>$B$5=X697</f>
        <v/>
      </c>
      <c r="R697" s="218">
        <f>I697-AD697</f>
        <v/>
      </c>
      <c r="S697" s="298" t="n"/>
      <c r="T697" s="299" t="n">
        <v>45800</v>
      </c>
      <c r="U697" s="298" t="inlineStr">
        <is>
          <t>WL25-001764</t>
        </is>
      </c>
      <c r="V697" s="298" t="n"/>
      <c r="W697" s="298" t="n"/>
      <c r="X697" s="298" t="n"/>
      <c r="Y697" s="298" t="inlineStr">
        <is>
          <t>ហូលីដេ ឌីហ្សាញ (ខេមបូឌា) ឯ.ក</t>
        </is>
      </c>
      <c r="Z697" s="300" t="n"/>
      <c r="AA697" s="300" t="n"/>
      <c r="AB697" s="298" t="n"/>
      <c r="AC697" s="298" t="n"/>
      <c r="AD697" s="300" t="n">
        <v>306230</v>
      </c>
      <c r="AE697" s="298" t="n"/>
      <c r="AF697" s="562" t="n"/>
    </row>
    <row r="698">
      <c r="A698" s="212">
        <f>A697+1</f>
        <v/>
      </c>
      <c r="B698" s="214" t="inlineStr">
        <is>
          <t>Lift-Off-Ex</t>
        </is>
      </c>
      <c r="C698" s="214" t="inlineStr">
        <is>
          <t>PHNOM PENH AUTONOMOUS PORT "PPAP"</t>
        </is>
      </c>
      <c r="D698" s="215" t="inlineStr">
        <is>
          <t>L001-100044999</t>
        </is>
      </c>
      <c r="E698" s="290" t="inlineStr">
        <is>
          <t>INV20250539886</t>
        </is>
      </c>
      <c r="F698" s="279" t="n">
        <v>45798</v>
      </c>
      <c r="G698" s="216" t="n"/>
      <c r="H698" s="564" t="n"/>
      <c r="I698" s="564" t="n">
        <v>46435</v>
      </c>
      <c r="J698" s="213" t="inlineStr">
        <is>
          <t>អនុញ្ញាត (បានប្រកាស)</t>
        </is>
      </c>
      <c r="K698" s="565" t="n"/>
      <c r="L698" s="563">
        <f>I698</f>
        <v/>
      </c>
      <c r="M698" s="536">
        <f>I698-L698</f>
        <v/>
      </c>
      <c r="N698" s="213" t="n"/>
      <c r="O698" s="218">
        <f>U698=E698</f>
        <v/>
      </c>
      <c r="P698" s="218">
        <f>MONTH(F698)-MONTH(T698)</f>
        <v/>
      </c>
      <c r="Q698" s="218">
        <f>$B$5=X698</f>
        <v/>
      </c>
      <c r="R698" s="218">
        <f>I698-AD698</f>
        <v/>
      </c>
      <c r="S698" s="298" t="n"/>
      <c r="T698" s="299" t="n">
        <v>45798</v>
      </c>
      <c r="U698" s="298" t="inlineStr">
        <is>
          <t>INV20250539886</t>
        </is>
      </c>
      <c r="V698" s="298" t="n">
        <v>0</v>
      </c>
      <c r="W698" s="298" t="inlineStr">
        <is>
          <t>បុគ្គលជាប់អាករ</t>
        </is>
      </c>
      <c r="X698" s="298" t="inlineStr">
        <is>
          <t>L001-901640009</t>
        </is>
      </c>
      <c r="Y698" s="298" t="inlineStr">
        <is>
          <t>ហូលីដេ ឌីហ្សាញ (ខេមបូឌា) ឯ.ក</t>
        </is>
      </c>
      <c r="Z698" s="300" t="n">
        <v>510785</v>
      </c>
      <c r="AA698" s="300" t="n">
        <v>464350</v>
      </c>
      <c r="AB698" s="298" t="n">
        <v>0</v>
      </c>
      <c r="AC698" s="298" t="inlineStr">
        <is>
          <t>-</t>
        </is>
      </c>
      <c r="AD698" s="300" t="n">
        <v>46435</v>
      </c>
      <c r="AE698" s="298" t="n">
        <v>0</v>
      </c>
      <c r="AF698" s="562" t="n">
        <v>0</v>
      </c>
      <c r="AG698" s="198" t="n">
        <v>0</v>
      </c>
      <c r="AH698" s="198" t="n">
        <v>0</v>
      </c>
      <c r="AI698" s="198" t="n">
        <v>0</v>
      </c>
      <c r="AJ698" s="198" t="n">
        <v>0</v>
      </c>
      <c r="AK698" s="198" t="n">
        <v>0</v>
      </c>
      <c r="AL698" s="198" t="n">
        <v>0.01</v>
      </c>
      <c r="AM698" s="198" t="n">
        <v>0</v>
      </c>
      <c r="AN698" s="198" t="inlineStr">
        <is>
          <t>ចំណូលពីសេវាកម្ម (លើកដាក់ទំនិញ)</t>
        </is>
      </c>
    </row>
    <row r="699">
      <c r="A699" s="212">
        <f>A698+1</f>
        <v/>
      </c>
      <c r="B699" s="214" t="inlineStr">
        <is>
          <t>Trucking &amp; Clearance-Ex</t>
        </is>
      </c>
      <c r="C699" s="214" t="inlineStr">
        <is>
          <t>WANAKA LOGISTICS CO., LTD.</t>
        </is>
      </c>
      <c r="D699" s="215" t="inlineStr">
        <is>
          <t>K005-901907953</t>
        </is>
      </c>
      <c r="E699" s="290" t="inlineStr">
        <is>
          <t>WL25-001765</t>
        </is>
      </c>
      <c r="F699" s="279" t="n">
        <v>45800</v>
      </c>
      <c r="G699" s="216" t="n"/>
      <c r="H699" s="564" t="n"/>
      <c r="I699" s="564" t="n">
        <v>157318</v>
      </c>
      <c r="J699" s="213" t="inlineStr">
        <is>
          <t>អនុញ្ញាត (បានប្រកាស)</t>
        </is>
      </c>
      <c r="K699" s="565" t="n"/>
      <c r="L699" s="563">
        <f>I699</f>
        <v/>
      </c>
      <c r="M699" s="536">
        <f>I699-L699</f>
        <v/>
      </c>
      <c r="N699" s="213" t="n"/>
      <c r="O699" s="218">
        <f>U699=E699</f>
        <v/>
      </c>
      <c r="P699" s="218">
        <f>MONTH(F699)-MONTH(T699)</f>
        <v/>
      </c>
      <c r="Q699" s="218">
        <f>$B$5=X699</f>
        <v/>
      </c>
      <c r="R699" s="218">
        <f>I699-AD699</f>
        <v/>
      </c>
      <c r="S699" s="298" t="n"/>
      <c r="T699" s="299" t="n">
        <v>45800</v>
      </c>
      <c r="U699" s="298" t="inlineStr">
        <is>
          <t>WL25-001765</t>
        </is>
      </c>
      <c r="V699" s="298" t="n"/>
      <c r="W699" s="298" t="n"/>
      <c r="X699" s="298" t="n"/>
      <c r="Y699" s="298" t="inlineStr">
        <is>
          <t>ហូលីដេ ឌីហ្សាញ (ខេមបូឌា) ឯ.ក</t>
        </is>
      </c>
      <c r="Z699" s="300" t="n"/>
      <c r="AA699" s="300" t="n"/>
      <c r="AB699" s="298" t="n"/>
      <c r="AC699" s="298" t="n"/>
      <c r="AD699" s="300" t="n">
        <v>157318</v>
      </c>
      <c r="AE699" s="298" t="n"/>
      <c r="AF699" s="562" t="n"/>
    </row>
    <row r="700">
      <c r="A700" s="212">
        <f>A699+1</f>
        <v/>
      </c>
      <c r="B700" s="214" t="inlineStr">
        <is>
          <t>Lift-Off-Ex</t>
        </is>
      </c>
      <c r="C700" s="214" t="inlineStr">
        <is>
          <t>PHNOM PENH AUTONOMOUS PORT "PPAP"</t>
        </is>
      </c>
      <c r="D700" s="215" t="inlineStr">
        <is>
          <t>L001-100044999</t>
        </is>
      </c>
      <c r="E700" s="290" t="inlineStr">
        <is>
          <t>INV20250542470</t>
        </is>
      </c>
      <c r="F700" s="279" t="n">
        <v>45805</v>
      </c>
      <c r="G700" s="216" t="n"/>
      <c r="H700" s="564" t="n"/>
      <c r="I700" s="564" t="n">
        <v>56042</v>
      </c>
      <c r="J700" s="213" t="inlineStr">
        <is>
          <t>អនុញ្ញាត (បានប្រកាស)</t>
        </is>
      </c>
      <c r="K700" s="565" t="n"/>
      <c r="L700" s="563">
        <f>I700</f>
        <v/>
      </c>
      <c r="M700" s="536">
        <f>I700-L700</f>
        <v/>
      </c>
      <c r="N700" s="213" t="n"/>
      <c r="O700" s="218">
        <f>U700=E700</f>
        <v/>
      </c>
      <c r="P700" s="218">
        <f>MONTH(F700)-MONTH(T700)</f>
        <v/>
      </c>
      <c r="Q700" s="218">
        <f>$B$5=X700</f>
        <v/>
      </c>
      <c r="R700" s="218">
        <f>I700-AD700</f>
        <v/>
      </c>
      <c r="S700" s="298" t="n"/>
      <c r="T700" s="299" t="n">
        <v>45805</v>
      </c>
      <c r="U700" s="298" t="inlineStr">
        <is>
          <t>INV20250542470</t>
        </is>
      </c>
      <c r="V700" s="298" t="n">
        <v>0</v>
      </c>
      <c r="W700" s="298" t="inlineStr">
        <is>
          <t>បុគ្គលជាប់អាករ</t>
        </is>
      </c>
      <c r="X700" s="298" t="inlineStr">
        <is>
          <t>L001-901640009</t>
        </is>
      </c>
      <c r="Y700" s="298" t="inlineStr">
        <is>
          <t>ហូលីដេ ឌីហ្សាញ (ខេមបូឌា) ឯ.ក</t>
        </is>
      </c>
      <c r="Z700" s="300" t="n">
        <v>616462</v>
      </c>
      <c r="AA700" s="300" t="n">
        <v>560420</v>
      </c>
      <c r="AB700" s="298" t="n">
        <v>0</v>
      </c>
      <c r="AC700" s="298" t="inlineStr">
        <is>
          <t>-</t>
        </is>
      </c>
      <c r="AD700" s="300" t="n">
        <v>56042</v>
      </c>
      <c r="AE700" s="298" t="n">
        <v>0</v>
      </c>
      <c r="AF700" s="562" t="n">
        <v>0</v>
      </c>
      <c r="AG700" s="198" t="n">
        <v>0</v>
      </c>
      <c r="AH700" s="198" t="n">
        <v>0</v>
      </c>
      <c r="AI700" s="198" t="n">
        <v>0</v>
      </c>
      <c r="AJ700" s="198" t="n">
        <v>0</v>
      </c>
      <c r="AK700" s="198" t="n">
        <v>0</v>
      </c>
      <c r="AL700" s="198" t="n">
        <v>0.01</v>
      </c>
      <c r="AM700" s="198" t="n">
        <v>0</v>
      </c>
      <c r="AN700" s="198" t="inlineStr">
        <is>
          <t>ចំណូលពីសេវាកម្ម (លើកដាក់ទំនិញ)</t>
        </is>
      </c>
    </row>
    <row r="701">
      <c r="A701" s="212">
        <f>A700+1</f>
        <v/>
      </c>
      <c r="B701" s="214" t="inlineStr">
        <is>
          <t>Trucking &amp; Clearance-Ex</t>
        </is>
      </c>
      <c r="C701" s="214" t="inlineStr">
        <is>
          <t>WANAKA LOGISTICS CO., LTD.</t>
        </is>
      </c>
      <c r="D701" s="215" t="inlineStr">
        <is>
          <t>K005-901907953</t>
        </is>
      </c>
      <c r="E701" s="290" t="inlineStr">
        <is>
          <t>WL25-001888</t>
        </is>
      </c>
      <c r="F701" s="279" t="n">
        <v>45805</v>
      </c>
      <c r="G701" s="216" t="n"/>
      <c r="H701" s="564" t="n"/>
      <c r="I701" s="564" t="n">
        <v>314636</v>
      </c>
      <c r="J701" s="213" t="inlineStr">
        <is>
          <t>អនុញ្ញាត (បានប្រកាស)</t>
        </is>
      </c>
      <c r="K701" s="565" t="n"/>
      <c r="L701" s="563">
        <f>I701</f>
        <v/>
      </c>
      <c r="M701" s="536">
        <f>I701-L701</f>
        <v/>
      </c>
      <c r="N701" s="213" t="n"/>
      <c r="O701" s="218">
        <f>U701=E701</f>
        <v/>
      </c>
      <c r="P701" s="218">
        <f>MONTH(F701)-MONTH(T701)</f>
        <v/>
      </c>
      <c r="Q701" s="218">
        <f>$B$5=X701</f>
        <v/>
      </c>
      <c r="R701" s="218">
        <f>I701-AD701</f>
        <v/>
      </c>
      <c r="S701" s="298" t="n"/>
      <c r="T701" s="299" t="n">
        <v>45805</v>
      </c>
      <c r="U701" s="298" t="inlineStr">
        <is>
          <t>WL25-001888</t>
        </is>
      </c>
      <c r="V701" s="298" t="n"/>
      <c r="W701" s="298" t="n"/>
      <c r="X701" s="298" t="n"/>
      <c r="Y701" s="298" t="inlineStr">
        <is>
          <t>ហូលីដេ ឌីហ្សាញ (ខេមបូឌា) ឯ.ក</t>
        </is>
      </c>
      <c r="Z701" s="300" t="n"/>
      <c r="AA701" s="300" t="n"/>
      <c r="AB701" s="298" t="n"/>
      <c r="AC701" s="298" t="n"/>
      <c r="AD701" s="300" t="n">
        <v>314636</v>
      </c>
      <c r="AE701" s="298" t="n"/>
      <c r="AF701" s="562" t="n"/>
    </row>
    <row r="702">
      <c r="A702" s="212">
        <f>A701+1</f>
        <v/>
      </c>
      <c r="B702" s="214" t="inlineStr">
        <is>
          <t>Lift-Off-Ex</t>
        </is>
      </c>
      <c r="C702" s="214" t="inlineStr">
        <is>
          <t>PHNOM PENH AUTONOMOUS PORT "PPAP"</t>
        </is>
      </c>
      <c r="D702" s="215" t="inlineStr">
        <is>
          <t>L001-100044999</t>
        </is>
      </c>
      <c r="E702" s="290" t="inlineStr">
        <is>
          <t>INV20250542484</t>
        </is>
      </c>
      <c r="F702" s="279" t="n">
        <v>45805</v>
      </c>
      <c r="G702" s="216" t="n"/>
      <c r="H702" s="564" t="n"/>
      <c r="I702" s="564" t="n">
        <v>28021</v>
      </c>
      <c r="J702" s="213" t="inlineStr">
        <is>
          <t>អនុញ្ញាត (បានប្រកាស)</t>
        </is>
      </c>
      <c r="K702" s="565" t="n"/>
      <c r="L702" s="563">
        <f>I702</f>
        <v/>
      </c>
      <c r="M702" s="536">
        <f>I702-L702</f>
        <v/>
      </c>
      <c r="N702" s="213" t="n"/>
      <c r="O702" s="218">
        <f>U702=E702</f>
        <v/>
      </c>
      <c r="P702" s="218">
        <f>MONTH(F702)-MONTH(T702)</f>
        <v/>
      </c>
      <c r="Q702" s="218">
        <f>$B$5=X702</f>
        <v/>
      </c>
      <c r="R702" s="218">
        <f>I702-AD702</f>
        <v/>
      </c>
      <c r="S702" s="298" t="n"/>
      <c r="T702" s="299" t="n">
        <v>45805</v>
      </c>
      <c r="U702" s="298" t="inlineStr">
        <is>
          <t>INV20250542484</t>
        </is>
      </c>
      <c r="V702" s="298" t="n">
        <v>0</v>
      </c>
      <c r="W702" s="298" t="inlineStr">
        <is>
          <t>បុគ្គលជាប់អាករ</t>
        </is>
      </c>
      <c r="X702" s="298" t="inlineStr">
        <is>
          <t>L001-901640009</t>
        </is>
      </c>
      <c r="Y702" s="298" t="inlineStr">
        <is>
          <t>ហូលីដេ ឌីហ្សាញ (ខេមបូឌា) ឯ.ក</t>
        </is>
      </c>
      <c r="Z702" s="300" t="n">
        <v>308231</v>
      </c>
      <c r="AA702" s="300" t="n">
        <v>280210</v>
      </c>
      <c r="AB702" s="298" t="n">
        <v>0</v>
      </c>
      <c r="AC702" s="298" t="inlineStr">
        <is>
          <t>-</t>
        </is>
      </c>
      <c r="AD702" s="300" t="n">
        <v>28021</v>
      </c>
      <c r="AE702" s="298" t="n">
        <v>0</v>
      </c>
      <c r="AF702" s="562" t="n">
        <v>0</v>
      </c>
      <c r="AG702" s="198" t="n">
        <v>0</v>
      </c>
      <c r="AH702" s="198" t="n">
        <v>0</v>
      </c>
      <c r="AI702" s="198" t="n">
        <v>0</v>
      </c>
      <c r="AJ702" s="198" t="n">
        <v>0</v>
      </c>
      <c r="AK702" s="198" t="n">
        <v>0</v>
      </c>
      <c r="AL702" s="198" t="n">
        <v>0.01</v>
      </c>
      <c r="AM702" s="198" t="n">
        <v>0</v>
      </c>
      <c r="AN702" s="198" t="inlineStr">
        <is>
          <t>ចំណូលពីសេវាកម្ម (លើកដាក់ទំនិញ)</t>
        </is>
      </c>
    </row>
    <row r="703">
      <c r="A703" s="212">
        <f>A702+1</f>
        <v/>
      </c>
      <c r="B703" s="214" t="inlineStr">
        <is>
          <t>Trucking &amp; Clearance-Ex</t>
        </is>
      </c>
      <c r="C703" s="214" t="inlineStr">
        <is>
          <t>WANAKA LOGISTICS CO., LTD.</t>
        </is>
      </c>
      <c r="D703" s="215" t="inlineStr">
        <is>
          <t>K005-901907953</t>
        </is>
      </c>
      <c r="E703" s="290" t="inlineStr">
        <is>
          <t>WL25-001887</t>
        </is>
      </c>
      <c r="F703" s="279" t="n">
        <v>45805</v>
      </c>
      <c r="G703" s="216" t="n"/>
      <c r="H703" s="564" t="n"/>
      <c r="I703" s="564" t="n">
        <v>157318</v>
      </c>
      <c r="J703" s="213" t="inlineStr">
        <is>
          <t>អនុញ្ញាត (បានប្រកាស)</t>
        </is>
      </c>
      <c r="K703" s="565" t="n"/>
      <c r="L703" s="563">
        <f>I703</f>
        <v/>
      </c>
      <c r="M703" s="536">
        <f>I703-L703</f>
        <v/>
      </c>
      <c r="N703" s="213" t="n"/>
      <c r="O703" s="218">
        <f>U703=E703</f>
        <v/>
      </c>
      <c r="P703" s="218">
        <f>MONTH(F703)-MONTH(T703)</f>
        <v/>
      </c>
      <c r="Q703" s="218">
        <f>$B$5=X703</f>
        <v/>
      </c>
      <c r="R703" s="218">
        <f>I703-AD703</f>
        <v/>
      </c>
      <c r="S703" s="298" t="n"/>
      <c r="T703" s="299" t="n">
        <v>45805</v>
      </c>
      <c r="U703" s="298" t="inlineStr">
        <is>
          <t>WL25-001887</t>
        </is>
      </c>
      <c r="V703" s="298" t="n"/>
      <c r="W703" s="298" t="n"/>
      <c r="X703" s="298" t="n"/>
      <c r="Y703" s="298" t="inlineStr">
        <is>
          <t>ហូលីដេ ឌីហ្សាញ (ខេមបូឌា) ឯ.ក</t>
        </is>
      </c>
      <c r="Z703" s="300" t="n"/>
      <c r="AA703" s="300" t="n"/>
      <c r="AB703" s="298" t="n"/>
      <c r="AC703" s="298" t="n"/>
      <c r="AD703" s="300" t="n">
        <v>157318</v>
      </c>
      <c r="AE703" s="298" t="n"/>
      <c r="AF703" s="562" t="n"/>
    </row>
    <row r="704">
      <c r="A704" s="212">
        <f>A703+1</f>
        <v/>
      </c>
      <c r="B704" s="214" t="inlineStr">
        <is>
          <t>Lift-Off-Ex</t>
        </is>
      </c>
      <c r="C704" s="214" t="inlineStr">
        <is>
          <t>PHNOM PENH AUTONOMOUS PORT "PPAP"</t>
        </is>
      </c>
      <c r="D704" s="215" t="inlineStr">
        <is>
          <t>L001-100044999</t>
        </is>
      </c>
      <c r="E704" s="290" t="inlineStr">
        <is>
          <t>INV20250542483</t>
        </is>
      </c>
      <c r="F704" s="279" t="n">
        <v>45805</v>
      </c>
      <c r="G704" s="216" t="n"/>
      <c r="H704" s="564" t="n"/>
      <c r="I704" s="564" t="n">
        <v>28021</v>
      </c>
      <c r="J704" s="213" t="inlineStr">
        <is>
          <t>អនុញ្ញាត (បានប្រកាស)</t>
        </is>
      </c>
      <c r="K704" s="565" t="n"/>
      <c r="L704" s="563">
        <f>I704</f>
        <v/>
      </c>
      <c r="M704" s="536">
        <f>I704-L704</f>
        <v/>
      </c>
      <c r="N704" s="213" t="n"/>
      <c r="O704" s="218">
        <f>U704=E704</f>
        <v/>
      </c>
      <c r="P704" s="218">
        <f>MONTH(F704)-MONTH(T704)</f>
        <v/>
      </c>
      <c r="Q704" s="218">
        <f>$B$5=X704</f>
        <v/>
      </c>
      <c r="R704" s="218">
        <f>I704-AD704</f>
        <v/>
      </c>
      <c r="S704" s="298" t="n"/>
      <c r="T704" s="299" t="n">
        <v>45805</v>
      </c>
      <c r="U704" s="298" t="inlineStr">
        <is>
          <t>INV20250542483</t>
        </is>
      </c>
      <c r="V704" s="298" t="n">
        <v>0</v>
      </c>
      <c r="W704" s="298" t="inlineStr">
        <is>
          <t>បុគ្គលជាប់អាករ</t>
        </is>
      </c>
      <c r="X704" s="298" t="inlineStr">
        <is>
          <t>L001-901640009</t>
        </is>
      </c>
      <c r="Y704" s="298" t="inlineStr">
        <is>
          <t>ហូលីដេ ឌីហ្សាញ (ខេមបូឌា) ឯ.ក</t>
        </is>
      </c>
      <c r="Z704" s="300" t="n">
        <v>308231</v>
      </c>
      <c r="AA704" s="300" t="n">
        <v>280210</v>
      </c>
      <c r="AB704" s="298" t="n">
        <v>0</v>
      </c>
      <c r="AC704" s="298" t="inlineStr">
        <is>
          <t>-</t>
        </is>
      </c>
      <c r="AD704" s="300" t="n">
        <v>28021</v>
      </c>
      <c r="AE704" s="298" t="n">
        <v>0</v>
      </c>
      <c r="AF704" s="562" t="n">
        <v>0</v>
      </c>
      <c r="AG704" s="198" t="n">
        <v>0</v>
      </c>
      <c r="AH704" s="198" t="n">
        <v>0</v>
      </c>
      <c r="AI704" s="198" t="n">
        <v>0</v>
      </c>
      <c r="AJ704" s="198" t="n">
        <v>0</v>
      </c>
      <c r="AK704" s="198" t="n">
        <v>0</v>
      </c>
      <c r="AL704" s="198" t="n">
        <v>0.01</v>
      </c>
      <c r="AM704" s="198" t="n">
        <v>0</v>
      </c>
      <c r="AN704" s="198" t="inlineStr">
        <is>
          <t>ចំណូលពីសេវាកម្ម (លើកដាក់ទំនិញ)</t>
        </is>
      </c>
    </row>
    <row r="705">
      <c r="A705" s="212">
        <f>A704+1</f>
        <v/>
      </c>
      <c r="B705" s="214" t="inlineStr">
        <is>
          <t>Trucking &amp; Clearance-Ex</t>
        </is>
      </c>
      <c r="C705" s="214" t="inlineStr">
        <is>
          <t>WANAKA LOGISTICS CO., LTD.</t>
        </is>
      </c>
      <c r="D705" s="215" t="inlineStr">
        <is>
          <t>K005-901907953</t>
        </is>
      </c>
      <c r="E705" s="290" t="inlineStr">
        <is>
          <t>WL25-001886</t>
        </is>
      </c>
      <c r="F705" s="279" t="n">
        <v>45805</v>
      </c>
      <c r="G705" s="216" t="n"/>
      <c r="H705" s="564" t="n"/>
      <c r="I705" s="564" t="n">
        <v>157318</v>
      </c>
      <c r="J705" s="213" t="inlineStr">
        <is>
          <t>អនុញ្ញាត (បានប្រកាស)</t>
        </is>
      </c>
      <c r="K705" s="565" t="n"/>
      <c r="L705" s="563">
        <f>I705</f>
        <v/>
      </c>
      <c r="M705" s="536">
        <f>I705-L705</f>
        <v/>
      </c>
      <c r="N705" s="213" t="n"/>
      <c r="O705" s="218">
        <f>U705=E705</f>
        <v/>
      </c>
      <c r="P705" s="218">
        <f>MONTH(F705)-MONTH(T705)</f>
        <v/>
      </c>
      <c r="Q705" s="218">
        <f>$B$5=X705</f>
        <v/>
      </c>
      <c r="R705" s="218">
        <f>I705-AD705</f>
        <v/>
      </c>
      <c r="S705" s="298" t="n"/>
      <c r="T705" s="301" t="n">
        <v>45805</v>
      </c>
      <c r="U705" s="298" t="inlineStr">
        <is>
          <t>WL25-001886</t>
        </is>
      </c>
      <c r="V705" s="298" t="n"/>
      <c r="W705" s="298" t="n"/>
      <c r="X705" s="298" t="n"/>
      <c r="Y705" s="298" t="inlineStr">
        <is>
          <t>ហូលីដេ ឌីហ្សាញ (ខេមបូឌា) ឯ.ក</t>
        </is>
      </c>
      <c r="Z705" s="300" t="n"/>
      <c r="AA705" s="300" t="n"/>
      <c r="AB705" s="298" t="n"/>
      <c r="AC705" s="298" t="n"/>
      <c r="AD705" s="300" t="n">
        <v>157318</v>
      </c>
      <c r="AE705" s="298" t="n"/>
      <c r="AF705" s="562" t="n"/>
    </row>
    <row r="706">
      <c r="A706" s="212">
        <f>A705+1</f>
        <v/>
      </c>
      <c r="B706" s="214" t="inlineStr">
        <is>
          <t>Lift-Off-Ex</t>
        </is>
      </c>
      <c r="C706" s="214" t="inlineStr">
        <is>
          <t>PHNOM PENH AUTONOMOUS PORT "PPAP"</t>
        </is>
      </c>
      <c r="D706" s="215" t="inlineStr">
        <is>
          <t>L001-100044999</t>
        </is>
      </c>
      <c r="E706" s="290" t="inlineStr">
        <is>
          <t>INV20250539872</t>
        </is>
      </c>
      <c r="F706" s="279" t="n">
        <v>45798</v>
      </c>
      <c r="G706" s="216" t="n"/>
      <c r="H706" s="564" t="n"/>
      <c r="I706" s="564" t="n">
        <v>168126</v>
      </c>
      <c r="J706" s="213" t="inlineStr">
        <is>
          <t>អនុញ្ញាត (បានប្រកាស)</t>
        </is>
      </c>
      <c r="K706" s="565" t="n"/>
      <c r="L706" s="563">
        <f>I706</f>
        <v/>
      </c>
      <c r="M706" s="536">
        <f>I706-L706</f>
        <v/>
      </c>
      <c r="N706" s="213" t="n"/>
      <c r="O706" s="218">
        <f>U706=E706</f>
        <v/>
      </c>
      <c r="P706" s="218">
        <f>MONTH(F706)-MONTH(T706)</f>
        <v/>
      </c>
      <c r="Q706" s="218">
        <f>$B$5=X706</f>
        <v/>
      </c>
      <c r="R706" s="218">
        <f>I706-AD706</f>
        <v/>
      </c>
      <c r="S706" s="298" t="n"/>
      <c r="T706" s="299" t="n">
        <v>45798</v>
      </c>
      <c r="U706" s="298" t="inlineStr">
        <is>
          <t>INV20250539872</t>
        </is>
      </c>
      <c r="V706" s="298" t="n">
        <v>0</v>
      </c>
      <c r="W706" s="298" t="inlineStr">
        <is>
          <t>បុគ្គលជាប់អាករ</t>
        </is>
      </c>
      <c r="X706" s="298" t="inlineStr">
        <is>
          <t>L001-901640009</t>
        </is>
      </c>
      <c r="Y706" s="298" t="inlineStr">
        <is>
          <t>ហូលីដេ ឌីហ្សាញ (ខេមបូឌា) ឯ.ក</t>
        </is>
      </c>
      <c r="Z706" s="300" t="n">
        <v>1849386</v>
      </c>
      <c r="AA706" s="300" t="n">
        <v>1681260</v>
      </c>
      <c r="AB706" s="298" t="n">
        <v>0</v>
      </c>
      <c r="AC706" s="298" t="inlineStr">
        <is>
          <t>-</t>
        </is>
      </c>
      <c r="AD706" s="300" t="n">
        <v>168126</v>
      </c>
      <c r="AE706" s="298" t="n">
        <v>0</v>
      </c>
      <c r="AF706" s="562" t="n">
        <v>0</v>
      </c>
      <c r="AG706" s="198" t="n">
        <v>0</v>
      </c>
      <c r="AH706" s="198" t="n">
        <v>0</v>
      </c>
      <c r="AI706" s="198" t="n">
        <v>0</v>
      </c>
      <c r="AJ706" s="198" t="n">
        <v>0</v>
      </c>
      <c r="AK706" s="198" t="n">
        <v>0</v>
      </c>
      <c r="AL706" s="198" t="n">
        <v>0.01</v>
      </c>
      <c r="AM706" s="198" t="n">
        <v>0</v>
      </c>
      <c r="AN706" s="198" t="inlineStr">
        <is>
          <t>ចំណូលពីសេវាកម្ម (លើកដាក់ទំនិញ)</t>
        </is>
      </c>
    </row>
    <row r="707">
      <c r="A707" s="212">
        <f>A706+1</f>
        <v/>
      </c>
      <c r="B707" s="214" t="inlineStr">
        <is>
          <t>Trucking &amp; Clearance-Ex</t>
        </is>
      </c>
      <c r="C707" s="214" t="inlineStr">
        <is>
          <t>WANAKA LOGISTICS CO., LTD.</t>
        </is>
      </c>
      <c r="D707" s="215" t="inlineStr">
        <is>
          <t>K005-901907953</t>
        </is>
      </c>
      <c r="E707" s="290" t="inlineStr">
        <is>
          <t>WL25-001782</t>
        </is>
      </c>
      <c r="F707" s="279" t="n">
        <v>45800</v>
      </c>
      <c r="G707" s="216" t="n"/>
      <c r="H707" s="564" t="n"/>
      <c r="I707" s="564" t="n">
        <v>963922</v>
      </c>
      <c r="J707" s="213" t="inlineStr">
        <is>
          <t>អនុញ្ញាត (បានប្រកាស)</t>
        </is>
      </c>
      <c r="K707" s="565" t="n"/>
      <c r="L707" s="563">
        <f>I707</f>
        <v/>
      </c>
      <c r="M707" s="536">
        <f>I707-L707</f>
        <v/>
      </c>
      <c r="N707" s="213" t="n"/>
      <c r="O707" s="218">
        <f>U707=E707</f>
        <v/>
      </c>
      <c r="P707" s="218">
        <f>MONTH(F707)-MONTH(T707)</f>
        <v/>
      </c>
      <c r="Q707" s="218">
        <f>$B$5=X707</f>
        <v/>
      </c>
      <c r="R707" s="218">
        <f>I707-AD707</f>
        <v/>
      </c>
      <c r="S707" s="298" t="n"/>
      <c r="T707" s="299" t="n">
        <v>45800</v>
      </c>
      <c r="U707" s="298" t="inlineStr">
        <is>
          <t>WL25-001782</t>
        </is>
      </c>
      <c r="V707" s="298" t="n"/>
      <c r="W707" s="298" t="n"/>
      <c r="X707" s="298" t="n"/>
      <c r="Y707" s="298" t="inlineStr">
        <is>
          <t>ហូលីដេ ឌីហ្សាញ (ខេមបូឌា) ឯ.ក</t>
        </is>
      </c>
      <c r="Z707" s="300" t="n"/>
      <c r="AA707" s="300" t="n"/>
      <c r="AB707" s="298" t="n"/>
      <c r="AC707" s="298" t="n"/>
      <c r="AD707" s="300" t="n">
        <v>963922</v>
      </c>
      <c r="AE707" s="298" t="n"/>
      <c r="AF707" s="562" t="n"/>
    </row>
    <row r="708">
      <c r="A708" s="212">
        <f>A707+1</f>
        <v/>
      </c>
      <c r="B708" s="214" t="inlineStr">
        <is>
          <t>Lift-Off-Ex</t>
        </is>
      </c>
      <c r="C708" s="214" t="inlineStr">
        <is>
          <t>PHNOM PENH AUTONOMOUS PORT "PPAP"</t>
        </is>
      </c>
      <c r="D708" s="215" t="inlineStr">
        <is>
          <t>L001-100044999</t>
        </is>
      </c>
      <c r="E708" s="290" t="inlineStr">
        <is>
          <t>INV20250539876</t>
        </is>
      </c>
      <c r="F708" s="279" t="n">
        <v>45798</v>
      </c>
      <c r="G708" s="216" t="n"/>
      <c r="H708" s="564" t="n"/>
      <c r="I708" s="564" t="n">
        <v>112084</v>
      </c>
      <c r="J708" s="213" t="inlineStr">
        <is>
          <t>អនុញ្ញាត (បានប្រកាស)</t>
        </is>
      </c>
      <c r="K708" s="565" t="n"/>
      <c r="L708" s="563">
        <f>I708</f>
        <v/>
      </c>
      <c r="M708" s="536">
        <f>I708-L708</f>
        <v/>
      </c>
      <c r="N708" s="213" t="n"/>
      <c r="O708" s="218">
        <f>U708=E708</f>
        <v/>
      </c>
      <c r="P708" s="218">
        <f>MONTH(F708)-MONTH(T708)</f>
        <v/>
      </c>
      <c r="Q708" s="218">
        <f>$B$5=X708</f>
        <v/>
      </c>
      <c r="R708" s="218">
        <f>I708-AD708</f>
        <v/>
      </c>
      <c r="S708" s="298" t="n"/>
      <c r="T708" s="301" t="n">
        <v>45798</v>
      </c>
      <c r="U708" s="298" t="inlineStr">
        <is>
          <t>INV20250539876</t>
        </is>
      </c>
      <c r="V708" s="298" t="n">
        <v>0</v>
      </c>
      <c r="W708" s="298" t="inlineStr">
        <is>
          <t>បុគ្គលជាប់អាករ</t>
        </is>
      </c>
      <c r="X708" s="298" t="inlineStr">
        <is>
          <t>L001-901640009</t>
        </is>
      </c>
      <c r="Y708" s="298" t="inlineStr">
        <is>
          <t>ហូលីដេ ឌីហ្សាញ (ខេមបូឌា) ឯ.ក</t>
        </is>
      </c>
      <c r="Z708" s="300" t="n">
        <v>1232924</v>
      </c>
      <c r="AA708" s="300" t="n">
        <v>1120840</v>
      </c>
      <c r="AB708" s="298" t="n">
        <v>0</v>
      </c>
      <c r="AC708" s="298" t="inlineStr">
        <is>
          <t>-</t>
        </is>
      </c>
      <c r="AD708" s="300" t="n">
        <v>112084</v>
      </c>
      <c r="AE708" s="298" t="n">
        <v>0</v>
      </c>
      <c r="AF708" s="562" t="n">
        <v>0</v>
      </c>
      <c r="AG708" s="198" t="n">
        <v>0</v>
      </c>
      <c r="AH708" s="198" t="n">
        <v>0</v>
      </c>
      <c r="AI708" s="198" t="n">
        <v>0</v>
      </c>
      <c r="AJ708" s="198" t="n">
        <v>0</v>
      </c>
      <c r="AK708" s="198" t="n">
        <v>0</v>
      </c>
      <c r="AL708" s="198" t="n">
        <v>0.01</v>
      </c>
      <c r="AM708" s="198" t="n">
        <v>0</v>
      </c>
      <c r="AN708" s="198" t="inlineStr">
        <is>
          <t>ចំណូលពីសេវាកម្ម (លើកដាក់ទំនិញ)</t>
        </is>
      </c>
    </row>
    <row r="709">
      <c r="A709" s="212">
        <f>A708+1</f>
        <v/>
      </c>
      <c r="B709" s="214" t="inlineStr">
        <is>
          <t>Trucking &amp; Clearance-Ex</t>
        </is>
      </c>
      <c r="C709" s="214" t="inlineStr">
        <is>
          <t>WANAKA LOGISTICS CO., LTD.</t>
        </is>
      </c>
      <c r="D709" s="215" t="inlineStr">
        <is>
          <t>K005-901907953</t>
        </is>
      </c>
      <c r="E709" s="290" t="inlineStr">
        <is>
          <t>WL25-001781</t>
        </is>
      </c>
      <c r="F709" s="279" t="n">
        <v>45800</v>
      </c>
      <c r="G709" s="216" t="n"/>
      <c r="H709" s="564" t="n"/>
      <c r="I709" s="564" t="n">
        <v>649287</v>
      </c>
      <c r="J709" s="213" t="inlineStr">
        <is>
          <t>អនុញ្ញាត (បានប្រកាស)</t>
        </is>
      </c>
      <c r="K709" s="565" t="n"/>
      <c r="L709" s="563">
        <f>I709</f>
        <v/>
      </c>
      <c r="M709" s="536">
        <f>I709-L709</f>
        <v/>
      </c>
      <c r="N709" s="213" t="n"/>
      <c r="O709" s="218">
        <f>U709=E709</f>
        <v/>
      </c>
      <c r="P709" s="218">
        <f>MONTH(F709)-MONTH(T709)</f>
        <v/>
      </c>
      <c r="Q709" s="218">
        <f>$B$5=X709</f>
        <v/>
      </c>
      <c r="R709" s="218">
        <f>I709-AD709</f>
        <v/>
      </c>
      <c r="S709" s="298" t="n"/>
      <c r="T709" s="299" t="n">
        <v>45800</v>
      </c>
      <c r="U709" s="298" t="inlineStr">
        <is>
          <t>WL25-001781</t>
        </is>
      </c>
      <c r="V709" s="298" t="n"/>
      <c r="W709" s="298" t="n"/>
      <c r="X709" s="298" t="n"/>
      <c r="Y709" s="298" t="inlineStr">
        <is>
          <t>ហូលីដេ ឌីហ្សាញ (ខេមបូឌា) ឯ.ក</t>
        </is>
      </c>
      <c r="Z709" s="300" t="n"/>
      <c r="AA709" s="300" t="n"/>
      <c r="AB709" s="298" t="n"/>
      <c r="AC709" s="298" t="n"/>
      <c r="AD709" s="300" t="n">
        <v>649287</v>
      </c>
      <c r="AE709" s="298" t="n"/>
      <c r="AF709" s="562" t="n"/>
    </row>
    <row r="710">
      <c r="A710" s="212">
        <f>A709+1</f>
        <v/>
      </c>
      <c r="B710" s="214" t="inlineStr">
        <is>
          <t>Lift-Off-Ex</t>
        </is>
      </c>
      <c r="C710" s="214" t="inlineStr">
        <is>
          <t>PHNOM PENH AUTONOMOUS PORT "PPAP"</t>
        </is>
      </c>
      <c r="D710" s="215" t="inlineStr">
        <is>
          <t>L001-100044999</t>
        </is>
      </c>
      <c r="E710" s="290" t="inlineStr">
        <is>
          <t>INV20250539893</t>
        </is>
      </c>
      <c r="F710" s="279" t="n">
        <v>45798</v>
      </c>
      <c r="G710" s="216" t="n"/>
      <c r="H710" s="564" t="n"/>
      <c r="I710" s="564" t="n">
        <v>28021</v>
      </c>
      <c r="J710" s="213" t="inlineStr">
        <is>
          <t>អនុញ្ញាត (បានប្រកាស)</t>
        </is>
      </c>
      <c r="K710" s="565" t="n"/>
      <c r="L710" s="563">
        <f>I710</f>
        <v/>
      </c>
      <c r="M710" s="536">
        <f>I710-L710</f>
        <v/>
      </c>
      <c r="N710" s="213" t="n"/>
      <c r="O710" s="218">
        <f>U710=E710</f>
        <v/>
      </c>
      <c r="P710" s="218">
        <f>MONTH(F710)-MONTH(T710)</f>
        <v/>
      </c>
      <c r="Q710" s="218">
        <f>$B$5=X710</f>
        <v/>
      </c>
      <c r="R710" s="218">
        <f>I710-AD710</f>
        <v/>
      </c>
      <c r="S710" s="298" t="n"/>
      <c r="T710" s="299" t="n">
        <v>45798</v>
      </c>
      <c r="U710" s="298" t="inlineStr">
        <is>
          <t>INV20250539893</t>
        </is>
      </c>
      <c r="V710" s="298" t="n">
        <v>0</v>
      </c>
      <c r="W710" s="298" t="inlineStr">
        <is>
          <t>បុគ្គលជាប់អាករ</t>
        </is>
      </c>
      <c r="X710" s="298" t="inlineStr">
        <is>
          <t>L001-901640009</t>
        </is>
      </c>
      <c r="Y710" s="298" t="inlineStr">
        <is>
          <t>ហូលីដេ ឌីហ្សាញ (ខេមបូឌា) ឯ.ក</t>
        </is>
      </c>
      <c r="Z710" s="300" t="n">
        <v>308231</v>
      </c>
      <c r="AA710" s="300" t="n">
        <v>280210</v>
      </c>
      <c r="AB710" s="298" t="n">
        <v>0</v>
      </c>
      <c r="AC710" s="298" t="inlineStr">
        <is>
          <t>-</t>
        </is>
      </c>
      <c r="AD710" s="300" t="n">
        <v>28021</v>
      </c>
      <c r="AE710" s="298" t="n">
        <v>0</v>
      </c>
      <c r="AF710" s="562" t="n">
        <v>0</v>
      </c>
      <c r="AG710" s="198" t="n">
        <v>0</v>
      </c>
      <c r="AH710" s="198" t="n">
        <v>0</v>
      </c>
      <c r="AI710" s="198" t="n">
        <v>0</v>
      </c>
      <c r="AJ710" s="198" t="n">
        <v>0</v>
      </c>
      <c r="AK710" s="198" t="n">
        <v>0</v>
      </c>
      <c r="AL710" s="198" t="n">
        <v>0.01</v>
      </c>
      <c r="AM710" s="198" t="n">
        <v>0</v>
      </c>
      <c r="AN710" s="198" t="inlineStr">
        <is>
          <t>ចំណូលពីសេវាកម្ម (លើកដាក់ទំនិញ)</t>
        </is>
      </c>
    </row>
    <row r="711">
      <c r="A711" s="212">
        <f>A710+1</f>
        <v/>
      </c>
      <c r="B711" s="214" t="inlineStr">
        <is>
          <t>Trucking &amp; Clearance-Ex</t>
        </is>
      </c>
      <c r="C711" s="214" t="inlineStr">
        <is>
          <t>WANAKA LOGISTICS CO., LTD.</t>
        </is>
      </c>
      <c r="D711" s="215" t="inlineStr">
        <is>
          <t>K005-901907953</t>
        </is>
      </c>
      <c r="E711" s="290" t="inlineStr">
        <is>
          <t>WL25-001780</t>
        </is>
      </c>
      <c r="F711" s="279" t="n">
        <v>45800</v>
      </c>
      <c r="G711" s="216" t="n"/>
      <c r="H711" s="564" t="n"/>
      <c r="I711" s="564" t="n">
        <v>157318</v>
      </c>
      <c r="J711" s="213" t="inlineStr">
        <is>
          <t>អនុញ្ញាត (បានប្រកាស)</t>
        </is>
      </c>
      <c r="K711" s="565" t="n"/>
      <c r="L711" s="563">
        <f>I711</f>
        <v/>
      </c>
      <c r="M711" s="536">
        <f>I711-L711</f>
        <v/>
      </c>
      <c r="N711" s="213" t="n"/>
      <c r="O711" s="218">
        <f>U711=E711</f>
        <v/>
      </c>
      <c r="P711" s="218">
        <f>MONTH(F711)-MONTH(T711)</f>
        <v/>
      </c>
      <c r="Q711" s="218">
        <f>$B$5=X711</f>
        <v/>
      </c>
      <c r="R711" s="218">
        <f>I711-AD711</f>
        <v/>
      </c>
      <c r="S711" s="298" t="n"/>
      <c r="T711" s="299" t="n">
        <v>45800</v>
      </c>
      <c r="U711" s="298" t="inlineStr">
        <is>
          <t>WL25-001780</t>
        </is>
      </c>
      <c r="V711" s="298" t="n"/>
      <c r="W711" s="298" t="n"/>
      <c r="X711" s="298" t="n"/>
      <c r="Y711" s="298" t="inlineStr">
        <is>
          <t>ហូលីដេ ឌីហ្សាញ (ខេមបូឌា) ឯ.ក</t>
        </is>
      </c>
      <c r="Z711" s="300" t="n"/>
      <c r="AA711" s="300" t="n"/>
      <c r="AB711" s="298" t="n"/>
      <c r="AC711" s="298" t="n"/>
      <c r="AD711" s="300" t="n">
        <v>157318</v>
      </c>
      <c r="AE711" s="298" t="n"/>
      <c r="AF711" s="562" t="n"/>
    </row>
    <row r="712">
      <c r="A712" s="212">
        <f>A711+1</f>
        <v/>
      </c>
      <c r="B712" s="214" t="inlineStr">
        <is>
          <t>Lift-Off-Ex</t>
        </is>
      </c>
      <c r="C712" s="214" t="inlineStr">
        <is>
          <t>PHNOM PENH AUTONOMOUS PORT "PPAP"</t>
        </is>
      </c>
      <c r="D712" s="215" t="inlineStr">
        <is>
          <t>L001-100044999</t>
        </is>
      </c>
      <c r="E712" s="290" t="inlineStr">
        <is>
          <t>INV20250539891</t>
        </is>
      </c>
      <c r="F712" s="279" t="n">
        <v>45798</v>
      </c>
      <c r="G712" s="216" t="n"/>
      <c r="H712" s="564" t="n"/>
      <c r="I712" s="564" t="n">
        <v>28021</v>
      </c>
      <c r="J712" s="213" t="inlineStr">
        <is>
          <t>អនុញ្ញាត (បានប្រកាស)</t>
        </is>
      </c>
      <c r="K712" s="565" t="n"/>
      <c r="L712" s="563">
        <f>I712</f>
        <v/>
      </c>
      <c r="M712" s="536">
        <f>I712-L712</f>
        <v/>
      </c>
      <c r="N712" s="213" t="n"/>
      <c r="O712" s="218">
        <f>U712=E712</f>
        <v/>
      </c>
      <c r="P712" s="218">
        <f>MONTH(F712)-MONTH(T712)</f>
        <v/>
      </c>
      <c r="Q712" s="218">
        <f>$B$5=X712</f>
        <v/>
      </c>
      <c r="R712" s="218">
        <f>I712-AD712</f>
        <v/>
      </c>
      <c r="S712" s="298" t="n"/>
      <c r="T712" s="301" t="n">
        <v>45798</v>
      </c>
      <c r="U712" s="298" t="inlineStr">
        <is>
          <t>INV20250539891</t>
        </is>
      </c>
      <c r="V712" s="298" t="n">
        <v>0</v>
      </c>
      <c r="W712" s="298" t="inlineStr">
        <is>
          <t>បុគ្គលជាប់អាករ</t>
        </is>
      </c>
      <c r="X712" s="298" t="inlineStr">
        <is>
          <t>L001-901640009</t>
        </is>
      </c>
      <c r="Y712" s="298" t="inlineStr">
        <is>
          <t>ហូលីដេ ឌីហ្សាញ (ខេមបូឌា) ឯ.ក</t>
        </is>
      </c>
      <c r="Z712" s="300" t="n">
        <v>308231</v>
      </c>
      <c r="AA712" s="300" t="n">
        <v>280210</v>
      </c>
      <c r="AB712" s="298" t="n">
        <v>0</v>
      </c>
      <c r="AC712" s="298" t="inlineStr">
        <is>
          <t>-</t>
        </is>
      </c>
      <c r="AD712" s="300" t="n">
        <v>28021</v>
      </c>
      <c r="AE712" s="298" t="n">
        <v>0</v>
      </c>
      <c r="AF712" s="562" t="n">
        <v>0</v>
      </c>
      <c r="AG712" s="198" t="n">
        <v>0</v>
      </c>
      <c r="AH712" s="198" t="n">
        <v>0</v>
      </c>
      <c r="AI712" s="198" t="n">
        <v>0</v>
      </c>
      <c r="AJ712" s="198" t="n">
        <v>0</v>
      </c>
      <c r="AK712" s="198" t="n">
        <v>0</v>
      </c>
      <c r="AL712" s="198" t="n">
        <v>0.01</v>
      </c>
      <c r="AM712" s="198" t="n">
        <v>0</v>
      </c>
      <c r="AN712" s="198" t="inlineStr">
        <is>
          <t>ចំណូលពីសេវាកម្ម (លើកដាក់ទំនិញ)</t>
        </is>
      </c>
    </row>
    <row r="713">
      <c r="A713" s="212">
        <f>A712+1</f>
        <v/>
      </c>
      <c r="B713" s="214" t="inlineStr">
        <is>
          <t>Trucking &amp; Clearance-Ex</t>
        </is>
      </c>
      <c r="C713" s="214" t="inlineStr">
        <is>
          <t>WANAKA LOGISTICS CO., LTD.</t>
        </is>
      </c>
      <c r="D713" s="215" t="inlineStr">
        <is>
          <t>K005-901907953</t>
        </is>
      </c>
      <c r="E713" s="290" t="inlineStr">
        <is>
          <t>WL25-001889</t>
        </is>
      </c>
      <c r="F713" s="279" t="n">
        <v>45805</v>
      </c>
      <c r="G713" s="216" t="n"/>
      <c r="H713" s="564" t="n"/>
      <c r="I713" s="564" t="n">
        <v>157318</v>
      </c>
      <c r="J713" s="213" t="inlineStr">
        <is>
          <t>អនុញ្ញាត (បានប្រកាស)</t>
        </is>
      </c>
      <c r="K713" s="565" t="n"/>
      <c r="L713" s="563">
        <f>I713</f>
        <v/>
      </c>
      <c r="M713" s="536">
        <f>I713-L713</f>
        <v/>
      </c>
      <c r="N713" s="213" t="n"/>
      <c r="O713" s="218">
        <f>U713=E713</f>
        <v/>
      </c>
      <c r="P713" s="218">
        <f>MONTH(F713)-MONTH(T713)</f>
        <v/>
      </c>
      <c r="Q713" s="218">
        <f>$B$5=X713</f>
        <v/>
      </c>
      <c r="R713" s="218">
        <f>I713-AD713</f>
        <v/>
      </c>
      <c r="S713" s="298" t="n"/>
      <c r="T713" s="301" t="n">
        <v>45805</v>
      </c>
      <c r="U713" s="298" t="inlineStr">
        <is>
          <t>WL25-001889</t>
        </is>
      </c>
      <c r="V713" s="298" t="n"/>
      <c r="W713" s="298" t="n"/>
      <c r="X713" s="298" t="n"/>
      <c r="Y713" s="298" t="inlineStr">
        <is>
          <t>ហូលីដេ ឌីហ្សាញ (ខេមបូឌា) ឯ.ក</t>
        </is>
      </c>
      <c r="Z713" s="300" t="n"/>
      <c r="AA713" s="300" t="n"/>
      <c r="AB713" s="298" t="n"/>
      <c r="AC713" s="298" t="n"/>
      <c r="AD713" s="300" t="n">
        <v>157318</v>
      </c>
      <c r="AE713" s="298" t="n"/>
      <c r="AF713" s="562" t="n"/>
    </row>
    <row r="714">
      <c r="A714" s="212">
        <f>A713+1</f>
        <v/>
      </c>
      <c r="B714" s="214" t="inlineStr">
        <is>
          <t>Lift-Off-Ex</t>
        </is>
      </c>
      <c r="C714" s="214" t="inlineStr">
        <is>
          <t>PHNOM PENH AUTONOMOUS PORT "PPAP"</t>
        </is>
      </c>
      <c r="D714" s="215" t="inlineStr">
        <is>
          <t>L001-100044999</t>
        </is>
      </c>
      <c r="E714" s="290" t="inlineStr">
        <is>
          <t>INV20250542480</t>
        </is>
      </c>
      <c r="F714" s="279" t="n">
        <v>45805</v>
      </c>
      <c r="G714" s="216" t="n"/>
      <c r="H714" s="564" t="n"/>
      <c r="I714" s="564" t="n">
        <v>28021</v>
      </c>
      <c r="J714" s="213" t="inlineStr">
        <is>
          <t>អនុញ្ញាត (បានប្រកាស)</t>
        </is>
      </c>
      <c r="K714" s="565" t="n"/>
      <c r="L714" s="563">
        <f>I714</f>
        <v/>
      </c>
      <c r="M714" s="536">
        <f>I714-L714</f>
        <v/>
      </c>
      <c r="N714" s="213" t="n"/>
      <c r="O714" s="218">
        <f>U714=E714</f>
        <v/>
      </c>
      <c r="P714" s="218">
        <f>MONTH(F714)-MONTH(T714)</f>
        <v/>
      </c>
      <c r="Q714" s="218">
        <f>$B$5=X714</f>
        <v/>
      </c>
      <c r="R714" s="218">
        <f>I714-AD714</f>
        <v/>
      </c>
      <c r="S714" s="298" t="n"/>
      <c r="T714" s="299" t="n">
        <v>45805</v>
      </c>
      <c r="U714" s="298" t="inlineStr">
        <is>
          <t>INV20250542480</t>
        </is>
      </c>
      <c r="V714" s="298" t="n">
        <v>0</v>
      </c>
      <c r="W714" s="298" t="inlineStr">
        <is>
          <t>បុគ្គលជាប់អាករ</t>
        </is>
      </c>
      <c r="X714" s="298" t="inlineStr">
        <is>
          <t>L001-901640009</t>
        </is>
      </c>
      <c r="Y714" s="298" t="inlineStr">
        <is>
          <t>ហូលីដេ ឌីហ្សាញ (ខេមបូឌា) ឯ.ក</t>
        </is>
      </c>
      <c r="Z714" s="300" t="n">
        <v>308231</v>
      </c>
      <c r="AA714" s="300" t="n">
        <v>280210</v>
      </c>
      <c r="AB714" s="298" t="n">
        <v>0</v>
      </c>
      <c r="AC714" s="298" t="inlineStr">
        <is>
          <t>-</t>
        </is>
      </c>
      <c r="AD714" s="300" t="n">
        <v>28021</v>
      </c>
      <c r="AE714" s="298" t="n">
        <v>0</v>
      </c>
      <c r="AF714" s="562" t="n">
        <v>0</v>
      </c>
      <c r="AG714" s="198" t="n">
        <v>0</v>
      </c>
      <c r="AH714" s="198" t="n">
        <v>0</v>
      </c>
      <c r="AI714" s="198" t="n">
        <v>0</v>
      </c>
      <c r="AJ714" s="198" t="n">
        <v>0</v>
      </c>
      <c r="AK714" s="198" t="n">
        <v>0</v>
      </c>
      <c r="AL714" s="198" t="n">
        <v>0.01</v>
      </c>
      <c r="AM714" s="198" t="n">
        <v>0</v>
      </c>
      <c r="AN714" s="198" t="inlineStr">
        <is>
          <t>ចំណូលពីសេវាកម្ម (លើកដាក់ទំនិញ)</t>
        </is>
      </c>
    </row>
    <row r="715">
      <c r="A715" s="212">
        <f>A714+1</f>
        <v/>
      </c>
      <c r="B715" s="214" t="inlineStr">
        <is>
          <t>Trucking &amp; Clearance-Ex</t>
        </is>
      </c>
      <c r="C715" s="214" t="inlineStr">
        <is>
          <t>WANAKA LOGISTICS CO., LTD.</t>
        </is>
      </c>
      <c r="D715" s="215" t="inlineStr">
        <is>
          <t>K005-901907953</t>
        </is>
      </c>
      <c r="E715" s="290" t="inlineStr">
        <is>
          <t>WL25-001896</t>
        </is>
      </c>
      <c r="F715" s="279" t="n">
        <v>45805</v>
      </c>
      <c r="G715" s="216" t="n"/>
      <c r="H715" s="564" t="n"/>
      <c r="I715" s="564" t="n">
        <v>156117</v>
      </c>
      <c r="J715" s="213" t="inlineStr">
        <is>
          <t>អនុញ្ញាត (បានប្រកាស)</t>
        </is>
      </c>
      <c r="K715" s="565" t="n"/>
      <c r="L715" s="563">
        <f>I715</f>
        <v/>
      </c>
      <c r="M715" s="536">
        <f>I715-L715</f>
        <v/>
      </c>
      <c r="N715" s="213" t="n"/>
      <c r="O715" s="218">
        <f>U715=E715</f>
        <v/>
      </c>
      <c r="P715" s="218">
        <f>MONTH(F715)-MONTH(T715)</f>
        <v/>
      </c>
      <c r="Q715" s="218">
        <f>$B$5=X715</f>
        <v/>
      </c>
      <c r="R715" s="218">
        <f>I715-AD715</f>
        <v/>
      </c>
      <c r="S715" s="298" t="n"/>
      <c r="T715" s="299" t="n">
        <v>45805</v>
      </c>
      <c r="U715" s="298" t="inlineStr">
        <is>
          <t>WL25-001896</t>
        </is>
      </c>
      <c r="V715" s="298" t="n"/>
      <c r="W715" s="298" t="n"/>
      <c r="X715" s="298" t="n"/>
      <c r="Y715" s="298" t="inlineStr">
        <is>
          <t>ហូលីដេ ឌីហ្សាញ (ខេមបូឌា) ឯ.ក</t>
        </is>
      </c>
      <c r="Z715" s="300" t="n"/>
      <c r="AA715" s="300" t="n"/>
      <c r="AB715" s="298" t="n"/>
      <c r="AC715" s="298" t="n"/>
      <c r="AD715" s="300" t="n">
        <v>156117</v>
      </c>
      <c r="AE715" s="298" t="n"/>
      <c r="AF715" s="562" t="n"/>
    </row>
    <row r="716">
      <c r="A716" s="212">
        <f>A715+1</f>
        <v/>
      </c>
      <c r="B716" s="214" t="inlineStr">
        <is>
          <t>Lift-Off-Ex</t>
        </is>
      </c>
      <c r="C716" s="214" t="inlineStr">
        <is>
          <t>PHNOM PENH AUTONOMOUS PORT "PPAP"</t>
        </is>
      </c>
      <c r="D716" s="215" t="inlineStr">
        <is>
          <t>L001-100044999</t>
        </is>
      </c>
      <c r="E716" s="290" t="inlineStr">
        <is>
          <t>INV20250542476</t>
        </is>
      </c>
      <c r="F716" s="279" t="n">
        <v>45805</v>
      </c>
      <c r="G716" s="216" t="n"/>
      <c r="H716" s="564" t="n"/>
      <c r="I716" s="564" t="n">
        <v>56042</v>
      </c>
      <c r="J716" s="213" t="inlineStr">
        <is>
          <t>អនុញ្ញាត (បានប្រកាស)</t>
        </is>
      </c>
      <c r="K716" s="565" t="n"/>
      <c r="L716" s="563">
        <f>I716</f>
        <v/>
      </c>
      <c r="M716" s="536">
        <f>I716-L716</f>
        <v/>
      </c>
      <c r="N716" s="213" t="n"/>
      <c r="O716" s="218">
        <f>U716=E716</f>
        <v/>
      </c>
      <c r="P716" s="218">
        <f>MONTH(F716)-MONTH(T716)</f>
        <v/>
      </c>
      <c r="Q716" s="218">
        <f>$B$5=X716</f>
        <v/>
      </c>
      <c r="R716" s="218">
        <f>I716-AD716</f>
        <v/>
      </c>
      <c r="S716" s="298" t="n"/>
      <c r="T716" s="299" t="n">
        <v>45805</v>
      </c>
      <c r="U716" s="298" t="inlineStr">
        <is>
          <t>INV20250542476</t>
        </is>
      </c>
      <c r="V716" s="298" t="n">
        <v>0</v>
      </c>
      <c r="W716" s="298" t="inlineStr">
        <is>
          <t>បុគ្គលជាប់អាករ</t>
        </is>
      </c>
      <c r="X716" s="298" t="inlineStr">
        <is>
          <t>L001-901640009</t>
        </is>
      </c>
      <c r="Y716" s="298" t="inlineStr">
        <is>
          <t>ហូលីដេ ឌីហ្សាញ (ខេមបូឌា) ឯ.ក</t>
        </is>
      </c>
      <c r="Z716" s="300" t="n">
        <v>616462</v>
      </c>
      <c r="AA716" s="300" t="n">
        <v>560420</v>
      </c>
      <c r="AB716" s="298" t="n">
        <v>0</v>
      </c>
      <c r="AC716" s="298" t="inlineStr">
        <is>
          <t>-</t>
        </is>
      </c>
      <c r="AD716" s="300" t="n">
        <v>56042</v>
      </c>
      <c r="AE716" s="298" t="n">
        <v>0</v>
      </c>
      <c r="AF716" s="562" t="n">
        <v>0</v>
      </c>
      <c r="AG716" s="198" t="n">
        <v>0</v>
      </c>
      <c r="AH716" s="198" t="n">
        <v>0</v>
      </c>
      <c r="AI716" s="198" t="n">
        <v>0</v>
      </c>
      <c r="AJ716" s="198" t="n">
        <v>0</v>
      </c>
      <c r="AK716" s="198" t="n">
        <v>0</v>
      </c>
      <c r="AL716" s="198" t="n">
        <v>0.01</v>
      </c>
      <c r="AM716" s="198" t="n">
        <v>0</v>
      </c>
      <c r="AN716" s="198" t="inlineStr">
        <is>
          <t>ចំណូលពីសេវាកម្ម (លើកដាក់ទំនិញ)</t>
        </is>
      </c>
    </row>
    <row r="717">
      <c r="A717" s="212">
        <f>A716+1</f>
        <v/>
      </c>
      <c r="B717" s="214" t="inlineStr">
        <is>
          <t>Trucking &amp; Clearance-Ex</t>
        </is>
      </c>
      <c r="C717" s="214" t="inlineStr">
        <is>
          <t>WANAKA LOGISTICS CO., LTD.</t>
        </is>
      </c>
      <c r="D717" s="215" t="inlineStr">
        <is>
          <t>K005-901907953</t>
        </is>
      </c>
      <c r="E717" s="290" t="inlineStr">
        <is>
          <t>WL25-001895</t>
        </is>
      </c>
      <c r="F717" s="279" t="n">
        <v>45805</v>
      </c>
      <c r="G717" s="216" t="n"/>
      <c r="H717" s="564" t="n"/>
      <c r="I717" s="564" t="n">
        <v>314636</v>
      </c>
      <c r="J717" s="213" t="inlineStr">
        <is>
          <t>អនុញ្ញាត (បានប្រកាស)</t>
        </is>
      </c>
      <c r="K717" s="565" t="n"/>
      <c r="L717" s="563">
        <f>I717</f>
        <v/>
      </c>
      <c r="M717" s="536">
        <f>I717-L717</f>
        <v/>
      </c>
      <c r="N717" s="213" t="n"/>
      <c r="O717" s="218">
        <f>U717=E717</f>
        <v/>
      </c>
      <c r="P717" s="218">
        <f>MONTH(F717)-MONTH(T717)</f>
        <v/>
      </c>
      <c r="Q717" s="218">
        <f>$B$5=X717</f>
        <v/>
      </c>
      <c r="R717" s="218">
        <f>I717-AD717</f>
        <v/>
      </c>
      <c r="S717" s="298" t="n"/>
      <c r="T717" s="299" t="n">
        <v>45805</v>
      </c>
      <c r="U717" s="298" t="inlineStr">
        <is>
          <t>WL25-001895</t>
        </is>
      </c>
      <c r="V717" s="298" t="n"/>
      <c r="W717" s="298" t="n"/>
      <c r="X717" s="298" t="n"/>
      <c r="Y717" s="298" t="inlineStr">
        <is>
          <t>ហូលីដេ ឌីហ្សាញ (ខេមបូឌា) ឯ.ក</t>
        </is>
      </c>
      <c r="Z717" s="300" t="n"/>
      <c r="AA717" s="300" t="n"/>
      <c r="AB717" s="298" t="n"/>
      <c r="AC717" s="298" t="n"/>
      <c r="AD717" s="300" t="n">
        <v>314636</v>
      </c>
      <c r="AE717" s="298" t="n"/>
      <c r="AF717" s="562" t="n"/>
    </row>
    <row r="718">
      <c r="A718" s="212">
        <f>A717+1</f>
        <v/>
      </c>
      <c r="B718" s="214" t="inlineStr">
        <is>
          <t>Lift-Off-Ex</t>
        </is>
      </c>
      <c r="C718" s="214" t="inlineStr">
        <is>
          <t>PHNOM PENH AUTONOMOUS PORT "PPAP"</t>
        </is>
      </c>
      <c r="D718" s="215" t="inlineStr">
        <is>
          <t>L001-100044999</t>
        </is>
      </c>
      <c r="E718" s="290" t="inlineStr">
        <is>
          <t>INV20250542475</t>
        </is>
      </c>
      <c r="F718" s="279" t="n">
        <v>45805</v>
      </c>
      <c r="G718" s="216" t="n"/>
      <c r="H718" s="564" t="n"/>
      <c r="I718" s="564" t="n">
        <v>56042</v>
      </c>
      <c r="J718" s="213" t="inlineStr">
        <is>
          <t>អនុញ្ញាត (បានប្រកាស)</t>
        </is>
      </c>
      <c r="K718" s="565" t="n"/>
      <c r="L718" s="563">
        <f>I718</f>
        <v/>
      </c>
      <c r="M718" s="536">
        <f>I718-L718</f>
        <v/>
      </c>
      <c r="N718" s="213" t="n"/>
      <c r="O718" s="218">
        <f>U718=E718</f>
        <v/>
      </c>
      <c r="P718" s="218">
        <f>MONTH(F718)-MONTH(T718)</f>
        <v/>
      </c>
      <c r="Q718" s="218">
        <f>$B$5=X718</f>
        <v/>
      </c>
      <c r="R718" s="218">
        <f>I718-AD718</f>
        <v/>
      </c>
      <c r="S718" s="298" t="n"/>
      <c r="T718" s="299" t="n">
        <v>45805</v>
      </c>
      <c r="U718" s="298" t="inlineStr">
        <is>
          <t>INV20250542475</t>
        </is>
      </c>
      <c r="V718" s="298" t="n">
        <v>0</v>
      </c>
      <c r="W718" s="298" t="inlineStr">
        <is>
          <t>បុគ្គលជាប់អាករ</t>
        </is>
      </c>
      <c r="X718" s="298" t="inlineStr">
        <is>
          <t>L001-901640009</t>
        </is>
      </c>
      <c r="Y718" s="298" t="inlineStr">
        <is>
          <t>ហូលីដេ ឌីហ្សាញ (ខេមបូឌា) ឯ.ក</t>
        </is>
      </c>
      <c r="Z718" s="300" t="n">
        <v>616462</v>
      </c>
      <c r="AA718" s="300" t="n">
        <v>560420</v>
      </c>
      <c r="AB718" s="298" t="n">
        <v>0</v>
      </c>
      <c r="AC718" s="298" t="inlineStr">
        <is>
          <t>-</t>
        </is>
      </c>
      <c r="AD718" s="300" t="n">
        <v>56042</v>
      </c>
      <c r="AE718" s="298" t="n">
        <v>0</v>
      </c>
      <c r="AF718" s="562" t="n">
        <v>0</v>
      </c>
      <c r="AG718" s="198" t="n">
        <v>0</v>
      </c>
      <c r="AH718" s="198" t="n">
        <v>0</v>
      </c>
      <c r="AI718" s="198" t="n">
        <v>0</v>
      </c>
      <c r="AJ718" s="198" t="n">
        <v>0</v>
      </c>
      <c r="AK718" s="198" t="n">
        <v>0</v>
      </c>
      <c r="AL718" s="198" t="n">
        <v>0.01</v>
      </c>
      <c r="AM718" s="198" t="n">
        <v>0</v>
      </c>
      <c r="AN718" s="198" t="inlineStr">
        <is>
          <t>ចំណូលពីសេវាកម្ម (លើកដាក់ទំនិញ)</t>
        </is>
      </c>
    </row>
    <row r="719">
      <c r="A719" s="212">
        <f>A718+1</f>
        <v/>
      </c>
      <c r="B719" s="214" t="inlineStr">
        <is>
          <t>Trucking &amp; Clearance-Ex</t>
        </is>
      </c>
      <c r="C719" s="214" t="inlineStr">
        <is>
          <t>WANAKA LOGISTICS CO., LTD.</t>
        </is>
      </c>
      <c r="D719" s="215" t="inlineStr">
        <is>
          <t>K005-901907953</t>
        </is>
      </c>
      <c r="E719" s="290" t="inlineStr">
        <is>
          <t>WL25-001894</t>
        </is>
      </c>
      <c r="F719" s="279" t="n">
        <v>45805</v>
      </c>
      <c r="G719" s="216" t="n"/>
      <c r="H719" s="564" t="n"/>
      <c r="I719" s="564" t="n">
        <v>314636</v>
      </c>
      <c r="J719" s="213" t="inlineStr">
        <is>
          <t>អនុញ្ញាត (បានប្រកាស)</t>
        </is>
      </c>
      <c r="K719" s="565" t="n"/>
      <c r="L719" s="563">
        <f>I719</f>
        <v/>
      </c>
      <c r="M719" s="536">
        <f>I719-L719</f>
        <v/>
      </c>
      <c r="N719" s="213" t="n"/>
      <c r="O719" s="218">
        <f>U719=E719</f>
        <v/>
      </c>
      <c r="P719" s="218">
        <f>MONTH(F719)-MONTH(T719)</f>
        <v/>
      </c>
      <c r="Q719" s="218">
        <f>$B$5=X719</f>
        <v/>
      </c>
      <c r="R719" s="218">
        <f>I719-AD719</f>
        <v/>
      </c>
      <c r="S719" s="298" t="n"/>
      <c r="T719" s="299" t="n">
        <v>45805</v>
      </c>
      <c r="U719" s="298" t="inlineStr">
        <is>
          <t>WL25-001894</t>
        </is>
      </c>
      <c r="V719" s="298" t="n"/>
      <c r="W719" s="298" t="n"/>
      <c r="X719" s="298" t="n"/>
      <c r="Y719" s="298" t="inlineStr">
        <is>
          <t>ហូលីដេ ឌីហ្សាញ (ខេមបូឌា) ឯ.ក</t>
        </is>
      </c>
      <c r="Z719" s="300" t="n"/>
      <c r="AA719" s="300" t="n"/>
      <c r="AB719" s="298" t="n"/>
      <c r="AC719" s="298" t="n"/>
      <c r="AD719" s="300" t="n">
        <v>314636</v>
      </c>
      <c r="AE719" s="298" t="n"/>
      <c r="AF719" s="562" t="n"/>
    </row>
    <row r="720">
      <c r="A720" s="212">
        <f>A719+1</f>
        <v/>
      </c>
      <c r="B720" s="214" t="inlineStr">
        <is>
          <t>Lift-Off-Ex</t>
        </is>
      </c>
      <c r="C720" s="214" t="inlineStr">
        <is>
          <t>PHNOM PENH AUTONOMOUS PORT "PPAP"</t>
        </is>
      </c>
      <c r="D720" s="215" t="inlineStr">
        <is>
          <t>L001-100044999</t>
        </is>
      </c>
      <c r="E720" s="290" t="inlineStr">
        <is>
          <t>INV20250542474</t>
        </is>
      </c>
      <c r="F720" s="279" t="n">
        <v>45805</v>
      </c>
      <c r="G720" s="216" t="n"/>
      <c r="H720" s="564" t="n"/>
      <c r="I720" s="564" t="n">
        <v>28021</v>
      </c>
      <c r="J720" s="213" t="inlineStr">
        <is>
          <t>អនុញ្ញាត (បានប្រកាស)</t>
        </is>
      </c>
      <c r="K720" s="565" t="n"/>
      <c r="L720" s="563">
        <f>I720</f>
        <v/>
      </c>
      <c r="M720" s="536">
        <f>I720-L720</f>
        <v/>
      </c>
      <c r="N720" s="213" t="n"/>
      <c r="O720" s="218">
        <f>U720=E720</f>
        <v/>
      </c>
      <c r="P720" s="218">
        <f>MONTH(F720)-MONTH(T720)</f>
        <v/>
      </c>
      <c r="Q720" s="218">
        <f>$B$5=X720</f>
        <v/>
      </c>
      <c r="R720" s="218">
        <f>I720-AD720</f>
        <v/>
      </c>
      <c r="S720" s="298" t="n"/>
      <c r="T720" s="299" t="n">
        <v>45805</v>
      </c>
      <c r="U720" s="298" t="inlineStr">
        <is>
          <t>INV20250542474</t>
        </is>
      </c>
      <c r="V720" s="298" t="n">
        <v>0</v>
      </c>
      <c r="W720" s="298" t="inlineStr">
        <is>
          <t>បុគ្គលជាប់អាករ</t>
        </is>
      </c>
      <c r="X720" s="298" t="inlineStr">
        <is>
          <t>L001-901640009</t>
        </is>
      </c>
      <c r="Y720" s="298" t="inlineStr">
        <is>
          <t>ហូលីដេ ឌីហ្សាញ (ខេមបូឌា) ឯ.ក</t>
        </is>
      </c>
      <c r="Z720" s="300" t="n">
        <v>308231</v>
      </c>
      <c r="AA720" s="300" t="n">
        <v>280210</v>
      </c>
      <c r="AB720" s="298" t="n">
        <v>0</v>
      </c>
      <c r="AC720" s="298" t="inlineStr">
        <is>
          <t>-</t>
        </is>
      </c>
      <c r="AD720" s="300" t="n">
        <v>28021</v>
      </c>
      <c r="AE720" s="298" t="n">
        <v>0</v>
      </c>
      <c r="AF720" s="562" t="n">
        <v>0</v>
      </c>
      <c r="AG720" s="198" t="n">
        <v>0</v>
      </c>
      <c r="AH720" s="198" t="n">
        <v>0</v>
      </c>
      <c r="AI720" s="198" t="n">
        <v>0</v>
      </c>
      <c r="AJ720" s="198" t="n">
        <v>0</v>
      </c>
      <c r="AK720" s="198" t="n">
        <v>0</v>
      </c>
      <c r="AL720" s="198" t="n">
        <v>0.01</v>
      </c>
      <c r="AM720" s="198" t="n">
        <v>0</v>
      </c>
      <c r="AN720" s="198" t="inlineStr">
        <is>
          <t>ចំណូលពីសេវាកម្ម (លើកដាក់ទំនិញ)</t>
        </is>
      </c>
    </row>
    <row r="721">
      <c r="A721" s="212">
        <f>A720+1</f>
        <v/>
      </c>
      <c r="B721" s="214" t="inlineStr">
        <is>
          <t>Trucking &amp; Clearance-Ex</t>
        </is>
      </c>
      <c r="C721" s="214" t="inlineStr">
        <is>
          <t>WANAKA LOGISTICS CO., LTD.</t>
        </is>
      </c>
      <c r="D721" s="215" t="inlineStr">
        <is>
          <t>K005-901907953</t>
        </is>
      </c>
      <c r="E721" s="290" t="inlineStr">
        <is>
          <t>WL25-001893</t>
        </is>
      </c>
      <c r="F721" s="279" t="n">
        <v>45805</v>
      </c>
      <c r="G721" s="216" t="n"/>
      <c r="H721" s="564" t="n"/>
      <c r="I721" s="564" t="n">
        <v>157318</v>
      </c>
      <c r="J721" s="213" t="inlineStr">
        <is>
          <t>អនុញ្ញាត (បានប្រកាស)</t>
        </is>
      </c>
      <c r="K721" s="565" t="n"/>
      <c r="L721" s="563">
        <f>I721</f>
        <v/>
      </c>
      <c r="M721" s="536">
        <f>I721-L721</f>
        <v/>
      </c>
      <c r="N721" s="213" t="n"/>
      <c r="O721" s="218">
        <f>U721=E721</f>
        <v/>
      </c>
      <c r="P721" s="218">
        <f>MONTH(F721)-MONTH(T721)</f>
        <v/>
      </c>
      <c r="Q721" s="218">
        <f>$B$5=X721</f>
        <v/>
      </c>
      <c r="R721" s="218">
        <f>I721-AD721</f>
        <v/>
      </c>
      <c r="S721" s="298" t="n"/>
      <c r="T721" s="299" t="n">
        <v>45805</v>
      </c>
      <c r="U721" s="298" t="inlineStr">
        <is>
          <t>WL25-001893</t>
        </is>
      </c>
      <c r="V721" s="298" t="n"/>
      <c r="W721" s="298" t="n"/>
      <c r="X721" s="298" t="n"/>
      <c r="Y721" s="298" t="inlineStr">
        <is>
          <t>ហូលីដេ ឌីហ្សាញ (ខេមបូឌា) ឯ.ក</t>
        </is>
      </c>
      <c r="Z721" s="300" t="n"/>
      <c r="AA721" s="300" t="n"/>
      <c r="AB721" s="298" t="n"/>
      <c r="AC721" s="298" t="n"/>
      <c r="AD721" s="300" t="n">
        <v>157318</v>
      </c>
      <c r="AE721" s="298" t="n"/>
      <c r="AF721" s="562" t="n"/>
    </row>
    <row r="722">
      <c r="A722" s="212">
        <f>A721+1</f>
        <v/>
      </c>
      <c r="B722" s="214" t="inlineStr">
        <is>
          <t>Trucking &amp; Clearance-Ex</t>
        </is>
      </c>
      <c r="C722" s="214" t="inlineStr">
        <is>
          <t>WANAKA LOGISTICS CO., LTD.</t>
        </is>
      </c>
      <c r="D722" s="215" t="inlineStr">
        <is>
          <t>K005-901907953</t>
        </is>
      </c>
      <c r="E722" s="290" t="inlineStr">
        <is>
          <t>WL25-001890</t>
        </is>
      </c>
      <c r="F722" s="279" t="n">
        <v>45805</v>
      </c>
      <c r="G722" s="216" t="n"/>
      <c r="H722" s="564" t="n"/>
      <c r="I722" s="564" t="n">
        <v>157318</v>
      </c>
      <c r="J722" s="213" t="inlineStr">
        <is>
          <t>អនុញ្ញាត (បានប្រកាស)</t>
        </is>
      </c>
      <c r="K722" s="565" t="n"/>
      <c r="L722" s="563">
        <f>I722</f>
        <v/>
      </c>
      <c r="M722" s="536">
        <f>I722-L722</f>
        <v/>
      </c>
      <c r="N722" s="213" t="n"/>
      <c r="O722" s="218">
        <f>U722=E722</f>
        <v/>
      </c>
      <c r="P722" s="218">
        <f>MONTH(F722)-MONTH(T722)</f>
        <v/>
      </c>
      <c r="Q722" s="218">
        <f>$B$5=X722</f>
        <v/>
      </c>
      <c r="R722" s="218">
        <f>I722-AD722</f>
        <v/>
      </c>
      <c r="S722" s="298" t="n"/>
      <c r="T722" s="299" t="n">
        <v>45805</v>
      </c>
      <c r="U722" s="298" t="inlineStr">
        <is>
          <t>WL25-001890</t>
        </is>
      </c>
      <c r="V722" s="298" t="n"/>
      <c r="W722" s="298" t="n"/>
      <c r="X722" s="298" t="n"/>
      <c r="Y722" s="298" t="inlineStr">
        <is>
          <t>ហូលីដេ ឌីហ្សាញ (ខេមបូឌា) ឯ.ក</t>
        </is>
      </c>
      <c r="Z722" s="300" t="n"/>
      <c r="AA722" s="300" t="n"/>
      <c r="AB722" s="298" t="n"/>
      <c r="AC722" s="298" t="n"/>
      <c r="AD722" s="300" t="n">
        <v>157318</v>
      </c>
      <c r="AE722" s="298" t="n"/>
      <c r="AF722" s="562" t="n"/>
    </row>
    <row r="723">
      <c r="A723" s="212">
        <f>A722+1</f>
        <v/>
      </c>
      <c r="B723" s="214" t="inlineStr">
        <is>
          <t>Lift-Off-Ex</t>
        </is>
      </c>
      <c r="C723" s="214" t="inlineStr">
        <is>
          <t>PHNOM PENH AUTONOMOUS PORT "PPAP"</t>
        </is>
      </c>
      <c r="D723" s="215" t="inlineStr">
        <is>
          <t>L001-100044999</t>
        </is>
      </c>
      <c r="E723" s="290" t="inlineStr">
        <is>
          <t>INV20250542473</t>
        </is>
      </c>
      <c r="F723" s="279" t="n">
        <v>45805</v>
      </c>
      <c r="G723" s="216" t="n"/>
      <c r="H723" s="564" t="n"/>
      <c r="I723" s="564" t="n">
        <v>56042</v>
      </c>
      <c r="J723" s="213" t="inlineStr">
        <is>
          <t>អនុញ្ញាត (បានប្រកាស)</t>
        </is>
      </c>
      <c r="K723" s="565" t="n"/>
      <c r="L723" s="563">
        <f>I723</f>
        <v/>
      </c>
      <c r="M723" s="536">
        <f>I723-L723</f>
        <v/>
      </c>
      <c r="N723" s="213" t="n"/>
      <c r="O723" s="218">
        <f>U723=E723</f>
        <v/>
      </c>
      <c r="P723" s="218">
        <f>MONTH(F723)-MONTH(T723)</f>
        <v/>
      </c>
      <c r="Q723" s="218">
        <f>$B$5=X723</f>
        <v/>
      </c>
      <c r="R723" s="218">
        <f>I723-AD723</f>
        <v/>
      </c>
      <c r="S723" s="298" t="n"/>
      <c r="T723" s="299" t="n">
        <v>45805</v>
      </c>
      <c r="U723" s="298" t="inlineStr">
        <is>
          <t>INV20250542473</t>
        </is>
      </c>
      <c r="V723" s="298" t="n">
        <v>0</v>
      </c>
      <c r="W723" s="298" t="inlineStr">
        <is>
          <t>បុគ្គលជាប់អាករ</t>
        </is>
      </c>
      <c r="X723" s="298" t="inlineStr">
        <is>
          <t>L001-901640009</t>
        </is>
      </c>
      <c r="Y723" s="298" t="inlineStr">
        <is>
          <t>ហូលីដេ ឌីហ្សាញ (ខេមបូឌា) ឯ.ក</t>
        </is>
      </c>
      <c r="Z723" s="300" t="n">
        <v>616462</v>
      </c>
      <c r="AA723" s="300" t="n">
        <v>560420</v>
      </c>
      <c r="AB723" s="298" t="n">
        <v>0</v>
      </c>
      <c r="AC723" s="298" t="inlineStr">
        <is>
          <t>-</t>
        </is>
      </c>
      <c r="AD723" s="300" t="n">
        <v>56042</v>
      </c>
      <c r="AE723" s="298" t="n">
        <v>0</v>
      </c>
      <c r="AF723" s="562" t="n">
        <v>0</v>
      </c>
      <c r="AG723" s="198" t="n">
        <v>0</v>
      </c>
      <c r="AH723" s="198" t="n">
        <v>0</v>
      </c>
      <c r="AI723" s="198" t="n">
        <v>0</v>
      </c>
      <c r="AJ723" s="198" t="n">
        <v>0</v>
      </c>
      <c r="AK723" s="198" t="n">
        <v>0</v>
      </c>
      <c r="AL723" s="198" t="n">
        <v>0.01</v>
      </c>
      <c r="AM723" s="198" t="n">
        <v>0</v>
      </c>
      <c r="AN723" s="198" t="inlineStr">
        <is>
          <t>ចំណូលពីសេវាកម្ម (លើកដាក់ទំនិញ)</t>
        </is>
      </c>
    </row>
    <row r="724">
      <c r="A724" s="212">
        <f>A723+1</f>
        <v/>
      </c>
      <c r="B724" s="214" t="inlineStr">
        <is>
          <t>Trucking &amp; Clearance-Ex</t>
        </is>
      </c>
      <c r="C724" s="214" t="inlineStr">
        <is>
          <t>WANAKA LOGISTICS CO., LTD.</t>
        </is>
      </c>
      <c r="D724" s="215" t="inlineStr">
        <is>
          <t>K005-901907953</t>
        </is>
      </c>
      <c r="E724" s="290" t="inlineStr">
        <is>
          <t>WL25-001892</t>
        </is>
      </c>
      <c r="F724" s="279" t="n">
        <v>45805</v>
      </c>
      <c r="G724" s="216" t="n"/>
      <c r="H724" s="564" t="n"/>
      <c r="I724" s="564" t="n">
        <v>314636</v>
      </c>
      <c r="J724" s="213" t="inlineStr">
        <is>
          <t>អនុញ្ញាត (បានប្រកាស)</t>
        </is>
      </c>
      <c r="K724" s="565" t="n"/>
      <c r="L724" s="563">
        <f>I724</f>
        <v/>
      </c>
      <c r="M724" s="536">
        <f>I724-L724</f>
        <v/>
      </c>
      <c r="N724" s="213" t="n"/>
      <c r="O724" s="218">
        <f>U724=E724</f>
        <v/>
      </c>
      <c r="P724" s="218">
        <f>MONTH(F724)-MONTH(T724)</f>
        <v/>
      </c>
      <c r="Q724" s="218">
        <f>$B$5=X724</f>
        <v/>
      </c>
      <c r="R724" s="218">
        <f>I724-AD724</f>
        <v/>
      </c>
      <c r="S724" s="298" t="n"/>
      <c r="T724" s="299" t="n">
        <v>45805</v>
      </c>
      <c r="U724" s="298" t="inlineStr">
        <is>
          <t>WL25-001892</t>
        </is>
      </c>
      <c r="V724" s="298" t="n"/>
      <c r="W724" s="298" t="n"/>
      <c r="X724" s="298" t="n"/>
      <c r="Y724" s="298" t="inlineStr">
        <is>
          <t>ហូលីដេ ឌីហ្សាញ (ខេមបូឌា) ឯ.ក</t>
        </is>
      </c>
      <c r="Z724" s="300" t="n"/>
      <c r="AA724" s="300" t="n"/>
      <c r="AB724" s="298" t="n"/>
      <c r="AC724" s="298" t="n"/>
      <c r="AD724" s="300" t="n">
        <v>314636</v>
      </c>
      <c r="AE724" s="298" t="n"/>
      <c r="AF724" s="562" t="n"/>
    </row>
    <row r="725">
      <c r="A725" s="212">
        <f>A724+1</f>
        <v/>
      </c>
      <c r="B725" s="214" t="inlineStr">
        <is>
          <t>Lift-Off-Ex</t>
        </is>
      </c>
      <c r="C725" s="214" t="inlineStr">
        <is>
          <t>PHNOM PENH AUTONOMOUS PORT "PPAP"</t>
        </is>
      </c>
      <c r="D725" s="215" t="inlineStr">
        <is>
          <t>L001-100044999</t>
        </is>
      </c>
      <c r="E725" s="290" t="inlineStr">
        <is>
          <t>INV20250542485</t>
        </is>
      </c>
      <c r="F725" s="279" t="n">
        <v>45805</v>
      </c>
      <c r="G725" s="216" t="n"/>
      <c r="H725" s="564" t="n"/>
      <c r="I725" s="564" t="n">
        <v>28021</v>
      </c>
      <c r="J725" s="213" t="inlineStr">
        <is>
          <t>អនុញ្ញាត (បានប្រកាស)</t>
        </is>
      </c>
      <c r="K725" s="565" t="n"/>
      <c r="L725" s="563">
        <f>I725</f>
        <v/>
      </c>
      <c r="M725" s="536">
        <f>I725-L725</f>
        <v/>
      </c>
      <c r="N725" s="213" t="n"/>
      <c r="O725" s="218">
        <f>U725=E725</f>
        <v/>
      </c>
      <c r="P725" s="218">
        <f>MONTH(F725)-MONTH(T725)</f>
        <v/>
      </c>
      <c r="Q725" s="218">
        <f>$B$5=X725</f>
        <v/>
      </c>
      <c r="R725" s="218">
        <f>I725-AD725</f>
        <v/>
      </c>
      <c r="S725" s="298" t="n"/>
      <c r="T725" s="299" t="n">
        <v>45805</v>
      </c>
      <c r="U725" s="298" t="inlineStr">
        <is>
          <t>INV20250542485</t>
        </is>
      </c>
      <c r="V725" s="298" t="n">
        <v>0</v>
      </c>
      <c r="W725" s="298" t="inlineStr">
        <is>
          <t>បុគ្គលជាប់អាករ</t>
        </is>
      </c>
      <c r="X725" s="298" t="inlineStr">
        <is>
          <t>L001-901640009</t>
        </is>
      </c>
      <c r="Y725" s="298" t="inlineStr">
        <is>
          <t>ហូលីដេ ឌីហ្សាញ (ខេមបូឌា) ឯ.ក</t>
        </is>
      </c>
      <c r="Z725" s="300" t="n">
        <v>308231</v>
      </c>
      <c r="AA725" s="300" t="n">
        <v>280210</v>
      </c>
      <c r="AB725" s="298" t="n">
        <v>0</v>
      </c>
      <c r="AC725" s="298" t="inlineStr">
        <is>
          <t>-</t>
        </is>
      </c>
      <c r="AD725" s="300" t="n">
        <v>28021</v>
      </c>
      <c r="AE725" s="298" t="n">
        <v>0</v>
      </c>
      <c r="AF725" s="562" t="n">
        <v>0</v>
      </c>
      <c r="AG725" s="198" t="n">
        <v>0</v>
      </c>
      <c r="AH725" s="198" t="n">
        <v>0</v>
      </c>
      <c r="AI725" s="198" t="n">
        <v>0</v>
      </c>
      <c r="AJ725" s="198" t="n">
        <v>0</v>
      </c>
      <c r="AK725" s="198" t="n">
        <v>0</v>
      </c>
      <c r="AL725" s="198" t="n">
        <v>0.01</v>
      </c>
      <c r="AM725" s="198" t="n">
        <v>0</v>
      </c>
      <c r="AN725" s="198" t="inlineStr">
        <is>
          <t>ចំណូលពីសេវាកម្ម (លើកដាក់ទំនិញ)</t>
        </is>
      </c>
    </row>
    <row r="726">
      <c r="A726" s="212">
        <f>A725+1</f>
        <v/>
      </c>
      <c r="B726" s="214" t="inlineStr">
        <is>
          <t>Trucking &amp; Clearance-Ex</t>
        </is>
      </c>
      <c r="C726" s="214" t="inlineStr">
        <is>
          <t>WANAKA LOGISTICS CO., LTD.</t>
        </is>
      </c>
      <c r="D726" s="215" t="inlineStr">
        <is>
          <t>K005-901907953</t>
        </is>
      </c>
      <c r="E726" s="290" t="inlineStr">
        <is>
          <t>WL25-001891</t>
        </is>
      </c>
      <c r="F726" s="279" t="n">
        <v>45805</v>
      </c>
      <c r="G726" s="216" t="n"/>
      <c r="H726" s="564" t="n"/>
      <c r="I726" s="564" t="n">
        <v>157318</v>
      </c>
      <c r="J726" s="213" t="inlineStr">
        <is>
          <t>អនុញ្ញាត (បានប្រកាស)</t>
        </is>
      </c>
      <c r="K726" s="565" t="n"/>
      <c r="L726" s="563">
        <f>I726</f>
        <v/>
      </c>
      <c r="M726" s="536">
        <f>I726-L726</f>
        <v/>
      </c>
      <c r="N726" s="213" t="n"/>
      <c r="O726" s="218">
        <f>U726=E726</f>
        <v/>
      </c>
      <c r="P726" s="218">
        <f>MONTH(F726)-MONTH(T726)</f>
        <v/>
      </c>
      <c r="Q726" s="218">
        <f>$B$5=X726</f>
        <v/>
      </c>
      <c r="R726" s="218">
        <f>I726-AD726</f>
        <v/>
      </c>
      <c r="S726" s="298" t="n"/>
      <c r="T726" s="299" t="n">
        <v>45805</v>
      </c>
      <c r="U726" s="298" t="inlineStr">
        <is>
          <t>WL25-001891</t>
        </is>
      </c>
      <c r="V726" s="298" t="n"/>
      <c r="W726" s="298" t="n"/>
      <c r="X726" s="298" t="n"/>
      <c r="Y726" s="298" t="inlineStr">
        <is>
          <t>ហូលីដេ ឌីហ្សាញ (ខេមបូឌា) ឯ.ក</t>
        </is>
      </c>
      <c r="Z726" s="300" t="n"/>
      <c r="AA726" s="300" t="n"/>
      <c r="AB726" s="298" t="n"/>
      <c r="AC726" s="298" t="n"/>
      <c r="AD726" s="300" t="n">
        <v>157318</v>
      </c>
      <c r="AE726" s="298" t="n"/>
      <c r="AF726" s="562" t="n"/>
    </row>
    <row r="727">
      <c r="A727" s="212">
        <f>A726+1</f>
        <v/>
      </c>
      <c r="B727" s="214" t="inlineStr">
        <is>
          <t>Lift-Off-Ex</t>
        </is>
      </c>
      <c r="C727" s="214" t="inlineStr">
        <is>
          <t>PHNOM PENH AUTONOMOUS PORT "PPAP"</t>
        </is>
      </c>
      <c r="D727" s="215" t="inlineStr">
        <is>
          <t>L001-100044999</t>
        </is>
      </c>
      <c r="E727" s="290" t="inlineStr">
        <is>
          <t>INV20250542481</t>
        </is>
      </c>
      <c r="F727" s="279" t="n">
        <v>45805</v>
      </c>
      <c r="G727" s="216" t="n"/>
      <c r="H727" s="564" t="n"/>
      <c r="I727" s="564" t="n">
        <v>28021</v>
      </c>
      <c r="J727" s="213" t="inlineStr">
        <is>
          <t>អនុញ្ញាត (បានប្រកាស)</t>
        </is>
      </c>
      <c r="K727" s="565" t="n"/>
      <c r="L727" s="563">
        <f>I727</f>
        <v/>
      </c>
      <c r="M727" s="536">
        <f>I727-L727</f>
        <v/>
      </c>
      <c r="N727" s="213" t="n"/>
      <c r="O727" s="218">
        <f>U727=E727</f>
        <v/>
      </c>
      <c r="P727" s="218">
        <f>MONTH(F727)-MONTH(T727)</f>
        <v/>
      </c>
      <c r="Q727" s="218">
        <f>$B$5=X727</f>
        <v/>
      </c>
      <c r="R727" s="218">
        <f>I727-AD727</f>
        <v/>
      </c>
      <c r="S727" s="298" t="n"/>
      <c r="T727" s="301" t="n">
        <v>45805</v>
      </c>
      <c r="U727" s="298" t="inlineStr">
        <is>
          <t>INV20250542481</t>
        </is>
      </c>
      <c r="V727" s="298" t="n">
        <v>0</v>
      </c>
      <c r="W727" s="298" t="inlineStr">
        <is>
          <t>បុគ្គលជាប់អាករ</t>
        </is>
      </c>
      <c r="X727" s="298" t="inlineStr">
        <is>
          <t>L001-901640009</t>
        </is>
      </c>
      <c r="Y727" s="298" t="inlineStr">
        <is>
          <t>ហូលីដេ ឌីហ្សាញ (ខេមបូឌា) ឯ.ក</t>
        </is>
      </c>
      <c r="Z727" s="300" t="n">
        <v>308231</v>
      </c>
      <c r="AA727" s="300" t="n">
        <v>280210</v>
      </c>
      <c r="AB727" s="298" t="n">
        <v>0</v>
      </c>
      <c r="AC727" s="298" t="inlineStr">
        <is>
          <t>-</t>
        </is>
      </c>
      <c r="AD727" s="300" t="n">
        <v>28021</v>
      </c>
      <c r="AE727" s="298" t="n">
        <v>0</v>
      </c>
      <c r="AF727" s="562" t="n">
        <v>0</v>
      </c>
      <c r="AG727" s="198" t="n">
        <v>0</v>
      </c>
      <c r="AH727" s="198" t="n">
        <v>0</v>
      </c>
      <c r="AI727" s="198" t="n">
        <v>0</v>
      </c>
      <c r="AJ727" s="198" t="n">
        <v>0</v>
      </c>
      <c r="AK727" s="198" t="n">
        <v>0</v>
      </c>
      <c r="AL727" s="198" t="n">
        <v>0.01</v>
      </c>
      <c r="AM727" s="198" t="n">
        <v>0</v>
      </c>
      <c r="AN727" s="198" t="inlineStr">
        <is>
          <t>ចំណូលពីសេវាកម្ម (លើកដាក់ទំនិញ)</t>
        </is>
      </c>
    </row>
    <row r="728">
      <c r="A728" s="212">
        <f>A727+1</f>
        <v/>
      </c>
      <c r="B728" s="214" t="inlineStr">
        <is>
          <t>Trucking &amp; Clearance-Ex</t>
        </is>
      </c>
      <c r="C728" s="214" t="inlineStr">
        <is>
          <t>WANAKA LOGISTICS CO., LTD.</t>
        </is>
      </c>
      <c r="D728" s="215" t="inlineStr">
        <is>
          <t>K005-901907953</t>
        </is>
      </c>
      <c r="E728" s="290" t="inlineStr">
        <is>
          <t>WL25-001779</t>
        </is>
      </c>
      <c r="F728" s="279" t="n">
        <v>45800</v>
      </c>
      <c r="G728" s="216" t="n"/>
      <c r="H728" s="564" t="n"/>
      <c r="I728" s="564" t="n">
        <v>157318</v>
      </c>
      <c r="J728" s="213" t="inlineStr">
        <is>
          <t>អនុញ្ញាត (បានប្រកាស)</t>
        </is>
      </c>
      <c r="K728" s="565" t="n"/>
      <c r="L728" s="563">
        <f>I728</f>
        <v/>
      </c>
      <c r="M728" s="536">
        <f>I728-L728</f>
        <v/>
      </c>
      <c r="N728" s="213" t="n"/>
      <c r="O728" s="218">
        <f>U728=E728</f>
        <v/>
      </c>
      <c r="P728" s="218">
        <f>MONTH(F728)-MONTH(T728)</f>
        <v/>
      </c>
      <c r="Q728" s="218">
        <f>$B$5=X728</f>
        <v/>
      </c>
      <c r="R728" s="218">
        <f>I728-AD728</f>
        <v/>
      </c>
      <c r="S728" s="298" t="n"/>
      <c r="T728" s="299" t="n">
        <v>45800</v>
      </c>
      <c r="U728" s="298" t="inlineStr">
        <is>
          <t>WL25-001779</t>
        </is>
      </c>
      <c r="V728" s="298" t="n"/>
      <c r="W728" s="298" t="n"/>
      <c r="X728" s="298" t="n"/>
      <c r="Y728" s="298" t="inlineStr">
        <is>
          <t>ហូលីដេ ឌីហ្សាញ (ខេមបូឌា) ឯ.ក</t>
        </is>
      </c>
      <c r="Z728" s="300" t="n"/>
      <c r="AA728" s="300" t="n"/>
      <c r="AB728" s="298" t="n"/>
      <c r="AC728" s="298" t="n"/>
      <c r="AD728" s="300" t="n">
        <v>157318</v>
      </c>
      <c r="AE728" s="298" t="n"/>
      <c r="AF728" s="562" t="n"/>
    </row>
    <row r="729">
      <c r="A729" s="212">
        <f>A728+1</f>
        <v/>
      </c>
      <c r="B729" s="214" t="inlineStr">
        <is>
          <t>Lift-Off-Ex</t>
        </is>
      </c>
      <c r="C729" s="214" t="inlineStr">
        <is>
          <t>PHNOM PENH AUTONOMOUS PORT "PPAP"</t>
        </is>
      </c>
      <c r="D729" s="215" t="inlineStr">
        <is>
          <t>L001-100044999</t>
        </is>
      </c>
      <c r="E729" s="290" t="inlineStr">
        <is>
          <t>INV20250539871</t>
        </is>
      </c>
      <c r="F729" s="279" t="n">
        <v>45798</v>
      </c>
      <c r="G729" s="216" t="n"/>
      <c r="H729" s="564" t="n"/>
      <c r="I729" s="564" t="n">
        <v>252189</v>
      </c>
      <c r="J729" s="213" t="inlineStr">
        <is>
          <t>អនុញ្ញាត (បានប្រកាស)</t>
        </is>
      </c>
      <c r="K729" s="565" t="n"/>
      <c r="L729" s="563">
        <f>I729</f>
        <v/>
      </c>
      <c r="M729" s="536">
        <f>I729-L729</f>
        <v/>
      </c>
      <c r="N729" s="213" t="n"/>
      <c r="O729" s="218">
        <f>U729=E729</f>
        <v/>
      </c>
      <c r="P729" s="218">
        <f>MONTH(F729)-MONTH(T729)</f>
        <v/>
      </c>
      <c r="Q729" s="218">
        <f>$B$5=X729</f>
        <v/>
      </c>
      <c r="R729" s="218">
        <f>I729-AD729</f>
        <v/>
      </c>
      <c r="S729" s="298" t="n"/>
      <c r="T729" s="301" t="n">
        <v>45798</v>
      </c>
      <c r="U729" s="298" t="inlineStr">
        <is>
          <t>INV20250539871</t>
        </is>
      </c>
      <c r="V729" s="298" t="n">
        <v>0</v>
      </c>
      <c r="W729" s="298" t="inlineStr">
        <is>
          <t>បុគ្គលជាប់អាករ</t>
        </is>
      </c>
      <c r="X729" s="298" t="inlineStr">
        <is>
          <t>L001-901640009</t>
        </is>
      </c>
      <c r="Y729" s="298" t="inlineStr">
        <is>
          <t>ហូលីដេ ឌីហ្សាញ (ខេមបូឌា) ឯ.ក</t>
        </is>
      </c>
      <c r="Z729" s="300" t="n">
        <v>2774079</v>
      </c>
      <c r="AA729" s="300" t="n">
        <v>2521890</v>
      </c>
      <c r="AB729" s="298" t="n">
        <v>0</v>
      </c>
      <c r="AC729" s="298" t="inlineStr">
        <is>
          <t>-</t>
        </is>
      </c>
      <c r="AD729" s="300" t="n">
        <v>252189</v>
      </c>
      <c r="AE729" s="298" t="n">
        <v>0</v>
      </c>
      <c r="AF729" s="562" t="n">
        <v>0</v>
      </c>
      <c r="AG729" s="198" t="n">
        <v>0</v>
      </c>
      <c r="AH729" s="198" t="n">
        <v>0</v>
      </c>
      <c r="AI729" s="198" t="n">
        <v>0</v>
      </c>
      <c r="AJ729" s="198" t="n">
        <v>0</v>
      </c>
      <c r="AK729" s="198" t="n">
        <v>0</v>
      </c>
      <c r="AL729" s="198" t="n">
        <v>0.01</v>
      </c>
      <c r="AM729" s="198" t="n">
        <v>0</v>
      </c>
      <c r="AN729" s="198" t="inlineStr">
        <is>
          <t>ចំណូលពីសេវាកម្ម (លើកដាក់ទំនិញ)</t>
        </is>
      </c>
    </row>
    <row r="730">
      <c r="A730" s="212">
        <f>A729+1</f>
        <v/>
      </c>
      <c r="B730" s="214" t="inlineStr">
        <is>
          <t>Trucking &amp; Clearance-Ex</t>
        </is>
      </c>
      <c r="C730" s="214" t="inlineStr">
        <is>
          <t>WANAKA LOGISTICS CO., LTD.</t>
        </is>
      </c>
      <c r="D730" s="215" t="inlineStr">
        <is>
          <t>K005-901907953</t>
        </is>
      </c>
      <c r="E730" s="290" t="inlineStr">
        <is>
          <t>WL25-001771</t>
        </is>
      </c>
      <c r="F730" s="279" t="n">
        <v>45800</v>
      </c>
      <c r="G730" s="216" t="n"/>
      <c r="H730" s="564" t="n"/>
      <c r="I730" s="564" t="n">
        <v>156117</v>
      </c>
      <c r="J730" s="213" t="inlineStr">
        <is>
          <t>អនុញ្ញាត (បានប្រកាស)</t>
        </is>
      </c>
      <c r="K730" s="565" t="n"/>
      <c r="L730" s="563">
        <f>I730</f>
        <v/>
      </c>
      <c r="M730" s="536">
        <f>I730-L730</f>
        <v/>
      </c>
      <c r="N730" s="213" t="n"/>
      <c r="O730" s="218">
        <f>U730=E730</f>
        <v/>
      </c>
      <c r="P730" s="218">
        <f>MONTH(F730)-MONTH(T730)</f>
        <v/>
      </c>
      <c r="Q730" s="218">
        <f>$B$5=X730</f>
        <v/>
      </c>
      <c r="R730" s="218">
        <f>I730-AD730</f>
        <v/>
      </c>
      <c r="S730" s="298" t="n"/>
      <c r="T730" s="299" t="n">
        <v>45800</v>
      </c>
      <c r="U730" s="298" t="inlineStr">
        <is>
          <t>WL25-001771</t>
        </is>
      </c>
      <c r="V730" s="298" t="n"/>
      <c r="W730" s="298" t="n"/>
      <c r="X730" s="298" t="n"/>
      <c r="Y730" s="298" t="inlineStr">
        <is>
          <t>ហូលីដេ ឌីហ្សាញ (ខេមបូឌា) ឯ.ក</t>
        </is>
      </c>
      <c r="Z730" s="300" t="n"/>
      <c r="AA730" s="300" t="n"/>
      <c r="AB730" s="298" t="n"/>
      <c r="AC730" s="298" t="n"/>
      <c r="AD730" s="300" t="n">
        <v>156117</v>
      </c>
      <c r="AE730" s="298" t="n"/>
      <c r="AF730" s="562" t="n"/>
    </row>
    <row r="731">
      <c r="A731" s="212">
        <f>A730+1</f>
        <v/>
      </c>
      <c r="B731" s="214" t="inlineStr">
        <is>
          <t>Lift-Off-Ex</t>
        </is>
      </c>
      <c r="C731" s="214" t="inlineStr">
        <is>
          <t>PHNOM PENH AUTONOMOUS PORT "PPAP"</t>
        </is>
      </c>
      <c r="D731" s="215" t="inlineStr">
        <is>
          <t>L001-100044999</t>
        </is>
      </c>
      <c r="E731" s="290" t="inlineStr">
        <is>
          <t>INV20250539899</t>
        </is>
      </c>
      <c r="F731" s="279" t="n">
        <v>45798</v>
      </c>
      <c r="G731" s="216" t="n"/>
      <c r="H731" s="564" t="n"/>
      <c r="I731" s="564" t="n">
        <v>28021</v>
      </c>
      <c r="J731" s="213" t="inlineStr">
        <is>
          <t>អនុញ្ញាត (បានប្រកាស)</t>
        </is>
      </c>
      <c r="K731" s="565" t="n"/>
      <c r="L731" s="563">
        <f>I731</f>
        <v/>
      </c>
      <c r="M731" s="536">
        <f>I731-L731</f>
        <v/>
      </c>
      <c r="N731" s="213" t="n"/>
      <c r="O731" s="218">
        <f>U731=E731</f>
        <v/>
      </c>
      <c r="P731" s="218">
        <f>MONTH(F731)-MONTH(T731)</f>
        <v/>
      </c>
      <c r="Q731" s="218">
        <f>$B$5=X731</f>
        <v/>
      </c>
      <c r="R731" s="218">
        <f>I731-AD731</f>
        <v/>
      </c>
      <c r="S731" s="298" t="n"/>
      <c r="T731" s="301" t="n">
        <v>45798</v>
      </c>
      <c r="U731" s="298" t="inlineStr">
        <is>
          <t>INV20250539899</t>
        </is>
      </c>
      <c r="V731" s="298" t="n">
        <v>0</v>
      </c>
      <c r="W731" s="298" t="inlineStr">
        <is>
          <t>បុគ្គលជាប់អាករ</t>
        </is>
      </c>
      <c r="X731" s="298" t="inlineStr">
        <is>
          <t>L001-901640009</t>
        </is>
      </c>
      <c r="Y731" s="298" t="inlineStr">
        <is>
          <t>ហូលីដេ ឌីហ្សាញ (ខេមបូឌា) ឯ.ក</t>
        </is>
      </c>
      <c r="Z731" s="300" t="n">
        <v>308231</v>
      </c>
      <c r="AA731" s="300" t="n">
        <v>280210</v>
      </c>
      <c r="AB731" s="298" t="n">
        <v>0</v>
      </c>
      <c r="AC731" s="298" t="inlineStr">
        <is>
          <t>-</t>
        </is>
      </c>
      <c r="AD731" s="300" t="n">
        <v>28021</v>
      </c>
      <c r="AE731" s="298" t="n">
        <v>0</v>
      </c>
      <c r="AF731" s="562" t="n">
        <v>0</v>
      </c>
      <c r="AG731" s="198" t="n">
        <v>0</v>
      </c>
      <c r="AH731" s="198" t="n">
        <v>0</v>
      </c>
      <c r="AI731" s="198" t="n">
        <v>0</v>
      </c>
      <c r="AJ731" s="198" t="n">
        <v>0</v>
      </c>
      <c r="AK731" s="198" t="n">
        <v>0</v>
      </c>
      <c r="AL731" s="198" t="n">
        <v>0.01</v>
      </c>
      <c r="AM731" s="198" t="n">
        <v>0</v>
      </c>
      <c r="AN731" s="198" t="inlineStr">
        <is>
          <t>ចំណូលពីសេវាកម្ម (លើកដាក់ទំនិញ)</t>
        </is>
      </c>
    </row>
    <row r="732">
      <c r="A732" s="212">
        <f>A731+1</f>
        <v/>
      </c>
      <c r="B732" s="214" t="inlineStr">
        <is>
          <t>Trucking &amp; Clearance-Ex</t>
        </is>
      </c>
      <c r="C732" s="214" t="inlineStr">
        <is>
          <t>WANAKA LOGISTICS CO., LTD.</t>
        </is>
      </c>
      <c r="D732" s="215" t="inlineStr">
        <is>
          <t>K005-901907953</t>
        </is>
      </c>
      <c r="E732" s="290" t="inlineStr">
        <is>
          <t>WL25-001770</t>
        </is>
      </c>
      <c r="F732" s="279" t="n">
        <v>45800</v>
      </c>
      <c r="G732" s="216" t="n"/>
      <c r="H732" s="564" t="n"/>
      <c r="I732" s="564" t="n">
        <v>157318</v>
      </c>
      <c r="J732" s="213" t="inlineStr">
        <is>
          <t>អនុញ្ញាត (បានប្រកាស)</t>
        </is>
      </c>
      <c r="K732" s="565" t="n"/>
      <c r="L732" s="563">
        <f>I732</f>
        <v/>
      </c>
      <c r="M732" s="536">
        <f>I732-L732</f>
        <v/>
      </c>
      <c r="N732" s="213" t="n"/>
      <c r="O732" s="218">
        <f>U732=E732</f>
        <v/>
      </c>
      <c r="P732" s="218">
        <f>MONTH(F732)-MONTH(T732)</f>
        <v/>
      </c>
      <c r="Q732" s="218">
        <f>$B$5=X732</f>
        <v/>
      </c>
      <c r="R732" s="218">
        <f>I732-AD732</f>
        <v/>
      </c>
      <c r="S732" s="298" t="n"/>
      <c r="T732" s="299" t="n">
        <v>45800</v>
      </c>
      <c r="U732" s="298" t="inlineStr">
        <is>
          <t>WL25-001770</t>
        </is>
      </c>
      <c r="V732" s="298" t="n"/>
      <c r="W732" s="298" t="n"/>
      <c r="X732" s="298" t="n"/>
      <c r="Y732" s="298" t="inlineStr">
        <is>
          <t>ហូលីដេ ឌីហ្សាញ (ខេមបូឌា) ឯ.ក</t>
        </is>
      </c>
      <c r="Z732" s="300" t="n"/>
      <c r="AA732" s="300" t="n"/>
      <c r="AB732" s="298" t="n"/>
      <c r="AC732" s="298" t="n"/>
      <c r="AD732" s="300" t="n">
        <v>157318</v>
      </c>
      <c r="AE732" s="298" t="n"/>
      <c r="AF732" s="562" t="n"/>
    </row>
    <row r="733">
      <c r="A733" s="212">
        <f>A732+1</f>
        <v/>
      </c>
      <c r="B733" s="214" t="inlineStr">
        <is>
          <t>Lift-Off-Ex</t>
        </is>
      </c>
      <c r="C733" s="214" t="inlineStr">
        <is>
          <t>PHNOM PENH AUTONOMOUS PORT "PPAP"</t>
        </is>
      </c>
      <c r="D733" s="215" t="inlineStr">
        <is>
          <t>L001-100044999</t>
        </is>
      </c>
      <c r="E733" s="290" t="inlineStr">
        <is>
          <t>INV20250539896</t>
        </is>
      </c>
      <c r="F733" s="279" t="n">
        <v>45798</v>
      </c>
      <c r="G733" s="216" t="n"/>
      <c r="H733" s="564" t="n"/>
      <c r="I733" s="564" t="n">
        <v>28021</v>
      </c>
      <c r="J733" s="213" t="inlineStr">
        <is>
          <t>អនុញ្ញាត (បានប្រកាស)</t>
        </is>
      </c>
      <c r="K733" s="565" t="n"/>
      <c r="L733" s="563">
        <f>I733</f>
        <v/>
      </c>
      <c r="M733" s="536">
        <f>I733-L733</f>
        <v/>
      </c>
      <c r="N733" s="213" t="n"/>
      <c r="O733" s="218">
        <f>U733=E733</f>
        <v/>
      </c>
      <c r="P733" s="218">
        <f>MONTH(F733)-MONTH(T733)</f>
        <v/>
      </c>
      <c r="Q733" s="218">
        <f>$B$5=X733</f>
        <v/>
      </c>
      <c r="R733" s="218">
        <f>I733-AD733</f>
        <v/>
      </c>
      <c r="S733" s="298" t="n"/>
      <c r="T733" s="299" t="n">
        <v>45798</v>
      </c>
      <c r="U733" s="298" t="inlineStr">
        <is>
          <t>INV20250539896</t>
        </is>
      </c>
      <c r="V733" s="298" t="n">
        <v>0</v>
      </c>
      <c r="W733" s="298" t="inlineStr">
        <is>
          <t>បុគ្គលជាប់អាករ</t>
        </is>
      </c>
      <c r="X733" s="298" t="inlineStr">
        <is>
          <t>L001-901640009</t>
        </is>
      </c>
      <c r="Y733" s="298" t="inlineStr">
        <is>
          <t>ហូលីដេ ឌីហ្សាញ (ខេមបូឌា) ឯ.ក</t>
        </is>
      </c>
      <c r="Z733" s="300" t="n">
        <v>308231</v>
      </c>
      <c r="AA733" s="300" t="n">
        <v>280210</v>
      </c>
      <c r="AB733" s="298" t="n">
        <v>0</v>
      </c>
      <c r="AC733" s="298" t="inlineStr">
        <is>
          <t>-</t>
        </is>
      </c>
      <c r="AD733" s="300" t="n">
        <v>28021</v>
      </c>
      <c r="AE733" s="298" t="n">
        <v>0</v>
      </c>
      <c r="AF733" s="562" t="n">
        <v>0</v>
      </c>
      <c r="AG733" s="198" t="n">
        <v>0</v>
      </c>
      <c r="AH733" s="198" t="n">
        <v>0</v>
      </c>
      <c r="AI733" s="198" t="n">
        <v>0</v>
      </c>
      <c r="AJ733" s="198" t="n">
        <v>0</v>
      </c>
      <c r="AK733" s="198" t="n">
        <v>0</v>
      </c>
      <c r="AL733" s="198" t="n">
        <v>0.01</v>
      </c>
      <c r="AM733" s="198" t="n">
        <v>0</v>
      </c>
      <c r="AN733" s="198" t="inlineStr">
        <is>
          <t>ចំណូលពីសេវាកម្ម (លើកដាក់ទំនិញ)</t>
        </is>
      </c>
    </row>
    <row r="734">
      <c r="A734" s="212">
        <f>A733+1</f>
        <v/>
      </c>
      <c r="B734" s="214" t="inlineStr">
        <is>
          <t>Trucking &amp; Clearance-Ex</t>
        </is>
      </c>
      <c r="C734" s="214" t="inlineStr">
        <is>
          <t>WANAKA LOGISTICS CO., LTD.</t>
        </is>
      </c>
      <c r="D734" s="215" t="inlineStr">
        <is>
          <t>K005-901907953</t>
        </is>
      </c>
      <c r="E734" s="290" t="inlineStr">
        <is>
          <t>WL25-001769</t>
        </is>
      </c>
      <c r="F734" s="279" t="n">
        <v>45800</v>
      </c>
      <c r="G734" s="216" t="n"/>
      <c r="H734" s="564" t="n"/>
      <c r="I734" s="564" t="n">
        <v>157318</v>
      </c>
      <c r="J734" s="213" t="inlineStr">
        <is>
          <t>អនុញ្ញាត (បានប្រកាស)</t>
        </is>
      </c>
      <c r="K734" s="565" t="n"/>
      <c r="L734" s="563">
        <f>I734</f>
        <v/>
      </c>
      <c r="M734" s="536">
        <f>I734-L734</f>
        <v/>
      </c>
      <c r="N734" s="213" t="n"/>
      <c r="O734" s="218">
        <f>U734=E734</f>
        <v/>
      </c>
      <c r="P734" s="218">
        <f>MONTH(F734)-MONTH(T734)</f>
        <v/>
      </c>
      <c r="Q734" s="218">
        <f>$B$5=X734</f>
        <v/>
      </c>
      <c r="R734" s="218">
        <f>I734-AD734</f>
        <v/>
      </c>
      <c r="S734" s="298" t="n"/>
      <c r="T734" s="299" t="n">
        <v>45800</v>
      </c>
      <c r="U734" s="298" t="inlineStr">
        <is>
          <t>WL25-001769</t>
        </is>
      </c>
      <c r="V734" s="298" t="n"/>
      <c r="W734" s="298" t="n"/>
      <c r="X734" s="298" t="n"/>
      <c r="Y734" s="298" t="inlineStr">
        <is>
          <t>ហូលីដេ ឌីហ្សាញ (ខេមបូឌា) ឯ.ក</t>
        </is>
      </c>
      <c r="Z734" s="300" t="n"/>
      <c r="AA734" s="300" t="n"/>
      <c r="AB734" s="298" t="n"/>
      <c r="AC734" s="298" t="n"/>
      <c r="AD734" s="300" t="n">
        <v>157318</v>
      </c>
      <c r="AE734" s="298" t="n"/>
      <c r="AF734" s="562" t="n"/>
    </row>
    <row r="735">
      <c r="A735" s="212">
        <f>A734+1</f>
        <v/>
      </c>
      <c r="B735" s="214" t="inlineStr">
        <is>
          <t>Lift-Off-Ex</t>
        </is>
      </c>
      <c r="C735" s="214" t="inlineStr">
        <is>
          <t>PHNOM PENH AUTONOMOUS PORT "PPAP"</t>
        </is>
      </c>
      <c r="D735" s="215" t="inlineStr">
        <is>
          <t>L001-100044999</t>
        </is>
      </c>
      <c r="E735" s="290" t="inlineStr">
        <is>
          <t>INV20250539898</t>
        </is>
      </c>
      <c r="F735" s="279" t="n">
        <v>45798</v>
      </c>
      <c r="G735" s="216" t="n"/>
      <c r="H735" s="564" t="n"/>
      <c r="I735" s="564" t="n">
        <v>28021</v>
      </c>
      <c r="J735" s="213" t="inlineStr">
        <is>
          <t>អនុញ្ញាត (បានប្រកាស)</t>
        </is>
      </c>
      <c r="K735" s="565" t="n"/>
      <c r="L735" s="563">
        <f>I735</f>
        <v/>
      </c>
      <c r="M735" s="536">
        <f>I735-L735</f>
        <v/>
      </c>
      <c r="N735" s="213" t="n"/>
      <c r="O735" s="218">
        <f>U735=E735</f>
        <v/>
      </c>
      <c r="P735" s="218">
        <f>MONTH(F735)-MONTH(T735)</f>
        <v/>
      </c>
      <c r="Q735" s="218">
        <f>$B$5=X735</f>
        <v/>
      </c>
      <c r="R735" s="218">
        <f>I735-AD735</f>
        <v/>
      </c>
      <c r="S735" s="298" t="n"/>
      <c r="T735" s="299" t="n">
        <v>45798</v>
      </c>
      <c r="U735" s="298" t="inlineStr">
        <is>
          <t>INV20250539898</t>
        </is>
      </c>
      <c r="V735" s="298" t="n">
        <v>0</v>
      </c>
      <c r="W735" s="298" t="inlineStr">
        <is>
          <t>បុគ្គលជាប់អាករ</t>
        </is>
      </c>
      <c r="X735" s="298" t="inlineStr">
        <is>
          <t>L001-901640009</t>
        </is>
      </c>
      <c r="Y735" s="298" t="inlineStr">
        <is>
          <t>ហូលីដេ ឌីហ្សាញ (ខេមបូឌា) ឯ.ក</t>
        </is>
      </c>
      <c r="Z735" s="300" t="n">
        <v>308231</v>
      </c>
      <c r="AA735" s="300" t="n">
        <v>280210</v>
      </c>
      <c r="AB735" s="298" t="n">
        <v>0</v>
      </c>
      <c r="AC735" s="298" t="inlineStr">
        <is>
          <t>-</t>
        </is>
      </c>
      <c r="AD735" s="300" t="n">
        <v>28021</v>
      </c>
      <c r="AE735" s="298" t="n">
        <v>0</v>
      </c>
      <c r="AF735" s="562" t="n">
        <v>0</v>
      </c>
      <c r="AG735" s="198" t="n">
        <v>0</v>
      </c>
      <c r="AH735" s="198" t="n">
        <v>0</v>
      </c>
      <c r="AI735" s="198" t="n">
        <v>0</v>
      </c>
      <c r="AJ735" s="198" t="n">
        <v>0</v>
      </c>
      <c r="AK735" s="198" t="n">
        <v>0</v>
      </c>
      <c r="AL735" s="198" t="n">
        <v>0.01</v>
      </c>
      <c r="AM735" s="198" t="n">
        <v>0</v>
      </c>
      <c r="AN735" s="198" t="inlineStr">
        <is>
          <t>ចំណូលពីសេវាកម្ម (លើកដាក់ទំនិញ)</t>
        </is>
      </c>
    </row>
    <row r="736">
      <c r="A736" s="212">
        <f>A735+1</f>
        <v/>
      </c>
      <c r="B736" s="214" t="inlineStr">
        <is>
          <t>Trucking &amp; Clearance-Ex</t>
        </is>
      </c>
      <c r="C736" s="214" t="inlineStr">
        <is>
          <t>WANAKA LOGISTICS CO., LTD.</t>
        </is>
      </c>
      <c r="D736" s="215" t="inlineStr">
        <is>
          <t>K005-901907953</t>
        </is>
      </c>
      <c r="E736" s="290" t="inlineStr">
        <is>
          <t>WL25-001768</t>
        </is>
      </c>
      <c r="F736" s="279" t="n">
        <v>45800</v>
      </c>
      <c r="G736" s="216" t="n"/>
      <c r="H736" s="564" t="n"/>
      <c r="I736" s="564" t="n">
        <v>156117</v>
      </c>
      <c r="J736" s="213" t="inlineStr">
        <is>
          <t>អនុញ្ញាត (បានប្រកាស)</t>
        </is>
      </c>
      <c r="K736" s="565" t="n"/>
      <c r="L736" s="563">
        <f>I736</f>
        <v/>
      </c>
      <c r="M736" s="536">
        <f>I736-L736</f>
        <v/>
      </c>
      <c r="N736" s="213" t="n"/>
      <c r="O736" s="218">
        <f>U736=E736</f>
        <v/>
      </c>
      <c r="P736" s="218">
        <f>MONTH(F736)-MONTH(T736)</f>
        <v/>
      </c>
      <c r="Q736" s="218">
        <f>$B$5=X736</f>
        <v/>
      </c>
      <c r="R736" s="218">
        <f>I736-AD736</f>
        <v/>
      </c>
      <c r="S736" s="298" t="n"/>
      <c r="T736" s="299" t="n">
        <v>45800</v>
      </c>
      <c r="U736" s="298" t="inlineStr">
        <is>
          <t>WL25-001768</t>
        </is>
      </c>
      <c r="V736" s="298" t="n"/>
      <c r="W736" s="298" t="n"/>
      <c r="X736" s="298" t="n"/>
      <c r="Y736" s="298" t="inlineStr">
        <is>
          <t>ហូលីដេ ឌីហ្សាញ (ខេមបូឌា) ឯ.ក</t>
        </is>
      </c>
      <c r="Z736" s="300" t="n"/>
      <c r="AA736" s="300" t="n"/>
      <c r="AB736" s="298" t="n"/>
      <c r="AC736" s="298" t="n"/>
      <c r="AD736" s="300" t="n">
        <v>156117</v>
      </c>
      <c r="AE736" s="298" t="n"/>
      <c r="AF736" s="562" t="n"/>
    </row>
    <row r="737">
      <c r="A737" s="212">
        <f>A736+1</f>
        <v/>
      </c>
      <c r="B737" s="214" t="inlineStr">
        <is>
          <t>Lift-Off-Ex</t>
        </is>
      </c>
      <c r="C737" s="214" t="inlineStr">
        <is>
          <t>PHNOM PENH AUTONOMOUS PORT "PPAP"</t>
        </is>
      </c>
      <c r="D737" s="215" t="inlineStr">
        <is>
          <t>L001-100044999</t>
        </is>
      </c>
      <c r="E737" s="290" t="inlineStr">
        <is>
          <t>INV20250539888</t>
        </is>
      </c>
      <c r="F737" s="279" t="n">
        <v>45798</v>
      </c>
      <c r="G737" s="216" t="n"/>
      <c r="H737" s="564" t="n"/>
      <c r="I737" s="564" t="n">
        <v>28021</v>
      </c>
      <c r="J737" s="213" t="inlineStr">
        <is>
          <t>អនុញ្ញាត (បានប្រកាស)</t>
        </is>
      </c>
      <c r="K737" s="565" t="n"/>
      <c r="L737" s="563">
        <f>I737</f>
        <v/>
      </c>
      <c r="M737" s="536">
        <f>I737-L737</f>
        <v/>
      </c>
      <c r="N737" s="213" t="n"/>
      <c r="O737" s="218">
        <f>U737=E737</f>
        <v/>
      </c>
      <c r="P737" s="218">
        <f>MONTH(F737)-MONTH(T737)</f>
        <v/>
      </c>
      <c r="Q737" s="218">
        <f>$B$5=X737</f>
        <v/>
      </c>
      <c r="R737" s="218">
        <f>I737-AD737</f>
        <v/>
      </c>
      <c r="S737" s="298" t="n"/>
      <c r="T737" s="299" t="n">
        <v>45798</v>
      </c>
      <c r="U737" s="298" t="inlineStr">
        <is>
          <t>INV20250539888</t>
        </is>
      </c>
      <c r="V737" s="298" t="n">
        <v>0</v>
      </c>
      <c r="W737" s="298" t="inlineStr">
        <is>
          <t>បុគ្គលជាប់អាករ</t>
        </is>
      </c>
      <c r="X737" s="298" t="inlineStr">
        <is>
          <t>L001-901640009</t>
        </is>
      </c>
      <c r="Y737" s="298" t="inlineStr">
        <is>
          <t>ហូលីដេ ឌីហ្សាញ (ខេមបូឌា) ឯ.ក</t>
        </is>
      </c>
      <c r="Z737" s="300" t="n">
        <v>308231</v>
      </c>
      <c r="AA737" s="300" t="n">
        <v>280210</v>
      </c>
      <c r="AB737" s="298" t="n">
        <v>0</v>
      </c>
      <c r="AC737" s="298" t="inlineStr">
        <is>
          <t>-</t>
        </is>
      </c>
      <c r="AD737" s="300" t="n">
        <v>28021</v>
      </c>
      <c r="AE737" s="298" t="n">
        <v>0</v>
      </c>
      <c r="AF737" s="562" t="n">
        <v>0</v>
      </c>
      <c r="AG737" s="198" t="n">
        <v>0</v>
      </c>
      <c r="AH737" s="198" t="n">
        <v>0</v>
      </c>
      <c r="AI737" s="198" t="n">
        <v>0</v>
      </c>
      <c r="AJ737" s="198" t="n">
        <v>0</v>
      </c>
      <c r="AK737" s="198" t="n">
        <v>0</v>
      </c>
      <c r="AL737" s="198" t="n">
        <v>0.01</v>
      </c>
      <c r="AM737" s="198" t="n">
        <v>0</v>
      </c>
      <c r="AN737" s="198" t="inlineStr">
        <is>
          <t>ចំណូលពីសេវាកម្ម (លើកដាក់ទំនិញ)</t>
        </is>
      </c>
    </row>
    <row r="738">
      <c r="A738" s="212">
        <f>A737+1</f>
        <v/>
      </c>
      <c r="B738" s="214" t="inlineStr">
        <is>
          <t>Lift-Off-Ex</t>
        </is>
      </c>
      <c r="C738" s="214" t="inlineStr">
        <is>
          <t>PHNOM PENH AUTONOMOUS PORT "PPAP"</t>
        </is>
      </c>
      <c r="D738" s="215" t="inlineStr">
        <is>
          <t>L001-100044999</t>
        </is>
      </c>
      <c r="E738" s="290" t="inlineStr">
        <is>
          <t>INV20250539897</t>
        </is>
      </c>
      <c r="F738" s="279" t="n">
        <v>45798</v>
      </c>
      <c r="G738" s="216" t="n"/>
      <c r="H738" s="564" t="n"/>
      <c r="I738" s="564" t="n">
        <v>28021</v>
      </c>
      <c r="J738" s="213" t="inlineStr">
        <is>
          <t>អនុញ្ញាត (បានប្រកាស)</t>
        </is>
      </c>
      <c r="K738" s="565" t="n"/>
      <c r="L738" s="563">
        <f>I738</f>
        <v/>
      </c>
      <c r="M738" s="536">
        <f>I738-L738</f>
        <v/>
      </c>
      <c r="N738" s="213" t="n"/>
      <c r="O738" s="218">
        <f>U738=E738</f>
        <v/>
      </c>
      <c r="P738" s="218">
        <f>MONTH(F738)-MONTH(T738)</f>
        <v/>
      </c>
      <c r="Q738" s="218">
        <f>$B$5=X738</f>
        <v/>
      </c>
      <c r="R738" s="218">
        <f>I738-AD738</f>
        <v/>
      </c>
      <c r="S738" s="298" t="n"/>
      <c r="T738" s="299" t="n">
        <v>45798</v>
      </c>
      <c r="U738" s="298" t="inlineStr">
        <is>
          <t>INV20250539897</t>
        </is>
      </c>
      <c r="V738" s="298" t="n">
        <v>0</v>
      </c>
      <c r="W738" s="298" t="inlineStr">
        <is>
          <t>បុគ្គលជាប់អាករ</t>
        </is>
      </c>
      <c r="X738" s="298" t="inlineStr">
        <is>
          <t>L001-901640009</t>
        </is>
      </c>
      <c r="Y738" s="298" t="inlineStr">
        <is>
          <t>ហូលីដេ ឌីហ្សាញ (ខេមបូឌា) ឯ.ក</t>
        </is>
      </c>
      <c r="Z738" s="300" t="n">
        <v>308231</v>
      </c>
      <c r="AA738" s="300" t="n">
        <v>280210</v>
      </c>
      <c r="AB738" s="298" t="n">
        <v>0</v>
      </c>
      <c r="AC738" s="298" t="inlineStr">
        <is>
          <t>-</t>
        </is>
      </c>
      <c r="AD738" s="300" t="n">
        <v>28021</v>
      </c>
      <c r="AE738" s="298" t="n">
        <v>0</v>
      </c>
      <c r="AF738" s="562" t="n">
        <v>0</v>
      </c>
      <c r="AG738" s="198" t="n">
        <v>0</v>
      </c>
      <c r="AH738" s="198" t="n">
        <v>0</v>
      </c>
      <c r="AI738" s="198" t="n">
        <v>0</v>
      </c>
      <c r="AJ738" s="198" t="n">
        <v>0</v>
      </c>
      <c r="AK738" s="198" t="n">
        <v>0</v>
      </c>
      <c r="AL738" s="198" t="n">
        <v>0.01</v>
      </c>
      <c r="AM738" s="198" t="n">
        <v>0</v>
      </c>
      <c r="AN738" s="198" t="inlineStr">
        <is>
          <t>ចំណូលពីសេវាកម្ម (លើកដាក់ទំនិញ)</t>
        </is>
      </c>
    </row>
    <row r="739">
      <c r="A739" s="212">
        <f>A738+1</f>
        <v/>
      </c>
      <c r="B739" s="214" t="inlineStr">
        <is>
          <t>Trucking &amp; Clearance-Ex</t>
        </is>
      </c>
      <c r="C739" s="214" t="inlineStr">
        <is>
          <t>WANAKA LOGISTICS CO., LTD.</t>
        </is>
      </c>
      <c r="D739" s="215" t="inlineStr">
        <is>
          <t>K005-901907953</t>
        </is>
      </c>
      <c r="E739" s="290" t="inlineStr">
        <is>
          <t>WL25-001767</t>
        </is>
      </c>
      <c r="F739" s="279" t="n">
        <v>45800</v>
      </c>
      <c r="G739" s="216" t="n"/>
      <c r="H739" s="564" t="n"/>
      <c r="I739" s="564" t="n">
        <v>156117</v>
      </c>
      <c r="J739" s="213" t="inlineStr">
        <is>
          <t>អនុញ្ញាត (បានប្រកាស)</t>
        </is>
      </c>
      <c r="K739" s="565" t="n"/>
      <c r="L739" s="563">
        <f>I739</f>
        <v/>
      </c>
      <c r="M739" s="536">
        <f>I739-L739</f>
        <v/>
      </c>
      <c r="N739" s="213" t="n"/>
      <c r="O739" s="218">
        <f>U739=E739</f>
        <v/>
      </c>
      <c r="P739" s="218">
        <f>MONTH(F739)-MONTH(T739)</f>
        <v/>
      </c>
      <c r="Q739" s="218">
        <f>$B$5=X739</f>
        <v/>
      </c>
      <c r="R739" s="218">
        <f>I739-AD739</f>
        <v/>
      </c>
      <c r="S739" s="298" t="n"/>
      <c r="T739" s="299" t="n">
        <v>45800</v>
      </c>
      <c r="U739" s="298" t="inlineStr">
        <is>
          <t>WL25-001767</t>
        </is>
      </c>
      <c r="V739" s="298" t="n"/>
      <c r="W739" s="298" t="n"/>
      <c r="X739" s="298" t="n"/>
      <c r="Y739" s="298" t="inlineStr">
        <is>
          <t>ហូលីដេ ឌីហ្សាញ (ខេមបូឌា) ឯ.ក</t>
        </is>
      </c>
      <c r="Z739" s="300" t="n"/>
      <c r="AA739" s="300" t="n"/>
      <c r="AB739" s="298" t="n"/>
      <c r="AC739" s="298" t="n"/>
      <c r="AD739" s="300" t="n">
        <v>156117</v>
      </c>
      <c r="AE739" s="298" t="n"/>
      <c r="AF739" s="562" t="n"/>
    </row>
    <row r="740">
      <c r="A740" s="212">
        <f>A739+1</f>
        <v/>
      </c>
      <c r="B740" s="214" t="inlineStr">
        <is>
          <t>Lift-Off-Ex</t>
        </is>
      </c>
      <c r="C740" s="214" t="inlineStr">
        <is>
          <t>PHNOM PENH AUTONOMOUS PORT "PPAP"</t>
        </is>
      </c>
      <c r="D740" s="215" t="inlineStr">
        <is>
          <t>L001-100044999</t>
        </is>
      </c>
      <c r="E740" s="290" t="inlineStr">
        <is>
          <t>INV20250539868</t>
        </is>
      </c>
      <c r="F740" s="279" t="n">
        <v>45798</v>
      </c>
      <c r="G740" s="216" t="n"/>
      <c r="H740" s="564" t="n"/>
      <c r="I740" s="564" t="n">
        <v>280210</v>
      </c>
      <c r="J740" s="213" t="inlineStr">
        <is>
          <t>អនុញ្ញាត (បានប្រកាស)</t>
        </is>
      </c>
      <c r="K740" s="565" t="n"/>
      <c r="L740" s="563">
        <f>I740</f>
        <v/>
      </c>
      <c r="M740" s="536">
        <f>I740-L740</f>
        <v/>
      </c>
      <c r="N740" s="213" t="n"/>
      <c r="O740" s="218">
        <f>U740=E740</f>
        <v/>
      </c>
      <c r="P740" s="218">
        <f>MONTH(F740)-MONTH(T740)</f>
        <v/>
      </c>
      <c r="Q740" s="218">
        <f>$B$5=X740</f>
        <v/>
      </c>
      <c r="R740" s="218">
        <f>I740-AD740</f>
        <v/>
      </c>
      <c r="S740" s="298" t="n"/>
      <c r="T740" s="299" t="n">
        <v>45798</v>
      </c>
      <c r="U740" s="298" t="inlineStr">
        <is>
          <t>INV20250539868</t>
        </is>
      </c>
      <c r="V740" s="298" t="n">
        <v>0</v>
      </c>
      <c r="W740" s="298" t="inlineStr">
        <is>
          <t>បុគ្គលជាប់អាករ</t>
        </is>
      </c>
      <c r="X740" s="298" t="inlineStr">
        <is>
          <t>L001-901640009</t>
        </is>
      </c>
      <c r="Y740" s="298" t="inlineStr">
        <is>
          <t>ហូលីដេ ឌីហ្សាញ (ខេមបូឌា) ឯ.ក</t>
        </is>
      </c>
      <c r="Z740" s="300" t="n">
        <v>3082310</v>
      </c>
      <c r="AA740" s="300" t="n">
        <v>2802100</v>
      </c>
      <c r="AB740" s="298" t="n">
        <v>0</v>
      </c>
      <c r="AC740" s="298" t="inlineStr">
        <is>
          <t>-</t>
        </is>
      </c>
      <c r="AD740" s="300" t="n">
        <v>280210</v>
      </c>
      <c r="AE740" s="298" t="n">
        <v>0</v>
      </c>
      <c r="AF740" s="562" t="n">
        <v>0</v>
      </c>
      <c r="AG740" s="198" t="n">
        <v>0</v>
      </c>
      <c r="AH740" s="198" t="n">
        <v>0</v>
      </c>
      <c r="AI740" s="198" t="n">
        <v>0</v>
      </c>
      <c r="AJ740" s="198" t="n">
        <v>0</v>
      </c>
      <c r="AK740" s="198" t="n">
        <v>0</v>
      </c>
      <c r="AL740" s="198" t="n">
        <v>0.01</v>
      </c>
      <c r="AM740" s="198" t="n">
        <v>0</v>
      </c>
      <c r="AN740" s="198" t="inlineStr">
        <is>
          <t>ចំណូលពីសេវាកម្ម (លើកដាក់ទំនិញ)</t>
        </is>
      </c>
    </row>
    <row r="741">
      <c r="A741" s="212">
        <f>A740+1</f>
        <v/>
      </c>
      <c r="B741" s="214" t="inlineStr">
        <is>
          <t>Trucking &amp; Clearance-Ex</t>
        </is>
      </c>
      <c r="C741" s="214" t="inlineStr">
        <is>
          <t>WANAKA LOGISTICS CO., LTD.</t>
        </is>
      </c>
      <c r="D741" s="215" t="inlineStr">
        <is>
          <t>K005-901907953</t>
        </is>
      </c>
      <c r="E741" s="290" t="inlineStr">
        <is>
          <t>WL25-001766</t>
        </is>
      </c>
      <c r="F741" s="279" t="n">
        <v>45800</v>
      </c>
      <c r="G741" s="216" t="n"/>
      <c r="H741" s="564" t="n"/>
      <c r="I741" s="564" t="n">
        <v>1565974</v>
      </c>
      <c r="J741" s="213" t="inlineStr">
        <is>
          <t>អនុញ្ញាត (បានប្រកាស)</t>
        </is>
      </c>
      <c r="K741" s="565" t="n"/>
      <c r="L741" s="563">
        <f>I741</f>
        <v/>
      </c>
      <c r="M741" s="536">
        <f>I741-L741</f>
        <v/>
      </c>
      <c r="N741" s="213" t="n"/>
      <c r="O741" s="218">
        <f>U741=E741</f>
        <v/>
      </c>
      <c r="P741" s="218">
        <f>MONTH(F741)-MONTH(T741)</f>
        <v/>
      </c>
      <c r="Q741" s="218">
        <f>$B$5=X741</f>
        <v/>
      </c>
      <c r="R741" s="218">
        <f>I741-AD741</f>
        <v/>
      </c>
      <c r="S741" s="298" t="n"/>
      <c r="T741" s="299" t="n">
        <v>45800</v>
      </c>
      <c r="U741" s="298" t="inlineStr">
        <is>
          <t>WL25-001766</t>
        </is>
      </c>
      <c r="V741" s="298" t="n"/>
      <c r="W741" s="298" t="n"/>
      <c r="X741" s="298" t="n"/>
      <c r="Y741" s="298" t="inlineStr">
        <is>
          <t>ហូលីដេ ឌីហ្សាញ (ខេមបូឌា) ឯ.ក</t>
        </is>
      </c>
      <c r="Z741" s="300" t="n"/>
      <c r="AA741" s="300" t="n"/>
      <c r="AB741" s="298" t="n"/>
      <c r="AC741" s="298" t="n"/>
      <c r="AD741" s="300" t="n">
        <v>1565974</v>
      </c>
      <c r="AE741" s="298" t="n"/>
      <c r="AF741" s="562" t="n"/>
    </row>
    <row r="742">
      <c r="A742" s="212">
        <f>A741+1</f>
        <v/>
      </c>
      <c r="B742" s="214" t="inlineStr">
        <is>
          <t>Lift-Off-Ex</t>
        </is>
      </c>
      <c r="C742" s="214" t="inlineStr">
        <is>
          <t>PHNOM PENH AUTONOMOUS PORT "PPAP"</t>
        </is>
      </c>
      <c r="D742" s="215" t="inlineStr">
        <is>
          <t>L001-100044999</t>
        </is>
      </c>
      <c r="E742" s="290" t="inlineStr">
        <is>
          <t>INV20250539870</t>
        </is>
      </c>
      <c r="F742" s="279" t="n">
        <v>45798</v>
      </c>
      <c r="G742" s="216" t="n"/>
      <c r="H742" s="564" t="n"/>
      <c r="I742" s="564" t="n">
        <v>28021</v>
      </c>
      <c r="J742" s="213" t="inlineStr">
        <is>
          <t>អនុញ្ញាត (បានប្រកាស)</t>
        </is>
      </c>
      <c r="K742" s="565" t="n"/>
      <c r="L742" s="563">
        <f>I742</f>
        <v/>
      </c>
      <c r="M742" s="536">
        <f>I742-L742</f>
        <v/>
      </c>
      <c r="N742" s="213" t="n"/>
      <c r="O742" s="218">
        <f>U742=E742</f>
        <v/>
      </c>
      <c r="P742" s="218">
        <f>MONTH(F742)-MONTH(T742)</f>
        <v/>
      </c>
      <c r="Q742" s="218">
        <f>$B$5=X742</f>
        <v/>
      </c>
      <c r="R742" s="218">
        <f>I742-AD742</f>
        <v/>
      </c>
      <c r="S742" s="298" t="n"/>
      <c r="T742" s="299" t="n">
        <v>45798</v>
      </c>
      <c r="U742" s="298" t="inlineStr">
        <is>
          <t>INV20250539870</t>
        </is>
      </c>
      <c r="V742" s="298" t="n">
        <v>0</v>
      </c>
      <c r="W742" s="298" t="inlineStr">
        <is>
          <t>បុគ្គលជាប់អាករ</t>
        </is>
      </c>
      <c r="X742" s="298" t="inlineStr">
        <is>
          <t>L001-901640009</t>
        </is>
      </c>
      <c r="Y742" s="298" t="inlineStr">
        <is>
          <t>ហូលីដេ ឌីហ្សាញ (ខេមបូឌា) ឯ.ក</t>
        </is>
      </c>
      <c r="Z742" s="300" t="n">
        <v>308231</v>
      </c>
      <c r="AA742" s="300" t="n">
        <v>280210</v>
      </c>
      <c r="AB742" s="298" t="n">
        <v>0</v>
      </c>
      <c r="AC742" s="298" t="inlineStr">
        <is>
          <t>-</t>
        </is>
      </c>
      <c r="AD742" s="300" t="n">
        <v>28021</v>
      </c>
      <c r="AE742" s="298" t="n">
        <v>0</v>
      </c>
      <c r="AF742" s="562" t="n">
        <v>0</v>
      </c>
      <c r="AG742" s="198" t="n">
        <v>0</v>
      </c>
      <c r="AH742" s="198" t="n">
        <v>0</v>
      </c>
      <c r="AI742" s="198" t="n">
        <v>0</v>
      </c>
      <c r="AJ742" s="198" t="n">
        <v>0</v>
      </c>
      <c r="AK742" s="198" t="n">
        <v>0</v>
      </c>
      <c r="AL742" s="198" t="n">
        <v>0.01</v>
      </c>
      <c r="AM742" s="198" t="n">
        <v>0</v>
      </c>
      <c r="AN742" s="198" t="inlineStr">
        <is>
          <t>ចំណូលពីសេវាកម្ម (លើកដាក់ទំនិញ)</t>
        </is>
      </c>
    </row>
    <row r="743">
      <c r="A743" s="212">
        <f>A742+1</f>
        <v/>
      </c>
      <c r="B743" s="214" t="inlineStr">
        <is>
          <t>Trucking &amp; Clearance-Ex</t>
        </is>
      </c>
      <c r="C743" s="214" t="inlineStr">
        <is>
          <t>WANAKA LOGISTICS CO., LTD.</t>
        </is>
      </c>
      <c r="D743" s="215" t="inlineStr">
        <is>
          <t>K005-901907953</t>
        </is>
      </c>
      <c r="E743" s="290" t="inlineStr">
        <is>
          <t>WL25-001772</t>
        </is>
      </c>
      <c r="F743" s="279" t="n">
        <v>45800</v>
      </c>
      <c r="G743" s="216" t="n"/>
      <c r="H743" s="564" t="n"/>
      <c r="I743" s="564" t="n">
        <v>157318</v>
      </c>
      <c r="J743" s="213" t="inlineStr">
        <is>
          <t>អនុញ្ញាត (បានប្រកាស)</t>
        </is>
      </c>
      <c r="K743" s="565" t="n"/>
      <c r="L743" s="563">
        <f>I743</f>
        <v/>
      </c>
      <c r="M743" s="536">
        <f>I743-L743</f>
        <v/>
      </c>
      <c r="N743" s="213" t="n"/>
      <c r="O743" s="218">
        <f>U743=E743</f>
        <v/>
      </c>
      <c r="P743" s="218">
        <f>MONTH(F743)-MONTH(T743)</f>
        <v/>
      </c>
      <c r="Q743" s="218">
        <f>$B$5=X743</f>
        <v/>
      </c>
      <c r="R743" s="218">
        <f>I743-AD743</f>
        <v/>
      </c>
      <c r="S743" s="298" t="n"/>
      <c r="T743" s="299" t="n">
        <v>45800</v>
      </c>
      <c r="U743" s="298" t="inlineStr">
        <is>
          <t>WL25-001772</t>
        </is>
      </c>
      <c r="V743" s="298" t="n"/>
      <c r="W743" s="298" t="n"/>
      <c r="X743" s="298" t="n"/>
      <c r="Y743" s="298" t="inlineStr">
        <is>
          <t>ហូលីដេ ឌីហ្សាញ (ខេមបូឌា) ឯ.ក</t>
        </is>
      </c>
      <c r="Z743" s="300" t="n"/>
      <c r="AA743" s="300" t="n"/>
      <c r="AB743" s="298" t="n"/>
      <c r="AC743" s="298" t="n"/>
      <c r="AD743" s="300" t="n">
        <v>157318</v>
      </c>
      <c r="AE743" s="298" t="n"/>
      <c r="AF743" s="562" t="n"/>
    </row>
    <row r="744">
      <c r="A744" s="212">
        <f>A743+1</f>
        <v/>
      </c>
      <c r="B744" s="214" t="inlineStr">
        <is>
          <t>Lift-Off-Ex</t>
        </is>
      </c>
      <c r="C744" s="214" t="inlineStr">
        <is>
          <t>PHNOM PENH AUTONOMOUS PORT "PPAP"</t>
        </is>
      </c>
      <c r="D744" s="215" t="inlineStr">
        <is>
          <t>L001-100044999</t>
        </is>
      </c>
      <c r="E744" s="290" t="inlineStr">
        <is>
          <t>INV20250539884</t>
        </is>
      </c>
      <c r="F744" s="279" t="n">
        <v>45798</v>
      </c>
      <c r="G744" s="216" t="n"/>
      <c r="H744" s="564" t="n"/>
      <c r="I744" s="564" t="n">
        <v>56042</v>
      </c>
      <c r="J744" s="213" t="inlineStr">
        <is>
          <t>អនុញ្ញាត (បានប្រកាស)</t>
        </is>
      </c>
      <c r="K744" s="565" t="n"/>
      <c r="L744" s="563">
        <f>I744</f>
        <v/>
      </c>
      <c r="M744" s="536">
        <f>I744-L744</f>
        <v/>
      </c>
      <c r="N744" s="213" t="n"/>
      <c r="O744" s="218">
        <f>U744=E744</f>
        <v/>
      </c>
      <c r="P744" s="218">
        <f>MONTH(F744)-MONTH(T744)</f>
        <v/>
      </c>
      <c r="Q744" s="218">
        <f>$B$5=X744</f>
        <v/>
      </c>
      <c r="R744" s="218">
        <f>I744-AD744</f>
        <v/>
      </c>
      <c r="S744" s="298" t="n"/>
      <c r="T744" s="299" t="n">
        <v>45798</v>
      </c>
      <c r="U744" s="298" t="inlineStr">
        <is>
          <t>INV20250539884</t>
        </is>
      </c>
      <c r="V744" s="298" t="n">
        <v>0</v>
      </c>
      <c r="W744" s="298" t="inlineStr">
        <is>
          <t>បុគ្គលជាប់អាករ</t>
        </is>
      </c>
      <c r="X744" s="298" t="inlineStr">
        <is>
          <t>L001-901640009</t>
        </is>
      </c>
      <c r="Y744" s="298" t="inlineStr">
        <is>
          <t>ហូលីដេ ឌីហ្សាញ (ខេមបូឌា) ឯ.ក</t>
        </is>
      </c>
      <c r="Z744" s="300" t="n">
        <v>616462</v>
      </c>
      <c r="AA744" s="300" t="n">
        <v>560420</v>
      </c>
      <c r="AB744" s="298" t="n">
        <v>0</v>
      </c>
      <c r="AC744" s="298" t="inlineStr">
        <is>
          <t>-</t>
        </is>
      </c>
      <c r="AD744" s="300" t="n">
        <v>56042</v>
      </c>
      <c r="AE744" s="298" t="n">
        <v>0</v>
      </c>
      <c r="AF744" s="562" t="n">
        <v>0</v>
      </c>
      <c r="AG744" s="198" t="n">
        <v>0</v>
      </c>
      <c r="AH744" s="198" t="n">
        <v>0</v>
      </c>
      <c r="AI744" s="198" t="n">
        <v>0</v>
      </c>
      <c r="AJ744" s="198" t="n">
        <v>0</v>
      </c>
      <c r="AK744" s="198" t="n">
        <v>0</v>
      </c>
      <c r="AL744" s="198" t="n">
        <v>0.01</v>
      </c>
      <c r="AM744" s="198" t="n">
        <v>0</v>
      </c>
      <c r="AN744" s="198" t="inlineStr">
        <is>
          <t>ចំណូលពីសេវាកម្ម (លើកដាក់ទំនិញ)</t>
        </is>
      </c>
    </row>
    <row r="745">
      <c r="A745" s="212">
        <f>A744+1</f>
        <v/>
      </c>
      <c r="B745" s="214" t="inlineStr">
        <is>
          <t>Trucking &amp; Clearance-Ex</t>
        </is>
      </c>
      <c r="C745" s="214" t="inlineStr">
        <is>
          <t>WANAKA LOGISTICS CO., LTD.</t>
        </is>
      </c>
      <c r="D745" s="215" t="inlineStr">
        <is>
          <t>K005-901907953</t>
        </is>
      </c>
      <c r="E745" s="290" t="inlineStr">
        <is>
          <t>WL25-001778</t>
        </is>
      </c>
      <c r="F745" s="279" t="n">
        <v>45800</v>
      </c>
      <c r="G745" s="216" t="n"/>
      <c r="H745" s="564" t="n"/>
      <c r="I745" s="564" t="n">
        <v>1415861</v>
      </c>
      <c r="J745" s="213" t="inlineStr">
        <is>
          <t>អនុញ្ញាត (បានប្រកាស)</t>
        </is>
      </c>
      <c r="K745" s="565" t="n"/>
      <c r="L745" s="563">
        <f>I745</f>
        <v/>
      </c>
      <c r="M745" s="536">
        <f>I745-L745</f>
        <v/>
      </c>
      <c r="N745" s="213" t="n"/>
      <c r="O745" s="218">
        <f>U745=E745</f>
        <v/>
      </c>
      <c r="P745" s="218">
        <f>MONTH(F745)-MONTH(T745)</f>
        <v/>
      </c>
      <c r="Q745" s="218">
        <f>$B$5=X745</f>
        <v/>
      </c>
      <c r="R745" s="218">
        <f>I745-AD745</f>
        <v/>
      </c>
      <c r="S745" s="298" t="n"/>
      <c r="T745" s="299" t="n">
        <v>45800</v>
      </c>
      <c r="U745" s="298" t="inlineStr">
        <is>
          <t>WL25-001778</t>
        </is>
      </c>
      <c r="V745" s="298" t="n"/>
      <c r="W745" s="298" t="n"/>
      <c r="X745" s="298" t="n"/>
      <c r="Y745" s="298" t="inlineStr">
        <is>
          <t>ហូលីដេ ឌីហ្សាញ (ខេមបូឌា) ឯ.ក</t>
        </is>
      </c>
      <c r="Z745" s="300" t="n"/>
      <c r="AA745" s="300" t="n"/>
      <c r="AB745" s="298" t="n"/>
      <c r="AC745" s="298" t="n"/>
      <c r="AD745" s="300" t="n">
        <v>1415861</v>
      </c>
      <c r="AE745" s="298" t="n"/>
      <c r="AF745" s="562" t="n"/>
    </row>
    <row r="746">
      <c r="A746" s="212">
        <f>A745+1</f>
        <v/>
      </c>
      <c r="B746" s="214" t="inlineStr">
        <is>
          <t>Lift-Off-Ex</t>
        </is>
      </c>
      <c r="C746" s="214" t="inlineStr">
        <is>
          <t>PHNOM PENH AUTONOMOUS PORT "PPAP"</t>
        </is>
      </c>
      <c r="D746" s="215" t="inlineStr">
        <is>
          <t>L001-100044999</t>
        </is>
      </c>
      <c r="E746" s="290" t="inlineStr">
        <is>
          <t>INV20250539881</t>
        </is>
      </c>
      <c r="F746" s="279" t="n">
        <v>45798</v>
      </c>
      <c r="G746" s="216" t="n"/>
      <c r="H746" s="564" t="n"/>
      <c r="I746" s="564" t="n">
        <v>56042</v>
      </c>
      <c r="J746" s="213" t="inlineStr">
        <is>
          <t>អនុញ្ញាត (បានប្រកាស)</t>
        </is>
      </c>
      <c r="K746" s="565" t="n"/>
      <c r="L746" s="563">
        <f>I746</f>
        <v/>
      </c>
      <c r="M746" s="536">
        <f>I746-L746</f>
        <v/>
      </c>
      <c r="N746" s="213" t="n"/>
      <c r="O746" s="218">
        <f>U746=E746</f>
        <v/>
      </c>
      <c r="P746" s="218">
        <f>MONTH(F746)-MONTH(T746)</f>
        <v/>
      </c>
      <c r="Q746" s="218">
        <f>$B$5=X746</f>
        <v/>
      </c>
      <c r="R746" s="218">
        <f>I746-AD746</f>
        <v/>
      </c>
      <c r="S746" s="298" t="n"/>
      <c r="T746" s="299" t="n">
        <v>45798</v>
      </c>
      <c r="U746" s="298" t="inlineStr">
        <is>
          <t>INV20250539881</t>
        </is>
      </c>
      <c r="V746" s="298" t="n">
        <v>0</v>
      </c>
      <c r="W746" s="298" t="inlineStr">
        <is>
          <t>បុគ្គលជាប់អាករ</t>
        </is>
      </c>
      <c r="X746" s="298" t="inlineStr">
        <is>
          <t>L001-901640009</t>
        </is>
      </c>
      <c r="Y746" s="298" t="inlineStr">
        <is>
          <t>ហូលីដេ ឌីហ្សាញ (ខេមបូឌា) ឯ.ក</t>
        </is>
      </c>
      <c r="Z746" s="300" t="n">
        <v>616462</v>
      </c>
      <c r="AA746" s="300" t="n">
        <v>560420</v>
      </c>
      <c r="AB746" s="298" t="n">
        <v>0</v>
      </c>
      <c r="AC746" s="298" t="inlineStr">
        <is>
          <t>-</t>
        </is>
      </c>
      <c r="AD746" s="300" t="n">
        <v>56042</v>
      </c>
      <c r="AE746" s="298" t="n">
        <v>0</v>
      </c>
      <c r="AF746" s="562" t="n">
        <v>0</v>
      </c>
      <c r="AG746" s="198" t="n">
        <v>0</v>
      </c>
      <c r="AH746" s="198" t="n">
        <v>0</v>
      </c>
      <c r="AI746" s="198" t="n">
        <v>0</v>
      </c>
      <c r="AJ746" s="198" t="n">
        <v>0</v>
      </c>
      <c r="AK746" s="198" t="n">
        <v>0</v>
      </c>
      <c r="AL746" s="198" t="n">
        <v>0.01</v>
      </c>
      <c r="AM746" s="198" t="n">
        <v>0</v>
      </c>
      <c r="AN746" s="198" t="inlineStr">
        <is>
          <t>ចំណូលពីសេវាកម្ម (លើកដាក់ទំនិញ)</t>
        </is>
      </c>
    </row>
    <row r="747">
      <c r="A747" s="212">
        <f>A746+1</f>
        <v/>
      </c>
      <c r="B747" s="214" t="inlineStr">
        <is>
          <t>Trucking &amp; Clearance-Ex</t>
        </is>
      </c>
      <c r="C747" s="214" t="inlineStr">
        <is>
          <t>WANAKA LOGISTICS CO., LTD.</t>
        </is>
      </c>
      <c r="D747" s="215" t="inlineStr">
        <is>
          <t>K005-901907953</t>
        </is>
      </c>
      <c r="E747" s="290" t="inlineStr">
        <is>
          <t>WL25-001777</t>
        </is>
      </c>
      <c r="F747" s="279" t="n">
        <v>45800</v>
      </c>
      <c r="G747" s="216" t="n"/>
      <c r="H747" s="564" t="n"/>
      <c r="I747" s="564" t="n">
        <v>332249</v>
      </c>
      <c r="J747" s="213" t="inlineStr">
        <is>
          <t>អនុញ្ញាត (បានប្រកាស)</t>
        </is>
      </c>
      <c r="K747" s="565" t="n"/>
      <c r="L747" s="563">
        <f>I747</f>
        <v/>
      </c>
      <c r="M747" s="536">
        <f>I747-L747</f>
        <v/>
      </c>
      <c r="N747" s="213" t="n"/>
      <c r="O747" s="218">
        <f>U747=E747</f>
        <v/>
      </c>
      <c r="P747" s="218">
        <f>MONTH(F747)-MONTH(T747)</f>
        <v/>
      </c>
      <c r="Q747" s="218">
        <f>$B$5=X747</f>
        <v/>
      </c>
      <c r="R747" s="218">
        <f>I747-AD747</f>
        <v/>
      </c>
      <c r="S747" s="298" t="n"/>
      <c r="T747" s="299" t="n">
        <v>45800</v>
      </c>
      <c r="U747" s="298" t="inlineStr">
        <is>
          <t>WL25-001777</t>
        </is>
      </c>
      <c r="V747" s="298" t="n"/>
      <c r="W747" s="298" t="n"/>
      <c r="X747" s="298" t="n"/>
      <c r="Y747" s="298" t="inlineStr">
        <is>
          <t>ហូលីដេ ឌីហ្សាញ (ខេមបូឌា) ឯ.ក</t>
        </is>
      </c>
      <c r="Z747" s="300" t="n"/>
      <c r="AA747" s="300" t="n"/>
      <c r="AB747" s="298" t="n"/>
      <c r="AC747" s="298" t="n"/>
      <c r="AD747" s="300" t="n">
        <v>332249</v>
      </c>
      <c r="AE747" s="298" t="n"/>
      <c r="AF747" s="562" t="n"/>
    </row>
    <row r="748">
      <c r="A748" s="212">
        <f>A747+1</f>
        <v/>
      </c>
      <c r="B748" s="214" t="inlineStr">
        <is>
          <t>Storage 20&amp;40 Feet Container-Ex</t>
        </is>
      </c>
      <c r="C748" s="214" t="inlineStr">
        <is>
          <t>PHNOM PENH AUTONOMOUS PORT "PPAP"</t>
        </is>
      </c>
      <c r="D748" s="215" t="inlineStr">
        <is>
          <t>L001-100044999</t>
        </is>
      </c>
      <c r="E748" s="290" t="inlineStr">
        <is>
          <t>INV20250542848</t>
        </is>
      </c>
      <c r="F748" s="279" t="n">
        <v>45807</v>
      </c>
      <c r="G748" s="216" t="n"/>
      <c r="H748" s="564" t="n"/>
      <c r="I748" s="564" t="n">
        <v>6008</v>
      </c>
      <c r="J748" s="213" t="inlineStr">
        <is>
          <t>អនុញ្ញាត (បានប្រកាស)</t>
        </is>
      </c>
      <c r="K748" s="565" t="n"/>
      <c r="L748" s="563">
        <f>I748</f>
        <v/>
      </c>
      <c r="M748" s="536">
        <f>I748-L748</f>
        <v/>
      </c>
      <c r="N748" s="213" t="n"/>
      <c r="O748" s="218">
        <f>U748=E748</f>
        <v/>
      </c>
      <c r="P748" s="218">
        <f>MONTH(F748)-MONTH(T748)</f>
        <v/>
      </c>
      <c r="Q748" s="218">
        <f>$B$5=X748</f>
        <v/>
      </c>
      <c r="R748" s="218">
        <f>I748-AD748</f>
        <v/>
      </c>
      <c r="S748" s="298" t="n"/>
      <c r="T748" s="299" t="n">
        <v>45807</v>
      </c>
      <c r="U748" s="298" t="inlineStr">
        <is>
          <t>INV20250542848</t>
        </is>
      </c>
      <c r="V748" s="298" t="n">
        <v>0</v>
      </c>
      <c r="W748" s="298" t="inlineStr">
        <is>
          <t>បុគ្គលជាប់អាករ</t>
        </is>
      </c>
      <c r="X748" s="298" t="inlineStr">
        <is>
          <t>L001-901640009</t>
        </is>
      </c>
      <c r="Y748" s="298" t="inlineStr">
        <is>
          <t>ហូលីដេ ឌីហ្សាញ (ខេមបូឌា) ឯ.ក</t>
        </is>
      </c>
      <c r="Z748" s="300" t="n">
        <v>66088</v>
      </c>
      <c r="AA748" s="300" t="n">
        <v>60080</v>
      </c>
      <c r="AB748" s="298" t="n">
        <v>0</v>
      </c>
      <c r="AC748" s="298" t="inlineStr">
        <is>
          <t>-</t>
        </is>
      </c>
      <c r="AD748" s="300" t="n">
        <v>6008</v>
      </c>
      <c r="AE748" s="298" t="n">
        <v>0</v>
      </c>
      <c r="AF748" s="562" t="n">
        <v>0</v>
      </c>
      <c r="AG748" s="198" t="n">
        <v>0</v>
      </c>
      <c r="AH748" s="198" t="n">
        <v>0</v>
      </c>
      <c r="AI748" s="198" t="n">
        <v>0</v>
      </c>
      <c r="AJ748" s="198" t="n">
        <v>0</v>
      </c>
      <c r="AK748" s="198" t="n">
        <v>0</v>
      </c>
      <c r="AL748" s="198" t="n">
        <v>0.01</v>
      </c>
      <c r="AM748" s="198" t="n">
        <v>0</v>
      </c>
      <c r="AN748" s="198" t="inlineStr">
        <is>
          <t>ចំណូលពីសេវាកម្ម (លើកដាក់ទំនិញ)</t>
        </is>
      </c>
    </row>
    <row r="749">
      <c r="A749" s="212">
        <f>A748+1</f>
        <v/>
      </c>
      <c r="B749" s="214" t="inlineStr">
        <is>
          <t>Lift-Off-Ex</t>
        </is>
      </c>
      <c r="C749" s="214" t="inlineStr">
        <is>
          <t>PHNOM PENH AUTONOMOUS PORT "PPAP"</t>
        </is>
      </c>
      <c r="D749" s="215" t="inlineStr">
        <is>
          <t>L001-100044999</t>
        </is>
      </c>
      <c r="E749" s="290" t="inlineStr">
        <is>
          <t>INV20250539879</t>
        </is>
      </c>
      <c r="F749" s="279" t="n">
        <v>45798</v>
      </c>
      <c r="G749" s="216" t="n"/>
      <c r="H749" s="564" t="n"/>
      <c r="I749" s="564" t="n">
        <v>74456</v>
      </c>
      <c r="J749" s="213" t="inlineStr">
        <is>
          <t>អនុញ្ញាត (បានប្រកាស)</t>
        </is>
      </c>
      <c r="K749" s="565" t="n"/>
      <c r="L749" s="563">
        <f>I749</f>
        <v/>
      </c>
      <c r="M749" s="536">
        <f>I749-L749</f>
        <v/>
      </c>
      <c r="N749" s="213" t="n"/>
      <c r="O749" s="218">
        <f>U749=E749</f>
        <v/>
      </c>
      <c r="P749" s="218">
        <f>MONTH(F749)-MONTH(T749)</f>
        <v/>
      </c>
      <c r="Q749" s="218">
        <f>$B$5=X749</f>
        <v/>
      </c>
      <c r="R749" s="218">
        <f>I749-AD749</f>
        <v/>
      </c>
      <c r="S749" s="298" t="n"/>
      <c r="T749" s="299" t="n">
        <v>45798</v>
      </c>
      <c r="U749" s="298" t="inlineStr">
        <is>
          <t>INV20250539879</t>
        </is>
      </c>
      <c r="V749" s="298" t="n">
        <v>0</v>
      </c>
      <c r="W749" s="298" t="inlineStr">
        <is>
          <t>បុគ្គលជាប់អាករ</t>
        </is>
      </c>
      <c r="X749" s="298" t="inlineStr">
        <is>
          <t>L001-901640009</t>
        </is>
      </c>
      <c r="Y749" s="298" t="inlineStr">
        <is>
          <t>ហូលីដេ ឌីហ្សាញ (ខេមបូឌា) ឯ.ក</t>
        </is>
      </c>
      <c r="Z749" s="300" t="n">
        <v>819016</v>
      </c>
      <c r="AA749" s="300" t="n">
        <v>744560</v>
      </c>
      <c r="AB749" s="298" t="n">
        <v>0</v>
      </c>
      <c r="AC749" s="298" t="inlineStr">
        <is>
          <t>-</t>
        </is>
      </c>
      <c r="AD749" s="300" t="n">
        <v>74456</v>
      </c>
      <c r="AE749" s="298" t="n">
        <v>0</v>
      </c>
      <c r="AF749" s="562" t="n">
        <v>0</v>
      </c>
      <c r="AG749" s="198" t="n">
        <v>0</v>
      </c>
      <c r="AH749" s="198" t="n">
        <v>0</v>
      </c>
      <c r="AI749" s="198" t="n">
        <v>0</v>
      </c>
      <c r="AJ749" s="198" t="n">
        <v>0</v>
      </c>
      <c r="AK749" s="198" t="n">
        <v>0</v>
      </c>
      <c r="AL749" s="198" t="n">
        <v>0.01</v>
      </c>
      <c r="AM749" s="198" t="n">
        <v>0</v>
      </c>
      <c r="AN749" s="198" t="inlineStr">
        <is>
          <t>ចំណូលពីសេវាកម្ម (លើកដាក់ទំនិញ)</t>
        </is>
      </c>
    </row>
    <row r="750">
      <c r="A750" s="212">
        <f>A749+1</f>
        <v/>
      </c>
      <c r="B750" s="214" t="inlineStr">
        <is>
          <t>Trucking &amp; Clearance-Ex</t>
        </is>
      </c>
      <c r="C750" s="214" t="inlineStr">
        <is>
          <t>WANAKA LOGISTICS CO., LTD.</t>
        </is>
      </c>
      <c r="D750" s="215" t="inlineStr">
        <is>
          <t>K005-901907953</t>
        </is>
      </c>
      <c r="E750" s="290" t="inlineStr">
        <is>
          <t>WL25-001776</t>
        </is>
      </c>
      <c r="F750" s="279" t="n">
        <v>45800</v>
      </c>
      <c r="G750" s="216" t="n"/>
      <c r="H750" s="564" t="n"/>
      <c r="I750" s="564" t="n">
        <v>463547</v>
      </c>
      <c r="J750" s="213" t="inlineStr">
        <is>
          <t>អនុញ្ញាត (បានប្រកាស)</t>
        </is>
      </c>
      <c r="K750" s="565" t="n"/>
      <c r="L750" s="563">
        <f>I750</f>
        <v/>
      </c>
      <c r="M750" s="536">
        <f>I750-L750</f>
        <v/>
      </c>
      <c r="N750" s="213" t="n"/>
      <c r="O750" s="218">
        <f>U750=E750</f>
        <v/>
      </c>
      <c r="P750" s="218">
        <f>MONTH(F750)-MONTH(T750)</f>
        <v/>
      </c>
      <c r="Q750" s="218">
        <f>$B$5=X750</f>
        <v/>
      </c>
      <c r="R750" s="218">
        <f>I750-AD750</f>
        <v/>
      </c>
      <c r="S750" s="298" t="n"/>
      <c r="T750" s="299" t="n">
        <v>45800</v>
      </c>
      <c r="U750" s="298" t="inlineStr">
        <is>
          <t>WL25-001776</t>
        </is>
      </c>
      <c r="V750" s="298" t="n"/>
      <c r="W750" s="298" t="n"/>
      <c r="X750" s="298" t="n"/>
      <c r="Y750" s="298" t="inlineStr">
        <is>
          <t>ហូលីដេ ឌីហ្សាញ (ខេមបូឌា) ឯ.ក</t>
        </is>
      </c>
      <c r="Z750" s="300" t="n"/>
      <c r="AA750" s="300" t="n"/>
      <c r="AB750" s="298" t="n"/>
      <c r="AC750" s="298" t="n"/>
      <c r="AD750" s="300" t="n">
        <v>463547</v>
      </c>
      <c r="AE750" s="298" t="n"/>
      <c r="AF750" s="562" t="n"/>
    </row>
    <row r="751">
      <c r="A751" s="212">
        <f>A750+1</f>
        <v/>
      </c>
      <c r="B751" s="214" t="inlineStr">
        <is>
          <t>Trucking &amp; Clearance-Ex</t>
        </is>
      </c>
      <c r="C751" s="214" t="inlineStr">
        <is>
          <t>WANAKA LOGISTICS CO., LTD.</t>
        </is>
      </c>
      <c r="D751" s="215" t="inlineStr">
        <is>
          <t>K005-901907953</t>
        </is>
      </c>
      <c r="E751" s="290" t="inlineStr">
        <is>
          <t>WL25-001775</t>
        </is>
      </c>
      <c r="F751" s="279" t="n">
        <v>45800</v>
      </c>
      <c r="G751" s="216" t="n"/>
      <c r="H751" s="564" t="n"/>
      <c r="I751" s="564" t="n">
        <v>312234</v>
      </c>
      <c r="J751" s="213" t="inlineStr">
        <is>
          <t>អនុញ្ញាត (បានប្រកាស)</t>
        </is>
      </c>
      <c r="K751" s="565" t="n"/>
      <c r="L751" s="563">
        <f>I751</f>
        <v/>
      </c>
      <c r="M751" s="536">
        <f>I751-L751</f>
        <v/>
      </c>
      <c r="N751" s="213" t="n"/>
      <c r="O751" s="218">
        <f>U751=E751</f>
        <v/>
      </c>
      <c r="P751" s="218">
        <f>MONTH(F751)-MONTH(T751)</f>
        <v/>
      </c>
      <c r="Q751" s="218">
        <f>$B$5=X751</f>
        <v/>
      </c>
      <c r="R751" s="218">
        <f>I751-AD751</f>
        <v/>
      </c>
      <c r="S751" s="298" t="n"/>
      <c r="T751" s="299" t="n">
        <v>45800</v>
      </c>
      <c r="U751" s="298" t="inlineStr">
        <is>
          <t>WL25-001775</t>
        </is>
      </c>
      <c r="V751" s="298" t="n"/>
      <c r="W751" s="298" t="n"/>
      <c r="X751" s="298" t="n"/>
      <c r="Y751" s="298" t="inlineStr">
        <is>
          <t>ហូលីដេ ឌីហ្សាញ (ខេមបូឌា) ឯ.ក</t>
        </is>
      </c>
      <c r="Z751" s="300" t="n"/>
      <c r="AA751" s="300" t="n"/>
      <c r="AB751" s="298" t="n"/>
      <c r="AC751" s="298" t="n"/>
      <c r="AD751" s="300" t="n">
        <v>312234</v>
      </c>
      <c r="AE751" s="298" t="n"/>
      <c r="AF751" s="562" t="n"/>
    </row>
    <row r="752">
      <c r="A752" s="212">
        <f>A751+1</f>
        <v/>
      </c>
      <c r="B752" s="214" t="inlineStr">
        <is>
          <t>Lift-Off-Ex</t>
        </is>
      </c>
      <c r="C752" s="214" t="inlineStr">
        <is>
          <t>PHNOM PENH AUTONOMOUS PORT "PPAP"</t>
        </is>
      </c>
      <c r="D752" s="215" t="inlineStr">
        <is>
          <t>L001-100044999</t>
        </is>
      </c>
      <c r="E752" s="290" t="inlineStr">
        <is>
          <t>INV20250539875</t>
        </is>
      </c>
      <c r="F752" s="279" t="n">
        <v>45798</v>
      </c>
      <c r="G752" s="216" t="n"/>
      <c r="H752" s="564" t="n"/>
      <c r="I752" s="564" t="n">
        <v>112084</v>
      </c>
      <c r="J752" s="213" t="inlineStr">
        <is>
          <t>អនុញ្ញាត (បានប្រកាស)</t>
        </is>
      </c>
      <c r="K752" s="565" t="n"/>
      <c r="L752" s="563">
        <f>I752</f>
        <v/>
      </c>
      <c r="M752" s="536">
        <f>I752-L752</f>
        <v/>
      </c>
      <c r="N752" s="213" t="n"/>
      <c r="O752" s="218">
        <f>U752=E752</f>
        <v/>
      </c>
      <c r="P752" s="218">
        <f>MONTH(F752)-MONTH(T752)</f>
        <v/>
      </c>
      <c r="Q752" s="218">
        <f>$B$5=X752</f>
        <v/>
      </c>
      <c r="R752" s="218">
        <f>I752-AD752</f>
        <v/>
      </c>
      <c r="S752" s="298" t="n"/>
      <c r="T752" s="299" t="n">
        <v>45798</v>
      </c>
      <c r="U752" s="298" t="inlineStr">
        <is>
          <t>INV20250539875</t>
        </is>
      </c>
      <c r="V752" s="298" t="n">
        <v>0</v>
      </c>
      <c r="W752" s="298" t="inlineStr">
        <is>
          <t>បុគ្គលជាប់អាករ</t>
        </is>
      </c>
      <c r="X752" s="298" t="inlineStr">
        <is>
          <t>L001-901640009</t>
        </is>
      </c>
      <c r="Y752" s="298" t="inlineStr">
        <is>
          <t>ហូលីដេ ឌីហ្សាញ (ខេមបូឌា) ឯ.ក</t>
        </is>
      </c>
      <c r="Z752" s="300" t="n">
        <v>1232924</v>
      </c>
      <c r="AA752" s="300" t="n">
        <v>1120840</v>
      </c>
      <c r="AB752" s="298" t="n">
        <v>0</v>
      </c>
      <c r="AC752" s="298" t="inlineStr">
        <is>
          <t>-</t>
        </is>
      </c>
      <c r="AD752" s="300" t="n">
        <v>112084</v>
      </c>
      <c r="AE752" s="298" t="n">
        <v>0</v>
      </c>
      <c r="AF752" s="562" t="n">
        <v>0</v>
      </c>
      <c r="AG752" s="198" t="n">
        <v>0</v>
      </c>
      <c r="AH752" s="198" t="n">
        <v>0</v>
      </c>
      <c r="AI752" s="198" t="n">
        <v>0</v>
      </c>
      <c r="AJ752" s="198" t="n">
        <v>0</v>
      </c>
      <c r="AK752" s="198" t="n">
        <v>0</v>
      </c>
      <c r="AL752" s="198" t="n">
        <v>0.01</v>
      </c>
      <c r="AM752" s="198" t="n">
        <v>0</v>
      </c>
      <c r="AN752" s="198" t="inlineStr">
        <is>
          <t>ចំណូលពីសេវាកម្ម (លើកដាក់ទំនិញ)</t>
        </is>
      </c>
    </row>
    <row r="753">
      <c r="A753" s="212">
        <f>A752+1</f>
        <v/>
      </c>
      <c r="B753" s="214" t="inlineStr">
        <is>
          <t>Trucking &amp; Clearance-Ex</t>
        </is>
      </c>
      <c r="C753" s="214" t="inlineStr">
        <is>
          <t>WANAKA LOGISTICS CO., LTD.</t>
        </is>
      </c>
      <c r="D753" s="215" t="inlineStr">
        <is>
          <t>K005-901907953</t>
        </is>
      </c>
      <c r="E753" s="290" t="inlineStr">
        <is>
          <t>WL25-001774</t>
        </is>
      </c>
      <c r="F753" s="279" t="n">
        <v>45800</v>
      </c>
      <c r="G753" s="216" t="n"/>
      <c r="H753" s="564" t="n"/>
      <c r="I753" s="564" t="n">
        <v>624468</v>
      </c>
      <c r="J753" s="213" t="inlineStr">
        <is>
          <t>អនុញ្ញាត (បានប្រកាស)</t>
        </is>
      </c>
      <c r="K753" s="565" t="n"/>
      <c r="L753" s="563">
        <f>I753</f>
        <v/>
      </c>
      <c r="M753" s="536">
        <f>I753-L753</f>
        <v/>
      </c>
      <c r="N753" s="213" t="n"/>
      <c r="O753" s="218">
        <f>U753=E753</f>
        <v/>
      </c>
      <c r="P753" s="218">
        <f>MONTH(F753)-MONTH(T753)</f>
        <v/>
      </c>
      <c r="Q753" s="218">
        <f>$B$5=X753</f>
        <v/>
      </c>
      <c r="R753" s="218">
        <f>I753-AD753</f>
        <v/>
      </c>
      <c r="S753" s="298" t="n"/>
      <c r="T753" s="299" t="n">
        <v>45800</v>
      </c>
      <c r="U753" s="298" t="inlineStr">
        <is>
          <t>WL25-001774</t>
        </is>
      </c>
      <c r="V753" s="298" t="n"/>
      <c r="W753" s="298" t="n"/>
      <c r="X753" s="298" t="n"/>
      <c r="Y753" s="298" t="inlineStr">
        <is>
          <t>ហូលីដេ ឌីហ្សាញ (ខេមបូឌា) ឯ.ក</t>
        </is>
      </c>
      <c r="Z753" s="300" t="n"/>
      <c r="AA753" s="300" t="n"/>
      <c r="AB753" s="298" t="n"/>
      <c r="AC753" s="298" t="n"/>
      <c r="AD753" s="300" t="n">
        <v>624468</v>
      </c>
      <c r="AE753" s="298" t="n"/>
      <c r="AF753" s="562" t="n"/>
    </row>
    <row r="754">
      <c r="A754" s="212">
        <f>A753+1</f>
        <v/>
      </c>
      <c r="B754" s="214" t="inlineStr">
        <is>
          <t>Lift-Off-Ex</t>
        </is>
      </c>
      <c r="C754" s="214" t="inlineStr">
        <is>
          <t>PHNOM PENH AUTONOMOUS PORT "PPAP"</t>
        </is>
      </c>
      <c r="D754" s="215" t="inlineStr">
        <is>
          <t>L001-100044999</t>
        </is>
      </c>
      <c r="E754" s="290" t="inlineStr">
        <is>
          <t>INV20250539894</t>
        </is>
      </c>
      <c r="F754" s="279" t="n">
        <v>45798</v>
      </c>
      <c r="G754" s="216" t="n"/>
      <c r="H754" s="564" t="n"/>
      <c r="I754" s="564" t="n">
        <v>28021</v>
      </c>
      <c r="J754" s="213" t="inlineStr">
        <is>
          <t>អនុញ្ញាត (បានប្រកាស)</t>
        </is>
      </c>
      <c r="K754" s="565" t="n"/>
      <c r="L754" s="563">
        <f>I754</f>
        <v/>
      </c>
      <c r="M754" s="536">
        <f>I754-L754</f>
        <v/>
      </c>
      <c r="N754" s="213" t="n"/>
      <c r="O754" s="218">
        <f>U754=E754</f>
        <v/>
      </c>
      <c r="P754" s="218">
        <f>MONTH(F754)-MONTH(T754)</f>
        <v/>
      </c>
      <c r="Q754" s="218">
        <f>$B$5=X754</f>
        <v/>
      </c>
      <c r="R754" s="218">
        <f>I754-AD754</f>
        <v/>
      </c>
      <c r="S754" s="298" t="n"/>
      <c r="T754" s="299" t="n">
        <v>45798</v>
      </c>
      <c r="U754" s="298" t="inlineStr">
        <is>
          <t>INV20250539894</t>
        </is>
      </c>
      <c r="V754" s="298" t="n">
        <v>0</v>
      </c>
      <c r="W754" s="298" t="inlineStr">
        <is>
          <t>បុគ្គលជាប់អាករ</t>
        </is>
      </c>
      <c r="X754" s="298" t="inlineStr">
        <is>
          <t>L001-901640009</t>
        </is>
      </c>
      <c r="Y754" s="298" t="inlineStr">
        <is>
          <t>ហូលីដេ ឌីហ្សាញ (ខេមបូឌា) ឯ.ក</t>
        </is>
      </c>
      <c r="Z754" s="300" t="n">
        <v>308231</v>
      </c>
      <c r="AA754" s="300" t="n">
        <v>280210</v>
      </c>
      <c r="AB754" s="298" t="n">
        <v>0</v>
      </c>
      <c r="AC754" s="298" t="inlineStr">
        <is>
          <t>-</t>
        </is>
      </c>
      <c r="AD754" s="300" t="n">
        <v>28021</v>
      </c>
      <c r="AE754" s="298" t="n">
        <v>0</v>
      </c>
      <c r="AF754" s="562" t="n">
        <v>0</v>
      </c>
      <c r="AG754" s="198" t="n">
        <v>0</v>
      </c>
      <c r="AH754" s="198" t="n">
        <v>0</v>
      </c>
      <c r="AI754" s="198" t="n">
        <v>0</v>
      </c>
      <c r="AJ754" s="198" t="n">
        <v>0</v>
      </c>
      <c r="AK754" s="198" t="n">
        <v>0</v>
      </c>
      <c r="AL754" s="198" t="n">
        <v>0.01</v>
      </c>
      <c r="AM754" s="198" t="n">
        <v>0</v>
      </c>
      <c r="AN754" s="198" t="inlineStr">
        <is>
          <t>ចំណូលពីសេវាកម្ម (លើកដាក់ទំនិញ)</t>
        </is>
      </c>
    </row>
    <row r="755">
      <c r="A755" s="212">
        <f>A754+1</f>
        <v/>
      </c>
      <c r="B755" s="214" t="inlineStr">
        <is>
          <t>Trucking &amp; Clearance-Ex</t>
        </is>
      </c>
      <c r="C755" s="214" t="inlineStr">
        <is>
          <t>WANAKA LOGISTICS CO., LTD.</t>
        </is>
      </c>
      <c r="D755" s="215" t="inlineStr">
        <is>
          <t>K005-901907953</t>
        </is>
      </c>
      <c r="E755" s="290" t="inlineStr">
        <is>
          <t>WL25-001773</t>
        </is>
      </c>
      <c r="F755" s="279" t="n">
        <v>45800</v>
      </c>
      <c r="G755" s="216" t="n"/>
      <c r="H755" s="564" t="n"/>
      <c r="I755" s="564" t="n">
        <v>157318</v>
      </c>
      <c r="J755" s="213" t="inlineStr">
        <is>
          <t>អនុញ្ញាត (បានប្រកាស)</t>
        </is>
      </c>
      <c r="K755" s="565" t="n"/>
      <c r="L755" s="563">
        <f>I755</f>
        <v/>
      </c>
      <c r="M755" s="536">
        <f>I755-L755</f>
        <v/>
      </c>
      <c r="N755" s="213" t="n"/>
      <c r="O755" s="218">
        <f>U755=E755</f>
        <v/>
      </c>
      <c r="P755" s="218">
        <f>MONTH(F755)-MONTH(T755)</f>
        <v/>
      </c>
      <c r="Q755" s="218">
        <f>$B$5=X755</f>
        <v/>
      </c>
      <c r="R755" s="218">
        <f>I755-AD755</f>
        <v/>
      </c>
      <c r="S755" s="298" t="n"/>
      <c r="T755" s="299" t="n">
        <v>45800</v>
      </c>
      <c r="U755" s="298" t="inlineStr">
        <is>
          <t>WL25-001773</t>
        </is>
      </c>
      <c r="V755" s="298" t="n"/>
      <c r="W755" s="298" t="n"/>
      <c r="X755" s="298" t="n"/>
      <c r="Y755" s="298" t="inlineStr">
        <is>
          <t>ហូលីដេ ឌីហ្សាញ (ខេមបូឌា) ឯ.ក</t>
        </is>
      </c>
      <c r="Z755" s="300" t="n"/>
      <c r="AA755" s="300" t="n"/>
      <c r="AB755" s="298" t="n"/>
      <c r="AC755" s="298" t="n"/>
      <c r="AD755" s="300" t="n">
        <v>157318</v>
      </c>
      <c r="AE755" s="298" t="n"/>
      <c r="AF755" s="562" t="n"/>
    </row>
    <row r="756">
      <c r="A756" s="212">
        <f>A755+1</f>
        <v/>
      </c>
      <c r="B756" s="214" t="inlineStr">
        <is>
          <t>Lift-Off-Ex</t>
        </is>
      </c>
      <c r="C756" s="214" t="inlineStr">
        <is>
          <t>PHNOM PENH AUTONOMOUS PORT "PPAP"</t>
        </is>
      </c>
      <c r="D756" s="215" t="inlineStr">
        <is>
          <t>L001-100044999</t>
        </is>
      </c>
      <c r="E756" s="290" t="inlineStr">
        <is>
          <t>INV20250539887</t>
        </is>
      </c>
      <c r="F756" s="279" t="n">
        <v>45798</v>
      </c>
      <c r="G756" s="216" t="n"/>
      <c r="H756" s="564" t="n"/>
      <c r="I756" s="564" t="n">
        <v>28021</v>
      </c>
      <c r="J756" s="213" t="inlineStr">
        <is>
          <t>អនុញ្ញាត (បានប្រកាស)</t>
        </is>
      </c>
      <c r="K756" s="565" t="n"/>
      <c r="L756" s="563">
        <f>I756</f>
        <v/>
      </c>
      <c r="M756" s="536">
        <f>I756-L756</f>
        <v/>
      </c>
      <c r="N756" s="213" t="n"/>
      <c r="O756" s="218">
        <f>U756=E756</f>
        <v/>
      </c>
      <c r="P756" s="218">
        <f>MONTH(F756)-MONTH(T756)+YEAR(F756)-YEAR(T756)</f>
        <v/>
      </c>
      <c r="Q756" s="218">
        <f>$B$5=X756</f>
        <v/>
      </c>
      <c r="R756" s="218">
        <f>I756-AD756</f>
        <v/>
      </c>
      <c r="S756" s="298" t="n"/>
      <c r="T756" s="299" t="n">
        <v>45433</v>
      </c>
      <c r="U756" s="298" t="inlineStr">
        <is>
          <t>INV20250539887</t>
        </is>
      </c>
      <c r="V756" s="298" t="n">
        <v>0</v>
      </c>
      <c r="W756" s="298" t="inlineStr">
        <is>
          <t>បុគ្គលជាប់អាករ</t>
        </is>
      </c>
      <c r="X756" s="298" t="inlineStr">
        <is>
          <t>L001-901640009</t>
        </is>
      </c>
      <c r="Y756" s="298" t="inlineStr">
        <is>
          <t>ហូលីដេ ឌីហ្សាញ (ខេមបូឌា) ឯ.ក</t>
        </is>
      </c>
      <c r="Z756" s="300" t="n">
        <v>308231</v>
      </c>
      <c r="AA756" s="300" t="n">
        <v>280210</v>
      </c>
      <c r="AB756" s="298" t="n">
        <v>0</v>
      </c>
      <c r="AC756" s="298" t="inlineStr">
        <is>
          <t>-</t>
        </is>
      </c>
      <c r="AD756" s="300" t="n">
        <v>28021</v>
      </c>
      <c r="AE756" s="298" t="n">
        <v>0</v>
      </c>
      <c r="AF756" s="562" t="n">
        <v>0</v>
      </c>
      <c r="AG756" s="198" t="n">
        <v>0</v>
      </c>
      <c r="AH756" s="198" t="n">
        <v>0</v>
      </c>
      <c r="AI756" s="198" t="n">
        <v>0</v>
      </c>
      <c r="AJ756" s="198" t="n">
        <v>0</v>
      </c>
      <c r="AK756" s="198" t="n">
        <v>0</v>
      </c>
      <c r="AL756" s="198" t="n">
        <v>0.01</v>
      </c>
      <c r="AM756" s="198" t="n">
        <v>0</v>
      </c>
      <c r="AN756" s="198" t="inlineStr">
        <is>
          <t>ចំណូលពីសេវាកម្ម (លើកដាក់ទំនិញ)</t>
        </is>
      </c>
    </row>
    <row r="757">
      <c r="A757" s="212">
        <f>A756+1</f>
        <v/>
      </c>
      <c r="B757" s="214" t="inlineStr">
        <is>
          <t>Handling Fee,FCR Fee</t>
        </is>
      </c>
      <c r="C757" s="214" t="inlineStr">
        <is>
          <t>CENTURY DISTRIBUTION SYSTEMS (CAMBODIA) CO., LTD.</t>
        </is>
      </c>
      <c r="D757" s="215" t="inlineStr">
        <is>
          <t>L001-902205494</t>
        </is>
      </c>
      <c r="E757" s="290" t="inlineStr">
        <is>
          <t>CDS202504-2521</t>
        </is>
      </c>
      <c r="F757" s="279" t="n">
        <v>45755</v>
      </c>
      <c r="G757" s="216" t="n"/>
      <c r="H757" s="564" t="n"/>
      <c r="I757" s="564" t="n">
        <v>144072</v>
      </c>
      <c r="J757" s="213" t="inlineStr">
        <is>
          <t>អនុញ្ញាត (បានប្រកាស)</t>
        </is>
      </c>
      <c r="K757" s="565" t="n"/>
      <c r="L757" s="563">
        <f>I757</f>
        <v/>
      </c>
      <c r="M757" s="536">
        <f>I757-L757</f>
        <v/>
      </c>
      <c r="N757" s="213" t="n"/>
      <c r="O757" s="218">
        <f>U757=E757</f>
        <v/>
      </c>
      <c r="P757" s="218">
        <f>MONTH(F757)-MONTH(T757)</f>
        <v/>
      </c>
      <c r="Q757" s="218">
        <f>$B$5=X757</f>
        <v/>
      </c>
      <c r="R757" s="218">
        <f>I757-AD757</f>
        <v/>
      </c>
      <c r="S757" s="298" t="n"/>
      <c r="T757" s="301" t="n">
        <v>45755</v>
      </c>
      <c r="U757" s="298" t="inlineStr">
        <is>
          <t>CDS202504-2521</t>
        </is>
      </c>
      <c r="V757" s="298" t="n">
        <v>0</v>
      </c>
      <c r="W757" s="298" t="inlineStr">
        <is>
          <t>បុគ្គលជាប់អាករ</t>
        </is>
      </c>
      <c r="X757" s="298" t="inlineStr">
        <is>
          <t>L001-901640009</t>
        </is>
      </c>
      <c r="Y757" s="298" t="inlineStr">
        <is>
          <t>ហូលីដេ ឌីហ្សាញ (ខេមបូឌា) ឯ.ក</t>
        </is>
      </c>
      <c r="Z757" s="300" t="n">
        <v>1584792</v>
      </c>
      <c r="AA757" s="300" t="n">
        <v>1440720</v>
      </c>
      <c r="AB757" s="298" t="n">
        <v>0</v>
      </c>
      <c r="AC757" s="298" t="inlineStr">
        <is>
          <t>-</t>
        </is>
      </c>
      <c r="AD757" s="300" t="n">
        <v>144072</v>
      </c>
      <c r="AE757" s="298" t="n">
        <v>0</v>
      </c>
      <c r="AF757" s="562" t="n">
        <v>0</v>
      </c>
      <c r="AG757" s="198" t="n">
        <v>0</v>
      </c>
      <c r="AH757" s="198" t="n">
        <v>0</v>
      </c>
      <c r="AI757" s="198" t="n">
        <v>0</v>
      </c>
      <c r="AJ757" s="198" t="n">
        <v>0</v>
      </c>
      <c r="AK757" s="198" t="n">
        <v>0</v>
      </c>
      <c r="AL757" s="198" t="n">
        <v>0.01</v>
      </c>
      <c r="AM757" s="198" t="n">
        <v>0</v>
      </c>
      <c r="AN757" s="198" t="inlineStr">
        <is>
          <t>OCEAN SHIPPING LOCAL CHARGES</t>
        </is>
      </c>
      <c r="AO757" s="198" t="inlineStr">
        <is>
          <t>បានប្រកាសនិងបង់ពន្ធ</t>
        </is>
      </c>
    </row>
    <row r="758" ht="25.2" customHeight="1" s="331">
      <c r="A758" s="212" t="n"/>
      <c r="B758" s="220" t="n"/>
      <c r="C758" s="220" t="n"/>
      <c r="D758" s="221" t="n"/>
      <c r="E758" s="567" t="n"/>
      <c r="F758" s="568" t="n"/>
      <c r="G758" s="216" t="n"/>
      <c r="H758" s="569" t="n"/>
      <c r="I758" s="570" t="n"/>
      <c r="J758" s="562" t="n"/>
      <c r="K758" s="571" t="n"/>
      <c r="L758" s="563" t="n"/>
    </row>
    <row r="759" ht="25.2" customHeight="1" s="331">
      <c r="A759" s="226" t="inlineStr">
        <is>
          <t>Total</t>
        </is>
      </c>
      <c r="B759" s="226" t="n"/>
      <c r="C759" s="226" t="n"/>
      <c r="D759" s="226" t="n"/>
      <c r="E759" s="226" t="n"/>
      <c r="F759" s="226" t="n"/>
      <c r="G759" s="226" t="n"/>
      <c r="H759" s="226" t="n"/>
      <c r="I759" s="227">
        <f>SUM(I9:I757)</f>
        <v/>
      </c>
      <c r="J759" s="213" t="n"/>
      <c r="K759" s="563" t="n"/>
      <c r="L759" s="227">
        <f>SUM(L9:L757)</f>
        <v/>
      </c>
      <c r="M759" s="227">
        <f>SUM(M9:M757)</f>
        <v/>
      </c>
      <c r="N759" s="303" t="n"/>
    </row>
    <row r="761" customFormat="1" s="230">
      <c r="A761" s="235" t="inlineStr">
        <is>
          <t>តារាងសង្ខេបប្រាក់អាករដែលអាចស្នើសុំបង្វិលសង ហូលីដេ ឌីហ្សាញ (ខេមបូឌា) ឯ.ក</t>
        </is>
      </c>
      <c r="B761" s="198" t="n"/>
      <c r="C761" s="198" t="n"/>
      <c r="D761" s="198" t="n"/>
      <c r="E761" s="198" t="n"/>
      <c r="F761" s="198" t="n"/>
      <c r="G761" s="198" t="n"/>
      <c r="H761" s="198" t="n"/>
      <c r="I761" s="198" t="n"/>
      <c r="J761" s="403" t="n"/>
      <c r="K761" s="403" t="n"/>
      <c r="L761" s="572" t="n"/>
      <c r="M761" s="573" t="n"/>
      <c r="N761" s="573" t="n"/>
      <c r="O761" s="231" t="n"/>
      <c r="P761" s="231" t="n"/>
      <c r="Q761" s="231" t="n"/>
      <c r="R761" s="231" t="n"/>
      <c r="S761" s="281" t="n"/>
      <c r="T761" s="573" t="n"/>
      <c r="U761" s="573" t="n"/>
      <c r="V761" s="573" t="n"/>
      <c r="W761" s="573" t="n"/>
      <c r="X761" s="573" t="n"/>
      <c r="Y761" s="573" t="n"/>
      <c r="Z761" s="573" t="n"/>
      <c r="AA761" s="573" t="n"/>
      <c r="AB761" s="573" t="n"/>
      <c r="AC761" s="573" t="n"/>
      <c r="AD761" s="573" t="n"/>
      <c r="AE761" s="573" t="n"/>
      <c r="AF761" s="231" t="n"/>
      <c r="AG761" s="231" t="n"/>
      <c r="AI761" s="231" t="n"/>
      <c r="AJ761" s="231" t="n"/>
    </row>
    <row r="762" ht="24.6" customFormat="1" customHeight="1" s="230">
      <c r="A762" s="226" t="inlineStr">
        <is>
          <t>ចំនួន.វិ</t>
        </is>
      </c>
      <c r="B762" s="226" t="inlineStr">
        <is>
          <t>បរិយាយ</t>
        </is>
      </c>
      <c r="C762" s="292" t="inlineStr">
        <is>
          <t>ចំនួនទឹកប្រាក់</t>
        </is>
      </c>
      <c r="D762" s="242" t="inlineStr">
        <is>
          <t>តាង</t>
        </is>
      </c>
      <c r="E762" s="242" t="inlineStr">
        <is>
          <t>ផ្សេងៗ</t>
        </is>
      </c>
      <c r="K762" s="374" t="n"/>
      <c r="L762" s="572" t="n"/>
      <c r="M762" s="573" t="n"/>
      <c r="N762" s="573" t="n"/>
      <c r="O762" s="231" t="n"/>
      <c r="P762" s="231" t="n"/>
      <c r="Q762" s="231" t="n"/>
      <c r="R762" s="231" t="n"/>
      <c r="S762" s="281" t="n"/>
      <c r="T762" s="573" t="n"/>
      <c r="U762" s="573" t="n"/>
      <c r="V762" s="573" t="n"/>
      <c r="W762" s="573" t="n"/>
      <c r="X762" s="573" t="n"/>
      <c r="Y762" s="573" t="n"/>
      <c r="Z762" s="573" t="n"/>
      <c r="AA762" s="573" t="n"/>
      <c r="AB762" s="573" t="n"/>
      <c r="AC762" s="573" t="n"/>
      <c r="AD762" s="573" t="n"/>
      <c r="AE762" s="573" t="n"/>
      <c r="AF762" s="231" t="n"/>
      <c r="AG762" s="232" t="n"/>
      <c r="AI762" s="231" t="n"/>
      <c r="AJ762" s="231" t="n"/>
    </row>
    <row r="763" customFormat="1" s="230">
      <c r="A763" s="212" t="n"/>
      <c r="B763" s="213" t="inlineStr">
        <is>
          <t>ចំនួនប្រាក់អាករលើការនាំចូល</t>
        </is>
      </c>
      <c r="C763" s="243">
        <f>'Annex II-IM Non-State Charge'!#REF!</f>
        <v/>
      </c>
      <c r="D763" s="237" t="n"/>
      <c r="E763" s="237" t="n"/>
      <c r="K763" s="405" t="n"/>
      <c r="L763" s="572" t="n"/>
      <c r="M763" s="573" t="n"/>
      <c r="N763" s="573" t="n"/>
      <c r="O763" s="231" t="n"/>
      <c r="P763" s="231" t="n"/>
      <c r="Q763" s="231" t="n"/>
      <c r="R763" s="231" t="n"/>
      <c r="S763" s="281" t="n"/>
      <c r="T763" s="573" t="n"/>
      <c r="U763" s="573" t="n"/>
      <c r="V763" s="573" t="n"/>
      <c r="W763" s="573" t="n"/>
      <c r="X763" s="573" t="n"/>
      <c r="Y763" s="573" t="n"/>
      <c r="Z763" s="573" t="n"/>
      <c r="AA763" s="573" t="n"/>
      <c r="AB763" s="573" t="n"/>
      <c r="AC763" s="573" t="n"/>
      <c r="AD763" s="573" t="n"/>
      <c r="AE763" s="573" t="n"/>
      <c r="AF763" s="231" t="n"/>
      <c r="AG763" s="232" t="n"/>
      <c r="AI763" s="231" t="n"/>
      <c r="AJ763" s="231" t="n"/>
    </row>
    <row r="764" customFormat="1" s="230">
      <c r="A764" s="555" t="n"/>
      <c r="B764" s="213" t="inlineStr">
        <is>
          <t>ចំនួនប្រាក់អាករលើធាតុចូលទិញក្នុងស្រុក</t>
        </is>
      </c>
      <c r="C764" s="243">
        <f>I759</f>
        <v/>
      </c>
      <c r="D764" s="237" t="n"/>
      <c r="E764" s="237" t="n"/>
      <c r="F764" s="239" t="n"/>
      <c r="G764" s="198" t="n"/>
      <c r="H764" s="535" t="n"/>
      <c r="I764" s="405" t="n"/>
      <c r="J764" s="403" t="n"/>
      <c r="K764" s="403" t="n"/>
      <c r="L764" s="572" t="n"/>
      <c r="M764" s="573" t="n"/>
      <c r="N764" s="573" t="n"/>
      <c r="O764" s="231" t="n"/>
      <c r="P764" s="231" t="n"/>
      <c r="Q764" s="231" t="n"/>
      <c r="R764" s="231" t="n"/>
      <c r="S764" s="281" t="n"/>
      <c r="T764" s="573" t="n"/>
      <c r="U764" s="573" t="n"/>
      <c r="V764" s="573" t="n"/>
      <c r="W764" s="573" t="n"/>
      <c r="X764" s="573" t="n"/>
      <c r="Y764" s="573" t="n"/>
      <c r="Z764" s="573" t="n"/>
      <c r="AA764" s="573" t="n"/>
      <c r="AB764" s="573" t="n"/>
      <c r="AC764" s="573" t="n"/>
      <c r="AD764" s="573" t="n"/>
      <c r="AE764" s="573" t="n"/>
      <c r="AF764" s="231" t="n"/>
      <c r="AG764" s="232" t="n"/>
      <c r="AI764" s="231" t="n"/>
      <c r="AJ764" s="231" t="n"/>
    </row>
    <row r="765" customFormat="1" s="230">
      <c r="A765" s="555" t="n"/>
      <c r="B765" s="240" t="inlineStr">
        <is>
          <t>ចំនួនប្រាក់អាករលើធាតុចូលសរុប</t>
        </is>
      </c>
      <c r="C765" s="241">
        <f>C763+C764</f>
        <v/>
      </c>
      <c r="D765" s="242" t="n"/>
      <c r="E765" s="237" t="n"/>
      <c r="F765" s="239" t="n"/>
      <c r="G765" s="198" t="n"/>
      <c r="H765" s="535" t="n"/>
      <c r="I765" s="236" t="n"/>
      <c r="J765" s="403" t="n"/>
      <c r="K765" s="403" t="n"/>
      <c r="L765" s="572" t="n"/>
      <c r="M765" s="573" t="n"/>
      <c r="N765" s="573" t="n"/>
      <c r="O765" s="231" t="n"/>
      <c r="P765" s="231" t="n"/>
      <c r="Q765" s="231" t="n"/>
      <c r="R765" s="231" t="n"/>
      <c r="S765" s="281" t="n"/>
      <c r="T765" s="573" t="n"/>
      <c r="U765" s="573" t="n"/>
      <c r="V765" s="573" t="n"/>
      <c r="W765" s="573" t="n"/>
      <c r="X765" s="573" t="n"/>
      <c r="Y765" s="573" t="n"/>
      <c r="Z765" s="573" t="n"/>
      <c r="AA765" s="573" t="n"/>
      <c r="AB765" s="573" t="n"/>
      <c r="AC765" s="573" t="n"/>
      <c r="AD765" s="573" t="n"/>
      <c r="AE765" s="573" t="n"/>
      <c r="AF765" s="231" t="n"/>
      <c r="AG765" s="231" t="n"/>
      <c r="AI765" s="231" t="n"/>
      <c r="AJ765" s="231" t="n"/>
    </row>
    <row r="766" customFormat="1" s="230">
      <c r="A766" s="555" t="n"/>
      <c r="B766" s="213" t="inlineStr">
        <is>
          <t>ចំនួនប្រាក់អាករលើធាតុចេញលក់ក្នុងស្រុក</t>
        </is>
      </c>
      <c r="C766" s="243">
        <f>'Annex V-Local Sale'!#REF!</f>
        <v/>
      </c>
      <c r="D766" s="242" t="n"/>
      <c r="E766" s="237" t="n"/>
      <c r="F766" s="239" t="n"/>
      <c r="G766" s="198" t="n"/>
      <c r="H766" s="535" t="n"/>
      <c r="I766" s="236" t="n"/>
      <c r="J766" s="403" t="n"/>
      <c r="K766" s="403" t="n"/>
      <c r="L766" s="572" t="n"/>
      <c r="M766" s="573" t="n"/>
      <c r="N766" s="573" t="n"/>
      <c r="O766" s="291" t="n"/>
      <c r="P766" s="291" t="n"/>
      <c r="Q766" s="291" t="n"/>
      <c r="R766" s="291" t="n"/>
      <c r="S766" s="281" t="n"/>
      <c r="T766" s="573" t="n"/>
      <c r="U766" s="573" t="n"/>
      <c r="V766" s="573" t="n"/>
      <c r="W766" s="573" t="n"/>
      <c r="X766" s="573" t="n"/>
      <c r="Y766" s="573" t="n"/>
      <c r="Z766" s="573" t="n"/>
      <c r="AA766" s="573" t="n"/>
      <c r="AB766" s="573" t="n"/>
      <c r="AC766" s="573" t="n"/>
      <c r="AD766" s="573" t="n"/>
      <c r="AE766" s="573" t="n"/>
      <c r="AF766" s="231" t="n"/>
      <c r="AG766" s="231" t="n"/>
      <c r="AI766" s="231" t="n"/>
      <c r="AJ766" s="231" t="n"/>
    </row>
    <row r="767" customFormat="1" s="230">
      <c r="A767" s="555" t="n"/>
      <c r="B767" s="240" t="inlineStr">
        <is>
          <t>ចំនួនប្រាក់អាករលើធាតុចេញសរុប</t>
        </is>
      </c>
      <c r="C767" s="243">
        <f>C766</f>
        <v/>
      </c>
      <c r="D767" s="242" t="n"/>
      <c r="E767" s="237" t="n"/>
      <c r="F767" s="239" t="n"/>
      <c r="G767" s="198" t="n"/>
      <c r="H767" s="535" t="n"/>
      <c r="I767" s="236" t="n"/>
      <c r="J767" s="403" t="n"/>
      <c r="K767" s="403" t="n"/>
      <c r="L767" s="572" t="n"/>
      <c r="M767" s="573" t="n"/>
      <c r="N767" s="573" t="n"/>
      <c r="O767" s="291" t="n"/>
      <c r="P767" s="291" t="n"/>
      <c r="Q767" s="291" t="n"/>
      <c r="R767" s="291" t="n"/>
      <c r="S767" s="281" t="n"/>
      <c r="T767" s="573" t="n"/>
      <c r="U767" s="573" t="n"/>
      <c r="V767" s="573" t="n"/>
      <c r="W767" s="573" t="n"/>
      <c r="X767" s="573" t="n"/>
      <c r="Y767" s="573" t="n"/>
      <c r="Z767" s="573" t="n"/>
      <c r="AA767" s="573" t="n"/>
      <c r="AB767" s="573" t="n"/>
      <c r="AC767" s="573" t="n"/>
      <c r="AD767" s="573" t="n"/>
      <c r="AE767" s="573" t="n"/>
      <c r="AF767" s="231" t="n"/>
      <c r="AG767" s="231" t="n"/>
      <c r="AI767" s="231" t="n"/>
      <c r="AJ767" s="231" t="n"/>
    </row>
    <row r="768" customFormat="1" s="230">
      <c r="A768" s="555" t="n"/>
      <c r="B768" s="244" t="inlineStr">
        <is>
          <t>ចំនួនប្រាក់អាករដែលអាចធ្វើការផ្ទៀងផ្ទាត់</t>
        </is>
      </c>
      <c r="C768" s="245">
        <f>C765-C767</f>
        <v/>
      </c>
      <c r="D768" s="242" t="n"/>
      <c r="E768" s="287" t="n"/>
      <c r="F768" s="239" t="n"/>
      <c r="G768" s="198" t="n"/>
      <c r="H768" s="535" t="n"/>
      <c r="I768" s="236" t="n"/>
      <c r="J768" s="403" t="n"/>
      <c r="K768" s="403" t="n"/>
      <c r="L768" s="572" t="n"/>
      <c r="M768" s="573" t="n"/>
      <c r="N768" s="573" t="inlineStr">
        <is>
          <t>ហូលីដេ ឌីហ្សាញ (ខេមបូឌា) ឯ.ក</t>
        </is>
      </c>
      <c r="O768" s="291" t="n"/>
      <c r="P768" s="291" t="n"/>
      <c r="Q768" s="291" t="n"/>
      <c r="R768" s="291" t="n"/>
      <c r="S768" s="281" t="n"/>
      <c r="T768" s="573" t="n"/>
      <c r="U768" s="573" t="n"/>
      <c r="V768" s="573" t="n"/>
      <c r="W768" s="573" t="n"/>
      <c r="X768" s="573" t="n"/>
      <c r="Y768" s="573" t="n"/>
      <c r="Z768" s="573" t="n"/>
      <c r="AA768" s="573" t="n"/>
      <c r="AB768" s="573" t="n"/>
      <c r="AC768" s="573" t="n"/>
      <c r="AD768" s="573" t="n"/>
      <c r="AE768" s="573" t="n"/>
      <c r="AF768" s="231" t="n"/>
      <c r="AG768" s="231" t="n"/>
      <c r="AI768" s="231" t="n"/>
      <c r="AJ768" s="231" t="n"/>
    </row>
    <row r="769" customFormat="1" s="230">
      <c r="A769" s="520" t="n"/>
      <c r="B769" s="226" t="inlineStr">
        <is>
          <t>ចំនួនប្រាក់អាករស្នើសុំតាមប្រព័ន្ធ E-VAT</t>
        </is>
      </c>
      <c r="C769" s="227">
        <f>'Company information'!H9</f>
        <v/>
      </c>
      <c r="D769" s="242" t="inlineStr">
        <is>
          <t>ក</t>
        </is>
      </c>
      <c r="E769" s="213" t="n"/>
      <c r="F769" s="236" t="n"/>
      <c r="G769" s="198" t="n"/>
      <c r="H769" s="535" t="n"/>
      <c r="I769" s="236" t="n"/>
      <c r="J769" s="403" t="n"/>
      <c r="K769" s="403" t="n"/>
      <c r="L769" s="572" t="n"/>
      <c r="M769" s="573" t="n"/>
      <c r="N769" s="304" t="n"/>
      <c r="O769" s="231" t="n"/>
      <c r="P769" s="231" t="n"/>
      <c r="Q769" s="231" t="n"/>
      <c r="R769" s="231" t="n"/>
      <c r="S769" s="281" t="n"/>
      <c r="T769" s="573" t="n"/>
      <c r="U769" s="573" t="n"/>
      <c r="V769" s="573" t="n"/>
      <c r="W769" s="573" t="n"/>
      <c r="X769" s="573" t="n"/>
      <c r="Y769" s="573" t="n"/>
      <c r="Z769" s="573" t="n"/>
      <c r="AA769" s="573" t="n"/>
      <c r="AB769" s="573" t="n"/>
      <c r="AC769" s="573" t="n"/>
      <c r="AD769" s="573" t="n"/>
      <c r="AE769" s="573" t="n"/>
      <c r="AF769" s="231" t="n"/>
      <c r="AG769" s="231" t="n"/>
      <c r="AH769" s="404" t="n"/>
      <c r="AI769" s="231" t="n"/>
      <c r="AJ769" s="231" t="n"/>
    </row>
    <row r="770" ht="40.2" customFormat="1" customHeight="1" s="230">
      <c r="A770" s="313">
        <f>COUNTIF($J$9:$J$757,"អនុញ្ញាត (បានប្រកាស)")</f>
        <v/>
      </c>
      <c r="B770" s="314" t="inlineStr">
        <is>
          <t>ចំនួនប្រាក់អាករដែលបានប្រកាស</t>
        </is>
      </c>
      <c r="C770" s="243">
        <f>SUMIF($J$9:$J$757,"អនុញ្ញាត (បានប្រកាស)",$L$9:$L$757)</f>
        <v/>
      </c>
      <c r="D770" s="242" t="inlineStr">
        <is>
          <t>ខ</t>
        </is>
      </c>
      <c r="E770" s="213" t="inlineStr">
        <is>
          <t>គួរអនុញ្ញាត</t>
        </is>
      </c>
      <c r="K770" s="403" t="n"/>
      <c r="L770" s="572" t="n"/>
      <c r="M770" s="573" t="n"/>
      <c r="N770" s="304" t="n"/>
      <c r="O770" s="231" t="n"/>
      <c r="P770" s="231" t="n"/>
      <c r="Q770" s="231" t="n"/>
      <c r="R770" s="231" t="n"/>
      <c r="S770" s="281" t="n"/>
      <c r="T770" s="573" t="n"/>
      <c r="U770" s="573" t="n"/>
      <c r="V770" s="573" t="n"/>
      <c r="W770" s="573" t="n"/>
      <c r="X770" s="573" t="n"/>
      <c r="Y770" s="573" t="n"/>
      <c r="Z770" s="573" t="n"/>
      <c r="AA770" s="573" t="n"/>
      <c r="AB770" s="573" t="n"/>
      <c r="AC770" s="573" t="n"/>
      <c r="AD770" s="573" t="n"/>
      <c r="AE770" s="573" t="n"/>
      <c r="AF770" s="231" t="n"/>
      <c r="AG770" s="232" t="n"/>
      <c r="AH770" s="234" t="n"/>
      <c r="AI770" s="231" t="n"/>
      <c r="AJ770" s="231" t="n"/>
    </row>
    <row r="771" ht="40.2" customFormat="1" customHeight="1" s="230">
      <c r="A771" s="313" t="n"/>
      <c r="B771" s="314" t="inlineStr">
        <is>
          <t>ចំនួនប្រាក់អាករទិញក្នុងស្រុក(ផ្ទៀងផ្ទាត់តាមក្រោយ)</t>
        </is>
      </c>
      <c r="C771" s="243" t="n"/>
      <c r="D771" s="242" t="n"/>
      <c r="E771" s="213" t="inlineStr">
        <is>
          <t>គួរអនុញ្ញាត(អនុលោមភាព "មាស")</t>
        </is>
      </c>
      <c r="K771" s="403" t="n"/>
      <c r="L771" s="572" t="n"/>
      <c r="M771" s="573" t="n"/>
      <c r="N771" s="304" t="n"/>
      <c r="O771" s="231" t="n"/>
      <c r="P771" s="231" t="n"/>
      <c r="Q771" s="231" t="n"/>
      <c r="R771" s="231" t="n"/>
      <c r="S771" s="281" t="n"/>
      <c r="T771" s="573" t="n"/>
      <c r="U771" s="573" t="n"/>
      <c r="V771" s="573" t="n"/>
      <c r="W771" s="573" t="n"/>
      <c r="X771" s="573" t="n"/>
      <c r="Y771" s="573" t="n"/>
      <c r="Z771" s="573" t="n"/>
      <c r="AA771" s="573" t="n"/>
      <c r="AB771" s="573" t="n"/>
      <c r="AC771" s="573" t="n"/>
      <c r="AD771" s="573" t="n"/>
      <c r="AE771" s="573" t="n"/>
      <c r="AF771" s="231" t="n"/>
      <c r="AG771" s="232" t="n"/>
      <c r="AH771" s="234" t="n"/>
      <c r="AI771" s="231" t="n"/>
      <c r="AJ771" s="231" t="n"/>
    </row>
    <row r="772" ht="40.2" customFormat="1" customHeight="1" s="230">
      <c r="A772" s="313" t="n"/>
      <c r="B772" s="314" t="inlineStr">
        <is>
          <t>ចំនួនប្រាក់អាករនាំចូលមានឯកសារគាំទ្រ(ផ្ទៀងផ្ទាត់តាមក្រោយ)</t>
        </is>
      </c>
      <c r="C772" s="243" t="n"/>
      <c r="D772" s="242" t="n"/>
      <c r="E772" s="213" t="inlineStr">
        <is>
          <t>គួរអនុញ្ញាត(អនុលោមភាព "មាស")</t>
        </is>
      </c>
      <c r="K772" s="403" t="n"/>
      <c r="L772" s="572" t="n"/>
      <c r="M772" s="573" t="n"/>
      <c r="N772" s="304" t="n"/>
      <c r="O772" s="231" t="n"/>
      <c r="P772" s="231" t="n"/>
      <c r="Q772" s="231" t="n"/>
      <c r="R772" s="231" t="n"/>
      <c r="S772" s="281" t="n"/>
      <c r="T772" s="573" t="n"/>
      <c r="U772" s="573" t="n"/>
      <c r="V772" s="573" t="n"/>
      <c r="W772" s="573" t="n"/>
      <c r="X772" s="573" t="n"/>
      <c r="Y772" s="573" t="n"/>
      <c r="Z772" s="573" t="n"/>
      <c r="AA772" s="573" t="n"/>
      <c r="AB772" s="573" t="n"/>
      <c r="AC772" s="573" t="n"/>
      <c r="AD772" s="573" t="n"/>
      <c r="AE772" s="573" t="n"/>
      <c r="AF772" s="231" t="n"/>
      <c r="AG772" s="232" t="n"/>
      <c r="AH772" s="234" t="n"/>
      <c r="AI772" s="231" t="n"/>
      <c r="AJ772" s="231" t="n"/>
    </row>
    <row r="773" customFormat="1" s="230">
      <c r="A773" s="313">
        <f>COUNTIF('Annex II-IM Non-State Charge'!#REF!,"អាចប្រើប្រាស់ជាឥណទានបាន")</f>
        <v/>
      </c>
      <c r="B773" s="314" t="inlineStr">
        <is>
          <t>ចំនួនប្រាក់អាករនាំចូលមានឯកសារគាំទ្រ</t>
        </is>
      </c>
      <c r="C773" s="243">
        <f>SUMIF('Annex II-IM Non-State Charge'!#REF!,"អាចប្រើប្រាស់ជាឥណទានបាន",'Annex II-IM Non-State Charge'!#REF!)</f>
        <v/>
      </c>
      <c r="D773" s="242" t="inlineStr">
        <is>
          <t>គ</t>
        </is>
      </c>
      <c r="E773" s="213" t="inlineStr">
        <is>
          <t>គួរអនុញ្ញាត</t>
        </is>
      </c>
      <c r="F773" s="288" t="n"/>
      <c r="G773" s="402" t="n"/>
      <c r="H773" s="402" t="n"/>
      <c r="I773" s="402" t="n"/>
      <c r="J773" s="403" t="n"/>
      <c r="K773" s="403" t="n"/>
      <c r="L773" s="572" t="n"/>
      <c r="M773" s="573" t="n"/>
      <c r="N773" s="573" t="n"/>
      <c r="O773" s="231" t="n"/>
      <c r="P773" s="231" t="n"/>
      <c r="Q773" s="231" t="n"/>
      <c r="R773" s="231" t="n"/>
      <c r="S773" s="281" t="n"/>
      <c r="T773" s="573" t="n"/>
      <c r="U773" s="573" t="n"/>
      <c r="V773" s="573" t="n"/>
      <c r="W773" s="573" t="n"/>
      <c r="X773" s="573" t="n"/>
      <c r="Y773" s="573" t="n"/>
      <c r="Z773" s="573" t="n"/>
      <c r="AA773" s="573" t="n"/>
      <c r="AB773" s="573" t="n"/>
      <c r="AC773" s="573" t="n"/>
      <c r="AD773" s="573" t="n"/>
      <c r="AE773" s="573" t="n"/>
      <c r="AF773" s="231" t="n"/>
      <c r="AG773" s="232" t="n"/>
      <c r="AH773" s="234" t="n"/>
      <c r="AI773" s="231" t="n"/>
      <c r="AJ773" s="231" t="n"/>
    </row>
    <row r="774" customFormat="1" s="230">
      <c r="A774" s="313">
        <f>'Annex II-IM Non-State Charge'!#REF!</f>
        <v/>
      </c>
      <c r="B774" s="314" t="inlineStr">
        <is>
          <t>ចំនួនប្រាក់អាករនាំចូលមិនមានឯកសារគាំទ្រ</t>
        </is>
      </c>
      <c r="C774" s="243">
        <f>C763</f>
        <v/>
      </c>
      <c r="D774" s="242" t="inlineStr">
        <is>
          <t>គ</t>
        </is>
      </c>
      <c r="E774" s="213" t="inlineStr">
        <is>
          <t>ព្យួរទុក</t>
        </is>
      </c>
      <c r="F774" s="288" t="n"/>
      <c r="G774" s="402" t="n"/>
      <c r="H774" s="402" t="n"/>
      <c r="I774" s="402" t="n"/>
      <c r="J774" s="403" t="n"/>
      <c r="K774" s="403" t="n"/>
      <c r="L774" s="572" t="n"/>
      <c r="M774" s="573" t="n"/>
      <c r="N774" s="573" t="n"/>
      <c r="O774" s="231" t="n"/>
      <c r="P774" s="231" t="n"/>
      <c r="Q774" s="231" t="n"/>
      <c r="R774" s="231" t="n"/>
      <c r="S774" s="281" t="n"/>
      <c r="T774" s="573" t="n"/>
      <c r="U774" s="573" t="n"/>
      <c r="V774" s="573" t="n"/>
      <c r="W774" s="573" t="n"/>
      <c r="X774" s="573" t="n"/>
      <c r="Y774" s="573" t="n"/>
      <c r="Z774" s="573" t="n"/>
      <c r="AA774" s="573" t="n"/>
      <c r="AB774" s="573" t="n"/>
      <c r="AC774" s="573" t="n"/>
      <c r="AD774" s="573" t="n"/>
      <c r="AE774" s="573" t="n"/>
      <c r="AF774" s="231" t="n"/>
      <c r="AG774" s="232" t="n"/>
      <c r="AH774" s="234" t="n"/>
      <c r="AI774" s="231" t="n"/>
      <c r="AJ774" s="231" t="n"/>
    </row>
    <row r="775" customFormat="1" s="230">
      <c r="A775" s="313">
        <f>COUNTIF($J$9:$J$757,"ព្យួរទុក (មិនបានប្រកាស)")</f>
        <v/>
      </c>
      <c r="B775" s="314" t="inlineStr">
        <is>
          <t>ចំនួនប្រាក់អាករដែលមិនបានប្រកាស</t>
        </is>
      </c>
      <c r="C775" s="243">
        <f>SUMIF($J$9:$J$757,"ព្យួរទុក (មិនបានប្រកាស)",$M$9:$M$757)+SUMIF($J$9:$J$757,"អនុញ្ញាត (បានប្រកាស)",$M$9:$M$757)</f>
        <v/>
      </c>
      <c r="D775" s="242" t="inlineStr">
        <is>
          <t>គ</t>
        </is>
      </c>
      <c r="E775" s="213" t="inlineStr">
        <is>
          <t>ព្យួរទុក</t>
        </is>
      </c>
      <c r="L775" s="572" t="n"/>
      <c r="M775" s="573" t="n"/>
      <c r="N775" s="573" t="n"/>
      <c r="O775" s="231" t="n"/>
      <c r="P775" s="231" t="n"/>
      <c r="Q775" s="231" t="n"/>
      <c r="R775" s="231" t="n"/>
      <c r="S775" s="281" t="n"/>
      <c r="T775" s="573" t="n"/>
      <c r="U775" s="573" t="n"/>
      <c r="V775" s="573" t="n"/>
      <c r="W775" s="573" t="n"/>
      <c r="X775" s="573" t="n"/>
      <c r="Y775" s="573" t="n"/>
      <c r="Z775" s="573" t="n"/>
      <c r="AA775" s="573" t="n"/>
      <c r="AB775" s="573" t="n"/>
      <c r="AC775" s="573" t="n"/>
      <c r="AD775" s="573" t="n"/>
      <c r="AE775" s="573" t="n"/>
      <c r="AF775" s="231" t="n"/>
      <c r="AG775" s="231" t="n"/>
      <c r="AH775" s="234" t="n"/>
      <c r="AI775" s="231" t="n"/>
      <c r="AJ775" s="231" t="n"/>
    </row>
    <row r="776" customFormat="1" s="230">
      <c r="A776" s="313">
        <f>COUNTIF($J$9:$J$757,"ព្យួរទុក (មិនមានទិន្នន័យ)")</f>
        <v/>
      </c>
      <c r="B776" s="314" t="inlineStr">
        <is>
          <t>ចំនួនប្រាក់អាករដែលមិនមានទិន្នន័យ</t>
        </is>
      </c>
      <c r="C776" s="243">
        <f>SUMIF($J$9:$J$757,"ព្យួរទុក (មិនមានទិន្នន័យ)",$M$9:$M$757)</f>
        <v/>
      </c>
      <c r="D776" s="242" t="inlineStr">
        <is>
          <t>ឃ</t>
        </is>
      </c>
      <c r="E776" s="213" t="inlineStr">
        <is>
          <t>ព្យួរទុក</t>
        </is>
      </c>
      <c r="L776" s="572" t="n"/>
      <c r="M776" s="573" t="n"/>
      <c r="N776" s="573" t="n"/>
      <c r="O776" s="233" t="n"/>
      <c r="P776" s="233" t="n"/>
      <c r="Q776" s="233" t="n"/>
      <c r="R776" s="233" t="n"/>
      <c r="S776" s="281" t="n"/>
      <c r="T776" s="573" t="n"/>
      <c r="U776" s="573" t="n"/>
      <c r="V776" s="573" t="n"/>
      <c r="W776" s="573" t="n"/>
      <c r="X776" s="573" t="n"/>
      <c r="Y776" s="573" t="n"/>
      <c r="Z776" s="573" t="n"/>
      <c r="AA776" s="573" t="n"/>
      <c r="AB776" s="573" t="n"/>
      <c r="AC776" s="573" t="n"/>
      <c r="AD776" s="573" t="n"/>
      <c r="AE776" s="573" t="n"/>
      <c r="AF776" s="231" t="n"/>
      <c r="AG776" s="231" t="n"/>
      <c r="AH776" s="234" t="n"/>
      <c r="AI776" s="231" t="n"/>
      <c r="AJ776" s="231" t="n"/>
    </row>
    <row r="777" customFormat="1" s="230">
      <c r="A777" s="313">
        <f>COUNTIF($J$9:$J$757,"ព្យួរទុក (ប្រកាសខុស)")</f>
        <v/>
      </c>
      <c r="B777" s="314" t="inlineStr">
        <is>
          <t>ចំនួនប្រាក់អាករដែលប្រកាសខុស</t>
        </is>
      </c>
      <c r="C777" s="243">
        <f>SUMIF($J$9:$J$757,"ព្យួរទុក (ប្រកាសខុស)",$M$9:$M$757)</f>
        <v/>
      </c>
      <c r="D777" s="242" t="inlineStr">
        <is>
          <t>ច</t>
        </is>
      </c>
      <c r="E777" s="213" t="inlineStr">
        <is>
          <t>ព្យួរទុក</t>
        </is>
      </c>
      <c r="L777" s="572" t="n"/>
      <c r="M777" s="573" t="n"/>
      <c r="N777" s="573" t="n"/>
      <c r="O777" s="231" t="n"/>
      <c r="P777" s="231" t="n"/>
      <c r="Q777" s="231" t="n"/>
      <c r="R777" s="231" t="n"/>
      <c r="S777" s="281" t="n"/>
      <c r="T777" s="573" t="n"/>
      <c r="U777" s="573" t="n"/>
      <c r="V777" s="573" t="n"/>
      <c r="W777" s="573" t="n"/>
      <c r="X777" s="573" t="n"/>
      <c r="Y777" s="573" t="n"/>
      <c r="Z777" s="573" t="n"/>
      <c r="AA777" s="573" t="n"/>
      <c r="AB777" s="573" t="n"/>
      <c r="AC777" s="573" t="n"/>
      <c r="AD777" s="573" t="n"/>
      <c r="AE777" s="573" t="n"/>
      <c r="AF777" s="231" t="n"/>
      <c r="AG777" s="231" t="n"/>
      <c r="AH777" s="234" t="n"/>
      <c r="AI777" s="231" t="n"/>
      <c r="AJ777" s="231" t="n"/>
    </row>
    <row r="778" ht="23.25" customFormat="1" customHeight="1" s="230">
      <c r="A778" s="313">
        <f>COUNTIF($J$9:$J$757,"ព្យួរទុក (មិនអនុញ្ញាតជាឥណទាន)")</f>
        <v/>
      </c>
      <c r="B778" s="314" t="inlineStr">
        <is>
          <t>ចំនួនប្រាក់អាករដែលមិនអនុញ្ញាតជាឥណទាន</t>
        </is>
      </c>
      <c r="C778" s="243">
        <f>SUMIF($J$9:$J$757,"ព្យួរទុក (មិនអនុញ្ញាតជាឥណទាន)",$M$9:$M$757)</f>
        <v/>
      </c>
      <c r="D778" s="242" t="inlineStr">
        <is>
          <t>ឆ</t>
        </is>
      </c>
      <c r="E778" s="213" t="inlineStr">
        <is>
          <t>ព្យួរទុក</t>
        </is>
      </c>
      <c r="L778" s="572" t="n"/>
      <c r="M778" s="573" t="n"/>
      <c r="N778" s="573" t="n"/>
      <c r="O778" s="231" t="n"/>
      <c r="P778" s="231" t="n"/>
      <c r="Q778" s="231" t="n"/>
      <c r="R778" s="231" t="n"/>
      <c r="S778" s="281" t="n"/>
      <c r="T778" s="573" t="n"/>
      <c r="U778" s="573" t="n"/>
      <c r="V778" s="573" t="n"/>
      <c r="W778" s="573" t="n"/>
      <c r="X778" s="573" t="n"/>
      <c r="Y778" s="573" t="n"/>
      <c r="Z778" s="573" t="n"/>
      <c r="AA778" s="573" t="n"/>
      <c r="AB778" s="573" t="n"/>
      <c r="AC778" s="573" t="n"/>
      <c r="AD778" s="573" t="n"/>
      <c r="AE778" s="573" t="n"/>
      <c r="AF778" s="231" t="n"/>
      <c r="AG778" s="231" t="n"/>
      <c r="AH778" s="234" t="n"/>
      <c r="AI778" s="231" t="n"/>
      <c r="AJ778" s="231" t="n"/>
    </row>
    <row r="779" ht="23.25" customFormat="1" customHeight="1" s="230">
      <c r="A779" s="313" t="n"/>
      <c r="B779" s="314" t="inlineStr">
        <is>
          <t>ចំនួនប្រាក់អាករដែលព្យួរទុកឥណទាន</t>
        </is>
      </c>
      <c r="C779" s="243" t="n"/>
      <c r="D779" s="242" t="n"/>
      <c r="E779" s="213" t="n"/>
      <c r="L779" s="572" t="n"/>
      <c r="M779" s="573" t="n"/>
      <c r="N779" s="573" t="n"/>
      <c r="O779" s="231" t="n"/>
      <c r="P779" s="231" t="n"/>
      <c r="Q779" s="231" t="n"/>
      <c r="R779" s="231" t="n"/>
      <c r="S779" s="281" t="n"/>
      <c r="T779" s="573" t="n"/>
      <c r="U779" s="573" t="n"/>
      <c r="V779" s="573" t="n"/>
      <c r="W779" s="573" t="n"/>
      <c r="X779" s="573" t="n"/>
      <c r="Y779" s="573" t="n"/>
      <c r="Z779" s="573" t="n"/>
      <c r="AA779" s="573" t="n"/>
      <c r="AB779" s="573" t="n"/>
      <c r="AC779" s="573" t="n"/>
      <c r="AD779" s="573" t="n"/>
      <c r="AE779" s="573" t="n"/>
      <c r="AF779" s="231" t="n"/>
      <c r="AG779" s="231" t="n"/>
      <c r="AH779" s="234" t="n"/>
      <c r="AI779" s="231" t="n"/>
      <c r="AJ779" s="231" t="n"/>
    </row>
    <row r="780" customFormat="1" s="230">
      <c r="A780" s="313" t="n"/>
      <c r="B780" s="314" t="inlineStr">
        <is>
          <t>លម្អៀងបា្រក់អាករជាមួយប្រព័ន្ធ E-VAT</t>
        </is>
      </c>
      <c r="C780" s="243">
        <f>C769-C768</f>
        <v/>
      </c>
      <c r="D780" s="242" t="inlineStr">
        <is>
          <t>ជ</t>
        </is>
      </c>
      <c r="E780" s="213" t="inlineStr">
        <is>
          <t>ព្យួរទុក</t>
        </is>
      </c>
      <c r="L780" s="572" t="n"/>
      <c r="M780" s="573" t="n"/>
      <c r="N780" s="573" t="n"/>
      <c r="O780" s="231" t="n"/>
      <c r="P780" s="231" t="n"/>
      <c r="Q780" s="231" t="n"/>
      <c r="R780" s="231" t="n"/>
      <c r="S780" s="281" t="n"/>
      <c r="T780" s="573" t="n"/>
      <c r="U780" s="573" t="n"/>
      <c r="V780" s="573" t="n"/>
      <c r="W780" s="573" t="n"/>
      <c r="X780" s="573" t="n"/>
      <c r="Y780" s="573" t="n"/>
      <c r="Z780" s="573" t="n"/>
      <c r="AA780" s="573" t="n"/>
      <c r="AB780" s="573" t="n"/>
      <c r="AC780" s="573" t="n"/>
      <c r="AD780" s="573" t="n"/>
      <c r="AE780" s="573" t="n"/>
      <c r="AF780" s="231" t="n"/>
      <c r="AG780" s="231" t="n"/>
      <c r="AH780" s="234" t="n"/>
      <c r="AI780" s="231" t="n"/>
      <c r="AJ780" s="231" t="n"/>
    </row>
    <row r="781" customFormat="1" s="230">
      <c r="A781" s="314" t="n"/>
      <c r="B781" s="314" t="inlineStr">
        <is>
          <t>សរុបប្រាក់អាករគួរបង្វិលសងជូនក្រុមហ៊ុន</t>
        </is>
      </c>
      <c r="C781" s="227">
        <f>C769-C775-C776</f>
        <v/>
      </c>
      <c r="D781" s="574" t="inlineStr">
        <is>
          <t>ង=ក-ខ-គ-ឃ</t>
        </is>
      </c>
      <c r="E781" s="247" t="n"/>
      <c r="L781" s="572" t="n"/>
      <c r="M781" s="573" t="n"/>
      <c r="N781" s="573" t="n"/>
      <c r="O781" s="233" t="n"/>
      <c r="P781" s="233" t="n"/>
      <c r="Q781" s="233" t="n"/>
      <c r="R781" s="233" t="n"/>
      <c r="S781" s="281" t="n"/>
      <c r="T781" s="573" t="n"/>
      <c r="U781" s="573" t="n"/>
      <c r="V781" s="573" t="n"/>
      <c r="W781" s="573" t="n"/>
      <c r="X781" s="573" t="n"/>
      <c r="Y781" s="573" t="n"/>
      <c r="Z781" s="573" t="n"/>
      <c r="AA781" s="573" t="n"/>
      <c r="AB781" s="573" t="n"/>
      <c r="AC781" s="573" t="n"/>
      <c r="AD781" s="573" t="n"/>
      <c r="AE781" s="573" t="n"/>
      <c r="AF781" s="231" t="n"/>
      <c r="AG781" s="231" t="n"/>
      <c r="AH781" s="234" t="n"/>
      <c r="AI781" s="231" t="n"/>
      <c r="AJ781" s="231" t="n"/>
    </row>
    <row r="782" ht="23.25" customHeight="1" s="331">
      <c r="A782" s="378" t="inlineStr">
        <is>
          <t>សេចក្តីធានាអះអាងរបស់មន្ត្រីសវនករទទួលបន្ទុក៖
លទ្ធផលនៃការផ្ទៀងផ្ទាត់វិក្កយបត្រអាករ (Invoice Cross-check) ខាងលើ ពិតជាត្រឹមត្រូវតាមការប្រកាសរបស់អ្នកផ្គត់ផ្គង់ពិតប្រាកដមែន។</t>
        </is>
      </c>
    </row>
    <row r="783"/>
    <row r="784"/>
    <row r="785" ht="24.6" customHeight="1" s="331">
      <c r="A785" s="374" t="inlineStr">
        <is>
          <t>រាជធានីភ្នំពេញ.ថ្ងៃទី         ខែ                   ឆ្នាំ២០២៥</t>
        </is>
      </c>
    </row>
    <row r="786">
      <c r="A786" s="405" t="inlineStr">
        <is>
          <t>មន្ត្រីសវនកម្ម</t>
        </is>
      </c>
      <c r="F786" s="402" t="inlineStr">
        <is>
          <t>បានឃើញ និងឯកភាព</t>
        </is>
      </c>
      <c r="L786" s="312" t="n"/>
    </row>
    <row r="787">
      <c r="A787" s="198" t="n"/>
      <c r="D787" s="198" t="n"/>
      <c r="E787" s="198" t="n"/>
      <c r="F787" s="404" t="inlineStr">
        <is>
          <t>រាជធានីភ្នំពេញ.ថ្ងៃទី         ខែ                   ឆ្នាំ២០២៥</t>
        </is>
      </c>
    </row>
    <row r="788">
      <c r="F788" s="405" t="inlineStr">
        <is>
          <t>ប្រធានការិយាល័យ</t>
        </is>
      </c>
    </row>
    <row r="789" ht="27" customHeight="1" s="331">
      <c r="A789" s="402">
        <f>'Company information'!C9</f>
        <v/>
      </c>
      <c r="C789" s="403">
        <f>'Company information'!D9</f>
        <v/>
      </c>
    </row>
    <row r="790">
      <c r="D790" s="575" t="n"/>
    </row>
  </sheetData>
  <mergeCells count="40">
    <mergeCell ref="F786:K786"/>
    <mergeCell ref="A785:E785"/>
    <mergeCell ref="F788:K788"/>
    <mergeCell ref="A763:A769"/>
    <mergeCell ref="R7:R8"/>
    <mergeCell ref="A7:A8"/>
    <mergeCell ref="Z7:Z8"/>
    <mergeCell ref="A782:E784"/>
    <mergeCell ref="A3:L3"/>
    <mergeCell ref="W7:Y7"/>
    <mergeCell ref="S7:S8"/>
    <mergeCell ref="U7:U8"/>
    <mergeCell ref="A2:L2"/>
    <mergeCell ref="J6:K6"/>
    <mergeCell ref="D7:D8"/>
    <mergeCell ref="J7:J8"/>
    <mergeCell ref="AG7:AG8"/>
    <mergeCell ref="P7:P8"/>
    <mergeCell ref="R5:S6"/>
    <mergeCell ref="C789:E789"/>
    <mergeCell ref="AA7:AB7"/>
    <mergeCell ref="L5:Q6"/>
    <mergeCell ref="T7:T8"/>
    <mergeCell ref="C7:C8"/>
    <mergeCell ref="V7:V8"/>
    <mergeCell ref="K7:K8"/>
    <mergeCell ref="AC7:AC8"/>
    <mergeCell ref="AF7:AF8"/>
    <mergeCell ref="O7:O8"/>
    <mergeCell ref="Q7:Q8"/>
    <mergeCell ref="T5:AJ6"/>
    <mergeCell ref="AD7:AE7"/>
    <mergeCell ref="F787:K787"/>
    <mergeCell ref="E7:F7"/>
    <mergeCell ref="A789:B789"/>
    <mergeCell ref="A1:L1"/>
    <mergeCell ref="B7:B8"/>
    <mergeCell ref="A786:E786"/>
    <mergeCell ref="L7:L8"/>
    <mergeCell ref="G7:I7"/>
  </mergeCells>
  <conditionalFormatting sqref="B762:B764">
    <cfRule type="duplicateValues" priority="5" dxfId="0"/>
  </conditionalFormatting>
  <conditionalFormatting sqref="B765:B768">
    <cfRule type="duplicateValues" priority="6" dxfId="0"/>
  </conditionalFormatting>
  <conditionalFormatting sqref="B769:B774">
    <cfRule type="duplicateValues" priority="9" dxfId="0"/>
  </conditionalFormatting>
  <conditionalFormatting sqref="B775">
    <cfRule type="duplicateValues" priority="4" dxfId="0"/>
  </conditionalFormatting>
  <conditionalFormatting sqref="B776">
    <cfRule type="duplicateValues" priority="7" dxfId="0"/>
  </conditionalFormatting>
  <conditionalFormatting sqref="B777">
    <cfRule type="duplicateValues" priority="2" dxfId="0"/>
  </conditionalFormatting>
  <conditionalFormatting sqref="B778:B779">
    <cfRule type="duplicateValues" priority="3" dxfId="0"/>
  </conditionalFormatting>
  <conditionalFormatting sqref="B780">
    <cfRule type="duplicateValues" priority="1" dxfId="0"/>
  </conditionalFormatting>
  <conditionalFormatting sqref="E758">
    <cfRule type="duplicateValues" priority="8" dxfId="0"/>
  </conditionalFormatting>
  <printOptions horizontalCentered="1"/>
  <pageMargins left="0.2" right="0.2" top="0.5" bottom="0.45" header="0" footer="0"/>
  <pageSetup orientation="portrait" paperSize="9" scale="48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topLeftCell="A4" zoomScale="55" zoomScaleNormal="55" zoomScaleSheetLayoutView="70" workbookViewId="0">
      <selection activeCell="E6" sqref="E6"/>
    </sheetView>
  </sheetViews>
  <sheetFormatPr baseColWidth="8" defaultColWidth="9.109375" defaultRowHeight="30" customHeight="1"/>
  <cols>
    <col width="12.33203125" customWidth="1" style="254" min="1" max="1"/>
    <col width="41.44140625" customWidth="1" style="254" min="2" max="2"/>
    <col width="18.77734375" customWidth="1" style="254" min="3" max="4"/>
    <col width="28.6640625" customWidth="1" style="254" min="5" max="5"/>
    <col width="9.109375" customWidth="1" style="194" min="6" max="8"/>
    <col width="17" bestFit="1" customWidth="1" style="194" min="9" max="9"/>
    <col width="9.109375" customWidth="1" style="194" min="10" max="16384"/>
  </cols>
  <sheetData>
    <row r="1" ht="30" customFormat="1" customHeight="1" s="203">
      <c r="A1" s="364" t="inlineStr">
        <is>
          <t>តារាងឧបសម្ព័ន្ធ  IV</t>
        </is>
      </c>
    </row>
    <row r="2" ht="30" customFormat="1" customHeight="1" s="203">
      <c r="A2" s="364" t="inlineStr">
        <is>
          <t>បញ្ជាក់អំពីការលក់</t>
        </is>
      </c>
    </row>
    <row r="3" ht="30" customFormat="1" customHeight="1" s="203">
      <c r="A3" s="364" t="inlineStr">
        <is>
          <t>(ការនាំចេញ/លក់បន្ទុករដ្ឋ/លក់តាមអត្រា០%)</t>
        </is>
      </c>
    </row>
    <row r="4" ht="30" customFormat="1" customHeight="1" s="203">
      <c r="A4" s="252" t="inlineStr">
        <is>
          <t>ក្រុមហ៊ុន៖</t>
        </is>
      </c>
      <c r="B4" s="200">
        <f>'Company information'!D2</f>
        <v/>
      </c>
      <c r="C4" s="201" t="n"/>
      <c r="D4" s="576" t="inlineStr">
        <is>
          <t xml:space="preserve">សវនករពន្ធដារ៖ </t>
        </is>
      </c>
      <c r="E4" s="516">
        <f>'Company information'!D8</f>
        <v/>
      </c>
    </row>
    <row r="5" ht="30" customFormat="1" customHeight="1" s="203">
      <c r="A5" s="206" t="inlineStr">
        <is>
          <t>លេខ អតប ៖</t>
        </is>
      </c>
      <c r="B5" s="200">
        <f>'Company information'!D4</f>
        <v/>
      </c>
      <c r="C5" s="201" t="n"/>
      <c r="D5" s="201" t="n"/>
      <c r="E5" s="516">
        <f>'Company information'!E8</f>
        <v/>
      </c>
    </row>
    <row r="6" ht="30" customFormat="1" customHeight="1" s="203">
      <c r="A6" s="517">
        <f>'Company information'!H8</f>
        <v/>
      </c>
      <c r="B6" s="200" t="n"/>
      <c r="D6" s="577" t="inlineStr">
        <is>
          <t>ទឹកប្រាក់ស្នើសុំបង្វិលសងចំនួន៖</t>
        </is>
      </c>
      <c r="E6" s="209">
        <f>'Company information'!H9</f>
        <v/>
      </c>
    </row>
    <row r="7" ht="30" customHeight="1" s="331">
      <c r="A7" s="365" t="inlineStr">
        <is>
          <t>ល.រ</t>
        </is>
      </c>
      <c r="B7" s="365" t="inlineStr">
        <is>
          <t>បរិយាយ</t>
        </is>
      </c>
      <c r="C7" s="365" t="inlineStr">
        <is>
          <t>ប្រតិវេទន៍គយនាំចេញ/វិក្កយបត្រ</t>
        </is>
      </c>
      <c r="D7" s="519" t="n"/>
      <c r="E7" s="365" t="inlineStr">
        <is>
          <t>តម្លៃជារៀល</t>
        </is>
      </c>
    </row>
    <row r="8" ht="30" customHeight="1" s="331">
      <c r="A8" s="520" t="n"/>
      <c r="B8" s="520" t="n"/>
      <c r="C8" s="365" t="inlineStr">
        <is>
          <t>លេខ</t>
        </is>
      </c>
      <c r="D8" s="365" t="inlineStr">
        <is>
          <t>ចុះថ្ងៃទី ខែ ឆ្នាំ</t>
        </is>
      </c>
      <c r="E8" s="520" t="n"/>
    </row>
    <row r="9" ht="30" customFormat="1" customHeight="1" s="341">
      <c r="A9" s="521" t="n">
        <v>1</v>
      </c>
      <c r="B9" s="522" t="inlineStr">
        <is>
          <t>សេវាកម្មកាត់ដេរ Garment Service</t>
        </is>
      </c>
      <c r="C9" s="522" t="inlineStr">
        <is>
          <t>ACL-20230004</t>
        </is>
      </c>
      <c r="D9" s="523" t="n">
        <v>45291</v>
      </c>
      <c r="E9" s="524" t="n">
        <v>581845</v>
      </c>
    </row>
    <row r="10" ht="30" customFormat="1" customHeight="1" s="341">
      <c r="A10" s="521" t="n">
        <v>2</v>
      </c>
      <c r="B10" s="522" t="inlineStr">
        <is>
          <t>នាំចេញសំលៀកបំពាក់</t>
        </is>
      </c>
      <c r="C10" s="522" t="inlineStr">
        <is>
          <t>PFA240512</t>
        </is>
      </c>
      <c r="D10" s="523" t="n">
        <v>45407</v>
      </c>
      <c r="E10" s="524" t="n">
        <v>74373</v>
      </c>
    </row>
    <row r="11" ht="30" customFormat="1" customHeight="1" s="341">
      <c r="A11" s="521" t="n">
        <v>3</v>
      </c>
      <c r="B11" s="522" t="inlineStr">
        <is>
          <t>នាំចេញសំលៀកបំពាក់</t>
        </is>
      </c>
      <c r="C11" s="522" t="inlineStr">
        <is>
          <t>PFA240425</t>
        </is>
      </c>
      <c r="D11" s="523" t="n">
        <v>45385</v>
      </c>
      <c r="E11" s="524" t="n">
        <v>581845</v>
      </c>
    </row>
    <row r="12" ht="30" customFormat="1" customHeight="1" s="341">
      <c r="A12" s="521" t="n">
        <v>4</v>
      </c>
      <c r="B12" s="522" t="inlineStr">
        <is>
          <t>សេវាកម្មកាត់ដេរ</t>
        </is>
      </c>
      <c r="C12" s="522" t="inlineStr">
        <is>
          <t>ACLCMT-20240009</t>
        </is>
      </c>
      <c r="D12" s="523" t="n">
        <v>45412</v>
      </c>
      <c r="E12" s="524" t="n">
        <v>581845</v>
      </c>
    </row>
    <row r="13" ht="30" customFormat="1" customHeight="1" s="341">
      <c r="A13" s="521" t="n">
        <v>5</v>
      </c>
      <c r="B13" s="522" t="inlineStr">
        <is>
          <t>សេវាកម្មកាត់ដេរ</t>
        </is>
      </c>
      <c r="C13" s="522" t="inlineStr">
        <is>
          <t>ACLCMT-20240007</t>
        </is>
      </c>
      <c r="D13" s="523" t="n">
        <v>45412</v>
      </c>
      <c r="E13" s="524" t="n">
        <v>99936</v>
      </c>
    </row>
    <row r="14" ht="30" customFormat="1" customHeight="1" s="341">
      <c r="A14" s="521" t="n">
        <v>6</v>
      </c>
      <c r="B14" s="522" t="inlineStr">
        <is>
          <t>សេវាកម្មកាត់ដេរ</t>
        </is>
      </c>
      <c r="C14" s="522" t="inlineStr">
        <is>
          <t>ACLCMT-20240048</t>
        </is>
      </c>
      <c r="D14" s="523" t="n">
        <v>45443</v>
      </c>
      <c r="E14" s="524" t="n">
        <v>74982</v>
      </c>
    </row>
    <row r="15" ht="30" customFormat="1" customHeight="1" s="341">
      <c r="A15" s="521" t="n">
        <v>7</v>
      </c>
      <c r="B15" s="522" t="inlineStr">
        <is>
          <t>នាំចេញសំលៀកបំពាក់</t>
        </is>
      </c>
      <c r="C15" s="522" t="inlineStr">
        <is>
          <t>E15445</t>
        </is>
      </c>
      <c r="D15" s="523" t="n">
        <v>45442</v>
      </c>
      <c r="E15" s="524" t="n">
        <v>74982</v>
      </c>
    </row>
    <row r="16" ht="30" customFormat="1" customHeight="1" s="341">
      <c r="A16" s="521" t="n">
        <v>8</v>
      </c>
      <c r="B16" s="522" t="inlineStr">
        <is>
          <t>សេវាកម្មកាត់ដេរ</t>
        </is>
      </c>
      <c r="C16" s="522" t="inlineStr">
        <is>
          <t>ACLCMT-20240068</t>
        </is>
      </c>
      <c r="D16" s="523" t="n">
        <v>45471</v>
      </c>
      <c r="E16" s="524" t="n">
        <v>74982</v>
      </c>
    </row>
    <row r="17" ht="30" customFormat="1" customHeight="1" s="341">
      <c r="A17" s="521" t="n">
        <v>9</v>
      </c>
      <c r="B17" s="522" t="inlineStr">
        <is>
          <t>នាំចេញសំលៀកបំពាក់</t>
        </is>
      </c>
      <c r="C17" s="522" t="inlineStr">
        <is>
          <t>E103463</t>
        </is>
      </c>
      <c r="D17" s="523" t="n">
        <v>45451</v>
      </c>
      <c r="E17" s="524" t="n">
        <v>74982</v>
      </c>
    </row>
    <row r="18" ht="30" customFormat="1" customHeight="1" s="341">
      <c r="A18" s="521" t="n">
        <v>10</v>
      </c>
      <c r="B18" s="522" t="inlineStr">
        <is>
          <t>នាំចេញសំលៀកបំពាក់</t>
        </is>
      </c>
      <c r="C18" s="522" t="inlineStr">
        <is>
          <t>E97797</t>
        </is>
      </c>
      <c r="D18" s="523" t="n">
        <v>45444</v>
      </c>
      <c r="E18" s="524" t="n">
        <v>74982</v>
      </c>
    </row>
    <row r="19" ht="30" customFormat="1" customHeight="1" s="341">
      <c r="A19" s="521" t="n">
        <v>11</v>
      </c>
      <c r="B19" s="522" t="inlineStr">
        <is>
          <t>សេវាកម្មកាត់ដេរ</t>
        </is>
      </c>
      <c r="C19" s="522" t="inlineStr">
        <is>
          <t>ACLCMT-20240168</t>
        </is>
      </c>
      <c r="D19" s="523" t="n">
        <v>45504</v>
      </c>
      <c r="E19" s="524" t="n">
        <v>74982</v>
      </c>
    </row>
    <row r="20" ht="30" customFormat="1" customHeight="1" s="341">
      <c r="A20" s="521" t="n">
        <v>12</v>
      </c>
      <c r="B20" s="522" t="inlineStr">
        <is>
          <t>សេវាកម្មកាត់ដេរ</t>
        </is>
      </c>
      <c r="C20" s="522" t="inlineStr">
        <is>
          <t>ACLCMT-20240121</t>
        </is>
      </c>
      <c r="D20" s="523" t="n">
        <v>45504</v>
      </c>
      <c r="E20" s="524" t="n">
        <v>117455</v>
      </c>
    </row>
    <row r="21" ht="30" customFormat="1" customHeight="1" s="341">
      <c r="A21" s="521" t="n">
        <v>13</v>
      </c>
      <c r="B21" s="522" t="inlineStr">
        <is>
          <t>សេវាកម្មកាត់ដេរ</t>
        </is>
      </c>
      <c r="C21" s="522" t="inlineStr">
        <is>
          <t>ACLCMT-20240114</t>
        </is>
      </c>
      <c r="D21" s="523" t="n">
        <v>45504</v>
      </c>
      <c r="E21" s="524" t="n">
        <v>117455</v>
      </c>
    </row>
    <row r="22" ht="30" customHeight="1" s="331">
      <c r="A22" s="521" t="n">
        <v>14</v>
      </c>
      <c r="B22" s="522" t="inlineStr">
        <is>
          <t>នាំចេញសំលៀកបំពាក់</t>
        </is>
      </c>
      <c r="C22" s="522" t="inlineStr">
        <is>
          <t>E139173</t>
        </is>
      </c>
      <c r="D22" s="523" t="n">
        <v>45495</v>
      </c>
      <c r="E22" s="524" t="n">
        <v>117455</v>
      </c>
    </row>
    <row r="23">
      <c r="A23" s="525" t="inlineStr">
        <is>
          <t>សរុបការនាំចេញ</t>
        </is>
      </c>
      <c r="B23" s="526" t="n"/>
      <c r="C23" s="526" t="n"/>
      <c r="D23" s="526" t="n"/>
      <c r="E23" s="527">
        <f>SUM(E9:E22)</f>
        <v/>
      </c>
    </row>
  </sheetData>
  <autoFilter ref="A8:E8"/>
  <mergeCells count="8">
    <mergeCell ref="A23:D23"/>
    <mergeCell ref="C7:D7"/>
    <mergeCell ref="A2:E2"/>
    <mergeCell ref="A7:A8"/>
    <mergeCell ref="B7:B8"/>
    <mergeCell ref="A1:E1"/>
    <mergeCell ref="E7:E8"/>
    <mergeCell ref="A3:E3"/>
  </mergeCells>
  <printOptions horizontalCentered="1"/>
  <pageMargins left="0.1" right="0.1" top="0.25" bottom="0.5" header="0.47" footer="0.3"/>
  <pageSetup orientation="portrait" paperSize="9" scale="73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zoomScale="55" zoomScaleNormal="55" zoomScaleSheetLayoutView="55" workbookViewId="0">
      <selection activeCell="H6" sqref="H6"/>
    </sheetView>
  </sheetViews>
  <sheetFormatPr baseColWidth="8" defaultColWidth="9.109375" defaultRowHeight="30" customHeight="1"/>
  <cols>
    <col width="13.44140625" customWidth="1" style="255" min="1" max="1"/>
    <col width="39.33203125" customWidth="1" style="256" min="2" max="2"/>
    <col width="18.77734375" customWidth="1" style="249" min="3" max="4"/>
    <col hidden="1" width="19.6640625" customWidth="1" style="249" min="5" max="5"/>
    <col hidden="1" width="18.6640625" customWidth="1" style="249" min="6" max="6"/>
    <col width="27.5546875" customWidth="1" style="249" min="7" max="7"/>
    <col width="22.109375" customWidth="1" style="249" min="8" max="8"/>
    <col width="9.109375" customWidth="1" style="338" min="9" max="12"/>
    <col width="29.88671875" customWidth="1" style="338" min="13" max="13"/>
    <col width="9.109375" customWidth="1" style="338" min="14" max="16384"/>
  </cols>
  <sheetData>
    <row r="1" ht="30" customFormat="1" customHeight="1" s="263">
      <c r="A1" s="412" t="inlineStr">
        <is>
          <t>តារាងឧបសម្ព័ន្ធ V</t>
        </is>
      </c>
      <c r="I1" s="261" t="n"/>
      <c r="J1" s="261" t="n"/>
    </row>
    <row r="2" ht="30" customFormat="1" customHeight="1" s="263">
      <c r="A2" s="412" t="inlineStr">
        <is>
          <t>បញ្ជាក់អំពីអាករលើធាតុចេញ</t>
        </is>
      </c>
      <c r="I2" s="261" t="n"/>
      <c r="J2" s="261" t="n"/>
    </row>
    <row r="3" ht="30" customFormat="1" customHeight="1" s="263">
      <c r="A3" s="412" t="inlineStr">
        <is>
          <t>( ការលក់ក្នុងស្រុក )</t>
        </is>
      </c>
      <c r="I3" s="261" t="n"/>
      <c r="J3" s="261" t="n"/>
    </row>
    <row r="4" ht="30" customFormat="1" customHeight="1" s="263">
      <c r="A4" s="264" t="inlineStr">
        <is>
          <t>ក្រុមហ៊ុន៖</t>
        </is>
      </c>
      <c r="B4" s="265">
        <f>'Company information'!D2</f>
        <v/>
      </c>
      <c r="C4" s="266" t="n"/>
      <c r="D4" s="266" t="n"/>
      <c r="E4" s="267" t="n"/>
      <c r="G4" s="578" t="inlineStr">
        <is>
          <t xml:space="preserve">សវនករពន្ធដារ៖ </t>
        </is>
      </c>
      <c r="H4" s="540">
        <f>'Company information'!D8</f>
        <v/>
      </c>
    </row>
    <row r="5" ht="30" customFormat="1" customHeight="1" s="263">
      <c r="A5" s="270" t="inlineStr">
        <is>
          <t>លេខ អតប ៖</t>
        </is>
      </c>
      <c r="B5" s="265">
        <f>'Company information'!D4</f>
        <v/>
      </c>
      <c r="C5" s="266" t="n"/>
      <c r="D5" s="266" t="n"/>
      <c r="E5" s="267" t="n"/>
      <c r="F5" s="266" t="n"/>
      <c r="G5" s="538" t="n"/>
      <c r="H5" s="540">
        <f>'Company information'!E8</f>
        <v/>
      </c>
    </row>
    <row r="6" ht="30" customFormat="1" customHeight="1" s="263">
      <c r="A6" s="545">
        <f>'Company information'!H8</f>
        <v/>
      </c>
      <c r="B6" s="265" t="n"/>
      <c r="D6" s="266" t="n"/>
      <c r="E6" s="267" t="n"/>
      <c r="F6" s="579" t="inlineStr">
        <is>
          <t>ទឹកប្រាក់ស្នើសុំបង្វិលសងចំនួន៖</t>
        </is>
      </c>
      <c r="H6" s="274">
        <f>'Company information'!H9</f>
        <v/>
      </c>
      <c r="J6" s="580" t="n"/>
    </row>
    <row r="7" ht="30" customFormat="1" customHeight="1" s="194">
      <c r="A7" s="366" t="inlineStr">
        <is>
          <t>ល.រ</t>
        </is>
      </c>
      <c r="B7" s="366" t="inlineStr">
        <is>
          <t>បរិយាយ</t>
        </is>
      </c>
      <c r="C7" s="366" t="inlineStr">
        <is>
          <t>វិក្កយបត្រ</t>
        </is>
      </c>
      <c r="D7" s="519" t="n"/>
      <c r="E7" s="366" t="inlineStr">
        <is>
          <t>អាករតម្លៃ (ដុល្លា)</t>
        </is>
      </c>
      <c r="F7" s="366" t="inlineStr">
        <is>
          <t>អត្រាប្តូរប្រាក់</t>
        </is>
      </c>
      <c r="G7" s="366" t="inlineStr">
        <is>
          <t>អាករតម្លៃ (រៀល)</t>
        </is>
      </c>
      <c r="H7" s="366" t="inlineStr">
        <is>
          <t>ផ្សេងៗ</t>
        </is>
      </c>
    </row>
    <row r="8" ht="30" customFormat="1" customHeight="1" s="194">
      <c r="A8" s="520" t="n"/>
      <c r="B8" s="520" t="n"/>
      <c r="C8" s="366" t="inlineStr">
        <is>
          <t>លេខ</t>
        </is>
      </c>
      <c r="D8" s="366" t="inlineStr">
        <is>
          <t>ថ្ងៃ ខែ ឆ្នាំ</t>
        </is>
      </c>
      <c r="E8" s="520" t="n"/>
      <c r="F8" s="520" t="n"/>
      <c r="G8" s="520" t="n"/>
      <c r="H8" s="520" t="n"/>
    </row>
    <row r="9" ht="30" customHeight="1" s="331">
      <c r="A9" s="521" t="n">
        <v>1</v>
      </c>
      <c r="B9" s="522" t="inlineStr">
        <is>
          <t>លក់កាកសំណល់អេតចាយ - Sale Scrap</t>
        </is>
      </c>
      <c r="C9" s="522" t="inlineStr">
        <is>
          <t>ACL-20240002</t>
        </is>
      </c>
      <c r="D9" s="523" t="n">
        <v>45314</v>
      </c>
      <c r="E9" s="522" t="n"/>
      <c r="F9" s="522" t="n"/>
      <c r="G9" s="524" t="n">
        <v>581845</v>
      </c>
      <c r="H9" s="522" t="n"/>
    </row>
    <row r="10" ht="30" customHeight="1" s="331">
      <c r="A10" s="521" t="n">
        <v>2</v>
      </c>
      <c r="B10" s="522" t="inlineStr">
        <is>
          <t>លក់កាកសំណល់អេតចាយ - Sale Scrap</t>
        </is>
      </c>
      <c r="C10" s="522" t="inlineStr">
        <is>
          <t>ACL-20240001</t>
        </is>
      </c>
      <c r="D10" s="523" t="n">
        <v>45314</v>
      </c>
      <c r="E10" s="522" t="n"/>
      <c r="F10" s="522" t="n"/>
      <c r="G10" s="524" t="n">
        <v>100136</v>
      </c>
      <c r="H10" s="522" t="n"/>
    </row>
    <row r="11" ht="30" customHeight="1" s="331">
      <c r="A11" s="521" t="n">
        <v>3</v>
      </c>
      <c r="B11" s="522" t="inlineStr">
        <is>
          <t>លក់កាកសំណល់អេតចាយ - Sale Scrap</t>
        </is>
      </c>
      <c r="C11" s="522" t="inlineStr">
        <is>
          <t>ACL-20240004</t>
        </is>
      </c>
      <c r="D11" s="523" t="n">
        <v>45341</v>
      </c>
      <c r="E11" s="522" t="n"/>
      <c r="F11" s="522" t="n"/>
      <c r="G11" s="524" t="n">
        <v>155245</v>
      </c>
      <c r="H11" s="522" t="n"/>
    </row>
    <row r="12" ht="30" customHeight="1" s="331">
      <c r="A12" s="521" t="n">
        <v>4</v>
      </c>
      <c r="B12" s="522" t="inlineStr">
        <is>
          <t>លក់កាកសំណល់អេតចាយ - Sale Scrap</t>
        </is>
      </c>
      <c r="C12" s="522" t="inlineStr">
        <is>
          <t>ACL-20240012</t>
        </is>
      </c>
      <c r="D12" s="523" t="n">
        <v>45373</v>
      </c>
      <c r="E12" s="522" t="n"/>
      <c r="F12" s="522" t="n"/>
      <c r="G12" s="524" t="n">
        <v>74982</v>
      </c>
      <c r="H12" s="522" t="n"/>
    </row>
    <row r="13" ht="30" customHeight="1" s="331">
      <c r="A13" s="521" t="n">
        <v>5</v>
      </c>
      <c r="B13" s="522" t="inlineStr">
        <is>
          <t>លក់កាកសំណល់អេតចាយ - Sale Scrap</t>
        </is>
      </c>
      <c r="C13" s="522" t="inlineStr">
        <is>
          <t>ACL-20240011</t>
        </is>
      </c>
      <c r="D13" s="523" t="n">
        <v>45356</v>
      </c>
      <c r="E13" s="522" t="n"/>
      <c r="F13" s="522" t="n"/>
      <c r="G13" s="524" t="n">
        <v>99936</v>
      </c>
      <c r="H13" s="522" t="n"/>
    </row>
    <row r="14">
      <c r="A14" s="521" t="n">
        <v>6</v>
      </c>
      <c r="B14" s="522" t="inlineStr">
        <is>
          <t>លក់កាកសំណល់អេតចាយ - Sale Scrap</t>
        </is>
      </c>
      <c r="C14" s="522" t="inlineStr">
        <is>
          <t>ACL-20240010</t>
        </is>
      </c>
      <c r="D14" s="523" t="n">
        <v>45356</v>
      </c>
      <c r="E14" s="522" t="n"/>
      <c r="F14" s="522" t="n"/>
      <c r="G14" s="524" t="n">
        <v>74373</v>
      </c>
      <c r="H14" s="522" t="n"/>
    </row>
    <row r="15">
      <c r="A15" s="521" t="n">
        <v>7</v>
      </c>
      <c r="B15" s="522" t="inlineStr">
        <is>
          <t>សេវាកម្មកាត់ដេរ</t>
        </is>
      </c>
      <c r="C15" s="522" t="inlineStr">
        <is>
          <t>ACL-20240018</t>
        </is>
      </c>
      <c r="D15" s="523" t="n">
        <v>45412</v>
      </c>
      <c r="E15" s="522" t="n"/>
      <c r="F15" s="522" t="n"/>
      <c r="G15" s="524" t="n">
        <v>6885857</v>
      </c>
      <c r="H15" s="522" t="n"/>
    </row>
    <row r="16">
      <c r="A16" s="521" t="n">
        <v>8</v>
      </c>
      <c r="B16" s="522" t="inlineStr">
        <is>
          <t>លក់កាកសំណល់អេតចាយ-Sale Scrap</t>
        </is>
      </c>
      <c r="C16" s="522" t="inlineStr">
        <is>
          <t>ACL-20240017</t>
        </is>
      </c>
      <c r="D16" s="523" t="n">
        <v>45412</v>
      </c>
      <c r="E16" s="522" t="n"/>
      <c r="F16" s="522" t="n"/>
      <c r="G16" s="524" t="n">
        <v>65291</v>
      </c>
      <c r="H16" s="522" t="n"/>
    </row>
    <row r="17">
      <c r="A17" s="521" t="n">
        <v>9</v>
      </c>
      <c r="B17" s="522" t="inlineStr">
        <is>
          <t>លក់កាកសំណល់អេតចាយ-Sale Scrap</t>
        </is>
      </c>
      <c r="C17" s="522" t="inlineStr">
        <is>
          <t>ACL-20240022</t>
        </is>
      </c>
      <c r="D17" s="523" t="n">
        <v>45470</v>
      </c>
      <c r="E17" s="522" t="n"/>
      <c r="F17" s="522" t="n"/>
      <c r="G17" s="524" t="n">
        <v>4482</v>
      </c>
      <c r="H17" s="522" t="n"/>
    </row>
    <row r="18">
      <c r="A18" s="521" t="n">
        <v>10</v>
      </c>
      <c r="B18" s="522" t="inlineStr">
        <is>
          <t>លក់កាកសំណល់អេតចាយ-Sale Scrap</t>
        </is>
      </c>
      <c r="C18" s="522" t="inlineStr">
        <is>
          <t>ACL-20240025</t>
        </is>
      </c>
      <c r="D18" s="523" t="n">
        <v>45503</v>
      </c>
      <c r="E18" s="522" t="n"/>
      <c r="F18" s="522" t="n"/>
      <c r="G18" s="524" t="n">
        <v>117455</v>
      </c>
      <c r="H18" s="522" t="n"/>
    </row>
    <row r="19">
      <c r="A19" s="521" t="n">
        <v>11</v>
      </c>
      <c r="B19" s="522" t="inlineStr">
        <is>
          <t>លក់កាកសំណល់អេតចាយ-Sale Scrap</t>
        </is>
      </c>
      <c r="C19" s="522" t="inlineStr">
        <is>
          <t>ACL-20240029</t>
        </is>
      </c>
      <c r="D19" s="523" t="n">
        <v>45534</v>
      </c>
      <c r="E19" s="522" t="n"/>
      <c r="F19" s="522" t="n"/>
      <c r="G19" s="524" t="n">
        <v>394691</v>
      </c>
      <c r="H19" s="522" t="n"/>
    </row>
    <row r="20">
      <c r="A20" s="521" t="n">
        <v>12</v>
      </c>
      <c r="B20" s="522" t="inlineStr">
        <is>
          <t>លក់កាកសំណល់អេតចាយ-Sale Scrap</t>
        </is>
      </c>
      <c r="C20" s="522" t="inlineStr">
        <is>
          <t>ACL-20240026</t>
        </is>
      </c>
      <c r="D20" s="523" t="n">
        <v>45510</v>
      </c>
      <c r="E20" s="522" t="n"/>
      <c r="F20" s="522" t="n"/>
      <c r="G20" s="524" t="n">
        <v>250215</v>
      </c>
      <c r="H20" s="522" t="n"/>
    </row>
    <row r="21">
      <c r="A21" s="521" t="n">
        <v>13</v>
      </c>
      <c r="B21" s="522" t="inlineStr">
        <is>
          <t>លក់កាកសំណល់អេតចាយ-Sale Scrap</t>
        </is>
      </c>
      <c r="C21" s="522" t="inlineStr">
        <is>
          <t>ACL-20240031</t>
        </is>
      </c>
      <c r="D21" s="523" t="n">
        <v>45619</v>
      </c>
      <c r="E21" s="522" t="n"/>
      <c r="F21" s="522" t="n"/>
      <c r="G21" s="524" t="n">
        <v>73636</v>
      </c>
      <c r="H21" s="522" t="n"/>
    </row>
    <row r="22">
      <c r="A22" s="521" t="n">
        <v>14</v>
      </c>
      <c r="B22" s="522" t="inlineStr">
        <is>
          <t>លក់កាកសំណល់អេតចាយ-Sale Scrap</t>
        </is>
      </c>
      <c r="C22" s="522" t="inlineStr">
        <is>
          <t>ACL-20240030</t>
        </is>
      </c>
      <c r="D22" s="523" t="n">
        <v>45600</v>
      </c>
      <c r="E22" s="522" t="n"/>
      <c r="F22" s="522" t="n"/>
      <c r="G22" s="524" t="n">
        <v>290909</v>
      </c>
      <c r="H22" s="522" t="n"/>
    </row>
    <row r="23">
      <c r="A23" s="525" t="inlineStr">
        <is>
          <t>សរុបការលក់ក្នុងស្រុក</t>
        </is>
      </c>
      <c r="B23" s="526" t="n"/>
      <c r="C23" s="526" t="n"/>
      <c r="D23" s="526" t="n"/>
      <c r="E23" s="526" t="n"/>
      <c r="F23" s="526" t="n"/>
      <c r="G23" s="527">
        <f>SUM(G9:G22)</f>
        <v/>
      </c>
      <c r="H23" s="526" t="n"/>
    </row>
  </sheetData>
  <autoFilter ref="A8:N8"/>
  <mergeCells count="11">
    <mergeCell ref="A3:H3"/>
    <mergeCell ref="C7:D7"/>
    <mergeCell ref="A2:H2"/>
    <mergeCell ref="A23:F23"/>
    <mergeCell ref="A7:A8"/>
    <mergeCell ref="G7:G8"/>
    <mergeCell ref="B7:B8"/>
    <mergeCell ref="E7:E8"/>
    <mergeCell ref="H7:H8"/>
    <mergeCell ref="F7:F8"/>
    <mergeCell ref="A1:H1"/>
  </mergeCells>
  <printOptions horizontalCentered="1"/>
  <pageMargins left="0.2" right="0.2" top="0.25" bottom="0.45" header="0.3" footer="0.3"/>
  <pageSetup orientation="portrait" paperSize="9" scale="61" fitToHeight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2"/>
  <sheetViews>
    <sheetView zoomScale="40" zoomScaleNormal="40" workbookViewId="0">
      <selection activeCell="R18" sqref="R18"/>
    </sheetView>
  </sheetViews>
  <sheetFormatPr baseColWidth="8" defaultColWidth="8.88671875" defaultRowHeight="30" customHeight="1"/>
  <cols>
    <col width="8.88671875" customWidth="1" style="259" min="1" max="2"/>
    <col width="48.33203125" bestFit="1" customWidth="1" style="260" min="3" max="3"/>
    <col width="22.109375" customWidth="1" style="260" min="4" max="4"/>
    <col width="11" bestFit="1" customWidth="1" style="260" min="5" max="10"/>
    <col width="12.44140625" bestFit="1" customWidth="1" style="260" min="11" max="11"/>
    <col width="10.6640625" bestFit="1" customWidth="1" style="260" min="12" max="12"/>
    <col width="10.44140625" bestFit="1" customWidth="1" style="260" min="13" max="13"/>
    <col width="10.88671875" bestFit="1" customWidth="1" style="260" min="14" max="15"/>
    <col width="11" bestFit="1" customWidth="1" style="260" min="16" max="16"/>
    <col width="10.6640625" bestFit="1" customWidth="1" style="260" min="17" max="17"/>
    <col width="11.88671875" bestFit="1" customWidth="1" style="260" min="18" max="18"/>
    <col width="10.88671875" bestFit="1" customWidth="1" style="260" min="19" max="20"/>
    <col width="10.6640625" bestFit="1" customWidth="1" style="260" min="21" max="24"/>
    <col width="10.88671875" bestFit="1" customWidth="1" style="260" min="25" max="25"/>
    <col width="10.44140625" bestFit="1" customWidth="1" style="260" min="26" max="26"/>
    <col width="13.5546875" bestFit="1" customWidth="1" style="259" min="27" max="27"/>
    <col width="10.5546875" bestFit="1" customWidth="1" style="259" min="28" max="28"/>
    <col width="10.88671875" bestFit="1" customWidth="1" style="259" min="29" max="29"/>
    <col width="10.6640625" bestFit="1" customWidth="1" style="259" min="30" max="31"/>
    <col width="11" bestFit="1" customWidth="1" style="259" min="32" max="32"/>
    <col width="10.5546875" bestFit="1" customWidth="1" style="259" min="33" max="33"/>
    <col width="10.6640625" bestFit="1" customWidth="1" style="259" min="34" max="34"/>
    <col width="11" bestFit="1" customWidth="1" style="259" min="35" max="35"/>
    <col width="10.6640625" bestFit="1" customWidth="1" style="259" min="36" max="36"/>
    <col width="11.88671875" bestFit="1" customWidth="1" style="259" min="37" max="37"/>
    <col width="10.6640625" bestFit="1" customWidth="1" style="259" min="38" max="38"/>
    <col width="10.5546875" bestFit="1" customWidth="1" style="259" min="39" max="39"/>
    <col width="10.6640625" bestFit="1" customWidth="1" style="259" min="40" max="40"/>
    <col width="11" bestFit="1" customWidth="1" style="259" min="41" max="41"/>
    <col width="10.6640625" bestFit="1" customWidth="1" style="259" min="42" max="42"/>
    <col width="10.88671875" bestFit="1" customWidth="1" style="259" min="43" max="43"/>
    <col width="9" bestFit="1" customWidth="1" style="259" min="44" max="44"/>
    <col width="8.88671875" customWidth="1" style="259" min="45" max="64"/>
    <col width="10.88671875" bestFit="1" customWidth="1" style="259" min="65" max="65"/>
    <col width="8.88671875" customWidth="1" style="259" min="66" max="16384"/>
  </cols>
  <sheetData>
    <row r="1" ht="30" customHeight="1" s="331">
      <c r="A1" s="257" t="n"/>
      <c r="B1" s="257" t="n"/>
      <c r="C1" s="258" t="n"/>
      <c r="D1" s="259" t="n"/>
      <c r="E1" s="259" t="n"/>
      <c r="F1" s="259" t="n"/>
      <c r="G1" s="259" t="n"/>
      <c r="H1" s="259" t="n"/>
      <c r="I1" s="259" t="n"/>
      <c r="J1" s="259" t="n"/>
      <c r="K1" s="259" t="n"/>
      <c r="L1" s="259" t="n"/>
      <c r="M1" s="259" t="n"/>
      <c r="N1" s="259" t="n"/>
      <c r="O1" s="259" t="n"/>
      <c r="P1" s="259" t="n"/>
      <c r="Q1" s="259" t="n"/>
      <c r="R1" s="259" t="n"/>
      <c r="S1" s="259" t="n"/>
      <c r="T1" s="259" t="n"/>
      <c r="U1" s="259" t="n"/>
      <c r="V1" s="259" t="n"/>
      <c r="W1" s="259" t="n"/>
      <c r="X1" s="259" t="n"/>
      <c r="Y1" s="259" t="n"/>
      <c r="Z1" s="259" t="n"/>
    </row>
    <row r="2" ht="30" customHeight="1" s="331">
      <c r="D2" s="259" t="n"/>
      <c r="E2" s="259" t="n"/>
      <c r="F2" s="259" t="n"/>
      <c r="G2" s="259" t="n"/>
      <c r="H2" s="259" t="n"/>
      <c r="I2" s="259" t="n"/>
      <c r="J2" s="259" t="n"/>
      <c r="K2" s="259" t="n"/>
      <c r="L2" s="259" t="n"/>
      <c r="M2" s="259" t="n"/>
      <c r="N2" s="259" t="n"/>
      <c r="O2" s="259" t="n"/>
      <c r="P2" s="259" t="n"/>
      <c r="Q2" s="259" t="n"/>
      <c r="R2" s="259" t="n"/>
      <c r="S2" s="259" t="n"/>
      <c r="T2" s="259" t="n"/>
      <c r="U2" s="259" t="n"/>
      <c r="V2" s="259" t="n"/>
      <c r="W2" s="259" t="n"/>
      <c r="X2" s="259" t="n"/>
      <c r="Y2" s="259" t="n"/>
      <c r="Z2" s="259" t="n"/>
    </row>
    <row r="3" ht="30" customHeight="1" s="331">
      <c r="D3" s="259" t="n"/>
      <c r="E3" s="259" t="n"/>
      <c r="F3" s="259" t="n"/>
      <c r="G3" s="259" t="n"/>
      <c r="H3" s="259" t="n"/>
      <c r="I3" s="259" t="n"/>
      <c r="J3" s="259" t="n"/>
      <c r="K3" s="259" t="n"/>
      <c r="L3" s="259" t="n"/>
      <c r="M3" s="259" t="n"/>
      <c r="N3" s="259" t="n"/>
      <c r="O3" s="259" t="n"/>
      <c r="P3" s="259" t="n"/>
      <c r="Q3" s="259" t="n"/>
      <c r="R3" s="259" t="n"/>
      <c r="S3" s="259" t="n"/>
      <c r="T3" s="259" t="n"/>
      <c r="U3" s="259" t="n"/>
      <c r="V3" s="259" t="n"/>
      <c r="W3" s="259" t="n"/>
      <c r="X3" s="259" t="n"/>
      <c r="Y3" s="259" t="n"/>
      <c r="Z3" s="259" t="n"/>
    </row>
    <row r="4" ht="30" customHeight="1" s="331">
      <c r="B4" s="295" t="n"/>
      <c r="C4" s="260">
        <f>'Company information'!D7</f>
        <v/>
      </c>
      <c r="D4" s="259" t="n"/>
      <c r="E4" s="259" t="n"/>
      <c r="F4" s="259" t="n"/>
      <c r="G4" s="259" t="n"/>
      <c r="H4" s="259" t="n"/>
      <c r="I4" s="259" t="n"/>
      <c r="J4" s="259" t="n"/>
      <c r="K4" s="259" t="n"/>
      <c r="L4" s="259" t="n"/>
      <c r="M4" s="259" t="n"/>
      <c r="N4" s="259" t="n"/>
      <c r="O4" s="259" t="n"/>
      <c r="P4" s="259" t="n"/>
      <c r="Q4" s="259" t="n"/>
      <c r="R4" s="259" t="n"/>
      <c r="S4" s="259" t="n"/>
      <c r="T4" s="259" t="n"/>
      <c r="U4" s="259" t="n"/>
      <c r="V4" s="259" t="n"/>
      <c r="W4" s="259" t="n"/>
      <c r="X4" s="259" t="n"/>
      <c r="Y4" s="259" t="n"/>
      <c r="Z4" s="259" t="n"/>
    </row>
    <row r="5" ht="30" customFormat="1" customHeight="1" s="505">
      <c r="B5" s="581" t="inlineStr">
        <is>
          <t>ល.រ</t>
        </is>
      </c>
      <c r="C5" s="582" t="inlineStr">
        <is>
          <t>ប្រភេទពន្ធ</t>
        </is>
      </c>
      <c r="D5" s="582" t="inlineStr">
        <is>
          <t>ចំនួនទឹកប្រាក់ពន្ធ</t>
        </is>
      </c>
      <c r="E5" s="582" t="inlineStr">
        <is>
          <t>Jan-2023</t>
        </is>
      </c>
      <c r="F5" s="582" t="inlineStr">
        <is>
          <t>Feb-2023</t>
        </is>
      </c>
      <c r="G5" s="582" t="inlineStr">
        <is>
          <t>Mar-2023</t>
        </is>
      </c>
      <c r="H5" s="582" t="inlineStr">
        <is>
          <t>Apr-2023</t>
        </is>
      </c>
      <c r="I5" s="582" t="inlineStr">
        <is>
          <t>May-2023</t>
        </is>
      </c>
      <c r="J5" s="582" t="inlineStr">
        <is>
          <t>Jun-2023</t>
        </is>
      </c>
      <c r="K5" s="582" t="inlineStr">
        <is>
          <t>Jul-2023</t>
        </is>
      </c>
      <c r="L5" s="582" t="inlineStr">
        <is>
          <t>Aug-2023</t>
        </is>
      </c>
      <c r="M5" s="582" t="inlineStr">
        <is>
          <t>Sep-2023</t>
        </is>
      </c>
      <c r="N5" s="582" t="inlineStr">
        <is>
          <t>Oct-2023</t>
        </is>
      </c>
      <c r="O5" s="582" t="inlineStr">
        <is>
          <t>Nov-2023</t>
        </is>
      </c>
      <c r="P5" s="582" t="inlineStr">
        <is>
          <t>Dec-2023</t>
        </is>
      </c>
      <c r="Q5" s="582" t="inlineStr">
        <is>
          <t>Jan-2024</t>
        </is>
      </c>
      <c r="R5" s="582" t="inlineStr">
        <is>
          <t>Feb-2024</t>
        </is>
      </c>
      <c r="S5" s="582" t="inlineStr">
        <is>
          <t>Mar-2024</t>
        </is>
      </c>
      <c r="T5" s="582" t="inlineStr">
        <is>
          <t>Apr-2024</t>
        </is>
      </c>
      <c r="U5" s="582" t="inlineStr">
        <is>
          <t>May-2024</t>
        </is>
      </c>
      <c r="V5" s="582" t="inlineStr">
        <is>
          <t>Jun-2024</t>
        </is>
      </c>
      <c r="W5" s="582" t="inlineStr">
        <is>
          <t>Jul-2024</t>
        </is>
      </c>
      <c r="X5" s="582" t="inlineStr">
        <is>
          <t>Aug-2024</t>
        </is>
      </c>
      <c r="Y5" s="582" t="inlineStr">
        <is>
          <t>Sep-2024</t>
        </is>
      </c>
      <c r="Z5" s="582" t="inlineStr">
        <is>
          <t>Oct-2024</t>
        </is>
      </c>
      <c r="AA5" s="582" t="inlineStr">
        <is>
          <t>Nov-2024</t>
        </is>
      </c>
      <c r="AB5" s="582" t="inlineStr">
        <is>
          <t>Dec-2024</t>
        </is>
      </c>
      <c r="AC5" s="582" t="inlineStr">
        <is>
          <t>Jan-2025</t>
        </is>
      </c>
      <c r="AD5" s="582" t="inlineStr">
        <is>
          <t>Feb-2025</t>
        </is>
      </c>
      <c r="AE5" s="582" t="inlineStr">
        <is>
          <t>Mar-2025</t>
        </is>
      </c>
      <c r="AF5" s="582" t="inlineStr">
        <is>
          <t>Apr-2025</t>
        </is>
      </c>
      <c r="AG5" s="582" t="inlineStr">
        <is>
          <t>May-2025</t>
        </is>
      </c>
      <c r="AH5" s="582" t="inlineStr">
        <is>
          <t>Jun-2025</t>
        </is>
      </c>
      <c r="AI5" s="582" t="inlineStr">
        <is>
          <t>Jul-2025</t>
        </is>
      </c>
      <c r="AJ5" s="582" t="inlineStr">
        <is>
          <t>Aug-2025</t>
        </is>
      </c>
      <c r="AK5" s="582" t="inlineStr">
        <is>
          <t>Sep-2025</t>
        </is>
      </c>
      <c r="AL5" s="582" t="inlineStr">
        <is>
          <t>Oct-2025</t>
        </is>
      </c>
      <c r="AM5" s="582" t="inlineStr">
        <is>
          <t>Nov-2025</t>
        </is>
      </c>
      <c r="AN5" s="582" t="inlineStr">
        <is>
          <t>Dec-2025</t>
        </is>
      </c>
    </row>
    <row r="6" ht="30" customHeight="1" s="331">
      <c r="B6" s="521" t="n">
        <v>1</v>
      </c>
      <c r="C6" s="583" t="inlineStr">
        <is>
          <t>ពន្ធប៉ាតង់</t>
        </is>
      </c>
      <c r="D6" s="584">
        <f>SUM(E6:AN6)</f>
        <v/>
      </c>
      <c r="E6" s="585" t="n">
        <v>0</v>
      </c>
      <c r="F6" s="585" t="n">
        <v>0</v>
      </c>
      <c r="G6" s="585" t="n">
        <v>0</v>
      </c>
      <c r="H6" s="585" t="n">
        <v>0</v>
      </c>
      <c r="I6" s="585" t="n">
        <v>0</v>
      </c>
      <c r="J6" s="585" t="n">
        <v>0</v>
      </c>
      <c r="K6" s="585" t="n">
        <v>0</v>
      </c>
      <c r="L6" s="586" t="n">
        <v>1500000</v>
      </c>
      <c r="M6" s="585" t="n">
        <v>0</v>
      </c>
      <c r="N6" s="585" t="n">
        <v>0</v>
      </c>
      <c r="O6" s="585" t="n">
        <v>0</v>
      </c>
      <c r="P6" s="585" t="n">
        <v>0</v>
      </c>
      <c r="Q6" s="585" t="n">
        <v>0</v>
      </c>
      <c r="R6" s="585" t="n">
        <v>0</v>
      </c>
      <c r="S6" s="586" t="n">
        <v>3000000</v>
      </c>
      <c r="T6" s="585" t="n">
        <v>0</v>
      </c>
      <c r="U6" s="585" t="n">
        <v>0</v>
      </c>
      <c r="V6" s="585" t="n">
        <v>0</v>
      </c>
      <c r="W6" s="585" t="n">
        <v>0</v>
      </c>
      <c r="X6" s="585" t="n">
        <v>0</v>
      </c>
      <c r="Y6" s="585" t="n">
        <v>0</v>
      </c>
      <c r="Z6" s="585" t="n">
        <v>0</v>
      </c>
      <c r="AA6" s="585" t="n">
        <v>0</v>
      </c>
      <c r="AB6" s="585" t="n">
        <v>0</v>
      </c>
      <c r="AC6" s="585" t="n">
        <v>0</v>
      </c>
      <c r="AD6" s="586" t="n">
        <v>3000000</v>
      </c>
      <c r="AE6" s="585" t="n">
        <v>0</v>
      </c>
      <c r="AF6" s="585" t="n">
        <v>0</v>
      </c>
      <c r="AG6" s="585" t="n">
        <v>0</v>
      </c>
      <c r="AH6" s="585" t="n">
        <v>0</v>
      </c>
      <c r="AI6" s="585" t="n">
        <v>0</v>
      </c>
      <c r="AJ6" s="585" t="n">
        <v>0</v>
      </c>
      <c r="AK6" s="585" t="n">
        <v>0</v>
      </c>
      <c r="AL6" s="585" t="n">
        <v>0</v>
      </c>
      <c r="AM6" s="585" t="n">
        <v>0</v>
      </c>
      <c r="AN6" s="585" t="n">
        <v>0</v>
      </c>
    </row>
    <row r="7" ht="30" customHeight="1" s="331">
      <c r="B7" s="521" t="n">
        <v>2</v>
      </c>
      <c r="C7" s="583" t="inlineStr">
        <is>
          <t>កម្រៃសេវាចុះបញ្ជី ឬធ្វើបច្ចុប្បន្នភាព</t>
        </is>
      </c>
      <c r="D7" s="584">
        <f>SUM(E7:AN7)</f>
        <v/>
      </c>
      <c r="E7" s="585" t="n">
        <v>0</v>
      </c>
      <c r="F7" s="585" t="n">
        <v>0</v>
      </c>
      <c r="G7" s="585" t="n">
        <v>0</v>
      </c>
      <c r="H7" s="585" t="n">
        <v>0</v>
      </c>
      <c r="I7" s="585" t="n">
        <v>0</v>
      </c>
      <c r="J7" s="585" t="n">
        <v>0</v>
      </c>
      <c r="K7" s="585" t="n">
        <v>0</v>
      </c>
      <c r="L7" s="586" t="n">
        <v>400000</v>
      </c>
      <c r="M7" s="585" t="n">
        <v>0</v>
      </c>
      <c r="N7" s="585" t="n">
        <v>0</v>
      </c>
      <c r="O7" s="585" t="n">
        <v>0</v>
      </c>
      <c r="P7" s="585" t="n">
        <v>0</v>
      </c>
      <c r="Q7" s="585" t="n">
        <v>0</v>
      </c>
      <c r="R7" s="585" t="n">
        <v>0</v>
      </c>
      <c r="S7" s="585" t="n">
        <v>0</v>
      </c>
      <c r="T7" s="585" t="n">
        <v>0</v>
      </c>
      <c r="U7" s="585" t="n">
        <v>0</v>
      </c>
      <c r="V7" s="585" t="n">
        <v>0</v>
      </c>
      <c r="W7" s="585" t="n">
        <v>0</v>
      </c>
      <c r="X7" s="585" t="n">
        <v>0</v>
      </c>
      <c r="Y7" s="585" t="n">
        <v>0</v>
      </c>
      <c r="Z7" s="585" t="n">
        <v>0</v>
      </c>
      <c r="AA7" s="586" t="n">
        <v>200000</v>
      </c>
      <c r="AB7" s="585" t="n">
        <v>0</v>
      </c>
      <c r="AC7" s="586" t="n">
        <v>200000</v>
      </c>
      <c r="AD7" s="585" t="n">
        <v>0</v>
      </c>
      <c r="AE7" s="585" t="n">
        <v>0</v>
      </c>
      <c r="AF7" s="585" t="n">
        <v>0</v>
      </c>
      <c r="AG7" s="585" t="n">
        <v>0</v>
      </c>
      <c r="AH7" s="585" t="n">
        <v>0</v>
      </c>
      <c r="AI7" s="585" t="n">
        <v>0</v>
      </c>
      <c r="AJ7" s="585" t="n">
        <v>0</v>
      </c>
      <c r="AK7" s="585" t="n">
        <v>0</v>
      </c>
      <c r="AL7" s="585" t="n">
        <v>0</v>
      </c>
      <c r="AM7" s="585" t="n">
        <v>0</v>
      </c>
      <c r="AN7" s="585" t="n">
        <v>0</v>
      </c>
    </row>
    <row r="8" ht="30" customHeight="1" s="331">
      <c r="B8" s="521" t="n">
        <v>3</v>
      </c>
      <c r="C8" s="583" t="inlineStr">
        <is>
          <t>ពន្ធលើប្រាក់បៀវត្ស</t>
        </is>
      </c>
      <c r="D8" s="584">
        <f>SUM(E8:AN8)</f>
        <v/>
      </c>
      <c r="E8" s="585" t="n">
        <v>0</v>
      </c>
      <c r="F8" s="585" t="n">
        <v>0</v>
      </c>
      <c r="G8" s="585" t="n">
        <v>0</v>
      </c>
      <c r="H8" s="585" t="n">
        <v>0</v>
      </c>
      <c r="I8" s="585" t="n">
        <v>0</v>
      </c>
      <c r="J8" s="585" t="n">
        <v>0</v>
      </c>
      <c r="K8" s="585" t="n">
        <v>0</v>
      </c>
      <c r="L8" s="585" t="n">
        <v>0</v>
      </c>
      <c r="M8" s="586" t="n">
        <v>14745919</v>
      </c>
      <c r="N8" s="586" t="n">
        <v>17256700</v>
      </c>
      <c r="O8" s="586" t="n">
        <v>16645636</v>
      </c>
      <c r="P8" s="586" t="n">
        <v>17303541</v>
      </c>
      <c r="Q8" s="586" t="n">
        <v>15943205</v>
      </c>
      <c r="R8" s="586" t="n">
        <v>16907178</v>
      </c>
      <c r="S8" s="586" t="n">
        <v>18095811</v>
      </c>
      <c r="T8" s="586" t="n">
        <v>18473483</v>
      </c>
      <c r="U8" s="586" t="n">
        <v>19887604</v>
      </c>
      <c r="V8" s="586" t="n">
        <v>21319783</v>
      </c>
      <c r="W8" s="586" t="n">
        <v>21197056</v>
      </c>
      <c r="X8" s="586" t="n">
        <v>23579307</v>
      </c>
      <c r="Y8" s="586" t="n">
        <v>21157605</v>
      </c>
      <c r="Z8" s="586" t="n">
        <v>31898419</v>
      </c>
      <c r="AA8" s="586" t="n">
        <v>36331895</v>
      </c>
      <c r="AB8" s="586" t="n">
        <v>34993494</v>
      </c>
      <c r="AC8" s="586" t="n">
        <v>35400179</v>
      </c>
      <c r="AD8" s="586" t="n">
        <v>32414288</v>
      </c>
      <c r="AE8" s="586" t="n">
        <v>25539723</v>
      </c>
      <c r="AF8" s="586" t="n">
        <v>27513458</v>
      </c>
      <c r="AG8" s="586" t="n">
        <v>30395268</v>
      </c>
      <c r="AH8" s="586" t="n">
        <v>44686508</v>
      </c>
      <c r="AI8" s="586" t="n">
        <v>28162473</v>
      </c>
      <c r="AJ8" s="586" t="n">
        <v>27643439</v>
      </c>
      <c r="AK8" s="586" t="n">
        <v>27920299</v>
      </c>
      <c r="AL8" s="586" t="n">
        <v>28924466</v>
      </c>
      <c r="AM8" s="586" t="n">
        <v>30334561</v>
      </c>
      <c r="AN8" s="586" t="n">
        <v>40619391</v>
      </c>
    </row>
    <row r="9" ht="30" customHeight="1" s="331">
      <c r="B9" s="521" t="n">
        <v>4</v>
      </c>
      <c r="C9" s="583" t="inlineStr">
        <is>
          <t>ពន្ធលើអត្ថប្រយោជន៍បន្ថែម</t>
        </is>
      </c>
      <c r="D9" s="584">
        <f>SUM(E9:AN9)</f>
        <v/>
      </c>
      <c r="E9" s="585" t="n">
        <v>0</v>
      </c>
      <c r="F9" s="585" t="n">
        <v>0</v>
      </c>
      <c r="G9" s="585" t="n">
        <v>0</v>
      </c>
      <c r="H9" s="585" t="n">
        <v>0</v>
      </c>
      <c r="I9" s="585" t="n">
        <v>0</v>
      </c>
      <c r="J9" s="585" t="n">
        <v>0</v>
      </c>
      <c r="K9" s="585" t="n">
        <v>0</v>
      </c>
      <c r="L9" s="585" t="n">
        <v>0</v>
      </c>
      <c r="M9" s="585" t="n">
        <v>0</v>
      </c>
      <c r="N9" s="586" t="n">
        <v>3416033</v>
      </c>
      <c r="O9" s="586" t="n">
        <v>2893088</v>
      </c>
      <c r="P9" s="586" t="n">
        <v>11751147</v>
      </c>
      <c r="Q9" s="586" t="n">
        <v>9486163</v>
      </c>
      <c r="R9" s="586" t="n">
        <v>4889241</v>
      </c>
      <c r="S9" s="586" t="n">
        <v>4916054</v>
      </c>
      <c r="T9" s="586" t="n">
        <v>6439288</v>
      </c>
      <c r="U9" s="586" t="n">
        <v>13906169</v>
      </c>
      <c r="V9" s="586" t="n">
        <v>10494263</v>
      </c>
      <c r="W9" s="586" t="n">
        <v>8379089</v>
      </c>
      <c r="X9" s="586" t="n">
        <v>8881572</v>
      </c>
      <c r="Y9" s="586" t="n">
        <v>10415723</v>
      </c>
      <c r="Z9" s="586" t="n">
        <v>5148907</v>
      </c>
      <c r="AA9" s="586" t="n">
        <v>11905492</v>
      </c>
      <c r="AB9" s="586" t="n">
        <v>15297731</v>
      </c>
      <c r="AC9" s="586" t="n">
        <v>11758085</v>
      </c>
      <c r="AD9" s="586" t="n">
        <v>11132472</v>
      </c>
      <c r="AE9" s="586" t="n">
        <v>12276029</v>
      </c>
      <c r="AF9" s="586" t="n">
        <v>11448370</v>
      </c>
      <c r="AG9" s="586" t="n">
        <v>9398680</v>
      </c>
      <c r="AH9" s="586" t="n">
        <v>12077278</v>
      </c>
      <c r="AI9" s="586" t="n">
        <v>12565800</v>
      </c>
      <c r="AJ9" s="586" t="n">
        <v>12757756</v>
      </c>
      <c r="AK9" s="586" t="n">
        <v>13539230</v>
      </c>
      <c r="AL9" s="586" t="n">
        <v>12874870</v>
      </c>
      <c r="AM9" s="586" t="n">
        <v>13112662</v>
      </c>
      <c r="AN9" s="586" t="n">
        <v>13773592</v>
      </c>
    </row>
    <row r="10" ht="30" customHeight="1" s="331">
      <c r="B10" s="521" t="n">
        <v>5</v>
      </c>
      <c r="C10" s="583" t="inlineStr">
        <is>
          <t>ប្រាក់រំដោះពន្ធលើប្រាក់ចំណូល</t>
        </is>
      </c>
      <c r="D10" s="584">
        <f>SUM(E10:AN10)</f>
        <v/>
      </c>
      <c r="E10" s="585" t="n">
        <v>0</v>
      </c>
      <c r="F10" s="585" t="n">
        <v>0</v>
      </c>
      <c r="G10" s="585" t="n">
        <v>0</v>
      </c>
      <c r="H10" s="585" t="n">
        <v>0</v>
      </c>
      <c r="I10" s="585" t="n">
        <v>0</v>
      </c>
      <c r="J10" s="585" t="n">
        <v>0</v>
      </c>
      <c r="K10" s="585" t="n">
        <v>0</v>
      </c>
      <c r="L10" s="585" t="n">
        <v>0</v>
      </c>
      <c r="M10" s="585" t="n">
        <v>0</v>
      </c>
      <c r="N10" s="585" t="n">
        <v>0</v>
      </c>
      <c r="O10" s="585" t="n">
        <v>0</v>
      </c>
      <c r="P10" s="585" t="n">
        <v>0</v>
      </c>
      <c r="Q10" s="585" t="n">
        <v>0</v>
      </c>
      <c r="R10" s="585" t="n">
        <v>0</v>
      </c>
      <c r="S10" s="585" t="n">
        <v>0</v>
      </c>
      <c r="T10" s="585" t="n">
        <v>0</v>
      </c>
      <c r="U10" s="585" t="n">
        <v>0</v>
      </c>
      <c r="V10" s="585" t="n">
        <v>0</v>
      </c>
      <c r="W10" s="585" t="n">
        <v>0</v>
      </c>
      <c r="X10" s="585" t="n">
        <v>0</v>
      </c>
      <c r="Y10" s="585" t="n">
        <v>0</v>
      </c>
      <c r="Z10" s="585" t="n">
        <v>0</v>
      </c>
      <c r="AA10" s="585" t="n">
        <v>0</v>
      </c>
      <c r="AB10" s="585" t="n">
        <v>0</v>
      </c>
      <c r="AC10" s="585" t="n">
        <v>0</v>
      </c>
      <c r="AD10" s="585" t="n">
        <v>0</v>
      </c>
      <c r="AE10" s="585" t="n">
        <v>0</v>
      </c>
      <c r="AF10" s="585" t="n">
        <v>0</v>
      </c>
      <c r="AG10" s="585" t="n">
        <v>0</v>
      </c>
      <c r="AH10" s="585" t="n">
        <v>0</v>
      </c>
      <c r="AI10" s="585" t="n">
        <v>0</v>
      </c>
      <c r="AJ10" s="585" t="n">
        <v>0</v>
      </c>
      <c r="AK10" s="585" t="n">
        <v>0</v>
      </c>
      <c r="AL10" s="585" t="n">
        <v>0</v>
      </c>
      <c r="AM10" s="585" t="n">
        <v>0</v>
      </c>
      <c r="AN10" s="585" t="n">
        <v>0</v>
      </c>
    </row>
    <row r="11" ht="30" customHeight="1" s="331">
      <c r="B11" s="521" t="n">
        <v>6</v>
      </c>
      <c r="C11" s="583" t="inlineStr">
        <is>
          <t>ពន្ធលើប្រាក់ចំណូលប្រចាំឆ្នាំ</t>
        </is>
      </c>
      <c r="D11" s="584">
        <f>SUM(E11:AN11)</f>
        <v/>
      </c>
      <c r="E11" s="585" t="n">
        <v>0</v>
      </c>
      <c r="F11" s="585" t="n">
        <v>0</v>
      </c>
      <c r="G11" s="585" t="n">
        <v>0</v>
      </c>
      <c r="H11" s="585" t="n">
        <v>0</v>
      </c>
      <c r="I11" s="585" t="n">
        <v>0</v>
      </c>
      <c r="J11" s="585" t="n">
        <v>0</v>
      </c>
      <c r="K11" s="585" t="n">
        <v>0</v>
      </c>
      <c r="L11" s="585" t="n">
        <v>0</v>
      </c>
      <c r="M11" s="585" t="n">
        <v>0</v>
      </c>
      <c r="N11" s="585" t="n">
        <v>0</v>
      </c>
      <c r="O11" s="585" t="n">
        <v>0</v>
      </c>
      <c r="P11" s="585" t="n">
        <v>0</v>
      </c>
      <c r="Q11" s="585" t="n">
        <v>0</v>
      </c>
      <c r="R11" s="585" t="n">
        <v>0</v>
      </c>
      <c r="S11" s="585" t="n">
        <v>0</v>
      </c>
      <c r="T11" s="585" t="n">
        <v>0</v>
      </c>
      <c r="U11" s="585" t="n">
        <v>0</v>
      </c>
      <c r="V11" s="585" t="n">
        <v>0</v>
      </c>
      <c r="W11" s="585" t="n">
        <v>0</v>
      </c>
      <c r="X11" s="585" t="n">
        <v>0</v>
      </c>
      <c r="Y11" s="585" t="n">
        <v>0</v>
      </c>
      <c r="Z11" s="585" t="n">
        <v>0</v>
      </c>
      <c r="AA11" s="585" t="n">
        <v>0</v>
      </c>
      <c r="AB11" s="585" t="n">
        <v>0</v>
      </c>
      <c r="AC11" s="585" t="n">
        <v>0</v>
      </c>
      <c r="AD11" s="585" t="n">
        <v>0</v>
      </c>
      <c r="AE11" s="585" t="n">
        <v>0</v>
      </c>
      <c r="AF11" s="585" t="n">
        <v>0</v>
      </c>
      <c r="AG11" s="585" t="n">
        <v>0</v>
      </c>
      <c r="AH11" s="585" t="n">
        <v>0</v>
      </c>
      <c r="AI11" s="585" t="n">
        <v>0</v>
      </c>
      <c r="AJ11" s="585" t="n">
        <v>0</v>
      </c>
      <c r="AK11" s="585" t="n">
        <v>0</v>
      </c>
      <c r="AL11" s="585" t="n">
        <v>0</v>
      </c>
      <c r="AM11" s="585" t="n">
        <v>0</v>
      </c>
      <c r="AN11" s="585" t="n">
        <v>0</v>
      </c>
    </row>
    <row r="12" ht="30" customHeight="1" s="331">
      <c r="B12" s="521" t="n">
        <v>7</v>
      </c>
      <c r="C12" s="583" t="inlineStr">
        <is>
          <t>ពន្ធកាត់ទុកលើសេវាកម្ម ១៥%</t>
        </is>
      </c>
      <c r="D12" s="584">
        <f>SUM(E12:AN12)</f>
        <v/>
      </c>
      <c r="E12" s="585" t="n">
        <v>0</v>
      </c>
      <c r="F12" s="585" t="n">
        <v>0</v>
      </c>
      <c r="G12" s="585" t="n">
        <v>0</v>
      </c>
      <c r="H12" s="585" t="n">
        <v>0</v>
      </c>
      <c r="I12" s="585" t="n">
        <v>0</v>
      </c>
      <c r="J12" s="585" t="n">
        <v>0</v>
      </c>
      <c r="K12" s="585" t="n">
        <v>0</v>
      </c>
      <c r="L12" s="585" t="n">
        <v>0</v>
      </c>
      <c r="M12" s="585" t="n">
        <v>0</v>
      </c>
      <c r="N12" s="586" t="n">
        <v>4738214</v>
      </c>
      <c r="O12" s="586" t="n">
        <v>1874218</v>
      </c>
      <c r="P12" s="586" t="n">
        <v>6088836</v>
      </c>
      <c r="Q12" s="586" t="n">
        <v>3880332</v>
      </c>
      <c r="R12" s="586" t="n">
        <v>4292372</v>
      </c>
      <c r="S12" s="586" t="n">
        <v>15258802</v>
      </c>
      <c r="T12" s="586" t="n">
        <v>10939010</v>
      </c>
      <c r="U12" s="586" t="n">
        <v>11238999</v>
      </c>
      <c r="V12" s="586" t="n">
        <v>7855100</v>
      </c>
      <c r="W12" s="586" t="n">
        <v>18447624</v>
      </c>
      <c r="X12" s="586" t="n">
        <v>24896291</v>
      </c>
      <c r="Y12" s="586" t="n">
        <v>23057495</v>
      </c>
      <c r="Z12" s="586" t="n">
        <v>17486099</v>
      </c>
      <c r="AA12" s="586" t="n">
        <v>14246633</v>
      </c>
      <c r="AB12" s="586" t="n">
        <v>14610672</v>
      </c>
      <c r="AC12" s="586" t="n">
        <v>36349234</v>
      </c>
      <c r="AD12" s="586" t="n">
        <v>15216359</v>
      </c>
      <c r="AE12" s="586" t="n">
        <v>15974256</v>
      </c>
      <c r="AF12" s="586" t="n">
        <v>11903645</v>
      </c>
      <c r="AG12" s="586" t="n">
        <v>13691592</v>
      </c>
      <c r="AH12" s="586" t="n">
        <v>10369826</v>
      </c>
      <c r="AI12" s="586" t="n">
        <v>7107482</v>
      </c>
      <c r="AJ12" s="586" t="n">
        <v>13844082</v>
      </c>
      <c r="AK12" s="586" t="n">
        <v>16103330</v>
      </c>
      <c r="AL12" s="586" t="n">
        <v>8330958</v>
      </c>
      <c r="AM12" s="586" t="n">
        <v>7309224</v>
      </c>
      <c r="AN12" s="586" t="n">
        <v>9617986</v>
      </c>
    </row>
    <row r="13" ht="30" customHeight="1" s="331">
      <c r="B13" s="521" t="n">
        <v>8</v>
      </c>
      <c r="C13" s="583" t="inlineStr">
        <is>
          <t>ពន្ធកាត់ទុកលើថ្លៃឈ្នួល (រូបវន្ដបុគ្គល)</t>
        </is>
      </c>
      <c r="D13" s="584">
        <f>SUM(E13:AN13)</f>
        <v/>
      </c>
      <c r="E13" s="585" t="n">
        <v>0</v>
      </c>
      <c r="F13" s="585" t="n">
        <v>0</v>
      </c>
      <c r="G13" s="585" t="n">
        <v>0</v>
      </c>
      <c r="H13" s="585" t="n">
        <v>0</v>
      </c>
      <c r="I13" s="585" t="n">
        <v>0</v>
      </c>
      <c r="J13" s="585" t="n">
        <v>0</v>
      </c>
      <c r="K13" s="585" t="n">
        <v>0</v>
      </c>
      <c r="L13" s="585" t="n">
        <v>0</v>
      </c>
      <c r="M13" s="585" t="n">
        <v>0</v>
      </c>
      <c r="N13" s="586" t="n">
        <v>186075</v>
      </c>
      <c r="O13" s="586" t="n">
        <v>185175</v>
      </c>
      <c r="P13" s="586" t="n">
        <v>31209809</v>
      </c>
      <c r="Q13" s="586" t="n">
        <v>4699329</v>
      </c>
      <c r="R13" s="586" t="n">
        <v>6782616</v>
      </c>
      <c r="S13" s="586" t="n">
        <v>6735943</v>
      </c>
      <c r="T13" s="586" t="n">
        <v>6774282</v>
      </c>
      <c r="U13" s="586" t="n">
        <v>6822622</v>
      </c>
      <c r="V13" s="586" t="n">
        <v>7536055</v>
      </c>
      <c r="W13" s="586" t="n">
        <v>6847625</v>
      </c>
      <c r="X13" s="586" t="n">
        <v>6762613</v>
      </c>
      <c r="Y13" s="586" t="n">
        <v>6769281</v>
      </c>
      <c r="Z13" s="586" t="n">
        <v>6772615</v>
      </c>
      <c r="AA13" s="586" t="n">
        <v>6714273</v>
      </c>
      <c r="AB13" s="586" t="n">
        <v>6709273</v>
      </c>
      <c r="AC13" s="586" t="n">
        <v>5694865</v>
      </c>
      <c r="AD13" s="586" t="n">
        <v>5676468</v>
      </c>
      <c r="AE13" s="586" t="n">
        <v>10768492</v>
      </c>
      <c r="AF13" s="586" t="n">
        <v>10776568</v>
      </c>
      <c r="AG13" s="586" t="n">
        <v>10866058</v>
      </c>
      <c r="AH13" s="586" t="n">
        <v>10879623</v>
      </c>
      <c r="AI13" s="586" t="n">
        <v>9648623</v>
      </c>
      <c r="AJ13" s="586" t="n">
        <v>10014160</v>
      </c>
      <c r="AK13" s="586" t="n">
        <v>10030615</v>
      </c>
      <c r="AL13" s="586" t="n">
        <v>10044143</v>
      </c>
      <c r="AM13" s="586" t="n">
        <v>10011662</v>
      </c>
      <c r="AN13" s="586" t="n">
        <v>10644655</v>
      </c>
    </row>
    <row r="14" ht="30" customHeight="1" s="331">
      <c r="B14" s="521" t="n">
        <v>9</v>
      </c>
      <c r="C14" s="583" t="inlineStr">
        <is>
          <t>អាករលើតម្លៃបន្ថែម</t>
        </is>
      </c>
      <c r="D14" s="584">
        <f>SUM(E14:AN14)</f>
        <v/>
      </c>
      <c r="E14" s="585" t="n">
        <v>0</v>
      </c>
      <c r="F14" s="585" t="n">
        <v>0</v>
      </c>
      <c r="G14" s="585" t="n">
        <v>0</v>
      </c>
      <c r="H14" s="585" t="n">
        <v>0</v>
      </c>
      <c r="I14" s="585" t="n">
        <v>0</v>
      </c>
      <c r="J14" s="585" t="n">
        <v>0</v>
      </c>
      <c r="K14" s="585" t="n">
        <v>0</v>
      </c>
      <c r="L14" s="585" t="n">
        <v>0</v>
      </c>
      <c r="M14" s="585" t="n">
        <v>0</v>
      </c>
      <c r="N14" s="585" t="n">
        <v>0</v>
      </c>
      <c r="O14" s="585" t="n">
        <v>0</v>
      </c>
      <c r="P14" s="585" t="n">
        <v>0</v>
      </c>
      <c r="Q14" s="585" t="n">
        <v>0</v>
      </c>
      <c r="R14" s="586" t="n">
        <v>241601</v>
      </c>
      <c r="S14" s="586" t="n">
        <v>18911</v>
      </c>
      <c r="T14" s="585" t="n">
        <v>0</v>
      </c>
      <c r="U14" s="586" t="n">
        <v>19155</v>
      </c>
      <c r="V14" s="586" t="n">
        <v>21157</v>
      </c>
      <c r="W14" s="586" t="n">
        <v>19225</v>
      </c>
      <c r="X14" s="586" t="n">
        <v>18986</v>
      </c>
      <c r="Y14" s="586" t="n">
        <v>38011</v>
      </c>
      <c r="Z14" s="586" t="n">
        <v>19014</v>
      </c>
      <c r="AA14" s="586" t="n">
        <v>18851</v>
      </c>
      <c r="AB14" s="586" t="n">
        <v>18837</v>
      </c>
      <c r="AC14" s="586" t="n">
        <v>18832</v>
      </c>
      <c r="AD14" s="586" t="n">
        <v>397409</v>
      </c>
      <c r="AE14" s="586" t="n">
        <v>18720</v>
      </c>
      <c r="AF14" s="586" t="n">
        <v>18734</v>
      </c>
      <c r="AG14" s="586" t="n">
        <v>18743</v>
      </c>
      <c r="AH14" s="586" t="n">
        <v>18766</v>
      </c>
      <c r="AI14" s="586" t="n">
        <v>18748</v>
      </c>
      <c r="AJ14" s="586" t="n">
        <v>18757</v>
      </c>
      <c r="AK14" s="586" t="n">
        <v>18766</v>
      </c>
      <c r="AL14" s="586" t="n">
        <v>18813</v>
      </c>
      <c r="AM14" s="586" t="n">
        <v>649053</v>
      </c>
      <c r="AN14" s="586" t="n">
        <v>18780</v>
      </c>
    </row>
    <row r="15" ht="30" customHeight="1" s="331">
      <c r="B15" s="521" t="n">
        <v>10</v>
      </c>
      <c r="C15" s="583" t="inlineStr">
        <is>
          <t>អាករពិសេសលើទំនិញមួយចំនួន</t>
        </is>
      </c>
      <c r="D15" s="584">
        <f>SUM(E15:AN15)</f>
        <v/>
      </c>
      <c r="E15" s="585" t="n">
        <v>0</v>
      </c>
      <c r="F15" s="585" t="n">
        <v>0</v>
      </c>
      <c r="G15" s="585" t="n">
        <v>0</v>
      </c>
      <c r="H15" s="585" t="n">
        <v>0</v>
      </c>
      <c r="I15" s="585" t="n">
        <v>0</v>
      </c>
      <c r="J15" s="585" t="n">
        <v>0</v>
      </c>
      <c r="K15" s="585" t="n">
        <v>0</v>
      </c>
      <c r="L15" s="585" t="n">
        <v>0</v>
      </c>
      <c r="M15" s="585" t="n">
        <v>0</v>
      </c>
      <c r="N15" s="585" t="n">
        <v>0</v>
      </c>
      <c r="O15" s="585" t="n">
        <v>0</v>
      </c>
      <c r="P15" s="585" t="n">
        <v>0</v>
      </c>
      <c r="Q15" s="585" t="n">
        <v>0</v>
      </c>
      <c r="R15" s="585" t="n">
        <v>0</v>
      </c>
      <c r="S15" s="585" t="n">
        <v>0</v>
      </c>
      <c r="T15" s="585" t="n">
        <v>0</v>
      </c>
      <c r="U15" s="585" t="n">
        <v>0</v>
      </c>
      <c r="V15" s="585" t="n">
        <v>0</v>
      </c>
      <c r="W15" s="585" t="n">
        <v>0</v>
      </c>
      <c r="X15" s="585" t="n">
        <v>0</v>
      </c>
      <c r="Y15" s="585" t="n">
        <v>0</v>
      </c>
      <c r="Z15" s="585" t="n">
        <v>0</v>
      </c>
      <c r="AA15" s="585" t="n">
        <v>0</v>
      </c>
      <c r="AB15" s="585" t="n">
        <v>0</v>
      </c>
      <c r="AC15" s="585" t="n">
        <v>0</v>
      </c>
      <c r="AD15" s="585" t="n">
        <v>0</v>
      </c>
      <c r="AE15" s="585" t="n">
        <v>0</v>
      </c>
      <c r="AF15" s="585" t="n">
        <v>0</v>
      </c>
      <c r="AG15" s="585" t="n">
        <v>0</v>
      </c>
      <c r="AH15" s="585" t="n">
        <v>0</v>
      </c>
      <c r="AI15" s="585" t="n">
        <v>0</v>
      </c>
      <c r="AJ15" s="585" t="n">
        <v>0</v>
      </c>
      <c r="AK15" s="585" t="n">
        <v>0</v>
      </c>
      <c r="AL15" s="585" t="n">
        <v>0</v>
      </c>
      <c r="AM15" s="585" t="n">
        <v>0</v>
      </c>
      <c r="AN15" s="585" t="n">
        <v>0</v>
      </c>
    </row>
    <row r="16" ht="30" customHeight="1" s="331">
      <c r="B16" s="521" t="n">
        <v>11</v>
      </c>
      <c r="C16" s="583" t="inlineStr">
        <is>
          <t>អាករពិសេសលើសេវាមួយចំនួន</t>
        </is>
      </c>
      <c r="D16" s="584">
        <f>SUM(E16:AN16)</f>
        <v/>
      </c>
      <c r="E16" s="585" t="n">
        <v>0</v>
      </c>
      <c r="F16" s="585" t="n">
        <v>0</v>
      </c>
      <c r="G16" s="585" t="n">
        <v>0</v>
      </c>
      <c r="H16" s="585" t="n">
        <v>0</v>
      </c>
      <c r="I16" s="585" t="n">
        <v>0</v>
      </c>
      <c r="J16" s="585" t="n">
        <v>0</v>
      </c>
      <c r="K16" s="585" t="n">
        <v>0</v>
      </c>
      <c r="L16" s="585" t="n">
        <v>0</v>
      </c>
      <c r="M16" s="585" t="n">
        <v>0</v>
      </c>
      <c r="N16" s="585" t="n">
        <v>0</v>
      </c>
      <c r="O16" s="585" t="n">
        <v>0</v>
      </c>
      <c r="P16" s="585" t="n">
        <v>0</v>
      </c>
      <c r="Q16" s="585" t="n">
        <v>0</v>
      </c>
      <c r="R16" s="585" t="n">
        <v>0</v>
      </c>
      <c r="S16" s="585" t="n">
        <v>0</v>
      </c>
      <c r="T16" s="585" t="n">
        <v>0</v>
      </c>
      <c r="U16" s="585" t="n">
        <v>0</v>
      </c>
      <c r="V16" s="585" t="n">
        <v>0</v>
      </c>
      <c r="W16" s="585" t="n">
        <v>0</v>
      </c>
      <c r="X16" s="585" t="n">
        <v>0</v>
      </c>
      <c r="Y16" s="585" t="n">
        <v>0</v>
      </c>
      <c r="Z16" s="585" t="n">
        <v>0</v>
      </c>
      <c r="AA16" s="585" t="n">
        <v>0</v>
      </c>
      <c r="AB16" s="585" t="n">
        <v>0</v>
      </c>
      <c r="AC16" s="585" t="n">
        <v>0</v>
      </c>
      <c r="AD16" s="585" t="n">
        <v>0</v>
      </c>
      <c r="AE16" s="585" t="n">
        <v>0</v>
      </c>
      <c r="AF16" s="585" t="n">
        <v>0</v>
      </c>
      <c r="AG16" s="585" t="n">
        <v>0</v>
      </c>
      <c r="AH16" s="585" t="n">
        <v>0</v>
      </c>
      <c r="AI16" s="585" t="n">
        <v>0</v>
      </c>
      <c r="AJ16" s="585" t="n">
        <v>0</v>
      </c>
      <c r="AK16" s="585" t="n">
        <v>0</v>
      </c>
      <c r="AL16" s="585" t="n">
        <v>0</v>
      </c>
      <c r="AM16" s="585" t="n">
        <v>0</v>
      </c>
      <c r="AN16" s="585" t="n">
        <v>0</v>
      </c>
    </row>
    <row r="17" ht="30" customHeight="1" s="331">
      <c r="B17" s="521" t="n">
        <v>12</v>
      </c>
      <c r="C17" s="583" t="inlineStr">
        <is>
          <t>អាករសម្រាប់បំភ្លឺសាធារណៈ</t>
        </is>
      </c>
      <c r="D17" s="584">
        <f>SUM(E17:AN17)</f>
        <v/>
      </c>
      <c r="E17" s="585" t="n">
        <v>0</v>
      </c>
      <c r="F17" s="585" t="n">
        <v>0</v>
      </c>
      <c r="G17" s="585" t="n">
        <v>0</v>
      </c>
      <c r="H17" s="585" t="n">
        <v>0</v>
      </c>
      <c r="I17" s="585" t="n">
        <v>0</v>
      </c>
      <c r="J17" s="585" t="n">
        <v>0</v>
      </c>
      <c r="K17" s="585" t="n">
        <v>0</v>
      </c>
      <c r="L17" s="585" t="n">
        <v>0</v>
      </c>
      <c r="M17" s="585" t="n">
        <v>0</v>
      </c>
      <c r="N17" s="585" t="n">
        <v>0</v>
      </c>
      <c r="O17" s="585" t="n">
        <v>0</v>
      </c>
      <c r="P17" s="585" t="n">
        <v>0</v>
      </c>
      <c r="Q17" s="585" t="n">
        <v>0</v>
      </c>
      <c r="R17" s="585" t="n">
        <v>0</v>
      </c>
      <c r="S17" s="585" t="n">
        <v>0</v>
      </c>
      <c r="T17" s="585" t="n">
        <v>0</v>
      </c>
      <c r="U17" s="585" t="n">
        <v>0</v>
      </c>
      <c r="V17" s="585" t="n">
        <v>0</v>
      </c>
      <c r="W17" s="585" t="n">
        <v>0</v>
      </c>
      <c r="X17" s="585" t="n">
        <v>0</v>
      </c>
      <c r="Y17" s="585" t="n">
        <v>0</v>
      </c>
      <c r="Z17" s="585" t="n">
        <v>0</v>
      </c>
      <c r="AA17" s="585" t="n">
        <v>0</v>
      </c>
      <c r="AB17" s="585" t="n">
        <v>0</v>
      </c>
      <c r="AC17" s="585" t="n">
        <v>0</v>
      </c>
      <c r="AD17" s="585" t="n">
        <v>0</v>
      </c>
      <c r="AE17" s="585" t="n">
        <v>0</v>
      </c>
      <c r="AF17" s="585" t="n">
        <v>0</v>
      </c>
      <c r="AG17" s="585" t="n">
        <v>0</v>
      </c>
      <c r="AH17" s="585" t="n">
        <v>0</v>
      </c>
      <c r="AI17" s="585" t="n">
        <v>0</v>
      </c>
      <c r="AJ17" s="585" t="n">
        <v>0</v>
      </c>
      <c r="AK17" s="585" t="n">
        <v>0</v>
      </c>
      <c r="AL17" s="585" t="n">
        <v>0</v>
      </c>
      <c r="AM17" s="585" t="n">
        <v>0</v>
      </c>
      <c r="AN17" s="585" t="n">
        <v>0</v>
      </c>
    </row>
    <row r="18" ht="30" customHeight="1" s="331">
      <c r="B18" s="521" t="n">
        <v>13</v>
      </c>
      <c r="C18" s="583" t="inlineStr">
        <is>
          <t>អាករលើការស្នាក់នៅ</t>
        </is>
      </c>
      <c r="D18" s="584">
        <f>SUM(E18:AN18)</f>
        <v/>
      </c>
      <c r="E18" s="585" t="n">
        <v>0</v>
      </c>
      <c r="F18" s="585" t="n">
        <v>0</v>
      </c>
      <c r="G18" s="585" t="n">
        <v>0</v>
      </c>
      <c r="H18" s="585" t="n">
        <v>0</v>
      </c>
      <c r="I18" s="585" t="n">
        <v>0</v>
      </c>
      <c r="J18" s="585" t="n">
        <v>0</v>
      </c>
      <c r="K18" s="585" t="n">
        <v>0</v>
      </c>
      <c r="L18" s="585" t="n">
        <v>0</v>
      </c>
      <c r="M18" s="585" t="n">
        <v>0</v>
      </c>
      <c r="N18" s="585" t="n">
        <v>0</v>
      </c>
      <c r="O18" s="585" t="n">
        <v>0</v>
      </c>
      <c r="P18" s="585" t="n">
        <v>0</v>
      </c>
      <c r="Q18" s="585" t="n">
        <v>0</v>
      </c>
      <c r="R18" s="585" t="n">
        <v>0</v>
      </c>
      <c r="S18" s="585" t="n">
        <v>0</v>
      </c>
      <c r="T18" s="585" t="n">
        <v>0</v>
      </c>
      <c r="U18" s="585" t="n">
        <v>0</v>
      </c>
      <c r="V18" s="585" t="n">
        <v>0</v>
      </c>
      <c r="W18" s="585" t="n">
        <v>0</v>
      </c>
      <c r="X18" s="585" t="n">
        <v>0</v>
      </c>
      <c r="Y18" s="585" t="n">
        <v>0</v>
      </c>
      <c r="Z18" s="585" t="n">
        <v>0</v>
      </c>
      <c r="AA18" s="585" t="n">
        <v>0</v>
      </c>
      <c r="AB18" s="585" t="n">
        <v>0</v>
      </c>
      <c r="AC18" s="585" t="n">
        <v>0</v>
      </c>
      <c r="AD18" s="585" t="n">
        <v>0</v>
      </c>
      <c r="AE18" s="585" t="n">
        <v>0</v>
      </c>
      <c r="AF18" s="585" t="n">
        <v>0</v>
      </c>
      <c r="AG18" s="585" t="n">
        <v>0</v>
      </c>
      <c r="AH18" s="585" t="n">
        <v>0</v>
      </c>
      <c r="AI18" s="585" t="n">
        <v>0</v>
      </c>
      <c r="AJ18" s="585" t="n">
        <v>0</v>
      </c>
      <c r="AK18" s="585" t="n">
        <v>0</v>
      </c>
      <c r="AL18" s="585" t="n">
        <v>0</v>
      </c>
      <c r="AM18" s="585" t="n">
        <v>0</v>
      </c>
      <c r="AN18" s="585" t="n">
        <v>0</v>
      </c>
    </row>
    <row r="19" ht="30" customHeight="1" s="331">
      <c r="B19" s="521" t="n">
        <v>14</v>
      </c>
      <c r="C19" s="583" t="inlineStr">
        <is>
          <t>ពន្ធកាត់ទុកលើអនិវាសនជន (សេវាគ្រប់គ្រង បច្ចេកទេស)</t>
        </is>
      </c>
      <c r="D19" s="584">
        <f>SUM(E19:AN19)</f>
        <v/>
      </c>
      <c r="E19" s="585" t="n">
        <v>0</v>
      </c>
      <c r="F19" s="585" t="n">
        <v>0</v>
      </c>
      <c r="G19" s="585" t="n">
        <v>0</v>
      </c>
      <c r="H19" s="585" t="n">
        <v>0</v>
      </c>
      <c r="I19" s="585" t="n">
        <v>0</v>
      </c>
      <c r="J19" s="585" t="n">
        <v>0</v>
      </c>
      <c r="K19" s="585" t="n">
        <v>0</v>
      </c>
      <c r="L19" s="585" t="n">
        <v>0</v>
      </c>
      <c r="M19" s="585" t="n">
        <v>0</v>
      </c>
      <c r="N19" s="585" t="n">
        <v>0</v>
      </c>
      <c r="O19" s="585" t="n">
        <v>0</v>
      </c>
      <c r="P19" s="585" t="n">
        <v>0</v>
      </c>
      <c r="Q19" s="585" t="n">
        <v>0</v>
      </c>
      <c r="R19" s="586" t="n">
        <v>509140</v>
      </c>
      <c r="S19" s="586" t="n">
        <v>26477</v>
      </c>
      <c r="T19" s="586" t="n">
        <v>1098315</v>
      </c>
      <c r="U19" s="586" t="n">
        <v>583099</v>
      </c>
      <c r="V19" s="586" t="n">
        <v>654270</v>
      </c>
      <c r="W19" s="586" t="n">
        <v>341046</v>
      </c>
      <c r="X19" s="586" t="n">
        <v>360463</v>
      </c>
      <c r="Y19" s="586" t="n">
        <v>862458</v>
      </c>
      <c r="Z19" s="586" t="n">
        <v>5064876</v>
      </c>
      <c r="AA19" s="586" t="n">
        <v>1509219</v>
      </c>
      <c r="AB19" s="586" t="n">
        <v>26372</v>
      </c>
      <c r="AC19" s="586" t="n">
        <v>1230632</v>
      </c>
      <c r="AD19" s="586" t="n">
        <v>556374</v>
      </c>
      <c r="AE19" s="586" t="n">
        <v>1519028</v>
      </c>
      <c r="AF19" s="586" t="n">
        <v>1788351</v>
      </c>
      <c r="AG19" s="586" t="n">
        <v>2670558</v>
      </c>
      <c r="AH19" s="586" t="n">
        <v>1893782</v>
      </c>
      <c r="AI19" s="586" t="n">
        <v>8041313</v>
      </c>
      <c r="AJ19" s="586" t="n">
        <v>26260</v>
      </c>
      <c r="AK19" s="586" t="n">
        <v>26274</v>
      </c>
      <c r="AL19" s="586" t="n">
        <v>26339</v>
      </c>
      <c r="AM19" s="586" t="n">
        <v>956190</v>
      </c>
      <c r="AN19" s="586" t="n">
        <v>26293</v>
      </c>
    </row>
    <row r="20" ht="30" customHeight="1" s="331">
      <c r="B20" s="521" t="n">
        <v>15</v>
      </c>
      <c r="C20" s="583" t="inlineStr">
        <is>
          <t>ពន្ធកាត់ទុកលើការប្រាក់ ១៥%</t>
        </is>
      </c>
      <c r="D20" s="584">
        <f>SUM(E20:AN20)</f>
        <v/>
      </c>
      <c r="E20" s="585" t="n">
        <v>0</v>
      </c>
      <c r="F20" s="585" t="n">
        <v>0</v>
      </c>
      <c r="G20" s="585" t="n">
        <v>0</v>
      </c>
      <c r="H20" s="585" t="n">
        <v>0</v>
      </c>
      <c r="I20" s="585" t="n">
        <v>0</v>
      </c>
      <c r="J20" s="585" t="n">
        <v>0</v>
      </c>
      <c r="K20" s="585" t="n">
        <v>0</v>
      </c>
      <c r="L20" s="585" t="n">
        <v>0</v>
      </c>
      <c r="M20" s="585" t="n">
        <v>0</v>
      </c>
      <c r="N20" s="585" t="n">
        <v>0</v>
      </c>
      <c r="O20" s="585" t="n">
        <v>0</v>
      </c>
      <c r="P20" s="585" t="n">
        <v>0</v>
      </c>
      <c r="Q20" s="585" t="n">
        <v>0</v>
      </c>
      <c r="R20" s="585" t="n">
        <v>0</v>
      </c>
      <c r="S20" s="586" t="n">
        <v>542353</v>
      </c>
      <c r="T20" s="585" t="n">
        <v>0</v>
      </c>
      <c r="U20" s="585" t="n">
        <v>0</v>
      </c>
      <c r="V20" s="585" t="n">
        <v>0</v>
      </c>
      <c r="W20" s="585" t="n">
        <v>0</v>
      </c>
      <c r="X20" s="586" t="n">
        <v>25166817</v>
      </c>
      <c r="Y20" s="586" t="n">
        <v>27019415</v>
      </c>
      <c r="Z20" s="585" t="n">
        <v>0</v>
      </c>
      <c r="AA20" s="585" t="n">
        <v>0</v>
      </c>
      <c r="AB20" s="586" t="n">
        <v>21828201</v>
      </c>
      <c r="AC20" s="585" t="n">
        <v>0</v>
      </c>
      <c r="AD20" s="586" t="n">
        <v>5514333</v>
      </c>
      <c r="AE20" s="585" t="n">
        <v>0</v>
      </c>
      <c r="AF20" s="585" t="n">
        <v>0</v>
      </c>
      <c r="AG20" s="585" t="n">
        <v>0</v>
      </c>
      <c r="AH20" s="585" t="n">
        <v>0</v>
      </c>
      <c r="AI20" s="585" t="n">
        <v>0</v>
      </c>
      <c r="AJ20" s="585" t="n">
        <v>0</v>
      </c>
      <c r="AK20" s="585" t="n">
        <v>0</v>
      </c>
      <c r="AL20" s="585" t="n">
        <v>0</v>
      </c>
      <c r="AM20" s="585" t="n">
        <v>0</v>
      </c>
      <c r="AN20" s="585" t="n">
        <v>0</v>
      </c>
    </row>
    <row r="21" ht="30" customHeight="1" s="331">
      <c r="B21" s="521" t="n">
        <v>16</v>
      </c>
      <c r="C21" s="583" t="inlineStr">
        <is>
          <t>កម្រៃសេវាលើការប្រើប្រាស់កម្មវិធីបញ្ចូលប្រកាសពន្ធអាជីវកម្មអនឡាញ</t>
        </is>
      </c>
      <c r="D21" s="584">
        <f>SUM(E21:AN21)</f>
        <v/>
      </c>
      <c r="E21" s="585" t="n">
        <v>0</v>
      </c>
      <c r="F21" s="585" t="n">
        <v>0</v>
      </c>
      <c r="G21" s="585" t="n">
        <v>0</v>
      </c>
      <c r="H21" s="585" t="n">
        <v>0</v>
      </c>
      <c r="I21" s="585" t="n">
        <v>0</v>
      </c>
      <c r="J21" s="585" t="n">
        <v>0</v>
      </c>
      <c r="K21" s="585" t="n">
        <v>0</v>
      </c>
      <c r="L21" s="585" t="n">
        <v>0</v>
      </c>
      <c r="M21" s="585" t="n">
        <v>0</v>
      </c>
      <c r="N21" s="585" t="n">
        <v>0</v>
      </c>
      <c r="O21" s="585" t="n">
        <v>0</v>
      </c>
      <c r="P21" s="585" t="n">
        <v>0</v>
      </c>
      <c r="Q21" s="585" t="n">
        <v>0</v>
      </c>
      <c r="R21" s="585" t="n">
        <v>0</v>
      </c>
      <c r="S21" s="585" t="n">
        <v>0</v>
      </c>
      <c r="T21" s="585" t="n">
        <v>0</v>
      </c>
      <c r="U21" s="585" t="n">
        <v>0</v>
      </c>
      <c r="V21" s="585" t="n">
        <v>0</v>
      </c>
      <c r="W21" s="585" t="n">
        <v>0</v>
      </c>
      <c r="X21" s="585" t="n">
        <v>0</v>
      </c>
      <c r="Y21" s="585" t="n">
        <v>0</v>
      </c>
      <c r="Z21" s="585" t="n">
        <v>0</v>
      </c>
      <c r="AA21" s="585" t="n">
        <v>0</v>
      </c>
      <c r="AB21" s="585" t="n">
        <v>0</v>
      </c>
      <c r="AC21" s="585" t="n">
        <v>0</v>
      </c>
      <c r="AD21" s="585" t="n">
        <v>0</v>
      </c>
      <c r="AE21" s="585" t="n">
        <v>0</v>
      </c>
      <c r="AF21" s="585" t="n">
        <v>0</v>
      </c>
      <c r="AG21" s="585" t="n">
        <v>0</v>
      </c>
      <c r="AH21" s="585" t="n">
        <v>0</v>
      </c>
      <c r="AI21" s="585" t="n">
        <v>0</v>
      </c>
      <c r="AJ21" s="585" t="n">
        <v>0</v>
      </c>
      <c r="AK21" s="585" t="n">
        <v>0</v>
      </c>
      <c r="AL21" s="586" t="n">
        <v>400000</v>
      </c>
      <c r="AM21" s="585" t="n">
        <v>0</v>
      </c>
      <c r="AN21" s="585" t="n">
        <v>0</v>
      </c>
    </row>
    <row r="22" ht="30" customHeight="1" s="331">
      <c r="B22" s="526" t="n"/>
      <c r="C22" s="534" t="inlineStr">
        <is>
          <t>សរុបទឹកប្រាក់ពន្ធបានបង់ចូលរដ្ឋ</t>
        </is>
      </c>
      <c r="D22" s="587">
        <f>SUM(D6:D21)</f>
        <v/>
      </c>
      <c r="E22" s="526" t="n"/>
      <c r="F22" s="526" t="n"/>
      <c r="G22" s="526" t="n"/>
      <c r="H22" s="526" t="n"/>
      <c r="I22" s="526" t="n"/>
      <c r="J22" s="526" t="n"/>
      <c r="K22" s="526" t="n"/>
      <c r="L22" s="526" t="n"/>
      <c r="M22" s="526" t="n"/>
      <c r="N22" s="526" t="n"/>
      <c r="O22" s="526" t="n"/>
      <c r="P22" s="526" t="n"/>
      <c r="Q22" s="526" t="n"/>
      <c r="R22" s="526" t="n"/>
      <c r="S22" s="526" t="n"/>
      <c r="T22" s="526" t="n"/>
      <c r="U22" s="526" t="n"/>
      <c r="V22" s="526" t="n"/>
      <c r="W22" s="526" t="n"/>
      <c r="X22" s="526" t="n"/>
      <c r="Y22" s="526" t="n"/>
      <c r="Z22" s="526" t="n"/>
      <c r="AA22" s="526" t="n"/>
      <c r="AB22" s="526" t="n"/>
      <c r="AC22" s="526" t="n"/>
      <c r="AD22" s="526" t="n"/>
      <c r="AE22" s="526" t="n"/>
      <c r="AF22" s="526" t="n"/>
      <c r="AG22" s="526" t="n"/>
      <c r="AH22" s="526" t="n"/>
      <c r="AI22" s="526" t="n"/>
      <c r="AJ22" s="526" t="n"/>
      <c r="AK22" s="526" t="n"/>
      <c r="AL22" s="526" t="n"/>
      <c r="AM22" s="526" t="n"/>
      <c r="AN22" s="526" t="n"/>
    </row>
    <row r="23" ht="30" customHeight="1" s="331"/>
    <row r="24" ht="30" customHeight="1" s="331"/>
    <row r="25" ht="30" customHeight="1" s="331"/>
    <row r="26" ht="30" customHeight="1" s="331"/>
    <row r="27" ht="30" customHeight="1" s="331"/>
    <row r="28" ht="30" customHeight="1" s="331"/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86"/>
  <sheetViews>
    <sheetView zoomScale="90" zoomScaleNormal="90" workbookViewId="0">
      <selection activeCell="E11" sqref="E11"/>
    </sheetView>
  </sheetViews>
  <sheetFormatPr baseColWidth="8" defaultColWidth="9.109375" defaultRowHeight="13.2"/>
  <cols>
    <col width="5.88671875" customWidth="1" style="3" min="1" max="1"/>
    <col width="15.6640625" customWidth="1" style="3" min="2" max="2"/>
    <col width="11.6640625" bestFit="1" customWidth="1" style="3" min="3" max="3"/>
    <col width="11.33203125" bestFit="1" customWidth="1" style="3" min="4" max="4"/>
    <col width="33.109375" customWidth="1" style="3" min="5" max="5"/>
    <col width="10.5546875" bestFit="1" customWidth="1" style="3" min="6" max="6"/>
    <col width="15.44140625" customWidth="1" style="3" min="7" max="7"/>
    <col width="11.6640625" bestFit="1" customWidth="1" style="3" min="8" max="8"/>
    <col width="16.109375" bestFit="1" customWidth="1" style="3" min="9" max="9"/>
    <col width="14.44140625" customWidth="1" style="3" min="10" max="10"/>
    <col width="9.109375" customWidth="1" style="3" min="11" max="16384"/>
  </cols>
  <sheetData>
    <row r="1" ht="27.75" customHeight="1" s="331">
      <c r="A1" s="438" t="inlineStr">
        <is>
          <t>តារាងឧបសម្ព័ន្ឋ</t>
        </is>
      </c>
    </row>
    <row r="2" ht="32.25" customHeight="1" s="331">
      <c r="A2" s="438" t="inlineStr">
        <is>
          <t>តារាងប្រៀធៀបវិក្ក័យប័ត្រស្នើសុំបង្វិលសងអាករលើតំលៃបន្ថែម  ( Cross checking )</t>
        </is>
      </c>
    </row>
    <row r="3" ht="22.5" customHeight="1" s="331">
      <c r="A3" s="439">
        <f>'Annex I-IM State Charge'!#REF!</f>
        <v/>
      </c>
      <c r="F3" s="4" t="n"/>
      <c r="G3" s="4" t="n"/>
      <c r="H3" s="4" t="n"/>
      <c r="I3" s="4" t="n"/>
      <c r="J3" s="4" t="n"/>
    </row>
    <row r="4" ht="21" customHeight="1" s="331">
      <c r="A4" s="440">
        <f>'Annex I-IM State Charge'!#REF!</f>
        <v/>
      </c>
      <c r="B4" s="529" t="n"/>
      <c r="C4" s="529" t="n"/>
      <c r="D4" s="529" t="n"/>
      <c r="E4" s="5" t="n"/>
      <c r="F4" s="4" t="n"/>
      <c r="G4" s="4" t="n"/>
      <c r="H4" s="4" t="n"/>
      <c r="I4" s="4" t="n"/>
      <c r="J4" s="4" t="n"/>
    </row>
    <row r="5" ht="24" customHeight="1" s="331">
      <c r="A5" s="79" t="inlineStr">
        <is>
          <t>ល.រ</t>
        </is>
      </c>
      <c r="B5" s="449" t="inlineStr">
        <is>
          <t>ក្រុមហ៊ុនស្នើសុំបង្វិលសង</t>
        </is>
      </c>
      <c r="C5" s="542" t="n"/>
      <c r="D5" s="543" t="n"/>
      <c r="E5" s="447" t="inlineStr">
        <is>
          <t>អ្នកផ្គត់ផ្គង់</t>
        </is>
      </c>
      <c r="F5" s="531" t="n"/>
      <c r="G5" s="531" t="n"/>
      <c r="H5" s="531" t="n"/>
      <c r="I5" s="519" t="n"/>
      <c r="J5" s="456" t="inlineStr">
        <is>
          <t>ផ្សេងៗ</t>
        </is>
      </c>
    </row>
    <row r="6" ht="24" customHeight="1" s="331">
      <c r="A6" s="555" t="n"/>
      <c r="B6" s="451" t="inlineStr">
        <is>
          <t>វិក្កយបត្រ</t>
        </is>
      </c>
      <c r="C6" s="529" t="n"/>
      <c r="D6" s="548" t="n"/>
      <c r="E6" s="455" t="inlineStr">
        <is>
          <t>សហគ្រាស</t>
        </is>
      </c>
      <c r="F6" s="456" t="inlineStr">
        <is>
          <t>លេខអតប</t>
        </is>
      </c>
      <c r="G6" s="451" t="inlineStr">
        <is>
          <t>វិក្កយបត្រ</t>
        </is>
      </c>
      <c r="H6" s="529" t="n"/>
      <c r="I6" s="548" t="n"/>
      <c r="J6" s="555" t="n"/>
    </row>
    <row r="7" ht="21" customHeight="1" s="331">
      <c r="A7" s="520" t="n"/>
      <c r="B7" s="451" t="inlineStr">
        <is>
          <t>លេខ</t>
        </is>
      </c>
      <c r="C7" s="451" t="inlineStr">
        <is>
          <t>ថ្ងៃទី ខែ ឆ្នាំ</t>
        </is>
      </c>
      <c r="D7" s="451" t="inlineStr">
        <is>
          <t>ប្រាក់អាករ</t>
        </is>
      </c>
      <c r="E7" s="548" t="n"/>
      <c r="F7" s="520" t="n"/>
      <c r="G7" s="451" t="inlineStr">
        <is>
          <t>លេខ</t>
        </is>
      </c>
      <c r="H7" s="451" t="inlineStr">
        <is>
          <t>ថ្ងៃទី ខែ ឆ្នាំ</t>
        </is>
      </c>
      <c r="I7" s="451" t="inlineStr">
        <is>
          <t>ប្រាក់អាករ</t>
        </is>
      </c>
      <c r="J7" s="520" t="n"/>
    </row>
    <row r="8" ht="24" customHeight="1" s="331">
      <c r="A8" s="442" t="n">
        <v>1</v>
      </c>
      <c r="B8" s="12" t="inlineStr">
        <is>
          <t>030209</t>
        </is>
      </c>
      <c r="C8" s="13" t="n">
        <v>41246</v>
      </c>
      <c r="D8" s="588" t="n">
        <v>58.25</v>
      </c>
      <c r="E8" s="11" t="inlineStr">
        <is>
          <t>A P L Logistics</t>
        </is>
      </c>
      <c r="F8" s="10" t="inlineStr">
        <is>
          <t>100046460</t>
        </is>
      </c>
      <c r="G8" s="12" t="inlineStr">
        <is>
          <t>030209</t>
        </is>
      </c>
      <c r="H8" s="13" t="n">
        <v>41246</v>
      </c>
      <c r="I8" s="588" t="n">
        <v>58.25</v>
      </c>
      <c r="J8" s="76" t="inlineStr">
        <is>
          <t>បានបង់</t>
        </is>
      </c>
    </row>
    <row r="9" ht="24" customHeight="1" s="331">
      <c r="A9" s="442" t="n">
        <v>2</v>
      </c>
      <c r="B9" s="12" t="inlineStr">
        <is>
          <t>030231</t>
        </is>
      </c>
      <c r="C9" s="13" t="n">
        <v>41248</v>
      </c>
      <c r="D9" s="588" t="n">
        <v>4</v>
      </c>
      <c r="E9" s="11" t="inlineStr">
        <is>
          <t>A P L Logistics</t>
        </is>
      </c>
      <c r="F9" s="10" t="inlineStr">
        <is>
          <t>100046460</t>
        </is>
      </c>
      <c r="G9" s="12" t="inlineStr">
        <is>
          <t>030231</t>
        </is>
      </c>
      <c r="H9" s="13" t="n">
        <v>41248</v>
      </c>
      <c r="I9" s="588" t="n">
        <v>4</v>
      </c>
      <c r="J9" s="76" t="inlineStr">
        <is>
          <t>បានបង់</t>
        </is>
      </c>
    </row>
    <row r="10" ht="24" customHeight="1" s="331">
      <c r="A10" s="442" t="n">
        <v>3</v>
      </c>
      <c r="B10" s="12" t="inlineStr">
        <is>
          <t>030241</t>
        </is>
      </c>
      <c r="C10" s="13" t="n">
        <v>41254</v>
      </c>
      <c r="D10" s="588" t="n">
        <v>49.75</v>
      </c>
      <c r="E10" s="11" t="inlineStr">
        <is>
          <t>A P L Logistics</t>
        </is>
      </c>
      <c r="F10" s="10" t="inlineStr">
        <is>
          <t>100046460</t>
        </is>
      </c>
      <c r="G10" s="12" t="inlineStr">
        <is>
          <t>030241</t>
        </is>
      </c>
      <c r="H10" s="13" t="n">
        <v>41254</v>
      </c>
      <c r="I10" s="588" t="n">
        <v>49.75</v>
      </c>
      <c r="J10" s="76" t="inlineStr">
        <is>
          <t>បានបង់</t>
        </is>
      </c>
    </row>
    <row r="11" ht="18" customHeight="1" s="331">
      <c r="A11" s="442" t="n">
        <v>4</v>
      </c>
      <c r="B11" s="12" t="inlineStr">
        <is>
          <t>030262</t>
        </is>
      </c>
      <c r="C11" s="13" t="n">
        <v>41254</v>
      </c>
      <c r="D11" s="588" t="n">
        <v>181.79</v>
      </c>
      <c r="E11" s="11" t="inlineStr">
        <is>
          <t>A P L Logistics</t>
        </is>
      </c>
      <c r="F11" s="10" t="inlineStr">
        <is>
          <t>100046460</t>
        </is>
      </c>
      <c r="G11" s="12" t="inlineStr">
        <is>
          <t>030262</t>
        </is>
      </c>
      <c r="H11" s="13" t="n">
        <v>41254</v>
      </c>
      <c r="I11" s="588" t="n">
        <v>181.79</v>
      </c>
      <c r="J11" s="76" t="inlineStr">
        <is>
          <t>បានបង់</t>
        </is>
      </c>
    </row>
    <row r="12" ht="18" customHeight="1" s="331">
      <c r="A12" s="442" t="n">
        <v>5</v>
      </c>
      <c r="B12" s="12" t="inlineStr">
        <is>
          <t>030302</t>
        </is>
      </c>
      <c r="C12" s="13" t="n">
        <v>41260</v>
      </c>
      <c r="D12" s="588" t="n">
        <v>46.69</v>
      </c>
      <c r="E12" s="11" t="inlineStr">
        <is>
          <t>A P L Logistics</t>
        </is>
      </c>
      <c r="F12" s="10" t="inlineStr">
        <is>
          <t>100046460</t>
        </is>
      </c>
      <c r="G12" s="12" t="inlineStr">
        <is>
          <t>030302</t>
        </is>
      </c>
      <c r="H12" s="13" t="n">
        <v>41260</v>
      </c>
      <c r="I12" s="588" t="n">
        <v>46.69</v>
      </c>
      <c r="J12" s="76" t="inlineStr">
        <is>
          <t>បានបង់</t>
        </is>
      </c>
    </row>
    <row r="13" ht="18" customHeight="1" s="331">
      <c r="A13" s="442" t="n">
        <v>6</v>
      </c>
      <c r="B13" s="12" t="inlineStr">
        <is>
          <t>030328</t>
        </is>
      </c>
      <c r="C13" s="13" t="n">
        <v>41260</v>
      </c>
      <c r="D13" s="588" t="n">
        <v>236.64</v>
      </c>
      <c r="E13" s="11" t="inlineStr">
        <is>
          <t>A P L Logistics</t>
        </is>
      </c>
      <c r="F13" s="10" t="inlineStr">
        <is>
          <t>100046460</t>
        </is>
      </c>
      <c r="G13" s="12" t="inlineStr">
        <is>
          <t>030328</t>
        </is>
      </c>
      <c r="H13" s="13" t="n">
        <v>41260</v>
      </c>
      <c r="I13" s="588" t="n">
        <v>236.64</v>
      </c>
      <c r="J13" s="76" t="inlineStr">
        <is>
          <t>បានបង់</t>
        </is>
      </c>
    </row>
    <row r="14" ht="18" customHeight="1" s="331">
      <c r="A14" s="442" t="n">
        <v>7</v>
      </c>
      <c r="B14" s="12" t="inlineStr">
        <is>
          <t>030343</t>
        </is>
      </c>
      <c r="C14" s="13" t="n">
        <v>41261</v>
      </c>
      <c r="D14" s="588" t="n">
        <v>4</v>
      </c>
      <c r="E14" s="11" t="inlineStr">
        <is>
          <t>A P L Logistics</t>
        </is>
      </c>
      <c r="F14" s="10" t="inlineStr">
        <is>
          <t>100046460</t>
        </is>
      </c>
      <c r="G14" s="12" t="inlineStr">
        <is>
          <t>030343</t>
        </is>
      </c>
      <c r="H14" s="13" t="n">
        <v>41261</v>
      </c>
      <c r="I14" s="588" t="n">
        <v>4</v>
      </c>
      <c r="J14" s="76" t="inlineStr">
        <is>
          <t>បានបង់</t>
        </is>
      </c>
    </row>
    <row r="15" ht="18" customHeight="1" s="331">
      <c r="A15" s="442" t="n">
        <v>8</v>
      </c>
      <c r="B15" s="12" t="inlineStr">
        <is>
          <t>030353</t>
        </is>
      </c>
      <c r="C15" s="13" t="n">
        <v>41261</v>
      </c>
      <c r="D15" s="588" t="n">
        <v>10</v>
      </c>
      <c r="E15" s="11" t="inlineStr">
        <is>
          <t>A P L Logistics</t>
        </is>
      </c>
      <c r="F15" s="10" t="inlineStr">
        <is>
          <t>100046460</t>
        </is>
      </c>
      <c r="G15" s="12" t="inlineStr">
        <is>
          <t>030353</t>
        </is>
      </c>
      <c r="H15" s="13" t="n">
        <v>41261</v>
      </c>
      <c r="I15" s="588" t="n">
        <v>10</v>
      </c>
      <c r="J15" s="76" t="inlineStr">
        <is>
          <t>បានបង់</t>
        </is>
      </c>
    </row>
    <row r="16" ht="18" customHeight="1" s="331">
      <c r="A16" s="442" t="n">
        <v>9</v>
      </c>
      <c r="B16" s="12" t="inlineStr">
        <is>
          <t>030450</t>
        </is>
      </c>
      <c r="C16" s="13" t="n">
        <v>41274</v>
      </c>
      <c r="D16" s="588" t="n">
        <v>87.52</v>
      </c>
      <c r="E16" s="11" t="inlineStr">
        <is>
          <t>A P L Logistics</t>
        </is>
      </c>
      <c r="F16" s="10" t="inlineStr">
        <is>
          <t>100046460</t>
        </is>
      </c>
      <c r="G16" s="12" t="inlineStr">
        <is>
          <t>030450</t>
        </is>
      </c>
      <c r="H16" s="13" t="n">
        <v>41274</v>
      </c>
      <c r="I16" s="588" t="n">
        <v>87.52</v>
      </c>
      <c r="J16" s="76" t="inlineStr">
        <is>
          <t>បានបង់</t>
        </is>
      </c>
    </row>
    <row r="17" ht="18" customHeight="1" s="331">
      <c r="A17" s="442" t="n">
        <v>10</v>
      </c>
      <c r="B17" s="12" t="inlineStr">
        <is>
          <t>030469</t>
        </is>
      </c>
      <c r="C17" s="13" t="n">
        <v>41274</v>
      </c>
      <c r="D17" s="588" t="n">
        <v>39.29</v>
      </c>
      <c r="E17" s="11" t="inlineStr">
        <is>
          <t>A P L Logistics</t>
        </is>
      </c>
      <c r="F17" s="10" t="inlineStr">
        <is>
          <t>100046460</t>
        </is>
      </c>
      <c r="G17" s="12" t="inlineStr">
        <is>
          <t>030469</t>
        </is>
      </c>
      <c r="H17" s="13" t="n">
        <v>41274</v>
      </c>
      <c r="I17" s="588" t="n">
        <v>39.29</v>
      </c>
      <c r="J17" s="76" t="inlineStr">
        <is>
          <t>បានបង់</t>
        </is>
      </c>
    </row>
    <row r="18" ht="18" customHeight="1" s="331">
      <c r="A18" s="437" t="inlineStr">
        <is>
          <t>Total 12/2012</t>
        </is>
      </c>
      <c r="B18" s="531" t="n"/>
      <c r="C18" s="519" t="n"/>
      <c r="D18" s="589">
        <f>SUM(D8:D17)</f>
        <v/>
      </c>
      <c r="E18" s="53" t="n"/>
      <c r="F18" s="54" t="n"/>
      <c r="G18" s="54" t="n"/>
      <c r="H18" s="590" t="inlineStr">
        <is>
          <t>USD</t>
        </is>
      </c>
      <c r="I18" s="589">
        <f>SUM(I8:I17)</f>
        <v/>
      </c>
      <c r="J18" s="7" t="n"/>
    </row>
    <row r="19" ht="21.9" customHeight="1" s="331">
      <c r="A19" s="437" t="inlineStr">
        <is>
          <t>Total 12/2012</t>
        </is>
      </c>
      <c r="B19" s="531" t="n"/>
      <c r="C19" s="519" t="n"/>
      <c r="D19" s="589" t="n"/>
      <c r="E19" s="53" t="n"/>
      <c r="F19" s="54" t="n"/>
      <c r="G19" s="591" t="n">
        <v>3995</v>
      </c>
      <c r="H19" s="590" t="inlineStr">
        <is>
          <t>RIEL</t>
        </is>
      </c>
      <c r="I19" s="592">
        <f>I18*G19</f>
        <v/>
      </c>
      <c r="J19" s="7" t="n"/>
    </row>
    <row r="20" ht="18" customHeight="1" s="331">
      <c r="A20" s="33" t="n">
        <v>1</v>
      </c>
      <c r="B20" s="12" t="inlineStr">
        <is>
          <t>029920</t>
        </is>
      </c>
      <c r="C20" s="13" t="n">
        <v>41218</v>
      </c>
      <c r="D20" s="588" t="n">
        <v>77</v>
      </c>
      <c r="E20" s="11" t="inlineStr">
        <is>
          <t>A P L Logistics</t>
        </is>
      </c>
      <c r="F20" s="10" t="inlineStr">
        <is>
          <t>100046460</t>
        </is>
      </c>
      <c r="G20" s="12" t="inlineStr">
        <is>
          <t>029920</t>
        </is>
      </c>
      <c r="H20" s="13" t="n">
        <v>41218</v>
      </c>
      <c r="I20" s="588" t="n">
        <v>77</v>
      </c>
      <c r="J20" s="76" t="inlineStr">
        <is>
          <t>បានបង់</t>
        </is>
      </c>
    </row>
    <row r="21" ht="18" customHeight="1" s="331">
      <c r="A21" s="33" t="n">
        <v>2</v>
      </c>
      <c r="B21" s="12" t="inlineStr">
        <is>
          <t>029981</t>
        </is>
      </c>
      <c r="C21" s="13" t="n">
        <v>41225</v>
      </c>
      <c r="D21" s="588" t="n">
        <v>115.89</v>
      </c>
      <c r="E21" s="11" t="inlineStr">
        <is>
          <t>A P L Logistics</t>
        </is>
      </c>
      <c r="F21" s="10" t="inlineStr">
        <is>
          <t>100046460</t>
        </is>
      </c>
      <c r="G21" s="12" t="inlineStr">
        <is>
          <t>029981</t>
        </is>
      </c>
      <c r="H21" s="13" t="n">
        <v>41225</v>
      </c>
      <c r="I21" s="588" t="n">
        <v>115.89</v>
      </c>
      <c r="J21" s="76" t="inlineStr">
        <is>
          <t>បានបង់</t>
        </is>
      </c>
    </row>
    <row r="22" ht="18" customHeight="1" s="331">
      <c r="A22" s="33" t="n">
        <v>3</v>
      </c>
      <c r="B22" s="12" t="inlineStr">
        <is>
          <t>030003</t>
        </is>
      </c>
      <c r="C22" s="13" t="n">
        <v>41225</v>
      </c>
      <c r="D22" s="588" t="n">
        <v>82.91</v>
      </c>
      <c r="E22" s="11" t="inlineStr">
        <is>
          <t>A P L Logistics</t>
        </is>
      </c>
      <c r="F22" s="10" t="inlineStr">
        <is>
          <t>100046460</t>
        </is>
      </c>
      <c r="G22" s="12" t="inlineStr">
        <is>
          <t>030003</t>
        </is>
      </c>
      <c r="H22" s="13" t="n">
        <v>41225</v>
      </c>
      <c r="I22" s="588" t="n">
        <v>82.91</v>
      </c>
      <c r="J22" s="76" t="inlineStr">
        <is>
          <t>បានបង់</t>
        </is>
      </c>
    </row>
    <row r="23" ht="18" customHeight="1" s="331">
      <c r="A23" s="33" t="n">
        <v>4</v>
      </c>
      <c r="B23" s="12" t="inlineStr">
        <is>
          <t>030044</t>
        </is>
      </c>
      <c r="C23" s="13" t="n">
        <v>41232</v>
      </c>
      <c r="D23" s="588" t="n">
        <v>55.32</v>
      </c>
      <c r="E23" s="11" t="inlineStr">
        <is>
          <t>A P L Logistics</t>
        </is>
      </c>
      <c r="F23" s="10" t="inlineStr">
        <is>
          <t>100046460</t>
        </is>
      </c>
      <c r="G23" s="12" t="inlineStr">
        <is>
          <t>030044</t>
        </is>
      </c>
      <c r="H23" s="13" t="n">
        <v>41232</v>
      </c>
      <c r="I23" s="588" t="n">
        <v>55.32</v>
      </c>
      <c r="J23" s="76" t="inlineStr">
        <is>
          <t>បានបង់</t>
        </is>
      </c>
    </row>
    <row r="24" ht="18" customHeight="1" s="331">
      <c r="A24" s="33" t="n">
        <v>5</v>
      </c>
      <c r="B24" s="12" t="inlineStr">
        <is>
          <t>030062</t>
        </is>
      </c>
      <c r="C24" s="13" t="n">
        <v>41232</v>
      </c>
      <c r="D24" s="588" t="n">
        <v>32.03</v>
      </c>
      <c r="E24" s="11" t="inlineStr">
        <is>
          <t>A P L Logistics</t>
        </is>
      </c>
      <c r="F24" s="10" t="inlineStr">
        <is>
          <t>100046460</t>
        </is>
      </c>
      <c r="G24" s="12" t="inlineStr">
        <is>
          <t>030062</t>
        </is>
      </c>
      <c r="H24" s="13" t="n">
        <v>41232</v>
      </c>
      <c r="I24" s="588" t="n">
        <v>32.03</v>
      </c>
      <c r="J24" s="76" t="inlineStr">
        <is>
          <t>បានបង់</t>
        </is>
      </c>
    </row>
    <row r="25" ht="18" customHeight="1" s="331">
      <c r="A25" s="437" t="inlineStr">
        <is>
          <t>Total 11/2012</t>
        </is>
      </c>
      <c r="B25" s="531" t="n"/>
      <c r="C25" s="519" t="n"/>
      <c r="D25" s="589">
        <f>SUM(D20:D24)</f>
        <v/>
      </c>
      <c r="E25" s="53" t="n"/>
      <c r="F25" s="54" t="n"/>
      <c r="G25" s="54" t="n"/>
      <c r="H25" s="590" t="inlineStr">
        <is>
          <t>USD</t>
        </is>
      </c>
      <c r="I25" s="589">
        <f>SUM(I20:I24)</f>
        <v/>
      </c>
      <c r="J25" s="7" t="n"/>
    </row>
    <row r="26" ht="21.9" customHeight="1" s="331">
      <c r="A26" s="437" t="inlineStr">
        <is>
          <t>Total 11/2012</t>
        </is>
      </c>
      <c r="B26" s="531" t="n"/>
      <c r="C26" s="519" t="n"/>
      <c r="D26" s="589" t="n"/>
      <c r="E26" s="53" t="n"/>
      <c r="F26" s="54" t="n"/>
      <c r="G26" s="591" t="n">
        <v>3999</v>
      </c>
      <c r="H26" s="590" t="inlineStr">
        <is>
          <t>RIEL</t>
        </is>
      </c>
      <c r="I26" s="592">
        <f>I25*G26</f>
        <v/>
      </c>
      <c r="J26" s="7" t="n"/>
    </row>
    <row r="27" ht="18" customHeight="1" s="331">
      <c r="A27" s="33" t="n">
        <v>1</v>
      </c>
      <c r="B27" s="12" t="inlineStr">
        <is>
          <t>029638</t>
        </is>
      </c>
      <c r="C27" s="13" t="n">
        <v>41183</v>
      </c>
      <c r="D27" s="588" t="n">
        <v>89.93000000000001</v>
      </c>
      <c r="E27" s="11" t="inlineStr">
        <is>
          <t>A P L Logistics</t>
        </is>
      </c>
      <c r="F27" s="10" t="inlineStr">
        <is>
          <t>100046460</t>
        </is>
      </c>
      <c r="G27" s="12" t="inlineStr">
        <is>
          <t>029638</t>
        </is>
      </c>
      <c r="H27" s="13" t="n">
        <v>41183</v>
      </c>
      <c r="I27" s="588" t="n">
        <v>89.93000000000001</v>
      </c>
      <c r="J27" s="76" t="inlineStr">
        <is>
          <t>បានបង់</t>
        </is>
      </c>
    </row>
    <row r="28" ht="18" customHeight="1" s="331">
      <c r="A28" s="33" t="n">
        <v>2</v>
      </c>
      <c r="B28" s="12" t="inlineStr">
        <is>
          <t>029716</t>
        </is>
      </c>
      <c r="C28" s="13" t="n">
        <v>41190</v>
      </c>
      <c r="D28" s="588" t="n">
        <v>49.63</v>
      </c>
      <c r="E28" s="11" t="inlineStr">
        <is>
          <t>A P L Logistics</t>
        </is>
      </c>
      <c r="F28" s="10" t="inlineStr">
        <is>
          <t>100046460</t>
        </is>
      </c>
      <c r="G28" s="12" t="inlineStr">
        <is>
          <t>029716</t>
        </is>
      </c>
      <c r="H28" s="13" t="n">
        <v>41190</v>
      </c>
      <c r="I28" s="588" t="n">
        <v>49.63</v>
      </c>
      <c r="J28" s="76" t="inlineStr">
        <is>
          <t>បានបង់</t>
        </is>
      </c>
    </row>
    <row r="29" ht="18" customHeight="1" s="331">
      <c r="A29" s="33" t="n">
        <v>3</v>
      </c>
      <c r="B29" s="12" t="inlineStr">
        <is>
          <t>029766</t>
        </is>
      </c>
      <c r="C29" s="13" t="n">
        <v>41197</v>
      </c>
      <c r="D29" s="588" t="n">
        <v>115.81</v>
      </c>
      <c r="E29" s="11" t="inlineStr">
        <is>
          <t>A P L Logistics</t>
        </is>
      </c>
      <c r="F29" s="10" t="inlineStr">
        <is>
          <t>100046460</t>
        </is>
      </c>
      <c r="G29" s="12" t="inlineStr">
        <is>
          <t>029766</t>
        </is>
      </c>
      <c r="H29" s="13" t="n">
        <v>41197</v>
      </c>
      <c r="I29" s="588" t="n">
        <v>115.81</v>
      </c>
      <c r="J29" s="76" t="inlineStr">
        <is>
          <t>បានបង់</t>
        </is>
      </c>
    </row>
    <row r="30" ht="18" customHeight="1" s="331">
      <c r="A30" s="33" t="n">
        <v>4</v>
      </c>
      <c r="B30" s="12" t="inlineStr">
        <is>
          <t>029816</t>
        </is>
      </c>
      <c r="C30" s="13" t="n">
        <v>41204</v>
      </c>
      <c r="D30" s="588" t="n">
        <v>101.98</v>
      </c>
      <c r="E30" s="11" t="inlineStr">
        <is>
          <t>A P L Logistics</t>
        </is>
      </c>
      <c r="F30" s="10" t="inlineStr">
        <is>
          <t>100046460</t>
        </is>
      </c>
      <c r="G30" s="12" t="inlineStr">
        <is>
          <t>029816</t>
        </is>
      </c>
      <c r="H30" s="13" t="n">
        <v>41204</v>
      </c>
      <c r="I30" s="588" t="n">
        <v>101.98</v>
      </c>
      <c r="J30" s="76" t="inlineStr">
        <is>
          <t>បានបង់</t>
        </is>
      </c>
    </row>
    <row r="31" ht="18" customHeight="1" s="331">
      <c r="A31" s="33" t="n">
        <v>5</v>
      </c>
      <c r="B31" s="12" t="inlineStr">
        <is>
          <t>029869</t>
        </is>
      </c>
      <c r="C31" s="46" t="n">
        <v>41211</v>
      </c>
      <c r="D31" s="588" t="n">
        <v>67.28</v>
      </c>
      <c r="E31" s="11" t="inlineStr">
        <is>
          <t>A P L Logistics</t>
        </is>
      </c>
      <c r="F31" s="10" t="inlineStr">
        <is>
          <t>100046460</t>
        </is>
      </c>
      <c r="G31" s="12" t="inlineStr">
        <is>
          <t>029869</t>
        </is>
      </c>
      <c r="H31" s="46" t="n">
        <v>41211</v>
      </c>
      <c r="I31" s="588" t="n">
        <v>67.28</v>
      </c>
      <c r="J31" s="76" t="inlineStr">
        <is>
          <t>បានបង់</t>
        </is>
      </c>
    </row>
    <row r="32" ht="18" customHeight="1" s="331">
      <c r="A32" s="437" t="inlineStr">
        <is>
          <t>Total 10/2012</t>
        </is>
      </c>
      <c r="B32" s="531" t="n"/>
      <c r="C32" s="519" t="n"/>
      <c r="D32" s="589">
        <f>SUM(D27:D31)</f>
        <v/>
      </c>
      <c r="E32" s="53" t="n"/>
      <c r="F32" s="54" t="n"/>
      <c r="G32" s="54" t="n"/>
      <c r="H32" s="590" t="inlineStr">
        <is>
          <t>USD</t>
        </is>
      </c>
      <c r="I32" s="589">
        <f>SUM(I27:I31)</f>
        <v/>
      </c>
      <c r="J32" s="7" t="n"/>
    </row>
    <row r="33" ht="21.9" customHeight="1" s="331">
      <c r="A33" s="437" t="inlineStr">
        <is>
          <t>Total 10/2012</t>
        </is>
      </c>
      <c r="B33" s="531" t="n"/>
      <c r="C33" s="519" t="n"/>
      <c r="D33" s="589" t="n"/>
      <c r="E33" s="53" t="n"/>
      <c r="F33" s="54" t="n"/>
      <c r="G33" s="591" t="n">
        <v>4028</v>
      </c>
      <c r="H33" s="590" t="inlineStr">
        <is>
          <t>RIEL</t>
        </is>
      </c>
      <c r="I33" s="592">
        <f>I32*G33</f>
        <v/>
      </c>
      <c r="J33" s="7" t="n"/>
    </row>
    <row r="34" ht="18" customHeight="1" s="331">
      <c r="A34" s="33" t="n">
        <v>1</v>
      </c>
      <c r="B34" s="12" t="inlineStr">
        <is>
          <t>029426</t>
        </is>
      </c>
      <c r="C34" s="13" t="n">
        <v>41162</v>
      </c>
      <c r="D34" s="588" t="n">
        <v>206.96</v>
      </c>
      <c r="E34" s="11" t="inlineStr">
        <is>
          <t>A P L Logistics</t>
        </is>
      </c>
      <c r="F34" s="10" t="inlineStr">
        <is>
          <t>100046460</t>
        </is>
      </c>
      <c r="G34" s="12" t="inlineStr">
        <is>
          <t>029426</t>
        </is>
      </c>
      <c r="H34" s="13" t="n">
        <v>41162</v>
      </c>
      <c r="I34" s="588" t="n">
        <v>206.96</v>
      </c>
      <c r="J34" s="76" t="inlineStr">
        <is>
          <t>បានបង់</t>
        </is>
      </c>
    </row>
    <row r="35" ht="18" customHeight="1" s="331">
      <c r="A35" s="33" t="n">
        <v>2</v>
      </c>
      <c r="B35" s="12" t="inlineStr">
        <is>
          <t>029501</t>
        </is>
      </c>
      <c r="C35" s="13" t="n">
        <v>41169</v>
      </c>
      <c r="D35" s="588" t="n">
        <v>69.7</v>
      </c>
      <c r="E35" s="11" t="inlineStr">
        <is>
          <t>A P L Logistics</t>
        </is>
      </c>
      <c r="F35" s="10" t="inlineStr">
        <is>
          <t>100046460</t>
        </is>
      </c>
      <c r="G35" s="12" t="inlineStr">
        <is>
          <t>029501</t>
        </is>
      </c>
      <c r="H35" s="13" t="n">
        <v>41169</v>
      </c>
      <c r="I35" s="588" t="n">
        <v>69.7</v>
      </c>
      <c r="J35" s="76" t="inlineStr">
        <is>
          <t>បានបង់</t>
        </is>
      </c>
    </row>
    <row r="36" ht="18" customHeight="1" s="331">
      <c r="A36" s="33" t="n">
        <v>3</v>
      </c>
      <c r="B36" s="12" t="inlineStr">
        <is>
          <t>029565</t>
        </is>
      </c>
      <c r="C36" s="13" t="n">
        <v>41176</v>
      </c>
      <c r="D36" s="588" t="n">
        <v>46.66</v>
      </c>
      <c r="E36" s="11" t="inlineStr">
        <is>
          <t>A P L Logistics</t>
        </is>
      </c>
      <c r="F36" s="10" t="inlineStr">
        <is>
          <t>100046460</t>
        </is>
      </c>
      <c r="G36" s="12" t="inlineStr">
        <is>
          <t>029565</t>
        </is>
      </c>
      <c r="H36" s="13" t="n">
        <v>41176</v>
      </c>
      <c r="I36" s="588" t="n">
        <v>46.66</v>
      </c>
      <c r="J36" s="76" t="inlineStr">
        <is>
          <t>បានបង់</t>
        </is>
      </c>
    </row>
    <row r="37" ht="18" customHeight="1" s="331">
      <c r="A37" s="437" t="inlineStr">
        <is>
          <t>Total 09/2012</t>
        </is>
      </c>
      <c r="B37" s="531" t="n"/>
      <c r="C37" s="519" t="n"/>
      <c r="D37" s="589">
        <f>SUM(D34:D36)</f>
        <v/>
      </c>
      <c r="E37" s="53" t="n"/>
      <c r="F37" s="54" t="n"/>
      <c r="G37" s="54" t="n"/>
      <c r="H37" s="590" t="inlineStr">
        <is>
          <t>USD</t>
        </is>
      </c>
      <c r="I37" s="589">
        <f>SUM(I34:I36)</f>
        <v/>
      </c>
      <c r="J37" s="7" t="n"/>
    </row>
    <row r="38" ht="21.9" customHeight="1" s="331">
      <c r="A38" s="437" t="inlineStr">
        <is>
          <t>Total 09/2012</t>
        </is>
      </c>
      <c r="B38" s="531" t="n"/>
      <c r="C38" s="519" t="n"/>
      <c r="D38" s="589" t="n"/>
      <c r="E38" s="53" t="n"/>
      <c r="F38" s="54" t="n"/>
      <c r="G38" s="591" t="n">
        <v>4044</v>
      </c>
      <c r="H38" s="590" t="inlineStr">
        <is>
          <t>RIEL</t>
        </is>
      </c>
      <c r="I38" s="592">
        <f>I37*G38</f>
        <v/>
      </c>
      <c r="J38" s="7" t="n"/>
    </row>
    <row r="39" ht="18" customHeight="1" s="331">
      <c r="A39" s="60" t="n">
        <v>1</v>
      </c>
      <c r="B39" s="12" t="inlineStr">
        <is>
          <t>029026</t>
        </is>
      </c>
      <c r="C39" s="46" t="n">
        <v>41127</v>
      </c>
      <c r="D39" s="588" t="n">
        <v>37.84</v>
      </c>
      <c r="E39" s="11" t="inlineStr">
        <is>
          <t>A P L Logistics</t>
        </is>
      </c>
      <c r="F39" s="10" t="inlineStr">
        <is>
          <t>100046460</t>
        </is>
      </c>
      <c r="G39" s="12" t="inlineStr">
        <is>
          <t>029026</t>
        </is>
      </c>
      <c r="H39" s="46" t="n">
        <v>41127</v>
      </c>
      <c r="I39" s="588" t="n">
        <v>37.84</v>
      </c>
      <c r="J39" s="76" t="inlineStr">
        <is>
          <t>បានបង់</t>
        </is>
      </c>
    </row>
    <row r="40" ht="18" customHeight="1" s="331">
      <c r="A40" s="33" t="n">
        <v>2</v>
      </c>
      <c r="B40" s="12" t="inlineStr">
        <is>
          <t>029107</t>
        </is>
      </c>
      <c r="C40" s="13" t="n">
        <v>41134</v>
      </c>
      <c r="D40" s="588" t="n">
        <v>95.45999999999999</v>
      </c>
      <c r="E40" s="11" t="inlineStr">
        <is>
          <t>A P L Logistics</t>
        </is>
      </c>
      <c r="F40" s="10" t="inlineStr">
        <is>
          <t>100046460</t>
        </is>
      </c>
      <c r="G40" s="12" t="inlineStr">
        <is>
          <t>029107</t>
        </is>
      </c>
      <c r="H40" s="13" t="n">
        <v>41134</v>
      </c>
      <c r="I40" s="588" t="n">
        <v>95.45999999999999</v>
      </c>
      <c r="J40" s="76" t="inlineStr">
        <is>
          <t>បានបង់</t>
        </is>
      </c>
    </row>
    <row r="41" ht="18" customHeight="1" s="331">
      <c r="A41" s="33" t="n">
        <v>3</v>
      </c>
      <c r="B41" s="12" t="inlineStr">
        <is>
          <t>029223</t>
        </is>
      </c>
      <c r="C41" s="13" t="n">
        <v>41141</v>
      </c>
      <c r="D41" s="588" t="n">
        <v>106.66</v>
      </c>
      <c r="E41" s="11" t="inlineStr">
        <is>
          <t>A P L Logistics</t>
        </is>
      </c>
      <c r="F41" s="10" t="inlineStr">
        <is>
          <t>100046460</t>
        </is>
      </c>
      <c r="G41" s="12" t="inlineStr">
        <is>
          <t>029223</t>
        </is>
      </c>
      <c r="H41" s="13" t="n">
        <v>41141</v>
      </c>
      <c r="I41" s="588" t="n">
        <v>106.66</v>
      </c>
      <c r="J41" s="76" t="inlineStr">
        <is>
          <t>បានបង់</t>
        </is>
      </c>
    </row>
    <row r="42" ht="18" customHeight="1" s="331">
      <c r="A42" s="33" t="n">
        <v>4</v>
      </c>
      <c r="B42" s="12" t="inlineStr">
        <is>
          <t>029278</t>
        </is>
      </c>
      <c r="C42" s="13" t="n">
        <v>41148</v>
      </c>
      <c r="D42" s="588" t="n">
        <v>32.8</v>
      </c>
      <c r="E42" s="11" t="inlineStr">
        <is>
          <t>A P L Logistics</t>
        </is>
      </c>
      <c r="F42" s="10" t="inlineStr">
        <is>
          <t>100046460</t>
        </is>
      </c>
      <c r="G42" s="12" t="inlineStr">
        <is>
          <t>029278</t>
        </is>
      </c>
      <c r="H42" s="13" t="n">
        <v>41148</v>
      </c>
      <c r="I42" s="588" t="n">
        <v>32.8</v>
      </c>
      <c r="J42" s="76" t="inlineStr">
        <is>
          <t>បានបង់</t>
        </is>
      </c>
    </row>
    <row r="43" ht="18" customHeight="1" s="331">
      <c r="A43" s="437" t="inlineStr">
        <is>
          <t>Total 08/2012</t>
        </is>
      </c>
      <c r="B43" s="531" t="n"/>
      <c r="C43" s="519" t="n"/>
      <c r="D43" s="589">
        <f>SUM(D39:D42)</f>
        <v/>
      </c>
      <c r="E43" s="53" t="n"/>
      <c r="F43" s="54" t="n"/>
      <c r="G43" s="54" t="n"/>
      <c r="H43" s="590" t="inlineStr">
        <is>
          <t>USD</t>
        </is>
      </c>
      <c r="I43" s="589">
        <f>SUM(I39:I42)</f>
        <v/>
      </c>
      <c r="J43" s="7" t="n"/>
    </row>
    <row r="44" ht="21.9" customHeight="1" s="331">
      <c r="A44" s="437" t="inlineStr">
        <is>
          <t>Total 08/2012</t>
        </is>
      </c>
      <c r="B44" s="531" t="n"/>
      <c r="C44" s="519" t="n"/>
      <c r="D44" s="589" t="n"/>
      <c r="E44" s="53" t="n"/>
      <c r="F44" s="54" t="n"/>
      <c r="G44" s="591" t="n">
        <v>4053</v>
      </c>
      <c r="H44" s="590" t="inlineStr">
        <is>
          <t>RIEL</t>
        </is>
      </c>
      <c r="I44" s="592">
        <f>I43*G44</f>
        <v/>
      </c>
      <c r="J44" s="7" t="n"/>
    </row>
    <row r="45" ht="18" customHeight="1" s="331">
      <c r="A45" s="60" t="n">
        <v>1</v>
      </c>
      <c r="B45" s="12" t="inlineStr">
        <is>
          <t>028640</t>
        </is>
      </c>
      <c r="C45" s="13" t="n">
        <v>41092</v>
      </c>
      <c r="D45" s="588" t="n">
        <v>29.26</v>
      </c>
      <c r="E45" s="11" t="inlineStr">
        <is>
          <t>A P L Logistics</t>
        </is>
      </c>
      <c r="F45" s="10" t="inlineStr">
        <is>
          <t>100046460</t>
        </is>
      </c>
      <c r="G45" s="12" t="inlineStr">
        <is>
          <t>028640</t>
        </is>
      </c>
      <c r="H45" s="13" t="n">
        <v>41092</v>
      </c>
      <c r="I45" s="588" t="n">
        <v>29.26</v>
      </c>
      <c r="J45" s="76" t="inlineStr">
        <is>
          <t>បានបង់</t>
        </is>
      </c>
    </row>
    <row r="46" ht="18" customHeight="1" s="331">
      <c r="A46" s="60" t="n">
        <v>2</v>
      </c>
      <c r="B46" s="12" t="inlineStr">
        <is>
          <t>028709</t>
        </is>
      </c>
      <c r="C46" s="13" t="n">
        <v>41099</v>
      </c>
      <c r="D46" s="588" t="n">
        <v>24.66</v>
      </c>
      <c r="E46" s="11" t="inlineStr">
        <is>
          <t>A P L Logistics</t>
        </is>
      </c>
      <c r="F46" s="10" t="inlineStr">
        <is>
          <t>100046460</t>
        </is>
      </c>
      <c r="G46" s="12" t="inlineStr">
        <is>
          <t>028709</t>
        </is>
      </c>
      <c r="H46" s="13" t="n">
        <v>41099</v>
      </c>
      <c r="I46" s="588" t="n">
        <v>24.66</v>
      </c>
      <c r="J46" s="76" t="inlineStr">
        <is>
          <t>បានបង់</t>
        </is>
      </c>
    </row>
    <row r="47" ht="18" customHeight="1" s="331">
      <c r="A47" s="60" t="n">
        <v>3</v>
      </c>
      <c r="B47" s="12" t="inlineStr">
        <is>
          <t>028809</t>
        </is>
      </c>
      <c r="C47" s="13" t="n">
        <v>41106</v>
      </c>
      <c r="D47" s="588" t="n">
        <v>31.02</v>
      </c>
      <c r="E47" s="11" t="inlineStr">
        <is>
          <t>A P L Logistics</t>
        </is>
      </c>
      <c r="F47" s="10" t="inlineStr">
        <is>
          <t>100046460</t>
        </is>
      </c>
      <c r="G47" s="12" t="inlineStr">
        <is>
          <t>028809</t>
        </is>
      </c>
      <c r="H47" s="13" t="n">
        <v>41106</v>
      </c>
      <c r="I47" s="588" t="n">
        <v>31.02</v>
      </c>
      <c r="J47" s="76" t="inlineStr">
        <is>
          <t>បានបង់</t>
        </is>
      </c>
    </row>
    <row r="48" ht="18" customHeight="1" s="331">
      <c r="A48" s="60" t="n">
        <v>4</v>
      </c>
      <c r="B48" s="12" t="inlineStr">
        <is>
          <t>028874</t>
        </is>
      </c>
      <c r="C48" s="13" t="n">
        <v>41113</v>
      </c>
      <c r="D48" s="588" t="n">
        <v>209.58</v>
      </c>
      <c r="E48" s="11" t="inlineStr">
        <is>
          <t>A P L Logistics</t>
        </is>
      </c>
      <c r="F48" s="10" t="inlineStr">
        <is>
          <t>100046460</t>
        </is>
      </c>
      <c r="G48" s="12" t="inlineStr">
        <is>
          <t>028874</t>
        </is>
      </c>
      <c r="H48" s="13" t="n">
        <v>41113</v>
      </c>
      <c r="I48" s="588" t="n">
        <v>209.58</v>
      </c>
      <c r="J48" s="76" t="inlineStr">
        <is>
          <t>បានបង់</t>
        </is>
      </c>
    </row>
    <row r="49" ht="18" customHeight="1" s="331">
      <c r="A49" s="60" t="n">
        <v>5</v>
      </c>
      <c r="B49" s="12" t="inlineStr">
        <is>
          <t>028550</t>
        </is>
      </c>
      <c r="C49" s="13" t="n">
        <v>41115</v>
      </c>
      <c r="D49" s="588" t="n">
        <v>66.92</v>
      </c>
      <c r="E49" s="11" t="inlineStr">
        <is>
          <t>A P L Logistics</t>
        </is>
      </c>
      <c r="F49" s="10" t="inlineStr">
        <is>
          <t>100046460</t>
        </is>
      </c>
      <c r="G49" s="12" t="inlineStr">
        <is>
          <t>028550</t>
        </is>
      </c>
      <c r="H49" s="13" t="n">
        <v>41115</v>
      </c>
      <c r="I49" s="588" t="n">
        <v>66.92</v>
      </c>
      <c r="J49" s="76" t="inlineStr">
        <is>
          <t>បានបង់</t>
        </is>
      </c>
    </row>
    <row r="50" ht="18" customHeight="1" s="331">
      <c r="A50" s="60" t="n">
        <v>6</v>
      </c>
      <c r="B50" s="12" t="inlineStr">
        <is>
          <t>028948</t>
        </is>
      </c>
      <c r="C50" s="13" t="n">
        <v>41120</v>
      </c>
      <c r="D50" s="588" t="n">
        <v>73.23</v>
      </c>
      <c r="E50" s="11" t="inlineStr">
        <is>
          <t>A P L Logistics</t>
        </is>
      </c>
      <c r="F50" s="10" t="inlineStr">
        <is>
          <t>100046460</t>
        </is>
      </c>
      <c r="G50" s="12" t="inlineStr">
        <is>
          <t>028948</t>
        </is>
      </c>
      <c r="H50" s="13" t="n">
        <v>41120</v>
      </c>
      <c r="I50" s="588" t="n">
        <v>73.23</v>
      </c>
      <c r="J50" s="76" t="inlineStr">
        <is>
          <t>បានបង់</t>
        </is>
      </c>
    </row>
    <row r="51" ht="18" customHeight="1" s="331">
      <c r="A51" s="60" t="n">
        <v>7</v>
      </c>
      <c r="B51" s="12" t="inlineStr">
        <is>
          <t>028961</t>
        </is>
      </c>
      <c r="C51" s="13" t="n">
        <v>41120</v>
      </c>
      <c r="D51" s="588" t="n">
        <v>27.84</v>
      </c>
      <c r="E51" s="11" t="inlineStr">
        <is>
          <t>A P L Logistics</t>
        </is>
      </c>
      <c r="F51" s="10" t="inlineStr">
        <is>
          <t>100046460</t>
        </is>
      </c>
      <c r="G51" s="12" t="inlineStr">
        <is>
          <t>028961</t>
        </is>
      </c>
      <c r="H51" s="13" t="n">
        <v>41120</v>
      </c>
      <c r="I51" s="588" t="n">
        <v>27.84</v>
      </c>
      <c r="J51" s="76" t="inlineStr">
        <is>
          <t>បានបង់</t>
        </is>
      </c>
    </row>
    <row r="52" ht="18" customHeight="1" s="331">
      <c r="A52" s="437" t="inlineStr">
        <is>
          <t>Total 07/2012</t>
        </is>
      </c>
      <c r="B52" s="531" t="n"/>
      <c r="C52" s="519" t="n"/>
      <c r="D52" s="589">
        <f>SUM(D45:D51)</f>
        <v/>
      </c>
      <c r="E52" s="53" t="n"/>
      <c r="F52" s="54" t="n"/>
      <c r="G52" s="54" t="n"/>
      <c r="H52" s="590" t="inlineStr">
        <is>
          <t>USD</t>
        </is>
      </c>
      <c r="I52" s="589">
        <f>SUM(I45:I51)</f>
        <v/>
      </c>
      <c r="J52" s="7" t="n"/>
    </row>
    <row r="53" ht="21.9" customHeight="1" s="331">
      <c r="A53" s="437" t="inlineStr">
        <is>
          <t>Total 07/2012</t>
        </is>
      </c>
      <c r="B53" s="531" t="n"/>
      <c r="C53" s="519" t="n"/>
      <c r="D53" s="589" t="n"/>
      <c r="E53" s="53" t="n"/>
      <c r="F53" s="54" t="n"/>
      <c r="G53" s="591" t="n">
        <v>4073</v>
      </c>
      <c r="H53" s="590" t="inlineStr">
        <is>
          <t>RIEL</t>
        </is>
      </c>
      <c r="I53" s="592">
        <f>I52*G53</f>
        <v/>
      </c>
      <c r="J53" s="7" t="n"/>
    </row>
    <row r="54" ht="18" customHeight="1" s="331">
      <c r="A54" s="60" t="n">
        <v>1</v>
      </c>
      <c r="B54" s="39" t="inlineStr">
        <is>
          <t>030377</t>
        </is>
      </c>
      <c r="C54" s="18" t="n">
        <v>41267</v>
      </c>
      <c r="D54" s="593" t="n">
        <v>53.34</v>
      </c>
      <c r="E54" s="11" t="inlineStr">
        <is>
          <t>A P L Logistics</t>
        </is>
      </c>
      <c r="F54" s="16" t="inlineStr">
        <is>
          <t>100046460</t>
        </is>
      </c>
      <c r="G54" s="39" t="inlineStr">
        <is>
          <t>030377</t>
        </is>
      </c>
      <c r="H54" s="48" t="n">
        <v>41267</v>
      </c>
      <c r="I54" s="593" t="n">
        <v>53.34</v>
      </c>
      <c r="J54" s="74" t="inlineStr">
        <is>
          <t>បានបង់</t>
        </is>
      </c>
    </row>
    <row r="55" ht="18" customHeight="1" s="331">
      <c r="A55" s="60" t="n">
        <v>2</v>
      </c>
      <c r="B55" s="39" t="inlineStr">
        <is>
          <t>030407</t>
        </is>
      </c>
      <c r="C55" s="18" t="n">
        <v>41267</v>
      </c>
      <c r="D55" s="593" t="n">
        <v>63.05</v>
      </c>
      <c r="E55" s="11" t="inlineStr">
        <is>
          <t>A P L Logistics</t>
        </is>
      </c>
      <c r="F55" s="16" t="inlineStr">
        <is>
          <t>100046460</t>
        </is>
      </c>
      <c r="G55" s="39" t="inlineStr">
        <is>
          <t>030407</t>
        </is>
      </c>
      <c r="H55" s="48" t="n">
        <v>41267</v>
      </c>
      <c r="I55" s="593" t="n">
        <v>63.05</v>
      </c>
      <c r="J55" s="74" t="inlineStr">
        <is>
          <t>បានបង់</t>
        </is>
      </c>
    </row>
    <row r="56" ht="18" customHeight="1" s="331">
      <c r="A56" s="60" t="n">
        <v>3</v>
      </c>
      <c r="B56" s="39" t="inlineStr">
        <is>
          <t>030516</t>
        </is>
      </c>
      <c r="C56" s="18" t="n">
        <v>41281</v>
      </c>
      <c r="D56" s="593" t="n">
        <v>81</v>
      </c>
      <c r="E56" s="11" t="inlineStr">
        <is>
          <t>A P L Logistics</t>
        </is>
      </c>
      <c r="F56" s="16" t="inlineStr">
        <is>
          <t>100046460</t>
        </is>
      </c>
      <c r="G56" s="39" t="inlineStr">
        <is>
          <t>030516</t>
        </is>
      </c>
      <c r="H56" s="48" t="n">
        <v>41281</v>
      </c>
      <c r="I56" s="593" t="n">
        <v>81</v>
      </c>
      <c r="J56" s="74" t="inlineStr">
        <is>
          <t>បានបង់</t>
        </is>
      </c>
    </row>
    <row r="57" ht="18" customHeight="1" s="331">
      <c r="A57" s="60" t="n">
        <v>4</v>
      </c>
      <c r="B57" s="39" t="inlineStr">
        <is>
          <t>030532</t>
        </is>
      </c>
      <c r="C57" s="18" t="n">
        <v>41281</v>
      </c>
      <c r="D57" s="593" t="n">
        <v>335.98</v>
      </c>
      <c r="E57" s="11" t="inlineStr">
        <is>
          <t>A P L Logistics</t>
        </is>
      </c>
      <c r="F57" s="10" t="inlineStr">
        <is>
          <t>100046460</t>
        </is>
      </c>
      <c r="G57" s="39" t="inlineStr">
        <is>
          <t>030532</t>
        </is>
      </c>
      <c r="H57" s="48" t="n">
        <v>41281</v>
      </c>
      <c r="I57" s="593" t="n">
        <v>335.98</v>
      </c>
      <c r="J57" s="74" t="inlineStr">
        <is>
          <t>បានបង់</t>
        </is>
      </c>
    </row>
    <row r="58" ht="18" customHeight="1" s="331">
      <c r="A58" s="60" t="n">
        <v>5</v>
      </c>
      <c r="B58" s="39" t="inlineStr">
        <is>
          <t>030562</t>
        </is>
      </c>
      <c r="C58" s="48" t="n">
        <v>41282</v>
      </c>
      <c r="D58" s="593" t="n">
        <v>10</v>
      </c>
      <c r="E58" s="11" t="inlineStr">
        <is>
          <t>A P L Logistics</t>
        </is>
      </c>
      <c r="F58" s="16" t="inlineStr">
        <is>
          <t>100046460</t>
        </is>
      </c>
      <c r="G58" s="39" t="inlineStr">
        <is>
          <t>030562</t>
        </is>
      </c>
      <c r="H58" s="48" t="n">
        <v>41282</v>
      </c>
      <c r="I58" s="593" t="n">
        <v>10</v>
      </c>
      <c r="J58" s="74" t="inlineStr">
        <is>
          <t>បានបង់</t>
        </is>
      </c>
    </row>
    <row r="59" ht="18" customHeight="1" s="331">
      <c r="A59" s="60" t="n">
        <v>6</v>
      </c>
      <c r="B59" s="39" t="inlineStr">
        <is>
          <t>030586</t>
        </is>
      </c>
      <c r="C59" s="48" t="n">
        <v>41285</v>
      </c>
      <c r="D59" s="593" t="n">
        <v>7.2</v>
      </c>
      <c r="E59" s="11" t="inlineStr">
        <is>
          <t>A P L Logistics</t>
        </is>
      </c>
      <c r="F59" s="16" t="inlineStr">
        <is>
          <t>100046460</t>
        </is>
      </c>
      <c r="G59" s="39" t="inlineStr">
        <is>
          <t>030586</t>
        </is>
      </c>
      <c r="H59" s="48" t="n">
        <v>41285</v>
      </c>
      <c r="I59" s="593" t="n">
        <v>7.2</v>
      </c>
      <c r="J59" s="74" t="inlineStr">
        <is>
          <t>បានបង់</t>
        </is>
      </c>
    </row>
    <row r="60" ht="18" customHeight="1" s="331">
      <c r="A60" s="60" t="n">
        <v>7</v>
      </c>
      <c r="B60" s="39" t="inlineStr">
        <is>
          <t>030614</t>
        </is>
      </c>
      <c r="C60" s="48" t="n">
        <v>41286</v>
      </c>
      <c r="D60" s="593" t="n">
        <v>217.03</v>
      </c>
      <c r="E60" s="11" t="inlineStr">
        <is>
          <t>A P L Logistics</t>
        </is>
      </c>
      <c r="F60" s="10" t="inlineStr">
        <is>
          <t>100046460</t>
        </is>
      </c>
      <c r="G60" s="39" t="inlineStr">
        <is>
          <t>030614</t>
        </is>
      </c>
      <c r="H60" s="48" t="n">
        <v>41288</v>
      </c>
      <c r="I60" s="593" t="n">
        <v>217.03</v>
      </c>
      <c r="J60" s="74" t="inlineStr">
        <is>
          <t>បានបង់</t>
        </is>
      </c>
    </row>
    <row r="61" ht="18" customHeight="1" s="331">
      <c r="A61" s="60" t="n">
        <v>8</v>
      </c>
      <c r="B61" s="39" t="inlineStr">
        <is>
          <t>030638</t>
        </is>
      </c>
      <c r="C61" s="48" t="n">
        <v>41289</v>
      </c>
      <c r="D61" s="593" t="n">
        <v>10</v>
      </c>
      <c r="E61" s="11" t="inlineStr">
        <is>
          <t>A P L Logistics</t>
        </is>
      </c>
      <c r="F61" s="16" t="inlineStr">
        <is>
          <t>100046460</t>
        </is>
      </c>
      <c r="G61" s="39" t="inlineStr">
        <is>
          <t>030638</t>
        </is>
      </c>
      <c r="H61" s="48" t="n">
        <v>41289</v>
      </c>
      <c r="I61" s="593" t="n">
        <v>10</v>
      </c>
      <c r="J61" s="74" t="inlineStr">
        <is>
          <t>បានបង់</t>
        </is>
      </c>
    </row>
    <row r="62" ht="18" customHeight="1" s="331">
      <c r="A62" s="60" t="n">
        <v>9</v>
      </c>
      <c r="B62" s="39" t="inlineStr">
        <is>
          <t>030758</t>
        </is>
      </c>
      <c r="C62" s="48" t="n">
        <v>41296</v>
      </c>
      <c r="D62" s="593" t="n">
        <v>25.25</v>
      </c>
      <c r="E62" s="11" t="inlineStr">
        <is>
          <t>A P L Logistics</t>
        </is>
      </c>
      <c r="F62" s="16" t="inlineStr">
        <is>
          <t>100046460</t>
        </is>
      </c>
      <c r="G62" s="39" t="inlineStr">
        <is>
          <t>030758</t>
        </is>
      </c>
      <c r="H62" s="48" t="n">
        <v>41296</v>
      </c>
      <c r="I62" s="593" t="n">
        <v>25.25</v>
      </c>
      <c r="J62" s="74" t="inlineStr">
        <is>
          <t>បានបង់</t>
        </is>
      </c>
    </row>
    <row r="63" ht="18" customHeight="1" s="331">
      <c r="A63" s="60" t="n">
        <v>10</v>
      </c>
      <c r="B63" s="39" t="inlineStr">
        <is>
          <t>030848</t>
        </is>
      </c>
      <c r="C63" s="48" t="n">
        <v>41302</v>
      </c>
      <c r="D63" s="593" t="n">
        <v>357.23</v>
      </c>
      <c r="E63" s="11" t="inlineStr">
        <is>
          <t>A P L Logistics</t>
        </is>
      </c>
      <c r="F63" s="10" t="inlineStr">
        <is>
          <t>100046460</t>
        </is>
      </c>
      <c r="G63" s="39" t="inlineStr">
        <is>
          <t>030848</t>
        </is>
      </c>
      <c r="H63" s="48" t="n">
        <v>41302</v>
      </c>
      <c r="I63" s="593" t="n">
        <v>357.23</v>
      </c>
      <c r="J63" s="74" t="inlineStr">
        <is>
          <t>បានបង់</t>
        </is>
      </c>
    </row>
    <row r="64" ht="18" customHeight="1" s="331">
      <c r="A64" s="437" t="inlineStr">
        <is>
          <t>Total 01/2013</t>
        </is>
      </c>
      <c r="B64" s="531" t="n"/>
      <c r="C64" s="519" t="n"/>
      <c r="D64" s="594">
        <f>SUM(D54:D63)</f>
        <v/>
      </c>
      <c r="E64" s="53" t="n"/>
      <c r="F64" s="54" t="n"/>
      <c r="G64" s="59" t="n"/>
      <c r="H64" s="590" t="inlineStr">
        <is>
          <t>USD</t>
        </is>
      </c>
      <c r="I64" s="594">
        <f>SUM(I54:I63)</f>
        <v/>
      </c>
      <c r="J64" s="7" t="n"/>
    </row>
    <row r="65" ht="21.9" customHeight="1" s="331">
      <c r="A65" s="437" t="inlineStr">
        <is>
          <t>Total 01/2013</t>
        </is>
      </c>
      <c r="B65" s="531" t="n"/>
      <c r="C65" s="519" t="n"/>
      <c r="D65" s="594" t="n"/>
      <c r="E65" s="53" t="n"/>
      <c r="F65" s="54" t="n"/>
      <c r="G65" s="591" t="n">
        <v>3995</v>
      </c>
      <c r="H65" s="590" t="inlineStr">
        <is>
          <t>RIEL</t>
        </is>
      </c>
      <c r="I65" s="592">
        <f>I64*G65</f>
        <v/>
      </c>
      <c r="J65" s="7" t="n"/>
    </row>
    <row r="66" ht="18" customHeight="1" s="331">
      <c r="A66" s="60" t="n">
        <v>1</v>
      </c>
      <c r="B66" s="39" t="inlineStr">
        <is>
          <t>030891</t>
        </is>
      </c>
      <c r="C66" s="48" t="n">
        <v>41310</v>
      </c>
      <c r="D66" s="593" t="n">
        <v>28.52</v>
      </c>
      <c r="E66" s="11" t="inlineStr">
        <is>
          <t>A P L Logistics</t>
        </is>
      </c>
      <c r="F66" s="16" t="inlineStr">
        <is>
          <t>100046460</t>
        </is>
      </c>
      <c r="G66" s="39" t="inlineStr">
        <is>
          <t>030891</t>
        </is>
      </c>
      <c r="H66" s="48" t="n">
        <v>41310</v>
      </c>
      <c r="I66" s="593" t="n">
        <v>28.52</v>
      </c>
      <c r="J66" s="74" t="inlineStr">
        <is>
          <t>បានបង់</t>
        </is>
      </c>
    </row>
    <row r="67" ht="18" customHeight="1" s="331">
      <c r="A67" s="33" t="n">
        <v>2</v>
      </c>
      <c r="B67" s="39" t="inlineStr">
        <is>
          <t>030911</t>
        </is>
      </c>
      <c r="C67" s="48" t="n">
        <v>41310</v>
      </c>
      <c r="D67" s="593" t="n">
        <v>374.87</v>
      </c>
      <c r="E67" s="11" t="inlineStr">
        <is>
          <t>A P L Logistics</t>
        </is>
      </c>
      <c r="F67" s="10" t="inlineStr">
        <is>
          <t>100046460</t>
        </is>
      </c>
      <c r="G67" s="39" t="inlineStr">
        <is>
          <t>030911</t>
        </is>
      </c>
      <c r="H67" s="48" t="n">
        <v>41310</v>
      </c>
      <c r="I67" s="593" t="n">
        <v>374.87</v>
      </c>
      <c r="J67" s="74" t="inlineStr">
        <is>
          <t>បានបង់</t>
        </is>
      </c>
    </row>
    <row r="68" ht="18" customHeight="1" s="331">
      <c r="A68" s="60" t="n">
        <v>3</v>
      </c>
      <c r="B68" s="39" t="inlineStr">
        <is>
          <t>030965</t>
        </is>
      </c>
      <c r="C68" s="48" t="n">
        <v>41312</v>
      </c>
      <c r="D68" s="593" t="n">
        <v>10</v>
      </c>
      <c r="E68" s="11" t="inlineStr">
        <is>
          <t>A P L Logistics</t>
        </is>
      </c>
      <c r="F68" s="16" t="inlineStr">
        <is>
          <t>100046460</t>
        </is>
      </c>
      <c r="G68" s="39" t="inlineStr">
        <is>
          <t>030965</t>
        </is>
      </c>
      <c r="H68" s="48" t="n">
        <v>41312</v>
      </c>
      <c r="I68" s="593" t="n">
        <v>10</v>
      </c>
      <c r="J68" s="74" t="inlineStr">
        <is>
          <t>បានបង់</t>
        </is>
      </c>
    </row>
    <row r="69" ht="18" customHeight="1" s="331">
      <c r="A69" s="33" t="n">
        <v>4</v>
      </c>
      <c r="B69" s="39" t="inlineStr">
        <is>
          <t>030999</t>
        </is>
      </c>
      <c r="C69" s="48" t="n">
        <v>41316</v>
      </c>
      <c r="D69" s="593" t="n">
        <v>115</v>
      </c>
      <c r="E69" s="11" t="inlineStr">
        <is>
          <t>A P L Logistics</t>
        </is>
      </c>
      <c r="F69" s="10" t="inlineStr">
        <is>
          <t>100046460</t>
        </is>
      </c>
      <c r="G69" s="39" t="inlineStr">
        <is>
          <t>030999</t>
        </is>
      </c>
      <c r="H69" s="48" t="n">
        <v>41316</v>
      </c>
      <c r="I69" s="593" t="n">
        <v>115</v>
      </c>
      <c r="J69" s="74" t="inlineStr">
        <is>
          <t>បានបង់</t>
        </is>
      </c>
    </row>
    <row r="70" ht="18" customHeight="1" s="331">
      <c r="A70" s="60" t="n">
        <v>5</v>
      </c>
      <c r="B70" s="39" t="inlineStr">
        <is>
          <t>031026</t>
        </is>
      </c>
      <c r="C70" s="48" t="n">
        <v>41317</v>
      </c>
      <c r="D70" s="593" t="n">
        <v>4</v>
      </c>
      <c r="E70" s="11" t="inlineStr">
        <is>
          <t>A P L Logistics</t>
        </is>
      </c>
      <c r="F70" s="16" t="inlineStr">
        <is>
          <t>100046460</t>
        </is>
      </c>
      <c r="G70" s="39" t="inlineStr">
        <is>
          <t>031026</t>
        </is>
      </c>
      <c r="H70" s="48" t="n">
        <v>41317</v>
      </c>
      <c r="I70" s="593" t="n">
        <v>4</v>
      </c>
      <c r="J70" s="74" t="inlineStr">
        <is>
          <t>បានបង់</t>
        </is>
      </c>
    </row>
    <row r="71" ht="18" customHeight="1" s="331">
      <c r="A71" s="33" t="n">
        <v>6</v>
      </c>
      <c r="B71" s="39" t="inlineStr">
        <is>
          <t>031069</t>
        </is>
      </c>
      <c r="C71" s="48" t="n">
        <v>41323</v>
      </c>
      <c r="D71" s="593" t="n">
        <v>266.83</v>
      </c>
      <c r="E71" s="11" t="inlineStr">
        <is>
          <t>A P L Logistics</t>
        </is>
      </c>
      <c r="F71" s="10" t="inlineStr">
        <is>
          <t>100046460</t>
        </is>
      </c>
      <c r="G71" s="39" t="inlineStr">
        <is>
          <t>031069</t>
        </is>
      </c>
      <c r="H71" s="48" t="n">
        <v>41323</v>
      </c>
      <c r="I71" s="593" t="n">
        <v>266.83</v>
      </c>
      <c r="J71" s="74" t="inlineStr">
        <is>
          <t>បានបង់</t>
        </is>
      </c>
    </row>
    <row r="72" ht="18" customHeight="1" s="331">
      <c r="A72" s="60" t="n">
        <v>7</v>
      </c>
      <c r="B72" s="39" t="inlineStr">
        <is>
          <t>031108</t>
        </is>
      </c>
      <c r="C72" s="48" t="n">
        <v>41326</v>
      </c>
      <c r="D72" s="593" t="n">
        <v>20</v>
      </c>
      <c r="E72" s="11" t="inlineStr">
        <is>
          <t>A P L Logistics</t>
        </is>
      </c>
      <c r="F72" s="16" t="inlineStr">
        <is>
          <t>100046460</t>
        </is>
      </c>
      <c r="G72" s="39" t="inlineStr">
        <is>
          <t>031108</t>
        </is>
      </c>
      <c r="H72" s="48" t="n">
        <v>41326</v>
      </c>
      <c r="I72" s="593" t="n">
        <v>20</v>
      </c>
      <c r="J72" s="74" t="inlineStr">
        <is>
          <t>បានបង់</t>
        </is>
      </c>
    </row>
    <row r="73" ht="18" customHeight="1" s="331">
      <c r="A73" s="33" t="n">
        <v>8</v>
      </c>
      <c r="B73" s="39" t="inlineStr">
        <is>
          <t>031138</t>
        </is>
      </c>
      <c r="C73" s="48" t="n">
        <v>41331</v>
      </c>
      <c r="D73" s="593" t="n">
        <v>142.19</v>
      </c>
      <c r="E73" s="11" t="inlineStr">
        <is>
          <t>A P L Logistics</t>
        </is>
      </c>
      <c r="F73" s="10" t="inlineStr">
        <is>
          <t>100046460</t>
        </is>
      </c>
      <c r="G73" s="39" t="inlineStr">
        <is>
          <t>031138</t>
        </is>
      </c>
      <c r="H73" s="48" t="n">
        <v>41331</v>
      </c>
      <c r="I73" s="593" t="n">
        <v>142.19</v>
      </c>
      <c r="J73" s="74" t="inlineStr">
        <is>
          <t>បានបង់</t>
        </is>
      </c>
    </row>
    <row r="74" ht="18" customHeight="1" s="331">
      <c r="A74" s="437" t="inlineStr">
        <is>
          <t>Total 02/2013</t>
        </is>
      </c>
      <c r="B74" s="531" t="n"/>
      <c r="C74" s="519" t="n"/>
      <c r="D74" s="594">
        <f>SUM(D66:D73)</f>
        <v/>
      </c>
      <c r="E74" s="53" t="n"/>
      <c r="F74" s="54" t="n"/>
      <c r="G74" s="59" t="n"/>
      <c r="H74" s="590" t="inlineStr">
        <is>
          <t>USD</t>
        </is>
      </c>
      <c r="I74" s="594">
        <f>SUM(I66:I73)</f>
        <v/>
      </c>
      <c r="J74" s="7" t="n"/>
    </row>
    <row r="75" ht="21.9" customHeight="1" s="331">
      <c r="A75" s="437" t="inlineStr">
        <is>
          <t>Total 02/2013</t>
        </is>
      </c>
      <c r="B75" s="531" t="n"/>
      <c r="C75" s="519" t="n"/>
      <c r="D75" s="594" t="n"/>
      <c r="E75" s="53" t="n"/>
      <c r="F75" s="54" t="n"/>
      <c r="G75" s="595" t="n">
        <v>3995</v>
      </c>
      <c r="H75" s="590" t="inlineStr">
        <is>
          <t>RIEL</t>
        </is>
      </c>
      <c r="I75" s="592">
        <f>I74*G75</f>
        <v/>
      </c>
      <c r="J75" s="7" t="n"/>
    </row>
    <row r="76" ht="18" customHeight="1" s="331">
      <c r="A76" s="33" t="n">
        <v>1</v>
      </c>
      <c r="B76" s="39" t="inlineStr">
        <is>
          <t>031210</t>
        </is>
      </c>
      <c r="C76" s="48" t="n">
        <v>41337</v>
      </c>
      <c r="D76" s="593" t="n">
        <v>115.18</v>
      </c>
      <c r="E76" s="11" t="inlineStr">
        <is>
          <t>A P L Logistics</t>
        </is>
      </c>
      <c r="F76" s="10" t="inlineStr">
        <is>
          <t>100046460</t>
        </is>
      </c>
      <c r="G76" s="39" t="inlineStr">
        <is>
          <t>031210</t>
        </is>
      </c>
      <c r="H76" s="48" t="n">
        <v>41337</v>
      </c>
      <c r="I76" s="593" t="n">
        <v>115.18</v>
      </c>
      <c r="J76" s="74" t="inlineStr">
        <is>
          <t>បានបង់</t>
        </is>
      </c>
    </row>
    <row r="77" ht="18" customHeight="1" s="331">
      <c r="A77" s="33" t="n">
        <v>2</v>
      </c>
      <c r="B77" s="39" t="inlineStr">
        <is>
          <t>031195</t>
        </is>
      </c>
      <c r="C77" s="48" t="n">
        <v>41337</v>
      </c>
      <c r="D77" s="593" t="n">
        <v>107.71</v>
      </c>
      <c r="E77" s="11" t="inlineStr">
        <is>
          <t>A P L Logistics</t>
        </is>
      </c>
      <c r="F77" s="10" t="inlineStr">
        <is>
          <t>100046460</t>
        </is>
      </c>
      <c r="G77" s="39" t="inlineStr">
        <is>
          <t>031195</t>
        </is>
      </c>
      <c r="H77" s="48" t="n">
        <v>41337</v>
      </c>
      <c r="I77" s="593" t="n">
        <v>107.71</v>
      </c>
      <c r="J77" s="74" t="inlineStr">
        <is>
          <t>បានបង់</t>
        </is>
      </c>
    </row>
    <row r="78" ht="18" customHeight="1" s="331">
      <c r="A78" s="33" t="n">
        <v>3</v>
      </c>
      <c r="B78" s="39" t="inlineStr">
        <is>
          <t>031383</t>
        </is>
      </c>
      <c r="C78" s="48" t="n">
        <v>41344</v>
      </c>
      <c r="D78" s="593" t="n">
        <v>109.81</v>
      </c>
      <c r="E78" s="11" t="inlineStr">
        <is>
          <t>A P L Logistics</t>
        </is>
      </c>
      <c r="F78" s="10" t="inlineStr">
        <is>
          <t>100046460</t>
        </is>
      </c>
      <c r="G78" s="39" t="inlineStr">
        <is>
          <t>031383</t>
        </is>
      </c>
      <c r="H78" s="48" t="n">
        <v>41344</v>
      </c>
      <c r="I78" s="593" t="n">
        <v>109.81</v>
      </c>
      <c r="J78" s="74" t="inlineStr">
        <is>
          <t>បានបង់</t>
        </is>
      </c>
    </row>
    <row r="79" ht="18" customHeight="1" s="331">
      <c r="A79" s="33" t="n">
        <v>4</v>
      </c>
      <c r="B79" s="39" t="inlineStr">
        <is>
          <t>031454</t>
        </is>
      </c>
      <c r="C79" s="48" t="n">
        <v>41351</v>
      </c>
      <c r="D79" s="593" t="n">
        <v>307.84</v>
      </c>
      <c r="E79" s="11" t="inlineStr">
        <is>
          <t>A P L Logistics</t>
        </is>
      </c>
      <c r="F79" s="10" t="inlineStr">
        <is>
          <t>100046460</t>
        </is>
      </c>
      <c r="G79" s="39" t="inlineStr">
        <is>
          <t>031454</t>
        </is>
      </c>
      <c r="H79" s="48" t="n">
        <v>41351</v>
      </c>
      <c r="I79" s="593" t="n">
        <v>307.84</v>
      </c>
      <c r="J79" s="74" t="inlineStr">
        <is>
          <t>បានបង់</t>
        </is>
      </c>
    </row>
    <row r="80" ht="18" customHeight="1" s="331">
      <c r="A80" s="33" t="n">
        <v>5</v>
      </c>
      <c r="B80" s="39" t="inlineStr">
        <is>
          <t>031507</t>
        </is>
      </c>
      <c r="C80" s="48" t="n">
        <v>41354</v>
      </c>
      <c r="D80" s="593" t="n">
        <v>8</v>
      </c>
      <c r="E80" s="11" t="inlineStr">
        <is>
          <t>APL Logistics</t>
        </is>
      </c>
      <c r="F80" s="16" t="inlineStr">
        <is>
          <t>100046460</t>
        </is>
      </c>
      <c r="G80" s="39" t="inlineStr">
        <is>
          <t>031507</t>
        </is>
      </c>
      <c r="H80" s="48" t="n">
        <v>41354</v>
      </c>
      <c r="I80" s="593" t="n">
        <v>8</v>
      </c>
      <c r="J80" s="74" t="inlineStr">
        <is>
          <t>បានបង់</t>
        </is>
      </c>
    </row>
    <row r="81" ht="18" customHeight="1" s="331">
      <c r="A81" s="33" t="n">
        <v>6</v>
      </c>
      <c r="B81" s="39" t="inlineStr">
        <is>
          <t>031511</t>
        </is>
      </c>
      <c r="C81" s="48" t="n">
        <v>41354</v>
      </c>
      <c r="D81" s="593" t="n">
        <v>10</v>
      </c>
      <c r="E81" s="11" t="inlineStr">
        <is>
          <t>APL Logistics</t>
        </is>
      </c>
      <c r="F81" s="16" t="inlineStr">
        <is>
          <t>100046460</t>
        </is>
      </c>
      <c r="G81" s="39" t="inlineStr">
        <is>
          <t>031511</t>
        </is>
      </c>
      <c r="H81" s="48" t="n">
        <v>41354</v>
      </c>
      <c r="I81" s="593" t="n">
        <v>10</v>
      </c>
      <c r="J81" s="74" t="inlineStr">
        <is>
          <t>បានបង់</t>
        </is>
      </c>
    </row>
    <row r="82" ht="18" customHeight="1" s="331">
      <c r="A82" s="33" t="n">
        <v>7</v>
      </c>
      <c r="B82" s="39" t="inlineStr">
        <is>
          <t>031543</t>
        </is>
      </c>
      <c r="C82" s="48" t="n">
        <v>41358</v>
      </c>
      <c r="D82" s="593" t="n">
        <v>190.8</v>
      </c>
      <c r="E82" s="11" t="inlineStr">
        <is>
          <t>A P L Logistics</t>
        </is>
      </c>
      <c r="F82" s="10" t="inlineStr">
        <is>
          <t>100046460</t>
        </is>
      </c>
      <c r="G82" s="39" t="inlineStr">
        <is>
          <t>031543</t>
        </is>
      </c>
      <c r="H82" s="48" t="n">
        <v>41358</v>
      </c>
      <c r="I82" s="593" t="n">
        <v>190.8</v>
      </c>
      <c r="J82" s="74" t="inlineStr">
        <is>
          <t>បានបង់</t>
        </is>
      </c>
    </row>
    <row r="83" ht="18" customHeight="1" s="331">
      <c r="A83" s="33" t="n">
        <v>8</v>
      </c>
      <c r="B83" s="39" t="inlineStr">
        <is>
          <t>031588</t>
        </is>
      </c>
      <c r="C83" s="48" t="n">
        <v>41360</v>
      </c>
      <c r="D83" s="593" t="n">
        <v>8</v>
      </c>
      <c r="E83" s="11" t="inlineStr">
        <is>
          <t>APL Logistics</t>
        </is>
      </c>
      <c r="F83" s="16" t="inlineStr">
        <is>
          <t>100046460</t>
        </is>
      </c>
      <c r="G83" s="39" t="inlineStr">
        <is>
          <t>031588</t>
        </is>
      </c>
      <c r="H83" s="48" t="n">
        <v>41360</v>
      </c>
      <c r="I83" s="593" t="n">
        <v>8</v>
      </c>
      <c r="J83" s="74" t="inlineStr">
        <is>
          <t>បានបង់</t>
        </is>
      </c>
    </row>
    <row r="84" ht="18" customHeight="1" s="331">
      <c r="A84" s="33" t="n">
        <v>9</v>
      </c>
      <c r="B84" s="39" t="inlineStr">
        <is>
          <t>031592</t>
        </is>
      </c>
      <c r="C84" s="48" t="n">
        <v>41360</v>
      </c>
      <c r="D84" s="593" t="n">
        <v>10</v>
      </c>
      <c r="E84" s="11" t="inlineStr">
        <is>
          <t>APL Logistics</t>
        </is>
      </c>
      <c r="F84" s="16" t="inlineStr">
        <is>
          <t>100046460</t>
        </is>
      </c>
      <c r="G84" s="39" t="inlineStr">
        <is>
          <t>031592</t>
        </is>
      </c>
      <c r="H84" s="48" t="n">
        <v>41360</v>
      </c>
      <c r="I84" s="593" t="n">
        <v>10</v>
      </c>
      <c r="J84" s="74" t="inlineStr">
        <is>
          <t>បានបង់</t>
        </is>
      </c>
    </row>
    <row r="85" ht="18" customHeight="1" s="331">
      <c r="A85" s="437" t="inlineStr">
        <is>
          <t>Total 03/2013</t>
        </is>
      </c>
      <c r="B85" s="531" t="n"/>
      <c r="C85" s="519" t="n"/>
      <c r="D85" s="594">
        <f>SUM(D76:D84)</f>
        <v/>
      </c>
      <c r="E85" s="53" t="n"/>
      <c r="F85" s="54" t="n"/>
      <c r="G85" s="59" t="n"/>
      <c r="H85" s="590" t="inlineStr">
        <is>
          <t>USD</t>
        </is>
      </c>
      <c r="I85" s="594">
        <f>SUM(I76:I84)</f>
        <v/>
      </c>
      <c r="J85" s="7" t="n"/>
    </row>
    <row r="86" ht="21.9" customHeight="1" s="331">
      <c r="A86" s="437" t="inlineStr">
        <is>
          <t>Total 03/2013</t>
        </is>
      </c>
      <c r="B86" s="531" t="n"/>
      <c r="C86" s="519" t="n"/>
      <c r="D86" s="594" t="n"/>
      <c r="E86" s="53" t="n"/>
      <c r="F86" s="54" t="n"/>
      <c r="G86" s="591" t="n">
        <v>3995</v>
      </c>
      <c r="H86" s="590" t="inlineStr">
        <is>
          <t>RIEL</t>
        </is>
      </c>
      <c r="I86" s="592">
        <f>I85*G86</f>
        <v/>
      </c>
      <c r="J86" s="7" t="n"/>
    </row>
    <row r="87" ht="18" customHeight="1" s="331">
      <c r="A87" s="60" t="n">
        <v>1</v>
      </c>
      <c r="B87" s="39" t="inlineStr">
        <is>
          <t>031616</t>
        </is>
      </c>
      <c r="C87" s="48" t="n">
        <v>41365</v>
      </c>
      <c r="D87" s="593" t="n">
        <v>40.32</v>
      </c>
      <c r="E87" s="11" t="inlineStr">
        <is>
          <t>APL Logistics</t>
        </is>
      </c>
      <c r="F87" s="16" t="inlineStr">
        <is>
          <t>100046460</t>
        </is>
      </c>
      <c r="G87" s="39" t="inlineStr">
        <is>
          <t>031616</t>
        </is>
      </c>
      <c r="H87" s="48" t="n">
        <v>41365</v>
      </c>
      <c r="I87" s="593" t="n">
        <v>40.32</v>
      </c>
      <c r="J87" s="74" t="inlineStr">
        <is>
          <t>បានបង់</t>
        </is>
      </c>
    </row>
    <row r="88" ht="18" customHeight="1" s="331">
      <c r="A88" s="33" t="n">
        <v>2</v>
      </c>
      <c r="B88" s="39" t="inlineStr">
        <is>
          <t>031641</t>
        </is>
      </c>
      <c r="C88" s="48" t="n">
        <v>41366</v>
      </c>
      <c r="D88" s="593" t="n">
        <v>168.98</v>
      </c>
      <c r="E88" s="11" t="inlineStr">
        <is>
          <t>A P L Logistics</t>
        </is>
      </c>
      <c r="F88" s="10" t="inlineStr">
        <is>
          <t>100046460</t>
        </is>
      </c>
      <c r="G88" s="39" t="inlineStr">
        <is>
          <t>031641</t>
        </is>
      </c>
      <c r="H88" s="48" t="n">
        <v>41366</v>
      </c>
      <c r="I88" s="593" t="n">
        <v>168.98</v>
      </c>
      <c r="J88" s="74" t="inlineStr">
        <is>
          <t>បានបង់</t>
        </is>
      </c>
    </row>
    <row r="89" ht="18" customHeight="1" s="331">
      <c r="A89" s="60" t="n">
        <v>3</v>
      </c>
      <c r="B89" s="39" t="inlineStr">
        <is>
          <t>031704</t>
        </is>
      </c>
      <c r="C89" s="48" t="n">
        <v>41372</v>
      </c>
      <c r="D89" s="593" t="n">
        <v>104.23</v>
      </c>
      <c r="E89" s="11" t="inlineStr">
        <is>
          <t>A P L Logistics</t>
        </is>
      </c>
      <c r="F89" s="10" t="inlineStr">
        <is>
          <t>100046460</t>
        </is>
      </c>
      <c r="G89" s="39" t="inlineStr">
        <is>
          <t>031704</t>
        </is>
      </c>
      <c r="H89" s="48" t="n">
        <v>41372</v>
      </c>
      <c r="I89" s="593" t="n">
        <v>104.23</v>
      </c>
      <c r="J89" s="74" t="inlineStr">
        <is>
          <t>បានបង់</t>
        </is>
      </c>
    </row>
    <row r="90" ht="18" customHeight="1" s="331">
      <c r="A90" s="33" t="n">
        <v>4</v>
      </c>
      <c r="B90" s="39" t="inlineStr">
        <is>
          <t>031730</t>
        </is>
      </c>
      <c r="C90" s="48" t="n">
        <v>41372</v>
      </c>
      <c r="D90" s="593" t="n">
        <v>222.39</v>
      </c>
      <c r="E90" s="11" t="inlineStr">
        <is>
          <t>A P L Logistics</t>
        </is>
      </c>
      <c r="F90" s="10" t="inlineStr">
        <is>
          <t>100046460</t>
        </is>
      </c>
      <c r="G90" s="39" t="inlineStr">
        <is>
          <t>031730</t>
        </is>
      </c>
      <c r="H90" s="48" t="n">
        <v>41372</v>
      </c>
      <c r="I90" s="593" t="n">
        <v>222.39</v>
      </c>
      <c r="J90" s="74" t="inlineStr">
        <is>
          <t>បានបង់</t>
        </is>
      </c>
    </row>
    <row r="91" ht="18" customHeight="1" s="331">
      <c r="A91" s="60" t="n">
        <v>5</v>
      </c>
      <c r="B91" s="39" t="inlineStr">
        <is>
          <t>031771</t>
        </is>
      </c>
      <c r="C91" s="48" t="n">
        <v>41374</v>
      </c>
      <c r="D91" s="593" t="n">
        <v>10</v>
      </c>
      <c r="E91" s="11" t="inlineStr">
        <is>
          <t>APL Logistics</t>
        </is>
      </c>
      <c r="F91" s="16" t="inlineStr">
        <is>
          <t>100046460</t>
        </is>
      </c>
      <c r="G91" s="39" t="inlineStr">
        <is>
          <t>031771</t>
        </is>
      </c>
      <c r="H91" s="48" t="n">
        <v>41374</v>
      </c>
      <c r="I91" s="593" t="n">
        <v>10</v>
      </c>
      <c r="J91" s="74" t="inlineStr">
        <is>
          <t>បានបង់</t>
        </is>
      </c>
    </row>
    <row r="92" ht="18" customHeight="1" s="331">
      <c r="A92" s="33" t="n">
        <v>6</v>
      </c>
      <c r="B92" s="39" t="inlineStr">
        <is>
          <t>31799</t>
        </is>
      </c>
      <c r="C92" s="48" t="n">
        <v>41382</v>
      </c>
      <c r="D92" s="593" t="n">
        <v>149.76</v>
      </c>
      <c r="E92" s="11" t="inlineStr">
        <is>
          <t>A P L Logistics</t>
        </is>
      </c>
      <c r="F92" s="10" t="inlineStr">
        <is>
          <t>100046460</t>
        </is>
      </c>
      <c r="G92" s="39" t="inlineStr">
        <is>
          <t>31799</t>
        </is>
      </c>
      <c r="H92" s="48" t="n">
        <v>41382</v>
      </c>
      <c r="I92" s="593" t="n">
        <v>149.76</v>
      </c>
      <c r="J92" s="74" t="inlineStr">
        <is>
          <t>បានបង់</t>
        </is>
      </c>
    </row>
    <row r="93" ht="18" customHeight="1" s="331">
      <c r="A93" s="60" t="n">
        <v>7</v>
      </c>
      <c r="B93" s="39" t="inlineStr">
        <is>
          <t>31883</t>
        </is>
      </c>
      <c r="C93" s="48" t="n">
        <v>41386</v>
      </c>
      <c r="D93" s="593" t="n">
        <v>144.43</v>
      </c>
      <c r="E93" s="11" t="inlineStr">
        <is>
          <t>A P L Logistics</t>
        </is>
      </c>
      <c r="F93" s="10" t="inlineStr">
        <is>
          <t>100046460</t>
        </is>
      </c>
      <c r="G93" s="39" t="inlineStr">
        <is>
          <t>31883</t>
        </is>
      </c>
      <c r="H93" s="48" t="n">
        <v>41386</v>
      </c>
      <c r="I93" s="593" t="n">
        <v>144.43</v>
      </c>
      <c r="J93" s="74" t="inlineStr">
        <is>
          <t>បានបង់</t>
        </is>
      </c>
    </row>
    <row r="94" ht="18" customHeight="1" s="331">
      <c r="A94" s="33" t="n">
        <v>8</v>
      </c>
      <c r="B94" s="39" t="inlineStr">
        <is>
          <t>31901</t>
        </is>
      </c>
      <c r="C94" s="48" t="n">
        <v>41387</v>
      </c>
      <c r="D94" s="593" t="n">
        <v>8</v>
      </c>
      <c r="E94" s="11" t="inlineStr">
        <is>
          <t>APL Logistics</t>
        </is>
      </c>
      <c r="F94" s="16" t="inlineStr">
        <is>
          <t>100046460</t>
        </is>
      </c>
      <c r="G94" s="39" t="inlineStr">
        <is>
          <t>31901</t>
        </is>
      </c>
      <c r="H94" s="48" t="n">
        <v>41387</v>
      </c>
      <c r="I94" s="593" t="n">
        <v>8</v>
      </c>
      <c r="J94" s="74" t="inlineStr">
        <is>
          <t>បានបង់</t>
        </is>
      </c>
    </row>
    <row r="95" ht="18" customHeight="1" s="331">
      <c r="A95" s="60" t="n">
        <v>9</v>
      </c>
      <c r="B95" s="39" t="inlineStr">
        <is>
          <t>031922</t>
        </is>
      </c>
      <c r="C95" s="48" t="n">
        <v>41394</v>
      </c>
      <c r="D95" s="593" t="n">
        <v>134.76</v>
      </c>
      <c r="E95" s="11" t="inlineStr">
        <is>
          <t>A P L Logistics</t>
        </is>
      </c>
      <c r="F95" s="10" t="inlineStr">
        <is>
          <t>100046460</t>
        </is>
      </c>
      <c r="G95" s="39" t="inlineStr">
        <is>
          <t>031922</t>
        </is>
      </c>
      <c r="H95" s="48" t="n">
        <v>41394</v>
      </c>
      <c r="I95" s="593" t="n">
        <v>134.76</v>
      </c>
      <c r="J95" s="74" t="inlineStr">
        <is>
          <t>បានបង់</t>
        </is>
      </c>
    </row>
    <row r="96" ht="18" customHeight="1" s="331">
      <c r="A96" s="33" t="n">
        <v>10</v>
      </c>
      <c r="B96" s="39" t="inlineStr">
        <is>
          <t>31940</t>
        </is>
      </c>
      <c r="C96" s="48" t="n">
        <v>41394</v>
      </c>
      <c r="D96" s="593" t="n">
        <v>155.38</v>
      </c>
      <c r="E96" s="11" t="inlineStr">
        <is>
          <t>A P L Logistics</t>
        </is>
      </c>
      <c r="F96" s="10" t="inlineStr">
        <is>
          <t>100046460</t>
        </is>
      </c>
      <c r="G96" s="39" t="inlineStr">
        <is>
          <t>31940</t>
        </is>
      </c>
      <c r="H96" s="48" t="n">
        <v>41394</v>
      </c>
      <c r="I96" s="593" t="n">
        <v>155.38</v>
      </c>
      <c r="J96" s="74" t="inlineStr">
        <is>
          <t>បានបង់</t>
        </is>
      </c>
    </row>
    <row r="97" ht="18" customHeight="1" s="331">
      <c r="A97" s="437" t="inlineStr">
        <is>
          <t>Total 04/2013</t>
        </is>
      </c>
      <c r="B97" s="531" t="n"/>
      <c r="C97" s="519" t="n"/>
      <c r="D97" s="594">
        <f>SUM(D87:D96)</f>
        <v/>
      </c>
      <c r="E97" s="53" t="n"/>
      <c r="F97" s="54" t="n"/>
      <c r="G97" s="59" t="n"/>
      <c r="H97" s="590" t="inlineStr">
        <is>
          <t>USD</t>
        </is>
      </c>
      <c r="I97" s="594">
        <f>SUM(I87:I96)</f>
        <v/>
      </c>
      <c r="J97" s="7" t="n"/>
    </row>
    <row r="98" ht="21.9" customHeight="1" s="331">
      <c r="A98" s="437" t="inlineStr">
        <is>
          <t>Total 04/2013</t>
        </is>
      </c>
      <c r="B98" s="531" t="n"/>
      <c r="C98" s="519" t="n"/>
      <c r="D98" s="594" t="n"/>
      <c r="E98" s="53" t="n"/>
      <c r="F98" s="54" t="n"/>
      <c r="G98" s="591" t="n">
        <v>4000</v>
      </c>
      <c r="H98" s="590" t="inlineStr">
        <is>
          <t>RIEL</t>
        </is>
      </c>
      <c r="I98" s="592">
        <f>I97*G98</f>
        <v/>
      </c>
      <c r="J98" s="7" t="n"/>
    </row>
    <row r="99" ht="18" customHeight="1" s="331">
      <c r="A99" s="60" t="n">
        <v>1</v>
      </c>
      <c r="B99" s="39" t="inlineStr">
        <is>
          <t>031981</t>
        </is>
      </c>
      <c r="C99" s="48" t="n">
        <v>41397</v>
      </c>
      <c r="D99" s="593" t="n">
        <v>20</v>
      </c>
      <c r="E99" s="11" t="inlineStr">
        <is>
          <t>APL Logistics</t>
        </is>
      </c>
      <c r="F99" s="16" t="inlineStr">
        <is>
          <t>100046460</t>
        </is>
      </c>
      <c r="G99" s="39" t="inlineStr">
        <is>
          <t>031981</t>
        </is>
      </c>
      <c r="H99" s="48" t="n">
        <v>41397</v>
      </c>
      <c r="I99" s="593" t="n">
        <v>20</v>
      </c>
      <c r="J99" s="74" t="inlineStr">
        <is>
          <t>បានបង់</t>
        </is>
      </c>
    </row>
    <row r="100" ht="18" customHeight="1" s="331">
      <c r="A100" s="60" t="n">
        <v>2</v>
      </c>
      <c r="B100" s="39" t="inlineStr">
        <is>
          <t>031984</t>
        </is>
      </c>
      <c r="C100" s="48" t="n">
        <v>41400</v>
      </c>
      <c r="D100" s="593" t="n">
        <v>25</v>
      </c>
      <c r="E100" s="11" t="inlineStr">
        <is>
          <t>APL Logistics</t>
        </is>
      </c>
      <c r="F100" s="16" t="inlineStr">
        <is>
          <t>100046460</t>
        </is>
      </c>
      <c r="G100" s="39" t="inlineStr">
        <is>
          <t>031984</t>
        </is>
      </c>
      <c r="H100" s="48" t="n">
        <v>41400</v>
      </c>
      <c r="I100" s="593" t="n">
        <v>25</v>
      </c>
      <c r="J100" s="74" t="inlineStr">
        <is>
          <t>បានបង់</t>
        </is>
      </c>
    </row>
    <row r="101" ht="18" customHeight="1" s="331">
      <c r="A101" s="60" t="n">
        <v>3</v>
      </c>
      <c r="B101" s="39" t="inlineStr">
        <is>
          <t>032002</t>
        </is>
      </c>
      <c r="C101" s="48" t="n">
        <v>41400</v>
      </c>
      <c r="D101" s="593" t="n">
        <v>157.3</v>
      </c>
      <c r="E101" s="11" t="inlineStr">
        <is>
          <t>A P L Logistics</t>
        </is>
      </c>
      <c r="F101" s="10" t="inlineStr">
        <is>
          <t>100046460</t>
        </is>
      </c>
      <c r="G101" s="39" t="inlineStr">
        <is>
          <t>032002</t>
        </is>
      </c>
      <c r="H101" s="48" t="n">
        <v>41400</v>
      </c>
      <c r="I101" s="593" t="n">
        <v>157.3</v>
      </c>
      <c r="J101" s="74" t="inlineStr">
        <is>
          <t>បានបង់</t>
        </is>
      </c>
    </row>
    <row r="102" ht="18" customHeight="1" s="331">
      <c r="A102" s="60" t="n">
        <v>4</v>
      </c>
      <c r="B102" s="39" t="inlineStr">
        <is>
          <t>032076</t>
        </is>
      </c>
      <c r="C102" s="48" t="n">
        <v>41410</v>
      </c>
      <c r="D102" s="593" t="n">
        <v>140.63</v>
      </c>
      <c r="E102" s="11" t="inlineStr">
        <is>
          <t>A P L Logistics</t>
        </is>
      </c>
      <c r="F102" s="10" t="inlineStr">
        <is>
          <t>100046460</t>
        </is>
      </c>
      <c r="G102" s="39" t="inlineStr">
        <is>
          <t>032076</t>
        </is>
      </c>
      <c r="H102" s="48" t="n">
        <v>41410</v>
      </c>
      <c r="I102" s="593" t="n">
        <v>140.63</v>
      </c>
      <c r="J102" s="74" t="inlineStr">
        <is>
          <t>បានបង់</t>
        </is>
      </c>
    </row>
    <row r="103" ht="18" customHeight="1" s="331">
      <c r="A103" s="60" t="n">
        <v>5</v>
      </c>
      <c r="B103" s="39" t="inlineStr">
        <is>
          <t>032132</t>
        </is>
      </c>
      <c r="C103" s="48" t="n">
        <v>41414</v>
      </c>
      <c r="D103" s="593" t="n">
        <v>82.47</v>
      </c>
      <c r="E103" s="11" t="inlineStr">
        <is>
          <t>A P L Logistics</t>
        </is>
      </c>
      <c r="F103" s="10" t="inlineStr">
        <is>
          <t>100046460</t>
        </is>
      </c>
      <c r="G103" s="39" t="inlineStr">
        <is>
          <t>032132</t>
        </is>
      </c>
      <c r="H103" s="48" t="n">
        <v>41414</v>
      </c>
      <c r="I103" s="593" t="n">
        <v>82.47</v>
      </c>
      <c r="J103" s="74" t="inlineStr">
        <is>
          <t>បានបង់</t>
        </is>
      </c>
    </row>
    <row r="104" ht="18" customHeight="1" s="331">
      <c r="A104" s="60" t="n">
        <v>6</v>
      </c>
      <c r="B104" s="39" t="inlineStr">
        <is>
          <t>032152</t>
        </is>
      </c>
      <c r="C104" s="48" t="n">
        <v>41415</v>
      </c>
      <c r="D104" s="593" t="n">
        <v>92.5</v>
      </c>
      <c r="E104" s="11" t="inlineStr">
        <is>
          <t>A P L Logistics</t>
        </is>
      </c>
      <c r="F104" s="10" t="inlineStr">
        <is>
          <t>100046460</t>
        </is>
      </c>
      <c r="G104" s="39" t="inlineStr">
        <is>
          <t>032152</t>
        </is>
      </c>
      <c r="H104" s="48" t="n">
        <v>41415</v>
      </c>
      <c r="I104" s="593" t="n">
        <v>92.5</v>
      </c>
      <c r="J104" s="74" t="inlineStr">
        <is>
          <t>បានបង់</t>
        </is>
      </c>
    </row>
    <row r="105" ht="18" customHeight="1" s="331">
      <c r="A105" s="60" t="n">
        <v>7</v>
      </c>
      <c r="B105" s="39" t="inlineStr">
        <is>
          <t>032159</t>
        </is>
      </c>
      <c r="C105" s="48" t="n">
        <v>41415</v>
      </c>
      <c r="D105" s="593" t="n">
        <v>4</v>
      </c>
      <c r="E105" s="11" t="inlineStr">
        <is>
          <t>APL Logistics</t>
        </is>
      </c>
      <c r="F105" s="16" t="inlineStr">
        <is>
          <t>100046460</t>
        </is>
      </c>
      <c r="G105" s="39" t="inlineStr">
        <is>
          <t>032159</t>
        </is>
      </c>
      <c r="H105" s="48" t="n">
        <v>41415</v>
      </c>
      <c r="I105" s="593" t="n">
        <v>4</v>
      </c>
      <c r="J105" s="74" t="inlineStr">
        <is>
          <t>បានបង់</t>
        </is>
      </c>
    </row>
    <row r="106" ht="18" customHeight="1" s="331">
      <c r="A106" s="60" t="n">
        <v>8</v>
      </c>
      <c r="B106" s="39" t="inlineStr">
        <is>
          <t>032216</t>
        </is>
      </c>
      <c r="C106" s="48" t="n">
        <v>41421</v>
      </c>
      <c r="D106" s="593" t="n">
        <v>63.52</v>
      </c>
      <c r="E106" s="11" t="inlineStr">
        <is>
          <t>APL Logistics</t>
        </is>
      </c>
      <c r="F106" s="16" t="inlineStr">
        <is>
          <t>100046460</t>
        </is>
      </c>
      <c r="G106" s="39" t="inlineStr">
        <is>
          <t>032216</t>
        </is>
      </c>
      <c r="H106" s="48" t="n">
        <v>41421</v>
      </c>
      <c r="I106" s="593" t="n">
        <v>63.52</v>
      </c>
      <c r="J106" s="74" t="inlineStr">
        <is>
          <t>បានបង់</t>
        </is>
      </c>
    </row>
    <row r="107" ht="18" customHeight="1" s="331">
      <c r="A107" s="437" t="inlineStr">
        <is>
          <t>Total 05/2013</t>
        </is>
      </c>
      <c r="B107" s="531" t="n"/>
      <c r="C107" s="519" t="n"/>
      <c r="D107" s="594">
        <f>SUM(D99:D106)</f>
        <v/>
      </c>
      <c r="E107" s="53" t="n"/>
      <c r="F107" s="54" t="n"/>
      <c r="G107" s="62" t="n"/>
      <c r="H107" s="590" t="inlineStr">
        <is>
          <t>USD</t>
        </is>
      </c>
      <c r="I107" s="594">
        <f>SUM(I99:I106)</f>
        <v/>
      </c>
      <c r="J107" s="50" t="n"/>
    </row>
    <row r="108" ht="21.9" customHeight="1" s="331">
      <c r="A108" s="437" t="inlineStr">
        <is>
          <t>Total 05/2013</t>
        </is>
      </c>
      <c r="B108" s="531" t="n"/>
      <c r="C108" s="519" t="n"/>
      <c r="D108" s="594" t="n"/>
      <c r="E108" s="53" t="n"/>
      <c r="F108" s="54" t="n"/>
      <c r="G108" s="591" t="n">
        <v>4034</v>
      </c>
      <c r="H108" s="590" t="inlineStr">
        <is>
          <t>RIEL</t>
        </is>
      </c>
      <c r="I108" s="592">
        <f>I107*G108</f>
        <v/>
      </c>
      <c r="J108" s="50" t="n"/>
    </row>
    <row r="109" ht="18" customHeight="1" s="331">
      <c r="A109" s="33" t="n">
        <v>1</v>
      </c>
      <c r="B109" s="39" t="inlineStr">
        <is>
          <t>032272</t>
        </is>
      </c>
      <c r="C109" s="48" t="n">
        <v>41428</v>
      </c>
      <c r="D109" s="593" t="n">
        <v>148.71</v>
      </c>
      <c r="E109" s="11" t="inlineStr">
        <is>
          <t>A P L Logistics</t>
        </is>
      </c>
      <c r="F109" s="10" t="inlineStr">
        <is>
          <t>100046460</t>
        </is>
      </c>
      <c r="G109" s="39" t="inlineStr">
        <is>
          <t>032272</t>
        </is>
      </c>
      <c r="H109" s="48" t="n">
        <v>41428</v>
      </c>
      <c r="I109" s="593" t="n">
        <v>148.71</v>
      </c>
      <c r="J109" s="74" t="inlineStr">
        <is>
          <t>បានបង់</t>
        </is>
      </c>
    </row>
    <row r="110" ht="18" customHeight="1" s="331">
      <c r="A110" s="33" t="n">
        <v>2</v>
      </c>
      <c r="B110" s="39" t="inlineStr">
        <is>
          <t>032326</t>
        </is>
      </c>
      <c r="C110" s="48" t="n">
        <v>41435</v>
      </c>
      <c r="D110" s="593" t="n">
        <v>52.58</v>
      </c>
      <c r="E110" s="11" t="inlineStr">
        <is>
          <t>A P L Logistics</t>
        </is>
      </c>
      <c r="F110" s="16" t="inlineStr">
        <is>
          <t>100046460</t>
        </is>
      </c>
      <c r="G110" s="39" t="inlineStr">
        <is>
          <t>032326</t>
        </is>
      </c>
      <c r="H110" s="48" t="n">
        <v>41435</v>
      </c>
      <c r="I110" s="593" t="n">
        <v>52.58</v>
      </c>
      <c r="J110" s="74" t="inlineStr">
        <is>
          <t>បានបង់</t>
        </is>
      </c>
    </row>
    <row r="111" ht="18" customHeight="1" s="331">
      <c r="A111" s="33" t="n">
        <v>3</v>
      </c>
      <c r="B111" s="39" t="inlineStr">
        <is>
          <t>032351</t>
        </is>
      </c>
      <c r="C111" s="48" t="n">
        <v>41435</v>
      </c>
      <c r="D111" s="593" t="n">
        <v>70.70999999999999</v>
      </c>
      <c r="E111" s="11" t="inlineStr">
        <is>
          <t>A P L Logistics</t>
        </is>
      </c>
      <c r="F111" s="16" t="inlineStr">
        <is>
          <t>100046460</t>
        </is>
      </c>
      <c r="G111" s="39" t="inlineStr">
        <is>
          <t>032351</t>
        </is>
      </c>
      <c r="H111" s="48" t="n">
        <v>41435</v>
      </c>
      <c r="I111" s="593" t="n">
        <v>70.70999999999999</v>
      </c>
      <c r="J111" s="74" t="inlineStr">
        <is>
          <t>បានបង់</t>
        </is>
      </c>
    </row>
    <row r="112" ht="18" customHeight="1" s="331">
      <c r="A112" s="33" t="n">
        <v>4</v>
      </c>
      <c r="B112" s="39" t="inlineStr">
        <is>
          <t>032452</t>
        </is>
      </c>
      <c r="C112" s="48" t="n">
        <v>41442</v>
      </c>
      <c r="D112" s="593" t="n">
        <v>207.09</v>
      </c>
      <c r="E112" s="11" t="inlineStr">
        <is>
          <t>A P L Logistics</t>
        </is>
      </c>
      <c r="F112" s="10" t="inlineStr">
        <is>
          <t>100046460</t>
        </is>
      </c>
      <c r="G112" s="39" t="inlineStr">
        <is>
          <t>032452</t>
        </is>
      </c>
      <c r="H112" s="48" t="n">
        <v>41442</v>
      </c>
      <c r="I112" s="593" t="n">
        <v>207.09</v>
      </c>
      <c r="J112" s="74" t="inlineStr">
        <is>
          <t>បានបង់</t>
        </is>
      </c>
    </row>
    <row r="113" ht="18" customHeight="1" s="331">
      <c r="A113" s="33" t="n">
        <v>5</v>
      </c>
      <c r="B113" s="39" t="inlineStr">
        <is>
          <t>032516</t>
        </is>
      </c>
      <c r="C113" s="48" t="n">
        <v>41449</v>
      </c>
      <c r="D113" s="593" t="n">
        <v>79.11</v>
      </c>
      <c r="E113" s="11" t="inlineStr">
        <is>
          <t>A P L Logistics</t>
        </is>
      </c>
      <c r="F113" s="10" t="inlineStr">
        <is>
          <t>100046460</t>
        </is>
      </c>
      <c r="G113" s="39" t="inlineStr">
        <is>
          <t>032516</t>
        </is>
      </c>
      <c r="H113" s="48" t="n">
        <v>41449</v>
      </c>
      <c r="I113" s="593" t="n">
        <v>79.11</v>
      </c>
      <c r="J113" s="74" t="inlineStr">
        <is>
          <t>បានបង់</t>
        </is>
      </c>
    </row>
    <row r="114" ht="18" customHeight="1" s="331">
      <c r="A114" s="33" t="n">
        <v>6</v>
      </c>
      <c r="B114" s="39" t="inlineStr">
        <is>
          <t>032535</t>
        </is>
      </c>
      <c r="C114" s="48" t="n">
        <v>41449</v>
      </c>
      <c r="D114" s="593" t="n">
        <v>182.92</v>
      </c>
      <c r="E114" s="11" t="inlineStr">
        <is>
          <t>A P L Logistics</t>
        </is>
      </c>
      <c r="F114" s="10" t="inlineStr">
        <is>
          <t>100046460</t>
        </is>
      </c>
      <c r="G114" s="39" t="inlineStr">
        <is>
          <t>032535</t>
        </is>
      </c>
      <c r="H114" s="48" t="n">
        <v>41449</v>
      </c>
      <c r="I114" s="593" t="n">
        <v>182.92</v>
      </c>
      <c r="J114" s="74" t="inlineStr">
        <is>
          <t>បានបង់</t>
        </is>
      </c>
    </row>
    <row r="115" ht="18" customHeight="1" s="331">
      <c r="A115" s="33" t="n">
        <v>7</v>
      </c>
      <c r="B115" s="39" t="inlineStr">
        <is>
          <t>032586</t>
        </is>
      </c>
      <c r="C115" s="48" t="n">
        <v>41453</v>
      </c>
      <c r="D115" s="593" t="n">
        <v>3.6</v>
      </c>
      <c r="E115" s="11" t="inlineStr">
        <is>
          <t>A P L Logistics</t>
        </is>
      </c>
      <c r="F115" s="16" t="inlineStr">
        <is>
          <t>100046460</t>
        </is>
      </c>
      <c r="G115" s="39" t="inlineStr">
        <is>
          <t>032586</t>
        </is>
      </c>
      <c r="H115" s="48" t="n">
        <v>41453</v>
      </c>
      <c r="I115" s="593" t="n">
        <v>3.6</v>
      </c>
      <c r="J115" s="74" t="inlineStr">
        <is>
          <t>បានបង់</t>
        </is>
      </c>
    </row>
    <row r="116" ht="18" customHeight="1" s="331">
      <c r="A116" s="437" t="inlineStr">
        <is>
          <t>Total 06/2013</t>
        </is>
      </c>
      <c r="B116" s="531" t="n"/>
      <c r="C116" s="519" t="n"/>
      <c r="D116" s="594">
        <f>SUM(D109:D115)</f>
        <v/>
      </c>
      <c r="E116" s="53" t="n"/>
      <c r="F116" s="54" t="n"/>
      <c r="G116" s="62" t="n"/>
      <c r="H116" s="590" t="inlineStr">
        <is>
          <t>USD</t>
        </is>
      </c>
      <c r="I116" s="594">
        <f>SUM(I109:I115)</f>
        <v/>
      </c>
      <c r="J116" s="7" t="n"/>
    </row>
    <row r="117" ht="21.9" customHeight="1" s="331">
      <c r="A117" s="437" t="inlineStr">
        <is>
          <t>Total 06/2013</t>
        </is>
      </c>
      <c r="B117" s="531" t="n"/>
      <c r="C117" s="519" t="n"/>
      <c r="D117" s="594" t="n"/>
      <c r="E117" s="53" t="n"/>
      <c r="F117" s="54" t="n"/>
      <c r="G117" s="591" t="n">
        <v>4063</v>
      </c>
      <c r="H117" s="590" t="inlineStr">
        <is>
          <t>RIEL</t>
        </is>
      </c>
      <c r="I117" s="592">
        <f>I116*G117</f>
        <v/>
      </c>
      <c r="J117" s="7" t="n"/>
    </row>
    <row r="118" ht="18" customHeight="1" s="331">
      <c r="A118" s="60" t="n">
        <v>1</v>
      </c>
      <c r="B118" s="39" t="inlineStr">
        <is>
          <t>032583</t>
        </is>
      </c>
      <c r="C118" s="48" t="n">
        <v>41452</v>
      </c>
      <c r="D118" s="593" t="n">
        <v>76.8</v>
      </c>
      <c r="E118" s="11" t="inlineStr">
        <is>
          <t>A P L Logistics</t>
        </is>
      </c>
      <c r="F118" s="16" t="inlineStr">
        <is>
          <t>100046460</t>
        </is>
      </c>
      <c r="G118" s="39" t="inlineStr">
        <is>
          <t>032583</t>
        </is>
      </c>
      <c r="H118" s="48" t="n">
        <v>41452</v>
      </c>
      <c r="I118" s="593" t="n">
        <v>76.8</v>
      </c>
      <c r="J118" s="74" t="inlineStr">
        <is>
          <t>បានបង់</t>
        </is>
      </c>
    </row>
    <row r="119" ht="18" customHeight="1" s="331">
      <c r="A119" s="33" t="n">
        <v>2</v>
      </c>
      <c r="B119" s="39" t="inlineStr">
        <is>
          <t>032640</t>
        </is>
      </c>
      <c r="C119" s="48" t="n">
        <v>41456</v>
      </c>
      <c r="D119" s="593" t="n">
        <v>305.89</v>
      </c>
      <c r="E119" s="11" t="inlineStr">
        <is>
          <t>A P L Logistics</t>
        </is>
      </c>
      <c r="F119" s="10" t="inlineStr">
        <is>
          <t>100046460</t>
        </is>
      </c>
      <c r="G119" s="39" t="inlineStr">
        <is>
          <t>032640</t>
        </is>
      </c>
      <c r="H119" s="48" t="n">
        <v>41456</v>
      </c>
      <c r="I119" s="593" t="n">
        <v>305.89</v>
      </c>
      <c r="J119" s="74" t="inlineStr">
        <is>
          <t>បានបង់</t>
        </is>
      </c>
    </row>
    <row r="120" ht="18" customHeight="1" s="331">
      <c r="A120" s="60" t="n">
        <v>3</v>
      </c>
      <c r="B120" s="39" t="inlineStr">
        <is>
          <t>032680</t>
        </is>
      </c>
      <c r="C120" s="48" t="n">
        <v>41463</v>
      </c>
      <c r="D120" s="593" t="n">
        <v>34.86</v>
      </c>
      <c r="E120" s="11" t="inlineStr">
        <is>
          <t>A P L Logistics</t>
        </is>
      </c>
      <c r="F120" s="16" t="inlineStr">
        <is>
          <t>100046460</t>
        </is>
      </c>
      <c r="G120" s="39" t="inlineStr">
        <is>
          <t>032680</t>
        </is>
      </c>
      <c r="H120" s="48" t="n">
        <v>41463</v>
      </c>
      <c r="I120" s="593" t="n">
        <v>34.86</v>
      </c>
      <c r="J120" s="74" t="inlineStr">
        <is>
          <t>បានបង់</t>
        </is>
      </c>
    </row>
    <row r="121" ht="18" customHeight="1" s="331">
      <c r="A121" s="33" t="n">
        <v>4</v>
      </c>
      <c r="B121" s="39" t="inlineStr">
        <is>
          <t>032710</t>
        </is>
      </c>
      <c r="C121" s="48" t="n">
        <v>41463</v>
      </c>
      <c r="D121" s="593" t="n">
        <v>450.81</v>
      </c>
      <c r="E121" s="11" t="inlineStr">
        <is>
          <t>A P L Logistics</t>
        </is>
      </c>
      <c r="F121" s="10" t="inlineStr">
        <is>
          <t>100046460</t>
        </is>
      </c>
      <c r="G121" s="39" t="inlineStr">
        <is>
          <t>032710</t>
        </is>
      </c>
      <c r="H121" s="48" t="n">
        <v>41463</v>
      </c>
      <c r="I121" s="593" t="n">
        <v>450.81</v>
      </c>
      <c r="J121" s="74" t="inlineStr">
        <is>
          <t>បានបង់</t>
        </is>
      </c>
    </row>
    <row r="122" ht="18" customHeight="1" s="331">
      <c r="A122" s="60" t="n">
        <v>5</v>
      </c>
      <c r="B122" s="39" t="inlineStr">
        <is>
          <t>032763</t>
        </is>
      </c>
      <c r="C122" s="48" t="n">
        <v>41470</v>
      </c>
      <c r="D122" s="593" t="n">
        <v>54.3</v>
      </c>
      <c r="E122" s="11" t="inlineStr">
        <is>
          <t>A P L Logistics</t>
        </is>
      </c>
      <c r="F122" s="16" t="inlineStr">
        <is>
          <t>100046460</t>
        </is>
      </c>
      <c r="G122" s="39" t="inlineStr">
        <is>
          <t>032763</t>
        </is>
      </c>
      <c r="H122" s="48" t="n">
        <v>41470</v>
      </c>
      <c r="I122" s="593" t="n">
        <v>54.3</v>
      </c>
      <c r="J122" s="74" t="inlineStr">
        <is>
          <t>បានបង់</t>
        </is>
      </c>
    </row>
    <row r="123" ht="18" customHeight="1" s="331">
      <c r="A123" s="33" t="n">
        <v>6</v>
      </c>
      <c r="B123" s="39" t="inlineStr">
        <is>
          <t>032794</t>
        </is>
      </c>
      <c r="C123" s="48" t="n">
        <v>41470</v>
      </c>
      <c r="D123" s="593" t="n">
        <v>379.69</v>
      </c>
      <c r="E123" s="11" t="inlineStr">
        <is>
          <t>A P L Logistics</t>
        </is>
      </c>
      <c r="F123" s="10" t="inlineStr">
        <is>
          <t>100046460</t>
        </is>
      </c>
      <c r="G123" s="39" t="inlineStr">
        <is>
          <t>032794</t>
        </is>
      </c>
      <c r="H123" s="48" t="n">
        <v>41470</v>
      </c>
      <c r="I123" s="593" t="n">
        <v>379.69</v>
      </c>
      <c r="J123" s="74" t="inlineStr">
        <is>
          <t>បានបង់</t>
        </is>
      </c>
    </row>
    <row r="124" ht="18" customHeight="1" s="331">
      <c r="A124" s="60" t="n">
        <v>7</v>
      </c>
      <c r="B124" s="39" t="inlineStr">
        <is>
          <t>032848</t>
        </is>
      </c>
      <c r="C124" s="48" t="n">
        <v>41477</v>
      </c>
      <c r="D124" s="593" t="n">
        <v>48.72</v>
      </c>
      <c r="E124" s="11" t="inlineStr">
        <is>
          <t>A P L Logistics</t>
        </is>
      </c>
      <c r="F124" s="16" t="inlineStr">
        <is>
          <t>100046460</t>
        </is>
      </c>
      <c r="G124" s="39" t="inlineStr">
        <is>
          <t>032848</t>
        </is>
      </c>
      <c r="H124" s="48" t="n">
        <v>41477</v>
      </c>
      <c r="I124" s="593" t="n">
        <v>48.72</v>
      </c>
      <c r="J124" s="74" t="inlineStr">
        <is>
          <t>បានបង់</t>
        </is>
      </c>
    </row>
    <row r="125" ht="18" customHeight="1" s="331">
      <c r="A125" s="33" t="n">
        <v>8</v>
      </c>
      <c r="B125" s="39" t="inlineStr">
        <is>
          <t>032889</t>
        </is>
      </c>
      <c r="C125" s="48" t="n">
        <v>41478</v>
      </c>
      <c r="D125" s="593" t="n">
        <v>175.1</v>
      </c>
      <c r="E125" s="11" t="inlineStr">
        <is>
          <t>A P L Logistics</t>
        </is>
      </c>
      <c r="F125" s="10" t="inlineStr">
        <is>
          <t>100046460</t>
        </is>
      </c>
      <c r="G125" s="39" t="inlineStr">
        <is>
          <t>032889</t>
        </is>
      </c>
      <c r="H125" s="48" t="n">
        <v>41478</v>
      </c>
      <c r="I125" s="593" t="n">
        <v>175.1</v>
      </c>
      <c r="J125" s="74" t="inlineStr">
        <is>
          <t>បានបង់</t>
        </is>
      </c>
    </row>
    <row r="126" ht="18" customHeight="1" s="331">
      <c r="A126" s="60" t="n">
        <v>9</v>
      </c>
      <c r="B126" s="39" t="inlineStr">
        <is>
          <t>032936</t>
        </is>
      </c>
      <c r="C126" s="48" t="n">
        <v>41484</v>
      </c>
      <c r="D126" s="593" t="n">
        <v>64.26000000000001</v>
      </c>
      <c r="E126" s="11" t="inlineStr">
        <is>
          <t>A P L Logistics</t>
        </is>
      </c>
      <c r="F126" s="16" t="inlineStr">
        <is>
          <t>100046460</t>
        </is>
      </c>
      <c r="G126" s="39" t="inlineStr">
        <is>
          <t>032936</t>
        </is>
      </c>
      <c r="H126" s="48" t="n">
        <v>41484</v>
      </c>
      <c r="I126" s="593" t="n">
        <v>64.26000000000001</v>
      </c>
      <c r="J126" s="74" t="inlineStr">
        <is>
          <t>បានបង់</t>
        </is>
      </c>
    </row>
    <row r="127" ht="18" customHeight="1" s="331">
      <c r="A127" s="33" t="n">
        <v>10</v>
      </c>
      <c r="B127" s="39" t="inlineStr">
        <is>
          <t>032958</t>
        </is>
      </c>
      <c r="C127" s="48" t="n">
        <v>41484</v>
      </c>
      <c r="D127" s="593" t="n">
        <v>134.24</v>
      </c>
      <c r="E127" s="11" t="inlineStr">
        <is>
          <t>A P L Logistics</t>
        </is>
      </c>
      <c r="F127" s="10" t="inlineStr">
        <is>
          <t>100046460</t>
        </is>
      </c>
      <c r="G127" s="39" t="inlineStr">
        <is>
          <t>032958</t>
        </is>
      </c>
      <c r="H127" s="48" t="n">
        <v>41484</v>
      </c>
      <c r="I127" s="593" t="n">
        <v>134.24</v>
      </c>
      <c r="J127" s="74" t="inlineStr">
        <is>
          <t>បានបង់</t>
        </is>
      </c>
    </row>
    <row r="128" ht="18" customHeight="1" s="331">
      <c r="A128" s="437" t="inlineStr">
        <is>
          <t>Total 07/2013</t>
        </is>
      </c>
      <c r="B128" s="531" t="n"/>
      <c r="C128" s="519" t="n"/>
      <c r="D128" s="594">
        <f>SUM(D118:D127)</f>
        <v/>
      </c>
      <c r="E128" s="53" t="n"/>
      <c r="F128" s="54" t="n"/>
      <c r="G128" s="62" t="n"/>
      <c r="H128" s="590" t="inlineStr">
        <is>
          <t>USD</t>
        </is>
      </c>
      <c r="I128" s="594">
        <f>SUM(I118:I127)</f>
        <v/>
      </c>
      <c r="J128" s="7" t="n"/>
    </row>
    <row r="129" ht="21.9" customHeight="1" s="331">
      <c r="A129" s="437" t="inlineStr">
        <is>
          <t>Total 07/2013</t>
        </is>
      </c>
      <c r="B129" s="531" t="n"/>
      <c r="C129" s="519" t="n"/>
      <c r="D129" s="594" t="n"/>
      <c r="E129" s="53" t="n"/>
      <c r="F129" s="54" t="n"/>
      <c r="G129" s="591" t="n">
        <v>4062</v>
      </c>
      <c r="H129" s="590" t="inlineStr">
        <is>
          <t>RIEL</t>
        </is>
      </c>
      <c r="I129" s="592">
        <f>I128*G129</f>
        <v/>
      </c>
      <c r="J129" s="7" t="n"/>
    </row>
    <row r="130" ht="18" customHeight="1" s="331">
      <c r="A130" s="33" t="n">
        <v>1</v>
      </c>
      <c r="B130" s="39" t="inlineStr">
        <is>
          <t>033068</t>
        </is>
      </c>
      <c r="C130" s="48" t="n">
        <v>41491</v>
      </c>
      <c r="D130" s="593" t="n">
        <v>152.8</v>
      </c>
      <c r="E130" s="11" t="inlineStr">
        <is>
          <t>A P L Logistics</t>
        </is>
      </c>
      <c r="F130" s="10" t="inlineStr">
        <is>
          <t>100046460</t>
        </is>
      </c>
      <c r="G130" s="39" t="inlineStr">
        <is>
          <t>033068</t>
        </is>
      </c>
      <c r="H130" s="48" t="n">
        <v>41491</v>
      </c>
      <c r="I130" s="593" t="n">
        <v>152.8</v>
      </c>
      <c r="J130" s="74" t="inlineStr">
        <is>
          <t>បានបង់</t>
        </is>
      </c>
    </row>
    <row r="131" ht="18" customHeight="1" s="331">
      <c r="A131" s="33" t="n">
        <v>2</v>
      </c>
      <c r="B131" s="39" t="inlineStr">
        <is>
          <t>033152</t>
        </is>
      </c>
      <c r="C131" s="48" t="n">
        <v>41498</v>
      </c>
      <c r="D131" s="593" t="n">
        <v>219.25</v>
      </c>
      <c r="E131" s="11" t="inlineStr">
        <is>
          <t>A P L Logistics</t>
        </is>
      </c>
      <c r="F131" s="10" t="inlineStr">
        <is>
          <t>100046460</t>
        </is>
      </c>
      <c r="G131" s="39" t="inlineStr">
        <is>
          <t>033152</t>
        </is>
      </c>
      <c r="H131" s="48" t="n">
        <v>41498</v>
      </c>
      <c r="I131" s="593" t="n">
        <v>219.25</v>
      </c>
      <c r="J131" s="74" t="inlineStr">
        <is>
          <t>បានបង់</t>
        </is>
      </c>
    </row>
    <row r="132" ht="18" customHeight="1" s="331">
      <c r="A132" s="33" t="n">
        <v>3</v>
      </c>
      <c r="B132" s="39" t="inlineStr">
        <is>
          <t>033217</t>
        </is>
      </c>
      <c r="C132" s="48" t="n">
        <v>41505</v>
      </c>
      <c r="D132" s="593" t="n">
        <v>43.04</v>
      </c>
      <c r="E132" s="11" t="inlineStr">
        <is>
          <t>A P L Logistics</t>
        </is>
      </c>
      <c r="F132" s="16" t="inlineStr">
        <is>
          <t>100046460</t>
        </is>
      </c>
      <c r="G132" s="39" t="inlineStr">
        <is>
          <t>033217</t>
        </is>
      </c>
      <c r="H132" s="48" t="n">
        <v>41505</v>
      </c>
      <c r="I132" s="593" t="n">
        <v>43.04</v>
      </c>
      <c r="J132" s="74" t="inlineStr">
        <is>
          <t>បានបង់</t>
        </is>
      </c>
    </row>
    <row r="133" ht="18" customHeight="1" s="331">
      <c r="A133" s="33" t="n">
        <v>4</v>
      </c>
      <c r="B133" s="39" t="inlineStr">
        <is>
          <t>033255</t>
        </is>
      </c>
      <c r="C133" s="48" t="n">
        <v>41505</v>
      </c>
      <c r="D133" s="593" t="n">
        <v>129.59</v>
      </c>
      <c r="E133" s="11" t="inlineStr">
        <is>
          <t>A P L Logistics</t>
        </is>
      </c>
      <c r="F133" s="10" t="inlineStr">
        <is>
          <t>100046460</t>
        </is>
      </c>
      <c r="G133" s="39" t="inlineStr">
        <is>
          <t>033255</t>
        </is>
      </c>
      <c r="H133" s="48" t="n">
        <v>41505</v>
      </c>
      <c r="I133" s="593" t="n">
        <v>129.59</v>
      </c>
      <c r="J133" s="74" t="inlineStr">
        <is>
          <t>បានបង់</t>
        </is>
      </c>
    </row>
    <row r="134" ht="18" customHeight="1" s="331">
      <c r="A134" s="33" t="n">
        <v>5</v>
      </c>
      <c r="B134" s="39" t="inlineStr">
        <is>
          <t>033347</t>
        </is>
      </c>
      <c r="C134" s="48" t="n">
        <v>41512</v>
      </c>
      <c r="D134" s="593" t="n">
        <v>67.12</v>
      </c>
      <c r="E134" s="11" t="inlineStr">
        <is>
          <t>A P L Logistics</t>
        </is>
      </c>
      <c r="F134" s="16" t="inlineStr">
        <is>
          <t>100046460</t>
        </is>
      </c>
      <c r="G134" s="39" t="inlineStr">
        <is>
          <t>033347</t>
        </is>
      </c>
      <c r="H134" s="48" t="n">
        <v>41512</v>
      </c>
      <c r="I134" s="593" t="n">
        <v>67.12</v>
      </c>
      <c r="J134" s="74" t="inlineStr">
        <is>
          <t>បានបង់</t>
        </is>
      </c>
    </row>
    <row r="135" ht="18" customHeight="1" s="331">
      <c r="A135" s="437" t="inlineStr">
        <is>
          <t>Total 08/2013</t>
        </is>
      </c>
      <c r="B135" s="531" t="n"/>
      <c r="C135" s="519" t="n"/>
      <c r="D135" s="594">
        <f>SUM(D130:D134)</f>
        <v/>
      </c>
      <c r="E135" s="53" t="n"/>
      <c r="F135" s="54" t="n"/>
      <c r="G135" s="62" t="n"/>
      <c r="H135" s="590" t="inlineStr">
        <is>
          <t>USD</t>
        </is>
      </c>
      <c r="I135" s="594">
        <f>SUM(I130:I134)</f>
        <v/>
      </c>
      <c r="J135" s="7" t="n"/>
    </row>
    <row r="136" ht="21.9" customHeight="1" s="331">
      <c r="A136" s="437" t="inlineStr">
        <is>
          <t>Total 08/2013</t>
        </is>
      </c>
      <c r="B136" s="531" t="n"/>
      <c r="C136" s="519" t="n"/>
      <c r="D136" s="594" t="n"/>
      <c r="E136" s="53" t="n"/>
      <c r="F136" s="54" t="n"/>
      <c r="G136" s="591" t="n">
        <v>4062</v>
      </c>
      <c r="H136" s="590" t="inlineStr">
        <is>
          <t>RIEL</t>
        </is>
      </c>
      <c r="I136" s="592">
        <f>I135*G136</f>
        <v/>
      </c>
      <c r="J136" s="7" t="n"/>
    </row>
    <row r="137" ht="18" customHeight="1" s="331">
      <c r="A137" s="33" t="n">
        <v>1</v>
      </c>
      <c r="B137" s="39" t="inlineStr">
        <is>
          <t>033394</t>
        </is>
      </c>
      <c r="C137" s="48" t="n">
        <v>41519</v>
      </c>
      <c r="D137" s="593" t="n">
        <v>145.02</v>
      </c>
      <c r="E137" s="11" t="inlineStr">
        <is>
          <t>A P L Logistics</t>
        </is>
      </c>
      <c r="F137" s="10" t="inlineStr">
        <is>
          <t>100046460</t>
        </is>
      </c>
      <c r="G137" s="39" t="inlineStr">
        <is>
          <t>033394</t>
        </is>
      </c>
      <c r="H137" s="48" t="n">
        <v>41519</v>
      </c>
      <c r="I137" s="593" t="n">
        <v>145.02</v>
      </c>
      <c r="J137" s="74" t="inlineStr">
        <is>
          <t>បានបង់</t>
        </is>
      </c>
    </row>
    <row r="138" ht="18" customHeight="1" s="331">
      <c r="A138" s="33" t="n">
        <v>2</v>
      </c>
      <c r="B138" s="39" t="inlineStr">
        <is>
          <t>033429</t>
        </is>
      </c>
      <c r="C138" s="48" t="n">
        <v>41519</v>
      </c>
      <c r="D138" s="593" t="n">
        <v>3.6</v>
      </c>
      <c r="E138" s="11" t="inlineStr">
        <is>
          <t>A P L Logistics</t>
        </is>
      </c>
      <c r="F138" s="16" t="inlineStr">
        <is>
          <t>100046460</t>
        </is>
      </c>
      <c r="G138" s="39" t="inlineStr">
        <is>
          <t>033429</t>
        </is>
      </c>
      <c r="H138" s="48" t="n">
        <v>41519</v>
      </c>
      <c r="I138" s="593" t="n">
        <v>3.6</v>
      </c>
      <c r="J138" s="74" t="inlineStr">
        <is>
          <t>បានបង់</t>
        </is>
      </c>
    </row>
    <row r="139" ht="18" customHeight="1" s="331">
      <c r="A139" s="33" t="n">
        <v>3</v>
      </c>
      <c r="B139" s="39" t="inlineStr">
        <is>
          <t>033436</t>
        </is>
      </c>
      <c r="C139" s="48" t="n">
        <v>41519</v>
      </c>
      <c r="D139" s="593" t="n">
        <v>352.48</v>
      </c>
      <c r="E139" s="11" t="inlineStr">
        <is>
          <t>A P L Logistics</t>
        </is>
      </c>
      <c r="F139" s="10" t="inlineStr">
        <is>
          <t>100046460</t>
        </is>
      </c>
      <c r="G139" s="39" t="inlineStr">
        <is>
          <t>033436</t>
        </is>
      </c>
      <c r="H139" s="48" t="n">
        <v>41519</v>
      </c>
      <c r="I139" s="593" t="n">
        <v>352.48</v>
      </c>
      <c r="J139" s="74" t="inlineStr">
        <is>
          <t>បានបង់</t>
        </is>
      </c>
    </row>
    <row r="140" ht="18" customHeight="1" s="331">
      <c r="A140" s="33" t="n">
        <v>4</v>
      </c>
      <c r="B140" s="39" t="inlineStr">
        <is>
          <t>033513</t>
        </is>
      </c>
      <c r="C140" s="49" t="n">
        <v>41526</v>
      </c>
      <c r="D140" s="593" t="n">
        <v>37.97</v>
      </c>
      <c r="E140" s="11" t="inlineStr">
        <is>
          <t>A P L Logistics</t>
        </is>
      </c>
      <c r="F140" s="16" t="inlineStr">
        <is>
          <t>100046460</t>
        </is>
      </c>
      <c r="G140" s="39" t="inlineStr">
        <is>
          <t>033513</t>
        </is>
      </c>
      <c r="H140" s="49" t="n">
        <v>41526</v>
      </c>
      <c r="I140" s="593" t="n">
        <v>37.97</v>
      </c>
      <c r="J140" s="74" t="inlineStr">
        <is>
          <t>បានបង់</t>
        </is>
      </c>
    </row>
    <row r="141" ht="18" customHeight="1" s="331">
      <c r="A141" s="33" t="n">
        <v>5</v>
      </c>
      <c r="B141" s="39" t="inlineStr">
        <is>
          <t>033565</t>
        </is>
      </c>
      <c r="C141" s="48" t="n">
        <v>41526</v>
      </c>
      <c r="D141" s="593" t="n">
        <v>319.7</v>
      </c>
      <c r="E141" s="11" t="inlineStr">
        <is>
          <t>A P L Logistics</t>
        </is>
      </c>
      <c r="F141" s="10" t="inlineStr">
        <is>
          <t>100046460</t>
        </is>
      </c>
      <c r="G141" s="39" t="inlineStr">
        <is>
          <t>033565</t>
        </is>
      </c>
      <c r="H141" s="48" t="n">
        <v>41526</v>
      </c>
      <c r="I141" s="593" t="n">
        <v>319.7</v>
      </c>
      <c r="J141" s="74" t="inlineStr">
        <is>
          <t>បានបង់</t>
        </is>
      </c>
    </row>
    <row r="142" ht="18" customHeight="1" s="331">
      <c r="A142" s="33" t="n">
        <v>6</v>
      </c>
      <c r="B142" s="39" t="inlineStr">
        <is>
          <t>033648</t>
        </is>
      </c>
      <c r="C142" s="48" t="n">
        <v>41533</v>
      </c>
      <c r="D142" s="593" t="n">
        <v>35.73</v>
      </c>
      <c r="E142" s="11" t="inlineStr">
        <is>
          <t>A P L Logistics</t>
        </is>
      </c>
      <c r="F142" s="16" t="inlineStr">
        <is>
          <t>100046460</t>
        </is>
      </c>
      <c r="G142" s="39" t="inlineStr">
        <is>
          <t>033648</t>
        </is>
      </c>
      <c r="H142" s="48" t="n">
        <v>41533</v>
      </c>
      <c r="I142" s="593" t="n">
        <v>35.73</v>
      </c>
      <c r="J142" s="74" t="inlineStr">
        <is>
          <t>បានបង់</t>
        </is>
      </c>
    </row>
    <row r="143" ht="18" customHeight="1" s="331">
      <c r="A143" s="33" t="n">
        <v>7</v>
      </c>
      <c r="B143" s="39" t="inlineStr">
        <is>
          <t>033633</t>
        </is>
      </c>
      <c r="C143" s="48" t="n">
        <v>41533</v>
      </c>
      <c r="D143" s="593" t="n">
        <v>104.03</v>
      </c>
      <c r="E143" s="11" t="inlineStr">
        <is>
          <t>A P L Logistics</t>
        </is>
      </c>
      <c r="F143" s="10" t="inlineStr">
        <is>
          <t>100046460</t>
        </is>
      </c>
      <c r="G143" s="39" t="inlineStr">
        <is>
          <t>033633</t>
        </is>
      </c>
      <c r="H143" s="48" t="n">
        <v>41533</v>
      </c>
      <c r="I143" s="593" t="n">
        <v>104.03</v>
      </c>
      <c r="J143" s="74" t="inlineStr">
        <is>
          <t>បានបង់</t>
        </is>
      </c>
    </row>
    <row r="144" ht="18" customHeight="1" s="331">
      <c r="A144" s="33" t="n">
        <v>8</v>
      </c>
      <c r="B144" s="39" t="inlineStr">
        <is>
          <t>033709</t>
        </is>
      </c>
      <c r="C144" s="48" t="n">
        <v>41540</v>
      </c>
      <c r="D144" s="593" t="n">
        <v>61.27</v>
      </c>
      <c r="E144" s="11" t="inlineStr">
        <is>
          <t>A P L Logistics</t>
        </is>
      </c>
      <c r="F144" s="16" t="inlineStr">
        <is>
          <t>100046460</t>
        </is>
      </c>
      <c r="G144" s="39" t="inlineStr">
        <is>
          <t>033709</t>
        </is>
      </c>
      <c r="H144" s="48" t="n">
        <v>41540</v>
      </c>
      <c r="I144" s="593" t="n">
        <v>61.27</v>
      </c>
      <c r="J144" s="74" t="inlineStr">
        <is>
          <t>បានបង់</t>
        </is>
      </c>
    </row>
    <row r="145" ht="18" customHeight="1" s="331">
      <c r="A145" s="33" t="n">
        <v>9</v>
      </c>
      <c r="B145" s="39" t="inlineStr">
        <is>
          <t>033755</t>
        </is>
      </c>
      <c r="C145" s="48" t="n">
        <v>41541</v>
      </c>
      <c r="D145" s="593" t="n">
        <v>61.8</v>
      </c>
      <c r="E145" s="11" t="inlineStr">
        <is>
          <t>A P L Logistics</t>
        </is>
      </c>
      <c r="F145" s="16" t="inlineStr">
        <is>
          <t>100046460</t>
        </is>
      </c>
      <c r="G145" s="39" t="inlineStr">
        <is>
          <t>033755</t>
        </is>
      </c>
      <c r="H145" s="48" t="n">
        <v>41541</v>
      </c>
      <c r="I145" s="593" t="n">
        <v>61.8</v>
      </c>
      <c r="J145" s="74" t="inlineStr">
        <is>
          <t>បានបង់</t>
        </is>
      </c>
    </row>
    <row r="146" ht="18" customHeight="1" s="331">
      <c r="A146" s="33" t="n">
        <v>10</v>
      </c>
      <c r="B146" s="39" t="inlineStr">
        <is>
          <t>033795</t>
        </is>
      </c>
      <c r="C146" s="48" t="n">
        <v>41547</v>
      </c>
      <c r="D146" s="593" t="n">
        <v>215.54</v>
      </c>
      <c r="E146" s="11" t="inlineStr">
        <is>
          <t>A P L Logistics</t>
        </is>
      </c>
      <c r="F146" s="10" t="inlineStr">
        <is>
          <t>100046460</t>
        </is>
      </c>
      <c r="G146" s="39" t="inlineStr">
        <is>
          <t>033795</t>
        </is>
      </c>
      <c r="H146" s="48" t="n">
        <v>41547</v>
      </c>
      <c r="I146" s="593" t="n">
        <v>215.54</v>
      </c>
      <c r="J146" s="74" t="inlineStr">
        <is>
          <t>បានបង់</t>
        </is>
      </c>
    </row>
    <row r="147" ht="18" customHeight="1" s="331">
      <c r="A147" s="437" t="inlineStr">
        <is>
          <t>Total 09/2013</t>
        </is>
      </c>
      <c r="B147" s="531" t="n"/>
      <c r="C147" s="519" t="n"/>
      <c r="D147" s="594">
        <f>SUM(D137:D146)</f>
        <v/>
      </c>
      <c r="E147" s="53" t="n"/>
      <c r="F147" s="54" t="n"/>
      <c r="G147" s="62" t="n"/>
      <c r="H147" s="590" t="inlineStr">
        <is>
          <t>USD</t>
        </is>
      </c>
      <c r="I147" s="594">
        <f>SUM(I137:I146)</f>
        <v/>
      </c>
      <c r="J147" s="7" t="n"/>
    </row>
    <row r="148" ht="21.9" customHeight="1" s="331">
      <c r="A148" s="437" t="inlineStr">
        <is>
          <t>Total 09/2013</t>
        </is>
      </c>
      <c r="B148" s="531" t="n"/>
      <c r="C148" s="519" t="n"/>
      <c r="D148" s="594" t="n"/>
      <c r="E148" s="53" t="n"/>
      <c r="F148" s="54" t="n"/>
      <c r="G148" s="591" t="n">
        <v>4062</v>
      </c>
      <c r="H148" s="590" t="inlineStr">
        <is>
          <t>RIEL</t>
        </is>
      </c>
      <c r="I148" s="592">
        <f>I147*G148</f>
        <v/>
      </c>
      <c r="J148" s="7" t="n"/>
    </row>
    <row r="149" ht="18" customHeight="1" s="331">
      <c r="A149" s="33" t="n">
        <v>1</v>
      </c>
      <c r="B149" s="39" t="inlineStr">
        <is>
          <t>033906</t>
        </is>
      </c>
      <c r="C149" s="48" t="n">
        <v>41554</v>
      </c>
      <c r="D149" s="593" t="n">
        <v>214.95</v>
      </c>
      <c r="E149" s="11" t="inlineStr">
        <is>
          <t>A P L Logistics</t>
        </is>
      </c>
      <c r="F149" s="10" t="inlineStr">
        <is>
          <t>100046460</t>
        </is>
      </c>
      <c r="G149" s="39" t="inlineStr">
        <is>
          <t>033906</t>
        </is>
      </c>
      <c r="H149" s="48" t="n">
        <v>41554</v>
      </c>
      <c r="I149" s="593" t="n">
        <v>214.95</v>
      </c>
      <c r="J149" s="74" t="inlineStr">
        <is>
          <t>បានបង់</t>
        </is>
      </c>
    </row>
    <row r="150" ht="18" customHeight="1" s="331">
      <c r="A150" s="33" t="n">
        <v>2</v>
      </c>
      <c r="B150" s="39" t="inlineStr">
        <is>
          <t>034006</t>
        </is>
      </c>
      <c r="C150" s="48" t="n">
        <v>41561</v>
      </c>
      <c r="D150" s="593" t="n">
        <v>127.3</v>
      </c>
      <c r="E150" s="11" t="inlineStr">
        <is>
          <t>A P L Logistics</t>
        </is>
      </c>
      <c r="F150" s="10" t="inlineStr">
        <is>
          <t>100046460</t>
        </is>
      </c>
      <c r="G150" s="39" t="inlineStr">
        <is>
          <t>034006</t>
        </is>
      </c>
      <c r="H150" s="48" t="n">
        <v>41561</v>
      </c>
      <c r="I150" s="593" t="n">
        <v>127.3</v>
      </c>
      <c r="J150" s="74" t="inlineStr">
        <is>
          <t>បានបង់</t>
        </is>
      </c>
    </row>
    <row r="151" ht="18" customHeight="1" s="331">
      <c r="A151" s="33" t="n">
        <v>3</v>
      </c>
      <c r="B151" s="39" t="inlineStr">
        <is>
          <t>034039</t>
        </is>
      </c>
      <c r="C151" s="49" t="n">
        <v>41561</v>
      </c>
      <c r="D151" s="593" t="n">
        <v>51.4</v>
      </c>
      <c r="E151" s="11" t="inlineStr">
        <is>
          <t>A P L Logistics</t>
        </is>
      </c>
      <c r="F151" s="16" t="inlineStr">
        <is>
          <t>100046460</t>
        </is>
      </c>
      <c r="G151" s="39" t="inlineStr">
        <is>
          <t>034039</t>
        </is>
      </c>
      <c r="H151" s="49" t="n">
        <v>41561</v>
      </c>
      <c r="I151" s="593" t="n">
        <v>51.4</v>
      </c>
      <c r="J151" s="74" t="inlineStr">
        <is>
          <t>បានបង់</t>
        </is>
      </c>
    </row>
    <row r="152" ht="18" customHeight="1" s="331">
      <c r="A152" s="33" t="n">
        <v>4</v>
      </c>
      <c r="B152" s="39" t="inlineStr">
        <is>
          <t>034079</t>
        </is>
      </c>
      <c r="C152" s="48" t="n">
        <v>41568</v>
      </c>
      <c r="D152" s="593" t="n">
        <v>30</v>
      </c>
      <c r="E152" s="11" t="inlineStr">
        <is>
          <t>A P L Logistics</t>
        </is>
      </c>
      <c r="F152" s="16" t="inlineStr">
        <is>
          <t>100046460</t>
        </is>
      </c>
      <c r="G152" s="39" t="inlineStr">
        <is>
          <t>034079</t>
        </is>
      </c>
      <c r="H152" s="48" t="n">
        <v>41568</v>
      </c>
      <c r="I152" s="593" t="n">
        <v>30</v>
      </c>
      <c r="J152" s="74" t="inlineStr">
        <is>
          <t>បានបង់</t>
        </is>
      </c>
    </row>
    <row r="153" ht="18" customHeight="1" s="331">
      <c r="A153" s="33" t="n">
        <v>5</v>
      </c>
      <c r="B153" s="39" t="inlineStr">
        <is>
          <t>034089</t>
        </is>
      </c>
      <c r="C153" s="48" t="n">
        <v>41568</v>
      </c>
      <c r="D153" s="593" t="n">
        <v>121.12</v>
      </c>
      <c r="E153" s="11" t="inlineStr">
        <is>
          <t>A P L Logistics</t>
        </is>
      </c>
      <c r="F153" s="10" t="inlineStr">
        <is>
          <t>100046460</t>
        </is>
      </c>
      <c r="G153" s="39" t="inlineStr">
        <is>
          <t>034089</t>
        </is>
      </c>
      <c r="H153" s="48" t="n">
        <v>41568</v>
      </c>
      <c r="I153" s="593" t="n">
        <v>121.12</v>
      </c>
      <c r="J153" s="74" t="inlineStr">
        <is>
          <t>បានបង់</t>
        </is>
      </c>
    </row>
    <row r="154" ht="18" customHeight="1" s="331">
      <c r="A154" s="33" t="n">
        <v>6</v>
      </c>
      <c r="B154" s="39" t="inlineStr">
        <is>
          <t>034154</t>
        </is>
      </c>
      <c r="C154" s="48" t="n">
        <v>41575</v>
      </c>
      <c r="D154" s="593" t="n">
        <v>239.21</v>
      </c>
      <c r="E154" s="11" t="inlineStr">
        <is>
          <t>A P L Logistics</t>
        </is>
      </c>
      <c r="F154" s="10" t="inlineStr">
        <is>
          <t>100046460</t>
        </is>
      </c>
      <c r="G154" s="39" t="inlineStr">
        <is>
          <t>034154</t>
        </is>
      </c>
      <c r="H154" s="48" t="n">
        <v>41575</v>
      </c>
      <c r="I154" s="593" t="n">
        <v>239.21</v>
      </c>
      <c r="J154" s="74" t="inlineStr">
        <is>
          <t>បានបង់</t>
        </is>
      </c>
    </row>
    <row r="155" ht="18" customHeight="1" s="331">
      <c r="A155" s="33" t="n">
        <v>7</v>
      </c>
      <c r="B155" s="39" t="inlineStr">
        <is>
          <t>034191</t>
        </is>
      </c>
      <c r="C155" s="48" t="n">
        <v>41575</v>
      </c>
      <c r="D155" s="593" t="n">
        <v>84.98</v>
      </c>
      <c r="E155" s="11" t="inlineStr">
        <is>
          <t>A P L Logistics</t>
        </is>
      </c>
      <c r="F155" s="10" t="inlineStr">
        <is>
          <t>100046460</t>
        </is>
      </c>
      <c r="G155" s="39" t="inlineStr">
        <is>
          <t>034191</t>
        </is>
      </c>
      <c r="H155" s="48" t="n">
        <v>41575</v>
      </c>
      <c r="I155" s="593" t="n">
        <v>84.98</v>
      </c>
      <c r="J155" s="74" t="inlineStr">
        <is>
          <t>បានបង់</t>
        </is>
      </c>
    </row>
    <row r="156" ht="18" customHeight="1" s="331">
      <c r="A156" s="437" t="inlineStr">
        <is>
          <t>Total 10/2013</t>
        </is>
      </c>
      <c r="B156" s="531" t="n"/>
      <c r="C156" s="519" t="n"/>
      <c r="D156" s="594">
        <f>SUM(D149:D155)</f>
        <v/>
      </c>
      <c r="E156" s="53" t="n"/>
      <c r="F156" s="54" t="n"/>
      <c r="G156" s="62" t="n"/>
      <c r="H156" s="590" t="inlineStr">
        <is>
          <t>USD</t>
        </is>
      </c>
      <c r="I156" s="594">
        <f>SUM(I149:I155)</f>
        <v/>
      </c>
      <c r="J156" s="7" t="n"/>
    </row>
    <row r="157" ht="21.9" customHeight="1" s="331">
      <c r="A157" s="437" t="inlineStr">
        <is>
          <t>Total 10/2013</t>
        </is>
      </c>
      <c r="B157" s="531" t="n"/>
      <c r="C157" s="519" t="n"/>
      <c r="D157" s="594" t="n"/>
      <c r="E157" s="53" t="n"/>
      <c r="F157" s="54" t="n"/>
      <c r="G157" s="595" t="n">
        <v>4058</v>
      </c>
      <c r="H157" s="590" t="inlineStr">
        <is>
          <t>RIEL</t>
        </is>
      </c>
      <c r="I157" s="592">
        <f>I156*G157</f>
        <v/>
      </c>
      <c r="J157" s="7" t="n"/>
    </row>
    <row r="158" ht="18" customHeight="1" s="331">
      <c r="A158" s="33" t="n">
        <v>1</v>
      </c>
      <c r="B158" s="39" t="inlineStr">
        <is>
          <t>034245</t>
        </is>
      </c>
      <c r="C158" s="48" t="n">
        <v>41582</v>
      </c>
      <c r="D158" s="593" t="n">
        <v>214.67</v>
      </c>
      <c r="E158" s="11" t="inlineStr">
        <is>
          <t>A P L Logistics</t>
        </is>
      </c>
      <c r="F158" s="10" t="inlineStr">
        <is>
          <t>100046460</t>
        </is>
      </c>
      <c r="G158" s="39" t="inlineStr">
        <is>
          <t>034245</t>
        </is>
      </c>
      <c r="H158" s="48" t="n">
        <v>41582</v>
      </c>
      <c r="I158" s="593" t="n">
        <v>214.67</v>
      </c>
      <c r="J158" s="74" t="inlineStr">
        <is>
          <t>បានបង់</t>
        </is>
      </c>
    </row>
    <row r="159" ht="18" customHeight="1" s="331">
      <c r="A159" s="33" t="n">
        <v>2</v>
      </c>
      <c r="B159" s="47" t="inlineStr">
        <is>
          <t>034384</t>
        </is>
      </c>
      <c r="C159" s="63" t="n">
        <v>41589</v>
      </c>
      <c r="D159" s="593" t="n">
        <v>52.7</v>
      </c>
      <c r="E159" s="11" t="inlineStr">
        <is>
          <t>A P L Logistics</t>
        </is>
      </c>
      <c r="F159" s="16" t="inlineStr">
        <is>
          <t>100046460</t>
        </is>
      </c>
      <c r="G159" s="47" t="inlineStr">
        <is>
          <t>034384</t>
        </is>
      </c>
      <c r="H159" s="63" t="n">
        <v>41589</v>
      </c>
      <c r="I159" s="593" t="n">
        <v>52.7</v>
      </c>
      <c r="J159" s="74" t="inlineStr">
        <is>
          <t>បានបង់</t>
        </is>
      </c>
    </row>
    <row r="160" ht="18" customHeight="1" s="331">
      <c r="A160" s="33" t="n">
        <v>3</v>
      </c>
      <c r="B160" s="39" t="inlineStr">
        <is>
          <t>034522</t>
        </is>
      </c>
      <c r="C160" s="48" t="n">
        <v>41603</v>
      </c>
      <c r="D160" s="593" t="n">
        <v>41.07</v>
      </c>
      <c r="E160" s="11" t="inlineStr">
        <is>
          <t>A P L Logistics</t>
        </is>
      </c>
      <c r="F160" s="16" t="inlineStr">
        <is>
          <t>100046460</t>
        </is>
      </c>
      <c r="G160" s="39" t="inlineStr">
        <is>
          <t>034522</t>
        </is>
      </c>
      <c r="H160" s="48" t="n">
        <v>41603</v>
      </c>
      <c r="I160" s="593" t="n">
        <v>41.07</v>
      </c>
      <c r="J160" s="74" t="inlineStr">
        <is>
          <t>បានបង់</t>
        </is>
      </c>
    </row>
    <row r="161" ht="18" customHeight="1" s="331">
      <c r="A161" s="437" t="inlineStr">
        <is>
          <t>Total 11/2013</t>
        </is>
      </c>
      <c r="B161" s="531" t="n"/>
      <c r="C161" s="519" t="n"/>
      <c r="D161" s="594">
        <f>SUM(D158:D160)</f>
        <v/>
      </c>
      <c r="E161" s="53" t="n"/>
      <c r="F161" s="62" t="n"/>
      <c r="G161" s="62" t="n"/>
      <c r="H161" s="590" t="inlineStr">
        <is>
          <t>USD</t>
        </is>
      </c>
      <c r="I161" s="594">
        <f>SUM(I158:I160)</f>
        <v/>
      </c>
      <c r="J161" s="7" t="n"/>
    </row>
    <row r="162" ht="21.9" customHeight="1" s="331">
      <c r="A162" s="437" t="inlineStr">
        <is>
          <t>Total 11/2013</t>
        </is>
      </c>
      <c r="B162" s="531" t="n"/>
      <c r="C162" s="519" t="n"/>
      <c r="D162" s="594" t="n"/>
      <c r="E162" s="53" t="n"/>
      <c r="F162" s="62" t="n"/>
      <c r="G162" s="591" t="n">
        <v>4006</v>
      </c>
      <c r="H162" s="590" t="inlineStr">
        <is>
          <t>RIEL</t>
        </is>
      </c>
      <c r="I162" s="592">
        <f>I161*G162</f>
        <v/>
      </c>
      <c r="J162" s="7" t="n"/>
    </row>
    <row r="163" ht="18" customHeight="1" s="331">
      <c r="A163" s="60" t="n">
        <v>1</v>
      </c>
      <c r="B163" s="39" t="inlineStr">
        <is>
          <t>034594</t>
        </is>
      </c>
      <c r="C163" s="48" t="n">
        <v>41610</v>
      </c>
      <c r="D163" s="593" t="n">
        <v>32.29</v>
      </c>
      <c r="E163" s="11" t="inlineStr">
        <is>
          <t>A P L Logistics</t>
        </is>
      </c>
      <c r="F163" s="16" t="inlineStr">
        <is>
          <t>100046460</t>
        </is>
      </c>
      <c r="G163" s="39" t="inlineStr">
        <is>
          <t>034594</t>
        </is>
      </c>
      <c r="H163" s="48" t="n">
        <v>41610</v>
      </c>
      <c r="I163" s="593" t="n">
        <v>32.29</v>
      </c>
      <c r="J163" s="74" t="inlineStr">
        <is>
          <t>បានបង់</t>
        </is>
      </c>
    </row>
    <row r="164" ht="18" customHeight="1" s="331">
      <c r="A164" s="33" t="n">
        <v>2</v>
      </c>
      <c r="B164" s="39" t="inlineStr">
        <is>
          <t>034673</t>
        </is>
      </c>
      <c r="C164" s="48" t="n">
        <v>41617</v>
      </c>
      <c r="D164" s="593" t="n">
        <v>330.27</v>
      </c>
      <c r="E164" s="11" t="inlineStr">
        <is>
          <t>A P L Logistics</t>
        </is>
      </c>
      <c r="F164" s="10" t="inlineStr">
        <is>
          <t>100046460</t>
        </is>
      </c>
      <c r="G164" s="39" t="inlineStr">
        <is>
          <t>034673</t>
        </is>
      </c>
      <c r="H164" s="48" t="n">
        <v>41617</v>
      </c>
      <c r="I164" s="593" t="n">
        <v>330.27</v>
      </c>
      <c r="J164" s="74" t="inlineStr">
        <is>
          <t>បានបង់</t>
        </is>
      </c>
    </row>
    <row r="165" ht="18" customHeight="1" s="331">
      <c r="A165" s="60" t="n">
        <v>3</v>
      </c>
      <c r="B165" s="39" t="inlineStr">
        <is>
          <t>034694</t>
        </is>
      </c>
      <c r="C165" s="48" t="n">
        <v>41617</v>
      </c>
      <c r="D165" s="593" t="n">
        <v>122.13</v>
      </c>
      <c r="E165" s="11" t="inlineStr">
        <is>
          <t>A P L Logistics</t>
        </is>
      </c>
      <c r="F165" s="10" t="inlineStr">
        <is>
          <t>100046460</t>
        </is>
      </c>
      <c r="G165" s="39" t="inlineStr">
        <is>
          <t>034694</t>
        </is>
      </c>
      <c r="H165" s="48" t="n">
        <v>41617</v>
      </c>
      <c r="I165" s="593" t="n">
        <v>122.13</v>
      </c>
      <c r="J165" s="74" t="inlineStr">
        <is>
          <t>បានបង់</t>
        </is>
      </c>
    </row>
    <row r="166" ht="18" customHeight="1" s="331">
      <c r="A166" s="33" t="n">
        <v>4</v>
      </c>
      <c r="B166" s="39" t="inlineStr">
        <is>
          <t>034759</t>
        </is>
      </c>
      <c r="C166" s="48" t="n">
        <v>41624</v>
      </c>
      <c r="D166" s="593" t="n">
        <v>180.09</v>
      </c>
      <c r="E166" s="11" t="inlineStr">
        <is>
          <t>A P L Logistics</t>
        </is>
      </c>
      <c r="F166" s="10" t="inlineStr">
        <is>
          <t>100046460</t>
        </is>
      </c>
      <c r="G166" s="39" t="inlineStr">
        <is>
          <t>034759</t>
        </is>
      </c>
      <c r="H166" s="48" t="n">
        <v>41624</v>
      </c>
      <c r="I166" s="593" t="n">
        <v>180.09</v>
      </c>
      <c r="J166" s="74" t="inlineStr">
        <is>
          <t>បានបង់</t>
        </is>
      </c>
    </row>
    <row r="167" ht="18" customHeight="1" s="331">
      <c r="A167" s="60" t="n">
        <v>5</v>
      </c>
      <c r="B167" s="39" t="inlineStr">
        <is>
          <t>034869</t>
        </is>
      </c>
      <c r="C167" s="48" t="n">
        <v>41631</v>
      </c>
      <c r="D167" s="593" t="n">
        <v>60.45</v>
      </c>
      <c r="E167" s="11" t="inlineStr">
        <is>
          <t>A P L Logistics</t>
        </is>
      </c>
      <c r="F167" s="16" t="inlineStr">
        <is>
          <t>100046460</t>
        </is>
      </c>
      <c r="G167" s="39" t="inlineStr">
        <is>
          <t>034869</t>
        </is>
      </c>
      <c r="H167" s="48" t="n">
        <v>41631</v>
      </c>
      <c r="I167" s="593" t="n">
        <v>60.45</v>
      </c>
      <c r="J167" s="74" t="inlineStr">
        <is>
          <t>បានបង់</t>
        </is>
      </c>
    </row>
    <row r="168" ht="18" customHeight="1" s="331">
      <c r="A168" s="33" t="n">
        <v>6</v>
      </c>
      <c r="B168" s="39" t="inlineStr">
        <is>
          <t>034977</t>
        </is>
      </c>
      <c r="C168" s="48" t="n">
        <v>41639</v>
      </c>
      <c r="D168" s="593" t="n">
        <v>120.68</v>
      </c>
      <c r="E168" s="11" t="inlineStr">
        <is>
          <t>A P L Logistics</t>
        </is>
      </c>
      <c r="F168" s="10" t="inlineStr">
        <is>
          <t>100046460</t>
        </is>
      </c>
      <c r="G168" s="39" t="inlineStr">
        <is>
          <t>034977</t>
        </is>
      </c>
      <c r="H168" s="48" t="n">
        <v>41639</v>
      </c>
      <c r="I168" s="593" t="n">
        <v>120.68</v>
      </c>
      <c r="J168" s="74" t="inlineStr">
        <is>
          <t>បានបង់</t>
        </is>
      </c>
    </row>
    <row r="169" ht="18" customHeight="1" s="331">
      <c r="A169" s="437" t="inlineStr">
        <is>
          <t>Total 12/2013</t>
        </is>
      </c>
      <c r="B169" s="531" t="n"/>
      <c r="C169" s="519" t="n"/>
      <c r="D169" s="594">
        <f>SUM(D163:D168)</f>
        <v/>
      </c>
      <c r="E169" s="53" t="n"/>
      <c r="F169" s="54" t="n"/>
      <c r="G169" s="62" t="n"/>
      <c r="H169" s="590" t="inlineStr">
        <is>
          <t>USD</t>
        </is>
      </c>
      <c r="I169" s="594">
        <f>SUM(I163:I168)</f>
        <v/>
      </c>
      <c r="J169" s="7" t="n"/>
    </row>
    <row r="170" ht="21.9" customHeight="1" s="331">
      <c r="A170" s="437" t="inlineStr">
        <is>
          <t>Total 12/2013</t>
        </is>
      </c>
      <c r="B170" s="531" t="n"/>
      <c r="C170" s="519" t="n"/>
      <c r="D170" s="594" t="n"/>
      <c r="E170" s="53" t="n"/>
      <c r="F170" s="54" t="n"/>
      <c r="G170" s="591" t="n">
        <v>3995</v>
      </c>
      <c r="H170" s="590" t="inlineStr">
        <is>
          <t>RIEL</t>
        </is>
      </c>
      <c r="I170" s="592">
        <f>I169*G170</f>
        <v/>
      </c>
      <c r="J170" s="7" t="n"/>
    </row>
    <row r="171" ht="18" customHeight="1" s="331">
      <c r="A171" s="60" t="n">
        <v>1</v>
      </c>
      <c r="B171" s="20" t="inlineStr">
        <is>
          <t>035047</t>
        </is>
      </c>
      <c r="C171" s="596" t="n">
        <v>41645</v>
      </c>
      <c r="D171" s="588" t="n">
        <v>36.2</v>
      </c>
      <c r="E171" s="19" t="inlineStr">
        <is>
          <t>A P L Logistics</t>
        </is>
      </c>
      <c r="F171" s="20" t="inlineStr">
        <is>
          <t>100046460</t>
        </is>
      </c>
      <c r="G171" s="20" t="inlineStr">
        <is>
          <t>035047</t>
        </is>
      </c>
      <c r="H171" s="596" t="n">
        <v>41645</v>
      </c>
      <c r="I171" s="588" t="n">
        <v>36.2</v>
      </c>
      <c r="J171" s="74" t="inlineStr">
        <is>
          <t>បានបង់</t>
        </is>
      </c>
    </row>
    <row r="172" ht="18" customHeight="1" s="331">
      <c r="A172" s="33" t="n">
        <v>2</v>
      </c>
      <c r="B172" s="20" t="inlineStr">
        <is>
          <t>035051</t>
        </is>
      </c>
      <c r="C172" s="596" t="n">
        <v>41645</v>
      </c>
      <c r="D172" s="588" t="n">
        <v>212.17</v>
      </c>
      <c r="E172" s="11" t="inlineStr">
        <is>
          <t>A P L Logistics</t>
        </is>
      </c>
      <c r="F172" s="10" t="inlineStr">
        <is>
          <t>100046460</t>
        </is>
      </c>
      <c r="G172" s="20" t="inlineStr">
        <is>
          <t>035051</t>
        </is>
      </c>
      <c r="H172" s="596" t="n">
        <v>41645</v>
      </c>
      <c r="I172" s="588" t="n">
        <v>212.17</v>
      </c>
      <c r="J172" s="74" t="inlineStr">
        <is>
          <t>បានបង់</t>
        </is>
      </c>
    </row>
    <row r="173" ht="18" customHeight="1" s="331">
      <c r="A173" s="60" t="n">
        <v>3</v>
      </c>
      <c r="B173" s="20" t="inlineStr">
        <is>
          <t>035072</t>
        </is>
      </c>
      <c r="C173" s="596" t="n">
        <v>41646</v>
      </c>
      <c r="D173" s="588" t="n">
        <v>4</v>
      </c>
      <c r="E173" s="19" t="inlineStr">
        <is>
          <t>A P L Logistics</t>
        </is>
      </c>
      <c r="F173" s="20" t="inlineStr">
        <is>
          <t>100046460</t>
        </is>
      </c>
      <c r="G173" s="20" t="inlineStr">
        <is>
          <t>035072</t>
        </is>
      </c>
      <c r="H173" s="596" t="n">
        <v>41646</v>
      </c>
      <c r="I173" s="588" t="n">
        <v>4</v>
      </c>
      <c r="J173" s="74" t="inlineStr">
        <is>
          <t>បានបង់</t>
        </is>
      </c>
    </row>
    <row r="174" ht="18" customHeight="1" s="331">
      <c r="A174" s="33" t="n">
        <v>4</v>
      </c>
      <c r="B174" s="20" t="inlineStr">
        <is>
          <t>035123</t>
        </is>
      </c>
      <c r="C174" s="596" t="n">
        <v>41652</v>
      </c>
      <c r="D174" s="588" t="n">
        <v>239.84</v>
      </c>
      <c r="E174" s="11" t="inlineStr">
        <is>
          <t>A P L Logistics</t>
        </is>
      </c>
      <c r="F174" s="10" t="inlineStr">
        <is>
          <t>100046460</t>
        </is>
      </c>
      <c r="G174" s="20" t="inlineStr">
        <is>
          <t>035123</t>
        </is>
      </c>
      <c r="H174" s="596" t="n">
        <v>41652</v>
      </c>
      <c r="I174" s="588" t="n">
        <v>239.84</v>
      </c>
      <c r="J174" s="74" t="inlineStr">
        <is>
          <t>បានបង់</t>
        </is>
      </c>
    </row>
    <row r="175" ht="18" customHeight="1" s="331">
      <c r="A175" s="60" t="n">
        <v>5</v>
      </c>
      <c r="B175" s="20" t="inlineStr">
        <is>
          <t>035142</t>
        </is>
      </c>
      <c r="C175" s="596" t="n">
        <v>41653</v>
      </c>
      <c r="D175" s="588" t="n">
        <v>65.94</v>
      </c>
      <c r="E175" s="19" t="inlineStr">
        <is>
          <t>A P L Logistics</t>
        </is>
      </c>
      <c r="F175" s="20" t="inlineStr">
        <is>
          <t>100046460</t>
        </is>
      </c>
      <c r="G175" s="20" t="inlineStr">
        <is>
          <t>035142</t>
        </is>
      </c>
      <c r="H175" s="596" t="n">
        <v>41653</v>
      </c>
      <c r="I175" s="588" t="n">
        <v>65.94</v>
      </c>
      <c r="J175" s="74" t="inlineStr">
        <is>
          <t>បានបង់</t>
        </is>
      </c>
    </row>
    <row r="176" ht="18" customHeight="1" s="331">
      <c r="A176" s="33" t="n">
        <v>6</v>
      </c>
      <c r="B176" s="20" t="inlineStr">
        <is>
          <t>035202</t>
        </is>
      </c>
      <c r="C176" s="596" t="n">
        <v>41659</v>
      </c>
      <c r="D176" s="588" t="n">
        <v>125.78</v>
      </c>
      <c r="E176" s="19" t="inlineStr">
        <is>
          <t>A P L Logistics</t>
        </is>
      </c>
      <c r="F176" s="20" t="inlineStr">
        <is>
          <t>100046460</t>
        </is>
      </c>
      <c r="G176" s="20" t="inlineStr">
        <is>
          <t>035202</t>
        </is>
      </c>
      <c r="H176" s="596" t="n">
        <v>41659</v>
      </c>
      <c r="I176" s="588" t="n">
        <v>125.78</v>
      </c>
      <c r="J176" s="74" t="inlineStr">
        <is>
          <t>បានបង់</t>
        </is>
      </c>
    </row>
    <row r="177" ht="18" customHeight="1" s="331">
      <c r="A177" s="60" t="n">
        <v>7</v>
      </c>
      <c r="B177" s="20" t="inlineStr">
        <is>
          <t>035288</t>
        </is>
      </c>
      <c r="C177" s="596" t="n">
        <v>41666</v>
      </c>
      <c r="D177" s="588" t="n">
        <v>73.14</v>
      </c>
      <c r="E177" s="19" t="inlineStr">
        <is>
          <t>A P L Logistics</t>
        </is>
      </c>
      <c r="F177" s="20" t="inlineStr">
        <is>
          <t>100046460</t>
        </is>
      </c>
      <c r="G177" s="20" t="inlineStr">
        <is>
          <t>035288</t>
        </is>
      </c>
      <c r="H177" s="596" t="n">
        <v>41666</v>
      </c>
      <c r="I177" s="588" t="n">
        <v>73.14</v>
      </c>
      <c r="J177" s="74" t="inlineStr">
        <is>
          <t>បានបង់</t>
        </is>
      </c>
    </row>
    <row r="178" ht="18" customHeight="1" s="331">
      <c r="A178" s="437" t="inlineStr">
        <is>
          <t>Total 01/2014</t>
        </is>
      </c>
      <c r="B178" s="531" t="n"/>
      <c r="C178" s="519" t="n"/>
      <c r="D178" s="589">
        <f>SUM(D171:D177)</f>
        <v/>
      </c>
      <c r="E178" s="53" t="n"/>
      <c r="F178" s="54" t="n"/>
      <c r="G178" s="64" t="n"/>
      <c r="H178" s="590" t="inlineStr">
        <is>
          <t>USD</t>
        </is>
      </c>
      <c r="I178" s="589">
        <f>SUM(I171:I177)</f>
        <v/>
      </c>
      <c r="J178" s="7" t="n"/>
    </row>
    <row r="179" ht="21.9" customHeight="1" s="331">
      <c r="A179" s="437" t="inlineStr">
        <is>
          <t>Total 01/2014</t>
        </is>
      </c>
      <c r="B179" s="531" t="n"/>
      <c r="C179" s="519" t="n"/>
      <c r="D179" s="589" t="n"/>
      <c r="E179" s="53" t="n"/>
      <c r="F179" s="54" t="n"/>
      <c r="G179" s="591" t="n">
        <v>3995</v>
      </c>
      <c r="H179" s="590" t="inlineStr">
        <is>
          <t>RIEL</t>
        </is>
      </c>
      <c r="I179" s="592">
        <f>I178*G179</f>
        <v/>
      </c>
      <c r="J179" s="7" t="n"/>
    </row>
    <row r="180" ht="18" customHeight="1" s="331">
      <c r="A180" s="33" t="n">
        <v>1</v>
      </c>
      <c r="B180" s="20" t="inlineStr">
        <is>
          <t>035414</t>
        </is>
      </c>
      <c r="C180" s="596" t="n">
        <v>41674</v>
      </c>
      <c r="D180" s="588" t="n">
        <v>174.58</v>
      </c>
      <c r="E180" s="11" t="inlineStr">
        <is>
          <t>A P L Logistics</t>
        </is>
      </c>
      <c r="F180" s="10" t="inlineStr">
        <is>
          <t>100046460</t>
        </is>
      </c>
      <c r="G180" s="20" t="inlineStr">
        <is>
          <t>035414</t>
        </is>
      </c>
      <c r="H180" s="596" t="n">
        <v>41674</v>
      </c>
      <c r="I180" s="588" t="n">
        <v>174.58</v>
      </c>
      <c r="J180" s="74" t="inlineStr">
        <is>
          <t>បានបង់</t>
        </is>
      </c>
    </row>
    <row r="181" ht="18" customHeight="1" s="331">
      <c r="A181" s="33" t="n">
        <v>2</v>
      </c>
      <c r="B181" s="20" t="inlineStr">
        <is>
          <t>035500</t>
        </is>
      </c>
      <c r="C181" s="596" t="n">
        <v>41680</v>
      </c>
      <c r="D181" s="588" t="n">
        <v>415.68</v>
      </c>
      <c r="E181" s="11" t="inlineStr">
        <is>
          <t>A P L Logistics</t>
        </is>
      </c>
      <c r="F181" s="10" t="inlineStr">
        <is>
          <t>100046460</t>
        </is>
      </c>
      <c r="G181" s="20" t="inlineStr">
        <is>
          <t>035500</t>
        </is>
      </c>
      <c r="H181" s="596" t="n">
        <v>41680</v>
      </c>
      <c r="I181" s="588" t="n">
        <v>415.68</v>
      </c>
      <c r="J181" s="74" t="inlineStr">
        <is>
          <t>បានបង់</t>
        </is>
      </c>
    </row>
    <row r="182" ht="18" customHeight="1" s="331">
      <c r="A182" s="33" t="n">
        <v>3</v>
      </c>
      <c r="B182" s="20" t="inlineStr">
        <is>
          <t>022361</t>
        </is>
      </c>
      <c r="C182" s="596" t="n">
        <v>41687</v>
      </c>
      <c r="D182" s="588" t="n">
        <v>40.6</v>
      </c>
      <c r="E182" s="19" t="inlineStr">
        <is>
          <t>A P L Logistics</t>
        </is>
      </c>
      <c r="F182" s="20" t="inlineStr">
        <is>
          <t>100046460</t>
        </is>
      </c>
      <c r="G182" s="20" t="inlineStr">
        <is>
          <t>022361</t>
        </is>
      </c>
      <c r="H182" s="596" t="n">
        <v>41687</v>
      </c>
      <c r="I182" s="588" t="n">
        <v>40.6</v>
      </c>
      <c r="J182" s="74" t="inlineStr">
        <is>
          <t>បានបង់</t>
        </is>
      </c>
    </row>
    <row r="183" ht="18" customHeight="1" s="331">
      <c r="A183" s="33" t="n">
        <v>4</v>
      </c>
      <c r="B183" s="20" t="inlineStr">
        <is>
          <t>035593</t>
        </is>
      </c>
      <c r="C183" s="596" t="n">
        <v>41687</v>
      </c>
      <c r="D183" s="588" t="n">
        <v>304.44</v>
      </c>
      <c r="E183" s="11" t="inlineStr">
        <is>
          <t>A P L Logistics</t>
        </is>
      </c>
      <c r="F183" s="10" t="inlineStr">
        <is>
          <t>100046460</t>
        </is>
      </c>
      <c r="G183" s="20" t="inlineStr">
        <is>
          <t>035593</t>
        </is>
      </c>
      <c r="H183" s="596" t="n">
        <v>41687</v>
      </c>
      <c r="I183" s="588" t="n">
        <v>304.44</v>
      </c>
      <c r="J183" s="74" t="inlineStr">
        <is>
          <t>បានបង់</t>
        </is>
      </c>
    </row>
    <row r="184" ht="18" customHeight="1" s="331">
      <c r="A184" s="33" t="n">
        <v>5</v>
      </c>
      <c r="B184" s="20" t="inlineStr">
        <is>
          <t>022391</t>
        </is>
      </c>
      <c r="C184" s="596" t="n">
        <v>41688</v>
      </c>
      <c r="D184" s="588" t="n">
        <v>104.76</v>
      </c>
      <c r="E184" s="11" t="inlineStr">
        <is>
          <t>A P L Logistics</t>
        </is>
      </c>
      <c r="F184" s="10" t="inlineStr">
        <is>
          <t>100046460</t>
        </is>
      </c>
      <c r="G184" s="20" t="inlineStr">
        <is>
          <t>022391</t>
        </is>
      </c>
      <c r="H184" s="596" t="n">
        <v>41688</v>
      </c>
      <c r="I184" s="588" t="n">
        <v>104.76</v>
      </c>
      <c r="J184" s="74" t="inlineStr">
        <is>
          <t>បានបង់</t>
        </is>
      </c>
    </row>
    <row r="185" ht="18" customHeight="1" s="331">
      <c r="A185" s="33" t="n">
        <v>6</v>
      </c>
      <c r="B185" s="20" t="inlineStr">
        <is>
          <t>035652</t>
        </is>
      </c>
      <c r="C185" s="596" t="n">
        <v>41689</v>
      </c>
      <c r="D185" s="588" t="n">
        <v>4</v>
      </c>
      <c r="E185" s="19" t="inlineStr">
        <is>
          <t>A P L Logistics</t>
        </is>
      </c>
      <c r="F185" s="20" t="inlineStr">
        <is>
          <t>100046460</t>
        </is>
      </c>
      <c r="G185" s="20" t="inlineStr">
        <is>
          <t>035652</t>
        </is>
      </c>
      <c r="H185" s="596" t="n">
        <v>41689</v>
      </c>
      <c r="I185" s="588" t="n">
        <v>4</v>
      </c>
      <c r="J185" s="74" t="inlineStr">
        <is>
          <t>បានបង់</t>
        </is>
      </c>
    </row>
    <row r="186" ht="18" customHeight="1" s="331">
      <c r="A186" s="33" t="n">
        <v>7</v>
      </c>
      <c r="B186" s="20" t="inlineStr">
        <is>
          <t>022434</t>
        </is>
      </c>
      <c r="C186" s="596" t="n">
        <v>41694</v>
      </c>
      <c r="D186" s="588" t="n">
        <v>85.78</v>
      </c>
      <c r="E186" s="11" t="inlineStr">
        <is>
          <t>A P L Logistics</t>
        </is>
      </c>
      <c r="F186" s="10" t="inlineStr">
        <is>
          <t>100046460</t>
        </is>
      </c>
      <c r="G186" s="20" t="inlineStr">
        <is>
          <t>022434</t>
        </is>
      </c>
      <c r="H186" s="596" t="n">
        <v>41694</v>
      </c>
      <c r="I186" s="588" t="n">
        <v>85.78</v>
      </c>
      <c r="J186" s="74" t="inlineStr">
        <is>
          <t>បានបង់</t>
        </is>
      </c>
    </row>
    <row r="187" ht="18" customHeight="1" s="331">
      <c r="A187" s="33" t="n">
        <v>8</v>
      </c>
      <c r="B187" s="20" t="inlineStr">
        <is>
          <t>035707</t>
        </is>
      </c>
      <c r="C187" s="596" t="n">
        <v>41694</v>
      </c>
      <c r="D187" s="588" t="n">
        <v>270.21</v>
      </c>
      <c r="E187" s="11" t="inlineStr">
        <is>
          <t>A P L Logistics</t>
        </is>
      </c>
      <c r="F187" s="10" t="inlineStr">
        <is>
          <t>100046460</t>
        </is>
      </c>
      <c r="G187" s="20" t="inlineStr">
        <is>
          <t>035707</t>
        </is>
      </c>
      <c r="H187" s="596" t="n">
        <v>41694</v>
      </c>
      <c r="I187" s="588" t="n">
        <v>270.21</v>
      </c>
      <c r="J187" s="74" t="inlineStr">
        <is>
          <t>បានបង់</t>
        </is>
      </c>
    </row>
    <row r="188" ht="18" customHeight="1" s="331">
      <c r="A188" s="437" t="inlineStr">
        <is>
          <t>Total 02/2014</t>
        </is>
      </c>
      <c r="B188" s="531" t="n"/>
      <c r="C188" s="519" t="n"/>
      <c r="D188" s="589">
        <f>SUM(D180:D187)</f>
        <v/>
      </c>
      <c r="E188" s="53" t="n"/>
      <c r="F188" s="54" t="n"/>
      <c r="G188" s="64" t="n"/>
      <c r="H188" s="590" t="inlineStr">
        <is>
          <t>USD</t>
        </is>
      </c>
      <c r="I188" s="589">
        <f>SUM(I180:I187)</f>
        <v/>
      </c>
      <c r="J188" s="7" t="n"/>
    </row>
    <row r="189" ht="21.9" customHeight="1" s="331">
      <c r="A189" s="437" t="inlineStr">
        <is>
          <t>Total 02/2014</t>
        </is>
      </c>
      <c r="B189" s="531" t="n"/>
      <c r="C189" s="519" t="n"/>
      <c r="D189" s="589" t="n"/>
      <c r="E189" s="53" t="n"/>
      <c r="F189" s="54" t="n"/>
      <c r="G189" s="591" t="n">
        <v>3984</v>
      </c>
      <c r="H189" s="590" t="inlineStr">
        <is>
          <t>RIEL</t>
        </is>
      </c>
      <c r="I189" s="592">
        <f>I188*G189</f>
        <v/>
      </c>
      <c r="J189" s="7" t="n"/>
    </row>
    <row r="190" ht="18" customHeight="1" s="331">
      <c r="A190" s="33" t="n">
        <v>1</v>
      </c>
      <c r="B190" s="20" t="inlineStr">
        <is>
          <t>035782</t>
        </is>
      </c>
      <c r="C190" s="596" t="n">
        <v>41701</v>
      </c>
      <c r="D190" s="588" t="n">
        <v>83.61</v>
      </c>
      <c r="E190" s="11" t="inlineStr">
        <is>
          <t>A P L Logistics</t>
        </is>
      </c>
      <c r="F190" s="10" t="inlineStr">
        <is>
          <t>100046460</t>
        </is>
      </c>
      <c r="G190" s="20" t="inlineStr">
        <is>
          <t>035782</t>
        </is>
      </c>
      <c r="H190" s="596" t="n">
        <v>41701</v>
      </c>
      <c r="I190" s="588" t="n">
        <v>83.61</v>
      </c>
      <c r="J190" s="74" t="inlineStr">
        <is>
          <t>បានបង់</t>
        </is>
      </c>
    </row>
    <row r="191" ht="18" customHeight="1" s="331">
      <c r="A191" s="33" t="n">
        <v>2</v>
      </c>
      <c r="B191" s="20" t="inlineStr">
        <is>
          <t>022600</t>
        </is>
      </c>
      <c r="C191" s="596" t="n">
        <v>41708</v>
      </c>
      <c r="D191" s="588" t="n">
        <v>103.64</v>
      </c>
      <c r="E191" s="11" t="inlineStr">
        <is>
          <t>A P L Logistics</t>
        </is>
      </c>
      <c r="F191" s="10" t="inlineStr">
        <is>
          <t>100046460</t>
        </is>
      </c>
      <c r="G191" s="20" t="inlineStr">
        <is>
          <t>022600</t>
        </is>
      </c>
      <c r="H191" s="596" t="n">
        <v>41708</v>
      </c>
      <c r="I191" s="588" t="n">
        <v>103.64</v>
      </c>
      <c r="J191" s="74" t="inlineStr">
        <is>
          <t>បានបង់</t>
        </is>
      </c>
    </row>
    <row r="192" ht="18" customHeight="1" s="331">
      <c r="A192" s="33" t="n">
        <v>3</v>
      </c>
      <c r="B192" s="20" t="inlineStr">
        <is>
          <t>035899</t>
        </is>
      </c>
      <c r="C192" s="596" t="n">
        <v>41709</v>
      </c>
      <c r="D192" s="588" t="n">
        <v>440.98</v>
      </c>
      <c r="E192" s="11" t="inlineStr">
        <is>
          <t>A P L Logistics</t>
        </is>
      </c>
      <c r="F192" s="10" t="inlineStr">
        <is>
          <t>100046460</t>
        </is>
      </c>
      <c r="G192" s="20" t="inlineStr">
        <is>
          <t>035899</t>
        </is>
      </c>
      <c r="H192" s="596" t="n">
        <v>41709</v>
      </c>
      <c r="I192" s="588" t="n">
        <v>440.98</v>
      </c>
      <c r="J192" s="74" t="inlineStr">
        <is>
          <t>បានបង់</t>
        </is>
      </c>
    </row>
    <row r="193" ht="18" customHeight="1" s="331">
      <c r="A193" s="33" t="n">
        <v>4</v>
      </c>
      <c r="B193" s="20" t="inlineStr">
        <is>
          <t>035977</t>
        </is>
      </c>
      <c r="C193" s="596" t="n">
        <v>41715</v>
      </c>
      <c r="D193" s="588" t="n">
        <v>381.77</v>
      </c>
      <c r="E193" s="11" t="inlineStr">
        <is>
          <t>A P L Logistics</t>
        </is>
      </c>
      <c r="F193" s="10" t="inlineStr">
        <is>
          <t>100046460</t>
        </is>
      </c>
      <c r="G193" s="20" t="inlineStr">
        <is>
          <t>035977</t>
        </is>
      </c>
      <c r="H193" s="596" t="n">
        <v>41715</v>
      </c>
      <c r="I193" s="588" t="n">
        <v>381.77</v>
      </c>
      <c r="J193" s="74" t="inlineStr">
        <is>
          <t>បានបង់</t>
        </is>
      </c>
    </row>
    <row r="194" ht="18" customHeight="1" s="331">
      <c r="A194" s="33" t="n">
        <v>5</v>
      </c>
      <c r="B194" s="20" t="inlineStr">
        <is>
          <t>036016</t>
        </is>
      </c>
      <c r="C194" s="596" t="n">
        <v>41717</v>
      </c>
      <c r="D194" s="588" t="n">
        <v>16</v>
      </c>
      <c r="E194" s="19" t="inlineStr">
        <is>
          <t>A P L Logistics</t>
        </is>
      </c>
      <c r="F194" s="20" t="inlineStr">
        <is>
          <t>100046460</t>
        </is>
      </c>
      <c r="G194" s="20" t="inlineStr">
        <is>
          <t>036016</t>
        </is>
      </c>
      <c r="H194" s="596" t="n">
        <v>41717</v>
      </c>
      <c r="I194" s="588" t="n">
        <v>16</v>
      </c>
      <c r="J194" s="74" t="inlineStr">
        <is>
          <t>បានបង់</t>
        </is>
      </c>
    </row>
    <row r="195" ht="18" customHeight="1" s="331">
      <c r="A195" s="33" t="n">
        <v>6</v>
      </c>
      <c r="B195" s="20" t="inlineStr">
        <is>
          <t>036053</t>
        </is>
      </c>
      <c r="C195" s="596" t="n">
        <v>41722</v>
      </c>
      <c r="D195" s="588" t="n">
        <v>107.59</v>
      </c>
      <c r="E195" s="11" t="inlineStr">
        <is>
          <t>A P L Logistics</t>
        </is>
      </c>
      <c r="F195" s="10" t="inlineStr">
        <is>
          <t>100046460</t>
        </is>
      </c>
      <c r="G195" s="20" t="inlineStr">
        <is>
          <t>036053</t>
        </is>
      </c>
      <c r="H195" s="596" t="n">
        <v>41722</v>
      </c>
      <c r="I195" s="588" t="n">
        <v>107.59</v>
      </c>
      <c r="J195" s="74" t="inlineStr">
        <is>
          <t>បានបង់</t>
        </is>
      </c>
    </row>
    <row r="196" ht="18" customHeight="1" s="331">
      <c r="A196" s="33" t="n">
        <v>7</v>
      </c>
      <c r="B196" s="20" t="inlineStr">
        <is>
          <t>036145</t>
        </is>
      </c>
      <c r="C196" s="596" t="n">
        <v>41729</v>
      </c>
      <c r="D196" s="588" t="n">
        <v>139.14</v>
      </c>
      <c r="E196" s="19" t="inlineStr">
        <is>
          <t>A P L Logistics</t>
        </is>
      </c>
      <c r="F196" s="20" t="inlineStr">
        <is>
          <t>100046460</t>
        </is>
      </c>
      <c r="G196" s="20" t="inlineStr">
        <is>
          <t>036145</t>
        </is>
      </c>
      <c r="H196" s="596" t="n">
        <v>41729</v>
      </c>
      <c r="I196" s="588" t="n">
        <v>139.14</v>
      </c>
      <c r="J196" s="74" t="inlineStr">
        <is>
          <t>បានបង់</t>
        </is>
      </c>
    </row>
    <row r="197" ht="18" customHeight="1" s="331">
      <c r="A197" s="437" t="inlineStr">
        <is>
          <t>Total 03/2014</t>
        </is>
      </c>
      <c r="B197" s="531" t="n"/>
      <c r="C197" s="519" t="n"/>
      <c r="D197" s="589">
        <f>SUM(D190:D196)</f>
        <v/>
      </c>
      <c r="E197" s="53" t="n"/>
      <c r="F197" s="54" t="n"/>
      <c r="G197" s="64" t="n"/>
      <c r="H197" s="590" t="inlineStr">
        <is>
          <t>USD</t>
        </is>
      </c>
      <c r="I197" s="589">
        <f>SUM(I190:I196)</f>
        <v/>
      </c>
      <c r="J197" s="7" t="n"/>
    </row>
    <row r="198" ht="21.9" customHeight="1" s="331">
      <c r="A198" s="437" t="inlineStr">
        <is>
          <t>Total 03/2014</t>
        </is>
      </c>
      <c r="B198" s="531" t="n"/>
      <c r="C198" s="519" t="n"/>
      <c r="D198" s="589" t="n"/>
      <c r="E198" s="53" t="n"/>
      <c r="F198" s="54" t="n"/>
      <c r="G198" s="591" t="n">
        <v>4002</v>
      </c>
      <c r="H198" s="590" t="inlineStr">
        <is>
          <t>RIEL</t>
        </is>
      </c>
      <c r="I198" s="592">
        <f>I197*G198</f>
        <v/>
      </c>
      <c r="J198" s="7" t="n"/>
    </row>
    <row r="199" ht="18" customHeight="1" s="331">
      <c r="A199" s="33" t="n">
        <v>1</v>
      </c>
      <c r="B199" s="20" t="inlineStr">
        <is>
          <t>036240</t>
        </is>
      </c>
      <c r="C199" s="596" t="n">
        <v>41736</v>
      </c>
      <c r="D199" s="588" t="n">
        <v>295.52</v>
      </c>
      <c r="E199" s="11" t="inlineStr">
        <is>
          <t>A P L Logistics</t>
        </is>
      </c>
      <c r="F199" s="10" t="inlineStr">
        <is>
          <t>100046460</t>
        </is>
      </c>
      <c r="G199" s="20" t="inlineStr">
        <is>
          <t>036240</t>
        </is>
      </c>
      <c r="H199" s="596" t="n">
        <v>41736</v>
      </c>
      <c r="I199" s="588" t="n">
        <v>295.52</v>
      </c>
      <c r="J199" s="74" t="inlineStr">
        <is>
          <t>បានបង់</t>
        </is>
      </c>
    </row>
    <row r="200" ht="18" customHeight="1" s="331">
      <c r="A200" s="33" t="n">
        <v>2</v>
      </c>
      <c r="B200" s="20" t="inlineStr">
        <is>
          <t>036212</t>
        </is>
      </c>
      <c r="C200" s="596" t="n">
        <v>41731</v>
      </c>
      <c r="D200" s="588" t="n">
        <v>4</v>
      </c>
      <c r="E200" s="19" t="inlineStr">
        <is>
          <t>A P L Logistics</t>
        </is>
      </c>
      <c r="F200" s="20" t="inlineStr">
        <is>
          <t>100046460</t>
        </is>
      </c>
      <c r="G200" s="20" t="inlineStr">
        <is>
          <t>036212</t>
        </is>
      </c>
      <c r="H200" s="596" t="n">
        <v>41731</v>
      </c>
      <c r="I200" s="588" t="n">
        <v>4</v>
      </c>
      <c r="J200" s="74" t="inlineStr">
        <is>
          <t>បានបង់</t>
        </is>
      </c>
    </row>
    <row r="201" ht="18" customHeight="1" s="331">
      <c r="A201" s="33" t="n">
        <v>3</v>
      </c>
      <c r="B201" s="20" t="inlineStr">
        <is>
          <t>036337</t>
        </is>
      </c>
      <c r="C201" s="596" t="n">
        <v>41744</v>
      </c>
      <c r="D201" s="588" t="n">
        <v>242.83</v>
      </c>
      <c r="E201" s="11" t="inlineStr">
        <is>
          <t>A P L Logistics</t>
        </is>
      </c>
      <c r="F201" s="10" t="inlineStr">
        <is>
          <t>100046460</t>
        </is>
      </c>
      <c r="G201" s="20" t="inlineStr">
        <is>
          <t>036337</t>
        </is>
      </c>
      <c r="H201" s="596" t="n">
        <v>41744</v>
      </c>
      <c r="I201" s="588" t="n">
        <v>242.83</v>
      </c>
      <c r="J201" s="74" t="inlineStr">
        <is>
          <t>បានបង់</t>
        </is>
      </c>
    </row>
    <row r="202" ht="18" customHeight="1" s="331">
      <c r="A202" s="33" t="n">
        <v>4</v>
      </c>
      <c r="B202" s="20" t="inlineStr">
        <is>
          <t>036410</t>
        </is>
      </c>
      <c r="C202" s="596" t="n">
        <v>41750</v>
      </c>
      <c r="D202" s="588" t="n">
        <v>130.46</v>
      </c>
      <c r="E202" s="11" t="inlineStr">
        <is>
          <t>A P L Logistics</t>
        </is>
      </c>
      <c r="F202" s="10" t="inlineStr">
        <is>
          <t>100046460</t>
        </is>
      </c>
      <c r="G202" s="20" t="inlineStr">
        <is>
          <t>036410</t>
        </is>
      </c>
      <c r="H202" s="596" t="n">
        <v>41750</v>
      </c>
      <c r="I202" s="588" t="n">
        <v>130.46</v>
      </c>
      <c r="J202" s="74" t="inlineStr">
        <is>
          <t>បានបង់</t>
        </is>
      </c>
    </row>
    <row r="203" ht="18" customHeight="1" s="331">
      <c r="A203" s="33" t="n">
        <v>5</v>
      </c>
      <c r="B203" s="20" t="inlineStr">
        <is>
          <t>036463</t>
        </is>
      </c>
      <c r="C203" s="596" t="n">
        <v>41757</v>
      </c>
      <c r="D203" s="588" t="n">
        <v>113.27</v>
      </c>
      <c r="E203" s="11" t="inlineStr">
        <is>
          <t>A P L Logistics</t>
        </is>
      </c>
      <c r="F203" s="10" t="inlineStr">
        <is>
          <t>100046460</t>
        </is>
      </c>
      <c r="G203" s="20" t="inlineStr">
        <is>
          <t>036463</t>
        </is>
      </c>
      <c r="H203" s="596" t="n">
        <v>41757</v>
      </c>
      <c r="I203" s="588" t="n">
        <v>113.27</v>
      </c>
      <c r="J203" s="74" t="inlineStr">
        <is>
          <t>បានបង់</t>
        </is>
      </c>
    </row>
    <row r="204" ht="18" customHeight="1" s="331">
      <c r="A204" s="437" t="inlineStr">
        <is>
          <t>Total 04/2014</t>
        </is>
      </c>
      <c r="B204" s="531" t="n"/>
      <c r="C204" s="519" t="n"/>
      <c r="D204" s="589">
        <f>SUM(D199:D203)</f>
        <v/>
      </c>
      <c r="E204" s="53" t="n"/>
      <c r="F204" s="54" t="n"/>
      <c r="G204" s="64" t="n"/>
      <c r="H204" s="590" t="inlineStr">
        <is>
          <t>USD</t>
        </is>
      </c>
      <c r="I204" s="589">
        <f>SUM(I199:I203)</f>
        <v/>
      </c>
      <c r="J204" s="7" t="n"/>
    </row>
    <row r="205" ht="21.9" customHeight="1" s="331">
      <c r="A205" s="437" t="inlineStr">
        <is>
          <t>Total 04/2014</t>
        </is>
      </c>
      <c r="B205" s="531" t="n"/>
      <c r="C205" s="519" t="n"/>
      <c r="D205" s="589" t="n"/>
      <c r="E205" s="53" t="n"/>
      <c r="F205" s="54" t="n"/>
      <c r="G205" s="591" t="n">
        <v>4015</v>
      </c>
      <c r="H205" s="590" t="inlineStr">
        <is>
          <t>RIEL</t>
        </is>
      </c>
      <c r="I205" s="592">
        <f>I204*G205</f>
        <v/>
      </c>
      <c r="J205" s="7" t="n"/>
    </row>
    <row r="206" ht="18" customHeight="1" s="331">
      <c r="A206" s="33" t="n">
        <v>1</v>
      </c>
      <c r="B206" s="24" t="inlineStr">
        <is>
          <t>036541</t>
        </is>
      </c>
      <c r="C206" s="596" t="n">
        <v>41764</v>
      </c>
      <c r="D206" s="588" t="n">
        <v>237.93</v>
      </c>
      <c r="E206" s="11" t="inlineStr">
        <is>
          <t>A P L Logistics</t>
        </is>
      </c>
      <c r="F206" s="10" t="inlineStr">
        <is>
          <t>100046460</t>
        </is>
      </c>
      <c r="G206" s="24" t="inlineStr">
        <is>
          <t>036541</t>
        </is>
      </c>
      <c r="H206" s="596" t="n">
        <v>41764</v>
      </c>
      <c r="I206" s="588" t="n">
        <v>237.93</v>
      </c>
      <c r="J206" s="74" t="inlineStr">
        <is>
          <t>បានបង់</t>
        </is>
      </c>
    </row>
    <row r="207" ht="18" customHeight="1" s="331">
      <c r="A207" s="33" t="n">
        <v>2</v>
      </c>
      <c r="B207" s="24" t="inlineStr">
        <is>
          <t>036630</t>
        </is>
      </c>
      <c r="C207" s="596" t="n">
        <v>41772</v>
      </c>
      <c r="D207" s="588" t="n">
        <v>188.08</v>
      </c>
      <c r="E207" s="11" t="inlineStr">
        <is>
          <t>A P L Logistics</t>
        </is>
      </c>
      <c r="F207" s="10" t="inlineStr">
        <is>
          <t>100046460</t>
        </is>
      </c>
      <c r="G207" s="24" t="inlineStr">
        <is>
          <t>036630</t>
        </is>
      </c>
      <c r="H207" s="596" t="n">
        <v>41772</v>
      </c>
      <c r="I207" s="588" t="n">
        <v>188.08</v>
      </c>
      <c r="J207" s="74" t="inlineStr">
        <is>
          <t>បានបង់</t>
        </is>
      </c>
    </row>
    <row r="208" ht="18" customHeight="1" s="331">
      <c r="A208" s="33" t="n">
        <v>3</v>
      </c>
      <c r="B208" s="24" t="inlineStr">
        <is>
          <t>036696</t>
        </is>
      </c>
      <c r="C208" s="596" t="n">
        <v>41778</v>
      </c>
      <c r="D208" s="588" t="n">
        <v>119.01</v>
      </c>
      <c r="E208" s="11" t="inlineStr">
        <is>
          <t>A P L Logistics</t>
        </is>
      </c>
      <c r="F208" s="10" t="inlineStr">
        <is>
          <t>100046460</t>
        </is>
      </c>
      <c r="G208" s="24" t="inlineStr">
        <is>
          <t>036696</t>
        </is>
      </c>
      <c r="H208" s="596" t="n">
        <v>41778</v>
      </c>
      <c r="I208" s="588" t="n">
        <v>119.01</v>
      </c>
      <c r="J208" s="74" t="inlineStr">
        <is>
          <t>បានបង់</t>
        </is>
      </c>
    </row>
    <row r="209" ht="18" customHeight="1" s="331">
      <c r="A209" s="33" t="n">
        <v>4</v>
      </c>
      <c r="B209" s="24" t="inlineStr">
        <is>
          <t>023316</t>
        </is>
      </c>
      <c r="C209" s="596" t="n">
        <v>41782</v>
      </c>
      <c r="D209" s="588" t="n">
        <v>30</v>
      </c>
      <c r="E209" s="10" t="inlineStr">
        <is>
          <t>A P L Logistics</t>
        </is>
      </c>
      <c r="F209" s="24" t="inlineStr">
        <is>
          <t>100046460</t>
        </is>
      </c>
      <c r="G209" s="24" t="inlineStr">
        <is>
          <t>023316</t>
        </is>
      </c>
      <c r="H209" s="596" t="n">
        <v>41782</v>
      </c>
      <c r="I209" s="588" t="n">
        <v>30</v>
      </c>
      <c r="J209" s="74" t="inlineStr">
        <is>
          <t>បានបង់</t>
        </is>
      </c>
    </row>
    <row r="210" ht="18" customHeight="1" s="331">
      <c r="A210" s="33" t="n">
        <v>5</v>
      </c>
      <c r="B210" s="24" t="inlineStr">
        <is>
          <t>036771</t>
        </is>
      </c>
      <c r="C210" s="596" t="n">
        <v>41785</v>
      </c>
      <c r="D210" s="588" t="n">
        <v>100.65</v>
      </c>
      <c r="E210" s="10" t="inlineStr">
        <is>
          <t>A P L Logistics</t>
        </is>
      </c>
      <c r="F210" s="24" t="inlineStr">
        <is>
          <t>100046460</t>
        </is>
      </c>
      <c r="G210" s="24" t="inlineStr">
        <is>
          <t>036771</t>
        </is>
      </c>
      <c r="H210" s="596" t="n">
        <v>41785</v>
      </c>
      <c r="I210" s="588" t="n">
        <v>100.65</v>
      </c>
      <c r="J210" s="74" t="inlineStr">
        <is>
          <t>បានបង់</t>
        </is>
      </c>
    </row>
    <row r="211" ht="18" customHeight="1" s="331">
      <c r="A211" s="437" t="inlineStr">
        <is>
          <t>Total 05/2014</t>
        </is>
      </c>
      <c r="B211" s="531" t="n"/>
      <c r="C211" s="519" t="n"/>
      <c r="D211" s="589">
        <f>SUM(D206:D210)</f>
        <v/>
      </c>
      <c r="E211" s="53" t="n"/>
      <c r="F211" s="54" t="n"/>
      <c r="G211" s="65" t="n"/>
      <c r="H211" s="590" t="inlineStr">
        <is>
          <t>USD</t>
        </is>
      </c>
      <c r="I211" s="589">
        <f>SUM(I206:I210)</f>
        <v/>
      </c>
      <c r="J211" s="7" t="n"/>
    </row>
    <row r="212" ht="21.9" customHeight="1" s="331">
      <c r="A212" s="437" t="inlineStr">
        <is>
          <t>Total 05/2014</t>
        </is>
      </c>
      <c r="B212" s="531" t="n"/>
      <c r="C212" s="519" t="n"/>
      <c r="D212" s="589" t="n"/>
      <c r="E212" s="53" t="n"/>
      <c r="F212" s="54" t="n"/>
      <c r="G212" s="591" t="n">
        <v>4025</v>
      </c>
      <c r="H212" s="590" t="inlineStr">
        <is>
          <t>RIEL</t>
        </is>
      </c>
      <c r="I212" s="592">
        <f>I211*G212</f>
        <v/>
      </c>
      <c r="J212" s="7" t="n"/>
    </row>
    <row r="213" ht="18" customHeight="1" s="331">
      <c r="A213" s="33" t="n">
        <v>1</v>
      </c>
      <c r="B213" s="24" t="inlineStr">
        <is>
          <t>036857</t>
        </is>
      </c>
      <c r="C213" s="596" t="n">
        <v>41792</v>
      </c>
      <c r="D213" s="588" t="n">
        <v>209.57</v>
      </c>
      <c r="E213" s="11" t="inlineStr">
        <is>
          <t>A P L Logistics</t>
        </is>
      </c>
      <c r="F213" s="10" t="inlineStr">
        <is>
          <t>100046460</t>
        </is>
      </c>
      <c r="G213" s="24" t="inlineStr">
        <is>
          <t>036857</t>
        </is>
      </c>
      <c r="H213" s="596" t="n">
        <v>41792</v>
      </c>
      <c r="I213" s="588" t="n">
        <v>209.57</v>
      </c>
      <c r="J213" s="76" t="inlineStr">
        <is>
          <t>បានបង់</t>
        </is>
      </c>
    </row>
    <row r="214" ht="18" customHeight="1" s="331">
      <c r="A214" s="33" t="n">
        <v>2</v>
      </c>
      <c r="B214" s="24" t="inlineStr">
        <is>
          <t>036925</t>
        </is>
      </c>
      <c r="C214" s="596" t="n">
        <v>41799</v>
      </c>
      <c r="D214" s="588" t="n">
        <v>188.93</v>
      </c>
      <c r="E214" s="11" t="inlineStr">
        <is>
          <t>A P L Logistics</t>
        </is>
      </c>
      <c r="F214" s="10" t="inlineStr">
        <is>
          <t>100046460</t>
        </is>
      </c>
      <c r="G214" s="24" t="inlineStr">
        <is>
          <t>036925</t>
        </is>
      </c>
      <c r="H214" s="596" t="n">
        <v>41799</v>
      </c>
      <c r="I214" s="588" t="n">
        <v>188.93</v>
      </c>
      <c r="J214" s="76" t="inlineStr">
        <is>
          <t>បានបង់</t>
        </is>
      </c>
    </row>
    <row r="215" ht="18" customHeight="1" s="331">
      <c r="A215" s="33" t="n">
        <v>3</v>
      </c>
      <c r="B215" s="24" t="inlineStr">
        <is>
          <t>037006</t>
        </is>
      </c>
      <c r="C215" s="596" t="n">
        <v>41806</v>
      </c>
      <c r="D215" s="588" t="n">
        <v>26.87</v>
      </c>
      <c r="E215" s="11" t="inlineStr">
        <is>
          <t>A P L Logistics</t>
        </is>
      </c>
      <c r="F215" s="24" t="inlineStr">
        <is>
          <t>100046460</t>
        </is>
      </c>
      <c r="G215" s="24" t="inlineStr">
        <is>
          <t>037006</t>
        </is>
      </c>
      <c r="H215" s="596" t="n">
        <v>41806</v>
      </c>
      <c r="I215" s="588" t="n">
        <v>26.87</v>
      </c>
      <c r="J215" s="76" t="inlineStr">
        <is>
          <t>បានបង់</t>
        </is>
      </c>
    </row>
    <row r="216" ht="18" customHeight="1" s="331">
      <c r="A216" s="33" t="n">
        <v>4</v>
      </c>
      <c r="B216" s="24" t="inlineStr">
        <is>
          <t>037083</t>
        </is>
      </c>
      <c r="C216" s="596" t="n">
        <v>41813</v>
      </c>
      <c r="D216" s="588" t="n">
        <v>173.82</v>
      </c>
      <c r="E216" s="10" t="inlineStr">
        <is>
          <t>A P L Logistics</t>
        </is>
      </c>
      <c r="F216" s="24" t="inlineStr">
        <is>
          <t>100046460</t>
        </is>
      </c>
      <c r="G216" s="24" t="inlineStr">
        <is>
          <t>037083</t>
        </is>
      </c>
      <c r="H216" s="596" t="n">
        <v>41813</v>
      </c>
      <c r="I216" s="588" t="n">
        <v>173.82</v>
      </c>
      <c r="J216" s="76" t="inlineStr">
        <is>
          <t>បានបង់</t>
        </is>
      </c>
    </row>
    <row r="217" ht="18" customHeight="1" s="331">
      <c r="A217" s="33" t="n">
        <v>5</v>
      </c>
      <c r="B217" s="24" t="inlineStr">
        <is>
          <t>037179</t>
        </is>
      </c>
      <c r="C217" s="596" t="n">
        <v>41820</v>
      </c>
      <c r="D217" s="588" t="n">
        <v>139.37</v>
      </c>
      <c r="E217" s="11" t="inlineStr">
        <is>
          <t>A P L Logistics</t>
        </is>
      </c>
      <c r="F217" s="10" t="inlineStr">
        <is>
          <t>100046460</t>
        </is>
      </c>
      <c r="G217" s="24" t="inlineStr">
        <is>
          <t>037179</t>
        </is>
      </c>
      <c r="H217" s="596" t="n">
        <v>41820</v>
      </c>
      <c r="I217" s="588" t="n">
        <v>139.37</v>
      </c>
      <c r="J217" s="76" t="inlineStr">
        <is>
          <t>បានបង់</t>
        </is>
      </c>
    </row>
    <row r="218" ht="18" customHeight="1" s="331">
      <c r="A218" s="437" t="inlineStr">
        <is>
          <t>Total 06/2014</t>
        </is>
      </c>
      <c r="B218" s="531" t="n"/>
      <c r="C218" s="519" t="n"/>
      <c r="D218" s="589">
        <f>SUM(D213:D217)</f>
        <v/>
      </c>
      <c r="E218" s="53" t="n"/>
      <c r="F218" s="54" t="n"/>
      <c r="G218" s="65" t="n"/>
      <c r="H218" s="590" t="inlineStr">
        <is>
          <t>USD</t>
        </is>
      </c>
      <c r="I218" s="589">
        <f>SUM(I213:I217)</f>
        <v/>
      </c>
      <c r="J218" s="7" t="n"/>
    </row>
    <row r="219" ht="21.9" customHeight="1" s="331">
      <c r="A219" s="437" t="inlineStr">
        <is>
          <t>Total 06/2014</t>
        </is>
      </c>
      <c r="B219" s="531" t="n"/>
      <c r="C219" s="519" t="n"/>
      <c r="D219" s="589" t="n"/>
      <c r="E219" s="53" t="n"/>
      <c r="F219" s="54" t="n"/>
      <c r="G219" s="591" t="n">
        <v>4039</v>
      </c>
      <c r="H219" s="590" t="inlineStr">
        <is>
          <t>RIEL</t>
        </is>
      </c>
      <c r="I219" s="592">
        <f>I218*G219</f>
        <v/>
      </c>
      <c r="J219" s="7" t="n"/>
    </row>
    <row r="220" ht="18" customHeight="1" s="331">
      <c r="A220" s="33" t="n">
        <v>1</v>
      </c>
      <c r="B220" s="24" t="inlineStr">
        <is>
          <t>037253</t>
        </is>
      </c>
      <c r="C220" s="596" t="n">
        <v>41827</v>
      </c>
      <c r="D220" s="588" t="n">
        <v>84.54000000000001</v>
      </c>
      <c r="E220" s="11" t="inlineStr">
        <is>
          <t>A P L Logistics</t>
        </is>
      </c>
      <c r="F220" s="10" t="inlineStr">
        <is>
          <t>100046460</t>
        </is>
      </c>
      <c r="G220" s="24" t="inlineStr">
        <is>
          <t>037253</t>
        </is>
      </c>
      <c r="H220" s="596" t="n">
        <v>41827</v>
      </c>
      <c r="I220" s="588" t="n">
        <v>84.54000000000001</v>
      </c>
      <c r="J220" s="76" t="inlineStr">
        <is>
          <t>បានបង់</t>
        </is>
      </c>
    </row>
    <row r="221" ht="18" customHeight="1" s="331">
      <c r="A221" s="33" t="n">
        <v>2</v>
      </c>
      <c r="B221" s="24" t="inlineStr">
        <is>
          <t>037358</t>
        </is>
      </c>
      <c r="C221" s="596" t="n">
        <v>41834</v>
      </c>
      <c r="D221" s="588" t="n">
        <v>55.59</v>
      </c>
      <c r="E221" s="10" t="inlineStr">
        <is>
          <t>A P L Logistics</t>
        </is>
      </c>
      <c r="F221" s="24" t="inlineStr">
        <is>
          <t>100046460</t>
        </is>
      </c>
      <c r="G221" s="24" t="inlineStr">
        <is>
          <t>037358</t>
        </is>
      </c>
      <c r="H221" s="596" t="n">
        <v>41834</v>
      </c>
      <c r="I221" s="588" t="n">
        <v>55.59</v>
      </c>
      <c r="J221" s="76" t="inlineStr">
        <is>
          <t>បានបង់</t>
        </is>
      </c>
    </row>
    <row r="222" ht="18" customHeight="1" s="331">
      <c r="A222" s="33" t="n">
        <v>3</v>
      </c>
      <c r="B222" s="24" t="inlineStr">
        <is>
          <t>037520</t>
        </is>
      </c>
      <c r="C222" s="596" t="n">
        <v>41848</v>
      </c>
      <c r="D222" s="588" t="n">
        <v>24.98</v>
      </c>
      <c r="E222" s="10" t="inlineStr">
        <is>
          <t>A P L Logistics</t>
        </is>
      </c>
      <c r="F222" s="24" t="inlineStr">
        <is>
          <t>100046460</t>
        </is>
      </c>
      <c r="G222" s="24" t="inlineStr">
        <is>
          <t>037520</t>
        </is>
      </c>
      <c r="H222" s="596" t="n">
        <v>41848</v>
      </c>
      <c r="I222" s="588" t="n">
        <v>24.98</v>
      </c>
      <c r="J222" s="76" t="inlineStr">
        <is>
          <t>បានបង់</t>
        </is>
      </c>
    </row>
    <row r="223" ht="18" customHeight="1" s="331">
      <c r="A223" s="437" t="inlineStr">
        <is>
          <t>Total 07/2014</t>
        </is>
      </c>
      <c r="B223" s="531" t="n"/>
      <c r="C223" s="519" t="n"/>
      <c r="D223" s="589">
        <f>SUM(D220:D222)</f>
        <v/>
      </c>
      <c r="E223" s="54" t="n"/>
      <c r="F223" s="65" t="n"/>
      <c r="G223" s="65" t="n"/>
      <c r="H223" s="590" t="inlineStr">
        <is>
          <t>USD</t>
        </is>
      </c>
      <c r="I223" s="589">
        <f>SUM(I220:I222)</f>
        <v/>
      </c>
      <c r="J223" s="7" t="n"/>
    </row>
    <row r="224" ht="21.9" customHeight="1" s="331">
      <c r="A224" s="437" t="inlineStr">
        <is>
          <t>Total 07/2014</t>
        </is>
      </c>
      <c r="B224" s="531" t="n"/>
      <c r="C224" s="519" t="n"/>
      <c r="D224" s="589" t="n"/>
      <c r="E224" s="53" t="n"/>
      <c r="F224" s="54" t="n"/>
      <c r="G224" s="591" t="n">
        <v>4045</v>
      </c>
      <c r="H224" s="590" t="inlineStr">
        <is>
          <t>RIEL</t>
        </is>
      </c>
      <c r="I224" s="592">
        <f>I223*G224</f>
        <v/>
      </c>
      <c r="J224" s="7" t="n"/>
    </row>
    <row r="225" ht="18" customHeight="1" s="331">
      <c r="A225" s="33" t="n">
        <v>1</v>
      </c>
      <c r="B225" s="24" t="inlineStr">
        <is>
          <t>037611</t>
        </is>
      </c>
      <c r="C225" s="596" t="n">
        <v>41855</v>
      </c>
      <c r="D225" s="588" t="n">
        <v>105</v>
      </c>
      <c r="E225" s="11" t="inlineStr">
        <is>
          <t>A P L Logistics</t>
        </is>
      </c>
      <c r="F225" s="10" t="inlineStr">
        <is>
          <t>100046460</t>
        </is>
      </c>
      <c r="G225" s="24" t="inlineStr">
        <is>
          <t>037611</t>
        </is>
      </c>
      <c r="H225" s="596" t="n">
        <v>41855</v>
      </c>
      <c r="I225" s="588" t="n">
        <v>105</v>
      </c>
      <c r="J225" s="76" t="inlineStr">
        <is>
          <t>បានបង់</t>
        </is>
      </c>
    </row>
    <row r="226" ht="18" customHeight="1" s="331">
      <c r="A226" s="33" t="n">
        <v>2</v>
      </c>
      <c r="B226" s="24" t="inlineStr">
        <is>
          <t>037694</t>
        </is>
      </c>
      <c r="C226" s="596" t="n">
        <v>41862</v>
      </c>
      <c r="D226" s="588" t="n">
        <v>132.69</v>
      </c>
      <c r="E226" s="11" t="inlineStr">
        <is>
          <t>A P L Logistics</t>
        </is>
      </c>
      <c r="F226" s="10" t="inlineStr">
        <is>
          <t>100046460</t>
        </is>
      </c>
      <c r="G226" s="24" t="inlineStr">
        <is>
          <t>037694</t>
        </is>
      </c>
      <c r="H226" s="596" t="n">
        <v>41862</v>
      </c>
      <c r="I226" s="588" t="n">
        <v>132.69</v>
      </c>
      <c r="J226" s="76" t="inlineStr">
        <is>
          <t>បានបង់</t>
        </is>
      </c>
    </row>
    <row r="227" ht="18" customHeight="1" s="331">
      <c r="A227" s="33" t="n">
        <v>3</v>
      </c>
      <c r="B227" s="24" t="inlineStr">
        <is>
          <t>037777</t>
        </is>
      </c>
      <c r="C227" s="596" t="n">
        <v>41869</v>
      </c>
      <c r="D227" s="588" t="n">
        <v>91.69</v>
      </c>
      <c r="E227" s="11" t="inlineStr">
        <is>
          <t>A P L Logistics</t>
        </is>
      </c>
      <c r="F227" s="10" t="inlineStr">
        <is>
          <t>100046460</t>
        </is>
      </c>
      <c r="G227" s="24" t="inlineStr">
        <is>
          <t>037777</t>
        </is>
      </c>
      <c r="H227" s="596" t="n">
        <v>41869</v>
      </c>
      <c r="I227" s="588" t="n">
        <v>91.69</v>
      </c>
      <c r="J227" s="76" t="inlineStr">
        <is>
          <t>បានបង់</t>
        </is>
      </c>
    </row>
    <row r="228" ht="18" customHeight="1" s="331">
      <c r="A228" s="33" t="n">
        <v>4</v>
      </c>
      <c r="B228" s="24" t="inlineStr">
        <is>
          <t>037841</t>
        </is>
      </c>
      <c r="C228" s="596" t="n">
        <v>41876</v>
      </c>
      <c r="D228" s="588" t="n">
        <v>65.31999999999999</v>
      </c>
      <c r="E228" s="10" t="inlineStr">
        <is>
          <t>A P L Logistics</t>
        </is>
      </c>
      <c r="F228" s="24" t="inlineStr">
        <is>
          <t>100046460</t>
        </is>
      </c>
      <c r="G228" s="24" t="inlineStr">
        <is>
          <t>037841</t>
        </is>
      </c>
      <c r="H228" s="596" t="n">
        <v>41876</v>
      </c>
      <c r="I228" s="588" t="n">
        <v>65.31999999999999</v>
      </c>
      <c r="J228" s="76" t="inlineStr">
        <is>
          <t>បានបង់</t>
        </is>
      </c>
    </row>
    <row r="229" ht="18" customHeight="1" s="331">
      <c r="A229" s="437" t="inlineStr">
        <is>
          <t>Total 08/2014</t>
        </is>
      </c>
      <c r="B229" s="531" t="n"/>
      <c r="C229" s="519" t="n"/>
      <c r="D229" s="589">
        <f>SUM(D225:D228)</f>
        <v/>
      </c>
      <c r="E229" s="53" t="n"/>
      <c r="F229" s="54" t="n"/>
      <c r="G229" s="65" t="n"/>
      <c r="H229" s="590" t="inlineStr">
        <is>
          <t>USD</t>
        </is>
      </c>
      <c r="I229" s="589">
        <f>SUM(I225:I228)</f>
        <v/>
      </c>
      <c r="J229" s="7" t="n"/>
    </row>
    <row r="230" ht="21.9" customHeight="1" s="331">
      <c r="A230" s="437" t="inlineStr">
        <is>
          <t>Total 08/2014</t>
        </is>
      </c>
      <c r="B230" s="531" t="n"/>
      <c r="C230" s="519" t="n"/>
      <c r="D230" s="589" t="n"/>
      <c r="E230" s="53" t="n"/>
      <c r="F230" s="54" t="n"/>
      <c r="G230" s="591" t="n">
        <v>4058</v>
      </c>
      <c r="H230" s="590" t="inlineStr">
        <is>
          <t>RIEL</t>
        </is>
      </c>
      <c r="I230" s="592">
        <f>I229*G230</f>
        <v/>
      </c>
      <c r="J230" s="7" t="n"/>
    </row>
    <row r="231" ht="18" customHeight="1" s="331">
      <c r="A231" s="33" t="n">
        <v>1</v>
      </c>
      <c r="B231" s="24" t="inlineStr">
        <is>
          <t>037918</t>
        </is>
      </c>
      <c r="C231" s="596" t="n">
        <v>41884</v>
      </c>
      <c r="D231" s="588" t="n">
        <v>144.47</v>
      </c>
      <c r="E231" s="11" t="inlineStr">
        <is>
          <t>A P L Logistics</t>
        </is>
      </c>
      <c r="F231" s="10" t="inlineStr">
        <is>
          <t>100046460</t>
        </is>
      </c>
      <c r="G231" s="24" t="inlineStr">
        <is>
          <t>037918</t>
        </is>
      </c>
      <c r="H231" s="596" t="n">
        <v>41884</v>
      </c>
      <c r="I231" s="588" t="n">
        <v>144.47</v>
      </c>
      <c r="J231" s="76" t="inlineStr">
        <is>
          <t>បានបង់</t>
        </is>
      </c>
    </row>
    <row r="232" ht="18" customHeight="1" s="331">
      <c r="A232" s="33" t="n">
        <v>2</v>
      </c>
      <c r="B232" s="24" t="inlineStr">
        <is>
          <t>037990</t>
        </is>
      </c>
      <c r="C232" s="596" t="n">
        <v>41890</v>
      </c>
      <c r="D232" s="588" t="n">
        <v>230.41</v>
      </c>
      <c r="E232" s="11" t="inlineStr">
        <is>
          <t>A P L Logistics</t>
        </is>
      </c>
      <c r="F232" s="10" t="inlineStr">
        <is>
          <t>100046460</t>
        </is>
      </c>
      <c r="G232" s="24" t="inlineStr">
        <is>
          <t>037990</t>
        </is>
      </c>
      <c r="H232" s="596" t="n">
        <v>41890</v>
      </c>
      <c r="I232" s="588" t="n">
        <v>230.41</v>
      </c>
      <c r="J232" s="76" t="inlineStr">
        <is>
          <t>បានបង់</t>
        </is>
      </c>
    </row>
    <row r="233" ht="18" customHeight="1" s="331">
      <c r="A233" s="33" t="n">
        <v>3</v>
      </c>
      <c r="B233" s="24" t="inlineStr">
        <is>
          <t>038062</t>
        </is>
      </c>
      <c r="C233" s="596" t="n">
        <v>41897</v>
      </c>
      <c r="D233" s="588" t="n">
        <v>81.2</v>
      </c>
      <c r="E233" s="11" t="inlineStr">
        <is>
          <t>A P L Logistics</t>
        </is>
      </c>
      <c r="F233" s="10" t="inlineStr">
        <is>
          <t>100046460</t>
        </is>
      </c>
      <c r="G233" s="24" t="inlineStr">
        <is>
          <t>038062</t>
        </is>
      </c>
      <c r="H233" s="596" t="n">
        <v>41897</v>
      </c>
      <c r="I233" s="588" t="n">
        <v>81.2</v>
      </c>
      <c r="J233" s="76" t="inlineStr">
        <is>
          <t>បានបង់</t>
        </is>
      </c>
    </row>
    <row r="234" ht="18" customHeight="1" s="331">
      <c r="A234" s="33" t="n">
        <v>4</v>
      </c>
      <c r="B234" s="24" t="inlineStr">
        <is>
          <t>038135</t>
        </is>
      </c>
      <c r="C234" s="596" t="n">
        <v>41903</v>
      </c>
      <c r="D234" s="588" t="n">
        <v>49.75</v>
      </c>
      <c r="E234" s="10" t="inlineStr">
        <is>
          <t>A P L Logistics</t>
        </is>
      </c>
      <c r="F234" s="24" t="inlineStr">
        <is>
          <t>100046460</t>
        </is>
      </c>
      <c r="G234" s="24" t="inlineStr">
        <is>
          <t>038135</t>
        </is>
      </c>
      <c r="H234" s="596" t="n">
        <v>41903</v>
      </c>
      <c r="I234" s="588" t="n">
        <v>49.75</v>
      </c>
      <c r="J234" s="76" t="inlineStr">
        <is>
          <t>បានបង់</t>
        </is>
      </c>
    </row>
    <row r="235" ht="18" customHeight="1" s="331">
      <c r="A235" s="33" t="n">
        <v>5</v>
      </c>
      <c r="B235" s="24" t="inlineStr">
        <is>
          <t>038196</t>
        </is>
      </c>
      <c r="C235" s="596" t="n">
        <v>41911</v>
      </c>
      <c r="D235" s="588" t="n">
        <v>136.72</v>
      </c>
      <c r="E235" s="11" t="inlineStr">
        <is>
          <t>A P L Logistics</t>
        </is>
      </c>
      <c r="F235" s="10" t="inlineStr">
        <is>
          <t>100046460</t>
        </is>
      </c>
      <c r="G235" s="24" t="inlineStr">
        <is>
          <t>038196</t>
        </is>
      </c>
      <c r="H235" s="596" t="n">
        <v>41911</v>
      </c>
      <c r="I235" s="588" t="n">
        <v>136.72</v>
      </c>
      <c r="J235" s="76" t="inlineStr">
        <is>
          <t>បានបង់</t>
        </is>
      </c>
    </row>
    <row r="236" ht="18" customHeight="1" s="331">
      <c r="A236" s="437" t="inlineStr">
        <is>
          <t>Total 09/2014</t>
        </is>
      </c>
      <c r="B236" s="531" t="n"/>
      <c r="C236" s="519" t="n"/>
      <c r="D236" s="589">
        <f>SUM(D231:D235)</f>
        <v/>
      </c>
      <c r="E236" s="53" t="n"/>
      <c r="F236" s="54" t="n"/>
      <c r="G236" s="65" t="n"/>
      <c r="H236" s="590" t="inlineStr">
        <is>
          <t>USD</t>
        </is>
      </c>
      <c r="I236" s="589">
        <f>SUM(I231:I235)</f>
        <v/>
      </c>
      <c r="J236" s="7" t="n"/>
    </row>
    <row r="237" ht="21.9" customHeight="1" s="331">
      <c r="A237" s="437" t="inlineStr">
        <is>
          <t>Total 09/2014</t>
        </is>
      </c>
      <c r="B237" s="531" t="n"/>
      <c r="C237" s="519" t="n"/>
      <c r="D237" s="589" t="n"/>
      <c r="E237" s="53" t="n"/>
      <c r="F237" s="54" t="n"/>
      <c r="G237" s="591" t="n">
        <v>4076</v>
      </c>
      <c r="H237" s="590" t="inlineStr">
        <is>
          <t>RIEL</t>
        </is>
      </c>
      <c r="I237" s="592">
        <f>I236*G237</f>
        <v/>
      </c>
      <c r="J237" s="7" t="n"/>
    </row>
    <row r="238" ht="18" customHeight="1" s="331">
      <c r="A238" s="33" t="n">
        <v>1</v>
      </c>
      <c r="B238" s="24" t="inlineStr">
        <is>
          <t>038257</t>
        </is>
      </c>
      <c r="C238" s="596" t="n">
        <v>41918</v>
      </c>
      <c r="D238" s="588" t="n">
        <v>188.11</v>
      </c>
      <c r="E238" s="11" t="inlineStr">
        <is>
          <t>A P L Logistics</t>
        </is>
      </c>
      <c r="F238" s="10" t="inlineStr">
        <is>
          <t>100046460</t>
        </is>
      </c>
      <c r="G238" s="24" t="inlineStr">
        <is>
          <t>038257</t>
        </is>
      </c>
      <c r="H238" s="596" t="n">
        <v>41918</v>
      </c>
      <c r="I238" s="588" t="n">
        <v>188.11</v>
      </c>
      <c r="J238" s="76" t="inlineStr">
        <is>
          <t>បានបង់</t>
        </is>
      </c>
    </row>
    <row r="239" ht="18" customHeight="1" s="331">
      <c r="A239" s="33" t="n">
        <v>2</v>
      </c>
      <c r="B239" s="24" t="inlineStr">
        <is>
          <t>038326</t>
        </is>
      </c>
      <c r="C239" s="596" t="n">
        <v>41925</v>
      </c>
      <c r="D239" s="588" t="n">
        <v>139.83</v>
      </c>
      <c r="E239" s="11" t="inlineStr">
        <is>
          <t>A P L Logistics</t>
        </is>
      </c>
      <c r="F239" s="10" t="inlineStr">
        <is>
          <t>100046460</t>
        </is>
      </c>
      <c r="G239" s="24" t="inlineStr">
        <is>
          <t>038326</t>
        </is>
      </c>
      <c r="H239" s="596" t="n">
        <v>41925</v>
      </c>
      <c r="I239" s="588" t="n">
        <v>139.83</v>
      </c>
      <c r="J239" s="76" t="inlineStr">
        <is>
          <t>បានបង់</t>
        </is>
      </c>
    </row>
    <row r="240" ht="18" customHeight="1" s="331">
      <c r="A240" s="33" t="n">
        <v>3</v>
      </c>
      <c r="B240" s="24" t="inlineStr">
        <is>
          <t>038462</t>
        </is>
      </c>
      <c r="C240" s="596" t="n">
        <v>41932</v>
      </c>
      <c r="D240" s="588" t="n">
        <v>129.9</v>
      </c>
      <c r="E240" s="11" t="inlineStr">
        <is>
          <t>A P L Logistics</t>
        </is>
      </c>
      <c r="F240" s="10" t="inlineStr">
        <is>
          <t>100046460</t>
        </is>
      </c>
      <c r="G240" s="24" t="inlineStr">
        <is>
          <t>038462</t>
        </is>
      </c>
      <c r="H240" s="596" t="n">
        <v>41932</v>
      </c>
      <c r="I240" s="588" t="n">
        <v>129.9</v>
      </c>
      <c r="J240" s="76" t="inlineStr">
        <is>
          <t>បានបង់</t>
        </is>
      </c>
    </row>
    <row r="241" ht="18" customHeight="1" s="331">
      <c r="A241" s="33" t="n">
        <v>4</v>
      </c>
      <c r="B241" s="24" t="inlineStr">
        <is>
          <t>038518</t>
        </is>
      </c>
      <c r="C241" s="596" t="n">
        <v>41939</v>
      </c>
      <c r="D241" s="588" t="n">
        <v>145.83</v>
      </c>
      <c r="E241" s="11" t="inlineStr">
        <is>
          <t>A P L Logistics</t>
        </is>
      </c>
      <c r="F241" s="10" t="inlineStr">
        <is>
          <t>100046460</t>
        </is>
      </c>
      <c r="G241" s="24" t="inlineStr">
        <is>
          <t>038518</t>
        </is>
      </c>
      <c r="H241" s="596" t="n">
        <v>41939</v>
      </c>
      <c r="I241" s="588" t="n">
        <v>145.83</v>
      </c>
      <c r="J241" s="76" t="inlineStr">
        <is>
          <t>បានបង់</t>
        </is>
      </c>
    </row>
    <row r="242" ht="18" customHeight="1" s="331">
      <c r="A242" s="437" t="inlineStr">
        <is>
          <t>Total 10/2014</t>
        </is>
      </c>
      <c r="B242" s="531" t="n"/>
      <c r="C242" s="519" t="n"/>
      <c r="D242" s="589">
        <f>SUM(D238:D241)</f>
        <v/>
      </c>
      <c r="E242" s="53" t="n"/>
      <c r="F242" s="54" t="n"/>
      <c r="G242" s="65" t="n"/>
      <c r="H242" s="590" t="inlineStr">
        <is>
          <t>USD</t>
        </is>
      </c>
      <c r="I242" s="589">
        <f>SUM(I238:I241)</f>
        <v/>
      </c>
      <c r="J242" s="7" t="n"/>
    </row>
    <row r="243" ht="21.9" customHeight="1" s="331">
      <c r="A243" s="437" t="inlineStr">
        <is>
          <t>Total 10/2014</t>
        </is>
      </c>
      <c r="B243" s="531" t="n"/>
      <c r="C243" s="519" t="n"/>
      <c r="D243" s="589" t="n"/>
      <c r="E243" s="53" t="n"/>
      <c r="F243" s="54" t="n"/>
      <c r="G243" s="591" t="n">
        <v>4081</v>
      </c>
      <c r="H243" s="590" t="inlineStr">
        <is>
          <t>RIEL</t>
        </is>
      </c>
      <c r="I243" s="592">
        <f>I242*G243</f>
        <v/>
      </c>
      <c r="J243" s="7" t="n"/>
    </row>
    <row r="244" ht="18" customHeight="1" s="331">
      <c r="A244" s="33" t="n">
        <v>1</v>
      </c>
      <c r="B244" s="24" t="inlineStr">
        <is>
          <t>038602</t>
        </is>
      </c>
      <c r="C244" s="596" t="n">
        <v>41946</v>
      </c>
      <c r="D244" s="588" t="n">
        <v>173.73</v>
      </c>
      <c r="E244" s="11" t="inlineStr">
        <is>
          <t>A P L Logistics</t>
        </is>
      </c>
      <c r="F244" s="10" t="inlineStr">
        <is>
          <t>100046460</t>
        </is>
      </c>
      <c r="G244" s="24" t="inlineStr">
        <is>
          <t>038602</t>
        </is>
      </c>
      <c r="H244" s="596" t="n">
        <v>41946</v>
      </c>
      <c r="I244" s="588" t="n">
        <v>173.73</v>
      </c>
      <c r="J244" s="76" t="inlineStr">
        <is>
          <t>បានបង់</t>
        </is>
      </c>
    </row>
    <row r="245" ht="18" customHeight="1" s="331">
      <c r="A245" s="33" t="n">
        <v>2</v>
      </c>
      <c r="B245" s="24" t="inlineStr">
        <is>
          <t>038580</t>
        </is>
      </c>
      <c r="C245" s="596" t="n">
        <v>41946</v>
      </c>
      <c r="D245" s="588" t="n">
        <v>1.5</v>
      </c>
      <c r="E245" s="10" t="inlineStr">
        <is>
          <t>APL Logistics</t>
        </is>
      </c>
      <c r="F245" s="24" t="inlineStr">
        <is>
          <t>100046460</t>
        </is>
      </c>
      <c r="G245" s="24" t="inlineStr">
        <is>
          <t>038580</t>
        </is>
      </c>
      <c r="H245" s="596" t="n">
        <v>41946</v>
      </c>
      <c r="I245" s="588" t="n">
        <v>1.5</v>
      </c>
      <c r="J245" s="76" t="inlineStr">
        <is>
          <t>បានបង់</t>
        </is>
      </c>
    </row>
    <row r="246" ht="18" customHeight="1" s="331">
      <c r="A246" s="33" t="n">
        <v>3</v>
      </c>
      <c r="B246" s="24" t="inlineStr">
        <is>
          <t>038665</t>
        </is>
      </c>
      <c r="C246" s="596" t="n">
        <v>41953</v>
      </c>
      <c r="D246" s="588" t="n">
        <v>35.45</v>
      </c>
      <c r="E246" s="10" t="inlineStr">
        <is>
          <t>A P L Logistics</t>
        </is>
      </c>
      <c r="F246" s="24" t="inlineStr">
        <is>
          <t>100046460</t>
        </is>
      </c>
      <c r="G246" s="24" t="inlineStr">
        <is>
          <t>038665</t>
        </is>
      </c>
      <c r="H246" s="596" t="n">
        <v>41953</v>
      </c>
      <c r="I246" s="588" t="n">
        <v>35.45</v>
      </c>
      <c r="J246" s="76" t="inlineStr">
        <is>
          <t>បានបង់</t>
        </is>
      </c>
    </row>
    <row r="247" ht="18" customHeight="1" s="331">
      <c r="A247" s="33" t="n">
        <v>4</v>
      </c>
      <c r="B247" s="24" t="inlineStr">
        <is>
          <t>038718</t>
        </is>
      </c>
      <c r="C247" s="596" t="n">
        <v>41960</v>
      </c>
      <c r="D247" s="588" t="n">
        <v>24.26</v>
      </c>
      <c r="E247" s="10" t="inlineStr">
        <is>
          <t>A P L Logistics</t>
        </is>
      </c>
      <c r="F247" s="24" t="inlineStr">
        <is>
          <t>100046460</t>
        </is>
      </c>
      <c r="G247" s="24" t="inlineStr">
        <is>
          <t>038718</t>
        </is>
      </c>
      <c r="H247" s="596" t="n">
        <v>41960</v>
      </c>
      <c r="I247" s="588" t="n">
        <v>24.26</v>
      </c>
      <c r="J247" s="76" t="inlineStr">
        <is>
          <t>បានបង់</t>
        </is>
      </c>
    </row>
    <row r="248" ht="18" customHeight="1" s="331">
      <c r="A248" s="33" t="n">
        <v>5</v>
      </c>
      <c r="B248" s="24" t="inlineStr">
        <is>
          <t>038802</t>
        </is>
      </c>
      <c r="C248" s="596" t="n">
        <v>41967</v>
      </c>
      <c r="D248" s="588" t="n">
        <v>24.9</v>
      </c>
      <c r="E248" s="10" t="inlineStr">
        <is>
          <t>A P L Logistics</t>
        </is>
      </c>
      <c r="F248" s="24" t="inlineStr">
        <is>
          <t>100046460</t>
        </is>
      </c>
      <c r="G248" s="24" t="inlineStr">
        <is>
          <t>038802</t>
        </is>
      </c>
      <c r="H248" s="596" t="n">
        <v>41967</v>
      </c>
      <c r="I248" s="588" t="n">
        <v>24.9</v>
      </c>
      <c r="J248" s="76" t="inlineStr">
        <is>
          <t>បានបង់</t>
        </is>
      </c>
    </row>
    <row r="249" ht="18" customHeight="1" s="331">
      <c r="A249" s="437" t="inlineStr">
        <is>
          <t>Total 11/2014</t>
        </is>
      </c>
      <c r="B249" s="531" t="n"/>
      <c r="C249" s="519" t="n"/>
      <c r="D249" s="589">
        <f>SUM(D244:D248)</f>
        <v/>
      </c>
      <c r="E249" s="54" t="n"/>
      <c r="F249" s="65" t="n"/>
      <c r="G249" s="65" t="n"/>
      <c r="H249" s="590" t="inlineStr">
        <is>
          <t>USD</t>
        </is>
      </c>
      <c r="I249" s="589">
        <f>SUM(I244:I248)</f>
        <v/>
      </c>
      <c r="J249" s="7" t="n"/>
    </row>
    <row r="250" ht="21.9" customHeight="1" s="331">
      <c r="A250" s="437" t="inlineStr">
        <is>
          <t>Total 11/2014</t>
        </is>
      </c>
      <c r="B250" s="531" t="n"/>
      <c r="C250" s="519" t="n"/>
      <c r="D250" s="589" t="n"/>
      <c r="E250" s="54" t="n"/>
      <c r="F250" s="65" t="n"/>
      <c r="G250" s="591" t="n">
        <v>4068</v>
      </c>
      <c r="H250" s="590" t="inlineStr">
        <is>
          <t>RIEL</t>
        </is>
      </c>
      <c r="I250" s="592">
        <f>I249*G250</f>
        <v/>
      </c>
      <c r="J250" s="7" t="n"/>
    </row>
    <row r="251" ht="18" customHeight="1" s="331">
      <c r="A251" s="33" t="n">
        <v>1</v>
      </c>
      <c r="B251" s="24" t="inlineStr">
        <is>
          <t>038865</t>
        </is>
      </c>
      <c r="C251" s="596" t="n">
        <v>41974</v>
      </c>
      <c r="D251" s="588" t="n">
        <v>163.69</v>
      </c>
      <c r="E251" s="11" t="inlineStr">
        <is>
          <t>A P L Logistics</t>
        </is>
      </c>
      <c r="F251" s="10" t="inlineStr">
        <is>
          <t>100046460</t>
        </is>
      </c>
      <c r="G251" s="24" t="inlineStr">
        <is>
          <t>038865</t>
        </is>
      </c>
      <c r="H251" s="596" t="n">
        <v>41974</v>
      </c>
      <c r="I251" s="588" t="n">
        <v>163.69</v>
      </c>
      <c r="J251" s="76" t="inlineStr">
        <is>
          <t>បានបង់</t>
        </is>
      </c>
    </row>
    <row r="252" ht="18" customHeight="1" s="331">
      <c r="A252" s="33" t="n">
        <v>2</v>
      </c>
      <c r="B252" s="24" t="inlineStr">
        <is>
          <t>038930</t>
        </is>
      </c>
      <c r="C252" s="596" t="n">
        <v>41979</v>
      </c>
      <c r="D252" s="588" t="n">
        <v>340.66</v>
      </c>
      <c r="E252" s="11" t="inlineStr">
        <is>
          <t>A P L Logistics</t>
        </is>
      </c>
      <c r="F252" s="10" t="inlineStr">
        <is>
          <t>100046460</t>
        </is>
      </c>
      <c r="G252" s="24" t="inlineStr">
        <is>
          <t>038930</t>
        </is>
      </c>
      <c r="H252" s="596" t="n">
        <v>41979</v>
      </c>
      <c r="I252" s="588" t="n">
        <v>340.66</v>
      </c>
      <c r="J252" s="76" t="inlineStr">
        <is>
          <t>បានបង់</t>
        </is>
      </c>
    </row>
    <row r="253" ht="18" customHeight="1" s="331">
      <c r="A253" s="33" t="n">
        <v>3</v>
      </c>
      <c r="B253" s="24" t="inlineStr">
        <is>
          <t>038997</t>
        </is>
      </c>
      <c r="C253" s="596" t="n">
        <v>41988</v>
      </c>
      <c r="D253" s="588" t="n">
        <v>232.83</v>
      </c>
      <c r="E253" s="11" t="inlineStr">
        <is>
          <t>A P L Logistics</t>
        </is>
      </c>
      <c r="F253" s="10" t="inlineStr">
        <is>
          <t>100046460</t>
        </is>
      </c>
      <c r="G253" s="24" t="inlineStr">
        <is>
          <t>038997</t>
        </is>
      </c>
      <c r="H253" s="596" t="n">
        <v>41988</v>
      </c>
      <c r="I253" s="588" t="n">
        <v>232.83</v>
      </c>
      <c r="J253" s="76" t="inlineStr">
        <is>
          <t>បានបង់</t>
        </is>
      </c>
    </row>
    <row r="254" ht="18" customHeight="1" s="331">
      <c r="A254" s="33" t="n">
        <v>4</v>
      </c>
      <c r="B254" s="24" t="inlineStr">
        <is>
          <t>039070</t>
        </is>
      </c>
      <c r="C254" s="596" t="n">
        <v>41995</v>
      </c>
      <c r="D254" s="588" t="n">
        <v>78.95</v>
      </c>
      <c r="E254" s="10" t="inlineStr">
        <is>
          <t>A P L Logistics</t>
        </is>
      </c>
      <c r="F254" s="24" t="inlineStr">
        <is>
          <t>100046460</t>
        </is>
      </c>
      <c r="G254" s="24" t="inlineStr">
        <is>
          <t>039070</t>
        </is>
      </c>
      <c r="H254" s="596" t="n">
        <v>41995</v>
      </c>
      <c r="I254" s="588" t="n">
        <v>78.95</v>
      </c>
      <c r="J254" s="76" t="inlineStr">
        <is>
          <t>បានបង់</t>
        </is>
      </c>
    </row>
    <row r="255" ht="18" customHeight="1" s="331">
      <c r="A255" s="33" t="n">
        <v>5</v>
      </c>
      <c r="B255" s="24" t="inlineStr">
        <is>
          <t>039124</t>
        </is>
      </c>
      <c r="C255" s="596" t="n">
        <v>42002</v>
      </c>
      <c r="D255" s="588" t="n">
        <v>304.68</v>
      </c>
      <c r="E255" s="11" t="inlineStr">
        <is>
          <t>A P L Logistics</t>
        </is>
      </c>
      <c r="F255" s="10" t="inlineStr">
        <is>
          <t>100046460</t>
        </is>
      </c>
      <c r="G255" s="24" t="inlineStr">
        <is>
          <t>039124</t>
        </is>
      </c>
      <c r="H255" s="596" t="n">
        <v>42002</v>
      </c>
      <c r="I255" s="588" t="n">
        <v>304.68</v>
      </c>
      <c r="J255" s="76" t="inlineStr">
        <is>
          <t>បានបង់</t>
        </is>
      </c>
    </row>
    <row r="256" ht="18" customHeight="1" s="331">
      <c r="A256" s="437" t="inlineStr">
        <is>
          <t>Total 12/2014</t>
        </is>
      </c>
      <c r="B256" s="531" t="n"/>
      <c r="C256" s="519" t="n"/>
      <c r="D256" s="589">
        <f>SUM(D251:D255)</f>
        <v/>
      </c>
      <c r="E256" s="53" t="n"/>
      <c r="F256" s="54" t="n"/>
      <c r="G256" s="65" t="n"/>
      <c r="H256" s="590" t="inlineStr">
        <is>
          <t>USD</t>
        </is>
      </c>
      <c r="I256" s="589">
        <f>SUM(I251:I255)</f>
        <v/>
      </c>
      <c r="J256" s="7" t="n"/>
    </row>
    <row r="257" ht="21.9" customHeight="1" s="331">
      <c r="A257" s="437" t="inlineStr">
        <is>
          <t>Total 12/2014</t>
        </is>
      </c>
      <c r="B257" s="531" t="n"/>
      <c r="C257" s="519" t="n"/>
      <c r="D257" s="589" t="n"/>
      <c r="E257" s="53" t="n"/>
      <c r="F257" s="54" t="n"/>
      <c r="G257" s="591" t="n">
        <v>4062</v>
      </c>
      <c r="H257" s="590" t="inlineStr">
        <is>
          <t>RIEL</t>
        </is>
      </c>
      <c r="I257" s="592">
        <f>I256*G257</f>
        <v/>
      </c>
      <c r="J257" s="7" t="n"/>
    </row>
    <row r="258" ht="18" customHeight="1" s="331">
      <c r="A258" s="33" t="n">
        <v>1</v>
      </c>
      <c r="B258" s="24" t="inlineStr">
        <is>
          <t>039195</t>
        </is>
      </c>
      <c r="C258" s="596" t="n">
        <v>42009</v>
      </c>
      <c r="D258" s="588" t="n">
        <v>339.54</v>
      </c>
      <c r="E258" s="11" t="inlineStr">
        <is>
          <t>A P L Logistics</t>
        </is>
      </c>
      <c r="F258" s="10" t="inlineStr">
        <is>
          <t>100046460</t>
        </is>
      </c>
      <c r="G258" s="24" t="inlineStr">
        <is>
          <t>039195</t>
        </is>
      </c>
      <c r="H258" s="596" t="n">
        <v>42009</v>
      </c>
      <c r="I258" s="588" t="n">
        <v>339.54</v>
      </c>
      <c r="J258" s="76" t="inlineStr">
        <is>
          <t>បានបង់</t>
        </is>
      </c>
    </row>
    <row r="259" ht="18" customHeight="1" s="331">
      <c r="A259" s="33" t="n">
        <v>2</v>
      </c>
      <c r="B259" s="24" t="inlineStr">
        <is>
          <t>039258</t>
        </is>
      </c>
      <c r="C259" s="596" t="n">
        <v>42016</v>
      </c>
      <c r="D259" s="588" t="n">
        <v>301.45</v>
      </c>
      <c r="E259" s="11" t="inlineStr">
        <is>
          <t>A P L Logistics</t>
        </is>
      </c>
      <c r="F259" s="10" t="inlineStr">
        <is>
          <t>100046460</t>
        </is>
      </c>
      <c r="G259" s="24" t="inlineStr">
        <is>
          <t>039258</t>
        </is>
      </c>
      <c r="H259" s="596" t="n">
        <v>42016</v>
      </c>
      <c r="I259" s="588" t="n">
        <v>301.45</v>
      </c>
      <c r="J259" s="76" t="inlineStr">
        <is>
          <t>បានបង់</t>
        </is>
      </c>
    </row>
    <row r="260" ht="18" customHeight="1" s="331">
      <c r="A260" s="33" t="n">
        <v>3</v>
      </c>
      <c r="B260" s="24" t="inlineStr">
        <is>
          <t>039323</t>
        </is>
      </c>
      <c r="C260" s="596" t="n">
        <v>42024</v>
      </c>
      <c r="D260" s="588" t="n">
        <v>446.06</v>
      </c>
      <c r="E260" s="11" t="inlineStr">
        <is>
          <t>A P L Logistics</t>
        </is>
      </c>
      <c r="F260" s="10" t="inlineStr">
        <is>
          <t>100046460</t>
        </is>
      </c>
      <c r="G260" s="24" t="inlineStr">
        <is>
          <t>039323</t>
        </is>
      </c>
      <c r="H260" s="596" t="n">
        <v>42024</v>
      </c>
      <c r="I260" s="588" t="n">
        <v>446.06</v>
      </c>
      <c r="J260" s="76" t="inlineStr">
        <is>
          <t>បានបង់</t>
        </is>
      </c>
    </row>
    <row r="261" ht="18" customHeight="1" s="331">
      <c r="A261" s="33" t="n">
        <v>4</v>
      </c>
      <c r="B261" s="24" t="inlineStr">
        <is>
          <t>039386</t>
        </is>
      </c>
      <c r="C261" s="596" t="n">
        <v>42030</v>
      </c>
      <c r="D261" s="588" t="n">
        <v>614.58</v>
      </c>
      <c r="E261" s="11" t="inlineStr">
        <is>
          <t>A P L Logistics</t>
        </is>
      </c>
      <c r="F261" s="10" t="inlineStr">
        <is>
          <t>100046460</t>
        </is>
      </c>
      <c r="G261" s="24" t="inlineStr">
        <is>
          <t>039386</t>
        </is>
      </c>
      <c r="H261" s="596" t="n">
        <v>42030</v>
      </c>
      <c r="I261" s="588" t="n">
        <v>614.58</v>
      </c>
      <c r="J261" s="76" t="inlineStr">
        <is>
          <t>បានបង់</t>
        </is>
      </c>
    </row>
    <row r="262" ht="18" customHeight="1" s="331">
      <c r="A262" s="437" t="inlineStr">
        <is>
          <t>Total 01/2015</t>
        </is>
      </c>
      <c r="B262" s="531" t="n"/>
      <c r="C262" s="519" t="n"/>
      <c r="D262" s="589">
        <f>SUM(D258:D261)</f>
        <v/>
      </c>
      <c r="E262" s="53" t="n"/>
      <c r="F262" s="54" t="n"/>
      <c r="G262" s="65" t="n"/>
      <c r="H262" s="590" t="inlineStr">
        <is>
          <t>USD</t>
        </is>
      </c>
      <c r="I262" s="589">
        <f>SUM(I258:I261)</f>
        <v/>
      </c>
      <c r="J262" s="7" t="n"/>
    </row>
    <row r="263" ht="21.9" customHeight="1" s="331">
      <c r="A263" s="437" t="inlineStr">
        <is>
          <t>Total 01/2015</t>
        </is>
      </c>
      <c r="B263" s="531" t="n"/>
      <c r="C263" s="519" t="n"/>
      <c r="D263" s="589" t="n"/>
      <c r="E263" s="53" t="n"/>
      <c r="F263" s="54" t="n"/>
      <c r="G263" s="591" t="n">
        <v>4066</v>
      </c>
      <c r="H263" s="590" t="inlineStr">
        <is>
          <t>RIEL</t>
        </is>
      </c>
      <c r="I263" s="592">
        <f>I262*G263</f>
        <v/>
      </c>
      <c r="J263" s="7" t="n"/>
    </row>
    <row r="264" ht="18" customHeight="1" s="331">
      <c r="A264" s="33" t="n">
        <v>1</v>
      </c>
      <c r="B264" s="24" t="inlineStr">
        <is>
          <t>039449</t>
        </is>
      </c>
      <c r="C264" s="596" t="n">
        <v>42037</v>
      </c>
      <c r="D264" s="588" t="n">
        <v>314.24</v>
      </c>
      <c r="E264" s="11" t="inlineStr">
        <is>
          <t>A P L Logistics</t>
        </is>
      </c>
      <c r="F264" s="10" t="inlineStr">
        <is>
          <t>100046460</t>
        </is>
      </c>
      <c r="G264" s="24" t="inlineStr">
        <is>
          <t>039449</t>
        </is>
      </c>
      <c r="H264" s="596" t="n">
        <v>42037</v>
      </c>
      <c r="I264" s="588" t="n">
        <v>314.24</v>
      </c>
      <c r="J264" s="76" t="inlineStr">
        <is>
          <t>បានបង់</t>
        </is>
      </c>
    </row>
    <row r="265" ht="18" customHeight="1" s="331">
      <c r="A265" s="33" t="n">
        <v>2</v>
      </c>
      <c r="B265" s="24" t="inlineStr">
        <is>
          <t>039520</t>
        </is>
      </c>
      <c r="C265" s="596" t="n">
        <v>42044</v>
      </c>
      <c r="D265" s="588" t="n">
        <v>61.89</v>
      </c>
      <c r="E265" s="10" t="inlineStr">
        <is>
          <t>A P L Logistics</t>
        </is>
      </c>
      <c r="F265" s="24" t="inlineStr">
        <is>
          <t>100046460</t>
        </is>
      </c>
      <c r="G265" s="24" t="inlineStr">
        <is>
          <t>039520</t>
        </is>
      </c>
      <c r="H265" s="596" t="n">
        <v>42044</v>
      </c>
      <c r="I265" s="588" t="n">
        <v>61.89</v>
      </c>
      <c r="J265" s="76" t="inlineStr">
        <is>
          <t>បានបង់</t>
        </is>
      </c>
    </row>
    <row r="266" ht="18" customHeight="1" s="331">
      <c r="A266" s="33" t="n">
        <v>3</v>
      </c>
      <c r="B266" s="24" t="inlineStr">
        <is>
          <t>039615</t>
        </is>
      </c>
      <c r="C266" s="596" t="n">
        <v>42051</v>
      </c>
      <c r="D266" s="588" t="n">
        <v>228.53</v>
      </c>
      <c r="E266" s="11" t="inlineStr">
        <is>
          <t>A P L Logistics</t>
        </is>
      </c>
      <c r="F266" s="10" t="inlineStr">
        <is>
          <t>100046460</t>
        </is>
      </c>
      <c r="G266" s="24" t="inlineStr">
        <is>
          <t>039615</t>
        </is>
      </c>
      <c r="H266" s="596" t="n">
        <v>42051</v>
      </c>
      <c r="I266" s="588" t="n">
        <v>228.53</v>
      </c>
      <c r="J266" s="76" t="inlineStr">
        <is>
          <t>បានបង់</t>
        </is>
      </c>
    </row>
    <row r="267" ht="18" customHeight="1" s="331">
      <c r="A267" s="33" t="n">
        <v>4</v>
      </c>
      <c r="B267" s="28" t="inlineStr">
        <is>
          <t>039696</t>
        </is>
      </c>
      <c r="C267" s="597" t="n">
        <v>42059</v>
      </c>
      <c r="D267" s="598" t="n">
        <v>177.34</v>
      </c>
      <c r="E267" s="11" t="inlineStr">
        <is>
          <t>A P L Logistics</t>
        </is>
      </c>
      <c r="F267" s="10" t="inlineStr">
        <is>
          <t>100046460</t>
        </is>
      </c>
      <c r="G267" s="28" t="inlineStr">
        <is>
          <t>039696</t>
        </is>
      </c>
      <c r="H267" s="597" t="n">
        <v>42059</v>
      </c>
      <c r="I267" s="598" t="n">
        <v>177.34</v>
      </c>
      <c r="J267" s="76" t="inlineStr">
        <is>
          <t>បានបង់</t>
        </is>
      </c>
    </row>
    <row r="268" ht="18" customHeight="1" s="331">
      <c r="A268" s="437" t="inlineStr">
        <is>
          <t>Total 02/2015</t>
        </is>
      </c>
      <c r="B268" s="531" t="n"/>
      <c r="C268" s="519" t="n"/>
      <c r="D268" s="599">
        <f>SUM(D264:D267)</f>
        <v/>
      </c>
      <c r="E268" s="53" t="n"/>
      <c r="F268" s="54" t="n"/>
      <c r="G268" s="67" t="n"/>
      <c r="H268" s="590" t="inlineStr">
        <is>
          <t>USD</t>
        </is>
      </c>
      <c r="I268" s="599">
        <f>SUM(I264:I267)</f>
        <v/>
      </c>
      <c r="J268" s="600" t="n"/>
    </row>
    <row r="269" ht="21.9" customHeight="1" s="331">
      <c r="A269" s="437" t="inlineStr">
        <is>
          <t>Total 02/2015</t>
        </is>
      </c>
      <c r="B269" s="531" t="n"/>
      <c r="C269" s="519" t="n"/>
      <c r="D269" s="599" t="n"/>
      <c r="E269" s="53" t="n"/>
      <c r="F269" s="54" t="n"/>
      <c r="G269" s="591" t="n">
        <v>4046</v>
      </c>
      <c r="H269" s="590" t="inlineStr">
        <is>
          <t>RIEL</t>
        </is>
      </c>
      <c r="I269" s="592">
        <f>I268*G269</f>
        <v/>
      </c>
      <c r="J269" s="31" t="n"/>
    </row>
    <row r="270" ht="23.4" customHeight="1" s="331">
      <c r="A270" s="437" t="inlineStr">
        <is>
          <t>TOTAL 7/2012-02/2015</t>
        </is>
      </c>
      <c r="B270" s="531" t="n"/>
      <c r="C270" s="519" t="n"/>
      <c r="D270" s="601" t="n"/>
      <c r="E270" s="602" t="n"/>
      <c r="F270" s="602" t="n"/>
      <c r="G270" s="603" t="n"/>
      <c r="H270" s="590" t="inlineStr">
        <is>
          <t>USD</t>
        </is>
      </c>
      <c r="I270" s="604">
        <f>I18+I25+I32+I37+I43+I52+I64+I74+I85+I97+I107+I116+I128+I135+I147+I156+I161+I169+I178+I188+I197+I204+I211+I218+I223+I229+I236+I242+I249+I256+I262+I268</f>
        <v/>
      </c>
      <c r="J270" s="74" t="inlineStr">
        <is>
          <t>បានបង់</t>
        </is>
      </c>
    </row>
    <row r="271" ht="24" customHeight="1" s="331">
      <c r="A271" s="437" t="inlineStr">
        <is>
          <t>TOTAL 7/2012-02/2015</t>
        </is>
      </c>
      <c r="B271" s="531" t="n"/>
      <c r="C271" s="519" t="n"/>
      <c r="D271" s="601" t="n"/>
      <c r="E271" s="602" t="n"/>
      <c r="F271" s="602" t="n"/>
      <c r="G271" s="603" t="n"/>
      <c r="H271" s="590" t="inlineStr">
        <is>
          <t>RIEL</t>
        </is>
      </c>
      <c r="I271" s="605">
        <f>I19+I26+I33+I38+I44+I53+I65+I75+I86+I98+I108+I117+I129+I136+I148+I157+I162+I170+I179+I189+I198+I205+I212+I219+I224+I230+I237+I243+I250+I257+I263+I269</f>
        <v/>
      </c>
      <c r="J271" s="77" t="inlineStr">
        <is>
          <t>បានបង់</t>
        </is>
      </c>
    </row>
    <row r="272" ht="25.2" customHeight="1" s="331">
      <c r="A272" s="418" t="inlineStr">
        <is>
          <t>ចំនួនវិក្កយបត្រៈ ១៩៨</t>
        </is>
      </c>
      <c r="B272" s="531" t="n"/>
      <c r="C272" s="519" t="n"/>
      <c r="D272" s="418" t="inlineStr">
        <is>
          <t>បានផ្ទៀងផ្ទាត់ហើយក្រុមហ៊ុនបានប្រកាសបង់</t>
        </is>
      </c>
      <c r="E272" s="531" t="n"/>
      <c r="F272" s="531" t="n"/>
      <c r="G272" s="531" t="n"/>
      <c r="H272" s="519" t="n"/>
      <c r="I272" s="78" t="n">
        <v>100871023</v>
      </c>
      <c r="J272" s="79" t="inlineStr">
        <is>
          <t>រៀល</t>
        </is>
      </c>
    </row>
    <row r="273" ht="46.5" customHeight="1" s="331">
      <c r="A273" s="418" t="inlineStr">
        <is>
          <t>ចំនួនវិក្កយបត្រៈ ៤.១៣៧</t>
        </is>
      </c>
      <c r="B273" s="531" t="n"/>
      <c r="C273" s="519" t="n"/>
      <c r="D273" s="606" t="inlineStr">
        <is>
          <t>វិក្កយបត្រតូចៗមិនបានផ្ទៀងផ្ទាត់ ដោយជ្រើសរើសវិក្កយបត្រចំនួន ១៩៨​ ជាគំរូ ហើយអ្នកផ្គត់ផ្គង់បានប្រកាសហើយ</t>
        </is>
      </c>
      <c r="E273" s="531" t="n"/>
      <c r="F273" s="531" t="n"/>
      <c r="G273" s="531" t="n"/>
      <c r="H273" s="519" t="n"/>
      <c r="I273" s="607" t="n">
        <v>194826746</v>
      </c>
      <c r="J273" s="79" t="inlineStr">
        <is>
          <t>រៀល</t>
        </is>
      </c>
    </row>
    <row r="274" ht="25.2" customHeight="1" s="331">
      <c r="A274" s="79" t="inlineStr">
        <is>
          <t>ចំនួនវិក្កយបត្រសរុបៈ ៤.៣៣៥</t>
        </is>
      </c>
      <c r="B274" s="542" t="n"/>
      <c r="C274" s="543" t="n"/>
      <c r="D274" s="79" t="inlineStr">
        <is>
          <t>សរុបទឹកប្រាក់នៅសល់ត្រូវបង្វិលសង</t>
        </is>
      </c>
      <c r="E274" s="531" t="n"/>
      <c r="F274" s="531" t="n"/>
      <c r="G274" s="531" t="n"/>
      <c r="H274" s="519" t="n"/>
      <c r="I274" s="607" t="n">
        <v>295697769</v>
      </c>
      <c r="J274" s="79" t="inlineStr">
        <is>
          <t>រៀល</t>
        </is>
      </c>
    </row>
    <row r="275" ht="25.2" customHeight="1" s="331">
      <c r="A275" s="608" t="n"/>
      <c r="C275" s="609" t="n"/>
      <c r="D275" s="82" t="inlineStr">
        <is>
          <t>សរុបទឹកប្រាក់ស្នើសុំបង្វិលសងតាមទម្រង់ អតប ២០០</t>
        </is>
      </c>
      <c r="E275" s="531" t="n"/>
      <c r="F275" s="531" t="n"/>
      <c r="G275" s="531" t="n"/>
      <c r="H275" s="519" t="n"/>
      <c r="I275" s="610" t="n">
        <v>297231546</v>
      </c>
      <c r="J275" s="82" t="inlineStr">
        <is>
          <t>រៀល</t>
        </is>
      </c>
    </row>
    <row r="276" ht="25.2" customHeight="1" s="331">
      <c r="A276" s="608" t="n"/>
      <c r="C276" s="609" t="n"/>
      <c r="D276" s="82" t="inlineStr">
        <is>
          <t>សរុបទឹកប្រាក់កាត់ចេញ (ការគណនាខុស វិក្កយបត្រមិនត្រឹមត្រូវនិងកត់ត្រាស្ទួន )</t>
        </is>
      </c>
      <c r="E276" s="531" t="n"/>
      <c r="F276" s="531" t="n"/>
      <c r="G276" s="531" t="n"/>
      <c r="H276" s="519" t="n"/>
      <c r="I276" s="610" t="n">
        <v>1533777</v>
      </c>
      <c r="J276" s="82" t="inlineStr">
        <is>
          <t>រៀល</t>
        </is>
      </c>
    </row>
    <row r="277" ht="25.2" customHeight="1" s="331">
      <c r="A277" s="547" t="n"/>
      <c r="B277" s="529" t="n"/>
      <c r="C277" s="548" t="n"/>
      <c r="D277" s="82" t="inlineStr">
        <is>
          <t>សរុបទឹកប្រាក់នៅសល់ត្រូវបង្វិលសង</t>
        </is>
      </c>
      <c r="E277" s="531" t="n"/>
      <c r="F277" s="531" t="n"/>
      <c r="G277" s="531" t="n"/>
      <c r="H277" s="519" t="n"/>
      <c r="I277" s="610" t="n">
        <v>295697769</v>
      </c>
      <c r="J277" s="82" t="inlineStr">
        <is>
          <t>រៀល</t>
        </is>
      </c>
    </row>
    <row r="278" ht="25.2" customHeight="1" s="331">
      <c r="H278" s="416" t="inlineStr">
        <is>
          <t>ធ្វើនៅរាជធានីភ្នំពេញ.ថ្ងៃទី១១ ខែធ្នូ ឆ្នាំ២០១៥</t>
        </is>
      </c>
      <c r="I278" s="542" t="n"/>
      <c r="J278" s="542" t="n"/>
    </row>
    <row r="279" ht="25.2" customHeight="1" s="331">
      <c r="H279" s="417" t="inlineStr">
        <is>
          <t>មន្ត្រីសវនកម្ម</t>
        </is>
      </c>
    </row>
    <row r="286" ht="25.2" customHeight="1" s="331">
      <c r="H286" s="417" t="inlineStr">
        <is>
          <t>ហុង ចំរើន                          កៅ សុលាភ</t>
        </is>
      </c>
    </row>
  </sheetData>
  <mergeCells count="90">
    <mergeCell ref="A128:C128"/>
    <mergeCell ref="A37:C37"/>
    <mergeCell ref="A273:C273"/>
    <mergeCell ref="A136:C136"/>
    <mergeCell ref="E5:I5"/>
    <mergeCell ref="A272:C272"/>
    <mergeCell ref="D276:H276"/>
    <mergeCell ref="A26:C26"/>
    <mergeCell ref="H278:J278"/>
    <mergeCell ref="A179:C179"/>
    <mergeCell ref="A43:C43"/>
    <mergeCell ref="B6:D6"/>
    <mergeCell ref="A156:C156"/>
    <mergeCell ref="J5:J7"/>
    <mergeCell ref="A52:C52"/>
    <mergeCell ref="A229:C229"/>
    <mergeCell ref="D273:H273"/>
    <mergeCell ref="A148:C148"/>
    <mergeCell ref="A157:C157"/>
    <mergeCell ref="A270:C270"/>
    <mergeCell ref="A256:C256"/>
    <mergeCell ref="A205:C205"/>
    <mergeCell ref="G6:I6"/>
    <mergeCell ref="A75:C75"/>
    <mergeCell ref="A198:C198"/>
    <mergeCell ref="A5:A7"/>
    <mergeCell ref="D275:H275"/>
    <mergeCell ref="A263:C263"/>
    <mergeCell ref="A32:C32"/>
    <mergeCell ref="A97:C97"/>
    <mergeCell ref="A219:C219"/>
    <mergeCell ref="A224:C224"/>
    <mergeCell ref="D277:H277"/>
    <mergeCell ref="A38:C38"/>
    <mergeCell ref="A147:C147"/>
    <mergeCell ref="A3:E3"/>
    <mergeCell ref="A161:C161"/>
    <mergeCell ref="B5:D5"/>
    <mergeCell ref="A170:C170"/>
    <mergeCell ref="A44:C44"/>
    <mergeCell ref="A249:C249"/>
    <mergeCell ref="A211:C211"/>
    <mergeCell ref="A257:C257"/>
    <mergeCell ref="A250:C250"/>
    <mergeCell ref="A197:C197"/>
    <mergeCell ref="A237:C237"/>
    <mergeCell ref="A2:J2"/>
    <mergeCell ref="A212:C212"/>
    <mergeCell ref="A243:C243"/>
    <mergeCell ref="A25:C25"/>
    <mergeCell ref="A108:C108"/>
    <mergeCell ref="A236:C236"/>
    <mergeCell ref="A18:C18"/>
    <mergeCell ref="A189:C189"/>
    <mergeCell ref="A223:C223"/>
    <mergeCell ref="A204:C204"/>
    <mergeCell ref="A86:C86"/>
    <mergeCell ref="A188:C188"/>
    <mergeCell ref="A135:C135"/>
    <mergeCell ref="A262:C262"/>
    <mergeCell ref="D272:H272"/>
    <mergeCell ref="D274:H274"/>
    <mergeCell ref="A64:C64"/>
    <mergeCell ref="A98:C98"/>
    <mergeCell ref="A169:C169"/>
    <mergeCell ref="A107:C107"/>
    <mergeCell ref="A178:C178"/>
    <mergeCell ref="H286:J286"/>
    <mergeCell ref="A162:C162"/>
    <mergeCell ref="F6:F7"/>
    <mergeCell ref="H279:J279"/>
    <mergeCell ref="A268:C268"/>
    <mergeCell ref="A274:C277"/>
    <mergeCell ref="A4:D4"/>
    <mergeCell ref="A74:C74"/>
    <mergeCell ref="A129:C129"/>
    <mergeCell ref="A242:C242"/>
    <mergeCell ref="A33:C33"/>
    <mergeCell ref="A116:C116"/>
    <mergeCell ref="A85:C85"/>
    <mergeCell ref="A269:C269"/>
    <mergeCell ref="E6:E7"/>
    <mergeCell ref="A53:C53"/>
    <mergeCell ref="A1:J1"/>
    <mergeCell ref="A19:C19"/>
    <mergeCell ref="A117:C117"/>
    <mergeCell ref="A230:C230"/>
    <mergeCell ref="A271:C271"/>
    <mergeCell ref="A65:C65"/>
    <mergeCell ref="A218:C218"/>
  </mergeCells>
  <printOptions horizontalCentered="1"/>
  <pageMargins left="0.2" right="0.2" top="0.35" bottom="0.5" header="0.5" footer="0.3"/>
  <pageSetup orientation="portrait" paperSize="9" scale="7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selection activeCell="C8" sqref="C8"/>
    </sheetView>
  </sheetViews>
  <sheetFormatPr baseColWidth="8" defaultRowHeight="13.2"/>
  <cols>
    <col width="7" customWidth="1" style="331" min="1" max="1"/>
    <col width="14.33203125" customWidth="1" style="331" min="2" max="2"/>
    <col width="10.6640625" customWidth="1" style="331" min="3" max="3"/>
    <col width="11.109375" customWidth="1" style="331" min="4" max="4"/>
    <col width="20.33203125" customWidth="1" style="331" min="5" max="5"/>
    <col width="13.109375" customWidth="1" style="331" min="6" max="6"/>
    <col width="10.6640625" customWidth="1" style="331" min="7" max="7"/>
    <col width="11.5546875" customWidth="1" style="331" min="8" max="8"/>
    <col width="12.6640625" customWidth="1" style="331" min="9" max="9"/>
    <col width="10.88671875" customWidth="1" style="331" min="10" max="10"/>
  </cols>
  <sheetData>
    <row r="1" ht="33.6" customHeight="1" s="331">
      <c r="A1" s="438" t="inlineStr">
        <is>
          <t>តារាងឧបសម្ព័ន្ឋ</t>
        </is>
      </c>
    </row>
    <row r="2" ht="33.6" customHeight="1" s="331">
      <c r="A2" s="438" t="inlineStr">
        <is>
          <t>តារាងប្រៀធៀបវិក្ក័យប័ត្រស្នើសុំបង្វិលសងអាករលើតំលៃបន្ថែម  ( Cross checking )</t>
        </is>
      </c>
    </row>
    <row r="3" ht="27" customHeight="1" s="331">
      <c r="A3" s="459" t="inlineStr">
        <is>
          <t>នាមករណ៏សហគ្រាស  :  Maurea Garments Corp</t>
        </is>
      </c>
      <c r="F3" s="4" t="n"/>
      <c r="G3" s="4" t="n"/>
      <c r="H3" s="4" t="n"/>
      <c r="I3" s="4" t="n"/>
      <c r="J3" s="4" t="n"/>
    </row>
    <row r="4" ht="27" customHeight="1" s="331">
      <c r="A4" s="440" t="inlineStr">
        <is>
          <t>VAT TIN  : 1 0 0 0 5 2 9 6 7</t>
        </is>
      </c>
      <c r="B4" s="529" t="n"/>
      <c r="C4" s="529" t="n"/>
      <c r="D4" s="529" t="n"/>
      <c r="E4" s="5" t="n"/>
      <c r="F4" s="4" t="n"/>
      <c r="G4" s="4" t="n"/>
      <c r="H4" s="4" t="n"/>
      <c r="I4" s="4" t="n"/>
      <c r="J4" s="4" t="n"/>
    </row>
    <row r="5" ht="25.2" customHeight="1" s="331">
      <c r="A5" s="611" t="inlineStr">
        <is>
          <t>ល.រ</t>
        </is>
      </c>
      <c r="B5" s="468" t="inlineStr">
        <is>
          <t>ក្រុមហ៊ុនស្នើសុំបង្វិលសង</t>
        </is>
      </c>
      <c r="C5" s="542" t="n"/>
      <c r="D5" s="543" t="n"/>
      <c r="E5" s="466" t="inlineStr">
        <is>
          <t>អ្នកផ្គត់ផ្គង់</t>
        </is>
      </c>
      <c r="F5" s="531" t="n"/>
      <c r="G5" s="531" t="n"/>
      <c r="H5" s="531" t="n"/>
      <c r="I5" s="519" t="n"/>
      <c r="J5" s="475" t="inlineStr">
        <is>
          <t>ផ្សេងៗ</t>
        </is>
      </c>
    </row>
    <row r="6" ht="25.2" customHeight="1" s="331">
      <c r="A6" s="555" t="n"/>
      <c r="B6" s="470" t="inlineStr">
        <is>
          <t>វិក័យបត្រ័</t>
        </is>
      </c>
      <c r="C6" s="529" t="n"/>
      <c r="D6" s="548" t="n"/>
      <c r="E6" s="474" t="inlineStr">
        <is>
          <t>សហគ្រាស</t>
        </is>
      </c>
      <c r="F6" s="475" t="inlineStr">
        <is>
          <t>លេខអតប</t>
        </is>
      </c>
      <c r="G6" s="470" t="inlineStr">
        <is>
          <t>វិក័យបត្រ័</t>
        </is>
      </c>
      <c r="H6" s="529" t="n"/>
      <c r="I6" s="548" t="n"/>
      <c r="J6" s="555" t="n"/>
    </row>
    <row r="7" ht="25.2" customHeight="1" s="331">
      <c r="A7" s="520" t="n"/>
      <c r="B7" s="470" t="inlineStr">
        <is>
          <t>លេខ</t>
        </is>
      </c>
      <c r="C7" s="470" t="inlineStr">
        <is>
          <t>ថ្ងៃទី ខែ ឆ្នាំ</t>
        </is>
      </c>
      <c r="D7" s="470" t="inlineStr">
        <is>
          <t>ប្រាក់អាករ</t>
        </is>
      </c>
      <c r="E7" s="548" t="n"/>
      <c r="F7" s="520" t="n"/>
      <c r="G7" s="470" t="inlineStr">
        <is>
          <t>លេខ</t>
        </is>
      </c>
      <c r="H7" s="470" t="inlineStr">
        <is>
          <t>ថ្ងៃទី ខែ ឆ្នាំ</t>
        </is>
      </c>
      <c r="I7" s="470" t="inlineStr">
        <is>
          <t>ប្រាក់អាករ</t>
        </is>
      </c>
      <c r="J7" s="520" t="n"/>
    </row>
    <row r="8" ht="18" customHeight="1" s="331">
      <c r="A8" s="33" t="n">
        <v>1</v>
      </c>
      <c r="B8" s="24" t="inlineStr">
        <is>
          <t>07-0360</t>
        </is>
      </c>
      <c r="C8" s="596" t="n">
        <v>41842</v>
      </c>
      <c r="D8" s="588" t="n">
        <v>41.5</v>
      </c>
      <c r="E8" s="10" t="inlineStr">
        <is>
          <t>YUSEN LOGISTICS</t>
        </is>
      </c>
      <c r="F8" s="24" t="inlineStr">
        <is>
          <t>104015799</t>
        </is>
      </c>
      <c r="G8" s="24" t="inlineStr">
        <is>
          <t>07-0360</t>
        </is>
      </c>
      <c r="H8" s="596" t="n">
        <v>41842</v>
      </c>
      <c r="I8" s="588" t="n">
        <v>41.5</v>
      </c>
      <c r="J8" s="9" t="n"/>
    </row>
    <row r="9" ht="18" customHeight="1" s="331">
      <c r="A9" s="33" t="n">
        <v>2</v>
      </c>
      <c r="B9" s="24" t="inlineStr">
        <is>
          <t>07-0367</t>
        </is>
      </c>
      <c r="C9" s="596" t="n">
        <v>41842</v>
      </c>
      <c r="D9" s="588" t="n">
        <v>64.56999999999999</v>
      </c>
      <c r="E9" s="10" t="inlineStr">
        <is>
          <t>YUSEN LOGISTICS</t>
        </is>
      </c>
      <c r="F9" s="24" t="inlineStr">
        <is>
          <t>104015799</t>
        </is>
      </c>
      <c r="G9" s="24" t="inlineStr">
        <is>
          <t>07-0367</t>
        </is>
      </c>
      <c r="H9" s="596" t="n">
        <v>41842</v>
      </c>
      <c r="I9" s="588" t="n">
        <v>64.56999999999999</v>
      </c>
      <c r="J9" s="9" t="n"/>
    </row>
    <row r="10" ht="18" customHeight="1" s="331">
      <c r="A10" s="33" t="n">
        <v>3</v>
      </c>
      <c r="B10" s="24" t="inlineStr">
        <is>
          <t>07-0368</t>
        </is>
      </c>
      <c r="C10" s="596" t="n">
        <v>41842</v>
      </c>
      <c r="D10" s="588" t="n">
        <v>59.11</v>
      </c>
      <c r="E10" s="10" t="inlineStr">
        <is>
          <t>YUSEN LOGISTICS</t>
        </is>
      </c>
      <c r="F10" s="24" t="inlineStr">
        <is>
          <t>104015799</t>
        </is>
      </c>
      <c r="G10" s="24" t="inlineStr">
        <is>
          <t>07-0368</t>
        </is>
      </c>
      <c r="H10" s="596" t="n">
        <v>41842</v>
      </c>
      <c r="I10" s="588" t="n">
        <v>59.11</v>
      </c>
      <c r="J10" s="9" t="n"/>
    </row>
    <row r="11" ht="18" customHeight="1" s="331">
      <c r="A11" s="33" t="n">
        <v>4</v>
      </c>
      <c r="B11" s="24" t="inlineStr">
        <is>
          <t>07-0517</t>
        </is>
      </c>
      <c r="C11" s="596" t="n">
        <v>41849</v>
      </c>
      <c r="D11" s="588" t="n">
        <v>75.93000000000001</v>
      </c>
      <c r="E11" s="10" t="inlineStr">
        <is>
          <t>YUSEN LOGISTICS</t>
        </is>
      </c>
      <c r="F11" s="24" t="inlineStr">
        <is>
          <t>104015799</t>
        </is>
      </c>
      <c r="G11" s="24" t="inlineStr">
        <is>
          <t>07-0517</t>
        </is>
      </c>
      <c r="H11" s="596" t="n">
        <v>41849</v>
      </c>
      <c r="I11" s="588" t="n">
        <v>75.93000000000001</v>
      </c>
      <c r="J11" s="9" t="n"/>
    </row>
    <row r="12" ht="18" customHeight="1" s="331">
      <c r="A12" s="33" t="n">
        <v>5</v>
      </c>
      <c r="B12" s="24" t="inlineStr">
        <is>
          <t>08-0039</t>
        </is>
      </c>
      <c r="C12" s="596" t="n">
        <v>41856</v>
      </c>
      <c r="D12" s="588" t="n">
        <v>46.05</v>
      </c>
      <c r="E12" s="10" t="inlineStr">
        <is>
          <t>YUSEN LOGISTICS</t>
        </is>
      </c>
      <c r="F12" s="24" t="inlineStr">
        <is>
          <t>104015799</t>
        </is>
      </c>
      <c r="G12" s="24" t="inlineStr">
        <is>
          <t>08-0039</t>
        </is>
      </c>
      <c r="H12" s="596" t="n">
        <v>41856</v>
      </c>
      <c r="I12" s="588" t="n">
        <v>46.05</v>
      </c>
      <c r="J12" s="9" t="n"/>
    </row>
    <row r="13" ht="18" customHeight="1" s="331">
      <c r="A13" s="33" t="n">
        <v>6</v>
      </c>
      <c r="B13" s="24" t="inlineStr">
        <is>
          <t>08-0044</t>
        </is>
      </c>
      <c r="C13" s="596" t="n">
        <v>41856</v>
      </c>
      <c r="D13" s="588" t="n">
        <v>41.5</v>
      </c>
      <c r="E13" s="10" t="inlineStr">
        <is>
          <t>YUSEN LOGISTICS</t>
        </is>
      </c>
      <c r="F13" s="24" t="inlineStr">
        <is>
          <t>104015799</t>
        </is>
      </c>
      <c r="G13" s="24" t="inlineStr">
        <is>
          <t>08-0044</t>
        </is>
      </c>
      <c r="H13" s="596" t="n">
        <v>41856</v>
      </c>
      <c r="I13" s="588" t="n">
        <v>41.5</v>
      </c>
      <c r="J13" s="9" t="n"/>
    </row>
    <row r="14" ht="18" customHeight="1" s="331">
      <c r="A14" s="33" t="n">
        <v>7</v>
      </c>
      <c r="B14" s="24" t="inlineStr">
        <is>
          <t>08-0185</t>
        </is>
      </c>
      <c r="C14" s="596" t="n">
        <v>41864</v>
      </c>
      <c r="D14" s="588" t="n">
        <v>27.9</v>
      </c>
      <c r="E14" s="10" t="inlineStr">
        <is>
          <t>YUSEN LOGISTICS</t>
        </is>
      </c>
      <c r="F14" s="24" t="inlineStr">
        <is>
          <t>104015799</t>
        </is>
      </c>
      <c r="G14" s="24" t="inlineStr">
        <is>
          <t>08-0185</t>
        </is>
      </c>
      <c r="H14" s="596" t="n">
        <v>41864</v>
      </c>
      <c r="I14" s="588" t="n">
        <v>27.9</v>
      </c>
      <c r="J14" s="9" t="n"/>
    </row>
    <row r="15" ht="18" customHeight="1" s="331">
      <c r="A15" s="33" t="n">
        <v>8</v>
      </c>
      <c r="B15" s="24" t="inlineStr">
        <is>
          <t>08-0677</t>
        </is>
      </c>
      <c r="C15" s="596" t="n">
        <v>41882</v>
      </c>
      <c r="D15" s="588" t="n">
        <v>143</v>
      </c>
      <c r="E15" s="10" t="inlineStr">
        <is>
          <t>YUSEN LOGISTICS</t>
        </is>
      </c>
      <c r="F15" s="24" t="inlineStr">
        <is>
          <t>104015799</t>
        </is>
      </c>
      <c r="G15" s="24" t="inlineStr">
        <is>
          <t>08-0677</t>
        </is>
      </c>
      <c r="H15" s="596" t="n">
        <v>41882</v>
      </c>
      <c r="I15" s="588" t="n">
        <v>143</v>
      </c>
      <c r="J15" s="9" t="n"/>
    </row>
    <row r="16" ht="18" customHeight="1" s="331">
      <c r="A16" s="33" t="n">
        <v>9</v>
      </c>
      <c r="B16" s="24" t="inlineStr">
        <is>
          <t>08-0685</t>
        </is>
      </c>
      <c r="C16" s="596" t="n">
        <v>41882</v>
      </c>
      <c r="D16" s="588" t="n">
        <v>60.33</v>
      </c>
      <c r="E16" s="10" t="inlineStr">
        <is>
          <t>YUSEN LOGISTICS</t>
        </is>
      </c>
      <c r="F16" s="24" t="inlineStr">
        <is>
          <t>104015799</t>
        </is>
      </c>
      <c r="G16" s="24" t="inlineStr">
        <is>
          <t>08-0685</t>
        </is>
      </c>
      <c r="H16" s="596" t="n">
        <v>41882</v>
      </c>
      <c r="I16" s="588" t="n">
        <v>60.33</v>
      </c>
      <c r="J16" s="9" t="n"/>
    </row>
    <row r="17" ht="18" customHeight="1" s="331">
      <c r="A17" s="33" t="n">
        <v>10</v>
      </c>
      <c r="B17" s="24" t="inlineStr">
        <is>
          <t>09-0111</t>
        </is>
      </c>
      <c r="C17" s="596" t="n">
        <v>41892</v>
      </c>
      <c r="D17" s="588" t="n">
        <v>27.53</v>
      </c>
      <c r="E17" s="10" t="inlineStr">
        <is>
          <t>YUSEN LOGISTICS</t>
        </is>
      </c>
      <c r="F17" s="24" t="inlineStr">
        <is>
          <t>104015799</t>
        </is>
      </c>
      <c r="G17" s="24" t="inlineStr">
        <is>
          <t>09-0111</t>
        </is>
      </c>
      <c r="H17" s="596" t="n">
        <v>41892</v>
      </c>
      <c r="I17" s="588" t="n">
        <v>27.53</v>
      </c>
      <c r="J17" s="9" t="n"/>
    </row>
    <row r="18" ht="18" customHeight="1" s="331">
      <c r="A18" s="33" t="n">
        <v>11</v>
      </c>
      <c r="B18" s="24" t="inlineStr">
        <is>
          <t>09-0117</t>
        </is>
      </c>
      <c r="C18" s="596" t="n">
        <v>41892</v>
      </c>
      <c r="D18" s="588" t="n">
        <v>53.64</v>
      </c>
      <c r="E18" s="10" t="inlineStr">
        <is>
          <t>YUSEN LOGISTICS</t>
        </is>
      </c>
      <c r="F18" s="24" t="inlineStr">
        <is>
          <t>104015799</t>
        </is>
      </c>
      <c r="G18" s="24" t="inlineStr">
        <is>
          <t>09-0117</t>
        </is>
      </c>
      <c r="H18" s="596" t="n">
        <v>41892</v>
      </c>
      <c r="I18" s="588" t="n">
        <v>53.64</v>
      </c>
      <c r="J18" s="9" t="n"/>
    </row>
    <row r="19" ht="18" customHeight="1" s="331">
      <c r="A19" s="33" t="n">
        <v>12</v>
      </c>
      <c r="B19" s="24" t="inlineStr">
        <is>
          <t>09-0199</t>
        </is>
      </c>
      <c r="C19" s="596" t="n">
        <v>41898</v>
      </c>
      <c r="D19" s="588" t="n">
        <v>34.77</v>
      </c>
      <c r="E19" s="10" t="inlineStr">
        <is>
          <t>YUSEN LOGISTICS</t>
        </is>
      </c>
      <c r="F19" s="24" t="inlineStr">
        <is>
          <t>104015799</t>
        </is>
      </c>
      <c r="G19" s="24" t="inlineStr">
        <is>
          <t>09-0199</t>
        </is>
      </c>
      <c r="H19" s="596" t="n">
        <v>41898</v>
      </c>
      <c r="I19" s="588" t="n">
        <v>34.77</v>
      </c>
      <c r="J19" s="9" t="n"/>
    </row>
    <row r="20" ht="18" customHeight="1" s="331">
      <c r="A20" s="33" t="n">
        <v>13</v>
      </c>
      <c r="B20" s="24" t="inlineStr">
        <is>
          <t>09-0332</t>
        </is>
      </c>
      <c r="C20" s="596" t="n">
        <v>41908</v>
      </c>
      <c r="D20" s="588" t="n">
        <v>68.5</v>
      </c>
      <c r="E20" s="10" t="inlineStr">
        <is>
          <t>YUSEN LOGISTICS</t>
        </is>
      </c>
      <c r="F20" s="24" t="inlineStr">
        <is>
          <t>104015799</t>
        </is>
      </c>
      <c r="G20" s="24" t="inlineStr">
        <is>
          <t>09-0332</t>
        </is>
      </c>
      <c r="H20" s="596" t="n">
        <v>41908</v>
      </c>
      <c r="I20" s="588" t="n">
        <v>68.5</v>
      </c>
      <c r="J20" s="9" t="n"/>
    </row>
    <row r="21" ht="18" customHeight="1" s="331">
      <c r="A21" s="33" t="n">
        <v>14</v>
      </c>
      <c r="B21" s="24" t="inlineStr">
        <is>
          <t>09-0439</t>
        </is>
      </c>
      <c r="C21" s="596" t="n">
        <v>41912</v>
      </c>
      <c r="D21" s="588" t="n">
        <v>32</v>
      </c>
      <c r="E21" s="10" t="inlineStr">
        <is>
          <t>YUSEN LOGISTICS</t>
        </is>
      </c>
      <c r="F21" s="24" t="inlineStr">
        <is>
          <t>104015799</t>
        </is>
      </c>
      <c r="G21" s="24" t="inlineStr">
        <is>
          <t>09-0439</t>
        </is>
      </c>
      <c r="H21" s="596" t="n">
        <v>41912</v>
      </c>
      <c r="I21" s="588" t="n">
        <v>32</v>
      </c>
      <c r="J21" s="9" t="n"/>
    </row>
    <row r="22" ht="18" customHeight="1" s="331">
      <c r="A22" s="33" t="n">
        <v>15</v>
      </c>
      <c r="B22" s="24" t="inlineStr">
        <is>
          <t>09-0445</t>
        </is>
      </c>
      <c r="C22" s="596" t="n">
        <v>41912</v>
      </c>
      <c r="D22" s="588" t="n">
        <v>26.65</v>
      </c>
      <c r="E22" s="10" t="inlineStr">
        <is>
          <t>YUSEN LOGISTICS</t>
        </is>
      </c>
      <c r="F22" s="24" t="inlineStr">
        <is>
          <t>104015799</t>
        </is>
      </c>
      <c r="G22" s="24" t="inlineStr">
        <is>
          <t>09-0445</t>
        </is>
      </c>
      <c r="H22" s="596" t="n">
        <v>41912</v>
      </c>
      <c r="I22" s="588" t="n">
        <v>26.65</v>
      </c>
      <c r="J22" s="9" t="n"/>
    </row>
    <row r="23" ht="18" customHeight="1" s="331">
      <c r="A23" s="33" t="n">
        <v>16</v>
      </c>
      <c r="B23" s="24" t="inlineStr">
        <is>
          <t>09-0454</t>
        </is>
      </c>
      <c r="C23" s="596" t="n">
        <v>41912</v>
      </c>
      <c r="D23" s="588" t="n">
        <v>34.86</v>
      </c>
      <c r="E23" s="10" t="inlineStr">
        <is>
          <t>YUSEN LOGISTICS</t>
        </is>
      </c>
      <c r="F23" s="24" t="inlineStr">
        <is>
          <t>104015799</t>
        </is>
      </c>
      <c r="G23" s="24" t="inlineStr">
        <is>
          <t>09-0454</t>
        </is>
      </c>
      <c r="H23" s="596" t="n">
        <v>41912</v>
      </c>
      <c r="I23" s="588" t="n">
        <v>34.86</v>
      </c>
      <c r="J23" s="9" t="n"/>
    </row>
    <row r="24" ht="18" customHeight="1" s="331">
      <c r="A24" s="33" t="n">
        <v>17</v>
      </c>
      <c r="B24" s="24" t="inlineStr">
        <is>
          <t>10-0058</t>
        </is>
      </c>
      <c r="C24" s="596" t="n">
        <v>41919</v>
      </c>
      <c r="D24" s="588" t="n">
        <v>26.44</v>
      </c>
      <c r="E24" s="10" t="inlineStr">
        <is>
          <t>YUSEN LOGISTICS</t>
        </is>
      </c>
      <c r="F24" s="24" t="inlineStr">
        <is>
          <t>104015799</t>
        </is>
      </c>
      <c r="G24" s="24" t="inlineStr">
        <is>
          <t>10-0058</t>
        </is>
      </c>
      <c r="H24" s="596" t="n">
        <v>41919</v>
      </c>
      <c r="I24" s="588" t="n">
        <v>26.44</v>
      </c>
      <c r="J24" s="9" t="n"/>
    </row>
    <row r="25" ht="18" customHeight="1" s="331">
      <c r="A25" s="33" t="n">
        <v>18</v>
      </c>
      <c r="B25" s="24" t="inlineStr">
        <is>
          <t>10-0180</t>
        </is>
      </c>
      <c r="C25" s="596" t="n">
        <v>41928</v>
      </c>
      <c r="D25" s="588" t="n">
        <v>44.22</v>
      </c>
      <c r="E25" s="10" t="inlineStr">
        <is>
          <t>YUSEN LOGISTICS</t>
        </is>
      </c>
      <c r="F25" s="24" t="inlineStr">
        <is>
          <t>104015799</t>
        </is>
      </c>
      <c r="G25" s="24" t="inlineStr">
        <is>
          <t>10-0180</t>
        </is>
      </c>
      <c r="H25" s="596" t="n">
        <v>41928</v>
      </c>
      <c r="I25" s="588" t="n">
        <v>44.22</v>
      </c>
      <c r="J25" s="9" t="n"/>
    </row>
    <row r="26" ht="18" customHeight="1" s="331">
      <c r="A26" s="33" t="n">
        <v>19</v>
      </c>
      <c r="B26" s="24" t="inlineStr">
        <is>
          <t>10-0336</t>
        </is>
      </c>
      <c r="C26" s="596" t="n">
        <v>41939</v>
      </c>
      <c r="D26" s="588" t="n">
        <v>27.75</v>
      </c>
      <c r="E26" s="10" t="inlineStr">
        <is>
          <t>YUSEN LOGISTICS</t>
        </is>
      </c>
      <c r="F26" s="24" t="inlineStr">
        <is>
          <t>104015799</t>
        </is>
      </c>
      <c r="G26" s="24" t="inlineStr">
        <is>
          <t>10-0336</t>
        </is>
      </c>
      <c r="H26" s="596" t="n">
        <v>41939</v>
      </c>
      <c r="I26" s="588" t="n">
        <v>27.75</v>
      </c>
      <c r="J26" s="9" t="n"/>
    </row>
    <row r="27" ht="18" customHeight="1" s="331">
      <c r="A27" s="33" t="n">
        <v>20</v>
      </c>
      <c r="B27" s="24" t="inlineStr">
        <is>
          <t>11-0038</t>
        </is>
      </c>
      <c r="C27" s="596" t="n">
        <v>41946</v>
      </c>
      <c r="D27" s="588" t="n">
        <v>90.92</v>
      </c>
      <c r="E27" s="10" t="inlineStr">
        <is>
          <t>YUSEN LOGISTICS</t>
        </is>
      </c>
      <c r="F27" s="24" t="inlineStr">
        <is>
          <t>104015799</t>
        </is>
      </c>
      <c r="G27" s="24" t="inlineStr">
        <is>
          <t>11-0038</t>
        </is>
      </c>
      <c r="H27" s="596" t="n">
        <v>41946</v>
      </c>
      <c r="I27" s="588" t="n">
        <v>90.92</v>
      </c>
      <c r="J27" s="9" t="n"/>
    </row>
    <row r="28" ht="18" customHeight="1" s="331">
      <c r="A28" s="33" t="n">
        <v>21</v>
      </c>
      <c r="B28" s="24" t="inlineStr">
        <is>
          <t>11-0130</t>
        </is>
      </c>
      <c r="C28" s="596" t="n">
        <v>41956</v>
      </c>
      <c r="D28" s="588" t="n">
        <v>110.34</v>
      </c>
      <c r="E28" s="10" t="inlineStr">
        <is>
          <t>YUSEN LOGISTICS</t>
        </is>
      </c>
      <c r="F28" s="24" t="inlineStr">
        <is>
          <t>104015799</t>
        </is>
      </c>
      <c r="G28" s="24" t="inlineStr">
        <is>
          <t>11-0130</t>
        </is>
      </c>
      <c r="H28" s="596" t="n">
        <v>41956</v>
      </c>
      <c r="I28" s="588" t="n">
        <v>110.34</v>
      </c>
      <c r="J28" s="9" t="n"/>
    </row>
    <row r="29" ht="18" customHeight="1" s="331">
      <c r="A29" s="33" t="n">
        <v>22</v>
      </c>
      <c r="B29" s="24" t="inlineStr">
        <is>
          <t>11-0278</t>
        </is>
      </c>
      <c r="C29" s="596" t="n">
        <v>41967</v>
      </c>
      <c r="D29" s="588" t="n">
        <v>26.98</v>
      </c>
      <c r="E29" s="10" t="inlineStr">
        <is>
          <t>YUSEN LOGISTICS</t>
        </is>
      </c>
      <c r="F29" s="24" t="inlineStr">
        <is>
          <t>104015799</t>
        </is>
      </c>
      <c r="G29" s="24" t="inlineStr">
        <is>
          <t>11-0278</t>
        </is>
      </c>
      <c r="H29" s="596" t="n">
        <v>41967</v>
      </c>
      <c r="I29" s="588" t="n">
        <v>26.98</v>
      </c>
      <c r="J29" s="9" t="n"/>
    </row>
    <row r="30" ht="18" customHeight="1" s="331">
      <c r="A30" s="33" t="n">
        <v>23</v>
      </c>
      <c r="B30" s="24" t="inlineStr">
        <is>
          <t>11-0513</t>
        </is>
      </c>
      <c r="C30" s="596" t="n">
        <v>41973</v>
      </c>
      <c r="D30" s="588" t="n">
        <v>36.35</v>
      </c>
      <c r="E30" s="10" t="inlineStr">
        <is>
          <t>YUSEN LOGISTICS</t>
        </is>
      </c>
      <c r="F30" s="24" t="inlineStr">
        <is>
          <t>104015799</t>
        </is>
      </c>
      <c r="G30" s="24" t="inlineStr">
        <is>
          <t>11-0513</t>
        </is>
      </c>
      <c r="H30" s="596" t="n">
        <v>41973</v>
      </c>
      <c r="I30" s="588" t="n">
        <v>36.35</v>
      </c>
      <c r="J30" s="596" t="n"/>
      <c r="K30" s="612" t="n"/>
    </row>
    <row r="31" ht="18" customHeight="1" s="331">
      <c r="A31" s="33" t="n">
        <v>24</v>
      </c>
      <c r="B31" s="24" t="inlineStr">
        <is>
          <t>12-0222</t>
        </is>
      </c>
      <c r="C31" s="596" t="n">
        <v>41988</v>
      </c>
      <c r="D31" s="588" t="n">
        <v>61.63</v>
      </c>
      <c r="E31" s="10" t="inlineStr">
        <is>
          <t>YUSEN LOGISTICS</t>
        </is>
      </c>
      <c r="F31" s="24" t="inlineStr">
        <is>
          <t>104015799</t>
        </is>
      </c>
      <c r="G31" s="24" t="inlineStr">
        <is>
          <t>12-0222</t>
        </is>
      </c>
      <c r="H31" s="596" t="n">
        <v>41988</v>
      </c>
      <c r="I31" s="588" t="n">
        <v>61.63</v>
      </c>
      <c r="J31" s="9" t="n"/>
    </row>
    <row r="32" ht="18" customHeight="1" s="331">
      <c r="A32" s="33" t="n">
        <v>25</v>
      </c>
      <c r="B32" s="24" t="inlineStr">
        <is>
          <t>12-0327</t>
        </is>
      </c>
      <c r="C32" s="596" t="n">
        <v>41995</v>
      </c>
      <c r="D32" s="588" t="n">
        <v>47.71</v>
      </c>
      <c r="E32" s="10" t="inlineStr">
        <is>
          <t>YUSEN LOGISTICS</t>
        </is>
      </c>
      <c r="F32" s="24" t="inlineStr">
        <is>
          <t>104015799</t>
        </is>
      </c>
      <c r="G32" s="24" t="inlineStr">
        <is>
          <t>12-0327</t>
        </is>
      </c>
      <c r="H32" s="596" t="n">
        <v>41995</v>
      </c>
      <c r="I32" s="588" t="n">
        <v>47.71</v>
      </c>
      <c r="J32" s="9" t="n"/>
    </row>
    <row r="33" ht="18" customHeight="1" s="331">
      <c r="A33" s="33" t="n">
        <v>26</v>
      </c>
      <c r="B33" s="24" t="inlineStr">
        <is>
          <t>12-0554</t>
        </is>
      </c>
      <c r="C33" s="596" t="n">
        <v>42003</v>
      </c>
      <c r="D33" s="588" t="n">
        <v>54.5</v>
      </c>
      <c r="E33" s="10" t="inlineStr">
        <is>
          <t>YUSEN LOGISTICS</t>
        </is>
      </c>
      <c r="F33" s="24" t="inlineStr">
        <is>
          <t>104015799</t>
        </is>
      </c>
      <c r="G33" s="24" t="inlineStr">
        <is>
          <t>12-0554</t>
        </is>
      </c>
      <c r="H33" s="596" t="n">
        <v>42003</v>
      </c>
      <c r="I33" s="588" t="n">
        <v>54.5</v>
      </c>
      <c r="J33" s="9" t="n"/>
    </row>
    <row r="34" ht="18" customHeight="1" s="331">
      <c r="A34" s="33" t="n">
        <v>27</v>
      </c>
      <c r="B34" s="24" t="inlineStr">
        <is>
          <t>01-0018</t>
        </is>
      </c>
      <c r="C34" s="596" t="n">
        <v>42009</v>
      </c>
      <c r="D34" s="588" t="n">
        <v>73.5</v>
      </c>
      <c r="E34" s="10" t="inlineStr">
        <is>
          <t>YUSEN LOGISTICS</t>
        </is>
      </c>
      <c r="F34" s="24" t="inlineStr">
        <is>
          <t>104015799</t>
        </is>
      </c>
      <c r="G34" s="24" t="inlineStr">
        <is>
          <t>01-0018</t>
        </is>
      </c>
      <c r="H34" s="596" t="n">
        <v>42009</v>
      </c>
      <c r="I34" s="588" t="n">
        <v>73.5</v>
      </c>
      <c r="J34" s="9" t="n"/>
    </row>
    <row r="35" ht="18" customHeight="1" s="331">
      <c r="A35" s="33" t="n">
        <v>28</v>
      </c>
      <c r="B35" s="24" t="inlineStr">
        <is>
          <t>01-0137</t>
        </is>
      </c>
      <c r="C35" s="596" t="n">
        <v>42016</v>
      </c>
      <c r="D35" s="588" t="n">
        <v>102.28</v>
      </c>
      <c r="E35" s="10" t="inlineStr">
        <is>
          <t>YUSEN LOGISTICS</t>
        </is>
      </c>
      <c r="F35" s="24" t="inlineStr">
        <is>
          <t>104015799</t>
        </is>
      </c>
      <c r="G35" s="24" t="inlineStr">
        <is>
          <t>01-0137</t>
        </is>
      </c>
      <c r="H35" s="596" t="n">
        <v>42016</v>
      </c>
      <c r="I35" s="588" t="n">
        <v>102.28</v>
      </c>
      <c r="J35" s="9" t="n"/>
    </row>
    <row r="36" ht="18" customHeight="1" s="331">
      <c r="A36" s="33" t="n">
        <v>29</v>
      </c>
      <c r="B36" s="24" t="inlineStr">
        <is>
          <t>01-0286</t>
        </is>
      </c>
      <c r="C36" s="596" t="n">
        <v>42024</v>
      </c>
      <c r="D36" s="588" t="n">
        <v>39.92</v>
      </c>
      <c r="E36" s="10" t="inlineStr">
        <is>
          <t>YUSEN LOGISTICS</t>
        </is>
      </c>
      <c r="F36" s="24" t="inlineStr">
        <is>
          <t>104015799</t>
        </is>
      </c>
      <c r="G36" s="24" t="inlineStr">
        <is>
          <t>01-0286</t>
        </is>
      </c>
      <c r="H36" s="596" t="n">
        <v>42024</v>
      </c>
      <c r="I36" s="588" t="n">
        <v>39.92</v>
      </c>
      <c r="J36" s="9" t="n"/>
    </row>
    <row r="37" ht="18" customHeight="1" s="331">
      <c r="A37" s="33" t="n">
        <v>30</v>
      </c>
      <c r="B37" s="24" t="inlineStr">
        <is>
          <t>01-0420</t>
        </is>
      </c>
      <c r="C37" s="596" t="n">
        <v>42031</v>
      </c>
      <c r="D37" s="588" t="n">
        <v>62.39</v>
      </c>
      <c r="E37" s="10" t="inlineStr">
        <is>
          <t>YUSEN LOGISTICS</t>
        </is>
      </c>
      <c r="F37" s="24" t="inlineStr">
        <is>
          <t>104015799</t>
        </is>
      </c>
      <c r="G37" s="24" t="inlineStr">
        <is>
          <t>01-0420</t>
        </is>
      </c>
      <c r="H37" s="596" t="n">
        <v>42031</v>
      </c>
      <c r="I37" s="588" t="n">
        <v>62.39</v>
      </c>
      <c r="J37" s="9" t="n"/>
    </row>
    <row r="38" ht="18" customHeight="1" s="331">
      <c r="A38" s="33" t="n">
        <v>31</v>
      </c>
      <c r="B38" s="24" t="inlineStr">
        <is>
          <t>02-0095</t>
        </is>
      </c>
      <c r="C38" s="596" t="n">
        <v>42040</v>
      </c>
      <c r="D38" s="588" t="n">
        <v>56.55</v>
      </c>
      <c r="E38" s="10" t="inlineStr">
        <is>
          <t>YUSEN LOGISTICS</t>
        </is>
      </c>
      <c r="F38" s="24" t="inlineStr">
        <is>
          <t>104015799</t>
        </is>
      </c>
      <c r="G38" s="24" t="inlineStr">
        <is>
          <t>02-0095</t>
        </is>
      </c>
      <c r="H38" s="596" t="n">
        <v>42040</v>
      </c>
      <c r="I38" s="588" t="n">
        <v>56.55</v>
      </c>
      <c r="J38" s="9" t="n"/>
    </row>
    <row r="39" ht="18" customHeight="1" s="331">
      <c r="A39" s="33" t="n">
        <v>32</v>
      </c>
      <c r="B39" s="24" t="inlineStr">
        <is>
          <t>02-0175</t>
        </is>
      </c>
      <c r="C39" s="596" t="n">
        <v>42045</v>
      </c>
      <c r="D39" s="588" t="n">
        <v>29.21</v>
      </c>
      <c r="E39" s="10" t="inlineStr">
        <is>
          <t>YUSEN LOGISTICS</t>
        </is>
      </c>
      <c r="F39" s="24" t="inlineStr">
        <is>
          <t>104015799</t>
        </is>
      </c>
      <c r="G39" s="24" t="inlineStr">
        <is>
          <t>02-0175</t>
        </is>
      </c>
      <c r="H39" s="596" t="n">
        <v>42045</v>
      </c>
      <c r="I39" s="588" t="n">
        <v>29.21</v>
      </c>
      <c r="J39" s="9" t="n"/>
    </row>
    <row r="40" ht="18" customHeight="1" s="331">
      <c r="A40" s="33" t="n">
        <v>33</v>
      </c>
      <c r="B40" s="24" t="inlineStr">
        <is>
          <t>502-0531</t>
        </is>
      </c>
      <c r="C40" s="596" t="n">
        <v>42059</v>
      </c>
      <c r="D40" s="588" t="n">
        <v>102.92</v>
      </c>
      <c r="E40" s="10" t="inlineStr">
        <is>
          <t>YUSEN LOGISTICS</t>
        </is>
      </c>
      <c r="F40" s="24" t="inlineStr">
        <is>
          <t>104015799</t>
        </is>
      </c>
      <c r="G40" s="24" t="inlineStr">
        <is>
          <t>502-0531</t>
        </is>
      </c>
      <c r="H40" s="596" t="n">
        <v>42059</v>
      </c>
      <c r="I40" s="588" t="n">
        <v>102.92</v>
      </c>
      <c r="J40" s="9" t="n"/>
    </row>
    <row r="41" ht="24" customHeight="1" s="331">
      <c r="A41" s="613" t="inlineStr">
        <is>
          <t>TOTAL 7/2012-02/2015</t>
        </is>
      </c>
      <c r="B41" s="519" t="n"/>
      <c r="C41" s="614" t="n"/>
      <c r="D41" s="615">
        <f>SUM(D8:D40)</f>
        <v/>
      </c>
      <c r="E41" s="616" t="n"/>
      <c r="F41" s="616" t="n"/>
      <c r="G41" s="617" t="n"/>
      <c r="H41" s="614" t="n"/>
      <c r="I41" s="615">
        <f>SUM(I8:I40)</f>
        <v/>
      </c>
      <c r="J41" s="32" t="n"/>
    </row>
    <row r="44" ht="21" customHeight="1" s="331">
      <c r="E44" s="11" t="inlineStr">
        <is>
          <t>YUSEN LOGISTICS</t>
        </is>
      </c>
      <c r="F44" s="16" t="inlineStr">
        <is>
          <t>104015799</t>
        </is>
      </c>
      <c r="G44" s="17" t="inlineStr">
        <is>
          <t>2-00309</t>
        </is>
      </c>
      <c r="H44" s="18" t="n">
        <v>41619</v>
      </c>
      <c r="I44" s="618" t="n">
        <v>5</v>
      </c>
    </row>
  </sheetData>
  <mergeCells count="13">
    <mergeCell ref="A1:J1"/>
    <mergeCell ref="B5:D5"/>
    <mergeCell ref="G6:I6"/>
    <mergeCell ref="A41:B41"/>
    <mergeCell ref="A4:D4"/>
    <mergeCell ref="A5:A7"/>
    <mergeCell ref="E5:I5"/>
    <mergeCell ref="E6:E7"/>
    <mergeCell ref="A2:J2"/>
    <mergeCell ref="J5:J7"/>
    <mergeCell ref="B6:D6"/>
    <mergeCell ref="F6:F7"/>
    <mergeCell ref="A3:E3"/>
  </mergeCells>
  <pageMargins left="0.7" right="0.7" top="0.75" bottom="0.75" header="0.3" footer="0.3"/>
  <pageSetup orientation="portrait" paperSize="9" verticalDpi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59"/>
  <sheetViews>
    <sheetView workbookViewId="0">
      <selection activeCell="A11" sqref="A11"/>
    </sheetView>
  </sheetViews>
  <sheetFormatPr baseColWidth="8" defaultRowHeight="13.2"/>
  <cols>
    <col width="6.6640625" customWidth="1" style="331" min="1" max="1"/>
    <col width="12.33203125" customWidth="1" style="331" min="2" max="2"/>
    <col width="12.44140625" customWidth="1" style="331" min="3" max="3"/>
    <col width="13.33203125" customWidth="1" style="331" min="4" max="4"/>
    <col width="16.88671875" customWidth="1" style="331" min="5" max="5"/>
    <col width="14" customWidth="1" style="331" min="6" max="6"/>
    <col width="11" customWidth="1" style="331" min="7" max="7"/>
    <col width="12.88671875" customWidth="1" style="331" min="9" max="9"/>
  </cols>
  <sheetData>
    <row r="1" ht="33.6" customHeight="1" s="331">
      <c r="A1" s="438" t="inlineStr">
        <is>
          <t>តារាងឧបសម្ព័ន្ឋ</t>
        </is>
      </c>
    </row>
    <row r="2" ht="33.6" customHeight="1" s="331">
      <c r="A2" s="438" t="inlineStr">
        <is>
          <t>តារាងប្រៀធៀបវិក្ក័យប័ត្រស្នើសុំបង្វិលសងអាករលើតំលៃបន្ថែម  ( Cross checking )</t>
        </is>
      </c>
    </row>
    <row r="3" ht="27" customHeight="1" s="331">
      <c r="A3" s="459" t="inlineStr">
        <is>
          <t>នាមករណ៏សហគ្រាស  :  Maurea Garments Corp</t>
        </is>
      </c>
      <c r="F3" s="4" t="n"/>
      <c r="G3" s="4" t="n"/>
      <c r="H3" s="4" t="n"/>
      <c r="I3" s="4" t="n"/>
      <c r="J3" s="4" t="n"/>
    </row>
    <row r="4" ht="27" customHeight="1" s="331">
      <c r="A4" s="440" t="inlineStr">
        <is>
          <t>VAT TIN  : 1 0 0 0 5 2 9 6 7</t>
        </is>
      </c>
      <c r="B4" s="529" t="n"/>
      <c r="C4" s="529" t="n"/>
      <c r="D4" s="529" t="n"/>
      <c r="E4" s="5" t="n"/>
      <c r="F4" s="4" t="n"/>
      <c r="G4" s="4" t="n"/>
      <c r="H4" s="4" t="n"/>
      <c r="I4" s="4" t="n"/>
      <c r="J4" s="4" t="n"/>
    </row>
    <row r="5" ht="25.2" customHeight="1" s="331">
      <c r="A5" s="611" t="inlineStr">
        <is>
          <t>ល.រ</t>
        </is>
      </c>
      <c r="B5" s="468" t="inlineStr">
        <is>
          <t>ក្រុមហ៊ុនស្នើសុំបង្វិលសង</t>
        </is>
      </c>
      <c r="C5" s="542" t="n"/>
      <c r="D5" s="543" t="n"/>
      <c r="E5" s="466" t="inlineStr">
        <is>
          <t>អ្នកផ្គត់ផ្គង់</t>
        </is>
      </c>
      <c r="F5" s="531" t="n"/>
      <c r="G5" s="531" t="n"/>
      <c r="H5" s="531" t="n"/>
      <c r="I5" s="519" t="n"/>
      <c r="J5" s="475" t="inlineStr">
        <is>
          <t>ផ្សេងៗ</t>
        </is>
      </c>
    </row>
    <row r="6" ht="25.2" customHeight="1" s="331">
      <c r="A6" s="555" t="n"/>
      <c r="B6" s="470" t="inlineStr">
        <is>
          <t>វិក័យបត្រ័</t>
        </is>
      </c>
      <c r="C6" s="529" t="n"/>
      <c r="D6" s="548" t="n"/>
      <c r="E6" s="474" t="inlineStr">
        <is>
          <t>សហគ្រាស</t>
        </is>
      </c>
      <c r="F6" s="475" t="inlineStr">
        <is>
          <t>លេខអតប</t>
        </is>
      </c>
      <c r="G6" s="470" t="inlineStr">
        <is>
          <t>វិក័យបត្រ័</t>
        </is>
      </c>
      <c r="H6" s="529" t="n"/>
      <c r="I6" s="548" t="n"/>
      <c r="J6" s="555" t="n"/>
    </row>
    <row r="7" ht="25.2" customHeight="1" s="331">
      <c r="A7" s="520" t="n"/>
      <c r="B7" s="470" t="inlineStr">
        <is>
          <t>លេខ</t>
        </is>
      </c>
      <c r="C7" s="470" t="inlineStr">
        <is>
          <t>ថ្ងៃទី ខែ ឆ្នាំ</t>
        </is>
      </c>
      <c r="D7" s="470" t="inlineStr">
        <is>
          <t>ប្រាក់អាករ</t>
        </is>
      </c>
      <c r="E7" s="548" t="n"/>
      <c r="F7" s="520" t="n"/>
      <c r="G7" s="470" t="inlineStr">
        <is>
          <t>លេខ</t>
        </is>
      </c>
      <c r="H7" s="470" t="inlineStr">
        <is>
          <t>ថ្ងៃទី ខែ ឆ្នាំ</t>
        </is>
      </c>
      <c r="I7" s="470" t="inlineStr">
        <is>
          <t>ប្រាក់អាករ</t>
        </is>
      </c>
      <c r="J7" s="520" t="n"/>
    </row>
    <row r="8" ht="18" customHeight="1" s="331">
      <c r="A8" s="33" t="n">
        <v>1</v>
      </c>
      <c r="B8" s="12" t="inlineStr">
        <is>
          <t>227231</t>
        </is>
      </c>
      <c r="C8" s="13" t="n">
        <v>41246</v>
      </c>
      <c r="D8" s="619" t="n">
        <v>8.5</v>
      </c>
      <c r="E8" s="11" t="inlineStr">
        <is>
          <t>S G L CAMBODIA</t>
        </is>
      </c>
      <c r="F8" s="10" t="inlineStr">
        <is>
          <t>100119816</t>
        </is>
      </c>
      <c r="G8" s="12" t="inlineStr">
        <is>
          <t>227231</t>
        </is>
      </c>
      <c r="H8" s="13" t="n">
        <v>41246</v>
      </c>
      <c r="I8" s="619" t="n">
        <v>8.5</v>
      </c>
      <c r="J8" s="9" t="n"/>
    </row>
    <row r="9" ht="18" customHeight="1" s="331">
      <c r="A9" s="33" t="n">
        <v>2</v>
      </c>
      <c r="B9" s="12" t="inlineStr">
        <is>
          <t>227288</t>
        </is>
      </c>
      <c r="C9" s="13" t="n">
        <v>41246</v>
      </c>
      <c r="D9" s="619" t="n">
        <v>52.36</v>
      </c>
      <c r="E9" s="11" t="inlineStr">
        <is>
          <t>S G L CAMBODIA</t>
        </is>
      </c>
      <c r="F9" s="10" t="inlineStr">
        <is>
          <t>100119816</t>
        </is>
      </c>
      <c r="G9" s="12" t="inlineStr">
        <is>
          <t>227288</t>
        </is>
      </c>
      <c r="H9" s="13" t="n">
        <v>41246</v>
      </c>
      <c r="I9" s="619" t="n">
        <v>52.36</v>
      </c>
      <c r="J9" s="9" t="n"/>
    </row>
    <row r="10" ht="18" customHeight="1" s="331">
      <c r="A10" s="33" t="n">
        <v>3</v>
      </c>
      <c r="B10" s="12" t="inlineStr">
        <is>
          <t>227430</t>
        </is>
      </c>
      <c r="C10" s="13" t="n">
        <v>41255</v>
      </c>
      <c r="D10" s="619" t="n">
        <v>21.2</v>
      </c>
      <c r="E10" s="11" t="inlineStr">
        <is>
          <t>S G L CAMBODIA</t>
        </is>
      </c>
      <c r="F10" s="10" t="inlineStr">
        <is>
          <t>100119816</t>
        </is>
      </c>
      <c r="G10" s="12" t="inlineStr">
        <is>
          <t>227430</t>
        </is>
      </c>
      <c r="H10" s="13" t="n">
        <v>41255</v>
      </c>
      <c r="I10" s="619" t="n">
        <v>21.2</v>
      </c>
      <c r="J10" s="9" t="n"/>
    </row>
    <row r="11" ht="18" customHeight="1" s="331">
      <c r="A11" s="33" t="n">
        <v>4</v>
      </c>
      <c r="B11" s="12" t="inlineStr">
        <is>
          <t>227461</t>
        </is>
      </c>
      <c r="C11" s="13" t="n">
        <v>41255</v>
      </c>
      <c r="D11" s="619" t="n">
        <v>29.57</v>
      </c>
      <c r="E11" s="11" t="inlineStr">
        <is>
          <t>S G L CAMBODIA</t>
        </is>
      </c>
      <c r="F11" s="10" t="inlineStr">
        <is>
          <t>100119816</t>
        </is>
      </c>
      <c r="G11" s="12" t="inlineStr">
        <is>
          <t>227461</t>
        </is>
      </c>
      <c r="H11" s="13" t="n">
        <v>41255</v>
      </c>
      <c r="I11" s="619" t="n">
        <v>29.57</v>
      </c>
      <c r="J11" s="9" t="n"/>
    </row>
    <row r="12" ht="18" customHeight="1" s="331">
      <c r="A12" s="33" t="n">
        <v>5</v>
      </c>
      <c r="B12" s="12" t="inlineStr">
        <is>
          <t>227539</t>
        </is>
      </c>
      <c r="C12" s="13" t="n">
        <v>41260</v>
      </c>
      <c r="D12" s="619" t="n">
        <v>34.24</v>
      </c>
      <c r="E12" s="11" t="inlineStr">
        <is>
          <t>S G L CAMBODIA</t>
        </is>
      </c>
      <c r="F12" s="10" t="inlineStr">
        <is>
          <t>100119816</t>
        </is>
      </c>
      <c r="G12" s="12" t="inlineStr">
        <is>
          <t>227539</t>
        </is>
      </c>
      <c r="H12" s="13" t="n">
        <v>41260</v>
      </c>
      <c r="I12" s="619" t="n">
        <v>34.24</v>
      </c>
      <c r="J12" s="9" t="n"/>
    </row>
    <row r="13" ht="18" customHeight="1" s="331">
      <c r="A13" s="33" t="n">
        <v>6</v>
      </c>
      <c r="B13" s="12" t="inlineStr">
        <is>
          <t>227543</t>
        </is>
      </c>
      <c r="C13" s="13" t="n">
        <v>41260</v>
      </c>
      <c r="D13" s="619" t="n">
        <v>8.93</v>
      </c>
      <c r="E13" s="11" t="inlineStr">
        <is>
          <t>S G L CAMBODIA</t>
        </is>
      </c>
      <c r="F13" s="10" t="inlineStr">
        <is>
          <t>100119816</t>
        </is>
      </c>
      <c r="G13" s="12" t="inlineStr">
        <is>
          <t>227543</t>
        </is>
      </c>
      <c r="H13" s="13" t="n">
        <v>41260</v>
      </c>
      <c r="I13" s="619" t="n">
        <v>8.93</v>
      </c>
      <c r="J13" s="9" t="n"/>
    </row>
    <row r="14" ht="18" customHeight="1" s="331">
      <c r="A14" s="33" t="n">
        <v>7</v>
      </c>
      <c r="B14" s="12" t="inlineStr">
        <is>
          <t>227552</t>
        </is>
      </c>
      <c r="C14" s="13" t="n">
        <v>41260</v>
      </c>
      <c r="D14" s="619" t="n">
        <v>27.62</v>
      </c>
      <c r="E14" s="11" t="inlineStr">
        <is>
          <t>S G L CAMBODIA</t>
        </is>
      </c>
      <c r="F14" s="10" t="inlineStr">
        <is>
          <t>100119816</t>
        </is>
      </c>
      <c r="G14" s="12" t="inlineStr">
        <is>
          <t>227552</t>
        </is>
      </c>
      <c r="H14" s="13" t="n">
        <v>41260</v>
      </c>
      <c r="I14" s="619" t="n">
        <v>27.62</v>
      </c>
      <c r="J14" s="9" t="n"/>
    </row>
    <row r="15" ht="18" customHeight="1" s="331">
      <c r="A15" s="33" t="n">
        <v>8</v>
      </c>
      <c r="B15" s="12" t="inlineStr">
        <is>
          <t>227583</t>
        </is>
      </c>
      <c r="C15" s="13" t="n">
        <v>41261</v>
      </c>
      <c r="D15" s="619" t="n">
        <v>57.77</v>
      </c>
      <c r="E15" s="11" t="inlineStr">
        <is>
          <t>S G L CAMBODIA</t>
        </is>
      </c>
      <c r="F15" s="10" t="inlineStr">
        <is>
          <t>100119816</t>
        </is>
      </c>
      <c r="G15" s="12" t="inlineStr">
        <is>
          <t>227583</t>
        </is>
      </c>
      <c r="H15" s="13" t="n">
        <v>41261</v>
      </c>
      <c r="I15" s="619" t="n">
        <v>57.77</v>
      </c>
      <c r="J15" s="9" t="n"/>
    </row>
    <row r="16" ht="18" customHeight="1" s="331">
      <c r="A16" s="33" t="n">
        <v>9</v>
      </c>
      <c r="B16" s="12" t="inlineStr">
        <is>
          <t>227586</t>
        </is>
      </c>
      <c r="C16" s="13" t="n">
        <v>41261</v>
      </c>
      <c r="D16" s="619" t="n">
        <v>24</v>
      </c>
      <c r="E16" s="11" t="inlineStr">
        <is>
          <t>S G L CAMBODIA</t>
        </is>
      </c>
      <c r="F16" s="10" t="inlineStr">
        <is>
          <t>100119816</t>
        </is>
      </c>
      <c r="G16" s="12" t="inlineStr">
        <is>
          <t>227586</t>
        </is>
      </c>
      <c r="H16" s="13" t="n">
        <v>41261</v>
      </c>
      <c r="I16" s="619" t="n">
        <v>24</v>
      </c>
      <c r="J16" s="9" t="n"/>
    </row>
    <row r="17" ht="18" customHeight="1" s="331">
      <c r="A17" s="33" t="n">
        <v>10</v>
      </c>
      <c r="B17" s="12" t="inlineStr">
        <is>
          <t>227605</t>
        </is>
      </c>
      <c r="C17" s="13" t="n">
        <v>41261</v>
      </c>
      <c r="D17" s="619" t="n">
        <v>28.88</v>
      </c>
      <c r="E17" s="11" t="inlineStr">
        <is>
          <t>S G L CAMBODIA</t>
        </is>
      </c>
      <c r="F17" s="10" t="inlineStr">
        <is>
          <t>100119816</t>
        </is>
      </c>
      <c r="G17" s="12" t="inlineStr">
        <is>
          <t>227605</t>
        </is>
      </c>
      <c r="H17" s="13" t="n">
        <v>41261</v>
      </c>
      <c r="I17" s="619" t="n">
        <v>28.88</v>
      </c>
      <c r="J17" s="9" t="n"/>
    </row>
    <row r="18" ht="18" customHeight="1" s="331">
      <c r="A18" s="33" t="n">
        <v>11</v>
      </c>
      <c r="B18" s="12" t="inlineStr">
        <is>
          <t>227826</t>
        </is>
      </c>
      <c r="C18" s="13" t="n">
        <v>41274</v>
      </c>
      <c r="D18" s="619" t="n">
        <v>24</v>
      </c>
      <c r="E18" s="11" t="inlineStr">
        <is>
          <t>S G L CAMBODIA</t>
        </is>
      </c>
      <c r="F18" s="10" t="inlineStr">
        <is>
          <t>100119816</t>
        </is>
      </c>
      <c r="G18" s="12" t="inlineStr">
        <is>
          <t>227826</t>
        </is>
      </c>
      <c r="H18" s="13" t="n">
        <v>41274</v>
      </c>
      <c r="I18" s="619" t="n">
        <v>24</v>
      </c>
      <c r="J18" s="9" t="n"/>
    </row>
    <row r="19" ht="18" customHeight="1" s="331">
      <c r="A19" s="33" t="n">
        <v>12</v>
      </c>
      <c r="B19" s="12" t="inlineStr">
        <is>
          <t>227862</t>
        </is>
      </c>
      <c r="C19" s="13" t="n">
        <v>41274</v>
      </c>
      <c r="D19" s="619" t="n">
        <v>36.26</v>
      </c>
      <c r="E19" s="11" t="inlineStr">
        <is>
          <t>S G L CAMBODIA</t>
        </is>
      </c>
      <c r="F19" s="10" t="inlineStr">
        <is>
          <t>100119816</t>
        </is>
      </c>
      <c r="G19" s="12" t="inlineStr">
        <is>
          <t>227862</t>
        </is>
      </c>
      <c r="H19" s="13" t="n">
        <v>41274</v>
      </c>
      <c r="I19" s="619" t="n">
        <v>36.26</v>
      </c>
      <c r="J19" s="9" t="n"/>
    </row>
    <row r="20" ht="18" customHeight="1" s="331">
      <c r="A20" s="33" t="n">
        <v>13</v>
      </c>
      <c r="B20" s="12" t="inlineStr">
        <is>
          <t>226904</t>
        </is>
      </c>
      <c r="C20" s="13" t="n">
        <v>41225</v>
      </c>
      <c r="D20" s="619" t="n">
        <v>24.64</v>
      </c>
      <c r="E20" s="11" t="inlineStr">
        <is>
          <t>S G L CAMBODIA</t>
        </is>
      </c>
      <c r="F20" s="10" t="inlineStr">
        <is>
          <t>100119816</t>
        </is>
      </c>
      <c r="G20" s="12" t="inlineStr">
        <is>
          <t>226904</t>
        </is>
      </c>
      <c r="H20" s="13" t="n">
        <v>41225</v>
      </c>
      <c r="I20" s="619" t="n">
        <v>24.64</v>
      </c>
      <c r="J20" s="9" t="n"/>
    </row>
    <row r="21" ht="18" customHeight="1" s="331">
      <c r="A21" s="33" t="n">
        <v>14</v>
      </c>
      <c r="B21" s="12" t="inlineStr">
        <is>
          <t>227107</t>
        </is>
      </c>
      <c r="C21" s="13" t="n">
        <v>41237</v>
      </c>
      <c r="D21" s="619" t="n">
        <v>49.82</v>
      </c>
      <c r="E21" s="11" t="inlineStr">
        <is>
          <t>S G L CAMBODIA</t>
        </is>
      </c>
      <c r="F21" s="10" t="inlineStr">
        <is>
          <t>100119816</t>
        </is>
      </c>
      <c r="G21" s="12" t="inlineStr">
        <is>
          <t>227107</t>
        </is>
      </c>
      <c r="H21" s="13" t="n">
        <v>41237</v>
      </c>
      <c r="I21" s="619" t="n">
        <v>49.82</v>
      </c>
      <c r="J21" s="9" t="n"/>
    </row>
    <row r="22" ht="18" customHeight="1" s="331">
      <c r="A22" s="33" t="n">
        <v>15</v>
      </c>
      <c r="B22" s="12" t="inlineStr">
        <is>
          <t>226301</t>
        </is>
      </c>
      <c r="C22" s="13" t="n">
        <v>41190</v>
      </c>
      <c r="D22" s="619" t="n">
        <v>26.3</v>
      </c>
      <c r="E22" s="11" t="inlineStr">
        <is>
          <t>S G L CAMBODIA</t>
        </is>
      </c>
      <c r="F22" s="10" t="inlineStr">
        <is>
          <t>100119816</t>
        </is>
      </c>
      <c r="G22" s="12" t="inlineStr">
        <is>
          <t>226301</t>
        </is>
      </c>
      <c r="H22" s="13" t="n">
        <v>41190</v>
      </c>
      <c r="I22" s="619" t="n">
        <v>26.3</v>
      </c>
      <c r="J22" s="9" t="n"/>
    </row>
    <row r="23" ht="18" customHeight="1" s="331">
      <c r="A23" s="33" t="n">
        <v>16</v>
      </c>
      <c r="B23" s="12" t="inlineStr">
        <is>
          <t>226324</t>
        </is>
      </c>
      <c r="C23" s="13" t="n">
        <v>41190</v>
      </c>
      <c r="D23" s="619" t="n">
        <v>26.01</v>
      </c>
      <c r="E23" s="11" t="inlineStr">
        <is>
          <t>S G L CAMBODIA</t>
        </is>
      </c>
      <c r="F23" s="10" t="inlineStr">
        <is>
          <t>100119816</t>
        </is>
      </c>
      <c r="G23" s="12" t="inlineStr">
        <is>
          <t>226324</t>
        </is>
      </c>
      <c r="H23" s="13" t="n">
        <v>41190</v>
      </c>
      <c r="I23" s="619" t="n">
        <v>26.01</v>
      </c>
      <c r="J23" s="9" t="n"/>
    </row>
    <row r="24" ht="18" customHeight="1" s="331">
      <c r="A24" s="33" t="n">
        <v>18</v>
      </c>
      <c r="B24" s="12" t="inlineStr">
        <is>
          <t>226428</t>
        </is>
      </c>
      <c r="C24" s="13" t="n">
        <v>41194</v>
      </c>
      <c r="D24" s="619" t="n">
        <v>31.78</v>
      </c>
      <c r="E24" s="11" t="inlineStr">
        <is>
          <t>S G L CAMBODIA</t>
        </is>
      </c>
      <c r="F24" s="10" t="inlineStr">
        <is>
          <t>100119816</t>
        </is>
      </c>
      <c r="G24" s="12" t="inlineStr">
        <is>
          <t>226428</t>
        </is>
      </c>
      <c r="H24" s="13" t="n">
        <v>41194</v>
      </c>
      <c r="I24" s="619" t="n">
        <v>31.78</v>
      </c>
      <c r="J24" s="9" t="n"/>
    </row>
    <row r="25" ht="18" customHeight="1" s="331">
      <c r="A25" s="33" t="n">
        <v>19</v>
      </c>
      <c r="B25" s="12" t="inlineStr">
        <is>
          <t>226446</t>
        </is>
      </c>
      <c r="C25" s="13" t="n">
        <v>41194</v>
      </c>
      <c r="D25" s="619" t="n">
        <v>5</v>
      </c>
      <c r="E25" s="11" t="inlineStr">
        <is>
          <t>S G L CAMBODIA</t>
        </is>
      </c>
      <c r="F25" s="10" t="inlineStr">
        <is>
          <t>100119816</t>
        </is>
      </c>
      <c r="G25" s="12" t="inlineStr">
        <is>
          <t>226446</t>
        </is>
      </c>
      <c r="H25" s="13" t="n">
        <v>41194</v>
      </c>
      <c r="I25" s="619" t="n">
        <v>5</v>
      </c>
      <c r="J25" s="9" t="n"/>
    </row>
    <row r="26" ht="18" customHeight="1" s="331">
      <c r="A26" s="33" t="n">
        <v>20</v>
      </c>
      <c r="B26" s="12" t="inlineStr">
        <is>
          <t>226552</t>
        </is>
      </c>
      <c r="C26" s="13" t="n">
        <v>41204</v>
      </c>
      <c r="D26" s="619" t="n">
        <v>22.41</v>
      </c>
      <c r="E26" s="11" t="inlineStr">
        <is>
          <t>S G L CAMBODIA</t>
        </is>
      </c>
      <c r="F26" s="10" t="inlineStr">
        <is>
          <t>100119816</t>
        </is>
      </c>
      <c r="G26" s="12" t="inlineStr">
        <is>
          <t>226552</t>
        </is>
      </c>
      <c r="H26" s="13" t="n">
        <v>41204</v>
      </c>
      <c r="I26" s="619" t="n">
        <v>22.41</v>
      </c>
      <c r="J26" s="9" t="n"/>
    </row>
    <row r="27" ht="18" customHeight="1" s="331">
      <c r="A27" s="33" t="n">
        <v>21</v>
      </c>
      <c r="B27" s="12" t="inlineStr">
        <is>
          <t>226571</t>
        </is>
      </c>
      <c r="C27" s="13" t="n">
        <v>41204</v>
      </c>
      <c r="D27" s="619" t="n">
        <v>21.7</v>
      </c>
      <c r="E27" s="11" t="inlineStr">
        <is>
          <t>S G L CAMBODIA</t>
        </is>
      </c>
      <c r="F27" s="10" t="inlineStr">
        <is>
          <t>100119816</t>
        </is>
      </c>
      <c r="G27" s="12" t="inlineStr">
        <is>
          <t>226571</t>
        </is>
      </c>
      <c r="H27" s="13" t="n">
        <v>41204</v>
      </c>
      <c r="I27" s="619" t="n">
        <v>21.7</v>
      </c>
      <c r="J27" s="9" t="n"/>
    </row>
    <row r="28" ht="18" customHeight="1" s="331">
      <c r="A28" s="33" t="n">
        <v>22</v>
      </c>
      <c r="B28" s="12" t="inlineStr">
        <is>
          <t>226648</t>
        </is>
      </c>
      <c r="C28" s="13" t="n">
        <v>41212</v>
      </c>
      <c r="D28" s="619" t="n">
        <v>25.12</v>
      </c>
      <c r="E28" s="11" t="inlineStr">
        <is>
          <t>S G L CAMBODIA</t>
        </is>
      </c>
      <c r="F28" s="10" t="inlineStr">
        <is>
          <t>100119816</t>
        </is>
      </c>
      <c r="G28" s="12" t="inlineStr">
        <is>
          <t>226648</t>
        </is>
      </c>
      <c r="H28" s="13" t="n">
        <v>41212</v>
      </c>
      <c r="I28" s="619" t="n">
        <v>25.12</v>
      </c>
      <c r="J28" s="9" t="n"/>
    </row>
    <row r="29" ht="18" customHeight="1" s="331">
      <c r="A29" s="33" t="n">
        <v>23</v>
      </c>
      <c r="B29" s="12" t="inlineStr">
        <is>
          <t>226720</t>
        </is>
      </c>
      <c r="C29" s="13" t="n">
        <v>41212</v>
      </c>
      <c r="D29" s="619" t="n">
        <v>33.19</v>
      </c>
      <c r="E29" s="11" t="inlineStr">
        <is>
          <t>S G L CAMBODIA</t>
        </is>
      </c>
      <c r="F29" s="10" t="inlineStr">
        <is>
          <t>100119816</t>
        </is>
      </c>
      <c r="G29" s="12" t="inlineStr">
        <is>
          <t>226720</t>
        </is>
      </c>
      <c r="H29" s="13" t="n">
        <v>41212</v>
      </c>
      <c r="I29" s="619" t="n">
        <v>33.19</v>
      </c>
      <c r="J29" s="9" t="n"/>
    </row>
    <row r="30" ht="18" customHeight="1" s="331">
      <c r="A30" s="33" t="n">
        <v>24</v>
      </c>
      <c r="B30" s="12" t="inlineStr">
        <is>
          <t>225606</t>
        </is>
      </c>
      <c r="C30" s="13" t="n">
        <v>41156</v>
      </c>
      <c r="D30" s="619" t="n">
        <v>15.08</v>
      </c>
      <c r="E30" s="11" t="inlineStr">
        <is>
          <t>S G L CAMBODIA</t>
        </is>
      </c>
      <c r="F30" s="10" t="inlineStr">
        <is>
          <t>100119816</t>
        </is>
      </c>
      <c r="G30" s="12" t="inlineStr">
        <is>
          <t>225606</t>
        </is>
      </c>
      <c r="H30" s="13" t="n">
        <v>41156</v>
      </c>
      <c r="I30" s="619" t="n">
        <v>15.08</v>
      </c>
      <c r="J30" s="9" t="n"/>
    </row>
    <row r="31" ht="18" customHeight="1" s="331">
      <c r="A31" s="33" t="n">
        <v>25</v>
      </c>
      <c r="B31" s="12" t="inlineStr">
        <is>
          <t>225707</t>
        </is>
      </c>
      <c r="C31" s="13" t="n">
        <v>41163</v>
      </c>
      <c r="D31" s="619" t="n">
        <v>9.619999999999999</v>
      </c>
      <c r="E31" s="11" t="inlineStr">
        <is>
          <t>S G L CAMBODIA</t>
        </is>
      </c>
      <c r="F31" s="10" t="inlineStr">
        <is>
          <t>100119816</t>
        </is>
      </c>
      <c r="G31" s="12" t="inlineStr">
        <is>
          <t>225707</t>
        </is>
      </c>
      <c r="H31" s="13" t="n">
        <v>41163</v>
      </c>
      <c r="I31" s="619" t="n">
        <v>9.619999999999999</v>
      </c>
      <c r="J31" s="9" t="n"/>
    </row>
    <row r="32" ht="18" customHeight="1" s="331">
      <c r="A32" s="33" t="n">
        <v>26</v>
      </c>
      <c r="B32" s="12" t="inlineStr">
        <is>
          <t>225805</t>
        </is>
      </c>
      <c r="C32" s="13" t="n">
        <v>41164</v>
      </c>
      <c r="D32" s="619" t="n">
        <v>9.24</v>
      </c>
      <c r="E32" s="11" t="inlineStr">
        <is>
          <t>S G L CAMBODIA</t>
        </is>
      </c>
      <c r="F32" s="10" t="inlineStr">
        <is>
          <t>100119816</t>
        </is>
      </c>
      <c r="G32" s="12" t="inlineStr">
        <is>
          <t>225805</t>
        </is>
      </c>
      <c r="H32" s="13" t="n">
        <v>41164</v>
      </c>
      <c r="I32" s="619" t="n">
        <v>9.24</v>
      </c>
      <c r="J32" s="9" t="n"/>
    </row>
    <row r="33" ht="18" customHeight="1" s="331">
      <c r="A33" s="33" t="n">
        <v>27</v>
      </c>
      <c r="B33" s="12" t="inlineStr">
        <is>
          <t>225895</t>
        </is>
      </c>
      <c r="C33" s="13" t="n">
        <v>41170</v>
      </c>
      <c r="D33" s="619" t="n">
        <v>26.71</v>
      </c>
      <c r="E33" s="11" t="inlineStr">
        <is>
          <t>S G L CAMBODIA</t>
        </is>
      </c>
      <c r="F33" s="10" t="inlineStr">
        <is>
          <t>100119816</t>
        </is>
      </c>
      <c r="G33" s="12" t="inlineStr">
        <is>
          <t>225895</t>
        </is>
      </c>
      <c r="H33" s="13" t="n">
        <v>41170</v>
      </c>
      <c r="I33" s="619" t="n">
        <v>26.71</v>
      </c>
      <c r="J33" s="9" t="n"/>
    </row>
    <row r="34" ht="18" customHeight="1" s="331">
      <c r="A34" s="33" t="n">
        <v>28</v>
      </c>
      <c r="B34" s="12" t="inlineStr">
        <is>
          <t>225929</t>
        </is>
      </c>
      <c r="C34" s="13" t="n">
        <v>41170</v>
      </c>
      <c r="D34" s="619" t="n">
        <v>34.48</v>
      </c>
      <c r="E34" s="11" t="inlineStr">
        <is>
          <t>S G L CAMBODIA</t>
        </is>
      </c>
      <c r="F34" s="10" t="inlineStr">
        <is>
          <t>100119816</t>
        </is>
      </c>
      <c r="G34" s="12" t="inlineStr">
        <is>
          <t>225929</t>
        </is>
      </c>
      <c r="H34" s="13" t="n">
        <v>41170</v>
      </c>
      <c r="I34" s="619" t="n">
        <v>34.48</v>
      </c>
      <c r="J34" s="9" t="n"/>
    </row>
    <row r="35" ht="18" customHeight="1" s="331">
      <c r="A35" s="33" t="n">
        <v>29</v>
      </c>
      <c r="B35" s="12" t="inlineStr">
        <is>
          <t>226064</t>
        </is>
      </c>
      <c r="C35" s="13" t="n">
        <v>41177</v>
      </c>
      <c r="D35" s="619" t="n">
        <v>48.74</v>
      </c>
      <c r="E35" s="11" t="inlineStr">
        <is>
          <t>S G L CAMBODIA</t>
        </is>
      </c>
      <c r="F35" s="10" t="inlineStr">
        <is>
          <t>100119816</t>
        </is>
      </c>
      <c r="G35" s="12" t="inlineStr">
        <is>
          <t>226064</t>
        </is>
      </c>
      <c r="H35" s="13" t="n">
        <v>41177</v>
      </c>
      <c r="I35" s="619" t="n">
        <v>48.74</v>
      </c>
      <c r="J35" s="9" t="n"/>
    </row>
    <row r="36" ht="18" customHeight="1" s="331">
      <c r="A36" s="33" t="n">
        <v>30</v>
      </c>
      <c r="B36" s="12" t="inlineStr">
        <is>
          <t>226090</t>
        </is>
      </c>
      <c r="C36" s="13" t="n">
        <v>41178</v>
      </c>
      <c r="D36" s="619" t="n">
        <v>23.06</v>
      </c>
      <c r="E36" s="11" t="inlineStr">
        <is>
          <t>S G L CAMBODIA</t>
        </is>
      </c>
      <c r="F36" s="10" t="inlineStr">
        <is>
          <t>100119816</t>
        </is>
      </c>
      <c r="G36" s="12" t="inlineStr">
        <is>
          <t>226090</t>
        </is>
      </c>
      <c r="H36" s="13" t="n">
        <v>41178</v>
      </c>
      <c r="I36" s="619" t="n">
        <v>23.06</v>
      </c>
      <c r="J36" s="9" t="n"/>
    </row>
    <row r="37" ht="18" customHeight="1" s="331">
      <c r="A37" s="33" t="n">
        <v>31</v>
      </c>
      <c r="B37" s="12" t="inlineStr">
        <is>
          <t>226161</t>
        </is>
      </c>
      <c r="C37" s="13" t="n">
        <v>41182</v>
      </c>
      <c r="D37" s="619" t="n">
        <v>22.2</v>
      </c>
      <c r="E37" s="11" t="inlineStr">
        <is>
          <t>S G L CAMBODIA</t>
        </is>
      </c>
      <c r="F37" s="10" t="inlineStr">
        <is>
          <t>100119816</t>
        </is>
      </c>
      <c r="G37" s="12" t="inlineStr">
        <is>
          <t>226161</t>
        </is>
      </c>
      <c r="H37" s="13" t="n">
        <v>41182</v>
      </c>
      <c r="I37" s="619" t="n">
        <v>22.2</v>
      </c>
      <c r="J37" s="9" t="n"/>
    </row>
    <row r="38" ht="18" customHeight="1" s="331">
      <c r="A38" s="33" t="n">
        <v>32</v>
      </c>
      <c r="B38" s="12" t="inlineStr">
        <is>
          <t>226168</t>
        </is>
      </c>
      <c r="C38" s="13" t="n">
        <v>41182</v>
      </c>
      <c r="D38" s="619" t="n">
        <v>2.5</v>
      </c>
      <c r="E38" s="11" t="inlineStr">
        <is>
          <t>S G L CAMBODIA</t>
        </is>
      </c>
      <c r="F38" s="10" t="inlineStr">
        <is>
          <t>100119816</t>
        </is>
      </c>
      <c r="G38" s="12" t="inlineStr">
        <is>
          <t>226168</t>
        </is>
      </c>
      <c r="H38" s="13" t="n">
        <v>41182</v>
      </c>
      <c r="I38" s="619" t="n">
        <v>2.5</v>
      </c>
      <c r="J38" s="9" t="n"/>
    </row>
    <row r="39" ht="18" customHeight="1" s="331">
      <c r="A39" s="33" t="n">
        <v>33</v>
      </c>
      <c r="B39" s="12" t="inlineStr">
        <is>
          <t>226176</t>
        </is>
      </c>
      <c r="C39" s="13" t="n">
        <v>41182</v>
      </c>
      <c r="D39" s="619" t="n">
        <v>18.09</v>
      </c>
      <c r="E39" s="11" t="inlineStr">
        <is>
          <t>S G L CAMBODIA</t>
        </is>
      </c>
      <c r="F39" s="10" t="inlineStr">
        <is>
          <t>100119816</t>
        </is>
      </c>
      <c r="G39" s="12" t="inlineStr">
        <is>
          <t>226176</t>
        </is>
      </c>
      <c r="H39" s="13" t="n">
        <v>41182</v>
      </c>
      <c r="I39" s="619" t="n">
        <v>18.09</v>
      </c>
      <c r="J39" s="9" t="n"/>
    </row>
    <row r="40" ht="18" customHeight="1" s="331">
      <c r="A40" s="33" t="n">
        <v>34</v>
      </c>
      <c r="B40" s="12" t="inlineStr">
        <is>
          <t>224986</t>
        </is>
      </c>
      <c r="C40" s="13" t="n">
        <v>41128</v>
      </c>
      <c r="D40" s="619" t="n">
        <v>2.7</v>
      </c>
      <c r="E40" s="11" t="inlineStr">
        <is>
          <t>S G L CAMBODIA</t>
        </is>
      </c>
      <c r="F40" s="10" t="inlineStr">
        <is>
          <t>100119816</t>
        </is>
      </c>
      <c r="G40" s="12" t="inlineStr">
        <is>
          <t>224986</t>
        </is>
      </c>
      <c r="H40" s="13" t="n">
        <v>41128</v>
      </c>
      <c r="I40" s="619" t="n">
        <v>2.7</v>
      </c>
      <c r="J40" s="9" t="n"/>
    </row>
    <row r="41" ht="18" customHeight="1" s="331">
      <c r="A41" s="33" t="n">
        <v>35</v>
      </c>
      <c r="B41" s="12" t="inlineStr">
        <is>
          <t>225135</t>
        </is>
      </c>
      <c r="C41" s="13" t="n">
        <v>41135</v>
      </c>
      <c r="D41" s="619" t="n">
        <v>3.87</v>
      </c>
      <c r="E41" s="11" t="inlineStr">
        <is>
          <t>S G L CAMBODIA</t>
        </is>
      </c>
      <c r="F41" s="10" t="inlineStr">
        <is>
          <t>100119816</t>
        </is>
      </c>
      <c r="G41" s="12" t="inlineStr">
        <is>
          <t>225135</t>
        </is>
      </c>
      <c r="H41" s="13" t="n">
        <v>41135</v>
      </c>
      <c r="I41" s="619" t="n">
        <v>3.87</v>
      </c>
      <c r="J41" s="9" t="n"/>
    </row>
    <row r="42" ht="18" customHeight="1" s="331">
      <c r="A42" s="33" t="n">
        <v>36</v>
      </c>
      <c r="B42" s="12" t="inlineStr">
        <is>
          <t>225313</t>
        </is>
      </c>
      <c r="C42" s="13" t="n">
        <v>41142</v>
      </c>
      <c r="D42" s="619" t="n">
        <v>11.58</v>
      </c>
      <c r="E42" s="11" t="inlineStr">
        <is>
          <t>S G L CAMBODIA</t>
        </is>
      </c>
      <c r="F42" s="10" t="inlineStr">
        <is>
          <t>100119816</t>
        </is>
      </c>
      <c r="G42" s="12" t="inlineStr">
        <is>
          <t>225313</t>
        </is>
      </c>
      <c r="H42" s="13" t="n">
        <v>41142</v>
      </c>
      <c r="I42" s="619" t="n">
        <v>11.58</v>
      </c>
      <c r="J42" s="9" t="n"/>
    </row>
    <row r="43" ht="18" customHeight="1" s="331">
      <c r="A43" s="33" t="n">
        <v>37</v>
      </c>
      <c r="B43" s="12" t="inlineStr">
        <is>
          <t>224307</t>
        </is>
      </c>
      <c r="C43" s="13" t="n">
        <v>41100</v>
      </c>
      <c r="D43" s="619" t="n">
        <v>5.09</v>
      </c>
      <c r="E43" s="11" t="inlineStr">
        <is>
          <t>S G L CAMBODIA</t>
        </is>
      </c>
      <c r="F43" s="10" t="inlineStr">
        <is>
          <t>100119816</t>
        </is>
      </c>
      <c r="G43" s="12" t="inlineStr">
        <is>
          <t>224307</t>
        </is>
      </c>
      <c r="H43" s="13" t="n">
        <v>41100</v>
      </c>
      <c r="I43" s="619" t="n">
        <v>5.09</v>
      </c>
      <c r="J43" s="9" t="n"/>
    </row>
    <row r="44" ht="18" customHeight="1" s="331">
      <c r="A44" s="33" t="n">
        <v>38</v>
      </c>
      <c r="B44" s="12" t="inlineStr">
        <is>
          <t>224464</t>
        </is>
      </c>
      <c r="C44" s="13" t="n">
        <v>41106</v>
      </c>
      <c r="D44" s="619" t="n">
        <v>8.140000000000001</v>
      </c>
      <c r="E44" s="11" t="inlineStr">
        <is>
          <t>S G L CAMBODIA</t>
        </is>
      </c>
      <c r="F44" s="10" t="inlineStr">
        <is>
          <t>100119816</t>
        </is>
      </c>
      <c r="G44" s="12" t="inlineStr">
        <is>
          <t>224464</t>
        </is>
      </c>
      <c r="H44" s="13" t="n">
        <v>41106</v>
      </c>
      <c r="I44" s="619" t="n">
        <v>8.140000000000001</v>
      </c>
      <c r="J44" s="9" t="n"/>
    </row>
    <row r="45" ht="18" customHeight="1" s="331">
      <c r="A45" s="33" t="n">
        <v>39</v>
      </c>
      <c r="B45" s="12" t="inlineStr">
        <is>
          <t>224506</t>
        </is>
      </c>
      <c r="C45" s="13" t="n">
        <v>41107</v>
      </c>
      <c r="D45" s="619" t="n">
        <v>21.57</v>
      </c>
      <c r="E45" s="11" t="inlineStr">
        <is>
          <t>S G L CAMBODIA</t>
        </is>
      </c>
      <c r="F45" s="10" t="inlineStr">
        <is>
          <t>100119816</t>
        </is>
      </c>
      <c r="G45" s="12" t="inlineStr">
        <is>
          <t>224506</t>
        </is>
      </c>
      <c r="H45" s="13" t="n">
        <v>41107</v>
      </c>
      <c r="I45" s="619" t="n">
        <v>21.57</v>
      </c>
      <c r="J45" s="9" t="n"/>
    </row>
    <row r="46" ht="18" customHeight="1" s="331">
      <c r="A46" s="33" t="n">
        <v>40</v>
      </c>
      <c r="B46" s="12" t="inlineStr">
        <is>
          <t>224593</t>
        </is>
      </c>
      <c r="C46" s="13" t="n">
        <v>41113</v>
      </c>
      <c r="D46" s="619" t="n">
        <v>8.869999999999999</v>
      </c>
      <c r="E46" s="11" t="inlineStr">
        <is>
          <t>S G L CAMBODIA</t>
        </is>
      </c>
      <c r="F46" s="10" t="inlineStr">
        <is>
          <t>100119816</t>
        </is>
      </c>
      <c r="G46" s="12" t="inlineStr">
        <is>
          <t>224593</t>
        </is>
      </c>
      <c r="H46" s="13" t="n">
        <v>41113</v>
      </c>
      <c r="I46" s="619" t="n">
        <v>8.869999999999999</v>
      </c>
      <c r="J46" s="9" t="n"/>
    </row>
    <row r="47" ht="18" customHeight="1" s="331">
      <c r="A47" s="33" t="n">
        <v>41</v>
      </c>
      <c r="B47" s="12" t="inlineStr">
        <is>
          <t>224600</t>
        </is>
      </c>
      <c r="C47" s="13" t="n">
        <v>41113</v>
      </c>
      <c r="D47" s="619" t="n">
        <v>3.88</v>
      </c>
      <c r="E47" s="11" t="inlineStr">
        <is>
          <t>S G L CAMBODIA</t>
        </is>
      </c>
      <c r="F47" s="10" t="inlineStr">
        <is>
          <t>100119816</t>
        </is>
      </c>
      <c r="G47" s="12" t="inlineStr">
        <is>
          <t>224600</t>
        </is>
      </c>
      <c r="H47" s="13" t="n">
        <v>41113</v>
      </c>
      <c r="I47" s="619" t="n">
        <v>3.88</v>
      </c>
      <c r="J47" s="9" t="n"/>
    </row>
    <row r="48" ht="18" customHeight="1" s="331">
      <c r="A48" s="33" t="n">
        <v>42</v>
      </c>
      <c r="B48" s="12" t="inlineStr">
        <is>
          <t>224808</t>
        </is>
      </c>
      <c r="C48" s="13" t="n">
        <v>41121</v>
      </c>
      <c r="D48" s="619" t="n">
        <v>23.99</v>
      </c>
      <c r="E48" s="11" t="inlineStr">
        <is>
          <t>S G L CAMBODIA</t>
        </is>
      </c>
      <c r="F48" s="10" t="inlineStr">
        <is>
          <t>100119816</t>
        </is>
      </c>
      <c r="G48" s="12" t="inlineStr">
        <is>
          <t>224808</t>
        </is>
      </c>
      <c r="H48" s="13" t="n">
        <v>41121</v>
      </c>
      <c r="I48" s="619" t="n">
        <v>23.99</v>
      </c>
      <c r="J48" s="9" t="n"/>
    </row>
    <row r="49" ht="18" customHeight="1" s="331">
      <c r="A49" s="33" t="n">
        <v>43</v>
      </c>
      <c r="B49" s="17" t="inlineStr">
        <is>
          <t>227722</t>
        </is>
      </c>
      <c r="C49" s="18" t="n">
        <v>41267</v>
      </c>
      <c r="D49" s="620" t="n">
        <v>86.04000000000001</v>
      </c>
      <c r="E49" s="11" t="inlineStr">
        <is>
          <t>S G L CAMBODIA</t>
        </is>
      </c>
      <c r="F49" s="10" t="inlineStr">
        <is>
          <t>100119816</t>
        </is>
      </c>
      <c r="G49" s="17" t="inlineStr">
        <is>
          <t>227722</t>
        </is>
      </c>
      <c r="H49" s="18" t="n">
        <v>41267</v>
      </c>
      <c r="I49" s="620" t="n">
        <v>86.04000000000001</v>
      </c>
      <c r="J49" s="9" t="n"/>
    </row>
    <row r="50" ht="18" customHeight="1" s="331">
      <c r="A50" s="33" t="n">
        <v>44</v>
      </c>
      <c r="B50" s="17" t="inlineStr">
        <is>
          <t>227769</t>
        </is>
      </c>
      <c r="C50" s="18" t="n">
        <v>41268</v>
      </c>
      <c r="D50" s="620" t="n">
        <v>21.2</v>
      </c>
      <c r="E50" s="11" t="inlineStr">
        <is>
          <t>S G L CAMBODIA</t>
        </is>
      </c>
      <c r="F50" s="10" t="inlineStr">
        <is>
          <t>100119816</t>
        </is>
      </c>
      <c r="G50" s="17" t="inlineStr">
        <is>
          <t>227769</t>
        </is>
      </c>
      <c r="H50" s="18" t="n">
        <v>41268</v>
      </c>
      <c r="I50" s="620" t="n">
        <v>21.2</v>
      </c>
      <c r="J50" s="9" t="n"/>
    </row>
    <row r="51" ht="18" customHeight="1" s="331">
      <c r="A51" s="33" t="n">
        <v>45</v>
      </c>
      <c r="B51" s="17" t="inlineStr">
        <is>
          <t>328007</t>
        </is>
      </c>
      <c r="C51" s="18" t="n">
        <v>41281</v>
      </c>
      <c r="D51" s="620" t="n">
        <v>23.7</v>
      </c>
      <c r="E51" s="11" t="inlineStr">
        <is>
          <t>S G L CAMBODIA</t>
        </is>
      </c>
      <c r="F51" s="10" t="inlineStr">
        <is>
          <t>100119816</t>
        </is>
      </c>
      <c r="G51" s="17" t="inlineStr">
        <is>
          <t>328007</t>
        </is>
      </c>
      <c r="H51" s="18" t="n">
        <v>41281</v>
      </c>
      <c r="I51" s="620" t="n">
        <v>23.7</v>
      </c>
      <c r="J51" s="9" t="n"/>
    </row>
    <row r="52" ht="18" customHeight="1" s="331">
      <c r="A52" s="33" t="n">
        <v>46</v>
      </c>
      <c r="B52" s="17" t="inlineStr">
        <is>
          <t>327989</t>
        </is>
      </c>
      <c r="C52" s="18" t="n">
        <v>41281</v>
      </c>
      <c r="D52" s="620" t="n">
        <v>28.45</v>
      </c>
      <c r="E52" s="11" t="inlineStr">
        <is>
          <t>S G L CAMBODIA</t>
        </is>
      </c>
      <c r="F52" s="10" t="inlineStr">
        <is>
          <t>100119816</t>
        </is>
      </c>
      <c r="G52" s="17" t="inlineStr">
        <is>
          <t>327989</t>
        </is>
      </c>
      <c r="H52" s="18" t="n">
        <v>41281</v>
      </c>
      <c r="I52" s="620" t="n">
        <v>28.45</v>
      </c>
      <c r="J52" s="9" t="n"/>
    </row>
    <row r="53" ht="18" customHeight="1" s="331">
      <c r="A53" s="33" t="n">
        <v>47</v>
      </c>
      <c r="B53" s="17" t="inlineStr">
        <is>
          <t>328007</t>
        </is>
      </c>
      <c r="C53" s="18" t="n">
        <v>41281</v>
      </c>
      <c r="D53" s="620" t="n">
        <v>23.7</v>
      </c>
      <c r="E53" s="11" t="inlineStr">
        <is>
          <t>S G L CAMBODIA</t>
        </is>
      </c>
      <c r="F53" s="10" t="inlineStr">
        <is>
          <t>100119816</t>
        </is>
      </c>
      <c r="G53" s="17" t="inlineStr">
        <is>
          <t>328007</t>
        </is>
      </c>
      <c r="H53" s="18" t="n">
        <v>41281</v>
      </c>
      <c r="I53" s="620" t="n">
        <v>23.7</v>
      </c>
      <c r="J53" s="9" t="n"/>
    </row>
    <row r="54" ht="18" customHeight="1" s="331">
      <c r="A54" s="33" t="n">
        <v>48</v>
      </c>
      <c r="B54" s="17" t="inlineStr">
        <is>
          <t>328028</t>
        </is>
      </c>
      <c r="C54" s="18" t="n">
        <v>41282</v>
      </c>
      <c r="D54" s="620" t="n">
        <v>28.76</v>
      </c>
      <c r="E54" s="11" t="inlineStr">
        <is>
          <t>S G L CAMBODIA</t>
        </is>
      </c>
      <c r="F54" s="10" t="inlineStr">
        <is>
          <t>100119816</t>
        </is>
      </c>
      <c r="G54" s="17" t="inlineStr">
        <is>
          <t>328028</t>
        </is>
      </c>
      <c r="H54" s="18" t="n">
        <v>41282</v>
      </c>
      <c r="I54" s="620" t="n">
        <v>28.76</v>
      </c>
      <c r="J54" s="9" t="n"/>
    </row>
    <row r="55" ht="18" customHeight="1" s="331">
      <c r="A55" s="33" t="n">
        <v>49</v>
      </c>
      <c r="B55" s="17" t="inlineStr">
        <is>
          <t>328148</t>
        </is>
      </c>
      <c r="C55" s="18" t="n">
        <v>41289</v>
      </c>
      <c r="D55" s="620" t="n">
        <v>27.42</v>
      </c>
      <c r="E55" s="11" t="inlineStr">
        <is>
          <t>S G L CAMBODIA</t>
        </is>
      </c>
      <c r="F55" s="10" t="inlineStr">
        <is>
          <t>100119816</t>
        </is>
      </c>
      <c r="G55" s="17" t="inlineStr">
        <is>
          <t>328148</t>
        </is>
      </c>
      <c r="H55" s="18" t="n">
        <v>41289</v>
      </c>
      <c r="I55" s="620" t="n">
        <v>27.42</v>
      </c>
      <c r="J55" s="9" t="n"/>
    </row>
    <row r="56" ht="18" customHeight="1" s="331">
      <c r="A56" s="33" t="n">
        <v>50</v>
      </c>
      <c r="B56" s="17" t="inlineStr">
        <is>
          <t>328162</t>
        </is>
      </c>
      <c r="C56" s="18" t="n">
        <v>41289</v>
      </c>
      <c r="D56" s="620" t="n">
        <v>21.46</v>
      </c>
      <c r="E56" s="11" t="inlineStr">
        <is>
          <t>S G L CAMBODIA</t>
        </is>
      </c>
      <c r="F56" s="10" t="inlineStr">
        <is>
          <t>100119816</t>
        </is>
      </c>
      <c r="G56" s="17" t="inlineStr">
        <is>
          <t>328162</t>
        </is>
      </c>
      <c r="H56" s="18" t="n">
        <v>41289</v>
      </c>
      <c r="I56" s="620" t="n">
        <v>21.46</v>
      </c>
      <c r="J56" s="9" t="n"/>
    </row>
    <row r="57" ht="18" customHeight="1" s="331">
      <c r="A57" s="33" t="n">
        <v>51</v>
      </c>
      <c r="B57" s="17" t="inlineStr">
        <is>
          <t>328177</t>
        </is>
      </c>
      <c r="C57" s="18" t="n">
        <v>41289</v>
      </c>
      <c r="D57" s="620" t="n">
        <v>35.64</v>
      </c>
      <c r="E57" s="11" t="inlineStr">
        <is>
          <t>S G L CAMBODIA</t>
        </is>
      </c>
      <c r="F57" s="10" t="inlineStr">
        <is>
          <t>100119816</t>
        </is>
      </c>
      <c r="G57" s="17" t="inlineStr">
        <is>
          <t>328177</t>
        </is>
      </c>
      <c r="H57" s="18" t="n">
        <v>41289</v>
      </c>
      <c r="I57" s="620" t="n">
        <v>35.64</v>
      </c>
      <c r="J57" s="9" t="n"/>
    </row>
    <row r="58" ht="18" customHeight="1" s="331">
      <c r="A58" s="33" t="n">
        <v>52</v>
      </c>
      <c r="B58" s="17" t="inlineStr">
        <is>
          <t>328264</t>
        </is>
      </c>
      <c r="C58" s="18" t="n">
        <v>41295</v>
      </c>
      <c r="D58" s="620" t="n">
        <v>21</v>
      </c>
      <c r="E58" s="11" t="inlineStr">
        <is>
          <t>S G L CAMBODIA</t>
        </is>
      </c>
      <c r="F58" s="10" t="inlineStr">
        <is>
          <t>100119816</t>
        </is>
      </c>
      <c r="G58" s="17" t="inlineStr">
        <is>
          <t>328264</t>
        </is>
      </c>
      <c r="H58" s="18" t="n">
        <v>41295</v>
      </c>
      <c r="I58" s="620" t="n">
        <v>21</v>
      </c>
      <c r="J58" s="9" t="n"/>
    </row>
    <row r="59" ht="18" customHeight="1" s="331">
      <c r="A59" s="33" t="n">
        <v>53</v>
      </c>
      <c r="B59" s="17" t="inlineStr">
        <is>
          <t>328305</t>
        </is>
      </c>
      <c r="C59" s="18" t="n">
        <v>41296</v>
      </c>
      <c r="D59" s="620" t="n">
        <v>36.19</v>
      </c>
      <c r="E59" s="11" t="inlineStr">
        <is>
          <t>S G L CAMBODIA</t>
        </is>
      </c>
      <c r="F59" s="10" t="inlineStr">
        <is>
          <t>100119816</t>
        </is>
      </c>
      <c r="G59" s="17" t="inlineStr">
        <is>
          <t>328305</t>
        </is>
      </c>
      <c r="H59" s="18" t="n">
        <v>41296</v>
      </c>
      <c r="I59" s="620" t="n">
        <v>36.19</v>
      </c>
      <c r="J59" s="9" t="n"/>
    </row>
    <row r="60" ht="18" customHeight="1" s="331">
      <c r="A60" s="33" t="n">
        <v>54</v>
      </c>
      <c r="B60" s="17" t="inlineStr">
        <is>
          <t>328387</t>
        </is>
      </c>
      <c r="C60" s="18" t="n">
        <v>41302</v>
      </c>
      <c r="D60" s="620" t="n">
        <v>2.7</v>
      </c>
      <c r="E60" s="11" t="inlineStr">
        <is>
          <t>S G L CAMBODIA</t>
        </is>
      </c>
      <c r="F60" s="10" t="inlineStr">
        <is>
          <t>100119816</t>
        </is>
      </c>
      <c r="G60" s="17" t="inlineStr">
        <is>
          <t>328387</t>
        </is>
      </c>
      <c r="H60" s="18" t="n">
        <v>41302</v>
      </c>
      <c r="I60" s="620" t="n">
        <v>2.7</v>
      </c>
      <c r="J60" s="9" t="n"/>
    </row>
    <row r="61" ht="18" customHeight="1" s="331">
      <c r="A61" s="33" t="n">
        <v>55</v>
      </c>
      <c r="B61" s="17" t="inlineStr">
        <is>
          <t>328423</t>
        </is>
      </c>
      <c r="C61" s="18" t="n">
        <v>41302</v>
      </c>
      <c r="D61" s="620" t="n">
        <v>24.92</v>
      </c>
      <c r="E61" s="11" t="inlineStr">
        <is>
          <t>S G L CAMBODIA</t>
        </is>
      </c>
      <c r="F61" s="10" t="inlineStr">
        <is>
          <t>100119816</t>
        </is>
      </c>
      <c r="G61" s="17" t="inlineStr">
        <is>
          <t>328423</t>
        </is>
      </c>
      <c r="H61" s="18" t="n">
        <v>41302</v>
      </c>
      <c r="I61" s="620" t="n">
        <v>24.92</v>
      </c>
      <c r="J61" s="9" t="n"/>
    </row>
    <row r="62" ht="18" customHeight="1" s="331">
      <c r="A62" s="33" t="n">
        <v>56</v>
      </c>
      <c r="B62" s="17" t="inlineStr">
        <is>
          <t>328441</t>
        </is>
      </c>
      <c r="C62" s="18" t="n">
        <v>41302</v>
      </c>
      <c r="D62" s="620" t="n">
        <v>40.06</v>
      </c>
      <c r="E62" s="11" t="inlineStr">
        <is>
          <t>S G L CAMBODIA</t>
        </is>
      </c>
      <c r="F62" s="10" t="inlineStr">
        <is>
          <t>100119816</t>
        </is>
      </c>
      <c r="G62" s="17" t="inlineStr">
        <is>
          <t>328441</t>
        </is>
      </c>
      <c r="H62" s="18" t="n">
        <v>41302</v>
      </c>
      <c r="I62" s="620" t="n">
        <v>40.06</v>
      </c>
      <c r="J62" s="9" t="n"/>
    </row>
    <row r="63" ht="18" customHeight="1" s="331">
      <c r="A63" s="33" t="n">
        <v>57</v>
      </c>
      <c r="B63" s="17" t="inlineStr">
        <is>
          <t>328460</t>
        </is>
      </c>
      <c r="C63" s="18" t="n">
        <v>41303</v>
      </c>
      <c r="D63" s="620" t="n">
        <v>25.36</v>
      </c>
      <c r="E63" s="11" t="inlineStr">
        <is>
          <t>S G L CAMBODIA</t>
        </is>
      </c>
      <c r="F63" s="10" t="inlineStr">
        <is>
          <t>100119816</t>
        </is>
      </c>
      <c r="G63" s="17" t="inlineStr">
        <is>
          <t>328460</t>
        </is>
      </c>
      <c r="H63" s="18" t="n">
        <v>41303</v>
      </c>
      <c r="I63" s="620" t="n">
        <v>25.36</v>
      </c>
      <c r="J63" s="9" t="n"/>
    </row>
    <row r="64" ht="18" customHeight="1" s="331">
      <c r="A64" s="33" t="n">
        <v>58</v>
      </c>
      <c r="B64" s="17" t="inlineStr">
        <is>
          <t>328477</t>
        </is>
      </c>
      <c r="C64" s="18" t="n">
        <v>41303</v>
      </c>
      <c r="D64" s="620" t="n">
        <v>5.8</v>
      </c>
      <c r="E64" s="11" t="inlineStr">
        <is>
          <t>S G L CAMBODIA</t>
        </is>
      </c>
      <c r="F64" s="10" t="inlineStr">
        <is>
          <t>100119816</t>
        </is>
      </c>
      <c r="G64" s="17" t="inlineStr">
        <is>
          <t>328477</t>
        </is>
      </c>
      <c r="H64" s="18" t="n">
        <v>41303</v>
      </c>
      <c r="I64" s="620" t="n">
        <v>5.8</v>
      </c>
      <c r="J64" s="9" t="n"/>
    </row>
    <row r="65" ht="18" customHeight="1" s="331">
      <c r="A65" s="33" t="n">
        <v>59</v>
      </c>
      <c r="B65" s="17" t="inlineStr">
        <is>
          <t>328529</t>
        </is>
      </c>
      <c r="C65" s="18" t="n">
        <v>41310</v>
      </c>
      <c r="D65" s="620" t="n">
        <v>41.05</v>
      </c>
      <c r="E65" s="11" t="inlineStr">
        <is>
          <t>S G L CAMBODIA</t>
        </is>
      </c>
      <c r="F65" s="10" t="inlineStr">
        <is>
          <t>100119816</t>
        </is>
      </c>
      <c r="G65" s="17" t="inlineStr">
        <is>
          <t>328529</t>
        </is>
      </c>
      <c r="H65" s="18" t="n">
        <v>41310</v>
      </c>
      <c r="I65" s="620" t="n">
        <v>41.05</v>
      </c>
      <c r="J65" s="9" t="n"/>
    </row>
    <row r="66" ht="18" customHeight="1" s="331">
      <c r="A66" s="33" t="n">
        <v>60</v>
      </c>
      <c r="B66" s="17" t="inlineStr">
        <is>
          <t>328576</t>
        </is>
      </c>
      <c r="C66" s="18" t="n">
        <v>41310</v>
      </c>
      <c r="D66" s="620" t="n">
        <v>29.35</v>
      </c>
      <c r="E66" s="11" t="inlineStr">
        <is>
          <t>S G L CAMBODIA</t>
        </is>
      </c>
      <c r="F66" s="10" t="inlineStr">
        <is>
          <t>100119816</t>
        </is>
      </c>
      <c r="G66" s="17" t="inlineStr">
        <is>
          <t>328576</t>
        </is>
      </c>
      <c r="H66" s="18" t="n">
        <v>41310</v>
      </c>
      <c r="I66" s="620" t="n">
        <v>29.35</v>
      </c>
      <c r="J66" s="9" t="n"/>
    </row>
    <row r="67" ht="18" customHeight="1" s="331">
      <c r="A67" s="33" t="n">
        <v>61</v>
      </c>
      <c r="B67" s="17" t="inlineStr">
        <is>
          <t>328574</t>
        </is>
      </c>
      <c r="C67" s="18" t="n">
        <v>41310</v>
      </c>
      <c r="D67" s="620" t="n">
        <v>5</v>
      </c>
      <c r="E67" s="11" t="inlineStr">
        <is>
          <t>S G L CAMBODIA</t>
        </is>
      </c>
      <c r="F67" s="10" t="inlineStr">
        <is>
          <t>100119816</t>
        </is>
      </c>
      <c r="G67" s="17" t="inlineStr">
        <is>
          <t>328574</t>
        </is>
      </c>
      <c r="H67" s="18" t="n">
        <v>41310</v>
      </c>
      <c r="I67" s="620" t="n">
        <v>5</v>
      </c>
      <c r="J67" s="9" t="n"/>
    </row>
    <row r="68" ht="18" customHeight="1" s="331">
      <c r="A68" s="33" t="n">
        <v>62</v>
      </c>
      <c r="B68" s="17" t="inlineStr">
        <is>
          <t>328588</t>
        </is>
      </c>
      <c r="C68" s="18" t="n">
        <v>41311</v>
      </c>
      <c r="D68" s="620" t="n">
        <v>38.02</v>
      </c>
      <c r="E68" s="11" t="inlineStr">
        <is>
          <t>S G L CAMBODIA</t>
        </is>
      </c>
      <c r="F68" s="10" t="inlineStr">
        <is>
          <t>100119816</t>
        </is>
      </c>
      <c r="G68" s="17" t="inlineStr">
        <is>
          <t>328588</t>
        </is>
      </c>
      <c r="H68" s="18" t="n">
        <v>41311</v>
      </c>
      <c r="I68" s="620" t="n">
        <v>38.02</v>
      </c>
      <c r="J68" s="9" t="n"/>
    </row>
    <row r="69" ht="18" customHeight="1" s="331">
      <c r="A69" s="33" t="n">
        <v>63</v>
      </c>
      <c r="B69" s="17" t="inlineStr">
        <is>
          <t>328598</t>
        </is>
      </c>
      <c r="C69" s="18" t="n">
        <v>41311</v>
      </c>
      <c r="D69" s="620" t="n">
        <v>27.42</v>
      </c>
      <c r="E69" s="11" t="inlineStr">
        <is>
          <t>S G L CAMBODIA</t>
        </is>
      </c>
      <c r="F69" s="10" t="inlineStr">
        <is>
          <t>100119816</t>
        </is>
      </c>
      <c r="G69" s="17" t="inlineStr">
        <is>
          <t>328598</t>
        </is>
      </c>
      <c r="H69" s="18" t="n">
        <v>41311</v>
      </c>
      <c r="I69" s="620" t="n">
        <v>27.42</v>
      </c>
      <c r="J69" s="9" t="n"/>
    </row>
    <row r="70" ht="18" customHeight="1" s="331">
      <c r="A70" s="33" t="n">
        <v>64</v>
      </c>
      <c r="B70" s="17" t="inlineStr">
        <is>
          <t>328600</t>
        </is>
      </c>
      <c r="C70" s="18" t="n">
        <v>41311</v>
      </c>
      <c r="D70" s="620" t="n">
        <v>65.59999999999999</v>
      </c>
      <c r="E70" s="11" t="inlineStr">
        <is>
          <t>S G L CAMBODIA</t>
        </is>
      </c>
      <c r="F70" s="10" t="inlineStr">
        <is>
          <t>100119816</t>
        </is>
      </c>
      <c r="G70" s="17" t="inlineStr">
        <is>
          <t>328600</t>
        </is>
      </c>
      <c r="H70" s="18" t="n">
        <v>41311</v>
      </c>
      <c r="I70" s="620" t="n">
        <v>65.59999999999999</v>
      </c>
      <c r="J70" s="9" t="n"/>
    </row>
    <row r="71" ht="18" customHeight="1" s="331">
      <c r="A71" s="33" t="n">
        <v>65</v>
      </c>
      <c r="B71" s="17" t="inlineStr">
        <is>
          <t>328657</t>
        </is>
      </c>
      <c r="C71" s="18" t="n">
        <v>41317</v>
      </c>
      <c r="D71" s="620" t="n">
        <v>21.5</v>
      </c>
      <c r="E71" s="11" t="inlineStr">
        <is>
          <t>S G L CAMBODIA</t>
        </is>
      </c>
      <c r="F71" s="10" t="inlineStr">
        <is>
          <t>100119816</t>
        </is>
      </c>
      <c r="G71" s="17" t="inlineStr">
        <is>
          <t>328657</t>
        </is>
      </c>
      <c r="H71" s="18" t="n">
        <v>41317</v>
      </c>
      <c r="I71" s="620" t="n">
        <v>21.5</v>
      </c>
      <c r="J71" s="9" t="n"/>
    </row>
    <row r="72" ht="18" customHeight="1" s="331">
      <c r="A72" s="33" t="n">
        <v>66</v>
      </c>
      <c r="B72" s="17" t="inlineStr">
        <is>
          <t>328732</t>
        </is>
      </c>
      <c r="C72" s="18" t="n">
        <v>41323</v>
      </c>
      <c r="D72" s="620" t="n">
        <v>72.52</v>
      </c>
      <c r="E72" s="11" t="inlineStr">
        <is>
          <t>S G L CAMBODIA</t>
        </is>
      </c>
      <c r="F72" s="10" t="inlineStr">
        <is>
          <t>100119816</t>
        </is>
      </c>
      <c r="G72" s="17" t="inlineStr">
        <is>
          <t>328732</t>
        </is>
      </c>
      <c r="H72" s="18" t="n">
        <v>41323</v>
      </c>
      <c r="I72" s="620" t="n">
        <v>72.52</v>
      </c>
      <c r="J72" s="9" t="n"/>
    </row>
    <row r="73" ht="18" customHeight="1" s="331">
      <c r="A73" s="33" t="n">
        <v>67</v>
      </c>
      <c r="B73" s="17" t="inlineStr">
        <is>
          <t>328734</t>
        </is>
      </c>
      <c r="C73" s="18" t="n">
        <v>41323</v>
      </c>
      <c r="D73" s="620" t="n">
        <v>35.5</v>
      </c>
      <c r="E73" s="11" t="inlineStr">
        <is>
          <t>S G L CAMBODIA</t>
        </is>
      </c>
      <c r="F73" s="10" t="inlineStr">
        <is>
          <t>100119816</t>
        </is>
      </c>
      <c r="G73" s="17" t="inlineStr">
        <is>
          <t>328734</t>
        </is>
      </c>
      <c r="H73" s="18" t="n">
        <v>41323</v>
      </c>
      <c r="I73" s="620" t="n">
        <v>35.5</v>
      </c>
      <c r="J73" s="9" t="n"/>
    </row>
    <row r="74" ht="18" customHeight="1" s="331">
      <c r="A74" s="33" t="n">
        <v>68</v>
      </c>
      <c r="B74" s="17" t="inlineStr">
        <is>
          <t>328784</t>
        </is>
      </c>
      <c r="C74" s="18" t="n">
        <v>41324</v>
      </c>
      <c r="D74" s="620" t="n">
        <v>33.53</v>
      </c>
      <c r="E74" s="11" t="inlineStr">
        <is>
          <t>S G L CAMBODIA</t>
        </is>
      </c>
      <c r="F74" s="10" t="inlineStr">
        <is>
          <t>100119816</t>
        </is>
      </c>
      <c r="G74" s="17" t="inlineStr">
        <is>
          <t>328784</t>
        </is>
      </c>
      <c r="H74" s="18" t="n">
        <v>41324</v>
      </c>
      <c r="I74" s="620" t="n">
        <v>33.53</v>
      </c>
      <c r="J74" s="9" t="n"/>
    </row>
    <row r="75" ht="18" customHeight="1" s="331">
      <c r="A75" s="33" t="n">
        <v>69</v>
      </c>
      <c r="B75" s="17" t="inlineStr">
        <is>
          <t>328788</t>
        </is>
      </c>
      <c r="C75" s="18" t="n">
        <v>41324</v>
      </c>
      <c r="D75" s="620" t="n">
        <v>5.8</v>
      </c>
      <c r="E75" s="11" t="inlineStr">
        <is>
          <t>S G L CAMBODIA</t>
        </is>
      </c>
      <c r="F75" s="10" t="inlineStr">
        <is>
          <t>100119816</t>
        </is>
      </c>
      <c r="G75" s="17" t="inlineStr">
        <is>
          <t>328788</t>
        </is>
      </c>
      <c r="H75" s="18" t="n">
        <v>41324</v>
      </c>
      <c r="I75" s="620" t="n">
        <v>5.8</v>
      </c>
      <c r="J75" s="9" t="n"/>
    </row>
    <row r="76" ht="18" customHeight="1" s="331">
      <c r="A76" s="33" t="n">
        <v>70</v>
      </c>
      <c r="B76" s="17" t="inlineStr">
        <is>
          <t>328859</t>
        </is>
      </c>
      <c r="C76" s="18" t="n">
        <v>41330</v>
      </c>
      <c r="D76" s="620" t="n">
        <v>24.95</v>
      </c>
      <c r="E76" s="11" t="inlineStr">
        <is>
          <t>S G L CAMBODIA</t>
        </is>
      </c>
      <c r="F76" s="10" t="inlineStr">
        <is>
          <t>100119816</t>
        </is>
      </c>
      <c r="G76" s="17" t="inlineStr">
        <is>
          <t>328859</t>
        </is>
      </c>
      <c r="H76" s="18" t="n">
        <v>41330</v>
      </c>
      <c r="I76" s="620" t="n">
        <v>24.95</v>
      </c>
      <c r="J76" s="9" t="n"/>
    </row>
    <row r="77" ht="18" customHeight="1" s="331">
      <c r="A77" s="33" t="n">
        <v>71</v>
      </c>
      <c r="B77" s="17" t="inlineStr">
        <is>
          <t>328868</t>
        </is>
      </c>
      <c r="C77" s="18" t="n">
        <v>41330</v>
      </c>
      <c r="D77" s="620" t="n">
        <v>24.2</v>
      </c>
      <c r="E77" s="11" t="inlineStr">
        <is>
          <t>S G L CAMBODIA</t>
        </is>
      </c>
      <c r="F77" s="10" t="inlineStr">
        <is>
          <t>100119816</t>
        </is>
      </c>
      <c r="G77" s="17" t="inlineStr">
        <is>
          <t>328868</t>
        </is>
      </c>
      <c r="H77" s="18" t="n">
        <v>41330</v>
      </c>
      <c r="I77" s="620" t="n">
        <v>24.2</v>
      </c>
      <c r="J77" s="9" t="n"/>
    </row>
    <row r="78" ht="18" customHeight="1" s="331">
      <c r="A78" s="33" t="n">
        <v>72</v>
      </c>
      <c r="B78" s="17" t="inlineStr">
        <is>
          <t>328869</t>
        </is>
      </c>
      <c r="C78" s="18" t="n">
        <v>41330</v>
      </c>
      <c r="D78" s="620" t="n">
        <v>76.52</v>
      </c>
      <c r="E78" s="11" t="inlineStr">
        <is>
          <t>S G L CAMBODIA</t>
        </is>
      </c>
      <c r="F78" s="10" t="inlineStr">
        <is>
          <t>100119816</t>
        </is>
      </c>
      <c r="G78" s="17" t="inlineStr">
        <is>
          <t>328869</t>
        </is>
      </c>
      <c r="H78" s="18" t="n">
        <v>41330</v>
      </c>
      <c r="I78" s="620" t="n">
        <v>76.52</v>
      </c>
      <c r="J78" s="9" t="n"/>
    </row>
    <row r="79" ht="18" customHeight="1" s="331">
      <c r="A79" s="33" t="n">
        <v>73</v>
      </c>
      <c r="B79" s="17" t="inlineStr">
        <is>
          <t>328936</t>
        </is>
      </c>
      <c r="C79" s="18" t="n">
        <v>41337</v>
      </c>
      <c r="D79" s="620" t="n">
        <v>55.26</v>
      </c>
      <c r="E79" s="11" t="inlineStr">
        <is>
          <t>S G L CAMBODIA</t>
        </is>
      </c>
      <c r="F79" s="10" t="inlineStr">
        <is>
          <t>100119816</t>
        </is>
      </c>
      <c r="G79" s="17" t="inlineStr">
        <is>
          <t>328936</t>
        </is>
      </c>
      <c r="H79" s="18" t="n">
        <v>41337</v>
      </c>
      <c r="I79" s="620" t="n">
        <v>55.26</v>
      </c>
      <c r="J79" s="9" t="n"/>
    </row>
    <row r="80" ht="18" customHeight="1" s="331">
      <c r="A80" s="33" t="n">
        <v>74</v>
      </c>
      <c r="B80" s="17" t="inlineStr">
        <is>
          <t>329060</t>
        </is>
      </c>
      <c r="C80" s="18" t="n">
        <v>41345</v>
      </c>
      <c r="D80" s="620" t="n">
        <v>24.57</v>
      </c>
      <c r="E80" s="11" t="inlineStr">
        <is>
          <t>S G L CAMBODIA</t>
        </is>
      </c>
      <c r="F80" s="10" t="inlineStr">
        <is>
          <t>100119816</t>
        </is>
      </c>
      <c r="G80" s="17" t="inlineStr">
        <is>
          <t>329060</t>
        </is>
      </c>
      <c r="H80" s="18" t="n">
        <v>41345</v>
      </c>
      <c r="I80" s="620" t="n">
        <v>24.57</v>
      </c>
      <c r="J80" s="9" t="n"/>
    </row>
    <row r="81" ht="18" customHeight="1" s="331">
      <c r="A81" s="33" t="n">
        <v>75</v>
      </c>
      <c r="B81" s="17" t="inlineStr">
        <is>
          <t>329063</t>
        </is>
      </c>
      <c r="C81" s="18" t="n">
        <v>41345</v>
      </c>
      <c r="D81" s="620" t="n">
        <v>32.3</v>
      </c>
      <c r="E81" s="11" t="inlineStr">
        <is>
          <t>S G L CAMBODIA</t>
        </is>
      </c>
      <c r="F81" s="10" t="inlineStr">
        <is>
          <t>100119816</t>
        </is>
      </c>
      <c r="G81" s="17" t="inlineStr">
        <is>
          <t>329063</t>
        </is>
      </c>
      <c r="H81" s="18" t="n">
        <v>41345</v>
      </c>
      <c r="I81" s="620" t="n">
        <v>32.3</v>
      </c>
      <c r="J81" s="9" t="n"/>
    </row>
    <row r="82" ht="18" customHeight="1" s="331">
      <c r="A82" s="33" t="n">
        <v>76</v>
      </c>
      <c r="B82" s="17" t="inlineStr">
        <is>
          <t>329096</t>
        </is>
      </c>
      <c r="C82" s="18" t="n">
        <v>41345</v>
      </c>
      <c r="D82" s="620" t="n">
        <v>21.2</v>
      </c>
      <c r="E82" s="11" t="inlineStr">
        <is>
          <t>S G L CAMBODIA</t>
        </is>
      </c>
      <c r="F82" s="10" t="inlineStr">
        <is>
          <t>100119816</t>
        </is>
      </c>
      <c r="G82" s="17" t="inlineStr">
        <is>
          <t>329096</t>
        </is>
      </c>
      <c r="H82" s="18" t="n">
        <v>41345</v>
      </c>
      <c r="I82" s="620" t="n">
        <v>21.2</v>
      </c>
      <c r="J82" s="9" t="n"/>
    </row>
    <row r="83" ht="18" customHeight="1" s="331">
      <c r="A83" s="33" t="n">
        <v>77</v>
      </c>
      <c r="B83" s="17" t="inlineStr">
        <is>
          <t>329125</t>
        </is>
      </c>
      <c r="C83" s="18" t="n">
        <v>41345</v>
      </c>
      <c r="D83" s="620" t="n">
        <v>28.04</v>
      </c>
      <c r="E83" s="11" t="inlineStr">
        <is>
          <t>S G L CAMBODIA</t>
        </is>
      </c>
      <c r="F83" s="10" t="inlineStr">
        <is>
          <t>100119816</t>
        </is>
      </c>
      <c r="G83" s="17" t="inlineStr">
        <is>
          <t>329125</t>
        </is>
      </c>
      <c r="H83" s="18" t="n">
        <v>41345</v>
      </c>
      <c r="I83" s="620" t="n">
        <v>28.04</v>
      </c>
      <c r="J83" s="9" t="n"/>
    </row>
    <row r="84" ht="18" customHeight="1" s="331">
      <c r="A84" s="33" t="n">
        <v>78</v>
      </c>
      <c r="B84" s="17" t="inlineStr">
        <is>
          <t>329189</t>
        </is>
      </c>
      <c r="C84" s="18" t="n">
        <v>41352</v>
      </c>
      <c r="D84" s="620" t="n">
        <v>65.72</v>
      </c>
      <c r="E84" s="11" t="inlineStr">
        <is>
          <t>S G L CAMBODIA</t>
        </is>
      </c>
      <c r="F84" s="10" t="inlineStr">
        <is>
          <t>100119816</t>
        </is>
      </c>
      <c r="G84" s="17" t="inlineStr">
        <is>
          <t>329189</t>
        </is>
      </c>
      <c r="H84" s="18" t="n">
        <v>41352</v>
      </c>
      <c r="I84" s="620" t="n">
        <v>65.72</v>
      </c>
      <c r="J84" s="9" t="n"/>
    </row>
    <row r="85" ht="18" customHeight="1" s="331">
      <c r="A85" s="33" t="n">
        <v>79</v>
      </c>
      <c r="B85" s="17" t="inlineStr">
        <is>
          <t>329198</t>
        </is>
      </c>
      <c r="C85" s="18" t="n">
        <v>41352</v>
      </c>
      <c r="D85" s="620" t="n">
        <v>25.46</v>
      </c>
      <c r="E85" s="11" t="inlineStr">
        <is>
          <t>S G L CAMBODIA</t>
        </is>
      </c>
      <c r="F85" s="10" t="inlineStr">
        <is>
          <t>100119816</t>
        </is>
      </c>
      <c r="G85" s="17" t="inlineStr">
        <is>
          <t>329198</t>
        </is>
      </c>
      <c r="H85" s="18" t="n">
        <v>41352</v>
      </c>
      <c r="I85" s="620" t="n">
        <v>25.46</v>
      </c>
      <c r="J85" s="9" t="n"/>
    </row>
    <row r="86" ht="18" customHeight="1" s="331">
      <c r="A86" s="33" t="n">
        <v>80</v>
      </c>
      <c r="B86" s="17" t="inlineStr">
        <is>
          <t>329219</t>
        </is>
      </c>
      <c r="C86" s="18" t="n">
        <v>41352</v>
      </c>
      <c r="D86" s="620" t="n">
        <v>26.96</v>
      </c>
      <c r="E86" s="11" t="inlineStr">
        <is>
          <t>S G L CAMBODIA</t>
        </is>
      </c>
      <c r="F86" s="10" t="inlineStr">
        <is>
          <t>100119816</t>
        </is>
      </c>
      <c r="G86" s="17" t="inlineStr">
        <is>
          <t>329219</t>
        </is>
      </c>
      <c r="H86" s="18" t="n">
        <v>41352</v>
      </c>
      <c r="I86" s="620" t="n">
        <v>26.96</v>
      </c>
      <c r="J86" s="9" t="n"/>
    </row>
    <row r="87" ht="18" customHeight="1" s="331">
      <c r="A87" s="33" t="n">
        <v>81</v>
      </c>
      <c r="B87" s="17" t="inlineStr">
        <is>
          <t>329291</t>
        </is>
      </c>
      <c r="C87" s="18" t="n">
        <v>41358</v>
      </c>
      <c r="D87" s="620" t="n">
        <v>21.2</v>
      </c>
      <c r="E87" s="11" t="inlineStr">
        <is>
          <t>S G L CAMBODIA</t>
        </is>
      </c>
      <c r="F87" s="10" t="inlineStr">
        <is>
          <t>100119816</t>
        </is>
      </c>
      <c r="G87" s="17" t="inlineStr">
        <is>
          <t>329291</t>
        </is>
      </c>
      <c r="H87" s="18" t="n">
        <v>41358</v>
      </c>
      <c r="I87" s="620" t="n">
        <v>21.2</v>
      </c>
      <c r="J87" s="9" t="n"/>
    </row>
    <row r="88" ht="18" customHeight="1" s="331">
      <c r="A88" s="33" t="n">
        <v>82</v>
      </c>
      <c r="B88" s="17" t="inlineStr">
        <is>
          <t>329298</t>
        </is>
      </c>
      <c r="C88" s="18" t="n">
        <v>41358</v>
      </c>
      <c r="D88" s="620" t="n">
        <v>29.84</v>
      </c>
      <c r="E88" s="11" t="inlineStr">
        <is>
          <t>S G L CAMBODIA</t>
        </is>
      </c>
      <c r="F88" s="10" t="inlineStr">
        <is>
          <t>100119816</t>
        </is>
      </c>
      <c r="G88" s="17" t="inlineStr">
        <is>
          <t>329298</t>
        </is>
      </c>
      <c r="H88" s="18" t="n">
        <v>41358</v>
      </c>
      <c r="I88" s="620" t="n">
        <v>29.84</v>
      </c>
      <c r="J88" s="9" t="n"/>
    </row>
    <row r="89" ht="18" customHeight="1" s="331">
      <c r="A89" s="33" t="n">
        <v>83</v>
      </c>
      <c r="B89" s="17" t="inlineStr">
        <is>
          <t>329324</t>
        </is>
      </c>
      <c r="C89" s="18" t="n">
        <v>41358</v>
      </c>
      <c r="D89" s="620" t="n">
        <v>3</v>
      </c>
      <c r="E89" s="11" t="inlineStr">
        <is>
          <t>S G L CAMBODIA</t>
        </is>
      </c>
      <c r="F89" s="10" t="inlineStr">
        <is>
          <t>100119816</t>
        </is>
      </c>
      <c r="G89" s="17" t="inlineStr">
        <is>
          <t>329324</t>
        </is>
      </c>
      <c r="H89" s="18" t="n">
        <v>41358</v>
      </c>
      <c r="I89" s="620" t="n">
        <v>3</v>
      </c>
      <c r="J89" s="9" t="n"/>
    </row>
    <row r="90" ht="18" customHeight="1" s="331">
      <c r="A90" s="33" t="n">
        <v>84</v>
      </c>
      <c r="B90" s="17" t="inlineStr">
        <is>
          <t>329343</t>
        </is>
      </c>
      <c r="C90" s="18" t="n">
        <v>41359</v>
      </c>
      <c r="D90" s="620" t="n">
        <v>36.25</v>
      </c>
      <c r="E90" s="11" t="inlineStr">
        <is>
          <t>S G L CAMBODIA</t>
        </is>
      </c>
      <c r="F90" s="10" t="inlineStr">
        <is>
          <t>100119816</t>
        </is>
      </c>
      <c r="G90" s="17" t="inlineStr">
        <is>
          <t>329343</t>
        </is>
      </c>
      <c r="H90" s="18" t="n">
        <v>41359</v>
      </c>
      <c r="I90" s="620" t="n">
        <v>36.25</v>
      </c>
      <c r="J90" s="9" t="n"/>
    </row>
    <row r="91" ht="18" customHeight="1" s="331">
      <c r="A91" s="33" t="n">
        <v>85</v>
      </c>
      <c r="B91" s="17" t="inlineStr">
        <is>
          <t>329402</t>
        </is>
      </c>
      <c r="C91" s="18" t="n">
        <v>41363</v>
      </c>
      <c r="D91" s="620" t="n">
        <v>41.6</v>
      </c>
      <c r="E91" s="11" t="inlineStr">
        <is>
          <t>S G L CAMBODIA</t>
        </is>
      </c>
      <c r="F91" s="10" t="inlineStr">
        <is>
          <t>100119816</t>
        </is>
      </c>
      <c r="G91" s="17" t="inlineStr">
        <is>
          <t>329402</t>
        </is>
      </c>
      <c r="H91" s="18" t="n">
        <v>41363</v>
      </c>
      <c r="I91" s="620" t="n">
        <v>41.6</v>
      </c>
      <c r="J91" s="9" t="n"/>
    </row>
    <row r="92" ht="18" customHeight="1" s="331">
      <c r="A92" s="33" t="n">
        <v>86</v>
      </c>
      <c r="B92" s="17" t="inlineStr">
        <is>
          <t>329412</t>
        </is>
      </c>
      <c r="C92" s="18" t="n">
        <v>41363</v>
      </c>
      <c r="D92" s="620" t="n">
        <v>26.76</v>
      </c>
      <c r="E92" s="11" t="inlineStr">
        <is>
          <t>S G L CAMBODIA</t>
        </is>
      </c>
      <c r="F92" s="10" t="inlineStr">
        <is>
          <t>100119816</t>
        </is>
      </c>
      <c r="G92" s="17" t="inlineStr">
        <is>
          <t>329412</t>
        </is>
      </c>
      <c r="H92" s="18" t="n">
        <v>41363</v>
      </c>
      <c r="I92" s="620" t="n">
        <v>26.76</v>
      </c>
      <c r="J92" s="9" t="n"/>
    </row>
    <row r="93" ht="18" customHeight="1" s="331">
      <c r="A93" s="33" t="n">
        <v>87</v>
      </c>
      <c r="B93" s="17" t="inlineStr">
        <is>
          <t>329475</t>
        </is>
      </c>
      <c r="C93" s="18" t="n">
        <v>41364</v>
      </c>
      <c r="D93" s="620" t="n">
        <v>21.2</v>
      </c>
      <c r="E93" s="11" t="inlineStr">
        <is>
          <t>S G L CAMBODIA</t>
        </is>
      </c>
      <c r="F93" s="10" t="inlineStr">
        <is>
          <t>100119816</t>
        </is>
      </c>
      <c r="G93" s="17" t="inlineStr">
        <is>
          <t>329475</t>
        </is>
      </c>
      <c r="H93" s="18" t="n">
        <v>41364</v>
      </c>
      <c r="I93" s="620" t="n">
        <v>21.2</v>
      </c>
      <c r="J93" s="9" t="n"/>
    </row>
    <row r="94" ht="18" customHeight="1" s="331">
      <c r="A94" s="33" t="n">
        <v>88</v>
      </c>
      <c r="B94" s="17" t="inlineStr">
        <is>
          <t>329496</t>
        </is>
      </c>
      <c r="C94" s="18" t="n">
        <v>41364</v>
      </c>
      <c r="D94" s="620" t="n">
        <v>25.14</v>
      </c>
      <c r="E94" s="11" t="inlineStr">
        <is>
          <t>S G L CAMBODIA</t>
        </is>
      </c>
      <c r="F94" s="10" t="inlineStr">
        <is>
          <t>100119816</t>
        </is>
      </c>
      <c r="G94" s="17" t="inlineStr">
        <is>
          <t>329496</t>
        </is>
      </c>
      <c r="H94" s="18" t="n">
        <v>41364</v>
      </c>
      <c r="I94" s="620" t="n">
        <v>25.14</v>
      </c>
      <c r="J94" s="9" t="n"/>
    </row>
    <row r="95" ht="18" customHeight="1" s="331">
      <c r="A95" s="33" t="n">
        <v>89</v>
      </c>
      <c r="B95" s="17" t="inlineStr">
        <is>
          <t>329566</t>
        </is>
      </c>
      <c r="C95" s="18" t="n">
        <v>41372</v>
      </c>
      <c r="D95" s="620" t="n">
        <v>58.4</v>
      </c>
      <c r="E95" s="11" t="inlineStr">
        <is>
          <t>S G L CAMBODIA</t>
        </is>
      </c>
      <c r="F95" s="10" t="inlineStr">
        <is>
          <t>100119816</t>
        </is>
      </c>
      <c r="G95" s="17" t="inlineStr">
        <is>
          <t>329566</t>
        </is>
      </c>
      <c r="H95" s="18" t="n">
        <v>41372</v>
      </c>
      <c r="I95" s="620" t="n">
        <v>58.4</v>
      </c>
      <c r="J95" s="9" t="n"/>
    </row>
    <row r="96" ht="18" customHeight="1" s="331">
      <c r="A96" s="33" t="n">
        <v>90</v>
      </c>
      <c r="B96" s="17" t="inlineStr">
        <is>
          <t>329619</t>
        </is>
      </c>
      <c r="C96" s="18" t="n">
        <v>41373</v>
      </c>
      <c r="D96" s="620" t="n">
        <v>58.49</v>
      </c>
      <c r="E96" s="11" t="inlineStr">
        <is>
          <t>S G L CAMBODIA</t>
        </is>
      </c>
      <c r="F96" s="10" t="inlineStr">
        <is>
          <t>100119816</t>
        </is>
      </c>
      <c r="G96" s="17" t="inlineStr">
        <is>
          <t>329619</t>
        </is>
      </c>
      <c r="H96" s="18" t="n">
        <v>41373</v>
      </c>
      <c r="I96" s="620" t="n">
        <v>58.49</v>
      </c>
      <c r="J96" s="9" t="n"/>
    </row>
    <row r="97" ht="18" customHeight="1" s="331">
      <c r="A97" s="33" t="n">
        <v>91</v>
      </c>
      <c r="B97" s="17" t="inlineStr">
        <is>
          <t>329636</t>
        </is>
      </c>
      <c r="C97" s="18" t="n">
        <v>41373</v>
      </c>
      <c r="D97" s="620" t="n">
        <v>21.27</v>
      </c>
      <c r="E97" s="11" t="inlineStr">
        <is>
          <t>S G L CAMBODIA</t>
        </is>
      </c>
      <c r="F97" s="10" t="inlineStr">
        <is>
          <t>100119816</t>
        </is>
      </c>
      <c r="G97" s="17" t="inlineStr">
        <is>
          <t>329636</t>
        </is>
      </c>
      <c r="H97" s="18" t="n">
        <v>41373</v>
      </c>
      <c r="I97" s="620" t="n">
        <v>21.27</v>
      </c>
      <c r="J97" s="9" t="n"/>
    </row>
    <row r="98" ht="18" customHeight="1" s="331">
      <c r="A98" s="33" t="n">
        <v>92</v>
      </c>
      <c r="B98" s="17" t="inlineStr">
        <is>
          <t>329651</t>
        </is>
      </c>
      <c r="C98" s="18" t="n">
        <v>41373</v>
      </c>
      <c r="D98" s="620" t="n">
        <v>29.03</v>
      </c>
      <c r="E98" s="11" t="inlineStr">
        <is>
          <t>S G L CAMBODIA</t>
        </is>
      </c>
      <c r="F98" s="10" t="inlineStr">
        <is>
          <t>100119816</t>
        </is>
      </c>
      <c r="G98" s="17" t="inlineStr">
        <is>
          <t>329651</t>
        </is>
      </c>
      <c r="H98" s="18" t="n">
        <v>41373</v>
      </c>
      <c r="I98" s="620" t="n">
        <v>29.03</v>
      </c>
      <c r="J98" s="9" t="n"/>
    </row>
    <row r="99" ht="18" customHeight="1" s="331">
      <c r="A99" s="33" t="n">
        <v>93</v>
      </c>
      <c r="B99" s="17" t="inlineStr">
        <is>
          <t>329721</t>
        </is>
      </c>
      <c r="C99" s="18" t="n">
        <v>41382</v>
      </c>
      <c r="D99" s="620" t="n">
        <v>42.92</v>
      </c>
      <c r="E99" s="11" t="inlineStr">
        <is>
          <t>S G L CAMBODIA</t>
        </is>
      </c>
      <c r="F99" s="10" t="inlineStr">
        <is>
          <t>100119816</t>
        </is>
      </c>
      <c r="G99" s="17" t="inlineStr">
        <is>
          <t>329721</t>
        </is>
      </c>
      <c r="H99" s="18" t="n">
        <v>41382</v>
      </c>
      <c r="I99" s="620" t="n">
        <v>42.92</v>
      </c>
      <c r="J99" s="9" t="n"/>
    </row>
    <row r="100" ht="18" customHeight="1" s="331">
      <c r="A100" s="33" t="n">
        <v>94</v>
      </c>
      <c r="B100" s="17" t="inlineStr">
        <is>
          <t>329736</t>
        </is>
      </c>
      <c r="C100" s="18" t="n">
        <v>41382</v>
      </c>
      <c r="D100" s="620" t="n">
        <v>28.46</v>
      </c>
      <c r="E100" s="11" t="inlineStr">
        <is>
          <t>S G L CAMBODIA</t>
        </is>
      </c>
      <c r="F100" s="10" t="inlineStr">
        <is>
          <t>100119816</t>
        </is>
      </c>
      <c r="G100" s="17" t="inlineStr">
        <is>
          <t>329736</t>
        </is>
      </c>
      <c r="H100" s="18" t="n">
        <v>41382</v>
      </c>
      <c r="I100" s="620" t="n">
        <v>28.46</v>
      </c>
      <c r="J100" s="9" t="n"/>
    </row>
    <row r="101" ht="18" customHeight="1" s="331">
      <c r="A101" s="33" t="n">
        <v>95</v>
      </c>
      <c r="B101" s="17" t="inlineStr">
        <is>
          <t>329771</t>
        </is>
      </c>
      <c r="C101" s="18" t="n">
        <v>41382</v>
      </c>
      <c r="D101" s="620" t="n">
        <v>51.42</v>
      </c>
      <c r="E101" s="11" t="inlineStr">
        <is>
          <t>S G L CAMBODIA</t>
        </is>
      </c>
      <c r="F101" s="10" t="inlineStr">
        <is>
          <t>100119816</t>
        </is>
      </c>
      <c r="G101" s="17" t="inlineStr">
        <is>
          <t>329771</t>
        </is>
      </c>
      <c r="H101" s="18" t="n">
        <v>41382</v>
      </c>
      <c r="I101" s="620" t="n">
        <v>51.42</v>
      </c>
      <c r="J101" s="9" t="n"/>
    </row>
    <row r="102" ht="18" customHeight="1" s="331">
      <c r="A102" s="33" t="n">
        <v>96</v>
      </c>
      <c r="B102" s="17" t="inlineStr">
        <is>
          <t>329776</t>
        </is>
      </c>
      <c r="C102" s="18" t="n">
        <v>41382</v>
      </c>
      <c r="D102" s="620" t="n">
        <v>31.56</v>
      </c>
      <c r="E102" s="11" t="inlineStr">
        <is>
          <t>S G L CAMBODIA</t>
        </is>
      </c>
      <c r="F102" s="10" t="inlineStr">
        <is>
          <t>100119816</t>
        </is>
      </c>
      <c r="G102" s="17" t="inlineStr">
        <is>
          <t>329776</t>
        </is>
      </c>
      <c r="H102" s="18" t="n">
        <v>41382</v>
      </c>
      <c r="I102" s="620" t="n">
        <v>31.56</v>
      </c>
      <c r="J102" s="9" t="n"/>
    </row>
    <row r="103" ht="18" customHeight="1" s="331">
      <c r="A103" s="33" t="n">
        <v>97</v>
      </c>
      <c r="B103" s="17" t="inlineStr">
        <is>
          <t>329862</t>
        </is>
      </c>
      <c r="C103" s="18" t="n">
        <v>41387</v>
      </c>
      <c r="D103" s="620" t="n">
        <v>21.2</v>
      </c>
      <c r="E103" s="11" t="inlineStr">
        <is>
          <t>S G L CAMBODIA</t>
        </is>
      </c>
      <c r="F103" s="10" t="inlineStr">
        <is>
          <t>100119816</t>
        </is>
      </c>
      <c r="G103" s="17" t="inlineStr">
        <is>
          <t>329862</t>
        </is>
      </c>
      <c r="H103" s="18" t="n">
        <v>41387</v>
      </c>
      <c r="I103" s="620" t="n">
        <v>21.2</v>
      </c>
      <c r="J103" s="9" t="n"/>
    </row>
    <row r="104" ht="18" customHeight="1" s="331">
      <c r="A104" s="33" t="n">
        <v>98</v>
      </c>
      <c r="B104" s="17" t="inlineStr">
        <is>
          <t>329920</t>
        </is>
      </c>
      <c r="C104" s="18" t="n">
        <v>41387</v>
      </c>
      <c r="D104" s="620" t="n">
        <v>44.78</v>
      </c>
      <c r="E104" s="11" t="inlineStr">
        <is>
          <t>S G L CAMBODIA</t>
        </is>
      </c>
      <c r="F104" s="10" t="inlineStr">
        <is>
          <t>100119816</t>
        </is>
      </c>
      <c r="G104" s="17" t="inlineStr">
        <is>
          <t>329920</t>
        </is>
      </c>
      <c r="H104" s="18" t="n">
        <v>41387</v>
      </c>
      <c r="I104" s="620" t="n">
        <v>44.78</v>
      </c>
      <c r="J104" s="9" t="n"/>
    </row>
    <row r="105" ht="18" customHeight="1" s="331">
      <c r="A105" s="33" t="n">
        <v>99</v>
      </c>
      <c r="B105" s="17" t="inlineStr">
        <is>
          <t>329971</t>
        </is>
      </c>
      <c r="C105" s="18" t="n">
        <v>41393</v>
      </c>
      <c r="D105" s="620" t="n">
        <v>21.5</v>
      </c>
      <c r="E105" s="11" t="inlineStr">
        <is>
          <t>S G L CAMBODIA</t>
        </is>
      </c>
      <c r="F105" s="10" t="inlineStr">
        <is>
          <t>100119816</t>
        </is>
      </c>
      <c r="G105" s="17" t="inlineStr">
        <is>
          <t>329971</t>
        </is>
      </c>
      <c r="H105" s="18" t="n">
        <v>41393</v>
      </c>
      <c r="I105" s="620" t="n">
        <v>21.5</v>
      </c>
      <c r="J105" s="9" t="n"/>
    </row>
    <row r="106" ht="18" customHeight="1" s="331">
      <c r="A106" s="33" t="n">
        <v>100</v>
      </c>
      <c r="B106" s="17" t="inlineStr">
        <is>
          <t>329990</t>
        </is>
      </c>
      <c r="C106" s="18" t="n">
        <v>41393</v>
      </c>
      <c r="D106" s="620" t="n">
        <v>33.09</v>
      </c>
      <c r="E106" s="11" t="inlineStr">
        <is>
          <t>S G L CAMBODIA</t>
        </is>
      </c>
      <c r="F106" s="10" t="inlineStr">
        <is>
          <t>100119816</t>
        </is>
      </c>
      <c r="G106" s="17" t="inlineStr">
        <is>
          <t>329990</t>
        </is>
      </c>
      <c r="H106" s="18" t="n">
        <v>41393</v>
      </c>
      <c r="I106" s="620" t="n">
        <v>33.09</v>
      </c>
      <c r="J106" s="9" t="n"/>
    </row>
    <row r="107" ht="18" customHeight="1" s="331">
      <c r="A107" s="33" t="n">
        <v>101</v>
      </c>
      <c r="B107" s="17" t="inlineStr">
        <is>
          <t>330012</t>
        </is>
      </c>
      <c r="C107" s="18" t="n">
        <v>41394</v>
      </c>
      <c r="D107" s="620" t="n">
        <v>26.31</v>
      </c>
      <c r="E107" s="11" t="inlineStr">
        <is>
          <t>S G L CAMBODIA</t>
        </is>
      </c>
      <c r="F107" s="10" t="inlineStr">
        <is>
          <t>100119816</t>
        </is>
      </c>
      <c r="G107" s="17" t="inlineStr">
        <is>
          <t>330012</t>
        </is>
      </c>
      <c r="H107" s="18" t="n">
        <v>41394</v>
      </c>
      <c r="I107" s="620" t="n">
        <v>26.31</v>
      </c>
      <c r="J107" s="9" t="n"/>
    </row>
    <row r="108" ht="18" customHeight="1" s="331">
      <c r="A108" s="33" t="n">
        <v>102</v>
      </c>
      <c r="B108" s="17" t="inlineStr">
        <is>
          <t>330060</t>
        </is>
      </c>
      <c r="C108" s="18" t="n">
        <v>41394</v>
      </c>
      <c r="D108" s="620" t="n">
        <v>5</v>
      </c>
      <c r="E108" s="11" t="inlineStr">
        <is>
          <t>S G L CAMBODIA</t>
        </is>
      </c>
      <c r="F108" s="10" t="inlineStr">
        <is>
          <t>100119816</t>
        </is>
      </c>
      <c r="G108" s="17" t="inlineStr">
        <is>
          <t>330060</t>
        </is>
      </c>
      <c r="H108" s="18" t="n">
        <v>41394</v>
      </c>
      <c r="I108" s="620" t="n">
        <v>5</v>
      </c>
      <c r="J108" s="9" t="n"/>
    </row>
    <row r="109" ht="18" customHeight="1" s="331">
      <c r="A109" s="33" t="n">
        <v>103</v>
      </c>
      <c r="B109" s="17" t="inlineStr">
        <is>
          <t>330114</t>
        </is>
      </c>
      <c r="C109" s="18" t="n">
        <v>41400</v>
      </c>
      <c r="D109" s="620" t="n">
        <v>107.97</v>
      </c>
      <c r="E109" s="11" t="inlineStr">
        <is>
          <t>S G L CAMBODIA</t>
        </is>
      </c>
      <c r="F109" s="10" t="inlineStr">
        <is>
          <t>100119816</t>
        </is>
      </c>
      <c r="G109" s="17" t="inlineStr">
        <is>
          <t>330114</t>
        </is>
      </c>
      <c r="H109" s="18" t="n">
        <v>41400</v>
      </c>
      <c r="I109" s="620" t="n">
        <v>107.97</v>
      </c>
      <c r="J109" s="9" t="n"/>
    </row>
    <row r="110" ht="18" customHeight="1" s="331">
      <c r="A110" s="33" t="n">
        <v>104</v>
      </c>
      <c r="B110" s="17" t="inlineStr">
        <is>
          <t>330144</t>
        </is>
      </c>
      <c r="C110" s="18" t="n">
        <v>41400</v>
      </c>
      <c r="D110" s="620" t="n">
        <v>27.28</v>
      </c>
      <c r="E110" s="11" t="inlineStr">
        <is>
          <t>S G L CAMBODIA</t>
        </is>
      </c>
      <c r="F110" s="10" t="inlineStr">
        <is>
          <t>100119816</t>
        </is>
      </c>
      <c r="G110" s="17" t="inlineStr">
        <is>
          <t>330144</t>
        </is>
      </c>
      <c r="H110" s="18" t="n">
        <v>41400</v>
      </c>
      <c r="I110" s="620" t="n">
        <v>27.28</v>
      </c>
      <c r="J110" s="9" t="n"/>
    </row>
    <row r="111" ht="18" customHeight="1" s="331">
      <c r="A111" s="33" t="n">
        <v>105</v>
      </c>
      <c r="B111" s="17" t="inlineStr">
        <is>
          <t>330173</t>
        </is>
      </c>
      <c r="C111" s="18" t="n">
        <v>41401</v>
      </c>
      <c r="D111" s="620" t="n">
        <v>26.6</v>
      </c>
      <c r="E111" s="11" t="inlineStr">
        <is>
          <t>S G L CAMBODIA</t>
        </is>
      </c>
      <c r="F111" s="10" t="inlineStr">
        <is>
          <t>100119816</t>
        </is>
      </c>
      <c r="G111" s="17" t="inlineStr">
        <is>
          <t>330173</t>
        </is>
      </c>
      <c r="H111" s="18" t="n">
        <v>41401</v>
      </c>
      <c r="I111" s="620" t="n">
        <v>26.6</v>
      </c>
      <c r="J111" s="9" t="n"/>
    </row>
    <row r="112" ht="18" customHeight="1" s="331">
      <c r="A112" s="33" t="n">
        <v>106</v>
      </c>
      <c r="B112" s="17" t="inlineStr">
        <is>
          <t>330233</t>
        </is>
      </c>
      <c r="C112" s="18" t="n">
        <v>41401</v>
      </c>
      <c r="D112" s="620" t="n">
        <v>100.61</v>
      </c>
      <c r="E112" s="11" t="inlineStr">
        <is>
          <t>S G L CAMBODIA</t>
        </is>
      </c>
      <c r="F112" s="10" t="inlineStr">
        <is>
          <t>100119816</t>
        </is>
      </c>
      <c r="G112" s="17" t="inlineStr">
        <is>
          <t>330233</t>
        </is>
      </c>
      <c r="H112" s="18" t="n">
        <v>41401</v>
      </c>
      <c r="I112" s="620" t="n">
        <v>100.61</v>
      </c>
      <c r="J112" s="9" t="n"/>
    </row>
    <row r="113" ht="18" customHeight="1" s="331">
      <c r="A113" s="33" t="n">
        <v>107</v>
      </c>
      <c r="B113" s="17" t="inlineStr">
        <is>
          <t>330280</t>
        </is>
      </c>
      <c r="C113" s="18" t="n">
        <v>41405</v>
      </c>
      <c r="D113" s="620" t="n">
        <v>36.59</v>
      </c>
      <c r="E113" s="11" t="inlineStr">
        <is>
          <t>S G L CAMBODIA</t>
        </is>
      </c>
      <c r="F113" s="10" t="inlineStr">
        <is>
          <t>100119816</t>
        </is>
      </c>
      <c r="G113" s="17" t="inlineStr">
        <is>
          <t>330280</t>
        </is>
      </c>
      <c r="H113" s="18" t="n">
        <v>41405</v>
      </c>
      <c r="I113" s="620" t="n">
        <v>36.59</v>
      </c>
      <c r="J113" s="9" t="n"/>
    </row>
    <row r="114" ht="18" customHeight="1" s="331">
      <c r="A114" s="33" t="n">
        <v>108</v>
      </c>
      <c r="B114" s="17" t="inlineStr">
        <is>
          <t>330312</t>
        </is>
      </c>
      <c r="C114" s="18" t="n">
        <v>41409</v>
      </c>
      <c r="D114" s="620" t="n">
        <v>53.83</v>
      </c>
      <c r="E114" s="11" t="inlineStr">
        <is>
          <t>S G L CAMBODIA</t>
        </is>
      </c>
      <c r="F114" s="10" t="inlineStr">
        <is>
          <t>100119816</t>
        </is>
      </c>
      <c r="G114" s="17" t="inlineStr">
        <is>
          <t>330312</t>
        </is>
      </c>
      <c r="H114" s="18" t="n">
        <v>41409</v>
      </c>
      <c r="I114" s="620" t="n">
        <v>53.83</v>
      </c>
      <c r="J114" s="9" t="n"/>
    </row>
    <row r="115" ht="18" customHeight="1" s="331">
      <c r="A115" s="33" t="n">
        <v>109</v>
      </c>
      <c r="B115" s="17" t="inlineStr">
        <is>
          <t>330339</t>
        </is>
      </c>
      <c r="C115" s="18" t="n">
        <v>41409</v>
      </c>
      <c r="D115" s="620" t="n">
        <v>25.46</v>
      </c>
      <c r="E115" s="11" t="inlineStr">
        <is>
          <t>S G L CAMBODIA</t>
        </is>
      </c>
      <c r="F115" s="10" t="inlineStr">
        <is>
          <t>100119816</t>
        </is>
      </c>
      <c r="G115" s="17" t="inlineStr">
        <is>
          <t>330339</t>
        </is>
      </c>
      <c r="H115" s="18" t="n">
        <v>41409</v>
      </c>
      <c r="I115" s="620" t="n">
        <v>25.46</v>
      </c>
      <c r="J115" s="9" t="n"/>
    </row>
    <row r="116" ht="18" customHeight="1" s="331">
      <c r="A116" s="33" t="n">
        <v>110</v>
      </c>
      <c r="B116" s="17" t="inlineStr">
        <is>
          <t>330340</t>
        </is>
      </c>
      <c r="C116" s="18" t="n">
        <v>41410</v>
      </c>
      <c r="D116" s="620" t="n">
        <v>5</v>
      </c>
      <c r="E116" s="11" t="inlineStr">
        <is>
          <t>S G L CAMBODIA</t>
        </is>
      </c>
      <c r="F116" s="10" t="inlineStr">
        <is>
          <t>100119816</t>
        </is>
      </c>
      <c r="G116" s="17" t="inlineStr">
        <is>
          <t>330340</t>
        </is>
      </c>
      <c r="H116" s="18" t="n">
        <v>41410</v>
      </c>
      <c r="I116" s="620" t="n">
        <v>5</v>
      </c>
      <c r="J116" s="9" t="n"/>
    </row>
    <row r="117" ht="18" customHeight="1" s="331">
      <c r="A117" s="33" t="n">
        <v>111</v>
      </c>
      <c r="B117" s="17" t="inlineStr">
        <is>
          <t>330341</t>
        </is>
      </c>
      <c r="C117" s="18" t="n">
        <v>41410</v>
      </c>
      <c r="D117" s="620" t="n">
        <v>5</v>
      </c>
      <c r="E117" s="11" t="inlineStr">
        <is>
          <t>S G L CAMBODIA</t>
        </is>
      </c>
      <c r="F117" s="10" t="inlineStr">
        <is>
          <t>100119816</t>
        </is>
      </c>
      <c r="G117" s="17" t="inlineStr">
        <is>
          <t>330341</t>
        </is>
      </c>
      <c r="H117" s="18" t="n">
        <v>41410</v>
      </c>
      <c r="I117" s="620" t="n">
        <v>5</v>
      </c>
      <c r="J117" s="9" t="n"/>
    </row>
    <row r="118" ht="18" customHeight="1" s="331">
      <c r="A118" s="33" t="n">
        <v>112</v>
      </c>
      <c r="B118" s="17" t="inlineStr">
        <is>
          <t>330342</t>
        </is>
      </c>
      <c r="C118" s="18" t="n">
        <v>41410</v>
      </c>
      <c r="D118" s="620" t="n">
        <v>5</v>
      </c>
      <c r="E118" s="11" t="inlineStr">
        <is>
          <t>S G L CAMBODIA</t>
        </is>
      </c>
      <c r="F118" s="10" t="inlineStr">
        <is>
          <t>100119816</t>
        </is>
      </c>
      <c r="G118" s="17" t="inlineStr">
        <is>
          <t>330342</t>
        </is>
      </c>
      <c r="H118" s="18" t="n">
        <v>41410</v>
      </c>
      <c r="I118" s="620" t="n">
        <v>5</v>
      </c>
      <c r="J118" s="9" t="n"/>
    </row>
    <row r="119" ht="18" customHeight="1" s="331">
      <c r="A119" s="33" t="n">
        <v>113</v>
      </c>
      <c r="B119" s="17" t="inlineStr">
        <is>
          <t>330343</t>
        </is>
      </c>
      <c r="C119" s="18" t="n">
        <v>41410</v>
      </c>
      <c r="D119" s="620" t="n">
        <v>5</v>
      </c>
      <c r="E119" s="11" t="inlineStr">
        <is>
          <t>S G L CAMBODIA</t>
        </is>
      </c>
      <c r="F119" s="10" t="inlineStr">
        <is>
          <t>100119816</t>
        </is>
      </c>
      <c r="G119" s="17" t="inlineStr">
        <is>
          <t>330343</t>
        </is>
      </c>
      <c r="H119" s="18" t="n">
        <v>41410</v>
      </c>
      <c r="I119" s="620" t="n">
        <v>5</v>
      </c>
      <c r="J119" s="9" t="n"/>
    </row>
    <row r="120" ht="18" customHeight="1" s="331">
      <c r="A120" s="33" t="n">
        <v>114</v>
      </c>
      <c r="B120" s="17" t="inlineStr">
        <is>
          <t>133028</t>
        </is>
      </c>
      <c r="C120" s="18" t="n">
        <v>41414</v>
      </c>
      <c r="D120" s="620" t="n">
        <v>26.62</v>
      </c>
      <c r="E120" s="11" t="inlineStr">
        <is>
          <t>S G L CAMBODIA</t>
        </is>
      </c>
      <c r="F120" s="10" t="inlineStr">
        <is>
          <t>100119816</t>
        </is>
      </c>
      <c r="G120" s="17" t="inlineStr">
        <is>
          <t>133028</t>
        </is>
      </c>
      <c r="H120" s="18" t="n">
        <v>41414</v>
      </c>
      <c r="I120" s="620" t="n">
        <v>26.62</v>
      </c>
      <c r="J120" s="9" t="n"/>
    </row>
    <row r="121" ht="18" customHeight="1" s="331">
      <c r="A121" s="33" t="n">
        <v>115</v>
      </c>
      <c r="B121" s="17" t="inlineStr">
        <is>
          <t>330476</t>
        </is>
      </c>
      <c r="C121" s="18" t="n">
        <v>41415</v>
      </c>
      <c r="D121" s="620" t="n">
        <v>60.4</v>
      </c>
      <c r="E121" s="11" t="inlineStr">
        <is>
          <t>S G L CAMBODIA</t>
        </is>
      </c>
      <c r="F121" s="10" t="inlineStr">
        <is>
          <t>100119816</t>
        </is>
      </c>
      <c r="G121" s="17" t="inlineStr">
        <is>
          <t>330476</t>
        </is>
      </c>
      <c r="H121" s="18" t="n">
        <v>41415</v>
      </c>
      <c r="I121" s="620" t="n">
        <v>60.4</v>
      </c>
      <c r="J121" s="9" t="n"/>
    </row>
    <row r="122" ht="18" customHeight="1" s="331">
      <c r="A122" s="33" t="n">
        <v>116</v>
      </c>
      <c r="B122" s="17" t="inlineStr">
        <is>
          <t>330493</t>
        </is>
      </c>
      <c r="C122" s="18" t="n">
        <v>41419</v>
      </c>
      <c r="D122" s="620" t="n">
        <v>5.8</v>
      </c>
      <c r="E122" s="11" t="inlineStr">
        <is>
          <t>S G L CAMBODIA</t>
        </is>
      </c>
      <c r="F122" s="10" t="inlineStr">
        <is>
          <t>100119816</t>
        </is>
      </c>
      <c r="G122" s="17" t="inlineStr">
        <is>
          <t>330493</t>
        </is>
      </c>
      <c r="H122" s="18" t="n">
        <v>41419</v>
      </c>
      <c r="I122" s="620" t="n">
        <v>5.8</v>
      </c>
      <c r="J122" s="9" t="n"/>
    </row>
    <row r="123" ht="18" customHeight="1" s="331">
      <c r="A123" s="33" t="n">
        <v>117</v>
      </c>
      <c r="B123" s="17" t="inlineStr">
        <is>
          <t>330508</t>
        </is>
      </c>
      <c r="C123" s="18" t="n">
        <v>41421</v>
      </c>
      <c r="D123" s="620" t="n">
        <v>22.59</v>
      </c>
      <c r="E123" s="11" t="inlineStr">
        <is>
          <t>S G L CAMBODIA</t>
        </is>
      </c>
      <c r="F123" s="10" t="inlineStr">
        <is>
          <t>100119816</t>
        </is>
      </c>
      <c r="G123" s="17" t="inlineStr">
        <is>
          <t>330508</t>
        </is>
      </c>
      <c r="H123" s="18" t="n">
        <v>41421</v>
      </c>
      <c r="I123" s="620" t="n">
        <v>22.59</v>
      </c>
      <c r="J123" s="9" t="n"/>
    </row>
    <row r="124" ht="18" customHeight="1" s="331">
      <c r="A124" s="33" t="n">
        <v>118</v>
      </c>
      <c r="B124" s="17" t="inlineStr">
        <is>
          <t>330588</t>
        </is>
      </c>
      <c r="C124" s="18" t="n">
        <v>41422</v>
      </c>
      <c r="D124" s="620" t="n">
        <v>35.24</v>
      </c>
      <c r="E124" s="11" t="inlineStr">
        <is>
          <t>S G L CAMBODIA</t>
        </is>
      </c>
      <c r="F124" s="10" t="inlineStr">
        <is>
          <t>100119816</t>
        </is>
      </c>
      <c r="G124" s="17" t="inlineStr">
        <is>
          <t>330588</t>
        </is>
      </c>
      <c r="H124" s="18" t="n">
        <v>41422</v>
      </c>
      <c r="I124" s="620" t="n">
        <v>35.24</v>
      </c>
      <c r="J124" s="9" t="n"/>
    </row>
    <row r="125" ht="18" customHeight="1" s="331">
      <c r="A125" s="33" t="n">
        <v>120</v>
      </c>
      <c r="B125" s="17" t="inlineStr">
        <is>
          <t>330674</t>
        </is>
      </c>
      <c r="C125" s="18" t="n">
        <v>41429</v>
      </c>
      <c r="D125" s="620" t="n">
        <v>48.59</v>
      </c>
      <c r="E125" s="11" t="inlineStr">
        <is>
          <t>S G L CAMBODIA</t>
        </is>
      </c>
      <c r="F125" s="10" t="inlineStr">
        <is>
          <t>100119816</t>
        </is>
      </c>
      <c r="G125" s="17" t="inlineStr">
        <is>
          <t>330674</t>
        </is>
      </c>
      <c r="H125" s="18" t="n">
        <v>41429</v>
      </c>
      <c r="I125" s="620" t="n">
        <v>48.59</v>
      </c>
      <c r="J125" s="9" t="n"/>
    </row>
    <row r="126" ht="18" customHeight="1" s="331">
      <c r="A126" s="33" t="n">
        <v>121</v>
      </c>
      <c r="B126" s="17" t="inlineStr">
        <is>
          <t>330735</t>
        </is>
      </c>
      <c r="C126" s="18" t="n">
        <v>41430</v>
      </c>
      <c r="D126" s="620" t="n">
        <v>22.73</v>
      </c>
      <c r="E126" s="11" t="inlineStr">
        <is>
          <t>S G L CAMBODIA</t>
        </is>
      </c>
      <c r="F126" s="10" t="inlineStr">
        <is>
          <t>100119816</t>
        </is>
      </c>
      <c r="G126" s="17" t="inlineStr">
        <is>
          <t>330735</t>
        </is>
      </c>
      <c r="H126" s="18" t="n">
        <v>41430</v>
      </c>
      <c r="I126" s="620" t="n">
        <v>22.73</v>
      </c>
      <c r="J126" s="9" t="n"/>
    </row>
    <row r="127" ht="18" customHeight="1" s="331">
      <c r="A127" s="33" t="n">
        <v>122</v>
      </c>
      <c r="B127" s="17" t="inlineStr">
        <is>
          <t>330887</t>
        </is>
      </c>
      <c r="C127" s="18" t="n">
        <v>41436</v>
      </c>
      <c r="D127" s="620" t="n">
        <v>64.43000000000001</v>
      </c>
      <c r="E127" s="11" t="inlineStr">
        <is>
          <t>S G L CAMBODIA</t>
        </is>
      </c>
      <c r="F127" s="10" t="inlineStr">
        <is>
          <t>100119816</t>
        </is>
      </c>
      <c r="G127" s="17" t="inlineStr">
        <is>
          <t>330887</t>
        </is>
      </c>
      <c r="H127" s="18" t="n">
        <v>41436</v>
      </c>
      <c r="I127" s="620" t="n">
        <v>64.43000000000001</v>
      </c>
      <c r="J127" s="9" t="n"/>
    </row>
    <row r="128" ht="18" customHeight="1" s="331">
      <c r="A128" s="33" t="n">
        <v>123</v>
      </c>
      <c r="B128" s="17" t="inlineStr">
        <is>
          <t>330995</t>
        </is>
      </c>
      <c r="C128" s="18" t="n">
        <v>41444</v>
      </c>
      <c r="D128" s="620" t="n">
        <v>80.61</v>
      </c>
      <c r="E128" s="11" t="inlineStr">
        <is>
          <t>S G L CAMBODIA</t>
        </is>
      </c>
      <c r="F128" s="10" t="inlineStr">
        <is>
          <t>100119816</t>
        </is>
      </c>
      <c r="G128" s="17" t="inlineStr">
        <is>
          <t>330995</t>
        </is>
      </c>
      <c r="H128" s="18" t="n">
        <v>41444</v>
      </c>
      <c r="I128" s="620" t="n">
        <v>80.61</v>
      </c>
      <c r="J128" s="9" t="n"/>
    </row>
    <row r="129" ht="18" customHeight="1" s="331">
      <c r="A129" s="33" t="n">
        <v>124</v>
      </c>
      <c r="B129" s="17" t="inlineStr">
        <is>
          <t>331072</t>
        </is>
      </c>
      <c r="C129" s="18" t="n">
        <v>41444</v>
      </c>
      <c r="D129" s="620" t="n">
        <v>22.1</v>
      </c>
      <c r="E129" s="11" t="inlineStr">
        <is>
          <t>S G L CAMBODIA</t>
        </is>
      </c>
      <c r="F129" s="10" t="inlineStr">
        <is>
          <t>100119816</t>
        </is>
      </c>
      <c r="G129" s="17" t="inlineStr">
        <is>
          <t>331072</t>
        </is>
      </c>
      <c r="H129" s="18" t="n">
        <v>41444</v>
      </c>
      <c r="I129" s="620" t="n">
        <v>22.1</v>
      </c>
      <c r="J129" s="9" t="n"/>
    </row>
    <row r="130" ht="18" customHeight="1" s="331">
      <c r="A130" s="33" t="n">
        <v>125</v>
      </c>
      <c r="B130" s="17" t="inlineStr">
        <is>
          <t>331092</t>
        </is>
      </c>
      <c r="C130" s="18" t="n">
        <v>41444</v>
      </c>
      <c r="D130" s="620" t="n">
        <v>52.61</v>
      </c>
      <c r="E130" s="11" t="inlineStr">
        <is>
          <t>S G L CAMBODIA</t>
        </is>
      </c>
      <c r="F130" s="10" t="inlineStr">
        <is>
          <t>100119816</t>
        </is>
      </c>
      <c r="G130" s="17" t="inlineStr">
        <is>
          <t>331092</t>
        </is>
      </c>
      <c r="H130" s="18" t="n">
        <v>41444</v>
      </c>
      <c r="I130" s="620" t="n">
        <v>52.61</v>
      </c>
      <c r="J130" s="9" t="n"/>
    </row>
    <row r="131" ht="18" customHeight="1" s="331">
      <c r="A131" s="33" t="n">
        <v>126</v>
      </c>
      <c r="B131" s="17" t="inlineStr">
        <is>
          <t>331262</t>
        </is>
      </c>
      <c r="C131" s="18" t="n">
        <v>41454</v>
      </c>
      <c r="D131" s="620" t="n">
        <v>69.87</v>
      </c>
      <c r="E131" s="11" t="inlineStr">
        <is>
          <t>S G L CAMBODIA</t>
        </is>
      </c>
      <c r="F131" s="10" t="inlineStr">
        <is>
          <t>100119816</t>
        </is>
      </c>
      <c r="G131" s="17" t="inlineStr">
        <is>
          <t>331262</t>
        </is>
      </c>
      <c r="H131" s="18" t="n">
        <v>41454</v>
      </c>
      <c r="I131" s="620" t="n">
        <v>69.87</v>
      </c>
      <c r="J131" s="9" t="n"/>
    </row>
    <row r="132" ht="18" customHeight="1" s="331">
      <c r="A132" s="33" t="n">
        <v>127</v>
      </c>
      <c r="B132" s="17" t="inlineStr">
        <is>
          <t>331300</t>
        </is>
      </c>
      <c r="C132" s="18" t="n">
        <v>41454</v>
      </c>
      <c r="D132" s="620" t="n">
        <v>82.29000000000001</v>
      </c>
      <c r="E132" s="11" t="inlineStr">
        <is>
          <t>S G L CAMBODIA</t>
        </is>
      </c>
      <c r="F132" s="10" t="inlineStr">
        <is>
          <t>100119816</t>
        </is>
      </c>
      <c r="G132" s="17" t="inlineStr">
        <is>
          <t>331300</t>
        </is>
      </c>
      <c r="H132" s="18" t="n">
        <v>41454</v>
      </c>
      <c r="I132" s="620" t="n">
        <v>82.29000000000001</v>
      </c>
      <c r="J132" s="9" t="n"/>
    </row>
    <row r="133" ht="18" customHeight="1" s="331">
      <c r="A133" s="33" t="n">
        <v>128</v>
      </c>
      <c r="B133" s="17" t="inlineStr">
        <is>
          <t>331366</t>
        </is>
      </c>
      <c r="C133" s="18" t="n">
        <v>41455</v>
      </c>
      <c r="D133" s="620" t="n">
        <v>33.95</v>
      </c>
      <c r="E133" s="11" t="inlineStr">
        <is>
          <t>S G L CAMBODIA</t>
        </is>
      </c>
      <c r="F133" s="10" t="inlineStr">
        <is>
          <t>100119816</t>
        </is>
      </c>
      <c r="G133" s="17" t="inlineStr">
        <is>
          <t>331366</t>
        </is>
      </c>
      <c r="H133" s="18" t="n">
        <v>41455</v>
      </c>
      <c r="I133" s="620" t="n">
        <v>33.95</v>
      </c>
      <c r="J133" s="9" t="n"/>
    </row>
    <row r="134" ht="18" customHeight="1" s="331">
      <c r="A134" s="33" t="n">
        <v>129</v>
      </c>
      <c r="B134" s="17" t="inlineStr">
        <is>
          <t>331152</t>
        </is>
      </c>
      <c r="C134" s="18" t="n">
        <v>41449</v>
      </c>
      <c r="D134" s="620" t="n">
        <v>72.59</v>
      </c>
      <c r="E134" s="11" t="inlineStr">
        <is>
          <t>S G L CAMBODIA</t>
        </is>
      </c>
      <c r="F134" s="10" t="inlineStr">
        <is>
          <t>100119816</t>
        </is>
      </c>
      <c r="G134" s="17" t="inlineStr">
        <is>
          <t>331152</t>
        </is>
      </c>
      <c r="H134" s="18" t="n">
        <v>41449</v>
      </c>
      <c r="I134" s="620" t="n">
        <v>72.59</v>
      </c>
      <c r="J134" s="9" t="n"/>
    </row>
    <row r="135" ht="18" customHeight="1" s="331">
      <c r="A135" s="33" t="n">
        <v>130</v>
      </c>
      <c r="B135" s="17" t="inlineStr">
        <is>
          <t>331161</t>
        </is>
      </c>
      <c r="C135" s="18" t="n">
        <v>41449</v>
      </c>
      <c r="D135" s="620" t="n">
        <v>22.1</v>
      </c>
      <c r="E135" s="11" t="inlineStr">
        <is>
          <t>S G L CAMBODIA</t>
        </is>
      </c>
      <c r="F135" s="10" t="inlineStr">
        <is>
          <t>100119816</t>
        </is>
      </c>
      <c r="G135" s="17" t="inlineStr">
        <is>
          <t>331161</t>
        </is>
      </c>
      <c r="H135" s="18" t="n">
        <v>41449</v>
      </c>
      <c r="I135" s="620" t="n">
        <v>22.1</v>
      </c>
      <c r="J135" s="9" t="n"/>
    </row>
    <row r="136" ht="18" customHeight="1" s="331">
      <c r="A136" s="33" t="n">
        <v>131</v>
      </c>
      <c r="B136" s="17" t="inlineStr">
        <is>
          <t>331205</t>
        </is>
      </c>
      <c r="C136" s="18" t="n">
        <v>41450</v>
      </c>
      <c r="D136" s="620" t="n">
        <v>32.51</v>
      </c>
      <c r="E136" s="11" t="inlineStr">
        <is>
          <t>S G L CAMBODIA</t>
        </is>
      </c>
      <c r="F136" s="10" t="inlineStr">
        <is>
          <t>100119816</t>
        </is>
      </c>
      <c r="G136" s="17" t="inlineStr">
        <is>
          <t>331205</t>
        </is>
      </c>
      <c r="H136" s="18" t="n">
        <v>41450</v>
      </c>
      <c r="I136" s="620" t="n">
        <v>32.51</v>
      </c>
      <c r="J136" s="9" t="n"/>
    </row>
    <row r="137" ht="18" customHeight="1" s="331">
      <c r="A137" s="33" t="n">
        <v>132</v>
      </c>
      <c r="B137" s="17" t="inlineStr">
        <is>
          <t>331457</t>
        </is>
      </c>
      <c r="C137" s="18" t="n">
        <v>41464</v>
      </c>
      <c r="D137" s="620" t="n">
        <v>34.42</v>
      </c>
      <c r="E137" s="11" t="inlineStr">
        <is>
          <t>S G L CAMBODIA</t>
        </is>
      </c>
      <c r="F137" s="10" t="inlineStr">
        <is>
          <t>100119816</t>
        </is>
      </c>
      <c r="G137" s="17" t="inlineStr">
        <is>
          <t>331457</t>
        </is>
      </c>
      <c r="H137" s="18" t="n">
        <v>41464</v>
      </c>
      <c r="I137" s="620" t="n">
        <v>34.42</v>
      </c>
      <c r="J137" s="9" t="n"/>
    </row>
    <row r="138" ht="18" customHeight="1" s="331">
      <c r="A138" s="33" t="n">
        <v>133</v>
      </c>
      <c r="B138" s="17" t="inlineStr">
        <is>
          <t>331512</t>
        </is>
      </c>
      <c r="C138" s="18" t="n">
        <v>41464</v>
      </c>
      <c r="D138" s="620" t="n">
        <v>47.83</v>
      </c>
      <c r="E138" s="11" t="inlineStr">
        <is>
          <t>S G L CAMBODIA</t>
        </is>
      </c>
      <c r="F138" s="10" t="inlineStr">
        <is>
          <t>100119816</t>
        </is>
      </c>
      <c r="G138" s="17" t="inlineStr">
        <is>
          <t>331512</t>
        </is>
      </c>
      <c r="H138" s="18" t="n">
        <v>41464</v>
      </c>
      <c r="I138" s="620" t="n">
        <v>47.83</v>
      </c>
      <c r="J138" s="9" t="n"/>
    </row>
    <row r="139" ht="18" customHeight="1" s="331">
      <c r="A139" s="33" t="n">
        <v>134</v>
      </c>
      <c r="B139" s="17" t="inlineStr">
        <is>
          <t>331515</t>
        </is>
      </c>
      <c r="C139" s="18" t="n">
        <v>41464</v>
      </c>
      <c r="D139" s="620" t="n">
        <v>26.89</v>
      </c>
      <c r="E139" s="11" t="inlineStr">
        <is>
          <t>S G L CAMBODIA</t>
        </is>
      </c>
      <c r="F139" s="10" t="inlineStr">
        <is>
          <t>100119816</t>
        </is>
      </c>
      <c r="G139" s="17" t="inlineStr">
        <is>
          <t>331515</t>
        </is>
      </c>
      <c r="H139" s="18" t="n">
        <v>41464</v>
      </c>
      <c r="I139" s="620" t="n">
        <v>26.89</v>
      </c>
      <c r="J139" s="9" t="n"/>
    </row>
    <row r="140" ht="18" customHeight="1" s="331">
      <c r="A140" s="33" t="n">
        <v>135</v>
      </c>
      <c r="B140" s="17" t="inlineStr">
        <is>
          <t>331530</t>
        </is>
      </c>
      <c r="C140" s="18" t="n">
        <v>41464</v>
      </c>
      <c r="D140" s="620" t="n">
        <v>44.67</v>
      </c>
      <c r="E140" s="11" t="inlineStr">
        <is>
          <t>S G L CAMBODIA</t>
        </is>
      </c>
      <c r="F140" s="10" t="inlineStr">
        <is>
          <t>100119816</t>
        </is>
      </c>
      <c r="G140" s="17" t="inlineStr">
        <is>
          <t>331530</t>
        </is>
      </c>
      <c r="H140" s="18" t="n">
        <v>41464</v>
      </c>
      <c r="I140" s="620" t="n">
        <v>44.67</v>
      </c>
      <c r="J140" s="9" t="n"/>
    </row>
    <row r="141" ht="18" customHeight="1" s="331">
      <c r="A141" s="33" t="n">
        <v>136</v>
      </c>
      <c r="B141" s="17" t="inlineStr">
        <is>
          <t>331554</t>
        </is>
      </c>
      <c r="C141" s="18" t="n">
        <v>41464</v>
      </c>
      <c r="D141" s="620" t="n">
        <v>39.33</v>
      </c>
      <c r="E141" s="11" t="inlineStr">
        <is>
          <t>S G L CAMBODIA</t>
        </is>
      </c>
      <c r="F141" s="10" t="inlineStr">
        <is>
          <t>100119816</t>
        </is>
      </c>
      <c r="G141" s="17" t="inlineStr">
        <is>
          <t>331554</t>
        </is>
      </c>
      <c r="H141" s="18" t="n">
        <v>41464</v>
      </c>
      <c r="I141" s="620" t="n">
        <v>39.33</v>
      </c>
      <c r="J141" s="9" t="n"/>
    </row>
    <row r="142" ht="18" customHeight="1" s="331">
      <c r="A142" s="33" t="n">
        <v>137</v>
      </c>
      <c r="B142" s="17" t="inlineStr">
        <is>
          <t>331577</t>
        </is>
      </c>
      <c r="C142" s="18" t="n">
        <v>41465</v>
      </c>
      <c r="D142" s="620" t="n">
        <v>62.7</v>
      </c>
      <c r="E142" s="11" t="inlineStr">
        <is>
          <t>S G L CAMBODIA</t>
        </is>
      </c>
      <c r="F142" s="10" t="inlineStr">
        <is>
          <t>100119816</t>
        </is>
      </c>
      <c r="G142" s="17" t="inlineStr">
        <is>
          <t>331577</t>
        </is>
      </c>
      <c r="H142" s="18" t="n">
        <v>41465</v>
      </c>
      <c r="I142" s="620" t="n">
        <v>62.7</v>
      </c>
      <c r="J142" s="9" t="n"/>
    </row>
    <row r="143" ht="18" customHeight="1" s="331">
      <c r="A143" s="33" t="n">
        <v>138</v>
      </c>
      <c r="B143" s="17" t="inlineStr">
        <is>
          <t>331592</t>
        </is>
      </c>
      <c r="C143" s="18" t="n">
        <v>41465</v>
      </c>
      <c r="D143" s="620" t="n">
        <v>101.07</v>
      </c>
      <c r="E143" s="11" t="inlineStr">
        <is>
          <t>S G L CAMBODIA</t>
        </is>
      </c>
      <c r="F143" s="10" t="inlineStr">
        <is>
          <t>100119816</t>
        </is>
      </c>
      <c r="G143" s="17" t="inlineStr">
        <is>
          <t>331592</t>
        </is>
      </c>
      <c r="H143" s="18" t="n">
        <v>41465</v>
      </c>
      <c r="I143" s="620" t="n">
        <v>101.07</v>
      </c>
      <c r="J143" s="9" t="n"/>
    </row>
    <row r="144" ht="18" customHeight="1" s="331">
      <c r="A144" s="33" t="n">
        <v>139</v>
      </c>
      <c r="B144" s="17" t="inlineStr">
        <is>
          <t>331607</t>
        </is>
      </c>
      <c r="C144" s="18" t="n">
        <v>41465</v>
      </c>
      <c r="D144" s="620" t="n">
        <v>129.26</v>
      </c>
      <c r="E144" s="11" t="inlineStr">
        <is>
          <t>S G L CAMBODIA</t>
        </is>
      </c>
      <c r="F144" s="10" t="inlineStr">
        <is>
          <t>100119816</t>
        </is>
      </c>
      <c r="G144" s="17" t="inlineStr">
        <is>
          <t>331607</t>
        </is>
      </c>
      <c r="H144" s="18" t="n">
        <v>41465</v>
      </c>
      <c r="I144" s="620" t="n">
        <v>129.26</v>
      </c>
      <c r="J144" s="9" t="n"/>
    </row>
    <row r="145" ht="18" customHeight="1" s="331">
      <c r="A145" s="33" t="n">
        <v>140</v>
      </c>
      <c r="B145" s="17" t="inlineStr">
        <is>
          <t>331711</t>
        </is>
      </c>
      <c r="C145" s="18" t="n">
        <v>41471</v>
      </c>
      <c r="D145" s="620" t="n">
        <v>22.3</v>
      </c>
      <c r="E145" s="11" t="inlineStr">
        <is>
          <t>S G L CAMBODIA</t>
        </is>
      </c>
      <c r="F145" s="10" t="inlineStr">
        <is>
          <t>100119816</t>
        </is>
      </c>
      <c r="G145" s="17" t="inlineStr">
        <is>
          <t>331711</t>
        </is>
      </c>
      <c r="H145" s="18" t="n">
        <v>41471</v>
      </c>
      <c r="I145" s="620" t="n">
        <v>22.3</v>
      </c>
      <c r="J145" s="9" t="n"/>
    </row>
    <row r="146" ht="18" customHeight="1" s="331">
      <c r="A146" s="33" t="n">
        <v>141</v>
      </c>
      <c r="B146" s="17" t="inlineStr">
        <is>
          <t>331720</t>
        </is>
      </c>
      <c r="C146" s="18" t="n">
        <v>41471</v>
      </c>
      <c r="D146" s="620" t="n">
        <v>26.2</v>
      </c>
      <c r="E146" s="11" t="inlineStr">
        <is>
          <t>S G L CAMBODIA</t>
        </is>
      </c>
      <c r="F146" s="10" t="inlineStr">
        <is>
          <t>100119816</t>
        </is>
      </c>
      <c r="G146" s="17" t="inlineStr">
        <is>
          <t>331720</t>
        </is>
      </c>
      <c r="H146" s="18" t="n">
        <v>41471</v>
      </c>
      <c r="I146" s="620" t="n">
        <v>26.2</v>
      </c>
      <c r="J146" s="9" t="n"/>
    </row>
    <row r="147" ht="18" customHeight="1" s="331">
      <c r="A147" s="33" t="n">
        <v>142</v>
      </c>
      <c r="B147" s="17" t="inlineStr">
        <is>
          <t>331722</t>
        </is>
      </c>
      <c r="C147" s="18" t="n">
        <v>41471</v>
      </c>
      <c r="D147" s="620" t="n">
        <v>113.51</v>
      </c>
      <c r="E147" s="11" t="inlineStr">
        <is>
          <t>S G L CAMBODIA</t>
        </is>
      </c>
      <c r="F147" s="10" t="inlineStr">
        <is>
          <t>100119816</t>
        </is>
      </c>
      <c r="G147" s="17" t="inlineStr">
        <is>
          <t>331722</t>
        </is>
      </c>
      <c r="H147" s="18" t="n">
        <v>41471</v>
      </c>
      <c r="I147" s="620" t="n">
        <v>113.51</v>
      </c>
      <c r="J147" s="9" t="n"/>
    </row>
    <row r="148" ht="18" customHeight="1" s="331">
      <c r="A148" s="33" t="n">
        <v>143</v>
      </c>
      <c r="B148" s="17" t="inlineStr">
        <is>
          <t>331728</t>
        </is>
      </c>
      <c r="C148" s="18" t="n">
        <v>41471</v>
      </c>
      <c r="D148" s="620" t="n">
        <v>35.22</v>
      </c>
      <c r="E148" s="11" t="inlineStr">
        <is>
          <t>S G L CAMBODIA</t>
        </is>
      </c>
      <c r="F148" s="10" t="inlineStr">
        <is>
          <t>100119816</t>
        </is>
      </c>
      <c r="G148" s="17" t="inlineStr">
        <is>
          <t>331728</t>
        </is>
      </c>
      <c r="H148" s="18" t="n">
        <v>41471</v>
      </c>
      <c r="I148" s="620" t="n">
        <v>35.22</v>
      </c>
      <c r="J148" s="9" t="n"/>
    </row>
    <row r="149" ht="18" customHeight="1" s="331">
      <c r="A149" s="33" t="n">
        <v>144</v>
      </c>
      <c r="B149" s="17" t="inlineStr">
        <is>
          <t>331731</t>
        </is>
      </c>
      <c r="C149" s="18" t="n">
        <v>41471</v>
      </c>
      <c r="D149" s="620" t="n">
        <v>72.79000000000001</v>
      </c>
      <c r="E149" s="11" t="inlineStr">
        <is>
          <t>S G L CAMBODIA</t>
        </is>
      </c>
      <c r="F149" s="10" t="inlineStr">
        <is>
          <t>100119816</t>
        </is>
      </c>
      <c r="G149" s="17" t="inlineStr">
        <is>
          <t>331731</t>
        </is>
      </c>
      <c r="H149" s="18" t="n">
        <v>41471</v>
      </c>
      <c r="I149" s="620" t="n">
        <v>72.79000000000001</v>
      </c>
      <c r="J149" s="9" t="n"/>
    </row>
    <row r="150" ht="18" customHeight="1" s="331">
      <c r="A150" s="33" t="n">
        <v>145</v>
      </c>
      <c r="B150" s="17" t="inlineStr">
        <is>
          <t>331738</t>
        </is>
      </c>
      <c r="C150" s="18" t="n">
        <v>41471</v>
      </c>
      <c r="D150" s="620" t="n">
        <v>26.6</v>
      </c>
      <c r="E150" s="11" t="inlineStr">
        <is>
          <t>S G L CAMBODIA</t>
        </is>
      </c>
      <c r="F150" s="10" t="inlineStr">
        <is>
          <t>100119816</t>
        </is>
      </c>
      <c r="G150" s="17" t="inlineStr">
        <is>
          <t>331738</t>
        </is>
      </c>
      <c r="H150" s="18" t="n">
        <v>41471</v>
      </c>
      <c r="I150" s="620" t="n">
        <v>26.6</v>
      </c>
      <c r="J150" s="9" t="n"/>
    </row>
    <row r="151" ht="18" customHeight="1" s="331">
      <c r="A151" s="33" t="n">
        <v>146</v>
      </c>
      <c r="B151" s="17" t="inlineStr">
        <is>
          <t>331750</t>
        </is>
      </c>
      <c r="C151" s="18" t="n">
        <v>41471</v>
      </c>
      <c r="D151" s="620" t="n">
        <v>26.55</v>
      </c>
      <c r="E151" s="11" t="inlineStr">
        <is>
          <t>S G L CAMBODIA</t>
        </is>
      </c>
      <c r="F151" s="10" t="inlineStr">
        <is>
          <t>100119816</t>
        </is>
      </c>
      <c r="G151" s="17" t="inlineStr">
        <is>
          <t>331750</t>
        </is>
      </c>
      <c r="H151" s="18" t="n">
        <v>41471</v>
      </c>
      <c r="I151" s="620" t="n">
        <v>26.55</v>
      </c>
      <c r="J151" s="9" t="n"/>
    </row>
    <row r="152" ht="18" customHeight="1" s="331">
      <c r="A152" s="33" t="n">
        <v>147</v>
      </c>
      <c r="B152" s="17" t="inlineStr">
        <is>
          <t>331843</t>
        </is>
      </c>
      <c r="C152" s="18" t="n">
        <v>41477</v>
      </c>
      <c r="D152" s="620" t="n">
        <v>51.32</v>
      </c>
      <c r="E152" s="11" t="inlineStr">
        <is>
          <t>S G L CAMBODIA</t>
        </is>
      </c>
      <c r="F152" s="10" t="inlineStr">
        <is>
          <t>100119816</t>
        </is>
      </c>
      <c r="G152" s="17" t="inlineStr">
        <is>
          <t>331843</t>
        </is>
      </c>
      <c r="H152" s="18" t="n">
        <v>41477</v>
      </c>
      <c r="I152" s="620" t="n">
        <v>51.32</v>
      </c>
      <c r="J152" s="9" t="n"/>
    </row>
    <row r="153" ht="18" customHeight="1" s="331">
      <c r="A153" s="33" t="n">
        <v>148</v>
      </c>
      <c r="B153" s="17" t="inlineStr">
        <is>
          <t>331877</t>
        </is>
      </c>
      <c r="C153" s="18" t="n">
        <v>41478</v>
      </c>
      <c r="D153" s="620" t="n">
        <v>26.96</v>
      </c>
      <c r="E153" s="11" t="inlineStr">
        <is>
          <t>S G L CAMBODIA</t>
        </is>
      </c>
      <c r="F153" s="10" t="inlineStr">
        <is>
          <t>100119816</t>
        </is>
      </c>
      <c r="G153" s="17" t="inlineStr">
        <is>
          <t>331877</t>
        </is>
      </c>
      <c r="H153" s="18" t="n">
        <v>41478</v>
      </c>
      <c r="I153" s="620" t="n">
        <v>26.96</v>
      </c>
      <c r="J153" s="9" t="n"/>
    </row>
    <row r="154" ht="18" customHeight="1" s="331">
      <c r="A154" s="33" t="n">
        <v>149</v>
      </c>
      <c r="B154" s="17" t="inlineStr">
        <is>
          <t>331884</t>
        </is>
      </c>
      <c r="C154" s="18" t="n">
        <v>41478</v>
      </c>
      <c r="D154" s="620" t="n">
        <v>52.06</v>
      </c>
      <c r="E154" s="11" t="inlineStr">
        <is>
          <t>S G L CAMBODIA</t>
        </is>
      </c>
      <c r="F154" s="10" t="inlineStr">
        <is>
          <t>100119816</t>
        </is>
      </c>
      <c r="G154" s="17" t="inlineStr">
        <is>
          <t>331884</t>
        </is>
      </c>
      <c r="H154" s="18" t="n">
        <v>41478</v>
      </c>
      <c r="I154" s="620" t="n">
        <v>52.06</v>
      </c>
      <c r="J154" s="9" t="n"/>
    </row>
    <row r="155" ht="18" customHeight="1" s="331">
      <c r="A155" s="33" t="n">
        <v>150</v>
      </c>
      <c r="B155" s="17" t="inlineStr">
        <is>
          <t>331986</t>
        </is>
      </c>
      <c r="C155" s="18" t="n">
        <v>41484</v>
      </c>
      <c r="D155" s="620" t="n">
        <v>26.2</v>
      </c>
      <c r="E155" s="11" t="inlineStr">
        <is>
          <t>S G L CAMBODIA</t>
        </is>
      </c>
      <c r="F155" s="10" t="inlineStr">
        <is>
          <t>100119816</t>
        </is>
      </c>
      <c r="G155" s="17" t="inlineStr">
        <is>
          <t>331986</t>
        </is>
      </c>
      <c r="H155" s="18" t="n">
        <v>41484</v>
      </c>
      <c r="I155" s="620" t="n">
        <v>26.2</v>
      </c>
      <c r="J155" s="9" t="n"/>
    </row>
    <row r="156" ht="18" customHeight="1" s="331">
      <c r="A156" s="33" t="n">
        <v>151</v>
      </c>
      <c r="B156" s="17" t="inlineStr">
        <is>
          <t>331993</t>
        </is>
      </c>
      <c r="C156" s="18" t="n">
        <v>41484</v>
      </c>
      <c r="D156" s="620" t="n">
        <v>5</v>
      </c>
      <c r="E156" s="11" t="inlineStr">
        <is>
          <t>S G L CAMBODIA</t>
        </is>
      </c>
      <c r="F156" s="10" t="inlineStr">
        <is>
          <t>100119816</t>
        </is>
      </c>
      <c r="G156" s="17" t="inlineStr">
        <is>
          <t>331993</t>
        </is>
      </c>
      <c r="H156" s="18" t="n">
        <v>41484</v>
      </c>
      <c r="I156" s="620" t="n">
        <v>5</v>
      </c>
      <c r="J156" s="9" t="n"/>
    </row>
    <row r="157" ht="18" customHeight="1" s="331">
      <c r="A157" s="33" t="n">
        <v>152</v>
      </c>
      <c r="B157" s="17" t="inlineStr">
        <is>
          <t>332045</t>
        </is>
      </c>
      <c r="C157" s="18" t="n">
        <v>41485</v>
      </c>
      <c r="D157" s="620" t="n">
        <v>29.73</v>
      </c>
      <c r="E157" s="11" t="inlineStr">
        <is>
          <t>S G L CAMBODIA</t>
        </is>
      </c>
      <c r="F157" s="10" t="inlineStr">
        <is>
          <t>100119816</t>
        </is>
      </c>
      <c r="G157" s="17" t="inlineStr">
        <is>
          <t>332045</t>
        </is>
      </c>
      <c r="H157" s="18" t="n">
        <v>41485</v>
      </c>
      <c r="I157" s="620" t="n">
        <v>29.73</v>
      </c>
      <c r="J157" s="9" t="n"/>
    </row>
    <row r="158" ht="18" customHeight="1" s="331">
      <c r="A158" s="33" t="n">
        <v>153</v>
      </c>
      <c r="B158" s="17" t="inlineStr">
        <is>
          <t>332112</t>
        </is>
      </c>
      <c r="C158" s="18" t="n">
        <v>41491</v>
      </c>
      <c r="D158" s="620" t="n">
        <v>26.32</v>
      </c>
      <c r="E158" s="11" t="inlineStr">
        <is>
          <t>S G L CAMBODIA</t>
        </is>
      </c>
      <c r="F158" s="10" t="inlineStr">
        <is>
          <t>100119816</t>
        </is>
      </c>
      <c r="G158" s="17" t="inlineStr">
        <is>
          <t>332112</t>
        </is>
      </c>
      <c r="H158" s="18" t="n">
        <v>41491</v>
      </c>
      <c r="I158" s="620" t="n">
        <v>26.32</v>
      </c>
      <c r="J158" s="9" t="n"/>
    </row>
    <row r="159" ht="18" customHeight="1" s="331">
      <c r="A159" s="33" t="n">
        <v>154</v>
      </c>
      <c r="B159" s="17" t="inlineStr">
        <is>
          <t>332140</t>
        </is>
      </c>
      <c r="C159" s="18" t="n">
        <v>41491</v>
      </c>
      <c r="D159" s="620" t="n">
        <v>30.9</v>
      </c>
      <c r="E159" s="11" t="inlineStr">
        <is>
          <t>S G L CAMBODIA</t>
        </is>
      </c>
      <c r="F159" s="10" t="inlineStr">
        <is>
          <t>100119816</t>
        </is>
      </c>
      <c r="G159" s="17" t="inlineStr">
        <is>
          <t>332140</t>
        </is>
      </c>
      <c r="H159" s="18" t="n">
        <v>41491</v>
      </c>
      <c r="I159" s="620" t="n">
        <v>30.9</v>
      </c>
      <c r="J159" s="9" t="n"/>
    </row>
    <row r="160" ht="18" customHeight="1" s="331">
      <c r="A160" s="33" t="n">
        <v>155</v>
      </c>
      <c r="B160" s="17" t="inlineStr">
        <is>
          <t>332188</t>
        </is>
      </c>
      <c r="C160" s="18" t="n">
        <v>41492</v>
      </c>
      <c r="D160" s="620" t="n">
        <v>48.13</v>
      </c>
      <c r="E160" s="11" t="inlineStr">
        <is>
          <t>S G L CAMBODIA</t>
        </is>
      </c>
      <c r="F160" s="10" t="inlineStr">
        <is>
          <t>100119816</t>
        </is>
      </c>
      <c r="G160" s="17" t="inlineStr">
        <is>
          <t>332188</t>
        </is>
      </c>
      <c r="H160" s="18" t="n">
        <v>41492</v>
      </c>
      <c r="I160" s="620" t="n">
        <v>48.13</v>
      </c>
      <c r="J160" s="9" t="n"/>
    </row>
    <row r="161" ht="18" customHeight="1" s="331">
      <c r="A161" s="33" t="n">
        <v>156</v>
      </c>
      <c r="B161" s="17" t="inlineStr">
        <is>
          <t>332194</t>
        </is>
      </c>
      <c r="C161" s="18" t="n">
        <v>41492</v>
      </c>
      <c r="D161" s="620" t="n">
        <v>25.81</v>
      </c>
      <c r="E161" s="11" t="inlineStr">
        <is>
          <t>S G L CAMBODIA</t>
        </is>
      </c>
      <c r="F161" s="10" t="inlineStr">
        <is>
          <t>100119816</t>
        </is>
      </c>
      <c r="G161" s="17" t="inlineStr">
        <is>
          <t>332194</t>
        </is>
      </c>
      <c r="H161" s="18" t="n">
        <v>41492</v>
      </c>
      <c r="I161" s="620" t="n">
        <v>25.81</v>
      </c>
      <c r="J161" s="9" t="n"/>
    </row>
    <row r="162" ht="18" customHeight="1" s="331">
      <c r="A162" s="33" t="n">
        <v>157</v>
      </c>
      <c r="B162" s="17" t="inlineStr">
        <is>
          <t>332202</t>
        </is>
      </c>
      <c r="C162" s="18" t="n">
        <v>41492</v>
      </c>
      <c r="D162" s="620" t="n">
        <v>39.69</v>
      </c>
      <c r="E162" s="11" t="inlineStr">
        <is>
          <t>S G L CAMBODIA</t>
        </is>
      </c>
      <c r="F162" s="10" t="inlineStr">
        <is>
          <t>100119816</t>
        </is>
      </c>
      <c r="G162" s="17" t="inlineStr">
        <is>
          <t>332202</t>
        </is>
      </c>
      <c r="H162" s="18" t="n">
        <v>41492</v>
      </c>
      <c r="I162" s="620" t="n">
        <v>39.69</v>
      </c>
      <c r="J162" s="9" t="n"/>
    </row>
    <row r="163" ht="18" customHeight="1" s="331">
      <c r="A163" s="33" t="n">
        <v>158</v>
      </c>
      <c r="B163" s="17" t="inlineStr">
        <is>
          <t>332221</t>
        </is>
      </c>
      <c r="C163" s="18" t="n">
        <v>41492</v>
      </c>
      <c r="D163" s="620" t="n">
        <v>75.8</v>
      </c>
      <c r="E163" s="11" t="inlineStr">
        <is>
          <t>S G L CAMBODIA</t>
        </is>
      </c>
      <c r="F163" s="10" t="inlineStr">
        <is>
          <t>100119816</t>
        </is>
      </c>
      <c r="G163" s="17" t="inlineStr">
        <is>
          <t>332221</t>
        </is>
      </c>
      <c r="H163" s="18" t="n">
        <v>41492</v>
      </c>
      <c r="I163" s="620" t="n">
        <v>75.8</v>
      </c>
      <c r="J163" s="9" t="n"/>
    </row>
    <row r="164" ht="18" customHeight="1" s="331">
      <c r="A164" s="33" t="n">
        <v>159</v>
      </c>
      <c r="B164" s="17" t="inlineStr">
        <is>
          <t>332347</t>
        </is>
      </c>
      <c r="C164" s="18" t="n">
        <v>41499</v>
      </c>
      <c r="D164" s="620" t="n">
        <v>61.05</v>
      </c>
      <c r="E164" s="11" t="inlineStr">
        <is>
          <t>S G L CAMBODIA</t>
        </is>
      </c>
      <c r="F164" s="10" t="inlineStr">
        <is>
          <t>100119816</t>
        </is>
      </c>
      <c r="G164" s="17" t="inlineStr">
        <is>
          <t>332347</t>
        </is>
      </c>
      <c r="H164" s="18" t="n">
        <v>41499</v>
      </c>
      <c r="I164" s="620" t="n">
        <v>61.05</v>
      </c>
      <c r="J164" s="9" t="n"/>
    </row>
    <row r="165" ht="18" customHeight="1" s="331">
      <c r="A165" s="33" t="n">
        <v>160</v>
      </c>
      <c r="B165" s="17" t="inlineStr">
        <is>
          <t>332372</t>
        </is>
      </c>
      <c r="C165" s="18" t="n">
        <v>41499</v>
      </c>
      <c r="D165" s="620" t="n">
        <v>35.53</v>
      </c>
      <c r="E165" s="11" t="inlineStr">
        <is>
          <t>S G L CAMBODIA</t>
        </is>
      </c>
      <c r="F165" s="10" t="inlineStr">
        <is>
          <t>100119816</t>
        </is>
      </c>
      <c r="G165" s="17" t="inlineStr">
        <is>
          <t>332372</t>
        </is>
      </c>
      <c r="H165" s="18" t="n">
        <v>41499</v>
      </c>
      <c r="I165" s="620" t="n">
        <v>35.53</v>
      </c>
      <c r="J165" s="9" t="n"/>
    </row>
    <row r="166" ht="18" customHeight="1" s="331">
      <c r="A166" s="33" t="n">
        <v>161</v>
      </c>
      <c r="B166" s="17" t="inlineStr">
        <is>
          <t>332400</t>
        </is>
      </c>
      <c r="C166" s="18" t="n">
        <v>41499</v>
      </c>
      <c r="D166" s="620" t="n">
        <v>63.41</v>
      </c>
      <c r="E166" s="11" t="inlineStr">
        <is>
          <t>S G L CAMBODIA</t>
        </is>
      </c>
      <c r="F166" s="10" t="inlineStr">
        <is>
          <t>100119816</t>
        </is>
      </c>
      <c r="G166" s="17" t="inlineStr">
        <is>
          <t>332400</t>
        </is>
      </c>
      <c r="H166" s="18" t="n">
        <v>41499</v>
      </c>
      <c r="I166" s="620" t="n">
        <v>63.41</v>
      </c>
      <c r="J166" s="9" t="n"/>
    </row>
    <row r="167" ht="18" customHeight="1" s="331">
      <c r="A167" s="33" t="n">
        <v>162</v>
      </c>
      <c r="B167" s="17" t="inlineStr">
        <is>
          <t>332409</t>
        </is>
      </c>
      <c r="C167" s="18" t="n">
        <v>41499</v>
      </c>
      <c r="D167" s="620" t="n">
        <v>35.31</v>
      </c>
      <c r="E167" s="11" t="inlineStr">
        <is>
          <t>S G L CAMBODIA</t>
        </is>
      </c>
      <c r="F167" s="10" t="inlineStr">
        <is>
          <t>100119816</t>
        </is>
      </c>
      <c r="G167" s="17" t="inlineStr">
        <is>
          <t>332409</t>
        </is>
      </c>
      <c r="H167" s="18" t="n">
        <v>41499</v>
      </c>
      <c r="I167" s="620" t="n">
        <v>35.31</v>
      </c>
      <c r="J167" s="9" t="n"/>
    </row>
    <row r="168" ht="18" customHeight="1" s="331">
      <c r="A168" s="33" t="n">
        <v>163</v>
      </c>
      <c r="B168" s="17" t="inlineStr">
        <is>
          <t>332503</t>
        </is>
      </c>
      <c r="C168" s="18" t="n">
        <v>41506</v>
      </c>
      <c r="D168" s="620" t="n">
        <v>22.3</v>
      </c>
      <c r="E168" s="11" t="inlineStr">
        <is>
          <t>S G L CAMBODIA</t>
        </is>
      </c>
      <c r="F168" s="10" t="inlineStr">
        <is>
          <t>100119816</t>
        </is>
      </c>
      <c r="G168" s="17" t="inlineStr">
        <is>
          <t>332503</t>
        </is>
      </c>
      <c r="H168" s="18" t="n">
        <v>41506</v>
      </c>
      <c r="I168" s="620" t="n">
        <v>22.3</v>
      </c>
      <c r="J168" s="9" t="n"/>
    </row>
    <row r="169" ht="18" customHeight="1" s="331">
      <c r="A169" s="33" t="n">
        <v>164</v>
      </c>
      <c r="B169" s="17" t="inlineStr">
        <is>
          <t>332504</t>
        </is>
      </c>
      <c r="C169" s="18" t="n">
        <v>41506</v>
      </c>
      <c r="D169" s="620" t="n">
        <v>22.74</v>
      </c>
      <c r="E169" s="11" t="inlineStr">
        <is>
          <t>S G L CAMBODIA</t>
        </is>
      </c>
      <c r="F169" s="10" t="inlineStr">
        <is>
          <t>100119816</t>
        </is>
      </c>
      <c r="G169" s="17" t="inlineStr">
        <is>
          <t>332504</t>
        </is>
      </c>
      <c r="H169" s="18" t="n">
        <v>41506</v>
      </c>
      <c r="I169" s="620" t="n">
        <v>22.74</v>
      </c>
      <c r="J169" s="9" t="n"/>
    </row>
    <row r="170" ht="18" customHeight="1" s="331">
      <c r="A170" s="33" t="n">
        <v>165</v>
      </c>
      <c r="B170" s="17" t="inlineStr">
        <is>
          <t>332506</t>
        </is>
      </c>
      <c r="C170" s="18" t="n">
        <v>41506</v>
      </c>
      <c r="D170" s="620" t="n">
        <v>38.68</v>
      </c>
      <c r="E170" s="11" t="inlineStr">
        <is>
          <t>S G L CAMBODIA</t>
        </is>
      </c>
      <c r="F170" s="10" t="inlineStr">
        <is>
          <t>100119816</t>
        </is>
      </c>
      <c r="G170" s="17" t="inlineStr">
        <is>
          <t>332506</t>
        </is>
      </c>
      <c r="H170" s="18" t="n">
        <v>41506</v>
      </c>
      <c r="I170" s="620" t="n">
        <v>38.68</v>
      </c>
      <c r="J170" s="9" t="n"/>
    </row>
    <row r="171" ht="18" customHeight="1" s="331">
      <c r="A171" s="33" t="n">
        <v>166</v>
      </c>
      <c r="B171" s="17" t="inlineStr">
        <is>
          <t>332527</t>
        </is>
      </c>
      <c r="C171" s="18" t="n">
        <v>41506</v>
      </c>
      <c r="D171" s="620" t="n">
        <v>95.64</v>
      </c>
      <c r="E171" s="11" t="inlineStr">
        <is>
          <t>S G L CAMBODIA</t>
        </is>
      </c>
      <c r="F171" s="10" t="inlineStr">
        <is>
          <t>100119816</t>
        </is>
      </c>
      <c r="G171" s="17" t="inlineStr">
        <is>
          <t>332527</t>
        </is>
      </c>
      <c r="H171" s="18" t="n">
        <v>41506</v>
      </c>
      <c r="I171" s="620" t="n">
        <v>95.64</v>
      </c>
      <c r="J171" s="9" t="n"/>
    </row>
    <row r="172" ht="18" customHeight="1" s="331">
      <c r="A172" s="33" t="n">
        <v>167</v>
      </c>
      <c r="B172" s="17" t="inlineStr">
        <is>
          <t>332539</t>
        </is>
      </c>
      <c r="C172" s="18" t="n">
        <v>41506</v>
      </c>
      <c r="D172" s="620" t="n">
        <v>22.34</v>
      </c>
      <c r="E172" s="11" t="inlineStr">
        <is>
          <t>S G L CAMBODIA</t>
        </is>
      </c>
      <c r="F172" s="10" t="inlineStr">
        <is>
          <t>100119816</t>
        </is>
      </c>
      <c r="G172" s="17" t="inlineStr">
        <is>
          <t>332539</t>
        </is>
      </c>
      <c r="H172" s="18" t="n">
        <v>41506</v>
      </c>
      <c r="I172" s="620" t="n">
        <v>22.34</v>
      </c>
      <c r="J172" s="9" t="n"/>
    </row>
    <row r="173" ht="18" customHeight="1" s="331">
      <c r="A173" s="33" t="n">
        <v>168</v>
      </c>
      <c r="B173" s="17" t="inlineStr">
        <is>
          <t>332635</t>
        </is>
      </c>
      <c r="C173" s="18" t="n">
        <v>41512</v>
      </c>
      <c r="D173" s="620" t="n">
        <v>27.28</v>
      </c>
      <c r="E173" s="11" t="inlineStr">
        <is>
          <t>S G L CAMBODIA</t>
        </is>
      </c>
      <c r="F173" s="10" t="inlineStr">
        <is>
          <t>100119816</t>
        </is>
      </c>
      <c r="G173" s="17" t="inlineStr">
        <is>
          <t>332635</t>
        </is>
      </c>
      <c r="H173" s="18" t="n">
        <v>41512</v>
      </c>
      <c r="I173" s="620" t="n">
        <v>27.28</v>
      </c>
      <c r="J173" s="9" t="n"/>
    </row>
    <row r="174" ht="18" customHeight="1" s="331">
      <c r="A174" s="33" t="n">
        <v>169</v>
      </c>
      <c r="B174" s="17" t="inlineStr">
        <is>
          <t>332640</t>
        </is>
      </c>
      <c r="C174" s="18" t="n">
        <v>41512</v>
      </c>
      <c r="D174" s="620" t="n">
        <v>86.19</v>
      </c>
      <c r="E174" s="11" t="inlineStr">
        <is>
          <t>S G L CAMBODIA</t>
        </is>
      </c>
      <c r="F174" s="10" t="inlineStr">
        <is>
          <t>100119816</t>
        </is>
      </c>
      <c r="G174" s="17" t="inlineStr">
        <is>
          <t>332640</t>
        </is>
      </c>
      <c r="H174" s="18" t="n">
        <v>41512</v>
      </c>
      <c r="I174" s="620" t="n">
        <v>86.19</v>
      </c>
      <c r="J174" s="9" t="n"/>
    </row>
    <row r="175" ht="18" customHeight="1" s="331">
      <c r="A175" s="33" t="n">
        <v>170</v>
      </c>
      <c r="B175" s="17" t="inlineStr">
        <is>
          <t>332688</t>
        </is>
      </c>
      <c r="C175" s="18" t="n">
        <v>41513</v>
      </c>
      <c r="D175" s="620" t="n">
        <v>33.75</v>
      </c>
      <c r="E175" s="11" t="inlineStr">
        <is>
          <t>S G L CAMBODIA</t>
        </is>
      </c>
      <c r="F175" s="10" t="inlineStr">
        <is>
          <t>100119816</t>
        </is>
      </c>
      <c r="G175" s="17" t="inlineStr">
        <is>
          <t>332688</t>
        </is>
      </c>
      <c r="H175" s="18" t="n">
        <v>41513</v>
      </c>
      <c r="I175" s="620" t="n">
        <v>33.75</v>
      </c>
      <c r="J175" s="9" t="n"/>
    </row>
    <row r="176" ht="18" customHeight="1" s="331">
      <c r="A176" s="33" t="n">
        <v>171</v>
      </c>
      <c r="B176" s="17" t="inlineStr">
        <is>
          <t>332748</t>
        </is>
      </c>
      <c r="C176" s="18" t="n">
        <v>41519</v>
      </c>
      <c r="D176" s="620" t="n">
        <v>24.84</v>
      </c>
      <c r="E176" s="11" t="inlineStr">
        <is>
          <t>S G L CAMBODIA</t>
        </is>
      </c>
      <c r="F176" s="10" t="inlineStr">
        <is>
          <t>100119816</t>
        </is>
      </c>
      <c r="G176" s="17" t="inlineStr">
        <is>
          <t>332748</t>
        </is>
      </c>
      <c r="H176" s="18" t="n">
        <v>41519</v>
      </c>
      <c r="I176" s="620" t="n">
        <v>24.84</v>
      </c>
      <c r="J176" s="9" t="n"/>
    </row>
    <row r="177" ht="18" customHeight="1" s="331">
      <c r="A177" s="33" t="n">
        <v>172</v>
      </c>
      <c r="B177" s="17" t="inlineStr">
        <is>
          <t>332794</t>
        </is>
      </c>
      <c r="C177" s="18" t="n">
        <v>41520</v>
      </c>
      <c r="D177" s="620" t="n">
        <v>26.6</v>
      </c>
      <c r="E177" s="11" t="inlineStr">
        <is>
          <t>S G L CAMBODIA</t>
        </is>
      </c>
      <c r="F177" s="10" t="inlineStr">
        <is>
          <t>100119816</t>
        </is>
      </c>
      <c r="G177" s="17" t="inlineStr">
        <is>
          <t>332794</t>
        </is>
      </c>
      <c r="H177" s="18" t="n">
        <v>41520</v>
      </c>
      <c r="I177" s="620" t="n">
        <v>26.6</v>
      </c>
      <c r="J177" s="9" t="n"/>
    </row>
    <row r="178" ht="18" customHeight="1" s="331">
      <c r="A178" s="33" t="n">
        <v>173</v>
      </c>
      <c r="B178" s="17" t="inlineStr">
        <is>
          <t>332803</t>
        </is>
      </c>
      <c r="C178" s="18" t="n">
        <v>41520</v>
      </c>
      <c r="D178" s="620" t="n">
        <v>51.81</v>
      </c>
      <c r="E178" s="11" t="inlineStr">
        <is>
          <t>S G L CAMBODIA</t>
        </is>
      </c>
      <c r="F178" s="10" t="inlineStr">
        <is>
          <t>100119816</t>
        </is>
      </c>
      <c r="G178" s="17" t="inlineStr">
        <is>
          <t>332803</t>
        </is>
      </c>
      <c r="H178" s="18" t="n">
        <v>41520</v>
      </c>
      <c r="I178" s="620" t="n">
        <v>51.81</v>
      </c>
      <c r="J178" s="9" t="n"/>
    </row>
    <row r="179" ht="18" customHeight="1" s="331">
      <c r="A179" s="33" t="n">
        <v>174</v>
      </c>
      <c r="B179" s="17" t="inlineStr">
        <is>
          <t>332805</t>
        </is>
      </c>
      <c r="C179" s="18" t="n">
        <v>41520</v>
      </c>
      <c r="D179" s="620" t="n">
        <v>36.48</v>
      </c>
      <c r="E179" s="11" t="inlineStr">
        <is>
          <t>S G L CAMBODIA</t>
        </is>
      </c>
      <c r="F179" s="10" t="inlineStr">
        <is>
          <t>100119816</t>
        </is>
      </c>
      <c r="G179" s="17" t="inlineStr">
        <is>
          <t>332805</t>
        </is>
      </c>
      <c r="H179" s="18" t="n">
        <v>41520</v>
      </c>
      <c r="I179" s="620" t="n">
        <v>36.48</v>
      </c>
      <c r="J179" s="9" t="n"/>
    </row>
    <row r="180" ht="18" customHeight="1" s="331">
      <c r="A180" s="33" t="n">
        <v>175</v>
      </c>
      <c r="B180" s="17" t="inlineStr">
        <is>
          <t>332880</t>
        </is>
      </c>
      <c r="C180" s="18" t="n">
        <v>41526</v>
      </c>
      <c r="D180" s="620" t="n">
        <v>5</v>
      </c>
      <c r="E180" s="11" t="inlineStr">
        <is>
          <t>S G L CAMBODIA</t>
        </is>
      </c>
      <c r="F180" s="10" t="inlineStr">
        <is>
          <t>100119816</t>
        </is>
      </c>
      <c r="G180" s="17" t="inlineStr">
        <is>
          <t>332880</t>
        </is>
      </c>
      <c r="H180" s="18" t="n">
        <v>41526</v>
      </c>
      <c r="I180" s="620" t="n">
        <v>5</v>
      </c>
      <c r="J180" s="9" t="n"/>
    </row>
    <row r="181" ht="18" customHeight="1" s="331">
      <c r="A181" s="33" t="n">
        <v>176</v>
      </c>
      <c r="B181" s="17" t="inlineStr">
        <is>
          <t>332907</t>
        </is>
      </c>
      <c r="C181" s="18" t="n">
        <v>41527</v>
      </c>
      <c r="D181" s="620" t="n">
        <v>44.95</v>
      </c>
      <c r="E181" s="11" t="inlineStr">
        <is>
          <t>S G L CAMBODIA</t>
        </is>
      </c>
      <c r="F181" s="10" t="inlineStr">
        <is>
          <t>100119816</t>
        </is>
      </c>
      <c r="G181" s="17" t="inlineStr">
        <is>
          <t>332907</t>
        </is>
      </c>
      <c r="H181" s="18" t="n">
        <v>41527</v>
      </c>
      <c r="I181" s="620" t="n">
        <v>44.95</v>
      </c>
      <c r="J181" s="9" t="n"/>
    </row>
    <row r="182" ht="18" customHeight="1" s="331">
      <c r="A182" s="33" t="n">
        <v>177</v>
      </c>
      <c r="B182" s="17" t="inlineStr">
        <is>
          <t>332919</t>
        </is>
      </c>
      <c r="C182" s="18" t="n">
        <v>41527</v>
      </c>
      <c r="D182" s="620" t="n">
        <v>33.31</v>
      </c>
      <c r="E182" s="11" t="inlineStr">
        <is>
          <t>S G L CAMBODIA</t>
        </is>
      </c>
      <c r="F182" s="10" t="inlineStr">
        <is>
          <t>100119816</t>
        </is>
      </c>
      <c r="G182" s="17" t="inlineStr">
        <is>
          <t>332919</t>
        </is>
      </c>
      <c r="H182" s="18" t="n">
        <v>41527</v>
      </c>
      <c r="I182" s="620" t="n">
        <v>33.31</v>
      </c>
      <c r="J182" s="9" t="n"/>
    </row>
    <row r="183" ht="18" customHeight="1" s="331">
      <c r="A183" s="33" t="n">
        <v>178</v>
      </c>
      <c r="B183" s="17" t="inlineStr">
        <is>
          <t>332967</t>
        </is>
      </c>
      <c r="C183" s="18" t="n">
        <v>41527</v>
      </c>
      <c r="D183" s="620" t="n">
        <v>22.51</v>
      </c>
      <c r="E183" s="11" t="inlineStr">
        <is>
          <t>S G L CAMBODIA</t>
        </is>
      </c>
      <c r="F183" s="10" t="inlineStr">
        <is>
          <t>100119816</t>
        </is>
      </c>
      <c r="G183" s="17" t="inlineStr">
        <is>
          <t>332967</t>
        </is>
      </c>
      <c r="H183" s="18" t="n">
        <v>41527</v>
      </c>
      <c r="I183" s="620" t="n">
        <v>22.51</v>
      </c>
      <c r="J183" s="9" t="n"/>
    </row>
    <row r="184" ht="18" customHeight="1" s="331">
      <c r="A184" s="33" t="n">
        <v>179</v>
      </c>
      <c r="B184" s="17" t="inlineStr">
        <is>
          <t>332988</t>
        </is>
      </c>
      <c r="C184" s="18" t="n">
        <v>41528</v>
      </c>
      <c r="D184" s="620" t="n">
        <v>28.01</v>
      </c>
      <c r="E184" s="11" t="inlineStr">
        <is>
          <t>S G L CAMBODIA</t>
        </is>
      </c>
      <c r="F184" s="10" t="inlineStr">
        <is>
          <t>100119816</t>
        </is>
      </c>
      <c r="G184" s="17" t="inlineStr">
        <is>
          <t>332988</t>
        </is>
      </c>
      <c r="H184" s="18" t="n">
        <v>41528</v>
      </c>
      <c r="I184" s="620" t="n">
        <v>28.01</v>
      </c>
      <c r="J184" s="9" t="n"/>
    </row>
    <row r="185" ht="18" customHeight="1" s="331">
      <c r="A185" s="33" t="n">
        <v>180</v>
      </c>
      <c r="B185" s="17" t="inlineStr">
        <is>
          <t>333011</t>
        </is>
      </c>
      <c r="C185" s="18" t="n">
        <v>41528</v>
      </c>
      <c r="D185" s="620" t="n">
        <v>86.56999999999999</v>
      </c>
      <c r="E185" s="11" t="inlineStr">
        <is>
          <t>S G L CAMBODIA</t>
        </is>
      </c>
      <c r="F185" s="10" t="inlineStr">
        <is>
          <t>100119816</t>
        </is>
      </c>
      <c r="G185" s="17" t="inlineStr">
        <is>
          <t>333011</t>
        </is>
      </c>
      <c r="H185" s="18" t="n">
        <v>41528</v>
      </c>
      <c r="I185" s="620" t="n">
        <v>86.56999999999999</v>
      </c>
      <c r="J185" s="9" t="n"/>
    </row>
    <row r="186" ht="18" customHeight="1" s="331">
      <c r="A186" s="33" t="n">
        <v>181</v>
      </c>
      <c r="B186" s="17" t="inlineStr">
        <is>
          <t>333013</t>
        </is>
      </c>
      <c r="C186" s="18" t="n">
        <v>41528</v>
      </c>
      <c r="D186" s="620" t="n">
        <v>36.7</v>
      </c>
      <c r="E186" s="11" t="inlineStr">
        <is>
          <t>S G L CAMBODIA</t>
        </is>
      </c>
      <c r="F186" s="10" t="inlineStr">
        <is>
          <t>100119816</t>
        </is>
      </c>
      <c r="G186" s="17" t="inlineStr">
        <is>
          <t>333013</t>
        </is>
      </c>
      <c r="H186" s="18" t="n">
        <v>41528</v>
      </c>
      <c r="I186" s="620" t="n">
        <v>36.7</v>
      </c>
      <c r="J186" s="9" t="n"/>
    </row>
    <row r="187" ht="18" customHeight="1" s="331">
      <c r="A187" s="33" t="n">
        <v>182</v>
      </c>
      <c r="B187" s="17" t="inlineStr">
        <is>
          <t>333040</t>
        </is>
      </c>
      <c r="C187" s="18" t="n">
        <v>41528</v>
      </c>
      <c r="D187" s="620" t="n">
        <v>59.52</v>
      </c>
      <c r="E187" s="11" t="inlineStr">
        <is>
          <t>S G L CAMBODIA</t>
        </is>
      </c>
      <c r="F187" s="10" t="inlineStr">
        <is>
          <t>100119816</t>
        </is>
      </c>
      <c r="G187" s="17" t="inlineStr">
        <is>
          <t>333040</t>
        </is>
      </c>
      <c r="H187" s="18" t="n">
        <v>41528</v>
      </c>
      <c r="I187" s="620" t="n">
        <v>59.52</v>
      </c>
      <c r="J187" s="9" t="n"/>
    </row>
    <row r="188" ht="18" customHeight="1" s="331">
      <c r="A188" s="33" t="n">
        <v>183</v>
      </c>
      <c r="B188" s="17" t="inlineStr">
        <is>
          <t>333059</t>
        </is>
      </c>
      <c r="C188" s="18" t="n">
        <v>41528</v>
      </c>
      <c r="D188" s="620" t="n">
        <v>195.16</v>
      </c>
      <c r="E188" s="11" t="inlineStr">
        <is>
          <t>S G L CAMBODIA</t>
        </is>
      </c>
      <c r="F188" s="10" t="inlineStr">
        <is>
          <t>100119816</t>
        </is>
      </c>
      <c r="G188" s="17" t="inlineStr">
        <is>
          <t>333059</t>
        </is>
      </c>
      <c r="H188" s="18" t="n">
        <v>41528</v>
      </c>
      <c r="I188" s="620" t="n">
        <v>195.16</v>
      </c>
      <c r="J188" s="9" t="n"/>
    </row>
    <row r="189" ht="18" customHeight="1" s="331">
      <c r="A189" s="33" t="n">
        <v>184</v>
      </c>
      <c r="B189" s="17" t="inlineStr">
        <is>
          <t>333103</t>
        </is>
      </c>
      <c r="C189" s="18" t="n">
        <v>41533</v>
      </c>
      <c r="D189" s="620" t="n">
        <v>28.82</v>
      </c>
      <c r="E189" s="11" t="inlineStr">
        <is>
          <t>S G L CAMBODIA</t>
        </is>
      </c>
      <c r="F189" s="10" t="inlineStr">
        <is>
          <t>100119816</t>
        </is>
      </c>
      <c r="G189" s="17" t="inlineStr">
        <is>
          <t>333103</t>
        </is>
      </c>
      <c r="H189" s="18" t="n">
        <v>41533</v>
      </c>
      <c r="I189" s="620" t="n">
        <v>28.82</v>
      </c>
      <c r="J189" s="9" t="n"/>
    </row>
    <row r="190" ht="18" customHeight="1" s="331">
      <c r="A190" s="33" t="n">
        <v>185</v>
      </c>
      <c r="B190" s="17" t="inlineStr">
        <is>
          <t>333134</t>
        </is>
      </c>
      <c r="C190" s="18" t="n">
        <v>41534</v>
      </c>
      <c r="D190" s="620" t="n">
        <v>22.3</v>
      </c>
      <c r="E190" s="11" t="inlineStr">
        <is>
          <t>S G L CAMBODIA</t>
        </is>
      </c>
      <c r="F190" s="10" t="inlineStr">
        <is>
          <t>100119816</t>
        </is>
      </c>
      <c r="G190" s="17" t="inlineStr">
        <is>
          <t>333134</t>
        </is>
      </c>
      <c r="H190" s="18" t="n">
        <v>41534</v>
      </c>
      <c r="I190" s="620" t="n">
        <v>22.3</v>
      </c>
      <c r="J190" s="9" t="n"/>
    </row>
    <row r="191" ht="18" customHeight="1" s="331">
      <c r="A191" s="33" t="n">
        <v>186</v>
      </c>
      <c r="B191" s="17" t="inlineStr">
        <is>
          <t>333167</t>
        </is>
      </c>
      <c r="C191" s="18" t="n">
        <v>41534</v>
      </c>
      <c r="D191" s="620" t="n">
        <v>39.63</v>
      </c>
      <c r="E191" s="11" t="inlineStr">
        <is>
          <t>S G L CAMBODIA</t>
        </is>
      </c>
      <c r="F191" s="10" t="inlineStr">
        <is>
          <t>100119816</t>
        </is>
      </c>
      <c r="G191" s="17" t="inlineStr">
        <is>
          <t>333167</t>
        </is>
      </c>
      <c r="H191" s="18" t="n">
        <v>41534</v>
      </c>
      <c r="I191" s="620" t="n">
        <v>39.63</v>
      </c>
      <c r="J191" s="9" t="n"/>
    </row>
    <row r="192" ht="18" customHeight="1" s="331">
      <c r="A192" s="33" t="n">
        <v>187</v>
      </c>
      <c r="B192" s="17" t="inlineStr">
        <is>
          <t>333184</t>
        </is>
      </c>
      <c r="C192" s="18" t="n">
        <v>41534</v>
      </c>
      <c r="D192" s="620" t="n">
        <v>37.34</v>
      </c>
      <c r="E192" s="11" t="inlineStr">
        <is>
          <t>S G L CAMBODIA</t>
        </is>
      </c>
      <c r="F192" s="10" t="inlineStr">
        <is>
          <t>100119816</t>
        </is>
      </c>
      <c r="G192" s="17" t="inlineStr">
        <is>
          <t>333184</t>
        </is>
      </c>
      <c r="H192" s="18" t="n">
        <v>41534</v>
      </c>
      <c r="I192" s="620" t="n">
        <v>37.34</v>
      </c>
      <c r="J192" s="9" t="n"/>
    </row>
    <row r="193" ht="18" customHeight="1" s="331">
      <c r="A193" s="33" t="n">
        <v>188</v>
      </c>
      <c r="B193" s="17" t="inlineStr">
        <is>
          <t>333196</t>
        </is>
      </c>
      <c r="C193" s="18" t="n">
        <v>41534</v>
      </c>
      <c r="D193" s="620" t="n">
        <v>22.1</v>
      </c>
      <c r="E193" s="11" t="inlineStr">
        <is>
          <t>S G L CAMBODIA</t>
        </is>
      </c>
      <c r="F193" s="10" t="inlineStr">
        <is>
          <t>100119816</t>
        </is>
      </c>
      <c r="G193" s="17" t="inlineStr">
        <is>
          <t>333196</t>
        </is>
      </c>
      <c r="H193" s="18" t="n">
        <v>41534</v>
      </c>
      <c r="I193" s="620" t="n">
        <v>22.1</v>
      </c>
      <c r="J193" s="9" t="n"/>
    </row>
    <row r="194" ht="18" customHeight="1" s="331">
      <c r="A194" s="33" t="n">
        <v>189</v>
      </c>
      <c r="B194" s="17" t="inlineStr">
        <is>
          <t>333287</t>
        </is>
      </c>
      <c r="C194" s="18" t="n">
        <v>41542</v>
      </c>
      <c r="D194" s="620" t="n">
        <v>37</v>
      </c>
      <c r="E194" s="11" t="inlineStr">
        <is>
          <t>S G L CAMBODIA</t>
        </is>
      </c>
      <c r="F194" s="10" t="inlineStr">
        <is>
          <t>100119816</t>
        </is>
      </c>
      <c r="G194" s="17" t="inlineStr">
        <is>
          <t>333287</t>
        </is>
      </c>
      <c r="H194" s="18" t="n">
        <v>41542</v>
      </c>
      <c r="I194" s="620" t="n">
        <v>37</v>
      </c>
      <c r="J194" s="9" t="n"/>
    </row>
    <row r="195" ht="18" customHeight="1" s="331">
      <c r="A195" s="33" t="n">
        <v>190</v>
      </c>
      <c r="B195" s="17" t="inlineStr">
        <is>
          <t>333299</t>
        </is>
      </c>
      <c r="C195" s="18" t="n">
        <v>41542</v>
      </c>
      <c r="D195" s="620" t="n">
        <v>22.3</v>
      </c>
      <c r="E195" s="11" t="inlineStr">
        <is>
          <t>S G L CAMBODIA</t>
        </is>
      </c>
      <c r="F195" s="10" t="inlineStr">
        <is>
          <t>100119816</t>
        </is>
      </c>
      <c r="G195" s="17" t="inlineStr">
        <is>
          <t>333299</t>
        </is>
      </c>
      <c r="H195" s="18" t="n">
        <v>41542</v>
      </c>
      <c r="I195" s="620" t="n">
        <v>22.3</v>
      </c>
      <c r="J195" s="9" t="n"/>
    </row>
    <row r="196" ht="18" customHeight="1" s="331">
      <c r="A196" s="33" t="n">
        <v>191</v>
      </c>
      <c r="B196" s="17" t="inlineStr">
        <is>
          <t>333317</t>
        </is>
      </c>
      <c r="C196" s="18" t="n">
        <v>41542</v>
      </c>
      <c r="D196" s="620" t="n">
        <v>66.61</v>
      </c>
      <c r="E196" s="11" t="inlineStr">
        <is>
          <t>S G L CAMBODIA</t>
        </is>
      </c>
      <c r="F196" s="10" t="inlineStr">
        <is>
          <t>100119816</t>
        </is>
      </c>
      <c r="G196" s="17" t="inlineStr">
        <is>
          <t>333317</t>
        </is>
      </c>
      <c r="H196" s="18" t="n">
        <v>41542</v>
      </c>
      <c r="I196" s="620" t="n">
        <v>66.61</v>
      </c>
      <c r="J196" s="9" t="n"/>
    </row>
    <row r="197" ht="18" customHeight="1" s="331">
      <c r="A197" s="33" t="n">
        <v>192</v>
      </c>
      <c r="B197" s="17" t="inlineStr">
        <is>
          <t>333408</t>
        </is>
      </c>
      <c r="C197" s="18" t="n">
        <v>41547</v>
      </c>
      <c r="D197" s="620" t="n">
        <v>22.3</v>
      </c>
      <c r="E197" s="11" t="inlineStr">
        <is>
          <t>S G L CAMBODIA</t>
        </is>
      </c>
      <c r="F197" s="10" t="inlineStr">
        <is>
          <t>100119816</t>
        </is>
      </c>
      <c r="G197" s="17" t="inlineStr">
        <is>
          <t>333408</t>
        </is>
      </c>
      <c r="H197" s="18" t="n">
        <v>41547</v>
      </c>
      <c r="I197" s="620" t="n">
        <v>22.3</v>
      </c>
      <c r="J197" s="9" t="n"/>
    </row>
    <row r="198" ht="18" customHeight="1" s="331">
      <c r="A198" s="33" t="n">
        <v>193</v>
      </c>
      <c r="B198" s="17" t="inlineStr">
        <is>
          <t>333448</t>
        </is>
      </c>
      <c r="C198" s="18" t="n">
        <v>41547</v>
      </c>
      <c r="D198" s="620" t="n">
        <v>34.02</v>
      </c>
      <c r="E198" s="11" t="inlineStr">
        <is>
          <t>S G L CAMBODIA</t>
        </is>
      </c>
      <c r="F198" s="10" t="inlineStr">
        <is>
          <t>100119816</t>
        </is>
      </c>
      <c r="G198" s="17" t="inlineStr">
        <is>
          <t>333448</t>
        </is>
      </c>
      <c r="H198" s="18" t="n">
        <v>41547</v>
      </c>
      <c r="I198" s="620" t="n">
        <v>34.02</v>
      </c>
      <c r="J198" s="9" t="n"/>
    </row>
    <row r="199" ht="18" customHeight="1" s="331">
      <c r="A199" s="33" t="n">
        <v>194</v>
      </c>
      <c r="B199" s="17" t="inlineStr">
        <is>
          <t>333469</t>
        </is>
      </c>
      <c r="C199" s="18" t="n">
        <v>41547</v>
      </c>
      <c r="D199" s="620" t="n">
        <v>23.38</v>
      </c>
      <c r="E199" s="11" t="inlineStr">
        <is>
          <t>S G L CAMBODIA</t>
        </is>
      </c>
      <c r="F199" s="10" t="inlineStr">
        <is>
          <t>100119816</t>
        </is>
      </c>
      <c r="G199" s="17" t="inlineStr">
        <is>
          <t>333469</t>
        </is>
      </c>
      <c r="H199" s="18" t="n">
        <v>41547</v>
      </c>
      <c r="I199" s="620" t="n">
        <v>23.38</v>
      </c>
      <c r="J199" s="9" t="n"/>
    </row>
    <row r="200" ht="18" customHeight="1" s="331">
      <c r="A200" s="33" t="n">
        <v>195</v>
      </c>
      <c r="B200" s="17" t="inlineStr">
        <is>
          <t>333478</t>
        </is>
      </c>
      <c r="C200" s="18" t="n">
        <v>41547</v>
      </c>
      <c r="D200" s="620" t="n">
        <v>23.87</v>
      </c>
      <c r="E200" s="11" t="inlineStr">
        <is>
          <t>S G L CAMBODIA</t>
        </is>
      </c>
      <c r="F200" s="10" t="inlineStr">
        <is>
          <t>100119816</t>
        </is>
      </c>
      <c r="G200" s="17" t="inlineStr">
        <is>
          <t>333478</t>
        </is>
      </c>
      <c r="H200" s="18" t="n">
        <v>41547</v>
      </c>
      <c r="I200" s="620" t="n">
        <v>23.87</v>
      </c>
      <c r="J200" s="9" t="n"/>
    </row>
    <row r="201" ht="18" customHeight="1" s="331">
      <c r="A201" s="33" t="n">
        <v>196</v>
      </c>
      <c r="B201" s="17" t="inlineStr">
        <is>
          <t>333537</t>
        </is>
      </c>
      <c r="C201" s="18" t="n">
        <v>41555</v>
      </c>
      <c r="D201" s="620" t="n">
        <v>26.6</v>
      </c>
      <c r="E201" s="11" t="inlineStr">
        <is>
          <t>S G L CAMBODIA</t>
        </is>
      </c>
      <c r="F201" s="10" t="inlineStr">
        <is>
          <t>100119816</t>
        </is>
      </c>
      <c r="G201" s="17" t="inlineStr">
        <is>
          <t>333537</t>
        </is>
      </c>
      <c r="H201" s="18" t="n">
        <v>41555</v>
      </c>
      <c r="I201" s="620" t="n">
        <v>26.6</v>
      </c>
      <c r="J201" s="9" t="n"/>
    </row>
    <row r="202" ht="18" customHeight="1" s="331">
      <c r="A202" s="33" t="n">
        <v>197</v>
      </c>
      <c r="B202" s="17" t="inlineStr">
        <is>
          <t>333554</t>
        </is>
      </c>
      <c r="C202" s="18" t="n">
        <v>41555</v>
      </c>
      <c r="D202" s="620" t="n">
        <v>22.1</v>
      </c>
      <c r="E202" s="11" t="inlineStr">
        <is>
          <t>S G L CAMBODIA</t>
        </is>
      </c>
      <c r="F202" s="10" t="inlineStr">
        <is>
          <t>100119816</t>
        </is>
      </c>
      <c r="G202" s="17" t="inlineStr">
        <is>
          <t>333554</t>
        </is>
      </c>
      <c r="H202" s="18" t="n">
        <v>41555</v>
      </c>
      <c r="I202" s="620" t="n">
        <v>22.1</v>
      </c>
      <c r="J202" s="9" t="n"/>
    </row>
    <row r="203" ht="18" customHeight="1" s="331">
      <c r="A203" s="33" t="n">
        <v>198</v>
      </c>
      <c r="B203" s="17" t="inlineStr">
        <is>
          <t>333581</t>
        </is>
      </c>
      <c r="C203" s="18" t="n">
        <v>41555</v>
      </c>
      <c r="D203" s="620" t="n">
        <v>23.74</v>
      </c>
      <c r="E203" s="11" t="inlineStr">
        <is>
          <t>S G L CAMBODIA</t>
        </is>
      </c>
      <c r="F203" s="10" t="inlineStr">
        <is>
          <t>100119816</t>
        </is>
      </c>
      <c r="G203" s="17" t="inlineStr">
        <is>
          <t>333581</t>
        </is>
      </c>
      <c r="H203" s="18" t="n">
        <v>41555</v>
      </c>
      <c r="I203" s="620" t="n">
        <v>23.74</v>
      </c>
      <c r="J203" s="9" t="n"/>
    </row>
    <row r="204" ht="18" customHeight="1" s="331">
      <c r="A204" s="33" t="n">
        <v>199</v>
      </c>
      <c r="B204" s="17" t="inlineStr">
        <is>
          <t>333605</t>
        </is>
      </c>
      <c r="C204" s="18" t="n">
        <v>41555</v>
      </c>
      <c r="D204" s="620" t="n">
        <v>27.52</v>
      </c>
      <c r="E204" s="11" t="inlineStr">
        <is>
          <t>S G L CAMBODIA</t>
        </is>
      </c>
      <c r="F204" s="10" t="inlineStr">
        <is>
          <t>100119816</t>
        </is>
      </c>
      <c r="G204" s="17" t="inlineStr">
        <is>
          <t>333605</t>
        </is>
      </c>
      <c r="H204" s="18" t="n">
        <v>41555</v>
      </c>
      <c r="I204" s="620" t="n">
        <v>27.52</v>
      </c>
      <c r="J204" s="9" t="n"/>
    </row>
    <row r="205" ht="18" customHeight="1" s="331">
      <c r="A205" s="33" t="n">
        <v>200</v>
      </c>
      <c r="B205" s="17" t="inlineStr">
        <is>
          <t>333646</t>
        </is>
      </c>
      <c r="C205" s="18" t="n">
        <v>41555</v>
      </c>
      <c r="D205" s="620" t="n">
        <v>43.05</v>
      </c>
      <c r="E205" s="11" t="inlineStr">
        <is>
          <t>S G L CAMBODIA</t>
        </is>
      </c>
      <c r="F205" s="10" t="inlineStr">
        <is>
          <t>100119816</t>
        </is>
      </c>
      <c r="G205" s="17" t="inlineStr">
        <is>
          <t>333646</t>
        </is>
      </c>
      <c r="H205" s="18" t="n">
        <v>41555</v>
      </c>
      <c r="I205" s="620" t="n">
        <v>43.05</v>
      </c>
      <c r="J205" s="9" t="n"/>
    </row>
    <row r="206" ht="18" customHeight="1" s="331">
      <c r="A206" s="33" t="n">
        <v>201</v>
      </c>
      <c r="B206" s="17" t="inlineStr">
        <is>
          <t>333653</t>
        </is>
      </c>
      <c r="C206" s="18" t="n">
        <v>41555</v>
      </c>
      <c r="D206" s="620" t="n">
        <v>57.65</v>
      </c>
      <c r="E206" s="11" t="inlineStr">
        <is>
          <t>S G L CAMBODIA</t>
        </is>
      </c>
      <c r="F206" s="10" t="inlineStr">
        <is>
          <t>100119816</t>
        </is>
      </c>
      <c r="G206" s="17" t="inlineStr">
        <is>
          <t>333653</t>
        </is>
      </c>
      <c r="H206" s="18" t="n">
        <v>41555</v>
      </c>
      <c r="I206" s="620" t="n">
        <v>57.65</v>
      </c>
      <c r="J206" s="9" t="n"/>
    </row>
    <row r="207" ht="18" customHeight="1" s="331">
      <c r="A207" s="33" t="n">
        <v>202</v>
      </c>
      <c r="B207" s="17" t="inlineStr">
        <is>
          <t>333664</t>
        </is>
      </c>
      <c r="C207" s="18" t="n">
        <v>41556</v>
      </c>
      <c r="D207" s="620" t="n">
        <v>35.94</v>
      </c>
      <c r="E207" s="11" t="inlineStr">
        <is>
          <t>S G L CAMBODIA</t>
        </is>
      </c>
      <c r="F207" s="10" t="inlineStr">
        <is>
          <t>100119816</t>
        </is>
      </c>
      <c r="G207" s="17" t="inlineStr">
        <is>
          <t>333664</t>
        </is>
      </c>
      <c r="H207" s="18" t="n">
        <v>41556</v>
      </c>
      <c r="I207" s="620" t="n">
        <v>35.94</v>
      </c>
      <c r="J207" s="9" t="n"/>
    </row>
    <row r="208" ht="18" customHeight="1" s="331">
      <c r="A208" s="33" t="n">
        <v>203</v>
      </c>
      <c r="B208" s="17" t="inlineStr">
        <is>
          <t>333724</t>
        </is>
      </c>
      <c r="C208" s="18" t="n">
        <v>41558</v>
      </c>
      <c r="D208" s="620" t="n">
        <v>69.25</v>
      </c>
      <c r="E208" s="11" t="inlineStr">
        <is>
          <t>S G L CAMBODIA</t>
        </is>
      </c>
      <c r="F208" s="10" t="inlineStr">
        <is>
          <t>100119816</t>
        </is>
      </c>
      <c r="G208" s="17" t="inlineStr">
        <is>
          <t>333724</t>
        </is>
      </c>
      <c r="H208" s="18" t="n">
        <v>41558</v>
      </c>
      <c r="I208" s="620" t="n">
        <v>69.25</v>
      </c>
      <c r="J208" s="9" t="n"/>
    </row>
    <row r="209" ht="18" customHeight="1" s="331">
      <c r="A209" s="33" t="n">
        <v>204</v>
      </c>
      <c r="B209" s="17" t="inlineStr">
        <is>
          <t>333761</t>
        </is>
      </c>
      <c r="C209" s="18" t="n">
        <v>41558</v>
      </c>
      <c r="D209" s="620" t="n">
        <v>26.81</v>
      </c>
      <c r="E209" s="11" t="inlineStr">
        <is>
          <t>S G L CAMBODIA</t>
        </is>
      </c>
      <c r="F209" s="10" t="inlineStr">
        <is>
          <t>100119816</t>
        </is>
      </c>
      <c r="G209" s="17" t="inlineStr">
        <is>
          <t>333761</t>
        </is>
      </c>
      <c r="H209" s="18" t="n">
        <v>41558</v>
      </c>
      <c r="I209" s="620" t="n">
        <v>26.81</v>
      </c>
      <c r="J209" s="9" t="n"/>
    </row>
    <row r="210" ht="18" customHeight="1" s="331">
      <c r="A210" s="33" t="n">
        <v>205</v>
      </c>
      <c r="B210" s="17" t="inlineStr">
        <is>
          <t>333765</t>
        </is>
      </c>
      <c r="C210" s="18" t="n">
        <v>41558</v>
      </c>
      <c r="D210" s="620" t="n">
        <v>55.79</v>
      </c>
      <c r="E210" s="11" t="inlineStr">
        <is>
          <t>S G L CAMBODIA</t>
        </is>
      </c>
      <c r="F210" s="10" t="inlineStr">
        <is>
          <t>100119816</t>
        </is>
      </c>
      <c r="G210" s="17" t="inlineStr">
        <is>
          <t>333765</t>
        </is>
      </c>
      <c r="H210" s="18" t="n">
        <v>41558</v>
      </c>
      <c r="I210" s="620" t="n">
        <v>55.79</v>
      </c>
      <c r="J210" s="9" t="n"/>
    </row>
    <row r="211" ht="18" customHeight="1" s="331">
      <c r="A211" s="33" t="n">
        <v>206</v>
      </c>
      <c r="B211" s="17" t="inlineStr">
        <is>
          <t>333785</t>
        </is>
      </c>
      <c r="C211" s="18" t="n">
        <v>41563</v>
      </c>
      <c r="D211" s="620" t="n">
        <v>30.39</v>
      </c>
      <c r="E211" s="11" t="inlineStr">
        <is>
          <t>S G L CAMBODIA</t>
        </is>
      </c>
      <c r="F211" s="10" t="inlineStr">
        <is>
          <t>100119816</t>
        </is>
      </c>
      <c r="G211" s="17" t="inlineStr">
        <is>
          <t>333785</t>
        </is>
      </c>
      <c r="H211" s="18" t="n">
        <v>41563</v>
      </c>
      <c r="I211" s="620" t="n">
        <v>30.39</v>
      </c>
      <c r="J211" s="9" t="n"/>
    </row>
    <row r="212" ht="18" customHeight="1" s="331">
      <c r="A212" s="33" t="n">
        <v>207</v>
      </c>
      <c r="B212" s="17" t="inlineStr">
        <is>
          <t>333864</t>
        </is>
      </c>
      <c r="C212" s="18" t="n">
        <v>41568</v>
      </c>
      <c r="D212" s="620" t="n">
        <v>25.7</v>
      </c>
      <c r="E212" s="11" t="inlineStr">
        <is>
          <t>S G L CAMBODIA</t>
        </is>
      </c>
      <c r="F212" s="10" t="inlineStr">
        <is>
          <t>100119816</t>
        </is>
      </c>
      <c r="G212" s="17" t="inlineStr">
        <is>
          <t>333864</t>
        </is>
      </c>
      <c r="H212" s="18" t="n">
        <v>41568</v>
      </c>
      <c r="I212" s="620" t="n">
        <v>25.7</v>
      </c>
      <c r="J212" s="9" t="n"/>
    </row>
    <row r="213" ht="18" customHeight="1" s="331">
      <c r="A213" s="33" t="n">
        <v>208</v>
      </c>
      <c r="B213" s="17" t="inlineStr">
        <is>
          <t>333876</t>
        </is>
      </c>
      <c r="C213" s="18" t="n">
        <v>41568</v>
      </c>
      <c r="D213" s="620" t="n">
        <v>25.14</v>
      </c>
      <c r="E213" s="11" t="inlineStr">
        <is>
          <t>S G L CAMBODIA</t>
        </is>
      </c>
      <c r="F213" s="10" t="inlineStr">
        <is>
          <t>100119816</t>
        </is>
      </c>
      <c r="G213" s="17" t="inlineStr">
        <is>
          <t>333876</t>
        </is>
      </c>
      <c r="H213" s="18" t="n">
        <v>41568</v>
      </c>
      <c r="I213" s="620" t="n">
        <v>25.14</v>
      </c>
      <c r="J213" s="9" t="n"/>
    </row>
    <row r="214" ht="18" customHeight="1" s="331">
      <c r="A214" s="33" t="n">
        <v>209</v>
      </c>
      <c r="B214" s="17" t="inlineStr">
        <is>
          <t>333840</t>
        </is>
      </c>
      <c r="C214" s="18" t="n">
        <v>41568</v>
      </c>
      <c r="D214" s="620" t="n">
        <v>39.39</v>
      </c>
      <c r="E214" s="11" t="inlineStr">
        <is>
          <t>S G L CAMBODIA</t>
        </is>
      </c>
      <c r="F214" s="10" t="inlineStr">
        <is>
          <t>100119816</t>
        </is>
      </c>
      <c r="G214" s="17" t="inlineStr">
        <is>
          <t>333840</t>
        </is>
      </c>
      <c r="H214" s="18" t="n">
        <v>41568</v>
      </c>
      <c r="I214" s="620" t="n">
        <v>39.39</v>
      </c>
      <c r="J214" s="9" t="n"/>
    </row>
    <row r="215" ht="18" customHeight="1" s="331">
      <c r="A215" s="33" t="n">
        <v>210</v>
      </c>
      <c r="B215" s="17" t="inlineStr">
        <is>
          <t>333913</t>
        </is>
      </c>
      <c r="C215" s="18" t="n">
        <v>41569</v>
      </c>
      <c r="D215" s="620" t="n">
        <v>30.9</v>
      </c>
      <c r="E215" s="11" t="inlineStr">
        <is>
          <t>S G L CAMBODIA</t>
        </is>
      </c>
      <c r="F215" s="10" t="inlineStr">
        <is>
          <t>100119816</t>
        </is>
      </c>
      <c r="G215" s="17" t="inlineStr">
        <is>
          <t>333913</t>
        </is>
      </c>
      <c r="H215" s="18" t="n">
        <v>41569</v>
      </c>
      <c r="I215" s="620" t="n">
        <v>30.9</v>
      </c>
      <c r="J215" s="9" t="n"/>
    </row>
    <row r="216" ht="18" customHeight="1" s="331">
      <c r="A216" s="33" t="n">
        <v>211</v>
      </c>
      <c r="B216" s="17" t="inlineStr">
        <is>
          <t>333966</t>
        </is>
      </c>
      <c r="C216" s="18" t="n">
        <v>41575</v>
      </c>
      <c r="D216" s="620" t="n">
        <v>26.81</v>
      </c>
      <c r="E216" s="11" t="inlineStr">
        <is>
          <t>S G L CAMBODIA</t>
        </is>
      </c>
      <c r="F216" s="10" t="inlineStr">
        <is>
          <t>100119816</t>
        </is>
      </c>
      <c r="G216" s="17" t="inlineStr">
        <is>
          <t>333966</t>
        </is>
      </c>
      <c r="H216" s="18" t="n">
        <v>41575</v>
      </c>
      <c r="I216" s="620" t="n">
        <v>26.81</v>
      </c>
      <c r="J216" s="9" t="n"/>
    </row>
    <row r="217" ht="18" customHeight="1" s="331">
      <c r="A217" s="33" t="n">
        <v>212</v>
      </c>
      <c r="B217" s="17" t="inlineStr">
        <is>
          <t>333977</t>
        </is>
      </c>
      <c r="C217" s="18" t="n">
        <v>41575</v>
      </c>
      <c r="D217" s="620" t="n">
        <v>26.76</v>
      </c>
      <c r="E217" s="11" t="inlineStr">
        <is>
          <t>S G L CAMBODIA</t>
        </is>
      </c>
      <c r="F217" s="10" t="inlineStr">
        <is>
          <t>100119816</t>
        </is>
      </c>
      <c r="G217" s="17" t="inlineStr">
        <is>
          <t>333977</t>
        </is>
      </c>
      <c r="H217" s="18" t="n">
        <v>41575</v>
      </c>
      <c r="I217" s="620" t="n">
        <v>26.76</v>
      </c>
      <c r="J217" s="9" t="n"/>
    </row>
    <row r="218" ht="18" customHeight="1" s="331">
      <c r="A218" s="33" t="n">
        <v>213</v>
      </c>
      <c r="B218" s="17" t="inlineStr">
        <is>
          <t>334000</t>
        </is>
      </c>
      <c r="C218" s="18" t="n">
        <v>41575</v>
      </c>
      <c r="D218" s="620" t="n">
        <v>36.05</v>
      </c>
      <c r="E218" s="11" t="inlineStr">
        <is>
          <t>S G L CAMBODIA</t>
        </is>
      </c>
      <c r="F218" s="10" t="inlineStr">
        <is>
          <t>100119816</t>
        </is>
      </c>
      <c r="G218" s="17" t="inlineStr">
        <is>
          <t>334000</t>
        </is>
      </c>
      <c r="H218" s="18" t="n">
        <v>41575</v>
      </c>
      <c r="I218" s="620" t="n">
        <v>36.05</v>
      </c>
      <c r="J218" s="9" t="n"/>
    </row>
    <row r="219" ht="18" customHeight="1" s="331">
      <c r="A219" s="33" t="n">
        <v>214</v>
      </c>
      <c r="B219" s="17" t="inlineStr">
        <is>
          <t>334011</t>
        </is>
      </c>
      <c r="C219" s="18" t="n">
        <v>41575</v>
      </c>
      <c r="D219" s="620" t="n">
        <v>31.7</v>
      </c>
      <c r="E219" s="11" t="inlineStr">
        <is>
          <t>S G L CAMBODIA</t>
        </is>
      </c>
      <c r="F219" s="10" t="inlineStr">
        <is>
          <t>100119816</t>
        </is>
      </c>
      <c r="G219" s="17" t="inlineStr">
        <is>
          <t>334011</t>
        </is>
      </c>
      <c r="H219" s="18" t="n">
        <v>41575</v>
      </c>
      <c r="I219" s="620" t="n">
        <v>31.7</v>
      </c>
      <c r="J219" s="9" t="n"/>
    </row>
    <row r="220" ht="18" customHeight="1" s="331">
      <c r="A220" s="33" t="n">
        <v>215</v>
      </c>
      <c r="B220" s="17" t="inlineStr">
        <is>
          <t>334024</t>
        </is>
      </c>
      <c r="C220" s="18" t="n">
        <v>41575</v>
      </c>
      <c r="D220" s="620" t="n">
        <v>52.45</v>
      </c>
      <c r="E220" s="11" t="inlineStr">
        <is>
          <t>S G L CAMBODIA</t>
        </is>
      </c>
      <c r="F220" s="10" t="inlineStr">
        <is>
          <t>100119816</t>
        </is>
      </c>
      <c r="G220" s="17" t="inlineStr">
        <is>
          <t>334024</t>
        </is>
      </c>
      <c r="H220" s="18" t="n">
        <v>41575</v>
      </c>
      <c r="I220" s="620" t="n">
        <v>52.45</v>
      </c>
      <c r="J220" s="9" t="n"/>
    </row>
    <row r="221" ht="18" customHeight="1" s="331">
      <c r="A221" s="33" t="n">
        <v>216</v>
      </c>
      <c r="B221" s="17" t="inlineStr">
        <is>
          <t>334122</t>
        </is>
      </c>
      <c r="C221" s="18" t="n">
        <v>41582</v>
      </c>
      <c r="D221" s="620" t="n">
        <v>22.1</v>
      </c>
      <c r="E221" s="11" t="inlineStr">
        <is>
          <t>S G L CAMBODIA</t>
        </is>
      </c>
      <c r="F221" s="10" t="inlineStr">
        <is>
          <t>100119816</t>
        </is>
      </c>
      <c r="G221" s="17" t="inlineStr">
        <is>
          <t>334122</t>
        </is>
      </c>
      <c r="H221" s="18" t="n">
        <v>41582</v>
      </c>
      <c r="I221" s="620" t="n">
        <v>22.1</v>
      </c>
      <c r="J221" s="9" t="n"/>
    </row>
    <row r="222" ht="18" customHeight="1" s="331">
      <c r="A222" s="33" t="n">
        <v>217</v>
      </c>
      <c r="B222" s="17" t="inlineStr">
        <is>
          <t>334156</t>
        </is>
      </c>
      <c r="C222" s="18" t="n">
        <v>41583</v>
      </c>
      <c r="D222" s="620" t="n">
        <v>29.5</v>
      </c>
      <c r="E222" s="11" t="inlineStr">
        <is>
          <t>S G L CAMBODIA</t>
        </is>
      </c>
      <c r="F222" s="10" t="inlineStr">
        <is>
          <t>100119816</t>
        </is>
      </c>
      <c r="G222" s="17" t="inlineStr">
        <is>
          <t>334156</t>
        </is>
      </c>
      <c r="H222" s="18" t="n">
        <v>41583</v>
      </c>
      <c r="I222" s="620" t="n">
        <v>29.5</v>
      </c>
      <c r="J222" s="9" t="n"/>
    </row>
    <row r="223" ht="18" customHeight="1" s="331">
      <c r="A223" s="33" t="n">
        <v>218</v>
      </c>
      <c r="B223" s="17" t="inlineStr">
        <is>
          <t>334172</t>
        </is>
      </c>
      <c r="C223" s="18" t="n">
        <v>41583</v>
      </c>
      <c r="D223" s="620" t="n">
        <v>5</v>
      </c>
      <c r="E223" s="11" t="inlineStr">
        <is>
          <t>S G L CAMBODIA</t>
        </is>
      </c>
      <c r="F223" s="10" t="inlineStr">
        <is>
          <t>100119816</t>
        </is>
      </c>
      <c r="G223" s="17" t="inlineStr">
        <is>
          <t>334172</t>
        </is>
      </c>
      <c r="H223" s="18" t="n">
        <v>41583</v>
      </c>
      <c r="I223" s="620" t="n">
        <v>5</v>
      </c>
      <c r="J223" s="9" t="n"/>
    </row>
    <row r="224" ht="18" customHeight="1" s="331">
      <c r="A224" s="33" t="n">
        <v>219</v>
      </c>
      <c r="B224" s="17" t="inlineStr">
        <is>
          <t>334188</t>
        </is>
      </c>
      <c r="C224" s="18" t="n">
        <v>41583</v>
      </c>
      <c r="D224" s="620" t="n">
        <v>117.01</v>
      </c>
      <c r="E224" s="11" t="inlineStr">
        <is>
          <t>S G L CAMBODIA</t>
        </is>
      </c>
      <c r="F224" s="10" t="inlineStr">
        <is>
          <t>100119816</t>
        </is>
      </c>
      <c r="G224" s="17" t="inlineStr">
        <is>
          <t>334188</t>
        </is>
      </c>
      <c r="H224" s="18" t="n">
        <v>41583</v>
      </c>
      <c r="I224" s="620" t="n">
        <v>117.01</v>
      </c>
      <c r="J224" s="9" t="n"/>
    </row>
    <row r="225" ht="18" customHeight="1" s="331">
      <c r="A225" s="33" t="n">
        <v>220</v>
      </c>
      <c r="B225" s="17" t="inlineStr">
        <is>
          <t>334259</t>
        </is>
      </c>
      <c r="C225" s="18" t="n">
        <v>41589</v>
      </c>
      <c r="D225" s="620" t="n">
        <v>28.02</v>
      </c>
      <c r="E225" s="11" t="inlineStr">
        <is>
          <t>S G L CAMBODIA</t>
        </is>
      </c>
      <c r="F225" s="10" t="inlineStr">
        <is>
          <t>100119816</t>
        </is>
      </c>
      <c r="G225" s="17" t="inlineStr">
        <is>
          <t>334259</t>
        </is>
      </c>
      <c r="H225" s="18" t="n">
        <v>41589</v>
      </c>
      <c r="I225" s="620" t="n">
        <v>28.02</v>
      </c>
      <c r="J225" s="9" t="n"/>
    </row>
    <row r="226" ht="18" customHeight="1" s="331">
      <c r="A226" s="33" t="n">
        <v>221</v>
      </c>
      <c r="B226" s="17" t="inlineStr">
        <is>
          <t>334307</t>
        </is>
      </c>
      <c r="C226" s="18" t="n">
        <v>41589</v>
      </c>
      <c r="D226" s="620" t="n">
        <v>24.8</v>
      </c>
      <c r="E226" s="11" t="inlineStr">
        <is>
          <t>S G L CAMBODIA</t>
        </is>
      </c>
      <c r="F226" s="10" t="inlineStr">
        <is>
          <t>100119816</t>
        </is>
      </c>
      <c r="G226" s="17" t="inlineStr">
        <is>
          <t>334307</t>
        </is>
      </c>
      <c r="H226" s="18" t="n">
        <v>41589</v>
      </c>
      <c r="I226" s="620" t="n">
        <v>24.8</v>
      </c>
      <c r="J226" s="9" t="n"/>
    </row>
    <row r="227" ht="18" customHeight="1" s="331">
      <c r="A227" s="33" t="n">
        <v>222</v>
      </c>
      <c r="B227" s="17" t="inlineStr">
        <is>
          <t>334407</t>
        </is>
      </c>
      <c r="C227" s="18" t="n">
        <v>41593</v>
      </c>
      <c r="D227" s="620" t="n">
        <v>27.56</v>
      </c>
      <c r="E227" s="11" t="inlineStr">
        <is>
          <t>S G L CAMBODIA</t>
        </is>
      </c>
      <c r="F227" s="10" t="inlineStr">
        <is>
          <t>100119816</t>
        </is>
      </c>
      <c r="G227" s="17" t="inlineStr">
        <is>
          <t>334407</t>
        </is>
      </c>
      <c r="H227" s="18" t="n">
        <v>41593</v>
      </c>
      <c r="I227" s="620" t="n">
        <v>27.56</v>
      </c>
      <c r="J227" s="9" t="n"/>
    </row>
    <row r="228" ht="18" customHeight="1" s="331">
      <c r="A228" s="33" t="n">
        <v>223</v>
      </c>
      <c r="B228" s="17" t="inlineStr">
        <is>
          <t>334626</t>
        </is>
      </c>
      <c r="C228" s="18" t="n">
        <v>41610</v>
      </c>
      <c r="D228" s="620" t="n">
        <v>30.96</v>
      </c>
      <c r="E228" s="11" t="inlineStr">
        <is>
          <t>S G L CAMBODIA</t>
        </is>
      </c>
      <c r="F228" s="10" t="inlineStr">
        <is>
          <t>100119816</t>
        </is>
      </c>
      <c r="G228" s="17" t="inlineStr">
        <is>
          <t>334626</t>
        </is>
      </c>
      <c r="H228" s="18" t="n">
        <v>41610</v>
      </c>
      <c r="I228" s="620" t="n">
        <v>30.96</v>
      </c>
      <c r="J228" s="9" t="n"/>
    </row>
    <row r="229" ht="18" customHeight="1" s="331">
      <c r="A229" s="33" t="n">
        <v>224</v>
      </c>
      <c r="B229" s="17" t="inlineStr">
        <is>
          <t>334645</t>
        </is>
      </c>
      <c r="C229" s="18" t="n">
        <v>41611</v>
      </c>
      <c r="D229" s="620" t="n">
        <v>59.29</v>
      </c>
      <c r="E229" s="11" t="inlineStr">
        <is>
          <t>S G L CAMBODIA</t>
        </is>
      </c>
      <c r="F229" s="10" t="inlineStr">
        <is>
          <t>100119816</t>
        </is>
      </c>
      <c r="G229" s="17" t="inlineStr">
        <is>
          <t>334645</t>
        </is>
      </c>
      <c r="H229" s="18" t="n">
        <v>41611</v>
      </c>
      <c r="I229" s="620" t="n">
        <v>59.29</v>
      </c>
      <c r="J229" s="9" t="n"/>
    </row>
    <row r="230" ht="18" customHeight="1" s="331">
      <c r="A230" s="33" t="n">
        <v>225</v>
      </c>
      <c r="B230" s="17" t="inlineStr">
        <is>
          <t>334754</t>
        </is>
      </c>
      <c r="C230" s="18" t="n">
        <v>41618</v>
      </c>
      <c r="D230" s="620" t="n">
        <v>22.52</v>
      </c>
      <c r="E230" s="11" t="inlineStr">
        <is>
          <t>S G L CAMBODIA</t>
        </is>
      </c>
      <c r="F230" s="10" t="inlineStr">
        <is>
          <t>100119816</t>
        </is>
      </c>
      <c r="G230" s="17" t="inlineStr">
        <is>
          <t>334754</t>
        </is>
      </c>
      <c r="H230" s="18" t="n">
        <v>41618</v>
      </c>
      <c r="I230" s="620" t="n">
        <v>22.52</v>
      </c>
      <c r="J230" s="9" t="n"/>
    </row>
    <row r="231" ht="18" customHeight="1" s="331">
      <c r="A231" s="33" t="n">
        <v>226</v>
      </c>
      <c r="B231" s="17" t="inlineStr">
        <is>
          <t>334781</t>
        </is>
      </c>
      <c r="C231" s="18" t="n">
        <v>41619</v>
      </c>
      <c r="D231" s="620" t="n">
        <v>149.28</v>
      </c>
      <c r="E231" s="11" t="inlineStr">
        <is>
          <t>S G L CAMBODIA</t>
        </is>
      </c>
      <c r="F231" s="10" t="inlineStr">
        <is>
          <t>100119816</t>
        </is>
      </c>
      <c r="G231" s="17" t="inlineStr">
        <is>
          <t>334781</t>
        </is>
      </c>
      <c r="H231" s="18" t="n">
        <v>41619</v>
      </c>
      <c r="I231" s="620" t="n">
        <v>149.28</v>
      </c>
      <c r="J231" s="9" t="n"/>
    </row>
    <row r="232" ht="18" customHeight="1" s="331">
      <c r="A232" s="33" t="n">
        <v>227</v>
      </c>
      <c r="B232" s="17" t="inlineStr">
        <is>
          <t>334788</t>
        </is>
      </c>
      <c r="C232" s="18" t="n">
        <v>41619</v>
      </c>
      <c r="D232" s="620" t="n">
        <v>75.19</v>
      </c>
      <c r="E232" s="11" t="inlineStr">
        <is>
          <t>S G L CAMBODIA</t>
        </is>
      </c>
      <c r="F232" s="10" t="inlineStr">
        <is>
          <t>100119816</t>
        </is>
      </c>
      <c r="G232" s="17" t="inlineStr">
        <is>
          <t>334788</t>
        </is>
      </c>
      <c r="H232" s="18" t="n">
        <v>41619</v>
      </c>
      <c r="I232" s="620" t="n">
        <v>75.19</v>
      </c>
      <c r="J232" s="9" t="n"/>
    </row>
    <row r="233" ht="18" customHeight="1" s="331">
      <c r="A233" s="33" t="n">
        <v>228</v>
      </c>
      <c r="B233" s="17" t="inlineStr">
        <is>
          <t>334825</t>
        </is>
      </c>
      <c r="C233" s="18" t="n">
        <v>41619</v>
      </c>
      <c r="D233" s="620" t="n">
        <v>23.89</v>
      </c>
      <c r="E233" s="11" t="inlineStr">
        <is>
          <t>S G L CAMBODIA</t>
        </is>
      </c>
      <c r="F233" s="10" t="inlineStr">
        <is>
          <t>100119816</t>
        </is>
      </c>
      <c r="G233" s="17" t="inlineStr">
        <is>
          <t>334825</t>
        </is>
      </c>
      <c r="H233" s="18" t="n">
        <v>41619</v>
      </c>
      <c r="I233" s="620" t="n">
        <v>23.89</v>
      </c>
      <c r="J233" s="9" t="n"/>
    </row>
    <row r="234" ht="18" customHeight="1" s="331">
      <c r="A234" s="33" t="n">
        <v>229</v>
      </c>
      <c r="B234" s="17" t="inlineStr">
        <is>
          <t>334848</t>
        </is>
      </c>
      <c r="C234" s="18" t="n">
        <v>41619</v>
      </c>
      <c r="D234" s="620" t="n">
        <v>60.08</v>
      </c>
      <c r="E234" s="11" t="inlineStr">
        <is>
          <t>S G L CAMBODIA</t>
        </is>
      </c>
      <c r="F234" s="10" t="inlineStr">
        <is>
          <t>100119816</t>
        </is>
      </c>
      <c r="G234" s="17" t="inlineStr">
        <is>
          <t>334848</t>
        </is>
      </c>
      <c r="H234" s="18" t="n">
        <v>41619</v>
      </c>
      <c r="I234" s="620" t="n">
        <v>60.08</v>
      </c>
      <c r="J234" s="9" t="n"/>
    </row>
    <row r="235" ht="18" customHeight="1" s="331">
      <c r="A235" s="33" t="n">
        <v>230</v>
      </c>
      <c r="B235" s="17" t="inlineStr">
        <is>
          <t>334863</t>
        </is>
      </c>
      <c r="C235" s="18" t="n">
        <v>41619</v>
      </c>
      <c r="D235" s="620" t="n">
        <v>31.16</v>
      </c>
      <c r="E235" s="11" t="inlineStr">
        <is>
          <t>S G L CAMBODIA</t>
        </is>
      </c>
      <c r="F235" s="10" t="inlineStr">
        <is>
          <t>100119816</t>
        </is>
      </c>
      <c r="G235" s="17" t="inlineStr">
        <is>
          <t>334863</t>
        </is>
      </c>
      <c r="H235" s="18" t="n">
        <v>41619</v>
      </c>
      <c r="I235" s="620" t="n">
        <v>31.16</v>
      </c>
      <c r="J235" s="9" t="n"/>
    </row>
    <row r="236" ht="18" customHeight="1" s="331">
      <c r="A236" s="33" t="n">
        <v>231</v>
      </c>
      <c r="B236" s="17" t="inlineStr">
        <is>
          <t>334964</t>
        </is>
      </c>
      <c r="C236" s="18" t="n">
        <v>41624</v>
      </c>
      <c r="D236" s="620" t="n">
        <v>45.38</v>
      </c>
      <c r="E236" s="11" t="inlineStr">
        <is>
          <t>S G L CAMBODIA</t>
        </is>
      </c>
      <c r="F236" s="10" t="inlineStr">
        <is>
          <t>100119816</t>
        </is>
      </c>
      <c r="G236" s="17" t="inlineStr">
        <is>
          <t>334964</t>
        </is>
      </c>
      <c r="H236" s="18" t="n">
        <v>41624</v>
      </c>
      <c r="I236" s="620" t="n">
        <v>45.38</v>
      </c>
      <c r="J236" s="9" t="n"/>
    </row>
    <row r="237" ht="18" customHeight="1" s="331">
      <c r="A237" s="33" t="n">
        <v>232</v>
      </c>
      <c r="B237" s="17" t="inlineStr">
        <is>
          <t>335005</t>
        </is>
      </c>
      <c r="C237" s="18" t="n">
        <v>41625</v>
      </c>
      <c r="D237" s="620" t="n">
        <v>22.3</v>
      </c>
      <c r="E237" s="11" t="inlineStr">
        <is>
          <t>S G L CAMBODIA</t>
        </is>
      </c>
      <c r="F237" s="10" t="inlineStr">
        <is>
          <t>100119816</t>
        </is>
      </c>
      <c r="G237" s="17" t="inlineStr">
        <is>
          <t>335005</t>
        </is>
      </c>
      <c r="H237" s="18" t="n">
        <v>41625</v>
      </c>
      <c r="I237" s="620" t="n">
        <v>22.3</v>
      </c>
      <c r="J237" s="9" t="n"/>
    </row>
    <row r="238" ht="18" customHeight="1" s="331">
      <c r="A238" s="33" t="n">
        <v>233</v>
      </c>
      <c r="B238" s="17" t="inlineStr">
        <is>
          <t>335038</t>
        </is>
      </c>
      <c r="C238" s="18" t="n">
        <v>41625</v>
      </c>
      <c r="D238" s="620" t="n">
        <v>22.3</v>
      </c>
      <c r="E238" s="11" t="inlineStr">
        <is>
          <t>S G L CAMBODIA</t>
        </is>
      </c>
      <c r="F238" s="10" t="inlineStr">
        <is>
          <t>100119816</t>
        </is>
      </c>
      <c r="G238" s="17" t="inlineStr">
        <is>
          <t>335038</t>
        </is>
      </c>
      <c r="H238" s="18" t="n">
        <v>41625</v>
      </c>
      <c r="I238" s="620" t="n">
        <v>22.3</v>
      </c>
      <c r="J238" s="9" t="n"/>
    </row>
    <row r="239" ht="18" customHeight="1" s="331">
      <c r="A239" s="33" t="n">
        <v>234</v>
      </c>
      <c r="B239" s="17" t="inlineStr">
        <is>
          <t>335047</t>
        </is>
      </c>
      <c r="C239" s="18" t="n">
        <v>41625</v>
      </c>
      <c r="D239" s="620" t="n">
        <v>26.79</v>
      </c>
      <c r="E239" s="11" t="inlineStr">
        <is>
          <t>S G L CAMBODIA</t>
        </is>
      </c>
      <c r="F239" s="10" t="inlineStr">
        <is>
          <t>100119816</t>
        </is>
      </c>
      <c r="G239" s="17" t="inlineStr">
        <is>
          <t>335047</t>
        </is>
      </c>
      <c r="H239" s="18" t="n">
        <v>41625</v>
      </c>
      <c r="I239" s="620" t="n">
        <v>26.79</v>
      </c>
      <c r="J239" s="9" t="n"/>
    </row>
    <row r="240" ht="18" customHeight="1" s="331">
      <c r="A240" s="33" t="n">
        <v>235</v>
      </c>
      <c r="B240" s="17" t="inlineStr">
        <is>
          <t>335140</t>
        </is>
      </c>
      <c r="C240" s="18" t="n">
        <v>41631</v>
      </c>
      <c r="D240" s="620" t="n">
        <v>39.28</v>
      </c>
      <c r="E240" s="11" t="inlineStr">
        <is>
          <t>S G L CAMBODIA</t>
        </is>
      </c>
      <c r="F240" s="10" t="inlineStr">
        <is>
          <t>100119816</t>
        </is>
      </c>
      <c r="G240" s="17" t="inlineStr">
        <is>
          <t>335140</t>
        </is>
      </c>
      <c r="H240" s="18" t="n">
        <v>41631</v>
      </c>
      <c r="I240" s="620" t="n">
        <v>39.28</v>
      </c>
      <c r="J240" s="9" t="n"/>
    </row>
    <row r="241" ht="18" customHeight="1" s="331">
      <c r="A241" s="33" t="n">
        <v>236</v>
      </c>
      <c r="B241" s="17" t="inlineStr">
        <is>
          <t>335150</t>
        </is>
      </c>
      <c r="C241" s="18" t="n">
        <v>41631</v>
      </c>
      <c r="D241" s="620" t="n">
        <v>25.73</v>
      </c>
      <c r="E241" s="11" t="inlineStr">
        <is>
          <t>S G L CAMBODIA</t>
        </is>
      </c>
      <c r="F241" s="10" t="inlineStr">
        <is>
          <t>100119816</t>
        </is>
      </c>
      <c r="G241" s="17" t="inlineStr">
        <is>
          <t>335150</t>
        </is>
      </c>
      <c r="H241" s="18" t="n">
        <v>41631</v>
      </c>
      <c r="I241" s="620" t="n">
        <v>25.73</v>
      </c>
      <c r="J241" s="9" t="n"/>
    </row>
    <row r="242" ht="18" customHeight="1" s="331">
      <c r="A242" s="33" t="n">
        <v>237</v>
      </c>
      <c r="B242" s="17" t="inlineStr">
        <is>
          <t>335240</t>
        </is>
      </c>
      <c r="C242" s="18" t="n">
        <v>41638</v>
      </c>
      <c r="D242" s="620" t="n">
        <v>28.56</v>
      </c>
      <c r="E242" s="11" t="inlineStr">
        <is>
          <t>S G L CAMBODIA</t>
        </is>
      </c>
      <c r="F242" s="10" t="inlineStr">
        <is>
          <t>100119816</t>
        </is>
      </c>
      <c r="G242" s="17" t="inlineStr">
        <is>
          <t>335240</t>
        </is>
      </c>
      <c r="H242" s="18" t="n">
        <v>41638</v>
      </c>
      <c r="I242" s="620" t="n">
        <v>28.56</v>
      </c>
      <c r="J242" s="9" t="n"/>
    </row>
    <row r="243" ht="18" customHeight="1" s="331">
      <c r="A243" s="33" t="n">
        <v>238</v>
      </c>
      <c r="B243" s="17" t="inlineStr">
        <is>
          <t>335240</t>
        </is>
      </c>
      <c r="C243" s="18" t="n">
        <v>41638</v>
      </c>
      <c r="D243" s="620" t="n">
        <v>28.56</v>
      </c>
      <c r="E243" s="11" t="inlineStr">
        <is>
          <t>S G L CAMBODIA</t>
        </is>
      </c>
      <c r="F243" s="10" t="inlineStr">
        <is>
          <t>100119816</t>
        </is>
      </c>
      <c r="G243" s="17" t="inlineStr">
        <is>
          <t>335240</t>
        </is>
      </c>
      <c r="H243" s="18" t="n">
        <v>41638</v>
      </c>
      <c r="I243" s="620" t="n">
        <v>28.56</v>
      </c>
      <c r="J243" s="9" t="n"/>
    </row>
    <row r="244" ht="18" customHeight="1" s="331">
      <c r="A244" s="33" t="n">
        <v>239</v>
      </c>
      <c r="B244" s="17" t="inlineStr">
        <is>
          <t>335266</t>
        </is>
      </c>
      <c r="C244" s="18" t="n">
        <v>41639</v>
      </c>
      <c r="D244" s="620" t="n">
        <v>22.3</v>
      </c>
      <c r="E244" s="11" t="inlineStr">
        <is>
          <t>S G L CAMBODIA</t>
        </is>
      </c>
      <c r="F244" s="10" t="inlineStr">
        <is>
          <t>100119816</t>
        </is>
      </c>
      <c r="G244" s="17" t="inlineStr">
        <is>
          <t>335266</t>
        </is>
      </c>
      <c r="H244" s="18" t="n">
        <v>41639</v>
      </c>
      <c r="I244" s="620" t="n">
        <v>22.3</v>
      </c>
      <c r="J244" s="9" t="n"/>
    </row>
    <row r="245" ht="18" customHeight="1" s="331">
      <c r="A245" s="33" t="n">
        <v>240</v>
      </c>
      <c r="B245" s="17" t="inlineStr">
        <is>
          <t>335277</t>
        </is>
      </c>
      <c r="C245" s="18" t="n">
        <v>41639</v>
      </c>
      <c r="D245" s="620" t="n">
        <v>50.47</v>
      </c>
      <c r="E245" s="11" t="inlineStr">
        <is>
          <t>S G L CAMBODIA</t>
        </is>
      </c>
      <c r="F245" s="10" t="inlineStr">
        <is>
          <t>100119816</t>
        </is>
      </c>
      <c r="G245" s="17" t="inlineStr">
        <is>
          <t>335277</t>
        </is>
      </c>
      <c r="H245" s="18" t="n">
        <v>41639</v>
      </c>
      <c r="I245" s="620" t="n">
        <v>50.47</v>
      </c>
      <c r="J245" s="9" t="n"/>
    </row>
    <row r="246" ht="18" customHeight="1" s="331">
      <c r="A246" s="33" t="n">
        <v>241</v>
      </c>
      <c r="B246" s="17" t="inlineStr">
        <is>
          <t>335286</t>
        </is>
      </c>
      <c r="C246" s="18" t="n">
        <v>41639</v>
      </c>
      <c r="D246" s="620" t="n">
        <v>5</v>
      </c>
      <c r="E246" s="11" t="inlineStr">
        <is>
          <t>S G L CAMBODIA</t>
        </is>
      </c>
      <c r="F246" s="10" t="inlineStr">
        <is>
          <t>100119816</t>
        </is>
      </c>
      <c r="G246" s="17" t="inlineStr">
        <is>
          <t>335286</t>
        </is>
      </c>
      <c r="H246" s="18" t="n">
        <v>41639</v>
      </c>
      <c r="I246" s="620" t="n">
        <v>5</v>
      </c>
      <c r="J246" s="9" t="n"/>
    </row>
    <row r="247" ht="18" customHeight="1" s="331">
      <c r="A247" s="33" t="n">
        <v>242</v>
      </c>
      <c r="B247" s="17" t="inlineStr">
        <is>
          <t>335266</t>
        </is>
      </c>
      <c r="C247" s="18" t="n">
        <v>41639</v>
      </c>
      <c r="D247" s="620" t="n">
        <v>22.3</v>
      </c>
      <c r="E247" s="11" t="inlineStr">
        <is>
          <t>S G L CAMBODIA</t>
        </is>
      </c>
      <c r="F247" s="10" t="inlineStr">
        <is>
          <t>100119816</t>
        </is>
      </c>
      <c r="G247" s="17" t="inlineStr">
        <is>
          <t>335266</t>
        </is>
      </c>
      <c r="H247" s="18" t="n">
        <v>41639</v>
      </c>
      <c r="I247" s="620" t="n">
        <v>22.3</v>
      </c>
      <c r="J247" s="9" t="n"/>
    </row>
    <row r="248" ht="18" customHeight="1" s="331">
      <c r="A248" s="33" t="n">
        <v>243</v>
      </c>
      <c r="B248" s="17" t="inlineStr">
        <is>
          <t>335277</t>
        </is>
      </c>
      <c r="C248" s="18" t="n">
        <v>41639</v>
      </c>
      <c r="D248" s="620" t="n">
        <v>50.47</v>
      </c>
      <c r="E248" s="11" t="inlineStr">
        <is>
          <t>S G L CAMBODIA</t>
        </is>
      </c>
      <c r="F248" s="10" t="inlineStr">
        <is>
          <t>100119816</t>
        </is>
      </c>
      <c r="G248" s="17" t="inlineStr">
        <is>
          <t>335277</t>
        </is>
      </c>
      <c r="H248" s="18" t="n">
        <v>41639</v>
      </c>
      <c r="I248" s="620" t="n">
        <v>50.47</v>
      </c>
      <c r="J248" s="9" t="n"/>
    </row>
    <row r="249" ht="18" customHeight="1" s="331">
      <c r="A249" s="33" t="n">
        <v>244</v>
      </c>
      <c r="B249" s="17" t="inlineStr">
        <is>
          <t>335286</t>
        </is>
      </c>
      <c r="C249" s="18" t="n">
        <v>41639</v>
      </c>
      <c r="D249" s="620" t="n">
        <v>5</v>
      </c>
      <c r="E249" s="11" t="inlineStr">
        <is>
          <t>S G L CAMBODIA</t>
        </is>
      </c>
      <c r="F249" s="10" t="inlineStr">
        <is>
          <t>100119816</t>
        </is>
      </c>
      <c r="G249" s="17" t="inlineStr">
        <is>
          <t>335286</t>
        </is>
      </c>
      <c r="H249" s="18" t="n">
        <v>41639</v>
      </c>
      <c r="I249" s="620" t="n">
        <v>5</v>
      </c>
      <c r="J249" s="9" t="n"/>
    </row>
    <row r="250" ht="18" customHeight="1" s="331">
      <c r="A250" s="33" t="n">
        <v>245</v>
      </c>
      <c r="B250" s="20" t="inlineStr">
        <is>
          <t>435384</t>
        </is>
      </c>
      <c r="C250" s="596" t="n">
        <v>41646</v>
      </c>
      <c r="D250" s="619" t="n">
        <v>36.07</v>
      </c>
      <c r="E250" s="11" t="inlineStr">
        <is>
          <t>S G L CAMBODIA</t>
        </is>
      </c>
      <c r="F250" s="10" t="inlineStr">
        <is>
          <t>100119816</t>
        </is>
      </c>
      <c r="G250" s="20" t="inlineStr">
        <is>
          <t>435384</t>
        </is>
      </c>
      <c r="H250" s="596" t="n">
        <v>41646</v>
      </c>
      <c r="I250" s="619" t="n">
        <v>36.07</v>
      </c>
      <c r="J250" s="9" t="n"/>
    </row>
    <row r="251" ht="18" customHeight="1" s="331">
      <c r="A251" s="33" t="n">
        <v>246</v>
      </c>
      <c r="B251" s="20" t="inlineStr">
        <is>
          <t>435413</t>
        </is>
      </c>
      <c r="C251" s="596" t="n">
        <v>41646</v>
      </c>
      <c r="D251" s="619" t="n">
        <v>100.41</v>
      </c>
      <c r="E251" s="11" t="inlineStr">
        <is>
          <t>S G L CAMBODIA</t>
        </is>
      </c>
      <c r="F251" s="10" t="inlineStr">
        <is>
          <t>100119816</t>
        </is>
      </c>
      <c r="G251" s="20" t="inlineStr">
        <is>
          <t>435413</t>
        </is>
      </c>
      <c r="H251" s="596" t="n">
        <v>41646</v>
      </c>
      <c r="I251" s="619" t="n">
        <v>100.41</v>
      </c>
      <c r="J251" s="9" t="n"/>
    </row>
    <row r="252" ht="18" customHeight="1" s="331">
      <c r="A252" s="33" t="n">
        <v>247</v>
      </c>
      <c r="B252" s="20" t="inlineStr">
        <is>
          <t>435499</t>
        </is>
      </c>
      <c r="C252" s="596" t="n">
        <v>41653</v>
      </c>
      <c r="D252" s="619" t="n">
        <v>43.29</v>
      </c>
      <c r="E252" s="11" t="inlineStr">
        <is>
          <t>S G L CAMBODIA</t>
        </is>
      </c>
      <c r="F252" s="10" t="inlineStr">
        <is>
          <t>100119816</t>
        </is>
      </c>
      <c r="G252" s="20" t="inlineStr">
        <is>
          <t>435499</t>
        </is>
      </c>
      <c r="H252" s="596" t="n">
        <v>41653</v>
      </c>
      <c r="I252" s="619" t="n">
        <v>43.29</v>
      </c>
      <c r="J252" s="9" t="n"/>
    </row>
    <row r="253" ht="18" customHeight="1" s="331">
      <c r="A253" s="33" t="n">
        <v>248</v>
      </c>
      <c r="B253" s="20" t="inlineStr">
        <is>
          <t>435525</t>
        </is>
      </c>
      <c r="C253" s="596" t="n">
        <v>41653</v>
      </c>
      <c r="D253" s="619" t="n">
        <v>34.05</v>
      </c>
      <c r="E253" s="11" t="inlineStr">
        <is>
          <t>S G L CAMBODIA</t>
        </is>
      </c>
      <c r="F253" s="10" t="inlineStr">
        <is>
          <t>100119816</t>
        </is>
      </c>
      <c r="G253" s="20" t="inlineStr">
        <is>
          <t>435525</t>
        </is>
      </c>
      <c r="H253" s="596" t="n">
        <v>41653</v>
      </c>
      <c r="I253" s="619" t="n">
        <v>34.05</v>
      </c>
      <c r="J253" s="9" t="n"/>
    </row>
    <row r="254" ht="18" customHeight="1" s="331">
      <c r="A254" s="33" t="n">
        <v>249</v>
      </c>
      <c r="B254" s="20" t="inlineStr">
        <is>
          <t>435556</t>
        </is>
      </c>
      <c r="C254" s="596" t="n">
        <v>41653</v>
      </c>
      <c r="D254" s="619" t="n">
        <v>109.52</v>
      </c>
      <c r="E254" s="11" t="inlineStr">
        <is>
          <t>S G L CAMBODIA</t>
        </is>
      </c>
      <c r="F254" s="10" t="inlineStr">
        <is>
          <t>100119816</t>
        </is>
      </c>
      <c r="G254" s="20" t="inlineStr">
        <is>
          <t>435556</t>
        </is>
      </c>
      <c r="H254" s="596" t="n">
        <v>41653</v>
      </c>
      <c r="I254" s="619" t="n">
        <v>109.52</v>
      </c>
      <c r="J254" s="9" t="n"/>
    </row>
    <row r="255" ht="18" customHeight="1" s="331">
      <c r="A255" s="33" t="n">
        <v>250</v>
      </c>
      <c r="B255" s="20" t="inlineStr">
        <is>
          <t>435566</t>
        </is>
      </c>
      <c r="C255" s="596" t="n">
        <v>41653</v>
      </c>
      <c r="D255" s="619" t="n">
        <v>56.94</v>
      </c>
      <c r="E255" s="11" t="inlineStr">
        <is>
          <t>S G L CAMBODIA</t>
        </is>
      </c>
      <c r="F255" s="10" t="inlineStr">
        <is>
          <t>100119816</t>
        </is>
      </c>
      <c r="G255" s="20" t="inlineStr">
        <is>
          <t>435566</t>
        </is>
      </c>
      <c r="H255" s="596" t="n">
        <v>41653</v>
      </c>
      <c r="I255" s="619" t="n">
        <v>56.94</v>
      </c>
      <c r="J255" s="9" t="n"/>
    </row>
    <row r="256" ht="18" customHeight="1" s="331">
      <c r="A256" s="33" t="n">
        <v>251</v>
      </c>
      <c r="B256" s="20" t="inlineStr">
        <is>
          <t>435575</t>
        </is>
      </c>
      <c r="C256" s="596" t="n">
        <v>41654</v>
      </c>
      <c r="D256" s="619" t="n">
        <v>48</v>
      </c>
      <c r="E256" s="11" t="inlineStr">
        <is>
          <t>S G L CAMBODIA</t>
        </is>
      </c>
      <c r="F256" s="10" t="inlineStr">
        <is>
          <t>100119816</t>
        </is>
      </c>
      <c r="G256" s="20" t="inlineStr">
        <is>
          <t>435575</t>
        </is>
      </c>
      <c r="H256" s="596" t="n">
        <v>41654</v>
      </c>
      <c r="I256" s="619" t="n">
        <v>48</v>
      </c>
      <c r="J256" s="9" t="n"/>
    </row>
    <row r="257" ht="18" customHeight="1" s="331">
      <c r="A257" s="33" t="n">
        <v>252</v>
      </c>
      <c r="B257" s="20" t="inlineStr">
        <is>
          <t>435587</t>
        </is>
      </c>
      <c r="C257" s="596" t="n">
        <v>41654</v>
      </c>
      <c r="D257" s="619" t="n">
        <v>22.51</v>
      </c>
      <c r="E257" s="11" t="inlineStr">
        <is>
          <t>S G L CAMBODIA</t>
        </is>
      </c>
      <c r="F257" s="10" t="inlineStr">
        <is>
          <t>100119816</t>
        </is>
      </c>
      <c r="G257" s="20" t="inlineStr">
        <is>
          <t>435587</t>
        </is>
      </c>
      <c r="H257" s="596" t="n">
        <v>41654</v>
      </c>
      <c r="I257" s="619" t="n">
        <v>22.51</v>
      </c>
      <c r="J257" s="9" t="n"/>
    </row>
    <row r="258" ht="18" customHeight="1" s="331">
      <c r="A258" s="33" t="n">
        <v>253</v>
      </c>
      <c r="B258" s="20" t="inlineStr">
        <is>
          <t>435667</t>
        </is>
      </c>
      <c r="C258" s="596" t="n">
        <v>41660</v>
      </c>
      <c r="D258" s="619" t="n">
        <v>23.18</v>
      </c>
      <c r="E258" s="11" t="inlineStr">
        <is>
          <t>S G L CAMBODIA</t>
        </is>
      </c>
      <c r="F258" s="10" t="inlineStr">
        <is>
          <t>100119816</t>
        </is>
      </c>
      <c r="G258" s="20" t="inlineStr">
        <is>
          <t>435667</t>
        </is>
      </c>
      <c r="H258" s="596" t="n">
        <v>41660</v>
      </c>
      <c r="I258" s="619" t="n">
        <v>23.18</v>
      </c>
      <c r="J258" s="9" t="n"/>
    </row>
    <row r="259" ht="18" customHeight="1" s="331">
      <c r="A259" s="33" t="n">
        <v>254</v>
      </c>
      <c r="B259" s="20" t="inlineStr">
        <is>
          <t>435675</t>
        </is>
      </c>
      <c r="C259" s="596" t="n">
        <v>41660</v>
      </c>
      <c r="D259" s="619" t="n">
        <v>55.08</v>
      </c>
      <c r="E259" s="11" t="inlineStr">
        <is>
          <t>S G L CAMBODIA</t>
        </is>
      </c>
      <c r="F259" s="10" t="inlineStr">
        <is>
          <t>100119816</t>
        </is>
      </c>
      <c r="G259" s="20" t="inlineStr">
        <is>
          <t>435675</t>
        </is>
      </c>
      <c r="H259" s="596" t="n">
        <v>41660</v>
      </c>
      <c r="I259" s="619" t="n">
        <v>55.08</v>
      </c>
      <c r="J259" s="9" t="n"/>
    </row>
    <row r="260" ht="18" customHeight="1" s="331">
      <c r="A260" s="33" t="n">
        <v>255</v>
      </c>
      <c r="B260" s="20" t="inlineStr">
        <is>
          <t>435689</t>
        </is>
      </c>
      <c r="C260" s="596" t="n">
        <v>41660</v>
      </c>
      <c r="D260" s="619" t="n">
        <v>23.63</v>
      </c>
      <c r="E260" s="11" t="inlineStr">
        <is>
          <t>S G L CAMBODIA</t>
        </is>
      </c>
      <c r="F260" s="10" t="inlineStr">
        <is>
          <t>100119816</t>
        </is>
      </c>
      <c r="G260" s="20" t="inlineStr">
        <is>
          <t>435689</t>
        </is>
      </c>
      <c r="H260" s="596" t="n">
        <v>41660</v>
      </c>
      <c r="I260" s="619" t="n">
        <v>23.63</v>
      </c>
      <c r="J260" s="9" t="n"/>
    </row>
    <row r="261" ht="18" customHeight="1" s="331">
      <c r="A261" s="33" t="n">
        <v>256</v>
      </c>
      <c r="B261" s="20" t="inlineStr">
        <is>
          <t>435705</t>
        </is>
      </c>
      <c r="C261" s="596" t="n">
        <v>41660</v>
      </c>
      <c r="D261" s="619" t="n">
        <v>46.83</v>
      </c>
      <c r="E261" s="11" t="inlineStr">
        <is>
          <t>S G L CAMBODIA</t>
        </is>
      </c>
      <c r="F261" s="10" t="inlineStr">
        <is>
          <t>100119816</t>
        </is>
      </c>
      <c r="G261" s="20" t="inlineStr">
        <is>
          <t>435705</t>
        </is>
      </c>
      <c r="H261" s="596" t="n">
        <v>41660</v>
      </c>
      <c r="I261" s="619" t="n">
        <v>46.83</v>
      </c>
      <c r="J261" s="9" t="n"/>
    </row>
    <row r="262" ht="18" customHeight="1" s="331">
      <c r="A262" s="33" t="n">
        <v>257</v>
      </c>
      <c r="B262" s="20" t="inlineStr">
        <is>
          <t>435744</t>
        </is>
      </c>
      <c r="C262" s="596" t="n">
        <v>41660</v>
      </c>
      <c r="D262" s="619" t="n">
        <v>79.76000000000001</v>
      </c>
      <c r="E262" s="11" t="inlineStr">
        <is>
          <t>S G L CAMBODIA</t>
        </is>
      </c>
      <c r="F262" s="10" t="inlineStr">
        <is>
          <t>100119816</t>
        </is>
      </c>
      <c r="G262" s="20" t="inlineStr">
        <is>
          <t>435744</t>
        </is>
      </c>
      <c r="H262" s="596" t="n">
        <v>41660</v>
      </c>
      <c r="I262" s="619" t="n">
        <v>79.76000000000001</v>
      </c>
      <c r="J262" s="9" t="n"/>
    </row>
    <row r="263" ht="18" customHeight="1" s="331">
      <c r="A263" s="33" t="n">
        <v>258</v>
      </c>
      <c r="B263" s="20" t="inlineStr">
        <is>
          <t>435755</t>
        </is>
      </c>
      <c r="C263" s="596" t="n">
        <v>41660</v>
      </c>
      <c r="D263" s="619" t="n">
        <v>42.45</v>
      </c>
      <c r="E263" s="11" t="inlineStr">
        <is>
          <t>S G L CAMBODIA</t>
        </is>
      </c>
      <c r="F263" s="10" t="inlineStr">
        <is>
          <t>100119816</t>
        </is>
      </c>
      <c r="G263" s="20" t="inlineStr">
        <is>
          <t>435755</t>
        </is>
      </c>
      <c r="H263" s="596" t="n">
        <v>41660</v>
      </c>
      <c r="I263" s="619" t="n">
        <v>42.45</v>
      </c>
      <c r="J263" s="9" t="n"/>
    </row>
    <row r="264" ht="18" customHeight="1" s="331">
      <c r="A264" s="33" t="n">
        <v>259</v>
      </c>
      <c r="B264" s="20" t="inlineStr">
        <is>
          <t>435775</t>
        </is>
      </c>
      <c r="C264" s="596" t="n">
        <v>21</v>
      </c>
      <c r="D264" s="619" t="n">
        <v>28.6</v>
      </c>
      <c r="E264" s="11" t="inlineStr">
        <is>
          <t>S G L CAMBODIA</t>
        </is>
      </c>
      <c r="F264" s="10" t="inlineStr">
        <is>
          <t>100119816</t>
        </is>
      </c>
      <c r="G264" s="20" t="inlineStr">
        <is>
          <t>435775</t>
        </is>
      </c>
      <c r="H264" s="596" t="n">
        <v>21</v>
      </c>
      <c r="I264" s="619" t="n">
        <v>28.6</v>
      </c>
      <c r="J264" s="9" t="n"/>
    </row>
    <row r="265" ht="18" customHeight="1" s="331">
      <c r="A265" s="33" t="n">
        <v>260</v>
      </c>
      <c r="B265" s="20" t="inlineStr">
        <is>
          <t>435858</t>
        </is>
      </c>
      <c r="C265" s="596" t="n">
        <v>41666</v>
      </c>
      <c r="D265" s="619" t="n">
        <v>27.97</v>
      </c>
      <c r="E265" s="11" t="inlineStr">
        <is>
          <t>S G L CAMBODIA</t>
        </is>
      </c>
      <c r="F265" s="10" t="inlineStr">
        <is>
          <t>100119816</t>
        </is>
      </c>
      <c r="G265" s="20" t="inlineStr">
        <is>
          <t>435858</t>
        </is>
      </c>
      <c r="H265" s="596" t="n">
        <v>41666</v>
      </c>
      <c r="I265" s="619" t="n">
        <v>27.97</v>
      </c>
      <c r="J265" s="9" t="n"/>
    </row>
    <row r="266" ht="18" customHeight="1" s="331">
      <c r="A266" s="33" t="n">
        <v>261</v>
      </c>
      <c r="B266" s="20" t="inlineStr">
        <is>
          <t>435932</t>
        </is>
      </c>
      <c r="C266" s="596" t="n">
        <v>41668</v>
      </c>
      <c r="D266" s="619" t="n">
        <v>22.3</v>
      </c>
      <c r="E266" s="11" t="inlineStr">
        <is>
          <t>S G L CAMBODIA</t>
        </is>
      </c>
      <c r="F266" s="10" t="inlineStr">
        <is>
          <t>100119816</t>
        </is>
      </c>
      <c r="G266" s="20" t="inlineStr">
        <is>
          <t>435932</t>
        </is>
      </c>
      <c r="H266" s="596" t="n">
        <v>41668</v>
      </c>
      <c r="I266" s="619" t="n">
        <v>22.3</v>
      </c>
      <c r="J266" s="9" t="n"/>
    </row>
    <row r="267" ht="18" customHeight="1" s="331">
      <c r="A267" s="33" t="n">
        <v>262</v>
      </c>
      <c r="B267" s="20" t="inlineStr">
        <is>
          <t>435981</t>
        </is>
      </c>
      <c r="C267" s="596" t="n">
        <v>41674</v>
      </c>
      <c r="D267" s="619" t="n">
        <v>71.04000000000001</v>
      </c>
      <c r="E267" s="11" t="inlineStr">
        <is>
          <t>S G L CAMBODIA</t>
        </is>
      </c>
      <c r="F267" s="10" t="inlineStr">
        <is>
          <t>100119816</t>
        </is>
      </c>
      <c r="G267" s="20" t="inlineStr">
        <is>
          <t>435981</t>
        </is>
      </c>
      <c r="H267" s="596" t="n">
        <v>41674</v>
      </c>
      <c r="I267" s="619" t="n">
        <v>71.04000000000001</v>
      </c>
      <c r="J267" s="9" t="n"/>
    </row>
    <row r="268" ht="18" customHeight="1" s="331">
      <c r="A268" s="33" t="n">
        <v>263</v>
      </c>
      <c r="B268" s="20" t="inlineStr">
        <is>
          <t>435993</t>
        </is>
      </c>
      <c r="C268" s="596" t="n">
        <v>41674</v>
      </c>
      <c r="D268" s="619" t="n">
        <v>35.49</v>
      </c>
      <c r="E268" s="11" t="inlineStr">
        <is>
          <t>S G L CAMBODIA</t>
        </is>
      </c>
      <c r="F268" s="10" t="inlineStr">
        <is>
          <t>100119816</t>
        </is>
      </c>
      <c r="G268" s="20" t="inlineStr">
        <is>
          <t>435993</t>
        </is>
      </c>
      <c r="H268" s="596" t="n">
        <v>41674</v>
      </c>
      <c r="I268" s="619" t="n">
        <v>35.49</v>
      </c>
      <c r="J268" s="9" t="n"/>
    </row>
    <row r="269" ht="18" customHeight="1" s="331">
      <c r="A269" s="33" t="n">
        <v>264</v>
      </c>
      <c r="B269" s="20" t="inlineStr">
        <is>
          <t>436004</t>
        </is>
      </c>
      <c r="C269" s="596" t="n">
        <v>41674</v>
      </c>
      <c r="D269" s="619" t="n">
        <v>22.1</v>
      </c>
      <c r="E269" s="11" t="inlineStr">
        <is>
          <t>S G L CAMBODIA</t>
        </is>
      </c>
      <c r="F269" s="10" t="inlineStr">
        <is>
          <t>100119816</t>
        </is>
      </c>
      <c r="G269" s="20" t="inlineStr">
        <is>
          <t>436004</t>
        </is>
      </c>
      <c r="H269" s="596" t="n">
        <v>41674</v>
      </c>
      <c r="I269" s="619" t="n">
        <v>22.1</v>
      </c>
      <c r="J269" s="9" t="n"/>
    </row>
    <row r="270" ht="18" customHeight="1" s="331">
      <c r="A270" s="33" t="n">
        <v>265</v>
      </c>
      <c r="B270" s="20" t="inlineStr">
        <is>
          <t>436039</t>
        </is>
      </c>
      <c r="C270" s="596" t="n">
        <v>41674</v>
      </c>
      <c r="D270" s="619" t="n">
        <v>27.57</v>
      </c>
      <c r="E270" s="11" t="inlineStr">
        <is>
          <t>S G L CAMBODIA</t>
        </is>
      </c>
      <c r="F270" s="10" t="inlineStr">
        <is>
          <t>100119816</t>
        </is>
      </c>
      <c r="G270" s="20" t="inlineStr">
        <is>
          <t>436039</t>
        </is>
      </c>
      <c r="H270" s="596" t="n">
        <v>41674</v>
      </c>
      <c r="I270" s="619" t="n">
        <v>27.57</v>
      </c>
      <c r="J270" s="9" t="n"/>
    </row>
    <row r="271" ht="18" customHeight="1" s="331">
      <c r="A271" s="33" t="n">
        <v>266</v>
      </c>
      <c r="B271" s="20" t="inlineStr">
        <is>
          <t>436080</t>
        </is>
      </c>
      <c r="C271" s="596" t="n">
        <v>41674</v>
      </c>
      <c r="D271" s="619" t="n">
        <v>32.04</v>
      </c>
      <c r="E271" s="11" t="inlineStr">
        <is>
          <t>S G L CAMBODIA</t>
        </is>
      </c>
      <c r="F271" s="10" t="inlineStr">
        <is>
          <t>100119816</t>
        </is>
      </c>
      <c r="G271" s="20" t="inlineStr">
        <is>
          <t>436080</t>
        </is>
      </c>
      <c r="H271" s="596" t="n">
        <v>41674</v>
      </c>
      <c r="I271" s="619" t="n">
        <v>32.04</v>
      </c>
      <c r="J271" s="9" t="n"/>
    </row>
    <row r="272" ht="18" customHeight="1" s="331">
      <c r="A272" s="33" t="n">
        <v>267</v>
      </c>
      <c r="B272" s="20" t="inlineStr">
        <is>
          <t>436196</t>
        </is>
      </c>
      <c r="C272" s="596" t="n">
        <v>41681</v>
      </c>
      <c r="D272" s="619" t="n">
        <v>53.23</v>
      </c>
      <c r="E272" s="11" t="inlineStr">
        <is>
          <t>S G L CAMBODIA</t>
        </is>
      </c>
      <c r="F272" s="10" t="inlineStr">
        <is>
          <t>100119816</t>
        </is>
      </c>
      <c r="G272" s="20" t="inlineStr">
        <is>
          <t>436196</t>
        </is>
      </c>
      <c r="H272" s="596" t="n">
        <v>41681</v>
      </c>
      <c r="I272" s="619" t="n">
        <v>53.23</v>
      </c>
      <c r="J272" s="9" t="n"/>
    </row>
    <row r="273" ht="18" customHeight="1" s="331">
      <c r="A273" s="33" t="n">
        <v>268</v>
      </c>
      <c r="B273" s="20" t="inlineStr">
        <is>
          <t>436200</t>
        </is>
      </c>
      <c r="C273" s="596" t="n">
        <v>41681</v>
      </c>
      <c r="D273" s="619" t="n">
        <v>39.89</v>
      </c>
      <c r="E273" s="11" t="inlineStr">
        <is>
          <t>S G L CAMBODIA</t>
        </is>
      </c>
      <c r="F273" s="10" t="inlineStr">
        <is>
          <t>100119816</t>
        </is>
      </c>
      <c r="G273" s="20" t="inlineStr">
        <is>
          <t>436200</t>
        </is>
      </c>
      <c r="H273" s="596" t="n">
        <v>41681</v>
      </c>
      <c r="I273" s="619" t="n">
        <v>39.89</v>
      </c>
      <c r="J273" s="9" t="n"/>
    </row>
    <row r="274" ht="18" customHeight="1" s="331">
      <c r="A274" s="33" t="n">
        <v>269</v>
      </c>
      <c r="B274" s="20" t="inlineStr">
        <is>
          <t>436256</t>
        </is>
      </c>
      <c r="C274" s="596" t="n">
        <v>41681</v>
      </c>
      <c r="D274" s="619" t="n">
        <v>71.63</v>
      </c>
      <c r="E274" s="11" t="inlineStr">
        <is>
          <t>S G L CAMBODIA</t>
        </is>
      </c>
      <c r="F274" s="10" t="inlineStr">
        <is>
          <t>100119816</t>
        </is>
      </c>
      <c r="G274" s="20" t="inlineStr">
        <is>
          <t>436256</t>
        </is>
      </c>
      <c r="H274" s="596" t="n">
        <v>41681</v>
      </c>
      <c r="I274" s="619" t="n">
        <v>71.63</v>
      </c>
      <c r="J274" s="9" t="n"/>
    </row>
    <row r="275" ht="18" customHeight="1" s="331">
      <c r="A275" s="33" t="n">
        <v>270</v>
      </c>
      <c r="B275" s="20" t="inlineStr">
        <is>
          <t>436318</t>
        </is>
      </c>
      <c r="C275" s="596" t="n">
        <v>41687</v>
      </c>
      <c r="D275" s="619" t="n">
        <v>81.22</v>
      </c>
      <c r="E275" s="11" t="inlineStr">
        <is>
          <t>S G L CAMBODIA</t>
        </is>
      </c>
      <c r="F275" s="10" t="inlineStr">
        <is>
          <t>100119816</t>
        </is>
      </c>
      <c r="G275" s="20" t="inlineStr">
        <is>
          <t>436318</t>
        </is>
      </c>
      <c r="H275" s="596" t="n">
        <v>41687</v>
      </c>
      <c r="I275" s="619" t="n">
        <v>81.22</v>
      </c>
      <c r="J275" s="9" t="n"/>
    </row>
    <row r="276" ht="18" customHeight="1" s="331">
      <c r="A276" s="33" t="n">
        <v>271</v>
      </c>
      <c r="B276" s="20" t="inlineStr">
        <is>
          <t>436335</t>
        </is>
      </c>
      <c r="C276" s="596" t="n">
        <v>41687</v>
      </c>
      <c r="D276" s="619" t="n">
        <v>71.16</v>
      </c>
      <c r="E276" s="11" t="inlineStr">
        <is>
          <t>S G L CAMBODIA</t>
        </is>
      </c>
      <c r="F276" s="10" t="inlineStr">
        <is>
          <t>100119816</t>
        </is>
      </c>
      <c r="G276" s="20" t="inlineStr">
        <is>
          <t>436335</t>
        </is>
      </c>
      <c r="H276" s="596" t="n">
        <v>41687</v>
      </c>
      <c r="I276" s="619" t="n">
        <v>71.16</v>
      </c>
      <c r="J276" s="9" t="n"/>
    </row>
    <row r="277" ht="18" customHeight="1" s="331">
      <c r="A277" s="33" t="n">
        <v>272</v>
      </c>
      <c r="B277" s="20" t="inlineStr">
        <is>
          <t>436360</t>
        </is>
      </c>
      <c r="C277" s="596" t="n">
        <v>41688</v>
      </c>
      <c r="D277" s="619" t="n">
        <v>22.3</v>
      </c>
      <c r="E277" s="11" t="inlineStr">
        <is>
          <t>S G L CAMBODIA</t>
        </is>
      </c>
      <c r="F277" s="10" t="inlineStr">
        <is>
          <t>100119816</t>
        </is>
      </c>
      <c r="G277" s="20" t="inlineStr">
        <is>
          <t>436360</t>
        </is>
      </c>
      <c r="H277" s="596" t="n">
        <v>41688</v>
      </c>
      <c r="I277" s="619" t="n">
        <v>22.3</v>
      </c>
      <c r="J277" s="9" t="n"/>
    </row>
    <row r="278" ht="18" customHeight="1" s="331">
      <c r="A278" s="33" t="n">
        <v>273</v>
      </c>
      <c r="B278" s="20" t="inlineStr">
        <is>
          <t>436368</t>
        </is>
      </c>
      <c r="C278" s="596" t="n">
        <v>41688</v>
      </c>
      <c r="D278" s="619" t="n">
        <v>60.23</v>
      </c>
      <c r="E278" s="11" t="inlineStr">
        <is>
          <t>S G L CAMBODIA</t>
        </is>
      </c>
      <c r="F278" s="10" t="inlineStr">
        <is>
          <t>100119816</t>
        </is>
      </c>
      <c r="G278" s="20" t="inlineStr">
        <is>
          <t>436368</t>
        </is>
      </c>
      <c r="H278" s="596" t="n">
        <v>41688</v>
      </c>
      <c r="I278" s="619" t="n">
        <v>60.23</v>
      </c>
      <c r="J278" s="9" t="n"/>
    </row>
    <row r="279" ht="18" customHeight="1" s="331">
      <c r="A279" s="33" t="n">
        <v>274</v>
      </c>
      <c r="B279" s="20" t="inlineStr">
        <is>
          <t>436384</t>
        </is>
      </c>
      <c r="C279" s="596" t="n">
        <v>41688</v>
      </c>
      <c r="D279" s="619" t="n">
        <v>24.8</v>
      </c>
      <c r="E279" s="11" t="inlineStr">
        <is>
          <t>S G L CAMBODIA</t>
        </is>
      </c>
      <c r="F279" s="10" t="inlineStr">
        <is>
          <t>100119816</t>
        </is>
      </c>
      <c r="G279" s="20" t="inlineStr">
        <is>
          <t>436384</t>
        </is>
      </c>
      <c r="H279" s="596" t="n">
        <v>41688</v>
      </c>
      <c r="I279" s="619" t="n">
        <v>24.8</v>
      </c>
      <c r="J279" s="9" t="n"/>
    </row>
    <row r="280" ht="18" customHeight="1" s="331">
      <c r="A280" s="33" t="n">
        <v>275</v>
      </c>
      <c r="B280" s="20" t="inlineStr">
        <is>
          <t>436469</t>
        </is>
      </c>
      <c r="C280" s="596" t="n">
        <v>41695</v>
      </c>
      <c r="D280" s="619" t="n">
        <v>124.82</v>
      </c>
      <c r="E280" s="11" t="inlineStr">
        <is>
          <t>S G L CAMBODIA</t>
        </is>
      </c>
      <c r="F280" s="10" t="inlineStr">
        <is>
          <t>100119816</t>
        </is>
      </c>
      <c r="G280" s="20" t="inlineStr">
        <is>
          <t>436469</t>
        </is>
      </c>
      <c r="H280" s="596" t="n">
        <v>41695</v>
      </c>
      <c r="I280" s="619" t="n">
        <v>124.82</v>
      </c>
      <c r="J280" s="9" t="n"/>
    </row>
    <row r="281" ht="18" customHeight="1" s="331">
      <c r="A281" s="33" t="n">
        <v>276</v>
      </c>
      <c r="B281" s="20" t="inlineStr">
        <is>
          <t>436480</t>
        </is>
      </c>
      <c r="C281" s="596" t="n">
        <v>41695</v>
      </c>
      <c r="D281" s="619" t="n">
        <v>58.99</v>
      </c>
      <c r="E281" s="11" t="inlineStr">
        <is>
          <t>S G L CAMBODIA</t>
        </is>
      </c>
      <c r="F281" s="10" t="inlineStr">
        <is>
          <t>100119816</t>
        </is>
      </c>
      <c r="G281" s="20" t="inlineStr">
        <is>
          <t>436480</t>
        </is>
      </c>
      <c r="H281" s="596" t="n">
        <v>41695</v>
      </c>
      <c r="I281" s="619" t="n">
        <v>58.99</v>
      </c>
      <c r="J281" s="9" t="n"/>
    </row>
    <row r="282" ht="18" customHeight="1" s="331">
      <c r="A282" s="33" t="n">
        <v>277</v>
      </c>
      <c r="B282" s="20" t="inlineStr">
        <is>
          <t>436485</t>
        </is>
      </c>
      <c r="C282" s="596" t="n">
        <v>41695</v>
      </c>
      <c r="D282" s="619" t="n">
        <v>29.35</v>
      </c>
      <c r="E282" s="11" t="inlineStr">
        <is>
          <t>S G L CAMBODIA</t>
        </is>
      </c>
      <c r="F282" s="10" t="inlineStr">
        <is>
          <t>100119816</t>
        </is>
      </c>
      <c r="G282" s="20" t="inlineStr">
        <is>
          <t>436485</t>
        </is>
      </c>
      <c r="H282" s="596" t="n">
        <v>41695</v>
      </c>
      <c r="I282" s="619" t="n">
        <v>29.35</v>
      </c>
      <c r="J282" s="9" t="n"/>
    </row>
    <row r="283" ht="18" customHeight="1" s="331">
      <c r="A283" s="33" t="n">
        <v>278</v>
      </c>
      <c r="B283" s="20" t="inlineStr">
        <is>
          <t>436616</t>
        </is>
      </c>
      <c r="C283" s="596" t="n">
        <v>41702</v>
      </c>
      <c r="D283" s="619" t="n">
        <v>22.3</v>
      </c>
      <c r="E283" s="11" t="inlineStr">
        <is>
          <t>S G L CAMBODIA</t>
        </is>
      </c>
      <c r="F283" s="10" t="inlineStr">
        <is>
          <t>100119816</t>
        </is>
      </c>
      <c r="G283" s="20" t="inlineStr">
        <is>
          <t>436616</t>
        </is>
      </c>
      <c r="H283" s="596" t="n">
        <v>41702</v>
      </c>
      <c r="I283" s="619" t="n">
        <v>22.3</v>
      </c>
      <c r="J283" s="9" t="n"/>
    </row>
    <row r="284" ht="18" customHeight="1" s="331">
      <c r="A284" s="33" t="n">
        <v>279</v>
      </c>
      <c r="B284" s="20" t="inlineStr">
        <is>
          <t>436710</t>
        </is>
      </c>
      <c r="C284" s="596" t="n">
        <v>41709</v>
      </c>
      <c r="D284" s="619" t="n">
        <v>32.52</v>
      </c>
      <c r="E284" s="11" t="inlineStr">
        <is>
          <t>S G L CAMBODIA</t>
        </is>
      </c>
      <c r="F284" s="10" t="inlineStr">
        <is>
          <t>100119816</t>
        </is>
      </c>
      <c r="G284" s="20" t="inlineStr">
        <is>
          <t>436710</t>
        </is>
      </c>
      <c r="H284" s="596" t="n">
        <v>41709</v>
      </c>
      <c r="I284" s="619" t="n">
        <v>32.52</v>
      </c>
      <c r="J284" s="9" t="n"/>
    </row>
    <row r="285" ht="18" customHeight="1" s="331">
      <c r="A285" s="33" t="n">
        <v>280</v>
      </c>
      <c r="B285" s="20" t="inlineStr">
        <is>
          <t>436771</t>
        </is>
      </c>
      <c r="C285" s="596" t="n">
        <v>41710</v>
      </c>
      <c r="D285" s="619" t="n">
        <v>38.63</v>
      </c>
      <c r="E285" s="11" t="inlineStr">
        <is>
          <t>S G L CAMBODIA</t>
        </is>
      </c>
      <c r="F285" s="10" t="inlineStr">
        <is>
          <t>100119816</t>
        </is>
      </c>
      <c r="G285" s="20" t="inlineStr">
        <is>
          <t>436771</t>
        </is>
      </c>
      <c r="H285" s="596" t="n">
        <v>41710</v>
      </c>
      <c r="I285" s="619" t="n">
        <v>38.63</v>
      </c>
      <c r="J285" s="9" t="n"/>
    </row>
    <row r="286" ht="18" customHeight="1" s="331">
      <c r="A286" s="33" t="n">
        <v>281</v>
      </c>
      <c r="B286" s="20" t="inlineStr">
        <is>
          <t>436775</t>
        </is>
      </c>
      <c r="C286" s="596" t="n">
        <v>41710</v>
      </c>
      <c r="D286" s="619" t="n">
        <v>42.61</v>
      </c>
      <c r="E286" s="11" t="inlineStr">
        <is>
          <t>S G L CAMBODIA</t>
        </is>
      </c>
      <c r="F286" s="10" t="inlineStr">
        <is>
          <t>100119816</t>
        </is>
      </c>
      <c r="G286" s="20" t="inlineStr">
        <is>
          <t>436775</t>
        </is>
      </c>
      <c r="H286" s="596" t="n">
        <v>41710</v>
      </c>
      <c r="I286" s="619" t="n">
        <v>42.61</v>
      </c>
      <c r="J286" s="9" t="n"/>
    </row>
    <row r="287" ht="18" customHeight="1" s="331">
      <c r="A287" s="33" t="n">
        <v>282</v>
      </c>
      <c r="B287" s="20" t="inlineStr">
        <is>
          <t>436789</t>
        </is>
      </c>
      <c r="C287" s="596" t="n">
        <v>41710</v>
      </c>
      <c r="D287" s="621" t="n">
        <v>56.46</v>
      </c>
      <c r="E287" s="11" t="inlineStr">
        <is>
          <t>S G L CAMBODIA</t>
        </is>
      </c>
      <c r="F287" s="10" t="inlineStr">
        <is>
          <t>100119816</t>
        </is>
      </c>
      <c r="G287" s="20" t="inlineStr">
        <is>
          <t>436789</t>
        </is>
      </c>
      <c r="H287" s="596" t="n">
        <v>41710</v>
      </c>
      <c r="I287" s="621" t="n">
        <v>56.46</v>
      </c>
      <c r="J287" s="9" t="n"/>
    </row>
    <row r="288" ht="18" customHeight="1" s="331">
      <c r="A288" s="33" t="n">
        <v>283</v>
      </c>
      <c r="B288" s="20" t="inlineStr">
        <is>
          <t>436793</t>
        </is>
      </c>
      <c r="C288" s="596" t="n">
        <v>41710</v>
      </c>
      <c r="D288" s="619" t="n">
        <v>50.1</v>
      </c>
      <c r="E288" s="11" t="inlineStr">
        <is>
          <t>S G L CAMBODIA</t>
        </is>
      </c>
      <c r="F288" s="10" t="inlineStr">
        <is>
          <t>100119816</t>
        </is>
      </c>
      <c r="G288" s="20" t="inlineStr">
        <is>
          <t>436793</t>
        </is>
      </c>
      <c r="H288" s="596" t="n">
        <v>41710</v>
      </c>
      <c r="I288" s="619" t="n">
        <v>50.1</v>
      </c>
      <c r="J288" s="9" t="n"/>
    </row>
    <row r="289" ht="18" customHeight="1" s="331">
      <c r="A289" s="33" t="n">
        <v>284</v>
      </c>
      <c r="B289" s="20" t="inlineStr">
        <is>
          <t>436816</t>
        </is>
      </c>
      <c r="C289" s="596" t="n">
        <v>41710</v>
      </c>
      <c r="D289" s="619" t="n">
        <v>27.97</v>
      </c>
      <c r="E289" s="11" t="inlineStr">
        <is>
          <t>S G L CAMBODIA</t>
        </is>
      </c>
      <c r="F289" s="10" t="inlineStr">
        <is>
          <t>100119816</t>
        </is>
      </c>
      <c r="G289" s="20" t="inlineStr">
        <is>
          <t>436816</t>
        </is>
      </c>
      <c r="H289" s="596" t="n">
        <v>41710</v>
      </c>
      <c r="I289" s="619" t="n">
        <v>27.97</v>
      </c>
      <c r="J289" s="9" t="n"/>
    </row>
    <row r="290" ht="18" customHeight="1" s="331">
      <c r="A290" s="33" t="n">
        <v>285</v>
      </c>
      <c r="B290" s="20" t="inlineStr">
        <is>
          <t>436818</t>
        </is>
      </c>
      <c r="C290" s="596" t="n">
        <v>41710</v>
      </c>
      <c r="D290" s="619" t="n">
        <v>37.9</v>
      </c>
      <c r="E290" s="11" t="inlineStr">
        <is>
          <t>S G L CAMBODIA</t>
        </is>
      </c>
      <c r="F290" s="10" t="inlineStr">
        <is>
          <t>100119816</t>
        </is>
      </c>
      <c r="G290" s="20" t="inlineStr">
        <is>
          <t>436818</t>
        </is>
      </c>
      <c r="H290" s="596" t="n">
        <v>41710</v>
      </c>
      <c r="I290" s="619" t="n">
        <v>37.9</v>
      </c>
      <c r="J290" s="9" t="n"/>
    </row>
    <row r="291" ht="18" customHeight="1" s="331">
      <c r="A291" s="33" t="n">
        <v>286</v>
      </c>
      <c r="B291" s="20" t="inlineStr">
        <is>
          <t>436834</t>
        </is>
      </c>
      <c r="C291" s="596" t="n">
        <v>41710</v>
      </c>
      <c r="D291" s="619" t="n">
        <v>26.66</v>
      </c>
      <c r="E291" s="11" t="inlineStr">
        <is>
          <t>S G L CAMBODIA</t>
        </is>
      </c>
      <c r="F291" s="10" t="inlineStr">
        <is>
          <t>100119816</t>
        </is>
      </c>
      <c r="G291" s="20" t="inlineStr">
        <is>
          <t>436834</t>
        </is>
      </c>
      <c r="H291" s="596" t="n">
        <v>41710</v>
      </c>
      <c r="I291" s="619" t="n">
        <v>26.66</v>
      </c>
      <c r="J291" s="9" t="n"/>
    </row>
    <row r="292" ht="18" customHeight="1" s="331">
      <c r="A292" s="33" t="n">
        <v>287</v>
      </c>
      <c r="B292" s="20" t="inlineStr">
        <is>
          <t>436905</t>
        </is>
      </c>
      <c r="C292" s="596" t="n">
        <v>41716</v>
      </c>
      <c r="D292" s="619" t="n">
        <v>45.05</v>
      </c>
      <c r="E292" s="11" t="inlineStr">
        <is>
          <t>S G L CAMBODIA</t>
        </is>
      </c>
      <c r="F292" s="10" t="inlineStr">
        <is>
          <t>100119816</t>
        </is>
      </c>
      <c r="G292" s="20" t="inlineStr">
        <is>
          <t>436905</t>
        </is>
      </c>
      <c r="H292" s="596" t="n">
        <v>41716</v>
      </c>
      <c r="I292" s="619" t="n">
        <v>45.05</v>
      </c>
      <c r="J292" s="9" t="n"/>
    </row>
    <row r="293" ht="18" customHeight="1" s="331">
      <c r="A293" s="33" t="n">
        <v>288</v>
      </c>
      <c r="B293" s="20" t="inlineStr">
        <is>
          <t>436930</t>
        </is>
      </c>
      <c r="C293" s="596" t="n">
        <v>41716</v>
      </c>
      <c r="D293" s="619" t="n">
        <v>101.57</v>
      </c>
      <c r="E293" s="11" t="inlineStr">
        <is>
          <t>S G L CAMBODIA</t>
        </is>
      </c>
      <c r="F293" s="10" t="inlineStr">
        <is>
          <t>100119816</t>
        </is>
      </c>
      <c r="G293" s="20" t="inlineStr">
        <is>
          <t>436930</t>
        </is>
      </c>
      <c r="H293" s="596" t="n">
        <v>41716</v>
      </c>
      <c r="I293" s="619" t="n">
        <v>101.57</v>
      </c>
      <c r="J293" s="9" t="n"/>
    </row>
    <row r="294" ht="18" customHeight="1" s="331">
      <c r="A294" s="33" t="n">
        <v>289</v>
      </c>
      <c r="B294" s="20" t="inlineStr">
        <is>
          <t>436943</t>
        </is>
      </c>
      <c r="C294" s="596" t="n">
        <v>41716</v>
      </c>
      <c r="D294" s="619" t="n">
        <v>69.01000000000001</v>
      </c>
      <c r="E294" s="11" t="inlineStr">
        <is>
          <t>S G L CAMBODIA</t>
        </is>
      </c>
      <c r="F294" s="10" t="inlineStr">
        <is>
          <t>100119816</t>
        </is>
      </c>
      <c r="G294" s="20" t="inlineStr">
        <is>
          <t>436943</t>
        </is>
      </c>
      <c r="H294" s="596" t="n">
        <v>41716</v>
      </c>
      <c r="I294" s="619" t="n">
        <v>69.01000000000001</v>
      </c>
      <c r="J294" s="9" t="n"/>
    </row>
    <row r="295" ht="18" customHeight="1" s="331">
      <c r="A295" s="33" t="n">
        <v>290</v>
      </c>
      <c r="B295" s="20" t="inlineStr">
        <is>
          <t>436954</t>
        </is>
      </c>
      <c r="C295" s="596" t="n">
        <v>41716</v>
      </c>
      <c r="D295" s="619" t="n">
        <v>29.48</v>
      </c>
      <c r="E295" s="11" t="inlineStr">
        <is>
          <t>S G L CAMBODIA</t>
        </is>
      </c>
      <c r="F295" s="10" t="inlineStr">
        <is>
          <t>100119816</t>
        </is>
      </c>
      <c r="G295" s="20" t="inlineStr">
        <is>
          <t>436954</t>
        </is>
      </c>
      <c r="H295" s="596" t="n">
        <v>41716</v>
      </c>
      <c r="I295" s="619" t="n">
        <v>29.48</v>
      </c>
      <c r="J295" s="9" t="n"/>
    </row>
    <row r="296" ht="18" customHeight="1" s="331">
      <c r="A296" s="33" t="n">
        <v>291</v>
      </c>
      <c r="B296" s="20" t="inlineStr">
        <is>
          <t>437034</t>
        </is>
      </c>
      <c r="C296" s="596" t="n">
        <v>41723</v>
      </c>
      <c r="D296" s="619" t="n">
        <v>28.65</v>
      </c>
      <c r="E296" s="11" t="inlineStr">
        <is>
          <t>S G L CAMBODIA</t>
        </is>
      </c>
      <c r="F296" s="10" t="inlineStr">
        <is>
          <t>100119816</t>
        </is>
      </c>
      <c r="G296" s="20" t="inlineStr">
        <is>
          <t>437034</t>
        </is>
      </c>
      <c r="H296" s="596" t="n">
        <v>41723</v>
      </c>
      <c r="I296" s="619" t="n">
        <v>28.65</v>
      </c>
      <c r="J296" s="9" t="n"/>
    </row>
    <row r="297" ht="18" customHeight="1" s="331">
      <c r="A297" s="33" t="n">
        <v>292</v>
      </c>
      <c r="B297" s="20" t="inlineStr">
        <is>
          <t>437150</t>
        </is>
      </c>
      <c r="C297" s="596" t="n">
        <v>41729</v>
      </c>
      <c r="D297" s="619" t="n">
        <v>23.85</v>
      </c>
      <c r="E297" s="11" t="inlineStr">
        <is>
          <t>S G L CAMBODIA</t>
        </is>
      </c>
      <c r="F297" s="10" t="inlineStr">
        <is>
          <t>100119816</t>
        </is>
      </c>
      <c r="G297" s="20" t="inlineStr">
        <is>
          <t>437150</t>
        </is>
      </c>
      <c r="H297" s="596" t="n">
        <v>41729</v>
      </c>
      <c r="I297" s="619" t="n">
        <v>23.85</v>
      </c>
      <c r="J297" s="9" t="n"/>
    </row>
    <row r="298" ht="18" customHeight="1" s="331">
      <c r="A298" s="33" t="n">
        <v>293</v>
      </c>
      <c r="B298" s="20" t="inlineStr">
        <is>
          <t>437185</t>
        </is>
      </c>
      <c r="C298" s="596" t="n">
        <v>41729</v>
      </c>
      <c r="D298" s="619" t="n">
        <v>27</v>
      </c>
      <c r="E298" s="11" t="inlineStr">
        <is>
          <t>S G L CAMBODIA</t>
        </is>
      </c>
      <c r="F298" s="10" t="inlineStr">
        <is>
          <t>100119816</t>
        </is>
      </c>
      <c r="G298" s="20" t="inlineStr">
        <is>
          <t>437185</t>
        </is>
      </c>
      <c r="H298" s="596" t="n">
        <v>41729</v>
      </c>
      <c r="I298" s="619" t="n">
        <v>27</v>
      </c>
      <c r="J298" s="9" t="n"/>
    </row>
    <row r="299" ht="18" customHeight="1" s="331">
      <c r="A299" s="33" t="n">
        <v>294</v>
      </c>
      <c r="B299" s="20" t="inlineStr">
        <is>
          <t>437208</t>
        </is>
      </c>
      <c r="C299" s="596" t="n">
        <v>41729</v>
      </c>
      <c r="D299" s="619" t="n">
        <v>40.09</v>
      </c>
      <c r="E299" s="11" t="inlineStr">
        <is>
          <t>S G L CAMBODIA</t>
        </is>
      </c>
      <c r="F299" s="10" t="inlineStr">
        <is>
          <t>100119816</t>
        </is>
      </c>
      <c r="G299" s="20" t="inlineStr">
        <is>
          <t>437208</t>
        </is>
      </c>
      <c r="H299" s="596" t="n">
        <v>41729</v>
      </c>
      <c r="I299" s="619" t="n">
        <v>40.09</v>
      </c>
      <c r="J299" s="9" t="n"/>
    </row>
    <row r="300" ht="18" customHeight="1" s="331">
      <c r="A300" s="33" t="n">
        <v>295</v>
      </c>
      <c r="B300" s="20" t="inlineStr">
        <is>
          <t>437311</t>
        </is>
      </c>
      <c r="C300" s="596" t="n">
        <v>41737</v>
      </c>
      <c r="D300" s="619" t="n">
        <v>85.06</v>
      </c>
      <c r="E300" s="11" t="inlineStr">
        <is>
          <t>S G L CAMBODIA</t>
        </is>
      </c>
      <c r="F300" s="10" t="inlineStr">
        <is>
          <t>100119816</t>
        </is>
      </c>
      <c r="G300" s="20" t="inlineStr">
        <is>
          <t>437311</t>
        </is>
      </c>
      <c r="H300" s="596" t="n">
        <v>41737</v>
      </c>
      <c r="I300" s="619" t="n">
        <v>85.06</v>
      </c>
      <c r="J300" s="9" t="n"/>
    </row>
    <row r="301" ht="18" customHeight="1" s="331">
      <c r="A301" s="33" t="n">
        <v>296</v>
      </c>
      <c r="B301" s="20" t="inlineStr">
        <is>
          <t>437321</t>
        </is>
      </c>
      <c r="C301" s="596" t="n">
        <v>41737</v>
      </c>
      <c r="D301" s="619" t="n">
        <v>51.16</v>
      </c>
      <c r="E301" s="11" t="inlineStr">
        <is>
          <t>S G L CAMBODIA</t>
        </is>
      </c>
      <c r="F301" s="10" t="inlineStr">
        <is>
          <t>100119816</t>
        </is>
      </c>
      <c r="G301" s="20" t="inlineStr">
        <is>
          <t>437321</t>
        </is>
      </c>
      <c r="H301" s="596" t="n">
        <v>41737</v>
      </c>
      <c r="I301" s="619" t="n">
        <v>51.16</v>
      </c>
      <c r="J301" s="9" t="n"/>
    </row>
    <row r="302" ht="18" customHeight="1" s="331">
      <c r="A302" s="33" t="n">
        <v>297</v>
      </c>
      <c r="B302" s="20" t="inlineStr">
        <is>
          <t>437376</t>
        </is>
      </c>
      <c r="C302" s="596" t="n">
        <v>41737</v>
      </c>
      <c r="D302" s="619" t="n">
        <v>77.34999999999999</v>
      </c>
      <c r="E302" s="11" t="inlineStr">
        <is>
          <t>S G L CAMBODIA</t>
        </is>
      </c>
      <c r="F302" s="10" t="inlineStr">
        <is>
          <t>100119816</t>
        </is>
      </c>
      <c r="G302" s="20" t="inlineStr">
        <is>
          <t>437376</t>
        </is>
      </c>
      <c r="H302" s="596" t="n">
        <v>41737</v>
      </c>
      <c r="I302" s="619" t="n">
        <v>77.34999999999999</v>
      </c>
      <c r="J302" s="9" t="n"/>
    </row>
    <row r="303" ht="18" customHeight="1" s="331">
      <c r="A303" s="33" t="n">
        <v>298</v>
      </c>
      <c r="B303" s="20" t="inlineStr">
        <is>
          <t>437390</t>
        </is>
      </c>
      <c r="C303" s="596" t="n">
        <v>41737</v>
      </c>
      <c r="D303" s="619" t="n">
        <v>30.9</v>
      </c>
      <c r="E303" s="11" t="inlineStr">
        <is>
          <t>S G L CAMBODIA</t>
        </is>
      </c>
      <c r="F303" s="10" t="inlineStr">
        <is>
          <t>100119816</t>
        </is>
      </c>
      <c r="G303" s="20" t="inlineStr">
        <is>
          <t>437390</t>
        </is>
      </c>
      <c r="H303" s="596" t="n">
        <v>41737</v>
      </c>
      <c r="I303" s="619" t="n">
        <v>30.9</v>
      </c>
      <c r="J303" s="9" t="n"/>
    </row>
    <row r="304" ht="18" customHeight="1" s="331">
      <c r="A304" s="33" t="n">
        <v>299</v>
      </c>
      <c r="B304" s="20" t="inlineStr">
        <is>
          <t>437401</t>
        </is>
      </c>
      <c r="C304" s="596" t="n">
        <v>41737</v>
      </c>
      <c r="D304" s="619" t="n">
        <v>22.3</v>
      </c>
      <c r="E304" s="11" t="inlineStr">
        <is>
          <t>S G L CAMBODIA</t>
        </is>
      </c>
      <c r="F304" s="10" t="inlineStr">
        <is>
          <t>100119816</t>
        </is>
      </c>
      <c r="G304" s="20" t="inlineStr">
        <is>
          <t>437401</t>
        </is>
      </c>
      <c r="H304" s="596" t="n">
        <v>41737</v>
      </c>
      <c r="I304" s="619" t="n">
        <v>22.3</v>
      </c>
      <c r="J304" s="9" t="n"/>
    </row>
    <row r="305" ht="18" customHeight="1" s="331">
      <c r="A305" s="33" t="n">
        <v>300</v>
      </c>
      <c r="B305" s="20" t="inlineStr">
        <is>
          <t>437450</t>
        </is>
      </c>
      <c r="C305" s="596" t="n">
        <v>41737</v>
      </c>
      <c r="D305" s="619" t="n">
        <v>29.07</v>
      </c>
      <c r="E305" s="11" t="inlineStr">
        <is>
          <t>S G L CAMBODIA</t>
        </is>
      </c>
      <c r="F305" s="10" t="inlineStr">
        <is>
          <t>100119816</t>
        </is>
      </c>
      <c r="G305" s="20" t="inlineStr">
        <is>
          <t>437450</t>
        </is>
      </c>
      <c r="H305" s="596" t="n">
        <v>41737</v>
      </c>
      <c r="I305" s="619" t="n">
        <v>29.07</v>
      </c>
      <c r="J305" s="9" t="n"/>
    </row>
    <row r="306" ht="18" customHeight="1" s="331">
      <c r="A306" s="33" t="n">
        <v>301</v>
      </c>
      <c r="B306" s="20" t="inlineStr">
        <is>
          <t>437471</t>
        </is>
      </c>
      <c r="C306" s="596" t="n">
        <v>41746</v>
      </c>
      <c r="D306" s="619" t="n">
        <v>24.8</v>
      </c>
      <c r="E306" s="11" t="inlineStr">
        <is>
          <t>S G L CAMBODIA</t>
        </is>
      </c>
      <c r="F306" s="10" t="inlineStr">
        <is>
          <t>100119816</t>
        </is>
      </c>
      <c r="G306" s="20" t="inlineStr">
        <is>
          <t>437471</t>
        </is>
      </c>
      <c r="H306" s="596" t="n">
        <v>41746</v>
      </c>
      <c r="I306" s="619" t="n">
        <v>24.8</v>
      </c>
      <c r="J306" s="9" t="n"/>
    </row>
    <row r="307" ht="18" customHeight="1" s="331">
      <c r="A307" s="33" t="n">
        <v>302</v>
      </c>
      <c r="B307" s="20" t="inlineStr">
        <is>
          <t>437511</t>
        </is>
      </c>
      <c r="C307" s="596" t="n">
        <v>41746</v>
      </c>
      <c r="D307" s="619" t="n">
        <v>39.87</v>
      </c>
      <c r="E307" s="11" t="inlineStr">
        <is>
          <t>S G L CAMBODIA</t>
        </is>
      </c>
      <c r="F307" s="10" t="inlineStr">
        <is>
          <t>100119816</t>
        </is>
      </c>
      <c r="G307" s="20" t="inlineStr">
        <is>
          <t>437511</t>
        </is>
      </c>
      <c r="H307" s="596" t="n">
        <v>41746</v>
      </c>
      <c r="I307" s="619" t="n">
        <v>39.87</v>
      </c>
      <c r="J307" s="9" t="n"/>
    </row>
    <row r="308" ht="18" customHeight="1" s="331">
      <c r="A308" s="33" t="n">
        <v>303</v>
      </c>
      <c r="B308" s="20" t="inlineStr">
        <is>
          <t>437519</t>
        </is>
      </c>
      <c r="C308" s="596" t="n">
        <v>41746</v>
      </c>
      <c r="D308" s="619" t="n">
        <v>68.84999999999999</v>
      </c>
      <c r="E308" s="11" t="inlineStr">
        <is>
          <t>S G L CAMBODIA</t>
        </is>
      </c>
      <c r="F308" s="10" t="inlineStr">
        <is>
          <t>100119816</t>
        </is>
      </c>
      <c r="G308" s="20" t="inlineStr">
        <is>
          <t>437519</t>
        </is>
      </c>
      <c r="H308" s="596" t="n">
        <v>41746</v>
      </c>
      <c r="I308" s="619" t="n">
        <v>68.84999999999999</v>
      </c>
      <c r="J308" s="9" t="n"/>
    </row>
    <row r="309" ht="18" customHeight="1" s="331">
      <c r="A309" s="33" t="n">
        <v>304</v>
      </c>
      <c r="B309" s="20" t="inlineStr">
        <is>
          <t>437530</t>
        </is>
      </c>
      <c r="C309" s="596" t="n">
        <v>41746</v>
      </c>
      <c r="D309" s="619" t="n">
        <v>58.6</v>
      </c>
      <c r="E309" s="11" t="inlineStr">
        <is>
          <t>S G L CAMBODIA</t>
        </is>
      </c>
      <c r="F309" s="10" t="inlineStr">
        <is>
          <t>100119816</t>
        </is>
      </c>
      <c r="G309" s="20" t="inlineStr">
        <is>
          <t>437530</t>
        </is>
      </c>
      <c r="H309" s="596" t="n">
        <v>41746</v>
      </c>
      <c r="I309" s="619" t="n">
        <v>58.6</v>
      </c>
      <c r="J309" s="9" t="n"/>
    </row>
    <row r="310" ht="18" customHeight="1" s="331">
      <c r="A310" s="33" t="n">
        <v>305</v>
      </c>
      <c r="B310" s="20" t="inlineStr">
        <is>
          <t>437552</t>
        </is>
      </c>
      <c r="C310" s="596" t="n">
        <v>41746</v>
      </c>
      <c r="D310" s="619" t="n">
        <v>31.67</v>
      </c>
      <c r="E310" s="11" t="inlineStr">
        <is>
          <t>S G L CAMBODIA</t>
        </is>
      </c>
      <c r="F310" s="10" t="inlineStr">
        <is>
          <t>100119816</t>
        </is>
      </c>
      <c r="G310" s="20" t="inlineStr">
        <is>
          <t>437552</t>
        </is>
      </c>
      <c r="H310" s="596" t="n">
        <v>41746</v>
      </c>
      <c r="I310" s="619" t="n">
        <v>31.67</v>
      </c>
      <c r="J310" s="9" t="n"/>
    </row>
    <row r="311" ht="18" customHeight="1" s="331">
      <c r="A311" s="33" t="n">
        <v>306</v>
      </c>
      <c r="B311" s="20" t="inlineStr">
        <is>
          <t>437588</t>
        </is>
      </c>
      <c r="C311" s="596" t="n">
        <v>41746</v>
      </c>
      <c r="D311" s="619" t="n">
        <v>63.52</v>
      </c>
      <c r="E311" s="11" t="inlineStr">
        <is>
          <t>S G L CAMBODIA</t>
        </is>
      </c>
      <c r="F311" s="10" t="inlineStr">
        <is>
          <t>100119816</t>
        </is>
      </c>
      <c r="G311" s="20" t="inlineStr">
        <is>
          <t>437588</t>
        </is>
      </c>
      <c r="H311" s="596" t="n">
        <v>41746</v>
      </c>
      <c r="I311" s="619" t="n">
        <v>63.52</v>
      </c>
      <c r="J311" s="9" t="n"/>
    </row>
    <row r="312" ht="18" customHeight="1" s="331">
      <c r="A312" s="33" t="n">
        <v>307</v>
      </c>
      <c r="B312" s="20" t="inlineStr">
        <is>
          <t>437613</t>
        </is>
      </c>
      <c r="C312" s="596" t="n">
        <v>41750</v>
      </c>
      <c r="D312" s="619" t="n">
        <v>5.8</v>
      </c>
      <c r="E312" s="11" t="inlineStr">
        <is>
          <t>S G L CAMBODIA</t>
        </is>
      </c>
      <c r="F312" s="10" t="inlineStr">
        <is>
          <t>100119816</t>
        </is>
      </c>
      <c r="G312" s="20" t="inlineStr">
        <is>
          <t>437613</t>
        </is>
      </c>
      <c r="H312" s="596" t="n">
        <v>41750</v>
      </c>
      <c r="I312" s="619" t="n">
        <v>5.8</v>
      </c>
      <c r="J312" s="9" t="n"/>
    </row>
    <row r="313" ht="18" customHeight="1" s="331">
      <c r="A313" s="33" t="n">
        <v>308</v>
      </c>
      <c r="B313" s="20" t="inlineStr">
        <is>
          <t>437619</t>
        </is>
      </c>
      <c r="C313" s="596" t="n">
        <v>41750</v>
      </c>
      <c r="D313" s="619" t="n">
        <v>24.38</v>
      </c>
      <c r="E313" s="11" t="inlineStr">
        <is>
          <t>S G L CAMBODIA</t>
        </is>
      </c>
      <c r="F313" s="10" t="inlineStr">
        <is>
          <t>100119816</t>
        </is>
      </c>
      <c r="G313" s="20" t="inlineStr">
        <is>
          <t>437619</t>
        </is>
      </c>
      <c r="H313" s="596" t="n">
        <v>41750</v>
      </c>
      <c r="I313" s="619" t="n">
        <v>24.38</v>
      </c>
      <c r="J313" s="9" t="n"/>
    </row>
    <row r="314" ht="18" customHeight="1" s="331">
      <c r="A314" s="33" t="n">
        <v>309</v>
      </c>
      <c r="B314" s="20" t="inlineStr">
        <is>
          <t>437625</t>
        </is>
      </c>
      <c r="C314" s="596" t="n">
        <v>41750</v>
      </c>
      <c r="D314" s="619" t="n">
        <v>33.02</v>
      </c>
      <c r="E314" s="11" t="inlineStr">
        <is>
          <t>S G L CAMBODIA</t>
        </is>
      </c>
      <c r="F314" s="10" t="inlineStr">
        <is>
          <t>100119816</t>
        </is>
      </c>
      <c r="G314" s="20" t="inlineStr">
        <is>
          <t>437625</t>
        </is>
      </c>
      <c r="H314" s="596" t="n">
        <v>41750</v>
      </c>
      <c r="I314" s="619" t="n">
        <v>33.02</v>
      </c>
      <c r="J314" s="9" t="n"/>
    </row>
    <row r="315" ht="18" customHeight="1" s="331">
      <c r="A315" s="33" t="n">
        <v>310</v>
      </c>
      <c r="B315" s="20" t="inlineStr">
        <is>
          <t>437640</t>
        </is>
      </c>
      <c r="C315" s="596" t="n">
        <v>41750</v>
      </c>
      <c r="D315" s="619" t="n">
        <v>35.47</v>
      </c>
      <c r="E315" s="11" t="inlineStr">
        <is>
          <t>S G L CAMBODIA</t>
        </is>
      </c>
      <c r="F315" s="10" t="inlineStr">
        <is>
          <t>100119816</t>
        </is>
      </c>
      <c r="G315" s="20" t="inlineStr">
        <is>
          <t>437640</t>
        </is>
      </c>
      <c r="H315" s="596" t="n">
        <v>41750</v>
      </c>
      <c r="I315" s="619" t="n">
        <v>35.47</v>
      </c>
      <c r="J315" s="9" t="n"/>
    </row>
    <row r="316" ht="18" customHeight="1" s="331">
      <c r="A316" s="33" t="n">
        <v>311</v>
      </c>
      <c r="B316" s="20" t="inlineStr">
        <is>
          <t>437731</t>
        </is>
      </c>
      <c r="C316" s="596" t="n">
        <v>41757</v>
      </c>
      <c r="D316" s="619" t="n">
        <v>24.67</v>
      </c>
      <c r="E316" s="11" t="inlineStr">
        <is>
          <t>S G L CAMBODIA</t>
        </is>
      </c>
      <c r="F316" s="10" t="inlineStr">
        <is>
          <t>100119816</t>
        </is>
      </c>
      <c r="G316" s="20" t="inlineStr">
        <is>
          <t>437731</t>
        </is>
      </c>
      <c r="H316" s="596" t="n">
        <v>41757</v>
      </c>
      <c r="I316" s="619" t="n">
        <v>24.67</v>
      </c>
      <c r="J316" s="9" t="n"/>
    </row>
    <row r="317" ht="18" customHeight="1" s="331">
      <c r="A317" s="33" t="n">
        <v>312</v>
      </c>
      <c r="B317" s="20" t="inlineStr">
        <is>
          <t>437734</t>
        </is>
      </c>
      <c r="C317" s="596" t="n">
        <v>41757</v>
      </c>
      <c r="D317" s="619" t="n">
        <v>36.38</v>
      </c>
      <c r="E317" s="11" t="inlineStr">
        <is>
          <t>S G L CAMBODIA</t>
        </is>
      </c>
      <c r="F317" s="10" t="inlineStr">
        <is>
          <t>100119816</t>
        </is>
      </c>
      <c r="G317" s="20" t="inlineStr">
        <is>
          <t>437734</t>
        </is>
      </c>
      <c r="H317" s="596" t="n">
        <v>41757</v>
      </c>
      <c r="I317" s="619" t="n">
        <v>36.38</v>
      </c>
      <c r="J317" s="9" t="n"/>
    </row>
    <row r="318" ht="18" customHeight="1" s="331">
      <c r="A318" s="33" t="n">
        <v>313</v>
      </c>
      <c r="B318" s="20" t="inlineStr">
        <is>
          <t>437766</t>
        </is>
      </c>
      <c r="C318" s="596" t="n">
        <v>41757</v>
      </c>
      <c r="D318" s="619" t="n">
        <v>26.29</v>
      </c>
      <c r="E318" s="11" t="inlineStr">
        <is>
          <t>S G L CAMBODIA</t>
        </is>
      </c>
      <c r="F318" s="10" t="inlineStr">
        <is>
          <t>100119816</t>
        </is>
      </c>
      <c r="G318" s="20" t="inlineStr">
        <is>
          <t>437766</t>
        </is>
      </c>
      <c r="H318" s="596" t="n">
        <v>41757</v>
      </c>
      <c r="I318" s="619" t="n">
        <v>26.29</v>
      </c>
      <c r="J318" s="9" t="n"/>
    </row>
    <row r="319" ht="18" customHeight="1" s="331">
      <c r="A319" s="33" t="n">
        <v>314</v>
      </c>
      <c r="B319" s="20" t="inlineStr">
        <is>
          <t>437790</t>
        </is>
      </c>
      <c r="C319" s="596" t="n">
        <v>41759</v>
      </c>
      <c r="D319" s="619" t="n">
        <v>5</v>
      </c>
      <c r="E319" s="11" t="inlineStr">
        <is>
          <t>S G L CAMBODIA</t>
        </is>
      </c>
      <c r="F319" s="10" t="inlineStr">
        <is>
          <t>100119816</t>
        </is>
      </c>
      <c r="G319" s="20" t="inlineStr">
        <is>
          <t>437790</t>
        </is>
      </c>
      <c r="H319" s="596" t="n">
        <v>41759</v>
      </c>
      <c r="I319" s="619" t="n">
        <v>5</v>
      </c>
      <c r="J319" s="9" t="n"/>
    </row>
    <row r="320" ht="18" customHeight="1" s="331">
      <c r="A320" s="33" t="n">
        <v>315</v>
      </c>
      <c r="B320" s="23" t="inlineStr">
        <is>
          <t>437859</t>
        </is>
      </c>
      <c r="C320" s="596" t="n">
        <v>41765</v>
      </c>
      <c r="D320" s="619" t="n">
        <v>22.99</v>
      </c>
      <c r="E320" s="11" t="inlineStr">
        <is>
          <t>S G L CAMBODIA</t>
        </is>
      </c>
      <c r="F320" s="10" t="inlineStr">
        <is>
          <t>100119816</t>
        </is>
      </c>
      <c r="G320" s="23" t="inlineStr">
        <is>
          <t>437859</t>
        </is>
      </c>
      <c r="H320" s="596" t="n">
        <v>41765</v>
      </c>
      <c r="I320" s="619" t="n">
        <v>22.99</v>
      </c>
      <c r="J320" s="9" t="n"/>
    </row>
    <row r="321" ht="18" customHeight="1" s="331">
      <c r="A321" s="33" t="n">
        <v>316</v>
      </c>
      <c r="B321" s="23" t="inlineStr">
        <is>
          <t>437911</t>
        </is>
      </c>
      <c r="C321" s="596" t="n">
        <v>41765</v>
      </c>
      <c r="D321" s="619" t="n">
        <v>41.9</v>
      </c>
      <c r="E321" s="11" t="inlineStr">
        <is>
          <t>S G L CAMBODIA</t>
        </is>
      </c>
      <c r="F321" s="10" t="inlineStr">
        <is>
          <t>100119816</t>
        </is>
      </c>
      <c r="G321" s="23" t="inlineStr">
        <is>
          <t>437911</t>
        </is>
      </c>
      <c r="H321" s="596" t="n">
        <v>41765</v>
      </c>
      <c r="I321" s="619" t="n">
        <v>41.9</v>
      </c>
      <c r="J321" s="9" t="n"/>
    </row>
    <row r="322" ht="18" customHeight="1" s="331">
      <c r="A322" s="33" t="n">
        <v>317</v>
      </c>
      <c r="B322" s="23" t="inlineStr">
        <is>
          <t>449556</t>
        </is>
      </c>
      <c r="C322" s="596" t="n">
        <v>41765</v>
      </c>
      <c r="D322" s="619" t="n">
        <v>27.55</v>
      </c>
      <c r="E322" s="11" t="inlineStr">
        <is>
          <t>S G L CAMBODIA</t>
        </is>
      </c>
      <c r="F322" s="10" t="inlineStr">
        <is>
          <t>100119816</t>
        </is>
      </c>
      <c r="G322" s="23" t="inlineStr">
        <is>
          <t>449556</t>
        </is>
      </c>
      <c r="H322" s="596" t="n">
        <v>41765</v>
      </c>
      <c r="I322" s="619" t="n">
        <v>27.55</v>
      </c>
      <c r="J322" s="9" t="n"/>
    </row>
    <row r="323" ht="18" customHeight="1" s="331">
      <c r="A323" s="33" t="n">
        <v>318</v>
      </c>
      <c r="B323" s="23" t="inlineStr">
        <is>
          <t>437956</t>
        </is>
      </c>
      <c r="C323" s="596" t="n">
        <v>41766</v>
      </c>
      <c r="D323" s="619" t="n">
        <v>82.68000000000001</v>
      </c>
      <c r="E323" s="11" t="inlineStr">
        <is>
          <t>S G L CAMBODIA</t>
        </is>
      </c>
      <c r="F323" s="10" t="inlineStr">
        <is>
          <t>100119816</t>
        </is>
      </c>
      <c r="G323" s="23" t="inlineStr">
        <is>
          <t>437956</t>
        </is>
      </c>
      <c r="H323" s="596" t="n">
        <v>41766</v>
      </c>
      <c r="I323" s="619" t="n">
        <v>82.68000000000001</v>
      </c>
      <c r="J323" s="9" t="n"/>
    </row>
    <row r="324" ht="18" customHeight="1" s="331">
      <c r="A324" s="33" t="n">
        <v>319</v>
      </c>
      <c r="B324" s="23" t="inlineStr">
        <is>
          <t>438072</t>
        </is>
      </c>
      <c r="C324" s="596" t="n">
        <v>41771</v>
      </c>
      <c r="D324" s="619" t="n">
        <v>50.65</v>
      </c>
      <c r="E324" s="11" t="inlineStr">
        <is>
          <t>S G L CAMBODIA</t>
        </is>
      </c>
      <c r="F324" s="10" t="inlineStr">
        <is>
          <t>100119816</t>
        </is>
      </c>
      <c r="G324" s="23" t="inlineStr">
        <is>
          <t>438072</t>
        </is>
      </c>
      <c r="H324" s="596" t="n">
        <v>41771</v>
      </c>
      <c r="I324" s="619" t="n">
        <v>50.65</v>
      </c>
      <c r="J324" s="9" t="n"/>
    </row>
    <row r="325" ht="18" customHeight="1" s="331">
      <c r="A325" s="33" t="n">
        <v>320</v>
      </c>
      <c r="B325" s="23" t="inlineStr">
        <is>
          <t>438047</t>
        </is>
      </c>
      <c r="C325" s="596" t="n">
        <v>41771</v>
      </c>
      <c r="D325" s="619" t="n">
        <v>22.3</v>
      </c>
      <c r="E325" s="11" t="inlineStr">
        <is>
          <t>S G L CAMBODIA</t>
        </is>
      </c>
      <c r="F325" s="10" t="inlineStr">
        <is>
          <t>100119816</t>
        </is>
      </c>
      <c r="G325" s="23" t="inlineStr">
        <is>
          <t>438047</t>
        </is>
      </c>
      <c r="H325" s="596" t="n">
        <v>41771</v>
      </c>
      <c r="I325" s="619" t="n">
        <v>22.3</v>
      </c>
      <c r="J325" s="9" t="n"/>
    </row>
    <row r="326" ht="18" customHeight="1" s="331">
      <c r="A326" s="33" t="n">
        <v>321</v>
      </c>
      <c r="B326" s="23" t="inlineStr">
        <is>
          <t>438111</t>
        </is>
      </c>
      <c r="C326" s="596" t="n">
        <v>41772</v>
      </c>
      <c r="D326" s="619" t="n">
        <v>22.3</v>
      </c>
      <c r="E326" s="11" t="inlineStr">
        <is>
          <t>S G L CAMBODIA</t>
        </is>
      </c>
      <c r="F326" s="10" t="inlineStr">
        <is>
          <t>100119816</t>
        </is>
      </c>
      <c r="G326" s="23" t="inlineStr">
        <is>
          <t>438111</t>
        </is>
      </c>
      <c r="H326" s="596" t="n">
        <v>41772</v>
      </c>
      <c r="I326" s="619" t="n">
        <v>22.3</v>
      </c>
      <c r="J326" s="9" t="n"/>
    </row>
    <row r="327" ht="18" customHeight="1" s="331">
      <c r="A327" s="33" t="n">
        <v>322</v>
      </c>
      <c r="B327" s="23" t="inlineStr">
        <is>
          <t>438105</t>
        </is>
      </c>
      <c r="C327" s="596" t="n">
        <v>41772</v>
      </c>
      <c r="D327" s="619" t="n">
        <v>22.32</v>
      </c>
      <c r="E327" s="11" t="inlineStr">
        <is>
          <t>S G L CAMBODIA</t>
        </is>
      </c>
      <c r="F327" s="10" t="inlineStr">
        <is>
          <t>100119816</t>
        </is>
      </c>
      <c r="G327" s="23" t="inlineStr">
        <is>
          <t>438105</t>
        </is>
      </c>
      <c r="H327" s="596" t="n">
        <v>41772</v>
      </c>
      <c r="I327" s="619" t="n">
        <v>22.32</v>
      </c>
      <c r="J327" s="9" t="n"/>
    </row>
    <row r="328" ht="18" customHeight="1" s="331">
      <c r="A328" s="33" t="n">
        <v>323</v>
      </c>
      <c r="B328" s="23" t="inlineStr">
        <is>
          <t>438175</t>
        </is>
      </c>
      <c r="C328" s="596" t="n">
        <v>41778</v>
      </c>
      <c r="D328" s="619" t="n">
        <v>22.3</v>
      </c>
      <c r="E328" s="11" t="inlineStr">
        <is>
          <t>S G L CAMBODIA</t>
        </is>
      </c>
      <c r="F328" s="10" t="inlineStr">
        <is>
          <t>100119816</t>
        </is>
      </c>
      <c r="G328" s="23" t="inlineStr">
        <is>
          <t>438175</t>
        </is>
      </c>
      <c r="H328" s="596" t="n">
        <v>41778</v>
      </c>
      <c r="I328" s="619" t="n">
        <v>22.3</v>
      </c>
      <c r="J328" s="9" t="n"/>
    </row>
    <row r="329" ht="18" customHeight="1" s="331">
      <c r="A329" s="33" t="n">
        <v>324</v>
      </c>
      <c r="B329" s="23" t="inlineStr">
        <is>
          <t>438204</t>
        </is>
      </c>
      <c r="C329" s="596" t="n">
        <v>41779</v>
      </c>
      <c r="D329" s="619" t="n">
        <v>27.35</v>
      </c>
      <c r="E329" s="11" t="inlineStr">
        <is>
          <t>S G L CAMBODIA</t>
        </is>
      </c>
      <c r="F329" s="10" t="inlineStr">
        <is>
          <t>100119816</t>
        </is>
      </c>
      <c r="G329" s="23" t="inlineStr">
        <is>
          <t>438204</t>
        </is>
      </c>
      <c r="H329" s="596" t="n">
        <v>41779</v>
      </c>
      <c r="I329" s="619" t="n">
        <v>27.35</v>
      </c>
      <c r="J329" s="9" t="n"/>
    </row>
    <row r="330" ht="18" customHeight="1" s="331">
      <c r="A330" s="33" t="n">
        <v>325</v>
      </c>
      <c r="B330" s="23" t="inlineStr">
        <is>
          <t>438229</t>
        </is>
      </c>
      <c r="C330" s="596" t="n">
        <v>41779</v>
      </c>
      <c r="D330" s="619" t="n">
        <v>29.44</v>
      </c>
      <c r="E330" s="11" t="inlineStr">
        <is>
          <t>S G L CAMBODIA</t>
        </is>
      </c>
      <c r="F330" s="10" t="inlineStr">
        <is>
          <t>100119816</t>
        </is>
      </c>
      <c r="G330" s="23" t="inlineStr">
        <is>
          <t>438229</t>
        </is>
      </c>
      <c r="H330" s="596" t="n">
        <v>41779</v>
      </c>
      <c r="I330" s="619" t="n">
        <v>29.44</v>
      </c>
      <c r="J330" s="9" t="n"/>
    </row>
    <row r="331" ht="18" customHeight="1" s="331">
      <c r="A331" s="33" t="n">
        <v>326</v>
      </c>
      <c r="B331" s="23" t="inlineStr">
        <is>
          <t>438300</t>
        </is>
      </c>
      <c r="C331" s="596" t="n">
        <v>41786</v>
      </c>
      <c r="D331" s="619" t="n">
        <v>28.01</v>
      </c>
      <c r="E331" s="11" t="inlineStr">
        <is>
          <t>S G L CAMBODIA</t>
        </is>
      </c>
      <c r="F331" s="10" t="inlineStr">
        <is>
          <t>100119816</t>
        </is>
      </c>
      <c r="G331" s="23" t="inlineStr">
        <is>
          <t>438300</t>
        </is>
      </c>
      <c r="H331" s="596" t="n">
        <v>41786</v>
      </c>
      <c r="I331" s="619" t="n">
        <v>28.01</v>
      </c>
      <c r="J331" s="9" t="n"/>
    </row>
    <row r="332" ht="18" customHeight="1" s="331">
      <c r="A332" s="33" t="n">
        <v>327</v>
      </c>
      <c r="B332" s="24" t="inlineStr">
        <is>
          <t>438410</t>
        </is>
      </c>
      <c r="C332" s="596" t="n">
        <v>41793</v>
      </c>
      <c r="D332" s="619" t="n">
        <v>22.1</v>
      </c>
      <c r="E332" s="11" t="inlineStr">
        <is>
          <t>S G L CAMBODIA</t>
        </is>
      </c>
      <c r="F332" s="10" t="inlineStr">
        <is>
          <t>100119816</t>
        </is>
      </c>
      <c r="G332" s="24" t="inlineStr">
        <is>
          <t>438410</t>
        </is>
      </c>
      <c r="H332" s="596" t="n">
        <v>41793</v>
      </c>
      <c r="I332" s="619" t="n">
        <v>22.1</v>
      </c>
      <c r="J332" s="9" t="n"/>
    </row>
    <row r="333" ht="18" customHeight="1" s="331">
      <c r="A333" s="33" t="n">
        <v>328</v>
      </c>
      <c r="B333" s="24" t="inlineStr">
        <is>
          <t>438441</t>
        </is>
      </c>
      <c r="C333" s="596" t="n">
        <v>41793</v>
      </c>
      <c r="D333" s="619" t="n">
        <v>30.9</v>
      </c>
      <c r="E333" s="11" t="inlineStr">
        <is>
          <t>S G L CAMBODIA</t>
        </is>
      </c>
      <c r="F333" s="10" t="inlineStr">
        <is>
          <t>100119816</t>
        </is>
      </c>
      <c r="G333" s="24" t="inlineStr">
        <is>
          <t>438441</t>
        </is>
      </c>
      <c r="H333" s="596" t="n">
        <v>41793</v>
      </c>
      <c r="I333" s="619" t="n">
        <v>30.9</v>
      </c>
      <c r="J333" s="9" t="n"/>
    </row>
    <row r="334" ht="18" customHeight="1" s="331">
      <c r="A334" s="33" t="n">
        <v>329</v>
      </c>
      <c r="B334" s="24" t="inlineStr">
        <is>
          <t>438454</t>
        </is>
      </c>
      <c r="C334" s="596" t="n">
        <v>41793</v>
      </c>
      <c r="D334" s="619" t="n">
        <v>45.25</v>
      </c>
      <c r="E334" s="11" t="inlineStr">
        <is>
          <t>S G L CAMBODIA</t>
        </is>
      </c>
      <c r="F334" s="10" t="inlineStr">
        <is>
          <t>100119816</t>
        </is>
      </c>
      <c r="G334" s="24" t="inlineStr">
        <is>
          <t>438454</t>
        </is>
      </c>
      <c r="H334" s="596" t="n">
        <v>41793</v>
      </c>
      <c r="I334" s="619" t="n">
        <v>45.25</v>
      </c>
      <c r="J334" s="9" t="n"/>
    </row>
    <row r="335" ht="18" customHeight="1" s="331">
      <c r="A335" s="33" t="n">
        <v>330</v>
      </c>
      <c r="B335" s="24" t="inlineStr">
        <is>
          <t>438563</t>
        </is>
      </c>
      <c r="C335" s="596" t="n">
        <v>41799</v>
      </c>
      <c r="D335" s="619" t="n">
        <v>31.74</v>
      </c>
      <c r="E335" s="11" t="inlineStr">
        <is>
          <t>S G L CAMBODIA</t>
        </is>
      </c>
      <c r="F335" s="10" t="inlineStr">
        <is>
          <t>100119816</t>
        </is>
      </c>
      <c r="G335" s="24" t="inlineStr">
        <is>
          <t>438563</t>
        </is>
      </c>
      <c r="H335" s="596" t="n">
        <v>41799</v>
      </c>
      <c r="I335" s="619" t="n">
        <v>31.74</v>
      </c>
      <c r="J335" s="9" t="n"/>
    </row>
    <row r="336" ht="18" customHeight="1" s="331">
      <c r="A336" s="33" t="n">
        <v>331</v>
      </c>
      <c r="B336" s="24" t="inlineStr">
        <is>
          <t>438588</t>
        </is>
      </c>
      <c r="C336" s="596" t="n">
        <v>41799</v>
      </c>
      <c r="D336" s="619" t="n">
        <v>104.78</v>
      </c>
      <c r="E336" s="11" t="inlineStr">
        <is>
          <t>S G L CAMBODIA</t>
        </is>
      </c>
      <c r="F336" s="10" t="inlineStr">
        <is>
          <t>100119816</t>
        </is>
      </c>
      <c r="G336" s="24" t="inlineStr">
        <is>
          <t>438588</t>
        </is>
      </c>
      <c r="H336" s="596" t="n">
        <v>41799</v>
      </c>
      <c r="I336" s="619" t="n">
        <v>104.78</v>
      </c>
      <c r="J336" s="9" t="n"/>
    </row>
    <row r="337" ht="18" customHeight="1" s="331">
      <c r="A337" s="33" t="n">
        <v>332</v>
      </c>
      <c r="B337" s="24" t="inlineStr">
        <is>
          <t>438599</t>
        </is>
      </c>
      <c r="C337" s="596" t="n">
        <v>41800</v>
      </c>
      <c r="D337" s="619" t="n">
        <v>32.6</v>
      </c>
      <c r="E337" s="11" t="inlineStr">
        <is>
          <t>S G L CAMBODIA</t>
        </is>
      </c>
      <c r="F337" s="10" t="inlineStr">
        <is>
          <t>100119816</t>
        </is>
      </c>
      <c r="G337" s="24" t="inlineStr">
        <is>
          <t>438599</t>
        </is>
      </c>
      <c r="H337" s="596" t="n">
        <v>41800</v>
      </c>
      <c r="I337" s="619" t="n">
        <v>32.6</v>
      </c>
      <c r="J337" s="9" t="n"/>
    </row>
    <row r="338" ht="18" customHeight="1" s="331">
      <c r="A338" s="33" t="n">
        <v>333</v>
      </c>
      <c r="B338" s="24" t="inlineStr">
        <is>
          <t>438628</t>
        </is>
      </c>
      <c r="C338" s="596" t="n">
        <v>41800</v>
      </c>
      <c r="D338" s="619" t="n">
        <v>42.96</v>
      </c>
      <c r="E338" s="11" t="inlineStr">
        <is>
          <t>S G L CAMBODIA</t>
        </is>
      </c>
      <c r="F338" s="10" t="inlineStr">
        <is>
          <t>100119816</t>
        </is>
      </c>
      <c r="G338" s="24" t="inlineStr">
        <is>
          <t>438628</t>
        </is>
      </c>
      <c r="H338" s="596" t="n">
        <v>41800</v>
      </c>
      <c r="I338" s="619" t="n">
        <v>42.96</v>
      </c>
      <c r="J338" s="9" t="n"/>
    </row>
    <row r="339" ht="18" customHeight="1" s="331">
      <c r="A339" s="33" t="n">
        <v>334</v>
      </c>
      <c r="B339" s="24" t="inlineStr">
        <is>
          <t>438639</t>
        </is>
      </c>
      <c r="C339" s="596" t="n">
        <v>41800</v>
      </c>
      <c r="D339" s="619" t="n">
        <v>112.27</v>
      </c>
      <c r="E339" s="11" t="inlineStr">
        <is>
          <t>S G L CAMBODIA</t>
        </is>
      </c>
      <c r="F339" s="10" t="inlineStr">
        <is>
          <t>100119816</t>
        </is>
      </c>
      <c r="G339" s="24" t="inlineStr">
        <is>
          <t>438639</t>
        </is>
      </c>
      <c r="H339" s="596" t="n">
        <v>41800</v>
      </c>
      <c r="I339" s="619" t="n">
        <v>112.27</v>
      </c>
      <c r="J339" s="9" t="n"/>
    </row>
    <row r="340" ht="18" customHeight="1" s="331">
      <c r="A340" s="33" t="n">
        <v>335</v>
      </c>
      <c r="B340" s="24" t="inlineStr">
        <is>
          <t>438661</t>
        </is>
      </c>
      <c r="C340" s="596" t="n">
        <v>41800</v>
      </c>
      <c r="D340" s="619" t="n">
        <v>31.53</v>
      </c>
      <c r="E340" s="11" t="inlineStr">
        <is>
          <t>S G L CAMBODIA</t>
        </is>
      </c>
      <c r="F340" s="10" t="inlineStr">
        <is>
          <t>100119816</t>
        </is>
      </c>
      <c r="G340" s="24" t="inlineStr">
        <is>
          <t>438661</t>
        </is>
      </c>
      <c r="H340" s="596" t="n">
        <v>41800</v>
      </c>
      <c r="I340" s="619" t="n">
        <v>31.53</v>
      </c>
      <c r="J340" s="9" t="n"/>
    </row>
    <row r="341" ht="18" customHeight="1" s="331">
      <c r="A341" s="33" t="n">
        <v>336</v>
      </c>
      <c r="B341" s="24" t="inlineStr">
        <is>
          <t>438681</t>
        </is>
      </c>
      <c r="C341" s="596" t="n">
        <v>41800</v>
      </c>
      <c r="D341" s="619" t="n">
        <v>35.45</v>
      </c>
      <c r="E341" s="11" t="inlineStr">
        <is>
          <t>S G L CAMBODIA</t>
        </is>
      </c>
      <c r="F341" s="10" t="inlineStr">
        <is>
          <t>100119816</t>
        </is>
      </c>
      <c r="G341" s="24" t="inlineStr">
        <is>
          <t>438681</t>
        </is>
      </c>
      <c r="H341" s="596" t="n">
        <v>41800</v>
      </c>
      <c r="I341" s="619" t="n">
        <v>35.45</v>
      </c>
      <c r="J341" s="9" t="n"/>
    </row>
    <row r="342" ht="18" customHeight="1" s="331">
      <c r="A342" s="33" t="n">
        <v>337</v>
      </c>
      <c r="B342" s="24" t="inlineStr">
        <is>
          <t>438820</t>
        </is>
      </c>
      <c r="C342" s="596" t="n">
        <v>41806</v>
      </c>
      <c r="D342" s="619" t="n">
        <v>29.64</v>
      </c>
      <c r="E342" s="11" t="inlineStr">
        <is>
          <t>S G L CAMBODIA</t>
        </is>
      </c>
      <c r="F342" s="10" t="inlineStr">
        <is>
          <t>100119816</t>
        </is>
      </c>
      <c r="G342" s="24" t="inlineStr">
        <is>
          <t>438820</t>
        </is>
      </c>
      <c r="H342" s="596" t="n">
        <v>41806</v>
      </c>
      <c r="I342" s="619" t="n">
        <v>29.64</v>
      </c>
      <c r="J342" s="9" t="n"/>
    </row>
    <row r="343" ht="18" customHeight="1" s="331">
      <c r="A343" s="33" t="n">
        <v>338</v>
      </c>
      <c r="B343" s="24" t="inlineStr">
        <is>
          <t>438839</t>
        </is>
      </c>
      <c r="C343" s="596" t="n">
        <v>41806</v>
      </c>
      <c r="D343" s="619" t="n">
        <v>63.68</v>
      </c>
      <c r="E343" s="11" t="inlineStr">
        <is>
          <t>S G L CAMBODIA</t>
        </is>
      </c>
      <c r="F343" s="10" t="inlineStr">
        <is>
          <t>100119816</t>
        </is>
      </c>
      <c r="G343" s="24" t="inlineStr">
        <is>
          <t>438839</t>
        </is>
      </c>
      <c r="H343" s="596" t="n">
        <v>41806</v>
      </c>
      <c r="I343" s="619" t="n">
        <v>63.68</v>
      </c>
      <c r="J343" s="9" t="n"/>
    </row>
    <row r="344" ht="18" customHeight="1" s="331">
      <c r="A344" s="33" t="n">
        <v>341</v>
      </c>
      <c r="B344" s="24" t="inlineStr">
        <is>
          <t>438852</t>
        </is>
      </c>
      <c r="C344" s="596" t="n">
        <v>41807</v>
      </c>
      <c r="D344" s="619" t="n">
        <v>77.8</v>
      </c>
      <c r="E344" s="11" t="inlineStr">
        <is>
          <t>S G L CAMBODIA</t>
        </is>
      </c>
      <c r="F344" s="10" t="inlineStr">
        <is>
          <t>100119816</t>
        </is>
      </c>
      <c r="G344" s="24" t="inlineStr">
        <is>
          <t>438852</t>
        </is>
      </c>
      <c r="H344" s="596" t="n">
        <v>41807</v>
      </c>
      <c r="I344" s="619" t="n">
        <v>77.8</v>
      </c>
      <c r="J344" s="9" t="n"/>
    </row>
    <row r="345" ht="18" customHeight="1" s="331">
      <c r="A345" s="33" t="n">
        <v>342</v>
      </c>
      <c r="B345" s="24" t="inlineStr">
        <is>
          <t>438870</t>
        </is>
      </c>
      <c r="C345" s="596" t="n">
        <v>41807</v>
      </c>
      <c r="D345" s="619" t="n">
        <v>36.52</v>
      </c>
      <c r="E345" s="11" t="inlineStr">
        <is>
          <t>S G L CAMBODIA</t>
        </is>
      </c>
      <c r="F345" s="10" t="inlineStr">
        <is>
          <t>100119816</t>
        </is>
      </c>
      <c r="G345" s="24" t="inlineStr">
        <is>
          <t>438870</t>
        </is>
      </c>
      <c r="H345" s="596" t="n">
        <v>41807</v>
      </c>
      <c r="I345" s="619" t="n">
        <v>36.52</v>
      </c>
      <c r="J345" s="9" t="n"/>
    </row>
    <row r="346" ht="18" customHeight="1" s="331">
      <c r="A346" s="33" t="n">
        <v>343</v>
      </c>
      <c r="B346" s="24" t="inlineStr">
        <is>
          <t>438882</t>
        </is>
      </c>
      <c r="C346" s="596" t="n">
        <v>41807</v>
      </c>
      <c r="D346" s="619" t="n">
        <v>6.5</v>
      </c>
      <c r="E346" s="11" t="inlineStr">
        <is>
          <t>S G L CAMBODIA</t>
        </is>
      </c>
      <c r="F346" s="10" t="inlineStr">
        <is>
          <t>100119816</t>
        </is>
      </c>
      <c r="G346" s="24" t="inlineStr">
        <is>
          <t>438882</t>
        </is>
      </c>
      <c r="H346" s="596" t="n">
        <v>41807</v>
      </c>
      <c r="I346" s="619" t="n">
        <v>6.5</v>
      </c>
      <c r="J346" s="9" t="n"/>
    </row>
    <row r="347" ht="18" customHeight="1" s="331">
      <c r="A347" s="33" t="n">
        <v>344</v>
      </c>
      <c r="B347" s="24" t="inlineStr">
        <is>
          <t>438890</t>
        </is>
      </c>
      <c r="C347" s="596" t="n">
        <v>41807</v>
      </c>
      <c r="D347" s="619" t="n">
        <v>27.35</v>
      </c>
      <c r="E347" s="11" t="inlineStr">
        <is>
          <t>S G L CAMBODIA</t>
        </is>
      </c>
      <c r="F347" s="10" t="inlineStr">
        <is>
          <t>100119816</t>
        </is>
      </c>
      <c r="G347" s="24" t="inlineStr">
        <is>
          <t>438890</t>
        </is>
      </c>
      <c r="H347" s="596" t="n">
        <v>41807</v>
      </c>
      <c r="I347" s="619" t="n">
        <v>27.35</v>
      </c>
      <c r="J347" s="9" t="n"/>
    </row>
    <row r="348" ht="18" customHeight="1" s="331">
      <c r="A348" s="33" t="n">
        <v>345</v>
      </c>
      <c r="B348" s="24" t="inlineStr">
        <is>
          <t>438944</t>
        </is>
      </c>
      <c r="C348" s="596" t="n">
        <v>41809</v>
      </c>
      <c r="D348" s="619" t="n">
        <v>6.5</v>
      </c>
      <c r="E348" s="11" t="inlineStr">
        <is>
          <t>S G L CAMBODIA</t>
        </is>
      </c>
      <c r="F348" s="10" t="inlineStr">
        <is>
          <t>100119816</t>
        </is>
      </c>
      <c r="G348" s="24" t="inlineStr">
        <is>
          <t>438944</t>
        </is>
      </c>
      <c r="H348" s="596" t="n">
        <v>41809</v>
      </c>
      <c r="I348" s="619" t="n">
        <v>6.5</v>
      </c>
      <c r="J348" s="9" t="n"/>
    </row>
    <row r="349" ht="18" customHeight="1" s="331">
      <c r="A349" s="33" t="n">
        <v>346</v>
      </c>
      <c r="B349" s="24" t="inlineStr">
        <is>
          <t>438952</t>
        </is>
      </c>
      <c r="C349" s="596" t="n">
        <v>41810</v>
      </c>
      <c r="D349" s="619" t="n">
        <v>6.5</v>
      </c>
      <c r="E349" s="11" t="inlineStr">
        <is>
          <t>S G L CAMBODIA</t>
        </is>
      </c>
      <c r="F349" s="10" t="inlineStr">
        <is>
          <t>100119816</t>
        </is>
      </c>
      <c r="G349" s="24" t="inlineStr">
        <is>
          <t>438952</t>
        </is>
      </c>
      <c r="H349" s="596" t="n">
        <v>41810</v>
      </c>
      <c r="I349" s="619" t="n">
        <v>6.5</v>
      </c>
      <c r="J349" s="9" t="n"/>
    </row>
    <row r="350" ht="18" customHeight="1" s="331">
      <c r="A350" s="33" t="n">
        <v>347</v>
      </c>
      <c r="B350" s="24" t="inlineStr">
        <is>
          <t>438982</t>
        </is>
      </c>
      <c r="C350" s="596" t="n">
        <v>41813</v>
      </c>
      <c r="D350" s="619" t="n">
        <v>31.41</v>
      </c>
      <c r="E350" s="11" t="inlineStr">
        <is>
          <t>S G L CAMBODIA</t>
        </is>
      </c>
      <c r="F350" s="10" t="inlineStr">
        <is>
          <t>100119816</t>
        </is>
      </c>
      <c r="G350" s="24" t="inlineStr">
        <is>
          <t>438982</t>
        </is>
      </c>
      <c r="H350" s="596" t="n">
        <v>41813</v>
      </c>
      <c r="I350" s="619" t="n">
        <v>31.41</v>
      </c>
      <c r="J350" s="9" t="n"/>
    </row>
    <row r="351" ht="18" customHeight="1" s="331">
      <c r="A351" s="33" t="n">
        <v>348</v>
      </c>
      <c r="B351" s="24" t="inlineStr">
        <is>
          <t>439055</t>
        </is>
      </c>
      <c r="C351" s="596" t="n">
        <v>41814</v>
      </c>
      <c r="D351" s="619" t="n">
        <v>62.52</v>
      </c>
      <c r="E351" s="11" t="inlineStr">
        <is>
          <t>S G L CAMBODIA</t>
        </is>
      </c>
      <c r="F351" s="10" t="inlineStr">
        <is>
          <t>100119816</t>
        </is>
      </c>
      <c r="G351" s="24" t="inlineStr">
        <is>
          <t>439055</t>
        </is>
      </c>
      <c r="H351" s="596" t="n">
        <v>41814</v>
      </c>
      <c r="I351" s="619" t="n">
        <v>62.52</v>
      </c>
      <c r="J351" s="9" t="n"/>
    </row>
    <row r="352" ht="18" customHeight="1" s="331">
      <c r="A352" s="33" t="n">
        <v>349</v>
      </c>
      <c r="B352" s="24" t="inlineStr">
        <is>
          <t>439139</t>
        </is>
      </c>
      <c r="C352" s="596" t="n">
        <v>41820</v>
      </c>
      <c r="D352" s="619" t="n">
        <v>30.38</v>
      </c>
      <c r="E352" s="11" t="inlineStr">
        <is>
          <t>S G L CAMBODIA</t>
        </is>
      </c>
      <c r="F352" s="10" t="inlineStr">
        <is>
          <t>100119816</t>
        </is>
      </c>
      <c r="G352" s="24" t="inlineStr">
        <is>
          <t>439139</t>
        </is>
      </c>
      <c r="H352" s="596" t="n">
        <v>41820</v>
      </c>
      <c r="I352" s="619" t="n">
        <v>30.38</v>
      </c>
      <c r="J352" s="9" t="n"/>
    </row>
    <row r="353" ht="18" customHeight="1" s="331">
      <c r="A353" s="33" t="n">
        <v>350</v>
      </c>
      <c r="B353" s="24" t="inlineStr">
        <is>
          <t>439185</t>
        </is>
      </c>
      <c r="C353" s="596" t="n">
        <v>41820</v>
      </c>
      <c r="D353" s="619" t="n">
        <v>23.41</v>
      </c>
      <c r="E353" s="11" t="inlineStr">
        <is>
          <t>S G L CAMBODIA</t>
        </is>
      </c>
      <c r="F353" s="10" t="inlineStr">
        <is>
          <t>100119816</t>
        </is>
      </c>
      <c r="G353" s="24" t="inlineStr">
        <is>
          <t>439185</t>
        </is>
      </c>
      <c r="H353" s="596" t="n">
        <v>41820</v>
      </c>
      <c r="I353" s="619" t="n">
        <v>23.41</v>
      </c>
      <c r="J353" s="9" t="n"/>
    </row>
    <row r="354" ht="18" customHeight="1" s="331">
      <c r="A354" s="33" t="n">
        <v>351</v>
      </c>
      <c r="B354" s="24" t="inlineStr">
        <is>
          <t>439416</t>
        </is>
      </c>
      <c r="C354" s="596" t="n">
        <v>41828</v>
      </c>
      <c r="D354" s="619" t="n">
        <v>37.2</v>
      </c>
      <c r="E354" s="11" t="inlineStr">
        <is>
          <t>S G L CAMBODIA</t>
        </is>
      </c>
      <c r="F354" s="10" t="inlineStr">
        <is>
          <t>100119816</t>
        </is>
      </c>
      <c r="G354" s="24" t="inlineStr">
        <is>
          <t>439416</t>
        </is>
      </c>
      <c r="H354" s="596" t="n">
        <v>41828</v>
      </c>
      <c r="I354" s="619" t="n">
        <v>37.2</v>
      </c>
      <c r="J354" s="9" t="n"/>
    </row>
    <row r="355" ht="18" customHeight="1" s="331">
      <c r="A355" s="33" t="n">
        <v>352</v>
      </c>
      <c r="B355" s="24" t="inlineStr">
        <is>
          <t>439444</t>
        </is>
      </c>
      <c r="C355" s="596" t="n">
        <v>41828</v>
      </c>
      <c r="D355" s="619" t="n">
        <v>22.3</v>
      </c>
      <c r="E355" s="11" t="inlineStr">
        <is>
          <t>S G L CAMBODIA</t>
        </is>
      </c>
      <c r="F355" s="10" t="inlineStr">
        <is>
          <t>100119816</t>
        </is>
      </c>
      <c r="G355" s="24" t="inlineStr">
        <is>
          <t>439444</t>
        </is>
      </c>
      <c r="H355" s="596" t="n">
        <v>41828</v>
      </c>
      <c r="I355" s="619" t="n">
        <v>22.3</v>
      </c>
      <c r="J355" s="9" t="n"/>
    </row>
    <row r="356" ht="18" customHeight="1" s="331">
      <c r="A356" s="33" t="n">
        <v>353</v>
      </c>
      <c r="B356" s="24" t="inlineStr">
        <is>
          <t>439445</t>
        </is>
      </c>
      <c r="C356" s="596" t="n">
        <v>41828</v>
      </c>
      <c r="D356" s="619" t="n">
        <v>38.53</v>
      </c>
      <c r="E356" s="11" t="inlineStr">
        <is>
          <t>S G L CAMBODIA</t>
        </is>
      </c>
      <c r="F356" s="10" t="inlineStr">
        <is>
          <t>100119816</t>
        </is>
      </c>
      <c r="G356" s="24" t="inlineStr">
        <is>
          <t>439445</t>
        </is>
      </c>
      <c r="H356" s="596" t="n">
        <v>41828</v>
      </c>
      <c r="I356" s="619" t="n">
        <v>38.53</v>
      </c>
      <c r="J356" s="9" t="n"/>
    </row>
    <row r="357" ht="18" customHeight="1" s="331">
      <c r="A357" s="33" t="n">
        <v>354</v>
      </c>
      <c r="B357" s="24" t="inlineStr">
        <is>
          <t>439613</t>
        </is>
      </c>
      <c r="C357" s="596" t="n">
        <v>41835</v>
      </c>
      <c r="D357" s="619" t="n">
        <v>88.75</v>
      </c>
      <c r="E357" s="11" t="inlineStr">
        <is>
          <t>S G L CAMBODIA</t>
        </is>
      </c>
      <c r="F357" s="10" t="inlineStr">
        <is>
          <t>100119816</t>
        </is>
      </c>
      <c r="G357" s="24" t="inlineStr">
        <is>
          <t>439613</t>
        </is>
      </c>
      <c r="H357" s="596" t="n">
        <v>41835</v>
      </c>
      <c r="I357" s="619" t="n">
        <v>88.75</v>
      </c>
      <c r="J357" s="9" t="n"/>
    </row>
    <row r="358" ht="18" customHeight="1" s="331">
      <c r="A358" s="33" t="n">
        <v>355</v>
      </c>
      <c r="B358" s="24" t="inlineStr">
        <is>
          <t>439621</t>
        </is>
      </c>
      <c r="C358" s="596" t="n">
        <v>41835</v>
      </c>
      <c r="D358" s="619" t="n">
        <v>142.73</v>
      </c>
      <c r="E358" s="11" t="inlineStr">
        <is>
          <t>S G L CAMBODIA</t>
        </is>
      </c>
      <c r="F358" s="10" t="inlineStr">
        <is>
          <t>100119816</t>
        </is>
      </c>
      <c r="G358" s="24" t="inlineStr">
        <is>
          <t>439621</t>
        </is>
      </c>
      <c r="H358" s="596" t="n">
        <v>41835</v>
      </c>
      <c r="I358" s="619" t="n">
        <v>142.73</v>
      </c>
      <c r="J358" s="9" t="n"/>
    </row>
    <row r="359" ht="18" customHeight="1" s="331">
      <c r="A359" s="33" t="n">
        <v>356</v>
      </c>
      <c r="B359" s="24" t="inlineStr">
        <is>
          <t>439627</t>
        </is>
      </c>
      <c r="C359" s="596" t="n">
        <v>41835</v>
      </c>
      <c r="D359" s="619" t="n">
        <v>22.3</v>
      </c>
      <c r="E359" s="11" t="inlineStr">
        <is>
          <t>S G L CAMBODIA</t>
        </is>
      </c>
      <c r="F359" s="10" t="inlineStr">
        <is>
          <t>100119816</t>
        </is>
      </c>
      <c r="G359" s="24" t="inlineStr">
        <is>
          <t>439627</t>
        </is>
      </c>
      <c r="H359" s="596" t="n">
        <v>41835</v>
      </c>
      <c r="I359" s="619" t="n">
        <v>22.3</v>
      </c>
      <c r="J359" s="9" t="n"/>
    </row>
    <row r="360" ht="18" customHeight="1" s="331">
      <c r="A360" s="33" t="n">
        <v>357</v>
      </c>
      <c r="B360" s="24" t="inlineStr">
        <is>
          <t>439695</t>
        </is>
      </c>
      <c r="C360" s="596" t="n">
        <v>41835</v>
      </c>
      <c r="D360" s="619" t="n">
        <v>5</v>
      </c>
      <c r="E360" s="11" t="inlineStr">
        <is>
          <t>S G L CAMBODIA</t>
        </is>
      </c>
      <c r="F360" s="10" t="inlineStr">
        <is>
          <t>100119816</t>
        </is>
      </c>
      <c r="G360" s="24" t="inlineStr">
        <is>
          <t>439695</t>
        </is>
      </c>
      <c r="H360" s="596" t="n">
        <v>41835</v>
      </c>
      <c r="I360" s="619" t="n">
        <v>5</v>
      </c>
      <c r="J360" s="9" t="n"/>
    </row>
    <row r="361" ht="18" customHeight="1" s="331">
      <c r="A361" s="33" t="n">
        <v>358</v>
      </c>
      <c r="B361" s="24" t="inlineStr">
        <is>
          <t>439710</t>
        </is>
      </c>
      <c r="C361" s="596" t="n">
        <v>41837</v>
      </c>
      <c r="D361" s="619" t="n">
        <v>5</v>
      </c>
      <c r="E361" s="11" t="inlineStr">
        <is>
          <t>S G L CAMBODIA</t>
        </is>
      </c>
      <c r="F361" s="10" t="inlineStr">
        <is>
          <t>100119816</t>
        </is>
      </c>
      <c r="G361" s="24" t="inlineStr">
        <is>
          <t>439710</t>
        </is>
      </c>
      <c r="H361" s="596" t="n">
        <v>41837</v>
      </c>
      <c r="I361" s="619" t="n">
        <v>5</v>
      </c>
      <c r="J361" s="9" t="n"/>
    </row>
    <row r="362" ht="18" customHeight="1" s="331">
      <c r="A362" s="33" t="n">
        <v>359</v>
      </c>
      <c r="B362" s="24" t="inlineStr">
        <is>
          <t>439711</t>
        </is>
      </c>
      <c r="C362" s="596" t="n">
        <v>41837</v>
      </c>
      <c r="D362" s="619" t="n">
        <v>5</v>
      </c>
      <c r="E362" s="11" t="inlineStr">
        <is>
          <t>S G L CAMBODIA</t>
        </is>
      </c>
      <c r="F362" s="10" t="inlineStr">
        <is>
          <t>100119816</t>
        </is>
      </c>
      <c r="G362" s="24" t="inlineStr">
        <is>
          <t>439711</t>
        </is>
      </c>
      <c r="H362" s="596" t="n">
        <v>41837</v>
      </c>
      <c r="I362" s="619" t="n">
        <v>5</v>
      </c>
      <c r="J362" s="9" t="n"/>
    </row>
    <row r="363" ht="18" customHeight="1" s="331">
      <c r="A363" s="33" t="n">
        <v>360</v>
      </c>
      <c r="B363" s="24" t="inlineStr">
        <is>
          <t>439791</t>
        </is>
      </c>
      <c r="C363" s="596" t="n">
        <v>41842</v>
      </c>
      <c r="D363" s="619" t="n">
        <v>59.41</v>
      </c>
      <c r="E363" s="11" t="inlineStr">
        <is>
          <t>S G L CAMBODIA</t>
        </is>
      </c>
      <c r="F363" s="10" t="inlineStr">
        <is>
          <t>100119816</t>
        </is>
      </c>
      <c r="G363" s="24" t="inlineStr">
        <is>
          <t>439791</t>
        </is>
      </c>
      <c r="H363" s="596" t="n">
        <v>41842</v>
      </c>
      <c r="I363" s="619" t="n">
        <v>59.41</v>
      </c>
      <c r="J363" s="9" t="n"/>
    </row>
    <row r="364" ht="18" customHeight="1" s="331">
      <c r="A364" s="33" t="n">
        <v>361</v>
      </c>
      <c r="B364" s="24" t="inlineStr">
        <is>
          <t>1439974</t>
        </is>
      </c>
      <c r="C364" s="596" t="n">
        <v>41848</v>
      </c>
      <c r="D364" s="619" t="n">
        <v>5</v>
      </c>
      <c r="E364" s="11" t="inlineStr">
        <is>
          <t>S G L CAMBODIA</t>
        </is>
      </c>
      <c r="F364" s="10" t="inlineStr">
        <is>
          <t>100119816</t>
        </is>
      </c>
      <c r="G364" s="24" t="inlineStr">
        <is>
          <t>1439974</t>
        </is>
      </c>
      <c r="H364" s="596" t="n">
        <v>41848</v>
      </c>
      <c r="I364" s="619" t="n">
        <v>5</v>
      </c>
      <c r="J364" s="9" t="n"/>
    </row>
    <row r="365" ht="18" customHeight="1" s="331">
      <c r="A365" s="33" t="n">
        <v>362</v>
      </c>
      <c r="B365" s="24" t="inlineStr">
        <is>
          <t>437859</t>
        </is>
      </c>
      <c r="C365" s="596" t="n">
        <v>41765</v>
      </c>
      <c r="D365" s="619" t="n">
        <v>22.99</v>
      </c>
      <c r="E365" s="11" t="inlineStr">
        <is>
          <t>S G L CAMBODIA</t>
        </is>
      </c>
      <c r="F365" s="10" t="inlineStr">
        <is>
          <t>100119816</t>
        </is>
      </c>
      <c r="G365" s="42" t="inlineStr">
        <is>
          <t>437859</t>
        </is>
      </c>
      <c r="H365" s="596" t="n">
        <v>41765</v>
      </c>
      <c r="I365" s="619" t="n">
        <v>22.99</v>
      </c>
      <c r="J365" s="9" t="n"/>
    </row>
    <row r="366" ht="18" customHeight="1" s="331">
      <c r="A366" s="33" t="n">
        <v>363</v>
      </c>
      <c r="B366" s="24" t="inlineStr">
        <is>
          <t>437911</t>
        </is>
      </c>
      <c r="C366" s="596" t="n">
        <v>41765</v>
      </c>
      <c r="D366" s="619" t="n">
        <v>41.9</v>
      </c>
      <c r="E366" s="11" t="inlineStr">
        <is>
          <t>S G L CAMBODIA</t>
        </is>
      </c>
      <c r="F366" s="10" t="inlineStr">
        <is>
          <t>100119816</t>
        </is>
      </c>
      <c r="G366" s="42" t="inlineStr">
        <is>
          <t>437911</t>
        </is>
      </c>
      <c r="H366" s="596" t="n">
        <v>41765</v>
      </c>
      <c r="I366" s="619" t="n">
        <v>41.9</v>
      </c>
      <c r="J366" s="9" t="n"/>
    </row>
    <row r="367" ht="18" customHeight="1" s="331">
      <c r="A367" s="33" t="n">
        <v>364</v>
      </c>
      <c r="B367" s="24" t="inlineStr">
        <is>
          <t>449556</t>
        </is>
      </c>
      <c r="C367" s="596" t="n">
        <v>41765</v>
      </c>
      <c r="D367" s="619" t="n">
        <v>27.55</v>
      </c>
      <c r="E367" s="11" t="inlineStr">
        <is>
          <t>S G L CAMBODIA</t>
        </is>
      </c>
      <c r="F367" s="10" t="inlineStr">
        <is>
          <t>100119816</t>
        </is>
      </c>
      <c r="G367" s="42" t="inlineStr">
        <is>
          <t>449556</t>
        </is>
      </c>
      <c r="H367" s="596" t="n">
        <v>41765</v>
      </c>
      <c r="I367" s="619" t="n">
        <v>27.55</v>
      </c>
      <c r="J367" s="9" t="n"/>
    </row>
    <row r="368" ht="18" customHeight="1" s="331">
      <c r="A368" s="33" t="n">
        <v>365</v>
      </c>
      <c r="B368" s="24" t="inlineStr">
        <is>
          <t>437956</t>
        </is>
      </c>
      <c r="C368" s="596" t="n">
        <v>41766</v>
      </c>
      <c r="D368" s="619" t="n">
        <v>82.68000000000001</v>
      </c>
      <c r="E368" s="11" t="inlineStr">
        <is>
          <t>S G L CAMBODIA</t>
        </is>
      </c>
      <c r="F368" s="10" t="inlineStr">
        <is>
          <t>100119816</t>
        </is>
      </c>
      <c r="G368" s="42" t="inlineStr">
        <is>
          <t>437956</t>
        </is>
      </c>
      <c r="H368" s="596" t="n">
        <v>41766</v>
      </c>
      <c r="I368" s="619" t="n">
        <v>82.68000000000001</v>
      </c>
      <c r="J368" s="9" t="n"/>
    </row>
    <row r="369" ht="18" customHeight="1" s="331">
      <c r="A369" s="33" t="n">
        <v>366</v>
      </c>
      <c r="B369" s="24" t="inlineStr">
        <is>
          <t>440141</t>
        </is>
      </c>
      <c r="C369" s="596" t="n">
        <v>41856</v>
      </c>
      <c r="D369" s="619" t="n">
        <v>54.09</v>
      </c>
      <c r="E369" s="11" t="inlineStr">
        <is>
          <t>S G L CAMBODIA</t>
        </is>
      </c>
      <c r="F369" s="10" t="inlineStr">
        <is>
          <t>100119816</t>
        </is>
      </c>
      <c r="G369" s="24" t="inlineStr">
        <is>
          <t>440141</t>
        </is>
      </c>
      <c r="H369" s="596" t="n">
        <v>41856</v>
      </c>
      <c r="I369" s="619" t="n">
        <v>54.09</v>
      </c>
      <c r="J369" s="9" t="n"/>
    </row>
    <row r="370" ht="18" customHeight="1" s="331">
      <c r="A370" s="33" t="n">
        <v>367</v>
      </c>
      <c r="B370" s="24" t="inlineStr">
        <is>
          <t>440142</t>
        </is>
      </c>
      <c r="C370" s="596" t="n">
        <v>41856</v>
      </c>
      <c r="D370" s="619" t="n">
        <v>30.93</v>
      </c>
      <c r="E370" s="11" t="inlineStr">
        <is>
          <t>S G L CAMBODIA</t>
        </is>
      </c>
      <c r="F370" s="10" t="inlineStr">
        <is>
          <t>100119816</t>
        </is>
      </c>
      <c r="G370" s="24" t="inlineStr">
        <is>
          <t>440142</t>
        </is>
      </c>
      <c r="H370" s="596" t="n">
        <v>41856</v>
      </c>
      <c r="I370" s="619" t="n">
        <v>30.93</v>
      </c>
      <c r="J370" s="9" t="n"/>
    </row>
    <row r="371" ht="18" customHeight="1" s="331">
      <c r="A371" s="33" t="n">
        <v>368</v>
      </c>
      <c r="B371" s="24" t="inlineStr">
        <is>
          <t>440161</t>
        </is>
      </c>
      <c r="C371" s="596" t="n">
        <v>41856</v>
      </c>
      <c r="D371" s="619" t="n">
        <v>31.94</v>
      </c>
      <c r="E371" s="11" t="inlineStr">
        <is>
          <t>S G L CAMBODIA</t>
        </is>
      </c>
      <c r="F371" s="10" t="inlineStr">
        <is>
          <t>100119816</t>
        </is>
      </c>
      <c r="G371" s="24" t="inlineStr">
        <is>
          <t>440161</t>
        </is>
      </c>
      <c r="H371" s="596" t="n">
        <v>41856</v>
      </c>
      <c r="I371" s="619" t="n">
        <v>31.94</v>
      </c>
      <c r="J371" s="9" t="n"/>
    </row>
    <row r="372" ht="18" customHeight="1" s="331">
      <c r="A372" s="33" t="n">
        <v>369</v>
      </c>
      <c r="B372" s="24" t="inlineStr">
        <is>
          <t>440185</t>
        </is>
      </c>
      <c r="C372" s="596" t="n">
        <v>41856</v>
      </c>
      <c r="D372" s="619" t="n">
        <v>22.3</v>
      </c>
      <c r="E372" s="11" t="inlineStr">
        <is>
          <t>S G L CAMBODIA</t>
        </is>
      </c>
      <c r="F372" s="10" t="inlineStr">
        <is>
          <t>100119816</t>
        </is>
      </c>
      <c r="G372" s="24" t="inlineStr">
        <is>
          <t>440185</t>
        </is>
      </c>
      <c r="H372" s="596" t="n">
        <v>41856</v>
      </c>
      <c r="I372" s="619" t="n">
        <v>22.3</v>
      </c>
      <c r="J372" s="9" t="n"/>
    </row>
    <row r="373" ht="18" customHeight="1" s="331">
      <c r="A373" s="33" t="n">
        <v>370</v>
      </c>
      <c r="B373" s="24" t="inlineStr">
        <is>
          <t>440222</t>
        </is>
      </c>
      <c r="C373" s="596" t="n">
        <v>41856</v>
      </c>
      <c r="D373" s="619" t="n">
        <v>30.36</v>
      </c>
      <c r="E373" s="11" t="inlineStr">
        <is>
          <t>S G L CAMBODIA</t>
        </is>
      </c>
      <c r="F373" s="10" t="inlineStr">
        <is>
          <t>100119816</t>
        </is>
      </c>
      <c r="G373" s="24" t="inlineStr">
        <is>
          <t>440222</t>
        </is>
      </c>
      <c r="H373" s="596" t="n">
        <v>41856</v>
      </c>
      <c r="I373" s="619" t="n">
        <v>30.36</v>
      </c>
      <c r="J373" s="9" t="n"/>
    </row>
    <row r="374" ht="18" customHeight="1" s="331">
      <c r="A374" s="33" t="n">
        <v>371</v>
      </c>
      <c r="B374" s="24" t="inlineStr">
        <is>
          <t>440290</t>
        </is>
      </c>
      <c r="C374" s="596" t="n">
        <v>41858</v>
      </c>
      <c r="D374" s="619" t="n">
        <v>5</v>
      </c>
      <c r="E374" s="11" t="inlineStr">
        <is>
          <t>S G L CAMBODIA</t>
        </is>
      </c>
      <c r="F374" s="10" t="inlineStr">
        <is>
          <t>100119816</t>
        </is>
      </c>
      <c r="G374" s="24" t="inlineStr">
        <is>
          <t>440290</t>
        </is>
      </c>
      <c r="H374" s="596" t="n">
        <v>41858</v>
      </c>
      <c r="I374" s="619" t="n">
        <v>5</v>
      </c>
      <c r="J374" s="9" t="n"/>
    </row>
    <row r="375" ht="18" customHeight="1" s="331">
      <c r="A375" s="33" t="n">
        <v>372</v>
      </c>
      <c r="B375" s="24" t="inlineStr">
        <is>
          <t>440321</t>
        </is>
      </c>
      <c r="C375" s="596" t="n">
        <v>41862</v>
      </c>
      <c r="D375" s="619" t="n">
        <v>5</v>
      </c>
      <c r="E375" s="11" t="inlineStr">
        <is>
          <t>S G L CAMBODIA</t>
        </is>
      </c>
      <c r="F375" s="10" t="inlineStr">
        <is>
          <t>100119816</t>
        </is>
      </c>
      <c r="G375" s="24" t="inlineStr">
        <is>
          <t>440321</t>
        </is>
      </c>
      <c r="H375" s="596" t="n">
        <v>41862</v>
      </c>
      <c r="I375" s="619" t="n">
        <v>5</v>
      </c>
      <c r="J375" s="9" t="n"/>
    </row>
    <row r="376" ht="18" customHeight="1" s="331">
      <c r="A376" s="33" t="n">
        <v>373</v>
      </c>
      <c r="B376" s="24" t="inlineStr">
        <is>
          <t>440400</t>
        </is>
      </c>
      <c r="C376" s="596" t="n">
        <v>41863</v>
      </c>
      <c r="D376" s="619" t="n">
        <v>26.6</v>
      </c>
      <c r="E376" s="11" t="inlineStr">
        <is>
          <t>S G L CAMBODIA</t>
        </is>
      </c>
      <c r="F376" s="10" t="inlineStr">
        <is>
          <t>100119816</t>
        </is>
      </c>
      <c r="G376" s="24" t="inlineStr">
        <is>
          <t>440400</t>
        </is>
      </c>
      <c r="H376" s="596" t="n">
        <v>41863</v>
      </c>
      <c r="I376" s="619" t="n">
        <v>26.6</v>
      </c>
      <c r="J376" s="9" t="n"/>
    </row>
    <row r="377" ht="18" customHeight="1" s="331">
      <c r="A377" s="33" t="n">
        <v>374</v>
      </c>
      <c r="B377" s="24" t="inlineStr">
        <is>
          <t>440465</t>
        </is>
      </c>
      <c r="C377" s="596" t="n">
        <v>41863</v>
      </c>
      <c r="D377" s="619" t="n">
        <v>25.27</v>
      </c>
      <c r="E377" s="11" t="inlineStr">
        <is>
          <t>S G L CAMBODIA</t>
        </is>
      </c>
      <c r="F377" s="10" t="inlineStr">
        <is>
          <t>100119816</t>
        </is>
      </c>
      <c r="G377" s="24" t="inlineStr">
        <is>
          <t>440465</t>
        </is>
      </c>
      <c r="H377" s="596" t="n">
        <v>41863</v>
      </c>
      <c r="I377" s="619" t="n">
        <v>25.27</v>
      </c>
      <c r="J377" s="9" t="n"/>
    </row>
    <row r="378" ht="18" customHeight="1" s="331">
      <c r="A378" s="33" t="n">
        <v>375</v>
      </c>
      <c r="B378" s="24" t="inlineStr">
        <is>
          <t>440471</t>
        </is>
      </c>
      <c r="C378" s="596" t="n">
        <v>41863</v>
      </c>
      <c r="D378" s="619" t="n">
        <v>64.75</v>
      </c>
      <c r="E378" s="11" t="inlineStr">
        <is>
          <t>S G L CAMBODIA</t>
        </is>
      </c>
      <c r="F378" s="10" t="inlineStr">
        <is>
          <t>100119816</t>
        </is>
      </c>
      <c r="G378" s="24" t="inlineStr">
        <is>
          <t>440471</t>
        </is>
      </c>
      <c r="H378" s="596" t="n">
        <v>41863</v>
      </c>
      <c r="I378" s="619" t="n">
        <v>64.75</v>
      </c>
      <c r="J378" s="9" t="n"/>
    </row>
    <row r="379" ht="18" customHeight="1" s="331">
      <c r="A379" s="33" t="n">
        <v>376</v>
      </c>
      <c r="B379" s="24" t="inlineStr">
        <is>
          <t>440477</t>
        </is>
      </c>
      <c r="C379" s="596" t="n">
        <v>41863</v>
      </c>
      <c r="D379" s="619" t="n">
        <v>84.08</v>
      </c>
      <c r="E379" s="11" t="inlineStr">
        <is>
          <t>S G L CAMBODIA</t>
        </is>
      </c>
      <c r="F379" s="10" t="inlineStr">
        <is>
          <t>100119816</t>
        </is>
      </c>
      <c r="G379" s="24" t="inlineStr">
        <is>
          <t>440477</t>
        </is>
      </c>
      <c r="H379" s="596" t="n">
        <v>41863</v>
      </c>
      <c r="I379" s="619" t="n">
        <v>84.08</v>
      </c>
      <c r="J379" s="9" t="n"/>
    </row>
    <row r="380" ht="18" customHeight="1" s="331">
      <c r="A380" s="33" t="n">
        <v>377</v>
      </c>
      <c r="B380" s="24" t="inlineStr">
        <is>
          <t>440491</t>
        </is>
      </c>
      <c r="C380" s="596" t="n">
        <v>41863</v>
      </c>
      <c r="D380" s="619" t="n">
        <v>28.4</v>
      </c>
      <c r="E380" s="11" t="inlineStr">
        <is>
          <t>S G L CAMBODIA</t>
        </is>
      </c>
      <c r="F380" s="10" t="inlineStr">
        <is>
          <t>100119816</t>
        </is>
      </c>
      <c r="G380" s="24" t="inlineStr">
        <is>
          <t>440491</t>
        </is>
      </c>
      <c r="H380" s="596" t="n">
        <v>41863</v>
      </c>
      <c r="I380" s="619" t="n">
        <v>28.4</v>
      </c>
      <c r="J380" s="9" t="n"/>
    </row>
    <row r="381" ht="18" customHeight="1" s="331">
      <c r="A381" s="33" t="n">
        <v>378</v>
      </c>
      <c r="B381" s="24" t="inlineStr">
        <is>
          <t>440499</t>
        </is>
      </c>
      <c r="C381" s="596" t="n">
        <v>41863</v>
      </c>
      <c r="D381" s="619" t="n">
        <v>23.09</v>
      </c>
      <c r="E381" s="11" t="inlineStr">
        <is>
          <t>S G L CAMBODIA</t>
        </is>
      </c>
      <c r="F381" s="10" t="inlineStr">
        <is>
          <t>100119816</t>
        </is>
      </c>
      <c r="G381" s="24" t="inlineStr">
        <is>
          <t>440499</t>
        </is>
      </c>
      <c r="H381" s="596" t="n">
        <v>41863</v>
      </c>
      <c r="I381" s="619" t="n">
        <v>23.09</v>
      </c>
      <c r="J381" s="9" t="n"/>
    </row>
    <row r="382" ht="18" customHeight="1" s="331">
      <c r="A382" s="33" t="n">
        <v>379</v>
      </c>
      <c r="B382" s="24" t="inlineStr">
        <is>
          <t>440574</t>
        </is>
      </c>
      <c r="C382" s="596" t="n">
        <v>41869</v>
      </c>
      <c r="D382" s="619" t="n">
        <v>33.19</v>
      </c>
      <c r="E382" s="11" t="inlineStr">
        <is>
          <t>S G L CAMBODIA</t>
        </is>
      </c>
      <c r="F382" s="10" t="inlineStr">
        <is>
          <t>100119816</t>
        </is>
      </c>
      <c r="G382" s="24" t="inlineStr">
        <is>
          <t>440574</t>
        </is>
      </c>
      <c r="H382" s="596" t="n">
        <v>41869</v>
      </c>
      <c r="I382" s="619" t="n">
        <v>33.19</v>
      </c>
      <c r="J382" s="9" t="n"/>
    </row>
    <row r="383" ht="18" customHeight="1" s="331">
      <c r="A383" s="33" t="n">
        <v>380</v>
      </c>
      <c r="B383" s="24" t="inlineStr">
        <is>
          <t>440583</t>
        </is>
      </c>
      <c r="C383" s="596" t="n">
        <v>41869</v>
      </c>
      <c r="D383" s="619" t="n">
        <v>35.99</v>
      </c>
      <c r="E383" s="11" t="inlineStr">
        <is>
          <t>S G L CAMBODIA</t>
        </is>
      </c>
      <c r="F383" s="10" t="inlineStr">
        <is>
          <t>100119816</t>
        </is>
      </c>
      <c r="G383" s="24" t="inlineStr">
        <is>
          <t>440583</t>
        </is>
      </c>
      <c r="H383" s="596" t="n">
        <v>41869</v>
      </c>
      <c r="I383" s="619" t="n">
        <v>35.99</v>
      </c>
      <c r="J383" s="9" t="n"/>
    </row>
    <row r="384" ht="18" customHeight="1" s="331">
      <c r="A384" s="33" t="n">
        <v>381</v>
      </c>
      <c r="B384" s="24" t="inlineStr">
        <is>
          <t>440684</t>
        </is>
      </c>
      <c r="C384" s="596" t="n">
        <v>41876</v>
      </c>
      <c r="D384" s="619" t="n">
        <v>33.26</v>
      </c>
      <c r="E384" s="11" t="inlineStr">
        <is>
          <t>S G L CAMBODIA</t>
        </is>
      </c>
      <c r="F384" s="10" t="inlineStr">
        <is>
          <t>100119816</t>
        </is>
      </c>
      <c r="G384" s="24" t="inlineStr">
        <is>
          <t>440684</t>
        </is>
      </c>
      <c r="H384" s="596" t="n">
        <v>41876</v>
      </c>
      <c r="I384" s="619" t="n">
        <v>33.26</v>
      </c>
      <c r="J384" s="9" t="n"/>
    </row>
    <row r="385" ht="18" customHeight="1" s="331">
      <c r="A385" s="33" t="n">
        <v>382</v>
      </c>
      <c r="B385" s="24" t="inlineStr">
        <is>
          <t>440697</t>
        </is>
      </c>
      <c r="C385" s="596" t="n">
        <v>41876</v>
      </c>
      <c r="D385" s="619" t="n">
        <v>22.3</v>
      </c>
      <c r="E385" s="11" t="inlineStr">
        <is>
          <t>S G L CAMBODIA</t>
        </is>
      </c>
      <c r="F385" s="10" t="inlineStr">
        <is>
          <t>100119816</t>
        </is>
      </c>
      <c r="G385" s="24" t="inlineStr">
        <is>
          <t>440697</t>
        </is>
      </c>
      <c r="H385" s="596" t="n">
        <v>41876</v>
      </c>
      <c r="I385" s="619" t="n">
        <v>22.3</v>
      </c>
      <c r="J385" s="9" t="n"/>
    </row>
    <row r="386" ht="18" customHeight="1" s="331">
      <c r="A386" s="33" t="n">
        <v>383</v>
      </c>
      <c r="B386" s="24" t="inlineStr">
        <is>
          <t>440731</t>
        </is>
      </c>
      <c r="C386" s="596" t="n">
        <v>41876</v>
      </c>
      <c r="D386" s="619" t="n">
        <v>5</v>
      </c>
      <c r="E386" s="11" t="inlineStr">
        <is>
          <t>S G L CAMBODIA</t>
        </is>
      </c>
      <c r="F386" s="10" t="inlineStr">
        <is>
          <t>100119816</t>
        </is>
      </c>
      <c r="G386" s="24" t="inlineStr">
        <is>
          <t>440731</t>
        </is>
      </c>
      <c r="H386" s="596" t="n">
        <v>41876</v>
      </c>
      <c r="I386" s="619" t="n">
        <v>5</v>
      </c>
      <c r="J386" s="9" t="n"/>
    </row>
    <row r="387" ht="18" customHeight="1" s="331">
      <c r="A387" s="33" t="n">
        <v>384</v>
      </c>
      <c r="B387" s="24" t="inlineStr">
        <is>
          <t>440732</t>
        </is>
      </c>
      <c r="C387" s="596" t="n">
        <v>41876</v>
      </c>
      <c r="D387" s="619" t="n">
        <v>5</v>
      </c>
      <c r="E387" s="11" t="inlineStr">
        <is>
          <t>S G L CAMBODIA</t>
        </is>
      </c>
      <c r="F387" s="10" t="inlineStr">
        <is>
          <t>100119816</t>
        </is>
      </c>
      <c r="G387" s="24" t="inlineStr">
        <is>
          <t>440732</t>
        </is>
      </c>
      <c r="H387" s="596" t="n">
        <v>41876</v>
      </c>
      <c r="I387" s="619" t="n">
        <v>5</v>
      </c>
      <c r="J387" s="9" t="n"/>
    </row>
    <row r="388" ht="18" customHeight="1" s="331">
      <c r="A388" s="33" t="n">
        <v>385</v>
      </c>
      <c r="B388" s="24" t="inlineStr">
        <is>
          <t>440769</t>
        </is>
      </c>
      <c r="C388" s="596" t="n">
        <v>41877</v>
      </c>
      <c r="D388" s="619" t="n">
        <v>38.77</v>
      </c>
      <c r="E388" s="11" t="inlineStr">
        <is>
          <t>S G L CAMBODIA</t>
        </is>
      </c>
      <c r="F388" s="10" t="inlineStr">
        <is>
          <t>100119816</t>
        </is>
      </c>
      <c r="G388" s="24" t="inlineStr">
        <is>
          <t>440769</t>
        </is>
      </c>
      <c r="H388" s="596" t="n">
        <v>41877</v>
      </c>
      <c r="I388" s="619" t="n">
        <v>38.77</v>
      </c>
      <c r="J388" s="9" t="n"/>
    </row>
    <row r="389" ht="18" customHeight="1" s="331">
      <c r="A389" s="33" t="n">
        <v>386</v>
      </c>
      <c r="B389" s="24" t="inlineStr">
        <is>
          <t>440797</t>
        </is>
      </c>
      <c r="C389" s="596" t="n">
        <v>41877</v>
      </c>
      <c r="D389" s="619" t="n">
        <v>5</v>
      </c>
      <c r="E389" s="11" t="inlineStr">
        <is>
          <t>S G L CAMBODIA</t>
        </is>
      </c>
      <c r="F389" s="10" t="inlineStr">
        <is>
          <t>100119816</t>
        </is>
      </c>
      <c r="G389" s="24" t="inlineStr">
        <is>
          <t>440797</t>
        </is>
      </c>
      <c r="H389" s="596" t="n">
        <v>41877</v>
      </c>
      <c r="I389" s="619" t="n">
        <v>5</v>
      </c>
      <c r="J389" s="9" t="n"/>
    </row>
    <row r="390" ht="18" customHeight="1" s="331">
      <c r="A390" s="33" t="n">
        <v>387</v>
      </c>
      <c r="B390" s="24" t="inlineStr">
        <is>
          <t>440865</t>
        </is>
      </c>
      <c r="C390" s="596" t="n">
        <v>41881</v>
      </c>
      <c r="D390" s="619" t="n">
        <v>42.84</v>
      </c>
      <c r="E390" s="11" t="inlineStr">
        <is>
          <t>S G L CAMBODIA</t>
        </is>
      </c>
      <c r="F390" s="10" t="inlineStr">
        <is>
          <t>100119816</t>
        </is>
      </c>
      <c r="G390" s="24" t="inlineStr">
        <is>
          <t>440865</t>
        </is>
      </c>
      <c r="H390" s="596" t="n">
        <v>41881</v>
      </c>
      <c r="I390" s="619" t="n">
        <v>42.84</v>
      </c>
      <c r="J390" s="9" t="n"/>
    </row>
    <row r="391" ht="18" customHeight="1" s="331">
      <c r="A391" s="33" t="n">
        <v>388</v>
      </c>
      <c r="B391" s="24" t="inlineStr">
        <is>
          <t>440867</t>
        </is>
      </c>
      <c r="C391" s="596" t="n">
        <v>41881</v>
      </c>
      <c r="D391" s="619" t="n">
        <v>5</v>
      </c>
      <c r="E391" s="11" t="inlineStr">
        <is>
          <t>S G L CAMBODIA</t>
        </is>
      </c>
      <c r="F391" s="10" t="inlineStr">
        <is>
          <t>100119816</t>
        </is>
      </c>
      <c r="G391" s="24" t="inlineStr">
        <is>
          <t>440867</t>
        </is>
      </c>
      <c r="H391" s="596" t="n">
        <v>41881</v>
      </c>
      <c r="I391" s="619" t="n">
        <v>5</v>
      </c>
      <c r="J391" s="9" t="n"/>
    </row>
    <row r="392" ht="18" customHeight="1" s="331">
      <c r="A392" s="33" t="n">
        <v>389</v>
      </c>
      <c r="B392" s="24" t="inlineStr">
        <is>
          <t>440869</t>
        </is>
      </c>
      <c r="C392" s="596" t="n">
        <v>41881</v>
      </c>
      <c r="D392" s="619" t="n">
        <v>5</v>
      </c>
      <c r="E392" s="11" t="inlineStr">
        <is>
          <t>S G L CAMBODIA</t>
        </is>
      </c>
      <c r="F392" s="10" t="inlineStr">
        <is>
          <t>100119816</t>
        </is>
      </c>
      <c r="G392" s="24" t="inlineStr">
        <is>
          <t>440869</t>
        </is>
      </c>
      <c r="H392" s="596" t="n">
        <v>41881</v>
      </c>
      <c r="I392" s="619" t="n">
        <v>5</v>
      </c>
      <c r="J392" s="9" t="n"/>
    </row>
    <row r="393" ht="18" customHeight="1" s="331">
      <c r="A393" s="33" t="n">
        <v>390</v>
      </c>
      <c r="B393" s="24" t="inlineStr">
        <is>
          <t>440881</t>
        </is>
      </c>
      <c r="C393" s="596" t="n">
        <v>41881</v>
      </c>
      <c r="D393" s="619" t="n">
        <v>5</v>
      </c>
      <c r="E393" s="11" t="inlineStr">
        <is>
          <t>S G L CAMBODIA</t>
        </is>
      </c>
      <c r="F393" s="10" t="inlineStr">
        <is>
          <t>100119816</t>
        </is>
      </c>
      <c r="G393" s="24" t="inlineStr">
        <is>
          <t>440881</t>
        </is>
      </c>
      <c r="H393" s="596" t="n">
        <v>41881</v>
      </c>
      <c r="I393" s="619" t="n">
        <v>5</v>
      </c>
      <c r="J393" s="9" t="n"/>
    </row>
    <row r="394" ht="18" customHeight="1" s="331">
      <c r="A394" s="33" t="n">
        <v>391</v>
      </c>
      <c r="B394" s="24" t="inlineStr">
        <is>
          <t>440885</t>
        </is>
      </c>
      <c r="C394" s="596" t="n">
        <v>41882</v>
      </c>
      <c r="D394" s="619" t="n">
        <v>23.84</v>
      </c>
      <c r="E394" s="11" t="inlineStr">
        <is>
          <t>S G L CAMBODIA</t>
        </is>
      </c>
      <c r="F394" s="10" t="inlineStr">
        <is>
          <t>100119816</t>
        </is>
      </c>
      <c r="G394" s="24" t="inlineStr">
        <is>
          <t>440885</t>
        </is>
      </c>
      <c r="H394" s="596" t="n">
        <v>41882</v>
      </c>
      <c r="I394" s="619" t="n">
        <v>23.84</v>
      </c>
      <c r="J394" s="9" t="n"/>
    </row>
    <row r="395" ht="18" customHeight="1" s="331">
      <c r="A395" s="33" t="n">
        <v>392</v>
      </c>
      <c r="B395" s="24" t="inlineStr">
        <is>
          <t>440893</t>
        </is>
      </c>
      <c r="C395" s="596" t="n">
        <v>41882</v>
      </c>
      <c r="D395" s="619" t="n">
        <v>40.29</v>
      </c>
      <c r="E395" s="11" t="inlineStr">
        <is>
          <t>S G L CAMBODIA</t>
        </is>
      </c>
      <c r="F395" s="10" t="inlineStr">
        <is>
          <t>100119816</t>
        </is>
      </c>
      <c r="G395" s="24" t="inlineStr">
        <is>
          <t>440893</t>
        </is>
      </c>
      <c r="H395" s="596" t="n">
        <v>41882</v>
      </c>
      <c r="I395" s="619" t="n">
        <v>40.29</v>
      </c>
      <c r="J395" s="9" t="n"/>
    </row>
    <row r="396" ht="18" customHeight="1" s="331">
      <c r="A396" s="33" t="n">
        <v>393</v>
      </c>
      <c r="B396" s="24" t="inlineStr">
        <is>
          <t>441008</t>
        </is>
      </c>
      <c r="C396" s="596" t="n">
        <v>41890</v>
      </c>
      <c r="D396" s="619" t="n">
        <v>29.84</v>
      </c>
      <c r="E396" s="11" t="inlineStr">
        <is>
          <t>S G L CAMBODIA</t>
        </is>
      </c>
      <c r="F396" s="10" t="inlineStr">
        <is>
          <t>100119816</t>
        </is>
      </c>
      <c r="G396" s="24" t="inlineStr">
        <is>
          <t>441008</t>
        </is>
      </c>
      <c r="H396" s="596" t="n">
        <v>41890</v>
      </c>
      <c r="I396" s="619" t="n">
        <v>29.84</v>
      </c>
      <c r="J396" s="9" t="n"/>
    </row>
    <row r="397" ht="18" customHeight="1" s="331">
      <c r="A397" s="33" t="n">
        <v>394</v>
      </c>
      <c r="B397" s="24" t="inlineStr">
        <is>
          <t>441055</t>
        </is>
      </c>
      <c r="C397" s="596" t="n">
        <v>41891</v>
      </c>
      <c r="D397" s="619" t="n">
        <v>25.19</v>
      </c>
      <c r="E397" s="11" t="inlineStr">
        <is>
          <t>S G L CAMBODIA</t>
        </is>
      </c>
      <c r="F397" s="10" t="inlineStr">
        <is>
          <t>100119816</t>
        </is>
      </c>
      <c r="G397" s="24" t="inlineStr">
        <is>
          <t>441055</t>
        </is>
      </c>
      <c r="H397" s="596" t="n">
        <v>41891</v>
      </c>
      <c r="I397" s="619" t="n">
        <v>25.19</v>
      </c>
      <c r="J397" s="9" t="n"/>
    </row>
    <row r="398" ht="18" customHeight="1" s="331">
      <c r="A398" s="33" t="n">
        <v>395</v>
      </c>
      <c r="B398" s="24" t="inlineStr">
        <is>
          <t>441141</t>
        </is>
      </c>
      <c r="C398" s="596" t="n">
        <v>41891</v>
      </c>
      <c r="D398" s="619" t="n">
        <v>22.58</v>
      </c>
      <c r="E398" s="11" t="inlineStr">
        <is>
          <t>S G L CAMBODIA</t>
        </is>
      </c>
      <c r="F398" s="10" t="inlineStr">
        <is>
          <t>100119816</t>
        </is>
      </c>
      <c r="G398" s="24" t="inlineStr">
        <is>
          <t>441141</t>
        </is>
      </c>
      <c r="H398" s="596" t="n">
        <v>41891</v>
      </c>
      <c r="I398" s="619" t="n">
        <v>22.58</v>
      </c>
      <c r="J398" s="9" t="n"/>
    </row>
    <row r="399" ht="18" customHeight="1" s="331">
      <c r="A399" s="33" t="n">
        <v>396</v>
      </c>
      <c r="B399" s="24" t="inlineStr">
        <is>
          <t>441166</t>
        </is>
      </c>
      <c r="C399" s="596" t="n">
        <v>41891</v>
      </c>
      <c r="D399" s="619" t="n">
        <v>55.57</v>
      </c>
      <c r="E399" s="11" t="inlineStr">
        <is>
          <t>S G L CAMBODIA</t>
        </is>
      </c>
      <c r="F399" s="10" t="inlineStr">
        <is>
          <t>100119816</t>
        </is>
      </c>
      <c r="G399" s="24" t="inlineStr">
        <is>
          <t>441166</t>
        </is>
      </c>
      <c r="H399" s="596" t="n">
        <v>41891</v>
      </c>
      <c r="I399" s="619" t="n">
        <v>55.57</v>
      </c>
      <c r="J399" s="9" t="n"/>
    </row>
    <row r="400" ht="18" customHeight="1" s="331">
      <c r="A400" s="33" t="n">
        <v>397</v>
      </c>
      <c r="B400" s="24" t="inlineStr">
        <is>
          <t>441174</t>
        </is>
      </c>
      <c r="C400" s="596" t="n">
        <v>41891</v>
      </c>
      <c r="D400" s="619" t="n">
        <v>41.18</v>
      </c>
      <c r="E400" s="11" t="inlineStr">
        <is>
          <t>S G L CAMBODIA</t>
        </is>
      </c>
      <c r="F400" s="10" t="inlineStr">
        <is>
          <t>100119816</t>
        </is>
      </c>
      <c r="G400" s="24" t="inlineStr">
        <is>
          <t>441174</t>
        </is>
      </c>
      <c r="H400" s="596" t="n">
        <v>41891</v>
      </c>
      <c r="I400" s="619" t="n">
        <v>41.18</v>
      </c>
      <c r="J400" s="9" t="n"/>
    </row>
    <row r="401" ht="18" customHeight="1" s="331">
      <c r="A401" s="33" t="n">
        <v>398</v>
      </c>
      <c r="B401" s="24" t="inlineStr">
        <is>
          <t>441180</t>
        </is>
      </c>
      <c r="C401" s="596" t="n">
        <v>41891</v>
      </c>
      <c r="D401" s="619" t="n">
        <v>28.4</v>
      </c>
      <c r="E401" s="11" t="inlineStr">
        <is>
          <t>S G L CAMBODIA</t>
        </is>
      </c>
      <c r="F401" s="10" t="inlineStr">
        <is>
          <t>100119816</t>
        </is>
      </c>
      <c r="G401" s="24" t="inlineStr">
        <is>
          <t>441180</t>
        </is>
      </c>
      <c r="H401" s="596" t="n">
        <v>41891</v>
      </c>
      <c r="I401" s="619" t="n">
        <v>28.4</v>
      </c>
      <c r="J401" s="9" t="n"/>
    </row>
    <row r="402" ht="18" customHeight="1" s="331">
      <c r="A402" s="33" t="n">
        <v>399</v>
      </c>
      <c r="B402" s="24" t="inlineStr">
        <is>
          <t>441248</t>
        </is>
      </c>
      <c r="C402" s="596" t="n">
        <v>41896</v>
      </c>
      <c r="D402" s="619" t="n">
        <v>24.08</v>
      </c>
      <c r="E402" s="11" t="inlineStr">
        <is>
          <t>S G L CAMBODIA</t>
        </is>
      </c>
      <c r="F402" s="10" t="inlineStr">
        <is>
          <t>100119816</t>
        </is>
      </c>
      <c r="G402" s="24" t="inlineStr">
        <is>
          <t>441248</t>
        </is>
      </c>
      <c r="H402" s="596" t="n">
        <v>41896</v>
      </c>
      <c r="I402" s="619" t="n">
        <v>24.08</v>
      </c>
      <c r="J402" s="9" t="n"/>
    </row>
    <row r="403" ht="18" customHeight="1" s="331">
      <c r="A403" s="33" t="n">
        <v>400</v>
      </c>
      <c r="B403" s="24" t="inlineStr">
        <is>
          <t>441292</t>
        </is>
      </c>
      <c r="C403" s="596" t="n">
        <v>41897</v>
      </c>
      <c r="D403" s="619" t="n">
        <v>26.6</v>
      </c>
      <c r="E403" s="11" t="inlineStr">
        <is>
          <t>S G L CAMBODIA</t>
        </is>
      </c>
      <c r="F403" s="10" t="inlineStr">
        <is>
          <t>100119816</t>
        </is>
      </c>
      <c r="G403" s="24" t="inlineStr">
        <is>
          <t>441292</t>
        </is>
      </c>
      <c r="H403" s="596" t="n">
        <v>41897</v>
      </c>
      <c r="I403" s="619" t="n">
        <v>26.6</v>
      </c>
      <c r="J403" s="9" t="n"/>
    </row>
    <row r="404" ht="18" customHeight="1" s="331">
      <c r="A404" s="33" t="n">
        <v>401</v>
      </c>
      <c r="B404" s="24" t="inlineStr">
        <is>
          <t>441333</t>
        </is>
      </c>
      <c r="C404" s="596" t="n">
        <v>41898</v>
      </c>
      <c r="D404" s="619" t="n">
        <v>5</v>
      </c>
      <c r="E404" s="11" t="inlineStr">
        <is>
          <t>S G L CAMBODIA</t>
        </is>
      </c>
      <c r="F404" s="10" t="inlineStr">
        <is>
          <t>100119816</t>
        </is>
      </c>
      <c r="G404" s="24" t="inlineStr">
        <is>
          <t>441333</t>
        </is>
      </c>
      <c r="H404" s="596" t="n">
        <v>41898</v>
      </c>
      <c r="I404" s="619" t="n">
        <v>5</v>
      </c>
      <c r="J404" s="9" t="n"/>
    </row>
    <row r="405" ht="18" customHeight="1" s="331">
      <c r="A405" s="33" t="n">
        <v>402</v>
      </c>
      <c r="B405" s="24" t="inlineStr">
        <is>
          <t>441336</t>
        </is>
      </c>
      <c r="C405" s="596" t="n">
        <v>41898</v>
      </c>
      <c r="D405" s="619" t="n">
        <v>5</v>
      </c>
      <c r="E405" s="11" t="inlineStr">
        <is>
          <t>S G L CAMBODIA</t>
        </is>
      </c>
      <c r="F405" s="10" t="inlineStr">
        <is>
          <t>100119816</t>
        </is>
      </c>
      <c r="G405" s="24" t="inlineStr">
        <is>
          <t>441336</t>
        </is>
      </c>
      <c r="H405" s="596" t="n">
        <v>41898</v>
      </c>
      <c r="I405" s="619" t="n">
        <v>5</v>
      </c>
      <c r="J405" s="9" t="n"/>
    </row>
    <row r="406" ht="18" customHeight="1" s="331">
      <c r="A406" s="33" t="n">
        <v>403</v>
      </c>
      <c r="B406" s="24" t="inlineStr">
        <is>
          <t>441377</t>
        </is>
      </c>
      <c r="C406" s="596" t="n">
        <v>41898</v>
      </c>
      <c r="D406" s="619" t="n">
        <v>37.96</v>
      </c>
      <c r="E406" s="11" t="inlineStr">
        <is>
          <t>S G L CAMBODIA</t>
        </is>
      </c>
      <c r="F406" s="10" t="inlineStr">
        <is>
          <t>100119816</t>
        </is>
      </c>
      <c r="G406" s="24" t="inlineStr">
        <is>
          <t>441377</t>
        </is>
      </c>
      <c r="H406" s="596" t="n">
        <v>41898</v>
      </c>
      <c r="I406" s="619" t="n">
        <v>37.96</v>
      </c>
      <c r="J406" s="9" t="n"/>
    </row>
    <row r="407" ht="18" customHeight="1" s="331">
      <c r="A407" s="33" t="n">
        <v>404</v>
      </c>
      <c r="B407" s="24" t="inlineStr">
        <is>
          <t>441389</t>
        </is>
      </c>
      <c r="C407" s="596" t="n">
        <v>41898</v>
      </c>
      <c r="D407" s="619" t="n">
        <v>34.93</v>
      </c>
      <c r="E407" s="11" t="inlineStr">
        <is>
          <t>S G L CAMBODIA</t>
        </is>
      </c>
      <c r="F407" s="10" t="inlineStr">
        <is>
          <t>100119816</t>
        </is>
      </c>
      <c r="G407" s="24" t="inlineStr">
        <is>
          <t>441389</t>
        </is>
      </c>
      <c r="H407" s="596" t="n">
        <v>41898</v>
      </c>
      <c r="I407" s="619" t="n">
        <v>34.93</v>
      </c>
      <c r="J407" s="9" t="n"/>
    </row>
    <row r="408" ht="18" customHeight="1" s="331">
      <c r="A408" s="33" t="n">
        <v>405</v>
      </c>
      <c r="B408" s="24" t="inlineStr">
        <is>
          <t>441409</t>
        </is>
      </c>
      <c r="C408" s="596" t="n">
        <v>41898</v>
      </c>
      <c r="D408" s="619" t="n">
        <v>22.3</v>
      </c>
      <c r="E408" s="11" t="inlineStr">
        <is>
          <t>S G L CAMBODIA</t>
        </is>
      </c>
      <c r="F408" s="10" t="inlineStr">
        <is>
          <t>100119816</t>
        </is>
      </c>
      <c r="G408" s="24" t="inlineStr">
        <is>
          <t>441409</t>
        </is>
      </c>
      <c r="H408" s="596" t="n">
        <v>41898</v>
      </c>
      <c r="I408" s="619" t="n">
        <v>22.3</v>
      </c>
      <c r="J408" s="9" t="n"/>
    </row>
    <row r="409" ht="18" customHeight="1" s="331">
      <c r="A409" s="33" t="n">
        <v>406</v>
      </c>
      <c r="B409" s="24" t="inlineStr">
        <is>
          <t>441411</t>
        </is>
      </c>
      <c r="C409" s="596" t="n">
        <v>41899</v>
      </c>
      <c r="D409" s="619" t="n">
        <v>5</v>
      </c>
      <c r="E409" s="11" t="inlineStr">
        <is>
          <t>S G L CAMBODIA</t>
        </is>
      </c>
      <c r="F409" s="10" t="inlineStr">
        <is>
          <t>100119816</t>
        </is>
      </c>
      <c r="G409" s="24" t="inlineStr">
        <is>
          <t>441411</t>
        </is>
      </c>
      <c r="H409" s="596" t="n">
        <v>41899</v>
      </c>
      <c r="I409" s="619" t="n">
        <v>5</v>
      </c>
      <c r="J409" s="9" t="n"/>
    </row>
    <row r="410" ht="18" customHeight="1" s="331">
      <c r="A410" s="33" t="n">
        <v>407</v>
      </c>
      <c r="B410" s="24" t="inlineStr">
        <is>
          <t>1441481</t>
        </is>
      </c>
      <c r="C410" s="596" t="n">
        <v>41907</v>
      </c>
      <c r="D410" s="619" t="n">
        <v>25.55</v>
      </c>
      <c r="E410" s="11" t="inlineStr">
        <is>
          <t>S G L CAMBODIA</t>
        </is>
      </c>
      <c r="F410" s="10" t="inlineStr">
        <is>
          <t>100119816</t>
        </is>
      </c>
      <c r="G410" s="24" t="inlineStr">
        <is>
          <t>1441481</t>
        </is>
      </c>
      <c r="H410" s="596" t="n">
        <v>41907</v>
      </c>
      <c r="I410" s="619" t="n">
        <v>25.55</v>
      </c>
      <c r="J410" s="9" t="n"/>
    </row>
    <row r="411" ht="18" customHeight="1" s="331">
      <c r="A411" s="33" t="n">
        <v>408</v>
      </c>
      <c r="B411" s="24" t="inlineStr">
        <is>
          <t>441617</t>
        </is>
      </c>
      <c r="C411" s="596" t="n">
        <v>41911</v>
      </c>
      <c r="D411" s="619" t="n">
        <v>5</v>
      </c>
      <c r="E411" s="11" t="inlineStr">
        <is>
          <t>S G L CAMBODIA</t>
        </is>
      </c>
      <c r="F411" s="10" t="inlineStr">
        <is>
          <t>100119816</t>
        </is>
      </c>
      <c r="G411" s="24" t="inlineStr">
        <is>
          <t>441617</t>
        </is>
      </c>
      <c r="H411" s="596" t="n">
        <v>41911</v>
      </c>
      <c r="I411" s="619" t="n">
        <v>5</v>
      </c>
      <c r="J411" s="9" t="n"/>
    </row>
    <row r="412" ht="18" customHeight="1" s="331">
      <c r="A412" s="33" t="n">
        <v>409</v>
      </c>
      <c r="B412" s="24" t="inlineStr">
        <is>
          <t>441699</t>
        </is>
      </c>
      <c r="C412" s="596" t="n">
        <v>41912</v>
      </c>
      <c r="D412" s="619" t="n">
        <v>22.3</v>
      </c>
      <c r="E412" s="11" t="inlineStr">
        <is>
          <t>S G L CAMBODIA</t>
        </is>
      </c>
      <c r="F412" s="10" t="inlineStr">
        <is>
          <t>100119816</t>
        </is>
      </c>
      <c r="G412" s="24" t="inlineStr">
        <is>
          <t>441699</t>
        </is>
      </c>
      <c r="H412" s="596" t="n">
        <v>41912</v>
      </c>
      <c r="I412" s="619" t="n">
        <v>22.3</v>
      </c>
      <c r="J412" s="9" t="n"/>
    </row>
    <row r="413" ht="18" customHeight="1" s="331">
      <c r="A413" s="33" t="n">
        <v>410</v>
      </c>
      <c r="B413" s="24" t="inlineStr">
        <is>
          <t>441709</t>
        </is>
      </c>
      <c r="C413" s="596" t="n">
        <v>41912</v>
      </c>
      <c r="D413" s="619" t="n">
        <v>22.3</v>
      </c>
      <c r="E413" s="11" t="inlineStr">
        <is>
          <t>S G L CAMBODIA</t>
        </is>
      </c>
      <c r="F413" s="10" t="inlineStr">
        <is>
          <t>100119816</t>
        </is>
      </c>
      <c r="G413" s="24" t="inlineStr">
        <is>
          <t>441709</t>
        </is>
      </c>
      <c r="H413" s="596" t="n">
        <v>41912</v>
      </c>
      <c r="I413" s="619" t="n">
        <v>22.3</v>
      </c>
      <c r="J413" s="9" t="n"/>
    </row>
    <row r="414" ht="18" customHeight="1" s="331">
      <c r="A414" s="33" t="n">
        <v>411</v>
      </c>
      <c r="B414" s="24" t="inlineStr">
        <is>
          <t>441792</t>
        </is>
      </c>
      <c r="C414" s="596" t="n">
        <v>41919</v>
      </c>
      <c r="D414" s="619" t="n">
        <v>5</v>
      </c>
      <c r="E414" s="11" t="inlineStr">
        <is>
          <t>S G L CAMBODIA</t>
        </is>
      </c>
      <c r="F414" s="10" t="inlineStr">
        <is>
          <t>100119816</t>
        </is>
      </c>
      <c r="G414" s="24" t="inlineStr">
        <is>
          <t>441792</t>
        </is>
      </c>
      <c r="H414" s="596" t="n">
        <v>41919</v>
      </c>
      <c r="I414" s="619" t="n">
        <v>5</v>
      </c>
      <c r="J414" s="9" t="n"/>
    </row>
    <row r="415" ht="18" customHeight="1" s="331">
      <c r="A415" s="33" t="n">
        <v>412</v>
      </c>
      <c r="B415" s="24" t="inlineStr">
        <is>
          <t>441814</t>
        </is>
      </c>
      <c r="C415" s="596" t="n">
        <v>41919</v>
      </c>
      <c r="D415" s="619" t="n">
        <v>63.66</v>
      </c>
      <c r="E415" s="11" t="inlineStr">
        <is>
          <t>S G L CAMBODIA</t>
        </is>
      </c>
      <c r="F415" s="10" t="inlineStr">
        <is>
          <t>100119816</t>
        </is>
      </c>
      <c r="G415" s="24" t="inlineStr">
        <is>
          <t>441814</t>
        </is>
      </c>
      <c r="H415" s="596" t="n">
        <v>41919</v>
      </c>
      <c r="I415" s="619" t="n">
        <v>63.66</v>
      </c>
      <c r="J415" s="9" t="n"/>
    </row>
    <row r="416" ht="18" customHeight="1" s="331">
      <c r="A416" s="33" t="n">
        <v>413</v>
      </c>
      <c r="B416" s="24" t="inlineStr">
        <is>
          <t>441903</t>
        </is>
      </c>
      <c r="C416" s="596" t="n">
        <v>41920</v>
      </c>
      <c r="D416" s="619" t="n">
        <v>34.37</v>
      </c>
      <c r="E416" s="11" t="inlineStr">
        <is>
          <t>S G L CAMBODIA</t>
        </is>
      </c>
      <c r="F416" s="10" t="inlineStr">
        <is>
          <t>100119816</t>
        </is>
      </c>
      <c r="G416" s="24" t="inlineStr">
        <is>
          <t>441903</t>
        </is>
      </c>
      <c r="H416" s="596" t="n">
        <v>41920</v>
      </c>
      <c r="I416" s="619" t="n">
        <v>34.37</v>
      </c>
      <c r="J416" s="9" t="n"/>
    </row>
    <row r="417" ht="18" customHeight="1" s="331">
      <c r="A417" s="33" t="n">
        <v>414</v>
      </c>
      <c r="B417" s="24" t="inlineStr">
        <is>
          <t>442029</t>
        </is>
      </c>
      <c r="C417" s="596" t="n">
        <v>41921</v>
      </c>
      <c r="D417" s="619" t="n">
        <v>26.6</v>
      </c>
      <c r="E417" s="11" t="inlineStr">
        <is>
          <t>S G L CAMBODIA</t>
        </is>
      </c>
      <c r="F417" s="10" t="inlineStr">
        <is>
          <t>100119816</t>
        </is>
      </c>
      <c r="G417" s="24" t="inlineStr">
        <is>
          <t>442029</t>
        </is>
      </c>
      <c r="H417" s="596" t="n">
        <v>41921</v>
      </c>
      <c r="I417" s="619" t="n">
        <v>26.6</v>
      </c>
      <c r="J417" s="9" t="n"/>
    </row>
    <row r="418" ht="18" customHeight="1" s="331">
      <c r="A418" s="33" t="n">
        <v>415</v>
      </c>
      <c r="B418" s="24" t="inlineStr">
        <is>
          <t>442034</t>
        </is>
      </c>
      <c r="C418" s="596" t="n">
        <v>41921</v>
      </c>
      <c r="D418" s="619" t="n">
        <v>52.59</v>
      </c>
      <c r="E418" s="11" t="inlineStr">
        <is>
          <t>S G L CAMBODIA</t>
        </is>
      </c>
      <c r="F418" s="10" t="inlineStr">
        <is>
          <t>100119816</t>
        </is>
      </c>
      <c r="G418" s="24" t="inlineStr">
        <is>
          <t>442034</t>
        </is>
      </c>
      <c r="H418" s="596" t="n">
        <v>41921</v>
      </c>
      <c r="I418" s="619" t="n">
        <v>52.59</v>
      </c>
      <c r="J418" s="9" t="n"/>
    </row>
    <row r="419" ht="18" customHeight="1" s="331">
      <c r="A419" s="33" t="n">
        <v>416</v>
      </c>
      <c r="B419" s="24" t="inlineStr">
        <is>
          <t>442120</t>
        </is>
      </c>
      <c r="C419" s="596" t="n">
        <v>41925</v>
      </c>
      <c r="D419" s="619" t="n">
        <v>27.43</v>
      </c>
      <c r="E419" s="11" t="inlineStr">
        <is>
          <t>S G L CAMBODIA</t>
        </is>
      </c>
      <c r="F419" s="10" t="inlineStr">
        <is>
          <t>100119816</t>
        </is>
      </c>
      <c r="G419" s="24" t="inlineStr">
        <is>
          <t>442120</t>
        </is>
      </c>
      <c r="H419" s="596" t="n">
        <v>41925</v>
      </c>
      <c r="I419" s="619" t="n">
        <v>27.43</v>
      </c>
      <c r="J419" s="9" t="n"/>
    </row>
    <row r="420" ht="18" customHeight="1" s="331">
      <c r="A420" s="33" t="n">
        <v>417</v>
      </c>
      <c r="B420" s="24" t="inlineStr">
        <is>
          <t>442106</t>
        </is>
      </c>
      <c r="C420" s="596" t="n">
        <v>41925</v>
      </c>
      <c r="D420" s="619" t="n">
        <v>32.57</v>
      </c>
      <c r="E420" s="11" t="inlineStr">
        <is>
          <t>S G L CAMBODIA</t>
        </is>
      </c>
      <c r="F420" s="10" t="inlineStr">
        <is>
          <t>100119816</t>
        </is>
      </c>
      <c r="G420" s="24" t="inlineStr">
        <is>
          <t>442106</t>
        </is>
      </c>
      <c r="H420" s="596" t="n">
        <v>41925</v>
      </c>
      <c r="I420" s="619" t="n">
        <v>32.57</v>
      </c>
      <c r="J420" s="9" t="n"/>
    </row>
    <row r="421" ht="18" customHeight="1" s="331">
      <c r="A421" s="33" t="n">
        <v>418</v>
      </c>
      <c r="B421" s="24" t="inlineStr">
        <is>
          <t>442136</t>
        </is>
      </c>
      <c r="C421" s="596" t="n">
        <v>41926</v>
      </c>
      <c r="D421" s="619" t="n">
        <v>29.73</v>
      </c>
      <c r="E421" s="11" t="inlineStr">
        <is>
          <t>S G L CAMBODIA</t>
        </is>
      </c>
      <c r="F421" s="10" t="inlineStr">
        <is>
          <t>100119816</t>
        </is>
      </c>
      <c r="G421" s="24" t="inlineStr">
        <is>
          <t>442136</t>
        </is>
      </c>
      <c r="H421" s="596" t="n">
        <v>41926</v>
      </c>
      <c r="I421" s="619" t="n">
        <v>29.73</v>
      </c>
      <c r="J421" s="9" t="n"/>
    </row>
    <row r="422" ht="18" customHeight="1" s="331">
      <c r="A422" s="33" t="n">
        <v>419</v>
      </c>
      <c r="B422" s="24" t="inlineStr">
        <is>
          <t>442142</t>
        </is>
      </c>
      <c r="C422" s="596" t="n">
        <v>41926</v>
      </c>
      <c r="D422" s="619" t="n">
        <v>24.2</v>
      </c>
      <c r="E422" s="11" t="inlineStr">
        <is>
          <t>S G L CAMBODIA</t>
        </is>
      </c>
      <c r="F422" s="10" t="inlineStr">
        <is>
          <t>100119816</t>
        </is>
      </c>
      <c r="G422" s="24" t="inlineStr">
        <is>
          <t>442142</t>
        </is>
      </c>
      <c r="H422" s="596" t="n">
        <v>41926</v>
      </c>
      <c r="I422" s="619" t="n">
        <v>24.2</v>
      </c>
      <c r="J422" s="9" t="n"/>
    </row>
    <row r="423" ht="18" customHeight="1" s="331">
      <c r="A423" s="33" t="n">
        <v>420</v>
      </c>
      <c r="B423" s="24" t="inlineStr">
        <is>
          <t>442176</t>
        </is>
      </c>
      <c r="C423" s="596" t="n">
        <v>41926</v>
      </c>
      <c r="D423" s="619" t="n">
        <v>52.82</v>
      </c>
      <c r="E423" s="11" t="inlineStr">
        <is>
          <t>S G L CAMBODIA</t>
        </is>
      </c>
      <c r="F423" s="10" t="inlineStr">
        <is>
          <t>100119816</t>
        </is>
      </c>
      <c r="G423" s="24" t="inlineStr">
        <is>
          <t>442176</t>
        </is>
      </c>
      <c r="H423" s="596" t="n">
        <v>41926</v>
      </c>
      <c r="I423" s="619" t="n">
        <v>52.82</v>
      </c>
      <c r="J423" s="9" t="n"/>
    </row>
    <row r="424" ht="18" customHeight="1" s="331">
      <c r="A424" s="33" t="n">
        <v>421</v>
      </c>
      <c r="B424" s="24" t="inlineStr">
        <is>
          <t>442270</t>
        </is>
      </c>
      <c r="C424" s="596" t="n">
        <v>41933</v>
      </c>
      <c r="D424" s="619" t="n">
        <v>29.71</v>
      </c>
      <c r="E424" s="11" t="inlineStr">
        <is>
          <t>S G L CAMBODIA</t>
        </is>
      </c>
      <c r="F424" s="10" t="inlineStr">
        <is>
          <t>100119816</t>
        </is>
      </c>
      <c r="G424" s="24" t="inlineStr">
        <is>
          <t>442270</t>
        </is>
      </c>
      <c r="H424" s="596" t="n">
        <v>41933</v>
      </c>
      <c r="I424" s="619" t="n">
        <v>29.71</v>
      </c>
      <c r="J424" s="9" t="n"/>
    </row>
    <row r="425" ht="18" customHeight="1" s="331">
      <c r="A425" s="33" t="n">
        <v>422</v>
      </c>
      <c r="B425" s="24" t="inlineStr">
        <is>
          <t>442297</t>
        </is>
      </c>
      <c r="C425" s="596" t="n">
        <v>41933</v>
      </c>
      <c r="D425" s="619" t="n">
        <v>39.18</v>
      </c>
      <c r="E425" s="11" t="inlineStr">
        <is>
          <t>S G L CAMBODIA</t>
        </is>
      </c>
      <c r="F425" s="10" t="inlineStr">
        <is>
          <t>100119816</t>
        </is>
      </c>
      <c r="G425" s="24" t="inlineStr">
        <is>
          <t>442297</t>
        </is>
      </c>
      <c r="H425" s="596" t="n">
        <v>41933</v>
      </c>
      <c r="I425" s="619" t="n">
        <v>39.18</v>
      </c>
      <c r="J425" s="9" t="n"/>
    </row>
    <row r="426" ht="18" customHeight="1" s="331">
      <c r="A426" s="33" t="n">
        <v>423</v>
      </c>
      <c r="B426" s="24" t="inlineStr">
        <is>
          <t>442490</t>
        </is>
      </c>
      <c r="C426" s="596" t="n">
        <v>41940</v>
      </c>
      <c r="D426" s="619" t="n">
        <v>23.89</v>
      </c>
      <c r="E426" s="11" t="inlineStr">
        <is>
          <t>S G L CAMBODIA</t>
        </is>
      </c>
      <c r="F426" s="10" t="inlineStr">
        <is>
          <t>100119816</t>
        </is>
      </c>
      <c r="G426" s="24" t="inlineStr">
        <is>
          <t>442490</t>
        </is>
      </c>
      <c r="H426" s="596" t="n">
        <v>41940</v>
      </c>
      <c r="I426" s="619" t="n">
        <v>23.89</v>
      </c>
      <c r="J426" s="9" t="n"/>
    </row>
    <row r="427" ht="18" customHeight="1" s="331">
      <c r="A427" s="33" t="n">
        <v>424</v>
      </c>
      <c r="B427" s="24" t="inlineStr">
        <is>
          <t>442594</t>
        </is>
      </c>
      <c r="C427" s="596" t="n">
        <v>41946</v>
      </c>
      <c r="D427" s="619" t="n">
        <v>22.3</v>
      </c>
      <c r="E427" s="11" t="inlineStr">
        <is>
          <t>S G L CAMBODIA</t>
        </is>
      </c>
      <c r="F427" s="10" t="inlineStr">
        <is>
          <t>100119816</t>
        </is>
      </c>
      <c r="G427" s="24" t="inlineStr">
        <is>
          <t>442594</t>
        </is>
      </c>
      <c r="H427" s="596" t="n">
        <v>41946</v>
      </c>
      <c r="I427" s="619" t="n">
        <v>22.3</v>
      </c>
      <c r="J427" s="9" t="n"/>
    </row>
    <row r="428" ht="18" customHeight="1" s="331">
      <c r="A428" s="33" t="n">
        <v>425</v>
      </c>
      <c r="B428" s="24" t="inlineStr">
        <is>
          <t>442640</t>
        </is>
      </c>
      <c r="C428" s="596" t="n">
        <v>41947</v>
      </c>
      <c r="D428" s="619" t="n">
        <v>27.35</v>
      </c>
      <c r="E428" s="11" t="inlineStr">
        <is>
          <t>S G L CAMBODIA</t>
        </is>
      </c>
      <c r="F428" s="10" t="inlineStr">
        <is>
          <t>100119816</t>
        </is>
      </c>
      <c r="G428" s="24" t="inlineStr">
        <is>
          <t>442640</t>
        </is>
      </c>
      <c r="H428" s="596" t="n">
        <v>41947</v>
      </c>
      <c r="I428" s="619" t="n">
        <v>27.35</v>
      </c>
      <c r="J428" s="9" t="n"/>
    </row>
    <row r="429" ht="18" customHeight="1" s="331">
      <c r="A429" s="33" t="n">
        <v>426</v>
      </c>
      <c r="B429" s="24" t="inlineStr">
        <is>
          <t>442668</t>
        </is>
      </c>
      <c r="C429" s="596" t="n">
        <v>41947</v>
      </c>
      <c r="D429" s="619" t="n">
        <v>52.29</v>
      </c>
      <c r="E429" s="11" t="inlineStr">
        <is>
          <t>S G L CAMBODIA</t>
        </is>
      </c>
      <c r="F429" s="10" t="inlineStr">
        <is>
          <t>100119816</t>
        </is>
      </c>
      <c r="G429" s="24" t="inlineStr">
        <is>
          <t>442668</t>
        </is>
      </c>
      <c r="H429" s="596" t="n">
        <v>41947</v>
      </c>
      <c r="I429" s="619" t="n">
        <v>52.29</v>
      </c>
      <c r="J429" s="9" t="n"/>
    </row>
    <row r="430" ht="18" customHeight="1" s="331">
      <c r="A430" s="33" t="n">
        <v>427</v>
      </c>
      <c r="B430" s="24" t="inlineStr">
        <is>
          <t>442688</t>
        </is>
      </c>
      <c r="C430" s="596" t="n">
        <v>41947</v>
      </c>
      <c r="D430" s="619" t="n">
        <v>35.23</v>
      </c>
      <c r="E430" s="11" t="inlineStr">
        <is>
          <t>S G L CAMBODIA</t>
        </is>
      </c>
      <c r="F430" s="10" t="inlineStr">
        <is>
          <t>100119816</t>
        </is>
      </c>
      <c r="G430" s="24" t="inlineStr">
        <is>
          <t>442688</t>
        </is>
      </c>
      <c r="H430" s="596" t="n">
        <v>41947</v>
      </c>
      <c r="I430" s="619" t="n">
        <v>35.23</v>
      </c>
      <c r="J430" s="9" t="n"/>
    </row>
    <row r="431" ht="18" customHeight="1" s="331">
      <c r="A431" s="33" t="n">
        <v>428</v>
      </c>
      <c r="B431" s="24" t="inlineStr">
        <is>
          <t>442834</t>
        </is>
      </c>
      <c r="C431" s="596" t="n">
        <v>41954</v>
      </c>
      <c r="D431" s="619" t="n">
        <v>26.96</v>
      </c>
      <c r="E431" s="11" t="inlineStr">
        <is>
          <t>S G L CAMBODIA</t>
        </is>
      </c>
      <c r="F431" s="10" t="inlineStr">
        <is>
          <t>100119816</t>
        </is>
      </c>
      <c r="G431" s="24" t="inlineStr">
        <is>
          <t>442834</t>
        </is>
      </c>
      <c r="H431" s="596" t="n">
        <v>41954</v>
      </c>
      <c r="I431" s="619" t="n">
        <v>26.96</v>
      </c>
      <c r="J431" s="9" t="n"/>
    </row>
    <row r="432" ht="18" customHeight="1" s="331">
      <c r="A432" s="33" t="n">
        <v>429</v>
      </c>
      <c r="B432" s="24" t="inlineStr">
        <is>
          <t>442898</t>
        </is>
      </c>
      <c r="C432" s="596" t="n">
        <v>41955</v>
      </c>
      <c r="D432" s="619" t="n">
        <v>27.26</v>
      </c>
      <c r="E432" s="11" t="inlineStr">
        <is>
          <t>S G L CAMBODIA</t>
        </is>
      </c>
      <c r="F432" s="10" t="inlineStr">
        <is>
          <t>100119816</t>
        </is>
      </c>
      <c r="G432" s="24" t="inlineStr">
        <is>
          <t>442898</t>
        </is>
      </c>
      <c r="H432" s="596" t="n">
        <v>41955</v>
      </c>
      <c r="I432" s="619" t="n">
        <v>27.26</v>
      </c>
      <c r="J432" s="9" t="n"/>
    </row>
    <row r="433" ht="18" customHeight="1" s="331">
      <c r="A433" s="33" t="n">
        <v>430</v>
      </c>
      <c r="B433" s="24" t="inlineStr">
        <is>
          <t>442979</t>
        </is>
      </c>
      <c r="C433" s="596" t="n">
        <v>41961</v>
      </c>
      <c r="D433" s="619" t="n">
        <v>26.23</v>
      </c>
      <c r="E433" s="11" t="inlineStr">
        <is>
          <t>S G L CAMBODIA</t>
        </is>
      </c>
      <c r="F433" s="10" t="inlineStr">
        <is>
          <t>100119816</t>
        </is>
      </c>
      <c r="G433" s="24" t="inlineStr">
        <is>
          <t>442979</t>
        </is>
      </c>
      <c r="H433" s="596" t="n">
        <v>41961</v>
      </c>
      <c r="I433" s="619" t="n">
        <v>26.23</v>
      </c>
      <c r="J433" s="9" t="n"/>
    </row>
    <row r="434" ht="18" customHeight="1" s="331">
      <c r="A434" s="33" t="n">
        <v>431</v>
      </c>
      <c r="B434" s="24" t="inlineStr">
        <is>
          <t>442980</t>
        </is>
      </c>
      <c r="C434" s="596" t="n">
        <v>41961</v>
      </c>
      <c r="D434" s="619" t="n">
        <v>22.3</v>
      </c>
      <c r="E434" s="11" t="inlineStr">
        <is>
          <t>S G L CAMBODIA</t>
        </is>
      </c>
      <c r="F434" s="10" t="inlineStr">
        <is>
          <t>100119816</t>
        </is>
      </c>
      <c r="G434" s="24" t="inlineStr">
        <is>
          <t>442980</t>
        </is>
      </c>
      <c r="H434" s="596" t="n">
        <v>41961</v>
      </c>
      <c r="I434" s="619" t="n">
        <v>22.3</v>
      </c>
      <c r="J434" s="9" t="n"/>
    </row>
    <row r="435" ht="18" customHeight="1" s="331">
      <c r="A435" s="33" t="n">
        <v>432</v>
      </c>
      <c r="B435" s="24" t="inlineStr">
        <is>
          <t>443126</t>
        </is>
      </c>
      <c r="C435" s="596" t="n">
        <v>41967</v>
      </c>
      <c r="D435" s="619" t="n">
        <v>5</v>
      </c>
      <c r="E435" s="11" t="inlineStr">
        <is>
          <t>S G L CAMBODIA</t>
        </is>
      </c>
      <c r="F435" s="10" t="inlineStr">
        <is>
          <t>100119816</t>
        </is>
      </c>
      <c r="G435" s="24" t="inlineStr">
        <is>
          <t>443126</t>
        </is>
      </c>
      <c r="H435" s="596" t="n">
        <v>41967</v>
      </c>
      <c r="I435" s="619" t="n">
        <v>5</v>
      </c>
      <c r="J435" s="9" t="n"/>
    </row>
    <row r="436" ht="18" customHeight="1" s="331">
      <c r="A436" s="33" t="n">
        <v>433</v>
      </c>
      <c r="B436" s="24" t="inlineStr">
        <is>
          <t>443161</t>
        </is>
      </c>
      <c r="C436" s="596" t="n">
        <v>41968</v>
      </c>
      <c r="D436" s="619" t="n">
        <v>26.71</v>
      </c>
      <c r="E436" s="11" t="inlineStr">
        <is>
          <t>S G L CAMBODIA</t>
        </is>
      </c>
      <c r="F436" s="10" t="inlineStr">
        <is>
          <t>100119816</t>
        </is>
      </c>
      <c r="G436" s="24" t="inlineStr">
        <is>
          <t>443161</t>
        </is>
      </c>
      <c r="H436" s="596" t="n">
        <v>41968</v>
      </c>
      <c r="I436" s="619" t="n">
        <v>26.71</v>
      </c>
      <c r="J436" s="9" t="n"/>
    </row>
    <row r="437" ht="18" customHeight="1" s="331">
      <c r="A437" s="33" t="n">
        <v>434</v>
      </c>
      <c r="B437" s="24" t="inlineStr">
        <is>
          <t>43295</t>
        </is>
      </c>
      <c r="C437" s="596" t="n">
        <v>41973</v>
      </c>
      <c r="D437" s="619" t="n">
        <v>29.64</v>
      </c>
      <c r="E437" s="11" t="inlineStr">
        <is>
          <t>S G L CAMBODIA</t>
        </is>
      </c>
      <c r="F437" s="10" t="inlineStr">
        <is>
          <t>100119816</t>
        </is>
      </c>
      <c r="G437" s="24" t="inlineStr">
        <is>
          <t>43295</t>
        </is>
      </c>
      <c r="H437" s="596" t="n">
        <v>41973</v>
      </c>
      <c r="I437" s="619" t="n">
        <v>29.64</v>
      </c>
      <c r="J437" s="9" t="n"/>
    </row>
    <row r="438" ht="18" customHeight="1" s="331">
      <c r="A438" s="33" t="n">
        <v>435</v>
      </c>
      <c r="B438" s="24" t="inlineStr">
        <is>
          <t>443338</t>
        </is>
      </c>
      <c r="C438" s="596" t="n">
        <v>41981</v>
      </c>
      <c r="D438" s="619" t="n">
        <v>5</v>
      </c>
      <c r="E438" s="11" t="inlineStr">
        <is>
          <t>S G L CAMBODIA</t>
        </is>
      </c>
      <c r="F438" s="10" t="inlineStr">
        <is>
          <t>100119816</t>
        </is>
      </c>
      <c r="G438" s="24" t="inlineStr">
        <is>
          <t>443338</t>
        </is>
      </c>
      <c r="H438" s="596" t="n">
        <v>41981</v>
      </c>
      <c r="I438" s="619" t="n">
        <v>5</v>
      </c>
      <c r="J438" s="9" t="n"/>
    </row>
    <row r="439" ht="18" customHeight="1" s="331">
      <c r="A439" s="33" t="n">
        <v>436</v>
      </c>
      <c r="B439" s="24" t="inlineStr">
        <is>
          <t>443425</t>
        </is>
      </c>
      <c r="C439" s="596" t="n">
        <v>41982</v>
      </c>
      <c r="D439" s="619" t="n">
        <v>37.35</v>
      </c>
      <c r="E439" s="11" t="inlineStr">
        <is>
          <t>S G L CAMBODIA</t>
        </is>
      </c>
      <c r="F439" s="10" t="inlineStr">
        <is>
          <t>100119816</t>
        </is>
      </c>
      <c r="G439" s="24" t="inlineStr">
        <is>
          <t>443425</t>
        </is>
      </c>
      <c r="H439" s="596" t="n">
        <v>41982</v>
      </c>
      <c r="I439" s="619" t="n">
        <v>37.35</v>
      </c>
      <c r="J439" s="9" t="n"/>
    </row>
    <row r="440" ht="18" customHeight="1" s="331">
      <c r="A440" s="33" t="n">
        <v>437</v>
      </c>
      <c r="B440" s="24" t="inlineStr">
        <is>
          <t>443430</t>
        </is>
      </c>
      <c r="C440" s="596" t="n">
        <v>41982</v>
      </c>
      <c r="D440" s="619" t="n">
        <v>61.37</v>
      </c>
      <c r="E440" s="11" t="inlineStr">
        <is>
          <t>S G L CAMBODIA</t>
        </is>
      </c>
      <c r="F440" s="10" t="inlineStr">
        <is>
          <t>100119816</t>
        </is>
      </c>
      <c r="G440" s="24" t="inlineStr">
        <is>
          <t>443430</t>
        </is>
      </c>
      <c r="H440" s="596" t="n">
        <v>41982</v>
      </c>
      <c r="I440" s="619" t="n">
        <v>61.37</v>
      </c>
      <c r="J440" s="9" t="n"/>
    </row>
    <row r="441" ht="18" customHeight="1" s="331">
      <c r="A441" s="33" t="n">
        <v>438</v>
      </c>
      <c r="B441" s="24" t="inlineStr">
        <is>
          <t>443464</t>
        </is>
      </c>
      <c r="C441" s="596" t="n">
        <v>41982</v>
      </c>
      <c r="D441" s="619" t="n">
        <v>66.34999999999999</v>
      </c>
      <c r="E441" s="11" t="inlineStr">
        <is>
          <t>S G L CAMBODIA</t>
        </is>
      </c>
      <c r="F441" s="10" t="inlineStr">
        <is>
          <t>100119816</t>
        </is>
      </c>
      <c r="G441" s="24" t="inlineStr">
        <is>
          <t>443464</t>
        </is>
      </c>
      <c r="H441" s="596" t="n">
        <v>41982</v>
      </c>
      <c r="I441" s="619" t="n">
        <v>66.34999999999999</v>
      </c>
      <c r="J441" s="9" t="n"/>
    </row>
    <row r="442" ht="18" customHeight="1" s="331">
      <c r="A442" s="33" t="n">
        <v>439</v>
      </c>
      <c r="B442" s="24" t="inlineStr">
        <is>
          <t>443484</t>
        </is>
      </c>
      <c r="C442" s="596" t="n">
        <v>41982</v>
      </c>
      <c r="D442" s="619" t="n">
        <v>6.8</v>
      </c>
      <c r="E442" s="11" t="inlineStr">
        <is>
          <t>S G L CAMBODIA</t>
        </is>
      </c>
      <c r="F442" s="10" t="inlineStr">
        <is>
          <t>100119816</t>
        </is>
      </c>
      <c r="G442" s="24" t="inlineStr">
        <is>
          <t>443484</t>
        </is>
      </c>
      <c r="H442" s="596" t="n">
        <v>41982</v>
      </c>
      <c r="I442" s="619" t="n">
        <v>6.8</v>
      </c>
      <c r="J442" s="9" t="n"/>
    </row>
    <row r="443" ht="18" customHeight="1" s="331">
      <c r="A443" s="33" t="n">
        <v>440</v>
      </c>
      <c r="B443" s="24" t="inlineStr">
        <is>
          <t>443503</t>
        </is>
      </c>
      <c r="C443" s="596" t="n">
        <v>41983</v>
      </c>
      <c r="D443" s="619" t="n">
        <v>27.22</v>
      </c>
      <c r="E443" s="11" t="inlineStr">
        <is>
          <t>S G L CAMBODIA</t>
        </is>
      </c>
      <c r="F443" s="10" t="inlineStr">
        <is>
          <t>100119816</t>
        </is>
      </c>
      <c r="G443" s="24" t="inlineStr">
        <is>
          <t>443503</t>
        </is>
      </c>
      <c r="H443" s="596" t="n">
        <v>41983</v>
      </c>
      <c r="I443" s="619" t="n">
        <v>27.22</v>
      </c>
      <c r="J443" s="9" t="n"/>
    </row>
    <row r="444" ht="18" customHeight="1" s="331">
      <c r="A444" s="33" t="n">
        <v>441</v>
      </c>
      <c r="B444" s="24" t="inlineStr">
        <is>
          <t>443504</t>
        </is>
      </c>
      <c r="C444" s="596" t="n">
        <v>41983</v>
      </c>
      <c r="D444" s="619" t="n">
        <v>26.55</v>
      </c>
      <c r="E444" s="11" t="inlineStr">
        <is>
          <t>S G L CAMBODIA</t>
        </is>
      </c>
      <c r="F444" s="10" t="inlineStr">
        <is>
          <t>100119816</t>
        </is>
      </c>
      <c r="G444" s="24" t="inlineStr">
        <is>
          <t>443504</t>
        </is>
      </c>
      <c r="H444" s="596" t="n">
        <v>41983</v>
      </c>
      <c r="I444" s="619" t="n">
        <v>26.55</v>
      </c>
      <c r="J444" s="9" t="n"/>
    </row>
    <row r="445" ht="18" customHeight="1" s="331">
      <c r="A445" s="33" t="n">
        <v>442</v>
      </c>
      <c r="B445" s="24" t="inlineStr">
        <is>
          <t>443526</t>
        </is>
      </c>
      <c r="C445" s="596" t="n">
        <v>41983</v>
      </c>
      <c r="D445" s="619" t="n">
        <v>84.88</v>
      </c>
      <c r="E445" s="11" t="inlineStr">
        <is>
          <t>S G L CAMBODIA</t>
        </is>
      </c>
      <c r="F445" s="10" t="inlineStr">
        <is>
          <t>100119816</t>
        </is>
      </c>
      <c r="G445" s="24" t="inlineStr">
        <is>
          <t>443526</t>
        </is>
      </c>
      <c r="H445" s="596" t="n">
        <v>41983</v>
      </c>
      <c r="I445" s="619" t="n">
        <v>84.88</v>
      </c>
      <c r="J445" s="9" t="n"/>
    </row>
    <row r="446" ht="18" customHeight="1" s="331">
      <c r="A446" s="33" t="n">
        <v>443</v>
      </c>
      <c r="B446" s="24" t="inlineStr">
        <is>
          <t>443637</t>
        </is>
      </c>
      <c r="C446" s="596" t="n">
        <v>41983</v>
      </c>
      <c r="D446" s="619" t="n">
        <v>31.72</v>
      </c>
      <c r="E446" s="11" t="inlineStr">
        <is>
          <t>S G L CAMBODIA</t>
        </is>
      </c>
      <c r="F446" s="10" t="inlineStr">
        <is>
          <t>100119816</t>
        </is>
      </c>
      <c r="G446" s="24" t="inlineStr">
        <is>
          <t>443637</t>
        </is>
      </c>
      <c r="H446" s="596" t="n">
        <v>41983</v>
      </c>
      <c r="I446" s="619" t="n">
        <v>31.72</v>
      </c>
      <c r="J446" s="9" t="n"/>
    </row>
    <row r="447" ht="18" customHeight="1" s="331">
      <c r="A447" s="33" t="n">
        <v>444</v>
      </c>
      <c r="B447" s="24" t="inlineStr">
        <is>
          <t>443541</t>
        </is>
      </c>
      <c r="C447" s="596" t="n">
        <v>41984</v>
      </c>
      <c r="D447" s="619" t="n">
        <v>5</v>
      </c>
      <c r="E447" s="11" t="inlineStr">
        <is>
          <t>S G L CAMBODIA</t>
        </is>
      </c>
      <c r="F447" s="10" t="inlineStr">
        <is>
          <t>100119816</t>
        </is>
      </c>
      <c r="G447" s="24" t="inlineStr">
        <is>
          <t>443541</t>
        </is>
      </c>
      <c r="H447" s="596" t="n">
        <v>41984</v>
      </c>
      <c r="I447" s="619" t="n">
        <v>5</v>
      </c>
      <c r="J447" s="9" t="n"/>
    </row>
    <row r="448" ht="18" customHeight="1" s="331">
      <c r="A448" s="33" t="n">
        <v>445</v>
      </c>
      <c r="B448" s="24" t="inlineStr">
        <is>
          <t>443606</t>
        </is>
      </c>
      <c r="C448" s="596" t="n">
        <v>41989</v>
      </c>
      <c r="D448" s="619" t="n">
        <v>47.94</v>
      </c>
      <c r="E448" s="11" t="inlineStr">
        <is>
          <t>S G L CAMBODIA</t>
        </is>
      </c>
      <c r="F448" s="10" t="inlineStr">
        <is>
          <t>100119816</t>
        </is>
      </c>
      <c r="G448" s="24" t="inlineStr">
        <is>
          <t>443606</t>
        </is>
      </c>
      <c r="H448" s="596" t="n">
        <v>41989</v>
      </c>
      <c r="I448" s="619" t="n">
        <v>47.94</v>
      </c>
      <c r="J448" s="9" t="n"/>
    </row>
    <row r="449" ht="18" customHeight="1" s="331">
      <c r="A449" s="33" t="n">
        <v>446</v>
      </c>
      <c r="B449" s="24" t="inlineStr">
        <is>
          <t>443627</t>
        </is>
      </c>
      <c r="C449" s="596" t="n">
        <v>41989</v>
      </c>
      <c r="D449" s="619" t="n">
        <v>40.67</v>
      </c>
      <c r="E449" s="11" t="inlineStr">
        <is>
          <t>S G L CAMBODIA</t>
        </is>
      </c>
      <c r="F449" s="10" t="inlineStr">
        <is>
          <t>100119816</t>
        </is>
      </c>
      <c r="G449" s="24" t="inlineStr">
        <is>
          <t>443627</t>
        </is>
      </c>
      <c r="H449" s="596" t="n">
        <v>41989</v>
      </c>
      <c r="I449" s="619" t="n">
        <v>40.67</v>
      </c>
      <c r="J449" s="9" t="n"/>
    </row>
    <row r="450" ht="18" customHeight="1" s="331">
      <c r="A450" s="33" t="n">
        <v>447</v>
      </c>
      <c r="B450" s="24" t="inlineStr">
        <is>
          <t>443685</t>
        </is>
      </c>
      <c r="C450" s="596" t="n">
        <v>41989</v>
      </c>
      <c r="D450" s="619" t="n">
        <v>52.57</v>
      </c>
      <c r="E450" s="11" t="inlineStr">
        <is>
          <t>S G L CAMBODIA</t>
        </is>
      </c>
      <c r="F450" s="10" t="inlineStr">
        <is>
          <t>100119816</t>
        </is>
      </c>
      <c r="G450" s="24" t="inlineStr">
        <is>
          <t>443685</t>
        </is>
      </c>
      <c r="H450" s="596" t="n">
        <v>41989</v>
      </c>
      <c r="I450" s="619" t="n">
        <v>52.57</v>
      </c>
      <c r="J450" s="9" t="n"/>
    </row>
    <row r="451" ht="18" customHeight="1" s="331">
      <c r="A451" s="33" t="n">
        <v>448</v>
      </c>
      <c r="B451" s="24" t="inlineStr">
        <is>
          <t>443782</t>
        </is>
      </c>
      <c r="C451" s="596" t="n">
        <v>41996</v>
      </c>
      <c r="D451" s="619" t="n">
        <v>26</v>
      </c>
      <c r="E451" s="11" t="inlineStr">
        <is>
          <t>S G L CAMBODIA</t>
        </is>
      </c>
      <c r="F451" s="10" t="inlineStr">
        <is>
          <t>100119816</t>
        </is>
      </c>
      <c r="G451" s="24" t="inlineStr">
        <is>
          <t>443782</t>
        </is>
      </c>
      <c r="H451" s="596" t="n">
        <v>41996</v>
      </c>
      <c r="I451" s="619" t="n">
        <v>26</v>
      </c>
      <c r="J451" s="9" t="n"/>
    </row>
    <row r="452" ht="18" customHeight="1" s="331">
      <c r="A452" s="33" t="n">
        <v>449</v>
      </c>
      <c r="B452" s="24" t="inlineStr">
        <is>
          <t>443809</t>
        </is>
      </c>
      <c r="C452" s="596" t="n">
        <v>41996</v>
      </c>
      <c r="D452" s="619" t="n">
        <v>43.05</v>
      </c>
      <c r="E452" s="11" t="inlineStr">
        <is>
          <t>S G L CAMBODIA</t>
        </is>
      </c>
      <c r="F452" s="10" t="inlineStr">
        <is>
          <t>100119816</t>
        </is>
      </c>
      <c r="G452" s="24" t="inlineStr">
        <is>
          <t>443809</t>
        </is>
      </c>
      <c r="H452" s="596" t="n">
        <v>41996</v>
      </c>
      <c r="I452" s="619" t="n">
        <v>43.05</v>
      </c>
      <c r="J452" s="9" t="n"/>
    </row>
    <row r="453" ht="18" customHeight="1" s="331">
      <c r="A453" s="33" t="n">
        <v>450</v>
      </c>
      <c r="B453" s="24" t="inlineStr">
        <is>
          <t>443817</t>
        </is>
      </c>
      <c r="C453" s="596" t="n">
        <v>41996</v>
      </c>
      <c r="D453" s="619" t="n">
        <v>27.32</v>
      </c>
      <c r="E453" s="11" t="inlineStr">
        <is>
          <t>S G L CAMBODIA</t>
        </is>
      </c>
      <c r="F453" s="10" t="inlineStr">
        <is>
          <t>100119816</t>
        </is>
      </c>
      <c r="G453" s="24" t="inlineStr">
        <is>
          <t>443817</t>
        </is>
      </c>
      <c r="H453" s="596" t="n">
        <v>41996</v>
      </c>
      <c r="I453" s="619" t="n">
        <v>27.32</v>
      </c>
      <c r="J453" s="9" t="n"/>
    </row>
    <row r="454" ht="18" customHeight="1" s="331">
      <c r="A454" s="33" t="n">
        <v>451</v>
      </c>
      <c r="B454" s="24" t="inlineStr">
        <is>
          <t>443886</t>
        </is>
      </c>
      <c r="C454" s="596" t="n">
        <v>42001</v>
      </c>
      <c r="D454" s="619" t="n">
        <v>22.3</v>
      </c>
      <c r="E454" s="11" t="inlineStr">
        <is>
          <t>S G L CAMBODIA</t>
        </is>
      </c>
      <c r="F454" s="10" t="inlineStr">
        <is>
          <t>100119816</t>
        </is>
      </c>
      <c r="G454" s="24" t="inlineStr">
        <is>
          <t>443886</t>
        </is>
      </c>
      <c r="H454" s="596" t="n">
        <v>42001</v>
      </c>
      <c r="I454" s="619" t="n">
        <v>22.3</v>
      </c>
      <c r="J454" s="9" t="n"/>
    </row>
    <row r="455" ht="18" customHeight="1" s="331">
      <c r="A455" s="33" t="n">
        <v>452</v>
      </c>
      <c r="B455" s="24" t="inlineStr">
        <is>
          <t>443897</t>
        </is>
      </c>
      <c r="C455" s="596" t="n">
        <v>42001</v>
      </c>
      <c r="D455" s="619" t="n">
        <v>33.44</v>
      </c>
      <c r="E455" s="11" t="inlineStr">
        <is>
          <t>S G L CAMBODIA</t>
        </is>
      </c>
      <c r="F455" s="10" t="inlineStr">
        <is>
          <t>100119816</t>
        </is>
      </c>
      <c r="G455" s="24" t="inlineStr">
        <is>
          <t>443897</t>
        </is>
      </c>
      <c r="H455" s="596" t="n">
        <v>42001</v>
      </c>
      <c r="I455" s="619" t="n">
        <v>33.44</v>
      </c>
      <c r="J455" s="9" t="n"/>
    </row>
    <row r="456" ht="18" customHeight="1" s="331">
      <c r="A456" s="33" t="n">
        <v>453</v>
      </c>
      <c r="B456" s="24" t="inlineStr">
        <is>
          <t>443951</t>
        </is>
      </c>
      <c r="C456" s="596" t="n">
        <v>42002</v>
      </c>
      <c r="D456" s="619" t="n">
        <v>27.41</v>
      </c>
      <c r="E456" s="11" t="inlineStr">
        <is>
          <t>S G L CAMBODIA</t>
        </is>
      </c>
      <c r="F456" s="10" t="inlineStr">
        <is>
          <t>100119816</t>
        </is>
      </c>
      <c r="G456" s="24" t="inlineStr">
        <is>
          <t>443951</t>
        </is>
      </c>
      <c r="H456" s="596" t="n">
        <v>42002</v>
      </c>
      <c r="I456" s="619" t="n">
        <v>27.41</v>
      </c>
      <c r="J456" s="9" t="n"/>
    </row>
    <row r="457" ht="18" customHeight="1" s="331">
      <c r="A457" s="33" t="n">
        <v>454</v>
      </c>
      <c r="B457" s="24" t="inlineStr">
        <is>
          <t>443953</t>
        </is>
      </c>
      <c r="C457" s="596" t="n">
        <v>42002</v>
      </c>
      <c r="D457" s="619" t="n">
        <v>31.33</v>
      </c>
      <c r="E457" s="11" t="inlineStr">
        <is>
          <t>S G L CAMBODIA</t>
        </is>
      </c>
      <c r="F457" s="10" t="inlineStr">
        <is>
          <t>100119816</t>
        </is>
      </c>
      <c r="G457" s="24" t="inlineStr">
        <is>
          <t>443953</t>
        </is>
      </c>
      <c r="H457" s="596" t="n">
        <v>42002</v>
      </c>
      <c r="I457" s="619" t="n">
        <v>31.33</v>
      </c>
      <c r="J457" s="9" t="n"/>
    </row>
    <row r="458" ht="18" customHeight="1" s="331">
      <c r="A458" s="33" t="n">
        <v>455</v>
      </c>
      <c r="B458" s="24" t="inlineStr">
        <is>
          <t>443954</t>
        </is>
      </c>
      <c r="C458" s="596" t="n">
        <v>42002</v>
      </c>
      <c r="D458" s="619" t="n">
        <v>44.24</v>
      </c>
      <c r="E458" s="11" t="inlineStr">
        <is>
          <t>S G L CAMBODIA</t>
        </is>
      </c>
      <c r="F458" s="10" t="inlineStr">
        <is>
          <t>100119816</t>
        </is>
      </c>
      <c r="G458" s="24" t="inlineStr">
        <is>
          <t>443954</t>
        </is>
      </c>
      <c r="H458" s="596" t="n">
        <v>42002</v>
      </c>
      <c r="I458" s="619" t="n">
        <v>44.24</v>
      </c>
      <c r="J458" s="9" t="n"/>
    </row>
    <row r="459" ht="24" customHeight="1" s="331">
      <c r="A459" s="622" t="inlineStr">
        <is>
          <t>TOTAL 7/2012-02/2015</t>
        </is>
      </c>
      <c r="B459" s="519" t="n"/>
      <c r="C459" s="614" t="n"/>
      <c r="D459" s="615">
        <f>SUM(D8:D458)</f>
        <v/>
      </c>
      <c r="E459" s="616" t="n"/>
      <c r="F459" s="616" t="n"/>
      <c r="G459" s="617" t="n"/>
      <c r="H459" s="614" t="n"/>
      <c r="I459" s="615">
        <f>SUM(I8:I458)</f>
        <v/>
      </c>
      <c r="J459" s="32" t="n"/>
    </row>
  </sheetData>
  <mergeCells count="13">
    <mergeCell ref="A1:J1"/>
    <mergeCell ref="B5:D5"/>
    <mergeCell ref="G6:I6"/>
    <mergeCell ref="A4:D4"/>
    <mergeCell ref="A459:B459"/>
    <mergeCell ref="A5:A7"/>
    <mergeCell ref="E5:I5"/>
    <mergeCell ref="E6:E7"/>
    <mergeCell ref="A2:J2"/>
    <mergeCell ref="J5:J7"/>
    <mergeCell ref="B6:D6"/>
    <mergeCell ref="F6:F7"/>
    <mergeCell ref="A3:E3"/>
  </mergeCells>
  <pageMargins left="0.7" right="0.7" top="0.75" bottom="0.75" header="0.3" footer="0.3"/>
  <pageSetup orientation="portrait" paperSize="9" scale="75" verticalDpi="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topLeftCell="A2" workbookViewId="0">
      <selection activeCell="K11" sqref="K11"/>
    </sheetView>
  </sheetViews>
  <sheetFormatPr baseColWidth="8" defaultRowHeight="13.2"/>
  <cols>
    <col width="12.5546875" customWidth="1" style="331" min="2" max="2"/>
    <col width="13" customWidth="1" style="331" min="3" max="3"/>
    <col width="13.33203125" customWidth="1" style="331" min="4" max="4"/>
    <col width="12.5546875" customWidth="1" style="331" min="5" max="5"/>
    <col width="12.88671875" customWidth="1" style="331" min="6" max="6"/>
    <col width="12.33203125" customWidth="1" style="331" min="7" max="7"/>
    <col width="15.33203125" customWidth="1" style="331" min="8" max="8"/>
    <col width="12" customWidth="1" style="331" min="9" max="9"/>
  </cols>
  <sheetData>
    <row r="1" ht="33.6" customHeight="1" s="331">
      <c r="A1" s="438" t="inlineStr">
        <is>
          <t>តារាងឧបសម្ព័ន្ឋ</t>
        </is>
      </c>
    </row>
    <row r="2" ht="33.6" customHeight="1" s="331">
      <c r="A2" s="438" t="inlineStr">
        <is>
          <t>តារាងប្រៀធៀបវិក្ក័យប័ត្រស្នើសុំបង្វិលសងអាករលើតំលៃបន្ថែម  ( Cross checking )</t>
        </is>
      </c>
    </row>
    <row r="3" ht="27" customHeight="1" s="331">
      <c r="A3" s="459" t="inlineStr">
        <is>
          <t>នាមករណ៏សហគ្រាស  :  Maurea Garments Corp</t>
        </is>
      </c>
      <c r="F3" s="4" t="n"/>
      <c r="G3" s="4" t="n"/>
      <c r="H3" s="4" t="n"/>
      <c r="I3" s="4" t="n"/>
      <c r="J3" s="4" t="n"/>
    </row>
    <row r="4" ht="27" customHeight="1" s="331">
      <c r="A4" s="440" t="inlineStr">
        <is>
          <t>VAT TIN  : 1 0 0 0 5 2 9 6 7</t>
        </is>
      </c>
      <c r="B4" s="529" t="n"/>
      <c r="C4" s="529" t="n"/>
      <c r="D4" s="529" t="n"/>
      <c r="E4" s="5" t="n"/>
      <c r="F4" s="4" t="n"/>
      <c r="G4" s="4" t="n"/>
      <c r="H4" s="4" t="n"/>
      <c r="I4" s="4" t="n"/>
      <c r="J4" s="4" t="n"/>
    </row>
    <row r="5" ht="25.2" customHeight="1" s="331">
      <c r="A5" s="611" t="inlineStr">
        <is>
          <t>ល.រ</t>
        </is>
      </c>
      <c r="B5" s="468" t="inlineStr">
        <is>
          <t>ក្រុមហ៊ុនស្នើសុំបង្វិលសង</t>
        </is>
      </c>
      <c r="C5" s="542" t="n"/>
      <c r="D5" s="543" t="n"/>
      <c r="E5" s="466" t="inlineStr">
        <is>
          <t>អ្នកផ្គត់ផ្គង់</t>
        </is>
      </c>
      <c r="F5" s="531" t="n"/>
      <c r="G5" s="531" t="n"/>
      <c r="H5" s="531" t="n"/>
      <c r="I5" s="519" t="n"/>
      <c r="J5" s="475" t="inlineStr">
        <is>
          <t>ផ្សេងៗ</t>
        </is>
      </c>
    </row>
    <row r="6" ht="25.2" customHeight="1" s="331">
      <c r="A6" s="555" t="n"/>
      <c r="B6" s="470" t="inlineStr">
        <is>
          <t>វិក័យបត្រ័</t>
        </is>
      </c>
      <c r="C6" s="529" t="n"/>
      <c r="D6" s="548" t="n"/>
      <c r="E6" s="474" t="inlineStr">
        <is>
          <t>សហគ្រាស</t>
        </is>
      </c>
      <c r="F6" s="475" t="inlineStr">
        <is>
          <t>លេខអតប</t>
        </is>
      </c>
      <c r="G6" s="470" t="inlineStr">
        <is>
          <t>វិក័យបត្រ័</t>
        </is>
      </c>
      <c r="H6" s="529" t="n"/>
      <c r="I6" s="548" t="n"/>
      <c r="J6" s="555" t="n"/>
    </row>
    <row r="7" ht="25.2" customHeight="1" s="331">
      <c r="A7" s="520" t="n"/>
      <c r="B7" s="470" t="inlineStr">
        <is>
          <t>លេខ</t>
        </is>
      </c>
      <c r="C7" s="470" t="inlineStr">
        <is>
          <t>ថ្ងៃទី ខែ ឆ្នាំ</t>
        </is>
      </c>
      <c r="D7" s="470" t="inlineStr">
        <is>
          <t>ប្រាក់អាករ</t>
        </is>
      </c>
      <c r="E7" s="548" t="n"/>
      <c r="F7" s="520" t="n"/>
      <c r="G7" s="470" t="inlineStr">
        <is>
          <t>លេខ</t>
        </is>
      </c>
      <c r="H7" s="470" t="inlineStr">
        <is>
          <t>ថ្ងៃទី ខែ ឆ្នាំ</t>
        </is>
      </c>
      <c r="I7" s="470" t="inlineStr">
        <is>
          <t>ប្រាក់អាករ</t>
        </is>
      </c>
      <c r="J7" s="520" t="n"/>
    </row>
    <row r="8" ht="25.2" customHeight="1" s="331">
      <c r="A8" s="6" t="n"/>
      <c r="B8" s="12" t="n"/>
      <c r="C8" s="13" t="n"/>
      <c r="D8" s="588" t="n"/>
      <c r="E8" s="11" t="n"/>
      <c r="F8" s="38" t="n"/>
      <c r="G8" s="12" t="n"/>
      <c r="H8" s="13" t="n"/>
      <c r="I8" s="588" t="n"/>
      <c r="J8" s="9" t="n"/>
    </row>
    <row r="9" ht="25.2" customHeight="1" s="331">
      <c r="A9" s="6" t="n"/>
      <c r="B9" s="12" t="n"/>
      <c r="C9" s="13" t="n"/>
      <c r="D9" s="588" t="n"/>
      <c r="E9" s="11" t="n"/>
      <c r="F9" s="38" t="n"/>
      <c r="G9" s="12" t="n"/>
      <c r="H9" s="13" t="n"/>
      <c r="I9" s="588" t="n"/>
      <c r="J9" s="9" t="n"/>
    </row>
    <row r="10" ht="25.2" customHeight="1" s="331">
      <c r="A10" s="6" t="n"/>
      <c r="B10" s="12" t="n"/>
      <c r="C10" s="13" t="n"/>
      <c r="D10" s="588" t="n"/>
      <c r="E10" s="11" t="n"/>
      <c r="F10" s="38" t="n"/>
      <c r="G10" s="12" t="n"/>
      <c r="H10" s="13" t="n"/>
      <c r="I10" s="588" t="n"/>
      <c r="J10" s="9" t="n"/>
    </row>
    <row r="11" ht="25.2" customHeight="1" s="331">
      <c r="A11" s="6" t="n"/>
      <c r="B11" s="12" t="n"/>
      <c r="C11" s="13" t="n"/>
      <c r="D11" s="588" t="n"/>
      <c r="E11" s="11" t="n"/>
      <c r="F11" s="37" t="n"/>
      <c r="G11" s="12" t="n"/>
      <c r="H11" s="13" t="n"/>
      <c r="I11" s="588" t="n"/>
      <c r="J11" s="9" t="n"/>
    </row>
    <row r="12" ht="25.2" customHeight="1" s="331">
      <c r="A12" s="6" t="n"/>
      <c r="B12" s="12" t="n"/>
      <c r="C12" s="13" t="n"/>
      <c r="D12" s="588" t="n"/>
      <c r="E12" s="11" t="n"/>
      <c r="F12" s="10" t="n"/>
      <c r="G12" s="12" t="n"/>
      <c r="H12" s="13" t="n"/>
      <c r="I12" s="588" t="n"/>
      <c r="J12" s="9" t="n"/>
    </row>
    <row r="13" ht="25.2" customHeight="1" s="331">
      <c r="A13" s="6" t="n"/>
      <c r="B13" s="12" t="n"/>
      <c r="C13" s="13" t="n"/>
      <c r="D13" s="588" t="n"/>
      <c r="E13" s="11" t="n"/>
      <c r="F13" s="38" t="n"/>
      <c r="G13" s="12" t="n"/>
      <c r="H13" s="13" t="n"/>
      <c r="I13" s="588" t="n"/>
      <c r="J13" s="9" t="n"/>
    </row>
    <row r="14" ht="25.2" customHeight="1" s="331">
      <c r="A14" s="6" t="n"/>
      <c r="B14" s="12" t="n"/>
      <c r="C14" s="13" t="n"/>
      <c r="D14" s="588" t="n"/>
      <c r="E14" s="11" t="n"/>
      <c r="F14" s="38" t="n"/>
      <c r="G14" s="12" t="n"/>
      <c r="H14" s="13" t="n"/>
      <c r="I14" s="588" t="n"/>
      <c r="J14" s="9" t="n"/>
    </row>
    <row r="15" ht="25.2" customHeight="1" s="331">
      <c r="A15" s="6" t="n"/>
      <c r="B15" s="17" t="n"/>
      <c r="C15" s="18" t="n"/>
      <c r="D15" s="593" t="n"/>
      <c r="E15" s="11" t="n"/>
      <c r="F15" s="16" t="n"/>
      <c r="G15" s="17" t="n"/>
      <c r="H15" s="18" t="n"/>
      <c r="I15" s="593" t="n"/>
      <c r="J15" s="9" t="n"/>
    </row>
    <row r="16" ht="25.2" customHeight="1" s="331">
      <c r="A16" s="6" t="n"/>
      <c r="B16" s="39" t="n"/>
      <c r="C16" s="18" t="n"/>
      <c r="D16" s="593" t="n"/>
      <c r="E16" s="11" t="n"/>
      <c r="F16" s="16" t="n"/>
      <c r="G16" s="17" t="n"/>
      <c r="H16" s="18" t="n"/>
      <c r="I16" s="593" t="n"/>
      <c r="J16" s="9" t="n"/>
    </row>
    <row r="17" ht="25.2" customHeight="1" s="331">
      <c r="A17" s="6" t="n"/>
      <c r="B17" s="17" t="n"/>
      <c r="C17" s="18" t="n"/>
      <c r="D17" s="593" t="n"/>
      <c r="E17" s="11" t="n"/>
      <c r="F17" s="16" t="n"/>
      <c r="G17" s="17" t="n"/>
      <c r="H17" s="18" t="n"/>
      <c r="I17" s="593" t="n"/>
      <c r="J17" s="9" t="n"/>
    </row>
    <row r="18" ht="25.2" customHeight="1" s="331">
      <c r="A18" s="6" t="n"/>
      <c r="B18" s="17" t="n"/>
      <c r="C18" s="18" t="n"/>
      <c r="D18" s="593" t="n"/>
      <c r="E18" s="11" t="n"/>
      <c r="F18" s="16" t="n"/>
      <c r="G18" s="17" t="n"/>
      <c r="H18" s="18" t="n"/>
      <c r="I18" s="593" t="n"/>
      <c r="J18" s="9" t="n"/>
    </row>
    <row r="19" ht="25.2" customHeight="1" s="331">
      <c r="A19" s="6" t="n"/>
      <c r="B19" s="17" t="n"/>
      <c r="C19" s="18" t="n"/>
      <c r="D19" s="593" t="n"/>
      <c r="E19" s="11" t="n"/>
      <c r="F19" s="16" t="n"/>
      <c r="G19" s="17" t="n"/>
      <c r="H19" s="18" t="n"/>
      <c r="I19" s="593" t="n"/>
      <c r="J19" s="9" t="n"/>
    </row>
    <row r="20" ht="25.2" customHeight="1" s="331">
      <c r="A20" s="6" t="n"/>
      <c r="B20" s="17" t="n"/>
      <c r="C20" s="18" t="n"/>
      <c r="D20" s="593" t="n"/>
      <c r="E20" s="11" t="n"/>
      <c r="F20" s="16" t="n"/>
      <c r="G20" s="17" t="n"/>
      <c r="H20" s="18" t="n"/>
      <c r="I20" s="593" t="n"/>
      <c r="J20" s="9" t="n"/>
    </row>
    <row r="21" ht="25.2" customHeight="1" s="331">
      <c r="A21" s="6" t="n"/>
      <c r="B21" s="17" t="n"/>
      <c r="C21" s="18" t="n"/>
      <c r="D21" s="593" t="n"/>
      <c r="E21" s="11" t="n"/>
      <c r="F21" s="16" t="n"/>
      <c r="G21" s="17" t="n"/>
      <c r="H21" s="18" t="n"/>
      <c r="I21" s="593" t="n"/>
      <c r="J21" s="9" t="n"/>
    </row>
    <row r="22" ht="25.2" customHeight="1" s="331">
      <c r="A22" s="6" t="n"/>
      <c r="B22" s="17" t="n"/>
      <c r="C22" s="18" t="n"/>
      <c r="D22" s="593" t="n"/>
      <c r="E22" s="11" t="n"/>
      <c r="F22" s="16" t="n"/>
      <c r="G22" s="17" t="n"/>
      <c r="H22" s="18" t="n"/>
      <c r="I22" s="593" t="n"/>
      <c r="J22" s="9" t="n"/>
    </row>
    <row r="23" ht="25.2" customHeight="1" s="331">
      <c r="A23" s="6" t="n"/>
      <c r="B23" s="17" t="n"/>
      <c r="C23" s="18" t="n"/>
      <c r="D23" s="593" t="n"/>
      <c r="E23" s="11" t="n"/>
      <c r="F23" s="16" t="n"/>
      <c r="G23" s="17" t="n"/>
      <c r="H23" s="18" t="n"/>
      <c r="I23" s="593" t="n"/>
      <c r="J23" s="9" t="n"/>
    </row>
    <row r="24" ht="25.2" customHeight="1" s="331">
      <c r="A24" s="6" t="n"/>
      <c r="B24" s="17" t="n"/>
      <c r="C24" s="18" t="n"/>
      <c r="D24" s="593" t="n"/>
      <c r="E24" s="11" t="n"/>
      <c r="F24" s="16" t="n"/>
      <c r="G24" s="17" t="n"/>
      <c r="H24" s="18" t="n"/>
      <c r="I24" s="593" t="n"/>
      <c r="J24" s="9" t="n"/>
    </row>
    <row r="25" ht="25.2" customHeight="1" s="331">
      <c r="A25" s="6" t="n"/>
      <c r="B25" s="17" t="n"/>
      <c r="C25" s="18" t="n"/>
      <c r="D25" s="593" t="n"/>
      <c r="E25" s="11" t="n"/>
      <c r="F25" s="40" t="n"/>
      <c r="G25" s="17" t="n"/>
      <c r="H25" s="18" t="n"/>
      <c r="I25" s="593" t="n"/>
      <c r="J25" s="9" t="n"/>
    </row>
    <row r="26" ht="25.2" customHeight="1" s="331">
      <c r="A26" s="6" t="n"/>
      <c r="B26" s="17" t="n"/>
      <c r="C26" s="18" t="n"/>
      <c r="D26" s="593" t="n"/>
      <c r="E26" s="11" t="n"/>
      <c r="F26" s="16" t="n"/>
      <c r="G26" s="17" t="n"/>
      <c r="H26" s="18" t="n"/>
      <c r="I26" s="593" t="n"/>
      <c r="J26" s="9" t="n"/>
    </row>
    <row r="27" ht="25.2" customHeight="1" s="331">
      <c r="A27" s="6" t="n"/>
      <c r="B27" s="20" t="n"/>
      <c r="C27" s="596" t="n"/>
      <c r="D27" s="588" t="n"/>
      <c r="E27" s="19" t="n"/>
      <c r="F27" s="20" t="n"/>
      <c r="G27" s="20" t="n"/>
      <c r="H27" s="596" t="n"/>
      <c r="I27" s="588" t="n"/>
      <c r="J27" s="9" t="n"/>
    </row>
    <row r="28" ht="25.2" customHeight="1" s="331">
      <c r="A28" s="6" t="n"/>
      <c r="B28" s="20" t="n"/>
      <c r="C28" s="596" t="n"/>
      <c r="D28" s="588" t="n"/>
      <c r="E28" s="19" t="n"/>
      <c r="F28" s="41" t="n"/>
      <c r="G28" s="20" t="n"/>
      <c r="H28" s="596" t="n"/>
      <c r="I28" s="588" t="n"/>
      <c r="J28" s="9" t="n"/>
    </row>
    <row r="29" ht="25.2" customHeight="1" s="331">
      <c r="A29" s="6" t="n"/>
      <c r="B29" s="20" t="n"/>
      <c r="C29" s="596" t="n"/>
      <c r="D29" s="588" t="n"/>
      <c r="E29" s="19" t="n"/>
      <c r="F29" s="20" t="n"/>
      <c r="G29" s="20" t="n"/>
      <c r="H29" s="596" t="n"/>
      <c r="I29" s="588" t="n"/>
      <c r="J29" s="9" t="n"/>
    </row>
    <row r="30" ht="25.2" customHeight="1" s="331">
      <c r="A30" s="6" t="n"/>
      <c r="B30" s="20" t="n"/>
      <c r="C30" s="596" t="n"/>
      <c r="D30" s="588" t="n"/>
      <c r="E30" s="19" t="n"/>
      <c r="F30" s="20" t="n"/>
      <c r="G30" s="20" t="n"/>
      <c r="H30" s="596" t="n"/>
      <c r="I30" s="588" t="n"/>
      <c r="J30" s="9" t="n"/>
    </row>
    <row r="31" ht="25.2" customHeight="1" s="331">
      <c r="A31" s="6" t="n"/>
      <c r="B31" s="23" t="n"/>
      <c r="C31" s="596" t="n"/>
      <c r="D31" s="588" t="n"/>
      <c r="E31" s="22" t="n"/>
      <c r="F31" s="23" t="n"/>
      <c r="G31" s="23" t="n"/>
      <c r="H31" s="596" t="n"/>
      <c r="I31" s="588" t="n"/>
      <c r="J31" s="9" t="n"/>
    </row>
    <row r="32" ht="25.2" customHeight="1" s="331">
      <c r="A32" s="6" t="n"/>
      <c r="B32" s="24" t="n"/>
      <c r="C32" s="596" t="n"/>
      <c r="D32" s="588" t="n"/>
      <c r="E32" s="11" t="n"/>
      <c r="F32" s="24" t="n"/>
      <c r="G32" s="24" t="n"/>
      <c r="H32" s="596" t="n"/>
      <c r="I32" s="588" t="n"/>
      <c r="J32" s="9" t="n"/>
    </row>
    <row r="33" ht="25.2" customHeight="1" s="331">
      <c r="A33" s="6" t="n"/>
      <c r="B33" s="24" t="n"/>
      <c r="C33" s="596" t="n"/>
      <c r="D33" s="588" t="n"/>
      <c r="E33" s="38" t="n"/>
      <c r="F33" s="42" t="n"/>
      <c r="G33" s="24" t="n"/>
      <c r="H33" s="596" t="n"/>
      <c r="I33" s="588" t="n"/>
      <c r="J33" s="9" t="n"/>
    </row>
    <row r="34" ht="25.2" customHeight="1" s="331">
      <c r="A34" s="6" t="n"/>
      <c r="B34" s="24" t="n"/>
      <c r="C34" s="596" t="n"/>
      <c r="D34" s="588" t="n"/>
      <c r="E34" s="10" t="n"/>
      <c r="F34" s="24" t="n"/>
      <c r="G34" s="24" t="n"/>
      <c r="H34" s="596" t="n"/>
      <c r="I34" s="588" t="n"/>
      <c r="J34" s="9" t="n"/>
    </row>
    <row r="35" ht="25.2" customHeight="1" s="331">
      <c r="A35" s="6" t="n"/>
      <c r="B35" s="24" t="n"/>
      <c r="C35" s="596" t="n"/>
      <c r="D35" s="588" t="n"/>
      <c r="E35" s="10" t="n"/>
      <c r="F35" s="24" t="n"/>
      <c r="G35" s="24" t="n"/>
      <c r="H35" s="596" t="n"/>
      <c r="I35" s="588" t="n"/>
      <c r="J35" s="9" t="n"/>
    </row>
    <row r="36" ht="25.2" customHeight="1" s="331">
      <c r="A36" s="6" t="n"/>
      <c r="B36" s="24" t="n"/>
      <c r="C36" s="596" t="n"/>
      <c r="D36" s="588" t="n"/>
      <c r="E36" s="10" t="n"/>
      <c r="F36" s="24" t="n"/>
      <c r="G36" s="24" t="n"/>
      <c r="H36" s="596" t="n"/>
      <c r="I36" s="588" t="n"/>
      <c r="J36" s="9" t="n"/>
    </row>
    <row r="37" ht="25.2" customHeight="1" s="331">
      <c r="A37" s="6" t="n"/>
      <c r="B37" s="24" t="n"/>
      <c r="C37" s="596" t="n"/>
      <c r="D37" s="588" t="n"/>
      <c r="E37" s="10" t="n"/>
      <c r="F37" s="24" t="n"/>
      <c r="G37" s="24" t="n"/>
      <c r="H37" s="596" t="n"/>
      <c r="I37" s="588" t="n"/>
      <c r="J37" s="9" t="n"/>
    </row>
    <row r="38" ht="25.2" customHeight="1" s="331">
      <c r="A38" s="6" t="n"/>
      <c r="B38" s="24" t="n"/>
      <c r="C38" s="596" t="n"/>
      <c r="D38" s="588" t="n"/>
      <c r="E38" s="10" t="n"/>
      <c r="F38" s="42" t="n"/>
      <c r="G38" s="24" t="n"/>
      <c r="H38" s="596" t="n"/>
      <c r="I38" s="588" t="n"/>
      <c r="J38" s="9" t="n"/>
    </row>
  </sheetData>
  <mergeCells count="12">
    <mergeCell ref="A1:J1"/>
    <mergeCell ref="B5:D5"/>
    <mergeCell ref="G6:I6"/>
    <mergeCell ref="A4:D4"/>
    <mergeCell ref="A5:A7"/>
    <mergeCell ref="E5:I5"/>
    <mergeCell ref="E6:E7"/>
    <mergeCell ref="A2:J2"/>
    <mergeCell ref="J5:J7"/>
    <mergeCell ref="B6:D6"/>
    <mergeCell ref="F6:F7"/>
    <mergeCell ref="A3:E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48"/>
  <sheetViews>
    <sheetView topLeftCell="A10" zoomScale="145" zoomScaleNormal="145" workbookViewId="0">
      <selection activeCell="B26" sqref="B26"/>
    </sheetView>
  </sheetViews>
  <sheetFormatPr baseColWidth="8" defaultColWidth="9.109375" defaultRowHeight="14.25" customHeight="1"/>
  <cols>
    <col width="8.109375" customWidth="1" style="156" min="1" max="1"/>
    <col width="7" customWidth="1" style="155" min="2" max="2"/>
    <col width="19.33203125" customWidth="1" style="155" min="3" max="3"/>
    <col width="7.44140625" customWidth="1" style="155" min="4" max="4"/>
    <col width="17.88671875" customWidth="1" style="155" min="5" max="5"/>
    <col width="8.33203125" customWidth="1" style="623" min="6" max="6"/>
    <col width="11.109375" customWidth="1" style="155" min="7" max="7"/>
    <col width="11.88671875" customWidth="1" style="167" min="8" max="8"/>
    <col width="9" customWidth="1" style="155" min="9" max="9"/>
    <col width="5.44140625" customWidth="1" style="155" min="10" max="10"/>
    <col width="8.44140625" customWidth="1" style="155" min="11" max="11"/>
    <col width="4.33203125" customWidth="1" style="155" min="12" max="12"/>
    <col width="13.33203125" customWidth="1" style="155" min="13" max="13"/>
    <col width="15.109375" bestFit="1" customWidth="1" style="155" min="14" max="14"/>
    <col width="9.109375" customWidth="1" style="155" min="15" max="16384"/>
  </cols>
  <sheetData>
    <row r="1" ht="23.25" customFormat="1" customHeight="1" s="84">
      <c r="A1" s="483" t="inlineStr">
        <is>
          <t xml:space="preserve"> សៀវភៅទិនានុប្បវត្តិលក់- នាំចេញ</t>
        </is>
      </c>
      <c r="N1" s="83" t="n"/>
    </row>
    <row r="2" ht="22.5" customFormat="1" customHeight="1" s="85">
      <c r="A2" s="484" t="inlineStr">
        <is>
          <t xml:space="preserve"> ខែ​​ មិថុនា ឆ្នាំ ២០១៥</t>
        </is>
      </c>
      <c r="N2" s="83" t="n"/>
    </row>
    <row r="3" ht="22.5" customFormat="1" customHeight="1" s="95">
      <c r="A3" s="86" t="inlineStr">
        <is>
          <t xml:space="preserve">ជី អេវើរហ្រ្គីន( ខេមបូឌា​ ) នីតធីង  </t>
        </is>
      </c>
      <c r="B3" s="87" t="n"/>
      <c r="C3" s="484" t="n"/>
      <c r="D3" s="87" t="n"/>
      <c r="E3" s="484" t="n"/>
      <c r="F3" s="483" t="n"/>
      <c r="G3" s="483" t="n"/>
      <c r="H3" s="483" t="n"/>
      <c r="I3" s="90" t="n"/>
      <c r="J3" s="91" t="n"/>
      <c r="K3" s="86" t="inlineStr">
        <is>
          <t>Vat:100193102</t>
        </is>
      </c>
      <c r="L3" s="92" t="n"/>
      <c r="M3" s="93" t="n"/>
      <c r="N3" s="94" t="n"/>
      <c r="O3" s="94" t="n"/>
    </row>
    <row r="4" ht="18" customFormat="1" customHeight="1" s="104" thickBot="1">
      <c r="A4" s="96" t="inlineStr">
        <is>
          <t xml:space="preserve">ភូមិជ្រៃកោង សង្កាត់ចោមចៅ ខណ្ឌ ពោធិសែនជ័យ ក្រុង ភ្នំពេញ </t>
        </is>
      </c>
      <c r="B4" s="97" t="n"/>
      <c r="C4" s="98" t="n"/>
      <c r="D4" s="99" t="n"/>
      <c r="E4" s="99" t="n"/>
      <c r="F4" s="100" t="n"/>
      <c r="G4" s="100" t="n"/>
      <c r="H4" s="100" t="n"/>
      <c r="I4" s="101" t="n"/>
      <c r="J4" s="93" t="n"/>
      <c r="K4" s="97" t="inlineStr">
        <is>
          <t>Average:</t>
        </is>
      </c>
      <c r="L4" s="102" t="n">
        <v>4088</v>
      </c>
      <c r="M4" s="93" t="n"/>
      <c r="N4" s="103" t="n"/>
      <c r="O4" s="94" t="n"/>
    </row>
    <row r="5" ht="16.5" customFormat="1" customHeight="1" s="104">
      <c r="A5" s="485" t="inlineStr">
        <is>
          <t>វិក្ក័យប័ត្រ</t>
        </is>
      </c>
      <c r="B5" s="624" t="n"/>
      <c r="C5" s="624" t="n"/>
      <c r="D5" s="624" t="n"/>
      <c r="E5" s="624" t="n"/>
      <c r="F5" s="624" t="n"/>
      <c r="G5" s="624" t="n"/>
      <c r="H5" s="624" t="n"/>
      <c r="I5" s="487" t="inlineStr">
        <is>
          <t>ការផ្គត់ផ្គង់</t>
        </is>
      </c>
      <c r="J5" s="624" t="n"/>
      <c r="K5" s="624" t="n"/>
      <c r="L5" s="625" t="n"/>
      <c r="M5" s="105" t="n"/>
    </row>
    <row r="6" ht="14.25" customFormat="1" customHeight="1" s="104">
      <c r="A6" s="106" t="inlineStr">
        <is>
          <t>កាលបរិចេ្ឆទ</t>
        </is>
      </c>
      <c r="B6" s="107" t="inlineStr">
        <is>
          <t>វិក្ក័យប័ត្រ</t>
        </is>
      </c>
      <c r="C6" s="107" t="inlineStr">
        <is>
          <t>អ្នកទិញ</t>
        </is>
      </c>
      <c r="D6" s="107" t="inlineStr">
        <is>
          <t>លេខ អតប</t>
        </is>
      </c>
      <c r="E6" s="107" t="inlineStr">
        <is>
          <t>បរិយាយ</t>
        </is>
      </c>
      <c r="F6" s="488" t="inlineStr">
        <is>
          <t>បរិមាណ</t>
        </is>
      </c>
      <c r="G6" s="519" t="n"/>
      <c r="H6" s="108" t="n"/>
      <c r="I6" s="489" t="inlineStr">
        <is>
          <t>karlk;Cab;Gakr</t>
        </is>
      </c>
      <c r="J6" s="529" t="n"/>
      <c r="K6" s="529" t="n"/>
      <c r="L6" s="548" t="n"/>
      <c r="M6" s="109" t="inlineStr">
        <is>
          <t>សរុបថ្លៃទិញ</t>
        </is>
      </c>
    </row>
    <row r="7" ht="14.25" customFormat="1" customHeight="1" s="104">
      <c r="A7" s="110" t="n"/>
      <c r="B7" s="111" t="n"/>
      <c r="C7" s="111" t="n"/>
      <c r="D7" s="112" t="inlineStr">
        <is>
          <t>TIN</t>
        </is>
      </c>
      <c r="E7" s="113" t="n"/>
      <c r="F7" s="626" t="n"/>
      <c r="G7" s="114" t="inlineStr">
        <is>
          <t>ការផ្គត់ផ្គង់</t>
        </is>
      </c>
      <c r="H7" s="114" t="inlineStr">
        <is>
          <t>ការនាំចេញ</t>
        </is>
      </c>
      <c r="I7" s="494" t="inlineStr">
        <is>
          <t>lk;;»übuKþlCab;Gakr</t>
        </is>
      </c>
      <c r="J7" s="519" t="n"/>
      <c r="K7" s="494" t="inlineStr">
        <is>
          <t>lk;;»üGñkeRbIR)as;</t>
        </is>
      </c>
      <c r="L7" s="519" t="n"/>
      <c r="M7" s="109" t="inlineStr">
        <is>
          <t>រួមទាំអាករ</t>
        </is>
      </c>
    </row>
    <row r="8" ht="14.25" customFormat="1" customHeight="1" s="104">
      <c r="A8" s="115" t="n"/>
      <c r="B8" s="116" t="n"/>
      <c r="C8" s="116" t="n"/>
      <c r="D8" s="117" t="n"/>
      <c r="E8" s="118" t="n"/>
      <c r="F8" s="627" t="n"/>
      <c r="G8" s="184" t="inlineStr">
        <is>
          <t>មិនជាប់អាករ</t>
        </is>
      </c>
      <c r="H8" s="119" t="inlineStr">
        <is>
          <t>អត្រា​​ 0 %</t>
        </is>
      </c>
      <c r="I8" s="488" t="inlineStr">
        <is>
          <t>តំលៃជាប់អាករ</t>
        </is>
      </c>
      <c r="J8" s="488" t="inlineStr">
        <is>
          <t>អាករ</t>
        </is>
      </c>
      <c r="K8" s="488" t="inlineStr">
        <is>
          <t>តំលៃជាប់អាករ</t>
        </is>
      </c>
      <c r="L8" s="488" t="inlineStr">
        <is>
          <t>អាករ</t>
        </is>
      </c>
      <c r="M8" s="121" t="n"/>
    </row>
    <row r="9" ht="14.25" customFormat="1" customHeight="1" s="96">
      <c r="A9" s="628" t="n">
        <v>42160</v>
      </c>
      <c r="B9" s="132" t="inlineStr">
        <is>
          <t>E 55119</t>
        </is>
      </c>
      <c r="C9" s="124" t="inlineStr">
        <is>
          <t>LPP S.A</t>
        </is>
      </c>
      <c r="D9" s="125" t="n"/>
      <c r="E9" s="126" t="inlineStr">
        <is>
          <t>Men's Top</t>
        </is>
      </c>
      <c r="F9" s="629" t="inlineStr">
        <is>
          <t>137 CT</t>
        </is>
      </c>
      <c r="G9" s="129" t="n"/>
      <c r="H9" s="629" t="n">
        <v>41519138</v>
      </c>
      <c r="I9" s="488" t="n"/>
      <c r="J9" s="488" t="n"/>
      <c r="K9" s="129" t="n"/>
      <c r="L9" s="488" t="n"/>
      <c r="M9" s="630">
        <f>G9+H9</f>
        <v/>
      </c>
    </row>
    <row r="10" ht="14.25" customFormat="1" customHeight="1" s="96">
      <c r="A10" s="628" t="n">
        <v>42160</v>
      </c>
      <c r="B10" s="132" t="inlineStr">
        <is>
          <t>E 53624</t>
        </is>
      </c>
      <c r="C10" s="124" t="inlineStr">
        <is>
          <t>PRIMARK</t>
        </is>
      </c>
      <c r="D10" s="125" t="n"/>
      <c r="E10" s="126" t="inlineStr">
        <is>
          <t>See Val Note</t>
        </is>
      </c>
      <c r="F10" s="629" t="inlineStr">
        <is>
          <t>655 CT</t>
        </is>
      </c>
      <c r="G10" s="129" t="n"/>
      <c r="H10" s="629" t="n">
        <v>157610622</v>
      </c>
      <c r="I10" s="488" t="n"/>
      <c r="J10" s="488" t="n"/>
      <c r="K10" s="129" t="n"/>
      <c r="L10" s="488" t="n"/>
      <c r="M10" s="630">
        <f>G10+H10</f>
        <v/>
      </c>
    </row>
    <row r="11" ht="14.25" customFormat="1" customHeight="1" s="96">
      <c r="A11" s="628" t="n">
        <v>42160</v>
      </c>
      <c r="B11" s="132" t="inlineStr">
        <is>
          <t>E 9812</t>
        </is>
      </c>
      <c r="C11" s="124" t="inlineStr">
        <is>
          <t>SMYK SP Z.O.O</t>
        </is>
      </c>
      <c r="D11" s="125" t="n"/>
      <c r="E11" s="126" t="inlineStr">
        <is>
          <t>Girls Knitted Dress</t>
        </is>
      </c>
      <c r="F11" s="629" t="inlineStr">
        <is>
          <t>518 CT</t>
        </is>
      </c>
      <c r="G11" s="129" t="n"/>
      <c r="H11" s="629" t="n">
        <v>75926121</v>
      </c>
      <c r="I11" s="488" t="n"/>
      <c r="J11" s="488" t="n"/>
      <c r="K11" s="129" t="n"/>
      <c r="L11" s="488" t="n"/>
      <c r="M11" s="630">
        <f>G11+H11</f>
        <v/>
      </c>
    </row>
    <row r="12" ht="14.25" customFormat="1" customHeight="1" s="96">
      <c r="A12" s="628" t="n">
        <v>42164</v>
      </c>
      <c r="B12" s="132" t="inlineStr">
        <is>
          <t>E 10122</t>
        </is>
      </c>
      <c r="C12" s="124" t="inlineStr">
        <is>
          <t>SMYK SP Z.O.O</t>
        </is>
      </c>
      <c r="D12" s="125" t="n"/>
      <c r="E12" s="126" t="inlineStr">
        <is>
          <t>Girls Knitted Sweat Shirt</t>
        </is>
      </c>
      <c r="F12" s="629" t="inlineStr">
        <is>
          <t>404 CT</t>
        </is>
      </c>
      <c r="G12" s="129" t="n"/>
      <c r="H12" s="629" t="n">
        <v>109260590</v>
      </c>
      <c r="I12" s="488" t="n"/>
      <c r="J12" s="488" t="n"/>
      <c r="K12" s="129" t="n"/>
      <c r="L12" s="488" t="n"/>
      <c r="M12" s="630">
        <f>G12+H12</f>
        <v/>
      </c>
    </row>
    <row r="13" ht="14.25" customFormat="1" customHeight="1" s="96">
      <c r="A13" s="628" t="n">
        <v>42167</v>
      </c>
      <c r="B13" s="132" t="inlineStr">
        <is>
          <t>E 57854</t>
        </is>
      </c>
      <c r="C13" s="124" t="inlineStr">
        <is>
          <t>PRIMARK</t>
        </is>
      </c>
      <c r="D13" s="125" t="n"/>
      <c r="E13" s="126" t="inlineStr">
        <is>
          <t>Men's Long Sleeve Hoodie</t>
        </is>
      </c>
      <c r="F13" s="629" t="inlineStr">
        <is>
          <t>550 CT</t>
        </is>
      </c>
      <c r="G13" s="129" t="n"/>
      <c r="H13" s="629" t="n">
        <v>136860570</v>
      </c>
      <c r="I13" s="488" t="n"/>
      <c r="J13" s="488" t="n"/>
      <c r="K13" s="129" t="n"/>
      <c r="L13" s="488" t="n"/>
      <c r="M13" s="630">
        <f>G13+H13</f>
        <v/>
      </c>
    </row>
    <row r="14" ht="14.25" customFormat="1" customHeight="1" s="96">
      <c r="A14" s="628" t="n">
        <v>42167</v>
      </c>
      <c r="B14" s="132" t="inlineStr">
        <is>
          <t>E 57078</t>
        </is>
      </c>
      <c r="C14" s="124" t="inlineStr">
        <is>
          <t>LPP S.A</t>
        </is>
      </c>
      <c r="D14" s="125" t="n"/>
      <c r="E14" s="126" t="inlineStr">
        <is>
          <t>Men's Top</t>
        </is>
      </c>
      <c r="F14" s="629" t="inlineStr">
        <is>
          <t>1094 CT</t>
        </is>
      </c>
      <c r="G14" s="129" t="n"/>
      <c r="H14" s="629" t="n">
        <v>189450332</v>
      </c>
      <c r="I14" s="488" t="n"/>
      <c r="J14" s="488" t="n"/>
      <c r="K14" s="129" t="n"/>
      <c r="L14" s="488" t="n"/>
      <c r="M14" s="630">
        <f>G14+H14</f>
        <v/>
      </c>
    </row>
    <row r="15" ht="14.25" customFormat="1" customHeight="1" s="96">
      <c r="A15" s="628" t="n">
        <v>42174</v>
      </c>
      <c r="B15" s="132" t="inlineStr">
        <is>
          <t>E 60607</t>
        </is>
      </c>
      <c r="C15" s="124" t="inlineStr">
        <is>
          <t>CAPRI SRL</t>
        </is>
      </c>
      <c r="D15" s="125" t="n"/>
      <c r="E15" s="126" t="inlineStr">
        <is>
          <t>Men's Hoody</t>
        </is>
      </c>
      <c r="F15" s="629" t="inlineStr">
        <is>
          <t>827 CT</t>
        </is>
      </c>
      <c r="G15" s="129" t="n"/>
      <c r="H15" s="629" t="n">
        <v>267888456</v>
      </c>
      <c r="I15" s="488" t="n"/>
      <c r="J15" s="488" t="n"/>
      <c r="K15" s="129" t="n"/>
      <c r="L15" s="488" t="n"/>
      <c r="M15" s="630">
        <f>G15+H15</f>
        <v/>
      </c>
    </row>
    <row r="16" ht="14.25" customFormat="1" customHeight="1" s="96">
      <c r="A16" s="628" t="n">
        <v>42174</v>
      </c>
      <c r="B16" s="132" t="inlineStr">
        <is>
          <t>E 59730</t>
        </is>
      </c>
      <c r="C16" s="124" t="inlineStr">
        <is>
          <t>LPP S.A</t>
        </is>
      </c>
      <c r="D16" s="125" t="n"/>
      <c r="E16" s="124" t="inlineStr">
        <is>
          <t>Men's Jogging Top</t>
        </is>
      </c>
      <c r="F16" s="629" t="inlineStr">
        <is>
          <t>815 CT</t>
        </is>
      </c>
      <c r="G16" s="129" t="n"/>
      <c r="H16" s="629" t="n">
        <v>233561904</v>
      </c>
      <c r="I16" s="488" t="n"/>
      <c r="J16" s="488" t="n"/>
      <c r="K16" s="129" t="n"/>
      <c r="L16" s="488" t="n"/>
      <c r="M16" s="630">
        <f>G16+H16</f>
        <v/>
      </c>
    </row>
    <row r="17" ht="14.25" customFormat="1" customHeight="1" s="96">
      <c r="A17" s="628" t="n">
        <v>42174</v>
      </c>
      <c r="B17" s="132" t="inlineStr">
        <is>
          <t>E 60079</t>
        </is>
      </c>
      <c r="C17" s="124" t="inlineStr">
        <is>
          <t>LPP S.A</t>
        </is>
      </c>
      <c r="D17" s="125" t="n"/>
      <c r="E17" s="126" t="inlineStr">
        <is>
          <t>Men's Sweater +Top</t>
        </is>
      </c>
      <c r="F17" s="629" t="inlineStr">
        <is>
          <t>400 CT</t>
        </is>
      </c>
      <c r="G17" s="129" t="n"/>
      <c r="H17" s="629" t="n">
        <v>106100285</v>
      </c>
      <c r="I17" s="488" t="n"/>
      <c r="J17" s="488" t="n"/>
      <c r="K17" s="129" t="n"/>
      <c r="L17" s="488" t="n"/>
      <c r="M17" s="630">
        <f>G17+H17</f>
        <v/>
      </c>
    </row>
    <row r="18" ht="14.25" customFormat="1" customHeight="1" s="96">
      <c r="A18" s="628" t="n">
        <v>42175</v>
      </c>
      <c r="B18" s="132" t="inlineStr">
        <is>
          <t>E 61426</t>
        </is>
      </c>
      <c r="C18" s="124" t="inlineStr">
        <is>
          <t>VISAGE LIMITED</t>
        </is>
      </c>
      <c r="D18" s="125" t="n"/>
      <c r="E18" s="126" t="inlineStr">
        <is>
          <t>Men's Pari / Monica / Leyton Crew</t>
        </is>
      </c>
      <c r="F18" s="629" t="inlineStr">
        <is>
          <t>556 CT</t>
        </is>
      </c>
      <c r="G18" s="129" t="n"/>
      <c r="H18" s="629" t="n">
        <v>145296432</v>
      </c>
      <c r="I18" s="488" t="n"/>
      <c r="J18" s="488" t="n"/>
      <c r="K18" s="129" t="n"/>
      <c r="L18" s="488" t="n"/>
      <c r="M18" s="630">
        <f>G18+H18</f>
        <v/>
      </c>
    </row>
    <row r="19" ht="14.25" customFormat="1" customHeight="1" s="96">
      <c r="A19" s="628" t="n">
        <v>42175</v>
      </c>
      <c r="B19" s="132" t="inlineStr">
        <is>
          <t>E 61432</t>
        </is>
      </c>
      <c r="C19" s="124" t="inlineStr">
        <is>
          <t>PRIMARK STORES LIMITED</t>
        </is>
      </c>
      <c r="D19" s="125" t="n"/>
      <c r="E19" s="126" t="inlineStr">
        <is>
          <t>See Val Note</t>
        </is>
      </c>
      <c r="F19" s="629" t="inlineStr">
        <is>
          <t>1220 CT</t>
        </is>
      </c>
      <c r="G19" s="129" t="n"/>
      <c r="H19" s="629" t="n">
        <v>299682480</v>
      </c>
      <c r="I19" s="488" t="n"/>
      <c r="J19" s="488" t="n"/>
      <c r="K19" s="129" t="n"/>
      <c r="L19" s="488" t="n"/>
      <c r="M19" s="630">
        <f>G19+H19</f>
        <v/>
      </c>
    </row>
    <row r="20" ht="14.25" customFormat="1" customHeight="1" s="96">
      <c r="A20" s="628" t="n">
        <v>42181</v>
      </c>
      <c r="B20" s="132" t="inlineStr">
        <is>
          <t>E 63424</t>
        </is>
      </c>
      <c r="C20" s="124" t="inlineStr">
        <is>
          <t>PRIMARK US CORP</t>
        </is>
      </c>
      <c r="D20" s="125" t="n"/>
      <c r="E20" s="126" t="inlineStr">
        <is>
          <t>Men Chest Print Zip</t>
        </is>
      </c>
      <c r="F20" s="629" t="inlineStr">
        <is>
          <t>37 CT</t>
        </is>
      </c>
      <c r="G20" s="129" t="n"/>
      <c r="H20" s="629" t="n">
        <v>6493691</v>
      </c>
      <c r="I20" s="488" t="n"/>
      <c r="J20" s="488" t="n"/>
      <c r="K20" s="129" t="n"/>
      <c r="L20" s="488" t="n"/>
      <c r="M20" s="630">
        <f>G20+H20</f>
        <v/>
      </c>
    </row>
    <row r="21" ht="14.25" customFormat="1" customHeight="1" s="96">
      <c r="A21" s="628" t="n">
        <v>42181</v>
      </c>
      <c r="B21" s="132" t="inlineStr">
        <is>
          <t>E 62715</t>
        </is>
      </c>
      <c r="C21" s="124" t="inlineStr">
        <is>
          <t>LPP S.A</t>
        </is>
      </c>
      <c r="D21" s="125" t="n"/>
      <c r="E21" s="126" t="inlineStr">
        <is>
          <t>Men's Top</t>
        </is>
      </c>
      <c r="F21" s="629" t="inlineStr">
        <is>
          <t>145 CT</t>
        </is>
      </c>
      <c r="G21" s="129" t="n"/>
      <c r="H21" s="629" t="n">
        <v>26361287</v>
      </c>
      <c r="I21" s="488" t="n"/>
      <c r="J21" s="488" t="n"/>
      <c r="K21" s="129" t="n"/>
      <c r="L21" s="488" t="n"/>
      <c r="M21" s="630">
        <f>G21+H21</f>
        <v/>
      </c>
    </row>
    <row r="22" ht="20.25" customFormat="1" customHeight="1" s="96">
      <c r="A22" s="628" t="n">
        <v>42181</v>
      </c>
      <c r="B22" s="132" t="inlineStr">
        <is>
          <t>E 63568</t>
        </is>
      </c>
      <c r="C22" s="124" t="inlineStr">
        <is>
          <t>VISAGE LIMITED</t>
        </is>
      </c>
      <c r="D22" s="125" t="n"/>
      <c r="E22" s="126" t="inlineStr">
        <is>
          <t>Men's Morgan Crew + Connect Crew+ Leyton</t>
        </is>
      </c>
      <c r="F22" s="629" t="inlineStr">
        <is>
          <t>338 CT</t>
        </is>
      </c>
      <c r="G22" s="129" t="n"/>
      <c r="H22" s="629" t="n">
        <v>94840834</v>
      </c>
      <c r="I22" s="488" t="n"/>
      <c r="J22" s="488" t="n"/>
      <c r="K22" s="129" t="n"/>
      <c r="L22" s="488" t="n"/>
      <c r="M22" s="630">
        <f>G22+H22</f>
        <v/>
      </c>
    </row>
    <row r="23" ht="14.25" customFormat="1" customHeight="1" s="139">
      <c r="A23" s="631">
        <f>L4</f>
        <v/>
      </c>
      <c r="B23" s="531" t="n"/>
      <c r="C23" s="531" t="n"/>
      <c r="D23" s="519" t="n"/>
      <c r="E23" s="133" t="inlineStr">
        <is>
          <t>Riel</t>
        </is>
      </c>
      <c r="F23" s="632">
        <f>SUM(F9:F22)</f>
        <v/>
      </c>
      <c r="G23" s="135" t="n"/>
      <c r="H23" s="633">
        <f>SUM(H9:H22)</f>
        <v/>
      </c>
      <c r="I23" s="137" t="n"/>
      <c r="J23" s="137" t="n"/>
      <c r="K23" s="137" t="n"/>
      <c r="L23" s="137" t="n"/>
      <c r="M23" s="634">
        <f>SUM(M9:M22)</f>
        <v/>
      </c>
    </row>
    <row r="24" ht="14.25" customFormat="1" customHeight="1" s="139" thickBot="1">
      <c r="A24" s="635" t="inlineStr">
        <is>
          <t>Total USD</t>
        </is>
      </c>
      <c r="B24" s="636" t="n"/>
      <c r="C24" s="636" t="n"/>
      <c r="D24" s="637" t="n"/>
      <c r="E24" s="140" t="inlineStr">
        <is>
          <t>USD</t>
        </is>
      </c>
      <c r="F24" s="638" t="n"/>
      <c r="G24" s="143">
        <f>G23/L4</f>
        <v/>
      </c>
      <c r="H24" s="639">
        <f>H23/L4</f>
        <v/>
      </c>
      <c r="I24" s="640">
        <f>I23*4034</f>
        <v/>
      </c>
      <c r="J24" s="640">
        <f>J23*4034</f>
        <v/>
      </c>
      <c r="K24" s="640">
        <f>K23*4034</f>
        <v/>
      </c>
      <c r="L24" s="640">
        <f>L23*4034</f>
        <v/>
      </c>
      <c r="M24" s="641">
        <f>M23/L4</f>
        <v/>
      </c>
    </row>
    <row r="25" ht="15.75" customFormat="1" customHeight="1" s="151">
      <c r="A25" s="147" t="n"/>
      <c r="B25" s="148" t="n"/>
      <c r="C25" s="148" t="n"/>
      <c r="D25" s="148" t="n"/>
      <c r="E25" s="148" t="n"/>
      <c r="F25" s="642" t="n"/>
      <c r="G25" s="148" t="inlineStr">
        <is>
          <t>Box 12</t>
        </is>
      </c>
      <c r="H25" s="150" t="inlineStr">
        <is>
          <t>Box 13</t>
        </is>
      </c>
      <c r="I25" s="148" t="inlineStr">
        <is>
          <t>Box 14</t>
        </is>
      </c>
      <c r="J25" s="148" t="inlineStr">
        <is>
          <t>Box 15</t>
        </is>
      </c>
      <c r="K25" s="148" t="inlineStr">
        <is>
          <t>Box 14</t>
        </is>
      </c>
      <c r="L25" s="148" t="inlineStr">
        <is>
          <t>Box 15</t>
        </is>
      </c>
      <c r="M25" s="148" t="n"/>
    </row>
    <row r="26" ht="14.25" customHeight="1" s="331">
      <c r="A26" s="152" t="n"/>
      <c r="B26" s="153" t="n"/>
      <c r="C26" s="153" t="n"/>
      <c r="D26" s="153" t="n"/>
      <c r="E26" s="153" t="n"/>
      <c r="F26" s="643" t="n"/>
      <c r="G26" s="153" t="n"/>
      <c r="H26" s="481" t="inlineStr">
        <is>
          <t>Approved By :</t>
        </is>
      </c>
    </row>
    <row r="27" ht="19.5" customHeight="1" s="331">
      <c r="H27" s="482" t="n"/>
      <c r="N27" s="644">
        <f>H23*1%</f>
        <v/>
      </c>
    </row>
    <row r="28" hidden="1" ht="18" customHeight="1" s="331">
      <c r="H28" s="645">
        <f>H24*1%</f>
        <v/>
      </c>
      <c r="I28" s="160" t="n"/>
      <c r="J28" s="646" t="n"/>
      <c r="K28" s="647" t="n"/>
      <c r="L28" s="647" t="n"/>
    </row>
    <row r="29" ht="14.25" customHeight="1" s="331">
      <c r="G29" s="155" t="inlineStr">
        <is>
          <t>Sales</t>
        </is>
      </c>
      <c r="H29" s="163" t="n"/>
      <c r="I29" s="491" t="n"/>
      <c r="L29" s="163" t="n"/>
    </row>
    <row r="30" ht="14.25" customHeight="1" s="331">
      <c r="C30" s="164" t="n"/>
      <c r="D30" s="165" t="n"/>
      <c r="E30" s="165" t="n"/>
      <c r="F30" s="648" t="n"/>
      <c r="G30" s="649" t="inlineStr">
        <is>
          <t>July</t>
        </is>
      </c>
      <c r="H30" s="650">
        <f>'Sale - Jul'!H30</f>
        <v/>
      </c>
      <c r="I30" s="651" t="inlineStr">
        <is>
          <t>21 invoices</t>
        </is>
      </c>
    </row>
    <row r="31" ht="14.25" customHeight="1" s="331">
      <c r="F31" s="623" t="n"/>
      <c r="G31" s="649" t="inlineStr">
        <is>
          <t>Aug</t>
        </is>
      </c>
      <c r="H31" s="652">
        <f>'Sale - Aug'!I47</f>
        <v/>
      </c>
      <c r="I31" s="651" t="inlineStr">
        <is>
          <t>38 invoices</t>
        </is>
      </c>
    </row>
    <row r="32" ht="14.25" customHeight="1" s="331">
      <c r="C32" s="170" t="n"/>
      <c r="D32" s="171" t="n"/>
      <c r="E32" s="172" t="n"/>
      <c r="F32" s="171" t="n"/>
      <c r="G32" s="649" t="inlineStr">
        <is>
          <t>June</t>
        </is>
      </c>
      <c r="H32" s="653">
        <f>H23</f>
        <v/>
      </c>
      <c r="I32" s="651" t="inlineStr">
        <is>
          <t>14 invoices</t>
        </is>
      </c>
      <c r="J32" s="175" t="n"/>
      <c r="K32" s="175" t="n"/>
    </row>
    <row r="33" ht="14.25" customHeight="1" s="331" thickBot="1">
      <c r="F33" s="623" t="n"/>
      <c r="G33" s="155" t="inlineStr">
        <is>
          <t>Total:</t>
        </is>
      </c>
      <c r="H33" s="654">
        <f>SUM(H30:H32)</f>
        <v/>
      </c>
      <c r="I33" s="177">
        <f>14+38+21</f>
        <v/>
      </c>
      <c r="J33" s="177" t="n"/>
      <c r="K33" s="139" t="n"/>
    </row>
    <row r="34" ht="14.25" customHeight="1" s="331" thickTop="1">
      <c r="H34" s="173" t="n"/>
      <c r="I34" s="655" t="n"/>
      <c r="J34" s="139" t="n"/>
      <c r="K34" s="139" t="n"/>
    </row>
    <row r="35" ht="14.25" customHeight="1" s="331">
      <c r="H35" s="656" t="n"/>
      <c r="I35" s="651" t="n"/>
      <c r="J35" s="139" t="n"/>
      <c r="K35" s="139" t="n"/>
    </row>
    <row r="36" ht="14.25" customHeight="1" s="331">
      <c r="H36" s="657" t="n"/>
      <c r="J36" s="139" t="n"/>
      <c r="K36" s="139" t="n"/>
      <c r="M36" s="658" t="n"/>
    </row>
    <row r="37" hidden="1" ht="14.25" customHeight="1" s="331">
      <c r="H37" s="659">
        <f>H24*1%</f>
        <v/>
      </c>
    </row>
    <row r="38" ht="14.25" customHeight="1" s="331">
      <c r="H38" s="175" t="n"/>
      <c r="I38" s="139" t="n"/>
    </row>
    <row r="39" ht="14.25" customHeight="1" s="331">
      <c r="H39" s="175" t="n"/>
    </row>
    <row r="40" ht="14.25" customHeight="1" s="331">
      <c r="H40" s="175" t="n"/>
    </row>
    <row r="41" ht="14.25" customHeight="1" s="331">
      <c r="H41" s="175" t="n"/>
    </row>
    <row r="42" ht="14.25" customHeight="1" s="331">
      <c r="H42" s="651" t="n"/>
    </row>
    <row r="43" ht="14.25" customHeight="1" s="331">
      <c r="H43" s="175" t="n"/>
    </row>
    <row r="44" ht="14.25" customHeight="1" s="331">
      <c r="H44" s="175" t="n"/>
    </row>
    <row r="45" ht="14.25" customHeight="1" s="331">
      <c r="H45" s="175" t="n"/>
    </row>
    <row r="46" ht="14.25" customHeight="1" s="331">
      <c r="H46" s="175" t="n"/>
    </row>
    <row r="47" ht="14.25" customHeight="1" s="331">
      <c r="H47" s="175" t="n"/>
    </row>
    <row r="48" ht="14.25" customHeight="1" s="331">
      <c r="H48" s="175" t="n"/>
    </row>
  </sheetData>
  <mergeCells count="15">
    <mergeCell ref="A23:D23"/>
    <mergeCell ref="K7:L7"/>
    <mergeCell ref="A1:M1"/>
    <mergeCell ref="I29:K29"/>
    <mergeCell ref="I7:J7"/>
    <mergeCell ref="I6:L6"/>
    <mergeCell ref="H27:M27"/>
    <mergeCell ref="H37:I37"/>
    <mergeCell ref="A24:D24"/>
    <mergeCell ref="H36:I36"/>
    <mergeCell ref="A5:H5"/>
    <mergeCell ref="F6:G6"/>
    <mergeCell ref="A2:M2"/>
    <mergeCell ref="H26:M26"/>
    <mergeCell ref="I5:L5"/>
  </mergeCells>
  <pageMargins left="0.45" right="0.16" top="0.51" bottom="0.5" header="0.46" footer="0.2"/>
  <pageSetup orientation="landscape" verticalDpi="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55"/>
  <sheetViews>
    <sheetView topLeftCell="A16" zoomScale="145" zoomScaleNormal="145" workbookViewId="0">
      <selection activeCell="D32" sqref="D32"/>
    </sheetView>
  </sheetViews>
  <sheetFormatPr baseColWidth="8" defaultColWidth="9.109375" defaultRowHeight="14.25" customHeight="1"/>
  <cols>
    <col width="8.109375" customWidth="1" style="156" min="1" max="1"/>
    <col width="7" customWidth="1" style="155" min="2" max="2"/>
    <col width="19.33203125" customWidth="1" style="155" min="3" max="3"/>
    <col width="7.44140625" customWidth="1" style="155" min="4" max="4"/>
    <col width="17.88671875" customWidth="1" style="155" min="5" max="5"/>
    <col width="8.33203125" customWidth="1" style="623" min="6" max="6"/>
    <col width="11.109375" customWidth="1" style="155" min="7" max="7"/>
    <col width="11.88671875" customWidth="1" style="167" min="8" max="8"/>
    <col width="9" customWidth="1" style="155" min="9" max="9"/>
    <col width="5.44140625" customWidth="1" style="155" min="10" max="10"/>
    <col width="8.44140625" customWidth="1" style="155" min="11" max="11"/>
    <col width="4.33203125" customWidth="1" style="155" min="12" max="12"/>
    <col width="13.33203125" customWidth="1" style="155" min="13" max="13"/>
    <col width="15.109375" bestFit="1" customWidth="1" style="155" min="14" max="14"/>
    <col width="9.109375" customWidth="1" style="155" min="15" max="16384"/>
  </cols>
  <sheetData>
    <row r="1" ht="23.25" customFormat="1" customHeight="1" s="84">
      <c r="A1" s="483" t="inlineStr">
        <is>
          <t xml:space="preserve"> សៀវភៅទិនានុប្បវត្តិលក់- នាំចេញ</t>
        </is>
      </c>
      <c r="N1" s="83" t="n"/>
    </row>
    <row r="2" ht="22.5" customFormat="1" customHeight="1" s="85">
      <c r="A2" s="484" t="inlineStr">
        <is>
          <t xml:space="preserve"> ខែ​​ កក្កដា ឆ្នាំ ២០១៥</t>
        </is>
      </c>
      <c r="N2" s="83" t="n"/>
    </row>
    <row r="3" ht="22.5" customFormat="1" customHeight="1" s="95">
      <c r="A3" s="86" t="inlineStr">
        <is>
          <t xml:space="preserve">ជី អេវើរហ្រ្គីន( ខេមបូឌា​ ) នីតធីង  </t>
        </is>
      </c>
      <c r="B3" s="87" t="n"/>
      <c r="C3" s="484" t="n"/>
      <c r="D3" s="87" t="n"/>
      <c r="E3" s="484" t="n"/>
      <c r="F3" s="483" t="n"/>
      <c r="G3" s="483" t="n"/>
      <c r="H3" s="483" t="n"/>
      <c r="I3" s="90" t="n"/>
      <c r="J3" s="91" t="n"/>
      <c r="K3" s="86" t="inlineStr">
        <is>
          <t>Vat:100193102</t>
        </is>
      </c>
      <c r="L3" s="92" t="n"/>
      <c r="M3" s="93" t="n"/>
      <c r="N3" s="94" t="n"/>
      <c r="O3" s="94" t="n"/>
    </row>
    <row r="4" ht="18" customFormat="1" customHeight="1" s="104" thickBot="1">
      <c r="A4" s="96" t="inlineStr">
        <is>
          <t xml:space="preserve">ភូមិជ្រៃកោង សង្កាត់ចោមចៅ ខណ្ឌ ពោធិសែនជ័យ ក្រុង ភ្នំពេញ </t>
        </is>
      </c>
      <c r="B4" s="97" t="n"/>
      <c r="C4" s="98" t="n"/>
      <c r="D4" s="99" t="n"/>
      <c r="E4" s="99" t="n"/>
      <c r="F4" s="100" t="n"/>
      <c r="G4" s="100" t="n"/>
      <c r="H4" s="100" t="n"/>
      <c r="I4" s="101" t="n"/>
      <c r="J4" s="93" t="n"/>
      <c r="K4" s="97" t="inlineStr">
        <is>
          <t>Average:</t>
        </is>
      </c>
      <c r="L4" s="102" t="n">
        <v>4099</v>
      </c>
      <c r="M4" s="93" t="n"/>
      <c r="N4" s="103" t="n"/>
      <c r="O4" s="94" t="n"/>
    </row>
    <row r="5" ht="16.5" customFormat="1" customHeight="1" s="104">
      <c r="A5" s="485" t="inlineStr">
        <is>
          <t>វិក្ក័យប័ត្រ</t>
        </is>
      </c>
      <c r="B5" s="624" t="n"/>
      <c r="C5" s="624" t="n"/>
      <c r="D5" s="624" t="n"/>
      <c r="E5" s="624" t="n"/>
      <c r="F5" s="624" t="n"/>
      <c r="G5" s="624" t="n"/>
      <c r="H5" s="624" t="n"/>
      <c r="I5" s="487" t="inlineStr">
        <is>
          <t>ការផ្គត់ផ្គង់</t>
        </is>
      </c>
      <c r="J5" s="624" t="n"/>
      <c r="K5" s="624" t="n"/>
      <c r="L5" s="625" t="n"/>
      <c r="M5" s="105" t="n"/>
    </row>
    <row r="6" ht="14.25" customFormat="1" customHeight="1" s="104">
      <c r="A6" s="106" t="inlineStr">
        <is>
          <t>កាលបរិចេ្ឆទ</t>
        </is>
      </c>
      <c r="B6" s="107" t="inlineStr">
        <is>
          <t>វិក្ក័យប័ត្រ</t>
        </is>
      </c>
      <c r="C6" s="107" t="inlineStr">
        <is>
          <t>អ្នកទិញ</t>
        </is>
      </c>
      <c r="D6" s="107" t="inlineStr">
        <is>
          <t>លេខ អតប</t>
        </is>
      </c>
      <c r="E6" s="107" t="inlineStr">
        <is>
          <t>បរិយាយ</t>
        </is>
      </c>
      <c r="F6" s="488" t="inlineStr">
        <is>
          <t>បរិមាណ</t>
        </is>
      </c>
      <c r="G6" s="519" t="n"/>
      <c r="H6" s="108" t="n"/>
      <c r="I6" s="489" t="inlineStr">
        <is>
          <t>karlk;Cab;Gakr</t>
        </is>
      </c>
      <c r="J6" s="529" t="n"/>
      <c r="K6" s="529" t="n"/>
      <c r="L6" s="548" t="n"/>
      <c r="M6" s="109" t="inlineStr">
        <is>
          <t>សរុបថ្លៃទិញ</t>
        </is>
      </c>
    </row>
    <row r="7" ht="14.25" customFormat="1" customHeight="1" s="104">
      <c r="A7" s="110" t="n"/>
      <c r="B7" s="111" t="n"/>
      <c r="C7" s="111" t="n"/>
      <c r="D7" s="112" t="inlineStr">
        <is>
          <t>TIN</t>
        </is>
      </c>
      <c r="E7" s="113" t="n"/>
      <c r="F7" s="626" t="n"/>
      <c r="G7" s="114" t="inlineStr">
        <is>
          <t>ការផ្គត់ផ្គង់</t>
        </is>
      </c>
      <c r="H7" s="114" t="inlineStr">
        <is>
          <t>ការនាំចេញ</t>
        </is>
      </c>
      <c r="I7" s="494" t="inlineStr">
        <is>
          <t>lk;;»übuKþlCab;Gakr</t>
        </is>
      </c>
      <c r="J7" s="519" t="n"/>
      <c r="K7" s="494" t="inlineStr">
        <is>
          <t>lk;;»üGñkeRbIR)as;</t>
        </is>
      </c>
      <c r="L7" s="519" t="n"/>
      <c r="M7" s="109" t="inlineStr">
        <is>
          <t>រួមទាំអាករ</t>
        </is>
      </c>
    </row>
    <row r="8" ht="14.25" customFormat="1" customHeight="1" s="104">
      <c r="A8" s="115" t="n"/>
      <c r="B8" s="116" t="n"/>
      <c r="C8" s="116" t="n"/>
      <c r="D8" s="117" t="n"/>
      <c r="E8" s="118" t="n"/>
      <c r="F8" s="627" t="n"/>
      <c r="G8" s="184" t="inlineStr">
        <is>
          <t>មិនជាប់អាករ</t>
        </is>
      </c>
      <c r="H8" s="119" t="inlineStr">
        <is>
          <t>អត្រា​​ 0 %</t>
        </is>
      </c>
      <c r="I8" s="488" t="inlineStr">
        <is>
          <t>តំលៃជាប់អាករ</t>
        </is>
      </c>
      <c r="J8" s="488" t="inlineStr">
        <is>
          <t>អាករ</t>
        </is>
      </c>
      <c r="K8" s="488" t="inlineStr">
        <is>
          <t>តំលៃជាប់អាករ</t>
        </is>
      </c>
      <c r="L8" s="488" t="inlineStr">
        <is>
          <t>អាករ</t>
        </is>
      </c>
      <c r="M8" s="121" t="n"/>
    </row>
    <row r="9" ht="14.25" customFormat="1" customHeight="1" s="96">
      <c r="A9" s="628" t="n">
        <v>42188</v>
      </c>
      <c r="B9" s="123" t="inlineStr">
        <is>
          <t>E 65884</t>
        </is>
      </c>
      <c r="C9" s="124" t="inlineStr">
        <is>
          <t>LPP S.A</t>
        </is>
      </c>
      <c r="D9" s="125" t="n"/>
      <c r="E9" s="126" t="inlineStr">
        <is>
          <t>Men's Jogging Top</t>
        </is>
      </c>
      <c r="F9" s="629" t="inlineStr">
        <is>
          <t>1841 CT</t>
        </is>
      </c>
      <c r="G9" s="129" t="n"/>
      <c r="H9" s="629" t="n">
        <v>469164366</v>
      </c>
      <c r="I9" s="488" t="n"/>
      <c r="J9" s="488" t="n"/>
      <c r="K9" s="129" t="n"/>
      <c r="L9" s="488" t="n"/>
      <c r="M9" s="630">
        <f>G9+H9</f>
        <v/>
      </c>
    </row>
    <row r="10" ht="14.25" customFormat="1" customHeight="1" s="96">
      <c r="A10" s="628" t="n">
        <v>42188</v>
      </c>
      <c r="B10" s="123" t="inlineStr">
        <is>
          <t>E 65884</t>
        </is>
      </c>
      <c r="C10" s="124" t="inlineStr">
        <is>
          <t>LPP S.A</t>
        </is>
      </c>
      <c r="D10" s="125" t="n"/>
      <c r="E10" s="126" t="inlineStr">
        <is>
          <t>Men's Knit Trousers</t>
        </is>
      </c>
      <c r="F10" s="629" t="inlineStr">
        <is>
          <t>631 CT</t>
        </is>
      </c>
      <c r="G10" s="129" t="n"/>
      <c r="H10" s="629" t="n">
        <v>224637197</v>
      </c>
      <c r="I10" s="488" t="n"/>
      <c r="J10" s="488" t="n"/>
      <c r="K10" s="129" t="n"/>
      <c r="L10" s="488" t="n"/>
      <c r="M10" s="630">
        <f>G10+H10</f>
        <v/>
      </c>
    </row>
    <row r="11" ht="14.25" customFormat="1" customHeight="1" s="96">
      <c r="A11" s="628" t="n">
        <v>42188</v>
      </c>
      <c r="B11" s="123" t="inlineStr">
        <is>
          <t>E 65484</t>
        </is>
      </c>
      <c r="C11" s="124" t="inlineStr">
        <is>
          <t>Primark Tiendas Slu</t>
        </is>
      </c>
      <c r="D11" s="125" t="n"/>
      <c r="E11" s="126" t="inlineStr">
        <is>
          <t>Men's Zip Thru Hoody</t>
        </is>
      </c>
      <c r="F11" s="629" t="inlineStr">
        <is>
          <t>343 CT</t>
        </is>
      </c>
      <c r="G11" s="129" t="n"/>
      <c r="H11" s="629" t="n">
        <v>88553682</v>
      </c>
      <c r="I11" s="488" t="n"/>
      <c r="J11" s="488" t="n"/>
      <c r="K11" s="129" t="n"/>
      <c r="L11" s="488" t="n"/>
      <c r="M11" s="630">
        <f>G11+H11</f>
        <v/>
      </c>
    </row>
    <row r="12" ht="14.25" customFormat="1" customHeight="1" s="96">
      <c r="A12" s="628" t="n">
        <v>42189</v>
      </c>
      <c r="B12" s="123" t="inlineStr">
        <is>
          <t>E 67494</t>
        </is>
      </c>
      <c r="C12" s="124" t="inlineStr">
        <is>
          <t>PRIMARK</t>
        </is>
      </c>
      <c r="D12" s="125" t="n"/>
      <c r="E12" s="126" t="inlineStr">
        <is>
          <t>Men's Long Sleeve Zip Thru Hoodie</t>
        </is>
      </c>
      <c r="F12" s="629" t="inlineStr">
        <is>
          <t>1093 CT</t>
        </is>
      </c>
      <c r="G12" s="129" t="n"/>
      <c r="H12" s="629" t="n">
        <v>282184182</v>
      </c>
      <c r="I12" s="488" t="n"/>
      <c r="J12" s="488" t="n"/>
      <c r="K12" s="129" t="n"/>
      <c r="L12" s="488" t="n"/>
      <c r="M12" s="630">
        <f>G12+H12</f>
        <v/>
      </c>
    </row>
    <row r="13" ht="14.25" customFormat="1" customHeight="1" s="96">
      <c r="A13" s="628" t="n">
        <v>42194</v>
      </c>
      <c r="B13" s="123" t="inlineStr">
        <is>
          <t>E 68109</t>
        </is>
      </c>
      <c r="C13" s="124" t="inlineStr">
        <is>
          <t>PRIMARK STORES LIMITED</t>
        </is>
      </c>
      <c r="D13" s="125" t="n"/>
      <c r="E13" s="126" t="inlineStr">
        <is>
          <t>7B (Boy) Core Hoody</t>
        </is>
      </c>
      <c r="F13" s="629" t="inlineStr">
        <is>
          <t>600 CT</t>
        </is>
      </c>
      <c r="G13" s="129" t="n"/>
      <c r="H13" s="629" t="n">
        <v>137692800</v>
      </c>
      <c r="I13" s="488" t="n"/>
      <c r="J13" s="488" t="n"/>
      <c r="K13" s="129" t="n"/>
      <c r="L13" s="488" t="n"/>
      <c r="M13" s="630">
        <f>G13+H13</f>
        <v/>
      </c>
    </row>
    <row r="14" ht="14.25" customFormat="1" customHeight="1" s="96">
      <c r="A14" s="628" t="n">
        <v>42194</v>
      </c>
      <c r="B14" s="123" t="inlineStr">
        <is>
          <t>E 68146</t>
        </is>
      </c>
      <c r="C14" s="124" t="inlineStr">
        <is>
          <t>PRIMARK</t>
        </is>
      </c>
      <c r="D14" s="125" t="n"/>
      <c r="E14" s="126" t="inlineStr">
        <is>
          <t>Men's Zip Thru Hoody</t>
        </is>
      </c>
      <c r="F14" s="629" t="inlineStr">
        <is>
          <t>772 CT</t>
        </is>
      </c>
      <c r="G14" s="129" t="n"/>
      <c r="H14" s="629" t="n">
        <v>199310328</v>
      </c>
      <c r="I14" s="488" t="n"/>
      <c r="J14" s="488" t="n"/>
      <c r="K14" s="129" t="n"/>
      <c r="L14" s="488" t="n"/>
      <c r="M14" s="630">
        <f>G14+H14</f>
        <v/>
      </c>
    </row>
    <row r="15" ht="14.25" customFormat="1" customHeight="1" s="96">
      <c r="A15" s="628" t="n">
        <v>42195</v>
      </c>
      <c r="B15" s="123" t="inlineStr">
        <is>
          <t>E 69396</t>
        </is>
      </c>
      <c r="C15" s="124" t="inlineStr">
        <is>
          <t>LPP S.A</t>
        </is>
      </c>
      <c r="D15" s="125" t="n"/>
      <c r="E15" s="126" t="inlineStr">
        <is>
          <t>Men's Knit Sweater + Jogging Top</t>
        </is>
      </c>
      <c r="F15" s="629" t="inlineStr">
        <is>
          <t>1133 CT</t>
        </is>
      </c>
      <c r="G15" s="129" t="n"/>
      <c r="H15" s="629" t="n">
        <v>222232983</v>
      </c>
      <c r="I15" s="488" t="n"/>
      <c r="J15" s="488" t="n"/>
      <c r="K15" s="129" t="n"/>
      <c r="L15" s="488" t="n"/>
      <c r="M15" s="630">
        <f>G15+H15</f>
        <v/>
      </c>
    </row>
    <row r="16" ht="14.25" customFormat="1" customHeight="1" s="96">
      <c r="A16" s="628" t="n">
        <v>42195</v>
      </c>
      <c r="B16" s="123" t="inlineStr">
        <is>
          <t>E 69396</t>
        </is>
      </c>
      <c r="C16" s="124" t="inlineStr">
        <is>
          <t>LPP S.A</t>
        </is>
      </c>
      <c r="D16" s="125" t="n"/>
      <c r="E16" s="126" t="inlineStr">
        <is>
          <t>Men's Knit Trousers</t>
        </is>
      </c>
      <c r="F16" s="629" t="inlineStr">
        <is>
          <t>39 CT</t>
        </is>
      </c>
      <c r="G16" s="129" t="n"/>
      <c r="H16" s="629" t="n">
        <v>15787217</v>
      </c>
      <c r="I16" s="488" t="n"/>
      <c r="J16" s="488" t="n"/>
      <c r="K16" s="129" t="n"/>
      <c r="L16" s="488" t="n"/>
      <c r="M16" s="630">
        <f>G16+H16</f>
        <v/>
      </c>
    </row>
    <row r="17" ht="14.25" customFormat="1" customHeight="1" s="96">
      <c r="A17" s="628" t="n">
        <v>42195</v>
      </c>
      <c r="B17" s="123" t="inlineStr">
        <is>
          <t>E 69549</t>
        </is>
      </c>
      <c r="C17" s="124" t="inlineStr">
        <is>
          <t>PRIMARK STORES LIMITED</t>
        </is>
      </c>
      <c r="D17" s="125" t="n"/>
      <c r="E17" s="126" t="inlineStr">
        <is>
          <t>Men + Boy Hoodies</t>
        </is>
      </c>
      <c r="F17" s="629" t="inlineStr">
        <is>
          <t>638 CT</t>
        </is>
      </c>
      <c r="G17" s="129" t="n"/>
      <c r="H17" s="629" t="n">
        <v>147298512</v>
      </c>
      <c r="I17" s="488" t="n"/>
      <c r="J17" s="488" t="n"/>
      <c r="K17" s="129" t="n"/>
      <c r="L17" s="488" t="n"/>
      <c r="M17" s="630">
        <f>G17+H17</f>
        <v/>
      </c>
    </row>
    <row r="18" ht="14.25" customFormat="1" customHeight="1" s="96">
      <c r="A18" s="628" t="n">
        <v>42196</v>
      </c>
      <c r="B18" s="123" t="inlineStr">
        <is>
          <t>E 70637</t>
        </is>
      </c>
      <c r="C18" s="124" t="inlineStr">
        <is>
          <t>LPP S.A</t>
        </is>
      </c>
      <c r="D18" s="125" t="n"/>
      <c r="E18" s="126" t="inlineStr">
        <is>
          <t>Ladies Jogging Top</t>
        </is>
      </c>
      <c r="F18" s="629" t="inlineStr">
        <is>
          <t>490 CT</t>
        </is>
      </c>
      <c r="G18" s="129" t="n"/>
      <c r="H18" s="629" t="n">
        <v>108300780</v>
      </c>
      <c r="I18" s="488" t="n"/>
      <c r="J18" s="488" t="n"/>
      <c r="K18" s="129" t="n"/>
      <c r="L18" s="488" t="n"/>
      <c r="M18" s="630">
        <f>G18+H18</f>
        <v/>
      </c>
    </row>
    <row r="19" ht="14.25" customFormat="1" customHeight="1" s="96">
      <c r="A19" s="628" t="n">
        <v>42196</v>
      </c>
      <c r="B19" s="123" t="inlineStr">
        <is>
          <t>E 70637</t>
        </is>
      </c>
      <c r="C19" s="124" t="inlineStr">
        <is>
          <t>LPP S.A</t>
        </is>
      </c>
      <c r="D19" s="125" t="n"/>
      <c r="E19" s="126" t="inlineStr">
        <is>
          <t>Men's Knit Trousers</t>
        </is>
      </c>
      <c r="F19" s="629" t="inlineStr">
        <is>
          <t>99 CT</t>
        </is>
      </c>
      <c r="G19" s="129" t="n"/>
      <c r="H19" s="629" t="n">
        <v>39649873</v>
      </c>
      <c r="I19" s="488" t="n"/>
      <c r="J19" s="488" t="n"/>
      <c r="K19" s="129" t="n"/>
      <c r="L19" s="488" t="n"/>
      <c r="M19" s="630">
        <f>G19+H19</f>
        <v/>
      </c>
    </row>
    <row r="20" ht="14.25" customFormat="1" customHeight="1" s="96">
      <c r="A20" s="628" t="n">
        <v>42196</v>
      </c>
      <c r="B20" s="123" t="inlineStr">
        <is>
          <t>E 70627</t>
        </is>
      </c>
      <c r="C20" s="124" t="inlineStr">
        <is>
          <t>Primark Tiendas Slu</t>
        </is>
      </c>
      <c r="D20" s="125" t="n"/>
      <c r="E20" s="126" t="inlineStr">
        <is>
          <t>Men's Zip Thru Hoody</t>
        </is>
      </c>
      <c r="F20" s="629" t="inlineStr">
        <is>
          <t>2066 CT</t>
        </is>
      </c>
      <c r="G20" s="129" t="n"/>
      <c r="H20" s="629" t="n">
        <v>532736694</v>
      </c>
      <c r="I20" s="488" t="n"/>
      <c r="J20" s="488" t="n"/>
      <c r="K20" s="129" t="n"/>
      <c r="L20" s="488" t="n"/>
      <c r="M20" s="630">
        <f>G20+H20</f>
        <v/>
      </c>
    </row>
    <row r="21" ht="14.25" customFormat="1" customHeight="1" s="96">
      <c r="A21" s="628" t="n">
        <v>42200</v>
      </c>
      <c r="B21" s="123" t="inlineStr">
        <is>
          <t>E 12774</t>
        </is>
      </c>
      <c r="C21" s="124" t="inlineStr">
        <is>
          <t>PRIMARK STORES LIMITED</t>
        </is>
      </c>
      <c r="D21" s="125" t="n"/>
      <c r="E21" s="126" t="inlineStr">
        <is>
          <t>2B Core Hoody</t>
        </is>
      </c>
      <c r="F21" s="629" t="inlineStr">
        <is>
          <t>540 CT</t>
        </is>
      </c>
      <c r="G21" s="129" t="n"/>
      <c r="H21" s="629" t="n">
        <v>111616110</v>
      </c>
      <c r="I21" s="488" t="n"/>
      <c r="J21" s="488" t="n"/>
      <c r="K21" s="129" t="n"/>
      <c r="L21" s="488" t="n"/>
      <c r="M21" s="630">
        <f>G21+H21</f>
        <v/>
      </c>
    </row>
    <row r="22" ht="14.25" customFormat="1" customHeight="1" s="96">
      <c r="A22" s="628" t="n">
        <v>42202</v>
      </c>
      <c r="B22" s="123" t="inlineStr">
        <is>
          <t>E 71959</t>
        </is>
      </c>
      <c r="C22" s="124" t="inlineStr">
        <is>
          <t>LPP S.A</t>
        </is>
      </c>
      <c r="D22" s="125" t="n"/>
      <c r="E22" s="126" t="inlineStr">
        <is>
          <t>Men's  Knit Jogging Top</t>
        </is>
      </c>
      <c r="F22" s="629" t="inlineStr">
        <is>
          <t>796 CT</t>
        </is>
      </c>
      <c r="G22" s="129" t="n"/>
      <c r="H22" s="629" t="n">
        <v>145841012</v>
      </c>
      <c r="I22" s="488" t="n"/>
      <c r="J22" s="488" t="n"/>
      <c r="K22" s="129" t="n"/>
      <c r="L22" s="488" t="n"/>
      <c r="M22" s="630">
        <f>G22+H22</f>
        <v/>
      </c>
    </row>
    <row r="23" ht="14.25" customFormat="1" customHeight="1" s="96">
      <c r="A23" s="628" t="n">
        <v>42203</v>
      </c>
      <c r="B23" s="123" t="inlineStr">
        <is>
          <t xml:space="preserve"> E 73334</t>
        </is>
      </c>
      <c r="C23" s="124" t="inlineStr">
        <is>
          <t>VDR FASHION GROUP BV</t>
        </is>
      </c>
      <c r="D23" s="125" t="n"/>
      <c r="E23" s="126" t="inlineStr">
        <is>
          <t>Ladies Skirt</t>
        </is>
      </c>
      <c r="F23" s="629" t="inlineStr">
        <is>
          <t>38 CT</t>
        </is>
      </c>
      <c r="G23" s="129" t="n"/>
      <c r="H23" s="629" t="n">
        <v>30111334</v>
      </c>
      <c r="I23" s="488" t="n"/>
      <c r="J23" s="488" t="n"/>
      <c r="K23" s="129" t="n"/>
      <c r="L23" s="488" t="n"/>
      <c r="M23" s="630">
        <f>G23+H23</f>
        <v/>
      </c>
    </row>
    <row r="24" ht="14.25" customFormat="1" customHeight="1" s="96">
      <c r="A24" s="628" t="n">
        <v>42203</v>
      </c>
      <c r="B24" s="123" t="inlineStr">
        <is>
          <t>E 73525</t>
        </is>
      </c>
      <c r="C24" s="124" t="inlineStr">
        <is>
          <t>A.LEVY &amp; SON LIMITED</t>
        </is>
      </c>
      <c r="D24" s="125" t="n"/>
      <c r="E24" s="126" t="inlineStr">
        <is>
          <t>Men's Neck Pullover</t>
        </is>
      </c>
      <c r="F24" s="629" t="inlineStr">
        <is>
          <t>346 CT</t>
        </is>
      </c>
      <c r="G24" s="129" t="n"/>
      <c r="H24" s="629" t="n">
        <v>149495808</v>
      </c>
      <c r="I24" s="488" t="n"/>
      <c r="J24" s="488" t="n"/>
      <c r="K24" s="129" t="n"/>
      <c r="L24" s="488" t="n"/>
      <c r="M24" s="630">
        <f>G24+H24</f>
        <v/>
      </c>
    </row>
    <row r="25" ht="14.25" customFormat="1" customHeight="1" s="96">
      <c r="A25" s="628" t="n">
        <v>42203</v>
      </c>
      <c r="B25" s="123" t="inlineStr">
        <is>
          <t>E 73514</t>
        </is>
      </c>
      <c r="C25" s="124" t="inlineStr">
        <is>
          <t>LPP S.A</t>
        </is>
      </c>
      <c r="D25" s="125" t="n"/>
      <c r="E25" s="126" t="inlineStr">
        <is>
          <t>Ladies Jogging Top</t>
        </is>
      </c>
      <c r="F25" s="629" t="inlineStr">
        <is>
          <t>349 CT</t>
        </is>
      </c>
      <c r="G25" s="129" t="n"/>
      <c r="H25" s="629" t="n">
        <v>96535757</v>
      </c>
      <c r="I25" s="488" t="n"/>
      <c r="J25" s="488" t="n"/>
      <c r="K25" s="129" t="n"/>
      <c r="L25" s="488" t="n"/>
      <c r="M25" s="630">
        <f>G25+H25</f>
        <v/>
      </c>
    </row>
    <row r="26" ht="14.25" customFormat="1" customHeight="1" s="96">
      <c r="A26" s="628" t="n">
        <v>42203</v>
      </c>
      <c r="B26" s="123" t="inlineStr">
        <is>
          <t>E 73514</t>
        </is>
      </c>
      <c r="C26" s="124" t="inlineStr">
        <is>
          <t>LPP S.A</t>
        </is>
      </c>
      <c r="D26" s="125" t="n"/>
      <c r="E26" s="126" t="inlineStr">
        <is>
          <t>Men's  Knit Jogging Top</t>
        </is>
      </c>
      <c r="F26" s="629" t="inlineStr">
        <is>
          <t>228 CT</t>
        </is>
      </c>
      <c r="G26" s="129" t="n"/>
      <c r="H26" s="629" t="n">
        <v>67763405</v>
      </c>
      <c r="I26" s="488" t="n"/>
      <c r="J26" s="488" t="n"/>
      <c r="K26" s="129" t="n"/>
      <c r="L26" s="488" t="n"/>
      <c r="M26" s="630">
        <f>G26+H26</f>
        <v/>
      </c>
    </row>
    <row r="27" ht="14.25" customFormat="1" customHeight="1" s="96">
      <c r="A27" s="628" t="n">
        <v>42203</v>
      </c>
      <c r="B27" s="123" t="inlineStr">
        <is>
          <t>E 73514</t>
        </is>
      </c>
      <c r="C27" s="124" t="inlineStr">
        <is>
          <t>LPP S.A</t>
        </is>
      </c>
      <c r="D27" s="125" t="n"/>
      <c r="E27" s="126" t="inlineStr">
        <is>
          <t>Men's Knit Jogging Top</t>
        </is>
      </c>
      <c r="F27" s="629" t="inlineStr">
        <is>
          <t>200CT</t>
        </is>
      </c>
      <c r="G27" s="129" t="n"/>
      <c r="H27" s="629" t="n">
        <v>45686784</v>
      </c>
      <c r="I27" s="488" t="n"/>
      <c r="J27" s="488" t="n"/>
      <c r="K27" s="129" t="n"/>
      <c r="L27" s="488" t="n"/>
      <c r="M27" s="630">
        <f>G27+H27</f>
        <v/>
      </c>
    </row>
    <row r="28" ht="14.25" customFormat="1" customHeight="1" s="96">
      <c r="A28" s="628" t="n">
        <v>42203</v>
      </c>
      <c r="B28" s="123" t="inlineStr">
        <is>
          <t>E 73524</t>
        </is>
      </c>
      <c r="C28" s="124" t="inlineStr">
        <is>
          <t>VDR FASHION GROUP BV</t>
        </is>
      </c>
      <c r="D28" s="125" t="n"/>
      <c r="E28" s="126" t="inlineStr">
        <is>
          <t>Ladies Knitted Tregging</t>
        </is>
      </c>
      <c r="F28" s="629" t="inlineStr">
        <is>
          <t>245 CT</t>
        </is>
      </c>
      <c r="G28" s="129" t="n"/>
      <c r="H28" s="629" t="n">
        <v>150505472</v>
      </c>
      <c r="I28" s="488" t="n"/>
      <c r="J28" s="488" t="n"/>
      <c r="K28" s="129" t="n"/>
      <c r="L28" s="488" t="n"/>
      <c r="M28" s="630">
        <f>G28+H28</f>
        <v/>
      </c>
    </row>
    <row r="29" ht="13.5" customFormat="1" customHeight="1" s="96">
      <c r="A29" s="628" t="n">
        <v>42203</v>
      </c>
      <c r="B29" s="123" t="inlineStr">
        <is>
          <t>E 73524</t>
        </is>
      </c>
      <c r="C29" s="124" t="inlineStr">
        <is>
          <t>VDR FASHION GROUP BV</t>
        </is>
      </c>
      <c r="D29" s="125" t="n"/>
      <c r="E29" s="126" t="inlineStr">
        <is>
          <t>Ladies Knitted Blazer</t>
        </is>
      </c>
      <c r="F29" s="629" t="inlineStr">
        <is>
          <t>191 CT</t>
        </is>
      </c>
      <c r="G29" s="129" t="n"/>
      <c r="H29" s="629" t="n">
        <v>114575606</v>
      </c>
      <c r="I29" s="488" t="n"/>
      <c r="J29" s="488" t="n"/>
      <c r="K29" s="129" t="n"/>
      <c r="L29" s="488" t="n"/>
      <c r="M29" s="630">
        <f>G29+H29</f>
        <v/>
      </c>
    </row>
    <row r="30" ht="14.25" customFormat="1" customHeight="1" s="139">
      <c r="A30" s="631">
        <f>L4</f>
        <v/>
      </c>
      <c r="B30" s="531" t="n"/>
      <c r="C30" s="531" t="n"/>
      <c r="D30" s="519" t="n"/>
      <c r="E30" s="133" t="inlineStr">
        <is>
          <t>Riel</t>
        </is>
      </c>
      <c r="F30" s="632">
        <f>SUM(F9:F29)</f>
        <v/>
      </c>
      <c r="G30" s="135" t="n"/>
      <c r="H30" s="633">
        <f>SUM(H9:H29)</f>
        <v/>
      </c>
      <c r="I30" s="137" t="n"/>
      <c r="J30" s="137" t="n"/>
      <c r="K30" s="137" t="n"/>
      <c r="L30" s="137" t="n"/>
      <c r="M30" s="634">
        <f>SUM(M9:M29)</f>
        <v/>
      </c>
    </row>
    <row r="31" ht="14.25" customFormat="1" customHeight="1" s="139" thickBot="1">
      <c r="A31" s="635" t="inlineStr">
        <is>
          <t>Total USD</t>
        </is>
      </c>
      <c r="B31" s="636" t="n"/>
      <c r="C31" s="636" t="n"/>
      <c r="D31" s="637" t="n"/>
      <c r="E31" s="140" t="inlineStr">
        <is>
          <t>USD</t>
        </is>
      </c>
      <c r="F31" s="638" t="n"/>
      <c r="G31" s="143">
        <f>G30/L4</f>
        <v/>
      </c>
      <c r="H31" s="639">
        <f>H30/L4</f>
        <v/>
      </c>
      <c r="I31" s="640">
        <f>I30*4034</f>
        <v/>
      </c>
      <c r="J31" s="640">
        <f>J30*4034</f>
        <v/>
      </c>
      <c r="K31" s="640">
        <f>K30*4034</f>
        <v/>
      </c>
      <c r="L31" s="640">
        <f>L30*4034</f>
        <v/>
      </c>
      <c r="M31" s="641">
        <f>M30/L4</f>
        <v/>
      </c>
    </row>
    <row r="32" ht="15.75" customFormat="1" customHeight="1" s="151">
      <c r="A32" s="147" t="n"/>
      <c r="B32" s="148" t="n"/>
      <c r="C32" s="148" t="n"/>
      <c r="D32" s="148" t="n"/>
      <c r="E32" s="148" t="n"/>
      <c r="F32" s="642" t="n"/>
      <c r="G32" s="148" t="inlineStr">
        <is>
          <t>Box 12</t>
        </is>
      </c>
      <c r="H32" s="150" t="inlineStr">
        <is>
          <t>Box 13</t>
        </is>
      </c>
      <c r="I32" s="148" t="inlineStr">
        <is>
          <t>Box 14</t>
        </is>
      </c>
      <c r="J32" s="148" t="inlineStr">
        <is>
          <t>Box 15</t>
        </is>
      </c>
      <c r="K32" s="148" t="inlineStr">
        <is>
          <t>Box 14</t>
        </is>
      </c>
      <c r="L32" s="148" t="inlineStr">
        <is>
          <t>Box 15</t>
        </is>
      </c>
      <c r="M32" s="148" t="n"/>
    </row>
    <row r="33" ht="14.25" customHeight="1" s="331">
      <c r="A33" s="152" t="n"/>
      <c r="B33" s="153" t="n"/>
      <c r="C33" s="153" t="n"/>
      <c r="D33" s="153" t="n"/>
      <c r="E33" s="153" t="n"/>
      <c r="F33" s="643" t="n"/>
      <c r="G33" s="153" t="n"/>
      <c r="H33" s="481" t="inlineStr">
        <is>
          <t>Approved By :</t>
        </is>
      </c>
    </row>
    <row r="34" ht="19.5" customHeight="1" s="331">
      <c r="H34" s="482" t="n"/>
      <c r="N34" s="644" t="n"/>
    </row>
    <row r="35" hidden="1" ht="18" customHeight="1" s="331">
      <c r="H35" s="645">
        <f>H31*1%</f>
        <v/>
      </c>
      <c r="I35" s="160" t="n"/>
      <c r="J35" s="660" t="n"/>
      <c r="K35" s="647" t="n"/>
      <c r="L35" s="647" t="n"/>
    </row>
    <row r="36" ht="14.25" customHeight="1" s="331">
      <c r="H36" s="163" t="n"/>
      <c r="I36" s="491" t="n"/>
      <c r="L36" s="163" t="n"/>
    </row>
    <row r="37" ht="14.25" customHeight="1" s="331">
      <c r="C37" s="164" t="n"/>
      <c r="D37" s="165" t="n"/>
      <c r="E37" s="165" t="n"/>
      <c r="F37" s="648" t="n"/>
    </row>
    <row r="38" ht="14.25" customHeight="1" s="331">
      <c r="F38" s="623" t="n"/>
      <c r="G38" s="661" t="n"/>
      <c r="I38" s="169" t="n"/>
    </row>
    <row r="39" ht="14.25" customHeight="1" s="331">
      <c r="C39" s="170" t="n"/>
      <c r="D39" s="171" t="n"/>
      <c r="E39" s="172" t="n"/>
      <c r="F39" s="171" t="n"/>
      <c r="G39" s="160" t="n"/>
      <c r="H39" s="173" t="n"/>
      <c r="I39" s="651" t="n"/>
      <c r="J39" s="175" t="n"/>
      <c r="K39" s="175" t="n"/>
    </row>
    <row r="40" ht="14.25" customHeight="1" s="331">
      <c r="F40" s="623" t="n"/>
      <c r="H40" s="656" t="n"/>
      <c r="I40" s="177" t="n"/>
      <c r="J40" s="177" t="n"/>
      <c r="K40" s="139" t="n"/>
    </row>
    <row r="41" ht="14.25" customHeight="1" s="331">
      <c r="H41" s="173" t="n"/>
      <c r="I41" s="655" t="n"/>
      <c r="J41" s="139" t="n"/>
      <c r="K41" s="139" t="n"/>
    </row>
    <row r="42" ht="14.25" customHeight="1" s="331">
      <c r="H42" s="656" t="n"/>
      <c r="I42" s="651" t="n"/>
      <c r="J42" s="139" t="n"/>
      <c r="K42" s="139" t="n"/>
    </row>
    <row r="43" ht="14.25" customHeight="1" s="331">
      <c r="H43" s="657" t="n"/>
      <c r="J43" s="139" t="n"/>
      <c r="K43" s="139" t="n"/>
      <c r="M43" s="658" t="n"/>
    </row>
    <row r="44" hidden="1" ht="14.25" customHeight="1" s="331">
      <c r="H44" s="659">
        <f>H31*1%</f>
        <v/>
      </c>
    </row>
    <row r="45" ht="14.25" customHeight="1" s="331">
      <c r="H45" s="175" t="n"/>
      <c r="I45" s="139" t="n"/>
    </row>
    <row r="46" ht="14.25" customHeight="1" s="331">
      <c r="H46" s="175" t="n"/>
    </row>
    <row r="47" ht="14.25" customHeight="1" s="331">
      <c r="H47" s="175" t="n"/>
    </row>
    <row r="48" ht="14.25" customHeight="1" s="331">
      <c r="H48" s="175" t="n"/>
    </row>
    <row r="49" ht="14.25" customHeight="1" s="331">
      <c r="H49" s="651" t="n"/>
    </row>
    <row r="50" ht="14.25" customHeight="1" s="331">
      <c r="H50" s="175" t="n"/>
    </row>
    <row r="51" ht="14.25" customHeight="1" s="331">
      <c r="H51" s="175" t="n"/>
    </row>
    <row r="52" ht="14.25" customHeight="1" s="331">
      <c r="H52" s="175" t="n"/>
    </row>
    <row r="53" ht="14.25" customHeight="1" s="331">
      <c r="H53" s="175" t="n"/>
    </row>
    <row r="54" ht="14.25" customHeight="1" s="331">
      <c r="H54" s="175" t="n"/>
    </row>
    <row r="55" ht="14.25" customHeight="1" s="331">
      <c r="H55" s="175" t="n"/>
    </row>
  </sheetData>
  <mergeCells count="16">
    <mergeCell ref="K7:L7"/>
    <mergeCell ref="H33:M33"/>
    <mergeCell ref="A31:D31"/>
    <mergeCell ref="A1:M1"/>
    <mergeCell ref="I36:K36"/>
    <mergeCell ref="G38:H38"/>
    <mergeCell ref="H44:I44"/>
    <mergeCell ref="I7:J7"/>
    <mergeCell ref="H43:I43"/>
    <mergeCell ref="A30:D30"/>
    <mergeCell ref="I6:L6"/>
    <mergeCell ref="F6:G6"/>
    <mergeCell ref="A5:H5"/>
    <mergeCell ref="H34:M34"/>
    <mergeCell ref="A2:M2"/>
    <mergeCell ref="I5:L5"/>
  </mergeCells>
  <pageMargins left="0.45" right="0.16" top="0.51" bottom="0.5" header="0.46" footer="0.2"/>
  <pageSetup orientation="landscape" horizontalDpi="0" verticalDpi="0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72"/>
  <sheetViews>
    <sheetView topLeftCell="F35" zoomScale="190" zoomScaleNormal="190" workbookViewId="0">
      <selection activeCell="I9" sqref="I9:I46"/>
    </sheetView>
  </sheetViews>
  <sheetFormatPr baseColWidth="8" defaultColWidth="9.109375" defaultRowHeight="14.25" customHeight="1"/>
  <cols>
    <col width="8.109375" customWidth="1" style="156" min="1" max="1"/>
    <col width="7" customWidth="1" style="155" min="2" max="2"/>
    <col width="19.33203125" customWidth="1" style="155" min="3" max="3"/>
    <col width="7.44140625" customWidth="1" style="155" min="4" max="4"/>
    <col width="17.88671875" customWidth="1" style="155" min="5" max="5"/>
    <col width="4.6640625" customWidth="1" style="623" min="6" max="6"/>
    <col width="3" customWidth="1" style="623" min="7" max="7"/>
    <col width="11.109375" customWidth="1" style="155" min="8" max="8"/>
    <col width="11.88671875" customWidth="1" style="167" min="9" max="9"/>
    <col width="9" customWidth="1" style="155" min="10" max="10"/>
    <col width="5.44140625" customWidth="1" style="155" min="11" max="11"/>
    <col width="8.44140625" customWidth="1" style="155" min="12" max="12"/>
    <col width="4.33203125" customWidth="1" style="155" min="13" max="13"/>
    <col width="13.33203125" customWidth="1" style="155" min="14" max="14"/>
    <col width="15.109375" bestFit="1" customWidth="1" style="155" min="15" max="15"/>
    <col width="9.109375" customWidth="1" style="155" min="16" max="16384"/>
  </cols>
  <sheetData>
    <row r="1" ht="23.25" customFormat="1" customHeight="1" s="84">
      <c r="A1" s="483" t="inlineStr">
        <is>
          <t xml:space="preserve"> សៀវភៅទិនានុប្បវត្តិលក់- នាំចេញ</t>
        </is>
      </c>
      <c r="O1" s="83" t="n"/>
    </row>
    <row r="2" ht="22.5" customFormat="1" customHeight="1" s="85">
      <c r="A2" s="484" t="inlineStr">
        <is>
          <t xml:space="preserve"> ខែ​​ សីហា ឆ្នាំ ២០១៥</t>
        </is>
      </c>
      <c r="O2" s="83" t="n"/>
    </row>
    <row r="3" ht="22.5" customFormat="1" customHeight="1" s="95">
      <c r="A3" s="86" t="inlineStr">
        <is>
          <t xml:space="preserve">ជី អេវើរហ្រ្គីន( ខេមបូឌា​ ) នីតធីង  </t>
        </is>
      </c>
      <c r="B3" s="87" t="n"/>
      <c r="C3" s="484" t="n"/>
      <c r="D3" s="87" t="n"/>
      <c r="E3" s="484" t="n"/>
      <c r="F3" s="483" t="n"/>
      <c r="G3" s="483" t="n"/>
      <c r="H3" s="483" t="n"/>
      <c r="I3" s="483" t="n"/>
      <c r="J3" s="90" t="n"/>
      <c r="K3" s="91" t="n"/>
      <c r="L3" s="86" t="inlineStr">
        <is>
          <t>Vat:100193102</t>
        </is>
      </c>
      <c r="M3" s="92" t="n"/>
      <c r="N3" s="93" t="n"/>
      <c r="O3" s="94" t="n"/>
      <c r="P3" s="94" t="n"/>
    </row>
    <row r="4" ht="18" customFormat="1" customHeight="1" s="104" thickBot="1">
      <c r="A4" s="96" t="inlineStr">
        <is>
          <t xml:space="preserve">ភូមិជ្រៃកោង សង្កាត់ចោមចៅ ខណ្ឌ ពោធិសែនជ័យ ក្រុង ភ្នំពេញ </t>
        </is>
      </c>
      <c r="B4" s="97" t="n"/>
      <c r="C4" s="98" t="n"/>
      <c r="D4" s="99" t="n"/>
      <c r="E4" s="99" t="n"/>
      <c r="F4" s="100" t="n"/>
      <c r="G4" s="100" t="n"/>
      <c r="H4" s="100" t="n"/>
      <c r="I4" s="100" t="n"/>
      <c r="J4" s="101" t="n"/>
      <c r="K4" s="93" t="n"/>
      <c r="L4" s="97" t="inlineStr">
        <is>
          <t>Average:</t>
        </is>
      </c>
      <c r="M4" s="102" t="n">
        <v>4095</v>
      </c>
      <c r="N4" s="93" t="n"/>
      <c r="O4" s="103" t="n"/>
      <c r="P4" s="94" t="n"/>
    </row>
    <row r="5" ht="16.5" customFormat="1" customHeight="1" s="104">
      <c r="A5" s="485" t="inlineStr">
        <is>
          <t>វិក្ក័យប័ត្រ</t>
        </is>
      </c>
      <c r="B5" s="624" t="n"/>
      <c r="C5" s="624" t="n"/>
      <c r="D5" s="624" t="n"/>
      <c r="E5" s="624" t="n"/>
      <c r="F5" s="624" t="n"/>
      <c r="G5" s="624" t="n"/>
      <c r="H5" s="624" t="n"/>
      <c r="I5" s="624" t="n"/>
      <c r="J5" s="487" t="inlineStr">
        <is>
          <t>ការផ្គត់ផ្គង់</t>
        </is>
      </c>
      <c r="K5" s="624" t="n"/>
      <c r="L5" s="624" t="n"/>
      <c r="M5" s="625" t="n"/>
      <c r="N5" s="105" t="n"/>
    </row>
    <row r="6" ht="14.25" customFormat="1" customHeight="1" s="104">
      <c r="A6" s="106" t="inlineStr">
        <is>
          <t>កាលបរិចេ្ឆទ</t>
        </is>
      </c>
      <c r="B6" s="107" t="inlineStr">
        <is>
          <t>វិក្ក័យប័ត្រ</t>
        </is>
      </c>
      <c r="C6" s="107" t="inlineStr">
        <is>
          <t>អ្នកទិញ</t>
        </is>
      </c>
      <c r="D6" s="107" t="inlineStr">
        <is>
          <t>លេខ អតប</t>
        </is>
      </c>
      <c r="E6" s="107" t="inlineStr">
        <is>
          <t>បរិយាយ</t>
        </is>
      </c>
      <c r="F6" s="488" t="inlineStr">
        <is>
          <t>បរិមាណ</t>
        </is>
      </c>
      <c r="G6" s="531" t="n"/>
      <c r="H6" s="519" t="n"/>
      <c r="I6" s="108" t="n"/>
      <c r="J6" s="489" t="inlineStr">
        <is>
          <t>karlk;Cab;Gakr</t>
        </is>
      </c>
      <c r="K6" s="529" t="n"/>
      <c r="L6" s="529" t="n"/>
      <c r="M6" s="548" t="n"/>
      <c r="N6" s="109" t="inlineStr">
        <is>
          <t>សរុបថ្លៃទិញ</t>
        </is>
      </c>
    </row>
    <row r="7" ht="14.25" customFormat="1" customHeight="1" s="104">
      <c r="A7" s="110" t="n"/>
      <c r="B7" s="111" t="n"/>
      <c r="C7" s="111" t="n"/>
      <c r="D7" s="112" t="inlineStr">
        <is>
          <t>TIN</t>
        </is>
      </c>
      <c r="E7" s="113" t="n"/>
      <c r="F7" s="114" t="inlineStr">
        <is>
          <t>ការផ្គត់ផ្គង់</t>
        </is>
      </c>
      <c r="G7" s="531" t="n"/>
      <c r="H7" s="519" t="n"/>
      <c r="I7" s="114" t="inlineStr">
        <is>
          <t>ការនាំចេញ</t>
        </is>
      </c>
      <c r="J7" s="494" t="inlineStr">
        <is>
          <t>lk;;»übuKþlCab;Gakr</t>
        </is>
      </c>
      <c r="K7" s="519" t="n"/>
      <c r="L7" s="494" t="inlineStr">
        <is>
          <t>lk;;»üGñkeRbIR)as;</t>
        </is>
      </c>
      <c r="M7" s="519" t="n"/>
      <c r="N7" s="109" t="inlineStr">
        <is>
          <t>រួមទាំអាករ</t>
        </is>
      </c>
    </row>
    <row r="8" ht="14.25" customFormat="1" customHeight="1" s="104">
      <c r="A8" s="115" t="n"/>
      <c r="B8" s="116" t="n"/>
      <c r="C8" s="116" t="n"/>
      <c r="D8" s="117" t="n"/>
      <c r="E8" s="118" t="n"/>
      <c r="F8" s="114" t="inlineStr">
        <is>
          <t>មិនជាប់អាករ</t>
        </is>
      </c>
      <c r="G8" s="531" t="n"/>
      <c r="H8" s="519" t="n"/>
      <c r="I8" s="119" t="inlineStr">
        <is>
          <t>អត្រា​​ 0 %</t>
        </is>
      </c>
      <c r="J8" s="488" t="inlineStr">
        <is>
          <t>តំលៃជាប់អាករ</t>
        </is>
      </c>
      <c r="K8" s="488" t="inlineStr">
        <is>
          <t>អាករ</t>
        </is>
      </c>
      <c r="L8" s="488" t="inlineStr">
        <is>
          <t>តំលៃជាប់អាករ</t>
        </is>
      </c>
      <c r="M8" s="488" t="inlineStr">
        <is>
          <t>អាករ</t>
        </is>
      </c>
      <c r="N8" s="121" t="n"/>
    </row>
    <row r="9" ht="14.25" customFormat="1" customHeight="1" s="96">
      <c r="A9" s="628" t="n">
        <v>42202</v>
      </c>
      <c r="B9" s="123" t="inlineStr">
        <is>
          <t>E 72202</t>
        </is>
      </c>
      <c r="C9" s="124" t="inlineStr">
        <is>
          <t>Primark Us Corp</t>
        </is>
      </c>
      <c r="D9" s="125" t="n"/>
      <c r="E9" s="126" t="inlineStr">
        <is>
          <t>Men Zip Thru Hoody</t>
        </is>
      </c>
      <c r="F9" s="662" t="n">
        <v>65</v>
      </c>
      <c r="G9" s="128" t="inlineStr">
        <is>
          <t>CT</t>
        </is>
      </c>
      <c r="H9" s="129" t="n"/>
      <c r="I9" s="629" t="n">
        <v>16764930</v>
      </c>
      <c r="J9" s="488" t="n"/>
      <c r="K9" s="488" t="n"/>
      <c r="L9" s="129" t="n"/>
      <c r="M9" s="488" t="n"/>
      <c r="N9" s="630">
        <f>H9+I9</f>
        <v/>
      </c>
    </row>
    <row r="10" ht="14.25" customFormat="1" customHeight="1" s="96">
      <c r="A10" s="628" t="n">
        <v>42203</v>
      </c>
      <c r="B10" s="123" t="inlineStr">
        <is>
          <t>E 13027</t>
        </is>
      </c>
      <c r="C10" s="124" t="inlineStr">
        <is>
          <t>LPP S.A</t>
        </is>
      </c>
      <c r="D10" s="125" t="n"/>
      <c r="E10" s="126" t="inlineStr">
        <is>
          <t>Ladies Knit Jogging Top</t>
        </is>
      </c>
      <c r="F10" s="662" t="n">
        <v>64</v>
      </c>
      <c r="G10" s="128" t="inlineStr">
        <is>
          <t>CT</t>
        </is>
      </c>
      <c r="H10" s="129" t="n"/>
      <c r="I10" s="629" t="n">
        <v>26424115</v>
      </c>
      <c r="J10" s="488" t="n"/>
      <c r="K10" s="488" t="n"/>
      <c r="L10" s="129" t="n"/>
      <c r="M10" s="488" t="n"/>
      <c r="N10" s="630">
        <f>H10+I10</f>
        <v/>
      </c>
    </row>
    <row r="11" ht="14.25" customFormat="1" customHeight="1" s="96">
      <c r="A11" s="628" t="n">
        <v>42208</v>
      </c>
      <c r="B11" s="123" t="inlineStr">
        <is>
          <t>E 13359</t>
        </is>
      </c>
      <c r="C11" s="124" t="inlineStr">
        <is>
          <t>VDR Fashion Group BV</t>
        </is>
      </c>
      <c r="D11" s="125" t="n"/>
      <c r="E11" s="126" t="inlineStr">
        <is>
          <t>Ladies Knit Shirt</t>
        </is>
      </c>
      <c r="F11" s="662" t="n">
        <v>36</v>
      </c>
      <c r="G11" s="128" t="inlineStr">
        <is>
          <t>CT</t>
        </is>
      </c>
      <c r="H11" s="129" t="n"/>
      <c r="I11" s="629" t="n">
        <v>29192000</v>
      </c>
      <c r="J11" s="488" t="n"/>
      <c r="K11" s="488" t="n"/>
      <c r="L11" s="129" t="n"/>
      <c r="M11" s="488" t="n"/>
      <c r="N11" s="630">
        <f>H11+I11</f>
        <v/>
      </c>
    </row>
    <row r="12" ht="14.25" customFormat="1" customHeight="1" s="96">
      <c r="A12" s="628" t="n">
        <v>42209</v>
      </c>
      <c r="B12" s="123" t="inlineStr">
        <is>
          <t>E 74804</t>
        </is>
      </c>
      <c r="C12" s="124" t="inlineStr">
        <is>
          <t>Primark Us Corp</t>
        </is>
      </c>
      <c r="D12" s="125" t="n"/>
      <c r="E12" s="126" t="inlineStr">
        <is>
          <t>Boy Hoody</t>
        </is>
      </c>
      <c r="F12" s="662" t="n">
        <v>305</v>
      </c>
      <c r="G12" s="128" t="inlineStr">
        <is>
          <t>CT</t>
        </is>
      </c>
      <c r="H12" s="129" t="n"/>
      <c r="I12" s="629" t="n">
        <v>70028000</v>
      </c>
      <c r="J12" s="488" t="n"/>
      <c r="K12" s="488" t="n"/>
      <c r="L12" s="129" t="n"/>
      <c r="M12" s="488" t="n"/>
      <c r="N12" s="630">
        <f>H12+I12</f>
        <v/>
      </c>
    </row>
    <row r="13" ht="14.25" customFormat="1" customHeight="1" s="96">
      <c r="A13" s="628" t="n">
        <v>42209</v>
      </c>
      <c r="B13" s="123" t="inlineStr">
        <is>
          <t>E 74578</t>
        </is>
      </c>
      <c r="C13" s="124" t="inlineStr">
        <is>
          <t>LPP S.A</t>
        </is>
      </c>
      <c r="D13" s="125" t="n"/>
      <c r="E13" s="126" t="inlineStr">
        <is>
          <t>Men's Jogging Top</t>
        </is>
      </c>
      <c r="F13" s="662" t="n">
        <v>904</v>
      </c>
      <c r="G13" s="128" t="inlineStr">
        <is>
          <t>CT</t>
        </is>
      </c>
      <c r="H13" s="129" t="n"/>
      <c r="I13" s="629" t="n">
        <v>242980473</v>
      </c>
      <c r="J13" s="488" t="n"/>
      <c r="K13" s="488" t="n"/>
      <c r="L13" s="129" t="n"/>
      <c r="M13" s="488" t="n"/>
      <c r="N13" s="630">
        <f>H13+I13</f>
        <v/>
      </c>
    </row>
    <row r="14" ht="14.25" customFormat="1" customHeight="1" s="96">
      <c r="A14" s="628" t="n">
        <v>42210</v>
      </c>
      <c r="B14" s="123" t="inlineStr">
        <is>
          <t>E 76431</t>
        </is>
      </c>
      <c r="C14" s="124" t="inlineStr">
        <is>
          <t xml:space="preserve">Primark </t>
        </is>
      </c>
      <c r="D14" s="125" t="n"/>
      <c r="E14" s="126" t="inlineStr">
        <is>
          <t>Men Zip Thru Hoody</t>
        </is>
      </c>
      <c r="F14" s="662" t="n">
        <v>700</v>
      </c>
      <c r="G14" s="128" t="inlineStr">
        <is>
          <t>CT</t>
        </is>
      </c>
      <c r="H14" s="129" t="n"/>
      <c r="I14" s="629" t="n">
        <v>180986400</v>
      </c>
      <c r="J14" s="488" t="n"/>
      <c r="K14" s="488" t="n"/>
      <c r="L14" s="129" t="n"/>
      <c r="M14" s="488" t="n"/>
      <c r="N14" s="630">
        <f>H14+I14</f>
        <v/>
      </c>
    </row>
    <row r="15" ht="14.25" customFormat="1" customHeight="1" s="96">
      <c r="A15" s="628" t="n">
        <v>42210</v>
      </c>
      <c r="B15" s="123" t="inlineStr">
        <is>
          <t>E 76547</t>
        </is>
      </c>
      <c r="C15" s="124" t="inlineStr">
        <is>
          <t>Primark Stores Limited</t>
        </is>
      </c>
      <c r="D15" s="125" t="n"/>
      <c r="E15" s="126" t="inlineStr">
        <is>
          <t>7/2Boy Core Hoody</t>
        </is>
      </c>
      <c r="F15" s="662" t="n">
        <v>800</v>
      </c>
      <c r="G15" s="128" t="inlineStr">
        <is>
          <t>CT</t>
        </is>
      </c>
      <c r="H15" s="129" t="n"/>
      <c r="I15" s="629" t="n">
        <v>174420000</v>
      </c>
      <c r="J15" s="488" t="n"/>
      <c r="K15" s="488" t="n"/>
      <c r="L15" s="129" t="n"/>
      <c r="M15" s="488" t="n"/>
      <c r="N15" s="630">
        <f>H15+I15</f>
        <v/>
      </c>
    </row>
    <row r="16" ht="14.25" customFormat="1" customHeight="1" s="96">
      <c r="A16" s="628" t="n">
        <v>42210</v>
      </c>
      <c r="B16" s="123" t="inlineStr">
        <is>
          <t>E 65557</t>
        </is>
      </c>
      <c r="C16" s="124" t="inlineStr">
        <is>
          <t>LPP S.A</t>
        </is>
      </c>
      <c r="D16" s="125" t="n"/>
      <c r="E16" s="126" t="inlineStr">
        <is>
          <t>Ladies Jogging Top</t>
        </is>
      </c>
      <c r="F16" s="662" t="n">
        <v>680</v>
      </c>
      <c r="G16" s="128" t="inlineStr">
        <is>
          <t>CT</t>
        </is>
      </c>
      <c r="H16" s="129" t="n"/>
      <c r="I16" s="629" t="n">
        <v>178829338</v>
      </c>
      <c r="J16" s="488" t="n"/>
      <c r="K16" s="488" t="n"/>
      <c r="L16" s="129" t="n"/>
      <c r="M16" s="488" t="n"/>
      <c r="N16" s="630">
        <f>H16+I16</f>
        <v/>
      </c>
    </row>
    <row r="17" ht="14.25" customFormat="1" customHeight="1" s="96">
      <c r="A17" s="628" t="n">
        <v>42210</v>
      </c>
      <c r="B17" s="123" t="inlineStr">
        <is>
          <t>E 65557</t>
        </is>
      </c>
      <c r="C17" s="124" t="inlineStr">
        <is>
          <t>LPP S.A</t>
        </is>
      </c>
      <c r="D17" s="125" t="n"/>
      <c r="E17" s="126" t="inlineStr">
        <is>
          <t>Men's Knit Trousers</t>
        </is>
      </c>
      <c r="F17" s="662" t="n">
        <v>93</v>
      </c>
      <c r="G17" s="128" t="inlineStr">
        <is>
          <t>CT</t>
        </is>
      </c>
      <c r="H17" s="129" t="n"/>
      <c r="I17" s="629" t="n">
        <v>36022203</v>
      </c>
      <c r="J17" s="488" t="n"/>
      <c r="K17" s="488" t="n"/>
      <c r="L17" s="129" t="n"/>
      <c r="M17" s="488" t="n"/>
      <c r="N17" s="630">
        <f>H17+I17</f>
        <v/>
      </c>
    </row>
    <row r="18" ht="14.25" customFormat="1" customHeight="1" s="96">
      <c r="A18" s="628" t="n">
        <v>42215</v>
      </c>
      <c r="B18" s="132" t="inlineStr">
        <is>
          <t>E 76966</t>
        </is>
      </c>
      <c r="C18" s="124" t="inlineStr">
        <is>
          <t>Primark</t>
        </is>
      </c>
      <c r="D18" s="125" t="n"/>
      <c r="E18" s="126" t="inlineStr">
        <is>
          <t>See Val Note</t>
        </is>
      </c>
      <c r="F18" s="662" t="n">
        <v>355</v>
      </c>
      <c r="G18" s="128" t="inlineStr">
        <is>
          <t>CT</t>
        </is>
      </c>
      <c r="H18" s="129" t="n"/>
      <c r="I18" s="629" t="n">
        <v>89531330</v>
      </c>
      <c r="J18" s="488" t="n"/>
      <c r="K18" s="488" t="n"/>
      <c r="L18" s="129" t="n"/>
      <c r="M18" s="488" t="n"/>
      <c r="N18" s="630">
        <f>H18+I18</f>
        <v/>
      </c>
    </row>
    <row r="19" ht="14.25" customFormat="1" customHeight="1" s="96">
      <c r="A19" s="628" t="n">
        <v>42215</v>
      </c>
      <c r="B19" s="132" t="inlineStr">
        <is>
          <t>E 76966</t>
        </is>
      </c>
      <c r="C19" s="124" t="inlineStr">
        <is>
          <t>Primark</t>
        </is>
      </c>
      <c r="D19" s="125" t="n"/>
      <c r="E19" s="126" t="inlineStr">
        <is>
          <t>Ladies Nylon Zip Back Fl Legging</t>
        </is>
      </c>
      <c r="F19" s="662" t="n">
        <v>267</v>
      </c>
      <c r="G19" s="128" t="inlineStr">
        <is>
          <t>CT</t>
        </is>
      </c>
      <c r="H19" s="129" t="n"/>
      <c r="I19" s="629" t="n">
        <v>191743220</v>
      </c>
      <c r="J19" s="488" t="n"/>
      <c r="K19" s="488" t="n"/>
      <c r="L19" s="129" t="n"/>
      <c r="M19" s="488" t="n"/>
      <c r="N19" s="630">
        <f>H19+I19</f>
        <v/>
      </c>
    </row>
    <row r="20" ht="14.25" customFormat="1" customHeight="1" s="96">
      <c r="A20" s="628" t="n">
        <v>42216</v>
      </c>
      <c r="B20" s="132" t="inlineStr">
        <is>
          <t>E 78298</t>
        </is>
      </c>
      <c r="C20" s="124" t="inlineStr">
        <is>
          <t>Primark Us Corp</t>
        </is>
      </c>
      <c r="D20" s="125" t="n"/>
      <c r="E20" s="126" t="inlineStr">
        <is>
          <t>Mens Hoody</t>
        </is>
      </c>
      <c r="F20" s="662" t="n">
        <v>70</v>
      </c>
      <c r="G20" s="128" t="inlineStr">
        <is>
          <t>CT</t>
        </is>
      </c>
      <c r="H20" s="129" t="n"/>
      <c r="I20" s="629" t="n">
        <v>18116280</v>
      </c>
      <c r="J20" s="488" t="n"/>
      <c r="K20" s="488" t="n"/>
      <c r="L20" s="129" t="n"/>
      <c r="M20" s="488" t="n"/>
      <c r="N20" s="630">
        <f>H20+I20</f>
        <v/>
      </c>
    </row>
    <row r="21" ht="14.25" customFormat="1" customHeight="1" s="96">
      <c r="A21" s="628" t="n">
        <v>42216</v>
      </c>
      <c r="B21" s="132" t="inlineStr">
        <is>
          <t>E 77699</t>
        </is>
      </c>
      <c r="C21" s="124" t="inlineStr">
        <is>
          <t>LPP S.A</t>
        </is>
      </c>
      <c r="D21" s="125" t="n"/>
      <c r="E21" s="126" t="inlineStr">
        <is>
          <t>Men's Knit Trousers</t>
        </is>
      </c>
      <c r="F21" s="662" t="n">
        <v>256</v>
      </c>
      <c r="G21" s="128" t="inlineStr">
        <is>
          <t>CT</t>
        </is>
      </c>
      <c r="H21" s="129" t="n"/>
      <c r="I21" s="629" t="n">
        <v>101220463</v>
      </c>
      <c r="J21" s="488" t="n"/>
      <c r="K21" s="488" t="n"/>
      <c r="L21" s="129" t="n"/>
      <c r="M21" s="488" t="n"/>
      <c r="N21" s="630">
        <f>H21+I21</f>
        <v/>
      </c>
    </row>
    <row r="22" ht="14.25" customFormat="1" customHeight="1" s="96">
      <c r="A22" s="628" t="n">
        <v>42216</v>
      </c>
      <c r="B22" s="132" t="inlineStr">
        <is>
          <t>E 77699</t>
        </is>
      </c>
      <c r="C22" s="124" t="inlineStr">
        <is>
          <t>LPP S.A</t>
        </is>
      </c>
      <c r="D22" s="125" t="n"/>
      <c r="E22" s="126" t="inlineStr">
        <is>
          <t>Men's Jogging Top</t>
        </is>
      </c>
      <c r="F22" s="662" t="n">
        <v>79</v>
      </c>
      <c r="G22" s="128" t="inlineStr">
        <is>
          <t>CT</t>
        </is>
      </c>
      <c r="H22" s="129" t="n"/>
      <c r="I22" s="629" t="n">
        <v>18672092</v>
      </c>
      <c r="J22" s="488" t="n"/>
      <c r="K22" s="488" t="n"/>
      <c r="L22" s="129" t="n"/>
      <c r="M22" s="488" t="n"/>
      <c r="N22" s="630">
        <f>H22+I22</f>
        <v/>
      </c>
    </row>
    <row r="23" ht="14.25" customFormat="1" customHeight="1" s="96">
      <c r="A23" s="628" t="n">
        <v>42216</v>
      </c>
      <c r="B23" s="132" t="inlineStr">
        <is>
          <t>E 78825</t>
        </is>
      </c>
      <c r="C23" s="124" t="inlineStr">
        <is>
          <t>Primark Stores Limited</t>
        </is>
      </c>
      <c r="D23" s="125" t="n"/>
      <c r="E23" s="126" t="inlineStr">
        <is>
          <t>Ladies Legging</t>
        </is>
      </c>
      <c r="F23" s="662" t="n">
        <v>500</v>
      </c>
      <c r="G23" s="128" t="inlineStr">
        <is>
          <t>CT</t>
        </is>
      </c>
      <c r="H23" s="129" t="n"/>
      <c r="I23" s="629" t="n">
        <v>359244600</v>
      </c>
      <c r="J23" s="488" t="n"/>
      <c r="K23" s="488" t="n"/>
      <c r="L23" s="129" t="n"/>
      <c r="M23" s="488" t="n"/>
      <c r="N23" s="630">
        <f>H23+I23</f>
        <v/>
      </c>
    </row>
    <row r="24" ht="14.25" customFormat="1" customHeight="1" s="96">
      <c r="A24" s="628" t="n">
        <v>42217</v>
      </c>
      <c r="B24" s="132" t="inlineStr">
        <is>
          <t>E 79325</t>
        </is>
      </c>
      <c r="C24" s="124" t="inlineStr">
        <is>
          <t>Primark Stores Limited</t>
        </is>
      </c>
      <c r="D24" s="125" t="n"/>
      <c r="E24" s="126" t="inlineStr">
        <is>
          <t>7Boy/2Boy Core Hoody</t>
        </is>
      </c>
      <c r="F24" s="662" t="n">
        <v>640</v>
      </c>
      <c r="G24" s="128" t="inlineStr">
        <is>
          <t>CT</t>
        </is>
      </c>
      <c r="H24" s="129" t="n"/>
      <c r="I24" s="629" t="n">
        <v>141980760</v>
      </c>
      <c r="J24" s="488" t="n"/>
      <c r="K24" s="488" t="n"/>
      <c r="L24" s="129" t="n"/>
      <c r="M24" s="488" t="n"/>
      <c r="N24" s="630">
        <f>H24+I24</f>
        <v/>
      </c>
    </row>
    <row r="25" ht="14.25" customFormat="1" customHeight="1" s="96">
      <c r="A25" s="628" t="n">
        <v>42217</v>
      </c>
      <c r="B25" s="132" t="inlineStr">
        <is>
          <t>E 79317</t>
        </is>
      </c>
      <c r="C25" s="124" t="inlineStr">
        <is>
          <t>A.Levy &amp; Son Limited</t>
        </is>
      </c>
      <c r="D25" s="125" t="n"/>
      <c r="E25" s="126" t="inlineStr">
        <is>
          <t>Men's Neck Pullver / Hoody</t>
        </is>
      </c>
      <c r="F25" s="662" t="n">
        <v>635</v>
      </c>
      <c r="G25" s="128" t="inlineStr">
        <is>
          <t>CT</t>
        </is>
      </c>
      <c r="H25" s="129" t="n"/>
      <c r="I25" s="629" t="n">
        <v>311688076</v>
      </c>
      <c r="J25" s="488" t="n"/>
      <c r="K25" s="488" t="n"/>
      <c r="L25" s="129" t="n"/>
      <c r="M25" s="488" t="n"/>
      <c r="N25" s="630">
        <f>H25+I25</f>
        <v/>
      </c>
    </row>
    <row r="26" ht="14.25" customFormat="1" customHeight="1" s="96">
      <c r="A26" s="628" t="n">
        <v>42217</v>
      </c>
      <c r="B26" s="132" t="inlineStr">
        <is>
          <t>E 79287</t>
        </is>
      </c>
      <c r="C26" s="124" t="inlineStr">
        <is>
          <t>Primakr Tiendas Slu</t>
        </is>
      </c>
      <c r="D26" s="125" t="n"/>
      <c r="E26" s="126" t="inlineStr">
        <is>
          <t>Men's Zip Thru Hoody</t>
        </is>
      </c>
      <c r="F26" s="662" t="n">
        <v>2285</v>
      </c>
      <c r="G26" s="128" t="inlineStr">
        <is>
          <t>CT</t>
        </is>
      </c>
      <c r="H26" s="129" t="n"/>
      <c r="I26" s="629" t="n">
        <v>592086915</v>
      </c>
      <c r="J26" s="488" t="n"/>
      <c r="K26" s="488" t="n"/>
      <c r="L26" s="129" t="n"/>
      <c r="M26" s="488" t="n"/>
      <c r="N26" s="630">
        <f>H26+I26</f>
        <v/>
      </c>
    </row>
    <row r="27" ht="14.25" customFormat="1" customHeight="1" s="96">
      <c r="A27" s="628" t="n">
        <v>42217</v>
      </c>
      <c r="B27" s="132" t="inlineStr">
        <is>
          <t>E 79296</t>
        </is>
      </c>
      <c r="C27" s="124" t="inlineStr">
        <is>
          <t>Primark</t>
        </is>
      </c>
      <c r="D27" s="125" t="n"/>
      <c r="E27" s="126" t="inlineStr">
        <is>
          <t>Men's Zip Thru Hoody</t>
        </is>
      </c>
      <c r="F27" s="662" t="n">
        <v>695</v>
      </c>
      <c r="G27" s="128" t="inlineStr">
        <is>
          <t>CT</t>
        </is>
      </c>
      <c r="H27" s="129" t="n"/>
      <c r="I27" s="629" t="n">
        <v>180087705</v>
      </c>
      <c r="J27" s="488" t="n"/>
      <c r="K27" s="488" t="n"/>
      <c r="L27" s="129" t="n"/>
      <c r="M27" s="488" t="n"/>
      <c r="N27" s="630">
        <f>H27+I27</f>
        <v/>
      </c>
    </row>
    <row r="28" ht="14.25" customFormat="1" customHeight="1" s="96">
      <c r="A28" s="628" t="n">
        <v>42220</v>
      </c>
      <c r="B28" s="132" t="inlineStr">
        <is>
          <t>E 14352</t>
        </is>
      </c>
      <c r="C28" s="124" t="inlineStr">
        <is>
          <t>LPP S.A</t>
        </is>
      </c>
      <c r="D28" s="125" t="n"/>
      <c r="E28" s="126" t="inlineStr">
        <is>
          <t>Men's Knit Jogging Top</t>
        </is>
      </c>
      <c r="F28" s="662" t="n">
        <v>292</v>
      </c>
      <c r="G28" s="128" t="inlineStr">
        <is>
          <t>CT</t>
        </is>
      </c>
      <c r="H28" s="129" t="n"/>
      <c r="I28" s="629" t="n">
        <v>67012117</v>
      </c>
      <c r="J28" s="488" t="n"/>
      <c r="K28" s="488" t="n"/>
      <c r="L28" s="129" t="n"/>
      <c r="M28" s="488" t="n"/>
      <c r="N28" s="630">
        <f>H28+I28</f>
        <v/>
      </c>
    </row>
    <row r="29" ht="14.25" customFormat="1" customHeight="1" s="96">
      <c r="A29" s="628" t="n">
        <v>42222</v>
      </c>
      <c r="B29" s="132" t="inlineStr">
        <is>
          <t>E 79660</t>
        </is>
      </c>
      <c r="C29" s="124" t="inlineStr">
        <is>
          <t>Kik Texlilien Und-Food GMBH</t>
        </is>
      </c>
      <c r="D29" s="125" t="n"/>
      <c r="E29" s="126" t="inlineStr">
        <is>
          <t>Men's Knitted Sweatshirt</t>
        </is>
      </c>
      <c r="F29" s="662" t="n">
        <v>2875</v>
      </c>
      <c r="G29" s="128" t="inlineStr">
        <is>
          <t>CT</t>
        </is>
      </c>
      <c r="H29" s="129" t="n"/>
      <c r="I29" s="629" t="n">
        <v>344438512</v>
      </c>
      <c r="J29" s="488" t="n"/>
      <c r="K29" s="488" t="n"/>
      <c r="L29" s="129" t="n"/>
      <c r="M29" s="488" t="n"/>
      <c r="N29" s="630">
        <f>H29+I29</f>
        <v/>
      </c>
    </row>
    <row r="30" ht="14.25" customFormat="1" customHeight="1" s="96">
      <c r="A30" s="628" t="n">
        <v>42223</v>
      </c>
      <c r="B30" s="132" t="inlineStr">
        <is>
          <t>E 81282</t>
        </is>
      </c>
      <c r="C30" s="124" t="inlineStr">
        <is>
          <t>Primark</t>
        </is>
      </c>
      <c r="D30" s="125" t="n"/>
      <c r="E30" s="126" t="inlineStr">
        <is>
          <t>Men's +Boy Zip</t>
        </is>
      </c>
      <c r="F30" s="662" t="n">
        <v>75</v>
      </c>
      <c r="G30" s="128" t="inlineStr">
        <is>
          <t>CT</t>
        </is>
      </c>
      <c r="H30" s="129" t="n"/>
      <c r="I30" s="629" t="n">
        <v>18300065</v>
      </c>
      <c r="J30" s="488" t="n"/>
      <c r="K30" s="488" t="n"/>
      <c r="L30" s="129" t="n"/>
      <c r="M30" s="488" t="n"/>
      <c r="N30" s="630">
        <f>H30+I30</f>
        <v/>
      </c>
    </row>
    <row r="31" ht="14.25" customFormat="1" customHeight="1" s="96">
      <c r="A31" s="628" t="n">
        <v>42223</v>
      </c>
      <c r="B31" s="132" t="inlineStr">
        <is>
          <t>E 81282</t>
        </is>
      </c>
      <c r="C31" s="124" t="inlineStr">
        <is>
          <t>Primark</t>
        </is>
      </c>
      <c r="D31" s="125" t="n"/>
      <c r="E31" s="126" t="inlineStr">
        <is>
          <t>Ladies Legging</t>
        </is>
      </c>
      <c r="F31" s="662" t="n">
        <v>100</v>
      </c>
      <c r="G31" s="128" t="inlineStr">
        <is>
          <t>CT</t>
        </is>
      </c>
      <c r="H31" s="129" t="n"/>
      <c r="I31" s="629" t="n">
        <v>43228500</v>
      </c>
      <c r="J31" s="488" t="n"/>
      <c r="K31" s="488" t="n"/>
      <c r="L31" s="129" t="n"/>
      <c r="M31" s="488" t="n"/>
      <c r="N31" s="630">
        <f>H31+I31</f>
        <v/>
      </c>
    </row>
    <row r="32" ht="14.25" customFormat="1" customHeight="1" s="96">
      <c r="A32" s="628" t="n">
        <v>42223</v>
      </c>
      <c r="B32" s="132" t="inlineStr">
        <is>
          <t>E 80591</t>
        </is>
      </c>
      <c r="C32" s="124" t="inlineStr">
        <is>
          <t>Primark Stores Limited</t>
        </is>
      </c>
      <c r="D32" s="125" t="n"/>
      <c r="E32" s="126" t="inlineStr">
        <is>
          <t>Boy Contrast Hoody Core Hoody</t>
        </is>
      </c>
      <c r="F32" s="662" t="n">
        <v>720</v>
      </c>
      <c r="G32" s="128" t="inlineStr">
        <is>
          <t>CT</t>
        </is>
      </c>
      <c r="H32" s="129" t="n"/>
      <c r="I32" s="629" t="n">
        <v>158751520</v>
      </c>
      <c r="J32" s="488" t="n"/>
      <c r="K32" s="488" t="n"/>
      <c r="L32" s="129" t="n"/>
      <c r="M32" s="488" t="n"/>
      <c r="N32" s="630">
        <f>H32+I32</f>
        <v/>
      </c>
    </row>
    <row r="33" ht="14.25" customFormat="1" customHeight="1" s="96">
      <c r="A33" s="628" t="n">
        <v>42224</v>
      </c>
      <c r="B33" s="132" t="inlineStr">
        <is>
          <t>E 81979</t>
        </is>
      </c>
      <c r="C33" s="124" t="inlineStr">
        <is>
          <t>Primark Stores Limited</t>
        </is>
      </c>
      <c r="D33" s="125" t="n"/>
      <c r="E33" s="126" t="inlineStr">
        <is>
          <t>Ladies' Nylon Back FL Legging</t>
        </is>
      </c>
      <c r="F33" s="662" t="n">
        <v>167</v>
      </c>
      <c r="G33" s="128" t="inlineStr">
        <is>
          <t>CT</t>
        </is>
      </c>
      <c r="H33" s="129" t="n"/>
      <c r="I33" s="629" t="n">
        <v>72191595</v>
      </c>
      <c r="J33" s="488" t="n"/>
      <c r="K33" s="488" t="n"/>
      <c r="L33" s="129" t="n"/>
      <c r="M33" s="488" t="n"/>
      <c r="N33" s="630">
        <f>H33+I33</f>
        <v/>
      </c>
    </row>
    <row r="34" ht="14.25" customFormat="1" customHeight="1" s="96">
      <c r="A34" s="628" t="n">
        <v>42229</v>
      </c>
      <c r="B34" s="132" t="inlineStr">
        <is>
          <t>E 82631</t>
        </is>
      </c>
      <c r="C34" s="124" t="inlineStr">
        <is>
          <t>Adler Czech A.S</t>
        </is>
      </c>
      <c r="D34" s="125" t="n"/>
      <c r="E34" s="126" t="inlineStr">
        <is>
          <t>Gent Knit Sweatshirt + Sweater</t>
        </is>
      </c>
      <c r="F34" s="662" t="n">
        <v>853</v>
      </c>
      <c r="G34" s="128" t="inlineStr">
        <is>
          <t>CT</t>
        </is>
      </c>
      <c r="H34" s="129" t="n"/>
      <c r="I34" s="629" t="n">
        <v>348972482</v>
      </c>
      <c r="J34" s="488" t="n"/>
      <c r="K34" s="488" t="n"/>
      <c r="L34" s="129" t="n"/>
      <c r="M34" s="488" t="n"/>
      <c r="N34" s="630">
        <f>H34+I34</f>
        <v/>
      </c>
    </row>
    <row r="35" ht="14.25" customFormat="1" customHeight="1" s="96">
      <c r="A35" s="628" t="n">
        <v>42229</v>
      </c>
      <c r="B35" s="132" t="inlineStr">
        <is>
          <t>E 82631</t>
        </is>
      </c>
      <c r="C35" s="124" t="inlineStr">
        <is>
          <t>Adler Czech A.S</t>
        </is>
      </c>
      <c r="D35" s="125" t="n"/>
      <c r="E35" s="126" t="inlineStr">
        <is>
          <t>Ladies Knit Sweatshirt</t>
        </is>
      </c>
      <c r="F35" s="662" t="n">
        <v>171</v>
      </c>
      <c r="G35" s="128" t="inlineStr">
        <is>
          <t>CT</t>
        </is>
      </c>
      <c r="H35" s="129" t="n"/>
      <c r="I35" s="629" t="n">
        <v>103909128</v>
      </c>
      <c r="J35" s="488" t="n"/>
      <c r="K35" s="488" t="n"/>
      <c r="L35" s="129" t="n"/>
      <c r="M35" s="488" t="n"/>
      <c r="N35" s="630">
        <f>H35+I35</f>
        <v/>
      </c>
    </row>
    <row r="36" ht="14.25" customFormat="1" customHeight="1" s="96">
      <c r="A36" s="628" t="n">
        <v>42230</v>
      </c>
      <c r="B36" s="132" t="inlineStr">
        <is>
          <t>E 84211</t>
        </is>
      </c>
      <c r="C36" s="124" t="inlineStr">
        <is>
          <t>LPP S.A</t>
        </is>
      </c>
      <c r="D36" s="125" t="n"/>
      <c r="E36" s="126" t="inlineStr">
        <is>
          <t>Men's Trousers</t>
        </is>
      </c>
      <c r="F36" s="662" t="n">
        <v>230</v>
      </c>
      <c r="G36" s="128" t="inlineStr">
        <is>
          <t>CT</t>
        </is>
      </c>
      <c r="H36" s="129" t="n"/>
      <c r="I36" s="629" t="n">
        <v>83919611</v>
      </c>
      <c r="J36" s="488" t="n"/>
      <c r="K36" s="488" t="n"/>
      <c r="L36" s="129" t="n"/>
      <c r="M36" s="488" t="n"/>
      <c r="N36" s="630">
        <f>H36+I36</f>
        <v/>
      </c>
    </row>
    <row r="37" ht="18.75" customFormat="1" customHeight="1" s="96">
      <c r="A37" s="628" t="n">
        <v>42230</v>
      </c>
      <c r="B37" s="132" t="inlineStr">
        <is>
          <t>E 83211</t>
        </is>
      </c>
      <c r="C37" s="124" t="inlineStr">
        <is>
          <t>A.Levy &amp; Son Limited</t>
        </is>
      </c>
      <c r="D37" s="125" t="n"/>
      <c r="E37" s="126" t="inlineStr">
        <is>
          <t>Men's Knit Long Sleeve Zip Thru Jacket</t>
        </is>
      </c>
      <c r="F37" s="662" t="n">
        <v>244</v>
      </c>
      <c r="G37" s="128" t="inlineStr">
        <is>
          <t>CT</t>
        </is>
      </c>
      <c r="H37" s="129" t="n"/>
      <c r="I37" s="629" t="n">
        <v>123404769</v>
      </c>
      <c r="J37" s="488" t="n"/>
      <c r="K37" s="488" t="n"/>
      <c r="L37" s="129" t="n"/>
      <c r="M37" s="488" t="n"/>
      <c r="N37" s="630">
        <f>H37+I37</f>
        <v/>
      </c>
    </row>
    <row r="38" ht="14.25" customFormat="1" customHeight="1" s="96">
      <c r="A38" s="628" t="n">
        <v>42230</v>
      </c>
      <c r="B38" s="132" t="inlineStr">
        <is>
          <t>E 83211</t>
        </is>
      </c>
      <c r="C38" s="124" t="inlineStr">
        <is>
          <t>A.Levy &amp; Son Limited</t>
        </is>
      </c>
      <c r="D38" s="125" t="n"/>
      <c r="E38" s="126" t="inlineStr">
        <is>
          <t>Men's Knit Hoody</t>
        </is>
      </c>
      <c r="F38" s="662" t="n">
        <v>178</v>
      </c>
      <c r="G38" s="128" t="inlineStr">
        <is>
          <t>CT</t>
        </is>
      </c>
      <c r="H38" s="129" t="n"/>
      <c r="I38" s="629" t="n">
        <v>89718899</v>
      </c>
      <c r="J38" s="488" t="n"/>
      <c r="K38" s="488" t="n"/>
      <c r="L38" s="129" t="n"/>
      <c r="M38" s="488" t="n"/>
      <c r="N38" s="630">
        <f>H38+I38</f>
        <v/>
      </c>
    </row>
    <row r="39" ht="14.25" customFormat="1" customHeight="1" s="96">
      <c r="A39" s="628" t="n">
        <v>42236</v>
      </c>
      <c r="B39" s="132" t="inlineStr">
        <is>
          <t>E 85424</t>
        </is>
      </c>
      <c r="C39" s="124" t="inlineStr">
        <is>
          <t>A.Levy &amp; Son Limited</t>
        </is>
      </c>
      <c r="D39" s="125" t="n"/>
      <c r="E39" s="126" t="inlineStr">
        <is>
          <t>Men's Knit Pullover</t>
        </is>
      </c>
      <c r="F39" s="662" t="n">
        <v>253</v>
      </c>
      <c r="G39" s="128" t="inlineStr">
        <is>
          <t>CT</t>
        </is>
      </c>
      <c r="H39" s="129" t="n"/>
      <c r="I39" s="629" t="n">
        <v>107902807</v>
      </c>
      <c r="J39" s="488" t="n"/>
      <c r="K39" s="488" t="n"/>
      <c r="L39" s="129" t="n"/>
      <c r="M39" s="488" t="n"/>
      <c r="N39" s="630">
        <f>H39+I39</f>
        <v/>
      </c>
    </row>
    <row r="40" ht="14.25" customFormat="1" customHeight="1" s="96">
      <c r="A40" s="628" t="n">
        <v>42237</v>
      </c>
      <c r="B40" s="132" t="inlineStr">
        <is>
          <t>E 86517</t>
        </is>
      </c>
      <c r="C40" s="124" t="inlineStr">
        <is>
          <t>Primarkus Corp</t>
        </is>
      </c>
      <c r="D40" s="125" t="n"/>
      <c r="E40" s="126" t="inlineStr">
        <is>
          <t>Men Knit Chesi Print Zip</t>
        </is>
      </c>
      <c r="F40" s="662" t="n">
        <v>17</v>
      </c>
      <c r="G40" s="128" t="inlineStr">
        <is>
          <t>CT</t>
        </is>
      </c>
      <c r="H40" s="129" t="n"/>
      <c r="I40" s="629" t="n">
        <v>4368609</v>
      </c>
      <c r="J40" s="488" t="n"/>
      <c r="K40" s="488" t="n"/>
      <c r="L40" s="129" t="n"/>
      <c r="M40" s="488" t="n"/>
      <c r="N40" s="630">
        <f>H40+I40</f>
        <v/>
      </c>
    </row>
    <row r="41" ht="14.25" customFormat="1" customHeight="1" s="96">
      <c r="A41" s="628" t="n">
        <v>42237</v>
      </c>
      <c r="B41" s="132" t="inlineStr">
        <is>
          <t>E 87246</t>
        </is>
      </c>
      <c r="C41" s="124" t="inlineStr">
        <is>
          <t>Primark Stores Limited</t>
        </is>
      </c>
      <c r="D41" s="125" t="n"/>
      <c r="E41" s="126" t="inlineStr">
        <is>
          <t>Boy's Hoody</t>
        </is>
      </c>
      <c r="F41" s="662" t="n">
        <v>200</v>
      </c>
      <c r="G41" s="128" t="inlineStr">
        <is>
          <t>CT</t>
        </is>
      </c>
      <c r="H41" s="129" t="n"/>
      <c r="I41" s="629" t="n">
        <v>41197900</v>
      </c>
      <c r="J41" s="488" t="n"/>
      <c r="K41" s="488" t="n"/>
      <c r="L41" s="129" t="n"/>
      <c r="M41" s="488" t="n"/>
      <c r="N41" s="630">
        <f>H41+I41</f>
        <v/>
      </c>
    </row>
    <row r="42" ht="14.25" customFormat="1" customHeight="1" s="96">
      <c r="A42" s="628" t="n">
        <v>42237</v>
      </c>
      <c r="B42" s="132" t="inlineStr">
        <is>
          <t>E 87199</t>
        </is>
      </c>
      <c r="C42" s="124" t="inlineStr">
        <is>
          <t>Primakr Tiendas S.l.u.</t>
        </is>
      </c>
      <c r="D42" s="125" t="n"/>
      <c r="E42" s="126" t="inlineStr">
        <is>
          <t>Men's Knit Chest Print Zip Thru</t>
        </is>
      </c>
      <c r="F42" s="662" t="n">
        <v>250</v>
      </c>
      <c r="G42" s="128" t="inlineStr">
        <is>
          <t>CT</t>
        </is>
      </c>
      <c r="H42" s="129" t="n"/>
      <c r="I42" s="629">
        <f>15750*4079</f>
        <v/>
      </c>
      <c r="J42" s="488" t="n"/>
      <c r="K42" s="488" t="n"/>
      <c r="L42" s="129" t="n"/>
      <c r="M42" s="488" t="n"/>
      <c r="N42" s="630">
        <f>H42+I42</f>
        <v/>
      </c>
    </row>
    <row r="43" ht="14.25" customFormat="1" customHeight="1" s="96">
      <c r="A43" s="628" t="n">
        <v>42237</v>
      </c>
      <c r="B43" s="132" t="inlineStr">
        <is>
          <t>E 87074</t>
        </is>
      </c>
      <c r="C43" s="124" t="inlineStr">
        <is>
          <t>Primark 47 Mary Street Dublin1.</t>
        </is>
      </c>
      <c r="D43" s="125" t="n"/>
      <c r="E43" s="126" t="inlineStr">
        <is>
          <t>Men's Knit Chest Print Zip Thru</t>
        </is>
      </c>
      <c r="F43" s="662" t="n">
        <v>192</v>
      </c>
      <c r="G43" s="128" t="inlineStr">
        <is>
          <t>CT</t>
        </is>
      </c>
      <c r="H43" s="129" t="n"/>
      <c r="I43" s="629" t="n">
        <v>49339584</v>
      </c>
      <c r="J43" s="488" t="n"/>
      <c r="K43" s="488" t="n"/>
      <c r="L43" s="129" t="n"/>
      <c r="M43" s="488" t="n"/>
      <c r="N43" s="630">
        <f>H43+I43</f>
        <v/>
      </c>
    </row>
    <row r="44" ht="14.25" customFormat="1" customHeight="1" s="96">
      <c r="A44" s="628" t="n">
        <v>42237</v>
      </c>
      <c r="B44" s="132" t="inlineStr">
        <is>
          <t>E 86097</t>
        </is>
      </c>
      <c r="C44" s="124" t="inlineStr">
        <is>
          <t>Primark Stores Limited</t>
        </is>
      </c>
      <c r="D44" s="125" t="n"/>
      <c r="E44" s="126" t="inlineStr">
        <is>
          <t>See Val Note</t>
        </is>
      </c>
      <c r="F44" s="662" t="n">
        <v>756</v>
      </c>
      <c r="G44" s="128" t="inlineStr">
        <is>
          <t>CT</t>
        </is>
      </c>
      <c r="H44" s="129" t="n"/>
      <c r="I44" s="629" t="n">
        <v>178378749</v>
      </c>
      <c r="J44" s="488" t="n"/>
      <c r="K44" s="488" t="n"/>
      <c r="L44" s="129" t="n"/>
      <c r="M44" s="488" t="n"/>
      <c r="N44" s="630">
        <f>H44+I44</f>
        <v/>
      </c>
    </row>
    <row r="45" ht="14.25" customFormat="1" customHeight="1" s="96">
      <c r="A45" s="628" t="n">
        <v>42237</v>
      </c>
      <c r="B45" s="132" t="inlineStr">
        <is>
          <t>E 86347</t>
        </is>
      </c>
      <c r="C45" s="124" t="inlineStr">
        <is>
          <t>LPP S.A</t>
        </is>
      </c>
      <c r="D45" s="125" t="n"/>
      <c r="E45" s="126" t="inlineStr">
        <is>
          <t>Men's Jogging Top</t>
        </is>
      </c>
      <c r="F45" s="662" t="n">
        <v>725</v>
      </c>
      <c r="G45" s="128" t="inlineStr">
        <is>
          <t>CT</t>
        </is>
      </c>
      <c r="H45" s="129" t="n"/>
      <c r="I45" s="629" t="n">
        <v>162100480</v>
      </c>
      <c r="J45" s="488" t="n"/>
      <c r="K45" s="488" t="n"/>
      <c r="L45" s="129" t="n"/>
      <c r="M45" s="488" t="n"/>
      <c r="N45" s="630">
        <f>H45+I45</f>
        <v/>
      </c>
    </row>
    <row r="46" ht="14.25" customFormat="1" customHeight="1" s="96">
      <c r="A46" s="628" t="n">
        <v>42237</v>
      </c>
      <c r="B46" s="132" t="inlineStr">
        <is>
          <t>E 86347</t>
        </is>
      </c>
      <c r="C46" s="124" t="inlineStr">
        <is>
          <t>LPP S.A</t>
        </is>
      </c>
      <c r="D46" s="125" t="n"/>
      <c r="E46" s="126" t="inlineStr">
        <is>
          <t>Men's Knit Trousers</t>
        </is>
      </c>
      <c r="F46" s="662" t="n">
        <v>531</v>
      </c>
      <c r="G46" s="128" t="inlineStr">
        <is>
          <t>CT</t>
        </is>
      </c>
      <c r="H46" s="129" t="n"/>
      <c r="I46" s="629" t="n">
        <v>203679970</v>
      </c>
      <c r="J46" s="488" t="n"/>
      <c r="K46" s="488" t="n"/>
      <c r="L46" s="129" t="n"/>
      <c r="M46" s="488" t="n"/>
      <c r="N46" s="630">
        <f>H46+I46</f>
        <v/>
      </c>
    </row>
    <row r="47" ht="14.25" customFormat="1" customHeight="1" s="139">
      <c r="A47" s="631">
        <f>M4</f>
        <v/>
      </c>
      <c r="B47" s="531" t="n"/>
      <c r="C47" s="531" t="n"/>
      <c r="D47" s="519" t="n"/>
      <c r="E47" s="133" t="inlineStr">
        <is>
          <t>Riel</t>
        </is>
      </c>
      <c r="F47" s="134" t="n"/>
      <c r="G47" s="128" t="n"/>
      <c r="H47" s="135" t="n"/>
      <c r="I47" s="633">
        <f>SUM(I9:I46)</f>
        <v/>
      </c>
      <c r="J47" s="137" t="n"/>
      <c r="K47" s="137" t="n"/>
      <c r="L47" s="137" t="n"/>
      <c r="M47" s="137" t="n"/>
      <c r="N47" s="634">
        <f>SUM(N9:N46)</f>
        <v/>
      </c>
    </row>
    <row r="48" ht="14.25" customFormat="1" customHeight="1" s="139" thickBot="1">
      <c r="A48" s="635" t="inlineStr">
        <is>
          <t>Total USD</t>
        </is>
      </c>
      <c r="B48" s="636" t="n"/>
      <c r="C48" s="636" t="n"/>
      <c r="D48" s="637" t="n"/>
      <c r="E48" s="140" t="inlineStr">
        <is>
          <t>USD</t>
        </is>
      </c>
      <c r="F48" s="663" t="n"/>
      <c r="G48" s="664" t="n"/>
      <c r="H48" s="143">
        <f>H47/M4</f>
        <v/>
      </c>
      <c r="I48" s="639">
        <f>I47/M4</f>
        <v/>
      </c>
      <c r="J48" s="640">
        <f>J47*4034</f>
        <v/>
      </c>
      <c r="K48" s="640">
        <f>K47*4034</f>
        <v/>
      </c>
      <c r="L48" s="640">
        <f>L47*4034</f>
        <v/>
      </c>
      <c r="M48" s="640">
        <f>M47*4034</f>
        <v/>
      </c>
      <c r="N48" s="641">
        <f>N47/M4</f>
        <v/>
      </c>
    </row>
    <row r="49" ht="15.75" customFormat="1" customHeight="1" s="151">
      <c r="A49" s="147" t="n"/>
      <c r="B49" s="148" t="n"/>
      <c r="C49" s="148" t="n"/>
      <c r="D49" s="148" t="n"/>
      <c r="E49" s="148" t="n"/>
      <c r="F49" s="642" t="n"/>
      <c r="G49" s="642" t="n"/>
      <c r="H49" s="148" t="inlineStr">
        <is>
          <t>Box 12</t>
        </is>
      </c>
      <c r="I49" s="150" t="inlineStr">
        <is>
          <t xml:space="preserve">    </t>
        </is>
      </c>
      <c r="J49" s="148" t="inlineStr">
        <is>
          <t>Box 14</t>
        </is>
      </c>
      <c r="K49" s="148" t="inlineStr">
        <is>
          <t>Box 15</t>
        </is>
      </c>
      <c r="L49" s="148" t="inlineStr">
        <is>
          <t>Box 14</t>
        </is>
      </c>
      <c r="M49" s="148" t="inlineStr">
        <is>
          <t>Box 15</t>
        </is>
      </c>
      <c r="N49" s="148" t="n"/>
    </row>
    <row r="50" ht="14.25" customHeight="1" s="331">
      <c r="A50" s="152" t="n"/>
      <c r="B50" s="153" t="n"/>
      <c r="C50" s="153" t="n"/>
      <c r="D50" s="153" t="n"/>
      <c r="E50" s="153" t="n"/>
      <c r="F50" s="643" t="n"/>
      <c r="G50" s="643" t="n"/>
      <c r="H50" s="153" t="n"/>
      <c r="I50" s="481" t="inlineStr">
        <is>
          <t>Approved By :</t>
        </is>
      </c>
    </row>
    <row r="51" ht="19.5" customHeight="1" s="331">
      <c r="I51" s="482" t="n"/>
      <c r="O51" s="644" t="n"/>
    </row>
    <row r="52" hidden="1" ht="18" customHeight="1" s="331">
      <c r="I52" s="645">
        <f>I48*1%</f>
        <v/>
      </c>
      <c r="J52" s="160" t="n"/>
      <c r="K52" s="665" t="n"/>
      <c r="L52" s="647" t="n"/>
      <c r="M52" s="647" t="n"/>
    </row>
    <row r="53" ht="14.25" customHeight="1" s="331">
      <c r="I53" s="163" t="n"/>
      <c r="J53" s="491" t="n"/>
      <c r="M53" s="163" t="n"/>
    </row>
    <row r="54" ht="14.25" customHeight="1" s="331">
      <c r="C54" s="164" t="n"/>
      <c r="D54" s="165" t="n"/>
      <c r="E54" s="165" t="n"/>
      <c r="F54" s="648" t="n"/>
      <c r="G54" s="648" t="n"/>
    </row>
    <row r="55" ht="14.25" customHeight="1" s="331">
      <c r="F55" s="623" t="n"/>
      <c r="G55" s="623" t="n"/>
      <c r="H55" s="661" t="n"/>
      <c r="J55" s="169" t="n"/>
    </row>
    <row r="56" ht="14.25" customHeight="1" s="331">
      <c r="C56" s="170" t="n"/>
      <c r="D56" s="171" t="n"/>
      <c r="E56" s="172" t="n"/>
      <c r="F56" s="171" t="n"/>
      <c r="G56" s="171" t="n"/>
      <c r="H56" s="160" t="n"/>
      <c r="I56" s="173" t="n"/>
      <c r="J56" s="651" t="n"/>
      <c r="K56" s="175" t="n"/>
      <c r="L56" s="175" t="n"/>
      <c r="O56" s="169" t="n"/>
    </row>
    <row r="57" ht="14.25" customHeight="1" s="331">
      <c r="F57" s="623" t="n"/>
      <c r="G57" s="623" t="n"/>
      <c r="I57" s="656" t="n"/>
      <c r="J57" s="177" t="n"/>
      <c r="K57" s="177" t="n"/>
      <c r="L57" s="139" t="n"/>
    </row>
    <row r="58" ht="14.25" customHeight="1" s="331">
      <c r="I58" s="173" t="n"/>
      <c r="J58" s="655" t="n"/>
      <c r="K58" s="139" t="n"/>
      <c r="L58" s="139" t="n"/>
    </row>
    <row r="59" ht="14.25" customHeight="1" s="331">
      <c r="I59" s="656" t="n"/>
      <c r="J59" s="651" t="n"/>
      <c r="K59" s="139" t="n"/>
      <c r="L59" s="139" t="n"/>
    </row>
    <row r="60" ht="14.25" customHeight="1" s="331">
      <c r="I60" s="657" t="n"/>
      <c r="K60" s="139" t="n"/>
      <c r="L60" s="139" t="n"/>
      <c r="N60" s="658" t="n"/>
    </row>
    <row r="61" hidden="1" ht="14.25" customHeight="1" s="331">
      <c r="I61" s="659">
        <f>I48*1%</f>
        <v/>
      </c>
    </row>
    <row r="62" ht="14.25" customHeight="1" s="331">
      <c r="I62" s="175" t="n"/>
      <c r="J62" s="139" t="n"/>
    </row>
    <row r="63" ht="14.25" customHeight="1" s="331">
      <c r="I63" s="175" t="n"/>
    </row>
    <row r="64" ht="14.25" customHeight="1" s="331">
      <c r="I64" s="175" t="n"/>
    </row>
    <row r="65" ht="14.25" customHeight="1" s="331">
      <c r="I65" s="175" t="n"/>
    </row>
    <row r="66" ht="14.25" customHeight="1" s="331">
      <c r="I66" s="651" t="n"/>
    </row>
    <row r="67" ht="14.25" customHeight="1" s="331">
      <c r="I67" s="175" t="n"/>
    </row>
    <row r="68" ht="14.25" customHeight="1" s="331">
      <c r="I68" s="175" t="n"/>
    </row>
    <row r="69" ht="14.25" customHeight="1" s="331">
      <c r="I69" s="175" t="n"/>
    </row>
    <row r="70" ht="14.25" customHeight="1" s="331">
      <c r="I70" s="175" t="n"/>
    </row>
    <row r="71" ht="14.25" customHeight="1" s="331">
      <c r="I71" s="175" t="n"/>
    </row>
    <row r="72" ht="14.25" customHeight="1" s="331">
      <c r="I72" s="175" t="n"/>
    </row>
  </sheetData>
  <mergeCells count="18">
    <mergeCell ref="J53:L53"/>
    <mergeCell ref="F6:H6"/>
    <mergeCell ref="L7:M7"/>
    <mergeCell ref="A5:I5"/>
    <mergeCell ref="I60:J60"/>
    <mergeCell ref="I50:N50"/>
    <mergeCell ref="A48:D48"/>
    <mergeCell ref="J7:K7"/>
    <mergeCell ref="A2:N2"/>
    <mergeCell ref="F8:H8"/>
    <mergeCell ref="J6:M6"/>
    <mergeCell ref="H55:I55"/>
    <mergeCell ref="F7:H7"/>
    <mergeCell ref="I61:J61"/>
    <mergeCell ref="A47:D47"/>
    <mergeCell ref="J5:M5"/>
    <mergeCell ref="I51:N51"/>
    <mergeCell ref="A1:N1"/>
  </mergeCells>
  <pageMargins left="0.45" right="0.16" top="0.51" bottom="0.5" header="0.46" footer="0.2"/>
  <pageSetup orientation="landscape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PHAY</dc:creator>
  <dcterms:created xmlns:dcterms="http://purl.org/dc/terms/" xmlns:xsi="http://www.w3.org/2001/XMLSchema-instance" xsi:type="dcterms:W3CDTF">2002-01-25T08:51:18Z</dcterms:created>
  <dcterms:modified xmlns:dcterms="http://purl.org/dc/terms/" xmlns:xsi="http://www.w3.org/2001/XMLSchema-instance" xsi:type="dcterms:W3CDTF">2026-02-17T17:29:29Z</dcterms:modified>
  <cp:lastModifiedBy>Sophara Rith</cp:lastModifiedBy>
  <cp:lastPrinted>2025-06-16T09:11:36Z</cp:lastPrinted>
</cp:coreProperties>
</file>